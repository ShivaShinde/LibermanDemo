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updateLinks="never" codeName="ThisWorkbook" defaultThemeVersion="124226"/>
  <bookViews>
    <workbookView xWindow="360" yWindow="60" windowWidth="1980" windowHeight="1170" tabRatio="846" activeTab="2"/>
  </bookViews>
  <sheets>
    <sheet name="Calc" sheetId="17" r:id="rId1"/>
    <sheet name="Assumptions" sheetId="11" r:id="rId2"/>
    <sheet name="Option 1" sheetId="1" r:id="rId3"/>
    <sheet name="Option 2" sheetId="3" r:id="rId4"/>
    <sheet name="Option 3" sheetId="4" r:id="rId5"/>
    <sheet name="Option 4" sheetId="23" r:id="rId6"/>
    <sheet name="Option 5" sheetId="22" r:id="rId7"/>
    <sheet name="Option 6" sheetId="21" r:id="rId8"/>
    <sheet name="Final SA Summary" sheetId="10" r:id="rId9"/>
    <sheet name="Notes" sheetId="13" r:id="rId10"/>
    <sheet name="Financing Summary" sheetId="14" r:id="rId11"/>
  </sheets>
  <externalReferences>
    <externalReference r:id="rId12"/>
    <externalReference r:id="rId13"/>
  </externalReferences>
  <definedNames>
    <definedName name="_xlnm._FilterDatabase" localSheetId="2" hidden="1">'Option 1'!$A$23:$P$245</definedName>
    <definedName name="actuals">OFFSET('[1]Actuals Update'!$A$1,0,0,COUNTA('[1]Actuals Update'!$A$1:$A$65536),13)</definedName>
    <definedName name="altdesc">'[1]Tables and Customizations'!$A$25:$B$140</definedName>
    <definedName name="ASSN">[1]Assumptions!$C$4</definedName>
    <definedName name="Beg_Bal">#REF!</definedName>
    <definedName name="curbudget">OFFSET('[1]Current Budget Update'!$A$1,0,0,COUNTA('[1]Current Budget Update'!$A$1:$A$65536),13)</definedName>
    <definedName name="End_Bal">'[2]Loan Amortization Schedule'!$I$18:$I$377</definedName>
    <definedName name="Extra_Pay" localSheetId="5">#REF!</definedName>
    <definedName name="Extra_Pay" localSheetId="6">#REF!</definedName>
    <definedName name="Extra_Pay" localSheetId="7">#REF!</definedName>
    <definedName name="Extra_Pay">#REF!</definedName>
    <definedName name="glai">'[1]PM Budget Input'!$F$7:$AA$971</definedName>
    <definedName name="Header_Row">ROW('[2]Loan Amortization Schedule'!$A$17:$IV$17)</definedName>
    <definedName name="INSPREAD">OFFSET('[1]PM Budget Input'!$A$1,0,0,COUNTA('[1]PM Budget Input'!$A$1:$A$65536),19)</definedName>
    <definedName name="Int">#REF!</definedName>
    <definedName name="intable">OFFSET('[1]PM Budget Input'!$F$8,0,0,COUNTA('[1]PM Budget Input'!$F$1:$F$65536),7)</definedName>
    <definedName name="Interest_Rate">'[2]Loan Amortization Schedule'!$D$6</definedName>
    <definedName name="Last_Row">IF(Values_Entered,Header_Row+Number_of_Payments,Header_Row)</definedName>
    <definedName name="listg">OFFSET('[1]PM Budget Input'!$F$8,0,0,COUNTA('[1]PM Budget Input'!$A$1:$A$65536),2)</definedName>
    <definedName name="Loan_Amount">'[2]Loan Amortization Schedule'!$D$5</definedName>
    <definedName name="Loan_Start">'[2]Loan Amortization Schedule'!$D$9</definedName>
    <definedName name="Loan_Years">'[2]Loan Amortization Schedule'!$D$7</definedName>
    <definedName name="Monkey">'[2]Lead Sheet'!$B$7:$I$67</definedName>
    <definedName name="Num_Pmt_Per_Year" localSheetId="5">#REF!</definedName>
    <definedName name="Num_Pmt_Per_Year" localSheetId="6">#REF!</definedName>
    <definedName name="Num_Pmt_Per_Year" localSheetId="7">#REF!</definedName>
    <definedName name="Num_Pmt_Per_Year">#REF!</definedName>
    <definedName name="Number_of_Payments">MATCH(0.01,End_Bal,-1)+1</definedName>
    <definedName name="outtable">OFFSET('[1]PM Budget Input'!$F$103,0,0,COUNTA('[1]PM Budget Input'!$F$1:$F$65536),10)</definedName>
    <definedName name="Pay_Num">#REF!</definedName>
    <definedName name="prevbudget">OFFSET('[1]Previous Budget Update'!$A$1,0,0,COUNTA('[1]Previous Budget Update'!$A$1:$A$65536),13)</definedName>
    <definedName name="Princ">#REF!</definedName>
    <definedName name="_xlnm.Print_Area" localSheetId="1">Assumptions!$A$1:$P$36</definedName>
    <definedName name="_xlnm.Print_Area" localSheetId="2">'Option 1'!$A$1:$P$255</definedName>
    <definedName name="_xlnm.Print_Area" localSheetId="3">'Option 2'!$A$1:$P$255</definedName>
    <definedName name="_xlnm.Print_Area" localSheetId="4">'Option 3'!$A$1:$P$255</definedName>
    <definedName name="_xlnm.Print_Area" localSheetId="5">'Option 4'!$A$1:$P$255</definedName>
    <definedName name="_xlnm.Print_Area" localSheetId="6">'Option 5'!$A$1:$P$255</definedName>
    <definedName name="_xlnm.Print_Area" localSheetId="7">'Option 6'!$A$1:$P$255</definedName>
    <definedName name="_xlnm.Print_Titles" localSheetId="8">'Final SA Summary'!$1:$15</definedName>
    <definedName name="projection">OFFSET('[1]Projection Update'!$A$1,0,0,COUNTA('[1]Projection Update'!$A$1:$A$65536),13)</definedName>
    <definedName name="Sched_Pay">#REF!</definedName>
    <definedName name="Scheduled_Extra_Payments">#REF!</definedName>
    <definedName name="Scheduled_Monthly_Payment">#REF!</definedName>
    <definedName name="Total_Pay" localSheetId="5">#REF!</definedName>
    <definedName name="Total_Pay" localSheetId="6">#REF!</definedName>
    <definedName name="Total_Pay" localSheetId="7">#REF!</definedName>
    <definedName name="Total_Pay">#REF!</definedName>
    <definedName name="Units">#REF!</definedName>
    <definedName name="Values_Entered">IF(Loan_Amount*Interest_Rate*Loan_Years*Loan_Start&gt;0,1,0)</definedName>
    <definedName name="YEAR">'[1]Tables and Customizations'!$B$17</definedName>
  </definedNames>
  <calcPr calcId="145621"/>
</workbook>
</file>

<file path=xl/calcChain.xml><?xml version="1.0" encoding="utf-8"?>
<calcChain xmlns="http://schemas.openxmlformats.org/spreadsheetml/2006/main">
  <c r="D11" i="23" l="1"/>
  <c r="D11" i="22"/>
  <c r="D11" i="21"/>
  <c r="D11" i="4"/>
  <c r="D11" i="3"/>
  <c r="D11" i="1"/>
  <c r="O11" i="4"/>
  <c r="N11" i="4"/>
  <c r="M11" i="4"/>
  <c r="L11" i="4"/>
  <c r="K11" i="4"/>
  <c r="J11" i="4"/>
  <c r="I11" i="4"/>
  <c r="H11" i="4"/>
  <c r="G11" i="4"/>
  <c r="F11" i="4"/>
  <c r="O11" i="23"/>
  <c r="N11" i="23"/>
  <c r="M11" i="23"/>
  <c r="L11" i="23"/>
  <c r="K11" i="23"/>
  <c r="J11" i="23"/>
  <c r="I11" i="23"/>
  <c r="H11" i="23"/>
  <c r="G11" i="23"/>
  <c r="F11" i="23"/>
  <c r="O11" i="22"/>
  <c r="N11" i="22"/>
  <c r="M11" i="22"/>
  <c r="L11" i="22"/>
  <c r="K11" i="22"/>
  <c r="J11" i="22"/>
  <c r="I11" i="22"/>
  <c r="H11" i="22"/>
  <c r="G11" i="22"/>
  <c r="F11" i="22"/>
  <c r="O11" i="21"/>
  <c r="N11" i="21"/>
  <c r="M11" i="21"/>
  <c r="L11" i="21"/>
  <c r="K11" i="21"/>
  <c r="J11" i="21"/>
  <c r="I11" i="21"/>
  <c r="H11" i="21"/>
  <c r="G11" i="21"/>
  <c r="F11" i="21"/>
  <c r="O11" i="3"/>
  <c r="N11" i="3"/>
  <c r="M11" i="3"/>
  <c r="L11" i="3"/>
  <c r="K11" i="3"/>
  <c r="J11" i="3"/>
  <c r="I11" i="3"/>
  <c r="H11" i="3"/>
  <c r="G11" i="3"/>
  <c r="F11" i="3"/>
  <c r="E11" i="4"/>
  <c r="E11" i="23"/>
  <c r="E11" i="22"/>
  <c r="E11" i="21"/>
  <c r="E11" i="3"/>
  <c r="G11" i="1"/>
  <c r="H11" i="1" s="1"/>
  <c r="I11" i="1" s="1"/>
  <c r="J11" i="1" s="1"/>
  <c r="K11" i="1" s="1"/>
  <c r="L11" i="1" s="1"/>
  <c r="M11" i="1" s="1"/>
  <c r="N11" i="1" s="1"/>
  <c r="O11" i="1" s="1"/>
  <c r="F11" i="1"/>
  <c r="P8" i="23" l="1"/>
  <c r="O8" i="23"/>
  <c r="N8" i="23"/>
  <c r="M8" i="23"/>
  <c r="L8" i="23"/>
  <c r="K8" i="23"/>
  <c r="J8" i="23"/>
  <c r="I8" i="23"/>
  <c r="H8" i="23"/>
  <c r="G8" i="23"/>
  <c r="F8" i="23"/>
  <c r="E8" i="23"/>
  <c r="N22" i="11"/>
  <c r="P238" i="4"/>
  <c r="P238" i="23"/>
  <c r="P238" i="22"/>
  <c r="P238" i="21"/>
  <c r="P238" i="3"/>
  <c r="P232" i="1" l="1"/>
  <c r="P231" i="1"/>
  <c r="P230" i="1"/>
  <c r="B231" i="22"/>
  <c r="O233" i="21"/>
  <c r="N233" i="21"/>
  <c r="M233" i="21"/>
  <c r="L233" i="21"/>
  <c r="K233" i="21"/>
  <c r="J233" i="21"/>
  <c r="I233" i="21"/>
  <c r="H233" i="21"/>
  <c r="G233" i="21"/>
  <c r="F233" i="21"/>
  <c r="E233" i="21"/>
  <c r="D233" i="21"/>
  <c r="C233" i="21"/>
  <c r="O232" i="21"/>
  <c r="N232" i="21"/>
  <c r="M232" i="21"/>
  <c r="L232" i="21"/>
  <c r="K232" i="21"/>
  <c r="J232" i="21"/>
  <c r="I232" i="21"/>
  <c r="H232" i="21"/>
  <c r="G232" i="21"/>
  <c r="F232" i="21"/>
  <c r="E232" i="21"/>
  <c r="D232" i="21"/>
  <c r="C232" i="21"/>
  <c r="O231" i="21"/>
  <c r="N231" i="21"/>
  <c r="M231" i="21"/>
  <c r="L231" i="21"/>
  <c r="K231" i="21"/>
  <c r="J231" i="21"/>
  <c r="I231" i="21"/>
  <c r="H231" i="21"/>
  <c r="G231" i="21"/>
  <c r="F231" i="21"/>
  <c r="E231" i="21"/>
  <c r="D231" i="21"/>
  <c r="C231" i="21"/>
  <c r="B231" i="21"/>
  <c r="O230" i="21"/>
  <c r="N230" i="21"/>
  <c r="M230" i="21"/>
  <c r="L230" i="21"/>
  <c r="K230" i="21"/>
  <c r="J230" i="21"/>
  <c r="I230" i="21"/>
  <c r="H230" i="21"/>
  <c r="G230" i="21"/>
  <c r="F230" i="21"/>
  <c r="E230" i="21"/>
  <c r="D230" i="21"/>
  <c r="C230" i="21"/>
  <c r="O233" i="22"/>
  <c r="N233" i="22"/>
  <c r="M233" i="22"/>
  <c r="L233" i="22"/>
  <c r="K233" i="22"/>
  <c r="J233" i="22"/>
  <c r="I233" i="22"/>
  <c r="H233" i="22"/>
  <c r="G233" i="22"/>
  <c r="F233" i="22"/>
  <c r="E233" i="22"/>
  <c r="D233" i="22"/>
  <c r="C233" i="22"/>
  <c r="O232" i="22"/>
  <c r="N232" i="22"/>
  <c r="M232" i="22"/>
  <c r="L232" i="22"/>
  <c r="K232" i="22"/>
  <c r="J232" i="22"/>
  <c r="I232" i="22"/>
  <c r="H232" i="22"/>
  <c r="G232" i="22"/>
  <c r="F232" i="22"/>
  <c r="E232" i="22"/>
  <c r="D232" i="22"/>
  <c r="C232" i="22"/>
  <c r="O231" i="22"/>
  <c r="N231" i="22"/>
  <c r="M231" i="22"/>
  <c r="L231" i="22"/>
  <c r="K231" i="22"/>
  <c r="J231" i="22"/>
  <c r="I231" i="22"/>
  <c r="H231" i="22"/>
  <c r="G231" i="22"/>
  <c r="F231" i="22"/>
  <c r="E231" i="22"/>
  <c r="D231" i="22"/>
  <c r="C231" i="22"/>
  <c r="O230" i="22"/>
  <c r="N230" i="22"/>
  <c r="M230" i="22"/>
  <c r="L230" i="22"/>
  <c r="K230" i="22"/>
  <c r="J230" i="22"/>
  <c r="I230" i="22"/>
  <c r="H230" i="22"/>
  <c r="G230" i="22"/>
  <c r="F230" i="22"/>
  <c r="E230" i="22"/>
  <c r="D230" i="22"/>
  <c r="C230" i="22"/>
  <c r="O233" i="23"/>
  <c r="N233" i="23"/>
  <c r="M233" i="23"/>
  <c r="L233" i="23"/>
  <c r="K233" i="23"/>
  <c r="J233" i="23"/>
  <c r="I233" i="23"/>
  <c r="H233" i="23"/>
  <c r="G233" i="23"/>
  <c r="F233" i="23"/>
  <c r="E233" i="23"/>
  <c r="D233" i="23"/>
  <c r="C233" i="23"/>
  <c r="O232" i="23"/>
  <c r="N232" i="23"/>
  <c r="M232" i="23"/>
  <c r="L232" i="23"/>
  <c r="K232" i="23"/>
  <c r="J232" i="23"/>
  <c r="I232" i="23"/>
  <c r="H232" i="23"/>
  <c r="G232" i="23"/>
  <c r="F232" i="23"/>
  <c r="E232" i="23"/>
  <c r="D232" i="23"/>
  <c r="C232" i="23"/>
  <c r="O231" i="23"/>
  <c r="N231" i="23"/>
  <c r="M231" i="23"/>
  <c r="L231" i="23"/>
  <c r="K231" i="23"/>
  <c r="J231" i="23"/>
  <c r="I231" i="23"/>
  <c r="H231" i="23"/>
  <c r="G231" i="23"/>
  <c r="F231" i="23"/>
  <c r="E231" i="23"/>
  <c r="D231" i="23"/>
  <c r="C231" i="23"/>
  <c r="B231" i="23"/>
  <c r="O230" i="23"/>
  <c r="N230" i="23"/>
  <c r="M230" i="23"/>
  <c r="L230" i="23"/>
  <c r="K230" i="23"/>
  <c r="J230" i="23"/>
  <c r="I230" i="23"/>
  <c r="H230" i="23"/>
  <c r="G230" i="23"/>
  <c r="F230" i="23"/>
  <c r="E230" i="23"/>
  <c r="D230" i="23"/>
  <c r="C230" i="23"/>
  <c r="O233" i="4"/>
  <c r="N233" i="4"/>
  <c r="M233" i="4"/>
  <c r="L233" i="4"/>
  <c r="K233" i="4"/>
  <c r="J233" i="4"/>
  <c r="I233" i="4"/>
  <c r="H233" i="4"/>
  <c r="G233" i="4"/>
  <c r="F233" i="4"/>
  <c r="E233" i="4"/>
  <c r="D233" i="4"/>
  <c r="C233" i="4"/>
  <c r="O232" i="4"/>
  <c r="N232" i="4"/>
  <c r="M232" i="4"/>
  <c r="L232" i="4"/>
  <c r="K232" i="4"/>
  <c r="J232" i="4"/>
  <c r="I232" i="4"/>
  <c r="H232" i="4"/>
  <c r="G232" i="4"/>
  <c r="F232" i="4"/>
  <c r="E232" i="4"/>
  <c r="D232" i="4"/>
  <c r="C232" i="4"/>
  <c r="O231" i="4"/>
  <c r="N231" i="4"/>
  <c r="M231" i="4"/>
  <c r="L231" i="4"/>
  <c r="K231" i="4"/>
  <c r="J231" i="4"/>
  <c r="I231" i="4"/>
  <c r="H231" i="4"/>
  <c r="G231" i="4"/>
  <c r="F231" i="4"/>
  <c r="E231" i="4"/>
  <c r="D231" i="4"/>
  <c r="C231" i="4"/>
  <c r="O230" i="4"/>
  <c r="N230" i="4"/>
  <c r="M230" i="4"/>
  <c r="L230" i="4"/>
  <c r="K230" i="4"/>
  <c r="J230" i="4"/>
  <c r="I230" i="4"/>
  <c r="H230" i="4"/>
  <c r="G230" i="4"/>
  <c r="F230" i="4"/>
  <c r="E230" i="4"/>
  <c r="D230" i="4"/>
  <c r="C230" i="4"/>
  <c r="O233" i="3"/>
  <c r="N233" i="3"/>
  <c r="M233" i="3"/>
  <c r="L233" i="3"/>
  <c r="K233" i="3"/>
  <c r="J233" i="3"/>
  <c r="I233" i="3"/>
  <c r="H233" i="3"/>
  <c r="G233" i="3"/>
  <c r="F233" i="3"/>
  <c r="E233" i="3"/>
  <c r="D233" i="3"/>
  <c r="C233" i="3"/>
  <c r="O232" i="3"/>
  <c r="N232" i="3"/>
  <c r="M232" i="3"/>
  <c r="L232" i="3"/>
  <c r="K232" i="3"/>
  <c r="J232" i="3"/>
  <c r="I232" i="3"/>
  <c r="H232" i="3"/>
  <c r="G232" i="3"/>
  <c r="F232" i="3"/>
  <c r="E232" i="3"/>
  <c r="D232" i="3"/>
  <c r="C232" i="3"/>
  <c r="O231" i="3"/>
  <c r="N231" i="3"/>
  <c r="M231" i="3"/>
  <c r="L231" i="3"/>
  <c r="K231" i="3"/>
  <c r="J231" i="3"/>
  <c r="I231" i="3"/>
  <c r="H231" i="3"/>
  <c r="G231" i="3"/>
  <c r="F231" i="3"/>
  <c r="E231" i="3"/>
  <c r="D231" i="3"/>
  <c r="C231" i="3"/>
  <c r="B231" i="3"/>
  <c r="O230" i="3"/>
  <c r="N230" i="3"/>
  <c r="M230" i="3"/>
  <c r="L230" i="3"/>
  <c r="K230" i="3"/>
  <c r="J230" i="3"/>
  <c r="I230" i="3"/>
  <c r="H230" i="3"/>
  <c r="G230" i="3"/>
  <c r="F230" i="3"/>
  <c r="E230" i="3"/>
  <c r="D230" i="3"/>
  <c r="C230" i="3"/>
  <c r="B231" i="4" l="1"/>
  <c r="B232" i="21"/>
  <c r="B232" i="22"/>
  <c r="B232" i="23"/>
  <c r="B232" i="4"/>
  <c r="B232" i="3"/>
  <c r="B230" i="21"/>
  <c r="B230" i="23"/>
  <c r="B230" i="3"/>
  <c r="B230" i="22"/>
  <c r="B230" i="4"/>
  <c r="P230" i="3"/>
  <c r="P231" i="3"/>
  <c r="P232" i="3"/>
  <c r="P233" i="3"/>
  <c r="P230" i="4"/>
  <c r="P231" i="4"/>
  <c r="P232" i="4"/>
  <c r="P233" i="4"/>
  <c r="P230" i="23"/>
  <c r="P231" i="23"/>
  <c r="P232" i="23"/>
  <c r="P233" i="23"/>
  <c r="P230" i="22"/>
  <c r="P231" i="22"/>
  <c r="P232" i="22"/>
  <c r="P233" i="22"/>
  <c r="P230" i="21"/>
  <c r="P231" i="21"/>
  <c r="P232" i="21"/>
  <c r="P233" i="21"/>
  <c r="O234" i="21"/>
  <c r="N234" i="21"/>
  <c r="M234" i="21"/>
  <c r="L234" i="21"/>
  <c r="K234" i="21"/>
  <c r="J234" i="21"/>
  <c r="I234" i="21"/>
  <c r="H234" i="21"/>
  <c r="G234" i="21"/>
  <c r="F234" i="21"/>
  <c r="E234" i="21"/>
  <c r="D234" i="21"/>
  <c r="C234" i="21"/>
  <c r="O229" i="21"/>
  <c r="N229" i="21"/>
  <c r="M229" i="21"/>
  <c r="L229" i="21"/>
  <c r="K229" i="21"/>
  <c r="J229" i="21"/>
  <c r="I229" i="21"/>
  <c r="H229" i="21"/>
  <c r="G229" i="21"/>
  <c r="F229" i="21"/>
  <c r="E229" i="21"/>
  <c r="D229" i="21"/>
  <c r="C229" i="21"/>
  <c r="O228" i="21"/>
  <c r="N228" i="21"/>
  <c r="M228" i="21"/>
  <c r="L228" i="21"/>
  <c r="K228" i="21"/>
  <c r="J228" i="21"/>
  <c r="I228" i="21"/>
  <c r="H228" i="21"/>
  <c r="G228" i="21"/>
  <c r="F228" i="21"/>
  <c r="E228" i="21"/>
  <c r="D228" i="21"/>
  <c r="C228" i="21"/>
  <c r="O227" i="21"/>
  <c r="N227" i="21"/>
  <c r="M227" i="21"/>
  <c r="L227" i="21"/>
  <c r="K227" i="21"/>
  <c r="J227" i="21"/>
  <c r="I227" i="21"/>
  <c r="H227" i="21"/>
  <c r="G227" i="21"/>
  <c r="F227" i="21"/>
  <c r="E227" i="21"/>
  <c r="D227" i="21"/>
  <c r="C227" i="21"/>
  <c r="O226" i="21"/>
  <c r="N226" i="21"/>
  <c r="M226" i="21"/>
  <c r="L226" i="21"/>
  <c r="K226" i="21"/>
  <c r="J226" i="21"/>
  <c r="I226" i="21"/>
  <c r="H226" i="21"/>
  <c r="G226" i="21"/>
  <c r="F226" i="21"/>
  <c r="E226" i="21"/>
  <c r="D226" i="21"/>
  <c r="C226" i="21"/>
  <c r="O225" i="21"/>
  <c r="N225" i="21"/>
  <c r="M225" i="21"/>
  <c r="L225" i="21"/>
  <c r="K225" i="21"/>
  <c r="J225" i="21"/>
  <c r="I225" i="21"/>
  <c r="H225" i="21"/>
  <c r="G225" i="21"/>
  <c r="F225" i="21"/>
  <c r="E225" i="21"/>
  <c r="D225" i="21"/>
  <c r="C225" i="21"/>
  <c r="O224" i="21"/>
  <c r="N224" i="21"/>
  <c r="M224" i="21"/>
  <c r="L224" i="21"/>
  <c r="K224" i="21"/>
  <c r="J224" i="21"/>
  <c r="I224" i="21"/>
  <c r="H224" i="21"/>
  <c r="G224" i="21"/>
  <c r="F224" i="21"/>
  <c r="E224" i="21"/>
  <c r="D224" i="21"/>
  <c r="C224" i="21"/>
  <c r="O223" i="21"/>
  <c r="N223" i="21"/>
  <c r="M223" i="21"/>
  <c r="L223" i="21"/>
  <c r="K223" i="21"/>
  <c r="J223" i="21"/>
  <c r="I223" i="21"/>
  <c r="H223" i="21"/>
  <c r="G223" i="21"/>
  <c r="F223" i="21"/>
  <c r="E223" i="21"/>
  <c r="D223" i="21"/>
  <c r="C223" i="21"/>
  <c r="O222" i="21"/>
  <c r="N222" i="21"/>
  <c r="M222" i="21"/>
  <c r="L222" i="21"/>
  <c r="K222" i="21"/>
  <c r="J222" i="21"/>
  <c r="I222" i="21"/>
  <c r="H222" i="21"/>
  <c r="G222" i="21"/>
  <c r="F222" i="21"/>
  <c r="E222" i="21"/>
  <c r="D222" i="21"/>
  <c r="C222" i="21"/>
  <c r="O221" i="21"/>
  <c r="N221" i="21"/>
  <c r="M221" i="21"/>
  <c r="L221" i="21"/>
  <c r="K221" i="21"/>
  <c r="J221" i="21"/>
  <c r="I221" i="21"/>
  <c r="H221" i="21"/>
  <c r="G221" i="21"/>
  <c r="F221" i="21"/>
  <c r="E221" i="21"/>
  <c r="D221" i="21"/>
  <c r="C221" i="21"/>
  <c r="O220" i="21"/>
  <c r="N220" i="21"/>
  <c r="M220" i="21"/>
  <c r="L220" i="21"/>
  <c r="K220" i="21"/>
  <c r="J220" i="21"/>
  <c r="I220" i="21"/>
  <c r="H220" i="21"/>
  <c r="G220" i="21"/>
  <c r="F220" i="21"/>
  <c r="E220" i="21"/>
  <c r="D220" i="21"/>
  <c r="C220" i="21"/>
  <c r="O219" i="21"/>
  <c r="N219" i="21"/>
  <c r="M219" i="21"/>
  <c r="L219" i="21"/>
  <c r="K219" i="21"/>
  <c r="J219" i="21"/>
  <c r="I219" i="21"/>
  <c r="H219" i="21"/>
  <c r="G219" i="21"/>
  <c r="F219" i="21"/>
  <c r="E219" i="21"/>
  <c r="D219" i="21"/>
  <c r="C219" i="21"/>
  <c r="O218" i="21"/>
  <c r="N218" i="21"/>
  <c r="M218" i="21"/>
  <c r="L218" i="21"/>
  <c r="K218" i="21"/>
  <c r="J218" i="21"/>
  <c r="I218" i="21"/>
  <c r="H218" i="21"/>
  <c r="G218" i="21"/>
  <c r="F218" i="21"/>
  <c r="E218" i="21"/>
  <c r="D218" i="21"/>
  <c r="C218" i="21"/>
  <c r="O217" i="21"/>
  <c r="N217" i="21"/>
  <c r="M217" i="21"/>
  <c r="L217" i="21"/>
  <c r="K217" i="21"/>
  <c r="J217" i="21"/>
  <c r="I217" i="21"/>
  <c r="H217" i="21"/>
  <c r="G217" i="21"/>
  <c r="F217" i="21"/>
  <c r="E217" i="21"/>
  <c r="D217" i="21"/>
  <c r="C217" i="21"/>
  <c r="O216" i="21"/>
  <c r="N216" i="21"/>
  <c r="M216" i="21"/>
  <c r="L216" i="21"/>
  <c r="K216" i="21"/>
  <c r="J216" i="21"/>
  <c r="I216" i="21"/>
  <c r="H216" i="21"/>
  <c r="G216" i="21"/>
  <c r="F216" i="21"/>
  <c r="E216" i="21"/>
  <c r="D216" i="21"/>
  <c r="C216" i="21"/>
  <c r="O215" i="21"/>
  <c r="N215" i="21"/>
  <c r="M215" i="21"/>
  <c r="L215" i="21"/>
  <c r="K215" i="21"/>
  <c r="J215" i="21"/>
  <c r="I215" i="21"/>
  <c r="H215" i="21"/>
  <c r="G215" i="21"/>
  <c r="F215" i="21"/>
  <c r="E215" i="21"/>
  <c r="D215" i="21"/>
  <c r="C215" i="21"/>
  <c r="O214" i="21"/>
  <c r="N214" i="21"/>
  <c r="M214" i="21"/>
  <c r="L214" i="21"/>
  <c r="K214" i="21"/>
  <c r="J214" i="21"/>
  <c r="I214" i="21"/>
  <c r="H214" i="21"/>
  <c r="G214" i="21"/>
  <c r="F214" i="21"/>
  <c r="E214" i="21"/>
  <c r="D214" i="21"/>
  <c r="C214" i="21"/>
  <c r="O213" i="21"/>
  <c r="N213" i="21"/>
  <c r="M213" i="21"/>
  <c r="L213" i="21"/>
  <c r="K213" i="21"/>
  <c r="J213" i="21"/>
  <c r="I213" i="21"/>
  <c r="H213" i="21"/>
  <c r="G213" i="21"/>
  <c r="F213" i="21"/>
  <c r="E213" i="21"/>
  <c r="D213" i="21"/>
  <c r="C213" i="21"/>
  <c r="O212" i="21"/>
  <c r="N212" i="21"/>
  <c r="M212" i="21"/>
  <c r="L212" i="21"/>
  <c r="K212" i="21"/>
  <c r="J212" i="21"/>
  <c r="I212" i="21"/>
  <c r="H212" i="21"/>
  <c r="G212" i="21"/>
  <c r="F212" i="21"/>
  <c r="E212" i="21"/>
  <c r="D212" i="21"/>
  <c r="C212" i="21"/>
  <c r="O211" i="21"/>
  <c r="N211" i="21"/>
  <c r="M211" i="21"/>
  <c r="L211" i="21"/>
  <c r="K211" i="21"/>
  <c r="J211" i="21"/>
  <c r="I211" i="21"/>
  <c r="H211" i="21"/>
  <c r="G211" i="21"/>
  <c r="F211" i="21"/>
  <c r="E211" i="21"/>
  <c r="D211" i="21"/>
  <c r="C211" i="21"/>
  <c r="O210" i="21"/>
  <c r="N210" i="21"/>
  <c r="M210" i="21"/>
  <c r="L210" i="21"/>
  <c r="K210" i="21"/>
  <c r="J210" i="21"/>
  <c r="I210" i="21"/>
  <c r="H210" i="21"/>
  <c r="G210" i="21"/>
  <c r="F210" i="21"/>
  <c r="E210" i="21"/>
  <c r="D210" i="21"/>
  <c r="C210" i="21"/>
  <c r="O209" i="21"/>
  <c r="N209" i="21"/>
  <c r="M209" i="21"/>
  <c r="L209" i="21"/>
  <c r="K209" i="21"/>
  <c r="J209" i="21"/>
  <c r="I209" i="21"/>
  <c r="H209" i="21"/>
  <c r="G209" i="21"/>
  <c r="F209" i="21"/>
  <c r="E209" i="21"/>
  <c r="D209" i="21"/>
  <c r="C209" i="21"/>
  <c r="O208" i="21"/>
  <c r="N208" i="21"/>
  <c r="M208" i="21"/>
  <c r="L208" i="21"/>
  <c r="K208" i="21"/>
  <c r="J208" i="21"/>
  <c r="I208" i="21"/>
  <c r="H208" i="21"/>
  <c r="G208" i="21"/>
  <c r="F208" i="21"/>
  <c r="E208" i="21"/>
  <c r="D208" i="21"/>
  <c r="C208" i="21"/>
  <c r="O207" i="21"/>
  <c r="N207" i="21"/>
  <c r="M207" i="21"/>
  <c r="L207" i="21"/>
  <c r="K207" i="21"/>
  <c r="J207" i="21"/>
  <c r="I207" i="21"/>
  <c r="H207" i="21"/>
  <c r="G207" i="21"/>
  <c r="F207" i="21"/>
  <c r="E207" i="21"/>
  <c r="D207" i="21"/>
  <c r="C207" i="21"/>
  <c r="O206" i="21"/>
  <c r="N206" i="21"/>
  <c r="M206" i="21"/>
  <c r="L206" i="21"/>
  <c r="K206" i="21"/>
  <c r="J206" i="21"/>
  <c r="I206" i="21"/>
  <c r="H206" i="21"/>
  <c r="G206" i="21"/>
  <c r="F206" i="21"/>
  <c r="E206" i="21"/>
  <c r="D206" i="21"/>
  <c r="C206" i="21"/>
  <c r="O205" i="21"/>
  <c r="N205" i="21"/>
  <c r="M205" i="21"/>
  <c r="L205" i="21"/>
  <c r="K205" i="21"/>
  <c r="J205" i="21"/>
  <c r="I205" i="21"/>
  <c r="H205" i="21"/>
  <c r="G205" i="21"/>
  <c r="F205" i="21"/>
  <c r="E205" i="21"/>
  <c r="D205" i="21"/>
  <c r="C205" i="21"/>
  <c r="O204" i="21"/>
  <c r="N204" i="21"/>
  <c r="M204" i="21"/>
  <c r="L204" i="21"/>
  <c r="K204" i="21"/>
  <c r="J204" i="21"/>
  <c r="I204" i="21"/>
  <c r="H204" i="21"/>
  <c r="G204" i="21"/>
  <c r="F204" i="21"/>
  <c r="E204" i="21"/>
  <c r="D204" i="21"/>
  <c r="C204" i="21"/>
  <c r="O203" i="21"/>
  <c r="N203" i="21"/>
  <c r="M203" i="21"/>
  <c r="L203" i="21"/>
  <c r="K203" i="21"/>
  <c r="J203" i="21"/>
  <c r="I203" i="21"/>
  <c r="H203" i="21"/>
  <c r="G203" i="21"/>
  <c r="F203" i="21"/>
  <c r="E203" i="21"/>
  <c r="D203" i="21"/>
  <c r="C203" i="21"/>
  <c r="O202" i="21"/>
  <c r="N202" i="21"/>
  <c r="M202" i="21"/>
  <c r="L202" i="21"/>
  <c r="K202" i="21"/>
  <c r="J202" i="21"/>
  <c r="I202" i="21"/>
  <c r="H202" i="21"/>
  <c r="G202" i="21"/>
  <c r="F202" i="21"/>
  <c r="E202" i="21"/>
  <c r="D202" i="21"/>
  <c r="C202" i="21"/>
  <c r="O201" i="21"/>
  <c r="N201" i="21"/>
  <c r="M201" i="21"/>
  <c r="L201" i="21"/>
  <c r="K201" i="21"/>
  <c r="J201" i="21"/>
  <c r="I201" i="21"/>
  <c r="H201" i="21"/>
  <c r="G201" i="21"/>
  <c r="F201" i="21"/>
  <c r="E201" i="21"/>
  <c r="D201" i="21"/>
  <c r="C201" i="21"/>
  <c r="O200" i="21"/>
  <c r="N200" i="21"/>
  <c r="M200" i="21"/>
  <c r="L200" i="21"/>
  <c r="K200" i="21"/>
  <c r="J200" i="21"/>
  <c r="I200" i="21"/>
  <c r="H200" i="21"/>
  <c r="G200" i="21"/>
  <c r="F200" i="21"/>
  <c r="E200" i="21"/>
  <c r="D200" i="21"/>
  <c r="C200" i="21"/>
  <c r="O199" i="21"/>
  <c r="N199" i="21"/>
  <c r="M199" i="21"/>
  <c r="L199" i="21"/>
  <c r="K199" i="21"/>
  <c r="J199" i="21"/>
  <c r="I199" i="21"/>
  <c r="H199" i="21"/>
  <c r="G199" i="21"/>
  <c r="F199" i="21"/>
  <c r="E199" i="21"/>
  <c r="D199" i="21"/>
  <c r="C199" i="21"/>
  <c r="O198" i="21"/>
  <c r="N198" i="21"/>
  <c r="M198" i="21"/>
  <c r="L198" i="21"/>
  <c r="K198" i="21"/>
  <c r="J198" i="21"/>
  <c r="I198" i="21"/>
  <c r="H198" i="21"/>
  <c r="G198" i="21"/>
  <c r="F198" i="21"/>
  <c r="E198" i="21"/>
  <c r="D198" i="21"/>
  <c r="C198" i="21"/>
  <c r="O197" i="21"/>
  <c r="N197" i="21"/>
  <c r="M197" i="21"/>
  <c r="L197" i="21"/>
  <c r="K197" i="21"/>
  <c r="J197" i="21"/>
  <c r="I197" i="21"/>
  <c r="H197" i="21"/>
  <c r="G197" i="21"/>
  <c r="F197" i="21"/>
  <c r="E197" i="21"/>
  <c r="D197" i="21"/>
  <c r="C197" i="21"/>
  <c r="O196" i="21"/>
  <c r="N196" i="21"/>
  <c r="M196" i="21"/>
  <c r="L196" i="21"/>
  <c r="K196" i="21"/>
  <c r="J196" i="21"/>
  <c r="I196" i="21"/>
  <c r="H196" i="21"/>
  <c r="G196" i="21"/>
  <c r="F196" i="21"/>
  <c r="E196" i="21"/>
  <c r="D196" i="21"/>
  <c r="C196" i="21"/>
  <c r="O195" i="21"/>
  <c r="N195" i="21"/>
  <c r="M195" i="21"/>
  <c r="L195" i="21"/>
  <c r="K195" i="21"/>
  <c r="J195" i="21"/>
  <c r="I195" i="21"/>
  <c r="H195" i="21"/>
  <c r="G195" i="21"/>
  <c r="F195" i="21"/>
  <c r="E195" i="21"/>
  <c r="D195" i="21"/>
  <c r="C195" i="21"/>
  <c r="O194" i="21"/>
  <c r="N194" i="21"/>
  <c r="M194" i="21"/>
  <c r="L194" i="21"/>
  <c r="K194" i="21"/>
  <c r="J194" i="21"/>
  <c r="I194" i="21"/>
  <c r="H194" i="21"/>
  <c r="G194" i="21"/>
  <c r="F194" i="21"/>
  <c r="E194" i="21"/>
  <c r="D194" i="21"/>
  <c r="C194" i="21"/>
  <c r="O193" i="21"/>
  <c r="N193" i="21"/>
  <c r="M193" i="21"/>
  <c r="L193" i="21"/>
  <c r="K193" i="21"/>
  <c r="J193" i="21"/>
  <c r="I193" i="21"/>
  <c r="H193" i="21"/>
  <c r="G193" i="21"/>
  <c r="F193" i="21"/>
  <c r="E193" i="21"/>
  <c r="D193" i="21"/>
  <c r="C193" i="21"/>
  <c r="O192" i="21"/>
  <c r="N192" i="21"/>
  <c r="M192" i="21"/>
  <c r="L192" i="21"/>
  <c r="K192" i="21"/>
  <c r="J192" i="21"/>
  <c r="I192" i="21"/>
  <c r="H192" i="21"/>
  <c r="G192" i="21"/>
  <c r="F192" i="21"/>
  <c r="E192" i="21"/>
  <c r="D192" i="21"/>
  <c r="C192" i="21"/>
  <c r="B192" i="21"/>
  <c r="O191" i="21"/>
  <c r="N191" i="21"/>
  <c r="M191" i="21"/>
  <c r="L191" i="21"/>
  <c r="K191" i="21"/>
  <c r="J191" i="21"/>
  <c r="I191" i="21"/>
  <c r="H191" i="21"/>
  <c r="G191" i="21"/>
  <c r="F191" i="21"/>
  <c r="E191" i="21"/>
  <c r="D191" i="21"/>
  <c r="C191" i="21"/>
  <c r="O190" i="21"/>
  <c r="N190" i="21"/>
  <c r="M190" i="21"/>
  <c r="L190" i="21"/>
  <c r="K190" i="21"/>
  <c r="J190" i="21"/>
  <c r="I190" i="21"/>
  <c r="H190" i="21"/>
  <c r="G190" i="21"/>
  <c r="F190" i="21"/>
  <c r="E190" i="21"/>
  <c r="D190" i="21"/>
  <c r="C190" i="21"/>
  <c r="O189" i="21"/>
  <c r="N189" i="21"/>
  <c r="M189" i="21"/>
  <c r="L189" i="21"/>
  <c r="K189" i="21"/>
  <c r="J189" i="21"/>
  <c r="I189" i="21"/>
  <c r="H189" i="21"/>
  <c r="G189" i="21"/>
  <c r="F189" i="21"/>
  <c r="E189" i="21"/>
  <c r="D189" i="21"/>
  <c r="C189" i="21"/>
  <c r="O188" i="21"/>
  <c r="N188" i="21"/>
  <c r="M188" i="21"/>
  <c r="L188" i="21"/>
  <c r="K188" i="21"/>
  <c r="J188" i="21"/>
  <c r="I188" i="21"/>
  <c r="H188" i="21"/>
  <c r="G188" i="21"/>
  <c r="F188" i="21"/>
  <c r="E188" i="21"/>
  <c r="D188" i="21"/>
  <c r="C188" i="21"/>
  <c r="O187" i="21"/>
  <c r="N187" i="21"/>
  <c r="M187" i="21"/>
  <c r="L187" i="21"/>
  <c r="K187" i="21"/>
  <c r="J187" i="21"/>
  <c r="I187" i="21"/>
  <c r="H187" i="21"/>
  <c r="G187" i="21"/>
  <c r="F187" i="21"/>
  <c r="E187" i="21"/>
  <c r="D187" i="21"/>
  <c r="C187" i="21"/>
  <c r="O186" i="21"/>
  <c r="N186" i="21"/>
  <c r="M186" i="21"/>
  <c r="L186" i="21"/>
  <c r="K186" i="21"/>
  <c r="J186" i="21"/>
  <c r="I186" i="21"/>
  <c r="H186" i="21"/>
  <c r="G186" i="21"/>
  <c r="F186" i="21"/>
  <c r="E186" i="21"/>
  <c r="D186" i="21"/>
  <c r="C186" i="21"/>
  <c r="O185" i="21"/>
  <c r="N185" i="21"/>
  <c r="M185" i="21"/>
  <c r="L185" i="21"/>
  <c r="K185" i="21"/>
  <c r="J185" i="21"/>
  <c r="I185" i="21"/>
  <c r="H185" i="21"/>
  <c r="G185" i="21"/>
  <c r="F185" i="21"/>
  <c r="E185" i="21"/>
  <c r="D185" i="21"/>
  <c r="C185" i="21"/>
  <c r="O184" i="21"/>
  <c r="N184" i="21"/>
  <c r="M184" i="21"/>
  <c r="L184" i="21"/>
  <c r="K184" i="21"/>
  <c r="J184" i="21"/>
  <c r="I184" i="21"/>
  <c r="H184" i="21"/>
  <c r="G184" i="21"/>
  <c r="F184" i="21"/>
  <c r="E184" i="21"/>
  <c r="D184" i="21"/>
  <c r="C184" i="21"/>
  <c r="O183" i="21"/>
  <c r="N183" i="21"/>
  <c r="M183" i="21"/>
  <c r="L183" i="21"/>
  <c r="K183" i="21"/>
  <c r="J183" i="21"/>
  <c r="I183" i="21"/>
  <c r="H183" i="21"/>
  <c r="G183" i="21"/>
  <c r="F183" i="21"/>
  <c r="E183" i="21"/>
  <c r="D183" i="21"/>
  <c r="C183" i="21"/>
  <c r="O182" i="21"/>
  <c r="N182" i="21"/>
  <c r="M182" i="21"/>
  <c r="L182" i="21"/>
  <c r="K182" i="21"/>
  <c r="J182" i="21"/>
  <c r="I182" i="21"/>
  <c r="H182" i="21"/>
  <c r="G182" i="21"/>
  <c r="F182" i="21"/>
  <c r="E182" i="21"/>
  <c r="D182" i="21"/>
  <c r="C182" i="21"/>
  <c r="O181" i="21"/>
  <c r="N181" i="21"/>
  <c r="M181" i="21"/>
  <c r="L181" i="21"/>
  <c r="K181" i="21"/>
  <c r="J181" i="21"/>
  <c r="I181" i="21"/>
  <c r="H181" i="21"/>
  <c r="G181" i="21"/>
  <c r="F181" i="21"/>
  <c r="E181" i="21"/>
  <c r="D181" i="21"/>
  <c r="C181" i="21"/>
  <c r="O180" i="21"/>
  <c r="N180" i="21"/>
  <c r="M180" i="21"/>
  <c r="L180" i="21"/>
  <c r="K180" i="21"/>
  <c r="J180" i="21"/>
  <c r="I180" i="21"/>
  <c r="H180" i="21"/>
  <c r="G180" i="21"/>
  <c r="F180" i="21"/>
  <c r="E180" i="21"/>
  <c r="D180" i="21"/>
  <c r="C180" i="21"/>
  <c r="O179" i="21"/>
  <c r="N179" i="21"/>
  <c r="M179" i="21"/>
  <c r="L179" i="21"/>
  <c r="K179" i="21"/>
  <c r="J179" i="21"/>
  <c r="I179" i="21"/>
  <c r="H179" i="21"/>
  <c r="G179" i="21"/>
  <c r="F179" i="21"/>
  <c r="E179" i="21"/>
  <c r="D179" i="21"/>
  <c r="C179" i="21"/>
  <c r="O178" i="21"/>
  <c r="N178" i="21"/>
  <c r="M178" i="21"/>
  <c r="L178" i="21"/>
  <c r="K178" i="21"/>
  <c r="J178" i="21"/>
  <c r="I178" i="21"/>
  <c r="H178" i="21"/>
  <c r="G178" i="21"/>
  <c r="F178" i="21"/>
  <c r="E178" i="21"/>
  <c r="D178" i="21"/>
  <c r="C178" i="21"/>
  <c r="O177" i="21"/>
  <c r="N177" i="21"/>
  <c r="M177" i="21"/>
  <c r="L177" i="21"/>
  <c r="K177" i="21"/>
  <c r="J177" i="21"/>
  <c r="I177" i="21"/>
  <c r="H177" i="21"/>
  <c r="G177" i="21"/>
  <c r="F177" i="21"/>
  <c r="E177" i="21"/>
  <c r="D177" i="21"/>
  <c r="C177" i="21"/>
  <c r="O176" i="21"/>
  <c r="N176" i="21"/>
  <c r="M176" i="21"/>
  <c r="L176" i="21"/>
  <c r="K176" i="21"/>
  <c r="J176" i="21"/>
  <c r="I176" i="21"/>
  <c r="H176" i="21"/>
  <c r="G176" i="21"/>
  <c r="F176" i="21"/>
  <c r="E176" i="21"/>
  <c r="D176" i="21"/>
  <c r="C176" i="21"/>
  <c r="O175" i="21"/>
  <c r="N175" i="21"/>
  <c r="M175" i="21"/>
  <c r="L175" i="21"/>
  <c r="K175" i="21"/>
  <c r="J175" i="21"/>
  <c r="I175" i="21"/>
  <c r="H175" i="21"/>
  <c r="G175" i="21"/>
  <c r="F175" i="21"/>
  <c r="E175" i="21"/>
  <c r="D175" i="21"/>
  <c r="C175" i="21"/>
  <c r="O174" i="21"/>
  <c r="N174" i="21"/>
  <c r="M174" i="21"/>
  <c r="L174" i="21"/>
  <c r="K174" i="21"/>
  <c r="J174" i="21"/>
  <c r="I174" i="21"/>
  <c r="H174" i="21"/>
  <c r="G174" i="21"/>
  <c r="F174" i="21"/>
  <c r="E174" i="21"/>
  <c r="D174" i="21"/>
  <c r="C174" i="21"/>
  <c r="O173" i="21"/>
  <c r="N173" i="21"/>
  <c r="M173" i="21"/>
  <c r="L173" i="21"/>
  <c r="K173" i="21"/>
  <c r="J173" i="21"/>
  <c r="I173" i="21"/>
  <c r="H173" i="21"/>
  <c r="G173" i="21"/>
  <c r="F173" i="21"/>
  <c r="E173" i="21"/>
  <c r="D173" i="21"/>
  <c r="C173" i="21"/>
  <c r="B173" i="21"/>
  <c r="O172" i="21"/>
  <c r="N172" i="21"/>
  <c r="M172" i="21"/>
  <c r="L172" i="21"/>
  <c r="K172" i="21"/>
  <c r="J172" i="21"/>
  <c r="I172" i="21"/>
  <c r="H172" i="21"/>
  <c r="G172" i="21"/>
  <c r="F172" i="21"/>
  <c r="E172" i="21"/>
  <c r="D172" i="21"/>
  <c r="C172" i="21"/>
  <c r="O171" i="21"/>
  <c r="N171" i="21"/>
  <c r="M171" i="21"/>
  <c r="L171" i="21"/>
  <c r="K171" i="21"/>
  <c r="J171" i="21"/>
  <c r="I171" i="21"/>
  <c r="H171" i="21"/>
  <c r="G171" i="21"/>
  <c r="F171" i="21"/>
  <c r="E171" i="21"/>
  <c r="D171" i="21"/>
  <c r="C171" i="21"/>
  <c r="O170" i="21"/>
  <c r="N170" i="21"/>
  <c r="M170" i="21"/>
  <c r="L170" i="21"/>
  <c r="K170" i="21"/>
  <c r="J170" i="21"/>
  <c r="I170" i="21"/>
  <c r="H170" i="21"/>
  <c r="G170" i="21"/>
  <c r="F170" i="21"/>
  <c r="E170" i="21"/>
  <c r="D170" i="21"/>
  <c r="C170" i="21"/>
  <c r="O169" i="21"/>
  <c r="N169" i="21"/>
  <c r="M169" i="21"/>
  <c r="L169" i="21"/>
  <c r="K169" i="21"/>
  <c r="J169" i="21"/>
  <c r="I169" i="21"/>
  <c r="H169" i="21"/>
  <c r="G169" i="21"/>
  <c r="F169" i="21"/>
  <c r="E169" i="21"/>
  <c r="D169" i="21"/>
  <c r="C169" i="21"/>
  <c r="O168" i="21"/>
  <c r="N168" i="21"/>
  <c r="M168" i="21"/>
  <c r="L168" i="21"/>
  <c r="K168" i="21"/>
  <c r="J168" i="21"/>
  <c r="I168" i="21"/>
  <c r="H168" i="21"/>
  <c r="G168" i="21"/>
  <c r="F168" i="21"/>
  <c r="E168" i="21"/>
  <c r="D168" i="21"/>
  <c r="C168" i="21"/>
  <c r="O167" i="21"/>
  <c r="N167" i="21"/>
  <c r="M167" i="21"/>
  <c r="L167" i="21"/>
  <c r="K167" i="21"/>
  <c r="J167" i="21"/>
  <c r="I167" i="21"/>
  <c r="H167" i="21"/>
  <c r="G167" i="21"/>
  <c r="F167" i="21"/>
  <c r="E167" i="21"/>
  <c r="D167" i="21"/>
  <c r="C167" i="21"/>
  <c r="O166" i="21"/>
  <c r="N166" i="21"/>
  <c r="M166" i="21"/>
  <c r="L166" i="21"/>
  <c r="K166" i="21"/>
  <c r="J166" i="21"/>
  <c r="I166" i="21"/>
  <c r="H166" i="21"/>
  <c r="G166" i="21"/>
  <c r="F166" i="21"/>
  <c r="E166" i="21"/>
  <c r="D166" i="21"/>
  <c r="C166" i="21"/>
  <c r="O165" i="21"/>
  <c r="N165" i="21"/>
  <c r="M165" i="21"/>
  <c r="L165" i="21"/>
  <c r="K165" i="21"/>
  <c r="J165" i="21"/>
  <c r="I165" i="21"/>
  <c r="H165" i="21"/>
  <c r="G165" i="21"/>
  <c r="F165" i="21"/>
  <c r="E165" i="21"/>
  <c r="D165" i="21"/>
  <c r="C165" i="21"/>
  <c r="O164" i="21"/>
  <c r="N164" i="21"/>
  <c r="M164" i="21"/>
  <c r="L164" i="21"/>
  <c r="K164" i="21"/>
  <c r="J164" i="21"/>
  <c r="I164" i="21"/>
  <c r="H164" i="21"/>
  <c r="G164" i="21"/>
  <c r="F164" i="21"/>
  <c r="E164" i="21"/>
  <c r="D164" i="21"/>
  <c r="C164" i="21"/>
  <c r="O163" i="21"/>
  <c r="N163" i="21"/>
  <c r="M163" i="21"/>
  <c r="L163" i="21"/>
  <c r="K163" i="21"/>
  <c r="J163" i="21"/>
  <c r="I163" i="21"/>
  <c r="H163" i="21"/>
  <c r="G163" i="21"/>
  <c r="F163" i="21"/>
  <c r="E163" i="21"/>
  <c r="D163" i="21"/>
  <c r="C163" i="21"/>
  <c r="O162" i="21"/>
  <c r="N162" i="21"/>
  <c r="M162" i="21"/>
  <c r="L162" i="21"/>
  <c r="K162" i="21"/>
  <c r="J162" i="21"/>
  <c r="I162" i="21"/>
  <c r="H162" i="21"/>
  <c r="G162" i="21"/>
  <c r="F162" i="21"/>
  <c r="E162" i="21"/>
  <c r="D162" i="21"/>
  <c r="C162" i="21"/>
  <c r="O161" i="21"/>
  <c r="N161" i="21"/>
  <c r="M161" i="21"/>
  <c r="L161" i="21"/>
  <c r="K161" i="21"/>
  <c r="J161" i="21"/>
  <c r="I161" i="21"/>
  <c r="H161" i="21"/>
  <c r="G161" i="21"/>
  <c r="F161" i="21"/>
  <c r="E161" i="21"/>
  <c r="D161" i="21"/>
  <c r="C161" i="21"/>
  <c r="O160" i="21"/>
  <c r="N160" i="21"/>
  <c r="M160" i="21"/>
  <c r="L160" i="21"/>
  <c r="K160" i="21"/>
  <c r="J160" i="21"/>
  <c r="I160" i="21"/>
  <c r="H160" i="21"/>
  <c r="G160" i="21"/>
  <c r="F160" i="21"/>
  <c r="E160" i="21"/>
  <c r="D160" i="21"/>
  <c r="C160" i="21"/>
  <c r="O159" i="21"/>
  <c r="N159" i="21"/>
  <c r="M159" i="21"/>
  <c r="L159" i="21"/>
  <c r="K159" i="21"/>
  <c r="J159" i="21"/>
  <c r="I159" i="21"/>
  <c r="H159" i="21"/>
  <c r="G159" i="21"/>
  <c r="F159" i="21"/>
  <c r="E159" i="21"/>
  <c r="D159" i="21"/>
  <c r="C159" i="21"/>
  <c r="O158" i="21"/>
  <c r="N158" i="21"/>
  <c r="M158" i="21"/>
  <c r="L158" i="21"/>
  <c r="K158" i="21"/>
  <c r="J158" i="21"/>
  <c r="I158" i="21"/>
  <c r="H158" i="21"/>
  <c r="G158" i="21"/>
  <c r="F158" i="21"/>
  <c r="E158" i="21"/>
  <c r="D158" i="21"/>
  <c r="C158" i="21"/>
  <c r="O157" i="21"/>
  <c r="N157" i="21"/>
  <c r="M157" i="21"/>
  <c r="L157" i="21"/>
  <c r="K157" i="21"/>
  <c r="J157" i="21"/>
  <c r="I157" i="21"/>
  <c r="H157" i="21"/>
  <c r="G157" i="21"/>
  <c r="F157" i="21"/>
  <c r="E157" i="21"/>
  <c r="D157" i="21"/>
  <c r="C157" i="21"/>
  <c r="O156" i="21"/>
  <c r="N156" i="21"/>
  <c r="M156" i="21"/>
  <c r="L156" i="21"/>
  <c r="K156" i="21"/>
  <c r="J156" i="21"/>
  <c r="I156" i="21"/>
  <c r="H156" i="21"/>
  <c r="G156" i="21"/>
  <c r="F156" i="21"/>
  <c r="E156" i="21"/>
  <c r="D156" i="21"/>
  <c r="C156" i="21"/>
  <c r="O155" i="21"/>
  <c r="N155" i="21"/>
  <c r="M155" i="21"/>
  <c r="L155" i="21"/>
  <c r="K155" i="21"/>
  <c r="J155" i="21"/>
  <c r="I155" i="21"/>
  <c r="H155" i="21"/>
  <c r="G155" i="21"/>
  <c r="F155" i="21"/>
  <c r="E155" i="21"/>
  <c r="D155" i="21"/>
  <c r="C155" i="21"/>
  <c r="O154" i="21"/>
  <c r="N154" i="21"/>
  <c r="M154" i="21"/>
  <c r="L154" i="21"/>
  <c r="K154" i="21"/>
  <c r="J154" i="21"/>
  <c r="I154" i="21"/>
  <c r="H154" i="21"/>
  <c r="G154" i="21"/>
  <c r="F154" i="21"/>
  <c r="E154" i="21"/>
  <c r="D154" i="21"/>
  <c r="C154" i="21"/>
  <c r="O153" i="21"/>
  <c r="N153" i="21"/>
  <c r="M153" i="21"/>
  <c r="L153" i="21"/>
  <c r="K153" i="21"/>
  <c r="J153" i="21"/>
  <c r="I153" i="21"/>
  <c r="H153" i="21"/>
  <c r="G153" i="21"/>
  <c r="F153" i="21"/>
  <c r="E153" i="21"/>
  <c r="D153" i="21"/>
  <c r="C153" i="21"/>
  <c r="B153" i="21"/>
  <c r="O152" i="21"/>
  <c r="N152" i="21"/>
  <c r="M152" i="21"/>
  <c r="L152" i="21"/>
  <c r="K152" i="21"/>
  <c r="J152" i="21"/>
  <c r="I152" i="21"/>
  <c r="H152" i="21"/>
  <c r="G152" i="21"/>
  <c r="F152" i="21"/>
  <c r="E152" i="21"/>
  <c r="D152" i="21"/>
  <c r="C152" i="21"/>
  <c r="O151" i="21"/>
  <c r="N151" i="21"/>
  <c r="M151" i="21"/>
  <c r="L151" i="21"/>
  <c r="K151" i="21"/>
  <c r="J151" i="21"/>
  <c r="I151" i="21"/>
  <c r="H151" i="21"/>
  <c r="G151" i="21"/>
  <c r="F151" i="21"/>
  <c r="E151" i="21"/>
  <c r="D151" i="21"/>
  <c r="C151" i="21"/>
  <c r="O150" i="21"/>
  <c r="N150" i="21"/>
  <c r="M150" i="21"/>
  <c r="L150" i="21"/>
  <c r="K150" i="21"/>
  <c r="J150" i="21"/>
  <c r="I150" i="21"/>
  <c r="H150" i="21"/>
  <c r="G150" i="21"/>
  <c r="F150" i="21"/>
  <c r="E150" i="21"/>
  <c r="D150" i="21"/>
  <c r="C150" i="21"/>
  <c r="O149" i="21"/>
  <c r="N149" i="21"/>
  <c r="M149" i="21"/>
  <c r="L149" i="21"/>
  <c r="K149" i="21"/>
  <c r="J149" i="21"/>
  <c r="I149" i="21"/>
  <c r="H149" i="21"/>
  <c r="G149" i="21"/>
  <c r="F149" i="21"/>
  <c r="E149" i="21"/>
  <c r="D149" i="21"/>
  <c r="C149" i="21"/>
  <c r="O148" i="21"/>
  <c r="N148" i="21"/>
  <c r="M148" i="21"/>
  <c r="L148" i="21"/>
  <c r="K148" i="21"/>
  <c r="J148" i="21"/>
  <c r="I148" i="21"/>
  <c r="H148" i="21"/>
  <c r="G148" i="21"/>
  <c r="F148" i="21"/>
  <c r="E148" i="21"/>
  <c r="D148" i="21"/>
  <c r="C148" i="21"/>
  <c r="O147" i="21"/>
  <c r="N147" i="21"/>
  <c r="M147" i="21"/>
  <c r="L147" i="21"/>
  <c r="K147" i="21"/>
  <c r="J147" i="21"/>
  <c r="I147" i="21"/>
  <c r="H147" i="21"/>
  <c r="G147" i="21"/>
  <c r="F147" i="21"/>
  <c r="E147" i="21"/>
  <c r="D147" i="21"/>
  <c r="C147" i="21"/>
  <c r="O146" i="21"/>
  <c r="N146" i="21"/>
  <c r="M146" i="21"/>
  <c r="L146" i="21"/>
  <c r="K146" i="21"/>
  <c r="J146" i="21"/>
  <c r="I146" i="21"/>
  <c r="H146" i="21"/>
  <c r="G146" i="21"/>
  <c r="F146" i="21"/>
  <c r="E146" i="21"/>
  <c r="D146" i="21"/>
  <c r="C146" i="21"/>
  <c r="O145" i="21"/>
  <c r="N145" i="21"/>
  <c r="M145" i="21"/>
  <c r="L145" i="21"/>
  <c r="K145" i="21"/>
  <c r="J145" i="21"/>
  <c r="I145" i="21"/>
  <c r="H145" i="21"/>
  <c r="G145" i="21"/>
  <c r="F145" i="21"/>
  <c r="E145" i="21"/>
  <c r="D145" i="21"/>
  <c r="C145" i="21"/>
  <c r="O144" i="21"/>
  <c r="N144" i="21"/>
  <c r="M144" i="21"/>
  <c r="L144" i="21"/>
  <c r="K144" i="21"/>
  <c r="J144" i="21"/>
  <c r="I144" i="21"/>
  <c r="H144" i="21"/>
  <c r="G144" i="21"/>
  <c r="F144" i="21"/>
  <c r="E144" i="21"/>
  <c r="D144" i="21"/>
  <c r="C144" i="21"/>
  <c r="O143" i="21"/>
  <c r="N143" i="21"/>
  <c r="M143" i="21"/>
  <c r="L143" i="21"/>
  <c r="K143" i="21"/>
  <c r="J143" i="21"/>
  <c r="I143" i="21"/>
  <c r="H143" i="21"/>
  <c r="G143" i="21"/>
  <c r="F143" i="21"/>
  <c r="E143" i="21"/>
  <c r="D143" i="21"/>
  <c r="C143" i="21"/>
  <c r="O142" i="21"/>
  <c r="N142" i="21"/>
  <c r="M142" i="21"/>
  <c r="L142" i="21"/>
  <c r="K142" i="21"/>
  <c r="J142" i="21"/>
  <c r="I142" i="21"/>
  <c r="H142" i="21"/>
  <c r="G142" i="21"/>
  <c r="F142" i="21"/>
  <c r="E142" i="21"/>
  <c r="D142" i="21"/>
  <c r="C142" i="21"/>
  <c r="O141" i="21"/>
  <c r="N141" i="21"/>
  <c r="M141" i="21"/>
  <c r="L141" i="21"/>
  <c r="K141" i="21"/>
  <c r="J141" i="21"/>
  <c r="I141" i="21"/>
  <c r="H141" i="21"/>
  <c r="G141" i="21"/>
  <c r="F141" i="21"/>
  <c r="E141" i="21"/>
  <c r="D141" i="21"/>
  <c r="C141" i="21"/>
  <c r="O140" i="21"/>
  <c r="N140" i="21"/>
  <c r="M140" i="21"/>
  <c r="L140" i="21"/>
  <c r="K140" i="21"/>
  <c r="J140" i="21"/>
  <c r="I140" i="21"/>
  <c r="H140" i="21"/>
  <c r="G140" i="21"/>
  <c r="F140" i="21"/>
  <c r="E140" i="21"/>
  <c r="D140" i="21"/>
  <c r="C140" i="21"/>
  <c r="O139" i="21"/>
  <c r="N139" i="21"/>
  <c r="M139" i="21"/>
  <c r="L139" i="21"/>
  <c r="K139" i="21"/>
  <c r="J139" i="21"/>
  <c r="I139" i="21"/>
  <c r="H139" i="21"/>
  <c r="G139" i="21"/>
  <c r="F139" i="21"/>
  <c r="E139" i="21"/>
  <c r="D139" i="21"/>
  <c r="C139" i="21"/>
  <c r="O138" i="21"/>
  <c r="N138" i="21"/>
  <c r="M138" i="21"/>
  <c r="L138" i="21"/>
  <c r="K138" i="21"/>
  <c r="J138" i="21"/>
  <c r="I138" i="21"/>
  <c r="H138" i="21"/>
  <c r="G138" i="21"/>
  <c r="F138" i="21"/>
  <c r="E138" i="21"/>
  <c r="D138" i="21"/>
  <c r="C138" i="21"/>
  <c r="O137" i="21"/>
  <c r="N137" i="21"/>
  <c r="M137" i="21"/>
  <c r="L137" i="21"/>
  <c r="K137" i="21"/>
  <c r="J137" i="21"/>
  <c r="I137" i="21"/>
  <c r="H137" i="21"/>
  <c r="G137" i="21"/>
  <c r="F137" i="21"/>
  <c r="E137" i="21"/>
  <c r="D137" i="21"/>
  <c r="C137" i="21"/>
  <c r="O136" i="21"/>
  <c r="N136" i="21"/>
  <c r="M136" i="21"/>
  <c r="L136" i="21"/>
  <c r="K136" i="21"/>
  <c r="J136" i="21"/>
  <c r="I136" i="21"/>
  <c r="H136" i="21"/>
  <c r="G136" i="21"/>
  <c r="F136" i="21"/>
  <c r="E136" i="21"/>
  <c r="D136" i="21"/>
  <c r="C136" i="21"/>
  <c r="O135" i="21"/>
  <c r="N135" i="21"/>
  <c r="M135" i="21"/>
  <c r="L135" i="21"/>
  <c r="K135" i="21"/>
  <c r="J135" i="21"/>
  <c r="I135" i="21"/>
  <c r="H135" i="21"/>
  <c r="G135" i="21"/>
  <c r="F135" i="21"/>
  <c r="E135" i="21"/>
  <c r="D135" i="21"/>
  <c r="C135" i="21"/>
  <c r="O134" i="21"/>
  <c r="N134" i="21"/>
  <c r="M134" i="21"/>
  <c r="L134" i="21"/>
  <c r="K134" i="21"/>
  <c r="J134" i="21"/>
  <c r="I134" i="21"/>
  <c r="H134" i="21"/>
  <c r="G134" i="21"/>
  <c r="F134" i="21"/>
  <c r="E134" i="21"/>
  <c r="D134" i="21"/>
  <c r="C134" i="21"/>
  <c r="O133" i="21"/>
  <c r="N133" i="21"/>
  <c r="M133" i="21"/>
  <c r="L133" i="21"/>
  <c r="K133" i="21"/>
  <c r="J133" i="21"/>
  <c r="I133" i="21"/>
  <c r="H133" i="21"/>
  <c r="G133" i="21"/>
  <c r="F133" i="21"/>
  <c r="E133" i="21"/>
  <c r="D133" i="21"/>
  <c r="C133" i="21"/>
  <c r="O132" i="21"/>
  <c r="N132" i="21"/>
  <c r="M132" i="21"/>
  <c r="L132" i="21"/>
  <c r="K132" i="21"/>
  <c r="J132" i="21"/>
  <c r="I132" i="21"/>
  <c r="H132" i="21"/>
  <c r="G132" i="21"/>
  <c r="F132" i="21"/>
  <c r="E132" i="21"/>
  <c r="D132" i="21"/>
  <c r="C132" i="21"/>
  <c r="O131" i="21"/>
  <c r="N131" i="21"/>
  <c r="M131" i="21"/>
  <c r="L131" i="21"/>
  <c r="K131" i="21"/>
  <c r="J131" i="21"/>
  <c r="I131" i="21"/>
  <c r="H131" i="21"/>
  <c r="G131" i="21"/>
  <c r="F131" i="21"/>
  <c r="E131" i="21"/>
  <c r="D131" i="21"/>
  <c r="C131" i="21"/>
  <c r="O130" i="21"/>
  <c r="N130" i="21"/>
  <c r="M130" i="21"/>
  <c r="L130" i="21"/>
  <c r="K130" i="21"/>
  <c r="J130" i="21"/>
  <c r="I130" i="21"/>
  <c r="H130" i="21"/>
  <c r="G130" i="21"/>
  <c r="F130" i="21"/>
  <c r="E130" i="21"/>
  <c r="D130" i="21"/>
  <c r="C130" i="21"/>
  <c r="O129" i="21"/>
  <c r="N129" i="21"/>
  <c r="M129" i="21"/>
  <c r="L129" i="21"/>
  <c r="K129" i="21"/>
  <c r="J129" i="21"/>
  <c r="I129" i="21"/>
  <c r="H129" i="21"/>
  <c r="G129" i="21"/>
  <c r="F129" i="21"/>
  <c r="E129" i="21"/>
  <c r="D129" i="21"/>
  <c r="C129" i="21"/>
  <c r="O128" i="21"/>
  <c r="N128" i="21"/>
  <c r="M128" i="21"/>
  <c r="L128" i="21"/>
  <c r="K128" i="21"/>
  <c r="J128" i="21"/>
  <c r="I128" i="21"/>
  <c r="H128" i="21"/>
  <c r="G128" i="21"/>
  <c r="F128" i="21"/>
  <c r="E128" i="21"/>
  <c r="D128" i="21"/>
  <c r="C128" i="21"/>
  <c r="O127" i="21"/>
  <c r="N127" i="21"/>
  <c r="M127" i="21"/>
  <c r="L127" i="21"/>
  <c r="K127" i="21"/>
  <c r="J127" i="21"/>
  <c r="I127" i="21"/>
  <c r="H127" i="21"/>
  <c r="G127" i="21"/>
  <c r="F127" i="21"/>
  <c r="E127" i="21"/>
  <c r="D127" i="21"/>
  <c r="C127" i="21"/>
  <c r="O126" i="21"/>
  <c r="N126" i="21"/>
  <c r="M126" i="21"/>
  <c r="L126" i="21"/>
  <c r="K126" i="21"/>
  <c r="J126" i="21"/>
  <c r="I126" i="21"/>
  <c r="H126" i="21"/>
  <c r="G126" i="21"/>
  <c r="F126" i="21"/>
  <c r="E126" i="21"/>
  <c r="D126" i="21"/>
  <c r="C126" i="21"/>
  <c r="O125" i="21"/>
  <c r="N125" i="21"/>
  <c r="M125" i="21"/>
  <c r="L125" i="21"/>
  <c r="K125" i="21"/>
  <c r="J125" i="21"/>
  <c r="I125" i="21"/>
  <c r="H125" i="21"/>
  <c r="G125" i="21"/>
  <c r="F125" i="21"/>
  <c r="E125" i="21"/>
  <c r="D125" i="21"/>
  <c r="C125" i="21"/>
  <c r="O124" i="21"/>
  <c r="N124" i="21"/>
  <c r="M124" i="21"/>
  <c r="L124" i="21"/>
  <c r="K124" i="21"/>
  <c r="J124" i="21"/>
  <c r="I124" i="21"/>
  <c r="H124" i="21"/>
  <c r="G124" i="21"/>
  <c r="F124" i="21"/>
  <c r="E124" i="21"/>
  <c r="D124" i="21"/>
  <c r="C124" i="21"/>
  <c r="O123" i="21"/>
  <c r="N123" i="21"/>
  <c r="M123" i="21"/>
  <c r="L123" i="21"/>
  <c r="K123" i="21"/>
  <c r="J123" i="21"/>
  <c r="I123" i="21"/>
  <c r="H123" i="21"/>
  <c r="G123" i="21"/>
  <c r="F123" i="21"/>
  <c r="E123" i="21"/>
  <c r="D123" i="21"/>
  <c r="C123" i="21"/>
  <c r="O122" i="21"/>
  <c r="N122" i="21"/>
  <c r="M122" i="21"/>
  <c r="L122" i="21"/>
  <c r="K122" i="21"/>
  <c r="J122" i="21"/>
  <c r="I122" i="21"/>
  <c r="H122" i="21"/>
  <c r="G122" i="21"/>
  <c r="F122" i="21"/>
  <c r="E122" i="21"/>
  <c r="D122" i="21"/>
  <c r="C122" i="21"/>
  <c r="O121" i="21"/>
  <c r="N121" i="21"/>
  <c r="M121" i="21"/>
  <c r="L121" i="21"/>
  <c r="K121" i="21"/>
  <c r="J121" i="21"/>
  <c r="I121" i="21"/>
  <c r="H121" i="21"/>
  <c r="G121" i="21"/>
  <c r="F121" i="21"/>
  <c r="E121" i="21"/>
  <c r="D121" i="21"/>
  <c r="C121" i="21"/>
  <c r="O120" i="21"/>
  <c r="N120" i="21"/>
  <c r="M120" i="21"/>
  <c r="L120" i="21"/>
  <c r="K120" i="21"/>
  <c r="J120" i="21"/>
  <c r="I120" i="21"/>
  <c r="H120" i="21"/>
  <c r="G120" i="21"/>
  <c r="F120" i="21"/>
  <c r="E120" i="21"/>
  <c r="D120" i="21"/>
  <c r="C120" i="21"/>
  <c r="O119" i="21"/>
  <c r="N119" i="21"/>
  <c r="M119" i="21"/>
  <c r="L119" i="21"/>
  <c r="K119" i="21"/>
  <c r="J119" i="21"/>
  <c r="I119" i="21"/>
  <c r="H119" i="21"/>
  <c r="G119" i="21"/>
  <c r="F119" i="21"/>
  <c r="E119" i="21"/>
  <c r="D119" i="21"/>
  <c r="C119" i="21"/>
  <c r="O118" i="21"/>
  <c r="N118" i="21"/>
  <c r="M118" i="21"/>
  <c r="L118" i="21"/>
  <c r="K118" i="21"/>
  <c r="J118" i="21"/>
  <c r="I118" i="21"/>
  <c r="H118" i="21"/>
  <c r="G118" i="21"/>
  <c r="F118" i="21"/>
  <c r="E118" i="21"/>
  <c r="D118" i="21"/>
  <c r="C118" i="21"/>
  <c r="O117" i="21"/>
  <c r="N117" i="21"/>
  <c r="M117" i="21"/>
  <c r="L117" i="21"/>
  <c r="K117" i="21"/>
  <c r="J117" i="21"/>
  <c r="I117" i="21"/>
  <c r="H117" i="21"/>
  <c r="G117" i="21"/>
  <c r="F117" i="21"/>
  <c r="E117" i="21"/>
  <c r="D117" i="21"/>
  <c r="C117" i="21"/>
  <c r="O116" i="21"/>
  <c r="N116" i="21"/>
  <c r="M116" i="21"/>
  <c r="L116" i="21"/>
  <c r="K116" i="21"/>
  <c r="J116" i="21"/>
  <c r="I116" i="21"/>
  <c r="H116" i="21"/>
  <c r="G116" i="21"/>
  <c r="F116" i="21"/>
  <c r="E116" i="21"/>
  <c r="D116" i="21"/>
  <c r="C116" i="21"/>
  <c r="O115" i="21"/>
  <c r="N115" i="21"/>
  <c r="M115" i="21"/>
  <c r="L115" i="21"/>
  <c r="K115" i="21"/>
  <c r="J115" i="21"/>
  <c r="I115" i="21"/>
  <c r="H115" i="21"/>
  <c r="G115" i="21"/>
  <c r="F115" i="21"/>
  <c r="E115" i="21"/>
  <c r="D115" i="21"/>
  <c r="C115" i="21"/>
  <c r="O114" i="21"/>
  <c r="N114" i="21"/>
  <c r="M114" i="21"/>
  <c r="L114" i="21"/>
  <c r="K114" i="21"/>
  <c r="J114" i="21"/>
  <c r="I114" i="21"/>
  <c r="H114" i="21"/>
  <c r="G114" i="21"/>
  <c r="F114" i="21"/>
  <c r="E114" i="21"/>
  <c r="D114" i="21"/>
  <c r="C114" i="21"/>
  <c r="O113" i="21"/>
  <c r="N113" i="21"/>
  <c r="M113" i="21"/>
  <c r="L113" i="21"/>
  <c r="K113" i="21"/>
  <c r="J113" i="21"/>
  <c r="I113" i="21"/>
  <c r="H113" i="21"/>
  <c r="G113" i="21"/>
  <c r="F113" i="21"/>
  <c r="E113" i="21"/>
  <c r="D113" i="21"/>
  <c r="C113" i="21"/>
  <c r="O112" i="21"/>
  <c r="N112" i="21"/>
  <c r="M112" i="21"/>
  <c r="L112" i="21"/>
  <c r="K112" i="21"/>
  <c r="J112" i="21"/>
  <c r="I112" i="21"/>
  <c r="H112" i="21"/>
  <c r="G112" i="21"/>
  <c r="F112" i="21"/>
  <c r="E112" i="21"/>
  <c r="D112" i="21"/>
  <c r="C112" i="21"/>
  <c r="B112" i="21"/>
  <c r="O111" i="21"/>
  <c r="N111" i="21"/>
  <c r="M111" i="21"/>
  <c r="L111" i="21"/>
  <c r="K111" i="21"/>
  <c r="J111" i="21"/>
  <c r="I111" i="21"/>
  <c r="H111" i="21"/>
  <c r="G111" i="21"/>
  <c r="F111" i="21"/>
  <c r="E111" i="21"/>
  <c r="D111" i="21"/>
  <c r="C111" i="21"/>
  <c r="O110" i="21"/>
  <c r="N110" i="21"/>
  <c r="M110" i="21"/>
  <c r="L110" i="21"/>
  <c r="K110" i="21"/>
  <c r="J110" i="21"/>
  <c r="I110" i="21"/>
  <c r="H110" i="21"/>
  <c r="G110" i="21"/>
  <c r="F110" i="21"/>
  <c r="E110" i="21"/>
  <c r="D110" i="21"/>
  <c r="C110" i="21"/>
  <c r="O109" i="21"/>
  <c r="N109" i="21"/>
  <c r="M109" i="21"/>
  <c r="L109" i="21"/>
  <c r="K109" i="21"/>
  <c r="J109" i="21"/>
  <c r="I109" i="21"/>
  <c r="H109" i="21"/>
  <c r="G109" i="21"/>
  <c r="F109" i="21"/>
  <c r="E109" i="21"/>
  <c r="D109" i="21"/>
  <c r="C109" i="21"/>
  <c r="O108" i="21"/>
  <c r="N108" i="21"/>
  <c r="M108" i="21"/>
  <c r="L108" i="21"/>
  <c r="K108" i="21"/>
  <c r="J108" i="21"/>
  <c r="I108" i="21"/>
  <c r="H108" i="21"/>
  <c r="G108" i="21"/>
  <c r="F108" i="21"/>
  <c r="E108" i="21"/>
  <c r="D108" i="21"/>
  <c r="C108" i="21"/>
  <c r="O107" i="21"/>
  <c r="N107" i="21"/>
  <c r="M107" i="21"/>
  <c r="L107" i="21"/>
  <c r="K107" i="21"/>
  <c r="J107" i="21"/>
  <c r="I107" i="21"/>
  <c r="H107" i="21"/>
  <c r="G107" i="21"/>
  <c r="F107" i="21"/>
  <c r="E107" i="21"/>
  <c r="D107" i="21"/>
  <c r="C107" i="21"/>
  <c r="O106" i="21"/>
  <c r="N106" i="21"/>
  <c r="M106" i="21"/>
  <c r="L106" i="21"/>
  <c r="K106" i="21"/>
  <c r="J106" i="21"/>
  <c r="I106" i="21"/>
  <c r="H106" i="21"/>
  <c r="G106" i="21"/>
  <c r="F106" i="21"/>
  <c r="E106" i="21"/>
  <c r="D106" i="21"/>
  <c r="C106" i="21"/>
  <c r="O105" i="21"/>
  <c r="N105" i="21"/>
  <c r="M105" i="21"/>
  <c r="L105" i="21"/>
  <c r="K105" i="21"/>
  <c r="J105" i="21"/>
  <c r="I105" i="21"/>
  <c r="H105" i="21"/>
  <c r="G105" i="21"/>
  <c r="F105" i="21"/>
  <c r="E105" i="21"/>
  <c r="D105" i="21"/>
  <c r="C105" i="21"/>
  <c r="O104" i="21"/>
  <c r="N104" i="21"/>
  <c r="M104" i="21"/>
  <c r="L104" i="21"/>
  <c r="K104" i="21"/>
  <c r="J104" i="21"/>
  <c r="I104" i="21"/>
  <c r="H104" i="21"/>
  <c r="G104" i="21"/>
  <c r="F104" i="21"/>
  <c r="E104" i="21"/>
  <c r="D104" i="21"/>
  <c r="C104" i="21"/>
  <c r="O103" i="21"/>
  <c r="N103" i="21"/>
  <c r="M103" i="21"/>
  <c r="L103" i="21"/>
  <c r="K103" i="21"/>
  <c r="J103" i="21"/>
  <c r="I103" i="21"/>
  <c r="H103" i="21"/>
  <c r="G103" i="21"/>
  <c r="F103" i="21"/>
  <c r="E103" i="21"/>
  <c r="D103" i="21"/>
  <c r="C103" i="21"/>
  <c r="O102" i="21"/>
  <c r="N102" i="21"/>
  <c r="M102" i="21"/>
  <c r="L102" i="21"/>
  <c r="K102" i="21"/>
  <c r="J102" i="21"/>
  <c r="I102" i="21"/>
  <c r="H102" i="21"/>
  <c r="G102" i="21"/>
  <c r="F102" i="21"/>
  <c r="E102" i="21"/>
  <c r="D102" i="21"/>
  <c r="C102" i="21"/>
  <c r="O101" i="21"/>
  <c r="N101" i="21"/>
  <c r="M101" i="21"/>
  <c r="L101" i="21"/>
  <c r="K101" i="21"/>
  <c r="J101" i="21"/>
  <c r="I101" i="21"/>
  <c r="H101" i="21"/>
  <c r="G101" i="21"/>
  <c r="F101" i="21"/>
  <c r="E101" i="21"/>
  <c r="D101" i="21"/>
  <c r="C101" i="21"/>
  <c r="O100" i="21"/>
  <c r="N100" i="21"/>
  <c r="M100" i="21"/>
  <c r="L100" i="21"/>
  <c r="K100" i="21"/>
  <c r="J100" i="21"/>
  <c r="I100" i="21"/>
  <c r="H100" i="21"/>
  <c r="G100" i="21"/>
  <c r="F100" i="21"/>
  <c r="E100" i="21"/>
  <c r="D100" i="21"/>
  <c r="C100" i="21"/>
  <c r="O99" i="21"/>
  <c r="N99" i="21"/>
  <c r="M99" i="21"/>
  <c r="L99" i="21"/>
  <c r="K99" i="21"/>
  <c r="J99" i="21"/>
  <c r="I99" i="21"/>
  <c r="H99" i="21"/>
  <c r="G99" i="21"/>
  <c r="F99" i="21"/>
  <c r="E99" i="21"/>
  <c r="D99" i="21"/>
  <c r="C99" i="21"/>
  <c r="O98" i="21"/>
  <c r="N98" i="21"/>
  <c r="M98" i="21"/>
  <c r="L98" i="21"/>
  <c r="K98" i="21"/>
  <c r="J98" i="21"/>
  <c r="I98" i="21"/>
  <c r="H98" i="21"/>
  <c r="G98" i="21"/>
  <c r="F98" i="21"/>
  <c r="E98" i="21"/>
  <c r="D98" i="21"/>
  <c r="C98" i="21"/>
  <c r="O97" i="21"/>
  <c r="N97" i="21"/>
  <c r="M97" i="21"/>
  <c r="L97" i="21"/>
  <c r="K97" i="21"/>
  <c r="J97" i="21"/>
  <c r="I97" i="21"/>
  <c r="H97" i="21"/>
  <c r="G97" i="21"/>
  <c r="F97" i="21"/>
  <c r="E97" i="21"/>
  <c r="D97" i="21"/>
  <c r="C97" i="21"/>
  <c r="O96" i="21"/>
  <c r="N96" i="21"/>
  <c r="M96" i="21"/>
  <c r="L96" i="21"/>
  <c r="K96" i="21"/>
  <c r="J96" i="21"/>
  <c r="I96" i="21"/>
  <c r="H96" i="21"/>
  <c r="G96" i="21"/>
  <c r="F96" i="21"/>
  <c r="E96" i="21"/>
  <c r="D96" i="21"/>
  <c r="C96" i="21"/>
  <c r="O95" i="21"/>
  <c r="N95" i="21"/>
  <c r="M95" i="21"/>
  <c r="L95" i="21"/>
  <c r="K95" i="21"/>
  <c r="J95" i="21"/>
  <c r="I95" i="21"/>
  <c r="H95" i="21"/>
  <c r="G95" i="21"/>
  <c r="F95" i="21"/>
  <c r="E95" i="21"/>
  <c r="D95" i="21"/>
  <c r="C95" i="21"/>
  <c r="O94" i="21"/>
  <c r="N94" i="21"/>
  <c r="M94" i="21"/>
  <c r="L94" i="21"/>
  <c r="K94" i="21"/>
  <c r="J94" i="21"/>
  <c r="I94" i="21"/>
  <c r="H94" i="21"/>
  <c r="G94" i="21"/>
  <c r="F94" i="21"/>
  <c r="E94" i="21"/>
  <c r="D94" i="21"/>
  <c r="C94" i="21"/>
  <c r="O93" i="21"/>
  <c r="N93" i="21"/>
  <c r="M93" i="21"/>
  <c r="L93" i="21"/>
  <c r="K93" i="21"/>
  <c r="J93" i="21"/>
  <c r="I93" i="21"/>
  <c r="H93" i="21"/>
  <c r="G93" i="21"/>
  <c r="F93" i="21"/>
  <c r="E93" i="21"/>
  <c r="D93" i="21"/>
  <c r="C93" i="21"/>
  <c r="O92" i="21"/>
  <c r="N92" i="21"/>
  <c r="M92" i="21"/>
  <c r="L92" i="21"/>
  <c r="K92" i="21"/>
  <c r="J92" i="21"/>
  <c r="I92" i="21"/>
  <c r="H92" i="21"/>
  <c r="G92" i="21"/>
  <c r="F92" i="21"/>
  <c r="E92" i="21"/>
  <c r="D92" i="21"/>
  <c r="C92" i="21"/>
  <c r="O91" i="21"/>
  <c r="N91" i="21"/>
  <c r="M91" i="21"/>
  <c r="L91" i="21"/>
  <c r="K91" i="21"/>
  <c r="J91" i="21"/>
  <c r="I91" i="21"/>
  <c r="H91" i="21"/>
  <c r="G91" i="21"/>
  <c r="F91" i="21"/>
  <c r="E91" i="21"/>
  <c r="D91" i="21"/>
  <c r="C91" i="21"/>
  <c r="O90" i="21"/>
  <c r="N90" i="21"/>
  <c r="M90" i="21"/>
  <c r="L90" i="21"/>
  <c r="K90" i="21"/>
  <c r="J90" i="21"/>
  <c r="I90" i="21"/>
  <c r="H90" i="21"/>
  <c r="G90" i="21"/>
  <c r="F90" i="21"/>
  <c r="E90" i="21"/>
  <c r="D90" i="21"/>
  <c r="C90" i="21"/>
  <c r="O89" i="21"/>
  <c r="N89" i="21"/>
  <c r="M89" i="21"/>
  <c r="L89" i="21"/>
  <c r="K89" i="21"/>
  <c r="J89" i="21"/>
  <c r="I89" i="21"/>
  <c r="H89" i="21"/>
  <c r="G89" i="21"/>
  <c r="F89" i="21"/>
  <c r="E89" i="21"/>
  <c r="D89" i="21"/>
  <c r="C89" i="21"/>
  <c r="O88" i="21"/>
  <c r="N88" i="21"/>
  <c r="M88" i="21"/>
  <c r="L88" i="21"/>
  <c r="K88" i="21"/>
  <c r="J88" i="21"/>
  <c r="I88" i="21"/>
  <c r="H88" i="21"/>
  <c r="G88" i="21"/>
  <c r="F88" i="21"/>
  <c r="E88" i="21"/>
  <c r="D88" i="21"/>
  <c r="C88" i="21"/>
  <c r="O87" i="21"/>
  <c r="N87" i="21"/>
  <c r="M87" i="21"/>
  <c r="L87" i="21"/>
  <c r="K87" i="21"/>
  <c r="J87" i="21"/>
  <c r="I87" i="21"/>
  <c r="H87" i="21"/>
  <c r="G87" i="21"/>
  <c r="F87" i="21"/>
  <c r="E87" i="21"/>
  <c r="D87" i="21"/>
  <c r="C87" i="21"/>
  <c r="O86" i="21"/>
  <c r="N86" i="21"/>
  <c r="M86" i="21"/>
  <c r="L86" i="21"/>
  <c r="K86" i="21"/>
  <c r="J86" i="21"/>
  <c r="I86" i="21"/>
  <c r="H86" i="21"/>
  <c r="G86" i="21"/>
  <c r="F86" i="21"/>
  <c r="E86" i="21"/>
  <c r="D86" i="21"/>
  <c r="C86" i="21"/>
  <c r="O85" i="21"/>
  <c r="N85" i="21"/>
  <c r="M85" i="21"/>
  <c r="L85" i="21"/>
  <c r="K85" i="21"/>
  <c r="J85" i="21"/>
  <c r="I85" i="21"/>
  <c r="H85" i="21"/>
  <c r="G85" i="21"/>
  <c r="F85" i="21"/>
  <c r="E85" i="21"/>
  <c r="D85" i="21"/>
  <c r="C85" i="21"/>
  <c r="B85" i="21"/>
  <c r="O84" i="21"/>
  <c r="N84" i="21"/>
  <c r="M84" i="21"/>
  <c r="L84" i="21"/>
  <c r="K84" i="21"/>
  <c r="J84" i="21"/>
  <c r="I84" i="21"/>
  <c r="H84" i="21"/>
  <c r="G84" i="21"/>
  <c r="F84" i="21"/>
  <c r="E84" i="21"/>
  <c r="D84" i="21"/>
  <c r="C84" i="21"/>
  <c r="O83" i="21"/>
  <c r="N83" i="21"/>
  <c r="M83" i="21"/>
  <c r="L83" i="21"/>
  <c r="K83" i="21"/>
  <c r="J83" i="21"/>
  <c r="I83" i="21"/>
  <c r="H83" i="21"/>
  <c r="G83" i="21"/>
  <c r="F83" i="21"/>
  <c r="E83" i="21"/>
  <c r="D83" i="21"/>
  <c r="C83" i="21"/>
  <c r="O82" i="21"/>
  <c r="N82" i="21"/>
  <c r="M82" i="21"/>
  <c r="L82" i="21"/>
  <c r="K82" i="21"/>
  <c r="J82" i="21"/>
  <c r="I82" i="21"/>
  <c r="H82" i="21"/>
  <c r="G82" i="21"/>
  <c r="F82" i="21"/>
  <c r="E82" i="21"/>
  <c r="D82" i="21"/>
  <c r="C82" i="21"/>
  <c r="O81" i="21"/>
  <c r="N81" i="21"/>
  <c r="M81" i="21"/>
  <c r="L81" i="21"/>
  <c r="K81" i="21"/>
  <c r="J81" i="21"/>
  <c r="I81" i="21"/>
  <c r="H81" i="21"/>
  <c r="G81" i="21"/>
  <c r="F81" i="21"/>
  <c r="E81" i="21"/>
  <c r="D81" i="21"/>
  <c r="C81" i="21"/>
  <c r="O80" i="21"/>
  <c r="N80" i="21"/>
  <c r="M80" i="21"/>
  <c r="L80" i="21"/>
  <c r="K80" i="21"/>
  <c r="J80" i="21"/>
  <c r="I80" i="21"/>
  <c r="H80" i="21"/>
  <c r="G80" i="21"/>
  <c r="F80" i="21"/>
  <c r="E80" i="21"/>
  <c r="D80" i="21"/>
  <c r="C80" i="21"/>
  <c r="O79" i="21"/>
  <c r="N79" i="21"/>
  <c r="M79" i="21"/>
  <c r="L79" i="21"/>
  <c r="K79" i="21"/>
  <c r="J79" i="21"/>
  <c r="I79" i="21"/>
  <c r="H79" i="21"/>
  <c r="G79" i="21"/>
  <c r="F79" i="21"/>
  <c r="E79" i="21"/>
  <c r="D79" i="21"/>
  <c r="C79" i="21"/>
  <c r="O78" i="21"/>
  <c r="N78" i="21"/>
  <c r="M78" i="21"/>
  <c r="L78" i="21"/>
  <c r="K78" i="21"/>
  <c r="J78" i="21"/>
  <c r="I78" i="21"/>
  <c r="H78" i="21"/>
  <c r="G78" i="21"/>
  <c r="F78" i="21"/>
  <c r="E78" i="21"/>
  <c r="D78" i="21"/>
  <c r="C78" i="21"/>
  <c r="O77" i="21"/>
  <c r="N77" i="21"/>
  <c r="M77" i="21"/>
  <c r="L77" i="21"/>
  <c r="K77" i="21"/>
  <c r="J77" i="21"/>
  <c r="I77" i="21"/>
  <c r="H77" i="21"/>
  <c r="G77" i="21"/>
  <c r="F77" i="21"/>
  <c r="E77" i="21"/>
  <c r="D77" i="21"/>
  <c r="C77" i="21"/>
  <c r="O76" i="21"/>
  <c r="N76" i="21"/>
  <c r="M76" i="21"/>
  <c r="L76" i="21"/>
  <c r="K76" i="21"/>
  <c r="J76" i="21"/>
  <c r="I76" i="21"/>
  <c r="H76" i="21"/>
  <c r="G76" i="21"/>
  <c r="F76" i="21"/>
  <c r="E76" i="21"/>
  <c r="D76" i="21"/>
  <c r="C76" i="21"/>
  <c r="O75" i="21"/>
  <c r="N75" i="21"/>
  <c r="M75" i="21"/>
  <c r="L75" i="21"/>
  <c r="K75" i="21"/>
  <c r="J75" i="21"/>
  <c r="I75" i="21"/>
  <c r="H75" i="21"/>
  <c r="G75" i="21"/>
  <c r="F75" i="21"/>
  <c r="E75" i="21"/>
  <c r="D75" i="21"/>
  <c r="C75" i="21"/>
  <c r="O74" i="21"/>
  <c r="N74" i="21"/>
  <c r="M74" i="21"/>
  <c r="L74" i="21"/>
  <c r="K74" i="21"/>
  <c r="J74" i="21"/>
  <c r="I74" i="21"/>
  <c r="H74" i="21"/>
  <c r="G74" i="21"/>
  <c r="F74" i="21"/>
  <c r="E74" i="21"/>
  <c r="D74" i="21"/>
  <c r="C74" i="21"/>
  <c r="O73" i="21"/>
  <c r="N73" i="21"/>
  <c r="M73" i="21"/>
  <c r="L73" i="21"/>
  <c r="K73" i="21"/>
  <c r="J73" i="21"/>
  <c r="I73" i="21"/>
  <c r="H73" i="21"/>
  <c r="G73" i="21"/>
  <c r="F73" i="21"/>
  <c r="E73" i="21"/>
  <c r="D73" i="21"/>
  <c r="C73" i="21"/>
  <c r="O72" i="21"/>
  <c r="N72" i="21"/>
  <c r="M72" i="21"/>
  <c r="L72" i="21"/>
  <c r="K72" i="21"/>
  <c r="J72" i="21"/>
  <c r="I72" i="21"/>
  <c r="H72" i="21"/>
  <c r="G72" i="21"/>
  <c r="F72" i="21"/>
  <c r="E72" i="21"/>
  <c r="D72" i="21"/>
  <c r="C72" i="21"/>
  <c r="O71" i="21"/>
  <c r="N71" i="21"/>
  <c r="M71" i="21"/>
  <c r="L71" i="21"/>
  <c r="K71" i="21"/>
  <c r="J71" i="21"/>
  <c r="I71" i="21"/>
  <c r="H71" i="21"/>
  <c r="G71" i="21"/>
  <c r="F71" i="21"/>
  <c r="E71" i="21"/>
  <c r="D71" i="21"/>
  <c r="C71" i="21"/>
  <c r="O70" i="21"/>
  <c r="N70" i="21"/>
  <c r="M70" i="21"/>
  <c r="L70" i="21"/>
  <c r="K70" i="21"/>
  <c r="J70" i="21"/>
  <c r="I70" i="21"/>
  <c r="H70" i="21"/>
  <c r="G70" i="21"/>
  <c r="F70" i="21"/>
  <c r="E70" i="21"/>
  <c r="D70" i="21"/>
  <c r="C70" i="21"/>
  <c r="O69" i="21"/>
  <c r="N69" i="21"/>
  <c r="M69" i="21"/>
  <c r="L69" i="21"/>
  <c r="K69" i="21"/>
  <c r="J69" i="21"/>
  <c r="I69" i="21"/>
  <c r="H69" i="21"/>
  <c r="G69" i="21"/>
  <c r="F69" i="21"/>
  <c r="E69" i="21"/>
  <c r="D69" i="21"/>
  <c r="C69" i="21"/>
  <c r="O68" i="21"/>
  <c r="N68" i="21"/>
  <c r="M68" i="21"/>
  <c r="L68" i="21"/>
  <c r="K68" i="21"/>
  <c r="J68" i="21"/>
  <c r="I68" i="21"/>
  <c r="H68" i="21"/>
  <c r="G68" i="21"/>
  <c r="F68" i="21"/>
  <c r="E68" i="21"/>
  <c r="D68" i="21"/>
  <c r="C68" i="21"/>
  <c r="O67" i="21"/>
  <c r="N67" i="21"/>
  <c r="M67" i="21"/>
  <c r="L67" i="21"/>
  <c r="K67" i="21"/>
  <c r="J67" i="21"/>
  <c r="I67" i="21"/>
  <c r="H67" i="21"/>
  <c r="G67" i="21"/>
  <c r="F67" i="21"/>
  <c r="E67" i="21"/>
  <c r="D67" i="21"/>
  <c r="C67" i="21"/>
  <c r="O66" i="21"/>
  <c r="N66" i="21"/>
  <c r="M66" i="21"/>
  <c r="L66" i="21"/>
  <c r="K66" i="21"/>
  <c r="J66" i="21"/>
  <c r="I66" i="21"/>
  <c r="H66" i="21"/>
  <c r="G66" i="21"/>
  <c r="F66" i="21"/>
  <c r="E66" i="21"/>
  <c r="D66" i="21"/>
  <c r="C66" i="21"/>
  <c r="O65" i="21"/>
  <c r="N65" i="21"/>
  <c r="M65" i="21"/>
  <c r="L65" i="21"/>
  <c r="K65" i="21"/>
  <c r="J65" i="21"/>
  <c r="I65" i="21"/>
  <c r="H65" i="21"/>
  <c r="G65" i="21"/>
  <c r="F65" i="21"/>
  <c r="E65" i="21"/>
  <c r="D65" i="21"/>
  <c r="C65" i="21"/>
  <c r="O64" i="21"/>
  <c r="N64" i="21"/>
  <c r="M64" i="21"/>
  <c r="L64" i="21"/>
  <c r="K64" i="21"/>
  <c r="J64" i="21"/>
  <c r="I64" i="21"/>
  <c r="H64" i="21"/>
  <c r="G64" i="21"/>
  <c r="F64" i="21"/>
  <c r="E64" i="21"/>
  <c r="D64" i="21"/>
  <c r="C64" i="21"/>
  <c r="O63" i="21"/>
  <c r="N63" i="21"/>
  <c r="M63" i="21"/>
  <c r="L63" i="21"/>
  <c r="K63" i="21"/>
  <c r="J63" i="21"/>
  <c r="I63" i="21"/>
  <c r="H63" i="21"/>
  <c r="G63" i="21"/>
  <c r="F63" i="21"/>
  <c r="E63" i="21"/>
  <c r="D63" i="21"/>
  <c r="C63" i="21"/>
  <c r="O62" i="21"/>
  <c r="N62" i="21"/>
  <c r="M62" i="21"/>
  <c r="L62" i="21"/>
  <c r="K62" i="21"/>
  <c r="J62" i="21"/>
  <c r="I62" i="21"/>
  <c r="H62" i="21"/>
  <c r="G62" i="21"/>
  <c r="F62" i="21"/>
  <c r="E62" i="21"/>
  <c r="D62" i="21"/>
  <c r="C62" i="21"/>
  <c r="O61" i="21"/>
  <c r="N61" i="21"/>
  <c r="M61" i="21"/>
  <c r="L61" i="21"/>
  <c r="K61" i="21"/>
  <c r="J61" i="21"/>
  <c r="I61" i="21"/>
  <c r="H61" i="21"/>
  <c r="G61" i="21"/>
  <c r="F61" i="21"/>
  <c r="E61" i="21"/>
  <c r="D61" i="21"/>
  <c r="C61" i="21"/>
  <c r="O60" i="21"/>
  <c r="N60" i="21"/>
  <c r="M60" i="21"/>
  <c r="L60" i="21"/>
  <c r="K60" i="21"/>
  <c r="J60" i="21"/>
  <c r="I60" i="21"/>
  <c r="H60" i="21"/>
  <c r="G60" i="21"/>
  <c r="F60" i="21"/>
  <c r="E60" i="21"/>
  <c r="D60" i="21"/>
  <c r="C60" i="21"/>
  <c r="O59" i="21"/>
  <c r="N59" i="21"/>
  <c r="M59" i="21"/>
  <c r="L59" i="21"/>
  <c r="K59" i="21"/>
  <c r="J59" i="21"/>
  <c r="I59" i="21"/>
  <c r="H59" i="21"/>
  <c r="G59" i="21"/>
  <c r="F59" i="21"/>
  <c r="E59" i="21"/>
  <c r="D59" i="21"/>
  <c r="C59" i="21"/>
  <c r="O58" i="21"/>
  <c r="N58" i="21"/>
  <c r="M58" i="21"/>
  <c r="L58" i="21"/>
  <c r="K58" i="21"/>
  <c r="J58" i="21"/>
  <c r="I58" i="21"/>
  <c r="H58" i="21"/>
  <c r="G58" i="21"/>
  <c r="F58" i="21"/>
  <c r="E58" i="21"/>
  <c r="D58" i="21"/>
  <c r="C58" i="21"/>
  <c r="O57" i="21"/>
  <c r="N57" i="21"/>
  <c r="M57" i="21"/>
  <c r="L57" i="21"/>
  <c r="K57" i="21"/>
  <c r="J57" i="21"/>
  <c r="I57" i="21"/>
  <c r="H57" i="21"/>
  <c r="G57" i="21"/>
  <c r="F57" i="21"/>
  <c r="E57" i="21"/>
  <c r="D57" i="21"/>
  <c r="C57" i="21"/>
  <c r="B57" i="21"/>
  <c r="O56" i="21"/>
  <c r="N56" i="21"/>
  <c r="M56" i="21"/>
  <c r="L56" i="21"/>
  <c r="K56" i="21"/>
  <c r="J56" i="21"/>
  <c r="I56" i="21"/>
  <c r="H56" i="21"/>
  <c r="G56" i="21"/>
  <c r="F56" i="21"/>
  <c r="E56" i="21"/>
  <c r="D56" i="21"/>
  <c r="C56" i="21"/>
  <c r="O55" i="21"/>
  <c r="N55" i="21"/>
  <c r="M55" i="21"/>
  <c r="L55" i="21"/>
  <c r="K55" i="21"/>
  <c r="J55" i="21"/>
  <c r="I55" i="21"/>
  <c r="H55" i="21"/>
  <c r="G55" i="21"/>
  <c r="F55" i="21"/>
  <c r="E55" i="21"/>
  <c r="D55" i="21"/>
  <c r="C55" i="21"/>
  <c r="O54" i="21"/>
  <c r="N54" i="21"/>
  <c r="M54" i="21"/>
  <c r="L54" i="21"/>
  <c r="K54" i="21"/>
  <c r="J54" i="21"/>
  <c r="I54" i="21"/>
  <c r="H54" i="21"/>
  <c r="G54" i="21"/>
  <c r="F54" i="21"/>
  <c r="E54" i="21"/>
  <c r="D54" i="21"/>
  <c r="C54" i="21"/>
  <c r="O53" i="21"/>
  <c r="N53" i="21"/>
  <c r="M53" i="21"/>
  <c r="L53" i="21"/>
  <c r="K53" i="21"/>
  <c r="J53" i="21"/>
  <c r="I53" i="21"/>
  <c r="H53" i="21"/>
  <c r="G53" i="21"/>
  <c r="F53" i="21"/>
  <c r="E53" i="21"/>
  <c r="D53" i="21"/>
  <c r="C53" i="21"/>
  <c r="O52" i="21"/>
  <c r="N52" i="21"/>
  <c r="M52" i="21"/>
  <c r="L52" i="21"/>
  <c r="K52" i="21"/>
  <c r="J52" i="21"/>
  <c r="I52" i="21"/>
  <c r="H52" i="21"/>
  <c r="G52" i="21"/>
  <c r="F52" i="21"/>
  <c r="E52" i="21"/>
  <c r="D52" i="21"/>
  <c r="C52" i="21"/>
  <c r="O51" i="21"/>
  <c r="N51" i="21"/>
  <c r="M51" i="21"/>
  <c r="L51" i="21"/>
  <c r="K51" i="21"/>
  <c r="J51" i="21"/>
  <c r="I51" i="21"/>
  <c r="H51" i="21"/>
  <c r="G51" i="21"/>
  <c r="F51" i="21"/>
  <c r="E51" i="21"/>
  <c r="D51" i="21"/>
  <c r="C51" i="21"/>
  <c r="O50" i="21"/>
  <c r="N50" i="21"/>
  <c r="M50" i="21"/>
  <c r="L50" i="21"/>
  <c r="K50" i="21"/>
  <c r="J50" i="21"/>
  <c r="I50" i="21"/>
  <c r="H50" i="21"/>
  <c r="G50" i="21"/>
  <c r="F50" i="21"/>
  <c r="E50" i="21"/>
  <c r="D50" i="21"/>
  <c r="C50" i="21"/>
  <c r="O49" i="21"/>
  <c r="N49" i="21"/>
  <c r="M49" i="21"/>
  <c r="L49" i="21"/>
  <c r="K49" i="21"/>
  <c r="J49" i="21"/>
  <c r="I49" i="21"/>
  <c r="H49" i="21"/>
  <c r="G49" i="21"/>
  <c r="F49" i="21"/>
  <c r="E49" i="21"/>
  <c r="D49" i="21"/>
  <c r="C49" i="21"/>
  <c r="O48" i="21"/>
  <c r="N48" i="21"/>
  <c r="M48" i="21"/>
  <c r="L48" i="21"/>
  <c r="K48" i="21"/>
  <c r="J48" i="21"/>
  <c r="I48" i="21"/>
  <c r="H48" i="21"/>
  <c r="G48" i="21"/>
  <c r="F48" i="21"/>
  <c r="E48" i="21"/>
  <c r="D48" i="21"/>
  <c r="C48" i="21"/>
  <c r="O47" i="21"/>
  <c r="N47" i="21"/>
  <c r="M47" i="21"/>
  <c r="L47" i="21"/>
  <c r="K47" i="21"/>
  <c r="J47" i="21"/>
  <c r="I47" i="21"/>
  <c r="H47" i="21"/>
  <c r="G47" i="21"/>
  <c r="F47" i="21"/>
  <c r="E47" i="21"/>
  <c r="D47" i="21"/>
  <c r="C47" i="21"/>
  <c r="O46" i="21"/>
  <c r="N46" i="21"/>
  <c r="M46" i="21"/>
  <c r="L46" i="21"/>
  <c r="K46" i="21"/>
  <c r="J46" i="21"/>
  <c r="I46" i="21"/>
  <c r="H46" i="21"/>
  <c r="G46" i="21"/>
  <c r="F46" i="21"/>
  <c r="E46" i="21"/>
  <c r="D46" i="21"/>
  <c r="C46" i="21"/>
  <c r="O45" i="21"/>
  <c r="N45" i="21"/>
  <c r="M45" i="21"/>
  <c r="L45" i="21"/>
  <c r="K45" i="21"/>
  <c r="J45" i="21"/>
  <c r="I45" i="21"/>
  <c r="H45" i="21"/>
  <c r="G45" i="21"/>
  <c r="F45" i="21"/>
  <c r="E45" i="21"/>
  <c r="D45" i="21"/>
  <c r="C45" i="21"/>
  <c r="O44" i="21"/>
  <c r="N44" i="21"/>
  <c r="M44" i="21"/>
  <c r="L44" i="21"/>
  <c r="K44" i="21"/>
  <c r="J44" i="21"/>
  <c r="I44" i="21"/>
  <c r="H44" i="21"/>
  <c r="G44" i="21"/>
  <c r="F44" i="21"/>
  <c r="E44" i="21"/>
  <c r="D44" i="21"/>
  <c r="C44" i="21"/>
  <c r="O43" i="21"/>
  <c r="N43" i="21"/>
  <c r="M43" i="21"/>
  <c r="L43" i="21"/>
  <c r="K43" i="21"/>
  <c r="J43" i="21"/>
  <c r="I43" i="21"/>
  <c r="H43" i="21"/>
  <c r="G43" i="21"/>
  <c r="F43" i="21"/>
  <c r="E43" i="21"/>
  <c r="D43" i="21"/>
  <c r="C43" i="21"/>
  <c r="O42" i="21"/>
  <c r="N42" i="21"/>
  <c r="M42" i="21"/>
  <c r="L42" i="21"/>
  <c r="K42" i="21"/>
  <c r="J42" i="21"/>
  <c r="I42" i="21"/>
  <c r="H42" i="21"/>
  <c r="G42" i="21"/>
  <c r="F42" i="21"/>
  <c r="E42" i="21"/>
  <c r="D42" i="21"/>
  <c r="C42" i="21"/>
  <c r="O41" i="21"/>
  <c r="N41" i="21"/>
  <c r="M41" i="21"/>
  <c r="L41" i="21"/>
  <c r="K41" i="21"/>
  <c r="J41" i="21"/>
  <c r="I41" i="21"/>
  <c r="H41" i="21"/>
  <c r="G41" i="21"/>
  <c r="F41" i="21"/>
  <c r="E41" i="21"/>
  <c r="D41" i="21"/>
  <c r="C41" i="21"/>
  <c r="O40" i="21"/>
  <c r="N40" i="21"/>
  <c r="M40" i="21"/>
  <c r="L40" i="21"/>
  <c r="K40" i="21"/>
  <c r="J40" i="21"/>
  <c r="I40" i="21"/>
  <c r="H40" i="21"/>
  <c r="G40" i="21"/>
  <c r="F40" i="21"/>
  <c r="E40" i="21"/>
  <c r="D40" i="21"/>
  <c r="C40" i="21"/>
  <c r="O39" i="21"/>
  <c r="N39" i="21"/>
  <c r="M39" i="21"/>
  <c r="L39" i="21"/>
  <c r="K39" i="21"/>
  <c r="J39" i="21"/>
  <c r="I39" i="21"/>
  <c r="H39" i="21"/>
  <c r="G39" i="21"/>
  <c r="F39" i="21"/>
  <c r="E39" i="21"/>
  <c r="D39" i="21"/>
  <c r="C39" i="21"/>
  <c r="O38" i="21"/>
  <c r="N38" i="21"/>
  <c r="M38" i="21"/>
  <c r="L38" i="21"/>
  <c r="K38" i="21"/>
  <c r="J38" i="21"/>
  <c r="I38" i="21"/>
  <c r="H38" i="21"/>
  <c r="G38" i="21"/>
  <c r="F38" i="21"/>
  <c r="E38" i="21"/>
  <c r="D38" i="21"/>
  <c r="C38" i="21"/>
  <c r="O37" i="21"/>
  <c r="N37" i="21"/>
  <c r="M37" i="21"/>
  <c r="L37" i="21"/>
  <c r="K37" i="21"/>
  <c r="J37" i="21"/>
  <c r="I37" i="21"/>
  <c r="H37" i="21"/>
  <c r="G37" i="21"/>
  <c r="F37" i="21"/>
  <c r="E37" i="21"/>
  <c r="D37" i="21"/>
  <c r="C37" i="21"/>
  <c r="O36" i="21"/>
  <c r="N36" i="21"/>
  <c r="M36" i="21"/>
  <c r="L36" i="21"/>
  <c r="K36" i="21"/>
  <c r="J36" i="21"/>
  <c r="I36" i="21"/>
  <c r="H36" i="21"/>
  <c r="G36" i="21"/>
  <c r="F36" i="21"/>
  <c r="E36" i="21"/>
  <c r="D36" i="21"/>
  <c r="C36" i="21"/>
  <c r="O35" i="21"/>
  <c r="N35" i="21"/>
  <c r="M35" i="21"/>
  <c r="L35" i="21"/>
  <c r="K35" i="21"/>
  <c r="J35" i="21"/>
  <c r="I35" i="21"/>
  <c r="H35" i="21"/>
  <c r="G35" i="21"/>
  <c r="F35" i="21"/>
  <c r="E35" i="21"/>
  <c r="D35" i="21"/>
  <c r="C35" i="21"/>
  <c r="O34" i="21"/>
  <c r="N34" i="21"/>
  <c r="M34" i="21"/>
  <c r="L34" i="21"/>
  <c r="K34" i="21"/>
  <c r="J34" i="21"/>
  <c r="I34" i="21"/>
  <c r="H34" i="21"/>
  <c r="G34" i="21"/>
  <c r="F34" i="21"/>
  <c r="E34" i="21"/>
  <c r="D34" i="21"/>
  <c r="C34" i="21"/>
  <c r="O33" i="21"/>
  <c r="N33" i="21"/>
  <c r="M33" i="21"/>
  <c r="L33" i="21"/>
  <c r="K33" i="21"/>
  <c r="J33" i="21"/>
  <c r="I33" i="21"/>
  <c r="H33" i="21"/>
  <c r="G33" i="21"/>
  <c r="F33" i="21"/>
  <c r="E33" i="21"/>
  <c r="D33" i="21"/>
  <c r="C33" i="21"/>
  <c r="O32" i="21"/>
  <c r="N32" i="21"/>
  <c r="M32" i="21"/>
  <c r="L32" i="21"/>
  <c r="K32" i="21"/>
  <c r="J32" i="21"/>
  <c r="I32" i="21"/>
  <c r="H32" i="21"/>
  <c r="G32" i="21"/>
  <c r="F32" i="21"/>
  <c r="E32" i="21"/>
  <c r="D32" i="21"/>
  <c r="C32" i="21"/>
  <c r="O31" i="21"/>
  <c r="N31" i="21"/>
  <c r="M31" i="21"/>
  <c r="L31" i="21"/>
  <c r="K31" i="21"/>
  <c r="J31" i="21"/>
  <c r="I31" i="21"/>
  <c r="H31" i="21"/>
  <c r="G31" i="21"/>
  <c r="F31" i="21"/>
  <c r="E31" i="21"/>
  <c r="D31" i="21"/>
  <c r="C31" i="21"/>
  <c r="O30" i="21"/>
  <c r="N30" i="21"/>
  <c r="M30" i="21"/>
  <c r="L30" i="21"/>
  <c r="K30" i="21"/>
  <c r="J30" i="21"/>
  <c r="I30" i="21"/>
  <c r="H30" i="21"/>
  <c r="G30" i="21"/>
  <c r="F30" i="21"/>
  <c r="E30" i="21"/>
  <c r="D30" i="21"/>
  <c r="C30" i="21"/>
  <c r="O29" i="21"/>
  <c r="N29" i="21"/>
  <c r="M29" i="21"/>
  <c r="L29" i="21"/>
  <c r="K29" i="21"/>
  <c r="J29" i="21"/>
  <c r="I29" i="21"/>
  <c r="H29" i="21"/>
  <c r="G29" i="21"/>
  <c r="F29" i="21"/>
  <c r="E29" i="21"/>
  <c r="D29" i="21"/>
  <c r="C29" i="21"/>
  <c r="O28" i="21"/>
  <c r="N28" i="21"/>
  <c r="M28" i="21"/>
  <c r="L28" i="21"/>
  <c r="K28" i="21"/>
  <c r="J28" i="21"/>
  <c r="I28" i="21"/>
  <c r="H28" i="21"/>
  <c r="G28" i="21"/>
  <c r="F28" i="21"/>
  <c r="E28" i="21"/>
  <c r="D28" i="21"/>
  <c r="C28" i="21"/>
  <c r="O27" i="21"/>
  <c r="N27" i="21"/>
  <c r="M27" i="21"/>
  <c r="L27" i="21"/>
  <c r="K27" i="21"/>
  <c r="J27" i="21"/>
  <c r="I27" i="21"/>
  <c r="H27" i="21"/>
  <c r="G27" i="21"/>
  <c r="F27" i="21"/>
  <c r="E27" i="21"/>
  <c r="D27" i="21"/>
  <c r="C27" i="21"/>
  <c r="O26" i="21"/>
  <c r="N26" i="21"/>
  <c r="M26" i="21"/>
  <c r="L26" i="21"/>
  <c r="K26" i="21"/>
  <c r="J26" i="21"/>
  <c r="I26" i="21"/>
  <c r="H26" i="21"/>
  <c r="G26" i="21"/>
  <c r="F26" i="21"/>
  <c r="E26" i="21"/>
  <c r="D26" i="21"/>
  <c r="C26" i="21"/>
  <c r="O25" i="21"/>
  <c r="N25" i="21"/>
  <c r="M25" i="21"/>
  <c r="L25" i="21"/>
  <c r="K25" i="21"/>
  <c r="J25" i="21"/>
  <c r="I25" i="21"/>
  <c r="H25" i="21"/>
  <c r="G25" i="21"/>
  <c r="F25" i="21"/>
  <c r="E25" i="21"/>
  <c r="D25" i="21"/>
  <c r="C25" i="21"/>
  <c r="O234" i="22"/>
  <c r="N234" i="22"/>
  <c r="M234" i="22"/>
  <c r="L234" i="22"/>
  <c r="K234" i="22"/>
  <c r="J234" i="22"/>
  <c r="I234" i="22"/>
  <c r="H234" i="22"/>
  <c r="G234" i="22"/>
  <c r="F234" i="22"/>
  <c r="E234" i="22"/>
  <c r="D234" i="22"/>
  <c r="C234" i="22"/>
  <c r="O229" i="22"/>
  <c r="N229" i="22"/>
  <c r="M229" i="22"/>
  <c r="L229" i="22"/>
  <c r="K229" i="22"/>
  <c r="J229" i="22"/>
  <c r="I229" i="22"/>
  <c r="H229" i="22"/>
  <c r="G229" i="22"/>
  <c r="F229" i="22"/>
  <c r="E229" i="22"/>
  <c r="D229" i="22"/>
  <c r="C229" i="22"/>
  <c r="O228" i="22"/>
  <c r="N228" i="22"/>
  <c r="M228" i="22"/>
  <c r="L228" i="22"/>
  <c r="K228" i="22"/>
  <c r="J228" i="22"/>
  <c r="I228" i="22"/>
  <c r="H228" i="22"/>
  <c r="G228" i="22"/>
  <c r="F228" i="22"/>
  <c r="E228" i="22"/>
  <c r="D228" i="22"/>
  <c r="C228" i="22"/>
  <c r="O227" i="22"/>
  <c r="N227" i="22"/>
  <c r="M227" i="22"/>
  <c r="L227" i="22"/>
  <c r="K227" i="22"/>
  <c r="J227" i="22"/>
  <c r="I227" i="22"/>
  <c r="H227" i="22"/>
  <c r="G227" i="22"/>
  <c r="F227" i="22"/>
  <c r="E227" i="22"/>
  <c r="D227" i="22"/>
  <c r="C227" i="22"/>
  <c r="O226" i="22"/>
  <c r="N226" i="22"/>
  <c r="M226" i="22"/>
  <c r="L226" i="22"/>
  <c r="K226" i="22"/>
  <c r="J226" i="22"/>
  <c r="I226" i="22"/>
  <c r="H226" i="22"/>
  <c r="G226" i="22"/>
  <c r="F226" i="22"/>
  <c r="E226" i="22"/>
  <c r="D226" i="22"/>
  <c r="C226" i="22"/>
  <c r="O225" i="22"/>
  <c r="N225" i="22"/>
  <c r="M225" i="22"/>
  <c r="L225" i="22"/>
  <c r="K225" i="22"/>
  <c r="J225" i="22"/>
  <c r="I225" i="22"/>
  <c r="H225" i="22"/>
  <c r="G225" i="22"/>
  <c r="F225" i="22"/>
  <c r="E225" i="22"/>
  <c r="D225" i="22"/>
  <c r="C225" i="22"/>
  <c r="O224" i="22"/>
  <c r="N224" i="22"/>
  <c r="M224" i="22"/>
  <c r="L224" i="22"/>
  <c r="K224" i="22"/>
  <c r="J224" i="22"/>
  <c r="I224" i="22"/>
  <c r="H224" i="22"/>
  <c r="G224" i="22"/>
  <c r="F224" i="22"/>
  <c r="E224" i="22"/>
  <c r="D224" i="22"/>
  <c r="C224" i="22"/>
  <c r="O223" i="22"/>
  <c r="N223" i="22"/>
  <c r="M223" i="22"/>
  <c r="L223" i="22"/>
  <c r="K223" i="22"/>
  <c r="J223" i="22"/>
  <c r="I223" i="22"/>
  <c r="H223" i="22"/>
  <c r="G223" i="22"/>
  <c r="F223" i="22"/>
  <c r="E223" i="22"/>
  <c r="D223" i="22"/>
  <c r="C223" i="22"/>
  <c r="O222" i="22"/>
  <c r="N222" i="22"/>
  <c r="M222" i="22"/>
  <c r="L222" i="22"/>
  <c r="K222" i="22"/>
  <c r="J222" i="22"/>
  <c r="I222" i="22"/>
  <c r="H222" i="22"/>
  <c r="G222" i="22"/>
  <c r="F222" i="22"/>
  <c r="E222" i="22"/>
  <c r="D222" i="22"/>
  <c r="C222" i="22"/>
  <c r="O221" i="22"/>
  <c r="N221" i="22"/>
  <c r="M221" i="22"/>
  <c r="L221" i="22"/>
  <c r="K221" i="22"/>
  <c r="J221" i="22"/>
  <c r="I221" i="22"/>
  <c r="H221" i="22"/>
  <c r="G221" i="22"/>
  <c r="F221" i="22"/>
  <c r="E221" i="22"/>
  <c r="D221" i="22"/>
  <c r="C221" i="22"/>
  <c r="O220" i="22"/>
  <c r="N220" i="22"/>
  <c r="M220" i="22"/>
  <c r="L220" i="22"/>
  <c r="K220" i="22"/>
  <c r="J220" i="22"/>
  <c r="I220" i="22"/>
  <c r="H220" i="22"/>
  <c r="G220" i="22"/>
  <c r="F220" i="22"/>
  <c r="E220" i="22"/>
  <c r="D220" i="22"/>
  <c r="C220" i="22"/>
  <c r="O219" i="22"/>
  <c r="N219" i="22"/>
  <c r="M219" i="22"/>
  <c r="L219" i="22"/>
  <c r="K219" i="22"/>
  <c r="J219" i="22"/>
  <c r="I219" i="22"/>
  <c r="H219" i="22"/>
  <c r="G219" i="22"/>
  <c r="F219" i="22"/>
  <c r="E219" i="22"/>
  <c r="D219" i="22"/>
  <c r="C219" i="22"/>
  <c r="O218" i="22"/>
  <c r="N218" i="22"/>
  <c r="M218" i="22"/>
  <c r="L218" i="22"/>
  <c r="K218" i="22"/>
  <c r="J218" i="22"/>
  <c r="I218" i="22"/>
  <c r="H218" i="22"/>
  <c r="G218" i="22"/>
  <c r="F218" i="22"/>
  <c r="E218" i="22"/>
  <c r="D218" i="22"/>
  <c r="C218" i="22"/>
  <c r="O217" i="22"/>
  <c r="N217" i="22"/>
  <c r="M217" i="22"/>
  <c r="L217" i="22"/>
  <c r="K217" i="22"/>
  <c r="J217" i="22"/>
  <c r="I217" i="22"/>
  <c r="H217" i="22"/>
  <c r="G217" i="22"/>
  <c r="F217" i="22"/>
  <c r="E217" i="22"/>
  <c r="D217" i="22"/>
  <c r="C217" i="22"/>
  <c r="O216" i="22"/>
  <c r="N216" i="22"/>
  <c r="M216" i="22"/>
  <c r="L216" i="22"/>
  <c r="K216" i="22"/>
  <c r="J216" i="22"/>
  <c r="I216" i="22"/>
  <c r="H216" i="22"/>
  <c r="G216" i="22"/>
  <c r="F216" i="22"/>
  <c r="E216" i="22"/>
  <c r="D216" i="22"/>
  <c r="C216" i="22"/>
  <c r="O215" i="22"/>
  <c r="N215" i="22"/>
  <c r="M215" i="22"/>
  <c r="L215" i="22"/>
  <c r="K215" i="22"/>
  <c r="J215" i="22"/>
  <c r="I215" i="22"/>
  <c r="H215" i="22"/>
  <c r="G215" i="22"/>
  <c r="F215" i="22"/>
  <c r="E215" i="22"/>
  <c r="D215" i="22"/>
  <c r="C215" i="22"/>
  <c r="O214" i="22"/>
  <c r="N214" i="22"/>
  <c r="M214" i="22"/>
  <c r="L214" i="22"/>
  <c r="K214" i="22"/>
  <c r="J214" i="22"/>
  <c r="I214" i="22"/>
  <c r="H214" i="22"/>
  <c r="G214" i="22"/>
  <c r="F214" i="22"/>
  <c r="E214" i="22"/>
  <c r="D214" i="22"/>
  <c r="C214" i="22"/>
  <c r="O213" i="22"/>
  <c r="N213" i="22"/>
  <c r="M213" i="22"/>
  <c r="L213" i="22"/>
  <c r="K213" i="22"/>
  <c r="J213" i="22"/>
  <c r="I213" i="22"/>
  <c r="H213" i="22"/>
  <c r="G213" i="22"/>
  <c r="F213" i="22"/>
  <c r="E213" i="22"/>
  <c r="D213" i="22"/>
  <c r="C213" i="22"/>
  <c r="O212" i="22"/>
  <c r="N212" i="22"/>
  <c r="M212" i="22"/>
  <c r="L212" i="22"/>
  <c r="K212" i="22"/>
  <c r="J212" i="22"/>
  <c r="I212" i="22"/>
  <c r="H212" i="22"/>
  <c r="G212" i="22"/>
  <c r="F212" i="22"/>
  <c r="E212" i="22"/>
  <c r="D212" i="22"/>
  <c r="C212" i="22"/>
  <c r="O211" i="22"/>
  <c r="N211" i="22"/>
  <c r="M211" i="22"/>
  <c r="L211" i="22"/>
  <c r="K211" i="22"/>
  <c r="J211" i="22"/>
  <c r="I211" i="22"/>
  <c r="H211" i="22"/>
  <c r="G211" i="22"/>
  <c r="F211" i="22"/>
  <c r="E211" i="22"/>
  <c r="D211" i="22"/>
  <c r="C211" i="22"/>
  <c r="O210" i="22"/>
  <c r="N210" i="22"/>
  <c r="M210" i="22"/>
  <c r="L210" i="22"/>
  <c r="K210" i="22"/>
  <c r="J210" i="22"/>
  <c r="I210" i="22"/>
  <c r="H210" i="22"/>
  <c r="G210" i="22"/>
  <c r="F210" i="22"/>
  <c r="E210" i="22"/>
  <c r="D210" i="22"/>
  <c r="C210" i="22"/>
  <c r="O209" i="22"/>
  <c r="N209" i="22"/>
  <c r="M209" i="22"/>
  <c r="L209" i="22"/>
  <c r="K209" i="22"/>
  <c r="J209" i="22"/>
  <c r="I209" i="22"/>
  <c r="H209" i="22"/>
  <c r="G209" i="22"/>
  <c r="F209" i="22"/>
  <c r="E209" i="22"/>
  <c r="D209" i="22"/>
  <c r="C209" i="22"/>
  <c r="O208" i="22"/>
  <c r="N208" i="22"/>
  <c r="M208" i="22"/>
  <c r="L208" i="22"/>
  <c r="K208" i="22"/>
  <c r="J208" i="22"/>
  <c r="I208" i="22"/>
  <c r="H208" i="22"/>
  <c r="G208" i="22"/>
  <c r="F208" i="22"/>
  <c r="E208" i="22"/>
  <c r="D208" i="22"/>
  <c r="C208" i="22"/>
  <c r="O207" i="22"/>
  <c r="N207" i="22"/>
  <c r="M207" i="22"/>
  <c r="L207" i="22"/>
  <c r="K207" i="22"/>
  <c r="J207" i="22"/>
  <c r="I207" i="22"/>
  <c r="H207" i="22"/>
  <c r="G207" i="22"/>
  <c r="F207" i="22"/>
  <c r="E207" i="22"/>
  <c r="D207" i="22"/>
  <c r="C207" i="22"/>
  <c r="O206" i="22"/>
  <c r="N206" i="22"/>
  <c r="M206" i="22"/>
  <c r="L206" i="22"/>
  <c r="K206" i="22"/>
  <c r="J206" i="22"/>
  <c r="I206" i="22"/>
  <c r="H206" i="22"/>
  <c r="G206" i="22"/>
  <c r="F206" i="22"/>
  <c r="E206" i="22"/>
  <c r="D206" i="22"/>
  <c r="C206" i="22"/>
  <c r="O205" i="22"/>
  <c r="N205" i="22"/>
  <c r="M205" i="22"/>
  <c r="L205" i="22"/>
  <c r="K205" i="22"/>
  <c r="J205" i="22"/>
  <c r="I205" i="22"/>
  <c r="H205" i="22"/>
  <c r="G205" i="22"/>
  <c r="F205" i="22"/>
  <c r="E205" i="22"/>
  <c r="D205" i="22"/>
  <c r="C205" i="22"/>
  <c r="O204" i="22"/>
  <c r="N204" i="22"/>
  <c r="M204" i="22"/>
  <c r="L204" i="22"/>
  <c r="K204" i="22"/>
  <c r="J204" i="22"/>
  <c r="I204" i="22"/>
  <c r="H204" i="22"/>
  <c r="G204" i="22"/>
  <c r="F204" i="22"/>
  <c r="E204" i="22"/>
  <c r="D204" i="22"/>
  <c r="C204" i="22"/>
  <c r="O203" i="22"/>
  <c r="N203" i="22"/>
  <c r="M203" i="22"/>
  <c r="L203" i="22"/>
  <c r="K203" i="22"/>
  <c r="J203" i="22"/>
  <c r="I203" i="22"/>
  <c r="H203" i="22"/>
  <c r="G203" i="22"/>
  <c r="F203" i="22"/>
  <c r="E203" i="22"/>
  <c r="D203" i="22"/>
  <c r="C203" i="22"/>
  <c r="O202" i="22"/>
  <c r="N202" i="22"/>
  <c r="M202" i="22"/>
  <c r="L202" i="22"/>
  <c r="K202" i="22"/>
  <c r="J202" i="22"/>
  <c r="I202" i="22"/>
  <c r="H202" i="22"/>
  <c r="G202" i="22"/>
  <c r="F202" i="22"/>
  <c r="E202" i="22"/>
  <c r="D202" i="22"/>
  <c r="C202" i="22"/>
  <c r="O201" i="22"/>
  <c r="N201" i="22"/>
  <c r="M201" i="22"/>
  <c r="L201" i="22"/>
  <c r="K201" i="22"/>
  <c r="J201" i="22"/>
  <c r="I201" i="22"/>
  <c r="H201" i="22"/>
  <c r="G201" i="22"/>
  <c r="F201" i="22"/>
  <c r="E201" i="22"/>
  <c r="D201" i="22"/>
  <c r="C201" i="22"/>
  <c r="O200" i="22"/>
  <c r="N200" i="22"/>
  <c r="M200" i="22"/>
  <c r="L200" i="22"/>
  <c r="K200" i="22"/>
  <c r="J200" i="22"/>
  <c r="I200" i="22"/>
  <c r="H200" i="22"/>
  <c r="G200" i="22"/>
  <c r="F200" i="22"/>
  <c r="E200" i="22"/>
  <c r="D200" i="22"/>
  <c r="C200" i="22"/>
  <c r="O199" i="22"/>
  <c r="N199" i="22"/>
  <c r="M199" i="22"/>
  <c r="L199" i="22"/>
  <c r="K199" i="22"/>
  <c r="J199" i="22"/>
  <c r="I199" i="22"/>
  <c r="H199" i="22"/>
  <c r="G199" i="22"/>
  <c r="F199" i="22"/>
  <c r="E199" i="22"/>
  <c r="D199" i="22"/>
  <c r="C199" i="22"/>
  <c r="O198" i="22"/>
  <c r="N198" i="22"/>
  <c r="M198" i="22"/>
  <c r="L198" i="22"/>
  <c r="K198" i="22"/>
  <c r="J198" i="22"/>
  <c r="I198" i="22"/>
  <c r="H198" i="22"/>
  <c r="G198" i="22"/>
  <c r="F198" i="22"/>
  <c r="E198" i="22"/>
  <c r="D198" i="22"/>
  <c r="C198" i="22"/>
  <c r="O197" i="22"/>
  <c r="N197" i="22"/>
  <c r="M197" i="22"/>
  <c r="L197" i="22"/>
  <c r="K197" i="22"/>
  <c r="J197" i="22"/>
  <c r="I197" i="22"/>
  <c r="H197" i="22"/>
  <c r="G197" i="22"/>
  <c r="F197" i="22"/>
  <c r="E197" i="22"/>
  <c r="D197" i="22"/>
  <c r="C197" i="22"/>
  <c r="O196" i="22"/>
  <c r="N196" i="22"/>
  <c r="M196" i="22"/>
  <c r="L196" i="22"/>
  <c r="K196" i="22"/>
  <c r="J196" i="22"/>
  <c r="I196" i="22"/>
  <c r="H196" i="22"/>
  <c r="G196" i="22"/>
  <c r="F196" i="22"/>
  <c r="E196" i="22"/>
  <c r="D196" i="22"/>
  <c r="C196" i="22"/>
  <c r="O195" i="22"/>
  <c r="N195" i="22"/>
  <c r="M195" i="22"/>
  <c r="L195" i="22"/>
  <c r="K195" i="22"/>
  <c r="J195" i="22"/>
  <c r="I195" i="22"/>
  <c r="H195" i="22"/>
  <c r="G195" i="22"/>
  <c r="F195" i="22"/>
  <c r="E195" i="22"/>
  <c r="D195" i="22"/>
  <c r="C195" i="22"/>
  <c r="O194" i="22"/>
  <c r="N194" i="22"/>
  <c r="M194" i="22"/>
  <c r="L194" i="22"/>
  <c r="K194" i="22"/>
  <c r="J194" i="22"/>
  <c r="I194" i="22"/>
  <c r="H194" i="22"/>
  <c r="G194" i="22"/>
  <c r="F194" i="22"/>
  <c r="E194" i="22"/>
  <c r="D194" i="22"/>
  <c r="C194" i="22"/>
  <c r="O193" i="22"/>
  <c r="N193" i="22"/>
  <c r="M193" i="22"/>
  <c r="L193" i="22"/>
  <c r="K193" i="22"/>
  <c r="J193" i="22"/>
  <c r="I193" i="22"/>
  <c r="H193" i="22"/>
  <c r="G193" i="22"/>
  <c r="F193" i="22"/>
  <c r="E193" i="22"/>
  <c r="D193" i="22"/>
  <c r="C193" i="22"/>
  <c r="O192" i="22"/>
  <c r="N192" i="22"/>
  <c r="M192" i="22"/>
  <c r="L192" i="22"/>
  <c r="K192" i="22"/>
  <c r="J192" i="22"/>
  <c r="I192" i="22"/>
  <c r="H192" i="22"/>
  <c r="G192" i="22"/>
  <c r="F192" i="22"/>
  <c r="E192" i="22"/>
  <c r="D192" i="22"/>
  <c r="C192" i="22"/>
  <c r="B192" i="22"/>
  <c r="O191" i="22"/>
  <c r="N191" i="22"/>
  <c r="M191" i="22"/>
  <c r="L191" i="22"/>
  <c r="K191" i="22"/>
  <c r="J191" i="22"/>
  <c r="I191" i="22"/>
  <c r="H191" i="22"/>
  <c r="G191" i="22"/>
  <c r="F191" i="22"/>
  <c r="E191" i="22"/>
  <c r="D191" i="22"/>
  <c r="C191" i="22"/>
  <c r="O190" i="22"/>
  <c r="N190" i="22"/>
  <c r="M190" i="22"/>
  <c r="L190" i="22"/>
  <c r="K190" i="22"/>
  <c r="J190" i="22"/>
  <c r="I190" i="22"/>
  <c r="H190" i="22"/>
  <c r="G190" i="22"/>
  <c r="F190" i="22"/>
  <c r="E190" i="22"/>
  <c r="D190" i="22"/>
  <c r="C190" i="22"/>
  <c r="O189" i="22"/>
  <c r="N189" i="22"/>
  <c r="M189" i="22"/>
  <c r="L189" i="22"/>
  <c r="K189" i="22"/>
  <c r="J189" i="22"/>
  <c r="I189" i="22"/>
  <c r="H189" i="22"/>
  <c r="G189" i="22"/>
  <c r="F189" i="22"/>
  <c r="E189" i="22"/>
  <c r="D189" i="22"/>
  <c r="C189" i="22"/>
  <c r="O188" i="22"/>
  <c r="N188" i="22"/>
  <c r="M188" i="22"/>
  <c r="L188" i="22"/>
  <c r="K188" i="22"/>
  <c r="J188" i="22"/>
  <c r="I188" i="22"/>
  <c r="H188" i="22"/>
  <c r="G188" i="22"/>
  <c r="F188" i="22"/>
  <c r="E188" i="22"/>
  <c r="D188" i="22"/>
  <c r="C188" i="22"/>
  <c r="O187" i="22"/>
  <c r="N187" i="22"/>
  <c r="M187" i="22"/>
  <c r="L187" i="22"/>
  <c r="K187" i="22"/>
  <c r="J187" i="22"/>
  <c r="I187" i="22"/>
  <c r="H187" i="22"/>
  <c r="G187" i="22"/>
  <c r="F187" i="22"/>
  <c r="E187" i="22"/>
  <c r="D187" i="22"/>
  <c r="C187" i="22"/>
  <c r="O186" i="22"/>
  <c r="N186" i="22"/>
  <c r="M186" i="22"/>
  <c r="L186" i="22"/>
  <c r="K186" i="22"/>
  <c r="J186" i="22"/>
  <c r="I186" i="22"/>
  <c r="H186" i="22"/>
  <c r="G186" i="22"/>
  <c r="F186" i="22"/>
  <c r="E186" i="22"/>
  <c r="D186" i="22"/>
  <c r="C186" i="22"/>
  <c r="O185" i="22"/>
  <c r="N185" i="22"/>
  <c r="M185" i="22"/>
  <c r="L185" i="22"/>
  <c r="K185" i="22"/>
  <c r="J185" i="22"/>
  <c r="I185" i="22"/>
  <c r="H185" i="22"/>
  <c r="G185" i="22"/>
  <c r="F185" i="22"/>
  <c r="E185" i="22"/>
  <c r="D185" i="22"/>
  <c r="C185" i="22"/>
  <c r="O184" i="22"/>
  <c r="N184" i="22"/>
  <c r="M184" i="22"/>
  <c r="L184" i="22"/>
  <c r="K184" i="22"/>
  <c r="J184" i="22"/>
  <c r="I184" i="22"/>
  <c r="H184" i="22"/>
  <c r="G184" i="22"/>
  <c r="F184" i="22"/>
  <c r="E184" i="22"/>
  <c r="D184" i="22"/>
  <c r="C184" i="22"/>
  <c r="O183" i="22"/>
  <c r="N183" i="22"/>
  <c r="M183" i="22"/>
  <c r="L183" i="22"/>
  <c r="K183" i="22"/>
  <c r="J183" i="22"/>
  <c r="I183" i="22"/>
  <c r="H183" i="22"/>
  <c r="G183" i="22"/>
  <c r="F183" i="22"/>
  <c r="E183" i="22"/>
  <c r="D183" i="22"/>
  <c r="C183" i="22"/>
  <c r="O182" i="22"/>
  <c r="N182" i="22"/>
  <c r="M182" i="22"/>
  <c r="L182" i="22"/>
  <c r="K182" i="22"/>
  <c r="J182" i="22"/>
  <c r="I182" i="22"/>
  <c r="H182" i="22"/>
  <c r="G182" i="22"/>
  <c r="F182" i="22"/>
  <c r="E182" i="22"/>
  <c r="D182" i="22"/>
  <c r="C182" i="22"/>
  <c r="O181" i="22"/>
  <c r="N181" i="22"/>
  <c r="M181" i="22"/>
  <c r="L181" i="22"/>
  <c r="K181" i="22"/>
  <c r="J181" i="22"/>
  <c r="I181" i="22"/>
  <c r="H181" i="22"/>
  <c r="G181" i="22"/>
  <c r="F181" i="22"/>
  <c r="E181" i="22"/>
  <c r="D181" i="22"/>
  <c r="C181" i="22"/>
  <c r="O180" i="22"/>
  <c r="N180" i="22"/>
  <c r="M180" i="22"/>
  <c r="L180" i="22"/>
  <c r="K180" i="22"/>
  <c r="J180" i="22"/>
  <c r="I180" i="22"/>
  <c r="H180" i="22"/>
  <c r="G180" i="22"/>
  <c r="F180" i="22"/>
  <c r="E180" i="22"/>
  <c r="D180" i="22"/>
  <c r="C180" i="22"/>
  <c r="O179" i="22"/>
  <c r="N179" i="22"/>
  <c r="M179" i="22"/>
  <c r="L179" i="22"/>
  <c r="K179" i="22"/>
  <c r="J179" i="22"/>
  <c r="I179" i="22"/>
  <c r="H179" i="22"/>
  <c r="G179" i="22"/>
  <c r="F179" i="22"/>
  <c r="E179" i="22"/>
  <c r="D179" i="22"/>
  <c r="C179" i="22"/>
  <c r="O178" i="22"/>
  <c r="N178" i="22"/>
  <c r="M178" i="22"/>
  <c r="L178" i="22"/>
  <c r="K178" i="22"/>
  <c r="J178" i="22"/>
  <c r="I178" i="22"/>
  <c r="H178" i="22"/>
  <c r="G178" i="22"/>
  <c r="F178" i="22"/>
  <c r="E178" i="22"/>
  <c r="D178" i="22"/>
  <c r="C178" i="22"/>
  <c r="O177" i="22"/>
  <c r="N177" i="22"/>
  <c r="M177" i="22"/>
  <c r="L177" i="22"/>
  <c r="K177" i="22"/>
  <c r="J177" i="22"/>
  <c r="I177" i="22"/>
  <c r="H177" i="22"/>
  <c r="G177" i="22"/>
  <c r="F177" i="22"/>
  <c r="E177" i="22"/>
  <c r="D177" i="22"/>
  <c r="C177" i="22"/>
  <c r="O176" i="22"/>
  <c r="N176" i="22"/>
  <c r="M176" i="22"/>
  <c r="L176" i="22"/>
  <c r="K176" i="22"/>
  <c r="J176" i="22"/>
  <c r="I176" i="22"/>
  <c r="H176" i="22"/>
  <c r="G176" i="22"/>
  <c r="F176" i="22"/>
  <c r="E176" i="22"/>
  <c r="D176" i="22"/>
  <c r="C176" i="22"/>
  <c r="O175" i="22"/>
  <c r="N175" i="22"/>
  <c r="M175" i="22"/>
  <c r="L175" i="22"/>
  <c r="K175" i="22"/>
  <c r="J175" i="22"/>
  <c r="I175" i="22"/>
  <c r="H175" i="22"/>
  <c r="G175" i="22"/>
  <c r="F175" i="22"/>
  <c r="E175" i="22"/>
  <c r="D175" i="22"/>
  <c r="C175" i="22"/>
  <c r="O174" i="22"/>
  <c r="N174" i="22"/>
  <c r="M174" i="22"/>
  <c r="L174" i="22"/>
  <c r="K174" i="22"/>
  <c r="J174" i="22"/>
  <c r="I174" i="22"/>
  <c r="H174" i="22"/>
  <c r="G174" i="22"/>
  <c r="F174" i="22"/>
  <c r="E174" i="22"/>
  <c r="D174" i="22"/>
  <c r="C174" i="22"/>
  <c r="O173" i="22"/>
  <c r="N173" i="22"/>
  <c r="M173" i="22"/>
  <c r="L173" i="22"/>
  <c r="K173" i="22"/>
  <c r="J173" i="22"/>
  <c r="I173" i="22"/>
  <c r="H173" i="22"/>
  <c r="G173" i="22"/>
  <c r="F173" i="22"/>
  <c r="E173" i="22"/>
  <c r="D173" i="22"/>
  <c r="C173" i="22"/>
  <c r="B173" i="22"/>
  <c r="O172" i="22"/>
  <c r="N172" i="22"/>
  <c r="M172" i="22"/>
  <c r="L172" i="22"/>
  <c r="K172" i="22"/>
  <c r="J172" i="22"/>
  <c r="I172" i="22"/>
  <c r="H172" i="22"/>
  <c r="G172" i="22"/>
  <c r="F172" i="22"/>
  <c r="E172" i="22"/>
  <c r="D172" i="22"/>
  <c r="C172" i="22"/>
  <c r="O171" i="22"/>
  <c r="N171" i="22"/>
  <c r="M171" i="22"/>
  <c r="L171" i="22"/>
  <c r="K171" i="22"/>
  <c r="J171" i="22"/>
  <c r="I171" i="22"/>
  <c r="H171" i="22"/>
  <c r="G171" i="22"/>
  <c r="F171" i="22"/>
  <c r="E171" i="22"/>
  <c r="D171" i="22"/>
  <c r="C171" i="22"/>
  <c r="O170" i="22"/>
  <c r="N170" i="22"/>
  <c r="M170" i="22"/>
  <c r="L170" i="22"/>
  <c r="K170" i="22"/>
  <c r="J170" i="22"/>
  <c r="I170" i="22"/>
  <c r="H170" i="22"/>
  <c r="G170" i="22"/>
  <c r="F170" i="22"/>
  <c r="E170" i="22"/>
  <c r="D170" i="22"/>
  <c r="C170" i="22"/>
  <c r="O169" i="22"/>
  <c r="N169" i="22"/>
  <c r="M169" i="22"/>
  <c r="L169" i="22"/>
  <c r="K169" i="22"/>
  <c r="J169" i="22"/>
  <c r="I169" i="22"/>
  <c r="H169" i="22"/>
  <c r="G169" i="22"/>
  <c r="F169" i="22"/>
  <c r="E169" i="22"/>
  <c r="D169" i="22"/>
  <c r="C169" i="22"/>
  <c r="O168" i="22"/>
  <c r="N168" i="22"/>
  <c r="M168" i="22"/>
  <c r="L168" i="22"/>
  <c r="K168" i="22"/>
  <c r="J168" i="22"/>
  <c r="I168" i="22"/>
  <c r="H168" i="22"/>
  <c r="G168" i="22"/>
  <c r="F168" i="22"/>
  <c r="E168" i="22"/>
  <c r="D168" i="22"/>
  <c r="C168" i="22"/>
  <c r="O167" i="22"/>
  <c r="N167" i="22"/>
  <c r="M167" i="22"/>
  <c r="L167" i="22"/>
  <c r="K167" i="22"/>
  <c r="J167" i="22"/>
  <c r="I167" i="22"/>
  <c r="H167" i="22"/>
  <c r="G167" i="22"/>
  <c r="F167" i="22"/>
  <c r="E167" i="22"/>
  <c r="D167" i="22"/>
  <c r="C167" i="22"/>
  <c r="O166" i="22"/>
  <c r="N166" i="22"/>
  <c r="M166" i="22"/>
  <c r="L166" i="22"/>
  <c r="K166" i="22"/>
  <c r="J166" i="22"/>
  <c r="I166" i="22"/>
  <c r="H166" i="22"/>
  <c r="G166" i="22"/>
  <c r="F166" i="22"/>
  <c r="E166" i="22"/>
  <c r="D166" i="22"/>
  <c r="C166" i="22"/>
  <c r="O165" i="22"/>
  <c r="N165" i="22"/>
  <c r="M165" i="22"/>
  <c r="L165" i="22"/>
  <c r="K165" i="22"/>
  <c r="J165" i="22"/>
  <c r="I165" i="22"/>
  <c r="H165" i="22"/>
  <c r="G165" i="22"/>
  <c r="F165" i="22"/>
  <c r="E165" i="22"/>
  <c r="D165" i="22"/>
  <c r="C165" i="22"/>
  <c r="O164" i="22"/>
  <c r="N164" i="22"/>
  <c r="M164" i="22"/>
  <c r="L164" i="22"/>
  <c r="K164" i="22"/>
  <c r="J164" i="22"/>
  <c r="I164" i="22"/>
  <c r="H164" i="22"/>
  <c r="G164" i="22"/>
  <c r="F164" i="22"/>
  <c r="E164" i="22"/>
  <c r="D164" i="22"/>
  <c r="C164" i="22"/>
  <c r="O163" i="22"/>
  <c r="N163" i="22"/>
  <c r="M163" i="22"/>
  <c r="L163" i="22"/>
  <c r="K163" i="22"/>
  <c r="J163" i="22"/>
  <c r="I163" i="22"/>
  <c r="H163" i="22"/>
  <c r="G163" i="22"/>
  <c r="F163" i="22"/>
  <c r="E163" i="22"/>
  <c r="D163" i="22"/>
  <c r="C163" i="22"/>
  <c r="O162" i="22"/>
  <c r="N162" i="22"/>
  <c r="M162" i="22"/>
  <c r="L162" i="22"/>
  <c r="K162" i="22"/>
  <c r="J162" i="22"/>
  <c r="I162" i="22"/>
  <c r="H162" i="22"/>
  <c r="G162" i="22"/>
  <c r="F162" i="22"/>
  <c r="E162" i="22"/>
  <c r="D162" i="22"/>
  <c r="C162" i="22"/>
  <c r="O161" i="22"/>
  <c r="N161" i="22"/>
  <c r="M161" i="22"/>
  <c r="L161" i="22"/>
  <c r="K161" i="22"/>
  <c r="J161" i="22"/>
  <c r="I161" i="22"/>
  <c r="H161" i="22"/>
  <c r="G161" i="22"/>
  <c r="F161" i="22"/>
  <c r="E161" i="22"/>
  <c r="D161" i="22"/>
  <c r="C161" i="22"/>
  <c r="O160" i="22"/>
  <c r="N160" i="22"/>
  <c r="M160" i="22"/>
  <c r="L160" i="22"/>
  <c r="K160" i="22"/>
  <c r="J160" i="22"/>
  <c r="I160" i="22"/>
  <c r="H160" i="22"/>
  <c r="G160" i="22"/>
  <c r="F160" i="22"/>
  <c r="E160" i="22"/>
  <c r="D160" i="22"/>
  <c r="C160" i="22"/>
  <c r="O159" i="22"/>
  <c r="N159" i="22"/>
  <c r="M159" i="22"/>
  <c r="L159" i="22"/>
  <c r="K159" i="22"/>
  <c r="J159" i="22"/>
  <c r="I159" i="22"/>
  <c r="H159" i="22"/>
  <c r="G159" i="22"/>
  <c r="F159" i="22"/>
  <c r="E159" i="22"/>
  <c r="D159" i="22"/>
  <c r="C159" i="22"/>
  <c r="O158" i="22"/>
  <c r="N158" i="22"/>
  <c r="M158" i="22"/>
  <c r="L158" i="22"/>
  <c r="K158" i="22"/>
  <c r="J158" i="22"/>
  <c r="I158" i="22"/>
  <c r="H158" i="22"/>
  <c r="G158" i="22"/>
  <c r="F158" i="22"/>
  <c r="E158" i="22"/>
  <c r="D158" i="22"/>
  <c r="C158" i="22"/>
  <c r="O157" i="22"/>
  <c r="N157" i="22"/>
  <c r="M157" i="22"/>
  <c r="L157" i="22"/>
  <c r="K157" i="22"/>
  <c r="J157" i="22"/>
  <c r="I157" i="22"/>
  <c r="H157" i="22"/>
  <c r="G157" i="22"/>
  <c r="F157" i="22"/>
  <c r="E157" i="22"/>
  <c r="D157" i="22"/>
  <c r="C157" i="22"/>
  <c r="O156" i="22"/>
  <c r="N156" i="22"/>
  <c r="M156" i="22"/>
  <c r="L156" i="22"/>
  <c r="K156" i="22"/>
  <c r="J156" i="22"/>
  <c r="I156" i="22"/>
  <c r="H156" i="22"/>
  <c r="G156" i="22"/>
  <c r="F156" i="22"/>
  <c r="E156" i="22"/>
  <c r="D156" i="22"/>
  <c r="C156" i="22"/>
  <c r="O155" i="22"/>
  <c r="N155" i="22"/>
  <c r="M155" i="22"/>
  <c r="L155" i="22"/>
  <c r="K155" i="22"/>
  <c r="J155" i="22"/>
  <c r="I155" i="22"/>
  <c r="H155" i="22"/>
  <c r="G155" i="22"/>
  <c r="F155" i="22"/>
  <c r="E155" i="22"/>
  <c r="D155" i="22"/>
  <c r="C155" i="22"/>
  <c r="O154" i="22"/>
  <c r="N154" i="22"/>
  <c r="M154" i="22"/>
  <c r="L154" i="22"/>
  <c r="K154" i="22"/>
  <c r="J154" i="22"/>
  <c r="I154" i="22"/>
  <c r="H154" i="22"/>
  <c r="G154" i="22"/>
  <c r="F154" i="22"/>
  <c r="E154" i="22"/>
  <c r="D154" i="22"/>
  <c r="C154" i="22"/>
  <c r="O153" i="22"/>
  <c r="N153" i="22"/>
  <c r="M153" i="22"/>
  <c r="L153" i="22"/>
  <c r="K153" i="22"/>
  <c r="J153" i="22"/>
  <c r="I153" i="22"/>
  <c r="H153" i="22"/>
  <c r="G153" i="22"/>
  <c r="F153" i="22"/>
  <c r="E153" i="22"/>
  <c r="D153" i="22"/>
  <c r="C153" i="22"/>
  <c r="B153" i="22"/>
  <c r="O152" i="22"/>
  <c r="N152" i="22"/>
  <c r="M152" i="22"/>
  <c r="L152" i="22"/>
  <c r="K152" i="22"/>
  <c r="J152" i="22"/>
  <c r="I152" i="22"/>
  <c r="H152" i="22"/>
  <c r="G152" i="22"/>
  <c r="F152" i="22"/>
  <c r="E152" i="22"/>
  <c r="D152" i="22"/>
  <c r="C152" i="22"/>
  <c r="O151" i="22"/>
  <c r="N151" i="22"/>
  <c r="M151" i="22"/>
  <c r="L151" i="22"/>
  <c r="K151" i="22"/>
  <c r="J151" i="22"/>
  <c r="I151" i="22"/>
  <c r="H151" i="22"/>
  <c r="G151" i="22"/>
  <c r="F151" i="22"/>
  <c r="E151" i="22"/>
  <c r="D151" i="22"/>
  <c r="C151" i="22"/>
  <c r="O150" i="22"/>
  <c r="N150" i="22"/>
  <c r="M150" i="22"/>
  <c r="L150" i="22"/>
  <c r="K150" i="22"/>
  <c r="J150" i="22"/>
  <c r="I150" i="22"/>
  <c r="H150" i="22"/>
  <c r="G150" i="22"/>
  <c r="F150" i="22"/>
  <c r="E150" i="22"/>
  <c r="D150" i="22"/>
  <c r="C150" i="22"/>
  <c r="O149" i="22"/>
  <c r="N149" i="22"/>
  <c r="M149" i="22"/>
  <c r="L149" i="22"/>
  <c r="K149" i="22"/>
  <c r="J149" i="22"/>
  <c r="I149" i="22"/>
  <c r="H149" i="22"/>
  <c r="G149" i="22"/>
  <c r="F149" i="22"/>
  <c r="E149" i="22"/>
  <c r="D149" i="22"/>
  <c r="C149" i="22"/>
  <c r="O148" i="22"/>
  <c r="N148" i="22"/>
  <c r="M148" i="22"/>
  <c r="L148" i="22"/>
  <c r="K148" i="22"/>
  <c r="J148" i="22"/>
  <c r="I148" i="22"/>
  <c r="H148" i="22"/>
  <c r="G148" i="22"/>
  <c r="F148" i="22"/>
  <c r="E148" i="22"/>
  <c r="D148" i="22"/>
  <c r="C148" i="22"/>
  <c r="O147" i="22"/>
  <c r="N147" i="22"/>
  <c r="M147" i="22"/>
  <c r="L147" i="22"/>
  <c r="K147" i="22"/>
  <c r="J147" i="22"/>
  <c r="I147" i="22"/>
  <c r="H147" i="22"/>
  <c r="G147" i="22"/>
  <c r="F147" i="22"/>
  <c r="E147" i="22"/>
  <c r="D147" i="22"/>
  <c r="C147" i="22"/>
  <c r="O146" i="22"/>
  <c r="N146" i="22"/>
  <c r="M146" i="22"/>
  <c r="L146" i="22"/>
  <c r="K146" i="22"/>
  <c r="J146" i="22"/>
  <c r="I146" i="22"/>
  <c r="H146" i="22"/>
  <c r="G146" i="22"/>
  <c r="F146" i="22"/>
  <c r="E146" i="22"/>
  <c r="D146" i="22"/>
  <c r="C146" i="22"/>
  <c r="O145" i="22"/>
  <c r="N145" i="22"/>
  <c r="M145" i="22"/>
  <c r="L145" i="22"/>
  <c r="K145" i="22"/>
  <c r="J145" i="22"/>
  <c r="I145" i="22"/>
  <c r="H145" i="22"/>
  <c r="G145" i="22"/>
  <c r="F145" i="22"/>
  <c r="E145" i="22"/>
  <c r="D145" i="22"/>
  <c r="C145" i="22"/>
  <c r="O144" i="22"/>
  <c r="N144" i="22"/>
  <c r="M144" i="22"/>
  <c r="L144" i="22"/>
  <c r="K144" i="22"/>
  <c r="J144" i="22"/>
  <c r="I144" i="22"/>
  <c r="H144" i="22"/>
  <c r="G144" i="22"/>
  <c r="F144" i="22"/>
  <c r="E144" i="22"/>
  <c r="D144" i="22"/>
  <c r="C144" i="22"/>
  <c r="O143" i="22"/>
  <c r="N143" i="22"/>
  <c r="M143" i="22"/>
  <c r="L143" i="22"/>
  <c r="K143" i="22"/>
  <c r="J143" i="22"/>
  <c r="I143" i="22"/>
  <c r="H143" i="22"/>
  <c r="G143" i="22"/>
  <c r="F143" i="22"/>
  <c r="E143" i="22"/>
  <c r="D143" i="22"/>
  <c r="C143" i="22"/>
  <c r="O142" i="22"/>
  <c r="N142" i="22"/>
  <c r="M142" i="22"/>
  <c r="L142" i="22"/>
  <c r="K142" i="22"/>
  <c r="J142" i="22"/>
  <c r="I142" i="22"/>
  <c r="H142" i="22"/>
  <c r="G142" i="22"/>
  <c r="F142" i="22"/>
  <c r="E142" i="22"/>
  <c r="D142" i="22"/>
  <c r="C142" i="22"/>
  <c r="O141" i="22"/>
  <c r="N141" i="22"/>
  <c r="M141" i="22"/>
  <c r="L141" i="22"/>
  <c r="K141" i="22"/>
  <c r="J141" i="22"/>
  <c r="I141" i="22"/>
  <c r="H141" i="22"/>
  <c r="G141" i="22"/>
  <c r="F141" i="22"/>
  <c r="E141" i="22"/>
  <c r="D141" i="22"/>
  <c r="C141" i="22"/>
  <c r="O140" i="22"/>
  <c r="N140" i="22"/>
  <c r="M140" i="22"/>
  <c r="L140" i="22"/>
  <c r="K140" i="22"/>
  <c r="J140" i="22"/>
  <c r="I140" i="22"/>
  <c r="H140" i="22"/>
  <c r="G140" i="22"/>
  <c r="F140" i="22"/>
  <c r="E140" i="22"/>
  <c r="D140" i="22"/>
  <c r="C140" i="22"/>
  <c r="O139" i="22"/>
  <c r="N139" i="22"/>
  <c r="M139" i="22"/>
  <c r="L139" i="22"/>
  <c r="K139" i="22"/>
  <c r="J139" i="22"/>
  <c r="I139" i="22"/>
  <c r="H139" i="22"/>
  <c r="G139" i="22"/>
  <c r="F139" i="22"/>
  <c r="E139" i="22"/>
  <c r="D139" i="22"/>
  <c r="C139" i="22"/>
  <c r="O138" i="22"/>
  <c r="N138" i="22"/>
  <c r="M138" i="22"/>
  <c r="L138" i="22"/>
  <c r="K138" i="22"/>
  <c r="J138" i="22"/>
  <c r="I138" i="22"/>
  <c r="H138" i="22"/>
  <c r="G138" i="22"/>
  <c r="F138" i="22"/>
  <c r="E138" i="22"/>
  <c r="D138" i="22"/>
  <c r="C138" i="22"/>
  <c r="O137" i="22"/>
  <c r="N137" i="22"/>
  <c r="M137" i="22"/>
  <c r="L137" i="22"/>
  <c r="K137" i="22"/>
  <c r="J137" i="22"/>
  <c r="I137" i="22"/>
  <c r="H137" i="22"/>
  <c r="G137" i="22"/>
  <c r="F137" i="22"/>
  <c r="E137" i="22"/>
  <c r="D137" i="22"/>
  <c r="C137" i="22"/>
  <c r="O136" i="22"/>
  <c r="N136" i="22"/>
  <c r="M136" i="22"/>
  <c r="L136" i="22"/>
  <c r="K136" i="22"/>
  <c r="J136" i="22"/>
  <c r="I136" i="22"/>
  <c r="H136" i="22"/>
  <c r="G136" i="22"/>
  <c r="F136" i="22"/>
  <c r="E136" i="22"/>
  <c r="D136" i="22"/>
  <c r="C136" i="22"/>
  <c r="O135" i="22"/>
  <c r="N135" i="22"/>
  <c r="M135" i="22"/>
  <c r="L135" i="22"/>
  <c r="K135" i="22"/>
  <c r="J135" i="22"/>
  <c r="I135" i="22"/>
  <c r="H135" i="22"/>
  <c r="G135" i="22"/>
  <c r="F135" i="22"/>
  <c r="E135" i="22"/>
  <c r="D135" i="22"/>
  <c r="C135" i="22"/>
  <c r="O134" i="22"/>
  <c r="N134" i="22"/>
  <c r="M134" i="22"/>
  <c r="L134" i="22"/>
  <c r="K134" i="22"/>
  <c r="J134" i="22"/>
  <c r="I134" i="22"/>
  <c r="H134" i="22"/>
  <c r="G134" i="22"/>
  <c r="F134" i="22"/>
  <c r="E134" i="22"/>
  <c r="D134" i="22"/>
  <c r="C134" i="22"/>
  <c r="O133" i="22"/>
  <c r="N133" i="22"/>
  <c r="M133" i="22"/>
  <c r="L133" i="22"/>
  <c r="K133" i="22"/>
  <c r="J133" i="22"/>
  <c r="I133" i="22"/>
  <c r="H133" i="22"/>
  <c r="G133" i="22"/>
  <c r="F133" i="22"/>
  <c r="E133" i="22"/>
  <c r="D133" i="22"/>
  <c r="C133" i="22"/>
  <c r="O132" i="22"/>
  <c r="N132" i="22"/>
  <c r="M132" i="22"/>
  <c r="L132" i="22"/>
  <c r="K132" i="22"/>
  <c r="J132" i="22"/>
  <c r="I132" i="22"/>
  <c r="H132" i="22"/>
  <c r="G132" i="22"/>
  <c r="F132" i="22"/>
  <c r="E132" i="22"/>
  <c r="D132" i="22"/>
  <c r="C132" i="22"/>
  <c r="O131" i="22"/>
  <c r="N131" i="22"/>
  <c r="M131" i="22"/>
  <c r="L131" i="22"/>
  <c r="K131" i="22"/>
  <c r="J131" i="22"/>
  <c r="I131" i="22"/>
  <c r="H131" i="22"/>
  <c r="G131" i="22"/>
  <c r="F131" i="22"/>
  <c r="E131" i="22"/>
  <c r="D131" i="22"/>
  <c r="C131" i="22"/>
  <c r="O130" i="22"/>
  <c r="N130" i="22"/>
  <c r="M130" i="22"/>
  <c r="L130" i="22"/>
  <c r="K130" i="22"/>
  <c r="J130" i="22"/>
  <c r="I130" i="22"/>
  <c r="H130" i="22"/>
  <c r="G130" i="22"/>
  <c r="F130" i="22"/>
  <c r="E130" i="22"/>
  <c r="D130" i="22"/>
  <c r="C130" i="22"/>
  <c r="O129" i="22"/>
  <c r="N129" i="22"/>
  <c r="M129" i="22"/>
  <c r="L129" i="22"/>
  <c r="K129" i="22"/>
  <c r="J129" i="22"/>
  <c r="I129" i="22"/>
  <c r="H129" i="22"/>
  <c r="G129" i="22"/>
  <c r="F129" i="22"/>
  <c r="E129" i="22"/>
  <c r="D129" i="22"/>
  <c r="C129" i="22"/>
  <c r="O128" i="22"/>
  <c r="N128" i="22"/>
  <c r="M128" i="22"/>
  <c r="L128" i="22"/>
  <c r="K128" i="22"/>
  <c r="J128" i="22"/>
  <c r="I128" i="22"/>
  <c r="H128" i="22"/>
  <c r="G128" i="22"/>
  <c r="F128" i="22"/>
  <c r="E128" i="22"/>
  <c r="D128" i="22"/>
  <c r="C128" i="22"/>
  <c r="O127" i="22"/>
  <c r="N127" i="22"/>
  <c r="M127" i="22"/>
  <c r="L127" i="22"/>
  <c r="K127" i="22"/>
  <c r="J127" i="22"/>
  <c r="I127" i="22"/>
  <c r="H127" i="22"/>
  <c r="G127" i="22"/>
  <c r="F127" i="22"/>
  <c r="E127" i="22"/>
  <c r="D127" i="22"/>
  <c r="C127" i="22"/>
  <c r="O126" i="22"/>
  <c r="N126" i="22"/>
  <c r="M126" i="22"/>
  <c r="L126" i="22"/>
  <c r="K126" i="22"/>
  <c r="J126" i="22"/>
  <c r="I126" i="22"/>
  <c r="H126" i="22"/>
  <c r="G126" i="22"/>
  <c r="F126" i="22"/>
  <c r="E126" i="22"/>
  <c r="D126" i="22"/>
  <c r="C126" i="22"/>
  <c r="O125" i="22"/>
  <c r="N125" i="22"/>
  <c r="M125" i="22"/>
  <c r="L125" i="22"/>
  <c r="K125" i="22"/>
  <c r="J125" i="22"/>
  <c r="I125" i="22"/>
  <c r="H125" i="22"/>
  <c r="G125" i="22"/>
  <c r="F125" i="22"/>
  <c r="E125" i="22"/>
  <c r="D125" i="22"/>
  <c r="C125" i="22"/>
  <c r="O124" i="22"/>
  <c r="N124" i="22"/>
  <c r="M124" i="22"/>
  <c r="L124" i="22"/>
  <c r="K124" i="22"/>
  <c r="J124" i="22"/>
  <c r="I124" i="22"/>
  <c r="H124" i="22"/>
  <c r="G124" i="22"/>
  <c r="F124" i="22"/>
  <c r="E124" i="22"/>
  <c r="D124" i="22"/>
  <c r="C124" i="22"/>
  <c r="O123" i="22"/>
  <c r="N123" i="22"/>
  <c r="M123" i="22"/>
  <c r="L123" i="22"/>
  <c r="K123" i="22"/>
  <c r="J123" i="22"/>
  <c r="I123" i="22"/>
  <c r="H123" i="22"/>
  <c r="G123" i="22"/>
  <c r="F123" i="22"/>
  <c r="E123" i="22"/>
  <c r="D123" i="22"/>
  <c r="C123" i="22"/>
  <c r="O122" i="22"/>
  <c r="N122" i="22"/>
  <c r="M122" i="22"/>
  <c r="L122" i="22"/>
  <c r="K122" i="22"/>
  <c r="J122" i="22"/>
  <c r="I122" i="22"/>
  <c r="H122" i="22"/>
  <c r="G122" i="22"/>
  <c r="F122" i="22"/>
  <c r="E122" i="22"/>
  <c r="D122" i="22"/>
  <c r="C122" i="22"/>
  <c r="O121" i="22"/>
  <c r="N121" i="22"/>
  <c r="M121" i="22"/>
  <c r="L121" i="22"/>
  <c r="K121" i="22"/>
  <c r="J121" i="22"/>
  <c r="I121" i="22"/>
  <c r="H121" i="22"/>
  <c r="G121" i="22"/>
  <c r="F121" i="22"/>
  <c r="E121" i="22"/>
  <c r="D121" i="22"/>
  <c r="C121" i="22"/>
  <c r="O120" i="22"/>
  <c r="N120" i="22"/>
  <c r="M120" i="22"/>
  <c r="L120" i="22"/>
  <c r="K120" i="22"/>
  <c r="J120" i="22"/>
  <c r="I120" i="22"/>
  <c r="H120" i="22"/>
  <c r="G120" i="22"/>
  <c r="F120" i="22"/>
  <c r="E120" i="22"/>
  <c r="D120" i="22"/>
  <c r="C120" i="22"/>
  <c r="O119" i="22"/>
  <c r="N119" i="22"/>
  <c r="M119" i="22"/>
  <c r="L119" i="22"/>
  <c r="K119" i="22"/>
  <c r="J119" i="22"/>
  <c r="I119" i="22"/>
  <c r="H119" i="22"/>
  <c r="G119" i="22"/>
  <c r="F119" i="22"/>
  <c r="E119" i="22"/>
  <c r="D119" i="22"/>
  <c r="C119" i="22"/>
  <c r="O118" i="22"/>
  <c r="N118" i="22"/>
  <c r="M118" i="22"/>
  <c r="L118" i="22"/>
  <c r="K118" i="22"/>
  <c r="J118" i="22"/>
  <c r="I118" i="22"/>
  <c r="H118" i="22"/>
  <c r="G118" i="22"/>
  <c r="F118" i="22"/>
  <c r="E118" i="22"/>
  <c r="D118" i="22"/>
  <c r="C118" i="22"/>
  <c r="O117" i="22"/>
  <c r="N117" i="22"/>
  <c r="M117" i="22"/>
  <c r="L117" i="22"/>
  <c r="K117" i="22"/>
  <c r="J117" i="22"/>
  <c r="I117" i="22"/>
  <c r="H117" i="22"/>
  <c r="G117" i="22"/>
  <c r="F117" i="22"/>
  <c r="E117" i="22"/>
  <c r="D117" i="22"/>
  <c r="C117" i="22"/>
  <c r="O116" i="22"/>
  <c r="N116" i="22"/>
  <c r="M116" i="22"/>
  <c r="L116" i="22"/>
  <c r="K116" i="22"/>
  <c r="J116" i="22"/>
  <c r="I116" i="22"/>
  <c r="H116" i="22"/>
  <c r="G116" i="22"/>
  <c r="F116" i="22"/>
  <c r="E116" i="22"/>
  <c r="D116" i="22"/>
  <c r="C116" i="22"/>
  <c r="O115" i="22"/>
  <c r="N115" i="22"/>
  <c r="M115" i="22"/>
  <c r="L115" i="22"/>
  <c r="K115" i="22"/>
  <c r="J115" i="22"/>
  <c r="I115" i="22"/>
  <c r="H115" i="22"/>
  <c r="G115" i="22"/>
  <c r="F115" i="22"/>
  <c r="E115" i="22"/>
  <c r="D115" i="22"/>
  <c r="C115" i="22"/>
  <c r="O114" i="22"/>
  <c r="N114" i="22"/>
  <c r="M114" i="22"/>
  <c r="L114" i="22"/>
  <c r="K114" i="22"/>
  <c r="J114" i="22"/>
  <c r="I114" i="22"/>
  <c r="H114" i="22"/>
  <c r="G114" i="22"/>
  <c r="F114" i="22"/>
  <c r="E114" i="22"/>
  <c r="D114" i="22"/>
  <c r="C114" i="22"/>
  <c r="O113" i="22"/>
  <c r="N113" i="22"/>
  <c r="M113" i="22"/>
  <c r="L113" i="22"/>
  <c r="K113" i="22"/>
  <c r="J113" i="22"/>
  <c r="I113" i="22"/>
  <c r="H113" i="22"/>
  <c r="G113" i="22"/>
  <c r="F113" i="22"/>
  <c r="E113" i="22"/>
  <c r="D113" i="22"/>
  <c r="C113" i="22"/>
  <c r="O112" i="22"/>
  <c r="N112" i="22"/>
  <c r="M112" i="22"/>
  <c r="L112" i="22"/>
  <c r="K112" i="22"/>
  <c r="J112" i="22"/>
  <c r="I112" i="22"/>
  <c r="H112" i="22"/>
  <c r="G112" i="22"/>
  <c r="F112" i="22"/>
  <c r="E112" i="22"/>
  <c r="D112" i="22"/>
  <c r="C112" i="22"/>
  <c r="B112" i="22"/>
  <c r="O111" i="22"/>
  <c r="N111" i="22"/>
  <c r="M111" i="22"/>
  <c r="L111" i="22"/>
  <c r="K111" i="22"/>
  <c r="J111" i="22"/>
  <c r="I111" i="22"/>
  <c r="H111" i="22"/>
  <c r="G111" i="22"/>
  <c r="F111" i="22"/>
  <c r="E111" i="22"/>
  <c r="D111" i="22"/>
  <c r="C111" i="22"/>
  <c r="O110" i="22"/>
  <c r="N110" i="22"/>
  <c r="M110" i="22"/>
  <c r="L110" i="22"/>
  <c r="K110" i="22"/>
  <c r="J110" i="22"/>
  <c r="I110" i="22"/>
  <c r="H110" i="22"/>
  <c r="G110" i="22"/>
  <c r="F110" i="22"/>
  <c r="E110" i="22"/>
  <c r="D110" i="22"/>
  <c r="C110" i="22"/>
  <c r="O109" i="22"/>
  <c r="N109" i="22"/>
  <c r="M109" i="22"/>
  <c r="L109" i="22"/>
  <c r="K109" i="22"/>
  <c r="J109" i="22"/>
  <c r="I109" i="22"/>
  <c r="H109" i="22"/>
  <c r="G109" i="22"/>
  <c r="F109" i="22"/>
  <c r="E109" i="22"/>
  <c r="D109" i="22"/>
  <c r="C109" i="22"/>
  <c r="O108" i="22"/>
  <c r="N108" i="22"/>
  <c r="M108" i="22"/>
  <c r="L108" i="22"/>
  <c r="K108" i="22"/>
  <c r="J108" i="22"/>
  <c r="I108" i="22"/>
  <c r="H108" i="22"/>
  <c r="G108" i="22"/>
  <c r="F108" i="22"/>
  <c r="E108" i="22"/>
  <c r="D108" i="22"/>
  <c r="C108" i="22"/>
  <c r="O107" i="22"/>
  <c r="N107" i="22"/>
  <c r="M107" i="22"/>
  <c r="L107" i="22"/>
  <c r="K107" i="22"/>
  <c r="J107" i="22"/>
  <c r="I107" i="22"/>
  <c r="H107" i="22"/>
  <c r="G107" i="22"/>
  <c r="F107" i="22"/>
  <c r="E107" i="22"/>
  <c r="D107" i="22"/>
  <c r="C107" i="22"/>
  <c r="O106" i="22"/>
  <c r="N106" i="22"/>
  <c r="M106" i="22"/>
  <c r="L106" i="22"/>
  <c r="K106" i="22"/>
  <c r="J106" i="22"/>
  <c r="I106" i="22"/>
  <c r="H106" i="22"/>
  <c r="G106" i="22"/>
  <c r="F106" i="22"/>
  <c r="E106" i="22"/>
  <c r="D106" i="22"/>
  <c r="C106" i="22"/>
  <c r="O105" i="22"/>
  <c r="N105" i="22"/>
  <c r="M105" i="22"/>
  <c r="L105" i="22"/>
  <c r="K105" i="22"/>
  <c r="J105" i="22"/>
  <c r="I105" i="22"/>
  <c r="H105" i="22"/>
  <c r="G105" i="22"/>
  <c r="F105" i="22"/>
  <c r="E105" i="22"/>
  <c r="D105" i="22"/>
  <c r="C105" i="22"/>
  <c r="O104" i="22"/>
  <c r="N104" i="22"/>
  <c r="M104" i="22"/>
  <c r="L104" i="22"/>
  <c r="K104" i="22"/>
  <c r="J104" i="22"/>
  <c r="I104" i="22"/>
  <c r="H104" i="22"/>
  <c r="G104" i="22"/>
  <c r="F104" i="22"/>
  <c r="E104" i="22"/>
  <c r="D104" i="22"/>
  <c r="C104" i="22"/>
  <c r="O103" i="22"/>
  <c r="N103" i="22"/>
  <c r="M103" i="22"/>
  <c r="L103" i="22"/>
  <c r="K103" i="22"/>
  <c r="J103" i="22"/>
  <c r="I103" i="22"/>
  <c r="H103" i="22"/>
  <c r="G103" i="22"/>
  <c r="F103" i="22"/>
  <c r="E103" i="22"/>
  <c r="D103" i="22"/>
  <c r="C103" i="22"/>
  <c r="O102" i="22"/>
  <c r="N102" i="22"/>
  <c r="M102" i="22"/>
  <c r="L102" i="22"/>
  <c r="K102" i="22"/>
  <c r="J102" i="22"/>
  <c r="I102" i="22"/>
  <c r="H102" i="22"/>
  <c r="G102" i="22"/>
  <c r="F102" i="22"/>
  <c r="E102" i="22"/>
  <c r="D102" i="22"/>
  <c r="C102" i="22"/>
  <c r="O101" i="22"/>
  <c r="N101" i="22"/>
  <c r="M101" i="22"/>
  <c r="L101" i="22"/>
  <c r="K101" i="22"/>
  <c r="J101" i="22"/>
  <c r="I101" i="22"/>
  <c r="H101" i="22"/>
  <c r="G101" i="22"/>
  <c r="F101" i="22"/>
  <c r="E101" i="22"/>
  <c r="D101" i="22"/>
  <c r="C101" i="22"/>
  <c r="O100" i="22"/>
  <c r="N100" i="22"/>
  <c r="M100" i="22"/>
  <c r="L100" i="22"/>
  <c r="K100" i="22"/>
  <c r="J100" i="22"/>
  <c r="I100" i="22"/>
  <c r="H100" i="22"/>
  <c r="G100" i="22"/>
  <c r="F100" i="22"/>
  <c r="E100" i="22"/>
  <c r="D100" i="22"/>
  <c r="C100" i="22"/>
  <c r="O99" i="22"/>
  <c r="N99" i="22"/>
  <c r="M99" i="22"/>
  <c r="L99" i="22"/>
  <c r="K99" i="22"/>
  <c r="J99" i="22"/>
  <c r="I99" i="22"/>
  <c r="H99" i="22"/>
  <c r="G99" i="22"/>
  <c r="F99" i="22"/>
  <c r="E99" i="22"/>
  <c r="D99" i="22"/>
  <c r="C99" i="22"/>
  <c r="O98" i="22"/>
  <c r="N98" i="22"/>
  <c r="M98" i="22"/>
  <c r="L98" i="22"/>
  <c r="K98" i="22"/>
  <c r="J98" i="22"/>
  <c r="I98" i="22"/>
  <c r="H98" i="22"/>
  <c r="G98" i="22"/>
  <c r="F98" i="22"/>
  <c r="E98" i="22"/>
  <c r="D98" i="22"/>
  <c r="C98" i="22"/>
  <c r="O97" i="22"/>
  <c r="N97" i="22"/>
  <c r="M97" i="22"/>
  <c r="L97" i="22"/>
  <c r="K97" i="22"/>
  <c r="J97" i="22"/>
  <c r="I97" i="22"/>
  <c r="H97" i="22"/>
  <c r="G97" i="22"/>
  <c r="F97" i="22"/>
  <c r="E97" i="22"/>
  <c r="D97" i="22"/>
  <c r="C97" i="22"/>
  <c r="O96" i="22"/>
  <c r="N96" i="22"/>
  <c r="M96" i="22"/>
  <c r="L96" i="22"/>
  <c r="K96" i="22"/>
  <c r="J96" i="22"/>
  <c r="I96" i="22"/>
  <c r="H96" i="22"/>
  <c r="G96" i="22"/>
  <c r="F96" i="22"/>
  <c r="E96" i="22"/>
  <c r="D96" i="22"/>
  <c r="C96" i="22"/>
  <c r="O95" i="22"/>
  <c r="N95" i="22"/>
  <c r="M95" i="22"/>
  <c r="L95" i="22"/>
  <c r="K95" i="22"/>
  <c r="J95" i="22"/>
  <c r="I95" i="22"/>
  <c r="H95" i="22"/>
  <c r="G95" i="22"/>
  <c r="F95" i="22"/>
  <c r="E95" i="22"/>
  <c r="D95" i="22"/>
  <c r="C95" i="22"/>
  <c r="O94" i="22"/>
  <c r="N94" i="22"/>
  <c r="M94" i="22"/>
  <c r="L94" i="22"/>
  <c r="K94" i="22"/>
  <c r="J94" i="22"/>
  <c r="I94" i="22"/>
  <c r="H94" i="22"/>
  <c r="G94" i="22"/>
  <c r="F94" i="22"/>
  <c r="E94" i="22"/>
  <c r="D94" i="22"/>
  <c r="C94" i="22"/>
  <c r="O93" i="22"/>
  <c r="N93" i="22"/>
  <c r="M93" i="22"/>
  <c r="L93" i="22"/>
  <c r="K93" i="22"/>
  <c r="J93" i="22"/>
  <c r="I93" i="22"/>
  <c r="H93" i="22"/>
  <c r="G93" i="22"/>
  <c r="F93" i="22"/>
  <c r="E93" i="22"/>
  <c r="D93" i="22"/>
  <c r="C93" i="22"/>
  <c r="O92" i="22"/>
  <c r="N92" i="22"/>
  <c r="M92" i="22"/>
  <c r="L92" i="22"/>
  <c r="K92" i="22"/>
  <c r="J92" i="22"/>
  <c r="I92" i="22"/>
  <c r="H92" i="22"/>
  <c r="G92" i="22"/>
  <c r="F92" i="22"/>
  <c r="E92" i="22"/>
  <c r="D92" i="22"/>
  <c r="C92" i="22"/>
  <c r="O91" i="22"/>
  <c r="N91" i="22"/>
  <c r="M91" i="22"/>
  <c r="L91" i="22"/>
  <c r="K91" i="22"/>
  <c r="J91" i="22"/>
  <c r="I91" i="22"/>
  <c r="H91" i="22"/>
  <c r="G91" i="22"/>
  <c r="F91" i="22"/>
  <c r="E91" i="22"/>
  <c r="D91" i="22"/>
  <c r="C91" i="22"/>
  <c r="O90" i="22"/>
  <c r="N90" i="22"/>
  <c r="M90" i="22"/>
  <c r="L90" i="22"/>
  <c r="K90" i="22"/>
  <c r="J90" i="22"/>
  <c r="I90" i="22"/>
  <c r="H90" i="22"/>
  <c r="G90" i="22"/>
  <c r="F90" i="22"/>
  <c r="E90" i="22"/>
  <c r="D90" i="22"/>
  <c r="C90" i="22"/>
  <c r="O89" i="22"/>
  <c r="N89" i="22"/>
  <c r="M89" i="22"/>
  <c r="L89" i="22"/>
  <c r="K89" i="22"/>
  <c r="J89" i="22"/>
  <c r="I89" i="22"/>
  <c r="H89" i="22"/>
  <c r="G89" i="22"/>
  <c r="F89" i="22"/>
  <c r="E89" i="22"/>
  <c r="D89" i="22"/>
  <c r="C89" i="22"/>
  <c r="O88" i="22"/>
  <c r="N88" i="22"/>
  <c r="M88" i="22"/>
  <c r="L88" i="22"/>
  <c r="K88" i="22"/>
  <c r="J88" i="22"/>
  <c r="I88" i="22"/>
  <c r="H88" i="22"/>
  <c r="G88" i="22"/>
  <c r="F88" i="22"/>
  <c r="E88" i="22"/>
  <c r="D88" i="22"/>
  <c r="C88" i="22"/>
  <c r="O87" i="22"/>
  <c r="N87" i="22"/>
  <c r="M87" i="22"/>
  <c r="L87" i="22"/>
  <c r="K87" i="22"/>
  <c r="J87" i="22"/>
  <c r="I87" i="22"/>
  <c r="H87" i="22"/>
  <c r="G87" i="22"/>
  <c r="F87" i="22"/>
  <c r="E87" i="22"/>
  <c r="D87" i="22"/>
  <c r="C87" i="22"/>
  <c r="O86" i="22"/>
  <c r="N86" i="22"/>
  <c r="M86" i="22"/>
  <c r="L86" i="22"/>
  <c r="K86" i="22"/>
  <c r="J86" i="22"/>
  <c r="I86" i="22"/>
  <c r="H86" i="22"/>
  <c r="G86" i="22"/>
  <c r="F86" i="22"/>
  <c r="E86" i="22"/>
  <c r="D86" i="22"/>
  <c r="C86" i="22"/>
  <c r="O85" i="22"/>
  <c r="N85" i="22"/>
  <c r="M85" i="22"/>
  <c r="L85" i="22"/>
  <c r="K85" i="22"/>
  <c r="J85" i="22"/>
  <c r="I85" i="22"/>
  <c r="H85" i="22"/>
  <c r="G85" i="22"/>
  <c r="F85" i="22"/>
  <c r="E85" i="22"/>
  <c r="D85" i="22"/>
  <c r="C85" i="22"/>
  <c r="B85" i="22"/>
  <c r="O84" i="22"/>
  <c r="N84" i="22"/>
  <c r="M84" i="22"/>
  <c r="L84" i="22"/>
  <c r="K84" i="22"/>
  <c r="J84" i="22"/>
  <c r="I84" i="22"/>
  <c r="H84" i="22"/>
  <c r="G84" i="22"/>
  <c r="F84" i="22"/>
  <c r="E84" i="22"/>
  <c r="D84" i="22"/>
  <c r="C84" i="22"/>
  <c r="O83" i="22"/>
  <c r="N83" i="22"/>
  <c r="M83" i="22"/>
  <c r="L83" i="22"/>
  <c r="K83" i="22"/>
  <c r="J83" i="22"/>
  <c r="I83" i="22"/>
  <c r="H83" i="22"/>
  <c r="G83" i="22"/>
  <c r="F83" i="22"/>
  <c r="E83" i="22"/>
  <c r="D83" i="22"/>
  <c r="C83" i="22"/>
  <c r="O82" i="22"/>
  <c r="N82" i="22"/>
  <c r="M82" i="22"/>
  <c r="L82" i="22"/>
  <c r="K82" i="22"/>
  <c r="J82" i="22"/>
  <c r="I82" i="22"/>
  <c r="H82" i="22"/>
  <c r="G82" i="22"/>
  <c r="F82" i="22"/>
  <c r="E82" i="22"/>
  <c r="D82" i="22"/>
  <c r="C82" i="22"/>
  <c r="O81" i="22"/>
  <c r="N81" i="22"/>
  <c r="M81" i="22"/>
  <c r="L81" i="22"/>
  <c r="K81" i="22"/>
  <c r="J81" i="22"/>
  <c r="I81" i="22"/>
  <c r="H81" i="22"/>
  <c r="G81" i="22"/>
  <c r="F81" i="22"/>
  <c r="E81" i="22"/>
  <c r="D81" i="22"/>
  <c r="C81" i="22"/>
  <c r="O80" i="22"/>
  <c r="N80" i="22"/>
  <c r="M80" i="22"/>
  <c r="L80" i="22"/>
  <c r="K80" i="22"/>
  <c r="J80" i="22"/>
  <c r="I80" i="22"/>
  <c r="H80" i="22"/>
  <c r="G80" i="22"/>
  <c r="F80" i="22"/>
  <c r="E80" i="22"/>
  <c r="D80" i="22"/>
  <c r="C80" i="22"/>
  <c r="O79" i="22"/>
  <c r="N79" i="22"/>
  <c r="M79" i="22"/>
  <c r="L79" i="22"/>
  <c r="K79" i="22"/>
  <c r="J79" i="22"/>
  <c r="I79" i="22"/>
  <c r="H79" i="22"/>
  <c r="G79" i="22"/>
  <c r="F79" i="22"/>
  <c r="E79" i="22"/>
  <c r="D79" i="22"/>
  <c r="C79" i="22"/>
  <c r="O78" i="22"/>
  <c r="N78" i="22"/>
  <c r="M78" i="22"/>
  <c r="L78" i="22"/>
  <c r="K78" i="22"/>
  <c r="J78" i="22"/>
  <c r="I78" i="22"/>
  <c r="H78" i="22"/>
  <c r="G78" i="22"/>
  <c r="F78" i="22"/>
  <c r="E78" i="22"/>
  <c r="D78" i="22"/>
  <c r="C78" i="22"/>
  <c r="O77" i="22"/>
  <c r="N77" i="22"/>
  <c r="M77" i="22"/>
  <c r="L77" i="22"/>
  <c r="K77" i="22"/>
  <c r="J77" i="22"/>
  <c r="I77" i="22"/>
  <c r="H77" i="22"/>
  <c r="G77" i="22"/>
  <c r="F77" i="22"/>
  <c r="E77" i="22"/>
  <c r="D77" i="22"/>
  <c r="C77" i="22"/>
  <c r="O76" i="22"/>
  <c r="N76" i="22"/>
  <c r="M76" i="22"/>
  <c r="L76" i="22"/>
  <c r="K76" i="22"/>
  <c r="J76" i="22"/>
  <c r="I76" i="22"/>
  <c r="H76" i="22"/>
  <c r="G76" i="22"/>
  <c r="F76" i="22"/>
  <c r="E76" i="22"/>
  <c r="D76" i="22"/>
  <c r="C76" i="22"/>
  <c r="O75" i="22"/>
  <c r="N75" i="22"/>
  <c r="M75" i="22"/>
  <c r="L75" i="22"/>
  <c r="K75" i="22"/>
  <c r="J75" i="22"/>
  <c r="I75" i="22"/>
  <c r="H75" i="22"/>
  <c r="G75" i="22"/>
  <c r="F75" i="22"/>
  <c r="E75" i="22"/>
  <c r="D75" i="22"/>
  <c r="C75" i="22"/>
  <c r="O74" i="22"/>
  <c r="N74" i="22"/>
  <c r="M74" i="22"/>
  <c r="L74" i="22"/>
  <c r="K74" i="22"/>
  <c r="J74" i="22"/>
  <c r="I74" i="22"/>
  <c r="H74" i="22"/>
  <c r="G74" i="22"/>
  <c r="F74" i="22"/>
  <c r="E74" i="22"/>
  <c r="D74" i="22"/>
  <c r="C74" i="22"/>
  <c r="O73" i="22"/>
  <c r="N73" i="22"/>
  <c r="M73" i="22"/>
  <c r="L73" i="22"/>
  <c r="K73" i="22"/>
  <c r="J73" i="22"/>
  <c r="I73" i="22"/>
  <c r="H73" i="22"/>
  <c r="G73" i="22"/>
  <c r="F73" i="22"/>
  <c r="E73" i="22"/>
  <c r="D73" i="22"/>
  <c r="C73" i="22"/>
  <c r="O72" i="22"/>
  <c r="N72" i="22"/>
  <c r="M72" i="22"/>
  <c r="L72" i="22"/>
  <c r="K72" i="22"/>
  <c r="J72" i="22"/>
  <c r="I72" i="22"/>
  <c r="H72" i="22"/>
  <c r="G72" i="22"/>
  <c r="F72" i="22"/>
  <c r="E72" i="22"/>
  <c r="D72" i="22"/>
  <c r="C72" i="22"/>
  <c r="O71" i="22"/>
  <c r="N71" i="22"/>
  <c r="M71" i="22"/>
  <c r="L71" i="22"/>
  <c r="K71" i="22"/>
  <c r="J71" i="22"/>
  <c r="I71" i="22"/>
  <c r="H71" i="22"/>
  <c r="G71" i="22"/>
  <c r="F71" i="22"/>
  <c r="E71" i="22"/>
  <c r="D71" i="22"/>
  <c r="C71" i="22"/>
  <c r="O70" i="22"/>
  <c r="N70" i="22"/>
  <c r="M70" i="22"/>
  <c r="L70" i="22"/>
  <c r="K70" i="22"/>
  <c r="J70" i="22"/>
  <c r="I70" i="22"/>
  <c r="H70" i="22"/>
  <c r="G70" i="22"/>
  <c r="F70" i="22"/>
  <c r="E70" i="22"/>
  <c r="D70" i="22"/>
  <c r="C70" i="22"/>
  <c r="O69" i="22"/>
  <c r="N69" i="22"/>
  <c r="M69" i="22"/>
  <c r="L69" i="22"/>
  <c r="K69" i="22"/>
  <c r="J69" i="22"/>
  <c r="I69" i="22"/>
  <c r="H69" i="22"/>
  <c r="G69" i="22"/>
  <c r="F69" i="22"/>
  <c r="E69" i="22"/>
  <c r="D69" i="22"/>
  <c r="C69" i="22"/>
  <c r="O68" i="22"/>
  <c r="N68" i="22"/>
  <c r="M68" i="22"/>
  <c r="L68" i="22"/>
  <c r="K68" i="22"/>
  <c r="J68" i="22"/>
  <c r="I68" i="22"/>
  <c r="H68" i="22"/>
  <c r="G68" i="22"/>
  <c r="F68" i="22"/>
  <c r="E68" i="22"/>
  <c r="D68" i="22"/>
  <c r="C68" i="22"/>
  <c r="O67" i="22"/>
  <c r="N67" i="22"/>
  <c r="M67" i="22"/>
  <c r="L67" i="22"/>
  <c r="K67" i="22"/>
  <c r="J67" i="22"/>
  <c r="I67" i="22"/>
  <c r="H67" i="22"/>
  <c r="G67" i="22"/>
  <c r="F67" i="22"/>
  <c r="E67" i="22"/>
  <c r="D67" i="22"/>
  <c r="C67" i="22"/>
  <c r="O66" i="22"/>
  <c r="N66" i="22"/>
  <c r="M66" i="22"/>
  <c r="L66" i="22"/>
  <c r="K66" i="22"/>
  <c r="J66" i="22"/>
  <c r="I66" i="22"/>
  <c r="H66" i="22"/>
  <c r="G66" i="22"/>
  <c r="F66" i="22"/>
  <c r="E66" i="22"/>
  <c r="D66" i="22"/>
  <c r="C66" i="22"/>
  <c r="O65" i="22"/>
  <c r="N65" i="22"/>
  <c r="M65" i="22"/>
  <c r="L65" i="22"/>
  <c r="K65" i="22"/>
  <c r="J65" i="22"/>
  <c r="I65" i="22"/>
  <c r="H65" i="22"/>
  <c r="G65" i="22"/>
  <c r="F65" i="22"/>
  <c r="E65" i="22"/>
  <c r="D65" i="22"/>
  <c r="C65" i="22"/>
  <c r="O64" i="22"/>
  <c r="N64" i="22"/>
  <c r="M64" i="22"/>
  <c r="L64" i="22"/>
  <c r="K64" i="22"/>
  <c r="J64" i="22"/>
  <c r="I64" i="22"/>
  <c r="H64" i="22"/>
  <c r="G64" i="22"/>
  <c r="F64" i="22"/>
  <c r="E64" i="22"/>
  <c r="D64" i="22"/>
  <c r="C64" i="22"/>
  <c r="O63" i="22"/>
  <c r="N63" i="22"/>
  <c r="M63" i="22"/>
  <c r="L63" i="22"/>
  <c r="K63" i="22"/>
  <c r="J63" i="22"/>
  <c r="I63" i="22"/>
  <c r="H63" i="22"/>
  <c r="G63" i="22"/>
  <c r="F63" i="22"/>
  <c r="E63" i="22"/>
  <c r="D63" i="22"/>
  <c r="C63" i="22"/>
  <c r="O62" i="22"/>
  <c r="N62" i="22"/>
  <c r="M62" i="22"/>
  <c r="L62" i="22"/>
  <c r="K62" i="22"/>
  <c r="J62" i="22"/>
  <c r="I62" i="22"/>
  <c r="H62" i="22"/>
  <c r="G62" i="22"/>
  <c r="F62" i="22"/>
  <c r="E62" i="22"/>
  <c r="D62" i="22"/>
  <c r="C62" i="22"/>
  <c r="O61" i="22"/>
  <c r="N61" i="22"/>
  <c r="M61" i="22"/>
  <c r="L61" i="22"/>
  <c r="K61" i="22"/>
  <c r="J61" i="22"/>
  <c r="I61" i="22"/>
  <c r="H61" i="22"/>
  <c r="G61" i="22"/>
  <c r="F61" i="22"/>
  <c r="E61" i="22"/>
  <c r="D61" i="22"/>
  <c r="C61" i="22"/>
  <c r="O60" i="22"/>
  <c r="N60" i="22"/>
  <c r="M60" i="22"/>
  <c r="L60" i="22"/>
  <c r="K60" i="22"/>
  <c r="J60" i="22"/>
  <c r="I60" i="22"/>
  <c r="H60" i="22"/>
  <c r="G60" i="22"/>
  <c r="F60" i="22"/>
  <c r="E60" i="22"/>
  <c r="D60" i="22"/>
  <c r="C60" i="22"/>
  <c r="O59" i="22"/>
  <c r="N59" i="22"/>
  <c r="M59" i="22"/>
  <c r="L59" i="22"/>
  <c r="K59" i="22"/>
  <c r="J59" i="22"/>
  <c r="I59" i="22"/>
  <c r="H59" i="22"/>
  <c r="G59" i="22"/>
  <c r="F59" i="22"/>
  <c r="E59" i="22"/>
  <c r="D59" i="22"/>
  <c r="C59" i="22"/>
  <c r="O58" i="22"/>
  <c r="N58" i="22"/>
  <c r="M58" i="22"/>
  <c r="L58" i="22"/>
  <c r="K58" i="22"/>
  <c r="J58" i="22"/>
  <c r="I58" i="22"/>
  <c r="H58" i="22"/>
  <c r="G58" i="22"/>
  <c r="F58" i="22"/>
  <c r="E58" i="22"/>
  <c r="D58" i="22"/>
  <c r="C58" i="22"/>
  <c r="O57" i="22"/>
  <c r="N57" i="22"/>
  <c r="M57" i="22"/>
  <c r="L57" i="22"/>
  <c r="K57" i="22"/>
  <c r="J57" i="22"/>
  <c r="I57" i="22"/>
  <c r="H57" i="22"/>
  <c r="G57" i="22"/>
  <c r="F57" i="22"/>
  <c r="E57" i="22"/>
  <c r="D57" i="22"/>
  <c r="C57" i="22"/>
  <c r="B57" i="22"/>
  <c r="O56" i="22"/>
  <c r="N56" i="22"/>
  <c r="M56" i="22"/>
  <c r="L56" i="22"/>
  <c r="K56" i="22"/>
  <c r="J56" i="22"/>
  <c r="I56" i="22"/>
  <c r="H56" i="22"/>
  <c r="G56" i="22"/>
  <c r="F56" i="22"/>
  <c r="E56" i="22"/>
  <c r="D56" i="22"/>
  <c r="C56" i="22"/>
  <c r="O55" i="22"/>
  <c r="N55" i="22"/>
  <c r="M55" i="22"/>
  <c r="L55" i="22"/>
  <c r="K55" i="22"/>
  <c r="J55" i="22"/>
  <c r="I55" i="22"/>
  <c r="H55" i="22"/>
  <c r="G55" i="22"/>
  <c r="F55" i="22"/>
  <c r="E55" i="22"/>
  <c r="D55" i="22"/>
  <c r="C55" i="22"/>
  <c r="O54" i="22"/>
  <c r="N54" i="22"/>
  <c r="M54" i="22"/>
  <c r="L54" i="22"/>
  <c r="K54" i="22"/>
  <c r="J54" i="22"/>
  <c r="I54" i="22"/>
  <c r="H54" i="22"/>
  <c r="G54" i="22"/>
  <c r="F54" i="22"/>
  <c r="E54" i="22"/>
  <c r="D54" i="22"/>
  <c r="C54" i="22"/>
  <c r="O53" i="22"/>
  <c r="N53" i="22"/>
  <c r="M53" i="22"/>
  <c r="L53" i="22"/>
  <c r="K53" i="22"/>
  <c r="J53" i="22"/>
  <c r="I53" i="22"/>
  <c r="H53" i="22"/>
  <c r="G53" i="22"/>
  <c r="F53" i="22"/>
  <c r="E53" i="22"/>
  <c r="D53" i="22"/>
  <c r="C53" i="22"/>
  <c r="O52" i="22"/>
  <c r="N52" i="22"/>
  <c r="M52" i="22"/>
  <c r="L52" i="22"/>
  <c r="K52" i="22"/>
  <c r="J52" i="22"/>
  <c r="I52" i="22"/>
  <c r="H52" i="22"/>
  <c r="G52" i="22"/>
  <c r="F52" i="22"/>
  <c r="E52" i="22"/>
  <c r="D52" i="22"/>
  <c r="C52" i="22"/>
  <c r="O51" i="22"/>
  <c r="N51" i="22"/>
  <c r="M51" i="22"/>
  <c r="L51" i="22"/>
  <c r="K51" i="22"/>
  <c r="J51" i="22"/>
  <c r="I51" i="22"/>
  <c r="H51" i="22"/>
  <c r="G51" i="22"/>
  <c r="F51" i="22"/>
  <c r="E51" i="22"/>
  <c r="D51" i="22"/>
  <c r="C51" i="22"/>
  <c r="O50" i="22"/>
  <c r="N50" i="22"/>
  <c r="M50" i="22"/>
  <c r="L50" i="22"/>
  <c r="K50" i="22"/>
  <c r="J50" i="22"/>
  <c r="I50" i="22"/>
  <c r="H50" i="22"/>
  <c r="G50" i="22"/>
  <c r="F50" i="22"/>
  <c r="E50" i="22"/>
  <c r="D50" i="22"/>
  <c r="C50" i="22"/>
  <c r="O49" i="22"/>
  <c r="N49" i="22"/>
  <c r="M49" i="22"/>
  <c r="L49" i="22"/>
  <c r="K49" i="22"/>
  <c r="J49" i="22"/>
  <c r="I49" i="22"/>
  <c r="H49" i="22"/>
  <c r="G49" i="22"/>
  <c r="F49" i="22"/>
  <c r="E49" i="22"/>
  <c r="D49" i="22"/>
  <c r="C49" i="22"/>
  <c r="O48" i="22"/>
  <c r="N48" i="22"/>
  <c r="M48" i="22"/>
  <c r="L48" i="22"/>
  <c r="K48" i="22"/>
  <c r="J48" i="22"/>
  <c r="I48" i="22"/>
  <c r="H48" i="22"/>
  <c r="G48" i="22"/>
  <c r="F48" i="22"/>
  <c r="E48" i="22"/>
  <c r="D48" i="22"/>
  <c r="C48" i="22"/>
  <c r="O47" i="22"/>
  <c r="N47" i="22"/>
  <c r="M47" i="22"/>
  <c r="L47" i="22"/>
  <c r="K47" i="22"/>
  <c r="J47" i="22"/>
  <c r="I47" i="22"/>
  <c r="H47" i="22"/>
  <c r="G47" i="22"/>
  <c r="F47" i="22"/>
  <c r="E47" i="22"/>
  <c r="D47" i="22"/>
  <c r="C47" i="22"/>
  <c r="O46" i="22"/>
  <c r="N46" i="22"/>
  <c r="M46" i="22"/>
  <c r="L46" i="22"/>
  <c r="K46" i="22"/>
  <c r="J46" i="22"/>
  <c r="I46" i="22"/>
  <c r="H46" i="22"/>
  <c r="G46" i="22"/>
  <c r="F46" i="22"/>
  <c r="E46" i="22"/>
  <c r="D46" i="22"/>
  <c r="C46" i="22"/>
  <c r="O45" i="22"/>
  <c r="N45" i="22"/>
  <c r="M45" i="22"/>
  <c r="L45" i="22"/>
  <c r="K45" i="22"/>
  <c r="J45" i="22"/>
  <c r="I45" i="22"/>
  <c r="H45" i="22"/>
  <c r="G45" i="22"/>
  <c r="F45" i="22"/>
  <c r="E45" i="22"/>
  <c r="D45" i="22"/>
  <c r="C45" i="22"/>
  <c r="O44" i="22"/>
  <c r="N44" i="22"/>
  <c r="M44" i="22"/>
  <c r="L44" i="22"/>
  <c r="K44" i="22"/>
  <c r="J44" i="22"/>
  <c r="I44" i="22"/>
  <c r="H44" i="22"/>
  <c r="G44" i="22"/>
  <c r="F44" i="22"/>
  <c r="E44" i="22"/>
  <c r="D44" i="22"/>
  <c r="C44" i="22"/>
  <c r="O43" i="22"/>
  <c r="N43" i="22"/>
  <c r="M43" i="22"/>
  <c r="L43" i="22"/>
  <c r="K43" i="22"/>
  <c r="J43" i="22"/>
  <c r="I43" i="22"/>
  <c r="H43" i="22"/>
  <c r="G43" i="22"/>
  <c r="F43" i="22"/>
  <c r="E43" i="22"/>
  <c r="D43" i="22"/>
  <c r="C43" i="22"/>
  <c r="O42" i="22"/>
  <c r="N42" i="22"/>
  <c r="M42" i="22"/>
  <c r="L42" i="22"/>
  <c r="K42" i="22"/>
  <c r="J42" i="22"/>
  <c r="I42" i="22"/>
  <c r="H42" i="22"/>
  <c r="G42" i="22"/>
  <c r="F42" i="22"/>
  <c r="E42" i="22"/>
  <c r="D42" i="22"/>
  <c r="C42" i="22"/>
  <c r="O41" i="22"/>
  <c r="N41" i="22"/>
  <c r="M41" i="22"/>
  <c r="L41" i="22"/>
  <c r="K41" i="22"/>
  <c r="J41" i="22"/>
  <c r="I41" i="22"/>
  <c r="H41" i="22"/>
  <c r="G41" i="22"/>
  <c r="F41" i="22"/>
  <c r="E41" i="22"/>
  <c r="D41" i="22"/>
  <c r="C41" i="22"/>
  <c r="O40" i="22"/>
  <c r="N40" i="22"/>
  <c r="M40" i="22"/>
  <c r="L40" i="22"/>
  <c r="K40" i="22"/>
  <c r="J40" i="22"/>
  <c r="I40" i="22"/>
  <c r="H40" i="22"/>
  <c r="G40" i="22"/>
  <c r="F40" i="22"/>
  <c r="E40" i="22"/>
  <c r="D40" i="22"/>
  <c r="C40" i="22"/>
  <c r="O39" i="22"/>
  <c r="N39" i="22"/>
  <c r="M39" i="22"/>
  <c r="L39" i="22"/>
  <c r="K39" i="22"/>
  <c r="J39" i="22"/>
  <c r="I39" i="22"/>
  <c r="H39" i="22"/>
  <c r="G39" i="22"/>
  <c r="F39" i="22"/>
  <c r="E39" i="22"/>
  <c r="D39" i="22"/>
  <c r="C39" i="22"/>
  <c r="O38" i="22"/>
  <c r="N38" i="22"/>
  <c r="M38" i="22"/>
  <c r="L38" i="22"/>
  <c r="K38" i="22"/>
  <c r="J38" i="22"/>
  <c r="I38" i="22"/>
  <c r="H38" i="22"/>
  <c r="G38" i="22"/>
  <c r="F38" i="22"/>
  <c r="E38" i="22"/>
  <c r="D38" i="22"/>
  <c r="C38" i="22"/>
  <c r="O37" i="22"/>
  <c r="N37" i="22"/>
  <c r="M37" i="22"/>
  <c r="L37" i="22"/>
  <c r="K37" i="22"/>
  <c r="J37" i="22"/>
  <c r="I37" i="22"/>
  <c r="H37" i="22"/>
  <c r="G37" i="22"/>
  <c r="F37" i="22"/>
  <c r="E37" i="22"/>
  <c r="D37" i="22"/>
  <c r="C37" i="22"/>
  <c r="O36" i="22"/>
  <c r="N36" i="22"/>
  <c r="M36" i="22"/>
  <c r="L36" i="22"/>
  <c r="K36" i="22"/>
  <c r="J36" i="22"/>
  <c r="I36" i="22"/>
  <c r="H36" i="22"/>
  <c r="G36" i="22"/>
  <c r="F36" i="22"/>
  <c r="E36" i="22"/>
  <c r="D36" i="22"/>
  <c r="C36" i="22"/>
  <c r="O35" i="22"/>
  <c r="N35" i="22"/>
  <c r="M35" i="22"/>
  <c r="L35" i="22"/>
  <c r="K35" i="22"/>
  <c r="J35" i="22"/>
  <c r="I35" i="22"/>
  <c r="H35" i="22"/>
  <c r="G35" i="22"/>
  <c r="F35" i="22"/>
  <c r="E35" i="22"/>
  <c r="D35" i="22"/>
  <c r="C35" i="22"/>
  <c r="O34" i="22"/>
  <c r="N34" i="22"/>
  <c r="M34" i="22"/>
  <c r="L34" i="22"/>
  <c r="K34" i="22"/>
  <c r="J34" i="22"/>
  <c r="I34" i="22"/>
  <c r="H34" i="22"/>
  <c r="G34" i="22"/>
  <c r="F34" i="22"/>
  <c r="E34" i="22"/>
  <c r="D34" i="22"/>
  <c r="C34" i="22"/>
  <c r="O33" i="22"/>
  <c r="N33" i="22"/>
  <c r="M33" i="22"/>
  <c r="L33" i="22"/>
  <c r="K33" i="22"/>
  <c r="J33" i="22"/>
  <c r="I33" i="22"/>
  <c r="H33" i="22"/>
  <c r="G33" i="22"/>
  <c r="F33" i="22"/>
  <c r="E33" i="22"/>
  <c r="D33" i="22"/>
  <c r="C33" i="22"/>
  <c r="O32" i="22"/>
  <c r="N32" i="22"/>
  <c r="M32" i="22"/>
  <c r="L32" i="22"/>
  <c r="K32" i="22"/>
  <c r="J32" i="22"/>
  <c r="I32" i="22"/>
  <c r="H32" i="22"/>
  <c r="G32" i="22"/>
  <c r="F32" i="22"/>
  <c r="E32" i="22"/>
  <c r="D32" i="22"/>
  <c r="C32" i="22"/>
  <c r="O31" i="22"/>
  <c r="N31" i="22"/>
  <c r="M31" i="22"/>
  <c r="L31" i="22"/>
  <c r="K31" i="22"/>
  <c r="J31" i="22"/>
  <c r="I31" i="22"/>
  <c r="H31" i="22"/>
  <c r="G31" i="22"/>
  <c r="F31" i="22"/>
  <c r="E31" i="22"/>
  <c r="D31" i="22"/>
  <c r="C31" i="22"/>
  <c r="O30" i="22"/>
  <c r="N30" i="22"/>
  <c r="M30" i="22"/>
  <c r="L30" i="22"/>
  <c r="K30" i="22"/>
  <c r="J30" i="22"/>
  <c r="I30" i="22"/>
  <c r="H30" i="22"/>
  <c r="G30" i="22"/>
  <c r="F30" i="22"/>
  <c r="E30" i="22"/>
  <c r="D30" i="22"/>
  <c r="C30" i="22"/>
  <c r="O29" i="22"/>
  <c r="N29" i="22"/>
  <c r="M29" i="22"/>
  <c r="L29" i="22"/>
  <c r="K29" i="22"/>
  <c r="J29" i="22"/>
  <c r="I29" i="22"/>
  <c r="H29" i="22"/>
  <c r="G29" i="22"/>
  <c r="F29" i="22"/>
  <c r="E29" i="22"/>
  <c r="D29" i="22"/>
  <c r="C29" i="22"/>
  <c r="O28" i="22"/>
  <c r="N28" i="22"/>
  <c r="M28" i="22"/>
  <c r="L28" i="22"/>
  <c r="K28" i="22"/>
  <c r="J28" i="22"/>
  <c r="I28" i="22"/>
  <c r="H28" i="22"/>
  <c r="G28" i="22"/>
  <c r="F28" i="22"/>
  <c r="E28" i="22"/>
  <c r="D28" i="22"/>
  <c r="C28" i="22"/>
  <c r="O27" i="22"/>
  <c r="N27" i="22"/>
  <c r="M27" i="22"/>
  <c r="L27" i="22"/>
  <c r="K27" i="22"/>
  <c r="J27" i="22"/>
  <c r="I27" i="22"/>
  <c r="H27" i="22"/>
  <c r="G27" i="22"/>
  <c r="F27" i="22"/>
  <c r="E27" i="22"/>
  <c r="D27" i="22"/>
  <c r="C27" i="22"/>
  <c r="O26" i="22"/>
  <c r="N26" i="22"/>
  <c r="M26" i="22"/>
  <c r="L26" i="22"/>
  <c r="K26" i="22"/>
  <c r="J26" i="22"/>
  <c r="I26" i="22"/>
  <c r="H26" i="22"/>
  <c r="G26" i="22"/>
  <c r="F26" i="22"/>
  <c r="E26" i="22"/>
  <c r="D26" i="22"/>
  <c r="C26" i="22"/>
  <c r="O25" i="22"/>
  <c r="N25" i="22"/>
  <c r="M25" i="22"/>
  <c r="L25" i="22"/>
  <c r="K25" i="22"/>
  <c r="J25" i="22"/>
  <c r="I25" i="22"/>
  <c r="H25" i="22"/>
  <c r="G25" i="22"/>
  <c r="F25" i="22"/>
  <c r="E25" i="22"/>
  <c r="D25" i="22"/>
  <c r="C25" i="22"/>
  <c r="O234" i="23"/>
  <c r="N234" i="23"/>
  <c r="M234" i="23"/>
  <c r="L234" i="23"/>
  <c r="K234" i="23"/>
  <c r="J234" i="23"/>
  <c r="I234" i="23"/>
  <c r="H234" i="23"/>
  <c r="G234" i="23"/>
  <c r="F234" i="23"/>
  <c r="E234" i="23"/>
  <c r="D234" i="23"/>
  <c r="C234" i="23"/>
  <c r="O229" i="23"/>
  <c r="N229" i="23"/>
  <c r="M229" i="23"/>
  <c r="L229" i="23"/>
  <c r="K229" i="23"/>
  <c r="J229" i="23"/>
  <c r="I229" i="23"/>
  <c r="H229" i="23"/>
  <c r="G229" i="23"/>
  <c r="F229" i="23"/>
  <c r="E229" i="23"/>
  <c r="D229" i="23"/>
  <c r="C229" i="23"/>
  <c r="O228" i="23"/>
  <c r="N228" i="23"/>
  <c r="M228" i="23"/>
  <c r="L228" i="23"/>
  <c r="K228" i="23"/>
  <c r="J228" i="23"/>
  <c r="I228" i="23"/>
  <c r="H228" i="23"/>
  <c r="G228" i="23"/>
  <c r="F228" i="23"/>
  <c r="E228" i="23"/>
  <c r="D228" i="23"/>
  <c r="C228" i="23"/>
  <c r="O227" i="23"/>
  <c r="N227" i="23"/>
  <c r="M227" i="23"/>
  <c r="L227" i="23"/>
  <c r="K227" i="23"/>
  <c r="J227" i="23"/>
  <c r="I227" i="23"/>
  <c r="H227" i="23"/>
  <c r="G227" i="23"/>
  <c r="F227" i="23"/>
  <c r="E227" i="23"/>
  <c r="D227" i="23"/>
  <c r="C227" i="23"/>
  <c r="O226" i="23"/>
  <c r="N226" i="23"/>
  <c r="M226" i="23"/>
  <c r="L226" i="23"/>
  <c r="K226" i="23"/>
  <c r="J226" i="23"/>
  <c r="I226" i="23"/>
  <c r="H226" i="23"/>
  <c r="G226" i="23"/>
  <c r="F226" i="23"/>
  <c r="E226" i="23"/>
  <c r="D226" i="23"/>
  <c r="C226" i="23"/>
  <c r="O225" i="23"/>
  <c r="N225" i="23"/>
  <c r="M225" i="23"/>
  <c r="L225" i="23"/>
  <c r="K225" i="23"/>
  <c r="J225" i="23"/>
  <c r="I225" i="23"/>
  <c r="H225" i="23"/>
  <c r="G225" i="23"/>
  <c r="F225" i="23"/>
  <c r="E225" i="23"/>
  <c r="D225" i="23"/>
  <c r="C225" i="23"/>
  <c r="O224" i="23"/>
  <c r="N224" i="23"/>
  <c r="M224" i="23"/>
  <c r="L224" i="23"/>
  <c r="K224" i="23"/>
  <c r="J224" i="23"/>
  <c r="I224" i="23"/>
  <c r="H224" i="23"/>
  <c r="G224" i="23"/>
  <c r="F224" i="23"/>
  <c r="E224" i="23"/>
  <c r="D224" i="23"/>
  <c r="C224" i="23"/>
  <c r="O223" i="23"/>
  <c r="N223" i="23"/>
  <c r="M223" i="23"/>
  <c r="L223" i="23"/>
  <c r="K223" i="23"/>
  <c r="J223" i="23"/>
  <c r="I223" i="23"/>
  <c r="H223" i="23"/>
  <c r="G223" i="23"/>
  <c r="F223" i="23"/>
  <c r="E223" i="23"/>
  <c r="D223" i="23"/>
  <c r="C223" i="23"/>
  <c r="O222" i="23"/>
  <c r="N222" i="23"/>
  <c r="M222" i="23"/>
  <c r="L222" i="23"/>
  <c r="K222" i="23"/>
  <c r="J222" i="23"/>
  <c r="I222" i="23"/>
  <c r="H222" i="23"/>
  <c r="G222" i="23"/>
  <c r="F222" i="23"/>
  <c r="E222" i="23"/>
  <c r="D222" i="23"/>
  <c r="C222" i="23"/>
  <c r="O221" i="23"/>
  <c r="N221" i="23"/>
  <c r="M221" i="23"/>
  <c r="L221" i="23"/>
  <c r="K221" i="23"/>
  <c r="J221" i="23"/>
  <c r="I221" i="23"/>
  <c r="H221" i="23"/>
  <c r="G221" i="23"/>
  <c r="F221" i="23"/>
  <c r="E221" i="23"/>
  <c r="D221" i="23"/>
  <c r="C221" i="23"/>
  <c r="O220" i="23"/>
  <c r="N220" i="23"/>
  <c r="M220" i="23"/>
  <c r="L220" i="23"/>
  <c r="K220" i="23"/>
  <c r="J220" i="23"/>
  <c r="I220" i="23"/>
  <c r="H220" i="23"/>
  <c r="G220" i="23"/>
  <c r="F220" i="23"/>
  <c r="E220" i="23"/>
  <c r="D220" i="23"/>
  <c r="C220" i="23"/>
  <c r="O219" i="23"/>
  <c r="N219" i="23"/>
  <c r="M219" i="23"/>
  <c r="L219" i="23"/>
  <c r="K219" i="23"/>
  <c r="J219" i="23"/>
  <c r="I219" i="23"/>
  <c r="H219" i="23"/>
  <c r="G219" i="23"/>
  <c r="F219" i="23"/>
  <c r="E219" i="23"/>
  <c r="D219" i="23"/>
  <c r="C219" i="23"/>
  <c r="O218" i="23"/>
  <c r="N218" i="23"/>
  <c r="M218" i="23"/>
  <c r="L218" i="23"/>
  <c r="K218" i="23"/>
  <c r="J218" i="23"/>
  <c r="I218" i="23"/>
  <c r="H218" i="23"/>
  <c r="G218" i="23"/>
  <c r="F218" i="23"/>
  <c r="E218" i="23"/>
  <c r="D218" i="23"/>
  <c r="C218" i="23"/>
  <c r="O217" i="23"/>
  <c r="N217" i="23"/>
  <c r="M217" i="23"/>
  <c r="L217" i="23"/>
  <c r="K217" i="23"/>
  <c r="J217" i="23"/>
  <c r="I217" i="23"/>
  <c r="H217" i="23"/>
  <c r="G217" i="23"/>
  <c r="F217" i="23"/>
  <c r="E217" i="23"/>
  <c r="D217" i="23"/>
  <c r="C217" i="23"/>
  <c r="O216" i="23"/>
  <c r="N216" i="23"/>
  <c r="M216" i="23"/>
  <c r="L216" i="23"/>
  <c r="K216" i="23"/>
  <c r="J216" i="23"/>
  <c r="I216" i="23"/>
  <c r="H216" i="23"/>
  <c r="G216" i="23"/>
  <c r="F216" i="23"/>
  <c r="E216" i="23"/>
  <c r="D216" i="23"/>
  <c r="C216" i="23"/>
  <c r="O215" i="23"/>
  <c r="N215" i="23"/>
  <c r="M215" i="23"/>
  <c r="L215" i="23"/>
  <c r="K215" i="23"/>
  <c r="J215" i="23"/>
  <c r="I215" i="23"/>
  <c r="H215" i="23"/>
  <c r="G215" i="23"/>
  <c r="F215" i="23"/>
  <c r="E215" i="23"/>
  <c r="D215" i="23"/>
  <c r="C215" i="23"/>
  <c r="O214" i="23"/>
  <c r="N214" i="23"/>
  <c r="M214" i="23"/>
  <c r="L214" i="23"/>
  <c r="K214" i="23"/>
  <c r="J214" i="23"/>
  <c r="I214" i="23"/>
  <c r="H214" i="23"/>
  <c r="G214" i="23"/>
  <c r="F214" i="23"/>
  <c r="E214" i="23"/>
  <c r="D214" i="23"/>
  <c r="C214" i="23"/>
  <c r="O213" i="23"/>
  <c r="N213" i="23"/>
  <c r="M213" i="23"/>
  <c r="L213" i="23"/>
  <c r="K213" i="23"/>
  <c r="J213" i="23"/>
  <c r="I213" i="23"/>
  <c r="H213" i="23"/>
  <c r="G213" i="23"/>
  <c r="F213" i="23"/>
  <c r="E213" i="23"/>
  <c r="D213" i="23"/>
  <c r="C213" i="23"/>
  <c r="O212" i="23"/>
  <c r="N212" i="23"/>
  <c r="M212" i="23"/>
  <c r="L212" i="23"/>
  <c r="K212" i="23"/>
  <c r="J212" i="23"/>
  <c r="I212" i="23"/>
  <c r="H212" i="23"/>
  <c r="G212" i="23"/>
  <c r="F212" i="23"/>
  <c r="E212" i="23"/>
  <c r="D212" i="23"/>
  <c r="C212" i="23"/>
  <c r="O211" i="23"/>
  <c r="N211" i="23"/>
  <c r="M211" i="23"/>
  <c r="L211" i="23"/>
  <c r="K211" i="23"/>
  <c r="J211" i="23"/>
  <c r="I211" i="23"/>
  <c r="H211" i="23"/>
  <c r="G211" i="23"/>
  <c r="F211" i="23"/>
  <c r="E211" i="23"/>
  <c r="D211" i="23"/>
  <c r="C211" i="23"/>
  <c r="O210" i="23"/>
  <c r="N210" i="23"/>
  <c r="M210" i="23"/>
  <c r="L210" i="23"/>
  <c r="K210" i="23"/>
  <c r="J210" i="23"/>
  <c r="I210" i="23"/>
  <c r="H210" i="23"/>
  <c r="G210" i="23"/>
  <c r="F210" i="23"/>
  <c r="E210" i="23"/>
  <c r="D210" i="23"/>
  <c r="C210" i="23"/>
  <c r="O209" i="23"/>
  <c r="N209" i="23"/>
  <c r="M209" i="23"/>
  <c r="L209" i="23"/>
  <c r="K209" i="23"/>
  <c r="J209" i="23"/>
  <c r="I209" i="23"/>
  <c r="H209" i="23"/>
  <c r="G209" i="23"/>
  <c r="F209" i="23"/>
  <c r="E209" i="23"/>
  <c r="D209" i="23"/>
  <c r="C209" i="23"/>
  <c r="O208" i="23"/>
  <c r="N208" i="23"/>
  <c r="M208" i="23"/>
  <c r="L208" i="23"/>
  <c r="K208" i="23"/>
  <c r="J208" i="23"/>
  <c r="I208" i="23"/>
  <c r="H208" i="23"/>
  <c r="G208" i="23"/>
  <c r="F208" i="23"/>
  <c r="E208" i="23"/>
  <c r="D208" i="23"/>
  <c r="C208" i="23"/>
  <c r="O207" i="23"/>
  <c r="N207" i="23"/>
  <c r="M207" i="23"/>
  <c r="L207" i="23"/>
  <c r="K207" i="23"/>
  <c r="J207" i="23"/>
  <c r="I207" i="23"/>
  <c r="H207" i="23"/>
  <c r="G207" i="23"/>
  <c r="F207" i="23"/>
  <c r="E207" i="23"/>
  <c r="D207" i="23"/>
  <c r="C207" i="23"/>
  <c r="O206" i="23"/>
  <c r="N206" i="23"/>
  <c r="M206" i="23"/>
  <c r="L206" i="23"/>
  <c r="K206" i="23"/>
  <c r="J206" i="23"/>
  <c r="I206" i="23"/>
  <c r="H206" i="23"/>
  <c r="G206" i="23"/>
  <c r="F206" i="23"/>
  <c r="E206" i="23"/>
  <c r="D206" i="23"/>
  <c r="C206" i="23"/>
  <c r="O205" i="23"/>
  <c r="N205" i="23"/>
  <c r="M205" i="23"/>
  <c r="L205" i="23"/>
  <c r="K205" i="23"/>
  <c r="J205" i="23"/>
  <c r="I205" i="23"/>
  <c r="H205" i="23"/>
  <c r="G205" i="23"/>
  <c r="F205" i="23"/>
  <c r="E205" i="23"/>
  <c r="D205" i="23"/>
  <c r="C205" i="23"/>
  <c r="O204" i="23"/>
  <c r="N204" i="23"/>
  <c r="M204" i="23"/>
  <c r="L204" i="23"/>
  <c r="K204" i="23"/>
  <c r="J204" i="23"/>
  <c r="I204" i="23"/>
  <c r="H204" i="23"/>
  <c r="G204" i="23"/>
  <c r="F204" i="23"/>
  <c r="E204" i="23"/>
  <c r="D204" i="23"/>
  <c r="C204" i="23"/>
  <c r="O203" i="23"/>
  <c r="N203" i="23"/>
  <c r="M203" i="23"/>
  <c r="L203" i="23"/>
  <c r="K203" i="23"/>
  <c r="J203" i="23"/>
  <c r="I203" i="23"/>
  <c r="H203" i="23"/>
  <c r="G203" i="23"/>
  <c r="F203" i="23"/>
  <c r="E203" i="23"/>
  <c r="D203" i="23"/>
  <c r="C203" i="23"/>
  <c r="O202" i="23"/>
  <c r="N202" i="23"/>
  <c r="M202" i="23"/>
  <c r="L202" i="23"/>
  <c r="K202" i="23"/>
  <c r="J202" i="23"/>
  <c r="I202" i="23"/>
  <c r="H202" i="23"/>
  <c r="G202" i="23"/>
  <c r="F202" i="23"/>
  <c r="E202" i="23"/>
  <c r="D202" i="23"/>
  <c r="C202" i="23"/>
  <c r="O201" i="23"/>
  <c r="N201" i="23"/>
  <c r="M201" i="23"/>
  <c r="L201" i="23"/>
  <c r="K201" i="23"/>
  <c r="J201" i="23"/>
  <c r="I201" i="23"/>
  <c r="H201" i="23"/>
  <c r="G201" i="23"/>
  <c r="F201" i="23"/>
  <c r="E201" i="23"/>
  <c r="D201" i="23"/>
  <c r="C201" i="23"/>
  <c r="O200" i="23"/>
  <c r="N200" i="23"/>
  <c r="M200" i="23"/>
  <c r="L200" i="23"/>
  <c r="K200" i="23"/>
  <c r="J200" i="23"/>
  <c r="I200" i="23"/>
  <c r="H200" i="23"/>
  <c r="G200" i="23"/>
  <c r="F200" i="23"/>
  <c r="E200" i="23"/>
  <c r="D200" i="23"/>
  <c r="C200" i="23"/>
  <c r="O199" i="23"/>
  <c r="N199" i="23"/>
  <c r="M199" i="23"/>
  <c r="L199" i="23"/>
  <c r="K199" i="23"/>
  <c r="J199" i="23"/>
  <c r="I199" i="23"/>
  <c r="H199" i="23"/>
  <c r="G199" i="23"/>
  <c r="F199" i="23"/>
  <c r="E199" i="23"/>
  <c r="D199" i="23"/>
  <c r="C199" i="23"/>
  <c r="O198" i="23"/>
  <c r="N198" i="23"/>
  <c r="M198" i="23"/>
  <c r="L198" i="23"/>
  <c r="K198" i="23"/>
  <c r="J198" i="23"/>
  <c r="I198" i="23"/>
  <c r="H198" i="23"/>
  <c r="G198" i="23"/>
  <c r="F198" i="23"/>
  <c r="E198" i="23"/>
  <c r="D198" i="23"/>
  <c r="C198" i="23"/>
  <c r="O197" i="23"/>
  <c r="N197" i="23"/>
  <c r="M197" i="23"/>
  <c r="L197" i="23"/>
  <c r="K197" i="23"/>
  <c r="J197" i="23"/>
  <c r="I197" i="23"/>
  <c r="H197" i="23"/>
  <c r="G197" i="23"/>
  <c r="F197" i="23"/>
  <c r="E197" i="23"/>
  <c r="D197" i="23"/>
  <c r="C197" i="23"/>
  <c r="O196" i="23"/>
  <c r="N196" i="23"/>
  <c r="M196" i="23"/>
  <c r="L196" i="23"/>
  <c r="K196" i="23"/>
  <c r="J196" i="23"/>
  <c r="I196" i="23"/>
  <c r="H196" i="23"/>
  <c r="G196" i="23"/>
  <c r="F196" i="23"/>
  <c r="E196" i="23"/>
  <c r="D196" i="23"/>
  <c r="C196" i="23"/>
  <c r="O195" i="23"/>
  <c r="N195" i="23"/>
  <c r="M195" i="23"/>
  <c r="L195" i="23"/>
  <c r="K195" i="23"/>
  <c r="J195" i="23"/>
  <c r="I195" i="23"/>
  <c r="H195" i="23"/>
  <c r="G195" i="23"/>
  <c r="F195" i="23"/>
  <c r="E195" i="23"/>
  <c r="D195" i="23"/>
  <c r="C195" i="23"/>
  <c r="O194" i="23"/>
  <c r="N194" i="23"/>
  <c r="M194" i="23"/>
  <c r="L194" i="23"/>
  <c r="K194" i="23"/>
  <c r="J194" i="23"/>
  <c r="I194" i="23"/>
  <c r="H194" i="23"/>
  <c r="G194" i="23"/>
  <c r="F194" i="23"/>
  <c r="E194" i="23"/>
  <c r="D194" i="23"/>
  <c r="C194" i="23"/>
  <c r="O193" i="23"/>
  <c r="N193" i="23"/>
  <c r="M193" i="23"/>
  <c r="L193" i="23"/>
  <c r="K193" i="23"/>
  <c r="J193" i="23"/>
  <c r="I193" i="23"/>
  <c r="H193" i="23"/>
  <c r="G193" i="23"/>
  <c r="F193" i="23"/>
  <c r="E193" i="23"/>
  <c r="D193" i="23"/>
  <c r="C193" i="23"/>
  <c r="O192" i="23"/>
  <c r="N192" i="23"/>
  <c r="M192" i="23"/>
  <c r="L192" i="23"/>
  <c r="K192" i="23"/>
  <c r="J192" i="23"/>
  <c r="I192" i="23"/>
  <c r="H192" i="23"/>
  <c r="G192" i="23"/>
  <c r="F192" i="23"/>
  <c r="E192" i="23"/>
  <c r="D192" i="23"/>
  <c r="C192" i="23"/>
  <c r="B192" i="23"/>
  <c r="O191" i="23"/>
  <c r="N191" i="23"/>
  <c r="M191" i="23"/>
  <c r="L191" i="23"/>
  <c r="K191" i="23"/>
  <c r="J191" i="23"/>
  <c r="I191" i="23"/>
  <c r="H191" i="23"/>
  <c r="G191" i="23"/>
  <c r="F191" i="23"/>
  <c r="E191" i="23"/>
  <c r="D191" i="23"/>
  <c r="C191" i="23"/>
  <c r="O190" i="23"/>
  <c r="N190" i="23"/>
  <c r="M190" i="23"/>
  <c r="L190" i="23"/>
  <c r="K190" i="23"/>
  <c r="J190" i="23"/>
  <c r="I190" i="23"/>
  <c r="H190" i="23"/>
  <c r="G190" i="23"/>
  <c r="F190" i="23"/>
  <c r="E190" i="23"/>
  <c r="D190" i="23"/>
  <c r="C190" i="23"/>
  <c r="O189" i="23"/>
  <c r="N189" i="23"/>
  <c r="M189" i="23"/>
  <c r="L189" i="23"/>
  <c r="K189" i="23"/>
  <c r="J189" i="23"/>
  <c r="I189" i="23"/>
  <c r="H189" i="23"/>
  <c r="G189" i="23"/>
  <c r="F189" i="23"/>
  <c r="E189" i="23"/>
  <c r="D189" i="23"/>
  <c r="C189" i="23"/>
  <c r="O188" i="23"/>
  <c r="N188" i="23"/>
  <c r="M188" i="23"/>
  <c r="L188" i="23"/>
  <c r="K188" i="23"/>
  <c r="J188" i="23"/>
  <c r="I188" i="23"/>
  <c r="H188" i="23"/>
  <c r="G188" i="23"/>
  <c r="F188" i="23"/>
  <c r="E188" i="23"/>
  <c r="D188" i="23"/>
  <c r="C188" i="23"/>
  <c r="O187" i="23"/>
  <c r="N187" i="23"/>
  <c r="M187" i="23"/>
  <c r="L187" i="23"/>
  <c r="K187" i="23"/>
  <c r="J187" i="23"/>
  <c r="I187" i="23"/>
  <c r="H187" i="23"/>
  <c r="G187" i="23"/>
  <c r="F187" i="23"/>
  <c r="E187" i="23"/>
  <c r="D187" i="23"/>
  <c r="C187" i="23"/>
  <c r="O186" i="23"/>
  <c r="N186" i="23"/>
  <c r="M186" i="23"/>
  <c r="L186" i="23"/>
  <c r="K186" i="23"/>
  <c r="J186" i="23"/>
  <c r="I186" i="23"/>
  <c r="H186" i="23"/>
  <c r="G186" i="23"/>
  <c r="F186" i="23"/>
  <c r="E186" i="23"/>
  <c r="D186" i="23"/>
  <c r="C186" i="23"/>
  <c r="O185" i="23"/>
  <c r="N185" i="23"/>
  <c r="M185" i="23"/>
  <c r="L185" i="23"/>
  <c r="K185" i="23"/>
  <c r="J185" i="23"/>
  <c r="I185" i="23"/>
  <c r="H185" i="23"/>
  <c r="G185" i="23"/>
  <c r="F185" i="23"/>
  <c r="E185" i="23"/>
  <c r="D185" i="23"/>
  <c r="C185" i="23"/>
  <c r="O184" i="23"/>
  <c r="N184" i="23"/>
  <c r="M184" i="23"/>
  <c r="L184" i="23"/>
  <c r="K184" i="23"/>
  <c r="J184" i="23"/>
  <c r="I184" i="23"/>
  <c r="H184" i="23"/>
  <c r="G184" i="23"/>
  <c r="F184" i="23"/>
  <c r="E184" i="23"/>
  <c r="D184" i="23"/>
  <c r="C184" i="23"/>
  <c r="O183" i="23"/>
  <c r="N183" i="23"/>
  <c r="M183" i="23"/>
  <c r="L183" i="23"/>
  <c r="K183" i="23"/>
  <c r="J183" i="23"/>
  <c r="I183" i="23"/>
  <c r="H183" i="23"/>
  <c r="G183" i="23"/>
  <c r="F183" i="23"/>
  <c r="E183" i="23"/>
  <c r="D183" i="23"/>
  <c r="C183" i="23"/>
  <c r="O182" i="23"/>
  <c r="N182" i="23"/>
  <c r="M182" i="23"/>
  <c r="L182" i="23"/>
  <c r="K182" i="23"/>
  <c r="J182" i="23"/>
  <c r="I182" i="23"/>
  <c r="H182" i="23"/>
  <c r="G182" i="23"/>
  <c r="F182" i="23"/>
  <c r="E182" i="23"/>
  <c r="D182" i="23"/>
  <c r="C182" i="23"/>
  <c r="O181" i="23"/>
  <c r="N181" i="23"/>
  <c r="M181" i="23"/>
  <c r="L181" i="23"/>
  <c r="K181" i="23"/>
  <c r="J181" i="23"/>
  <c r="I181" i="23"/>
  <c r="H181" i="23"/>
  <c r="G181" i="23"/>
  <c r="F181" i="23"/>
  <c r="E181" i="23"/>
  <c r="D181" i="23"/>
  <c r="C181" i="23"/>
  <c r="O180" i="23"/>
  <c r="N180" i="23"/>
  <c r="M180" i="23"/>
  <c r="L180" i="23"/>
  <c r="K180" i="23"/>
  <c r="J180" i="23"/>
  <c r="I180" i="23"/>
  <c r="H180" i="23"/>
  <c r="G180" i="23"/>
  <c r="F180" i="23"/>
  <c r="E180" i="23"/>
  <c r="D180" i="23"/>
  <c r="C180" i="23"/>
  <c r="O179" i="23"/>
  <c r="N179" i="23"/>
  <c r="M179" i="23"/>
  <c r="L179" i="23"/>
  <c r="K179" i="23"/>
  <c r="J179" i="23"/>
  <c r="I179" i="23"/>
  <c r="H179" i="23"/>
  <c r="G179" i="23"/>
  <c r="F179" i="23"/>
  <c r="E179" i="23"/>
  <c r="D179" i="23"/>
  <c r="C179" i="23"/>
  <c r="O178" i="23"/>
  <c r="N178" i="23"/>
  <c r="M178" i="23"/>
  <c r="L178" i="23"/>
  <c r="K178" i="23"/>
  <c r="J178" i="23"/>
  <c r="I178" i="23"/>
  <c r="H178" i="23"/>
  <c r="G178" i="23"/>
  <c r="F178" i="23"/>
  <c r="E178" i="23"/>
  <c r="D178" i="23"/>
  <c r="C178" i="23"/>
  <c r="O177" i="23"/>
  <c r="N177" i="23"/>
  <c r="M177" i="23"/>
  <c r="L177" i="23"/>
  <c r="K177" i="23"/>
  <c r="J177" i="23"/>
  <c r="I177" i="23"/>
  <c r="H177" i="23"/>
  <c r="G177" i="23"/>
  <c r="F177" i="23"/>
  <c r="E177" i="23"/>
  <c r="D177" i="23"/>
  <c r="C177" i="23"/>
  <c r="O176" i="23"/>
  <c r="N176" i="23"/>
  <c r="M176" i="23"/>
  <c r="L176" i="23"/>
  <c r="K176" i="23"/>
  <c r="J176" i="23"/>
  <c r="I176" i="23"/>
  <c r="H176" i="23"/>
  <c r="G176" i="23"/>
  <c r="F176" i="23"/>
  <c r="E176" i="23"/>
  <c r="D176" i="23"/>
  <c r="C176" i="23"/>
  <c r="O175" i="23"/>
  <c r="N175" i="23"/>
  <c r="M175" i="23"/>
  <c r="L175" i="23"/>
  <c r="K175" i="23"/>
  <c r="J175" i="23"/>
  <c r="I175" i="23"/>
  <c r="H175" i="23"/>
  <c r="G175" i="23"/>
  <c r="F175" i="23"/>
  <c r="E175" i="23"/>
  <c r="D175" i="23"/>
  <c r="C175" i="23"/>
  <c r="O174" i="23"/>
  <c r="N174" i="23"/>
  <c r="M174" i="23"/>
  <c r="L174" i="23"/>
  <c r="K174" i="23"/>
  <c r="J174" i="23"/>
  <c r="I174" i="23"/>
  <c r="H174" i="23"/>
  <c r="G174" i="23"/>
  <c r="F174" i="23"/>
  <c r="E174" i="23"/>
  <c r="D174" i="23"/>
  <c r="C174" i="23"/>
  <c r="O173" i="23"/>
  <c r="N173" i="23"/>
  <c r="M173" i="23"/>
  <c r="L173" i="23"/>
  <c r="K173" i="23"/>
  <c r="J173" i="23"/>
  <c r="I173" i="23"/>
  <c r="H173" i="23"/>
  <c r="G173" i="23"/>
  <c r="F173" i="23"/>
  <c r="E173" i="23"/>
  <c r="D173" i="23"/>
  <c r="C173" i="23"/>
  <c r="B173" i="23"/>
  <c r="O172" i="23"/>
  <c r="N172" i="23"/>
  <c r="M172" i="23"/>
  <c r="L172" i="23"/>
  <c r="K172" i="23"/>
  <c r="J172" i="23"/>
  <c r="I172" i="23"/>
  <c r="H172" i="23"/>
  <c r="G172" i="23"/>
  <c r="F172" i="23"/>
  <c r="E172" i="23"/>
  <c r="D172" i="23"/>
  <c r="C172" i="23"/>
  <c r="O171" i="23"/>
  <c r="N171" i="23"/>
  <c r="M171" i="23"/>
  <c r="L171" i="23"/>
  <c r="K171" i="23"/>
  <c r="J171" i="23"/>
  <c r="I171" i="23"/>
  <c r="H171" i="23"/>
  <c r="G171" i="23"/>
  <c r="F171" i="23"/>
  <c r="E171" i="23"/>
  <c r="D171" i="23"/>
  <c r="C171" i="23"/>
  <c r="O170" i="23"/>
  <c r="N170" i="23"/>
  <c r="M170" i="23"/>
  <c r="L170" i="23"/>
  <c r="K170" i="23"/>
  <c r="J170" i="23"/>
  <c r="I170" i="23"/>
  <c r="H170" i="23"/>
  <c r="G170" i="23"/>
  <c r="F170" i="23"/>
  <c r="E170" i="23"/>
  <c r="D170" i="23"/>
  <c r="C170" i="23"/>
  <c r="O169" i="23"/>
  <c r="N169" i="23"/>
  <c r="M169" i="23"/>
  <c r="L169" i="23"/>
  <c r="K169" i="23"/>
  <c r="J169" i="23"/>
  <c r="I169" i="23"/>
  <c r="H169" i="23"/>
  <c r="G169" i="23"/>
  <c r="F169" i="23"/>
  <c r="E169" i="23"/>
  <c r="D169" i="23"/>
  <c r="C169" i="23"/>
  <c r="O168" i="23"/>
  <c r="N168" i="23"/>
  <c r="M168" i="23"/>
  <c r="L168" i="23"/>
  <c r="K168" i="23"/>
  <c r="J168" i="23"/>
  <c r="I168" i="23"/>
  <c r="H168" i="23"/>
  <c r="G168" i="23"/>
  <c r="F168" i="23"/>
  <c r="E168" i="23"/>
  <c r="D168" i="23"/>
  <c r="C168" i="23"/>
  <c r="O167" i="23"/>
  <c r="N167" i="23"/>
  <c r="M167" i="23"/>
  <c r="L167" i="23"/>
  <c r="K167" i="23"/>
  <c r="J167" i="23"/>
  <c r="I167" i="23"/>
  <c r="H167" i="23"/>
  <c r="G167" i="23"/>
  <c r="F167" i="23"/>
  <c r="E167" i="23"/>
  <c r="D167" i="23"/>
  <c r="C167" i="23"/>
  <c r="O166" i="23"/>
  <c r="N166" i="23"/>
  <c r="M166" i="23"/>
  <c r="L166" i="23"/>
  <c r="K166" i="23"/>
  <c r="J166" i="23"/>
  <c r="I166" i="23"/>
  <c r="H166" i="23"/>
  <c r="G166" i="23"/>
  <c r="F166" i="23"/>
  <c r="E166" i="23"/>
  <c r="D166" i="23"/>
  <c r="C166" i="23"/>
  <c r="O165" i="23"/>
  <c r="N165" i="23"/>
  <c r="M165" i="23"/>
  <c r="L165" i="23"/>
  <c r="K165" i="23"/>
  <c r="J165" i="23"/>
  <c r="I165" i="23"/>
  <c r="H165" i="23"/>
  <c r="G165" i="23"/>
  <c r="F165" i="23"/>
  <c r="E165" i="23"/>
  <c r="D165" i="23"/>
  <c r="C165" i="23"/>
  <c r="O164" i="23"/>
  <c r="N164" i="23"/>
  <c r="M164" i="23"/>
  <c r="L164" i="23"/>
  <c r="K164" i="23"/>
  <c r="J164" i="23"/>
  <c r="I164" i="23"/>
  <c r="H164" i="23"/>
  <c r="G164" i="23"/>
  <c r="F164" i="23"/>
  <c r="E164" i="23"/>
  <c r="D164" i="23"/>
  <c r="C164" i="23"/>
  <c r="O163" i="23"/>
  <c r="N163" i="23"/>
  <c r="M163" i="23"/>
  <c r="L163" i="23"/>
  <c r="K163" i="23"/>
  <c r="J163" i="23"/>
  <c r="I163" i="23"/>
  <c r="H163" i="23"/>
  <c r="G163" i="23"/>
  <c r="F163" i="23"/>
  <c r="E163" i="23"/>
  <c r="D163" i="23"/>
  <c r="C163" i="23"/>
  <c r="O162" i="23"/>
  <c r="N162" i="23"/>
  <c r="M162" i="23"/>
  <c r="L162" i="23"/>
  <c r="K162" i="23"/>
  <c r="J162" i="23"/>
  <c r="I162" i="23"/>
  <c r="H162" i="23"/>
  <c r="G162" i="23"/>
  <c r="F162" i="23"/>
  <c r="E162" i="23"/>
  <c r="D162" i="23"/>
  <c r="C162" i="23"/>
  <c r="O161" i="23"/>
  <c r="N161" i="23"/>
  <c r="M161" i="23"/>
  <c r="L161" i="23"/>
  <c r="K161" i="23"/>
  <c r="J161" i="23"/>
  <c r="I161" i="23"/>
  <c r="H161" i="23"/>
  <c r="G161" i="23"/>
  <c r="F161" i="23"/>
  <c r="E161" i="23"/>
  <c r="D161" i="23"/>
  <c r="C161" i="23"/>
  <c r="O160" i="23"/>
  <c r="N160" i="23"/>
  <c r="M160" i="23"/>
  <c r="L160" i="23"/>
  <c r="K160" i="23"/>
  <c r="J160" i="23"/>
  <c r="I160" i="23"/>
  <c r="H160" i="23"/>
  <c r="G160" i="23"/>
  <c r="F160" i="23"/>
  <c r="E160" i="23"/>
  <c r="D160" i="23"/>
  <c r="C160" i="23"/>
  <c r="O159" i="23"/>
  <c r="N159" i="23"/>
  <c r="M159" i="23"/>
  <c r="L159" i="23"/>
  <c r="K159" i="23"/>
  <c r="J159" i="23"/>
  <c r="I159" i="23"/>
  <c r="H159" i="23"/>
  <c r="G159" i="23"/>
  <c r="F159" i="23"/>
  <c r="E159" i="23"/>
  <c r="D159" i="23"/>
  <c r="C159" i="23"/>
  <c r="O158" i="23"/>
  <c r="N158" i="23"/>
  <c r="M158" i="23"/>
  <c r="L158" i="23"/>
  <c r="K158" i="23"/>
  <c r="J158" i="23"/>
  <c r="I158" i="23"/>
  <c r="H158" i="23"/>
  <c r="G158" i="23"/>
  <c r="F158" i="23"/>
  <c r="E158" i="23"/>
  <c r="D158" i="23"/>
  <c r="C158" i="23"/>
  <c r="O157" i="23"/>
  <c r="N157" i="23"/>
  <c r="M157" i="23"/>
  <c r="L157" i="23"/>
  <c r="K157" i="23"/>
  <c r="J157" i="23"/>
  <c r="I157" i="23"/>
  <c r="H157" i="23"/>
  <c r="G157" i="23"/>
  <c r="F157" i="23"/>
  <c r="E157" i="23"/>
  <c r="D157" i="23"/>
  <c r="C157" i="23"/>
  <c r="O156" i="23"/>
  <c r="N156" i="23"/>
  <c r="M156" i="23"/>
  <c r="L156" i="23"/>
  <c r="K156" i="23"/>
  <c r="J156" i="23"/>
  <c r="I156" i="23"/>
  <c r="H156" i="23"/>
  <c r="G156" i="23"/>
  <c r="F156" i="23"/>
  <c r="E156" i="23"/>
  <c r="D156" i="23"/>
  <c r="C156" i="23"/>
  <c r="O155" i="23"/>
  <c r="N155" i="23"/>
  <c r="M155" i="23"/>
  <c r="L155" i="23"/>
  <c r="K155" i="23"/>
  <c r="J155" i="23"/>
  <c r="I155" i="23"/>
  <c r="H155" i="23"/>
  <c r="G155" i="23"/>
  <c r="F155" i="23"/>
  <c r="E155" i="23"/>
  <c r="D155" i="23"/>
  <c r="C155" i="23"/>
  <c r="O154" i="23"/>
  <c r="N154" i="23"/>
  <c r="M154" i="23"/>
  <c r="L154" i="23"/>
  <c r="K154" i="23"/>
  <c r="J154" i="23"/>
  <c r="I154" i="23"/>
  <c r="H154" i="23"/>
  <c r="G154" i="23"/>
  <c r="F154" i="23"/>
  <c r="E154" i="23"/>
  <c r="D154" i="23"/>
  <c r="C154" i="23"/>
  <c r="O153" i="23"/>
  <c r="N153" i="23"/>
  <c r="M153" i="23"/>
  <c r="L153" i="23"/>
  <c r="K153" i="23"/>
  <c r="J153" i="23"/>
  <c r="I153" i="23"/>
  <c r="H153" i="23"/>
  <c r="G153" i="23"/>
  <c r="F153" i="23"/>
  <c r="E153" i="23"/>
  <c r="D153" i="23"/>
  <c r="C153" i="23"/>
  <c r="B153" i="23"/>
  <c r="O152" i="23"/>
  <c r="N152" i="23"/>
  <c r="M152" i="23"/>
  <c r="L152" i="23"/>
  <c r="K152" i="23"/>
  <c r="J152" i="23"/>
  <c r="I152" i="23"/>
  <c r="H152" i="23"/>
  <c r="G152" i="23"/>
  <c r="F152" i="23"/>
  <c r="E152" i="23"/>
  <c r="D152" i="23"/>
  <c r="C152" i="23"/>
  <c r="O151" i="23"/>
  <c r="N151" i="23"/>
  <c r="M151" i="23"/>
  <c r="L151" i="23"/>
  <c r="K151" i="23"/>
  <c r="J151" i="23"/>
  <c r="I151" i="23"/>
  <c r="H151" i="23"/>
  <c r="G151" i="23"/>
  <c r="F151" i="23"/>
  <c r="E151" i="23"/>
  <c r="D151" i="23"/>
  <c r="C151" i="23"/>
  <c r="O150" i="23"/>
  <c r="N150" i="23"/>
  <c r="M150" i="23"/>
  <c r="L150" i="23"/>
  <c r="K150" i="23"/>
  <c r="J150" i="23"/>
  <c r="I150" i="23"/>
  <c r="H150" i="23"/>
  <c r="G150" i="23"/>
  <c r="F150" i="23"/>
  <c r="E150" i="23"/>
  <c r="D150" i="23"/>
  <c r="C150" i="23"/>
  <c r="O149" i="23"/>
  <c r="N149" i="23"/>
  <c r="M149" i="23"/>
  <c r="L149" i="23"/>
  <c r="K149" i="23"/>
  <c r="J149" i="23"/>
  <c r="I149" i="23"/>
  <c r="H149" i="23"/>
  <c r="G149" i="23"/>
  <c r="F149" i="23"/>
  <c r="E149" i="23"/>
  <c r="D149" i="23"/>
  <c r="C149" i="23"/>
  <c r="O148" i="23"/>
  <c r="N148" i="23"/>
  <c r="M148" i="23"/>
  <c r="L148" i="23"/>
  <c r="K148" i="23"/>
  <c r="J148" i="23"/>
  <c r="I148" i="23"/>
  <c r="H148" i="23"/>
  <c r="G148" i="23"/>
  <c r="F148" i="23"/>
  <c r="E148" i="23"/>
  <c r="D148" i="23"/>
  <c r="C148" i="23"/>
  <c r="O147" i="23"/>
  <c r="N147" i="23"/>
  <c r="M147" i="23"/>
  <c r="L147" i="23"/>
  <c r="K147" i="23"/>
  <c r="J147" i="23"/>
  <c r="I147" i="23"/>
  <c r="H147" i="23"/>
  <c r="G147" i="23"/>
  <c r="F147" i="23"/>
  <c r="E147" i="23"/>
  <c r="D147" i="23"/>
  <c r="C147" i="23"/>
  <c r="O146" i="23"/>
  <c r="N146" i="23"/>
  <c r="M146" i="23"/>
  <c r="L146" i="23"/>
  <c r="K146" i="23"/>
  <c r="J146" i="23"/>
  <c r="I146" i="23"/>
  <c r="H146" i="23"/>
  <c r="G146" i="23"/>
  <c r="F146" i="23"/>
  <c r="E146" i="23"/>
  <c r="D146" i="23"/>
  <c r="C146" i="23"/>
  <c r="O145" i="23"/>
  <c r="N145" i="23"/>
  <c r="M145" i="23"/>
  <c r="L145" i="23"/>
  <c r="K145" i="23"/>
  <c r="J145" i="23"/>
  <c r="I145" i="23"/>
  <c r="H145" i="23"/>
  <c r="G145" i="23"/>
  <c r="F145" i="23"/>
  <c r="E145" i="23"/>
  <c r="D145" i="23"/>
  <c r="C145" i="23"/>
  <c r="O144" i="23"/>
  <c r="N144" i="23"/>
  <c r="M144" i="23"/>
  <c r="L144" i="23"/>
  <c r="K144" i="23"/>
  <c r="J144" i="23"/>
  <c r="I144" i="23"/>
  <c r="H144" i="23"/>
  <c r="G144" i="23"/>
  <c r="F144" i="23"/>
  <c r="E144" i="23"/>
  <c r="D144" i="23"/>
  <c r="C144" i="23"/>
  <c r="O143" i="23"/>
  <c r="N143" i="23"/>
  <c r="M143" i="23"/>
  <c r="L143" i="23"/>
  <c r="K143" i="23"/>
  <c r="J143" i="23"/>
  <c r="I143" i="23"/>
  <c r="H143" i="23"/>
  <c r="G143" i="23"/>
  <c r="F143" i="23"/>
  <c r="E143" i="23"/>
  <c r="D143" i="23"/>
  <c r="C143" i="23"/>
  <c r="O142" i="23"/>
  <c r="N142" i="23"/>
  <c r="M142" i="23"/>
  <c r="L142" i="23"/>
  <c r="K142" i="23"/>
  <c r="J142" i="23"/>
  <c r="I142" i="23"/>
  <c r="H142" i="23"/>
  <c r="G142" i="23"/>
  <c r="F142" i="23"/>
  <c r="E142" i="23"/>
  <c r="D142" i="23"/>
  <c r="C142" i="23"/>
  <c r="O141" i="23"/>
  <c r="N141" i="23"/>
  <c r="M141" i="23"/>
  <c r="L141" i="23"/>
  <c r="K141" i="23"/>
  <c r="J141" i="23"/>
  <c r="I141" i="23"/>
  <c r="H141" i="23"/>
  <c r="G141" i="23"/>
  <c r="F141" i="23"/>
  <c r="E141" i="23"/>
  <c r="D141" i="23"/>
  <c r="C141" i="23"/>
  <c r="O140" i="23"/>
  <c r="N140" i="23"/>
  <c r="M140" i="23"/>
  <c r="L140" i="23"/>
  <c r="K140" i="23"/>
  <c r="J140" i="23"/>
  <c r="I140" i="23"/>
  <c r="H140" i="23"/>
  <c r="G140" i="23"/>
  <c r="F140" i="23"/>
  <c r="E140" i="23"/>
  <c r="D140" i="23"/>
  <c r="C140" i="23"/>
  <c r="O139" i="23"/>
  <c r="N139" i="23"/>
  <c r="M139" i="23"/>
  <c r="L139" i="23"/>
  <c r="K139" i="23"/>
  <c r="J139" i="23"/>
  <c r="I139" i="23"/>
  <c r="H139" i="23"/>
  <c r="G139" i="23"/>
  <c r="F139" i="23"/>
  <c r="E139" i="23"/>
  <c r="D139" i="23"/>
  <c r="C139" i="23"/>
  <c r="O138" i="23"/>
  <c r="N138" i="23"/>
  <c r="M138" i="23"/>
  <c r="L138" i="23"/>
  <c r="K138" i="23"/>
  <c r="J138" i="23"/>
  <c r="I138" i="23"/>
  <c r="H138" i="23"/>
  <c r="G138" i="23"/>
  <c r="F138" i="23"/>
  <c r="E138" i="23"/>
  <c r="D138" i="23"/>
  <c r="C138" i="23"/>
  <c r="O137" i="23"/>
  <c r="N137" i="23"/>
  <c r="M137" i="23"/>
  <c r="L137" i="23"/>
  <c r="K137" i="23"/>
  <c r="J137" i="23"/>
  <c r="I137" i="23"/>
  <c r="H137" i="23"/>
  <c r="G137" i="23"/>
  <c r="F137" i="23"/>
  <c r="E137" i="23"/>
  <c r="D137" i="23"/>
  <c r="C137" i="23"/>
  <c r="O136" i="23"/>
  <c r="N136" i="23"/>
  <c r="M136" i="23"/>
  <c r="L136" i="23"/>
  <c r="K136" i="23"/>
  <c r="J136" i="23"/>
  <c r="I136" i="23"/>
  <c r="H136" i="23"/>
  <c r="G136" i="23"/>
  <c r="F136" i="23"/>
  <c r="E136" i="23"/>
  <c r="D136" i="23"/>
  <c r="C136" i="23"/>
  <c r="O135" i="23"/>
  <c r="N135" i="23"/>
  <c r="M135" i="23"/>
  <c r="L135" i="23"/>
  <c r="K135" i="23"/>
  <c r="J135" i="23"/>
  <c r="I135" i="23"/>
  <c r="H135" i="23"/>
  <c r="G135" i="23"/>
  <c r="F135" i="23"/>
  <c r="E135" i="23"/>
  <c r="D135" i="23"/>
  <c r="C135" i="23"/>
  <c r="O134" i="23"/>
  <c r="N134" i="23"/>
  <c r="M134" i="23"/>
  <c r="L134" i="23"/>
  <c r="K134" i="23"/>
  <c r="J134" i="23"/>
  <c r="I134" i="23"/>
  <c r="H134" i="23"/>
  <c r="G134" i="23"/>
  <c r="F134" i="23"/>
  <c r="E134" i="23"/>
  <c r="D134" i="23"/>
  <c r="C134" i="23"/>
  <c r="O133" i="23"/>
  <c r="N133" i="23"/>
  <c r="M133" i="23"/>
  <c r="L133" i="23"/>
  <c r="K133" i="23"/>
  <c r="J133" i="23"/>
  <c r="I133" i="23"/>
  <c r="H133" i="23"/>
  <c r="G133" i="23"/>
  <c r="F133" i="23"/>
  <c r="E133" i="23"/>
  <c r="D133" i="23"/>
  <c r="C133" i="23"/>
  <c r="O132" i="23"/>
  <c r="N132" i="23"/>
  <c r="M132" i="23"/>
  <c r="L132" i="23"/>
  <c r="K132" i="23"/>
  <c r="J132" i="23"/>
  <c r="I132" i="23"/>
  <c r="H132" i="23"/>
  <c r="G132" i="23"/>
  <c r="F132" i="23"/>
  <c r="E132" i="23"/>
  <c r="D132" i="23"/>
  <c r="C132" i="23"/>
  <c r="O131" i="23"/>
  <c r="N131" i="23"/>
  <c r="M131" i="23"/>
  <c r="L131" i="23"/>
  <c r="K131" i="23"/>
  <c r="J131" i="23"/>
  <c r="I131" i="23"/>
  <c r="H131" i="23"/>
  <c r="G131" i="23"/>
  <c r="F131" i="23"/>
  <c r="E131" i="23"/>
  <c r="D131" i="23"/>
  <c r="C131" i="23"/>
  <c r="O130" i="23"/>
  <c r="N130" i="23"/>
  <c r="M130" i="23"/>
  <c r="L130" i="23"/>
  <c r="K130" i="23"/>
  <c r="J130" i="23"/>
  <c r="I130" i="23"/>
  <c r="H130" i="23"/>
  <c r="G130" i="23"/>
  <c r="F130" i="23"/>
  <c r="E130" i="23"/>
  <c r="D130" i="23"/>
  <c r="C130" i="23"/>
  <c r="O129" i="23"/>
  <c r="N129" i="23"/>
  <c r="M129" i="23"/>
  <c r="L129" i="23"/>
  <c r="K129" i="23"/>
  <c r="J129" i="23"/>
  <c r="I129" i="23"/>
  <c r="H129" i="23"/>
  <c r="G129" i="23"/>
  <c r="F129" i="23"/>
  <c r="E129" i="23"/>
  <c r="D129" i="23"/>
  <c r="C129" i="23"/>
  <c r="O128" i="23"/>
  <c r="N128" i="23"/>
  <c r="M128" i="23"/>
  <c r="L128" i="23"/>
  <c r="K128" i="23"/>
  <c r="J128" i="23"/>
  <c r="I128" i="23"/>
  <c r="H128" i="23"/>
  <c r="G128" i="23"/>
  <c r="F128" i="23"/>
  <c r="E128" i="23"/>
  <c r="D128" i="23"/>
  <c r="C128" i="23"/>
  <c r="O127" i="23"/>
  <c r="N127" i="23"/>
  <c r="M127" i="23"/>
  <c r="L127" i="23"/>
  <c r="K127" i="23"/>
  <c r="J127" i="23"/>
  <c r="I127" i="23"/>
  <c r="H127" i="23"/>
  <c r="G127" i="23"/>
  <c r="F127" i="23"/>
  <c r="E127" i="23"/>
  <c r="D127" i="23"/>
  <c r="C127" i="23"/>
  <c r="O126" i="23"/>
  <c r="N126" i="23"/>
  <c r="M126" i="23"/>
  <c r="L126" i="23"/>
  <c r="K126" i="23"/>
  <c r="J126" i="23"/>
  <c r="I126" i="23"/>
  <c r="H126" i="23"/>
  <c r="G126" i="23"/>
  <c r="F126" i="23"/>
  <c r="E126" i="23"/>
  <c r="D126" i="23"/>
  <c r="C126" i="23"/>
  <c r="O125" i="23"/>
  <c r="N125" i="23"/>
  <c r="M125" i="23"/>
  <c r="L125" i="23"/>
  <c r="K125" i="23"/>
  <c r="J125" i="23"/>
  <c r="I125" i="23"/>
  <c r="H125" i="23"/>
  <c r="G125" i="23"/>
  <c r="F125" i="23"/>
  <c r="E125" i="23"/>
  <c r="D125" i="23"/>
  <c r="C125" i="23"/>
  <c r="O124" i="23"/>
  <c r="N124" i="23"/>
  <c r="M124" i="23"/>
  <c r="L124" i="23"/>
  <c r="K124" i="23"/>
  <c r="J124" i="23"/>
  <c r="I124" i="23"/>
  <c r="H124" i="23"/>
  <c r="G124" i="23"/>
  <c r="F124" i="23"/>
  <c r="E124" i="23"/>
  <c r="D124" i="23"/>
  <c r="C124" i="23"/>
  <c r="O123" i="23"/>
  <c r="N123" i="23"/>
  <c r="M123" i="23"/>
  <c r="L123" i="23"/>
  <c r="K123" i="23"/>
  <c r="J123" i="23"/>
  <c r="I123" i="23"/>
  <c r="H123" i="23"/>
  <c r="G123" i="23"/>
  <c r="F123" i="23"/>
  <c r="E123" i="23"/>
  <c r="D123" i="23"/>
  <c r="C123" i="23"/>
  <c r="O122" i="23"/>
  <c r="N122" i="23"/>
  <c r="M122" i="23"/>
  <c r="L122" i="23"/>
  <c r="K122" i="23"/>
  <c r="J122" i="23"/>
  <c r="I122" i="23"/>
  <c r="H122" i="23"/>
  <c r="G122" i="23"/>
  <c r="F122" i="23"/>
  <c r="E122" i="23"/>
  <c r="D122" i="23"/>
  <c r="C122" i="23"/>
  <c r="O121" i="23"/>
  <c r="N121" i="23"/>
  <c r="M121" i="23"/>
  <c r="L121" i="23"/>
  <c r="K121" i="23"/>
  <c r="J121" i="23"/>
  <c r="I121" i="23"/>
  <c r="H121" i="23"/>
  <c r="G121" i="23"/>
  <c r="F121" i="23"/>
  <c r="E121" i="23"/>
  <c r="D121" i="23"/>
  <c r="C121" i="23"/>
  <c r="O120" i="23"/>
  <c r="N120" i="23"/>
  <c r="M120" i="23"/>
  <c r="L120" i="23"/>
  <c r="K120" i="23"/>
  <c r="J120" i="23"/>
  <c r="I120" i="23"/>
  <c r="H120" i="23"/>
  <c r="G120" i="23"/>
  <c r="F120" i="23"/>
  <c r="E120" i="23"/>
  <c r="D120" i="23"/>
  <c r="C120" i="23"/>
  <c r="O119" i="23"/>
  <c r="N119" i="23"/>
  <c r="M119" i="23"/>
  <c r="L119" i="23"/>
  <c r="K119" i="23"/>
  <c r="J119" i="23"/>
  <c r="I119" i="23"/>
  <c r="H119" i="23"/>
  <c r="G119" i="23"/>
  <c r="F119" i="23"/>
  <c r="E119" i="23"/>
  <c r="D119" i="23"/>
  <c r="C119" i="23"/>
  <c r="O118" i="23"/>
  <c r="N118" i="23"/>
  <c r="M118" i="23"/>
  <c r="L118" i="23"/>
  <c r="K118" i="23"/>
  <c r="J118" i="23"/>
  <c r="I118" i="23"/>
  <c r="H118" i="23"/>
  <c r="G118" i="23"/>
  <c r="F118" i="23"/>
  <c r="E118" i="23"/>
  <c r="D118" i="23"/>
  <c r="C118" i="23"/>
  <c r="O117" i="23"/>
  <c r="N117" i="23"/>
  <c r="M117" i="23"/>
  <c r="L117" i="23"/>
  <c r="K117" i="23"/>
  <c r="J117" i="23"/>
  <c r="I117" i="23"/>
  <c r="H117" i="23"/>
  <c r="G117" i="23"/>
  <c r="F117" i="23"/>
  <c r="E117" i="23"/>
  <c r="D117" i="23"/>
  <c r="C117" i="23"/>
  <c r="O116" i="23"/>
  <c r="N116" i="23"/>
  <c r="M116" i="23"/>
  <c r="L116" i="23"/>
  <c r="K116" i="23"/>
  <c r="J116" i="23"/>
  <c r="I116" i="23"/>
  <c r="H116" i="23"/>
  <c r="G116" i="23"/>
  <c r="F116" i="23"/>
  <c r="E116" i="23"/>
  <c r="D116" i="23"/>
  <c r="C116" i="23"/>
  <c r="O115" i="23"/>
  <c r="N115" i="23"/>
  <c r="M115" i="23"/>
  <c r="L115" i="23"/>
  <c r="K115" i="23"/>
  <c r="J115" i="23"/>
  <c r="I115" i="23"/>
  <c r="H115" i="23"/>
  <c r="G115" i="23"/>
  <c r="F115" i="23"/>
  <c r="E115" i="23"/>
  <c r="D115" i="23"/>
  <c r="C115" i="23"/>
  <c r="O114" i="23"/>
  <c r="N114" i="23"/>
  <c r="M114" i="23"/>
  <c r="L114" i="23"/>
  <c r="K114" i="23"/>
  <c r="J114" i="23"/>
  <c r="I114" i="23"/>
  <c r="H114" i="23"/>
  <c r="G114" i="23"/>
  <c r="F114" i="23"/>
  <c r="E114" i="23"/>
  <c r="D114" i="23"/>
  <c r="C114" i="23"/>
  <c r="O113" i="23"/>
  <c r="N113" i="23"/>
  <c r="M113" i="23"/>
  <c r="L113" i="23"/>
  <c r="K113" i="23"/>
  <c r="J113" i="23"/>
  <c r="I113" i="23"/>
  <c r="H113" i="23"/>
  <c r="G113" i="23"/>
  <c r="F113" i="23"/>
  <c r="E113" i="23"/>
  <c r="D113" i="23"/>
  <c r="C113" i="23"/>
  <c r="O112" i="23"/>
  <c r="N112" i="23"/>
  <c r="M112" i="23"/>
  <c r="L112" i="23"/>
  <c r="K112" i="23"/>
  <c r="J112" i="23"/>
  <c r="I112" i="23"/>
  <c r="H112" i="23"/>
  <c r="G112" i="23"/>
  <c r="F112" i="23"/>
  <c r="E112" i="23"/>
  <c r="D112" i="23"/>
  <c r="C112" i="23"/>
  <c r="B112" i="23"/>
  <c r="O111" i="23"/>
  <c r="N111" i="23"/>
  <c r="M111" i="23"/>
  <c r="L111" i="23"/>
  <c r="K111" i="23"/>
  <c r="J111" i="23"/>
  <c r="I111" i="23"/>
  <c r="H111" i="23"/>
  <c r="G111" i="23"/>
  <c r="F111" i="23"/>
  <c r="E111" i="23"/>
  <c r="D111" i="23"/>
  <c r="C111" i="23"/>
  <c r="O110" i="23"/>
  <c r="N110" i="23"/>
  <c r="M110" i="23"/>
  <c r="L110" i="23"/>
  <c r="K110" i="23"/>
  <c r="J110" i="23"/>
  <c r="I110" i="23"/>
  <c r="H110" i="23"/>
  <c r="G110" i="23"/>
  <c r="F110" i="23"/>
  <c r="E110" i="23"/>
  <c r="D110" i="23"/>
  <c r="C110" i="23"/>
  <c r="O109" i="23"/>
  <c r="N109" i="23"/>
  <c r="M109" i="23"/>
  <c r="L109" i="23"/>
  <c r="K109" i="23"/>
  <c r="J109" i="23"/>
  <c r="I109" i="23"/>
  <c r="H109" i="23"/>
  <c r="G109" i="23"/>
  <c r="F109" i="23"/>
  <c r="E109" i="23"/>
  <c r="D109" i="23"/>
  <c r="C109" i="23"/>
  <c r="O108" i="23"/>
  <c r="N108" i="23"/>
  <c r="M108" i="23"/>
  <c r="L108" i="23"/>
  <c r="K108" i="23"/>
  <c r="J108" i="23"/>
  <c r="I108" i="23"/>
  <c r="H108" i="23"/>
  <c r="G108" i="23"/>
  <c r="F108" i="23"/>
  <c r="E108" i="23"/>
  <c r="D108" i="23"/>
  <c r="C108" i="23"/>
  <c r="O107" i="23"/>
  <c r="N107" i="23"/>
  <c r="M107" i="23"/>
  <c r="L107" i="23"/>
  <c r="K107" i="23"/>
  <c r="J107" i="23"/>
  <c r="I107" i="23"/>
  <c r="H107" i="23"/>
  <c r="G107" i="23"/>
  <c r="F107" i="23"/>
  <c r="E107" i="23"/>
  <c r="D107" i="23"/>
  <c r="C107" i="23"/>
  <c r="O106" i="23"/>
  <c r="N106" i="23"/>
  <c r="M106" i="23"/>
  <c r="L106" i="23"/>
  <c r="K106" i="23"/>
  <c r="J106" i="23"/>
  <c r="I106" i="23"/>
  <c r="H106" i="23"/>
  <c r="G106" i="23"/>
  <c r="F106" i="23"/>
  <c r="E106" i="23"/>
  <c r="D106" i="23"/>
  <c r="C106" i="23"/>
  <c r="O105" i="23"/>
  <c r="N105" i="23"/>
  <c r="M105" i="23"/>
  <c r="L105" i="23"/>
  <c r="K105" i="23"/>
  <c r="J105" i="23"/>
  <c r="I105" i="23"/>
  <c r="H105" i="23"/>
  <c r="G105" i="23"/>
  <c r="F105" i="23"/>
  <c r="E105" i="23"/>
  <c r="D105" i="23"/>
  <c r="C105" i="23"/>
  <c r="O104" i="23"/>
  <c r="N104" i="23"/>
  <c r="M104" i="23"/>
  <c r="L104" i="23"/>
  <c r="K104" i="23"/>
  <c r="J104" i="23"/>
  <c r="I104" i="23"/>
  <c r="H104" i="23"/>
  <c r="G104" i="23"/>
  <c r="F104" i="23"/>
  <c r="E104" i="23"/>
  <c r="D104" i="23"/>
  <c r="C104" i="23"/>
  <c r="O103" i="23"/>
  <c r="N103" i="23"/>
  <c r="M103" i="23"/>
  <c r="L103" i="23"/>
  <c r="K103" i="23"/>
  <c r="J103" i="23"/>
  <c r="I103" i="23"/>
  <c r="H103" i="23"/>
  <c r="G103" i="23"/>
  <c r="F103" i="23"/>
  <c r="E103" i="23"/>
  <c r="D103" i="23"/>
  <c r="C103" i="23"/>
  <c r="O102" i="23"/>
  <c r="N102" i="23"/>
  <c r="M102" i="23"/>
  <c r="L102" i="23"/>
  <c r="K102" i="23"/>
  <c r="J102" i="23"/>
  <c r="I102" i="23"/>
  <c r="H102" i="23"/>
  <c r="G102" i="23"/>
  <c r="F102" i="23"/>
  <c r="E102" i="23"/>
  <c r="D102" i="23"/>
  <c r="C102" i="23"/>
  <c r="O101" i="23"/>
  <c r="N101" i="23"/>
  <c r="M101" i="23"/>
  <c r="L101" i="23"/>
  <c r="K101" i="23"/>
  <c r="J101" i="23"/>
  <c r="I101" i="23"/>
  <c r="H101" i="23"/>
  <c r="G101" i="23"/>
  <c r="F101" i="23"/>
  <c r="E101" i="23"/>
  <c r="D101" i="23"/>
  <c r="C101" i="23"/>
  <c r="O100" i="23"/>
  <c r="N100" i="23"/>
  <c r="M100" i="23"/>
  <c r="L100" i="23"/>
  <c r="K100" i="23"/>
  <c r="J100" i="23"/>
  <c r="I100" i="23"/>
  <c r="H100" i="23"/>
  <c r="G100" i="23"/>
  <c r="F100" i="23"/>
  <c r="E100" i="23"/>
  <c r="D100" i="23"/>
  <c r="C100" i="23"/>
  <c r="O99" i="23"/>
  <c r="N99" i="23"/>
  <c r="M99" i="23"/>
  <c r="L99" i="23"/>
  <c r="K99" i="23"/>
  <c r="J99" i="23"/>
  <c r="I99" i="23"/>
  <c r="H99" i="23"/>
  <c r="G99" i="23"/>
  <c r="F99" i="23"/>
  <c r="E99" i="23"/>
  <c r="D99" i="23"/>
  <c r="C99" i="23"/>
  <c r="O98" i="23"/>
  <c r="N98" i="23"/>
  <c r="M98" i="23"/>
  <c r="L98" i="23"/>
  <c r="K98" i="23"/>
  <c r="J98" i="23"/>
  <c r="I98" i="23"/>
  <c r="H98" i="23"/>
  <c r="G98" i="23"/>
  <c r="F98" i="23"/>
  <c r="E98" i="23"/>
  <c r="D98" i="23"/>
  <c r="C98" i="23"/>
  <c r="O97" i="23"/>
  <c r="N97" i="23"/>
  <c r="M97" i="23"/>
  <c r="L97" i="23"/>
  <c r="K97" i="23"/>
  <c r="J97" i="23"/>
  <c r="I97" i="23"/>
  <c r="H97" i="23"/>
  <c r="G97" i="23"/>
  <c r="F97" i="23"/>
  <c r="E97" i="23"/>
  <c r="D97" i="23"/>
  <c r="C97" i="23"/>
  <c r="O96" i="23"/>
  <c r="N96" i="23"/>
  <c r="M96" i="23"/>
  <c r="L96" i="23"/>
  <c r="K96" i="23"/>
  <c r="J96" i="23"/>
  <c r="I96" i="23"/>
  <c r="H96" i="23"/>
  <c r="G96" i="23"/>
  <c r="F96" i="23"/>
  <c r="E96" i="23"/>
  <c r="D96" i="23"/>
  <c r="C96" i="23"/>
  <c r="O95" i="23"/>
  <c r="N95" i="23"/>
  <c r="M95" i="23"/>
  <c r="L95" i="23"/>
  <c r="K95" i="23"/>
  <c r="J95" i="23"/>
  <c r="I95" i="23"/>
  <c r="H95" i="23"/>
  <c r="G95" i="23"/>
  <c r="F95" i="23"/>
  <c r="E95" i="23"/>
  <c r="D95" i="23"/>
  <c r="C95" i="23"/>
  <c r="O94" i="23"/>
  <c r="N94" i="23"/>
  <c r="M94" i="23"/>
  <c r="L94" i="23"/>
  <c r="K94" i="23"/>
  <c r="J94" i="23"/>
  <c r="I94" i="23"/>
  <c r="H94" i="23"/>
  <c r="G94" i="23"/>
  <c r="F94" i="23"/>
  <c r="E94" i="23"/>
  <c r="D94" i="23"/>
  <c r="C94" i="23"/>
  <c r="O93" i="23"/>
  <c r="N93" i="23"/>
  <c r="M93" i="23"/>
  <c r="L93" i="23"/>
  <c r="K93" i="23"/>
  <c r="J93" i="23"/>
  <c r="I93" i="23"/>
  <c r="H93" i="23"/>
  <c r="G93" i="23"/>
  <c r="F93" i="23"/>
  <c r="E93" i="23"/>
  <c r="D93" i="23"/>
  <c r="C93" i="23"/>
  <c r="O92" i="23"/>
  <c r="N92" i="23"/>
  <c r="M92" i="23"/>
  <c r="L92" i="23"/>
  <c r="K92" i="23"/>
  <c r="J92" i="23"/>
  <c r="I92" i="23"/>
  <c r="H92" i="23"/>
  <c r="G92" i="23"/>
  <c r="F92" i="23"/>
  <c r="E92" i="23"/>
  <c r="D92" i="23"/>
  <c r="C92" i="23"/>
  <c r="O91" i="23"/>
  <c r="N91" i="23"/>
  <c r="M91" i="23"/>
  <c r="L91" i="23"/>
  <c r="K91" i="23"/>
  <c r="J91" i="23"/>
  <c r="I91" i="23"/>
  <c r="H91" i="23"/>
  <c r="G91" i="23"/>
  <c r="F91" i="23"/>
  <c r="E91" i="23"/>
  <c r="D91" i="23"/>
  <c r="C91" i="23"/>
  <c r="O90" i="23"/>
  <c r="N90" i="23"/>
  <c r="M90" i="23"/>
  <c r="L90" i="23"/>
  <c r="K90" i="23"/>
  <c r="J90" i="23"/>
  <c r="I90" i="23"/>
  <c r="H90" i="23"/>
  <c r="G90" i="23"/>
  <c r="F90" i="23"/>
  <c r="E90" i="23"/>
  <c r="D90" i="23"/>
  <c r="C90" i="23"/>
  <c r="O89" i="23"/>
  <c r="N89" i="23"/>
  <c r="M89" i="23"/>
  <c r="L89" i="23"/>
  <c r="K89" i="23"/>
  <c r="J89" i="23"/>
  <c r="I89" i="23"/>
  <c r="H89" i="23"/>
  <c r="G89" i="23"/>
  <c r="F89" i="23"/>
  <c r="E89" i="23"/>
  <c r="D89" i="23"/>
  <c r="C89" i="23"/>
  <c r="O88" i="23"/>
  <c r="N88" i="23"/>
  <c r="M88" i="23"/>
  <c r="L88" i="23"/>
  <c r="K88" i="23"/>
  <c r="J88" i="23"/>
  <c r="I88" i="23"/>
  <c r="H88" i="23"/>
  <c r="G88" i="23"/>
  <c r="F88" i="23"/>
  <c r="E88" i="23"/>
  <c r="D88" i="23"/>
  <c r="C88" i="23"/>
  <c r="O87" i="23"/>
  <c r="N87" i="23"/>
  <c r="M87" i="23"/>
  <c r="L87" i="23"/>
  <c r="K87" i="23"/>
  <c r="J87" i="23"/>
  <c r="I87" i="23"/>
  <c r="H87" i="23"/>
  <c r="G87" i="23"/>
  <c r="F87" i="23"/>
  <c r="E87" i="23"/>
  <c r="D87" i="23"/>
  <c r="C87" i="23"/>
  <c r="O86" i="23"/>
  <c r="N86" i="23"/>
  <c r="M86" i="23"/>
  <c r="L86" i="23"/>
  <c r="K86" i="23"/>
  <c r="J86" i="23"/>
  <c r="I86" i="23"/>
  <c r="H86" i="23"/>
  <c r="G86" i="23"/>
  <c r="F86" i="23"/>
  <c r="E86" i="23"/>
  <c r="D86" i="23"/>
  <c r="C86" i="23"/>
  <c r="O85" i="23"/>
  <c r="N85" i="23"/>
  <c r="M85" i="23"/>
  <c r="L85" i="23"/>
  <c r="K85" i="23"/>
  <c r="J85" i="23"/>
  <c r="I85" i="23"/>
  <c r="H85" i="23"/>
  <c r="G85" i="23"/>
  <c r="F85" i="23"/>
  <c r="E85" i="23"/>
  <c r="D85" i="23"/>
  <c r="C85" i="23"/>
  <c r="B85" i="23"/>
  <c r="O84" i="23"/>
  <c r="N84" i="23"/>
  <c r="M84" i="23"/>
  <c r="L84" i="23"/>
  <c r="K84" i="23"/>
  <c r="J84" i="23"/>
  <c r="I84" i="23"/>
  <c r="H84" i="23"/>
  <c r="G84" i="23"/>
  <c r="F84" i="23"/>
  <c r="E84" i="23"/>
  <c r="D84" i="23"/>
  <c r="C84" i="23"/>
  <c r="O83" i="23"/>
  <c r="N83" i="23"/>
  <c r="M83" i="23"/>
  <c r="L83" i="23"/>
  <c r="K83" i="23"/>
  <c r="J83" i="23"/>
  <c r="I83" i="23"/>
  <c r="H83" i="23"/>
  <c r="G83" i="23"/>
  <c r="F83" i="23"/>
  <c r="E83" i="23"/>
  <c r="D83" i="23"/>
  <c r="C83" i="23"/>
  <c r="O82" i="23"/>
  <c r="N82" i="23"/>
  <c r="M82" i="23"/>
  <c r="L82" i="23"/>
  <c r="K82" i="23"/>
  <c r="J82" i="23"/>
  <c r="I82" i="23"/>
  <c r="H82" i="23"/>
  <c r="G82" i="23"/>
  <c r="F82" i="23"/>
  <c r="E82" i="23"/>
  <c r="D82" i="23"/>
  <c r="C82" i="23"/>
  <c r="O81" i="23"/>
  <c r="N81" i="23"/>
  <c r="M81" i="23"/>
  <c r="L81" i="23"/>
  <c r="K81" i="23"/>
  <c r="J81" i="23"/>
  <c r="I81" i="23"/>
  <c r="H81" i="23"/>
  <c r="G81" i="23"/>
  <c r="F81" i="23"/>
  <c r="E81" i="23"/>
  <c r="D81" i="23"/>
  <c r="C81" i="23"/>
  <c r="O80" i="23"/>
  <c r="N80" i="23"/>
  <c r="M80" i="23"/>
  <c r="L80" i="23"/>
  <c r="K80" i="23"/>
  <c r="J80" i="23"/>
  <c r="I80" i="23"/>
  <c r="H80" i="23"/>
  <c r="G80" i="23"/>
  <c r="F80" i="23"/>
  <c r="E80" i="23"/>
  <c r="D80" i="23"/>
  <c r="C80" i="23"/>
  <c r="O79" i="23"/>
  <c r="N79" i="23"/>
  <c r="M79" i="23"/>
  <c r="L79" i="23"/>
  <c r="K79" i="23"/>
  <c r="J79" i="23"/>
  <c r="I79" i="23"/>
  <c r="H79" i="23"/>
  <c r="G79" i="23"/>
  <c r="F79" i="23"/>
  <c r="E79" i="23"/>
  <c r="D79" i="23"/>
  <c r="C79" i="23"/>
  <c r="O78" i="23"/>
  <c r="N78" i="23"/>
  <c r="M78" i="23"/>
  <c r="L78" i="23"/>
  <c r="K78" i="23"/>
  <c r="J78" i="23"/>
  <c r="I78" i="23"/>
  <c r="H78" i="23"/>
  <c r="G78" i="23"/>
  <c r="F78" i="23"/>
  <c r="E78" i="23"/>
  <c r="D78" i="23"/>
  <c r="C78" i="23"/>
  <c r="O77" i="23"/>
  <c r="N77" i="23"/>
  <c r="M77" i="23"/>
  <c r="L77" i="23"/>
  <c r="K77" i="23"/>
  <c r="J77" i="23"/>
  <c r="I77" i="23"/>
  <c r="H77" i="23"/>
  <c r="G77" i="23"/>
  <c r="F77" i="23"/>
  <c r="E77" i="23"/>
  <c r="D77" i="23"/>
  <c r="C77" i="23"/>
  <c r="O76" i="23"/>
  <c r="N76" i="23"/>
  <c r="M76" i="23"/>
  <c r="L76" i="23"/>
  <c r="K76" i="23"/>
  <c r="J76" i="23"/>
  <c r="I76" i="23"/>
  <c r="H76" i="23"/>
  <c r="G76" i="23"/>
  <c r="F76" i="23"/>
  <c r="E76" i="23"/>
  <c r="D76" i="23"/>
  <c r="C76" i="23"/>
  <c r="O75" i="23"/>
  <c r="N75" i="23"/>
  <c r="M75" i="23"/>
  <c r="L75" i="23"/>
  <c r="K75" i="23"/>
  <c r="J75" i="23"/>
  <c r="I75" i="23"/>
  <c r="H75" i="23"/>
  <c r="G75" i="23"/>
  <c r="F75" i="23"/>
  <c r="E75" i="23"/>
  <c r="D75" i="23"/>
  <c r="C75" i="23"/>
  <c r="O74" i="23"/>
  <c r="N74" i="23"/>
  <c r="M74" i="23"/>
  <c r="L74" i="23"/>
  <c r="K74" i="23"/>
  <c r="J74" i="23"/>
  <c r="I74" i="23"/>
  <c r="H74" i="23"/>
  <c r="G74" i="23"/>
  <c r="F74" i="23"/>
  <c r="E74" i="23"/>
  <c r="D74" i="23"/>
  <c r="C74" i="23"/>
  <c r="O73" i="23"/>
  <c r="N73" i="23"/>
  <c r="M73" i="23"/>
  <c r="L73" i="23"/>
  <c r="K73" i="23"/>
  <c r="J73" i="23"/>
  <c r="I73" i="23"/>
  <c r="H73" i="23"/>
  <c r="G73" i="23"/>
  <c r="F73" i="23"/>
  <c r="E73" i="23"/>
  <c r="D73" i="23"/>
  <c r="C73" i="23"/>
  <c r="O72" i="23"/>
  <c r="N72" i="23"/>
  <c r="M72" i="23"/>
  <c r="L72" i="23"/>
  <c r="K72" i="23"/>
  <c r="J72" i="23"/>
  <c r="I72" i="23"/>
  <c r="H72" i="23"/>
  <c r="G72" i="23"/>
  <c r="F72" i="23"/>
  <c r="E72" i="23"/>
  <c r="D72" i="23"/>
  <c r="C72" i="23"/>
  <c r="O71" i="23"/>
  <c r="N71" i="23"/>
  <c r="M71" i="23"/>
  <c r="L71" i="23"/>
  <c r="K71" i="23"/>
  <c r="J71" i="23"/>
  <c r="I71" i="23"/>
  <c r="H71" i="23"/>
  <c r="G71" i="23"/>
  <c r="F71" i="23"/>
  <c r="E71" i="23"/>
  <c r="D71" i="23"/>
  <c r="C71" i="23"/>
  <c r="O70" i="23"/>
  <c r="N70" i="23"/>
  <c r="M70" i="23"/>
  <c r="L70" i="23"/>
  <c r="K70" i="23"/>
  <c r="J70" i="23"/>
  <c r="I70" i="23"/>
  <c r="H70" i="23"/>
  <c r="G70" i="23"/>
  <c r="F70" i="23"/>
  <c r="E70" i="23"/>
  <c r="D70" i="23"/>
  <c r="C70" i="23"/>
  <c r="O69" i="23"/>
  <c r="N69" i="23"/>
  <c r="M69" i="23"/>
  <c r="L69" i="23"/>
  <c r="K69" i="23"/>
  <c r="J69" i="23"/>
  <c r="I69" i="23"/>
  <c r="H69" i="23"/>
  <c r="G69" i="23"/>
  <c r="F69" i="23"/>
  <c r="E69" i="23"/>
  <c r="D69" i="23"/>
  <c r="C69" i="23"/>
  <c r="O68" i="23"/>
  <c r="N68" i="23"/>
  <c r="M68" i="23"/>
  <c r="L68" i="23"/>
  <c r="K68" i="23"/>
  <c r="J68" i="23"/>
  <c r="I68" i="23"/>
  <c r="H68" i="23"/>
  <c r="G68" i="23"/>
  <c r="F68" i="23"/>
  <c r="E68" i="23"/>
  <c r="D68" i="23"/>
  <c r="C68" i="23"/>
  <c r="O67" i="23"/>
  <c r="N67" i="23"/>
  <c r="M67" i="23"/>
  <c r="L67" i="23"/>
  <c r="K67" i="23"/>
  <c r="J67" i="23"/>
  <c r="I67" i="23"/>
  <c r="H67" i="23"/>
  <c r="G67" i="23"/>
  <c r="F67" i="23"/>
  <c r="E67" i="23"/>
  <c r="D67" i="23"/>
  <c r="C67" i="23"/>
  <c r="O66" i="23"/>
  <c r="N66" i="23"/>
  <c r="M66" i="23"/>
  <c r="L66" i="23"/>
  <c r="K66" i="23"/>
  <c r="J66" i="23"/>
  <c r="I66" i="23"/>
  <c r="H66" i="23"/>
  <c r="G66" i="23"/>
  <c r="F66" i="23"/>
  <c r="E66" i="23"/>
  <c r="D66" i="23"/>
  <c r="C66" i="23"/>
  <c r="O65" i="23"/>
  <c r="N65" i="23"/>
  <c r="M65" i="23"/>
  <c r="L65" i="23"/>
  <c r="K65" i="23"/>
  <c r="J65" i="23"/>
  <c r="I65" i="23"/>
  <c r="H65" i="23"/>
  <c r="G65" i="23"/>
  <c r="F65" i="23"/>
  <c r="E65" i="23"/>
  <c r="D65" i="23"/>
  <c r="C65" i="23"/>
  <c r="O64" i="23"/>
  <c r="N64" i="23"/>
  <c r="M64" i="23"/>
  <c r="L64" i="23"/>
  <c r="K64" i="23"/>
  <c r="J64" i="23"/>
  <c r="I64" i="23"/>
  <c r="H64" i="23"/>
  <c r="G64" i="23"/>
  <c r="F64" i="23"/>
  <c r="E64" i="23"/>
  <c r="D64" i="23"/>
  <c r="C64" i="23"/>
  <c r="O63" i="23"/>
  <c r="N63" i="23"/>
  <c r="M63" i="23"/>
  <c r="L63" i="23"/>
  <c r="K63" i="23"/>
  <c r="J63" i="23"/>
  <c r="I63" i="23"/>
  <c r="H63" i="23"/>
  <c r="G63" i="23"/>
  <c r="F63" i="23"/>
  <c r="E63" i="23"/>
  <c r="D63" i="23"/>
  <c r="C63" i="23"/>
  <c r="O62" i="23"/>
  <c r="N62" i="23"/>
  <c r="M62" i="23"/>
  <c r="L62" i="23"/>
  <c r="K62" i="23"/>
  <c r="J62" i="23"/>
  <c r="I62" i="23"/>
  <c r="H62" i="23"/>
  <c r="G62" i="23"/>
  <c r="F62" i="23"/>
  <c r="E62" i="23"/>
  <c r="D62" i="23"/>
  <c r="C62" i="23"/>
  <c r="O61" i="23"/>
  <c r="N61" i="23"/>
  <c r="M61" i="23"/>
  <c r="L61" i="23"/>
  <c r="K61" i="23"/>
  <c r="J61" i="23"/>
  <c r="I61" i="23"/>
  <c r="H61" i="23"/>
  <c r="G61" i="23"/>
  <c r="F61" i="23"/>
  <c r="E61" i="23"/>
  <c r="D61" i="23"/>
  <c r="C61" i="23"/>
  <c r="O60" i="23"/>
  <c r="N60" i="23"/>
  <c r="M60" i="23"/>
  <c r="L60" i="23"/>
  <c r="K60" i="23"/>
  <c r="J60" i="23"/>
  <c r="I60" i="23"/>
  <c r="H60" i="23"/>
  <c r="G60" i="23"/>
  <c r="F60" i="23"/>
  <c r="E60" i="23"/>
  <c r="D60" i="23"/>
  <c r="C60" i="23"/>
  <c r="O59" i="23"/>
  <c r="N59" i="23"/>
  <c r="M59" i="23"/>
  <c r="L59" i="23"/>
  <c r="K59" i="23"/>
  <c r="J59" i="23"/>
  <c r="I59" i="23"/>
  <c r="H59" i="23"/>
  <c r="G59" i="23"/>
  <c r="F59" i="23"/>
  <c r="E59" i="23"/>
  <c r="D59" i="23"/>
  <c r="C59" i="23"/>
  <c r="O58" i="23"/>
  <c r="N58" i="23"/>
  <c r="M58" i="23"/>
  <c r="L58" i="23"/>
  <c r="K58" i="23"/>
  <c r="J58" i="23"/>
  <c r="I58" i="23"/>
  <c r="H58" i="23"/>
  <c r="G58" i="23"/>
  <c r="F58" i="23"/>
  <c r="E58" i="23"/>
  <c r="D58" i="23"/>
  <c r="C58" i="23"/>
  <c r="O57" i="23"/>
  <c r="N57" i="23"/>
  <c r="M57" i="23"/>
  <c r="L57" i="23"/>
  <c r="K57" i="23"/>
  <c r="J57" i="23"/>
  <c r="I57" i="23"/>
  <c r="H57" i="23"/>
  <c r="G57" i="23"/>
  <c r="F57" i="23"/>
  <c r="E57" i="23"/>
  <c r="D57" i="23"/>
  <c r="C57" i="23"/>
  <c r="B57" i="23"/>
  <c r="O56" i="23"/>
  <c r="N56" i="23"/>
  <c r="M56" i="23"/>
  <c r="L56" i="23"/>
  <c r="K56" i="23"/>
  <c r="J56" i="23"/>
  <c r="I56" i="23"/>
  <c r="H56" i="23"/>
  <c r="G56" i="23"/>
  <c r="F56" i="23"/>
  <c r="E56" i="23"/>
  <c r="D56" i="23"/>
  <c r="C56" i="23"/>
  <c r="O55" i="23"/>
  <c r="N55" i="23"/>
  <c r="M55" i="23"/>
  <c r="L55" i="23"/>
  <c r="K55" i="23"/>
  <c r="J55" i="23"/>
  <c r="I55" i="23"/>
  <c r="H55" i="23"/>
  <c r="G55" i="23"/>
  <c r="F55" i="23"/>
  <c r="E55" i="23"/>
  <c r="D55" i="23"/>
  <c r="C55" i="23"/>
  <c r="O54" i="23"/>
  <c r="N54" i="23"/>
  <c r="M54" i="23"/>
  <c r="L54" i="23"/>
  <c r="K54" i="23"/>
  <c r="J54" i="23"/>
  <c r="I54" i="23"/>
  <c r="H54" i="23"/>
  <c r="G54" i="23"/>
  <c r="F54" i="23"/>
  <c r="E54" i="23"/>
  <c r="D54" i="23"/>
  <c r="C54" i="23"/>
  <c r="O53" i="23"/>
  <c r="N53" i="23"/>
  <c r="M53" i="23"/>
  <c r="L53" i="23"/>
  <c r="K53" i="23"/>
  <c r="J53" i="23"/>
  <c r="I53" i="23"/>
  <c r="H53" i="23"/>
  <c r="G53" i="23"/>
  <c r="F53" i="23"/>
  <c r="E53" i="23"/>
  <c r="D53" i="23"/>
  <c r="C53" i="23"/>
  <c r="O52" i="23"/>
  <c r="N52" i="23"/>
  <c r="M52" i="23"/>
  <c r="L52" i="23"/>
  <c r="K52" i="23"/>
  <c r="J52" i="23"/>
  <c r="I52" i="23"/>
  <c r="H52" i="23"/>
  <c r="G52" i="23"/>
  <c r="F52" i="23"/>
  <c r="E52" i="23"/>
  <c r="D52" i="23"/>
  <c r="C52" i="23"/>
  <c r="O51" i="23"/>
  <c r="N51" i="23"/>
  <c r="M51" i="23"/>
  <c r="L51" i="23"/>
  <c r="K51" i="23"/>
  <c r="J51" i="23"/>
  <c r="I51" i="23"/>
  <c r="H51" i="23"/>
  <c r="G51" i="23"/>
  <c r="F51" i="23"/>
  <c r="E51" i="23"/>
  <c r="D51" i="23"/>
  <c r="C51" i="23"/>
  <c r="O50" i="23"/>
  <c r="N50" i="23"/>
  <c r="M50" i="23"/>
  <c r="L50" i="23"/>
  <c r="K50" i="23"/>
  <c r="J50" i="23"/>
  <c r="I50" i="23"/>
  <c r="H50" i="23"/>
  <c r="G50" i="23"/>
  <c r="F50" i="23"/>
  <c r="E50" i="23"/>
  <c r="D50" i="23"/>
  <c r="C50" i="23"/>
  <c r="O49" i="23"/>
  <c r="N49" i="23"/>
  <c r="M49" i="23"/>
  <c r="L49" i="23"/>
  <c r="K49" i="23"/>
  <c r="J49" i="23"/>
  <c r="I49" i="23"/>
  <c r="H49" i="23"/>
  <c r="G49" i="23"/>
  <c r="F49" i="23"/>
  <c r="E49" i="23"/>
  <c r="D49" i="23"/>
  <c r="C49" i="23"/>
  <c r="O48" i="23"/>
  <c r="N48" i="23"/>
  <c r="M48" i="23"/>
  <c r="L48" i="23"/>
  <c r="K48" i="23"/>
  <c r="J48" i="23"/>
  <c r="I48" i="23"/>
  <c r="H48" i="23"/>
  <c r="G48" i="23"/>
  <c r="F48" i="23"/>
  <c r="E48" i="23"/>
  <c r="D48" i="23"/>
  <c r="C48" i="23"/>
  <c r="O47" i="23"/>
  <c r="N47" i="23"/>
  <c r="M47" i="23"/>
  <c r="L47" i="23"/>
  <c r="K47" i="23"/>
  <c r="J47" i="23"/>
  <c r="I47" i="23"/>
  <c r="H47" i="23"/>
  <c r="G47" i="23"/>
  <c r="F47" i="23"/>
  <c r="E47" i="23"/>
  <c r="D47" i="23"/>
  <c r="C47" i="23"/>
  <c r="O46" i="23"/>
  <c r="N46" i="23"/>
  <c r="M46" i="23"/>
  <c r="L46" i="23"/>
  <c r="K46" i="23"/>
  <c r="J46" i="23"/>
  <c r="I46" i="23"/>
  <c r="H46" i="23"/>
  <c r="G46" i="23"/>
  <c r="F46" i="23"/>
  <c r="E46" i="23"/>
  <c r="D46" i="23"/>
  <c r="C46" i="23"/>
  <c r="O45" i="23"/>
  <c r="N45" i="23"/>
  <c r="M45" i="23"/>
  <c r="L45" i="23"/>
  <c r="K45" i="23"/>
  <c r="J45" i="23"/>
  <c r="I45" i="23"/>
  <c r="H45" i="23"/>
  <c r="G45" i="23"/>
  <c r="F45" i="23"/>
  <c r="E45" i="23"/>
  <c r="D45" i="23"/>
  <c r="C45" i="23"/>
  <c r="O44" i="23"/>
  <c r="N44" i="23"/>
  <c r="M44" i="23"/>
  <c r="L44" i="23"/>
  <c r="K44" i="23"/>
  <c r="J44" i="23"/>
  <c r="I44" i="23"/>
  <c r="H44" i="23"/>
  <c r="G44" i="23"/>
  <c r="F44" i="23"/>
  <c r="E44" i="23"/>
  <c r="D44" i="23"/>
  <c r="C44" i="23"/>
  <c r="O43" i="23"/>
  <c r="N43" i="23"/>
  <c r="M43" i="23"/>
  <c r="L43" i="23"/>
  <c r="K43" i="23"/>
  <c r="J43" i="23"/>
  <c r="I43" i="23"/>
  <c r="H43" i="23"/>
  <c r="G43" i="23"/>
  <c r="F43" i="23"/>
  <c r="E43" i="23"/>
  <c r="D43" i="23"/>
  <c r="C43" i="23"/>
  <c r="O42" i="23"/>
  <c r="N42" i="23"/>
  <c r="M42" i="23"/>
  <c r="L42" i="23"/>
  <c r="K42" i="23"/>
  <c r="J42" i="23"/>
  <c r="I42" i="23"/>
  <c r="H42" i="23"/>
  <c r="G42" i="23"/>
  <c r="F42" i="23"/>
  <c r="E42" i="23"/>
  <c r="D42" i="23"/>
  <c r="C42" i="23"/>
  <c r="O41" i="23"/>
  <c r="N41" i="23"/>
  <c r="M41" i="23"/>
  <c r="L41" i="23"/>
  <c r="K41" i="23"/>
  <c r="J41" i="23"/>
  <c r="I41" i="23"/>
  <c r="H41" i="23"/>
  <c r="G41" i="23"/>
  <c r="F41" i="23"/>
  <c r="E41" i="23"/>
  <c r="D41" i="23"/>
  <c r="C41" i="23"/>
  <c r="O40" i="23"/>
  <c r="N40" i="23"/>
  <c r="M40" i="23"/>
  <c r="L40" i="23"/>
  <c r="K40" i="23"/>
  <c r="J40" i="23"/>
  <c r="I40" i="23"/>
  <c r="H40" i="23"/>
  <c r="G40" i="23"/>
  <c r="F40" i="23"/>
  <c r="E40" i="23"/>
  <c r="D40" i="23"/>
  <c r="C40" i="23"/>
  <c r="O39" i="23"/>
  <c r="N39" i="23"/>
  <c r="M39" i="23"/>
  <c r="L39" i="23"/>
  <c r="K39" i="23"/>
  <c r="J39" i="23"/>
  <c r="I39" i="23"/>
  <c r="H39" i="23"/>
  <c r="G39" i="23"/>
  <c r="F39" i="23"/>
  <c r="E39" i="23"/>
  <c r="D39" i="23"/>
  <c r="C39" i="23"/>
  <c r="O38" i="23"/>
  <c r="N38" i="23"/>
  <c r="M38" i="23"/>
  <c r="L38" i="23"/>
  <c r="K38" i="23"/>
  <c r="J38" i="23"/>
  <c r="I38" i="23"/>
  <c r="H38" i="23"/>
  <c r="G38" i="23"/>
  <c r="F38" i="23"/>
  <c r="E38" i="23"/>
  <c r="D38" i="23"/>
  <c r="C38" i="23"/>
  <c r="O37" i="23"/>
  <c r="N37" i="23"/>
  <c r="M37" i="23"/>
  <c r="L37" i="23"/>
  <c r="K37" i="23"/>
  <c r="J37" i="23"/>
  <c r="I37" i="23"/>
  <c r="H37" i="23"/>
  <c r="G37" i="23"/>
  <c r="F37" i="23"/>
  <c r="E37" i="23"/>
  <c r="D37" i="23"/>
  <c r="C37" i="23"/>
  <c r="O36" i="23"/>
  <c r="N36" i="23"/>
  <c r="M36" i="23"/>
  <c r="L36" i="23"/>
  <c r="K36" i="23"/>
  <c r="J36" i="23"/>
  <c r="I36" i="23"/>
  <c r="H36" i="23"/>
  <c r="G36" i="23"/>
  <c r="F36" i="23"/>
  <c r="E36" i="23"/>
  <c r="D36" i="23"/>
  <c r="C36" i="23"/>
  <c r="O35" i="23"/>
  <c r="N35" i="23"/>
  <c r="M35" i="23"/>
  <c r="L35" i="23"/>
  <c r="K35" i="23"/>
  <c r="J35" i="23"/>
  <c r="I35" i="23"/>
  <c r="H35" i="23"/>
  <c r="G35" i="23"/>
  <c r="F35" i="23"/>
  <c r="E35" i="23"/>
  <c r="D35" i="23"/>
  <c r="C35" i="23"/>
  <c r="O34" i="23"/>
  <c r="N34" i="23"/>
  <c r="M34" i="23"/>
  <c r="L34" i="23"/>
  <c r="K34" i="23"/>
  <c r="J34" i="23"/>
  <c r="I34" i="23"/>
  <c r="H34" i="23"/>
  <c r="G34" i="23"/>
  <c r="F34" i="23"/>
  <c r="E34" i="23"/>
  <c r="D34" i="23"/>
  <c r="C34" i="23"/>
  <c r="O33" i="23"/>
  <c r="N33" i="23"/>
  <c r="M33" i="23"/>
  <c r="L33" i="23"/>
  <c r="K33" i="23"/>
  <c r="J33" i="23"/>
  <c r="I33" i="23"/>
  <c r="H33" i="23"/>
  <c r="G33" i="23"/>
  <c r="F33" i="23"/>
  <c r="E33" i="23"/>
  <c r="D33" i="23"/>
  <c r="C33" i="23"/>
  <c r="O32" i="23"/>
  <c r="N32" i="23"/>
  <c r="M32" i="23"/>
  <c r="L32" i="23"/>
  <c r="K32" i="23"/>
  <c r="J32" i="23"/>
  <c r="I32" i="23"/>
  <c r="H32" i="23"/>
  <c r="G32" i="23"/>
  <c r="F32" i="23"/>
  <c r="E32" i="23"/>
  <c r="D32" i="23"/>
  <c r="C32" i="23"/>
  <c r="O31" i="23"/>
  <c r="N31" i="23"/>
  <c r="M31" i="23"/>
  <c r="L31" i="23"/>
  <c r="K31" i="23"/>
  <c r="J31" i="23"/>
  <c r="I31" i="23"/>
  <c r="H31" i="23"/>
  <c r="G31" i="23"/>
  <c r="F31" i="23"/>
  <c r="E31" i="23"/>
  <c r="D31" i="23"/>
  <c r="C31" i="23"/>
  <c r="O30" i="23"/>
  <c r="N30" i="23"/>
  <c r="M30" i="23"/>
  <c r="L30" i="23"/>
  <c r="K30" i="23"/>
  <c r="J30" i="23"/>
  <c r="I30" i="23"/>
  <c r="H30" i="23"/>
  <c r="G30" i="23"/>
  <c r="F30" i="23"/>
  <c r="E30" i="23"/>
  <c r="D30" i="23"/>
  <c r="C30" i="23"/>
  <c r="O29" i="23"/>
  <c r="N29" i="23"/>
  <c r="M29" i="23"/>
  <c r="L29" i="23"/>
  <c r="K29" i="23"/>
  <c r="J29" i="23"/>
  <c r="I29" i="23"/>
  <c r="H29" i="23"/>
  <c r="G29" i="23"/>
  <c r="F29" i="23"/>
  <c r="E29" i="23"/>
  <c r="D29" i="23"/>
  <c r="C29" i="23"/>
  <c r="O28" i="23"/>
  <c r="N28" i="23"/>
  <c r="M28" i="23"/>
  <c r="L28" i="23"/>
  <c r="K28" i="23"/>
  <c r="J28" i="23"/>
  <c r="I28" i="23"/>
  <c r="H28" i="23"/>
  <c r="G28" i="23"/>
  <c r="F28" i="23"/>
  <c r="E28" i="23"/>
  <c r="D28" i="23"/>
  <c r="C28" i="23"/>
  <c r="O27" i="23"/>
  <c r="N27" i="23"/>
  <c r="M27" i="23"/>
  <c r="L27" i="23"/>
  <c r="K27" i="23"/>
  <c r="J27" i="23"/>
  <c r="I27" i="23"/>
  <c r="H27" i="23"/>
  <c r="G27" i="23"/>
  <c r="F27" i="23"/>
  <c r="E27" i="23"/>
  <c r="D27" i="23"/>
  <c r="C27" i="23"/>
  <c r="O26" i="23"/>
  <c r="N26" i="23"/>
  <c r="M26" i="23"/>
  <c r="L26" i="23"/>
  <c r="K26" i="23"/>
  <c r="J26" i="23"/>
  <c r="I26" i="23"/>
  <c r="H26" i="23"/>
  <c r="G26" i="23"/>
  <c r="F26" i="23"/>
  <c r="E26" i="23"/>
  <c r="D26" i="23"/>
  <c r="C26" i="23"/>
  <c r="O25" i="23"/>
  <c r="N25" i="23"/>
  <c r="M25" i="23"/>
  <c r="L25" i="23"/>
  <c r="K25" i="23"/>
  <c r="J25" i="23"/>
  <c r="I25" i="23"/>
  <c r="H25" i="23"/>
  <c r="G25" i="23"/>
  <c r="F25" i="23"/>
  <c r="E25" i="23"/>
  <c r="D25" i="23"/>
  <c r="C25" i="23"/>
  <c r="O234" i="4"/>
  <c r="N234" i="4"/>
  <c r="M234" i="4"/>
  <c r="L234" i="4"/>
  <c r="K234" i="4"/>
  <c r="J234" i="4"/>
  <c r="I234" i="4"/>
  <c r="H234" i="4"/>
  <c r="G234" i="4"/>
  <c r="F234" i="4"/>
  <c r="E234" i="4"/>
  <c r="D234" i="4"/>
  <c r="C234" i="4"/>
  <c r="O229" i="4"/>
  <c r="N229" i="4"/>
  <c r="M229" i="4"/>
  <c r="L229" i="4"/>
  <c r="K229" i="4"/>
  <c r="J229" i="4"/>
  <c r="I229" i="4"/>
  <c r="H229" i="4"/>
  <c r="G229" i="4"/>
  <c r="F229" i="4"/>
  <c r="E229" i="4"/>
  <c r="D229" i="4"/>
  <c r="C229" i="4"/>
  <c r="O228" i="4"/>
  <c r="N228" i="4"/>
  <c r="M228" i="4"/>
  <c r="L228" i="4"/>
  <c r="K228" i="4"/>
  <c r="J228" i="4"/>
  <c r="I228" i="4"/>
  <c r="H228" i="4"/>
  <c r="G228" i="4"/>
  <c r="F228" i="4"/>
  <c r="E228" i="4"/>
  <c r="D228" i="4"/>
  <c r="C228" i="4"/>
  <c r="O227" i="4"/>
  <c r="N227" i="4"/>
  <c r="M227" i="4"/>
  <c r="L227" i="4"/>
  <c r="K227" i="4"/>
  <c r="J227" i="4"/>
  <c r="I227" i="4"/>
  <c r="H227" i="4"/>
  <c r="G227" i="4"/>
  <c r="F227" i="4"/>
  <c r="E227" i="4"/>
  <c r="D227" i="4"/>
  <c r="C227" i="4"/>
  <c r="O226" i="4"/>
  <c r="N226" i="4"/>
  <c r="M226" i="4"/>
  <c r="L226" i="4"/>
  <c r="K226" i="4"/>
  <c r="J226" i="4"/>
  <c r="I226" i="4"/>
  <c r="H226" i="4"/>
  <c r="G226" i="4"/>
  <c r="F226" i="4"/>
  <c r="E226" i="4"/>
  <c r="D226" i="4"/>
  <c r="C226" i="4"/>
  <c r="O225" i="4"/>
  <c r="N225" i="4"/>
  <c r="M225" i="4"/>
  <c r="L225" i="4"/>
  <c r="K225" i="4"/>
  <c r="J225" i="4"/>
  <c r="I225" i="4"/>
  <c r="H225" i="4"/>
  <c r="G225" i="4"/>
  <c r="F225" i="4"/>
  <c r="E225" i="4"/>
  <c r="D225" i="4"/>
  <c r="C225" i="4"/>
  <c r="O224" i="4"/>
  <c r="N224" i="4"/>
  <c r="M224" i="4"/>
  <c r="L224" i="4"/>
  <c r="K224" i="4"/>
  <c r="J224" i="4"/>
  <c r="I224" i="4"/>
  <c r="H224" i="4"/>
  <c r="G224" i="4"/>
  <c r="F224" i="4"/>
  <c r="E224" i="4"/>
  <c r="D224" i="4"/>
  <c r="C224" i="4"/>
  <c r="O223" i="4"/>
  <c r="N223" i="4"/>
  <c r="M223" i="4"/>
  <c r="L223" i="4"/>
  <c r="K223" i="4"/>
  <c r="J223" i="4"/>
  <c r="I223" i="4"/>
  <c r="H223" i="4"/>
  <c r="G223" i="4"/>
  <c r="F223" i="4"/>
  <c r="E223" i="4"/>
  <c r="D223" i="4"/>
  <c r="C223" i="4"/>
  <c r="O222" i="4"/>
  <c r="N222" i="4"/>
  <c r="M222" i="4"/>
  <c r="L222" i="4"/>
  <c r="K222" i="4"/>
  <c r="J222" i="4"/>
  <c r="I222" i="4"/>
  <c r="H222" i="4"/>
  <c r="G222" i="4"/>
  <c r="F222" i="4"/>
  <c r="E222" i="4"/>
  <c r="D222" i="4"/>
  <c r="C222" i="4"/>
  <c r="O221" i="4"/>
  <c r="N221" i="4"/>
  <c r="M221" i="4"/>
  <c r="L221" i="4"/>
  <c r="K221" i="4"/>
  <c r="J221" i="4"/>
  <c r="I221" i="4"/>
  <c r="H221" i="4"/>
  <c r="G221" i="4"/>
  <c r="F221" i="4"/>
  <c r="E221" i="4"/>
  <c r="D221" i="4"/>
  <c r="C221" i="4"/>
  <c r="O220" i="4"/>
  <c r="N220" i="4"/>
  <c r="M220" i="4"/>
  <c r="L220" i="4"/>
  <c r="K220" i="4"/>
  <c r="J220" i="4"/>
  <c r="I220" i="4"/>
  <c r="H220" i="4"/>
  <c r="G220" i="4"/>
  <c r="F220" i="4"/>
  <c r="E220" i="4"/>
  <c r="D220" i="4"/>
  <c r="C220" i="4"/>
  <c r="O219" i="4"/>
  <c r="N219" i="4"/>
  <c r="M219" i="4"/>
  <c r="L219" i="4"/>
  <c r="K219" i="4"/>
  <c r="J219" i="4"/>
  <c r="I219" i="4"/>
  <c r="H219" i="4"/>
  <c r="G219" i="4"/>
  <c r="F219" i="4"/>
  <c r="E219" i="4"/>
  <c r="D219" i="4"/>
  <c r="C219" i="4"/>
  <c r="O218" i="4"/>
  <c r="N218" i="4"/>
  <c r="M218" i="4"/>
  <c r="L218" i="4"/>
  <c r="K218" i="4"/>
  <c r="J218" i="4"/>
  <c r="I218" i="4"/>
  <c r="H218" i="4"/>
  <c r="G218" i="4"/>
  <c r="F218" i="4"/>
  <c r="E218" i="4"/>
  <c r="D218" i="4"/>
  <c r="C218" i="4"/>
  <c r="O217" i="4"/>
  <c r="N217" i="4"/>
  <c r="M217" i="4"/>
  <c r="L217" i="4"/>
  <c r="K217" i="4"/>
  <c r="J217" i="4"/>
  <c r="I217" i="4"/>
  <c r="H217" i="4"/>
  <c r="G217" i="4"/>
  <c r="F217" i="4"/>
  <c r="E217" i="4"/>
  <c r="D217" i="4"/>
  <c r="C217" i="4"/>
  <c r="O216" i="4"/>
  <c r="N216" i="4"/>
  <c r="M216" i="4"/>
  <c r="L216" i="4"/>
  <c r="K216" i="4"/>
  <c r="J216" i="4"/>
  <c r="I216" i="4"/>
  <c r="H216" i="4"/>
  <c r="G216" i="4"/>
  <c r="F216" i="4"/>
  <c r="E216" i="4"/>
  <c r="D216" i="4"/>
  <c r="C216" i="4"/>
  <c r="O215" i="4"/>
  <c r="N215" i="4"/>
  <c r="M215" i="4"/>
  <c r="L215" i="4"/>
  <c r="K215" i="4"/>
  <c r="J215" i="4"/>
  <c r="I215" i="4"/>
  <c r="H215" i="4"/>
  <c r="G215" i="4"/>
  <c r="F215" i="4"/>
  <c r="E215" i="4"/>
  <c r="D215" i="4"/>
  <c r="C215" i="4"/>
  <c r="O214" i="4"/>
  <c r="N214" i="4"/>
  <c r="M214" i="4"/>
  <c r="L214" i="4"/>
  <c r="K214" i="4"/>
  <c r="J214" i="4"/>
  <c r="I214" i="4"/>
  <c r="H214" i="4"/>
  <c r="G214" i="4"/>
  <c r="F214" i="4"/>
  <c r="E214" i="4"/>
  <c r="D214" i="4"/>
  <c r="C214" i="4"/>
  <c r="O213" i="4"/>
  <c r="N213" i="4"/>
  <c r="M213" i="4"/>
  <c r="L213" i="4"/>
  <c r="K213" i="4"/>
  <c r="J213" i="4"/>
  <c r="I213" i="4"/>
  <c r="H213" i="4"/>
  <c r="G213" i="4"/>
  <c r="F213" i="4"/>
  <c r="E213" i="4"/>
  <c r="D213" i="4"/>
  <c r="C213" i="4"/>
  <c r="O212" i="4"/>
  <c r="N212" i="4"/>
  <c r="M212" i="4"/>
  <c r="L212" i="4"/>
  <c r="K212" i="4"/>
  <c r="J212" i="4"/>
  <c r="I212" i="4"/>
  <c r="H212" i="4"/>
  <c r="G212" i="4"/>
  <c r="F212" i="4"/>
  <c r="E212" i="4"/>
  <c r="D212" i="4"/>
  <c r="C212" i="4"/>
  <c r="O211" i="4"/>
  <c r="N211" i="4"/>
  <c r="M211" i="4"/>
  <c r="L211" i="4"/>
  <c r="K211" i="4"/>
  <c r="J211" i="4"/>
  <c r="I211" i="4"/>
  <c r="H211" i="4"/>
  <c r="G211" i="4"/>
  <c r="F211" i="4"/>
  <c r="E211" i="4"/>
  <c r="D211" i="4"/>
  <c r="C211" i="4"/>
  <c r="O210" i="4"/>
  <c r="N210" i="4"/>
  <c r="M210" i="4"/>
  <c r="L210" i="4"/>
  <c r="K210" i="4"/>
  <c r="J210" i="4"/>
  <c r="I210" i="4"/>
  <c r="H210" i="4"/>
  <c r="G210" i="4"/>
  <c r="F210" i="4"/>
  <c r="E210" i="4"/>
  <c r="D210" i="4"/>
  <c r="C210" i="4"/>
  <c r="O209" i="4"/>
  <c r="N209" i="4"/>
  <c r="M209" i="4"/>
  <c r="L209" i="4"/>
  <c r="K209" i="4"/>
  <c r="J209" i="4"/>
  <c r="I209" i="4"/>
  <c r="H209" i="4"/>
  <c r="G209" i="4"/>
  <c r="F209" i="4"/>
  <c r="E209" i="4"/>
  <c r="D209" i="4"/>
  <c r="C209" i="4"/>
  <c r="O208" i="4"/>
  <c r="N208" i="4"/>
  <c r="M208" i="4"/>
  <c r="L208" i="4"/>
  <c r="K208" i="4"/>
  <c r="J208" i="4"/>
  <c r="I208" i="4"/>
  <c r="H208" i="4"/>
  <c r="G208" i="4"/>
  <c r="F208" i="4"/>
  <c r="E208" i="4"/>
  <c r="D208" i="4"/>
  <c r="C208" i="4"/>
  <c r="O207" i="4"/>
  <c r="N207" i="4"/>
  <c r="M207" i="4"/>
  <c r="L207" i="4"/>
  <c r="K207" i="4"/>
  <c r="J207" i="4"/>
  <c r="I207" i="4"/>
  <c r="H207" i="4"/>
  <c r="G207" i="4"/>
  <c r="F207" i="4"/>
  <c r="E207" i="4"/>
  <c r="D207" i="4"/>
  <c r="C207" i="4"/>
  <c r="O206" i="4"/>
  <c r="N206" i="4"/>
  <c r="M206" i="4"/>
  <c r="L206" i="4"/>
  <c r="K206" i="4"/>
  <c r="J206" i="4"/>
  <c r="I206" i="4"/>
  <c r="H206" i="4"/>
  <c r="G206" i="4"/>
  <c r="F206" i="4"/>
  <c r="E206" i="4"/>
  <c r="D206" i="4"/>
  <c r="C206" i="4"/>
  <c r="O205" i="4"/>
  <c r="N205" i="4"/>
  <c r="M205" i="4"/>
  <c r="L205" i="4"/>
  <c r="K205" i="4"/>
  <c r="J205" i="4"/>
  <c r="I205" i="4"/>
  <c r="H205" i="4"/>
  <c r="G205" i="4"/>
  <c r="F205" i="4"/>
  <c r="E205" i="4"/>
  <c r="D205" i="4"/>
  <c r="C205" i="4"/>
  <c r="O204" i="4"/>
  <c r="N204" i="4"/>
  <c r="M204" i="4"/>
  <c r="L204" i="4"/>
  <c r="K204" i="4"/>
  <c r="J204" i="4"/>
  <c r="I204" i="4"/>
  <c r="H204" i="4"/>
  <c r="G204" i="4"/>
  <c r="F204" i="4"/>
  <c r="E204" i="4"/>
  <c r="D204" i="4"/>
  <c r="C204" i="4"/>
  <c r="O203" i="4"/>
  <c r="N203" i="4"/>
  <c r="M203" i="4"/>
  <c r="L203" i="4"/>
  <c r="K203" i="4"/>
  <c r="J203" i="4"/>
  <c r="I203" i="4"/>
  <c r="H203" i="4"/>
  <c r="G203" i="4"/>
  <c r="F203" i="4"/>
  <c r="E203" i="4"/>
  <c r="D203" i="4"/>
  <c r="C203" i="4"/>
  <c r="O202" i="4"/>
  <c r="N202" i="4"/>
  <c r="M202" i="4"/>
  <c r="L202" i="4"/>
  <c r="K202" i="4"/>
  <c r="J202" i="4"/>
  <c r="I202" i="4"/>
  <c r="H202" i="4"/>
  <c r="G202" i="4"/>
  <c r="F202" i="4"/>
  <c r="E202" i="4"/>
  <c r="D202" i="4"/>
  <c r="C202" i="4"/>
  <c r="O201" i="4"/>
  <c r="N201" i="4"/>
  <c r="M201" i="4"/>
  <c r="L201" i="4"/>
  <c r="K201" i="4"/>
  <c r="J201" i="4"/>
  <c r="I201" i="4"/>
  <c r="H201" i="4"/>
  <c r="G201" i="4"/>
  <c r="F201" i="4"/>
  <c r="E201" i="4"/>
  <c r="D201" i="4"/>
  <c r="C201" i="4"/>
  <c r="O200" i="4"/>
  <c r="N200" i="4"/>
  <c r="M200" i="4"/>
  <c r="L200" i="4"/>
  <c r="K200" i="4"/>
  <c r="J200" i="4"/>
  <c r="I200" i="4"/>
  <c r="H200" i="4"/>
  <c r="G200" i="4"/>
  <c r="F200" i="4"/>
  <c r="E200" i="4"/>
  <c r="D200" i="4"/>
  <c r="C200" i="4"/>
  <c r="O199" i="4"/>
  <c r="N199" i="4"/>
  <c r="M199" i="4"/>
  <c r="L199" i="4"/>
  <c r="K199" i="4"/>
  <c r="J199" i="4"/>
  <c r="I199" i="4"/>
  <c r="H199" i="4"/>
  <c r="G199" i="4"/>
  <c r="F199" i="4"/>
  <c r="E199" i="4"/>
  <c r="D199" i="4"/>
  <c r="C199" i="4"/>
  <c r="O198" i="4"/>
  <c r="N198" i="4"/>
  <c r="M198" i="4"/>
  <c r="L198" i="4"/>
  <c r="K198" i="4"/>
  <c r="J198" i="4"/>
  <c r="I198" i="4"/>
  <c r="H198" i="4"/>
  <c r="G198" i="4"/>
  <c r="F198" i="4"/>
  <c r="E198" i="4"/>
  <c r="D198" i="4"/>
  <c r="C198" i="4"/>
  <c r="O197" i="4"/>
  <c r="N197" i="4"/>
  <c r="M197" i="4"/>
  <c r="L197" i="4"/>
  <c r="K197" i="4"/>
  <c r="J197" i="4"/>
  <c r="I197" i="4"/>
  <c r="H197" i="4"/>
  <c r="G197" i="4"/>
  <c r="F197" i="4"/>
  <c r="E197" i="4"/>
  <c r="D197" i="4"/>
  <c r="C197" i="4"/>
  <c r="O196" i="4"/>
  <c r="N196" i="4"/>
  <c r="M196" i="4"/>
  <c r="L196" i="4"/>
  <c r="K196" i="4"/>
  <c r="J196" i="4"/>
  <c r="I196" i="4"/>
  <c r="H196" i="4"/>
  <c r="G196" i="4"/>
  <c r="F196" i="4"/>
  <c r="E196" i="4"/>
  <c r="D196" i="4"/>
  <c r="C196" i="4"/>
  <c r="O195" i="4"/>
  <c r="N195" i="4"/>
  <c r="M195" i="4"/>
  <c r="L195" i="4"/>
  <c r="K195" i="4"/>
  <c r="J195" i="4"/>
  <c r="I195" i="4"/>
  <c r="H195" i="4"/>
  <c r="G195" i="4"/>
  <c r="F195" i="4"/>
  <c r="E195" i="4"/>
  <c r="D195" i="4"/>
  <c r="C195" i="4"/>
  <c r="O194" i="4"/>
  <c r="N194" i="4"/>
  <c r="M194" i="4"/>
  <c r="L194" i="4"/>
  <c r="K194" i="4"/>
  <c r="J194" i="4"/>
  <c r="I194" i="4"/>
  <c r="H194" i="4"/>
  <c r="G194" i="4"/>
  <c r="F194" i="4"/>
  <c r="E194" i="4"/>
  <c r="D194" i="4"/>
  <c r="C194" i="4"/>
  <c r="O193" i="4"/>
  <c r="N193" i="4"/>
  <c r="M193" i="4"/>
  <c r="L193" i="4"/>
  <c r="K193" i="4"/>
  <c r="J193" i="4"/>
  <c r="I193" i="4"/>
  <c r="H193" i="4"/>
  <c r="G193" i="4"/>
  <c r="F193" i="4"/>
  <c r="E193" i="4"/>
  <c r="D193" i="4"/>
  <c r="C193" i="4"/>
  <c r="O192" i="4"/>
  <c r="N192" i="4"/>
  <c r="M192" i="4"/>
  <c r="L192" i="4"/>
  <c r="K192" i="4"/>
  <c r="J192" i="4"/>
  <c r="I192" i="4"/>
  <c r="H192" i="4"/>
  <c r="G192" i="4"/>
  <c r="F192" i="4"/>
  <c r="E192" i="4"/>
  <c r="D192" i="4"/>
  <c r="C192" i="4"/>
  <c r="B192" i="4"/>
  <c r="O191" i="4"/>
  <c r="N191" i="4"/>
  <c r="M191" i="4"/>
  <c r="L191" i="4"/>
  <c r="K191" i="4"/>
  <c r="J191" i="4"/>
  <c r="I191" i="4"/>
  <c r="H191" i="4"/>
  <c r="G191" i="4"/>
  <c r="F191" i="4"/>
  <c r="E191" i="4"/>
  <c r="D191" i="4"/>
  <c r="C191" i="4"/>
  <c r="O190" i="4"/>
  <c r="N190" i="4"/>
  <c r="M190" i="4"/>
  <c r="L190" i="4"/>
  <c r="K190" i="4"/>
  <c r="J190" i="4"/>
  <c r="I190" i="4"/>
  <c r="H190" i="4"/>
  <c r="G190" i="4"/>
  <c r="F190" i="4"/>
  <c r="E190" i="4"/>
  <c r="D190" i="4"/>
  <c r="C190" i="4"/>
  <c r="O189" i="4"/>
  <c r="N189" i="4"/>
  <c r="M189" i="4"/>
  <c r="L189" i="4"/>
  <c r="K189" i="4"/>
  <c r="J189" i="4"/>
  <c r="I189" i="4"/>
  <c r="H189" i="4"/>
  <c r="G189" i="4"/>
  <c r="F189" i="4"/>
  <c r="E189" i="4"/>
  <c r="D189" i="4"/>
  <c r="C189" i="4"/>
  <c r="O188" i="4"/>
  <c r="N188" i="4"/>
  <c r="M188" i="4"/>
  <c r="L188" i="4"/>
  <c r="K188" i="4"/>
  <c r="J188" i="4"/>
  <c r="I188" i="4"/>
  <c r="H188" i="4"/>
  <c r="G188" i="4"/>
  <c r="F188" i="4"/>
  <c r="E188" i="4"/>
  <c r="D188" i="4"/>
  <c r="C188" i="4"/>
  <c r="O187" i="4"/>
  <c r="N187" i="4"/>
  <c r="M187" i="4"/>
  <c r="L187" i="4"/>
  <c r="K187" i="4"/>
  <c r="J187" i="4"/>
  <c r="I187" i="4"/>
  <c r="H187" i="4"/>
  <c r="G187" i="4"/>
  <c r="F187" i="4"/>
  <c r="E187" i="4"/>
  <c r="D187" i="4"/>
  <c r="C187" i="4"/>
  <c r="O186" i="4"/>
  <c r="N186" i="4"/>
  <c r="M186" i="4"/>
  <c r="L186" i="4"/>
  <c r="K186" i="4"/>
  <c r="J186" i="4"/>
  <c r="I186" i="4"/>
  <c r="H186" i="4"/>
  <c r="G186" i="4"/>
  <c r="F186" i="4"/>
  <c r="E186" i="4"/>
  <c r="D186" i="4"/>
  <c r="C186" i="4"/>
  <c r="O185" i="4"/>
  <c r="N185" i="4"/>
  <c r="M185" i="4"/>
  <c r="L185" i="4"/>
  <c r="K185" i="4"/>
  <c r="J185" i="4"/>
  <c r="I185" i="4"/>
  <c r="H185" i="4"/>
  <c r="G185" i="4"/>
  <c r="F185" i="4"/>
  <c r="E185" i="4"/>
  <c r="D185" i="4"/>
  <c r="C185" i="4"/>
  <c r="O184" i="4"/>
  <c r="N184" i="4"/>
  <c r="M184" i="4"/>
  <c r="L184" i="4"/>
  <c r="K184" i="4"/>
  <c r="J184" i="4"/>
  <c r="I184" i="4"/>
  <c r="H184" i="4"/>
  <c r="G184" i="4"/>
  <c r="F184" i="4"/>
  <c r="E184" i="4"/>
  <c r="D184" i="4"/>
  <c r="C184" i="4"/>
  <c r="O183" i="4"/>
  <c r="N183" i="4"/>
  <c r="M183" i="4"/>
  <c r="L183" i="4"/>
  <c r="K183" i="4"/>
  <c r="J183" i="4"/>
  <c r="I183" i="4"/>
  <c r="H183" i="4"/>
  <c r="G183" i="4"/>
  <c r="F183" i="4"/>
  <c r="E183" i="4"/>
  <c r="D183" i="4"/>
  <c r="C183" i="4"/>
  <c r="O182" i="4"/>
  <c r="N182" i="4"/>
  <c r="M182" i="4"/>
  <c r="L182" i="4"/>
  <c r="K182" i="4"/>
  <c r="J182" i="4"/>
  <c r="I182" i="4"/>
  <c r="H182" i="4"/>
  <c r="G182" i="4"/>
  <c r="F182" i="4"/>
  <c r="E182" i="4"/>
  <c r="D182" i="4"/>
  <c r="C182" i="4"/>
  <c r="O181" i="4"/>
  <c r="N181" i="4"/>
  <c r="M181" i="4"/>
  <c r="L181" i="4"/>
  <c r="K181" i="4"/>
  <c r="J181" i="4"/>
  <c r="I181" i="4"/>
  <c r="H181" i="4"/>
  <c r="G181" i="4"/>
  <c r="F181" i="4"/>
  <c r="E181" i="4"/>
  <c r="D181" i="4"/>
  <c r="C181" i="4"/>
  <c r="O180" i="4"/>
  <c r="N180" i="4"/>
  <c r="M180" i="4"/>
  <c r="L180" i="4"/>
  <c r="K180" i="4"/>
  <c r="J180" i="4"/>
  <c r="I180" i="4"/>
  <c r="H180" i="4"/>
  <c r="G180" i="4"/>
  <c r="F180" i="4"/>
  <c r="E180" i="4"/>
  <c r="D180" i="4"/>
  <c r="C180" i="4"/>
  <c r="O179" i="4"/>
  <c r="N179" i="4"/>
  <c r="M179" i="4"/>
  <c r="L179" i="4"/>
  <c r="K179" i="4"/>
  <c r="J179" i="4"/>
  <c r="I179" i="4"/>
  <c r="H179" i="4"/>
  <c r="G179" i="4"/>
  <c r="F179" i="4"/>
  <c r="E179" i="4"/>
  <c r="D179" i="4"/>
  <c r="C179" i="4"/>
  <c r="O178" i="4"/>
  <c r="N178" i="4"/>
  <c r="M178" i="4"/>
  <c r="L178" i="4"/>
  <c r="K178" i="4"/>
  <c r="J178" i="4"/>
  <c r="I178" i="4"/>
  <c r="H178" i="4"/>
  <c r="G178" i="4"/>
  <c r="F178" i="4"/>
  <c r="E178" i="4"/>
  <c r="D178" i="4"/>
  <c r="C178" i="4"/>
  <c r="O177" i="4"/>
  <c r="N177" i="4"/>
  <c r="M177" i="4"/>
  <c r="L177" i="4"/>
  <c r="K177" i="4"/>
  <c r="J177" i="4"/>
  <c r="I177" i="4"/>
  <c r="H177" i="4"/>
  <c r="G177" i="4"/>
  <c r="F177" i="4"/>
  <c r="E177" i="4"/>
  <c r="D177" i="4"/>
  <c r="C177" i="4"/>
  <c r="O176" i="4"/>
  <c r="N176" i="4"/>
  <c r="M176" i="4"/>
  <c r="L176" i="4"/>
  <c r="K176" i="4"/>
  <c r="J176" i="4"/>
  <c r="I176" i="4"/>
  <c r="H176" i="4"/>
  <c r="G176" i="4"/>
  <c r="F176" i="4"/>
  <c r="E176" i="4"/>
  <c r="D176" i="4"/>
  <c r="C176" i="4"/>
  <c r="O175" i="4"/>
  <c r="N175" i="4"/>
  <c r="M175" i="4"/>
  <c r="L175" i="4"/>
  <c r="K175" i="4"/>
  <c r="J175" i="4"/>
  <c r="I175" i="4"/>
  <c r="H175" i="4"/>
  <c r="G175" i="4"/>
  <c r="F175" i="4"/>
  <c r="E175" i="4"/>
  <c r="D175" i="4"/>
  <c r="C175" i="4"/>
  <c r="O174" i="4"/>
  <c r="N174" i="4"/>
  <c r="M174" i="4"/>
  <c r="L174" i="4"/>
  <c r="K174" i="4"/>
  <c r="J174" i="4"/>
  <c r="I174" i="4"/>
  <c r="H174" i="4"/>
  <c r="G174" i="4"/>
  <c r="F174" i="4"/>
  <c r="E174" i="4"/>
  <c r="D174" i="4"/>
  <c r="C174" i="4"/>
  <c r="O173" i="4"/>
  <c r="N173" i="4"/>
  <c r="M173" i="4"/>
  <c r="L173" i="4"/>
  <c r="K173" i="4"/>
  <c r="J173" i="4"/>
  <c r="I173" i="4"/>
  <c r="H173" i="4"/>
  <c r="G173" i="4"/>
  <c r="F173" i="4"/>
  <c r="E173" i="4"/>
  <c r="D173" i="4"/>
  <c r="C173" i="4"/>
  <c r="B173" i="4"/>
  <c r="O172" i="4"/>
  <c r="N172" i="4"/>
  <c r="M172" i="4"/>
  <c r="L172" i="4"/>
  <c r="K172" i="4"/>
  <c r="J172" i="4"/>
  <c r="I172" i="4"/>
  <c r="H172" i="4"/>
  <c r="G172" i="4"/>
  <c r="F172" i="4"/>
  <c r="E172" i="4"/>
  <c r="D172" i="4"/>
  <c r="C172" i="4"/>
  <c r="O171" i="4"/>
  <c r="N171" i="4"/>
  <c r="M171" i="4"/>
  <c r="L171" i="4"/>
  <c r="K171" i="4"/>
  <c r="J171" i="4"/>
  <c r="I171" i="4"/>
  <c r="H171" i="4"/>
  <c r="G171" i="4"/>
  <c r="F171" i="4"/>
  <c r="E171" i="4"/>
  <c r="D171" i="4"/>
  <c r="C171" i="4"/>
  <c r="O170" i="4"/>
  <c r="N170" i="4"/>
  <c r="M170" i="4"/>
  <c r="L170" i="4"/>
  <c r="K170" i="4"/>
  <c r="J170" i="4"/>
  <c r="I170" i="4"/>
  <c r="H170" i="4"/>
  <c r="G170" i="4"/>
  <c r="F170" i="4"/>
  <c r="E170" i="4"/>
  <c r="D170" i="4"/>
  <c r="C170" i="4"/>
  <c r="O169" i="4"/>
  <c r="N169" i="4"/>
  <c r="M169" i="4"/>
  <c r="L169" i="4"/>
  <c r="K169" i="4"/>
  <c r="J169" i="4"/>
  <c r="I169" i="4"/>
  <c r="H169" i="4"/>
  <c r="G169" i="4"/>
  <c r="F169" i="4"/>
  <c r="E169" i="4"/>
  <c r="D169" i="4"/>
  <c r="C169" i="4"/>
  <c r="O168" i="4"/>
  <c r="N168" i="4"/>
  <c r="M168" i="4"/>
  <c r="L168" i="4"/>
  <c r="K168" i="4"/>
  <c r="J168" i="4"/>
  <c r="I168" i="4"/>
  <c r="H168" i="4"/>
  <c r="G168" i="4"/>
  <c r="F168" i="4"/>
  <c r="E168" i="4"/>
  <c r="D168" i="4"/>
  <c r="C168" i="4"/>
  <c r="O167" i="4"/>
  <c r="N167" i="4"/>
  <c r="M167" i="4"/>
  <c r="L167" i="4"/>
  <c r="K167" i="4"/>
  <c r="J167" i="4"/>
  <c r="I167" i="4"/>
  <c r="H167" i="4"/>
  <c r="G167" i="4"/>
  <c r="F167" i="4"/>
  <c r="E167" i="4"/>
  <c r="D167" i="4"/>
  <c r="C167" i="4"/>
  <c r="O166" i="4"/>
  <c r="N166" i="4"/>
  <c r="M166" i="4"/>
  <c r="L166" i="4"/>
  <c r="K166" i="4"/>
  <c r="J166" i="4"/>
  <c r="I166" i="4"/>
  <c r="H166" i="4"/>
  <c r="G166" i="4"/>
  <c r="F166" i="4"/>
  <c r="E166" i="4"/>
  <c r="D166" i="4"/>
  <c r="C166" i="4"/>
  <c r="O165" i="4"/>
  <c r="N165" i="4"/>
  <c r="M165" i="4"/>
  <c r="L165" i="4"/>
  <c r="K165" i="4"/>
  <c r="J165" i="4"/>
  <c r="I165" i="4"/>
  <c r="H165" i="4"/>
  <c r="G165" i="4"/>
  <c r="F165" i="4"/>
  <c r="E165" i="4"/>
  <c r="D165" i="4"/>
  <c r="C165" i="4"/>
  <c r="O164" i="4"/>
  <c r="N164" i="4"/>
  <c r="M164" i="4"/>
  <c r="L164" i="4"/>
  <c r="K164" i="4"/>
  <c r="J164" i="4"/>
  <c r="I164" i="4"/>
  <c r="H164" i="4"/>
  <c r="G164" i="4"/>
  <c r="F164" i="4"/>
  <c r="E164" i="4"/>
  <c r="D164" i="4"/>
  <c r="C164" i="4"/>
  <c r="O163" i="4"/>
  <c r="N163" i="4"/>
  <c r="M163" i="4"/>
  <c r="L163" i="4"/>
  <c r="K163" i="4"/>
  <c r="J163" i="4"/>
  <c r="I163" i="4"/>
  <c r="H163" i="4"/>
  <c r="G163" i="4"/>
  <c r="F163" i="4"/>
  <c r="E163" i="4"/>
  <c r="D163" i="4"/>
  <c r="C163" i="4"/>
  <c r="O162" i="4"/>
  <c r="N162" i="4"/>
  <c r="M162" i="4"/>
  <c r="L162" i="4"/>
  <c r="K162" i="4"/>
  <c r="J162" i="4"/>
  <c r="I162" i="4"/>
  <c r="H162" i="4"/>
  <c r="G162" i="4"/>
  <c r="F162" i="4"/>
  <c r="E162" i="4"/>
  <c r="D162" i="4"/>
  <c r="C162" i="4"/>
  <c r="O161" i="4"/>
  <c r="N161" i="4"/>
  <c r="M161" i="4"/>
  <c r="L161" i="4"/>
  <c r="K161" i="4"/>
  <c r="J161" i="4"/>
  <c r="I161" i="4"/>
  <c r="H161" i="4"/>
  <c r="G161" i="4"/>
  <c r="F161" i="4"/>
  <c r="E161" i="4"/>
  <c r="D161" i="4"/>
  <c r="C161" i="4"/>
  <c r="O160" i="4"/>
  <c r="N160" i="4"/>
  <c r="M160" i="4"/>
  <c r="L160" i="4"/>
  <c r="K160" i="4"/>
  <c r="J160" i="4"/>
  <c r="I160" i="4"/>
  <c r="H160" i="4"/>
  <c r="G160" i="4"/>
  <c r="F160" i="4"/>
  <c r="E160" i="4"/>
  <c r="D160" i="4"/>
  <c r="C160" i="4"/>
  <c r="O159" i="4"/>
  <c r="N159" i="4"/>
  <c r="M159" i="4"/>
  <c r="L159" i="4"/>
  <c r="K159" i="4"/>
  <c r="J159" i="4"/>
  <c r="I159" i="4"/>
  <c r="H159" i="4"/>
  <c r="G159" i="4"/>
  <c r="F159" i="4"/>
  <c r="E159" i="4"/>
  <c r="D159" i="4"/>
  <c r="C159" i="4"/>
  <c r="O158" i="4"/>
  <c r="N158" i="4"/>
  <c r="M158" i="4"/>
  <c r="L158" i="4"/>
  <c r="K158" i="4"/>
  <c r="J158" i="4"/>
  <c r="I158" i="4"/>
  <c r="H158" i="4"/>
  <c r="G158" i="4"/>
  <c r="F158" i="4"/>
  <c r="E158" i="4"/>
  <c r="D158" i="4"/>
  <c r="C158" i="4"/>
  <c r="O157" i="4"/>
  <c r="N157" i="4"/>
  <c r="M157" i="4"/>
  <c r="L157" i="4"/>
  <c r="K157" i="4"/>
  <c r="J157" i="4"/>
  <c r="I157" i="4"/>
  <c r="H157" i="4"/>
  <c r="G157" i="4"/>
  <c r="F157" i="4"/>
  <c r="E157" i="4"/>
  <c r="D157" i="4"/>
  <c r="C157" i="4"/>
  <c r="O156" i="4"/>
  <c r="N156" i="4"/>
  <c r="M156" i="4"/>
  <c r="L156" i="4"/>
  <c r="K156" i="4"/>
  <c r="J156" i="4"/>
  <c r="I156" i="4"/>
  <c r="H156" i="4"/>
  <c r="G156" i="4"/>
  <c r="F156" i="4"/>
  <c r="E156" i="4"/>
  <c r="D156" i="4"/>
  <c r="C156" i="4"/>
  <c r="O155" i="4"/>
  <c r="N155" i="4"/>
  <c r="M155" i="4"/>
  <c r="L155" i="4"/>
  <c r="K155" i="4"/>
  <c r="J155" i="4"/>
  <c r="I155" i="4"/>
  <c r="H155" i="4"/>
  <c r="G155" i="4"/>
  <c r="F155" i="4"/>
  <c r="E155" i="4"/>
  <c r="D155" i="4"/>
  <c r="C155" i="4"/>
  <c r="O154" i="4"/>
  <c r="N154" i="4"/>
  <c r="M154" i="4"/>
  <c r="L154" i="4"/>
  <c r="K154" i="4"/>
  <c r="J154" i="4"/>
  <c r="I154" i="4"/>
  <c r="H154" i="4"/>
  <c r="G154" i="4"/>
  <c r="F154" i="4"/>
  <c r="E154" i="4"/>
  <c r="D154" i="4"/>
  <c r="C154" i="4"/>
  <c r="O153" i="4"/>
  <c r="N153" i="4"/>
  <c r="M153" i="4"/>
  <c r="L153" i="4"/>
  <c r="K153" i="4"/>
  <c r="J153" i="4"/>
  <c r="I153" i="4"/>
  <c r="H153" i="4"/>
  <c r="G153" i="4"/>
  <c r="F153" i="4"/>
  <c r="E153" i="4"/>
  <c r="D153" i="4"/>
  <c r="C153" i="4"/>
  <c r="B153" i="4"/>
  <c r="O152" i="4"/>
  <c r="N152" i="4"/>
  <c r="M152" i="4"/>
  <c r="L152" i="4"/>
  <c r="K152" i="4"/>
  <c r="J152" i="4"/>
  <c r="I152" i="4"/>
  <c r="H152" i="4"/>
  <c r="G152" i="4"/>
  <c r="F152" i="4"/>
  <c r="E152" i="4"/>
  <c r="D152" i="4"/>
  <c r="C152" i="4"/>
  <c r="O151" i="4"/>
  <c r="N151" i="4"/>
  <c r="M151" i="4"/>
  <c r="L151" i="4"/>
  <c r="K151" i="4"/>
  <c r="J151" i="4"/>
  <c r="I151" i="4"/>
  <c r="H151" i="4"/>
  <c r="G151" i="4"/>
  <c r="F151" i="4"/>
  <c r="E151" i="4"/>
  <c r="D151" i="4"/>
  <c r="C151" i="4"/>
  <c r="O150" i="4"/>
  <c r="N150" i="4"/>
  <c r="M150" i="4"/>
  <c r="L150" i="4"/>
  <c r="K150" i="4"/>
  <c r="J150" i="4"/>
  <c r="I150" i="4"/>
  <c r="H150" i="4"/>
  <c r="G150" i="4"/>
  <c r="F150" i="4"/>
  <c r="E150" i="4"/>
  <c r="D150" i="4"/>
  <c r="C150" i="4"/>
  <c r="O149" i="4"/>
  <c r="N149" i="4"/>
  <c r="M149" i="4"/>
  <c r="L149" i="4"/>
  <c r="K149" i="4"/>
  <c r="J149" i="4"/>
  <c r="I149" i="4"/>
  <c r="H149" i="4"/>
  <c r="G149" i="4"/>
  <c r="F149" i="4"/>
  <c r="E149" i="4"/>
  <c r="D149" i="4"/>
  <c r="C149" i="4"/>
  <c r="O148" i="4"/>
  <c r="N148" i="4"/>
  <c r="M148" i="4"/>
  <c r="L148" i="4"/>
  <c r="K148" i="4"/>
  <c r="J148" i="4"/>
  <c r="I148" i="4"/>
  <c r="H148" i="4"/>
  <c r="G148" i="4"/>
  <c r="F148" i="4"/>
  <c r="E148" i="4"/>
  <c r="D148" i="4"/>
  <c r="C148" i="4"/>
  <c r="O147" i="4"/>
  <c r="N147" i="4"/>
  <c r="M147" i="4"/>
  <c r="L147" i="4"/>
  <c r="K147" i="4"/>
  <c r="J147" i="4"/>
  <c r="I147" i="4"/>
  <c r="H147" i="4"/>
  <c r="G147" i="4"/>
  <c r="F147" i="4"/>
  <c r="E147" i="4"/>
  <c r="D147" i="4"/>
  <c r="C147" i="4"/>
  <c r="O146" i="4"/>
  <c r="N146" i="4"/>
  <c r="M146" i="4"/>
  <c r="L146" i="4"/>
  <c r="K146" i="4"/>
  <c r="J146" i="4"/>
  <c r="I146" i="4"/>
  <c r="H146" i="4"/>
  <c r="G146" i="4"/>
  <c r="F146" i="4"/>
  <c r="E146" i="4"/>
  <c r="D146" i="4"/>
  <c r="C146" i="4"/>
  <c r="O145" i="4"/>
  <c r="N145" i="4"/>
  <c r="M145" i="4"/>
  <c r="L145" i="4"/>
  <c r="K145" i="4"/>
  <c r="J145" i="4"/>
  <c r="I145" i="4"/>
  <c r="H145" i="4"/>
  <c r="G145" i="4"/>
  <c r="F145" i="4"/>
  <c r="E145" i="4"/>
  <c r="D145" i="4"/>
  <c r="C145" i="4"/>
  <c r="O144" i="4"/>
  <c r="N144" i="4"/>
  <c r="M144" i="4"/>
  <c r="L144" i="4"/>
  <c r="K144" i="4"/>
  <c r="J144" i="4"/>
  <c r="I144" i="4"/>
  <c r="H144" i="4"/>
  <c r="G144" i="4"/>
  <c r="F144" i="4"/>
  <c r="E144" i="4"/>
  <c r="D144" i="4"/>
  <c r="C144" i="4"/>
  <c r="O143" i="4"/>
  <c r="N143" i="4"/>
  <c r="M143" i="4"/>
  <c r="L143" i="4"/>
  <c r="K143" i="4"/>
  <c r="J143" i="4"/>
  <c r="I143" i="4"/>
  <c r="H143" i="4"/>
  <c r="G143" i="4"/>
  <c r="F143" i="4"/>
  <c r="E143" i="4"/>
  <c r="D143" i="4"/>
  <c r="C143" i="4"/>
  <c r="O142" i="4"/>
  <c r="N142" i="4"/>
  <c r="M142" i="4"/>
  <c r="L142" i="4"/>
  <c r="K142" i="4"/>
  <c r="J142" i="4"/>
  <c r="I142" i="4"/>
  <c r="H142" i="4"/>
  <c r="G142" i="4"/>
  <c r="F142" i="4"/>
  <c r="E142" i="4"/>
  <c r="D142" i="4"/>
  <c r="C142" i="4"/>
  <c r="O141" i="4"/>
  <c r="N141" i="4"/>
  <c r="M141" i="4"/>
  <c r="L141" i="4"/>
  <c r="K141" i="4"/>
  <c r="J141" i="4"/>
  <c r="I141" i="4"/>
  <c r="H141" i="4"/>
  <c r="G141" i="4"/>
  <c r="F141" i="4"/>
  <c r="E141" i="4"/>
  <c r="D141" i="4"/>
  <c r="C141" i="4"/>
  <c r="O140" i="4"/>
  <c r="N140" i="4"/>
  <c r="M140" i="4"/>
  <c r="L140" i="4"/>
  <c r="K140" i="4"/>
  <c r="J140" i="4"/>
  <c r="I140" i="4"/>
  <c r="H140" i="4"/>
  <c r="G140" i="4"/>
  <c r="F140" i="4"/>
  <c r="E140" i="4"/>
  <c r="D140" i="4"/>
  <c r="C140" i="4"/>
  <c r="O139" i="4"/>
  <c r="N139" i="4"/>
  <c r="M139" i="4"/>
  <c r="L139" i="4"/>
  <c r="K139" i="4"/>
  <c r="J139" i="4"/>
  <c r="I139" i="4"/>
  <c r="H139" i="4"/>
  <c r="G139" i="4"/>
  <c r="F139" i="4"/>
  <c r="E139" i="4"/>
  <c r="D139" i="4"/>
  <c r="C139" i="4"/>
  <c r="O138" i="4"/>
  <c r="N138" i="4"/>
  <c r="M138" i="4"/>
  <c r="L138" i="4"/>
  <c r="K138" i="4"/>
  <c r="J138" i="4"/>
  <c r="I138" i="4"/>
  <c r="H138" i="4"/>
  <c r="G138" i="4"/>
  <c r="F138" i="4"/>
  <c r="E138" i="4"/>
  <c r="D138" i="4"/>
  <c r="C138" i="4"/>
  <c r="O137" i="4"/>
  <c r="N137" i="4"/>
  <c r="M137" i="4"/>
  <c r="L137" i="4"/>
  <c r="K137" i="4"/>
  <c r="J137" i="4"/>
  <c r="I137" i="4"/>
  <c r="H137" i="4"/>
  <c r="G137" i="4"/>
  <c r="F137" i="4"/>
  <c r="E137" i="4"/>
  <c r="D137" i="4"/>
  <c r="C137" i="4"/>
  <c r="O136" i="4"/>
  <c r="N136" i="4"/>
  <c r="M136" i="4"/>
  <c r="L136" i="4"/>
  <c r="K136" i="4"/>
  <c r="J136" i="4"/>
  <c r="I136" i="4"/>
  <c r="H136" i="4"/>
  <c r="G136" i="4"/>
  <c r="F136" i="4"/>
  <c r="E136" i="4"/>
  <c r="D136" i="4"/>
  <c r="C136" i="4"/>
  <c r="O135" i="4"/>
  <c r="N135" i="4"/>
  <c r="M135" i="4"/>
  <c r="L135" i="4"/>
  <c r="K135" i="4"/>
  <c r="J135" i="4"/>
  <c r="I135" i="4"/>
  <c r="H135" i="4"/>
  <c r="G135" i="4"/>
  <c r="F135" i="4"/>
  <c r="E135" i="4"/>
  <c r="D135" i="4"/>
  <c r="C135" i="4"/>
  <c r="O134" i="4"/>
  <c r="N134" i="4"/>
  <c r="M134" i="4"/>
  <c r="L134" i="4"/>
  <c r="K134" i="4"/>
  <c r="J134" i="4"/>
  <c r="I134" i="4"/>
  <c r="H134" i="4"/>
  <c r="G134" i="4"/>
  <c r="F134" i="4"/>
  <c r="E134" i="4"/>
  <c r="D134" i="4"/>
  <c r="C134" i="4"/>
  <c r="O133" i="4"/>
  <c r="N133" i="4"/>
  <c r="M133" i="4"/>
  <c r="L133" i="4"/>
  <c r="K133" i="4"/>
  <c r="J133" i="4"/>
  <c r="I133" i="4"/>
  <c r="H133" i="4"/>
  <c r="G133" i="4"/>
  <c r="F133" i="4"/>
  <c r="E133" i="4"/>
  <c r="D133" i="4"/>
  <c r="C133" i="4"/>
  <c r="O132" i="4"/>
  <c r="N132" i="4"/>
  <c r="M132" i="4"/>
  <c r="L132" i="4"/>
  <c r="K132" i="4"/>
  <c r="J132" i="4"/>
  <c r="I132" i="4"/>
  <c r="H132" i="4"/>
  <c r="G132" i="4"/>
  <c r="F132" i="4"/>
  <c r="E132" i="4"/>
  <c r="D132" i="4"/>
  <c r="C132" i="4"/>
  <c r="O131" i="4"/>
  <c r="N131" i="4"/>
  <c r="M131" i="4"/>
  <c r="L131" i="4"/>
  <c r="K131" i="4"/>
  <c r="J131" i="4"/>
  <c r="I131" i="4"/>
  <c r="H131" i="4"/>
  <c r="G131" i="4"/>
  <c r="F131" i="4"/>
  <c r="E131" i="4"/>
  <c r="D131" i="4"/>
  <c r="C131" i="4"/>
  <c r="O130" i="4"/>
  <c r="N130" i="4"/>
  <c r="M130" i="4"/>
  <c r="L130" i="4"/>
  <c r="K130" i="4"/>
  <c r="J130" i="4"/>
  <c r="I130" i="4"/>
  <c r="H130" i="4"/>
  <c r="G130" i="4"/>
  <c r="F130" i="4"/>
  <c r="E130" i="4"/>
  <c r="D130" i="4"/>
  <c r="C130" i="4"/>
  <c r="O129" i="4"/>
  <c r="N129" i="4"/>
  <c r="M129" i="4"/>
  <c r="L129" i="4"/>
  <c r="K129" i="4"/>
  <c r="J129" i="4"/>
  <c r="I129" i="4"/>
  <c r="H129" i="4"/>
  <c r="G129" i="4"/>
  <c r="F129" i="4"/>
  <c r="E129" i="4"/>
  <c r="D129" i="4"/>
  <c r="C129" i="4"/>
  <c r="O128" i="4"/>
  <c r="N128" i="4"/>
  <c r="M128" i="4"/>
  <c r="L128" i="4"/>
  <c r="K128" i="4"/>
  <c r="J128" i="4"/>
  <c r="I128" i="4"/>
  <c r="H128" i="4"/>
  <c r="G128" i="4"/>
  <c r="F128" i="4"/>
  <c r="E128" i="4"/>
  <c r="D128" i="4"/>
  <c r="C128" i="4"/>
  <c r="O127" i="4"/>
  <c r="N127" i="4"/>
  <c r="M127" i="4"/>
  <c r="L127" i="4"/>
  <c r="K127" i="4"/>
  <c r="J127" i="4"/>
  <c r="I127" i="4"/>
  <c r="H127" i="4"/>
  <c r="G127" i="4"/>
  <c r="F127" i="4"/>
  <c r="E127" i="4"/>
  <c r="D127" i="4"/>
  <c r="C127" i="4"/>
  <c r="O126" i="4"/>
  <c r="N126" i="4"/>
  <c r="M126" i="4"/>
  <c r="L126" i="4"/>
  <c r="K126" i="4"/>
  <c r="J126" i="4"/>
  <c r="I126" i="4"/>
  <c r="H126" i="4"/>
  <c r="G126" i="4"/>
  <c r="F126" i="4"/>
  <c r="E126" i="4"/>
  <c r="D126" i="4"/>
  <c r="C126" i="4"/>
  <c r="O125" i="4"/>
  <c r="N125" i="4"/>
  <c r="M125" i="4"/>
  <c r="L125" i="4"/>
  <c r="K125" i="4"/>
  <c r="J125" i="4"/>
  <c r="I125" i="4"/>
  <c r="H125" i="4"/>
  <c r="G125" i="4"/>
  <c r="F125" i="4"/>
  <c r="E125" i="4"/>
  <c r="D125" i="4"/>
  <c r="C125" i="4"/>
  <c r="O124" i="4"/>
  <c r="N124" i="4"/>
  <c r="M124" i="4"/>
  <c r="L124" i="4"/>
  <c r="K124" i="4"/>
  <c r="J124" i="4"/>
  <c r="I124" i="4"/>
  <c r="H124" i="4"/>
  <c r="G124" i="4"/>
  <c r="F124" i="4"/>
  <c r="E124" i="4"/>
  <c r="D124" i="4"/>
  <c r="C124" i="4"/>
  <c r="O123" i="4"/>
  <c r="N123" i="4"/>
  <c r="M123" i="4"/>
  <c r="L123" i="4"/>
  <c r="K123" i="4"/>
  <c r="J123" i="4"/>
  <c r="I123" i="4"/>
  <c r="H123" i="4"/>
  <c r="G123" i="4"/>
  <c r="F123" i="4"/>
  <c r="E123" i="4"/>
  <c r="D123" i="4"/>
  <c r="C123" i="4"/>
  <c r="O122" i="4"/>
  <c r="N122" i="4"/>
  <c r="M122" i="4"/>
  <c r="L122" i="4"/>
  <c r="K122" i="4"/>
  <c r="J122" i="4"/>
  <c r="I122" i="4"/>
  <c r="H122" i="4"/>
  <c r="G122" i="4"/>
  <c r="F122" i="4"/>
  <c r="E122" i="4"/>
  <c r="D122" i="4"/>
  <c r="C122" i="4"/>
  <c r="O121" i="4"/>
  <c r="N121" i="4"/>
  <c r="M121" i="4"/>
  <c r="L121" i="4"/>
  <c r="K121" i="4"/>
  <c r="J121" i="4"/>
  <c r="I121" i="4"/>
  <c r="H121" i="4"/>
  <c r="G121" i="4"/>
  <c r="F121" i="4"/>
  <c r="E121" i="4"/>
  <c r="D121" i="4"/>
  <c r="C121" i="4"/>
  <c r="O120" i="4"/>
  <c r="N120" i="4"/>
  <c r="M120" i="4"/>
  <c r="L120" i="4"/>
  <c r="K120" i="4"/>
  <c r="J120" i="4"/>
  <c r="I120" i="4"/>
  <c r="H120" i="4"/>
  <c r="G120" i="4"/>
  <c r="F120" i="4"/>
  <c r="E120" i="4"/>
  <c r="D120" i="4"/>
  <c r="C120" i="4"/>
  <c r="O119" i="4"/>
  <c r="N119" i="4"/>
  <c r="M119" i="4"/>
  <c r="L119" i="4"/>
  <c r="K119" i="4"/>
  <c r="J119" i="4"/>
  <c r="I119" i="4"/>
  <c r="H119" i="4"/>
  <c r="G119" i="4"/>
  <c r="F119" i="4"/>
  <c r="E119" i="4"/>
  <c r="D119" i="4"/>
  <c r="C119" i="4"/>
  <c r="O118" i="4"/>
  <c r="N118" i="4"/>
  <c r="M118" i="4"/>
  <c r="L118" i="4"/>
  <c r="K118" i="4"/>
  <c r="J118" i="4"/>
  <c r="I118" i="4"/>
  <c r="H118" i="4"/>
  <c r="G118" i="4"/>
  <c r="F118" i="4"/>
  <c r="E118" i="4"/>
  <c r="D118" i="4"/>
  <c r="C118" i="4"/>
  <c r="O117" i="4"/>
  <c r="N117" i="4"/>
  <c r="M117" i="4"/>
  <c r="L117" i="4"/>
  <c r="K117" i="4"/>
  <c r="J117" i="4"/>
  <c r="I117" i="4"/>
  <c r="H117" i="4"/>
  <c r="G117" i="4"/>
  <c r="F117" i="4"/>
  <c r="E117" i="4"/>
  <c r="D117" i="4"/>
  <c r="C117" i="4"/>
  <c r="O116" i="4"/>
  <c r="N116" i="4"/>
  <c r="M116" i="4"/>
  <c r="L116" i="4"/>
  <c r="K116" i="4"/>
  <c r="J116" i="4"/>
  <c r="I116" i="4"/>
  <c r="H116" i="4"/>
  <c r="G116" i="4"/>
  <c r="F116" i="4"/>
  <c r="E116" i="4"/>
  <c r="D116" i="4"/>
  <c r="C116" i="4"/>
  <c r="O115" i="4"/>
  <c r="N115" i="4"/>
  <c r="M115" i="4"/>
  <c r="L115" i="4"/>
  <c r="K115" i="4"/>
  <c r="J115" i="4"/>
  <c r="I115" i="4"/>
  <c r="H115" i="4"/>
  <c r="G115" i="4"/>
  <c r="F115" i="4"/>
  <c r="E115" i="4"/>
  <c r="D115" i="4"/>
  <c r="C115" i="4"/>
  <c r="O114" i="4"/>
  <c r="N114" i="4"/>
  <c r="M114" i="4"/>
  <c r="L114" i="4"/>
  <c r="K114" i="4"/>
  <c r="J114" i="4"/>
  <c r="I114" i="4"/>
  <c r="H114" i="4"/>
  <c r="G114" i="4"/>
  <c r="F114" i="4"/>
  <c r="E114" i="4"/>
  <c r="D114" i="4"/>
  <c r="C114" i="4"/>
  <c r="O113" i="4"/>
  <c r="N113" i="4"/>
  <c r="M113" i="4"/>
  <c r="L113" i="4"/>
  <c r="K113" i="4"/>
  <c r="J113" i="4"/>
  <c r="I113" i="4"/>
  <c r="H113" i="4"/>
  <c r="G113" i="4"/>
  <c r="F113" i="4"/>
  <c r="E113" i="4"/>
  <c r="D113" i="4"/>
  <c r="C113" i="4"/>
  <c r="O112" i="4"/>
  <c r="N112" i="4"/>
  <c r="M112" i="4"/>
  <c r="L112" i="4"/>
  <c r="K112" i="4"/>
  <c r="J112" i="4"/>
  <c r="I112" i="4"/>
  <c r="H112" i="4"/>
  <c r="G112" i="4"/>
  <c r="F112" i="4"/>
  <c r="E112" i="4"/>
  <c r="D112" i="4"/>
  <c r="C112" i="4"/>
  <c r="B112" i="4"/>
  <c r="O111" i="4"/>
  <c r="N111" i="4"/>
  <c r="M111" i="4"/>
  <c r="L111" i="4"/>
  <c r="K111" i="4"/>
  <c r="J111" i="4"/>
  <c r="I111" i="4"/>
  <c r="H111" i="4"/>
  <c r="G111" i="4"/>
  <c r="F111" i="4"/>
  <c r="E111" i="4"/>
  <c r="D111" i="4"/>
  <c r="C111" i="4"/>
  <c r="O110" i="4"/>
  <c r="N110" i="4"/>
  <c r="M110" i="4"/>
  <c r="L110" i="4"/>
  <c r="K110" i="4"/>
  <c r="J110" i="4"/>
  <c r="I110" i="4"/>
  <c r="H110" i="4"/>
  <c r="G110" i="4"/>
  <c r="F110" i="4"/>
  <c r="E110" i="4"/>
  <c r="D110" i="4"/>
  <c r="C110" i="4"/>
  <c r="O109" i="4"/>
  <c r="N109" i="4"/>
  <c r="M109" i="4"/>
  <c r="L109" i="4"/>
  <c r="K109" i="4"/>
  <c r="J109" i="4"/>
  <c r="I109" i="4"/>
  <c r="H109" i="4"/>
  <c r="G109" i="4"/>
  <c r="F109" i="4"/>
  <c r="E109" i="4"/>
  <c r="D109" i="4"/>
  <c r="C109" i="4"/>
  <c r="O108" i="4"/>
  <c r="N108" i="4"/>
  <c r="M108" i="4"/>
  <c r="L108" i="4"/>
  <c r="K108" i="4"/>
  <c r="J108" i="4"/>
  <c r="I108" i="4"/>
  <c r="H108" i="4"/>
  <c r="G108" i="4"/>
  <c r="F108" i="4"/>
  <c r="E108" i="4"/>
  <c r="D108" i="4"/>
  <c r="C108" i="4"/>
  <c r="O107" i="4"/>
  <c r="N107" i="4"/>
  <c r="M107" i="4"/>
  <c r="L107" i="4"/>
  <c r="K107" i="4"/>
  <c r="J107" i="4"/>
  <c r="I107" i="4"/>
  <c r="H107" i="4"/>
  <c r="G107" i="4"/>
  <c r="F107" i="4"/>
  <c r="E107" i="4"/>
  <c r="D107" i="4"/>
  <c r="C107" i="4"/>
  <c r="O106" i="4"/>
  <c r="N106" i="4"/>
  <c r="M106" i="4"/>
  <c r="L106" i="4"/>
  <c r="K106" i="4"/>
  <c r="J106" i="4"/>
  <c r="I106" i="4"/>
  <c r="H106" i="4"/>
  <c r="G106" i="4"/>
  <c r="F106" i="4"/>
  <c r="E106" i="4"/>
  <c r="D106" i="4"/>
  <c r="C106" i="4"/>
  <c r="O105" i="4"/>
  <c r="N105" i="4"/>
  <c r="M105" i="4"/>
  <c r="L105" i="4"/>
  <c r="K105" i="4"/>
  <c r="J105" i="4"/>
  <c r="I105" i="4"/>
  <c r="H105" i="4"/>
  <c r="G105" i="4"/>
  <c r="F105" i="4"/>
  <c r="E105" i="4"/>
  <c r="D105" i="4"/>
  <c r="C105" i="4"/>
  <c r="O104" i="4"/>
  <c r="N104" i="4"/>
  <c r="M104" i="4"/>
  <c r="L104" i="4"/>
  <c r="K104" i="4"/>
  <c r="J104" i="4"/>
  <c r="I104" i="4"/>
  <c r="H104" i="4"/>
  <c r="G104" i="4"/>
  <c r="F104" i="4"/>
  <c r="E104" i="4"/>
  <c r="D104" i="4"/>
  <c r="C104" i="4"/>
  <c r="O103" i="4"/>
  <c r="N103" i="4"/>
  <c r="M103" i="4"/>
  <c r="L103" i="4"/>
  <c r="K103" i="4"/>
  <c r="J103" i="4"/>
  <c r="I103" i="4"/>
  <c r="H103" i="4"/>
  <c r="G103" i="4"/>
  <c r="F103" i="4"/>
  <c r="E103" i="4"/>
  <c r="D103" i="4"/>
  <c r="C103" i="4"/>
  <c r="O102" i="4"/>
  <c r="N102" i="4"/>
  <c r="M102" i="4"/>
  <c r="L102" i="4"/>
  <c r="K102" i="4"/>
  <c r="J102" i="4"/>
  <c r="I102" i="4"/>
  <c r="H102" i="4"/>
  <c r="G102" i="4"/>
  <c r="F102" i="4"/>
  <c r="E102" i="4"/>
  <c r="D102" i="4"/>
  <c r="C102" i="4"/>
  <c r="O101" i="4"/>
  <c r="N101" i="4"/>
  <c r="M101" i="4"/>
  <c r="L101" i="4"/>
  <c r="K101" i="4"/>
  <c r="J101" i="4"/>
  <c r="I101" i="4"/>
  <c r="H101" i="4"/>
  <c r="G101" i="4"/>
  <c r="F101" i="4"/>
  <c r="E101" i="4"/>
  <c r="D101" i="4"/>
  <c r="C101" i="4"/>
  <c r="O100" i="4"/>
  <c r="N100" i="4"/>
  <c r="M100" i="4"/>
  <c r="L100" i="4"/>
  <c r="K100" i="4"/>
  <c r="J100" i="4"/>
  <c r="I100" i="4"/>
  <c r="H100" i="4"/>
  <c r="G100" i="4"/>
  <c r="F100" i="4"/>
  <c r="E100" i="4"/>
  <c r="D100" i="4"/>
  <c r="C100" i="4"/>
  <c r="O99" i="4"/>
  <c r="N99" i="4"/>
  <c r="M99" i="4"/>
  <c r="L99" i="4"/>
  <c r="K99" i="4"/>
  <c r="J99" i="4"/>
  <c r="I99" i="4"/>
  <c r="H99" i="4"/>
  <c r="G99" i="4"/>
  <c r="F99" i="4"/>
  <c r="E99" i="4"/>
  <c r="D99" i="4"/>
  <c r="C99" i="4"/>
  <c r="O98" i="4"/>
  <c r="N98" i="4"/>
  <c r="M98" i="4"/>
  <c r="L98" i="4"/>
  <c r="K98" i="4"/>
  <c r="J98" i="4"/>
  <c r="I98" i="4"/>
  <c r="H98" i="4"/>
  <c r="G98" i="4"/>
  <c r="F98" i="4"/>
  <c r="E98" i="4"/>
  <c r="D98" i="4"/>
  <c r="C98" i="4"/>
  <c r="O97" i="4"/>
  <c r="N97" i="4"/>
  <c r="M97" i="4"/>
  <c r="L97" i="4"/>
  <c r="K97" i="4"/>
  <c r="J97" i="4"/>
  <c r="I97" i="4"/>
  <c r="H97" i="4"/>
  <c r="G97" i="4"/>
  <c r="F97" i="4"/>
  <c r="E97" i="4"/>
  <c r="D97" i="4"/>
  <c r="C97" i="4"/>
  <c r="O96" i="4"/>
  <c r="N96" i="4"/>
  <c r="M96" i="4"/>
  <c r="L96" i="4"/>
  <c r="K96" i="4"/>
  <c r="J96" i="4"/>
  <c r="I96" i="4"/>
  <c r="H96" i="4"/>
  <c r="G96" i="4"/>
  <c r="F96" i="4"/>
  <c r="E96" i="4"/>
  <c r="D96" i="4"/>
  <c r="C96" i="4"/>
  <c r="O95" i="4"/>
  <c r="N95" i="4"/>
  <c r="M95" i="4"/>
  <c r="L95" i="4"/>
  <c r="K95" i="4"/>
  <c r="J95" i="4"/>
  <c r="I95" i="4"/>
  <c r="H95" i="4"/>
  <c r="G95" i="4"/>
  <c r="F95" i="4"/>
  <c r="E95" i="4"/>
  <c r="D95" i="4"/>
  <c r="C95" i="4"/>
  <c r="O94" i="4"/>
  <c r="N94" i="4"/>
  <c r="M94" i="4"/>
  <c r="L94" i="4"/>
  <c r="K94" i="4"/>
  <c r="J94" i="4"/>
  <c r="I94" i="4"/>
  <c r="H94" i="4"/>
  <c r="G94" i="4"/>
  <c r="F94" i="4"/>
  <c r="E94" i="4"/>
  <c r="D94" i="4"/>
  <c r="C94" i="4"/>
  <c r="O93" i="4"/>
  <c r="N93" i="4"/>
  <c r="M93" i="4"/>
  <c r="L93" i="4"/>
  <c r="K93" i="4"/>
  <c r="J93" i="4"/>
  <c r="I93" i="4"/>
  <c r="H93" i="4"/>
  <c r="G93" i="4"/>
  <c r="F93" i="4"/>
  <c r="E93" i="4"/>
  <c r="D93" i="4"/>
  <c r="C93" i="4"/>
  <c r="O92" i="4"/>
  <c r="N92" i="4"/>
  <c r="M92" i="4"/>
  <c r="L92" i="4"/>
  <c r="K92" i="4"/>
  <c r="J92" i="4"/>
  <c r="I92" i="4"/>
  <c r="H92" i="4"/>
  <c r="G92" i="4"/>
  <c r="F92" i="4"/>
  <c r="E92" i="4"/>
  <c r="D92" i="4"/>
  <c r="C92" i="4"/>
  <c r="O91" i="4"/>
  <c r="N91" i="4"/>
  <c r="M91" i="4"/>
  <c r="L91" i="4"/>
  <c r="K91" i="4"/>
  <c r="J91" i="4"/>
  <c r="I91" i="4"/>
  <c r="H91" i="4"/>
  <c r="G91" i="4"/>
  <c r="F91" i="4"/>
  <c r="E91" i="4"/>
  <c r="D91" i="4"/>
  <c r="C91" i="4"/>
  <c r="O90" i="4"/>
  <c r="N90" i="4"/>
  <c r="M90" i="4"/>
  <c r="L90" i="4"/>
  <c r="K90" i="4"/>
  <c r="J90" i="4"/>
  <c r="I90" i="4"/>
  <c r="H90" i="4"/>
  <c r="G90" i="4"/>
  <c r="F90" i="4"/>
  <c r="E90" i="4"/>
  <c r="D90" i="4"/>
  <c r="C90" i="4"/>
  <c r="O89" i="4"/>
  <c r="N89" i="4"/>
  <c r="M89" i="4"/>
  <c r="L89" i="4"/>
  <c r="K89" i="4"/>
  <c r="J89" i="4"/>
  <c r="I89" i="4"/>
  <c r="H89" i="4"/>
  <c r="G89" i="4"/>
  <c r="F89" i="4"/>
  <c r="E89" i="4"/>
  <c r="D89" i="4"/>
  <c r="C89" i="4"/>
  <c r="O88" i="4"/>
  <c r="N88" i="4"/>
  <c r="M88" i="4"/>
  <c r="L88" i="4"/>
  <c r="K88" i="4"/>
  <c r="J88" i="4"/>
  <c r="I88" i="4"/>
  <c r="H88" i="4"/>
  <c r="G88" i="4"/>
  <c r="F88" i="4"/>
  <c r="E88" i="4"/>
  <c r="D88" i="4"/>
  <c r="C88" i="4"/>
  <c r="O87" i="4"/>
  <c r="N87" i="4"/>
  <c r="M87" i="4"/>
  <c r="L87" i="4"/>
  <c r="K87" i="4"/>
  <c r="J87" i="4"/>
  <c r="I87" i="4"/>
  <c r="H87" i="4"/>
  <c r="G87" i="4"/>
  <c r="F87" i="4"/>
  <c r="E87" i="4"/>
  <c r="D87" i="4"/>
  <c r="C87" i="4"/>
  <c r="O86" i="4"/>
  <c r="N86" i="4"/>
  <c r="M86" i="4"/>
  <c r="L86" i="4"/>
  <c r="K86" i="4"/>
  <c r="J86" i="4"/>
  <c r="I86" i="4"/>
  <c r="H86" i="4"/>
  <c r="G86" i="4"/>
  <c r="F86" i="4"/>
  <c r="E86" i="4"/>
  <c r="D86" i="4"/>
  <c r="C86" i="4"/>
  <c r="O85" i="4"/>
  <c r="N85" i="4"/>
  <c r="M85" i="4"/>
  <c r="L85" i="4"/>
  <c r="K85" i="4"/>
  <c r="J85" i="4"/>
  <c r="I85" i="4"/>
  <c r="H85" i="4"/>
  <c r="G85" i="4"/>
  <c r="F85" i="4"/>
  <c r="E85" i="4"/>
  <c r="D85" i="4"/>
  <c r="C85" i="4"/>
  <c r="B85" i="4"/>
  <c r="O84" i="4"/>
  <c r="N84" i="4"/>
  <c r="M84" i="4"/>
  <c r="L84" i="4"/>
  <c r="K84" i="4"/>
  <c r="J84" i="4"/>
  <c r="I84" i="4"/>
  <c r="H84" i="4"/>
  <c r="G84" i="4"/>
  <c r="F84" i="4"/>
  <c r="E84" i="4"/>
  <c r="D84" i="4"/>
  <c r="C84" i="4"/>
  <c r="O83" i="4"/>
  <c r="N83" i="4"/>
  <c r="M83" i="4"/>
  <c r="L83" i="4"/>
  <c r="K83" i="4"/>
  <c r="J83" i="4"/>
  <c r="I83" i="4"/>
  <c r="H83" i="4"/>
  <c r="G83" i="4"/>
  <c r="F83" i="4"/>
  <c r="E83" i="4"/>
  <c r="D83" i="4"/>
  <c r="C83" i="4"/>
  <c r="O82" i="4"/>
  <c r="N82" i="4"/>
  <c r="M82" i="4"/>
  <c r="L82" i="4"/>
  <c r="K82" i="4"/>
  <c r="J82" i="4"/>
  <c r="I82" i="4"/>
  <c r="H82" i="4"/>
  <c r="G82" i="4"/>
  <c r="F82" i="4"/>
  <c r="E82" i="4"/>
  <c r="D82" i="4"/>
  <c r="C82" i="4"/>
  <c r="O81" i="4"/>
  <c r="N81" i="4"/>
  <c r="M81" i="4"/>
  <c r="L81" i="4"/>
  <c r="K81" i="4"/>
  <c r="J81" i="4"/>
  <c r="I81" i="4"/>
  <c r="H81" i="4"/>
  <c r="G81" i="4"/>
  <c r="F81" i="4"/>
  <c r="E81" i="4"/>
  <c r="D81" i="4"/>
  <c r="C81" i="4"/>
  <c r="O80" i="4"/>
  <c r="N80" i="4"/>
  <c r="M80" i="4"/>
  <c r="L80" i="4"/>
  <c r="K80" i="4"/>
  <c r="J80" i="4"/>
  <c r="I80" i="4"/>
  <c r="H80" i="4"/>
  <c r="G80" i="4"/>
  <c r="F80" i="4"/>
  <c r="E80" i="4"/>
  <c r="D80" i="4"/>
  <c r="C80" i="4"/>
  <c r="O79" i="4"/>
  <c r="N79" i="4"/>
  <c r="M79" i="4"/>
  <c r="L79" i="4"/>
  <c r="K79" i="4"/>
  <c r="J79" i="4"/>
  <c r="I79" i="4"/>
  <c r="H79" i="4"/>
  <c r="G79" i="4"/>
  <c r="F79" i="4"/>
  <c r="E79" i="4"/>
  <c r="D79" i="4"/>
  <c r="C79" i="4"/>
  <c r="O78" i="4"/>
  <c r="N78" i="4"/>
  <c r="M78" i="4"/>
  <c r="L78" i="4"/>
  <c r="K78" i="4"/>
  <c r="J78" i="4"/>
  <c r="I78" i="4"/>
  <c r="H78" i="4"/>
  <c r="G78" i="4"/>
  <c r="F78" i="4"/>
  <c r="E78" i="4"/>
  <c r="D78" i="4"/>
  <c r="C78" i="4"/>
  <c r="O77" i="4"/>
  <c r="N77" i="4"/>
  <c r="M77" i="4"/>
  <c r="L77" i="4"/>
  <c r="K77" i="4"/>
  <c r="J77" i="4"/>
  <c r="I77" i="4"/>
  <c r="H77" i="4"/>
  <c r="G77" i="4"/>
  <c r="F77" i="4"/>
  <c r="E77" i="4"/>
  <c r="D77" i="4"/>
  <c r="C77" i="4"/>
  <c r="O76" i="4"/>
  <c r="N76" i="4"/>
  <c r="M76" i="4"/>
  <c r="L76" i="4"/>
  <c r="K76" i="4"/>
  <c r="J76" i="4"/>
  <c r="I76" i="4"/>
  <c r="H76" i="4"/>
  <c r="G76" i="4"/>
  <c r="F76" i="4"/>
  <c r="E76" i="4"/>
  <c r="D76" i="4"/>
  <c r="C76" i="4"/>
  <c r="O75" i="4"/>
  <c r="N75" i="4"/>
  <c r="M75" i="4"/>
  <c r="L75" i="4"/>
  <c r="K75" i="4"/>
  <c r="J75" i="4"/>
  <c r="I75" i="4"/>
  <c r="H75" i="4"/>
  <c r="G75" i="4"/>
  <c r="F75" i="4"/>
  <c r="E75" i="4"/>
  <c r="D75" i="4"/>
  <c r="C75" i="4"/>
  <c r="O74" i="4"/>
  <c r="N74" i="4"/>
  <c r="M74" i="4"/>
  <c r="L74" i="4"/>
  <c r="K74" i="4"/>
  <c r="J74" i="4"/>
  <c r="I74" i="4"/>
  <c r="H74" i="4"/>
  <c r="G74" i="4"/>
  <c r="F74" i="4"/>
  <c r="E74" i="4"/>
  <c r="D74" i="4"/>
  <c r="C74" i="4"/>
  <c r="O73" i="4"/>
  <c r="N73" i="4"/>
  <c r="M73" i="4"/>
  <c r="L73" i="4"/>
  <c r="K73" i="4"/>
  <c r="J73" i="4"/>
  <c r="I73" i="4"/>
  <c r="H73" i="4"/>
  <c r="G73" i="4"/>
  <c r="F73" i="4"/>
  <c r="E73" i="4"/>
  <c r="D73" i="4"/>
  <c r="C73" i="4"/>
  <c r="O72" i="4"/>
  <c r="N72" i="4"/>
  <c r="M72" i="4"/>
  <c r="L72" i="4"/>
  <c r="K72" i="4"/>
  <c r="J72" i="4"/>
  <c r="I72" i="4"/>
  <c r="H72" i="4"/>
  <c r="G72" i="4"/>
  <c r="F72" i="4"/>
  <c r="E72" i="4"/>
  <c r="D72" i="4"/>
  <c r="C72" i="4"/>
  <c r="O71" i="4"/>
  <c r="N71" i="4"/>
  <c r="M71" i="4"/>
  <c r="L71" i="4"/>
  <c r="K71" i="4"/>
  <c r="J71" i="4"/>
  <c r="I71" i="4"/>
  <c r="H71" i="4"/>
  <c r="G71" i="4"/>
  <c r="F71" i="4"/>
  <c r="E71" i="4"/>
  <c r="D71" i="4"/>
  <c r="C71" i="4"/>
  <c r="O70" i="4"/>
  <c r="N70" i="4"/>
  <c r="M70" i="4"/>
  <c r="L70" i="4"/>
  <c r="K70" i="4"/>
  <c r="J70" i="4"/>
  <c r="I70" i="4"/>
  <c r="H70" i="4"/>
  <c r="G70" i="4"/>
  <c r="F70" i="4"/>
  <c r="E70" i="4"/>
  <c r="D70" i="4"/>
  <c r="C70" i="4"/>
  <c r="O69" i="4"/>
  <c r="N69" i="4"/>
  <c r="M69" i="4"/>
  <c r="L69" i="4"/>
  <c r="K69" i="4"/>
  <c r="J69" i="4"/>
  <c r="I69" i="4"/>
  <c r="H69" i="4"/>
  <c r="G69" i="4"/>
  <c r="F69" i="4"/>
  <c r="E69" i="4"/>
  <c r="D69" i="4"/>
  <c r="C69" i="4"/>
  <c r="O68" i="4"/>
  <c r="N68" i="4"/>
  <c r="M68" i="4"/>
  <c r="L68" i="4"/>
  <c r="K68" i="4"/>
  <c r="J68" i="4"/>
  <c r="I68" i="4"/>
  <c r="H68" i="4"/>
  <c r="G68" i="4"/>
  <c r="F68" i="4"/>
  <c r="E68" i="4"/>
  <c r="D68" i="4"/>
  <c r="C68" i="4"/>
  <c r="O67" i="4"/>
  <c r="N67" i="4"/>
  <c r="M67" i="4"/>
  <c r="L67" i="4"/>
  <c r="K67" i="4"/>
  <c r="J67" i="4"/>
  <c r="I67" i="4"/>
  <c r="H67" i="4"/>
  <c r="G67" i="4"/>
  <c r="F67" i="4"/>
  <c r="E67" i="4"/>
  <c r="D67" i="4"/>
  <c r="C67" i="4"/>
  <c r="O66" i="4"/>
  <c r="N66" i="4"/>
  <c r="M66" i="4"/>
  <c r="L66" i="4"/>
  <c r="K66" i="4"/>
  <c r="J66" i="4"/>
  <c r="I66" i="4"/>
  <c r="H66" i="4"/>
  <c r="G66" i="4"/>
  <c r="F66" i="4"/>
  <c r="E66" i="4"/>
  <c r="D66" i="4"/>
  <c r="C66" i="4"/>
  <c r="O65" i="4"/>
  <c r="N65" i="4"/>
  <c r="M65" i="4"/>
  <c r="L65" i="4"/>
  <c r="K65" i="4"/>
  <c r="J65" i="4"/>
  <c r="I65" i="4"/>
  <c r="H65" i="4"/>
  <c r="G65" i="4"/>
  <c r="F65" i="4"/>
  <c r="E65" i="4"/>
  <c r="D65" i="4"/>
  <c r="C65" i="4"/>
  <c r="O64" i="4"/>
  <c r="N64" i="4"/>
  <c r="M64" i="4"/>
  <c r="L64" i="4"/>
  <c r="K64" i="4"/>
  <c r="J64" i="4"/>
  <c r="I64" i="4"/>
  <c r="H64" i="4"/>
  <c r="G64" i="4"/>
  <c r="F64" i="4"/>
  <c r="E64" i="4"/>
  <c r="D64" i="4"/>
  <c r="C64" i="4"/>
  <c r="O63" i="4"/>
  <c r="N63" i="4"/>
  <c r="M63" i="4"/>
  <c r="L63" i="4"/>
  <c r="K63" i="4"/>
  <c r="J63" i="4"/>
  <c r="I63" i="4"/>
  <c r="H63" i="4"/>
  <c r="G63" i="4"/>
  <c r="F63" i="4"/>
  <c r="E63" i="4"/>
  <c r="D63" i="4"/>
  <c r="C63" i="4"/>
  <c r="O62" i="4"/>
  <c r="N62" i="4"/>
  <c r="M62" i="4"/>
  <c r="L62" i="4"/>
  <c r="K62" i="4"/>
  <c r="J62" i="4"/>
  <c r="I62" i="4"/>
  <c r="H62" i="4"/>
  <c r="G62" i="4"/>
  <c r="F62" i="4"/>
  <c r="E62" i="4"/>
  <c r="D62" i="4"/>
  <c r="C62" i="4"/>
  <c r="O61" i="4"/>
  <c r="N61" i="4"/>
  <c r="M61" i="4"/>
  <c r="L61" i="4"/>
  <c r="K61" i="4"/>
  <c r="J61" i="4"/>
  <c r="I61" i="4"/>
  <c r="H61" i="4"/>
  <c r="G61" i="4"/>
  <c r="F61" i="4"/>
  <c r="E61" i="4"/>
  <c r="D61" i="4"/>
  <c r="C61" i="4"/>
  <c r="O60" i="4"/>
  <c r="N60" i="4"/>
  <c r="M60" i="4"/>
  <c r="L60" i="4"/>
  <c r="K60" i="4"/>
  <c r="J60" i="4"/>
  <c r="I60" i="4"/>
  <c r="H60" i="4"/>
  <c r="G60" i="4"/>
  <c r="F60" i="4"/>
  <c r="E60" i="4"/>
  <c r="D60" i="4"/>
  <c r="C60" i="4"/>
  <c r="O59" i="4"/>
  <c r="N59" i="4"/>
  <c r="M59" i="4"/>
  <c r="L59" i="4"/>
  <c r="K59" i="4"/>
  <c r="J59" i="4"/>
  <c r="I59" i="4"/>
  <c r="H59" i="4"/>
  <c r="G59" i="4"/>
  <c r="F59" i="4"/>
  <c r="E59" i="4"/>
  <c r="D59" i="4"/>
  <c r="C59" i="4"/>
  <c r="O58" i="4"/>
  <c r="N58" i="4"/>
  <c r="M58" i="4"/>
  <c r="L58" i="4"/>
  <c r="K58" i="4"/>
  <c r="J58" i="4"/>
  <c r="I58" i="4"/>
  <c r="H58" i="4"/>
  <c r="G58" i="4"/>
  <c r="F58" i="4"/>
  <c r="E58" i="4"/>
  <c r="D58" i="4"/>
  <c r="C58" i="4"/>
  <c r="O57" i="4"/>
  <c r="N57" i="4"/>
  <c r="M57" i="4"/>
  <c r="L57" i="4"/>
  <c r="K57" i="4"/>
  <c r="J57" i="4"/>
  <c r="I57" i="4"/>
  <c r="H57" i="4"/>
  <c r="G57" i="4"/>
  <c r="F57" i="4"/>
  <c r="E57" i="4"/>
  <c r="D57" i="4"/>
  <c r="C57" i="4"/>
  <c r="B57" i="4"/>
  <c r="O56" i="4"/>
  <c r="N56" i="4"/>
  <c r="M56" i="4"/>
  <c r="L56" i="4"/>
  <c r="K56" i="4"/>
  <c r="J56" i="4"/>
  <c r="I56" i="4"/>
  <c r="H56" i="4"/>
  <c r="G56" i="4"/>
  <c r="F56" i="4"/>
  <c r="E56" i="4"/>
  <c r="D56" i="4"/>
  <c r="C56" i="4"/>
  <c r="O55" i="4"/>
  <c r="N55" i="4"/>
  <c r="M55" i="4"/>
  <c r="L55" i="4"/>
  <c r="K55" i="4"/>
  <c r="J55" i="4"/>
  <c r="I55" i="4"/>
  <c r="H55" i="4"/>
  <c r="G55" i="4"/>
  <c r="F55" i="4"/>
  <c r="E55" i="4"/>
  <c r="D55" i="4"/>
  <c r="C55" i="4"/>
  <c r="O54" i="4"/>
  <c r="N54" i="4"/>
  <c r="M54" i="4"/>
  <c r="L54" i="4"/>
  <c r="K54" i="4"/>
  <c r="J54" i="4"/>
  <c r="I54" i="4"/>
  <c r="H54" i="4"/>
  <c r="G54" i="4"/>
  <c r="F54" i="4"/>
  <c r="E54" i="4"/>
  <c r="D54" i="4"/>
  <c r="C54" i="4"/>
  <c r="O53" i="4"/>
  <c r="N53" i="4"/>
  <c r="M53" i="4"/>
  <c r="L53" i="4"/>
  <c r="K53" i="4"/>
  <c r="J53" i="4"/>
  <c r="I53" i="4"/>
  <c r="H53" i="4"/>
  <c r="G53" i="4"/>
  <c r="F53" i="4"/>
  <c r="E53" i="4"/>
  <c r="D53" i="4"/>
  <c r="C53" i="4"/>
  <c r="O52" i="4"/>
  <c r="N52" i="4"/>
  <c r="M52" i="4"/>
  <c r="L52" i="4"/>
  <c r="K52" i="4"/>
  <c r="J52" i="4"/>
  <c r="I52" i="4"/>
  <c r="H52" i="4"/>
  <c r="G52" i="4"/>
  <c r="F52" i="4"/>
  <c r="E52" i="4"/>
  <c r="D52" i="4"/>
  <c r="C52" i="4"/>
  <c r="O51" i="4"/>
  <c r="N51" i="4"/>
  <c r="M51" i="4"/>
  <c r="L51" i="4"/>
  <c r="K51" i="4"/>
  <c r="J51" i="4"/>
  <c r="I51" i="4"/>
  <c r="H51" i="4"/>
  <c r="G51" i="4"/>
  <c r="F51" i="4"/>
  <c r="E51" i="4"/>
  <c r="D51" i="4"/>
  <c r="C51" i="4"/>
  <c r="O50" i="4"/>
  <c r="N50" i="4"/>
  <c r="M50" i="4"/>
  <c r="L50" i="4"/>
  <c r="K50" i="4"/>
  <c r="J50" i="4"/>
  <c r="I50" i="4"/>
  <c r="H50" i="4"/>
  <c r="G50" i="4"/>
  <c r="F50" i="4"/>
  <c r="E50" i="4"/>
  <c r="D50" i="4"/>
  <c r="C50" i="4"/>
  <c r="O49" i="4"/>
  <c r="N49" i="4"/>
  <c r="M49" i="4"/>
  <c r="L49" i="4"/>
  <c r="K49" i="4"/>
  <c r="J49" i="4"/>
  <c r="I49" i="4"/>
  <c r="H49" i="4"/>
  <c r="G49" i="4"/>
  <c r="F49" i="4"/>
  <c r="E49" i="4"/>
  <c r="D49" i="4"/>
  <c r="C49" i="4"/>
  <c r="O48" i="4"/>
  <c r="N48" i="4"/>
  <c r="M48" i="4"/>
  <c r="L48" i="4"/>
  <c r="K48" i="4"/>
  <c r="J48" i="4"/>
  <c r="I48" i="4"/>
  <c r="H48" i="4"/>
  <c r="G48" i="4"/>
  <c r="F48" i="4"/>
  <c r="E48" i="4"/>
  <c r="D48" i="4"/>
  <c r="C48" i="4"/>
  <c r="O47" i="4"/>
  <c r="N47" i="4"/>
  <c r="M47" i="4"/>
  <c r="L47" i="4"/>
  <c r="K47" i="4"/>
  <c r="J47" i="4"/>
  <c r="I47" i="4"/>
  <c r="H47" i="4"/>
  <c r="G47" i="4"/>
  <c r="F47" i="4"/>
  <c r="E47" i="4"/>
  <c r="D47" i="4"/>
  <c r="C47" i="4"/>
  <c r="O46" i="4"/>
  <c r="N46" i="4"/>
  <c r="M46" i="4"/>
  <c r="L46" i="4"/>
  <c r="K46" i="4"/>
  <c r="J46" i="4"/>
  <c r="I46" i="4"/>
  <c r="H46" i="4"/>
  <c r="G46" i="4"/>
  <c r="F46" i="4"/>
  <c r="E46" i="4"/>
  <c r="D46" i="4"/>
  <c r="C46" i="4"/>
  <c r="O45" i="4"/>
  <c r="N45" i="4"/>
  <c r="M45" i="4"/>
  <c r="L45" i="4"/>
  <c r="K45" i="4"/>
  <c r="J45" i="4"/>
  <c r="I45" i="4"/>
  <c r="H45" i="4"/>
  <c r="G45" i="4"/>
  <c r="F45" i="4"/>
  <c r="E45" i="4"/>
  <c r="D45" i="4"/>
  <c r="C45" i="4"/>
  <c r="O44" i="4"/>
  <c r="N44" i="4"/>
  <c r="M44" i="4"/>
  <c r="L44" i="4"/>
  <c r="K44" i="4"/>
  <c r="J44" i="4"/>
  <c r="I44" i="4"/>
  <c r="H44" i="4"/>
  <c r="G44" i="4"/>
  <c r="F44" i="4"/>
  <c r="E44" i="4"/>
  <c r="D44" i="4"/>
  <c r="C44" i="4"/>
  <c r="O43" i="4"/>
  <c r="N43" i="4"/>
  <c r="M43" i="4"/>
  <c r="L43" i="4"/>
  <c r="K43" i="4"/>
  <c r="J43" i="4"/>
  <c r="I43" i="4"/>
  <c r="H43" i="4"/>
  <c r="G43" i="4"/>
  <c r="F43" i="4"/>
  <c r="E43" i="4"/>
  <c r="D43" i="4"/>
  <c r="C43" i="4"/>
  <c r="O42" i="4"/>
  <c r="N42" i="4"/>
  <c r="M42" i="4"/>
  <c r="L42" i="4"/>
  <c r="K42" i="4"/>
  <c r="J42" i="4"/>
  <c r="I42" i="4"/>
  <c r="H42" i="4"/>
  <c r="G42" i="4"/>
  <c r="F42" i="4"/>
  <c r="E42" i="4"/>
  <c r="D42" i="4"/>
  <c r="C42" i="4"/>
  <c r="O41" i="4"/>
  <c r="N41" i="4"/>
  <c r="M41" i="4"/>
  <c r="L41" i="4"/>
  <c r="K41" i="4"/>
  <c r="J41" i="4"/>
  <c r="I41" i="4"/>
  <c r="H41" i="4"/>
  <c r="G41" i="4"/>
  <c r="F41" i="4"/>
  <c r="E41" i="4"/>
  <c r="D41" i="4"/>
  <c r="C41" i="4"/>
  <c r="O40" i="4"/>
  <c r="N40" i="4"/>
  <c r="M40" i="4"/>
  <c r="L40" i="4"/>
  <c r="K40" i="4"/>
  <c r="J40" i="4"/>
  <c r="I40" i="4"/>
  <c r="H40" i="4"/>
  <c r="G40" i="4"/>
  <c r="F40" i="4"/>
  <c r="E40" i="4"/>
  <c r="D40" i="4"/>
  <c r="C40" i="4"/>
  <c r="O39" i="4"/>
  <c r="N39" i="4"/>
  <c r="M39" i="4"/>
  <c r="L39" i="4"/>
  <c r="K39" i="4"/>
  <c r="J39" i="4"/>
  <c r="I39" i="4"/>
  <c r="H39" i="4"/>
  <c r="G39" i="4"/>
  <c r="F39" i="4"/>
  <c r="E39" i="4"/>
  <c r="D39" i="4"/>
  <c r="C39" i="4"/>
  <c r="O38" i="4"/>
  <c r="N38" i="4"/>
  <c r="M38" i="4"/>
  <c r="L38" i="4"/>
  <c r="K38" i="4"/>
  <c r="J38" i="4"/>
  <c r="I38" i="4"/>
  <c r="H38" i="4"/>
  <c r="G38" i="4"/>
  <c r="F38" i="4"/>
  <c r="E38" i="4"/>
  <c r="D38" i="4"/>
  <c r="C38" i="4"/>
  <c r="O37" i="4"/>
  <c r="N37" i="4"/>
  <c r="M37" i="4"/>
  <c r="L37" i="4"/>
  <c r="K37" i="4"/>
  <c r="J37" i="4"/>
  <c r="I37" i="4"/>
  <c r="H37" i="4"/>
  <c r="G37" i="4"/>
  <c r="F37" i="4"/>
  <c r="E37" i="4"/>
  <c r="D37" i="4"/>
  <c r="C37" i="4"/>
  <c r="O36" i="4"/>
  <c r="N36" i="4"/>
  <c r="M36" i="4"/>
  <c r="L36" i="4"/>
  <c r="K36" i="4"/>
  <c r="J36" i="4"/>
  <c r="I36" i="4"/>
  <c r="H36" i="4"/>
  <c r="G36" i="4"/>
  <c r="F36" i="4"/>
  <c r="E36" i="4"/>
  <c r="D36" i="4"/>
  <c r="C36" i="4"/>
  <c r="O35" i="4"/>
  <c r="N35" i="4"/>
  <c r="M35" i="4"/>
  <c r="L35" i="4"/>
  <c r="K35" i="4"/>
  <c r="J35" i="4"/>
  <c r="I35" i="4"/>
  <c r="H35" i="4"/>
  <c r="G35" i="4"/>
  <c r="F35" i="4"/>
  <c r="E35" i="4"/>
  <c r="D35" i="4"/>
  <c r="C35" i="4"/>
  <c r="O34" i="4"/>
  <c r="N34" i="4"/>
  <c r="M34" i="4"/>
  <c r="L34" i="4"/>
  <c r="K34" i="4"/>
  <c r="J34" i="4"/>
  <c r="I34" i="4"/>
  <c r="H34" i="4"/>
  <c r="G34" i="4"/>
  <c r="F34" i="4"/>
  <c r="E34" i="4"/>
  <c r="D34" i="4"/>
  <c r="C34" i="4"/>
  <c r="O33" i="4"/>
  <c r="N33" i="4"/>
  <c r="M33" i="4"/>
  <c r="L33" i="4"/>
  <c r="K33" i="4"/>
  <c r="J33" i="4"/>
  <c r="I33" i="4"/>
  <c r="H33" i="4"/>
  <c r="G33" i="4"/>
  <c r="F33" i="4"/>
  <c r="E33" i="4"/>
  <c r="D33" i="4"/>
  <c r="C33" i="4"/>
  <c r="O32" i="4"/>
  <c r="N32" i="4"/>
  <c r="M32" i="4"/>
  <c r="L32" i="4"/>
  <c r="K32" i="4"/>
  <c r="J32" i="4"/>
  <c r="I32" i="4"/>
  <c r="H32" i="4"/>
  <c r="G32" i="4"/>
  <c r="F32" i="4"/>
  <c r="E32" i="4"/>
  <c r="D32" i="4"/>
  <c r="C32" i="4"/>
  <c r="O31" i="4"/>
  <c r="N31" i="4"/>
  <c r="M31" i="4"/>
  <c r="L31" i="4"/>
  <c r="K31" i="4"/>
  <c r="J31" i="4"/>
  <c r="I31" i="4"/>
  <c r="H31" i="4"/>
  <c r="G31" i="4"/>
  <c r="F31" i="4"/>
  <c r="E31" i="4"/>
  <c r="D31" i="4"/>
  <c r="C31" i="4"/>
  <c r="O30" i="4"/>
  <c r="N30" i="4"/>
  <c r="M30" i="4"/>
  <c r="L30" i="4"/>
  <c r="K30" i="4"/>
  <c r="J30" i="4"/>
  <c r="I30" i="4"/>
  <c r="H30" i="4"/>
  <c r="G30" i="4"/>
  <c r="F30" i="4"/>
  <c r="E30" i="4"/>
  <c r="D30" i="4"/>
  <c r="C30" i="4"/>
  <c r="O29" i="4"/>
  <c r="N29" i="4"/>
  <c r="M29" i="4"/>
  <c r="L29" i="4"/>
  <c r="K29" i="4"/>
  <c r="J29" i="4"/>
  <c r="I29" i="4"/>
  <c r="H29" i="4"/>
  <c r="G29" i="4"/>
  <c r="F29" i="4"/>
  <c r="E29" i="4"/>
  <c r="D29" i="4"/>
  <c r="C29" i="4"/>
  <c r="O28" i="4"/>
  <c r="N28" i="4"/>
  <c r="M28" i="4"/>
  <c r="L28" i="4"/>
  <c r="K28" i="4"/>
  <c r="J28" i="4"/>
  <c r="I28" i="4"/>
  <c r="H28" i="4"/>
  <c r="G28" i="4"/>
  <c r="F28" i="4"/>
  <c r="E28" i="4"/>
  <c r="D28" i="4"/>
  <c r="C28" i="4"/>
  <c r="O27" i="4"/>
  <c r="N27" i="4"/>
  <c r="M27" i="4"/>
  <c r="L27" i="4"/>
  <c r="K27" i="4"/>
  <c r="J27" i="4"/>
  <c r="I27" i="4"/>
  <c r="H27" i="4"/>
  <c r="G27" i="4"/>
  <c r="F27" i="4"/>
  <c r="E27" i="4"/>
  <c r="D27" i="4"/>
  <c r="C27" i="4"/>
  <c r="O26" i="4"/>
  <c r="N26" i="4"/>
  <c r="M26" i="4"/>
  <c r="L26" i="4"/>
  <c r="K26" i="4"/>
  <c r="J26" i="4"/>
  <c r="I26" i="4"/>
  <c r="H26" i="4"/>
  <c r="G26" i="4"/>
  <c r="F26" i="4"/>
  <c r="E26" i="4"/>
  <c r="D26" i="4"/>
  <c r="C26" i="4"/>
  <c r="O25" i="4"/>
  <c r="N25" i="4"/>
  <c r="M25" i="4"/>
  <c r="L25" i="4"/>
  <c r="K25" i="4"/>
  <c r="J25" i="4"/>
  <c r="I25" i="4"/>
  <c r="H25" i="4"/>
  <c r="G25" i="4"/>
  <c r="F25" i="4"/>
  <c r="E25" i="4"/>
  <c r="D25" i="4"/>
  <c r="C25" i="4"/>
  <c r="O234" i="3"/>
  <c r="N234" i="3"/>
  <c r="M234" i="3"/>
  <c r="L234" i="3"/>
  <c r="K234" i="3"/>
  <c r="J234" i="3"/>
  <c r="I234" i="3"/>
  <c r="H234" i="3"/>
  <c r="G234" i="3"/>
  <c r="F234" i="3"/>
  <c r="E234" i="3"/>
  <c r="D234" i="3"/>
  <c r="C234" i="3"/>
  <c r="O229" i="3"/>
  <c r="N229" i="3"/>
  <c r="M229" i="3"/>
  <c r="L229" i="3"/>
  <c r="K229" i="3"/>
  <c r="J229" i="3"/>
  <c r="I229" i="3"/>
  <c r="H229" i="3"/>
  <c r="G229" i="3"/>
  <c r="F229" i="3"/>
  <c r="E229" i="3"/>
  <c r="D229" i="3"/>
  <c r="C229" i="3"/>
  <c r="O228" i="3"/>
  <c r="N228" i="3"/>
  <c r="M228" i="3"/>
  <c r="L228" i="3"/>
  <c r="K228" i="3"/>
  <c r="J228" i="3"/>
  <c r="I228" i="3"/>
  <c r="H228" i="3"/>
  <c r="G228" i="3"/>
  <c r="F228" i="3"/>
  <c r="E228" i="3"/>
  <c r="D228" i="3"/>
  <c r="C228" i="3"/>
  <c r="O227" i="3"/>
  <c r="N227" i="3"/>
  <c r="M227" i="3"/>
  <c r="L227" i="3"/>
  <c r="K227" i="3"/>
  <c r="J227" i="3"/>
  <c r="I227" i="3"/>
  <c r="H227" i="3"/>
  <c r="G227" i="3"/>
  <c r="F227" i="3"/>
  <c r="E227" i="3"/>
  <c r="D227" i="3"/>
  <c r="C227" i="3"/>
  <c r="O226" i="3"/>
  <c r="N226" i="3"/>
  <c r="M226" i="3"/>
  <c r="L226" i="3"/>
  <c r="K226" i="3"/>
  <c r="J226" i="3"/>
  <c r="I226" i="3"/>
  <c r="H226" i="3"/>
  <c r="G226" i="3"/>
  <c r="F226" i="3"/>
  <c r="E226" i="3"/>
  <c r="D226" i="3"/>
  <c r="C226" i="3"/>
  <c r="O225" i="3"/>
  <c r="N225" i="3"/>
  <c r="M225" i="3"/>
  <c r="L225" i="3"/>
  <c r="K225" i="3"/>
  <c r="J225" i="3"/>
  <c r="I225" i="3"/>
  <c r="H225" i="3"/>
  <c r="G225" i="3"/>
  <c r="F225" i="3"/>
  <c r="E225" i="3"/>
  <c r="D225" i="3"/>
  <c r="C225" i="3"/>
  <c r="O224" i="3"/>
  <c r="N224" i="3"/>
  <c r="M224" i="3"/>
  <c r="L224" i="3"/>
  <c r="K224" i="3"/>
  <c r="J224" i="3"/>
  <c r="I224" i="3"/>
  <c r="H224" i="3"/>
  <c r="G224" i="3"/>
  <c r="F224" i="3"/>
  <c r="E224" i="3"/>
  <c r="D224" i="3"/>
  <c r="C224" i="3"/>
  <c r="O223" i="3"/>
  <c r="N223" i="3"/>
  <c r="M223" i="3"/>
  <c r="L223" i="3"/>
  <c r="K223" i="3"/>
  <c r="J223" i="3"/>
  <c r="I223" i="3"/>
  <c r="H223" i="3"/>
  <c r="G223" i="3"/>
  <c r="F223" i="3"/>
  <c r="E223" i="3"/>
  <c r="D223" i="3"/>
  <c r="C223" i="3"/>
  <c r="O222" i="3"/>
  <c r="N222" i="3"/>
  <c r="M222" i="3"/>
  <c r="L222" i="3"/>
  <c r="K222" i="3"/>
  <c r="J222" i="3"/>
  <c r="I222" i="3"/>
  <c r="H222" i="3"/>
  <c r="G222" i="3"/>
  <c r="F222" i="3"/>
  <c r="E222" i="3"/>
  <c r="D222" i="3"/>
  <c r="C222" i="3"/>
  <c r="O221" i="3"/>
  <c r="N221" i="3"/>
  <c r="M221" i="3"/>
  <c r="L221" i="3"/>
  <c r="K221" i="3"/>
  <c r="J221" i="3"/>
  <c r="I221" i="3"/>
  <c r="H221" i="3"/>
  <c r="G221" i="3"/>
  <c r="F221" i="3"/>
  <c r="E221" i="3"/>
  <c r="D221" i="3"/>
  <c r="C221" i="3"/>
  <c r="O220" i="3"/>
  <c r="N220" i="3"/>
  <c r="M220" i="3"/>
  <c r="L220" i="3"/>
  <c r="K220" i="3"/>
  <c r="J220" i="3"/>
  <c r="I220" i="3"/>
  <c r="H220" i="3"/>
  <c r="G220" i="3"/>
  <c r="F220" i="3"/>
  <c r="E220" i="3"/>
  <c r="D220" i="3"/>
  <c r="C220" i="3"/>
  <c r="O219" i="3"/>
  <c r="N219" i="3"/>
  <c r="M219" i="3"/>
  <c r="L219" i="3"/>
  <c r="K219" i="3"/>
  <c r="J219" i="3"/>
  <c r="I219" i="3"/>
  <c r="H219" i="3"/>
  <c r="G219" i="3"/>
  <c r="F219" i="3"/>
  <c r="E219" i="3"/>
  <c r="D219" i="3"/>
  <c r="C219" i="3"/>
  <c r="O218" i="3"/>
  <c r="N218" i="3"/>
  <c r="M218" i="3"/>
  <c r="L218" i="3"/>
  <c r="K218" i="3"/>
  <c r="J218" i="3"/>
  <c r="I218" i="3"/>
  <c r="H218" i="3"/>
  <c r="G218" i="3"/>
  <c r="F218" i="3"/>
  <c r="E218" i="3"/>
  <c r="D218" i="3"/>
  <c r="C218" i="3"/>
  <c r="O217" i="3"/>
  <c r="N217" i="3"/>
  <c r="M217" i="3"/>
  <c r="L217" i="3"/>
  <c r="K217" i="3"/>
  <c r="J217" i="3"/>
  <c r="I217" i="3"/>
  <c r="H217" i="3"/>
  <c r="G217" i="3"/>
  <c r="F217" i="3"/>
  <c r="E217" i="3"/>
  <c r="D217" i="3"/>
  <c r="C217" i="3"/>
  <c r="O216" i="3"/>
  <c r="N216" i="3"/>
  <c r="M216" i="3"/>
  <c r="L216" i="3"/>
  <c r="K216" i="3"/>
  <c r="J216" i="3"/>
  <c r="I216" i="3"/>
  <c r="H216" i="3"/>
  <c r="G216" i="3"/>
  <c r="F216" i="3"/>
  <c r="E216" i="3"/>
  <c r="D216" i="3"/>
  <c r="C216" i="3"/>
  <c r="O215" i="3"/>
  <c r="N215" i="3"/>
  <c r="M215" i="3"/>
  <c r="L215" i="3"/>
  <c r="K215" i="3"/>
  <c r="J215" i="3"/>
  <c r="I215" i="3"/>
  <c r="H215" i="3"/>
  <c r="G215" i="3"/>
  <c r="F215" i="3"/>
  <c r="E215" i="3"/>
  <c r="D215" i="3"/>
  <c r="C215" i="3"/>
  <c r="O214" i="3"/>
  <c r="N214" i="3"/>
  <c r="M214" i="3"/>
  <c r="L214" i="3"/>
  <c r="K214" i="3"/>
  <c r="J214" i="3"/>
  <c r="I214" i="3"/>
  <c r="H214" i="3"/>
  <c r="G214" i="3"/>
  <c r="F214" i="3"/>
  <c r="E214" i="3"/>
  <c r="D214" i="3"/>
  <c r="C214" i="3"/>
  <c r="O213" i="3"/>
  <c r="N213" i="3"/>
  <c r="M213" i="3"/>
  <c r="L213" i="3"/>
  <c r="K213" i="3"/>
  <c r="J213" i="3"/>
  <c r="I213" i="3"/>
  <c r="H213" i="3"/>
  <c r="G213" i="3"/>
  <c r="F213" i="3"/>
  <c r="E213" i="3"/>
  <c r="D213" i="3"/>
  <c r="C213" i="3"/>
  <c r="O212" i="3"/>
  <c r="N212" i="3"/>
  <c r="M212" i="3"/>
  <c r="L212" i="3"/>
  <c r="K212" i="3"/>
  <c r="J212" i="3"/>
  <c r="I212" i="3"/>
  <c r="H212" i="3"/>
  <c r="G212" i="3"/>
  <c r="F212" i="3"/>
  <c r="E212" i="3"/>
  <c r="D212" i="3"/>
  <c r="C212" i="3"/>
  <c r="O211" i="3"/>
  <c r="N211" i="3"/>
  <c r="M211" i="3"/>
  <c r="L211" i="3"/>
  <c r="K211" i="3"/>
  <c r="J211" i="3"/>
  <c r="I211" i="3"/>
  <c r="H211" i="3"/>
  <c r="G211" i="3"/>
  <c r="F211" i="3"/>
  <c r="E211" i="3"/>
  <c r="D211" i="3"/>
  <c r="C211" i="3"/>
  <c r="O210" i="3"/>
  <c r="N210" i="3"/>
  <c r="M210" i="3"/>
  <c r="L210" i="3"/>
  <c r="K210" i="3"/>
  <c r="J210" i="3"/>
  <c r="I210" i="3"/>
  <c r="H210" i="3"/>
  <c r="G210" i="3"/>
  <c r="F210" i="3"/>
  <c r="E210" i="3"/>
  <c r="D210" i="3"/>
  <c r="C210" i="3"/>
  <c r="O209" i="3"/>
  <c r="N209" i="3"/>
  <c r="M209" i="3"/>
  <c r="L209" i="3"/>
  <c r="K209" i="3"/>
  <c r="J209" i="3"/>
  <c r="I209" i="3"/>
  <c r="H209" i="3"/>
  <c r="G209" i="3"/>
  <c r="F209" i="3"/>
  <c r="E209" i="3"/>
  <c r="D209" i="3"/>
  <c r="C209" i="3"/>
  <c r="O208" i="3"/>
  <c r="N208" i="3"/>
  <c r="M208" i="3"/>
  <c r="L208" i="3"/>
  <c r="K208" i="3"/>
  <c r="J208" i="3"/>
  <c r="I208" i="3"/>
  <c r="H208" i="3"/>
  <c r="G208" i="3"/>
  <c r="F208" i="3"/>
  <c r="E208" i="3"/>
  <c r="D208" i="3"/>
  <c r="C208" i="3"/>
  <c r="O207" i="3"/>
  <c r="N207" i="3"/>
  <c r="M207" i="3"/>
  <c r="L207" i="3"/>
  <c r="K207" i="3"/>
  <c r="J207" i="3"/>
  <c r="I207" i="3"/>
  <c r="H207" i="3"/>
  <c r="G207" i="3"/>
  <c r="F207" i="3"/>
  <c r="E207" i="3"/>
  <c r="D207" i="3"/>
  <c r="C207" i="3"/>
  <c r="O206" i="3"/>
  <c r="N206" i="3"/>
  <c r="M206" i="3"/>
  <c r="L206" i="3"/>
  <c r="K206" i="3"/>
  <c r="J206" i="3"/>
  <c r="I206" i="3"/>
  <c r="H206" i="3"/>
  <c r="G206" i="3"/>
  <c r="F206" i="3"/>
  <c r="E206" i="3"/>
  <c r="D206" i="3"/>
  <c r="C206" i="3"/>
  <c r="O205" i="3"/>
  <c r="N205" i="3"/>
  <c r="M205" i="3"/>
  <c r="L205" i="3"/>
  <c r="K205" i="3"/>
  <c r="J205" i="3"/>
  <c r="I205" i="3"/>
  <c r="H205" i="3"/>
  <c r="G205" i="3"/>
  <c r="F205" i="3"/>
  <c r="E205" i="3"/>
  <c r="D205" i="3"/>
  <c r="C205" i="3"/>
  <c r="O204" i="3"/>
  <c r="N204" i="3"/>
  <c r="M204" i="3"/>
  <c r="L204" i="3"/>
  <c r="K204" i="3"/>
  <c r="J204" i="3"/>
  <c r="I204" i="3"/>
  <c r="H204" i="3"/>
  <c r="G204" i="3"/>
  <c r="F204" i="3"/>
  <c r="E204" i="3"/>
  <c r="D204" i="3"/>
  <c r="C204" i="3"/>
  <c r="O203" i="3"/>
  <c r="N203" i="3"/>
  <c r="M203" i="3"/>
  <c r="L203" i="3"/>
  <c r="K203" i="3"/>
  <c r="J203" i="3"/>
  <c r="I203" i="3"/>
  <c r="H203" i="3"/>
  <c r="G203" i="3"/>
  <c r="F203" i="3"/>
  <c r="E203" i="3"/>
  <c r="D203" i="3"/>
  <c r="C203" i="3"/>
  <c r="O202" i="3"/>
  <c r="N202" i="3"/>
  <c r="M202" i="3"/>
  <c r="L202" i="3"/>
  <c r="K202" i="3"/>
  <c r="J202" i="3"/>
  <c r="I202" i="3"/>
  <c r="H202" i="3"/>
  <c r="G202" i="3"/>
  <c r="F202" i="3"/>
  <c r="E202" i="3"/>
  <c r="D202" i="3"/>
  <c r="C202" i="3"/>
  <c r="O201" i="3"/>
  <c r="N201" i="3"/>
  <c r="M201" i="3"/>
  <c r="L201" i="3"/>
  <c r="K201" i="3"/>
  <c r="J201" i="3"/>
  <c r="I201" i="3"/>
  <c r="H201" i="3"/>
  <c r="G201" i="3"/>
  <c r="F201" i="3"/>
  <c r="E201" i="3"/>
  <c r="D201" i="3"/>
  <c r="C201" i="3"/>
  <c r="O200" i="3"/>
  <c r="N200" i="3"/>
  <c r="M200" i="3"/>
  <c r="L200" i="3"/>
  <c r="K200" i="3"/>
  <c r="J200" i="3"/>
  <c r="I200" i="3"/>
  <c r="H200" i="3"/>
  <c r="G200" i="3"/>
  <c r="F200" i="3"/>
  <c r="E200" i="3"/>
  <c r="D200" i="3"/>
  <c r="C200" i="3"/>
  <c r="O199" i="3"/>
  <c r="N199" i="3"/>
  <c r="M199" i="3"/>
  <c r="L199" i="3"/>
  <c r="K199" i="3"/>
  <c r="J199" i="3"/>
  <c r="I199" i="3"/>
  <c r="H199" i="3"/>
  <c r="G199" i="3"/>
  <c r="F199" i="3"/>
  <c r="E199" i="3"/>
  <c r="D199" i="3"/>
  <c r="C199" i="3"/>
  <c r="O198" i="3"/>
  <c r="N198" i="3"/>
  <c r="M198" i="3"/>
  <c r="L198" i="3"/>
  <c r="K198" i="3"/>
  <c r="J198" i="3"/>
  <c r="I198" i="3"/>
  <c r="H198" i="3"/>
  <c r="G198" i="3"/>
  <c r="F198" i="3"/>
  <c r="E198" i="3"/>
  <c r="D198" i="3"/>
  <c r="C198" i="3"/>
  <c r="O197" i="3"/>
  <c r="N197" i="3"/>
  <c r="M197" i="3"/>
  <c r="L197" i="3"/>
  <c r="K197" i="3"/>
  <c r="J197" i="3"/>
  <c r="I197" i="3"/>
  <c r="H197" i="3"/>
  <c r="G197" i="3"/>
  <c r="F197" i="3"/>
  <c r="E197" i="3"/>
  <c r="D197" i="3"/>
  <c r="C197" i="3"/>
  <c r="O196" i="3"/>
  <c r="N196" i="3"/>
  <c r="M196" i="3"/>
  <c r="L196" i="3"/>
  <c r="K196" i="3"/>
  <c r="J196" i="3"/>
  <c r="I196" i="3"/>
  <c r="H196" i="3"/>
  <c r="G196" i="3"/>
  <c r="F196" i="3"/>
  <c r="E196" i="3"/>
  <c r="D196" i="3"/>
  <c r="C196" i="3"/>
  <c r="O195" i="3"/>
  <c r="N195" i="3"/>
  <c r="M195" i="3"/>
  <c r="L195" i="3"/>
  <c r="K195" i="3"/>
  <c r="J195" i="3"/>
  <c r="I195" i="3"/>
  <c r="H195" i="3"/>
  <c r="G195" i="3"/>
  <c r="F195" i="3"/>
  <c r="E195" i="3"/>
  <c r="D195" i="3"/>
  <c r="C195" i="3"/>
  <c r="O194" i="3"/>
  <c r="N194" i="3"/>
  <c r="M194" i="3"/>
  <c r="L194" i="3"/>
  <c r="K194" i="3"/>
  <c r="J194" i="3"/>
  <c r="I194" i="3"/>
  <c r="H194" i="3"/>
  <c r="G194" i="3"/>
  <c r="F194" i="3"/>
  <c r="E194" i="3"/>
  <c r="D194" i="3"/>
  <c r="C194" i="3"/>
  <c r="O193" i="3"/>
  <c r="N193" i="3"/>
  <c r="M193" i="3"/>
  <c r="L193" i="3"/>
  <c r="K193" i="3"/>
  <c r="J193" i="3"/>
  <c r="I193" i="3"/>
  <c r="H193" i="3"/>
  <c r="G193" i="3"/>
  <c r="F193" i="3"/>
  <c r="E193" i="3"/>
  <c r="D193" i="3"/>
  <c r="C193" i="3"/>
  <c r="O192" i="3"/>
  <c r="N192" i="3"/>
  <c r="M192" i="3"/>
  <c r="L192" i="3"/>
  <c r="K192" i="3"/>
  <c r="J192" i="3"/>
  <c r="I192" i="3"/>
  <c r="H192" i="3"/>
  <c r="G192" i="3"/>
  <c r="F192" i="3"/>
  <c r="E192" i="3"/>
  <c r="D192" i="3"/>
  <c r="C192" i="3"/>
  <c r="B192" i="3"/>
  <c r="O191" i="3"/>
  <c r="N191" i="3"/>
  <c r="M191" i="3"/>
  <c r="L191" i="3"/>
  <c r="K191" i="3"/>
  <c r="J191" i="3"/>
  <c r="I191" i="3"/>
  <c r="H191" i="3"/>
  <c r="G191" i="3"/>
  <c r="F191" i="3"/>
  <c r="E191" i="3"/>
  <c r="D191" i="3"/>
  <c r="C191" i="3"/>
  <c r="O190" i="3"/>
  <c r="N190" i="3"/>
  <c r="M190" i="3"/>
  <c r="L190" i="3"/>
  <c r="K190" i="3"/>
  <c r="J190" i="3"/>
  <c r="I190" i="3"/>
  <c r="H190" i="3"/>
  <c r="G190" i="3"/>
  <c r="F190" i="3"/>
  <c r="E190" i="3"/>
  <c r="D190" i="3"/>
  <c r="C190" i="3"/>
  <c r="O189" i="3"/>
  <c r="N189" i="3"/>
  <c r="M189" i="3"/>
  <c r="L189" i="3"/>
  <c r="K189" i="3"/>
  <c r="J189" i="3"/>
  <c r="I189" i="3"/>
  <c r="H189" i="3"/>
  <c r="G189" i="3"/>
  <c r="F189" i="3"/>
  <c r="E189" i="3"/>
  <c r="D189" i="3"/>
  <c r="C189" i="3"/>
  <c r="O188" i="3"/>
  <c r="N188" i="3"/>
  <c r="M188" i="3"/>
  <c r="L188" i="3"/>
  <c r="K188" i="3"/>
  <c r="J188" i="3"/>
  <c r="I188" i="3"/>
  <c r="H188" i="3"/>
  <c r="G188" i="3"/>
  <c r="F188" i="3"/>
  <c r="E188" i="3"/>
  <c r="D188" i="3"/>
  <c r="C188" i="3"/>
  <c r="O187" i="3"/>
  <c r="N187" i="3"/>
  <c r="M187" i="3"/>
  <c r="L187" i="3"/>
  <c r="K187" i="3"/>
  <c r="J187" i="3"/>
  <c r="I187" i="3"/>
  <c r="H187" i="3"/>
  <c r="G187" i="3"/>
  <c r="F187" i="3"/>
  <c r="E187" i="3"/>
  <c r="D187" i="3"/>
  <c r="C187" i="3"/>
  <c r="O186" i="3"/>
  <c r="N186" i="3"/>
  <c r="M186" i="3"/>
  <c r="L186" i="3"/>
  <c r="K186" i="3"/>
  <c r="J186" i="3"/>
  <c r="I186" i="3"/>
  <c r="H186" i="3"/>
  <c r="G186" i="3"/>
  <c r="F186" i="3"/>
  <c r="E186" i="3"/>
  <c r="D186" i="3"/>
  <c r="C186" i="3"/>
  <c r="O185" i="3"/>
  <c r="N185" i="3"/>
  <c r="M185" i="3"/>
  <c r="L185" i="3"/>
  <c r="K185" i="3"/>
  <c r="J185" i="3"/>
  <c r="I185" i="3"/>
  <c r="H185" i="3"/>
  <c r="G185" i="3"/>
  <c r="F185" i="3"/>
  <c r="E185" i="3"/>
  <c r="D185" i="3"/>
  <c r="C185" i="3"/>
  <c r="O184" i="3"/>
  <c r="N184" i="3"/>
  <c r="M184" i="3"/>
  <c r="L184" i="3"/>
  <c r="K184" i="3"/>
  <c r="J184" i="3"/>
  <c r="I184" i="3"/>
  <c r="H184" i="3"/>
  <c r="G184" i="3"/>
  <c r="F184" i="3"/>
  <c r="E184" i="3"/>
  <c r="D184" i="3"/>
  <c r="C184" i="3"/>
  <c r="O183" i="3"/>
  <c r="N183" i="3"/>
  <c r="M183" i="3"/>
  <c r="L183" i="3"/>
  <c r="K183" i="3"/>
  <c r="J183" i="3"/>
  <c r="I183" i="3"/>
  <c r="H183" i="3"/>
  <c r="G183" i="3"/>
  <c r="F183" i="3"/>
  <c r="E183" i="3"/>
  <c r="D183" i="3"/>
  <c r="C183" i="3"/>
  <c r="O182" i="3"/>
  <c r="N182" i="3"/>
  <c r="M182" i="3"/>
  <c r="L182" i="3"/>
  <c r="K182" i="3"/>
  <c r="J182" i="3"/>
  <c r="I182" i="3"/>
  <c r="H182" i="3"/>
  <c r="G182" i="3"/>
  <c r="F182" i="3"/>
  <c r="E182" i="3"/>
  <c r="D182" i="3"/>
  <c r="C182" i="3"/>
  <c r="O181" i="3"/>
  <c r="N181" i="3"/>
  <c r="M181" i="3"/>
  <c r="L181" i="3"/>
  <c r="K181" i="3"/>
  <c r="J181" i="3"/>
  <c r="I181" i="3"/>
  <c r="H181" i="3"/>
  <c r="G181" i="3"/>
  <c r="F181" i="3"/>
  <c r="E181" i="3"/>
  <c r="D181" i="3"/>
  <c r="C181" i="3"/>
  <c r="O180" i="3"/>
  <c r="N180" i="3"/>
  <c r="M180" i="3"/>
  <c r="L180" i="3"/>
  <c r="K180" i="3"/>
  <c r="J180" i="3"/>
  <c r="I180" i="3"/>
  <c r="H180" i="3"/>
  <c r="G180" i="3"/>
  <c r="F180" i="3"/>
  <c r="E180" i="3"/>
  <c r="D180" i="3"/>
  <c r="C180" i="3"/>
  <c r="O179" i="3"/>
  <c r="N179" i="3"/>
  <c r="M179" i="3"/>
  <c r="L179" i="3"/>
  <c r="K179" i="3"/>
  <c r="J179" i="3"/>
  <c r="I179" i="3"/>
  <c r="H179" i="3"/>
  <c r="G179" i="3"/>
  <c r="F179" i="3"/>
  <c r="E179" i="3"/>
  <c r="D179" i="3"/>
  <c r="C179" i="3"/>
  <c r="O178" i="3"/>
  <c r="N178" i="3"/>
  <c r="M178" i="3"/>
  <c r="L178" i="3"/>
  <c r="K178" i="3"/>
  <c r="J178" i="3"/>
  <c r="I178" i="3"/>
  <c r="H178" i="3"/>
  <c r="G178" i="3"/>
  <c r="F178" i="3"/>
  <c r="E178" i="3"/>
  <c r="D178" i="3"/>
  <c r="C178" i="3"/>
  <c r="O177" i="3"/>
  <c r="N177" i="3"/>
  <c r="M177" i="3"/>
  <c r="L177" i="3"/>
  <c r="K177" i="3"/>
  <c r="J177" i="3"/>
  <c r="I177" i="3"/>
  <c r="H177" i="3"/>
  <c r="G177" i="3"/>
  <c r="F177" i="3"/>
  <c r="E177" i="3"/>
  <c r="D177" i="3"/>
  <c r="C177" i="3"/>
  <c r="O176" i="3"/>
  <c r="N176" i="3"/>
  <c r="M176" i="3"/>
  <c r="L176" i="3"/>
  <c r="K176" i="3"/>
  <c r="J176" i="3"/>
  <c r="I176" i="3"/>
  <c r="H176" i="3"/>
  <c r="G176" i="3"/>
  <c r="F176" i="3"/>
  <c r="E176" i="3"/>
  <c r="D176" i="3"/>
  <c r="C176" i="3"/>
  <c r="O175" i="3"/>
  <c r="N175" i="3"/>
  <c r="M175" i="3"/>
  <c r="L175" i="3"/>
  <c r="K175" i="3"/>
  <c r="J175" i="3"/>
  <c r="I175" i="3"/>
  <c r="H175" i="3"/>
  <c r="G175" i="3"/>
  <c r="F175" i="3"/>
  <c r="E175" i="3"/>
  <c r="D175" i="3"/>
  <c r="C175" i="3"/>
  <c r="O174" i="3"/>
  <c r="N174" i="3"/>
  <c r="M174" i="3"/>
  <c r="L174" i="3"/>
  <c r="K174" i="3"/>
  <c r="J174" i="3"/>
  <c r="I174" i="3"/>
  <c r="H174" i="3"/>
  <c r="G174" i="3"/>
  <c r="F174" i="3"/>
  <c r="E174" i="3"/>
  <c r="D174" i="3"/>
  <c r="C174" i="3"/>
  <c r="O173" i="3"/>
  <c r="N173" i="3"/>
  <c r="M173" i="3"/>
  <c r="L173" i="3"/>
  <c r="K173" i="3"/>
  <c r="J173" i="3"/>
  <c r="I173" i="3"/>
  <c r="H173" i="3"/>
  <c r="G173" i="3"/>
  <c r="F173" i="3"/>
  <c r="E173" i="3"/>
  <c r="D173" i="3"/>
  <c r="C173" i="3"/>
  <c r="B173" i="3"/>
  <c r="O172" i="3"/>
  <c r="N172" i="3"/>
  <c r="M172" i="3"/>
  <c r="L172" i="3"/>
  <c r="K172" i="3"/>
  <c r="J172" i="3"/>
  <c r="I172" i="3"/>
  <c r="H172" i="3"/>
  <c r="G172" i="3"/>
  <c r="F172" i="3"/>
  <c r="E172" i="3"/>
  <c r="D172" i="3"/>
  <c r="C172" i="3"/>
  <c r="O171" i="3"/>
  <c r="N171" i="3"/>
  <c r="M171" i="3"/>
  <c r="L171" i="3"/>
  <c r="K171" i="3"/>
  <c r="J171" i="3"/>
  <c r="I171" i="3"/>
  <c r="H171" i="3"/>
  <c r="G171" i="3"/>
  <c r="F171" i="3"/>
  <c r="E171" i="3"/>
  <c r="D171" i="3"/>
  <c r="C171" i="3"/>
  <c r="O170" i="3"/>
  <c r="N170" i="3"/>
  <c r="M170" i="3"/>
  <c r="L170" i="3"/>
  <c r="K170" i="3"/>
  <c r="J170" i="3"/>
  <c r="I170" i="3"/>
  <c r="H170" i="3"/>
  <c r="G170" i="3"/>
  <c r="F170" i="3"/>
  <c r="E170" i="3"/>
  <c r="D170" i="3"/>
  <c r="C170" i="3"/>
  <c r="O169" i="3"/>
  <c r="N169" i="3"/>
  <c r="M169" i="3"/>
  <c r="L169" i="3"/>
  <c r="K169" i="3"/>
  <c r="J169" i="3"/>
  <c r="I169" i="3"/>
  <c r="H169" i="3"/>
  <c r="G169" i="3"/>
  <c r="F169" i="3"/>
  <c r="E169" i="3"/>
  <c r="D169" i="3"/>
  <c r="C169" i="3"/>
  <c r="O168" i="3"/>
  <c r="N168" i="3"/>
  <c r="M168" i="3"/>
  <c r="L168" i="3"/>
  <c r="K168" i="3"/>
  <c r="J168" i="3"/>
  <c r="I168" i="3"/>
  <c r="H168" i="3"/>
  <c r="G168" i="3"/>
  <c r="F168" i="3"/>
  <c r="E168" i="3"/>
  <c r="D168" i="3"/>
  <c r="C168" i="3"/>
  <c r="O167" i="3"/>
  <c r="N167" i="3"/>
  <c r="M167" i="3"/>
  <c r="L167" i="3"/>
  <c r="K167" i="3"/>
  <c r="J167" i="3"/>
  <c r="I167" i="3"/>
  <c r="H167" i="3"/>
  <c r="G167" i="3"/>
  <c r="F167" i="3"/>
  <c r="E167" i="3"/>
  <c r="D167" i="3"/>
  <c r="C167" i="3"/>
  <c r="O166" i="3"/>
  <c r="N166" i="3"/>
  <c r="M166" i="3"/>
  <c r="L166" i="3"/>
  <c r="K166" i="3"/>
  <c r="J166" i="3"/>
  <c r="I166" i="3"/>
  <c r="H166" i="3"/>
  <c r="G166" i="3"/>
  <c r="F166" i="3"/>
  <c r="E166" i="3"/>
  <c r="D166" i="3"/>
  <c r="C166" i="3"/>
  <c r="O165" i="3"/>
  <c r="N165" i="3"/>
  <c r="M165" i="3"/>
  <c r="L165" i="3"/>
  <c r="K165" i="3"/>
  <c r="J165" i="3"/>
  <c r="I165" i="3"/>
  <c r="H165" i="3"/>
  <c r="G165" i="3"/>
  <c r="F165" i="3"/>
  <c r="E165" i="3"/>
  <c r="D165" i="3"/>
  <c r="C165" i="3"/>
  <c r="O164" i="3"/>
  <c r="N164" i="3"/>
  <c r="M164" i="3"/>
  <c r="L164" i="3"/>
  <c r="K164" i="3"/>
  <c r="J164" i="3"/>
  <c r="I164" i="3"/>
  <c r="H164" i="3"/>
  <c r="G164" i="3"/>
  <c r="F164" i="3"/>
  <c r="E164" i="3"/>
  <c r="D164" i="3"/>
  <c r="C164" i="3"/>
  <c r="O163" i="3"/>
  <c r="N163" i="3"/>
  <c r="M163" i="3"/>
  <c r="L163" i="3"/>
  <c r="K163" i="3"/>
  <c r="J163" i="3"/>
  <c r="I163" i="3"/>
  <c r="H163" i="3"/>
  <c r="G163" i="3"/>
  <c r="F163" i="3"/>
  <c r="E163" i="3"/>
  <c r="D163" i="3"/>
  <c r="C163" i="3"/>
  <c r="O162" i="3"/>
  <c r="N162" i="3"/>
  <c r="M162" i="3"/>
  <c r="L162" i="3"/>
  <c r="K162" i="3"/>
  <c r="J162" i="3"/>
  <c r="I162" i="3"/>
  <c r="H162" i="3"/>
  <c r="G162" i="3"/>
  <c r="F162" i="3"/>
  <c r="E162" i="3"/>
  <c r="D162" i="3"/>
  <c r="C162" i="3"/>
  <c r="O161" i="3"/>
  <c r="N161" i="3"/>
  <c r="M161" i="3"/>
  <c r="L161" i="3"/>
  <c r="K161" i="3"/>
  <c r="J161" i="3"/>
  <c r="I161" i="3"/>
  <c r="H161" i="3"/>
  <c r="G161" i="3"/>
  <c r="F161" i="3"/>
  <c r="E161" i="3"/>
  <c r="D161" i="3"/>
  <c r="C161" i="3"/>
  <c r="O160" i="3"/>
  <c r="N160" i="3"/>
  <c r="M160" i="3"/>
  <c r="L160" i="3"/>
  <c r="K160" i="3"/>
  <c r="J160" i="3"/>
  <c r="I160" i="3"/>
  <c r="H160" i="3"/>
  <c r="G160" i="3"/>
  <c r="F160" i="3"/>
  <c r="E160" i="3"/>
  <c r="D160" i="3"/>
  <c r="C160" i="3"/>
  <c r="O159" i="3"/>
  <c r="N159" i="3"/>
  <c r="M159" i="3"/>
  <c r="L159" i="3"/>
  <c r="K159" i="3"/>
  <c r="J159" i="3"/>
  <c r="I159" i="3"/>
  <c r="H159" i="3"/>
  <c r="G159" i="3"/>
  <c r="F159" i="3"/>
  <c r="E159" i="3"/>
  <c r="D159" i="3"/>
  <c r="C159" i="3"/>
  <c r="O158" i="3"/>
  <c r="N158" i="3"/>
  <c r="M158" i="3"/>
  <c r="L158" i="3"/>
  <c r="K158" i="3"/>
  <c r="J158" i="3"/>
  <c r="I158" i="3"/>
  <c r="H158" i="3"/>
  <c r="G158" i="3"/>
  <c r="F158" i="3"/>
  <c r="E158" i="3"/>
  <c r="D158" i="3"/>
  <c r="C158" i="3"/>
  <c r="O157" i="3"/>
  <c r="N157" i="3"/>
  <c r="M157" i="3"/>
  <c r="L157" i="3"/>
  <c r="K157" i="3"/>
  <c r="J157" i="3"/>
  <c r="I157" i="3"/>
  <c r="H157" i="3"/>
  <c r="G157" i="3"/>
  <c r="F157" i="3"/>
  <c r="E157" i="3"/>
  <c r="D157" i="3"/>
  <c r="C157" i="3"/>
  <c r="O156" i="3"/>
  <c r="N156" i="3"/>
  <c r="M156" i="3"/>
  <c r="L156" i="3"/>
  <c r="K156" i="3"/>
  <c r="J156" i="3"/>
  <c r="I156" i="3"/>
  <c r="H156" i="3"/>
  <c r="G156" i="3"/>
  <c r="F156" i="3"/>
  <c r="E156" i="3"/>
  <c r="D156" i="3"/>
  <c r="C156" i="3"/>
  <c r="O155" i="3"/>
  <c r="N155" i="3"/>
  <c r="M155" i="3"/>
  <c r="L155" i="3"/>
  <c r="K155" i="3"/>
  <c r="J155" i="3"/>
  <c r="I155" i="3"/>
  <c r="H155" i="3"/>
  <c r="G155" i="3"/>
  <c r="F155" i="3"/>
  <c r="E155" i="3"/>
  <c r="D155" i="3"/>
  <c r="C155" i="3"/>
  <c r="O154" i="3"/>
  <c r="N154" i="3"/>
  <c r="M154" i="3"/>
  <c r="L154" i="3"/>
  <c r="K154" i="3"/>
  <c r="J154" i="3"/>
  <c r="I154" i="3"/>
  <c r="H154" i="3"/>
  <c r="G154" i="3"/>
  <c r="F154" i="3"/>
  <c r="E154" i="3"/>
  <c r="D154" i="3"/>
  <c r="C154" i="3"/>
  <c r="O153" i="3"/>
  <c r="N153" i="3"/>
  <c r="M153" i="3"/>
  <c r="L153" i="3"/>
  <c r="K153" i="3"/>
  <c r="J153" i="3"/>
  <c r="I153" i="3"/>
  <c r="H153" i="3"/>
  <c r="G153" i="3"/>
  <c r="F153" i="3"/>
  <c r="E153" i="3"/>
  <c r="D153" i="3"/>
  <c r="C153" i="3"/>
  <c r="B153" i="3"/>
  <c r="O152" i="3"/>
  <c r="N152" i="3"/>
  <c r="M152" i="3"/>
  <c r="L152" i="3"/>
  <c r="K152" i="3"/>
  <c r="J152" i="3"/>
  <c r="I152" i="3"/>
  <c r="H152" i="3"/>
  <c r="G152" i="3"/>
  <c r="F152" i="3"/>
  <c r="E152" i="3"/>
  <c r="D152" i="3"/>
  <c r="C152" i="3"/>
  <c r="O151" i="3"/>
  <c r="N151" i="3"/>
  <c r="M151" i="3"/>
  <c r="L151" i="3"/>
  <c r="K151" i="3"/>
  <c r="J151" i="3"/>
  <c r="I151" i="3"/>
  <c r="H151" i="3"/>
  <c r="G151" i="3"/>
  <c r="F151" i="3"/>
  <c r="E151" i="3"/>
  <c r="D151" i="3"/>
  <c r="C151" i="3"/>
  <c r="O150" i="3"/>
  <c r="N150" i="3"/>
  <c r="M150" i="3"/>
  <c r="L150" i="3"/>
  <c r="K150" i="3"/>
  <c r="J150" i="3"/>
  <c r="I150" i="3"/>
  <c r="H150" i="3"/>
  <c r="G150" i="3"/>
  <c r="F150" i="3"/>
  <c r="E150" i="3"/>
  <c r="D150" i="3"/>
  <c r="C150" i="3"/>
  <c r="O149" i="3"/>
  <c r="N149" i="3"/>
  <c r="M149" i="3"/>
  <c r="L149" i="3"/>
  <c r="K149" i="3"/>
  <c r="J149" i="3"/>
  <c r="I149" i="3"/>
  <c r="H149" i="3"/>
  <c r="G149" i="3"/>
  <c r="F149" i="3"/>
  <c r="E149" i="3"/>
  <c r="D149" i="3"/>
  <c r="C149" i="3"/>
  <c r="O148" i="3"/>
  <c r="N148" i="3"/>
  <c r="M148" i="3"/>
  <c r="L148" i="3"/>
  <c r="K148" i="3"/>
  <c r="J148" i="3"/>
  <c r="I148" i="3"/>
  <c r="H148" i="3"/>
  <c r="G148" i="3"/>
  <c r="F148" i="3"/>
  <c r="E148" i="3"/>
  <c r="D148" i="3"/>
  <c r="C148" i="3"/>
  <c r="O147" i="3"/>
  <c r="N147" i="3"/>
  <c r="M147" i="3"/>
  <c r="L147" i="3"/>
  <c r="K147" i="3"/>
  <c r="J147" i="3"/>
  <c r="I147" i="3"/>
  <c r="H147" i="3"/>
  <c r="G147" i="3"/>
  <c r="F147" i="3"/>
  <c r="E147" i="3"/>
  <c r="D147" i="3"/>
  <c r="C147" i="3"/>
  <c r="O146" i="3"/>
  <c r="N146" i="3"/>
  <c r="M146" i="3"/>
  <c r="L146" i="3"/>
  <c r="K146" i="3"/>
  <c r="J146" i="3"/>
  <c r="I146" i="3"/>
  <c r="H146" i="3"/>
  <c r="G146" i="3"/>
  <c r="F146" i="3"/>
  <c r="E146" i="3"/>
  <c r="D146" i="3"/>
  <c r="C146" i="3"/>
  <c r="O145" i="3"/>
  <c r="N145" i="3"/>
  <c r="M145" i="3"/>
  <c r="L145" i="3"/>
  <c r="K145" i="3"/>
  <c r="J145" i="3"/>
  <c r="I145" i="3"/>
  <c r="H145" i="3"/>
  <c r="G145" i="3"/>
  <c r="F145" i="3"/>
  <c r="E145" i="3"/>
  <c r="D145" i="3"/>
  <c r="C145" i="3"/>
  <c r="O144" i="3"/>
  <c r="N144" i="3"/>
  <c r="M144" i="3"/>
  <c r="L144" i="3"/>
  <c r="K144" i="3"/>
  <c r="J144" i="3"/>
  <c r="I144" i="3"/>
  <c r="H144" i="3"/>
  <c r="G144" i="3"/>
  <c r="F144" i="3"/>
  <c r="E144" i="3"/>
  <c r="D144" i="3"/>
  <c r="C144" i="3"/>
  <c r="O143" i="3"/>
  <c r="N143" i="3"/>
  <c r="M143" i="3"/>
  <c r="L143" i="3"/>
  <c r="K143" i="3"/>
  <c r="J143" i="3"/>
  <c r="I143" i="3"/>
  <c r="H143" i="3"/>
  <c r="G143" i="3"/>
  <c r="F143" i="3"/>
  <c r="E143" i="3"/>
  <c r="D143" i="3"/>
  <c r="C143" i="3"/>
  <c r="O142" i="3"/>
  <c r="N142" i="3"/>
  <c r="M142" i="3"/>
  <c r="L142" i="3"/>
  <c r="K142" i="3"/>
  <c r="J142" i="3"/>
  <c r="I142" i="3"/>
  <c r="H142" i="3"/>
  <c r="G142" i="3"/>
  <c r="F142" i="3"/>
  <c r="E142" i="3"/>
  <c r="D142" i="3"/>
  <c r="C142" i="3"/>
  <c r="O141" i="3"/>
  <c r="N141" i="3"/>
  <c r="M141" i="3"/>
  <c r="L141" i="3"/>
  <c r="K141" i="3"/>
  <c r="J141" i="3"/>
  <c r="I141" i="3"/>
  <c r="H141" i="3"/>
  <c r="G141" i="3"/>
  <c r="F141" i="3"/>
  <c r="E141" i="3"/>
  <c r="D141" i="3"/>
  <c r="C141" i="3"/>
  <c r="O140" i="3"/>
  <c r="N140" i="3"/>
  <c r="M140" i="3"/>
  <c r="L140" i="3"/>
  <c r="K140" i="3"/>
  <c r="J140" i="3"/>
  <c r="I140" i="3"/>
  <c r="H140" i="3"/>
  <c r="G140" i="3"/>
  <c r="F140" i="3"/>
  <c r="E140" i="3"/>
  <c r="D140" i="3"/>
  <c r="C140" i="3"/>
  <c r="O139" i="3"/>
  <c r="N139" i="3"/>
  <c r="M139" i="3"/>
  <c r="L139" i="3"/>
  <c r="K139" i="3"/>
  <c r="J139" i="3"/>
  <c r="I139" i="3"/>
  <c r="H139" i="3"/>
  <c r="G139" i="3"/>
  <c r="F139" i="3"/>
  <c r="E139" i="3"/>
  <c r="D139" i="3"/>
  <c r="C139" i="3"/>
  <c r="O138" i="3"/>
  <c r="N138" i="3"/>
  <c r="M138" i="3"/>
  <c r="L138" i="3"/>
  <c r="K138" i="3"/>
  <c r="J138" i="3"/>
  <c r="I138" i="3"/>
  <c r="H138" i="3"/>
  <c r="G138" i="3"/>
  <c r="F138" i="3"/>
  <c r="E138" i="3"/>
  <c r="D138" i="3"/>
  <c r="C138" i="3"/>
  <c r="O137" i="3"/>
  <c r="N137" i="3"/>
  <c r="M137" i="3"/>
  <c r="L137" i="3"/>
  <c r="K137" i="3"/>
  <c r="J137" i="3"/>
  <c r="I137" i="3"/>
  <c r="H137" i="3"/>
  <c r="G137" i="3"/>
  <c r="F137" i="3"/>
  <c r="E137" i="3"/>
  <c r="D137" i="3"/>
  <c r="C137" i="3"/>
  <c r="O136" i="3"/>
  <c r="N136" i="3"/>
  <c r="M136" i="3"/>
  <c r="L136" i="3"/>
  <c r="K136" i="3"/>
  <c r="J136" i="3"/>
  <c r="I136" i="3"/>
  <c r="H136" i="3"/>
  <c r="G136" i="3"/>
  <c r="F136" i="3"/>
  <c r="E136" i="3"/>
  <c r="D136" i="3"/>
  <c r="C136" i="3"/>
  <c r="O135" i="3"/>
  <c r="N135" i="3"/>
  <c r="M135" i="3"/>
  <c r="L135" i="3"/>
  <c r="K135" i="3"/>
  <c r="J135" i="3"/>
  <c r="I135" i="3"/>
  <c r="H135" i="3"/>
  <c r="G135" i="3"/>
  <c r="F135" i="3"/>
  <c r="E135" i="3"/>
  <c r="D135" i="3"/>
  <c r="C135" i="3"/>
  <c r="O134" i="3"/>
  <c r="N134" i="3"/>
  <c r="M134" i="3"/>
  <c r="L134" i="3"/>
  <c r="K134" i="3"/>
  <c r="J134" i="3"/>
  <c r="I134" i="3"/>
  <c r="H134" i="3"/>
  <c r="G134" i="3"/>
  <c r="F134" i="3"/>
  <c r="E134" i="3"/>
  <c r="D134" i="3"/>
  <c r="C134" i="3"/>
  <c r="O133" i="3"/>
  <c r="N133" i="3"/>
  <c r="M133" i="3"/>
  <c r="L133" i="3"/>
  <c r="K133" i="3"/>
  <c r="J133" i="3"/>
  <c r="I133" i="3"/>
  <c r="H133" i="3"/>
  <c r="G133" i="3"/>
  <c r="F133" i="3"/>
  <c r="E133" i="3"/>
  <c r="D133" i="3"/>
  <c r="C133" i="3"/>
  <c r="O132" i="3"/>
  <c r="N132" i="3"/>
  <c r="M132" i="3"/>
  <c r="L132" i="3"/>
  <c r="K132" i="3"/>
  <c r="J132" i="3"/>
  <c r="I132" i="3"/>
  <c r="H132" i="3"/>
  <c r="G132" i="3"/>
  <c r="F132" i="3"/>
  <c r="E132" i="3"/>
  <c r="D132" i="3"/>
  <c r="C132" i="3"/>
  <c r="O131" i="3"/>
  <c r="N131" i="3"/>
  <c r="M131" i="3"/>
  <c r="L131" i="3"/>
  <c r="K131" i="3"/>
  <c r="J131" i="3"/>
  <c r="I131" i="3"/>
  <c r="H131" i="3"/>
  <c r="G131" i="3"/>
  <c r="F131" i="3"/>
  <c r="E131" i="3"/>
  <c r="D131" i="3"/>
  <c r="C131" i="3"/>
  <c r="O130" i="3"/>
  <c r="N130" i="3"/>
  <c r="M130" i="3"/>
  <c r="L130" i="3"/>
  <c r="K130" i="3"/>
  <c r="J130" i="3"/>
  <c r="I130" i="3"/>
  <c r="H130" i="3"/>
  <c r="G130" i="3"/>
  <c r="F130" i="3"/>
  <c r="E130" i="3"/>
  <c r="D130" i="3"/>
  <c r="C130" i="3"/>
  <c r="O129" i="3"/>
  <c r="N129" i="3"/>
  <c r="M129" i="3"/>
  <c r="L129" i="3"/>
  <c r="K129" i="3"/>
  <c r="J129" i="3"/>
  <c r="I129" i="3"/>
  <c r="H129" i="3"/>
  <c r="G129" i="3"/>
  <c r="F129" i="3"/>
  <c r="E129" i="3"/>
  <c r="D129" i="3"/>
  <c r="C129" i="3"/>
  <c r="O128" i="3"/>
  <c r="N128" i="3"/>
  <c r="M128" i="3"/>
  <c r="L128" i="3"/>
  <c r="K128" i="3"/>
  <c r="J128" i="3"/>
  <c r="I128" i="3"/>
  <c r="H128" i="3"/>
  <c r="G128" i="3"/>
  <c r="F128" i="3"/>
  <c r="E128" i="3"/>
  <c r="D128" i="3"/>
  <c r="C128" i="3"/>
  <c r="O127" i="3"/>
  <c r="N127" i="3"/>
  <c r="M127" i="3"/>
  <c r="L127" i="3"/>
  <c r="K127" i="3"/>
  <c r="J127" i="3"/>
  <c r="I127" i="3"/>
  <c r="H127" i="3"/>
  <c r="G127" i="3"/>
  <c r="F127" i="3"/>
  <c r="E127" i="3"/>
  <c r="D127" i="3"/>
  <c r="C127" i="3"/>
  <c r="O126" i="3"/>
  <c r="N126" i="3"/>
  <c r="M126" i="3"/>
  <c r="L126" i="3"/>
  <c r="K126" i="3"/>
  <c r="J126" i="3"/>
  <c r="I126" i="3"/>
  <c r="H126" i="3"/>
  <c r="G126" i="3"/>
  <c r="F126" i="3"/>
  <c r="E126" i="3"/>
  <c r="D126" i="3"/>
  <c r="C126" i="3"/>
  <c r="O125" i="3"/>
  <c r="N125" i="3"/>
  <c r="M125" i="3"/>
  <c r="L125" i="3"/>
  <c r="K125" i="3"/>
  <c r="J125" i="3"/>
  <c r="I125" i="3"/>
  <c r="H125" i="3"/>
  <c r="G125" i="3"/>
  <c r="F125" i="3"/>
  <c r="E125" i="3"/>
  <c r="D125" i="3"/>
  <c r="C125" i="3"/>
  <c r="O124" i="3"/>
  <c r="N124" i="3"/>
  <c r="M124" i="3"/>
  <c r="L124" i="3"/>
  <c r="K124" i="3"/>
  <c r="J124" i="3"/>
  <c r="I124" i="3"/>
  <c r="H124" i="3"/>
  <c r="G124" i="3"/>
  <c r="F124" i="3"/>
  <c r="E124" i="3"/>
  <c r="D124" i="3"/>
  <c r="C124" i="3"/>
  <c r="O123" i="3"/>
  <c r="N123" i="3"/>
  <c r="M123" i="3"/>
  <c r="L123" i="3"/>
  <c r="K123" i="3"/>
  <c r="J123" i="3"/>
  <c r="I123" i="3"/>
  <c r="H123" i="3"/>
  <c r="G123" i="3"/>
  <c r="F123" i="3"/>
  <c r="E123" i="3"/>
  <c r="D123" i="3"/>
  <c r="C123" i="3"/>
  <c r="O122" i="3"/>
  <c r="N122" i="3"/>
  <c r="M122" i="3"/>
  <c r="L122" i="3"/>
  <c r="K122" i="3"/>
  <c r="J122" i="3"/>
  <c r="I122" i="3"/>
  <c r="H122" i="3"/>
  <c r="G122" i="3"/>
  <c r="F122" i="3"/>
  <c r="E122" i="3"/>
  <c r="D122" i="3"/>
  <c r="C122" i="3"/>
  <c r="O121" i="3"/>
  <c r="N121" i="3"/>
  <c r="M121" i="3"/>
  <c r="L121" i="3"/>
  <c r="K121" i="3"/>
  <c r="J121" i="3"/>
  <c r="I121" i="3"/>
  <c r="H121" i="3"/>
  <c r="G121" i="3"/>
  <c r="F121" i="3"/>
  <c r="E121" i="3"/>
  <c r="D121" i="3"/>
  <c r="C121" i="3"/>
  <c r="O120" i="3"/>
  <c r="N120" i="3"/>
  <c r="M120" i="3"/>
  <c r="L120" i="3"/>
  <c r="K120" i="3"/>
  <c r="J120" i="3"/>
  <c r="I120" i="3"/>
  <c r="H120" i="3"/>
  <c r="G120" i="3"/>
  <c r="F120" i="3"/>
  <c r="E120" i="3"/>
  <c r="D120" i="3"/>
  <c r="C120" i="3"/>
  <c r="O119" i="3"/>
  <c r="N119" i="3"/>
  <c r="M119" i="3"/>
  <c r="L119" i="3"/>
  <c r="K119" i="3"/>
  <c r="J119" i="3"/>
  <c r="I119" i="3"/>
  <c r="H119" i="3"/>
  <c r="G119" i="3"/>
  <c r="F119" i="3"/>
  <c r="E119" i="3"/>
  <c r="D119" i="3"/>
  <c r="C119" i="3"/>
  <c r="O118" i="3"/>
  <c r="N118" i="3"/>
  <c r="M118" i="3"/>
  <c r="L118" i="3"/>
  <c r="K118" i="3"/>
  <c r="J118" i="3"/>
  <c r="I118" i="3"/>
  <c r="H118" i="3"/>
  <c r="G118" i="3"/>
  <c r="F118" i="3"/>
  <c r="E118" i="3"/>
  <c r="D118" i="3"/>
  <c r="C118" i="3"/>
  <c r="O117" i="3"/>
  <c r="N117" i="3"/>
  <c r="M117" i="3"/>
  <c r="L117" i="3"/>
  <c r="K117" i="3"/>
  <c r="J117" i="3"/>
  <c r="I117" i="3"/>
  <c r="H117" i="3"/>
  <c r="G117" i="3"/>
  <c r="F117" i="3"/>
  <c r="E117" i="3"/>
  <c r="D117" i="3"/>
  <c r="C117" i="3"/>
  <c r="O116" i="3"/>
  <c r="N116" i="3"/>
  <c r="M116" i="3"/>
  <c r="L116" i="3"/>
  <c r="K116" i="3"/>
  <c r="J116" i="3"/>
  <c r="I116" i="3"/>
  <c r="H116" i="3"/>
  <c r="G116" i="3"/>
  <c r="F116" i="3"/>
  <c r="E116" i="3"/>
  <c r="D116" i="3"/>
  <c r="C116" i="3"/>
  <c r="O115" i="3"/>
  <c r="N115" i="3"/>
  <c r="M115" i="3"/>
  <c r="L115" i="3"/>
  <c r="K115" i="3"/>
  <c r="J115" i="3"/>
  <c r="I115" i="3"/>
  <c r="H115" i="3"/>
  <c r="G115" i="3"/>
  <c r="F115" i="3"/>
  <c r="E115" i="3"/>
  <c r="D115" i="3"/>
  <c r="C115" i="3"/>
  <c r="O114" i="3"/>
  <c r="N114" i="3"/>
  <c r="M114" i="3"/>
  <c r="L114" i="3"/>
  <c r="K114" i="3"/>
  <c r="J114" i="3"/>
  <c r="I114" i="3"/>
  <c r="H114" i="3"/>
  <c r="G114" i="3"/>
  <c r="F114" i="3"/>
  <c r="E114" i="3"/>
  <c r="D114" i="3"/>
  <c r="C114" i="3"/>
  <c r="O113" i="3"/>
  <c r="N113" i="3"/>
  <c r="M113" i="3"/>
  <c r="L113" i="3"/>
  <c r="K113" i="3"/>
  <c r="J113" i="3"/>
  <c r="I113" i="3"/>
  <c r="H113" i="3"/>
  <c r="G113" i="3"/>
  <c r="F113" i="3"/>
  <c r="E113" i="3"/>
  <c r="D113" i="3"/>
  <c r="C113" i="3"/>
  <c r="O112" i="3"/>
  <c r="N112" i="3"/>
  <c r="M112" i="3"/>
  <c r="L112" i="3"/>
  <c r="K112" i="3"/>
  <c r="J112" i="3"/>
  <c r="I112" i="3"/>
  <c r="H112" i="3"/>
  <c r="G112" i="3"/>
  <c r="F112" i="3"/>
  <c r="E112" i="3"/>
  <c r="D112" i="3"/>
  <c r="C112" i="3"/>
  <c r="B112" i="3"/>
  <c r="O111" i="3"/>
  <c r="N111" i="3"/>
  <c r="M111" i="3"/>
  <c r="L111" i="3"/>
  <c r="K111" i="3"/>
  <c r="J111" i="3"/>
  <c r="I111" i="3"/>
  <c r="H111" i="3"/>
  <c r="G111" i="3"/>
  <c r="F111" i="3"/>
  <c r="E111" i="3"/>
  <c r="D111" i="3"/>
  <c r="C111" i="3"/>
  <c r="O110" i="3"/>
  <c r="N110" i="3"/>
  <c r="M110" i="3"/>
  <c r="L110" i="3"/>
  <c r="K110" i="3"/>
  <c r="J110" i="3"/>
  <c r="I110" i="3"/>
  <c r="H110" i="3"/>
  <c r="G110" i="3"/>
  <c r="F110" i="3"/>
  <c r="E110" i="3"/>
  <c r="D110" i="3"/>
  <c r="C110" i="3"/>
  <c r="O109" i="3"/>
  <c r="N109" i="3"/>
  <c r="M109" i="3"/>
  <c r="L109" i="3"/>
  <c r="K109" i="3"/>
  <c r="J109" i="3"/>
  <c r="I109" i="3"/>
  <c r="H109" i="3"/>
  <c r="G109" i="3"/>
  <c r="F109" i="3"/>
  <c r="E109" i="3"/>
  <c r="D109" i="3"/>
  <c r="C109" i="3"/>
  <c r="O108" i="3"/>
  <c r="N108" i="3"/>
  <c r="M108" i="3"/>
  <c r="L108" i="3"/>
  <c r="K108" i="3"/>
  <c r="J108" i="3"/>
  <c r="I108" i="3"/>
  <c r="H108" i="3"/>
  <c r="G108" i="3"/>
  <c r="F108" i="3"/>
  <c r="E108" i="3"/>
  <c r="D108" i="3"/>
  <c r="C108" i="3"/>
  <c r="O107" i="3"/>
  <c r="N107" i="3"/>
  <c r="M107" i="3"/>
  <c r="L107" i="3"/>
  <c r="K107" i="3"/>
  <c r="J107" i="3"/>
  <c r="I107" i="3"/>
  <c r="H107" i="3"/>
  <c r="G107" i="3"/>
  <c r="F107" i="3"/>
  <c r="E107" i="3"/>
  <c r="D107" i="3"/>
  <c r="C107" i="3"/>
  <c r="O106" i="3"/>
  <c r="N106" i="3"/>
  <c r="M106" i="3"/>
  <c r="L106" i="3"/>
  <c r="K106" i="3"/>
  <c r="J106" i="3"/>
  <c r="I106" i="3"/>
  <c r="H106" i="3"/>
  <c r="G106" i="3"/>
  <c r="F106" i="3"/>
  <c r="E106" i="3"/>
  <c r="D106" i="3"/>
  <c r="C106" i="3"/>
  <c r="O105" i="3"/>
  <c r="N105" i="3"/>
  <c r="M105" i="3"/>
  <c r="L105" i="3"/>
  <c r="K105" i="3"/>
  <c r="J105" i="3"/>
  <c r="I105" i="3"/>
  <c r="H105" i="3"/>
  <c r="G105" i="3"/>
  <c r="F105" i="3"/>
  <c r="E105" i="3"/>
  <c r="D105" i="3"/>
  <c r="C105" i="3"/>
  <c r="O104" i="3"/>
  <c r="N104" i="3"/>
  <c r="M104" i="3"/>
  <c r="L104" i="3"/>
  <c r="K104" i="3"/>
  <c r="J104" i="3"/>
  <c r="I104" i="3"/>
  <c r="H104" i="3"/>
  <c r="G104" i="3"/>
  <c r="F104" i="3"/>
  <c r="E104" i="3"/>
  <c r="D104" i="3"/>
  <c r="C104" i="3"/>
  <c r="O103" i="3"/>
  <c r="N103" i="3"/>
  <c r="M103" i="3"/>
  <c r="L103" i="3"/>
  <c r="K103" i="3"/>
  <c r="J103" i="3"/>
  <c r="I103" i="3"/>
  <c r="H103" i="3"/>
  <c r="G103" i="3"/>
  <c r="F103" i="3"/>
  <c r="E103" i="3"/>
  <c r="D103" i="3"/>
  <c r="C103" i="3"/>
  <c r="O102" i="3"/>
  <c r="N102" i="3"/>
  <c r="M102" i="3"/>
  <c r="L102" i="3"/>
  <c r="K102" i="3"/>
  <c r="J102" i="3"/>
  <c r="I102" i="3"/>
  <c r="H102" i="3"/>
  <c r="G102" i="3"/>
  <c r="F102" i="3"/>
  <c r="E102" i="3"/>
  <c r="D102" i="3"/>
  <c r="C102" i="3"/>
  <c r="O101" i="3"/>
  <c r="N101" i="3"/>
  <c r="M101" i="3"/>
  <c r="L101" i="3"/>
  <c r="K101" i="3"/>
  <c r="J101" i="3"/>
  <c r="I101" i="3"/>
  <c r="H101" i="3"/>
  <c r="G101" i="3"/>
  <c r="F101" i="3"/>
  <c r="E101" i="3"/>
  <c r="D101" i="3"/>
  <c r="C101" i="3"/>
  <c r="O100" i="3"/>
  <c r="N100" i="3"/>
  <c r="M100" i="3"/>
  <c r="L100" i="3"/>
  <c r="K100" i="3"/>
  <c r="J100" i="3"/>
  <c r="I100" i="3"/>
  <c r="H100" i="3"/>
  <c r="G100" i="3"/>
  <c r="F100" i="3"/>
  <c r="E100" i="3"/>
  <c r="D100" i="3"/>
  <c r="C100" i="3"/>
  <c r="O99" i="3"/>
  <c r="N99" i="3"/>
  <c r="M99" i="3"/>
  <c r="L99" i="3"/>
  <c r="K99" i="3"/>
  <c r="J99" i="3"/>
  <c r="I99" i="3"/>
  <c r="H99" i="3"/>
  <c r="G99" i="3"/>
  <c r="F99" i="3"/>
  <c r="E99" i="3"/>
  <c r="D99" i="3"/>
  <c r="C99" i="3"/>
  <c r="O98" i="3"/>
  <c r="N98" i="3"/>
  <c r="M98" i="3"/>
  <c r="L98" i="3"/>
  <c r="K98" i="3"/>
  <c r="J98" i="3"/>
  <c r="I98" i="3"/>
  <c r="H98" i="3"/>
  <c r="G98" i="3"/>
  <c r="F98" i="3"/>
  <c r="E98" i="3"/>
  <c r="D98" i="3"/>
  <c r="C98" i="3"/>
  <c r="O97" i="3"/>
  <c r="N97" i="3"/>
  <c r="M97" i="3"/>
  <c r="L97" i="3"/>
  <c r="K97" i="3"/>
  <c r="J97" i="3"/>
  <c r="I97" i="3"/>
  <c r="H97" i="3"/>
  <c r="G97" i="3"/>
  <c r="F97" i="3"/>
  <c r="E97" i="3"/>
  <c r="D97" i="3"/>
  <c r="C97" i="3"/>
  <c r="O96" i="3"/>
  <c r="N96" i="3"/>
  <c r="M96" i="3"/>
  <c r="L96" i="3"/>
  <c r="K96" i="3"/>
  <c r="J96" i="3"/>
  <c r="I96" i="3"/>
  <c r="H96" i="3"/>
  <c r="G96" i="3"/>
  <c r="F96" i="3"/>
  <c r="E96" i="3"/>
  <c r="D96" i="3"/>
  <c r="C96" i="3"/>
  <c r="O95" i="3"/>
  <c r="N95" i="3"/>
  <c r="M95" i="3"/>
  <c r="L95" i="3"/>
  <c r="K95" i="3"/>
  <c r="J95" i="3"/>
  <c r="I95" i="3"/>
  <c r="H95" i="3"/>
  <c r="G95" i="3"/>
  <c r="F95" i="3"/>
  <c r="E95" i="3"/>
  <c r="D95" i="3"/>
  <c r="C95" i="3"/>
  <c r="O94" i="3"/>
  <c r="N94" i="3"/>
  <c r="M94" i="3"/>
  <c r="L94" i="3"/>
  <c r="K94" i="3"/>
  <c r="J94" i="3"/>
  <c r="I94" i="3"/>
  <c r="H94" i="3"/>
  <c r="G94" i="3"/>
  <c r="F94" i="3"/>
  <c r="E94" i="3"/>
  <c r="D94" i="3"/>
  <c r="C94" i="3"/>
  <c r="O93" i="3"/>
  <c r="N93" i="3"/>
  <c r="M93" i="3"/>
  <c r="L93" i="3"/>
  <c r="K93" i="3"/>
  <c r="J93" i="3"/>
  <c r="I93" i="3"/>
  <c r="H93" i="3"/>
  <c r="G93" i="3"/>
  <c r="F93" i="3"/>
  <c r="E93" i="3"/>
  <c r="D93" i="3"/>
  <c r="C93" i="3"/>
  <c r="O92" i="3"/>
  <c r="N92" i="3"/>
  <c r="M92" i="3"/>
  <c r="L92" i="3"/>
  <c r="K92" i="3"/>
  <c r="J92" i="3"/>
  <c r="I92" i="3"/>
  <c r="H92" i="3"/>
  <c r="G92" i="3"/>
  <c r="F92" i="3"/>
  <c r="E92" i="3"/>
  <c r="D92" i="3"/>
  <c r="C92" i="3"/>
  <c r="O91" i="3"/>
  <c r="N91" i="3"/>
  <c r="M91" i="3"/>
  <c r="L91" i="3"/>
  <c r="K91" i="3"/>
  <c r="J91" i="3"/>
  <c r="I91" i="3"/>
  <c r="H91" i="3"/>
  <c r="G91" i="3"/>
  <c r="F91" i="3"/>
  <c r="E91" i="3"/>
  <c r="D91" i="3"/>
  <c r="C91" i="3"/>
  <c r="O90" i="3"/>
  <c r="N90" i="3"/>
  <c r="M90" i="3"/>
  <c r="L90" i="3"/>
  <c r="K90" i="3"/>
  <c r="J90" i="3"/>
  <c r="I90" i="3"/>
  <c r="H90" i="3"/>
  <c r="G90" i="3"/>
  <c r="F90" i="3"/>
  <c r="E90" i="3"/>
  <c r="D90" i="3"/>
  <c r="C90" i="3"/>
  <c r="O89" i="3"/>
  <c r="N89" i="3"/>
  <c r="M89" i="3"/>
  <c r="L89" i="3"/>
  <c r="K89" i="3"/>
  <c r="J89" i="3"/>
  <c r="I89" i="3"/>
  <c r="H89" i="3"/>
  <c r="G89" i="3"/>
  <c r="F89" i="3"/>
  <c r="E89" i="3"/>
  <c r="D89" i="3"/>
  <c r="C89" i="3"/>
  <c r="O88" i="3"/>
  <c r="N88" i="3"/>
  <c r="M88" i="3"/>
  <c r="L88" i="3"/>
  <c r="K88" i="3"/>
  <c r="J88" i="3"/>
  <c r="I88" i="3"/>
  <c r="H88" i="3"/>
  <c r="G88" i="3"/>
  <c r="F88" i="3"/>
  <c r="E88" i="3"/>
  <c r="D88" i="3"/>
  <c r="C88" i="3"/>
  <c r="O87" i="3"/>
  <c r="N87" i="3"/>
  <c r="M87" i="3"/>
  <c r="L87" i="3"/>
  <c r="K87" i="3"/>
  <c r="J87" i="3"/>
  <c r="I87" i="3"/>
  <c r="H87" i="3"/>
  <c r="G87" i="3"/>
  <c r="F87" i="3"/>
  <c r="E87" i="3"/>
  <c r="D87" i="3"/>
  <c r="C87" i="3"/>
  <c r="O86" i="3"/>
  <c r="N86" i="3"/>
  <c r="M86" i="3"/>
  <c r="L86" i="3"/>
  <c r="K86" i="3"/>
  <c r="J86" i="3"/>
  <c r="I86" i="3"/>
  <c r="H86" i="3"/>
  <c r="G86" i="3"/>
  <c r="F86" i="3"/>
  <c r="E86" i="3"/>
  <c r="D86" i="3"/>
  <c r="C86" i="3"/>
  <c r="O85" i="3"/>
  <c r="N85" i="3"/>
  <c r="M85" i="3"/>
  <c r="L85" i="3"/>
  <c r="K85" i="3"/>
  <c r="J85" i="3"/>
  <c r="I85" i="3"/>
  <c r="H85" i="3"/>
  <c r="G85" i="3"/>
  <c r="F85" i="3"/>
  <c r="E85" i="3"/>
  <c r="D85" i="3"/>
  <c r="C85" i="3"/>
  <c r="B85" i="3"/>
  <c r="O84" i="3"/>
  <c r="N84" i="3"/>
  <c r="M84" i="3"/>
  <c r="L84" i="3"/>
  <c r="K84" i="3"/>
  <c r="J84" i="3"/>
  <c r="I84" i="3"/>
  <c r="H84" i="3"/>
  <c r="G84" i="3"/>
  <c r="F84" i="3"/>
  <c r="E84" i="3"/>
  <c r="D84" i="3"/>
  <c r="C84" i="3"/>
  <c r="O83" i="3"/>
  <c r="N83" i="3"/>
  <c r="M83" i="3"/>
  <c r="L83" i="3"/>
  <c r="K83" i="3"/>
  <c r="J83" i="3"/>
  <c r="I83" i="3"/>
  <c r="H83" i="3"/>
  <c r="G83" i="3"/>
  <c r="F83" i="3"/>
  <c r="E83" i="3"/>
  <c r="D83" i="3"/>
  <c r="C83" i="3"/>
  <c r="O82" i="3"/>
  <c r="N82" i="3"/>
  <c r="M82" i="3"/>
  <c r="L82" i="3"/>
  <c r="K82" i="3"/>
  <c r="J82" i="3"/>
  <c r="I82" i="3"/>
  <c r="H82" i="3"/>
  <c r="G82" i="3"/>
  <c r="F82" i="3"/>
  <c r="E82" i="3"/>
  <c r="D82" i="3"/>
  <c r="C82" i="3"/>
  <c r="O81" i="3"/>
  <c r="N81" i="3"/>
  <c r="M81" i="3"/>
  <c r="L81" i="3"/>
  <c r="K81" i="3"/>
  <c r="J81" i="3"/>
  <c r="I81" i="3"/>
  <c r="H81" i="3"/>
  <c r="G81" i="3"/>
  <c r="F81" i="3"/>
  <c r="E81" i="3"/>
  <c r="D81" i="3"/>
  <c r="C81" i="3"/>
  <c r="O80" i="3"/>
  <c r="N80" i="3"/>
  <c r="M80" i="3"/>
  <c r="L80" i="3"/>
  <c r="K80" i="3"/>
  <c r="J80" i="3"/>
  <c r="I80" i="3"/>
  <c r="H80" i="3"/>
  <c r="G80" i="3"/>
  <c r="F80" i="3"/>
  <c r="E80" i="3"/>
  <c r="D80" i="3"/>
  <c r="C80" i="3"/>
  <c r="O79" i="3"/>
  <c r="N79" i="3"/>
  <c r="M79" i="3"/>
  <c r="L79" i="3"/>
  <c r="K79" i="3"/>
  <c r="J79" i="3"/>
  <c r="I79" i="3"/>
  <c r="H79" i="3"/>
  <c r="G79" i="3"/>
  <c r="F79" i="3"/>
  <c r="E79" i="3"/>
  <c r="D79" i="3"/>
  <c r="C79" i="3"/>
  <c r="O78" i="3"/>
  <c r="N78" i="3"/>
  <c r="M78" i="3"/>
  <c r="L78" i="3"/>
  <c r="K78" i="3"/>
  <c r="J78" i="3"/>
  <c r="I78" i="3"/>
  <c r="H78" i="3"/>
  <c r="G78" i="3"/>
  <c r="F78" i="3"/>
  <c r="E78" i="3"/>
  <c r="D78" i="3"/>
  <c r="C78" i="3"/>
  <c r="O77" i="3"/>
  <c r="N77" i="3"/>
  <c r="M77" i="3"/>
  <c r="L77" i="3"/>
  <c r="K77" i="3"/>
  <c r="J77" i="3"/>
  <c r="I77" i="3"/>
  <c r="H77" i="3"/>
  <c r="G77" i="3"/>
  <c r="F77" i="3"/>
  <c r="E77" i="3"/>
  <c r="D77" i="3"/>
  <c r="C77" i="3"/>
  <c r="O76" i="3"/>
  <c r="N76" i="3"/>
  <c r="M76" i="3"/>
  <c r="L76" i="3"/>
  <c r="K76" i="3"/>
  <c r="J76" i="3"/>
  <c r="I76" i="3"/>
  <c r="H76" i="3"/>
  <c r="G76" i="3"/>
  <c r="F76" i="3"/>
  <c r="E76" i="3"/>
  <c r="D76" i="3"/>
  <c r="C76" i="3"/>
  <c r="O75" i="3"/>
  <c r="N75" i="3"/>
  <c r="M75" i="3"/>
  <c r="L75" i="3"/>
  <c r="K75" i="3"/>
  <c r="J75" i="3"/>
  <c r="I75" i="3"/>
  <c r="H75" i="3"/>
  <c r="G75" i="3"/>
  <c r="F75" i="3"/>
  <c r="E75" i="3"/>
  <c r="D75" i="3"/>
  <c r="C75" i="3"/>
  <c r="O74" i="3"/>
  <c r="N74" i="3"/>
  <c r="M74" i="3"/>
  <c r="L74" i="3"/>
  <c r="K74" i="3"/>
  <c r="J74" i="3"/>
  <c r="I74" i="3"/>
  <c r="H74" i="3"/>
  <c r="G74" i="3"/>
  <c r="F74" i="3"/>
  <c r="E74" i="3"/>
  <c r="D74" i="3"/>
  <c r="C74" i="3"/>
  <c r="O73" i="3"/>
  <c r="N73" i="3"/>
  <c r="M73" i="3"/>
  <c r="L73" i="3"/>
  <c r="K73" i="3"/>
  <c r="J73" i="3"/>
  <c r="I73" i="3"/>
  <c r="H73" i="3"/>
  <c r="G73" i="3"/>
  <c r="F73" i="3"/>
  <c r="E73" i="3"/>
  <c r="D73" i="3"/>
  <c r="C73" i="3"/>
  <c r="O72" i="3"/>
  <c r="N72" i="3"/>
  <c r="M72" i="3"/>
  <c r="L72" i="3"/>
  <c r="K72" i="3"/>
  <c r="J72" i="3"/>
  <c r="I72" i="3"/>
  <c r="H72" i="3"/>
  <c r="G72" i="3"/>
  <c r="F72" i="3"/>
  <c r="E72" i="3"/>
  <c r="D72" i="3"/>
  <c r="C72" i="3"/>
  <c r="O71" i="3"/>
  <c r="N71" i="3"/>
  <c r="M71" i="3"/>
  <c r="L71" i="3"/>
  <c r="K71" i="3"/>
  <c r="J71" i="3"/>
  <c r="I71" i="3"/>
  <c r="H71" i="3"/>
  <c r="G71" i="3"/>
  <c r="F71" i="3"/>
  <c r="E71" i="3"/>
  <c r="D71" i="3"/>
  <c r="C71" i="3"/>
  <c r="O70" i="3"/>
  <c r="N70" i="3"/>
  <c r="M70" i="3"/>
  <c r="L70" i="3"/>
  <c r="K70" i="3"/>
  <c r="J70" i="3"/>
  <c r="I70" i="3"/>
  <c r="H70" i="3"/>
  <c r="G70" i="3"/>
  <c r="F70" i="3"/>
  <c r="E70" i="3"/>
  <c r="D70" i="3"/>
  <c r="C70" i="3"/>
  <c r="O69" i="3"/>
  <c r="N69" i="3"/>
  <c r="M69" i="3"/>
  <c r="L69" i="3"/>
  <c r="K69" i="3"/>
  <c r="J69" i="3"/>
  <c r="I69" i="3"/>
  <c r="H69" i="3"/>
  <c r="G69" i="3"/>
  <c r="F69" i="3"/>
  <c r="E69" i="3"/>
  <c r="D69" i="3"/>
  <c r="C69" i="3"/>
  <c r="O68" i="3"/>
  <c r="N68" i="3"/>
  <c r="M68" i="3"/>
  <c r="L68" i="3"/>
  <c r="K68" i="3"/>
  <c r="J68" i="3"/>
  <c r="I68" i="3"/>
  <c r="H68" i="3"/>
  <c r="G68" i="3"/>
  <c r="F68" i="3"/>
  <c r="E68" i="3"/>
  <c r="D68" i="3"/>
  <c r="C68" i="3"/>
  <c r="O67" i="3"/>
  <c r="N67" i="3"/>
  <c r="M67" i="3"/>
  <c r="L67" i="3"/>
  <c r="K67" i="3"/>
  <c r="J67" i="3"/>
  <c r="I67" i="3"/>
  <c r="H67" i="3"/>
  <c r="G67" i="3"/>
  <c r="F67" i="3"/>
  <c r="E67" i="3"/>
  <c r="D67" i="3"/>
  <c r="C67" i="3"/>
  <c r="O66" i="3"/>
  <c r="N66" i="3"/>
  <c r="M66" i="3"/>
  <c r="L66" i="3"/>
  <c r="K66" i="3"/>
  <c r="J66" i="3"/>
  <c r="I66" i="3"/>
  <c r="H66" i="3"/>
  <c r="G66" i="3"/>
  <c r="F66" i="3"/>
  <c r="E66" i="3"/>
  <c r="D66" i="3"/>
  <c r="C66" i="3"/>
  <c r="O65" i="3"/>
  <c r="N65" i="3"/>
  <c r="M65" i="3"/>
  <c r="L65" i="3"/>
  <c r="K65" i="3"/>
  <c r="J65" i="3"/>
  <c r="I65" i="3"/>
  <c r="H65" i="3"/>
  <c r="G65" i="3"/>
  <c r="F65" i="3"/>
  <c r="E65" i="3"/>
  <c r="D65" i="3"/>
  <c r="C65" i="3"/>
  <c r="O64" i="3"/>
  <c r="N64" i="3"/>
  <c r="M64" i="3"/>
  <c r="L64" i="3"/>
  <c r="K64" i="3"/>
  <c r="J64" i="3"/>
  <c r="I64" i="3"/>
  <c r="H64" i="3"/>
  <c r="G64" i="3"/>
  <c r="F64" i="3"/>
  <c r="E64" i="3"/>
  <c r="D64" i="3"/>
  <c r="C64" i="3"/>
  <c r="O63" i="3"/>
  <c r="N63" i="3"/>
  <c r="M63" i="3"/>
  <c r="L63" i="3"/>
  <c r="K63" i="3"/>
  <c r="J63" i="3"/>
  <c r="I63" i="3"/>
  <c r="H63" i="3"/>
  <c r="G63" i="3"/>
  <c r="F63" i="3"/>
  <c r="E63" i="3"/>
  <c r="D63" i="3"/>
  <c r="C63" i="3"/>
  <c r="O62" i="3"/>
  <c r="N62" i="3"/>
  <c r="M62" i="3"/>
  <c r="L62" i="3"/>
  <c r="K62" i="3"/>
  <c r="J62" i="3"/>
  <c r="I62" i="3"/>
  <c r="H62" i="3"/>
  <c r="G62" i="3"/>
  <c r="F62" i="3"/>
  <c r="E62" i="3"/>
  <c r="D62" i="3"/>
  <c r="C62" i="3"/>
  <c r="O61" i="3"/>
  <c r="N61" i="3"/>
  <c r="M61" i="3"/>
  <c r="L61" i="3"/>
  <c r="K61" i="3"/>
  <c r="J61" i="3"/>
  <c r="I61" i="3"/>
  <c r="H61" i="3"/>
  <c r="G61" i="3"/>
  <c r="F61" i="3"/>
  <c r="E61" i="3"/>
  <c r="D61" i="3"/>
  <c r="C61" i="3"/>
  <c r="O60" i="3"/>
  <c r="N60" i="3"/>
  <c r="M60" i="3"/>
  <c r="L60" i="3"/>
  <c r="K60" i="3"/>
  <c r="J60" i="3"/>
  <c r="I60" i="3"/>
  <c r="H60" i="3"/>
  <c r="G60" i="3"/>
  <c r="F60" i="3"/>
  <c r="E60" i="3"/>
  <c r="D60" i="3"/>
  <c r="C60" i="3"/>
  <c r="O59" i="3"/>
  <c r="N59" i="3"/>
  <c r="M59" i="3"/>
  <c r="L59" i="3"/>
  <c r="K59" i="3"/>
  <c r="J59" i="3"/>
  <c r="I59" i="3"/>
  <c r="H59" i="3"/>
  <c r="G59" i="3"/>
  <c r="F59" i="3"/>
  <c r="E59" i="3"/>
  <c r="D59" i="3"/>
  <c r="C59" i="3"/>
  <c r="O58" i="3"/>
  <c r="N58" i="3"/>
  <c r="M58" i="3"/>
  <c r="L58" i="3"/>
  <c r="K58" i="3"/>
  <c r="J58" i="3"/>
  <c r="I58" i="3"/>
  <c r="H58" i="3"/>
  <c r="G58" i="3"/>
  <c r="F58" i="3"/>
  <c r="E58" i="3"/>
  <c r="D58" i="3"/>
  <c r="C58" i="3"/>
  <c r="O57" i="3"/>
  <c r="N57" i="3"/>
  <c r="M57" i="3"/>
  <c r="L57" i="3"/>
  <c r="K57" i="3"/>
  <c r="J57" i="3"/>
  <c r="I57" i="3"/>
  <c r="H57" i="3"/>
  <c r="G57" i="3"/>
  <c r="F57" i="3"/>
  <c r="E57" i="3"/>
  <c r="D57" i="3"/>
  <c r="C57" i="3"/>
  <c r="B57" i="3"/>
  <c r="O56" i="3"/>
  <c r="N56" i="3"/>
  <c r="M56" i="3"/>
  <c r="L56" i="3"/>
  <c r="K56" i="3"/>
  <c r="J56" i="3"/>
  <c r="I56" i="3"/>
  <c r="H56" i="3"/>
  <c r="G56" i="3"/>
  <c r="F56" i="3"/>
  <c r="E56" i="3"/>
  <c r="D56" i="3"/>
  <c r="C56" i="3"/>
  <c r="O55" i="3"/>
  <c r="N55" i="3"/>
  <c r="M55" i="3"/>
  <c r="L55" i="3"/>
  <c r="K55" i="3"/>
  <c r="J55" i="3"/>
  <c r="I55" i="3"/>
  <c r="H55" i="3"/>
  <c r="G55" i="3"/>
  <c r="F55" i="3"/>
  <c r="E55" i="3"/>
  <c r="D55" i="3"/>
  <c r="C55" i="3"/>
  <c r="O54" i="3"/>
  <c r="N54" i="3"/>
  <c r="M54" i="3"/>
  <c r="L54" i="3"/>
  <c r="K54" i="3"/>
  <c r="J54" i="3"/>
  <c r="I54" i="3"/>
  <c r="H54" i="3"/>
  <c r="G54" i="3"/>
  <c r="F54" i="3"/>
  <c r="E54" i="3"/>
  <c r="D54" i="3"/>
  <c r="C54" i="3"/>
  <c r="O53" i="3"/>
  <c r="N53" i="3"/>
  <c r="M53" i="3"/>
  <c r="L53" i="3"/>
  <c r="K53" i="3"/>
  <c r="J53" i="3"/>
  <c r="I53" i="3"/>
  <c r="H53" i="3"/>
  <c r="G53" i="3"/>
  <c r="F53" i="3"/>
  <c r="E53" i="3"/>
  <c r="D53" i="3"/>
  <c r="C53" i="3"/>
  <c r="O52" i="3"/>
  <c r="N52" i="3"/>
  <c r="M52" i="3"/>
  <c r="L52" i="3"/>
  <c r="K52" i="3"/>
  <c r="J52" i="3"/>
  <c r="I52" i="3"/>
  <c r="H52" i="3"/>
  <c r="G52" i="3"/>
  <c r="F52" i="3"/>
  <c r="E52" i="3"/>
  <c r="D52" i="3"/>
  <c r="C52" i="3"/>
  <c r="O51" i="3"/>
  <c r="N51" i="3"/>
  <c r="M51" i="3"/>
  <c r="L51" i="3"/>
  <c r="K51" i="3"/>
  <c r="J51" i="3"/>
  <c r="I51" i="3"/>
  <c r="H51" i="3"/>
  <c r="G51" i="3"/>
  <c r="F51" i="3"/>
  <c r="E51" i="3"/>
  <c r="D51" i="3"/>
  <c r="C51" i="3"/>
  <c r="O50" i="3"/>
  <c r="N50" i="3"/>
  <c r="M50" i="3"/>
  <c r="L50" i="3"/>
  <c r="K50" i="3"/>
  <c r="J50" i="3"/>
  <c r="I50" i="3"/>
  <c r="H50" i="3"/>
  <c r="G50" i="3"/>
  <c r="F50" i="3"/>
  <c r="E50" i="3"/>
  <c r="D50" i="3"/>
  <c r="C50" i="3"/>
  <c r="O49" i="3"/>
  <c r="N49" i="3"/>
  <c r="M49" i="3"/>
  <c r="L49" i="3"/>
  <c r="K49" i="3"/>
  <c r="J49" i="3"/>
  <c r="I49" i="3"/>
  <c r="H49" i="3"/>
  <c r="G49" i="3"/>
  <c r="F49" i="3"/>
  <c r="E49" i="3"/>
  <c r="D49" i="3"/>
  <c r="C49" i="3"/>
  <c r="O48" i="3"/>
  <c r="N48" i="3"/>
  <c r="M48" i="3"/>
  <c r="L48" i="3"/>
  <c r="K48" i="3"/>
  <c r="J48" i="3"/>
  <c r="I48" i="3"/>
  <c r="H48" i="3"/>
  <c r="G48" i="3"/>
  <c r="F48" i="3"/>
  <c r="E48" i="3"/>
  <c r="D48" i="3"/>
  <c r="C48" i="3"/>
  <c r="O47" i="3"/>
  <c r="N47" i="3"/>
  <c r="M47" i="3"/>
  <c r="L47" i="3"/>
  <c r="K47" i="3"/>
  <c r="J47" i="3"/>
  <c r="I47" i="3"/>
  <c r="H47" i="3"/>
  <c r="G47" i="3"/>
  <c r="F47" i="3"/>
  <c r="E47" i="3"/>
  <c r="D47" i="3"/>
  <c r="C47" i="3"/>
  <c r="O46" i="3"/>
  <c r="N46" i="3"/>
  <c r="M46" i="3"/>
  <c r="L46" i="3"/>
  <c r="K46" i="3"/>
  <c r="J46" i="3"/>
  <c r="I46" i="3"/>
  <c r="H46" i="3"/>
  <c r="G46" i="3"/>
  <c r="F46" i="3"/>
  <c r="E46" i="3"/>
  <c r="D46" i="3"/>
  <c r="C46" i="3"/>
  <c r="O45" i="3"/>
  <c r="N45" i="3"/>
  <c r="M45" i="3"/>
  <c r="L45" i="3"/>
  <c r="K45" i="3"/>
  <c r="J45" i="3"/>
  <c r="I45" i="3"/>
  <c r="H45" i="3"/>
  <c r="G45" i="3"/>
  <c r="F45" i="3"/>
  <c r="E45" i="3"/>
  <c r="D45" i="3"/>
  <c r="C45" i="3"/>
  <c r="O44" i="3"/>
  <c r="N44" i="3"/>
  <c r="M44" i="3"/>
  <c r="L44" i="3"/>
  <c r="K44" i="3"/>
  <c r="J44" i="3"/>
  <c r="I44" i="3"/>
  <c r="H44" i="3"/>
  <c r="G44" i="3"/>
  <c r="F44" i="3"/>
  <c r="E44" i="3"/>
  <c r="D44" i="3"/>
  <c r="C44" i="3"/>
  <c r="O43" i="3"/>
  <c r="N43" i="3"/>
  <c r="M43" i="3"/>
  <c r="L43" i="3"/>
  <c r="K43" i="3"/>
  <c r="J43" i="3"/>
  <c r="I43" i="3"/>
  <c r="H43" i="3"/>
  <c r="G43" i="3"/>
  <c r="F43" i="3"/>
  <c r="E43" i="3"/>
  <c r="D43" i="3"/>
  <c r="C43" i="3"/>
  <c r="O42" i="3"/>
  <c r="N42" i="3"/>
  <c r="M42" i="3"/>
  <c r="L42" i="3"/>
  <c r="K42" i="3"/>
  <c r="J42" i="3"/>
  <c r="I42" i="3"/>
  <c r="H42" i="3"/>
  <c r="G42" i="3"/>
  <c r="F42" i="3"/>
  <c r="E42" i="3"/>
  <c r="D42" i="3"/>
  <c r="C42" i="3"/>
  <c r="O41" i="3"/>
  <c r="N41" i="3"/>
  <c r="M41" i="3"/>
  <c r="L41" i="3"/>
  <c r="K41" i="3"/>
  <c r="J41" i="3"/>
  <c r="I41" i="3"/>
  <c r="H41" i="3"/>
  <c r="G41" i="3"/>
  <c r="F41" i="3"/>
  <c r="E41" i="3"/>
  <c r="D41" i="3"/>
  <c r="C41" i="3"/>
  <c r="O40" i="3"/>
  <c r="N40" i="3"/>
  <c r="M40" i="3"/>
  <c r="L40" i="3"/>
  <c r="K40" i="3"/>
  <c r="J40" i="3"/>
  <c r="I40" i="3"/>
  <c r="H40" i="3"/>
  <c r="G40" i="3"/>
  <c r="F40" i="3"/>
  <c r="E40" i="3"/>
  <c r="D40" i="3"/>
  <c r="C40" i="3"/>
  <c r="O39" i="3"/>
  <c r="N39" i="3"/>
  <c r="M39" i="3"/>
  <c r="L39" i="3"/>
  <c r="K39" i="3"/>
  <c r="J39" i="3"/>
  <c r="I39" i="3"/>
  <c r="H39" i="3"/>
  <c r="G39" i="3"/>
  <c r="F39" i="3"/>
  <c r="E39" i="3"/>
  <c r="D39" i="3"/>
  <c r="C39" i="3"/>
  <c r="O38" i="3"/>
  <c r="N38" i="3"/>
  <c r="M38" i="3"/>
  <c r="L38" i="3"/>
  <c r="K38" i="3"/>
  <c r="J38" i="3"/>
  <c r="I38" i="3"/>
  <c r="H38" i="3"/>
  <c r="G38" i="3"/>
  <c r="F38" i="3"/>
  <c r="E38" i="3"/>
  <c r="D38" i="3"/>
  <c r="C38" i="3"/>
  <c r="O37" i="3"/>
  <c r="N37" i="3"/>
  <c r="M37" i="3"/>
  <c r="L37" i="3"/>
  <c r="K37" i="3"/>
  <c r="J37" i="3"/>
  <c r="I37" i="3"/>
  <c r="H37" i="3"/>
  <c r="G37" i="3"/>
  <c r="F37" i="3"/>
  <c r="E37" i="3"/>
  <c r="D37" i="3"/>
  <c r="C37" i="3"/>
  <c r="O36" i="3"/>
  <c r="N36" i="3"/>
  <c r="M36" i="3"/>
  <c r="L36" i="3"/>
  <c r="K36" i="3"/>
  <c r="J36" i="3"/>
  <c r="I36" i="3"/>
  <c r="H36" i="3"/>
  <c r="G36" i="3"/>
  <c r="F36" i="3"/>
  <c r="E36" i="3"/>
  <c r="D36" i="3"/>
  <c r="C36" i="3"/>
  <c r="O35" i="3"/>
  <c r="N35" i="3"/>
  <c r="M35" i="3"/>
  <c r="L35" i="3"/>
  <c r="K35" i="3"/>
  <c r="J35" i="3"/>
  <c r="I35" i="3"/>
  <c r="H35" i="3"/>
  <c r="G35" i="3"/>
  <c r="F35" i="3"/>
  <c r="E35" i="3"/>
  <c r="D35" i="3"/>
  <c r="C35" i="3"/>
  <c r="O34" i="3"/>
  <c r="N34" i="3"/>
  <c r="M34" i="3"/>
  <c r="L34" i="3"/>
  <c r="K34" i="3"/>
  <c r="J34" i="3"/>
  <c r="I34" i="3"/>
  <c r="H34" i="3"/>
  <c r="G34" i="3"/>
  <c r="F34" i="3"/>
  <c r="E34" i="3"/>
  <c r="D34" i="3"/>
  <c r="C34" i="3"/>
  <c r="O33" i="3"/>
  <c r="N33" i="3"/>
  <c r="M33" i="3"/>
  <c r="L33" i="3"/>
  <c r="K33" i="3"/>
  <c r="J33" i="3"/>
  <c r="I33" i="3"/>
  <c r="H33" i="3"/>
  <c r="G33" i="3"/>
  <c r="F33" i="3"/>
  <c r="E33" i="3"/>
  <c r="D33" i="3"/>
  <c r="C33" i="3"/>
  <c r="O32" i="3"/>
  <c r="N32" i="3"/>
  <c r="M32" i="3"/>
  <c r="L32" i="3"/>
  <c r="K32" i="3"/>
  <c r="J32" i="3"/>
  <c r="I32" i="3"/>
  <c r="H32" i="3"/>
  <c r="G32" i="3"/>
  <c r="F32" i="3"/>
  <c r="E32" i="3"/>
  <c r="D32" i="3"/>
  <c r="C32" i="3"/>
  <c r="O31" i="3"/>
  <c r="N31" i="3"/>
  <c r="M31" i="3"/>
  <c r="L31" i="3"/>
  <c r="K31" i="3"/>
  <c r="J31" i="3"/>
  <c r="I31" i="3"/>
  <c r="H31" i="3"/>
  <c r="G31" i="3"/>
  <c r="F31" i="3"/>
  <c r="E31" i="3"/>
  <c r="D31" i="3"/>
  <c r="C31" i="3"/>
  <c r="O30" i="3"/>
  <c r="N30" i="3"/>
  <c r="M30" i="3"/>
  <c r="L30" i="3"/>
  <c r="K30" i="3"/>
  <c r="J30" i="3"/>
  <c r="I30" i="3"/>
  <c r="H30" i="3"/>
  <c r="G30" i="3"/>
  <c r="F30" i="3"/>
  <c r="E30" i="3"/>
  <c r="D30" i="3"/>
  <c r="C30" i="3"/>
  <c r="O29" i="3"/>
  <c r="N29" i="3"/>
  <c r="M29" i="3"/>
  <c r="L29" i="3"/>
  <c r="K29" i="3"/>
  <c r="J29" i="3"/>
  <c r="I29" i="3"/>
  <c r="H29" i="3"/>
  <c r="G29" i="3"/>
  <c r="F29" i="3"/>
  <c r="E29" i="3"/>
  <c r="D29" i="3"/>
  <c r="C29" i="3"/>
  <c r="O28" i="3"/>
  <c r="N28" i="3"/>
  <c r="M28" i="3"/>
  <c r="L28" i="3"/>
  <c r="K28" i="3"/>
  <c r="J28" i="3"/>
  <c r="I28" i="3"/>
  <c r="H28" i="3"/>
  <c r="G28" i="3"/>
  <c r="F28" i="3"/>
  <c r="E28" i="3"/>
  <c r="D28" i="3"/>
  <c r="C28" i="3"/>
  <c r="O27" i="3"/>
  <c r="N27" i="3"/>
  <c r="M27" i="3"/>
  <c r="L27" i="3"/>
  <c r="K27" i="3"/>
  <c r="J27" i="3"/>
  <c r="I27" i="3"/>
  <c r="H27" i="3"/>
  <c r="G27" i="3"/>
  <c r="F27" i="3"/>
  <c r="E27" i="3"/>
  <c r="D27" i="3"/>
  <c r="C27" i="3"/>
  <c r="O26" i="3"/>
  <c r="N26" i="3"/>
  <c r="M26" i="3"/>
  <c r="L26" i="3"/>
  <c r="K26" i="3"/>
  <c r="J26" i="3"/>
  <c r="I26" i="3"/>
  <c r="H26" i="3"/>
  <c r="G26" i="3"/>
  <c r="F26" i="3"/>
  <c r="E26" i="3"/>
  <c r="D26" i="3"/>
  <c r="C26" i="3"/>
  <c r="O25" i="3"/>
  <c r="N25" i="3"/>
  <c r="M25" i="3"/>
  <c r="L25" i="3"/>
  <c r="K25" i="3"/>
  <c r="J25" i="3"/>
  <c r="I25" i="3"/>
  <c r="H25" i="3"/>
  <c r="G25" i="3"/>
  <c r="F25" i="3"/>
  <c r="E25" i="3"/>
  <c r="D25" i="3"/>
  <c r="C25" i="3"/>
  <c r="P234" i="1"/>
  <c r="B234" i="3" s="1"/>
  <c r="P233" i="1"/>
  <c r="P229" i="1"/>
  <c r="B229" i="3" s="1"/>
  <c r="P228" i="1"/>
  <c r="P227" i="1"/>
  <c r="B227" i="4" s="1"/>
  <c r="P226" i="1"/>
  <c r="P225" i="1"/>
  <c r="B225" i="3" s="1"/>
  <c r="P224" i="1"/>
  <c r="P223" i="1"/>
  <c r="B223" i="4" s="1"/>
  <c r="P222" i="1"/>
  <c r="P221" i="1"/>
  <c r="B221" i="3" s="1"/>
  <c r="P220" i="1"/>
  <c r="P219" i="1"/>
  <c r="B219" i="4" s="1"/>
  <c r="P218" i="1"/>
  <c r="P217" i="1"/>
  <c r="B217" i="3" s="1"/>
  <c r="P216" i="1"/>
  <c r="P215" i="1"/>
  <c r="B215" i="4" s="1"/>
  <c r="P214" i="1"/>
  <c r="P213" i="1"/>
  <c r="B213" i="3" s="1"/>
  <c r="P212" i="1"/>
  <c r="P211" i="1"/>
  <c r="B211" i="4" s="1"/>
  <c r="P210" i="1"/>
  <c r="P209" i="1"/>
  <c r="B209" i="3" s="1"/>
  <c r="P208" i="1"/>
  <c r="P207" i="1"/>
  <c r="B207" i="4" s="1"/>
  <c r="P206" i="1"/>
  <c r="P205" i="1"/>
  <c r="B205" i="3" s="1"/>
  <c r="P204" i="1"/>
  <c r="P203" i="1"/>
  <c r="B203" i="4" s="1"/>
  <c r="P202" i="1"/>
  <c r="P201" i="1"/>
  <c r="B201" i="3" s="1"/>
  <c r="P200" i="1"/>
  <c r="P199" i="1"/>
  <c r="B199" i="4" s="1"/>
  <c r="P198" i="1"/>
  <c r="P197" i="1"/>
  <c r="B197" i="3" s="1"/>
  <c r="P196" i="1"/>
  <c r="P195" i="1"/>
  <c r="B195" i="4" s="1"/>
  <c r="P194" i="1"/>
  <c r="P193" i="1"/>
  <c r="B193" i="3" s="1"/>
  <c r="P192" i="1"/>
  <c r="P191" i="1"/>
  <c r="B191" i="3" s="1"/>
  <c r="P190" i="1"/>
  <c r="P189" i="1"/>
  <c r="B189" i="4" s="1"/>
  <c r="P188" i="1"/>
  <c r="P187" i="1"/>
  <c r="B187" i="3" s="1"/>
  <c r="P186" i="1"/>
  <c r="P185" i="1"/>
  <c r="B185" i="4" s="1"/>
  <c r="P184" i="1"/>
  <c r="P183" i="1"/>
  <c r="B183" i="3" s="1"/>
  <c r="P182" i="1"/>
  <c r="P181" i="1"/>
  <c r="B181" i="4" s="1"/>
  <c r="P180" i="1"/>
  <c r="P179" i="1"/>
  <c r="B179" i="3" s="1"/>
  <c r="P178" i="1"/>
  <c r="P177" i="1"/>
  <c r="B177" i="4" s="1"/>
  <c r="P176" i="1"/>
  <c r="P175" i="1"/>
  <c r="B175" i="3" s="1"/>
  <c r="P174" i="1"/>
  <c r="P173" i="1"/>
  <c r="P172" i="1"/>
  <c r="P171" i="1"/>
  <c r="B171" i="3" s="1"/>
  <c r="P170" i="1"/>
  <c r="P169" i="1"/>
  <c r="B169" i="4" s="1"/>
  <c r="P168" i="1"/>
  <c r="P167" i="1"/>
  <c r="B167" i="3" s="1"/>
  <c r="P166" i="1"/>
  <c r="P165" i="1"/>
  <c r="B165" i="4" s="1"/>
  <c r="P164" i="1"/>
  <c r="P163" i="1"/>
  <c r="B163" i="3" s="1"/>
  <c r="P162" i="1"/>
  <c r="P161" i="1"/>
  <c r="B161" i="4" s="1"/>
  <c r="P160" i="1"/>
  <c r="P159" i="1"/>
  <c r="B159" i="3" s="1"/>
  <c r="P158" i="1"/>
  <c r="P157" i="1"/>
  <c r="B157" i="4" s="1"/>
  <c r="P156" i="1"/>
  <c r="P155" i="1"/>
  <c r="B155" i="3" s="1"/>
  <c r="P154" i="1"/>
  <c r="P153" i="1"/>
  <c r="P152" i="1"/>
  <c r="P151" i="1"/>
  <c r="B151" i="3" s="1"/>
  <c r="P150" i="1"/>
  <c r="P149" i="1"/>
  <c r="B149" i="4" s="1"/>
  <c r="P148" i="1"/>
  <c r="P147" i="1"/>
  <c r="B147" i="3" s="1"/>
  <c r="P146" i="1"/>
  <c r="P145" i="1"/>
  <c r="B145" i="4" s="1"/>
  <c r="P144" i="1"/>
  <c r="P143" i="1"/>
  <c r="B143" i="3" s="1"/>
  <c r="P142" i="1"/>
  <c r="P141" i="1"/>
  <c r="B141" i="4" s="1"/>
  <c r="P140" i="1"/>
  <c r="P139" i="1"/>
  <c r="B139" i="3" s="1"/>
  <c r="P138" i="1"/>
  <c r="P137" i="1"/>
  <c r="B137" i="4" s="1"/>
  <c r="P136" i="1"/>
  <c r="P135" i="1"/>
  <c r="B135" i="3" s="1"/>
  <c r="P134" i="1"/>
  <c r="P133" i="1"/>
  <c r="B133" i="4" s="1"/>
  <c r="P132" i="1"/>
  <c r="P131" i="1"/>
  <c r="B131" i="3" s="1"/>
  <c r="B133" i="3" l="1"/>
  <c r="B137" i="3"/>
  <c r="B141" i="3"/>
  <c r="B145" i="3"/>
  <c r="B149" i="3"/>
  <c r="B157" i="3"/>
  <c r="B161" i="3"/>
  <c r="B165" i="3"/>
  <c r="B169" i="3"/>
  <c r="B177" i="3"/>
  <c r="B181" i="3"/>
  <c r="B185" i="3"/>
  <c r="B189" i="3"/>
  <c r="B195" i="3"/>
  <c r="B199" i="3"/>
  <c r="B203" i="3"/>
  <c r="B207" i="3"/>
  <c r="B211" i="3"/>
  <c r="B215" i="3"/>
  <c r="B219" i="3"/>
  <c r="B223" i="3"/>
  <c r="B227" i="3"/>
  <c r="B131" i="4"/>
  <c r="B135" i="4"/>
  <c r="B139" i="4"/>
  <c r="B143" i="4"/>
  <c r="B147" i="4"/>
  <c r="B151" i="4"/>
  <c r="B155" i="4"/>
  <c r="B159" i="4"/>
  <c r="B163" i="4"/>
  <c r="B167" i="4"/>
  <c r="B171" i="4"/>
  <c r="B175" i="4"/>
  <c r="B179" i="4"/>
  <c r="B183" i="4"/>
  <c r="B187" i="4"/>
  <c r="B191" i="4"/>
  <c r="B193" i="4"/>
  <c r="B197" i="4"/>
  <c r="B201" i="4"/>
  <c r="B205" i="4"/>
  <c r="B209" i="4"/>
  <c r="B213" i="4"/>
  <c r="B217" i="4"/>
  <c r="B221" i="4"/>
  <c r="B225" i="4"/>
  <c r="B229" i="4"/>
  <c r="B234" i="4"/>
  <c r="B132" i="21"/>
  <c r="B132" i="22"/>
  <c r="B132" i="23"/>
  <c r="B134" i="21"/>
  <c r="B134" i="22"/>
  <c r="B134" i="23"/>
  <c r="B136" i="21"/>
  <c r="B136" i="22"/>
  <c r="B136" i="23"/>
  <c r="B138" i="21"/>
  <c r="B138" i="22"/>
  <c r="B138" i="23"/>
  <c r="B140" i="21"/>
  <c r="B140" i="22"/>
  <c r="B140" i="23"/>
  <c r="B142" i="21"/>
  <c r="B142" i="22"/>
  <c r="B142" i="23"/>
  <c r="B144" i="21"/>
  <c r="B144" i="22"/>
  <c r="B144" i="23"/>
  <c r="B146" i="21"/>
  <c r="B146" i="22"/>
  <c r="B146" i="23"/>
  <c r="B148" i="21"/>
  <c r="B148" i="22"/>
  <c r="B148" i="23"/>
  <c r="B150" i="21"/>
  <c r="B150" i="22"/>
  <c r="B150" i="23"/>
  <c r="B152" i="21"/>
  <c r="B152" i="22"/>
  <c r="B152" i="23"/>
  <c r="B154" i="21"/>
  <c r="B154" i="22"/>
  <c r="B154" i="23"/>
  <c r="B156" i="21"/>
  <c r="B156" i="22"/>
  <c r="B156" i="23"/>
  <c r="B158" i="21"/>
  <c r="B158" i="22"/>
  <c r="B158" i="23"/>
  <c r="B160" i="21"/>
  <c r="B160" i="22"/>
  <c r="B160" i="23"/>
  <c r="B162" i="21"/>
  <c r="B162" i="22"/>
  <c r="B162" i="23"/>
  <c r="B164" i="21"/>
  <c r="B164" i="22"/>
  <c r="B164" i="23"/>
  <c r="B166" i="21"/>
  <c r="B166" i="22"/>
  <c r="B166" i="23"/>
  <c r="B168" i="21"/>
  <c r="B168" i="22"/>
  <c r="B168" i="23"/>
  <c r="B170" i="21"/>
  <c r="B170" i="22"/>
  <c r="B170" i="23"/>
  <c r="B172" i="21"/>
  <c r="B172" i="22"/>
  <c r="B172" i="23"/>
  <c r="B174" i="21"/>
  <c r="B174" i="22"/>
  <c r="B174" i="23"/>
  <c r="B176" i="21"/>
  <c r="B176" i="22"/>
  <c r="B176" i="23"/>
  <c r="B178" i="21"/>
  <c r="B178" i="22"/>
  <c r="B178" i="23"/>
  <c r="B180" i="21"/>
  <c r="B180" i="22"/>
  <c r="B180" i="23"/>
  <c r="B182" i="21"/>
  <c r="B182" i="22"/>
  <c r="B182" i="23"/>
  <c r="B184" i="21"/>
  <c r="B184" i="22"/>
  <c r="B184" i="23"/>
  <c r="B186" i="21"/>
  <c r="B186" i="22"/>
  <c r="B186" i="23"/>
  <c r="B188" i="21"/>
  <c r="B188" i="22"/>
  <c r="B188" i="23"/>
  <c r="B190" i="21"/>
  <c r="B190" i="22"/>
  <c r="B190" i="23"/>
  <c r="B194" i="21"/>
  <c r="B194" i="22"/>
  <c r="B194" i="23"/>
  <c r="B196" i="21"/>
  <c r="B196" i="22"/>
  <c r="B196" i="23"/>
  <c r="B198" i="21"/>
  <c r="B198" i="22"/>
  <c r="B198" i="23"/>
  <c r="B200" i="21"/>
  <c r="B200" i="22"/>
  <c r="B200" i="23"/>
  <c r="B202" i="21"/>
  <c r="B202" i="22"/>
  <c r="B202" i="23"/>
  <c r="B204" i="21"/>
  <c r="B204" i="22"/>
  <c r="B204" i="23"/>
  <c r="B206" i="21"/>
  <c r="B206" i="22"/>
  <c r="B206" i="23"/>
  <c r="B208" i="21"/>
  <c r="B208" i="22"/>
  <c r="B208" i="23"/>
  <c r="B210" i="21"/>
  <c r="B210" i="22"/>
  <c r="B210" i="23"/>
  <c r="B212" i="21"/>
  <c r="B212" i="22"/>
  <c r="B212" i="23"/>
  <c r="B214" i="21"/>
  <c r="B214" i="22"/>
  <c r="B214" i="23"/>
  <c r="B216" i="21"/>
  <c r="B216" i="22"/>
  <c r="B216" i="23"/>
  <c r="B218" i="21"/>
  <c r="B218" i="22"/>
  <c r="B218" i="23"/>
  <c r="B220" i="21"/>
  <c r="B220" i="22"/>
  <c r="B220" i="23"/>
  <c r="B222" i="21"/>
  <c r="B222" i="22"/>
  <c r="B222" i="23"/>
  <c r="B224" i="21"/>
  <c r="B224" i="22"/>
  <c r="B224" i="23"/>
  <c r="B226" i="21"/>
  <c r="B226" i="22"/>
  <c r="B226" i="23"/>
  <c r="B228" i="21"/>
  <c r="B228" i="22"/>
  <c r="B228" i="23"/>
  <c r="B233" i="21"/>
  <c r="B233" i="22"/>
  <c r="B233" i="23"/>
  <c r="B233" i="4"/>
  <c r="B233" i="3"/>
  <c r="B132" i="3"/>
  <c r="B134" i="3"/>
  <c r="B136" i="3"/>
  <c r="B138" i="3"/>
  <c r="B140" i="3"/>
  <c r="B142" i="3"/>
  <c r="B144" i="3"/>
  <c r="B146" i="3"/>
  <c r="B148" i="3"/>
  <c r="B150" i="3"/>
  <c r="B152" i="3"/>
  <c r="B154" i="3"/>
  <c r="B156" i="3"/>
  <c r="B158" i="3"/>
  <c r="B160" i="3"/>
  <c r="B162" i="3"/>
  <c r="B164" i="3"/>
  <c r="B166" i="3"/>
  <c r="B168" i="3"/>
  <c r="B170" i="3"/>
  <c r="B172" i="3"/>
  <c r="B174" i="3"/>
  <c r="B176" i="3"/>
  <c r="B178" i="3"/>
  <c r="B180" i="3"/>
  <c r="B182" i="3"/>
  <c r="B184" i="3"/>
  <c r="B186" i="3"/>
  <c r="B188" i="3"/>
  <c r="B190" i="3"/>
  <c r="B194" i="3"/>
  <c r="B196" i="3"/>
  <c r="B198" i="3"/>
  <c r="B200" i="3"/>
  <c r="B202" i="3"/>
  <c r="B204" i="3"/>
  <c r="B206" i="3"/>
  <c r="B208" i="3"/>
  <c r="B210" i="3"/>
  <c r="B212" i="3"/>
  <c r="B214" i="3"/>
  <c r="B216" i="3"/>
  <c r="B218" i="3"/>
  <c r="B220" i="3"/>
  <c r="B222" i="3"/>
  <c r="B224" i="3"/>
  <c r="B226" i="3"/>
  <c r="B228" i="3"/>
  <c r="B132" i="4"/>
  <c r="B134" i="4"/>
  <c r="B136" i="4"/>
  <c r="B138" i="4"/>
  <c r="B140" i="4"/>
  <c r="B142" i="4"/>
  <c r="B144" i="4"/>
  <c r="B146" i="4"/>
  <c r="B148" i="4"/>
  <c r="B150" i="4"/>
  <c r="B152" i="4"/>
  <c r="B154" i="4"/>
  <c r="B156" i="4"/>
  <c r="B158" i="4"/>
  <c r="B160" i="4"/>
  <c r="B162" i="4"/>
  <c r="B164" i="4"/>
  <c r="B166" i="4"/>
  <c r="B168" i="4"/>
  <c r="B170" i="4"/>
  <c r="B172" i="4"/>
  <c r="B174" i="4"/>
  <c r="B176" i="4"/>
  <c r="B178" i="4"/>
  <c r="B180" i="4"/>
  <c r="B182" i="4"/>
  <c r="B184" i="4"/>
  <c r="B186" i="4"/>
  <c r="B188" i="4"/>
  <c r="B190" i="4"/>
  <c r="B194" i="4"/>
  <c r="B196" i="4"/>
  <c r="B198" i="4"/>
  <c r="B200" i="4"/>
  <c r="B202" i="4"/>
  <c r="B204" i="4"/>
  <c r="B206" i="4"/>
  <c r="B208" i="4"/>
  <c r="B210" i="4"/>
  <c r="B212" i="4"/>
  <c r="B214" i="4"/>
  <c r="B216" i="4"/>
  <c r="B218" i="4"/>
  <c r="B220" i="4"/>
  <c r="B222" i="4"/>
  <c r="B224" i="4"/>
  <c r="B226" i="4"/>
  <c r="B228" i="4"/>
  <c r="B131" i="21"/>
  <c r="B131" i="22"/>
  <c r="B131" i="23"/>
  <c r="B133" i="21"/>
  <c r="B133" i="22"/>
  <c r="B133" i="23"/>
  <c r="B135" i="21"/>
  <c r="B135" i="22"/>
  <c r="B135" i="23"/>
  <c r="B137" i="21"/>
  <c r="B137" i="22"/>
  <c r="B137" i="23"/>
  <c r="B139" i="21"/>
  <c r="B139" i="22"/>
  <c r="B139" i="23"/>
  <c r="B141" i="21"/>
  <c r="B141" i="22"/>
  <c r="B141" i="23"/>
  <c r="B143" i="21"/>
  <c r="B143" i="22"/>
  <c r="B143" i="23"/>
  <c r="B145" i="21"/>
  <c r="B145" i="22"/>
  <c r="B145" i="23"/>
  <c r="B147" i="21"/>
  <c r="B147" i="22"/>
  <c r="B147" i="23"/>
  <c r="B149" i="21"/>
  <c r="B149" i="22"/>
  <c r="B149" i="23"/>
  <c r="B151" i="21"/>
  <c r="B151" i="22"/>
  <c r="B151" i="23"/>
  <c r="B155" i="21"/>
  <c r="B155" i="22"/>
  <c r="B155" i="23"/>
  <c r="B157" i="21"/>
  <c r="B157" i="22"/>
  <c r="B157" i="23"/>
  <c r="B159" i="21"/>
  <c r="B159" i="22"/>
  <c r="B159" i="23"/>
  <c r="B161" i="21"/>
  <c r="B161" i="22"/>
  <c r="B161" i="23"/>
  <c r="B163" i="21"/>
  <c r="B163" i="22"/>
  <c r="B163" i="23"/>
  <c r="B165" i="21"/>
  <c r="B165" i="22"/>
  <c r="B165" i="23"/>
  <c r="B167" i="21"/>
  <c r="B167" i="22"/>
  <c r="B167" i="23"/>
  <c r="B169" i="21"/>
  <c r="B169" i="22"/>
  <c r="B169" i="23"/>
  <c r="B171" i="21"/>
  <c r="B171" i="22"/>
  <c r="B171" i="23"/>
  <c r="B175" i="21"/>
  <c r="B175" i="22"/>
  <c r="B175" i="23"/>
  <c r="B177" i="21"/>
  <c r="B177" i="22"/>
  <c r="B177" i="23"/>
  <c r="B179" i="21"/>
  <c r="B179" i="22"/>
  <c r="B179" i="23"/>
  <c r="B181" i="21"/>
  <c r="B181" i="22"/>
  <c r="B181" i="23"/>
  <c r="B183" i="21"/>
  <c r="B183" i="22"/>
  <c r="B183" i="23"/>
  <c r="B185" i="21"/>
  <c r="B185" i="22"/>
  <c r="B185" i="23"/>
  <c r="B187" i="21"/>
  <c r="B187" i="22"/>
  <c r="B187" i="23"/>
  <c r="B189" i="21"/>
  <c r="B189" i="22"/>
  <c r="B189" i="23"/>
  <c r="B191" i="21"/>
  <c r="B191" i="22"/>
  <c r="B191" i="23"/>
  <c r="B193" i="21"/>
  <c r="B193" i="22"/>
  <c r="B193" i="23"/>
  <c r="B195" i="21"/>
  <c r="B195" i="22"/>
  <c r="B195" i="23"/>
  <c r="B197" i="21"/>
  <c r="B197" i="22"/>
  <c r="B197" i="23"/>
  <c r="B199" i="21"/>
  <c r="B199" i="22"/>
  <c r="B199" i="23"/>
  <c r="B201" i="21"/>
  <c r="B201" i="22"/>
  <c r="B201" i="23"/>
  <c r="B203" i="21"/>
  <c r="B203" i="22"/>
  <c r="B203" i="23"/>
  <c r="B205" i="21"/>
  <c r="B205" i="22"/>
  <c r="B205" i="23"/>
  <c r="B207" i="21"/>
  <c r="B207" i="22"/>
  <c r="B207" i="23"/>
  <c r="B209" i="21"/>
  <c r="B209" i="22"/>
  <c r="B209" i="23"/>
  <c r="B211" i="21"/>
  <c r="B211" i="22"/>
  <c r="B211" i="23"/>
  <c r="B213" i="21"/>
  <c r="B213" i="22"/>
  <c r="B213" i="23"/>
  <c r="B215" i="21"/>
  <c r="B215" i="22"/>
  <c r="B215" i="23"/>
  <c r="B217" i="21"/>
  <c r="B217" i="22"/>
  <c r="B217" i="23"/>
  <c r="B219" i="21"/>
  <c r="B219" i="22"/>
  <c r="B219" i="23"/>
  <c r="B221" i="21"/>
  <c r="B221" i="22"/>
  <c r="B221" i="23"/>
  <c r="B223" i="21"/>
  <c r="B223" i="22"/>
  <c r="B223" i="23"/>
  <c r="B225" i="21"/>
  <c r="B225" i="22"/>
  <c r="B225" i="23"/>
  <c r="B227" i="21"/>
  <c r="B227" i="22"/>
  <c r="B227" i="23"/>
  <c r="B229" i="21"/>
  <c r="B229" i="22"/>
  <c r="B229" i="23"/>
  <c r="B234" i="21"/>
  <c r="B234" i="22"/>
  <c r="B234" i="23"/>
  <c r="P68" i="22"/>
  <c r="P69" i="22"/>
  <c r="P70" i="22"/>
  <c r="P72" i="22"/>
  <c r="P73" i="22"/>
  <c r="P74" i="22"/>
  <c r="P77" i="22"/>
  <c r="P78" i="22"/>
  <c r="P80" i="22"/>
  <c r="P81" i="22"/>
  <c r="P82" i="22"/>
  <c r="P84" i="22"/>
  <c r="P85" i="22"/>
  <c r="P86" i="22"/>
  <c r="P87" i="22"/>
  <c r="P88" i="22"/>
  <c r="P89" i="22"/>
  <c r="P90" i="22"/>
  <c r="P91" i="22"/>
  <c r="P92" i="22"/>
  <c r="P93" i="22"/>
  <c r="P94" i="22"/>
  <c r="P95" i="22"/>
  <c r="P96" i="22"/>
  <c r="P97" i="22"/>
  <c r="P98" i="22"/>
  <c r="P99" i="22"/>
  <c r="P100" i="22"/>
  <c r="P101" i="22"/>
  <c r="P102" i="22"/>
  <c r="P103" i="22"/>
  <c r="P104" i="22"/>
  <c r="P105" i="22"/>
  <c r="P106" i="22"/>
  <c r="P107" i="22"/>
  <c r="P108" i="22"/>
  <c r="P109" i="22"/>
  <c r="P110" i="22"/>
  <c r="P111" i="22"/>
  <c r="P112" i="22"/>
  <c r="P114" i="22"/>
  <c r="P115" i="22"/>
  <c r="P116" i="22"/>
  <c r="P117" i="22"/>
  <c r="P118" i="22"/>
  <c r="P119" i="22"/>
  <c r="P121" i="22"/>
  <c r="P123" i="22"/>
  <c r="P124" i="22"/>
  <c r="P126" i="22"/>
  <c r="P127" i="22"/>
  <c r="P129" i="22"/>
  <c r="P130" i="22"/>
  <c r="P131" i="22"/>
  <c r="P132" i="22"/>
  <c r="P133" i="22"/>
  <c r="P134" i="22"/>
  <c r="P135" i="22"/>
  <c r="P137" i="22"/>
  <c r="P138" i="22"/>
  <c r="P139" i="22"/>
  <c r="P140" i="22"/>
  <c r="P141" i="22"/>
  <c r="P142" i="22"/>
  <c r="P143" i="22"/>
  <c r="P144" i="22"/>
  <c r="P145" i="22"/>
  <c r="P147" i="22"/>
  <c r="P148" i="22"/>
  <c r="P150" i="22"/>
  <c r="P151" i="22"/>
  <c r="P153" i="22"/>
  <c r="P155" i="22"/>
  <c r="P156" i="22"/>
  <c r="P159" i="22"/>
  <c r="P160" i="22"/>
  <c r="P162" i="22"/>
  <c r="P163" i="22"/>
  <c r="P164" i="22"/>
  <c r="P167" i="22"/>
  <c r="P168" i="22"/>
  <c r="P169" i="22"/>
  <c r="P170" i="22"/>
  <c r="P171" i="22"/>
  <c r="P172" i="22"/>
  <c r="P173" i="22"/>
  <c r="P175" i="22"/>
  <c r="P176" i="22"/>
  <c r="P177" i="22"/>
  <c r="P178" i="22"/>
  <c r="P179" i="22"/>
  <c r="P180" i="22"/>
  <c r="P181" i="22"/>
  <c r="P183" i="22"/>
  <c r="P185" i="22"/>
  <c r="P186" i="22"/>
  <c r="P187" i="22"/>
  <c r="P188" i="22"/>
  <c r="P189" i="22"/>
  <c r="P190" i="22"/>
  <c r="P191" i="22"/>
  <c r="P90" i="21"/>
  <c r="P92" i="21"/>
  <c r="P93" i="21"/>
  <c r="P94" i="21"/>
  <c r="P96" i="21"/>
  <c r="P97" i="21"/>
  <c r="P98" i="21"/>
  <c r="P100" i="21"/>
  <c r="P101" i="21"/>
  <c r="P102" i="21"/>
  <c r="P104" i="21"/>
  <c r="P105" i="21"/>
  <c r="P106" i="21"/>
  <c r="P108" i="21"/>
  <c r="P109" i="21"/>
  <c r="P110" i="21"/>
  <c r="P112" i="21"/>
  <c r="P114" i="21"/>
  <c r="P116" i="21"/>
  <c r="P117" i="21"/>
  <c r="P118" i="21"/>
  <c r="P121" i="21"/>
  <c r="P124" i="21"/>
  <c r="P126" i="21"/>
  <c r="P129" i="21"/>
  <c r="P130" i="21"/>
  <c r="P132" i="21"/>
  <c r="P133" i="21"/>
  <c r="P134" i="21"/>
  <c r="P137" i="21"/>
  <c r="P138" i="21"/>
  <c r="P140" i="21"/>
  <c r="P141" i="21"/>
  <c r="P142" i="21"/>
  <c r="P144" i="21"/>
  <c r="P145" i="21"/>
  <c r="P148" i="21"/>
  <c r="P150" i="21"/>
  <c r="P153" i="21"/>
  <c r="P156" i="21"/>
  <c r="P160" i="21"/>
  <c r="P162" i="21"/>
  <c r="P164" i="21"/>
  <c r="P168" i="21"/>
  <c r="P169" i="21"/>
  <c r="P170" i="21"/>
  <c r="P172" i="21"/>
  <c r="P173" i="21"/>
  <c r="P176" i="21"/>
  <c r="P177" i="21"/>
  <c r="P178" i="21"/>
  <c r="P180" i="21"/>
  <c r="P181" i="21"/>
  <c r="P185" i="21"/>
  <c r="P186" i="21"/>
  <c r="P188" i="21"/>
  <c r="P189" i="21"/>
  <c r="P190" i="21"/>
  <c r="P192" i="21"/>
  <c r="P194" i="21"/>
  <c r="P198" i="21"/>
  <c r="P200" i="21"/>
  <c r="P201" i="21"/>
  <c r="P202" i="21"/>
  <c r="P204" i="21"/>
  <c r="P206" i="21"/>
  <c r="P209" i="21"/>
  <c r="P213" i="21"/>
  <c r="P215" i="21"/>
  <c r="P216" i="21"/>
  <c r="P219" i="21"/>
  <c r="P221" i="21"/>
  <c r="P222" i="21"/>
  <c r="P223" i="21"/>
  <c r="P225" i="21"/>
  <c r="P226" i="21"/>
  <c r="P227" i="21"/>
  <c r="P228" i="21"/>
  <c r="P229" i="21"/>
  <c r="P234" i="21"/>
  <c r="P25" i="3"/>
  <c r="P26" i="3"/>
  <c r="P27" i="3"/>
  <c r="P28" i="3"/>
  <c r="P29" i="3"/>
  <c r="P30" i="3"/>
  <c r="P31" i="3"/>
  <c r="P32" i="3"/>
  <c r="P33" i="3"/>
  <c r="P34" i="3"/>
  <c r="P35" i="3"/>
  <c r="P36" i="3"/>
  <c r="P37" i="3"/>
  <c r="P38" i="3"/>
  <c r="P39" i="3"/>
  <c r="P40" i="3"/>
  <c r="P41" i="3"/>
  <c r="P42" i="3"/>
  <c r="P44" i="3"/>
  <c r="P45" i="3"/>
  <c r="P46" i="3"/>
  <c r="P47" i="3"/>
  <c r="P48" i="3"/>
  <c r="P49" i="3"/>
  <c r="P50" i="3"/>
  <c r="P51" i="3"/>
  <c r="P52" i="3"/>
  <c r="P53" i="3"/>
  <c r="P54" i="3"/>
  <c r="P55" i="3"/>
  <c r="P56" i="3"/>
  <c r="P57" i="3"/>
  <c r="P58" i="3"/>
  <c r="P59" i="3"/>
  <c r="P60" i="3"/>
  <c r="P61" i="3"/>
  <c r="P62" i="3"/>
  <c r="P64" i="3"/>
  <c r="P65" i="3"/>
  <c r="P66" i="3"/>
  <c r="P68" i="3"/>
  <c r="P69" i="3"/>
  <c r="P70" i="3"/>
  <c r="P72" i="3"/>
  <c r="P73" i="3"/>
  <c r="P74" i="3"/>
  <c r="P77" i="3"/>
  <c r="P78" i="3"/>
  <c r="P80" i="3"/>
  <c r="P81" i="3"/>
  <c r="P82" i="3"/>
  <c r="P84" i="3"/>
  <c r="P85" i="3"/>
  <c r="P86" i="3"/>
  <c r="P88" i="3"/>
  <c r="P89" i="3"/>
  <c r="P90" i="3"/>
  <c r="P92" i="3"/>
  <c r="P93" i="3"/>
  <c r="P94"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6" i="3"/>
  <c r="P127" i="3"/>
  <c r="P129" i="3"/>
  <c r="P130" i="3"/>
  <c r="P131" i="3"/>
  <c r="P132" i="3"/>
  <c r="P133" i="3"/>
  <c r="P134" i="3"/>
  <c r="P135" i="3"/>
  <c r="P137" i="3"/>
  <c r="P138" i="3"/>
  <c r="P139" i="3"/>
  <c r="P140" i="3"/>
  <c r="P141" i="3"/>
  <c r="P142" i="3"/>
  <c r="P143" i="3"/>
  <c r="P144" i="3"/>
  <c r="P145" i="3"/>
  <c r="P146" i="3"/>
  <c r="P147" i="3"/>
  <c r="P148" i="3"/>
  <c r="P150" i="3"/>
  <c r="P151" i="3"/>
  <c r="P153" i="3"/>
  <c r="P154" i="3"/>
  <c r="P155" i="3"/>
  <c r="P156" i="3"/>
  <c r="P160" i="3"/>
  <c r="P162" i="3"/>
  <c r="P163" i="3"/>
  <c r="P164" i="3"/>
  <c r="P167" i="3"/>
  <c r="P168" i="3"/>
  <c r="P169" i="3"/>
  <c r="P170" i="3"/>
  <c r="P171" i="3"/>
  <c r="P172" i="3"/>
  <c r="P173" i="3"/>
  <c r="P175" i="3"/>
  <c r="P176" i="3"/>
  <c r="P177" i="3"/>
  <c r="P178" i="3"/>
  <c r="P179" i="3"/>
  <c r="P180" i="3"/>
  <c r="P181" i="3"/>
  <c r="P183" i="3"/>
  <c r="P185" i="3"/>
  <c r="P186" i="3"/>
  <c r="P187" i="3"/>
  <c r="P188" i="3"/>
  <c r="P189" i="3"/>
  <c r="P190" i="3"/>
  <c r="P191" i="3"/>
  <c r="P192" i="3"/>
  <c r="P194" i="3"/>
  <c r="P195" i="3"/>
  <c r="P198" i="3"/>
  <c r="P199" i="3"/>
  <c r="P200" i="3"/>
  <c r="P201" i="3"/>
  <c r="P202" i="3"/>
  <c r="P204" i="3"/>
  <c r="P206" i="3"/>
  <c r="P209" i="3"/>
  <c r="P210" i="3"/>
  <c r="P211" i="3"/>
  <c r="P213" i="3"/>
  <c r="P215" i="3"/>
  <c r="P216" i="3"/>
  <c r="P217" i="3"/>
  <c r="P219" i="3"/>
  <c r="P221" i="3"/>
  <c r="P222" i="3"/>
  <c r="P223" i="3"/>
  <c r="P225" i="3"/>
  <c r="P226" i="3"/>
  <c r="P227" i="3"/>
  <c r="P228" i="3"/>
  <c r="P229" i="3"/>
  <c r="P234" i="3"/>
  <c r="P25" i="4"/>
  <c r="P26" i="4"/>
  <c r="P27" i="4"/>
  <c r="P28" i="4"/>
  <c r="P29" i="4"/>
  <c r="P30" i="4"/>
  <c r="P31" i="4"/>
  <c r="P32" i="4"/>
  <c r="P33" i="4"/>
  <c r="P34" i="4"/>
  <c r="P35" i="4"/>
  <c r="P36" i="4"/>
  <c r="P37" i="4"/>
  <c r="P38" i="4"/>
  <c r="P39" i="4"/>
  <c r="P40" i="4"/>
  <c r="P41" i="4"/>
  <c r="P42" i="4"/>
  <c r="P44" i="4"/>
  <c r="P45" i="4"/>
  <c r="P46" i="4"/>
  <c r="P47" i="4"/>
  <c r="P48" i="4"/>
  <c r="P49" i="4"/>
  <c r="P50" i="4"/>
  <c r="P51" i="4"/>
  <c r="P52" i="4"/>
  <c r="P53" i="4"/>
  <c r="P54" i="4"/>
  <c r="P55" i="4"/>
  <c r="P56" i="4"/>
  <c r="P57" i="4"/>
  <c r="P58" i="4"/>
  <c r="P59" i="4"/>
  <c r="P60" i="4"/>
  <c r="P61" i="4"/>
  <c r="P63" i="4"/>
  <c r="P64" i="4"/>
  <c r="P65" i="4"/>
  <c r="P67" i="4"/>
  <c r="P68" i="4"/>
  <c r="P69" i="4"/>
  <c r="P71" i="4"/>
  <c r="P72" i="4"/>
  <c r="P73" i="4"/>
  <c r="P75" i="4"/>
  <c r="P77" i="4"/>
  <c r="P79" i="4"/>
  <c r="P80" i="4"/>
  <c r="P81" i="4"/>
  <c r="P83" i="4"/>
  <c r="P84" i="4"/>
  <c r="P85" i="4"/>
  <c r="P87" i="4"/>
  <c r="P88" i="4"/>
  <c r="P89" i="4"/>
  <c r="P91" i="4"/>
  <c r="P92" i="4"/>
  <c r="P93" i="4"/>
  <c r="P95" i="4"/>
  <c r="P96" i="4"/>
  <c r="P97" i="4"/>
  <c r="P99" i="4"/>
  <c r="P100" i="4"/>
  <c r="P101" i="4"/>
  <c r="P103" i="4"/>
  <c r="P104" i="4"/>
  <c r="P105" i="4"/>
  <c r="P107" i="4"/>
  <c r="P108" i="4"/>
  <c r="P109" i="4"/>
  <c r="P111" i="4"/>
  <c r="P112" i="4"/>
  <c r="P115" i="4"/>
  <c r="P116" i="4"/>
  <c r="P117" i="4"/>
  <c r="P119" i="4"/>
  <c r="P120" i="4"/>
  <c r="P121" i="4"/>
  <c r="P123" i="4"/>
  <c r="P124" i="4"/>
  <c r="P127" i="4"/>
  <c r="P129" i="4"/>
  <c r="P131" i="4"/>
  <c r="P132" i="4"/>
  <c r="P133" i="4"/>
  <c r="P135" i="4"/>
  <c r="P137" i="4"/>
  <c r="P139" i="4"/>
  <c r="P140" i="4"/>
  <c r="P141" i="4"/>
  <c r="P143" i="4"/>
  <c r="P144" i="4"/>
  <c r="P145" i="4"/>
  <c r="P147" i="4"/>
  <c r="P148" i="4"/>
  <c r="P150" i="4"/>
  <c r="P153" i="4"/>
  <c r="P155" i="4"/>
  <c r="P156" i="4"/>
  <c r="P157" i="4"/>
  <c r="P158" i="4"/>
  <c r="P160" i="4"/>
  <c r="P162" i="4"/>
  <c r="P163" i="4"/>
  <c r="P164" i="4"/>
  <c r="P166" i="4"/>
  <c r="P167" i="4"/>
  <c r="P168" i="4"/>
  <c r="P169" i="4"/>
  <c r="P170" i="4"/>
  <c r="P171" i="4"/>
  <c r="P172" i="4"/>
  <c r="P173" i="4"/>
  <c r="P175" i="4"/>
  <c r="P176" i="4"/>
  <c r="P177" i="4"/>
  <c r="P178" i="4"/>
  <c r="P179" i="4"/>
  <c r="P180" i="4"/>
  <c r="P181" i="4"/>
  <c r="P183" i="4"/>
  <c r="P185" i="4"/>
  <c r="P186" i="4"/>
  <c r="P187" i="4"/>
  <c r="P188" i="4"/>
  <c r="P189" i="4"/>
  <c r="P190" i="4"/>
  <c r="P191" i="4"/>
  <c r="P192" i="4"/>
  <c r="P194" i="4"/>
  <c r="P195" i="4"/>
  <c r="P198" i="4"/>
  <c r="P199" i="4"/>
  <c r="P200" i="4"/>
  <c r="P201" i="4"/>
  <c r="P202" i="4"/>
  <c r="P203" i="4"/>
  <c r="P204" i="4"/>
  <c r="P206" i="4"/>
  <c r="P207" i="4"/>
  <c r="P209" i="4"/>
  <c r="P210" i="4"/>
  <c r="P211" i="4"/>
  <c r="P213" i="4"/>
  <c r="P215" i="4"/>
  <c r="P216" i="4"/>
  <c r="P217" i="4"/>
  <c r="P219" i="4"/>
  <c r="P221" i="4"/>
  <c r="P222" i="4"/>
  <c r="P223" i="4"/>
  <c r="P225" i="4"/>
  <c r="P226" i="4"/>
  <c r="P227" i="4"/>
  <c r="P228" i="4"/>
  <c r="P229" i="4"/>
  <c r="P234" i="4"/>
  <c r="P25" i="23"/>
  <c r="P26" i="23"/>
  <c r="P27" i="23"/>
  <c r="P28" i="23"/>
  <c r="P29" i="23"/>
  <c r="P30" i="23"/>
  <c r="P31" i="23"/>
  <c r="P32" i="23"/>
  <c r="P33" i="23"/>
  <c r="P34" i="23"/>
  <c r="P35" i="23"/>
  <c r="P36" i="23"/>
  <c r="P37" i="23"/>
  <c r="P38" i="23"/>
  <c r="P39" i="23"/>
  <c r="P40" i="23"/>
  <c r="P41" i="23"/>
  <c r="P42" i="23"/>
  <c r="P44" i="23"/>
  <c r="P45" i="23"/>
  <c r="P46" i="23"/>
  <c r="P47" i="23"/>
  <c r="P48" i="23"/>
  <c r="P49" i="23"/>
  <c r="P50" i="23"/>
  <c r="P51" i="23"/>
  <c r="P52" i="23"/>
  <c r="P53" i="23"/>
  <c r="P54" i="23"/>
  <c r="P55" i="23"/>
  <c r="P56" i="23"/>
  <c r="P57" i="23"/>
  <c r="P58" i="23"/>
  <c r="P59" i="23"/>
  <c r="P60" i="23"/>
  <c r="P61" i="23"/>
  <c r="P63" i="23"/>
  <c r="P64" i="23"/>
  <c r="P65" i="23"/>
  <c r="P67" i="23"/>
  <c r="P68" i="23"/>
  <c r="P69" i="23"/>
  <c r="P71" i="23"/>
  <c r="P72" i="23"/>
  <c r="P73" i="23"/>
  <c r="P75" i="23"/>
  <c r="P77" i="23"/>
  <c r="P79" i="23"/>
  <c r="P80" i="23"/>
  <c r="P81" i="23"/>
  <c r="P83" i="23"/>
  <c r="P84" i="23"/>
  <c r="P85" i="23"/>
  <c r="P87" i="23"/>
  <c r="P88" i="23"/>
  <c r="P89" i="23"/>
  <c r="P91" i="23"/>
  <c r="P92" i="23"/>
  <c r="P93" i="23"/>
  <c r="P95" i="23"/>
  <c r="P96" i="23"/>
  <c r="P97" i="23"/>
  <c r="P99" i="23"/>
  <c r="P100" i="23"/>
  <c r="P101" i="23"/>
  <c r="P103" i="23"/>
  <c r="P104" i="23"/>
  <c r="P105" i="23"/>
  <c r="P107" i="23"/>
  <c r="P108" i="23"/>
  <c r="P109" i="23"/>
  <c r="P111" i="23"/>
  <c r="P112" i="23"/>
  <c r="P115" i="23"/>
  <c r="P116" i="23"/>
  <c r="P117" i="23"/>
  <c r="P119" i="23"/>
  <c r="P120" i="23"/>
  <c r="P121" i="23"/>
  <c r="P123" i="23"/>
  <c r="P124" i="23"/>
  <c r="P127" i="23"/>
  <c r="P129" i="23"/>
  <c r="P131" i="23"/>
  <c r="P132" i="23"/>
  <c r="P133" i="23"/>
  <c r="P135" i="23"/>
  <c r="P137" i="23"/>
  <c r="P139" i="23"/>
  <c r="P140" i="23"/>
  <c r="P141" i="23"/>
  <c r="P143" i="23"/>
  <c r="P144" i="23"/>
  <c r="P145" i="23"/>
  <c r="P147" i="23"/>
  <c r="P148" i="23"/>
  <c r="P66" i="22"/>
  <c r="P153" i="23"/>
  <c r="P155" i="23"/>
  <c r="P156" i="23"/>
  <c r="P160" i="23"/>
  <c r="P163" i="23"/>
  <c r="P164" i="23"/>
  <c r="P167" i="23"/>
  <c r="P168" i="23"/>
  <c r="P169" i="23"/>
  <c r="P171" i="23"/>
  <c r="P172" i="23"/>
  <c r="P173" i="23"/>
  <c r="P175" i="23"/>
  <c r="P176" i="23"/>
  <c r="P177" i="23"/>
  <c r="P179" i="23"/>
  <c r="P180" i="23"/>
  <c r="P181" i="23"/>
  <c r="P183" i="23"/>
  <c r="P185" i="23"/>
  <c r="P187" i="23"/>
  <c r="P188" i="23"/>
  <c r="P189" i="23"/>
  <c r="P191" i="23"/>
  <c r="P192" i="23"/>
  <c r="P195" i="23"/>
  <c r="P199" i="23"/>
  <c r="P200" i="23"/>
  <c r="P201" i="23"/>
  <c r="P204" i="23"/>
  <c r="P209" i="23"/>
  <c r="P211" i="23"/>
  <c r="P212" i="23"/>
  <c r="P213" i="23"/>
  <c r="P215" i="23"/>
  <c r="P216" i="23"/>
  <c r="P219" i="23"/>
  <c r="P221" i="23"/>
  <c r="P223" i="23"/>
  <c r="P225" i="23"/>
  <c r="P227" i="23"/>
  <c r="P228" i="23"/>
  <c r="P229" i="23"/>
  <c r="P234" i="23"/>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P52" i="22"/>
  <c r="P53" i="22"/>
  <c r="P54" i="22"/>
  <c r="P55" i="22"/>
  <c r="P56" i="22"/>
  <c r="P57" i="22"/>
  <c r="P58" i="22"/>
  <c r="P59" i="22"/>
  <c r="P60" i="22"/>
  <c r="P61" i="22"/>
  <c r="P62" i="22"/>
  <c r="P64" i="22"/>
  <c r="P65" i="22"/>
  <c r="P192" i="22"/>
  <c r="P194" i="22"/>
  <c r="P195" i="22"/>
  <c r="P198" i="22"/>
  <c r="P199" i="22"/>
  <c r="P200" i="22"/>
  <c r="P201" i="22"/>
  <c r="P202" i="22"/>
  <c r="P203" i="22"/>
  <c r="P204" i="22"/>
  <c r="P206" i="22"/>
  <c r="P207" i="22"/>
  <c r="P209" i="22"/>
  <c r="P211" i="22"/>
  <c r="P213" i="22"/>
  <c r="P215" i="22"/>
  <c r="P216" i="22"/>
  <c r="P219" i="22"/>
  <c r="P220" i="22"/>
  <c r="P221" i="22"/>
  <c r="P222" i="22"/>
  <c r="P223" i="22"/>
  <c r="P225" i="22"/>
  <c r="P226" i="22"/>
  <c r="P227" i="22"/>
  <c r="P228" i="22"/>
  <c r="P229" i="22"/>
  <c r="P234" i="22"/>
  <c r="P25" i="21"/>
  <c r="P26" i="21"/>
  <c r="P27" i="21"/>
  <c r="P28" i="21"/>
  <c r="P29" i="21"/>
  <c r="P30" i="21"/>
  <c r="P31" i="21"/>
  <c r="P32" i="21"/>
  <c r="P33" i="21"/>
  <c r="P34" i="21"/>
  <c r="P35" i="21"/>
  <c r="P36" i="21"/>
  <c r="P37" i="21"/>
  <c r="P38" i="21"/>
  <c r="P39" i="21"/>
  <c r="P40" i="21"/>
  <c r="P41" i="21"/>
  <c r="P42" i="21"/>
  <c r="P44" i="21"/>
  <c r="P45" i="21"/>
  <c r="P46" i="21"/>
  <c r="P47" i="21"/>
  <c r="P48" i="21"/>
  <c r="P49" i="21"/>
  <c r="P50" i="21"/>
  <c r="P51" i="21"/>
  <c r="P52" i="21"/>
  <c r="P53" i="21"/>
  <c r="P54" i="21"/>
  <c r="P55" i="21"/>
  <c r="P56" i="21"/>
  <c r="P57" i="21"/>
  <c r="P58" i="21"/>
  <c r="P59" i="21"/>
  <c r="P60" i="21"/>
  <c r="P61" i="21"/>
  <c r="P62" i="21"/>
  <c r="P64" i="21"/>
  <c r="P65" i="21"/>
  <c r="P66" i="21"/>
  <c r="P68" i="21"/>
  <c r="P69" i="21"/>
  <c r="P70" i="21"/>
  <c r="P72" i="21"/>
  <c r="P73" i="21"/>
  <c r="P74" i="21"/>
  <c r="P77" i="21"/>
  <c r="P78" i="21"/>
  <c r="P80" i="21"/>
  <c r="P81" i="21"/>
  <c r="P82" i="21"/>
  <c r="P84" i="21"/>
  <c r="P85" i="21"/>
  <c r="P86" i="21"/>
  <c r="P88" i="21"/>
  <c r="P89" i="21"/>
  <c r="P43" i="21"/>
  <c r="P43" i="3"/>
  <c r="P43" i="4"/>
  <c r="P43" i="23"/>
  <c r="P152" i="22"/>
  <c r="P152" i="21"/>
  <c r="P152" i="3"/>
  <c r="P152" i="4"/>
  <c r="P152" i="23"/>
  <c r="P125" i="22"/>
  <c r="P125" i="21"/>
  <c r="P125" i="3"/>
  <c r="P125" i="4"/>
  <c r="P125" i="23"/>
  <c r="P122" i="22"/>
  <c r="P122" i="21"/>
  <c r="P76" i="22"/>
  <c r="P76" i="21"/>
  <c r="P76" i="3"/>
  <c r="P76" i="4"/>
  <c r="P76" i="23"/>
  <c r="P224" i="22"/>
  <c r="P224" i="21"/>
  <c r="P224" i="3"/>
  <c r="P224" i="4"/>
  <c r="P224" i="23"/>
  <c r="P220" i="21"/>
  <c r="P220" i="3"/>
  <c r="P220" i="4"/>
  <c r="P220" i="23"/>
  <c r="P218" i="22"/>
  <c r="P218" i="21"/>
  <c r="P218" i="3"/>
  <c r="P218" i="4"/>
  <c r="P217" i="22"/>
  <c r="P217" i="21"/>
  <c r="P217" i="23"/>
  <c r="P214" i="22"/>
  <c r="P214" i="21"/>
  <c r="P214" i="3"/>
  <c r="P214" i="4"/>
  <c r="P212" i="22"/>
  <c r="P212" i="21"/>
  <c r="P212" i="3"/>
  <c r="P212" i="4"/>
  <c r="P210" i="22"/>
  <c r="P210" i="21"/>
  <c r="P208" i="22"/>
  <c r="P208" i="21"/>
  <c r="P208" i="3"/>
  <c r="P208" i="4"/>
  <c r="P208" i="23"/>
  <c r="P207" i="3"/>
  <c r="P207" i="23"/>
  <c r="P205" i="22"/>
  <c r="P205" i="21"/>
  <c r="P205" i="3"/>
  <c r="P205" i="4"/>
  <c r="P205" i="23"/>
  <c r="P203" i="3"/>
  <c r="P203" i="23"/>
  <c r="P197" i="22"/>
  <c r="P197" i="21"/>
  <c r="P197" i="3"/>
  <c r="P197" i="4"/>
  <c r="P197" i="23"/>
  <c r="P196" i="22"/>
  <c r="P196" i="21"/>
  <c r="P196" i="3"/>
  <c r="P196" i="4"/>
  <c r="P196" i="23"/>
  <c r="P193" i="22"/>
  <c r="P193" i="21"/>
  <c r="P193" i="3"/>
  <c r="P193" i="4"/>
  <c r="P193" i="23"/>
  <c r="P184" i="22"/>
  <c r="P184" i="21"/>
  <c r="P184" i="3"/>
  <c r="P184" i="4"/>
  <c r="P184" i="23"/>
  <c r="P182" i="22"/>
  <c r="P182" i="21"/>
  <c r="P182" i="3"/>
  <c r="P182" i="4"/>
  <c r="P174" i="22"/>
  <c r="P174" i="21"/>
  <c r="P174" i="3"/>
  <c r="P174" i="4"/>
  <c r="P166" i="22"/>
  <c r="P166" i="21"/>
  <c r="P166" i="3"/>
  <c r="P165" i="22"/>
  <c r="P165" i="21"/>
  <c r="P165" i="3"/>
  <c r="P165" i="4"/>
  <c r="P165" i="23"/>
  <c r="P161" i="22"/>
  <c r="P161" i="21"/>
  <c r="P161" i="3"/>
  <c r="P161" i="4"/>
  <c r="P161" i="23"/>
  <c r="P159" i="3"/>
  <c r="P159" i="4"/>
  <c r="P159" i="23"/>
  <c r="P158" i="22"/>
  <c r="P158" i="21"/>
  <c r="P158" i="3"/>
  <c r="P157" i="22"/>
  <c r="P157" i="21"/>
  <c r="P157" i="3"/>
  <c r="P157" i="23"/>
  <c r="P154" i="22"/>
  <c r="P154" i="21"/>
  <c r="P154" i="4"/>
  <c r="P151" i="4"/>
  <c r="P151" i="23"/>
  <c r="P149" i="22"/>
  <c r="P149" i="21"/>
  <c r="P149" i="3"/>
  <c r="P149" i="4"/>
  <c r="P149" i="23"/>
  <c r="P146" i="22"/>
  <c r="P146" i="21"/>
  <c r="P136" i="22"/>
  <c r="P136" i="21"/>
  <c r="P136" i="3"/>
  <c r="P136" i="4"/>
  <c r="P136" i="23"/>
  <c r="P128" i="22"/>
  <c r="P128" i="21"/>
  <c r="P128" i="3"/>
  <c r="P128" i="4"/>
  <c r="P128" i="23"/>
  <c r="P120" i="22"/>
  <c r="P120" i="21"/>
  <c r="P113" i="22"/>
  <c r="P113" i="21"/>
  <c r="P113" i="4"/>
  <c r="P113" i="23"/>
  <c r="P63" i="21"/>
  <c r="P67" i="21"/>
  <c r="P71" i="21"/>
  <c r="P75" i="21"/>
  <c r="P79" i="21"/>
  <c r="P83" i="21"/>
  <c r="P87" i="21"/>
  <c r="P91" i="21"/>
  <c r="P95" i="21"/>
  <c r="P99" i="21"/>
  <c r="P103" i="21"/>
  <c r="P107" i="21"/>
  <c r="P111" i="21"/>
  <c r="P115" i="21"/>
  <c r="P119" i="21"/>
  <c r="P123" i="21"/>
  <c r="P127" i="21"/>
  <c r="P131" i="21"/>
  <c r="P135" i="21"/>
  <c r="P139" i="21"/>
  <c r="P143" i="21"/>
  <c r="P147" i="21"/>
  <c r="P151" i="21"/>
  <c r="P155" i="21"/>
  <c r="P159" i="21"/>
  <c r="P163" i="21"/>
  <c r="P167" i="21"/>
  <c r="P171" i="21"/>
  <c r="P175" i="21"/>
  <c r="P179" i="21"/>
  <c r="P183" i="21"/>
  <c r="P187" i="21"/>
  <c r="P191" i="21"/>
  <c r="P195" i="21"/>
  <c r="P199" i="21"/>
  <c r="P203" i="21"/>
  <c r="P207" i="21"/>
  <c r="P211" i="21"/>
  <c r="P63" i="22"/>
  <c r="P67" i="22"/>
  <c r="P71" i="22"/>
  <c r="P75" i="22"/>
  <c r="P79" i="22"/>
  <c r="P83" i="22"/>
  <c r="P62" i="23"/>
  <c r="P66" i="23"/>
  <c r="P70" i="23"/>
  <c r="P74" i="23"/>
  <c r="P78" i="23"/>
  <c r="P82" i="23"/>
  <c r="P86" i="23"/>
  <c r="P90" i="23"/>
  <c r="P94" i="23"/>
  <c r="P98" i="23"/>
  <c r="P102" i="23"/>
  <c r="P106" i="23"/>
  <c r="P110" i="23"/>
  <c r="P114" i="23"/>
  <c r="P118" i="23"/>
  <c r="P122" i="23"/>
  <c r="P126" i="23"/>
  <c r="P130" i="23"/>
  <c r="P134" i="23"/>
  <c r="P138" i="23"/>
  <c r="P142" i="23"/>
  <c r="P146" i="23"/>
  <c r="P150" i="23"/>
  <c r="P154" i="23"/>
  <c r="P158" i="23"/>
  <c r="P162" i="23"/>
  <c r="P166" i="23"/>
  <c r="P170" i="23"/>
  <c r="P174" i="23"/>
  <c r="P178" i="23"/>
  <c r="P182" i="23"/>
  <c r="P186" i="23"/>
  <c r="P190" i="23"/>
  <c r="P194" i="23"/>
  <c r="P198" i="23"/>
  <c r="P202" i="23"/>
  <c r="P206" i="23"/>
  <c r="P210" i="23"/>
  <c r="P214" i="23"/>
  <c r="P218" i="23"/>
  <c r="P222" i="23"/>
  <c r="P226" i="23"/>
  <c r="P62" i="4"/>
  <c r="P66" i="4"/>
  <c r="P70" i="4"/>
  <c r="P74" i="4"/>
  <c r="P78" i="4"/>
  <c r="P82" i="4"/>
  <c r="P86" i="4"/>
  <c r="P90" i="4"/>
  <c r="P94" i="4"/>
  <c r="P98" i="4"/>
  <c r="P102" i="4"/>
  <c r="P106" i="4"/>
  <c r="P110" i="4"/>
  <c r="P114" i="4"/>
  <c r="P118" i="4"/>
  <c r="P122" i="4"/>
  <c r="P126" i="4"/>
  <c r="P130" i="4"/>
  <c r="P134" i="4"/>
  <c r="P138" i="4"/>
  <c r="P142" i="4"/>
  <c r="P146" i="4"/>
  <c r="P63" i="3"/>
  <c r="P67" i="3"/>
  <c r="P71" i="3"/>
  <c r="P75" i="3"/>
  <c r="P79" i="3"/>
  <c r="P83" i="3"/>
  <c r="P87" i="3"/>
  <c r="P91" i="3"/>
  <c r="P95" i="3"/>
  <c r="G35" i="11"/>
  <c r="F35" i="11"/>
  <c r="E35" i="11"/>
  <c r="O24" i="21" l="1"/>
  <c r="N24" i="21"/>
  <c r="M24" i="21"/>
  <c r="L24" i="21"/>
  <c r="K24" i="21"/>
  <c r="J24" i="21"/>
  <c r="I24" i="21"/>
  <c r="H24" i="21"/>
  <c r="G24" i="21"/>
  <c r="F24" i="21"/>
  <c r="E24" i="21"/>
  <c r="D24" i="21"/>
  <c r="C24" i="21"/>
  <c r="B24" i="21"/>
  <c r="O24" i="22"/>
  <c r="N24" i="22"/>
  <c r="M24" i="22"/>
  <c r="L24" i="22"/>
  <c r="K24" i="22"/>
  <c r="J24" i="22"/>
  <c r="I24" i="22"/>
  <c r="H24" i="22"/>
  <c r="G24" i="22"/>
  <c r="F24" i="22"/>
  <c r="E24" i="22"/>
  <c r="D24" i="22"/>
  <c r="C24" i="22"/>
  <c r="B24" i="22"/>
  <c r="O24" i="23"/>
  <c r="N24" i="23"/>
  <c r="M24" i="23"/>
  <c r="L24" i="23"/>
  <c r="K24" i="23"/>
  <c r="J24" i="23"/>
  <c r="I24" i="23"/>
  <c r="H24" i="23"/>
  <c r="G24" i="23"/>
  <c r="F24" i="23"/>
  <c r="E24" i="23"/>
  <c r="D24" i="23"/>
  <c r="C24" i="23"/>
  <c r="B24" i="23"/>
  <c r="O24" i="4"/>
  <c r="N24" i="4"/>
  <c r="M24" i="4"/>
  <c r="L24" i="4"/>
  <c r="K24" i="4"/>
  <c r="J24" i="4"/>
  <c r="I24" i="4"/>
  <c r="H24" i="4"/>
  <c r="G24" i="4"/>
  <c r="F24" i="4"/>
  <c r="E24" i="4"/>
  <c r="D24" i="4"/>
  <c r="C24" i="4"/>
  <c r="B24" i="4"/>
  <c r="O24" i="3"/>
  <c r="N24" i="3"/>
  <c r="M24" i="3"/>
  <c r="L24" i="3"/>
  <c r="K24" i="3"/>
  <c r="J24" i="3"/>
  <c r="I24" i="3"/>
  <c r="H24" i="3"/>
  <c r="G24" i="3"/>
  <c r="F24" i="3"/>
  <c r="E24" i="3"/>
  <c r="D24" i="3"/>
  <c r="C24" i="3"/>
  <c r="B24" i="3"/>
  <c r="P24" i="22" l="1"/>
  <c r="P24" i="21"/>
  <c r="P24" i="3"/>
  <c r="P24" i="4"/>
  <c r="P24" i="23"/>
  <c r="D236" i="1"/>
  <c r="A1" i="10" l="1"/>
  <c r="B1" i="21"/>
  <c r="B1" i="22"/>
  <c r="B1" i="23"/>
  <c r="B1" i="4"/>
  <c r="B1" i="3"/>
  <c r="B1" i="1"/>
  <c r="J27" i="11" l="1"/>
  <c r="J28" i="11" l="1"/>
  <c r="N21" i="11"/>
  <c r="J29" i="11" l="1"/>
  <c r="E10" i="21"/>
  <c r="F10" i="21" s="1"/>
  <c r="G10" i="21" s="1"/>
  <c r="H10" i="21" s="1"/>
  <c r="I10" i="21" s="1"/>
  <c r="J10" i="21" s="1"/>
  <c r="K10" i="21" s="1"/>
  <c r="L10" i="21" s="1"/>
  <c r="M10" i="21" s="1"/>
  <c r="N10" i="21" s="1"/>
  <c r="O10" i="21" s="1"/>
  <c r="E10" i="22"/>
  <c r="F10" i="22" s="1"/>
  <c r="G10" i="22" s="1"/>
  <c r="H10" i="22" s="1"/>
  <c r="I10" i="22" s="1"/>
  <c r="J10" i="22" s="1"/>
  <c r="K10" i="22" s="1"/>
  <c r="L10" i="22" s="1"/>
  <c r="M10" i="22" s="1"/>
  <c r="N10" i="22" s="1"/>
  <c r="O10" i="22" s="1"/>
  <c r="F10" i="23"/>
  <c r="G10" i="23" s="1"/>
  <c r="H10" i="23" s="1"/>
  <c r="I10" i="23" s="1"/>
  <c r="J10" i="23" s="1"/>
  <c r="K10" i="23" s="1"/>
  <c r="L10" i="23" s="1"/>
  <c r="M10" i="23" s="1"/>
  <c r="N10" i="23" s="1"/>
  <c r="O10" i="23" s="1"/>
  <c r="E10" i="4"/>
  <c r="F10" i="4" s="1"/>
  <c r="G10" i="4" s="1"/>
  <c r="H10" i="4" s="1"/>
  <c r="E10" i="3"/>
  <c r="F10" i="3" s="1"/>
  <c r="G10" i="3" s="1"/>
  <c r="H10" i="3" s="1"/>
  <c r="I10" i="3" s="1"/>
  <c r="J10" i="3" s="1"/>
  <c r="K10" i="3" s="1"/>
  <c r="L10" i="3" s="1"/>
  <c r="M10" i="3" s="1"/>
  <c r="N10" i="3" s="1"/>
  <c r="O10" i="3" s="1"/>
  <c r="F10" i="1"/>
  <c r="G10" i="1" s="1"/>
  <c r="H10" i="1" s="1"/>
  <c r="I10" i="1" s="1"/>
  <c r="J10" i="1" s="1"/>
  <c r="K10" i="1" s="1"/>
  <c r="L10" i="1" s="1"/>
  <c r="M10" i="1" s="1"/>
  <c r="N10" i="1" s="1"/>
  <c r="O10" i="1" s="1"/>
  <c r="D35" i="11"/>
  <c r="C35" i="11"/>
  <c r="B35" i="11"/>
  <c r="J30" i="11" l="1"/>
  <c r="I10" i="4"/>
  <c r="J10" i="4" s="1"/>
  <c r="K10" i="4" s="1"/>
  <c r="L10" i="4" s="1"/>
  <c r="M10" i="4" s="1"/>
  <c r="N10" i="4" s="1"/>
  <c r="O10" i="4" s="1"/>
  <c r="P238" i="1"/>
  <c r="J31" i="11" l="1"/>
  <c r="D236" i="3"/>
  <c r="D236" i="21"/>
  <c r="D236" i="22"/>
  <c r="J32" i="11" l="1"/>
  <c r="P21" i="11"/>
  <c r="O21" i="11"/>
  <c r="M21" i="11"/>
  <c r="L21" i="11"/>
  <c r="K21" i="11"/>
  <c r="J33" i="11" l="1"/>
  <c r="J5" i="11"/>
  <c r="J34" i="11" l="1"/>
  <c r="J6" i="11"/>
  <c r="J7" i="11" s="1"/>
  <c r="J8" i="11" s="1"/>
  <c r="J9" i="11" s="1"/>
  <c r="J10" i="11" s="1"/>
  <c r="J11" i="11" s="1"/>
  <c r="J12" i="11" s="1"/>
  <c r="J13" i="11" s="1"/>
  <c r="J14" i="11" s="1"/>
  <c r="J15" i="11" s="1"/>
  <c r="J16" i="11" s="1"/>
  <c r="I25" i="11"/>
  <c r="I26" i="11" l="1"/>
  <c r="I27" i="11" s="1"/>
  <c r="I28" i="11" s="1"/>
  <c r="I29" i="11" s="1"/>
  <c r="I30" i="11" s="1"/>
  <c r="I31" i="11" s="1"/>
  <c r="I32" i="11" s="1"/>
  <c r="I33" i="11" s="1"/>
  <c r="I34" i="11" s="1"/>
  <c r="I35" i="11" s="1"/>
  <c r="I36" i="11" s="1"/>
  <c r="J35" i="11"/>
  <c r="D19" i="3"/>
  <c r="D19" i="4"/>
  <c r="D19" i="23"/>
  <c r="D19" i="22"/>
  <c r="D19" i="21"/>
  <c r="D19" i="1"/>
  <c r="J36" i="11" l="1"/>
  <c r="P235" i="3"/>
  <c r="P237" i="3"/>
  <c r="P241" i="3"/>
  <c r="P242" i="3"/>
  <c r="P243" i="3"/>
  <c r="P244" i="3"/>
  <c r="P235" i="4"/>
  <c r="P237" i="4"/>
  <c r="P241" i="4"/>
  <c r="P242" i="4"/>
  <c r="P243" i="4"/>
  <c r="P244" i="4"/>
  <c r="P235" i="23"/>
  <c r="P237" i="23"/>
  <c r="P241" i="23"/>
  <c r="P242" i="23"/>
  <c r="P243" i="23"/>
  <c r="P244" i="23"/>
  <c r="P235" i="22"/>
  <c r="P237" i="22"/>
  <c r="P241" i="22"/>
  <c r="P242" i="22"/>
  <c r="P243" i="22"/>
  <c r="P244" i="22"/>
  <c r="P235" i="21"/>
  <c r="P237" i="21"/>
  <c r="P241" i="21"/>
  <c r="P242" i="21"/>
  <c r="P243" i="21"/>
  <c r="P244" i="2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235" i="1"/>
  <c r="P237" i="1"/>
  <c r="P241" i="1"/>
  <c r="P242" i="1"/>
  <c r="P243" i="1"/>
  <c r="P244" i="1"/>
  <c r="B129" i="21" l="1"/>
  <c r="B129" i="22"/>
  <c r="B129" i="23"/>
  <c r="B129" i="4"/>
  <c r="B129" i="3"/>
  <c r="B123" i="21"/>
  <c r="B123" i="22"/>
  <c r="B123" i="23"/>
  <c r="B123" i="4"/>
  <c r="B123" i="3"/>
  <c r="B119" i="21"/>
  <c r="B119" i="22"/>
  <c r="B119" i="23"/>
  <c r="B119" i="4"/>
  <c r="B119" i="3"/>
  <c r="B115" i="21"/>
  <c r="B115" i="22"/>
  <c r="B115" i="23"/>
  <c r="B115" i="4"/>
  <c r="B115" i="3"/>
  <c r="B113" i="21"/>
  <c r="B113" i="22"/>
  <c r="B113" i="23"/>
  <c r="B113" i="4"/>
  <c r="B113" i="3"/>
  <c r="B111" i="21"/>
  <c r="B111" i="22"/>
  <c r="B111" i="23"/>
  <c r="B111" i="4"/>
  <c r="B111" i="3"/>
  <c r="B109" i="21"/>
  <c r="B109" i="22"/>
  <c r="B109" i="23"/>
  <c r="B109" i="4"/>
  <c r="B109" i="3"/>
  <c r="B107" i="21"/>
  <c r="B107" i="22"/>
  <c r="B107" i="23"/>
  <c r="B107" i="4"/>
  <c r="B107" i="3"/>
  <c r="B105" i="21"/>
  <c r="B105" i="22"/>
  <c r="B105" i="23"/>
  <c r="B105" i="4"/>
  <c r="B105" i="3"/>
  <c r="B103" i="21"/>
  <c r="B103" i="22"/>
  <c r="B103" i="23"/>
  <c r="B103" i="4"/>
  <c r="B103" i="3"/>
  <c r="B101" i="21"/>
  <c r="B101" i="22"/>
  <c r="B101" i="23"/>
  <c r="B101" i="4"/>
  <c r="B101" i="3"/>
  <c r="B99" i="21"/>
  <c r="B99" i="22"/>
  <c r="B99" i="23"/>
  <c r="B99" i="4"/>
  <c r="B99" i="3"/>
  <c r="B97" i="21"/>
  <c r="B97" i="22"/>
  <c r="B97" i="23"/>
  <c r="B97" i="4"/>
  <c r="B97" i="3"/>
  <c r="B95" i="21"/>
  <c r="B95" i="22"/>
  <c r="B95" i="23"/>
  <c r="B95" i="4"/>
  <c r="B95" i="3"/>
  <c r="B93" i="21"/>
  <c r="B93" i="22"/>
  <c r="B93" i="23"/>
  <c r="B93" i="4"/>
  <c r="B93" i="3"/>
  <c r="B91" i="21"/>
  <c r="B91" i="22"/>
  <c r="B91" i="23"/>
  <c r="B91" i="4"/>
  <c r="B91" i="3"/>
  <c r="B89" i="21"/>
  <c r="B89" i="22"/>
  <c r="B89" i="23"/>
  <c r="B89" i="4"/>
  <c r="B89" i="3"/>
  <c r="B87" i="21"/>
  <c r="B87" i="22"/>
  <c r="B87" i="23"/>
  <c r="B87" i="4"/>
  <c r="B87" i="3"/>
  <c r="B83" i="21"/>
  <c r="B83" i="22"/>
  <c r="B83" i="23"/>
  <c r="B83" i="4"/>
  <c r="B83" i="3"/>
  <c r="B81" i="21"/>
  <c r="B81" i="22"/>
  <c r="B81" i="23"/>
  <c r="B81" i="4"/>
  <c r="B81" i="3"/>
  <c r="B79" i="21"/>
  <c r="B79" i="22"/>
  <c r="B79" i="23"/>
  <c r="B79" i="4"/>
  <c r="B79" i="3"/>
  <c r="B77" i="21"/>
  <c r="B77" i="22"/>
  <c r="B77" i="23"/>
  <c r="B77" i="4"/>
  <c r="B77" i="3"/>
  <c r="B75" i="21"/>
  <c r="B75" i="22"/>
  <c r="B75" i="23"/>
  <c r="B75" i="4"/>
  <c r="B75" i="3"/>
  <c r="B73" i="21"/>
  <c r="B73" i="22"/>
  <c r="B73" i="23"/>
  <c r="B73" i="4"/>
  <c r="B73" i="3"/>
  <c r="B71" i="21"/>
  <c r="B71" i="22"/>
  <c r="B71" i="23"/>
  <c r="B71" i="4"/>
  <c r="B71" i="3"/>
  <c r="B69" i="21"/>
  <c r="B69" i="22"/>
  <c r="B69" i="23"/>
  <c r="B69" i="4"/>
  <c r="B69" i="3"/>
  <c r="B67" i="21"/>
  <c r="B67" i="22"/>
  <c r="B67" i="23"/>
  <c r="B67" i="4"/>
  <c r="B67" i="3"/>
  <c r="B65" i="21"/>
  <c r="B65" i="22"/>
  <c r="B65" i="23"/>
  <c r="B65" i="4"/>
  <c r="B65" i="3"/>
  <c r="B63" i="21"/>
  <c r="B63" i="22"/>
  <c r="B63" i="23"/>
  <c r="B63" i="4"/>
  <c r="B63" i="3"/>
  <c r="B61" i="21"/>
  <c r="B61" i="22"/>
  <c r="B61" i="23"/>
  <c r="B61" i="4"/>
  <c r="B61" i="3"/>
  <c r="B59" i="21"/>
  <c r="B59" i="22"/>
  <c r="B59" i="23"/>
  <c r="B59" i="4"/>
  <c r="B59" i="3"/>
  <c r="B55" i="21"/>
  <c r="B55" i="22"/>
  <c r="B55" i="23"/>
  <c r="B55" i="4"/>
  <c r="B55" i="3"/>
  <c r="B53" i="21"/>
  <c r="B53" i="22"/>
  <c r="B53" i="23"/>
  <c r="B53" i="4"/>
  <c r="B53" i="3"/>
  <c r="B51" i="21"/>
  <c r="B51" i="22"/>
  <c r="B51" i="23"/>
  <c r="B51" i="4"/>
  <c r="B51" i="3"/>
  <c r="B49" i="21"/>
  <c r="B49" i="22"/>
  <c r="B49" i="23"/>
  <c r="B49" i="4"/>
  <c r="B49" i="3"/>
  <c r="B47" i="21"/>
  <c r="B47" i="22"/>
  <c r="B47" i="23"/>
  <c r="B47" i="4"/>
  <c r="B47" i="3"/>
  <c r="B45" i="21"/>
  <c r="B45" i="22"/>
  <c r="B45" i="23"/>
  <c r="B45" i="4"/>
  <c r="B45" i="3"/>
  <c r="B43" i="21"/>
  <c r="B43" i="22"/>
  <c r="B43" i="23"/>
  <c r="B43" i="4"/>
  <c r="B43" i="3"/>
  <c r="B41" i="21"/>
  <c r="B41" i="22"/>
  <c r="B41" i="23"/>
  <c r="B41" i="4"/>
  <c r="B41" i="3"/>
  <c r="B39" i="21"/>
  <c r="B39" i="22"/>
  <c r="B39" i="23"/>
  <c r="B39" i="4"/>
  <c r="B39" i="3"/>
  <c r="B37" i="21"/>
  <c r="B37" i="22"/>
  <c r="B37" i="23"/>
  <c r="B37" i="4"/>
  <c r="B37" i="3"/>
  <c r="B35" i="21"/>
  <c r="B35" i="22"/>
  <c r="B35" i="23"/>
  <c r="B35" i="4"/>
  <c r="B35" i="3"/>
  <c r="B33" i="21"/>
  <c r="B33" i="22"/>
  <c r="B33" i="23"/>
  <c r="B33" i="4"/>
  <c r="B33" i="3"/>
  <c r="B31" i="21"/>
  <c r="B31" i="22"/>
  <c r="B31" i="23"/>
  <c r="B31" i="4"/>
  <c r="B31" i="3"/>
  <c r="B29" i="21"/>
  <c r="B29" i="22"/>
  <c r="B29" i="23"/>
  <c r="B29" i="4"/>
  <c r="B29" i="3"/>
  <c r="B27" i="21"/>
  <c r="B27" i="22"/>
  <c r="B27" i="23"/>
  <c r="B27" i="4"/>
  <c r="B27" i="3"/>
  <c r="B25" i="21"/>
  <c r="B25" i="22"/>
  <c r="B25" i="23"/>
  <c r="B25" i="4"/>
  <c r="B25" i="3"/>
  <c r="B127" i="21"/>
  <c r="B127" i="22"/>
  <c r="B127" i="23"/>
  <c r="B127" i="4"/>
  <c r="B127" i="3"/>
  <c r="B125" i="21"/>
  <c r="B125" i="22"/>
  <c r="B125" i="23"/>
  <c r="B125" i="4"/>
  <c r="B125" i="3"/>
  <c r="B121" i="21"/>
  <c r="B121" i="22"/>
  <c r="B121" i="23"/>
  <c r="B121" i="4"/>
  <c r="B121" i="3"/>
  <c r="B117" i="21"/>
  <c r="B117" i="22"/>
  <c r="B117" i="23"/>
  <c r="B117" i="4"/>
  <c r="B117" i="3"/>
  <c r="B130" i="21"/>
  <c r="B130" i="22"/>
  <c r="B130" i="23"/>
  <c r="B130" i="4"/>
  <c r="B130" i="3"/>
  <c r="B128" i="21"/>
  <c r="B128" i="22"/>
  <c r="B128" i="23"/>
  <c r="B128" i="4"/>
  <c r="B128" i="3"/>
  <c r="B126" i="21"/>
  <c r="B126" i="22"/>
  <c r="B126" i="23"/>
  <c r="B126" i="4"/>
  <c r="B126" i="3"/>
  <c r="B124" i="21"/>
  <c r="B124" i="22"/>
  <c r="B124" i="23"/>
  <c r="B124" i="4"/>
  <c r="B124" i="3"/>
  <c r="B122" i="21"/>
  <c r="B122" i="22"/>
  <c r="B122" i="23"/>
  <c r="B122" i="4"/>
  <c r="B122" i="3"/>
  <c r="B120" i="21"/>
  <c r="B120" i="22"/>
  <c r="B120" i="23"/>
  <c r="B120" i="4"/>
  <c r="B120" i="3"/>
  <c r="B118" i="21"/>
  <c r="B118" i="22"/>
  <c r="B118" i="23"/>
  <c r="B118" i="4"/>
  <c r="B118" i="3"/>
  <c r="B116" i="21"/>
  <c r="B116" i="22"/>
  <c r="B116" i="23"/>
  <c r="B116" i="4"/>
  <c r="B116" i="3"/>
  <c r="B114" i="21"/>
  <c r="B114" i="22"/>
  <c r="B114" i="23"/>
  <c r="B114" i="4"/>
  <c r="B114" i="3"/>
  <c r="B110" i="21"/>
  <c r="B110" i="22"/>
  <c r="B110" i="23"/>
  <c r="B110" i="4"/>
  <c r="B110" i="3"/>
  <c r="B108" i="21"/>
  <c r="B108" i="22"/>
  <c r="B108" i="23"/>
  <c r="B108" i="4"/>
  <c r="B108" i="3"/>
  <c r="B106" i="21"/>
  <c r="B106" i="22"/>
  <c r="B106" i="23"/>
  <c r="B106" i="4"/>
  <c r="B106" i="3"/>
  <c r="B104" i="21"/>
  <c r="B104" i="22"/>
  <c r="B104" i="23"/>
  <c r="B104" i="4"/>
  <c r="B104" i="3"/>
  <c r="B102" i="21"/>
  <c r="B102" i="22"/>
  <c r="B102" i="23"/>
  <c r="B102" i="4"/>
  <c r="B102" i="3"/>
  <c r="B100" i="21"/>
  <c r="B100" i="22"/>
  <c r="B100" i="23"/>
  <c r="B100" i="4"/>
  <c r="B100" i="3"/>
  <c r="B98" i="21"/>
  <c r="B98" i="22"/>
  <c r="B98" i="23"/>
  <c r="B98" i="4"/>
  <c r="B98" i="3"/>
  <c r="B96" i="21"/>
  <c r="B96" i="22"/>
  <c r="B96" i="23"/>
  <c r="B96" i="4"/>
  <c r="B96" i="3"/>
  <c r="B94" i="21"/>
  <c r="B94" i="22"/>
  <c r="B94" i="23"/>
  <c r="B94" i="4"/>
  <c r="B94" i="3"/>
  <c r="B92" i="21"/>
  <c r="B92" i="22"/>
  <c r="B92" i="23"/>
  <c r="B92" i="4"/>
  <c r="B92" i="3"/>
  <c r="B90" i="21"/>
  <c r="B90" i="22"/>
  <c r="B90" i="23"/>
  <c r="B90" i="4"/>
  <c r="B90" i="3"/>
  <c r="B88" i="21"/>
  <c r="B88" i="22"/>
  <c r="B88" i="23"/>
  <c r="B88" i="4"/>
  <c r="B88" i="3"/>
  <c r="B86" i="21"/>
  <c r="B86" i="22"/>
  <c r="B86" i="23"/>
  <c r="B86" i="4"/>
  <c r="B86" i="3"/>
  <c r="B84" i="21"/>
  <c r="B84" i="22"/>
  <c r="B84" i="23"/>
  <c r="B84" i="4"/>
  <c r="B84" i="3"/>
  <c r="B82" i="21"/>
  <c r="B82" i="22"/>
  <c r="B82" i="23"/>
  <c r="B82" i="4"/>
  <c r="B82" i="3"/>
  <c r="B80" i="21"/>
  <c r="B80" i="22"/>
  <c r="B80" i="23"/>
  <c r="B80" i="4"/>
  <c r="B80" i="3"/>
  <c r="B78" i="21"/>
  <c r="B78" i="22"/>
  <c r="B78" i="23"/>
  <c r="B78" i="4"/>
  <c r="B78" i="3"/>
  <c r="B76" i="21"/>
  <c r="B76" i="22"/>
  <c r="B76" i="23"/>
  <c r="B76" i="4"/>
  <c r="B76" i="3"/>
  <c r="B74" i="21"/>
  <c r="B74" i="22"/>
  <c r="B74" i="23"/>
  <c r="B74" i="4"/>
  <c r="B74" i="3"/>
  <c r="B72" i="21"/>
  <c r="B72" i="22"/>
  <c r="B72" i="23"/>
  <c r="B72" i="4"/>
  <c r="B72" i="3"/>
  <c r="B70" i="21"/>
  <c r="B70" i="22"/>
  <c r="B70" i="23"/>
  <c r="B70" i="4"/>
  <c r="B70" i="3"/>
  <c r="B68" i="21"/>
  <c r="B68" i="22"/>
  <c r="B68" i="23"/>
  <c r="B68" i="4"/>
  <c r="B68" i="3"/>
  <c r="B66" i="21"/>
  <c r="B66" i="22"/>
  <c r="B66" i="23"/>
  <c r="B66" i="4"/>
  <c r="B66" i="3"/>
  <c r="B64" i="21"/>
  <c r="B64" i="22"/>
  <c r="B64" i="23"/>
  <c r="B64" i="4"/>
  <c r="B64" i="3"/>
  <c r="B62" i="21"/>
  <c r="B62" i="22"/>
  <c r="B62" i="23"/>
  <c r="B62" i="4"/>
  <c r="B62" i="3"/>
  <c r="B60" i="21"/>
  <c r="B60" i="22"/>
  <c r="B60" i="23"/>
  <c r="B60" i="4"/>
  <c r="B60" i="3"/>
  <c r="B58" i="21"/>
  <c r="B58" i="22"/>
  <c r="B58" i="23"/>
  <c r="B58" i="4"/>
  <c r="B58" i="3"/>
  <c r="B56" i="21"/>
  <c r="B56" i="22"/>
  <c r="B56" i="23"/>
  <c r="B56" i="4"/>
  <c r="B56" i="3"/>
  <c r="B54" i="21"/>
  <c r="B54" i="22"/>
  <c r="B54" i="23"/>
  <c r="B54" i="4"/>
  <c r="B54" i="3"/>
  <c r="B52" i="21"/>
  <c r="B52" i="22"/>
  <c r="B52" i="23"/>
  <c r="B52" i="4"/>
  <c r="B52" i="3"/>
  <c r="B50" i="21"/>
  <c r="B50" i="22"/>
  <c r="B50" i="23"/>
  <c r="B50" i="4"/>
  <c r="B50" i="3"/>
  <c r="B48" i="21"/>
  <c r="B48" i="22"/>
  <c r="B48" i="23"/>
  <c r="B48" i="4"/>
  <c r="B48" i="3"/>
  <c r="B46" i="21"/>
  <c r="B46" i="22"/>
  <c r="B46" i="23"/>
  <c r="B46" i="4"/>
  <c r="B46" i="3"/>
  <c r="B44" i="21"/>
  <c r="B44" i="22"/>
  <c r="B44" i="23"/>
  <c r="B44" i="4"/>
  <c r="B44" i="3"/>
  <c r="B42" i="21"/>
  <c r="B42" i="22"/>
  <c r="B42" i="23"/>
  <c r="B42" i="4"/>
  <c r="B42" i="3"/>
  <c r="B40" i="21"/>
  <c r="B40" i="22"/>
  <c r="B40" i="23"/>
  <c r="B40" i="4"/>
  <c r="B40" i="3"/>
  <c r="B38" i="21"/>
  <c r="B38" i="22"/>
  <c r="B38" i="23"/>
  <c r="B38" i="4"/>
  <c r="B38" i="3"/>
  <c r="B36" i="21"/>
  <c r="B36" i="22"/>
  <c r="B36" i="23"/>
  <c r="B36" i="4"/>
  <c r="B36" i="3"/>
  <c r="B34" i="21"/>
  <c r="B34" i="22"/>
  <c r="B34" i="23"/>
  <c r="B34" i="4"/>
  <c r="B34" i="3"/>
  <c r="B32" i="21"/>
  <c r="B32" i="22"/>
  <c r="B32" i="23"/>
  <c r="B32" i="4"/>
  <c r="B32" i="3"/>
  <c r="B30" i="21"/>
  <c r="B30" i="22"/>
  <c r="B30" i="23"/>
  <c r="B30" i="4"/>
  <c r="B30" i="3"/>
  <c r="B28" i="21"/>
  <c r="B28" i="22"/>
  <c r="B28" i="23"/>
  <c r="B28" i="4"/>
  <c r="B28" i="3"/>
  <c r="B26" i="21"/>
  <c r="B26" i="22"/>
  <c r="B26" i="23"/>
  <c r="B26" i="4"/>
  <c r="B26" i="3"/>
  <c r="P11" i="21"/>
  <c r="P11" i="22"/>
  <c r="P11" i="1"/>
  <c r="P11" i="3"/>
  <c r="P11" i="4"/>
  <c r="P11" i="23"/>
  <c r="E5" i="21" l="1"/>
  <c r="E19" i="21" s="1"/>
  <c r="E5" i="22"/>
  <c r="E19" i="22" s="1"/>
  <c r="E5" i="23"/>
  <c r="E19" i="23" s="1"/>
  <c r="E5" i="1" l="1"/>
  <c r="E19" i="1" s="1"/>
  <c r="R21" i="11" l="1"/>
  <c r="R22" i="11" l="1"/>
  <c r="R23" i="11" l="1"/>
  <c r="D23" i="11"/>
  <c r="R24" i="11" l="1"/>
  <c r="R25" i="11" l="1"/>
  <c r="G9" i="17"/>
  <c r="D10" i="3" l="1"/>
  <c r="R26" i="11"/>
  <c r="D10" i="1"/>
  <c r="D10" i="21"/>
  <c r="D10" i="22"/>
  <c r="D10" i="23"/>
  <c r="D10" i="4"/>
  <c r="R27" i="11" l="1"/>
  <c r="R28" i="11" l="1"/>
  <c r="H9" i="17"/>
  <c r="D247" i="3"/>
  <c r="D16" i="3" s="1"/>
  <c r="D247" i="4"/>
  <c r="D16" i="4" s="1"/>
  <c r="D247" i="23"/>
  <c r="D16" i="23" s="1"/>
  <c r="D247" i="22"/>
  <c r="D16" i="22" s="1"/>
  <c r="D247" i="21"/>
  <c r="D16" i="21" s="1"/>
  <c r="D247" i="1"/>
  <c r="B14" i="14" l="1"/>
  <c r="D16" i="1"/>
  <c r="R29" i="11"/>
  <c r="B130" i="17"/>
  <c r="C130" i="17" s="1"/>
  <c r="D130" i="17" s="1"/>
  <c r="E130" i="17" s="1"/>
  <c r="F130" i="17" s="1"/>
  <c r="G130" i="17" s="1"/>
  <c r="H130" i="17" s="1"/>
  <c r="I130" i="17" s="1"/>
  <c r="J130" i="17" s="1"/>
  <c r="K130" i="17" s="1"/>
  <c r="L130" i="17" s="1"/>
  <c r="M130" i="17" s="1"/>
  <c r="N130" i="17" s="1"/>
  <c r="O130" i="17" s="1"/>
  <c r="P130" i="17" s="1"/>
  <c r="B108" i="17"/>
  <c r="C108" i="17" s="1"/>
  <c r="D108" i="17" s="1"/>
  <c r="E108" i="17" s="1"/>
  <c r="F108" i="17" s="1"/>
  <c r="G108" i="17" s="1"/>
  <c r="H108" i="17" s="1"/>
  <c r="I108" i="17" s="1"/>
  <c r="J108" i="17" s="1"/>
  <c r="K108" i="17" s="1"/>
  <c r="L108" i="17" s="1"/>
  <c r="M108" i="17" s="1"/>
  <c r="N108" i="17" s="1"/>
  <c r="O108" i="17" s="1"/>
  <c r="P108" i="17" s="1"/>
  <c r="B86" i="17"/>
  <c r="C86" i="17" s="1"/>
  <c r="D86" i="17" s="1"/>
  <c r="E86" i="17" s="1"/>
  <c r="F86" i="17" s="1"/>
  <c r="G86" i="17" s="1"/>
  <c r="H86" i="17" s="1"/>
  <c r="I86" i="17" s="1"/>
  <c r="J86" i="17" s="1"/>
  <c r="K86" i="17" s="1"/>
  <c r="L86" i="17" s="1"/>
  <c r="M86" i="17" s="1"/>
  <c r="N86" i="17" s="1"/>
  <c r="O86" i="17" s="1"/>
  <c r="P86" i="17" s="1"/>
  <c r="B64" i="17"/>
  <c r="C64" i="17" s="1"/>
  <c r="D64" i="17" s="1"/>
  <c r="E64" i="17" s="1"/>
  <c r="F64" i="17" s="1"/>
  <c r="G64" i="17" s="1"/>
  <c r="H64" i="17" s="1"/>
  <c r="I64" i="17" s="1"/>
  <c r="J64" i="17" s="1"/>
  <c r="K64" i="17" s="1"/>
  <c r="L64" i="17" s="1"/>
  <c r="M64" i="17" s="1"/>
  <c r="N64" i="17" s="1"/>
  <c r="O64" i="17" s="1"/>
  <c r="P64" i="17" s="1"/>
  <c r="B42" i="17"/>
  <c r="C42" i="17" s="1"/>
  <c r="D42" i="17" s="1"/>
  <c r="E42" i="17" s="1"/>
  <c r="F42" i="17" s="1"/>
  <c r="G42" i="17" s="1"/>
  <c r="H42" i="17" s="1"/>
  <c r="I42" i="17" s="1"/>
  <c r="J42" i="17" s="1"/>
  <c r="K42" i="17" s="1"/>
  <c r="L42" i="17" s="1"/>
  <c r="M42" i="17" s="1"/>
  <c r="N42" i="17" s="1"/>
  <c r="O42" i="17" s="1"/>
  <c r="P42" i="17" s="1"/>
  <c r="B19" i="17"/>
  <c r="C19" i="17" l="1"/>
  <c r="D19" i="17" s="1"/>
  <c r="E19" i="17" s="1"/>
  <c r="F19" i="17" s="1"/>
  <c r="G19" i="17" s="1"/>
  <c r="H19" i="17" s="1"/>
  <c r="I19" i="17" s="1"/>
  <c r="J19" i="17" s="1"/>
  <c r="K19" i="17" s="1"/>
  <c r="L19" i="17" s="1"/>
  <c r="M19" i="17" s="1"/>
  <c r="N19" i="17" s="1"/>
  <c r="O19" i="17" s="1"/>
  <c r="P19" i="17" s="1"/>
  <c r="R30" i="11"/>
  <c r="R31" i="11" l="1"/>
  <c r="R32" i="11" l="1"/>
  <c r="B132" i="17" l="1"/>
  <c r="B110" i="17"/>
  <c r="C110" i="17" s="1"/>
  <c r="B88" i="17"/>
  <c r="C88" i="17" s="1"/>
  <c r="D88" i="17" s="1"/>
  <c r="E88" i="17" s="1"/>
  <c r="F88" i="17" s="1"/>
  <c r="G88" i="17" s="1"/>
  <c r="H88" i="17" s="1"/>
  <c r="I88" i="17" s="1"/>
  <c r="J88" i="17" s="1"/>
  <c r="K88" i="17" s="1"/>
  <c r="L88" i="17" s="1"/>
  <c r="M88" i="17" s="1"/>
  <c r="N88" i="17" s="1"/>
  <c r="O88" i="17" s="1"/>
  <c r="P88" i="17" s="1"/>
  <c r="AI15" i="10" l="1"/>
  <c r="AH15" i="10"/>
  <c r="AG15" i="10"/>
  <c r="AB15" i="10"/>
  <c r="X15" i="10"/>
  <c r="T15" i="10"/>
  <c r="Z9" i="10"/>
  <c r="Z10" i="10" s="1"/>
  <c r="V9" i="10"/>
  <c r="V10" i="10" s="1"/>
  <c r="R9" i="10"/>
  <c r="R10" i="10" s="1"/>
  <c r="AA15" i="10"/>
  <c r="W15" i="10"/>
  <c r="S15" i="10"/>
  <c r="D4" i="21" l="1"/>
  <c r="D4" i="22"/>
  <c r="D4" i="23"/>
  <c r="F16" i="14" l="1"/>
  <c r="H16" i="14"/>
  <c r="G16" i="14"/>
  <c r="B89" i="17"/>
  <c r="C89" i="17" s="1"/>
  <c r="D89" i="17" s="1"/>
  <c r="B112" i="17"/>
  <c r="D15" i="22" s="1"/>
  <c r="B133" i="17"/>
  <c r="B124" i="17"/>
  <c r="P129" i="17"/>
  <c r="P127" i="17" s="1"/>
  <c r="O129" i="17"/>
  <c r="O127" i="17" s="1"/>
  <c r="N129" i="17"/>
  <c r="N127" i="17" s="1"/>
  <c r="M129" i="17"/>
  <c r="M127" i="17" s="1"/>
  <c r="L129" i="17"/>
  <c r="L127" i="17" s="1"/>
  <c r="K129" i="17"/>
  <c r="K127" i="17" s="1"/>
  <c r="J129" i="17"/>
  <c r="J127" i="17" s="1"/>
  <c r="I129" i="17"/>
  <c r="I127" i="17" s="1"/>
  <c r="H129" i="17"/>
  <c r="H127" i="17" s="1"/>
  <c r="G129" i="17"/>
  <c r="G127" i="17" s="1"/>
  <c r="F129" i="17"/>
  <c r="F127" i="17" s="1"/>
  <c r="E129" i="17"/>
  <c r="E127" i="17" s="1"/>
  <c r="D129" i="17"/>
  <c r="D127" i="17" s="1"/>
  <c r="C129" i="17"/>
  <c r="C127" i="17" s="1"/>
  <c r="B129" i="17"/>
  <c r="B127" i="17" s="1"/>
  <c r="P128" i="17"/>
  <c r="O128" i="17"/>
  <c r="N128" i="17"/>
  <c r="M128" i="17"/>
  <c r="L128" i="17"/>
  <c r="K128" i="17"/>
  <c r="J128" i="17"/>
  <c r="I128" i="17"/>
  <c r="H128" i="17"/>
  <c r="G128" i="17"/>
  <c r="F128" i="17"/>
  <c r="E128" i="17"/>
  <c r="D128" i="17"/>
  <c r="C128" i="17"/>
  <c r="C132" i="17" s="1"/>
  <c r="B128" i="17"/>
  <c r="B134" i="17" s="1"/>
  <c r="D15" i="21" s="1"/>
  <c r="P126" i="17"/>
  <c r="O126" i="17"/>
  <c r="N126" i="17"/>
  <c r="M126" i="17"/>
  <c r="L126" i="17"/>
  <c r="K126" i="17"/>
  <c r="J126" i="17"/>
  <c r="I126" i="17"/>
  <c r="H126" i="17"/>
  <c r="G126" i="17"/>
  <c r="F126" i="17"/>
  <c r="E126" i="17"/>
  <c r="D126" i="17"/>
  <c r="C126" i="17"/>
  <c r="B126" i="17"/>
  <c r="B111" i="17"/>
  <c r="B102" i="17"/>
  <c r="P107" i="17"/>
  <c r="P105" i="17" s="1"/>
  <c r="O107" i="17"/>
  <c r="O105" i="17" s="1"/>
  <c r="N107" i="17"/>
  <c r="N105" i="17" s="1"/>
  <c r="M107" i="17"/>
  <c r="M105" i="17" s="1"/>
  <c r="L107" i="17"/>
  <c r="L105" i="17" s="1"/>
  <c r="K107" i="17"/>
  <c r="K105" i="17" s="1"/>
  <c r="J107" i="17"/>
  <c r="J105" i="17" s="1"/>
  <c r="I107" i="17"/>
  <c r="I105" i="17" s="1"/>
  <c r="H107" i="17"/>
  <c r="H105" i="17" s="1"/>
  <c r="G107" i="17"/>
  <c r="G105" i="17" s="1"/>
  <c r="F107" i="17"/>
  <c r="F105" i="17" s="1"/>
  <c r="E107" i="17"/>
  <c r="E105" i="17" s="1"/>
  <c r="D107" i="17"/>
  <c r="D105" i="17" s="1"/>
  <c r="C107" i="17"/>
  <c r="C105" i="17" s="1"/>
  <c r="B107" i="17"/>
  <c r="B105" i="17" s="1"/>
  <c r="P106" i="17"/>
  <c r="O106" i="17"/>
  <c r="N106" i="17"/>
  <c r="M106" i="17"/>
  <c r="L106" i="17"/>
  <c r="K106" i="17"/>
  <c r="J106" i="17"/>
  <c r="I106" i="17"/>
  <c r="H106" i="17"/>
  <c r="G106" i="17"/>
  <c r="F106" i="17"/>
  <c r="E106" i="17"/>
  <c r="D106" i="17"/>
  <c r="D110" i="17" s="1"/>
  <c r="E110" i="17" s="1"/>
  <c r="F110" i="17" s="1"/>
  <c r="G110" i="17" s="1"/>
  <c r="H110" i="17" s="1"/>
  <c r="I110" i="17" s="1"/>
  <c r="J110" i="17" s="1"/>
  <c r="K110" i="17" s="1"/>
  <c r="L110" i="17" s="1"/>
  <c r="M110" i="17" s="1"/>
  <c r="N110" i="17" s="1"/>
  <c r="O110" i="17" s="1"/>
  <c r="P110" i="17" s="1"/>
  <c r="C106" i="17"/>
  <c r="B106" i="17"/>
  <c r="P104" i="17"/>
  <c r="O104" i="17"/>
  <c r="G104" i="17"/>
  <c r="B90" i="17"/>
  <c r="D15" i="23" s="1"/>
  <c r="P84" i="17"/>
  <c r="O84" i="17"/>
  <c r="N84" i="17"/>
  <c r="M84" i="17"/>
  <c r="L84" i="17"/>
  <c r="K84" i="17"/>
  <c r="J84" i="17"/>
  <c r="I84" i="17"/>
  <c r="H84" i="17"/>
  <c r="G84" i="17"/>
  <c r="F84" i="17"/>
  <c r="E84" i="17"/>
  <c r="D84" i="17"/>
  <c r="C84" i="17"/>
  <c r="B84" i="17"/>
  <c r="C104" i="17" l="1"/>
  <c r="K104" i="17"/>
  <c r="E104" i="17"/>
  <c r="I104" i="17"/>
  <c r="M104" i="17"/>
  <c r="B104" i="17"/>
  <c r="D104" i="17"/>
  <c r="F104" i="17"/>
  <c r="H104" i="17"/>
  <c r="J104" i="17"/>
  <c r="L104" i="17"/>
  <c r="N104" i="17"/>
  <c r="C90" i="17"/>
  <c r="E15" i="23" s="1"/>
  <c r="D132" i="17"/>
  <c r="E132" i="17" s="1"/>
  <c r="F132" i="17" s="1"/>
  <c r="G132" i="17" s="1"/>
  <c r="H132" i="17" s="1"/>
  <c r="I132" i="17" s="1"/>
  <c r="J132" i="17" s="1"/>
  <c r="K132" i="17" s="1"/>
  <c r="L132" i="17" s="1"/>
  <c r="M132" i="17" s="1"/>
  <c r="N132" i="17" s="1"/>
  <c r="O132" i="17" s="1"/>
  <c r="P132" i="17" s="1"/>
  <c r="C111" i="17"/>
  <c r="C133" i="17"/>
  <c r="C112" i="17"/>
  <c r="E15" i="22" s="1"/>
  <c r="C134" i="17"/>
  <c r="E15" i="21" s="1"/>
  <c r="E89" i="17"/>
  <c r="P85" i="17"/>
  <c r="P83" i="17" s="1"/>
  <c r="O85" i="17"/>
  <c r="O83" i="17" s="1"/>
  <c r="N85" i="17"/>
  <c r="N83" i="17" s="1"/>
  <c r="M85" i="17"/>
  <c r="M83" i="17" s="1"/>
  <c r="L85" i="17"/>
  <c r="L83" i="17" s="1"/>
  <c r="K85" i="17"/>
  <c r="K83" i="17" s="1"/>
  <c r="J85" i="17"/>
  <c r="J83" i="17" s="1"/>
  <c r="I85" i="17"/>
  <c r="I83" i="17" s="1"/>
  <c r="H85" i="17"/>
  <c r="H83" i="17" s="1"/>
  <c r="G85" i="17"/>
  <c r="G83" i="17" s="1"/>
  <c r="F85" i="17"/>
  <c r="F83" i="17" s="1"/>
  <c r="E85" i="17"/>
  <c r="E83" i="17" s="1"/>
  <c r="D85" i="17"/>
  <c r="D83" i="17" s="1"/>
  <c r="C85" i="17"/>
  <c r="C83" i="17" s="1"/>
  <c r="B85" i="17"/>
  <c r="B83" i="17" s="1"/>
  <c r="B80" i="17"/>
  <c r="B82" i="17" l="1"/>
  <c r="J82" i="17"/>
  <c r="F82" i="17"/>
  <c r="N82" i="17"/>
  <c r="D82" i="17"/>
  <c r="H82" i="17"/>
  <c r="L82" i="17"/>
  <c r="P82" i="17"/>
  <c r="C82" i="17"/>
  <c r="E82" i="17"/>
  <c r="G82" i="17"/>
  <c r="I82" i="17"/>
  <c r="K82" i="17"/>
  <c r="M82" i="17"/>
  <c r="O82" i="17"/>
  <c r="D90" i="17"/>
  <c r="F15" i="23" s="1"/>
  <c r="D134" i="17"/>
  <c r="F15" i="21" s="1"/>
  <c r="D112" i="17"/>
  <c r="F15" i="22" s="1"/>
  <c r="D133" i="17"/>
  <c r="D111" i="17"/>
  <c r="F89" i="17"/>
  <c r="F14" i="14"/>
  <c r="E9" i="23"/>
  <c r="E23" i="23" s="1"/>
  <c r="D9" i="23"/>
  <c r="F5" i="23"/>
  <c r="B2" i="23"/>
  <c r="G14" i="14"/>
  <c r="E9" i="22"/>
  <c r="E23" i="22" s="1"/>
  <c r="D9" i="22"/>
  <c r="F5" i="22"/>
  <c r="B2" i="22"/>
  <c r="H14" i="14"/>
  <c r="E9" i="21"/>
  <c r="D9" i="21"/>
  <c r="D20" i="21" s="1"/>
  <c r="D21" i="21" s="1"/>
  <c r="F5" i="21"/>
  <c r="B2" i="21"/>
  <c r="D11" i="11"/>
  <c r="G26" i="11"/>
  <c r="Z8" i="10" s="1"/>
  <c r="G23" i="11"/>
  <c r="F26" i="11"/>
  <c r="V8" i="10" s="1"/>
  <c r="F23" i="11"/>
  <c r="E26" i="11"/>
  <c r="R8" i="10" s="1"/>
  <c r="E23" i="11"/>
  <c r="R514" i="10" l="1"/>
  <c r="AG514" i="10" s="1"/>
  <c r="R513" i="10"/>
  <c r="AG513" i="10" s="1"/>
  <c r="R512" i="10"/>
  <c r="AG512" i="10" s="1"/>
  <c r="R511" i="10"/>
  <c r="AG511" i="10" s="1"/>
  <c r="S514" i="10"/>
  <c r="S513" i="10"/>
  <c r="T513" i="10" s="1"/>
  <c r="S512" i="10"/>
  <c r="S511" i="10"/>
  <c r="T511" i="10" s="1"/>
  <c r="S510" i="10"/>
  <c r="S509" i="10"/>
  <c r="S508" i="10"/>
  <c r="S507" i="10"/>
  <c r="S506" i="10"/>
  <c r="S505" i="10"/>
  <c r="S504" i="10"/>
  <c r="S503" i="10"/>
  <c r="S502" i="10"/>
  <c r="S501" i="10"/>
  <c r="S500" i="10"/>
  <c r="S499" i="10"/>
  <c r="S498" i="10"/>
  <c r="S497" i="10"/>
  <c r="S496" i="10"/>
  <c r="S495" i="10"/>
  <c r="S494" i="10"/>
  <c r="S493" i="10"/>
  <c r="S492" i="10"/>
  <c r="S491" i="10"/>
  <c r="S490" i="10"/>
  <c r="R510" i="10"/>
  <c r="AG510" i="10" s="1"/>
  <c r="R509" i="10"/>
  <c r="AG509" i="10" s="1"/>
  <c r="R508" i="10"/>
  <c r="AG508" i="10" s="1"/>
  <c r="R507" i="10"/>
  <c r="AG507" i="10" s="1"/>
  <c r="R506" i="10"/>
  <c r="AG506" i="10" s="1"/>
  <c r="R505" i="10"/>
  <c r="AG505" i="10" s="1"/>
  <c r="R504" i="10"/>
  <c r="AG504" i="10" s="1"/>
  <c r="R503" i="10"/>
  <c r="AG503" i="10" s="1"/>
  <c r="R502" i="10"/>
  <c r="AG502" i="10" s="1"/>
  <c r="R501" i="10"/>
  <c r="AG501" i="10" s="1"/>
  <c r="R500" i="10"/>
  <c r="AG500" i="10" s="1"/>
  <c r="R499" i="10"/>
  <c r="AG499" i="10" s="1"/>
  <c r="R498" i="10"/>
  <c r="AG498" i="10" s="1"/>
  <c r="R497" i="10"/>
  <c r="AG497" i="10" s="1"/>
  <c r="R496" i="10"/>
  <c r="AG496" i="10" s="1"/>
  <c r="R495" i="10"/>
  <c r="AG495" i="10" s="1"/>
  <c r="R494" i="10"/>
  <c r="AG494" i="10" s="1"/>
  <c r="R493" i="10"/>
  <c r="AG493" i="10" s="1"/>
  <c r="R492" i="10"/>
  <c r="AG492" i="10" s="1"/>
  <c r="R491" i="10"/>
  <c r="AG491" i="10" s="1"/>
  <c r="R490" i="10"/>
  <c r="AG490" i="10" s="1"/>
  <c r="S489" i="10"/>
  <c r="S488" i="10"/>
  <c r="S487" i="10"/>
  <c r="S486" i="10"/>
  <c r="S485" i="10"/>
  <c r="S484" i="10"/>
  <c r="S483" i="10"/>
  <c r="S482" i="10"/>
  <c r="S481" i="10"/>
  <c r="S480" i="10"/>
  <c r="S479" i="10"/>
  <c r="S478" i="10"/>
  <c r="S477" i="10"/>
  <c r="R476" i="10"/>
  <c r="AG476" i="10" s="1"/>
  <c r="R475" i="10"/>
  <c r="AG475" i="10" s="1"/>
  <c r="R474" i="10"/>
  <c r="AG474" i="10" s="1"/>
  <c r="R473" i="10"/>
  <c r="AG473" i="10" s="1"/>
  <c r="R472" i="10"/>
  <c r="AG472" i="10" s="1"/>
  <c r="R471" i="10"/>
  <c r="AG471" i="10" s="1"/>
  <c r="R470" i="10"/>
  <c r="AG470" i="10" s="1"/>
  <c r="R469" i="10"/>
  <c r="AG469" i="10" s="1"/>
  <c r="R468" i="10"/>
  <c r="AG468" i="10" s="1"/>
  <c r="R467" i="10"/>
  <c r="AG467" i="10" s="1"/>
  <c r="R466" i="10"/>
  <c r="AG466" i="10" s="1"/>
  <c r="R465" i="10"/>
  <c r="AG465" i="10" s="1"/>
  <c r="R464" i="10"/>
  <c r="AG464" i="10" s="1"/>
  <c r="R463" i="10"/>
  <c r="AG463" i="10" s="1"/>
  <c r="R462" i="10"/>
  <c r="AG462" i="10" s="1"/>
  <c r="R461" i="10"/>
  <c r="AG461" i="10" s="1"/>
  <c r="R460" i="10"/>
  <c r="AG460" i="10" s="1"/>
  <c r="R459" i="10"/>
  <c r="AG459" i="10" s="1"/>
  <c r="R458" i="10"/>
  <c r="AG458" i="10" s="1"/>
  <c r="R457" i="10"/>
  <c r="AG457" i="10" s="1"/>
  <c r="R456" i="10"/>
  <c r="AG456" i="10" s="1"/>
  <c r="R455" i="10"/>
  <c r="AG455" i="10" s="1"/>
  <c r="R454" i="10"/>
  <c r="AG454" i="10" s="1"/>
  <c r="R453" i="10"/>
  <c r="AG453" i="10" s="1"/>
  <c r="R452" i="10"/>
  <c r="AG452" i="10" s="1"/>
  <c r="R451" i="10"/>
  <c r="AG451" i="10" s="1"/>
  <c r="R450" i="10"/>
  <c r="AG450" i="10" s="1"/>
  <c r="R449" i="10"/>
  <c r="AG449" i="10" s="1"/>
  <c r="R448" i="10"/>
  <c r="AG448" i="10" s="1"/>
  <c r="R447" i="10"/>
  <c r="AG447" i="10" s="1"/>
  <c r="R489" i="10"/>
  <c r="AG489" i="10" s="1"/>
  <c r="R488" i="10"/>
  <c r="AG488" i="10" s="1"/>
  <c r="R487" i="10"/>
  <c r="AG487" i="10" s="1"/>
  <c r="R486" i="10"/>
  <c r="AG486" i="10" s="1"/>
  <c r="R485" i="10"/>
  <c r="AG485" i="10" s="1"/>
  <c r="R484" i="10"/>
  <c r="AG484" i="10" s="1"/>
  <c r="R483" i="10"/>
  <c r="AG483" i="10" s="1"/>
  <c r="R482" i="10"/>
  <c r="AG482" i="10" s="1"/>
  <c r="R481" i="10"/>
  <c r="AG481" i="10" s="1"/>
  <c r="R480" i="10"/>
  <c r="AG480" i="10" s="1"/>
  <c r="R479" i="10"/>
  <c r="AG479" i="10" s="1"/>
  <c r="R478" i="10"/>
  <c r="AG478" i="10" s="1"/>
  <c r="R477" i="10"/>
  <c r="AG477" i="10" s="1"/>
  <c r="S476" i="10"/>
  <c r="T476" i="10" s="1"/>
  <c r="S446" i="10"/>
  <c r="S445" i="10"/>
  <c r="S444" i="10"/>
  <c r="S443" i="10"/>
  <c r="S442" i="10"/>
  <c r="S441" i="10"/>
  <c r="S440" i="10"/>
  <c r="S474" i="10"/>
  <c r="S472" i="10"/>
  <c r="T472" i="10" s="1"/>
  <c r="S470" i="10"/>
  <c r="S468" i="10"/>
  <c r="T468" i="10" s="1"/>
  <c r="S466" i="10"/>
  <c r="S464" i="10"/>
  <c r="T464" i="10" s="1"/>
  <c r="S462" i="10"/>
  <c r="S460" i="10"/>
  <c r="T460" i="10" s="1"/>
  <c r="S458" i="10"/>
  <c r="S456" i="10"/>
  <c r="T456" i="10" s="1"/>
  <c r="S454" i="10"/>
  <c r="S452" i="10"/>
  <c r="T452" i="10" s="1"/>
  <c r="S450" i="10"/>
  <c r="S448" i="10"/>
  <c r="T448" i="10" s="1"/>
  <c r="S439" i="10"/>
  <c r="S438" i="10"/>
  <c r="S437" i="10"/>
  <c r="S436" i="10"/>
  <c r="S435" i="10"/>
  <c r="S434" i="10"/>
  <c r="S433" i="10"/>
  <c r="S432" i="10"/>
  <c r="S431" i="10"/>
  <c r="S430" i="10"/>
  <c r="S429" i="10"/>
  <c r="S428" i="10"/>
  <c r="S427" i="10"/>
  <c r="S426" i="10"/>
  <c r="S425" i="10"/>
  <c r="S424" i="10"/>
  <c r="S423" i="10"/>
  <c r="S422" i="10"/>
  <c r="S421" i="10"/>
  <c r="S420" i="10"/>
  <c r="S419" i="10"/>
  <c r="S418" i="10"/>
  <c r="S417" i="10"/>
  <c r="S416" i="10"/>
  <c r="S415" i="10"/>
  <c r="S414" i="10"/>
  <c r="S413" i="10"/>
  <c r="S412" i="10"/>
  <c r="S411" i="10"/>
  <c r="S410" i="10"/>
  <c r="S409" i="10"/>
  <c r="S408" i="10"/>
  <c r="S407" i="10"/>
  <c r="S406" i="10"/>
  <c r="S405" i="10"/>
  <c r="S404" i="10"/>
  <c r="S403" i="10"/>
  <c r="S402" i="10"/>
  <c r="S401" i="10"/>
  <c r="S400" i="10"/>
  <c r="S399" i="10"/>
  <c r="S398" i="10"/>
  <c r="S473" i="10"/>
  <c r="T473" i="10" s="1"/>
  <c r="S469" i="10"/>
  <c r="S465" i="10"/>
  <c r="T465" i="10" s="1"/>
  <c r="S461" i="10"/>
  <c r="S457" i="10"/>
  <c r="T457" i="10" s="1"/>
  <c r="S453" i="10"/>
  <c r="S449" i="10"/>
  <c r="T449" i="10" s="1"/>
  <c r="R446" i="10"/>
  <c r="AG446" i="10" s="1"/>
  <c r="R444" i="10"/>
  <c r="AG444" i="10" s="1"/>
  <c r="R442" i="10"/>
  <c r="AG442" i="10" s="1"/>
  <c r="R440" i="10"/>
  <c r="AG440" i="10" s="1"/>
  <c r="R439" i="10"/>
  <c r="AG439" i="10" s="1"/>
  <c r="R438" i="10"/>
  <c r="AG438" i="10" s="1"/>
  <c r="R437" i="10"/>
  <c r="AG437" i="10" s="1"/>
  <c r="R436" i="10"/>
  <c r="AG436" i="10" s="1"/>
  <c r="R435" i="10"/>
  <c r="AG435" i="10" s="1"/>
  <c r="R434" i="10"/>
  <c r="AG434" i="10" s="1"/>
  <c r="R433" i="10"/>
  <c r="AG433" i="10" s="1"/>
  <c r="R432" i="10"/>
  <c r="AG432" i="10" s="1"/>
  <c r="R431" i="10"/>
  <c r="AG431" i="10" s="1"/>
  <c r="R430" i="10"/>
  <c r="AG430" i="10" s="1"/>
  <c r="R429" i="10"/>
  <c r="AG429" i="10" s="1"/>
  <c r="R428" i="10"/>
  <c r="AG428" i="10" s="1"/>
  <c r="R427" i="10"/>
  <c r="AG427" i="10" s="1"/>
  <c r="R426" i="10"/>
  <c r="AG426" i="10" s="1"/>
  <c r="R425" i="10"/>
  <c r="AG425" i="10" s="1"/>
  <c r="R424" i="10"/>
  <c r="AG424" i="10" s="1"/>
  <c r="R423" i="10"/>
  <c r="AG423" i="10" s="1"/>
  <c r="R422" i="10"/>
  <c r="AG422" i="10" s="1"/>
  <c r="R421" i="10"/>
  <c r="AG421" i="10" s="1"/>
  <c r="R420" i="10"/>
  <c r="AG420" i="10" s="1"/>
  <c r="R419" i="10"/>
  <c r="AG419" i="10" s="1"/>
  <c r="R418" i="10"/>
  <c r="AG418" i="10" s="1"/>
  <c r="R417" i="10"/>
  <c r="AG417" i="10" s="1"/>
  <c r="R416" i="10"/>
  <c r="AG416" i="10" s="1"/>
  <c r="R415" i="10"/>
  <c r="AG415" i="10" s="1"/>
  <c r="R414" i="10"/>
  <c r="AG414" i="10" s="1"/>
  <c r="R413" i="10"/>
  <c r="AG413" i="10" s="1"/>
  <c r="R412" i="10"/>
  <c r="AG412" i="10" s="1"/>
  <c r="R411" i="10"/>
  <c r="AG411" i="10" s="1"/>
  <c r="R410" i="10"/>
  <c r="AG410" i="10" s="1"/>
  <c r="R409" i="10"/>
  <c r="AG409" i="10" s="1"/>
  <c r="R408" i="10"/>
  <c r="AG408" i="10" s="1"/>
  <c r="R407" i="10"/>
  <c r="AG407" i="10" s="1"/>
  <c r="R406" i="10"/>
  <c r="AG406" i="10" s="1"/>
  <c r="R405" i="10"/>
  <c r="AG405" i="10" s="1"/>
  <c r="R404" i="10"/>
  <c r="AG404" i="10" s="1"/>
  <c r="R403" i="10"/>
  <c r="AG403" i="10" s="1"/>
  <c r="R402" i="10"/>
  <c r="AG402" i="10" s="1"/>
  <c r="R401" i="10"/>
  <c r="AG401" i="10" s="1"/>
  <c r="R400" i="10"/>
  <c r="AG400" i="10" s="1"/>
  <c r="R399" i="10"/>
  <c r="AG399" i="10" s="1"/>
  <c r="R398" i="10"/>
  <c r="AG398" i="10" s="1"/>
  <c r="R397" i="10"/>
  <c r="AG397" i="10" s="1"/>
  <c r="R396" i="10"/>
  <c r="AG396" i="10" s="1"/>
  <c r="R395" i="10"/>
  <c r="AG395" i="10" s="1"/>
  <c r="R394" i="10"/>
  <c r="AG394" i="10" s="1"/>
  <c r="R393" i="10"/>
  <c r="AG393" i="10" s="1"/>
  <c r="R392" i="10"/>
  <c r="AG392" i="10" s="1"/>
  <c r="R391" i="10"/>
  <c r="AG391" i="10" s="1"/>
  <c r="R390" i="10"/>
  <c r="AG390" i="10" s="1"/>
  <c r="R389" i="10"/>
  <c r="AG389" i="10" s="1"/>
  <c r="R388" i="10"/>
  <c r="AG388" i="10" s="1"/>
  <c r="R387" i="10"/>
  <c r="AG387" i="10" s="1"/>
  <c r="R386" i="10"/>
  <c r="AG386" i="10" s="1"/>
  <c r="R385" i="10"/>
  <c r="AG385" i="10" s="1"/>
  <c r="R384" i="10"/>
  <c r="AG384" i="10" s="1"/>
  <c r="R383" i="10"/>
  <c r="AG383" i="10" s="1"/>
  <c r="R382" i="10"/>
  <c r="AG382" i="10" s="1"/>
  <c r="R381" i="10"/>
  <c r="AG381" i="10" s="1"/>
  <c r="R380" i="10"/>
  <c r="AG380" i="10" s="1"/>
  <c r="R379" i="10"/>
  <c r="AG379" i="10" s="1"/>
  <c r="R378" i="10"/>
  <c r="AG378" i="10" s="1"/>
  <c r="R377" i="10"/>
  <c r="AG377" i="10" s="1"/>
  <c r="R376" i="10"/>
  <c r="AG376" i="10" s="1"/>
  <c r="R375" i="10"/>
  <c r="AG375" i="10" s="1"/>
  <c r="R374" i="10"/>
  <c r="AG374" i="10" s="1"/>
  <c r="R373" i="10"/>
  <c r="AG373" i="10" s="1"/>
  <c r="R372" i="10"/>
  <c r="AG372" i="10" s="1"/>
  <c r="R371" i="10"/>
  <c r="R370" i="10"/>
  <c r="AG370" i="10" s="1"/>
  <c r="R369" i="10"/>
  <c r="R368" i="10"/>
  <c r="AG368" i="10" s="1"/>
  <c r="R367" i="10"/>
  <c r="R366" i="10"/>
  <c r="AG366" i="10" s="1"/>
  <c r="R365" i="10"/>
  <c r="R364" i="10"/>
  <c r="AG364" i="10" s="1"/>
  <c r="R363" i="10"/>
  <c r="R362" i="10"/>
  <c r="AG362" i="10" s="1"/>
  <c r="R361" i="10"/>
  <c r="R360" i="10"/>
  <c r="AG360" i="10" s="1"/>
  <c r="R359" i="10"/>
  <c r="R358" i="10"/>
  <c r="AG358" i="10" s="1"/>
  <c r="R357" i="10"/>
  <c r="AG357" i="10" s="1"/>
  <c r="R356" i="10"/>
  <c r="AG356" i="10" s="1"/>
  <c r="R355" i="10"/>
  <c r="AG355" i="10" s="1"/>
  <c r="R354" i="10"/>
  <c r="AG354" i="10" s="1"/>
  <c r="R353" i="10"/>
  <c r="AG353" i="10" s="1"/>
  <c r="R352" i="10"/>
  <c r="AG352" i="10" s="1"/>
  <c r="R351" i="10"/>
  <c r="AG351" i="10" s="1"/>
  <c r="R350" i="10"/>
  <c r="AG350" i="10" s="1"/>
  <c r="R349" i="10"/>
  <c r="AG349" i="10" s="1"/>
  <c r="R348" i="10"/>
  <c r="AG348" i="10" s="1"/>
  <c r="R347" i="10"/>
  <c r="AG347" i="10" s="1"/>
  <c r="R346" i="10"/>
  <c r="AG346" i="10" s="1"/>
  <c r="R345" i="10"/>
  <c r="AG345" i="10" s="1"/>
  <c r="R344" i="10"/>
  <c r="AG344" i="10" s="1"/>
  <c r="R343" i="10"/>
  <c r="AG343" i="10" s="1"/>
  <c r="R342" i="10"/>
  <c r="AG342" i="10" s="1"/>
  <c r="R341" i="10"/>
  <c r="AG341" i="10" s="1"/>
  <c r="R340" i="10"/>
  <c r="AG340" i="10" s="1"/>
  <c r="R339" i="10"/>
  <c r="AG339" i="10" s="1"/>
  <c r="R338" i="10"/>
  <c r="AG338" i="10" s="1"/>
  <c r="R337" i="10"/>
  <c r="AG337" i="10" s="1"/>
  <c r="R336" i="10"/>
  <c r="AG336" i="10" s="1"/>
  <c r="R335" i="10"/>
  <c r="AG335" i="10" s="1"/>
  <c r="R334" i="10"/>
  <c r="AG334" i="10" s="1"/>
  <c r="R333" i="10"/>
  <c r="AG333" i="10" s="1"/>
  <c r="R332" i="10"/>
  <c r="AG332" i="10" s="1"/>
  <c r="R331" i="10"/>
  <c r="AG331" i="10" s="1"/>
  <c r="R330" i="10"/>
  <c r="AG330" i="10" s="1"/>
  <c r="R329" i="10"/>
  <c r="AG329" i="10" s="1"/>
  <c r="R328" i="10"/>
  <c r="AG328" i="10" s="1"/>
  <c r="R327" i="10"/>
  <c r="AG327" i="10" s="1"/>
  <c r="R326" i="10"/>
  <c r="AG326" i="10" s="1"/>
  <c r="R325" i="10"/>
  <c r="AG325" i="10" s="1"/>
  <c r="R324" i="10"/>
  <c r="AG324" i="10" s="1"/>
  <c r="R323" i="10"/>
  <c r="AG323" i="10" s="1"/>
  <c r="R322" i="10"/>
  <c r="AG322" i="10" s="1"/>
  <c r="R321" i="10"/>
  <c r="AG321" i="10" s="1"/>
  <c r="R320" i="10"/>
  <c r="AG320" i="10" s="1"/>
  <c r="R319" i="10"/>
  <c r="AG319" i="10" s="1"/>
  <c r="R318" i="10"/>
  <c r="AG318" i="10" s="1"/>
  <c r="R317" i="10"/>
  <c r="AG317" i="10" s="1"/>
  <c r="R316" i="10"/>
  <c r="AG316" i="10" s="1"/>
  <c r="R315" i="10"/>
  <c r="AG315" i="10" s="1"/>
  <c r="R314" i="10"/>
  <c r="AG314" i="10" s="1"/>
  <c r="R313" i="10"/>
  <c r="AG313" i="10" s="1"/>
  <c r="S475" i="10"/>
  <c r="T475" i="10" s="1"/>
  <c r="S467" i="10"/>
  <c r="S459" i="10"/>
  <c r="T459" i="10" s="1"/>
  <c r="S451" i="10"/>
  <c r="R445" i="10"/>
  <c r="AG445" i="10" s="1"/>
  <c r="R441" i="10"/>
  <c r="AG441" i="10" s="1"/>
  <c r="R312" i="10"/>
  <c r="AG312" i="10" s="1"/>
  <c r="R311" i="10"/>
  <c r="AG311" i="10" s="1"/>
  <c r="R310" i="10"/>
  <c r="AG310" i="10" s="1"/>
  <c r="R309" i="10"/>
  <c r="AG309" i="10" s="1"/>
  <c r="R308" i="10"/>
  <c r="AG308" i="10" s="1"/>
  <c r="R307" i="10"/>
  <c r="AG307" i="10" s="1"/>
  <c r="R306" i="10"/>
  <c r="AG306" i="10" s="1"/>
  <c r="R305" i="10"/>
  <c r="AG305" i="10" s="1"/>
  <c r="R304" i="10"/>
  <c r="AG304" i="10" s="1"/>
  <c r="R303" i="10"/>
  <c r="AG303" i="10" s="1"/>
  <c r="R302" i="10"/>
  <c r="AG302" i="10" s="1"/>
  <c r="R301" i="10"/>
  <c r="AG301" i="10" s="1"/>
  <c r="R300" i="10"/>
  <c r="AG300" i="10" s="1"/>
  <c r="R299" i="10"/>
  <c r="AG299" i="10" s="1"/>
  <c r="R298" i="10"/>
  <c r="AG298" i="10" s="1"/>
  <c r="R297" i="10"/>
  <c r="AG297" i="10" s="1"/>
  <c r="R296" i="10"/>
  <c r="AG296" i="10" s="1"/>
  <c r="R295" i="10"/>
  <c r="AG295" i="10" s="1"/>
  <c r="R294" i="10"/>
  <c r="AG294" i="10" s="1"/>
  <c r="R293" i="10"/>
  <c r="AG293" i="10" s="1"/>
  <c r="R292" i="10"/>
  <c r="AG292" i="10" s="1"/>
  <c r="R291" i="10"/>
  <c r="AG291" i="10" s="1"/>
  <c r="R290" i="10"/>
  <c r="AG290" i="10" s="1"/>
  <c r="R289" i="10"/>
  <c r="AG289" i="10" s="1"/>
  <c r="R288" i="10"/>
  <c r="AG288" i="10" s="1"/>
  <c r="R287" i="10"/>
  <c r="AG287" i="10" s="1"/>
  <c r="R286" i="10"/>
  <c r="AG286" i="10" s="1"/>
  <c r="R285" i="10"/>
  <c r="AG285" i="10" s="1"/>
  <c r="R284" i="10"/>
  <c r="AG284" i="10" s="1"/>
  <c r="R283" i="10"/>
  <c r="AG283" i="10" s="1"/>
  <c r="R282" i="10"/>
  <c r="AG282" i="10" s="1"/>
  <c r="S471" i="10"/>
  <c r="S463" i="10"/>
  <c r="T463" i="10" s="1"/>
  <c r="S455" i="10"/>
  <c r="S447" i="10"/>
  <c r="T447" i="10" s="1"/>
  <c r="R443" i="10"/>
  <c r="AG443" i="10" s="1"/>
  <c r="S397" i="10"/>
  <c r="S396" i="10"/>
  <c r="S395" i="10"/>
  <c r="S394" i="10"/>
  <c r="S393" i="10"/>
  <c r="S392" i="10"/>
  <c r="S391" i="10"/>
  <c r="S390" i="10"/>
  <c r="S389" i="10"/>
  <c r="S388" i="10"/>
  <c r="S387" i="10"/>
  <c r="S386" i="10"/>
  <c r="S385" i="10"/>
  <c r="S384" i="10"/>
  <c r="S383" i="10"/>
  <c r="S382" i="10"/>
  <c r="S381" i="10"/>
  <c r="S380" i="10"/>
  <c r="S379" i="10"/>
  <c r="S378" i="10"/>
  <c r="S377" i="10"/>
  <c r="S376" i="10"/>
  <c r="S375" i="10"/>
  <c r="S374" i="10"/>
  <c r="S373" i="10"/>
  <c r="S372" i="10"/>
  <c r="S371" i="10"/>
  <c r="S370" i="10"/>
  <c r="S369" i="10"/>
  <c r="S368" i="10"/>
  <c r="S367" i="10"/>
  <c r="S366" i="10"/>
  <c r="S365" i="10"/>
  <c r="S364" i="10"/>
  <c r="S363" i="10"/>
  <c r="S362" i="10"/>
  <c r="S361" i="10"/>
  <c r="S360" i="10"/>
  <c r="S359" i="10"/>
  <c r="S358" i="10"/>
  <c r="S357" i="10"/>
  <c r="S356" i="10"/>
  <c r="S355" i="10"/>
  <c r="S354" i="10"/>
  <c r="S353" i="10"/>
  <c r="S352" i="10"/>
  <c r="S351" i="10"/>
  <c r="S350" i="10"/>
  <c r="S349" i="10"/>
  <c r="S348" i="10"/>
  <c r="S347" i="10"/>
  <c r="S346" i="10"/>
  <c r="S345" i="10"/>
  <c r="S344" i="10"/>
  <c r="S343" i="10"/>
  <c r="S342" i="10"/>
  <c r="S341" i="10"/>
  <c r="S340" i="10"/>
  <c r="S339" i="10"/>
  <c r="S338" i="10"/>
  <c r="S337" i="10"/>
  <c r="S336" i="10"/>
  <c r="S335" i="10"/>
  <c r="S334" i="10"/>
  <c r="S333" i="10"/>
  <c r="S332" i="10"/>
  <c r="S331" i="10"/>
  <c r="S330" i="10"/>
  <c r="S329" i="10"/>
  <c r="S328" i="10"/>
  <c r="S327" i="10"/>
  <c r="S326" i="10"/>
  <c r="S325" i="10"/>
  <c r="S324" i="10"/>
  <c r="S323" i="10"/>
  <c r="S322" i="10"/>
  <c r="S321" i="10"/>
  <c r="S320" i="10"/>
  <c r="S319" i="10"/>
  <c r="S318" i="10"/>
  <c r="S317" i="10"/>
  <c r="S316" i="10"/>
  <c r="S315" i="10"/>
  <c r="S314" i="10"/>
  <c r="S313" i="10"/>
  <c r="S312" i="10"/>
  <c r="S311" i="10"/>
  <c r="S310" i="10"/>
  <c r="S309" i="10"/>
  <c r="S308" i="10"/>
  <c r="S307" i="10"/>
  <c r="S306" i="10"/>
  <c r="S305" i="10"/>
  <c r="S304" i="10"/>
  <c r="S303" i="10"/>
  <c r="S302" i="10"/>
  <c r="S301" i="10"/>
  <c r="S300" i="10"/>
  <c r="S299" i="10"/>
  <c r="S298" i="10"/>
  <c r="S297" i="10"/>
  <c r="S296" i="10"/>
  <c r="S295" i="10"/>
  <c r="S294" i="10"/>
  <c r="S293" i="10"/>
  <c r="S292" i="10"/>
  <c r="S291" i="10"/>
  <c r="S290" i="10"/>
  <c r="S289" i="10"/>
  <c r="S288" i="10"/>
  <c r="S287" i="10"/>
  <c r="S286" i="10"/>
  <c r="S285" i="10"/>
  <c r="S284" i="10"/>
  <c r="S283" i="10"/>
  <c r="S282" i="10"/>
  <c r="V514" i="10"/>
  <c r="V513" i="10"/>
  <c r="V512" i="10"/>
  <c r="AH512" i="10" s="1"/>
  <c r="V511" i="10"/>
  <c r="AH511" i="10" s="1"/>
  <c r="W510" i="10"/>
  <c r="W509" i="10"/>
  <c r="W508" i="10"/>
  <c r="W507" i="10"/>
  <c r="W506" i="10"/>
  <c r="W505" i="10"/>
  <c r="W504" i="10"/>
  <c r="W503" i="10"/>
  <c r="W502" i="10"/>
  <c r="W501" i="10"/>
  <c r="W500" i="10"/>
  <c r="W499" i="10"/>
  <c r="W498" i="10"/>
  <c r="W497" i="10"/>
  <c r="W496" i="10"/>
  <c r="W495" i="10"/>
  <c r="W494" i="10"/>
  <c r="W493" i="10"/>
  <c r="W492" i="10"/>
  <c r="W491" i="10"/>
  <c r="W490" i="10"/>
  <c r="W513" i="10"/>
  <c r="W511" i="10"/>
  <c r="W489" i="10"/>
  <c r="W488" i="10"/>
  <c r="W487" i="10"/>
  <c r="W486" i="10"/>
  <c r="W485" i="10"/>
  <c r="W484" i="10"/>
  <c r="W483" i="10"/>
  <c r="W482" i="10"/>
  <c r="W481" i="10"/>
  <c r="W480" i="10"/>
  <c r="W479" i="10"/>
  <c r="W478" i="10"/>
  <c r="W477" i="10"/>
  <c r="V476" i="10"/>
  <c r="AH476" i="10" s="1"/>
  <c r="V475" i="10"/>
  <c r="V474" i="10"/>
  <c r="AH474" i="10" s="1"/>
  <c r="V473" i="10"/>
  <c r="AH473" i="10" s="1"/>
  <c r="V472" i="10"/>
  <c r="AH472" i="10" s="1"/>
  <c r="V471" i="10"/>
  <c r="AH471" i="10" s="1"/>
  <c r="V470" i="10"/>
  <c r="AH470" i="10" s="1"/>
  <c r="V469" i="10"/>
  <c r="AH469" i="10" s="1"/>
  <c r="V468" i="10"/>
  <c r="AH468" i="10" s="1"/>
  <c r="V467" i="10"/>
  <c r="AH467" i="10" s="1"/>
  <c r="V466" i="10"/>
  <c r="AH466" i="10" s="1"/>
  <c r="V465" i="10"/>
  <c r="AH465" i="10" s="1"/>
  <c r="V464" i="10"/>
  <c r="AH464" i="10" s="1"/>
  <c r="V463" i="10"/>
  <c r="AH463" i="10" s="1"/>
  <c r="V462" i="10"/>
  <c r="AH462" i="10" s="1"/>
  <c r="V461" i="10"/>
  <c r="AH461" i="10" s="1"/>
  <c r="V460" i="10"/>
  <c r="AH460" i="10" s="1"/>
  <c r="V459" i="10"/>
  <c r="AH459" i="10" s="1"/>
  <c r="V458" i="10"/>
  <c r="AH458" i="10" s="1"/>
  <c r="V457" i="10"/>
  <c r="AH457" i="10" s="1"/>
  <c r="V456" i="10"/>
  <c r="AH456" i="10" s="1"/>
  <c r="V455" i="10"/>
  <c r="AH455" i="10" s="1"/>
  <c r="V454" i="10"/>
  <c r="AH454" i="10" s="1"/>
  <c r="V453" i="10"/>
  <c r="AH453" i="10" s="1"/>
  <c r="V452" i="10"/>
  <c r="AH452" i="10" s="1"/>
  <c r="V451" i="10"/>
  <c r="AH451" i="10" s="1"/>
  <c r="V450" i="10"/>
  <c r="AH450" i="10" s="1"/>
  <c r="V449" i="10"/>
  <c r="AH449" i="10" s="1"/>
  <c r="V448" i="10"/>
  <c r="AH448" i="10" s="1"/>
  <c r="V447" i="10"/>
  <c r="AH447" i="10" s="1"/>
  <c r="W514" i="10"/>
  <c r="V509" i="10"/>
  <c r="AH509" i="10" s="1"/>
  <c r="V507" i="10"/>
  <c r="AH507" i="10" s="1"/>
  <c r="V505" i="10"/>
  <c r="AH505" i="10" s="1"/>
  <c r="V503" i="10"/>
  <c r="AH503" i="10" s="1"/>
  <c r="V501" i="10"/>
  <c r="AH501" i="10" s="1"/>
  <c r="V499" i="10"/>
  <c r="AH499" i="10" s="1"/>
  <c r="V497" i="10"/>
  <c r="AH497" i="10" s="1"/>
  <c r="V495" i="10"/>
  <c r="AH495" i="10" s="1"/>
  <c r="V493" i="10"/>
  <c r="AH493" i="10" s="1"/>
  <c r="V491" i="10"/>
  <c r="AH491" i="10" s="1"/>
  <c r="V508" i="10"/>
  <c r="AH508" i="10" s="1"/>
  <c r="V504" i="10"/>
  <c r="AH504" i="10" s="1"/>
  <c r="V500" i="10"/>
  <c r="AH500" i="10" s="1"/>
  <c r="V496" i="10"/>
  <c r="AH496" i="10" s="1"/>
  <c r="V492" i="10"/>
  <c r="AH492" i="10" s="1"/>
  <c r="V488" i="10"/>
  <c r="AH488" i="10" s="1"/>
  <c r="V486" i="10"/>
  <c r="AH486" i="10" s="1"/>
  <c r="V484" i="10"/>
  <c r="AH484" i="10" s="1"/>
  <c r="V482" i="10"/>
  <c r="AH482" i="10" s="1"/>
  <c r="V480" i="10"/>
  <c r="AH480" i="10" s="1"/>
  <c r="V478" i="10"/>
  <c r="AH478" i="10" s="1"/>
  <c r="W476" i="10"/>
  <c r="X476" i="10" s="1"/>
  <c r="W475" i="10"/>
  <c r="W474" i="10"/>
  <c r="X474" i="10" s="1"/>
  <c r="W473" i="10"/>
  <c r="W472" i="10"/>
  <c r="X472" i="10" s="1"/>
  <c r="W471" i="10"/>
  <c r="W470" i="10"/>
  <c r="X470" i="10" s="1"/>
  <c r="W469" i="10"/>
  <c r="W468" i="10"/>
  <c r="X468" i="10" s="1"/>
  <c r="W467" i="10"/>
  <c r="W466" i="10"/>
  <c r="X466" i="10" s="1"/>
  <c r="W465" i="10"/>
  <c r="W464" i="10"/>
  <c r="X464" i="10" s="1"/>
  <c r="W463" i="10"/>
  <c r="W462" i="10"/>
  <c r="X462" i="10" s="1"/>
  <c r="W461" i="10"/>
  <c r="W460" i="10"/>
  <c r="X460" i="10" s="1"/>
  <c r="W459" i="10"/>
  <c r="W458" i="10"/>
  <c r="X458" i="10" s="1"/>
  <c r="W457" i="10"/>
  <c r="W456" i="10"/>
  <c r="X456" i="10" s="1"/>
  <c r="W455" i="10"/>
  <c r="W454" i="10"/>
  <c r="X454" i="10" s="1"/>
  <c r="W453" i="10"/>
  <c r="W452" i="10"/>
  <c r="X452" i="10" s="1"/>
  <c r="W451" i="10"/>
  <c r="W450" i="10"/>
  <c r="X450" i="10" s="1"/>
  <c r="W449" i="10"/>
  <c r="W448" i="10"/>
  <c r="X448" i="10" s="1"/>
  <c r="W447" i="10"/>
  <c r="W446" i="10"/>
  <c r="W445" i="10"/>
  <c r="W444" i="10"/>
  <c r="W443" i="10"/>
  <c r="W442" i="10"/>
  <c r="W441" i="10"/>
  <c r="W440" i="10"/>
  <c r="W512" i="10"/>
  <c r="V506" i="10"/>
  <c r="AH506" i="10" s="1"/>
  <c r="V498" i="10"/>
  <c r="AH498" i="10" s="1"/>
  <c r="V490" i="10"/>
  <c r="AH490" i="10" s="1"/>
  <c r="V487" i="10"/>
  <c r="AH487" i="10" s="1"/>
  <c r="V483" i="10"/>
  <c r="AH483" i="10" s="1"/>
  <c r="V479" i="10"/>
  <c r="AH479" i="10" s="1"/>
  <c r="V446" i="10"/>
  <c r="AH446" i="10" s="1"/>
  <c r="V445" i="10"/>
  <c r="AH445" i="10" s="1"/>
  <c r="V444" i="10"/>
  <c r="AH444" i="10" s="1"/>
  <c r="V443" i="10"/>
  <c r="AH443" i="10" s="1"/>
  <c r="V442" i="10"/>
  <c r="AH442" i="10" s="1"/>
  <c r="V441" i="10"/>
  <c r="AH441" i="10" s="1"/>
  <c r="V440" i="10"/>
  <c r="AH440" i="10" s="1"/>
  <c r="W439" i="10"/>
  <c r="W438" i="10"/>
  <c r="W437" i="10"/>
  <c r="W436" i="10"/>
  <c r="W435" i="10"/>
  <c r="W434" i="10"/>
  <c r="W433" i="10"/>
  <c r="W432" i="10"/>
  <c r="W431" i="10"/>
  <c r="W430" i="10"/>
  <c r="W429" i="10"/>
  <c r="W428" i="10"/>
  <c r="W427" i="10"/>
  <c r="W426" i="10"/>
  <c r="W425" i="10"/>
  <c r="W424" i="10"/>
  <c r="W423" i="10"/>
  <c r="W422" i="10"/>
  <c r="W421" i="10"/>
  <c r="W420" i="10"/>
  <c r="W419" i="10"/>
  <c r="W418" i="10"/>
  <c r="W417" i="10"/>
  <c r="W416" i="10"/>
  <c r="W415" i="10"/>
  <c r="W414" i="10"/>
  <c r="W413" i="10"/>
  <c r="W412" i="10"/>
  <c r="W411" i="10"/>
  <c r="W410" i="10"/>
  <c r="W409" i="10"/>
  <c r="W408" i="10"/>
  <c r="W407" i="10"/>
  <c r="W406" i="10"/>
  <c r="W405" i="10"/>
  <c r="W404" i="10"/>
  <c r="W403" i="10"/>
  <c r="W402" i="10"/>
  <c r="W401" i="10"/>
  <c r="W400" i="10"/>
  <c r="W399" i="10"/>
  <c r="W398" i="10"/>
  <c r="V510" i="10"/>
  <c r="AH510" i="10" s="1"/>
  <c r="V494" i="10"/>
  <c r="AH494" i="10" s="1"/>
  <c r="V489" i="10"/>
  <c r="AH489" i="10" s="1"/>
  <c r="V481" i="10"/>
  <c r="AH481" i="10" s="1"/>
  <c r="V397" i="10"/>
  <c r="AH397" i="10" s="1"/>
  <c r="V396" i="10"/>
  <c r="AH396" i="10" s="1"/>
  <c r="V395" i="10"/>
  <c r="AH395" i="10" s="1"/>
  <c r="V394" i="10"/>
  <c r="AH394" i="10" s="1"/>
  <c r="V393" i="10"/>
  <c r="AH393" i="10" s="1"/>
  <c r="V392" i="10"/>
  <c r="AH392" i="10" s="1"/>
  <c r="V391" i="10"/>
  <c r="AH391" i="10" s="1"/>
  <c r="V390" i="10"/>
  <c r="AH390" i="10" s="1"/>
  <c r="V389" i="10"/>
  <c r="AH389" i="10" s="1"/>
  <c r="V388" i="10"/>
  <c r="AH388" i="10" s="1"/>
  <c r="V387" i="10"/>
  <c r="AH387" i="10" s="1"/>
  <c r="V386" i="10"/>
  <c r="AH386" i="10" s="1"/>
  <c r="V385" i="10"/>
  <c r="AH385" i="10" s="1"/>
  <c r="V384" i="10"/>
  <c r="AH384" i="10" s="1"/>
  <c r="V383" i="10"/>
  <c r="AH383" i="10" s="1"/>
  <c r="V382" i="10"/>
  <c r="AH382" i="10" s="1"/>
  <c r="V381" i="10"/>
  <c r="AH381" i="10" s="1"/>
  <c r="V380" i="10"/>
  <c r="AH380" i="10" s="1"/>
  <c r="V379" i="10"/>
  <c r="AH379" i="10" s="1"/>
  <c r="V378" i="10"/>
  <c r="AH378" i="10" s="1"/>
  <c r="V377" i="10"/>
  <c r="AH377" i="10" s="1"/>
  <c r="V376" i="10"/>
  <c r="AH376" i="10" s="1"/>
  <c r="V375" i="10"/>
  <c r="AH375" i="10" s="1"/>
  <c r="V374" i="10"/>
  <c r="AH374" i="10" s="1"/>
  <c r="V373" i="10"/>
  <c r="AH373" i="10" s="1"/>
  <c r="V372" i="10"/>
  <c r="AH372" i="10" s="1"/>
  <c r="V371" i="10"/>
  <c r="AH371" i="10" s="1"/>
  <c r="V370" i="10"/>
  <c r="AH370" i="10" s="1"/>
  <c r="V369" i="10"/>
  <c r="AH369" i="10" s="1"/>
  <c r="V368" i="10"/>
  <c r="AH368" i="10" s="1"/>
  <c r="V367" i="10"/>
  <c r="AH367" i="10" s="1"/>
  <c r="V366" i="10"/>
  <c r="AH366" i="10" s="1"/>
  <c r="V365" i="10"/>
  <c r="AH365" i="10" s="1"/>
  <c r="V364" i="10"/>
  <c r="AH364" i="10" s="1"/>
  <c r="V363" i="10"/>
  <c r="AH363" i="10" s="1"/>
  <c r="V362" i="10"/>
  <c r="AH362" i="10" s="1"/>
  <c r="V361" i="10"/>
  <c r="AH361" i="10" s="1"/>
  <c r="V360" i="10"/>
  <c r="AH360" i="10" s="1"/>
  <c r="V359" i="10"/>
  <c r="AH359" i="10" s="1"/>
  <c r="V358" i="10"/>
  <c r="AH358" i="10" s="1"/>
  <c r="V357" i="10"/>
  <c r="AH357" i="10" s="1"/>
  <c r="V356" i="10"/>
  <c r="AH356" i="10" s="1"/>
  <c r="V355" i="10"/>
  <c r="AH355" i="10" s="1"/>
  <c r="V354" i="10"/>
  <c r="AH354" i="10" s="1"/>
  <c r="V353" i="10"/>
  <c r="AH353" i="10" s="1"/>
  <c r="V352" i="10"/>
  <c r="AH352" i="10" s="1"/>
  <c r="V351" i="10"/>
  <c r="AH351" i="10" s="1"/>
  <c r="V350" i="10"/>
  <c r="AH350" i="10" s="1"/>
  <c r="V349" i="10"/>
  <c r="AH349" i="10" s="1"/>
  <c r="V348" i="10"/>
  <c r="AH348" i="10" s="1"/>
  <c r="V347" i="10"/>
  <c r="AH347" i="10" s="1"/>
  <c r="V346" i="10"/>
  <c r="AH346" i="10" s="1"/>
  <c r="V345" i="10"/>
  <c r="AH345" i="10" s="1"/>
  <c r="V344" i="10"/>
  <c r="AH344" i="10" s="1"/>
  <c r="V343" i="10"/>
  <c r="AH343" i="10" s="1"/>
  <c r="V342" i="10"/>
  <c r="AH342" i="10" s="1"/>
  <c r="V341" i="10"/>
  <c r="AH341" i="10" s="1"/>
  <c r="V340" i="10"/>
  <c r="AH340" i="10" s="1"/>
  <c r="V339" i="10"/>
  <c r="AH339" i="10" s="1"/>
  <c r="V338" i="10"/>
  <c r="AH338" i="10" s="1"/>
  <c r="V337" i="10"/>
  <c r="AH337" i="10" s="1"/>
  <c r="V336" i="10"/>
  <c r="AH336" i="10" s="1"/>
  <c r="V335" i="10"/>
  <c r="AH335" i="10" s="1"/>
  <c r="V334" i="10"/>
  <c r="AH334" i="10" s="1"/>
  <c r="V333" i="10"/>
  <c r="AH333" i="10" s="1"/>
  <c r="V332" i="10"/>
  <c r="AH332" i="10" s="1"/>
  <c r="V331" i="10"/>
  <c r="AH331" i="10" s="1"/>
  <c r="V330" i="10"/>
  <c r="AH330" i="10" s="1"/>
  <c r="V329" i="10"/>
  <c r="AH329" i="10" s="1"/>
  <c r="V328" i="10"/>
  <c r="AH328" i="10" s="1"/>
  <c r="V327" i="10"/>
  <c r="AH327" i="10" s="1"/>
  <c r="V326" i="10"/>
  <c r="AH326" i="10" s="1"/>
  <c r="V325" i="10"/>
  <c r="AH325" i="10" s="1"/>
  <c r="V324" i="10"/>
  <c r="AH324" i="10" s="1"/>
  <c r="V323" i="10"/>
  <c r="AH323" i="10" s="1"/>
  <c r="V322" i="10"/>
  <c r="AH322" i="10" s="1"/>
  <c r="V321" i="10"/>
  <c r="AH321" i="10" s="1"/>
  <c r="V320" i="10"/>
  <c r="AH320" i="10" s="1"/>
  <c r="V319" i="10"/>
  <c r="AH319" i="10" s="1"/>
  <c r="V318" i="10"/>
  <c r="AH318" i="10" s="1"/>
  <c r="V317" i="10"/>
  <c r="AH317" i="10" s="1"/>
  <c r="V316" i="10"/>
  <c r="AH316" i="10" s="1"/>
  <c r="V315" i="10"/>
  <c r="AH315" i="10" s="1"/>
  <c r="V314" i="10"/>
  <c r="AH314" i="10" s="1"/>
  <c r="V313" i="10"/>
  <c r="AH313" i="10" s="1"/>
  <c r="V312" i="10"/>
  <c r="AH312" i="10" s="1"/>
  <c r="V502" i="10"/>
  <c r="AH502" i="10" s="1"/>
  <c r="V485" i="10"/>
  <c r="AH485" i="10" s="1"/>
  <c r="V439" i="10"/>
  <c r="AH439" i="10" s="1"/>
  <c r="V437" i="10"/>
  <c r="AH437" i="10" s="1"/>
  <c r="V435" i="10"/>
  <c r="AH435" i="10" s="1"/>
  <c r="V433" i="10"/>
  <c r="AH433" i="10" s="1"/>
  <c r="V431" i="10"/>
  <c r="AH431" i="10" s="1"/>
  <c r="V429" i="10"/>
  <c r="AH429" i="10" s="1"/>
  <c r="V427" i="10"/>
  <c r="AH427" i="10" s="1"/>
  <c r="V425" i="10"/>
  <c r="AH425" i="10" s="1"/>
  <c r="V423" i="10"/>
  <c r="AH423" i="10" s="1"/>
  <c r="V421" i="10"/>
  <c r="AH421" i="10" s="1"/>
  <c r="V419" i="10"/>
  <c r="AH419" i="10" s="1"/>
  <c r="V417" i="10"/>
  <c r="V415" i="10"/>
  <c r="V413" i="10"/>
  <c r="AH413" i="10" s="1"/>
  <c r="V411" i="10"/>
  <c r="AH411" i="10" s="1"/>
  <c r="V409" i="10"/>
  <c r="AH409" i="10" s="1"/>
  <c r="V407" i="10"/>
  <c r="AH407" i="10" s="1"/>
  <c r="V405" i="10"/>
  <c r="AH405" i="10" s="1"/>
  <c r="V403" i="10"/>
  <c r="AH403" i="10" s="1"/>
  <c r="V401" i="10"/>
  <c r="AH401" i="10" s="1"/>
  <c r="V399" i="10"/>
  <c r="AH399" i="10" s="1"/>
  <c r="W397" i="10"/>
  <c r="W396" i="10"/>
  <c r="W395" i="10"/>
  <c r="W394" i="10"/>
  <c r="W393" i="10"/>
  <c r="W392" i="10"/>
  <c r="W391" i="10"/>
  <c r="W390" i="10"/>
  <c r="W389" i="10"/>
  <c r="W388" i="10"/>
  <c r="W387" i="10"/>
  <c r="W386" i="10"/>
  <c r="W385" i="10"/>
  <c r="W384" i="10"/>
  <c r="W383" i="10"/>
  <c r="W382" i="10"/>
  <c r="W381" i="10"/>
  <c r="W380" i="10"/>
  <c r="W379" i="10"/>
  <c r="W378" i="10"/>
  <c r="W377" i="10"/>
  <c r="W376" i="10"/>
  <c r="W375" i="10"/>
  <c r="W374" i="10"/>
  <c r="W373" i="10"/>
  <c r="W372" i="10"/>
  <c r="W371" i="10"/>
  <c r="W370" i="10"/>
  <c r="W369" i="10"/>
  <c r="W368" i="10"/>
  <c r="W367" i="10"/>
  <c r="W366" i="10"/>
  <c r="W365" i="10"/>
  <c r="W364" i="10"/>
  <c r="W363" i="10"/>
  <c r="W362" i="10"/>
  <c r="W361" i="10"/>
  <c r="W360" i="10"/>
  <c r="W359" i="10"/>
  <c r="W358" i="10"/>
  <c r="W357" i="10"/>
  <c r="W356" i="10"/>
  <c r="W355" i="10"/>
  <c r="W354" i="10"/>
  <c r="W353" i="10"/>
  <c r="W352" i="10"/>
  <c r="W351" i="10"/>
  <c r="W350" i="10"/>
  <c r="W349" i="10"/>
  <c r="W348" i="10"/>
  <c r="W347" i="10"/>
  <c r="W346" i="10"/>
  <c r="W345" i="10"/>
  <c r="W344" i="10"/>
  <c r="W343" i="10"/>
  <c r="W342" i="10"/>
  <c r="W341" i="10"/>
  <c r="W340" i="10"/>
  <c r="W339" i="10"/>
  <c r="W338" i="10"/>
  <c r="W337" i="10"/>
  <c r="W336" i="10"/>
  <c r="W335" i="10"/>
  <c r="W334" i="10"/>
  <c r="W333" i="10"/>
  <c r="W332" i="10"/>
  <c r="W331" i="10"/>
  <c r="W330" i="10"/>
  <c r="W329" i="10"/>
  <c r="W328" i="10"/>
  <c r="W327" i="10"/>
  <c r="W326" i="10"/>
  <c r="W325" i="10"/>
  <c r="W324" i="10"/>
  <c r="W323" i="10"/>
  <c r="W322" i="10"/>
  <c r="W321" i="10"/>
  <c r="W320" i="10"/>
  <c r="W319" i="10"/>
  <c r="W318" i="10"/>
  <c r="W317" i="10"/>
  <c r="W316" i="10"/>
  <c r="W315" i="10"/>
  <c r="W314" i="10"/>
  <c r="W313" i="10"/>
  <c r="W312" i="10"/>
  <c r="V311" i="10"/>
  <c r="AH311" i="10" s="1"/>
  <c r="V310" i="10"/>
  <c r="AH310" i="10" s="1"/>
  <c r="V309" i="10"/>
  <c r="AH309" i="10" s="1"/>
  <c r="V308" i="10"/>
  <c r="AH308" i="10" s="1"/>
  <c r="V307" i="10"/>
  <c r="AH307" i="10" s="1"/>
  <c r="V306" i="10"/>
  <c r="AH306" i="10" s="1"/>
  <c r="V305" i="10"/>
  <c r="AH305" i="10" s="1"/>
  <c r="V304" i="10"/>
  <c r="AH304" i="10" s="1"/>
  <c r="V303" i="10"/>
  <c r="AH303" i="10" s="1"/>
  <c r="V302" i="10"/>
  <c r="AH302" i="10" s="1"/>
  <c r="V301" i="10"/>
  <c r="AH301" i="10" s="1"/>
  <c r="V300" i="10"/>
  <c r="AH300" i="10" s="1"/>
  <c r="V299" i="10"/>
  <c r="AH299" i="10" s="1"/>
  <c r="V298" i="10"/>
  <c r="AH298" i="10" s="1"/>
  <c r="V297" i="10"/>
  <c r="AH297" i="10" s="1"/>
  <c r="V296" i="10"/>
  <c r="AH296" i="10" s="1"/>
  <c r="V295" i="10"/>
  <c r="AH295" i="10" s="1"/>
  <c r="V294" i="10"/>
  <c r="AH294" i="10" s="1"/>
  <c r="V293" i="10"/>
  <c r="AH293" i="10" s="1"/>
  <c r="V292" i="10"/>
  <c r="AH292" i="10" s="1"/>
  <c r="V291" i="10"/>
  <c r="AH291" i="10" s="1"/>
  <c r="V290" i="10"/>
  <c r="AH290" i="10" s="1"/>
  <c r="V289" i="10"/>
  <c r="AH289" i="10" s="1"/>
  <c r="V288" i="10"/>
  <c r="AH288" i="10" s="1"/>
  <c r="V287" i="10"/>
  <c r="AH287" i="10" s="1"/>
  <c r="V286" i="10"/>
  <c r="AH286" i="10" s="1"/>
  <c r="V285" i="10"/>
  <c r="AH285" i="10" s="1"/>
  <c r="V284" i="10"/>
  <c r="AH284" i="10" s="1"/>
  <c r="V283" i="10"/>
  <c r="AH283" i="10" s="1"/>
  <c r="V282" i="10"/>
  <c r="AH282" i="10" s="1"/>
  <c r="V477" i="10"/>
  <c r="AH477" i="10" s="1"/>
  <c r="V438" i="10"/>
  <c r="AH438" i="10" s="1"/>
  <c r="V436" i="10"/>
  <c r="AH436" i="10" s="1"/>
  <c r="V434" i="10"/>
  <c r="AH434" i="10" s="1"/>
  <c r="V432" i="10"/>
  <c r="AH432" i="10" s="1"/>
  <c r="V430" i="10"/>
  <c r="AH430" i="10" s="1"/>
  <c r="V428" i="10"/>
  <c r="AH428" i="10" s="1"/>
  <c r="V426" i="10"/>
  <c r="AH426" i="10" s="1"/>
  <c r="V424" i="10"/>
  <c r="AH424" i="10" s="1"/>
  <c r="V422" i="10"/>
  <c r="AH422" i="10" s="1"/>
  <c r="V420" i="10"/>
  <c r="AH420" i="10" s="1"/>
  <c r="V418" i="10"/>
  <c r="AH418" i="10" s="1"/>
  <c r="V416" i="10"/>
  <c r="AH416" i="10" s="1"/>
  <c r="V414" i="10"/>
  <c r="AH414" i="10" s="1"/>
  <c r="V412" i="10"/>
  <c r="AH412" i="10" s="1"/>
  <c r="V410" i="10"/>
  <c r="AH410" i="10" s="1"/>
  <c r="V408" i="10"/>
  <c r="AH408" i="10" s="1"/>
  <c r="V406" i="10"/>
  <c r="AH406" i="10" s="1"/>
  <c r="V404" i="10"/>
  <c r="AH404" i="10" s="1"/>
  <c r="V402" i="10"/>
  <c r="AH402" i="10" s="1"/>
  <c r="V400" i="10"/>
  <c r="AH400" i="10" s="1"/>
  <c r="V398" i="10"/>
  <c r="AH398" i="10" s="1"/>
  <c r="W311" i="10"/>
  <c r="X311" i="10" s="1"/>
  <c r="W310" i="10"/>
  <c r="X310" i="10" s="1"/>
  <c r="W309" i="10"/>
  <c r="X309" i="10" s="1"/>
  <c r="W308" i="10"/>
  <c r="X308" i="10" s="1"/>
  <c r="W307" i="10"/>
  <c r="X307" i="10" s="1"/>
  <c r="W306" i="10"/>
  <c r="X306" i="10" s="1"/>
  <c r="W305" i="10"/>
  <c r="X305" i="10" s="1"/>
  <c r="W304" i="10"/>
  <c r="X304" i="10" s="1"/>
  <c r="W303" i="10"/>
  <c r="X303" i="10" s="1"/>
  <c r="W302" i="10"/>
  <c r="X302" i="10" s="1"/>
  <c r="W301" i="10"/>
  <c r="X301" i="10" s="1"/>
  <c r="W300" i="10"/>
  <c r="X300" i="10" s="1"/>
  <c r="W299" i="10"/>
  <c r="X299" i="10" s="1"/>
  <c r="W298" i="10"/>
  <c r="X298" i="10" s="1"/>
  <c r="W297" i="10"/>
  <c r="X297" i="10" s="1"/>
  <c r="W296" i="10"/>
  <c r="X296" i="10" s="1"/>
  <c r="W295" i="10"/>
  <c r="X295" i="10" s="1"/>
  <c r="W294" i="10"/>
  <c r="X294" i="10" s="1"/>
  <c r="W293" i="10"/>
  <c r="X293" i="10" s="1"/>
  <c r="W292" i="10"/>
  <c r="X292" i="10" s="1"/>
  <c r="W291" i="10"/>
  <c r="X291" i="10" s="1"/>
  <c r="W290" i="10"/>
  <c r="X290" i="10" s="1"/>
  <c r="W289" i="10"/>
  <c r="X289" i="10" s="1"/>
  <c r="W288" i="10"/>
  <c r="X288" i="10" s="1"/>
  <c r="W287" i="10"/>
  <c r="X287" i="10" s="1"/>
  <c r="W286" i="10"/>
  <c r="X286" i="10" s="1"/>
  <c r="W285" i="10"/>
  <c r="X285" i="10" s="1"/>
  <c r="W284" i="10"/>
  <c r="X284" i="10" s="1"/>
  <c r="W283" i="10"/>
  <c r="X283" i="10" s="1"/>
  <c r="W282" i="10"/>
  <c r="X282" i="10" s="1"/>
  <c r="Z514" i="10"/>
  <c r="AI514" i="10" s="1"/>
  <c r="Z513" i="10"/>
  <c r="AI513" i="10" s="1"/>
  <c r="Z512" i="10"/>
  <c r="AI512" i="10" s="1"/>
  <c r="Z511" i="10"/>
  <c r="AI511" i="10" s="1"/>
  <c r="AA514" i="10"/>
  <c r="AA513" i="10"/>
  <c r="AB513" i="10" s="1"/>
  <c r="AA512" i="10"/>
  <c r="AA511" i="10"/>
  <c r="AB511" i="10" s="1"/>
  <c r="AA510" i="10"/>
  <c r="AA509" i="10"/>
  <c r="AA508" i="10"/>
  <c r="AA507" i="10"/>
  <c r="AA506" i="10"/>
  <c r="AA505" i="10"/>
  <c r="AA504" i="10"/>
  <c r="AA503" i="10"/>
  <c r="AA502" i="10"/>
  <c r="AA501" i="10"/>
  <c r="AA500" i="10"/>
  <c r="AA499" i="10"/>
  <c r="AA498" i="10"/>
  <c r="AA497" i="10"/>
  <c r="AA496" i="10"/>
  <c r="AA495" i="10"/>
  <c r="AA494" i="10"/>
  <c r="AA493" i="10"/>
  <c r="AA492" i="10"/>
  <c r="AA491" i="10"/>
  <c r="AA490" i="10"/>
  <c r="Z510" i="10"/>
  <c r="AI510" i="10" s="1"/>
  <c r="Z509" i="10"/>
  <c r="AI509" i="10" s="1"/>
  <c r="Z508" i="10"/>
  <c r="AI508" i="10" s="1"/>
  <c r="Z507" i="10"/>
  <c r="AI507" i="10" s="1"/>
  <c r="Z506" i="10"/>
  <c r="AI506" i="10" s="1"/>
  <c r="Z505" i="10"/>
  <c r="AI505" i="10" s="1"/>
  <c r="Z504" i="10"/>
  <c r="AI504" i="10" s="1"/>
  <c r="Z503" i="10"/>
  <c r="AI503" i="10" s="1"/>
  <c r="Z502" i="10"/>
  <c r="AI502" i="10" s="1"/>
  <c r="Z501" i="10"/>
  <c r="AI501" i="10" s="1"/>
  <c r="Z500" i="10"/>
  <c r="AI500" i="10" s="1"/>
  <c r="Z499" i="10"/>
  <c r="AI499" i="10" s="1"/>
  <c r="Z498" i="10"/>
  <c r="AI498" i="10" s="1"/>
  <c r="Z497" i="10"/>
  <c r="AI497" i="10" s="1"/>
  <c r="Z496" i="10"/>
  <c r="AI496" i="10" s="1"/>
  <c r="Z495" i="10"/>
  <c r="AI495" i="10" s="1"/>
  <c r="Z494" i="10"/>
  <c r="AI494" i="10" s="1"/>
  <c r="Z493" i="10"/>
  <c r="AI493" i="10" s="1"/>
  <c r="Z492" i="10"/>
  <c r="AI492" i="10" s="1"/>
  <c r="Z491" i="10"/>
  <c r="AI491" i="10" s="1"/>
  <c r="Z490" i="10"/>
  <c r="AI490" i="10" s="1"/>
  <c r="AA489" i="10"/>
  <c r="AA488" i="10"/>
  <c r="AA487" i="10"/>
  <c r="AA486" i="10"/>
  <c r="AA485" i="10"/>
  <c r="AA484" i="10"/>
  <c r="AA483" i="10"/>
  <c r="AA482" i="10"/>
  <c r="AA481" i="10"/>
  <c r="AA480" i="10"/>
  <c r="AA479" i="10"/>
  <c r="AA478" i="10"/>
  <c r="AA477" i="10"/>
  <c r="Z476" i="10"/>
  <c r="AI476" i="10" s="1"/>
  <c r="Z475" i="10"/>
  <c r="AI475" i="10" s="1"/>
  <c r="Z474" i="10"/>
  <c r="AI474" i="10" s="1"/>
  <c r="Z473" i="10"/>
  <c r="AI473" i="10" s="1"/>
  <c r="Z472" i="10"/>
  <c r="AI472" i="10" s="1"/>
  <c r="Z471" i="10"/>
  <c r="AI471" i="10" s="1"/>
  <c r="Z470" i="10"/>
  <c r="AI470" i="10" s="1"/>
  <c r="Z469" i="10"/>
  <c r="AI469" i="10" s="1"/>
  <c r="Z468" i="10"/>
  <c r="AI468" i="10" s="1"/>
  <c r="Z467" i="10"/>
  <c r="AI467" i="10" s="1"/>
  <c r="Z466" i="10"/>
  <c r="AI466" i="10" s="1"/>
  <c r="Z465" i="10"/>
  <c r="AI465" i="10" s="1"/>
  <c r="Z464" i="10"/>
  <c r="AI464" i="10" s="1"/>
  <c r="Z463" i="10"/>
  <c r="AI463" i="10" s="1"/>
  <c r="Z462" i="10"/>
  <c r="AI462" i="10" s="1"/>
  <c r="Z461" i="10"/>
  <c r="AI461" i="10" s="1"/>
  <c r="Z460" i="10"/>
  <c r="AI460" i="10" s="1"/>
  <c r="Z459" i="10"/>
  <c r="AI459" i="10" s="1"/>
  <c r="Z458" i="10"/>
  <c r="AI458" i="10" s="1"/>
  <c r="Z457" i="10"/>
  <c r="AI457" i="10" s="1"/>
  <c r="Z456" i="10"/>
  <c r="AI456" i="10" s="1"/>
  <c r="Z455" i="10"/>
  <c r="AI455" i="10" s="1"/>
  <c r="Z454" i="10"/>
  <c r="AI454" i="10" s="1"/>
  <c r="Z453" i="10"/>
  <c r="AI453" i="10" s="1"/>
  <c r="Z452" i="10"/>
  <c r="AI452" i="10" s="1"/>
  <c r="Z451" i="10"/>
  <c r="AI451" i="10" s="1"/>
  <c r="Z450" i="10"/>
  <c r="AI450" i="10" s="1"/>
  <c r="Z449" i="10"/>
  <c r="AI449" i="10" s="1"/>
  <c r="Z448" i="10"/>
  <c r="AI448" i="10" s="1"/>
  <c r="Z447" i="10"/>
  <c r="AI447" i="10" s="1"/>
  <c r="Z489" i="10"/>
  <c r="AI489" i="10" s="1"/>
  <c r="Z488" i="10"/>
  <c r="AI488" i="10" s="1"/>
  <c r="Z487" i="10"/>
  <c r="AI487" i="10" s="1"/>
  <c r="Z486" i="10"/>
  <c r="AI486" i="10" s="1"/>
  <c r="Z485" i="10"/>
  <c r="AI485" i="10" s="1"/>
  <c r="Z484" i="10"/>
  <c r="AI484" i="10" s="1"/>
  <c r="Z483" i="10"/>
  <c r="AI483" i="10" s="1"/>
  <c r="Z482" i="10"/>
  <c r="AI482" i="10" s="1"/>
  <c r="Z481" i="10"/>
  <c r="AI481" i="10" s="1"/>
  <c r="Z480" i="10"/>
  <c r="AI480" i="10" s="1"/>
  <c r="Z479" i="10"/>
  <c r="AI479" i="10" s="1"/>
  <c r="Z478" i="10"/>
  <c r="AI478" i="10" s="1"/>
  <c r="Z477" i="10"/>
  <c r="AI477" i="10" s="1"/>
  <c r="AA476" i="10"/>
  <c r="AA446" i="10"/>
  <c r="AA445" i="10"/>
  <c r="AA444" i="10"/>
  <c r="AA443" i="10"/>
  <c r="AA442" i="10"/>
  <c r="AA441" i="10"/>
  <c r="AA440" i="10"/>
  <c r="AA475" i="10"/>
  <c r="AB475" i="10" s="1"/>
  <c r="AA473" i="10"/>
  <c r="AA471" i="10"/>
  <c r="AB471" i="10" s="1"/>
  <c r="AA469" i="10"/>
  <c r="AA467" i="10"/>
  <c r="AB467" i="10" s="1"/>
  <c r="AA465" i="10"/>
  <c r="AA463" i="10"/>
  <c r="AB463" i="10" s="1"/>
  <c r="AA461" i="10"/>
  <c r="AA459" i="10"/>
  <c r="AB459" i="10" s="1"/>
  <c r="AA457" i="10"/>
  <c r="AA455" i="10"/>
  <c r="AB455" i="10" s="1"/>
  <c r="AA453" i="10"/>
  <c r="AA451" i="10"/>
  <c r="AB451" i="10" s="1"/>
  <c r="AA449" i="10"/>
  <c r="AA447" i="10"/>
  <c r="AB447" i="10" s="1"/>
  <c r="AA439" i="10"/>
  <c r="AA438" i="10"/>
  <c r="AA437" i="10"/>
  <c r="AA436" i="10"/>
  <c r="AA435" i="10"/>
  <c r="AA434" i="10"/>
  <c r="AA433" i="10"/>
  <c r="AA432" i="10"/>
  <c r="AA431" i="10"/>
  <c r="AA430" i="10"/>
  <c r="AA429" i="10"/>
  <c r="AA428" i="10"/>
  <c r="AA427" i="10"/>
  <c r="AA426" i="10"/>
  <c r="AA425" i="10"/>
  <c r="AA424" i="10"/>
  <c r="AA423" i="10"/>
  <c r="AA422" i="10"/>
  <c r="AA421" i="10"/>
  <c r="AA420" i="10"/>
  <c r="AA419" i="10"/>
  <c r="AA418" i="10"/>
  <c r="AA417" i="10"/>
  <c r="AA416" i="10"/>
  <c r="AA415" i="10"/>
  <c r="AA414" i="10"/>
  <c r="AA413" i="10"/>
  <c r="AA412" i="10"/>
  <c r="AA411" i="10"/>
  <c r="AA410" i="10"/>
  <c r="AA409" i="10"/>
  <c r="AA408" i="10"/>
  <c r="AA407" i="10"/>
  <c r="AA406" i="10"/>
  <c r="AA405" i="10"/>
  <c r="AA404" i="10"/>
  <c r="AA403" i="10"/>
  <c r="AA402" i="10"/>
  <c r="AA401" i="10"/>
  <c r="AA400" i="10"/>
  <c r="AA399" i="10"/>
  <c r="AA398" i="10"/>
  <c r="AA397" i="10"/>
  <c r="AA474" i="10"/>
  <c r="AA470" i="10"/>
  <c r="AB470" i="10" s="1"/>
  <c r="AA466" i="10"/>
  <c r="AA462" i="10"/>
  <c r="AB462" i="10" s="1"/>
  <c r="AA458" i="10"/>
  <c r="AA454" i="10"/>
  <c r="AB454" i="10" s="1"/>
  <c r="AA450" i="10"/>
  <c r="Z445" i="10"/>
  <c r="AI445" i="10" s="1"/>
  <c r="Z443" i="10"/>
  <c r="AI443" i="10" s="1"/>
  <c r="Z441" i="10"/>
  <c r="AI441" i="10" s="1"/>
  <c r="Z439" i="10"/>
  <c r="AI439" i="10" s="1"/>
  <c r="Z438" i="10"/>
  <c r="AI438" i="10" s="1"/>
  <c r="Z437" i="10"/>
  <c r="AI437" i="10" s="1"/>
  <c r="Z436" i="10"/>
  <c r="AI436" i="10" s="1"/>
  <c r="Z435" i="10"/>
  <c r="AI435" i="10" s="1"/>
  <c r="Z434" i="10"/>
  <c r="AI434" i="10" s="1"/>
  <c r="Z433" i="10"/>
  <c r="AI433" i="10" s="1"/>
  <c r="Z432" i="10"/>
  <c r="AI432" i="10" s="1"/>
  <c r="Z431" i="10"/>
  <c r="AI431" i="10" s="1"/>
  <c r="Z430" i="10"/>
  <c r="AI430" i="10" s="1"/>
  <c r="Z429" i="10"/>
  <c r="AI429" i="10" s="1"/>
  <c r="Z428" i="10"/>
  <c r="AI428" i="10" s="1"/>
  <c r="Z427" i="10"/>
  <c r="AI427" i="10" s="1"/>
  <c r="Z426" i="10"/>
  <c r="AI426" i="10" s="1"/>
  <c r="Z425" i="10"/>
  <c r="AI425" i="10" s="1"/>
  <c r="Z424" i="10"/>
  <c r="AI424" i="10" s="1"/>
  <c r="Z423" i="10"/>
  <c r="AI423" i="10" s="1"/>
  <c r="Z422" i="10"/>
  <c r="AI422" i="10" s="1"/>
  <c r="Z421" i="10"/>
  <c r="AI421" i="10" s="1"/>
  <c r="Z420" i="10"/>
  <c r="AI420" i="10" s="1"/>
  <c r="Z419" i="10"/>
  <c r="AI419" i="10" s="1"/>
  <c r="Z418" i="10"/>
  <c r="AI418" i="10" s="1"/>
  <c r="Z417" i="10"/>
  <c r="AI417" i="10" s="1"/>
  <c r="Z416" i="10"/>
  <c r="AI416" i="10" s="1"/>
  <c r="Z415" i="10"/>
  <c r="AI415" i="10" s="1"/>
  <c r="Z414" i="10"/>
  <c r="AI414" i="10" s="1"/>
  <c r="Z413" i="10"/>
  <c r="AI413" i="10" s="1"/>
  <c r="Z412" i="10"/>
  <c r="AI412" i="10" s="1"/>
  <c r="Z411" i="10"/>
  <c r="AI411" i="10" s="1"/>
  <c r="Z410" i="10"/>
  <c r="AI410" i="10" s="1"/>
  <c r="Z409" i="10"/>
  <c r="AI409" i="10" s="1"/>
  <c r="Z408" i="10"/>
  <c r="AI408" i="10" s="1"/>
  <c r="Z407" i="10"/>
  <c r="AI407" i="10" s="1"/>
  <c r="Z406" i="10"/>
  <c r="AI406" i="10" s="1"/>
  <c r="Z405" i="10"/>
  <c r="AI405" i="10" s="1"/>
  <c r="Z404" i="10"/>
  <c r="AI404" i="10" s="1"/>
  <c r="Z403" i="10"/>
  <c r="AI403" i="10" s="1"/>
  <c r="Z402" i="10"/>
  <c r="AI402" i="10" s="1"/>
  <c r="Z401" i="10"/>
  <c r="AI401" i="10" s="1"/>
  <c r="Z400" i="10"/>
  <c r="AI400" i="10" s="1"/>
  <c r="Z399" i="10"/>
  <c r="AI399" i="10" s="1"/>
  <c r="Z398" i="10"/>
  <c r="AI398" i="10" s="1"/>
  <c r="Z397" i="10"/>
  <c r="AI397" i="10" s="1"/>
  <c r="Z396" i="10"/>
  <c r="AI396" i="10" s="1"/>
  <c r="Z395" i="10"/>
  <c r="AI395" i="10" s="1"/>
  <c r="Z394" i="10"/>
  <c r="AI394" i="10" s="1"/>
  <c r="Z393" i="10"/>
  <c r="AI393" i="10" s="1"/>
  <c r="Z392" i="10"/>
  <c r="AI392" i="10" s="1"/>
  <c r="Z391" i="10"/>
  <c r="AI391" i="10" s="1"/>
  <c r="Z390" i="10"/>
  <c r="AI390" i="10" s="1"/>
  <c r="Z389" i="10"/>
  <c r="AI389" i="10" s="1"/>
  <c r="Z388" i="10"/>
  <c r="AI388" i="10" s="1"/>
  <c r="Z387" i="10"/>
  <c r="AI387" i="10" s="1"/>
  <c r="Z386" i="10"/>
  <c r="AI386" i="10" s="1"/>
  <c r="Z385" i="10"/>
  <c r="AI385" i="10" s="1"/>
  <c r="Z384" i="10"/>
  <c r="AI384" i="10" s="1"/>
  <c r="Z383" i="10"/>
  <c r="AI383" i="10" s="1"/>
  <c r="Z382" i="10"/>
  <c r="AI382" i="10" s="1"/>
  <c r="Z381" i="10"/>
  <c r="AI381" i="10" s="1"/>
  <c r="Z380" i="10"/>
  <c r="AI380" i="10" s="1"/>
  <c r="Z379" i="10"/>
  <c r="AI379" i="10" s="1"/>
  <c r="Z378" i="10"/>
  <c r="AI378" i="10" s="1"/>
  <c r="Z377" i="10"/>
  <c r="AI377" i="10" s="1"/>
  <c r="Z376" i="10"/>
  <c r="AI376" i="10" s="1"/>
  <c r="Z375" i="10"/>
  <c r="AI375" i="10" s="1"/>
  <c r="Z374" i="10"/>
  <c r="AI374" i="10" s="1"/>
  <c r="Z373" i="10"/>
  <c r="AI373" i="10" s="1"/>
  <c r="Z372" i="10"/>
  <c r="AI372" i="10" s="1"/>
  <c r="Z371" i="10"/>
  <c r="Z370" i="10"/>
  <c r="AI370" i="10" s="1"/>
  <c r="Z369" i="10"/>
  <c r="Z368" i="10"/>
  <c r="AI368" i="10" s="1"/>
  <c r="Z367" i="10"/>
  <c r="Z366" i="10"/>
  <c r="AI366" i="10" s="1"/>
  <c r="Z365" i="10"/>
  <c r="Z364" i="10"/>
  <c r="AI364" i="10" s="1"/>
  <c r="Z363" i="10"/>
  <c r="Z362" i="10"/>
  <c r="AI362" i="10" s="1"/>
  <c r="Z361" i="10"/>
  <c r="Z360" i="10"/>
  <c r="AI360" i="10" s="1"/>
  <c r="Z359" i="10"/>
  <c r="Z358" i="10"/>
  <c r="AI358" i="10" s="1"/>
  <c r="Z357" i="10"/>
  <c r="AI357" i="10" s="1"/>
  <c r="Z356" i="10"/>
  <c r="AI356" i="10" s="1"/>
  <c r="Z355" i="10"/>
  <c r="AI355" i="10" s="1"/>
  <c r="Z354" i="10"/>
  <c r="AI354" i="10" s="1"/>
  <c r="Z353" i="10"/>
  <c r="AI353" i="10" s="1"/>
  <c r="Z352" i="10"/>
  <c r="AI352" i="10" s="1"/>
  <c r="Z351" i="10"/>
  <c r="AI351" i="10" s="1"/>
  <c r="Z350" i="10"/>
  <c r="AI350" i="10" s="1"/>
  <c r="Z349" i="10"/>
  <c r="AI349" i="10" s="1"/>
  <c r="Z348" i="10"/>
  <c r="AI348" i="10" s="1"/>
  <c r="Z347" i="10"/>
  <c r="AI347" i="10" s="1"/>
  <c r="Z346" i="10"/>
  <c r="AI346" i="10" s="1"/>
  <c r="Z345" i="10"/>
  <c r="AI345" i="10" s="1"/>
  <c r="Z344" i="10"/>
  <c r="AI344" i="10" s="1"/>
  <c r="Z343" i="10"/>
  <c r="AI343" i="10" s="1"/>
  <c r="Z342" i="10"/>
  <c r="AI342" i="10" s="1"/>
  <c r="Z341" i="10"/>
  <c r="AI341" i="10" s="1"/>
  <c r="Z340" i="10"/>
  <c r="AI340" i="10" s="1"/>
  <c r="Z339" i="10"/>
  <c r="AI339" i="10" s="1"/>
  <c r="Z338" i="10"/>
  <c r="AI338" i="10" s="1"/>
  <c r="Z337" i="10"/>
  <c r="AI337" i="10" s="1"/>
  <c r="Z336" i="10"/>
  <c r="AI336" i="10" s="1"/>
  <c r="Z335" i="10"/>
  <c r="AI335" i="10" s="1"/>
  <c r="Z334" i="10"/>
  <c r="AI334" i="10" s="1"/>
  <c r="Z333" i="10"/>
  <c r="AI333" i="10" s="1"/>
  <c r="Z332" i="10"/>
  <c r="AI332" i="10" s="1"/>
  <c r="Z331" i="10"/>
  <c r="AI331" i="10" s="1"/>
  <c r="Z330" i="10"/>
  <c r="AI330" i="10" s="1"/>
  <c r="Z329" i="10"/>
  <c r="AI329" i="10" s="1"/>
  <c r="Z328" i="10"/>
  <c r="AI328" i="10" s="1"/>
  <c r="Z327" i="10"/>
  <c r="AI327" i="10" s="1"/>
  <c r="Z326" i="10"/>
  <c r="AI326" i="10" s="1"/>
  <c r="Z325" i="10"/>
  <c r="AI325" i="10" s="1"/>
  <c r="Z324" i="10"/>
  <c r="AI324" i="10" s="1"/>
  <c r="Z323" i="10"/>
  <c r="AI323" i="10" s="1"/>
  <c r="Z322" i="10"/>
  <c r="AI322" i="10" s="1"/>
  <c r="Z321" i="10"/>
  <c r="AI321" i="10" s="1"/>
  <c r="Z320" i="10"/>
  <c r="AI320" i="10" s="1"/>
  <c r="Z319" i="10"/>
  <c r="AI319" i="10" s="1"/>
  <c r="Z318" i="10"/>
  <c r="AI318" i="10" s="1"/>
  <c r="Z317" i="10"/>
  <c r="AI317" i="10" s="1"/>
  <c r="Z316" i="10"/>
  <c r="AI316" i="10" s="1"/>
  <c r="Z315" i="10"/>
  <c r="AI315" i="10" s="1"/>
  <c r="Z314" i="10"/>
  <c r="AI314" i="10" s="1"/>
  <c r="Z313" i="10"/>
  <c r="AI313" i="10" s="1"/>
  <c r="Z312" i="10"/>
  <c r="AI312" i="10" s="1"/>
  <c r="AA472" i="10"/>
  <c r="AA464" i="10"/>
  <c r="AB464" i="10" s="1"/>
  <c r="AA456" i="10"/>
  <c r="AA448" i="10"/>
  <c r="AB448" i="10" s="1"/>
  <c r="Z446" i="10"/>
  <c r="AI446" i="10" s="1"/>
  <c r="Z442" i="10"/>
  <c r="AI442" i="10" s="1"/>
  <c r="Z311" i="10"/>
  <c r="AI311" i="10" s="1"/>
  <c r="Z310" i="10"/>
  <c r="AI310" i="10" s="1"/>
  <c r="Z309" i="10"/>
  <c r="AI309" i="10" s="1"/>
  <c r="Z308" i="10"/>
  <c r="AI308" i="10" s="1"/>
  <c r="Z307" i="10"/>
  <c r="AI307" i="10" s="1"/>
  <c r="Z306" i="10"/>
  <c r="AI306" i="10" s="1"/>
  <c r="Z305" i="10"/>
  <c r="AI305" i="10" s="1"/>
  <c r="Z304" i="10"/>
  <c r="AI304" i="10" s="1"/>
  <c r="Z303" i="10"/>
  <c r="AI303" i="10" s="1"/>
  <c r="Z302" i="10"/>
  <c r="AI302" i="10" s="1"/>
  <c r="Z301" i="10"/>
  <c r="AI301" i="10" s="1"/>
  <c r="Z300" i="10"/>
  <c r="AI300" i="10" s="1"/>
  <c r="Z299" i="10"/>
  <c r="AI299" i="10" s="1"/>
  <c r="Z298" i="10"/>
  <c r="AI298" i="10" s="1"/>
  <c r="Z297" i="10"/>
  <c r="AI297" i="10" s="1"/>
  <c r="Z296" i="10"/>
  <c r="AI296" i="10" s="1"/>
  <c r="Z295" i="10"/>
  <c r="AI295" i="10" s="1"/>
  <c r="Z294" i="10"/>
  <c r="AI294" i="10" s="1"/>
  <c r="Z293" i="10"/>
  <c r="AI293" i="10" s="1"/>
  <c r="Z292" i="10"/>
  <c r="AI292" i="10" s="1"/>
  <c r="Z291" i="10"/>
  <c r="AI291" i="10" s="1"/>
  <c r="Z290" i="10"/>
  <c r="AI290" i="10" s="1"/>
  <c r="Z289" i="10"/>
  <c r="AI289" i="10" s="1"/>
  <c r="Z288" i="10"/>
  <c r="AI288" i="10" s="1"/>
  <c r="Z287" i="10"/>
  <c r="AI287" i="10" s="1"/>
  <c r="Z286" i="10"/>
  <c r="AI286" i="10" s="1"/>
  <c r="Z285" i="10"/>
  <c r="AI285" i="10" s="1"/>
  <c r="Z284" i="10"/>
  <c r="AI284" i="10" s="1"/>
  <c r="Z283" i="10"/>
  <c r="AI283" i="10" s="1"/>
  <c r="Z282" i="10"/>
  <c r="AI282" i="10" s="1"/>
  <c r="AA468" i="10"/>
  <c r="AA460" i="10"/>
  <c r="AB460" i="10" s="1"/>
  <c r="AA452" i="10"/>
  <c r="Z444" i="10"/>
  <c r="AI444" i="10" s="1"/>
  <c r="Z440" i="10"/>
  <c r="AI440" i="10" s="1"/>
  <c r="AA396" i="10"/>
  <c r="AB396" i="10" s="1"/>
  <c r="AA395" i="10"/>
  <c r="AB395" i="10" s="1"/>
  <c r="AA394" i="10"/>
  <c r="AB394" i="10" s="1"/>
  <c r="AA393" i="10"/>
  <c r="AB393" i="10" s="1"/>
  <c r="AA392" i="10"/>
  <c r="AB392" i="10" s="1"/>
  <c r="AA391" i="10"/>
  <c r="AB391" i="10" s="1"/>
  <c r="AA390" i="10"/>
  <c r="AB390" i="10" s="1"/>
  <c r="AA389" i="10"/>
  <c r="AB389" i="10" s="1"/>
  <c r="AA388" i="10"/>
  <c r="AB388" i="10" s="1"/>
  <c r="AA387" i="10"/>
  <c r="AB387" i="10" s="1"/>
  <c r="AA386" i="10"/>
  <c r="AB386" i="10" s="1"/>
  <c r="AA385" i="10"/>
  <c r="AB385" i="10" s="1"/>
  <c r="AA384" i="10"/>
  <c r="AB384" i="10" s="1"/>
  <c r="AA383" i="10"/>
  <c r="AB383" i="10" s="1"/>
  <c r="AA382" i="10"/>
  <c r="AB382" i="10" s="1"/>
  <c r="AA381" i="10"/>
  <c r="AB381" i="10" s="1"/>
  <c r="AA380" i="10"/>
  <c r="AB380" i="10" s="1"/>
  <c r="AA379" i="10"/>
  <c r="AB379" i="10" s="1"/>
  <c r="AA378" i="10"/>
  <c r="AB378" i="10" s="1"/>
  <c r="AA377" i="10"/>
  <c r="AB377" i="10" s="1"/>
  <c r="AA376" i="10"/>
  <c r="AB376" i="10" s="1"/>
  <c r="AA375" i="10"/>
  <c r="AB375" i="10" s="1"/>
  <c r="AA374" i="10"/>
  <c r="AB374" i="10" s="1"/>
  <c r="AA373" i="10"/>
  <c r="AB373" i="10" s="1"/>
  <c r="AA372" i="10"/>
  <c r="AB372" i="10" s="1"/>
  <c r="AA371" i="10"/>
  <c r="AA370" i="10"/>
  <c r="AB370" i="10" s="1"/>
  <c r="AA369" i="10"/>
  <c r="AA368" i="10"/>
  <c r="AB368" i="10" s="1"/>
  <c r="AA367" i="10"/>
  <c r="AA366" i="10"/>
  <c r="AB366" i="10" s="1"/>
  <c r="AA365" i="10"/>
  <c r="AA364" i="10"/>
  <c r="AB364" i="10" s="1"/>
  <c r="AA363" i="10"/>
  <c r="AA362" i="10"/>
  <c r="AB362" i="10" s="1"/>
  <c r="AA361" i="10"/>
  <c r="AA360" i="10"/>
  <c r="AB360" i="10" s="1"/>
  <c r="AA359" i="10"/>
  <c r="AA358" i="10"/>
  <c r="AB358" i="10" s="1"/>
  <c r="AA357" i="10"/>
  <c r="AB357" i="10" s="1"/>
  <c r="AA356" i="10"/>
  <c r="AB356" i="10" s="1"/>
  <c r="AA355" i="10"/>
  <c r="AB355" i="10" s="1"/>
  <c r="AA354" i="10"/>
  <c r="AB354" i="10" s="1"/>
  <c r="AA353" i="10"/>
  <c r="AB353" i="10" s="1"/>
  <c r="AA352" i="10"/>
  <c r="AB352" i="10" s="1"/>
  <c r="AA351" i="10"/>
  <c r="AB351" i="10" s="1"/>
  <c r="AA350" i="10"/>
  <c r="AB350" i="10" s="1"/>
  <c r="AA349" i="10"/>
  <c r="AB349" i="10" s="1"/>
  <c r="AA348" i="10"/>
  <c r="AB348" i="10" s="1"/>
  <c r="AA347" i="10"/>
  <c r="AB347" i="10" s="1"/>
  <c r="AA346" i="10"/>
  <c r="AB346" i="10" s="1"/>
  <c r="AA345" i="10"/>
  <c r="AB345" i="10" s="1"/>
  <c r="AA344" i="10"/>
  <c r="AB344" i="10" s="1"/>
  <c r="AA343" i="10"/>
  <c r="AB343" i="10" s="1"/>
  <c r="AA342" i="10"/>
  <c r="AB342" i="10" s="1"/>
  <c r="AA341" i="10"/>
  <c r="AB341" i="10" s="1"/>
  <c r="AA340" i="10"/>
  <c r="AB340" i="10" s="1"/>
  <c r="AA339" i="10"/>
  <c r="AB339" i="10" s="1"/>
  <c r="AA338" i="10"/>
  <c r="AB338" i="10" s="1"/>
  <c r="AA337" i="10"/>
  <c r="AB337" i="10" s="1"/>
  <c r="AA336" i="10"/>
  <c r="AB336" i="10" s="1"/>
  <c r="AA335" i="10"/>
  <c r="AB335" i="10" s="1"/>
  <c r="AA334" i="10"/>
  <c r="AB334" i="10" s="1"/>
  <c r="AA333" i="10"/>
  <c r="AB333" i="10" s="1"/>
  <c r="AA332" i="10"/>
  <c r="AB332" i="10" s="1"/>
  <c r="AA331" i="10"/>
  <c r="AB331" i="10" s="1"/>
  <c r="AA330" i="10"/>
  <c r="AB330" i="10" s="1"/>
  <c r="AA329" i="10"/>
  <c r="AB329" i="10" s="1"/>
  <c r="AA328" i="10"/>
  <c r="AB328" i="10" s="1"/>
  <c r="AA327" i="10"/>
  <c r="AB327" i="10" s="1"/>
  <c r="AA326" i="10"/>
  <c r="AB326" i="10" s="1"/>
  <c r="AA325" i="10"/>
  <c r="AB325" i="10" s="1"/>
  <c r="AA324" i="10"/>
  <c r="AB324" i="10" s="1"/>
  <c r="AA323" i="10"/>
  <c r="AB323" i="10" s="1"/>
  <c r="AA322" i="10"/>
  <c r="AB322" i="10" s="1"/>
  <c r="AA321" i="10"/>
  <c r="AB321" i="10" s="1"/>
  <c r="AA320" i="10"/>
  <c r="AB320" i="10" s="1"/>
  <c r="AA319" i="10"/>
  <c r="AB319" i="10" s="1"/>
  <c r="AA318" i="10"/>
  <c r="AB318" i="10" s="1"/>
  <c r="AA317" i="10"/>
  <c r="AB317" i="10" s="1"/>
  <c r="AA316" i="10"/>
  <c r="AB316" i="10" s="1"/>
  <c r="AA315" i="10"/>
  <c r="AB315" i="10" s="1"/>
  <c r="AA314" i="10"/>
  <c r="AB314" i="10" s="1"/>
  <c r="AA313" i="10"/>
  <c r="AB313" i="10" s="1"/>
  <c r="AA312" i="10"/>
  <c r="AB312" i="10" s="1"/>
  <c r="AA311" i="10"/>
  <c r="AB311" i="10" s="1"/>
  <c r="AA310" i="10"/>
  <c r="AB310" i="10" s="1"/>
  <c r="AA309" i="10"/>
  <c r="AB309" i="10" s="1"/>
  <c r="AA308" i="10"/>
  <c r="AB308" i="10" s="1"/>
  <c r="AA307" i="10"/>
  <c r="AB307" i="10" s="1"/>
  <c r="AA306" i="10"/>
  <c r="AB306" i="10" s="1"/>
  <c r="AA305" i="10"/>
  <c r="AB305" i="10" s="1"/>
  <c r="AA304" i="10"/>
  <c r="AB304" i="10" s="1"/>
  <c r="AA303" i="10"/>
  <c r="AB303" i="10" s="1"/>
  <c r="AA302" i="10"/>
  <c r="AB302" i="10" s="1"/>
  <c r="AA301" i="10"/>
  <c r="AB301" i="10" s="1"/>
  <c r="AA300" i="10"/>
  <c r="AB300" i="10" s="1"/>
  <c r="AA299" i="10"/>
  <c r="AB299" i="10" s="1"/>
  <c r="AA298" i="10"/>
  <c r="AB298" i="10" s="1"/>
  <c r="AA297" i="10"/>
  <c r="AB297" i="10" s="1"/>
  <c r="AA296" i="10"/>
  <c r="AB296" i="10" s="1"/>
  <c r="AA295" i="10"/>
  <c r="AB295" i="10" s="1"/>
  <c r="AA294" i="10"/>
  <c r="AB294" i="10" s="1"/>
  <c r="AA293" i="10"/>
  <c r="AB293" i="10" s="1"/>
  <c r="AA292" i="10"/>
  <c r="AB292" i="10" s="1"/>
  <c r="AA291" i="10"/>
  <c r="AB291" i="10" s="1"/>
  <c r="AA290" i="10"/>
  <c r="AB290" i="10" s="1"/>
  <c r="AA289" i="10"/>
  <c r="AB289" i="10" s="1"/>
  <c r="AA288" i="10"/>
  <c r="AB288" i="10" s="1"/>
  <c r="AA287" i="10"/>
  <c r="AB287" i="10" s="1"/>
  <c r="AA286" i="10"/>
  <c r="AB286" i="10" s="1"/>
  <c r="AA285" i="10"/>
  <c r="AB285" i="10" s="1"/>
  <c r="AA284" i="10"/>
  <c r="AB284" i="10" s="1"/>
  <c r="AA283" i="10"/>
  <c r="AB283" i="10" s="1"/>
  <c r="AA282" i="10"/>
  <c r="AB282" i="10" s="1"/>
  <c r="R281" i="10"/>
  <c r="AG281" i="10" s="1"/>
  <c r="R280" i="10"/>
  <c r="AG280" i="10" s="1"/>
  <c r="R279" i="10"/>
  <c r="AG279" i="10" s="1"/>
  <c r="R278" i="10"/>
  <c r="AG278" i="10" s="1"/>
  <c r="R277" i="10"/>
  <c r="AG277" i="10" s="1"/>
  <c r="R276" i="10"/>
  <c r="AG276" i="10" s="1"/>
  <c r="R275" i="10"/>
  <c r="AG275" i="10" s="1"/>
  <c r="R274" i="10"/>
  <c r="AG274" i="10" s="1"/>
  <c r="R273" i="10"/>
  <c r="AG273" i="10" s="1"/>
  <c r="R272" i="10"/>
  <c r="AG272" i="10" s="1"/>
  <c r="R271" i="10"/>
  <c r="AG271" i="10" s="1"/>
  <c r="S281" i="10"/>
  <c r="S279" i="10"/>
  <c r="T279" i="10" s="1"/>
  <c r="S277" i="10"/>
  <c r="S275" i="10"/>
  <c r="T275" i="10" s="1"/>
  <c r="S273" i="10"/>
  <c r="S271" i="10"/>
  <c r="T271" i="10" s="1"/>
  <c r="S270" i="10"/>
  <c r="S269" i="10"/>
  <c r="R268" i="10"/>
  <c r="AG268" i="10" s="1"/>
  <c r="S267" i="10"/>
  <c r="R266" i="10"/>
  <c r="AG266" i="10" s="1"/>
  <c r="S265" i="10"/>
  <c r="R264" i="10"/>
  <c r="AG264" i="10" s="1"/>
  <c r="S263" i="10"/>
  <c r="R262" i="10"/>
  <c r="AG262" i="10" s="1"/>
  <c r="S261" i="10"/>
  <c r="R260" i="10"/>
  <c r="AG260" i="10" s="1"/>
  <c r="S259" i="10"/>
  <c r="R258" i="10"/>
  <c r="AG258" i="10" s="1"/>
  <c r="S257" i="10"/>
  <c r="R256" i="10"/>
  <c r="AG256" i="10" s="1"/>
  <c r="S255" i="10"/>
  <c r="R254" i="10"/>
  <c r="AG254" i="10" s="1"/>
  <c r="S253" i="10"/>
  <c r="R252" i="10"/>
  <c r="AG252" i="10" s="1"/>
  <c r="S280" i="10"/>
  <c r="S276" i="10"/>
  <c r="T276" i="10" s="1"/>
  <c r="S272" i="10"/>
  <c r="R270" i="10"/>
  <c r="AG270" i="10" s="1"/>
  <c r="R267" i="10"/>
  <c r="AG267" i="10" s="1"/>
  <c r="S266" i="10"/>
  <c r="R263" i="10"/>
  <c r="AG263" i="10" s="1"/>
  <c r="S262" i="10"/>
  <c r="T262" i="10" s="1"/>
  <c r="R259" i="10"/>
  <c r="AG259" i="10" s="1"/>
  <c r="S258" i="10"/>
  <c r="T258" i="10" s="1"/>
  <c r="R255" i="10"/>
  <c r="AG255" i="10" s="1"/>
  <c r="S254" i="10"/>
  <c r="T254" i="10" s="1"/>
  <c r="S278" i="10"/>
  <c r="S268" i="10"/>
  <c r="T268" i="10" s="1"/>
  <c r="R265" i="10"/>
  <c r="AG265" i="10" s="1"/>
  <c r="S260" i="10"/>
  <c r="T260" i="10" s="1"/>
  <c r="R257" i="10"/>
  <c r="AG257" i="10" s="1"/>
  <c r="S252" i="10"/>
  <c r="T252" i="10" s="1"/>
  <c r="S251" i="10"/>
  <c r="R250" i="10"/>
  <c r="AG250" i="10" s="1"/>
  <c r="S249" i="10"/>
  <c r="R248" i="10"/>
  <c r="AG248" i="10" s="1"/>
  <c r="S247" i="10"/>
  <c r="R246" i="10"/>
  <c r="AG246" i="10" s="1"/>
  <c r="S245" i="10"/>
  <c r="R244" i="10"/>
  <c r="AG244" i="10" s="1"/>
  <c r="S243" i="10"/>
  <c r="R242" i="10"/>
  <c r="AG242" i="10" s="1"/>
  <c r="S241" i="10"/>
  <c r="R240" i="10"/>
  <c r="AG240" i="10" s="1"/>
  <c r="S239" i="10"/>
  <c r="R238" i="10"/>
  <c r="AG238" i="10" s="1"/>
  <c r="S237" i="10"/>
  <c r="R236" i="10"/>
  <c r="S235" i="10"/>
  <c r="R234" i="10"/>
  <c r="S233" i="10"/>
  <c r="R232" i="10"/>
  <c r="S274" i="10"/>
  <c r="R269" i="10"/>
  <c r="AG269" i="10" s="1"/>
  <c r="S264" i="10"/>
  <c r="R253" i="10"/>
  <c r="AG253" i="10" s="1"/>
  <c r="R249" i="10"/>
  <c r="AG249" i="10" s="1"/>
  <c r="S248" i="10"/>
  <c r="T248" i="10" s="1"/>
  <c r="R245" i="10"/>
  <c r="AG245" i="10" s="1"/>
  <c r="S244" i="10"/>
  <c r="T244" i="10" s="1"/>
  <c r="R241" i="10"/>
  <c r="AG241" i="10" s="1"/>
  <c r="S240" i="10"/>
  <c r="R237" i="10"/>
  <c r="S236" i="10"/>
  <c r="R233" i="10"/>
  <c r="S232" i="10"/>
  <c r="R231" i="10"/>
  <c r="S230" i="10"/>
  <c r="R229" i="10"/>
  <c r="S228" i="10"/>
  <c r="R227" i="10"/>
  <c r="S226" i="10"/>
  <c r="R225" i="10"/>
  <c r="S224" i="10"/>
  <c r="S223" i="10"/>
  <c r="R222" i="10"/>
  <c r="S221" i="10"/>
  <c r="R220" i="10"/>
  <c r="S219" i="10"/>
  <c r="R218" i="10"/>
  <c r="S217" i="10"/>
  <c r="R216" i="10"/>
  <c r="S215" i="10"/>
  <c r="R214" i="10"/>
  <c r="S213" i="10"/>
  <c r="R212" i="10"/>
  <c r="S211" i="10"/>
  <c r="R210" i="10"/>
  <c r="S209" i="10"/>
  <c r="R208" i="10"/>
  <c r="S207" i="10"/>
  <c r="R206" i="10"/>
  <c r="S205" i="10"/>
  <c r="R204" i="10"/>
  <c r="S203" i="10"/>
  <c r="R202" i="10"/>
  <c r="S201" i="10"/>
  <c r="R200" i="10"/>
  <c r="S199" i="10"/>
  <c r="R198" i="10"/>
  <c r="S197" i="10"/>
  <c r="R196" i="10"/>
  <c r="S195" i="10"/>
  <c r="R194" i="10"/>
  <c r="S193" i="10"/>
  <c r="R251" i="10"/>
  <c r="AG251" i="10" s="1"/>
  <c r="S246" i="10"/>
  <c r="R243" i="10"/>
  <c r="AG243" i="10" s="1"/>
  <c r="S238" i="10"/>
  <c r="R235" i="10"/>
  <c r="R230" i="10"/>
  <c r="S229" i="10"/>
  <c r="R226" i="10"/>
  <c r="S225" i="10"/>
  <c r="R221" i="10"/>
  <c r="S220" i="10"/>
  <c r="R217" i="10"/>
  <c r="S216" i="10"/>
  <c r="R213" i="10"/>
  <c r="S212" i="10"/>
  <c r="R209" i="10"/>
  <c r="S208" i="10"/>
  <c r="R205" i="10"/>
  <c r="S204" i="10"/>
  <c r="R201" i="10"/>
  <c r="S200" i="10"/>
  <c r="R197" i="10"/>
  <c r="S196" i="10"/>
  <c r="R193" i="10"/>
  <c r="R192" i="10"/>
  <c r="S191" i="10"/>
  <c r="R190" i="10"/>
  <c r="S189" i="10"/>
  <c r="R188" i="10"/>
  <c r="S187" i="10"/>
  <c r="R186" i="10"/>
  <c r="S185" i="10"/>
  <c r="R184" i="10"/>
  <c r="S183" i="10"/>
  <c r="R182" i="10"/>
  <c r="S181" i="10"/>
  <c r="R180" i="10"/>
  <c r="S179" i="10"/>
  <c r="R178" i="10"/>
  <c r="AG178" i="10" s="1"/>
  <c r="R261" i="10"/>
  <c r="AG261" i="10" s="1"/>
  <c r="S256" i="10"/>
  <c r="S250" i="10"/>
  <c r="R247" i="10"/>
  <c r="AG247" i="10" s="1"/>
  <c r="S242" i="10"/>
  <c r="R239" i="10"/>
  <c r="AG239" i="10" s="1"/>
  <c r="S234" i="10"/>
  <c r="S231" i="10"/>
  <c r="R228" i="10"/>
  <c r="S227" i="10"/>
  <c r="R224" i="10"/>
  <c r="R223" i="10"/>
  <c r="AG223" i="10" s="1"/>
  <c r="S222" i="10"/>
  <c r="R219" i="10"/>
  <c r="S214" i="10"/>
  <c r="R211" i="10"/>
  <c r="S206" i="10"/>
  <c r="R203" i="10"/>
  <c r="S198" i="10"/>
  <c r="R195" i="10"/>
  <c r="S192" i="10"/>
  <c r="R189" i="10"/>
  <c r="S188" i="10"/>
  <c r="R185" i="10"/>
  <c r="S184" i="10"/>
  <c r="R181" i="10"/>
  <c r="S180" i="10"/>
  <c r="S218" i="10"/>
  <c r="R215" i="10"/>
  <c r="S210" i="10"/>
  <c r="R207" i="10"/>
  <c r="S202" i="10"/>
  <c r="R199" i="10"/>
  <c r="S194" i="10"/>
  <c r="R191" i="10"/>
  <c r="S190" i="10"/>
  <c r="R187" i="10"/>
  <c r="S186" i="10"/>
  <c r="R183" i="10"/>
  <c r="S182" i="10"/>
  <c r="R179" i="10"/>
  <c r="S178" i="10"/>
  <c r="T178" i="10" s="1"/>
  <c r="V281" i="10"/>
  <c r="V280" i="10"/>
  <c r="V279" i="10"/>
  <c r="V278" i="10"/>
  <c r="V277" i="10"/>
  <c r="V276" i="10"/>
  <c r="V275" i="10"/>
  <c r="V274" i="10"/>
  <c r="V273" i="10"/>
  <c r="V272" i="10"/>
  <c r="V271" i="10"/>
  <c r="W280" i="10"/>
  <c r="W278" i="10"/>
  <c r="W276" i="10"/>
  <c r="W274" i="10"/>
  <c r="W272" i="10"/>
  <c r="W270" i="10"/>
  <c r="W269" i="10"/>
  <c r="V268" i="10"/>
  <c r="AH268" i="10" s="1"/>
  <c r="W267" i="10"/>
  <c r="V266" i="10"/>
  <c r="AH266" i="10" s="1"/>
  <c r="W265" i="10"/>
  <c r="V264" i="10"/>
  <c r="AH264" i="10" s="1"/>
  <c r="W263" i="10"/>
  <c r="V262" i="10"/>
  <c r="AH262" i="10" s="1"/>
  <c r="W261" i="10"/>
  <c r="V260" i="10"/>
  <c r="AH260" i="10" s="1"/>
  <c r="W259" i="10"/>
  <c r="V258" i="10"/>
  <c r="AH258" i="10" s="1"/>
  <c r="W257" i="10"/>
  <c r="V256" i="10"/>
  <c r="AH256" i="10" s="1"/>
  <c r="W255" i="10"/>
  <c r="V254" i="10"/>
  <c r="AH254" i="10" s="1"/>
  <c r="W253" i="10"/>
  <c r="V252" i="10"/>
  <c r="AH252" i="10" s="1"/>
  <c r="W281" i="10"/>
  <c r="W277" i="10"/>
  <c r="W273" i="10"/>
  <c r="V269" i="10"/>
  <c r="W268" i="10"/>
  <c r="V265" i="10"/>
  <c r="AH265" i="10" s="1"/>
  <c r="W264" i="10"/>
  <c r="V261" i="10"/>
  <c r="AH261" i="10" s="1"/>
  <c r="W260" i="10"/>
  <c r="V257" i="10"/>
  <c r="AH257" i="10" s="1"/>
  <c r="W256" i="10"/>
  <c r="V253" i="10"/>
  <c r="AH253" i="10" s="1"/>
  <c r="W252" i="10"/>
  <c r="W279" i="10"/>
  <c r="W271" i="10"/>
  <c r="W266" i="10"/>
  <c r="X266" i="10" s="1"/>
  <c r="V263" i="10"/>
  <c r="AH263" i="10" s="1"/>
  <c r="W258" i="10"/>
  <c r="X258" i="10" s="1"/>
  <c r="V255" i="10"/>
  <c r="AH255" i="10" s="1"/>
  <c r="W251" i="10"/>
  <c r="V250" i="10"/>
  <c r="AH250" i="10" s="1"/>
  <c r="W249" i="10"/>
  <c r="V248" i="10"/>
  <c r="AH248" i="10" s="1"/>
  <c r="W247" i="10"/>
  <c r="V246" i="10"/>
  <c r="AH246" i="10" s="1"/>
  <c r="W245" i="10"/>
  <c r="V244" i="10"/>
  <c r="AH244" i="10" s="1"/>
  <c r="W243" i="10"/>
  <c r="V242" i="10"/>
  <c r="AH242" i="10" s="1"/>
  <c r="W241" i="10"/>
  <c r="V240" i="10"/>
  <c r="AH240" i="10" s="1"/>
  <c r="W239" i="10"/>
  <c r="V238" i="10"/>
  <c r="AH238" i="10" s="1"/>
  <c r="W237" i="10"/>
  <c r="V236" i="10"/>
  <c r="AH236" i="10" s="1"/>
  <c r="W235" i="10"/>
  <c r="V234" i="10"/>
  <c r="AH234" i="10" s="1"/>
  <c r="W233" i="10"/>
  <c r="V232" i="10"/>
  <c r="AH232" i="10" s="1"/>
  <c r="V270" i="10"/>
  <c r="V259" i="10"/>
  <c r="AH259" i="10" s="1"/>
  <c r="W254" i="10"/>
  <c r="X254" i="10" s="1"/>
  <c r="V251" i="10"/>
  <c r="AH251" i="10" s="1"/>
  <c r="W250" i="10"/>
  <c r="V247" i="10"/>
  <c r="AH247" i="10" s="1"/>
  <c r="W246" i="10"/>
  <c r="V243" i="10"/>
  <c r="AH243" i="10" s="1"/>
  <c r="W242" i="10"/>
  <c r="V239" i="10"/>
  <c r="AH239" i="10" s="1"/>
  <c r="W238" i="10"/>
  <c r="V235" i="10"/>
  <c r="AH235" i="10" s="1"/>
  <c r="W234" i="10"/>
  <c r="V231" i="10"/>
  <c r="AH231" i="10" s="1"/>
  <c r="W230" i="10"/>
  <c r="V229" i="10"/>
  <c r="AH229" i="10" s="1"/>
  <c r="W228" i="10"/>
  <c r="V227" i="10"/>
  <c r="AH227" i="10" s="1"/>
  <c r="W226" i="10"/>
  <c r="V225" i="10"/>
  <c r="AH225" i="10" s="1"/>
  <c r="W224" i="10"/>
  <c r="W223" i="10"/>
  <c r="V222" i="10"/>
  <c r="AH222" i="10" s="1"/>
  <c r="W221" i="10"/>
  <c r="V220" i="10"/>
  <c r="AH220" i="10" s="1"/>
  <c r="W219" i="10"/>
  <c r="V218" i="10"/>
  <c r="AH218" i="10" s="1"/>
  <c r="W217" i="10"/>
  <c r="V216" i="10"/>
  <c r="AH216" i="10" s="1"/>
  <c r="W215" i="10"/>
  <c r="V214" i="10"/>
  <c r="AH214" i="10" s="1"/>
  <c r="W213" i="10"/>
  <c r="V212" i="10"/>
  <c r="AH212" i="10" s="1"/>
  <c r="W211" i="10"/>
  <c r="V210" i="10"/>
  <c r="AH210" i="10" s="1"/>
  <c r="W209" i="10"/>
  <c r="V208" i="10"/>
  <c r="AH208" i="10" s="1"/>
  <c r="W207" i="10"/>
  <c r="V206" i="10"/>
  <c r="AH206" i="10" s="1"/>
  <c r="W205" i="10"/>
  <c r="V204" i="10"/>
  <c r="AH204" i="10" s="1"/>
  <c r="W203" i="10"/>
  <c r="V202" i="10"/>
  <c r="AH202" i="10" s="1"/>
  <c r="W201" i="10"/>
  <c r="V200" i="10"/>
  <c r="AH200" i="10" s="1"/>
  <c r="W199" i="10"/>
  <c r="V198" i="10"/>
  <c r="AH198" i="10" s="1"/>
  <c r="W197" i="10"/>
  <c r="V196" i="10"/>
  <c r="AH196" i="10" s="1"/>
  <c r="W195" i="10"/>
  <c r="V194" i="10"/>
  <c r="AH194" i="10" s="1"/>
  <c r="W193" i="10"/>
  <c r="V267" i="10"/>
  <c r="AH267" i="10" s="1"/>
  <c r="W262" i="10"/>
  <c r="V249" i="10"/>
  <c r="AH249" i="10" s="1"/>
  <c r="W244" i="10"/>
  <c r="X244" i="10" s="1"/>
  <c r="V241" i="10"/>
  <c r="AH241" i="10" s="1"/>
  <c r="W236" i="10"/>
  <c r="X236" i="10" s="1"/>
  <c r="V233" i="10"/>
  <c r="AH233" i="10" s="1"/>
  <c r="W231" i="10"/>
  <c r="X231" i="10" s="1"/>
  <c r="V228" i="10"/>
  <c r="AH228" i="10" s="1"/>
  <c r="W227" i="10"/>
  <c r="X227" i="10" s="1"/>
  <c r="V224" i="10"/>
  <c r="AH224" i="10" s="1"/>
  <c r="V223" i="10"/>
  <c r="AH223" i="10" s="1"/>
  <c r="W222" i="10"/>
  <c r="X222" i="10" s="1"/>
  <c r="V219" i="10"/>
  <c r="AH219" i="10" s="1"/>
  <c r="W218" i="10"/>
  <c r="X218" i="10" s="1"/>
  <c r="V215" i="10"/>
  <c r="AH215" i="10" s="1"/>
  <c r="W214" i="10"/>
  <c r="X214" i="10" s="1"/>
  <c r="V211" i="10"/>
  <c r="AH211" i="10" s="1"/>
  <c r="W210" i="10"/>
  <c r="X210" i="10" s="1"/>
  <c r="V207" i="10"/>
  <c r="AH207" i="10" s="1"/>
  <c r="W206" i="10"/>
  <c r="X206" i="10" s="1"/>
  <c r="V203" i="10"/>
  <c r="AH203" i="10" s="1"/>
  <c r="W202" i="10"/>
  <c r="X202" i="10" s="1"/>
  <c r="V199" i="10"/>
  <c r="AH199" i="10" s="1"/>
  <c r="W198" i="10"/>
  <c r="X198" i="10" s="1"/>
  <c r="V195" i="10"/>
  <c r="AH195" i="10" s="1"/>
  <c r="W194" i="10"/>
  <c r="X194" i="10" s="1"/>
  <c r="V192" i="10"/>
  <c r="AH192" i="10" s="1"/>
  <c r="W191" i="10"/>
  <c r="V190" i="10"/>
  <c r="AH190" i="10" s="1"/>
  <c r="W189" i="10"/>
  <c r="V188" i="10"/>
  <c r="AH188" i="10" s="1"/>
  <c r="W187" i="10"/>
  <c r="V186" i="10"/>
  <c r="AH186" i="10" s="1"/>
  <c r="W185" i="10"/>
  <c r="V184" i="10"/>
  <c r="AH184" i="10" s="1"/>
  <c r="W183" i="10"/>
  <c r="V182" i="10"/>
  <c r="AH182" i="10" s="1"/>
  <c r="W181" i="10"/>
  <c r="V180" i="10"/>
  <c r="AH180" i="10" s="1"/>
  <c r="W179" i="10"/>
  <c r="V178" i="10"/>
  <c r="AH178" i="10" s="1"/>
  <c r="W275" i="10"/>
  <c r="W248" i="10"/>
  <c r="X248" i="10" s="1"/>
  <c r="V245" i="10"/>
  <c r="AH245" i="10" s="1"/>
  <c r="W240" i="10"/>
  <c r="X240" i="10" s="1"/>
  <c r="V237" i="10"/>
  <c r="AH237" i="10" s="1"/>
  <c r="W232" i="10"/>
  <c r="X232" i="10" s="1"/>
  <c r="V230" i="10"/>
  <c r="AH230" i="10" s="1"/>
  <c r="W229" i="10"/>
  <c r="X229" i="10" s="1"/>
  <c r="V226" i="10"/>
  <c r="AH226" i="10" s="1"/>
  <c r="W225" i="10"/>
  <c r="X225" i="10" s="1"/>
  <c r="W220" i="10"/>
  <c r="X220" i="10" s="1"/>
  <c r="V217" i="10"/>
  <c r="AH217" i="10" s="1"/>
  <c r="W212" i="10"/>
  <c r="X212" i="10" s="1"/>
  <c r="V209" i="10"/>
  <c r="AH209" i="10" s="1"/>
  <c r="W204" i="10"/>
  <c r="X204" i="10" s="1"/>
  <c r="V201" i="10"/>
  <c r="AH201" i="10" s="1"/>
  <c r="W196" i="10"/>
  <c r="X196" i="10" s="1"/>
  <c r="V193" i="10"/>
  <c r="AH193" i="10" s="1"/>
  <c r="V191" i="10"/>
  <c r="AH191" i="10" s="1"/>
  <c r="W190" i="10"/>
  <c r="X190" i="10" s="1"/>
  <c r="V187" i="10"/>
  <c r="AH187" i="10" s="1"/>
  <c r="W186" i="10"/>
  <c r="X186" i="10" s="1"/>
  <c r="V183" i="10"/>
  <c r="AH183" i="10" s="1"/>
  <c r="W182" i="10"/>
  <c r="X182" i="10" s="1"/>
  <c r="V179" i="10"/>
  <c r="AH179" i="10" s="1"/>
  <c r="W178" i="10"/>
  <c r="X178" i="10" s="1"/>
  <c r="V221" i="10"/>
  <c r="AH221" i="10" s="1"/>
  <c r="W216" i="10"/>
  <c r="V213" i="10"/>
  <c r="AH213" i="10" s="1"/>
  <c r="W208" i="10"/>
  <c r="V205" i="10"/>
  <c r="AH205" i="10" s="1"/>
  <c r="W200" i="10"/>
  <c r="V197" i="10"/>
  <c r="AH197" i="10" s="1"/>
  <c r="W192" i="10"/>
  <c r="X192" i="10" s="1"/>
  <c r="V189" i="10"/>
  <c r="AH189" i="10" s="1"/>
  <c r="W188" i="10"/>
  <c r="X188" i="10" s="1"/>
  <c r="V185" i="10"/>
  <c r="AH185" i="10" s="1"/>
  <c r="W184" i="10"/>
  <c r="X184" i="10" s="1"/>
  <c r="V181" i="10"/>
  <c r="AH181" i="10" s="1"/>
  <c r="W180" i="10"/>
  <c r="X180" i="10" s="1"/>
  <c r="Z281" i="10"/>
  <c r="AI281" i="10" s="1"/>
  <c r="Z280" i="10"/>
  <c r="AI280" i="10" s="1"/>
  <c r="Z279" i="10"/>
  <c r="AI279" i="10" s="1"/>
  <c r="Z278" i="10"/>
  <c r="AI278" i="10" s="1"/>
  <c r="Z277" i="10"/>
  <c r="AI277" i="10" s="1"/>
  <c r="Z276" i="10"/>
  <c r="AI276" i="10" s="1"/>
  <c r="Z275" i="10"/>
  <c r="AI275" i="10" s="1"/>
  <c r="Z274" i="10"/>
  <c r="AI274" i="10" s="1"/>
  <c r="Z273" i="10"/>
  <c r="AI273" i="10" s="1"/>
  <c r="Z272" i="10"/>
  <c r="AI272" i="10" s="1"/>
  <c r="Z271" i="10"/>
  <c r="AI271" i="10" s="1"/>
  <c r="AA281" i="10"/>
  <c r="AA279" i="10"/>
  <c r="AB279" i="10" s="1"/>
  <c r="AA277" i="10"/>
  <c r="AA275" i="10"/>
  <c r="AB275" i="10" s="1"/>
  <c r="AA273" i="10"/>
  <c r="AA271" i="10"/>
  <c r="AB271" i="10" s="1"/>
  <c r="AA270" i="10"/>
  <c r="AA269" i="10"/>
  <c r="Z268" i="10"/>
  <c r="AI268" i="10" s="1"/>
  <c r="AA267" i="10"/>
  <c r="Z266" i="10"/>
  <c r="AI266" i="10" s="1"/>
  <c r="AA265" i="10"/>
  <c r="Z264" i="10"/>
  <c r="AI264" i="10" s="1"/>
  <c r="AA263" i="10"/>
  <c r="Z262" i="10"/>
  <c r="AI262" i="10" s="1"/>
  <c r="AA261" i="10"/>
  <c r="Z260" i="10"/>
  <c r="AI260" i="10" s="1"/>
  <c r="AA259" i="10"/>
  <c r="Z258" i="10"/>
  <c r="AI258" i="10" s="1"/>
  <c r="AA257" i="10"/>
  <c r="Z256" i="10"/>
  <c r="AI256" i="10" s="1"/>
  <c r="AA255" i="10"/>
  <c r="Z254" i="10"/>
  <c r="AI254" i="10" s="1"/>
  <c r="AA253" i="10"/>
  <c r="Z252" i="10"/>
  <c r="AI252" i="10" s="1"/>
  <c r="AA251" i="10"/>
  <c r="AA278" i="10"/>
  <c r="AA274" i="10"/>
  <c r="Z270" i="10"/>
  <c r="AI270" i="10" s="1"/>
  <c r="Z267" i="10"/>
  <c r="AI267" i="10" s="1"/>
  <c r="AA266" i="10"/>
  <c r="Z263" i="10"/>
  <c r="AI263" i="10" s="1"/>
  <c r="AA262" i="10"/>
  <c r="Z259" i="10"/>
  <c r="AI259" i="10" s="1"/>
  <c r="AA258" i="10"/>
  <c r="Z255" i="10"/>
  <c r="AI255" i="10" s="1"/>
  <c r="AA254" i="10"/>
  <c r="AA280" i="10"/>
  <c r="AA272" i="10"/>
  <c r="Z269" i="10"/>
  <c r="AI269" i="10" s="1"/>
  <c r="AA264" i="10"/>
  <c r="Z261" i="10"/>
  <c r="AI261" i="10" s="1"/>
  <c r="AA256" i="10"/>
  <c r="Z253" i="10"/>
  <c r="AI253" i="10" s="1"/>
  <c r="Z250" i="10"/>
  <c r="AI250" i="10" s="1"/>
  <c r="AA249" i="10"/>
  <c r="Z248" i="10"/>
  <c r="AI248" i="10" s="1"/>
  <c r="AA247" i="10"/>
  <c r="Z246" i="10"/>
  <c r="AI246" i="10" s="1"/>
  <c r="AA245" i="10"/>
  <c r="Z244" i="10"/>
  <c r="AI244" i="10" s="1"/>
  <c r="AA243" i="10"/>
  <c r="Z242" i="10"/>
  <c r="AI242" i="10" s="1"/>
  <c r="AA241" i="10"/>
  <c r="Z240" i="10"/>
  <c r="AI240" i="10" s="1"/>
  <c r="AA239" i="10"/>
  <c r="Z238" i="10"/>
  <c r="AI238" i="10" s="1"/>
  <c r="AA237" i="10"/>
  <c r="Z236" i="10"/>
  <c r="AI236" i="10" s="1"/>
  <c r="AA235" i="10"/>
  <c r="Z234" i="10"/>
  <c r="AI234" i="10" s="1"/>
  <c r="AA233" i="10"/>
  <c r="Z232" i="10"/>
  <c r="AI232" i="10" s="1"/>
  <c r="AA276" i="10"/>
  <c r="Z265" i="10"/>
  <c r="AI265" i="10" s="1"/>
  <c r="AA260" i="10"/>
  <c r="Z249" i="10"/>
  <c r="AI249" i="10" s="1"/>
  <c r="AA248" i="10"/>
  <c r="Z245" i="10"/>
  <c r="AI245" i="10" s="1"/>
  <c r="AA244" i="10"/>
  <c r="Z241" i="10"/>
  <c r="AI241" i="10" s="1"/>
  <c r="AA240" i="10"/>
  <c r="Z237" i="10"/>
  <c r="AI237" i="10" s="1"/>
  <c r="AA236" i="10"/>
  <c r="Z233" i="10"/>
  <c r="AI233" i="10" s="1"/>
  <c r="AA232" i="10"/>
  <c r="Z231" i="10"/>
  <c r="AI231" i="10" s="1"/>
  <c r="AA230" i="10"/>
  <c r="Z229" i="10"/>
  <c r="AI229" i="10" s="1"/>
  <c r="AA228" i="10"/>
  <c r="Z227" i="10"/>
  <c r="AI227" i="10" s="1"/>
  <c r="AA226" i="10"/>
  <c r="Z225" i="10"/>
  <c r="AI225" i="10" s="1"/>
  <c r="AA224" i="10"/>
  <c r="AA223" i="10"/>
  <c r="Z222" i="10"/>
  <c r="AI222" i="10" s="1"/>
  <c r="AA221" i="10"/>
  <c r="Z220" i="10"/>
  <c r="AI220" i="10" s="1"/>
  <c r="AA219" i="10"/>
  <c r="Z218" i="10"/>
  <c r="AI218" i="10" s="1"/>
  <c r="AA217" i="10"/>
  <c r="Z216" i="10"/>
  <c r="AI216" i="10" s="1"/>
  <c r="AA215" i="10"/>
  <c r="Z214" i="10"/>
  <c r="AI214" i="10" s="1"/>
  <c r="AA213" i="10"/>
  <c r="Z212" i="10"/>
  <c r="AI212" i="10" s="1"/>
  <c r="AA211" i="10"/>
  <c r="Z210" i="10"/>
  <c r="AI210" i="10" s="1"/>
  <c r="AA209" i="10"/>
  <c r="Z208" i="10"/>
  <c r="AI208" i="10" s="1"/>
  <c r="AA207" i="10"/>
  <c r="Z206" i="10"/>
  <c r="AI206" i="10" s="1"/>
  <c r="AA205" i="10"/>
  <c r="Z204" i="10"/>
  <c r="AI204" i="10" s="1"/>
  <c r="AA203" i="10"/>
  <c r="Z202" i="10"/>
  <c r="AI202" i="10" s="1"/>
  <c r="AA201" i="10"/>
  <c r="Z200" i="10"/>
  <c r="AI200" i="10" s="1"/>
  <c r="AA199" i="10"/>
  <c r="Z198" i="10"/>
  <c r="AI198" i="10" s="1"/>
  <c r="AA197" i="10"/>
  <c r="Z196" i="10"/>
  <c r="AI196" i="10" s="1"/>
  <c r="AA195" i="10"/>
  <c r="Z194" i="10"/>
  <c r="AI194" i="10" s="1"/>
  <c r="AA193" i="10"/>
  <c r="Z192" i="10"/>
  <c r="AI192" i="10" s="1"/>
  <c r="Z257" i="10"/>
  <c r="AI257" i="10" s="1"/>
  <c r="AA252" i="10"/>
  <c r="AA250" i="10"/>
  <c r="AB250" i="10" s="1"/>
  <c r="Z247" i="10"/>
  <c r="AI247" i="10" s="1"/>
  <c r="AA242" i="10"/>
  <c r="AB242" i="10" s="1"/>
  <c r="Z239" i="10"/>
  <c r="AI239" i="10" s="1"/>
  <c r="AA234" i="10"/>
  <c r="AB234" i="10" s="1"/>
  <c r="Z230" i="10"/>
  <c r="AI230" i="10" s="1"/>
  <c r="AA229" i="10"/>
  <c r="AB229" i="10" s="1"/>
  <c r="Z226" i="10"/>
  <c r="AI226" i="10" s="1"/>
  <c r="AA225" i="10"/>
  <c r="AB225" i="10" s="1"/>
  <c r="Z221" i="10"/>
  <c r="AI221" i="10" s="1"/>
  <c r="AA220" i="10"/>
  <c r="Z217" i="10"/>
  <c r="AI217" i="10" s="1"/>
  <c r="AA216" i="10"/>
  <c r="Z213" i="10"/>
  <c r="AI213" i="10" s="1"/>
  <c r="AA212" i="10"/>
  <c r="Z209" i="10"/>
  <c r="AI209" i="10" s="1"/>
  <c r="AA208" i="10"/>
  <c r="Z205" i="10"/>
  <c r="AI205" i="10" s="1"/>
  <c r="AA204" i="10"/>
  <c r="Z201" i="10"/>
  <c r="AI201" i="10" s="1"/>
  <c r="AA200" i="10"/>
  <c r="Z197" i="10"/>
  <c r="AI197" i="10" s="1"/>
  <c r="AA196" i="10"/>
  <c r="Z193" i="10"/>
  <c r="AI193" i="10" s="1"/>
  <c r="AA192" i="10"/>
  <c r="AA191" i="10"/>
  <c r="Z190" i="10"/>
  <c r="AI190" i="10" s="1"/>
  <c r="AA189" i="10"/>
  <c r="Z188" i="10"/>
  <c r="AI188" i="10" s="1"/>
  <c r="AA187" i="10"/>
  <c r="Z186" i="10"/>
  <c r="AI186" i="10" s="1"/>
  <c r="AA185" i="10"/>
  <c r="Z184" i="10"/>
  <c r="AI184" i="10" s="1"/>
  <c r="AA183" i="10"/>
  <c r="Z182" i="10"/>
  <c r="AI182" i="10" s="1"/>
  <c r="AA181" i="10"/>
  <c r="Z180" i="10"/>
  <c r="AI180" i="10" s="1"/>
  <c r="AA179" i="10"/>
  <c r="Z178" i="10"/>
  <c r="AI178" i="10" s="1"/>
  <c r="AA268" i="10"/>
  <c r="Z251" i="10"/>
  <c r="AI251" i="10" s="1"/>
  <c r="AA246" i="10"/>
  <c r="Z243" i="10"/>
  <c r="AI243" i="10" s="1"/>
  <c r="AA238" i="10"/>
  <c r="Z235" i="10"/>
  <c r="AI235" i="10" s="1"/>
  <c r="AA231" i="10"/>
  <c r="Z228" i="10"/>
  <c r="AI228" i="10" s="1"/>
  <c r="AA227" i="10"/>
  <c r="Z224" i="10"/>
  <c r="AI224" i="10" s="1"/>
  <c r="Z223" i="10"/>
  <c r="AI223" i="10" s="1"/>
  <c r="AA222" i="10"/>
  <c r="AA218" i="10"/>
  <c r="AB218" i="10" s="1"/>
  <c r="Z215" i="10"/>
  <c r="AI215" i="10" s="1"/>
  <c r="AA210" i="10"/>
  <c r="AB210" i="10" s="1"/>
  <c r="Z207" i="10"/>
  <c r="AI207" i="10" s="1"/>
  <c r="AA202" i="10"/>
  <c r="AB202" i="10" s="1"/>
  <c r="Z199" i="10"/>
  <c r="AI199" i="10" s="1"/>
  <c r="AA194" i="10"/>
  <c r="AB194" i="10" s="1"/>
  <c r="Z189" i="10"/>
  <c r="AI189" i="10" s="1"/>
  <c r="AA188" i="10"/>
  <c r="Z185" i="10"/>
  <c r="AI185" i="10" s="1"/>
  <c r="AA184" i="10"/>
  <c r="Z181" i="10"/>
  <c r="AI181" i="10" s="1"/>
  <c r="AA180" i="10"/>
  <c r="Z219" i="10"/>
  <c r="AI219" i="10" s="1"/>
  <c r="AA214" i="10"/>
  <c r="AB214" i="10" s="1"/>
  <c r="Z211" i="10"/>
  <c r="AI211" i="10" s="1"/>
  <c r="AA206" i="10"/>
  <c r="AB206" i="10" s="1"/>
  <c r="Z203" i="10"/>
  <c r="AI203" i="10" s="1"/>
  <c r="AA198" i="10"/>
  <c r="AB198" i="10" s="1"/>
  <c r="Z195" i="10"/>
  <c r="AI195" i="10" s="1"/>
  <c r="Z191" i="10"/>
  <c r="AI191" i="10" s="1"/>
  <c r="AA190" i="10"/>
  <c r="AB190" i="10" s="1"/>
  <c r="Z187" i="10"/>
  <c r="AI187" i="10" s="1"/>
  <c r="AA186" i="10"/>
  <c r="AB186" i="10" s="1"/>
  <c r="Z183" i="10"/>
  <c r="AI183" i="10" s="1"/>
  <c r="AA182" i="10"/>
  <c r="AB182" i="10" s="1"/>
  <c r="Z179" i="10"/>
  <c r="AI179" i="10" s="1"/>
  <c r="AA178" i="10"/>
  <c r="AB178" i="10" s="1"/>
  <c r="S17" i="10"/>
  <c r="S18" i="10"/>
  <c r="R19" i="10"/>
  <c r="AG19" i="10" s="1"/>
  <c r="R20" i="10"/>
  <c r="S21" i="10"/>
  <c r="S22" i="10"/>
  <c r="R23" i="10"/>
  <c r="R24" i="10"/>
  <c r="AG24" i="10" s="1"/>
  <c r="S25" i="10"/>
  <c r="S26" i="10"/>
  <c r="R27" i="10"/>
  <c r="AG27" i="10" s="1"/>
  <c r="R28" i="10"/>
  <c r="AG28" i="10" s="1"/>
  <c r="S29" i="10"/>
  <c r="S30" i="10"/>
  <c r="R31" i="10"/>
  <c r="AG31" i="10" s="1"/>
  <c r="R32" i="10"/>
  <c r="AG32" i="10" s="1"/>
  <c r="S33" i="10"/>
  <c r="S34" i="10"/>
  <c r="R35" i="10"/>
  <c r="AG35" i="10" s="1"/>
  <c r="R36" i="10"/>
  <c r="AG36" i="10" s="1"/>
  <c r="S37" i="10"/>
  <c r="S38" i="10"/>
  <c r="R39" i="10"/>
  <c r="AG39" i="10" s="1"/>
  <c r="R40" i="10"/>
  <c r="AG40" i="10" s="1"/>
  <c r="S41" i="10"/>
  <c r="S42" i="10"/>
  <c r="R43" i="10"/>
  <c r="AG43" i="10" s="1"/>
  <c r="R44" i="10"/>
  <c r="AG44" i="10" s="1"/>
  <c r="R45" i="10"/>
  <c r="AG45" i="10" s="1"/>
  <c r="R46" i="10"/>
  <c r="AG46" i="10" s="1"/>
  <c r="S47" i="10"/>
  <c r="S48" i="10"/>
  <c r="R49" i="10"/>
  <c r="AG49" i="10" s="1"/>
  <c r="R50" i="10"/>
  <c r="AG50" i="10" s="1"/>
  <c r="R51" i="10"/>
  <c r="AG51" i="10" s="1"/>
  <c r="R52" i="10"/>
  <c r="AG52" i="10" s="1"/>
  <c r="R53" i="10"/>
  <c r="AG53" i="10" s="1"/>
  <c r="R54" i="10"/>
  <c r="AG54" i="10" s="1"/>
  <c r="R55" i="10"/>
  <c r="S56" i="10"/>
  <c r="S57" i="10"/>
  <c r="R58" i="10"/>
  <c r="AG58" i="10" s="1"/>
  <c r="R59" i="10"/>
  <c r="AG59" i="10" s="1"/>
  <c r="S60" i="10"/>
  <c r="S61" i="10"/>
  <c r="R62" i="10"/>
  <c r="R63" i="10"/>
  <c r="AG63" i="10" s="1"/>
  <c r="S64" i="10"/>
  <c r="S65" i="10"/>
  <c r="R66" i="10"/>
  <c r="AG66" i="10" s="1"/>
  <c r="R67" i="10"/>
  <c r="AG67" i="10" s="1"/>
  <c r="S68" i="10"/>
  <c r="S69" i="10"/>
  <c r="R70" i="10"/>
  <c r="AG70" i="10" s="1"/>
  <c r="R71" i="10"/>
  <c r="AG71" i="10" s="1"/>
  <c r="S72" i="10"/>
  <c r="S73" i="10"/>
  <c r="R74" i="10"/>
  <c r="AG74" i="10" s="1"/>
  <c r="R75" i="10"/>
  <c r="AG75" i="10" s="1"/>
  <c r="S76" i="10"/>
  <c r="S77" i="10"/>
  <c r="R78" i="10"/>
  <c r="AG78" i="10" s="1"/>
  <c r="R79" i="10"/>
  <c r="AG79" i="10" s="1"/>
  <c r="S80" i="10"/>
  <c r="S81" i="10"/>
  <c r="R82" i="10"/>
  <c r="AG82" i="10" s="1"/>
  <c r="R83" i="10"/>
  <c r="AG83" i="10" s="1"/>
  <c r="S84" i="10"/>
  <c r="S85" i="10"/>
  <c r="R86" i="10"/>
  <c r="AG86" i="10" s="1"/>
  <c r="R87" i="10"/>
  <c r="AG87" i="10" s="1"/>
  <c r="S88" i="10"/>
  <c r="S89" i="10"/>
  <c r="R90" i="10"/>
  <c r="AG90" i="10" s="1"/>
  <c r="R91" i="10"/>
  <c r="AG91" i="10" s="1"/>
  <c r="S92" i="10"/>
  <c r="S93" i="10"/>
  <c r="R94" i="10"/>
  <c r="AG94" i="10" s="1"/>
  <c r="R95" i="10"/>
  <c r="AG95" i="10" s="1"/>
  <c r="S96" i="10"/>
  <c r="S97" i="10"/>
  <c r="R98" i="10"/>
  <c r="AG98" i="10" s="1"/>
  <c r="R99" i="10"/>
  <c r="AG99" i="10" s="1"/>
  <c r="S100" i="10"/>
  <c r="S101" i="10"/>
  <c r="R102" i="10"/>
  <c r="AG102" i="10" s="1"/>
  <c r="R103" i="10"/>
  <c r="AG103" i="10" s="1"/>
  <c r="S104" i="10"/>
  <c r="S105" i="10"/>
  <c r="R106" i="10"/>
  <c r="AG106" i="10" s="1"/>
  <c r="R107" i="10"/>
  <c r="AG107" i="10" s="1"/>
  <c r="S108" i="10"/>
  <c r="S109" i="10"/>
  <c r="R110" i="10"/>
  <c r="AG110" i="10" s="1"/>
  <c r="R111" i="10"/>
  <c r="AG111" i="10" s="1"/>
  <c r="S112" i="10"/>
  <c r="S113" i="10"/>
  <c r="R114" i="10"/>
  <c r="AG114" i="10" s="1"/>
  <c r="R115" i="10"/>
  <c r="AG115" i="10" s="1"/>
  <c r="S116" i="10"/>
  <c r="S117" i="10"/>
  <c r="R118" i="10"/>
  <c r="AG118" i="10" s="1"/>
  <c r="R119" i="10"/>
  <c r="AG119" i="10" s="1"/>
  <c r="S120" i="10"/>
  <c r="S121" i="10"/>
  <c r="R122" i="10"/>
  <c r="AG122" i="10" s="1"/>
  <c r="R123" i="10"/>
  <c r="AG123" i="10" s="1"/>
  <c r="S124" i="10"/>
  <c r="S125" i="10"/>
  <c r="R126" i="10"/>
  <c r="AG126" i="10" s="1"/>
  <c r="R127" i="10"/>
  <c r="AG127" i="10" s="1"/>
  <c r="S128" i="10"/>
  <c r="S129" i="10"/>
  <c r="R130" i="10"/>
  <c r="AG130" i="10" s="1"/>
  <c r="R131" i="10"/>
  <c r="AG131" i="10" s="1"/>
  <c r="S132" i="10"/>
  <c r="S133" i="10"/>
  <c r="R134" i="10"/>
  <c r="AG134" i="10" s="1"/>
  <c r="R135" i="10"/>
  <c r="AG135" i="10" s="1"/>
  <c r="S136" i="10"/>
  <c r="S137" i="10"/>
  <c r="R138" i="10"/>
  <c r="AG138" i="10" s="1"/>
  <c r="R139" i="10"/>
  <c r="AG139" i="10" s="1"/>
  <c r="S140" i="10"/>
  <c r="S141" i="10"/>
  <c r="R142" i="10"/>
  <c r="AG142" i="10" s="1"/>
  <c r="R143" i="10"/>
  <c r="AG143" i="10" s="1"/>
  <c r="S144" i="10"/>
  <c r="S145" i="10"/>
  <c r="R146" i="10"/>
  <c r="AG146" i="10" s="1"/>
  <c r="R147" i="10"/>
  <c r="AG147" i="10" s="1"/>
  <c r="S148" i="10"/>
  <c r="S149" i="10"/>
  <c r="R150" i="10"/>
  <c r="AG150" i="10" s="1"/>
  <c r="R151" i="10"/>
  <c r="AG151" i="10" s="1"/>
  <c r="S152" i="10"/>
  <c r="S153" i="10"/>
  <c r="R154" i="10"/>
  <c r="AG154" i="10" s="1"/>
  <c r="R155" i="10"/>
  <c r="AG155" i="10" s="1"/>
  <c r="S156" i="10"/>
  <c r="S157" i="10"/>
  <c r="R158" i="10"/>
  <c r="AG158" i="10" s="1"/>
  <c r="R159" i="10"/>
  <c r="AG159" i="10" s="1"/>
  <c r="S160" i="10"/>
  <c r="S161" i="10"/>
  <c r="R162" i="10"/>
  <c r="AG162" i="10" s="1"/>
  <c r="R163" i="10"/>
  <c r="AG163" i="10" s="1"/>
  <c r="S164" i="10"/>
  <c r="S165" i="10"/>
  <c r="R166" i="10"/>
  <c r="AG166" i="10" s="1"/>
  <c r="R167" i="10"/>
  <c r="AG167" i="10" s="1"/>
  <c r="S168" i="10"/>
  <c r="S169" i="10"/>
  <c r="R170" i="10"/>
  <c r="AG170" i="10" s="1"/>
  <c r="R171" i="10"/>
  <c r="AG171" i="10" s="1"/>
  <c r="S172" i="10"/>
  <c r="S173" i="10"/>
  <c r="R174" i="10"/>
  <c r="AG174" i="10" s="1"/>
  <c r="R175" i="10"/>
  <c r="AG175" i="10" s="1"/>
  <c r="S176" i="10"/>
  <c r="S177" i="10"/>
  <c r="R17" i="10"/>
  <c r="AG17" i="10" s="1"/>
  <c r="R18" i="10"/>
  <c r="AG18" i="10" s="1"/>
  <c r="S19" i="10"/>
  <c r="S20" i="10"/>
  <c r="R21" i="10"/>
  <c r="R22" i="10"/>
  <c r="AG22" i="10" s="1"/>
  <c r="S23" i="10"/>
  <c r="S24" i="10"/>
  <c r="R25" i="10"/>
  <c r="AG25" i="10" s="1"/>
  <c r="R26" i="10"/>
  <c r="AG26" i="10" s="1"/>
  <c r="S27" i="10"/>
  <c r="S28" i="10"/>
  <c r="R29" i="10"/>
  <c r="AG29" i="10" s="1"/>
  <c r="R30" i="10"/>
  <c r="AG30" i="10" s="1"/>
  <c r="S31" i="10"/>
  <c r="S32" i="10"/>
  <c r="R33" i="10"/>
  <c r="AG33" i="10" s="1"/>
  <c r="R34" i="10"/>
  <c r="AG34" i="10" s="1"/>
  <c r="S35" i="10"/>
  <c r="S36" i="10"/>
  <c r="R37" i="10"/>
  <c r="AG37" i="10" s="1"/>
  <c r="R38" i="10"/>
  <c r="AG38" i="10" s="1"/>
  <c r="S39" i="10"/>
  <c r="S40" i="10"/>
  <c r="R41" i="10"/>
  <c r="AG41" i="10" s="1"/>
  <c r="R42" i="10"/>
  <c r="AG42" i="10" s="1"/>
  <c r="S43" i="10"/>
  <c r="S44" i="10"/>
  <c r="S45" i="10"/>
  <c r="S46" i="10"/>
  <c r="R47" i="10"/>
  <c r="AG47" i="10" s="1"/>
  <c r="R48" i="10"/>
  <c r="AG48" i="10" s="1"/>
  <c r="S49" i="10"/>
  <c r="S50" i="10"/>
  <c r="S51" i="10"/>
  <c r="S52" i="10"/>
  <c r="S53" i="10"/>
  <c r="S54" i="10"/>
  <c r="S55" i="10"/>
  <c r="R56" i="10"/>
  <c r="R57" i="10"/>
  <c r="AG57" i="10" s="1"/>
  <c r="S58" i="10"/>
  <c r="S59" i="10"/>
  <c r="R60" i="10"/>
  <c r="AG60" i="10" s="1"/>
  <c r="R61" i="10"/>
  <c r="AG61" i="10" s="1"/>
  <c r="S62" i="10"/>
  <c r="S63" i="10"/>
  <c r="R64" i="10"/>
  <c r="AG64" i="10" s="1"/>
  <c r="R65" i="10"/>
  <c r="AG65" i="10" s="1"/>
  <c r="S66" i="10"/>
  <c r="S67" i="10"/>
  <c r="R68" i="10"/>
  <c r="AG68" i="10" s="1"/>
  <c r="R69" i="10"/>
  <c r="AG69" i="10" s="1"/>
  <c r="S70" i="10"/>
  <c r="S71" i="10"/>
  <c r="R72" i="10"/>
  <c r="AG72" i="10" s="1"/>
  <c r="R73" i="10"/>
  <c r="AG73" i="10" s="1"/>
  <c r="S74" i="10"/>
  <c r="S75" i="10"/>
  <c r="R76" i="10"/>
  <c r="AG76" i="10" s="1"/>
  <c r="R77" i="10"/>
  <c r="AG77" i="10" s="1"/>
  <c r="S78" i="10"/>
  <c r="S79" i="10"/>
  <c r="R80" i="10"/>
  <c r="AG80" i="10" s="1"/>
  <c r="R81" i="10"/>
  <c r="AG81" i="10" s="1"/>
  <c r="S82" i="10"/>
  <c r="S83" i="10"/>
  <c r="R84" i="10"/>
  <c r="AG84" i="10" s="1"/>
  <c r="R85" i="10"/>
  <c r="AG85" i="10" s="1"/>
  <c r="S86" i="10"/>
  <c r="S87" i="10"/>
  <c r="R88" i="10"/>
  <c r="AG88" i="10" s="1"/>
  <c r="R89" i="10"/>
  <c r="AG89" i="10" s="1"/>
  <c r="S90" i="10"/>
  <c r="S91" i="10"/>
  <c r="R92" i="10"/>
  <c r="AG92" i="10" s="1"/>
  <c r="R93" i="10"/>
  <c r="AG93" i="10" s="1"/>
  <c r="S94" i="10"/>
  <c r="S95" i="10"/>
  <c r="R96" i="10"/>
  <c r="AG96" i="10" s="1"/>
  <c r="R97" i="10"/>
  <c r="AG97" i="10" s="1"/>
  <c r="S98" i="10"/>
  <c r="S99" i="10"/>
  <c r="R100" i="10"/>
  <c r="AG100" i="10" s="1"/>
  <c r="R101" i="10"/>
  <c r="AG101" i="10" s="1"/>
  <c r="S102" i="10"/>
  <c r="S103" i="10"/>
  <c r="R104" i="10"/>
  <c r="AG104" i="10" s="1"/>
  <c r="R105" i="10"/>
  <c r="AG105" i="10" s="1"/>
  <c r="S106" i="10"/>
  <c r="S107" i="10"/>
  <c r="R108" i="10"/>
  <c r="AG108" i="10" s="1"/>
  <c r="R109" i="10"/>
  <c r="AG109" i="10" s="1"/>
  <c r="S110" i="10"/>
  <c r="S111" i="10"/>
  <c r="R112" i="10"/>
  <c r="AG112" i="10" s="1"/>
  <c r="R113" i="10"/>
  <c r="AG113" i="10" s="1"/>
  <c r="S114" i="10"/>
  <c r="S115" i="10"/>
  <c r="R116" i="10"/>
  <c r="AG116" i="10" s="1"/>
  <c r="R117" i="10"/>
  <c r="AG117" i="10" s="1"/>
  <c r="S118" i="10"/>
  <c r="S119" i="10"/>
  <c r="R120" i="10"/>
  <c r="AG120" i="10" s="1"/>
  <c r="R121" i="10"/>
  <c r="AG121" i="10" s="1"/>
  <c r="S122" i="10"/>
  <c r="S123" i="10"/>
  <c r="R124" i="10"/>
  <c r="AG124" i="10" s="1"/>
  <c r="R125" i="10"/>
  <c r="AG125" i="10" s="1"/>
  <c r="S126" i="10"/>
  <c r="S127" i="10"/>
  <c r="R128" i="10"/>
  <c r="AG128" i="10" s="1"/>
  <c r="R129" i="10"/>
  <c r="AG129" i="10" s="1"/>
  <c r="S130" i="10"/>
  <c r="S131" i="10"/>
  <c r="R132" i="10"/>
  <c r="AG132" i="10" s="1"/>
  <c r="R133" i="10"/>
  <c r="AG133" i="10" s="1"/>
  <c r="S134" i="10"/>
  <c r="S135" i="10"/>
  <c r="R136" i="10"/>
  <c r="AG136" i="10" s="1"/>
  <c r="R137" i="10"/>
  <c r="AG137" i="10" s="1"/>
  <c r="S138" i="10"/>
  <c r="S139" i="10"/>
  <c r="R140" i="10"/>
  <c r="AG140" i="10" s="1"/>
  <c r="R141" i="10"/>
  <c r="AG141" i="10" s="1"/>
  <c r="S142" i="10"/>
  <c r="S143" i="10"/>
  <c r="R144" i="10"/>
  <c r="AG144" i="10" s="1"/>
  <c r="R145" i="10"/>
  <c r="AG145" i="10" s="1"/>
  <c r="S146" i="10"/>
  <c r="S147" i="10"/>
  <c r="R148" i="10"/>
  <c r="AG148" i="10" s="1"/>
  <c r="R149" i="10"/>
  <c r="AG149" i="10" s="1"/>
  <c r="S150" i="10"/>
  <c r="S151" i="10"/>
  <c r="R152" i="10"/>
  <c r="AG152" i="10" s="1"/>
  <c r="R153" i="10"/>
  <c r="AG153" i="10" s="1"/>
  <c r="S154" i="10"/>
  <c r="S155" i="10"/>
  <c r="R156" i="10"/>
  <c r="AG156" i="10" s="1"/>
  <c r="R157" i="10"/>
  <c r="AG157" i="10" s="1"/>
  <c r="S158" i="10"/>
  <c r="S159" i="10"/>
  <c r="R160" i="10"/>
  <c r="AG160" i="10" s="1"/>
  <c r="R161" i="10"/>
  <c r="AG161" i="10" s="1"/>
  <c r="S162" i="10"/>
  <c r="S163" i="10"/>
  <c r="R164" i="10"/>
  <c r="AG164" i="10" s="1"/>
  <c r="R165" i="10"/>
  <c r="AG165" i="10" s="1"/>
  <c r="S166" i="10"/>
  <c r="S167" i="10"/>
  <c r="R168" i="10"/>
  <c r="AG168" i="10" s="1"/>
  <c r="R169" i="10"/>
  <c r="AG169" i="10" s="1"/>
  <c r="S170" i="10"/>
  <c r="S171" i="10"/>
  <c r="R172" i="10"/>
  <c r="AG172" i="10" s="1"/>
  <c r="R173" i="10"/>
  <c r="AG173" i="10" s="1"/>
  <c r="S174" i="10"/>
  <c r="S175" i="10"/>
  <c r="R176" i="10"/>
  <c r="AG176" i="10" s="1"/>
  <c r="R177" i="10"/>
  <c r="AG177" i="10" s="1"/>
  <c r="S16" i="10"/>
  <c r="R16" i="10"/>
  <c r="W17" i="10"/>
  <c r="W18" i="10"/>
  <c r="V19" i="10"/>
  <c r="AH19" i="10" s="1"/>
  <c r="V20" i="10"/>
  <c r="AH20" i="10" s="1"/>
  <c r="W21" i="10"/>
  <c r="W22" i="10"/>
  <c r="V23" i="10"/>
  <c r="AH23" i="10" s="1"/>
  <c r="V24" i="10"/>
  <c r="AH24" i="10" s="1"/>
  <c r="W25" i="10"/>
  <c r="W26" i="10"/>
  <c r="V27" i="10"/>
  <c r="AH27" i="10" s="1"/>
  <c r="V28" i="10"/>
  <c r="AH28" i="10" s="1"/>
  <c r="W29" i="10"/>
  <c r="W30" i="10"/>
  <c r="V31" i="10"/>
  <c r="AH31" i="10" s="1"/>
  <c r="V32" i="10"/>
  <c r="AH32" i="10" s="1"/>
  <c r="W33" i="10"/>
  <c r="W34" i="10"/>
  <c r="V35" i="10"/>
  <c r="AH35" i="10" s="1"/>
  <c r="V36" i="10"/>
  <c r="AH36" i="10" s="1"/>
  <c r="W37" i="10"/>
  <c r="W38" i="10"/>
  <c r="V39" i="10"/>
  <c r="AH39" i="10" s="1"/>
  <c r="V40" i="10"/>
  <c r="AH40" i="10" s="1"/>
  <c r="W41" i="10"/>
  <c r="W42" i="10"/>
  <c r="V43" i="10"/>
  <c r="AH43" i="10" s="1"/>
  <c r="V44" i="10"/>
  <c r="AH44" i="10" s="1"/>
  <c r="W45" i="10"/>
  <c r="W46" i="10"/>
  <c r="V47" i="10"/>
  <c r="AH47" i="10" s="1"/>
  <c r="V48" i="10"/>
  <c r="AH48" i="10" s="1"/>
  <c r="W49" i="10"/>
  <c r="W50" i="10"/>
  <c r="W51" i="10"/>
  <c r="W52" i="10"/>
  <c r="V53" i="10"/>
  <c r="AH53" i="10" s="1"/>
  <c r="V54" i="10"/>
  <c r="AH54" i="10" s="1"/>
  <c r="W55" i="10"/>
  <c r="W56" i="10"/>
  <c r="V57" i="10"/>
  <c r="AH57" i="10" s="1"/>
  <c r="V58" i="10"/>
  <c r="AH58" i="10" s="1"/>
  <c r="W59" i="10"/>
  <c r="W60" i="10"/>
  <c r="V61" i="10"/>
  <c r="AH61" i="10" s="1"/>
  <c r="V62" i="10"/>
  <c r="AH62" i="10" s="1"/>
  <c r="W63" i="10"/>
  <c r="W64" i="10"/>
  <c r="V65" i="10"/>
  <c r="AH65" i="10" s="1"/>
  <c r="V66" i="10"/>
  <c r="AH66" i="10" s="1"/>
  <c r="V67" i="10"/>
  <c r="AH67" i="10" s="1"/>
  <c r="V68" i="10"/>
  <c r="AH68" i="10" s="1"/>
  <c r="V69" i="10"/>
  <c r="AH69" i="10" s="1"/>
  <c r="V70" i="10"/>
  <c r="AH70" i="10" s="1"/>
  <c r="V71" i="10"/>
  <c r="AH71" i="10" s="1"/>
  <c r="V72" i="10"/>
  <c r="AH72" i="10" s="1"/>
  <c r="V73" i="10"/>
  <c r="AH73" i="10" s="1"/>
  <c r="V74" i="10"/>
  <c r="AH74" i="10" s="1"/>
  <c r="V75" i="10"/>
  <c r="AH75" i="10" s="1"/>
  <c r="V76" i="10"/>
  <c r="AH76" i="10" s="1"/>
  <c r="V77" i="10"/>
  <c r="AH77" i="10" s="1"/>
  <c r="V78" i="10"/>
  <c r="AH78" i="10" s="1"/>
  <c r="V79" i="10"/>
  <c r="AH79" i="10" s="1"/>
  <c r="V80" i="10"/>
  <c r="AH80" i="10" s="1"/>
  <c r="V81" i="10"/>
  <c r="AH81" i="10" s="1"/>
  <c r="V82" i="10"/>
  <c r="AH82" i="10" s="1"/>
  <c r="V83" i="10"/>
  <c r="AH83" i="10" s="1"/>
  <c r="V84" i="10"/>
  <c r="AH84" i="10" s="1"/>
  <c r="V85" i="10"/>
  <c r="AH85" i="10" s="1"/>
  <c r="V86" i="10"/>
  <c r="AH86" i="10" s="1"/>
  <c r="V87" i="10"/>
  <c r="AH87" i="10" s="1"/>
  <c r="V88" i="10"/>
  <c r="AH88" i="10" s="1"/>
  <c r="V89" i="10"/>
  <c r="AH89" i="10" s="1"/>
  <c r="V90" i="10"/>
  <c r="AH90" i="10" s="1"/>
  <c r="V91" i="10"/>
  <c r="AH91" i="10" s="1"/>
  <c r="V92" i="10"/>
  <c r="AH92" i="10" s="1"/>
  <c r="V93" i="10"/>
  <c r="AH93" i="10" s="1"/>
  <c r="V94" i="10"/>
  <c r="AH94" i="10" s="1"/>
  <c r="V95" i="10"/>
  <c r="AH95" i="10" s="1"/>
  <c r="V96" i="10"/>
  <c r="AH96" i="10" s="1"/>
  <c r="V97" i="10"/>
  <c r="AH97" i="10" s="1"/>
  <c r="V98" i="10"/>
  <c r="AH98" i="10" s="1"/>
  <c r="W99" i="10"/>
  <c r="W100" i="10"/>
  <c r="V101" i="10"/>
  <c r="AH101" i="10" s="1"/>
  <c r="V102" i="10"/>
  <c r="AH102" i="10" s="1"/>
  <c r="W103" i="10"/>
  <c r="W104" i="10"/>
  <c r="V105" i="10"/>
  <c r="AH105" i="10" s="1"/>
  <c r="V106" i="10"/>
  <c r="AH106" i="10" s="1"/>
  <c r="W107" i="10"/>
  <c r="W108" i="10"/>
  <c r="W109" i="10"/>
  <c r="W110" i="10"/>
  <c r="V111" i="10"/>
  <c r="AH111" i="10" s="1"/>
  <c r="V112" i="10"/>
  <c r="AH112" i="10" s="1"/>
  <c r="V113" i="10"/>
  <c r="AH113" i="10" s="1"/>
  <c r="V114" i="10"/>
  <c r="AH114" i="10" s="1"/>
  <c r="V115" i="10"/>
  <c r="AH115" i="10" s="1"/>
  <c r="V17" i="10"/>
  <c r="AH17" i="10" s="1"/>
  <c r="V18" i="10"/>
  <c r="AH18" i="10" s="1"/>
  <c r="W19" i="10"/>
  <c r="W20" i="10"/>
  <c r="V21" i="10"/>
  <c r="AH21" i="10" s="1"/>
  <c r="V22" i="10"/>
  <c r="AH22" i="10" s="1"/>
  <c r="W23" i="10"/>
  <c r="W24" i="10"/>
  <c r="V25" i="10"/>
  <c r="AH25" i="10" s="1"/>
  <c r="V26" i="10"/>
  <c r="AH26" i="10" s="1"/>
  <c r="W27" i="10"/>
  <c r="W28" i="10"/>
  <c r="V29" i="10"/>
  <c r="AH29" i="10" s="1"/>
  <c r="V30" i="10"/>
  <c r="AH30" i="10" s="1"/>
  <c r="W31" i="10"/>
  <c r="W32" i="10"/>
  <c r="V33" i="10"/>
  <c r="AH33" i="10" s="1"/>
  <c r="V34" i="10"/>
  <c r="AH34" i="10" s="1"/>
  <c r="W35" i="10"/>
  <c r="W36" i="10"/>
  <c r="V37" i="10"/>
  <c r="AH37" i="10" s="1"/>
  <c r="V38" i="10"/>
  <c r="AH38" i="10" s="1"/>
  <c r="W39" i="10"/>
  <c r="W40" i="10"/>
  <c r="V41" i="10"/>
  <c r="AH41" i="10" s="1"/>
  <c r="V42" i="10"/>
  <c r="AH42" i="10" s="1"/>
  <c r="W43" i="10"/>
  <c r="W44" i="10"/>
  <c r="V45" i="10"/>
  <c r="AH45" i="10" s="1"/>
  <c r="V46" i="10"/>
  <c r="AH46" i="10" s="1"/>
  <c r="W47" i="10"/>
  <c r="W48" i="10"/>
  <c r="V49" i="10"/>
  <c r="AH49" i="10" s="1"/>
  <c r="V50" i="10"/>
  <c r="AH50" i="10" s="1"/>
  <c r="V51" i="10"/>
  <c r="AH51" i="10" s="1"/>
  <c r="V52" i="10"/>
  <c r="AH52" i="10" s="1"/>
  <c r="W53" i="10"/>
  <c r="W54" i="10"/>
  <c r="V55" i="10"/>
  <c r="AH55" i="10" s="1"/>
  <c r="V56" i="10"/>
  <c r="AH56" i="10" s="1"/>
  <c r="W57" i="10"/>
  <c r="W58" i="10"/>
  <c r="V59" i="10"/>
  <c r="AH59" i="10" s="1"/>
  <c r="V60" i="10"/>
  <c r="AH60" i="10" s="1"/>
  <c r="W61" i="10"/>
  <c r="W62" i="10"/>
  <c r="V63" i="10"/>
  <c r="AH63" i="10" s="1"/>
  <c r="V64" i="10"/>
  <c r="AH64" i="10" s="1"/>
  <c r="W65" i="10"/>
  <c r="W66"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5" i="10"/>
  <c r="W96" i="10"/>
  <c r="W97" i="10"/>
  <c r="W98" i="10"/>
  <c r="V99" i="10"/>
  <c r="AH99" i="10" s="1"/>
  <c r="V100" i="10"/>
  <c r="AH100" i="10" s="1"/>
  <c r="W101" i="10"/>
  <c r="W102" i="10"/>
  <c r="V103" i="10"/>
  <c r="AH103" i="10" s="1"/>
  <c r="V104" i="10"/>
  <c r="AH104" i="10" s="1"/>
  <c r="W105" i="10"/>
  <c r="W106" i="10"/>
  <c r="V107" i="10"/>
  <c r="AH107" i="10" s="1"/>
  <c r="V108" i="10"/>
  <c r="AH108" i="10" s="1"/>
  <c r="V110" i="10"/>
  <c r="AH110" i="10" s="1"/>
  <c r="W111" i="10"/>
  <c r="X111" i="10" s="1"/>
  <c r="W113" i="10"/>
  <c r="W115" i="10"/>
  <c r="X115" i="10" s="1"/>
  <c r="W116" i="10"/>
  <c r="W117" i="10"/>
  <c r="W118" i="10"/>
  <c r="W119" i="10"/>
  <c r="W120" i="10"/>
  <c r="W121" i="10"/>
  <c r="W122" i="10"/>
  <c r="W123" i="10"/>
  <c r="W124" i="10"/>
  <c r="W125" i="10"/>
  <c r="W126" i="10"/>
  <c r="W127" i="10"/>
  <c r="W128" i="10"/>
  <c r="W129" i="10"/>
  <c r="W130" i="10"/>
  <c r="W131" i="10"/>
  <c r="W132" i="10"/>
  <c r="W133" i="10"/>
  <c r="W134" i="10"/>
  <c r="W135" i="10"/>
  <c r="W136" i="10"/>
  <c r="W137" i="10"/>
  <c r="W138" i="10"/>
  <c r="W139" i="10"/>
  <c r="W140" i="10"/>
  <c r="W141" i="10"/>
  <c r="W142" i="10"/>
  <c r="W143" i="10"/>
  <c r="W144" i="10"/>
  <c r="W145" i="10"/>
  <c r="W146" i="10"/>
  <c r="W147" i="10"/>
  <c r="W148" i="10"/>
  <c r="W149" i="10"/>
  <c r="W150" i="10"/>
  <c r="W151" i="10"/>
  <c r="W152" i="10"/>
  <c r="W153" i="10"/>
  <c r="W154" i="10"/>
  <c r="W155" i="10"/>
  <c r="W156" i="10"/>
  <c r="W157" i="10"/>
  <c r="W158" i="10"/>
  <c r="V159" i="10"/>
  <c r="AH159" i="10" s="1"/>
  <c r="V160" i="10"/>
  <c r="AH160" i="10" s="1"/>
  <c r="W161" i="10"/>
  <c r="W162" i="10"/>
  <c r="V163" i="10"/>
  <c r="AH163" i="10" s="1"/>
  <c r="V164" i="10"/>
  <c r="AH164" i="10" s="1"/>
  <c r="W165" i="10"/>
  <c r="W166" i="10"/>
  <c r="V167" i="10"/>
  <c r="AH167" i="10" s="1"/>
  <c r="V168" i="10"/>
  <c r="AH168" i="10" s="1"/>
  <c r="W169" i="10"/>
  <c r="W170" i="10"/>
  <c r="V171" i="10"/>
  <c r="AH171" i="10" s="1"/>
  <c r="V172" i="10"/>
  <c r="AH172" i="10" s="1"/>
  <c r="W173" i="10"/>
  <c r="W174" i="10"/>
  <c r="V175" i="10"/>
  <c r="AH175" i="10" s="1"/>
  <c r="V176" i="10"/>
  <c r="AH176" i="10" s="1"/>
  <c r="W177" i="10"/>
  <c r="V109" i="10"/>
  <c r="AH109" i="10" s="1"/>
  <c r="W112" i="10"/>
  <c r="W114" i="10"/>
  <c r="V116" i="10"/>
  <c r="AH116" i="10" s="1"/>
  <c r="V117" i="10"/>
  <c r="AH117" i="10" s="1"/>
  <c r="V118" i="10"/>
  <c r="AH118" i="10" s="1"/>
  <c r="V119" i="10"/>
  <c r="AH119" i="10" s="1"/>
  <c r="V120" i="10"/>
  <c r="AH120" i="10" s="1"/>
  <c r="V121" i="10"/>
  <c r="AH121" i="10" s="1"/>
  <c r="V122" i="10"/>
  <c r="AH122" i="10" s="1"/>
  <c r="V123" i="10"/>
  <c r="AH123" i="10" s="1"/>
  <c r="V124" i="10"/>
  <c r="AH124" i="10" s="1"/>
  <c r="V125" i="10"/>
  <c r="AH125" i="10" s="1"/>
  <c r="V126" i="10"/>
  <c r="AH126" i="10" s="1"/>
  <c r="V127" i="10"/>
  <c r="AH127" i="10" s="1"/>
  <c r="V128" i="10"/>
  <c r="AH128" i="10" s="1"/>
  <c r="V129" i="10"/>
  <c r="AH129" i="10" s="1"/>
  <c r="V130" i="10"/>
  <c r="AH130" i="10" s="1"/>
  <c r="V131" i="10"/>
  <c r="AH131" i="10" s="1"/>
  <c r="V132" i="10"/>
  <c r="AH132" i="10" s="1"/>
  <c r="V133" i="10"/>
  <c r="AH133" i="10" s="1"/>
  <c r="V134" i="10"/>
  <c r="AH134" i="10" s="1"/>
  <c r="V135" i="10"/>
  <c r="AH135" i="10" s="1"/>
  <c r="V136" i="10"/>
  <c r="AH136" i="10" s="1"/>
  <c r="V137" i="10"/>
  <c r="AH137" i="10" s="1"/>
  <c r="V138" i="10"/>
  <c r="AH138" i="10" s="1"/>
  <c r="V139" i="10"/>
  <c r="AH139" i="10" s="1"/>
  <c r="V140" i="10"/>
  <c r="AH140" i="10" s="1"/>
  <c r="V141" i="10"/>
  <c r="AH141" i="10" s="1"/>
  <c r="V142" i="10"/>
  <c r="AH142" i="10" s="1"/>
  <c r="V143" i="10"/>
  <c r="AH143" i="10" s="1"/>
  <c r="V144" i="10"/>
  <c r="AH144" i="10" s="1"/>
  <c r="V145" i="10"/>
  <c r="AH145" i="10" s="1"/>
  <c r="V146" i="10"/>
  <c r="AH146" i="10" s="1"/>
  <c r="V147" i="10"/>
  <c r="AH147" i="10" s="1"/>
  <c r="V148" i="10"/>
  <c r="AH148" i="10" s="1"/>
  <c r="V149" i="10"/>
  <c r="AH149" i="10" s="1"/>
  <c r="V150" i="10"/>
  <c r="AH150" i="10" s="1"/>
  <c r="V151" i="10"/>
  <c r="AH151" i="10" s="1"/>
  <c r="V152" i="10"/>
  <c r="AH152" i="10" s="1"/>
  <c r="V153" i="10"/>
  <c r="AH153" i="10" s="1"/>
  <c r="V154" i="10"/>
  <c r="AH154" i="10" s="1"/>
  <c r="V155" i="10"/>
  <c r="AH155" i="10" s="1"/>
  <c r="V156" i="10"/>
  <c r="AH156" i="10" s="1"/>
  <c r="V157" i="10"/>
  <c r="AH157" i="10" s="1"/>
  <c r="V158" i="10"/>
  <c r="AH158" i="10" s="1"/>
  <c r="W159" i="10"/>
  <c r="W160" i="10"/>
  <c r="V161" i="10"/>
  <c r="AH161" i="10" s="1"/>
  <c r="V162" i="10"/>
  <c r="AH162" i="10" s="1"/>
  <c r="W163" i="10"/>
  <c r="W164" i="10"/>
  <c r="V165" i="10"/>
  <c r="AH165" i="10" s="1"/>
  <c r="V166" i="10"/>
  <c r="AH166" i="10" s="1"/>
  <c r="W167" i="10"/>
  <c r="W168" i="10"/>
  <c r="V169" i="10"/>
  <c r="AH169" i="10" s="1"/>
  <c r="V170" i="10"/>
  <c r="AH170" i="10" s="1"/>
  <c r="W171" i="10"/>
  <c r="W172" i="10"/>
  <c r="V173" i="10"/>
  <c r="AH173" i="10" s="1"/>
  <c r="V174" i="10"/>
  <c r="AH174" i="10" s="1"/>
  <c r="W175" i="10"/>
  <c r="W176" i="10"/>
  <c r="V177" i="10"/>
  <c r="AH177" i="10" s="1"/>
  <c r="V16" i="10"/>
  <c r="W16" i="10"/>
  <c r="AA17" i="10"/>
  <c r="AA18" i="10"/>
  <c r="Z19" i="10"/>
  <c r="AI19" i="10" s="1"/>
  <c r="Z20" i="10"/>
  <c r="AI20" i="10" s="1"/>
  <c r="AA21" i="10"/>
  <c r="AA22" i="10"/>
  <c r="Z23" i="10"/>
  <c r="AI23" i="10" s="1"/>
  <c r="Z24" i="10"/>
  <c r="AI24" i="10" s="1"/>
  <c r="AA25" i="10"/>
  <c r="AA26" i="10"/>
  <c r="Z27" i="10"/>
  <c r="AI27" i="10" s="1"/>
  <c r="Z28" i="10"/>
  <c r="AI28" i="10" s="1"/>
  <c r="AA29" i="10"/>
  <c r="AA30" i="10"/>
  <c r="Z31" i="10"/>
  <c r="AI31" i="10" s="1"/>
  <c r="Z32" i="10"/>
  <c r="AI32" i="10" s="1"/>
  <c r="AA33" i="10"/>
  <c r="AA34" i="10"/>
  <c r="AA35" i="10"/>
  <c r="AA36" i="10"/>
  <c r="Z37" i="10"/>
  <c r="AI37" i="10" s="1"/>
  <c r="Z38" i="10"/>
  <c r="AI38" i="10" s="1"/>
  <c r="Z39" i="10"/>
  <c r="AI39" i="10" s="1"/>
  <c r="Z40" i="10"/>
  <c r="AI40" i="10" s="1"/>
  <c r="Z41" i="10"/>
  <c r="AI41" i="10" s="1"/>
  <c r="Z42" i="10"/>
  <c r="AI42" i="10" s="1"/>
  <c r="Z43" i="10"/>
  <c r="AI43" i="10" s="1"/>
  <c r="Z44" i="10"/>
  <c r="AI44" i="10" s="1"/>
  <c r="Z45" i="10"/>
  <c r="AI45" i="10" s="1"/>
  <c r="Z46" i="10"/>
  <c r="AI46" i="10" s="1"/>
  <c r="Z47" i="10"/>
  <c r="AI47" i="10" s="1"/>
  <c r="Z48" i="10"/>
  <c r="AI48" i="10" s="1"/>
  <c r="Z49" i="10"/>
  <c r="AI49" i="10" s="1"/>
  <c r="Z50" i="10"/>
  <c r="AI50" i="10" s="1"/>
  <c r="Z51" i="10"/>
  <c r="AI51" i="10" s="1"/>
  <c r="Z52" i="10"/>
  <c r="AI52" i="10" s="1"/>
  <c r="Z53" i="10"/>
  <c r="AI53" i="10" s="1"/>
  <c r="Z54" i="10"/>
  <c r="AI54" i="10" s="1"/>
  <c r="Z55" i="10"/>
  <c r="AI55" i="10" s="1"/>
  <c r="Z56" i="10"/>
  <c r="AI56" i="10" s="1"/>
  <c r="Z57" i="10"/>
  <c r="AI57" i="10" s="1"/>
  <c r="Z58" i="10"/>
  <c r="AI58" i="10" s="1"/>
  <c r="Z59" i="10"/>
  <c r="AI59" i="10" s="1"/>
  <c r="Z60" i="10"/>
  <c r="AI60" i="10" s="1"/>
  <c r="Z61" i="10"/>
  <c r="AI61" i="10" s="1"/>
  <c r="Z62" i="10"/>
  <c r="AI62" i="10" s="1"/>
  <c r="Z63" i="10"/>
  <c r="AI63" i="10" s="1"/>
  <c r="Z64" i="10"/>
  <c r="AI64" i="10" s="1"/>
  <c r="Z65" i="10"/>
  <c r="AI65" i="10" s="1"/>
  <c r="Z66" i="10"/>
  <c r="AI66" i="10" s="1"/>
  <c r="Z67" i="10"/>
  <c r="AI67" i="10" s="1"/>
  <c r="Z68" i="10"/>
  <c r="AI68" i="10" s="1"/>
  <c r="Z69" i="10"/>
  <c r="AI69" i="10" s="1"/>
  <c r="Z70" i="10"/>
  <c r="AI70" i="10" s="1"/>
  <c r="Z71" i="10"/>
  <c r="AI71" i="10" s="1"/>
  <c r="Z72" i="10"/>
  <c r="AI72" i="10" s="1"/>
  <c r="Z73" i="10"/>
  <c r="AI73" i="10" s="1"/>
  <c r="Z74" i="10"/>
  <c r="AI74" i="10" s="1"/>
  <c r="Z75" i="10"/>
  <c r="AI75" i="10" s="1"/>
  <c r="Z76" i="10"/>
  <c r="AI76" i="10" s="1"/>
  <c r="Z77" i="10"/>
  <c r="AI77" i="10" s="1"/>
  <c r="Z78" i="10"/>
  <c r="AI78" i="10" s="1"/>
  <c r="Z79" i="10"/>
  <c r="AI79" i="10" s="1"/>
  <c r="Z80" i="10"/>
  <c r="AI80" i="10" s="1"/>
  <c r="Z81" i="10"/>
  <c r="AI81" i="10" s="1"/>
  <c r="Z82" i="10"/>
  <c r="AI82" i="10" s="1"/>
  <c r="Z83" i="10"/>
  <c r="AI83" i="10" s="1"/>
  <c r="Z84" i="10"/>
  <c r="AI84" i="10" s="1"/>
  <c r="Z85" i="10"/>
  <c r="AI85" i="10" s="1"/>
  <c r="Z86" i="10"/>
  <c r="AI86" i="10" s="1"/>
  <c r="Z87" i="10"/>
  <c r="AI87" i="10" s="1"/>
  <c r="Z88" i="10"/>
  <c r="AI88" i="10" s="1"/>
  <c r="Z89" i="10"/>
  <c r="AI89" i="10" s="1"/>
  <c r="Z90" i="10"/>
  <c r="AI90" i="10" s="1"/>
  <c r="Z91" i="10"/>
  <c r="AI91" i="10" s="1"/>
  <c r="Z92" i="10"/>
  <c r="AI92" i="10" s="1"/>
  <c r="Z93" i="10"/>
  <c r="AI93" i="10" s="1"/>
  <c r="Z94" i="10"/>
  <c r="AI94" i="10" s="1"/>
  <c r="Z95" i="10"/>
  <c r="AI95" i="10" s="1"/>
  <c r="Z96" i="10"/>
  <c r="AI96" i="10" s="1"/>
  <c r="Z97" i="10"/>
  <c r="AI97" i="10" s="1"/>
  <c r="Z17" i="10"/>
  <c r="AI17" i="10" s="1"/>
  <c r="Z18" i="10"/>
  <c r="AI18" i="10" s="1"/>
  <c r="AA19" i="10"/>
  <c r="AA20" i="10"/>
  <c r="Z21" i="10"/>
  <c r="AI21" i="10" s="1"/>
  <c r="Z22" i="10"/>
  <c r="AI22" i="10" s="1"/>
  <c r="AA23" i="10"/>
  <c r="AA24" i="10"/>
  <c r="Z25" i="10"/>
  <c r="AI25" i="10" s="1"/>
  <c r="Z26" i="10"/>
  <c r="AA27" i="10"/>
  <c r="AA28" i="10"/>
  <c r="Z29" i="10"/>
  <c r="AI29" i="10" s="1"/>
  <c r="Z30" i="10"/>
  <c r="AI30" i="10" s="1"/>
  <c r="AA31" i="10"/>
  <c r="AA32" i="10"/>
  <c r="Z33" i="10"/>
  <c r="AI33" i="10" s="1"/>
  <c r="Z34" i="10"/>
  <c r="AI34" i="10" s="1"/>
  <c r="Z35" i="10"/>
  <c r="AI35" i="10" s="1"/>
  <c r="Z36" i="10"/>
  <c r="AI36" i="10" s="1"/>
  <c r="AA37" i="10"/>
  <c r="AA38" i="10"/>
  <c r="AA39" i="10"/>
  <c r="AA40" i="10"/>
  <c r="AA41" i="10"/>
  <c r="AA42" i="10"/>
  <c r="AA43" i="10"/>
  <c r="AA44" i="10"/>
  <c r="AA45" i="10"/>
  <c r="AA46" i="10"/>
  <c r="AA47" i="10"/>
  <c r="AA48" i="10"/>
  <c r="AA49" i="10"/>
  <c r="AA50" i="10"/>
  <c r="AA51" i="10"/>
  <c r="AA52" i="10"/>
  <c r="AA53" i="10"/>
  <c r="AA54" i="10"/>
  <c r="AA55" i="10"/>
  <c r="AA56" i="10"/>
  <c r="AA57" i="10"/>
  <c r="AA58" i="10"/>
  <c r="AA59" i="10"/>
  <c r="AA60" i="10"/>
  <c r="AA61" i="10"/>
  <c r="AA62" i="10"/>
  <c r="AA63" i="10"/>
  <c r="AA64" i="10"/>
  <c r="AA65" i="10"/>
  <c r="AA66" i="10"/>
  <c r="AA67" i="10"/>
  <c r="AA68" i="10"/>
  <c r="AA69" i="10"/>
  <c r="AA70" i="10"/>
  <c r="AA71" i="10"/>
  <c r="AA72" i="10"/>
  <c r="AA73" i="10"/>
  <c r="AA74" i="10"/>
  <c r="AA76" i="10"/>
  <c r="AB76" i="10" s="1"/>
  <c r="AA78" i="10"/>
  <c r="AA80" i="10"/>
  <c r="AB80" i="10" s="1"/>
  <c r="AA82" i="10"/>
  <c r="AA84" i="10"/>
  <c r="AB84" i="10" s="1"/>
  <c r="AA86" i="10"/>
  <c r="AA88" i="10"/>
  <c r="AB88" i="10" s="1"/>
  <c r="AA90" i="10"/>
  <c r="AA92" i="10"/>
  <c r="AB92" i="10" s="1"/>
  <c r="AA94" i="10"/>
  <c r="AA96" i="10"/>
  <c r="AB96" i="10" s="1"/>
  <c r="Z98" i="10"/>
  <c r="AI98" i="10" s="1"/>
  <c r="AA99" i="10"/>
  <c r="AA100" i="10"/>
  <c r="AA101" i="10"/>
  <c r="AA102" i="10"/>
  <c r="Z103" i="10"/>
  <c r="AI103" i="10" s="1"/>
  <c r="Z104" i="10"/>
  <c r="AI104" i="10" s="1"/>
  <c r="AA105" i="10"/>
  <c r="AA106" i="10"/>
  <c r="Z107" i="10"/>
  <c r="AI107" i="10" s="1"/>
  <c r="Z108" i="10"/>
  <c r="AI108" i="10" s="1"/>
  <c r="AA109" i="10"/>
  <c r="AA110" i="10"/>
  <c r="Z111" i="10"/>
  <c r="AI111" i="10" s="1"/>
  <c r="Z112" i="10"/>
  <c r="AI112" i="10" s="1"/>
  <c r="AA113" i="10"/>
  <c r="AA114" i="10"/>
  <c r="AA115" i="10"/>
  <c r="AA116" i="10"/>
  <c r="AA117" i="10"/>
  <c r="AA118" i="10"/>
  <c r="AA119" i="10"/>
  <c r="AA120" i="10"/>
  <c r="AA121" i="10"/>
  <c r="AA122" i="10"/>
  <c r="AA123" i="10"/>
  <c r="AA124" i="10"/>
  <c r="AA125" i="10"/>
  <c r="AA126" i="10"/>
  <c r="AA127" i="10"/>
  <c r="AA128" i="10"/>
  <c r="AA129" i="10"/>
  <c r="AA130" i="10"/>
  <c r="AA131" i="10"/>
  <c r="AA132" i="10"/>
  <c r="AA133" i="10"/>
  <c r="AA134" i="10"/>
  <c r="AA135" i="10"/>
  <c r="AA75" i="10"/>
  <c r="AB75" i="10" s="1"/>
  <c r="AA77" i="10"/>
  <c r="AA79" i="10"/>
  <c r="AB79" i="10" s="1"/>
  <c r="AA81" i="10"/>
  <c r="AA83" i="10"/>
  <c r="AB83" i="10" s="1"/>
  <c r="AA85" i="10"/>
  <c r="AA87" i="10"/>
  <c r="AB87" i="10" s="1"/>
  <c r="AA89" i="10"/>
  <c r="AA91" i="10"/>
  <c r="AB91" i="10" s="1"/>
  <c r="AA93" i="10"/>
  <c r="AA95" i="10"/>
  <c r="AB95" i="10" s="1"/>
  <c r="AA97" i="10"/>
  <c r="AA98" i="10"/>
  <c r="AB98" i="10" s="1"/>
  <c r="Z99" i="10"/>
  <c r="AI99" i="10" s="1"/>
  <c r="Z100" i="10"/>
  <c r="AI100" i="10" s="1"/>
  <c r="Z101" i="10"/>
  <c r="AI101" i="10" s="1"/>
  <c r="Z102" i="10"/>
  <c r="AI102" i="10" s="1"/>
  <c r="AA103" i="10"/>
  <c r="AB103" i="10" s="1"/>
  <c r="AA104" i="10"/>
  <c r="AB104" i="10" s="1"/>
  <c r="Z105" i="10"/>
  <c r="AI105" i="10" s="1"/>
  <c r="Z106" i="10"/>
  <c r="AI106" i="10" s="1"/>
  <c r="AA107" i="10"/>
  <c r="AB107" i="10" s="1"/>
  <c r="AA108" i="10"/>
  <c r="AB108" i="10" s="1"/>
  <c r="Z109" i="10"/>
  <c r="AI109" i="10" s="1"/>
  <c r="Z110" i="10"/>
  <c r="AI110" i="10" s="1"/>
  <c r="AA111" i="10"/>
  <c r="AB111" i="10" s="1"/>
  <c r="AA112" i="10"/>
  <c r="AB112" i="10" s="1"/>
  <c r="Z113" i="10"/>
  <c r="AI113" i="10" s="1"/>
  <c r="Z114" i="10"/>
  <c r="AI114" i="10" s="1"/>
  <c r="Z115" i="10"/>
  <c r="AI115" i="10" s="1"/>
  <c r="Z116" i="10"/>
  <c r="AI116" i="10" s="1"/>
  <c r="Z117" i="10"/>
  <c r="AI117" i="10" s="1"/>
  <c r="Z118" i="10"/>
  <c r="AI118" i="10" s="1"/>
  <c r="Z119" i="10"/>
  <c r="AI119" i="10" s="1"/>
  <c r="Z120" i="10"/>
  <c r="AI120" i="10" s="1"/>
  <c r="Z121" i="10"/>
  <c r="AI121" i="10" s="1"/>
  <c r="Z122" i="10"/>
  <c r="AI122" i="10" s="1"/>
  <c r="Z123" i="10"/>
  <c r="AI123" i="10" s="1"/>
  <c r="Z124" i="10"/>
  <c r="AI124" i="10" s="1"/>
  <c r="Z125" i="10"/>
  <c r="AI125" i="10" s="1"/>
  <c r="Z126" i="10"/>
  <c r="AI126" i="10" s="1"/>
  <c r="Z127" i="10"/>
  <c r="AI127" i="10" s="1"/>
  <c r="Z128" i="10"/>
  <c r="AI128" i="10" s="1"/>
  <c r="Z129" i="10"/>
  <c r="AI129" i="10" s="1"/>
  <c r="Z130" i="10"/>
  <c r="AI130" i="10" s="1"/>
  <c r="Z131" i="10"/>
  <c r="AI131" i="10" s="1"/>
  <c r="Z132" i="10"/>
  <c r="AI132" i="10" s="1"/>
  <c r="Z133" i="10"/>
  <c r="AI133" i="10" s="1"/>
  <c r="Z134" i="10"/>
  <c r="AI134" i="10" s="1"/>
  <c r="Z135" i="10"/>
  <c r="AI135" i="10" s="1"/>
  <c r="Z136" i="10"/>
  <c r="AI136" i="10" s="1"/>
  <c r="Z137" i="10"/>
  <c r="AI137" i="10" s="1"/>
  <c r="Z138" i="10"/>
  <c r="AI138" i="10" s="1"/>
  <c r="Z139" i="10"/>
  <c r="AI139" i="10" s="1"/>
  <c r="Z140" i="10"/>
  <c r="AI140" i="10" s="1"/>
  <c r="Z141" i="10"/>
  <c r="AI141" i="10" s="1"/>
  <c r="Z142" i="10"/>
  <c r="AI142" i="10" s="1"/>
  <c r="Z143" i="10"/>
  <c r="AI143" i="10" s="1"/>
  <c r="Z144" i="10"/>
  <c r="AI144" i="10" s="1"/>
  <c r="Z145" i="10"/>
  <c r="AI145" i="10" s="1"/>
  <c r="Z146" i="10"/>
  <c r="AI146" i="10" s="1"/>
  <c r="Z147" i="10"/>
  <c r="AI147" i="10" s="1"/>
  <c r="Z148" i="10"/>
  <c r="AI148" i="10" s="1"/>
  <c r="Z149" i="10"/>
  <c r="AI149" i="10" s="1"/>
  <c r="Z150" i="10"/>
  <c r="AI150" i="10" s="1"/>
  <c r="Z151" i="10"/>
  <c r="AI151" i="10" s="1"/>
  <c r="Z152" i="10"/>
  <c r="AI152" i="10" s="1"/>
  <c r="Z153" i="10"/>
  <c r="AI153" i="10" s="1"/>
  <c r="Z154" i="10"/>
  <c r="AI154" i="10" s="1"/>
  <c r="Z155" i="10"/>
  <c r="AI155" i="10" s="1"/>
  <c r="Z156" i="10"/>
  <c r="AI156" i="10" s="1"/>
  <c r="Z157" i="10"/>
  <c r="AI157" i="10" s="1"/>
  <c r="Z158" i="10"/>
  <c r="AI158" i="10" s="1"/>
  <c r="Z159" i="10"/>
  <c r="AI159" i="10" s="1"/>
  <c r="Z160" i="10"/>
  <c r="AI160" i="10" s="1"/>
  <c r="Z161" i="10"/>
  <c r="AI161" i="10" s="1"/>
  <c r="Z162" i="10"/>
  <c r="AI162" i="10" s="1"/>
  <c r="Z163" i="10"/>
  <c r="AI163" i="10" s="1"/>
  <c r="Z164" i="10"/>
  <c r="AI164" i="10" s="1"/>
  <c r="Z165" i="10"/>
  <c r="AI165" i="10" s="1"/>
  <c r="Z166" i="10"/>
  <c r="AI166" i="10" s="1"/>
  <c r="Z167" i="10"/>
  <c r="AI167" i="10" s="1"/>
  <c r="AA137" i="10"/>
  <c r="AA139" i="10"/>
  <c r="AB139" i="10" s="1"/>
  <c r="AA141" i="10"/>
  <c r="AA143" i="10"/>
  <c r="AB143" i="10" s="1"/>
  <c r="AA145" i="10"/>
  <c r="AA147" i="10"/>
  <c r="AB147" i="10" s="1"/>
  <c r="AA149" i="10"/>
  <c r="AA151" i="10"/>
  <c r="AB151" i="10" s="1"/>
  <c r="AA153" i="10"/>
  <c r="AA155" i="10"/>
  <c r="AB155" i="10" s="1"/>
  <c r="AA157" i="10"/>
  <c r="AA159" i="10"/>
  <c r="AB159" i="10" s="1"/>
  <c r="AA161" i="10"/>
  <c r="AA163" i="10"/>
  <c r="AB163" i="10" s="1"/>
  <c r="AA165" i="10"/>
  <c r="AA167" i="10"/>
  <c r="AB167" i="10" s="1"/>
  <c r="AA168" i="10"/>
  <c r="AA169" i="10"/>
  <c r="AA170" i="10"/>
  <c r="AA171" i="10"/>
  <c r="AA172" i="10"/>
  <c r="AA173" i="10"/>
  <c r="AA174" i="10"/>
  <c r="AA175" i="10"/>
  <c r="AA176" i="10"/>
  <c r="AA177" i="10"/>
  <c r="AA136" i="10"/>
  <c r="AA138" i="10"/>
  <c r="AA140" i="10"/>
  <c r="AA142" i="10"/>
  <c r="AA144" i="10"/>
  <c r="AA146" i="10"/>
  <c r="AA148" i="10"/>
  <c r="AA150" i="10"/>
  <c r="AA152" i="10"/>
  <c r="AA154" i="10"/>
  <c r="AA156" i="10"/>
  <c r="AA158" i="10"/>
  <c r="AA160" i="10"/>
  <c r="AA162" i="10"/>
  <c r="AA164" i="10"/>
  <c r="AA166" i="10"/>
  <c r="Z168" i="10"/>
  <c r="AI168" i="10" s="1"/>
  <c r="Z169" i="10"/>
  <c r="AI169" i="10" s="1"/>
  <c r="Z170" i="10"/>
  <c r="AI170" i="10" s="1"/>
  <c r="Z171" i="10"/>
  <c r="AI171" i="10" s="1"/>
  <c r="Z172" i="10"/>
  <c r="AI172" i="10" s="1"/>
  <c r="Z173" i="10"/>
  <c r="AI173" i="10" s="1"/>
  <c r="Z174" i="10"/>
  <c r="AI174" i="10" s="1"/>
  <c r="Z175" i="10"/>
  <c r="AI175" i="10" s="1"/>
  <c r="Z176" i="10"/>
  <c r="AI176" i="10" s="1"/>
  <c r="Z177" i="10"/>
  <c r="AI177" i="10" s="1"/>
  <c r="AA16" i="10"/>
  <c r="Z16" i="10"/>
  <c r="D23" i="22"/>
  <c r="D20" i="22"/>
  <c r="D21" i="22" s="1"/>
  <c r="D23" i="23"/>
  <c r="D20" i="23"/>
  <c r="D21" i="23" s="1"/>
  <c r="G5" i="22"/>
  <c r="F19" i="22"/>
  <c r="G5" i="21"/>
  <c r="F19" i="21"/>
  <c r="G5" i="23"/>
  <c r="F19" i="23"/>
  <c r="D6" i="21"/>
  <c r="D23" i="21"/>
  <c r="F9" i="21"/>
  <c r="E23" i="21"/>
  <c r="D6" i="22"/>
  <c r="D6" i="23"/>
  <c r="E90" i="17"/>
  <c r="G15" i="23" s="1"/>
  <c r="E111" i="17"/>
  <c r="E133" i="17"/>
  <c r="E112" i="17"/>
  <c r="G15" i="22" s="1"/>
  <c r="E134" i="17"/>
  <c r="G15" i="21" s="1"/>
  <c r="G89" i="17"/>
  <c r="E120" i="17"/>
  <c r="D120" i="17"/>
  <c r="C120" i="17"/>
  <c r="B120" i="17"/>
  <c r="E98" i="17"/>
  <c r="D98" i="17"/>
  <c r="C98" i="17"/>
  <c r="B98" i="17"/>
  <c r="E76" i="17"/>
  <c r="D76" i="17"/>
  <c r="C76" i="17"/>
  <c r="B76" i="17"/>
  <c r="F9" i="23"/>
  <c r="F23" i="23" s="1"/>
  <c r="F9" i="22"/>
  <c r="F23" i="22" s="1"/>
  <c r="P63" i="17"/>
  <c r="P60" i="17" s="1"/>
  <c r="O63" i="17"/>
  <c r="O60" i="17" s="1"/>
  <c r="N63" i="17"/>
  <c r="N60" i="17" s="1"/>
  <c r="M63" i="17"/>
  <c r="M60" i="17" s="1"/>
  <c r="L63" i="17"/>
  <c r="L60" i="17" s="1"/>
  <c r="K63" i="17"/>
  <c r="K60" i="17" s="1"/>
  <c r="J63" i="17"/>
  <c r="J60" i="17" s="1"/>
  <c r="I63" i="17"/>
  <c r="I60" i="17" s="1"/>
  <c r="H63" i="17"/>
  <c r="H60" i="17" s="1"/>
  <c r="G63" i="17"/>
  <c r="G60" i="17" s="1"/>
  <c r="F63" i="17"/>
  <c r="F60" i="17" s="1"/>
  <c r="E63" i="17"/>
  <c r="E60" i="17" s="1"/>
  <c r="D63" i="17"/>
  <c r="D60" i="17" s="1"/>
  <c r="C63" i="17"/>
  <c r="C60" i="17" s="1"/>
  <c r="B63" i="17"/>
  <c r="B60" i="17" s="1"/>
  <c r="P62" i="17"/>
  <c r="O62" i="17"/>
  <c r="N62" i="17"/>
  <c r="M62" i="17"/>
  <c r="L62" i="17"/>
  <c r="K62" i="17"/>
  <c r="J62" i="17"/>
  <c r="I62" i="17"/>
  <c r="H62" i="17"/>
  <c r="G62" i="17"/>
  <c r="F62" i="17"/>
  <c r="E62" i="17"/>
  <c r="D62" i="17"/>
  <c r="C62" i="17"/>
  <c r="B62" i="17"/>
  <c r="P61" i="17"/>
  <c r="O61" i="17"/>
  <c r="N61" i="17"/>
  <c r="B58" i="17"/>
  <c r="P41" i="17"/>
  <c r="P39" i="17" s="1"/>
  <c r="O41" i="17"/>
  <c r="O39" i="17" s="1"/>
  <c r="N41" i="17"/>
  <c r="N38" i="17" s="1"/>
  <c r="M41" i="17"/>
  <c r="M39" i="17" s="1"/>
  <c r="L41" i="17"/>
  <c r="L39" i="17" s="1"/>
  <c r="K41" i="17"/>
  <c r="K39" i="17" s="1"/>
  <c r="J41" i="17"/>
  <c r="J38" i="17" s="1"/>
  <c r="I41" i="17"/>
  <c r="I39" i="17" s="1"/>
  <c r="H41" i="17"/>
  <c r="H39" i="17" s="1"/>
  <c r="G41" i="17"/>
  <c r="G39" i="17" s="1"/>
  <c r="F41" i="17"/>
  <c r="F38" i="17" s="1"/>
  <c r="E41" i="17"/>
  <c r="E39" i="17" s="1"/>
  <c r="D41" i="17"/>
  <c r="D39" i="17" s="1"/>
  <c r="C41" i="17"/>
  <c r="C39" i="17" s="1"/>
  <c r="B41" i="17"/>
  <c r="B38" i="17" s="1"/>
  <c r="P40" i="17"/>
  <c r="O40" i="17"/>
  <c r="N40" i="17"/>
  <c r="M40" i="17"/>
  <c r="L40" i="17"/>
  <c r="K40" i="17"/>
  <c r="J40" i="17"/>
  <c r="I40" i="17"/>
  <c r="H40" i="17"/>
  <c r="G40" i="17"/>
  <c r="F40" i="17"/>
  <c r="E40" i="17"/>
  <c r="D40" i="17"/>
  <c r="C40" i="17"/>
  <c r="B40" i="17"/>
  <c r="B39" i="17"/>
  <c r="B36" i="17"/>
  <c r="P18" i="17"/>
  <c r="P16" i="17" s="1"/>
  <c r="O18" i="17"/>
  <c r="O16" i="17" s="1"/>
  <c r="N18" i="17"/>
  <c r="N16" i="17" s="1"/>
  <c r="M18" i="17"/>
  <c r="M16" i="17" s="1"/>
  <c r="L18" i="17"/>
  <c r="L16" i="17" s="1"/>
  <c r="K18" i="17"/>
  <c r="K16" i="17" s="1"/>
  <c r="J18" i="17"/>
  <c r="J16" i="17" s="1"/>
  <c r="I18" i="17"/>
  <c r="I16" i="17" s="1"/>
  <c r="H18" i="17"/>
  <c r="H16" i="17" s="1"/>
  <c r="G18" i="17"/>
  <c r="G16" i="17" s="1"/>
  <c r="F18" i="17"/>
  <c r="F16" i="17" s="1"/>
  <c r="E18" i="17"/>
  <c r="E16" i="17" s="1"/>
  <c r="D18" i="17"/>
  <c r="D16" i="17" s="1"/>
  <c r="C18" i="17"/>
  <c r="C16" i="17" s="1"/>
  <c r="P17" i="17"/>
  <c r="O17" i="17"/>
  <c r="N17" i="17"/>
  <c r="M17" i="17"/>
  <c r="L17" i="17"/>
  <c r="K17" i="17"/>
  <c r="J17" i="17"/>
  <c r="I17" i="17"/>
  <c r="H17" i="17"/>
  <c r="G17" i="17"/>
  <c r="F17" i="17"/>
  <c r="E17" i="17"/>
  <c r="D17" i="17"/>
  <c r="C17" i="17"/>
  <c r="B18" i="17"/>
  <c r="B15" i="17" s="1"/>
  <c r="B17" i="17"/>
  <c r="B13" i="17"/>
  <c r="AB476" i="10" l="1"/>
  <c r="X511" i="10"/>
  <c r="X492" i="10"/>
  <c r="X500" i="10"/>
  <c r="X508" i="10"/>
  <c r="X440" i="10"/>
  <c r="X442" i="10"/>
  <c r="X444" i="10"/>
  <c r="X446" i="10"/>
  <c r="X490" i="10"/>
  <c r="X494" i="10"/>
  <c r="X506" i="10"/>
  <c r="AB397" i="10"/>
  <c r="AB399" i="10"/>
  <c r="AB401" i="10"/>
  <c r="AB403" i="10"/>
  <c r="AB405" i="10"/>
  <c r="AB407" i="10"/>
  <c r="AB409" i="10"/>
  <c r="AB411" i="10"/>
  <c r="AB413" i="10"/>
  <c r="AB415" i="10"/>
  <c r="AB417" i="10"/>
  <c r="AB419" i="10"/>
  <c r="AB421" i="10"/>
  <c r="AB423" i="10"/>
  <c r="AB425" i="10"/>
  <c r="AB427" i="10"/>
  <c r="AB429" i="10"/>
  <c r="AB431" i="10"/>
  <c r="AB433" i="10"/>
  <c r="AB435" i="10"/>
  <c r="AB437" i="10"/>
  <c r="AB439" i="10"/>
  <c r="AB449" i="10"/>
  <c r="AB453" i="10"/>
  <c r="AB457" i="10"/>
  <c r="AB461" i="10"/>
  <c r="AB465" i="10"/>
  <c r="AB469" i="10"/>
  <c r="AB473" i="10"/>
  <c r="AB440" i="10"/>
  <c r="AB446" i="10"/>
  <c r="AB491" i="10"/>
  <c r="AB493" i="10"/>
  <c r="AB495" i="10"/>
  <c r="AB497" i="10"/>
  <c r="AB499" i="10"/>
  <c r="AB501" i="10"/>
  <c r="AB503" i="10"/>
  <c r="AB505" i="10"/>
  <c r="AB507" i="10"/>
  <c r="AB509" i="10"/>
  <c r="X312" i="10"/>
  <c r="X314" i="10"/>
  <c r="X316" i="10"/>
  <c r="X318" i="10"/>
  <c r="X320" i="10"/>
  <c r="X322" i="10"/>
  <c r="X324" i="10"/>
  <c r="X326" i="10"/>
  <c r="X328" i="10"/>
  <c r="X330" i="10"/>
  <c r="X332" i="10"/>
  <c r="X334" i="10"/>
  <c r="X336" i="10"/>
  <c r="X338" i="10"/>
  <c r="X340" i="10"/>
  <c r="X342" i="10"/>
  <c r="X344" i="10"/>
  <c r="X346" i="10"/>
  <c r="X348" i="10"/>
  <c r="X350" i="10"/>
  <c r="X352" i="10"/>
  <c r="X354" i="10"/>
  <c r="X356" i="10"/>
  <c r="X358" i="10"/>
  <c r="X360" i="10"/>
  <c r="X362" i="10"/>
  <c r="X364" i="10"/>
  <c r="X366" i="10"/>
  <c r="X368" i="10"/>
  <c r="X370" i="10"/>
  <c r="X372" i="10"/>
  <c r="X374" i="10"/>
  <c r="X376" i="10"/>
  <c r="X378" i="10"/>
  <c r="X380" i="10"/>
  <c r="X382" i="10"/>
  <c r="X384" i="10"/>
  <c r="X386" i="10"/>
  <c r="X388" i="10"/>
  <c r="X390" i="10"/>
  <c r="X392" i="10"/>
  <c r="X394" i="10"/>
  <c r="X396" i="10"/>
  <c r="X401" i="10"/>
  <c r="X405" i="10"/>
  <c r="X409" i="10"/>
  <c r="X413" i="10"/>
  <c r="X421" i="10"/>
  <c r="X425" i="10"/>
  <c r="X429" i="10"/>
  <c r="X433" i="10"/>
  <c r="X437" i="10"/>
  <c r="X512" i="10"/>
  <c r="X477" i="10"/>
  <c r="X481" i="10"/>
  <c r="X483" i="10"/>
  <c r="X485" i="10"/>
  <c r="T282" i="10"/>
  <c r="T284" i="10"/>
  <c r="T286" i="10"/>
  <c r="T288" i="10"/>
  <c r="T290" i="10"/>
  <c r="T292" i="10"/>
  <c r="T294" i="10"/>
  <c r="T296" i="10"/>
  <c r="T298" i="10"/>
  <c r="T300" i="10"/>
  <c r="T302" i="10"/>
  <c r="T304" i="10"/>
  <c r="T306" i="10"/>
  <c r="T308" i="10"/>
  <c r="T310" i="10"/>
  <c r="T312" i="10"/>
  <c r="T314" i="10"/>
  <c r="T316" i="10"/>
  <c r="T318" i="10"/>
  <c r="T320" i="10"/>
  <c r="T322" i="10"/>
  <c r="T324" i="10"/>
  <c r="T326" i="10"/>
  <c r="T328" i="10"/>
  <c r="T330" i="10"/>
  <c r="T332" i="10"/>
  <c r="T334" i="10"/>
  <c r="T336" i="10"/>
  <c r="T338" i="10"/>
  <c r="T340" i="10"/>
  <c r="T342" i="10"/>
  <c r="T344" i="10"/>
  <c r="T346" i="10"/>
  <c r="T348" i="10"/>
  <c r="T350" i="10"/>
  <c r="T352" i="10"/>
  <c r="T354" i="10"/>
  <c r="T356" i="10"/>
  <c r="T358" i="10"/>
  <c r="T360" i="10"/>
  <c r="T362" i="10"/>
  <c r="T364" i="10"/>
  <c r="T366" i="10"/>
  <c r="T368" i="10"/>
  <c r="T370" i="10"/>
  <c r="T372" i="10"/>
  <c r="T374" i="10"/>
  <c r="T376" i="10"/>
  <c r="T378" i="10"/>
  <c r="T380" i="10"/>
  <c r="T382" i="10"/>
  <c r="T384" i="10"/>
  <c r="T386" i="10"/>
  <c r="T388" i="10"/>
  <c r="T390" i="10"/>
  <c r="T392" i="10"/>
  <c r="T394" i="10"/>
  <c r="T396" i="10"/>
  <c r="T455" i="10"/>
  <c r="T471" i="10"/>
  <c r="T451" i="10"/>
  <c r="T467" i="10"/>
  <c r="T453" i="10"/>
  <c r="T461" i="10"/>
  <c r="T469" i="10"/>
  <c r="T398" i="10"/>
  <c r="T400" i="10"/>
  <c r="T402" i="10"/>
  <c r="T404" i="10"/>
  <c r="T406" i="10"/>
  <c r="T408" i="10"/>
  <c r="T410" i="10"/>
  <c r="T412" i="10"/>
  <c r="T414" i="10"/>
  <c r="T416" i="10"/>
  <c r="T418" i="10"/>
  <c r="T420" i="10"/>
  <c r="T422" i="10"/>
  <c r="T424" i="10"/>
  <c r="T426" i="10"/>
  <c r="T428" i="10"/>
  <c r="T430" i="10"/>
  <c r="T432" i="10"/>
  <c r="T434" i="10"/>
  <c r="T436" i="10"/>
  <c r="T438" i="10"/>
  <c r="T440" i="10"/>
  <c r="T444" i="10"/>
  <c r="T491" i="10"/>
  <c r="T493" i="10"/>
  <c r="T495" i="10"/>
  <c r="T497" i="10"/>
  <c r="T499" i="10"/>
  <c r="T501" i="10"/>
  <c r="T503" i="10"/>
  <c r="T505" i="10"/>
  <c r="T507" i="10"/>
  <c r="T509" i="10"/>
  <c r="AB442" i="10"/>
  <c r="AB444" i="10"/>
  <c r="AB478" i="10"/>
  <c r="AB480" i="10"/>
  <c r="AB482" i="10"/>
  <c r="AB484" i="10"/>
  <c r="AB486" i="10"/>
  <c r="AB488" i="10"/>
  <c r="X415" i="10"/>
  <c r="AH415" i="10"/>
  <c r="X399" i="10"/>
  <c r="X403" i="10"/>
  <c r="X407" i="10"/>
  <c r="X411" i="10"/>
  <c r="X419" i="10"/>
  <c r="X423" i="10"/>
  <c r="X427" i="10"/>
  <c r="X431" i="10"/>
  <c r="X435" i="10"/>
  <c r="X439" i="10"/>
  <c r="X475" i="10"/>
  <c r="AH475" i="10"/>
  <c r="X479" i="10"/>
  <c r="X487" i="10"/>
  <c r="X489" i="10"/>
  <c r="X496" i="10"/>
  <c r="X498" i="10"/>
  <c r="X502" i="10"/>
  <c r="X504" i="10"/>
  <c r="X510" i="10"/>
  <c r="X514" i="10"/>
  <c r="AH514" i="10"/>
  <c r="T359" i="10"/>
  <c r="AG359" i="10"/>
  <c r="T361" i="10"/>
  <c r="AG361" i="10"/>
  <c r="T363" i="10"/>
  <c r="AG363" i="10"/>
  <c r="T365" i="10"/>
  <c r="AG365" i="10"/>
  <c r="T367" i="10"/>
  <c r="AG367" i="10"/>
  <c r="T369" i="10"/>
  <c r="AG369" i="10"/>
  <c r="T371" i="10"/>
  <c r="AG371" i="10"/>
  <c r="T442" i="10"/>
  <c r="T446" i="10"/>
  <c r="T478" i="10"/>
  <c r="T480" i="10"/>
  <c r="T482" i="10"/>
  <c r="T484" i="10"/>
  <c r="T486" i="10"/>
  <c r="T488" i="10"/>
  <c r="AB268" i="10"/>
  <c r="AB252" i="10"/>
  <c r="AB260" i="10"/>
  <c r="AB276" i="10"/>
  <c r="AB280" i="10"/>
  <c r="AB274" i="10"/>
  <c r="T242" i="10"/>
  <c r="T250" i="10"/>
  <c r="T238" i="10"/>
  <c r="T246" i="10"/>
  <c r="AB452" i="10"/>
  <c r="AB468" i="10"/>
  <c r="AB456" i="10"/>
  <c r="AB472" i="10"/>
  <c r="AB359" i="10"/>
  <c r="AI359" i="10"/>
  <c r="AB361" i="10"/>
  <c r="AI361" i="10"/>
  <c r="AB363" i="10"/>
  <c r="AI363" i="10"/>
  <c r="AB365" i="10"/>
  <c r="AI365" i="10"/>
  <c r="AB367" i="10"/>
  <c r="AI367" i="10"/>
  <c r="AB369" i="10"/>
  <c r="AI369" i="10"/>
  <c r="AB371" i="10"/>
  <c r="AI371" i="10"/>
  <c r="AB450" i="10"/>
  <c r="AB458" i="10"/>
  <c r="AB466" i="10"/>
  <c r="AB474" i="10"/>
  <c r="AB398" i="10"/>
  <c r="AB400" i="10"/>
  <c r="AB402" i="10"/>
  <c r="AB404" i="10"/>
  <c r="AB406" i="10"/>
  <c r="AB408" i="10"/>
  <c r="AB410" i="10"/>
  <c r="AB412" i="10"/>
  <c r="AB414" i="10"/>
  <c r="AB416" i="10"/>
  <c r="AB418" i="10"/>
  <c r="AB420" i="10"/>
  <c r="AB422" i="10"/>
  <c r="AB424" i="10"/>
  <c r="AB426" i="10"/>
  <c r="AB428" i="10"/>
  <c r="AB430" i="10"/>
  <c r="AB432" i="10"/>
  <c r="AB434" i="10"/>
  <c r="AB436" i="10"/>
  <c r="AB438" i="10"/>
  <c r="AB441" i="10"/>
  <c r="AB443" i="10"/>
  <c r="AB445" i="10"/>
  <c r="AB477" i="10"/>
  <c r="AB479" i="10"/>
  <c r="AB481" i="10"/>
  <c r="AB483" i="10"/>
  <c r="AB485" i="10"/>
  <c r="AB487" i="10"/>
  <c r="AB489" i="10"/>
  <c r="AB490" i="10"/>
  <c r="AB492" i="10"/>
  <c r="AB494" i="10"/>
  <c r="AB496" i="10"/>
  <c r="AB498" i="10"/>
  <c r="AB500" i="10"/>
  <c r="AB502" i="10"/>
  <c r="AB504" i="10"/>
  <c r="AB506" i="10"/>
  <c r="AB508" i="10"/>
  <c r="AB510" i="10"/>
  <c r="AB512" i="10"/>
  <c r="AB514" i="10"/>
  <c r="X313" i="10"/>
  <c r="X315" i="10"/>
  <c r="X317" i="10"/>
  <c r="X319" i="10"/>
  <c r="X321" i="10"/>
  <c r="X323" i="10"/>
  <c r="X325" i="10"/>
  <c r="X327" i="10"/>
  <c r="X329" i="10"/>
  <c r="X331" i="10"/>
  <c r="X333" i="10"/>
  <c r="X335" i="10"/>
  <c r="X337" i="10"/>
  <c r="X339" i="10"/>
  <c r="X341" i="10"/>
  <c r="X343" i="10"/>
  <c r="X345" i="10"/>
  <c r="X347" i="10"/>
  <c r="X349" i="10"/>
  <c r="X351" i="10"/>
  <c r="X353" i="10"/>
  <c r="X355" i="10"/>
  <c r="X357" i="10"/>
  <c r="X359" i="10"/>
  <c r="X361" i="10"/>
  <c r="X363" i="10"/>
  <c r="X365" i="10"/>
  <c r="X367" i="10"/>
  <c r="X369" i="10"/>
  <c r="X371" i="10"/>
  <c r="X373" i="10"/>
  <c r="X375" i="10"/>
  <c r="X377" i="10"/>
  <c r="X379" i="10"/>
  <c r="X381" i="10"/>
  <c r="X383" i="10"/>
  <c r="X385" i="10"/>
  <c r="X387" i="10"/>
  <c r="X389" i="10"/>
  <c r="X391" i="10"/>
  <c r="X393" i="10"/>
  <c r="X395" i="10"/>
  <c r="X397" i="10"/>
  <c r="X417" i="10"/>
  <c r="AH417" i="10"/>
  <c r="X398" i="10"/>
  <c r="X400" i="10"/>
  <c r="X402" i="10"/>
  <c r="X404" i="10"/>
  <c r="X406" i="10"/>
  <c r="X408" i="10"/>
  <c r="X410" i="10"/>
  <c r="X412" i="10"/>
  <c r="X414" i="10"/>
  <c r="X416" i="10"/>
  <c r="X418" i="10"/>
  <c r="X420" i="10"/>
  <c r="X422" i="10"/>
  <c r="X424" i="10"/>
  <c r="X426" i="10"/>
  <c r="X428" i="10"/>
  <c r="X430" i="10"/>
  <c r="X432" i="10"/>
  <c r="X434" i="10"/>
  <c r="X436" i="10"/>
  <c r="X438" i="10"/>
  <c r="X441" i="10"/>
  <c r="X443" i="10"/>
  <c r="X445" i="10"/>
  <c r="X447" i="10"/>
  <c r="X449" i="10"/>
  <c r="X451" i="10"/>
  <c r="X453" i="10"/>
  <c r="X455" i="10"/>
  <c r="X457" i="10"/>
  <c r="X459" i="10"/>
  <c r="X461" i="10"/>
  <c r="X463" i="10"/>
  <c r="X465" i="10"/>
  <c r="X467" i="10"/>
  <c r="X469" i="10"/>
  <c r="X471" i="10"/>
  <c r="X473" i="10"/>
  <c r="X478" i="10"/>
  <c r="X480" i="10"/>
  <c r="X482" i="10"/>
  <c r="X484" i="10"/>
  <c r="X486" i="10"/>
  <c r="X488" i="10"/>
  <c r="X491" i="10"/>
  <c r="X493" i="10"/>
  <c r="X495" i="10"/>
  <c r="X497" i="10"/>
  <c r="X499" i="10"/>
  <c r="X501" i="10"/>
  <c r="X503" i="10"/>
  <c r="X505" i="10"/>
  <c r="X507" i="10"/>
  <c r="X509" i="10"/>
  <c r="X513" i="10"/>
  <c r="AH513" i="10"/>
  <c r="T283" i="10"/>
  <c r="T285" i="10"/>
  <c r="T287" i="10"/>
  <c r="T289" i="10"/>
  <c r="T291" i="10"/>
  <c r="T293" i="10"/>
  <c r="T295" i="10"/>
  <c r="T297" i="10"/>
  <c r="T299" i="10"/>
  <c r="T301" i="10"/>
  <c r="T303" i="10"/>
  <c r="T305" i="10"/>
  <c r="T307" i="10"/>
  <c r="T309" i="10"/>
  <c r="T311" i="10"/>
  <c r="T313" i="10"/>
  <c r="T315" i="10"/>
  <c r="T317" i="10"/>
  <c r="T319" i="10"/>
  <c r="T321" i="10"/>
  <c r="T323" i="10"/>
  <c r="T325" i="10"/>
  <c r="T327" i="10"/>
  <c r="T329" i="10"/>
  <c r="T331" i="10"/>
  <c r="T333" i="10"/>
  <c r="T335" i="10"/>
  <c r="T337" i="10"/>
  <c r="T339" i="10"/>
  <c r="T341" i="10"/>
  <c r="T343" i="10"/>
  <c r="T345" i="10"/>
  <c r="T347" i="10"/>
  <c r="T349" i="10"/>
  <c r="T351" i="10"/>
  <c r="T353" i="10"/>
  <c r="T355" i="10"/>
  <c r="T357" i="10"/>
  <c r="T373" i="10"/>
  <c r="T375" i="10"/>
  <c r="T377" i="10"/>
  <c r="T379" i="10"/>
  <c r="T381" i="10"/>
  <c r="T383" i="10"/>
  <c r="T385" i="10"/>
  <c r="T387" i="10"/>
  <c r="T389" i="10"/>
  <c r="T391" i="10"/>
  <c r="T393" i="10"/>
  <c r="T395" i="10"/>
  <c r="T397" i="10"/>
  <c r="T399" i="10"/>
  <c r="T401" i="10"/>
  <c r="T403" i="10"/>
  <c r="T405" i="10"/>
  <c r="T407" i="10"/>
  <c r="T409" i="10"/>
  <c r="T411" i="10"/>
  <c r="T413" i="10"/>
  <c r="T415" i="10"/>
  <c r="T417" i="10"/>
  <c r="T419" i="10"/>
  <c r="T421" i="10"/>
  <c r="T423" i="10"/>
  <c r="T425" i="10"/>
  <c r="T427" i="10"/>
  <c r="T429" i="10"/>
  <c r="T431" i="10"/>
  <c r="T433" i="10"/>
  <c r="T435" i="10"/>
  <c r="T437" i="10"/>
  <c r="T439" i="10"/>
  <c r="T450" i="10"/>
  <c r="T454" i="10"/>
  <c r="T458" i="10"/>
  <c r="T462" i="10"/>
  <c r="T466" i="10"/>
  <c r="T470" i="10"/>
  <c r="T474" i="10"/>
  <c r="T441" i="10"/>
  <c r="T443" i="10"/>
  <c r="T445" i="10"/>
  <c r="T477" i="10"/>
  <c r="T479" i="10"/>
  <c r="T481" i="10"/>
  <c r="T483" i="10"/>
  <c r="T485" i="10"/>
  <c r="T487" i="10"/>
  <c r="T489" i="10"/>
  <c r="T490" i="10"/>
  <c r="T492" i="10"/>
  <c r="T494" i="10"/>
  <c r="T496" i="10"/>
  <c r="T498" i="10"/>
  <c r="T500" i="10"/>
  <c r="T502" i="10"/>
  <c r="T504" i="10"/>
  <c r="T506" i="10"/>
  <c r="T508" i="10"/>
  <c r="T510" i="10"/>
  <c r="T512" i="10"/>
  <c r="T514" i="10"/>
  <c r="X112" i="10"/>
  <c r="T142" i="10"/>
  <c r="T138" i="10"/>
  <c r="T134" i="10"/>
  <c r="T130" i="10"/>
  <c r="T126" i="10"/>
  <c r="T122" i="10"/>
  <c r="T118" i="10"/>
  <c r="T114" i="10"/>
  <c r="T110" i="10"/>
  <c r="T106" i="10"/>
  <c r="T102" i="10"/>
  <c r="T98" i="10"/>
  <c r="T94" i="10"/>
  <c r="T90" i="10"/>
  <c r="T86" i="10"/>
  <c r="T82" i="10"/>
  <c r="T78" i="10"/>
  <c r="T74" i="10"/>
  <c r="T70" i="10"/>
  <c r="T66" i="10"/>
  <c r="T62" i="10"/>
  <c r="T58" i="10"/>
  <c r="T54" i="10"/>
  <c r="T52" i="10"/>
  <c r="T50" i="10"/>
  <c r="T46" i="10"/>
  <c r="T44" i="10"/>
  <c r="T40" i="10"/>
  <c r="T36" i="10"/>
  <c r="T28" i="10"/>
  <c r="T24" i="10"/>
  <c r="T20" i="10"/>
  <c r="AB180" i="10"/>
  <c r="AB184" i="10"/>
  <c r="AB188" i="10"/>
  <c r="AB227" i="10"/>
  <c r="AB231" i="10"/>
  <c r="AB238" i="10"/>
  <c r="AB246" i="10"/>
  <c r="AB181" i="10"/>
  <c r="AB185" i="10"/>
  <c r="AB189" i="10"/>
  <c r="AB224" i="10"/>
  <c r="AB228" i="10"/>
  <c r="AB232" i="10"/>
  <c r="AB236" i="10"/>
  <c r="AB240" i="10"/>
  <c r="AB244" i="10"/>
  <c r="AB248" i="10"/>
  <c r="AB233" i="10"/>
  <c r="AB235" i="10"/>
  <c r="AB237" i="10"/>
  <c r="AB241" i="10"/>
  <c r="AB243" i="10"/>
  <c r="AB245" i="10"/>
  <c r="AB249" i="10"/>
  <c r="AB270" i="10"/>
  <c r="AB273" i="10"/>
  <c r="AB277" i="10"/>
  <c r="AB281" i="10"/>
  <c r="X234" i="10"/>
  <c r="X238" i="10"/>
  <c r="X242" i="10"/>
  <c r="X246" i="10"/>
  <c r="X250" i="10"/>
  <c r="X235" i="10"/>
  <c r="X239" i="10"/>
  <c r="X243" i="10"/>
  <c r="X247" i="10"/>
  <c r="X251" i="10"/>
  <c r="T273" i="10"/>
  <c r="T277" i="10"/>
  <c r="T281" i="10"/>
  <c r="T240" i="10"/>
  <c r="T266" i="10"/>
  <c r="AB179" i="10"/>
  <c r="AB183" i="10"/>
  <c r="AB187" i="10"/>
  <c r="AB191" i="10"/>
  <c r="AB226" i="10"/>
  <c r="AB230" i="10"/>
  <c r="AB239" i="10"/>
  <c r="AB247" i="10"/>
  <c r="X179" i="10"/>
  <c r="X181" i="10"/>
  <c r="X183" i="10"/>
  <c r="X185" i="10"/>
  <c r="X187" i="10"/>
  <c r="X189" i="10"/>
  <c r="X191" i="10"/>
  <c r="X224" i="10"/>
  <c r="X226" i="10"/>
  <c r="X228" i="10"/>
  <c r="X230" i="10"/>
  <c r="X270" i="10"/>
  <c r="AH270" i="10"/>
  <c r="X233" i="10"/>
  <c r="X237" i="10"/>
  <c r="X241" i="10"/>
  <c r="X245" i="10"/>
  <c r="X249" i="10"/>
  <c r="X269" i="10"/>
  <c r="AH269" i="10"/>
  <c r="X272" i="10"/>
  <c r="AH272" i="10"/>
  <c r="X274" i="10"/>
  <c r="AH274" i="10"/>
  <c r="X276" i="10"/>
  <c r="AH276" i="10"/>
  <c r="X278" i="10"/>
  <c r="AH278" i="10"/>
  <c r="X280" i="10"/>
  <c r="AH280" i="10"/>
  <c r="T179" i="10"/>
  <c r="AG179" i="10"/>
  <c r="T183" i="10"/>
  <c r="AG183" i="10"/>
  <c r="T187" i="10"/>
  <c r="AG187" i="10"/>
  <c r="T191" i="10"/>
  <c r="AG191" i="10"/>
  <c r="T199" i="10"/>
  <c r="AG199" i="10"/>
  <c r="T207" i="10"/>
  <c r="AG207" i="10"/>
  <c r="T215" i="10"/>
  <c r="AG215" i="10"/>
  <c r="T224" i="10"/>
  <c r="AG224" i="10"/>
  <c r="T228" i="10"/>
  <c r="AG228" i="10"/>
  <c r="T193" i="10"/>
  <c r="AG193" i="10"/>
  <c r="T197" i="10"/>
  <c r="AG197" i="10"/>
  <c r="T201" i="10"/>
  <c r="AG201" i="10"/>
  <c r="T205" i="10"/>
  <c r="AG205" i="10"/>
  <c r="T209" i="10"/>
  <c r="AG209" i="10"/>
  <c r="T213" i="10"/>
  <c r="AG213" i="10"/>
  <c r="T217" i="10"/>
  <c r="AG217" i="10"/>
  <c r="T221" i="10"/>
  <c r="AG221" i="10"/>
  <c r="T226" i="10"/>
  <c r="AG226" i="10"/>
  <c r="T230" i="10"/>
  <c r="AG230" i="10"/>
  <c r="T194" i="10"/>
  <c r="AG194" i="10"/>
  <c r="T196" i="10"/>
  <c r="AG196" i="10"/>
  <c r="T198" i="10"/>
  <c r="AG198" i="10"/>
  <c r="T200" i="10"/>
  <c r="AG200" i="10"/>
  <c r="T202" i="10"/>
  <c r="AG202" i="10"/>
  <c r="T204" i="10"/>
  <c r="AG204" i="10"/>
  <c r="T206" i="10"/>
  <c r="AG206" i="10"/>
  <c r="T208" i="10"/>
  <c r="AG208" i="10"/>
  <c r="T210" i="10"/>
  <c r="AG210" i="10"/>
  <c r="T212" i="10"/>
  <c r="AG212" i="10"/>
  <c r="T214" i="10"/>
  <c r="AG214" i="10"/>
  <c r="T216" i="10"/>
  <c r="AG216" i="10"/>
  <c r="T218" i="10"/>
  <c r="AG218" i="10"/>
  <c r="T220" i="10"/>
  <c r="AG220" i="10"/>
  <c r="T222" i="10"/>
  <c r="AG222" i="10"/>
  <c r="T232" i="10"/>
  <c r="AG232" i="10"/>
  <c r="T234" i="10"/>
  <c r="AG234" i="10"/>
  <c r="T236" i="10"/>
  <c r="AG236" i="10"/>
  <c r="T270" i="10"/>
  <c r="X175" i="10"/>
  <c r="X171" i="10"/>
  <c r="X167" i="10"/>
  <c r="X163" i="10"/>
  <c r="X159" i="10"/>
  <c r="T175" i="10"/>
  <c r="T171" i="10"/>
  <c r="T167" i="10"/>
  <c r="T163" i="10"/>
  <c r="T159" i="10"/>
  <c r="T155" i="10"/>
  <c r="T151" i="10"/>
  <c r="T147" i="10"/>
  <c r="T143" i="10"/>
  <c r="T139" i="10"/>
  <c r="T135" i="10"/>
  <c r="T131" i="10"/>
  <c r="T127" i="10"/>
  <c r="T123" i="10"/>
  <c r="T119" i="10"/>
  <c r="T115" i="10"/>
  <c r="T111" i="10"/>
  <c r="T107" i="10"/>
  <c r="T103" i="10"/>
  <c r="T99" i="10"/>
  <c r="T95" i="10"/>
  <c r="T91" i="10"/>
  <c r="T87" i="10"/>
  <c r="T83" i="10"/>
  <c r="T79" i="10"/>
  <c r="T75" i="10"/>
  <c r="T71" i="10"/>
  <c r="T67" i="10"/>
  <c r="T63" i="10"/>
  <c r="T59" i="10"/>
  <c r="T55" i="10"/>
  <c r="T53" i="10"/>
  <c r="T51" i="10"/>
  <c r="T49" i="10"/>
  <c r="T45" i="10"/>
  <c r="T43" i="10"/>
  <c r="T39" i="10"/>
  <c r="T35" i="10"/>
  <c r="T31" i="10"/>
  <c r="T27" i="10"/>
  <c r="T23" i="10"/>
  <c r="T19" i="10"/>
  <c r="AB222" i="10"/>
  <c r="AB192" i="10"/>
  <c r="AB196" i="10"/>
  <c r="AB200" i="10"/>
  <c r="AB204" i="10"/>
  <c r="AB208" i="10"/>
  <c r="AB212" i="10"/>
  <c r="AB216" i="10"/>
  <c r="AB220" i="10"/>
  <c r="AB193" i="10"/>
  <c r="AB195" i="10"/>
  <c r="AB197" i="10"/>
  <c r="AB199" i="10"/>
  <c r="AB201" i="10"/>
  <c r="AB203" i="10"/>
  <c r="AB205" i="10"/>
  <c r="AB207" i="10"/>
  <c r="AB209" i="10"/>
  <c r="AB211" i="10"/>
  <c r="AB213" i="10"/>
  <c r="AB215" i="10"/>
  <c r="AB217" i="10"/>
  <c r="AB219" i="10"/>
  <c r="AB221" i="10"/>
  <c r="AB223" i="10"/>
  <c r="AB256" i="10"/>
  <c r="AB264" i="10"/>
  <c r="AB272" i="10"/>
  <c r="AB254" i="10"/>
  <c r="AB258" i="10"/>
  <c r="AB262" i="10"/>
  <c r="AB266" i="10"/>
  <c r="AB278" i="10"/>
  <c r="AB251" i="10"/>
  <c r="AB253" i="10"/>
  <c r="AB255" i="10"/>
  <c r="AB257" i="10"/>
  <c r="AB259" i="10"/>
  <c r="AB261" i="10"/>
  <c r="AB263" i="10"/>
  <c r="AB265" i="10"/>
  <c r="AB267" i="10"/>
  <c r="AB269" i="10"/>
  <c r="X200" i="10"/>
  <c r="X208" i="10"/>
  <c r="X216" i="10"/>
  <c r="X262" i="10"/>
  <c r="X193" i="10"/>
  <c r="X195" i="10"/>
  <c r="X197" i="10"/>
  <c r="X199" i="10"/>
  <c r="X201" i="10"/>
  <c r="X203" i="10"/>
  <c r="X205" i="10"/>
  <c r="X207" i="10"/>
  <c r="X209" i="10"/>
  <c r="X211" i="10"/>
  <c r="X213" i="10"/>
  <c r="X215" i="10"/>
  <c r="X217" i="10"/>
  <c r="X219" i="10"/>
  <c r="X221" i="10"/>
  <c r="X223" i="10"/>
  <c r="X252" i="10"/>
  <c r="X256" i="10"/>
  <c r="X260" i="10"/>
  <c r="X264" i="10"/>
  <c r="X268" i="10"/>
  <c r="X253" i="10"/>
  <c r="X255" i="10"/>
  <c r="X257" i="10"/>
  <c r="X259" i="10"/>
  <c r="X261" i="10"/>
  <c r="X263" i="10"/>
  <c r="X265" i="10"/>
  <c r="X267" i="10"/>
  <c r="X271" i="10"/>
  <c r="AH271" i="10"/>
  <c r="X273" i="10"/>
  <c r="AH273" i="10"/>
  <c r="X275" i="10"/>
  <c r="AH275" i="10"/>
  <c r="X277" i="10"/>
  <c r="AH277" i="10"/>
  <c r="X279" i="10"/>
  <c r="AH279" i="10"/>
  <c r="X281" i="10"/>
  <c r="AH281" i="10"/>
  <c r="T181" i="10"/>
  <c r="AG181" i="10"/>
  <c r="T185" i="10"/>
  <c r="AG185" i="10"/>
  <c r="T189" i="10"/>
  <c r="AG189" i="10"/>
  <c r="T195" i="10"/>
  <c r="AG195" i="10"/>
  <c r="T203" i="10"/>
  <c r="AG203" i="10"/>
  <c r="T211" i="10"/>
  <c r="AG211" i="10"/>
  <c r="T219" i="10"/>
  <c r="AG219" i="10"/>
  <c r="T256" i="10"/>
  <c r="T180" i="10"/>
  <c r="AG180" i="10"/>
  <c r="T182" i="10"/>
  <c r="AG182" i="10"/>
  <c r="T184" i="10"/>
  <c r="AG184" i="10"/>
  <c r="T186" i="10"/>
  <c r="AG186" i="10"/>
  <c r="T188" i="10"/>
  <c r="AG188" i="10"/>
  <c r="T190" i="10"/>
  <c r="AG190" i="10"/>
  <c r="T192" i="10"/>
  <c r="AG192" i="10"/>
  <c r="T235" i="10"/>
  <c r="AG235" i="10"/>
  <c r="T223" i="10"/>
  <c r="T225" i="10"/>
  <c r="AG225" i="10"/>
  <c r="T227" i="10"/>
  <c r="AG227" i="10"/>
  <c r="T229" i="10"/>
  <c r="AG229" i="10"/>
  <c r="T231" i="10"/>
  <c r="AG231" i="10"/>
  <c r="T233" i="10"/>
  <c r="AG233" i="10"/>
  <c r="T237" i="10"/>
  <c r="AG237" i="10"/>
  <c r="T264" i="10"/>
  <c r="T274" i="10"/>
  <c r="T239" i="10"/>
  <c r="T241" i="10"/>
  <c r="T243" i="10"/>
  <c r="T245" i="10"/>
  <c r="T247" i="10"/>
  <c r="T249" i="10"/>
  <c r="T251" i="10"/>
  <c r="T278" i="10"/>
  <c r="T272" i="10"/>
  <c r="T280" i="10"/>
  <c r="T253" i="10"/>
  <c r="T255" i="10"/>
  <c r="T257" i="10"/>
  <c r="T259" i="10"/>
  <c r="T261" i="10"/>
  <c r="T263" i="10"/>
  <c r="T265" i="10"/>
  <c r="T267" i="10"/>
  <c r="T269" i="10"/>
  <c r="X176" i="10"/>
  <c r="X172" i="10"/>
  <c r="X168" i="10"/>
  <c r="X164" i="10"/>
  <c r="X160" i="10"/>
  <c r="T174" i="10"/>
  <c r="T170" i="10"/>
  <c r="T166" i="10"/>
  <c r="T162" i="10"/>
  <c r="T158" i="10"/>
  <c r="T154" i="10"/>
  <c r="T150" i="10"/>
  <c r="T146" i="10"/>
  <c r="T32" i="10"/>
  <c r="F61" i="17"/>
  <c r="B61" i="17"/>
  <c r="J61" i="17"/>
  <c r="D61" i="17"/>
  <c r="H61" i="17"/>
  <c r="L61" i="17"/>
  <c r="AB164" i="10"/>
  <c r="AB160" i="10"/>
  <c r="AB156" i="10"/>
  <c r="AB152" i="10"/>
  <c r="AB148" i="10"/>
  <c r="AB144" i="10"/>
  <c r="AB140" i="10"/>
  <c r="AB136" i="10"/>
  <c r="C61" i="17"/>
  <c r="E61" i="17"/>
  <c r="G61" i="17"/>
  <c r="I61" i="17"/>
  <c r="K61" i="17"/>
  <c r="M61" i="17"/>
  <c r="X114" i="10"/>
  <c r="AB165" i="10"/>
  <c r="AB161" i="10"/>
  <c r="AB157" i="10"/>
  <c r="AB153" i="10"/>
  <c r="AB149" i="10"/>
  <c r="AB145" i="10"/>
  <c r="AB141" i="10"/>
  <c r="AB137" i="10"/>
  <c r="AB94" i="10"/>
  <c r="AB90" i="10"/>
  <c r="AB86" i="10"/>
  <c r="AB82" i="10"/>
  <c r="AB78" i="10"/>
  <c r="AB74" i="10"/>
  <c r="AB72" i="10"/>
  <c r="AB70" i="10"/>
  <c r="AB68" i="10"/>
  <c r="AB66" i="10"/>
  <c r="AB64" i="10"/>
  <c r="AB62" i="10"/>
  <c r="AB60" i="10"/>
  <c r="AB58" i="10"/>
  <c r="AB56" i="10"/>
  <c r="AB54" i="10"/>
  <c r="AB52" i="10"/>
  <c r="AB50" i="10"/>
  <c r="AB48" i="10"/>
  <c r="AB46" i="10"/>
  <c r="AB44" i="10"/>
  <c r="AB42" i="10"/>
  <c r="AB40" i="10"/>
  <c r="AB38" i="10"/>
  <c r="AB32" i="10"/>
  <c r="AB28" i="10"/>
  <c r="AB24" i="10"/>
  <c r="AB20" i="10"/>
  <c r="X106" i="10"/>
  <c r="X102" i="10"/>
  <c r="X98" i="10"/>
  <c r="X96" i="10"/>
  <c r="X94" i="10"/>
  <c r="X92" i="10"/>
  <c r="X90" i="10"/>
  <c r="X88" i="10"/>
  <c r="X86" i="10"/>
  <c r="X84" i="10"/>
  <c r="X82" i="10"/>
  <c r="X80" i="10"/>
  <c r="X78" i="10"/>
  <c r="X76" i="10"/>
  <c r="X74" i="10"/>
  <c r="X72" i="10"/>
  <c r="X70" i="10"/>
  <c r="X68" i="10"/>
  <c r="X66" i="10"/>
  <c r="X62" i="10"/>
  <c r="X58" i="10"/>
  <c r="X54" i="10"/>
  <c r="X48" i="10"/>
  <c r="X44" i="10"/>
  <c r="X40" i="10"/>
  <c r="X36" i="10"/>
  <c r="X32" i="10"/>
  <c r="X28" i="10"/>
  <c r="X24" i="10"/>
  <c r="X20" i="10"/>
  <c r="AB16" i="10"/>
  <c r="AB35" i="10"/>
  <c r="AB33" i="10"/>
  <c r="AB29" i="10"/>
  <c r="AB25" i="10"/>
  <c r="AB21" i="10"/>
  <c r="AB17" i="10"/>
  <c r="X107" i="10"/>
  <c r="X103" i="10"/>
  <c r="X99" i="10"/>
  <c r="X63" i="10"/>
  <c r="X59" i="10"/>
  <c r="X55" i="10"/>
  <c r="X51" i="10"/>
  <c r="X49" i="10"/>
  <c r="X45" i="10"/>
  <c r="X41" i="10"/>
  <c r="X37" i="10"/>
  <c r="X33" i="10"/>
  <c r="X29" i="10"/>
  <c r="X25" i="10"/>
  <c r="X21" i="10"/>
  <c r="X17" i="10"/>
  <c r="T16" i="10"/>
  <c r="AB176" i="10"/>
  <c r="AB174" i="10"/>
  <c r="AB170" i="10"/>
  <c r="AB168" i="10"/>
  <c r="AB134" i="10"/>
  <c r="AB130" i="10"/>
  <c r="AB126" i="10"/>
  <c r="AB124" i="10"/>
  <c r="AB120" i="10"/>
  <c r="AB118" i="10"/>
  <c r="AB114" i="10"/>
  <c r="AB110" i="10"/>
  <c r="AB102" i="10"/>
  <c r="AB100" i="10"/>
  <c r="L38" i="17"/>
  <c r="AB166" i="10"/>
  <c r="AB162" i="10"/>
  <c r="AB158" i="10"/>
  <c r="AB154" i="10"/>
  <c r="AB150" i="10"/>
  <c r="AB146" i="10"/>
  <c r="AB142" i="10"/>
  <c r="AB138" i="10"/>
  <c r="AB177" i="10"/>
  <c r="AB175" i="10"/>
  <c r="AB173" i="10"/>
  <c r="AB171" i="10"/>
  <c r="AB169" i="10"/>
  <c r="AB97" i="10"/>
  <c r="AB93" i="10"/>
  <c r="AB89" i="10"/>
  <c r="AB85" i="10"/>
  <c r="AB81" i="10"/>
  <c r="AB77" i="10"/>
  <c r="AB135" i="10"/>
  <c r="AB133" i="10"/>
  <c r="AB131" i="10"/>
  <c r="AB129" i="10"/>
  <c r="AB127" i="10"/>
  <c r="AB125" i="10"/>
  <c r="AB123" i="10"/>
  <c r="AB121" i="10"/>
  <c r="AB119" i="10"/>
  <c r="AB117" i="10"/>
  <c r="AB115" i="10"/>
  <c r="AB113" i="10"/>
  <c r="AB109" i="10"/>
  <c r="AB105" i="10"/>
  <c r="AB101" i="10"/>
  <c r="AB99" i="10"/>
  <c r="AB73" i="10"/>
  <c r="AB71" i="10"/>
  <c r="AB69" i="10"/>
  <c r="AB67" i="10"/>
  <c r="AB65" i="10"/>
  <c r="AB63" i="10"/>
  <c r="AB61" i="10"/>
  <c r="AB59" i="10"/>
  <c r="AB57" i="10"/>
  <c r="AB55" i="10"/>
  <c r="AB53" i="10"/>
  <c r="AB51" i="10"/>
  <c r="AB49" i="10"/>
  <c r="AB47" i="10"/>
  <c r="AB45" i="10"/>
  <c r="AB43" i="10"/>
  <c r="AB41" i="10"/>
  <c r="AB39" i="10"/>
  <c r="AB37" i="10"/>
  <c r="AB31" i="10"/>
  <c r="AB27" i="10"/>
  <c r="AB23" i="10"/>
  <c r="AB19" i="10"/>
  <c r="AB36" i="10"/>
  <c r="AB34" i="10"/>
  <c r="AB30" i="10"/>
  <c r="AB26" i="10"/>
  <c r="AB22" i="10"/>
  <c r="AB18" i="10"/>
  <c r="X16" i="10"/>
  <c r="X174" i="10"/>
  <c r="X170" i="10"/>
  <c r="X166" i="10"/>
  <c r="X162" i="10"/>
  <c r="X158" i="10"/>
  <c r="X156" i="10"/>
  <c r="X154" i="10"/>
  <c r="X152" i="10"/>
  <c r="X150" i="10"/>
  <c r="X148" i="10"/>
  <c r="X146" i="10"/>
  <c r="X144" i="10"/>
  <c r="X142" i="10"/>
  <c r="X140" i="10"/>
  <c r="X138" i="10"/>
  <c r="X136" i="10"/>
  <c r="X134" i="10"/>
  <c r="X132" i="10"/>
  <c r="X130" i="10"/>
  <c r="X128" i="10"/>
  <c r="X126" i="10"/>
  <c r="X124" i="10"/>
  <c r="X122" i="10"/>
  <c r="X120" i="10"/>
  <c r="X118" i="10"/>
  <c r="X116" i="10"/>
  <c r="X113" i="10"/>
  <c r="X105" i="10"/>
  <c r="X101" i="10"/>
  <c r="X97" i="10"/>
  <c r="X95" i="10"/>
  <c r="X93" i="10"/>
  <c r="X91" i="10"/>
  <c r="X89" i="10"/>
  <c r="X87" i="10"/>
  <c r="X85" i="10"/>
  <c r="X83" i="10"/>
  <c r="X81" i="10"/>
  <c r="X79" i="10"/>
  <c r="X77" i="10"/>
  <c r="X75" i="10"/>
  <c r="X73" i="10"/>
  <c r="X71" i="10"/>
  <c r="X69" i="10"/>
  <c r="X67" i="10"/>
  <c r="X65" i="10"/>
  <c r="X61" i="10"/>
  <c r="X57" i="10"/>
  <c r="X53" i="10"/>
  <c r="X47" i="10"/>
  <c r="X43" i="10"/>
  <c r="X39" i="10"/>
  <c r="X35" i="10"/>
  <c r="X31" i="10"/>
  <c r="X27" i="10"/>
  <c r="X23" i="10"/>
  <c r="X19" i="10"/>
  <c r="X110" i="10"/>
  <c r="X108" i="10"/>
  <c r="X104" i="10"/>
  <c r="X100" i="10"/>
  <c r="X64" i="10"/>
  <c r="X60" i="10"/>
  <c r="X56" i="10"/>
  <c r="X52" i="10"/>
  <c r="X50" i="10"/>
  <c r="X46" i="10"/>
  <c r="X42" i="10"/>
  <c r="X38" i="10"/>
  <c r="X34" i="10"/>
  <c r="X30" i="10"/>
  <c r="X26" i="10"/>
  <c r="X22" i="10"/>
  <c r="X18" i="10"/>
  <c r="T176" i="10"/>
  <c r="T172" i="10"/>
  <c r="T168" i="10"/>
  <c r="T164" i="10"/>
  <c r="T160" i="10"/>
  <c r="T156" i="10"/>
  <c r="T152" i="10"/>
  <c r="T148" i="10"/>
  <c r="T144" i="10"/>
  <c r="T140" i="10"/>
  <c r="T136" i="10"/>
  <c r="T132" i="10"/>
  <c r="T128" i="10"/>
  <c r="T124" i="10"/>
  <c r="T120" i="10"/>
  <c r="T116" i="10"/>
  <c r="T112" i="10"/>
  <c r="T108" i="10"/>
  <c r="T104" i="10"/>
  <c r="T100" i="10"/>
  <c r="T96" i="10"/>
  <c r="T92" i="10"/>
  <c r="T88" i="10"/>
  <c r="T84" i="10"/>
  <c r="T80" i="10"/>
  <c r="T76" i="10"/>
  <c r="T72" i="10"/>
  <c r="T68" i="10"/>
  <c r="T64" i="10"/>
  <c r="T60" i="10"/>
  <c r="T56" i="10"/>
  <c r="T48" i="10"/>
  <c r="T42" i="10"/>
  <c r="T38" i="10"/>
  <c r="T34" i="10"/>
  <c r="T30" i="10"/>
  <c r="T26" i="10"/>
  <c r="T22" i="10"/>
  <c r="T18" i="10"/>
  <c r="AB172" i="10"/>
  <c r="AB132" i="10"/>
  <c r="AB128" i="10"/>
  <c r="AB122" i="10"/>
  <c r="AB116" i="10"/>
  <c r="AB106" i="10"/>
  <c r="X177" i="10"/>
  <c r="X173" i="10"/>
  <c r="X169" i="10"/>
  <c r="X165" i="10"/>
  <c r="X161" i="10"/>
  <c r="X157" i="10"/>
  <c r="X155" i="10"/>
  <c r="X153" i="10"/>
  <c r="X151" i="10"/>
  <c r="X149" i="10"/>
  <c r="X147" i="10"/>
  <c r="X145" i="10"/>
  <c r="X143" i="10"/>
  <c r="X141" i="10"/>
  <c r="X139" i="10"/>
  <c r="X137" i="10"/>
  <c r="X135" i="10"/>
  <c r="X133" i="10"/>
  <c r="X131" i="10"/>
  <c r="X129" i="10"/>
  <c r="X127" i="10"/>
  <c r="X125" i="10"/>
  <c r="X123" i="10"/>
  <c r="X121" i="10"/>
  <c r="X119" i="10"/>
  <c r="X117" i="10"/>
  <c r="X109" i="10"/>
  <c r="T177" i="10"/>
  <c r="T173" i="10"/>
  <c r="T169" i="10"/>
  <c r="T165" i="10"/>
  <c r="T161" i="10"/>
  <c r="T157" i="10"/>
  <c r="T153" i="10"/>
  <c r="T149" i="10"/>
  <c r="T145" i="10"/>
  <c r="T141" i="10"/>
  <c r="T137" i="10"/>
  <c r="T133" i="10"/>
  <c r="T129" i="10"/>
  <c r="T125" i="10"/>
  <c r="T121" i="10"/>
  <c r="T117" i="10"/>
  <c r="T113" i="10"/>
  <c r="T109" i="10"/>
  <c r="T105" i="10"/>
  <c r="T101" i="10"/>
  <c r="T97" i="10"/>
  <c r="T93" i="10"/>
  <c r="T89" i="10"/>
  <c r="T85" i="10"/>
  <c r="T81" i="10"/>
  <c r="T77" i="10"/>
  <c r="T73" i="10"/>
  <c r="T69" i="10"/>
  <c r="T65" i="10"/>
  <c r="T61" i="10"/>
  <c r="T57" i="10"/>
  <c r="T47" i="10"/>
  <c r="T41" i="10"/>
  <c r="T37" i="10"/>
  <c r="T33" i="10"/>
  <c r="T29" i="10"/>
  <c r="T25" i="10"/>
  <c r="T21" i="10"/>
  <c r="T17" i="10"/>
  <c r="J39" i="17"/>
  <c r="H38" i="17"/>
  <c r="P38" i="17"/>
  <c r="N39" i="17"/>
  <c r="D38" i="17"/>
  <c r="F39" i="17"/>
  <c r="AI26" i="10"/>
  <c r="AG20" i="10"/>
  <c r="AG56" i="10"/>
  <c r="AG62" i="10"/>
  <c r="AG21" i="10"/>
  <c r="AG23" i="10"/>
  <c r="AG55" i="10"/>
  <c r="E21" i="21"/>
  <c r="D239" i="21"/>
  <c r="E20" i="21"/>
  <c r="D240" i="21"/>
  <c r="E20" i="22"/>
  <c r="D239" i="22"/>
  <c r="E21" i="22"/>
  <c r="D240" i="22"/>
  <c r="E21" i="23"/>
  <c r="D239" i="23"/>
  <c r="D240" i="23"/>
  <c r="E20" i="23"/>
  <c r="H5" i="23"/>
  <c r="G19" i="23"/>
  <c r="H5" i="21"/>
  <c r="G19" i="21"/>
  <c r="H5" i="22"/>
  <c r="G19" i="22"/>
  <c r="D7" i="23"/>
  <c r="D12" i="23" s="1"/>
  <c r="D7" i="21"/>
  <c r="D12" i="21" s="1"/>
  <c r="D7" i="22"/>
  <c r="E7" i="22" s="1"/>
  <c r="B16" i="17"/>
  <c r="C38" i="17"/>
  <c r="E38" i="17"/>
  <c r="G38" i="17"/>
  <c r="I38" i="17"/>
  <c r="K38" i="17"/>
  <c r="M38" i="17"/>
  <c r="O38" i="17"/>
  <c r="G9" i="21"/>
  <c r="F23" i="21"/>
  <c r="B68" i="17"/>
  <c r="D15" i="4" s="1"/>
  <c r="B66" i="17"/>
  <c r="C66" i="17" s="1"/>
  <c r="D66" i="17" s="1"/>
  <c r="E66" i="17" s="1"/>
  <c r="F66" i="17" s="1"/>
  <c r="G66" i="17" s="1"/>
  <c r="H66" i="17" s="1"/>
  <c r="I66" i="17" s="1"/>
  <c r="J66" i="17" s="1"/>
  <c r="K66" i="17" s="1"/>
  <c r="L66" i="17" s="1"/>
  <c r="M66" i="17" s="1"/>
  <c r="N66" i="17" s="1"/>
  <c r="O66" i="17" s="1"/>
  <c r="P66" i="17" s="1"/>
  <c r="B46" i="17"/>
  <c r="D15" i="3" s="1"/>
  <c r="B44" i="17"/>
  <c r="C44" i="17" s="1"/>
  <c r="F90" i="17"/>
  <c r="H15" i="23" s="1"/>
  <c r="R516" i="10"/>
  <c r="AG16" i="10"/>
  <c r="S516" i="10"/>
  <c r="B23" i="17"/>
  <c r="B21" i="17"/>
  <c r="C21" i="17" s="1"/>
  <c r="D21" i="17" s="1"/>
  <c r="E21" i="17" s="1"/>
  <c r="F21" i="17" s="1"/>
  <c r="G21" i="17" s="1"/>
  <c r="H21" i="17" s="1"/>
  <c r="I21" i="17" s="1"/>
  <c r="J21" i="17" s="1"/>
  <c r="K21" i="17" s="1"/>
  <c r="L21" i="17" s="1"/>
  <c r="M21" i="17" s="1"/>
  <c r="N21" i="17" s="1"/>
  <c r="O21" i="17" s="1"/>
  <c r="P21" i="17" s="1"/>
  <c r="V516" i="10"/>
  <c r="AH16" i="10"/>
  <c r="W516" i="10"/>
  <c r="Z516" i="10"/>
  <c r="AI16" i="10"/>
  <c r="AA516" i="10"/>
  <c r="F134" i="17"/>
  <c r="H15" i="21" s="1"/>
  <c r="F112" i="17"/>
  <c r="H15" i="22" s="1"/>
  <c r="F133" i="17"/>
  <c r="F111" i="17"/>
  <c r="C23" i="17"/>
  <c r="H89" i="17"/>
  <c r="B117" i="17"/>
  <c r="B131" i="17" s="1"/>
  <c r="B95" i="17"/>
  <c r="B109" i="17" s="1"/>
  <c r="G9" i="23"/>
  <c r="G23" i="23" s="1"/>
  <c r="G9" i="22"/>
  <c r="G23" i="22" s="1"/>
  <c r="B22" i="17"/>
  <c r="B45" i="17"/>
  <c r="B67" i="17"/>
  <c r="C15" i="17"/>
  <c r="D15" i="17"/>
  <c r="E15" i="17"/>
  <c r="F15" i="17"/>
  <c r="G15" i="17"/>
  <c r="H15" i="17"/>
  <c r="I15" i="17"/>
  <c r="J15" i="17"/>
  <c r="K15" i="17"/>
  <c r="L15" i="17"/>
  <c r="M15" i="17"/>
  <c r="N15" i="17"/>
  <c r="O15" i="17"/>
  <c r="P15" i="17"/>
  <c r="T516" i="10" l="1"/>
  <c r="E239" i="21"/>
  <c r="E240" i="21"/>
  <c r="F21" i="21"/>
  <c r="F20" i="21"/>
  <c r="E239" i="22"/>
  <c r="F21" i="22"/>
  <c r="F20" i="22"/>
  <c r="E240" i="22"/>
  <c r="E239" i="23"/>
  <c r="E240" i="23"/>
  <c r="F21" i="23"/>
  <c r="F20" i="23"/>
  <c r="I5" i="22"/>
  <c r="H19" i="22"/>
  <c r="I5" i="21"/>
  <c r="H19" i="21"/>
  <c r="I5" i="23"/>
  <c r="H19" i="23"/>
  <c r="E6" i="23"/>
  <c r="D13" i="22"/>
  <c r="D13" i="21"/>
  <c r="X21" i="11" s="1"/>
  <c r="E7" i="23"/>
  <c r="F7" i="23" s="1"/>
  <c r="D13" i="23"/>
  <c r="D14" i="23" s="1"/>
  <c r="E6" i="22"/>
  <c r="E12" i="22" s="1"/>
  <c r="D12" i="22"/>
  <c r="E7" i="21"/>
  <c r="E6" i="21"/>
  <c r="C46" i="17"/>
  <c r="E15" i="3" s="1"/>
  <c r="C68" i="17"/>
  <c r="E15" i="4" s="1"/>
  <c r="H9" i="21"/>
  <c r="G23" i="21"/>
  <c r="F7" i="22"/>
  <c r="F6" i="22"/>
  <c r="D44" i="17"/>
  <c r="E44" i="17" s="1"/>
  <c r="F44" i="17" s="1"/>
  <c r="G44" i="17" s="1"/>
  <c r="H44" i="17" s="1"/>
  <c r="I44" i="17" s="1"/>
  <c r="J44" i="17" s="1"/>
  <c r="K44" i="17" s="1"/>
  <c r="L44" i="17" s="1"/>
  <c r="M44" i="17" s="1"/>
  <c r="N44" i="17" s="1"/>
  <c r="O44" i="17" s="1"/>
  <c r="P44" i="17" s="1"/>
  <c r="G90" i="17"/>
  <c r="I15" i="23" s="1"/>
  <c r="D23" i="17"/>
  <c r="X516" i="10"/>
  <c r="AB516" i="10"/>
  <c r="G111" i="17"/>
  <c r="G133" i="17"/>
  <c r="G112" i="17"/>
  <c r="I15" i="22" s="1"/>
  <c r="G134" i="17"/>
  <c r="I15" i="21" s="1"/>
  <c r="I89" i="17"/>
  <c r="C131" i="17"/>
  <c r="E236" i="21" s="1"/>
  <c r="G120" i="17"/>
  <c r="C109" i="17"/>
  <c r="E236" i="22" s="1"/>
  <c r="G98" i="17"/>
  <c r="H9" i="23"/>
  <c r="H23" i="23" s="1"/>
  <c r="H9" i="22"/>
  <c r="H23" i="22" s="1"/>
  <c r="C67" i="17"/>
  <c r="C45" i="17"/>
  <c r="C22" i="17"/>
  <c r="D4" i="4"/>
  <c r="D4" i="3"/>
  <c r="D4" i="1"/>
  <c r="B16" i="14" s="1"/>
  <c r="C23" i="11"/>
  <c r="B23" i="11"/>
  <c r="D14" i="22" l="1"/>
  <c r="D14" i="21"/>
  <c r="D46" i="17"/>
  <c r="F15" i="3" s="1"/>
  <c r="E13" i="22"/>
  <c r="E14" i="22" s="1"/>
  <c r="F239" i="21"/>
  <c r="F240" i="21"/>
  <c r="G21" i="21"/>
  <c r="G20" i="21"/>
  <c r="F240" i="22"/>
  <c r="F239" i="22"/>
  <c r="G21" i="22"/>
  <c r="G20" i="22"/>
  <c r="F240" i="23"/>
  <c r="F239" i="23"/>
  <c r="G21" i="23"/>
  <c r="G20" i="23"/>
  <c r="J5" i="23"/>
  <c r="I19" i="23"/>
  <c r="J5" i="21"/>
  <c r="I19" i="21"/>
  <c r="J5" i="22"/>
  <c r="I19" i="22"/>
  <c r="E13" i="23"/>
  <c r="D68" i="17"/>
  <c r="F15" i="4" s="1"/>
  <c r="F6" i="23"/>
  <c r="F12" i="23" s="1"/>
  <c r="E12" i="23"/>
  <c r="E12" i="21"/>
  <c r="E13" i="21"/>
  <c r="F6" i="21"/>
  <c r="F7" i="21"/>
  <c r="F13" i="22"/>
  <c r="F12" i="22"/>
  <c r="I9" i="21"/>
  <c r="H23" i="21"/>
  <c r="E23" i="17"/>
  <c r="W21" i="11"/>
  <c r="G7" i="22"/>
  <c r="G6" i="22"/>
  <c r="G7" i="23"/>
  <c r="G6" i="23"/>
  <c r="H90" i="17"/>
  <c r="J15" i="23" s="1"/>
  <c r="D109" i="17"/>
  <c r="F236" i="22" s="1"/>
  <c r="D131" i="17"/>
  <c r="F236" i="21" s="1"/>
  <c r="H134" i="17"/>
  <c r="J15" i="21" s="1"/>
  <c r="H112" i="17"/>
  <c r="J15" i="22" s="1"/>
  <c r="H133" i="17"/>
  <c r="H111" i="17"/>
  <c r="J89" i="17"/>
  <c r="I9" i="23"/>
  <c r="I23" i="23" s="1"/>
  <c r="I9" i="22"/>
  <c r="I23" i="22" s="1"/>
  <c r="D22" i="17"/>
  <c r="D45" i="17"/>
  <c r="D67" i="17"/>
  <c r="E54" i="17"/>
  <c r="D54" i="17"/>
  <c r="C54" i="17"/>
  <c r="B54" i="17"/>
  <c r="E32" i="17"/>
  <c r="D32" i="17"/>
  <c r="C32" i="17"/>
  <c r="B32" i="17"/>
  <c r="E9" i="17"/>
  <c r="D9" i="17"/>
  <c r="C9" i="17"/>
  <c r="B9" i="17"/>
  <c r="E46" i="17" l="1"/>
  <c r="G15" i="3" s="1"/>
  <c r="F14" i="22"/>
  <c r="E14" i="23"/>
  <c r="E14" i="21"/>
  <c r="B6" i="17"/>
  <c r="B20" i="17" s="1"/>
  <c r="F13" i="23"/>
  <c r="F14" i="23" s="1"/>
  <c r="G240" i="21"/>
  <c r="G239" i="21"/>
  <c r="H21" i="21"/>
  <c r="H20" i="21"/>
  <c r="G240" i="22"/>
  <c r="G239" i="22"/>
  <c r="H21" i="22"/>
  <c r="H20" i="22"/>
  <c r="G239" i="23"/>
  <c r="G240" i="23"/>
  <c r="H21" i="23"/>
  <c r="H20" i="23"/>
  <c r="K5" i="22"/>
  <c r="J19" i="22"/>
  <c r="K5" i="21"/>
  <c r="J19" i="21"/>
  <c r="K5" i="23"/>
  <c r="J19" i="23"/>
  <c r="E68" i="17"/>
  <c r="G15" i="4" s="1"/>
  <c r="F23" i="17"/>
  <c r="F12" i="21"/>
  <c r="F13" i="21"/>
  <c r="G7" i="21"/>
  <c r="G6" i="21"/>
  <c r="G13" i="23"/>
  <c r="G12" i="23"/>
  <c r="G13" i="22"/>
  <c r="G12" i="22"/>
  <c r="X22" i="11"/>
  <c r="J9" i="21"/>
  <c r="I23" i="21"/>
  <c r="H7" i="22"/>
  <c r="H6" i="22"/>
  <c r="H7" i="23"/>
  <c r="H6" i="23"/>
  <c r="I90" i="17"/>
  <c r="K15" i="23" s="1"/>
  <c r="I111" i="17"/>
  <c r="I133" i="17"/>
  <c r="I112" i="17"/>
  <c r="K15" i="22" s="1"/>
  <c r="I134" i="17"/>
  <c r="K15" i="21" s="1"/>
  <c r="E131" i="17"/>
  <c r="G236" i="21" s="1"/>
  <c r="E109" i="17"/>
  <c r="G236" i="22" s="1"/>
  <c r="K89" i="17"/>
  <c r="J9" i="23"/>
  <c r="J23" i="23" s="1"/>
  <c r="J9" i="22"/>
  <c r="J23" i="22" s="1"/>
  <c r="E67" i="17"/>
  <c r="E45" i="17"/>
  <c r="E22" i="17"/>
  <c r="B51" i="17"/>
  <c r="B65" i="17" s="1"/>
  <c r="D236" i="4" s="1"/>
  <c r="B29" i="17"/>
  <c r="B43" i="17" s="1"/>
  <c r="F46" i="17" l="1"/>
  <c r="H15" i="3" s="1"/>
  <c r="F14" i="21"/>
  <c r="G14" i="22"/>
  <c r="G14" i="23"/>
  <c r="H239" i="21"/>
  <c r="H240" i="21"/>
  <c r="I21" i="21"/>
  <c r="I20" i="21"/>
  <c r="H239" i="22"/>
  <c r="H240" i="22"/>
  <c r="I21" i="22"/>
  <c r="I20" i="22"/>
  <c r="H240" i="23"/>
  <c r="H239" i="23"/>
  <c r="I21" i="23"/>
  <c r="I20" i="23"/>
  <c r="L5" i="23"/>
  <c r="K19" i="23"/>
  <c r="L5" i="21"/>
  <c r="K19" i="21"/>
  <c r="L5" i="22"/>
  <c r="K19" i="22"/>
  <c r="F68" i="17"/>
  <c r="H15" i="4" s="1"/>
  <c r="G23" i="17"/>
  <c r="G12" i="21"/>
  <c r="G13" i="21"/>
  <c r="H7" i="21"/>
  <c r="H6" i="21"/>
  <c r="H13" i="23"/>
  <c r="H12" i="23"/>
  <c r="H13" i="22"/>
  <c r="H12" i="22"/>
  <c r="W22" i="11"/>
  <c r="K9" i="21"/>
  <c r="J23" i="21"/>
  <c r="I7" i="22"/>
  <c r="I6" i="22"/>
  <c r="I7" i="23"/>
  <c r="I6" i="23"/>
  <c r="W23" i="11"/>
  <c r="X23" i="11"/>
  <c r="J90" i="17"/>
  <c r="L15" i="23" s="1"/>
  <c r="F109" i="17"/>
  <c r="H236" i="22" s="1"/>
  <c r="F131" i="17"/>
  <c r="H236" i="21" s="1"/>
  <c r="J134" i="17"/>
  <c r="L15" i="21" s="1"/>
  <c r="J112" i="17"/>
  <c r="L15" i="22" s="1"/>
  <c r="J133" i="17"/>
  <c r="J111" i="17"/>
  <c r="L89" i="17"/>
  <c r="G32" i="17"/>
  <c r="K9" i="23"/>
  <c r="K23" i="23" s="1"/>
  <c r="K9" i="22"/>
  <c r="K23" i="22" s="1"/>
  <c r="F22" i="17"/>
  <c r="F45" i="17"/>
  <c r="F67" i="17"/>
  <c r="G46" i="17" l="1"/>
  <c r="I15" i="3" s="1"/>
  <c r="G14" i="21"/>
  <c r="H14" i="22"/>
  <c r="H14" i="23"/>
  <c r="I240" i="21"/>
  <c r="I239" i="21"/>
  <c r="J21" i="21"/>
  <c r="J20" i="21"/>
  <c r="I240" i="22"/>
  <c r="I239" i="22"/>
  <c r="J21" i="22"/>
  <c r="J20" i="22"/>
  <c r="I239" i="23"/>
  <c r="I240" i="23"/>
  <c r="J21" i="23"/>
  <c r="J20" i="23"/>
  <c r="M5" i="22"/>
  <c r="L19" i="22"/>
  <c r="M5" i="21"/>
  <c r="L19" i="21"/>
  <c r="M5" i="23"/>
  <c r="L19" i="23"/>
  <c r="G68" i="17"/>
  <c r="I15" i="4" s="1"/>
  <c r="H23" i="17"/>
  <c r="C20" i="17"/>
  <c r="E236" i="1" s="1"/>
  <c r="I7" i="21"/>
  <c r="I6" i="21"/>
  <c r="H13" i="21"/>
  <c r="H12" i="21"/>
  <c r="I13" i="23"/>
  <c r="I12" i="23"/>
  <c r="I13" i="22"/>
  <c r="I12" i="22"/>
  <c r="L9" i="21"/>
  <c r="K23" i="21"/>
  <c r="J7" i="22"/>
  <c r="J6" i="22"/>
  <c r="J7" i="23"/>
  <c r="J6" i="23"/>
  <c r="X24" i="11"/>
  <c r="W24" i="11"/>
  <c r="K90" i="17"/>
  <c r="M15" i="23" s="1"/>
  <c r="K111" i="17"/>
  <c r="K133" i="17"/>
  <c r="K112" i="17"/>
  <c r="M15" i="22" s="1"/>
  <c r="K134" i="17"/>
  <c r="M15" i="21" s="1"/>
  <c r="G131" i="17"/>
  <c r="I236" i="21" s="1"/>
  <c r="G109" i="17"/>
  <c r="I236" i="22" s="1"/>
  <c r="M89" i="17"/>
  <c r="C43" i="17"/>
  <c r="E236" i="3" s="1"/>
  <c r="L9" i="23"/>
  <c r="L23" i="23" s="1"/>
  <c r="L9" i="22"/>
  <c r="L23" i="22" s="1"/>
  <c r="G67" i="17"/>
  <c r="G45" i="17"/>
  <c r="G22" i="17"/>
  <c r="H46" i="17" l="1"/>
  <c r="J15" i="3" s="1"/>
  <c r="D20" i="17"/>
  <c r="F236" i="1" s="1"/>
  <c r="I14" i="22"/>
  <c r="I14" i="23"/>
  <c r="H14" i="21"/>
  <c r="J239" i="21"/>
  <c r="J240" i="21"/>
  <c r="K21" i="21"/>
  <c r="K20" i="21"/>
  <c r="J239" i="22"/>
  <c r="J240" i="22"/>
  <c r="K21" i="22"/>
  <c r="K20" i="22"/>
  <c r="J239" i="23"/>
  <c r="J240" i="23"/>
  <c r="K21" i="23"/>
  <c r="K20" i="23"/>
  <c r="N5" i="23"/>
  <c r="M19" i="23"/>
  <c r="N5" i="21"/>
  <c r="M19" i="21"/>
  <c r="N5" i="22"/>
  <c r="M19" i="22"/>
  <c r="H68" i="17"/>
  <c r="J15" i="4" s="1"/>
  <c r="I23" i="17"/>
  <c r="I12" i="21"/>
  <c r="I13" i="21"/>
  <c r="J6" i="21"/>
  <c r="J7" i="21"/>
  <c r="J13" i="23"/>
  <c r="J12" i="23"/>
  <c r="J13" i="22"/>
  <c r="J12" i="22"/>
  <c r="M9" i="21"/>
  <c r="L23" i="21"/>
  <c r="K7" i="22"/>
  <c r="K6" i="22"/>
  <c r="K7" i="23"/>
  <c r="K6" i="23"/>
  <c r="W25" i="11"/>
  <c r="X25" i="11"/>
  <c r="L90" i="17"/>
  <c r="N15" i="23" s="1"/>
  <c r="H109" i="17"/>
  <c r="J236" i="22" s="1"/>
  <c r="H131" i="17"/>
  <c r="J236" i="21" s="1"/>
  <c r="L134" i="17"/>
  <c r="N15" i="21" s="1"/>
  <c r="L112" i="17"/>
  <c r="N15" i="22" s="1"/>
  <c r="L133" i="17"/>
  <c r="L111" i="17"/>
  <c r="N89" i="17"/>
  <c r="O89" i="17" s="1"/>
  <c r="P89" i="17" s="1"/>
  <c r="D43" i="17"/>
  <c r="F236" i="3" s="1"/>
  <c r="M9" i="23"/>
  <c r="M23" i="23" s="1"/>
  <c r="N23" i="23" s="1"/>
  <c r="O23" i="23" s="1"/>
  <c r="M9" i="22"/>
  <c r="M23" i="22" s="1"/>
  <c r="N23" i="22" s="1"/>
  <c r="O23" i="22" s="1"/>
  <c r="H22" i="17"/>
  <c r="H45" i="17"/>
  <c r="H67" i="17"/>
  <c r="D26" i="11"/>
  <c r="I46" i="17" l="1"/>
  <c r="K15" i="3" s="1"/>
  <c r="I14" i="21"/>
  <c r="E20" i="17"/>
  <c r="G236" i="1" s="1"/>
  <c r="J14" i="22"/>
  <c r="J14" i="23"/>
  <c r="I68" i="17"/>
  <c r="K15" i="4" s="1"/>
  <c r="K240" i="21"/>
  <c r="K239" i="21"/>
  <c r="L21" i="21"/>
  <c r="L20" i="21"/>
  <c r="K240" i="22"/>
  <c r="K239" i="22"/>
  <c r="L21" i="22"/>
  <c r="L20" i="22"/>
  <c r="K239" i="23"/>
  <c r="K240" i="23"/>
  <c r="L21" i="23"/>
  <c r="L20" i="23"/>
  <c r="O5" i="22"/>
  <c r="O19" i="22" s="1"/>
  <c r="N19" i="22"/>
  <c r="O5" i="21"/>
  <c r="O19" i="21" s="1"/>
  <c r="N19" i="21"/>
  <c r="O5" i="23"/>
  <c r="O19" i="23" s="1"/>
  <c r="N19" i="23"/>
  <c r="J23" i="17"/>
  <c r="K7" i="21"/>
  <c r="K6" i="21"/>
  <c r="J13" i="21"/>
  <c r="J12" i="21"/>
  <c r="K13" i="23"/>
  <c r="K12" i="23"/>
  <c r="K13" i="22"/>
  <c r="K12" i="22"/>
  <c r="D17" i="22"/>
  <c r="N9" i="21"/>
  <c r="O9" i="21" s="1"/>
  <c r="M23" i="21"/>
  <c r="N23" i="21" s="1"/>
  <c r="O23" i="21" s="1"/>
  <c r="D17" i="21"/>
  <c r="L7" i="22"/>
  <c r="L6" i="22"/>
  <c r="L7" i="23"/>
  <c r="L6" i="23"/>
  <c r="X26" i="11"/>
  <c r="W26" i="11"/>
  <c r="M90" i="17"/>
  <c r="O15" i="23" s="1"/>
  <c r="M111" i="17"/>
  <c r="M133" i="17"/>
  <c r="M112" i="17"/>
  <c r="M134" i="17"/>
  <c r="I131" i="17"/>
  <c r="K236" i="21" s="1"/>
  <c r="I109" i="17"/>
  <c r="K236" i="22" s="1"/>
  <c r="E43" i="17"/>
  <c r="G236" i="3" s="1"/>
  <c r="N9" i="23"/>
  <c r="O9" i="23" s="1"/>
  <c r="N9" i="22"/>
  <c r="O9" i="22" s="1"/>
  <c r="I67" i="17"/>
  <c r="I45" i="17"/>
  <c r="I22" i="17"/>
  <c r="J46" i="17" l="1"/>
  <c r="L15" i="3" s="1"/>
  <c r="J14" i="21"/>
  <c r="K14" i="23"/>
  <c r="K14" i="22"/>
  <c r="F20" i="17"/>
  <c r="H236" i="1" s="1"/>
  <c r="O15" i="21"/>
  <c r="P15" i="21" s="1"/>
  <c r="H17" i="14" s="1"/>
  <c r="O15" i="22"/>
  <c r="P15" i="22" s="1"/>
  <c r="G17" i="14" s="1"/>
  <c r="P15" i="23"/>
  <c r="F17" i="14" s="1"/>
  <c r="J68" i="17"/>
  <c r="L15" i="4" s="1"/>
  <c r="K23" i="17"/>
  <c r="L239" i="21"/>
  <c r="L240" i="21"/>
  <c r="M21" i="21"/>
  <c r="M20" i="21"/>
  <c r="L239" i="22"/>
  <c r="L240" i="22"/>
  <c r="M21" i="22"/>
  <c r="M20" i="22"/>
  <c r="L240" i="23"/>
  <c r="L239" i="23"/>
  <c r="M21" i="23"/>
  <c r="M20" i="23"/>
  <c r="F43" i="17"/>
  <c r="H236" i="3" s="1"/>
  <c r="K13" i="21"/>
  <c r="K12" i="21"/>
  <c r="L6" i="21"/>
  <c r="L7" i="21"/>
  <c r="L13" i="23"/>
  <c r="L12" i="23"/>
  <c r="L13" i="22"/>
  <c r="L12" i="22"/>
  <c r="M6" i="22"/>
  <c r="M7" i="22"/>
  <c r="M7" i="23"/>
  <c r="M6" i="23"/>
  <c r="W27" i="11"/>
  <c r="X27" i="11"/>
  <c r="N90" i="17"/>
  <c r="O90" i="17" s="1"/>
  <c r="P90" i="17" s="1"/>
  <c r="J109" i="17"/>
  <c r="L236" i="22" s="1"/>
  <c r="J131" i="17"/>
  <c r="L236" i="21" s="1"/>
  <c r="N134" i="17"/>
  <c r="O134" i="17" s="1"/>
  <c r="P134" i="17" s="1"/>
  <c r="N112" i="17"/>
  <c r="O112" i="17" s="1"/>
  <c r="P112" i="17" s="1"/>
  <c r="N133" i="17"/>
  <c r="O133" i="17" s="1"/>
  <c r="P133" i="17" s="1"/>
  <c r="N111" i="17"/>
  <c r="O111" i="17" s="1"/>
  <c r="P111" i="17" s="1"/>
  <c r="J22" i="17"/>
  <c r="J45" i="17"/>
  <c r="J67" i="17"/>
  <c r="K68" i="17" l="1"/>
  <c r="M15" i="4" s="1"/>
  <c r="K46" i="17"/>
  <c r="M15" i="3" s="1"/>
  <c r="G20" i="17"/>
  <c r="I236" i="1" s="1"/>
  <c r="L14" i="22"/>
  <c r="L14" i="23"/>
  <c r="K14" i="21"/>
  <c r="L23" i="17"/>
  <c r="M23" i="17" s="1"/>
  <c r="M240" i="21"/>
  <c r="M239" i="21"/>
  <c r="N21" i="21"/>
  <c r="N20" i="21"/>
  <c r="M240" i="22"/>
  <c r="M239" i="22"/>
  <c r="N21" i="22"/>
  <c r="N20" i="22"/>
  <c r="M239" i="23"/>
  <c r="M240" i="23"/>
  <c r="N21" i="23"/>
  <c r="N20" i="23"/>
  <c r="G43" i="17"/>
  <c r="I236" i="3" s="1"/>
  <c r="M7" i="21"/>
  <c r="M6" i="21"/>
  <c r="L13" i="21"/>
  <c r="L12" i="21"/>
  <c r="M13" i="23"/>
  <c r="M12" i="23"/>
  <c r="M13" i="22"/>
  <c r="M12" i="22"/>
  <c r="N7" i="22"/>
  <c r="N6" i="22"/>
  <c r="N7" i="23"/>
  <c r="N6" i="23"/>
  <c r="X28" i="11"/>
  <c r="W28" i="11"/>
  <c r="L68" i="17"/>
  <c r="N15" i="4" s="1"/>
  <c r="K131" i="17"/>
  <c r="M236" i="21" s="1"/>
  <c r="K109" i="17"/>
  <c r="M236" i="22" s="1"/>
  <c r="P10" i="23"/>
  <c r="F15" i="14" s="1"/>
  <c r="P10" i="22"/>
  <c r="G15" i="14" s="1"/>
  <c r="P10" i="21"/>
  <c r="H15" i="14" s="1"/>
  <c r="K67" i="17"/>
  <c r="K45" i="17"/>
  <c r="K22" i="17"/>
  <c r="E9" i="4"/>
  <c r="E9" i="3"/>
  <c r="D9" i="4"/>
  <c r="D20" i="4" s="1"/>
  <c r="D21" i="4" s="1"/>
  <c r="D9" i="3"/>
  <c r="D20" i="3" s="1"/>
  <c r="D21" i="3" s="1"/>
  <c r="E9" i="1"/>
  <c r="D9" i="1"/>
  <c r="L46" i="17" l="1"/>
  <c r="N15" i="3" s="1"/>
  <c r="D6" i="1"/>
  <c r="D20" i="1"/>
  <c r="D21" i="1" s="1"/>
  <c r="H20" i="17"/>
  <c r="J236" i="1" s="1"/>
  <c r="M14" i="22"/>
  <c r="M14" i="23"/>
  <c r="L14" i="21"/>
  <c r="N240" i="21"/>
  <c r="N239" i="21"/>
  <c r="O21" i="21"/>
  <c r="O20" i="21"/>
  <c r="N239" i="22"/>
  <c r="N240" i="22"/>
  <c r="O21" i="22"/>
  <c r="O20" i="22"/>
  <c r="N240" i="23"/>
  <c r="N239" i="23"/>
  <c r="O21" i="23"/>
  <c r="O20" i="23"/>
  <c r="H43" i="17"/>
  <c r="J236" i="3" s="1"/>
  <c r="M13" i="21"/>
  <c r="M12" i="21"/>
  <c r="N6" i="21"/>
  <c r="N7" i="21"/>
  <c r="N13" i="23"/>
  <c r="N12" i="23"/>
  <c r="N13" i="22"/>
  <c r="N12" i="22"/>
  <c r="D6" i="4"/>
  <c r="D23" i="4"/>
  <c r="F9" i="4"/>
  <c r="E23" i="4"/>
  <c r="O7" i="22"/>
  <c r="O6" i="22"/>
  <c r="O7" i="23"/>
  <c r="O6" i="23"/>
  <c r="D23" i="1"/>
  <c r="D23" i="3"/>
  <c r="D6" i="3"/>
  <c r="W29" i="11"/>
  <c r="X29" i="11"/>
  <c r="M68" i="17"/>
  <c r="M46" i="17"/>
  <c r="N23" i="17"/>
  <c r="O23" i="17" s="1"/>
  <c r="P23" i="17" s="1"/>
  <c r="L109" i="17"/>
  <c r="N236" i="22" s="1"/>
  <c r="L131" i="17"/>
  <c r="N236" i="21" s="1"/>
  <c r="L22" i="17"/>
  <c r="L45" i="17"/>
  <c r="L67" i="17"/>
  <c r="F9" i="3"/>
  <c r="E23" i="3"/>
  <c r="F9" i="1"/>
  <c r="E23" i="1"/>
  <c r="E20" i="1" l="1"/>
  <c r="E21" i="1"/>
  <c r="I20" i="17"/>
  <c r="K236" i="1" s="1"/>
  <c r="N14" i="22"/>
  <c r="N14" i="23"/>
  <c r="M14" i="21"/>
  <c r="O15" i="3"/>
  <c r="P15" i="3" s="1"/>
  <c r="O15" i="4"/>
  <c r="P15" i="4" s="1"/>
  <c r="D7" i="1"/>
  <c r="O239" i="21"/>
  <c r="O240" i="21"/>
  <c r="O239" i="22"/>
  <c r="O240" i="22"/>
  <c r="O239" i="23"/>
  <c r="O240" i="23"/>
  <c r="D7" i="4"/>
  <c r="D12" i="4" s="1"/>
  <c r="E21" i="3"/>
  <c r="E20" i="3"/>
  <c r="D240" i="3"/>
  <c r="D254" i="3" s="1"/>
  <c r="D239" i="3"/>
  <c r="I43" i="17"/>
  <c r="K236" i="3" s="1"/>
  <c r="O6" i="21"/>
  <c r="O7" i="21"/>
  <c r="N13" i="21"/>
  <c r="N12" i="21"/>
  <c r="O13" i="23"/>
  <c r="O12" i="23"/>
  <c r="O13" i="22"/>
  <c r="O12" i="22"/>
  <c r="G9" i="4"/>
  <c r="F23" i="4"/>
  <c r="D7" i="3"/>
  <c r="D13" i="3" s="1"/>
  <c r="X30" i="11"/>
  <c r="W30" i="11"/>
  <c r="N68" i="17"/>
  <c r="O68" i="17" s="1"/>
  <c r="P68" i="17" s="1"/>
  <c r="N46" i="17"/>
  <c r="O46" i="17" s="1"/>
  <c r="P46" i="17" s="1"/>
  <c r="M131" i="17"/>
  <c r="M109" i="17"/>
  <c r="M67" i="17"/>
  <c r="M45" i="17"/>
  <c r="M22" i="17"/>
  <c r="G9" i="1"/>
  <c r="F23" i="1"/>
  <c r="G9" i="3"/>
  <c r="F23" i="3"/>
  <c r="D13" i="1" l="1"/>
  <c r="E6" i="1"/>
  <c r="O14" i="23"/>
  <c r="N14" i="21"/>
  <c r="O14" i="22"/>
  <c r="J20" i="17"/>
  <c r="L236" i="1" s="1"/>
  <c r="E7" i="4"/>
  <c r="F6" i="4" s="1"/>
  <c r="D13" i="4"/>
  <c r="D14" i="4" s="1"/>
  <c r="E6" i="4"/>
  <c r="O236" i="22"/>
  <c r="P236" i="22" s="1"/>
  <c r="O236" i="21"/>
  <c r="P236" i="21" s="1"/>
  <c r="E20" i="4"/>
  <c r="E21" i="4"/>
  <c r="D239" i="4"/>
  <c r="D240" i="4"/>
  <c r="E239" i="3"/>
  <c r="E240" i="3"/>
  <c r="E254" i="3" s="1"/>
  <c r="F21" i="3"/>
  <c r="F20" i="3"/>
  <c r="F21" i="1"/>
  <c r="F20" i="1"/>
  <c r="J43" i="17"/>
  <c r="L236" i="3" s="1"/>
  <c r="D12" i="3"/>
  <c r="D14" i="3" s="1"/>
  <c r="D12" i="1"/>
  <c r="O13" i="21"/>
  <c r="O12" i="21"/>
  <c r="H9" i="4"/>
  <c r="G23" i="4"/>
  <c r="F7" i="4"/>
  <c r="E7" i="1"/>
  <c r="E7" i="3"/>
  <c r="E6" i="3"/>
  <c r="W31" i="11"/>
  <c r="X31" i="11"/>
  <c r="N109" i="17"/>
  <c r="O109" i="17" s="1"/>
  <c r="P109" i="17" s="1"/>
  <c r="P12" i="22"/>
  <c r="N131" i="17"/>
  <c r="O131" i="17" s="1"/>
  <c r="P131" i="17" s="1"/>
  <c r="N22" i="17"/>
  <c r="O22" i="17" s="1"/>
  <c r="P22" i="17" s="1"/>
  <c r="N45" i="17"/>
  <c r="O45" i="17" s="1"/>
  <c r="P45" i="17" s="1"/>
  <c r="N67" i="17"/>
  <c r="O67" i="17" s="1"/>
  <c r="P67" i="17" s="1"/>
  <c r="H9" i="3"/>
  <c r="G23" i="3"/>
  <c r="H9" i="1"/>
  <c r="G23" i="1"/>
  <c r="K15" i="10"/>
  <c r="N9" i="10"/>
  <c r="J9" i="10"/>
  <c r="F9" i="10"/>
  <c r="D14" i="1" l="1"/>
  <c r="E12" i="4"/>
  <c r="K20" i="17"/>
  <c r="M236" i="1" s="1"/>
  <c r="O14" i="21"/>
  <c r="E13" i="4"/>
  <c r="E240" i="4"/>
  <c r="E239" i="4"/>
  <c r="F20" i="4"/>
  <c r="F21" i="4"/>
  <c r="F240" i="3"/>
  <c r="F239" i="3"/>
  <c r="G21" i="3"/>
  <c r="G20" i="3"/>
  <c r="G21" i="1"/>
  <c r="G20" i="1"/>
  <c r="K43" i="17"/>
  <c r="M236" i="3" s="1"/>
  <c r="P13" i="21"/>
  <c r="P12" i="21"/>
  <c r="I9" i="4"/>
  <c r="H23" i="4"/>
  <c r="E13" i="3"/>
  <c r="E12" i="3"/>
  <c r="F6" i="1"/>
  <c r="F7" i="1"/>
  <c r="F13" i="4"/>
  <c r="F12" i="4"/>
  <c r="F7" i="3"/>
  <c r="F6" i="3"/>
  <c r="E12" i="1"/>
  <c r="E13" i="1"/>
  <c r="G7" i="4"/>
  <c r="G6" i="4"/>
  <c r="I9" i="1"/>
  <c r="H23" i="1"/>
  <c r="I9" i="3"/>
  <c r="H23" i="3"/>
  <c r="L20" i="17" l="1"/>
  <c r="N236" i="1" s="1"/>
  <c r="E14" i="4"/>
  <c r="F14" i="4"/>
  <c r="E14" i="3"/>
  <c r="E14" i="1"/>
  <c r="G21" i="4"/>
  <c r="G20" i="4"/>
  <c r="F240" i="4"/>
  <c r="F239" i="4"/>
  <c r="G239" i="3"/>
  <c r="G240" i="3"/>
  <c r="H21" i="3"/>
  <c r="H20" i="3"/>
  <c r="H21" i="1"/>
  <c r="H20" i="1"/>
  <c r="L43" i="17"/>
  <c r="N236" i="3" s="1"/>
  <c r="X32" i="11"/>
  <c r="W32" i="11"/>
  <c r="P13" i="22"/>
  <c r="J9" i="4"/>
  <c r="I23" i="4"/>
  <c r="G12" i="4"/>
  <c r="G13" i="4"/>
  <c r="F13" i="3"/>
  <c r="F12" i="3"/>
  <c r="G6" i="1"/>
  <c r="G7" i="1"/>
  <c r="T22" i="11"/>
  <c r="H6" i="4"/>
  <c r="H7" i="4"/>
  <c r="S22" i="11"/>
  <c r="G7" i="3"/>
  <c r="G6" i="3"/>
  <c r="F12" i="1"/>
  <c r="F13" i="1"/>
  <c r="J9" i="3"/>
  <c r="I23" i="3"/>
  <c r="J9" i="1"/>
  <c r="I23" i="1"/>
  <c r="M20" i="17" l="1"/>
  <c r="O236" i="1" s="1"/>
  <c r="F14" i="1"/>
  <c r="G14" i="4"/>
  <c r="F14" i="3"/>
  <c r="G240" i="4"/>
  <c r="G239" i="4"/>
  <c r="H21" i="4"/>
  <c r="H20" i="4"/>
  <c r="H240" i="3"/>
  <c r="H239" i="3"/>
  <c r="I21" i="3"/>
  <c r="I20" i="3"/>
  <c r="I21" i="1"/>
  <c r="I20" i="1"/>
  <c r="M43" i="17"/>
  <c r="O236" i="3" s="1"/>
  <c r="K9" i="4"/>
  <c r="J23" i="4"/>
  <c r="S23" i="11"/>
  <c r="G13" i="3"/>
  <c r="G12" i="3"/>
  <c r="H12" i="4"/>
  <c r="H13" i="4"/>
  <c r="H6" i="1"/>
  <c r="H7" i="1"/>
  <c r="T23" i="11"/>
  <c r="H6" i="3"/>
  <c r="H7" i="3"/>
  <c r="I6" i="4"/>
  <c r="I7" i="4"/>
  <c r="G12" i="1"/>
  <c r="G13" i="1"/>
  <c r="P14" i="22"/>
  <c r="G21" i="14"/>
  <c r="K9" i="1"/>
  <c r="J23" i="1"/>
  <c r="K9" i="3"/>
  <c r="J23" i="3"/>
  <c r="E5" i="4"/>
  <c r="E19" i="4" s="1"/>
  <c r="E5" i="3"/>
  <c r="E19" i="3" s="1"/>
  <c r="S21" i="11"/>
  <c r="N20" i="17" l="1"/>
  <c r="O20" i="17" s="1"/>
  <c r="P20" i="17" s="1"/>
  <c r="H14" i="4"/>
  <c r="G14" i="1"/>
  <c r="G14" i="3"/>
  <c r="H239" i="4"/>
  <c r="H240" i="4"/>
  <c r="I21" i="4"/>
  <c r="I20" i="4"/>
  <c r="I239" i="3"/>
  <c r="I240" i="3"/>
  <c r="J21" i="3"/>
  <c r="J20" i="3"/>
  <c r="J21" i="1"/>
  <c r="J20" i="1"/>
  <c r="P236" i="3"/>
  <c r="N43" i="17"/>
  <c r="O43" i="17" s="1"/>
  <c r="P43" i="17" s="1"/>
  <c r="L9" i="4"/>
  <c r="K23" i="4"/>
  <c r="S24" i="11"/>
  <c r="I13" i="4"/>
  <c r="I12" i="4"/>
  <c r="H13" i="3"/>
  <c r="H12" i="3"/>
  <c r="I6" i="1"/>
  <c r="I7" i="1"/>
  <c r="T24" i="11"/>
  <c r="J6" i="4"/>
  <c r="J7" i="4"/>
  <c r="I6" i="3"/>
  <c r="I7" i="3"/>
  <c r="H12" i="1"/>
  <c r="H13" i="1"/>
  <c r="G20" i="14"/>
  <c r="P14" i="21"/>
  <c r="H21" i="14"/>
  <c r="F5" i="3"/>
  <c r="L9" i="3"/>
  <c r="K23" i="3"/>
  <c r="L9" i="1"/>
  <c r="K23" i="1"/>
  <c r="J240" i="1" l="1"/>
  <c r="H14" i="1"/>
  <c r="H14" i="3"/>
  <c r="I14" i="4"/>
  <c r="J21" i="4"/>
  <c r="J20" i="4"/>
  <c r="I240" i="4"/>
  <c r="I239" i="4"/>
  <c r="J240" i="3"/>
  <c r="J239" i="3"/>
  <c r="K21" i="3"/>
  <c r="K20" i="3"/>
  <c r="K21" i="1"/>
  <c r="K20" i="1"/>
  <c r="G5" i="3"/>
  <c r="F19" i="3"/>
  <c r="S25" i="11"/>
  <c r="M9" i="4"/>
  <c r="L23" i="4"/>
  <c r="T25" i="11"/>
  <c r="J6" i="3"/>
  <c r="J7" i="3"/>
  <c r="K6" i="4"/>
  <c r="K7" i="4"/>
  <c r="I12" i="1"/>
  <c r="I13" i="1"/>
  <c r="I13" i="3"/>
  <c r="I12" i="3"/>
  <c r="J13" i="4"/>
  <c r="J12" i="4"/>
  <c r="J6" i="1"/>
  <c r="J7" i="1"/>
  <c r="H20" i="14"/>
  <c r="M9" i="1"/>
  <c r="L23" i="1"/>
  <c r="M9" i="3"/>
  <c r="L23" i="3"/>
  <c r="AE15" i="10"/>
  <c r="AD15" i="10"/>
  <c r="AF15" i="10"/>
  <c r="D16" i="14"/>
  <c r="C16" i="14"/>
  <c r="B2" i="1"/>
  <c r="B2" i="3"/>
  <c r="B2" i="4"/>
  <c r="N10" i="10"/>
  <c r="J10" i="10"/>
  <c r="P15" i="10"/>
  <c r="O15" i="10"/>
  <c r="L15" i="10"/>
  <c r="H15" i="10"/>
  <c r="G15" i="10"/>
  <c r="F10" i="10"/>
  <c r="B26" i="11"/>
  <c r="N8" i="10"/>
  <c r="F5" i="4"/>
  <c r="F19" i="4" s="1"/>
  <c r="F5" i="1"/>
  <c r="F19" i="1" s="1"/>
  <c r="C26" i="11"/>
  <c r="N514" i="10" l="1"/>
  <c r="N513" i="10"/>
  <c r="N512" i="10"/>
  <c r="AF512" i="10" s="1"/>
  <c r="N511" i="10"/>
  <c r="AF511" i="10" s="1"/>
  <c r="O510" i="10"/>
  <c r="O509" i="10"/>
  <c r="O508" i="10"/>
  <c r="O507" i="10"/>
  <c r="O506" i="10"/>
  <c r="O505" i="10"/>
  <c r="O504" i="10"/>
  <c r="O503" i="10"/>
  <c r="O502" i="10"/>
  <c r="O501" i="10"/>
  <c r="O500" i="10"/>
  <c r="O499" i="10"/>
  <c r="O498" i="10"/>
  <c r="O497" i="10"/>
  <c r="O496" i="10"/>
  <c r="O495" i="10"/>
  <c r="O494" i="10"/>
  <c r="O493" i="10"/>
  <c r="O492" i="10"/>
  <c r="O491" i="10"/>
  <c r="O490" i="10"/>
  <c r="O514" i="10"/>
  <c r="O512" i="10"/>
  <c r="P512" i="10" s="1"/>
  <c r="O489" i="10"/>
  <c r="O488" i="10"/>
  <c r="O487" i="10"/>
  <c r="O486" i="10"/>
  <c r="O485" i="10"/>
  <c r="O484" i="10"/>
  <c r="O483" i="10"/>
  <c r="O482" i="10"/>
  <c r="O481" i="10"/>
  <c r="O480" i="10"/>
  <c r="O479" i="10"/>
  <c r="O478" i="10"/>
  <c r="O477" i="10"/>
  <c r="N476" i="10"/>
  <c r="AF476" i="10" s="1"/>
  <c r="N475" i="10"/>
  <c r="N474" i="10"/>
  <c r="AF474" i="10" s="1"/>
  <c r="N473" i="10"/>
  <c r="AF473" i="10" s="1"/>
  <c r="N472" i="10"/>
  <c r="AF472" i="10" s="1"/>
  <c r="N471" i="10"/>
  <c r="AF471" i="10" s="1"/>
  <c r="N470" i="10"/>
  <c r="N469" i="10"/>
  <c r="AF469" i="10" s="1"/>
  <c r="N468" i="10"/>
  <c r="N467" i="10"/>
  <c r="AF467" i="10" s="1"/>
  <c r="N466" i="10"/>
  <c r="N465" i="10"/>
  <c r="AF465" i="10" s="1"/>
  <c r="N464" i="10"/>
  <c r="AF464" i="10" s="1"/>
  <c r="N463" i="10"/>
  <c r="AF463" i="10" s="1"/>
  <c r="N462" i="10"/>
  <c r="AF462" i="10" s="1"/>
  <c r="N461" i="10"/>
  <c r="AF461" i="10" s="1"/>
  <c r="N460" i="10"/>
  <c r="AF460" i="10" s="1"/>
  <c r="N459" i="10"/>
  <c r="AF459" i="10" s="1"/>
  <c r="N458" i="10"/>
  <c r="AF458" i="10" s="1"/>
  <c r="N457" i="10"/>
  <c r="AF457" i="10" s="1"/>
  <c r="N456" i="10"/>
  <c r="AF456" i="10" s="1"/>
  <c r="N455" i="10"/>
  <c r="AF455" i="10" s="1"/>
  <c r="N454" i="10"/>
  <c r="AF454" i="10" s="1"/>
  <c r="N453" i="10"/>
  <c r="AF453" i="10" s="1"/>
  <c r="N452" i="10"/>
  <c r="AF452" i="10" s="1"/>
  <c r="N451" i="10"/>
  <c r="AF451" i="10" s="1"/>
  <c r="N450" i="10"/>
  <c r="AF450" i="10" s="1"/>
  <c r="N449" i="10"/>
  <c r="AF449" i="10" s="1"/>
  <c r="N448" i="10"/>
  <c r="AF448" i="10" s="1"/>
  <c r="O513" i="10"/>
  <c r="N510" i="10"/>
  <c r="AF510" i="10" s="1"/>
  <c r="N508" i="10"/>
  <c r="AF508" i="10" s="1"/>
  <c r="N506" i="10"/>
  <c r="AF506" i="10" s="1"/>
  <c r="N504" i="10"/>
  <c r="AF504" i="10" s="1"/>
  <c r="N502" i="10"/>
  <c r="N500" i="10"/>
  <c r="N498" i="10"/>
  <c r="N496" i="10"/>
  <c r="N494" i="10"/>
  <c r="N492" i="10"/>
  <c r="N490" i="10"/>
  <c r="O511" i="10"/>
  <c r="P511" i="10" s="1"/>
  <c r="N507" i="10"/>
  <c r="AF507" i="10" s="1"/>
  <c r="N503" i="10"/>
  <c r="AF503" i="10" s="1"/>
  <c r="N499" i="10"/>
  <c r="AF499" i="10" s="1"/>
  <c r="N495" i="10"/>
  <c r="AF495" i="10" s="1"/>
  <c r="N491" i="10"/>
  <c r="AF491" i="10" s="1"/>
  <c r="N489" i="10"/>
  <c r="AF489" i="10" s="1"/>
  <c r="N487" i="10"/>
  <c r="AF487" i="10" s="1"/>
  <c r="N485" i="10"/>
  <c r="AF485" i="10" s="1"/>
  <c r="N483" i="10"/>
  <c r="AF483" i="10" s="1"/>
  <c r="N481" i="10"/>
  <c r="AF481" i="10" s="1"/>
  <c r="N479" i="10"/>
  <c r="AF479" i="10" s="1"/>
  <c r="N477" i="10"/>
  <c r="AF477" i="10" s="1"/>
  <c r="O475" i="10"/>
  <c r="O474" i="10"/>
  <c r="O473" i="10"/>
  <c r="P473" i="10" s="1"/>
  <c r="O472" i="10"/>
  <c r="O471" i="10"/>
  <c r="P471" i="10" s="1"/>
  <c r="O470" i="10"/>
  <c r="O469" i="10"/>
  <c r="P469" i="10" s="1"/>
  <c r="O468" i="10"/>
  <c r="O467" i="10"/>
  <c r="P467" i="10" s="1"/>
  <c r="O466" i="10"/>
  <c r="O465" i="10"/>
  <c r="P465" i="10" s="1"/>
  <c r="O464" i="10"/>
  <c r="O463" i="10"/>
  <c r="P463" i="10" s="1"/>
  <c r="O462" i="10"/>
  <c r="O461" i="10"/>
  <c r="P461" i="10" s="1"/>
  <c r="O460" i="10"/>
  <c r="O459" i="10"/>
  <c r="P459" i="10" s="1"/>
  <c r="O458" i="10"/>
  <c r="O457" i="10"/>
  <c r="P457" i="10" s="1"/>
  <c r="O456" i="10"/>
  <c r="O455" i="10"/>
  <c r="P455" i="10" s="1"/>
  <c r="O454" i="10"/>
  <c r="O453" i="10"/>
  <c r="P453" i="10" s="1"/>
  <c r="O452" i="10"/>
  <c r="O451" i="10"/>
  <c r="P451" i="10" s="1"/>
  <c r="O450" i="10"/>
  <c r="O449" i="10"/>
  <c r="P449" i="10" s="1"/>
  <c r="O448" i="10"/>
  <c r="O447" i="10"/>
  <c r="O446" i="10"/>
  <c r="O445" i="10"/>
  <c r="O444" i="10"/>
  <c r="O443" i="10"/>
  <c r="O442" i="10"/>
  <c r="O441" i="10"/>
  <c r="N509" i="10"/>
  <c r="AF509" i="10" s="1"/>
  <c r="N501" i="10"/>
  <c r="AF501" i="10" s="1"/>
  <c r="N493" i="10"/>
  <c r="AF493" i="10" s="1"/>
  <c r="N486" i="10"/>
  <c r="N482" i="10"/>
  <c r="N478" i="10"/>
  <c r="AF478" i="10" s="1"/>
  <c r="N447" i="10"/>
  <c r="AF447" i="10" s="1"/>
  <c r="N446" i="10"/>
  <c r="AF446" i="10" s="1"/>
  <c r="N445" i="10"/>
  <c r="AF445" i="10" s="1"/>
  <c r="N444" i="10"/>
  <c r="AF444" i="10" s="1"/>
  <c r="N443" i="10"/>
  <c r="AF443" i="10" s="1"/>
  <c r="N442" i="10"/>
  <c r="AF442" i="10" s="1"/>
  <c r="N441" i="10"/>
  <c r="AF441" i="10" s="1"/>
  <c r="O440" i="10"/>
  <c r="O439" i="10"/>
  <c r="O438" i="10"/>
  <c r="O437" i="10"/>
  <c r="O436" i="10"/>
  <c r="O435" i="10"/>
  <c r="O434" i="10"/>
  <c r="O433" i="10"/>
  <c r="O432" i="10"/>
  <c r="O431" i="10"/>
  <c r="O430" i="10"/>
  <c r="O429" i="10"/>
  <c r="O428" i="10"/>
  <c r="O427" i="10"/>
  <c r="O426" i="10"/>
  <c r="O425" i="10"/>
  <c r="O424" i="10"/>
  <c r="O423" i="10"/>
  <c r="O422" i="10"/>
  <c r="O421" i="10"/>
  <c r="O420" i="10"/>
  <c r="O419" i="10"/>
  <c r="O418" i="10"/>
  <c r="O417" i="10"/>
  <c r="O416" i="10"/>
  <c r="O415" i="10"/>
  <c r="O414" i="10"/>
  <c r="O413" i="10"/>
  <c r="O412" i="10"/>
  <c r="O411" i="10"/>
  <c r="O410" i="10"/>
  <c r="O409" i="10"/>
  <c r="O408" i="10"/>
  <c r="O407" i="10"/>
  <c r="O406" i="10"/>
  <c r="O405" i="10"/>
  <c r="O404" i="10"/>
  <c r="O403" i="10"/>
  <c r="O402" i="10"/>
  <c r="O401" i="10"/>
  <c r="O400" i="10"/>
  <c r="O399" i="10"/>
  <c r="O398" i="10"/>
  <c r="N505" i="10"/>
  <c r="AF505" i="10" s="1"/>
  <c r="N484" i="10"/>
  <c r="O476" i="10"/>
  <c r="N397" i="10"/>
  <c r="AF397" i="10" s="1"/>
  <c r="N396" i="10"/>
  <c r="AF396" i="10" s="1"/>
  <c r="N395" i="10"/>
  <c r="AF395" i="10" s="1"/>
  <c r="N394" i="10"/>
  <c r="AF394" i="10" s="1"/>
  <c r="N393" i="10"/>
  <c r="AF393" i="10" s="1"/>
  <c r="N392" i="10"/>
  <c r="AF392" i="10" s="1"/>
  <c r="N391" i="10"/>
  <c r="AF391" i="10" s="1"/>
  <c r="N390" i="10"/>
  <c r="AF390" i="10" s="1"/>
  <c r="N389" i="10"/>
  <c r="AF389" i="10" s="1"/>
  <c r="N388" i="10"/>
  <c r="AF388" i="10" s="1"/>
  <c r="N387" i="10"/>
  <c r="AF387" i="10" s="1"/>
  <c r="N386" i="10"/>
  <c r="AF386" i="10" s="1"/>
  <c r="N385" i="10"/>
  <c r="AF385" i="10" s="1"/>
  <c r="N384" i="10"/>
  <c r="AF384" i="10" s="1"/>
  <c r="N383" i="10"/>
  <c r="AF383" i="10" s="1"/>
  <c r="N382" i="10"/>
  <c r="AF382" i="10" s="1"/>
  <c r="N381" i="10"/>
  <c r="AF381" i="10" s="1"/>
  <c r="N380" i="10"/>
  <c r="AF380" i="10" s="1"/>
  <c r="N379" i="10"/>
  <c r="AF379" i="10" s="1"/>
  <c r="N378" i="10"/>
  <c r="AF378" i="10" s="1"/>
  <c r="N377" i="10"/>
  <c r="AF377" i="10" s="1"/>
  <c r="N376" i="10"/>
  <c r="AF376" i="10" s="1"/>
  <c r="N375" i="10"/>
  <c r="AF375" i="10" s="1"/>
  <c r="N374" i="10"/>
  <c r="AF374" i="10" s="1"/>
  <c r="N373" i="10"/>
  <c r="AF373" i="10" s="1"/>
  <c r="N372" i="10"/>
  <c r="AF372" i="10" s="1"/>
  <c r="N371" i="10"/>
  <c r="AF371" i="10" s="1"/>
  <c r="N370" i="10"/>
  <c r="AF370" i="10" s="1"/>
  <c r="N369" i="10"/>
  <c r="AF369" i="10" s="1"/>
  <c r="N368" i="10"/>
  <c r="AF368" i="10" s="1"/>
  <c r="N367" i="10"/>
  <c r="AF367" i="10" s="1"/>
  <c r="N366" i="10"/>
  <c r="AF366" i="10" s="1"/>
  <c r="N365" i="10"/>
  <c r="AF365" i="10" s="1"/>
  <c r="N364" i="10"/>
  <c r="AF364" i="10" s="1"/>
  <c r="N363" i="10"/>
  <c r="AF363" i="10" s="1"/>
  <c r="N362" i="10"/>
  <c r="AF362" i="10" s="1"/>
  <c r="N361" i="10"/>
  <c r="AF361" i="10" s="1"/>
  <c r="N360" i="10"/>
  <c r="AF360" i="10" s="1"/>
  <c r="N359" i="10"/>
  <c r="AF359" i="10" s="1"/>
  <c r="N358" i="10"/>
  <c r="AF358" i="10" s="1"/>
  <c r="N357" i="10"/>
  <c r="AF357" i="10" s="1"/>
  <c r="N356" i="10"/>
  <c r="AF356" i="10" s="1"/>
  <c r="N355" i="10"/>
  <c r="AF355" i="10" s="1"/>
  <c r="N354" i="10"/>
  <c r="AF354" i="10" s="1"/>
  <c r="N353" i="10"/>
  <c r="AF353" i="10" s="1"/>
  <c r="N352" i="10"/>
  <c r="AF352" i="10" s="1"/>
  <c r="N351" i="10"/>
  <c r="AF351" i="10" s="1"/>
  <c r="N350" i="10"/>
  <c r="AF350" i="10" s="1"/>
  <c r="N349" i="10"/>
  <c r="AF349" i="10" s="1"/>
  <c r="N348" i="10"/>
  <c r="AF348" i="10" s="1"/>
  <c r="N347" i="10"/>
  <c r="AF347" i="10" s="1"/>
  <c r="N346" i="10"/>
  <c r="AF346" i="10" s="1"/>
  <c r="N345" i="10"/>
  <c r="AF345" i="10" s="1"/>
  <c r="N344" i="10"/>
  <c r="AF344" i="10" s="1"/>
  <c r="N343" i="10"/>
  <c r="AF343" i="10" s="1"/>
  <c r="N342" i="10"/>
  <c r="AF342" i="10" s="1"/>
  <c r="N341" i="10"/>
  <c r="AF341" i="10" s="1"/>
  <c r="N340" i="10"/>
  <c r="AF340" i="10" s="1"/>
  <c r="N339" i="10"/>
  <c r="AF339" i="10" s="1"/>
  <c r="N338" i="10"/>
  <c r="AF338" i="10" s="1"/>
  <c r="N337" i="10"/>
  <c r="AF337" i="10" s="1"/>
  <c r="N336" i="10"/>
  <c r="AF336" i="10" s="1"/>
  <c r="N335" i="10"/>
  <c r="AF335" i="10" s="1"/>
  <c r="N334" i="10"/>
  <c r="AF334" i="10" s="1"/>
  <c r="N333" i="10"/>
  <c r="AF333" i="10" s="1"/>
  <c r="N332" i="10"/>
  <c r="AF332" i="10" s="1"/>
  <c r="N331" i="10"/>
  <c r="AF331" i="10" s="1"/>
  <c r="N330" i="10"/>
  <c r="AF330" i="10" s="1"/>
  <c r="N329" i="10"/>
  <c r="AF329" i="10" s="1"/>
  <c r="N328" i="10"/>
  <c r="AF328" i="10" s="1"/>
  <c r="N327" i="10"/>
  <c r="AF327" i="10" s="1"/>
  <c r="N326" i="10"/>
  <c r="AF326" i="10" s="1"/>
  <c r="N325" i="10"/>
  <c r="AF325" i="10" s="1"/>
  <c r="N324" i="10"/>
  <c r="AF324" i="10" s="1"/>
  <c r="N323" i="10"/>
  <c r="AF323" i="10" s="1"/>
  <c r="N322" i="10"/>
  <c r="AF322" i="10" s="1"/>
  <c r="N321" i="10"/>
  <c r="AF321" i="10" s="1"/>
  <c r="N320" i="10"/>
  <c r="AF320" i="10" s="1"/>
  <c r="N319" i="10"/>
  <c r="AF319" i="10" s="1"/>
  <c r="N318" i="10"/>
  <c r="AF318" i="10" s="1"/>
  <c r="N317" i="10"/>
  <c r="AF317" i="10" s="1"/>
  <c r="N316" i="10"/>
  <c r="AF316" i="10" s="1"/>
  <c r="N315" i="10"/>
  <c r="AF315" i="10" s="1"/>
  <c r="N314" i="10"/>
  <c r="AF314" i="10" s="1"/>
  <c r="N313" i="10"/>
  <c r="AF313" i="10" s="1"/>
  <c r="N480" i="10"/>
  <c r="AF480" i="10" s="1"/>
  <c r="N440" i="10"/>
  <c r="AF440" i="10" s="1"/>
  <c r="N438" i="10"/>
  <c r="AF438" i="10" s="1"/>
  <c r="N436" i="10"/>
  <c r="AF436" i="10" s="1"/>
  <c r="N434" i="10"/>
  <c r="AF434" i="10" s="1"/>
  <c r="N432" i="10"/>
  <c r="AF432" i="10" s="1"/>
  <c r="N430" i="10"/>
  <c r="AF430" i="10" s="1"/>
  <c r="N428" i="10"/>
  <c r="AF428" i="10" s="1"/>
  <c r="N426" i="10"/>
  <c r="AF426" i="10" s="1"/>
  <c r="N424" i="10"/>
  <c r="AF424" i="10" s="1"/>
  <c r="N422" i="10"/>
  <c r="AF422" i="10" s="1"/>
  <c r="N420" i="10"/>
  <c r="AF420" i="10" s="1"/>
  <c r="N418" i="10"/>
  <c r="AF418" i="10" s="1"/>
  <c r="N416" i="10"/>
  <c r="AF416" i="10" s="1"/>
  <c r="N414" i="10"/>
  <c r="AF414" i="10" s="1"/>
  <c r="N412" i="10"/>
  <c r="AF412" i="10" s="1"/>
  <c r="N410" i="10"/>
  <c r="AF410" i="10" s="1"/>
  <c r="N408" i="10"/>
  <c r="AF408" i="10" s="1"/>
  <c r="N406" i="10"/>
  <c r="AF406" i="10" s="1"/>
  <c r="N404" i="10"/>
  <c r="AF404" i="10" s="1"/>
  <c r="N402" i="10"/>
  <c r="AF402" i="10" s="1"/>
  <c r="N400" i="10"/>
  <c r="AF400" i="10" s="1"/>
  <c r="N398" i="10"/>
  <c r="AF398" i="10" s="1"/>
  <c r="O397" i="10"/>
  <c r="O396" i="10"/>
  <c r="P396" i="10" s="1"/>
  <c r="O395" i="10"/>
  <c r="O394" i="10"/>
  <c r="P394" i="10" s="1"/>
  <c r="O393" i="10"/>
  <c r="O392" i="10"/>
  <c r="P392" i="10" s="1"/>
  <c r="O391" i="10"/>
  <c r="O390" i="10"/>
  <c r="P390" i="10" s="1"/>
  <c r="O389" i="10"/>
  <c r="O388" i="10"/>
  <c r="P388" i="10" s="1"/>
  <c r="O387" i="10"/>
  <c r="O386" i="10"/>
  <c r="P386" i="10" s="1"/>
  <c r="O385" i="10"/>
  <c r="O384" i="10"/>
  <c r="P384" i="10" s="1"/>
  <c r="O383" i="10"/>
  <c r="O382" i="10"/>
  <c r="P382" i="10" s="1"/>
  <c r="O381" i="10"/>
  <c r="O380" i="10"/>
  <c r="P380" i="10" s="1"/>
  <c r="O379" i="10"/>
  <c r="O378" i="10"/>
  <c r="P378" i="10" s="1"/>
  <c r="O377" i="10"/>
  <c r="O376" i="10"/>
  <c r="P376" i="10" s="1"/>
  <c r="O375" i="10"/>
  <c r="O374" i="10"/>
  <c r="P374" i="10" s="1"/>
  <c r="O373" i="10"/>
  <c r="O372" i="10"/>
  <c r="P372" i="10" s="1"/>
  <c r="O371" i="10"/>
  <c r="O370" i="10"/>
  <c r="P370" i="10" s="1"/>
  <c r="O369" i="10"/>
  <c r="O368" i="10"/>
  <c r="P368" i="10" s="1"/>
  <c r="O367" i="10"/>
  <c r="O366" i="10"/>
  <c r="P366" i="10" s="1"/>
  <c r="O365" i="10"/>
  <c r="O364" i="10"/>
  <c r="P364" i="10" s="1"/>
  <c r="O363" i="10"/>
  <c r="O362" i="10"/>
  <c r="P362" i="10" s="1"/>
  <c r="O361" i="10"/>
  <c r="O360" i="10"/>
  <c r="P360" i="10" s="1"/>
  <c r="O359" i="10"/>
  <c r="O358" i="10"/>
  <c r="P358" i="10" s="1"/>
  <c r="O357" i="10"/>
  <c r="O356" i="10"/>
  <c r="P356" i="10" s="1"/>
  <c r="O355" i="10"/>
  <c r="O354" i="10"/>
  <c r="P354" i="10" s="1"/>
  <c r="O353" i="10"/>
  <c r="O352" i="10"/>
  <c r="P352" i="10" s="1"/>
  <c r="O351" i="10"/>
  <c r="O350" i="10"/>
  <c r="P350" i="10" s="1"/>
  <c r="O349" i="10"/>
  <c r="O348" i="10"/>
  <c r="P348" i="10" s="1"/>
  <c r="O347" i="10"/>
  <c r="O346" i="10"/>
  <c r="P346" i="10" s="1"/>
  <c r="O345" i="10"/>
  <c r="O344" i="10"/>
  <c r="P344" i="10" s="1"/>
  <c r="O343" i="10"/>
  <c r="O342" i="10"/>
  <c r="P342" i="10" s="1"/>
  <c r="O341" i="10"/>
  <c r="O340" i="10"/>
  <c r="P340" i="10" s="1"/>
  <c r="O339" i="10"/>
  <c r="O338" i="10"/>
  <c r="P338" i="10" s="1"/>
  <c r="O337" i="10"/>
  <c r="O336" i="10"/>
  <c r="P336" i="10" s="1"/>
  <c r="O335" i="10"/>
  <c r="O334" i="10"/>
  <c r="P334" i="10" s="1"/>
  <c r="O333" i="10"/>
  <c r="O332" i="10"/>
  <c r="P332" i="10" s="1"/>
  <c r="O331" i="10"/>
  <c r="O330" i="10"/>
  <c r="P330" i="10" s="1"/>
  <c r="O329" i="10"/>
  <c r="O328" i="10"/>
  <c r="P328" i="10" s="1"/>
  <c r="O327" i="10"/>
  <c r="O326" i="10"/>
  <c r="P326" i="10" s="1"/>
  <c r="O325" i="10"/>
  <c r="O324" i="10"/>
  <c r="P324" i="10" s="1"/>
  <c r="O323" i="10"/>
  <c r="O322" i="10"/>
  <c r="P322" i="10" s="1"/>
  <c r="O321" i="10"/>
  <c r="O320" i="10"/>
  <c r="P320" i="10" s="1"/>
  <c r="O319" i="10"/>
  <c r="O318" i="10"/>
  <c r="P318" i="10" s="1"/>
  <c r="O317" i="10"/>
  <c r="O316" i="10"/>
  <c r="P316" i="10" s="1"/>
  <c r="O315" i="10"/>
  <c r="O314" i="10"/>
  <c r="P314" i="10" s="1"/>
  <c r="O313" i="10"/>
  <c r="N312" i="10"/>
  <c r="AF312" i="10" s="1"/>
  <c r="N311" i="10"/>
  <c r="AF311" i="10" s="1"/>
  <c r="N310" i="10"/>
  <c r="AF310" i="10" s="1"/>
  <c r="N309" i="10"/>
  <c r="AF309" i="10" s="1"/>
  <c r="N308" i="10"/>
  <c r="AF308" i="10" s="1"/>
  <c r="N307" i="10"/>
  <c r="AF307" i="10" s="1"/>
  <c r="N306" i="10"/>
  <c r="AF306" i="10" s="1"/>
  <c r="N305" i="10"/>
  <c r="AF305" i="10" s="1"/>
  <c r="N304" i="10"/>
  <c r="AF304" i="10" s="1"/>
  <c r="N303" i="10"/>
  <c r="AF303" i="10" s="1"/>
  <c r="N302" i="10"/>
  <c r="AF302" i="10" s="1"/>
  <c r="N301" i="10"/>
  <c r="AF301" i="10" s="1"/>
  <c r="N300" i="10"/>
  <c r="AF300" i="10" s="1"/>
  <c r="N299" i="10"/>
  <c r="AF299" i="10" s="1"/>
  <c r="N298" i="10"/>
  <c r="AF298" i="10" s="1"/>
  <c r="N297" i="10"/>
  <c r="AF297" i="10" s="1"/>
  <c r="N296" i="10"/>
  <c r="AF296" i="10" s="1"/>
  <c r="N295" i="10"/>
  <c r="AF295" i="10" s="1"/>
  <c r="N294" i="10"/>
  <c r="AF294" i="10" s="1"/>
  <c r="N293" i="10"/>
  <c r="AF293" i="10" s="1"/>
  <c r="N292" i="10"/>
  <c r="AF292" i="10" s="1"/>
  <c r="N291" i="10"/>
  <c r="AF291" i="10" s="1"/>
  <c r="N290" i="10"/>
  <c r="AF290" i="10" s="1"/>
  <c r="N289" i="10"/>
  <c r="AF289" i="10" s="1"/>
  <c r="N288" i="10"/>
  <c r="AF288" i="10" s="1"/>
  <c r="N287" i="10"/>
  <c r="AF287" i="10" s="1"/>
  <c r="N286" i="10"/>
  <c r="AF286" i="10" s="1"/>
  <c r="N285" i="10"/>
  <c r="AF285" i="10" s="1"/>
  <c r="N284" i="10"/>
  <c r="AF284" i="10" s="1"/>
  <c r="N283" i="10"/>
  <c r="AF283" i="10" s="1"/>
  <c r="N282" i="10"/>
  <c r="AF282" i="10" s="1"/>
  <c r="N497" i="10"/>
  <c r="AF497" i="10" s="1"/>
  <c r="N488" i="10"/>
  <c r="N439" i="10"/>
  <c r="AF439" i="10" s="1"/>
  <c r="N437" i="10"/>
  <c r="AF437" i="10" s="1"/>
  <c r="N435" i="10"/>
  <c r="AF435" i="10" s="1"/>
  <c r="N433" i="10"/>
  <c r="AF433" i="10" s="1"/>
  <c r="N431" i="10"/>
  <c r="AF431" i="10" s="1"/>
  <c r="N429" i="10"/>
  <c r="AF429" i="10" s="1"/>
  <c r="N427" i="10"/>
  <c r="AF427" i="10" s="1"/>
  <c r="N425" i="10"/>
  <c r="AF425" i="10" s="1"/>
  <c r="N423" i="10"/>
  <c r="AF423" i="10" s="1"/>
  <c r="N421" i="10"/>
  <c r="AF421" i="10" s="1"/>
  <c r="N419" i="10"/>
  <c r="AF419" i="10" s="1"/>
  <c r="N417" i="10"/>
  <c r="N415" i="10"/>
  <c r="N413" i="10"/>
  <c r="AF413" i="10" s="1"/>
  <c r="N411" i="10"/>
  <c r="AF411" i="10" s="1"/>
  <c r="N409" i="10"/>
  <c r="AF409" i="10" s="1"/>
  <c r="N407" i="10"/>
  <c r="AF407" i="10" s="1"/>
  <c r="N405" i="10"/>
  <c r="AF405" i="10" s="1"/>
  <c r="N403" i="10"/>
  <c r="AF403" i="10" s="1"/>
  <c r="N401" i="10"/>
  <c r="AF401" i="10" s="1"/>
  <c r="N399" i="10"/>
  <c r="AF399" i="10" s="1"/>
  <c r="O312" i="10"/>
  <c r="P312" i="10" s="1"/>
  <c r="O311" i="10"/>
  <c r="P311" i="10" s="1"/>
  <c r="O310" i="10"/>
  <c r="P310" i="10" s="1"/>
  <c r="O309" i="10"/>
  <c r="P309" i="10" s="1"/>
  <c r="O308" i="10"/>
  <c r="P308" i="10" s="1"/>
  <c r="O307" i="10"/>
  <c r="P307" i="10" s="1"/>
  <c r="O306" i="10"/>
  <c r="P306" i="10" s="1"/>
  <c r="O305" i="10"/>
  <c r="P305" i="10" s="1"/>
  <c r="O304" i="10"/>
  <c r="P304" i="10" s="1"/>
  <c r="O303" i="10"/>
  <c r="P303" i="10" s="1"/>
  <c r="O302" i="10"/>
  <c r="P302" i="10" s="1"/>
  <c r="O301" i="10"/>
  <c r="P301" i="10" s="1"/>
  <c r="O300" i="10"/>
  <c r="P300" i="10" s="1"/>
  <c r="O299" i="10"/>
  <c r="P299" i="10" s="1"/>
  <c r="O298" i="10"/>
  <c r="P298" i="10" s="1"/>
  <c r="O297" i="10"/>
  <c r="P297" i="10" s="1"/>
  <c r="O296" i="10"/>
  <c r="P296" i="10" s="1"/>
  <c r="O295" i="10"/>
  <c r="P295" i="10" s="1"/>
  <c r="O294" i="10"/>
  <c r="P294" i="10" s="1"/>
  <c r="O293" i="10"/>
  <c r="P293" i="10" s="1"/>
  <c r="O292" i="10"/>
  <c r="P292" i="10" s="1"/>
  <c r="O291" i="10"/>
  <c r="P291" i="10" s="1"/>
  <c r="O290" i="10"/>
  <c r="P290" i="10" s="1"/>
  <c r="O289" i="10"/>
  <c r="P289" i="10" s="1"/>
  <c r="O288" i="10"/>
  <c r="P288" i="10" s="1"/>
  <c r="O287" i="10"/>
  <c r="P287" i="10" s="1"/>
  <c r="O286" i="10"/>
  <c r="P286" i="10" s="1"/>
  <c r="O285" i="10"/>
  <c r="P285" i="10" s="1"/>
  <c r="O284" i="10"/>
  <c r="P284" i="10" s="1"/>
  <c r="O283" i="10"/>
  <c r="P283" i="10" s="1"/>
  <c r="O282" i="10"/>
  <c r="P282" i="10" s="1"/>
  <c r="N281" i="10"/>
  <c r="AF281" i="10" s="1"/>
  <c r="N280" i="10"/>
  <c r="AF280" i="10" s="1"/>
  <c r="N279" i="10"/>
  <c r="AF279" i="10" s="1"/>
  <c r="N278" i="10"/>
  <c r="AF278" i="10" s="1"/>
  <c r="N277" i="10"/>
  <c r="AF277" i="10" s="1"/>
  <c r="N276" i="10"/>
  <c r="AF276" i="10" s="1"/>
  <c r="N275" i="10"/>
  <c r="AF275" i="10" s="1"/>
  <c r="N274" i="10"/>
  <c r="AF274" i="10" s="1"/>
  <c r="N273" i="10"/>
  <c r="AF273" i="10" s="1"/>
  <c r="N272" i="10"/>
  <c r="AF272" i="10" s="1"/>
  <c r="N271" i="10"/>
  <c r="AF271" i="10" s="1"/>
  <c r="O280" i="10"/>
  <c r="O278" i="10"/>
  <c r="O276" i="10"/>
  <c r="O274" i="10"/>
  <c r="O272" i="10"/>
  <c r="O270" i="10"/>
  <c r="O269" i="10"/>
  <c r="N268" i="10"/>
  <c r="O267" i="10"/>
  <c r="N266" i="10"/>
  <c r="O265" i="10"/>
  <c r="N264" i="10"/>
  <c r="O263" i="10"/>
  <c r="N262" i="10"/>
  <c r="O261" i="10"/>
  <c r="N260" i="10"/>
  <c r="O259" i="10"/>
  <c r="N258" i="10"/>
  <c r="O257" i="10"/>
  <c r="N256" i="10"/>
  <c r="O255" i="10"/>
  <c r="N254" i="10"/>
  <c r="O253" i="10"/>
  <c r="N252" i="10"/>
  <c r="O279" i="10"/>
  <c r="O275" i="10"/>
  <c r="O271" i="10"/>
  <c r="N269" i="10"/>
  <c r="AF269" i="10" s="1"/>
  <c r="O268" i="10"/>
  <c r="N265" i="10"/>
  <c r="O264" i="10"/>
  <c r="N261" i="10"/>
  <c r="O260" i="10"/>
  <c r="N257" i="10"/>
  <c r="O256" i="10"/>
  <c r="N253" i="10"/>
  <c r="O252" i="10"/>
  <c r="O277" i="10"/>
  <c r="N270" i="10"/>
  <c r="AF270" i="10" s="1"/>
  <c r="N267" i="10"/>
  <c r="O262" i="10"/>
  <c r="N259" i="10"/>
  <c r="O254" i="10"/>
  <c r="O251" i="10"/>
  <c r="N250" i="10"/>
  <c r="O249" i="10"/>
  <c r="N248" i="10"/>
  <c r="O247" i="10"/>
  <c r="N246" i="10"/>
  <c r="O245" i="10"/>
  <c r="N244" i="10"/>
  <c r="O243" i="10"/>
  <c r="N242" i="10"/>
  <c r="O241" i="10"/>
  <c r="N240" i="10"/>
  <c r="O239" i="10"/>
  <c r="N238" i="10"/>
  <c r="AF238" i="10" s="1"/>
  <c r="O237" i="10"/>
  <c r="N236" i="10"/>
  <c r="AF236" i="10" s="1"/>
  <c r="O235" i="10"/>
  <c r="N234" i="10"/>
  <c r="AF234" i="10" s="1"/>
  <c r="O233" i="10"/>
  <c r="N232" i="10"/>
  <c r="AF232" i="10" s="1"/>
  <c r="O281" i="10"/>
  <c r="N263" i="10"/>
  <c r="O258" i="10"/>
  <c r="N251" i="10"/>
  <c r="O250" i="10"/>
  <c r="N247" i="10"/>
  <c r="O246" i="10"/>
  <c r="N243" i="10"/>
  <c r="O242" i="10"/>
  <c r="N239" i="10"/>
  <c r="O238" i="10"/>
  <c r="N235" i="10"/>
  <c r="AF235" i="10" s="1"/>
  <c r="O234" i="10"/>
  <c r="N231" i="10"/>
  <c r="AF231" i="10" s="1"/>
  <c r="O230" i="10"/>
  <c r="N229" i="10"/>
  <c r="AF229" i="10" s="1"/>
  <c r="O228" i="10"/>
  <c r="N227" i="10"/>
  <c r="AF227" i="10" s="1"/>
  <c r="O226" i="10"/>
  <c r="N225" i="10"/>
  <c r="AF225" i="10" s="1"/>
  <c r="O224" i="10"/>
  <c r="O223" i="10"/>
  <c r="N222" i="10"/>
  <c r="AF222" i="10" s="1"/>
  <c r="O221" i="10"/>
  <c r="N220" i="10"/>
  <c r="AF220" i="10" s="1"/>
  <c r="O219" i="10"/>
  <c r="N218" i="10"/>
  <c r="AF218" i="10" s="1"/>
  <c r="O217" i="10"/>
  <c r="N216" i="10"/>
  <c r="AF216" i="10" s="1"/>
  <c r="O215" i="10"/>
  <c r="N214" i="10"/>
  <c r="AF214" i="10" s="1"/>
  <c r="O213" i="10"/>
  <c r="N212" i="10"/>
  <c r="AF212" i="10" s="1"/>
  <c r="O211" i="10"/>
  <c r="N210" i="10"/>
  <c r="AF210" i="10" s="1"/>
  <c r="O209" i="10"/>
  <c r="N208" i="10"/>
  <c r="AF208" i="10" s="1"/>
  <c r="O207" i="10"/>
  <c r="N206" i="10"/>
  <c r="AF206" i="10" s="1"/>
  <c r="O205" i="10"/>
  <c r="N204" i="10"/>
  <c r="AF204" i="10" s="1"/>
  <c r="O203" i="10"/>
  <c r="N202" i="10"/>
  <c r="AF202" i="10" s="1"/>
  <c r="O201" i="10"/>
  <c r="N200" i="10"/>
  <c r="AF200" i="10" s="1"/>
  <c r="O199" i="10"/>
  <c r="N198" i="10"/>
  <c r="AF198" i="10" s="1"/>
  <c r="O197" i="10"/>
  <c r="N196" i="10"/>
  <c r="AF196" i="10" s="1"/>
  <c r="O195" i="10"/>
  <c r="N194" i="10"/>
  <c r="AF194" i="10" s="1"/>
  <c r="O193" i="10"/>
  <c r="O273" i="10"/>
  <c r="N255" i="10"/>
  <c r="O248" i="10"/>
  <c r="N245" i="10"/>
  <c r="O240" i="10"/>
  <c r="N237" i="10"/>
  <c r="AF237" i="10" s="1"/>
  <c r="O232" i="10"/>
  <c r="O231" i="10"/>
  <c r="P231" i="10" s="1"/>
  <c r="N228" i="10"/>
  <c r="AF228" i="10" s="1"/>
  <c r="O227" i="10"/>
  <c r="P227" i="10" s="1"/>
  <c r="N224" i="10"/>
  <c r="AF224" i="10" s="1"/>
  <c r="N223" i="10"/>
  <c r="AF223" i="10" s="1"/>
  <c r="O222" i="10"/>
  <c r="P222" i="10" s="1"/>
  <c r="N219" i="10"/>
  <c r="AF219" i="10" s="1"/>
  <c r="O218" i="10"/>
  <c r="P218" i="10" s="1"/>
  <c r="N215" i="10"/>
  <c r="AF215" i="10" s="1"/>
  <c r="O214" i="10"/>
  <c r="P214" i="10" s="1"/>
  <c r="N211" i="10"/>
  <c r="AF211" i="10" s="1"/>
  <c r="O210" i="10"/>
  <c r="P210" i="10" s="1"/>
  <c r="N207" i="10"/>
  <c r="AF207" i="10" s="1"/>
  <c r="O206" i="10"/>
  <c r="P206" i="10" s="1"/>
  <c r="N203" i="10"/>
  <c r="AF203" i="10" s="1"/>
  <c r="O202" i="10"/>
  <c r="P202" i="10" s="1"/>
  <c r="N199" i="10"/>
  <c r="AF199" i="10" s="1"/>
  <c r="O198" i="10"/>
  <c r="P198" i="10" s="1"/>
  <c r="N195" i="10"/>
  <c r="AF195" i="10" s="1"/>
  <c r="O194" i="10"/>
  <c r="P194" i="10" s="1"/>
  <c r="N192" i="10"/>
  <c r="AF192" i="10" s="1"/>
  <c r="O191" i="10"/>
  <c r="N190" i="10"/>
  <c r="AF190" i="10" s="1"/>
  <c r="O189" i="10"/>
  <c r="N188" i="10"/>
  <c r="AF188" i="10" s="1"/>
  <c r="O187" i="10"/>
  <c r="N186" i="10"/>
  <c r="AF186" i="10" s="1"/>
  <c r="O185" i="10"/>
  <c r="N184" i="10"/>
  <c r="AF184" i="10" s="1"/>
  <c r="O183" i="10"/>
  <c r="N182" i="10"/>
  <c r="AF182" i="10" s="1"/>
  <c r="O181" i="10"/>
  <c r="N180" i="10"/>
  <c r="AF180" i="10" s="1"/>
  <c r="O179" i="10"/>
  <c r="N178" i="10"/>
  <c r="AF178" i="10" s="1"/>
  <c r="O266" i="10"/>
  <c r="N249" i="10"/>
  <c r="O244" i="10"/>
  <c r="N241" i="10"/>
  <c r="O236" i="10"/>
  <c r="N233" i="10"/>
  <c r="AF233" i="10" s="1"/>
  <c r="N230" i="10"/>
  <c r="AF230" i="10" s="1"/>
  <c r="O229" i="10"/>
  <c r="P229" i="10" s="1"/>
  <c r="N226" i="10"/>
  <c r="AF226" i="10" s="1"/>
  <c r="O225" i="10"/>
  <c r="P225" i="10" s="1"/>
  <c r="N221" i="10"/>
  <c r="AF221" i="10" s="1"/>
  <c r="O216" i="10"/>
  <c r="N213" i="10"/>
  <c r="AF213" i="10" s="1"/>
  <c r="O208" i="10"/>
  <c r="N205" i="10"/>
  <c r="AF205" i="10" s="1"/>
  <c r="O200" i="10"/>
  <c r="N197" i="10"/>
  <c r="AF197" i="10" s="1"/>
  <c r="N191" i="10"/>
  <c r="AF191" i="10" s="1"/>
  <c r="O190" i="10"/>
  <c r="N187" i="10"/>
  <c r="AF187" i="10" s="1"/>
  <c r="O186" i="10"/>
  <c r="N183" i="10"/>
  <c r="AF183" i="10" s="1"/>
  <c r="O182" i="10"/>
  <c r="N179" i="10"/>
  <c r="AF179" i="10" s="1"/>
  <c r="O178" i="10"/>
  <c r="O220" i="10"/>
  <c r="N217" i="10"/>
  <c r="AF217" i="10" s="1"/>
  <c r="O212" i="10"/>
  <c r="N209" i="10"/>
  <c r="AF209" i="10" s="1"/>
  <c r="O204" i="10"/>
  <c r="N201" i="10"/>
  <c r="AF201" i="10" s="1"/>
  <c r="O196" i="10"/>
  <c r="N193" i="10"/>
  <c r="AF193" i="10" s="1"/>
  <c r="O192" i="10"/>
  <c r="P192" i="10" s="1"/>
  <c r="N189" i="10"/>
  <c r="AF189" i="10" s="1"/>
  <c r="O188" i="10"/>
  <c r="P188" i="10" s="1"/>
  <c r="N185" i="10"/>
  <c r="AF185" i="10" s="1"/>
  <c r="O184" i="10"/>
  <c r="P184" i="10" s="1"/>
  <c r="N181" i="10"/>
  <c r="AF181" i="10" s="1"/>
  <c r="O180" i="10"/>
  <c r="P180" i="10" s="1"/>
  <c r="J14" i="4"/>
  <c r="I14" i="3"/>
  <c r="I14" i="1"/>
  <c r="J8" i="10"/>
  <c r="F8" i="10"/>
  <c r="O177" i="10"/>
  <c r="O176" i="10"/>
  <c r="O175" i="10"/>
  <c r="O174" i="10"/>
  <c r="O173" i="10"/>
  <c r="O172" i="10"/>
  <c r="O171" i="10"/>
  <c r="O170" i="10"/>
  <c r="O169" i="10"/>
  <c r="O168" i="10"/>
  <c r="O167" i="10"/>
  <c r="O166" i="10"/>
  <c r="O165" i="10"/>
  <c r="O164" i="10"/>
  <c r="O163" i="10"/>
  <c r="O162" i="10"/>
  <c r="O161" i="10"/>
  <c r="O160" i="10"/>
  <c r="O159" i="10"/>
  <c r="O158" i="10"/>
  <c r="O157" i="10"/>
  <c r="O156" i="10"/>
  <c r="O155" i="10"/>
  <c r="O154" i="10"/>
  <c r="O153" i="10"/>
  <c r="O152" i="10"/>
  <c r="O151" i="10"/>
  <c r="O150" i="10"/>
  <c r="O149" i="10"/>
  <c r="O148" i="10"/>
  <c r="O147" i="10"/>
  <c r="O146" i="10"/>
  <c r="O145" i="10"/>
  <c r="O144" i="10"/>
  <c r="O143" i="10"/>
  <c r="O142" i="10"/>
  <c r="O141" i="10"/>
  <c r="O140" i="10"/>
  <c r="O139" i="10"/>
  <c r="O138" i="10"/>
  <c r="O137" i="10"/>
  <c r="O136" i="10"/>
  <c r="O135" i="10"/>
  <c r="O134" i="10"/>
  <c r="O133" i="10"/>
  <c r="O132" i="10"/>
  <c r="O131" i="10"/>
  <c r="O130" i="10"/>
  <c r="O129" i="10"/>
  <c r="O128" i="10"/>
  <c r="O127" i="10"/>
  <c r="O126" i="10"/>
  <c r="O125" i="10"/>
  <c r="O124" i="10"/>
  <c r="O123" i="10"/>
  <c r="O122" i="10"/>
  <c r="O121" i="10"/>
  <c r="O120" i="10"/>
  <c r="O119" i="10"/>
  <c r="O118" i="10"/>
  <c r="O117" i="10"/>
  <c r="O116" i="10"/>
  <c r="O115" i="10"/>
  <c r="O114" i="10"/>
  <c r="O113" i="10"/>
  <c r="O112" i="10"/>
  <c r="O111" i="10"/>
  <c r="O110" i="10"/>
  <c r="O109" i="10"/>
  <c r="O108" i="10"/>
  <c r="O107" i="10"/>
  <c r="O106" i="10"/>
  <c r="O105" i="10"/>
  <c r="O104" i="10"/>
  <c r="O103" i="10"/>
  <c r="O102" i="10"/>
  <c r="O101" i="10"/>
  <c r="O100" i="10"/>
  <c r="O99" i="10"/>
  <c r="O98" i="10"/>
  <c r="O97" i="10"/>
  <c r="O96" i="10"/>
  <c r="O95" i="10"/>
  <c r="O94" i="10"/>
  <c r="O93" i="10"/>
  <c r="O92" i="10"/>
  <c r="O91" i="10"/>
  <c r="O90" i="10"/>
  <c r="O89" i="10"/>
  <c r="O88" i="10"/>
  <c r="O87" i="10"/>
  <c r="O86" i="10"/>
  <c r="O85" i="10"/>
  <c r="O84" i="10"/>
  <c r="O83" i="10"/>
  <c r="O82" i="10"/>
  <c r="O81" i="10"/>
  <c r="O80" i="10"/>
  <c r="O79" i="10"/>
  <c r="O78" i="10"/>
  <c r="O77" i="10"/>
  <c r="O76" i="10"/>
  <c r="O75" i="10"/>
  <c r="O74" i="10"/>
  <c r="O73" i="10"/>
  <c r="O72" i="10"/>
  <c r="O71" i="10"/>
  <c r="O70" i="10"/>
  <c r="O69" i="10"/>
  <c r="O68" i="10"/>
  <c r="O67" i="10"/>
  <c r="O66" i="10"/>
  <c r="O65" i="10"/>
  <c r="O64" i="10"/>
  <c r="O63" i="10"/>
  <c r="O62" i="10"/>
  <c r="O61" i="10"/>
  <c r="O60" i="10"/>
  <c r="O59" i="10"/>
  <c r="O58" i="10"/>
  <c r="O57" i="10"/>
  <c r="O56" i="10"/>
  <c r="O55" i="10"/>
  <c r="O54" i="10"/>
  <c r="O53" i="10"/>
  <c r="O52" i="10"/>
  <c r="O51" i="10"/>
  <c r="O50" i="10"/>
  <c r="O49" i="10"/>
  <c r="O48" i="10"/>
  <c r="O47" i="10"/>
  <c r="O46" i="10"/>
  <c r="O45" i="10"/>
  <c r="O44" i="10"/>
  <c r="O43" i="10"/>
  <c r="O41" i="10"/>
  <c r="O40" i="10"/>
  <c r="N177" i="10"/>
  <c r="AF177" i="10" s="1"/>
  <c r="N176" i="10"/>
  <c r="AF176" i="10" s="1"/>
  <c r="N175" i="10"/>
  <c r="AF175" i="10" s="1"/>
  <c r="N174" i="10"/>
  <c r="AF174" i="10" s="1"/>
  <c r="N173" i="10"/>
  <c r="AF173" i="10" s="1"/>
  <c r="N172" i="10"/>
  <c r="AF172" i="10" s="1"/>
  <c r="N171" i="10"/>
  <c r="AF171" i="10" s="1"/>
  <c r="N170" i="10"/>
  <c r="AF170" i="10" s="1"/>
  <c r="N169" i="10"/>
  <c r="AF169" i="10" s="1"/>
  <c r="N168" i="10"/>
  <c r="AF168" i="10" s="1"/>
  <c r="N167" i="10"/>
  <c r="AF167" i="10" s="1"/>
  <c r="N166" i="10"/>
  <c r="AF166" i="10" s="1"/>
  <c r="N165" i="10"/>
  <c r="AF165" i="10" s="1"/>
  <c r="N164" i="10"/>
  <c r="AF164" i="10" s="1"/>
  <c r="N163" i="10"/>
  <c r="AF163" i="10" s="1"/>
  <c r="N162" i="10"/>
  <c r="AF162" i="10" s="1"/>
  <c r="N161" i="10"/>
  <c r="AF161" i="10" s="1"/>
  <c r="N160" i="10"/>
  <c r="AF160" i="10" s="1"/>
  <c r="N159" i="10"/>
  <c r="AF159" i="10" s="1"/>
  <c r="N158" i="10"/>
  <c r="AF158" i="10" s="1"/>
  <c r="N157" i="10"/>
  <c r="AF157" i="10" s="1"/>
  <c r="N156" i="10"/>
  <c r="AF156" i="10" s="1"/>
  <c r="N155" i="10"/>
  <c r="AF155" i="10" s="1"/>
  <c r="N154" i="10"/>
  <c r="AF154" i="10" s="1"/>
  <c r="N153" i="10"/>
  <c r="AF153" i="10" s="1"/>
  <c r="N152" i="10"/>
  <c r="AF152" i="10" s="1"/>
  <c r="N151" i="10"/>
  <c r="AF151" i="10" s="1"/>
  <c r="N150" i="10"/>
  <c r="AF150" i="10" s="1"/>
  <c r="N149" i="10"/>
  <c r="AF149" i="10" s="1"/>
  <c r="N148" i="10"/>
  <c r="AF148" i="10" s="1"/>
  <c r="N147" i="10"/>
  <c r="AF147" i="10" s="1"/>
  <c r="N146" i="10"/>
  <c r="AF146" i="10" s="1"/>
  <c r="N145" i="10"/>
  <c r="AF145" i="10" s="1"/>
  <c r="N144" i="10"/>
  <c r="AF144" i="10" s="1"/>
  <c r="N143" i="10"/>
  <c r="AF143" i="10" s="1"/>
  <c r="N142" i="10"/>
  <c r="AF142" i="10" s="1"/>
  <c r="N141" i="10"/>
  <c r="AF141" i="10" s="1"/>
  <c r="N140" i="10"/>
  <c r="AF140" i="10" s="1"/>
  <c r="N139" i="10"/>
  <c r="AF139" i="10" s="1"/>
  <c r="N138" i="10"/>
  <c r="AF138" i="10" s="1"/>
  <c r="N137" i="10"/>
  <c r="AF137" i="10" s="1"/>
  <c r="N136" i="10"/>
  <c r="AF136" i="10" s="1"/>
  <c r="N135" i="10"/>
  <c r="AF135" i="10" s="1"/>
  <c r="N134" i="10"/>
  <c r="AF134" i="10" s="1"/>
  <c r="N133" i="10"/>
  <c r="AF133" i="10" s="1"/>
  <c r="N132" i="10"/>
  <c r="AF132" i="10" s="1"/>
  <c r="N131" i="10"/>
  <c r="AF131" i="10" s="1"/>
  <c r="N130" i="10"/>
  <c r="AF130" i="10" s="1"/>
  <c r="N129" i="10"/>
  <c r="AF129" i="10" s="1"/>
  <c r="N128" i="10"/>
  <c r="AF128" i="10" s="1"/>
  <c r="N127" i="10"/>
  <c r="AF127" i="10" s="1"/>
  <c r="N126" i="10"/>
  <c r="AF126" i="10" s="1"/>
  <c r="N125" i="10"/>
  <c r="AF125" i="10" s="1"/>
  <c r="N124" i="10"/>
  <c r="AF124" i="10" s="1"/>
  <c r="N123" i="10"/>
  <c r="AF123" i="10" s="1"/>
  <c r="N122" i="10"/>
  <c r="AF122" i="10" s="1"/>
  <c r="N121" i="10"/>
  <c r="AF121" i="10" s="1"/>
  <c r="N120" i="10"/>
  <c r="AF120" i="10" s="1"/>
  <c r="N119" i="10"/>
  <c r="AF119" i="10" s="1"/>
  <c r="N118" i="10"/>
  <c r="AF118" i="10" s="1"/>
  <c r="N117" i="10"/>
  <c r="AF117" i="10" s="1"/>
  <c r="N116" i="10"/>
  <c r="AF116" i="10" s="1"/>
  <c r="N115" i="10"/>
  <c r="AF115" i="10" s="1"/>
  <c r="N114" i="10"/>
  <c r="AF114" i="10" s="1"/>
  <c r="N113" i="10"/>
  <c r="AF113" i="10" s="1"/>
  <c r="N112" i="10"/>
  <c r="AF112" i="10" s="1"/>
  <c r="N111" i="10"/>
  <c r="AF111" i="10" s="1"/>
  <c r="N110" i="10"/>
  <c r="AF110" i="10" s="1"/>
  <c r="N109" i="10"/>
  <c r="AF109" i="10" s="1"/>
  <c r="N108" i="10"/>
  <c r="AF108" i="10" s="1"/>
  <c r="N107" i="10"/>
  <c r="AF107" i="10" s="1"/>
  <c r="N106" i="10"/>
  <c r="AF106" i="10" s="1"/>
  <c r="N105" i="10"/>
  <c r="AF105" i="10" s="1"/>
  <c r="N104" i="10"/>
  <c r="AF104" i="10" s="1"/>
  <c r="N103" i="10"/>
  <c r="AF103" i="10" s="1"/>
  <c r="N102" i="10"/>
  <c r="AF102" i="10" s="1"/>
  <c r="N101" i="10"/>
  <c r="AF101" i="10" s="1"/>
  <c r="N100" i="10"/>
  <c r="AF100" i="10" s="1"/>
  <c r="N99" i="10"/>
  <c r="AF99" i="10" s="1"/>
  <c r="N98" i="10"/>
  <c r="AF98" i="10" s="1"/>
  <c r="N97" i="10"/>
  <c r="AF97" i="10" s="1"/>
  <c r="N96" i="10"/>
  <c r="AF96" i="10" s="1"/>
  <c r="N95" i="10"/>
  <c r="AF95" i="10" s="1"/>
  <c r="N94" i="10"/>
  <c r="AF94" i="10" s="1"/>
  <c r="N93" i="10"/>
  <c r="AF93" i="10" s="1"/>
  <c r="N92" i="10"/>
  <c r="AF92" i="10" s="1"/>
  <c r="N91" i="10"/>
  <c r="AF91" i="10" s="1"/>
  <c r="N90" i="10"/>
  <c r="AF90" i="10" s="1"/>
  <c r="N89" i="10"/>
  <c r="AF89" i="10" s="1"/>
  <c r="N88" i="10"/>
  <c r="AF88" i="10" s="1"/>
  <c r="N87" i="10"/>
  <c r="AF87" i="10" s="1"/>
  <c r="N86" i="10"/>
  <c r="AF86" i="10" s="1"/>
  <c r="N85" i="10"/>
  <c r="AF85" i="10" s="1"/>
  <c r="N84" i="10"/>
  <c r="AF84" i="10" s="1"/>
  <c r="N83" i="10"/>
  <c r="AF83" i="10" s="1"/>
  <c r="N82" i="10"/>
  <c r="AF82" i="10" s="1"/>
  <c r="N81" i="10"/>
  <c r="AF81" i="10" s="1"/>
  <c r="N80" i="10"/>
  <c r="AF80" i="10" s="1"/>
  <c r="N79" i="10"/>
  <c r="AF79" i="10" s="1"/>
  <c r="N78" i="10"/>
  <c r="AF78" i="10" s="1"/>
  <c r="N77" i="10"/>
  <c r="AF77" i="10" s="1"/>
  <c r="N76" i="10"/>
  <c r="AF76" i="10" s="1"/>
  <c r="N75" i="10"/>
  <c r="AF75" i="10" s="1"/>
  <c r="N74" i="10"/>
  <c r="AF74" i="10" s="1"/>
  <c r="N73" i="10"/>
  <c r="AF73" i="10" s="1"/>
  <c r="N72" i="10"/>
  <c r="AF72" i="10" s="1"/>
  <c r="N71" i="10"/>
  <c r="AF71" i="10" s="1"/>
  <c r="N70" i="10"/>
  <c r="AF70" i="10" s="1"/>
  <c r="N69" i="10"/>
  <c r="AF69" i="10" s="1"/>
  <c r="N68" i="10"/>
  <c r="AF68" i="10" s="1"/>
  <c r="N67" i="10"/>
  <c r="AF67" i="10" s="1"/>
  <c r="N66" i="10"/>
  <c r="AF66" i="10" s="1"/>
  <c r="N65" i="10"/>
  <c r="AF65" i="10" s="1"/>
  <c r="N64" i="10"/>
  <c r="AF64" i="10" s="1"/>
  <c r="N63" i="10"/>
  <c r="AF63" i="10" s="1"/>
  <c r="N62" i="10"/>
  <c r="AF62" i="10" s="1"/>
  <c r="N61" i="10"/>
  <c r="AF61" i="10" s="1"/>
  <c r="N60" i="10"/>
  <c r="AF60" i="10" s="1"/>
  <c r="N59" i="10"/>
  <c r="AF59" i="10" s="1"/>
  <c r="N58" i="10"/>
  <c r="AF58" i="10" s="1"/>
  <c r="N57" i="10"/>
  <c r="AF57" i="10" s="1"/>
  <c r="N56" i="10"/>
  <c r="AF56" i="10" s="1"/>
  <c r="N55" i="10"/>
  <c r="AF55" i="10" s="1"/>
  <c r="N54" i="10"/>
  <c r="AF54" i="10" s="1"/>
  <c r="N53" i="10"/>
  <c r="AF53" i="10" s="1"/>
  <c r="N52" i="10"/>
  <c r="AF52" i="10" s="1"/>
  <c r="N51" i="10"/>
  <c r="AF51" i="10" s="1"/>
  <c r="N50" i="10"/>
  <c r="AF50" i="10" s="1"/>
  <c r="N49" i="10"/>
  <c r="AF49" i="10" s="1"/>
  <c r="N48" i="10"/>
  <c r="AF48" i="10" s="1"/>
  <c r="N47" i="10"/>
  <c r="AF47" i="10" s="1"/>
  <c r="N46" i="10"/>
  <c r="AF46" i="10" s="1"/>
  <c r="N45" i="10"/>
  <c r="AF45" i="10" s="1"/>
  <c r="N44" i="10"/>
  <c r="AF44" i="10" s="1"/>
  <c r="N43" i="10"/>
  <c r="AF43" i="10" s="1"/>
  <c r="N42" i="10"/>
  <c r="AF42" i="10" s="1"/>
  <c r="N41" i="10"/>
  <c r="AF41" i="10" s="1"/>
  <c r="N40" i="10"/>
  <c r="AF40" i="10" s="1"/>
  <c r="N39" i="10"/>
  <c r="AF39" i="10" s="1"/>
  <c r="N38" i="10"/>
  <c r="AF38" i="10" s="1"/>
  <c r="N37" i="10"/>
  <c r="AF37" i="10" s="1"/>
  <c r="N36" i="10"/>
  <c r="AF36" i="10" s="1"/>
  <c r="N35" i="10"/>
  <c r="AF35" i="10" s="1"/>
  <c r="N34" i="10"/>
  <c r="AF34" i="10" s="1"/>
  <c r="N33" i="10"/>
  <c r="AF33" i="10" s="1"/>
  <c r="N32" i="10"/>
  <c r="AF32" i="10" s="1"/>
  <c r="N31" i="10"/>
  <c r="AF31" i="10" s="1"/>
  <c r="N30" i="10"/>
  <c r="AF30" i="10" s="1"/>
  <c r="N29" i="10"/>
  <c r="AF29" i="10" s="1"/>
  <c r="N28" i="10"/>
  <c r="AF28" i="10" s="1"/>
  <c r="N27" i="10"/>
  <c r="AF27" i="10" s="1"/>
  <c r="N26" i="10"/>
  <c r="AF26" i="10" s="1"/>
  <c r="N25" i="10"/>
  <c r="AF25" i="10" s="1"/>
  <c r="N24" i="10"/>
  <c r="AF24" i="10" s="1"/>
  <c r="N23" i="10"/>
  <c r="AF23" i="10" s="1"/>
  <c r="N22" i="10"/>
  <c r="AF22" i="10" s="1"/>
  <c r="N21" i="10"/>
  <c r="AF21" i="10" s="1"/>
  <c r="N20" i="10"/>
  <c r="AF20" i="10" s="1"/>
  <c r="N19" i="10"/>
  <c r="AF19" i="10" s="1"/>
  <c r="N18" i="10"/>
  <c r="AF18" i="10" s="1"/>
  <c r="N17" i="10"/>
  <c r="AF17" i="10" s="1"/>
  <c r="O42" i="10"/>
  <c r="P42" i="10" s="1"/>
  <c r="O39" i="10"/>
  <c r="P39" i="10" s="1"/>
  <c r="O38" i="10"/>
  <c r="P38" i="10" s="1"/>
  <c r="O37" i="10"/>
  <c r="P37" i="10" s="1"/>
  <c r="O36" i="10"/>
  <c r="P36" i="10" s="1"/>
  <c r="O35" i="10"/>
  <c r="P35" i="10" s="1"/>
  <c r="O34" i="10"/>
  <c r="P34" i="10" s="1"/>
  <c r="O33" i="10"/>
  <c r="P33" i="10" s="1"/>
  <c r="O32" i="10"/>
  <c r="P32" i="10" s="1"/>
  <c r="O31" i="10"/>
  <c r="P31" i="10" s="1"/>
  <c r="O30" i="10"/>
  <c r="P30" i="10" s="1"/>
  <c r="O29" i="10"/>
  <c r="P29" i="10" s="1"/>
  <c r="O28" i="10"/>
  <c r="P28" i="10" s="1"/>
  <c r="O27" i="10"/>
  <c r="P27" i="10" s="1"/>
  <c r="O26" i="10"/>
  <c r="P26" i="10" s="1"/>
  <c r="O25" i="10"/>
  <c r="P25" i="10" s="1"/>
  <c r="O24" i="10"/>
  <c r="P24" i="10" s="1"/>
  <c r="O23" i="10"/>
  <c r="P23" i="10" s="1"/>
  <c r="O22" i="10"/>
  <c r="P22" i="10" s="1"/>
  <c r="O21" i="10"/>
  <c r="P21" i="10" s="1"/>
  <c r="O20" i="10"/>
  <c r="P20" i="10" s="1"/>
  <c r="O19" i="10"/>
  <c r="P19" i="10" s="1"/>
  <c r="O18" i="10"/>
  <c r="P18" i="10" s="1"/>
  <c r="O17" i="10"/>
  <c r="P17" i="10" s="1"/>
  <c r="J239" i="4"/>
  <c r="J240" i="4"/>
  <c r="K21" i="4"/>
  <c r="K20" i="4"/>
  <c r="K239" i="3"/>
  <c r="K240" i="3"/>
  <c r="L21" i="3"/>
  <c r="L20" i="3"/>
  <c r="L21" i="1"/>
  <c r="L20" i="1"/>
  <c r="H5" i="3"/>
  <c r="G19" i="3"/>
  <c r="N9" i="4"/>
  <c r="O9" i="4" s="1"/>
  <c r="M23" i="4"/>
  <c r="N23" i="4" s="1"/>
  <c r="O23" i="4" s="1"/>
  <c r="S26" i="11"/>
  <c r="K6" i="1"/>
  <c r="K7" i="1"/>
  <c r="T26" i="11"/>
  <c r="L6" i="4"/>
  <c r="L7" i="4"/>
  <c r="K6" i="3"/>
  <c r="K7" i="3"/>
  <c r="J12" i="1"/>
  <c r="J13" i="1"/>
  <c r="K13" i="4"/>
  <c r="K12" i="4"/>
  <c r="J13" i="3"/>
  <c r="J12" i="3"/>
  <c r="O16" i="10"/>
  <c r="N16" i="10"/>
  <c r="N9" i="3"/>
  <c r="O9" i="3" s="1"/>
  <c r="M23" i="3"/>
  <c r="N9" i="1"/>
  <c r="O9" i="1" s="1"/>
  <c r="M23" i="1"/>
  <c r="C14" i="14"/>
  <c r="G5" i="1"/>
  <c r="G19" i="1" s="1"/>
  <c r="D14" i="14"/>
  <c r="G5" i="4"/>
  <c r="G19" i="4" s="1"/>
  <c r="T21" i="11"/>
  <c r="P441" i="10" l="1"/>
  <c r="P443" i="10"/>
  <c r="P445" i="10"/>
  <c r="P447" i="10"/>
  <c r="P400" i="10"/>
  <c r="P404" i="10"/>
  <c r="P408" i="10"/>
  <c r="P412" i="10"/>
  <c r="P416" i="10"/>
  <c r="P420" i="10"/>
  <c r="P424" i="10"/>
  <c r="P428" i="10"/>
  <c r="P432" i="10"/>
  <c r="P436" i="10"/>
  <c r="P440" i="10"/>
  <c r="P506" i="10"/>
  <c r="P510" i="10"/>
  <c r="J514" i="10"/>
  <c r="AE514" i="10" s="1"/>
  <c r="J513" i="10"/>
  <c r="AE513" i="10" s="1"/>
  <c r="J512" i="10"/>
  <c r="AE512" i="10" s="1"/>
  <c r="K514" i="10"/>
  <c r="L514" i="10" s="1"/>
  <c r="K513" i="10"/>
  <c r="K512" i="10"/>
  <c r="L512" i="10" s="1"/>
  <c r="K511" i="10"/>
  <c r="K510" i="10"/>
  <c r="K509" i="10"/>
  <c r="K508" i="10"/>
  <c r="K507" i="10"/>
  <c r="K506" i="10"/>
  <c r="K505" i="10"/>
  <c r="K504" i="10"/>
  <c r="K503" i="10"/>
  <c r="K502" i="10"/>
  <c r="K501" i="10"/>
  <c r="K500" i="10"/>
  <c r="K499" i="10"/>
  <c r="K498" i="10"/>
  <c r="K497" i="10"/>
  <c r="K496" i="10"/>
  <c r="K495" i="10"/>
  <c r="K494" i="10"/>
  <c r="K493" i="10"/>
  <c r="K492" i="10"/>
  <c r="K491" i="10"/>
  <c r="K490" i="10"/>
  <c r="J511" i="10"/>
  <c r="AE511" i="10" s="1"/>
  <c r="J510" i="10"/>
  <c r="AE510" i="10" s="1"/>
  <c r="J509" i="10"/>
  <c r="AE509" i="10" s="1"/>
  <c r="J508" i="10"/>
  <c r="AE508" i="10" s="1"/>
  <c r="J507" i="10"/>
  <c r="AE507" i="10" s="1"/>
  <c r="J506" i="10"/>
  <c r="AE506" i="10" s="1"/>
  <c r="J505" i="10"/>
  <c r="AE505" i="10" s="1"/>
  <c r="J504" i="10"/>
  <c r="AE504" i="10" s="1"/>
  <c r="J503" i="10"/>
  <c r="AE503" i="10" s="1"/>
  <c r="J502" i="10"/>
  <c r="AE502" i="10" s="1"/>
  <c r="J501" i="10"/>
  <c r="AE501" i="10" s="1"/>
  <c r="J500" i="10"/>
  <c r="AE500" i="10" s="1"/>
  <c r="J499" i="10"/>
  <c r="AE499" i="10" s="1"/>
  <c r="J498" i="10"/>
  <c r="AE498" i="10" s="1"/>
  <c r="J497" i="10"/>
  <c r="AE497" i="10" s="1"/>
  <c r="J496" i="10"/>
  <c r="AE496" i="10" s="1"/>
  <c r="J495" i="10"/>
  <c r="AE495" i="10" s="1"/>
  <c r="J494" i="10"/>
  <c r="AE494" i="10" s="1"/>
  <c r="J493" i="10"/>
  <c r="AE493" i="10" s="1"/>
  <c r="J492" i="10"/>
  <c r="AE492" i="10" s="1"/>
  <c r="J491" i="10"/>
  <c r="AE491" i="10" s="1"/>
  <c r="J490" i="10"/>
  <c r="AE490" i="10" s="1"/>
  <c r="K489" i="10"/>
  <c r="K488" i="10"/>
  <c r="K487" i="10"/>
  <c r="K486" i="10"/>
  <c r="K485" i="10"/>
  <c r="K484" i="10"/>
  <c r="K483" i="10"/>
  <c r="K482" i="10"/>
  <c r="K481" i="10"/>
  <c r="K480" i="10"/>
  <c r="K479" i="10"/>
  <c r="K478" i="10"/>
  <c r="K477" i="10"/>
  <c r="J476" i="10"/>
  <c r="AE476" i="10" s="1"/>
  <c r="J475" i="10"/>
  <c r="AE475" i="10" s="1"/>
  <c r="J474" i="10"/>
  <c r="AE474" i="10" s="1"/>
  <c r="J473" i="10"/>
  <c r="AE473" i="10" s="1"/>
  <c r="J472" i="10"/>
  <c r="AE472" i="10" s="1"/>
  <c r="J471" i="10"/>
  <c r="AE471" i="10" s="1"/>
  <c r="J470" i="10"/>
  <c r="AE470" i="10" s="1"/>
  <c r="J469" i="10"/>
  <c r="AE469" i="10" s="1"/>
  <c r="J468" i="10"/>
  <c r="AE468" i="10" s="1"/>
  <c r="J467" i="10"/>
  <c r="AE467" i="10" s="1"/>
  <c r="J466" i="10"/>
  <c r="AE466" i="10" s="1"/>
  <c r="J465" i="10"/>
  <c r="AE465" i="10" s="1"/>
  <c r="J464" i="10"/>
  <c r="AE464" i="10" s="1"/>
  <c r="J463" i="10"/>
  <c r="AE463" i="10" s="1"/>
  <c r="J462" i="10"/>
  <c r="AE462" i="10" s="1"/>
  <c r="J461" i="10"/>
  <c r="AE461" i="10" s="1"/>
  <c r="J460" i="10"/>
  <c r="AE460" i="10" s="1"/>
  <c r="J459" i="10"/>
  <c r="AE459" i="10" s="1"/>
  <c r="J458" i="10"/>
  <c r="AE458" i="10" s="1"/>
  <c r="J457" i="10"/>
  <c r="AE457" i="10" s="1"/>
  <c r="J456" i="10"/>
  <c r="AE456" i="10" s="1"/>
  <c r="J455" i="10"/>
  <c r="AE455" i="10" s="1"/>
  <c r="J454" i="10"/>
  <c r="AE454" i="10" s="1"/>
  <c r="J453" i="10"/>
  <c r="AE453" i="10" s="1"/>
  <c r="J452" i="10"/>
  <c r="AE452" i="10" s="1"/>
  <c r="J451" i="10"/>
  <c r="AE451" i="10" s="1"/>
  <c r="J450" i="10"/>
  <c r="AE450" i="10" s="1"/>
  <c r="J449" i="10"/>
  <c r="AE449" i="10" s="1"/>
  <c r="J448" i="10"/>
  <c r="AE448" i="10" s="1"/>
  <c r="J489" i="10"/>
  <c r="AE489" i="10" s="1"/>
  <c r="J488" i="10"/>
  <c r="AE488" i="10" s="1"/>
  <c r="J487" i="10"/>
  <c r="AE487" i="10" s="1"/>
  <c r="J486" i="10"/>
  <c r="AE486" i="10" s="1"/>
  <c r="J485" i="10"/>
  <c r="AE485" i="10" s="1"/>
  <c r="J484" i="10"/>
  <c r="AE484" i="10" s="1"/>
  <c r="J483" i="10"/>
  <c r="AE483" i="10" s="1"/>
  <c r="J482" i="10"/>
  <c r="AE482" i="10" s="1"/>
  <c r="J481" i="10"/>
  <c r="AE481" i="10" s="1"/>
  <c r="J480" i="10"/>
  <c r="AE480" i="10" s="1"/>
  <c r="J479" i="10"/>
  <c r="AE479" i="10" s="1"/>
  <c r="J478" i="10"/>
  <c r="AE478" i="10" s="1"/>
  <c r="J477" i="10"/>
  <c r="AE477" i="10" s="1"/>
  <c r="K476" i="10"/>
  <c r="L476" i="10" s="1"/>
  <c r="K447" i="10"/>
  <c r="K446" i="10"/>
  <c r="K445" i="10"/>
  <c r="K444" i="10"/>
  <c r="K443" i="10"/>
  <c r="K442" i="10"/>
  <c r="K441" i="10"/>
  <c r="K475" i="10"/>
  <c r="K473" i="10"/>
  <c r="L473" i="10" s="1"/>
  <c r="K471" i="10"/>
  <c r="K469" i="10"/>
  <c r="L469" i="10" s="1"/>
  <c r="K467" i="10"/>
  <c r="K465" i="10"/>
  <c r="L465" i="10" s="1"/>
  <c r="K463" i="10"/>
  <c r="K461" i="10"/>
  <c r="L461" i="10" s="1"/>
  <c r="K459" i="10"/>
  <c r="K457" i="10"/>
  <c r="L457" i="10" s="1"/>
  <c r="K455" i="10"/>
  <c r="K453" i="10"/>
  <c r="L453" i="10" s="1"/>
  <c r="K451" i="10"/>
  <c r="K449" i="10"/>
  <c r="L449" i="10" s="1"/>
  <c r="K440" i="10"/>
  <c r="K439" i="10"/>
  <c r="K438" i="10"/>
  <c r="K437" i="10"/>
  <c r="K436" i="10"/>
  <c r="K435" i="10"/>
  <c r="K434" i="10"/>
  <c r="K433" i="10"/>
  <c r="K432" i="10"/>
  <c r="K431" i="10"/>
  <c r="K430" i="10"/>
  <c r="K429" i="10"/>
  <c r="K428" i="10"/>
  <c r="K427" i="10"/>
  <c r="K426" i="10"/>
  <c r="K425" i="10"/>
  <c r="K424" i="10"/>
  <c r="K423" i="10"/>
  <c r="K422" i="10"/>
  <c r="K421" i="10"/>
  <c r="K420" i="10"/>
  <c r="K419" i="10"/>
  <c r="K418" i="10"/>
  <c r="K417" i="10"/>
  <c r="K416" i="10"/>
  <c r="K415" i="10"/>
  <c r="K414" i="10"/>
  <c r="K413" i="10"/>
  <c r="K412" i="10"/>
  <c r="K411" i="10"/>
  <c r="K410" i="10"/>
  <c r="K409" i="10"/>
  <c r="K408" i="10"/>
  <c r="K407" i="10"/>
  <c r="K406" i="10"/>
  <c r="K405" i="10"/>
  <c r="K404" i="10"/>
  <c r="K403" i="10"/>
  <c r="K402" i="10"/>
  <c r="K401" i="10"/>
  <c r="K400" i="10"/>
  <c r="K399" i="10"/>
  <c r="K398" i="10"/>
  <c r="K472" i="10"/>
  <c r="K468" i="10"/>
  <c r="L468" i="10" s="1"/>
  <c r="K464" i="10"/>
  <c r="K460" i="10"/>
  <c r="L460" i="10" s="1"/>
  <c r="K456" i="10"/>
  <c r="K452" i="10"/>
  <c r="L452" i="10" s="1"/>
  <c r="K448" i="10"/>
  <c r="J447" i="10"/>
  <c r="AE447" i="10" s="1"/>
  <c r="J445" i="10"/>
  <c r="AE445" i="10" s="1"/>
  <c r="J443" i="10"/>
  <c r="AE443" i="10" s="1"/>
  <c r="J441" i="10"/>
  <c r="AE441" i="10" s="1"/>
  <c r="J440" i="10"/>
  <c r="AE440" i="10" s="1"/>
  <c r="J439" i="10"/>
  <c r="AE439" i="10" s="1"/>
  <c r="J438" i="10"/>
  <c r="AE438" i="10" s="1"/>
  <c r="J437" i="10"/>
  <c r="AE437" i="10" s="1"/>
  <c r="J436" i="10"/>
  <c r="AE436" i="10" s="1"/>
  <c r="J435" i="10"/>
  <c r="AE435" i="10" s="1"/>
  <c r="J434" i="10"/>
  <c r="AE434" i="10" s="1"/>
  <c r="J433" i="10"/>
  <c r="AE433" i="10" s="1"/>
  <c r="J432" i="10"/>
  <c r="AE432" i="10" s="1"/>
  <c r="J431" i="10"/>
  <c r="AE431" i="10" s="1"/>
  <c r="J430" i="10"/>
  <c r="AE430" i="10" s="1"/>
  <c r="J429" i="10"/>
  <c r="AE429" i="10" s="1"/>
  <c r="J428" i="10"/>
  <c r="AE428" i="10" s="1"/>
  <c r="J427" i="10"/>
  <c r="AE427" i="10" s="1"/>
  <c r="J426" i="10"/>
  <c r="AE426" i="10" s="1"/>
  <c r="J425" i="10"/>
  <c r="AE425" i="10" s="1"/>
  <c r="J424" i="10"/>
  <c r="AE424" i="10" s="1"/>
  <c r="J423" i="10"/>
  <c r="AE423" i="10" s="1"/>
  <c r="J422" i="10"/>
  <c r="AE422" i="10" s="1"/>
  <c r="J421" i="10"/>
  <c r="AE421" i="10" s="1"/>
  <c r="J420" i="10"/>
  <c r="AE420" i="10" s="1"/>
  <c r="J419" i="10"/>
  <c r="AE419" i="10" s="1"/>
  <c r="J418" i="10"/>
  <c r="AE418" i="10" s="1"/>
  <c r="J417" i="10"/>
  <c r="AE417" i="10" s="1"/>
  <c r="J416" i="10"/>
  <c r="AE416" i="10" s="1"/>
  <c r="J415" i="10"/>
  <c r="AE415" i="10" s="1"/>
  <c r="J414" i="10"/>
  <c r="AE414" i="10" s="1"/>
  <c r="J413" i="10"/>
  <c r="AE413" i="10" s="1"/>
  <c r="J412" i="10"/>
  <c r="AE412" i="10" s="1"/>
  <c r="J411" i="10"/>
  <c r="AE411" i="10" s="1"/>
  <c r="J410" i="10"/>
  <c r="AE410" i="10" s="1"/>
  <c r="J409" i="10"/>
  <c r="AE409" i="10" s="1"/>
  <c r="J408" i="10"/>
  <c r="AE408" i="10" s="1"/>
  <c r="J407" i="10"/>
  <c r="AE407" i="10" s="1"/>
  <c r="J406" i="10"/>
  <c r="AE406" i="10" s="1"/>
  <c r="J405" i="10"/>
  <c r="AE405" i="10" s="1"/>
  <c r="J404" i="10"/>
  <c r="AE404" i="10" s="1"/>
  <c r="J403" i="10"/>
  <c r="AE403" i="10" s="1"/>
  <c r="J402" i="10"/>
  <c r="AE402" i="10" s="1"/>
  <c r="J401" i="10"/>
  <c r="AE401" i="10" s="1"/>
  <c r="J400" i="10"/>
  <c r="AE400" i="10" s="1"/>
  <c r="J399" i="10"/>
  <c r="AE399" i="10" s="1"/>
  <c r="J398" i="10"/>
  <c r="AE398" i="10" s="1"/>
  <c r="J397" i="10"/>
  <c r="AE397" i="10" s="1"/>
  <c r="J396" i="10"/>
  <c r="AE396" i="10" s="1"/>
  <c r="J395" i="10"/>
  <c r="AE395" i="10" s="1"/>
  <c r="J394" i="10"/>
  <c r="AE394" i="10" s="1"/>
  <c r="J393" i="10"/>
  <c r="AE393" i="10" s="1"/>
  <c r="J392" i="10"/>
  <c r="AE392" i="10" s="1"/>
  <c r="J391" i="10"/>
  <c r="AE391" i="10" s="1"/>
  <c r="J390" i="10"/>
  <c r="AE390" i="10" s="1"/>
  <c r="J389" i="10"/>
  <c r="AE389" i="10" s="1"/>
  <c r="J388" i="10"/>
  <c r="AE388" i="10" s="1"/>
  <c r="J387" i="10"/>
  <c r="AE387" i="10" s="1"/>
  <c r="J386" i="10"/>
  <c r="AE386" i="10" s="1"/>
  <c r="J385" i="10"/>
  <c r="AE385" i="10" s="1"/>
  <c r="J384" i="10"/>
  <c r="AE384" i="10" s="1"/>
  <c r="J383" i="10"/>
  <c r="AE383" i="10" s="1"/>
  <c r="J382" i="10"/>
  <c r="AE382" i="10" s="1"/>
  <c r="J381" i="10"/>
  <c r="AE381" i="10" s="1"/>
  <c r="J380" i="10"/>
  <c r="AE380" i="10" s="1"/>
  <c r="J379" i="10"/>
  <c r="AE379" i="10" s="1"/>
  <c r="J378" i="10"/>
  <c r="AE378" i="10" s="1"/>
  <c r="J377" i="10"/>
  <c r="AE377" i="10" s="1"/>
  <c r="J376" i="10"/>
  <c r="AE376" i="10" s="1"/>
  <c r="J375" i="10"/>
  <c r="AE375" i="10" s="1"/>
  <c r="J374" i="10"/>
  <c r="AE374" i="10" s="1"/>
  <c r="J373" i="10"/>
  <c r="AE373" i="10" s="1"/>
  <c r="J372" i="10"/>
  <c r="AE372" i="10" s="1"/>
  <c r="J371" i="10"/>
  <c r="J370" i="10"/>
  <c r="AE370" i="10" s="1"/>
  <c r="J369" i="10"/>
  <c r="J368" i="10"/>
  <c r="AE368" i="10" s="1"/>
  <c r="J367" i="10"/>
  <c r="J366" i="10"/>
  <c r="AE366" i="10" s="1"/>
  <c r="J365" i="10"/>
  <c r="J364" i="10"/>
  <c r="AE364" i="10" s="1"/>
  <c r="J363" i="10"/>
  <c r="J362" i="10"/>
  <c r="AE362" i="10" s="1"/>
  <c r="J361" i="10"/>
  <c r="J360" i="10"/>
  <c r="AE360" i="10" s="1"/>
  <c r="J359" i="10"/>
  <c r="J358" i="10"/>
  <c r="AE358" i="10" s="1"/>
  <c r="J357" i="10"/>
  <c r="AE357" i="10" s="1"/>
  <c r="J356" i="10"/>
  <c r="AE356" i="10" s="1"/>
  <c r="J355" i="10"/>
  <c r="AE355" i="10" s="1"/>
  <c r="J354" i="10"/>
  <c r="AE354" i="10" s="1"/>
  <c r="J353" i="10"/>
  <c r="AE353" i="10" s="1"/>
  <c r="J352" i="10"/>
  <c r="AE352" i="10" s="1"/>
  <c r="J351" i="10"/>
  <c r="AE351" i="10" s="1"/>
  <c r="J350" i="10"/>
  <c r="AE350" i="10" s="1"/>
  <c r="J349" i="10"/>
  <c r="AE349" i="10" s="1"/>
  <c r="J348" i="10"/>
  <c r="AE348" i="10" s="1"/>
  <c r="J347" i="10"/>
  <c r="AE347" i="10" s="1"/>
  <c r="J346" i="10"/>
  <c r="AE346" i="10" s="1"/>
  <c r="J345" i="10"/>
  <c r="AE345" i="10" s="1"/>
  <c r="J344" i="10"/>
  <c r="AE344" i="10" s="1"/>
  <c r="J343" i="10"/>
  <c r="AE343" i="10" s="1"/>
  <c r="J342" i="10"/>
  <c r="AE342" i="10" s="1"/>
  <c r="J341" i="10"/>
  <c r="AE341" i="10" s="1"/>
  <c r="J340" i="10"/>
  <c r="AE340" i="10" s="1"/>
  <c r="J339" i="10"/>
  <c r="AE339" i="10" s="1"/>
  <c r="J338" i="10"/>
  <c r="AE338" i="10" s="1"/>
  <c r="J337" i="10"/>
  <c r="AE337" i="10" s="1"/>
  <c r="J336" i="10"/>
  <c r="AE336" i="10" s="1"/>
  <c r="J335" i="10"/>
  <c r="AE335" i="10" s="1"/>
  <c r="J334" i="10"/>
  <c r="AE334" i="10" s="1"/>
  <c r="J333" i="10"/>
  <c r="AE333" i="10" s="1"/>
  <c r="J332" i="10"/>
  <c r="AE332" i="10" s="1"/>
  <c r="J331" i="10"/>
  <c r="AE331" i="10" s="1"/>
  <c r="J330" i="10"/>
  <c r="AE330" i="10" s="1"/>
  <c r="J329" i="10"/>
  <c r="AE329" i="10" s="1"/>
  <c r="J328" i="10"/>
  <c r="AE328" i="10" s="1"/>
  <c r="J327" i="10"/>
  <c r="AE327" i="10" s="1"/>
  <c r="J326" i="10"/>
  <c r="AE326" i="10" s="1"/>
  <c r="J325" i="10"/>
  <c r="AE325" i="10" s="1"/>
  <c r="J324" i="10"/>
  <c r="AE324" i="10" s="1"/>
  <c r="J323" i="10"/>
  <c r="AE323" i="10" s="1"/>
  <c r="J322" i="10"/>
  <c r="AE322" i="10" s="1"/>
  <c r="J321" i="10"/>
  <c r="AE321" i="10" s="1"/>
  <c r="J320" i="10"/>
  <c r="AE320" i="10" s="1"/>
  <c r="J319" i="10"/>
  <c r="AE319" i="10" s="1"/>
  <c r="J318" i="10"/>
  <c r="AE318" i="10" s="1"/>
  <c r="J317" i="10"/>
  <c r="AE317" i="10" s="1"/>
  <c r="J316" i="10"/>
  <c r="AE316" i="10" s="1"/>
  <c r="J315" i="10"/>
  <c r="AE315" i="10" s="1"/>
  <c r="J314" i="10"/>
  <c r="AE314" i="10" s="1"/>
  <c r="J313" i="10"/>
  <c r="AE313" i="10" s="1"/>
  <c r="K470" i="10"/>
  <c r="L470" i="10" s="1"/>
  <c r="K462" i="10"/>
  <c r="K454" i="10"/>
  <c r="L454" i="10" s="1"/>
  <c r="J444" i="10"/>
  <c r="AE444" i="10" s="1"/>
  <c r="J312" i="10"/>
  <c r="AE312" i="10" s="1"/>
  <c r="J311" i="10"/>
  <c r="AE311" i="10" s="1"/>
  <c r="J310" i="10"/>
  <c r="AE310" i="10" s="1"/>
  <c r="J309" i="10"/>
  <c r="AE309" i="10" s="1"/>
  <c r="J308" i="10"/>
  <c r="AE308" i="10" s="1"/>
  <c r="J307" i="10"/>
  <c r="AE307" i="10" s="1"/>
  <c r="J306" i="10"/>
  <c r="AE306" i="10" s="1"/>
  <c r="J305" i="10"/>
  <c r="AE305" i="10" s="1"/>
  <c r="J304" i="10"/>
  <c r="AE304" i="10" s="1"/>
  <c r="J303" i="10"/>
  <c r="AE303" i="10" s="1"/>
  <c r="J302" i="10"/>
  <c r="AE302" i="10" s="1"/>
  <c r="J301" i="10"/>
  <c r="AE301" i="10" s="1"/>
  <c r="J300" i="10"/>
  <c r="AE300" i="10" s="1"/>
  <c r="J299" i="10"/>
  <c r="AE299" i="10" s="1"/>
  <c r="J298" i="10"/>
  <c r="AE298" i="10" s="1"/>
  <c r="J297" i="10"/>
  <c r="AE297" i="10" s="1"/>
  <c r="J296" i="10"/>
  <c r="AE296" i="10" s="1"/>
  <c r="J295" i="10"/>
  <c r="AE295" i="10" s="1"/>
  <c r="J294" i="10"/>
  <c r="AE294" i="10" s="1"/>
  <c r="J293" i="10"/>
  <c r="AE293" i="10" s="1"/>
  <c r="J292" i="10"/>
  <c r="AE292" i="10" s="1"/>
  <c r="J291" i="10"/>
  <c r="AE291" i="10" s="1"/>
  <c r="J290" i="10"/>
  <c r="AE290" i="10" s="1"/>
  <c r="J289" i="10"/>
  <c r="AE289" i="10" s="1"/>
  <c r="J288" i="10"/>
  <c r="AE288" i="10" s="1"/>
  <c r="J287" i="10"/>
  <c r="AE287" i="10" s="1"/>
  <c r="J286" i="10"/>
  <c r="AE286" i="10" s="1"/>
  <c r="J285" i="10"/>
  <c r="AE285" i="10" s="1"/>
  <c r="J284" i="10"/>
  <c r="AE284" i="10" s="1"/>
  <c r="J283" i="10"/>
  <c r="AE283" i="10" s="1"/>
  <c r="J282" i="10"/>
  <c r="AE282" i="10" s="1"/>
  <c r="K474" i="10"/>
  <c r="K466" i="10"/>
  <c r="L466" i="10" s="1"/>
  <c r="K458" i="10"/>
  <c r="K450" i="10"/>
  <c r="L450" i="10" s="1"/>
  <c r="J446" i="10"/>
  <c r="AE446" i="10" s="1"/>
  <c r="J442" i="10"/>
  <c r="AE442" i="10" s="1"/>
  <c r="K397" i="10"/>
  <c r="L397" i="10" s="1"/>
  <c r="K396" i="10"/>
  <c r="L396" i="10" s="1"/>
  <c r="K395" i="10"/>
  <c r="L395" i="10" s="1"/>
  <c r="K394" i="10"/>
  <c r="L394" i="10" s="1"/>
  <c r="K393" i="10"/>
  <c r="L393" i="10" s="1"/>
  <c r="K392" i="10"/>
  <c r="L392" i="10" s="1"/>
  <c r="K391" i="10"/>
  <c r="L391" i="10" s="1"/>
  <c r="K390" i="10"/>
  <c r="L390" i="10" s="1"/>
  <c r="K389" i="10"/>
  <c r="L389" i="10" s="1"/>
  <c r="K388" i="10"/>
  <c r="L388" i="10" s="1"/>
  <c r="K387" i="10"/>
  <c r="L387" i="10" s="1"/>
  <c r="K386" i="10"/>
  <c r="L386" i="10" s="1"/>
  <c r="K385" i="10"/>
  <c r="L385" i="10" s="1"/>
  <c r="K384" i="10"/>
  <c r="L384" i="10" s="1"/>
  <c r="K383" i="10"/>
  <c r="L383" i="10" s="1"/>
  <c r="K382" i="10"/>
  <c r="L382" i="10" s="1"/>
  <c r="K381" i="10"/>
  <c r="L381" i="10" s="1"/>
  <c r="K380" i="10"/>
  <c r="L380" i="10" s="1"/>
  <c r="K379" i="10"/>
  <c r="L379" i="10" s="1"/>
  <c r="K378" i="10"/>
  <c r="L378" i="10" s="1"/>
  <c r="K377" i="10"/>
  <c r="L377" i="10" s="1"/>
  <c r="K376" i="10"/>
  <c r="L376" i="10" s="1"/>
  <c r="K375" i="10"/>
  <c r="L375" i="10" s="1"/>
  <c r="K374" i="10"/>
  <c r="L374" i="10" s="1"/>
  <c r="K373" i="10"/>
  <c r="L373" i="10" s="1"/>
  <c r="K372" i="10"/>
  <c r="L372" i="10" s="1"/>
  <c r="K371" i="10"/>
  <c r="K370" i="10"/>
  <c r="L370" i="10" s="1"/>
  <c r="K369" i="10"/>
  <c r="K368" i="10"/>
  <c r="L368" i="10" s="1"/>
  <c r="K367" i="10"/>
  <c r="K366" i="10"/>
  <c r="L366" i="10" s="1"/>
  <c r="K365" i="10"/>
  <c r="K364" i="10"/>
  <c r="L364" i="10" s="1"/>
  <c r="K363" i="10"/>
  <c r="K362" i="10"/>
  <c r="L362" i="10" s="1"/>
  <c r="K361" i="10"/>
  <c r="K360" i="10"/>
  <c r="L360" i="10" s="1"/>
  <c r="K359" i="10"/>
  <c r="K358" i="10"/>
  <c r="L358" i="10" s="1"/>
  <c r="K357" i="10"/>
  <c r="L357" i="10" s="1"/>
  <c r="K356" i="10"/>
  <c r="L356" i="10" s="1"/>
  <c r="K355" i="10"/>
  <c r="L355" i="10" s="1"/>
  <c r="K354" i="10"/>
  <c r="L354" i="10" s="1"/>
  <c r="K353" i="10"/>
  <c r="L353" i="10" s="1"/>
  <c r="K352" i="10"/>
  <c r="L352" i="10" s="1"/>
  <c r="K351" i="10"/>
  <c r="L351" i="10" s="1"/>
  <c r="K350" i="10"/>
  <c r="L350" i="10" s="1"/>
  <c r="K349" i="10"/>
  <c r="L349" i="10" s="1"/>
  <c r="K348" i="10"/>
  <c r="L348" i="10" s="1"/>
  <c r="K347" i="10"/>
  <c r="L347" i="10" s="1"/>
  <c r="K346" i="10"/>
  <c r="L346" i="10" s="1"/>
  <c r="K345" i="10"/>
  <c r="L345" i="10" s="1"/>
  <c r="K344" i="10"/>
  <c r="L344" i="10" s="1"/>
  <c r="K343" i="10"/>
  <c r="L343" i="10" s="1"/>
  <c r="K342" i="10"/>
  <c r="L342" i="10" s="1"/>
  <c r="K341" i="10"/>
  <c r="L341" i="10" s="1"/>
  <c r="K340" i="10"/>
  <c r="L340" i="10" s="1"/>
  <c r="K339" i="10"/>
  <c r="L339" i="10" s="1"/>
  <c r="K338" i="10"/>
  <c r="L338" i="10" s="1"/>
  <c r="K337" i="10"/>
  <c r="L337" i="10" s="1"/>
  <c r="K336" i="10"/>
  <c r="L336" i="10" s="1"/>
  <c r="K335" i="10"/>
  <c r="L335" i="10" s="1"/>
  <c r="K334" i="10"/>
  <c r="L334" i="10" s="1"/>
  <c r="K333" i="10"/>
  <c r="L333" i="10" s="1"/>
  <c r="K332" i="10"/>
  <c r="L332" i="10" s="1"/>
  <c r="K331" i="10"/>
  <c r="L331" i="10" s="1"/>
  <c r="K330" i="10"/>
  <c r="L330" i="10" s="1"/>
  <c r="K329" i="10"/>
  <c r="L329" i="10" s="1"/>
  <c r="K328" i="10"/>
  <c r="L328" i="10" s="1"/>
  <c r="K327" i="10"/>
  <c r="L327" i="10" s="1"/>
  <c r="K326" i="10"/>
  <c r="L326" i="10" s="1"/>
  <c r="K325" i="10"/>
  <c r="L325" i="10" s="1"/>
  <c r="K324" i="10"/>
  <c r="L324" i="10" s="1"/>
  <c r="K323" i="10"/>
  <c r="L323" i="10" s="1"/>
  <c r="K322" i="10"/>
  <c r="L322" i="10" s="1"/>
  <c r="K321" i="10"/>
  <c r="L321" i="10" s="1"/>
  <c r="K320" i="10"/>
  <c r="L320" i="10" s="1"/>
  <c r="K319" i="10"/>
  <c r="L319" i="10" s="1"/>
  <c r="K318" i="10"/>
  <c r="L318" i="10" s="1"/>
  <c r="K317" i="10"/>
  <c r="L317" i="10" s="1"/>
  <c r="K316" i="10"/>
  <c r="L316" i="10" s="1"/>
  <c r="K315" i="10"/>
  <c r="L315" i="10" s="1"/>
  <c r="K314" i="10"/>
  <c r="L314" i="10" s="1"/>
  <c r="K313" i="10"/>
  <c r="L313" i="10" s="1"/>
  <c r="K312" i="10"/>
  <c r="L312" i="10" s="1"/>
  <c r="K311" i="10"/>
  <c r="L311" i="10" s="1"/>
  <c r="K310" i="10"/>
  <c r="L310" i="10" s="1"/>
  <c r="K309" i="10"/>
  <c r="L309" i="10" s="1"/>
  <c r="K308" i="10"/>
  <c r="L308" i="10" s="1"/>
  <c r="K307" i="10"/>
  <c r="L307" i="10" s="1"/>
  <c r="K306" i="10"/>
  <c r="L306" i="10" s="1"/>
  <c r="K305" i="10"/>
  <c r="L305" i="10" s="1"/>
  <c r="K304" i="10"/>
  <c r="L304" i="10" s="1"/>
  <c r="K303" i="10"/>
  <c r="L303" i="10" s="1"/>
  <c r="K302" i="10"/>
  <c r="L302" i="10" s="1"/>
  <c r="K301" i="10"/>
  <c r="L301" i="10" s="1"/>
  <c r="K300" i="10"/>
  <c r="L300" i="10" s="1"/>
  <c r="K299" i="10"/>
  <c r="L299" i="10" s="1"/>
  <c r="K298" i="10"/>
  <c r="L298" i="10" s="1"/>
  <c r="K297" i="10"/>
  <c r="L297" i="10" s="1"/>
  <c r="K296" i="10"/>
  <c r="L296" i="10" s="1"/>
  <c r="K295" i="10"/>
  <c r="L295" i="10" s="1"/>
  <c r="K294" i="10"/>
  <c r="L294" i="10" s="1"/>
  <c r="K293" i="10"/>
  <c r="L293" i="10" s="1"/>
  <c r="K292" i="10"/>
  <c r="L292" i="10" s="1"/>
  <c r="K291" i="10"/>
  <c r="L291" i="10" s="1"/>
  <c r="K290" i="10"/>
  <c r="L290" i="10" s="1"/>
  <c r="K289" i="10"/>
  <c r="L289" i="10" s="1"/>
  <c r="K288" i="10"/>
  <c r="L288" i="10" s="1"/>
  <c r="K287" i="10"/>
  <c r="L287" i="10" s="1"/>
  <c r="K286" i="10"/>
  <c r="L286" i="10" s="1"/>
  <c r="K285" i="10"/>
  <c r="L285" i="10" s="1"/>
  <c r="K284" i="10"/>
  <c r="L284" i="10" s="1"/>
  <c r="K283" i="10"/>
  <c r="L283" i="10" s="1"/>
  <c r="K282" i="10"/>
  <c r="L282" i="10" s="1"/>
  <c r="P417" i="10"/>
  <c r="AF417" i="10"/>
  <c r="P488" i="10"/>
  <c r="AF488" i="10"/>
  <c r="P484" i="10"/>
  <c r="AF484" i="10"/>
  <c r="P398" i="10"/>
  <c r="P402" i="10"/>
  <c r="P406" i="10"/>
  <c r="P410" i="10"/>
  <c r="P414" i="10"/>
  <c r="P418" i="10"/>
  <c r="P422" i="10"/>
  <c r="P426" i="10"/>
  <c r="P430" i="10"/>
  <c r="P434" i="10"/>
  <c r="P438" i="10"/>
  <c r="P486" i="10"/>
  <c r="AF486" i="10"/>
  <c r="P492" i="10"/>
  <c r="AF492" i="10"/>
  <c r="P496" i="10"/>
  <c r="AF496" i="10"/>
  <c r="P500" i="10"/>
  <c r="AF500" i="10"/>
  <c r="P466" i="10"/>
  <c r="AF466" i="10"/>
  <c r="P468" i="10"/>
  <c r="AF468" i="10"/>
  <c r="P470" i="10"/>
  <c r="AF470" i="10"/>
  <c r="P478" i="10"/>
  <c r="P480" i="10"/>
  <c r="P504" i="10"/>
  <c r="P508" i="10"/>
  <c r="P514" i="10"/>
  <c r="AF514" i="10"/>
  <c r="F514" i="10"/>
  <c r="F513" i="10"/>
  <c r="AD513" i="10" s="1"/>
  <c r="F512" i="10"/>
  <c r="AD512" i="10" s="1"/>
  <c r="G511" i="10"/>
  <c r="G510" i="10"/>
  <c r="G509" i="10"/>
  <c r="G508" i="10"/>
  <c r="G507" i="10"/>
  <c r="G506" i="10"/>
  <c r="G505" i="10"/>
  <c r="G504" i="10"/>
  <c r="G503" i="10"/>
  <c r="G502" i="10"/>
  <c r="G501" i="10"/>
  <c r="G500" i="10"/>
  <c r="G499" i="10"/>
  <c r="G498" i="10"/>
  <c r="G497" i="10"/>
  <c r="G496" i="10"/>
  <c r="G495" i="10"/>
  <c r="G494" i="10"/>
  <c r="G493" i="10"/>
  <c r="G492" i="10"/>
  <c r="G491" i="10"/>
  <c r="G490" i="10"/>
  <c r="G513" i="10"/>
  <c r="H513" i="10" s="1"/>
  <c r="G489" i="10"/>
  <c r="G488" i="10"/>
  <c r="G487" i="10"/>
  <c r="G486" i="10"/>
  <c r="G485" i="10"/>
  <c r="G484" i="10"/>
  <c r="G483" i="10"/>
  <c r="G482" i="10"/>
  <c r="G481" i="10"/>
  <c r="G480" i="10"/>
  <c r="G479" i="10"/>
  <c r="G478" i="10"/>
  <c r="G477" i="10"/>
  <c r="F476" i="10"/>
  <c r="AD476" i="10" s="1"/>
  <c r="F475" i="10"/>
  <c r="AD475" i="10" s="1"/>
  <c r="F474" i="10"/>
  <c r="AD474" i="10" s="1"/>
  <c r="F473" i="10"/>
  <c r="AD473" i="10" s="1"/>
  <c r="F472" i="10"/>
  <c r="AD472" i="10" s="1"/>
  <c r="F471" i="10"/>
  <c r="AD471" i="10" s="1"/>
  <c r="F470" i="10"/>
  <c r="AD470" i="10" s="1"/>
  <c r="F469" i="10"/>
  <c r="AD469" i="10" s="1"/>
  <c r="F468" i="10"/>
  <c r="AD468" i="10" s="1"/>
  <c r="F467" i="10"/>
  <c r="AD467" i="10" s="1"/>
  <c r="F466" i="10"/>
  <c r="AD466" i="10" s="1"/>
  <c r="F465" i="10"/>
  <c r="AD465" i="10" s="1"/>
  <c r="F464" i="10"/>
  <c r="AD464" i="10" s="1"/>
  <c r="F463" i="10"/>
  <c r="AD463" i="10" s="1"/>
  <c r="F462" i="10"/>
  <c r="AD462" i="10" s="1"/>
  <c r="F461" i="10"/>
  <c r="AD461" i="10" s="1"/>
  <c r="F460" i="10"/>
  <c r="AD460" i="10" s="1"/>
  <c r="F459" i="10"/>
  <c r="AD459" i="10" s="1"/>
  <c r="F458" i="10"/>
  <c r="AD458" i="10" s="1"/>
  <c r="F457" i="10"/>
  <c r="AD457" i="10" s="1"/>
  <c r="F456" i="10"/>
  <c r="AD456" i="10" s="1"/>
  <c r="F455" i="10"/>
  <c r="AD455" i="10" s="1"/>
  <c r="F454" i="10"/>
  <c r="AD454" i="10" s="1"/>
  <c r="F453" i="10"/>
  <c r="AD453" i="10" s="1"/>
  <c r="F452" i="10"/>
  <c r="AD452" i="10" s="1"/>
  <c r="F451" i="10"/>
  <c r="AD451" i="10" s="1"/>
  <c r="F450" i="10"/>
  <c r="AD450" i="10" s="1"/>
  <c r="F449" i="10"/>
  <c r="AD449" i="10" s="1"/>
  <c r="F448" i="10"/>
  <c r="AD448" i="10" s="1"/>
  <c r="G512" i="10"/>
  <c r="H512" i="10" s="1"/>
  <c r="F511" i="10"/>
  <c r="AD511" i="10" s="1"/>
  <c r="F509" i="10"/>
  <c r="AD509" i="10" s="1"/>
  <c r="F507" i="10"/>
  <c r="AD507" i="10" s="1"/>
  <c r="F505" i="10"/>
  <c r="AD505" i="10" s="1"/>
  <c r="F503" i="10"/>
  <c r="AD503" i="10" s="1"/>
  <c r="F501" i="10"/>
  <c r="AD501" i="10" s="1"/>
  <c r="F499" i="10"/>
  <c r="AD499" i="10" s="1"/>
  <c r="F497" i="10"/>
  <c r="AD497" i="10" s="1"/>
  <c r="F495" i="10"/>
  <c r="AD495" i="10" s="1"/>
  <c r="F493" i="10"/>
  <c r="AD493" i="10" s="1"/>
  <c r="F491" i="10"/>
  <c r="AD491" i="10" s="1"/>
  <c r="G514" i="10"/>
  <c r="F510" i="10"/>
  <c r="AD510" i="10" s="1"/>
  <c r="F506" i="10"/>
  <c r="AD506" i="10" s="1"/>
  <c r="F502" i="10"/>
  <c r="AD502" i="10" s="1"/>
  <c r="F498" i="10"/>
  <c r="AD498" i="10" s="1"/>
  <c r="F494" i="10"/>
  <c r="AD494" i="10" s="1"/>
  <c r="F490" i="10"/>
  <c r="AD490" i="10" s="1"/>
  <c r="F488" i="10"/>
  <c r="AD488" i="10" s="1"/>
  <c r="F486" i="10"/>
  <c r="AD486" i="10" s="1"/>
  <c r="F484" i="10"/>
  <c r="AD484" i="10" s="1"/>
  <c r="F482" i="10"/>
  <c r="AD482" i="10" s="1"/>
  <c r="F480" i="10"/>
  <c r="AD480" i="10" s="1"/>
  <c r="F478" i="10"/>
  <c r="AD478" i="10" s="1"/>
  <c r="G476" i="10"/>
  <c r="H476" i="10" s="1"/>
  <c r="G475" i="10"/>
  <c r="H475" i="10" s="1"/>
  <c r="G474" i="10"/>
  <c r="H474" i="10" s="1"/>
  <c r="G473" i="10"/>
  <c r="H473" i="10" s="1"/>
  <c r="G472" i="10"/>
  <c r="H472" i="10" s="1"/>
  <c r="G471" i="10"/>
  <c r="H471" i="10" s="1"/>
  <c r="G470" i="10"/>
  <c r="H470" i="10" s="1"/>
  <c r="G469" i="10"/>
  <c r="H469" i="10" s="1"/>
  <c r="G468" i="10"/>
  <c r="H468" i="10" s="1"/>
  <c r="G467" i="10"/>
  <c r="H467" i="10" s="1"/>
  <c r="G466" i="10"/>
  <c r="H466" i="10" s="1"/>
  <c r="G465" i="10"/>
  <c r="H465" i="10" s="1"/>
  <c r="G464" i="10"/>
  <c r="H464" i="10" s="1"/>
  <c r="G463" i="10"/>
  <c r="H463" i="10" s="1"/>
  <c r="G462" i="10"/>
  <c r="H462" i="10" s="1"/>
  <c r="G461" i="10"/>
  <c r="H461" i="10" s="1"/>
  <c r="G460" i="10"/>
  <c r="H460" i="10" s="1"/>
  <c r="G459" i="10"/>
  <c r="H459" i="10" s="1"/>
  <c r="G458" i="10"/>
  <c r="H458" i="10" s="1"/>
  <c r="G457" i="10"/>
  <c r="H457" i="10" s="1"/>
  <c r="G456" i="10"/>
  <c r="H456" i="10" s="1"/>
  <c r="G455" i="10"/>
  <c r="H455" i="10" s="1"/>
  <c r="G454" i="10"/>
  <c r="H454" i="10" s="1"/>
  <c r="G453" i="10"/>
  <c r="H453" i="10" s="1"/>
  <c r="G452" i="10"/>
  <c r="H452" i="10" s="1"/>
  <c r="G451" i="10"/>
  <c r="H451" i="10" s="1"/>
  <c r="G450" i="10"/>
  <c r="H450" i="10" s="1"/>
  <c r="G449" i="10"/>
  <c r="H449" i="10" s="1"/>
  <c r="G448" i="10"/>
  <c r="H448" i="10" s="1"/>
  <c r="G447" i="10"/>
  <c r="G446" i="10"/>
  <c r="G445" i="10"/>
  <c r="G444" i="10"/>
  <c r="G443" i="10"/>
  <c r="G442" i="10"/>
  <c r="G441" i="10"/>
  <c r="F504" i="10"/>
  <c r="AD504" i="10" s="1"/>
  <c r="F496" i="10"/>
  <c r="AD496" i="10" s="1"/>
  <c r="F489" i="10"/>
  <c r="AD489" i="10" s="1"/>
  <c r="F485" i="10"/>
  <c r="AD485" i="10" s="1"/>
  <c r="F481" i="10"/>
  <c r="AD481" i="10" s="1"/>
  <c r="F477" i="10"/>
  <c r="AD477" i="10" s="1"/>
  <c r="F447" i="10"/>
  <c r="AD447" i="10" s="1"/>
  <c r="F446" i="10"/>
  <c r="AD446" i="10" s="1"/>
  <c r="F445" i="10"/>
  <c r="AD445" i="10" s="1"/>
  <c r="F444" i="10"/>
  <c r="AD444" i="10" s="1"/>
  <c r="F443" i="10"/>
  <c r="AD443" i="10" s="1"/>
  <c r="F442" i="10"/>
  <c r="AD442" i="10" s="1"/>
  <c r="F441" i="10"/>
  <c r="AD441" i="10" s="1"/>
  <c r="G440" i="10"/>
  <c r="G439" i="10"/>
  <c r="G438" i="10"/>
  <c r="G437" i="10"/>
  <c r="G436" i="10"/>
  <c r="G435" i="10"/>
  <c r="G434" i="10"/>
  <c r="G433" i="10"/>
  <c r="G432" i="10"/>
  <c r="G431" i="10"/>
  <c r="G430" i="10"/>
  <c r="G429" i="10"/>
  <c r="G428" i="10"/>
  <c r="G427" i="10"/>
  <c r="G426" i="10"/>
  <c r="G425" i="10"/>
  <c r="G424" i="10"/>
  <c r="G423" i="10"/>
  <c r="G422" i="10"/>
  <c r="G421" i="10"/>
  <c r="G420" i="10"/>
  <c r="G419" i="10"/>
  <c r="G418" i="10"/>
  <c r="G417" i="10"/>
  <c r="G416" i="10"/>
  <c r="G415" i="10"/>
  <c r="G414" i="10"/>
  <c r="G413" i="10"/>
  <c r="G412" i="10"/>
  <c r="G411" i="10"/>
  <c r="G410" i="10"/>
  <c r="G409" i="10"/>
  <c r="G408" i="10"/>
  <c r="G407" i="10"/>
  <c r="G406" i="10"/>
  <c r="G405" i="10"/>
  <c r="G404" i="10"/>
  <c r="G403" i="10"/>
  <c r="G402" i="10"/>
  <c r="G401" i="10"/>
  <c r="G400" i="10"/>
  <c r="G399" i="10"/>
  <c r="G398" i="10"/>
  <c r="F500" i="10"/>
  <c r="AD500" i="10" s="1"/>
  <c r="F487" i="10"/>
  <c r="AD487" i="10" s="1"/>
  <c r="F479" i="10"/>
  <c r="AD479" i="10" s="1"/>
  <c r="F397" i="10"/>
  <c r="AD397" i="10" s="1"/>
  <c r="F396" i="10"/>
  <c r="AD396" i="10" s="1"/>
  <c r="F395" i="10"/>
  <c r="AD395" i="10" s="1"/>
  <c r="F394" i="10"/>
  <c r="AD394" i="10" s="1"/>
  <c r="F393" i="10"/>
  <c r="AD393" i="10" s="1"/>
  <c r="F392" i="10"/>
  <c r="AD392" i="10" s="1"/>
  <c r="F391" i="10"/>
  <c r="AD391" i="10" s="1"/>
  <c r="F390" i="10"/>
  <c r="AD390" i="10" s="1"/>
  <c r="F389" i="10"/>
  <c r="AD389" i="10" s="1"/>
  <c r="F388" i="10"/>
  <c r="AD388" i="10" s="1"/>
  <c r="F387" i="10"/>
  <c r="AD387" i="10" s="1"/>
  <c r="F386" i="10"/>
  <c r="AD386" i="10" s="1"/>
  <c r="F385" i="10"/>
  <c r="AD385" i="10" s="1"/>
  <c r="F384" i="10"/>
  <c r="AD384" i="10" s="1"/>
  <c r="F383" i="10"/>
  <c r="AD383" i="10" s="1"/>
  <c r="F382" i="10"/>
  <c r="AD382" i="10" s="1"/>
  <c r="F381" i="10"/>
  <c r="AD381" i="10" s="1"/>
  <c r="F380" i="10"/>
  <c r="AD380" i="10" s="1"/>
  <c r="F379" i="10"/>
  <c r="AD379" i="10" s="1"/>
  <c r="F378" i="10"/>
  <c r="AD378" i="10" s="1"/>
  <c r="F377" i="10"/>
  <c r="AD377" i="10" s="1"/>
  <c r="F376" i="10"/>
  <c r="AD376" i="10" s="1"/>
  <c r="F375" i="10"/>
  <c r="AD375" i="10" s="1"/>
  <c r="F374" i="10"/>
  <c r="AD374" i="10" s="1"/>
  <c r="F373" i="10"/>
  <c r="AD373" i="10" s="1"/>
  <c r="F372" i="10"/>
  <c r="AD372" i="10" s="1"/>
  <c r="F371" i="10"/>
  <c r="AD371" i="10" s="1"/>
  <c r="F370" i="10"/>
  <c r="AD370" i="10" s="1"/>
  <c r="F369" i="10"/>
  <c r="AD369" i="10" s="1"/>
  <c r="F368" i="10"/>
  <c r="AD368" i="10" s="1"/>
  <c r="F367" i="10"/>
  <c r="AD367" i="10" s="1"/>
  <c r="F366" i="10"/>
  <c r="AD366" i="10" s="1"/>
  <c r="F365" i="10"/>
  <c r="AD365" i="10" s="1"/>
  <c r="F364" i="10"/>
  <c r="AD364" i="10" s="1"/>
  <c r="F363" i="10"/>
  <c r="AD363" i="10" s="1"/>
  <c r="F362" i="10"/>
  <c r="AD362" i="10" s="1"/>
  <c r="F361" i="10"/>
  <c r="AD361" i="10" s="1"/>
  <c r="F360" i="10"/>
  <c r="AD360" i="10" s="1"/>
  <c r="F359" i="10"/>
  <c r="AD359" i="10" s="1"/>
  <c r="F358" i="10"/>
  <c r="AD358" i="10" s="1"/>
  <c r="F357" i="10"/>
  <c r="AD357" i="10" s="1"/>
  <c r="F356" i="10"/>
  <c r="AD356" i="10" s="1"/>
  <c r="F355" i="10"/>
  <c r="AD355" i="10" s="1"/>
  <c r="F354" i="10"/>
  <c r="AD354" i="10" s="1"/>
  <c r="F353" i="10"/>
  <c r="AD353" i="10" s="1"/>
  <c r="F352" i="10"/>
  <c r="AD352" i="10" s="1"/>
  <c r="F351" i="10"/>
  <c r="AD351" i="10" s="1"/>
  <c r="F350" i="10"/>
  <c r="AD350" i="10" s="1"/>
  <c r="F349" i="10"/>
  <c r="AD349" i="10" s="1"/>
  <c r="F348" i="10"/>
  <c r="AD348" i="10" s="1"/>
  <c r="F347" i="10"/>
  <c r="AD347" i="10" s="1"/>
  <c r="F346" i="10"/>
  <c r="AD346" i="10" s="1"/>
  <c r="F345" i="10"/>
  <c r="AD345" i="10" s="1"/>
  <c r="F344" i="10"/>
  <c r="AD344" i="10" s="1"/>
  <c r="F343" i="10"/>
  <c r="AD343" i="10" s="1"/>
  <c r="F342" i="10"/>
  <c r="AD342" i="10" s="1"/>
  <c r="F341" i="10"/>
  <c r="AD341" i="10" s="1"/>
  <c r="F340" i="10"/>
  <c r="AD340" i="10" s="1"/>
  <c r="F339" i="10"/>
  <c r="AD339" i="10" s="1"/>
  <c r="F338" i="10"/>
  <c r="AD338" i="10" s="1"/>
  <c r="F337" i="10"/>
  <c r="AD337" i="10" s="1"/>
  <c r="F336" i="10"/>
  <c r="AD336" i="10" s="1"/>
  <c r="F335" i="10"/>
  <c r="AD335" i="10" s="1"/>
  <c r="F334" i="10"/>
  <c r="AD334" i="10" s="1"/>
  <c r="F333" i="10"/>
  <c r="AD333" i="10" s="1"/>
  <c r="F332" i="10"/>
  <c r="AD332" i="10" s="1"/>
  <c r="F331" i="10"/>
  <c r="AD331" i="10" s="1"/>
  <c r="F330" i="10"/>
  <c r="AD330" i="10" s="1"/>
  <c r="F329" i="10"/>
  <c r="AD329" i="10" s="1"/>
  <c r="F328" i="10"/>
  <c r="AD328" i="10" s="1"/>
  <c r="F327" i="10"/>
  <c r="AD327" i="10" s="1"/>
  <c r="F326" i="10"/>
  <c r="AD326" i="10" s="1"/>
  <c r="F325" i="10"/>
  <c r="AD325" i="10" s="1"/>
  <c r="F324" i="10"/>
  <c r="AD324" i="10" s="1"/>
  <c r="F323" i="10"/>
  <c r="AD323" i="10" s="1"/>
  <c r="F322" i="10"/>
  <c r="AD322" i="10" s="1"/>
  <c r="F321" i="10"/>
  <c r="AD321" i="10" s="1"/>
  <c r="F320" i="10"/>
  <c r="AD320" i="10" s="1"/>
  <c r="F319" i="10"/>
  <c r="AD319" i="10" s="1"/>
  <c r="F318" i="10"/>
  <c r="AD318" i="10" s="1"/>
  <c r="F317" i="10"/>
  <c r="AD317" i="10" s="1"/>
  <c r="F316" i="10"/>
  <c r="AD316" i="10" s="1"/>
  <c r="F315" i="10"/>
  <c r="AD315" i="10" s="1"/>
  <c r="F314" i="10"/>
  <c r="AD314" i="10" s="1"/>
  <c r="F313" i="10"/>
  <c r="AD313" i="10" s="1"/>
  <c r="F492" i="10"/>
  <c r="AD492" i="10" s="1"/>
  <c r="F439" i="10"/>
  <c r="AD439" i="10" s="1"/>
  <c r="F437" i="10"/>
  <c r="AD437" i="10" s="1"/>
  <c r="F435" i="10"/>
  <c r="AD435" i="10" s="1"/>
  <c r="F433" i="10"/>
  <c r="AD433" i="10" s="1"/>
  <c r="F431" i="10"/>
  <c r="AD431" i="10" s="1"/>
  <c r="F429" i="10"/>
  <c r="AD429" i="10" s="1"/>
  <c r="F427" i="10"/>
  <c r="AD427" i="10" s="1"/>
  <c r="F425" i="10"/>
  <c r="AD425" i="10" s="1"/>
  <c r="F423" i="10"/>
  <c r="AD423" i="10" s="1"/>
  <c r="F421" i="10"/>
  <c r="AD421" i="10" s="1"/>
  <c r="F419" i="10"/>
  <c r="AD419" i="10" s="1"/>
  <c r="F417" i="10"/>
  <c r="F415" i="10"/>
  <c r="F413" i="10"/>
  <c r="AD413" i="10" s="1"/>
  <c r="F411" i="10"/>
  <c r="AD411" i="10" s="1"/>
  <c r="F409" i="10"/>
  <c r="AD409" i="10" s="1"/>
  <c r="F407" i="10"/>
  <c r="AD407" i="10" s="1"/>
  <c r="F405" i="10"/>
  <c r="AD405" i="10" s="1"/>
  <c r="F403" i="10"/>
  <c r="AD403" i="10" s="1"/>
  <c r="F401" i="10"/>
  <c r="AD401" i="10" s="1"/>
  <c r="F399" i="10"/>
  <c r="AD399" i="10" s="1"/>
  <c r="G397" i="10"/>
  <c r="G396" i="10"/>
  <c r="G395" i="10"/>
  <c r="G394" i="10"/>
  <c r="G393" i="10"/>
  <c r="G392" i="10"/>
  <c r="G391" i="10"/>
  <c r="G390" i="10"/>
  <c r="G389" i="10"/>
  <c r="G388" i="10"/>
  <c r="G387" i="10"/>
  <c r="G386" i="10"/>
  <c r="G385" i="10"/>
  <c r="G384" i="10"/>
  <c r="G383" i="10"/>
  <c r="G382" i="10"/>
  <c r="G381" i="10"/>
  <c r="G380" i="10"/>
  <c r="G379" i="10"/>
  <c r="G378" i="10"/>
  <c r="G377" i="10"/>
  <c r="G376" i="10"/>
  <c r="G375" i="10"/>
  <c r="G374" i="10"/>
  <c r="G373" i="10"/>
  <c r="G372" i="10"/>
  <c r="G371" i="10"/>
  <c r="G370" i="10"/>
  <c r="G369" i="10"/>
  <c r="G368" i="10"/>
  <c r="G367" i="10"/>
  <c r="G366" i="10"/>
  <c r="G365" i="10"/>
  <c r="G364" i="10"/>
  <c r="G363" i="10"/>
  <c r="G362" i="10"/>
  <c r="G361" i="10"/>
  <c r="G360" i="10"/>
  <c r="G359" i="10"/>
  <c r="G358" i="10"/>
  <c r="G357" i="10"/>
  <c r="G356" i="10"/>
  <c r="G355" i="10"/>
  <c r="G354" i="10"/>
  <c r="G353" i="10"/>
  <c r="G352" i="10"/>
  <c r="G351" i="10"/>
  <c r="G350" i="10"/>
  <c r="G349" i="10"/>
  <c r="G348" i="10"/>
  <c r="G347" i="10"/>
  <c r="G346" i="10"/>
  <c r="G345" i="10"/>
  <c r="G344" i="10"/>
  <c r="G343" i="10"/>
  <c r="G342" i="10"/>
  <c r="G341" i="10"/>
  <c r="G340" i="10"/>
  <c r="G339" i="10"/>
  <c r="G338" i="10"/>
  <c r="G337" i="10"/>
  <c r="G336" i="10"/>
  <c r="G335" i="10"/>
  <c r="G334" i="10"/>
  <c r="G333" i="10"/>
  <c r="G332" i="10"/>
  <c r="G331" i="10"/>
  <c r="G330" i="10"/>
  <c r="G329" i="10"/>
  <c r="G328" i="10"/>
  <c r="G327" i="10"/>
  <c r="G326" i="10"/>
  <c r="G325" i="10"/>
  <c r="G324" i="10"/>
  <c r="G323" i="10"/>
  <c r="G322" i="10"/>
  <c r="G321" i="10"/>
  <c r="G320" i="10"/>
  <c r="G319" i="10"/>
  <c r="G318" i="10"/>
  <c r="G317" i="10"/>
  <c r="G316" i="10"/>
  <c r="G315" i="10"/>
  <c r="G314" i="10"/>
  <c r="G313" i="10"/>
  <c r="F312" i="10"/>
  <c r="AD312" i="10" s="1"/>
  <c r="F311" i="10"/>
  <c r="AD311" i="10" s="1"/>
  <c r="F310" i="10"/>
  <c r="AD310" i="10" s="1"/>
  <c r="F309" i="10"/>
  <c r="AD309" i="10" s="1"/>
  <c r="F308" i="10"/>
  <c r="AD308" i="10" s="1"/>
  <c r="F307" i="10"/>
  <c r="AD307" i="10" s="1"/>
  <c r="F306" i="10"/>
  <c r="AD306" i="10" s="1"/>
  <c r="F305" i="10"/>
  <c r="AD305" i="10" s="1"/>
  <c r="F304" i="10"/>
  <c r="AD304" i="10" s="1"/>
  <c r="F303" i="10"/>
  <c r="AD303" i="10" s="1"/>
  <c r="F302" i="10"/>
  <c r="AD302" i="10" s="1"/>
  <c r="F301" i="10"/>
  <c r="AD301" i="10" s="1"/>
  <c r="F300" i="10"/>
  <c r="AD300" i="10" s="1"/>
  <c r="F299" i="10"/>
  <c r="AD299" i="10" s="1"/>
  <c r="F298" i="10"/>
  <c r="AD298" i="10" s="1"/>
  <c r="F297" i="10"/>
  <c r="AD297" i="10" s="1"/>
  <c r="F296" i="10"/>
  <c r="AD296" i="10" s="1"/>
  <c r="F295" i="10"/>
  <c r="AD295" i="10" s="1"/>
  <c r="F294" i="10"/>
  <c r="AD294" i="10" s="1"/>
  <c r="F293" i="10"/>
  <c r="AD293" i="10" s="1"/>
  <c r="F292" i="10"/>
  <c r="AD292" i="10" s="1"/>
  <c r="F291" i="10"/>
  <c r="AD291" i="10" s="1"/>
  <c r="F290" i="10"/>
  <c r="AD290" i="10" s="1"/>
  <c r="F289" i="10"/>
  <c r="AD289" i="10" s="1"/>
  <c r="F288" i="10"/>
  <c r="AD288" i="10" s="1"/>
  <c r="F287" i="10"/>
  <c r="AD287" i="10" s="1"/>
  <c r="F286" i="10"/>
  <c r="AD286" i="10" s="1"/>
  <c r="F285" i="10"/>
  <c r="AD285" i="10" s="1"/>
  <c r="F284" i="10"/>
  <c r="AD284" i="10" s="1"/>
  <c r="F283" i="10"/>
  <c r="AD283" i="10" s="1"/>
  <c r="F282" i="10"/>
  <c r="AD282" i="10" s="1"/>
  <c r="F508" i="10"/>
  <c r="AD508" i="10" s="1"/>
  <c r="F483" i="10"/>
  <c r="AD483" i="10" s="1"/>
  <c r="F440" i="10"/>
  <c r="AD440" i="10" s="1"/>
  <c r="F438" i="10"/>
  <c r="AD438" i="10" s="1"/>
  <c r="F436" i="10"/>
  <c r="AD436" i="10" s="1"/>
  <c r="F434" i="10"/>
  <c r="AD434" i="10" s="1"/>
  <c r="F432" i="10"/>
  <c r="AD432" i="10" s="1"/>
  <c r="F430" i="10"/>
  <c r="AD430" i="10" s="1"/>
  <c r="F428" i="10"/>
  <c r="AD428" i="10" s="1"/>
  <c r="F426" i="10"/>
  <c r="AD426" i="10" s="1"/>
  <c r="F424" i="10"/>
  <c r="AD424" i="10" s="1"/>
  <c r="F422" i="10"/>
  <c r="AD422" i="10" s="1"/>
  <c r="F420" i="10"/>
  <c r="AD420" i="10" s="1"/>
  <c r="F418" i="10"/>
  <c r="AD418" i="10" s="1"/>
  <c r="F416" i="10"/>
  <c r="AD416" i="10" s="1"/>
  <c r="F414" i="10"/>
  <c r="AD414" i="10" s="1"/>
  <c r="F412" i="10"/>
  <c r="AD412" i="10" s="1"/>
  <c r="F410" i="10"/>
  <c r="AD410" i="10" s="1"/>
  <c r="F408" i="10"/>
  <c r="AD408" i="10" s="1"/>
  <c r="F406" i="10"/>
  <c r="AD406" i="10" s="1"/>
  <c r="F404" i="10"/>
  <c r="AD404" i="10" s="1"/>
  <c r="F402" i="10"/>
  <c r="AD402" i="10" s="1"/>
  <c r="F400" i="10"/>
  <c r="AD400" i="10" s="1"/>
  <c r="F398" i="10"/>
  <c r="AD398" i="10" s="1"/>
  <c r="G312" i="10"/>
  <c r="G311" i="10"/>
  <c r="G310" i="10"/>
  <c r="G309" i="10"/>
  <c r="G308" i="10"/>
  <c r="G307" i="10"/>
  <c r="G306" i="10"/>
  <c r="G305" i="10"/>
  <c r="G304" i="10"/>
  <c r="G303" i="10"/>
  <c r="G302" i="10"/>
  <c r="G301" i="10"/>
  <c r="G300" i="10"/>
  <c r="G299" i="10"/>
  <c r="G298" i="10"/>
  <c r="G297" i="10"/>
  <c r="G296" i="10"/>
  <c r="G295" i="10"/>
  <c r="G294" i="10"/>
  <c r="G293" i="10"/>
  <c r="G292" i="10"/>
  <c r="G291" i="10"/>
  <c r="G290" i="10"/>
  <c r="G289" i="10"/>
  <c r="G288" i="10"/>
  <c r="G287" i="10"/>
  <c r="G286" i="10"/>
  <c r="G285" i="10"/>
  <c r="G284" i="10"/>
  <c r="G283" i="10"/>
  <c r="G282" i="10"/>
  <c r="P415" i="10"/>
  <c r="AF415" i="10"/>
  <c r="P313" i="10"/>
  <c r="P315" i="10"/>
  <c r="P317" i="10"/>
  <c r="P319" i="10"/>
  <c r="P321" i="10"/>
  <c r="P323" i="10"/>
  <c r="P325" i="10"/>
  <c r="P327" i="10"/>
  <c r="P329" i="10"/>
  <c r="P331" i="10"/>
  <c r="P333" i="10"/>
  <c r="P335" i="10"/>
  <c r="P337" i="10"/>
  <c r="P339" i="10"/>
  <c r="P341" i="10"/>
  <c r="P343" i="10"/>
  <c r="P345" i="10"/>
  <c r="P347" i="10"/>
  <c r="P349" i="10"/>
  <c r="P351" i="10"/>
  <c r="P353" i="10"/>
  <c r="P355" i="10"/>
  <c r="P357" i="10"/>
  <c r="P359" i="10"/>
  <c r="P361" i="10"/>
  <c r="P363" i="10"/>
  <c r="P365" i="10"/>
  <c r="P367" i="10"/>
  <c r="P369" i="10"/>
  <c r="P371" i="10"/>
  <c r="P373" i="10"/>
  <c r="P375" i="10"/>
  <c r="P377" i="10"/>
  <c r="P379" i="10"/>
  <c r="P381" i="10"/>
  <c r="P383" i="10"/>
  <c r="P385" i="10"/>
  <c r="P387" i="10"/>
  <c r="P389" i="10"/>
  <c r="P391" i="10"/>
  <c r="P393" i="10"/>
  <c r="P395" i="10"/>
  <c r="P397" i="10"/>
  <c r="P476" i="10"/>
  <c r="P399" i="10"/>
  <c r="P401" i="10"/>
  <c r="P403" i="10"/>
  <c r="P405" i="10"/>
  <c r="P407" i="10"/>
  <c r="P409" i="10"/>
  <c r="P411" i="10"/>
  <c r="P413" i="10"/>
  <c r="P419" i="10"/>
  <c r="P421" i="10"/>
  <c r="P423" i="10"/>
  <c r="P425" i="10"/>
  <c r="P427" i="10"/>
  <c r="P429" i="10"/>
  <c r="P431" i="10"/>
  <c r="P433" i="10"/>
  <c r="P435" i="10"/>
  <c r="P437" i="10"/>
  <c r="P439" i="10"/>
  <c r="P482" i="10"/>
  <c r="AF482" i="10"/>
  <c r="P442" i="10"/>
  <c r="P444" i="10"/>
  <c r="P446" i="10"/>
  <c r="P448" i="10"/>
  <c r="P450" i="10"/>
  <c r="P452" i="10"/>
  <c r="P454" i="10"/>
  <c r="P456" i="10"/>
  <c r="P458" i="10"/>
  <c r="P460" i="10"/>
  <c r="P462" i="10"/>
  <c r="P464" i="10"/>
  <c r="P472" i="10"/>
  <c r="P474" i="10"/>
  <c r="P490" i="10"/>
  <c r="AF490" i="10"/>
  <c r="P494" i="10"/>
  <c r="AF494" i="10"/>
  <c r="P498" i="10"/>
  <c r="AF498" i="10"/>
  <c r="P502" i="10"/>
  <c r="AF502" i="10"/>
  <c r="P475" i="10"/>
  <c r="AF475" i="10"/>
  <c r="P477" i="10"/>
  <c r="P479" i="10"/>
  <c r="P481" i="10"/>
  <c r="P483" i="10"/>
  <c r="P485" i="10"/>
  <c r="P487" i="10"/>
  <c r="P489" i="10"/>
  <c r="P491" i="10"/>
  <c r="P493" i="10"/>
  <c r="P495" i="10"/>
  <c r="P497" i="10"/>
  <c r="P499" i="10"/>
  <c r="P501" i="10"/>
  <c r="P503" i="10"/>
  <c r="P505" i="10"/>
  <c r="P507" i="10"/>
  <c r="P509" i="10"/>
  <c r="P513" i="10"/>
  <c r="AF513" i="10"/>
  <c r="P274" i="10"/>
  <c r="P278" i="10"/>
  <c r="P271" i="10"/>
  <c r="P279" i="10"/>
  <c r="P196" i="10"/>
  <c r="P204" i="10"/>
  <c r="P212" i="10"/>
  <c r="P220" i="10"/>
  <c r="P200" i="10"/>
  <c r="P208" i="10"/>
  <c r="P216" i="10"/>
  <c r="P193" i="10"/>
  <c r="P197" i="10"/>
  <c r="P201" i="10"/>
  <c r="P205" i="10"/>
  <c r="P209" i="10"/>
  <c r="P213" i="10"/>
  <c r="P217" i="10"/>
  <c r="P221" i="10"/>
  <c r="P269" i="10"/>
  <c r="P272" i="10"/>
  <c r="P276" i="10"/>
  <c r="P280" i="10"/>
  <c r="K177" i="10"/>
  <c r="J281" i="10"/>
  <c r="AE281" i="10" s="1"/>
  <c r="J280" i="10"/>
  <c r="AE280" i="10" s="1"/>
  <c r="J279" i="10"/>
  <c r="AE279" i="10" s="1"/>
  <c r="J278" i="10"/>
  <c r="AE278" i="10" s="1"/>
  <c r="J277" i="10"/>
  <c r="AE277" i="10" s="1"/>
  <c r="J276" i="10"/>
  <c r="AE276" i="10" s="1"/>
  <c r="J275" i="10"/>
  <c r="AE275" i="10" s="1"/>
  <c r="J274" i="10"/>
  <c r="AE274" i="10" s="1"/>
  <c r="J273" i="10"/>
  <c r="AE273" i="10" s="1"/>
  <c r="J272" i="10"/>
  <c r="AE272" i="10" s="1"/>
  <c r="K281" i="10"/>
  <c r="L281" i="10" s="1"/>
  <c r="K279" i="10"/>
  <c r="K277" i="10"/>
  <c r="L277" i="10" s="1"/>
  <c r="K275" i="10"/>
  <c r="K273" i="10"/>
  <c r="L273" i="10" s="1"/>
  <c r="K271" i="10"/>
  <c r="K270" i="10"/>
  <c r="K269" i="10"/>
  <c r="J268" i="10"/>
  <c r="AE268" i="10" s="1"/>
  <c r="K267" i="10"/>
  <c r="J266" i="10"/>
  <c r="AE266" i="10" s="1"/>
  <c r="K265" i="10"/>
  <c r="J264" i="10"/>
  <c r="AE264" i="10" s="1"/>
  <c r="K263" i="10"/>
  <c r="J262" i="10"/>
  <c r="AE262" i="10" s="1"/>
  <c r="K261" i="10"/>
  <c r="J260" i="10"/>
  <c r="AE260" i="10" s="1"/>
  <c r="K259" i="10"/>
  <c r="J258" i="10"/>
  <c r="AE258" i="10" s="1"/>
  <c r="K257" i="10"/>
  <c r="J256" i="10"/>
  <c r="AE256" i="10" s="1"/>
  <c r="K255" i="10"/>
  <c r="J254" i="10"/>
  <c r="AE254" i="10" s="1"/>
  <c r="K253" i="10"/>
  <c r="J252" i="10"/>
  <c r="AE252" i="10" s="1"/>
  <c r="K278" i="10"/>
  <c r="K274" i="10"/>
  <c r="J270" i="10"/>
  <c r="AE270" i="10" s="1"/>
  <c r="J267" i="10"/>
  <c r="AE267" i="10" s="1"/>
  <c r="K266" i="10"/>
  <c r="J263" i="10"/>
  <c r="AE263" i="10" s="1"/>
  <c r="K262" i="10"/>
  <c r="J259" i="10"/>
  <c r="AE259" i="10" s="1"/>
  <c r="K258" i="10"/>
  <c r="J255" i="10"/>
  <c r="AE255" i="10" s="1"/>
  <c r="K254" i="10"/>
  <c r="K276" i="10"/>
  <c r="J269" i="10"/>
  <c r="AE269" i="10" s="1"/>
  <c r="K264" i="10"/>
  <c r="J261" i="10"/>
  <c r="AE261" i="10" s="1"/>
  <c r="K256" i="10"/>
  <c r="J253" i="10"/>
  <c r="AE253" i="10" s="1"/>
  <c r="K251" i="10"/>
  <c r="J250" i="10"/>
  <c r="AE250" i="10" s="1"/>
  <c r="K249" i="10"/>
  <c r="J248" i="10"/>
  <c r="AE248" i="10" s="1"/>
  <c r="K247" i="10"/>
  <c r="J246" i="10"/>
  <c r="AE246" i="10" s="1"/>
  <c r="K245" i="10"/>
  <c r="J244" i="10"/>
  <c r="AE244" i="10" s="1"/>
  <c r="K243" i="10"/>
  <c r="J242" i="10"/>
  <c r="AE242" i="10" s="1"/>
  <c r="K241" i="10"/>
  <c r="J240" i="10"/>
  <c r="AE240" i="10" s="1"/>
  <c r="K239" i="10"/>
  <c r="J238" i="10"/>
  <c r="AE238" i="10" s="1"/>
  <c r="K237" i="10"/>
  <c r="J236" i="10"/>
  <c r="AE236" i="10" s="1"/>
  <c r="K235" i="10"/>
  <c r="J234" i="10"/>
  <c r="AE234" i="10" s="1"/>
  <c r="K233" i="10"/>
  <c r="K272" i="10"/>
  <c r="K268" i="10"/>
  <c r="J257" i="10"/>
  <c r="AE257" i="10" s="1"/>
  <c r="K252" i="10"/>
  <c r="J249" i="10"/>
  <c r="AE249" i="10" s="1"/>
  <c r="K248" i="10"/>
  <c r="J245" i="10"/>
  <c r="AE245" i="10" s="1"/>
  <c r="K244" i="10"/>
  <c r="J241" i="10"/>
  <c r="AE241" i="10" s="1"/>
  <c r="K240" i="10"/>
  <c r="J237" i="10"/>
  <c r="AE237" i="10" s="1"/>
  <c r="K236" i="10"/>
  <c r="J233" i="10"/>
  <c r="AE233" i="10" s="1"/>
  <c r="K232" i="10"/>
  <c r="J231" i="10"/>
  <c r="AE231" i="10" s="1"/>
  <c r="K230" i="10"/>
  <c r="J229" i="10"/>
  <c r="AE229" i="10" s="1"/>
  <c r="K228" i="10"/>
  <c r="J227" i="10"/>
  <c r="AE227" i="10" s="1"/>
  <c r="K226" i="10"/>
  <c r="J225" i="10"/>
  <c r="AE225" i="10" s="1"/>
  <c r="K224" i="10"/>
  <c r="K223" i="10"/>
  <c r="J222" i="10"/>
  <c r="AE222" i="10" s="1"/>
  <c r="K221" i="10"/>
  <c r="J220" i="10"/>
  <c r="AE220" i="10" s="1"/>
  <c r="K219" i="10"/>
  <c r="J218" i="10"/>
  <c r="AE218" i="10" s="1"/>
  <c r="K217" i="10"/>
  <c r="J216" i="10"/>
  <c r="AE216" i="10" s="1"/>
  <c r="K215" i="10"/>
  <c r="J214" i="10"/>
  <c r="AE214" i="10" s="1"/>
  <c r="K213" i="10"/>
  <c r="J212" i="10"/>
  <c r="AE212" i="10" s="1"/>
  <c r="K211" i="10"/>
  <c r="J210" i="10"/>
  <c r="AE210" i="10" s="1"/>
  <c r="K209" i="10"/>
  <c r="J208" i="10"/>
  <c r="AE208" i="10" s="1"/>
  <c r="K207" i="10"/>
  <c r="J206" i="10"/>
  <c r="AE206" i="10" s="1"/>
  <c r="K205" i="10"/>
  <c r="J204" i="10"/>
  <c r="AE204" i="10" s="1"/>
  <c r="K203" i="10"/>
  <c r="J202" i="10"/>
  <c r="AE202" i="10" s="1"/>
  <c r="K201" i="10"/>
  <c r="J200" i="10"/>
  <c r="AE200" i="10" s="1"/>
  <c r="K199" i="10"/>
  <c r="J198" i="10"/>
  <c r="AE198" i="10" s="1"/>
  <c r="K197" i="10"/>
  <c r="J196" i="10"/>
  <c r="AE196" i="10" s="1"/>
  <c r="K195" i="10"/>
  <c r="J194" i="10"/>
  <c r="AE194" i="10" s="1"/>
  <c r="K193" i="10"/>
  <c r="J265" i="10"/>
  <c r="AE265" i="10" s="1"/>
  <c r="K260" i="10"/>
  <c r="K250" i="10"/>
  <c r="J247" i="10"/>
  <c r="AE247" i="10" s="1"/>
  <c r="K242" i="10"/>
  <c r="J239" i="10"/>
  <c r="AE239" i="10" s="1"/>
  <c r="K234" i="10"/>
  <c r="J230" i="10"/>
  <c r="AE230" i="10" s="1"/>
  <c r="K229" i="10"/>
  <c r="J226" i="10"/>
  <c r="AE226" i="10" s="1"/>
  <c r="K225" i="10"/>
  <c r="J221" i="10"/>
  <c r="AE221" i="10" s="1"/>
  <c r="K220" i="10"/>
  <c r="L220" i="10" s="1"/>
  <c r="J217" i="10"/>
  <c r="AE217" i="10" s="1"/>
  <c r="K216" i="10"/>
  <c r="L216" i="10" s="1"/>
  <c r="J213" i="10"/>
  <c r="AE213" i="10" s="1"/>
  <c r="K212" i="10"/>
  <c r="L212" i="10" s="1"/>
  <c r="J209" i="10"/>
  <c r="AE209" i="10" s="1"/>
  <c r="K208" i="10"/>
  <c r="L208" i="10" s="1"/>
  <c r="J205" i="10"/>
  <c r="AE205" i="10" s="1"/>
  <c r="K204" i="10"/>
  <c r="L204" i="10" s="1"/>
  <c r="J201" i="10"/>
  <c r="AE201" i="10" s="1"/>
  <c r="K200" i="10"/>
  <c r="L200" i="10" s="1"/>
  <c r="J197" i="10"/>
  <c r="AE197" i="10" s="1"/>
  <c r="K196" i="10"/>
  <c r="L196" i="10" s="1"/>
  <c r="J193" i="10"/>
  <c r="AE193" i="10" s="1"/>
  <c r="J192" i="10"/>
  <c r="AE192" i="10" s="1"/>
  <c r="K191" i="10"/>
  <c r="J190" i="10"/>
  <c r="AE190" i="10" s="1"/>
  <c r="K189" i="10"/>
  <c r="J188" i="10"/>
  <c r="AE188" i="10" s="1"/>
  <c r="K187" i="10"/>
  <c r="J186" i="10"/>
  <c r="AE186" i="10" s="1"/>
  <c r="K185" i="10"/>
  <c r="J184" i="10"/>
  <c r="AE184" i="10" s="1"/>
  <c r="K183" i="10"/>
  <c r="J182" i="10"/>
  <c r="AE182" i="10" s="1"/>
  <c r="K181" i="10"/>
  <c r="J180" i="10"/>
  <c r="AE180" i="10" s="1"/>
  <c r="K179" i="10"/>
  <c r="J178" i="10"/>
  <c r="AE178" i="10" s="1"/>
  <c r="K280" i="10"/>
  <c r="J271" i="10"/>
  <c r="AE271" i="10" s="1"/>
  <c r="J251" i="10"/>
  <c r="AE251" i="10" s="1"/>
  <c r="K246" i="10"/>
  <c r="J243" i="10"/>
  <c r="AE243" i="10" s="1"/>
  <c r="K238" i="10"/>
  <c r="J235" i="10"/>
  <c r="AE235" i="10" s="1"/>
  <c r="J232" i="10"/>
  <c r="AE232" i="10" s="1"/>
  <c r="K231" i="10"/>
  <c r="L231" i="10" s="1"/>
  <c r="J228" i="10"/>
  <c r="AE228" i="10" s="1"/>
  <c r="K227" i="10"/>
  <c r="L227" i="10" s="1"/>
  <c r="J224" i="10"/>
  <c r="AE224" i="10" s="1"/>
  <c r="J223" i="10"/>
  <c r="AE223" i="10" s="1"/>
  <c r="K218" i="10"/>
  <c r="L218" i="10" s="1"/>
  <c r="J215" i="10"/>
  <c r="AE215" i="10" s="1"/>
  <c r="K210" i="10"/>
  <c r="L210" i="10" s="1"/>
  <c r="J207" i="10"/>
  <c r="AE207" i="10" s="1"/>
  <c r="K202" i="10"/>
  <c r="L202" i="10" s="1"/>
  <c r="J199" i="10"/>
  <c r="AE199" i="10" s="1"/>
  <c r="K194" i="10"/>
  <c r="L194" i="10" s="1"/>
  <c r="K192" i="10"/>
  <c r="J189" i="10"/>
  <c r="AE189" i="10" s="1"/>
  <c r="K188" i="10"/>
  <c r="J185" i="10"/>
  <c r="AE185" i="10" s="1"/>
  <c r="K184" i="10"/>
  <c r="J181" i="10"/>
  <c r="AE181" i="10" s="1"/>
  <c r="K180" i="10"/>
  <c r="K222" i="10"/>
  <c r="L222" i="10" s="1"/>
  <c r="J219" i="10"/>
  <c r="AE219" i="10" s="1"/>
  <c r="K214" i="10"/>
  <c r="L214" i="10" s="1"/>
  <c r="J211" i="10"/>
  <c r="AE211" i="10" s="1"/>
  <c r="K206" i="10"/>
  <c r="L206" i="10" s="1"/>
  <c r="J203" i="10"/>
  <c r="AE203" i="10" s="1"/>
  <c r="K198" i="10"/>
  <c r="L198" i="10" s="1"/>
  <c r="J195" i="10"/>
  <c r="AE195" i="10" s="1"/>
  <c r="J191" i="10"/>
  <c r="AE191" i="10" s="1"/>
  <c r="K190" i="10"/>
  <c r="J187" i="10"/>
  <c r="AE187" i="10" s="1"/>
  <c r="K186" i="10"/>
  <c r="J183" i="10"/>
  <c r="AE183" i="10" s="1"/>
  <c r="K182" i="10"/>
  <c r="J179" i="10"/>
  <c r="AE179" i="10" s="1"/>
  <c r="K178" i="10"/>
  <c r="P241" i="10"/>
  <c r="AF241" i="10"/>
  <c r="P249" i="10"/>
  <c r="AF249" i="10"/>
  <c r="P245" i="10"/>
  <c r="AF245" i="10"/>
  <c r="P255" i="10"/>
  <c r="AF255" i="10"/>
  <c r="P195" i="10"/>
  <c r="P199" i="10"/>
  <c r="P203" i="10"/>
  <c r="P207" i="10"/>
  <c r="P211" i="10"/>
  <c r="P215" i="10"/>
  <c r="P219" i="10"/>
  <c r="P223" i="10"/>
  <c r="P239" i="10"/>
  <c r="AF239" i="10"/>
  <c r="P243" i="10"/>
  <c r="AF243" i="10"/>
  <c r="P247" i="10"/>
  <c r="AF247" i="10"/>
  <c r="P251" i="10"/>
  <c r="AF251" i="10"/>
  <c r="P263" i="10"/>
  <c r="AF263" i="10"/>
  <c r="P240" i="10"/>
  <c r="AF240" i="10"/>
  <c r="P242" i="10"/>
  <c r="AF242" i="10"/>
  <c r="P244" i="10"/>
  <c r="AF244" i="10"/>
  <c r="P246" i="10"/>
  <c r="AF246" i="10"/>
  <c r="P248" i="10"/>
  <c r="AF248" i="10"/>
  <c r="P250" i="10"/>
  <c r="AF250" i="10"/>
  <c r="G175" i="10"/>
  <c r="F281" i="10"/>
  <c r="F280" i="10"/>
  <c r="F279" i="10"/>
  <c r="F278" i="10"/>
  <c r="F277" i="10"/>
  <c r="F276" i="10"/>
  <c r="F275" i="10"/>
  <c r="F274" i="10"/>
  <c r="F273" i="10"/>
  <c r="F272" i="10"/>
  <c r="G280" i="10"/>
  <c r="G278" i="10"/>
  <c r="G276" i="10"/>
  <c r="G274" i="10"/>
  <c r="G272" i="10"/>
  <c r="G271" i="10"/>
  <c r="G270" i="10"/>
  <c r="G269" i="10"/>
  <c r="F268" i="10"/>
  <c r="AD268" i="10" s="1"/>
  <c r="G267" i="10"/>
  <c r="F266" i="10"/>
  <c r="AD266" i="10" s="1"/>
  <c r="G265" i="10"/>
  <c r="F264" i="10"/>
  <c r="AD264" i="10" s="1"/>
  <c r="G263" i="10"/>
  <c r="F262" i="10"/>
  <c r="AD262" i="10" s="1"/>
  <c r="G261" i="10"/>
  <c r="F260" i="10"/>
  <c r="AD260" i="10" s="1"/>
  <c r="G259" i="10"/>
  <c r="F258" i="10"/>
  <c r="AD258" i="10" s="1"/>
  <c r="G257" i="10"/>
  <c r="F256" i="10"/>
  <c r="AD256" i="10" s="1"/>
  <c r="G255" i="10"/>
  <c r="F254" i="10"/>
  <c r="AD254" i="10" s="1"/>
  <c r="G253" i="10"/>
  <c r="F252" i="10"/>
  <c r="AD252" i="10" s="1"/>
  <c r="G281" i="10"/>
  <c r="G277" i="10"/>
  <c r="G273" i="10"/>
  <c r="F271" i="10"/>
  <c r="F269" i="10"/>
  <c r="G268" i="10"/>
  <c r="H268" i="10" s="1"/>
  <c r="F265" i="10"/>
  <c r="AD265" i="10" s="1"/>
  <c r="G264" i="10"/>
  <c r="H264" i="10" s="1"/>
  <c r="F261" i="10"/>
  <c r="AD261" i="10" s="1"/>
  <c r="G260" i="10"/>
  <c r="H260" i="10" s="1"/>
  <c r="F257" i="10"/>
  <c r="AD257" i="10" s="1"/>
  <c r="G256" i="10"/>
  <c r="H256" i="10" s="1"/>
  <c r="F253" i="10"/>
  <c r="AD253" i="10" s="1"/>
  <c r="G252" i="10"/>
  <c r="H252" i="10" s="1"/>
  <c r="G275" i="10"/>
  <c r="G266" i="10"/>
  <c r="H266" i="10" s="1"/>
  <c r="F263" i="10"/>
  <c r="AD263" i="10" s="1"/>
  <c r="G258" i="10"/>
  <c r="H258" i="10" s="1"/>
  <c r="F255" i="10"/>
  <c r="AD255" i="10" s="1"/>
  <c r="G251" i="10"/>
  <c r="F250" i="10"/>
  <c r="AD250" i="10" s="1"/>
  <c r="G249" i="10"/>
  <c r="F248" i="10"/>
  <c r="AD248" i="10" s="1"/>
  <c r="G247" i="10"/>
  <c r="F246" i="10"/>
  <c r="AD246" i="10" s="1"/>
  <c r="G245" i="10"/>
  <c r="F244" i="10"/>
  <c r="AD244" i="10" s="1"/>
  <c r="G243" i="10"/>
  <c r="F242" i="10"/>
  <c r="AD242" i="10" s="1"/>
  <c r="G241" i="10"/>
  <c r="F240" i="10"/>
  <c r="AD240" i="10" s="1"/>
  <c r="G239" i="10"/>
  <c r="F238" i="10"/>
  <c r="AD238" i="10" s="1"/>
  <c r="G237" i="10"/>
  <c r="F236" i="10"/>
  <c r="AD236" i="10" s="1"/>
  <c r="G235" i="10"/>
  <c r="F234" i="10"/>
  <c r="AD234" i="10" s="1"/>
  <c r="G233" i="10"/>
  <c r="G279" i="10"/>
  <c r="F267" i="10"/>
  <c r="AD267" i="10" s="1"/>
  <c r="G262" i="10"/>
  <c r="F251" i="10"/>
  <c r="AD251" i="10" s="1"/>
  <c r="G250" i="10"/>
  <c r="H250" i="10" s="1"/>
  <c r="F247" i="10"/>
  <c r="AD247" i="10" s="1"/>
  <c r="G246" i="10"/>
  <c r="H246" i="10" s="1"/>
  <c r="F243" i="10"/>
  <c r="AD243" i="10" s="1"/>
  <c r="G242" i="10"/>
  <c r="H242" i="10" s="1"/>
  <c r="F239" i="10"/>
  <c r="AD239" i="10" s="1"/>
  <c r="G238" i="10"/>
  <c r="H238" i="10" s="1"/>
  <c r="F235" i="10"/>
  <c r="AD235" i="10" s="1"/>
  <c r="G234" i="10"/>
  <c r="H234" i="10" s="1"/>
  <c r="G232" i="10"/>
  <c r="F231" i="10"/>
  <c r="AD231" i="10" s="1"/>
  <c r="G230" i="10"/>
  <c r="F229" i="10"/>
  <c r="AD229" i="10" s="1"/>
  <c r="G228" i="10"/>
  <c r="F227" i="10"/>
  <c r="AD227" i="10" s="1"/>
  <c r="G226" i="10"/>
  <c r="F225" i="10"/>
  <c r="AD225" i="10" s="1"/>
  <c r="G224" i="10"/>
  <c r="G223" i="10"/>
  <c r="F222" i="10"/>
  <c r="AD222" i="10" s="1"/>
  <c r="G221" i="10"/>
  <c r="F220" i="10"/>
  <c r="AD220" i="10" s="1"/>
  <c r="G219" i="10"/>
  <c r="F218" i="10"/>
  <c r="AD218" i="10" s="1"/>
  <c r="G217" i="10"/>
  <c r="F216" i="10"/>
  <c r="AD216" i="10" s="1"/>
  <c r="G215" i="10"/>
  <c r="F214" i="10"/>
  <c r="AD214" i="10" s="1"/>
  <c r="G213" i="10"/>
  <c r="F212" i="10"/>
  <c r="AD212" i="10" s="1"/>
  <c r="G211" i="10"/>
  <c r="F210" i="10"/>
  <c r="AD210" i="10" s="1"/>
  <c r="G209" i="10"/>
  <c r="F208" i="10"/>
  <c r="AD208" i="10" s="1"/>
  <c r="G207" i="10"/>
  <c r="F206" i="10"/>
  <c r="AD206" i="10" s="1"/>
  <c r="G205" i="10"/>
  <c r="F204" i="10"/>
  <c r="AD204" i="10" s="1"/>
  <c r="G203" i="10"/>
  <c r="F202" i="10"/>
  <c r="AD202" i="10" s="1"/>
  <c r="G201" i="10"/>
  <c r="F200" i="10"/>
  <c r="AD200" i="10" s="1"/>
  <c r="G199" i="10"/>
  <c r="F198" i="10"/>
  <c r="AD198" i="10" s="1"/>
  <c r="G197" i="10"/>
  <c r="F196" i="10"/>
  <c r="AD196" i="10" s="1"/>
  <c r="G195" i="10"/>
  <c r="F194" i="10"/>
  <c r="AD194" i="10" s="1"/>
  <c r="G193" i="10"/>
  <c r="F270" i="10"/>
  <c r="F249" i="10"/>
  <c r="AD249" i="10" s="1"/>
  <c r="G244" i="10"/>
  <c r="F241" i="10"/>
  <c r="AD241" i="10" s="1"/>
  <c r="G236" i="10"/>
  <c r="F233" i="10"/>
  <c r="AD233" i="10" s="1"/>
  <c r="F232" i="10"/>
  <c r="AD232" i="10" s="1"/>
  <c r="G231" i="10"/>
  <c r="H231" i="10" s="1"/>
  <c r="F228" i="10"/>
  <c r="AD228" i="10" s="1"/>
  <c r="G227" i="10"/>
  <c r="H227" i="10" s="1"/>
  <c r="F224" i="10"/>
  <c r="AD224" i="10" s="1"/>
  <c r="F223" i="10"/>
  <c r="AD223" i="10" s="1"/>
  <c r="G222" i="10"/>
  <c r="H222" i="10" s="1"/>
  <c r="F219" i="10"/>
  <c r="AD219" i="10" s="1"/>
  <c r="G218" i="10"/>
  <c r="H218" i="10" s="1"/>
  <c r="F215" i="10"/>
  <c r="AD215" i="10" s="1"/>
  <c r="G214" i="10"/>
  <c r="H214" i="10" s="1"/>
  <c r="F211" i="10"/>
  <c r="AD211" i="10" s="1"/>
  <c r="G210" i="10"/>
  <c r="H210" i="10" s="1"/>
  <c r="F207" i="10"/>
  <c r="AD207" i="10" s="1"/>
  <c r="G206" i="10"/>
  <c r="H206" i="10" s="1"/>
  <c r="F203" i="10"/>
  <c r="AD203" i="10" s="1"/>
  <c r="G202" i="10"/>
  <c r="H202" i="10" s="1"/>
  <c r="F199" i="10"/>
  <c r="AD199" i="10" s="1"/>
  <c r="G198" i="10"/>
  <c r="H198" i="10" s="1"/>
  <c r="F195" i="10"/>
  <c r="AD195" i="10" s="1"/>
  <c r="G194" i="10"/>
  <c r="H194" i="10" s="1"/>
  <c r="F192" i="10"/>
  <c r="AD192" i="10" s="1"/>
  <c r="G191" i="10"/>
  <c r="F190" i="10"/>
  <c r="AD190" i="10" s="1"/>
  <c r="G189" i="10"/>
  <c r="F188" i="10"/>
  <c r="AD188" i="10" s="1"/>
  <c r="G187" i="10"/>
  <c r="F186" i="10"/>
  <c r="AD186" i="10" s="1"/>
  <c r="G185" i="10"/>
  <c r="F184" i="10"/>
  <c r="AD184" i="10" s="1"/>
  <c r="G183" i="10"/>
  <c r="F182" i="10"/>
  <c r="AD182" i="10" s="1"/>
  <c r="G181" i="10"/>
  <c r="F180" i="10"/>
  <c r="AD180" i="10" s="1"/>
  <c r="G179" i="10"/>
  <c r="F178" i="10"/>
  <c r="AD178" i="10" s="1"/>
  <c r="F259" i="10"/>
  <c r="AD259" i="10" s="1"/>
  <c r="G254" i="10"/>
  <c r="G248" i="10"/>
  <c r="F245" i="10"/>
  <c r="AD245" i="10" s="1"/>
  <c r="G240" i="10"/>
  <c r="F237" i="10"/>
  <c r="AD237" i="10" s="1"/>
  <c r="F230" i="10"/>
  <c r="AD230" i="10" s="1"/>
  <c r="G229" i="10"/>
  <c r="H229" i="10" s="1"/>
  <c r="F226" i="10"/>
  <c r="AD226" i="10" s="1"/>
  <c r="G225" i="10"/>
  <c r="H225" i="10" s="1"/>
  <c r="G220" i="10"/>
  <c r="H220" i="10" s="1"/>
  <c r="F217" i="10"/>
  <c r="AD217" i="10" s="1"/>
  <c r="G212" i="10"/>
  <c r="H212" i="10" s="1"/>
  <c r="F209" i="10"/>
  <c r="AD209" i="10" s="1"/>
  <c r="G204" i="10"/>
  <c r="H204" i="10" s="1"/>
  <c r="F201" i="10"/>
  <c r="AD201" i="10" s="1"/>
  <c r="G196" i="10"/>
  <c r="H196" i="10" s="1"/>
  <c r="F193" i="10"/>
  <c r="AD193" i="10" s="1"/>
  <c r="F191" i="10"/>
  <c r="AD191" i="10" s="1"/>
  <c r="G190" i="10"/>
  <c r="H190" i="10" s="1"/>
  <c r="F187" i="10"/>
  <c r="AD187" i="10" s="1"/>
  <c r="G186" i="10"/>
  <c r="H186" i="10" s="1"/>
  <c r="F183" i="10"/>
  <c r="AD183" i="10" s="1"/>
  <c r="G182" i="10"/>
  <c r="H182" i="10" s="1"/>
  <c r="F179" i="10"/>
  <c r="AD179" i="10" s="1"/>
  <c r="G178" i="10"/>
  <c r="H178" i="10" s="1"/>
  <c r="F221" i="10"/>
  <c r="AD221" i="10" s="1"/>
  <c r="G216" i="10"/>
  <c r="F213" i="10"/>
  <c r="AD213" i="10" s="1"/>
  <c r="G208" i="10"/>
  <c r="F205" i="10"/>
  <c r="AD205" i="10" s="1"/>
  <c r="G200" i="10"/>
  <c r="F197" i="10"/>
  <c r="AD197" i="10" s="1"/>
  <c r="G192" i="10"/>
  <c r="H192" i="10" s="1"/>
  <c r="F189" i="10"/>
  <c r="AD189" i="10" s="1"/>
  <c r="G188" i="10"/>
  <c r="H188" i="10" s="1"/>
  <c r="F185" i="10"/>
  <c r="AD185" i="10" s="1"/>
  <c r="G184" i="10"/>
  <c r="H184" i="10" s="1"/>
  <c r="F181" i="10"/>
  <c r="AD181" i="10" s="1"/>
  <c r="G180" i="10"/>
  <c r="H180" i="10" s="1"/>
  <c r="P178" i="10"/>
  <c r="P182" i="10"/>
  <c r="P186" i="10"/>
  <c r="P190" i="10"/>
  <c r="P236" i="10"/>
  <c r="P179" i="10"/>
  <c r="P181" i="10"/>
  <c r="P183" i="10"/>
  <c r="P185" i="10"/>
  <c r="P187" i="10"/>
  <c r="P189" i="10"/>
  <c r="P191" i="10"/>
  <c r="P232" i="10"/>
  <c r="P273" i="10"/>
  <c r="P224" i="10"/>
  <c r="P226" i="10"/>
  <c r="P228" i="10"/>
  <c r="P230" i="10"/>
  <c r="P234" i="10"/>
  <c r="P238" i="10"/>
  <c r="P281" i="10"/>
  <c r="P233" i="10"/>
  <c r="P235" i="10"/>
  <c r="P237" i="10"/>
  <c r="P259" i="10"/>
  <c r="AF259" i="10"/>
  <c r="P267" i="10"/>
  <c r="AF267" i="10"/>
  <c r="P277" i="10"/>
  <c r="P253" i="10"/>
  <c r="AF253" i="10"/>
  <c r="P257" i="10"/>
  <c r="AF257" i="10"/>
  <c r="P261" i="10"/>
  <c r="AF261" i="10"/>
  <c r="P265" i="10"/>
  <c r="AF265" i="10"/>
  <c r="P275" i="10"/>
  <c r="P252" i="10"/>
  <c r="AF252" i="10"/>
  <c r="P254" i="10"/>
  <c r="AF254" i="10"/>
  <c r="P256" i="10"/>
  <c r="AF256" i="10"/>
  <c r="P258" i="10"/>
  <c r="AF258" i="10"/>
  <c r="P260" i="10"/>
  <c r="AF260" i="10"/>
  <c r="P262" i="10"/>
  <c r="AF262" i="10"/>
  <c r="P264" i="10"/>
  <c r="AF264" i="10"/>
  <c r="P266" i="10"/>
  <c r="AF266" i="10"/>
  <c r="P268" i="10"/>
  <c r="AF268" i="10"/>
  <c r="P270" i="10"/>
  <c r="J20" i="10"/>
  <c r="AE20" i="10" s="1"/>
  <c r="F24" i="10"/>
  <c r="AD24" i="10" s="1"/>
  <c r="J148" i="10"/>
  <c r="AE148" i="10" s="1"/>
  <c r="J84" i="10"/>
  <c r="AE84" i="10" s="1"/>
  <c r="K76" i="10"/>
  <c r="J52" i="10"/>
  <c r="AE52" i="10" s="1"/>
  <c r="J116" i="10"/>
  <c r="AE116" i="10" s="1"/>
  <c r="K44" i="10"/>
  <c r="K114" i="10"/>
  <c r="G28" i="10"/>
  <c r="K30" i="10"/>
  <c r="J36" i="10"/>
  <c r="AE36" i="10" s="1"/>
  <c r="J68" i="10"/>
  <c r="AE68" i="10" s="1"/>
  <c r="J100" i="10"/>
  <c r="AE100" i="10" s="1"/>
  <c r="J132" i="10"/>
  <c r="AE132" i="10" s="1"/>
  <c r="J164" i="10"/>
  <c r="AE164" i="10" s="1"/>
  <c r="K60" i="10"/>
  <c r="K92" i="10"/>
  <c r="K146" i="10"/>
  <c r="G20" i="10"/>
  <c r="G36" i="10"/>
  <c r="F44" i="10"/>
  <c r="AD44" i="10" s="1"/>
  <c r="G16" i="10"/>
  <c r="G516" i="10" s="1"/>
  <c r="G24" i="10"/>
  <c r="H24" i="10" s="1"/>
  <c r="G32" i="10"/>
  <c r="G39" i="10"/>
  <c r="F32" i="10"/>
  <c r="AD32" i="10" s="1"/>
  <c r="F60" i="10"/>
  <c r="AD60" i="10" s="1"/>
  <c r="F20" i="10"/>
  <c r="AD20" i="10" s="1"/>
  <c r="F28" i="10"/>
  <c r="AD28" i="10" s="1"/>
  <c r="F36" i="10"/>
  <c r="AD36" i="10" s="1"/>
  <c r="F52" i="10"/>
  <c r="AD52" i="10" s="1"/>
  <c r="F76" i="10"/>
  <c r="AD76" i="10" s="1"/>
  <c r="F96" i="10"/>
  <c r="AD96" i="10" s="1"/>
  <c r="G18" i="10"/>
  <c r="G22" i="10"/>
  <c r="G26" i="10"/>
  <c r="G30" i="10"/>
  <c r="G34" i="10"/>
  <c r="G38" i="10"/>
  <c r="F18" i="10"/>
  <c r="AD18" i="10" s="1"/>
  <c r="F22" i="10"/>
  <c r="AD22" i="10" s="1"/>
  <c r="F26" i="10"/>
  <c r="AD26" i="10" s="1"/>
  <c r="F30" i="10"/>
  <c r="AD30" i="10" s="1"/>
  <c r="F34" i="10"/>
  <c r="AD34" i="10" s="1"/>
  <c r="F40" i="10"/>
  <c r="AD40" i="10" s="1"/>
  <c r="F48" i="10"/>
  <c r="AD48" i="10" s="1"/>
  <c r="F56" i="10"/>
  <c r="AD56" i="10" s="1"/>
  <c r="F68" i="10"/>
  <c r="AD68" i="10" s="1"/>
  <c r="F84" i="10"/>
  <c r="AD84" i="10" s="1"/>
  <c r="F112" i="10"/>
  <c r="AD112" i="10" s="1"/>
  <c r="F38" i="10"/>
  <c r="AD38" i="10" s="1"/>
  <c r="F42" i="10"/>
  <c r="AD42" i="10" s="1"/>
  <c r="F46" i="10"/>
  <c r="AD46" i="10" s="1"/>
  <c r="F50" i="10"/>
  <c r="AD50" i="10" s="1"/>
  <c r="F54" i="10"/>
  <c r="AD54" i="10" s="1"/>
  <c r="F58" i="10"/>
  <c r="AD58" i="10" s="1"/>
  <c r="F64" i="10"/>
  <c r="AD64" i="10" s="1"/>
  <c r="F72" i="10"/>
  <c r="AD72" i="10" s="1"/>
  <c r="F80" i="10"/>
  <c r="AD80" i="10" s="1"/>
  <c r="F88" i="10"/>
  <c r="AD88" i="10" s="1"/>
  <c r="F104" i="10"/>
  <c r="AD104" i="10" s="1"/>
  <c r="F120" i="10"/>
  <c r="AD120" i="10" s="1"/>
  <c r="F128" i="10"/>
  <c r="AD128" i="10" s="1"/>
  <c r="F136" i="10"/>
  <c r="AD136" i="10" s="1"/>
  <c r="F62" i="10"/>
  <c r="AD62" i="10" s="1"/>
  <c r="F66" i="10"/>
  <c r="AD66" i="10" s="1"/>
  <c r="F70" i="10"/>
  <c r="AD70" i="10" s="1"/>
  <c r="F74" i="10"/>
  <c r="AD74" i="10" s="1"/>
  <c r="F78" i="10"/>
  <c r="AD78" i="10" s="1"/>
  <c r="F82" i="10"/>
  <c r="AD82" i="10" s="1"/>
  <c r="F86" i="10"/>
  <c r="AD86" i="10" s="1"/>
  <c r="F92" i="10"/>
  <c r="AD92" i="10" s="1"/>
  <c r="F100" i="10"/>
  <c r="AD100" i="10" s="1"/>
  <c r="F108" i="10"/>
  <c r="AD108" i="10" s="1"/>
  <c r="F116" i="10"/>
  <c r="AD116" i="10" s="1"/>
  <c r="F124" i="10"/>
  <c r="AD124" i="10" s="1"/>
  <c r="F132" i="10"/>
  <c r="AD132" i="10" s="1"/>
  <c r="F140" i="10"/>
  <c r="AD140" i="10" s="1"/>
  <c r="F144" i="10"/>
  <c r="AD144" i="10" s="1"/>
  <c r="F165" i="10"/>
  <c r="AD165" i="10" s="1"/>
  <c r="G91" i="10"/>
  <c r="G59" i="10"/>
  <c r="G123" i="10"/>
  <c r="K22" i="10"/>
  <c r="K38" i="10"/>
  <c r="J28" i="10"/>
  <c r="AE28" i="10" s="1"/>
  <c r="J44" i="10"/>
  <c r="AE44" i="10" s="1"/>
  <c r="J60" i="10"/>
  <c r="AE60" i="10" s="1"/>
  <c r="J76" i="10"/>
  <c r="AE76" i="10" s="1"/>
  <c r="J92" i="10"/>
  <c r="AE92" i="10" s="1"/>
  <c r="J108" i="10"/>
  <c r="AE108" i="10" s="1"/>
  <c r="J124" i="10"/>
  <c r="AE124" i="10" s="1"/>
  <c r="J140" i="10"/>
  <c r="AE140" i="10" s="1"/>
  <c r="J156" i="10"/>
  <c r="AE156" i="10" s="1"/>
  <c r="J172" i="10"/>
  <c r="AE172" i="10" s="1"/>
  <c r="K52" i="10"/>
  <c r="K68" i="10"/>
  <c r="K84" i="10"/>
  <c r="K100" i="10"/>
  <c r="L100" i="10" s="1"/>
  <c r="K130" i="10"/>
  <c r="K162" i="10"/>
  <c r="F149" i="10"/>
  <c r="AD149" i="10" s="1"/>
  <c r="G43" i="10"/>
  <c r="G75" i="10"/>
  <c r="G107" i="10"/>
  <c r="G139" i="10"/>
  <c r="G155" i="10"/>
  <c r="F90" i="10"/>
  <c r="AD90" i="10" s="1"/>
  <c r="F94" i="10"/>
  <c r="AD94" i="10" s="1"/>
  <c r="F98" i="10"/>
  <c r="AD98" i="10" s="1"/>
  <c r="F102" i="10"/>
  <c r="AD102" i="10" s="1"/>
  <c r="F106" i="10"/>
  <c r="AD106" i="10" s="1"/>
  <c r="F110" i="10"/>
  <c r="AD110" i="10" s="1"/>
  <c r="F114" i="10"/>
  <c r="AD114" i="10" s="1"/>
  <c r="F118" i="10"/>
  <c r="AD118" i="10" s="1"/>
  <c r="F122" i="10"/>
  <c r="AD122" i="10" s="1"/>
  <c r="F126" i="10"/>
  <c r="AD126" i="10" s="1"/>
  <c r="F130" i="10"/>
  <c r="AD130" i="10" s="1"/>
  <c r="F134" i="10"/>
  <c r="AD134" i="10" s="1"/>
  <c r="F138" i="10"/>
  <c r="AD138" i="10" s="1"/>
  <c r="F142" i="10"/>
  <c r="AD142" i="10" s="1"/>
  <c r="F146" i="10"/>
  <c r="AD146" i="10" s="1"/>
  <c r="F157" i="10"/>
  <c r="AD157" i="10" s="1"/>
  <c r="F173" i="10"/>
  <c r="AD173" i="10" s="1"/>
  <c r="G51" i="10"/>
  <c r="G67" i="10"/>
  <c r="G83" i="10"/>
  <c r="G99" i="10"/>
  <c r="G115" i="10"/>
  <c r="G131" i="10"/>
  <c r="G147" i="10"/>
  <c r="G163" i="10"/>
  <c r="G171" i="10"/>
  <c r="F153" i="10"/>
  <c r="AD153" i="10" s="1"/>
  <c r="F161" i="10"/>
  <c r="AD161" i="10" s="1"/>
  <c r="F169" i="10"/>
  <c r="AD169" i="10" s="1"/>
  <c r="F177" i="10"/>
  <c r="AD177" i="10" s="1"/>
  <c r="G47" i="10"/>
  <c r="G55" i="10"/>
  <c r="G63" i="10"/>
  <c r="G71" i="10"/>
  <c r="G79" i="10"/>
  <c r="G87" i="10"/>
  <c r="G95" i="10"/>
  <c r="G103" i="10"/>
  <c r="G111" i="10"/>
  <c r="G119" i="10"/>
  <c r="G127" i="10"/>
  <c r="G135" i="10"/>
  <c r="G143" i="10"/>
  <c r="G151" i="10"/>
  <c r="G159" i="10"/>
  <c r="G167" i="10"/>
  <c r="G176" i="10"/>
  <c r="G174" i="10"/>
  <c r="G172" i="10"/>
  <c r="G170" i="10"/>
  <c r="G168" i="10"/>
  <c r="G166" i="10"/>
  <c r="G164" i="10"/>
  <c r="G162" i="10"/>
  <c r="G160" i="10"/>
  <c r="G158" i="10"/>
  <c r="G156" i="10"/>
  <c r="G154" i="10"/>
  <c r="G152" i="10"/>
  <c r="G150" i="10"/>
  <c r="G148" i="10"/>
  <c r="G146" i="10"/>
  <c r="G144" i="10"/>
  <c r="G142" i="10"/>
  <c r="G140" i="10"/>
  <c r="G138" i="10"/>
  <c r="G136" i="10"/>
  <c r="G134" i="10"/>
  <c r="G132" i="10"/>
  <c r="G130" i="10"/>
  <c r="G128" i="10"/>
  <c r="G126" i="10"/>
  <c r="G124" i="10"/>
  <c r="G122" i="10"/>
  <c r="G120" i="10"/>
  <c r="G118" i="10"/>
  <c r="G116" i="10"/>
  <c r="G114" i="10"/>
  <c r="G112" i="10"/>
  <c r="G110" i="10"/>
  <c r="G108" i="10"/>
  <c r="G106" i="10"/>
  <c r="G104" i="10"/>
  <c r="G102" i="10"/>
  <c r="G100" i="10"/>
  <c r="G98" i="10"/>
  <c r="G96" i="10"/>
  <c r="G94" i="10"/>
  <c r="G92" i="10"/>
  <c r="G90" i="10"/>
  <c r="G88" i="10"/>
  <c r="G86" i="10"/>
  <c r="G84" i="10"/>
  <c r="G82" i="10"/>
  <c r="G80" i="10"/>
  <c r="G78" i="10"/>
  <c r="G76" i="10"/>
  <c r="G74" i="10"/>
  <c r="G72" i="10"/>
  <c r="G70" i="10"/>
  <c r="G68" i="10"/>
  <c r="G66" i="10"/>
  <c r="G64" i="10"/>
  <c r="G62" i="10"/>
  <c r="G60" i="10"/>
  <c r="G58" i="10"/>
  <c r="G56" i="10"/>
  <c r="G54" i="10"/>
  <c r="G52" i="10"/>
  <c r="G50" i="10"/>
  <c r="G48" i="10"/>
  <c r="G46" i="10"/>
  <c r="G44" i="10"/>
  <c r="G42" i="10"/>
  <c r="F176" i="10"/>
  <c r="AD176" i="10" s="1"/>
  <c r="F174" i="10"/>
  <c r="AD174" i="10" s="1"/>
  <c r="F172" i="10"/>
  <c r="AD172" i="10" s="1"/>
  <c r="F170" i="10"/>
  <c r="AD170" i="10" s="1"/>
  <c r="F168" i="10"/>
  <c r="AD168" i="10" s="1"/>
  <c r="F166" i="10"/>
  <c r="AD166" i="10" s="1"/>
  <c r="F164" i="10"/>
  <c r="AD164" i="10" s="1"/>
  <c r="F162" i="10"/>
  <c r="AD162" i="10" s="1"/>
  <c r="F160" i="10"/>
  <c r="AD160" i="10" s="1"/>
  <c r="F158" i="10"/>
  <c r="AD158" i="10" s="1"/>
  <c r="F156" i="10"/>
  <c r="AD156" i="10" s="1"/>
  <c r="F154" i="10"/>
  <c r="AD154" i="10" s="1"/>
  <c r="F152" i="10"/>
  <c r="AD152" i="10" s="1"/>
  <c r="F150" i="10"/>
  <c r="AD150" i="10" s="1"/>
  <c r="F148" i="10"/>
  <c r="AD148" i="10" s="1"/>
  <c r="F16" i="10"/>
  <c r="G17" i="10"/>
  <c r="G19" i="10"/>
  <c r="G21" i="10"/>
  <c r="G23" i="10"/>
  <c r="G25" i="10"/>
  <c r="G27" i="10"/>
  <c r="G29" i="10"/>
  <c r="G31" i="10"/>
  <c r="G33" i="10"/>
  <c r="G35" i="10"/>
  <c r="G37" i="10"/>
  <c r="G40" i="10"/>
  <c r="H40" i="10" s="1"/>
  <c r="F17" i="10"/>
  <c r="AD17" i="10" s="1"/>
  <c r="F19" i="10"/>
  <c r="AD19" i="10" s="1"/>
  <c r="F21" i="10"/>
  <c r="AD21" i="10" s="1"/>
  <c r="F23" i="10"/>
  <c r="AD23" i="10" s="1"/>
  <c r="F25" i="10"/>
  <c r="AD25" i="10" s="1"/>
  <c r="F27" i="10"/>
  <c r="AD27" i="10" s="1"/>
  <c r="F29" i="10"/>
  <c r="AD29" i="10" s="1"/>
  <c r="F31" i="10"/>
  <c r="AD31" i="10" s="1"/>
  <c r="F33" i="10"/>
  <c r="AD33" i="10" s="1"/>
  <c r="F35" i="10"/>
  <c r="AD35" i="10" s="1"/>
  <c r="F37" i="10"/>
  <c r="AD37" i="10" s="1"/>
  <c r="F39" i="10"/>
  <c r="AD39" i="10" s="1"/>
  <c r="F41" i="10"/>
  <c r="AD41" i="10" s="1"/>
  <c r="F43" i="10"/>
  <c r="AD43" i="10" s="1"/>
  <c r="F45" i="10"/>
  <c r="AD45" i="10" s="1"/>
  <c r="F47" i="10"/>
  <c r="AD47" i="10" s="1"/>
  <c r="F49" i="10"/>
  <c r="AD49" i="10" s="1"/>
  <c r="F51" i="10"/>
  <c r="AD51" i="10" s="1"/>
  <c r="F53" i="10"/>
  <c r="AD53" i="10" s="1"/>
  <c r="F55" i="10"/>
  <c r="AD55" i="10" s="1"/>
  <c r="F57" i="10"/>
  <c r="AD57" i="10" s="1"/>
  <c r="F59" i="10"/>
  <c r="AD59" i="10" s="1"/>
  <c r="F61" i="10"/>
  <c r="AD61" i="10" s="1"/>
  <c r="F63" i="10"/>
  <c r="AD63" i="10" s="1"/>
  <c r="F65" i="10"/>
  <c r="AD65" i="10" s="1"/>
  <c r="F67" i="10"/>
  <c r="AD67" i="10" s="1"/>
  <c r="F69" i="10"/>
  <c r="AD69" i="10" s="1"/>
  <c r="F71" i="10"/>
  <c r="AD71" i="10" s="1"/>
  <c r="F73" i="10"/>
  <c r="AD73" i="10" s="1"/>
  <c r="F75" i="10"/>
  <c r="AD75" i="10" s="1"/>
  <c r="F77" i="10"/>
  <c r="AD77" i="10" s="1"/>
  <c r="F79" i="10"/>
  <c r="AD79" i="10" s="1"/>
  <c r="F81" i="10"/>
  <c r="AD81" i="10" s="1"/>
  <c r="F83" i="10"/>
  <c r="AD83" i="10" s="1"/>
  <c r="F85" i="10"/>
  <c r="AD85" i="10" s="1"/>
  <c r="F87" i="10"/>
  <c r="AD87" i="10" s="1"/>
  <c r="F89" i="10"/>
  <c r="AD89" i="10" s="1"/>
  <c r="F91" i="10"/>
  <c r="AD91" i="10" s="1"/>
  <c r="F93" i="10"/>
  <c r="AD93" i="10" s="1"/>
  <c r="F95" i="10"/>
  <c r="AD95" i="10" s="1"/>
  <c r="F97" i="10"/>
  <c r="AD97" i="10" s="1"/>
  <c r="F99" i="10"/>
  <c r="AD99" i="10" s="1"/>
  <c r="F101" i="10"/>
  <c r="AD101" i="10" s="1"/>
  <c r="F103" i="10"/>
  <c r="AD103" i="10" s="1"/>
  <c r="F105" i="10"/>
  <c r="AD105" i="10" s="1"/>
  <c r="F107" i="10"/>
  <c r="AD107" i="10" s="1"/>
  <c r="F109" i="10"/>
  <c r="AD109" i="10" s="1"/>
  <c r="F111" i="10"/>
  <c r="AD111" i="10" s="1"/>
  <c r="F113" i="10"/>
  <c r="AD113" i="10" s="1"/>
  <c r="F115" i="10"/>
  <c r="AD115" i="10" s="1"/>
  <c r="F117" i="10"/>
  <c r="AD117" i="10" s="1"/>
  <c r="F119" i="10"/>
  <c r="AD119" i="10" s="1"/>
  <c r="F121" i="10"/>
  <c r="AD121" i="10" s="1"/>
  <c r="F123" i="10"/>
  <c r="AD123" i="10" s="1"/>
  <c r="F125" i="10"/>
  <c r="AD125" i="10" s="1"/>
  <c r="F127" i="10"/>
  <c r="AD127" i="10" s="1"/>
  <c r="F129" i="10"/>
  <c r="AD129" i="10" s="1"/>
  <c r="F131" i="10"/>
  <c r="AD131" i="10" s="1"/>
  <c r="F133" i="10"/>
  <c r="AD133" i="10" s="1"/>
  <c r="F135" i="10"/>
  <c r="AD135" i="10" s="1"/>
  <c r="F137" i="10"/>
  <c r="AD137" i="10" s="1"/>
  <c r="F139" i="10"/>
  <c r="AD139" i="10" s="1"/>
  <c r="F141" i="10"/>
  <c r="AD141" i="10" s="1"/>
  <c r="F143" i="10"/>
  <c r="AD143" i="10" s="1"/>
  <c r="F145" i="10"/>
  <c r="AD145" i="10" s="1"/>
  <c r="F147" i="10"/>
  <c r="AD147" i="10" s="1"/>
  <c r="F151" i="10"/>
  <c r="AD151" i="10" s="1"/>
  <c r="F155" i="10"/>
  <c r="AD155" i="10" s="1"/>
  <c r="F159" i="10"/>
  <c r="AD159" i="10" s="1"/>
  <c r="F163" i="10"/>
  <c r="AD163" i="10" s="1"/>
  <c r="F167" i="10"/>
  <c r="AD167" i="10" s="1"/>
  <c r="F171" i="10"/>
  <c r="AD171" i="10" s="1"/>
  <c r="F175" i="10"/>
  <c r="AD175" i="10" s="1"/>
  <c r="G41" i="10"/>
  <c r="G45" i="10"/>
  <c r="H45" i="10" s="1"/>
  <c r="G49" i="10"/>
  <c r="G53" i="10"/>
  <c r="H53" i="10" s="1"/>
  <c r="G57" i="10"/>
  <c r="G61" i="10"/>
  <c r="H61" i="10" s="1"/>
  <c r="G65" i="10"/>
  <c r="G69" i="10"/>
  <c r="H69" i="10" s="1"/>
  <c r="G73" i="10"/>
  <c r="G77" i="10"/>
  <c r="H77" i="10" s="1"/>
  <c r="G81" i="10"/>
  <c r="G85" i="10"/>
  <c r="H85" i="10" s="1"/>
  <c r="G89" i="10"/>
  <c r="G93" i="10"/>
  <c r="H93" i="10" s="1"/>
  <c r="G97" i="10"/>
  <c r="G101" i="10"/>
  <c r="H101" i="10" s="1"/>
  <c r="G105" i="10"/>
  <c r="G109" i="10"/>
  <c r="H109" i="10" s="1"/>
  <c r="G113" i="10"/>
  <c r="G117" i="10"/>
  <c r="H117" i="10" s="1"/>
  <c r="G121" i="10"/>
  <c r="G125" i="10"/>
  <c r="H125" i="10" s="1"/>
  <c r="G129" i="10"/>
  <c r="G133" i="10"/>
  <c r="H133" i="10" s="1"/>
  <c r="G137" i="10"/>
  <c r="G141" i="10"/>
  <c r="H141" i="10" s="1"/>
  <c r="G145" i="10"/>
  <c r="G149" i="10"/>
  <c r="H149" i="10" s="1"/>
  <c r="G153" i="10"/>
  <c r="G157" i="10"/>
  <c r="G161" i="10"/>
  <c r="H161" i="10" s="1"/>
  <c r="G165" i="10"/>
  <c r="H165" i="10" s="1"/>
  <c r="G169" i="10"/>
  <c r="G173" i="10"/>
  <c r="H173" i="10" s="1"/>
  <c r="G177" i="10"/>
  <c r="H177" i="10" s="1"/>
  <c r="K18" i="10"/>
  <c r="K26" i="10"/>
  <c r="K34" i="10"/>
  <c r="K43" i="10"/>
  <c r="J24" i="10"/>
  <c r="AE24" i="10" s="1"/>
  <c r="J32" i="10"/>
  <c r="AE32" i="10" s="1"/>
  <c r="J40" i="10"/>
  <c r="AE40" i="10" s="1"/>
  <c r="J48" i="10"/>
  <c r="AE48" i="10" s="1"/>
  <c r="J56" i="10"/>
  <c r="AE56" i="10" s="1"/>
  <c r="J64" i="10"/>
  <c r="AE64" i="10" s="1"/>
  <c r="J72" i="10"/>
  <c r="AE72" i="10" s="1"/>
  <c r="J80" i="10"/>
  <c r="AE80" i="10" s="1"/>
  <c r="J88" i="10"/>
  <c r="AE88" i="10" s="1"/>
  <c r="J96" i="10"/>
  <c r="AE96" i="10" s="1"/>
  <c r="J104" i="10"/>
  <c r="AE104" i="10" s="1"/>
  <c r="J112" i="10"/>
  <c r="AE112" i="10" s="1"/>
  <c r="J120" i="10"/>
  <c r="AE120" i="10" s="1"/>
  <c r="J128" i="10"/>
  <c r="AE128" i="10" s="1"/>
  <c r="J136" i="10"/>
  <c r="AE136" i="10" s="1"/>
  <c r="J144" i="10"/>
  <c r="AE144" i="10" s="1"/>
  <c r="J152" i="10"/>
  <c r="AE152" i="10" s="1"/>
  <c r="J160" i="10"/>
  <c r="AE160" i="10" s="1"/>
  <c r="J168" i="10"/>
  <c r="AE168" i="10" s="1"/>
  <c r="J176" i="10"/>
  <c r="AE176" i="10" s="1"/>
  <c r="K48" i="10"/>
  <c r="K56" i="10"/>
  <c r="K64" i="10"/>
  <c r="K72" i="10"/>
  <c r="K80" i="10"/>
  <c r="K88" i="10"/>
  <c r="K96" i="10"/>
  <c r="K106" i="10"/>
  <c r="K122" i="10"/>
  <c r="K138" i="10"/>
  <c r="K154" i="10"/>
  <c r="K170" i="10"/>
  <c r="K20" i="10"/>
  <c r="L20" i="10" s="1"/>
  <c r="K24" i="10"/>
  <c r="K28" i="10"/>
  <c r="L28" i="10" s="1"/>
  <c r="K32" i="10"/>
  <c r="L32" i="10" s="1"/>
  <c r="K36" i="10"/>
  <c r="K40" i="10"/>
  <c r="J18" i="10"/>
  <c r="AE18" i="10" s="1"/>
  <c r="J22" i="10"/>
  <c r="J26" i="10"/>
  <c r="AE26" i="10" s="1"/>
  <c r="J30" i="10"/>
  <c r="AE30" i="10" s="1"/>
  <c r="J34" i="10"/>
  <c r="AE34" i="10" s="1"/>
  <c r="J38" i="10"/>
  <c r="AE38" i="10" s="1"/>
  <c r="J42" i="10"/>
  <c r="AE42" i="10" s="1"/>
  <c r="J46" i="10"/>
  <c r="AE46" i="10" s="1"/>
  <c r="J50" i="10"/>
  <c r="AE50" i="10" s="1"/>
  <c r="J54" i="10"/>
  <c r="AE54" i="10" s="1"/>
  <c r="J58" i="10"/>
  <c r="AE58" i="10" s="1"/>
  <c r="J62" i="10"/>
  <c r="AE62" i="10" s="1"/>
  <c r="J66" i="10"/>
  <c r="AE66" i="10" s="1"/>
  <c r="J70" i="10"/>
  <c r="AE70" i="10" s="1"/>
  <c r="J74" i="10"/>
  <c r="AE74" i="10" s="1"/>
  <c r="J78" i="10"/>
  <c r="AE78" i="10" s="1"/>
  <c r="J82" i="10"/>
  <c r="AE82" i="10" s="1"/>
  <c r="J86" i="10"/>
  <c r="AE86" i="10" s="1"/>
  <c r="J90" i="10"/>
  <c r="AE90" i="10" s="1"/>
  <c r="J94" i="10"/>
  <c r="AE94" i="10" s="1"/>
  <c r="J98" i="10"/>
  <c r="AE98" i="10" s="1"/>
  <c r="J102" i="10"/>
  <c r="AE102" i="10" s="1"/>
  <c r="J106" i="10"/>
  <c r="AE106" i="10" s="1"/>
  <c r="J110" i="10"/>
  <c r="AE110" i="10" s="1"/>
  <c r="J114" i="10"/>
  <c r="AE114" i="10" s="1"/>
  <c r="J118" i="10"/>
  <c r="AE118" i="10" s="1"/>
  <c r="J122" i="10"/>
  <c r="AE122" i="10" s="1"/>
  <c r="J126" i="10"/>
  <c r="AE126" i="10" s="1"/>
  <c r="J130" i="10"/>
  <c r="AE130" i="10" s="1"/>
  <c r="J134" i="10"/>
  <c r="AE134" i="10" s="1"/>
  <c r="J138" i="10"/>
  <c r="AE138" i="10" s="1"/>
  <c r="J142" i="10"/>
  <c r="AE142" i="10" s="1"/>
  <c r="J146" i="10"/>
  <c r="AE146" i="10" s="1"/>
  <c r="J150" i="10"/>
  <c r="AE150" i="10" s="1"/>
  <c r="J154" i="10"/>
  <c r="AE154" i="10" s="1"/>
  <c r="J158" i="10"/>
  <c r="AE158" i="10" s="1"/>
  <c r="J162" i="10"/>
  <c r="AE162" i="10" s="1"/>
  <c r="J166" i="10"/>
  <c r="AE166" i="10" s="1"/>
  <c r="J170" i="10"/>
  <c r="AE170" i="10" s="1"/>
  <c r="J174" i="10"/>
  <c r="AE174" i="10" s="1"/>
  <c r="K46" i="10"/>
  <c r="K50" i="10"/>
  <c r="K54" i="10"/>
  <c r="K58" i="10"/>
  <c r="K62" i="10"/>
  <c r="K66" i="10"/>
  <c r="K70" i="10"/>
  <c r="K74" i="10"/>
  <c r="K78" i="10"/>
  <c r="K82" i="10"/>
  <c r="K86" i="10"/>
  <c r="K90" i="10"/>
  <c r="K94" i="10"/>
  <c r="K98" i="10"/>
  <c r="K102" i="10"/>
  <c r="K110" i="10"/>
  <c r="K118" i="10"/>
  <c r="K126" i="10"/>
  <c r="K134" i="10"/>
  <c r="K142" i="10"/>
  <c r="K150" i="10"/>
  <c r="K158" i="10"/>
  <c r="K166" i="10"/>
  <c r="K174" i="10"/>
  <c r="K104" i="10"/>
  <c r="K108" i="10"/>
  <c r="K112" i="10"/>
  <c r="K116" i="10"/>
  <c r="K120" i="10"/>
  <c r="K124" i="10"/>
  <c r="K128" i="10"/>
  <c r="K132" i="10"/>
  <c r="K136" i="10"/>
  <c r="K140" i="10"/>
  <c r="K144" i="10"/>
  <c r="K148" i="10"/>
  <c r="K152" i="10"/>
  <c r="K156" i="10"/>
  <c r="K160" i="10"/>
  <c r="K164" i="10"/>
  <c r="K168" i="10"/>
  <c r="K172" i="10"/>
  <c r="K176" i="10"/>
  <c r="K17" i="10"/>
  <c r="K19" i="10"/>
  <c r="K21" i="10"/>
  <c r="K23" i="10"/>
  <c r="K25" i="10"/>
  <c r="K27" i="10"/>
  <c r="K29" i="10"/>
  <c r="K31" i="10"/>
  <c r="K33" i="10"/>
  <c r="K35" i="10"/>
  <c r="K37" i="10"/>
  <c r="K39" i="10"/>
  <c r="K41" i="10"/>
  <c r="J17" i="10"/>
  <c r="AE17" i="10" s="1"/>
  <c r="J19" i="10"/>
  <c r="AE19" i="10" s="1"/>
  <c r="J21" i="10"/>
  <c r="AE21" i="10" s="1"/>
  <c r="J23" i="10"/>
  <c r="AE23" i="10" s="1"/>
  <c r="J25" i="10"/>
  <c r="AE25" i="10" s="1"/>
  <c r="J27" i="10"/>
  <c r="AE27" i="10" s="1"/>
  <c r="J29" i="10"/>
  <c r="AE29" i="10" s="1"/>
  <c r="J31" i="10"/>
  <c r="AE31" i="10" s="1"/>
  <c r="J33" i="10"/>
  <c r="AE33" i="10" s="1"/>
  <c r="J35" i="10"/>
  <c r="AE35" i="10" s="1"/>
  <c r="J37" i="10"/>
  <c r="AE37" i="10" s="1"/>
  <c r="J39" i="10"/>
  <c r="AE39" i="10" s="1"/>
  <c r="J41" i="10"/>
  <c r="AE41" i="10" s="1"/>
  <c r="J43" i="10"/>
  <c r="AE43" i="10" s="1"/>
  <c r="J45" i="10"/>
  <c r="AE45" i="10" s="1"/>
  <c r="J47" i="10"/>
  <c r="AE47" i="10" s="1"/>
  <c r="J49" i="10"/>
  <c r="AE49" i="10" s="1"/>
  <c r="J51" i="10"/>
  <c r="AE51" i="10" s="1"/>
  <c r="J53" i="10"/>
  <c r="AE53" i="10" s="1"/>
  <c r="J55" i="10"/>
  <c r="AE55" i="10" s="1"/>
  <c r="J57" i="10"/>
  <c r="AE57" i="10" s="1"/>
  <c r="J59" i="10"/>
  <c r="AE59" i="10" s="1"/>
  <c r="J61" i="10"/>
  <c r="AE61" i="10" s="1"/>
  <c r="J63" i="10"/>
  <c r="AE63" i="10" s="1"/>
  <c r="J65" i="10"/>
  <c r="AE65" i="10" s="1"/>
  <c r="J67" i="10"/>
  <c r="AE67" i="10" s="1"/>
  <c r="J69" i="10"/>
  <c r="AE69" i="10" s="1"/>
  <c r="J71" i="10"/>
  <c r="AE71" i="10" s="1"/>
  <c r="J73" i="10"/>
  <c r="AE73" i="10" s="1"/>
  <c r="J75" i="10"/>
  <c r="AE75" i="10" s="1"/>
  <c r="J77" i="10"/>
  <c r="AE77" i="10" s="1"/>
  <c r="J79" i="10"/>
  <c r="AE79" i="10" s="1"/>
  <c r="J81" i="10"/>
  <c r="AE81" i="10" s="1"/>
  <c r="J83" i="10"/>
  <c r="AE83" i="10" s="1"/>
  <c r="J85" i="10"/>
  <c r="AE85" i="10" s="1"/>
  <c r="J87" i="10"/>
  <c r="AE87" i="10" s="1"/>
  <c r="J89" i="10"/>
  <c r="AE89" i="10" s="1"/>
  <c r="J91" i="10"/>
  <c r="AE91" i="10" s="1"/>
  <c r="J93" i="10"/>
  <c r="AE93" i="10" s="1"/>
  <c r="J95" i="10"/>
  <c r="AE95" i="10" s="1"/>
  <c r="J97" i="10"/>
  <c r="AE97" i="10" s="1"/>
  <c r="J99" i="10"/>
  <c r="AE99" i="10" s="1"/>
  <c r="J101" i="10"/>
  <c r="AE101" i="10" s="1"/>
  <c r="J103" i="10"/>
  <c r="AE103" i="10" s="1"/>
  <c r="J105" i="10"/>
  <c r="AE105" i="10" s="1"/>
  <c r="J107" i="10"/>
  <c r="AE107" i="10" s="1"/>
  <c r="J109" i="10"/>
  <c r="AE109" i="10" s="1"/>
  <c r="J111" i="10"/>
  <c r="AE111" i="10" s="1"/>
  <c r="J113" i="10"/>
  <c r="AE113" i="10" s="1"/>
  <c r="J115" i="10"/>
  <c r="AE115" i="10" s="1"/>
  <c r="J117" i="10"/>
  <c r="AE117" i="10" s="1"/>
  <c r="J119" i="10"/>
  <c r="AE119" i="10" s="1"/>
  <c r="J121" i="10"/>
  <c r="AE121" i="10" s="1"/>
  <c r="J123" i="10"/>
  <c r="AE123" i="10" s="1"/>
  <c r="J125" i="10"/>
  <c r="AE125" i="10" s="1"/>
  <c r="J127" i="10"/>
  <c r="AE127" i="10" s="1"/>
  <c r="J129" i="10"/>
  <c r="AE129" i="10" s="1"/>
  <c r="J131" i="10"/>
  <c r="AE131" i="10" s="1"/>
  <c r="J133" i="10"/>
  <c r="AE133" i="10" s="1"/>
  <c r="J135" i="10"/>
  <c r="AE135" i="10" s="1"/>
  <c r="J137" i="10"/>
  <c r="AE137" i="10" s="1"/>
  <c r="J139" i="10"/>
  <c r="AE139" i="10" s="1"/>
  <c r="J141" i="10"/>
  <c r="AE141" i="10" s="1"/>
  <c r="J143" i="10"/>
  <c r="AE143" i="10" s="1"/>
  <c r="J145" i="10"/>
  <c r="AE145" i="10" s="1"/>
  <c r="J147" i="10"/>
  <c r="AE147" i="10" s="1"/>
  <c r="J149" i="10"/>
  <c r="AE149" i="10" s="1"/>
  <c r="J151" i="10"/>
  <c r="AE151" i="10" s="1"/>
  <c r="J153" i="10"/>
  <c r="AE153" i="10" s="1"/>
  <c r="J155" i="10"/>
  <c r="AE155" i="10" s="1"/>
  <c r="J157" i="10"/>
  <c r="AE157" i="10" s="1"/>
  <c r="J159" i="10"/>
  <c r="AE159" i="10" s="1"/>
  <c r="J161" i="10"/>
  <c r="AE161" i="10" s="1"/>
  <c r="J163" i="10"/>
  <c r="AE163" i="10" s="1"/>
  <c r="J165" i="10"/>
  <c r="AE165" i="10" s="1"/>
  <c r="J167" i="10"/>
  <c r="AE167" i="10" s="1"/>
  <c r="J169" i="10"/>
  <c r="AE169" i="10" s="1"/>
  <c r="J171" i="10"/>
  <c r="AE171" i="10" s="1"/>
  <c r="J173" i="10"/>
  <c r="AE173" i="10" s="1"/>
  <c r="J175" i="10"/>
  <c r="AE175" i="10" s="1"/>
  <c r="J177" i="10"/>
  <c r="AE177" i="10" s="1"/>
  <c r="K42" i="10"/>
  <c r="K45" i="10"/>
  <c r="L45" i="10" s="1"/>
  <c r="K47" i="10"/>
  <c r="L47" i="10" s="1"/>
  <c r="K49" i="10"/>
  <c r="L49" i="10" s="1"/>
  <c r="K51" i="10"/>
  <c r="L51" i="10" s="1"/>
  <c r="K53" i="10"/>
  <c r="L53" i="10" s="1"/>
  <c r="K55" i="10"/>
  <c r="L55" i="10" s="1"/>
  <c r="K57" i="10"/>
  <c r="L57" i="10" s="1"/>
  <c r="K59" i="10"/>
  <c r="L59" i="10" s="1"/>
  <c r="K61" i="10"/>
  <c r="L61" i="10" s="1"/>
  <c r="K63" i="10"/>
  <c r="L63" i="10" s="1"/>
  <c r="K65" i="10"/>
  <c r="L65" i="10" s="1"/>
  <c r="K67" i="10"/>
  <c r="L67" i="10" s="1"/>
  <c r="K69" i="10"/>
  <c r="L69" i="10" s="1"/>
  <c r="K71" i="10"/>
  <c r="L71" i="10" s="1"/>
  <c r="K73" i="10"/>
  <c r="L73" i="10" s="1"/>
  <c r="K75" i="10"/>
  <c r="L75" i="10" s="1"/>
  <c r="K77" i="10"/>
  <c r="L77" i="10" s="1"/>
  <c r="K79" i="10"/>
  <c r="L79" i="10" s="1"/>
  <c r="K81" i="10"/>
  <c r="L81" i="10" s="1"/>
  <c r="K83" i="10"/>
  <c r="L83" i="10" s="1"/>
  <c r="K85" i="10"/>
  <c r="L85" i="10" s="1"/>
  <c r="K87" i="10"/>
  <c r="L87" i="10" s="1"/>
  <c r="K89" i="10"/>
  <c r="L89" i="10" s="1"/>
  <c r="K91" i="10"/>
  <c r="L91" i="10" s="1"/>
  <c r="K93" i="10"/>
  <c r="L93" i="10" s="1"/>
  <c r="K95" i="10"/>
  <c r="L95" i="10" s="1"/>
  <c r="K97" i="10"/>
  <c r="L97" i="10" s="1"/>
  <c r="K99" i="10"/>
  <c r="L99" i="10" s="1"/>
  <c r="K101" i="10"/>
  <c r="L101" i="10" s="1"/>
  <c r="K103" i="10"/>
  <c r="L103" i="10" s="1"/>
  <c r="K105" i="10"/>
  <c r="L105" i="10" s="1"/>
  <c r="K107" i="10"/>
  <c r="L107" i="10" s="1"/>
  <c r="K109" i="10"/>
  <c r="L109" i="10" s="1"/>
  <c r="K111" i="10"/>
  <c r="L111" i="10" s="1"/>
  <c r="K113" i="10"/>
  <c r="L113" i="10" s="1"/>
  <c r="K115" i="10"/>
  <c r="L115" i="10" s="1"/>
  <c r="K117" i="10"/>
  <c r="L117" i="10" s="1"/>
  <c r="K119" i="10"/>
  <c r="L119" i="10" s="1"/>
  <c r="K121" i="10"/>
  <c r="L121" i="10" s="1"/>
  <c r="K123" i="10"/>
  <c r="L123" i="10" s="1"/>
  <c r="K125" i="10"/>
  <c r="L125" i="10" s="1"/>
  <c r="K127" i="10"/>
  <c r="L127" i="10" s="1"/>
  <c r="K129" i="10"/>
  <c r="L129" i="10" s="1"/>
  <c r="K131" i="10"/>
  <c r="L131" i="10" s="1"/>
  <c r="K133" i="10"/>
  <c r="L133" i="10" s="1"/>
  <c r="K135" i="10"/>
  <c r="L135" i="10" s="1"/>
  <c r="K137" i="10"/>
  <c r="L137" i="10" s="1"/>
  <c r="K139" i="10"/>
  <c r="L139" i="10" s="1"/>
  <c r="K141" i="10"/>
  <c r="L141" i="10" s="1"/>
  <c r="K143" i="10"/>
  <c r="L143" i="10" s="1"/>
  <c r="K145" i="10"/>
  <c r="L145" i="10" s="1"/>
  <c r="K147" i="10"/>
  <c r="L147" i="10" s="1"/>
  <c r="K149" i="10"/>
  <c r="L149" i="10" s="1"/>
  <c r="K151" i="10"/>
  <c r="L151" i="10" s="1"/>
  <c r="K153" i="10"/>
  <c r="L153" i="10" s="1"/>
  <c r="K155" i="10"/>
  <c r="L155" i="10" s="1"/>
  <c r="K157" i="10"/>
  <c r="L157" i="10" s="1"/>
  <c r="K159" i="10"/>
  <c r="L159" i="10" s="1"/>
  <c r="K161" i="10"/>
  <c r="L161" i="10" s="1"/>
  <c r="K163" i="10"/>
  <c r="L163" i="10" s="1"/>
  <c r="K165" i="10"/>
  <c r="L165" i="10" s="1"/>
  <c r="K167" i="10"/>
  <c r="L167" i="10" s="1"/>
  <c r="K169" i="10"/>
  <c r="L169" i="10" s="1"/>
  <c r="K171" i="10"/>
  <c r="L171" i="10" s="1"/>
  <c r="K173" i="10"/>
  <c r="L173" i="10" s="1"/>
  <c r="K175" i="10"/>
  <c r="L175" i="10" s="1"/>
  <c r="J14" i="1"/>
  <c r="J14" i="3"/>
  <c r="K14" i="4"/>
  <c r="P41" i="10"/>
  <c r="P46" i="10"/>
  <c r="P48" i="10"/>
  <c r="P52" i="10"/>
  <c r="P56" i="10"/>
  <c r="P58" i="10"/>
  <c r="P62" i="10"/>
  <c r="P64" i="10"/>
  <c r="P68" i="10"/>
  <c r="P70" i="10"/>
  <c r="P74" i="10"/>
  <c r="P76" i="10"/>
  <c r="P80" i="10"/>
  <c r="P82" i="10"/>
  <c r="P86" i="10"/>
  <c r="P88" i="10"/>
  <c r="P92" i="10"/>
  <c r="P96" i="10"/>
  <c r="P98" i="10"/>
  <c r="P102" i="10"/>
  <c r="P104" i="10"/>
  <c r="P108" i="10"/>
  <c r="P110" i="10"/>
  <c r="P118" i="10"/>
  <c r="P156" i="10"/>
  <c r="P158" i="10"/>
  <c r="P162" i="10"/>
  <c r="P166" i="10"/>
  <c r="P168" i="10"/>
  <c r="P172" i="10"/>
  <c r="P174" i="10"/>
  <c r="P16" i="10"/>
  <c r="P40" i="10"/>
  <c r="P43" i="10"/>
  <c r="P45" i="10"/>
  <c r="P47" i="10"/>
  <c r="P49" i="10"/>
  <c r="P51" i="10"/>
  <c r="P53" i="10"/>
  <c r="P55" i="10"/>
  <c r="P57" i="10"/>
  <c r="P59" i="10"/>
  <c r="P61" i="10"/>
  <c r="P63" i="10"/>
  <c r="P65" i="10"/>
  <c r="P67" i="10"/>
  <c r="P69" i="10"/>
  <c r="P71" i="10"/>
  <c r="P73" i="10"/>
  <c r="P75" i="10"/>
  <c r="P77" i="10"/>
  <c r="P79" i="10"/>
  <c r="P81" i="10"/>
  <c r="P83" i="10"/>
  <c r="P85" i="10"/>
  <c r="P87" i="10"/>
  <c r="P89" i="10"/>
  <c r="P91" i="10"/>
  <c r="P93" i="10"/>
  <c r="P95" i="10"/>
  <c r="P97" i="10"/>
  <c r="P99" i="10"/>
  <c r="P101" i="10"/>
  <c r="P103" i="10"/>
  <c r="P105" i="10"/>
  <c r="P107" i="10"/>
  <c r="P109" i="10"/>
  <c r="P111" i="10"/>
  <c r="P113" i="10"/>
  <c r="P115" i="10"/>
  <c r="P117" i="10"/>
  <c r="P119" i="10"/>
  <c r="P121" i="10"/>
  <c r="P123" i="10"/>
  <c r="P125" i="10"/>
  <c r="P127" i="10"/>
  <c r="P129" i="10"/>
  <c r="P131" i="10"/>
  <c r="P133" i="10"/>
  <c r="P135" i="10"/>
  <c r="P137" i="10"/>
  <c r="P139" i="10"/>
  <c r="P141" i="10"/>
  <c r="P143" i="10"/>
  <c r="P145" i="10"/>
  <c r="P147" i="10"/>
  <c r="P149" i="10"/>
  <c r="P151" i="10"/>
  <c r="P153" i="10"/>
  <c r="P155" i="10"/>
  <c r="P157" i="10"/>
  <c r="P159" i="10"/>
  <c r="P161" i="10"/>
  <c r="P163" i="10"/>
  <c r="P165" i="10"/>
  <c r="P167" i="10"/>
  <c r="P169" i="10"/>
  <c r="P171" i="10"/>
  <c r="P173" i="10"/>
  <c r="P175" i="10"/>
  <c r="P177" i="10"/>
  <c r="P44" i="10"/>
  <c r="P50" i="10"/>
  <c r="P54" i="10"/>
  <c r="P60" i="10"/>
  <c r="P66" i="10"/>
  <c r="P72" i="10"/>
  <c r="P78" i="10"/>
  <c r="P84" i="10"/>
  <c r="P90" i="10"/>
  <c r="P94" i="10"/>
  <c r="P100" i="10"/>
  <c r="P106" i="10"/>
  <c r="P112" i="10"/>
  <c r="P114" i="10"/>
  <c r="P116" i="10"/>
  <c r="P120" i="10"/>
  <c r="P122" i="10"/>
  <c r="P124" i="10"/>
  <c r="P126" i="10"/>
  <c r="P128" i="10"/>
  <c r="P130" i="10"/>
  <c r="P132" i="10"/>
  <c r="P134" i="10"/>
  <c r="P136" i="10"/>
  <c r="P138" i="10"/>
  <c r="P140" i="10"/>
  <c r="P142" i="10"/>
  <c r="P144" i="10"/>
  <c r="P146" i="10"/>
  <c r="P148" i="10"/>
  <c r="P150" i="10"/>
  <c r="P152" i="10"/>
  <c r="P154" i="10"/>
  <c r="P160" i="10"/>
  <c r="P164" i="10"/>
  <c r="P170" i="10"/>
  <c r="P176" i="10"/>
  <c r="K16" i="10"/>
  <c r="K516" i="10" s="1"/>
  <c r="J16" i="10"/>
  <c r="O516" i="10"/>
  <c r="K240" i="4"/>
  <c r="K239" i="4"/>
  <c r="L21" i="4"/>
  <c r="L20" i="4"/>
  <c r="L240" i="3"/>
  <c r="L239" i="3"/>
  <c r="M21" i="3"/>
  <c r="M20" i="3"/>
  <c r="M21" i="1"/>
  <c r="M20" i="1"/>
  <c r="H19" i="3"/>
  <c r="I5" i="3"/>
  <c r="T27" i="11"/>
  <c r="S27" i="11"/>
  <c r="K13" i="3"/>
  <c r="K12" i="3"/>
  <c r="L13" i="4"/>
  <c r="L12" i="4"/>
  <c r="L6" i="1"/>
  <c r="L7" i="1"/>
  <c r="L6" i="3"/>
  <c r="L7" i="3"/>
  <c r="M6" i="4"/>
  <c r="M7" i="4"/>
  <c r="K12" i="1"/>
  <c r="K13" i="1"/>
  <c r="N23" i="1"/>
  <c r="H5" i="1"/>
  <c r="N23" i="3"/>
  <c r="O23" i="3" s="1"/>
  <c r="H5" i="4"/>
  <c r="H19" i="4" s="1"/>
  <c r="H490" i="10" l="1"/>
  <c r="H496" i="10"/>
  <c r="H498" i="10"/>
  <c r="H506" i="10"/>
  <c r="L442" i="10"/>
  <c r="H282" i="10"/>
  <c r="H284" i="10"/>
  <c r="H286" i="10"/>
  <c r="H288" i="10"/>
  <c r="H290" i="10"/>
  <c r="H292" i="10"/>
  <c r="H294" i="10"/>
  <c r="H296" i="10"/>
  <c r="H298" i="10"/>
  <c r="H300" i="10"/>
  <c r="H302" i="10"/>
  <c r="H304" i="10"/>
  <c r="H306" i="10"/>
  <c r="H308" i="10"/>
  <c r="H310" i="10"/>
  <c r="H312" i="10"/>
  <c r="H313" i="10"/>
  <c r="H315" i="10"/>
  <c r="H317" i="10"/>
  <c r="H319" i="10"/>
  <c r="H321" i="10"/>
  <c r="H323" i="10"/>
  <c r="H325" i="10"/>
  <c r="H327" i="10"/>
  <c r="H329" i="10"/>
  <c r="H331" i="10"/>
  <c r="H333" i="10"/>
  <c r="H335" i="10"/>
  <c r="H337" i="10"/>
  <c r="H339" i="10"/>
  <c r="H341" i="10"/>
  <c r="H343" i="10"/>
  <c r="H345" i="10"/>
  <c r="H347" i="10"/>
  <c r="H349" i="10"/>
  <c r="H351" i="10"/>
  <c r="H353" i="10"/>
  <c r="H355" i="10"/>
  <c r="H357" i="10"/>
  <c r="H359" i="10"/>
  <c r="H361" i="10"/>
  <c r="H363" i="10"/>
  <c r="H365" i="10"/>
  <c r="H367" i="10"/>
  <c r="H369" i="10"/>
  <c r="H371" i="10"/>
  <c r="H373" i="10"/>
  <c r="H375" i="10"/>
  <c r="H377" i="10"/>
  <c r="H379" i="10"/>
  <c r="H381" i="10"/>
  <c r="H383" i="10"/>
  <c r="H385" i="10"/>
  <c r="H387" i="10"/>
  <c r="H389" i="10"/>
  <c r="H391" i="10"/>
  <c r="H393" i="10"/>
  <c r="H395" i="10"/>
  <c r="H397" i="10"/>
  <c r="H399" i="10"/>
  <c r="H403" i="10"/>
  <c r="H407" i="10"/>
  <c r="H411" i="10"/>
  <c r="H419" i="10"/>
  <c r="H423" i="10"/>
  <c r="H427" i="10"/>
  <c r="H431" i="10"/>
  <c r="H435" i="10"/>
  <c r="H439" i="10"/>
  <c r="H442" i="10"/>
  <c r="H444" i="10"/>
  <c r="H446" i="10"/>
  <c r="H478" i="10"/>
  <c r="H482" i="10"/>
  <c r="H486" i="10"/>
  <c r="L458" i="10"/>
  <c r="L474" i="10"/>
  <c r="L462" i="10"/>
  <c r="L448" i="10"/>
  <c r="L456" i="10"/>
  <c r="L464" i="10"/>
  <c r="L472" i="10"/>
  <c r="L477" i="10"/>
  <c r="L479" i="10"/>
  <c r="L481" i="10"/>
  <c r="L483" i="10"/>
  <c r="L485" i="10"/>
  <c r="L487" i="10"/>
  <c r="L489" i="10"/>
  <c r="L513" i="10"/>
  <c r="H417" i="10"/>
  <c r="AD417" i="10"/>
  <c r="H401" i="10"/>
  <c r="H405" i="10"/>
  <c r="H409" i="10"/>
  <c r="H413" i="10"/>
  <c r="H421" i="10"/>
  <c r="H425" i="10"/>
  <c r="H429" i="10"/>
  <c r="H433" i="10"/>
  <c r="H437" i="10"/>
  <c r="H480" i="10"/>
  <c r="H484" i="10"/>
  <c r="H488" i="10"/>
  <c r="H492" i="10"/>
  <c r="H494" i="10"/>
  <c r="H500" i="10"/>
  <c r="H502" i="10"/>
  <c r="H504" i="10"/>
  <c r="H508" i="10"/>
  <c r="H510" i="10"/>
  <c r="H514" i="10"/>
  <c r="AD514" i="10"/>
  <c r="L359" i="10"/>
  <c r="AE359" i="10"/>
  <c r="L361" i="10"/>
  <c r="AE361" i="10"/>
  <c r="L363" i="10"/>
  <c r="AE363" i="10"/>
  <c r="L365" i="10"/>
  <c r="AE365" i="10"/>
  <c r="L367" i="10"/>
  <c r="AE367" i="10"/>
  <c r="L369" i="10"/>
  <c r="AE369" i="10"/>
  <c r="L371" i="10"/>
  <c r="AE371" i="10"/>
  <c r="L399" i="10"/>
  <c r="L401" i="10"/>
  <c r="L403" i="10"/>
  <c r="L405" i="10"/>
  <c r="L407" i="10"/>
  <c r="L409" i="10"/>
  <c r="L411" i="10"/>
  <c r="L413" i="10"/>
  <c r="L415" i="10"/>
  <c r="L417" i="10"/>
  <c r="L419" i="10"/>
  <c r="L421" i="10"/>
  <c r="L423" i="10"/>
  <c r="L425" i="10"/>
  <c r="L427" i="10"/>
  <c r="L429" i="10"/>
  <c r="L431" i="10"/>
  <c r="L433" i="10"/>
  <c r="L435" i="10"/>
  <c r="L437" i="10"/>
  <c r="L439" i="10"/>
  <c r="L444" i="10"/>
  <c r="L446" i="10"/>
  <c r="L491" i="10"/>
  <c r="L493" i="10"/>
  <c r="L495" i="10"/>
  <c r="L497" i="10"/>
  <c r="L499" i="10"/>
  <c r="L501" i="10"/>
  <c r="L503" i="10"/>
  <c r="L505" i="10"/>
  <c r="L507" i="10"/>
  <c r="L509" i="10"/>
  <c r="L511" i="10"/>
  <c r="J516" i="10"/>
  <c r="L276" i="10"/>
  <c r="L274" i="10"/>
  <c r="H283" i="10"/>
  <c r="H285" i="10"/>
  <c r="H287" i="10"/>
  <c r="H289" i="10"/>
  <c r="H291" i="10"/>
  <c r="H293" i="10"/>
  <c r="H295" i="10"/>
  <c r="H297" i="10"/>
  <c r="H299" i="10"/>
  <c r="H301" i="10"/>
  <c r="H303" i="10"/>
  <c r="H305" i="10"/>
  <c r="H307" i="10"/>
  <c r="H309" i="10"/>
  <c r="H311" i="10"/>
  <c r="H314" i="10"/>
  <c r="H316" i="10"/>
  <c r="H318" i="10"/>
  <c r="H320" i="10"/>
  <c r="H322" i="10"/>
  <c r="H324" i="10"/>
  <c r="H326" i="10"/>
  <c r="H328" i="10"/>
  <c r="H330" i="10"/>
  <c r="H332" i="10"/>
  <c r="H334" i="10"/>
  <c r="H336" i="10"/>
  <c r="H338" i="10"/>
  <c r="H340" i="10"/>
  <c r="H342" i="10"/>
  <c r="H344" i="10"/>
  <c r="H346" i="10"/>
  <c r="H348" i="10"/>
  <c r="H350" i="10"/>
  <c r="H352" i="10"/>
  <c r="H354" i="10"/>
  <c r="H356" i="10"/>
  <c r="H358" i="10"/>
  <c r="H360" i="10"/>
  <c r="H362" i="10"/>
  <c r="H364" i="10"/>
  <c r="H366" i="10"/>
  <c r="H368" i="10"/>
  <c r="H370" i="10"/>
  <c r="H372" i="10"/>
  <c r="H374" i="10"/>
  <c r="H376" i="10"/>
  <c r="H378" i="10"/>
  <c r="H380" i="10"/>
  <c r="H382" i="10"/>
  <c r="H384" i="10"/>
  <c r="H386" i="10"/>
  <c r="H388" i="10"/>
  <c r="H390" i="10"/>
  <c r="H392" i="10"/>
  <c r="H394" i="10"/>
  <c r="H396" i="10"/>
  <c r="H415" i="10"/>
  <c r="AD415" i="10"/>
  <c r="H398" i="10"/>
  <c r="H400" i="10"/>
  <c r="H402" i="10"/>
  <c r="H404" i="10"/>
  <c r="H406" i="10"/>
  <c r="H408" i="10"/>
  <c r="H410" i="10"/>
  <c r="H412" i="10"/>
  <c r="H414" i="10"/>
  <c r="H416" i="10"/>
  <c r="H418" i="10"/>
  <c r="H420" i="10"/>
  <c r="H422" i="10"/>
  <c r="H424" i="10"/>
  <c r="H426" i="10"/>
  <c r="H428" i="10"/>
  <c r="H430" i="10"/>
  <c r="H432" i="10"/>
  <c r="H434" i="10"/>
  <c r="H436" i="10"/>
  <c r="H438" i="10"/>
  <c r="H440" i="10"/>
  <c r="H441" i="10"/>
  <c r="H443" i="10"/>
  <c r="H445" i="10"/>
  <c r="H447" i="10"/>
  <c r="H477" i="10"/>
  <c r="H479" i="10"/>
  <c r="H481" i="10"/>
  <c r="H483" i="10"/>
  <c r="H485" i="10"/>
  <c r="H487" i="10"/>
  <c r="H489" i="10"/>
  <c r="H491" i="10"/>
  <c r="H493" i="10"/>
  <c r="H495" i="10"/>
  <c r="H497" i="10"/>
  <c r="H499" i="10"/>
  <c r="H501" i="10"/>
  <c r="H503" i="10"/>
  <c r="H505" i="10"/>
  <c r="H507" i="10"/>
  <c r="H509" i="10"/>
  <c r="H511" i="10"/>
  <c r="L398" i="10"/>
  <c r="L400" i="10"/>
  <c r="L402" i="10"/>
  <c r="L404" i="10"/>
  <c r="L406" i="10"/>
  <c r="L408" i="10"/>
  <c r="L410" i="10"/>
  <c r="L412" i="10"/>
  <c r="L414" i="10"/>
  <c r="L416" i="10"/>
  <c r="L418" i="10"/>
  <c r="L420" i="10"/>
  <c r="L422" i="10"/>
  <c r="L424" i="10"/>
  <c r="L426" i="10"/>
  <c r="L428" i="10"/>
  <c r="L430" i="10"/>
  <c r="L432" i="10"/>
  <c r="L434" i="10"/>
  <c r="L436" i="10"/>
  <c r="L438" i="10"/>
  <c r="L440" i="10"/>
  <c r="L451" i="10"/>
  <c r="L455" i="10"/>
  <c r="L459" i="10"/>
  <c r="L463" i="10"/>
  <c r="L467" i="10"/>
  <c r="L471" i="10"/>
  <c r="L475" i="10"/>
  <c r="L441" i="10"/>
  <c r="L443" i="10"/>
  <c r="L445" i="10"/>
  <c r="L447" i="10"/>
  <c r="L478" i="10"/>
  <c r="L480" i="10"/>
  <c r="L482" i="10"/>
  <c r="L484" i="10"/>
  <c r="L486" i="10"/>
  <c r="L488" i="10"/>
  <c r="L490" i="10"/>
  <c r="L492" i="10"/>
  <c r="L494" i="10"/>
  <c r="L496" i="10"/>
  <c r="L498" i="10"/>
  <c r="L500" i="10"/>
  <c r="L502" i="10"/>
  <c r="L504" i="10"/>
  <c r="L506" i="10"/>
  <c r="L508" i="10"/>
  <c r="L510" i="10"/>
  <c r="F516" i="10"/>
  <c r="L260" i="10"/>
  <c r="L254" i="10"/>
  <c r="L258" i="10"/>
  <c r="L262" i="10"/>
  <c r="L266" i="10"/>
  <c r="L177" i="10"/>
  <c r="H60" i="10"/>
  <c r="L42" i="10"/>
  <c r="L156" i="10"/>
  <c r="L148" i="10"/>
  <c r="L132" i="10"/>
  <c r="L124" i="10"/>
  <c r="L116" i="10"/>
  <c r="H42" i="10"/>
  <c r="H50" i="10"/>
  <c r="H58" i="10"/>
  <c r="H66" i="10"/>
  <c r="H74" i="10"/>
  <c r="H82" i="10"/>
  <c r="H90" i="10"/>
  <c r="H98" i="10"/>
  <c r="H106" i="10"/>
  <c r="H114" i="10"/>
  <c r="H39" i="10"/>
  <c r="L144" i="10"/>
  <c r="L128" i="10"/>
  <c r="L112" i="10"/>
  <c r="L134" i="10"/>
  <c r="L118" i="10"/>
  <c r="L102" i="10"/>
  <c r="L94" i="10"/>
  <c r="L86" i="10"/>
  <c r="L78" i="10"/>
  <c r="L70" i="10"/>
  <c r="L62" i="10"/>
  <c r="L54" i="10"/>
  <c r="L46" i="10"/>
  <c r="H44" i="10"/>
  <c r="H52" i="10"/>
  <c r="H56" i="10"/>
  <c r="H64" i="10"/>
  <c r="H80" i="10"/>
  <c r="H84" i="10"/>
  <c r="H96" i="10"/>
  <c r="H100" i="10"/>
  <c r="H104" i="10"/>
  <c r="H116" i="10"/>
  <c r="H128" i="10"/>
  <c r="H132" i="10"/>
  <c r="H144" i="10"/>
  <c r="H200" i="10"/>
  <c r="H208" i="10"/>
  <c r="H216" i="10"/>
  <c r="H254" i="10"/>
  <c r="H197" i="10"/>
  <c r="H205" i="10"/>
  <c r="H213" i="10"/>
  <c r="H221" i="10"/>
  <c r="H262" i="10"/>
  <c r="H259" i="10"/>
  <c r="H267" i="10"/>
  <c r="L238" i="10"/>
  <c r="L246" i="10"/>
  <c r="L225" i="10"/>
  <c r="L229" i="10"/>
  <c r="L234" i="10"/>
  <c r="L242" i="10"/>
  <c r="L250" i="10"/>
  <c r="L226" i="10"/>
  <c r="L230" i="10"/>
  <c r="L236" i="10"/>
  <c r="L240" i="10"/>
  <c r="L244" i="10"/>
  <c r="L248" i="10"/>
  <c r="L252" i="10"/>
  <c r="L268" i="10"/>
  <c r="L233" i="10"/>
  <c r="L235" i="10"/>
  <c r="L237" i="10"/>
  <c r="L239" i="10"/>
  <c r="L241" i="10"/>
  <c r="L243" i="10"/>
  <c r="L245" i="10"/>
  <c r="L247" i="10"/>
  <c r="L249" i="10"/>
  <c r="L251" i="10"/>
  <c r="L256" i="10"/>
  <c r="L264" i="10"/>
  <c r="L253" i="10"/>
  <c r="L257" i="10"/>
  <c r="L261" i="10"/>
  <c r="L269" i="10"/>
  <c r="L275" i="10"/>
  <c r="L279" i="10"/>
  <c r="H193" i="10"/>
  <c r="H195" i="10"/>
  <c r="H199" i="10"/>
  <c r="H201" i="10"/>
  <c r="H203" i="10"/>
  <c r="H207" i="10"/>
  <c r="H209" i="10"/>
  <c r="H211" i="10"/>
  <c r="H215" i="10"/>
  <c r="H217" i="10"/>
  <c r="H219" i="10"/>
  <c r="H223" i="10"/>
  <c r="H269" i="10"/>
  <c r="AD269" i="10"/>
  <c r="H253" i="10"/>
  <c r="H255" i="10"/>
  <c r="H257" i="10"/>
  <c r="H261" i="10"/>
  <c r="H263" i="10"/>
  <c r="H265" i="10"/>
  <c r="H273" i="10"/>
  <c r="AD273" i="10"/>
  <c r="H275" i="10"/>
  <c r="AD275" i="10"/>
  <c r="H277" i="10"/>
  <c r="AD277" i="10"/>
  <c r="H279" i="10"/>
  <c r="AD279" i="10"/>
  <c r="H281" i="10"/>
  <c r="AD281" i="10"/>
  <c r="L224" i="10"/>
  <c r="L228" i="10"/>
  <c r="L232" i="10"/>
  <c r="L255" i="10"/>
  <c r="L259" i="10"/>
  <c r="L263" i="10"/>
  <c r="L265" i="10"/>
  <c r="L267" i="10"/>
  <c r="L271" i="10"/>
  <c r="L98" i="10"/>
  <c r="L90" i="10"/>
  <c r="L82" i="10"/>
  <c r="L74" i="10"/>
  <c r="L66" i="10"/>
  <c r="L58" i="10"/>
  <c r="L50" i="10"/>
  <c r="AD16" i="10"/>
  <c r="H122" i="10"/>
  <c r="H130" i="10"/>
  <c r="H138" i="10"/>
  <c r="H146" i="10"/>
  <c r="H240" i="10"/>
  <c r="H248" i="10"/>
  <c r="H179" i="10"/>
  <c r="H181" i="10"/>
  <c r="H183" i="10"/>
  <c r="H185" i="10"/>
  <c r="H187" i="10"/>
  <c r="H189" i="10"/>
  <c r="H191" i="10"/>
  <c r="H236" i="10"/>
  <c r="H244" i="10"/>
  <c r="H270" i="10"/>
  <c r="AD270" i="10"/>
  <c r="H224" i="10"/>
  <c r="H226" i="10"/>
  <c r="H228" i="10"/>
  <c r="H230" i="10"/>
  <c r="H232" i="10"/>
  <c r="H233" i="10"/>
  <c r="H235" i="10"/>
  <c r="H237" i="10"/>
  <c r="H239" i="10"/>
  <c r="H241" i="10"/>
  <c r="H243" i="10"/>
  <c r="H245" i="10"/>
  <c r="H247" i="10"/>
  <c r="H249" i="10"/>
  <c r="H251" i="10"/>
  <c r="H271" i="10"/>
  <c r="AD271" i="10"/>
  <c r="H272" i="10"/>
  <c r="AD272" i="10"/>
  <c r="H274" i="10"/>
  <c r="AD274" i="10"/>
  <c r="H276" i="10"/>
  <c r="AD276" i="10"/>
  <c r="H278" i="10"/>
  <c r="AD278" i="10"/>
  <c r="H280" i="10"/>
  <c r="AD280" i="10"/>
  <c r="L178" i="10"/>
  <c r="L182" i="10"/>
  <c r="L186" i="10"/>
  <c r="L190" i="10"/>
  <c r="L180" i="10"/>
  <c r="L184" i="10"/>
  <c r="L188" i="10"/>
  <c r="L192" i="10"/>
  <c r="L280" i="10"/>
  <c r="L179" i="10"/>
  <c r="L181" i="10"/>
  <c r="L183" i="10"/>
  <c r="L185" i="10"/>
  <c r="L187" i="10"/>
  <c r="L189" i="10"/>
  <c r="L191" i="10"/>
  <c r="L193" i="10"/>
  <c r="L195" i="10"/>
  <c r="L197" i="10"/>
  <c r="L199" i="10"/>
  <c r="L201" i="10"/>
  <c r="L203" i="10"/>
  <c r="L205" i="10"/>
  <c r="L207" i="10"/>
  <c r="L209" i="10"/>
  <c r="L211" i="10"/>
  <c r="L213" i="10"/>
  <c r="L215" i="10"/>
  <c r="L217" i="10"/>
  <c r="L219" i="10"/>
  <c r="L221" i="10"/>
  <c r="L223" i="10"/>
  <c r="L272" i="10"/>
  <c r="L278" i="10"/>
  <c r="L270" i="10"/>
  <c r="L176" i="10"/>
  <c r="L160" i="10"/>
  <c r="L166" i="10"/>
  <c r="L150" i="10"/>
  <c r="L76" i="10"/>
  <c r="H166" i="10"/>
  <c r="H131" i="10"/>
  <c r="L84" i="10"/>
  <c r="L52" i="10"/>
  <c r="H59" i="10"/>
  <c r="L60" i="10"/>
  <c r="L68" i="10"/>
  <c r="H91" i="10"/>
  <c r="H155" i="10"/>
  <c r="H86" i="10"/>
  <c r="L164" i="10"/>
  <c r="L36" i="10"/>
  <c r="L44" i="10"/>
  <c r="H150" i="10"/>
  <c r="H78" i="10"/>
  <c r="H99" i="10"/>
  <c r="H79" i="10"/>
  <c r="H46" i="10"/>
  <c r="H54" i="10"/>
  <c r="H62" i="10"/>
  <c r="H70" i="10"/>
  <c r="H158" i="10"/>
  <c r="H174" i="10"/>
  <c r="H143" i="10"/>
  <c r="H111" i="10"/>
  <c r="H47" i="10"/>
  <c r="H67" i="10"/>
  <c r="H32" i="10"/>
  <c r="L92" i="10"/>
  <c r="H140" i="10"/>
  <c r="H136" i="10"/>
  <c r="H108" i="10"/>
  <c r="H169" i="10"/>
  <c r="H153" i="10"/>
  <c r="H48" i="10"/>
  <c r="H68" i="10"/>
  <c r="H72" i="10"/>
  <c r="H76" i="10"/>
  <c r="H88" i="10"/>
  <c r="H92" i="10"/>
  <c r="H112" i="10"/>
  <c r="H120" i="10"/>
  <c r="H124" i="10"/>
  <c r="H123" i="10"/>
  <c r="H36" i="10"/>
  <c r="H20" i="10"/>
  <c r="H28" i="10"/>
  <c r="H38" i="10"/>
  <c r="H30" i="10"/>
  <c r="H22" i="10"/>
  <c r="H34" i="10"/>
  <c r="H26" i="10"/>
  <c r="H18" i="10"/>
  <c r="L168" i="10"/>
  <c r="L152" i="10"/>
  <c r="L136" i="10"/>
  <c r="L120" i="10"/>
  <c r="L104" i="10"/>
  <c r="L88" i="10"/>
  <c r="L72" i="10"/>
  <c r="L56" i="10"/>
  <c r="L22" i="10"/>
  <c r="H147" i="10"/>
  <c r="H115" i="10"/>
  <c r="H83" i="10"/>
  <c r="H51" i="10"/>
  <c r="H107" i="10"/>
  <c r="H43" i="10"/>
  <c r="AE22" i="10"/>
  <c r="H170" i="10"/>
  <c r="H162" i="10"/>
  <c r="H154" i="10"/>
  <c r="H142" i="10"/>
  <c r="H134" i="10"/>
  <c r="H126" i="10"/>
  <c r="H118" i="10"/>
  <c r="H110" i="10"/>
  <c r="H102" i="10"/>
  <c r="H94" i="10"/>
  <c r="H163" i="10"/>
  <c r="H157" i="10"/>
  <c r="H139" i="10"/>
  <c r="H127" i="10"/>
  <c r="H95" i="10"/>
  <c r="H75" i="10"/>
  <c r="H63" i="10"/>
  <c r="H16" i="10"/>
  <c r="H516" i="10" s="1"/>
  <c r="L172" i="10"/>
  <c r="L140" i="10"/>
  <c r="L108" i="10"/>
  <c r="L96" i="10"/>
  <c r="L80" i="10"/>
  <c r="L64" i="10"/>
  <c r="L48" i="10"/>
  <c r="H135" i="10"/>
  <c r="H119" i="10"/>
  <c r="H103" i="10"/>
  <c r="H87" i="10"/>
  <c r="H71" i="10"/>
  <c r="H55" i="10"/>
  <c r="H171" i="10"/>
  <c r="H145" i="10"/>
  <c r="H137" i="10"/>
  <c r="H129" i="10"/>
  <c r="H121" i="10"/>
  <c r="H113" i="10"/>
  <c r="H105" i="10"/>
  <c r="H97" i="10"/>
  <c r="H89" i="10"/>
  <c r="H81" i="10"/>
  <c r="H73" i="10"/>
  <c r="H65" i="10"/>
  <c r="H57" i="10"/>
  <c r="H49" i="10"/>
  <c r="H41" i="10"/>
  <c r="L154" i="10"/>
  <c r="L122" i="10"/>
  <c r="H37" i="10"/>
  <c r="H33" i="10"/>
  <c r="H29" i="10"/>
  <c r="H25" i="10"/>
  <c r="H21" i="10"/>
  <c r="H17" i="10"/>
  <c r="L162" i="10"/>
  <c r="L146" i="10"/>
  <c r="L130" i="10"/>
  <c r="L114" i="10"/>
  <c r="H176" i="10"/>
  <c r="H172" i="10"/>
  <c r="H168" i="10"/>
  <c r="H164" i="10"/>
  <c r="H160" i="10"/>
  <c r="H156" i="10"/>
  <c r="H152" i="10"/>
  <c r="H148" i="10"/>
  <c r="H175" i="10"/>
  <c r="H167" i="10"/>
  <c r="H159" i="10"/>
  <c r="H151" i="10"/>
  <c r="H35" i="10"/>
  <c r="H31" i="10"/>
  <c r="H27" i="10"/>
  <c r="H23" i="10"/>
  <c r="H19" i="10"/>
  <c r="L170" i="10"/>
  <c r="L138" i="10"/>
  <c r="L106" i="10"/>
  <c r="L40" i="10"/>
  <c r="L24" i="10"/>
  <c r="L38" i="10"/>
  <c r="L30" i="10"/>
  <c r="L174" i="10"/>
  <c r="L158" i="10"/>
  <c r="L142" i="10"/>
  <c r="L126" i="10"/>
  <c r="L110" i="10"/>
  <c r="L34" i="10"/>
  <c r="L26" i="10"/>
  <c r="L18" i="10"/>
  <c r="L39" i="10"/>
  <c r="L35" i="10"/>
  <c r="L31" i="10"/>
  <c r="L41" i="10"/>
  <c r="L37" i="10"/>
  <c r="L33" i="10"/>
  <c r="L29" i="10"/>
  <c r="L25" i="10"/>
  <c r="L21" i="10"/>
  <c r="L17" i="10"/>
  <c r="L27" i="10"/>
  <c r="L23" i="10"/>
  <c r="L19" i="10"/>
  <c r="L43" i="10"/>
  <c r="K14" i="1"/>
  <c r="L14" i="4"/>
  <c r="K14" i="3"/>
  <c r="L16" i="10"/>
  <c r="L516" i="10" s="1"/>
  <c r="L240" i="4"/>
  <c r="L239" i="4"/>
  <c r="M21" i="4"/>
  <c r="M20" i="4"/>
  <c r="M239" i="3"/>
  <c r="M240" i="3"/>
  <c r="N21" i="3"/>
  <c r="N20" i="3"/>
  <c r="N21" i="1"/>
  <c r="N20" i="1"/>
  <c r="I5" i="1"/>
  <c r="I19" i="1" s="1"/>
  <c r="H19" i="1"/>
  <c r="I19" i="3"/>
  <c r="J5" i="3"/>
  <c r="J19" i="3" s="1"/>
  <c r="T28" i="11"/>
  <c r="S28" i="11"/>
  <c r="M13" i="4"/>
  <c r="M12" i="4"/>
  <c r="L13" i="3"/>
  <c r="L12" i="3"/>
  <c r="L12" i="1"/>
  <c r="L13" i="1"/>
  <c r="N6" i="4"/>
  <c r="N7" i="4"/>
  <c r="M6" i="3"/>
  <c r="M7" i="3"/>
  <c r="M6" i="1"/>
  <c r="M7" i="1"/>
  <c r="O23" i="1"/>
  <c r="I5" i="4"/>
  <c r="I19" i="4" s="1"/>
  <c r="L14" i="3" l="1"/>
  <c r="M14" i="4"/>
  <c r="L14" i="1"/>
  <c r="J5" i="1"/>
  <c r="J19" i="1" s="1"/>
  <c r="N21" i="4"/>
  <c r="N20" i="4"/>
  <c r="M240" i="4"/>
  <c r="M239" i="4"/>
  <c r="N240" i="3"/>
  <c r="N239" i="3"/>
  <c r="O21" i="3"/>
  <c r="O20" i="3"/>
  <c r="O21" i="1"/>
  <c r="O20" i="1"/>
  <c r="T29" i="11"/>
  <c r="N6" i="1"/>
  <c r="N7" i="1"/>
  <c r="N6" i="3"/>
  <c r="N7" i="3"/>
  <c r="O6" i="4"/>
  <c r="O7" i="4"/>
  <c r="S29" i="11"/>
  <c r="M12" i="1"/>
  <c r="M13" i="1"/>
  <c r="M13" i="3"/>
  <c r="M12" i="3"/>
  <c r="N13" i="4"/>
  <c r="N12" i="4"/>
  <c r="P10" i="3"/>
  <c r="P10" i="4"/>
  <c r="P10" i="1"/>
  <c r="B15" i="14" s="1"/>
  <c r="K5" i="3"/>
  <c r="K19" i="3" s="1"/>
  <c r="J5" i="4"/>
  <c r="J19" i="4" s="1"/>
  <c r="K5" i="1" l="1"/>
  <c r="K19" i="1" s="1"/>
  <c r="M14" i="1"/>
  <c r="N14" i="4"/>
  <c r="M14" i="3"/>
  <c r="N239" i="4"/>
  <c r="N240" i="4"/>
  <c r="O21" i="4"/>
  <c r="O20" i="4"/>
  <c r="O239" i="3"/>
  <c r="O240" i="3"/>
  <c r="T30" i="11"/>
  <c r="S30" i="11"/>
  <c r="O6" i="3"/>
  <c r="O7" i="3"/>
  <c r="O6" i="1"/>
  <c r="O7" i="1"/>
  <c r="O13" i="4"/>
  <c r="P13" i="4" s="1"/>
  <c r="O12" i="4"/>
  <c r="N13" i="3"/>
  <c r="N12" i="3"/>
  <c r="N12" i="1"/>
  <c r="N13" i="1"/>
  <c r="K5" i="4"/>
  <c r="K19" i="4" s="1"/>
  <c r="L5" i="3"/>
  <c r="L19" i="3" s="1"/>
  <c r="L5" i="1"/>
  <c r="L19" i="1" s="1"/>
  <c r="N14" i="1" l="1"/>
  <c r="N14" i="3"/>
  <c r="P12" i="4"/>
  <c r="O14" i="4"/>
  <c r="O239" i="4"/>
  <c r="O240" i="4"/>
  <c r="T31" i="11"/>
  <c r="S31" i="11"/>
  <c r="O12" i="1"/>
  <c r="O13" i="1"/>
  <c r="P13" i="1" s="1"/>
  <c r="O13" i="3"/>
  <c r="P13" i="3" s="1"/>
  <c r="O12" i="3"/>
  <c r="M5" i="1"/>
  <c r="M19" i="1" s="1"/>
  <c r="M5" i="3"/>
  <c r="M19" i="3" s="1"/>
  <c r="L5" i="4"/>
  <c r="L19" i="4" s="1"/>
  <c r="P12" i="1" l="1"/>
  <c r="O14" i="1"/>
  <c r="P12" i="3"/>
  <c r="O14" i="3"/>
  <c r="T32" i="11"/>
  <c r="S32" i="11"/>
  <c r="N5" i="1"/>
  <c r="N19" i="1" s="1"/>
  <c r="N5" i="3"/>
  <c r="N19" i="3" s="1"/>
  <c r="M5" i="4"/>
  <c r="M19" i="4" s="1"/>
  <c r="C15" i="14"/>
  <c r="P14" i="1" l="1"/>
  <c r="O5" i="1"/>
  <c r="O19" i="1" s="1"/>
  <c r="N5" i="4"/>
  <c r="N19" i="4" s="1"/>
  <c r="O5" i="3"/>
  <c r="O19" i="3" s="1"/>
  <c r="O5" i="4" l="1"/>
  <c r="O19" i="4" s="1"/>
  <c r="D15" i="14"/>
  <c r="P14" i="3" l="1"/>
  <c r="C21" i="14"/>
  <c r="B21" i="14" l="1"/>
  <c r="B20" i="14"/>
  <c r="C20" i="14"/>
  <c r="B73" i="17" l="1"/>
  <c r="B87" i="17" s="1"/>
  <c r="D236" i="23" s="1"/>
  <c r="C87" i="17" l="1"/>
  <c r="E236" i="23" s="1"/>
  <c r="G76" i="17"/>
  <c r="D87" i="17" l="1"/>
  <c r="F236" i="23" s="1"/>
  <c r="V21" i="11" l="1"/>
  <c r="V22" i="11"/>
  <c r="E87" i="17"/>
  <c r="G236" i="23" s="1"/>
  <c r="D17" i="23" l="1"/>
  <c r="V23" i="11"/>
  <c r="F87" i="17"/>
  <c r="H236" i="23" s="1"/>
  <c r="V24" i="11" l="1"/>
  <c r="G87" i="17"/>
  <c r="I236" i="23" s="1"/>
  <c r="H87" i="17" l="1"/>
  <c r="J236" i="23" s="1"/>
  <c r="V25" i="11" l="1"/>
  <c r="V26" i="11"/>
  <c r="I87" i="17"/>
  <c r="K236" i="23" s="1"/>
  <c r="V27" i="11" l="1"/>
  <c r="J87" i="17"/>
  <c r="L236" i="23" s="1"/>
  <c r="K87" i="17" l="1"/>
  <c r="M236" i="23" s="1"/>
  <c r="V28" i="11"/>
  <c r="V29" i="11" l="1"/>
  <c r="L87" i="17"/>
  <c r="N236" i="23" s="1"/>
  <c r="V30" i="11" l="1"/>
  <c r="M87" i="17"/>
  <c r="O236" i="23" l="1"/>
  <c r="P236" i="23" s="1"/>
  <c r="V31" i="11"/>
  <c r="N87" i="17"/>
  <c r="O87" i="17" s="1"/>
  <c r="P87" i="17" s="1"/>
  <c r="P12" i="23" l="1"/>
  <c r="P13" i="23" l="1"/>
  <c r="F21" i="14" s="1"/>
  <c r="V32" i="11"/>
  <c r="P14" i="23" l="1"/>
  <c r="F20" i="14" s="1"/>
  <c r="P239" i="23" l="1"/>
  <c r="P240" i="23"/>
  <c r="P240" i="21" l="1"/>
  <c r="P239" i="21"/>
  <c r="P240" i="22"/>
  <c r="P239" i="22"/>
  <c r="D245" i="23" l="1"/>
  <c r="F8" i="14"/>
  <c r="D249" i="23"/>
  <c r="D250" i="23" s="1"/>
  <c r="D252" i="23" s="1"/>
  <c r="E247" i="23" l="1"/>
  <c r="E16" i="23"/>
  <c r="N5" i="11"/>
  <c r="F6" i="14"/>
  <c r="D254" i="23"/>
  <c r="E254" i="23" s="1"/>
  <c r="F245" i="23"/>
  <c r="F249" i="23"/>
  <c r="E245" i="23"/>
  <c r="E249" i="23"/>
  <c r="O245" i="23"/>
  <c r="O249" i="23"/>
  <c r="G249" i="23"/>
  <c r="G245" i="23"/>
  <c r="M245" i="23"/>
  <c r="M249" i="23"/>
  <c r="N245" i="23"/>
  <c r="N249" i="23"/>
  <c r="L245" i="23"/>
  <c r="L249" i="23"/>
  <c r="I245" i="23"/>
  <c r="I249" i="23"/>
  <c r="K245" i="23"/>
  <c r="K249" i="23"/>
  <c r="H245" i="23"/>
  <c r="H249" i="23"/>
  <c r="J245" i="23"/>
  <c r="J249" i="23"/>
  <c r="P245" i="23" l="1"/>
  <c r="F5" i="14" s="1"/>
  <c r="F10" i="14" s="1"/>
  <c r="F254" i="23"/>
  <c r="G254" i="23" s="1"/>
  <c r="H254" i="23" s="1"/>
  <c r="I254" i="23" s="1"/>
  <c r="J254" i="23" s="1"/>
  <c r="K254" i="23" s="1"/>
  <c r="L254" i="23" s="1"/>
  <c r="M254" i="23" s="1"/>
  <c r="N254" i="23" s="1"/>
  <c r="O254" i="23" s="1"/>
  <c r="E17" i="23"/>
  <c r="E250" i="23" l="1"/>
  <c r="E252" i="23" s="1"/>
  <c r="F16" i="23" s="1"/>
  <c r="N6" i="11" l="1"/>
  <c r="F247" i="23"/>
  <c r="F17" i="23" l="1"/>
  <c r="F250" i="23" l="1"/>
  <c r="F252" i="23" s="1"/>
  <c r="G16" i="23" s="1"/>
  <c r="N7" i="11" l="1"/>
  <c r="G247" i="23"/>
  <c r="G17" i="23" l="1"/>
  <c r="G250" i="23" l="1"/>
  <c r="G252" i="23" s="1"/>
  <c r="H16" i="23" s="1"/>
  <c r="N8" i="11" l="1"/>
  <c r="H247" i="23"/>
  <c r="H17" i="23" l="1"/>
  <c r="H250" i="23" l="1"/>
  <c r="H252" i="23" s="1"/>
  <c r="I16" i="23" s="1"/>
  <c r="N9" i="11" l="1"/>
  <c r="I247" i="23"/>
  <c r="I17" i="23" l="1"/>
  <c r="I250" i="23" l="1"/>
  <c r="I252" i="23" s="1"/>
  <c r="J16" i="23" s="1"/>
  <c r="N10" i="11" l="1"/>
  <c r="J17" i="23"/>
  <c r="J250" i="23" s="1"/>
  <c r="J247" i="23"/>
  <c r="J252" i="23" l="1"/>
  <c r="K16" i="23" l="1"/>
  <c r="K17" i="23" s="1"/>
  <c r="K250" i="23" s="1"/>
  <c r="N11" i="11"/>
  <c r="K247" i="23"/>
  <c r="K252" i="23" l="1"/>
  <c r="L16" i="23" s="1"/>
  <c r="N12" i="11" l="1"/>
  <c r="L247" i="23"/>
  <c r="L17" i="23"/>
  <c r="L250" i="23" s="1"/>
  <c r="L252" i="23" l="1"/>
  <c r="M16" i="23" s="1"/>
  <c r="M17" i="23" s="1"/>
  <c r="M250" i="23" s="1"/>
  <c r="N13" i="11" l="1"/>
  <c r="M247" i="23"/>
  <c r="M252" i="23" s="1"/>
  <c r="N16" i="23" l="1"/>
  <c r="N17" i="23" s="1"/>
  <c r="N250" i="23" s="1"/>
  <c r="N247" i="23"/>
  <c r="N14" i="11"/>
  <c r="N252" i="23" l="1"/>
  <c r="O16" i="23" s="1"/>
  <c r="P16" i="23" s="1"/>
  <c r="O247" i="23" l="1"/>
  <c r="N15" i="11"/>
  <c r="O17" i="23"/>
  <c r="P17" i="23" s="1"/>
  <c r="F19" i="14"/>
  <c r="F18" i="14" s="1"/>
  <c r="F23" i="14" s="1"/>
  <c r="F25" i="14" s="1"/>
  <c r="O250" i="23" l="1"/>
  <c r="O252" i="23" s="1"/>
  <c r="G8" i="14"/>
  <c r="D245" i="22"/>
  <c r="D249" i="22"/>
  <c r="D250" i="22" s="1"/>
  <c r="D252" i="22" s="1"/>
  <c r="E247" i="22" l="1"/>
  <c r="E16" i="22"/>
  <c r="N16" i="11"/>
  <c r="O5" i="11"/>
  <c r="G6" i="14"/>
  <c r="D254" i="22"/>
  <c r="E254" i="22" s="1"/>
  <c r="E245" i="22"/>
  <c r="E249" i="22"/>
  <c r="G245" i="22"/>
  <c r="G249" i="22"/>
  <c r="I245" i="22"/>
  <c r="I249" i="22"/>
  <c r="K245" i="22"/>
  <c r="K249" i="22"/>
  <c r="F245" i="22"/>
  <c r="F249" i="22"/>
  <c r="H245" i="22"/>
  <c r="H249" i="22"/>
  <c r="J245" i="22"/>
  <c r="J249" i="22"/>
  <c r="L245" i="22"/>
  <c r="L249" i="22"/>
  <c r="M245" i="22"/>
  <c r="M249" i="22"/>
  <c r="O245" i="22"/>
  <c r="O249" i="22"/>
  <c r="N245" i="22"/>
  <c r="N249" i="22"/>
  <c r="P245" i="22" l="1"/>
  <c r="G5" i="14" s="1"/>
  <c r="G10" i="14" s="1"/>
  <c r="F254" i="22"/>
  <c r="G254" i="22" s="1"/>
  <c r="H254" i="22" s="1"/>
  <c r="I254" i="22" s="1"/>
  <c r="J254" i="22" s="1"/>
  <c r="K254" i="22" s="1"/>
  <c r="L254" i="22" s="1"/>
  <c r="M254" i="22" s="1"/>
  <c r="N254" i="22" s="1"/>
  <c r="O254" i="22" s="1"/>
  <c r="E17" i="22"/>
  <c r="E250" i="22" l="1"/>
  <c r="E252" i="22" s="1"/>
  <c r="F16" i="22" s="1"/>
  <c r="O6" i="11" l="1"/>
  <c r="F247" i="22"/>
  <c r="F17" i="22" l="1"/>
  <c r="F250" i="22" l="1"/>
  <c r="F252" i="22" s="1"/>
  <c r="G16" i="22" s="1"/>
  <c r="O7" i="11" l="1"/>
  <c r="G247" i="22"/>
  <c r="G17" i="22" l="1"/>
  <c r="G250" i="22" l="1"/>
  <c r="G252" i="22" s="1"/>
  <c r="H16" i="22" s="1"/>
  <c r="O8" i="11" l="1"/>
  <c r="H247" i="22"/>
  <c r="H17" i="22" l="1"/>
  <c r="H250" i="22" l="1"/>
  <c r="H252" i="22" s="1"/>
  <c r="I16" i="22" s="1"/>
  <c r="O9" i="11" l="1"/>
  <c r="I247" i="22"/>
  <c r="I17" i="22" l="1"/>
  <c r="I250" i="22" l="1"/>
  <c r="I252" i="22" s="1"/>
  <c r="J16" i="22" s="1"/>
  <c r="O10" i="11" l="1"/>
  <c r="J17" i="22"/>
  <c r="J250" i="22" s="1"/>
  <c r="J247" i="22"/>
  <c r="J252" i="22" l="1"/>
  <c r="O11" i="11" l="1"/>
  <c r="K16" i="22"/>
  <c r="K17" i="22" s="1"/>
  <c r="K250" i="22" s="1"/>
  <c r="K247" i="22"/>
  <c r="K252" i="22" l="1"/>
  <c r="L16" i="22" s="1"/>
  <c r="L17" i="22" s="1"/>
  <c r="L250" i="22" s="1"/>
  <c r="L247" i="22" l="1"/>
  <c r="L252" i="22" s="1"/>
  <c r="O12" i="11"/>
  <c r="M16" i="22" l="1"/>
  <c r="M17" i="22" s="1"/>
  <c r="M250" i="22" s="1"/>
  <c r="O13" i="11"/>
  <c r="M247" i="22"/>
  <c r="M252" i="22" l="1"/>
  <c r="O14" i="11" l="1"/>
  <c r="N16" i="22"/>
  <c r="N17" i="22" s="1"/>
  <c r="N250" i="22" s="1"/>
  <c r="N247" i="22"/>
  <c r="N252" i="22" l="1"/>
  <c r="O247" i="22" l="1"/>
  <c r="O16" i="22"/>
  <c r="O15" i="11"/>
  <c r="D245" i="21"/>
  <c r="D249" i="21"/>
  <c r="D250" i="21" s="1"/>
  <c r="D252" i="21" s="1"/>
  <c r="P16" i="22" l="1"/>
  <c r="G19" i="14" s="1"/>
  <c r="G18" i="14" s="1"/>
  <c r="G23" i="14" s="1"/>
  <c r="G25" i="14" s="1"/>
  <c r="O17" i="22"/>
  <c r="E247" i="21"/>
  <c r="E16" i="21"/>
  <c r="P5" i="11"/>
  <c r="D254" i="21"/>
  <c r="E254" i="21" s="1"/>
  <c r="F245" i="21"/>
  <c r="F249" i="21"/>
  <c r="H245" i="21"/>
  <c r="H249" i="21"/>
  <c r="E245" i="21"/>
  <c r="E249" i="21"/>
  <c r="G245" i="21"/>
  <c r="G249" i="21"/>
  <c r="P17" i="22" l="1"/>
  <c r="O250" i="22"/>
  <c r="O252" i="22" s="1"/>
  <c r="F254" i="21"/>
  <c r="G254" i="21" s="1"/>
  <c r="H254" i="21" s="1"/>
  <c r="I254" i="21" s="1"/>
  <c r="J254" i="21" s="1"/>
  <c r="K254" i="21" s="1"/>
  <c r="L254" i="21" s="1"/>
  <c r="M254" i="21" s="1"/>
  <c r="N254" i="21" s="1"/>
  <c r="O254" i="21" s="1"/>
  <c r="E17" i="21"/>
  <c r="O16" i="11" l="1"/>
  <c r="E250" i="21"/>
  <c r="E252" i="21" s="1"/>
  <c r="F16" i="21" s="1"/>
  <c r="P6" i="11" l="1"/>
  <c r="F247" i="21"/>
  <c r="F17" i="21" l="1"/>
  <c r="F250" i="21" l="1"/>
  <c r="F252" i="21" s="1"/>
  <c r="G16" i="21" s="1"/>
  <c r="P7" i="11" l="1"/>
  <c r="G247" i="21"/>
  <c r="G17" i="21" l="1"/>
  <c r="G250" i="21" l="1"/>
  <c r="G252" i="21" s="1"/>
  <c r="H16" i="21" s="1"/>
  <c r="P8" i="11" l="1"/>
  <c r="H247" i="21"/>
  <c r="H17" i="21" l="1"/>
  <c r="H250" i="21" l="1"/>
  <c r="H252" i="21" s="1"/>
  <c r="I16" i="21" s="1"/>
  <c r="P9" i="11" l="1"/>
  <c r="I247" i="21"/>
  <c r="I17" i="21" l="1"/>
  <c r="O245" i="21" l="1"/>
  <c r="O249" i="21"/>
  <c r="N249" i="21" l="1"/>
  <c r="N245" i="21"/>
  <c r="M245" i="21"/>
  <c r="M249" i="21"/>
  <c r="K245" i="21"/>
  <c r="K249" i="21"/>
  <c r="L245" i="21"/>
  <c r="L249" i="21"/>
  <c r="J245" i="21"/>
  <c r="J249" i="21"/>
  <c r="I245" i="21"/>
  <c r="H8" i="14"/>
  <c r="I249" i="21"/>
  <c r="I250" i="21" s="1"/>
  <c r="I252" i="21" s="1"/>
  <c r="J16" i="21" s="1"/>
  <c r="H6" i="14"/>
  <c r="P245" i="21" l="1"/>
  <c r="H5" i="14" s="1"/>
  <c r="H10" i="14" s="1"/>
  <c r="P10" i="11"/>
  <c r="J247" i="21"/>
  <c r="J17" i="21" l="1"/>
  <c r="J250" i="21" l="1"/>
  <c r="J252" i="21" s="1"/>
  <c r="K16" i="21" s="1"/>
  <c r="P11" i="11" l="1"/>
  <c r="K247" i="21"/>
  <c r="K17" i="21" l="1"/>
  <c r="K250" i="21" l="1"/>
  <c r="K252" i="21" s="1"/>
  <c r="L16" i="21" s="1"/>
  <c r="P12" i="11" l="1"/>
  <c r="L247" i="21"/>
  <c r="L17" i="21" l="1"/>
  <c r="L250" i="21" l="1"/>
  <c r="L252" i="21" s="1"/>
  <c r="M16" i="21" s="1"/>
  <c r="P13" i="11" l="1"/>
  <c r="M247" i="21"/>
  <c r="M17" i="21" l="1"/>
  <c r="M250" i="21" l="1"/>
  <c r="M252" i="21" s="1"/>
  <c r="N16" i="21" s="1"/>
  <c r="P14" i="11" l="1"/>
  <c r="N247" i="21"/>
  <c r="N17" i="21" l="1"/>
  <c r="N250" i="21" l="1"/>
  <c r="N252" i="21" s="1"/>
  <c r="O16" i="21" s="1"/>
  <c r="P15" i="11" l="1"/>
  <c r="O247" i="21"/>
  <c r="P16" i="21"/>
  <c r="O17" i="21" l="1"/>
  <c r="P17" i="21" s="1"/>
  <c r="H19" i="14"/>
  <c r="H18" i="14" s="1"/>
  <c r="H23" i="14" s="1"/>
  <c r="H25" i="14" s="1"/>
  <c r="O250" i="21" l="1"/>
  <c r="O252" i="21" s="1"/>
  <c r="P16" i="11" l="1"/>
  <c r="AE16" i="10"/>
  <c r="N516" i="10"/>
  <c r="AF16" i="10"/>
  <c r="P516" i="10"/>
  <c r="D17" i="14" l="1"/>
  <c r="D17" i="3" l="1"/>
  <c r="C17" i="14" l="1"/>
  <c r="D254" i="4" l="1"/>
  <c r="D249" i="4"/>
  <c r="D245" i="4"/>
  <c r="P240" i="4"/>
  <c r="P239" i="4"/>
  <c r="E254" i="4" l="1"/>
  <c r="D8" i="14"/>
  <c r="D6" i="14"/>
  <c r="F254" i="4" l="1"/>
  <c r="G254" i="4" l="1"/>
  <c r="H254" i="4" l="1"/>
  <c r="I254" i="4" l="1"/>
  <c r="J254" i="4" l="1"/>
  <c r="K254" i="4" l="1"/>
  <c r="L254" i="4" l="1"/>
  <c r="M254" i="4" l="1"/>
  <c r="N254" i="4" l="1"/>
  <c r="O254" i="4" l="1"/>
  <c r="E245" i="3" l="1"/>
  <c r="E249" i="3"/>
  <c r="D249" i="3" l="1"/>
  <c r="D250" i="3" s="1"/>
  <c r="D252" i="3" s="1"/>
  <c r="E16" i="3" s="1"/>
  <c r="D245" i="3"/>
  <c r="P240" i="3"/>
  <c r="O249" i="3"/>
  <c r="O245" i="3"/>
  <c r="N249" i="3"/>
  <c r="N245" i="3"/>
  <c r="M249" i="3"/>
  <c r="M245" i="3"/>
  <c r="L249" i="3"/>
  <c r="L245" i="3"/>
  <c r="K249" i="3"/>
  <c r="K245" i="3"/>
  <c r="J249" i="3"/>
  <c r="J245" i="3"/>
  <c r="I249" i="3"/>
  <c r="I245" i="3"/>
  <c r="H249" i="3"/>
  <c r="H245" i="3"/>
  <c r="G249" i="3"/>
  <c r="G245" i="3"/>
  <c r="P239" i="3"/>
  <c r="E247" i="3" l="1"/>
  <c r="L5" i="11"/>
  <c r="C8" i="14"/>
  <c r="F249" i="3"/>
  <c r="F245" i="3"/>
  <c r="C6" i="14"/>
  <c r="P245" i="3" l="1"/>
  <c r="C5" i="14" s="1"/>
  <c r="C10" i="14" s="1"/>
  <c r="E17" i="3"/>
  <c r="F254" i="3"/>
  <c r="G254" i="3" s="1"/>
  <c r="H254" i="3" s="1"/>
  <c r="I254" i="3" s="1"/>
  <c r="J254" i="3" s="1"/>
  <c r="K254" i="3" s="1"/>
  <c r="L254" i="3" s="1"/>
  <c r="M254" i="3" s="1"/>
  <c r="N254" i="3" s="1"/>
  <c r="O254" i="3" s="1"/>
  <c r="E250" i="3" l="1"/>
  <c r="E252" i="3" s="1"/>
  <c r="F16" i="3" s="1"/>
  <c r="F17" i="3" l="1"/>
  <c r="F247" i="3"/>
  <c r="L6" i="11"/>
  <c r="F250" i="3" l="1"/>
  <c r="F252" i="3" s="1"/>
  <c r="G16" i="3" s="1"/>
  <c r="L7" i="11" l="1"/>
  <c r="G247" i="3"/>
  <c r="G17" i="3" l="1"/>
  <c r="G250" i="3" l="1"/>
  <c r="G252" i="3" s="1"/>
  <c r="H16" i="3" s="1"/>
  <c r="H17" i="3" l="1"/>
  <c r="L8" i="11"/>
  <c r="H247" i="3"/>
  <c r="H250" i="3" l="1"/>
  <c r="H252" i="3" s="1"/>
  <c r="I16" i="3" s="1"/>
  <c r="I247" i="3" l="1"/>
  <c r="I17" i="3"/>
  <c r="L9" i="11"/>
  <c r="I250" i="3" l="1"/>
  <c r="I252" i="3" s="1"/>
  <c r="J16" i="3" s="1"/>
  <c r="L10" i="11" l="1"/>
  <c r="J247" i="3"/>
  <c r="J17" i="3"/>
  <c r="J250" i="3" s="1"/>
  <c r="J252" i="3" l="1"/>
  <c r="K16" i="3" s="1"/>
  <c r="K247" i="3" l="1"/>
  <c r="L11" i="11"/>
  <c r="K17" i="3"/>
  <c r="K250" i="3" l="1"/>
  <c r="K252" i="3" s="1"/>
  <c r="L16" i="3" s="1"/>
  <c r="L12" i="11" l="1"/>
  <c r="L17" i="3"/>
  <c r="L250" i="3" s="1"/>
  <c r="L247" i="3"/>
  <c r="L252" i="3" l="1"/>
  <c r="M16" i="3" s="1"/>
  <c r="L13" i="11" l="1"/>
  <c r="M17" i="3"/>
  <c r="M250" i="3" s="1"/>
  <c r="M247" i="3"/>
  <c r="M252" i="3" l="1"/>
  <c r="N16" i="3" s="1"/>
  <c r="L14" i="11" l="1"/>
  <c r="N17" i="3"/>
  <c r="N250" i="3" s="1"/>
  <c r="N247" i="3"/>
  <c r="N252" i="3" l="1"/>
  <c r="O16" i="3" s="1"/>
  <c r="L15" i="11" l="1"/>
  <c r="P16" i="3"/>
  <c r="O247" i="3"/>
  <c r="O17" i="3" l="1"/>
  <c r="P17" i="3" s="1"/>
  <c r="C19" i="14"/>
  <c r="C18" i="14" s="1"/>
  <c r="C23" i="14" s="1"/>
  <c r="C25" i="14" s="1"/>
  <c r="O250" i="3" l="1"/>
  <c r="O252" i="3" s="1"/>
  <c r="L16" i="11" l="1"/>
  <c r="U21" i="11" l="1"/>
  <c r="G54" i="17"/>
  <c r="C65" i="17"/>
  <c r="E236" i="4" s="1"/>
  <c r="E249" i="4" l="1"/>
  <c r="E245" i="4"/>
  <c r="D65" i="17"/>
  <c r="F236" i="4" s="1"/>
  <c r="D17" i="4"/>
  <c r="F249" i="4" l="1"/>
  <c r="F245" i="4"/>
  <c r="D250" i="4"/>
  <c r="D252" i="4" s="1"/>
  <c r="E16" i="4" s="1"/>
  <c r="E65" i="17"/>
  <c r="G236" i="4" s="1"/>
  <c r="U22" i="11"/>
  <c r="F65" i="17" l="1"/>
  <c r="H236" i="4" s="1"/>
  <c r="U23" i="11"/>
  <c r="M5" i="11"/>
  <c r="E247" i="4"/>
  <c r="G65" i="17" l="1"/>
  <c r="G249" i="4"/>
  <c r="G245" i="4"/>
  <c r="H249" i="4"/>
  <c r="H245" i="4"/>
  <c r="U25" i="11"/>
  <c r="E17" i="4"/>
  <c r="U24" i="11"/>
  <c r="I236" i="4" l="1"/>
  <c r="I245" i="4" s="1"/>
  <c r="H65" i="17"/>
  <c r="U26" i="11"/>
  <c r="E250" i="4"/>
  <c r="E252" i="4" s="1"/>
  <c r="F16" i="4" s="1"/>
  <c r="I249" i="4" l="1"/>
  <c r="J236" i="4"/>
  <c r="J249" i="4" s="1"/>
  <c r="I65" i="17"/>
  <c r="U27" i="11"/>
  <c r="M6" i="11"/>
  <c r="F247" i="4"/>
  <c r="J245" i="4" l="1"/>
  <c r="K236" i="4"/>
  <c r="K245" i="4" s="1"/>
  <c r="J65" i="17"/>
  <c r="K249" i="4"/>
  <c r="U28" i="11"/>
  <c r="F17" i="4"/>
  <c r="L236" i="4" l="1"/>
  <c r="L249" i="4" s="1"/>
  <c r="K65" i="17"/>
  <c r="U29" i="11"/>
  <c r="F250" i="4"/>
  <c r="F252" i="4" s="1"/>
  <c r="G16" i="4" s="1"/>
  <c r="L245" i="4" l="1"/>
  <c r="M236" i="4"/>
  <c r="M245" i="4" s="1"/>
  <c r="L65" i="17"/>
  <c r="U30" i="11"/>
  <c r="M7" i="11"/>
  <c r="G247" i="4"/>
  <c r="M249" i="4" l="1"/>
  <c r="N236" i="4"/>
  <c r="N245" i="4" s="1"/>
  <c r="M65" i="17"/>
  <c r="N65" i="17" s="1"/>
  <c r="O65" i="17" s="1"/>
  <c r="P65" i="17" s="1"/>
  <c r="N249" i="4"/>
  <c r="U31" i="11"/>
  <c r="G17" i="4"/>
  <c r="O236" i="4" l="1"/>
  <c r="P236" i="4" s="1"/>
  <c r="D21" i="14"/>
  <c r="G250" i="4"/>
  <c r="G252" i="4" s="1"/>
  <c r="H16" i="4" s="1"/>
  <c r="O245" i="4" l="1"/>
  <c r="O249" i="4"/>
  <c r="P14" i="4"/>
  <c r="D20" i="14" s="1"/>
  <c r="U32" i="11"/>
  <c r="M8" i="11"/>
  <c r="H247" i="4"/>
  <c r="P245" i="4" l="1"/>
  <c r="D5" i="14" s="1"/>
  <c r="D10" i="14" s="1"/>
  <c r="H17" i="4"/>
  <c r="H250" i="4" l="1"/>
  <c r="H252" i="4" s="1"/>
  <c r="I16" i="4" s="1"/>
  <c r="M9" i="11" l="1"/>
  <c r="I247" i="4"/>
  <c r="I17" i="4" l="1"/>
  <c r="I250" i="4" l="1"/>
  <c r="I252" i="4" s="1"/>
  <c r="J16" i="4" l="1"/>
  <c r="J17" i="4" s="1"/>
  <c r="J250" i="4" s="1"/>
  <c r="M10" i="11"/>
  <c r="J247" i="4"/>
  <c r="J252" i="4" l="1"/>
  <c r="K16" i="4" s="1"/>
  <c r="K247" i="4" l="1"/>
  <c r="M11" i="11"/>
  <c r="K17" i="4"/>
  <c r="K250" i="4" s="1"/>
  <c r="K252" i="4" l="1"/>
  <c r="L16" i="4" s="1"/>
  <c r="M12" i="11" l="1"/>
  <c r="L17" i="4"/>
  <c r="L250" i="4" s="1"/>
  <c r="L247" i="4"/>
  <c r="L252" i="4" l="1"/>
  <c r="M16" i="4" s="1"/>
  <c r="M13" i="11" l="1"/>
  <c r="M17" i="4"/>
  <c r="M250" i="4" s="1"/>
  <c r="M247" i="4"/>
  <c r="M252" i="4" l="1"/>
  <c r="M14" i="11" l="1"/>
  <c r="N16" i="4"/>
  <c r="N17" i="4" s="1"/>
  <c r="N250" i="4" s="1"/>
  <c r="N247" i="4"/>
  <c r="N252" i="4" l="1"/>
  <c r="O16" i="4" s="1"/>
  <c r="P16" i="4" s="1"/>
  <c r="M15" i="11" l="1"/>
  <c r="O247" i="4"/>
  <c r="O17" i="4"/>
  <c r="P17" i="4" s="1"/>
  <c r="D19" i="14"/>
  <c r="D18" i="14" s="1"/>
  <c r="D23" i="14" s="1"/>
  <c r="D25" i="14" s="1"/>
  <c r="O250" i="4" l="1"/>
  <c r="O252" i="4" s="1"/>
  <c r="M16" i="11" l="1"/>
  <c r="P236" i="1" l="1"/>
  <c r="E240" i="1"/>
  <c r="G240" i="1"/>
  <c r="I240" i="1"/>
  <c r="K240" i="1"/>
  <c r="M240" i="1"/>
  <c r="F240" i="1"/>
  <c r="H240" i="1"/>
  <c r="L240" i="1"/>
  <c r="N240" i="1"/>
  <c r="O240" i="1"/>
  <c r="D240" i="1"/>
  <c r="N239" i="1"/>
  <c r="J239" i="1"/>
  <c r="J245" i="1" s="1"/>
  <c r="H239" i="1"/>
  <c r="F239" i="1"/>
  <c r="J15" i="1"/>
  <c r="K239" i="1"/>
  <c r="L239" i="1"/>
  <c r="L249" i="1" s="1"/>
  <c r="O239" i="1"/>
  <c r="M239" i="1"/>
  <c r="I239" i="1"/>
  <c r="G239" i="1"/>
  <c r="E239" i="1"/>
  <c r="E15" i="1"/>
  <c r="F15" i="1"/>
  <c r="I15" i="1"/>
  <c r="D239" i="1"/>
  <c r="D249" i="1" s="1"/>
  <c r="N15" i="1"/>
  <c r="G15" i="1"/>
  <c r="H15" i="1"/>
  <c r="K15" i="1"/>
  <c r="L15" i="1"/>
  <c r="M15" i="1"/>
  <c r="D15" i="1"/>
  <c r="O15" i="1"/>
  <c r="M245" i="1" l="1"/>
  <c r="H245" i="1"/>
  <c r="K249" i="1"/>
  <c r="F249" i="1"/>
  <c r="D254" i="1"/>
  <c r="E254" i="1" s="1"/>
  <c r="F254" i="1" s="1"/>
  <c r="G254" i="1" s="1"/>
  <c r="H254" i="1" s="1"/>
  <c r="I254" i="1" s="1"/>
  <c r="J254" i="1" s="1"/>
  <c r="K254" i="1" s="1"/>
  <c r="L254" i="1" s="1"/>
  <c r="M254" i="1" s="1"/>
  <c r="N254" i="1" s="1"/>
  <c r="O254" i="1" s="1"/>
  <c r="G249" i="1"/>
  <c r="N249" i="1"/>
  <c r="E249" i="1"/>
  <c r="I249" i="1"/>
  <c r="O249" i="1"/>
  <c r="G245" i="1"/>
  <c r="M249" i="1"/>
  <c r="N245" i="1"/>
  <c r="P240" i="1"/>
  <c r="B6" i="14" s="1"/>
  <c r="D245" i="1"/>
  <c r="H249" i="1"/>
  <c r="K245" i="1"/>
  <c r="P15" i="1"/>
  <c r="B17" i="14" s="1"/>
  <c r="D17" i="1"/>
  <c r="E245" i="1"/>
  <c r="I245" i="1"/>
  <c r="O245" i="1"/>
  <c r="L245" i="1"/>
  <c r="F245" i="1"/>
  <c r="J249" i="1"/>
  <c r="P239" i="1"/>
  <c r="B8" i="14" s="1"/>
  <c r="P245" i="1" l="1"/>
  <c r="B5" i="14" s="1"/>
  <c r="B10" i="14" s="1"/>
  <c r="D250" i="1"/>
  <c r="D252" i="1" s="1"/>
  <c r="K5" i="11" l="1"/>
  <c r="E247" i="1"/>
  <c r="E16" i="1"/>
  <c r="E17" i="1" l="1"/>
  <c r="E250" i="1" l="1"/>
  <c r="E252" i="1" s="1"/>
  <c r="K6" i="11" l="1"/>
  <c r="F16" i="1"/>
  <c r="F247" i="1"/>
  <c r="F17" i="1" l="1"/>
  <c r="F250" i="1" l="1"/>
  <c r="F252" i="1" s="1"/>
  <c r="K7" i="11" l="1"/>
  <c r="G247" i="1"/>
  <c r="G16" i="1"/>
  <c r="G17" i="1" l="1"/>
  <c r="G250" i="1" l="1"/>
  <c r="G252" i="1" s="1"/>
  <c r="H16" i="1" l="1"/>
  <c r="H247" i="1"/>
  <c r="K8" i="11"/>
  <c r="H17" i="1" l="1"/>
  <c r="H250" i="1" l="1"/>
  <c r="H252" i="1" s="1"/>
  <c r="I16" i="1" l="1"/>
  <c r="I247" i="1"/>
  <c r="K9" i="11"/>
  <c r="I17" i="1" l="1"/>
  <c r="I250" i="1" s="1"/>
  <c r="I252" i="1" s="1"/>
  <c r="K10" i="11" l="1"/>
  <c r="J16" i="1"/>
  <c r="J17" i="1" s="1"/>
  <c r="J250" i="1" s="1"/>
  <c r="J247" i="1"/>
  <c r="J252" i="1" l="1"/>
  <c r="K11" i="11" s="1"/>
  <c r="K247" i="1" l="1"/>
  <c r="K16" i="1"/>
  <c r="K17" i="1" s="1"/>
  <c r="K250" i="1" s="1"/>
  <c r="K252" i="1" l="1"/>
  <c r="L16" i="1" s="1"/>
  <c r="L17" i="1" s="1"/>
  <c r="L250" i="1" s="1"/>
  <c r="K12" i="11" l="1"/>
  <c r="L247" i="1"/>
  <c r="L252" i="1" s="1"/>
  <c r="K13" i="11" s="1"/>
  <c r="M247" i="1" l="1"/>
  <c r="M16" i="1"/>
  <c r="M17" i="1" s="1"/>
  <c r="M250" i="1" s="1"/>
  <c r="M252" i="1" l="1"/>
  <c r="N16" i="1" s="1"/>
  <c r="N17" i="1" s="1"/>
  <c r="N250" i="1" s="1"/>
  <c r="N247" i="1" l="1"/>
  <c r="N252" i="1" s="1"/>
  <c r="K14" i="11"/>
  <c r="K15" i="11" l="1"/>
  <c r="O16" i="1"/>
  <c r="O247" i="1"/>
  <c r="O17" i="1" l="1"/>
  <c r="P16" i="1"/>
  <c r="B19" i="14" s="1"/>
  <c r="B18" i="14" s="1"/>
  <c r="B23" i="14" s="1"/>
  <c r="B25" i="14" s="1"/>
  <c r="O250" i="1" l="1"/>
  <c r="O252" i="1" s="1"/>
  <c r="K16" i="11" s="1"/>
  <c r="P17" i="1"/>
</calcChain>
</file>

<file path=xl/sharedStrings.xml><?xml version="1.0" encoding="utf-8"?>
<sst xmlns="http://schemas.openxmlformats.org/spreadsheetml/2006/main" count="1082" uniqueCount="824">
  <si>
    <t>9033</t>
  </si>
  <si>
    <t>INCOME</t>
  </si>
  <si>
    <t>GL</t>
  </si>
  <si>
    <t>Name</t>
  </si>
  <si>
    <t>9001</t>
  </si>
  <si>
    <t>Budgeted Operating Funds to Reserves</t>
  </si>
  <si>
    <t>Reserve Interest Inc</t>
  </si>
  <si>
    <t>9031</t>
  </si>
  <si>
    <t>Special Assessment</t>
  </si>
  <si>
    <t>9041</t>
  </si>
  <si>
    <t>Loan Proceeds</t>
  </si>
  <si>
    <t>9045</t>
  </si>
  <si>
    <t>EXPENSES</t>
  </si>
  <si>
    <t>9184</t>
  </si>
  <si>
    <t>9199</t>
  </si>
  <si>
    <t>Funds Trsfr Res to Checking</t>
  </si>
  <si>
    <t>Annual Net Reserve Income/(Loss)</t>
  </si>
  <si>
    <t>Cumulative Reserve Cash Flow</t>
  </si>
  <si>
    <t>Beginning Cash - Reserve</t>
  </si>
  <si>
    <t>Option 1</t>
  </si>
  <si>
    <t>Option 2</t>
  </si>
  <si>
    <t>Option 3</t>
  </si>
  <si>
    <t>LOC / Loan Outstanding @ 12/31/20XX</t>
  </si>
  <si>
    <t>Total</t>
  </si>
  <si>
    <t>Loan Amount</t>
  </si>
  <si>
    <t>Special Assessment Assumptions</t>
  </si>
  <si>
    <t>Interest Rate on Reserve $$</t>
  </si>
  <si>
    <t>9032</t>
  </si>
  <si>
    <t>Total Income</t>
  </si>
  <si>
    <t>Total Expense</t>
  </si>
  <si>
    <t>Loan Payment - Interest</t>
  </si>
  <si>
    <t>Special Assessment - Interest</t>
  </si>
  <si>
    <t>Allowance for Deliquency &amp; Foreclosure</t>
  </si>
  <si>
    <t>Special Assessment Admin Fee</t>
  </si>
  <si>
    <t>Proposed:</t>
  </si>
  <si>
    <t>Start Date</t>
  </si>
  <si>
    <t>Payment Options</t>
  </si>
  <si>
    <t>Prorate Share</t>
  </si>
  <si>
    <t>End Date</t>
  </si>
  <si>
    <t>Current Monthly Assessment Amount</t>
  </si>
  <si>
    <t># of Units or Shares:</t>
  </si>
  <si>
    <t>Property #:</t>
  </si>
  <si>
    <t>Property Name:</t>
  </si>
  <si>
    <t>SA term (yrs)</t>
  </si>
  <si>
    <t>Date of Projected SA</t>
  </si>
  <si>
    <t>Date of Projected Loan</t>
  </si>
  <si>
    <t>Loan term (yrs)</t>
  </si>
  <si>
    <t>Projected Loan Interst Rate</t>
  </si>
  <si>
    <t>Current Yr Operating Budget</t>
  </si>
  <si>
    <t>Current Yr Contribution to Reserves</t>
  </si>
  <si>
    <t>Operating Budget less Contribution</t>
  </si>
  <si>
    <t>Current Year (YYYY)</t>
  </si>
  <si>
    <t>Approximate Payment Amounts.  Actual payments will be determined once loan</t>
  </si>
  <si>
    <t>interest rate is locked in.</t>
  </si>
  <si>
    <t>SA Interest Charged</t>
  </si>
  <si>
    <t>Fiscal Year End</t>
  </si>
  <si>
    <t>Loan % of SA</t>
  </si>
  <si>
    <t>Beginning Reserve Cash Account:</t>
  </si>
  <si>
    <t>Available Reserve Cash Balance</t>
  </si>
  <si>
    <t>Amount charged Interest</t>
  </si>
  <si>
    <t>Lump Sum Payment</t>
  </si>
  <si>
    <t>Date</t>
  </si>
  <si>
    <t>Comments</t>
  </si>
  <si>
    <t>Initials</t>
  </si>
  <si>
    <t>COSTS:</t>
  </si>
  <si>
    <t>Estimated Project Costs (2010 $)</t>
  </si>
  <si>
    <t>Interest on Loans</t>
  </si>
  <si>
    <t>Total Cost of Plan</t>
  </si>
  <si>
    <t>INCOME:</t>
  </si>
  <si>
    <t>Beginning Reserve Balance</t>
  </si>
  <si>
    <t>Operating Contribution to Capital</t>
  </si>
  <si>
    <t>Interest on Cash Balances</t>
  </si>
  <si>
    <t xml:space="preserve">Allowance for Doubt Accounts </t>
  </si>
  <si>
    <t>Special Assessment Interest</t>
  </si>
  <si>
    <t>Total Cash Contribution</t>
  </si>
  <si>
    <t>Net Cash Balance</t>
  </si>
  <si>
    <t>TEN-YEAR CAPITAL PLAN FINANCING INFORMATION</t>
  </si>
  <si>
    <t>TOTAL</t>
  </si>
  <si>
    <t>As of Date:</t>
  </si>
  <si>
    <t>No</t>
  </si>
  <si>
    <t>Unit</t>
  </si>
  <si>
    <t>Principal Loan Payments</t>
  </si>
  <si>
    <t>Special Assessment - Principal</t>
  </si>
  <si>
    <t>Loan Payment - Principal</t>
  </si>
  <si>
    <t>Loan Assumptions</t>
  </si>
  <si>
    <t>General Information</t>
  </si>
  <si>
    <t>End Date of Specials</t>
  </si>
  <si>
    <t>End Date of Loan</t>
  </si>
  <si>
    <t>Loan Clac</t>
  </si>
  <si>
    <t>SA Calc</t>
  </si>
  <si>
    <t>Beg</t>
  </si>
  <si>
    <t>End</t>
  </si>
  <si>
    <t>SA Month</t>
  </si>
  <si>
    <t>Loan</t>
  </si>
  <si>
    <t>SA Fee</t>
  </si>
  <si>
    <t>Loan Proceed</t>
  </si>
  <si>
    <t>Assessments for Option 1</t>
  </si>
  <si>
    <t>Assessments for Option 2</t>
  </si>
  <si>
    <t>Assessments for Option 3</t>
  </si>
  <si>
    <t>Option 4</t>
  </si>
  <si>
    <t>Option 5</t>
  </si>
  <si>
    <t>Option 6</t>
  </si>
  <si>
    <t>Assessments for Option 4</t>
  </si>
  <si>
    <t>Assessments for Option 5</t>
  </si>
  <si>
    <t>Assessments for Option 6</t>
  </si>
  <si>
    <t>Avg Unit's Assessment per Option</t>
  </si>
  <si>
    <t>Oper Exp Increase</t>
  </si>
  <si>
    <t>Delinq %</t>
  </si>
  <si>
    <t>Special Amount</t>
  </si>
  <si>
    <t>Monthly Special Assessment</t>
  </si>
  <si>
    <t>Dana Point</t>
  </si>
  <si>
    <t>A101</t>
  </si>
  <si>
    <t>A102</t>
  </si>
  <si>
    <t>A103</t>
  </si>
  <si>
    <t>A104</t>
  </si>
  <si>
    <t>A105</t>
  </si>
  <si>
    <t>A106</t>
  </si>
  <si>
    <t>A107</t>
  </si>
  <si>
    <t>A108</t>
  </si>
  <si>
    <t>A109</t>
  </si>
  <si>
    <t>A110</t>
  </si>
  <si>
    <t>A111</t>
  </si>
  <si>
    <t>A112</t>
  </si>
  <si>
    <t>A113</t>
  </si>
  <si>
    <t>A114</t>
  </si>
  <si>
    <t>A116</t>
  </si>
  <si>
    <t>A117</t>
  </si>
  <si>
    <t>A118</t>
  </si>
  <si>
    <t>A119</t>
  </si>
  <si>
    <t>A120</t>
  </si>
  <si>
    <t>A121</t>
  </si>
  <si>
    <t>A122</t>
  </si>
  <si>
    <t>A201</t>
  </si>
  <si>
    <t>A202</t>
  </si>
  <si>
    <t>A203</t>
  </si>
  <si>
    <t>A204</t>
  </si>
  <si>
    <t>A205</t>
  </si>
  <si>
    <t>A206</t>
  </si>
  <si>
    <t>A207</t>
  </si>
  <si>
    <t>A208</t>
  </si>
  <si>
    <t>A209</t>
  </si>
  <si>
    <t>A210</t>
  </si>
  <si>
    <t>A211</t>
  </si>
  <si>
    <t>A212</t>
  </si>
  <si>
    <t>A213</t>
  </si>
  <si>
    <t>A214</t>
  </si>
  <si>
    <t>A215</t>
  </si>
  <si>
    <t>A216</t>
  </si>
  <si>
    <t>A217</t>
  </si>
  <si>
    <t>A218</t>
  </si>
  <si>
    <t>A219</t>
  </si>
  <si>
    <t>A220</t>
  </si>
  <si>
    <t>A221</t>
  </si>
  <si>
    <t>A222</t>
  </si>
  <si>
    <t>A301</t>
  </si>
  <si>
    <t>A302</t>
  </si>
  <si>
    <t>A303</t>
  </si>
  <si>
    <t>A304</t>
  </si>
  <si>
    <t>A305</t>
  </si>
  <si>
    <t>A306</t>
  </si>
  <si>
    <t>A307</t>
  </si>
  <si>
    <t>A308</t>
  </si>
  <si>
    <t>A309</t>
  </si>
  <si>
    <t>A310</t>
  </si>
  <si>
    <t>A311</t>
  </si>
  <si>
    <t>A312</t>
  </si>
  <si>
    <t>A313</t>
  </si>
  <si>
    <t>A314</t>
  </si>
  <si>
    <t>A315</t>
  </si>
  <si>
    <t>A316</t>
  </si>
  <si>
    <t>A317</t>
  </si>
  <si>
    <t>A318</t>
  </si>
  <si>
    <t>A319</t>
  </si>
  <si>
    <t>A320</t>
  </si>
  <si>
    <t>A321</t>
  </si>
  <si>
    <t>A322</t>
  </si>
  <si>
    <t>A401</t>
  </si>
  <si>
    <t>A402</t>
  </si>
  <si>
    <t>A403</t>
  </si>
  <si>
    <t>A404</t>
  </si>
  <si>
    <t>A405</t>
  </si>
  <si>
    <t>A406</t>
  </si>
  <si>
    <t>A407</t>
  </si>
  <si>
    <t>A408</t>
  </si>
  <si>
    <t>A409</t>
  </si>
  <si>
    <t>A410</t>
  </si>
  <si>
    <t>A411</t>
  </si>
  <si>
    <t>A412</t>
  </si>
  <si>
    <t>A413</t>
  </si>
  <si>
    <t>A414</t>
  </si>
  <si>
    <t>A415</t>
  </si>
  <si>
    <t>A416</t>
  </si>
  <si>
    <t>A417</t>
  </si>
  <si>
    <t>A418</t>
  </si>
  <si>
    <t>A419</t>
  </si>
  <si>
    <t>A420</t>
  </si>
  <si>
    <t>A421</t>
  </si>
  <si>
    <t>A422</t>
  </si>
  <si>
    <t>B101</t>
  </si>
  <si>
    <t>B102</t>
  </si>
  <si>
    <t>B103</t>
  </si>
  <si>
    <t>B104</t>
  </si>
  <si>
    <t>B105</t>
  </si>
  <si>
    <t>B106</t>
  </si>
  <si>
    <t>B108</t>
  </si>
  <si>
    <t>B109</t>
  </si>
  <si>
    <t>B110</t>
  </si>
  <si>
    <t>B111</t>
  </si>
  <si>
    <t>B112</t>
  </si>
  <si>
    <t>B113</t>
  </si>
  <si>
    <t>B114</t>
  </si>
  <si>
    <t>B115</t>
  </si>
  <si>
    <t>B116</t>
  </si>
  <si>
    <t>B117</t>
  </si>
  <si>
    <t>B118</t>
  </si>
  <si>
    <t>B119</t>
  </si>
  <si>
    <t>B120</t>
  </si>
  <si>
    <t>B121</t>
  </si>
  <si>
    <t>B122</t>
  </si>
  <si>
    <t>B201</t>
  </si>
  <si>
    <t>B202</t>
  </si>
  <si>
    <t>B203</t>
  </si>
  <si>
    <t>B204</t>
  </si>
  <si>
    <t>B205</t>
  </si>
  <si>
    <t>B206</t>
  </si>
  <si>
    <t>B207</t>
  </si>
  <si>
    <t>B208</t>
  </si>
  <si>
    <t>B209</t>
  </si>
  <si>
    <t>B210</t>
  </si>
  <si>
    <t>B211</t>
  </si>
  <si>
    <t>B212</t>
  </si>
  <si>
    <t>B213</t>
  </si>
  <si>
    <t>B214</t>
  </si>
  <si>
    <t>B215</t>
  </si>
  <si>
    <t>B216</t>
  </si>
  <si>
    <t>B217</t>
  </si>
  <si>
    <t>B218</t>
  </si>
  <si>
    <t>B219</t>
  </si>
  <si>
    <t>B220</t>
  </si>
  <si>
    <t>B221</t>
  </si>
  <si>
    <t>B222</t>
  </si>
  <si>
    <t>B301</t>
  </si>
  <si>
    <t>B302</t>
  </si>
  <si>
    <t>B303</t>
  </si>
  <si>
    <t>B304</t>
  </si>
  <si>
    <t>B305</t>
  </si>
  <si>
    <t>B306</t>
  </si>
  <si>
    <t>B307</t>
  </si>
  <si>
    <t>B308</t>
  </si>
  <si>
    <t>B309</t>
  </si>
  <si>
    <t>B310</t>
  </si>
  <si>
    <t>B311</t>
  </si>
  <si>
    <t>B312</t>
  </si>
  <si>
    <t>B313</t>
  </si>
  <si>
    <t>B314</t>
  </si>
  <si>
    <t>B315</t>
  </si>
  <si>
    <t>B316</t>
  </si>
  <si>
    <t>B317</t>
  </si>
  <si>
    <t>B318</t>
  </si>
  <si>
    <t>B319</t>
  </si>
  <si>
    <t>B320</t>
  </si>
  <si>
    <t>B321</t>
  </si>
  <si>
    <t>B322</t>
  </si>
  <si>
    <t>B401</t>
  </si>
  <si>
    <t>B402</t>
  </si>
  <si>
    <t>B403</t>
  </si>
  <si>
    <t>B404</t>
  </si>
  <si>
    <t>B405</t>
  </si>
  <si>
    <t>B406</t>
  </si>
  <si>
    <t>B407</t>
  </si>
  <si>
    <t>B408</t>
  </si>
  <si>
    <t>B409</t>
  </si>
  <si>
    <t>B410</t>
  </si>
  <si>
    <t>B411</t>
  </si>
  <si>
    <t>B412</t>
  </si>
  <si>
    <t>B413</t>
  </si>
  <si>
    <t>B414</t>
  </si>
  <si>
    <t>B415</t>
  </si>
  <si>
    <t>B416</t>
  </si>
  <si>
    <t>B417</t>
  </si>
  <si>
    <t>B418</t>
  </si>
  <si>
    <t>B419</t>
  </si>
  <si>
    <t>B420</t>
  </si>
  <si>
    <t>B421</t>
  </si>
  <si>
    <t>B422</t>
  </si>
  <si>
    <t>C101</t>
  </si>
  <si>
    <t>C102</t>
  </si>
  <si>
    <t>C103</t>
  </si>
  <si>
    <t>C104</t>
  </si>
  <si>
    <t>C105</t>
  </si>
  <si>
    <t>C106</t>
  </si>
  <si>
    <t>C107</t>
  </si>
  <si>
    <t>C108</t>
  </si>
  <si>
    <t>C109</t>
  </si>
  <si>
    <t>C110</t>
  </si>
  <si>
    <t>C111</t>
  </si>
  <si>
    <t>C112</t>
  </si>
  <si>
    <t>C113</t>
  </si>
  <si>
    <t>C114</t>
  </si>
  <si>
    <t>C115</t>
  </si>
  <si>
    <t>C116</t>
  </si>
  <si>
    <t>C201</t>
  </si>
  <si>
    <t>C202</t>
  </si>
  <si>
    <t>C203</t>
  </si>
  <si>
    <t>C204</t>
  </si>
  <si>
    <t>C205</t>
  </si>
  <si>
    <t>C206</t>
  </si>
  <si>
    <t>C207</t>
  </si>
  <si>
    <t>C208</t>
  </si>
  <si>
    <t>C209</t>
  </si>
  <si>
    <t>C210</t>
  </si>
  <si>
    <t>C211</t>
  </si>
  <si>
    <t>C212</t>
  </si>
  <si>
    <t>C213</t>
  </si>
  <si>
    <t>C214</t>
  </si>
  <si>
    <t>C215</t>
  </si>
  <si>
    <t>C216</t>
  </si>
  <si>
    <t>C301</t>
  </si>
  <si>
    <t>C302</t>
  </si>
  <si>
    <t>C303</t>
  </si>
  <si>
    <t>C304</t>
  </si>
  <si>
    <t>C305</t>
  </si>
  <si>
    <t>C306</t>
  </si>
  <si>
    <t>C307</t>
  </si>
  <si>
    <t>C308</t>
  </si>
  <si>
    <t>C309</t>
  </si>
  <si>
    <t>C310</t>
  </si>
  <si>
    <t>C311</t>
  </si>
  <si>
    <t>C312</t>
  </si>
  <si>
    <t>C313</t>
  </si>
  <si>
    <t>C314</t>
  </si>
  <si>
    <t>C315</t>
  </si>
  <si>
    <t>C316</t>
  </si>
  <si>
    <t>C401</t>
  </si>
  <si>
    <t>C402</t>
  </si>
  <si>
    <t>C403</t>
  </si>
  <si>
    <t>C404</t>
  </si>
  <si>
    <t>C405</t>
  </si>
  <si>
    <t>C406</t>
  </si>
  <si>
    <t>C407</t>
  </si>
  <si>
    <t>C408</t>
  </si>
  <si>
    <t>C409</t>
  </si>
  <si>
    <t>C410</t>
  </si>
  <si>
    <t>C411</t>
  </si>
  <si>
    <t>C412</t>
  </si>
  <si>
    <t>C413</t>
  </si>
  <si>
    <t>C414</t>
  </si>
  <si>
    <t>C415</t>
  </si>
  <si>
    <t>C416</t>
  </si>
  <si>
    <t>D118</t>
  </si>
  <si>
    <t>D119</t>
  </si>
  <si>
    <t>D120</t>
  </si>
  <si>
    <t>D121</t>
  </si>
  <si>
    <t>D122</t>
  </si>
  <si>
    <t>D151</t>
  </si>
  <si>
    <t>D152</t>
  </si>
  <si>
    <t>D153</t>
  </si>
  <si>
    <t>D154</t>
  </si>
  <si>
    <t>D155</t>
  </si>
  <si>
    <t>D156</t>
  </si>
  <si>
    <t>D157</t>
  </si>
  <si>
    <t>D158</t>
  </si>
  <si>
    <t>D159</t>
  </si>
  <si>
    <t>D160</t>
  </si>
  <si>
    <t>D161</t>
  </si>
  <si>
    <t>D162</t>
  </si>
  <si>
    <t>D163</t>
  </si>
  <si>
    <t>D164</t>
  </si>
  <si>
    <t>D165</t>
  </si>
  <si>
    <t>D166</t>
  </si>
  <si>
    <t>D217</t>
  </si>
  <si>
    <t>D218</t>
  </si>
  <si>
    <t>D219</t>
  </si>
  <si>
    <t>D220</t>
  </si>
  <si>
    <t>D221</t>
  </si>
  <si>
    <t>D222</t>
  </si>
  <si>
    <t>D251</t>
  </si>
  <si>
    <t>D252</t>
  </si>
  <si>
    <t>D253</t>
  </si>
  <si>
    <t>D254</t>
  </si>
  <si>
    <t>D255</t>
  </si>
  <si>
    <t>D256</t>
  </si>
  <si>
    <t>D257</t>
  </si>
  <si>
    <t>D258</t>
  </si>
  <si>
    <t>D259</t>
  </si>
  <si>
    <t>D260</t>
  </si>
  <si>
    <t>D261</t>
  </si>
  <si>
    <t>D262</t>
  </si>
  <si>
    <t>D263</t>
  </si>
  <si>
    <t>D264</t>
  </si>
  <si>
    <t>D265</t>
  </si>
  <si>
    <t>D266</t>
  </si>
  <si>
    <t>D317</t>
  </si>
  <si>
    <t>D318</t>
  </si>
  <si>
    <t>D319</t>
  </si>
  <si>
    <t>D320</t>
  </si>
  <si>
    <t>D321</t>
  </si>
  <si>
    <t>D322</t>
  </si>
  <si>
    <t>D351</t>
  </si>
  <si>
    <t>D352</t>
  </si>
  <si>
    <t>D353</t>
  </si>
  <si>
    <t>D354</t>
  </si>
  <si>
    <t>D355</t>
  </si>
  <si>
    <t>D356</t>
  </si>
  <si>
    <t>D357</t>
  </si>
  <si>
    <t>D358</t>
  </si>
  <si>
    <t>D359</t>
  </si>
  <si>
    <t>D360</t>
  </si>
  <si>
    <t>D361</t>
  </si>
  <si>
    <t>D362</t>
  </si>
  <si>
    <t>D363</t>
  </si>
  <si>
    <t>D364</t>
  </si>
  <si>
    <t>D365</t>
  </si>
  <si>
    <t>D366</t>
  </si>
  <si>
    <t>D417</t>
  </si>
  <si>
    <t>D418</t>
  </si>
  <si>
    <t>D419</t>
  </si>
  <si>
    <t>D420</t>
  </si>
  <si>
    <t>D421</t>
  </si>
  <si>
    <t>D422</t>
  </si>
  <si>
    <t>D451</t>
  </si>
  <si>
    <t>D452</t>
  </si>
  <si>
    <t>D453</t>
  </si>
  <si>
    <t>D454</t>
  </si>
  <si>
    <t>D455</t>
  </si>
  <si>
    <t>D456</t>
  </si>
  <si>
    <t>D457</t>
  </si>
  <si>
    <t>D458</t>
  </si>
  <si>
    <t>D459</t>
  </si>
  <si>
    <t>D460</t>
  </si>
  <si>
    <t>D461</t>
  </si>
  <si>
    <t>D462</t>
  </si>
  <si>
    <t>D463</t>
  </si>
  <si>
    <t>D464</t>
  </si>
  <si>
    <t>D465</t>
  </si>
  <si>
    <t>D466</t>
  </si>
  <si>
    <t>E101</t>
  </si>
  <si>
    <t>E102</t>
  </si>
  <si>
    <t>E103</t>
  </si>
  <si>
    <t>E104</t>
  </si>
  <si>
    <t>E105</t>
  </si>
  <si>
    <t>E106</t>
  </si>
  <si>
    <t>E108</t>
  </si>
  <si>
    <t>E109</t>
  </si>
  <si>
    <t>E110</t>
  </si>
  <si>
    <t>E111</t>
  </si>
  <si>
    <t>E112</t>
  </si>
  <si>
    <t>E113</t>
  </si>
  <si>
    <t>E114</t>
  </si>
  <si>
    <t>E115</t>
  </si>
  <si>
    <t>E116</t>
  </si>
  <si>
    <t>E117</t>
  </si>
  <si>
    <t>E118</t>
  </si>
  <si>
    <t>E119</t>
  </si>
  <si>
    <t>E120</t>
  </si>
  <si>
    <t>E121</t>
  </si>
  <si>
    <t>E122</t>
  </si>
  <si>
    <t>E201</t>
  </si>
  <si>
    <t>E202</t>
  </si>
  <si>
    <t>E203</t>
  </si>
  <si>
    <t>E204</t>
  </si>
  <si>
    <t>E205</t>
  </si>
  <si>
    <t>E206</t>
  </si>
  <si>
    <t>E207</t>
  </si>
  <si>
    <t>E208</t>
  </si>
  <si>
    <t>E209</t>
  </si>
  <si>
    <t>E210</t>
  </si>
  <si>
    <t>E211</t>
  </si>
  <si>
    <t>E212</t>
  </si>
  <si>
    <t>E213</t>
  </si>
  <si>
    <t>E214</t>
  </si>
  <si>
    <t>E215</t>
  </si>
  <si>
    <t>E216</t>
  </si>
  <si>
    <t>E217</t>
  </si>
  <si>
    <t>E218</t>
  </si>
  <si>
    <t>E219</t>
  </si>
  <si>
    <t>E220</t>
  </si>
  <si>
    <t>E221</t>
  </si>
  <si>
    <t>E222</t>
  </si>
  <si>
    <t>E301</t>
  </si>
  <si>
    <t>E302</t>
  </si>
  <si>
    <t>E303</t>
  </si>
  <si>
    <t>E304</t>
  </si>
  <si>
    <t>E305</t>
  </si>
  <si>
    <t>E306</t>
  </si>
  <si>
    <t>E307</t>
  </si>
  <si>
    <t>E308</t>
  </si>
  <si>
    <t>E309</t>
  </si>
  <si>
    <t>E310</t>
  </si>
  <si>
    <t>E311</t>
  </si>
  <si>
    <t>E312</t>
  </si>
  <si>
    <t>E313</t>
  </si>
  <si>
    <t>E314</t>
  </si>
  <si>
    <t>E315</t>
  </si>
  <si>
    <t>E316</t>
  </si>
  <si>
    <t>E317</t>
  </si>
  <si>
    <t>E318</t>
  </si>
  <si>
    <t>E319</t>
  </si>
  <si>
    <t>E320</t>
  </si>
  <si>
    <t>E321</t>
  </si>
  <si>
    <t>E322</t>
  </si>
  <si>
    <t>E401</t>
  </si>
  <si>
    <t>E402</t>
  </si>
  <si>
    <t>E403</t>
  </si>
  <si>
    <t>E404</t>
  </si>
  <si>
    <t>E405</t>
  </si>
  <si>
    <t>E406</t>
  </si>
  <si>
    <t>E407</t>
  </si>
  <si>
    <t>E408</t>
  </si>
  <si>
    <t>E409</t>
  </si>
  <si>
    <t>E410</t>
  </si>
  <si>
    <t>E411</t>
  </si>
  <si>
    <t>E412</t>
  </si>
  <si>
    <t>E413</t>
  </si>
  <si>
    <t>E414</t>
  </si>
  <si>
    <t>E415</t>
  </si>
  <si>
    <t>E416</t>
  </si>
  <si>
    <t>E417</t>
  </si>
  <si>
    <t>E418</t>
  </si>
  <si>
    <t>E419</t>
  </si>
  <si>
    <t>E420</t>
  </si>
  <si>
    <t>E421</t>
  </si>
  <si>
    <t>E422</t>
  </si>
  <si>
    <t>F101</t>
  </si>
  <si>
    <t>F102</t>
  </si>
  <si>
    <t>F103</t>
  </si>
  <si>
    <t>F104</t>
  </si>
  <si>
    <t>F105</t>
  </si>
  <si>
    <t>F106</t>
  </si>
  <si>
    <t>F108</t>
  </si>
  <si>
    <t>F109</t>
  </si>
  <si>
    <t>F110</t>
  </si>
  <si>
    <t>F111</t>
  </si>
  <si>
    <t>F112</t>
  </si>
  <si>
    <t>F113</t>
  </si>
  <si>
    <t>F114</t>
  </si>
  <si>
    <t>F115</t>
  </si>
  <si>
    <t>F116</t>
  </si>
  <si>
    <t>F117</t>
  </si>
  <si>
    <t>F118</t>
  </si>
  <si>
    <t>F119</t>
  </si>
  <si>
    <t>F120</t>
  </si>
  <si>
    <t>F121</t>
  </si>
  <si>
    <t>F122</t>
  </si>
  <si>
    <t>F201</t>
  </si>
  <si>
    <t>F202</t>
  </si>
  <si>
    <t>F203</t>
  </si>
  <si>
    <t>F204</t>
  </si>
  <si>
    <t>F205</t>
  </si>
  <si>
    <t>F206</t>
  </si>
  <si>
    <t>F207</t>
  </si>
  <si>
    <t>F208</t>
  </si>
  <si>
    <t>F209</t>
  </si>
  <si>
    <t>F210</t>
  </si>
  <si>
    <t>F211</t>
  </si>
  <si>
    <t>F212</t>
  </si>
  <si>
    <t>F213</t>
  </si>
  <si>
    <t>F214</t>
  </si>
  <si>
    <t>F215</t>
  </si>
  <si>
    <t>F216</t>
  </si>
  <si>
    <t>F217</t>
  </si>
  <si>
    <t>F218</t>
  </si>
  <si>
    <t>F219</t>
  </si>
  <si>
    <t>F220</t>
  </si>
  <si>
    <t>F221</t>
  </si>
  <si>
    <t>F222</t>
  </si>
  <si>
    <t>F301</t>
  </si>
  <si>
    <t>F302</t>
  </si>
  <si>
    <t>F303</t>
  </si>
  <si>
    <t>F304</t>
  </si>
  <si>
    <t>F305</t>
  </si>
  <si>
    <t>F306</t>
  </si>
  <si>
    <t>F307</t>
  </si>
  <si>
    <t>F308</t>
  </si>
  <si>
    <t>F309</t>
  </si>
  <si>
    <t>F310</t>
  </si>
  <si>
    <t>F311</t>
  </si>
  <si>
    <t>F312</t>
  </si>
  <si>
    <t>F313</t>
  </si>
  <si>
    <t>F314</t>
  </si>
  <si>
    <t>F315</t>
  </si>
  <si>
    <t>F316</t>
  </si>
  <si>
    <t>F317</t>
  </si>
  <si>
    <t>F318</t>
  </si>
  <si>
    <t>F319</t>
  </si>
  <si>
    <t>F320</t>
  </si>
  <si>
    <t>F321</t>
  </si>
  <si>
    <t>F322</t>
  </si>
  <si>
    <t>F401</t>
  </si>
  <si>
    <t>F402</t>
  </si>
  <si>
    <t>F403</t>
  </si>
  <si>
    <t>F404</t>
  </si>
  <si>
    <t>F405</t>
  </si>
  <si>
    <t>F406</t>
  </si>
  <si>
    <t>F407</t>
  </si>
  <si>
    <t>F408</t>
  </si>
  <si>
    <t>F409</t>
  </si>
  <si>
    <t>F410</t>
  </si>
  <si>
    <t>F411</t>
  </si>
  <si>
    <t>F412</t>
  </si>
  <si>
    <t>F413</t>
  </si>
  <si>
    <t>F414</t>
  </si>
  <si>
    <t>F415</t>
  </si>
  <si>
    <t>F416</t>
  </si>
  <si>
    <t>F417</t>
  </si>
  <si>
    <t>F418</t>
  </si>
  <si>
    <t>F419</t>
  </si>
  <si>
    <t>F420</t>
  </si>
  <si>
    <t>F421</t>
  </si>
  <si>
    <t>F422</t>
  </si>
  <si>
    <t>Sitework Elements</t>
  </si>
  <si>
    <t>East Entry Street Asphalt Pavement</t>
  </si>
  <si>
    <t>East Entry Street Asphalt Sealcoating</t>
  </si>
  <si>
    <t>West Entry Street Asphalt Pavement</t>
  </si>
  <si>
    <t>West Entry Street Asphalt Sealcoating</t>
  </si>
  <si>
    <t>East, South, &amp; West Central Road Pavement</t>
  </si>
  <si>
    <t>Asphalt Fire Lane Pavement (Grind and Resurface)</t>
  </si>
  <si>
    <t>Asphalt Fire Lane Pavement Sealcoating</t>
  </si>
  <si>
    <t>Asphalt Parking Lot Pavement</t>
  </si>
  <si>
    <t>Asphalt Parking Lot Sealcoating</t>
  </si>
  <si>
    <t>Ramp Asphalt Pavement (Grind and Resurface)</t>
  </si>
  <si>
    <t>Ramp Asphalt Sealcoating</t>
  </si>
  <si>
    <t>Street Concrete Curbs</t>
  </si>
  <si>
    <t>Parking Lot Concrete Curbs</t>
  </si>
  <si>
    <t>Ramp Concrete Curbs</t>
  </si>
  <si>
    <t>Aggregate 5'-0" Walkway</t>
  </si>
  <si>
    <t>Storm Sewer System</t>
  </si>
  <si>
    <t>Concrete Entry Walk (Clubhouse)</t>
  </si>
  <si>
    <t>Rear Concrete Walks</t>
  </si>
  <si>
    <t>Brick Paver Entry Walks (Bldgs. 1405, 1515, 1605, &amp; 1615)</t>
  </si>
  <si>
    <t>Brick Paver Entry Walks (Bldgs. 1415 &amp; 1505)</t>
  </si>
  <si>
    <t>Stone Paver Walks (Concrete)</t>
  </si>
  <si>
    <t>Concrete Trash Pads</t>
  </si>
  <si>
    <t>Split Rail Fence</t>
  </si>
  <si>
    <t>Chain Link Fence at SW (5')</t>
  </si>
  <si>
    <t>Chain Link Fence (6')</t>
  </si>
  <si>
    <t>Patio Aluminum Fence</t>
  </si>
  <si>
    <t>Concrete Retaining Walls</t>
  </si>
  <si>
    <t>Ramp Trench Drains</t>
  </si>
  <si>
    <t xml:space="preserve">Patios </t>
  </si>
  <si>
    <t>Entry Monuments</t>
  </si>
  <si>
    <t>Chain Link Fence (6' at 1605 S Line)</t>
  </si>
  <si>
    <t>Waterproofing Elements</t>
  </si>
  <si>
    <t>Metal Fascia (1505 A &amp; B Wings)</t>
  </si>
  <si>
    <t>Shingle Roofing (Clubhouse)</t>
  </si>
  <si>
    <t>Flat Roofing (Clubhouse)</t>
  </si>
  <si>
    <t>Roofing (1415 A Wing)</t>
  </si>
  <si>
    <t>Roofing (1405, 1415, 1505, 1515, 1605 &amp; 1605 Core Bldgs.)</t>
  </si>
  <si>
    <t>Roofing (1605 B Wing)</t>
  </si>
  <si>
    <t>Roofing (1415 C &amp; 1605 A Wings)</t>
  </si>
  <si>
    <t>Roofing (1405 A &amp; B, &amp; 1405 C Wings)</t>
  </si>
  <si>
    <t>Roofing (1515 B, 1515 A &amp; C Wings)</t>
  </si>
  <si>
    <t>Roofing (1515 A &amp; C, 1615 B Wings)</t>
  </si>
  <si>
    <t>Roofing (1505 A &amp; B Wings)</t>
  </si>
  <si>
    <t>Roofing (1415 B &amp; 1605 C Wings)</t>
  </si>
  <si>
    <t>Gutters and Downspouts (Clubhouse)</t>
  </si>
  <si>
    <t>Gutters and Downspouts (Bldg. 1505)</t>
  </si>
  <si>
    <t>Gutters and Downspouts (Bldg. 1405)</t>
  </si>
  <si>
    <t>Gutters and Downspouts (Bldgs. 1415, 1515, 1605, &amp; 1615)</t>
  </si>
  <si>
    <t>Skylights (Clubhouse)</t>
  </si>
  <si>
    <t>Metal Fascia (1515 A &amp; C, &amp; 1615 B Wings)</t>
  </si>
  <si>
    <t>Metal Fascia (1515 B, &amp; 1615 A &amp; C Wings)</t>
  </si>
  <si>
    <t>Metal Fascia (1405 A, B &amp; C Wings)</t>
  </si>
  <si>
    <t>Metal Fascia (1605 B Wing)</t>
  </si>
  <si>
    <t>Metal Fascia (1415 C &amp; 1605 A Wings)</t>
  </si>
  <si>
    <t>Metal Fascia (1415 A Wing)</t>
  </si>
  <si>
    <t>Metal Fascia (1415 B &amp; 1605 C Wings)</t>
  </si>
  <si>
    <t>Brick Waterproofing (Bldgs. 1405, 1415, 1505, &amp; 1515)</t>
  </si>
  <si>
    <t>Brick Waterproofing (Bldg. 1605)</t>
  </si>
  <si>
    <t>Brick Waterproofing (Bldg. 1615)</t>
  </si>
  <si>
    <t>Interior Finishes Elements</t>
  </si>
  <si>
    <t>Wing and Lobby Carpet</t>
  </si>
  <si>
    <t>Core Ceramic Tile</t>
  </si>
  <si>
    <t>Core Wallcovering</t>
  </si>
  <si>
    <t>Interior Window Wall</t>
  </si>
  <si>
    <t>Mirrors</t>
  </si>
  <si>
    <t>Lobby Furniture</t>
  </si>
  <si>
    <t>Artwork</t>
  </si>
  <si>
    <t>Vestibule Flooring</t>
  </si>
  <si>
    <t>Acoustical Tile Ceilings</t>
  </si>
  <si>
    <t>Laundry Room Flooring</t>
  </si>
  <si>
    <t>Social Room Carpet</t>
  </si>
  <si>
    <t>Social Room Sliding Doors</t>
  </si>
  <si>
    <t>Social Room Furniture</t>
  </si>
  <si>
    <t>Carpet (Clubhouse)</t>
  </si>
  <si>
    <t>Ceramic Tile (Clubhouse)</t>
  </si>
  <si>
    <t>Toilet Partitions</t>
  </si>
  <si>
    <t>Showers</t>
  </si>
  <si>
    <t>Saunas</t>
  </si>
  <si>
    <t>Plumbing Fixtures</t>
  </si>
  <si>
    <t>Interior Passage Doors</t>
  </si>
  <si>
    <t>Closet Doors</t>
  </si>
  <si>
    <t>Appliances</t>
  </si>
  <si>
    <t>Exercise Equipment</t>
  </si>
  <si>
    <t>Office Furniture and Equipment</t>
  </si>
  <si>
    <t>Common Double Doors</t>
  </si>
  <si>
    <t>Common Single Doors</t>
  </si>
  <si>
    <t>Exterior Finishes Elements</t>
  </si>
  <si>
    <t>Concrete Garage Door Headers (1405 A &amp; B, 1615 B, 1505 A &amp; B, 1515 A &amp; B, &amp; 1605 A &amp; B Wings)</t>
  </si>
  <si>
    <t>Concrete Garage Door Headers (1415 A &amp; 1615 A Wings)</t>
  </si>
  <si>
    <t>Concrete Garage Door Header (1415 B Wing)</t>
  </si>
  <si>
    <t>Front Entry Railings (Bldgs. 1405, 1505, 1515, 1605, &amp; 1615)</t>
  </si>
  <si>
    <t>Front Entry Railings (Bldg. 1415)</t>
  </si>
  <si>
    <t>Sidewalk Hand Railings</t>
  </si>
  <si>
    <t>Brick Tuckpointing (Bldg. 1405)</t>
  </si>
  <si>
    <t>Brick Tuckpointing (Bldg. 1415)</t>
  </si>
  <si>
    <t>Brick Tuckpointing (Bldg. 1505)</t>
  </si>
  <si>
    <t>Brick Tuckpointing (Bldg. 1515)</t>
  </si>
  <si>
    <t>Brick Tuckpointing (Bldg. 1605)</t>
  </si>
  <si>
    <t>Brick Tuckpointing (Bldg. 1615)</t>
  </si>
  <si>
    <t>Window Caulking</t>
  </si>
  <si>
    <t>Dryvent (Clubhouse)</t>
  </si>
  <si>
    <t>Windows (Clubhouse)</t>
  </si>
  <si>
    <t>Patio Doors (Clubhouse)</t>
  </si>
  <si>
    <t>Window Wall (Clubhouse)</t>
  </si>
  <si>
    <t>Window Wall (Bldgs. 1415, 1515, 1605, 1615)</t>
  </si>
  <si>
    <t>Window Wall (Bldg. 1505)</t>
  </si>
  <si>
    <t>Window Wall (Bldg. 1405)</t>
  </si>
  <si>
    <t>Exterior Metal Doors (Clubhouse)</t>
  </si>
  <si>
    <t>Patio Fence Gate (Clubhouse)</t>
  </si>
  <si>
    <t>Trellis and Columns</t>
  </si>
  <si>
    <t>Precast Concrete Planters</t>
  </si>
  <si>
    <t>Precast Concrete Catwalks</t>
  </si>
  <si>
    <t>Catwalk Railings</t>
  </si>
  <si>
    <t>Replaced Balconies</t>
  </si>
  <si>
    <t>Balconies (Year 1)</t>
  </si>
  <si>
    <t>Balconies (Year 2)</t>
  </si>
  <si>
    <t>Balconies (Year 3)</t>
  </si>
  <si>
    <t>Balconies (Year 4)</t>
  </si>
  <si>
    <t>Balconies (Year 5)</t>
  </si>
  <si>
    <t>Remaining Balconies</t>
  </si>
  <si>
    <t>Balcony Deck Coating</t>
  </si>
  <si>
    <t>Balcony Railings</t>
  </si>
  <si>
    <t>Garage Doors</t>
  </si>
  <si>
    <t>Glazed Entry Doors</t>
  </si>
  <si>
    <t>Single Metal Doors</t>
  </si>
  <si>
    <t>Double Metal Doors</t>
  </si>
  <si>
    <t>Mailboxes</t>
  </si>
  <si>
    <t>Electrical Elements</t>
  </si>
  <si>
    <t>Street Light Poles</t>
  </si>
  <si>
    <t>Entry Light Poles</t>
  </si>
  <si>
    <t>Parking Lot Poles</t>
  </si>
  <si>
    <t>Light Fixtures and Fans</t>
  </si>
  <si>
    <t>Floodlights</t>
  </si>
  <si>
    <t>Canopy Lights</t>
  </si>
  <si>
    <t>Intercom Panels</t>
  </si>
  <si>
    <t>Security Cameras</t>
  </si>
  <si>
    <t>Garage Light Fixtures</t>
  </si>
  <si>
    <t>Sconce Light Fixtures</t>
  </si>
  <si>
    <t>Lobby Ceiling Light Fixtures</t>
  </si>
  <si>
    <t>Stair Light Fixtures</t>
  </si>
  <si>
    <t>Lobby Chandeliers</t>
  </si>
  <si>
    <t>Surface Light Fixtures</t>
  </si>
  <si>
    <t>Downlights</t>
  </si>
  <si>
    <t>Fire Alarm Systems</t>
  </si>
  <si>
    <t>Automatic Garage Doors</t>
  </si>
  <si>
    <t>Electrical System</t>
  </si>
  <si>
    <t>Exterior Light Fixtures</t>
  </si>
  <si>
    <t>Special Construction Elements</t>
  </si>
  <si>
    <t>Pool Heater</t>
  </si>
  <si>
    <t>Sand Filters</t>
  </si>
  <si>
    <t xml:space="preserve">Pump </t>
  </si>
  <si>
    <t>Pool Room Piping</t>
  </si>
  <si>
    <t>Swimming Pool</t>
  </si>
  <si>
    <t>Concrete Pool Deck</t>
  </si>
  <si>
    <t>Brick Picnic Deck</t>
  </si>
  <si>
    <t>Tennis Court Net and Posts</t>
  </si>
  <si>
    <t>Tennis Court - Overlay</t>
  </si>
  <si>
    <t>Tennis Court Fence (10')</t>
  </si>
  <si>
    <t>Pool Furniture</t>
  </si>
  <si>
    <t>Pool Chainlink Fence</t>
  </si>
  <si>
    <t>Pool Gutters</t>
  </si>
  <si>
    <t>Pool Resurfacing</t>
  </si>
  <si>
    <t>Landscape - Crab Trees</t>
  </si>
  <si>
    <t>Landscape - Tree Removal</t>
  </si>
  <si>
    <t>Landscape - Other Tree Removal</t>
  </si>
  <si>
    <t>Landscape - Ash Tree Removal</t>
  </si>
  <si>
    <t>Mechanical Elements</t>
  </si>
  <si>
    <t>Furnace</t>
  </si>
  <si>
    <t>Rooftop HVAC Units - 1519 Clubhouse</t>
  </si>
  <si>
    <t>Hot Water Heater</t>
  </si>
  <si>
    <t>Vestibule Heaters</t>
  </si>
  <si>
    <t>Stair Electric Heaters</t>
  </si>
  <si>
    <t>Fire Hoses</t>
  </si>
  <si>
    <t>Trash Compactors</t>
  </si>
  <si>
    <t>Trash Chutes</t>
  </si>
  <si>
    <t>Elevators</t>
  </si>
  <si>
    <t>Elevator Safety Collars &amp; Engineering</t>
  </si>
  <si>
    <t>Elevator Replacement Cylinders (Bldg. 1405)</t>
  </si>
  <si>
    <t>Elevator Replacement Cylinders (Bldg. 1415)</t>
  </si>
  <si>
    <t>Elevator Replacement Cylinders (Bldgs. 1505 &amp; 1515)</t>
  </si>
  <si>
    <t>Elevator Replacement Cylinders (Bldg. 1605)</t>
  </si>
  <si>
    <t>Elevator Replacement Cylinders (Bldg. 1615)</t>
  </si>
  <si>
    <t>Core HVAC Units - 1515 &amp; 1615 East, 1415 &amp; 1615 West</t>
  </si>
  <si>
    <t>Core HVAC Unit - 1515 West</t>
  </si>
  <si>
    <t>Core HVAC Unit - 1415 East</t>
  </si>
  <si>
    <t>Core HVAC Units - 1605 East &amp; West</t>
  </si>
  <si>
    <t>Core HVAC Unit - 1405 East</t>
  </si>
  <si>
    <t>Core HVAC Units - 1505 East &amp; West</t>
  </si>
  <si>
    <t>Core HVAC Unit - 1405 West</t>
  </si>
  <si>
    <t>HVAC Units - 1605 B &amp; C, &amp; 1515 A &amp; B Wings</t>
  </si>
  <si>
    <t>HVAC Units - 1615 B, 1515 C &amp; 1415 C Wings</t>
  </si>
  <si>
    <t>HVAC Units - 1615 A &amp; 1605 A Wing</t>
  </si>
  <si>
    <t>HVAC Unit - 1415 B Wing</t>
  </si>
  <si>
    <t>HVAC Unit - 1615 C Wing</t>
  </si>
  <si>
    <t>HVAC Units - 1405 B &amp; C Wings</t>
  </si>
  <si>
    <t>HVAC Units - 1505 A &amp; B, 1415 A, &amp; 1405 A Wings</t>
  </si>
  <si>
    <t>Boiler Stacks</t>
  </si>
  <si>
    <t>Boiler Stacks (Bldg. 1415)</t>
  </si>
  <si>
    <t>Hot Water Storage Tanks</t>
  </si>
  <si>
    <t>Circulating Pumps</t>
  </si>
  <si>
    <t>Sump Pumps</t>
  </si>
  <si>
    <t>Garage Exhaust Fans</t>
  </si>
  <si>
    <t>Emergency Generators</t>
  </si>
  <si>
    <t>Fire Pumps/Fire Protection</t>
  </si>
  <si>
    <t>Existing Loan Payoff - 274925</t>
  </si>
  <si>
    <t>Existing Loan</t>
  </si>
  <si>
    <t>Loan and No Special Assessment</t>
  </si>
  <si>
    <t>Loan and Special Assessment</t>
  </si>
  <si>
    <t>Reduce Oper Assessment, but a larger Special Assessment</t>
  </si>
  <si>
    <t>Current Situation - No loan extention</t>
  </si>
  <si>
    <t>Reduction of the Operating Assessment</t>
  </si>
  <si>
    <t>East, South, &amp; West Central Road Sealcoating</t>
  </si>
  <si>
    <t>9005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</si>
</sst>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7" formatCode="&quot;$&quot;#,##0.00_);\(&quot;$&quot;#,##0.00\)"/>
    <numFmt numFmtId="43" formatCode="_(* #,##0.00_);_(* \(#,##0.00\);_(* &quot;-&quot;??_);_(@_)"/>
    <numFmt numFmtId="164" formatCode="&quot;$&quot;#,##0"/>
    <numFmt numFmtId="165" formatCode="_(* #,##0_);_(* \(#,##0\);_(* &quot;-&quot;??_);_(@_)"/>
    <numFmt numFmtId="166" formatCode="&quot;$&quot;#,##0.00"/>
    <numFmt numFmtId="167" formatCode="mm/dd/yy;@"/>
    <numFmt numFmtId="168" formatCode="0.000%"/>
  </numFmts>
  <fonts count="38" x14ac:knownFonts="1">
    <font>
      <sz val="10"/>
      <name val="Arial"/>
    </font>
    <font>
      <sz val="11"/>
      <color theme="1"/>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sz val="14"/>
      <name val="Arial"/>
      <family val="2"/>
    </font>
    <font>
      <b/>
      <sz val="18"/>
      <name val="Arial"/>
      <family val="2"/>
    </font>
    <font>
      <b/>
      <sz val="12"/>
      <name val="Arial"/>
      <family val="2"/>
    </font>
    <font>
      <sz val="12"/>
      <name val="Arial"/>
      <family val="2"/>
    </font>
    <font>
      <sz val="12"/>
      <name val="Arial"/>
      <family val="2"/>
    </font>
    <font>
      <b/>
      <sz val="10"/>
      <name val="Arial"/>
      <family val="2"/>
    </font>
    <font>
      <b/>
      <u/>
      <sz val="18"/>
      <name val="Arial"/>
      <family val="2"/>
    </font>
    <font>
      <b/>
      <u/>
      <sz val="12"/>
      <name val="Arial"/>
      <family val="2"/>
    </font>
    <font>
      <sz val="8"/>
      <name val="MS Shell Dlg"/>
    </font>
    <font>
      <u/>
      <sz val="12"/>
      <name val="Arial"/>
      <family val="2"/>
    </font>
    <font>
      <b/>
      <u/>
      <sz val="20"/>
      <name val="Arial"/>
      <family val="2"/>
    </font>
    <font>
      <b/>
      <u val="singleAccounting"/>
      <sz val="12"/>
      <name val="Arial"/>
      <family val="2"/>
    </font>
    <font>
      <b/>
      <u/>
      <sz val="14"/>
      <name val="Arial"/>
      <family val="2"/>
    </font>
    <font>
      <sz val="12"/>
      <color theme="0"/>
      <name val="Arial"/>
      <family val="2"/>
    </font>
    <font>
      <b/>
      <u/>
      <sz val="12"/>
      <color theme="0"/>
      <name val="Arial"/>
      <family val="2"/>
    </font>
    <font>
      <b/>
      <sz val="12"/>
      <color rgb="FFFF0000"/>
      <name val="Arial"/>
      <family val="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3"/>
        <bgColor indexed="64"/>
      </patternFill>
    </fill>
    <fill>
      <patternFill patternType="solid">
        <fgColor rgb="FFFFFF99"/>
        <bgColor indexed="64"/>
      </patternFill>
    </fill>
    <fill>
      <patternFill patternType="solid">
        <fgColor rgb="FFFFC000"/>
        <bgColor indexed="64"/>
      </patternFill>
    </fill>
    <fill>
      <patternFill patternType="solid">
        <fgColor theme="0"/>
        <bgColor indexed="64"/>
      </patternFill>
    </fill>
    <fill>
      <patternFill patternType="solid">
        <fgColor rgb="FFFFFF0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medium">
        <color indexed="64"/>
      </right>
      <top style="thin">
        <color indexed="64"/>
      </top>
      <bottom style="double">
        <color indexed="64"/>
      </bottom>
      <diagonal/>
    </border>
    <border>
      <left style="medium">
        <color indexed="64"/>
      </left>
      <right style="medium">
        <color indexed="64"/>
      </right>
      <top/>
      <bottom/>
      <diagonal/>
    </border>
  </borders>
  <cellStyleXfs count="47">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2"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6" fillId="0" borderId="0"/>
    <xf numFmtId="0" fontId="2" fillId="23" borderId="7" applyNumberFormat="0" applyFont="0" applyAlignment="0" applyProtection="0"/>
    <xf numFmtId="0" fontId="17" fillId="20" borderId="8" applyNumberFormat="0" applyAlignment="0" applyProtection="0"/>
    <xf numFmtId="9" fontId="2" fillId="0" borderId="0" applyFont="0" applyFill="0" applyBorder="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xf numFmtId="0" fontId="30" fillId="0" borderId="0">
      <alignment vertical="center"/>
    </xf>
    <xf numFmtId="0" fontId="1" fillId="0" borderId="0"/>
  </cellStyleXfs>
  <cellXfs count="247">
    <xf numFmtId="0" fontId="0" fillId="0" borderId="0" xfId="0"/>
    <xf numFmtId="0" fontId="22" fillId="0" borderId="0" xfId="0" applyFont="1" applyAlignment="1">
      <alignment horizontal="center"/>
    </xf>
    <xf numFmtId="0" fontId="24" fillId="0" borderId="10" xfId="0" applyFont="1" applyBorder="1" applyAlignment="1">
      <alignment horizontal="center"/>
    </xf>
    <xf numFmtId="0" fontId="24" fillId="0" borderId="10" xfId="0" applyFont="1" applyFill="1" applyBorder="1" applyAlignment="1">
      <alignment horizontal="center"/>
    </xf>
    <xf numFmtId="0" fontId="25" fillId="0" borderId="10" xfId="0" applyFont="1" applyBorder="1"/>
    <xf numFmtId="0" fontId="25" fillId="0" borderId="0" xfId="0" applyFont="1" applyFill="1" applyBorder="1"/>
    <xf numFmtId="38" fontId="26" fillId="0" borderId="0" xfId="0" applyNumberFormat="1" applyFont="1" applyBorder="1" applyProtection="1"/>
    <xf numFmtId="38" fontId="26" fillId="0" borderId="0" xfId="0" applyNumberFormat="1" applyFont="1" applyFill="1" applyBorder="1" applyProtection="1"/>
    <xf numFmtId="0" fontId="25" fillId="0" borderId="0" xfId="0" applyFont="1" applyBorder="1"/>
    <xf numFmtId="38" fontId="26" fillId="0" borderId="11" xfId="0" applyNumberFormat="1" applyFont="1" applyBorder="1" applyProtection="1"/>
    <xf numFmtId="38" fontId="26" fillId="0" borderId="11" xfId="0" applyNumberFormat="1" applyFont="1" applyBorder="1" applyProtection="1">
      <protection locked="0"/>
    </xf>
    <xf numFmtId="38" fontId="0" fillId="0" borderId="0" xfId="0" applyNumberFormat="1"/>
    <xf numFmtId="0" fontId="24" fillId="0" borderId="0" xfId="0" applyFont="1" applyAlignment="1"/>
    <xf numFmtId="38" fontId="24" fillId="0" borderId="0" xfId="0" applyNumberFormat="1" applyFont="1" applyBorder="1"/>
    <xf numFmtId="0" fontId="0" fillId="0" borderId="0" xfId="0" applyProtection="1">
      <protection locked="0"/>
    </xf>
    <xf numFmtId="0" fontId="24" fillId="0" borderId="12" xfId="0" applyFont="1" applyBorder="1" applyAlignment="1"/>
    <xf numFmtId="38" fontId="24" fillId="0" borderId="13" xfId="0" applyNumberFormat="1" applyFont="1" applyBorder="1"/>
    <xf numFmtId="38" fontId="24" fillId="0" borderId="14" xfId="0" applyNumberFormat="1" applyFont="1" applyBorder="1"/>
    <xf numFmtId="0" fontId="27" fillId="0" borderId="0" xfId="0" applyFont="1"/>
    <xf numFmtId="0" fontId="28" fillId="0" borderId="0" xfId="0" applyFont="1" applyAlignment="1">
      <alignment horizontal="center"/>
    </xf>
    <xf numFmtId="0" fontId="0" fillId="0" borderId="0" xfId="0" applyAlignment="1">
      <alignment wrapText="1"/>
    </xf>
    <xf numFmtId="14" fontId="0" fillId="0" borderId="0" xfId="0" applyNumberFormat="1"/>
    <xf numFmtId="0" fontId="0" fillId="0" borderId="0" xfId="0" applyBorder="1"/>
    <xf numFmtId="0" fontId="24" fillId="0" borderId="10" xfId="0" applyFont="1" applyBorder="1" applyAlignment="1">
      <alignment horizontal="center" wrapText="1"/>
    </xf>
    <xf numFmtId="0" fontId="25" fillId="0" borderId="10" xfId="0" applyFont="1" applyBorder="1" applyAlignment="1">
      <alignment wrapText="1"/>
    </xf>
    <xf numFmtId="0" fontId="25" fillId="0" borderId="0" xfId="0" applyFont="1" applyBorder="1" applyAlignment="1">
      <alignment wrapText="1"/>
    </xf>
    <xf numFmtId="0" fontId="22" fillId="0" borderId="0" xfId="0" applyFont="1" applyAlignment="1">
      <alignment horizontal="center" wrapText="1"/>
    </xf>
    <xf numFmtId="0" fontId="24" fillId="0" borderId="0" xfId="0" applyFont="1" applyAlignment="1">
      <alignment wrapText="1"/>
    </xf>
    <xf numFmtId="0" fontId="0" fillId="0" borderId="13" xfId="0" applyBorder="1" applyAlignment="1">
      <alignment wrapText="1"/>
    </xf>
    <xf numFmtId="0" fontId="25" fillId="0" borderId="10" xfId="0" quotePrefix="1" applyFont="1" applyBorder="1"/>
    <xf numFmtId="167" fontId="25" fillId="0" borderId="0" xfId="28" applyNumberFormat="1" applyFont="1"/>
    <xf numFmtId="0" fontId="29" fillId="0" borderId="0" xfId="0" applyFont="1"/>
    <xf numFmtId="0" fontId="25" fillId="0" borderId="0" xfId="0" applyFont="1"/>
    <xf numFmtId="165" fontId="25" fillId="0" borderId="0" xfId="28" applyNumberFormat="1" applyFont="1"/>
    <xf numFmtId="0" fontId="24" fillId="0" borderId="0" xfId="0" applyFont="1" applyAlignment="1">
      <alignment horizontal="center" wrapText="1"/>
    </xf>
    <xf numFmtId="0" fontId="29" fillId="0" borderId="0" xfId="0" applyFont="1" applyBorder="1" applyAlignment="1">
      <alignment horizontal="center" wrapText="1"/>
    </xf>
    <xf numFmtId="7" fontId="26" fillId="0" borderId="0" xfId="0" applyNumberFormat="1" applyFont="1" applyBorder="1"/>
    <xf numFmtId="166" fontId="25" fillId="0" borderId="0" xfId="28" applyNumberFormat="1" applyFont="1"/>
    <xf numFmtId="0" fontId="31" fillId="0" borderId="0" xfId="0" applyFont="1"/>
    <xf numFmtId="165" fontId="0" fillId="0" borderId="0" xfId="28" applyNumberFormat="1" applyFont="1" applyFill="1"/>
    <xf numFmtId="43" fontId="25" fillId="0" borderId="10" xfId="28" applyFont="1" applyBorder="1"/>
    <xf numFmtId="165" fontId="29" fillId="0" borderId="11" xfId="28" applyNumberFormat="1" applyFont="1" applyBorder="1" applyAlignment="1">
      <alignment horizontal="center" wrapText="1"/>
    </xf>
    <xf numFmtId="0" fontId="29" fillId="0" borderId="11" xfId="0" applyFont="1" applyBorder="1" applyAlignment="1">
      <alignment horizontal="center" wrapText="1"/>
    </xf>
    <xf numFmtId="43" fontId="25" fillId="0" borderId="0" xfId="28" applyFont="1"/>
    <xf numFmtId="43" fontId="25" fillId="0" borderId="23" xfId="28" applyFont="1" applyBorder="1"/>
    <xf numFmtId="0" fontId="28" fillId="0" borderId="0" xfId="0" applyFont="1" applyAlignment="1"/>
    <xf numFmtId="165" fontId="24" fillId="0" borderId="0" xfId="28" applyNumberFormat="1" applyFont="1" applyBorder="1" applyAlignment="1"/>
    <xf numFmtId="165" fontId="24" fillId="0" borderId="0" xfId="28" applyNumberFormat="1" applyFont="1" applyBorder="1" applyAlignment="1">
      <alignment horizontal="center"/>
    </xf>
    <xf numFmtId="43" fontId="25" fillId="0" borderId="0" xfId="28" applyFont="1" applyBorder="1"/>
    <xf numFmtId="167" fontId="25" fillId="0" borderId="0" xfId="28" applyNumberFormat="1" applyFont="1" applyFill="1"/>
    <xf numFmtId="43" fontId="25" fillId="0" borderId="25" xfId="28" applyFont="1" applyBorder="1"/>
    <xf numFmtId="164" fontId="0" fillId="0" borderId="0" xfId="0" applyNumberFormat="1"/>
    <xf numFmtId="164" fontId="27" fillId="0" borderId="24" xfId="0" applyNumberFormat="1" applyFont="1" applyBorder="1"/>
    <xf numFmtId="3" fontId="0" fillId="0" borderId="0" xfId="0" applyNumberFormat="1"/>
    <xf numFmtId="43" fontId="25" fillId="0" borderId="0" xfId="0" applyNumberFormat="1" applyFont="1"/>
    <xf numFmtId="0" fontId="27" fillId="0" borderId="0" xfId="0" applyFont="1" applyAlignment="1">
      <alignment wrapText="1"/>
    </xf>
    <xf numFmtId="0" fontId="25" fillId="0" borderId="0" xfId="45" applyFont="1">
      <alignment vertical="center"/>
    </xf>
    <xf numFmtId="0" fontId="22" fillId="0" borderId="0" xfId="0" applyFont="1" applyAlignment="1">
      <alignment horizontal="center"/>
    </xf>
    <xf numFmtId="38" fontId="25" fillId="0" borderId="11" xfId="0" applyNumberFormat="1" applyFont="1" applyBorder="1" applyProtection="1"/>
    <xf numFmtId="38" fontId="25" fillId="0" borderId="11" xfId="0" applyNumberFormat="1" applyFont="1" applyBorder="1" applyProtection="1">
      <protection locked="0"/>
    </xf>
    <xf numFmtId="0" fontId="2" fillId="0" borderId="0" xfId="0" applyFont="1" applyAlignment="1">
      <alignment wrapText="1"/>
    </xf>
    <xf numFmtId="0" fontId="2" fillId="0" borderId="0" xfId="0" applyFont="1"/>
    <xf numFmtId="0" fontId="25" fillId="0" borderId="18" xfId="0" applyFont="1" applyBorder="1"/>
    <xf numFmtId="165" fontId="33" fillId="0" borderId="0" xfId="28" applyNumberFormat="1" applyFont="1" applyBorder="1" applyAlignment="1">
      <alignment horizontal="center"/>
    </xf>
    <xf numFmtId="165" fontId="33" fillId="0" borderId="19" xfId="28" applyNumberFormat="1" applyFont="1" applyBorder="1" applyAlignment="1">
      <alignment horizontal="center"/>
    </xf>
    <xf numFmtId="165" fontId="25" fillId="0" borderId="0" xfId="28" applyNumberFormat="1" applyFont="1" applyBorder="1"/>
    <xf numFmtId="165" fontId="25" fillId="0" borderId="19" xfId="28" applyNumberFormat="1" applyFont="1" applyBorder="1"/>
    <xf numFmtId="0" fontId="25" fillId="0" borderId="20" xfId="0" applyFont="1" applyBorder="1"/>
    <xf numFmtId="165" fontId="25" fillId="0" borderId="21" xfId="28" applyNumberFormat="1" applyFont="1" applyBorder="1"/>
    <xf numFmtId="165" fontId="25" fillId="0" borderId="22" xfId="28" applyNumberFormat="1" applyFont="1" applyBorder="1"/>
    <xf numFmtId="43" fontId="25" fillId="0" borderId="19" xfId="28" applyFont="1" applyBorder="1"/>
    <xf numFmtId="9" fontId="25" fillId="0" borderId="0" xfId="41" applyFont="1" applyBorder="1"/>
    <xf numFmtId="0" fontId="25" fillId="0" borderId="15" xfId="0" applyFont="1" applyBorder="1"/>
    <xf numFmtId="0" fontId="25" fillId="0" borderId="17" xfId="0" applyFont="1" applyBorder="1"/>
    <xf numFmtId="10" fontId="25" fillId="25" borderId="0" xfId="41" applyNumberFormat="1" applyFont="1" applyFill="1" applyBorder="1" applyAlignment="1"/>
    <xf numFmtId="0" fontId="25" fillId="0" borderId="19" xfId="0" applyFont="1" applyBorder="1"/>
    <xf numFmtId="0" fontId="25" fillId="0" borderId="0" xfId="0" applyFont="1" applyAlignment="1">
      <alignment horizontal="center"/>
    </xf>
    <xf numFmtId="167" fontId="25" fillId="25" borderId="0" xfId="0" applyNumberFormat="1" applyFont="1" applyFill="1" applyBorder="1"/>
    <xf numFmtId="168" fontId="25" fillId="24" borderId="0" xfId="41" applyNumberFormat="1" applyFont="1" applyFill="1" applyBorder="1"/>
    <xf numFmtId="167" fontId="25" fillId="24" borderId="0" xfId="0" applyNumberFormat="1" applyFont="1" applyFill="1" applyBorder="1"/>
    <xf numFmtId="43" fontId="24" fillId="24" borderId="0" xfId="28" applyFont="1" applyFill="1" applyBorder="1"/>
    <xf numFmtId="43" fontId="24" fillId="25" borderId="0" xfId="28" applyFont="1" applyFill="1" applyBorder="1"/>
    <xf numFmtId="168" fontId="25" fillId="25" borderId="0" xfId="41" applyNumberFormat="1" applyFont="1" applyFill="1" applyBorder="1"/>
    <xf numFmtId="0" fontId="29" fillId="25" borderId="0" xfId="0" applyFont="1" applyFill="1" applyAlignment="1">
      <alignment horizontal="center" wrapText="1"/>
    </xf>
    <xf numFmtId="0" fontId="29" fillId="25" borderId="0" xfId="0" applyFont="1" applyFill="1" applyBorder="1" applyAlignment="1">
      <alignment horizontal="center" wrapText="1"/>
    </xf>
    <xf numFmtId="0" fontId="25" fillId="0" borderId="0" xfId="0" applyFont="1" applyBorder="1" applyAlignment="1">
      <alignment horizontal="center" wrapText="1"/>
    </xf>
    <xf numFmtId="0" fontId="25" fillId="26" borderId="0" xfId="0" applyFont="1" applyFill="1"/>
    <xf numFmtId="14" fontId="25" fillId="26" borderId="0" xfId="0" applyNumberFormat="1" applyFont="1" applyFill="1"/>
    <xf numFmtId="43" fontId="25" fillId="26" borderId="0" xfId="0" applyNumberFormat="1" applyFont="1" applyFill="1"/>
    <xf numFmtId="0" fontId="29" fillId="26" borderId="0" xfId="0" applyFont="1" applyFill="1" applyAlignment="1">
      <alignment horizontal="center"/>
    </xf>
    <xf numFmtId="0" fontId="22" fillId="0" borderId="0" xfId="0" applyFont="1"/>
    <xf numFmtId="165" fontId="24" fillId="25" borderId="0" xfId="28" applyNumberFormat="1" applyFont="1" applyFill="1" applyBorder="1"/>
    <xf numFmtId="165" fontId="24" fillId="25" borderId="19" xfId="28" applyNumberFormat="1" applyFont="1" applyFill="1" applyBorder="1"/>
    <xf numFmtId="0" fontId="24" fillId="0" borderId="18" xfId="0" applyFont="1" applyBorder="1" applyAlignment="1">
      <alignment horizontal="center" wrapText="1"/>
    </xf>
    <xf numFmtId="165" fontId="25" fillId="0" borderId="21" xfId="28" applyNumberFormat="1" applyFont="1" applyFill="1" applyBorder="1" applyAlignment="1">
      <alignment horizontal="center"/>
    </xf>
    <xf numFmtId="165" fontId="25" fillId="0" borderId="22" xfId="28" applyNumberFormat="1" applyFont="1" applyFill="1" applyBorder="1" applyAlignment="1">
      <alignment horizontal="center"/>
    </xf>
    <xf numFmtId="0" fontId="24" fillId="0" borderId="0" xfId="0" applyFont="1" applyBorder="1" applyAlignment="1">
      <alignment wrapText="1"/>
    </xf>
    <xf numFmtId="167" fontId="25" fillId="25" borderId="19" xfId="0" applyNumberFormat="1" applyFont="1" applyFill="1" applyBorder="1"/>
    <xf numFmtId="168" fontId="25" fillId="24" borderId="19" xfId="41" applyNumberFormat="1" applyFont="1" applyFill="1" applyBorder="1"/>
    <xf numFmtId="43" fontId="24" fillId="24" borderId="21" xfId="28" applyFont="1" applyFill="1" applyBorder="1"/>
    <xf numFmtId="43" fontId="24" fillId="24" borderId="22" xfId="28" applyFont="1" applyFill="1" applyBorder="1"/>
    <xf numFmtId="0" fontId="25" fillId="0" borderId="0" xfId="0" applyFont="1" applyAlignment="1">
      <alignment vertical="center"/>
    </xf>
    <xf numFmtId="0" fontId="24" fillId="0" borderId="16" xfId="0" applyFont="1" applyBorder="1" applyAlignment="1">
      <alignment vertical="center"/>
    </xf>
    <xf numFmtId="0" fontId="25" fillId="0" borderId="0" xfId="0" applyFont="1" applyAlignment="1">
      <alignment horizontal="right" vertical="center"/>
    </xf>
    <xf numFmtId="14" fontId="25" fillId="0" borderId="0" xfId="28" applyNumberFormat="1" applyFont="1" applyFill="1" applyBorder="1"/>
    <xf numFmtId="14" fontId="25" fillId="0" borderId="19" xfId="28" applyNumberFormat="1" applyFont="1" applyFill="1" applyBorder="1"/>
    <xf numFmtId="0" fontId="22" fillId="0" borderId="16" xfId="0" applyFont="1" applyBorder="1" applyAlignment="1">
      <alignment vertical="center"/>
    </xf>
    <xf numFmtId="0" fontId="22" fillId="0" borderId="17" xfId="0" applyFont="1" applyBorder="1" applyAlignment="1">
      <alignment vertical="center"/>
    </xf>
    <xf numFmtId="0" fontId="22" fillId="0" borderId="16" xfId="0" applyFont="1" applyBorder="1" applyAlignment="1">
      <alignment vertical="center" wrapText="1"/>
    </xf>
    <xf numFmtId="0" fontId="22" fillId="0" borderId="17" xfId="0" applyFont="1" applyBorder="1" applyAlignment="1">
      <alignment vertical="center" wrapText="1"/>
    </xf>
    <xf numFmtId="0" fontId="25" fillId="0" borderId="0" xfId="0" applyFont="1" applyBorder="1" applyAlignment="1">
      <alignment horizontal="center"/>
    </xf>
    <xf numFmtId="165" fontId="25" fillId="0" borderId="19" xfId="28" applyNumberFormat="1" applyFont="1" applyBorder="1" applyAlignment="1">
      <alignment horizontal="left"/>
    </xf>
    <xf numFmtId="165" fontId="25" fillId="0" borderId="22" xfId="28" applyNumberFormat="1" applyFont="1" applyBorder="1" applyAlignment="1">
      <alignment horizontal="left"/>
    </xf>
    <xf numFmtId="0" fontId="24" fillId="0" borderId="17" xfId="0" applyFont="1" applyBorder="1" applyAlignment="1">
      <alignment vertical="center"/>
    </xf>
    <xf numFmtId="165" fontId="25" fillId="0" borderId="0" xfId="28" applyNumberFormat="1" applyFont="1" applyBorder="1" applyAlignment="1">
      <alignment horizontal="left"/>
    </xf>
    <xf numFmtId="0" fontId="25" fillId="0" borderId="21" xfId="0" applyFont="1" applyBorder="1" applyAlignment="1">
      <alignment horizontal="center"/>
    </xf>
    <xf numFmtId="165" fontId="25" fillId="0" borderId="0" xfId="28" applyNumberFormat="1" applyFont="1" applyBorder="1" applyAlignment="1"/>
    <xf numFmtId="165" fontId="25" fillId="0" borderId="21" xfId="28" applyNumberFormat="1" applyFont="1" applyBorder="1" applyAlignment="1"/>
    <xf numFmtId="10" fontId="25" fillId="25" borderId="0" xfId="41" applyNumberFormat="1" applyFont="1" applyFill="1" applyBorder="1" applyAlignment="1">
      <alignment horizontal="center"/>
    </xf>
    <xf numFmtId="0" fontId="25" fillId="25" borderId="19" xfId="0" applyFont="1" applyFill="1" applyBorder="1"/>
    <xf numFmtId="0" fontId="22" fillId="0" borderId="0" xfId="0" applyFont="1" applyAlignment="1">
      <alignment horizontal="center"/>
    </xf>
    <xf numFmtId="0" fontId="25" fillId="27" borderId="0" xfId="41" applyNumberFormat="1" applyFont="1" applyFill="1" applyBorder="1"/>
    <xf numFmtId="0" fontId="25" fillId="27" borderId="19" xfId="41" applyNumberFormat="1" applyFont="1" applyFill="1" applyBorder="1"/>
    <xf numFmtId="38" fontId="24" fillId="0" borderId="10" xfId="0" applyNumberFormat="1" applyFont="1" applyBorder="1" applyProtection="1"/>
    <xf numFmtId="38" fontId="24" fillId="0" borderId="10" xfId="0" applyNumberFormat="1" applyFont="1" applyBorder="1" applyProtection="1">
      <protection locked="0"/>
    </xf>
    <xf numFmtId="38" fontId="25" fillId="0" borderId="10" xfId="0" applyNumberFormat="1" applyFont="1" applyBorder="1" applyProtection="1"/>
    <xf numFmtId="38" fontId="25" fillId="0" borderId="10" xfId="0" applyNumberFormat="1" applyFont="1" applyBorder="1" applyProtection="1">
      <protection locked="0"/>
    </xf>
    <xf numFmtId="38" fontId="25" fillId="0" borderId="10" xfId="0" applyNumberFormat="1" applyFont="1" applyFill="1" applyBorder="1" applyProtection="1"/>
    <xf numFmtId="0" fontId="25" fillId="0" borderId="0" xfId="0" applyFont="1" applyBorder="1" applyAlignment="1">
      <alignment horizontal="right" vertical="center"/>
    </xf>
    <xf numFmtId="0" fontId="25" fillId="27" borderId="0" xfId="0" applyFont="1" applyFill="1" applyBorder="1" applyAlignment="1">
      <alignment horizontal="right"/>
    </xf>
    <xf numFmtId="0" fontId="25" fillId="27" borderId="0" xfId="0" quotePrefix="1" applyFont="1" applyFill="1" applyBorder="1" applyAlignment="1">
      <alignment horizontal="right"/>
    </xf>
    <xf numFmtId="167" fontId="25" fillId="27" borderId="0" xfId="0" applyNumberFormat="1" applyFont="1" applyFill="1" applyBorder="1" applyAlignment="1">
      <alignment horizontal="right"/>
    </xf>
    <xf numFmtId="165" fontId="25" fillId="27" borderId="0" xfId="28" applyNumberFormat="1" applyFont="1" applyFill="1" applyBorder="1" applyAlignment="1">
      <alignment horizontal="right"/>
    </xf>
    <xf numFmtId="165" fontId="25" fillId="27" borderId="0" xfId="28" applyNumberFormat="1" applyFont="1" applyFill="1" applyBorder="1" applyAlignment="1" applyProtection="1">
      <alignment horizontal="right"/>
    </xf>
    <xf numFmtId="167" fontId="25" fillId="27" borderId="21" xfId="0" applyNumberFormat="1" applyFont="1" applyFill="1" applyBorder="1" applyAlignment="1">
      <alignment horizontal="right"/>
    </xf>
    <xf numFmtId="0" fontId="25" fillId="24" borderId="19" xfId="0" applyFont="1" applyFill="1" applyBorder="1" applyAlignment="1">
      <alignment horizontal="right" wrapText="1"/>
    </xf>
    <xf numFmtId="0" fontId="25" fillId="24" borderId="19" xfId="0" quotePrefix="1" applyFont="1" applyFill="1" applyBorder="1" applyAlignment="1">
      <alignment horizontal="right" wrapText="1"/>
    </xf>
    <xf numFmtId="167" fontId="25" fillId="24" borderId="19" xfId="0" applyNumberFormat="1" applyFont="1" applyFill="1" applyBorder="1" applyAlignment="1">
      <alignment horizontal="right" wrapText="1"/>
    </xf>
    <xf numFmtId="165" fontId="25" fillId="24" borderId="19" xfId="28" applyNumberFormat="1" applyFont="1" applyFill="1" applyBorder="1" applyAlignment="1">
      <alignment horizontal="right" wrapText="1"/>
    </xf>
    <xf numFmtId="165" fontId="25" fillId="0" borderId="28" xfId="28" applyNumberFormat="1" applyFont="1" applyFill="1" applyBorder="1" applyAlignment="1">
      <alignment horizontal="right" wrapText="1"/>
    </xf>
    <xf numFmtId="0" fontId="25" fillId="0" borderId="19" xfId="0" applyFont="1" applyBorder="1" applyAlignment="1">
      <alignment horizontal="right" wrapText="1"/>
    </xf>
    <xf numFmtId="165" fontId="25" fillId="24" borderId="19" xfId="28" applyNumberFormat="1" applyFont="1" applyFill="1" applyBorder="1" applyAlignment="1" applyProtection="1">
      <alignment horizontal="right" wrapText="1"/>
    </xf>
    <xf numFmtId="167" fontId="25" fillId="24" borderId="22" xfId="0" applyNumberFormat="1" applyFont="1" applyFill="1" applyBorder="1" applyAlignment="1">
      <alignment horizontal="right" wrapText="1"/>
    </xf>
    <xf numFmtId="0" fontId="29" fillId="27" borderId="16" xfId="0" applyFont="1" applyFill="1" applyBorder="1" applyAlignment="1">
      <alignment horizontal="center" wrapText="1"/>
    </xf>
    <xf numFmtId="0" fontId="25" fillId="0" borderId="0" xfId="0" applyFont="1" applyBorder="1" applyAlignment="1">
      <alignment horizontal="center" wrapText="1"/>
    </xf>
    <xf numFmtId="0" fontId="24" fillId="0" borderId="20" xfId="0" applyFont="1" applyBorder="1" applyAlignment="1">
      <alignment horizontal="center" wrapText="1"/>
    </xf>
    <xf numFmtId="0" fontId="0" fillId="0" borderId="0" xfId="0" applyAlignment="1">
      <alignment horizontal="center"/>
    </xf>
    <xf numFmtId="165" fontId="25" fillId="0" borderId="0" xfId="0" applyNumberFormat="1" applyFont="1"/>
    <xf numFmtId="14" fontId="25" fillId="0" borderId="0" xfId="0" applyNumberFormat="1" applyFont="1"/>
    <xf numFmtId="167" fontId="25" fillId="0" borderId="0" xfId="0" applyNumberFormat="1" applyFont="1"/>
    <xf numFmtId="14" fontId="25" fillId="0" borderId="0" xfId="0" applyNumberFormat="1" applyFont="1" applyAlignment="1">
      <alignment vertical="center"/>
    </xf>
    <xf numFmtId="1" fontId="25" fillId="0" borderId="0" xfId="0" applyNumberFormat="1" applyFont="1"/>
    <xf numFmtId="165" fontId="25" fillId="26" borderId="0" xfId="0" applyNumberFormat="1" applyFont="1" applyFill="1"/>
    <xf numFmtId="1" fontId="25" fillId="26" borderId="0" xfId="0" applyNumberFormat="1" applyFont="1" applyFill="1"/>
    <xf numFmtId="43" fontId="24" fillId="25" borderId="19" xfId="28" applyFont="1" applyFill="1" applyBorder="1"/>
    <xf numFmtId="0" fontId="22" fillId="0" borderId="0" xfId="0" applyFont="1" applyAlignment="1">
      <alignment horizontal="center"/>
    </xf>
    <xf numFmtId="168" fontId="25" fillId="25" borderId="19" xfId="41" applyNumberFormat="1" applyFont="1" applyFill="1" applyBorder="1"/>
    <xf numFmtId="165" fontId="25" fillId="0" borderId="0" xfId="28" applyNumberFormat="1" applyFont="1" applyFill="1" applyBorder="1"/>
    <xf numFmtId="165" fontId="25" fillId="0" borderId="19" xfId="28" applyNumberFormat="1" applyFont="1" applyFill="1" applyBorder="1"/>
    <xf numFmtId="38" fontId="24" fillId="0" borderId="11" xfId="0" applyNumberFormat="1" applyFont="1" applyBorder="1" applyProtection="1"/>
    <xf numFmtId="0" fontId="30" fillId="0" borderId="0" xfId="45">
      <alignment vertical="center"/>
    </xf>
    <xf numFmtId="0" fontId="30" fillId="0" borderId="0" xfId="45">
      <alignment vertical="center"/>
    </xf>
    <xf numFmtId="0" fontId="25" fillId="0" borderId="18" xfId="0" applyFont="1" applyBorder="1" applyAlignment="1">
      <alignment horizontal="center" wrapText="1"/>
    </xf>
    <xf numFmtId="0" fontId="25" fillId="0" borderId="20" xfId="0" applyFont="1" applyBorder="1" applyAlignment="1">
      <alignment horizontal="center" wrapText="1"/>
    </xf>
    <xf numFmtId="0" fontId="25" fillId="0" borderId="18" xfId="0" applyFont="1" applyBorder="1" applyAlignment="1">
      <alignment horizontal="center"/>
    </xf>
    <xf numFmtId="0" fontId="25" fillId="0" borderId="0" xfId="0" applyFont="1" applyBorder="1" applyAlignment="1">
      <alignment horizontal="center"/>
    </xf>
    <xf numFmtId="43" fontId="35" fillId="0" borderId="0" xfId="28" applyFont="1" applyBorder="1"/>
    <xf numFmtId="0" fontId="36" fillId="0" borderId="0" xfId="0" applyFont="1" applyBorder="1" applyAlignment="1">
      <alignment horizontal="center"/>
    </xf>
    <xf numFmtId="10" fontId="25" fillId="25" borderId="21" xfId="41" applyNumberFormat="1" applyFont="1" applyFill="1" applyBorder="1" applyAlignment="1"/>
    <xf numFmtId="0" fontId="25" fillId="25" borderId="22" xfId="0" applyFont="1" applyFill="1" applyBorder="1"/>
    <xf numFmtId="167" fontId="25" fillId="24" borderId="19" xfId="0" applyNumberFormat="1" applyFont="1" applyFill="1" applyBorder="1"/>
    <xf numFmtId="10" fontId="25" fillId="25" borderId="21" xfId="41" applyNumberFormat="1" applyFont="1" applyFill="1" applyBorder="1" applyAlignment="1">
      <alignment horizontal="center"/>
    </xf>
    <xf numFmtId="0" fontId="35" fillId="0" borderId="0" xfId="0" applyFont="1" applyBorder="1" applyAlignment="1">
      <alignment horizontal="right"/>
    </xf>
    <xf numFmtId="10" fontId="25" fillId="0" borderId="0" xfId="41" applyNumberFormat="1" applyFont="1" applyFill="1" applyBorder="1"/>
    <xf numFmtId="10" fontId="25" fillId="0" borderId="19" xfId="41" applyNumberFormat="1" applyFont="1" applyFill="1" applyBorder="1"/>
    <xf numFmtId="38" fontId="35" fillId="0" borderId="11" xfId="0" applyNumberFormat="1" applyFont="1" applyBorder="1" applyProtection="1">
      <protection locked="0"/>
    </xf>
    <xf numFmtId="3" fontId="35" fillId="0" borderId="11" xfId="0" applyNumberFormat="1" applyFont="1" applyBorder="1" applyProtection="1">
      <protection locked="0"/>
    </xf>
    <xf numFmtId="43" fontId="24" fillId="24" borderId="19" xfId="28" applyFont="1" applyFill="1" applyBorder="1"/>
    <xf numFmtId="0" fontId="25" fillId="0" borderId="29" xfId="0" applyFont="1" applyBorder="1"/>
    <xf numFmtId="167" fontId="25" fillId="0" borderId="0" xfId="0" applyNumberFormat="1" applyFont="1" applyFill="1" applyBorder="1"/>
    <xf numFmtId="43" fontId="25" fillId="0" borderId="21" xfId="28" applyFont="1" applyBorder="1"/>
    <xf numFmtId="43" fontId="25" fillId="0" borderId="22" xfId="28" applyFont="1" applyBorder="1"/>
    <xf numFmtId="0" fontId="25" fillId="0" borderId="10" xfId="0" applyFont="1" applyFill="1" applyBorder="1" applyAlignment="1">
      <alignment horizontal="left"/>
    </xf>
    <xf numFmtId="38" fontId="24" fillId="0" borderId="11" xfId="0" applyNumberFormat="1" applyFont="1" applyFill="1" applyBorder="1" applyProtection="1">
      <protection locked="0"/>
    </xf>
    <xf numFmtId="38" fontId="25" fillId="0" borderId="11" xfId="0" applyNumberFormat="1" applyFont="1" applyFill="1" applyBorder="1" applyProtection="1">
      <protection locked="0"/>
    </xf>
    <xf numFmtId="38" fontId="37" fillId="0" borderId="11" xfId="0" applyNumberFormat="1" applyFont="1" applyFill="1" applyBorder="1" applyProtection="1">
      <protection locked="0"/>
    </xf>
    <xf numFmtId="38" fontId="24" fillId="0" borderId="11" xfId="0" applyNumberFormat="1" applyFont="1" applyFill="1" applyBorder="1" applyProtection="1"/>
    <xf numFmtId="38" fontId="37" fillId="0" borderId="11" xfId="0" applyNumberFormat="1" applyFont="1" applyFill="1" applyBorder="1" applyProtection="1"/>
    <xf numFmtId="0" fontId="25" fillId="0" borderId="10" xfId="0" applyFont="1" applyFill="1" applyBorder="1"/>
    <xf numFmtId="165" fontId="33" fillId="0" borderId="18" xfId="28" applyNumberFormat="1" applyFont="1" applyBorder="1" applyAlignment="1">
      <alignment horizontal="center"/>
    </xf>
    <xf numFmtId="10" fontId="25" fillId="0" borderId="18" xfId="41" applyNumberFormat="1" applyFont="1" applyFill="1" applyBorder="1"/>
    <xf numFmtId="168" fontId="25" fillId="24" borderId="18" xfId="41" applyNumberFormat="1" applyFont="1" applyFill="1" applyBorder="1"/>
    <xf numFmtId="0" fontId="25" fillId="27" borderId="18" xfId="41" applyNumberFormat="1" applyFont="1" applyFill="1" applyBorder="1"/>
    <xf numFmtId="167" fontId="25" fillId="0" borderId="18" xfId="0" applyNumberFormat="1" applyFont="1" applyFill="1" applyBorder="1"/>
    <xf numFmtId="43" fontId="24" fillId="24" borderId="20" xfId="28" applyFont="1" applyFill="1" applyBorder="1"/>
    <xf numFmtId="0" fontId="22" fillId="0" borderId="15" xfId="0" applyFont="1" applyBorder="1" applyAlignment="1">
      <alignment vertical="center"/>
    </xf>
    <xf numFmtId="165" fontId="24" fillId="25" borderId="18" xfId="28" applyNumberFormat="1" applyFont="1" applyFill="1" applyBorder="1"/>
    <xf numFmtId="167" fontId="25" fillId="24" borderId="18" xfId="0" applyNumberFormat="1" applyFont="1" applyFill="1" applyBorder="1"/>
    <xf numFmtId="14" fontId="25" fillId="0" borderId="18" xfId="28" applyNumberFormat="1" applyFont="1" applyFill="1" applyBorder="1"/>
    <xf numFmtId="43" fontId="24" fillId="24" borderId="18" xfId="28" applyFont="1" applyFill="1" applyBorder="1"/>
    <xf numFmtId="168" fontId="25" fillId="25" borderId="18" xfId="41" applyNumberFormat="1" applyFont="1" applyFill="1" applyBorder="1"/>
    <xf numFmtId="165" fontId="25" fillId="0" borderId="20" xfId="28" applyNumberFormat="1" applyFont="1" applyFill="1" applyBorder="1" applyAlignment="1">
      <alignment horizontal="center"/>
    </xf>
    <xf numFmtId="0" fontId="24" fillId="0" borderId="15" xfId="0" applyFont="1" applyBorder="1" applyAlignment="1">
      <alignment vertical="center"/>
    </xf>
    <xf numFmtId="165" fontId="25" fillId="0" borderId="18" xfId="28" applyNumberFormat="1" applyFont="1" applyBorder="1"/>
    <xf numFmtId="165" fontId="25" fillId="0" borderId="20" xfId="28" applyNumberFormat="1" applyFont="1" applyBorder="1"/>
    <xf numFmtId="43" fontId="25" fillId="0" borderId="18" xfId="28" applyFont="1" applyBorder="1"/>
    <xf numFmtId="43" fontId="25" fillId="0" borderId="20" xfId="28" applyFont="1" applyBorder="1"/>
    <xf numFmtId="0" fontId="22" fillId="0" borderId="15" xfId="0" applyFont="1" applyBorder="1" applyAlignment="1">
      <alignment vertical="center" wrapText="1"/>
    </xf>
    <xf numFmtId="0" fontId="25" fillId="0" borderId="0" xfId="0" applyFont="1" applyBorder="1" applyAlignment="1">
      <alignment horizontal="center"/>
    </xf>
    <xf numFmtId="0" fontId="24" fillId="0" borderId="10" xfId="0" applyFont="1" applyFill="1" applyBorder="1" applyAlignment="1">
      <alignment horizontal="left"/>
    </xf>
    <xf numFmtId="0" fontId="22" fillId="0" borderId="0" xfId="0" applyFont="1" applyBorder="1" applyAlignment="1">
      <alignment vertical="center"/>
    </xf>
    <xf numFmtId="0" fontId="25" fillId="0" borderId="16" xfId="0" applyFont="1" applyBorder="1"/>
    <xf numFmtId="0" fontId="30" fillId="0" borderId="0" xfId="45">
      <alignment vertical="center"/>
    </xf>
    <xf numFmtId="0" fontId="24" fillId="0" borderId="10" xfId="0" applyFont="1" applyFill="1" applyBorder="1"/>
    <xf numFmtId="0" fontId="2" fillId="0" borderId="18" xfId="0" applyFont="1" applyBorder="1" applyAlignment="1">
      <alignment horizontal="center" vertical="center" wrapText="1"/>
    </xf>
    <xf numFmtId="0" fontId="2" fillId="0" borderId="0"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8" xfId="0" applyFont="1" applyBorder="1" applyAlignment="1">
      <alignment vertical="center" wrapText="1"/>
    </xf>
    <xf numFmtId="0" fontId="2" fillId="0" borderId="0" xfId="0" applyFont="1" applyBorder="1" applyAlignment="1">
      <alignment vertical="center" wrapText="1"/>
    </xf>
    <xf numFmtId="0" fontId="2" fillId="0" borderId="19" xfId="0" applyFont="1" applyBorder="1" applyAlignment="1">
      <alignment vertical="center" wrapText="1"/>
    </xf>
    <xf numFmtId="43" fontId="2" fillId="0" borderId="0" xfId="0" applyNumberFormat="1" applyFont="1" applyAlignment="1">
      <alignment wrapText="1"/>
    </xf>
    <xf numFmtId="165" fontId="25" fillId="0" borderId="0" xfId="41" applyNumberFormat="1" applyFont="1"/>
    <xf numFmtId="38" fontId="25" fillId="28" borderId="10" xfId="0" applyNumberFormat="1" applyFont="1" applyFill="1" applyBorder="1" applyProtection="1"/>
    <xf numFmtId="38" fontId="25" fillId="28" borderId="10" xfId="0" applyNumberFormat="1" applyFont="1" applyFill="1" applyBorder="1" applyProtection="1">
      <protection locked="0"/>
    </xf>
    <xf numFmtId="0" fontId="32" fillId="0" borderId="0" xfId="0" applyFont="1" applyAlignment="1">
      <alignment horizontal="center"/>
    </xf>
    <xf numFmtId="0" fontId="34" fillId="0" borderId="15" xfId="0" applyFont="1" applyBorder="1" applyAlignment="1">
      <alignment horizontal="center" vertical="center"/>
    </xf>
    <xf numFmtId="0" fontId="34" fillId="0" borderId="16" xfId="0" applyFont="1" applyBorder="1" applyAlignment="1">
      <alignment horizontal="center" vertical="center"/>
    </xf>
    <xf numFmtId="0" fontId="34" fillId="0" borderId="17" xfId="0" applyFont="1" applyBorder="1" applyAlignment="1">
      <alignment horizontal="center" vertical="center"/>
    </xf>
    <xf numFmtId="0" fontId="25" fillId="0" borderId="18" xfId="0" applyFont="1" applyBorder="1" applyAlignment="1">
      <alignment horizontal="center" wrapText="1"/>
    </xf>
    <xf numFmtId="0" fontId="25" fillId="0" borderId="0" xfId="0" applyFont="1" applyBorder="1" applyAlignment="1">
      <alignment horizontal="center" wrapText="1"/>
    </xf>
    <xf numFmtId="0" fontId="25" fillId="0" borderId="20" xfId="0" applyFont="1" applyBorder="1" applyAlignment="1">
      <alignment horizontal="center" wrapText="1"/>
    </xf>
    <xf numFmtId="0" fontId="25" fillId="0" borderId="21" xfId="0" applyFont="1" applyBorder="1" applyAlignment="1">
      <alignment horizontal="center" wrapText="1"/>
    </xf>
    <xf numFmtId="0" fontId="25" fillId="0" borderId="18" xfId="0" applyFont="1" applyBorder="1" applyAlignment="1">
      <alignment horizontal="center"/>
    </xf>
    <xf numFmtId="0" fontId="25" fillId="0" borderId="0" xfId="0" applyFont="1" applyBorder="1" applyAlignment="1">
      <alignment horizontal="center"/>
    </xf>
    <xf numFmtId="0" fontId="34" fillId="0" borderId="0" xfId="0" applyFont="1" applyBorder="1" applyAlignment="1">
      <alignment horizontal="center" vertical="center" wrapText="1"/>
    </xf>
    <xf numFmtId="0" fontId="34" fillId="0" borderId="15" xfId="0" applyFont="1" applyBorder="1" applyAlignment="1">
      <alignment horizontal="center" vertical="center" wrapText="1"/>
    </xf>
    <xf numFmtId="0" fontId="34" fillId="0" borderId="16" xfId="0" applyFont="1" applyBorder="1" applyAlignment="1">
      <alignment horizontal="center" vertical="center" wrapText="1"/>
    </xf>
    <xf numFmtId="0" fontId="23" fillId="0" borderId="10" xfId="0" applyFont="1" applyBorder="1" applyAlignment="1">
      <alignment horizontal="center" vertical="center" textRotation="90"/>
    </xf>
    <xf numFmtId="0" fontId="23" fillId="0" borderId="26" xfId="0" applyFont="1" applyBorder="1" applyAlignment="1">
      <alignment horizontal="center" vertical="center" textRotation="90"/>
    </xf>
    <xf numFmtId="0" fontId="23" fillId="0" borderId="27" xfId="0" applyFont="1" applyBorder="1" applyAlignment="1">
      <alignment horizontal="center" vertical="center" textRotation="90"/>
    </xf>
    <xf numFmtId="0" fontId="23" fillId="0" borderId="11" xfId="0" applyFont="1" applyBorder="1" applyAlignment="1">
      <alignment horizontal="center" vertical="center" textRotation="90"/>
    </xf>
    <xf numFmtId="0" fontId="22" fillId="0" borderId="0" xfId="0" applyFont="1" applyAlignment="1">
      <alignment horizontal="center"/>
    </xf>
    <xf numFmtId="165" fontId="24" fillId="0" borderId="12" xfId="28" applyNumberFormat="1" applyFont="1" applyBorder="1" applyAlignment="1">
      <alignment horizontal="center"/>
    </xf>
    <xf numFmtId="165" fontId="24" fillId="0" borderId="13" xfId="28" applyNumberFormat="1" applyFont="1" applyBorder="1" applyAlignment="1">
      <alignment horizontal="center"/>
    </xf>
    <xf numFmtId="165" fontId="24" fillId="0" borderId="14" xfId="28" applyNumberFormat="1" applyFont="1" applyBorder="1" applyAlignment="1">
      <alignment horizontal="center"/>
    </xf>
    <xf numFmtId="165" fontId="24" fillId="0" borderId="21" xfId="28" applyNumberFormat="1" applyFont="1" applyBorder="1" applyAlignment="1">
      <alignment horizontal="center"/>
    </xf>
    <xf numFmtId="0" fontId="27" fillId="0" borderId="0" xfId="0" applyFont="1" applyAlignment="1">
      <alignment horizontal="center"/>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 2" xfId="45"/>
    <cellStyle name="Normal 3" xfId="38"/>
    <cellStyle name="Normal 4" xfId="46"/>
    <cellStyle name="Note" xfId="39" builtinId="10" customBuiltin="1"/>
    <cellStyle name="Output" xfId="40" builtinId="21" customBuiltin="1"/>
    <cellStyle name="Percent" xfId="41" builtinId="5"/>
    <cellStyle name="Title" xfId="42" builtinId="15" customBuiltin="1"/>
    <cellStyle name="Total" xfId="43" builtinId="25" customBuiltin="1"/>
    <cellStyle name="Warning Text" xfId="44" builtinId="11" customBuiltin="1"/>
  </cellStyles>
  <dxfs count="18">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99"/>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ennifer\Local%20Settings\Application%20Data\Lotus\Notes\Data\0495bud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CFO%20Reporting\Katie\Projects\Special%20Assessments%20&amp;%20Loans\zOld\0505%20SA%20Main%20Workboo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Print or PDF"/>
      <sheetName val="Budget Tracking Steps"/>
      <sheetName val="Error Checking"/>
      <sheetName val="Tables and Customizations"/>
      <sheetName val="Assumptions"/>
      <sheetName val="PM Budget Input"/>
      <sheetName val="Monthly Spread"/>
      <sheetName val="Summary Report"/>
      <sheetName val="Detail Report"/>
      <sheetName val="Cash Flow Report"/>
      <sheetName val="HO Mailing"/>
      <sheetName val="Assessment Detail"/>
      <sheetName val="Reserve Analysis"/>
      <sheetName val="Reserve Study"/>
      <sheetName val="AP Coding"/>
      <sheetName val="Chart Control"/>
      <sheetName val="Chart"/>
      <sheetName val="Projection"/>
      <sheetName val="Current Budget"/>
      <sheetName val="Prior Actual"/>
      <sheetName val="Prior Budget"/>
      <sheetName val="Operating Upload"/>
      <sheetName val="Reserve Upload"/>
      <sheetName val="Projection Update"/>
      <sheetName val="Actuals Update"/>
      <sheetName val="Current Budget Update"/>
      <sheetName val="Previous Budget Update"/>
    </sheetNames>
    <sheetDataSet>
      <sheetData sheetId="0" refreshError="1"/>
      <sheetData sheetId="1" refreshError="1"/>
      <sheetData sheetId="2" refreshError="1"/>
      <sheetData sheetId="3"/>
      <sheetData sheetId="4" refreshError="1">
        <row r="17">
          <cell r="B17">
            <v>2010</v>
          </cell>
        </row>
        <row r="25">
          <cell r="A25" t="str">
            <v>GL ACCT</v>
          </cell>
          <cell r="B25" t="str">
            <v>NAME</v>
          </cell>
        </row>
        <row r="26">
          <cell r="A26" t="str">
            <v>7611</v>
          </cell>
          <cell r="B26" t="str">
            <v>Catch Basin/Sewer</v>
          </cell>
        </row>
        <row r="27">
          <cell r="A27" t="str">
            <v>7480</v>
          </cell>
          <cell r="B27" t="str">
            <v>Trash Chute Cleaning</v>
          </cell>
        </row>
        <row r="28">
          <cell r="A28" t="str">
            <v>8590</v>
          </cell>
          <cell r="B28" t="str">
            <v>Loan Fees</v>
          </cell>
        </row>
        <row r="29">
          <cell r="A29" t="str">
            <v>8050</v>
          </cell>
          <cell r="B29" t="str">
            <v>Pool Repair/Maint.</v>
          </cell>
        </row>
        <row r="30">
          <cell r="A30" t="str">
            <v/>
          </cell>
          <cell r="B30" t="str">
            <v/>
          </cell>
        </row>
        <row r="31">
          <cell r="A31" t="str">
            <v/>
          </cell>
          <cell r="B31" t="str">
            <v/>
          </cell>
        </row>
        <row r="32">
          <cell r="A32" t="str">
            <v/>
          </cell>
          <cell r="B32" t="str">
            <v/>
          </cell>
        </row>
        <row r="33">
          <cell r="A33" t="str">
            <v/>
          </cell>
          <cell r="B33" t="str">
            <v/>
          </cell>
        </row>
        <row r="34">
          <cell r="A34" t="str">
            <v/>
          </cell>
          <cell r="B34" t="str">
            <v/>
          </cell>
        </row>
        <row r="35">
          <cell r="A35" t="str">
            <v/>
          </cell>
          <cell r="B35" t="str">
            <v/>
          </cell>
        </row>
        <row r="36">
          <cell r="A36" t="str">
            <v/>
          </cell>
          <cell r="B36" t="str">
            <v/>
          </cell>
        </row>
        <row r="37">
          <cell r="A37" t="str">
            <v/>
          </cell>
          <cell r="B37" t="str">
            <v/>
          </cell>
        </row>
        <row r="38">
          <cell r="A38" t="str">
            <v/>
          </cell>
          <cell r="B38" t="str">
            <v/>
          </cell>
        </row>
        <row r="39">
          <cell r="A39" t="str">
            <v/>
          </cell>
          <cell r="B39" t="str">
            <v/>
          </cell>
        </row>
        <row r="40">
          <cell r="A40" t="str">
            <v/>
          </cell>
          <cell r="B40" t="str">
            <v/>
          </cell>
        </row>
        <row r="41">
          <cell r="A41" t="str">
            <v/>
          </cell>
          <cell r="B41" t="str">
            <v/>
          </cell>
        </row>
        <row r="42">
          <cell r="A42" t="str">
            <v/>
          </cell>
          <cell r="B42" t="str">
            <v/>
          </cell>
        </row>
        <row r="43">
          <cell r="A43" t="str">
            <v/>
          </cell>
          <cell r="B43" t="str">
            <v/>
          </cell>
        </row>
        <row r="44">
          <cell r="A44" t="str">
            <v/>
          </cell>
          <cell r="B44" t="str">
            <v/>
          </cell>
        </row>
        <row r="45">
          <cell r="A45" t="str">
            <v/>
          </cell>
          <cell r="B45" t="str">
            <v/>
          </cell>
        </row>
        <row r="46">
          <cell r="A46" t="str">
            <v/>
          </cell>
          <cell r="B46" t="str">
            <v/>
          </cell>
        </row>
        <row r="47">
          <cell r="A47" t="str">
            <v/>
          </cell>
          <cell r="B47" t="str">
            <v/>
          </cell>
        </row>
        <row r="48">
          <cell r="A48" t="str">
            <v/>
          </cell>
          <cell r="B48" t="str">
            <v/>
          </cell>
        </row>
        <row r="49">
          <cell r="A49" t="str">
            <v/>
          </cell>
          <cell r="B49" t="str">
            <v/>
          </cell>
        </row>
        <row r="50">
          <cell r="A50" t="str">
            <v/>
          </cell>
          <cell r="B50" t="str">
            <v/>
          </cell>
        </row>
        <row r="51">
          <cell r="A51" t="str">
            <v/>
          </cell>
          <cell r="B51" t="str">
            <v/>
          </cell>
        </row>
        <row r="52">
          <cell r="A52" t="str">
            <v/>
          </cell>
          <cell r="B52" t="str">
            <v/>
          </cell>
        </row>
        <row r="53">
          <cell r="A53" t="str">
            <v/>
          </cell>
          <cell r="B53" t="str">
            <v/>
          </cell>
        </row>
        <row r="54">
          <cell r="A54" t="str">
            <v/>
          </cell>
          <cell r="B54" t="str">
            <v/>
          </cell>
        </row>
        <row r="55">
          <cell r="A55" t="str">
            <v/>
          </cell>
          <cell r="B55" t="str">
            <v/>
          </cell>
        </row>
        <row r="56">
          <cell r="A56" t="str">
            <v/>
          </cell>
          <cell r="B56" t="str">
            <v/>
          </cell>
        </row>
        <row r="57">
          <cell r="A57" t="str">
            <v/>
          </cell>
          <cell r="B57" t="str">
            <v/>
          </cell>
        </row>
        <row r="58">
          <cell r="A58" t="str">
            <v/>
          </cell>
          <cell r="B58" t="str">
            <v/>
          </cell>
        </row>
        <row r="59">
          <cell r="A59" t="str">
            <v/>
          </cell>
          <cell r="B59" t="str">
            <v/>
          </cell>
        </row>
        <row r="60">
          <cell r="A60" t="str">
            <v/>
          </cell>
          <cell r="B60" t="str">
            <v/>
          </cell>
        </row>
        <row r="61">
          <cell r="A61" t="str">
            <v/>
          </cell>
          <cell r="B61" t="str">
            <v/>
          </cell>
        </row>
        <row r="62">
          <cell r="A62" t="str">
            <v/>
          </cell>
          <cell r="B62" t="str">
            <v/>
          </cell>
        </row>
        <row r="63">
          <cell r="A63" t="str">
            <v/>
          </cell>
          <cell r="B63" t="str">
            <v/>
          </cell>
        </row>
        <row r="64">
          <cell r="A64" t="str">
            <v/>
          </cell>
          <cell r="B64" t="str">
            <v/>
          </cell>
        </row>
        <row r="65">
          <cell r="A65" t="str">
            <v/>
          </cell>
          <cell r="B65" t="str">
            <v/>
          </cell>
        </row>
        <row r="66">
          <cell r="A66" t="str">
            <v/>
          </cell>
          <cell r="B66" t="str">
            <v/>
          </cell>
        </row>
        <row r="67">
          <cell r="A67" t="str">
            <v/>
          </cell>
          <cell r="B67" t="str">
            <v/>
          </cell>
        </row>
        <row r="68">
          <cell r="A68" t="str">
            <v/>
          </cell>
          <cell r="B68" t="str">
            <v/>
          </cell>
        </row>
        <row r="69">
          <cell r="A69" t="str">
            <v/>
          </cell>
          <cell r="B69" t="str">
            <v/>
          </cell>
        </row>
        <row r="70">
          <cell r="A70" t="str">
            <v/>
          </cell>
          <cell r="B70" t="str">
            <v/>
          </cell>
        </row>
        <row r="71">
          <cell r="A71" t="str">
            <v/>
          </cell>
          <cell r="B71" t="str">
            <v/>
          </cell>
        </row>
        <row r="72">
          <cell r="A72" t="str">
            <v/>
          </cell>
          <cell r="B72" t="str">
            <v/>
          </cell>
        </row>
        <row r="73">
          <cell r="A73" t="str">
            <v/>
          </cell>
          <cell r="B73" t="str">
            <v/>
          </cell>
        </row>
        <row r="74">
          <cell r="A74" t="str">
            <v/>
          </cell>
          <cell r="B74" t="str">
            <v/>
          </cell>
        </row>
        <row r="75">
          <cell r="A75" t="str">
            <v/>
          </cell>
          <cell r="B75" t="str">
            <v/>
          </cell>
        </row>
        <row r="76">
          <cell r="A76" t="str">
            <v/>
          </cell>
          <cell r="B76" t="str">
            <v/>
          </cell>
        </row>
        <row r="77">
          <cell r="A77" t="str">
            <v/>
          </cell>
          <cell r="B77" t="str">
            <v/>
          </cell>
        </row>
        <row r="78">
          <cell r="A78" t="str">
            <v/>
          </cell>
          <cell r="B78" t="str">
            <v/>
          </cell>
        </row>
        <row r="79">
          <cell r="A79" t="str">
            <v/>
          </cell>
          <cell r="B79" t="str">
            <v/>
          </cell>
        </row>
        <row r="80">
          <cell r="A80" t="str">
            <v/>
          </cell>
          <cell r="B80" t="str">
            <v/>
          </cell>
        </row>
        <row r="81">
          <cell r="A81" t="str">
            <v/>
          </cell>
          <cell r="B81" t="str">
            <v/>
          </cell>
        </row>
        <row r="82">
          <cell r="A82" t="str">
            <v/>
          </cell>
          <cell r="B82" t="str">
            <v/>
          </cell>
        </row>
        <row r="83">
          <cell r="A83" t="str">
            <v/>
          </cell>
          <cell r="B83" t="str">
            <v/>
          </cell>
        </row>
        <row r="84">
          <cell r="A84" t="str">
            <v/>
          </cell>
          <cell r="B84" t="str">
            <v/>
          </cell>
        </row>
        <row r="85">
          <cell r="A85" t="str">
            <v/>
          </cell>
          <cell r="B85" t="str">
            <v/>
          </cell>
        </row>
        <row r="86">
          <cell r="A86" t="str">
            <v/>
          </cell>
          <cell r="B86" t="str">
            <v/>
          </cell>
        </row>
        <row r="87">
          <cell r="A87" t="str">
            <v/>
          </cell>
          <cell r="B87" t="str">
            <v/>
          </cell>
        </row>
        <row r="88">
          <cell r="A88" t="str">
            <v/>
          </cell>
          <cell r="B88" t="str">
            <v/>
          </cell>
        </row>
        <row r="89">
          <cell r="A89" t="str">
            <v/>
          </cell>
          <cell r="B89" t="str">
            <v/>
          </cell>
        </row>
        <row r="90">
          <cell r="A90" t="str">
            <v/>
          </cell>
          <cell r="B90" t="str">
            <v/>
          </cell>
        </row>
        <row r="91">
          <cell r="A91" t="str">
            <v/>
          </cell>
          <cell r="B91" t="str">
            <v/>
          </cell>
        </row>
        <row r="92">
          <cell r="A92" t="str">
            <v/>
          </cell>
          <cell r="B92" t="str">
            <v/>
          </cell>
        </row>
        <row r="93">
          <cell r="A93" t="str">
            <v/>
          </cell>
          <cell r="B93" t="str">
            <v/>
          </cell>
        </row>
        <row r="94">
          <cell r="A94" t="str">
            <v/>
          </cell>
          <cell r="B94" t="str">
            <v/>
          </cell>
        </row>
        <row r="95">
          <cell r="A95" t="str">
            <v/>
          </cell>
          <cell r="B95" t="str">
            <v/>
          </cell>
        </row>
        <row r="96">
          <cell r="A96" t="str">
            <v/>
          </cell>
          <cell r="B96" t="str">
            <v/>
          </cell>
        </row>
        <row r="97">
          <cell r="A97" t="str">
            <v/>
          </cell>
          <cell r="B97" t="str">
            <v/>
          </cell>
        </row>
        <row r="98">
          <cell r="A98" t="str">
            <v/>
          </cell>
          <cell r="B98" t="str">
            <v/>
          </cell>
        </row>
        <row r="99">
          <cell r="A99" t="str">
            <v/>
          </cell>
          <cell r="B99" t="str">
            <v/>
          </cell>
        </row>
        <row r="100">
          <cell r="A100" t="str">
            <v/>
          </cell>
          <cell r="B100" t="str">
            <v/>
          </cell>
        </row>
        <row r="101">
          <cell r="A101" t="str">
            <v/>
          </cell>
          <cell r="B101" t="str">
            <v/>
          </cell>
        </row>
      </sheetData>
      <sheetData sheetId="5" refreshError="1">
        <row r="4">
          <cell r="C4" t="str">
            <v>201 East Chestnut Condo</v>
          </cell>
        </row>
      </sheetData>
      <sheetData sheetId="6" refreshError="1">
        <row r="1">
          <cell r="F1" t="str">
            <v>0</v>
          </cell>
        </row>
        <row r="7">
          <cell r="A7" t="str">
            <v>ACCT INDICATOR</v>
          </cell>
          <cell r="F7" t="str">
            <v>GL</v>
          </cell>
          <cell r="G7" t="str">
            <v>AI</v>
          </cell>
          <cell r="H7" t="str">
            <v>SGN</v>
          </cell>
          <cell r="I7" t="str">
            <v>DESCRIPTION</v>
          </cell>
          <cell r="J7" t="str">
            <v>DESCRIPTION</v>
          </cell>
          <cell r="K7" t="str">
            <v>2008 BUDGET</v>
          </cell>
          <cell r="L7" t="str">
            <v>2008 ACTUAL</v>
          </cell>
          <cell r="M7" t="str">
            <v>2009 BUDGET</v>
          </cell>
          <cell r="N7" t="str">
            <v>2009 PROJECTED</v>
          </cell>
          <cell r="O7" t="str">
            <v>2010 BUDGET</v>
          </cell>
          <cell r="P7" t="str">
            <v>VARIANCE $
(BUDGET)</v>
          </cell>
          <cell r="Q7" t="str">
            <v>VARIANCE %
(BUDGET)</v>
          </cell>
          <cell r="R7" t="str">
            <v>NOTES</v>
          </cell>
          <cell r="S7" t="str">
            <v>VENDOR NAME</v>
          </cell>
          <cell r="T7" t="str">
            <v>CONTRACT START</v>
          </cell>
          <cell r="U7" t="str">
            <v>CONTRACT END</v>
          </cell>
          <cell r="V7" t="str">
            <v>CONTRACT AMOUNT</v>
          </cell>
          <cell r="W7" t="str">
            <v>Evaluate 0z</v>
          </cell>
          <cell r="X7" t="str">
            <v>Eval Positive Income</v>
          </cell>
          <cell r="Y7" t="str">
            <v>EVAL FILTER</v>
          </cell>
          <cell r="Z7" t="str">
            <v>Notes Check</v>
          </cell>
          <cell r="AA7" t="str">
            <v>No Notes</v>
          </cell>
        </row>
        <row r="8">
          <cell r="A8" t="str">
            <v>A</v>
          </cell>
          <cell r="F8" t="str">
            <v>4009</v>
          </cell>
          <cell r="G8" t="str">
            <v>A</v>
          </cell>
          <cell r="H8">
            <v>1</v>
          </cell>
          <cell r="I8" t="str">
            <v>Assessments, Res 1</v>
          </cell>
          <cell r="J8" t="str">
            <v>Assessments, Res 1</v>
          </cell>
          <cell r="K8">
            <v>0</v>
          </cell>
          <cell r="L8">
            <v>0</v>
          </cell>
          <cell r="M8">
            <v>0</v>
          </cell>
          <cell r="N8">
            <v>0</v>
          </cell>
          <cell r="O8">
            <v>0</v>
          </cell>
          <cell r="P8">
            <v>0</v>
          </cell>
          <cell r="Q8" t="str">
            <v/>
          </cell>
          <cell r="R8" t="str">
            <v/>
          </cell>
          <cell r="S8" t="str">
            <v/>
          </cell>
          <cell r="T8" t="str">
            <v/>
          </cell>
          <cell r="U8" t="str">
            <v/>
          </cell>
          <cell r="V8" t="str">
            <v/>
          </cell>
          <cell r="W8">
            <v>0</v>
          </cell>
          <cell r="X8">
            <v>0</v>
          </cell>
          <cell r="Y8" t="str">
            <v/>
          </cell>
          <cell r="Z8" t="str">
            <v>BUY</v>
          </cell>
          <cell r="AA8" t="str">
            <v/>
          </cell>
        </row>
        <row r="9">
          <cell r="A9" t="str">
            <v>A</v>
          </cell>
          <cell r="F9" t="str">
            <v>4010</v>
          </cell>
          <cell r="G9" t="str">
            <v>A</v>
          </cell>
          <cell r="H9">
            <v>1</v>
          </cell>
          <cell r="I9" t="str">
            <v>Assessments - Regular</v>
          </cell>
          <cell r="J9" t="str">
            <v>Assessments - Regular</v>
          </cell>
          <cell r="K9">
            <v>0</v>
          </cell>
          <cell r="L9">
            <v>0</v>
          </cell>
          <cell r="M9">
            <v>-969828</v>
          </cell>
          <cell r="N9">
            <v>-969829</v>
          </cell>
          <cell r="O9">
            <v>-998922.05</v>
          </cell>
          <cell r="P9">
            <v>-29094.050000000047</v>
          </cell>
          <cell r="Q9">
            <v>2.9999185422569852E-2</v>
          </cell>
          <cell r="R9" t="str">
            <v>GL 4001 Regular Assessments</v>
          </cell>
          <cell r="S9" t="str">
            <v/>
          </cell>
          <cell r="T9" t="str">
            <v/>
          </cell>
          <cell r="U9" t="str">
            <v/>
          </cell>
          <cell r="V9" t="str">
            <v/>
          </cell>
          <cell r="W9">
            <v>-2938579.05</v>
          </cell>
          <cell r="X9">
            <v>0</v>
          </cell>
          <cell r="Y9" t="str">
            <v>A</v>
          </cell>
          <cell r="Z9" t="str">
            <v>BUY</v>
          </cell>
          <cell r="AA9" t="str">
            <v/>
          </cell>
        </row>
        <row r="10">
          <cell r="A10" t="str">
            <v>A</v>
          </cell>
          <cell r="F10" t="str">
            <v>4010-1</v>
          </cell>
          <cell r="G10" t="str">
            <v>A</v>
          </cell>
          <cell r="H10">
            <v>2</v>
          </cell>
          <cell r="I10" t="str">
            <v>Other Assessment Inc</v>
          </cell>
          <cell r="J10" t="str">
            <v>Other Assessment Inc</v>
          </cell>
          <cell r="K10">
            <v>0</v>
          </cell>
          <cell r="L10">
            <v>0</v>
          </cell>
          <cell r="M10">
            <v>0</v>
          </cell>
          <cell r="N10">
            <v>0</v>
          </cell>
          <cell r="O10">
            <v>0</v>
          </cell>
          <cell r="P10">
            <v>0</v>
          </cell>
          <cell r="Q10" t="str">
            <v/>
          </cell>
          <cell r="R10" t="str">
            <v/>
          </cell>
          <cell r="S10" t="str">
            <v/>
          </cell>
          <cell r="T10" t="str">
            <v/>
          </cell>
          <cell r="U10" t="str">
            <v/>
          </cell>
          <cell r="V10" t="str">
            <v/>
          </cell>
          <cell r="W10">
            <v>0</v>
          </cell>
          <cell r="X10">
            <v>0</v>
          </cell>
          <cell r="Y10" t="str">
            <v/>
          </cell>
          <cell r="Z10" t="str">
            <v>BUY</v>
          </cell>
          <cell r="AA10" t="str">
            <v/>
          </cell>
        </row>
        <row r="11">
          <cell r="A11" t="str">
            <v>A</v>
          </cell>
          <cell r="F11" t="str">
            <v>4010-2</v>
          </cell>
          <cell r="G11" t="str">
            <v>A</v>
          </cell>
          <cell r="H11">
            <v>2</v>
          </cell>
          <cell r="I11" t="str">
            <v>Other Assessment Inc</v>
          </cell>
          <cell r="J11" t="str">
            <v>Other Assessment Inc</v>
          </cell>
          <cell r="K11">
            <v>0</v>
          </cell>
          <cell r="L11">
            <v>0</v>
          </cell>
          <cell r="M11">
            <v>0</v>
          </cell>
          <cell r="N11">
            <v>0</v>
          </cell>
          <cell r="O11">
            <v>0</v>
          </cell>
          <cell r="P11">
            <v>0</v>
          </cell>
          <cell r="Q11" t="str">
            <v/>
          </cell>
          <cell r="R11" t="str">
            <v/>
          </cell>
          <cell r="S11" t="str">
            <v/>
          </cell>
          <cell r="T11" t="str">
            <v/>
          </cell>
          <cell r="U11" t="str">
            <v/>
          </cell>
          <cell r="V11" t="str">
            <v/>
          </cell>
          <cell r="W11">
            <v>0</v>
          </cell>
          <cell r="X11">
            <v>0</v>
          </cell>
          <cell r="Y11" t="str">
            <v/>
          </cell>
          <cell r="Z11" t="str">
            <v>BUY</v>
          </cell>
          <cell r="AA11" t="str">
            <v/>
          </cell>
        </row>
        <row r="12">
          <cell r="A12" t="str">
            <v>A</v>
          </cell>
          <cell r="F12" t="str">
            <v>4010-3</v>
          </cell>
          <cell r="G12" t="str">
            <v>A</v>
          </cell>
          <cell r="H12">
            <v>2</v>
          </cell>
          <cell r="I12" t="str">
            <v>Other Assessment Inc</v>
          </cell>
          <cell r="J12" t="str">
            <v>Other Assessment Inc</v>
          </cell>
          <cell r="K12">
            <v>0</v>
          </cell>
          <cell r="L12">
            <v>0</v>
          </cell>
          <cell r="M12">
            <v>0</v>
          </cell>
          <cell r="N12">
            <v>0</v>
          </cell>
          <cell r="O12">
            <v>0</v>
          </cell>
          <cell r="P12">
            <v>0</v>
          </cell>
          <cell r="Q12" t="str">
            <v/>
          </cell>
          <cell r="R12" t="str">
            <v/>
          </cell>
          <cell r="S12" t="str">
            <v/>
          </cell>
          <cell r="T12" t="str">
            <v/>
          </cell>
          <cell r="U12" t="str">
            <v/>
          </cell>
          <cell r="V12" t="str">
            <v/>
          </cell>
          <cell r="W12">
            <v>0</v>
          </cell>
          <cell r="X12">
            <v>0</v>
          </cell>
          <cell r="Y12" t="str">
            <v/>
          </cell>
          <cell r="Z12" t="str">
            <v>BUY</v>
          </cell>
          <cell r="AA12" t="str">
            <v/>
          </cell>
        </row>
        <row r="13">
          <cell r="A13" t="str">
            <v>A</v>
          </cell>
          <cell r="F13" t="str">
            <v>4010-4</v>
          </cell>
          <cell r="G13" t="str">
            <v>A</v>
          </cell>
          <cell r="H13">
            <v>2</v>
          </cell>
          <cell r="I13" t="str">
            <v>Other Assessment Inc</v>
          </cell>
          <cell r="J13" t="str">
            <v>Other Assessment Inc</v>
          </cell>
          <cell r="K13">
            <v>0</v>
          </cell>
          <cell r="L13">
            <v>0</v>
          </cell>
          <cell r="M13">
            <v>0</v>
          </cell>
          <cell r="N13">
            <v>0</v>
          </cell>
          <cell r="O13">
            <v>0</v>
          </cell>
          <cell r="P13">
            <v>0</v>
          </cell>
          <cell r="Q13" t="str">
            <v/>
          </cell>
          <cell r="R13" t="str">
            <v/>
          </cell>
          <cell r="S13" t="str">
            <v/>
          </cell>
          <cell r="T13" t="str">
            <v/>
          </cell>
          <cell r="U13" t="str">
            <v/>
          </cell>
          <cell r="V13" t="str">
            <v/>
          </cell>
          <cell r="W13">
            <v>0</v>
          </cell>
          <cell r="X13">
            <v>0</v>
          </cell>
          <cell r="Y13" t="str">
            <v/>
          </cell>
          <cell r="Z13" t="str">
            <v>BUY</v>
          </cell>
          <cell r="AA13" t="str">
            <v/>
          </cell>
        </row>
        <row r="14">
          <cell r="A14" t="str">
            <v>A</v>
          </cell>
          <cell r="F14" t="str">
            <v>4010-5</v>
          </cell>
          <cell r="G14" t="str">
            <v>A</v>
          </cell>
          <cell r="H14">
            <v>2</v>
          </cell>
          <cell r="I14" t="str">
            <v>Other Assessment Inc</v>
          </cell>
          <cell r="J14" t="str">
            <v>Other Assessment Inc</v>
          </cell>
          <cell r="K14">
            <v>0</v>
          </cell>
          <cell r="L14">
            <v>0</v>
          </cell>
          <cell r="M14">
            <v>0</v>
          </cell>
          <cell r="N14">
            <v>0</v>
          </cell>
          <cell r="O14">
            <v>0</v>
          </cell>
          <cell r="P14">
            <v>0</v>
          </cell>
          <cell r="Q14" t="str">
            <v/>
          </cell>
          <cell r="R14" t="str">
            <v/>
          </cell>
          <cell r="S14" t="str">
            <v/>
          </cell>
          <cell r="T14" t="str">
            <v/>
          </cell>
          <cell r="U14" t="str">
            <v/>
          </cell>
          <cell r="V14" t="str">
            <v/>
          </cell>
          <cell r="W14">
            <v>0</v>
          </cell>
          <cell r="X14">
            <v>0</v>
          </cell>
          <cell r="Y14" t="str">
            <v/>
          </cell>
          <cell r="Z14" t="str">
            <v>BUY</v>
          </cell>
          <cell r="AA14" t="str">
            <v/>
          </cell>
        </row>
        <row r="15">
          <cell r="A15" t="str">
            <v>A</v>
          </cell>
          <cell r="F15" t="str">
            <v>4011</v>
          </cell>
          <cell r="G15" t="str">
            <v>A</v>
          </cell>
          <cell r="H15">
            <v>2</v>
          </cell>
          <cell r="I15" t="str">
            <v>Operating Special Ast</v>
          </cell>
          <cell r="J15" t="str">
            <v>Operating Special Ast</v>
          </cell>
          <cell r="K15">
            <v>0</v>
          </cell>
          <cell r="L15">
            <v>0</v>
          </cell>
          <cell r="M15">
            <v>0</v>
          </cell>
          <cell r="N15">
            <v>0</v>
          </cell>
          <cell r="O15">
            <v>0</v>
          </cell>
          <cell r="P15">
            <v>0</v>
          </cell>
          <cell r="Q15" t="str">
            <v/>
          </cell>
          <cell r="R15" t="str">
            <v/>
          </cell>
          <cell r="S15" t="str">
            <v/>
          </cell>
          <cell r="T15" t="str">
            <v/>
          </cell>
          <cell r="U15" t="str">
            <v/>
          </cell>
          <cell r="V15" t="str">
            <v/>
          </cell>
          <cell r="W15">
            <v>0</v>
          </cell>
          <cell r="X15">
            <v>0</v>
          </cell>
          <cell r="Y15" t="str">
            <v/>
          </cell>
          <cell r="Z15" t="str">
            <v>BUY</v>
          </cell>
          <cell r="AA15" t="str">
            <v/>
          </cell>
        </row>
        <row r="16">
          <cell r="A16" t="str">
            <v>A</v>
          </cell>
          <cell r="F16" t="str">
            <v>4011-1</v>
          </cell>
          <cell r="G16" t="str">
            <v>A</v>
          </cell>
          <cell r="H16">
            <v>2</v>
          </cell>
          <cell r="I16" t="str">
            <v>Other Reserve Assmt</v>
          </cell>
          <cell r="J16" t="str">
            <v>Other Reserve Assmt</v>
          </cell>
          <cell r="K16">
            <v>0</v>
          </cell>
          <cell r="L16">
            <v>0</v>
          </cell>
          <cell r="M16">
            <v>0</v>
          </cell>
          <cell r="N16">
            <v>0</v>
          </cell>
          <cell r="O16">
            <v>0</v>
          </cell>
          <cell r="P16">
            <v>0</v>
          </cell>
          <cell r="Q16" t="str">
            <v/>
          </cell>
          <cell r="R16" t="str">
            <v/>
          </cell>
          <cell r="S16" t="str">
            <v/>
          </cell>
          <cell r="T16" t="str">
            <v/>
          </cell>
          <cell r="U16" t="str">
            <v/>
          </cell>
          <cell r="V16" t="str">
            <v/>
          </cell>
          <cell r="W16">
            <v>0</v>
          </cell>
          <cell r="X16">
            <v>0</v>
          </cell>
          <cell r="Y16" t="str">
            <v/>
          </cell>
          <cell r="Z16" t="str">
            <v>BUY</v>
          </cell>
          <cell r="AA16" t="str">
            <v/>
          </cell>
        </row>
        <row r="17">
          <cell r="A17" t="str">
            <v>A</v>
          </cell>
          <cell r="F17" t="str">
            <v>4011-2</v>
          </cell>
          <cell r="G17" t="str">
            <v>A</v>
          </cell>
          <cell r="H17">
            <v>2</v>
          </cell>
          <cell r="I17" t="str">
            <v>Other Reserve Assmt</v>
          </cell>
          <cell r="J17" t="str">
            <v>Other Reserve Assmt</v>
          </cell>
          <cell r="K17">
            <v>0</v>
          </cell>
          <cell r="L17">
            <v>0</v>
          </cell>
          <cell r="M17">
            <v>0</v>
          </cell>
          <cell r="N17">
            <v>0</v>
          </cell>
          <cell r="O17">
            <v>0</v>
          </cell>
          <cell r="P17">
            <v>0</v>
          </cell>
          <cell r="Q17" t="str">
            <v/>
          </cell>
          <cell r="R17" t="str">
            <v/>
          </cell>
          <cell r="S17" t="str">
            <v/>
          </cell>
          <cell r="T17" t="str">
            <v/>
          </cell>
          <cell r="U17" t="str">
            <v/>
          </cell>
          <cell r="V17" t="str">
            <v/>
          </cell>
          <cell r="W17">
            <v>0</v>
          </cell>
          <cell r="X17">
            <v>0</v>
          </cell>
          <cell r="Y17" t="str">
            <v/>
          </cell>
          <cell r="Z17" t="str">
            <v>BUY</v>
          </cell>
          <cell r="AA17" t="str">
            <v/>
          </cell>
        </row>
        <row r="18">
          <cell r="A18" t="str">
            <v>A</v>
          </cell>
          <cell r="F18" t="str">
            <v>4011-3</v>
          </cell>
          <cell r="G18" t="str">
            <v>A</v>
          </cell>
          <cell r="H18">
            <v>2</v>
          </cell>
          <cell r="I18" t="str">
            <v>Other Reserve Assmt</v>
          </cell>
          <cell r="J18" t="str">
            <v>Other Reserve Assmt</v>
          </cell>
          <cell r="K18">
            <v>0</v>
          </cell>
          <cell r="L18">
            <v>0</v>
          </cell>
          <cell r="M18">
            <v>0</v>
          </cell>
          <cell r="N18">
            <v>0</v>
          </cell>
          <cell r="O18">
            <v>0</v>
          </cell>
          <cell r="P18">
            <v>0</v>
          </cell>
          <cell r="Q18" t="str">
            <v/>
          </cell>
          <cell r="R18" t="str">
            <v/>
          </cell>
          <cell r="S18" t="str">
            <v/>
          </cell>
          <cell r="T18" t="str">
            <v/>
          </cell>
          <cell r="U18" t="str">
            <v/>
          </cell>
          <cell r="V18" t="str">
            <v/>
          </cell>
          <cell r="W18">
            <v>0</v>
          </cell>
          <cell r="X18">
            <v>0</v>
          </cell>
          <cell r="Y18" t="str">
            <v/>
          </cell>
          <cell r="Z18" t="str">
            <v>BUY</v>
          </cell>
          <cell r="AA18" t="str">
            <v/>
          </cell>
        </row>
        <row r="19">
          <cell r="A19" t="str">
            <v>A</v>
          </cell>
          <cell r="F19" t="str">
            <v>4011-4</v>
          </cell>
          <cell r="G19" t="str">
            <v>A</v>
          </cell>
          <cell r="H19">
            <v>2</v>
          </cell>
          <cell r="I19" t="str">
            <v>Other Reserve Assmt</v>
          </cell>
          <cell r="J19" t="str">
            <v>Other Reserve Assmt</v>
          </cell>
          <cell r="K19">
            <v>0</v>
          </cell>
          <cell r="L19">
            <v>0</v>
          </cell>
          <cell r="M19">
            <v>0</v>
          </cell>
          <cell r="N19">
            <v>0</v>
          </cell>
          <cell r="O19">
            <v>0</v>
          </cell>
          <cell r="P19">
            <v>0</v>
          </cell>
          <cell r="Q19" t="str">
            <v/>
          </cell>
          <cell r="R19" t="str">
            <v/>
          </cell>
          <cell r="S19" t="str">
            <v/>
          </cell>
          <cell r="T19" t="str">
            <v/>
          </cell>
          <cell r="U19" t="str">
            <v/>
          </cell>
          <cell r="V19" t="str">
            <v/>
          </cell>
          <cell r="W19">
            <v>0</v>
          </cell>
          <cell r="X19">
            <v>0</v>
          </cell>
          <cell r="Y19" t="str">
            <v/>
          </cell>
          <cell r="Z19" t="str">
            <v>BUY</v>
          </cell>
          <cell r="AA19" t="str">
            <v/>
          </cell>
        </row>
        <row r="20">
          <cell r="A20" t="str">
            <v>A</v>
          </cell>
          <cell r="F20" t="str">
            <v>4012</v>
          </cell>
          <cell r="G20" t="str">
            <v>A</v>
          </cell>
          <cell r="H20">
            <v>2</v>
          </cell>
          <cell r="I20" t="str">
            <v>Prior Year Assessments</v>
          </cell>
          <cell r="J20" t="str">
            <v>Prior Year Assessments</v>
          </cell>
          <cell r="K20">
            <v>0</v>
          </cell>
          <cell r="L20">
            <v>0</v>
          </cell>
          <cell r="M20">
            <v>0</v>
          </cell>
          <cell r="N20">
            <v>0</v>
          </cell>
          <cell r="O20">
            <v>0</v>
          </cell>
          <cell r="P20">
            <v>0</v>
          </cell>
          <cell r="Q20" t="str">
            <v/>
          </cell>
          <cell r="R20" t="str">
            <v/>
          </cell>
          <cell r="S20" t="str">
            <v/>
          </cell>
          <cell r="T20" t="str">
            <v/>
          </cell>
          <cell r="U20" t="str">
            <v/>
          </cell>
          <cell r="V20" t="str">
            <v/>
          </cell>
          <cell r="W20">
            <v>0</v>
          </cell>
          <cell r="X20">
            <v>0</v>
          </cell>
          <cell r="Y20" t="str">
            <v/>
          </cell>
          <cell r="Z20" t="str">
            <v>BUY</v>
          </cell>
          <cell r="AA20" t="str">
            <v/>
          </cell>
        </row>
        <row r="21">
          <cell r="A21" t="str">
            <v>A</v>
          </cell>
          <cell r="F21" t="str">
            <v>4013</v>
          </cell>
          <cell r="G21" t="str">
            <v>A</v>
          </cell>
          <cell r="H21">
            <v>2</v>
          </cell>
          <cell r="I21" t="str">
            <v>Community Assn Fees</v>
          </cell>
          <cell r="J21" t="str">
            <v>Community Assn Fees</v>
          </cell>
          <cell r="K21">
            <v>0</v>
          </cell>
          <cell r="L21">
            <v>0</v>
          </cell>
          <cell r="M21">
            <v>0</v>
          </cell>
          <cell r="N21">
            <v>0</v>
          </cell>
          <cell r="O21">
            <v>0</v>
          </cell>
          <cell r="P21">
            <v>0</v>
          </cell>
          <cell r="Q21" t="str">
            <v/>
          </cell>
          <cell r="R21" t="str">
            <v/>
          </cell>
          <cell r="S21" t="str">
            <v/>
          </cell>
          <cell r="T21" t="str">
            <v/>
          </cell>
          <cell r="U21" t="str">
            <v/>
          </cell>
          <cell r="V21" t="str">
            <v/>
          </cell>
          <cell r="W21">
            <v>0</v>
          </cell>
          <cell r="X21">
            <v>0</v>
          </cell>
          <cell r="Y21" t="str">
            <v/>
          </cell>
          <cell r="Z21" t="str">
            <v>BUY</v>
          </cell>
          <cell r="AA21" t="str">
            <v/>
          </cell>
        </row>
        <row r="22">
          <cell r="A22" t="str">
            <v>A</v>
          </cell>
          <cell r="F22" t="str">
            <v>4015</v>
          </cell>
          <cell r="G22" t="str">
            <v>A</v>
          </cell>
          <cell r="H22">
            <v>2</v>
          </cell>
          <cell r="I22" t="str">
            <v>Commercial CAM Reimb</v>
          </cell>
          <cell r="J22" t="str">
            <v>Commercial CAM Reimb</v>
          </cell>
          <cell r="K22">
            <v>0</v>
          </cell>
          <cell r="L22">
            <v>0</v>
          </cell>
          <cell r="M22">
            <v>89952</v>
          </cell>
          <cell r="N22">
            <v>90410</v>
          </cell>
          <cell r="O22">
            <v>94150</v>
          </cell>
          <cell r="P22">
            <v>4198</v>
          </cell>
          <cell r="Q22">
            <v>4.6669334756314518E-2</v>
          </cell>
          <cell r="R22" t="str">
            <v>GL 4009 Assessment payments for garage/commercial space including overall budget increase plus 3% increase due to overall assessment increase.  $1500 added to cover assessments for unit 9E</v>
          </cell>
          <cell r="S22" t="str">
            <v/>
          </cell>
          <cell r="T22" t="str">
            <v/>
          </cell>
          <cell r="U22" t="str">
            <v/>
          </cell>
          <cell r="V22" t="str">
            <v/>
          </cell>
          <cell r="W22">
            <v>274512</v>
          </cell>
          <cell r="X22">
            <v>1</v>
          </cell>
          <cell r="Y22" t="str">
            <v>A</v>
          </cell>
          <cell r="Z22" t="str">
            <v>BUY</v>
          </cell>
          <cell r="AA22" t="str">
            <v/>
          </cell>
        </row>
        <row r="23">
          <cell r="A23" t="str">
            <v>A</v>
          </cell>
          <cell r="F23" t="str">
            <v>4020</v>
          </cell>
          <cell r="G23" t="str">
            <v>A</v>
          </cell>
          <cell r="H23">
            <v>2</v>
          </cell>
          <cell r="I23" t="str">
            <v>Late Charges</v>
          </cell>
          <cell r="J23" t="str">
            <v>Late Charges</v>
          </cell>
          <cell r="K23">
            <v>0</v>
          </cell>
          <cell r="L23">
            <v>0</v>
          </cell>
          <cell r="M23">
            <v>-3000</v>
          </cell>
          <cell r="N23">
            <v>-4300</v>
          </cell>
          <cell r="O23">
            <v>-3000</v>
          </cell>
          <cell r="P23">
            <v>0</v>
          </cell>
          <cell r="Q23">
            <v>0</v>
          </cell>
          <cell r="R23" t="str">
            <v>GL 4301 Budgeted 5 late fees per month at $50</v>
          </cell>
          <cell r="S23" t="str">
            <v/>
          </cell>
          <cell r="T23" t="str">
            <v/>
          </cell>
          <cell r="U23" t="str">
            <v/>
          </cell>
          <cell r="V23" t="str">
            <v/>
          </cell>
          <cell r="W23">
            <v>-10300</v>
          </cell>
          <cell r="X23">
            <v>0</v>
          </cell>
          <cell r="Y23" t="str">
            <v>A</v>
          </cell>
          <cell r="Z23" t="str">
            <v>BUY</v>
          </cell>
          <cell r="AA23" t="str">
            <v/>
          </cell>
        </row>
        <row r="24">
          <cell r="A24" t="str">
            <v>A</v>
          </cell>
          <cell r="F24" t="str">
            <v>4020-1</v>
          </cell>
          <cell r="G24" t="str">
            <v>A</v>
          </cell>
          <cell r="H24">
            <v>2</v>
          </cell>
          <cell r="I24" t="str">
            <v>Late Charges</v>
          </cell>
          <cell r="J24" t="str">
            <v>Late Charges</v>
          </cell>
          <cell r="K24">
            <v>0</v>
          </cell>
          <cell r="L24">
            <v>0</v>
          </cell>
          <cell r="M24">
            <v>0</v>
          </cell>
          <cell r="N24">
            <v>0</v>
          </cell>
          <cell r="O24">
            <v>0</v>
          </cell>
          <cell r="P24">
            <v>0</v>
          </cell>
          <cell r="Q24" t="str">
            <v/>
          </cell>
          <cell r="R24" t="str">
            <v/>
          </cell>
          <cell r="S24" t="str">
            <v/>
          </cell>
          <cell r="T24" t="str">
            <v/>
          </cell>
          <cell r="U24" t="str">
            <v/>
          </cell>
          <cell r="V24" t="str">
            <v/>
          </cell>
          <cell r="W24">
            <v>0</v>
          </cell>
          <cell r="X24">
            <v>0</v>
          </cell>
          <cell r="Y24" t="str">
            <v/>
          </cell>
          <cell r="Z24" t="str">
            <v>BUY</v>
          </cell>
          <cell r="AA24" t="str">
            <v/>
          </cell>
        </row>
        <row r="25">
          <cell r="A25" t="str">
            <v>A</v>
          </cell>
          <cell r="F25" t="str">
            <v>4020-2</v>
          </cell>
          <cell r="G25" t="str">
            <v>A</v>
          </cell>
          <cell r="H25">
            <v>2</v>
          </cell>
          <cell r="I25" t="str">
            <v>Late Charges</v>
          </cell>
          <cell r="J25" t="str">
            <v>Late Charges</v>
          </cell>
          <cell r="K25">
            <v>0</v>
          </cell>
          <cell r="L25">
            <v>0</v>
          </cell>
          <cell r="M25">
            <v>0</v>
          </cell>
          <cell r="N25">
            <v>0</v>
          </cell>
          <cell r="O25">
            <v>0</v>
          </cell>
          <cell r="P25">
            <v>0</v>
          </cell>
          <cell r="Q25" t="str">
            <v/>
          </cell>
          <cell r="R25" t="str">
            <v/>
          </cell>
          <cell r="S25" t="str">
            <v/>
          </cell>
          <cell r="T25" t="str">
            <v/>
          </cell>
          <cell r="U25" t="str">
            <v/>
          </cell>
          <cell r="V25" t="str">
            <v/>
          </cell>
          <cell r="W25">
            <v>0</v>
          </cell>
          <cell r="X25">
            <v>0</v>
          </cell>
          <cell r="Y25" t="str">
            <v/>
          </cell>
          <cell r="Z25" t="str">
            <v>BUY</v>
          </cell>
          <cell r="AA25" t="str">
            <v/>
          </cell>
        </row>
        <row r="26">
          <cell r="A26" t="str">
            <v>A</v>
          </cell>
          <cell r="F26" t="str">
            <v>4020-3</v>
          </cell>
          <cell r="G26" t="str">
            <v>A</v>
          </cell>
          <cell r="H26">
            <v>2</v>
          </cell>
          <cell r="I26" t="str">
            <v>Late Charges</v>
          </cell>
          <cell r="J26" t="str">
            <v>Late Charges</v>
          </cell>
          <cell r="K26">
            <v>0</v>
          </cell>
          <cell r="L26">
            <v>0</v>
          </cell>
          <cell r="M26">
            <v>0</v>
          </cell>
          <cell r="N26">
            <v>0</v>
          </cell>
          <cell r="O26">
            <v>0</v>
          </cell>
          <cell r="P26">
            <v>0</v>
          </cell>
          <cell r="Q26" t="str">
            <v/>
          </cell>
          <cell r="R26" t="str">
            <v/>
          </cell>
          <cell r="S26" t="str">
            <v/>
          </cell>
          <cell r="T26" t="str">
            <v/>
          </cell>
          <cell r="U26" t="str">
            <v/>
          </cell>
          <cell r="V26" t="str">
            <v/>
          </cell>
          <cell r="W26">
            <v>0</v>
          </cell>
          <cell r="X26">
            <v>0</v>
          </cell>
          <cell r="Y26" t="str">
            <v/>
          </cell>
          <cell r="Z26" t="str">
            <v>BUY</v>
          </cell>
          <cell r="AA26" t="str">
            <v/>
          </cell>
        </row>
        <row r="27">
          <cell r="A27" t="str">
            <v>A</v>
          </cell>
          <cell r="F27" t="str">
            <v>4020-4</v>
          </cell>
          <cell r="G27" t="str">
            <v>A</v>
          </cell>
          <cell r="H27">
            <v>2</v>
          </cell>
          <cell r="I27" t="str">
            <v>Late Charges</v>
          </cell>
          <cell r="J27" t="str">
            <v>Late Charges</v>
          </cell>
          <cell r="K27">
            <v>0</v>
          </cell>
          <cell r="L27">
            <v>0</v>
          </cell>
          <cell r="M27">
            <v>0</v>
          </cell>
          <cell r="N27">
            <v>0</v>
          </cell>
          <cell r="O27">
            <v>0</v>
          </cell>
          <cell r="P27">
            <v>0</v>
          </cell>
          <cell r="Q27" t="str">
            <v/>
          </cell>
          <cell r="R27" t="str">
            <v/>
          </cell>
          <cell r="S27" t="str">
            <v/>
          </cell>
          <cell r="T27" t="str">
            <v/>
          </cell>
          <cell r="U27" t="str">
            <v/>
          </cell>
          <cell r="V27" t="str">
            <v/>
          </cell>
          <cell r="W27">
            <v>0</v>
          </cell>
          <cell r="X27">
            <v>0</v>
          </cell>
          <cell r="Y27" t="str">
            <v/>
          </cell>
          <cell r="Z27" t="str">
            <v>BUY</v>
          </cell>
          <cell r="AA27" t="str">
            <v/>
          </cell>
        </row>
        <row r="28">
          <cell r="A28" t="str">
            <v>A</v>
          </cell>
          <cell r="F28" t="str">
            <v>4020-5</v>
          </cell>
          <cell r="G28" t="str">
            <v>A</v>
          </cell>
          <cell r="H28">
            <v>2</v>
          </cell>
          <cell r="I28" t="str">
            <v>Late Charges</v>
          </cell>
          <cell r="J28" t="str">
            <v>Late Charges</v>
          </cell>
          <cell r="K28">
            <v>0</v>
          </cell>
          <cell r="L28">
            <v>0</v>
          </cell>
          <cell r="M28">
            <v>0</v>
          </cell>
          <cell r="N28">
            <v>0</v>
          </cell>
          <cell r="O28">
            <v>0</v>
          </cell>
          <cell r="P28">
            <v>0</v>
          </cell>
          <cell r="Q28" t="str">
            <v/>
          </cell>
          <cell r="R28" t="str">
            <v/>
          </cell>
          <cell r="S28" t="str">
            <v/>
          </cell>
          <cell r="T28" t="str">
            <v/>
          </cell>
          <cell r="U28" t="str">
            <v/>
          </cell>
          <cell r="V28" t="str">
            <v/>
          </cell>
          <cell r="W28">
            <v>0</v>
          </cell>
          <cell r="X28">
            <v>0</v>
          </cell>
          <cell r="Y28" t="str">
            <v/>
          </cell>
          <cell r="Z28" t="str">
            <v>BUY</v>
          </cell>
          <cell r="AA28" t="str">
            <v/>
          </cell>
        </row>
        <row r="29">
          <cell r="A29" t="str">
            <v>A</v>
          </cell>
          <cell r="F29" t="str">
            <v>4021</v>
          </cell>
          <cell r="G29" t="str">
            <v>A</v>
          </cell>
          <cell r="H29">
            <v>2</v>
          </cell>
          <cell r="I29" t="str">
            <v>NSF Fees</v>
          </cell>
          <cell r="J29" t="str">
            <v>NSF Fees</v>
          </cell>
          <cell r="K29">
            <v>0</v>
          </cell>
          <cell r="L29">
            <v>0</v>
          </cell>
          <cell r="M29">
            <v>0</v>
          </cell>
          <cell r="N29">
            <v>0</v>
          </cell>
          <cell r="O29">
            <v>0</v>
          </cell>
          <cell r="P29">
            <v>0</v>
          </cell>
          <cell r="Q29" t="str">
            <v/>
          </cell>
          <cell r="R29" t="str">
            <v/>
          </cell>
          <cell r="S29" t="str">
            <v/>
          </cell>
          <cell r="T29" t="str">
            <v/>
          </cell>
          <cell r="U29" t="str">
            <v/>
          </cell>
          <cell r="V29" t="str">
            <v/>
          </cell>
          <cell r="W29">
            <v>0</v>
          </cell>
          <cell r="X29">
            <v>0</v>
          </cell>
          <cell r="Y29" t="str">
            <v/>
          </cell>
          <cell r="Z29" t="str">
            <v>BUY</v>
          </cell>
          <cell r="AA29" t="str">
            <v/>
          </cell>
        </row>
        <row r="30">
          <cell r="A30" t="str">
            <v>A</v>
          </cell>
          <cell r="F30" t="str">
            <v>4030</v>
          </cell>
          <cell r="G30" t="str">
            <v>A</v>
          </cell>
          <cell r="H30">
            <v>2</v>
          </cell>
          <cell r="I30" t="str">
            <v>Move In/Move Out Fees</v>
          </cell>
          <cell r="J30" t="str">
            <v>Move In/Move Out Fees</v>
          </cell>
          <cell r="K30">
            <v>0</v>
          </cell>
          <cell r="L30">
            <v>0</v>
          </cell>
          <cell r="M30">
            <v>-2100</v>
          </cell>
          <cell r="N30">
            <v>-1650</v>
          </cell>
          <cell r="O30">
            <v>-2100</v>
          </cell>
          <cell r="P30">
            <v>0</v>
          </cell>
          <cell r="Q30">
            <v>0</v>
          </cell>
          <cell r="R30" t="str">
            <v>GL 4222 All move-ins/outs require a $500 refunadable deposit and $350 non-refundable. Six units at $350= $2,100.</v>
          </cell>
          <cell r="S30" t="str">
            <v/>
          </cell>
          <cell r="T30" t="str">
            <v/>
          </cell>
          <cell r="U30" t="str">
            <v/>
          </cell>
          <cell r="V30" t="str">
            <v/>
          </cell>
          <cell r="W30">
            <v>-5850</v>
          </cell>
          <cell r="X30">
            <v>0</v>
          </cell>
          <cell r="Y30" t="str">
            <v>A</v>
          </cell>
          <cell r="Z30" t="str">
            <v>BUY</v>
          </cell>
          <cell r="AA30" t="str">
            <v/>
          </cell>
        </row>
        <row r="31">
          <cell r="A31" t="str">
            <v>A</v>
          </cell>
          <cell r="F31" t="str">
            <v>4040</v>
          </cell>
          <cell r="G31" t="str">
            <v>A</v>
          </cell>
          <cell r="H31">
            <v>2</v>
          </cell>
          <cell r="I31" t="str">
            <v>Garage/Parking Fees</v>
          </cell>
          <cell r="J31" t="str">
            <v>Garage/Parking Fees</v>
          </cell>
          <cell r="K31">
            <v>0</v>
          </cell>
          <cell r="L31">
            <v>0</v>
          </cell>
          <cell r="M31">
            <v>-60000</v>
          </cell>
          <cell r="N31">
            <v>-61892</v>
          </cell>
          <cell r="O31">
            <v>-65000</v>
          </cell>
          <cell r="P31">
            <v>-5000</v>
          </cell>
          <cell r="Q31">
            <v>8.3333333333333259E-2</v>
          </cell>
          <cell r="R31" t="str">
            <v>GL 4312 10/2009 will be first month without building gas bill in parking income. Continue to budget at $65,000 per Board</v>
          </cell>
          <cell r="S31" t="str">
            <v>Pioneer Parking</v>
          </cell>
          <cell r="W31">
            <v>-186892</v>
          </cell>
          <cell r="X31">
            <v>0</v>
          </cell>
          <cell r="Y31" t="str">
            <v>A</v>
          </cell>
          <cell r="Z31" t="str">
            <v>BUY</v>
          </cell>
          <cell r="AA31" t="str">
            <v/>
          </cell>
        </row>
        <row r="32">
          <cell r="A32" t="str">
            <v>A</v>
          </cell>
          <cell r="F32" t="str">
            <v>4040-1</v>
          </cell>
          <cell r="G32" t="str">
            <v>A</v>
          </cell>
          <cell r="H32">
            <v>2</v>
          </cell>
          <cell r="I32" t="str">
            <v>Other Parking Income</v>
          </cell>
          <cell r="J32" t="str">
            <v>Other Parking Income</v>
          </cell>
          <cell r="K32">
            <v>0</v>
          </cell>
          <cell r="L32">
            <v>0</v>
          </cell>
          <cell r="M32">
            <v>0</v>
          </cell>
          <cell r="N32">
            <v>0</v>
          </cell>
          <cell r="O32">
            <v>0</v>
          </cell>
          <cell r="P32">
            <v>0</v>
          </cell>
          <cell r="Q32" t="str">
            <v/>
          </cell>
          <cell r="R32" t="str">
            <v/>
          </cell>
          <cell r="S32" t="str">
            <v/>
          </cell>
          <cell r="T32" t="str">
            <v/>
          </cell>
          <cell r="U32" t="str">
            <v/>
          </cell>
          <cell r="V32" t="str">
            <v/>
          </cell>
          <cell r="W32">
            <v>0</v>
          </cell>
          <cell r="X32">
            <v>0</v>
          </cell>
          <cell r="Y32" t="str">
            <v/>
          </cell>
          <cell r="Z32" t="str">
            <v>BUY</v>
          </cell>
          <cell r="AA32" t="str">
            <v/>
          </cell>
        </row>
        <row r="33">
          <cell r="A33" t="str">
            <v>A</v>
          </cell>
          <cell r="F33" t="str">
            <v>4040-2</v>
          </cell>
          <cell r="G33" t="str">
            <v>A</v>
          </cell>
          <cell r="H33">
            <v>2</v>
          </cell>
          <cell r="I33" t="str">
            <v>Other Parking Income</v>
          </cell>
          <cell r="J33" t="str">
            <v>Other Parking Income</v>
          </cell>
          <cell r="K33">
            <v>0</v>
          </cell>
          <cell r="L33">
            <v>0</v>
          </cell>
          <cell r="M33">
            <v>0</v>
          </cell>
          <cell r="N33">
            <v>0</v>
          </cell>
          <cell r="O33">
            <v>0</v>
          </cell>
          <cell r="P33">
            <v>0</v>
          </cell>
          <cell r="Q33" t="str">
            <v/>
          </cell>
          <cell r="R33" t="str">
            <v/>
          </cell>
          <cell r="S33" t="str">
            <v/>
          </cell>
          <cell r="T33" t="str">
            <v/>
          </cell>
          <cell r="U33" t="str">
            <v/>
          </cell>
          <cell r="V33" t="str">
            <v/>
          </cell>
          <cell r="W33">
            <v>0</v>
          </cell>
          <cell r="X33">
            <v>0</v>
          </cell>
          <cell r="Y33" t="str">
            <v/>
          </cell>
          <cell r="Z33" t="str">
            <v>BUY</v>
          </cell>
          <cell r="AA33" t="str">
            <v/>
          </cell>
        </row>
        <row r="34">
          <cell r="A34" t="str">
            <v>A</v>
          </cell>
          <cell r="F34" t="str">
            <v>4040-3</v>
          </cell>
          <cell r="G34" t="str">
            <v>A</v>
          </cell>
          <cell r="H34">
            <v>2</v>
          </cell>
          <cell r="I34" t="str">
            <v>Other Parking Income</v>
          </cell>
          <cell r="J34" t="str">
            <v>Other Parking Income</v>
          </cell>
          <cell r="K34">
            <v>0</v>
          </cell>
          <cell r="L34">
            <v>0</v>
          </cell>
          <cell r="M34">
            <v>0</v>
          </cell>
          <cell r="N34">
            <v>0</v>
          </cell>
          <cell r="O34">
            <v>0</v>
          </cell>
          <cell r="P34">
            <v>0</v>
          </cell>
          <cell r="Q34" t="str">
            <v/>
          </cell>
          <cell r="R34" t="str">
            <v/>
          </cell>
          <cell r="S34" t="str">
            <v/>
          </cell>
          <cell r="T34" t="str">
            <v/>
          </cell>
          <cell r="U34" t="str">
            <v/>
          </cell>
          <cell r="V34" t="str">
            <v/>
          </cell>
          <cell r="W34">
            <v>0</v>
          </cell>
          <cell r="X34">
            <v>0</v>
          </cell>
          <cell r="Y34" t="str">
            <v/>
          </cell>
          <cell r="Z34" t="str">
            <v>BUY</v>
          </cell>
          <cell r="AA34" t="str">
            <v/>
          </cell>
        </row>
        <row r="35">
          <cell r="A35" t="str">
            <v>A</v>
          </cell>
          <cell r="F35" t="str">
            <v>4040-4</v>
          </cell>
          <cell r="G35" t="str">
            <v>A</v>
          </cell>
          <cell r="H35">
            <v>2</v>
          </cell>
          <cell r="I35" t="str">
            <v>Other Parking Income</v>
          </cell>
          <cell r="J35" t="str">
            <v>Other Parking Income</v>
          </cell>
          <cell r="K35">
            <v>0</v>
          </cell>
          <cell r="L35">
            <v>0</v>
          </cell>
          <cell r="M35">
            <v>0</v>
          </cell>
          <cell r="N35">
            <v>0</v>
          </cell>
          <cell r="O35">
            <v>0</v>
          </cell>
          <cell r="P35">
            <v>0</v>
          </cell>
          <cell r="Q35" t="str">
            <v/>
          </cell>
          <cell r="R35" t="str">
            <v/>
          </cell>
          <cell r="S35" t="str">
            <v/>
          </cell>
          <cell r="T35" t="str">
            <v/>
          </cell>
          <cell r="U35" t="str">
            <v/>
          </cell>
          <cell r="V35" t="str">
            <v/>
          </cell>
          <cell r="W35">
            <v>0</v>
          </cell>
          <cell r="X35">
            <v>0</v>
          </cell>
          <cell r="Y35" t="str">
            <v/>
          </cell>
          <cell r="Z35" t="str">
            <v>BUY</v>
          </cell>
          <cell r="AA35" t="str">
            <v/>
          </cell>
        </row>
        <row r="36">
          <cell r="A36" t="str">
            <v>A</v>
          </cell>
          <cell r="F36" t="str">
            <v>4040-5</v>
          </cell>
          <cell r="G36" t="str">
            <v>A</v>
          </cell>
          <cell r="H36">
            <v>2</v>
          </cell>
          <cell r="I36" t="str">
            <v>Garage/Parking Fees Assn. Owned</v>
          </cell>
          <cell r="J36" t="str">
            <v>Garage/Parking Fees Assn. Owned</v>
          </cell>
          <cell r="K36">
            <v>0</v>
          </cell>
          <cell r="L36">
            <v>0</v>
          </cell>
          <cell r="M36">
            <v>0</v>
          </cell>
          <cell r="N36">
            <v>0</v>
          </cell>
          <cell r="O36">
            <v>0</v>
          </cell>
          <cell r="P36">
            <v>0</v>
          </cell>
          <cell r="Q36" t="str">
            <v/>
          </cell>
          <cell r="R36" t="str">
            <v/>
          </cell>
          <cell r="S36" t="str">
            <v/>
          </cell>
          <cell r="T36" t="str">
            <v/>
          </cell>
          <cell r="U36" t="str">
            <v/>
          </cell>
          <cell r="V36" t="str">
            <v/>
          </cell>
          <cell r="W36">
            <v>0</v>
          </cell>
          <cell r="X36">
            <v>0</v>
          </cell>
          <cell r="Y36" t="str">
            <v/>
          </cell>
          <cell r="Z36" t="str">
            <v>BUY</v>
          </cell>
          <cell r="AA36" t="str">
            <v/>
          </cell>
        </row>
        <row r="37">
          <cell r="A37" t="str">
            <v>A</v>
          </cell>
          <cell r="F37" t="str">
            <v>4040-6</v>
          </cell>
          <cell r="G37" t="str">
            <v>A</v>
          </cell>
          <cell r="H37">
            <v>2</v>
          </cell>
          <cell r="I37" t="str">
            <v>Other Parking Income</v>
          </cell>
          <cell r="J37" t="str">
            <v>Other Parking Income</v>
          </cell>
          <cell r="K37">
            <v>0</v>
          </cell>
          <cell r="L37">
            <v>0</v>
          </cell>
          <cell r="M37">
            <v>0</v>
          </cell>
          <cell r="N37">
            <v>0</v>
          </cell>
          <cell r="O37">
            <v>0</v>
          </cell>
          <cell r="P37">
            <v>0</v>
          </cell>
          <cell r="Q37" t="str">
            <v/>
          </cell>
          <cell r="R37" t="str">
            <v/>
          </cell>
          <cell r="S37" t="str">
            <v/>
          </cell>
          <cell r="T37" t="str">
            <v/>
          </cell>
          <cell r="U37" t="str">
            <v/>
          </cell>
          <cell r="V37" t="str">
            <v/>
          </cell>
          <cell r="W37">
            <v>0</v>
          </cell>
          <cell r="X37">
            <v>0</v>
          </cell>
          <cell r="Y37" t="str">
            <v/>
          </cell>
          <cell r="Z37" t="str">
            <v>BUY</v>
          </cell>
          <cell r="AA37" t="str">
            <v/>
          </cell>
        </row>
        <row r="38">
          <cell r="A38" t="str">
            <v>A</v>
          </cell>
          <cell r="F38" t="str">
            <v>4042</v>
          </cell>
          <cell r="G38" t="str">
            <v>A</v>
          </cell>
          <cell r="H38">
            <v>2</v>
          </cell>
          <cell r="I38" t="str">
            <v>Car Washes</v>
          </cell>
          <cell r="J38" t="str">
            <v>Car Washes</v>
          </cell>
          <cell r="K38">
            <v>0</v>
          </cell>
          <cell r="L38">
            <v>0</v>
          </cell>
          <cell r="M38">
            <v>0</v>
          </cell>
          <cell r="N38">
            <v>0</v>
          </cell>
          <cell r="O38">
            <v>0</v>
          </cell>
          <cell r="P38">
            <v>0</v>
          </cell>
          <cell r="Q38" t="str">
            <v/>
          </cell>
          <cell r="R38" t="str">
            <v/>
          </cell>
          <cell r="S38" t="str">
            <v/>
          </cell>
          <cell r="T38" t="str">
            <v/>
          </cell>
          <cell r="U38" t="str">
            <v/>
          </cell>
          <cell r="V38" t="str">
            <v/>
          </cell>
          <cell r="W38">
            <v>0</v>
          </cell>
          <cell r="X38">
            <v>0</v>
          </cell>
          <cell r="Y38" t="str">
            <v/>
          </cell>
          <cell r="Z38" t="str">
            <v>BUY</v>
          </cell>
          <cell r="AA38" t="str">
            <v/>
          </cell>
        </row>
        <row r="39">
          <cell r="A39" t="str">
            <v>A</v>
          </cell>
          <cell r="F39" t="str">
            <v>4045</v>
          </cell>
          <cell r="G39" t="str">
            <v>A</v>
          </cell>
          <cell r="H39">
            <v>2</v>
          </cell>
          <cell r="I39" t="str">
            <v>Parking Vendor Income/Expense</v>
          </cell>
          <cell r="J39" t="str">
            <v>Parking Vendor Income/Expense</v>
          </cell>
          <cell r="K39">
            <v>0</v>
          </cell>
          <cell r="L39">
            <v>0</v>
          </cell>
          <cell r="M39">
            <v>0</v>
          </cell>
          <cell r="N39">
            <v>0</v>
          </cell>
          <cell r="O39">
            <v>0</v>
          </cell>
          <cell r="P39">
            <v>0</v>
          </cell>
          <cell r="Q39" t="str">
            <v/>
          </cell>
          <cell r="R39" t="str">
            <v/>
          </cell>
          <cell r="S39" t="str">
            <v/>
          </cell>
          <cell r="T39" t="str">
            <v/>
          </cell>
          <cell r="U39" t="str">
            <v/>
          </cell>
          <cell r="V39" t="str">
            <v/>
          </cell>
          <cell r="W39">
            <v>0</v>
          </cell>
          <cell r="X39">
            <v>0</v>
          </cell>
          <cell r="Y39" t="str">
            <v/>
          </cell>
          <cell r="Z39" t="str">
            <v>BUY</v>
          </cell>
          <cell r="AA39" t="str">
            <v/>
          </cell>
        </row>
        <row r="40">
          <cell r="A40" t="str">
            <v>A</v>
          </cell>
          <cell r="F40" t="str">
            <v>4050</v>
          </cell>
          <cell r="G40" t="str">
            <v>A</v>
          </cell>
          <cell r="H40">
            <v>2</v>
          </cell>
          <cell r="I40" t="str">
            <v>Violation Income</v>
          </cell>
          <cell r="J40" t="str">
            <v>Violation Income</v>
          </cell>
          <cell r="K40">
            <v>0</v>
          </cell>
          <cell r="L40">
            <v>0</v>
          </cell>
          <cell r="M40">
            <v>0</v>
          </cell>
          <cell r="N40">
            <v>0</v>
          </cell>
          <cell r="O40">
            <v>0</v>
          </cell>
          <cell r="P40">
            <v>0</v>
          </cell>
          <cell r="Q40" t="str">
            <v/>
          </cell>
          <cell r="R40" t="str">
            <v/>
          </cell>
          <cell r="S40" t="str">
            <v/>
          </cell>
          <cell r="T40" t="str">
            <v/>
          </cell>
          <cell r="U40" t="str">
            <v/>
          </cell>
          <cell r="V40" t="str">
            <v/>
          </cell>
          <cell r="W40">
            <v>0</v>
          </cell>
          <cell r="X40">
            <v>0</v>
          </cell>
          <cell r="Y40" t="str">
            <v/>
          </cell>
          <cell r="Z40" t="str">
            <v>BUY</v>
          </cell>
          <cell r="AA40" t="str">
            <v/>
          </cell>
        </row>
        <row r="41">
          <cell r="A41" t="str">
            <v>A</v>
          </cell>
          <cell r="F41" t="str">
            <v>4060</v>
          </cell>
          <cell r="G41" t="str">
            <v>A</v>
          </cell>
          <cell r="H41">
            <v>2</v>
          </cell>
          <cell r="I41" t="str">
            <v>Locker Rental Income</v>
          </cell>
          <cell r="J41" t="str">
            <v>Locker Rental Income</v>
          </cell>
          <cell r="K41">
            <v>0</v>
          </cell>
          <cell r="L41">
            <v>0</v>
          </cell>
          <cell r="M41">
            <v>0</v>
          </cell>
          <cell r="N41">
            <v>0</v>
          </cell>
          <cell r="O41">
            <v>0</v>
          </cell>
          <cell r="P41">
            <v>0</v>
          </cell>
          <cell r="Q41" t="str">
            <v/>
          </cell>
          <cell r="R41" t="str">
            <v/>
          </cell>
          <cell r="S41" t="str">
            <v/>
          </cell>
          <cell r="T41" t="str">
            <v/>
          </cell>
          <cell r="U41" t="str">
            <v/>
          </cell>
          <cell r="V41" t="str">
            <v/>
          </cell>
          <cell r="W41">
            <v>0</v>
          </cell>
          <cell r="X41">
            <v>0</v>
          </cell>
          <cell r="Y41" t="str">
            <v/>
          </cell>
          <cell r="Z41" t="str">
            <v>BUY</v>
          </cell>
          <cell r="AA41" t="str">
            <v/>
          </cell>
        </row>
        <row r="42">
          <cell r="A42" t="str">
            <v>A</v>
          </cell>
          <cell r="F42" t="str">
            <v>4070</v>
          </cell>
          <cell r="G42" t="str">
            <v>A</v>
          </cell>
          <cell r="H42">
            <v>2</v>
          </cell>
          <cell r="I42" t="str">
            <v>Storage Space Rent</v>
          </cell>
          <cell r="J42" t="str">
            <v>Storage Space Rent</v>
          </cell>
          <cell r="K42">
            <v>0</v>
          </cell>
          <cell r="L42">
            <v>0</v>
          </cell>
          <cell r="M42">
            <v>0</v>
          </cell>
          <cell r="N42">
            <v>0</v>
          </cell>
          <cell r="O42">
            <v>0</v>
          </cell>
          <cell r="P42">
            <v>0</v>
          </cell>
          <cell r="Q42" t="str">
            <v/>
          </cell>
          <cell r="R42" t="str">
            <v/>
          </cell>
          <cell r="S42" t="str">
            <v/>
          </cell>
          <cell r="T42" t="str">
            <v/>
          </cell>
          <cell r="U42" t="str">
            <v/>
          </cell>
          <cell r="V42" t="str">
            <v/>
          </cell>
          <cell r="W42">
            <v>0</v>
          </cell>
          <cell r="X42">
            <v>0</v>
          </cell>
          <cell r="Y42" t="str">
            <v/>
          </cell>
          <cell r="Z42" t="str">
            <v>BUY</v>
          </cell>
          <cell r="AA42" t="str">
            <v/>
          </cell>
        </row>
        <row r="43">
          <cell r="A43" t="str">
            <v>A</v>
          </cell>
          <cell r="F43" t="str">
            <v>4080</v>
          </cell>
          <cell r="G43" t="str">
            <v>A</v>
          </cell>
          <cell r="H43">
            <v>2</v>
          </cell>
          <cell r="I43" t="str">
            <v>Scavenger Rebate</v>
          </cell>
          <cell r="J43" t="str">
            <v>Scavenger Rebate</v>
          </cell>
          <cell r="K43">
            <v>0</v>
          </cell>
          <cell r="L43">
            <v>0</v>
          </cell>
          <cell r="M43">
            <v>-9600</v>
          </cell>
          <cell r="N43">
            <v>-9600</v>
          </cell>
          <cell r="O43">
            <v>-9150</v>
          </cell>
          <cell r="P43">
            <v>450</v>
          </cell>
          <cell r="Q43">
            <v>-4.6875E-2</v>
          </cell>
          <cell r="R43" t="str">
            <v>GL 4322 Based on $75 unit per year including Comm. space. City program provides for $75 per door or actual refuse removal expense. In 2010, will be based on 122 unit because of 4 combinations.</v>
          </cell>
          <cell r="S43" t="str">
            <v/>
          </cell>
          <cell r="T43" t="str">
            <v/>
          </cell>
          <cell r="U43" t="str">
            <v/>
          </cell>
          <cell r="V43" t="str">
            <v/>
          </cell>
          <cell r="W43">
            <v>-28350</v>
          </cell>
          <cell r="X43">
            <v>0</v>
          </cell>
          <cell r="Y43" t="str">
            <v>A</v>
          </cell>
          <cell r="Z43" t="str">
            <v>BUY</v>
          </cell>
          <cell r="AA43" t="str">
            <v/>
          </cell>
        </row>
        <row r="44">
          <cell r="A44" t="str">
            <v>A</v>
          </cell>
          <cell r="F44" t="str">
            <v>4090</v>
          </cell>
          <cell r="G44" t="str">
            <v>A</v>
          </cell>
          <cell r="H44">
            <v>2</v>
          </cell>
          <cell r="I44" t="str">
            <v>Scavenger Income</v>
          </cell>
          <cell r="J44" t="str">
            <v>Scavenger Income</v>
          </cell>
          <cell r="K44">
            <v>0</v>
          </cell>
          <cell r="L44">
            <v>0</v>
          </cell>
          <cell r="M44">
            <v>0</v>
          </cell>
          <cell r="N44">
            <v>0</v>
          </cell>
          <cell r="O44">
            <v>0</v>
          </cell>
          <cell r="P44">
            <v>0</v>
          </cell>
          <cell r="Q44" t="str">
            <v/>
          </cell>
          <cell r="R44" t="str">
            <v/>
          </cell>
          <cell r="S44" t="str">
            <v/>
          </cell>
          <cell r="T44" t="str">
            <v/>
          </cell>
          <cell r="U44" t="str">
            <v/>
          </cell>
          <cell r="V44" t="str">
            <v/>
          </cell>
          <cell r="W44">
            <v>0</v>
          </cell>
          <cell r="X44">
            <v>0</v>
          </cell>
          <cell r="Y44" t="str">
            <v/>
          </cell>
          <cell r="Z44" t="str">
            <v>BUY</v>
          </cell>
          <cell r="AA44" t="str">
            <v/>
          </cell>
        </row>
        <row r="45">
          <cell r="A45" t="str">
            <v>A</v>
          </cell>
          <cell r="F45" t="str">
            <v>4100</v>
          </cell>
          <cell r="G45" t="str">
            <v>A</v>
          </cell>
          <cell r="H45">
            <v>2</v>
          </cell>
          <cell r="I45" t="str">
            <v>Utility Assessment Income</v>
          </cell>
          <cell r="J45" t="str">
            <v>Utility Assessment Income</v>
          </cell>
          <cell r="K45">
            <v>0</v>
          </cell>
          <cell r="L45">
            <v>0</v>
          </cell>
          <cell r="M45">
            <v>0</v>
          </cell>
          <cell r="N45">
            <v>0</v>
          </cell>
          <cell r="O45">
            <v>0</v>
          </cell>
          <cell r="P45">
            <v>0</v>
          </cell>
          <cell r="Q45" t="str">
            <v/>
          </cell>
          <cell r="R45" t="str">
            <v/>
          </cell>
          <cell r="S45" t="str">
            <v/>
          </cell>
          <cell r="T45" t="str">
            <v/>
          </cell>
          <cell r="U45" t="str">
            <v/>
          </cell>
          <cell r="V45" t="str">
            <v/>
          </cell>
          <cell r="W45">
            <v>0</v>
          </cell>
          <cell r="X45">
            <v>0</v>
          </cell>
          <cell r="Y45" t="str">
            <v/>
          </cell>
          <cell r="Z45" t="str">
            <v>BUY</v>
          </cell>
          <cell r="AA45" t="str">
            <v/>
          </cell>
        </row>
        <row r="46">
          <cell r="A46" t="str">
            <v>A</v>
          </cell>
          <cell r="F46" t="str">
            <v>4101</v>
          </cell>
          <cell r="G46" t="str">
            <v>A</v>
          </cell>
          <cell r="H46">
            <v>2</v>
          </cell>
          <cell r="I46" t="str">
            <v>Utility Assessment</v>
          </cell>
          <cell r="J46" t="str">
            <v>Utility Assessment</v>
          </cell>
          <cell r="K46">
            <v>0</v>
          </cell>
          <cell r="L46">
            <v>0</v>
          </cell>
          <cell r="M46">
            <v>0</v>
          </cell>
          <cell r="N46">
            <v>0</v>
          </cell>
          <cell r="O46">
            <v>0</v>
          </cell>
          <cell r="P46">
            <v>0</v>
          </cell>
          <cell r="Q46" t="str">
            <v/>
          </cell>
          <cell r="R46" t="str">
            <v/>
          </cell>
          <cell r="S46" t="str">
            <v/>
          </cell>
          <cell r="T46" t="str">
            <v/>
          </cell>
          <cell r="U46" t="str">
            <v/>
          </cell>
          <cell r="V46" t="str">
            <v/>
          </cell>
          <cell r="W46">
            <v>0</v>
          </cell>
          <cell r="X46">
            <v>0</v>
          </cell>
          <cell r="Y46" t="str">
            <v/>
          </cell>
          <cell r="Z46" t="str">
            <v>BUY</v>
          </cell>
          <cell r="AA46" t="str">
            <v/>
          </cell>
        </row>
        <row r="47">
          <cell r="A47" t="str">
            <v>A</v>
          </cell>
          <cell r="F47" t="str">
            <v>4110</v>
          </cell>
          <cell r="G47" t="str">
            <v>A</v>
          </cell>
          <cell r="H47">
            <v>2</v>
          </cell>
          <cell r="I47" t="str">
            <v>Laundry Room Income</v>
          </cell>
          <cell r="J47" t="str">
            <v>Laundry Room Income</v>
          </cell>
          <cell r="K47">
            <v>0</v>
          </cell>
          <cell r="L47">
            <v>0</v>
          </cell>
          <cell r="M47">
            <v>-4475</v>
          </cell>
          <cell r="N47">
            <v>-4262</v>
          </cell>
          <cell r="O47">
            <v>-4475</v>
          </cell>
          <cell r="P47">
            <v>0</v>
          </cell>
          <cell r="Q47">
            <v>0</v>
          </cell>
          <cell r="R47" t="str">
            <v>GL 4316 Lease with Family Pride extended until Jan 2012. Lessee agreed to pay base rental of 50% of monthly receipt from laundry.</v>
          </cell>
          <cell r="S47" t="str">
            <v xml:space="preserve">Family Pride </v>
          </cell>
          <cell r="T47">
            <v>37018</v>
          </cell>
          <cell r="U47">
            <v>40909</v>
          </cell>
          <cell r="V47" t="str">
            <v>50% of income</v>
          </cell>
          <cell r="W47">
            <v>-13212</v>
          </cell>
          <cell r="X47">
            <v>0</v>
          </cell>
          <cell r="Y47" t="str">
            <v>A</v>
          </cell>
          <cell r="Z47" t="str">
            <v>BUY</v>
          </cell>
          <cell r="AA47" t="str">
            <v/>
          </cell>
        </row>
        <row r="48">
          <cell r="A48" t="str">
            <v>A</v>
          </cell>
          <cell r="F48" t="str">
            <v>4111</v>
          </cell>
          <cell r="G48" t="str">
            <v>A</v>
          </cell>
          <cell r="H48">
            <v>2</v>
          </cell>
          <cell r="I48" t="str">
            <v>Fitness Room Income</v>
          </cell>
          <cell r="J48" t="str">
            <v>Fitness Room Income</v>
          </cell>
          <cell r="K48">
            <v>0</v>
          </cell>
          <cell r="L48">
            <v>0</v>
          </cell>
          <cell r="M48">
            <v>0</v>
          </cell>
          <cell r="N48">
            <v>0</v>
          </cell>
          <cell r="O48">
            <v>0</v>
          </cell>
          <cell r="P48">
            <v>0</v>
          </cell>
          <cell r="Q48" t="str">
            <v/>
          </cell>
          <cell r="R48" t="str">
            <v/>
          </cell>
          <cell r="S48" t="str">
            <v/>
          </cell>
          <cell r="T48" t="str">
            <v/>
          </cell>
          <cell r="U48" t="str">
            <v/>
          </cell>
          <cell r="V48" t="str">
            <v/>
          </cell>
          <cell r="W48">
            <v>0</v>
          </cell>
          <cell r="X48">
            <v>0</v>
          </cell>
          <cell r="Y48" t="str">
            <v/>
          </cell>
          <cell r="Z48" t="str">
            <v>BUY</v>
          </cell>
          <cell r="AA48" t="str">
            <v/>
          </cell>
        </row>
        <row r="49">
          <cell r="A49" t="str">
            <v>A</v>
          </cell>
          <cell r="F49" t="str">
            <v>4120</v>
          </cell>
          <cell r="G49" t="str">
            <v>A</v>
          </cell>
          <cell r="H49">
            <v>2</v>
          </cell>
          <cell r="I49" t="str">
            <v>Concession/Vending Inc.</v>
          </cell>
          <cell r="J49" t="str">
            <v>Concession/Vending Inc.</v>
          </cell>
          <cell r="K49">
            <v>0</v>
          </cell>
          <cell r="L49">
            <v>0</v>
          </cell>
          <cell r="M49">
            <v>0</v>
          </cell>
          <cell r="N49">
            <v>0</v>
          </cell>
          <cell r="O49">
            <v>0</v>
          </cell>
          <cell r="P49">
            <v>0</v>
          </cell>
          <cell r="Q49" t="str">
            <v/>
          </cell>
          <cell r="R49" t="str">
            <v/>
          </cell>
          <cell r="S49" t="str">
            <v/>
          </cell>
          <cell r="T49" t="str">
            <v/>
          </cell>
          <cell r="U49" t="str">
            <v/>
          </cell>
          <cell r="V49" t="str">
            <v/>
          </cell>
          <cell r="W49">
            <v>0</v>
          </cell>
          <cell r="X49">
            <v>0</v>
          </cell>
          <cell r="Y49" t="str">
            <v/>
          </cell>
          <cell r="Z49" t="str">
            <v>BUY</v>
          </cell>
          <cell r="AA49" t="str">
            <v/>
          </cell>
        </row>
        <row r="50">
          <cell r="A50" t="str">
            <v>A</v>
          </cell>
          <cell r="F50" t="str">
            <v>4120-5</v>
          </cell>
          <cell r="G50" t="str">
            <v>A</v>
          </cell>
          <cell r="H50">
            <v>2</v>
          </cell>
          <cell r="I50" t="str">
            <v>Concession/Vending Exp</v>
          </cell>
          <cell r="J50" t="str">
            <v>Concession/Vending Exp</v>
          </cell>
          <cell r="K50">
            <v>0</v>
          </cell>
          <cell r="L50">
            <v>0</v>
          </cell>
          <cell r="M50">
            <v>0</v>
          </cell>
          <cell r="N50">
            <v>0</v>
          </cell>
          <cell r="O50">
            <v>0</v>
          </cell>
          <cell r="P50">
            <v>0</v>
          </cell>
          <cell r="Q50" t="str">
            <v/>
          </cell>
          <cell r="R50" t="str">
            <v/>
          </cell>
          <cell r="S50" t="str">
            <v/>
          </cell>
          <cell r="T50" t="str">
            <v/>
          </cell>
          <cell r="U50" t="str">
            <v/>
          </cell>
          <cell r="V50" t="str">
            <v/>
          </cell>
          <cell r="W50">
            <v>0</v>
          </cell>
          <cell r="X50">
            <v>0</v>
          </cell>
          <cell r="Y50" t="str">
            <v/>
          </cell>
          <cell r="Z50" t="str">
            <v>BUY</v>
          </cell>
          <cell r="AA50" t="str">
            <v/>
          </cell>
        </row>
        <row r="51">
          <cell r="A51" t="str">
            <v>A</v>
          </cell>
          <cell r="F51" t="str">
            <v>4130</v>
          </cell>
          <cell r="G51" t="str">
            <v>A</v>
          </cell>
          <cell r="H51">
            <v>2</v>
          </cell>
          <cell r="I51" t="str">
            <v>Key Charges</v>
          </cell>
          <cell r="J51" t="str">
            <v>Key Charges</v>
          </cell>
          <cell r="K51">
            <v>0</v>
          </cell>
          <cell r="L51">
            <v>0</v>
          </cell>
          <cell r="M51">
            <v>0</v>
          </cell>
          <cell r="N51">
            <v>0</v>
          </cell>
          <cell r="O51">
            <v>0</v>
          </cell>
          <cell r="P51">
            <v>0</v>
          </cell>
          <cell r="Q51" t="str">
            <v/>
          </cell>
          <cell r="R51" t="str">
            <v/>
          </cell>
          <cell r="S51" t="str">
            <v/>
          </cell>
          <cell r="T51" t="str">
            <v/>
          </cell>
          <cell r="U51" t="str">
            <v/>
          </cell>
          <cell r="V51" t="str">
            <v/>
          </cell>
          <cell r="W51">
            <v>0</v>
          </cell>
          <cell r="X51">
            <v>0</v>
          </cell>
          <cell r="Y51" t="str">
            <v/>
          </cell>
          <cell r="Z51" t="str">
            <v>BUY</v>
          </cell>
          <cell r="AA51" t="str">
            <v/>
          </cell>
        </row>
        <row r="52">
          <cell r="A52" t="str">
            <v>A</v>
          </cell>
          <cell r="F52" t="str">
            <v>4135</v>
          </cell>
          <cell r="G52" t="str">
            <v>A</v>
          </cell>
          <cell r="H52">
            <v>2</v>
          </cell>
          <cell r="I52" t="str">
            <v>Lock Out Charges</v>
          </cell>
          <cell r="J52" t="str">
            <v>Lock Out Charges</v>
          </cell>
          <cell r="K52">
            <v>0</v>
          </cell>
          <cell r="L52">
            <v>0</v>
          </cell>
          <cell r="M52">
            <v>0</v>
          </cell>
          <cell r="N52">
            <v>0</v>
          </cell>
          <cell r="O52">
            <v>0</v>
          </cell>
          <cell r="P52">
            <v>0</v>
          </cell>
          <cell r="Q52" t="str">
            <v/>
          </cell>
          <cell r="R52" t="str">
            <v/>
          </cell>
          <cell r="S52" t="str">
            <v/>
          </cell>
          <cell r="T52" t="str">
            <v/>
          </cell>
          <cell r="U52" t="str">
            <v/>
          </cell>
          <cell r="V52" t="str">
            <v/>
          </cell>
          <cell r="W52">
            <v>0</v>
          </cell>
          <cell r="X52">
            <v>0</v>
          </cell>
          <cell r="Y52" t="str">
            <v/>
          </cell>
          <cell r="Z52" t="str">
            <v>BUY</v>
          </cell>
          <cell r="AA52" t="str">
            <v/>
          </cell>
        </row>
        <row r="53">
          <cell r="A53" t="str">
            <v>A</v>
          </cell>
          <cell r="F53" t="str">
            <v>4140</v>
          </cell>
          <cell r="G53" t="str">
            <v>A</v>
          </cell>
          <cell r="H53">
            <v>2</v>
          </cell>
          <cell r="I53" t="str">
            <v>Unit Rental Income</v>
          </cell>
          <cell r="J53" t="str">
            <v>Unit Rental Income</v>
          </cell>
          <cell r="K53">
            <v>0</v>
          </cell>
          <cell r="L53">
            <v>0</v>
          </cell>
          <cell r="M53">
            <v>0</v>
          </cell>
          <cell r="N53">
            <v>0</v>
          </cell>
          <cell r="O53">
            <v>0</v>
          </cell>
          <cell r="P53">
            <v>0</v>
          </cell>
          <cell r="Q53" t="str">
            <v/>
          </cell>
          <cell r="R53" t="str">
            <v/>
          </cell>
          <cell r="S53" t="str">
            <v/>
          </cell>
          <cell r="T53" t="str">
            <v/>
          </cell>
          <cell r="U53" t="str">
            <v/>
          </cell>
          <cell r="V53" t="str">
            <v/>
          </cell>
          <cell r="W53">
            <v>0</v>
          </cell>
          <cell r="X53">
            <v>0</v>
          </cell>
          <cell r="Y53" t="str">
            <v/>
          </cell>
          <cell r="Z53" t="str">
            <v>BUY</v>
          </cell>
          <cell r="AA53" t="str">
            <v/>
          </cell>
        </row>
        <row r="54">
          <cell r="A54" t="str">
            <v>A</v>
          </cell>
          <cell r="F54" t="str">
            <v>4141</v>
          </cell>
          <cell r="G54" t="str">
            <v>A</v>
          </cell>
          <cell r="H54">
            <v>2</v>
          </cell>
          <cell r="I54" t="str">
            <v>Rental Vacancy Loss &amp; Adjustments</v>
          </cell>
          <cell r="J54" t="str">
            <v>Rental Vacancy Loss &amp; Adjustments</v>
          </cell>
          <cell r="K54">
            <v>0</v>
          </cell>
          <cell r="L54">
            <v>0</v>
          </cell>
          <cell r="M54">
            <v>0</v>
          </cell>
          <cell r="N54">
            <v>0</v>
          </cell>
          <cell r="O54">
            <v>0</v>
          </cell>
          <cell r="P54">
            <v>0</v>
          </cell>
          <cell r="Q54" t="str">
            <v/>
          </cell>
          <cell r="R54" t="str">
            <v/>
          </cell>
          <cell r="S54" t="str">
            <v/>
          </cell>
          <cell r="T54" t="str">
            <v/>
          </cell>
          <cell r="U54" t="str">
            <v/>
          </cell>
          <cell r="V54" t="str">
            <v/>
          </cell>
          <cell r="W54">
            <v>0</v>
          </cell>
          <cell r="X54">
            <v>0</v>
          </cell>
          <cell r="Y54" t="str">
            <v/>
          </cell>
          <cell r="Z54" t="str">
            <v>BUY</v>
          </cell>
          <cell r="AA54" t="str">
            <v/>
          </cell>
        </row>
        <row r="55">
          <cell r="A55" t="str">
            <v>A</v>
          </cell>
          <cell r="F55" t="str">
            <v>4142</v>
          </cell>
          <cell r="G55" t="str">
            <v>A</v>
          </cell>
          <cell r="H55">
            <v>2</v>
          </cell>
          <cell r="I55" t="str">
            <v>Rent Concession/Deduction</v>
          </cell>
          <cell r="J55" t="str">
            <v>Rent Concession/Deduction</v>
          </cell>
          <cell r="K55">
            <v>0</v>
          </cell>
          <cell r="L55">
            <v>0</v>
          </cell>
          <cell r="M55">
            <v>0</v>
          </cell>
          <cell r="N55">
            <v>0</v>
          </cell>
          <cell r="O55">
            <v>0</v>
          </cell>
          <cell r="P55">
            <v>0</v>
          </cell>
          <cell r="Q55" t="str">
            <v/>
          </cell>
          <cell r="R55" t="str">
            <v/>
          </cell>
          <cell r="S55" t="str">
            <v/>
          </cell>
          <cell r="T55" t="str">
            <v/>
          </cell>
          <cell r="U55" t="str">
            <v/>
          </cell>
          <cell r="V55" t="str">
            <v/>
          </cell>
          <cell r="W55">
            <v>0</v>
          </cell>
          <cell r="X55">
            <v>0</v>
          </cell>
          <cell r="Y55" t="str">
            <v/>
          </cell>
          <cell r="Z55" t="str">
            <v>BUY</v>
          </cell>
          <cell r="AA55" t="str">
            <v/>
          </cell>
        </row>
        <row r="56">
          <cell r="A56" t="str">
            <v>A</v>
          </cell>
          <cell r="F56" t="str">
            <v>4143</v>
          </cell>
          <cell r="G56" t="str">
            <v>A</v>
          </cell>
          <cell r="H56">
            <v>2</v>
          </cell>
          <cell r="I56" t="str">
            <v>Leased Parking</v>
          </cell>
          <cell r="J56" t="str">
            <v>Leased Parking</v>
          </cell>
          <cell r="K56">
            <v>0</v>
          </cell>
          <cell r="L56">
            <v>0</v>
          </cell>
          <cell r="M56">
            <v>0</v>
          </cell>
          <cell r="N56">
            <v>0</v>
          </cell>
          <cell r="O56">
            <v>0</v>
          </cell>
          <cell r="P56">
            <v>0</v>
          </cell>
          <cell r="Q56" t="str">
            <v/>
          </cell>
          <cell r="R56" t="str">
            <v/>
          </cell>
          <cell r="S56" t="str">
            <v/>
          </cell>
          <cell r="T56" t="str">
            <v/>
          </cell>
          <cell r="U56" t="str">
            <v/>
          </cell>
          <cell r="V56" t="str">
            <v/>
          </cell>
          <cell r="W56">
            <v>0</v>
          </cell>
          <cell r="X56">
            <v>0</v>
          </cell>
          <cell r="Y56" t="str">
            <v/>
          </cell>
          <cell r="Z56" t="str">
            <v>BUY</v>
          </cell>
          <cell r="AA56" t="str">
            <v/>
          </cell>
        </row>
        <row r="57">
          <cell r="A57" t="str">
            <v>A</v>
          </cell>
          <cell r="F57" t="str">
            <v>4145</v>
          </cell>
          <cell r="G57" t="str">
            <v>A</v>
          </cell>
          <cell r="H57">
            <v>2</v>
          </cell>
          <cell r="I57" t="str">
            <v>Lease Fee Income</v>
          </cell>
          <cell r="J57" t="str">
            <v>Lease Fee Income</v>
          </cell>
          <cell r="K57">
            <v>0</v>
          </cell>
          <cell r="L57">
            <v>0</v>
          </cell>
          <cell r="M57">
            <v>0</v>
          </cell>
          <cell r="N57">
            <v>0</v>
          </cell>
          <cell r="O57">
            <v>0</v>
          </cell>
          <cell r="P57">
            <v>0</v>
          </cell>
          <cell r="Q57" t="str">
            <v/>
          </cell>
          <cell r="R57" t="str">
            <v/>
          </cell>
          <cell r="S57" t="str">
            <v/>
          </cell>
          <cell r="T57" t="str">
            <v/>
          </cell>
          <cell r="U57" t="str">
            <v/>
          </cell>
          <cell r="V57" t="str">
            <v/>
          </cell>
          <cell r="W57">
            <v>0</v>
          </cell>
          <cell r="X57">
            <v>0</v>
          </cell>
          <cell r="Y57" t="str">
            <v/>
          </cell>
          <cell r="Z57" t="str">
            <v>BUY</v>
          </cell>
          <cell r="AA57" t="str">
            <v/>
          </cell>
        </row>
        <row r="58">
          <cell r="A58" t="str">
            <v>A</v>
          </cell>
          <cell r="F58" t="str">
            <v>4150</v>
          </cell>
          <cell r="G58" t="str">
            <v>A</v>
          </cell>
          <cell r="H58">
            <v>2</v>
          </cell>
          <cell r="I58" t="str">
            <v>Recreation User Fees</v>
          </cell>
          <cell r="J58" t="str">
            <v>Recreation User Fees</v>
          </cell>
          <cell r="K58">
            <v>0</v>
          </cell>
          <cell r="L58">
            <v>0</v>
          </cell>
          <cell r="M58">
            <v>0</v>
          </cell>
          <cell r="N58">
            <v>0</v>
          </cell>
          <cell r="O58">
            <v>0</v>
          </cell>
          <cell r="P58">
            <v>0</v>
          </cell>
          <cell r="Q58" t="str">
            <v/>
          </cell>
          <cell r="R58" t="str">
            <v/>
          </cell>
          <cell r="S58" t="str">
            <v/>
          </cell>
          <cell r="T58" t="str">
            <v/>
          </cell>
          <cell r="U58" t="str">
            <v/>
          </cell>
          <cell r="V58" t="str">
            <v/>
          </cell>
          <cell r="W58">
            <v>0</v>
          </cell>
          <cell r="X58">
            <v>0</v>
          </cell>
          <cell r="Y58" t="str">
            <v/>
          </cell>
          <cell r="Z58" t="str">
            <v>BUY</v>
          </cell>
          <cell r="AA58" t="str">
            <v/>
          </cell>
        </row>
        <row r="59">
          <cell r="A59" t="str">
            <v>A</v>
          </cell>
          <cell r="F59" t="str">
            <v>4151</v>
          </cell>
          <cell r="G59" t="str">
            <v>A</v>
          </cell>
          <cell r="H59">
            <v>2</v>
          </cell>
          <cell r="I59" t="str">
            <v>Cable TV Fees</v>
          </cell>
          <cell r="J59" t="str">
            <v>Cable TV Fees</v>
          </cell>
          <cell r="K59">
            <v>0</v>
          </cell>
          <cell r="L59">
            <v>0</v>
          </cell>
          <cell r="M59">
            <v>0</v>
          </cell>
          <cell r="N59">
            <v>0</v>
          </cell>
          <cell r="O59">
            <v>0</v>
          </cell>
          <cell r="P59">
            <v>0</v>
          </cell>
          <cell r="Q59" t="str">
            <v/>
          </cell>
          <cell r="R59" t="str">
            <v/>
          </cell>
          <cell r="S59" t="str">
            <v/>
          </cell>
          <cell r="T59" t="str">
            <v/>
          </cell>
          <cell r="U59" t="str">
            <v/>
          </cell>
          <cell r="V59" t="str">
            <v/>
          </cell>
          <cell r="W59">
            <v>0</v>
          </cell>
          <cell r="X59">
            <v>0</v>
          </cell>
          <cell r="Y59" t="str">
            <v/>
          </cell>
          <cell r="Z59" t="str">
            <v>BUY</v>
          </cell>
          <cell r="AA59" t="str">
            <v/>
          </cell>
        </row>
        <row r="60">
          <cell r="A60" t="str">
            <v>A</v>
          </cell>
          <cell r="F60" t="str">
            <v>4152</v>
          </cell>
          <cell r="G60" t="str">
            <v>A</v>
          </cell>
          <cell r="H60">
            <v>2</v>
          </cell>
          <cell r="I60" t="str">
            <v>Internet Fees</v>
          </cell>
          <cell r="J60" t="str">
            <v>Internet Fees</v>
          </cell>
          <cell r="K60">
            <v>0</v>
          </cell>
          <cell r="L60">
            <v>0</v>
          </cell>
          <cell r="M60">
            <v>0</v>
          </cell>
          <cell r="N60">
            <v>0</v>
          </cell>
          <cell r="O60">
            <v>0</v>
          </cell>
          <cell r="P60">
            <v>0</v>
          </cell>
          <cell r="Q60" t="str">
            <v/>
          </cell>
          <cell r="R60" t="str">
            <v/>
          </cell>
          <cell r="S60" t="str">
            <v/>
          </cell>
          <cell r="T60" t="str">
            <v/>
          </cell>
          <cell r="U60" t="str">
            <v/>
          </cell>
          <cell r="V60" t="str">
            <v/>
          </cell>
          <cell r="W60">
            <v>0</v>
          </cell>
          <cell r="X60">
            <v>0</v>
          </cell>
          <cell r="Y60" t="str">
            <v/>
          </cell>
          <cell r="Z60" t="str">
            <v>BUY</v>
          </cell>
          <cell r="AA60" t="str">
            <v/>
          </cell>
        </row>
        <row r="61">
          <cell r="A61" t="str">
            <v>A</v>
          </cell>
          <cell r="F61" t="str">
            <v>4160</v>
          </cell>
          <cell r="G61" t="str">
            <v>A</v>
          </cell>
          <cell r="H61">
            <v>2</v>
          </cell>
          <cell r="I61" t="str">
            <v>Guest Fees</v>
          </cell>
          <cell r="J61" t="str">
            <v>Guest Fees</v>
          </cell>
          <cell r="K61">
            <v>0</v>
          </cell>
          <cell r="L61">
            <v>0</v>
          </cell>
          <cell r="M61">
            <v>0</v>
          </cell>
          <cell r="N61">
            <v>0</v>
          </cell>
          <cell r="O61">
            <v>0</v>
          </cell>
          <cell r="P61">
            <v>0</v>
          </cell>
          <cell r="Q61" t="str">
            <v/>
          </cell>
          <cell r="R61" t="str">
            <v/>
          </cell>
          <cell r="S61" t="str">
            <v/>
          </cell>
          <cell r="T61" t="str">
            <v/>
          </cell>
          <cell r="U61" t="str">
            <v/>
          </cell>
          <cell r="V61" t="str">
            <v/>
          </cell>
          <cell r="W61">
            <v>0</v>
          </cell>
          <cell r="X61">
            <v>0</v>
          </cell>
          <cell r="Y61" t="str">
            <v/>
          </cell>
          <cell r="Z61" t="str">
            <v>BUY</v>
          </cell>
          <cell r="AA61" t="str">
            <v/>
          </cell>
        </row>
        <row r="62">
          <cell r="A62" t="str">
            <v>A</v>
          </cell>
          <cell r="F62" t="str">
            <v>4170</v>
          </cell>
          <cell r="G62" t="str">
            <v>A</v>
          </cell>
          <cell r="H62">
            <v>2</v>
          </cell>
          <cell r="I62" t="str">
            <v>Maintenance Service Inc.</v>
          </cell>
          <cell r="J62" t="str">
            <v>Maintenance Service Inc.</v>
          </cell>
          <cell r="K62">
            <v>0</v>
          </cell>
          <cell r="L62">
            <v>0</v>
          </cell>
          <cell r="M62">
            <v>-9750</v>
          </cell>
          <cell r="N62">
            <v>-2851</v>
          </cell>
          <cell r="O62">
            <v>-2600</v>
          </cell>
          <cell r="P62">
            <v>7150</v>
          </cell>
          <cell r="Q62">
            <v>-0.73333333333333339</v>
          </cell>
          <cell r="R62" t="str">
            <v>GL 4301 As of Jan 2009, an in-unit maintenance service plan approved by Board. $10 per half hour billed to HO. 10 work tickets per week at avg 30 minutes=$100 week or $2600.</v>
          </cell>
          <cell r="S62" t="str">
            <v/>
          </cell>
          <cell r="T62" t="str">
            <v/>
          </cell>
          <cell r="U62" t="str">
            <v/>
          </cell>
          <cell r="V62" t="str">
            <v/>
          </cell>
          <cell r="W62">
            <v>-15201</v>
          </cell>
          <cell r="X62">
            <v>0</v>
          </cell>
          <cell r="Y62" t="str">
            <v>A</v>
          </cell>
          <cell r="Z62" t="str">
            <v>BUY</v>
          </cell>
          <cell r="AA62" t="str">
            <v/>
          </cell>
        </row>
        <row r="63">
          <cell r="A63" t="str">
            <v>A</v>
          </cell>
          <cell r="F63" t="str">
            <v>4170-1</v>
          </cell>
          <cell r="G63" t="str">
            <v>A</v>
          </cell>
          <cell r="H63">
            <v>2</v>
          </cell>
          <cell r="I63" t="str">
            <v>Maintenance Service Inc</v>
          </cell>
          <cell r="J63" t="str">
            <v>Maintenance Service Inc</v>
          </cell>
          <cell r="K63">
            <v>0</v>
          </cell>
          <cell r="L63">
            <v>0</v>
          </cell>
          <cell r="M63">
            <v>0</v>
          </cell>
          <cell r="N63">
            <v>0</v>
          </cell>
          <cell r="O63">
            <v>0</v>
          </cell>
          <cell r="P63">
            <v>0</v>
          </cell>
          <cell r="Q63" t="str">
            <v/>
          </cell>
          <cell r="R63" t="str">
            <v/>
          </cell>
          <cell r="S63" t="str">
            <v/>
          </cell>
          <cell r="T63" t="str">
            <v/>
          </cell>
          <cell r="U63" t="str">
            <v/>
          </cell>
          <cell r="V63" t="str">
            <v/>
          </cell>
          <cell r="W63">
            <v>0</v>
          </cell>
          <cell r="X63">
            <v>0</v>
          </cell>
          <cell r="Y63" t="str">
            <v/>
          </cell>
          <cell r="Z63" t="str">
            <v>BUY</v>
          </cell>
          <cell r="AA63" t="str">
            <v/>
          </cell>
        </row>
        <row r="64">
          <cell r="A64" t="str">
            <v>A</v>
          </cell>
          <cell r="F64" t="str">
            <v>4170-2</v>
          </cell>
          <cell r="G64" t="str">
            <v>A</v>
          </cell>
          <cell r="H64">
            <v>2</v>
          </cell>
          <cell r="I64" t="str">
            <v>Maintenance Service Income</v>
          </cell>
          <cell r="J64" t="str">
            <v>Maintenance Service Income</v>
          </cell>
          <cell r="K64">
            <v>0</v>
          </cell>
          <cell r="L64">
            <v>0</v>
          </cell>
          <cell r="M64">
            <v>0</v>
          </cell>
          <cell r="N64">
            <v>0</v>
          </cell>
          <cell r="O64">
            <v>0</v>
          </cell>
          <cell r="P64">
            <v>0</v>
          </cell>
          <cell r="Q64" t="str">
            <v/>
          </cell>
          <cell r="R64" t="str">
            <v/>
          </cell>
          <cell r="S64" t="str">
            <v/>
          </cell>
          <cell r="T64" t="str">
            <v/>
          </cell>
          <cell r="U64" t="str">
            <v/>
          </cell>
          <cell r="V64" t="str">
            <v/>
          </cell>
          <cell r="W64">
            <v>0</v>
          </cell>
          <cell r="X64">
            <v>0</v>
          </cell>
          <cell r="Y64" t="str">
            <v/>
          </cell>
          <cell r="Z64" t="str">
            <v>BUY</v>
          </cell>
          <cell r="AA64" t="str">
            <v/>
          </cell>
        </row>
        <row r="65">
          <cell r="A65" t="str">
            <v>A</v>
          </cell>
          <cell r="F65" t="str">
            <v>4170-3</v>
          </cell>
          <cell r="G65" t="str">
            <v>A</v>
          </cell>
          <cell r="H65">
            <v>2</v>
          </cell>
          <cell r="I65" t="str">
            <v>Maintenance Service Inc</v>
          </cell>
          <cell r="J65" t="str">
            <v>Maintenance Service Inc</v>
          </cell>
          <cell r="K65">
            <v>0</v>
          </cell>
          <cell r="L65">
            <v>0</v>
          </cell>
          <cell r="M65">
            <v>0</v>
          </cell>
          <cell r="N65">
            <v>0</v>
          </cell>
          <cell r="O65">
            <v>0</v>
          </cell>
          <cell r="P65">
            <v>0</v>
          </cell>
          <cell r="Q65" t="str">
            <v/>
          </cell>
          <cell r="R65" t="str">
            <v/>
          </cell>
          <cell r="S65" t="str">
            <v/>
          </cell>
          <cell r="T65" t="str">
            <v/>
          </cell>
          <cell r="U65" t="str">
            <v/>
          </cell>
          <cell r="V65" t="str">
            <v/>
          </cell>
          <cell r="W65">
            <v>0</v>
          </cell>
          <cell r="X65">
            <v>0</v>
          </cell>
          <cell r="Y65" t="str">
            <v/>
          </cell>
          <cell r="Z65" t="str">
            <v>BUY</v>
          </cell>
          <cell r="AA65" t="str">
            <v/>
          </cell>
        </row>
        <row r="66">
          <cell r="A66" t="str">
            <v>A</v>
          </cell>
          <cell r="F66" t="str">
            <v>4170-4</v>
          </cell>
          <cell r="G66" t="str">
            <v>A</v>
          </cell>
          <cell r="H66">
            <v>2</v>
          </cell>
          <cell r="I66" t="str">
            <v>Maintenance Service Inc</v>
          </cell>
          <cell r="J66" t="str">
            <v>Maintenance Service Inc</v>
          </cell>
          <cell r="K66">
            <v>0</v>
          </cell>
          <cell r="L66">
            <v>0</v>
          </cell>
          <cell r="M66">
            <v>0</v>
          </cell>
          <cell r="N66">
            <v>0</v>
          </cell>
          <cell r="O66">
            <v>0</v>
          </cell>
          <cell r="P66">
            <v>0</v>
          </cell>
          <cell r="Q66" t="str">
            <v/>
          </cell>
          <cell r="R66" t="str">
            <v/>
          </cell>
          <cell r="S66" t="str">
            <v/>
          </cell>
          <cell r="T66" t="str">
            <v/>
          </cell>
          <cell r="U66" t="str">
            <v/>
          </cell>
          <cell r="V66" t="str">
            <v/>
          </cell>
          <cell r="W66">
            <v>0</v>
          </cell>
          <cell r="X66">
            <v>0</v>
          </cell>
          <cell r="Y66" t="str">
            <v/>
          </cell>
          <cell r="Z66" t="str">
            <v>BUY</v>
          </cell>
          <cell r="AA66" t="str">
            <v/>
          </cell>
        </row>
        <row r="67">
          <cell r="A67" t="str">
            <v>A</v>
          </cell>
          <cell r="F67" t="str">
            <v>4175</v>
          </cell>
          <cell r="G67" t="str">
            <v>A</v>
          </cell>
          <cell r="H67">
            <v>2</v>
          </cell>
          <cell r="I67" t="str">
            <v>Maintenance Service Supplies</v>
          </cell>
          <cell r="J67" t="str">
            <v>Maintenance Service Supplies</v>
          </cell>
          <cell r="K67">
            <v>0</v>
          </cell>
          <cell r="L67">
            <v>0</v>
          </cell>
          <cell r="M67">
            <v>0</v>
          </cell>
          <cell r="N67">
            <v>0</v>
          </cell>
          <cell r="O67">
            <v>0</v>
          </cell>
          <cell r="P67">
            <v>0</v>
          </cell>
          <cell r="Q67" t="str">
            <v/>
          </cell>
          <cell r="R67" t="str">
            <v/>
          </cell>
          <cell r="S67" t="str">
            <v/>
          </cell>
          <cell r="T67" t="str">
            <v/>
          </cell>
          <cell r="U67" t="str">
            <v/>
          </cell>
          <cell r="V67" t="str">
            <v/>
          </cell>
          <cell r="W67">
            <v>0</v>
          </cell>
          <cell r="X67">
            <v>0</v>
          </cell>
          <cell r="Y67" t="str">
            <v/>
          </cell>
          <cell r="Z67" t="str">
            <v>BUY</v>
          </cell>
          <cell r="AA67" t="str">
            <v/>
          </cell>
        </row>
        <row r="68">
          <cell r="A68" t="str">
            <v>A</v>
          </cell>
          <cell r="F68" t="str">
            <v>4180</v>
          </cell>
          <cell r="G68" t="str">
            <v>A</v>
          </cell>
          <cell r="H68">
            <v>2</v>
          </cell>
          <cell r="I68" t="str">
            <v>Pet Income</v>
          </cell>
          <cell r="J68" t="str">
            <v>Pet Income</v>
          </cell>
          <cell r="K68">
            <v>0</v>
          </cell>
          <cell r="L68">
            <v>0</v>
          </cell>
          <cell r="M68">
            <v>0</v>
          </cell>
          <cell r="N68">
            <v>0</v>
          </cell>
          <cell r="O68">
            <v>0</v>
          </cell>
          <cell r="P68">
            <v>0</v>
          </cell>
          <cell r="Q68" t="str">
            <v/>
          </cell>
          <cell r="R68" t="str">
            <v/>
          </cell>
          <cell r="S68" t="str">
            <v/>
          </cell>
          <cell r="T68" t="str">
            <v/>
          </cell>
          <cell r="U68" t="str">
            <v/>
          </cell>
          <cell r="V68" t="str">
            <v/>
          </cell>
          <cell r="W68">
            <v>0</v>
          </cell>
          <cell r="X68">
            <v>0</v>
          </cell>
          <cell r="Y68" t="str">
            <v/>
          </cell>
          <cell r="Z68" t="str">
            <v>BUY</v>
          </cell>
          <cell r="AA68" t="str">
            <v/>
          </cell>
        </row>
        <row r="69">
          <cell r="A69" t="str">
            <v>A</v>
          </cell>
          <cell r="F69" t="str">
            <v>4190</v>
          </cell>
          <cell r="G69" t="str">
            <v>A</v>
          </cell>
          <cell r="H69">
            <v>2</v>
          </cell>
          <cell r="I69" t="str">
            <v>Roof Rental Income</v>
          </cell>
          <cell r="J69" t="str">
            <v>Roof Rental Income</v>
          </cell>
          <cell r="K69">
            <v>0</v>
          </cell>
          <cell r="L69">
            <v>0</v>
          </cell>
          <cell r="M69">
            <v>0</v>
          </cell>
          <cell r="N69">
            <v>0</v>
          </cell>
          <cell r="O69">
            <v>-12500</v>
          </cell>
          <cell r="P69">
            <v>-12500</v>
          </cell>
          <cell r="Q69" t="str">
            <v/>
          </cell>
          <cell r="R69" t="str">
            <v>Verizon antenna contract to begin 3/1/2010 at $1250</v>
          </cell>
          <cell r="S69" t="str">
            <v/>
          </cell>
          <cell r="T69" t="str">
            <v/>
          </cell>
          <cell r="U69" t="str">
            <v/>
          </cell>
          <cell r="V69" t="str">
            <v/>
          </cell>
          <cell r="W69">
            <v>-12500</v>
          </cell>
          <cell r="X69">
            <v>0</v>
          </cell>
          <cell r="Y69" t="str">
            <v>A</v>
          </cell>
          <cell r="Z69" t="str">
            <v>BUY</v>
          </cell>
          <cell r="AA69" t="str">
            <v/>
          </cell>
        </row>
        <row r="70">
          <cell r="A70" t="str">
            <v>A</v>
          </cell>
          <cell r="F70" t="str">
            <v>4200</v>
          </cell>
          <cell r="G70" t="str">
            <v>A</v>
          </cell>
          <cell r="H70">
            <v>2</v>
          </cell>
          <cell r="I70" t="str">
            <v>Transfer from Reserves to Operating</v>
          </cell>
          <cell r="J70" t="str">
            <v>Transfer from Reserves to Operating</v>
          </cell>
          <cell r="K70">
            <v>0</v>
          </cell>
          <cell r="L70">
            <v>0</v>
          </cell>
          <cell r="M70">
            <v>0</v>
          </cell>
          <cell r="N70">
            <v>0</v>
          </cell>
          <cell r="O70">
            <v>0</v>
          </cell>
          <cell r="P70">
            <v>0</v>
          </cell>
          <cell r="Q70" t="str">
            <v/>
          </cell>
          <cell r="R70" t="str">
            <v/>
          </cell>
          <cell r="S70" t="str">
            <v/>
          </cell>
          <cell r="T70" t="str">
            <v/>
          </cell>
          <cell r="U70" t="str">
            <v/>
          </cell>
          <cell r="V70" t="str">
            <v/>
          </cell>
          <cell r="W70">
            <v>0</v>
          </cell>
          <cell r="X70">
            <v>0</v>
          </cell>
          <cell r="Y70" t="str">
            <v/>
          </cell>
          <cell r="Z70" t="str">
            <v>BUY</v>
          </cell>
          <cell r="AA70" t="str">
            <v/>
          </cell>
        </row>
        <row r="71">
          <cell r="A71" t="str">
            <v>A</v>
          </cell>
          <cell r="F71" t="str">
            <v>4310</v>
          </cell>
          <cell r="G71" t="str">
            <v>A</v>
          </cell>
          <cell r="H71">
            <v>2</v>
          </cell>
          <cell r="I71" t="str">
            <v>Closing Income to Operating</v>
          </cell>
          <cell r="J71" t="str">
            <v>Closing Income to Operating</v>
          </cell>
          <cell r="K71">
            <v>0</v>
          </cell>
          <cell r="L71">
            <v>0</v>
          </cell>
          <cell r="M71">
            <v>0</v>
          </cell>
          <cell r="N71">
            <v>0</v>
          </cell>
          <cell r="O71">
            <v>0</v>
          </cell>
          <cell r="P71">
            <v>0</v>
          </cell>
          <cell r="Q71" t="str">
            <v/>
          </cell>
          <cell r="R71" t="str">
            <v/>
          </cell>
          <cell r="S71" t="str">
            <v/>
          </cell>
          <cell r="T71" t="str">
            <v/>
          </cell>
          <cell r="U71" t="str">
            <v/>
          </cell>
          <cell r="V71" t="str">
            <v/>
          </cell>
          <cell r="W71">
            <v>0</v>
          </cell>
          <cell r="X71">
            <v>0</v>
          </cell>
          <cell r="Y71" t="str">
            <v/>
          </cell>
          <cell r="Z71" t="str">
            <v>BUY</v>
          </cell>
          <cell r="AA71" t="str">
            <v/>
          </cell>
        </row>
        <row r="72">
          <cell r="A72" t="str">
            <v>A</v>
          </cell>
          <cell r="F72" t="str">
            <v>4310-1</v>
          </cell>
          <cell r="G72" t="str">
            <v>A</v>
          </cell>
          <cell r="H72">
            <v>2</v>
          </cell>
          <cell r="I72" t="str">
            <v>Closing Income to Operating</v>
          </cell>
          <cell r="J72" t="str">
            <v>Closing Income to Operating</v>
          </cell>
          <cell r="K72">
            <v>0</v>
          </cell>
          <cell r="L72">
            <v>0</v>
          </cell>
          <cell r="M72">
            <v>0</v>
          </cell>
          <cell r="N72">
            <v>0</v>
          </cell>
          <cell r="O72">
            <v>0</v>
          </cell>
          <cell r="P72">
            <v>0</v>
          </cell>
          <cell r="Q72" t="str">
            <v/>
          </cell>
          <cell r="R72" t="str">
            <v/>
          </cell>
          <cell r="S72" t="str">
            <v/>
          </cell>
          <cell r="T72" t="str">
            <v/>
          </cell>
          <cell r="U72" t="str">
            <v/>
          </cell>
          <cell r="V72" t="str">
            <v/>
          </cell>
          <cell r="W72">
            <v>0</v>
          </cell>
          <cell r="X72">
            <v>0</v>
          </cell>
          <cell r="Y72" t="str">
            <v/>
          </cell>
          <cell r="Z72" t="str">
            <v>BUY</v>
          </cell>
          <cell r="AA72" t="str">
            <v/>
          </cell>
        </row>
        <row r="73">
          <cell r="A73" t="str">
            <v>A</v>
          </cell>
          <cell r="F73" t="str">
            <v>4310-2</v>
          </cell>
          <cell r="G73" t="str">
            <v>A</v>
          </cell>
          <cell r="H73">
            <v>2</v>
          </cell>
          <cell r="I73" t="str">
            <v>Closing Income to Operating</v>
          </cell>
          <cell r="J73" t="str">
            <v>Closing Income to Operating</v>
          </cell>
          <cell r="K73">
            <v>0</v>
          </cell>
          <cell r="L73">
            <v>0</v>
          </cell>
          <cell r="M73">
            <v>0</v>
          </cell>
          <cell r="N73">
            <v>0</v>
          </cell>
          <cell r="O73">
            <v>0</v>
          </cell>
          <cell r="P73">
            <v>0</v>
          </cell>
          <cell r="Q73" t="str">
            <v/>
          </cell>
          <cell r="R73" t="str">
            <v/>
          </cell>
          <cell r="S73" t="str">
            <v/>
          </cell>
          <cell r="T73" t="str">
            <v/>
          </cell>
          <cell r="U73" t="str">
            <v/>
          </cell>
          <cell r="V73" t="str">
            <v/>
          </cell>
          <cell r="W73">
            <v>0</v>
          </cell>
          <cell r="X73">
            <v>0</v>
          </cell>
          <cell r="Y73" t="str">
            <v/>
          </cell>
          <cell r="Z73" t="str">
            <v>BUY</v>
          </cell>
          <cell r="AA73" t="str">
            <v/>
          </cell>
        </row>
        <row r="74">
          <cell r="A74" t="str">
            <v>A</v>
          </cell>
          <cell r="F74" t="str">
            <v>4310-3</v>
          </cell>
          <cell r="G74" t="str">
            <v>A</v>
          </cell>
          <cell r="H74">
            <v>2</v>
          </cell>
          <cell r="I74" t="str">
            <v>Closing Income to Operating</v>
          </cell>
          <cell r="J74" t="str">
            <v>Closing Income to Operating</v>
          </cell>
          <cell r="K74">
            <v>0</v>
          </cell>
          <cell r="L74">
            <v>0</v>
          </cell>
          <cell r="M74">
            <v>0</v>
          </cell>
          <cell r="N74">
            <v>0</v>
          </cell>
          <cell r="O74">
            <v>0</v>
          </cell>
          <cell r="P74">
            <v>0</v>
          </cell>
          <cell r="Q74" t="str">
            <v/>
          </cell>
          <cell r="R74" t="str">
            <v/>
          </cell>
          <cell r="S74" t="str">
            <v/>
          </cell>
          <cell r="T74" t="str">
            <v/>
          </cell>
          <cell r="U74" t="str">
            <v/>
          </cell>
          <cell r="V74" t="str">
            <v/>
          </cell>
          <cell r="W74">
            <v>0</v>
          </cell>
          <cell r="X74">
            <v>0</v>
          </cell>
          <cell r="Y74" t="str">
            <v/>
          </cell>
          <cell r="Z74" t="str">
            <v>BUY</v>
          </cell>
          <cell r="AA74" t="str">
            <v/>
          </cell>
        </row>
        <row r="75">
          <cell r="A75" t="str">
            <v>A</v>
          </cell>
          <cell r="F75" t="str">
            <v>4310-4</v>
          </cell>
          <cell r="G75" t="str">
            <v>A</v>
          </cell>
          <cell r="H75">
            <v>2</v>
          </cell>
          <cell r="I75" t="str">
            <v>Closing Income to Operating</v>
          </cell>
          <cell r="J75" t="str">
            <v>Closing Income to Operating</v>
          </cell>
          <cell r="K75">
            <v>0</v>
          </cell>
          <cell r="L75">
            <v>0</v>
          </cell>
          <cell r="M75">
            <v>0</v>
          </cell>
          <cell r="N75">
            <v>0</v>
          </cell>
          <cell r="O75">
            <v>0</v>
          </cell>
          <cell r="P75">
            <v>0</v>
          </cell>
          <cell r="Q75" t="str">
            <v/>
          </cell>
          <cell r="R75" t="str">
            <v/>
          </cell>
          <cell r="S75" t="str">
            <v/>
          </cell>
          <cell r="T75" t="str">
            <v/>
          </cell>
          <cell r="U75" t="str">
            <v/>
          </cell>
          <cell r="V75" t="str">
            <v/>
          </cell>
          <cell r="W75">
            <v>0</v>
          </cell>
          <cell r="X75">
            <v>0</v>
          </cell>
          <cell r="Y75" t="str">
            <v/>
          </cell>
          <cell r="Z75" t="str">
            <v>BUY</v>
          </cell>
          <cell r="AA75" t="str">
            <v/>
          </cell>
        </row>
        <row r="76">
          <cell r="A76" t="str">
            <v>A</v>
          </cell>
          <cell r="F76" t="str">
            <v>4310-5</v>
          </cell>
          <cell r="G76" t="str">
            <v>A</v>
          </cell>
          <cell r="H76">
            <v>2</v>
          </cell>
          <cell r="I76" t="str">
            <v>Closing Income to Operating</v>
          </cell>
          <cell r="J76" t="str">
            <v>Closing Income to Operating</v>
          </cell>
          <cell r="K76">
            <v>0</v>
          </cell>
          <cell r="L76">
            <v>0</v>
          </cell>
          <cell r="M76">
            <v>0</v>
          </cell>
          <cell r="N76">
            <v>0</v>
          </cell>
          <cell r="O76">
            <v>0</v>
          </cell>
          <cell r="P76">
            <v>0</v>
          </cell>
          <cell r="Q76" t="str">
            <v/>
          </cell>
          <cell r="R76" t="str">
            <v/>
          </cell>
          <cell r="S76" t="str">
            <v/>
          </cell>
          <cell r="T76" t="str">
            <v/>
          </cell>
          <cell r="U76" t="str">
            <v/>
          </cell>
          <cell r="V76" t="str">
            <v/>
          </cell>
          <cell r="W76">
            <v>0</v>
          </cell>
          <cell r="X76">
            <v>0</v>
          </cell>
          <cell r="Y76" t="str">
            <v/>
          </cell>
          <cell r="Z76" t="str">
            <v>BUY</v>
          </cell>
          <cell r="AA76" t="str">
            <v/>
          </cell>
        </row>
        <row r="77">
          <cell r="A77" t="str">
            <v>A</v>
          </cell>
          <cell r="F77" t="str">
            <v>4320</v>
          </cell>
          <cell r="G77" t="str">
            <v>A</v>
          </cell>
          <cell r="H77">
            <v>2</v>
          </cell>
          <cell r="I77" t="str">
            <v>Closing Income to Insurance</v>
          </cell>
          <cell r="J77" t="str">
            <v>Closing Income to Insurance</v>
          </cell>
          <cell r="K77">
            <v>0</v>
          </cell>
          <cell r="L77">
            <v>0</v>
          </cell>
          <cell r="M77">
            <v>0</v>
          </cell>
          <cell r="N77">
            <v>0</v>
          </cell>
          <cell r="O77">
            <v>0</v>
          </cell>
          <cell r="P77">
            <v>0</v>
          </cell>
          <cell r="Q77" t="str">
            <v/>
          </cell>
          <cell r="R77" t="str">
            <v/>
          </cell>
          <cell r="S77" t="str">
            <v/>
          </cell>
          <cell r="T77" t="str">
            <v/>
          </cell>
          <cell r="U77" t="str">
            <v/>
          </cell>
          <cell r="V77" t="str">
            <v/>
          </cell>
          <cell r="W77">
            <v>0</v>
          </cell>
          <cell r="X77">
            <v>0</v>
          </cell>
          <cell r="Y77" t="str">
            <v/>
          </cell>
          <cell r="Z77" t="str">
            <v>BUY</v>
          </cell>
          <cell r="AA77" t="str">
            <v/>
          </cell>
        </row>
        <row r="78">
          <cell r="A78" t="str">
            <v>A</v>
          </cell>
          <cell r="F78" t="str">
            <v>4330</v>
          </cell>
          <cell r="G78" t="str">
            <v>A</v>
          </cell>
          <cell r="H78">
            <v>2</v>
          </cell>
          <cell r="I78" t="str">
            <v>PAL/Transfer Fees</v>
          </cell>
          <cell r="J78" t="str">
            <v>PAL/Transfer Fees</v>
          </cell>
          <cell r="K78">
            <v>0</v>
          </cell>
          <cell r="L78">
            <v>0</v>
          </cell>
          <cell r="M78">
            <v>0</v>
          </cell>
          <cell r="N78">
            <v>0</v>
          </cell>
          <cell r="O78">
            <v>0</v>
          </cell>
          <cell r="P78">
            <v>0</v>
          </cell>
          <cell r="Q78" t="str">
            <v/>
          </cell>
          <cell r="R78" t="str">
            <v/>
          </cell>
          <cell r="S78" t="str">
            <v/>
          </cell>
          <cell r="T78" t="str">
            <v/>
          </cell>
          <cell r="U78" t="str">
            <v/>
          </cell>
          <cell r="V78" t="str">
            <v/>
          </cell>
          <cell r="W78">
            <v>0</v>
          </cell>
          <cell r="X78">
            <v>0</v>
          </cell>
          <cell r="Y78" t="str">
            <v/>
          </cell>
          <cell r="Z78" t="str">
            <v>BUY</v>
          </cell>
          <cell r="AA78" t="str">
            <v/>
          </cell>
        </row>
        <row r="79">
          <cell r="A79" t="str">
            <v>A</v>
          </cell>
          <cell r="F79" t="str">
            <v>4400</v>
          </cell>
          <cell r="G79" t="str">
            <v>A</v>
          </cell>
          <cell r="H79">
            <v>2</v>
          </cell>
          <cell r="I79" t="str">
            <v>Homeowner Sale Transfer Fees</v>
          </cell>
          <cell r="J79" t="str">
            <v>Homeowner Sale Transfer Fees</v>
          </cell>
          <cell r="K79">
            <v>0</v>
          </cell>
          <cell r="L79">
            <v>0</v>
          </cell>
          <cell r="M79">
            <v>0</v>
          </cell>
          <cell r="N79">
            <v>0</v>
          </cell>
          <cell r="O79">
            <v>0</v>
          </cell>
          <cell r="P79">
            <v>0</v>
          </cell>
          <cell r="Q79" t="str">
            <v/>
          </cell>
          <cell r="R79" t="str">
            <v/>
          </cell>
          <cell r="S79" t="str">
            <v/>
          </cell>
          <cell r="T79" t="str">
            <v/>
          </cell>
          <cell r="U79" t="str">
            <v/>
          </cell>
          <cell r="V79" t="str">
            <v/>
          </cell>
          <cell r="W79">
            <v>0</v>
          </cell>
          <cell r="X79">
            <v>0</v>
          </cell>
          <cell r="Y79" t="str">
            <v/>
          </cell>
          <cell r="Z79" t="str">
            <v>BUY</v>
          </cell>
          <cell r="AA79" t="str">
            <v/>
          </cell>
        </row>
        <row r="80">
          <cell r="A80" t="str">
            <v>A</v>
          </cell>
          <cell r="F80" t="str">
            <v>4410</v>
          </cell>
          <cell r="G80" t="str">
            <v>A</v>
          </cell>
          <cell r="H80">
            <v>2</v>
          </cell>
          <cell r="I80" t="str">
            <v>Funds From Developer</v>
          </cell>
          <cell r="J80" t="str">
            <v>Funds From Developer</v>
          </cell>
          <cell r="K80">
            <v>0</v>
          </cell>
          <cell r="L80">
            <v>0</v>
          </cell>
          <cell r="M80">
            <v>0</v>
          </cell>
          <cell r="N80">
            <v>0</v>
          </cell>
          <cell r="O80">
            <v>0</v>
          </cell>
          <cell r="P80">
            <v>0</v>
          </cell>
          <cell r="Q80" t="str">
            <v/>
          </cell>
          <cell r="R80" t="str">
            <v/>
          </cell>
          <cell r="S80" t="str">
            <v/>
          </cell>
          <cell r="T80" t="str">
            <v/>
          </cell>
          <cell r="U80" t="str">
            <v/>
          </cell>
          <cell r="V80" t="str">
            <v/>
          </cell>
          <cell r="W80">
            <v>0</v>
          </cell>
          <cell r="X80">
            <v>0</v>
          </cell>
          <cell r="Y80" t="str">
            <v/>
          </cell>
          <cell r="Z80" t="str">
            <v>BUY</v>
          </cell>
          <cell r="AA80" t="str">
            <v/>
          </cell>
        </row>
        <row r="81">
          <cell r="A81" t="str">
            <v>A</v>
          </cell>
          <cell r="F81" t="str">
            <v>4410-0001</v>
          </cell>
          <cell r="G81" t="str">
            <v>A</v>
          </cell>
          <cell r="H81">
            <v>2</v>
          </cell>
          <cell r="I81" t="str">
            <v>Commerical Income Nextel</v>
          </cell>
          <cell r="J81" t="str">
            <v>Commerical Income Nextel</v>
          </cell>
          <cell r="K81">
            <v>0</v>
          </cell>
          <cell r="L81">
            <v>0</v>
          </cell>
          <cell r="M81">
            <v>0</v>
          </cell>
          <cell r="N81">
            <v>0</v>
          </cell>
          <cell r="O81">
            <v>0</v>
          </cell>
          <cell r="P81">
            <v>0</v>
          </cell>
          <cell r="Q81" t="str">
            <v/>
          </cell>
          <cell r="R81" t="str">
            <v/>
          </cell>
          <cell r="S81" t="str">
            <v/>
          </cell>
          <cell r="T81" t="str">
            <v/>
          </cell>
          <cell r="U81" t="str">
            <v/>
          </cell>
          <cell r="V81" t="str">
            <v/>
          </cell>
          <cell r="W81">
            <v>0</v>
          </cell>
          <cell r="X81">
            <v>0</v>
          </cell>
          <cell r="Y81" t="str">
            <v/>
          </cell>
          <cell r="Z81" t="str">
            <v>BUY</v>
          </cell>
          <cell r="AA81" t="str">
            <v/>
          </cell>
        </row>
        <row r="82">
          <cell r="A82" t="str">
            <v>A</v>
          </cell>
          <cell r="F82" t="str">
            <v>4410-0002</v>
          </cell>
          <cell r="G82" t="str">
            <v>A</v>
          </cell>
          <cell r="H82">
            <v>2</v>
          </cell>
          <cell r="I82" t="str">
            <v>Commercial Income Sprint</v>
          </cell>
          <cell r="J82" t="str">
            <v>Commercial Income Sprint</v>
          </cell>
          <cell r="K82">
            <v>0</v>
          </cell>
          <cell r="L82">
            <v>0</v>
          </cell>
          <cell r="M82">
            <v>0</v>
          </cell>
          <cell r="N82">
            <v>0</v>
          </cell>
          <cell r="O82">
            <v>0</v>
          </cell>
          <cell r="P82">
            <v>0</v>
          </cell>
          <cell r="Q82" t="str">
            <v/>
          </cell>
          <cell r="R82" t="str">
            <v/>
          </cell>
          <cell r="S82" t="str">
            <v/>
          </cell>
          <cell r="T82" t="str">
            <v/>
          </cell>
          <cell r="U82" t="str">
            <v/>
          </cell>
          <cell r="V82" t="str">
            <v/>
          </cell>
          <cell r="W82">
            <v>0</v>
          </cell>
          <cell r="X82">
            <v>0</v>
          </cell>
          <cell r="Y82" t="str">
            <v/>
          </cell>
          <cell r="Z82" t="str">
            <v>BUY</v>
          </cell>
          <cell r="AA82" t="str">
            <v/>
          </cell>
        </row>
        <row r="83">
          <cell r="A83" t="str">
            <v>A</v>
          </cell>
          <cell r="F83" t="str">
            <v>4410-0003</v>
          </cell>
          <cell r="G83" t="str">
            <v>A</v>
          </cell>
          <cell r="H83">
            <v>2</v>
          </cell>
          <cell r="I83" t="str">
            <v>Commercial Income Cingular</v>
          </cell>
          <cell r="J83" t="str">
            <v>Commercial Income Cingular</v>
          </cell>
          <cell r="K83">
            <v>0</v>
          </cell>
          <cell r="L83">
            <v>0</v>
          </cell>
          <cell r="M83">
            <v>0</v>
          </cell>
          <cell r="N83">
            <v>0</v>
          </cell>
          <cell r="O83">
            <v>0</v>
          </cell>
          <cell r="P83">
            <v>0</v>
          </cell>
          <cell r="Q83" t="str">
            <v/>
          </cell>
          <cell r="R83" t="str">
            <v/>
          </cell>
          <cell r="S83" t="str">
            <v/>
          </cell>
          <cell r="T83" t="str">
            <v/>
          </cell>
          <cell r="U83" t="str">
            <v/>
          </cell>
          <cell r="V83" t="str">
            <v/>
          </cell>
          <cell r="W83">
            <v>0</v>
          </cell>
          <cell r="X83">
            <v>0</v>
          </cell>
          <cell r="Y83" t="str">
            <v/>
          </cell>
          <cell r="Z83" t="str">
            <v>BUY</v>
          </cell>
          <cell r="AA83" t="str">
            <v/>
          </cell>
        </row>
        <row r="84">
          <cell r="A84" t="str">
            <v>A</v>
          </cell>
          <cell r="F84" t="str">
            <v>4415</v>
          </cell>
          <cell r="G84" t="str">
            <v>A</v>
          </cell>
          <cell r="H84">
            <v>2</v>
          </cell>
          <cell r="I84" t="str">
            <v>Commercial CAM</v>
          </cell>
          <cell r="J84" t="str">
            <v>Commercial CAM</v>
          </cell>
          <cell r="K84">
            <v>0</v>
          </cell>
          <cell r="L84">
            <v>0</v>
          </cell>
          <cell r="M84">
            <v>0</v>
          </cell>
          <cell r="N84">
            <v>0</v>
          </cell>
          <cell r="O84">
            <v>0</v>
          </cell>
          <cell r="P84">
            <v>0</v>
          </cell>
          <cell r="Q84" t="str">
            <v/>
          </cell>
          <cell r="R84" t="str">
            <v/>
          </cell>
          <cell r="S84" t="str">
            <v/>
          </cell>
          <cell r="T84" t="str">
            <v/>
          </cell>
          <cell r="U84" t="str">
            <v/>
          </cell>
          <cell r="V84" t="str">
            <v/>
          </cell>
          <cell r="W84">
            <v>0</v>
          </cell>
          <cell r="X84">
            <v>0</v>
          </cell>
          <cell r="Y84" t="str">
            <v/>
          </cell>
          <cell r="Z84" t="str">
            <v>BUY</v>
          </cell>
          <cell r="AA84" t="str">
            <v/>
          </cell>
        </row>
        <row r="85">
          <cell r="A85" t="str">
            <v>A</v>
          </cell>
          <cell r="F85" t="str">
            <v>4500</v>
          </cell>
          <cell r="G85" t="str">
            <v>A</v>
          </cell>
          <cell r="H85">
            <v>2</v>
          </cell>
          <cell r="I85" t="str">
            <v>Activities Income</v>
          </cell>
          <cell r="J85" t="str">
            <v>Activities Income</v>
          </cell>
          <cell r="K85">
            <v>0</v>
          </cell>
          <cell r="L85">
            <v>0</v>
          </cell>
          <cell r="M85">
            <v>0</v>
          </cell>
          <cell r="N85">
            <v>0</v>
          </cell>
          <cell r="O85">
            <v>0</v>
          </cell>
          <cell r="P85">
            <v>0</v>
          </cell>
          <cell r="Q85" t="str">
            <v/>
          </cell>
          <cell r="R85" t="str">
            <v/>
          </cell>
          <cell r="S85" t="str">
            <v/>
          </cell>
          <cell r="T85" t="str">
            <v/>
          </cell>
          <cell r="U85" t="str">
            <v/>
          </cell>
          <cell r="V85" t="str">
            <v/>
          </cell>
          <cell r="W85">
            <v>0</v>
          </cell>
          <cell r="X85">
            <v>0</v>
          </cell>
          <cell r="Y85" t="str">
            <v/>
          </cell>
          <cell r="Z85" t="str">
            <v>BUY</v>
          </cell>
          <cell r="AA85" t="str">
            <v/>
          </cell>
        </row>
        <row r="86">
          <cell r="A86" t="str">
            <v>A</v>
          </cell>
          <cell r="F86" t="str">
            <v>4500-5</v>
          </cell>
          <cell r="G86" t="str">
            <v>A</v>
          </cell>
          <cell r="H86">
            <v>2</v>
          </cell>
          <cell r="I86" t="str">
            <v>Activities Expense</v>
          </cell>
          <cell r="J86" t="str">
            <v>Activities Expense</v>
          </cell>
          <cell r="K86">
            <v>0</v>
          </cell>
          <cell r="L86">
            <v>0</v>
          </cell>
          <cell r="M86">
            <v>0</v>
          </cell>
          <cell r="N86">
            <v>0</v>
          </cell>
          <cell r="O86">
            <v>0</v>
          </cell>
          <cell r="P86">
            <v>0</v>
          </cell>
          <cell r="Q86" t="str">
            <v/>
          </cell>
          <cell r="R86" t="str">
            <v/>
          </cell>
          <cell r="S86" t="str">
            <v/>
          </cell>
          <cell r="T86" t="str">
            <v/>
          </cell>
          <cell r="U86" t="str">
            <v/>
          </cell>
          <cell r="V86" t="str">
            <v/>
          </cell>
          <cell r="W86">
            <v>0</v>
          </cell>
          <cell r="X86">
            <v>0</v>
          </cell>
          <cell r="Y86" t="str">
            <v/>
          </cell>
          <cell r="Z86" t="str">
            <v>BUY</v>
          </cell>
          <cell r="AA86" t="str">
            <v/>
          </cell>
        </row>
        <row r="87">
          <cell r="A87" t="str">
            <v>A</v>
          </cell>
          <cell r="F87" t="str">
            <v>4510</v>
          </cell>
          <cell r="G87" t="str">
            <v>A</v>
          </cell>
          <cell r="H87">
            <v>2</v>
          </cell>
          <cell r="I87" t="str">
            <v>Commercial Income</v>
          </cell>
          <cell r="J87" t="str">
            <v>Commercial Income</v>
          </cell>
          <cell r="K87">
            <v>0</v>
          </cell>
          <cell r="L87">
            <v>0</v>
          </cell>
          <cell r="M87">
            <v>-20400</v>
          </cell>
          <cell r="N87">
            <v>-20400</v>
          </cell>
          <cell r="O87">
            <v>-35009</v>
          </cell>
          <cell r="P87">
            <v>-14609</v>
          </cell>
          <cell r="Q87">
            <v>0.7161274509803921</v>
          </cell>
          <cell r="R87" t="str">
            <v xml:space="preserve">GL 4310 Includes rent for tailor shop at $1785/mo. Mega Tailor to pay $1874.25 beginning 9/2010 Also budget engineer's unit at $1500/mo to start in April 2010. </v>
          </cell>
          <cell r="S87" t="str">
            <v/>
          </cell>
          <cell r="T87" t="str">
            <v/>
          </cell>
          <cell r="U87" t="str">
            <v/>
          </cell>
          <cell r="V87" t="str">
            <v/>
          </cell>
          <cell r="W87">
            <v>-75809</v>
          </cell>
          <cell r="X87">
            <v>0</v>
          </cell>
          <cell r="Y87" t="str">
            <v>A</v>
          </cell>
          <cell r="Z87" t="str">
            <v>BUY</v>
          </cell>
          <cell r="AA87" t="str">
            <v/>
          </cell>
        </row>
        <row r="88">
          <cell r="A88" t="str">
            <v>A</v>
          </cell>
          <cell r="F88" t="str">
            <v>4605</v>
          </cell>
          <cell r="G88" t="str">
            <v>A</v>
          </cell>
          <cell r="H88">
            <v>2</v>
          </cell>
          <cell r="I88" t="str">
            <v>All Interest Income</v>
          </cell>
          <cell r="J88" t="str">
            <v>All Interest Income</v>
          </cell>
          <cell r="K88">
            <v>0</v>
          </cell>
          <cell r="L88">
            <v>0</v>
          </cell>
          <cell r="M88">
            <v>0</v>
          </cell>
          <cell r="N88">
            <v>0</v>
          </cell>
          <cell r="O88">
            <v>0</v>
          </cell>
          <cell r="P88">
            <v>0</v>
          </cell>
          <cell r="Q88" t="str">
            <v/>
          </cell>
          <cell r="R88" t="str">
            <v/>
          </cell>
          <cell r="S88" t="str">
            <v/>
          </cell>
          <cell r="T88" t="str">
            <v/>
          </cell>
          <cell r="U88" t="str">
            <v/>
          </cell>
          <cell r="V88" t="str">
            <v/>
          </cell>
          <cell r="W88">
            <v>0</v>
          </cell>
          <cell r="X88">
            <v>0</v>
          </cell>
          <cell r="Y88" t="str">
            <v/>
          </cell>
          <cell r="Z88" t="str">
            <v>BUY</v>
          </cell>
          <cell r="AA88" t="str">
            <v/>
          </cell>
        </row>
        <row r="89">
          <cell r="A89" t="str">
            <v>A</v>
          </cell>
          <cell r="F89" t="str">
            <v>4610</v>
          </cell>
          <cell r="G89" t="str">
            <v>A</v>
          </cell>
          <cell r="H89">
            <v>2</v>
          </cell>
          <cell r="I89" t="str">
            <v>Checking Account Interest</v>
          </cell>
          <cell r="J89" t="str">
            <v>Checking Account Interest</v>
          </cell>
          <cell r="K89">
            <v>0</v>
          </cell>
          <cell r="L89">
            <v>0</v>
          </cell>
          <cell r="M89">
            <v>-5987</v>
          </cell>
          <cell r="N89">
            <v>-1620</v>
          </cell>
          <cell r="O89">
            <v>-500</v>
          </cell>
          <cell r="P89">
            <v>5487</v>
          </cell>
          <cell r="Q89">
            <v>-0.91648571905795895</v>
          </cell>
          <cell r="R89" t="str">
            <v xml:space="preserve">GL 4102 Recommend budgeted limited income from operating funds. </v>
          </cell>
          <cell r="S89" t="str">
            <v/>
          </cell>
          <cell r="T89" t="str">
            <v/>
          </cell>
          <cell r="U89" t="str">
            <v/>
          </cell>
          <cell r="V89" t="str">
            <v/>
          </cell>
          <cell r="W89">
            <v>-8107</v>
          </cell>
          <cell r="X89">
            <v>0</v>
          </cell>
          <cell r="Y89" t="str">
            <v>A</v>
          </cell>
          <cell r="Z89" t="str">
            <v>BUY</v>
          </cell>
          <cell r="AA89" t="str">
            <v/>
          </cell>
        </row>
        <row r="90">
          <cell r="A90" t="str">
            <v>A</v>
          </cell>
          <cell r="F90" t="str">
            <v>4620</v>
          </cell>
          <cell r="G90" t="str">
            <v>A</v>
          </cell>
          <cell r="H90">
            <v>2</v>
          </cell>
          <cell r="I90" t="str">
            <v>Operating MM Interest</v>
          </cell>
          <cell r="J90" t="str">
            <v>Operating MM Interest</v>
          </cell>
          <cell r="K90">
            <v>0</v>
          </cell>
          <cell r="L90">
            <v>0</v>
          </cell>
          <cell r="M90">
            <v>0</v>
          </cell>
          <cell r="N90">
            <v>0</v>
          </cell>
          <cell r="O90">
            <v>0</v>
          </cell>
          <cell r="P90">
            <v>0</v>
          </cell>
          <cell r="Q90" t="str">
            <v/>
          </cell>
          <cell r="R90" t="str">
            <v/>
          </cell>
          <cell r="S90" t="str">
            <v/>
          </cell>
          <cell r="T90" t="str">
            <v/>
          </cell>
          <cell r="U90" t="str">
            <v/>
          </cell>
          <cell r="V90" t="str">
            <v/>
          </cell>
          <cell r="W90">
            <v>0</v>
          </cell>
          <cell r="X90">
            <v>0</v>
          </cell>
          <cell r="Y90" t="str">
            <v/>
          </cell>
          <cell r="Z90" t="str">
            <v>BUY</v>
          </cell>
          <cell r="AA90" t="str">
            <v/>
          </cell>
        </row>
        <row r="91">
          <cell r="A91" t="str">
            <v>A</v>
          </cell>
          <cell r="F91" t="str">
            <v>4630</v>
          </cell>
          <cell r="G91" t="str">
            <v>A</v>
          </cell>
          <cell r="H91">
            <v>2</v>
          </cell>
          <cell r="I91" t="str">
            <v>Other Operating Interest</v>
          </cell>
          <cell r="J91" t="str">
            <v>Other Operating Interest</v>
          </cell>
          <cell r="K91">
            <v>0</v>
          </cell>
          <cell r="L91">
            <v>0</v>
          </cell>
          <cell r="M91">
            <v>0</v>
          </cell>
          <cell r="N91">
            <v>0</v>
          </cell>
          <cell r="O91">
            <v>0</v>
          </cell>
          <cell r="P91">
            <v>0</v>
          </cell>
          <cell r="Q91" t="str">
            <v/>
          </cell>
          <cell r="R91" t="str">
            <v/>
          </cell>
          <cell r="S91" t="str">
            <v/>
          </cell>
          <cell r="T91" t="str">
            <v/>
          </cell>
          <cell r="U91" t="str">
            <v/>
          </cell>
          <cell r="V91" t="str">
            <v/>
          </cell>
          <cell r="W91">
            <v>0</v>
          </cell>
          <cell r="X91">
            <v>0</v>
          </cell>
          <cell r="Y91" t="str">
            <v/>
          </cell>
          <cell r="Z91" t="str">
            <v>BUY</v>
          </cell>
          <cell r="AA91" t="str">
            <v/>
          </cell>
        </row>
        <row r="92">
          <cell r="A92" t="str">
            <v>A</v>
          </cell>
          <cell r="F92" t="str">
            <v>4640</v>
          </cell>
          <cell r="G92" t="str">
            <v>A</v>
          </cell>
          <cell r="H92">
            <v>2</v>
          </cell>
          <cell r="I92" t="str">
            <v>Reserve Interest to Operating</v>
          </cell>
          <cell r="J92" t="str">
            <v>Reserve Interest to Operating</v>
          </cell>
          <cell r="K92">
            <v>0</v>
          </cell>
          <cell r="L92">
            <v>0</v>
          </cell>
          <cell r="M92">
            <v>0</v>
          </cell>
          <cell r="N92">
            <v>0</v>
          </cell>
          <cell r="O92">
            <v>0</v>
          </cell>
          <cell r="P92">
            <v>0</v>
          </cell>
          <cell r="Q92" t="str">
            <v/>
          </cell>
          <cell r="R92" t="str">
            <v xml:space="preserve">GL 4102 Reserve interest in recorded on the balance sheet. </v>
          </cell>
          <cell r="S92" t="str">
            <v/>
          </cell>
          <cell r="T92" t="str">
            <v/>
          </cell>
          <cell r="U92" t="str">
            <v/>
          </cell>
          <cell r="V92" t="str">
            <v/>
          </cell>
          <cell r="W92">
            <v>0</v>
          </cell>
          <cell r="X92">
            <v>0</v>
          </cell>
          <cell r="Y92" t="str">
            <v/>
          </cell>
          <cell r="Z92" t="str">
            <v>BUY</v>
          </cell>
          <cell r="AA92" t="str">
            <v/>
          </cell>
        </row>
        <row r="93">
          <cell r="A93" t="str">
            <v>A</v>
          </cell>
          <cell r="F93" t="str">
            <v>4695</v>
          </cell>
          <cell r="G93" t="str">
            <v>A</v>
          </cell>
          <cell r="H93">
            <v>2</v>
          </cell>
          <cell r="I93" t="str">
            <v>Other Interest</v>
          </cell>
          <cell r="J93" t="str">
            <v>Other Interest</v>
          </cell>
          <cell r="K93">
            <v>0</v>
          </cell>
          <cell r="L93">
            <v>0</v>
          </cell>
          <cell r="M93">
            <v>0</v>
          </cell>
          <cell r="N93">
            <v>0</v>
          </cell>
          <cell r="O93">
            <v>0</v>
          </cell>
          <cell r="P93">
            <v>0</v>
          </cell>
          <cell r="Q93" t="str">
            <v/>
          </cell>
          <cell r="R93" t="str">
            <v/>
          </cell>
          <cell r="S93" t="str">
            <v/>
          </cell>
          <cell r="T93" t="str">
            <v/>
          </cell>
          <cell r="U93" t="str">
            <v/>
          </cell>
          <cell r="V93" t="str">
            <v/>
          </cell>
          <cell r="W93">
            <v>0</v>
          </cell>
          <cell r="X93">
            <v>0</v>
          </cell>
          <cell r="Y93" t="str">
            <v/>
          </cell>
          <cell r="Z93" t="str">
            <v>BUY</v>
          </cell>
          <cell r="AA93" t="str">
            <v/>
          </cell>
        </row>
        <row r="94">
          <cell r="A94" t="str">
            <v>A</v>
          </cell>
          <cell r="F94" t="str">
            <v>4710</v>
          </cell>
          <cell r="G94" t="str">
            <v>A</v>
          </cell>
          <cell r="H94">
            <v>2</v>
          </cell>
          <cell r="I94" t="str">
            <v>Gain from Sale of Assets</v>
          </cell>
          <cell r="J94" t="str">
            <v>Gain from Sale of Assets</v>
          </cell>
          <cell r="K94">
            <v>0</v>
          </cell>
          <cell r="L94">
            <v>0</v>
          </cell>
          <cell r="M94">
            <v>0</v>
          </cell>
          <cell r="N94">
            <v>0</v>
          </cell>
          <cell r="O94">
            <v>0</v>
          </cell>
          <cell r="P94">
            <v>0</v>
          </cell>
          <cell r="Q94" t="str">
            <v/>
          </cell>
          <cell r="R94" t="str">
            <v/>
          </cell>
          <cell r="S94" t="str">
            <v/>
          </cell>
          <cell r="T94" t="str">
            <v/>
          </cell>
          <cell r="U94" t="str">
            <v/>
          </cell>
          <cell r="V94" t="str">
            <v/>
          </cell>
          <cell r="W94">
            <v>0</v>
          </cell>
          <cell r="X94">
            <v>0</v>
          </cell>
          <cell r="Y94" t="str">
            <v/>
          </cell>
          <cell r="Z94" t="str">
            <v>BUY</v>
          </cell>
          <cell r="AA94" t="str">
            <v/>
          </cell>
        </row>
        <row r="95">
          <cell r="A95" t="str">
            <v>A</v>
          </cell>
          <cell r="F95" t="str">
            <v>4990</v>
          </cell>
          <cell r="G95" t="str">
            <v>A</v>
          </cell>
          <cell r="H95">
            <v>2</v>
          </cell>
          <cell r="I95" t="str">
            <v>Sunshine Fund</v>
          </cell>
          <cell r="J95" t="str">
            <v>Sunshine Fund</v>
          </cell>
          <cell r="K95">
            <v>0</v>
          </cell>
          <cell r="L95">
            <v>0</v>
          </cell>
          <cell r="M95">
            <v>0</v>
          </cell>
          <cell r="N95">
            <v>0</v>
          </cell>
          <cell r="O95">
            <v>0</v>
          </cell>
          <cell r="P95">
            <v>0</v>
          </cell>
          <cell r="Q95" t="str">
            <v/>
          </cell>
          <cell r="R95" t="str">
            <v/>
          </cell>
          <cell r="S95" t="str">
            <v/>
          </cell>
          <cell r="T95" t="str">
            <v/>
          </cell>
          <cell r="U95" t="str">
            <v/>
          </cell>
          <cell r="V95" t="str">
            <v/>
          </cell>
          <cell r="W95">
            <v>0</v>
          </cell>
          <cell r="X95">
            <v>0</v>
          </cell>
          <cell r="Y95" t="str">
            <v/>
          </cell>
          <cell r="Z95" t="str">
            <v>BUY</v>
          </cell>
          <cell r="AA95" t="str">
            <v/>
          </cell>
        </row>
        <row r="96">
          <cell r="A96" t="str">
            <v>A</v>
          </cell>
          <cell r="F96" t="str">
            <v>4995</v>
          </cell>
          <cell r="G96" t="str">
            <v>A</v>
          </cell>
          <cell r="H96">
            <v>2</v>
          </cell>
          <cell r="I96" t="str">
            <v>Miscellaneous Income</v>
          </cell>
          <cell r="J96" t="str">
            <v>Miscellaneous Income</v>
          </cell>
          <cell r="K96">
            <v>0</v>
          </cell>
          <cell r="L96">
            <v>0</v>
          </cell>
          <cell r="M96">
            <v>-720</v>
          </cell>
          <cell r="N96">
            <v>-126</v>
          </cell>
          <cell r="O96">
            <v>-720</v>
          </cell>
          <cell r="P96">
            <v>0</v>
          </cell>
          <cell r="Q96">
            <v>0</v>
          </cell>
          <cell r="R96" t="str">
            <v>GL 4332 Includes monies obtained by Association for damages due to moves or deliveries and other misc income budget $60 per month.</v>
          </cell>
          <cell r="S96" t="str">
            <v/>
          </cell>
          <cell r="T96" t="str">
            <v/>
          </cell>
          <cell r="U96" t="str">
            <v/>
          </cell>
          <cell r="V96" t="str">
            <v/>
          </cell>
          <cell r="W96">
            <v>-1566</v>
          </cell>
          <cell r="X96">
            <v>0</v>
          </cell>
          <cell r="Y96" t="str">
            <v>A</v>
          </cell>
          <cell r="Z96" t="str">
            <v>BUY</v>
          </cell>
          <cell r="AA96" t="str">
            <v/>
          </cell>
        </row>
        <row r="97">
          <cell r="A97" t="str">
            <v>A</v>
          </cell>
          <cell r="F97" t="str">
            <v>4996</v>
          </cell>
          <cell r="G97" t="str">
            <v>A</v>
          </cell>
          <cell r="H97">
            <v>2</v>
          </cell>
          <cell r="I97" t="str">
            <v>Verizon Antenna Contract</v>
          </cell>
          <cell r="J97" t="str">
            <v>Miscellaneous Income</v>
          </cell>
          <cell r="K97">
            <v>0</v>
          </cell>
          <cell r="L97">
            <v>0</v>
          </cell>
          <cell r="M97">
            <v>0</v>
          </cell>
          <cell r="N97">
            <v>0</v>
          </cell>
          <cell r="O97">
            <v>0</v>
          </cell>
          <cell r="P97">
            <v>0</v>
          </cell>
          <cell r="Q97" t="str">
            <v/>
          </cell>
          <cell r="T97" t="str">
            <v/>
          </cell>
          <cell r="U97" t="str">
            <v/>
          </cell>
          <cell r="V97" t="str">
            <v/>
          </cell>
          <cell r="W97">
            <v>0</v>
          </cell>
          <cell r="X97">
            <v>0</v>
          </cell>
          <cell r="Y97" t="str">
            <v/>
          </cell>
          <cell r="Z97" t="str">
            <v>BUY</v>
          </cell>
          <cell r="AA97" t="str">
            <v/>
          </cell>
        </row>
        <row r="98">
          <cell r="A98" t="str">
            <v>A</v>
          </cell>
          <cell r="F98" t="str">
            <v>4997</v>
          </cell>
          <cell r="G98" t="str">
            <v>A</v>
          </cell>
          <cell r="H98">
            <v>2</v>
          </cell>
          <cell r="I98" t="str">
            <v>Res 2 Assmt Inc</v>
          </cell>
          <cell r="J98" t="str">
            <v>Res 2 Assmt Inc</v>
          </cell>
          <cell r="K98">
            <v>0</v>
          </cell>
          <cell r="L98">
            <v>0</v>
          </cell>
          <cell r="M98">
            <v>0</v>
          </cell>
          <cell r="N98">
            <v>0</v>
          </cell>
          <cell r="O98">
            <v>0</v>
          </cell>
          <cell r="P98">
            <v>0</v>
          </cell>
          <cell r="Q98" t="str">
            <v/>
          </cell>
          <cell r="R98" t="str">
            <v/>
          </cell>
          <cell r="S98" t="str">
            <v/>
          </cell>
          <cell r="T98" t="str">
            <v/>
          </cell>
          <cell r="U98" t="str">
            <v/>
          </cell>
          <cell r="V98" t="str">
            <v/>
          </cell>
          <cell r="W98">
            <v>0</v>
          </cell>
          <cell r="X98">
            <v>0</v>
          </cell>
          <cell r="Y98" t="str">
            <v/>
          </cell>
          <cell r="Z98" t="str">
            <v>BUY</v>
          </cell>
          <cell r="AA98" t="str">
            <v/>
          </cell>
        </row>
        <row r="99">
          <cell r="A99" t="str">
            <v>A</v>
          </cell>
          <cell r="F99" t="str">
            <v>4998</v>
          </cell>
          <cell r="G99" t="str">
            <v>A</v>
          </cell>
          <cell r="H99">
            <v>2</v>
          </cell>
          <cell r="I99" t="str">
            <v>Res 2 Disbursement</v>
          </cell>
          <cell r="J99" t="str">
            <v>Res 2 Disbursement</v>
          </cell>
          <cell r="K99">
            <v>0</v>
          </cell>
          <cell r="L99">
            <v>0</v>
          </cell>
          <cell r="M99">
            <v>0</v>
          </cell>
          <cell r="N99">
            <v>0</v>
          </cell>
          <cell r="O99">
            <v>0</v>
          </cell>
          <cell r="P99">
            <v>0</v>
          </cell>
          <cell r="Q99" t="str">
            <v/>
          </cell>
          <cell r="R99" t="str">
            <v/>
          </cell>
          <cell r="S99" t="str">
            <v/>
          </cell>
          <cell r="T99" t="str">
            <v/>
          </cell>
          <cell r="U99" t="str">
            <v/>
          </cell>
          <cell r="V99" t="str">
            <v/>
          </cell>
          <cell r="W99">
            <v>0</v>
          </cell>
          <cell r="X99">
            <v>0</v>
          </cell>
          <cell r="Y99" t="str">
            <v/>
          </cell>
          <cell r="Z99" t="str">
            <v>BUY</v>
          </cell>
          <cell r="AA99" t="str">
            <v/>
          </cell>
        </row>
        <row r="100">
          <cell r="A100" t="str">
            <v>A</v>
          </cell>
          <cell r="F100" t="str">
            <v>4999</v>
          </cell>
          <cell r="G100" t="str">
            <v>A</v>
          </cell>
          <cell r="H100">
            <v>2</v>
          </cell>
          <cell r="I100" t="str">
            <v>Wage Reimb Income</v>
          </cell>
          <cell r="J100" t="str">
            <v>Wage Reimb Income</v>
          </cell>
          <cell r="K100">
            <v>0</v>
          </cell>
          <cell r="L100">
            <v>0</v>
          </cell>
          <cell r="M100">
            <v>0</v>
          </cell>
          <cell r="N100">
            <v>0</v>
          </cell>
          <cell r="O100">
            <v>0</v>
          </cell>
          <cell r="P100">
            <v>0</v>
          </cell>
          <cell r="Q100" t="str">
            <v/>
          </cell>
          <cell r="R100" t="str">
            <v/>
          </cell>
          <cell r="S100" t="str">
            <v/>
          </cell>
          <cell r="T100" t="str">
            <v/>
          </cell>
          <cell r="U100" t="str">
            <v/>
          </cell>
          <cell r="V100" t="str">
            <v/>
          </cell>
          <cell r="W100">
            <v>0</v>
          </cell>
          <cell r="X100">
            <v>0</v>
          </cell>
          <cell r="Y100" t="str">
            <v/>
          </cell>
          <cell r="Z100" t="str">
            <v>BUY</v>
          </cell>
          <cell r="AA100" t="str">
            <v/>
          </cell>
        </row>
        <row r="101">
          <cell r="A101" t="str">
            <v>A</v>
          </cell>
          <cell r="F101" t="str">
            <v>7010</v>
          </cell>
          <cell r="G101" t="str">
            <v>A</v>
          </cell>
          <cell r="H101">
            <v>3</v>
          </cell>
          <cell r="I101" t="str">
            <v>All Office Salaries</v>
          </cell>
          <cell r="J101" t="str">
            <v>All Office Salaries</v>
          </cell>
          <cell r="K101">
            <v>0</v>
          </cell>
          <cell r="L101">
            <v>0</v>
          </cell>
          <cell r="M101">
            <v>0</v>
          </cell>
          <cell r="N101">
            <v>0</v>
          </cell>
          <cell r="O101">
            <v>0</v>
          </cell>
          <cell r="P101">
            <v>0</v>
          </cell>
          <cell r="Q101" t="str">
            <v/>
          </cell>
          <cell r="R101" t="str">
            <v/>
          </cell>
          <cell r="S101" t="str">
            <v/>
          </cell>
          <cell r="T101" t="str">
            <v/>
          </cell>
          <cell r="U101" t="str">
            <v/>
          </cell>
          <cell r="V101" t="str">
            <v/>
          </cell>
          <cell r="W101">
            <v>0</v>
          </cell>
          <cell r="X101">
            <v>0</v>
          </cell>
          <cell r="Y101" t="str">
            <v/>
          </cell>
          <cell r="Z101" t="str">
            <v>BUY</v>
          </cell>
          <cell r="AA101" t="str">
            <v/>
          </cell>
        </row>
        <row r="102">
          <cell r="A102" t="str">
            <v>A</v>
          </cell>
          <cell r="F102" t="str">
            <v>7011</v>
          </cell>
          <cell r="G102" t="str">
            <v>A</v>
          </cell>
          <cell r="H102">
            <v>3</v>
          </cell>
          <cell r="I102" t="str">
            <v>On Site Manager</v>
          </cell>
          <cell r="J102" t="str">
            <v>On Site Manager</v>
          </cell>
          <cell r="K102">
            <v>0</v>
          </cell>
          <cell r="L102">
            <v>0</v>
          </cell>
          <cell r="M102">
            <v>0</v>
          </cell>
          <cell r="N102">
            <v>0</v>
          </cell>
          <cell r="O102">
            <v>32000</v>
          </cell>
          <cell r="P102">
            <v>32000</v>
          </cell>
          <cell r="Q102" t="str">
            <v/>
          </cell>
          <cell r="R102" t="str">
            <v>On-site Manager $25 per hour, 20 hours per week. Full time through March 2010.</v>
          </cell>
          <cell r="S102" t="str">
            <v/>
          </cell>
          <cell r="T102" t="str">
            <v/>
          </cell>
          <cell r="U102" t="str">
            <v/>
          </cell>
          <cell r="V102" t="str">
            <v/>
          </cell>
          <cell r="W102">
            <v>32000</v>
          </cell>
          <cell r="X102">
            <v>0</v>
          </cell>
          <cell r="Y102" t="str">
            <v>A</v>
          </cell>
          <cell r="Z102" t="str">
            <v>BUY</v>
          </cell>
          <cell r="AA102" t="str">
            <v/>
          </cell>
        </row>
        <row r="103">
          <cell r="A103" t="str">
            <v>A</v>
          </cell>
          <cell r="F103" t="str">
            <v>7012</v>
          </cell>
          <cell r="G103" t="str">
            <v>A</v>
          </cell>
          <cell r="H103">
            <v>3</v>
          </cell>
          <cell r="I103" t="str">
            <v>Assistant Manager</v>
          </cell>
          <cell r="J103" t="str">
            <v>Assistant Manager</v>
          </cell>
          <cell r="K103">
            <v>0</v>
          </cell>
          <cell r="L103">
            <v>0</v>
          </cell>
          <cell r="M103">
            <v>0</v>
          </cell>
          <cell r="N103">
            <v>0</v>
          </cell>
          <cell r="O103">
            <v>0</v>
          </cell>
          <cell r="P103">
            <v>0</v>
          </cell>
          <cell r="Q103" t="str">
            <v/>
          </cell>
          <cell r="R103" t="str">
            <v/>
          </cell>
          <cell r="S103" t="str">
            <v/>
          </cell>
          <cell r="T103" t="str">
            <v/>
          </cell>
          <cell r="U103" t="str">
            <v/>
          </cell>
          <cell r="V103" t="str">
            <v/>
          </cell>
          <cell r="W103">
            <v>0</v>
          </cell>
          <cell r="X103">
            <v>0</v>
          </cell>
          <cell r="Y103" t="str">
            <v/>
          </cell>
          <cell r="Z103" t="str">
            <v>BUY</v>
          </cell>
          <cell r="AA103" t="str">
            <v/>
          </cell>
        </row>
        <row r="104">
          <cell r="A104" t="str">
            <v>A</v>
          </cell>
          <cell r="F104" t="str">
            <v>7013</v>
          </cell>
          <cell r="G104" t="str">
            <v>A</v>
          </cell>
          <cell r="H104">
            <v>3</v>
          </cell>
          <cell r="I104" t="str">
            <v>Secretarial Staff</v>
          </cell>
          <cell r="J104" t="str">
            <v>Secretarial Staff</v>
          </cell>
          <cell r="K104">
            <v>0</v>
          </cell>
          <cell r="L104">
            <v>0</v>
          </cell>
          <cell r="M104">
            <v>0</v>
          </cell>
          <cell r="N104">
            <v>0</v>
          </cell>
          <cell r="O104">
            <v>0</v>
          </cell>
          <cell r="P104">
            <v>0</v>
          </cell>
          <cell r="Q104" t="str">
            <v/>
          </cell>
          <cell r="R104" t="str">
            <v/>
          </cell>
          <cell r="S104" t="str">
            <v/>
          </cell>
          <cell r="T104" t="str">
            <v/>
          </cell>
          <cell r="U104" t="str">
            <v/>
          </cell>
          <cell r="V104" t="str">
            <v/>
          </cell>
          <cell r="W104">
            <v>0</v>
          </cell>
          <cell r="X104">
            <v>0</v>
          </cell>
          <cell r="Y104" t="str">
            <v/>
          </cell>
          <cell r="Z104" t="str">
            <v>BUY</v>
          </cell>
          <cell r="AA104" t="str">
            <v/>
          </cell>
        </row>
        <row r="105">
          <cell r="A105" t="str">
            <v>A</v>
          </cell>
          <cell r="F105" t="str">
            <v>7014</v>
          </cell>
          <cell r="G105" t="str">
            <v>A</v>
          </cell>
          <cell r="H105">
            <v>3</v>
          </cell>
          <cell r="I105" t="str">
            <v>Activity Director</v>
          </cell>
          <cell r="J105" t="str">
            <v>Activity Director</v>
          </cell>
          <cell r="K105">
            <v>0</v>
          </cell>
          <cell r="L105">
            <v>0</v>
          </cell>
          <cell r="M105">
            <v>0</v>
          </cell>
          <cell r="N105">
            <v>0</v>
          </cell>
          <cell r="O105">
            <v>0</v>
          </cell>
          <cell r="P105">
            <v>0</v>
          </cell>
          <cell r="Q105" t="str">
            <v/>
          </cell>
          <cell r="R105" t="str">
            <v/>
          </cell>
          <cell r="S105" t="str">
            <v/>
          </cell>
          <cell r="T105" t="str">
            <v/>
          </cell>
          <cell r="U105" t="str">
            <v/>
          </cell>
          <cell r="V105" t="str">
            <v/>
          </cell>
          <cell r="W105">
            <v>0</v>
          </cell>
          <cell r="X105">
            <v>0</v>
          </cell>
          <cell r="Y105" t="str">
            <v/>
          </cell>
          <cell r="Z105" t="str">
            <v>BUY</v>
          </cell>
          <cell r="AA105" t="str">
            <v/>
          </cell>
        </row>
        <row r="106">
          <cell r="A106" t="str">
            <v>A</v>
          </cell>
          <cell r="F106" t="str">
            <v>7020</v>
          </cell>
          <cell r="G106" t="str">
            <v>A</v>
          </cell>
          <cell r="H106">
            <v>3</v>
          </cell>
          <cell r="I106" t="str">
            <v>Maintenance Salaries</v>
          </cell>
          <cell r="J106" t="str">
            <v>Maintenance Salaries</v>
          </cell>
          <cell r="K106">
            <v>0</v>
          </cell>
          <cell r="L106">
            <v>0</v>
          </cell>
          <cell r="M106">
            <v>0</v>
          </cell>
          <cell r="N106">
            <v>0</v>
          </cell>
          <cell r="O106">
            <v>0</v>
          </cell>
          <cell r="P106">
            <v>0</v>
          </cell>
          <cell r="Q106" t="str">
            <v/>
          </cell>
          <cell r="R106" t="str">
            <v/>
          </cell>
          <cell r="S106" t="str">
            <v/>
          </cell>
          <cell r="T106" t="str">
            <v/>
          </cell>
          <cell r="U106" t="str">
            <v/>
          </cell>
          <cell r="V106" t="str">
            <v/>
          </cell>
          <cell r="W106">
            <v>0</v>
          </cell>
          <cell r="X106">
            <v>0</v>
          </cell>
          <cell r="Y106" t="str">
            <v/>
          </cell>
          <cell r="Z106" t="str">
            <v>BUY</v>
          </cell>
          <cell r="AA106" t="str">
            <v/>
          </cell>
        </row>
        <row r="107">
          <cell r="A107" t="str">
            <v>A</v>
          </cell>
          <cell r="F107" t="str">
            <v>7020-1</v>
          </cell>
          <cell r="G107" t="str">
            <v>A</v>
          </cell>
          <cell r="H107">
            <v>3</v>
          </cell>
          <cell r="I107" t="str">
            <v>Maintenance Assistant Salaries</v>
          </cell>
          <cell r="J107" t="str">
            <v>Maintenance Assistant Salaries</v>
          </cell>
          <cell r="K107">
            <v>0</v>
          </cell>
          <cell r="L107">
            <v>0</v>
          </cell>
          <cell r="M107">
            <v>0</v>
          </cell>
          <cell r="N107">
            <v>0</v>
          </cell>
          <cell r="O107">
            <v>0</v>
          </cell>
          <cell r="P107">
            <v>0</v>
          </cell>
          <cell r="Q107" t="str">
            <v/>
          </cell>
          <cell r="R107" t="str">
            <v/>
          </cell>
          <cell r="S107" t="str">
            <v/>
          </cell>
          <cell r="T107" t="str">
            <v/>
          </cell>
          <cell r="U107" t="str">
            <v/>
          </cell>
          <cell r="V107" t="str">
            <v/>
          </cell>
          <cell r="W107">
            <v>0</v>
          </cell>
          <cell r="X107">
            <v>0</v>
          </cell>
          <cell r="Y107" t="str">
            <v/>
          </cell>
          <cell r="Z107" t="str">
            <v>BUY</v>
          </cell>
          <cell r="AA107" t="str">
            <v/>
          </cell>
        </row>
        <row r="108">
          <cell r="A108" t="str">
            <v>A</v>
          </cell>
          <cell r="F108" t="str">
            <v>7021</v>
          </cell>
          <cell r="G108" t="str">
            <v>A</v>
          </cell>
          <cell r="H108">
            <v>3</v>
          </cell>
          <cell r="I108" t="str">
            <v>Maintenance Supervisor</v>
          </cell>
          <cell r="J108" t="str">
            <v>Maintenance Supervisor</v>
          </cell>
          <cell r="K108">
            <v>0</v>
          </cell>
          <cell r="L108">
            <v>0</v>
          </cell>
          <cell r="M108">
            <v>0</v>
          </cell>
          <cell r="N108">
            <v>0</v>
          </cell>
          <cell r="O108">
            <v>0</v>
          </cell>
          <cell r="P108">
            <v>0</v>
          </cell>
          <cell r="Q108" t="str">
            <v/>
          </cell>
          <cell r="R108" t="str">
            <v/>
          </cell>
          <cell r="S108" t="str">
            <v/>
          </cell>
          <cell r="T108" t="str">
            <v/>
          </cell>
          <cell r="U108" t="str">
            <v/>
          </cell>
          <cell r="V108" t="str">
            <v/>
          </cell>
          <cell r="W108">
            <v>0</v>
          </cell>
          <cell r="X108">
            <v>0</v>
          </cell>
          <cell r="Y108" t="str">
            <v/>
          </cell>
          <cell r="Z108" t="str">
            <v>BUY</v>
          </cell>
          <cell r="AA108" t="str">
            <v/>
          </cell>
        </row>
        <row r="109">
          <cell r="A109" t="str">
            <v>A</v>
          </cell>
          <cell r="F109" t="str">
            <v>7022</v>
          </cell>
          <cell r="G109" t="str">
            <v>A</v>
          </cell>
          <cell r="H109">
            <v>3</v>
          </cell>
          <cell r="I109" t="str">
            <v>Asst. Maint. Supervisor</v>
          </cell>
          <cell r="J109" t="str">
            <v>Asst. Maint. Supervisor</v>
          </cell>
          <cell r="K109">
            <v>0</v>
          </cell>
          <cell r="L109">
            <v>0</v>
          </cell>
          <cell r="M109">
            <v>0</v>
          </cell>
          <cell r="N109">
            <v>0</v>
          </cell>
          <cell r="O109">
            <v>0</v>
          </cell>
          <cell r="P109">
            <v>0</v>
          </cell>
          <cell r="Q109" t="str">
            <v/>
          </cell>
          <cell r="R109" t="str">
            <v/>
          </cell>
          <cell r="S109" t="str">
            <v/>
          </cell>
          <cell r="T109" t="str">
            <v/>
          </cell>
          <cell r="U109" t="str">
            <v/>
          </cell>
          <cell r="V109" t="str">
            <v/>
          </cell>
          <cell r="W109">
            <v>0</v>
          </cell>
          <cell r="X109">
            <v>0</v>
          </cell>
          <cell r="Y109" t="str">
            <v/>
          </cell>
          <cell r="Z109" t="str">
            <v>BUY</v>
          </cell>
          <cell r="AA109" t="str">
            <v/>
          </cell>
        </row>
        <row r="110">
          <cell r="A110" t="str">
            <v>A</v>
          </cell>
          <cell r="F110" t="str">
            <v>7023</v>
          </cell>
          <cell r="G110" t="str">
            <v>A</v>
          </cell>
          <cell r="H110">
            <v>3</v>
          </cell>
          <cell r="I110" t="str">
            <v>Maintenance Man</v>
          </cell>
          <cell r="J110" t="str">
            <v>Maintenance Man</v>
          </cell>
          <cell r="K110">
            <v>0</v>
          </cell>
          <cell r="L110">
            <v>0</v>
          </cell>
          <cell r="M110">
            <v>0</v>
          </cell>
          <cell r="N110">
            <v>0</v>
          </cell>
          <cell r="O110">
            <v>0</v>
          </cell>
          <cell r="P110">
            <v>0</v>
          </cell>
          <cell r="Q110" t="str">
            <v/>
          </cell>
          <cell r="R110" t="str">
            <v/>
          </cell>
          <cell r="S110" t="str">
            <v/>
          </cell>
          <cell r="T110" t="str">
            <v/>
          </cell>
          <cell r="U110" t="str">
            <v/>
          </cell>
          <cell r="V110" t="str">
            <v/>
          </cell>
          <cell r="W110">
            <v>0</v>
          </cell>
          <cell r="X110">
            <v>0</v>
          </cell>
          <cell r="Y110" t="str">
            <v/>
          </cell>
          <cell r="Z110" t="str">
            <v>BUY</v>
          </cell>
          <cell r="AA110" t="str">
            <v/>
          </cell>
        </row>
        <row r="111">
          <cell r="A111" t="str">
            <v>A</v>
          </cell>
          <cell r="F111" t="str">
            <v>7023-5</v>
          </cell>
          <cell r="G111" t="str">
            <v>A</v>
          </cell>
          <cell r="H111">
            <v>3</v>
          </cell>
          <cell r="I111" t="str">
            <v>Maintenance Man Reimbursement</v>
          </cell>
          <cell r="J111" t="str">
            <v>Maintenance Man Reimbursement</v>
          </cell>
          <cell r="K111">
            <v>0</v>
          </cell>
          <cell r="L111">
            <v>0</v>
          </cell>
          <cell r="M111">
            <v>0</v>
          </cell>
          <cell r="N111">
            <v>0</v>
          </cell>
          <cell r="O111">
            <v>0</v>
          </cell>
          <cell r="P111">
            <v>0</v>
          </cell>
          <cell r="Q111" t="str">
            <v/>
          </cell>
          <cell r="R111" t="str">
            <v/>
          </cell>
          <cell r="S111" t="str">
            <v/>
          </cell>
          <cell r="T111" t="str">
            <v/>
          </cell>
          <cell r="U111" t="str">
            <v/>
          </cell>
          <cell r="V111" t="str">
            <v/>
          </cell>
          <cell r="W111">
            <v>0</v>
          </cell>
          <cell r="X111">
            <v>0</v>
          </cell>
          <cell r="Y111" t="str">
            <v/>
          </cell>
          <cell r="Z111" t="str">
            <v>BUY</v>
          </cell>
          <cell r="AA111" t="str">
            <v/>
          </cell>
        </row>
        <row r="112">
          <cell r="A112" t="str">
            <v>A</v>
          </cell>
          <cell r="F112" t="str">
            <v>7024</v>
          </cell>
          <cell r="G112" t="str">
            <v>A</v>
          </cell>
          <cell r="H112">
            <v>3</v>
          </cell>
          <cell r="I112" t="str">
            <v>Janitorial Personnel</v>
          </cell>
          <cell r="J112" t="str">
            <v>Janitorial Personnel</v>
          </cell>
          <cell r="K112">
            <v>0</v>
          </cell>
          <cell r="L112">
            <v>0</v>
          </cell>
          <cell r="M112">
            <v>39382</v>
          </cell>
          <cell r="N112">
            <v>31767</v>
          </cell>
          <cell r="O112">
            <v>36280</v>
          </cell>
          <cell r="P112">
            <v>-3102</v>
          </cell>
          <cell r="Q112">
            <v>-7.8766949367731431E-2</v>
          </cell>
          <cell r="R112" t="str">
            <v>GL 5412 SEE PAYROLL SPREADSHEET $13.50x2080=$28,080 and 15.47x 8x 3 for hol and 23.20x8x3 worked hol + $32,177.60=$33,107. 2nd engineer will be at $15.47 as of 12/1/09</v>
          </cell>
          <cell r="S112" t="str">
            <v/>
          </cell>
          <cell r="T112" t="str">
            <v/>
          </cell>
          <cell r="U112" t="str">
            <v/>
          </cell>
          <cell r="V112" t="str">
            <v/>
          </cell>
          <cell r="W112">
            <v>107429</v>
          </cell>
          <cell r="X112">
            <v>0</v>
          </cell>
          <cell r="Y112" t="str">
            <v>A</v>
          </cell>
          <cell r="Z112" t="str">
            <v>BUY</v>
          </cell>
          <cell r="AA112" t="str">
            <v/>
          </cell>
        </row>
        <row r="113">
          <cell r="A113" t="str">
            <v>A</v>
          </cell>
          <cell r="F113" t="str">
            <v>7024-5</v>
          </cell>
          <cell r="G113" t="str">
            <v>A</v>
          </cell>
          <cell r="H113">
            <v>3</v>
          </cell>
          <cell r="I113" t="str">
            <v>Janitorial Overtime</v>
          </cell>
          <cell r="J113" t="str">
            <v>Janitorial Overtime</v>
          </cell>
          <cell r="K113">
            <v>0</v>
          </cell>
          <cell r="L113">
            <v>0</v>
          </cell>
          <cell r="M113">
            <v>0</v>
          </cell>
          <cell r="N113">
            <v>0</v>
          </cell>
          <cell r="O113">
            <v>0</v>
          </cell>
          <cell r="P113">
            <v>0</v>
          </cell>
          <cell r="Q113" t="str">
            <v/>
          </cell>
          <cell r="R113" t="str">
            <v/>
          </cell>
          <cell r="S113" t="str">
            <v/>
          </cell>
          <cell r="T113" t="str">
            <v/>
          </cell>
          <cell r="U113" t="str">
            <v/>
          </cell>
          <cell r="V113" t="str">
            <v/>
          </cell>
          <cell r="W113">
            <v>0</v>
          </cell>
          <cell r="X113">
            <v>0</v>
          </cell>
          <cell r="Y113" t="str">
            <v/>
          </cell>
          <cell r="Z113" t="str">
            <v>BUY</v>
          </cell>
          <cell r="AA113" t="str">
            <v/>
          </cell>
        </row>
        <row r="114">
          <cell r="A114" t="str">
            <v>A</v>
          </cell>
          <cell r="F114" t="str">
            <v>7030</v>
          </cell>
          <cell r="G114" t="str">
            <v>A</v>
          </cell>
          <cell r="H114">
            <v>3</v>
          </cell>
          <cell r="I114" t="str">
            <v>Maintenance Engineer</v>
          </cell>
          <cell r="J114" t="str">
            <v>Maintenance Engineer</v>
          </cell>
          <cell r="K114">
            <v>0</v>
          </cell>
          <cell r="L114">
            <v>0</v>
          </cell>
          <cell r="M114">
            <v>60528</v>
          </cell>
          <cell r="N114">
            <v>53173</v>
          </cell>
          <cell r="O114">
            <v>60715</v>
          </cell>
          <cell r="P114">
            <v>187</v>
          </cell>
          <cell r="Q114">
            <v>3.0894792492730527E-3</v>
          </cell>
          <cell r="R114" t="str">
            <v>GL 5409 SEE PAYROLL SPREADSHEET $25.86x2080 hours= $53788.80 reg time/ 3 floating days x 8 hrsx $25.86 = $620.64/3 hol worked x8 hrs x $38.79= $930.96/100ot x $38.79= $3,879 Total= $59,219. Lead Eng will be at $25.87 as of 12/1/2009</v>
          </cell>
          <cell r="S114" t="str">
            <v>Local 1</v>
          </cell>
          <cell r="T114">
            <v>40156</v>
          </cell>
          <cell r="U114">
            <v>40513</v>
          </cell>
          <cell r="V114" t="str">
            <v/>
          </cell>
          <cell r="W114">
            <v>174416</v>
          </cell>
          <cell r="X114">
            <v>0</v>
          </cell>
          <cell r="Y114" t="str">
            <v>A</v>
          </cell>
          <cell r="Z114" t="str">
            <v>BUY</v>
          </cell>
          <cell r="AA114" t="str">
            <v/>
          </cell>
        </row>
        <row r="115">
          <cell r="A115" t="str">
            <v>A</v>
          </cell>
          <cell r="F115" t="str">
            <v>7030-5</v>
          </cell>
          <cell r="G115" t="str">
            <v>A</v>
          </cell>
          <cell r="H115">
            <v>3</v>
          </cell>
          <cell r="I115" t="str">
            <v>Maint Eng. Overtime</v>
          </cell>
          <cell r="J115" t="str">
            <v>Maint Eng. Overtime</v>
          </cell>
          <cell r="K115">
            <v>0</v>
          </cell>
          <cell r="L115">
            <v>0</v>
          </cell>
          <cell r="M115">
            <v>0</v>
          </cell>
          <cell r="N115">
            <v>0</v>
          </cell>
          <cell r="O115">
            <v>0</v>
          </cell>
          <cell r="P115">
            <v>0</v>
          </cell>
          <cell r="Q115" t="str">
            <v/>
          </cell>
          <cell r="R115" t="str">
            <v/>
          </cell>
          <cell r="S115" t="str">
            <v/>
          </cell>
          <cell r="T115" t="str">
            <v/>
          </cell>
          <cell r="U115" t="str">
            <v/>
          </cell>
          <cell r="V115" t="str">
            <v/>
          </cell>
          <cell r="W115">
            <v>0</v>
          </cell>
          <cell r="X115">
            <v>0</v>
          </cell>
          <cell r="Y115" t="str">
            <v/>
          </cell>
          <cell r="Z115" t="str">
            <v>BUY</v>
          </cell>
          <cell r="AA115" t="str">
            <v/>
          </cell>
        </row>
        <row r="116">
          <cell r="A116" t="str">
            <v>A</v>
          </cell>
          <cell r="F116" t="str">
            <v>7032</v>
          </cell>
          <cell r="G116" t="str">
            <v>A</v>
          </cell>
          <cell r="H116">
            <v>3</v>
          </cell>
          <cell r="I116" t="str">
            <v>Doormen/Security Personnel</v>
          </cell>
          <cell r="J116" t="str">
            <v>Doormen/Security Personnel</v>
          </cell>
          <cell r="K116">
            <v>0</v>
          </cell>
          <cell r="L116">
            <v>0</v>
          </cell>
          <cell r="M116">
            <v>168619</v>
          </cell>
          <cell r="N116">
            <v>155721</v>
          </cell>
          <cell r="O116">
            <v>154224</v>
          </cell>
          <cell r="P116">
            <v>-14395</v>
          </cell>
          <cell r="Q116">
            <v>-8.5369976099964995E-2</v>
          </cell>
          <cell r="R116" t="str">
            <v>GL 5408 SEE PAYROLL SPREADSHEET No increase for 2010.  Added $4,000 for relief coverage (sick, vacation)</v>
          </cell>
          <cell r="S116" t="str">
            <v/>
          </cell>
          <cell r="T116" t="str">
            <v/>
          </cell>
          <cell r="U116" t="str">
            <v/>
          </cell>
          <cell r="V116" t="str">
            <v/>
          </cell>
          <cell r="W116">
            <v>478564</v>
          </cell>
          <cell r="X116">
            <v>0</v>
          </cell>
          <cell r="Y116" t="str">
            <v>A</v>
          </cell>
          <cell r="Z116" t="str">
            <v>BUY</v>
          </cell>
          <cell r="AA116" t="str">
            <v/>
          </cell>
        </row>
        <row r="117">
          <cell r="A117" t="str">
            <v>A</v>
          </cell>
          <cell r="F117" t="str">
            <v>7032-1</v>
          </cell>
          <cell r="G117" t="str">
            <v>A</v>
          </cell>
          <cell r="H117">
            <v>3</v>
          </cell>
          <cell r="I117" t="str">
            <v>Doorman #1</v>
          </cell>
          <cell r="J117" t="str">
            <v>Doorman #1</v>
          </cell>
          <cell r="K117">
            <v>0</v>
          </cell>
          <cell r="L117">
            <v>0</v>
          </cell>
          <cell r="M117">
            <v>0</v>
          </cell>
          <cell r="N117">
            <v>0</v>
          </cell>
          <cell r="O117">
            <v>0</v>
          </cell>
          <cell r="P117">
            <v>0</v>
          </cell>
          <cell r="Q117" t="str">
            <v/>
          </cell>
          <cell r="R117" t="str">
            <v/>
          </cell>
          <cell r="S117" t="str">
            <v/>
          </cell>
          <cell r="T117" t="str">
            <v/>
          </cell>
          <cell r="U117" t="str">
            <v/>
          </cell>
          <cell r="V117" t="str">
            <v/>
          </cell>
          <cell r="W117">
            <v>0</v>
          </cell>
          <cell r="X117">
            <v>0</v>
          </cell>
          <cell r="Y117" t="str">
            <v/>
          </cell>
          <cell r="Z117" t="str">
            <v>BUY</v>
          </cell>
          <cell r="AA117" t="str">
            <v/>
          </cell>
        </row>
        <row r="118">
          <cell r="A118" t="str">
            <v>A</v>
          </cell>
          <cell r="F118" t="str">
            <v>7032-2</v>
          </cell>
          <cell r="G118" t="str">
            <v>A</v>
          </cell>
          <cell r="H118">
            <v>3</v>
          </cell>
          <cell r="I118" t="str">
            <v>Doorman #2</v>
          </cell>
          <cell r="J118" t="str">
            <v>Doorman #2</v>
          </cell>
          <cell r="K118">
            <v>0</v>
          </cell>
          <cell r="L118">
            <v>0</v>
          </cell>
          <cell r="M118">
            <v>0</v>
          </cell>
          <cell r="N118">
            <v>0</v>
          </cell>
          <cell r="O118">
            <v>0</v>
          </cell>
          <cell r="P118">
            <v>0</v>
          </cell>
          <cell r="Q118" t="str">
            <v/>
          </cell>
          <cell r="R118" t="str">
            <v/>
          </cell>
          <cell r="S118" t="str">
            <v/>
          </cell>
          <cell r="T118" t="str">
            <v/>
          </cell>
          <cell r="U118" t="str">
            <v/>
          </cell>
          <cell r="V118" t="str">
            <v/>
          </cell>
          <cell r="W118">
            <v>0</v>
          </cell>
          <cell r="X118">
            <v>0</v>
          </cell>
          <cell r="Y118" t="str">
            <v/>
          </cell>
          <cell r="Z118" t="str">
            <v>BUY</v>
          </cell>
          <cell r="AA118" t="str">
            <v/>
          </cell>
        </row>
        <row r="119">
          <cell r="A119" t="str">
            <v>A</v>
          </cell>
          <cell r="F119" t="str">
            <v>7032-3</v>
          </cell>
          <cell r="G119" t="str">
            <v>A</v>
          </cell>
          <cell r="H119">
            <v>3</v>
          </cell>
          <cell r="I119" t="str">
            <v>Doorman #3</v>
          </cell>
          <cell r="J119" t="str">
            <v>Doorman #3</v>
          </cell>
          <cell r="K119">
            <v>0</v>
          </cell>
          <cell r="L119">
            <v>0</v>
          </cell>
          <cell r="M119">
            <v>0</v>
          </cell>
          <cell r="N119">
            <v>0</v>
          </cell>
          <cell r="O119">
            <v>0</v>
          </cell>
          <cell r="P119">
            <v>0</v>
          </cell>
          <cell r="Q119" t="str">
            <v/>
          </cell>
          <cell r="R119" t="str">
            <v/>
          </cell>
          <cell r="S119" t="str">
            <v/>
          </cell>
          <cell r="T119" t="str">
            <v/>
          </cell>
          <cell r="U119" t="str">
            <v/>
          </cell>
          <cell r="V119" t="str">
            <v/>
          </cell>
          <cell r="W119">
            <v>0</v>
          </cell>
          <cell r="X119">
            <v>0</v>
          </cell>
          <cell r="Y119" t="str">
            <v/>
          </cell>
          <cell r="Z119" t="str">
            <v>BUY</v>
          </cell>
          <cell r="AA119" t="str">
            <v/>
          </cell>
        </row>
        <row r="120">
          <cell r="A120" t="str">
            <v>A</v>
          </cell>
          <cell r="F120" t="str">
            <v>7032-5</v>
          </cell>
          <cell r="G120" t="str">
            <v>A</v>
          </cell>
          <cell r="H120">
            <v>3</v>
          </cell>
          <cell r="I120" t="str">
            <v>Doorman Overtime</v>
          </cell>
          <cell r="J120" t="str">
            <v>Doorman Overtime</v>
          </cell>
          <cell r="K120">
            <v>0</v>
          </cell>
          <cell r="L120">
            <v>0</v>
          </cell>
          <cell r="M120">
            <v>0</v>
          </cell>
          <cell r="N120">
            <v>0</v>
          </cell>
          <cell r="O120">
            <v>0</v>
          </cell>
          <cell r="P120">
            <v>0</v>
          </cell>
          <cell r="Q120" t="str">
            <v/>
          </cell>
          <cell r="R120" t="str">
            <v/>
          </cell>
          <cell r="S120" t="str">
            <v/>
          </cell>
          <cell r="T120" t="str">
            <v/>
          </cell>
          <cell r="U120" t="str">
            <v/>
          </cell>
          <cell r="V120" t="str">
            <v/>
          </cell>
          <cell r="W120">
            <v>0</v>
          </cell>
          <cell r="X120">
            <v>0</v>
          </cell>
          <cell r="Y120" t="str">
            <v/>
          </cell>
          <cell r="Z120" t="str">
            <v>BUY</v>
          </cell>
          <cell r="AA120" t="str">
            <v/>
          </cell>
        </row>
        <row r="121">
          <cell r="A121" t="str">
            <v>A</v>
          </cell>
          <cell r="F121" t="str">
            <v>7034</v>
          </cell>
          <cell r="G121" t="str">
            <v>A</v>
          </cell>
          <cell r="H121">
            <v>3</v>
          </cell>
          <cell r="I121" t="str">
            <v>Garage Personnel</v>
          </cell>
          <cell r="J121" t="str">
            <v>Garage Personnel</v>
          </cell>
          <cell r="K121">
            <v>0</v>
          </cell>
          <cell r="L121">
            <v>0</v>
          </cell>
          <cell r="M121">
            <v>0</v>
          </cell>
          <cell r="N121">
            <v>0</v>
          </cell>
          <cell r="O121">
            <v>0</v>
          </cell>
          <cell r="P121">
            <v>0</v>
          </cell>
          <cell r="Q121" t="str">
            <v/>
          </cell>
          <cell r="R121" t="str">
            <v/>
          </cell>
          <cell r="S121" t="str">
            <v/>
          </cell>
          <cell r="T121" t="str">
            <v/>
          </cell>
          <cell r="U121" t="str">
            <v/>
          </cell>
          <cell r="V121" t="str">
            <v/>
          </cell>
          <cell r="W121">
            <v>0</v>
          </cell>
          <cell r="X121">
            <v>0</v>
          </cell>
          <cell r="Y121" t="str">
            <v/>
          </cell>
          <cell r="Z121" t="str">
            <v>BUY</v>
          </cell>
          <cell r="AA121" t="str">
            <v/>
          </cell>
        </row>
        <row r="122">
          <cell r="A122" t="str">
            <v>A</v>
          </cell>
          <cell r="F122" t="str">
            <v>7035</v>
          </cell>
          <cell r="G122" t="str">
            <v>A</v>
          </cell>
          <cell r="H122">
            <v>3</v>
          </cell>
          <cell r="I122" t="str">
            <v>Grounds Personnel</v>
          </cell>
          <cell r="J122" t="str">
            <v>Grounds Personnel</v>
          </cell>
          <cell r="K122">
            <v>0</v>
          </cell>
          <cell r="L122">
            <v>0</v>
          </cell>
          <cell r="M122">
            <v>0</v>
          </cell>
          <cell r="N122">
            <v>0</v>
          </cell>
          <cell r="O122">
            <v>0</v>
          </cell>
          <cell r="P122">
            <v>0</v>
          </cell>
          <cell r="Q122" t="str">
            <v/>
          </cell>
          <cell r="R122" t="str">
            <v/>
          </cell>
          <cell r="S122" t="str">
            <v/>
          </cell>
          <cell r="T122" t="str">
            <v/>
          </cell>
          <cell r="U122" t="str">
            <v/>
          </cell>
          <cell r="V122" t="str">
            <v/>
          </cell>
          <cell r="W122">
            <v>0</v>
          </cell>
          <cell r="X122">
            <v>0</v>
          </cell>
          <cell r="Y122" t="str">
            <v/>
          </cell>
          <cell r="Z122" t="str">
            <v>BUY</v>
          </cell>
          <cell r="AA122" t="str">
            <v/>
          </cell>
        </row>
        <row r="123">
          <cell r="A123" t="str">
            <v>A</v>
          </cell>
          <cell r="F123" t="str">
            <v>7040</v>
          </cell>
          <cell r="G123" t="str">
            <v>A</v>
          </cell>
          <cell r="H123">
            <v>3</v>
          </cell>
          <cell r="I123" t="str">
            <v>Other Site Personnel</v>
          </cell>
          <cell r="J123" t="str">
            <v>Other Site Personnel</v>
          </cell>
          <cell r="K123">
            <v>0</v>
          </cell>
          <cell r="L123">
            <v>0</v>
          </cell>
          <cell r="M123">
            <v>34000</v>
          </cell>
          <cell r="N123">
            <v>26784</v>
          </cell>
          <cell r="O123">
            <v>34000</v>
          </cell>
          <cell r="P123">
            <v>0</v>
          </cell>
          <cell r="Q123">
            <v>0</v>
          </cell>
          <cell r="R123" t="str">
            <v>GL 5423 Covers additional maintenance person from Labor Temps. Weekly bill of $540. =$28,080/yr. Note: increase of $4,000 to add additional union janitor. Category also used for outside security in absence of doorman. Budget $200/mo in case.</v>
          </cell>
          <cell r="S123" t="str">
            <v/>
          </cell>
          <cell r="T123" t="str">
            <v/>
          </cell>
          <cell r="U123" t="str">
            <v/>
          </cell>
          <cell r="V123" t="str">
            <v/>
          </cell>
          <cell r="W123">
            <v>94784</v>
          </cell>
          <cell r="X123">
            <v>0</v>
          </cell>
          <cell r="Y123" t="str">
            <v>A</v>
          </cell>
          <cell r="Z123" t="str">
            <v>BUY</v>
          </cell>
          <cell r="AA123" t="str">
            <v/>
          </cell>
        </row>
        <row r="124">
          <cell r="A124" t="str">
            <v>A</v>
          </cell>
          <cell r="F124" t="str">
            <v>7045</v>
          </cell>
          <cell r="G124" t="str">
            <v>A</v>
          </cell>
          <cell r="H124">
            <v>3</v>
          </cell>
          <cell r="I124" t="str">
            <v>Recieving Room Salaries</v>
          </cell>
          <cell r="J124" t="str">
            <v>Recieving Room Salaries</v>
          </cell>
          <cell r="K124">
            <v>0</v>
          </cell>
          <cell r="L124">
            <v>0</v>
          </cell>
          <cell r="M124">
            <v>0</v>
          </cell>
          <cell r="N124">
            <v>0</v>
          </cell>
          <cell r="O124">
            <v>0</v>
          </cell>
          <cell r="P124">
            <v>0</v>
          </cell>
          <cell r="Q124" t="str">
            <v/>
          </cell>
          <cell r="R124" t="str">
            <v/>
          </cell>
          <cell r="S124" t="str">
            <v/>
          </cell>
          <cell r="T124" t="str">
            <v/>
          </cell>
          <cell r="U124" t="str">
            <v/>
          </cell>
          <cell r="V124" t="str">
            <v/>
          </cell>
          <cell r="W124">
            <v>0</v>
          </cell>
          <cell r="X124">
            <v>0</v>
          </cell>
          <cell r="Y124" t="str">
            <v/>
          </cell>
          <cell r="Z124" t="str">
            <v>BUY</v>
          </cell>
          <cell r="AA124" t="str">
            <v/>
          </cell>
        </row>
        <row r="125">
          <cell r="A125" t="str">
            <v>A</v>
          </cell>
          <cell r="F125" t="str">
            <v>7050</v>
          </cell>
          <cell r="G125" t="str">
            <v>A</v>
          </cell>
          <cell r="H125">
            <v>3</v>
          </cell>
          <cell r="I125" t="str">
            <v>Concierge Salaries</v>
          </cell>
          <cell r="J125" t="str">
            <v>Concierge Salaries</v>
          </cell>
          <cell r="K125">
            <v>0</v>
          </cell>
          <cell r="L125">
            <v>0</v>
          </cell>
          <cell r="M125">
            <v>0</v>
          </cell>
          <cell r="N125">
            <v>0</v>
          </cell>
          <cell r="O125">
            <v>0</v>
          </cell>
          <cell r="P125">
            <v>0</v>
          </cell>
          <cell r="Q125" t="str">
            <v/>
          </cell>
          <cell r="R125" t="str">
            <v/>
          </cell>
          <cell r="S125" t="str">
            <v/>
          </cell>
          <cell r="T125" t="str">
            <v/>
          </cell>
          <cell r="U125" t="str">
            <v/>
          </cell>
          <cell r="V125" t="str">
            <v/>
          </cell>
          <cell r="W125">
            <v>0</v>
          </cell>
          <cell r="X125">
            <v>0</v>
          </cell>
          <cell r="Y125" t="str">
            <v/>
          </cell>
          <cell r="Z125" t="str">
            <v>BUY</v>
          </cell>
          <cell r="AA125" t="str">
            <v/>
          </cell>
        </row>
        <row r="126">
          <cell r="A126" t="str">
            <v>A</v>
          </cell>
          <cell r="F126" t="str">
            <v>7065</v>
          </cell>
          <cell r="G126" t="str">
            <v>A</v>
          </cell>
          <cell r="H126">
            <v>3</v>
          </cell>
          <cell r="I126" t="str">
            <v>Payroll Process Fees</v>
          </cell>
          <cell r="J126" t="str">
            <v>Payroll Process Fees</v>
          </cell>
          <cell r="K126">
            <v>0</v>
          </cell>
          <cell r="L126">
            <v>0</v>
          </cell>
          <cell r="M126">
            <v>0</v>
          </cell>
          <cell r="N126">
            <v>0</v>
          </cell>
          <cell r="O126">
            <v>0</v>
          </cell>
          <cell r="P126">
            <v>0</v>
          </cell>
          <cell r="Q126" t="str">
            <v/>
          </cell>
          <cell r="R126" t="str">
            <v/>
          </cell>
          <cell r="S126" t="str">
            <v/>
          </cell>
          <cell r="T126" t="str">
            <v/>
          </cell>
          <cell r="U126" t="str">
            <v/>
          </cell>
          <cell r="V126" t="str">
            <v/>
          </cell>
          <cell r="W126">
            <v>0</v>
          </cell>
          <cell r="X126">
            <v>0</v>
          </cell>
          <cell r="Y126" t="str">
            <v/>
          </cell>
          <cell r="Z126" t="str">
            <v>BUY</v>
          </cell>
          <cell r="AA126" t="str">
            <v/>
          </cell>
        </row>
        <row r="127">
          <cell r="A127" t="str">
            <v>A</v>
          </cell>
          <cell r="F127" t="str">
            <v>7080</v>
          </cell>
          <cell r="G127" t="str">
            <v>A</v>
          </cell>
          <cell r="H127">
            <v>3</v>
          </cell>
          <cell r="I127" t="str">
            <v>Union Benefits</v>
          </cell>
          <cell r="J127" t="str">
            <v>Union Benefits</v>
          </cell>
          <cell r="K127">
            <v>0</v>
          </cell>
          <cell r="L127">
            <v>0</v>
          </cell>
          <cell r="M127">
            <v>23520</v>
          </cell>
          <cell r="N127">
            <v>24617</v>
          </cell>
          <cell r="O127">
            <v>32409</v>
          </cell>
          <cell r="P127">
            <v>8889</v>
          </cell>
          <cell r="Q127">
            <v>0.37793367346938767</v>
          </cell>
          <cell r="R127" t="str">
            <v xml:space="preserve">GL 5570 SEE PAYROLL SPREADSHEET $684.67x12mnthsx2emp=$8216.04/$190.67x12mnthsx2emp=$2288.04/$15.60x12mnthsx2emp=$187.20/ Total=$21,382.56.  Note: additional $10,803 for additional union maintenance </v>
          </cell>
          <cell r="S127" t="str">
            <v/>
          </cell>
          <cell r="T127" t="str">
            <v/>
          </cell>
          <cell r="U127" t="str">
            <v/>
          </cell>
          <cell r="V127" t="str">
            <v/>
          </cell>
          <cell r="W127">
            <v>80546</v>
          </cell>
          <cell r="X127">
            <v>0</v>
          </cell>
          <cell r="Y127" t="str">
            <v>A</v>
          </cell>
          <cell r="Z127" t="str">
            <v>BUY</v>
          </cell>
          <cell r="AA127" t="str">
            <v/>
          </cell>
        </row>
        <row r="128">
          <cell r="A128" t="str">
            <v>A</v>
          </cell>
          <cell r="F128" t="str">
            <v>7080-1</v>
          </cell>
          <cell r="G128" t="str">
            <v>A</v>
          </cell>
          <cell r="H128">
            <v>3</v>
          </cell>
          <cell r="I128" t="str">
            <v>Local One Benefits</v>
          </cell>
          <cell r="J128" t="str">
            <v>Local One Benefits</v>
          </cell>
          <cell r="K128">
            <v>0</v>
          </cell>
          <cell r="L128">
            <v>0</v>
          </cell>
          <cell r="M128">
            <v>0</v>
          </cell>
          <cell r="N128">
            <v>0</v>
          </cell>
          <cell r="O128">
            <v>0</v>
          </cell>
          <cell r="P128">
            <v>0</v>
          </cell>
          <cell r="Q128" t="str">
            <v/>
          </cell>
          <cell r="R128" t="str">
            <v/>
          </cell>
          <cell r="S128" t="str">
            <v/>
          </cell>
          <cell r="T128" t="str">
            <v/>
          </cell>
          <cell r="U128" t="str">
            <v/>
          </cell>
          <cell r="V128" t="str">
            <v/>
          </cell>
          <cell r="W128">
            <v>0</v>
          </cell>
          <cell r="X128">
            <v>0</v>
          </cell>
          <cell r="Y128" t="str">
            <v/>
          </cell>
          <cell r="Z128" t="str">
            <v>BUY</v>
          </cell>
          <cell r="AA128" t="str">
            <v/>
          </cell>
        </row>
        <row r="129">
          <cell r="A129" t="str">
            <v>A</v>
          </cell>
          <cell r="F129" t="str">
            <v>7080-25</v>
          </cell>
          <cell r="G129" t="str">
            <v>A</v>
          </cell>
          <cell r="H129">
            <v>3</v>
          </cell>
          <cell r="I129" t="str">
            <v>Local 25 Benefits</v>
          </cell>
          <cell r="J129" t="str">
            <v>Local 25 Benefits</v>
          </cell>
          <cell r="K129">
            <v>0</v>
          </cell>
          <cell r="L129">
            <v>0</v>
          </cell>
          <cell r="M129">
            <v>26292</v>
          </cell>
          <cell r="N129">
            <v>20132</v>
          </cell>
          <cell r="O129">
            <v>31177</v>
          </cell>
          <cell r="P129">
            <v>4885</v>
          </cell>
          <cell r="Q129">
            <v>0.18579796135706683</v>
          </cell>
          <cell r="R129" t="str">
            <v>GL 5571 SEE PAYROLL SPREADSHEET  Union benefits for door staff, their pension, health, welfarefund, and training program.$2,191/mo.</v>
          </cell>
          <cell r="S129" t="str">
            <v/>
          </cell>
          <cell r="T129" t="str">
            <v/>
          </cell>
          <cell r="U129" t="str">
            <v/>
          </cell>
          <cell r="V129" t="str">
            <v/>
          </cell>
          <cell r="W129">
            <v>77601</v>
          </cell>
          <cell r="X129">
            <v>0</v>
          </cell>
          <cell r="Y129" t="str">
            <v>A</v>
          </cell>
          <cell r="Z129" t="str">
            <v>BUY</v>
          </cell>
          <cell r="AA129" t="str">
            <v/>
          </cell>
        </row>
        <row r="130">
          <cell r="A130" t="str">
            <v>A</v>
          </cell>
          <cell r="F130" t="str">
            <v>7080-399</v>
          </cell>
          <cell r="G130" t="str">
            <v>A</v>
          </cell>
          <cell r="H130">
            <v>3</v>
          </cell>
          <cell r="I130" t="str">
            <v>Local 399 Benefits</v>
          </cell>
          <cell r="J130" t="str">
            <v>Local 399 Benefits</v>
          </cell>
          <cell r="K130">
            <v>0</v>
          </cell>
          <cell r="L130">
            <v>0</v>
          </cell>
          <cell r="M130">
            <v>0</v>
          </cell>
          <cell r="N130">
            <v>0</v>
          </cell>
          <cell r="O130">
            <v>0</v>
          </cell>
          <cell r="P130">
            <v>0</v>
          </cell>
          <cell r="Q130" t="str">
            <v/>
          </cell>
          <cell r="R130" t="str">
            <v/>
          </cell>
          <cell r="S130" t="str">
            <v/>
          </cell>
          <cell r="T130" t="str">
            <v/>
          </cell>
          <cell r="U130" t="str">
            <v/>
          </cell>
          <cell r="V130" t="str">
            <v/>
          </cell>
          <cell r="W130">
            <v>0</v>
          </cell>
          <cell r="X130">
            <v>0</v>
          </cell>
          <cell r="Y130" t="str">
            <v/>
          </cell>
          <cell r="Z130" t="str">
            <v>BUY</v>
          </cell>
          <cell r="AA130" t="str">
            <v/>
          </cell>
        </row>
        <row r="131">
          <cell r="A131" t="str">
            <v>A</v>
          </cell>
          <cell r="F131" t="str">
            <v>7080-727</v>
          </cell>
          <cell r="G131" t="str">
            <v>A</v>
          </cell>
          <cell r="H131">
            <v>3</v>
          </cell>
          <cell r="I131" t="str">
            <v>Local 727 Benefits</v>
          </cell>
          <cell r="J131" t="str">
            <v>Local 727 Benefits</v>
          </cell>
          <cell r="K131">
            <v>0</v>
          </cell>
          <cell r="L131">
            <v>0</v>
          </cell>
          <cell r="M131">
            <v>0</v>
          </cell>
          <cell r="N131">
            <v>0</v>
          </cell>
          <cell r="O131">
            <v>0</v>
          </cell>
          <cell r="P131">
            <v>0</v>
          </cell>
          <cell r="Q131" t="str">
            <v/>
          </cell>
          <cell r="R131" t="str">
            <v/>
          </cell>
          <cell r="S131" t="str">
            <v/>
          </cell>
          <cell r="T131" t="str">
            <v/>
          </cell>
          <cell r="U131" t="str">
            <v/>
          </cell>
          <cell r="V131" t="str">
            <v/>
          </cell>
          <cell r="W131">
            <v>0</v>
          </cell>
          <cell r="X131">
            <v>0</v>
          </cell>
          <cell r="Y131" t="str">
            <v/>
          </cell>
          <cell r="Z131" t="str">
            <v>BUY</v>
          </cell>
          <cell r="AA131" t="str">
            <v/>
          </cell>
        </row>
        <row r="132">
          <cell r="A132" t="str">
            <v>A</v>
          </cell>
          <cell r="F132" t="str">
            <v>7081</v>
          </cell>
          <cell r="G132" t="str">
            <v>A</v>
          </cell>
          <cell r="H132">
            <v>3</v>
          </cell>
          <cell r="I132" t="str">
            <v>Payroll Taxes/Benefits</v>
          </cell>
          <cell r="J132" t="str">
            <v>Payroll Taxes/Benefits</v>
          </cell>
          <cell r="K132">
            <v>0</v>
          </cell>
          <cell r="L132">
            <v>0</v>
          </cell>
          <cell r="M132">
            <v>0</v>
          </cell>
          <cell r="N132">
            <v>0</v>
          </cell>
          <cell r="O132">
            <v>0</v>
          </cell>
          <cell r="P132">
            <v>0</v>
          </cell>
          <cell r="Q132" t="str">
            <v/>
          </cell>
          <cell r="R132" t="str">
            <v/>
          </cell>
          <cell r="S132" t="str">
            <v/>
          </cell>
          <cell r="T132" t="str">
            <v/>
          </cell>
          <cell r="U132" t="str">
            <v/>
          </cell>
          <cell r="V132" t="str">
            <v/>
          </cell>
          <cell r="W132">
            <v>0</v>
          </cell>
          <cell r="X132">
            <v>0</v>
          </cell>
          <cell r="Y132" t="str">
            <v/>
          </cell>
          <cell r="Z132" t="str">
            <v>BUY</v>
          </cell>
          <cell r="AA132" t="str">
            <v/>
          </cell>
        </row>
        <row r="133">
          <cell r="A133" t="str">
            <v>A</v>
          </cell>
          <cell r="F133" t="str">
            <v>7082</v>
          </cell>
          <cell r="G133" t="str">
            <v>A</v>
          </cell>
          <cell r="H133">
            <v>3</v>
          </cell>
          <cell r="I133" t="str">
            <v>FICA Tax Expense</v>
          </cell>
          <cell r="J133" t="str">
            <v>FICA Tax Expense</v>
          </cell>
          <cell r="K133">
            <v>0</v>
          </cell>
          <cell r="L133">
            <v>0</v>
          </cell>
          <cell r="M133">
            <v>18964</v>
          </cell>
          <cell r="N133">
            <v>19951</v>
          </cell>
          <cell r="O133">
            <v>18324</v>
          </cell>
          <cell r="P133">
            <v>-640</v>
          </cell>
          <cell r="Q133">
            <v>-3.3748154397806318E-2</v>
          </cell>
          <cell r="R133" t="str">
            <v>GL 5515 based on 7.65% of total payroll $267566.</v>
          </cell>
          <cell r="S133" t="str">
            <v/>
          </cell>
          <cell r="T133" t="str">
            <v/>
          </cell>
          <cell r="U133" t="str">
            <v/>
          </cell>
          <cell r="V133" t="str">
            <v/>
          </cell>
          <cell r="W133">
            <v>57239</v>
          </cell>
          <cell r="X133">
            <v>0</v>
          </cell>
          <cell r="Y133" t="str">
            <v>A</v>
          </cell>
          <cell r="Z133" t="str">
            <v>BUY</v>
          </cell>
          <cell r="AA133" t="str">
            <v/>
          </cell>
        </row>
        <row r="134">
          <cell r="A134" t="str">
            <v>A</v>
          </cell>
          <cell r="F134" t="str">
            <v>7083</v>
          </cell>
          <cell r="G134" t="str">
            <v>A</v>
          </cell>
          <cell r="H134">
            <v>3</v>
          </cell>
          <cell r="I134" t="str">
            <v>Federal Unemployment Tax</v>
          </cell>
          <cell r="J134" t="str">
            <v>Federal Unemployment Tax</v>
          </cell>
          <cell r="K134">
            <v>0</v>
          </cell>
          <cell r="L134">
            <v>0</v>
          </cell>
          <cell r="M134">
            <v>448</v>
          </cell>
          <cell r="N134">
            <v>74</v>
          </cell>
          <cell r="O134">
            <v>392</v>
          </cell>
          <cell r="P134">
            <v>-56</v>
          </cell>
          <cell r="Q134">
            <v>-0.125</v>
          </cell>
          <cell r="R134" t="str">
            <v>GL 5505 FUTA is .008% of 1st $7,00</v>
          </cell>
          <cell r="S134" t="str">
            <v/>
          </cell>
          <cell r="T134" t="str">
            <v/>
          </cell>
          <cell r="U134" t="str">
            <v/>
          </cell>
          <cell r="V134" t="str">
            <v/>
          </cell>
          <cell r="W134">
            <v>914</v>
          </cell>
          <cell r="X134">
            <v>0</v>
          </cell>
          <cell r="Y134" t="str">
            <v>A</v>
          </cell>
          <cell r="Z134" t="str">
            <v>BUY</v>
          </cell>
          <cell r="AA134" t="str">
            <v/>
          </cell>
        </row>
        <row r="135">
          <cell r="A135" t="str">
            <v>A</v>
          </cell>
          <cell r="F135" t="str">
            <v>7084</v>
          </cell>
          <cell r="G135" t="str">
            <v>A</v>
          </cell>
          <cell r="H135">
            <v>3</v>
          </cell>
          <cell r="I135" t="str">
            <v>State Unemployment Tax</v>
          </cell>
          <cell r="J135" t="str">
            <v>State Unemployment Tax</v>
          </cell>
          <cell r="K135">
            <v>0</v>
          </cell>
          <cell r="L135">
            <v>0</v>
          </cell>
          <cell r="M135">
            <v>1027</v>
          </cell>
          <cell r="N135">
            <v>180</v>
          </cell>
          <cell r="O135">
            <v>1176</v>
          </cell>
          <cell r="P135">
            <v>149</v>
          </cell>
          <cell r="Q135">
            <v>0.1450827653359299</v>
          </cell>
          <cell r="R135" t="str">
            <v>GL 5510 SUTA is 1.4% of the 1st $12,000</v>
          </cell>
          <cell r="S135" t="str">
            <v/>
          </cell>
          <cell r="T135" t="str">
            <v/>
          </cell>
          <cell r="U135" t="str">
            <v/>
          </cell>
          <cell r="V135" t="str">
            <v/>
          </cell>
          <cell r="W135">
            <v>2383</v>
          </cell>
          <cell r="X135">
            <v>0</v>
          </cell>
          <cell r="Y135" t="str">
            <v>A</v>
          </cell>
          <cell r="Z135" t="str">
            <v>BUY</v>
          </cell>
          <cell r="AA135" t="str">
            <v/>
          </cell>
        </row>
        <row r="136">
          <cell r="A136" t="str">
            <v>A</v>
          </cell>
          <cell r="F136" t="str">
            <v>7085</v>
          </cell>
          <cell r="G136" t="str">
            <v>A</v>
          </cell>
          <cell r="H136">
            <v>3</v>
          </cell>
          <cell r="I136" t="str">
            <v>Workers Comp Insurance</v>
          </cell>
          <cell r="J136" t="str">
            <v>Workers Comp Insurance</v>
          </cell>
          <cell r="K136">
            <v>0</v>
          </cell>
          <cell r="L136">
            <v>0</v>
          </cell>
          <cell r="M136">
            <v>0</v>
          </cell>
          <cell r="N136">
            <v>0</v>
          </cell>
          <cell r="O136">
            <v>0</v>
          </cell>
          <cell r="P136">
            <v>0</v>
          </cell>
          <cell r="Q136" t="str">
            <v/>
          </cell>
          <cell r="R136" t="str">
            <v/>
          </cell>
          <cell r="S136" t="str">
            <v/>
          </cell>
          <cell r="T136" t="str">
            <v/>
          </cell>
          <cell r="U136" t="str">
            <v/>
          </cell>
          <cell r="V136" t="str">
            <v/>
          </cell>
          <cell r="W136">
            <v>0</v>
          </cell>
          <cell r="X136">
            <v>0</v>
          </cell>
          <cell r="Y136" t="str">
            <v/>
          </cell>
          <cell r="Z136" t="str">
            <v>BUY</v>
          </cell>
          <cell r="AA136" t="str">
            <v/>
          </cell>
        </row>
        <row r="137">
          <cell r="A137" t="str">
            <v>A</v>
          </cell>
          <cell r="F137" t="str">
            <v>7085-5</v>
          </cell>
          <cell r="G137" t="str">
            <v>A</v>
          </cell>
          <cell r="H137">
            <v>3</v>
          </cell>
          <cell r="I137" t="str">
            <v>Workers Comp Insurance Refund</v>
          </cell>
          <cell r="J137" t="str">
            <v>Workers Comp Insurance Refund</v>
          </cell>
          <cell r="K137">
            <v>0</v>
          </cell>
          <cell r="L137">
            <v>0</v>
          </cell>
          <cell r="M137">
            <v>0</v>
          </cell>
          <cell r="N137">
            <v>0</v>
          </cell>
          <cell r="O137">
            <v>0</v>
          </cell>
          <cell r="P137">
            <v>0</v>
          </cell>
          <cell r="Q137" t="str">
            <v/>
          </cell>
          <cell r="R137" t="str">
            <v/>
          </cell>
          <cell r="S137" t="str">
            <v/>
          </cell>
          <cell r="T137" t="str">
            <v/>
          </cell>
          <cell r="U137" t="str">
            <v/>
          </cell>
          <cell r="V137" t="str">
            <v/>
          </cell>
          <cell r="W137">
            <v>0</v>
          </cell>
          <cell r="X137">
            <v>0</v>
          </cell>
          <cell r="Y137" t="str">
            <v/>
          </cell>
          <cell r="Z137" t="str">
            <v>BUY</v>
          </cell>
          <cell r="AA137" t="str">
            <v/>
          </cell>
        </row>
        <row r="138">
          <cell r="A138" t="str">
            <v>A</v>
          </cell>
          <cell r="F138" t="str">
            <v>7086</v>
          </cell>
          <cell r="G138" t="str">
            <v>A</v>
          </cell>
          <cell r="H138">
            <v>3</v>
          </cell>
          <cell r="I138" t="str">
            <v>Medical/Life Insurance</v>
          </cell>
          <cell r="J138" t="str">
            <v>Medical/Life Insurance</v>
          </cell>
          <cell r="K138">
            <v>0</v>
          </cell>
          <cell r="L138">
            <v>0</v>
          </cell>
          <cell r="M138">
            <v>0</v>
          </cell>
          <cell r="N138">
            <v>0</v>
          </cell>
          <cell r="O138">
            <v>0</v>
          </cell>
          <cell r="P138">
            <v>0</v>
          </cell>
          <cell r="Q138" t="str">
            <v/>
          </cell>
          <cell r="R138" t="str">
            <v/>
          </cell>
          <cell r="S138" t="str">
            <v/>
          </cell>
          <cell r="T138" t="str">
            <v/>
          </cell>
          <cell r="U138" t="str">
            <v/>
          </cell>
          <cell r="V138" t="str">
            <v/>
          </cell>
          <cell r="W138">
            <v>0</v>
          </cell>
          <cell r="X138">
            <v>0</v>
          </cell>
          <cell r="Y138" t="str">
            <v/>
          </cell>
          <cell r="Z138" t="str">
            <v>BUY</v>
          </cell>
          <cell r="AA138" t="str">
            <v/>
          </cell>
        </row>
        <row r="139">
          <cell r="A139" t="str">
            <v>A</v>
          </cell>
          <cell r="F139" t="str">
            <v>7086-1</v>
          </cell>
          <cell r="G139" t="str">
            <v>A</v>
          </cell>
          <cell r="H139">
            <v>3</v>
          </cell>
          <cell r="I139" t="str">
            <v>Life Insurance</v>
          </cell>
          <cell r="J139" t="str">
            <v>Life Insurance</v>
          </cell>
          <cell r="K139">
            <v>0</v>
          </cell>
          <cell r="L139">
            <v>0</v>
          </cell>
          <cell r="M139">
            <v>0</v>
          </cell>
          <cell r="N139">
            <v>0</v>
          </cell>
          <cell r="O139">
            <v>0</v>
          </cell>
          <cell r="P139">
            <v>0</v>
          </cell>
          <cell r="Q139" t="str">
            <v/>
          </cell>
          <cell r="R139" t="str">
            <v/>
          </cell>
          <cell r="S139" t="str">
            <v/>
          </cell>
          <cell r="T139" t="str">
            <v/>
          </cell>
          <cell r="U139" t="str">
            <v/>
          </cell>
          <cell r="V139" t="str">
            <v/>
          </cell>
          <cell r="W139">
            <v>0</v>
          </cell>
          <cell r="X139">
            <v>0</v>
          </cell>
          <cell r="Y139" t="str">
            <v/>
          </cell>
          <cell r="Z139" t="str">
            <v>BUY</v>
          </cell>
          <cell r="AA139" t="str">
            <v/>
          </cell>
        </row>
        <row r="140">
          <cell r="A140" t="str">
            <v>A</v>
          </cell>
          <cell r="F140" t="str">
            <v>7086-5</v>
          </cell>
          <cell r="G140" t="str">
            <v>A</v>
          </cell>
          <cell r="H140">
            <v>3</v>
          </cell>
          <cell r="I140" t="str">
            <v>Medical/Life Insurance Reimb</v>
          </cell>
          <cell r="J140" t="str">
            <v>Medical/Life Insurance Reimb</v>
          </cell>
          <cell r="K140">
            <v>0</v>
          </cell>
          <cell r="L140">
            <v>0</v>
          </cell>
          <cell r="M140">
            <v>0</v>
          </cell>
          <cell r="N140">
            <v>0</v>
          </cell>
          <cell r="O140">
            <v>0</v>
          </cell>
          <cell r="P140">
            <v>0</v>
          </cell>
          <cell r="Q140" t="str">
            <v/>
          </cell>
          <cell r="R140" t="str">
            <v/>
          </cell>
          <cell r="S140" t="str">
            <v/>
          </cell>
          <cell r="T140" t="str">
            <v/>
          </cell>
          <cell r="U140" t="str">
            <v/>
          </cell>
          <cell r="V140" t="str">
            <v/>
          </cell>
          <cell r="W140">
            <v>0</v>
          </cell>
          <cell r="X140">
            <v>0</v>
          </cell>
          <cell r="Y140" t="str">
            <v/>
          </cell>
          <cell r="Z140" t="str">
            <v>BUY</v>
          </cell>
          <cell r="AA140" t="str">
            <v/>
          </cell>
        </row>
        <row r="141">
          <cell r="A141" t="str">
            <v>A</v>
          </cell>
          <cell r="F141" t="str">
            <v>7087</v>
          </cell>
          <cell r="G141" t="str">
            <v>A</v>
          </cell>
          <cell r="H141">
            <v>3</v>
          </cell>
          <cell r="I141" t="str">
            <v>IRA Deduction</v>
          </cell>
          <cell r="J141" t="str">
            <v>IRA Deduction</v>
          </cell>
          <cell r="K141">
            <v>0</v>
          </cell>
          <cell r="L141">
            <v>0</v>
          </cell>
          <cell r="M141">
            <v>0</v>
          </cell>
          <cell r="N141">
            <v>0</v>
          </cell>
          <cell r="O141">
            <v>0</v>
          </cell>
          <cell r="P141">
            <v>0</v>
          </cell>
          <cell r="Q141" t="str">
            <v/>
          </cell>
          <cell r="R141" t="str">
            <v/>
          </cell>
          <cell r="S141" t="str">
            <v/>
          </cell>
          <cell r="T141" t="str">
            <v/>
          </cell>
          <cell r="U141" t="str">
            <v/>
          </cell>
          <cell r="V141" t="str">
            <v/>
          </cell>
          <cell r="W141">
            <v>0</v>
          </cell>
          <cell r="X141">
            <v>0</v>
          </cell>
          <cell r="Y141" t="str">
            <v/>
          </cell>
          <cell r="Z141" t="str">
            <v>BUY</v>
          </cell>
          <cell r="AA141" t="str">
            <v/>
          </cell>
        </row>
        <row r="142">
          <cell r="A142" t="str">
            <v>A</v>
          </cell>
          <cell r="F142" t="str">
            <v>7088</v>
          </cell>
          <cell r="G142" t="str">
            <v>A</v>
          </cell>
          <cell r="H142">
            <v>3</v>
          </cell>
          <cell r="I142" t="str">
            <v>Misc. Payroll Benefit</v>
          </cell>
          <cell r="J142" t="str">
            <v>Misc. Payroll Benefit</v>
          </cell>
          <cell r="K142">
            <v>0</v>
          </cell>
          <cell r="L142">
            <v>0</v>
          </cell>
          <cell r="M142">
            <v>0</v>
          </cell>
          <cell r="N142">
            <v>0</v>
          </cell>
          <cell r="O142">
            <v>0</v>
          </cell>
          <cell r="P142">
            <v>0</v>
          </cell>
          <cell r="Q142" t="str">
            <v/>
          </cell>
          <cell r="R142" t="str">
            <v/>
          </cell>
          <cell r="S142" t="str">
            <v/>
          </cell>
          <cell r="T142" t="str">
            <v/>
          </cell>
          <cell r="U142" t="str">
            <v/>
          </cell>
          <cell r="V142" t="str">
            <v/>
          </cell>
          <cell r="W142">
            <v>0</v>
          </cell>
          <cell r="X142">
            <v>0</v>
          </cell>
          <cell r="Y142" t="str">
            <v/>
          </cell>
          <cell r="Z142" t="str">
            <v>BUY</v>
          </cell>
          <cell r="AA142" t="str">
            <v/>
          </cell>
        </row>
        <row r="143">
          <cell r="A143" t="str">
            <v>A</v>
          </cell>
          <cell r="F143" t="str">
            <v>7089</v>
          </cell>
          <cell r="G143" t="str">
            <v>A</v>
          </cell>
          <cell r="H143">
            <v>3</v>
          </cell>
          <cell r="I143" t="str">
            <v>Misc. Payroll Benefit</v>
          </cell>
          <cell r="J143" t="str">
            <v>Misc. Payroll Benefit</v>
          </cell>
          <cell r="K143">
            <v>0</v>
          </cell>
          <cell r="L143">
            <v>0</v>
          </cell>
          <cell r="M143">
            <v>0</v>
          </cell>
          <cell r="N143">
            <v>0</v>
          </cell>
          <cell r="O143">
            <v>0</v>
          </cell>
          <cell r="P143">
            <v>0</v>
          </cell>
          <cell r="Q143" t="str">
            <v/>
          </cell>
          <cell r="R143" t="str">
            <v/>
          </cell>
          <cell r="S143" t="str">
            <v/>
          </cell>
          <cell r="T143" t="str">
            <v/>
          </cell>
          <cell r="U143" t="str">
            <v/>
          </cell>
          <cell r="V143" t="str">
            <v/>
          </cell>
          <cell r="W143">
            <v>0</v>
          </cell>
          <cell r="X143">
            <v>0</v>
          </cell>
          <cell r="Y143" t="str">
            <v/>
          </cell>
          <cell r="Z143" t="str">
            <v>BUY</v>
          </cell>
          <cell r="AA143" t="str">
            <v/>
          </cell>
        </row>
        <row r="144">
          <cell r="A144" t="str">
            <v>A</v>
          </cell>
          <cell r="F144" t="str">
            <v>7090</v>
          </cell>
          <cell r="G144" t="str">
            <v>A</v>
          </cell>
          <cell r="H144">
            <v>3</v>
          </cell>
          <cell r="I144" t="str">
            <v>Misc. Payroll Benefit</v>
          </cell>
          <cell r="J144" t="str">
            <v>Misc. Payroll Benefit</v>
          </cell>
          <cell r="K144">
            <v>0</v>
          </cell>
          <cell r="L144">
            <v>0</v>
          </cell>
          <cell r="M144">
            <v>0</v>
          </cell>
          <cell r="N144">
            <v>0</v>
          </cell>
          <cell r="O144">
            <v>0</v>
          </cell>
          <cell r="P144">
            <v>0</v>
          </cell>
          <cell r="Q144" t="str">
            <v/>
          </cell>
          <cell r="R144" t="str">
            <v/>
          </cell>
          <cell r="S144" t="str">
            <v/>
          </cell>
          <cell r="T144" t="str">
            <v/>
          </cell>
          <cell r="U144" t="str">
            <v/>
          </cell>
          <cell r="V144" t="str">
            <v/>
          </cell>
          <cell r="W144">
            <v>0</v>
          </cell>
          <cell r="X144">
            <v>0</v>
          </cell>
          <cell r="Y144" t="str">
            <v/>
          </cell>
          <cell r="Z144" t="str">
            <v>BUY</v>
          </cell>
          <cell r="AA144" t="str">
            <v/>
          </cell>
        </row>
        <row r="145">
          <cell r="A145" t="str">
            <v>A</v>
          </cell>
          <cell r="F145" t="str">
            <v>7091</v>
          </cell>
          <cell r="G145" t="str">
            <v>A</v>
          </cell>
          <cell r="H145">
            <v>3</v>
          </cell>
          <cell r="I145" t="str">
            <v>Head Tax</v>
          </cell>
          <cell r="J145" t="str">
            <v>Head Tax</v>
          </cell>
          <cell r="K145">
            <v>0</v>
          </cell>
          <cell r="L145">
            <v>0</v>
          </cell>
          <cell r="M145">
            <v>0</v>
          </cell>
          <cell r="N145">
            <v>0</v>
          </cell>
          <cell r="O145">
            <v>0</v>
          </cell>
          <cell r="P145">
            <v>0</v>
          </cell>
          <cell r="Q145" t="str">
            <v/>
          </cell>
          <cell r="R145" t="str">
            <v/>
          </cell>
          <cell r="S145" t="str">
            <v/>
          </cell>
          <cell r="T145" t="str">
            <v/>
          </cell>
          <cell r="U145" t="str">
            <v/>
          </cell>
          <cell r="V145" t="str">
            <v/>
          </cell>
          <cell r="W145">
            <v>0</v>
          </cell>
          <cell r="X145">
            <v>0</v>
          </cell>
          <cell r="Y145" t="str">
            <v/>
          </cell>
          <cell r="Z145" t="str">
            <v>BUY</v>
          </cell>
          <cell r="AA145" t="str">
            <v/>
          </cell>
        </row>
        <row r="146">
          <cell r="A146" t="str">
            <v>A</v>
          </cell>
          <cell r="F146" t="str">
            <v>7202-5</v>
          </cell>
          <cell r="G146" t="str">
            <v>A</v>
          </cell>
          <cell r="H146">
            <v>4</v>
          </cell>
          <cell r="I146" t="str">
            <v>All Phone Reimb</v>
          </cell>
          <cell r="J146" t="str">
            <v>All Phone Reimb</v>
          </cell>
          <cell r="K146">
            <v>0</v>
          </cell>
          <cell r="L146">
            <v>0</v>
          </cell>
          <cell r="M146">
            <v>0</v>
          </cell>
          <cell r="N146">
            <v>0</v>
          </cell>
          <cell r="O146">
            <v>0</v>
          </cell>
          <cell r="P146">
            <v>0</v>
          </cell>
          <cell r="Q146" t="str">
            <v/>
          </cell>
          <cell r="R146" t="str">
            <v/>
          </cell>
          <cell r="S146" t="str">
            <v/>
          </cell>
          <cell r="T146" t="str">
            <v/>
          </cell>
          <cell r="U146" t="str">
            <v/>
          </cell>
          <cell r="V146" t="str">
            <v/>
          </cell>
          <cell r="W146">
            <v>0</v>
          </cell>
          <cell r="X146">
            <v>0</v>
          </cell>
          <cell r="Y146" t="str">
            <v/>
          </cell>
          <cell r="Z146" t="str">
            <v>BUY</v>
          </cell>
          <cell r="AA146" t="str">
            <v/>
          </cell>
        </row>
        <row r="147">
          <cell r="A147" t="str">
            <v>A</v>
          </cell>
          <cell r="F147" t="str">
            <v>7210</v>
          </cell>
          <cell r="G147" t="str">
            <v>A</v>
          </cell>
          <cell r="H147">
            <v>4</v>
          </cell>
          <cell r="I147" t="str">
            <v>Electricity</v>
          </cell>
          <cell r="J147" t="str">
            <v>Electricity</v>
          </cell>
          <cell r="K147">
            <v>0</v>
          </cell>
          <cell r="L147">
            <v>0</v>
          </cell>
          <cell r="M147">
            <v>68750</v>
          </cell>
          <cell r="N147">
            <v>67249</v>
          </cell>
          <cell r="O147">
            <v>75000</v>
          </cell>
          <cell r="P147">
            <v>6250</v>
          </cell>
          <cell r="Q147">
            <v>9.0909090909090828E-2</v>
          </cell>
          <cell r="R147" t="str">
            <v>GL 5915 Old ComEd bill was found in 4/29/09 and paid $29,430. Auditor adjusted $23,700 in august. Vanguard estimate for 2010 is $75,000</v>
          </cell>
          <cell r="S147" t="str">
            <v>Vanguard</v>
          </cell>
          <cell r="T147">
            <v>39622</v>
          </cell>
          <cell r="U147">
            <v>40330</v>
          </cell>
          <cell r="V147" t="str">
            <v>index</v>
          </cell>
          <cell r="W147">
            <v>210999</v>
          </cell>
          <cell r="X147">
            <v>0</v>
          </cell>
          <cell r="Y147" t="str">
            <v>A</v>
          </cell>
          <cell r="Z147" t="str">
            <v>BUY</v>
          </cell>
          <cell r="AA147" t="str">
            <v/>
          </cell>
        </row>
        <row r="148">
          <cell r="A148" t="str">
            <v>A</v>
          </cell>
          <cell r="F148" t="str">
            <v>7210-1</v>
          </cell>
          <cell r="G148" t="str">
            <v>A</v>
          </cell>
          <cell r="H148">
            <v>4</v>
          </cell>
          <cell r="I148" t="str">
            <v>Electricity</v>
          </cell>
          <cell r="J148" t="str">
            <v>Electricity</v>
          </cell>
          <cell r="K148">
            <v>0</v>
          </cell>
          <cell r="L148">
            <v>0</v>
          </cell>
          <cell r="M148">
            <v>0</v>
          </cell>
          <cell r="N148">
            <v>0</v>
          </cell>
          <cell r="O148">
            <v>0</v>
          </cell>
          <cell r="P148">
            <v>0</v>
          </cell>
          <cell r="Q148" t="str">
            <v/>
          </cell>
          <cell r="R148" t="str">
            <v/>
          </cell>
          <cell r="S148" t="str">
            <v/>
          </cell>
          <cell r="T148" t="str">
            <v/>
          </cell>
          <cell r="U148" t="str">
            <v/>
          </cell>
          <cell r="V148" t="str">
            <v/>
          </cell>
          <cell r="W148">
            <v>0</v>
          </cell>
          <cell r="X148">
            <v>0</v>
          </cell>
          <cell r="Y148" t="str">
            <v/>
          </cell>
          <cell r="Z148" t="str">
            <v>BUY</v>
          </cell>
          <cell r="AA148" t="str">
            <v/>
          </cell>
        </row>
        <row r="149">
          <cell r="A149" t="str">
            <v>A</v>
          </cell>
          <cell r="F149" t="str">
            <v>7210-2</v>
          </cell>
          <cell r="G149" t="str">
            <v>A</v>
          </cell>
          <cell r="H149">
            <v>4</v>
          </cell>
          <cell r="I149" t="str">
            <v>Electricity</v>
          </cell>
          <cell r="J149" t="str">
            <v>Electricity</v>
          </cell>
          <cell r="K149">
            <v>0</v>
          </cell>
          <cell r="L149">
            <v>0</v>
          </cell>
          <cell r="M149">
            <v>0</v>
          </cell>
          <cell r="N149">
            <v>0</v>
          </cell>
          <cell r="O149">
            <v>0</v>
          </cell>
          <cell r="P149">
            <v>0</v>
          </cell>
          <cell r="Q149" t="str">
            <v/>
          </cell>
          <cell r="R149" t="str">
            <v/>
          </cell>
          <cell r="S149" t="str">
            <v/>
          </cell>
          <cell r="T149" t="str">
            <v/>
          </cell>
          <cell r="U149" t="str">
            <v/>
          </cell>
          <cell r="V149" t="str">
            <v/>
          </cell>
          <cell r="W149">
            <v>0</v>
          </cell>
          <cell r="X149">
            <v>0</v>
          </cell>
          <cell r="Y149" t="str">
            <v/>
          </cell>
          <cell r="Z149" t="str">
            <v>BUY</v>
          </cell>
          <cell r="AA149" t="str">
            <v/>
          </cell>
        </row>
        <row r="150">
          <cell r="A150" t="str">
            <v>A</v>
          </cell>
          <cell r="F150" t="str">
            <v>7210-3</v>
          </cell>
          <cell r="G150" t="str">
            <v>A</v>
          </cell>
          <cell r="H150">
            <v>4</v>
          </cell>
          <cell r="I150" t="str">
            <v>Electricity</v>
          </cell>
          <cell r="J150" t="str">
            <v>Electricity</v>
          </cell>
          <cell r="K150">
            <v>0</v>
          </cell>
          <cell r="L150">
            <v>0</v>
          </cell>
          <cell r="M150">
            <v>0</v>
          </cell>
          <cell r="N150">
            <v>0</v>
          </cell>
          <cell r="O150">
            <v>0</v>
          </cell>
          <cell r="P150">
            <v>0</v>
          </cell>
          <cell r="Q150" t="str">
            <v/>
          </cell>
          <cell r="R150" t="str">
            <v/>
          </cell>
          <cell r="S150" t="str">
            <v/>
          </cell>
          <cell r="T150" t="str">
            <v/>
          </cell>
          <cell r="U150" t="str">
            <v/>
          </cell>
          <cell r="V150" t="str">
            <v/>
          </cell>
          <cell r="W150">
            <v>0</v>
          </cell>
          <cell r="X150">
            <v>0</v>
          </cell>
          <cell r="Y150" t="str">
            <v/>
          </cell>
          <cell r="Z150" t="str">
            <v>BUY</v>
          </cell>
          <cell r="AA150" t="str">
            <v/>
          </cell>
        </row>
        <row r="151">
          <cell r="A151" t="str">
            <v>A</v>
          </cell>
          <cell r="F151" t="str">
            <v>7210-4</v>
          </cell>
          <cell r="G151" t="str">
            <v>A</v>
          </cell>
          <cell r="H151">
            <v>4</v>
          </cell>
          <cell r="I151" t="str">
            <v>Electricity</v>
          </cell>
          <cell r="J151" t="str">
            <v>Electricity</v>
          </cell>
          <cell r="K151">
            <v>0</v>
          </cell>
          <cell r="L151">
            <v>0</v>
          </cell>
          <cell r="M151">
            <v>0</v>
          </cell>
          <cell r="N151">
            <v>0</v>
          </cell>
          <cell r="O151">
            <v>0</v>
          </cell>
          <cell r="P151">
            <v>0</v>
          </cell>
          <cell r="Q151" t="str">
            <v/>
          </cell>
          <cell r="R151" t="str">
            <v/>
          </cell>
          <cell r="S151" t="str">
            <v/>
          </cell>
          <cell r="T151" t="str">
            <v/>
          </cell>
          <cell r="U151" t="str">
            <v/>
          </cell>
          <cell r="V151" t="str">
            <v/>
          </cell>
          <cell r="W151">
            <v>0</v>
          </cell>
          <cell r="X151">
            <v>0</v>
          </cell>
          <cell r="Y151" t="str">
            <v/>
          </cell>
          <cell r="Z151" t="str">
            <v>BUY</v>
          </cell>
          <cell r="AA151" t="str">
            <v/>
          </cell>
        </row>
        <row r="152">
          <cell r="A152" t="str">
            <v>A</v>
          </cell>
          <cell r="F152" t="str">
            <v>7210-5</v>
          </cell>
          <cell r="G152" t="str">
            <v>A</v>
          </cell>
          <cell r="H152">
            <v>4</v>
          </cell>
          <cell r="I152" t="str">
            <v>Electricity Reimbursement</v>
          </cell>
          <cell r="J152" t="str">
            <v>Electricity Reimbursement</v>
          </cell>
          <cell r="K152">
            <v>0</v>
          </cell>
          <cell r="L152">
            <v>0</v>
          </cell>
          <cell r="M152">
            <v>0</v>
          </cell>
          <cell r="N152">
            <v>0</v>
          </cell>
          <cell r="O152">
            <v>0</v>
          </cell>
          <cell r="P152">
            <v>0</v>
          </cell>
          <cell r="Q152" t="str">
            <v/>
          </cell>
          <cell r="R152" t="str">
            <v/>
          </cell>
          <cell r="S152" t="str">
            <v/>
          </cell>
          <cell r="T152" t="str">
            <v/>
          </cell>
          <cell r="U152" t="str">
            <v/>
          </cell>
          <cell r="V152" t="str">
            <v/>
          </cell>
          <cell r="W152">
            <v>0</v>
          </cell>
          <cell r="X152">
            <v>0</v>
          </cell>
          <cell r="Y152" t="str">
            <v/>
          </cell>
          <cell r="Z152" t="str">
            <v>BUY</v>
          </cell>
          <cell r="AA152" t="str">
            <v/>
          </cell>
        </row>
        <row r="153">
          <cell r="A153" t="str">
            <v>A</v>
          </cell>
          <cell r="F153" t="str">
            <v>7211</v>
          </cell>
          <cell r="G153" t="str">
            <v>A</v>
          </cell>
          <cell r="H153">
            <v>4</v>
          </cell>
          <cell r="I153" t="str">
            <v>Electric Street Lights</v>
          </cell>
          <cell r="J153" t="str">
            <v>Electric Street Lights</v>
          </cell>
          <cell r="K153">
            <v>0</v>
          </cell>
          <cell r="L153">
            <v>0</v>
          </cell>
          <cell r="M153">
            <v>0</v>
          </cell>
          <cell r="N153">
            <v>0</v>
          </cell>
          <cell r="O153">
            <v>0</v>
          </cell>
          <cell r="P153">
            <v>0</v>
          </cell>
          <cell r="Q153" t="str">
            <v/>
          </cell>
          <cell r="R153" t="str">
            <v/>
          </cell>
          <cell r="S153" t="str">
            <v/>
          </cell>
          <cell r="T153" t="str">
            <v/>
          </cell>
          <cell r="U153" t="str">
            <v/>
          </cell>
          <cell r="V153" t="str">
            <v/>
          </cell>
          <cell r="W153">
            <v>0</v>
          </cell>
          <cell r="X153">
            <v>0</v>
          </cell>
          <cell r="Y153" t="str">
            <v/>
          </cell>
          <cell r="Z153" t="str">
            <v>BUY</v>
          </cell>
          <cell r="AA153" t="str">
            <v/>
          </cell>
        </row>
        <row r="154">
          <cell r="A154" t="str">
            <v>A</v>
          </cell>
          <cell r="F154" t="str">
            <v>7211-1</v>
          </cell>
          <cell r="G154" t="str">
            <v>A</v>
          </cell>
          <cell r="H154">
            <v>4</v>
          </cell>
          <cell r="I154" t="str">
            <v>Electric Street Lights</v>
          </cell>
          <cell r="J154" t="str">
            <v>Electric Street Lights</v>
          </cell>
          <cell r="K154">
            <v>0</v>
          </cell>
          <cell r="L154">
            <v>0</v>
          </cell>
          <cell r="M154">
            <v>0</v>
          </cell>
          <cell r="N154">
            <v>0</v>
          </cell>
          <cell r="O154">
            <v>0</v>
          </cell>
          <cell r="P154">
            <v>0</v>
          </cell>
          <cell r="Q154" t="str">
            <v/>
          </cell>
          <cell r="R154" t="str">
            <v/>
          </cell>
          <cell r="S154" t="str">
            <v/>
          </cell>
          <cell r="T154" t="str">
            <v/>
          </cell>
          <cell r="U154" t="str">
            <v/>
          </cell>
          <cell r="V154" t="str">
            <v/>
          </cell>
          <cell r="W154">
            <v>0</v>
          </cell>
          <cell r="X154">
            <v>0</v>
          </cell>
          <cell r="Y154" t="str">
            <v/>
          </cell>
          <cell r="Z154" t="str">
            <v>BUY</v>
          </cell>
          <cell r="AA154" t="str">
            <v/>
          </cell>
        </row>
        <row r="155">
          <cell r="A155" t="str">
            <v>A</v>
          </cell>
          <cell r="F155" t="str">
            <v>7212</v>
          </cell>
          <cell r="G155" t="str">
            <v>A</v>
          </cell>
          <cell r="H155">
            <v>4</v>
          </cell>
          <cell r="I155" t="str">
            <v>Heater Room Payouts</v>
          </cell>
          <cell r="J155" t="str">
            <v>Heater Room Payouts</v>
          </cell>
          <cell r="K155">
            <v>0</v>
          </cell>
          <cell r="L155">
            <v>0</v>
          </cell>
          <cell r="M155">
            <v>0</v>
          </cell>
          <cell r="N155">
            <v>0</v>
          </cell>
          <cell r="O155">
            <v>0</v>
          </cell>
          <cell r="P155">
            <v>0</v>
          </cell>
          <cell r="Q155" t="str">
            <v/>
          </cell>
          <cell r="R155" t="str">
            <v/>
          </cell>
          <cell r="S155" t="str">
            <v/>
          </cell>
          <cell r="T155" t="str">
            <v/>
          </cell>
          <cell r="U155" t="str">
            <v/>
          </cell>
          <cell r="V155" t="str">
            <v/>
          </cell>
          <cell r="W155">
            <v>0</v>
          </cell>
          <cell r="X155">
            <v>0</v>
          </cell>
          <cell r="Y155" t="str">
            <v/>
          </cell>
          <cell r="Z155" t="str">
            <v>BUY</v>
          </cell>
          <cell r="AA155" t="str">
            <v/>
          </cell>
        </row>
        <row r="156">
          <cell r="A156" t="str">
            <v>A</v>
          </cell>
          <cell r="F156" t="str">
            <v>7220</v>
          </cell>
          <cell r="G156" t="str">
            <v>A</v>
          </cell>
          <cell r="H156">
            <v>4</v>
          </cell>
          <cell r="I156" t="str">
            <v>Water &amp; Sewer</v>
          </cell>
          <cell r="J156" t="str">
            <v>Water &amp; Sewer</v>
          </cell>
          <cell r="K156">
            <v>0</v>
          </cell>
          <cell r="L156">
            <v>0</v>
          </cell>
          <cell r="M156">
            <v>22920</v>
          </cell>
          <cell r="N156">
            <v>17109</v>
          </cell>
          <cell r="O156">
            <v>22920</v>
          </cell>
          <cell r="P156">
            <v>0</v>
          </cell>
          <cell r="Q156">
            <v>0</v>
          </cell>
          <cell r="R156" t="str">
            <v>GL 5901 Budget same as 2009</v>
          </cell>
          <cell r="S156" t="str">
            <v>City of Chicago</v>
          </cell>
          <cell r="T156" t="str">
            <v/>
          </cell>
          <cell r="U156" t="str">
            <v/>
          </cell>
          <cell r="V156" t="str">
            <v/>
          </cell>
          <cell r="W156">
            <v>62949</v>
          </cell>
          <cell r="X156">
            <v>0</v>
          </cell>
          <cell r="Y156" t="str">
            <v>A</v>
          </cell>
          <cell r="Z156" t="str">
            <v>BUY</v>
          </cell>
          <cell r="AA156" t="str">
            <v/>
          </cell>
        </row>
        <row r="157">
          <cell r="A157" t="str">
            <v>A</v>
          </cell>
          <cell r="F157" t="str">
            <v>7220-1</v>
          </cell>
          <cell r="G157" t="str">
            <v>A</v>
          </cell>
          <cell r="H157">
            <v>4</v>
          </cell>
          <cell r="I157" t="str">
            <v>Water &amp; Sewer</v>
          </cell>
          <cell r="J157" t="str">
            <v>Water &amp; Sewer</v>
          </cell>
          <cell r="K157">
            <v>0</v>
          </cell>
          <cell r="L157">
            <v>0</v>
          </cell>
          <cell r="M157">
            <v>0</v>
          </cell>
          <cell r="N157">
            <v>0</v>
          </cell>
          <cell r="O157">
            <v>0</v>
          </cell>
          <cell r="P157">
            <v>0</v>
          </cell>
          <cell r="Q157" t="str">
            <v/>
          </cell>
          <cell r="R157" t="str">
            <v/>
          </cell>
          <cell r="S157" t="str">
            <v/>
          </cell>
          <cell r="T157" t="str">
            <v/>
          </cell>
          <cell r="U157" t="str">
            <v/>
          </cell>
          <cell r="V157" t="str">
            <v/>
          </cell>
          <cell r="W157">
            <v>0</v>
          </cell>
          <cell r="X157">
            <v>0</v>
          </cell>
          <cell r="Y157" t="str">
            <v/>
          </cell>
          <cell r="Z157" t="str">
            <v>BUY</v>
          </cell>
          <cell r="AA157" t="str">
            <v/>
          </cell>
        </row>
        <row r="158">
          <cell r="A158" t="str">
            <v>A</v>
          </cell>
          <cell r="F158" t="str">
            <v>7220-1000</v>
          </cell>
          <cell r="G158" t="str">
            <v>A</v>
          </cell>
          <cell r="H158">
            <v>4</v>
          </cell>
          <cell r="I158" t="str">
            <v>Water &amp; Sewer Svcs</v>
          </cell>
          <cell r="J158" t="str">
            <v>Water &amp; Sewer Svcs</v>
          </cell>
          <cell r="K158">
            <v>0</v>
          </cell>
          <cell r="L158">
            <v>0</v>
          </cell>
          <cell r="M158">
            <v>0</v>
          </cell>
          <cell r="N158">
            <v>0</v>
          </cell>
          <cell r="O158">
            <v>0</v>
          </cell>
          <cell r="P158">
            <v>0</v>
          </cell>
          <cell r="Q158" t="str">
            <v/>
          </cell>
          <cell r="R158" t="str">
            <v/>
          </cell>
          <cell r="S158" t="str">
            <v/>
          </cell>
          <cell r="T158" t="str">
            <v/>
          </cell>
          <cell r="U158" t="str">
            <v/>
          </cell>
          <cell r="V158" t="str">
            <v/>
          </cell>
          <cell r="W158">
            <v>0</v>
          </cell>
          <cell r="X158">
            <v>0</v>
          </cell>
          <cell r="Y158" t="str">
            <v/>
          </cell>
          <cell r="Z158" t="str">
            <v>BUY</v>
          </cell>
          <cell r="AA158" t="str">
            <v/>
          </cell>
        </row>
        <row r="159">
          <cell r="A159" t="str">
            <v>A</v>
          </cell>
          <cell r="F159" t="str">
            <v>7220-2</v>
          </cell>
          <cell r="G159" t="str">
            <v>A</v>
          </cell>
          <cell r="H159">
            <v>4</v>
          </cell>
          <cell r="I159" t="str">
            <v>Water &amp; Sewer</v>
          </cell>
          <cell r="J159" t="str">
            <v>Water &amp; Sewer</v>
          </cell>
          <cell r="K159">
            <v>0</v>
          </cell>
          <cell r="L159">
            <v>0</v>
          </cell>
          <cell r="M159">
            <v>0</v>
          </cell>
          <cell r="N159">
            <v>0</v>
          </cell>
          <cell r="O159">
            <v>0</v>
          </cell>
          <cell r="P159">
            <v>0</v>
          </cell>
          <cell r="Q159" t="str">
            <v/>
          </cell>
          <cell r="R159" t="str">
            <v/>
          </cell>
          <cell r="S159" t="str">
            <v/>
          </cell>
          <cell r="T159" t="str">
            <v/>
          </cell>
          <cell r="U159" t="str">
            <v/>
          </cell>
          <cell r="V159" t="str">
            <v/>
          </cell>
          <cell r="W159">
            <v>0</v>
          </cell>
          <cell r="X159">
            <v>0</v>
          </cell>
          <cell r="Y159" t="str">
            <v/>
          </cell>
          <cell r="Z159" t="str">
            <v>BUY</v>
          </cell>
          <cell r="AA159" t="str">
            <v/>
          </cell>
        </row>
        <row r="160">
          <cell r="A160" t="str">
            <v>A</v>
          </cell>
          <cell r="F160" t="str">
            <v>7220-2000</v>
          </cell>
          <cell r="G160" t="str">
            <v>A</v>
          </cell>
          <cell r="H160">
            <v>4</v>
          </cell>
          <cell r="I160" t="str">
            <v>Water &amp; Sewer Svc</v>
          </cell>
          <cell r="J160" t="str">
            <v>Water &amp; Sewer Svc</v>
          </cell>
          <cell r="K160">
            <v>0</v>
          </cell>
          <cell r="L160">
            <v>0</v>
          </cell>
          <cell r="M160">
            <v>0</v>
          </cell>
          <cell r="N160">
            <v>0</v>
          </cell>
          <cell r="O160">
            <v>0</v>
          </cell>
          <cell r="P160">
            <v>0</v>
          </cell>
          <cell r="Q160" t="str">
            <v/>
          </cell>
          <cell r="R160" t="str">
            <v/>
          </cell>
          <cell r="S160" t="str">
            <v/>
          </cell>
          <cell r="T160" t="str">
            <v/>
          </cell>
          <cell r="U160" t="str">
            <v/>
          </cell>
          <cell r="V160" t="str">
            <v/>
          </cell>
          <cell r="W160">
            <v>0</v>
          </cell>
          <cell r="X160">
            <v>0</v>
          </cell>
          <cell r="Y160" t="str">
            <v/>
          </cell>
          <cell r="Z160" t="str">
            <v>BUY</v>
          </cell>
          <cell r="AA160" t="str">
            <v/>
          </cell>
        </row>
        <row r="161">
          <cell r="A161" t="str">
            <v>A</v>
          </cell>
          <cell r="F161" t="str">
            <v>7220-3</v>
          </cell>
          <cell r="G161" t="str">
            <v>A</v>
          </cell>
          <cell r="H161">
            <v>4</v>
          </cell>
          <cell r="I161" t="str">
            <v>Water &amp; Sewer</v>
          </cell>
          <cell r="J161" t="str">
            <v>Water &amp; Sewer</v>
          </cell>
          <cell r="K161">
            <v>0</v>
          </cell>
          <cell r="L161">
            <v>0</v>
          </cell>
          <cell r="M161">
            <v>0</v>
          </cell>
          <cell r="N161">
            <v>0</v>
          </cell>
          <cell r="O161">
            <v>0</v>
          </cell>
          <cell r="P161">
            <v>0</v>
          </cell>
          <cell r="Q161" t="str">
            <v/>
          </cell>
          <cell r="R161" t="str">
            <v/>
          </cell>
          <cell r="S161" t="str">
            <v/>
          </cell>
          <cell r="T161" t="str">
            <v/>
          </cell>
          <cell r="U161" t="str">
            <v/>
          </cell>
          <cell r="V161" t="str">
            <v/>
          </cell>
          <cell r="W161">
            <v>0</v>
          </cell>
          <cell r="X161">
            <v>0</v>
          </cell>
          <cell r="Y161" t="str">
            <v/>
          </cell>
          <cell r="Z161" t="str">
            <v>BUY</v>
          </cell>
          <cell r="AA161" t="str">
            <v/>
          </cell>
        </row>
        <row r="162">
          <cell r="A162" t="str">
            <v>A</v>
          </cell>
          <cell r="F162" t="str">
            <v>7220-4</v>
          </cell>
          <cell r="G162" t="str">
            <v>A</v>
          </cell>
          <cell r="H162">
            <v>4</v>
          </cell>
          <cell r="I162" t="str">
            <v>Water &amp; Sewer</v>
          </cell>
          <cell r="J162" t="str">
            <v>Water &amp; Sewer</v>
          </cell>
          <cell r="K162">
            <v>0</v>
          </cell>
          <cell r="L162">
            <v>0</v>
          </cell>
          <cell r="M162">
            <v>0</v>
          </cell>
          <cell r="N162">
            <v>0</v>
          </cell>
          <cell r="O162">
            <v>0</v>
          </cell>
          <cell r="P162">
            <v>0</v>
          </cell>
          <cell r="Q162" t="str">
            <v/>
          </cell>
          <cell r="R162" t="str">
            <v/>
          </cell>
          <cell r="S162" t="str">
            <v/>
          </cell>
          <cell r="T162" t="str">
            <v/>
          </cell>
          <cell r="U162" t="str">
            <v/>
          </cell>
          <cell r="V162" t="str">
            <v/>
          </cell>
          <cell r="W162">
            <v>0</v>
          </cell>
          <cell r="X162">
            <v>0</v>
          </cell>
          <cell r="Y162" t="str">
            <v/>
          </cell>
          <cell r="Z162" t="str">
            <v>BUY</v>
          </cell>
          <cell r="AA162" t="str">
            <v/>
          </cell>
        </row>
        <row r="163">
          <cell r="A163" t="str">
            <v>A</v>
          </cell>
          <cell r="F163" t="str">
            <v>7220-5</v>
          </cell>
          <cell r="G163" t="str">
            <v>A</v>
          </cell>
          <cell r="H163">
            <v>4</v>
          </cell>
          <cell r="I163" t="str">
            <v>Water Reimbursement</v>
          </cell>
          <cell r="J163" t="str">
            <v>Water Reimbursement</v>
          </cell>
          <cell r="K163">
            <v>0</v>
          </cell>
          <cell r="L163">
            <v>0</v>
          </cell>
          <cell r="M163">
            <v>0</v>
          </cell>
          <cell r="N163">
            <v>0</v>
          </cell>
          <cell r="O163">
            <v>0</v>
          </cell>
          <cell r="P163">
            <v>0</v>
          </cell>
          <cell r="Q163" t="str">
            <v/>
          </cell>
          <cell r="R163" t="str">
            <v/>
          </cell>
          <cell r="S163" t="str">
            <v/>
          </cell>
          <cell r="T163" t="str">
            <v/>
          </cell>
          <cell r="U163" t="str">
            <v/>
          </cell>
          <cell r="V163" t="str">
            <v/>
          </cell>
          <cell r="W163">
            <v>0</v>
          </cell>
          <cell r="X163">
            <v>0</v>
          </cell>
          <cell r="Y163" t="str">
            <v/>
          </cell>
          <cell r="Z163" t="str">
            <v>BUY</v>
          </cell>
          <cell r="AA163" t="str">
            <v/>
          </cell>
        </row>
        <row r="164">
          <cell r="A164" t="str">
            <v>A</v>
          </cell>
          <cell r="F164" t="str">
            <v>7221</v>
          </cell>
          <cell r="G164" t="str">
            <v>A</v>
          </cell>
          <cell r="H164">
            <v>4</v>
          </cell>
          <cell r="I164" t="str">
            <v>Water</v>
          </cell>
          <cell r="J164" t="str">
            <v>Water</v>
          </cell>
          <cell r="K164">
            <v>0</v>
          </cell>
          <cell r="L164">
            <v>0</v>
          </cell>
          <cell r="M164">
            <v>0</v>
          </cell>
          <cell r="N164">
            <v>0</v>
          </cell>
          <cell r="O164">
            <v>0</v>
          </cell>
          <cell r="P164">
            <v>0</v>
          </cell>
          <cell r="Q164" t="str">
            <v/>
          </cell>
          <cell r="R164" t="str">
            <v/>
          </cell>
          <cell r="S164" t="str">
            <v/>
          </cell>
          <cell r="T164" t="str">
            <v/>
          </cell>
          <cell r="U164" t="str">
            <v/>
          </cell>
          <cell r="V164" t="str">
            <v/>
          </cell>
          <cell r="W164">
            <v>0</v>
          </cell>
          <cell r="X164">
            <v>0</v>
          </cell>
          <cell r="Y164" t="str">
            <v/>
          </cell>
          <cell r="Z164" t="str">
            <v>BUY</v>
          </cell>
          <cell r="AA164" t="str">
            <v/>
          </cell>
        </row>
        <row r="165">
          <cell r="A165" t="str">
            <v>A</v>
          </cell>
          <cell r="F165" t="str">
            <v>7221-5</v>
          </cell>
          <cell r="G165" t="str">
            <v>A</v>
          </cell>
          <cell r="H165">
            <v>4</v>
          </cell>
          <cell r="I165" t="str">
            <v>Water Reimbursement</v>
          </cell>
          <cell r="J165" t="str">
            <v>Water Reimbursement</v>
          </cell>
          <cell r="K165">
            <v>0</v>
          </cell>
          <cell r="L165">
            <v>0</v>
          </cell>
          <cell r="M165">
            <v>0</v>
          </cell>
          <cell r="N165">
            <v>0</v>
          </cell>
          <cell r="O165">
            <v>0</v>
          </cell>
          <cell r="P165">
            <v>0</v>
          </cell>
          <cell r="Q165" t="str">
            <v/>
          </cell>
          <cell r="R165" t="str">
            <v/>
          </cell>
          <cell r="S165" t="str">
            <v/>
          </cell>
          <cell r="T165" t="str">
            <v/>
          </cell>
          <cell r="U165" t="str">
            <v/>
          </cell>
          <cell r="V165" t="str">
            <v/>
          </cell>
          <cell r="W165">
            <v>0</v>
          </cell>
          <cell r="X165">
            <v>0</v>
          </cell>
          <cell r="Y165" t="str">
            <v/>
          </cell>
          <cell r="Z165" t="str">
            <v>BUY</v>
          </cell>
          <cell r="AA165" t="str">
            <v/>
          </cell>
        </row>
        <row r="166">
          <cell r="A166" t="str">
            <v>A</v>
          </cell>
          <cell r="F166" t="str">
            <v>7222</v>
          </cell>
          <cell r="G166" t="str">
            <v>A</v>
          </cell>
          <cell r="H166">
            <v>4</v>
          </cell>
          <cell r="I166" t="str">
            <v>Sewer</v>
          </cell>
          <cell r="J166" t="str">
            <v>Sewer</v>
          </cell>
          <cell r="K166">
            <v>0</v>
          </cell>
          <cell r="L166">
            <v>0</v>
          </cell>
          <cell r="M166">
            <v>0</v>
          </cell>
          <cell r="N166">
            <v>0</v>
          </cell>
          <cell r="O166">
            <v>0</v>
          </cell>
          <cell r="P166">
            <v>0</v>
          </cell>
          <cell r="Q166" t="str">
            <v/>
          </cell>
          <cell r="R166" t="str">
            <v/>
          </cell>
          <cell r="S166" t="str">
            <v/>
          </cell>
          <cell r="T166" t="str">
            <v/>
          </cell>
          <cell r="U166" t="str">
            <v/>
          </cell>
          <cell r="V166" t="str">
            <v/>
          </cell>
          <cell r="W166">
            <v>0</v>
          </cell>
          <cell r="X166">
            <v>0</v>
          </cell>
          <cell r="Y166" t="str">
            <v/>
          </cell>
          <cell r="Z166" t="str">
            <v>BUY</v>
          </cell>
          <cell r="AA166" t="str">
            <v/>
          </cell>
        </row>
        <row r="167">
          <cell r="A167" t="str">
            <v>A</v>
          </cell>
          <cell r="F167" t="str">
            <v>7230</v>
          </cell>
          <cell r="G167" t="str">
            <v>A</v>
          </cell>
          <cell r="H167">
            <v>4</v>
          </cell>
          <cell r="I167" t="str">
            <v>Gas</v>
          </cell>
          <cell r="J167" t="str">
            <v>Gas</v>
          </cell>
          <cell r="K167">
            <v>0</v>
          </cell>
          <cell r="L167">
            <v>0</v>
          </cell>
          <cell r="M167">
            <v>56250</v>
          </cell>
          <cell r="N167">
            <v>4687</v>
          </cell>
          <cell r="O167">
            <v>41000</v>
          </cell>
          <cell r="P167">
            <v>-15250</v>
          </cell>
          <cell r="Q167">
            <v>-0.27111111111111108</v>
          </cell>
          <cell r="R167" t="str">
            <v>GL 5945 heating and cooling of hallways. Based 2010 on Pioneer Parking 2009 bills plus extra.</v>
          </cell>
          <cell r="S167" t="str">
            <v/>
          </cell>
          <cell r="T167" t="str">
            <v/>
          </cell>
          <cell r="U167" t="str">
            <v/>
          </cell>
          <cell r="V167" t="str">
            <v/>
          </cell>
          <cell r="W167">
            <v>101937</v>
          </cell>
          <cell r="X167">
            <v>0</v>
          </cell>
          <cell r="Y167" t="str">
            <v>A</v>
          </cell>
          <cell r="Z167" t="str">
            <v>BUY</v>
          </cell>
          <cell r="AA167" t="str">
            <v/>
          </cell>
        </row>
        <row r="168">
          <cell r="A168" t="str">
            <v>A</v>
          </cell>
          <cell r="F168" t="str">
            <v>7230-1</v>
          </cell>
          <cell r="G168" t="str">
            <v>A</v>
          </cell>
          <cell r="H168">
            <v>4</v>
          </cell>
          <cell r="I168" t="str">
            <v>Gas - Direct Purchases</v>
          </cell>
          <cell r="J168" t="str">
            <v>Gas - Direct Purchases</v>
          </cell>
          <cell r="K168">
            <v>0</v>
          </cell>
          <cell r="L168">
            <v>0</v>
          </cell>
          <cell r="M168">
            <v>0</v>
          </cell>
          <cell r="N168">
            <v>0</v>
          </cell>
          <cell r="O168">
            <v>0</v>
          </cell>
          <cell r="P168">
            <v>0</v>
          </cell>
          <cell r="Q168" t="str">
            <v/>
          </cell>
          <cell r="R168" t="str">
            <v/>
          </cell>
          <cell r="S168" t="str">
            <v/>
          </cell>
          <cell r="T168" t="str">
            <v/>
          </cell>
          <cell r="U168" t="str">
            <v/>
          </cell>
          <cell r="V168" t="str">
            <v/>
          </cell>
          <cell r="W168">
            <v>0</v>
          </cell>
          <cell r="X168">
            <v>0</v>
          </cell>
          <cell r="Y168" t="str">
            <v/>
          </cell>
          <cell r="Z168" t="str">
            <v>BUY</v>
          </cell>
          <cell r="AA168" t="str">
            <v/>
          </cell>
        </row>
        <row r="169">
          <cell r="A169" t="str">
            <v>A</v>
          </cell>
          <cell r="F169" t="str">
            <v>7230-2</v>
          </cell>
          <cell r="G169" t="str">
            <v>A</v>
          </cell>
          <cell r="H169">
            <v>4</v>
          </cell>
          <cell r="I169" t="str">
            <v>Gas - Commissions</v>
          </cell>
          <cell r="J169" t="str">
            <v>Gas - Commissions</v>
          </cell>
          <cell r="K169">
            <v>0</v>
          </cell>
          <cell r="L169">
            <v>0</v>
          </cell>
          <cell r="M169">
            <v>0</v>
          </cell>
          <cell r="N169">
            <v>0</v>
          </cell>
          <cell r="O169">
            <v>0</v>
          </cell>
          <cell r="P169">
            <v>0</v>
          </cell>
          <cell r="Q169" t="str">
            <v/>
          </cell>
          <cell r="R169" t="str">
            <v/>
          </cell>
          <cell r="S169" t="str">
            <v/>
          </cell>
          <cell r="T169" t="str">
            <v/>
          </cell>
          <cell r="U169" t="str">
            <v/>
          </cell>
          <cell r="V169" t="str">
            <v/>
          </cell>
          <cell r="W169">
            <v>0</v>
          </cell>
          <cell r="X169">
            <v>0</v>
          </cell>
          <cell r="Y169" t="str">
            <v/>
          </cell>
          <cell r="Z169" t="str">
            <v>BUY</v>
          </cell>
          <cell r="AA169" t="str">
            <v/>
          </cell>
        </row>
        <row r="170">
          <cell r="A170" t="str">
            <v>A</v>
          </cell>
          <cell r="F170" t="str">
            <v>7230-3</v>
          </cell>
          <cell r="G170" t="str">
            <v>A</v>
          </cell>
          <cell r="H170">
            <v>4</v>
          </cell>
          <cell r="I170" t="str">
            <v>Gas</v>
          </cell>
          <cell r="J170" t="str">
            <v>Gas</v>
          </cell>
          <cell r="K170">
            <v>0</v>
          </cell>
          <cell r="L170">
            <v>0</v>
          </cell>
          <cell r="M170">
            <v>0</v>
          </cell>
          <cell r="N170">
            <v>0</v>
          </cell>
          <cell r="O170">
            <v>0</v>
          </cell>
          <cell r="P170">
            <v>0</v>
          </cell>
          <cell r="Q170" t="str">
            <v/>
          </cell>
          <cell r="R170" t="str">
            <v/>
          </cell>
          <cell r="S170" t="str">
            <v/>
          </cell>
          <cell r="T170" t="str">
            <v/>
          </cell>
          <cell r="U170" t="str">
            <v/>
          </cell>
          <cell r="V170" t="str">
            <v/>
          </cell>
          <cell r="W170">
            <v>0</v>
          </cell>
          <cell r="X170">
            <v>0</v>
          </cell>
          <cell r="Y170" t="str">
            <v/>
          </cell>
          <cell r="Z170" t="str">
            <v>BUY</v>
          </cell>
          <cell r="AA170" t="str">
            <v/>
          </cell>
        </row>
        <row r="171">
          <cell r="A171" t="str">
            <v>A</v>
          </cell>
          <cell r="F171" t="str">
            <v>7230-4</v>
          </cell>
          <cell r="G171" t="str">
            <v>A</v>
          </cell>
          <cell r="H171">
            <v>4</v>
          </cell>
          <cell r="I171" t="str">
            <v>Gas</v>
          </cell>
          <cell r="J171" t="str">
            <v>Gas</v>
          </cell>
          <cell r="K171">
            <v>0</v>
          </cell>
          <cell r="L171">
            <v>0</v>
          </cell>
          <cell r="M171">
            <v>0</v>
          </cell>
          <cell r="N171">
            <v>0</v>
          </cell>
          <cell r="O171">
            <v>0</v>
          </cell>
          <cell r="P171">
            <v>0</v>
          </cell>
          <cell r="Q171" t="str">
            <v/>
          </cell>
          <cell r="R171" t="str">
            <v/>
          </cell>
          <cell r="S171" t="str">
            <v/>
          </cell>
          <cell r="T171" t="str">
            <v/>
          </cell>
          <cell r="U171" t="str">
            <v/>
          </cell>
          <cell r="V171" t="str">
            <v/>
          </cell>
          <cell r="W171">
            <v>0</v>
          </cell>
          <cell r="X171">
            <v>0</v>
          </cell>
          <cell r="Y171" t="str">
            <v/>
          </cell>
          <cell r="Z171" t="str">
            <v>BUY</v>
          </cell>
          <cell r="AA171" t="str">
            <v/>
          </cell>
        </row>
        <row r="172">
          <cell r="A172" t="str">
            <v>A</v>
          </cell>
          <cell r="F172" t="str">
            <v>7230-5</v>
          </cell>
          <cell r="G172" t="str">
            <v>A</v>
          </cell>
          <cell r="H172">
            <v>4</v>
          </cell>
          <cell r="I172" t="str">
            <v>Gas Reimbursements</v>
          </cell>
          <cell r="J172" t="str">
            <v>Gas Reimbursements</v>
          </cell>
          <cell r="K172">
            <v>0</v>
          </cell>
          <cell r="L172">
            <v>0</v>
          </cell>
          <cell r="M172">
            <v>0</v>
          </cell>
          <cell r="N172">
            <v>0</v>
          </cell>
          <cell r="O172">
            <v>0</v>
          </cell>
          <cell r="P172">
            <v>0</v>
          </cell>
          <cell r="Q172" t="str">
            <v/>
          </cell>
          <cell r="R172" t="str">
            <v/>
          </cell>
          <cell r="S172" t="str">
            <v/>
          </cell>
          <cell r="T172" t="str">
            <v/>
          </cell>
          <cell r="U172" t="str">
            <v/>
          </cell>
          <cell r="V172" t="str">
            <v/>
          </cell>
          <cell r="W172">
            <v>0</v>
          </cell>
          <cell r="X172">
            <v>0</v>
          </cell>
          <cell r="Y172" t="str">
            <v/>
          </cell>
          <cell r="Z172" t="str">
            <v>BUY</v>
          </cell>
          <cell r="AA172" t="str">
            <v/>
          </cell>
        </row>
        <row r="173">
          <cell r="A173" t="str">
            <v>A</v>
          </cell>
          <cell r="F173" t="str">
            <v>7232</v>
          </cell>
          <cell r="G173" t="str">
            <v>A</v>
          </cell>
          <cell r="H173">
            <v>4</v>
          </cell>
          <cell r="I173" t="str">
            <v>Internet Access</v>
          </cell>
          <cell r="J173" t="str">
            <v>Internet Access</v>
          </cell>
          <cell r="K173">
            <v>0</v>
          </cell>
          <cell r="L173">
            <v>0</v>
          </cell>
          <cell r="M173">
            <v>0</v>
          </cell>
          <cell r="N173">
            <v>0</v>
          </cell>
          <cell r="O173">
            <v>0</v>
          </cell>
          <cell r="P173">
            <v>0</v>
          </cell>
          <cell r="Q173" t="str">
            <v/>
          </cell>
          <cell r="R173" t="str">
            <v/>
          </cell>
          <cell r="S173" t="str">
            <v/>
          </cell>
          <cell r="T173" t="str">
            <v/>
          </cell>
          <cell r="U173" t="str">
            <v/>
          </cell>
          <cell r="V173" t="str">
            <v/>
          </cell>
          <cell r="W173">
            <v>0</v>
          </cell>
          <cell r="X173">
            <v>0</v>
          </cell>
          <cell r="Y173" t="str">
            <v/>
          </cell>
          <cell r="Z173" t="str">
            <v>BUY</v>
          </cell>
          <cell r="AA173" t="str">
            <v/>
          </cell>
        </row>
        <row r="174">
          <cell r="A174" t="str">
            <v>A</v>
          </cell>
          <cell r="F174" t="str">
            <v>7233</v>
          </cell>
          <cell r="G174" t="str">
            <v>A</v>
          </cell>
          <cell r="H174">
            <v>4</v>
          </cell>
          <cell r="I174" t="str">
            <v>Cable TV Service</v>
          </cell>
          <cell r="J174" t="str">
            <v>Cable TV Service</v>
          </cell>
          <cell r="K174">
            <v>0</v>
          </cell>
          <cell r="L174">
            <v>0</v>
          </cell>
          <cell r="M174">
            <v>0</v>
          </cell>
          <cell r="N174">
            <v>0</v>
          </cell>
          <cell r="O174">
            <v>0</v>
          </cell>
          <cell r="P174">
            <v>0</v>
          </cell>
          <cell r="Q174" t="str">
            <v/>
          </cell>
          <cell r="R174" t="str">
            <v/>
          </cell>
          <cell r="S174" t="str">
            <v/>
          </cell>
          <cell r="T174" t="str">
            <v/>
          </cell>
          <cell r="U174" t="str">
            <v/>
          </cell>
          <cell r="V174" t="str">
            <v/>
          </cell>
          <cell r="W174">
            <v>0</v>
          </cell>
          <cell r="X174">
            <v>0</v>
          </cell>
          <cell r="Y174" t="str">
            <v/>
          </cell>
          <cell r="Z174" t="str">
            <v>BUY</v>
          </cell>
          <cell r="AA174" t="str">
            <v/>
          </cell>
        </row>
        <row r="175">
          <cell r="A175" t="str">
            <v>A</v>
          </cell>
          <cell r="F175" t="str">
            <v>7363</v>
          </cell>
          <cell r="G175" t="str">
            <v>A</v>
          </cell>
          <cell r="H175">
            <v>0</v>
          </cell>
          <cell r="I175" t="str">
            <v>Office Supplies</v>
          </cell>
          <cell r="J175" t="str">
            <v>Office Supplies</v>
          </cell>
          <cell r="K175">
            <v>0</v>
          </cell>
          <cell r="L175">
            <v>0</v>
          </cell>
          <cell r="M175">
            <v>0</v>
          </cell>
          <cell r="N175">
            <v>0</v>
          </cell>
          <cell r="O175">
            <v>0</v>
          </cell>
          <cell r="P175">
            <v>0</v>
          </cell>
          <cell r="Q175" t="str">
            <v/>
          </cell>
          <cell r="R175" t="str">
            <v/>
          </cell>
          <cell r="S175" t="str">
            <v/>
          </cell>
          <cell r="T175" t="str">
            <v/>
          </cell>
          <cell r="U175" t="str">
            <v/>
          </cell>
          <cell r="V175" t="str">
            <v/>
          </cell>
          <cell r="W175">
            <v>0</v>
          </cell>
          <cell r="X175">
            <v>0</v>
          </cell>
          <cell r="Y175" t="str">
            <v/>
          </cell>
          <cell r="Z175" t="str">
            <v>BUY</v>
          </cell>
          <cell r="AA175" t="str">
            <v/>
          </cell>
        </row>
        <row r="176">
          <cell r="A176" t="str">
            <v>A</v>
          </cell>
          <cell r="F176" t="str">
            <v>7405</v>
          </cell>
          <cell r="G176" t="str">
            <v>A</v>
          </cell>
          <cell r="H176">
            <v>5</v>
          </cell>
          <cell r="I176" t="str">
            <v>All Building Services</v>
          </cell>
          <cell r="J176" t="str">
            <v>All Building Services</v>
          </cell>
          <cell r="K176">
            <v>0</v>
          </cell>
          <cell r="L176">
            <v>0</v>
          </cell>
          <cell r="M176">
            <v>0</v>
          </cell>
          <cell r="N176">
            <v>0</v>
          </cell>
          <cell r="O176">
            <v>0</v>
          </cell>
          <cell r="P176">
            <v>0</v>
          </cell>
          <cell r="Q176" t="str">
            <v/>
          </cell>
          <cell r="R176" t="str">
            <v/>
          </cell>
          <cell r="S176" t="str">
            <v/>
          </cell>
          <cell r="T176" t="str">
            <v/>
          </cell>
          <cell r="U176" t="str">
            <v/>
          </cell>
          <cell r="V176" t="str">
            <v/>
          </cell>
          <cell r="W176">
            <v>0</v>
          </cell>
          <cell r="X176">
            <v>0</v>
          </cell>
          <cell r="Y176" t="str">
            <v/>
          </cell>
          <cell r="Z176" t="str">
            <v>BUY</v>
          </cell>
          <cell r="AA176" t="str">
            <v/>
          </cell>
        </row>
        <row r="177">
          <cell r="A177" t="str">
            <v>A</v>
          </cell>
          <cell r="F177" t="str">
            <v>7410</v>
          </cell>
          <cell r="G177" t="str">
            <v>A</v>
          </cell>
          <cell r="H177">
            <v>5</v>
          </cell>
          <cell r="I177" t="str">
            <v>Scavenger Services</v>
          </cell>
          <cell r="J177" t="str">
            <v>Scavenger Services</v>
          </cell>
          <cell r="K177">
            <v>0</v>
          </cell>
          <cell r="L177">
            <v>0</v>
          </cell>
          <cell r="M177">
            <v>17416</v>
          </cell>
          <cell r="N177">
            <v>18286</v>
          </cell>
          <cell r="O177">
            <v>18756</v>
          </cell>
          <cell r="P177">
            <v>1340</v>
          </cell>
          <cell r="Q177">
            <v>7.6940744143316531E-2</v>
          </cell>
          <cell r="R177" t="str">
            <v>GL 6012 Price per contract an added 4% per contract for rate increase. 2009 includes beginning of city fees additional $40. Budget 5% increase and look into negotiating of contract with new management. $1,523/mo = $18,276</v>
          </cell>
          <cell r="S177" t="str">
            <v>Allied Waste</v>
          </cell>
          <cell r="T177">
            <v>39448</v>
          </cell>
          <cell r="U177">
            <v>40908</v>
          </cell>
          <cell r="V177" t="str">
            <v>$1523 per month</v>
          </cell>
          <cell r="W177">
            <v>54458</v>
          </cell>
          <cell r="X177">
            <v>0</v>
          </cell>
          <cell r="Y177" t="str">
            <v>A</v>
          </cell>
          <cell r="Z177" t="str">
            <v>BUY</v>
          </cell>
          <cell r="AA177" t="str">
            <v/>
          </cell>
        </row>
        <row r="178">
          <cell r="A178" t="str">
            <v>A</v>
          </cell>
          <cell r="F178" t="str">
            <v>7410-1</v>
          </cell>
          <cell r="G178" t="str">
            <v>A</v>
          </cell>
          <cell r="H178">
            <v>5</v>
          </cell>
          <cell r="I178" t="str">
            <v>Scavenger Services</v>
          </cell>
          <cell r="J178" t="str">
            <v>Scavenger Services</v>
          </cell>
          <cell r="K178">
            <v>0</v>
          </cell>
          <cell r="L178">
            <v>0</v>
          </cell>
          <cell r="M178">
            <v>0</v>
          </cell>
          <cell r="N178">
            <v>0</v>
          </cell>
          <cell r="O178">
            <v>0</v>
          </cell>
          <cell r="P178">
            <v>0</v>
          </cell>
          <cell r="Q178" t="str">
            <v/>
          </cell>
          <cell r="R178" t="str">
            <v/>
          </cell>
          <cell r="S178" t="str">
            <v/>
          </cell>
          <cell r="T178" t="str">
            <v/>
          </cell>
          <cell r="U178" t="str">
            <v/>
          </cell>
          <cell r="V178" t="str">
            <v/>
          </cell>
          <cell r="W178">
            <v>0</v>
          </cell>
          <cell r="X178">
            <v>0</v>
          </cell>
          <cell r="Y178" t="str">
            <v/>
          </cell>
          <cell r="Z178" t="str">
            <v>BUY</v>
          </cell>
          <cell r="AA178" t="str">
            <v/>
          </cell>
        </row>
        <row r="179">
          <cell r="A179" t="str">
            <v>A</v>
          </cell>
          <cell r="F179" t="str">
            <v>7410-2</v>
          </cell>
          <cell r="G179" t="str">
            <v>A</v>
          </cell>
          <cell r="H179">
            <v>5</v>
          </cell>
          <cell r="I179" t="str">
            <v>Scavenger Services</v>
          </cell>
          <cell r="J179" t="str">
            <v>Scavenger Services</v>
          </cell>
          <cell r="K179">
            <v>0</v>
          </cell>
          <cell r="L179">
            <v>0</v>
          </cell>
          <cell r="M179">
            <v>0</v>
          </cell>
          <cell r="N179">
            <v>0</v>
          </cell>
          <cell r="O179">
            <v>0</v>
          </cell>
          <cell r="P179">
            <v>0</v>
          </cell>
          <cell r="Q179" t="str">
            <v/>
          </cell>
          <cell r="R179" t="str">
            <v/>
          </cell>
          <cell r="S179" t="str">
            <v/>
          </cell>
          <cell r="T179" t="str">
            <v/>
          </cell>
          <cell r="U179" t="str">
            <v/>
          </cell>
          <cell r="V179" t="str">
            <v/>
          </cell>
          <cell r="W179">
            <v>0</v>
          </cell>
          <cell r="X179">
            <v>0</v>
          </cell>
          <cell r="Y179" t="str">
            <v/>
          </cell>
          <cell r="Z179" t="str">
            <v>BUY</v>
          </cell>
          <cell r="AA179" t="str">
            <v/>
          </cell>
        </row>
        <row r="180">
          <cell r="A180" t="str">
            <v>A</v>
          </cell>
          <cell r="F180" t="str">
            <v>7410-2000</v>
          </cell>
          <cell r="G180" t="str">
            <v>A</v>
          </cell>
          <cell r="H180">
            <v>5</v>
          </cell>
          <cell r="I180" t="str">
            <v>Misc Suppl</v>
          </cell>
          <cell r="J180" t="str">
            <v>Misc Suppl</v>
          </cell>
          <cell r="K180">
            <v>0</v>
          </cell>
          <cell r="L180">
            <v>0</v>
          </cell>
          <cell r="M180">
            <v>0</v>
          </cell>
          <cell r="N180">
            <v>0</v>
          </cell>
          <cell r="O180">
            <v>0</v>
          </cell>
          <cell r="P180">
            <v>0</v>
          </cell>
          <cell r="Q180" t="str">
            <v/>
          </cell>
          <cell r="R180" t="str">
            <v/>
          </cell>
          <cell r="S180" t="str">
            <v/>
          </cell>
          <cell r="T180" t="str">
            <v/>
          </cell>
          <cell r="U180" t="str">
            <v/>
          </cell>
          <cell r="V180" t="str">
            <v/>
          </cell>
          <cell r="W180">
            <v>0</v>
          </cell>
          <cell r="X180">
            <v>0</v>
          </cell>
          <cell r="Y180" t="str">
            <v/>
          </cell>
          <cell r="Z180" t="str">
            <v>BUY</v>
          </cell>
          <cell r="AA180" t="str">
            <v/>
          </cell>
        </row>
        <row r="181">
          <cell r="A181" t="str">
            <v>A</v>
          </cell>
          <cell r="F181" t="str">
            <v>7410-3</v>
          </cell>
          <cell r="G181" t="str">
            <v>A</v>
          </cell>
          <cell r="H181">
            <v>5</v>
          </cell>
          <cell r="I181" t="str">
            <v>Scavenger Services</v>
          </cell>
          <cell r="J181" t="str">
            <v>Scavenger Services</v>
          </cell>
          <cell r="K181">
            <v>0</v>
          </cell>
          <cell r="L181">
            <v>0</v>
          </cell>
          <cell r="M181">
            <v>0</v>
          </cell>
          <cell r="N181">
            <v>0</v>
          </cell>
          <cell r="O181">
            <v>0</v>
          </cell>
          <cell r="P181">
            <v>0</v>
          </cell>
          <cell r="Q181" t="str">
            <v/>
          </cell>
          <cell r="R181" t="str">
            <v/>
          </cell>
          <cell r="S181" t="str">
            <v/>
          </cell>
          <cell r="T181" t="str">
            <v/>
          </cell>
          <cell r="U181" t="str">
            <v/>
          </cell>
          <cell r="V181" t="str">
            <v/>
          </cell>
          <cell r="W181">
            <v>0</v>
          </cell>
          <cell r="X181">
            <v>0</v>
          </cell>
          <cell r="Y181" t="str">
            <v/>
          </cell>
          <cell r="Z181" t="str">
            <v>BUY</v>
          </cell>
          <cell r="AA181" t="str">
            <v/>
          </cell>
        </row>
        <row r="182">
          <cell r="A182" t="str">
            <v>A</v>
          </cell>
          <cell r="F182" t="str">
            <v>7410-4</v>
          </cell>
          <cell r="G182" t="str">
            <v>A</v>
          </cell>
          <cell r="H182">
            <v>5</v>
          </cell>
          <cell r="I182" t="str">
            <v>Scavenger Services</v>
          </cell>
          <cell r="J182" t="str">
            <v>Scavenger Services</v>
          </cell>
          <cell r="K182">
            <v>0</v>
          </cell>
          <cell r="L182">
            <v>0</v>
          </cell>
          <cell r="M182">
            <v>0</v>
          </cell>
          <cell r="N182">
            <v>0</v>
          </cell>
          <cell r="O182">
            <v>0</v>
          </cell>
          <cell r="P182">
            <v>0</v>
          </cell>
          <cell r="Q182" t="str">
            <v/>
          </cell>
          <cell r="R182" t="str">
            <v/>
          </cell>
          <cell r="S182" t="str">
            <v/>
          </cell>
          <cell r="T182" t="str">
            <v/>
          </cell>
          <cell r="U182" t="str">
            <v/>
          </cell>
          <cell r="V182" t="str">
            <v/>
          </cell>
          <cell r="W182">
            <v>0</v>
          </cell>
          <cell r="X182">
            <v>0</v>
          </cell>
          <cell r="Y182" t="str">
            <v/>
          </cell>
          <cell r="Z182" t="str">
            <v>BUY</v>
          </cell>
          <cell r="AA182" t="str">
            <v/>
          </cell>
        </row>
        <row r="183">
          <cell r="A183" t="str">
            <v>A</v>
          </cell>
          <cell r="F183" t="str">
            <v>7410-5</v>
          </cell>
          <cell r="G183" t="str">
            <v>A</v>
          </cell>
          <cell r="H183">
            <v>5</v>
          </cell>
          <cell r="I183" t="str">
            <v>Scavenger Service Rebate</v>
          </cell>
          <cell r="J183" t="str">
            <v>Scavenger Service Rebate</v>
          </cell>
          <cell r="K183">
            <v>0</v>
          </cell>
          <cell r="L183">
            <v>0</v>
          </cell>
          <cell r="M183">
            <v>0</v>
          </cell>
          <cell r="N183">
            <v>0</v>
          </cell>
          <cell r="O183">
            <v>0</v>
          </cell>
          <cell r="P183">
            <v>0</v>
          </cell>
          <cell r="Q183" t="str">
            <v/>
          </cell>
          <cell r="R183" t="str">
            <v/>
          </cell>
          <cell r="S183" t="str">
            <v/>
          </cell>
          <cell r="T183" t="str">
            <v/>
          </cell>
          <cell r="U183" t="str">
            <v/>
          </cell>
          <cell r="V183" t="str">
            <v/>
          </cell>
          <cell r="W183">
            <v>0</v>
          </cell>
          <cell r="X183">
            <v>0</v>
          </cell>
          <cell r="Y183" t="str">
            <v/>
          </cell>
          <cell r="Z183" t="str">
            <v>BUY</v>
          </cell>
          <cell r="AA183" t="str">
            <v/>
          </cell>
        </row>
        <row r="184">
          <cell r="A184" t="str">
            <v>A</v>
          </cell>
          <cell r="F184" t="str">
            <v>7411</v>
          </cell>
          <cell r="G184" t="str">
            <v>A</v>
          </cell>
          <cell r="H184">
            <v>5</v>
          </cell>
          <cell r="I184" t="str">
            <v>Recycling Services</v>
          </cell>
          <cell r="J184" t="str">
            <v>Recycling Services</v>
          </cell>
          <cell r="K184">
            <v>0</v>
          </cell>
          <cell r="L184">
            <v>0</v>
          </cell>
          <cell r="M184">
            <v>0</v>
          </cell>
          <cell r="N184">
            <v>0</v>
          </cell>
          <cell r="O184">
            <v>0</v>
          </cell>
          <cell r="P184">
            <v>0</v>
          </cell>
          <cell r="Q184" t="str">
            <v/>
          </cell>
          <cell r="R184" t="str">
            <v/>
          </cell>
          <cell r="S184" t="str">
            <v/>
          </cell>
          <cell r="T184" t="str">
            <v/>
          </cell>
          <cell r="U184" t="str">
            <v/>
          </cell>
          <cell r="V184" t="str">
            <v/>
          </cell>
          <cell r="W184">
            <v>0</v>
          </cell>
          <cell r="X184">
            <v>0</v>
          </cell>
          <cell r="Y184" t="str">
            <v/>
          </cell>
          <cell r="Z184" t="str">
            <v>BUY</v>
          </cell>
          <cell r="AA184" t="str">
            <v/>
          </cell>
        </row>
        <row r="185">
          <cell r="A185" t="str">
            <v>A</v>
          </cell>
          <cell r="F185" t="str">
            <v>7412</v>
          </cell>
          <cell r="G185" t="str">
            <v>A</v>
          </cell>
          <cell r="H185">
            <v>5</v>
          </cell>
          <cell r="I185" t="str">
            <v>Compactor/Trash Chute</v>
          </cell>
          <cell r="J185" t="str">
            <v>Compactor/Trash Chute</v>
          </cell>
          <cell r="K185">
            <v>0</v>
          </cell>
          <cell r="L185">
            <v>0</v>
          </cell>
          <cell r="M185">
            <v>0</v>
          </cell>
          <cell r="N185">
            <v>0</v>
          </cell>
          <cell r="O185">
            <v>0</v>
          </cell>
          <cell r="P185">
            <v>0</v>
          </cell>
          <cell r="Q185" t="str">
            <v/>
          </cell>
          <cell r="R185" t="str">
            <v/>
          </cell>
          <cell r="S185" t="str">
            <v/>
          </cell>
          <cell r="T185" t="str">
            <v/>
          </cell>
          <cell r="U185" t="str">
            <v/>
          </cell>
          <cell r="V185" t="str">
            <v/>
          </cell>
          <cell r="W185">
            <v>0</v>
          </cell>
          <cell r="X185">
            <v>0</v>
          </cell>
          <cell r="Y185" t="str">
            <v/>
          </cell>
          <cell r="Z185" t="str">
            <v>BUY</v>
          </cell>
          <cell r="AA185" t="str">
            <v/>
          </cell>
        </row>
        <row r="186">
          <cell r="A186" t="str">
            <v>A</v>
          </cell>
          <cell r="F186" t="str">
            <v>7420</v>
          </cell>
          <cell r="G186" t="str">
            <v>A</v>
          </cell>
          <cell r="H186">
            <v>5</v>
          </cell>
          <cell r="I186" t="str">
            <v>Exterminating</v>
          </cell>
          <cell r="J186" t="str">
            <v>Exterminating</v>
          </cell>
          <cell r="K186">
            <v>0</v>
          </cell>
          <cell r="L186">
            <v>0</v>
          </cell>
          <cell r="M186">
            <v>546</v>
          </cell>
          <cell r="N186">
            <v>402</v>
          </cell>
          <cell r="O186">
            <v>546</v>
          </cell>
          <cell r="P186">
            <v>0</v>
          </cell>
          <cell r="Q186">
            <v>0</v>
          </cell>
          <cell r="R186" t="str">
            <v>GL 6017 $30 a month per contract added $140 dollars in case of any emergencies. 2% increase $28 for monthly fee $28 x 12= $336. 2% increase rat and pigeon control = $210 TOTAL $546</v>
          </cell>
          <cell r="S186" t="str">
            <v>Marks</v>
          </cell>
          <cell r="T186" t="str">
            <v>Month to Month</v>
          </cell>
          <cell r="U186" t="str">
            <v/>
          </cell>
          <cell r="V186" t="str">
            <v>$30 per month</v>
          </cell>
          <cell r="W186">
            <v>1494</v>
          </cell>
          <cell r="X186">
            <v>0</v>
          </cell>
          <cell r="Y186" t="str">
            <v>A</v>
          </cell>
          <cell r="Z186" t="str">
            <v>BUY</v>
          </cell>
          <cell r="AA186" t="str">
            <v/>
          </cell>
        </row>
        <row r="187">
          <cell r="A187" t="str">
            <v>A</v>
          </cell>
          <cell r="F187" t="str">
            <v>7420-1</v>
          </cell>
          <cell r="G187" t="str">
            <v>A</v>
          </cell>
          <cell r="H187">
            <v>5</v>
          </cell>
          <cell r="I187" t="str">
            <v>Exterminating</v>
          </cell>
          <cell r="J187" t="str">
            <v>Exterminating</v>
          </cell>
          <cell r="K187">
            <v>0</v>
          </cell>
          <cell r="L187">
            <v>0</v>
          </cell>
          <cell r="M187">
            <v>0</v>
          </cell>
          <cell r="N187">
            <v>0</v>
          </cell>
          <cell r="O187">
            <v>0</v>
          </cell>
          <cell r="P187">
            <v>0</v>
          </cell>
          <cell r="Q187" t="str">
            <v/>
          </cell>
          <cell r="R187" t="str">
            <v/>
          </cell>
          <cell r="S187" t="str">
            <v/>
          </cell>
          <cell r="T187" t="str">
            <v/>
          </cell>
          <cell r="U187" t="str">
            <v/>
          </cell>
          <cell r="V187" t="str">
            <v/>
          </cell>
          <cell r="W187">
            <v>0</v>
          </cell>
          <cell r="X187">
            <v>0</v>
          </cell>
          <cell r="Y187" t="str">
            <v/>
          </cell>
          <cell r="Z187" t="str">
            <v>BUY</v>
          </cell>
          <cell r="AA187" t="str">
            <v/>
          </cell>
        </row>
        <row r="188">
          <cell r="A188" t="str">
            <v>A</v>
          </cell>
          <cell r="F188" t="str">
            <v>7420-2</v>
          </cell>
          <cell r="G188" t="str">
            <v>A</v>
          </cell>
          <cell r="H188">
            <v>5</v>
          </cell>
          <cell r="I188" t="str">
            <v>Exterminating</v>
          </cell>
          <cell r="J188" t="str">
            <v>Exterminating</v>
          </cell>
          <cell r="K188">
            <v>0</v>
          </cell>
          <cell r="L188">
            <v>0</v>
          </cell>
          <cell r="M188">
            <v>0</v>
          </cell>
          <cell r="N188">
            <v>0</v>
          </cell>
          <cell r="O188">
            <v>0</v>
          </cell>
          <cell r="P188">
            <v>0</v>
          </cell>
          <cell r="Q188" t="str">
            <v/>
          </cell>
          <cell r="R188" t="str">
            <v/>
          </cell>
          <cell r="S188" t="str">
            <v/>
          </cell>
          <cell r="T188" t="str">
            <v/>
          </cell>
          <cell r="U188" t="str">
            <v/>
          </cell>
          <cell r="V188" t="str">
            <v/>
          </cell>
          <cell r="W188">
            <v>0</v>
          </cell>
          <cell r="X188">
            <v>0</v>
          </cell>
          <cell r="Y188" t="str">
            <v/>
          </cell>
          <cell r="Z188" t="str">
            <v>BUY</v>
          </cell>
          <cell r="AA188" t="str">
            <v/>
          </cell>
        </row>
        <row r="189">
          <cell r="A189" t="str">
            <v>A</v>
          </cell>
          <cell r="F189" t="str">
            <v>7420-2000</v>
          </cell>
          <cell r="G189" t="str">
            <v>A</v>
          </cell>
          <cell r="H189">
            <v>5</v>
          </cell>
          <cell r="I189" t="str">
            <v>Exterminating</v>
          </cell>
          <cell r="J189" t="str">
            <v>Exterminating</v>
          </cell>
          <cell r="K189">
            <v>0</v>
          </cell>
          <cell r="L189">
            <v>0</v>
          </cell>
          <cell r="M189">
            <v>0</v>
          </cell>
          <cell r="N189">
            <v>0</v>
          </cell>
          <cell r="O189">
            <v>0</v>
          </cell>
          <cell r="P189">
            <v>0</v>
          </cell>
          <cell r="Q189" t="str">
            <v/>
          </cell>
          <cell r="R189" t="str">
            <v/>
          </cell>
          <cell r="S189" t="str">
            <v/>
          </cell>
          <cell r="T189" t="str">
            <v/>
          </cell>
          <cell r="U189" t="str">
            <v/>
          </cell>
          <cell r="V189" t="str">
            <v/>
          </cell>
          <cell r="W189">
            <v>0</v>
          </cell>
          <cell r="X189">
            <v>0</v>
          </cell>
          <cell r="Y189" t="str">
            <v/>
          </cell>
          <cell r="Z189" t="str">
            <v>BUY</v>
          </cell>
          <cell r="AA189" t="str">
            <v/>
          </cell>
        </row>
        <row r="190">
          <cell r="A190" t="str">
            <v>A</v>
          </cell>
          <cell r="F190" t="str">
            <v>7420-3</v>
          </cell>
          <cell r="G190" t="str">
            <v>A</v>
          </cell>
          <cell r="H190">
            <v>5</v>
          </cell>
          <cell r="I190" t="str">
            <v>Exterminating</v>
          </cell>
          <cell r="J190" t="str">
            <v>Exterminating</v>
          </cell>
          <cell r="K190">
            <v>0</v>
          </cell>
          <cell r="L190">
            <v>0</v>
          </cell>
          <cell r="M190">
            <v>0</v>
          </cell>
          <cell r="N190">
            <v>0</v>
          </cell>
          <cell r="O190">
            <v>0</v>
          </cell>
          <cell r="P190">
            <v>0</v>
          </cell>
          <cell r="Q190" t="str">
            <v/>
          </cell>
          <cell r="R190" t="str">
            <v/>
          </cell>
          <cell r="S190" t="str">
            <v/>
          </cell>
          <cell r="T190" t="str">
            <v/>
          </cell>
          <cell r="U190" t="str">
            <v/>
          </cell>
          <cell r="V190" t="str">
            <v/>
          </cell>
          <cell r="W190">
            <v>0</v>
          </cell>
          <cell r="X190">
            <v>0</v>
          </cell>
          <cell r="Y190" t="str">
            <v/>
          </cell>
          <cell r="Z190" t="str">
            <v>BUY</v>
          </cell>
          <cell r="AA190" t="str">
            <v/>
          </cell>
        </row>
        <row r="191">
          <cell r="A191" t="str">
            <v>A</v>
          </cell>
          <cell r="F191" t="str">
            <v>7420-3000</v>
          </cell>
          <cell r="G191" t="str">
            <v>A</v>
          </cell>
          <cell r="H191">
            <v>5</v>
          </cell>
          <cell r="I191" t="str">
            <v>Exterminating</v>
          </cell>
          <cell r="J191" t="str">
            <v>Exterminating</v>
          </cell>
          <cell r="K191">
            <v>0</v>
          </cell>
          <cell r="L191">
            <v>0</v>
          </cell>
          <cell r="M191">
            <v>0</v>
          </cell>
          <cell r="N191">
            <v>0</v>
          </cell>
          <cell r="O191">
            <v>0</v>
          </cell>
          <cell r="P191">
            <v>0</v>
          </cell>
          <cell r="Q191" t="str">
            <v/>
          </cell>
          <cell r="R191" t="str">
            <v/>
          </cell>
          <cell r="S191" t="str">
            <v/>
          </cell>
          <cell r="T191" t="str">
            <v/>
          </cell>
          <cell r="U191" t="str">
            <v/>
          </cell>
          <cell r="V191" t="str">
            <v/>
          </cell>
          <cell r="W191">
            <v>0</v>
          </cell>
          <cell r="X191">
            <v>0</v>
          </cell>
          <cell r="Y191" t="str">
            <v/>
          </cell>
          <cell r="Z191" t="str">
            <v>BUY</v>
          </cell>
          <cell r="AA191" t="str">
            <v/>
          </cell>
        </row>
        <row r="192">
          <cell r="A192" t="str">
            <v>A</v>
          </cell>
          <cell r="F192" t="str">
            <v>7420-4</v>
          </cell>
          <cell r="G192" t="str">
            <v>A</v>
          </cell>
          <cell r="H192">
            <v>5</v>
          </cell>
          <cell r="I192" t="str">
            <v>Exterminating</v>
          </cell>
          <cell r="J192" t="str">
            <v>Exterminating</v>
          </cell>
          <cell r="K192">
            <v>0</v>
          </cell>
          <cell r="L192">
            <v>0</v>
          </cell>
          <cell r="M192">
            <v>0</v>
          </cell>
          <cell r="N192">
            <v>0</v>
          </cell>
          <cell r="O192">
            <v>0</v>
          </cell>
          <cell r="P192">
            <v>0</v>
          </cell>
          <cell r="Q192" t="str">
            <v/>
          </cell>
          <cell r="R192" t="str">
            <v/>
          </cell>
          <cell r="S192" t="str">
            <v/>
          </cell>
          <cell r="T192" t="str">
            <v/>
          </cell>
          <cell r="U192" t="str">
            <v/>
          </cell>
          <cell r="V192" t="str">
            <v/>
          </cell>
          <cell r="W192">
            <v>0</v>
          </cell>
          <cell r="X192">
            <v>0</v>
          </cell>
          <cell r="Y192" t="str">
            <v/>
          </cell>
          <cell r="Z192" t="str">
            <v>BUY</v>
          </cell>
          <cell r="AA192" t="str">
            <v/>
          </cell>
        </row>
        <row r="193">
          <cell r="A193" t="str">
            <v>A</v>
          </cell>
          <cell r="F193" t="str">
            <v>7420-5</v>
          </cell>
          <cell r="G193" t="str">
            <v>A</v>
          </cell>
          <cell r="H193">
            <v>5</v>
          </cell>
          <cell r="I193" t="str">
            <v>Exterminating</v>
          </cell>
          <cell r="J193" t="str">
            <v>Exterminating</v>
          </cell>
          <cell r="K193">
            <v>0</v>
          </cell>
          <cell r="L193">
            <v>0</v>
          </cell>
          <cell r="M193">
            <v>0</v>
          </cell>
          <cell r="N193">
            <v>0</v>
          </cell>
          <cell r="O193">
            <v>0</v>
          </cell>
          <cell r="P193">
            <v>0</v>
          </cell>
          <cell r="Q193" t="str">
            <v/>
          </cell>
          <cell r="R193" t="str">
            <v/>
          </cell>
          <cell r="S193" t="str">
            <v/>
          </cell>
          <cell r="T193" t="str">
            <v/>
          </cell>
          <cell r="U193" t="str">
            <v/>
          </cell>
          <cell r="V193" t="str">
            <v/>
          </cell>
          <cell r="W193">
            <v>0</v>
          </cell>
          <cell r="X193">
            <v>0</v>
          </cell>
          <cell r="Y193" t="str">
            <v/>
          </cell>
          <cell r="Z193" t="str">
            <v>BUY</v>
          </cell>
          <cell r="AA193" t="str">
            <v/>
          </cell>
        </row>
        <row r="194">
          <cell r="A194" t="str">
            <v>A</v>
          </cell>
          <cell r="F194" t="str">
            <v>7430</v>
          </cell>
          <cell r="G194" t="str">
            <v>A</v>
          </cell>
          <cell r="H194">
            <v>5</v>
          </cell>
          <cell r="I194" t="str">
            <v>All Cleaning Expenses</v>
          </cell>
          <cell r="J194" t="str">
            <v>All Cleaning Expenses</v>
          </cell>
          <cell r="K194">
            <v>0</v>
          </cell>
          <cell r="L194">
            <v>0</v>
          </cell>
          <cell r="M194">
            <v>8705</v>
          </cell>
          <cell r="N194">
            <v>5657</v>
          </cell>
          <cell r="O194">
            <v>8705</v>
          </cell>
          <cell r="P194">
            <v>0</v>
          </cell>
          <cell r="Q194">
            <v>0</v>
          </cell>
          <cell r="R194" t="str">
            <v>GL 6400 All cleaning supplies, hardware, minor plumbing supplies for common areas, units(billed to residents) and small house tools.</v>
          </cell>
          <cell r="S194" t="str">
            <v/>
          </cell>
          <cell r="T194" t="str">
            <v/>
          </cell>
          <cell r="U194" t="str">
            <v/>
          </cell>
          <cell r="V194" t="str">
            <v/>
          </cell>
          <cell r="W194">
            <v>23067</v>
          </cell>
          <cell r="X194">
            <v>0</v>
          </cell>
          <cell r="Y194" t="str">
            <v>A</v>
          </cell>
          <cell r="Z194" t="str">
            <v>BUY</v>
          </cell>
          <cell r="AA194" t="str">
            <v/>
          </cell>
        </row>
        <row r="195">
          <cell r="A195" t="str">
            <v>A</v>
          </cell>
          <cell r="F195" t="str">
            <v>7431</v>
          </cell>
          <cell r="G195" t="str">
            <v>A</v>
          </cell>
          <cell r="H195">
            <v>5</v>
          </cell>
          <cell r="I195" t="str">
            <v>Cleaning Contract</v>
          </cell>
          <cell r="J195" t="str">
            <v>Cleaning Contract</v>
          </cell>
          <cell r="K195">
            <v>0</v>
          </cell>
          <cell r="L195">
            <v>0</v>
          </cell>
          <cell r="M195">
            <v>0</v>
          </cell>
          <cell r="N195">
            <v>0</v>
          </cell>
          <cell r="O195">
            <v>0</v>
          </cell>
          <cell r="P195">
            <v>0</v>
          </cell>
          <cell r="Q195" t="str">
            <v/>
          </cell>
          <cell r="R195" t="str">
            <v/>
          </cell>
          <cell r="S195" t="str">
            <v/>
          </cell>
          <cell r="T195" t="str">
            <v/>
          </cell>
          <cell r="U195" t="str">
            <v/>
          </cell>
          <cell r="V195" t="str">
            <v/>
          </cell>
          <cell r="W195">
            <v>0</v>
          </cell>
          <cell r="X195">
            <v>0</v>
          </cell>
          <cell r="Y195" t="str">
            <v/>
          </cell>
          <cell r="Z195" t="str">
            <v>BUY</v>
          </cell>
          <cell r="AA195" t="str">
            <v/>
          </cell>
        </row>
        <row r="196">
          <cell r="A196" t="str">
            <v>A</v>
          </cell>
          <cell r="F196" t="str">
            <v>7431-2</v>
          </cell>
          <cell r="G196" t="str">
            <v>A</v>
          </cell>
          <cell r="H196">
            <v>5</v>
          </cell>
          <cell r="I196" t="str">
            <v>Cleaning Contract</v>
          </cell>
          <cell r="J196" t="str">
            <v>Cleaning Contract</v>
          </cell>
          <cell r="K196">
            <v>0</v>
          </cell>
          <cell r="L196">
            <v>0</v>
          </cell>
          <cell r="M196">
            <v>0</v>
          </cell>
          <cell r="N196">
            <v>0</v>
          </cell>
          <cell r="O196">
            <v>0</v>
          </cell>
          <cell r="P196">
            <v>0</v>
          </cell>
          <cell r="Q196" t="str">
            <v/>
          </cell>
          <cell r="R196" t="str">
            <v/>
          </cell>
          <cell r="S196" t="str">
            <v/>
          </cell>
          <cell r="T196" t="str">
            <v/>
          </cell>
          <cell r="U196" t="str">
            <v/>
          </cell>
          <cell r="V196" t="str">
            <v/>
          </cell>
          <cell r="W196">
            <v>0</v>
          </cell>
          <cell r="X196">
            <v>0</v>
          </cell>
          <cell r="Y196" t="str">
            <v/>
          </cell>
          <cell r="Z196" t="str">
            <v>BUY</v>
          </cell>
          <cell r="AA196" t="str">
            <v/>
          </cell>
        </row>
        <row r="197">
          <cell r="A197" t="str">
            <v>A</v>
          </cell>
          <cell r="F197" t="str">
            <v>7431-3</v>
          </cell>
          <cell r="G197" t="str">
            <v>A</v>
          </cell>
          <cell r="H197">
            <v>5</v>
          </cell>
          <cell r="I197" t="str">
            <v>Cleaning Contract</v>
          </cell>
          <cell r="J197" t="str">
            <v>Cleaning Contract</v>
          </cell>
          <cell r="K197">
            <v>0</v>
          </cell>
          <cell r="L197">
            <v>0</v>
          </cell>
          <cell r="M197">
            <v>0</v>
          </cell>
          <cell r="N197">
            <v>0</v>
          </cell>
          <cell r="O197">
            <v>0</v>
          </cell>
          <cell r="P197">
            <v>0</v>
          </cell>
          <cell r="Q197" t="str">
            <v/>
          </cell>
          <cell r="R197" t="str">
            <v/>
          </cell>
          <cell r="S197" t="str">
            <v/>
          </cell>
          <cell r="T197" t="str">
            <v/>
          </cell>
          <cell r="U197" t="str">
            <v/>
          </cell>
          <cell r="V197" t="str">
            <v/>
          </cell>
          <cell r="W197">
            <v>0</v>
          </cell>
          <cell r="X197">
            <v>0</v>
          </cell>
          <cell r="Y197" t="str">
            <v/>
          </cell>
          <cell r="Z197" t="str">
            <v>BUY</v>
          </cell>
          <cell r="AA197" t="str">
            <v/>
          </cell>
        </row>
        <row r="198">
          <cell r="A198" t="str">
            <v>A</v>
          </cell>
          <cell r="F198" t="str">
            <v>7431-4</v>
          </cell>
          <cell r="G198" t="str">
            <v>A</v>
          </cell>
          <cell r="H198">
            <v>5</v>
          </cell>
          <cell r="I198" t="str">
            <v>Cleaning Contract</v>
          </cell>
          <cell r="J198" t="str">
            <v>Cleaning Contract</v>
          </cell>
          <cell r="K198">
            <v>0</v>
          </cell>
          <cell r="L198">
            <v>0</v>
          </cell>
          <cell r="M198">
            <v>0</v>
          </cell>
          <cell r="N198">
            <v>0</v>
          </cell>
          <cell r="O198">
            <v>0</v>
          </cell>
          <cell r="P198">
            <v>0</v>
          </cell>
          <cell r="Q198" t="str">
            <v/>
          </cell>
          <cell r="R198" t="str">
            <v/>
          </cell>
          <cell r="S198" t="str">
            <v/>
          </cell>
          <cell r="T198" t="str">
            <v/>
          </cell>
          <cell r="U198" t="str">
            <v/>
          </cell>
          <cell r="V198" t="str">
            <v/>
          </cell>
          <cell r="W198">
            <v>0</v>
          </cell>
          <cell r="X198">
            <v>0</v>
          </cell>
          <cell r="Y198" t="str">
            <v/>
          </cell>
          <cell r="Z198" t="str">
            <v>BUY</v>
          </cell>
          <cell r="AA198" t="str">
            <v/>
          </cell>
        </row>
        <row r="199">
          <cell r="A199" t="str">
            <v>A</v>
          </cell>
          <cell r="F199" t="str">
            <v>7431-5</v>
          </cell>
          <cell r="G199" t="str">
            <v>A</v>
          </cell>
          <cell r="H199">
            <v>5</v>
          </cell>
          <cell r="I199" t="str">
            <v>Cleaning Contract</v>
          </cell>
          <cell r="J199" t="str">
            <v>Cleaning Contract</v>
          </cell>
          <cell r="K199">
            <v>0</v>
          </cell>
          <cell r="L199">
            <v>0</v>
          </cell>
          <cell r="M199">
            <v>0</v>
          </cell>
          <cell r="N199">
            <v>0</v>
          </cell>
          <cell r="O199">
            <v>0</v>
          </cell>
          <cell r="P199">
            <v>0</v>
          </cell>
          <cell r="Q199" t="str">
            <v/>
          </cell>
          <cell r="R199" t="str">
            <v/>
          </cell>
          <cell r="S199" t="str">
            <v/>
          </cell>
          <cell r="T199" t="str">
            <v/>
          </cell>
          <cell r="U199" t="str">
            <v/>
          </cell>
          <cell r="V199" t="str">
            <v/>
          </cell>
          <cell r="W199">
            <v>0</v>
          </cell>
          <cell r="X199">
            <v>0</v>
          </cell>
          <cell r="Y199" t="str">
            <v/>
          </cell>
          <cell r="Z199" t="str">
            <v>BUY</v>
          </cell>
          <cell r="AA199" t="str">
            <v/>
          </cell>
        </row>
        <row r="200">
          <cell r="A200" t="str">
            <v>A</v>
          </cell>
          <cell r="F200" t="str">
            <v>7432</v>
          </cell>
          <cell r="G200" t="str">
            <v>A</v>
          </cell>
          <cell r="H200">
            <v>5</v>
          </cell>
          <cell r="I200" t="str">
            <v>Window Washing</v>
          </cell>
          <cell r="J200" t="str">
            <v>Window Washing</v>
          </cell>
          <cell r="K200">
            <v>0</v>
          </cell>
          <cell r="L200">
            <v>0</v>
          </cell>
          <cell r="M200">
            <v>3450</v>
          </cell>
          <cell r="N200">
            <v>1725</v>
          </cell>
          <cell r="O200">
            <v>3600</v>
          </cell>
          <cell r="P200">
            <v>150</v>
          </cell>
          <cell r="Q200">
            <v>4.3478260869565188E-2</v>
          </cell>
          <cell r="R200" t="str">
            <v>GL 6405 Common area window washing. Washed twice per year. March and November. Each wash is $1,800. Proposals have been requested</v>
          </cell>
          <cell r="S200" t="str">
            <v>Corporate Cleaning</v>
          </cell>
          <cell r="T200" t="str">
            <v>Annual</v>
          </cell>
          <cell r="U200" t="str">
            <v/>
          </cell>
          <cell r="W200">
            <v>8775</v>
          </cell>
          <cell r="X200">
            <v>0</v>
          </cell>
          <cell r="Y200" t="str">
            <v>A</v>
          </cell>
          <cell r="Z200" t="str">
            <v>BUY</v>
          </cell>
          <cell r="AA200" t="str">
            <v/>
          </cell>
        </row>
        <row r="201">
          <cell r="A201" t="str">
            <v>A</v>
          </cell>
          <cell r="F201" t="str">
            <v>7432-1</v>
          </cell>
          <cell r="G201" t="str">
            <v>A</v>
          </cell>
          <cell r="H201">
            <v>5</v>
          </cell>
          <cell r="I201" t="str">
            <v>Window Washing</v>
          </cell>
          <cell r="J201" t="str">
            <v>Window Washing</v>
          </cell>
          <cell r="K201">
            <v>0</v>
          </cell>
          <cell r="L201">
            <v>0</v>
          </cell>
          <cell r="M201">
            <v>0</v>
          </cell>
          <cell r="N201">
            <v>0</v>
          </cell>
          <cell r="O201">
            <v>0</v>
          </cell>
          <cell r="P201">
            <v>0</v>
          </cell>
          <cell r="Q201" t="str">
            <v/>
          </cell>
          <cell r="R201" t="str">
            <v/>
          </cell>
          <cell r="S201" t="str">
            <v/>
          </cell>
          <cell r="T201" t="str">
            <v/>
          </cell>
          <cell r="U201" t="str">
            <v/>
          </cell>
          <cell r="V201" t="str">
            <v/>
          </cell>
          <cell r="W201">
            <v>0</v>
          </cell>
          <cell r="X201">
            <v>0</v>
          </cell>
          <cell r="Y201" t="str">
            <v/>
          </cell>
          <cell r="Z201" t="str">
            <v>BUY</v>
          </cell>
          <cell r="AA201" t="str">
            <v/>
          </cell>
        </row>
        <row r="202">
          <cell r="A202" t="str">
            <v>A</v>
          </cell>
          <cell r="F202" t="str">
            <v>7432-2</v>
          </cell>
          <cell r="G202" t="str">
            <v>A</v>
          </cell>
          <cell r="H202">
            <v>5</v>
          </cell>
          <cell r="I202" t="str">
            <v>Window Washing</v>
          </cell>
          <cell r="J202" t="str">
            <v>Window Washing</v>
          </cell>
          <cell r="K202">
            <v>0</v>
          </cell>
          <cell r="L202">
            <v>0</v>
          </cell>
          <cell r="M202">
            <v>0</v>
          </cell>
          <cell r="N202">
            <v>0</v>
          </cell>
          <cell r="O202">
            <v>0</v>
          </cell>
          <cell r="P202">
            <v>0</v>
          </cell>
          <cell r="Q202" t="str">
            <v/>
          </cell>
          <cell r="R202" t="str">
            <v/>
          </cell>
          <cell r="S202" t="str">
            <v/>
          </cell>
          <cell r="T202" t="str">
            <v/>
          </cell>
          <cell r="U202" t="str">
            <v/>
          </cell>
          <cell r="V202" t="str">
            <v/>
          </cell>
          <cell r="W202">
            <v>0</v>
          </cell>
          <cell r="X202">
            <v>0</v>
          </cell>
          <cell r="Y202" t="str">
            <v/>
          </cell>
          <cell r="Z202" t="str">
            <v>BUY</v>
          </cell>
          <cell r="AA202" t="str">
            <v/>
          </cell>
        </row>
        <row r="203">
          <cell r="A203" t="str">
            <v>A</v>
          </cell>
          <cell r="F203" t="str">
            <v>7432-3</v>
          </cell>
          <cell r="G203" t="str">
            <v>A</v>
          </cell>
          <cell r="H203">
            <v>5</v>
          </cell>
          <cell r="I203" t="str">
            <v>Window Washing</v>
          </cell>
          <cell r="J203" t="str">
            <v>Window Washing</v>
          </cell>
          <cell r="K203">
            <v>0</v>
          </cell>
          <cell r="L203">
            <v>0</v>
          </cell>
          <cell r="M203">
            <v>0</v>
          </cell>
          <cell r="N203">
            <v>0</v>
          </cell>
          <cell r="O203">
            <v>0</v>
          </cell>
          <cell r="P203">
            <v>0</v>
          </cell>
          <cell r="Q203" t="str">
            <v/>
          </cell>
          <cell r="R203" t="str">
            <v/>
          </cell>
          <cell r="S203" t="str">
            <v/>
          </cell>
          <cell r="T203" t="str">
            <v/>
          </cell>
          <cell r="U203" t="str">
            <v/>
          </cell>
          <cell r="V203" t="str">
            <v/>
          </cell>
          <cell r="W203">
            <v>0</v>
          </cell>
          <cell r="X203">
            <v>0</v>
          </cell>
          <cell r="Y203" t="str">
            <v/>
          </cell>
          <cell r="Z203" t="str">
            <v>BUY</v>
          </cell>
          <cell r="AA203" t="str">
            <v/>
          </cell>
        </row>
        <row r="204">
          <cell r="A204" t="str">
            <v>A</v>
          </cell>
          <cell r="F204" t="str">
            <v>7432-4</v>
          </cell>
          <cell r="G204" t="str">
            <v>A</v>
          </cell>
          <cell r="H204">
            <v>5</v>
          </cell>
          <cell r="I204" t="str">
            <v>Window Washing</v>
          </cell>
          <cell r="J204" t="str">
            <v>Window Washing</v>
          </cell>
          <cell r="K204">
            <v>0</v>
          </cell>
          <cell r="L204">
            <v>0</v>
          </cell>
          <cell r="M204">
            <v>0</v>
          </cell>
          <cell r="N204">
            <v>0</v>
          </cell>
          <cell r="O204">
            <v>0</v>
          </cell>
          <cell r="P204">
            <v>0</v>
          </cell>
          <cell r="Q204" t="str">
            <v/>
          </cell>
          <cell r="R204" t="str">
            <v/>
          </cell>
          <cell r="S204" t="str">
            <v/>
          </cell>
          <cell r="T204" t="str">
            <v/>
          </cell>
          <cell r="U204" t="str">
            <v/>
          </cell>
          <cell r="V204" t="str">
            <v/>
          </cell>
          <cell r="W204">
            <v>0</v>
          </cell>
          <cell r="X204">
            <v>0</v>
          </cell>
          <cell r="Y204" t="str">
            <v/>
          </cell>
          <cell r="Z204" t="str">
            <v>BUY</v>
          </cell>
          <cell r="AA204" t="str">
            <v/>
          </cell>
        </row>
        <row r="205">
          <cell r="A205" t="str">
            <v>A</v>
          </cell>
          <cell r="F205" t="str">
            <v>7432-5</v>
          </cell>
          <cell r="G205" t="str">
            <v>A</v>
          </cell>
          <cell r="H205">
            <v>5</v>
          </cell>
          <cell r="I205" t="str">
            <v>Window Washing</v>
          </cell>
          <cell r="J205" t="str">
            <v>Window Washing</v>
          </cell>
          <cell r="K205">
            <v>0</v>
          </cell>
          <cell r="L205">
            <v>0</v>
          </cell>
          <cell r="M205">
            <v>0</v>
          </cell>
          <cell r="N205">
            <v>0</v>
          </cell>
          <cell r="O205">
            <v>0</v>
          </cell>
          <cell r="P205">
            <v>0</v>
          </cell>
          <cell r="Q205" t="str">
            <v/>
          </cell>
          <cell r="R205" t="str">
            <v/>
          </cell>
          <cell r="S205" t="str">
            <v/>
          </cell>
          <cell r="T205" t="str">
            <v/>
          </cell>
          <cell r="U205" t="str">
            <v/>
          </cell>
          <cell r="V205" t="str">
            <v/>
          </cell>
          <cell r="W205">
            <v>0</v>
          </cell>
          <cell r="X205">
            <v>0</v>
          </cell>
          <cell r="Y205" t="str">
            <v/>
          </cell>
          <cell r="Z205" t="str">
            <v>BUY</v>
          </cell>
          <cell r="AA205" t="str">
            <v/>
          </cell>
        </row>
        <row r="206">
          <cell r="A206" t="str">
            <v>A</v>
          </cell>
          <cell r="F206" t="str">
            <v>7433</v>
          </cell>
          <cell r="G206" t="str">
            <v>A</v>
          </cell>
          <cell r="H206">
            <v>5</v>
          </cell>
          <cell r="I206" t="str">
            <v>Carpet Cleaning</v>
          </cell>
          <cell r="J206" t="str">
            <v>Carpet Cleaning</v>
          </cell>
          <cell r="K206">
            <v>0</v>
          </cell>
          <cell r="L206">
            <v>0</v>
          </cell>
          <cell r="M206">
            <v>1500</v>
          </cell>
          <cell r="N206">
            <v>2318</v>
          </cell>
          <cell r="O206">
            <v>1500</v>
          </cell>
          <cell r="P206">
            <v>0</v>
          </cell>
          <cell r="Q206">
            <v>0</v>
          </cell>
          <cell r="R206" t="str">
            <v>GL 6401 Professional carpet cleaning of hallway carpets.</v>
          </cell>
          <cell r="S206" t="str">
            <v/>
          </cell>
          <cell r="T206" t="str">
            <v/>
          </cell>
          <cell r="U206" t="str">
            <v/>
          </cell>
          <cell r="V206" t="str">
            <v/>
          </cell>
          <cell r="W206">
            <v>5318</v>
          </cell>
          <cell r="X206">
            <v>0</v>
          </cell>
          <cell r="Y206" t="str">
            <v>A</v>
          </cell>
          <cell r="Z206" t="str">
            <v>BUY</v>
          </cell>
          <cell r="AA206" t="str">
            <v/>
          </cell>
        </row>
        <row r="207">
          <cell r="A207" t="str">
            <v>A</v>
          </cell>
          <cell r="F207" t="str">
            <v>7433-2</v>
          </cell>
          <cell r="G207" t="str">
            <v>A</v>
          </cell>
          <cell r="H207">
            <v>5</v>
          </cell>
          <cell r="I207" t="str">
            <v>Carpet Cleaning</v>
          </cell>
          <cell r="J207" t="str">
            <v>Carpet Cleaning</v>
          </cell>
          <cell r="K207">
            <v>0</v>
          </cell>
          <cell r="L207">
            <v>0</v>
          </cell>
          <cell r="M207">
            <v>0</v>
          </cell>
          <cell r="N207">
            <v>0</v>
          </cell>
          <cell r="O207">
            <v>0</v>
          </cell>
          <cell r="P207">
            <v>0</v>
          </cell>
          <cell r="Q207" t="str">
            <v/>
          </cell>
          <cell r="R207" t="str">
            <v/>
          </cell>
          <cell r="S207" t="str">
            <v/>
          </cell>
          <cell r="T207" t="str">
            <v/>
          </cell>
          <cell r="U207" t="str">
            <v/>
          </cell>
          <cell r="V207" t="str">
            <v/>
          </cell>
          <cell r="W207">
            <v>0</v>
          </cell>
          <cell r="X207">
            <v>0</v>
          </cell>
          <cell r="Y207" t="str">
            <v/>
          </cell>
          <cell r="Z207" t="str">
            <v>BUY</v>
          </cell>
          <cell r="AA207" t="str">
            <v/>
          </cell>
        </row>
        <row r="208">
          <cell r="A208" t="str">
            <v>A</v>
          </cell>
          <cell r="F208" t="str">
            <v>7433-3</v>
          </cell>
          <cell r="G208" t="str">
            <v>A</v>
          </cell>
          <cell r="H208">
            <v>5</v>
          </cell>
          <cell r="I208" t="str">
            <v>Carpet Cleaning</v>
          </cell>
          <cell r="J208" t="str">
            <v>Carpet Cleaning</v>
          </cell>
          <cell r="K208">
            <v>0</v>
          </cell>
          <cell r="L208">
            <v>0</v>
          </cell>
          <cell r="M208">
            <v>0</v>
          </cell>
          <cell r="N208">
            <v>0</v>
          </cell>
          <cell r="O208">
            <v>0</v>
          </cell>
          <cell r="P208">
            <v>0</v>
          </cell>
          <cell r="Q208" t="str">
            <v/>
          </cell>
          <cell r="R208" t="str">
            <v/>
          </cell>
          <cell r="S208" t="str">
            <v/>
          </cell>
          <cell r="T208" t="str">
            <v/>
          </cell>
          <cell r="U208" t="str">
            <v/>
          </cell>
          <cell r="V208" t="str">
            <v/>
          </cell>
          <cell r="W208">
            <v>0</v>
          </cell>
          <cell r="X208">
            <v>0</v>
          </cell>
          <cell r="Y208" t="str">
            <v/>
          </cell>
          <cell r="Z208" t="str">
            <v>BUY</v>
          </cell>
          <cell r="AA208" t="str">
            <v/>
          </cell>
        </row>
        <row r="209">
          <cell r="A209" t="str">
            <v>A</v>
          </cell>
          <cell r="F209" t="str">
            <v>7433-4</v>
          </cell>
          <cell r="G209" t="str">
            <v>A</v>
          </cell>
          <cell r="H209">
            <v>5</v>
          </cell>
          <cell r="I209" t="str">
            <v>Carpet Cleaning</v>
          </cell>
          <cell r="J209" t="str">
            <v>Carpet Cleaning</v>
          </cell>
          <cell r="K209">
            <v>0</v>
          </cell>
          <cell r="L209">
            <v>0</v>
          </cell>
          <cell r="M209">
            <v>0</v>
          </cell>
          <cell r="N209">
            <v>0</v>
          </cell>
          <cell r="O209">
            <v>0</v>
          </cell>
          <cell r="P209">
            <v>0</v>
          </cell>
          <cell r="Q209" t="str">
            <v/>
          </cell>
          <cell r="R209" t="str">
            <v/>
          </cell>
          <cell r="S209" t="str">
            <v/>
          </cell>
          <cell r="T209" t="str">
            <v/>
          </cell>
          <cell r="U209" t="str">
            <v/>
          </cell>
          <cell r="V209" t="str">
            <v/>
          </cell>
          <cell r="W209">
            <v>0</v>
          </cell>
          <cell r="X209">
            <v>0</v>
          </cell>
          <cell r="Y209" t="str">
            <v/>
          </cell>
          <cell r="Z209" t="str">
            <v>BUY</v>
          </cell>
          <cell r="AA209" t="str">
            <v/>
          </cell>
        </row>
        <row r="210">
          <cell r="A210" t="str">
            <v>A</v>
          </cell>
          <cell r="F210" t="str">
            <v>7433-5</v>
          </cell>
          <cell r="G210" t="str">
            <v>A</v>
          </cell>
          <cell r="H210">
            <v>5</v>
          </cell>
          <cell r="I210" t="str">
            <v>Carpet Cleaning</v>
          </cell>
          <cell r="J210" t="str">
            <v>Carpet Cleaning</v>
          </cell>
          <cell r="K210">
            <v>0</v>
          </cell>
          <cell r="L210">
            <v>0</v>
          </cell>
          <cell r="M210">
            <v>0</v>
          </cell>
          <cell r="N210">
            <v>0</v>
          </cell>
          <cell r="O210">
            <v>0</v>
          </cell>
          <cell r="P210">
            <v>0</v>
          </cell>
          <cell r="Q210" t="str">
            <v/>
          </cell>
          <cell r="R210" t="str">
            <v/>
          </cell>
          <cell r="S210" t="str">
            <v/>
          </cell>
          <cell r="T210" t="str">
            <v/>
          </cell>
          <cell r="U210" t="str">
            <v/>
          </cell>
          <cell r="V210" t="str">
            <v/>
          </cell>
          <cell r="W210">
            <v>0</v>
          </cell>
          <cell r="X210">
            <v>0</v>
          </cell>
          <cell r="Y210" t="str">
            <v/>
          </cell>
          <cell r="Z210" t="str">
            <v>BUY</v>
          </cell>
          <cell r="AA210" t="str">
            <v/>
          </cell>
        </row>
        <row r="211">
          <cell r="A211" t="str">
            <v>A</v>
          </cell>
          <cell r="F211" t="str">
            <v>7434</v>
          </cell>
          <cell r="G211" t="str">
            <v>A</v>
          </cell>
          <cell r="H211">
            <v>5</v>
          </cell>
          <cell r="I211" t="str">
            <v>Garage Cleaning</v>
          </cell>
          <cell r="J211" t="str">
            <v>Garage Cleaning</v>
          </cell>
          <cell r="K211">
            <v>0</v>
          </cell>
          <cell r="L211">
            <v>0</v>
          </cell>
          <cell r="M211">
            <v>0</v>
          </cell>
          <cell r="N211">
            <v>0</v>
          </cell>
          <cell r="O211">
            <v>0</v>
          </cell>
          <cell r="P211">
            <v>0</v>
          </cell>
          <cell r="Q211" t="str">
            <v/>
          </cell>
          <cell r="R211" t="str">
            <v/>
          </cell>
          <cell r="S211" t="str">
            <v/>
          </cell>
          <cell r="T211" t="str">
            <v/>
          </cell>
          <cell r="U211" t="str">
            <v/>
          </cell>
          <cell r="V211" t="str">
            <v/>
          </cell>
          <cell r="W211">
            <v>0</v>
          </cell>
          <cell r="X211">
            <v>0</v>
          </cell>
          <cell r="Y211" t="str">
            <v/>
          </cell>
          <cell r="Z211" t="str">
            <v>BUY</v>
          </cell>
          <cell r="AA211" t="str">
            <v/>
          </cell>
        </row>
        <row r="212">
          <cell r="A212" t="str">
            <v>A</v>
          </cell>
          <cell r="F212" t="str">
            <v>7434-2</v>
          </cell>
          <cell r="G212" t="str">
            <v>A</v>
          </cell>
          <cell r="H212">
            <v>5</v>
          </cell>
          <cell r="I212" t="str">
            <v>Garage Cleaning</v>
          </cell>
          <cell r="J212" t="str">
            <v>Garage Cleaning</v>
          </cell>
          <cell r="K212">
            <v>0</v>
          </cell>
          <cell r="L212">
            <v>0</v>
          </cell>
          <cell r="M212">
            <v>0</v>
          </cell>
          <cell r="N212">
            <v>0</v>
          </cell>
          <cell r="O212">
            <v>0</v>
          </cell>
          <cell r="P212">
            <v>0</v>
          </cell>
          <cell r="Q212" t="str">
            <v/>
          </cell>
          <cell r="R212" t="str">
            <v/>
          </cell>
          <cell r="S212" t="str">
            <v/>
          </cell>
          <cell r="T212" t="str">
            <v/>
          </cell>
          <cell r="U212" t="str">
            <v/>
          </cell>
          <cell r="V212" t="str">
            <v/>
          </cell>
          <cell r="W212">
            <v>0</v>
          </cell>
          <cell r="X212">
            <v>0</v>
          </cell>
          <cell r="Y212" t="str">
            <v/>
          </cell>
          <cell r="Z212" t="str">
            <v>BUY</v>
          </cell>
          <cell r="AA212" t="str">
            <v/>
          </cell>
        </row>
        <row r="213">
          <cell r="A213" t="str">
            <v>A</v>
          </cell>
          <cell r="F213" t="str">
            <v>7434-3</v>
          </cell>
          <cell r="G213" t="str">
            <v>A</v>
          </cell>
          <cell r="H213">
            <v>5</v>
          </cell>
          <cell r="I213" t="str">
            <v>Garage Cleaning</v>
          </cell>
          <cell r="J213" t="str">
            <v>Garage Cleaning</v>
          </cell>
          <cell r="K213">
            <v>0</v>
          </cell>
          <cell r="L213">
            <v>0</v>
          </cell>
          <cell r="M213">
            <v>0</v>
          </cell>
          <cell r="N213">
            <v>0</v>
          </cell>
          <cell r="O213">
            <v>0</v>
          </cell>
          <cell r="P213">
            <v>0</v>
          </cell>
          <cell r="Q213" t="str">
            <v/>
          </cell>
          <cell r="R213" t="str">
            <v/>
          </cell>
          <cell r="S213" t="str">
            <v/>
          </cell>
          <cell r="T213" t="str">
            <v/>
          </cell>
          <cell r="U213" t="str">
            <v/>
          </cell>
          <cell r="V213" t="str">
            <v/>
          </cell>
          <cell r="W213">
            <v>0</v>
          </cell>
          <cell r="X213">
            <v>0</v>
          </cell>
          <cell r="Y213" t="str">
            <v/>
          </cell>
          <cell r="Z213" t="str">
            <v>BUY</v>
          </cell>
          <cell r="AA213" t="str">
            <v/>
          </cell>
        </row>
        <row r="214">
          <cell r="A214" t="str">
            <v>A</v>
          </cell>
          <cell r="F214" t="str">
            <v>7434-4</v>
          </cell>
          <cell r="G214" t="str">
            <v>A</v>
          </cell>
          <cell r="H214">
            <v>5</v>
          </cell>
          <cell r="I214" t="str">
            <v>Garage Cleaning</v>
          </cell>
          <cell r="J214" t="str">
            <v>Garage Cleaning</v>
          </cell>
          <cell r="K214">
            <v>0</v>
          </cell>
          <cell r="L214">
            <v>0</v>
          </cell>
          <cell r="M214">
            <v>0</v>
          </cell>
          <cell r="N214">
            <v>0</v>
          </cell>
          <cell r="O214">
            <v>0</v>
          </cell>
          <cell r="P214">
            <v>0</v>
          </cell>
          <cell r="Q214" t="str">
            <v/>
          </cell>
          <cell r="R214" t="str">
            <v/>
          </cell>
          <cell r="S214" t="str">
            <v/>
          </cell>
          <cell r="T214" t="str">
            <v/>
          </cell>
          <cell r="U214" t="str">
            <v/>
          </cell>
          <cell r="V214" t="str">
            <v/>
          </cell>
          <cell r="W214">
            <v>0</v>
          </cell>
          <cell r="X214">
            <v>0</v>
          </cell>
          <cell r="Y214" t="str">
            <v/>
          </cell>
          <cell r="Z214" t="str">
            <v>BUY</v>
          </cell>
          <cell r="AA214" t="str">
            <v/>
          </cell>
        </row>
        <row r="215">
          <cell r="A215" t="str">
            <v>A</v>
          </cell>
          <cell r="F215" t="str">
            <v>7434-5</v>
          </cell>
          <cell r="G215" t="str">
            <v>A</v>
          </cell>
          <cell r="H215">
            <v>5</v>
          </cell>
          <cell r="I215" t="str">
            <v>Garage Cleaning</v>
          </cell>
          <cell r="J215" t="str">
            <v>Garage Cleaning</v>
          </cell>
          <cell r="K215">
            <v>0</v>
          </cell>
          <cell r="L215">
            <v>0</v>
          </cell>
          <cell r="M215">
            <v>0</v>
          </cell>
          <cell r="N215">
            <v>0</v>
          </cell>
          <cell r="O215">
            <v>0</v>
          </cell>
          <cell r="P215">
            <v>0</v>
          </cell>
          <cell r="Q215" t="str">
            <v/>
          </cell>
          <cell r="R215" t="str">
            <v/>
          </cell>
          <cell r="S215" t="str">
            <v/>
          </cell>
          <cell r="T215" t="str">
            <v/>
          </cell>
          <cell r="U215" t="str">
            <v/>
          </cell>
          <cell r="V215" t="str">
            <v/>
          </cell>
          <cell r="W215">
            <v>0</v>
          </cell>
          <cell r="X215">
            <v>0</v>
          </cell>
          <cell r="Y215" t="str">
            <v/>
          </cell>
          <cell r="Z215" t="str">
            <v>BUY</v>
          </cell>
          <cell r="AA215" t="str">
            <v/>
          </cell>
        </row>
        <row r="216">
          <cell r="A216" t="str">
            <v>A</v>
          </cell>
          <cell r="F216" t="str">
            <v>7435</v>
          </cell>
          <cell r="G216" t="str">
            <v>A</v>
          </cell>
          <cell r="H216">
            <v>5</v>
          </cell>
          <cell r="I216" t="str">
            <v>Floor Mat Services</v>
          </cell>
          <cell r="J216" t="str">
            <v>Floor Mat Services</v>
          </cell>
          <cell r="K216">
            <v>0</v>
          </cell>
          <cell r="L216">
            <v>0</v>
          </cell>
          <cell r="M216">
            <v>0</v>
          </cell>
          <cell r="N216">
            <v>0</v>
          </cell>
          <cell r="O216">
            <v>0</v>
          </cell>
          <cell r="P216">
            <v>0</v>
          </cell>
          <cell r="Q216" t="str">
            <v/>
          </cell>
          <cell r="R216" t="str">
            <v/>
          </cell>
          <cell r="S216" t="str">
            <v/>
          </cell>
          <cell r="T216" t="str">
            <v/>
          </cell>
          <cell r="U216" t="str">
            <v/>
          </cell>
          <cell r="V216" t="str">
            <v/>
          </cell>
          <cell r="W216">
            <v>0</v>
          </cell>
          <cell r="X216">
            <v>0</v>
          </cell>
          <cell r="Y216" t="str">
            <v/>
          </cell>
          <cell r="Z216" t="str">
            <v>BUY</v>
          </cell>
          <cell r="AA216" t="str">
            <v/>
          </cell>
        </row>
        <row r="217">
          <cell r="A217" t="str">
            <v>A</v>
          </cell>
          <cell r="F217" t="str">
            <v>7436</v>
          </cell>
          <cell r="G217" t="str">
            <v>A</v>
          </cell>
          <cell r="H217">
            <v>5</v>
          </cell>
          <cell r="I217" t="str">
            <v>Lobby/Plant Expense</v>
          </cell>
          <cell r="J217" t="str">
            <v>Lobby/Plant Expense</v>
          </cell>
          <cell r="K217">
            <v>0</v>
          </cell>
          <cell r="L217">
            <v>0</v>
          </cell>
          <cell r="M217">
            <v>6500</v>
          </cell>
          <cell r="N217">
            <v>3178</v>
          </cell>
          <cell r="O217">
            <v>7520</v>
          </cell>
          <cell r="P217">
            <v>1020</v>
          </cell>
          <cell r="Q217">
            <v>0.15692307692307694</v>
          </cell>
          <cell r="R217" t="str">
            <v>GL 6016 Chicago Blooms to prepare fresh flowers for lobby $500 plus orchid for inner lobby $85 month $7,020/yr. The account also includes holiday decorations $500.</v>
          </cell>
          <cell r="S217" t="str">
            <v>Chicago Blooms</v>
          </cell>
          <cell r="T217" t="str">
            <v>Month to Month</v>
          </cell>
          <cell r="W217">
            <v>17198</v>
          </cell>
          <cell r="X217">
            <v>0</v>
          </cell>
          <cell r="Y217" t="str">
            <v>A</v>
          </cell>
          <cell r="Z217" t="str">
            <v>BUY</v>
          </cell>
          <cell r="AA217" t="str">
            <v/>
          </cell>
        </row>
        <row r="218">
          <cell r="A218" t="str">
            <v>A</v>
          </cell>
          <cell r="F218" t="str">
            <v>7437</v>
          </cell>
          <cell r="G218" t="str">
            <v>A</v>
          </cell>
          <cell r="H218">
            <v>5</v>
          </cell>
          <cell r="I218" t="str">
            <v>Laundry Room Repairs</v>
          </cell>
          <cell r="J218" t="str">
            <v>Laundry Room Repairs</v>
          </cell>
          <cell r="K218">
            <v>0</v>
          </cell>
          <cell r="L218">
            <v>0</v>
          </cell>
          <cell r="M218">
            <v>0</v>
          </cell>
          <cell r="N218">
            <v>0</v>
          </cell>
          <cell r="O218">
            <v>0</v>
          </cell>
          <cell r="P218">
            <v>0</v>
          </cell>
          <cell r="Q218" t="str">
            <v/>
          </cell>
          <cell r="R218" t="str">
            <v/>
          </cell>
          <cell r="S218" t="str">
            <v/>
          </cell>
          <cell r="T218" t="str">
            <v/>
          </cell>
          <cell r="U218" t="str">
            <v/>
          </cell>
          <cell r="V218" t="str">
            <v/>
          </cell>
          <cell r="W218">
            <v>0</v>
          </cell>
          <cell r="X218">
            <v>0</v>
          </cell>
          <cell r="Y218" t="str">
            <v/>
          </cell>
          <cell r="Z218" t="str">
            <v>BUY</v>
          </cell>
          <cell r="AA218" t="str">
            <v/>
          </cell>
        </row>
        <row r="219">
          <cell r="A219" t="str">
            <v>A</v>
          </cell>
          <cell r="F219" t="str">
            <v>7439</v>
          </cell>
          <cell r="G219" t="str">
            <v>A</v>
          </cell>
          <cell r="H219">
            <v>5</v>
          </cell>
          <cell r="I219" t="str">
            <v>Miscellaneous Cleaning</v>
          </cell>
          <cell r="J219" t="str">
            <v>Miscellaneous Cleaning</v>
          </cell>
          <cell r="K219">
            <v>0</v>
          </cell>
          <cell r="L219">
            <v>0</v>
          </cell>
          <cell r="M219">
            <v>0</v>
          </cell>
          <cell r="N219">
            <v>0</v>
          </cell>
          <cell r="O219">
            <v>0</v>
          </cell>
          <cell r="P219">
            <v>0</v>
          </cell>
          <cell r="Q219" t="str">
            <v/>
          </cell>
          <cell r="R219" t="str">
            <v/>
          </cell>
          <cell r="S219" t="str">
            <v/>
          </cell>
          <cell r="T219" t="str">
            <v/>
          </cell>
          <cell r="U219" t="str">
            <v/>
          </cell>
          <cell r="V219" t="str">
            <v/>
          </cell>
          <cell r="W219">
            <v>0</v>
          </cell>
          <cell r="X219">
            <v>0</v>
          </cell>
          <cell r="Y219" t="str">
            <v/>
          </cell>
          <cell r="Z219" t="str">
            <v>BUY</v>
          </cell>
          <cell r="AA219" t="str">
            <v/>
          </cell>
        </row>
        <row r="220">
          <cell r="A220" t="str">
            <v>A</v>
          </cell>
          <cell r="F220" t="str">
            <v>7440</v>
          </cell>
          <cell r="G220" t="str">
            <v>A</v>
          </cell>
          <cell r="H220">
            <v>5</v>
          </cell>
          <cell r="I220" t="str">
            <v>Light Fixture Services</v>
          </cell>
          <cell r="J220" t="str">
            <v>Light Fixture Services</v>
          </cell>
          <cell r="K220">
            <v>0</v>
          </cell>
          <cell r="L220">
            <v>0</v>
          </cell>
          <cell r="M220">
            <v>0</v>
          </cell>
          <cell r="N220">
            <v>0</v>
          </cell>
          <cell r="O220">
            <v>0</v>
          </cell>
          <cell r="P220">
            <v>0</v>
          </cell>
          <cell r="Q220" t="str">
            <v/>
          </cell>
          <cell r="R220" t="str">
            <v/>
          </cell>
          <cell r="S220" t="str">
            <v/>
          </cell>
          <cell r="T220" t="str">
            <v/>
          </cell>
          <cell r="U220" t="str">
            <v/>
          </cell>
          <cell r="V220" t="str">
            <v/>
          </cell>
          <cell r="W220">
            <v>0</v>
          </cell>
          <cell r="X220">
            <v>0</v>
          </cell>
          <cell r="Y220" t="str">
            <v/>
          </cell>
          <cell r="Z220" t="str">
            <v>BUY</v>
          </cell>
          <cell r="AA220" t="str">
            <v/>
          </cell>
        </row>
        <row r="221">
          <cell r="A221" t="str">
            <v>A</v>
          </cell>
          <cell r="F221" t="str">
            <v>7441</v>
          </cell>
          <cell r="G221" t="str">
            <v>A</v>
          </cell>
          <cell r="H221">
            <v>5</v>
          </cell>
          <cell r="I221" t="str">
            <v>Lights, Bulbs and Tubes</v>
          </cell>
          <cell r="J221" t="str">
            <v>Lights, Bulbs and Tubes</v>
          </cell>
          <cell r="K221">
            <v>0</v>
          </cell>
          <cell r="L221">
            <v>0</v>
          </cell>
          <cell r="M221">
            <v>0</v>
          </cell>
          <cell r="N221">
            <v>0</v>
          </cell>
          <cell r="O221">
            <v>0</v>
          </cell>
          <cell r="P221">
            <v>0</v>
          </cell>
          <cell r="Q221" t="str">
            <v/>
          </cell>
          <cell r="R221" t="str">
            <v/>
          </cell>
          <cell r="S221" t="str">
            <v/>
          </cell>
          <cell r="T221" t="str">
            <v/>
          </cell>
          <cell r="U221" t="str">
            <v/>
          </cell>
          <cell r="V221" t="str">
            <v/>
          </cell>
          <cell r="W221">
            <v>0</v>
          </cell>
          <cell r="X221">
            <v>0</v>
          </cell>
          <cell r="Y221" t="str">
            <v/>
          </cell>
          <cell r="Z221" t="str">
            <v>BUY</v>
          </cell>
          <cell r="AA221" t="str">
            <v/>
          </cell>
        </row>
        <row r="222">
          <cell r="A222" t="str">
            <v>A</v>
          </cell>
          <cell r="F222" t="str">
            <v>7445</v>
          </cell>
          <cell r="G222" t="str">
            <v>A</v>
          </cell>
          <cell r="H222">
            <v>5</v>
          </cell>
          <cell r="I222" t="str">
            <v>Chimney Sweeping</v>
          </cell>
          <cell r="J222" t="str">
            <v>Chimney Sweeping</v>
          </cell>
          <cell r="K222">
            <v>0</v>
          </cell>
          <cell r="L222">
            <v>0</v>
          </cell>
          <cell r="M222">
            <v>0</v>
          </cell>
          <cell r="N222">
            <v>0</v>
          </cell>
          <cell r="O222">
            <v>0</v>
          </cell>
          <cell r="P222">
            <v>0</v>
          </cell>
          <cell r="Q222" t="str">
            <v/>
          </cell>
          <cell r="R222" t="str">
            <v/>
          </cell>
          <cell r="S222" t="str">
            <v/>
          </cell>
          <cell r="T222" t="str">
            <v/>
          </cell>
          <cell r="U222" t="str">
            <v/>
          </cell>
          <cell r="V222" t="str">
            <v/>
          </cell>
          <cell r="W222">
            <v>0</v>
          </cell>
          <cell r="X222">
            <v>0</v>
          </cell>
          <cell r="Y222" t="str">
            <v/>
          </cell>
          <cell r="Z222" t="str">
            <v>BUY</v>
          </cell>
          <cell r="AA222" t="str">
            <v/>
          </cell>
        </row>
        <row r="223">
          <cell r="A223" t="str">
            <v>A</v>
          </cell>
          <cell r="F223" t="str">
            <v>7450</v>
          </cell>
          <cell r="G223" t="str">
            <v>A</v>
          </cell>
          <cell r="H223">
            <v>5</v>
          </cell>
          <cell r="I223" t="str">
            <v>Fire Prevention</v>
          </cell>
          <cell r="J223" t="str">
            <v>Fire Prevention</v>
          </cell>
          <cell r="K223">
            <v>0</v>
          </cell>
          <cell r="L223">
            <v>0</v>
          </cell>
          <cell r="M223">
            <v>3360</v>
          </cell>
          <cell r="N223">
            <v>4032</v>
          </cell>
          <cell r="O223">
            <v>3360</v>
          </cell>
          <cell r="P223">
            <v>0</v>
          </cell>
          <cell r="Q223">
            <v>0</v>
          </cell>
          <cell r="R223" t="str">
            <v>GL 6470 Includes fire &amp; safety equipment services such as annual city fire pump test, testing of fire recall system and the yearly testing of the fire extinguishers inspection.. Fire pump test= $880, Fire extinguishers= $600, Fire alarm system= $600, insp</v>
          </cell>
          <cell r="S223" t="str">
            <v/>
          </cell>
          <cell r="T223" t="str">
            <v/>
          </cell>
          <cell r="U223" t="str">
            <v/>
          </cell>
          <cell r="V223" t="str">
            <v/>
          </cell>
          <cell r="W223">
            <v>10752</v>
          </cell>
          <cell r="X223">
            <v>0</v>
          </cell>
          <cell r="Y223" t="str">
            <v>A</v>
          </cell>
          <cell r="Z223" t="str">
            <v>BUY</v>
          </cell>
          <cell r="AA223" t="str">
            <v/>
          </cell>
        </row>
        <row r="224">
          <cell r="A224" t="str">
            <v>A</v>
          </cell>
          <cell r="F224" t="str">
            <v>7450-1</v>
          </cell>
          <cell r="G224" t="str">
            <v>A</v>
          </cell>
          <cell r="H224">
            <v>5</v>
          </cell>
          <cell r="I224" t="str">
            <v>Fire Prevention</v>
          </cell>
          <cell r="J224" t="str">
            <v>Fire Prevention</v>
          </cell>
          <cell r="K224">
            <v>0</v>
          </cell>
          <cell r="L224">
            <v>0</v>
          </cell>
          <cell r="M224">
            <v>0</v>
          </cell>
          <cell r="N224">
            <v>0</v>
          </cell>
          <cell r="O224">
            <v>0</v>
          </cell>
          <cell r="P224">
            <v>0</v>
          </cell>
          <cell r="Q224" t="str">
            <v/>
          </cell>
          <cell r="R224" t="str">
            <v/>
          </cell>
          <cell r="S224" t="str">
            <v/>
          </cell>
          <cell r="T224" t="str">
            <v/>
          </cell>
          <cell r="U224" t="str">
            <v/>
          </cell>
          <cell r="V224" t="str">
            <v/>
          </cell>
          <cell r="W224">
            <v>0</v>
          </cell>
          <cell r="X224">
            <v>0</v>
          </cell>
          <cell r="Y224" t="str">
            <v/>
          </cell>
          <cell r="Z224" t="str">
            <v>BUY</v>
          </cell>
          <cell r="AA224" t="str">
            <v/>
          </cell>
        </row>
        <row r="225">
          <cell r="A225" t="str">
            <v>A</v>
          </cell>
          <cell r="F225" t="str">
            <v>7450-2</v>
          </cell>
          <cell r="G225" t="str">
            <v>A</v>
          </cell>
          <cell r="H225">
            <v>5</v>
          </cell>
          <cell r="I225" t="str">
            <v>Fire Prevention</v>
          </cell>
          <cell r="J225" t="str">
            <v>Fire Prevention</v>
          </cell>
          <cell r="K225">
            <v>0</v>
          </cell>
          <cell r="L225">
            <v>0</v>
          </cell>
          <cell r="M225">
            <v>0</v>
          </cell>
          <cell r="N225">
            <v>0</v>
          </cell>
          <cell r="O225">
            <v>0</v>
          </cell>
          <cell r="P225">
            <v>0</v>
          </cell>
          <cell r="Q225" t="str">
            <v/>
          </cell>
          <cell r="R225" t="str">
            <v/>
          </cell>
          <cell r="S225" t="str">
            <v/>
          </cell>
          <cell r="T225" t="str">
            <v/>
          </cell>
          <cell r="U225" t="str">
            <v/>
          </cell>
          <cell r="V225" t="str">
            <v/>
          </cell>
          <cell r="W225">
            <v>0</v>
          </cell>
          <cell r="X225">
            <v>0</v>
          </cell>
          <cell r="Y225" t="str">
            <v/>
          </cell>
          <cell r="Z225" t="str">
            <v>BUY</v>
          </cell>
          <cell r="AA225" t="str">
            <v/>
          </cell>
        </row>
        <row r="226">
          <cell r="A226" t="str">
            <v>A</v>
          </cell>
          <cell r="F226" t="str">
            <v>7450-3</v>
          </cell>
          <cell r="G226" t="str">
            <v>A</v>
          </cell>
          <cell r="H226">
            <v>5</v>
          </cell>
          <cell r="I226" t="str">
            <v>Fire Prevention</v>
          </cell>
          <cell r="J226" t="str">
            <v>Fire Prevention</v>
          </cell>
          <cell r="K226">
            <v>0</v>
          </cell>
          <cell r="L226">
            <v>0</v>
          </cell>
          <cell r="M226">
            <v>0</v>
          </cell>
          <cell r="N226">
            <v>0</v>
          </cell>
          <cell r="O226">
            <v>0</v>
          </cell>
          <cell r="P226">
            <v>0</v>
          </cell>
          <cell r="Q226" t="str">
            <v/>
          </cell>
          <cell r="R226" t="str">
            <v/>
          </cell>
          <cell r="S226" t="str">
            <v/>
          </cell>
          <cell r="T226" t="str">
            <v/>
          </cell>
          <cell r="U226" t="str">
            <v/>
          </cell>
          <cell r="V226" t="str">
            <v/>
          </cell>
          <cell r="W226">
            <v>0</v>
          </cell>
          <cell r="X226">
            <v>0</v>
          </cell>
          <cell r="Y226" t="str">
            <v/>
          </cell>
          <cell r="Z226" t="str">
            <v>BUY</v>
          </cell>
          <cell r="AA226" t="str">
            <v/>
          </cell>
        </row>
        <row r="227">
          <cell r="A227" t="str">
            <v>A</v>
          </cell>
          <cell r="F227" t="str">
            <v>7450-3000</v>
          </cell>
          <cell r="G227" t="str">
            <v>A</v>
          </cell>
          <cell r="H227">
            <v>5</v>
          </cell>
          <cell r="I227" t="str">
            <v>Fire Monitor</v>
          </cell>
          <cell r="J227" t="str">
            <v>Fire Monitor</v>
          </cell>
          <cell r="K227">
            <v>0</v>
          </cell>
          <cell r="L227">
            <v>0</v>
          </cell>
          <cell r="M227">
            <v>0</v>
          </cell>
          <cell r="N227">
            <v>0</v>
          </cell>
          <cell r="O227">
            <v>0</v>
          </cell>
          <cell r="P227">
            <v>0</v>
          </cell>
          <cell r="Q227" t="str">
            <v/>
          </cell>
          <cell r="R227" t="str">
            <v/>
          </cell>
          <cell r="S227" t="str">
            <v/>
          </cell>
          <cell r="T227" t="str">
            <v/>
          </cell>
          <cell r="U227" t="str">
            <v/>
          </cell>
          <cell r="V227" t="str">
            <v/>
          </cell>
          <cell r="W227">
            <v>0</v>
          </cell>
          <cell r="X227">
            <v>0</v>
          </cell>
          <cell r="Y227" t="str">
            <v/>
          </cell>
          <cell r="Z227" t="str">
            <v>BUY</v>
          </cell>
          <cell r="AA227" t="str">
            <v/>
          </cell>
        </row>
        <row r="228">
          <cell r="A228" t="str">
            <v>A</v>
          </cell>
          <cell r="F228" t="str">
            <v>7450-4</v>
          </cell>
          <cell r="G228" t="str">
            <v>A</v>
          </cell>
          <cell r="H228">
            <v>5</v>
          </cell>
          <cell r="I228" t="str">
            <v>Fire Prevention</v>
          </cell>
          <cell r="J228" t="str">
            <v>Fire Prevention</v>
          </cell>
          <cell r="K228">
            <v>0</v>
          </cell>
          <cell r="L228">
            <v>0</v>
          </cell>
          <cell r="M228">
            <v>0</v>
          </cell>
          <cell r="N228">
            <v>0</v>
          </cell>
          <cell r="O228">
            <v>0</v>
          </cell>
          <cell r="P228">
            <v>0</v>
          </cell>
          <cell r="Q228" t="str">
            <v/>
          </cell>
          <cell r="R228" t="str">
            <v/>
          </cell>
          <cell r="S228" t="str">
            <v/>
          </cell>
          <cell r="T228" t="str">
            <v/>
          </cell>
          <cell r="U228" t="str">
            <v/>
          </cell>
          <cell r="V228" t="str">
            <v/>
          </cell>
          <cell r="W228">
            <v>0</v>
          </cell>
          <cell r="X228">
            <v>0</v>
          </cell>
          <cell r="Y228" t="str">
            <v/>
          </cell>
          <cell r="Z228" t="str">
            <v>BUY</v>
          </cell>
          <cell r="AA228" t="str">
            <v/>
          </cell>
        </row>
        <row r="229">
          <cell r="A229" t="str">
            <v>A</v>
          </cell>
          <cell r="F229" t="str">
            <v>7450-5</v>
          </cell>
          <cell r="G229" t="str">
            <v>A</v>
          </cell>
          <cell r="H229">
            <v>5</v>
          </cell>
          <cell r="I229" t="str">
            <v>Fire Prevention</v>
          </cell>
          <cell r="J229" t="str">
            <v>Fire Prevention</v>
          </cell>
          <cell r="K229">
            <v>0</v>
          </cell>
          <cell r="L229">
            <v>0</v>
          </cell>
          <cell r="M229">
            <v>0</v>
          </cell>
          <cell r="N229">
            <v>0</v>
          </cell>
          <cell r="O229">
            <v>0</v>
          </cell>
          <cell r="P229">
            <v>0</v>
          </cell>
          <cell r="Q229" t="str">
            <v/>
          </cell>
          <cell r="R229" t="str">
            <v/>
          </cell>
          <cell r="S229" t="str">
            <v/>
          </cell>
          <cell r="T229" t="str">
            <v/>
          </cell>
          <cell r="U229" t="str">
            <v/>
          </cell>
          <cell r="V229" t="str">
            <v/>
          </cell>
          <cell r="W229">
            <v>0</v>
          </cell>
          <cell r="X229">
            <v>0</v>
          </cell>
          <cell r="Y229" t="str">
            <v/>
          </cell>
          <cell r="Z229" t="str">
            <v>BUY</v>
          </cell>
          <cell r="AA229" t="str">
            <v/>
          </cell>
        </row>
        <row r="230">
          <cell r="A230" t="str">
            <v>A</v>
          </cell>
          <cell r="F230" t="str">
            <v>7451</v>
          </cell>
          <cell r="G230" t="str">
            <v>A</v>
          </cell>
          <cell r="H230">
            <v>5</v>
          </cell>
          <cell r="I230" t="str">
            <v>Painting</v>
          </cell>
          <cell r="J230" t="str">
            <v>Painting</v>
          </cell>
          <cell r="K230">
            <v>0</v>
          </cell>
          <cell r="L230">
            <v>0</v>
          </cell>
          <cell r="M230">
            <v>0</v>
          </cell>
          <cell r="N230">
            <v>0</v>
          </cell>
          <cell r="O230">
            <v>0</v>
          </cell>
          <cell r="P230">
            <v>0</v>
          </cell>
          <cell r="Q230" t="str">
            <v/>
          </cell>
          <cell r="R230" t="str">
            <v/>
          </cell>
          <cell r="S230" t="str">
            <v/>
          </cell>
          <cell r="T230" t="str">
            <v/>
          </cell>
          <cell r="U230" t="str">
            <v/>
          </cell>
          <cell r="V230" t="str">
            <v/>
          </cell>
          <cell r="W230">
            <v>0</v>
          </cell>
          <cell r="X230">
            <v>0</v>
          </cell>
          <cell r="Y230" t="str">
            <v/>
          </cell>
          <cell r="Z230" t="str">
            <v>BUY</v>
          </cell>
          <cell r="AA230" t="str">
            <v/>
          </cell>
        </row>
        <row r="231">
          <cell r="A231" t="str">
            <v>A</v>
          </cell>
          <cell r="F231" t="str">
            <v>7460</v>
          </cell>
          <cell r="G231" t="str">
            <v>A</v>
          </cell>
          <cell r="H231">
            <v>5</v>
          </cell>
          <cell r="I231" t="str">
            <v>Elevator Services</v>
          </cell>
          <cell r="J231" t="str">
            <v>Elevator Services</v>
          </cell>
          <cell r="K231">
            <v>0</v>
          </cell>
          <cell r="L231">
            <v>0</v>
          </cell>
          <cell r="M231">
            <v>20772</v>
          </cell>
          <cell r="N231">
            <v>13145</v>
          </cell>
          <cell r="O231">
            <v>18546</v>
          </cell>
          <cell r="P231">
            <v>-2226</v>
          </cell>
          <cell r="Q231">
            <v>-0.10716348931253605</v>
          </cell>
          <cell r="R231" t="str">
            <v>GL 6007 Proposals requested. Otis elevator contract until Jan 2010. Proposed contract received for $1,548 per month</v>
          </cell>
          <cell r="S231" t="str">
            <v>Otis Elevator</v>
          </cell>
          <cell r="T231">
            <v>38018</v>
          </cell>
          <cell r="U231">
            <v>40209</v>
          </cell>
          <cell r="V231" t="str">
            <v>$1,712/mo</v>
          </cell>
          <cell r="W231">
            <v>52463</v>
          </cell>
          <cell r="X231">
            <v>0</v>
          </cell>
          <cell r="Y231" t="str">
            <v>A</v>
          </cell>
          <cell r="Z231" t="str">
            <v>BUY</v>
          </cell>
          <cell r="AA231" t="str">
            <v/>
          </cell>
        </row>
        <row r="232">
          <cell r="A232" t="str">
            <v>A</v>
          </cell>
          <cell r="F232" t="str">
            <v>7460-2</v>
          </cell>
          <cell r="G232" t="str">
            <v>A</v>
          </cell>
          <cell r="H232">
            <v>5</v>
          </cell>
          <cell r="I232" t="str">
            <v>Elevator Services</v>
          </cell>
          <cell r="J232" t="str">
            <v>Elevator Services</v>
          </cell>
          <cell r="K232">
            <v>0</v>
          </cell>
          <cell r="L232">
            <v>0</v>
          </cell>
          <cell r="M232">
            <v>0</v>
          </cell>
          <cell r="N232">
            <v>0</v>
          </cell>
          <cell r="O232">
            <v>0</v>
          </cell>
          <cell r="P232">
            <v>0</v>
          </cell>
          <cell r="Q232" t="str">
            <v/>
          </cell>
          <cell r="R232" t="str">
            <v/>
          </cell>
          <cell r="S232" t="str">
            <v/>
          </cell>
          <cell r="T232" t="str">
            <v/>
          </cell>
          <cell r="U232" t="str">
            <v/>
          </cell>
          <cell r="V232" t="str">
            <v/>
          </cell>
          <cell r="W232">
            <v>0</v>
          </cell>
          <cell r="X232">
            <v>0</v>
          </cell>
          <cell r="Y232" t="str">
            <v/>
          </cell>
          <cell r="Z232" t="str">
            <v>BUY</v>
          </cell>
          <cell r="AA232" t="str">
            <v/>
          </cell>
        </row>
        <row r="233">
          <cell r="A233" t="str">
            <v>A</v>
          </cell>
          <cell r="F233" t="str">
            <v>7460-3</v>
          </cell>
          <cell r="G233" t="str">
            <v>A</v>
          </cell>
          <cell r="H233">
            <v>5</v>
          </cell>
          <cell r="I233" t="str">
            <v>Elevator Services</v>
          </cell>
          <cell r="J233" t="str">
            <v>Elevator Services</v>
          </cell>
          <cell r="K233">
            <v>0</v>
          </cell>
          <cell r="L233">
            <v>0</v>
          </cell>
          <cell r="M233">
            <v>0</v>
          </cell>
          <cell r="N233">
            <v>0</v>
          </cell>
          <cell r="O233">
            <v>0</v>
          </cell>
          <cell r="P233">
            <v>0</v>
          </cell>
          <cell r="Q233" t="str">
            <v/>
          </cell>
          <cell r="R233" t="str">
            <v/>
          </cell>
          <cell r="S233" t="str">
            <v/>
          </cell>
          <cell r="T233" t="str">
            <v/>
          </cell>
          <cell r="U233" t="str">
            <v/>
          </cell>
          <cell r="V233" t="str">
            <v/>
          </cell>
          <cell r="W233">
            <v>0</v>
          </cell>
          <cell r="X233">
            <v>0</v>
          </cell>
          <cell r="Y233" t="str">
            <v/>
          </cell>
          <cell r="Z233" t="str">
            <v>BUY</v>
          </cell>
          <cell r="AA233" t="str">
            <v/>
          </cell>
        </row>
        <row r="234">
          <cell r="A234" t="str">
            <v>A</v>
          </cell>
          <cell r="F234" t="str">
            <v>7460-4</v>
          </cell>
          <cell r="G234" t="str">
            <v>A</v>
          </cell>
          <cell r="H234">
            <v>5</v>
          </cell>
          <cell r="I234" t="str">
            <v>Elevator Services</v>
          </cell>
          <cell r="J234" t="str">
            <v>Elevator Services</v>
          </cell>
          <cell r="K234">
            <v>0</v>
          </cell>
          <cell r="L234">
            <v>0</v>
          </cell>
          <cell r="M234">
            <v>0</v>
          </cell>
          <cell r="N234">
            <v>0</v>
          </cell>
          <cell r="O234">
            <v>0</v>
          </cell>
          <cell r="P234">
            <v>0</v>
          </cell>
          <cell r="Q234" t="str">
            <v/>
          </cell>
          <cell r="R234" t="str">
            <v/>
          </cell>
          <cell r="S234" t="str">
            <v/>
          </cell>
          <cell r="T234" t="str">
            <v/>
          </cell>
          <cell r="U234" t="str">
            <v/>
          </cell>
          <cell r="V234" t="str">
            <v/>
          </cell>
          <cell r="W234">
            <v>0</v>
          </cell>
          <cell r="X234">
            <v>0</v>
          </cell>
          <cell r="Y234" t="str">
            <v/>
          </cell>
          <cell r="Z234" t="str">
            <v>BUY</v>
          </cell>
          <cell r="AA234" t="str">
            <v/>
          </cell>
        </row>
        <row r="235">
          <cell r="A235" t="str">
            <v>A</v>
          </cell>
          <cell r="F235" t="str">
            <v>7460-5</v>
          </cell>
          <cell r="G235" t="str">
            <v>A</v>
          </cell>
          <cell r="H235">
            <v>5</v>
          </cell>
          <cell r="I235" t="str">
            <v>Elevator Services</v>
          </cell>
          <cell r="J235" t="str">
            <v>Elevator Services</v>
          </cell>
          <cell r="K235">
            <v>0</v>
          </cell>
          <cell r="L235">
            <v>0</v>
          </cell>
          <cell r="M235">
            <v>0</v>
          </cell>
          <cell r="N235">
            <v>0</v>
          </cell>
          <cell r="O235">
            <v>0</v>
          </cell>
          <cell r="P235">
            <v>0</v>
          </cell>
          <cell r="Q235" t="str">
            <v/>
          </cell>
          <cell r="R235" t="str">
            <v/>
          </cell>
          <cell r="S235" t="str">
            <v/>
          </cell>
          <cell r="T235" t="str">
            <v/>
          </cell>
          <cell r="U235" t="str">
            <v/>
          </cell>
          <cell r="V235" t="str">
            <v/>
          </cell>
          <cell r="W235">
            <v>0</v>
          </cell>
          <cell r="X235">
            <v>0</v>
          </cell>
          <cell r="Y235" t="str">
            <v/>
          </cell>
          <cell r="Z235" t="str">
            <v>BUY</v>
          </cell>
          <cell r="AA235" t="str">
            <v/>
          </cell>
        </row>
        <row r="236">
          <cell r="A236" t="str">
            <v>A</v>
          </cell>
          <cell r="F236" t="str">
            <v>7461</v>
          </cell>
          <cell r="G236" t="str">
            <v>A</v>
          </cell>
          <cell r="H236">
            <v>5</v>
          </cell>
          <cell r="I236" t="str">
            <v>Elevator Maintenance Contract</v>
          </cell>
          <cell r="J236" t="str">
            <v>Elevator Maintenance Contract</v>
          </cell>
          <cell r="K236">
            <v>0</v>
          </cell>
          <cell r="L236">
            <v>0</v>
          </cell>
          <cell r="M236">
            <v>0</v>
          </cell>
          <cell r="N236">
            <v>0</v>
          </cell>
          <cell r="O236">
            <v>0</v>
          </cell>
          <cell r="P236">
            <v>0</v>
          </cell>
          <cell r="Q236" t="str">
            <v/>
          </cell>
          <cell r="R236" t="str">
            <v/>
          </cell>
          <cell r="S236" t="str">
            <v/>
          </cell>
          <cell r="T236" t="str">
            <v/>
          </cell>
          <cell r="U236" t="str">
            <v/>
          </cell>
          <cell r="V236" t="str">
            <v/>
          </cell>
          <cell r="W236">
            <v>0</v>
          </cell>
          <cell r="X236">
            <v>0</v>
          </cell>
          <cell r="Y236" t="str">
            <v/>
          </cell>
          <cell r="Z236" t="str">
            <v>BUY</v>
          </cell>
          <cell r="AA236" t="str">
            <v/>
          </cell>
        </row>
        <row r="237">
          <cell r="A237" t="str">
            <v>A</v>
          </cell>
          <cell r="F237" t="str">
            <v>7461-2</v>
          </cell>
          <cell r="G237" t="str">
            <v>A</v>
          </cell>
          <cell r="H237">
            <v>5</v>
          </cell>
          <cell r="I237" t="str">
            <v>Elevator Maintenance Contract</v>
          </cell>
          <cell r="J237" t="str">
            <v>Elevator Maintenance Contract</v>
          </cell>
          <cell r="K237">
            <v>0</v>
          </cell>
          <cell r="L237">
            <v>0</v>
          </cell>
          <cell r="M237">
            <v>0</v>
          </cell>
          <cell r="N237">
            <v>0</v>
          </cell>
          <cell r="O237">
            <v>0</v>
          </cell>
          <cell r="P237">
            <v>0</v>
          </cell>
          <cell r="Q237" t="str">
            <v/>
          </cell>
          <cell r="R237" t="str">
            <v/>
          </cell>
          <cell r="S237" t="str">
            <v/>
          </cell>
          <cell r="T237" t="str">
            <v/>
          </cell>
          <cell r="U237" t="str">
            <v/>
          </cell>
          <cell r="V237" t="str">
            <v/>
          </cell>
          <cell r="W237">
            <v>0</v>
          </cell>
          <cell r="X237">
            <v>0</v>
          </cell>
          <cell r="Y237" t="str">
            <v/>
          </cell>
          <cell r="Z237" t="str">
            <v>BUY</v>
          </cell>
          <cell r="AA237" t="str">
            <v/>
          </cell>
        </row>
        <row r="238">
          <cell r="A238" t="str">
            <v>A</v>
          </cell>
          <cell r="F238" t="str">
            <v>7461-3</v>
          </cell>
          <cell r="G238" t="str">
            <v>A</v>
          </cell>
          <cell r="H238">
            <v>5</v>
          </cell>
          <cell r="I238" t="str">
            <v>Elevator Maintenance Contract</v>
          </cell>
          <cell r="J238" t="str">
            <v>Elevator Maintenance Contract</v>
          </cell>
          <cell r="K238">
            <v>0</v>
          </cell>
          <cell r="L238">
            <v>0</v>
          </cell>
          <cell r="M238">
            <v>0</v>
          </cell>
          <cell r="N238">
            <v>0</v>
          </cell>
          <cell r="O238">
            <v>0</v>
          </cell>
          <cell r="P238">
            <v>0</v>
          </cell>
          <cell r="Q238" t="str">
            <v/>
          </cell>
          <cell r="R238" t="str">
            <v/>
          </cell>
          <cell r="S238" t="str">
            <v/>
          </cell>
          <cell r="T238" t="str">
            <v/>
          </cell>
          <cell r="U238" t="str">
            <v/>
          </cell>
          <cell r="V238" t="str">
            <v/>
          </cell>
          <cell r="W238">
            <v>0</v>
          </cell>
          <cell r="X238">
            <v>0</v>
          </cell>
          <cell r="Y238" t="str">
            <v/>
          </cell>
          <cell r="Z238" t="str">
            <v>BUY</v>
          </cell>
          <cell r="AA238" t="str">
            <v/>
          </cell>
        </row>
        <row r="239">
          <cell r="A239" t="str">
            <v>A</v>
          </cell>
          <cell r="F239" t="str">
            <v>7461-4</v>
          </cell>
          <cell r="G239" t="str">
            <v>A</v>
          </cell>
          <cell r="H239">
            <v>5</v>
          </cell>
          <cell r="I239" t="str">
            <v>Elevator Maintenance Contract</v>
          </cell>
          <cell r="J239" t="str">
            <v>Elevator Maintenance Contract</v>
          </cell>
          <cell r="K239">
            <v>0</v>
          </cell>
          <cell r="L239">
            <v>0</v>
          </cell>
          <cell r="M239">
            <v>0</v>
          </cell>
          <cell r="N239">
            <v>0</v>
          </cell>
          <cell r="O239">
            <v>0</v>
          </cell>
          <cell r="P239">
            <v>0</v>
          </cell>
          <cell r="Q239" t="str">
            <v/>
          </cell>
          <cell r="R239" t="str">
            <v/>
          </cell>
          <cell r="S239" t="str">
            <v/>
          </cell>
          <cell r="T239" t="str">
            <v/>
          </cell>
          <cell r="U239" t="str">
            <v/>
          </cell>
          <cell r="V239" t="str">
            <v/>
          </cell>
          <cell r="W239">
            <v>0</v>
          </cell>
          <cell r="X239">
            <v>0</v>
          </cell>
          <cell r="Y239" t="str">
            <v/>
          </cell>
          <cell r="Z239" t="str">
            <v>BUY</v>
          </cell>
          <cell r="AA239" t="str">
            <v/>
          </cell>
        </row>
        <row r="240">
          <cell r="A240" t="str">
            <v>A</v>
          </cell>
          <cell r="F240" t="str">
            <v>7461-5</v>
          </cell>
          <cell r="G240" t="str">
            <v>A</v>
          </cell>
          <cell r="H240">
            <v>5</v>
          </cell>
          <cell r="I240" t="str">
            <v>Elevator Maintenance Contract</v>
          </cell>
          <cell r="J240" t="str">
            <v>Elevator Maintenance Contract</v>
          </cell>
          <cell r="K240">
            <v>0</v>
          </cell>
          <cell r="L240">
            <v>0</v>
          </cell>
          <cell r="M240">
            <v>0</v>
          </cell>
          <cell r="N240">
            <v>0</v>
          </cell>
          <cell r="O240">
            <v>0</v>
          </cell>
          <cell r="P240">
            <v>0</v>
          </cell>
          <cell r="Q240" t="str">
            <v/>
          </cell>
          <cell r="R240" t="str">
            <v/>
          </cell>
          <cell r="S240" t="str">
            <v/>
          </cell>
          <cell r="T240" t="str">
            <v/>
          </cell>
          <cell r="U240" t="str">
            <v/>
          </cell>
          <cell r="V240" t="str">
            <v/>
          </cell>
          <cell r="W240">
            <v>0</v>
          </cell>
          <cell r="X240">
            <v>0</v>
          </cell>
          <cell r="Y240" t="str">
            <v/>
          </cell>
          <cell r="Z240" t="str">
            <v>BUY</v>
          </cell>
          <cell r="AA240" t="str">
            <v/>
          </cell>
        </row>
        <row r="241">
          <cell r="A241" t="str">
            <v>A</v>
          </cell>
          <cell r="F241" t="str">
            <v>7462</v>
          </cell>
          <cell r="G241" t="str">
            <v>A</v>
          </cell>
          <cell r="H241">
            <v>5</v>
          </cell>
          <cell r="I241" t="str">
            <v>Elevator Repairs/Services</v>
          </cell>
          <cell r="J241" t="str">
            <v>Elevator Repairs/Services</v>
          </cell>
          <cell r="K241">
            <v>0</v>
          </cell>
          <cell r="L241">
            <v>0</v>
          </cell>
          <cell r="M241">
            <v>1500</v>
          </cell>
          <cell r="N241">
            <v>0</v>
          </cell>
          <cell r="O241">
            <v>1500</v>
          </cell>
          <cell r="P241">
            <v>0</v>
          </cell>
          <cell r="Q241">
            <v>0</v>
          </cell>
          <cell r="R241" t="str">
            <v>GL 6430 Unanticipated repairs not covered under service agreement as well as overtime costs.</v>
          </cell>
          <cell r="S241" t="str">
            <v/>
          </cell>
          <cell r="T241" t="str">
            <v/>
          </cell>
          <cell r="U241" t="str">
            <v/>
          </cell>
          <cell r="V241" t="str">
            <v/>
          </cell>
          <cell r="W241">
            <v>3000</v>
          </cell>
          <cell r="X241">
            <v>0</v>
          </cell>
          <cell r="Y241" t="str">
            <v>A</v>
          </cell>
          <cell r="Z241" t="str">
            <v>BUY</v>
          </cell>
          <cell r="AA241" t="str">
            <v/>
          </cell>
        </row>
        <row r="242">
          <cell r="A242" t="str">
            <v>A</v>
          </cell>
          <cell r="F242" t="str">
            <v>7462-2</v>
          </cell>
          <cell r="G242" t="str">
            <v>A</v>
          </cell>
          <cell r="H242">
            <v>5</v>
          </cell>
          <cell r="I242" t="str">
            <v>Elevator Repairs/Service</v>
          </cell>
          <cell r="J242" t="str">
            <v>Elevator Repairs/Service</v>
          </cell>
          <cell r="K242">
            <v>0</v>
          </cell>
          <cell r="L242">
            <v>0</v>
          </cell>
          <cell r="M242">
            <v>0</v>
          </cell>
          <cell r="N242">
            <v>0</v>
          </cell>
          <cell r="O242">
            <v>0</v>
          </cell>
          <cell r="P242">
            <v>0</v>
          </cell>
          <cell r="Q242" t="str">
            <v/>
          </cell>
          <cell r="R242" t="str">
            <v/>
          </cell>
          <cell r="S242" t="str">
            <v/>
          </cell>
          <cell r="T242" t="str">
            <v/>
          </cell>
          <cell r="U242" t="str">
            <v/>
          </cell>
          <cell r="V242" t="str">
            <v/>
          </cell>
          <cell r="W242">
            <v>0</v>
          </cell>
          <cell r="X242">
            <v>0</v>
          </cell>
          <cell r="Y242" t="str">
            <v/>
          </cell>
          <cell r="Z242" t="str">
            <v>BUY</v>
          </cell>
          <cell r="AA242" t="str">
            <v/>
          </cell>
        </row>
        <row r="243">
          <cell r="A243" t="str">
            <v>A</v>
          </cell>
          <cell r="F243" t="str">
            <v>7462-3</v>
          </cell>
          <cell r="G243" t="str">
            <v>A</v>
          </cell>
          <cell r="H243">
            <v>5</v>
          </cell>
          <cell r="I243" t="str">
            <v>Elevator Repairs/Service</v>
          </cell>
          <cell r="J243" t="str">
            <v>Elevator Repairs/Service</v>
          </cell>
          <cell r="K243">
            <v>0</v>
          </cell>
          <cell r="L243">
            <v>0</v>
          </cell>
          <cell r="M243">
            <v>0</v>
          </cell>
          <cell r="N243">
            <v>0</v>
          </cell>
          <cell r="O243">
            <v>0</v>
          </cell>
          <cell r="P243">
            <v>0</v>
          </cell>
          <cell r="Q243" t="str">
            <v/>
          </cell>
          <cell r="R243" t="str">
            <v/>
          </cell>
          <cell r="S243" t="str">
            <v/>
          </cell>
          <cell r="T243" t="str">
            <v/>
          </cell>
          <cell r="U243" t="str">
            <v/>
          </cell>
          <cell r="V243" t="str">
            <v/>
          </cell>
          <cell r="W243">
            <v>0</v>
          </cell>
          <cell r="X243">
            <v>0</v>
          </cell>
          <cell r="Y243" t="str">
            <v/>
          </cell>
          <cell r="Z243" t="str">
            <v>BUY</v>
          </cell>
          <cell r="AA243" t="str">
            <v/>
          </cell>
        </row>
        <row r="244">
          <cell r="A244" t="str">
            <v>A</v>
          </cell>
          <cell r="F244" t="str">
            <v>7462-4</v>
          </cell>
          <cell r="G244" t="str">
            <v>A</v>
          </cell>
          <cell r="H244">
            <v>5</v>
          </cell>
          <cell r="I244" t="str">
            <v>Elevator Repairs/Service</v>
          </cell>
          <cell r="J244" t="str">
            <v>Elevator Repairs/Service</v>
          </cell>
          <cell r="K244">
            <v>0</v>
          </cell>
          <cell r="L244">
            <v>0</v>
          </cell>
          <cell r="M244">
            <v>0</v>
          </cell>
          <cell r="N244">
            <v>0</v>
          </cell>
          <cell r="O244">
            <v>0</v>
          </cell>
          <cell r="P244">
            <v>0</v>
          </cell>
          <cell r="Q244" t="str">
            <v/>
          </cell>
          <cell r="R244" t="str">
            <v/>
          </cell>
          <cell r="S244" t="str">
            <v/>
          </cell>
          <cell r="T244" t="str">
            <v/>
          </cell>
          <cell r="U244" t="str">
            <v/>
          </cell>
          <cell r="V244" t="str">
            <v/>
          </cell>
          <cell r="W244">
            <v>0</v>
          </cell>
          <cell r="X244">
            <v>0</v>
          </cell>
          <cell r="Y244" t="str">
            <v/>
          </cell>
          <cell r="Z244" t="str">
            <v>BUY</v>
          </cell>
          <cell r="AA244" t="str">
            <v/>
          </cell>
        </row>
        <row r="245">
          <cell r="A245" t="str">
            <v>A</v>
          </cell>
          <cell r="F245" t="str">
            <v>7462-5</v>
          </cell>
          <cell r="G245" t="str">
            <v>A</v>
          </cell>
          <cell r="H245">
            <v>5</v>
          </cell>
          <cell r="I245" t="str">
            <v>Elevator Repairs/Service</v>
          </cell>
          <cell r="J245" t="str">
            <v>Elevator Repairs/Service</v>
          </cell>
          <cell r="K245">
            <v>0</v>
          </cell>
          <cell r="L245">
            <v>0</v>
          </cell>
          <cell r="M245">
            <v>0</v>
          </cell>
          <cell r="N245">
            <v>0</v>
          </cell>
          <cell r="O245">
            <v>0</v>
          </cell>
          <cell r="P245">
            <v>0</v>
          </cell>
          <cell r="Q245" t="str">
            <v/>
          </cell>
          <cell r="R245" t="str">
            <v/>
          </cell>
          <cell r="S245" t="str">
            <v/>
          </cell>
          <cell r="T245" t="str">
            <v/>
          </cell>
          <cell r="U245" t="str">
            <v/>
          </cell>
          <cell r="V245" t="str">
            <v/>
          </cell>
          <cell r="W245">
            <v>0</v>
          </cell>
          <cell r="X245">
            <v>0</v>
          </cell>
          <cell r="Y245" t="str">
            <v/>
          </cell>
          <cell r="Z245" t="str">
            <v>BUY</v>
          </cell>
          <cell r="AA245" t="str">
            <v/>
          </cell>
        </row>
        <row r="246">
          <cell r="A246" t="str">
            <v>A</v>
          </cell>
          <cell r="F246" t="str">
            <v>7465</v>
          </cell>
          <cell r="G246" t="str">
            <v>A</v>
          </cell>
          <cell r="H246">
            <v>5</v>
          </cell>
          <cell r="I246" t="str">
            <v>Generator Services</v>
          </cell>
          <cell r="J246" t="str">
            <v>Generator Services</v>
          </cell>
          <cell r="K246">
            <v>0</v>
          </cell>
          <cell r="L246">
            <v>0</v>
          </cell>
          <cell r="M246">
            <v>0</v>
          </cell>
          <cell r="N246">
            <v>0</v>
          </cell>
          <cell r="O246">
            <v>0</v>
          </cell>
          <cell r="P246">
            <v>0</v>
          </cell>
          <cell r="Q246" t="str">
            <v/>
          </cell>
          <cell r="R246" t="str">
            <v/>
          </cell>
          <cell r="S246" t="str">
            <v/>
          </cell>
          <cell r="T246" t="str">
            <v/>
          </cell>
          <cell r="U246" t="str">
            <v/>
          </cell>
          <cell r="V246" t="str">
            <v/>
          </cell>
          <cell r="W246">
            <v>0</v>
          </cell>
          <cell r="X246">
            <v>0</v>
          </cell>
          <cell r="Y246" t="str">
            <v/>
          </cell>
          <cell r="Z246" t="str">
            <v>BUY</v>
          </cell>
          <cell r="AA246" t="str">
            <v/>
          </cell>
        </row>
        <row r="247">
          <cell r="A247" t="str">
            <v>A</v>
          </cell>
          <cell r="F247" t="str">
            <v>7470</v>
          </cell>
          <cell r="G247" t="str">
            <v>A</v>
          </cell>
          <cell r="H247">
            <v>5</v>
          </cell>
          <cell r="I247" t="str">
            <v>Security Services</v>
          </cell>
          <cell r="J247" t="str">
            <v>Security Services</v>
          </cell>
          <cell r="K247">
            <v>0</v>
          </cell>
          <cell r="L247">
            <v>0</v>
          </cell>
          <cell r="M247">
            <v>0</v>
          </cell>
          <cell r="N247">
            <v>0</v>
          </cell>
          <cell r="O247">
            <v>0</v>
          </cell>
          <cell r="P247">
            <v>0</v>
          </cell>
          <cell r="Q247" t="str">
            <v/>
          </cell>
          <cell r="R247" t="str">
            <v/>
          </cell>
          <cell r="S247" t="str">
            <v/>
          </cell>
          <cell r="T247" t="str">
            <v/>
          </cell>
          <cell r="U247" t="str">
            <v/>
          </cell>
          <cell r="V247" t="str">
            <v/>
          </cell>
          <cell r="W247">
            <v>0</v>
          </cell>
          <cell r="X247">
            <v>0</v>
          </cell>
          <cell r="Y247" t="str">
            <v/>
          </cell>
          <cell r="Z247" t="str">
            <v>BUY</v>
          </cell>
          <cell r="AA247" t="str">
            <v/>
          </cell>
        </row>
        <row r="248">
          <cell r="A248" t="str">
            <v>A</v>
          </cell>
          <cell r="F248" t="str">
            <v>7470-5</v>
          </cell>
          <cell r="G248" t="str">
            <v>A</v>
          </cell>
          <cell r="H248">
            <v>5</v>
          </cell>
          <cell r="I248" t="str">
            <v>Security Svc Reimb</v>
          </cell>
          <cell r="J248" t="str">
            <v>Security Svc Reimb</v>
          </cell>
          <cell r="K248">
            <v>0</v>
          </cell>
          <cell r="L248">
            <v>0</v>
          </cell>
          <cell r="M248">
            <v>0</v>
          </cell>
          <cell r="N248">
            <v>0</v>
          </cell>
          <cell r="O248">
            <v>0</v>
          </cell>
          <cell r="P248">
            <v>0</v>
          </cell>
          <cell r="Q248" t="str">
            <v/>
          </cell>
          <cell r="R248" t="str">
            <v/>
          </cell>
          <cell r="S248" t="str">
            <v/>
          </cell>
          <cell r="T248" t="str">
            <v/>
          </cell>
          <cell r="U248" t="str">
            <v/>
          </cell>
          <cell r="V248" t="str">
            <v/>
          </cell>
          <cell r="W248">
            <v>0</v>
          </cell>
          <cell r="X248">
            <v>0</v>
          </cell>
          <cell r="Y248" t="str">
            <v/>
          </cell>
          <cell r="Z248" t="str">
            <v>BUY</v>
          </cell>
          <cell r="AA248" t="str">
            <v/>
          </cell>
        </row>
        <row r="249">
          <cell r="A249" t="str">
            <v>A</v>
          </cell>
          <cell r="F249" t="str">
            <v>7471</v>
          </cell>
          <cell r="G249" t="str">
            <v>A</v>
          </cell>
          <cell r="H249">
            <v>5</v>
          </cell>
          <cell r="I249" t="str">
            <v>Security Telephone</v>
          </cell>
          <cell r="J249" t="str">
            <v>Security Telephone</v>
          </cell>
          <cell r="K249">
            <v>0</v>
          </cell>
          <cell r="L249">
            <v>0</v>
          </cell>
          <cell r="M249">
            <v>2876</v>
          </cell>
          <cell r="N249">
            <v>0</v>
          </cell>
          <cell r="O249">
            <v>0</v>
          </cell>
          <cell r="P249">
            <v>-2876</v>
          </cell>
          <cell r="Q249">
            <v>-1</v>
          </cell>
          <cell r="R249" t="str">
            <v xml:space="preserve">GL 5023 Radios-No funds budgeted in 2010. </v>
          </cell>
          <cell r="S249" t="str">
            <v/>
          </cell>
          <cell r="T249" t="str">
            <v/>
          </cell>
          <cell r="U249" t="str">
            <v/>
          </cell>
          <cell r="V249" t="str">
            <v/>
          </cell>
          <cell r="W249">
            <v>2876</v>
          </cell>
          <cell r="X249">
            <v>0</v>
          </cell>
          <cell r="Y249" t="str">
            <v>A</v>
          </cell>
          <cell r="Z249" t="str">
            <v>BUY</v>
          </cell>
          <cell r="AA249" t="str">
            <v/>
          </cell>
        </row>
        <row r="250">
          <cell r="A250" t="str">
            <v>A</v>
          </cell>
          <cell r="F250" t="str">
            <v>7471-2</v>
          </cell>
          <cell r="G250" t="str">
            <v>A</v>
          </cell>
          <cell r="H250">
            <v>5</v>
          </cell>
          <cell r="I250" t="str">
            <v>Security, Telephone</v>
          </cell>
          <cell r="J250" t="str">
            <v>Security, Telephone</v>
          </cell>
          <cell r="K250">
            <v>0</v>
          </cell>
          <cell r="L250">
            <v>0</v>
          </cell>
          <cell r="M250">
            <v>0</v>
          </cell>
          <cell r="N250">
            <v>0</v>
          </cell>
          <cell r="O250">
            <v>0</v>
          </cell>
          <cell r="P250">
            <v>0</v>
          </cell>
          <cell r="Q250" t="str">
            <v/>
          </cell>
          <cell r="R250" t="str">
            <v/>
          </cell>
          <cell r="S250" t="str">
            <v/>
          </cell>
          <cell r="T250" t="str">
            <v/>
          </cell>
          <cell r="U250" t="str">
            <v/>
          </cell>
          <cell r="V250" t="str">
            <v/>
          </cell>
          <cell r="W250">
            <v>0</v>
          </cell>
          <cell r="X250">
            <v>0</v>
          </cell>
          <cell r="Y250" t="str">
            <v/>
          </cell>
          <cell r="Z250" t="str">
            <v>BUY</v>
          </cell>
          <cell r="AA250" t="str">
            <v/>
          </cell>
        </row>
        <row r="251">
          <cell r="A251" t="str">
            <v>A</v>
          </cell>
          <cell r="F251" t="str">
            <v>7471-3</v>
          </cell>
          <cell r="G251" t="str">
            <v>A</v>
          </cell>
          <cell r="H251">
            <v>5</v>
          </cell>
          <cell r="I251" t="str">
            <v>Security, Telephone</v>
          </cell>
          <cell r="J251" t="str">
            <v>Security, Telephone</v>
          </cell>
          <cell r="K251">
            <v>0</v>
          </cell>
          <cell r="L251">
            <v>0</v>
          </cell>
          <cell r="M251">
            <v>0</v>
          </cell>
          <cell r="N251">
            <v>0</v>
          </cell>
          <cell r="O251">
            <v>0</v>
          </cell>
          <cell r="P251">
            <v>0</v>
          </cell>
          <cell r="Q251" t="str">
            <v/>
          </cell>
          <cell r="R251" t="str">
            <v/>
          </cell>
          <cell r="S251" t="str">
            <v/>
          </cell>
          <cell r="T251" t="str">
            <v/>
          </cell>
          <cell r="U251" t="str">
            <v/>
          </cell>
          <cell r="V251" t="str">
            <v/>
          </cell>
          <cell r="W251">
            <v>0</v>
          </cell>
          <cell r="X251">
            <v>0</v>
          </cell>
          <cell r="Y251" t="str">
            <v/>
          </cell>
          <cell r="Z251" t="str">
            <v>BUY</v>
          </cell>
          <cell r="AA251" t="str">
            <v/>
          </cell>
        </row>
        <row r="252">
          <cell r="A252" t="str">
            <v>A</v>
          </cell>
          <cell r="F252" t="str">
            <v>7471-4</v>
          </cell>
          <cell r="G252" t="str">
            <v>A</v>
          </cell>
          <cell r="H252">
            <v>5</v>
          </cell>
          <cell r="I252" t="str">
            <v>Security, Telephone</v>
          </cell>
          <cell r="J252" t="str">
            <v>Security, Telephone</v>
          </cell>
          <cell r="K252">
            <v>0</v>
          </cell>
          <cell r="L252">
            <v>0</v>
          </cell>
          <cell r="M252">
            <v>0</v>
          </cell>
          <cell r="N252">
            <v>0</v>
          </cell>
          <cell r="O252">
            <v>0</v>
          </cell>
          <cell r="P252">
            <v>0</v>
          </cell>
          <cell r="Q252" t="str">
            <v/>
          </cell>
          <cell r="R252" t="str">
            <v/>
          </cell>
          <cell r="S252" t="str">
            <v/>
          </cell>
          <cell r="T252" t="str">
            <v/>
          </cell>
          <cell r="U252" t="str">
            <v/>
          </cell>
          <cell r="V252" t="str">
            <v/>
          </cell>
          <cell r="W252">
            <v>0</v>
          </cell>
          <cell r="X252">
            <v>0</v>
          </cell>
          <cell r="Y252" t="str">
            <v/>
          </cell>
          <cell r="Z252" t="str">
            <v>BUY</v>
          </cell>
          <cell r="AA252" t="str">
            <v/>
          </cell>
        </row>
        <row r="253">
          <cell r="A253" t="str">
            <v>A</v>
          </cell>
          <cell r="F253" t="str">
            <v>7471-5</v>
          </cell>
          <cell r="G253" t="str">
            <v>A</v>
          </cell>
          <cell r="H253">
            <v>5</v>
          </cell>
          <cell r="I253" t="str">
            <v>Security, Telephone</v>
          </cell>
          <cell r="J253" t="str">
            <v>Security, Telephone</v>
          </cell>
          <cell r="K253">
            <v>0</v>
          </cell>
          <cell r="L253">
            <v>0</v>
          </cell>
          <cell r="M253">
            <v>0</v>
          </cell>
          <cell r="N253">
            <v>0</v>
          </cell>
          <cell r="O253">
            <v>0</v>
          </cell>
          <cell r="P253">
            <v>0</v>
          </cell>
          <cell r="Q253" t="str">
            <v/>
          </cell>
          <cell r="R253" t="str">
            <v/>
          </cell>
          <cell r="S253" t="str">
            <v/>
          </cell>
          <cell r="T253" t="str">
            <v/>
          </cell>
          <cell r="U253" t="str">
            <v/>
          </cell>
          <cell r="V253" t="str">
            <v/>
          </cell>
          <cell r="W253">
            <v>0</v>
          </cell>
          <cell r="X253">
            <v>0</v>
          </cell>
          <cell r="Y253" t="str">
            <v/>
          </cell>
          <cell r="Z253" t="str">
            <v>BUY</v>
          </cell>
          <cell r="AA253" t="str">
            <v/>
          </cell>
        </row>
        <row r="254">
          <cell r="A254" t="str">
            <v>A</v>
          </cell>
          <cell r="F254" t="str">
            <v>7475</v>
          </cell>
          <cell r="G254" t="str">
            <v>A</v>
          </cell>
          <cell r="H254">
            <v>5</v>
          </cell>
          <cell r="I254" t="str">
            <v>All Uniform Expenses</v>
          </cell>
          <cell r="J254" t="str">
            <v>All Uniform Expenses</v>
          </cell>
          <cell r="K254">
            <v>0</v>
          </cell>
          <cell r="L254">
            <v>0</v>
          </cell>
          <cell r="M254">
            <v>4353</v>
          </cell>
          <cell r="N254">
            <v>3359</v>
          </cell>
          <cell r="O254">
            <v>4977</v>
          </cell>
          <cell r="P254">
            <v>624</v>
          </cell>
          <cell r="Q254">
            <v>0.14334941419710545</v>
          </cell>
          <cell r="R254" t="str">
            <v>GL 6023 Maintenance:  3 sets of uniforms @$38.01 x 52 weeks = $1976.52. Doorman received new uniforms in 2009. Cleaning will be $200 per month for 4 full time staff.</v>
          </cell>
          <cell r="S254" t="str">
            <v>Lechner and Sons</v>
          </cell>
          <cell r="W254">
            <v>12689</v>
          </cell>
          <cell r="X254">
            <v>0</v>
          </cell>
          <cell r="Y254" t="str">
            <v>A</v>
          </cell>
          <cell r="Z254" t="str">
            <v>BUY</v>
          </cell>
          <cell r="AA254" t="str">
            <v/>
          </cell>
        </row>
        <row r="255">
          <cell r="A255" t="str">
            <v>A</v>
          </cell>
          <cell r="F255" t="str">
            <v>7476</v>
          </cell>
          <cell r="G255" t="str">
            <v>A</v>
          </cell>
          <cell r="H255">
            <v>5</v>
          </cell>
          <cell r="I255" t="str">
            <v>Uniform Purchases</v>
          </cell>
          <cell r="J255" t="str">
            <v>Uniform Purchases</v>
          </cell>
          <cell r="K255">
            <v>0</v>
          </cell>
          <cell r="L255">
            <v>0</v>
          </cell>
          <cell r="M255">
            <v>4985</v>
          </cell>
          <cell r="N255">
            <v>1115</v>
          </cell>
          <cell r="O255">
            <v>0</v>
          </cell>
          <cell r="P255">
            <v>-4985</v>
          </cell>
          <cell r="Q255">
            <v>-1</v>
          </cell>
          <cell r="R255" t="str">
            <v>GL 5560 No funds budgeted for  2010</v>
          </cell>
          <cell r="S255" t="str">
            <v/>
          </cell>
          <cell r="T255" t="str">
            <v/>
          </cell>
          <cell r="U255" t="str">
            <v/>
          </cell>
          <cell r="V255" t="str">
            <v/>
          </cell>
          <cell r="W255">
            <v>6100</v>
          </cell>
          <cell r="X255">
            <v>0</v>
          </cell>
          <cell r="Y255" t="str">
            <v>A</v>
          </cell>
          <cell r="Z255" t="str">
            <v>BUY</v>
          </cell>
          <cell r="AA255" t="str">
            <v/>
          </cell>
        </row>
        <row r="256">
          <cell r="A256" t="str">
            <v>A</v>
          </cell>
          <cell r="F256" t="str">
            <v>7480</v>
          </cell>
          <cell r="G256" t="str">
            <v>A</v>
          </cell>
          <cell r="H256">
            <v>5</v>
          </cell>
          <cell r="I256" t="str">
            <v>Trash Chute Cleaning</v>
          </cell>
          <cell r="J256" t="str">
            <v>Maintenance Services</v>
          </cell>
          <cell r="K256">
            <v>0</v>
          </cell>
          <cell r="L256">
            <v>0</v>
          </cell>
          <cell r="M256">
            <v>2520</v>
          </cell>
          <cell r="N256">
            <v>2396</v>
          </cell>
          <cell r="O256">
            <v>2592</v>
          </cell>
          <cell r="P256">
            <v>72</v>
          </cell>
          <cell r="Q256">
            <v>2.857142857142847E-2</v>
          </cell>
          <cell r="R256" t="str">
            <v>GL 6641 Trash chute cleaning $92.50 x 12 months = $1,110, Ecolo Odor control system $117.50 x 12 months= $1,410 TOTAL =$2,520</v>
          </cell>
          <cell r="S256" t="str">
            <v>Nu-Recycling</v>
          </cell>
          <cell r="T256">
            <v>37595</v>
          </cell>
          <cell r="U256">
            <v>40882</v>
          </cell>
          <cell r="V256" t="str">
            <v>$92.50 /mo</v>
          </cell>
          <cell r="W256">
            <v>7508</v>
          </cell>
          <cell r="X256">
            <v>0</v>
          </cell>
          <cell r="Y256" t="str">
            <v>A</v>
          </cell>
          <cell r="Z256" t="str">
            <v>BUY</v>
          </cell>
          <cell r="AA256" t="str">
            <v/>
          </cell>
        </row>
        <row r="257">
          <cell r="A257" t="str">
            <v>A</v>
          </cell>
          <cell r="F257" t="str">
            <v>7480-5</v>
          </cell>
          <cell r="G257" t="str">
            <v>A</v>
          </cell>
          <cell r="H257">
            <v>5</v>
          </cell>
          <cell r="I257" t="str">
            <v>Maintenance Service Reimb</v>
          </cell>
          <cell r="J257" t="str">
            <v>Maintenance Service Reimb</v>
          </cell>
          <cell r="K257">
            <v>0</v>
          </cell>
          <cell r="L257">
            <v>0</v>
          </cell>
          <cell r="M257">
            <v>0</v>
          </cell>
          <cell r="N257">
            <v>0</v>
          </cell>
          <cell r="O257">
            <v>0</v>
          </cell>
          <cell r="P257">
            <v>0</v>
          </cell>
          <cell r="Q257" t="str">
            <v/>
          </cell>
          <cell r="R257" t="str">
            <v/>
          </cell>
          <cell r="S257" t="str">
            <v/>
          </cell>
          <cell r="T257" t="str">
            <v/>
          </cell>
          <cell r="U257" t="str">
            <v/>
          </cell>
          <cell r="V257" t="str">
            <v/>
          </cell>
          <cell r="W257">
            <v>0</v>
          </cell>
          <cell r="X257">
            <v>0</v>
          </cell>
          <cell r="Y257" t="str">
            <v/>
          </cell>
          <cell r="Z257" t="str">
            <v>BUY</v>
          </cell>
          <cell r="AA257" t="str">
            <v/>
          </cell>
        </row>
        <row r="258">
          <cell r="A258" t="str">
            <v>A</v>
          </cell>
          <cell r="F258" t="str">
            <v>7481</v>
          </cell>
          <cell r="G258" t="str">
            <v>A</v>
          </cell>
          <cell r="H258">
            <v>5</v>
          </cell>
          <cell r="I258" t="str">
            <v>Water Softner Contract</v>
          </cell>
          <cell r="J258" t="str">
            <v>Water Softner Contract</v>
          </cell>
          <cell r="K258">
            <v>0</v>
          </cell>
          <cell r="L258">
            <v>0</v>
          </cell>
          <cell r="M258">
            <v>0</v>
          </cell>
          <cell r="N258">
            <v>0</v>
          </cell>
          <cell r="O258">
            <v>0</v>
          </cell>
          <cell r="P258">
            <v>0</v>
          </cell>
          <cell r="Q258" t="str">
            <v/>
          </cell>
          <cell r="R258" t="str">
            <v/>
          </cell>
          <cell r="S258" t="str">
            <v/>
          </cell>
          <cell r="T258" t="str">
            <v/>
          </cell>
          <cell r="U258" t="str">
            <v/>
          </cell>
          <cell r="V258" t="str">
            <v/>
          </cell>
          <cell r="W258">
            <v>0</v>
          </cell>
          <cell r="X258">
            <v>0</v>
          </cell>
          <cell r="Y258" t="str">
            <v/>
          </cell>
          <cell r="Z258" t="str">
            <v>BUY</v>
          </cell>
          <cell r="AA258" t="str">
            <v/>
          </cell>
        </row>
        <row r="259">
          <cell r="A259" t="str">
            <v>A</v>
          </cell>
          <cell r="F259" t="str">
            <v>7482</v>
          </cell>
          <cell r="G259" t="str">
            <v>A</v>
          </cell>
          <cell r="H259">
            <v>5</v>
          </cell>
          <cell r="I259" t="str">
            <v>Water Softner Salt</v>
          </cell>
          <cell r="J259" t="str">
            <v>Water Softner Salt</v>
          </cell>
          <cell r="K259">
            <v>0</v>
          </cell>
          <cell r="L259">
            <v>0</v>
          </cell>
          <cell r="M259">
            <v>0</v>
          </cell>
          <cell r="N259">
            <v>0</v>
          </cell>
          <cell r="O259">
            <v>0</v>
          </cell>
          <cell r="P259">
            <v>0</v>
          </cell>
          <cell r="Q259" t="str">
            <v/>
          </cell>
          <cell r="R259" t="str">
            <v/>
          </cell>
          <cell r="S259" t="str">
            <v/>
          </cell>
          <cell r="T259" t="str">
            <v/>
          </cell>
          <cell r="U259" t="str">
            <v/>
          </cell>
          <cell r="V259" t="str">
            <v/>
          </cell>
          <cell r="W259">
            <v>0</v>
          </cell>
          <cell r="X259">
            <v>0</v>
          </cell>
          <cell r="Y259" t="str">
            <v/>
          </cell>
          <cell r="Z259" t="str">
            <v>BUY</v>
          </cell>
          <cell r="AA259" t="str">
            <v/>
          </cell>
        </row>
        <row r="260">
          <cell r="A260" t="str">
            <v>A</v>
          </cell>
          <cell r="F260" t="str">
            <v>7483</v>
          </cell>
          <cell r="G260" t="str">
            <v>A</v>
          </cell>
          <cell r="H260">
            <v>5</v>
          </cell>
          <cell r="I260" t="str">
            <v>Water Softner Repairs</v>
          </cell>
          <cell r="J260" t="str">
            <v>Water Softner Repairs</v>
          </cell>
          <cell r="K260">
            <v>0</v>
          </cell>
          <cell r="L260">
            <v>0</v>
          </cell>
          <cell r="M260">
            <v>0</v>
          </cell>
          <cell r="N260">
            <v>0</v>
          </cell>
          <cell r="O260">
            <v>0</v>
          </cell>
          <cell r="P260">
            <v>0</v>
          </cell>
          <cell r="Q260" t="str">
            <v/>
          </cell>
          <cell r="R260" t="str">
            <v/>
          </cell>
          <cell r="S260" t="str">
            <v/>
          </cell>
          <cell r="T260" t="str">
            <v/>
          </cell>
          <cell r="U260" t="str">
            <v/>
          </cell>
          <cell r="V260" t="str">
            <v/>
          </cell>
          <cell r="W260">
            <v>0</v>
          </cell>
          <cell r="X260">
            <v>0</v>
          </cell>
          <cell r="Y260" t="str">
            <v/>
          </cell>
          <cell r="Z260" t="str">
            <v>BUY</v>
          </cell>
          <cell r="AA260" t="str">
            <v/>
          </cell>
        </row>
        <row r="261">
          <cell r="A261" t="str">
            <v>A</v>
          </cell>
          <cell r="F261" t="str">
            <v>7485</v>
          </cell>
          <cell r="G261" t="str">
            <v>A</v>
          </cell>
          <cell r="H261">
            <v>5</v>
          </cell>
          <cell r="I261" t="str">
            <v>Laundry Room Expense</v>
          </cell>
          <cell r="J261" t="str">
            <v>Laundry Room Expense</v>
          </cell>
          <cell r="K261">
            <v>0</v>
          </cell>
          <cell r="L261">
            <v>0</v>
          </cell>
          <cell r="M261">
            <v>0</v>
          </cell>
          <cell r="N261">
            <v>0</v>
          </cell>
          <cell r="O261">
            <v>0</v>
          </cell>
          <cell r="P261">
            <v>0</v>
          </cell>
          <cell r="Q261" t="str">
            <v/>
          </cell>
          <cell r="R261" t="str">
            <v/>
          </cell>
          <cell r="S261" t="str">
            <v/>
          </cell>
          <cell r="T261" t="str">
            <v/>
          </cell>
          <cell r="U261" t="str">
            <v/>
          </cell>
          <cell r="V261" t="str">
            <v/>
          </cell>
          <cell r="W261">
            <v>0</v>
          </cell>
          <cell r="X261">
            <v>0</v>
          </cell>
          <cell r="Y261" t="str">
            <v/>
          </cell>
          <cell r="Z261" t="str">
            <v>BUY</v>
          </cell>
          <cell r="AA261" t="str">
            <v/>
          </cell>
        </row>
        <row r="262">
          <cell r="A262" t="str">
            <v>A</v>
          </cell>
          <cell r="F262" t="str">
            <v>7490</v>
          </cell>
          <cell r="G262" t="str">
            <v>A</v>
          </cell>
          <cell r="H262">
            <v>5</v>
          </cell>
          <cell r="I262" t="str">
            <v>Appliance Contract</v>
          </cell>
          <cell r="J262" t="str">
            <v>Appliance Contract</v>
          </cell>
          <cell r="K262">
            <v>0</v>
          </cell>
          <cell r="L262">
            <v>0</v>
          </cell>
          <cell r="M262">
            <v>0</v>
          </cell>
          <cell r="N262">
            <v>0</v>
          </cell>
          <cell r="O262">
            <v>0</v>
          </cell>
          <cell r="P262">
            <v>0</v>
          </cell>
          <cell r="Q262" t="str">
            <v/>
          </cell>
          <cell r="R262" t="str">
            <v/>
          </cell>
          <cell r="S262" t="str">
            <v/>
          </cell>
          <cell r="T262" t="str">
            <v/>
          </cell>
          <cell r="U262" t="str">
            <v/>
          </cell>
          <cell r="V262" t="str">
            <v/>
          </cell>
          <cell r="W262">
            <v>0</v>
          </cell>
          <cell r="X262">
            <v>0</v>
          </cell>
          <cell r="Y262" t="str">
            <v/>
          </cell>
          <cell r="Z262" t="str">
            <v>BUY</v>
          </cell>
          <cell r="AA262" t="str">
            <v/>
          </cell>
        </row>
        <row r="263">
          <cell r="A263" t="str">
            <v>A</v>
          </cell>
          <cell r="F263" t="str">
            <v>7493</v>
          </cell>
          <cell r="G263" t="str">
            <v>A</v>
          </cell>
          <cell r="H263">
            <v>5</v>
          </cell>
          <cell r="I263" t="str">
            <v>Garage Mgmt Fees</v>
          </cell>
          <cell r="J263" t="str">
            <v>Garage Mgmt Fees</v>
          </cell>
          <cell r="K263">
            <v>0</v>
          </cell>
          <cell r="L263">
            <v>0</v>
          </cell>
          <cell r="M263">
            <v>0</v>
          </cell>
          <cell r="N263">
            <v>0</v>
          </cell>
          <cell r="O263">
            <v>0</v>
          </cell>
          <cell r="P263">
            <v>0</v>
          </cell>
          <cell r="Q263" t="str">
            <v/>
          </cell>
          <cell r="R263" t="str">
            <v/>
          </cell>
          <cell r="S263" t="str">
            <v/>
          </cell>
          <cell r="T263" t="str">
            <v/>
          </cell>
          <cell r="U263" t="str">
            <v/>
          </cell>
          <cell r="V263" t="str">
            <v/>
          </cell>
          <cell r="W263">
            <v>0</v>
          </cell>
          <cell r="X263">
            <v>0</v>
          </cell>
          <cell r="Y263" t="str">
            <v/>
          </cell>
          <cell r="Z263" t="str">
            <v>BUY</v>
          </cell>
          <cell r="AA263" t="str">
            <v/>
          </cell>
        </row>
        <row r="264">
          <cell r="A264" t="str">
            <v>A</v>
          </cell>
          <cell r="F264" t="str">
            <v>7495</v>
          </cell>
          <cell r="G264" t="str">
            <v>A</v>
          </cell>
          <cell r="H264">
            <v>5</v>
          </cell>
          <cell r="I264" t="str">
            <v>Other Building Services</v>
          </cell>
          <cell r="J264" t="str">
            <v>Other Building Services</v>
          </cell>
          <cell r="K264">
            <v>0</v>
          </cell>
          <cell r="L264">
            <v>0</v>
          </cell>
          <cell r="M264">
            <v>0</v>
          </cell>
          <cell r="N264">
            <v>0</v>
          </cell>
          <cell r="O264">
            <v>0</v>
          </cell>
          <cell r="P264">
            <v>0</v>
          </cell>
          <cell r="Q264" t="str">
            <v/>
          </cell>
          <cell r="R264" t="str">
            <v/>
          </cell>
          <cell r="S264" t="str">
            <v/>
          </cell>
          <cell r="T264" t="str">
            <v/>
          </cell>
          <cell r="U264" t="str">
            <v/>
          </cell>
          <cell r="V264" t="str">
            <v/>
          </cell>
          <cell r="W264">
            <v>0</v>
          </cell>
          <cell r="X264">
            <v>0</v>
          </cell>
          <cell r="Y264" t="str">
            <v/>
          </cell>
          <cell r="Z264" t="str">
            <v>BUY</v>
          </cell>
          <cell r="AA264" t="str">
            <v/>
          </cell>
        </row>
        <row r="265">
          <cell r="A265" t="str">
            <v>A</v>
          </cell>
          <cell r="F265" t="str">
            <v>7499</v>
          </cell>
          <cell r="G265" t="str">
            <v>A</v>
          </cell>
          <cell r="H265">
            <v>5</v>
          </cell>
          <cell r="I265" t="str">
            <v>Depreciation Expense</v>
          </cell>
          <cell r="J265" t="str">
            <v>Depreciation Expense</v>
          </cell>
          <cell r="K265">
            <v>0</v>
          </cell>
          <cell r="L265">
            <v>0</v>
          </cell>
          <cell r="M265">
            <v>0</v>
          </cell>
          <cell r="N265">
            <v>0</v>
          </cell>
          <cell r="O265">
            <v>0</v>
          </cell>
          <cell r="P265">
            <v>0</v>
          </cell>
          <cell r="Q265" t="str">
            <v/>
          </cell>
          <cell r="R265" t="str">
            <v/>
          </cell>
          <cell r="S265" t="str">
            <v/>
          </cell>
          <cell r="T265" t="str">
            <v/>
          </cell>
          <cell r="U265" t="str">
            <v/>
          </cell>
          <cell r="V265" t="str">
            <v/>
          </cell>
          <cell r="W265">
            <v>0</v>
          </cell>
          <cell r="X265">
            <v>0</v>
          </cell>
          <cell r="Y265" t="str">
            <v/>
          </cell>
          <cell r="Z265" t="str">
            <v>BUY</v>
          </cell>
          <cell r="AA265" t="str">
            <v/>
          </cell>
        </row>
        <row r="266">
          <cell r="A266" t="str">
            <v>A</v>
          </cell>
          <cell r="F266" t="str">
            <v>7600</v>
          </cell>
          <cell r="G266" t="str">
            <v>A</v>
          </cell>
          <cell r="H266">
            <v>6</v>
          </cell>
          <cell r="I266" t="str">
            <v>Building Repair Maint</v>
          </cell>
          <cell r="J266" t="str">
            <v>Building Repair Maint</v>
          </cell>
          <cell r="K266">
            <v>0</v>
          </cell>
          <cell r="L266">
            <v>0</v>
          </cell>
          <cell r="M266">
            <v>0</v>
          </cell>
          <cell r="N266">
            <v>0</v>
          </cell>
          <cell r="O266">
            <v>0</v>
          </cell>
          <cell r="P266">
            <v>0</v>
          </cell>
          <cell r="Q266" t="str">
            <v/>
          </cell>
          <cell r="R266" t="str">
            <v/>
          </cell>
          <cell r="S266" t="str">
            <v/>
          </cell>
          <cell r="T266" t="str">
            <v/>
          </cell>
          <cell r="U266" t="str">
            <v/>
          </cell>
          <cell r="V266" t="str">
            <v/>
          </cell>
          <cell r="W266">
            <v>0</v>
          </cell>
          <cell r="X266">
            <v>0</v>
          </cell>
          <cell r="Y266" t="str">
            <v/>
          </cell>
          <cell r="Z266" t="str">
            <v>BUY</v>
          </cell>
          <cell r="AA266" t="str">
            <v/>
          </cell>
        </row>
        <row r="267">
          <cell r="A267" t="str">
            <v>A</v>
          </cell>
          <cell r="F267" t="str">
            <v>7605</v>
          </cell>
          <cell r="G267" t="str">
            <v>A</v>
          </cell>
          <cell r="H267">
            <v>6</v>
          </cell>
          <cell r="I267" t="str">
            <v>All Building Repairs</v>
          </cell>
          <cell r="J267" t="str">
            <v>All Building Repairs</v>
          </cell>
          <cell r="K267">
            <v>0</v>
          </cell>
          <cell r="L267">
            <v>0</v>
          </cell>
          <cell r="M267">
            <v>2000</v>
          </cell>
          <cell r="N267">
            <v>9854</v>
          </cell>
          <cell r="O267">
            <v>4000</v>
          </cell>
          <cell r="P267">
            <v>2000</v>
          </cell>
          <cell r="Q267">
            <v>1</v>
          </cell>
          <cell r="R267" t="str">
            <v>GL 6360 To cover the cost of unbudgeted items (i.e. gas for snow blowers, extra chairs, bike tags, etc) 2009 included power washing driveway, repairs to tailors.</v>
          </cell>
          <cell r="S267" t="str">
            <v/>
          </cell>
          <cell r="T267" t="str">
            <v/>
          </cell>
          <cell r="U267" t="str">
            <v/>
          </cell>
          <cell r="V267" t="str">
            <v/>
          </cell>
          <cell r="W267">
            <v>15854</v>
          </cell>
          <cell r="X267">
            <v>0</v>
          </cell>
          <cell r="Y267" t="str">
            <v>A</v>
          </cell>
          <cell r="Z267" t="str">
            <v>BUY</v>
          </cell>
          <cell r="AA267" t="str">
            <v/>
          </cell>
        </row>
        <row r="268">
          <cell r="A268" t="str">
            <v>A</v>
          </cell>
          <cell r="F268" t="str">
            <v>7605-1</v>
          </cell>
          <cell r="G268" t="str">
            <v>A</v>
          </cell>
          <cell r="H268">
            <v>6</v>
          </cell>
          <cell r="I268" t="str">
            <v>All Building Repairs</v>
          </cell>
          <cell r="J268" t="str">
            <v>All Building Repairs</v>
          </cell>
          <cell r="K268">
            <v>0</v>
          </cell>
          <cell r="L268">
            <v>0</v>
          </cell>
          <cell r="M268">
            <v>0</v>
          </cell>
          <cell r="N268">
            <v>0</v>
          </cell>
          <cell r="O268">
            <v>0</v>
          </cell>
          <cell r="P268">
            <v>0</v>
          </cell>
          <cell r="Q268" t="str">
            <v/>
          </cell>
          <cell r="R268" t="str">
            <v/>
          </cell>
          <cell r="S268" t="str">
            <v/>
          </cell>
          <cell r="T268" t="str">
            <v/>
          </cell>
          <cell r="U268" t="str">
            <v/>
          </cell>
          <cell r="V268" t="str">
            <v/>
          </cell>
          <cell r="W268">
            <v>0</v>
          </cell>
          <cell r="X268">
            <v>0</v>
          </cell>
          <cell r="Y268" t="str">
            <v/>
          </cell>
          <cell r="Z268" t="str">
            <v>BUY</v>
          </cell>
          <cell r="AA268" t="str">
            <v/>
          </cell>
        </row>
        <row r="269">
          <cell r="A269" t="str">
            <v>A</v>
          </cell>
          <cell r="F269" t="str">
            <v>7605-2</v>
          </cell>
          <cell r="G269" t="str">
            <v>A</v>
          </cell>
          <cell r="H269">
            <v>6</v>
          </cell>
          <cell r="I269" t="str">
            <v>All Building Repairs</v>
          </cell>
          <cell r="J269" t="str">
            <v>All Building Repairs</v>
          </cell>
          <cell r="K269">
            <v>0</v>
          </cell>
          <cell r="L269">
            <v>0</v>
          </cell>
          <cell r="M269">
            <v>0</v>
          </cell>
          <cell r="N269">
            <v>0</v>
          </cell>
          <cell r="O269">
            <v>0</v>
          </cell>
          <cell r="P269">
            <v>0</v>
          </cell>
          <cell r="Q269" t="str">
            <v/>
          </cell>
          <cell r="R269" t="str">
            <v/>
          </cell>
          <cell r="S269" t="str">
            <v/>
          </cell>
          <cell r="T269" t="str">
            <v/>
          </cell>
          <cell r="U269" t="str">
            <v/>
          </cell>
          <cell r="V269" t="str">
            <v/>
          </cell>
          <cell r="W269">
            <v>0</v>
          </cell>
          <cell r="X269">
            <v>0</v>
          </cell>
          <cell r="Y269" t="str">
            <v/>
          </cell>
          <cell r="Z269" t="str">
            <v>BUY</v>
          </cell>
          <cell r="AA269" t="str">
            <v/>
          </cell>
        </row>
        <row r="270">
          <cell r="A270" t="str">
            <v>A</v>
          </cell>
          <cell r="F270" t="str">
            <v>7605-3</v>
          </cell>
          <cell r="G270" t="str">
            <v>A</v>
          </cell>
          <cell r="H270">
            <v>6</v>
          </cell>
          <cell r="I270" t="str">
            <v>All Building Repairs</v>
          </cell>
          <cell r="J270" t="str">
            <v>All Building Repairs</v>
          </cell>
          <cell r="K270">
            <v>0</v>
          </cell>
          <cell r="L270">
            <v>0</v>
          </cell>
          <cell r="M270">
            <v>0</v>
          </cell>
          <cell r="N270">
            <v>0</v>
          </cell>
          <cell r="O270">
            <v>0</v>
          </cell>
          <cell r="P270">
            <v>0</v>
          </cell>
          <cell r="Q270" t="str">
            <v/>
          </cell>
          <cell r="R270" t="str">
            <v/>
          </cell>
          <cell r="S270" t="str">
            <v/>
          </cell>
          <cell r="T270" t="str">
            <v/>
          </cell>
          <cell r="U270" t="str">
            <v/>
          </cell>
          <cell r="V270" t="str">
            <v/>
          </cell>
          <cell r="W270">
            <v>0</v>
          </cell>
          <cell r="X270">
            <v>0</v>
          </cell>
          <cell r="Y270" t="str">
            <v/>
          </cell>
          <cell r="Z270" t="str">
            <v>BUY</v>
          </cell>
          <cell r="AA270" t="str">
            <v/>
          </cell>
        </row>
        <row r="271">
          <cell r="A271" t="str">
            <v>A</v>
          </cell>
          <cell r="F271" t="str">
            <v>7605-4</v>
          </cell>
          <cell r="G271" t="str">
            <v>A</v>
          </cell>
          <cell r="H271">
            <v>6</v>
          </cell>
          <cell r="I271" t="str">
            <v>All Building Repairs</v>
          </cell>
          <cell r="J271" t="str">
            <v>All Building Repairs</v>
          </cell>
          <cell r="K271">
            <v>0</v>
          </cell>
          <cell r="L271">
            <v>0</v>
          </cell>
          <cell r="M271">
            <v>0</v>
          </cell>
          <cell r="N271">
            <v>0</v>
          </cell>
          <cell r="O271">
            <v>0</v>
          </cell>
          <cell r="P271">
            <v>0</v>
          </cell>
          <cell r="Q271" t="str">
            <v/>
          </cell>
          <cell r="R271" t="str">
            <v/>
          </cell>
          <cell r="S271" t="str">
            <v/>
          </cell>
          <cell r="T271" t="str">
            <v/>
          </cell>
          <cell r="U271" t="str">
            <v/>
          </cell>
          <cell r="V271" t="str">
            <v/>
          </cell>
          <cell r="W271">
            <v>0</v>
          </cell>
          <cell r="X271">
            <v>0</v>
          </cell>
          <cell r="Y271" t="str">
            <v/>
          </cell>
          <cell r="Z271" t="str">
            <v>BUY</v>
          </cell>
          <cell r="AA271" t="str">
            <v/>
          </cell>
        </row>
        <row r="272">
          <cell r="A272" t="str">
            <v>A</v>
          </cell>
          <cell r="F272" t="str">
            <v>7605-5</v>
          </cell>
          <cell r="G272" t="str">
            <v>A</v>
          </cell>
          <cell r="H272">
            <v>6</v>
          </cell>
          <cell r="I272" t="str">
            <v>All Building Repairs</v>
          </cell>
          <cell r="J272" t="str">
            <v>All Building Repairs</v>
          </cell>
          <cell r="K272">
            <v>0</v>
          </cell>
          <cell r="L272">
            <v>0</v>
          </cell>
          <cell r="M272">
            <v>0</v>
          </cell>
          <cell r="N272">
            <v>0</v>
          </cell>
          <cell r="O272">
            <v>0</v>
          </cell>
          <cell r="P272">
            <v>0</v>
          </cell>
          <cell r="Q272" t="str">
            <v/>
          </cell>
          <cell r="R272" t="str">
            <v/>
          </cell>
          <cell r="S272" t="str">
            <v/>
          </cell>
          <cell r="T272" t="str">
            <v/>
          </cell>
          <cell r="U272" t="str">
            <v/>
          </cell>
          <cell r="V272" t="str">
            <v/>
          </cell>
          <cell r="W272">
            <v>0</v>
          </cell>
          <cell r="X272">
            <v>0</v>
          </cell>
          <cell r="Y272" t="str">
            <v/>
          </cell>
          <cell r="Z272" t="str">
            <v>BUY</v>
          </cell>
          <cell r="AA272" t="str">
            <v/>
          </cell>
        </row>
        <row r="273">
          <cell r="A273" t="str">
            <v>A</v>
          </cell>
          <cell r="F273" t="str">
            <v>7607</v>
          </cell>
          <cell r="G273" t="str">
            <v>A</v>
          </cell>
          <cell r="H273">
            <v>6</v>
          </cell>
          <cell r="I273" t="str">
            <v>Maintenance Supplies</v>
          </cell>
          <cell r="J273" t="str">
            <v>Maintenance Supplies</v>
          </cell>
          <cell r="K273">
            <v>0</v>
          </cell>
          <cell r="L273">
            <v>0</v>
          </cell>
          <cell r="M273">
            <v>0</v>
          </cell>
          <cell r="N273">
            <v>0</v>
          </cell>
          <cell r="O273">
            <v>0</v>
          </cell>
          <cell r="P273">
            <v>0</v>
          </cell>
          <cell r="Q273" t="str">
            <v/>
          </cell>
          <cell r="R273" t="str">
            <v/>
          </cell>
          <cell r="S273" t="str">
            <v/>
          </cell>
          <cell r="T273" t="str">
            <v/>
          </cell>
          <cell r="U273" t="str">
            <v/>
          </cell>
          <cell r="V273" t="str">
            <v/>
          </cell>
          <cell r="W273">
            <v>0</v>
          </cell>
          <cell r="X273">
            <v>0</v>
          </cell>
          <cell r="Y273" t="str">
            <v/>
          </cell>
          <cell r="Z273" t="str">
            <v>BUY</v>
          </cell>
          <cell r="AA273" t="str">
            <v/>
          </cell>
        </row>
        <row r="274">
          <cell r="A274" t="str">
            <v>A</v>
          </cell>
          <cell r="F274" t="str">
            <v>7607-1</v>
          </cell>
          <cell r="G274" t="str">
            <v>A</v>
          </cell>
          <cell r="H274">
            <v>6</v>
          </cell>
          <cell r="I274" t="str">
            <v>Maintenance Supplies</v>
          </cell>
          <cell r="J274" t="str">
            <v>Maintenance Supplies</v>
          </cell>
          <cell r="K274">
            <v>0</v>
          </cell>
          <cell r="L274">
            <v>0</v>
          </cell>
          <cell r="M274">
            <v>0</v>
          </cell>
          <cell r="N274">
            <v>0</v>
          </cell>
          <cell r="O274">
            <v>0</v>
          </cell>
          <cell r="P274">
            <v>0</v>
          </cell>
          <cell r="Q274" t="str">
            <v/>
          </cell>
          <cell r="R274" t="str">
            <v/>
          </cell>
          <cell r="S274" t="str">
            <v/>
          </cell>
          <cell r="T274" t="str">
            <v/>
          </cell>
          <cell r="U274" t="str">
            <v/>
          </cell>
          <cell r="V274" t="str">
            <v/>
          </cell>
          <cell r="W274">
            <v>0</v>
          </cell>
          <cell r="X274">
            <v>0</v>
          </cell>
          <cell r="Y274" t="str">
            <v/>
          </cell>
          <cell r="Z274" t="str">
            <v>BUY</v>
          </cell>
          <cell r="AA274" t="str">
            <v/>
          </cell>
        </row>
        <row r="275">
          <cell r="A275" t="str">
            <v>A</v>
          </cell>
          <cell r="F275" t="str">
            <v>7607-2</v>
          </cell>
          <cell r="G275" t="str">
            <v>A</v>
          </cell>
          <cell r="H275">
            <v>6</v>
          </cell>
          <cell r="I275" t="str">
            <v>Maintenance Supplies</v>
          </cell>
          <cell r="J275" t="str">
            <v>Maintenance Supplies</v>
          </cell>
          <cell r="K275">
            <v>0</v>
          </cell>
          <cell r="L275">
            <v>0</v>
          </cell>
          <cell r="M275">
            <v>0</v>
          </cell>
          <cell r="N275">
            <v>0</v>
          </cell>
          <cell r="O275">
            <v>0</v>
          </cell>
          <cell r="P275">
            <v>0</v>
          </cell>
          <cell r="Q275" t="str">
            <v/>
          </cell>
          <cell r="R275" t="str">
            <v/>
          </cell>
          <cell r="S275" t="str">
            <v/>
          </cell>
          <cell r="T275" t="str">
            <v/>
          </cell>
          <cell r="U275" t="str">
            <v/>
          </cell>
          <cell r="V275" t="str">
            <v/>
          </cell>
          <cell r="W275">
            <v>0</v>
          </cell>
          <cell r="X275">
            <v>0</v>
          </cell>
          <cell r="Y275" t="str">
            <v/>
          </cell>
          <cell r="Z275" t="str">
            <v>BUY</v>
          </cell>
          <cell r="AA275" t="str">
            <v/>
          </cell>
        </row>
        <row r="276">
          <cell r="A276" t="str">
            <v>A</v>
          </cell>
          <cell r="F276" t="str">
            <v>7607-2000</v>
          </cell>
          <cell r="G276" t="str">
            <v>A</v>
          </cell>
          <cell r="H276">
            <v>6</v>
          </cell>
          <cell r="I276" t="str">
            <v>Hardware Suppl</v>
          </cell>
          <cell r="J276" t="str">
            <v>Hardware Suppl</v>
          </cell>
          <cell r="K276">
            <v>0</v>
          </cell>
          <cell r="L276">
            <v>0</v>
          </cell>
          <cell r="M276">
            <v>0</v>
          </cell>
          <cell r="N276">
            <v>0</v>
          </cell>
          <cell r="O276">
            <v>0</v>
          </cell>
          <cell r="P276">
            <v>0</v>
          </cell>
          <cell r="Q276" t="str">
            <v/>
          </cell>
          <cell r="R276" t="str">
            <v/>
          </cell>
          <cell r="S276" t="str">
            <v/>
          </cell>
          <cell r="T276" t="str">
            <v/>
          </cell>
          <cell r="U276" t="str">
            <v/>
          </cell>
          <cell r="V276" t="str">
            <v/>
          </cell>
          <cell r="W276">
            <v>0</v>
          </cell>
          <cell r="X276">
            <v>0</v>
          </cell>
          <cell r="Y276" t="str">
            <v/>
          </cell>
          <cell r="Z276" t="str">
            <v>BUY</v>
          </cell>
          <cell r="AA276" t="str">
            <v/>
          </cell>
        </row>
        <row r="277">
          <cell r="A277" t="str">
            <v>A</v>
          </cell>
          <cell r="F277" t="str">
            <v>7607-3</v>
          </cell>
          <cell r="G277" t="str">
            <v>A</v>
          </cell>
          <cell r="H277">
            <v>6</v>
          </cell>
          <cell r="I277" t="str">
            <v>Maintenance Supplies</v>
          </cell>
          <cell r="J277" t="str">
            <v>Maintenance Supplies</v>
          </cell>
          <cell r="K277">
            <v>0</v>
          </cell>
          <cell r="L277">
            <v>0</v>
          </cell>
          <cell r="M277">
            <v>0</v>
          </cell>
          <cell r="N277">
            <v>0</v>
          </cell>
          <cell r="O277">
            <v>0</v>
          </cell>
          <cell r="P277">
            <v>0</v>
          </cell>
          <cell r="Q277" t="str">
            <v/>
          </cell>
          <cell r="R277" t="str">
            <v/>
          </cell>
          <cell r="S277" t="str">
            <v/>
          </cell>
          <cell r="T277" t="str">
            <v/>
          </cell>
          <cell r="U277" t="str">
            <v/>
          </cell>
          <cell r="V277" t="str">
            <v/>
          </cell>
          <cell r="W277">
            <v>0</v>
          </cell>
          <cell r="X277">
            <v>0</v>
          </cell>
          <cell r="Y277" t="str">
            <v/>
          </cell>
          <cell r="Z277" t="str">
            <v>BUY</v>
          </cell>
          <cell r="AA277" t="str">
            <v/>
          </cell>
        </row>
        <row r="278">
          <cell r="A278" t="str">
            <v>A</v>
          </cell>
          <cell r="F278" t="str">
            <v>7607-4</v>
          </cell>
          <cell r="G278" t="str">
            <v>A</v>
          </cell>
          <cell r="H278">
            <v>6</v>
          </cell>
          <cell r="I278" t="str">
            <v>Maintenance Supplies</v>
          </cell>
          <cell r="J278" t="str">
            <v>Maintenance Supplies</v>
          </cell>
          <cell r="K278">
            <v>0</v>
          </cell>
          <cell r="L278">
            <v>0</v>
          </cell>
          <cell r="M278">
            <v>0</v>
          </cell>
          <cell r="N278">
            <v>0</v>
          </cell>
          <cell r="O278">
            <v>0</v>
          </cell>
          <cell r="P278">
            <v>0</v>
          </cell>
          <cell r="Q278" t="str">
            <v/>
          </cell>
          <cell r="R278" t="str">
            <v/>
          </cell>
          <cell r="S278" t="str">
            <v/>
          </cell>
          <cell r="T278" t="str">
            <v/>
          </cell>
          <cell r="U278" t="str">
            <v/>
          </cell>
          <cell r="V278" t="str">
            <v/>
          </cell>
          <cell r="W278">
            <v>0</v>
          </cell>
          <cell r="X278">
            <v>0</v>
          </cell>
          <cell r="Y278" t="str">
            <v/>
          </cell>
          <cell r="Z278" t="str">
            <v>BUY</v>
          </cell>
          <cell r="AA278" t="str">
            <v/>
          </cell>
        </row>
        <row r="279">
          <cell r="A279" t="str">
            <v>A</v>
          </cell>
          <cell r="F279" t="str">
            <v>7607-5</v>
          </cell>
          <cell r="G279" t="str">
            <v>A</v>
          </cell>
          <cell r="H279">
            <v>6</v>
          </cell>
          <cell r="I279" t="str">
            <v>Maintenance Supplies</v>
          </cell>
          <cell r="J279" t="str">
            <v>Maintenance Supplies</v>
          </cell>
          <cell r="K279">
            <v>0</v>
          </cell>
          <cell r="L279">
            <v>0</v>
          </cell>
          <cell r="M279">
            <v>0</v>
          </cell>
          <cell r="N279">
            <v>0</v>
          </cell>
          <cell r="O279">
            <v>0</v>
          </cell>
          <cell r="P279">
            <v>0</v>
          </cell>
          <cell r="Q279" t="str">
            <v/>
          </cell>
          <cell r="R279" t="str">
            <v/>
          </cell>
          <cell r="S279" t="str">
            <v/>
          </cell>
          <cell r="T279" t="str">
            <v/>
          </cell>
          <cell r="U279" t="str">
            <v/>
          </cell>
          <cell r="V279" t="str">
            <v/>
          </cell>
          <cell r="W279">
            <v>0</v>
          </cell>
          <cell r="X279">
            <v>0</v>
          </cell>
          <cell r="Y279" t="str">
            <v/>
          </cell>
          <cell r="Z279" t="str">
            <v>BUY</v>
          </cell>
          <cell r="AA279" t="str">
            <v/>
          </cell>
        </row>
        <row r="280">
          <cell r="A280" t="str">
            <v>A</v>
          </cell>
          <cell r="F280" t="str">
            <v>7608</v>
          </cell>
          <cell r="G280" t="str">
            <v>A</v>
          </cell>
          <cell r="H280">
            <v>6</v>
          </cell>
          <cell r="I280" t="str">
            <v>Equipment Repairs</v>
          </cell>
          <cell r="J280" t="str">
            <v>Equipment Repairs</v>
          </cell>
          <cell r="K280">
            <v>0</v>
          </cell>
          <cell r="L280">
            <v>0</v>
          </cell>
          <cell r="M280">
            <v>0</v>
          </cell>
          <cell r="N280">
            <v>2374</v>
          </cell>
          <cell r="O280">
            <v>0</v>
          </cell>
          <cell r="P280">
            <v>0</v>
          </cell>
          <cell r="Q280" t="str">
            <v/>
          </cell>
          <cell r="R280" t="str">
            <v>GL 6444 No funds budgeted</v>
          </cell>
          <cell r="S280" t="str">
            <v/>
          </cell>
          <cell r="T280" t="str">
            <v/>
          </cell>
          <cell r="U280" t="str">
            <v/>
          </cell>
          <cell r="V280" t="str">
            <v/>
          </cell>
          <cell r="W280">
            <v>2374</v>
          </cell>
          <cell r="X280">
            <v>0</v>
          </cell>
          <cell r="Y280" t="str">
            <v>A</v>
          </cell>
          <cell r="Z280" t="str">
            <v>BUY</v>
          </cell>
          <cell r="AA280" t="str">
            <v/>
          </cell>
        </row>
        <row r="281">
          <cell r="A281" t="str">
            <v>A</v>
          </cell>
          <cell r="F281" t="str">
            <v>7609</v>
          </cell>
          <cell r="G281" t="str">
            <v>A</v>
          </cell>
          <cell r="H281">
            <v>6</v>
          </cell>
          <cell r="I281" t="str">
            <v>Commercial Expense</v>
          </cell>
          <cell r="J281" t="str">
            <v>Commercial Expense</v>
          </cell>
          <cell r="K281">
            <v>0</v>
          </cell>
          <cell r="L281">
            <v>0</v>
          </cell>
          <cell r="M281">
            <v>0</v>
          </cell>
          <cell r="N281">
            <v>0</v>
          </cell>
          <cell r="O281">
            <v>0</v>
          </cell>
          <cell r="P281">
            <v>0</v>
          </cell>
          <cell r="Q281" t="str">
            <v/>
          </cell>
          <cell r="R281" t="str">
            <v/>
          </cell>
          <cell r="S281" t="str">
            <v/>
          </cell>
          <cell r="T281" t="str">
            <v/>
          </cell>
          <cell r="U281" t="str">
            <v/>
          </cell>
          <cell r="V281" t="str">
            <v/>
          </cell>
          <cell r="W281">
            <v>0</v>
          </cell>
          <cell r="X281">
            <v>0</v>
          </cell>
          <cell r="Y281" t="str">
            <v/>
          </cell>
          <cell r="Z281" t="str">
            <v>BUY</v>
          </cell>
          <cell r="AA281" t="str">
            <v/>
          </cell>
        </row>
        <row r="282">
          <cell r="A282" t="str">
            <v>A</v>
          </cell>
          <cell r="F282" t="str">
            <v>7610</v>
          </cell>
          <cell r="G282" t="str">
            <v>A</v>
          </cell>
          <cell r="H282">
            <v>6</v>
          </cell>
          <cell r="I282" t="str">
            <v>Plumbing Repairs/Supplies</v>
          </cell>
          <cell r="J282" t="str">
            <v>Plumbing Repairs/Supplies</v>
          </cell>
          <cell r="K282">
            <v>0</v>
          </cell>
          <cell r="L282">
            <v>0</v>
          </cell>
          <cell r="M282">
            <v>3000</v>
          </cell>
          <cell r="N282">
            <v>6888</v>
          </cell>
          <cell r="O282">
            <v>3000</v>
          </cell>
          <cell r="P282">
            <v>0</v>
          </cell>
          <cell r="Q282">
            <v>0</v>
          </cell>
          <cell r="R282" t="str">
            <v xml:space="preserve">GL 6480 Plumbing repairs in common areas and behind walls which are Association responsibility. </v>
          </cell>
          <cell r="S282" t="str">
            <v/>
          </cell>
          <cell r="T282" t="str">
            <v/>
          </cell>
          <cell r="U282" t="str">
            <v/>
          </cell>
          <cell r="V282" t="str">
            <v/>
          </cell>
          <cell r="W282">
            <v>12888</v>
          </cell>
          <cell r="X282">
            <v>0</v>
          </cell>
          <cell r="Y282" t="str">
            <v>A</v>
          </cell>
          <cell r="Z282" t="str">
            <v>BUY</v>
          </cell>
          <cell r="AA282" t="str">
            <v/>
          </cell>
        </row>
        <row r="283">
          <cell r="A283" t="str">
            <v>A</v>
          </cell>
          <cell r="F283" t="str">
            <v>7610-1</v>
          </cell>
          <cell r="G283" t="str">
            <v>A</v>
          </cell>
          <cell r="H283">
            <v>6</v>
          </cell>
          <cell r="I283" t="str">
            <v>Plumbing Reps/Supplies</v>
          </cell>
          <cell r="J283" t="str">
            <v>Plumbing Reps/Supplies</v>
          </cell>
          <cell r="K283">
            <v>0</v>
          </cell>
          <cell r="L283">
            <v>0</v>
          </cell>
          <cell r="M283">
            <v>0</v>
          </cell>
          <cell r="N283">
            <v>0</v>
          </cell>
          <cell r="O283">
            <v>0</v>
          </cell>
          <cell r="P283">
            <v>0</v>
          </cell>
          <cell r="Q283" t="str">
            <v/>
          </cell>
          <cell r="R283" t="str">
            <v/>
          </cell>
          <cell r="S283" t="str">
            <v/>
          </cell>
          <cell r="T283" t="str">
            <v/>
          </cell>
          <cell r="U283" t="str">
            <v/>
          </cell>
          <cell r="V283" t="str">
            <v/>
          </cell>
          <cell r="W283">
            <v>0</v>
          </cell>
          <cell r="X283">
            <v>0</v>
          </cell>
          <cell r="Y283" t="str">
            <v/>
          </cell>
          <cell r="Z283" t="str">
            <v>BUY</v>
          </cell>
          <cell r="AA283" t="str">
            <v/>
          </cell>
        </row>
        <row r="284">
          <cell r="A284" t="str">
            <v>A</v>
          </cell>
          <cell r="F284" t="str">
            <v>7610-2</v>
          </cell>
          <cell r="G284" t="str">
            <v>A</v>
          </cell>
          <cell r="H284">
            <v>6</v>
          </cell>
          <cell r="I284" t="str">
            <v>Plumbing Reps/Supplies</v>
          </cell>
          <cell r="J284" t="str">
            <v>Plumbing Reps/Supplies</v>
          </cell>
          <cell r="K284">
            <v>0</v>
          </cell>
          <cell r="L284">
            <v>0</v>
          </cell>
          <cell r="M284">
            <v>0</v>
          </cell>
          <cell r="N284">
            <v>0</v>
          </cell>
          <cell r="O284">
            <v>0</v>
          </cell>
          <cell r="P284">
            <v>0</v>
          </cell>
          <cell r="Q284" t="str">
            <v/>
          </cell>
          <cell r="R284" t="str">
            <v/>
          </cell>
          <cell r="S284" t="str">
            <v/>
          </cell>
          <cell r="T284" t="str">
            <v/>
          </cell>
          <cell r="U284" t="str">
            <v/>
          </cell>
          <cell r="V284" t="str">
            <v/>
          </cell>
          <cell r="W284">
            <v>0</v>
          </cell>
          <cell r="X284">
            <v>0</v>
          </cell>
          <cell r="Y284" t="str">
            <v/>
          </cell>
          <cell r="Z284" t="str">
            <v>BUY</v>
          </cell>
          <cell r="AA284" t="str">
            <v/>
          </cell>
        </row>
        <row r="285">
          <cell r="A285" t="str">
            <v>A</v>
          </cell>
          <cell r="F285" t="str">
            <v>7610-3</v>
          </cell>
          <cell r="G285" t="str">
            <v>A</v>
          </cell>
          <cell r="H285">
            <v>6</v>
          </cell>
          <cell r="I285" t="str">
            <v>Plumbing Reps/Supplies</v>
          </cell>
          <cell r="J285" t="str">
            <v>Plumbing Reps/Supplies</v>
          </cell>
          <cell r="K285">
            <v>0</v>
          </cell>
          <cell r="L285">
            <v>0</v>
          </cell>
          <cell r="M285">
            <v>0</v>
          </cell>
          <cell r="N285">
            <v>0</v>
          </cell>
          <cell r="O285">
            <v>0</v>
          </cell>
          <cell r="P285">
            <v>0</v>
          </cell>
          <cell r="Q285" t="str">
            <v/>
          </cell>
          <cell r="R285" t="str">
            <v/>
          </cell>
          <cell r="S285" t="str">
            <v/>
          </cell>
          <cell r="T285" t="str">
            <v/>
          </cell>
          <cell r="U285" t="str">
            <v/>
          </cell>
          <cell r="V285" t="str">
            <v/>
          </cell>
          <cell r="W285">
            <v>0</v>
          </cell>
          <cell r="X285">
            <v>0</v>
          </cell>
          <cell r="Y285" t="str">
            <v/>
          </cell>
          <cell r="Z285" t="str">
            <v>BUY</v>
          </cell>
          <cell r="AA285" t="str">
            <v/>
          </cell>
        </row>
        <row r="286">
          <cell r="A286" t="str">
            <v>A</v>
          </cell>
          <cell r="F286" t="str">
            <v>7610-4</v>
          </cell>
          <cell r="G286" t="str">
            <v>A</v>
          </cell>
          <cell r="H286">
            <v>6</v>
          </cell>
          <cell r="I286" t="str">
            <v>Plumbing Reps/Supplies</v>
          </cell>
          <cell r="J286" t="str">
            <v>Plumbing Reps/Supplies</v>
          </cell>
          <cell r="K286">
            <v>0</v>
          </cell>
          <cell r="L286">
            <v>0</v>
          </cell>
          <cell r="M286">
            <v>0</v>
          </cell>
          <cell r="N286">
            <v>0</v>
          </cell>
          <cell r="O286">
            <v>0</v>
          </cell>
          <cell r="P286">
            <v>0</v>
          </cell>
          <cell r="Q286" t="str">
            <v/>
          </cell>
          <cell r="R286" t="str">
            <v/>
          </cell>
          <cell r="S286" t="str">
            <v/>
          </cell>
          <cell r="T286" t="str">
            <v/>
          </cell>
          <cell r="U286" t="str">
            <v/>
          </cell>
          <cell r="V286" t="str">
            <v/>
          </cell>
          <cell r="W286">
            <v>0</v>
          </cell>
          <cell r="X286">
            <v>0</v>
          </cell>
          <cell r="Y286" t="str">
            <v/>
          </cell>
          <cell r="Z286" t="str">
            <v>BUY</v>
          </cell>
          <cell r="AA286" t="str">
            <v/>
          </cell>
        </row>
        <row r="287">
          <cell r="A287" t="str">
            <v>A</v>
          </cell>
          <cell r="F287" t="str">
            <v>7610-5</v>
          </cell>
          <cell r="G287" t="str">
            <v>A</v>
          </cell>
          <cell r="H287">
            <v>6</v>
          </cell>
          <cell r="I287" t="str">
            <v>Plumbing Reps/Supplies</v>
          </cell>
          <cell r="J287" t="str">
            <v>Plumbing Reps/Supplies</v>
          </cell>
          <cell r="K287">
            <v>0</v>
          </cell>
          <cell r="L287">
            <v>0</v>
          </cell>
          <cell r="M287">
            <v>0</v>
          </cell>
          <cell r="N287">
            <v>0</v>
          </cell>
          <cell r="O287">
            <v>0</v>
          </cell>
          <cell r="P287">
            <v>0</v>
          </cell>
          <cell r="Q287" t="str">
            <v/>
          </cell>
          <cell r="R287" t="str">
            <v/>
          </cell>
          <cell r="S287" t="str">
            <v/>
          </cell>
          <cell r="T287" t="str">
            <v/>
          </cell>
          <cell r="U287" t="str">
            <v/>
          </cell>
          <cell r="V287" t="str">
            <v/>
          </cell>
          <cell r="W287">
            <v>0</v>
          </cell>
          <cell r="X287">
            <v>0</v>
          </cell>
          <cell r="Y287" t="str">
            <v/>
          </cell>
          <cell r="Z287" t="str">
            <v>BUY</v>
          </cell>
          <cell r="AA287" t="str">
            <v/>
          </cell>
        </row>
        <row r="288">
          <cell r="A288" t="str">
            <v>A</v>
          </cell>
          <cell r="F288" t="str">
            <v>7611</v>
          </cell>
          <cell r="G288" t="str">
            <v>A</v>
          </cell>
          <cell r="H288">
            <v>6</v>
          </cell>
          <cell r="I288" t="str">
            <v>Catch Basin/Sewer</v>
          </cell>
          <cell r="J288" t="str">
            <v>Pipe Rodding</v>
          </cell>
          <cell r="K288">
            <v>0</v>
          </cell>
          <cell r="L288">
            <v>0</v>
          </cell>
          <cell r="M288">
            <v>7000</v>
          </cell>
          <cell r="N288">
            <v>3643</v>
          </cell>
          <cell r="O288">
            <v>6000</v>
          </cell>
          <cell r="P288">
            <v>-1000</v>
          </cell>
          <cell r="Q288">
            <v>-0.1428571428571429</v>
          </cell>
          <cell r="R288" t="str">
            <v>GL 6337 Includes the catch basins, sewer drains located in second floor storage area and rodding of the lower level of the kitchen waste stacks and garage drains. Rodding of kitchen waste stacks= $2,400. Garage Drains= $1,600. Catch basins= $2,000</v>
          </cell>
          <cell r="S288" t="str">
            <v/>
          </cell>
          <cell r="T288" t="str">
            <v/>
          </cell>
          <cell r="U288" t="str">
            <v/>
          </cell>
          <cell r="V288" t="str">
            <v/>
          </cell>
          <cell r="W288">
            <v>16643</v>
          </cell>
          <cell r="X288">
            <v>0</v>
          </cell>
          <cell r="Y288" t="str">
            <v>A</v>
          </cell>
          <cell r="Z288" t="str">
            <v>BUY</v>
          </cell>
          <cell r="AA288" t="str">
            <v/>
          </cell>
        </row>
        <row r="289">
          <cell r="A289" t="str">
            <v>A</v>
          </cell>
          <cell r="F289" t="str">
            <v>7611-2</v>
          </cell>
          <cell r="G289" t="str">
            <v>A</v>
          </cell>
          <cell r="H289">
            <v>6</v>
          </cell>
          <cell r="I289" t="str">
            <v>Pipe Rodding</v>
          </cell>
          <cell r="J289" t="str">
            <v>Pipe Rodding</v>
          </cell>
          <cell r="K289">
            <v>0</v>
          </cell>
          <cell r="L289">
            <v>0</v>
          </cell>
          <cell r="M289">
            <v>0</v>
          </cell>
          <cell r="N289">
            <v>0</v>
          </cell>
          <cell r="O289">
            <v>0</v>
          </cell>
          <cell r="P289">
            <v>0</v>
          </cell>
          <cell r="Q289" t="str">
            <v/>
          </cell>
          <cell r="R289" t="str">
            <v/>
          </cell>
          <cell r="S289" t="str">
            <v/>
          </cell>
          <cell r="T289" t="str">
            <v/>
          </cell>
          <cell r="U289" t="str">
            <v/>
          </cell>
          <cell r="V289" t="str">
            <v/>
          </cell>
          <cell r="W289">
            <v>0</v>
          </cell>
          <cell r="X289">
            <v>0</v>
          </cell>
          <cell r="Y289" t="str">
            <v/>
          </cell>
          <cell r="Z289" t="str">
            <v>BUY</v>
          </cell>
          <cell r="AA289" t="str">
            <v/>
          </cell>
        </row>
        <row r="290">
          <cell r="A290" t="str">
            <v>A</v>
          </cell>
          <cell r="F290" t="str">
            <v>7611-3</v>
          </cell>
          <cell r="G290" t="str">
            <v>A</v>
          </cell>
          <cell r="H290">
            <v>6</v>
          </cell>
          <cell r="I290" t="str">
            <v>Pipe Rodding</v>
          </cell>
          <cell r="J290" t="str">
            <v>Pipe Rodding</v>
          </cell>
          <cell r="K290">
            <v>0</v>
          </cell>
          <cell r="L290">
            <v>0</v>
          </cell>
          <cell r="M290">
            <v>0</v>
          </cell>
          <cell r="N290">
            <v>0</v>
          </cell>
          <cell r="O290">
            <v>0</v>
          </cell>
          <cell r="P290">
            <v>0</v>
          </cell>
          <cell r="Q290" t="str">
            <v/>
          </cell>
          <cell r="R290" t="str">
            <v/>
          </cell>
          <cell r="S290" t="str">
            <v/>
          </cell>
          <cell r="T290" t="str">
            <v/>
          </cell>
          <cell r="U290" t="str">
            <v/>
          </cell>
          <cell r="V290" t="str">
            <v/>
          </cell>
          <cell r="W290">
            <v>0</v>
          </cell>
          <cell r="X290">
            <v>0</v>
          </cell>
          <cell r="Y290" t="str">
            <v/>
          </cell>
          <cell r="Z290" t="str">
            <v>BUY</v>
          </cell>
          <cell r="AA290" t="str">
            <v/>
          </cell>
        </row>
        <row r="291">
          <cell r="A291" t="str">
            <v>A</v>
          </cell>
          <cell r="F291" t="str">
            <v>7611-4</v>
          </cell>
          <cell r="G291" t="str">
            <v>A</v>
          </cell>
          <cell r="H291">
            <v>6</v>
          </cell>
          <cell r="I291" t="str">
            <v>Pipe Rodding</v>
          </cell>
          <cell r="J291" t="str">
            <v>Pipe Rodding</v>
          </cell>
          <cell r="K291">
            <v>0</v>
          </cell>
          <cell r="L291">
            <v>0</v>
          </cell>
          <cell r="M291">
            <v>0</v>
          </cell>
          <cell r="N291">
            <v>0</v>
          </cell>
          <cell r="O291">
            <v>0</v>
          </cell>
          <cell r="P291">
            <v>0</v>
          </cell>
          <cell r="Q291" t="str">
            <v/>
          </cell>
          <cell r="R291" t="str">
            <v/>
          </cell>
          <cell r="S291" t="str">
            <v/>
          </cell>
          <cell r="T291" t="str">
            <v/>
          </cell>
          <cell r="U291" t="str">
            <v/>
          </cell>
          <cell r="V291" t="str">
            <v/>
          </cell>
          <cell r="W291">
            <v>0</v>
          </cell>
          <cell r="X291">
            <v>0</v>
          </cell>
          <cell r="Y291" t="str">
            <v/>
          </cell>
          <cell r="Z291" t="str">
            <v>BUY</v>
          </cell>
          <cell r="AA291" t="str">
            <v/>
          </cell>
        </row>
        <row r="292">
          <cell r="A292" t="str">
            <v>A</v>
          </cell>
          <cell r="F292" t="str">
            <v>7611-5</v>
          </cell>
          <cell r="G292" t="str">
            <v>A</v>
          </cell>
          <cell r="H292">
            <v>6</v>
          </cell>
          <cell r="I292" t="str">
            <v>Pipe Rodding</v>
          </cell>
          <cell r="J292" t="str">
            <v>Pipe Rodding</v>
          </cell>
          <cell r="K292">
            <v>0</v>
          </cell>
          <cell r="L292">
            <v>0</v>
          </cell>
          <cell r="M292">
            <v>0</v>
          </cell>
          <cell r="N292">
            <v>0</v>
          </cell>
          <cell r="O292">
            <v>0</v>
          </cell>
          <cell r="P292">
            <v>0</v>
          </cell>
          <cell r="Q292" t="str">
            <v/>
          </cell>
          <cell r="R292" t="str">
            <v/>
          </cell>
          <cell r="S292" t="str">
            <v/>
          </cell>
          <cell r="T292" t="str">
            <v/>
          </cell>
          <cell r="U292" t="str">
            <v/>
          </cell>
          <cell r="V292" t="str">
            <v/>
          </cell>
          <cell r="W292">
            <v>0</v>
          </cell>
          <cell r="X292">
            <v>0</v>
          </cell>
          <cell r="Y292" t="str">
            <v/>
          </cell>
          <cell r="Z292" t="str">
            <v>BUY</v>
          </cell>
          <cell r="AA292" t="str">
            <v/>
          </cell>
        </row>
        <row r="293">
          <cell r="A293" t="str">
            <v>A</v>
          </cell>
          <cell r="F293" t="str">
            <v>7612</v>
          </cell>
          <cell r="G293" t="str">
            <v>A</v>
          </cell>
          <cell r="H293">
            <v>6</v>
          </cell>
          <cell r="I293" t="str">
            <v>Emergency Pump Power Fixed</v>
          </cell>
          <cell r="J293" t="str">
            <v>Emergency Pump Power Fixed</v>
          </cell>
          <cell r="K293">
            <v>0</v>
          </cell>
          <cell r="L293">
            <v>0</v>
          </cell>
          <cell r="M293">
            <v>0</v>
          </cell>
          <cell r="N293">
            <v>0</v>
          </cell>
          <cell r="O293">
            <v>0</v>
          </cell>
          <cell r="P293">
            <v>0</v>
          </cell>
          <cell r="Q293" t="str">
            <v/>
          </cell>
          <cell r="R293" t="str">
            <v/>
          </cell>
          <cell r="S293" t="str">
            <v/>
          </cell>
          <cell r="T293" t="str">
            <v/>
          </cell>
          <cell r="U293" t="str">
            <v/>
          </cell>
          <cell r="V293" t="str">
            <v/>
          </cell>
          <cell r="W293">
            <v>0</v>
          </cell>
          <cell r="X293">
            <v>0</v>
          </cell>
          <cell r="Y293" t="str">
            <v/>
          </cell>
          <cell r="Z293" t="str">
            <v>BUY</v>
          </cell>
          <cell r="AA293" t="str">
            <v/>
          </cell>
        </row>
        <row r="294">
          <cell r="A294" t="str">
            <v>A</v>
          </cell>
          <cell r="F294" t="str">
            <v>7613</v>
          </cell>
          <cell r="G294" t="str">
            <v>A</v>
          </cell>
          <cell r="H294">
            <v>6</v>
          </cell>
          <cell r="I294" t="str">
            <v>Emergency Pump Power Variable</v>
          </cell>
          <cell r="J294" t="str">
            <v>Emergency Pump Power Variable</v>
          </cell>
          <cell r="K294">
            <v>0</v>
          </cell>
          <cell r="L294">
            <v>0</v>
          </cell>
          <cell r="M294">
            <v>0</v>
          </cell>
          <cell r="N294">
            <v>0</v>
          </cell>
          <cell r="O294">
            <v>0</v>
          </cell>
          <cell r="P294">
            <v>0</v>
          </cell>
          <cell r="Q294" t="str">
            <v/>
          </cell>
          <cell r="R294" t="str">
            <v/>
          </cell>
          <cell r="S294" t="str">
            <v/>
          </cell>
          <cell r="T294" t="str">
            <v/>
          </cell>
          <cell r="U294" t="str">
            <v/>
          </cell>
          <cell r="V294" t="str">
            <v/>
          </cell>
          <cell r="W294">
            <v>0</v>
          </cell>
          <cell r="X294">
            <v>0</v>
          </cell>
          <cell r="Y294" t="str">
            <v/>
          </cell>
          <cell r="Z294" t="str">
            <v>BUY</v>
          </cell>
          <cell r="AA294" t="str">
            <v/>
          </cell>
        </row>
        <row r="295">
          <cell r="A295" t="str">
            <v>A</v>
          </cell>
          <cell r="F295" t="str">
            <v>7620</v>
          </cell>
          <cell r="G295" t="str">
            <v>A</v>
          </cell>
          <cell r="H295">
            <v>6</v>
          </cell>
          <cell r="I295" t="str">
            <v>Electric Repairs/Supplies</v>
          </cell>
          <cell r="J295" t="str">
            <v>Electric Repairs/Supplies</v>
          </cell>
          <cell r="K295">
            <v>0</v>
          </cell>
          <cell r="L295">
            <v>0</v>
          </cell>
          <cell r="M295">
            <v>1000</v>
          </cell>
          <cell r="N295">
            <v>7361</v>
          </cell>
          <cell r="O295">
            <v>1000</v>
          </cell>
          <cell r="P295">
            <v>0</v>
          </cell>
          <cell r="Q295">
            <v>0</v>
          </cell>
          <cell r="R295" t="str">
            <v xml:space="preserve">GL 6490 2009 will be larger due to electrical upgrades performed. </v>
          </cell>
          <cell r="S295" t="str">
            <v/>
          </cell>
          <cell r="T295" t="str">
            <v/>
          </cell>
          <cell r="U295" t="str">
            <v/>
          </cell>
          <cell r="V295" t="str">
            <v/>
          </cell>
          <cell r="W295">
            <v>9361</v>
          </cell>
          <cell r="X295">
            <v>0</v>
          </cell>
          <cell r="Y295" t="str">
            <v>A</v>
          </cell>
          <cell r="Z295" t="str">
            <v>BUY</v>
          </cell>
          <cell r="AA295" t="str">
            <v/>
          </cell>
        </row>
        <row r="296">
          <cell r="A296" t="str">
            <v>A</v>
          </cell>
          <cell r="F296" t="str">
            <v>7620-2</v>
          </cell>
          <cell r="G296" t="str">
            <v>A</v>
          </cell>
          <cell r="H296">
            <v>6</v>
          </cell>
          <cell r="I296" t="str">
            <v>Electric Repairs/Supplies</v>
          </cell>
          <cell r="J296" t="str">
            <v>Electric Repairs/Supplies</v>
          </cell>
          <cell r="K296">
            <v>0</v>
          </cell>
          <cell r="L296">
            <v>0</v>
          </cell>
          <cell r="M296">
            <v>0</v>
          </cell>
          <cell r="N296">
            <v>0</v>
          </cell>
          <cell r="O296">
            <v>0</v>
          </cell>
          <cell r="P296">
            <v>0</v>
          </cell>
          <cell r="Q296" t="str">
            <v/>
          </cell>
          <cell r="R296" t="str">
            <v/>
          </cell>
          <cell r="S296" t="str">
            <v/>
          </cell>
          <cell r="T296" t="str">
            <v/>
          </cell>
          <cell r="U296" t="str">
            <v/>
          </cell>
          <cell r="V296" t="str">
            <v/>
          </cell>
          <cell r="W296">
            <v>0</v>
          </cell>
          <cell r="X296">
            <v>0</v>
          </cell>
          <cell r="Y296" t="str">
            <v/>
          </cell>
          <cell r="Z296" t="str">
            <v>BUY</v>
          </cell>
          <cell r="AA296" t="str">
            <v/>
          </cell>
        </row>
        <row r="297">
          <cell r="A297" t="str">
            <v>A</v>
          </cell>
          <cell r="F297" t="str">
            <v>7620-3</v>
          </cell>
          <cell r="G297" t="str">
            <v>A</v>
          </cell>
          <cell r="H297">
            <v>6</v>
          </cell>
          <cell r="I297" t="str">
            <v>Electric Repairs/Supplies</v>
          </cell>
          <cell r="J297" t="str">
            <v>Electric Repairs/Supplies</v>
          </cell>
          <cell r="K297">
            <v>0</v>
          </cell>
          <cell r="L297">
            <v>0</v>
          </cell>
          <cell r="M297">
            <v>0</v>
          </cell>
          <cell r="N297">
            <v>0</v>
          </cell>
          <cell r="O297">
            <v>0</v>
          </cell>
          <cell r="P297">
            <v>0</v>
          </cell>
          <cell r="Q297" t="str">
            <v/>
          </cell>
          <cell r="R297" t="str">
            <v/>
          </cell>
          <cell r="S297" t="str">
            <v/>
          </cell>
          <cell r="T297" t="str">
            <v/>
          </cell>
          <cell r="U297" t="str">
            <v/>
          </cell>
          <cell r="V297" t="str">
            <v/>
          </cell>
          <cell r="W297">
            <v>0</v>
          </cell>
          <cell r="X297">
            <v>0</v>
          </cell>
          <cell r="Y297" t="str">
            <v/>
          </cell>
          <cell r="Z297" t="str">
            <v>BUY</v>
          </cell>
          <cell r="AA297" t="str">
            <v/>
          </cell>
        </row>
        <row r="298">
          <cell r="A298" t="str">
            <v>A</v>
          </cell>
          <cell r="F298" t="str">
            <v>7620-4</v>
          </cell>
          <cell r="G298" t="str">
            <v>A</v>
          </cell>
          <cell r="H298">
            <v>6</v>
          </cell>
          <cell r="I298" t="str">
            <v>Electric Repairs/Supplies</v>
          </cell>
          <cell r="J298" t="str">
            <v>Electric Repairs/Supplies</v>
          </cell>
          <cell r="K298">
            <v>0</v>
          </cell>
          <cell r="L298">
            <v>0</v>
          </cell>
          <cell r="M298">
            <v>0</v>
          </cell>
          <cell r="N298">
            <v>0</v>
          </cell>
          <cell r="O298">
            <v>0</v>
          </cell>
          <cell r="P298">
            <v>0</v>
          </cell>
          <cell r="Q298" t="str">
            <v/>
          </cell>
          <cell r="R298" t="str">
            <v/>
          </cell>
          <cell r="S298" t="str">
            <v/>
          </cell>
          <cell r="T298" t="str">
            <v/>
          </cell>
          <cell r="U298" t="str">
            <v/>
          </cell>
          <cell r="V298" t="str">
            <v/>
          </cell>
          <cell r="W298">
            <v>0</v>
          </cell>
          <cell r="X298">
            <v>0</v>
          </cell>
          <cell r="Y298" t="str">
            <v/>
          </cell>
          <cell r="Z298" t="str">
            <v>BUY</v>
          </cell>
          <cell r="AA298" t="str">
            <v/>
          </cell>
        </row>
        <row r="299">
          <cell r="A299" t="str">
            <v>A</v>
          </cell>
          <cell r="F299" t="str">
            <v>7620-5</v>
          </cell>
          <cell r="G299" t="str">
            <v>A</v>
          </cell>
          <cell r="H299">
            <v>6</v>
          </cell>
          <cell r="I299" t="str">
            <v>Electric Repairs/Supplies</v>
          </cell>
          <cell r="J299" t="str">
            <v>Electric Repairs/Supplies</v>
          </cell>
          <cell r="K299">
            <v>0</v>
          </cell>
          <cell r="L299">
            <v>0</v>
          </cell>
          <cell r="M299">
            <v>0</v>
          </cell>
          <cell r="N299">
            <v>0</v>
          </cell>
          <cell r="O299">
            <v>0</v>
          </cell>
          <cell r="P299">
            <v>0</v>
          </cell>
          <cell r="Q299" t="str">
            <v/>
          </cell>
          <cell r="R299" t="str">
            <v/>
          </cell>
          <cell r="S299" t="str">
            <v/>
          </cell>
          <cell r="T299" t="str">
            <v/>
          </cell>
          <cell r="U299" t="str">
            <v/>
          </cell>
          <cell r="V299" t="str">
            <v/>
          </cell>
          <cell r="W299">
            <v>0</v>
          </cell>
          <cell r="X299">
            <v>0</v>
          </cell>
          <cell r="Y299" t="str">
            <v/>
          </cell>
          <cell r="Z299" t="str">
            <v>BUY</v>
          </cell>
          <cell r="AA299" t="str">
            <v/>
          </cell>
        </row>
        <row r="300">
          <cell r="A300" t="str">
            <v>A</v>
          </cell>
          <cell r="F300" t="str">
            <v>7621</v>
          </cell>
          <cell r="G300" t="str">
            <v>A</v>
          </cell>
          <cell r="H300">
            <v>6</v>
          </cell>
          <cell r="I300" t="str">
            <v>Lights, Bulbs and Tubes</v>
          </cell>
          <cell r="J300" t="str">
            <v>Lights, Bulbs and Tubes</v>
          </cell>
          <cell r="K300">
            <v>0</v>
          </cell>
          <cell r="L300">
            <v>0</v>
          </cell>
          <cell r="M300">
            <v>2691</v>
          </cell>
          <cell r="N300">
            <v>4135</v>
          </cell>
          <cell r="O300">
            <v>2000</v>
          </cell>
          <cell r="P300">
            <v>-691</v>
          </cell>
          <cell r="Q300">
            <v>-0.25678186547751769</v>
          </cell>
          <cell r="R300" t="str">
            <v>GL 6301 Lighting for common areas. 2009 includes purchasing new sconces for 24th floor hallway due to vandalism.</v>
          </cell>
          <cell r="S300" t="str">
            <v/>
          </cell>
          <cell r="T300" t="str">
            <v/>
          </cell>
          <cell r="U300" t="str">
            <v/>
          </cell>
          <cell r="V300" t="str">
            <v/>
          </cell>
          <cell r="W300">
            <v>8826</v>
          </cell>
          <cell r="X300">
            <v>0</v>
          </cell>
          <cell r="Y300" t="str">
            <v>A</v>
          </cell>
          <cell r="Z300" t="str">
            <v>BUY</v>
          </cell>
          <cell r="AA300" t="str">
            <v/>
          </cell>
        </row>
        <row r="301">
          <cell r="A301" t="str">
            <v>A</v>
          </cell>
          <cell r="F301" t="str">
            <v>7621-2</v>
          </cell>
          <cell r="G301" t="str">
            <v>A</v>
          </cell>
          <cell r="H301">
            <v>6</v>
          </cell>
          <cell r="I301" t="str">
            <v>Lights, Bulbs and Tubes</v>
          </cell>
          <cell r="J301" t="str">
            <v>Lights, Bulbs and Tubes</v>
          </cell>
          <cell r="K301">
            <v>0</v>
          </cell>
          <cell r="L301">
            <v>0</v>
          </cell>
          <cell r="M301">
            <v>0</v>
          </cell>
          <cell r="N301">
            <v>0</v>
          </cell>
          <cell r="O301">
            <v>0</v>
          </cell>
          <cell r="P301">
            <v>0</v>
          </cell>
          <cell r="Q301" t="str">
            <v/>
          </cell>
          <cell r="R301" t="str">
            <v/>
          </cell>
          <cell r="S301" t="str">
            <v/>
          </cell>
          <cell r="T301" t="str">
            <v/>
          </cell>
          <cell r="U301" t="str">
            <v/>
          </cell>
          <cell r="V301" t="str">
            <v/>
          </cell>
          <cell r="W301">
            <v>0</v>
          </cell>
          <cell r="X301">
            <v>0</v>
          </cell>
          <cell r="Y301" t="str">
            <v/>
          </cell>
          <cell r="Z301" t="str">
            <v>BUY</v>
          </cell>
          <cell r="AA301" t="str">
            <v/>
          </cell>
        </row>
        <row r="302">
          <cell r="A302" t="str">
            <v>A</v>
          </cell>
          <cell r="F302" t="str">
            <v>7621-2000</v>
          </cell>
          <cell r="G302" t="str">
            <v>A</v>
          </cell>
          <cell r="H302">
            <v>6</v>
          </cell>
          <cell r="I302" t="str">
            <v>Light Bulbs</v>
          </cell>
          <cell r="J302" t="str">
            <v>Light Bulbs</v>
          </cell>
          <cell r="K302">
            <v>0</v>
          </cell>
          <cell r="L302">
            <v>0</v>
          </cell>
          <cell r="M302">
            <v>0</v>
          </cell>
          <cell r="N302">
            <v>0</v>
          </cell>
          <cell r="O302">
            <v>0</v>
          </cell>
          <cell r="P302">
            <v>0</v>
          </cell>
          <cell r="Q302" t="str">
            <v/>
          </cell>
          <cell r="R302" t="str">
            <v/>
          </cell>
          <cell r="S302" t="str">
            <v/>
          </cell>
          <cell r="T302" t="str">
            <v/>
          </cell>
          <cell r="U302" t="str">
            <v/>
          </cell>
          <cell r="V302" t="str">
            <v/>
          </cell>
          <cell r="W302">
            <v>0</v>
          </cell>
          <cell r="X302">
            <v>0</v>
          </cell>
          <cell r="Y302" t="str">
            <v/>
          </cell>
          <cell r="Z302" t="str">
            <v>BUY</v>
          </cell>
          <cell r="AA302" t="str">
            <v/>
          </cell>
        </row>
        <row r="303">
          <cell r="A303" t="str">
            <v>A</v>
          </cell>
          <cell r="F303" t="str">
            <v>7621-3</v>
          </cell>
          <cell r="G303" t="str">
            <v>A</v>
          </cell>
          <cell r="H303">
            <v>6</v>
          </cell>
          <cell r="I303" t="str">
            <v>Lights, Bulbs and Tubes</v>
          </cell>
          <cell r="J303" t="str">
            <v>Lights, Bulbs and Tubes</v>
          </cell>
          <cell r="K303">
            <v>0</v>
          </cell>
          <cell r="L303">
            <v>0</v>
          </cell>
          <cell r="M303">
            <v>0</v>
          </cell>
          <cell r="N303">
            <v>0</v>
          </cell>
          <cell r="O303">
            <v>0</v>
          </cell>
          <cell r="P303">
            <v>0</v>
          </cell>
          <cell r="Q303" t="str">
            <v/>
          </cell>
          <cell r="R303" t="str">
            <v/>
          </cell>
          <cell r="S303" t="str">
            <v/>
          </cell>
          <cell r="T303" t="str">
            <v/>
          </cell>
          <cell r="U303" t="str">
            <v/>
          </cell>
          <cell r="V303" t="str">
            <v/>
          </cell>
          <cell r="W303">
            <v>0</v>
          </cell>
          <cell r="X303">
            <v>0</v>
          </cell>
          <cell r="Y303" t="str">
            <v/>
          </cell>
          <cell r="Z303" t="str">
            <v>BUY</v>
          </cell>
          <cell r="AA303" t="str">
            <v/>
          </cell>
        </row>
        <row r="304">
          <cell r="A304" t="str">
            <v>A</v>
          </cell>
          <cell r="F304" t="str">
            <v>7621-3000</v>
          </cell>
          <cell r="G304" t="str">
            <v>A</v>
          </cell>
          <cell r="H304">
            <v>6</v>
          </cell>
          <cell r="I304" t="str">
            <v>Light Bulbs</v>
          </cell>
          <cell r="J304" t="str">
            <v>Light Bulbs</v>
          </cell>
          <cell r="K304">
            <v>0</v>
          </cell>
          <cell r="L304">
            <v>0</v>
          </cell>
          <cell r="M304">
            <v>0</v>
          </cell>
          <cell r="N304">
            <v>0</v>
          </cell>
          <cell r="O304">
            <v>0</v>
          </cell>
          <cell r="P304">
            <v>0</v>
          </cell>
          <cell r="Q304" t="str">
            <v/>
          </cell>
          <cell r="R304" t="str">
            <v/>
          </cell>
          <cell r="S304" t="str">
            <v/>
          </cell>
          <cell r="T304" t="str">
            <v/>
          </cell>
          <cell r="U304" t="str">
            <v/>
          </cell>
          <cell r="V304" t="str">
            <v/>
          </cell>
          <cell r="W304">
            <v>0</v>
          </cell>
          <cell r="X304">
            <v>0</v>
          </cell>
          <cell r="Y304" t="str">
            <v/>
          </cell>
          <cell r="Z304" t="str">
            <v>BUY</v>
          </cell>
          <cell r="AA304" t="str">
            <v/>
          </cell>
        </row>
        <row r="305">
          <cell r="A305" t="str">
            <v>A</v>
          </cell>
          <cell r="F305" t="str">
            <v>7621-4</v>
          </cell>
          <cell r="G305" t="str">
            <v>A</v>
          </cell>
          <cell r="H305">
            <v>6</v>
          </cell>
          <cell r="I305" t="str">
            <v>Lights, Bulbs and Tubes</v>
          </cell>
          <cell r="J305" t="str">
            <v>Lights, Bulbs and Tubes</v>
          </cell>
          <cell r="K305">
            <v>0</v>
          </cell>
          <cell r="L305">
            <v>0</v>
          </cell>
          <cell r="M305">
            <v>0</v>
          </cell>
          <cell r="N305">
            <v>0</v>
          </cell>
          <cell r="O305">
            <v>0</v>
          </cell>
          <cell r="P305">
            <v>0</v>
          </cell>
          <cell r="Q305" t="str">
            <v/>
          </cell>
          <cell r="R305" t="str">
            <v/>
          </cell>
          <cell r="S305" t="str">
            <v/>
          </cell>
          <cell r="T305" t="str">
            <v/>
          </cell>
          <cell r="U305" t="str">
            <v/>
          </cell>
          <cell r="V305" t="str">
            <v/>
          </cell>
          <cell r="W305">
            <v>0</v>
          </cell>
          <cell r="X305">
            <v>0</v>
          </cell>
          <cell r="Y305" t="str">
            <v/>
          </cell>
          <cell r="Z305" t="str">
            <v>BUY</v>
          </cell>
          <cell r="AA305" t="str">
            <v/>
          </cell>
        </row>
        <row r="306">
          <cell r="A306" t="str">
            <v>A</v>
          </cell>
          <cell r="F306" t="str">
            <v>7621-5</v>
          </cell>
          <cell r="G306" t="str">
            <v>A</v>
          </cell>
          <cell r="H306">
            <v>6</v>
          </cell>
          <cell r="I306" t="str">
            <v>Lights, Bulbs and Tubes</v>
          </cell>
          <cell r="J306" t="str">
            <v>Lights, Bulbs and Tubes</v>
          </cell>
          <cell r="K306">
            <v>0</v>
          </cell>
          <cell r="L306">
            <v>0</v>
          </cell>
          <cell r="M306">
            <v>0</v>
          </cell>
          <cell r="N306">
            <v>0</v>
          </cell>
          <cell r="O306">
            <v>0</v>
          </cell>
          <cell r="P306">
            <v>0</v>
          </cell>
          <cell r="Q306" t="str">
            <v/>
          </cell>
          <cell r="R306" t="str">
            <v/>
          </cell>
          <cell r="S306" t="str">
            <v/>
          </cell>
          <cell r="T306" t="str">
            <v/>
          </cell>
          <cell r="U306" t="str">
            <v/>
          </cell>
          <cell r="V306" t="str">
            <v/>
          </cell>
          <cell r="W306">
            <v>0</v>
          </cell>
          <cell r="X306">
            <v>0</v>
          </cell>
          <cell r="Y306" t="str">
            <v/>
          </cell>
          <cell r="Z306" t="str">
            <v>BUY</v>
          </cell>
          <cell r="AA306" t="str">
            <v/>
          </cell>
        </row>
        <row r="307">
          <cell r="A307" t="str">
            <v>A</v>
          </cell>
          <cell r="F307" t="str">
            <v>7622</v>
          </cell>
          <cell r="G307" t="str">
            <v>A</v>
          </cell>
          <cell r="H307">
            <v>6</v>
          </cell>
          <cell r="I307" t="str">
            <v>Intercom System Services</v>
          </cell>
          <cell r="J307" t="str">
            <v>Intercom System Services</v>
          </cell>
          <cell r="K307">
            <v>0</v>
          </cell>
          <cell r="L307">
            <v>0</v>
          </cell>
          <cell r="M307">
            <v>0</v>
          </cell>
          <cell r="N307">
            <v>0</v>
          </cell>
          <cell r="O307">
            <v>0</v>
          </cell>
          <cell r="P307">
            <v>0</v>
          </cell>
          <cell r="Q307" t="str">
            <v/>
          </cell>
          <cell r="R307" t="str">
            <v/>
          </cell>
          <cell r="S307" t="str">
            <v/>
          </cell>
          <cell r="T307" t="str">
            <v/>
          </cell>
          <cell r="U307" t="str">
            <v/>
          </cell>
          <cell r="V307" t="str">
            <v/>
          </cell>
          <cell r="W307">
            <v>0</v>
          </cell>
          <cell r="X307">
            <v>0</v>
          </cell>
          <cell r="Y307" t="str">
            <v/>
          </cell>
          <cell r="Z307" t="str">
            <v>BUY</v>
          </cell>
          <cell r="AA307" t="str">
            <v/>
          </cell>
        </row>
        <row r="308">
          <cell r="A308" t="str">
            <v>A</v>
          </cell>
          <cell r="F308" t="str">
            <v>7622-2</v>
          </cell>
          <cell r="G308" t="str">
            <v>A</v>
          </cell>
          <cell r="H308">
            <v>6</v>
          </cell>
          <cell r="I308" t="str">
            <v>Intercom System Services</v>
          </cell>
          <cell r="J308" t="str">
            <v>Intercom System Services</v>
          </cell>
          <cell r="K308">
            <v>0</v>
          </cell>
          <cell r="L308">
            <v>0</v>
          </cell>
          <cell r="M308">
            <v>0</v>
          </cell>
          <cell r="N308">
            <v>0</v>
          </cell>
          <cell r="O308">
            <v>0</v>
          </cell>
          <cell r="P308">
            <v>0</v>
          </cell>
          <cell r="Q308" t="str">
            <v/>
          </cell>
          <cell r="R308" t="str">
            <v/>
          </cell>
          <cell r="S308" t="str">
            <v/>
          </cell>
          <cell r="T308" t="str">
            <v/>
          </cell>
          <cell r="U308" t="str">
            <v/>
          </cell>
          <cell r="V308" t="str">
            <v/>
          </cell>
          <cell r="W308">
            <v>0</v>
          </cell>
          <cell r="X308">
            <v>0</v>
          </cell>
          <cell r="Y308" t="str">
            <v/>
          </cell>
          <cell r="Z308" t="str">
            <v>BUY</v>
          </cell>
          <cell r="AA308" t="str">
            <v/>
          </cell>
        </row>
        <row r="309">
          <cell r="A309" t="str">
            <v>A</v>
          </cell>
          <cell r="F309" t="str">
            <v>7622-3</v>
          </cell>
          <cell r="G309" t="str">
            <v>A</v>
          </cell>
          <cell r="H309">
            <v>6</v>
          </cell>
          <cell r="I309" t="str">
            <v>Intercom System Services</v>
          </cell>
          <cell r="J309" t="str">
            <v>Intercom System Services</v>
          </cell>
          <cell r="K309">
            <v>0</v>
          </cell>
          <cell r="L309">
            <v>0</v>
          </cell>
          <cell r="M309">
            <v>0</v>
          </cell>
          <cell r="N309">
            <v>0</v>
          </cell>
          <cell r="O309">
            <v>0</v>
          </cell>
          <cell r="P309">
            <v>0</v>
          </cell>
          <cell r="Q309" t="str">
            <v/>
          </cell>
          <cell r="R309" t="str">
            <v/>
          </cell>
          <cell r="S309" t="str">
            <v/>
          </cell>
          <cell r="T309" t="str">
            <v/>
          </cell>
          <cell r="U309" t="str">
            <v/>
          </cell>
          <cell r="V309" t="str">
            <v/>
          </cell>
          <cell r="W309">
            <v>0</v>
          </cell>
          <cell r="X309">
            <v>0</v>
          </cell>
          <cell r="Y309" t="str">
            <v/>
          </cell>
          <cell r="Z309" t="str">
            <v>BUY</v>
          </cell>
          <cell r="AA309" t="str">
            <v/>
          </cell>
        </row>
        <row r="310">
          <cell r="A310" t="str">
            <v>A</v>
          </cell>
          <cell r="F310" t="str">
            <v>7622-4</v>
          </cell>
          <cell r="G310" t="str">
            <v>A</v>
          </cell>
          <cell r="H310">
            <v>6</v>
          </cell>
          <cell r="I310" t="str">
            <v>Intercom System Services</v>
          </cell>
          <cell r="J310" t="str">
            <v>Intercom System Services</v>
          </cell>
          <cell r="K310">
            <v>0</v>
          </cell>
          <cell r="L310">
            <v>0</v>
          </cell>
          <cell r="M310">
            <v>0</v>
          </cell>
          <cell r="N310">
            <v>0</v>
          </cell>
          <cell r="O310">
            <v>0</v>
          </cell>
          <cell r="P310">
            <v>0</v>
          </cell>
          <cell r="Q310" t="str">
            <v/>
          </cell>
          <cell r="R310" t="str">
            <v/>
          </cell>
          <cell r="S310" t="str">
            <v/>
          </cell>
          <cell r="T310" t="str">
            <v/>
          </cell>
          <cell r="U310" t="str">
            <v/>
          </cell>
          <cell r="V310" t="str">
            <v/>
          </cell>
          <cell r="W310">
            <v>0</v>
          </cell>
          <cell r="X310">
            <v>0</v>
          </cell>
          <cell r="Y310" t="str">
            <v/>
          </cell>
          <cell r="Z310" t="str">
            <v>BUY</v>
          </cell>
          <cell r="AA310" t="str">
            <v/>
          </cell>
        </row>
        <row r="311">
          <cell r="A311" t="str">
            <v>A</v>
          </cell>
          <cell r="F311" t="str">
            <v>7622-5</v>
          </cell>
          <cell r="G311" t="str">
            <v>A</v>
          </cell>
          <cell r="H311">
            <v>6</v>
          </cell>
          <cell r="I311" t="str">
            <v>Intercom System Services</v>
          </cell>
          <cell r="J311" t="str">
            <v>Intercom System Services</v>
          </cell>
          <cell r="K311">
            <v>0</v>
          </cell>
          <cell r="L311">
            <v>0</v>
          </cell>
          <cell r="M311">
            <v>0</v>
          </cell>
          <cell r="N311">
            <v>0</v>
          </cell>
          <cell r="O311">
            <v>0</v>
          </cell>
          <cell r="P311">
            <v>0</v>
          </cell>
          <cell r="Q311" t="str">
            <v/>
          </cell>
          <cell r="R311" t="str">
            <v/>
          </cell>
          <cell r="S311" t="str">
            <v/>
          </cell>
          <cell r="T311" t="str">
            <v/>
          </cell>
          <cell r="U311" t="str">
            <v/>
          </cell>
          <cell r="V311" t="str">
            <v/>
          </cell>
          <cell r="W311">
            <v>0</v>
          </cell>
          <cell r="X311">
            <v>0</v>
          </cell>
          <cell r="Y311" t="str">
            <v/>
          </cell>
          <cell r="Z311" t="str">
            <v>BUY</v>
          </cell>
          <cell r="AA311" t="str">
            <v/>
          </cell>
        </row>
        <row r="312">
          <cell r="A312" t="str">
            <v>A</v>
          </cell>
          <cell r="F312" t="str">
            <v>7623</v>
          </cell>
          <cell r="G312" t="str">
            <v>A</v>
          </cell>
          <cell r="H312">
            <v>6</v>
          </cell>
          <cell r="I312" t="str">
            <v>Antenna/Cable Services</v>
          </cell>
          <cell r="J312" t="str">
            <v>Antenna/Cable Services</v>
          </cell>
          <cell r="K312">
            <v>0</v>
          </cell>
          <cell r="L312">
            <v>0</v>
          </cell>
          <cell r="M312">
            <v>45414</v>
          </cell>
          <cell r="N312">
            <v>40111</v>
          </cell>
          <cell r="O312">
            <v>45415</v>
          </cell>
          <cell r="P312">
            <v>1</v>
          </cell>
          <cell r="Q312">
            <v>2.2019641520154565E-5</v>
          </cell>
          <cell r="R312" t="str">
            <v>GL 6024 Bulk rate for new digital system. $28.04 x 126 units=$ 3,533.04 x 12 months. Plus current city tax of $251.50/mo. TOTAL $45,414.48</v>
          </cell>
          <cell r="S312" t="str">
            <v>Comcast</v>
          </cell>
          <cell r="T312">
            <v>38819</v>
          </cell>
          <cell r="U312">
            <v>42471</v>
          </cell>
          <cell r="V312" t="str">
            <v>$3784/mo</v>
          </cell>
          <cell r="W312">
            <v>130940</v>
          </cell>
          <cell r="X312">
            <v>0</v>
          </cell>
          <cell r="Y312" t="str">
            <v>A</v>
          </cell>
          <cell r="Z312" t="str">
            <v>BUY</v>
          </cell>
          <cell r="AA312" t="str">
            <v/>
          </cell>
        </row>
        <row r="313">
          <cell r="A313" t="str">
            <v>A</v>
          </cell>
          <cell r="F313" t="str">
            <v>7623-1</v>
          </cell>
          <cell r="G313" t="str">
            <v>A</v>
          </cell>
          <cell r="H313">
            <v>6</v>
          </cell>
          <cell r="I313" t="str">
            <v>Antenna/Cable Services</v>
          </cell>
          <cell r="J313" t="str">
            <v>Antenna/Cable Services</v>
          </cell>
          <cell r="K313">
            <v>0</v>
          </cell>
          <cell r="L313">
            <v>0</v>
          </cell>
          <cell r="M313">
            <v>0</v>
          </cell>
          <cell r="N313">
            <v>0</v>
          </cell>
          <cell r="O313">
            <v>0</v>
          </cell>
          <cell r="P313">
            <v>0</v>
          </cell>
          <cell r="Q313" t="str">
            <v/>
          </cell>
          <cell r="R313" t="str">
            <v/>
          </cell>
          <cell r="S313" t="str">
            <v/>
          </cell>
          <cell r="T313" t="str">
            <v/>
          </cell>
          <cell r="U313" t="str">
            <v/>
          </cell>
          <cell r="V313" t="str">
            <v/>
          </cell>
          <cell r="W313">
            <v>0</v>
          </cell>
          <cell r="X313">
            <v>0</v>
          </cell>
          <cell r="Y313" t="str">
            <v/>
          </cell>
          <cell r="Z313" t="str">
            <v>BUY</v>
          </cell>
          <cell r="AA313" t="str">
            <v/>
          </cell>
        </row>
        <row r="314">
          <cell r="A314" t="str">
            <v>A</v>
          </cell>
          <cell r="F314" t="str">
            <v>7624</v>
          </cell>
          <cell r="G314" t="str">
            <v>A</v>
          </cell>
          <cell r="H314">
            <v>6</v>
          </cell>
          <cell r="I314" t="str">
            <v>Internet Expense</v>
          </cell>
          <cell r="J314" t="str">
            <v>Internet Expense</v>
          </cell>
          <cell r="K314">
            <v>0</v>
          </cell>
          <cell r="L314">
            <v>0</v>
          </cell>
          <cell r="M314">
            <v>0</v>
          </cell>
          <cell r="N314">
            <v>0</v>
          </cell>
          <cell r="O314">
            <v>0</v>
          </cell>
          <cell r="P314">
            <v>0</v>
          </cell>
          <cell r="Q314" t="str">
            <v/>
          </cell>
          <cell r="R314" t="str">
            <v/>
          </cell>
          <cell r="S314" t="str">
            <v/>
          </cell>
          <cell r="T314" t="str">
            <v/>
          </cell>
          <cell r="U314" t="str">
            <v/>
          </cell>
          <cell r="V314" t="str">
            <v/>
          </cell>
          <cell r="W314">
            <v>0</v>
          </cell>
          <cell r="X314">
            <v>0</v>
          </cell>
          <cell r="Y314" t="str">
            <v/>
          </cell>
          <cell r="Z314" t="str">
            <v>BUY</v>
          </cell>
          <cell r="AA314" t="str">
            <v/>
          </cell>
        </row>
        <row r="315">
          <cell r="A315" t="str">
            <v>A</v>
          </cell>
          <cell r="F315" t="str">
            <v>7630</v>
          </cell>
          <cell r="G315" t="str">
            <v>A</v>
          </cell>
          <cell r="H315">
            <v>6</v>
          </cell>
          <cell r="I315" t="str">
            <v>All HVAC Expenses</v>
          </cell>
          <cell r="J315" t="str">
            <v>All HVAC Expenses</v>
          </cell>
          <cell r="K315">
            <v>0</v>
          </cell>
          <cell r="L315">
            <v>0</v>
          </cell>
          <cell r="M315">
            <v>0</v>
          </cell>
          <cell r="N315">
            <v>0</v>
          </cell>
          <cell r="O315">
            <v>0</v>
          </cell>
          <cell r="P315">
            <v>0</v>
          </cell>
          <cell r="Q315" t="str">
            <v/>
          </cell>
          <cell r="R315" t="str">
            <v/>
          </cell>
          <cell r="S315" t="str">
            <v/>
          </cell>
          <cell r="T315" t="str">
            <v/>
          </cell>
          <cell r="U315" t="str">
            <v/>
          </cell>
          <cell r="V315" t="str">
            <v/>
          </cell>
          <cell r="W315">
            <v>0</v>
          </cell>
          <cell r="X315">
            <v>0</v>
          </cell>
          <cell r="Y315" t="str">
            <v/>
          </cell>
          <cell r="Z315" t="str">
            <v>BUY</v>
          </cell>
          <cell r="AA315" t="str">
            <v/>
          </cell>
        </row>
        <row r="316">
          <cell r="A316" t="str">
            <v>A</v>
          </cell>
          <cell r="F316" t="str">
            <v>7630-2</v>
          </cell>
          <cell r="G316" t="str">
            <v>A</v>
          </cell>
          <cell r="H316">
            <v>6</v>
          </cell>
          <cell r="I316" t="str">
            <v>All HVAC Expenses</v>
          </cell>
          <cell r="J316" t="str">
            <v>All HVAC Expenses</v>
          </cell>
          <cell r="K316">
            <v>0</v>
          </cell>
          <cell r="L316">
            <v>0</v>
          </cell>
          <cell r="M316">
            <v>0</v>
          </cell>
          <cell r="N316">
            <v>0</v>
          </cell>
          <cell r="O316">
            <v>0</v>
          </cell>
          <cell r="P316">
            <v>0</v>
          </cell>
          <cell r="Q316" t="str">
            <v/>
          </cell>
          <cell r="R316" t="str">
            <v/>
          </cell>
          <cell r="S316" t="str">
            <v/>
          </cell>
          <cell r="T316" t="str">
            <v/>
          </cell>
          <cell r="U316" t="str">
            <v/>
          </cell>
          <cell r="V316" t="str">
            <v/>
          </cell>
          <cell r="W316">
            <v>0</v>
          </cell>
          <cell r="X316">
            <v>0</v>
          </cell>
          <cell r="Y316" t="str">
            <v/>
          </cell>
          <cell r="Z316" t="str">
            <v>BUY</v>
          </cell>
          <cell r="AA316" t="str">
            <v/>
          </cell>
        </row>
        <row r="317">
          <cell r="A317" t="str">
            <v>A</v>
          </cell>
          <cell r="F317" t="str">
            <v>7630-3</v>
          </cell>
          <cell r="G317" t="str">
            <v>A</v>
          </cell>
          <cell r="H317">
            <v>6</v>
          </cell>
          <cell r="I317" t="str">
            <v>All HVAC Expenses</v>
          </cell>
          <cell r="J317" t="str">
            <v>All HVAC Expenses</v>
          </cell>
          <cell r="K317">
            <v>0</v>
          </cell>
          <cell r="L317">
            <v>0</v>
          </cell>
          <cell r="M317">
            <v>0</v>
          </cell>
          <cell r="N317">
            <v>0</v>
          </cell>
          <cell r="O317">
            <v>0</v>
          </cell>
          <cell r="P317">
            <v>0</v>
          </cell>
          <cell r="Q317" t="str">
            <v/>
          </cell>
          <cell r="R317" t="str">
            <v/>
          </cell>
          <cell r="S317" t="str">
            <v/>
          </cell>
          <cell r="T317" t="str">
            <v/>
          </cell>
          <cell r="U317" t="str">
            <v/>
          </cell>
          <cell r="V317" t="str">
            <v/>
          </cell>
          <cell r="W317">
            <v>0</v>
          </cell>
          <cell r="X317">
            <v>0</v>
          </cell>
          <cell r="Y317" t="str">
            <v/>
          </cell>
          <cell r="Z317" t="str">
            <v>BUY</v>
          </cell>
          <cell r="AA317" t="str">
            <v/>
          </cell>
        </row>
        <row r="318">
          <cell r="A318" t="str">
            <v>A</v>
          </cell>
          <cell r="F318" t="str">
            <v>7630-4</v>
          </cell>
          <cell r="G318" t="str">
            <v>A</v>
          </cell>
          <cell r="H318">
            <v>6</v>
          </cell>
          <cell r="I318" t="str">
            <v>All HVAC Expenses</v>
          </cell>
          <cell r="J318" t="str">
            <v>All HVAC Expenses</v>
          </cell>
          <cell r="K318">
            <v>0</v>
          </cell>
          <cell r="L318">
            <v>0</v>
          </cell>
          <cell r="M318">
            <v>0</v>
          </cell>
          <cell r="N318">
            <v>0</v>
          </cell>
          <cell r="O318">
            <v>0</v>
          </cell>
          <cell r="P318">
            <v>0</v>
          </cell>
          <cell r="Q318" t="str">
            <v/>
          </cell>
          <cell r="R318" t="str">
            <v/>
          </cell>
          <cell r="S318" t="str">
            <v/>
          </cell>
          <cell r="T318" t="str">
            <v/>
          </cell>
          <cell r="U318" t="str">
            <v/>
          </cell>
          <cell r="V318" t="str">
            <v/>
          </cell>
          <cell r="W318">
            <v>0</v>
          </cell>
          <cell r="X318">
            <v>0</v>
          </cell>
          <cell r="Y318" t="str">
            <v/>
          </cell>
          <cell r="Z318" t="str">
            <v>BUY</v>
          </cell>
          <cell r="AA318" t="str">
            <v/>
          </cell>
        </row>
        <row r="319">
          <cell r="A319" t="str">
            <v>A</v>
          </cell>
          <cell r="F319" t="str">
            <v>7630-5</v>
          </cell>
          <cell r="G319" t="str">
            <v>A</v>
          </cell>
          <cell r="H319">
            <v>6</v>
          </cell>
          <cell r="I319" t="str">
            <v>HVAC Expense Reimbursement</v>
          </cell>
          <cell r="J319" t="str">
            <v>HVAC Expense Reimbursement</v>
          </cell>
          <cell r="K319">
            <v>0</v>
          </cell>
          <cell r="L319">
            <v>0</v>
          </cell>
          <cell r="M319">
            <v>0</v>
          </cell>
          <cell r="N319">
            <v>0</v>
          </cell>
          <cell r="O319">
            <v>0</v>
          </cell>
          <cell r="P319">
            <v>0</v>
          </cell>
          <cell r="Q319" t="str">
            <v/>
          </cell>
          <cell r="R319" t="str">
            <v/>
          </cell>
          <cell r="S319" t="str">
            <v/>
          </cell>
          <cell r="T319" t="str">
            <v/>
          </cell>
          <cell r="U319" t="str">
            <v/>
          </cell>
          <cell r="V319" t="str">
            <v/>
          </cell>
          <cell r="W319">
            <v>0</v>
          </cell>
          <cell r="X319">
            <v>0</v>
          </cell>
          <cell r="Y319" t="str">
            <v/>
          </cell>
          <cell r="Z319" t="str">
            <v>BUY</v>
          </cell>
          <cell r="AA319" t="str">
            <v/>
          </cell>
        </row>
        <row r="320">
          <cell r="A320" t="str">
            <v>A</v>
          </cell>
          <cell r="F320" t="str">
            <v>7631</v>
          </cell>
          <cell r="G320" t="str">
            <v>A</v>
          </cell>
          <cell r="H320">
            <v>6</v>
          </cell>
          <cell r="I320" t="str">
            <v>HVAC Maintenance Contract</v>
          </cell>
          <cell r="J320" t="str">
            <v>HVAC Maintenance Contract</v>
          </cell>
          <cell r="K320">
            <v>0</v>
          </cell>
          <cell r="L320">
            <v>0</v>
          </cell>
          <cell r="M320">
            <v>7308</v>
          </cell>
          <cell r="N320">
            <v>10695</v>
          </cell>
          <cell r="O320">
            <v>9880</v>
          </cell>
          <cell r="P320">
            <v>2572</v>
          </cell>
          <cell r="Q320">
            <v>0.35194307608100717</v>
          </cell>
          <cell r="R320" t="str">
            <v>Price includes contracted service and $4000 for repairs/supplies. Add 4% to contract beginning 9/2010. AC repairs included in this account.</v>
          </cell>
          <cell r="S320" t="str">
            <v>Edwards Engineering</v>
          </cell>
          <cell r="T320">
            <v>40057</v>
          </cell>
          <cell r="U320">
            <v>40787</v>
          </cell>
          <cell r="V320">
            <v>5880</v>
          </cell>
          <cell r="W320">
            <v>27883</v>
          </cell>
          <cell r="X320">
            <v>0</v>
          </cell>
          <cell r="Y320" t="str">
            <v>A</v>
          </cell>
          <cell r="Z320" t="str">
            <v>BUY</v>
          </cell>
          <cell r="AA320" t="str">
            <v/>
          </cell>
        </row>
        <row r="321">
          <cell r="A321" t="str">
            <v>A</v>
          </cell>
          <cell r="F321" t="str">
            <v>7631-2</v>
          </cell>
          <cell r="G321" t="str">
            <v>A</v>
          </cell>
          <cell r="H321">
            <v>6</v>
          </cell>
          <cell r="I321" t="str">
            <v>HVAC Maintenance Contract</v>
          </cell>
          <cell r="J321" t="str">
            <v>HVAC Maintenance Contract</v>
          </cell>
          <cell r="K321">
            <v>0</v>
          </cell>
          <cell r="L321">
            <v>0</v>
          </cell>
          <cell r="M321">
            <v>0</v>
          </cell>
          <cell r="N321">
            <v>0</v>
          </cell>
          <cell r="O321">
            <v>0</v>
          </cell>
          <cell r="P321">
            <v>0</v>
          </cell>
          <cell r="Q321" t="str">
            <v/>
          </cell>
          <cell r="R321" t="str">
            <v/>
          </cell>
          <cell r="S321" t="str">
            <v/>
          </cell>
          <cell r="T321" t="str">
            <v/>
          </cell>
          <cell r="U321" t="str">
            <v/>
          </cell>
          <cell r="V321" t="str">
            <v/>
          </cell>
          <cell r="W321">
            <v>0</v>
          </cell>
          <cell r="X321">
            <v>0</v>
          </cell>
          <cell r="Y321" t="str">
            <v/>
          </cell>
          <cell r="Z321" t="str">
            <v>BUY</v>
          </cell>
          <cell r="AA321" t="str">
            <v/>
          </cell>
        </row>
        <row r="322">
          <cell r="A322" t="str">
            <v>A</v>
          </cell>
          <cell r="F322" t="str">
            <v>7631-3</v>
          </cell>
          <cell r="G322" t="str">
            <v>A</v>
          </cell>
          <cell r="H322">
            <v>6</v>
          </cell>
          <cell r="I322" t="str">
            <v>HVAC Maintenance Contract</v>
          </cell>
          <cell r="J322" t="str">
            <v>HVAC Maintenance Contract</v>
          </cell>
          <cell r="K322">
            <v>0</v>
          </cell>
          <cell r="L322">
            <v>0</v>
          </cell>
          <cell r="M322">
            <v>0</v>
          </cell>
          <cell r="N322">
            <v>0</v>
          </cell>
          <cell r="O322">
            <v>0</v>
          </cell>
          <cell r="P322">
            <v>0</v>
          </cell>
          <cell r="Q322" t="str">
            <v/>
          </cell>
          <cell r="R322" t="str">
            <v/>
          </cell>
          <cell r="S322" t="str">
            <v/>
          </cell>
          <cell r="T322" t="str">
            <v/>
          </cell>
          <cell r="U322" t="str">
            <v/>
          </cell>
          <cell r="V322" t="str">
            <v/>
          </cell>
          <cell r="W322">
            <v>0</v>
          </cell>
          <cell r="X322">
            <v>0</v>
          </cell>
          <cell r="Y322" t="str">
            <v/>
          </cell>
          <cell r="Z322" t="str">
            <v>BUY</v>
          </cell>
          <cell r="AA322" t="str">
            <v/>
          </cell>
        </row>
        <row r="323">
          <cell r="A323" t="str">
            <v>A</v>
          </cell>
          <cell r="F323" t="str">
            <v>7631-4</v>
          </cell>
          <cell r="G323" t="str">
            <v>A</v>
          </cell>
          <cell r="H323">
            <v>6</v>
          </cell>
          <cell r="I323" t="str">
            <v>HVAC Maintenance Contract</v>
          </cell>
          <cell r="J323" t="str">
            <v>HVAC Maintenance Contract</v>
          </cell>
          <cell r="K323">
            <v>0</v>
          </cell>
          <cell r="L323">
            <v>0</v>
          </cell>
          <cell r="M323">
            <v>0</v>
          </cell>
          <cell r="N323">
            <v>0</v>
          </cell>
          <cell r="O323">
            <v>0</v>
          </cell>
          <cell r="P323">
            <v>0</v>
          </cell>
          <cell r="Q323" t="str">
            <v/>
          </cell>
          <cell r="R323" t="str">
            <v/>
          </cell>
          <cell r="S323" t="str">
            <v/>
          </cell>
          <cell r="T323" t="str">
            <v/>
          </cell>
          <cell r="U323" t="str">
            <v/>
          </cell>
          <cell r="V323" t="str">
            <v/>
          </cell>
          <cell r="W323">
            <v>0</v>
          </cell>
          <cell r="X323">
            <v>0</v>
          </cell>
          <cell r="Y323" t="str">
            <v/>
          </cell>
          <cell r="Z323" t="str">
            <v>BUY</v>
          </cell>
          <cell r="AA323" t="str">
            <v/>
          </cell>
        </row>
        <row r="324">
          <cell r="A324" t="str">
            <v>A</v>
          </cell>
          <cell r="F324" t="str">
            <v>7631-5</v>
          </cell>
          <cell r="G324" t="str">
            <v>A</v>
          </cell>
          <cell r="H324">
            <v>6</v>
          </cell>
          <cell r="I324" t="str">
            <v>HVAC Maintenance Contract</v>
          </cell>
          <cell r="J324" t="str">
            <v>HVAC Maintenance Contract</v>
          </cell>
          <cell r="K324">
            <v>0</v>
          </cell>
          <cell r="L324">
            <v>0</v>
          </cell>
          <cell r="M324">
            <v>0</v>
          </cell>
          <cell r="N324">
            <v>0</v>
          </cell>
          <cell r="O324">
            <v>0</v>
          </cell>
          <cell r="P324">
            <v>0</v>
          </cell>
          <cell r="Q324" t="str">
            <v/>
          </cell>
          <cell r="R324" t="str">
            <v/>
          </cell>
          <cell r="S324" t="str">
            <v/>
          </cell>
          <cell r="T324" t="str">
            <v/>
          </cell>
          <cell r="U324" t="str">
            <v/>
          </cell>
          <cell r="V324" t="str">
            <v/>
          </cell>
          <cell r="W324">
            <v>0</v>
          </cell>
          <cell r="X324">
            <v>0</v>
          </cell>
          <cell r="Y324" t="str">
            <v/>
          </cell>
          <cell r="Z324" t="str">
            <v>BUY</v>
          </cell>
          <cell r="AA324" t="str">
            <v/>
          </cell>
        </row>
        <row r="325">
          <cell r="A325" t="str">
            <v>A</v>
          </cell>
          <cell r="F325" t="str">
            <v>7632</v>
          </cell>
          <cell r="G325" t="str">
            <v>A</v>
          </cell>
          <cell r="H325">
            <v>6</v>
          </cell>
          <cell r="I325" t="str">
            <v>HVAC Repairs/Supplies</v>
          </cell>
          <cell r="J325" t="str">
            <v>HVAC Repairs/Supplies</v>
          </cell>
          <cell r="K325">
            <v>0</v>
          </cell>
          <cell r="L325">
            <v>0</v>
          </cell>
          <cell r="M325">
            <v>0</v>
          </cell>
          <cell r="N325">
            <v>652</v>
          </cell>
          <cell r="O325">
            <v>0</v>
          </cell>
          <cell r="P325">
            <v>0</v>
          </cell>
          <cell r="Q325" t="str">
            <v/>
          </cell>
          <cell r="R325" t="str">
            <v>Expenses reflected in GL 7631</v>
          </cell>
          <cell r="S325" t="str">
            <v/>
          </cell>
          <cell r="T325" t="str">
            <v/>
          </cell>
          <cell r="U325" t="str">
            <v/>
          </cell>
          <cell r="V325" t="str">
            <v/>
          </cell>
          <cell r="W325">
            <v>652</v>
          </cell>
          <cell r="X325">
            <v>0</v>
          </cell>
          <cell r="Y325" t="str">
            <v>A</v>
          </cell>
          <cell r="Z325" t="str">
            <v>BUY</v>
          </cell>
          <cell r="AA325" t="str">
            <v/>
          </cell>
        </row>
        <row r="326">
          <cell r="A326" t="str">
            <v>A</v>
          </cell>
          <cell r="F326" t="str">
            <v>7632-2</v>
          </cell>
          <cell r="G326" t="str">
            <v>A</v>
          </cell>
          <cell r="H326">
            <v>6</v>
          </cell>
          <cell r="I326" t="str">
            <v>HVAC Repairs/Supplies</v>
          </cell>
          <cell r="J326" t="str">
            <v>HVAC Repairs/Supplies</v>
          </cell>
          <cell r="K326">
            <v>0</v>
          </cell>
          <cell r="L326">
            <v>0</v>
          </cell>
          <cell r="M326">
            <v>0</v>
          </cell>
          <cell r="N326">
            <v>0</v>
          </cell>
          <cell r="O326">
            <v>0</v>
          </cell>
          <cell r="P326">
            <v>0</v>
          </cell>
          <cell r="Q326" t="str">
            <v/>
          </cell>
          <cell r="R326" t="str">
            <v/>
          </cell>
          <cell r="S326" t="str">
            <v/>
          </cell>
          <cell r="T326" t="str">
            <v/>
          </cell>
          <cell r="U326" t="str">
            <v/>
          </cell>
          <cell r="V326" t="str">
            <v/>
          </cell>
          <cell r="W326">
            <v>0</v>
          </cell>
          <cell r="X326">
            <v>0</v>
          </cell>
          <cell r="Y326" t="str">
            <v/>
          </cell>
          <cell r="Z326" t="str">
            <v>BUY</v>
          </cell>
          <cell r="AA326" t="str">
            <v/>
          </cell>
        </row>
        <row r="327">
          <cell r="A327" t="str">
            <v>A</v>
          </cell>
          <cell r="F327" t="str">
            <v>7632-3</v>
          </cell>
          <cell r="G327" t="str">
            <v>A</v>
          </cell>
          <cell r="H327">
            <v>6</v>
          </cell>
          <cell r="I327" t="str">
            <v>HVAC Repairs/Supplies</v>
          </cell>
          <cell r="J327" t="str">
            <v>HVAC Repairs/Supplies</v>
          </cell>
          <cell r="K327">
            <v>0</v>
          </cell>
          <cell r="L327">
            <v>0</v>
          </cell>
          <cell r="M327">
            <v>0</v>
          </cell>
          <cell r="N327">
            <v>0</v>
          </cell>
          <cell r="O327">
            <v>0</v>
          </cell>
          <cell r="P327">
            <v>0</v>
          </cell>
          <cell r="Q327" t="str">
            <v/>
          </cell>
          <cell r="R327" t="str">
            <v/>
          </cell>
          <cell r="S327" t="str">
            <v/>
          </cell>
          <cell r="T327" t="str">
            <v/>
          </cell>
          <cell r="U327" t="str">
            <v/>
          </cell>
          <cell r="V327" t="str">
            <v/>
          </cell>
          <cell r="W327">
            <v>0</v>
          </cell>
          <cell r="X327">
            <v>0</v>
          </cell>
          <cell r="Y327" t="str">
            <v/>
          </cell>
          <cell r="Z327" t="str">
            <v>BUY</v>
          </cell>
          <cell r="AA327" t="str">
            <v/>
          </cell>
        </row>
        <row r="328">
          <cell r="A328" t="str">
            <v>A</v>
          </cell>
          <cell r="F328" t="str">
            <v>7632-4</v>
          </cell>
          <cell r="G328" t="str">
            <v>A</v>
          </cell>
          <cell r="H328">
            <v>6</v>
          </cell>
          <cell r="I328" t="str">
            <v>HVAC Repairs/Supplies</v>
          </cell>
          <cell r="J328" t="str">
            <v>HVAC Repairs/Supplies</v>
          </cell>
          <cell r="K328">
            <v>0</v>
          </cell>
          <cell r="L328">
            <v>0</v>
          </cell>
          <cell r="M328">
            <v>0</v>
          </cell>
          <cell r="N328">
            <v>0</v>
          </cell>
          <cell r="O328">
            <v>0</v>
          </cell>
          <cell r="P328">
            <v>0</v>
          </cell>
          <cell r="Q328" t="str">
            <v/>
          </cell>
          <cell r="R328" t="str">
            <v/>
          </cell>
          <cell r="S328" t="str">
            <v/>
          </cell>
          <cell r="T328" t="str">
            <v/>
          </cell>
          <cell r="U328" t="str">
            <v/>
          </cell>
          <cell r="V328" t="str">
            <v/>
          </cell>
          <cell r="W328">
            <v>0</v>
          </cell>
          <cell r="X328">
            <v>0</v>
          </cell>
          <cell r="Y328" t="str">
            <v/>
          </cell>
          <cell r="Z328" t="str">
            <v>BUY</v>
          </cell>
          <cell r="AA328" t="str">
            <v/>
          </cell>
        </row>
        <row r="329">
          <cell r="A329" t="str">
            <v>A</v>
          </cell>
          <cell r="F329" t="str">
            <v>7632-5</v>
          </cell>
          <cell r="G329" t="str">
            <v>A</v>
          </cell>
          <cell r="H329">
            <v>6</v>
          </cell>
          <cell r="I329" t="str">
            <v>HVAC Repairs/Supplies</v>
          </cell>
          <cell r="J329" t="str">
            <v>HVAC Repairs/Supplies</v>
          </cell>
          <cell r="K329">
            <v>0</v>
          </cell>
          <cell r="L329">
            <v>0</v>
          </cell>
          <cell r="M329">
            <v>0</v>
          </cell>
          <cell r="N329">
            <v>0</v>
          </cell>
          <cell r="O329">
            <v>0</v>
          </cell>
          <cell r="P329">
            <v>0</v>
          </cell>
          <cell r="Q329" t="str">
            <v/>
          </cell>
          <cell r="R329" t="str">
            <v/>
          </cell>
          <cell r="S329" t="str">
            <v/>
          </cell>
          <cell r="T329" t="str">
            <v/>
          </cell>
          <cell r="U329" t="str">
            <v/>
          </cell>
          <cell r="V329" t="str">
            <v/>
          </cell>
          <cell r="W329">
            <v>0</v>
          </cell>
          <cell r="X329">
            <v>0</v>
          </cell>
          <cell r="Y329" t="str">
            <v/>
          </cell>
          <cell r="Z329" t="str">
            <v>BUY</v>
          </cell>
          <cell r="AA329" t="str">
            <v/>
          </cell>
        </row>
        <row r="330">
          <cell r="A330" t="str">
            <v>A</v>
          </cell>
          <cell r="F330" t="str">
            <v>7633</v>
          </cell>
          <cell r="G330" t="str">
            <v>A</v>
          </cell>
          <cell r="H330">
            <v>6</v>
          </cell>
          <cell r="I330" t="str">
            <v>Heating System Expenses</v>
          </cell>
          <cell r="J330" t="str">
            <v>Heating System Expenses</v>
          </cell>
          <cell r="K330">
            <v>0</v>
          </cell>
          <cell r="L330">
            <v>0</v>
          </cell>
          <cell r="M330">
            <v>0</v>
          </cell>
          <cell r="N330">
            <v>0</v>
          </cell>
          <cell r="O330">
            <v>0</v>
          </cell>
          <cell r="P330">
            <v>0</v>
          </cell>
          <cell r="Q330" t="str">
            <v/>
          </cell>
          <cell r="R330" t="str">
            <v/>
          </cell>
          <cell r="S330" t="str">
            <v/>
          </cell>
          <cell r="T330" t="str">
            <v/>
          </cell>
          <cell r="U330" t="str">
            <v/>
          </cell>
          <cell r="V330" t="str">
            <v/>
          </cell>
          <cell r="W330">
            <v>0</v>
          </cell>
          <cell r="X330">
            <v>0</v>
          </cell>
          <cell r="Y330" t="str">
            <v/>
          </cell>
          <cell r="Z330" t="str">
            <v>BUY</v>
          </cell>
          <cell r="AA330" t="str">
            <v/>
          </cell>
        </row>
        <row r="331">
          <cell r="A331" t="str">
            <v>A</v>
          </cell>
          <cell r="F331" t="str">
            <v>7633-2</v>
          </cell>
          <cell r="G331" t="str">
            <v>A</v>
          </cell>
          <cell r="H331">
            <v>6</v>
          </cell>
          <cell r="I331" t="str">
            <v>Heating System Exp</v>
          </cell>
          <cell r="J331" t="str">
            <v>Heating System Exp</v>
          </cell>
          <cell r="K331">
            <v>0</v>
          </cell>
          <cell r="L331">
            <v>0</v>
          </cell>
          <cell r="M331">
            <v>0</v>
          </cell>
          <cell r="N331">
            <v>0</v>
          </cell>
          <cell r="O331">
            <v>0</v>
          </cell>
          <cell r="P331">
            <v>0</v>
          </cell>
          <cell r="Q331" t="str">
            <v/>
          </cell>
          <cell r="R331" t="str">
            <v/>
          </cell>
          <cell r="S331" t="str">
            <v/>
          </cell>
          <cell r="T331" t="str">
            <v/>
          </cell>
          <cell r="U331" t="str">
            <v/>
          </cell>
          <cell r="V331" t="str">
            <v/>
          </cell>
          <cell r="W331">
            <v>0</v>
          </cell>
          <cell r="X331">
            <v>0</v>
          </cell>
          <cell r="Y331" t="str">
            <v/>
          </cell>
          <cell r="Z331" t="str">
            <v>BUY</v>
          </cell>
          <cell r="AA331" t="str">
            <v/>
          </cell>
        </row>
        <row r="332">
          <cell r="A332" t="str">
            <v>A</v>
          </cell>
          <cell r="F332" t="str">
            <v>7634</v>
          </cell>
          <cell r="G332" t="str">
            <v>A</v>
          </cell>
          <cell r="H332">
            <v>6</v>
          </cell>
          <cell r="I332" t="str">
            <v>Air Conditioning Expenses</v>
          </cell>
          <cell r="J332" t="str">
            <v>Air Conditioning Expenses</v>
          </cell>
          <cell r="K332">
            <v>0</v>
          </cell>
          <cell r="L332">
            <v>0</v>
          </cell>
          <cell r="M332">
            <v>500</v>
          </cell>
          <cell r="N332">
            <v>373</v>
          </cell>
          <cell r="O332">
            <v>0</v>
          </cell>
          <cell r="P332">
            <v>-500</v>
          </cell>
          <cell r="Q332">
            <v>-1</v>
          </cell>
          <cell r="R332" t="str">
            <v>Expenses reflected in GL 7631</v>
          </cell>
          <cell r="S332" t="str">
            <v/>
          </cell>
          <cell r="T332" t="str">
            <v/>
          </cell>
          <cell r="U332" t="str">
            <v/>
          </cell>
          <cell r="V332" t="str">
            <v/>
          </cell>
          <cell r="W332">
            <v>873</v>
          </cell>
          <cell r="X332">
            <v>0</v>
          </cell>
          <cell r="Y332" t="str">
            <v>A</v>
          </cell>
          <cell r="Z332" t="str">
            <v>BUY</v>
          </cell>
          <cell r="AA332" t="str">
            <v/>
          </cell>
        </row>
        <row r="333">
          <cell r="A333" t="str">
            <v>A</v>
          </cell>
          <cell r="F333" t="str">
            <v>7634-4</v>
          </cell>
          <cell r="G333" t="str">
            <v>A</v>
          </cell>
          <cell r="H333">
            <v>6</v>
          </cell>
          <cell r="I333" t="str">
            <v>Air Conditioning Expense</v>
          </cell>
          <cell r="J333" t="str">
            <v>Air Conditioning Expense</v>
          </cell>
          <cell r="K333">
            <v>0</v>
          </cell>
          <cell r="L333">
            <v>0</v>
          </cell>
          <cell r="M333">
            <v>0</v>
          </cell>
          <cell r="N333">
            <v>0</v>
          </cell>
          <cell r="O333">
            <v>0</v>
          </cell>
          <cell r="P333">
            <v>0</v>
          </cell>
          <cell r="Q333" t="str">
            <v/>
          </cell>
          <cell r="R333" t="str">
            <v/>
          </cell>
          <cell r="S333" t="str">
            <v/>
          </cell>
          <cell r="T333" t="str">
            <v/>
          </cell>
          <cell r="U333" t="str">
            <v/>
          </cell>
          <cell r="V333" t="str">
            <v/>
          </cell>
          <cell r="W333">
            <v>0</v>
          </cell>
          <cell r="X333">
            <v>0</v>
          </cell>
          <cell r="Y333" t="str">
            <v/>
          </cell>
          <cell r="Z333" t="str">
            <v>BUY</v>
          </cell>
          <cell r="AA333" t="str">
            <v/>
          </cell>
        </row>
        <row r="334">
          <cell r="A334" t="str">
            <v>A</v>
          </cell>
          <cell r="F334" t="str">
            <v>7635</v>
          </cell>
          <cell r="G334" t="str">
            <v>A</v>
          </cell>
          <cell r="H334">
            <v>6</v>
          </cell>
          <cell r="I334" t="str">
            <v>Ventilation System Expense</v>
          </cell>
          <cell r="J334" t="str">
            <v>Ventilation System Expense</v>
          </cell>
          <cell r="K334">
            <v>0</v>
          </cell>
          <cell r="L334">
            <v>0</v>
          </cell>
          <cell r="M334">
            <v>0</v>
          </cell>
          <cell r="N334">
            <v>0</v>
          </cell>
          <cell r="O334">
            <v>0</v>
          </cell>
          <cell r="P334">
            <v>0</v>
          </cell>
          <cell r="Q334" t="str">
            <v/>
          </cell>
          <cell r="R334" t="str">
            <v/>
          </cell>
          <cell r="S334" t="str">
            <v/>
          </cell>
          <cell r="T334" t="str">
            <v/>
          </cell>
          <cell r="U334" t="str">
            <v/>
          </cell>
          <cell r="V334" t="str">
            <v/>
          </cell>
          <cell r="W334">
            <v>0</v>
          </cell>
          <cell r="X334">
            <v>0</v>
          </cell>
          <cell r="Y334" t="str">
            <v/>
          </cell>
          <cell r="Z334" t="str">
            <v>BUY</v>
          </cell>
          <cell r="AA334" t="str">
            <v/>
          </cell>
        </row>
        <row r="335">
          <cell r="A335" t="str">
            <v>A</v>
          </cell>
          <cell r="F335" t="str">
            <v>7635-2</v>
          </cell>
          <cell r="G335" t="str">
            <v>A</v>
          </cell>
          <cell r="H335">
            <v>6</v>
          </cell>
          <cell r="I335" t="str">
            <v>Ventilation System Expense</v>
          </cell>
          <cell r="J335" t="str">
            <v>Ventilation System Expense</v>
          </cell>
          <cell r="K335">
            <v>0</v>
          </cell>
          <cell r="L335">
            <v>0</v>
          </cell>
          <cell r="M335">
            <v>0</v>
          </cell>
          <cell r="N335">
            <v>0</v>
          </cell>
          <cell r="O335">
            <v>0</v>
          </cell>
          <cell r="P335">
            <v>0</v>
          </cell>
          <cell r="Q335" t="str">
            <v/>
          </cell>
          <cell r="R335" t="str">
            <v/>
          </cell>
          <cell r="S335" t="str">
            <v/>
          </cell>
          <cell r="T335" t="str">
            <v/>
          </cell>
          <cell r="U335" t="str">
            <v/>
          </cell>
          <cell r="V335" t="str">
            <v/>
          </cell>
          <cell r="W335">
            <v>0</v>
          </cell>
          <cell r="X335">
            <v>0</v>
          </cell>
          <cell r="Y335" t="str">
            <v/>
          </cell>
          <cell r="Z335" t="str">
            <v>BUY</v>
          </cell>
          <cell r="AA335" t="str">
            <v/>
          </cell>
        </row>
        <row r="336">
          <cell r="A336" t="str">
            <v>A</v>
          </cell>
          <cell r="F336" t="str">
            <v>7635-3</v>
          </cell>
          <cell r="G336" t="str">
            <v>A</v>
          </cell>
          <cell r="H336">
            <v>6</v>
          </cell>
          <cell r="I336" t="str">
            <v>Ventilation System Expense</v>
          </cell>
          <cell r="J336" t="str">
            <v>Ventilation System Expense</v>
          </cell>
          <cell r="K336">
            <v>0</v>
          </cell>
          <cell r="L336">
            <v>0</v>
          </cell>
          <cell r="M336">
            <v>0</v>
          </cell>
          <cell r="N336">
            <v>0</v>
          </cell>
          <cell r="O336">
            <v>0</v>
          </cell>
          <cell r="P336">
            <v>0</v>
          </cell>
          <cell r="Q336" t="str">
            <v/>
          </cell>
          <cell r="R336" t="str">
            <v/>
          </cell>
          <cell r="S336" t="str">
            <v/>
          </cell>
          <cell r="T336" t="str">
            <v/>
          </cell>
          <cell r="U336" t="str">
            <v/>
          </cell>
          <cell r="V336" t="str">
            <v/>
          </cell>
          <cell r="W336">
            <v>0</v>
          </cell>
          <cell r="X336">
            <v>0</v>
          </cell>
          <cell r="Y336" t="str">
            <v/>
          </cell>
          <cell r="Z336" t="str">
            <v>BUY</v>
          </cell>
          <cell r="AA336" t="str">
            <v/>
          </cell>
        </row>
        <row r="337">
          <cell r="A337" t="str">
            <v>A</v>
          </cell>
          <cell r="F337" t="str">
            <v>7635-4</v>
          </cell>
          <cell r="G337" t="str">
            <v>A</v>
          </cell>
          <cell r="H337">
            <v>6</v>
          </cell>
          <cell r="I337" t="str">
            <v>Ventilation System Expense</v>
          </cell>
          <cell r="J337" t="str">
            <v>Ventilation System Expense</v>
          </cell>
          <cell r="K337">
            <v>0</v>
          </cell>
          <cell r="L337">
            <v>0</v>
          </cell>
          <cell r="M337">
            <v>0</v>
          </cell>
          <cell r="N337">
            <v>0</v>
          </cell>
          <cell r="O337">
            <v>0</v>
          </cell>
          <cell r="P337">
            <v>0</v>
          </cell>
          <cell r="Q337" t="str">
            <v/>
          </cell>
          <cell r="R337" t="str">
            <v/>
          </cell>
          <cell r="S337" t="str">
            <v/>
          </cell>
          <cell r="T337" t="str">
            <v/>
          </cell>
          <cell r="U337" t="str">
            <v/>
          </cell>
          <cell r="V337" t="str">
            <v/>
          </cell>
          <cell r="W337">
            <v>0</v>
          </cell>
          <cell r="X337">
            <v>0</v>
          </cell>
          <cell r="Y337" t="str">
            <v/>
          </cell>
          <cell r="Z337" t="str">
            <v>BUY</v>
          </cell>
          <cell r="AA337" t="str">
            <v/>
          </cell>
        </row>
        <row r="338">
          <cell r="A338" t="str">
            <v>A</v>
          </cell>
          <cell r="F338" t="str">
            <v>7635-5</v>
          </cell>
          <cell r="G338" t="str">
            <v>A</v>
          </cell>
          <cell r="H338">
            <v>6</v>
          </cell>
          <cell r="I338" t="str">
            <v>Ventilation System Expenxe</v>
          </cell>
          <cell r="J338" t="str">
            <v>Ventilation System Expenxe</v>
          </cell>
          <cell r="K338">
            <v>0</v>
          </cell>
          <cell r="L338">
            <v>0</v>
          </cell>
          <cell r="M338">
            <v>0</v>
          </cell>
          <cell r="N338">
            <v>0</v>
          </cell>
          <cell r="O338">
            <v>0</v>
          </cell>
          <cell r="P338">
            <v>0</v>
          </cell>
          <cell r="Q338" t="str">
            <v/>
          </cell>
          <cell r="R338" t="str">
            <v/>
          </cell>
          <cell r="S338" t="str">
            <v/>
          </cell>
          <cell r="T338" t="str">
            <v/>
          </cell>
          <cell r="U338" t="str">
            <v/>
          </cell>
          <cell r="V338" t="str">
            <v/>
          </cell>
          <cell r="W338">
            <v>0</v>
          </cell>
          <cell r="X338">
            <v>0</v>
          </cell>
          <cell r="Y338" t="str">
            <v/>
          </cell>
          <cell r="Z338" t="str">
            <v>BUY</v>
          </cell>
          <cell r="AA338" t="str">
            <v/>
          </cell>
        </row>
        <row r="339">
          <cell r="A339" t="str">
            <v>A</v>
          </cell>
          <cell r="F339" t="str">
            <v>7636</v>
          </cell>
          <cell r="G339" t="str">
            <v>A</v>
          </cell>
          <cell r="H339">
            <v>6</v>
          </cell>
          <cell r="I339" t="str">
            <v>Dryer Vent Cleaning</v>
          </cell>
          <cell r="J339" t="str">
            <v>Dryer Vent Cleaning</v>
          </cell>
          <cell r="K339">
            <v>0</v>
          </cell>
          <cell r="L339">
            <v>0</v>
          </cell>
          <cell r="M339">
            <v>0</v>
          </cell>
          <cell r="N339">
            <v>0</v>
          </cell>
          <cell r="O339">
            <v>0</v>
          </cell>
          <cell r="P339">
            <v>0</v>
          </cell>
          <cell r="Q339" t="str">
            <v/>
          </cell>
          <cell r="R339" t="str">
            <v/>
          </cell>
          <cell r="S339" t="str">
            <v/>
          </cell>
          <cell r="T339" t="str">
            <v/>
          </cell>
          <cell r="U339" t="str">
            <v/>
          </cell>
          <cell r="V339" t="str">
            <v/>
          </cell>
          <cell r="W339">
            <v>0</v>
          </cell>
          <cell r="X339">
            <v>0</v>
          </cell>
          <cell r="Y339" t="str">
            <v/>
          </cell>
          <cell r="Z339" t="str">
            <v>BUY</v>
          </cell>
          <cell r="AA339" t="str">
            <v/>
          </cell>
        </row>
        <row r="340">
          <cell r="A340" t="str">
            <v>A</v>
          </cell>
          <cell r="F340" t="str">
            <v>7636-2</v>
          </cell>
          <cell r="G340" t="str">
            <v>A</v>
          </cell>
          <cell r="H340">
            <v>6</v>
          </cell>
          <cell r="I340" t="str">
            <v>Dryer Vent Cleaning</v>
          </cell>
          <cell r="J340" t="str">
            <v>Dryer Vent Cleaning</v>
          </cell>
          <cell r="K340">
            <v>0</v>
          </cell>
          <cell r="L340">
            <v>0</v>
          </cell>
          <cell r="M340">
            <v>0</v>
          </cell>
          <cell r="N340">
            <v>0</v>
          </cell>
          <cell r="O340">
            <v>0</v>
          </cell>
          <cell r="P340">
            <v>0</v>
          </cell>
          <cell r="Q340" t="str">
            <v/>
          </cell>
          <cell r="R340" t="str">
            <v/>
          </cell>
          <cell r="S340" t="str">
            <v/>
          </cell>
          <cell r="T340" t="str">
            <v/>
          </cell>
          <cell r="U340" t="str">
            <v/>
          </cell>
          <cell r="V340" t="str">
            <v/>
          </cell>
          <cell r="W340">
            <v>0</v>
          </cell>
          <cell r="X340">
            <v>0</v>
          </cell>
          <cell r="Y340" t="str">
            <v/>
          </cell>
          <cell r="Z340" t="str">
            <v>BUY</v>
          </cell>
          <cell r="AA340" t="str">
            <v/>
          </cell>
        </row>
        <row r="341">
          <cell r="A341" t="str">
            <v>A</v>
          </cell>
          <cell r="F341" t="str">
            <v>7636-3</v>
          </cell>
          <cell r="G341" t="str">
            <v>A</v>
          </cell>
          <cell r="H341">
            <v>6</v>
          </cell>
          <cell r="I341" t="str">
            <v>Dryer Vent Cleaning</v>
          </cell>
          <cell r="J341" t="str">
            <v>Dryer Vent Cleaning</v>
          </cell>
          <cell r="K341">
            <v>0</v>
          </cell>
          <cell r="L341">
            <v>0</v>
          </cell>
          <cell r="M341">
            <v>0</v>
          </cell>
          <cell r="N341">
            <v>0</v>
          </cell>
          <cell r="O341">
            <v>0</v>
          </cell>
          <cell r="P341">
            <v>0</v>
          </cell>
          <cell r="Q341" t="str">
            <v/>
          </cell>
          <cell r="R341" t="str">
            <v/>
          </cell>
          <cell r="S341" t="str">
            <v/>
          </cell>
          <cell r="T341" t="str">
            <v/>
          </cell>
          <cell r="U341" t="str">
            <v/>
          </cell>
          <cell r="V341" t="str">
            <v/>
          </cell>
          <cell r="W341">
            <v>0</v>
          </cell>
          <cell r="X341">
            <v>0</v>
          </cell>
          <cell r="Y341" t="str">
            <v/>
          </cell>
          <cell r="Z341" t="str">
            <v>BUY</v>
          </cell>
          <cell r="AA341" t="str">
            <v/>
          </cell>
        </row>
        <row r="342">
          <cell r="A342" t="str">
            <v>A</v>
          </cell>
          <cell r="F342" t="str">
            <v>7636-4</v>
          </cell>
          <cell r="G342" t="str">
            <v>A</v>
          </cell>
          <cell r="H342">
            <v>6</v>
          </cell>
          <cell r="I342" t="str">
            <v>Dryer Vent Cleaning</v>
          </cell>
          <cell r="J342" t="str">
            <v>Dryer Vent Cleaning</v>
          </cell>
          <cell r="K342">
            <v>0</v>
          </cell>
          <cell r="L342">
            <v>0</v>
          </cell>
          <cell r="M342">
            <v>0</v>
          </cell>
          <cell r="N342">
            <v>0</v>
          </cell>
          <cell r="O342">
            <v>0</v>
          </cell>
          <cell r="P342">
            <v>0</v>
          </cell>
          <cell r="Q342" t="str">
            <v/>
          </cell>
          <cell r="R342" t="str">
            <v/>
          </cell>
          <cell r="S342" t="str">
            <v/>
          </cell>
          <cell r="T342" t="str">
            <v/>
          </cell>
          <cell r="U342" t="str">
            <v/>
          </cell>
          <cell r="V342" t="str">
            <v/>
          </cell>
          <cell r="W342">
            <v>0</v>
          </cell>
          <cell r="X342">
            <v>0</v>
          </cell>
          <cell r="Y342" t="str">
            <v/>
          </cell>
          <cell r="Z342" t="str">
            <v>BUY</v>
          </cell>
          <cell r="AA342" t="str">
            <v/>
          </cell>
        </row>
        <row r="343">
          <cell r="A343" t="str">
            <v>A</v>
          </cell>
          <cell r="F343" t="str">
            <v>7636-5</v>
          </cell>
          <cell r="G343" t="str">
            <v>A</v>
          </cell>
          <cell r="H343">
            <v>6</v>
          </cell>
          <cell r="I343" t="str">
            <v>Dryer Vent Cleaning</v>
          </cell>
          <cell r="J343" t="str">
            <v>Dryer Vent Cleaning</v>
          </cell>
          <cell r="K343">
            <v>0</v>
          </cell>
          <cell r="L343">
            <v>0</v>
          </cell>
          <cell r="M343">
            <v>0</v>
          </cell>
          <cell r="N343">
            <v>0</v>
          </cell>
          <cell r="O343">
            <v>0</v>
          </cell>
          <cell r="P343">
            <v>0</v>
          </cell>
          <cell r="Q343" t="str">
            <v/>
          </cell>
          <cell r="R343" t="str">
            <v/>
          </cell>
          <cell r="S343" t="str">
            <v/>
          </cell>
          <cell r="T343" t="str">
            <v/>
          </cell>
          <cell r="U343" t="str">
            <v/>
          </cell>
          <cell r="V343" t="str">
            <v/>
          </cell>
          <cell r="W343">
            <v>0</v>
          </cell>
          <cell r="X343">
            <v>0</v>
          </cell>
          <cell r="Y343" t="str">
            <v/>
          </cell>
          <cell r="Z343" t="str">
            <v>BUY</v>
          </cell>
          <cell r="AA343" t="str">
            <v/>
          </cell>
        </row>
        <row r="344">
          <cell r="A344" t="str">
            <v>A</v>
          </cell>
          <cell r="F344" t="str">
            <v>7637</v>
          </cell>
          <cell r="G344" t="str">
            <v>A</v>
          </cell>
          <cell r="H344">
            <v>6</v>
          </cell>
          <cell r="I344" t="str">
            <v>Hot Water System Expense</v>
          </cell>
          <cell r="J344" t="str">
            <v>Hot Water System Expense</v>
          </cell>
          <cell r="K344">
            <v>0</v>
          </cell>
          <cell r="L344">
            <v>0</v>
          </cell>
          <cell r="M344">
            <v>0</v>
          </cell>
          <cell r="N344">
            <v>0</v>
          </cell>
          <cell r="O344">
            <v>0</v>
          </cell>
          <cell r="P344">
            <v>0</v>
          </cell>
          <cell r="Q344" t="str">
            <v/>
          </cell>
          <cell r="R344" t="str">
            <v/>
          </cell>
          <cell r="S344" t="str">
            <v/>
          </cell>
          <cell r="T344" t="str">
            <v/>
          </cell>
          <cell r="U344" t="str">
            <v/>
          </cell>
          <cell r="V344" t="str">
            <v/>
          </cell>
          <cell r="W344">
            <v>0</v>
          </cell>
          <cell r="X344">
            <v>0</v>
          </cell>
          <cell r="Y344" t="str">
            <v/>
          </cell>
          <cell r="Z344" t="str">
            <v>BUY</v>
          </cell>
          <cell r="AA344" t="str">
            <v/>
          </cell>
        </row>
        <row r="345">
          <cell r="A345" t="str">
            <v>A</v>
          </cell>
          <cell r="F345" t="str">
            <v>7637-1</v>
          </cell>
          <cell r="G345" t="str">
            <v>A</v>
          </cell>
          <cell r="H345">
            <v>6</v>
          </cell>
          <cell r="I345" t="str">
            <v>Hot Water System Exp</v>
          </cell>
          <cell r="J345" t="str">
            <v>Hot Water System Exp</v>
          </cell>
          <cell r="K345">
            <v>0</v>
          </cell>
          <cell r="L345">
            <v>0</v>
          </cell>
          <cell r="M345">
            <v>0</v>
          </cell>
          <cell r="N345">
            <v>0</v>
          </cell>
          <cell r="O345">
            <v>0</v>
          </cell>
          <cell r="P345">
            <v>0</v>
          </cell>
          <cell r="Q345" t="str">
            <v/>
          </cell>
          <cell r="R345" t="str">
            <v/>
          </cell>
          <cell r="S345" t="str">
            <v/>
          </cell>
          <cell r="T345" t="str">
            <v/>
          </cell>
          <cell r="U345" t="str">
            <v/>
          </cell>
          <cell r="V345" t="str">
            <v/>
          </cell>
          <cell r="W345">
            <v>0</v>
          </cell>
          <cell r="X345">
            <v>0</v>
          </cell>
          <cell r="Y345" t="str">
            <v/>
          </cell>
          <cell r="Z345" t="str">
            <v>BUY</v>
          </cell>
          <cell r="AA345" t="str">
            <v/>
          </cell>
        </row>
        <row r="346">
          <cell r="A346" t="str">
            <v>A</v>
          </cell>
          <cell r="F346" t="str">
            <v>7637-2</v>
          </cell>
          <cell r="G346" t="str">
            <v>A</v>
          </cell>
          <cell r="H346">
            <v>6</v>
          </cell>
          <cell r="I346" t="str">
            <v>Hot Water System Expense</v>
          </cell>
          <cell r="J346" t="str">
            <v>Hot Water System Expense</v>
          </cell>
          <cell r="K346">
            <v>0</v>
          </cell>
          <cell r="L346">
            <v>0</v>
          </cell>
          <cell r="M346">
            <v>0</v>
          </cell>
          <cell r="N346">
            <v>0</v>
          </cell>
          <cell r="O346">
            <v>0</v>
          </cell>
          <cell r="P346">
            <v>0</v>
          </cell>
          <cell r="Q346" t="str">
            <v/>
          </cell>
          <cell r="R346" t="str">
            <v/>
          </cell>
          <cell r="S346" t="str">
            <v/>
          </cell>
          <cell r="T346" t="str">
            <v/>
          </cell>
          <cell r="U346" t="str">
            <v/>
          </cell>
          <cell r="V346" t="str">
            <v/>
          </cell>
          <cell r="W346">
            <v>0</v>
          </cell>
          <cell r="X346">
            <v>0</v>
          </cell>
          <cell r="Y346" t="str">
            <v/>
          </cell>
          <cell r="Z346" t="str">
            <v>BUY</v>
          </cell>
          <cell r="AA346" t="str">
            <v/>
          </cell>
        </row>
        <row r="347">
          <cell r="A347" t="str">
            <v>A</v>
          </cell>
          <cell r="F347" t="str">
            <v>7637-3</v>
          </cell>
          <cell r="G347" t="str">
            <v>A</v>
          </cell>
          <cell r="H347">
            <v>6</v>
          </cell>
          <cell r="I347" t="str">
            <v>Hot Water System Expense</v>
          </cell>
          <cell r="J347" t="str">
            <v>Hot Water System Expense</v>
          </cell>
          <cell r="K347">
            <v>0</v>
          </cell>
          <cell r="L347">
            <v>0</v>
          </cell>
          <cell r="M347">
            <v>0</v>
          </cell>
          <cell r="N347">
            <v>0</v>
          </cell>
          <cell r="O347">
            <v>0</v>
          </cell>
          <cell r="P347">
            <v>0</v>
          </cell>
          <cell r="Q347" t="str">
            <v/>
          </cell>
          <cell r="R347" t="str">
            <v/>
          </cell>
          <cell r="S347" t="str">
            <v/>
          </cell>
          <cell r="T347" t="str">
            <v/>
          </cell>
          <cell r="U347" t="str">
            <v/>
          </cell>
          <cell r="V347" t="str">
            <v/>
          </cell>
          <cell r="W347">
            <v>0</v>
          </cell>
          <cell r="X347">
            <v>0</v>
          </cell>
          <cell r="Y347" t="str">
            <v/>
          </cell>
          <cell r="Z347" t="str">
            <v>BUY</v>
          </cell>
          <cell r="AA347" t="str">
            <v/>
          </cell>
        </row>
        <row r="348">
          <cell r="A348" t="str">
            <v>A</v>
          </cell>
          <cell r="F348" t="str">
            <v>7637-4</v>
          </cell>
          <cell r="G348" t="str">
            <v>A</v>
          </cell>
          <cell r="H348">
            <v>6</v>
          </cell>
          <cell r="I348" t="str">
            <v>Hot Water System Expense</v>
          </cell>
          <cell r="J348" t="str">
            <v>Hot Water System Expense</v>
          </cell>
          <cell r="K348">
            <v>0</v>
          </cell>
          <cell r="L348">
            <v>0</v>
          </cell>
          <cell r="M348">
            <v>0</v>
          </cell>
          <cell r="N348">
            <v>0</v>
          </cell>
          <cell r="O348">
            <v>0</v>
          </cell>
          <cell r="P348">
            <v>0</v>
          </cell>
          <cell r="Q348" t="str">
            <v/>
          </cell>
          <cell r="R348" t="str">
            <v/>
          </cell>
          <cell r="S348" t="str">
            <v/>
          </cell>
          <cell r="T348" t="str">
            <v/>
          </cell>
          <cell r="U348" t="str">
            <v/>
          </cell>
          <cell r="V348" t="str">
            <v/>
          </cell>
          <cell r="W348">
            <v>0</v>
          </cell>
          <cell r="X348">
            <v>0</v>
          </cell>
          <cell r="Y348" t="str">
            <v/>
          </cell>
          <cell r="Z348" t="str">
            <v>BUY</v>
          </cell>
          <cell r="AA348" t="str">
            <v/>
          </cell>
        </row>
        <row r="349">
          <cell r="A349" t="str">
            <v>A</v>
          </cell>
          <cell r="F349" t="str">
            <v>7637-5</v>
          </cell>
          <cell r="G349" t="str">
            <v>A</v>
          </cell>
          <cell r="H349">
            <v>6</v>
          </cell>
          <cell r="I349" t="str">
            <v>Hot Water System Expense</v>
          </cell>
          <cell r="J349" t="str">
            <v>Hot Water System Expense</v>
          </cell>
          <cell r="K349">
            <v>0</v>
          </cell>
          <cell r="L349">
            <v>0</v>
          </cell>
          <cell r="M349">
            <v>0</v>
          </cell>
          <cell r="N349">
            <v>0</v>
          </cell>
          <cell r="O349">
            <v>0</v>
          </cell>
          <cell r="P349">
            <v>0</v>
          </cell>
          <cell r="Q349" t="str">
            <v/>
          </cell>
          <cell r="R349" t="str">
            <v/>
          </cell>
          <cell r="S349" t="str">
            <v/>
          </cell>
          <cell r="T349" t="str">
            <v/>
          </cell>
          <cell r="U349" t="str">
            <v/>
          </cell>
          <cell r="V349" t="str">
            <v/>
          </cell>
          <cell r="W349">
            <v>0</v>
          </cell>
          <cell r="X349">
            <v>0</v>
          </cell>
          <cell r="Y349" t="str">
            <v/>
          </cell>
          <cell r="Z349" t="str">
            <v>BUY</v>
          </cell>
          <cell r="AA349" t="str">
            <v/>
          </cell>
        </row>
        <row r="350">
          <cell r="A350" t="str">
            <v>A</v>
          </cell>
          <cell r="F350" t="str">
            <v>7638</v>
          </cell>
          <cell r="G350" t="str">
            <v>A</v>
          </cell>
          <cell r="H350">
            <v>6</v>
          </cell>
          <cell r="I350" t="str">
            <v>HVAC Expenses:Units</v>
          </cell>
          <cell r="J350" t="str">
            <v>HVAC Expenses:Units</v>
          </cell>
          <cell r="K350">
            <v>0</v>
          </cell>
          <cell r="L350">
            <v>0</v>
          </cell>
          <cell r="M350">
            <v>0</v>
          </cell>
          <cell r="N350">
            <v>0</v>
          </cell>
          <cell r="O350">
            <v>0</v>
          </cell>
          <cell r="P350">
            <v>0</v>
          </cell>
          <cell r="Q350" t="str">
            <v/>
          </cell>
          <cell r="R350" t="str">
            <v/>
          </cell>
          <cell r="S350" t="str">
            <v/>
          </cell>
          <cell r="T350" t="str">
            <v/>
          </cell>
          <cell r="U350" t="str">
            <v/>
          </cell>
          <cell r="V350" t="str">
            <v/>
          </cell>
          <cell r="W350">
            <v>0</v>
          </cell>
          <cell r="X350">
            <v>0</v>
          </cell>
          <cell r="Y350" t="str">
            <v/>
          </cell>
          <cell r="Z350" t="str">
            <v>BUY</v>
          </cell>
          <cell r="AA350" t="str">
            <v/>
          </cell>
        </row>
        <row r="351">
          <cell r="A351" t="str">
            <v>A</v>
          </cell>
          <cell r="F351" t="str">
            <v>7638-2</v>
          </cell>
          <cell r="G351" t="str">
            <v>A</v>
          </cell>
          <cell r="H351">
            <v>6</v>
          </cell>
          <cell r="I351" t="str">
            <v>HVAC Expenses:Units</v>
          </cell>
          <cell r="J351" t="str">
            <v>HVAC Expenses:Units</v>
          </cell>
          <cell r="K351">
            <v>0</v>
          </cell>
          <cell r="L351">
            <v>0</v>
          </cell>
          <cell r="M351">
            <v>0</v>
          </cell>
          <cell r="N351">
            <v>0</v>
          </cell>
          <cell r="O351">
            <v>0</v>
          </cell>
          <cell r="P351">
            <v>0</v>
          </cell>
          <cell r="Q351" t="str">
            <v/>
          </cell>
          <cell r="R351" t="str">
            <v/>
          </cell>
          <cell r="S351" t="str">
            <v/>
          </cell>
          <cell r="T351" t="str">
            <v/>
          </cell>
          <cell r="U351" t="str">
            <v/>
          </cell>
          <cell r="V351" t="str">
            <v/>
          </cell>
          <cell r="W351">
            <v>0</v>
          </cell>
          <cell r="X351">
            <v>0</v>
          </cell>
          <cell r="Y351" t="str">
            <v/>
          </cell>
          <cell r="Z351" t="str">
            <v>BUY</v>
          </cell>
          <cell r="AA351" t="str">
            <v/>
          </cell>
        </row>
        <row r="352">
          <cell r="A352" t="str">
            <v>A</v>
          </cell>
          <cell r="F352" t="str">
            <v>7638-3</v>
          </cell>
          <cell r="G352" t="str">
            <v>A</v>
          </cell>
          <cell r="H352">
            <v>6</v>
          </cell>
          <cell r="I352" t="str">
            <v>HVAC Expenses:Units</v>
          </cell>
          <cell r="J352" t="str">
            <v>HVAC Expenses:Units</v>
          </cell>
          <cell r="K352">
            <v>0</v>
          </cell>
          <cell r="L352">
            <v>0</v>
          </cell>
          <cell r="M352">
            <v>0</v>
          </cell>
          <cell r="N352">
            <v>0</v>
          </cell>
          <cell r="O352">
            <v>0</v>
          </cell>
          <cell r="P352">
            <v>0</v>
          </cell>
          <cell r="Q352" t="str">
            <v/>
          </cell>
          <cell r="R352" t="str">
            <v/>
          </cell>
          <cell r="S352" t="str">
            <v/>
          </cell>
          <cell r="T352" t="str">
            <v/>
          </cell>
          <cell r="U352" t="str">
            <v/>
          </cell>
          <cell r="V352" t="str">
            <v/>
          </cell>
          <cell r="W352">
            <v>0</v>
          </cell>
          <cell r="X352">
            <v>0</v>
          </cell>
          <cell r="Y352" t="str">
            <v/>
          </cell>
          <cell r="Z352" t="str">
            <v>BUY</v>
          </cell>
          <cell r="AA352" t="str">
            <v/>
          </cell>
        </row>
        <row r="353">
          <cell r="A353" t="str">
            <v>A</v>
          </cell>
          <cell r="F353" t="str">
            <v>7638-4</v>
          </cell>
          <cell r="G353" t="str">
            <v>A</v>
          </cell>
          <cell r="H353">
            <v>6</v>
          </cell>
          <cell r="I353" t="str">
            <v>HVAC Expenses:Units</v>
          </cell>
          <cell r="J353" t="str">
            <v>HVAC Expenses:Units</v>
          </cell>
          <cell r="K353">
            <v>0</v>
          </cell>
          <cell r="L353">
            <v>0</v>
          </cell>
          <cell r="M353">
            <v>0</v>
          </cell>
          <cell r="N353">
            <v>0</v>
          </cell>
          <cell r="O353">
            <v>0</v>
          </cell>
          <cell r="P353">
            <v>0</v>
          </cell>
          <cell r="Q353" t="str">
            <v/>
          </cell>
          <cell r="R353" t="str">
            <v/>
          </cell>
          <cell r="S353" t="str">
            <v/>
          </cell>
          <cell r="T353" t="str">
            <v/>
          </cell>
          <cell r="U353" t="str">
            <v/>
          </cell>
          <cell r="V353" t="str">
            <v/>
          </cell>
          <cell r="W353">
            <v>0</v>
          </cell>
          <cell r="X353">
            <v>0</v>
          </cell>
          <cell r="Y353" t="str">
            <v/>
          </cell>
          <cell r="Z353" t="str">
            <v>BUY</v>
          </cell>
          <cell r="AA353" t="str">
            <v/>
          </cell>
        </row>
        <row r="354">
          <cell r="A354" t="str">
            <v>A</v>
          </cell>
          <cell r="F354" t="str">
            <v>7638-5</v>
          </cell>
          <cell r="G354" t="str">
            <v>A</v>
          </cell>
          <cell r="H354">
            <v>6</v>
          </cell>
          <cell r="I354" t="str">
            <v>HVAC Expenses:Units</v>
          </cell>
          <cell r="J354" t="str">
            <v>HVAC Expenses:Units</v>
          </cell>
          <cell r="K354">
            <v>0</v>
          </cell>
          <cell r="L354">
            <v>0</v>
          </cell>
          <cell r="M354">
            <v>0</v>
          </cell>
          <cell r="N354">
            <v>0</v>
          </cell>
          <cell r="O354">
            <v>0</v>
          </cell>
          <cell r="P354">
            <v>0</v>
          </cell>
          <cell r="Q354" t="str">
            <v/>
          </cell>
          <cell r="R354" t="str">
            <v/>
          </cell>
          <cell r="S354" t="str">
            <v/>
          </cell>
          <cell r="T354" t="str">
            <v/>
          </cell>
          <cell r="U354" t="str">
            <v/>
          </cell>
          <cell r="V354" t="str">
            <v/>
          </cell>
          <cell r="W354">
            <v>0</v>
          </cell>
          <cell r="X354">
            <v>0</v>
          </cell>
          <cell r="Y354" t="str">
            <v/>
          </cell>
          <cell r="Z354" t="str">
            <v>BUY</v>
          </cell>
          <cell r="AA354" t="str">
            <v/>
          </cell>
        </row>
        <row r="355">
          <cell r="A355" t="str">
            <v>A</v>
          </cell>
          <cell r="F355" t="str">
            <v>7640</v>
          </cell>
          <cell r="G355" t="str">
            <v>A</v>
          </cell>
          <cell r="H355">
            <v>6</v>
          </cell>
          <cell r="I355" t="str">
            <v>Carpentry Repairs/Supplies</v>
          </cell>
          <cell r="J355" t="str">
            <v>Carpentry Repairs/Supplies</v>
          </cell>
          <cell r="K355">
            <v>0</v>
          </cell>
          <cell r="L355">
            <v>0</v>
          </cell>
          <cell r="M355">
            <v>0</v>
          </cell>
          <cell r="N355">
            <v>0</v>
          </cell>
          <cell r="O355">
            <v>0</v>
          </cell>
          <cell r="P355">
            <v>0</v>
          </cell>
          <cell r="Q355" t="str">
            <v/>
          </cell>
          <cell r="R355" t="str">
            <v/>
          </cell>
          <cell r="S355" t="str">
            <v/>
          </cell>
          <cell r="T355" t="str">
            <v/>
          </cell>
          <cell r="U355" t="str">
            <v/>
          </cell>
          <cell r="V355" t="str">
            <v/>
          </cell>
          <cell r="W355">
            <v>0</v>
          </cell>
          <cell r="X355">
            <v>0</v>
          </cell>
          <cell r="Y355" t="str">
            <v/>
          </cell>
          <cell r="Z355" t="str">
            <v>BUY</v>
          </cell>
          <cell r="AA355" t="str">
            <v/>
          </cell>
        </row>
        <row r="356">
          <cell r="A356" t="str">
            <v>A</v>
          </cell>
          <cell r="F356" t="str">
            <v>7641</v>
          </cell>
          <cell r="G356" t="str">
            <v>A</v>
          </cell>
          <cell r="H356">
            <v>6</v>
          </cell>
          <cell r="I356" t="str">
            <v>Drywall Repairs/Supplies</v>
          </cell>
          <cell r="J356" t="str">
            <v>Drywall Repairs/Supplies</v>
          </cell>
          <cell r="K356">
            <v>0</v>
          </cell>
          <cell r="L356">
            <v>0</v>
          </cell>
          <cell r="M356">
            <v>0</v>
          </cell>
          <cell r="N356">
            <v>0</v>
          </cell>
          <cell r="O356">
            <v>0</v>
          </cell>
          <cell r="P356">
            <v>0</v>
          </cell>
          <cell r="Q356" t="str">
            <v/>
          </cell>
          <cell r="R356" t="str">
            <v/>
          </cell>
          <cell r="S356" t="str">
            <v/>
          </cell>
          <cell r="T356" t="str">
            <v/>
          </cell>
          <cell r="U356" t="str">
            <v/>
          </cell>
          <cell r="V356" t="str">
            <v/>
          </cell>
          <cell r="W356">
            <v>0</v>
          </cell>
          <cell r="X356">
            <v>0</v>
          </cell>
          <cell r="Y356" t="str">
            <v/>
          </cell>
          <cell r="Z356" t="str">
            <v>BUY</v>
          </cell>
          <cell r="AA356" t="str">
            <v/>
          </cell>
        </row>
        <row r="357">
          <cell r="A357" t="str">
            <v>A</v>
          </cell>
          <cell r="F357" t="str">
            <v>7641-2</v>
          </cell>
          <cell r="G357" t="str">
            <v>A</v>
          </cell>
          <cell r="H357">
            <v>6</v>
          </cell>
          <cell r="I357" t="str">
            <v>Drywall Repairs/Supplies</v>
          </cell>
          <cell r="J357" t="str">
            <v>Drywall Repairs/Supplies</v>
          </cell>
          <cell r="K357">
            <v>0</v>
          </cell>
          <cell r="L357">
            <v>0</v>
          </cell>
          <cell r="M357">
            <v>0</v>
          </cell>
          <cell r="N357">
            <v>0</v>
          </cell>
          <cell r="O357">
            <v>0</v>
          </cell>
          <cell r="P357">
            <v>0</v>
          </cell>
          <cell r="Q357" t="str">
            <v/>
          </cell>
          <cell r="R357" t="str">
            <v/>
          </cell>
          <cell r="S357" t="str">
            <v/>
          </cell>
          <cell r="T357" t="str">
            <v/>
          </cell>
          <cell r="U357" t="str">
            <v/>
          </cell>
          <cell r="V357" t="str">
            <v/>
          </cell>
          <cell r="W357">
            <v>0</v>
          </cell>
          <cell r="X357">
            <v>0</v>
          </cell>
          <cell r="Y357" t="str">
            <v/>
          </cell>
          <cell r="Z357" t="str">
            <v>BUY</v>
          </cell>
          <cell r="AA357" t="str">
            <v/>
          </cell>
        </row>
        <row r="358">
          <cell r="A358" t="str">
            <v>A</v>
          </cell>
          <cell r="F358" t="str">
            <v>7641-3</v>
          </cell>
          <cell r="G358" t="str">
            <v>A</v>
          </cell>
          <cell r="H358">
            <v>6</v>
          </cell>
          <cell r="I358" t="str">
            <v>Drywall Repairs/Supplies</v>
          </cell>
          <cell r="J358" t="str">
            <v>Drywall Repairs/Supplies</v>
          </cell>
          <cell r="K358">
            <v>0</v>
          </cell>
          <cell r="L358">
            <v>0</v>
          </cell>
          <cell r="M358">
            <v>0</v>
          </cell>
          <cell r="N358">
            <v>0</v>
          </cell>
          <cell r="O358">
            <v>0</v>
          </cell>
          <cell r="P358">
            <v>0</v>
          </cell>
          <cell r="Q358" t="str">
            <v/>
          </cell>
          <cell r="R358" t="str">
            <v/>
          </cell>
          <cell r="S358" t="str">
            <v/>
          </cell>
          <cell r="T358" t="str">
            <v/>
          </cell>
          <cell r="U358" t="str">
            <v/>
          </cell>
          <cell r="V358" t="str">
            <v/>
          </cell>
          <cell r="W358">
            <v>0</v>
          </cell>
          <cell r="X358">
            <v>0</v>
          </cell>
          <cell r="Y358" t="str">
            <v/>
          </cell>
          <cell r="Z358" t="str">
            <v>BUY</v>
          </cell>
          <cell r="AA358" t="str">
            <v/>
          </cell>
        </row>
        <row r="359">
          <cell r="A359" t="str">
            <v>A</v>
          </cell>
          <cell r="F359" t="str">
            <v>7641-4</v>
          </cell>
          <cell r="G359" t="str">
            <v>A</v>
          </cell>
          <cell r="H359">
            <v>6</v>
          </cell>
          <cell r="I359" t="str">
            <v>Drywall Repairs/Supplies</v>
          </cell>
          <cell r="J359" t="str">
            <v>Drywall Repairs/Supplies</v>
          </cell>
          <cell r="K359">
            <v>0</v>
          </cell>
          <cell r="L359">
            <v>0</v>
          </cell>
          <cell r="M359">
            <v>0</v>
          </cell>
          <cell r="N359">
            <v>0</v>
          </cell>
          <cell r="O359">
            <v>0</v>
          </cell>
          <cell r="P359">
            <v>0</v>
          </cell>
          <cell r="Q359" t="str">
            <v/>
          </cell>
          <cell r="R359" t="str">
            <v/>
          </cell>
          <cell r="S359" t="str">
            <v/>
          </cell>
          <cell r="T359" t="str">
            <v/>
          </cell>
          <cell r="U359" t="str">
            <v/>
          </cell>
          <cell r="V359" t="str">
            <v/>
          </cell>
          <cell r="W359">
            <v>0</v>
          </cell>
          <cell r="X359">
            <v>0</v>
          </cell>
          <cell r="Y359" t="str">
            <v/>
          </cell>
          <cell r="Z359" t="str">
            <v>BUY</v>
          </cell>
          <cell r="AA359" t="str">
            <v/>
          </cell>
        </row>
        <row r="360">
          <cell r="A360" t="str">
            <v>A</v>
          </cell>
          <cell r="F360" t="str">
            <v>7641-5</v>
          </cell>
          <cell r="G360" t="str">
            <v>A</v>
          </cell>
          <cell r="H360">
            <v>6</v>
          </cell>
          <cell r="I360" t="str">
            <v>Drywall Repairs/Supplies</v>
          </cell>
          <cell r="J360" t="str">
            <v>Drywall Repairs/Supplies</v>
          </cell>
          <cell r="K360">
            <v>0</v>
          </cell>
          <cell r="L360">
            <v>0</v>
          </cell>
          <cell r="M360">
            <v>0</v>
          </cell>
          <cell r="N360">
            <v>0</v>
          </cell>
          <cell r="O360">
            <v>0</v>
          </cell>
          <cell r="P360">
            <v>0</v>
          </cell>
          <cell r="Q360" t="str">
            <v/>
          </cell>
          <cell r="R360" t="str">
            <v/>
          </cell>
          <cell r="S360" t="str">
            <v/>
          </cell>
          <cell r="T360" t="str">
            <v/>
          </cell>
          <cell r="U360" t="str">
            <v/>
          </cell>
          <cell r="V360" t="str">
            <v/>
          </cell>
          <cell r="W360">
            <v>0</v>
          </cell>
          <cell r="X360">
            <v>0</v>
          </cell>
          <cell r="Y360" t="str">
            <v/>
          </cell>
          <cell r="Z360" t="str">
            <v>BUY</v>
          </cell>
          <cell r="AA360" t="str">
            <v/>
          </cell>
        </row>
        <row r="361">
          <cell r="A361" t="str">
            <v>A</v>
          </cell>
          <cell r="F361" t="str">
            <v>7642</v>
          </cell>
          <cell r="G361" t="str">
            <v>A</v>
          </cell>
          <cell r="H361">
            <v>6</v>
          </cell>
          <cell r="I361" t="str">
            <v>Doors, Locks &amp; Keys</v>
          </cell>
          <cell r="J361" t="str">
            <v>Doors, Locks &amp; Keys</v>
          </cell>
          <cell r="K361">
            <v>0</v>
          </cell>
          <cell r="L361">
            <v>0</v>
          </cell>
          <cell r="M361">
            <v>2000</v>
          </cell>
          <cell r="N361">
            <v>2322</v>
          </cell>
          <cell r="O361">
            <v>2750</v>
          </cell>
          <cell r="P361">
            <v>750</v>
          </cell>
          <cell r="Q361">
            <v>0.375</v>
          </cell>
          <cell r="R361" t="str">
            <v>GL 6522 Includes the repairs to all first floor automatic doors. Great Lakes Doors is suggesting we use a budget of $2000 for new parts are needed. Revolving door maintenance $750/yr.</v>
          </cell>
          <cell r="S361" t="str">
            <v/>
          </cell>
          <cell r="T361" t="str">
            <v/>
          </cell>
          <cell r="U361" t="str">
            <v/>
          </cell>
          <cell r="V361" t="str">
            <v/>
          </cell>
          <cell r="W361">
            <v>7072</v>
          </cell>
          <cell r="X361">
            <v>0</v>
          </cell>
          <cell r="Y361" t="str">
            <v>A</v>
          </cell>
          <cell r="Z361" t="str">
            <v>BUY</v>
          </cell>
          <cell r="AA361" t="str">
            <v/>
          </cell>
        </row>
        <row r="362">
          <cell r="A362" t="str">
            <v>A</v>
          </cell>
          <cell r="F362" t="str">
            <v>7642-2</v>
          </cell>
          <cell r="G362" t="str">
            <v>A</v>
          </cell>
          <cell r="H362">
            <v>6</v>
          </cell>
          <cell r="I362" t="str">
            <v>Doors, Locks &amp; Keys</v>
          </cell>
          <cell r="J362" t="str">
            <v>Doors, Locks &amp; Keys</v>
          </cell>
          <cell r="K362">
            <v>0</v>
          </cell>
          <cell r="L362">
            <v>0</v>
          </cell>
          <cell r="M362">
            <v>0</v>
          </cell>
          <cell r="N362">
            <v>0</v>
          </cell>
          <cell r="O362">
            <v>0</v>
          </cell>
          <cell r="P362">
            <v>0</v>
          </cell>
          <cell r="Q362" t="str">
            <v/>
          </cell>
          <cell r="R362" t="str">
            <v/>
          </cell>
          <cell r="S362" t="str">
            <v/>
          </cell>
          <cell r="T362" t="str">
            <v/>
          </cell>
          <cell r="U362" t="str">
            <v/>
          </cell>
          <cell r="V362" t="str">
            <v/>
          </cell>
          <cell r="W362">
            <v>0</v>
          </cell>
          <cell r="X362">
            <v>0</v>
          </cell>
          <cell r="Y362" t="str">
            <v/>
          </cell>
          <cell r="Z362" t="str">
            <v>BUY</v>
          </cell>
          <cell r="AA362" t="str">
            <v/>
          </cell>
        </row>
        <row r="363">
          <cell r="A363" t="str">
            <v>A</v>
          </cell>
          <cell r="F363" t="str">
            <v>7642-2000</v>
          </cell>
          <cell r="G363" t="str">
            <v>A</v>
          </cell>
          <cell r="H363">
            <v>6</v>
          </cell>
          <cell r="I363" t="str">
            <v>Door Supplies</v>
          </cell>
          <cell r="J363" t="str">
            <v>Door Supplies</v>
          </cell>
          <cell r="K363">
            <v>0</v>
          </cell>
          <cell r="L363">
            <v>0</v>
          </cell>
          <cell r="M363">
            <v>0</v>
          </cell>
          <cell r="N363">
            <v>0</v>
          </cell>
          <cell r="O363">
            <v>0</v>
          </cell>
          <cell r="P363">
            <v>0</v>
          </cell>
          <cell r="Q363" t="str">
            <v/>
          </cell>
          <cell r="R363" t="str">
            <v/>
          </cell>
          <cell r="S363" t="str">
            <v/>
          </cell>
          <cell r="T363" t="str">
            <v/>
          </cell>
          <cell r="U363" t="str">
            <v/>
          </cell>
          <cell r="V363" t="str">
            <v/>
          </cell>
          <cell r="W363">
            <v>0</v>
          </cell>
          <cell r="X363">
            <v>0</v>
          </cell>
          <cell r="Y363" t="str">
            <v/>
          </cell>
          <cell r="Z363" t="str">
            <v>BUY</v>
          </cell>
          <cell r="AA363" t="str">
            <v/>
          </cell>
        </row>
        <row r="364">
          <cell r="A364" t="str">
            <v>A</v>
          </cell>
          <cell r="F364" t="str">
            <v>7642-3</v>
          </cell>
          <cell r="G364" t="str">
            <v>A</v>
          </cell>
          <cell r="H364">
            <v>6</v>
          </cell>
          <cell r="I364" t="str">
            <v>Doors, Locks &amp; Keys</v>
          </cell>
          <cell r="J364" t="str">
            <v>Doors, Locks &amp; Keys</v>
          </cell>
          <cell r="K364">
            <v>0</v>
          </cell>
          <cell r="L364">
            <v>0</v>
          </cell>
          <cell r="M364">
            <v>0</v>
          </cell>
          <cell r="N364">
            <v>0</v>
          </cell>
          <cell r="O364">
            <v>0</v>
          </cell>
          <cell r="P364">
            <v>0</v>
          </cell>
          <cell r="Q364" t="str">
            <v/>
          </cell>
          <cell r="R364" t="str">
            <v/>
          </cell>
          <cell r="S364" t="str">
            <v/>
          </cell>
          <cell r="T364" t="str">
            <v/>
          </cell>
          <cell r="U364" t="str">
            <v/>
          </cell>
          <cell r="V364" t="str">
            <v/>
          </cell>
          <cell r="W364">
            <v>0</v>
          </cell>
          <cell r="X364">
            <v>0</v>
          </cell>
          <cell r="Y364" t="str">
            <v/>
          </cell>
          <cell r="Z364" t="str">
            <v>BUY</v>
          </cell>
          <cell r="AA364" t="str">
            <v/>
          </cell>
        </row>
        <row r="365">
          <cell r="A365" t="str">
            <v>A</v>
          </cell>
          <cell r="F365" t="str">
            <v>7642-3000</v>
          </cell>
          <cell r="G365" t="str">
            <v>A</v>
          </cell>
          <cell r="H365">
            <v>6</v>
          </cell>
          <cell r="I365" t="str">
            <v>Door Repair</v>
          </cell>
          <cell r="J365" t="str">
            <v>Door Repair</v>
          </cell>
          <cell r="K365">
            <v>0</v>
          </cell>
          <cell r="L365">
            <v>0</v>
          </cell>
          <cell r="M365">
            <v>0</v>
          </cell>
          <cell r="N365">
            <v>0</v>
          </cell>
          <cell r="O365">
            <v>0</v>
          </cell>
          <cell r="P365">
            <v>0</v>
          </cell>
          <cell r="Q365" t="str">
            <v/>
          </cell>
          <cell r="R365" t="str">
            <v/>
          </cell>
          <cell r="S365" t="str">
            <v/>
          </cell>
          <cell r="T365" t="str">
            <v/>
          </cell>
          <cell r="U365" t="str">
            <v/>
          </cell>
          <cell r="V365" t="str">
            <v/>
          </cell>
          <cell r="W365">
            <v>0</v>
          </cell>
          <cell r="X365">
            <v>0</v>
          </cell>
          <cell r="Y365" t="str">
            <v/>
          </cell>
          <cell r="Z365" t="str">
            <v>BUY</v>
          </cell>
          <cell r="AA365" t="str">
            <v/>
          </cell>
        </row>
        <row r="366">
          <cell r="A366" t="str">
            <v>A</v>
          </cell>
          <cell r="F366" t="str">
            <v>7642-4</v>
          </cell>
          <cell r="G366" t="str">
            <v>A</v>
          </cell>
          <cell r="H366">
            <v>6</v>
          </cell>
          <cell r="I366" t="str">
            <v>Doors, Locks &amp; Keys</v>
          </cell>
          <cell r="J366" t="str">
            <v>Doors, Locks &amp; Keys</v>
          </cell>
          <cell r="K366">
            <v>0</v>
          </cell>
          <cell r="L366">
            <v>0</v>
          </cell>
          <cell r="M366">
            <v>0</v>
          </cell>
          <cell r="N366">
            <v>0</v>
          </cell>
          <cell r="O366">
            <v>0</v>
          </cell>
          <cell r="P366">
            <v>0</v>
          </cell>
          <cell r="Q366" t="str">
            <v/>
          </cell>
          <cell r="R366" t="str">
            <v/>
          </cell>
          <cell r="S366" t="str">
            <v/>
          </cell>
          <cell r="T366" t="str">
            <v/>
          </cell>
          <cell r="U366" t="str">
            <v/>
          </cell>
          <cell r="V366" t="str">
            <v/>
          </cell>
          <cell r="W366">
            <v>0</v>
          </cell>
          <cell r="X366">
            <v>0</v>
          </cell>
          <cell r="Y366" t="str">
            <v/>
          </cell>
          <cell r="Z366" t="str">
            <v>BUY</v>
          </cell>
          <cell r="AA366" t="str">
            <v/>
          </cell>
        </row>
        <row r="367">
          <cell r="A367" t="str">
            <v>A</v>
          </cell>
          <cell r="F367" t="str">
            <v>7642-5</v>
          </cell>
          <cell r="G367" t="str">
            <v>A</v>
          </cell>
          <cell r="H367">
            <v>6</v>
          </cell>
          <cell r="I367" t="str">
            <v>Key Income</v>
          </cell>
          <cell r="J367" t="str">
            <v>Key Income</v>
          </cell>
          <cell r="K367">
            <v>0</v>
          </cell>
          <cell r="L367">
            <v>0</v>
          </cell>
          <cell r="M367">
            <v>0</v>
          </cell>
          <cell r="N367">
            <v>0</v>
          </cell>
          <cell r="O367">
            <v>0</v>
          </cell>
          <cell r="P367">
            <v>0</v>
          </cell>
          <cell r="Q367" t="str">
            <v/>
          </cell>
          <cell r="R367" t="str">
            <v/>
          </cell>
          <cell r="S367" t="str">
            <v/>
          </cell>
          <cell r="T367" t="str">
            <v/>
          </cell>
          <cell r="U367" t="str">
            <v/>
          </cell>
          <cell r="V367" t="str">
            <v/>
          </cell>
          <cell r="W367">
            <v>0</v>
          </cell>
          <cell r="X367">
            <v>0</v>
          </cell>
          <cell r="Y367" t="str">
            <v/>
          </cell>
          <cell r="Z367" t="str">
            <v>BUY</v>
          </cell>
          <cell r="AA367" t="str">
            <v/>
          </cell>
        </row>
        <row r="368">
          <cell r="A368" t="str">
            <v>A</v>
          </cell>
          <cell r="F368" t="str">
            <v>7643</v>
          </cell>
          <cell r="G368" t="str">
            <v>A</v>
          </cell>
          <cell r="H368">
            <v>6</v>
          </cell>
          <cell r="I368" t="str">
            <v>Caulking Repairs/Supply</v>
          </cell>
          <cell r="J368" t="str">
            <v>Caulking Repairs/Supply</v>
          </cell>
          <cell r="K368">
            <v>0</v>
          </cell>
          <cell r="L368">
            <v>0</v>
          </cell>
          <cell r="M368">
            <v>0</v>
          </cell>
          <cell r="N368">
            <v>0</v>
          </cell>
          <cell r="O368">
            <v>0</v>
          </cell>
          <cell r="P368">
            <v>0</v>
          </cell>
          <cell r="Q368" t="str">
            <v/>
          </cell>
          <cell r="R368" t="str">
            <v/>
          </cell>
          <cell r="S368" t="str">
            <v/>
          </cell>
          <cell r="T368" t="str">
            <v/>
          </cell>
          <cell r="U368" t="str">
            <v/>
          </cell>
          <cell r="V368" t="str">
            <v/>
          </cell>
          <cell r="W368">
            <v>0</v>
          </cell>
          <cell r="X368">
            <v>0</v>
          </cell>
          <cell r="Y368" t="str">
            <v/>
          </cell>
          <cell r="Z368" t="str">
            <v>BUY</v>
          </cell>
          <cell r="AA368" t="str">
            <v/>
          </cell>
        </row>
        <row r="369">
          <cell r="A369" t="str">
            <v>A</v>
          </cell>
          <cell r="F369" t="str">
            <v>7644</v>
          </cell>
          <cell r="G369" t="str">
            <v>A</v>
          </cell>
          <cell r="H369">
            <v>6</v>
          </cell>
          <cell r="I369" t="str">
            <v>Window Repairs/Supply</v>
          </cell>
          <cell r="J369" t="str">
            <v>Window Repairs/Supply</v>
          </cell>
          <cell r="K369">
            <v>0</v>
          </cell>
          <cell r="L369">
            <v>0</v>
          </cell>
          <cell r="M369">
            <v>3000</v>
          </cell>
          <cell r="N369">
            <v>1945</v>
          </cell>
          <cell r="O369">
            <v>3000</v>
          </cell>
          <cell r="P369">
            <v>0</v>
          </cell>
          <cell r="Q369">
            <v>0</v>
          </cell>
          <cell r="R369" t="str">
            <v>GL 6521 Includes replacement/repair of the common area doors/windows. $1000/repair =$3000</v>
          </cell>
          <cell r="S369" t="str">
            <v/>
          </cell>
          <cell r="T369" t="str">
            <v/>
          </cell>
          <cell r="U369" t="str">
            <v/>
          </cell>
          <cell r="V369" t="str">
            <v/>
          </cell>
          <cell r="W369">
            <v>7945</v>
          </cell>
          <cell r="X369">
            <v>0</v>
          </cell>
          <cell r="Y369" t="str">
            <v>A</v>
          </cell>
          <cell r="Z369" t="str">
            <v>BUY</v>
          </cell>
          <cell r="AA369" t="str">
            <v/>
          </cell>
        </row>
        <row r="370">
          <cell r="A370" t="str">
            <v>A</v>
          </cell>
          <cell r="F370" t="str">
            <v>7644-2</v>
          </cell>
          <cell r="G370" t="str">
            <v>A</v>
          </cell>
          <cell r="H370">
            <v>6</v>
          </cell>
          <cell r="I370" t="str">
            <v>Window Repairs/Supply</v>
          </cell>
          <cell r="J370" t="str">
            <v>Window Repairs/Supply</v>
          </cell>
          <cell r="K370">
            <v>0</v>
          </cell>
          <cell r="L370">
            <v>0</v>
          </cell>
          <cell r="M370">
            <v>0</v>
          </cell>
          <cell r="N370">
            <v>0</v>
          </cell>
          <cell r="O370">
            <v>0</v>
          </cell>
          <cell r="P370">
            <v>0</v>
          </cell>
          <cell r="Q370" t="str">
            <v/>
          </cell>
          <cell r="R370" t="str">
            <v/>
          </cell>
          <cell r="S370" t="str">
            <v/>
          </cell>
          <cell r="T370" t="str">
            <v/>
          </cell>
          <cell r="U370" t="str">
            <v/>
          </cell>
          <cell r="V370" t="str">
            <v/>
          </cell>
          <cell r="W370">
            <v>0</v>
          </cell>
          <cell r="X370">
            <v>0</v>
          </cell>
          <cell r="Y370" t="str">
            <v/>
          </cell>
          <cell r="Z370" t="str">
            <v>BUY</v>
          </cell>
          <cell r="AA370" t="str">
            <v/>
          </cell>
        </row>
        <row r="371">
          <cell r="A371" t="str">
            <v>A</v>
          </cell>
          <cell r="F371" t="str">
            <v>7644-3</v>
          </cell>
          <cell r="G371" t="str">
            <v>A</v>
          </cell>
          <cell r="H371">
            <v>6</v>
          </cell>
          <cell r="I371" t="str">
            <v>Window Repairs/Supply</v>
          </cell>
          <cell r="J371" t="str">
            <v>Window Repairs/Supply</v>
          </cell>
          <cell r="K371">
            <v>0</v>
          </cell>
          <cell r="L371">
            <v>0</v>
          </cell>
          <cell r="M371">
            <v>0</v>
          </cell>
          <cell r="N371">
            <v>0</v>
          </cell>
          <cell r="O371">
            <v>0</v>
          </cell>
          <cell r="P371">
            <v>0</v>
          </cell>
          <cell r="Q371" t="str">
            <v/>
          </cell>
          <cell r="R371" t="str">
            <v/>
          </cell>
          <cell r="S371" t="str">
            <v/>
          </cell>
          <cell r="T371" t="str">
            <v/>
          </cell>
          <cell r="U371" t="str">
            <v/>
          </cell>
          <cell r="V371" t="str">
            <v/>
          </cell>
          <cell r="W371">
            <v>0</v>
          </cell>
          <cell r="X371">
            <v>0</v>
          </cell>
          <cell r="Y371" t="str">
            <v/>
          </cell>
          <cell r="Z371" t="str">
            <v>BUY</v>
          </cell>
          <cell r="AA371" t="str">
            <v/>
          </cell>
        </row>
        <row r="372">
          <cell r="A372" t="str">
            <v>A</v>
          </cell>
          <cell r="F372" t="str">
            <v>7644-4</v>
          </cell>
          <cell r="G372" t="str">
            <v>A</v>
          </cell>
          <cell r="H372">
            <v>6</v>
          </cell>
          <cell r="I372" t="str">
            <v>Window Repairs/Suppl</v>
          </cell>
          <cell r="J372" t="str">
            <v>Window Repairs/Suppl</v>
          </cell>
          <cell r="K372">
            <v>0</v>
          </cell>
          <cell r="L372">
            <v>0</v>
          </cell>
          <cell r="M372">
            <v>0</v>
          </cell>
          <cell r="N372">
            <v>0</v>
          </cell>
          <cell r="O372">
            <v>0</v>
          </cell>
          <cell r="P372">
            <v>0</v>
          </cell>
          <cell r="Q372" t="str">
            <v/>
          </cell>
          <cell r="R372" t="str">
            <v/>
          </cell>
          <cell r="S372" t="str">
            <v/>
          </cell>
          <cell r="T372" t="str">
            <v/>
          </cell>
          <cell r="U372" t="str">
            <v/>
          </cell>
          <cell r="V372" t="str">
            <v/>
          </cell>
          <cell r="W372">
            <v>0</v>
          </cell>
          <cell r="X372">
            <v>0</v>
          </cell>
          <cell r="Y372" t="str">
            <v/>
          </cell>
          <cell r="Z372" t="str">
            <v>BUY</v>
          </cell>
          <cell r="AA372" t="str">
            <v/>
          </cell>
        </row>
        <row r="373">
          <cell r="A373" t="str">
            <v>A</v>
          </cell>
          <cell r="F373" t="str">
            <v>7644-5</v>
          </cell>
          <cell r="G373" t="str">
            <v>A</v>
          </cell>
          <cell r="H373">
            <v>6</v>
          </cell>
          <cell r="I373" t="str">
            <v>Window Repairs/Supply</v>
          </cell>
          <cell r="J373" t="str">
            <v>Window Repairs/Supply</v>
          </cell>
          <cell r="K373">
            <v>0</v>
          </cell>
          <cell r="L373">
            <v>0</v>
          </cell>
          <cell r="M373">
            <v>0</v>
          </cell>
          <cell r="N373">
            <v>0</v>
          </cell>
          <cell r="O373">
            <v>0</v>
          </cell>
          <cell r="P373">
            <v>0</v>
          </cell>
          <cell r="Q373" t="str">
            <v/>
          </cell>
          <cell r="R373" t="str">
            <v/>
          </cell>
          <cell r="S373" t="str">
            <v/>
          </cell>
          <cell r="T373" t="str">
            <v/>
          </cell>
          <cell r="U373" t="str">
            <v/>
          </cell>
          <cell r="V373" t="str">
            <v/>
          </cell>
          <cell r="W373">
            <v>0</v>
          </cell>
          <cell r="X373">
            <v>0</v>
          </cell>
          <cell r="Y373" t="str">
            <v/>
          </cell>
          <cell r="Z373" t="str">
            <v>BUY</v>
          </cell>
          <cell r="AA373" t="str">
            <v/>
          </cell>
        </row>
        <row r="374">
          <cell r="A374" t="str">
            <v>A</v>
          </cell>
          <cell r="F374" t="str">
            <v>7645</v>
          </cell>
          <cell r="G374" t="str">
            <v>A</v>
          </cell>
          <cell r="H374">
            <v>6</v>
          </cell>
          <cell r="I374" t="str">
            <v>Garage Door Repairs</v>
          </cell>
          <cell r="J374" t="str">
            <v>Garage Door Repairs</v>
          </cell>
          <cell r="K374">
            <v>0</v>
          </cell>
          <cell r="L374">
            <v>0</v>
          </cell>
          <cell r="M374">
            <v>0</v>
          </cell>
          <cell r="N374">
            <v>0</v>
          </cell>
          <cell r="O374">
            <v>0</v>
          </cell>
          <cell r="P374">
            <v>0</v>
          </cell>
          <cell r="Q374" t="str">
            <v/>
          </cell>
          <cell r="R374" t="str">
            <v/>
          </cell>
          <cell r="S374" t="str">
            <v/>
          </cell>
          <cell r="T374" t="str">
            <v/>
          </cell>
          <cell r="U374" t="str">
            <v/>
          </cell>
          <cell r="V374" t="str">
            <v/>
          </cell>
          <cell r="W374">
            <v>0</v>
          </cell>
          <cell r="X374">
            <v>0</v>
          </cell>
          <cell r="Y374" t="str">
            <v/>
          </cell>
          <cell r="Z374" t="str">
            <v>BUY</v>
          </cell>
          <cell r="AA374" t="str">
            <v/>
          </cell>
        </row>
        <row r="375">
          <cell r="A375" t="str">
            <v>A</v>
          </cell>
          <cell r="F375" t="str">
            <v>7645-2</v>
          </cell>
          <cell r="G375" t="str">
            <v>A</v>
          </cell>
          <cell r="H375">
            <v>6</v>
          </cell>
          <cell r="I375" t="str">
            <v>Garage Door Repairs</v>
          </cell>
          <cell r="J375" t="str">
            <v>Garage Door Repairs</v>
          </cell>
          <cell r="K375">
            <v>0</v>
          </cell>
          <cell r="L375">
            <v>0</v>
          </cell>
          <cell r="M375">
            <v>0</v>
          </cell>
          <cell r="N375">
            <v>0</v>
          </cell>
          <cell r="O375">
            <v>0</v>
          </cell>
          <cell r="P375">
            <v>0</v>
          </cell>
          <cell r="Q375" t="str">
            <v/>
          </cell>
          <cell r="R375" t="str">
            <v/>
          </cell>
          <cell r="S375" t="str">
            <v/>
          </cell>
          <cell r="T375" t="str">
            <v/>
          </cell>
          <cell r="U375" t="str">
            <v/>
          </cell>
          <cell r="V375" t="str">
            <v/>
          </cell>
          <cell r="W375">
            <v>0</v>
          </cell>
          <cell r="X375">
            <v>0</v>
          </cell>
          <cell r="Y375" t="str">
            <v/>
          </cell>
          <cell r="Z375" t="str">
            <v>BUY</v>
          </cell>
          <cell r="AA375" t="str">
            <v/>
          </cell>
        </row>
        <row r="376">
          <cell r="A376" t="str">
            <v>A</v>
          </cell>
          <cell r="F376" t="str">
            <v>7645-3</v>
          </cell>
          <cell r="G376" t="str">
            <v>A</v>
          </cell>
          <cell r="H376">
            <v>6</v>
          </cell>
          <cell r="I376" t="str">
            <v>Garage Door Repairs</v>
          </cell>
          <cell r="J376" t="str">
            <v>Garage Door Repairs</v>
          </cell>
          <cell r="K376">
            <v>0</v>
          </cell>
          <cell r="L376">
            <v>0</v>
          </cell>
          <cell r="M376">
            <v>0</v>
          </cell>
          <cell r="N376">
            <v>0</v>
          </cell>
          <cell r="O376">
            <v>0</v>
          </cell>
          <cell r="P376">
            <v>0</v>
          </cell>
          <cell r="Q376" t="str">
            <v/>
          </cell>
          <cell r="R376" t="str">
            <v/>
          </cell>
          <cell r="S376" t="str">
            <v/>
          </cell>
          <cell r="T376" t="str">
            <v/>
          </cell>
          <cell r="U376" t="str">
            <v/>
          </cell>
          <cell r="V376" t="str">
            <v/>
          </cell>
          <cell r="W376">
            <v>0</v>
          </cell>
          <cell r="X376">
            <v>0</v>
          </cell>
          <cell r="Y376" t="str">
            <v/>
          </cell>
          <cell r="Z376" t="str">
            <v>BUY</v>
          </cell>
          <cell r="AA376" t="str">
            <v/>
          </cell>
        </row>
        <row r="377">
          <cell r="A377" t="str">
            <v>A</v>
          </cell>
          <cell r="F377" t="str">
            <v>7645-4</v>
          </cell>
          <cell r="G377" t="str">
            <v>A</v>
          </cell>
          <cell r="H377">
            <v>6</v>
          </cell>
          <cell r="I377" t="str">
            <v>Garage Door Repairs</v>
          </cell>
          <cell r="J377" t="str">
            <v>Garage Door Repairs</v>
          </cell>
          <cell r="K377">
            <v>0</v>
          </cell>
          <cell r="L377">
            <v>0</v>
          </cell>
          <cell r="M377">
            <v>0</v>
          </cell>
          <cell r="N377">
            <v>0</v>
          </cell>
          <cell r="O377">
            <v>0</v>
          </cell>
          <cell r="P377">
            <v>0</v>
          </cell>
          <cell r="Q377" t="str">
            <v/>
          </cell>
          <cell r="R377" t="str">
            <v/>
          </cell>
          <cell r="S377" t="str">
            <v/>
          </cell>
          <cell r="T377" t="str">
            <v/>
          </cell>
          <cell r="U377" t="str">
            <v/>
          </cell>
          <cell r="V377" t="str">
            <v/>
          </cell>
          <cell r="W377">
            <v>0</v>
          </cell>
          <cell r="X377">
            <v>0</v>
          </cell>
          <cell r="Y377" t="str">
            <v/>
          </cell>
          <cell r="Z377" t="str">
            <v>BUY</v>
          </cell>
          <cell r="AA377" t="str">
            <v/>
          </cell>
        </row>
        <row r="378">
          <cell r="A378" t="str">
            <v>A</v>
          </cell>
          <cell r="F378" t="str">
            <v>7645-5</v>
          </cell>
          <cell r="G378" t="str">
            <v>A</v>
          </cell>
          <cell r="H378">
            <v>6</v>
          </cell>
          <cell r="I378" t="str">
            <v>Garage Door Repairs</v>
          </cell>
          <cell r="J378" t="str">
            <v>Garage Door Repairs</v>
          </cell>
          <cell r="K378">
            <v>0</v>
          </cell>
          <cell r="L378">
            <v>0</v>
          </cell>
          <cell r="M378">
            <v>0</v>
          </cell>
          <cell r="N378">
            <v>0</v>
          </cell>
          <cell r="O378">
            <v>0</v>
          </cell>
          <cell r="P378">
            <v>0</v>
          </cell>
          <cell r="Q378" t="str">
            <v/>
          </cell>
          <cell r="R378" t="str">
            <v/>
          </cell>
          <cell r="S378" t="str">
            <v/>
          </cell>
          <cell r="T378" t="str">
            <v/>
          </cell>
          <cell r="U378" t="str">
            <v/>
          </cell>
          <cell r="V378" t="str">
            <v/>
          </cell>
          <cell r="W378">
            <v>0</v>
          </cell>
          <cell r="X378">
            <v>0</v>
          </cell>
          <cell r="Y378" t="str">
            <v/>
          </cell>
          <cell r="Z378" t="str">
            <v>BUY</v>
          </cell>
          <cell r="AA378" t="str">
            <v/>
          </cell>
        </row>
        <row r="379">
          <cell r="A379" t="str">
            <v>A</v>
          </cell>
          <cell r="F379" t="str">
            <v>7646</v>
          </cell>
          <cell r="G379" t="str">
            <v>A</v>
          </cell>
          <cell r="H379">
            <v>6</v>
          </cell>
          <cell r="I379" t="str">
            <v>Building Equipment Repairs</v>
          </cell>
          <cell r="J379" t="str">
            <v>Building Equipment Repairs</v>
          </cell>
          <cell r="K379">
            <v>0</v>
          </cell>
          <cell r="L379">
            <v>0</v>
          </cell>
          <cell r="M379">
            <v>0</v>
          </cell>
          <cell r="N379">
            <v>0</v>
          </cell>
          <cell r="O379">
            <v>0</v>
          </cell>
          <cell r="P379">
            <v>0</v>
          </cell>
          <cell r="Q379" t="str">
            <v/>
          </cell>
          <cell r="R379" t="str">
            <v/>
          </cell>
          <cell r="S379" t="str">
            <v/>
          </cell>
          <cell r="T379" t="str">
            <v/>
          </cell>
          <cell r="U379" t="str">
            <v/>
          </cell>
          <cell r="V379" t="str">
            <v/>
          </cell>
          <cell r="W379">
            <v>0</v>
          </cell>
          <cell r="X379">
            <v>0</v>
          </cell>
          <cell r="Y379" t="str">
            <v/>
          </cell>
          <cell r="Z379" t="str">
            <v>BUY</v>
          </cell>
          <cell r="AA379" t="str">
            <v/>
          </cell>
        </row>
        <row r="380">
          <cell r="A380" t="str">
            <v>A</v>
          </cell>
          <cell r="F380" t="str">
            <v>7646-4</v>
          </cell>
          <cell r="G380" t="str">
            <v>A</v>
          </cell>
          <cell r="H380">
            <v>6</v>
          </cell>
          <cell r="I380" t="str">
            <v>Building Equip Reprs</v>
          </cell>
          <cell r="J380" t="str">
            <v>Building Equip Reprs</v>
          </cell>
          <cell r="K380">
            <v>0</v>
          </cell>
          <cell r="L380">
            <v>0</v>
          </cell>
          <cell r="M380">
            <v>0</v>
          </cell>
          <cell r="N380">
            <v>0</v>
          </cell>
          <cell r="O380">
            <v>0</v>
          </cell>
          <cell r="P380">
            <v>0</v>
          </cell>
          <cell r="Q380" t="str">
            <v/>
          </cell>
          <cell r="R380" t="str">
            <v/>
          </cell>
          <cell r="S380" t="str">
            <v/>
          </cell>
          <cell r="T380" t="str">
            <v/>
          </cell>
          <cell r="U380" t="str">
            <v/>
          </cell>
          <cell r="V380" t="str">
            <v/>
          </cell>
          <cell r="W380">
            <v>0</v>
          </cell>
          <cell r="X380">
            <v>0</v>
          </cell>
          <cell r="Y380" t="str">
            <v/>
          </cell>
          <cell r="Z380" t="str">
            <v>BUY</v>
          </cell>
          <cell r="AA380" t="str">
            <v/>
          </cell>
        </row>
        <row r="381">
          <cell r="A381" t="str">
            <v>A</v>
          </cell>
          <cell r="F381" t="str">
            <v>7647</v>
          </cell>
          <cell r="G381" t="str">
            <v>A</v>
          </cell>
          <cell r="H381">
            <v>6</v>
          </cell>
          <cell r="I381" t="str">
            <v>Garage Maintentance/Repairs</v>
          </cell>
          <cell r="J381" t="str">
            <v>Garage Maintentance/Repairs</v>
          </cell>
          <cell r="K381">
            <v>0</v>
          </cell>
          <cell r="L381">
            <v>0</v>
          </cell>
          <cell r="M381">
            <v>0</v>
          </cell>
          <cell r="N381">
            <v>0</v>
          </cell>
          <cell r="O381">
            <v>0</v>
          </cell>
          <cell r="P381">
            <v>0</v>
          </cell>
          <cell r="Q381" t="str">
            <v/>
          </cell>
          <cell r="R381" t="str">
            <v/>
          </cell>
          <cell r="S381" t="str">
            <v/>
          </cell>
          <cell r="T381" t="str">
            <v/>
          </cell>
          <cell r="U381" t="str">
            <v/>
          </cell>
          <cell r="V381" t="str">
            <v/>
          </cell>
          <cell r="W381">
            <v>0</v>
          </cell>
          <cell r="X381">
            <v>0</v>
          </cell>
          <cell r="Y381" t="str">
            <v/>
          </cell>
          <cell r="Z381" t="str">
            <v>BUY</v>
          </cell>
          <cell r="AA381" t="str">
            <v/>
          </cell>
        </row>
        <row r="382">
          <cell r="A382" t="str">
            <v>A</v>
          </cell>
          <cell r="F382" t="str">
            <v>7647-2</v>
          </cell>
          <cell r="G382" t="str">
            <v>A</v>
          </cell>
          <cell r="H382">
            <v>6</v>
          </cell>
          <cell r="I382" t="str">
            <v>Garage Maintenance/Repairs</v>
          </cell>
          <cell r="J382" t="str">
            <v>Garage Maintenance/Repairs</v>
          </cell>
          <cell r="K382">
            <v>0</v>
          </cell>
          <cell r="L382">
            <v>0</v>
          </cell>
          <cell r="M382">
            <v>0</v>
          </cell>
          <cell r="N382">
            <v>0</v>
          </cell>
          <cell r="O382">
            <v>0</v>
          </cell>
          <cell r="P382">
            <v>0</v>
          </cell>
          <cell r="Q382" t="str">
            <v/>
          </cell>
          <cell r="R382" t="str">
            <v/>
          </cell>
          <cell r="S382" t="str">
            <v/>
          </cell>
          <cell r="T382" t="str">
            <v/>
          </cell>
          <cell r="U382" t="str">
            <v/>
          </cell>
          <cell r="V382" t="str">
            <v/>
          </cell>
          <cell r="W382">
            <v>0</v>
          </cell>
          <cell r="X382">
            <v>0</v>
          </cell>
          <cell r="Y382" t="str">
            <v/>
          </cell>
          <cell r="Z382" t="str">
            <v>BUY</v>
          </cell>
          <cell r="AA382" t="str">
            <v/>
          </cell>
        </row>
        <row r="383">
          <cell r="A383" t="str">
            <v>A</v>
          </cell>
          <cell r="F383" t="str">
            <v>7647-3</v>
          </cell>
          <cell r="G383" t="str">
            <v>A</v>
          </cell>
          <cell r="H383">
            <v>6</v>
          </cell>
          <cell r="I383" t="str">
            <v>Garage Maintenance/Repairs</v>
          </cell>
          <cell r="J383" t="str">
            <v>Garage Maintenance/Repairs</v>
          </cell>
          <cell r="K383">
            <v>0</v>
          </cell>
          <cell r="L383">
            <v>0</v>
          </cell>
          <cell r="M383">
            <v>0</v>
          </cell>
          <cell r="N383">
            <v>0</v>
          </cell>
          <cell r="O383">
            <v>0</v>
          </cell>
          <cell r="P383">
            <v>0</v>
          </cell>
          <cell r="Q383" t="str">
            <v/>
          </cell>
          <cell r="R383" t="str">
            <v/>
          </cell>
          <cell r="S383" t="str">
            <v/>
          </cell>
          <cell r="T383" t="str">
            <v/>
          </cell>
          <cell r="U383" t="str">
            <v/>
          </cell>
          <cell r="V383" t="str">
            <v/>
          </cell>
          <cell r="W383">
            <v>0</v>
          </cell>
          <cell r="X383">
            <v>0</v>
          </cell>
          <cell r="Y383" t="str">
            <v/>
          </cell>
          <cell r="Z383" t="str">
            <v>BUY</v>
          </cell>
          <cell r="AA383" t="str">
            <v/>
          </cell>
        </row>
        <row r="384">
          <cell r="A384" t="str">
            <v>A</v>
          </cell>
          <cell r="F384" t="str">
            <v>7647-4</v>
          </cell>
          <cell r="G384" t="str">
            <v>A</v>
          </cell>
          <cell r="H384">
            <v>6</v>
          </cell>
          <cell r="I384" t="str">
            <v>Garage Maintenance/Repairs</v>
          </cell>
          <cell r="J384" t="str">
            <v>Garage Maintenance/Repairs</v>
          </cell>
          <cell r="K384">
            <v>0</v>
          </cell>
          <cell r="L384">
            <v>0</v>
          </cell>
          <cell r="M384">
            <v>0</v>
          </cell>
          <cell r="N384">
            <v>0</v>
          </cell>
          <cell r="O384">
            <v>0</v>
          </cell>
          <cell r="P384">
            <v>0</v>
          </cell>
          <cell r="Q384" t="str">
            <v/>
          </cell>
          <cell r="R384" t="str">
            <v/>
          </cell>
          <cell r="S384" t="str">
            <v/>
          </cell>
          <cell r="T384" t="str">
            <v/>
          </cell>
          <cell r="U384" t="str">
            <v/>
          </cell>
          <cell r="V384" t="str">
            <v/>
          </cell>
          <cell r="W384">
            <v>0</v>
          </cell>
          <cell r="X384">
            <v>0</v>
          </cell>
          <cell r="Y384" t="str">
            <v/>
          </cell>
          <cell r="Z384" t="str">
            <v>BUY</v>
          </cell>
          <cell r="AA384" t="str">
            <v/>
          </cell>
        </row>
        <row r="385">
          <cell r="A385" t="str">
            <v>A</v>
          </cell>
          <cell r="F385" t="str">
            <v>7647-5</v>
          </cell>
          <cell r="G385" t="str">
            <v>A</v>
          </cell>
          <cell r="H385">
            <v>6</v>
          </cell>
          <cell r="I385" t="str">
            <v>Garage Maintenance/Repairs</v>
          </cell>
          <cell r="J385" t="str">
            <v>Garage Maintenance/Repairs</v>
          </cell>
          <cell r="K385">
            <v>0</v>
          </cell>
          <cell r="L385">
            <v>0</v>
          </cell>
          <cell r="M385">
            <v>0</v>
          </cell>
          <cell r="N385">
            <v>0</v>
          </cell>
          <cell r="O385">
            <v>0</v>
          </cell>
          <cell r="P385">
            <v>0</v>
          </cell>
          <cell r="Q385" t="str">
            <v/>
          </cell>
          <cell r="R385" t="str">
            <v/>
          </cell>
          <cell r="S385" t="str">
            <v/>
          </cell>
          <cell r="T385" t="str">
            <v/>
          </cell>
          <cell r="U385" t="str">
            <v/>
          </cell>
          <cell r="V385" t="str">
            <v/>
          </cell>
          <cell r="W385">
            <v>0</v>
          </cell>
          <cell r="X385">
            <v>0</v>
          </cell>
          <cell r="Y385" t="str">
            <v/>
          </cell>
          <cell r="Z385" t="str">
            <v>BUY</v>
          </cell>
          <cell r="AA385" t="str">
            <v/>
          </cell>
        </row>
        <row r="386">
          <cell r="A386" t="str">
            <v>A</v>
          </cell>
          <cell r="F386" t="str">
            <v>7648</v>
          </cell>
          <cell r="G386" t="str">
            <v>A</v>
          </cell>
          <cell r="H386">
            <v>6</v>
          </cell>
          <cell r="I386" t="str">
            <v>Fire System Maintenance</v>
          </cell>
          <cell r="J386" t="str">
            <v>Fire System Maintenance</v>
          </cell>
          <cell r="K386">
            <v>0</v>
          </cell>
          <cell r="L386">
            <v>0</v>
          </cell>
          <cell r="M386">
            <v>0</v>
          </cell>
          <cell r="N386">
            <v>0</v>
          </cell>
          <cell r="O386">
            <v>0</v>
          </cell>
          <cell r="P386">
            <v>0</v>
          </cell>
          <cell r="Q386" t="str">
            <v/>
          </cell>
          <cell r="R386" t="str">
            <v/>
          </cell>
          <cell r="S386" t="str">
            <v/>
          </cell>
          <cell r="T386" t="str">
            <v/>
          </cell>
          <cell r="U386" t="str">
            <v/>
          </cell>
          <cell r="V386" t="str">
            <v/>
          </cell>
          <cell r="W386">
            <v>0</v>
          </cell>
          <cell r="X386">
            <v>0</v>
          </cell>
          <cell r="Y386" t="str">
            <v/>
          </cell>
          <cell r="Z386" t="str">
            <v>BUY</v>
          </cell>
          <cell r="AA386" t="str">
            <v/>
          </cell>
        </row>
        <row r="387">
          <cell r="A387" t="str">
            <v>A</v>
          </cell>
          <cell r="F387" t="str">
            <v>7648-2</v>
          </cell>
          <cell r="G387" t="str">
            <v>A</v>
          </cell>
          <cell r="H387">
            <v>6</v>
          </cell>
          <cell r="I387" t="str">
            <v>Fire System Maintenance</v>
          </cell>
          <cell r="J387" t="str">
            <v>Fire System Maintenance</v>
          </cell>
          <cell r="K387">
            <v>0</v>
          </cell>
          <cell r="L387">
            <v>0</v>
          </cell>
          <cell r="M387">
            <v>0</v>
          </cell>
          <cell r="N387">
            <v>0</v>
          </cell>
          <cell r="O387">
            <v>0</v>
          </cell>
          <cell r="P387">
            <v>0</v>
          </cell>
          <cell r="Q387" t="str">
            <v/>
          </cell>
          <cell r="R387" t="str">
            <v/>
          </cell>
          <cell r="S387" t="str">
            <v/>
          </cell>
          <cell r="T387" t="str">
            <v/>
          </cell>
          <cell r="U387" t="str">
            <v/>
          </cell>
          <cell r="V387" t="str">
            <v/>
          </cell>
          <cell r="W387">
            <v>0</v>
          </cell>
          <cell r="X387">
            <v>0</v>
          </cell>
          <cell r="Y387" t="str">
            <v/>
          </cell>
          <cell r="Z387" t="str">
            <v>BUY</v>
          </cell>
          <cell r="AA387" t="str">
            <v/>
          </cell>
        </row>
        <row r="388">
          <cell r="A388" t="str">
            <v>A</v>
          </cell>
          <cell r="F388" t="str">
            <v>7648-3</v>
          </cell>
          <cell r="G388" t="str">
            <v>A</v>
          </cell>
          <cell r="H388">
            <v>6</v>
          </cell>
          <cell r="I388" t="str">
            <v>Fire System Maintenance</v>
          </cell>
          <cell r="J388" t="str">
            <v>Fire System Maintenance</v>
          </cell>
          <cell r="K388">
            <v>0</v>
          </cell>
          <cell r="L388">
            <v>0</v>
          </cell>
          <cell r="M388">
            <v>0</v>
          </cell>
          <cell r="N388">
            <v>0</v>
          </cell>
          <cell r="O388">
            <v>0</v>
          </cell>
          <cell r="P388">
            <v>0</v>
          </cell>
          <cell r="Q388" t="str">
            <v/>
          </cell>
          <cell r="R388" t="str">
            <v/>
          </cell>
          <cell r="S388" t="str">
            <v/>
          </cell>
          <cell r="T388" t="str">
            <v/>
          </cell>
          <cell r="U388" t="str">
            <v/>
          </cell>
          <cell r="V388" t="str">
            <v/>
          </cell>
          <cell r="W388">
            <v>0</v>
          </cell>
          <cell r="X388">
            <v>0</v>
          </cell>
          <cell r="Y388" t="str">
            <v/>
          </cell>
          <cell r="Z388" t="str">
            <v>BUY</v>
          </cell>
          <cell r="AA388" t="str">
            <v/>
          </cell>
        </row>
        <row r="389">
          <cell r="A389" t="str">
            <v>A</v>
          </cell>
          <cell r="F389" t="str">
            <v>7648-4</v>
          </cell>
          <cell r="G389" t="str">
            <v>A</v>
          </cell>
          <cell r="H389">
            <v>6</v>
          </cell>
          <cell r="I389" t="str">
            <v>Fire System Maintenance</v>
          </cell>
          <cell r="J389" t="str">
            <v>Fire System Maintenance</v>
          </cell>
          <cell r="K389">
            <v>0</v>
          </cell>
          <cell r="L389">
            <v>0</v>
          </cell>
          <cell r="M389">
            <v>0</v>
          </cell>
          <cell r="N389">
            <v>0</v>
          </cell>
          <cell r="O389">
            <v>0</v>
          </cell>
          <cell r="P389">
            <v>0</v>
          </cell>
          <cell r="Q389" t="str">
            <v/>
          </cell>
          <cell r="R389" t="str">
            <v/>
          </cell>
          <cell r="S389" t="str">
            <v/>
          </cell>
          <cell r="T389" t="str">
            <v/>
          </cell>
          <cell r="U389" t="str">
            <v/>
          </cell>
          <cell r="V389" t="str">
            <v/>
          </cell>
          <cell r="W389">
            <v>0</v>
          </cell>
          <cell r="X389">
            <v>0</v>
          </cell>
          <cell r="Y389" t="str">
            <v/>
          </cell>
          <cell r="Z389" t="str">
            <v>BUY</v>
          </cell>
          <cell r="AA389" t="str">
            <v/>
          </cell>
        </row>
        <row r="390">
          <cell r="A390" t="str">
            <v>A</v>
          </cell>
          <cell r="F390" t="str">
            <v>7648-5</v>
          </cell>
          <cell r="G390" t="str">
            <v>A</v>
          </cell>
          <cell r="H390">
            <v>6</v>
          </cell>
          <cell r="I390" t="str">
            <v>Fire System Maintenance</v>
          </cell>
          <cell r="J390" t="str">
            <v>Fire System Maintenance</v>
          </cell>
          <cell r="K390">
            <v>0</v>
          </cell>
          <cell r="L390">
            <v>0</v>
          </cell>
          <cell r="M390">
            <v>0</v>
          </cell>
          <cell r="N390">
            <v>0</v>
          </cell>
          <cell r="O390">
            <v>0</v>
          </cell>
          <cell r="P390">
            <v>0</v>
          </cell>
          <cell r="Q390" t="str">
            <v/>
          </cell>
          <cell r="R390" t="str">
            <v/>
          </cell>
          <cell r="S390" t="str">
            <v/>
          </cell>
          <cell r="T390" t="str">
            <v/>
          </cell>
          <cell r="U390" t="str">
            <v/>
          </cell>
          <cell r="V390" t="str">
            <v/>
          </cell>
          <cell r="W390">
            <v>0</v>
          </cell>
          <cell r="X390">
            <v>0</v>
          </cell>
          <cell r="Y390" t="str">
            <v/>
          </cell>
          <cell r="Z390" t="str">
            <v>BUY</v>
          </cell>
          <cell r="AA390" t="str">
            <v/>
          </cell>
        </row>
        <row r="391">
          <cell r="A391" t="str">
            <v>A</v>
          </cell>
          <cell r="F391" t="str">
            <v>7649</v>
          </cell>
          <cell r="G391" t="str">
            <v>A</v>
          </cell>
          <cell r="H391">
            <v>6</v>
          </cell>
          <cell r="I391" t="str">
            <v>Door Repairs</v>
          </cell>
          <cell r="J391" t="str">
            <v>Door Repairs</v>
          </cell>
          <cell r="K391">
            <v>0</v>
          </cell>
          <cell r="L391">
            <v>0</v>
          </cell>
          <cell r="M391">
            <v>0</v>
          </cell>
          <cell r="N391">
            <v>0</v>
          </cell>
          <cell r="O391">
            <v>0</v>
          </cell>
          <cell r="P391">
            <v>0</v>
          </cell>
          <cell r="Q391" t="str">
            <v/>
          </cell>
          <cell r="R391" t="str">
            <v/>
          </cell>
          <cell r="S391" t="str">
            <v/>
          </cell>
          <cell r="T391" t="str">
            <v/>
          </cell>
          <cell r="U391" t="str">
            <v/>
          </cell>
          <cell r="V391" t="str">
            <v/>
          </cell>
          <cell r="W391">
            <v>0</v>
          </cell>
          <cell r="X391">
            <v>0</v>
          </cell>
          <cell r="Y391" t="str">
            <v/>
          </cell>
          <cell r="Z391" t="str">
            <v>BUY</v>
          </cell>
          <cell r="AA391" t="str">
            <v/>
          </cell>
        </row>
        <row r="392">
          <cell r="A392" t="str">
            <v>A</v>
          </cell>
          <cell r="F392" t="str">
            <v>7649-2</v>
          </cell>
          <cell r="G392" t="str">
            <v>A</v>
          </cell>
          <cell r="H392">
            <v>6</v>
          </cell>
          <cell r="I392" t="str">
            <v>Door Repairs</v>
          </cell>
          <cell r="J392" t="str">
            <v>Door Repairs</v>
          </cell>
          <cell r="K392">
            <v>0</v>
          </cell>
          <cell r="L392">
            <v>0</v>
          </cell>
          <cell r="M392">
            <v>0</v>
          </cell>
          <cell r="N392">
            <v>0</v>
          </cell>
          <cell r="O392">
            <v>0</v>
          </cell>
          <cell r="P392">
            <v>0</v>
          </cell>
          <cell r="Q392" t="str">
            <v/>
          </cell>
          <cell r="R392" t="str">
            <v/>
          </cell>
          <cell r="S392" t="str">
            <v/>
          </cell>
          <cell r="T392" t="str">
            <v/>
          </cell>
          <cell r="U392" t="str">
            <v/>
          </cell>
          <cell r="V392" t="str">
            <v/>
          </cell>
          <cell r="W392">
            <v>0</v>
          </cell>
          <cell r="X392">
            <v>0</v>
          </cell>
          <cell r="Y392" t="str">
            <v/>
          </cell>
          <cell r="Z392" t="str">
            <v>BUY</v>
          </cell>
          <cell r="AA392" t="str">
            <v/>
          </cell>
        </row>
        <row r="393">
          <cell r="A393" t="str">
            <v>A</v>
          </cell>
          <cell r="F393" t="str">
            <v>7650</v>
          </cell>
          <cell r="G393" t="str">
            <v>A</v>
          </cell>
          <cell r="H393">
            <v>6</v>
          </cell>
          <cell r="I393" t="str">
            <v>All Painting &amp; Decorating</v>
          </cell>
          <cell r="J393" t="str">
            <v>All Painting &amp; Decorating</v>
          </cell>
          <cell r="K393">
            <v>0</v>
          </cell>
          <cell r="L393">
            <v>0</v>
          </cell>
          <cell r="M393">
            <v>3000</v>
          </cell>
          <cell r="N393">
            <v>8724</v>
          </cell>
          <cell r="O393">
            <v>3000</v>
          </cell>
          <cell r="P393">
            <v>0</v>
          </cell>
          <cell r="Q393">
            <v>0</v>
          </cell>
          <cell r="R393" t="str">
            <v>GL 6512 Finish hallway touch ups in 2009. Common area painting.</v>
          </cell>
          <cell r="S393" t="str">
            <v/>
          </cell>
          <cell r="T393" t="str">
            <v/>
          </cell>
          <cell r="U393" t="str">
            <v/>
          </cell>
          <cell r="V393" t="str">
            <v/>
          </cell>
          <cell r="W393">
            <v>14724</v>
          </cell>
          <cell r="X393">
            <v>0</v>
          </cell>
          <cell r="Y393" t="str">
            <v>A</v>
          </cell>
          <cell r="Z393" t="str">
            <v>BUY</v>
          </cell>
          <cell r="AA393" t="str">
            <v/>
          </cell>
        </row>
        <row r="394">
          <cell r="A394" t="str">
            <v>A</v>
          </cell>
          <cell r="F394" t="str">
            <v>7650-2</v>
          </cell>
          <cell r="G394" t="str">
            <v>A</v>
          </cell>
          <cell r="H394">
            <v>6</v>
          </cell>
          <cell r="I394" t="str">
            <v>All Painting &amp; Decorating</v>
          </cell>
          <cell r="J394" t="str">
            <v>All Painting &amp; Decorating</v>
          </cell>
          <cell r="K394">
            <v>0</v>
          </cell>
          <cell r="L394">
            <v>0</v>
          </cell>
          <cell r="M394">
            <v>0</v>
          </cell>
          <cell r="N394">
            <v>0</v>
          </cell>
          <cell r="O394">
            <v>0</v>
          </cell>
          <cell r="P394">
            <v>0</v>
          </cell>
          <cell r="Q394" t="str">
            <v/>
          </cell>
          <cell r="R394" t="str">
            <v/>
          </cell>
          <cell r="S394" t="str">
            <v/>
          </cell>
          <cell r="T394" t="str">
            <v/>
          </cell>
          <cell r="U394" t="str">
            <v/>
          </cell>
          <cell r="V394" t="str">
            <v/>
          </cell>
          <cell r="W394">
            <v>0</v>
          </cell>
          <cell r="X394">
            <v>0</v>
          </cell>
          <cell r="Y394" t="str">
            <v/>
          </cell>
          <cell r="Z394" t="str">
            <v>BUY</v>
          </cell>
          <cell r="AA394" t="str">
            <v/>
          </cell>
        </row>
        <row r="395">
          <cell r="A395" t="str">
            <v>A</v>
          </cell>
          <cell r="F395" t="str">
            <v>7650-3</v>
          </cell>
          <cell r="G395" t="str">
            <v>A</v>
          </cell>
          <cell r="H395">
            <v>6</v>
          </cell>
          <cell r="I395" t="str">
            <v>All Painting &amp; Decorating</v>
          </cell>
          <cell r="J395" t="str">
            <v>All Painting &amp; Decorating</v>
          </cell>
          <cell r="K395">
            <v>0</v>
          </cell>
          <cell r="L395">
            <v>0</v>
          </cell>
          <cell r="M395">
            <v>0</v>
          </cell>
          <cell r="N395">
            <v>0</v>
          </cell>
          <cell r="O395">
            <v>0</v>
          </cell>
          <cell r="P395">
            <v>0</v>
          </cell>
          <cell r="Q395" t="str">
            <v/>
          </cell>
          <cell r="R395" t="str">
            <v/>
          </cell>
          <cell r="S395" t="str">
            <v/>
          </cell>
          <cell r="T395" t="str">
            <v/>
          </cell>
          <cell r="U395" t="str">
            <v/>
          </cell>
          <cell r="V395" t="str">
            <v/>
          </cell>
          <cell r="W395">
            <v>0</v>
          </cell>
          <cell r="X395">
            <v>0</v>
          </cell>
          <cell r="Y395" t="str">
            <v/>
          </cell>
          <cell r="Z395" t="str">
            <v>BUY</v>
          </cell>
          <cell r="AA395" t="str">
            <v/>
          </cell>
        </row>
        <row r="396">
          <cell r="A396" t="str">
            <v>A</v>
          </cell>
          <cell r="F396" t="str">
            <v>7650-3000</v>
          </cell>
          <cell r="G396" t="str">
            <v>A</v>
          </cell>
          <cell r="H396">
            <v>6</v>
          </cell>
          <cell r="I396" t="str">
            <v>All Painting Decor</v>
          </cell>
          <cell r="J396" t="str">
            <v>All Painting Decor</v>
          </cell>
          <cell r="K396">
            <v>0</v>
          </cell>
          <cell r="L396">
            <v>0</v>
          </cell>
          <cell r="M396">
            <v>0</v>
          </cell>
          <cell r="N396">
            <v>0</v>
          </cell>
          <cell r="O396">
            <v>0</v>
          </cell>
          <cell r="P396">
            <v>0</v>
          </cell>
          <cell r="Q396" t="str">
            <v/>
          </cell>
          <cell r="R396" t="str">
            <v/>
          </cell>
          <cell r="S396" t="str">
            <v/>
          </cell>
          <cell r="T396" t="str">
            <v/>
          </cell>
          <cell r="U396" t="str">
            <v/>
          </cell>
          <cell r="V396" t="str">
            <v/>
          </cell>
          <cell r="W396">
            <v>0</v>
          </cell>
          <cell r="X396">
            <v>0</v>
          </cell>
          <cell r="Y396" t="str">
            <v/>
          </cell>
          <cell r="Z396" t="str">
            <v>BUY</v>
          </cell>
          <cell r="AA396" t="str">
            <v/>
          </cell>
        </row>
        <row r="397">
          <cell r="A397" t="str">
            <v>A</v>
          </cell>
          <cell r="F397" t="str">
            <v>7650-4</v>
          </cell>
          <cell r="G397" t="str">
            <v>A</v>
          </cell>
          <cell r="H397">
            <v>6</v>
          </cell>
          <cell r="I397" t="str">
            <v>All Painting &amp; Decorating</v>
          </cell>
          <cell r="J397" t="str">
            <v>All Painting &amp; Decorating</v>
          </cell>
          <cell r="K397">
            <v>0</v>
          </cell>
          <cell r="L397">
            <v>0</v>
          </cell>
          <cell r="M397">
            <v>0</v>
          </cell>
          <cell r="N397">
            <v>0</v>
          </cell>
          <cell r="O397">
            <v>0</v>
          </cell>
          <cell r="P397">
            <v>0</v>
          </cell>
          <cell r="Q397" t="str">
            <v/>
          </cell>
          <cell r="R397" t="str">
            <v/>
          </cell>
          <cell r="S397" t="str">
            <v/>
          </cell>
          <cell r="T397" t="str">
            <v/>
          </cell>
          <cell r="U397" t="str">
            <v/>
          </cell>
          <cell r="V397" t="str">
            <v/>
          </cell>
          <cell r="W397">
            <v>0</v>
          </cell>
          <cell r="X397">
            <v>0</v>
          </cell>
          <cell r="Y397" t="str">
            <v/>
          </cell>
          <cell r="Z397" t="str">
            <v>BUY</v>
          </cell>
          <cell r="AA397" t="str">
            <v/>
          </cell>
        </row>
        <row r="398">
          <cell r="A398" t="str">
            <v>A</v>
          </cell>
          <cell r="F398" t="str">
            <v>7650-5</v>
          </cell>
          <cell r="G398" t="str">
            <v>A</v>
          </cell>
          <cell r="H398">
            <v>6</v>
          </cell>
          <cell r="I398" t="str">
            <v>All Painting &amp; Decorating</v>
          </cell>
          <cell r="J398" t="str">
            <v>All Painting &amp; Decorating</v>
          </cell>
          <cell r="K398">
            <v>0</v>
          </cell>
          <cell r="L398">
            <v>0</v>
          </cell>
          <cell r="M398">
            <v>0</v>
          </cell>
          <cell r="N398">
            <v>0</v>
          </cell>
          <cell r="O398">
            <v>0</v>
          </cell>
          <cell r="P398">
            <v>0</v>
          </cell>
          <cell r="Q398" t="str">
            <v/>
          </cell>
          <cell r="R398" t="str">
            <v/>
          </cell>
          <cell r="S398" t="str">
            <v/>
          </cell>
          <cell r="T398" t="str">
            <v/>
          </cell>
          <cell r="U398" t="str">
            <v/>
          </cell>
          <cell r="V398" t="str">
            <v/>
          </cell>
          <cell r="W398">
            <v>0</v>
          </cell>
          <cell r="X398">
            <v>0</v>
          </cell>
          <cell r="Y398" t="str">
            <v/>
          </cell>
          <cell r="Z398" t="str">
            <v>BUY</v>
          </cell>
          <cell r="AA398" t="str">
            <v/>
          </cell>
        </row>
        <row r="399">
          <cell r="A399" t="str">
            <v>A</v>
          </cell>
          <cell r="F399" t="str">
            <v>7651</v>
          </cell>
          <cell r="G399" t="str">
            <v>A</v>
          </cell>
          <cell r="H399">
            <v>6</v>
          </cell>
          <cell r="I399" t="str">
            <v>Interior Painting &amp; Decorating</v>
          </cell>
          <cell r="J399" t="str">
            <v>Interior Painting &amp; Decorating</v>
          </cell>
          <cell r="K399">
            <v>0</v>
          </cell>
          <cell r="L399">
            <v>0</v>
          </cell>
          <cell r="M399">
            <v>0</v>
          </cell>
          <cell r="N399">
            <v>0</v>
          </cell>
          <cell r="O399">
            <v>0</v>
          </cell>
          <cell r="P399">
            <v>0</v>
          </cell>
          <cell r="Q399" t="str">
            <v/>
          </cell>
          <cell r="R399" t="str">
            <v/>
          </cell>
          <cell r="S399" t="str">
            <v/>
          </cell>
          <cell r="T399" t="str">
            <v/>
          </cell>
          <cell r="U399" t="str">
            <v/>
          </cell>
          <cell r="V399" t="str">
            <v/>
          </cell>
          <cell r="W399">
            <v>0</v>
          </cell>
          <cell r="X399">
            <v>0</v>
          </cell>
          <cell r="Y399" t="str">
            <v/>
          </cell>
          <cell r="Z399" t="str">
            <v>BUY</v>
          </cell>
          <cell r="AA399" t="str">
            <v/>
          </cell>
        </row>
        <row r="400">
          <cell r="A400" t="str">
            <v>A</v>
          </cell>
          <cell r="F400" t="str">
            <v>7651-2</v>
          </cell>
          <cell r="G400" t="str">
            <v>A</v>
          </cell>
          <cell r="H400">
            <v>6</v>
          </cell>
          <cell r="I400" t="str">
            <v>Interior Painting &amp; Decorating</v>
          </cell>
          <cell r="J400" t="str">
            <v>Interior Painting &amp; Decorating</v>
          </cell>
          <cell r="K400">
            <v>0</v>
          </cell>
          <cell r="L400">
            <v>0</v>
          </cell>
          <cell r="M400">
            <v>0</v>
          </cell>
          <cell r="N400">
            <v>0</v>
          </cell>
          <cell r="O400">
            <v>0</v>
          </cell>
          <cell r="P400">
            <v>0</v>
          </cell>
          <cell r="Q400" t="str">
            <v/>
          </cell>
          <cell r="R400" t="str">
            <v/>
          </cell>
          <cell r="S400" t="str">
            <v/>
          </cell>
          <cell r="T400" t="str">
            <v/>
          </cell>
          <cell r="U400" t="str">
            <v/>
          </cell>
          <cell r="V400" t="str">
            <v/>
          </cell>
          <cell r="W400">
            <v>0</v>
          </cell>
          <cell r="X400">
            <v>0</v>
          </cell>
          <cell r="Y400" t="str">
            <v/>
          </cell>
          <cell r="Z400" t="str">
            <v>BUY</v>
          </cell>
          <cell r="AA400" t="str">
            <v/>
          </cell>
        </row>
        <row r="401">
          <cell r="A401" t="str">
            <v>A</v>
          </cell>
          <cell r="F401" t="str">
            <v>7652</v>
          </cell>
          <cell r="G401" t="str">
            <v>A</v>
          </cell>
          <cell r="H401">
            <v>6</v>
          </cell>
          <cell r="I401" t="str">
            <v>Exterior Painting &amp; Decorating</v>
          </cell>
          <cell r="J401" t="str">
            <v>Exterior Painting &amp; Decorating</v>
          </cell>
          <cell r="K401">
            <v>0</v>
          </cell>
          <cell r="L401">
            <v>0</v>
          </cell>
          <cell r="M401">
            <v>0</v>
          </cell>
          <cell r="N401">
            <v>0</v>
          </cell>
          <cell r="O401">
            <v>0</v>
          </cell>
          <cell r="P401">
            <v>0</v>
          </cell>
          <cell r="Q401" t="str">
            <v/>
          </cell>
          <cell r="R401" t="str">
            <v/>
          </cell>
          <cell r="S401" t="str">
            <v/>
          </cell>
          <cell r="T401" t="str">
            <v/>
          </cell>
          <cell r="U401" t="str">
            <v/>
          </cell>
          <cell r="V401" t="str">
            <v/>
          </cell>
          <cell r="W401">
            <v>0</v>
          </cell>
          <cell r="X401">
            <v>0</v>
          </cell>
          <cell r="Y401" t="str">
            <v/>
          </cell>
          <cell r="Z401" t="str">
            <v>BUY</v>
          </cell>
          <cell r="AA401" t="str">
            <v/>
          </cell>
        </row>
        <row r="402">
          <cell r="A402" t="str">
            <v>A</v>
          </cell>
          <cell r="F402" t="str">
            <v>7653</v>
          </cell>
          <cell r="G402" t="str">
            <v>A</v>
          </cell>
          <cell r="H402">
            <v>6</v>
          </cell>
          <cell r="I402" t="str">
            <v>Furniture &amp; Fixtures</v>
          </cell>
          <cell r="J402" t="str">
            <v>Furniture &amp; Fixtures</v>
          </cell>
          <cell r="K402">
            <v>0</v>
          </cell>
          <cell r="L402">
            <v>0</v>
          </cell>
          <cell r="M402">
            <v>0</v>
          </cell>
          <cell r="N402">
            <v>0</v>
          </cell>
          <cell r="O402">
            <v>0</v>
          </cell>
          <cell r="P402">
            <v>0</v>
          </cell>
          <cell r="Q402" t="str">
            <v/>
          </cell>
          <cell r="R402" t="str">
            <v/>
          </cell>
          <cell r="S402" t="str">
            <v/>
          </cell>
          <cell r="T402" t="str">
            <v/>
          </cell>
          <cell r="U402" t="str">
            <v/>
          </cell>
          <cell r="V402" t="str">
            <v/>
          </cell>
          <cell r="W402">
            <v>0</v>
          </cell>
          <cell r="X402">
            <v>0</v>
          </cell>
          <cell r="Y402" t="str">
            <v/>
          </cell>
          <cell r="Z402" t="str">
            <v>BUY</v>
          </cell>
          <cell r="AA402" t="str">
            <v/>
          </cell>
        </row>
        <row r="403">
          <cell r="A403" t="str">
            <v>A</v>
          </cell>
          <cell r="F403" t="str">
            <v>7654</v>
          </cell>
          <cell r="G403" t="str">
            <v>A</v>
          </cell>
          <cell r="H403">
            <v>6</v>
          </cell>
          <cell r="I403" t="str">
            <v>Floor Coverings</v>
          </cell>
          <cell r="J403" t="str">
            <v>Floor Coverings</v>
          </cell>
          <cell r="K403">
            <v>0</v>
          </cell>
          <cell r="L403">
            <v>0</v>
          </cell>
          <cell r="M403">
            <v>0</v>
          </cell>
          <cell r="N403">
            <v>0</v>
          </cell>
          <cell r="O403">
            <v>0</v>
          </cell>
          <cell r="P403">
            <v>0</v>
          </cell>
          <cell r="Q403" t="str">
            <v/>
          </cell>
          <cell r="R403" t="str">
            <v/>
          </cell>
          <cell r="S403" t="str">
            <v/>
          </cell>
          <cell r="T403" t="str">
            <v/>
          </cell>
          <cell r="U403" t="str">
            <v/>
          </cell>
          <cell r="V403" t="str">
            <v/>
          </cell>
          <cell r="W403">
            <v>0</v>
          </cell>
          <cell r="X403">
            <v>0</v>
          </cell>
          <cell r="Y403" t="str">
            <v/>
          </cell>
          <cell r="Z403" t="str">
            <v>BUY</v>
          </cell>
          <cell r="AA403" t="str">
            <v/>
          </cell>
        </row>
        <row r="404">
          <cell r="A404" t="str">
            <v>A</v>
          </cell>
          <cell r="F404" t="str">
            <v>7655</v>
          </cell>
          <cell r="G404" t="str">
            <v>A</v>
          </cell>
          <cell r="H404">
            <v>6</v>
          </cell>
          <cell r="I404" t="str">
            <v>Tools and Equipment</v>
          </cell>
          <cell r="J404" t="str">
            <v>Tools and Equipment</v>
          </cell>
          <cell r="K404">
            <v>0</v>
          </cell>
          <cell r="L404">
            <v>0</v>
          </cell>
          <cell r="M404">
            <v>0</v>
          </cell>
          <cell r="N404">
            <v>20</v>
          </cell>
          <cell r="O404">
            <v>0</v>
          </cell>
          <cell r="P404">
            <v>0</v>
          </cell>
          <cell r="Q404" t="str">
            <v/>
          </cell>
          <cell r="R404" t="str">
            <v/>
          </cell>
          <cell r="S404" t="str">
            <v/>
          </cell>
          <cell r="T404" t="str">
            <v/>
          </cell>
          <cell r="U404" t="str">
            <v/>
          </cell>
          <cell r="V404" t="str">
            <v/>
          </cell>
          <cell r="W404">
            <v>20</v>
          </cell>
          <cell r="X404">
            <v>0</v>
          </cell>
          <cell r="Y404" t="str">
            <v>A</v>
          </cell>
          <cell r="Z404" t="str">
            <v>BUY</v>
          </cell>
          <cell r="AA404" t="str">
            <v/>
          </cell>
        </row>
        <row r="405">
          <cell r="A405" t="str">
            <v>A</v>
          </cell>
          <cell r="F405" t="str">
            <v>7656</v>
          </cell>
          <cell r="G405" t="str">
            <v>A</v>
          </cell>
          <cell r="H405">
            <v>6</v>
          </cell>
          <cell r="I405" t="str">
            <v>Resident Reimbimbursement Repairs</v>
          </cell>
          <cell r="J405" t="str">
            <v>Resident Reimbimbursement Repairs</v>
          </cell>
          <cell r="K405">
            <v>0</v>
          </cell>
          <cell r="L405">
            <v>0</v>
          </cell>
          <cell r="M405">
            <v>0</v>
          </cell>
          <cell r="N405">
            <v>0</v>
          </cell>
          <cell r="O405">
            <v>0</v>
          </cell>
          <cell r="P405">
            <v>0</v>
          </cell>
          <cell r="Q405" t="str">
            <v/>
          </cell>
          <cell r="R405" t="str">
            <v/>
          </cell>
          <cell r="S405" t="str">
            <v/>
          </cell>
          <cell r="T405" t="str">
            <v/>
          </cell>
          <cell r="U405" t="str">
            <v/>
          </cell>
          <cell r="V405" t="str">
            <v/>
          </cell>
          <cell r="W405">
            <v>0</v>
          </cell>
          <cell r="X405">
            <v>0</v>
          </cell>
          <cell r="Y405" t="str">
            <v/>
          </cell>
          <cell r="Z405" t="str">
            <v>BUY</v>
          </cell>
          <cell r="AA405" t="str">
            <v/>
          </cell>
        </row>
        <row r="406">
          <cell r="A406" t="str">
            <v>A</v>
          </cell>
          <cell r="F406" t="str">
            <v>7657</v>
          </cell>
          <cell r="G406" t="str">
            <v>A</v>
          </cell>
          <cell r="H406">
            <v>6</v>
          </cell>
          <cell r="I406" t="str">
            <v>House Committee</v>
          </cell>
          <cell r="J406" t="str">
            <v>House Committee</v>
          </cell>
          <cell r="K406">
            <v>0</v>
          </cell>
          <cell r="L406">
            <v>0</v>
          </cell>
          <cell r="M406">
            <v>0</v>
          </cell>
          <cell r="N406">
            <v>0</v>
          </cell>
          <cell r="O406">
            <v>0</v>
          </cell>
          <cell r="P406">
            <v>0</v>
          </cell>
          <cell r="Q406" t="str">
            <v/>
          </cell>
          <cell r="R406" t="str">
            <v/>
          </cell>
          <cell r="S406" t="str">
            <v/>
          </cell>
          <cell r="T406" t="str">
            <v/>
          </cell>
          <cell r="U406" t="str">
            <v/>
          </cell>
          <cell r="V406" t="str">
            <v/>
          </cell>
          <cell r="W406">
            <v>0</v>
          </cell>
          <cell r="X406">
            <v>0</v>
          </cell>
          <cell r="Y406" t="str">
            <v/>
          </cell>
          <cell r="Z406" t="str">
            <v>BUY</v>
          </cell>
          <cell r="AA406" t="str">
            <v/>
          </cell>
        </row>
        <row r="407">
          <cell r="A407" t="str">
            <v>A</v>
          </cell>
          <cell r="F407" t="str">
            <v>7660</v>
          </cell>
          <cell r="G407" t="str">
            <v>A</v>
          </cell>
          <cell r="H407">
            <v>6</v>
          </cell>
          <cell r="I407" t="str">
            <v>Exterior Wall Repairs</v>
          </cell>
          <cell r="J407" t="str">
            <v>Exterior Wall Repairs</v>
          </cell>
          <cell r="K407">
            <v>0</v>
          </cell>
          <cell r="L407">
            <v>0</v>
          </cell>
          <cell r="M407">
            <v>0</v>
          </cell>
          <cell r="N407">
            <v>0</v>
          </cell>
          <cell r="O407">
            <v>0</v>
          </cell>
          <cell r="P407">
            <v>0</v>
          </cell>
          <cell r="Q407" t="str">
            <v/>
          </cell>
          <cell r="R407" t="str">
            <v/>
          </cell>
          <cell r="S407" t="str">
            <v/>
          </cell>
          <cell r="T407" t="str">
            <v/>
          </cell>
          <cell r="U407" t="str">
            <v/>
          </cell>
          <cell r="V407" t="str">
            <v/>
          </cell>
          <cell r="W407">
            <v>0</v>
          </cell>
          <cell r="X407">
            <v>0</v>
          </cell>
          <cell r="Y407" t="str">
            <v/>
          </cell>
          <cell r="Z407" t="str">
            <v>BUY</v>
          </cell>
          <cell r="AA407" t="str">
            <v/>
          </cell>
        </row>
        <row r="408">
          <cell r="A408" t="str">
            <v>A</v>
          </cell>
          <cell r="F408" t="str">
            <v>7661</v>
          </cell>
          <cell r="G408" t="str">
            <v>A</v>
          </cell>
          <cell r="H408">
            <v>6</v>
          </cell>
          <cell r="I408" t="str">
            <v>Masonry &amp; Tuckpointing</v>
          </cell>
          <cell r="J408" t="str">
            <v>Masonry &amp; Tuckpointing</v>
          </cell>
          <cell r="K408">
            <v>0</v>
          </cell>
          <cell r="L408">
            <v>0</v>
          </cell>
          <cell r="M408">
            <v>0</v>
          </cell>
          <cell r="N408">
            <v>0</v>
          </cell>
          <cell r="O408">
            <v>0</v>
          </cell>
          <cell r="P408">
            <v>0</v>
          </cell>
          <cell r="Q408" t="str">
            <v/>
          </cell>
          <cell r="R408" t="str">
            <v/>
          </cell>
          <cell r="S408" t="str">
            <v/>
          </cell>
          <cell r="T408" t="str">
            <v/>
          </cell>
          <cell r="U408" t="str">
            <v/>
          </cell>
          <cell r="V408" t="str">
            <v/>
          </cell>
          <cell r="W408">
            <v>0</v>
          </cell>
          <cell r="X408">
            <v>0</v>
          </cell>
          <cell r="Y408" t="str">
            <v/>
          </cell>
          <cell r="Z408" t="str">
            <v>BUY</v>
          </cell>
          <cell r="AA408" t="str">
            <v/>
          </cell>
        </row>
        <row r="409">
          <cell r="A409" t="str">
            <v>A</v>
          </cell>
          <cell r="F409" t="str">
            <v>7661-4</v>
          </cell>
          <cell r="G409" t="str">
            <v>A</v>
          </cell>
          <cell r="H409">
            <v>6</v>
          </cell>
          <cell r="I409" t="str">
            <v>Masonry &amp; Tuckpointing</v>
          </cell>
          <cell r="J409" t="str">
            <v>Masonry &amp; Tuckpointing</v>
          </cell>
          <cell r="K409">
            <v>0</v>
          </cell>
          <cell r="L409">
            <v>0</v>
          </cell>
          <cell r="M409">
            <v>0</v>
          </cell>
          <cell r="N409">
            <v>0</v>
          </cell>
          <cell r="O409">
            <v>0</v>
          </cell>
          <cell r="P409">
            <v>0</v>
          </cell>
          <cell r="Q409" t="str">
            <v/>
          </cell>
          <cell r="R409" t="str">
            <v/>
          </cell>
          <cell r="S409" t="str">
            <v/>
          </cell>
          <cell r="T409" t="str">
            <v/>
          </cell>
          <cell r="U409" t="str">
            <v/>
          </cell>
          <cell r="V409" t="str">
            <v/>
          </cell>
          <cell r="W409">
            <v>0</v>
          </cell>
          <cell r="X409">
            <v>0</v>
          </cell>
          <cell r="Y409" t="str">
            <v/>
          </cell>
          <cell r="Z409" t="str">
            <v>BUY</v>
          </cell>
          <cell r="AA409" t="str">
            <v/>
          </cell>
        </row>
        <row r="410">
          <cell r="A410" t="str">
            <v>A</v>
          </cell>
          <cell r="F410" t="str">
            <v>7662</v>
          </cell>
          <cell r="G410" t="str">
            <v>A</v>
          </cell>
          <cell r="H410">
            <v>6</v>
          </cell>
          <cell r="I410" t="str">
            <v>Building Waterproofing</v>
          </cell>
          <cell r="J410" t="str">
            <v>Building Waterproofing</v>
          </cell>
          <cell r="K410">
            <v>0</v>
          </cell>
          <cell r="L410">
            <v>0</v>
          </cell>
          <cell r="M410">
            <v>0</v>
          </cell>
          <cell r="N410">
            <v>0</v>
          </cell>
          <cell r="O410">
            <v>0</v>
          </cell>
          <cell r="P410">
            <v>0</v>
          </cell>
          <cell r="Q410" t="str">
            <v/>
          </cell>
          <cell r="R410" t="str">
            <v/>
          </cell>
          <cell r="S410" t="str">
            <v/>
          </cell>
          <cell r="T410" t="str">
            <v/>
          </cell>
          <cell r="U410" t="str">
            <v/>
          </cell>
          <cell r="V410" t="str">
            <v/>
          </cell>
          <cell r="W410">
            <v>0</v>
          </cell>
          <cell r="X410">
            <v>0</v>
          </cell>
          <cell r="Y410" t="str">
            <v/>
          </cell>
          <cell r="Z410" t="str">
            <v>BUY</v>
          </cell>
          <cell r="AA410" t="str">
            <v/>
          </cell>
        </row>
        <row r="411">
          <cell r="A411" t="str">
            <v>A</v>
          </cell>
          <cell r="F411" t="str">
            <v>7663</v>
          </cell>
          <cell r="G411" t="str">
            <v>A</v>
          </cell>
          <cell r="H411">
            <v>6</v>
          </cell>
          <cell r="I411" t="str">
            <v>Metal Maintenance</v>
          </cell>
          <cell r="J411" t="str">
            <v>Metal Maintenance</v>
          </cell>
          <cell r="K411">
            <v>0</v>
          </cell>
          <cell r="L411">
            <v>0</v>
          </cell>
          <cell r="M411">
            <v>800</v>
          </cell>
          <cell r="N411">
            <v>882</v>
          </cell>
          <cell r="O411">
            <v>800</v>
          </cell>
          <cell r="P411">
            <v>0</v>
          </cell>
          <cell r="Q411">
            <v>0</v>
          </cell>
          <cell r="R411" t="str">
            <v>GL 6642 Full metal maintenance. With new lobby it is recommended that maintenance be performed twice a year. $350 x 2= $700 plus material increase.</v>
          </cell>
          <cell r="S411" t="str">
            <v/>
          </cell>
          <cell r="T411" t="str">
            <v/>
          </cell>
          <cell r="U411" t="str">
            <v/>
          </cell>
          <cell r="V411" t="str">
            <v/>
          </cell>
          <cell r="W411">
            <v>2482</v>
          </cell>
          <cell r="X411">
            <v>0</v>
          </cell>
          <cell r="Y411" t="str">
            <v>A</v>
          </cell>
          <cell r="Z411" t="str">
            <v>BUY</v>
          </cell>
          <cell r="AA411" t="str">
            <v/>
          </cell>
        </row>
        <row r="412">
          <cell r="A412" t="str">
            <v>A</v>
          </cell>
          <cell r="F412" t="str">
            <v>7664</v>
          </cell>
          <cell r="G412" t="str">
            <v>A</v>
          </cell>
          <cell r="H412">
            <v>6</v>
          </cell>
          <cell r="I412" t="str">
            <v>Filter Replacement</v>
          </cell>
          <cell r="J412" t="str">
            <v>Filter Replacement</v>
          </cell>
          <cell r="K412">
            <v>0</v>
          </cell>
          <cell r="L412">
            <v>0</v>
          </cell>
          <cell r="M412">
            <v>0</v>
          </cell>
          <cell r="N412">
            <v>0</v>
          </cell>
          <cell r="O412">
            <v>0</v>
          </cell>
          <cell r="P412">
            <v>0</v>
          </cell>
          <cell r="Q412" t="str">
            <v/>
          </cell>
          <cell r="R412" t="str">
            <v/>
          </cell>
          <cell r="S412" t="str">
            <v/>
          </cell>
          <cell r="T412" t="str">
            <v/>
          </cell>
          <cell r="U412" t="str">
            <v/>
          </cell>
          <cell r="V412" t="str">
            <v/>
          </cell>
          <cell r="W412">
            <v>0</v>
          </cell>
          <cell r="X412">
            <v>0</v>
          </cell>
          <cell r="Y412" t="str">
            <v/>
          </cell>
          <cell r="Z412" t="str">
            <v>BUY</v>
          </cell>
          <cell r="AA412" t="str">
            <v/>
          </cell>
        </row>
        <row r="413">
          <cell r="A413" t="str">
            <v>A</v>
          </cell>
          <cell r="F413" t="str">
            <v>7664-5</v>
          </cell>
          <cell r="G413" t="str">
            <v>A</v>
          </cell>
          <cell r="H413">
            <v>6</v>
          </cell>
          <cell r="I413" t="str">
            <v>Filter Reimbursement</v>
          </cell>
          <cell r="J413" t="str">
            <v>Filter Reimbursement</v>
          </cell>
          <cell r="K413">
            <v>0</v>
          </cell>
          <cell r="L413">
            <v>0</v>
          </cell>
          <cell r="M413">
            <v>0</v>
          </cell>
          <cell r="N413">
            <v>0</v>
          </cell>
          <cell r="O413">
            <v>0</v>
          </cell>
          <cell r="P413">
            <v>0</v>
          </cell>
          <cell r="Q413" t="str">
            <v/>
          </cell>
          <cell r="R413" t="str">
            <v/>
          </cell>
          <cell r="S413" t="str">
            <v/>
          </cell>
          <cell r="T413" t="str">
            <v/>
          </cell>
          <cell r="U413" t="str">
            <v/>
          </cell>
          <cell r="V413" t="str">
            <v/>
          </cell>
          <cell r="W413">
            <v>0</v>
          </cell>
          <cell r="X413">
            <v>0</v>
          </cell>
          <cell r="Y413" t="str">
            <v/>
          </cell>
          <cell r="Z413" t="str">
            <v>BUY</v>
          </cell>
          <cell r="AA413" t="str">
            <v/>
          </cell>
        </row>
        <row r="414">
          <cell r="A414" t="str">
            <v>A</v>
          </cell>
          <cell r="F414" t="str">
            <v>7665</v>
          </cell>
          <cell r="G414" t="str">
            <v>A</v>
          </cell>
          <cell r="H414">
            <v>6</v>
          </cell>
          <cell r="I414" t="str">
            <v>Facade Inspection</v>
          </cell>
          <cell r="J414" t="str">
            <v>Facade Inspection</v>
          </cell>
          <cell r="K414">
            <v>0</v>
          </cell>
          <cell r="L414">
            <v>0</v>
          </cell>
          <cell r="M414">
            <v>0</v>
          </cell>
          <cell r="N414">
            <v>0</v>
          </cell>
          <cell r="O414">
            <v>0</v>
          </cell>
          <cell r="P414">
            <v>0</v>
          </cell>
          <cell r="Q414" t="str">
            <v/>
          </cell>
          <cell r="R414" t="str">
            <v/>
          </cell>
          <cell r="S414" t="str">
            <v/>
          </cell>
          <cell r="T414" t="str">
            <v/>
          </cell>
          <cell r="U414" t="str">
            <v/>
          </cell>
          <cell r="V414" t="str">
            <v/>
          </cell>
          <cell r="W414">
            <v>0</v>
          </cell>
          <cell r="X414">
            <v>0</v>
          </cell>
          <cell r="Y414" t="str">
            <v/>
          </cell>
          <cell r="Z414" t="str">
            <v>BUY</v>
          </cell>
          <cell r="AA414" t="str">
            <v/>
          </cell>
        </row>
        <row r="415">
          <cell r="A415" t="str">
            <v>A</v>
          </cell>
          <cell r="F415" t="str">
            <v>7670</v>
          </cell>
          <cell r="G415" t="str">
            <v>A</v>
          </cell>
          <cell r="H415">
            <v>6</v>
          </cell>
          <cell r="I415" t="str">
            <v>Roof Repairs &amp; Supplies</v>
          </cell>
          <cell r="J415" t="str">
            <v>Roof Repairs &amp; Supplies</v>
          </cell>
          <cell r="K415">
            <v>0</v>
          </cell>
          <cell r="L415">
            <v>0</v>
          </cell>
          <cell r="M415">
            <v>0</v>
          </cell>
          <cell r="N415">
            <v>0</v>
          </cell>
          <cell r="O415">
            <v>0</v>
          </cell>
          <cell r="P415">
            <v>0</v>
          </cell>
          <cell r="Q415" t="str">
            <v/>
          </cell>
          <cell r="R415" t="str">
            <v/>
          </cell>
          <cell r="S415" t="str">
            <v/>
          </cell>
          <cell r="T415" t="str">
            <v/>
          </cell>
          <cell r="U415" t="str">
            <v/>
          </cell>
          <cell r="V415" t="str">
            <v/>
          </cell>
          <cell r="W415">
            <v>0</v>
          </cell>
          <cell r="X415">
            <v>0</v>
          </cell>
          <cell r="Y415" t="str">
            <v/>
          </cell>
          <cell r="Z415" t="str">
            <v>BUY</v>
          </cell>
          <cell r="AA415" t="str">
            <v/>
          </cell>
        </row>
        <row r="416">
          <cell r="A416" t="str">
            <v>A</v>
          </cell>
          <cell r="F416" t="str">
            <v>7670-1</v>
          </cell>
          <cell r="G416" t="str">
            <v>A</v>
          </cell>
          <cell r="H416">
            <v>6</v>
          </cell>
          <cell r="I416" t="str">
            <v>Roof Repairs &amp; Supplies</v>
          </cell>
          <cell r="J416" t="str">
            <v>Roof Repairs &amp; Supplies</v>
          </cell>
          <cell r="K416">
            <v>0</v>
          </cell>
          <cell r="L416">
            <v>0</v>
          </cell>
          <cell r="M416">
            <v>0</v>
          </cell>
          <cell r="N416">
            <v>0</v>
          </cell>
          <cell r="O416">
            <v>0</v>
          </cell>
          <cell r="P416">
            <v>0</v>
          </cell>
          <cell r="Q416" t="str">
            <v/>
          </cell>
          <cell r="R416" t="str">
            <v/>
          </cell>
          <cell r="S416" t="str">
            <v/>
          </cell>
          <cell r="T416" t="str">
            <v/>
          </cell>
          <cell r="U416" t="str">
            <v/>
          </cell>
          <cell r="V416" t="str">
            <v/>
          </cell>
          <cell r="W416">
            <v>0</v>
          </cell>
          <cell r="X416">
            <v>0</v>
          </cell>
          <cell r="Y416" t="str">
            <v/>
          </cell>
          <cell r="Z416" t="str">
            <v>BUY</v>
          </cell>
          <cell r="AA416" t="str">
            <v/>
          </cell>
        </row>
        <row r="417">
          <cell r="A417" t="str">
            <v>A</v>
          </cell>
          <cell r="F417" t="str">
            <v>7670-2</v>
          </cell>
          <cell r="G417" t="str">
            <v>A</v>
          </cell>
          <cell r="H417">
            <v>6</v>
          </cell>
          <cell r="I417" t="str">
            <v>Roof Repairs &amp; Supplies</v>
          </cell>
          <cell r="J417" t="str">
            <v>Roof Repairs &amp; Supplies</v>
          </cell>
          <cell r="K417">
            <v>0</v>
          </cell>
          <cell r="L417">
            <v>0</v>
          </cell>
          <cell r="M417">
            <v>0</v>
          </cell>
          <cell r="N417">
            <v>0</v>
          </cell>
          <cell r="O417">
            <v>0</v>
          </cell>
          <cell r="P417">
            <v>0</v>
          </cell>
          <cell r="Q417" t="str">
            <v/>
          </cell>
          <cell r="R417" t="str">
            <v/>
          </cell>
          <cell r="S417" t="str">
            <v/>
          </cell>
          <cell r="T417" t="str">
            <v/>
          </cell>
          <cell r="U417" t="str">
            <v/>
          </cell>
          <cell r="V417" t="str">
            <v/>
          </cell>
          <cell r="W417">
            <v>0</v>
          </cell>
          <cell r="X417">
            <v>0</v>
          </cell>
          <cell r="Y417" t="str">
            <v/>
          </cell>
          <cell r="Z417" t="str">
            <v>BUY</v>
          </cell>
          <cell r="AA417" t="str">
            <v/>
          </cell>
        </row>
        <row r="418">
          <cell r="A418" t="str">
            <v>A</v>
          </cell>
          <cell r="F418" t="str">
            <v>7670-2000</v>
          </cell>
          <cell r="G418" t="str">
            <v>A</v>
          </cell>
          <cell r="H418">
            <v>6</v>
          </cell>
          <cell r="I418" t="str">
            <v>Roof Repair</v>
          </cell>
          <cell r="J418" t="str">
            <v>Roof Repair</v>
          </cell>
          <cell r="K418">
            <v>0</v>
          </cell>
          <cell r="L418">
            <v>0</v>
          </cell>
          <cell r="M418">
            <v>0</v>
          </cell>
          <cell r="N418">
            <v>0</v>
          </cell>
          <cell r="O418">
            <v>0</v>
          </cell>
          <cell r="P418">
            <v>0</v>
          </cell>
          <cell r="Q418" t="str">
            <v/>
          </cell>
          <cell r="R418" t="str">
            <v/>
          </cell>
          <cell r="S418" t="str">
            <v/>
          </cell>
          <cell r="T418" t="str">
            <v/>
          </cell>
          <cell r="U418" t="str">
            <v/>
          </cell>
          <cell r="V418" t="str">
            <v/>
          </cell>
          <cell r="W418">
            <v>0</v>
          </cell>
          <cell r="X418">
            <v>0</v>
          </cell>
          <cell r="Y418" t="str">
            <v/>
          </cell>
          <cell r="Z418" t="str">
            <v>BUY</v>
          </cell>
          <cell r="AA418" t="str">
            <v/>
          </cell>
        </row>
        <row r="419">
          <cell r="A419" t="str">
            <v>A</v>
          </cell>
          <cell r="F419" t="str">
            <v>7670-3</v>
          </cell>
          <cell r="G419" t="str">
            <v>A</v>
          </cell>
          <cell r="H419">
            <v>6</v>
          </cell>
          <cell r="I419" t="str">
            <v>Roof Repairs &amp; Supplies</v>
          </cell>
          <cell r="J419" t="str">
            <v>Roof Repairs &amp; Supplies</v>
          </cell>
          <cell r="K419">
            <v>0</v>
          </cell>
          <cell r="L419">
            <v>0</v>
          </cell>
          <cell r="M419">
            <v>0</v>
          </cell>
          <cell r="N419">
            <v>0</v>
          </cell>
          <cell r="O419">
            <v>0</v>
          </cell>
          <cell r="P419">
            <v>0</v>
          </cell>
          <cell r="Q419" t="str">
            <v/>
          </cell>
          <cell r="R419" t="str">
            <v/>
          </cell>
          <cell r="S419" t="str">
            <v/>
          </cell>
          <cell r="T419" t="str">
            <v/>
          </cell>
          <cell r="U419" t="str">
            <v/>
          </cell>
          <cell r="V419" t="str">
            <v/>
          </cell>
          <cell r="W419">
            <v>0</v>
          </cell>
          <cell r="X419">
            <v>0</v>
          </cell>
          <cell r="Y419" t="str">
            <v/>
          </cell>
          <cell r="Z419" t="str">
            <v>BUY</v>
          </cell>
          <cell r="AA419" t="str">
            <v/>
          </cell>
        </row>
        <row r="420">
          <cell r="A420" t="str">
            <v>A</v>
          </cell>
          <cell r="F420" t="str">
            <v>7670-4</v>
          </cell>
          <cell r="G420" t="str">
            <v>A</v>
          </cell>
          <cell r="H420">
            <v>6</v>
          </cell>
          <cell r="I420" t="str">
            <v>Roof Repairs &amp; Supplies</v>
          </cell>
          <cell r="J420" t="str">
            <v>Roof Repairs &amp; Supplies</v>
          </cell>
          <cell r="K420">
            <v>0</v>
          </cell>
          <cell r="L420">
            <v>0</v>
          </cell>
          <cell r="M420">
            <v>0</v>
          </cell>
          <cell r="N420">
            <v>0</v>
          </cell>
          <cell r="O420">
            <v>0</v>
          </cell>
          <cell r="P420">
            <v>0</v>
          </cell>
          <cell r="Q420" t="str">
            <v/>
          </cell>
          <cell r="R420" t="str">
            <v/>
          </cell>
          <cell r="S420" t="str">
            <v/>
          </cell>
          <cell r="T420" t="str">
            <v/>
          </cell>
          <cell r="U420" t="str">
            <v/>
          </cell>
          <cell r="V420" t="str">
            <v/>
          </cell>
          <cell r="W420">
            <v>0</v>
          </cell>
          <cell r="X420">
            <v>0</v>
          </cell>
          <cell r="Y420" t="str">
            <v/>
          </cell>
          <cell r="Z420" t="str">
            <v>BUY</v>
          </cell>
          <cell r="AA420" t="str">
            <v/>
          </cell>
        </row>
        <row r="421">
          <cell r="A421" t="str">
            <v>A</v>
          </cell>
          <cell r="F421" t="str">
            <v>7670-5</v>
          </cell>
          <cell r="G421" t="str">
            <v>A</v>
          </cell>
          <cell r="H421">
            <v>6</v>
          </cell>
          <cell r="I421" t="str">
            <v>Roof Repairs &amp; Supplies</v>
          </cell>
          <cell r="J421" t="str">
            <v>Roof Repairs &amp; Supplies</v>
          </cell>
          <cell r="K421">
            <v>0</v>
          </cell>
          <cell r="L421">
            <v>0</v>
          </cell>
          <cell r="M421">
            <v>0</v>
          </cell>
          <cell r="N421">
            <v>0</v>
          </cell>
          <cell r="O421">
            <v>0</v>
          </cell>
          <cell r="P421">
            <v>0</v>
          </cell>
          <cell r="Q421" t="str">
            <v/>
          </cell>
          <cell r="R421" t="str">
            <v/>
          </cell>
          <cell r="S421" t="str">
            <v/>
          </cell>
          <cell r="T421" t="str">
            <v/>
          </cell>
          <cell r="U421" t="str">
            <v/>
          </cell>
          <cell r="V421" t="str">
            <v/>
          </cell>
          <cell r="W421">
            <v>0</v>
          </cell>
          <cell r="X421">
            <v>0</v>
          </cell>
          <cell r="Y421" t="str">
            <v/>
          </cell>
          <cell r="Z421" t="str">
            <v>BUY</v>
          </cell>
          <cell r="AA421" t="str">
            <v/>
          </cell>
        </row>
        <row r="422">
          <cell r="A422" t="str">
            <v>A</v>
          </cell>
          <cell r="F422" t="str">
            <v>7671</v>
          </cell>
          <cell r="G422" t="str">
            <v>A</v>
          </cell>
          <cell r="H422">
            <v>6</v>
          </cell>
          <cell r="I422" t="str">
            <v>Roof Repairs Other</v>
          </cell>
          <cell r="J422" t="str">
            <v>Roof Repairs Other</v>
          </cell>
          <cell r="K422">
            <v>0</v>
          </cell>
          <cell r="L422">
            <v>0</v>
          </cell>
          <cell r="M422">
            <v>800</v>
          </cell>
          <cell r="N422">
            <v>0</v>
          </cell>
          <cell r="O422">
            <v>800</v>
          </cell>
          <cell r="P422">
            <v>0</v>
          </cell>
          <cell r="Q422">
            <v>0</v>
          </cell>
          <cell r="R422" t="str">
            <v>GL 6460 On-going preventative maintenance repairs of the various roof areas as well as repairs to roof drain on main roofs.</v>
          </cell>
          <cell r="S422" t="str">
            <v/>
          </cell>
          <cell r="T422" t="str">
            <v/>
          </cell>
          <cell r="U422" t="str">
            <v/>
          </cell>
          <cell r="V422" t="str">
            <v/>
          </cell>
          <cell r="W422">
            <v>1600</v>
          </cell>
          <cell r="X422">
            <v>0</v>
          </cell>
          <cell r="Y422" t="str">
            <v>A</v>
          </cell>
          <cell r="Z422" t="str">
            <v>BUY</v>
          </cell>
          <cell r="AA422" t="str">
            <v/>
          </cell>
        </row>
        <row r="423">
          <cell r="A423" t="str">
            <v>A</v>
          </cell>
          <cell r="F423" t="str">
            <v>7671-1</v>
          </cell>
          <cell r="G423" t="str">
            <v>A</v>
          </cell>
          <cell r="H423">
            <v>6</v>
          </cell>
          <cell r="I423" t="str">
            <v>Roof Repairs/Supply</v>
          </cell>
          <cell r="J423" t="str">
            <v>Roof Repairs/Supply</v>
          </cell>
          <cell r="K423">
            <v>0</v>
          </cell>
          <cell r="L423">
            <v>0</v>
          </cell>
          <cell r="M423">
            <v>0</v>
          </cell>
          <cell r="N423">
            <v>0</v>
          </cell>
          <cell r="O423">
            <v>0</v>
          </cell>
          <cell r="P423">
            <v>0</v>
          </cell>
          <cell r="Q423" t="str">
            <v/>
          </cell>
          <cell r="R423" t="str">
            <v/>
          </cell>
          <cell r="S423" t="str">
            <v/>
          </cell>
          <cell r="T423" t="str">
            <v/>
          </cell>
          <cell r="U423" t="str">
            <v/>
          </cell>
          <cell r="V423" t="str">
            <v/>
          </cell>
          <cell r="W423">
            <v>0</v>
          </cell>
          <cell r="X423">
            <v>0</v>
          </cell>
          <cell r="Y423" t="str">
            <v/>
          </cell>
          <cell r="Z423" t="str">
            <v>BUY</v>
          </cell>
          <cell r="AA423" t="str">
            <v/>
          </cell>
        </row>
        <row r="424">
          <cell r="A424" t="str">
            <v>A</v>
          </cell>
          <cell r="F424" t="str">
            <v>7680</v>
          </cell>
          <cell r="G424" t="str">
            <v>A</v>
          </cell>
          <cell r="H424">
            <v>6</v>
          </cell>
          <cell r="I424" t="str">
            <v>Gutters &amp; Downspouts</v>
          </cell>
          <cell r="J424" t="str">
            <v>Gutters &amp; Downspouts</v>
          </cell>
          <cell r="K424">
            <v>0</v>
          </cell>
          <cell r="L424">
            <v>0</v>
          </cell>
          <cell r="M424">
            <v>0</v>
          </cell>
          <cell r="N424">
            <v>0</v>
          </cell>
          <cell r="O424">
            <v>0</v>
          </cell>
          <cell r="P424">
            <v>0</v>
          </cell>
          <cell r="Q424" t="str">
            <v/>
          </cell>
          <cell r="R424" t="str">
            <v/>
          </cell>
          <cell r="S424" t="str">
            <v/>
          </cell>
          <cell r="T424" t="str">
            <v/>
          </cell>
          <cell r="U424" t="str">
            <v/>
          </cell>
          <cell r="V424" t="str">
            <v/>
          </cell>
          <cell r="W424">
            <v>0</v>
          </cell>
          <cell r="X424">
            <v>0</v>
          </cell>
          <cell r="Y424" t="str">
            <v/>
          </cell>
          <cell r="Z424" t="str">
            <v>BUY</v>
          </cell>
          <cell r="AA424" t="str">
            <v/>
          </cell>
        </row>
        <row r="425">
          <cell r="A425" t="str">
            <v>A</v>
          </cell>
          <cell r="F425" t="str">
            <v>7680-1</v>
          </cell>
          <cell r="G425" t="str">
            <v>A</v>
          </cell>
          <cell r="H425">
            <v>6</v>
          </cell>
          <cell r="I425" t="str">
            <v>Gutters &amp; Downspouts</v>
          </cell>
          <cell r="J425" t="str">
            <v>Gutters &amp; Downspouts</v>
          </cell>
          <cell r="K425">
            <v>0</v>
          </cell>
          <cell r="L425">
            <v>0</v>
          </cell>
          <cell r="M425">
            <v>0</v>
          </cell>
          <cell r="N425">
            <v>0</v>
          </cell>
          <cell r="O425">
            <v>0</v>
          </cell>
          <cell r="P425">
            <v>0</v>
          </cell>
          <cell r="Q425" t="str">
            <v/>
          </cell>
          <cell r="R425" t="str">
            <v/>
          </cell>
          <cell r="S425" t="str">
            <v/>
          </cell>
          <cell r="T425" t="str">
            <v/>
          </cell>
          <cell r="U425" t="str">
            <v/>
          </cell>
          <cell r="V425" t="str">
            <v/>
          </cell>
          <cell r="W425">
            <v>0</v>
          </cell>
          <cell r="X425">
            <v>0</v>
          </cell>
          <cell r="Y425" t="str">
            <v/>
          </cell>
          <cell r="Z425" t="str">
            <v>BUY</v>
          </cell>
          <cell r="AA425" t="str">
            <v/>
          </cell>
        </row>
        <row r="426">
          <cell r="A426" t="str">
            <v>A</v>
          </cell>
          <cell r="F426" t="str">
            <v>7680-5</v>
          </cell>
          <cell r="G426" t="str">
            <v>A</v>
          </cell>
          <cell r="H426">
            <v>6</v>
          </cell>
          <cell r="I426" t="str">
            <v>Gutters &amp; Downspouts</v>
          </cell>
          <cell r="J426" t="str">
            <v>Gutters &amp; Downspouts</v>
          </cell>
          <cell r="K426">
            <v>0</v>
          </cell>
          <cell r="L426">
            <v>0</v>
          </cell>
          <cell r="M426">
            <v>0</v>
          </cell>
          <cell r="N426">
            <v>0</v>
          </cell>
          <cell r="O426">
            <v>0</v>
          </cell>
          <cell r="P426">
            <v>0</v>
          </cell>
          <cell r="Q426" t="str">
            <v/>
          </cell>
          <cell r="R426" t="str">
            <v/>
          </cell>
          <cell r="S426" t="str">
            <v/>
          </cell>
          <cell r="T426" t="str">
            <v/>
          </cell>
          <cell r="U426" t="str">
            <v/>
          </cell>
          <cell r="V426" t="str">
            <v/>
          </cell>
          <cell r="W426">
            <v>0</v>
          </cell>
          <cell r="X426">
            <v>0</v>
          </cell>
          <cell r="Y426" t="str">
            <v/>
          </cell>
          <cell r="Z426" t="str">
            <v>BUY</v>
          </cell>
          <cell r="AA426" t="str">
            <v/>
          </cell>
        </row>
        <row r="427">
          <cell r="A427" t="str">
            <v>A</v>
          </cell>
          <cell r="F427" t="str">
            <v>7690</v>
          </cell>
          <cell r="G427" t="str">
            <v>A</v>
          </cell>
          <cell r="H427">
            <v>6</v>
          </cell>
          <cell r="I427" t="str">
            <v>Structural Repairs</v>
          </cell>
          <cell r="J427" t="str">
            <v>Structural Repairs</v>
          </cell>
          <cell r="K427">
            <v>0</v>
          </cell>
          <cell r="L427">
            <v>0</v>
          </cell>
          <cell r="M427">
            <v>0</v>
          </cell>
          <cell r="N427">
            <v>0</v>
          </cell>
          <cell r="O427">
            <v>0</v>
          </cell>
          <cell r="P427">
            <v>0</v>
          </cell>
          <cell r="Q427" t="str">
            <v/>
          </cell>
          <cell r="R427" t="str">
            <v/>
          </cell>
          <cell r="S427" t="str">
            <v/>
          </cell>
          <cell r="T427" t="str">
            <v/>
          </cell>
          <cell r="U427" t="str">
            <v/>
          </cell>
          <cell r="V427" t="str">
            <v/>
          </cell>
          <cell r="W427">
            <v>0</v>
          </cell>
          <cell r="X427">
            <v>0</v>
          </cell>
          <cell r="Y427" t="str">
            <v/>
          </cell>
          <cell r="Z427" t="str">
            <v>BUY</v>
          </cell>
          <cell r="AA427" t="str">
            <v/>
          </cell>
        </row>
        <row r="428">
          <cell r="A428" t="str">
            <v>A</v>
          </cell>
          <cell r="F428" t="str">
            <v>7692</v>
          </cell>
          <cell r="G428" t="str">
            <v>A</v>
          </cell>
          <cell r="H428">
            <v>6</v>
          </cell>
          <cell r="I428" t="str">
            <v>Hardware Supplies</v>
          </cell>
          <cell r="J428" t="str">
            <v>Hardware Supplies</v>
          </cell>
          <cell r="K428">
            <v>0</v>
          </cell>
          <cell r="L428">
            <v>0</v>
          </cell>
          <cell r="M428">
            <v>0</v>
          </cell>
          <cell r="N428">
            <v>0</v>
          </cell>
          <cell r="O428">
            <v>0</v>
          </cell>
          <cell r="P428">
            <v>0</v>
          </cell>
          <cell r="Q428" t="str">
            <v/>
          </cell>
          <cell r="R428" t="str">
            <v/>
          </cell>
          <cell r="S428" t="str">
            <v/>
          </cell>
          <cell r="T428" t="str">
            <v/>
          </cell>
          <cell r="U428" t="str">
            <v/>
          </cell>
          <cell r="V428" t="str">
            <v/>
          </cell>
          <cell r="W428">
            <v>0</v>
          </cell>
          <cell r="X428">
            <v>0</v>
          </cell>
          <cell r="Y428" t="str">
            <v/>
          </cell>
          <cell r="Z428" t="str">
            <v>BUY</v>
          </cell>
          <cell r="AA428" t="str">
            <v/>
          </cell>
        </row>
        <row r="429">
          <cell r="A429" t="str">
            <v>A</v>
          </cell>
          <cell r="F429" t="str">
            <v>7692-2</v>
          </cell>
          <cell r="G429" t="str">
            <v>A</v>
          </cell>
          <cell r="H429">
            <v>6</v>
          </cell>
          <cell r="I429" t="str">
            <v>Hardware Supplies</v>
          </cell>
          <cell r="J429" t="str">
            <v>Hardware Supplies</v>
          </cell>
          <cell r="K429">
            <v>0</v>
          </cell>
          <cell r="L429">
            <v>0</v>
          </cell>
          <cell r="M429">
            <v>0</v>
          </cell>
          <cell r="N429">
            <v>0</v>
          </cell>
          <cell r="O429">
            <v>0</v>
          </cell>
          <cell r="P429">
            <v>0</v>
          </cell>
          <cell r="Q429" t="str">
            <v/>
          </cell>
          <cell r="R429" t="str">
            <v/>
          </cell>
          <cell r="S429" t="str">
            <v/>
          </cell>
          <cell r="T429" t="str">
            <v/>
          </cell>
          <cell r="U429" t="str">
            <v/>
          </cell>
          <cell r="V429" t="str">
            <v/>
          </cell>
          <cell r="W429">
            <v>0</v>
          </cell>
          <cell r="X429">
            <v>0</v>
          </cell>
          <cell r="Y429" t="str">
            <v/>
          </cell>
          <cell r="Z429" t="str">
            <v>BUY</v>
          </cell>
          <cell r="AA429" t="str">
            <v/>
          </cell>
        </row>
        <row r="430">
          <cell r="A430" t="str">
            <v>A</v>
          </cell>
          <cell r="F430" t="str">
            <v>7692-3</v>
          </cell>
          <cell r="G430" t="str">
            <v>A</v>
          </cell>
          <cell r="H430">
            <v>6</v>
          </cell>
          <cell r="I430" t="str">
            <v>Hardware Supplies</v>
          </cell>
          <cell r="J430" t="str">
            <v>Hardware Supplies</v>
          </cell>
          <cell r="K430">
            <v>0</v>
          </cell>
          <cell r="L430">
            <v>0</v>
          </cell>
          <cell r="M430">
            <v>0</v>
          </cell>
          <cell r="N430">
            <v>0</v>
          </cell>
          <cell r="O430">
            <v>0</v>
          </cell>
          <cell r="P430">
            <v>0</v>
          </cell>
          <cell r="Q430" t="str">
            <v/>
          </cell>
          <cell r="R430" t="str">
            <v/>
          </cell>
          <cell r="S430" t="str">
            <v/>
          </cell>
          <cell r="T430" t="str">
            <v/>
          </cell>
          <cell r="U430" t="str">
            <v/>
          </cell>
          <cell r="V430" t="str">
            <v/>
          </cell>
          <cell r="W430">
            <v>0</v>
          </cell>
          <cell r="X430">
            <v>0</v>
          </cell>
          <cell r="Y430" t="str">
            <v/>
          </cell>
          <cell r="Z430" t="str">
            <v>BUY</v>
          </cell>
          <cell r="AA430" t="str">
            <v/>
          </cell>
        </row>
        <row r="431">
          <cell r="A431" t="str">
            <v>A</v>
          </cell>
          <cell r="F431" t="str">
            <v>7692-4</v>
          </cell>
          <cell r="G431" t="str">
            <v>A</v>
          </cell>
          <cell r="H431">
            <v>6</v>
          </cell>
          <cell r="I431" t="str">
            <v>Hardware Supplies</v>
          </cell>
          <cell r="J431" t="str">
            <v>Hardware Supplies</v>
          </cell>
          <cell r="K431">
            <v>0</v>
          </cell>
          <cell r="L431">
            <v>0</v>
          </cell>
          <cell r="M431">
            <v>0</v>
          </cell>
          <cell r="N431">
            <v>0</v>
          </cell>
          <cell r="O431">
            <v>0</v>
          </cell>
          <cell r="P431">
            <v>0</v>
          </cell>
          <cell r="Q431" t="str">
            <v/>
          </cell>
          <cell r="R431" t="str">
            <v/>
          </cell>
          <cell r="S431" t="str">
            <v/>
          </cell>
          <cell r="T431" t="str">
            <v/>
          </cell>
          <cell r="U431" t="str">
            <v/>
          </cell>
          <cell r="V431" t="str">
            <v/>
          </cell>
          <cell r="W431">
            <v>0</v>
          </cell>
          <cell r="X431">
            <v>0</v>
          </cell>
          <cell r="Y431" t="str">
            <v/>
          </cell>
          <cell r="Z431" t="str">
            <v>BUY</v>
          </cell>
          <cell r="AA431" t="str">
            <v/>
          </cell>
        </row>
        <row r="432">
          <cell r="A432" t="str">
            <v>A</v>
          </cell>
          <cell r="F432" t="str">
            <v>7692-5</v>
          </cell>
          <cell r="G432" t="str">
            <v>A</v>
          </cell>
          <cell r="H432">
            <v>6</v>
          </cell>
          <cell r="I432" t="str">
            <v>Hardware Supplies</v>
          </cell>
          <cell r="J432" t="str">
            <v>Hardware Supplies</v>
          </cell>
          <cell r="K432">
            <v>0</v>
          </cell>
          <cell r="L432">
            <v>0</v>
          </cell>
          <cell r="M432">
            <v>0</v>
          </cell>
          <cell r="N432">
            <v>0</v>
          </cell>
          <cell r="O432">
            <v>0</v>
          </cell>
          <cell r="P432">
            <v>0</v>
          </cell>
          <cell r="Q432" t="str">
            <v/>
          </cell>
          <cell r="R432" t="str">
            <v/>
          </cell>
          <cell r="S432" t="str">
            <v/>
          </cell>
          <cell r="T432" t="str">
            <v/>
          </cell>
          <cell r="U432" t="str">
            <v/>
          </cell>
          <cell r="V432" t="str">
            <v/>
          </cell>
          <cell r="W432">
            <v>0</v>
          </cell>
          <cell r="X432">
            <v>0</v>
          </cell>
          <cell r="Y432" t="str">
            <v/>
          </cell>
          <cell r="Z432" t="str">
            <v>BUY</v>
          </cell>
          <cell r="AA432" t="str">
            <v/>
          </cell>
        </row>
        <row r="433">
          <cell r="A433" t="str">
            <v>A</v>
          </cell>
          <cell r="F433" t="str">
            <v>7693</v>
          </cell>
          <cell r="G433" t="str">
            <v>A</v>
          </cell>
          <cell r="H433">
            <v>6</v>
          </cell>
          <cell r="I433" t="str">
            <v>Cleaning Supplies</v>
          </cell>
          <cell r="J433" t="str">
            <v>Cleaning Supplies</v>
          </cell>
          <cell r="K433">
            <v>0</v>
          </cell>
          <cell r="L433">
            <v>0</v>
          </cell>
          <cell r="M433">
            <v>0</v>
          </cell>
          <cell r="N433">
            <v>0</v>
          </cell>
          <cell r="O433">
            <v>0</v>
          </cell>
          <cell r="P433">
            <v>0</v>
          </cell>
          <cell r="Q433" t="str">
            <v/>
          </cell>
          <cell r="R433" t="str">
            <v/>
          </cell>
          <cell r="S433" t="str">
            <v/>
          </cell>
          <cell r="T433" t="str">
            <v/>
          </cell>
          <cell r="U433" t="str">
            <v/>
          </cell>
          <cell r="V433" t="str">
            <v/>
          </cell>
          <cell r="W433">
            <v>0</v>
          </cell>
          <cell r="X433">
            <v>0</v>
          </cell>
          <cell r="Y433" t="str">
            <v/>
          </cell>
          <cell r="Z433" t="str">
            <v>BUY</v>
          </cell>
          <cell r="AA433" t="str">
            <v/>
          </cell>
        </row>
        <row r="434">
          <cell r="A434" t="str">
            <v>A</v>
          </cell>
          <cell r="F434" t="str">
            <v>7694</v>
          </cell>
          <cell r="G434" t="str">
            <v>A</v>
          </cell>
          <cell r="H434">
            <v>6</v>
          </cell>
          <cell r="I434" t="str">
            <v>Provision for Contingency</v>
          </cell>
          <cell r="J434" t="str">
            <v>Provision for Contingency</v>
          </cell>
          <cell r="K434">
            <v>0</v>
          </cell>
          <cell r="L434">
            <v>0</v>
          </cell>
          <cell r="M434">
            <v>0</v>
          </cell>
          <cell r="N434">
            <v>0</v>
          </cell>
          <cell r="O434">
            <v>0</v>
          </cell>
          <cell r="P434">
            <v>0</v>
          </cell>
          <cell r="Q434" t="str">
            <v/>
          </cell>
          <cell r="R434" t="str">
            <v/>
          </cell>
          <cell r="S434" t="str">
            <v/>
          </cell>
          <cell r="T434" t="str">
            <v/>
          </cell>
          <cell r="U434" t="str">
            <v/>
          </cell>
          <cell r="V434" t="str">
            <v/>
          </cell>
          <cell r="W434">
            <v>0</v>
          </cell>
          <cell r="X434">
            <v>0</v>
          </cell>
          <cell r="Y434" t="str">
            <v/>
          </cell>
          <cell r="Z434" t="str">
            <v>BUY</v>
          </cell>
          <cell r="AA434" t="str">
            <v/>
          </cell>
        </row>
        <row r="435">
          <cell r="A435" t="str">
            <v>A</v>
          </cell>
          <cell r="F435" t="str">
            <v>7695</v>
          </cell>
          <cell r="G435" t="str">
            <v>A</v>
          </cell>
          <cell r="H435">
            <v>6</v>
          </cell>
          <cell r="I435" t="str">
            <v>Other Building Repairs</v>
          </cell>
          <cell r="J435" t="str">
            <v>Other Building Repairs</v>
          </cell>
          <cell r="K435">
            <v>0</v>
          </cell>
          <cell r="L435">
            <v>0</v>
          </cell>
          <cell r="M435">
            <v>500</v>
          </cell>
          <cell r="N435">
            <v>9531</v>
          </cell>
          <cell r="O435">
            <v>0</v>
          </cell>
          <cell r="P435">
            <v>-500</v>
          </cell>
          <cell r="Q435">
            <v>-1</v>
          </cell>
          <cell r="S435" t="str">
            <v/>
          </cell>
          <cell r="T435" t="str">
            <v/>
          </cell>
          <cell r="U435" t="str">
            <v/>
          </cell>
          <cell r="V435" t="str">
            <v/>
          </cell>
          <cell r="W435">
            <v>10031</v>
          </cell>
          <cell r="X435">
            <v>0</v>
          </cell>
          <cell r="Y435" t="str">
            <v>A</v>
          </cell>
          <cell r="Z435" t="str">
            <v>BUY</v>
          </cell>
          <cell r="AA435" t="str">
            <v/>
          </cell>
        </row>
        <row r="436">
          <cell r="A436" t="str">
            <v>A</v>
          </cell>
          <cell r="F436" t="str">
            <v>7695-5</v>
          </cell>
          <cell r="G436" t="str">
            <v>A</v>
          </cell>
          <cell r="H436">
            <v>6</v>
          </cell>
          <cell r="I436" t="str">
            <v>Reimb Misc Repairs</v>
          </cell>
          <cell r="J436" t="str">
            <v>Reimb Misc Repairs</v>
          </cell>
          <cell r="K436">
            <v>0</v>
          </cell>
          <cell r="L436">
            <v>0</v>
          </cell>
          <cell r="M436">
            <v>0</v>
          </cell>
          <cell r="N436">
            <v>0</v>
          </cell>
          <cell r="O436">
            <v>0</v>
          </cell>
          <cell r="P436">
            <v>0</v>
          </cell>
          <cell r="Q436" t="str">
            <v/>
          </cell>
          <cell r="R436" t="str">
            <v/>
          </cell>
          <cell r="S436" t="str">
            <v/>
          </cell>
          <cell r="T436" t="str">
            <v/>
          </cell>
          <cell r="U436" t="str">
            <v/>
          </cell>
          <cell r="V436" t="str">
            <v/>
          </cell>
          <cell r="W436">
            <v>0</v>
          </cell>
          <cell r="X436">
            <v>0</v>
          </cell>
          <cell r="Y436" t="str">
            <v/>
          </cell>
          <cell r="Z436" t="str">
            <v>BUY</v>
          </cell>
          <cell r="AA436" t="str">
            <v/>
          </cell>
        </row>
        <row r="437">
          <cell r="A437" t="str">
            <v>A</v>
          </cell>
          <cell r="F437" t="str">
            <v>7701</v>
          </cell>
          <cell r="G437" t="str">
            <v>A</v>
          </cell>
          <cell r="H437">
            <v>7</v>
          </cell>
          <cell r="I437" t="str">
            <v>Water Fixed</v>
          </cell>
          <cell r="J437" t="str">
            <v>Water Fixed</v>
          </cell>
          <cell r="K437">
            <v>0</v>
          </cell>
          <cell r="L437">
            <v>0</v>
          </cell>
          <cell r="M437">
            <v>0</v>
          </cell>
          <cell r="N437">
            <v>0</v>
          </cell>
          <cell r="O437">
            <v>0</v>
          </cell>
          <cell r="P437">
            <v>0</v>
          </cell>
          <cell r="Q437" t="str">
            <v/>
          </cell>
          <cell r="R437" t="str">
            <v/>
          </cell>
          <cell r="S437" t="str">
            <v/>
          </cell>
          <cell r="T437" t="str">
            <v/>
          </cell>
          <cell r="U437" t="str">
            <v/>
          </cell>
          <cell r="V437" t="str">
            <v/>
          </cell>
          <cell r="W437">
            <v>0</v>
          </cell>
          <cell r="X437">
            <v>0</v>
          </cell>
          <cell r="Y437" t="str">
            <v/>
          </cell>
          <cell r="Z437" t="str">
            <v>BUY</v>
          </cell>
          <cell r="AA437" t="str">
            <v/>
          </cell>
        </row>
        <row r="438">
          <cell r="A438" t="str">
            <v>A</v>
          </cell>
          <cell r="F438" t="str">
            <v>7702</v>
          </cell>
          <cell r="G438" t="str">
            <v>A</v>
          </cell>
          <cell r="H438">
            <v>7</v>
          </cell>
          <cell r="I438" t="str">
            <v>Water Variable</v>
          </cell>
          <cell r="J438" t="str">
            <v>Water Variable</v>
          </cell>
          <cell r="K438">
            <v>0</v>
          </cell>
          <cell r="L438">
            <v>0</v>
          </cell>
          <cell r="M438">
            <v>0</v>
          </cell>
          <cell r="N438">
            <v>0</v>
          </cell>
          <cell r="O438">
            <v>0</v>
          </cell>
          <cell r="P438">
            <v>0</v>
          </cell>
          <cell r="Q438" t="str">
            <v/>
          </cell>
          <cell r="R438" t="str">
            <v/>
          </cell>
          <cell r="S438" t="str">
            <v/>
          </cell>
          <cell r="T438" t="str">
            <v/>
          </cell>
          <cell r="U438" t="str">
            <v/>
          </cell>
          <cell r="V438" t="str">
            <v/>
          </cell>
          <cell r="W438">
            <v>0</v>
          </cell>
          <cell r="X438">
            <v>0</v>
          </cell>
          <cell r="Y438" t="str">
            <v/>
          </cell>
          <cell r="Z438" t="str">
            <v>BUY</v>
          </cell>
          <cell r="AA438" t="str">
            <v/>
          </cell>
        </row>
        <row r="439">
          <cell r="A439" t="str">
            <v>A</v>
          </cell>
          <cell r="F439" t="str">
            <v>7703</v>
          </cell>
          <cell r="G439" t="str">
            <v>A</v>
          </cell>
          <cell r="H439">
            <v>7</v>
          </cell>
          <cell r="I439" t="str">
            <v xml:space="preserve"> Monitor Fire Alarm Fixed</v>
          </cell>
          <cell r="J439" t="str">
            <v xml:space="preserve"> Monitor Fire Alarm Fixed</v>
          </cell>
          <cell r="K439">
            <v>0</v>
          </cell>
          <cell r="L439">
            <v>0</v>
          </cell>
          <cell r="M439">
            <v>0</v>
          </cell>
          <cell r="N439">
            <v>0</v>
          </cell>
          <cell r="O439">
            <v>0</v>
          </cell>
          <cell r="P439">
            <v>0</v>
          </cell>
          <cell r="Q439" t="str">
            <v/>
          </cell>
          <cell r="R439" t="str">
            <v/>
          </cell>
          <cell r="S439" t="str">
            <v/>
          </cell>
          <cell r="T439" t="str">
            <v/>
          </cell>
          <cell r="U439" t="str">
            <v/>
          </cell>
          <cell r="V439" t="str">
            <v/>
          </cell>
          <cell r="W439">
            <v>0</v>
          </cell>
          <cell r="X439">
            <v>0</v>
          </cell>
          <cell r="Y439" t="str">
            <v/>
          </cell>
          <cell r="Z439" t="str">
            <v>BUY</v>
          </cell>
          <cell r="AA439" t="str">
            <v/>
          </cell>
        </row>
        <row r="440">
          <cell r="A440" t="str">
            <v>A</v>
          </cell>
          <cell r="F440" t="str">
            <v>7704</v>
          </cell>
          <cell r="G440" t="str">
            <v>A</v>
          </cell>
          <cell r="H440">
            <v>7</v>
          </cell>
          <cell r="I440" t="str">
            <v>Monitor Fire Alarm Variable</v>
          </cell>
          <cell r="J440" t="str">
            <v>Monitor Fire Alarm Variable</v>
          </cell>
          <cell r="K440">
            <v>0</v>
          </cell>
          <cell r="L440">
            <v>0</v>
          </cell>
          <cell r="M440">
            <v>0</v>
          </cell>
          <cell r="N440">
            <v>0</v>
          </cell>
          <cell r="O440">
            <v>0</v>
          </cell>
          <cell r="P440">
            <v>0</v>
          </cell>
          <cell r="Q440" t="str">
            <v/>
          </cell>
          <cell r="R440" t="str">
            <v/>
          </cell>
          <cell r="S440" t="str">
            <v/>
          </cell>
          <cell r="T440" t="str">
            <v/>
          </cell>
          <cell r="U440" t="str">
            <v/>
          </cell>
          <cell r="V440" t="str">
            <v/>
          </cell>
          <cell r="W440">
            <v>0</v>
          </cell>
          <cell r="X440">
            <v>0</v>
          </cell>
          <cell r="Y440" t="str">
            <v/>
          </cell>
          <cell r="Z440" t="str">
            <v>BUY</v>
          </cell>
          <cell r="AA440" t="str">
            <v/>
          </cell>
        </row>
        <row r="441">
          <cell r="A441" t="str">
            <v>A</v>
          </cell>
          <cell r="F441" t="str">
            <v>7705</v>
          </cell>
          <cell r="G441" t="str">
            <v>A</v>
          </cell>
          <cell r="H441">
            <v>7</v>
          </cell>
          <cell r="I441" t="str">
            <v>Emergency Pump Power Fixed</v>
          </cell>
          <cell r="J441" t="str">
            <v>Emergency Pump Power Fixed</v>
          </cell>
          <cell r="K441">
            <v>0</v>
          </cell>
          <cell r="L441">
            <v>0</v>
          </cell>
          <cell r="M441">
            <v>0</v>
          </cell>
          <cell r="N441">
            <v>0</v>
          </cell>
          <cell r="O441">
            <v>0</v>
          </cell>
          <cell r="P441">
            <v>0</v>
          </cell>
          <cell r="Q441" t="str">
            <v/>
          </cell>
          <cell r="R441" t="str">
            <v/>
          </cell>
          <cell r="S441" t="str">
            <v/>
          </cell>
          <cell r="T441" t="str">
            <v/>
          </cell>
          <cell r="U441" t="str">
            <v/>
          </cell>
          <cell r="V441" t="str">
            <v/>
          </cell>
          <cell r="W441">
            <v>0</v>
          </cell>
          <cell r="X441">
            <v>0</v>
          </cell>
          <cell r="Y441" t="str">
            <v/>
          </cell>
          <cell r="Z441" t="str">
            <v>BUY</v>
          </cell>
          <cell r="AA441" t="str">
            <v/>
          </cell>
        </row>
        <row r="442">
          <cell r="A442" t="str">
            <v>A</v>
          </cell>
          <cell r="F442" t="str">
            <v>7706</v>
          </cell>
          <cell r="G442" t="str">
            <v>A</v>
          </cell>
          <cell r="H442">
            <v>7</v>
          </cell>
          <cell r="I442" t="str">
            <v>Emergency Pump Variable</v>
          </cell>
          <cell r="J442" t="str">
            <v>Emergency Pump Variable</v>
          </cell>
          <cell r="K442">
            <v>0</v>
          </cell>
          <cell r="L442">
            <v>0</v>
          </cell>
          <cell r="M442">
            <v>0</v>
          </cell>
          <cell r="N442">
            <v>0</v>
          </cell>
          <cell r="O442">
            <v>0</v>
          </cell>
          <cell r="P442">
            <v>0</v>
          </cell>
          <cell r="Q442" t="str">
            <v/>
          </cell>
          <cell r="R442" t="str">
            <v/>
          </cell>
          <cell r="S442" t="str">
            <v/>
          </cell>
          <cell r="T442" t="str">
            <v/>
          </cell>
          <cell r="U442" t="str">
            <v/>
          </cell>
          <cell r="V442" t="str">
            <v/>
          </cell>
          <cell r="W442">
            <v>0</v>
          </cell>
          <cell r="X442">
            <v>0</v>
          </cell>
          <cell r="Y442" t="str">
            <v/>
          </cell>
          <cell r="Z442" t="str">
            <v>BUY</v>
          </cell>
          <cell r="AA442" t="str">
            <v/>
          </cell>
        </row>
        <row r="443">
          <cell r="A443" t="str">
            <v>A</v>
          </cell>
          <cell r="F443" t="str">
            <v>7707</v>
          </cell>
          <cell r="G443" t="str">
            <v>A</v>
          </cell>
          <cell r="H443">
            <v>7</v>
          </cell>
          <cell r="I443" t="str">
            <v>HVAC Fixed</v>
          </cell>
          <cell r="J443" t="str">
            <v>HVAC Fixed</v>
          </cell>
          <cell r="K443">
            <v>0</v>
          </cell>
          <cell r="L443">
            <v>0</v>
          </cell>
          <cell r="M443">
            <v>0</v>
          </cell>
          <cell r="N443">
            <v>0</v>
          </cell>
          <cell r="O443">
            <v>0</v>
          </cell>
          <cell r="P443">
            <v>0</v>
          </cell>
          <cell r="Q443" t="str">
            <v/>
          </cell>
          <cell r="R443" t="str">
            <v/>
          </cell>
          <cell r="S443" t="str">
            <v/>
          </cell>
          <cell r="T443" t="str">
            <v/>
          </cell>
          <cell r="U443" t="str">
            <v/>
          </cell>
          <cell r="V443" t="str">
            <v/>
          </cell>
          <cell r="W443">
            <v>0</v>
          </cell>
          <cell r="X443">
            <v>0</v>
          </cell>
          <cell r="Y443" t="str">
            <v/>
          </cell>
          <cell r="Z443" t="str">
            <v>BUY</v>
          </cell>
          <cell r="AA443" t="str">
            <v/>
          </cell>
        </row>
        <row r="444">
          <cell r="A444" t="str">
            <v>A</v>
          </cell>
          <cell r="F444" t="str">
            <v>7708</v>
          </cell>
          <cell r="G444" t="str">
            <v>A</v>
          </cell>
          <cell r="H444">
            <v>7</v>
          </cell>
          <cell r="I444" t="str">
            <v>HVAC Variable</v>
          </cell>
          <cell r="J444" t="str">
            <v>HVAC Variable</v>
          </cell>
          <cell r="K444">
            <v>0</v>
          </cell>
          <cell r="L444">
            <v>0</v>
          </cell>
          <cell r="M444">
            <v>0</v>
          </cell>
          <cell r="N444">
            <v>0</v>
          </cell>
          <cell r="O444">
            <v>0</v>
          </cell>
          <cell r="P444">
            <v>0</v>
          </cell>
          <cell r="Q444" t="str">
            <v/>
          </cell>
          <cell r="R444" t="str">
            <v/>
          </cell>
          <cell r="S444" t="str">
            <v/>
          </cell>
          <cell r="T444" t="str">
            <v/>
          </cell>
          <cell r="U444" t="str">
            <v/>
          </cell>
          <cell r="V444" t="str">
            <v/>
          </cell>
          <cell r="W444">
            <v>0</v>
          </cell>
          <cell r="X444">
            <v>0</v>
          </cell>
          <cell r="Y444" t="str">
            <v/>
          </cell>
          <cell r="Z444" t="str">
            <v>BUY</v>
          </cell>
          <cell r="AA444" t="str">
            <v/>
          </cell>
        </row>
        <row r="445">
          <cell r="A445" t="str">
            <v>A</v>
          </cell>
          <cell r="F445" t="str">
            <v>7709</v>
          </cell>
          <cell r="G445" t="str">
            <v>A</v>
          </cell>
          <cell r="H445">
            <v>7</v>
          </cell>
          <cell r="I445" t="str">
            <v>Security</v>
          </cell>
          <cell r="J445" t="str">
            <v>Security</v>
          </cell>
          <cell r="K445">
            <v>0</v>
          </cell>
          <cell r="L445">
            <v>0</v>
          </cell>
          <cell r="M445">
            <v>0</v>
          </cell>
          <cell r="N445">
            <v>0</v>
          </cell>
          <cell r="O445">
            <v>0</v>
          </cell>
          <cell r="P445">
            <v>0</v>
          </cell>
          <cell r="Q445" t="str">
            <v/>
          </cell>
          <cell r="R445" t="str">
            <v/>
          </cell>
          <cell r="S445" t="str">
            <v/>
          </cell>
          <cell r="T445" t="str">
            <v/>
          </cell>
          <cell r="U445" t="str">
            <v/>
          </cell>
          <cell r="V445" t="str">
            <v/>
          </cell>
          <cell r="W445">
            <v>0</v>
          </cell>
          <cell r="X445">
            <v>0</v>
          </cell>
          <cell r="Y445" t="str">
            <v/>
          </cell>
          <cell r="Z445" t="str">
            <v>BUY</v>
          </cell>
          <cell r="AA445" t="str">
            <v/>
          </cell>
        </row>
        <row r="446">
          <cell r="A446" t="str">
            <v>A</v>
          </cell>
          <cell r="F446" t="str">
            <v>7710</v>
          </cell>
          <cell r="G446" t="str">
            <v>A</v>
          </cell>
          <cell r="H446">
            <v>7</v>
          </cell>
          <cell r="I446" t="str">
            <v>Real Estate Taxes</v>
          </cell>
          <cell r="J446" t="str">
            <v>Real Estate Taxes</v>
          </cell>
          <cell r="K446">
            <v>0</v>
          </cell>
          <cell r="L446">
            <v>0</v>
          </cell>
          <cell r="M446">
            <v>0</v>
          </cell>
          <cell r="N446">
            <v>0</v>
          </cell>
          <cell r="O446">
            <v>0</v>
          </cell>
          <cell r="P446">
            <v>0</v>
          </cell>
          <cell r="Q446" t="str">
            <v/>
          </cell>
          <cell r="R446" t="str">
            <v/>
          </cell>
          <cell r="S446" t="str">
            <v/>
          </cell>
          <cell r="T446" t="str">
            <v/>
          </cell>
          <cell r="U446" t="str">
            <v/>
          </cell>
          <cell r="V446" t="str">
            <v/>
          </cell>
          <cell r="W446">
            <v>0</v>
          </cell>
          <cell r="X446">
            <v>0</v>
          </cell>
          <cell r="Y446" t="str">
            <v/>
          </cell>
          <cell r="Z446" t="str">
            <v>BUY</v>
          </cell>
          <cell r="AA446" t="str">
            <v/>
          </cell>
        </row>
        <row r="447">
          <cell r="A447" t="str">
            <v>A</v>
          </cell>
          <cell r="F447" t="str">
            <v>7711</v>
          </cell>
          <cell r="G447" t="str">
            <v>A</v>
          </cell>
          <cell r="H447">
            <v>7</v>
          </cell>
          <cell r="I447" t="str">
            <v>Loading Dock &amp; Exterior</v>
          </cell>
          <cell r="J447" t="str">
            <v>Loading Dock &amp; Exterior</v>
          </cell>
          <cell r="K447">
            <v>0</v>
          </cell>
          <cell r="L447">
            <v>0</v>
          </cell>
          <cell r="M447">
            <v>0</v>
          </cell>
          <cell r="N447">
            <v>0</v>
          </cell>
          <cell r="O447">
            <v>0</v>
          </cell>
          <cell r="P447">
            <v>0</v>
          </cell>
          <cell r="Q447" t="str">
            <v/>
          </cell>
          <cell r="R447" t="str">
            <v/>
          </cell>
          <cell r="S447" t="str">
            <v/>
          </cell>
          <cell r="T447" t="str">
            <v/>
          </cell>
          <cell r="U447" t="str">
            <v/>
          </cell>
          <cell r="V447" t="str">
            <v/>
          </cell>
          <cell r="W447">
            <v>0</v>
          </cell>
          <cell r="X447">
            <v>0</v>
          </cell>
          <cell r="Y447" t="str">
            <v/>
          </cell>
          <cell r="Z447" t="str">
            <v>BUY</v>
          </cell>
          <cell r="AA447" t="str">
            <v/>
          </cell>
        </row>
        <row r="448">
          <cell r="A448" t="str">
            <v>A</v>
          </cell>
          <cell r="F448" t="str">
            <v>7712</v>
          </cell>
          <cell r="G448" t="str">
            <v>A</v>
          </cell>
          <cell r="H448">
            <v>7</v>
          </cell>
          <cell r="I448" t="str">
            <v>Insurance</v>
          </cell>
          <cell r="J448" t="str">
            <v>Insurance</v>
          </cell>
          <cell r="K448">
            <v>0</v>
          </cell>
          <cell r="L448">
            <v>0</v>
          </cell>
          <cell r="M448">
            <v>0</v>
          </cell>
          <cell r="N448">
            <v>0</v>
          </cell>
          <cell r="O448">
            <v>0</v>
          </cell>
          <cell r="P448">
            <v>0</v>
          </cell>
          <cell r="Q448" t="str">
            <v/>
          </cell>
          <cell r="R448" t="str">
            <v/>
          </cell>
          <cell r="S448" t="str">
            <v/>
          </cell>
          <cell r="T448" t="str">
            <v/>
          </cell>
          <cell r="U448" t="str">
            <v/>
          </cell>
          <cell r="V448" t="str">
            <v/>
          </cell>
          <cell r="W448">
            <v>0</v>
          </cell>
          <cell r="X448">
            <v>0</v>
          </cell>
          <cell r="Y448" t="str">
            <v/>
          </cell>
          <cell r="Z448" t="str">
            <v>BUY</v>
          </cell>
          <cell r="AA448" t="str">
            <v/>
          </cell>
        </row>
        <row r="449">
          <cell r="A449" t="str">
            <v>A</v>
          </cell>
          <cell r="F449" t="str">
            <v>7713</v>
          </cell>
          <cell r="G449" t="str">
            <v>A</v>
          </cell>
          <cell r="H449">
            <v>7</v>
          </cell>
          <cell r="I449" t="str">
            <v>Miscellaneous Repair</v>
          </cell>
          <cell r="J449" t="str">
            <v>Miscellaneous Repair</v>
          </cell>
          <cell r="K449">
            <v>0</v>
          </cell>
          <cell r="L449">
            <v>0</v>
          </cell>
          <cell r="M449">
            <v>0</v>
          </cell>
          <cell r="N449">
            <v>0</v>
          </cell>
          <cell r="O449">
            <v>0</v>
          </cell>
          <cell r="P449">
            <v>0</v>
          </cell>
          <cell r="Q449" t="str">
            <v/>
          </cell>
          <cell r="R449" t="str">
            <v/>
          </cell>
          <cell r="S449" t="str">
            <v/>
          </cell>
          <cell r="T449" t="str">
            <v/>
          </cell>
          <cell r="U449" t="str">
            <v/>
          </cell>
          <cell r="V449" t="str">
            <v/>
          </cell>
          <cell r="W449">
            <v>0</v>
          </cell>
          <cell r="X449">
            <v>0</v>
          </cell>
          <cell r="Y449" t="str">
            <v/>
          </cell>
          <cell r="Z449" t="str">
            <v>BUY</v>
          </cell>
          <cell r="AA449" t="str">
            <v/>
          </cell>
        </row>
        <row r="450">
          <cell r="A450" t="str">
            <v>A</v>
          </cell>
          <cell r="F450" t="str">
            <v>7715</v>
          </cell>
          <cell r="G450" t="str">
            <v>A</v>
          </cell>
          <cell r="H450">
            <v>7</v>
          </cell>
          <cell r="I450" t="str">
            <v>Shared Costs-Out of Scope</v>
          </cell>
          <cell r="J450" t="str">
            <v>Shared Costs-Out of Scope</v>
          </cell>
          <cell r="K450">
            <v>0</v>
          </cell>
          <cell r="L450">
            <v>0</v>
          </cell>
          <cell r="M450">
            <v>0</v>
          </cell>
          <cell r="N450">
            <v>0</v>
          </cell>
          <cell r="O450">
            <v>0</v>
          </cell>
          <cell r="P450">
            <v>0</v>
          </cell>
          <cell r="Q450" t="str">
            <v/>
          </cell>
          <cell r="R450" t="str">
            <v/>
          </cell>
          <cell r="S450" t="str">
            <v/>
          </cell>
          <cell r="T450" t="str">
            <v/>
          </cell>
          <cell r="U450" t="str">
            <v/>
          </cell>
          <cell r="V450" t="str">
            <v/>
          </cell>
          <cell r="W450">
            <v>0</v>
          </cell>
          <cell r="X450">
            <v>0</v>
          </cell>
          <cell r="Y450" t="str">
            <v/>
          </cell>
          <cell r="Z450" t="str">
            <v>BUY</v>
          </cell>
          <cell r="AA450" t="str">
            <v/>
          </cell>
        </row>
        <row r="451">
          <cell r="A451" t="str">
            <v>A</v>
          </cell>
          <cell r="F451" t="str">
            <v>7716</v>
          </cell>
          <cell r="G451" t="str">
            <v>A</v>
          </cell>
          <cell r="H451">
            <v>7</v>
          </cell>
          <cell r="I451" t="str">
            <v>Shared Costs-Out of Scope</v>
          </cell>
          <cell r="J451" t="str">
            <v>Shared Costs-Out of Scope</v>
          </cell>
          <cell r="K451">
            <v>0</v>
          </cell>
          <cell r="L451">
            <v>0</v>
          </cell>
          <cell r="M451">
            <v>0</v>
          </cell>
          <cell r="N451">
            <v>0</v>
          </cell>
          <cell r="O451">
            <v>0</v>
          </cell>
          <cell r="P451">
            <v>0</v>
          </cell>
          <cell r="Q451" t="str">
            <v/>
          </cell>
          <cell r="R451" t="str">
            <v/>
          </cell>
          <cell r="S451" t="str">
            <v/>
          </cell>
          <cell r="T451" t="str">
            <v/>
          </cell>
          <cell r="U451" t="str">
            <v/>
          </cell>
          <cell r="V451" t="str">
            <v/>
          </cell>
          <cell r="W451">
            <v>0</v>
          </cell>
          <cell r="X451">
            <v>0</v>
          </cell>
          <cell r="Y451" t="str">
            <v/>
          </cell>
          <cell r="Z451" t="str">
            <v>BUY</v>
          </cell>
          <cell r="AA451" t="str">
            <v/>
          </cell>
        </row>
        <row r="452">
          <cell r="A452" t="str">
            <v>A</v>
          </cell>
          <cell r="F452" t="str">
            <v>7805</v>
          </cell>
          <cell r="G452" t="str">
            <v>A</v>
          </cell>
          <cell r="H452">
            <v>8</v>
          </cell>
          <cell r="I452" t="str">
            <v>Contract Landscape Services</v>
          </cell>
          <cell r="J452" t="str">
            <v>Contract Landscape Services</v>
          </cell>
          <cell r="K452">
            <v>0</v>
          </cell>
          <cell r="L452">
            <v>0</v>
          </cell>
          <cell r="M452">
            <v>14500</v>
          </cell>
          <cell r="N452">
            <v>8684</v>
          </cell>
          <cell r="O452">
            <v>8000</v>
          </cell>
          <cell r="P452">
            <v>-6500</v>
          </cell>
          <cell r="Q452">
            <v>-0.44827586206896552</v>
          </cell>
          <cell r="R452" t="str">
            <v xml:space="preserve">GL 6001 Proposals requested. Outdoor garden planters. 2009 included spring, summer and winter plus 4 new pots and plantings on 26th floor deck. $819/mo for maintenance as well April-Nov. </v>
          </cell>
          <cell r="S452" t="str">
            <v/>
          </cell>
          <cell r="T452" t="str">
            <v/>
          </cell>
          <cell r="U452" t="str">
            <v/>
          </cell>
          <cell r="V452" t="str">
            <v/>
          </cell>
          <cell r="W452">
            <v>31184</v>
          </cell>
          <cell r="X452">
            <v>0</v>
          </cell>
          <cell r="Y452" t="str">
            <v>A</v>
          </cell>
          <cell r="Z452" t="str">
            <v>BUY</v>
          </cell>
          <cell r="AA452" t="str">
            <v/>
          </cell>
        </row>
        <row r="453">
          <cell r="A453" t="str">
            <v>A</v>
          </cell>
          <cell r="F453" t="str">
            <v>7805-1</v>
          </cell>
          <cell r="G453" t="str">
            <v>A</v>
          </cell>
          <cell r="H453">
            <v>8</v>
          </cell>
          <cell r="I453" t="str">
            <v>Contract Landscape Service</v>
          </cell>
          <cell r="J453" t="str">
            <v>Contract Landscape Service</v>
          </cell>
          <cell r="K453">
            <v>0</v>
          </cell>
          <cell r="L453">
            <v>0</v>
          </cell>
          <cell r="M453">
            <v>0</v>
          </cell>
          <cell r="N453">
            <v>0</v>
          </cell>
          <cell r="O453">
            <v>0</v>
          </cell>
          <cell r="P453">
            <v>0</v>
          </cell>
          <cell r="Q453" t="str">
            <v/>
          </cell>
          <cell r="R453" t="str">
            <v/>
          </cell>
          <cell r="S453" t="str">
            <v/>
          </cell>
          <cell r="T453" t="str">
            <v/>
          </cell>
          <cell r="U453" t="str">
            <v/>
          </cell>
          <cell r="V453" t="str">
            <v/>
          </cell>
          <cell r="W453">
            <v>0</v>
          </cell>
          <cell r="X453">
            <v>0</v>
          </cell>
          <cell r="Y453" t="str">
            <v/>
          </cell>
          <cell r="Z453" t="str">
            <v>BUY</v>
          </cell>
          <cell r="AA453" t="str">
            <v/>
          </cell>
        </row>
        <row r="454">
          <cell r="A454" t="str">
            <v>A</v>
          </cell>
          <cell r="F454" t="str">
            <v>7805-2</v>
          </cell>
          <cell r="G454" t="str">
            <v>A</v>
          </cell>
          <cell r="H454">
            <v>8</v>
          </cell>
          <cell r="I454" t="str">
            <v>Contract Landscape Service</v>
          </cell>
          <cell r="J454" t="str">
            <v>Contract Landscape Service</v>
          </cell>
          <cell r="K454">
            <v>0</v>
          </cell>
          <cell r="L454">
            <v>0</v>
          </cell>
          <cell r="M454">
            <v>0</v>
          </cell>
          <cell r="N454">
            <v>0</v>
          </cell>
          <cell r="O454">
            <v>0</v>
          </cell>
          <cell r="P454">
            <v>0</v>
          </cell>
          <cell r="Q454" t="str">
            <v/>
          </cell>
          <cell r="R454" t="str">
            <v/>
          </cell>
          <cell r="S454" t="str">
            <v/>
          </cell>
          <cell r="T454" t="str">
            <v/>
          </cell>
          <cell r="U454" t="str">
            <v/>
          </cell>
          <cell r="V454" t="str">
            <v/>
          </cell>
          <cell r="W454">
            <v>0</v>
          </cell>
          <cell r="X454">
            <v>0</v>
          </cell>
          <cell r="Y454" t="str">
            <v/>
          </cell>
          <cell r="Z454" t="str">
            <v>BUY</v>
          </cell>
          <cell r="AA454" t="str">
            <v/>
          </cell>
        </row>
        <row r="455">
          <cell r="A455" t="str">
            <v>A</v>
          </cell>
          <cell r="F455" t="str">
            <v>7805-3</v>
          </cell>
          <cell r="G455" t="str">
            <v>A</v>
          </cell>
          <cell r="H455">
            <v>8</v>
          </cell>
          <cell r="I455" t="str">
            <v>Contract Landscape Service</v>
          </cell>
          <cell r="J455" t="str">
            <v>Contract Landscape Service</v>
          </cell>
          <cell r="K455">
            <v>0</v>
          </cell>
          <cell r="L455">
            <v>0</v>
          </cell>
          <cell r="M455">
            <v>0</v>
          </cell>
          <cell r="N455">
            <v>0</v>
          </cell>
          <cell r="O455">
            <v>0</v>
          </cell>
          <cell r="P455">
            <v>0</v>
          </cell>
          <cell r="Q455" t="str">
            <v/>
          </cell>
          <cell r="R455" t="str">
            <v/>
          </cell>
          <cell r="S455" t="str">
            <v/>
          </cell>
          <cell r="T455" t="str">
            <v/>
          </cell>
          <cell r="U455" t="str">
            <v/>
          </cell>
          <cell r="V455" t="str">
            <v/>
          </cell>
          <cell r="W455">
            <v>0</v>
          </cell>
          <cell r="X455">
            <v>0</v>
          </cell>
          <cell r="Y455" t="str">
            <v/>
          </cell>
          <cell r="Z455" t="str">
            <v>BUY</v>
          </cell>
          <cell r="AA455" t="str">
            <v/>
          </cell>
        </row>
        <row r="456">
          <cell r="A456" t="str">
            <v>A</v>
          </cell>
          <cell r="F456" t="str">
            <v>7805-4</v>
          </cell>
          <cell r="G456" t="str">
            <v>A</v>
          </cell>
          <cell r="H456">
            <v>8</v>
          </cell>
          <cell r="I456" t="str">
            <v>Contract Landscape Service</v>
          </cell>
          <cell r="J456" t="str">
            <v>Contract Landscape Service</v>
          </cell>
          <cell r="K456">
            <v>0</v>
          </cell>
          <cell r="L456">
            <v>0</v>
          </cell>
          <cell r="M456">
            <v>0</v>
          </cell>
          <cell r="N456">
            <v>0</v>
          </cell>
          <cell r="O456">
            <v>0</v>
          </cell>
          <cell r="P456">
            <v>0</v>
          </cell>
          <cell r="Q456" t="str">
            <v/>
          </cell>
          <cell r="R456" t="str">
            <v/>
          </cell>
          <cell r="S456" t="str">
            <v/>
          </cell>
          <cell r="T456" t="str">
            <v/>
          </cell>
          <cell r="U456" t="str">
            <v/>
          </cell>
          <cell r="V456" t="str">
            <v/>
          </cell>
          <cell r="W456">
            <v>0</v>
          </cell>
          <cell r="X456">
            <v>0</v>
          </cell>
          <cell r="Y456" t="str">
            <v/>
          </cell>
          <cell r="Z456" t="str">
            <v>BUY</v>
          </cell>
          <cell r="AA456" t="str">
            <v/>
          </cell>
        </row>
        <row r="457">
          <cell r="A457" t="str">
            <v>A</v>
          </cell>
          <cell r="F457" t="str">
            <v>7805-5</v>
          </cell>
          <cell r="G457" t="str">
            <v>A</v>
          </cell>
          <cell r="H457">
            <v>8</v>
          </cell>
          <cell r="I457" t="str">
            <v>Landscape Reimbursement</v>
          </cell>
          <cell r="J457" t="str">
            <v>Landscape Reimbursement</v>
          </cell>
          <cell r="K457">
            <v>0</v>
          </cell>
          <cell r="L457">
            <v>0</v>
          </cell>
          <cell r="M457">
            <v>0</v>
          </cell>
          <cell r="N457">
            <v>0</v>
          </cell>
          <cell r="O457">
            <v>0</v>
          </cell>
          <cell r="P457">
            <v>0</v>
          </cell>
          <cell r="Q457" t="str">
            <v/>
          </cell>
          <cell r="R457" t="str">
            <v/>
          </cell>
          <cell r="S457" t="str">
            <v/>
          </cell>
          <cell r="T457" t="str">
            <v/>
          </cell>
          <cell r="U457" t="str">
            <v/>
          </cell>
          <cell r="V457" t="str">
            <v/>
          </cell>
          <cell r="W457">
            <v>0</v>
          </cell>
          <cell r="X457">
            <v>0</v>
          </cell>
          <cell r="Y457" t="str">
            <v/>
          </cell>
          <cell r="Z457" t="str">
            <v>BUY</v>
          </cell>
          <cell r="AA457" t="str">
            <v/>
          </cell>
        </row>
        <row r="458">
          <cell r="A458" t="str">
            <v>A</v>
          </cell>
          <cell r="F458" t="str">
            <v>7810</v>
          </cell>
          <cell r="G458" t="str">
            <v>A</v>
          </cell>
          <cell r="H458">
            <v>8</v>
          </cell>
          <cell r="I458" t="str">
            <v>Landscape - Additional</v>
          </cell>
          <cell r="J458" t="str">
            <v>Landscape - Additional</v>
          </cell>
          <cell r="K458">
            <v>0</v>
          </cell>
          <cell r="L458">
            <v>0</v>
          </cell>
          <cell r="M458">
            <v>0</v>
          </cell>
          <cell r="N458">
            <v>0</v>
          </cell>
          <cell r="O458">
            <v>0</v>
          </cell>
          <cell r="P458">
            <v>0</v>
          </cell>
          <cell r="Q458" t="str">
            <v/>
          </cell>
          <cell r="R458" t="str">
            <v/>
          </cell>
          <cell r="S458" t="str">
            <v/>
          </cell>
          <cell r="T458" t="str">
            <v/>
          </cell>
          <cell r="U458" t="str">
            <v/>
          </cell>
          <cell r="V458" t="str">
            <v/>
          </cell>
          <cell r="W458">
            <v>0</v>
          </cell>
          <cell r="X458">
            <v>0</v>
          </cell>
          <cell r="Y458" t="str">
            <v/>
          </cell>
          <cell r="Z458" t="str">
            <v>BUY</v>
          </cell>
          <cell r="AA458" t="str">
            <v/>
          </cell>
        </row>
        <row r="459">
          <cell r="A459" t="str">
            <v>A</v>
          </cell>
          <cell r="F459" t="str">
            <v>7810-3</v>
          </cell>
          <cell r="G459" t="str">
            <v>A</v>
          </cell>
          <cell r="H459">
            <v>8</v>
          </cell>
          <cell r="I459" t="str">
            <v>Landscape - Addition</v>
          </cell>
          <cell r="J459" t="str">
            <v>Landscape - Addition</v>
          </cell>
          <cell r="K459">
            <v>0</v>
          </cell>
          <cell r="L459">
            <v>0</v>
          </cell>
          <cell r="M459">
            <v>0</v>
          </cell>
          <cell r="N459">
            <v>0</v>
          </cell>
          <cell r="O459">
            <v>0</v>
          </cell>
          <cell r="P459">
            <v>0</v>
          </cell>
          <cell r="Q459" t="str">
            <v/>
          </cell>
          <cell r="R459" t="str">
            <v/>
          </cell>
          <cell r="S459" t="str">
            <v/>
          </cell>
          <cell r="T459" t="str">
            <v/>
          </cell>
          <cell r="U459" t="str">
            <v/>
          </cell>
          <cell r="V459" t="str">
            <v/>
          </cell>
          <cell r="W459">
            <v>0</v>
          </cell>
          <cell r="X459">
            <v>0</v>
          </cell>
          <cell r="Y459" t="str">
            <v/>
          </cell>
          <cell r="Z459" t="str">
            <v>BUY</v>
          </cell>
          <cell r="AA459" t="str">
            <v/>
          </cell>
        </row>
        <row r="460">
          <cell r="A460" t="str">
            <v>A</v>
          </cell>
          <cell r="F460" t="str">
            <v>7810-5</v>
          </cell>
          <cell r="G460" t="str">
            <v>A</v>
          </cell>
          <cell r="H460">
            <v>8</v>
          </cell>
          <cell r="I460" t="str">
            <v>Plant Removal Reimb</v>
          </cell>
          <cell r="J460" t="str">
            <v>Plant Removal Reimb</v>
          </cell>
          <cell r="K460">
            <v>0</v>
          </cell>
          <cell r="L460">
            <v>0</v>
          </cell>
          <cell r="M460">
            <v>0</v>
          </cell>
          <cell r="N460">
            <v>0</v>
          </cell>
          <cell r="O460">
            <v>0</v>
          </cell>
          <cell r="P460">
            <v>0</v>
          </cell>
          <cell r="Q460" t="str">
            <v/>
          </cell>
          <cell r="R460" t="str">
            <v/>
          </cell>
          <cell r="S460" t="str">
            <v/>
          </cell>
          <cell r="T460" t="str">
            <v/>
          </cell>
          <cell r="U460" t="str">
            <v/>
          </cell>
          <cell r="V460" t="str">
            <v/>
          </cell>
          <cell r="W460">
            <v>0</v>
          </cell>
          <cell r="X460">
            <v>0</v>
          </cell>
          <cell r="Y460" t="str">
            <v/>
          </cell>
          <cell r="Z460" t="str">
            <v>BUY</v>
          </cell>
          <cell r="AA460" t="str">
            <v/>
          </cell>
        </row>
        <row r="461">
          <cell r="A461" t="str">
            <v>A</v>
          </cell>
          <cell r="F461" t="str">
            <v>7811</v>
          </cell>
          <cell r="G461" t="str">
            <v>A</v>
          </cell>
          <cell r="H461">
            <v>8</v>
          </cell>
          <cell r="I461" t="str">
            <v>Trees &amp; Bushes</v>
          </cell>
          <cell r="J461" t="str">
            <v>Trees &amp; Bushes</v>
          </cell>
          <cell r="K461">
            <v>0</v>
          </cell>
          <cell r="L461">
            <v>0</v>
          </cell>
          <cell r="M461">
            <v>0</v>
          </cell>
          <cell r="N461">
            <v>0</v>
          </cell>
          <cell r="O461">
            <v>0</v>
          </cell>
          <cell r="P461">
            <v>0</v>
          </cell>
          <cell r="Q461" t="str">
            <v/>
          </cell>
          <cell r="R461" t="str">
            <v/>
          </cell>
          <cell r="S461" t="str">
            <v/>
          </cell>
          <cell r="T461" t="str">
            <v/>
          </cell>
          <cell r="U461" t="str">
            <v/>
          </cell>
          <cell r="V461" t="str">
            <v/>
          </cell>
          <cell r="W461">
            <v>0</v>
          </cell>
          <cell r="X461">
            <v>0</v>
          </cell>
          <cell r="Y461" t="str">
            <v/>
          </cell>
          <cell r="Z461" t="str">
            <v>BUY</v>
          </cell>
          <cell r="AA461" t="str">
            <v/>
          </cell>
        </row>
        <row r="462">
          <cell r="A462" t="str">
            <v>A</v>
          </cell>
          <cell r="F462" t="str">
            <v>7811-1</v>
          </cell>
          <cell r="G462" t="str">
            <v>A</v>
          </cell>
          <cell r="H462">
            <v>8</v>
          </cell>
          <cell r="I462" t="str">
            <v>Chemical Application</v>
          </cell>
          <cell r="J462" t="str">
            <v>Chemical Application</v>
          </cell>
          <cell r="K462">
            <v>0</v>
          </cell>
          <cell r="L462">
            <v>0</v>
          </cell>
          <cell r="M462">
            <v>0</v>
          </cell>
          <cell r="N462">
            <v>0</v>
          </cell>
          <cell r="O462">
            <v>0</v>
          </cell>
          <cell r="P462">
            <v>0</v>
          </cell>
          <cell r="Q462" t="str">
            <v/>
          </cell>
          <cell r="R462" t="str">
            <v/>
          </cell>
          <cell r="S462" t="str">
            <v/>
          </cell>
          <cell r="T462" t="str">
            <v/>
          </cell>
          <cell r="U462" t="str">
            <v/>
          </cell>
          <cell r="V462" t="str">
            <v/>
          </cell>
          <cell r="W462">
            <v>0</v>
          </cell>
          <cell r="X462">
            <v>0</v>
          </cell>
          <cell r="Y462" t="str">
            <v/>
          </cell>
          <cell r="Z462" t="str">
            <v>BUY</v>
          </cell>
          <cell r="AA462" t="str">
            <v/>
          </cell>
        </row>
        <row r="463">
          <cell r="A463" t="str">
            <v>A</v>
          </cell>
          <cell r="F463" t="str">
            <v>7811-5</v>
          </cell>
          <cell r="G463" t="str">
            <v>A</v>
          </cell>
          <cell r="H463">
            <v>8</v>
          </cell>
          <cell r="I463" t="str">
            <v>Trees &amp; Bushes</v>
          </cell>
          <cell r="J463" t="str">
            <v>Trees &amp; Bushes</v>
          </cell>
          <cell r="K463">
            <v>0</v>
          </cell>
          <cell r="L463">
            <v>0</v>
          </cell>
          <cell r="M463">
            <v>0</v>
          </cell>
          <cell r="N463">
            <v>0</v>
          </cell>
          <cell r="O463">
            <v>0</v>
          </cell>
          <cell r="P463">
            <v>0</v>
          </cell>
          <cell r="Q463" t="str">
            <v/>
          </cell>
          <cell r="R463" t="str">
            <v/>
          </cell>
          <cell r="S463" t="str">
            <v/>
          </cell>
          <cell r="T463" t="str">
            <v/>
          </cell>
          <cell r="U463" t="str">
            <v/>
          </cell>
          <cell r="V463" t="str">
            <v/>
          </cell>
          <cell r="W463">
            <v>0</v>
          </cell>
          <cell r="X463">
            <v>0</v>
          </cell>
          <cell r="Y463" t="str">
            <v/>
          </cell>
          <cell r="Z463" t="str">
            <v>BUY</v>
          </cell>
          <cell r="AA463" t="str">
            <v/>
          </cell>
        </row>
        <row r="464">
          <cell r="A464" t="str">
            <v>A</v>
          </cell>
          <cell r="F464" t="str">
            <v>7812</v>
          </cell>
          <cell r="G464" t="str">
            <v>A</v>
          </cell>
          <cell r="H464">
            <v>8</v>
          </cell>
          <cell r="I464" t="str">
            <v>Flowers</v>
          </cell>
          <cell r="J464" t="str">
            <v>Flowers</v>
          </cell>
          <cell r="K464">
            <v>0</v>
          </cell>
          <cell r="L464">
            <v>0</v>
          </cell>
          <cell r="M464">
            <v>0</v>
          </cell>
          <cell r="N464">
            <v>0</v>
          </cell>
          <cell r="O464">
            <v>0</v>
          </cell>
          <cell r="P464">
            <v>0</v>
          </cell>
          <cell r="Q464" t="str">
            <v/>
          </cell>
          <cell r="R464" t="str">
            <v/>
          </cell>
          <cell r="S464" t="str">
            <v/>
          </cell>
          <cell r="T464" t="str">
            <v/>
          </cell>
          <cell r="U464" t="str">
            <v/>
          </cell>
          <cell r="V464" t="str">
            <v/>
          </cell>
          <cell r="W464">
            <v>0</v>
          </cell>
          <cell r="X464">
            <v>0</v>
          </cell>
          <cell r="Y464" t="str">
            <v/>
          </cell>
          <cell r="Z464" t="str">
            <v>BUY</v>
          </cell>
          <cell r="AA464" t="str">
            <v/>
          </cell>
        </row>
        <row r="465">
          <cell r="A465" t="str">
            <v>A</v>
          </cell>
          <cell r="F465" t="str">
            <v>7813</v>
          </cell>
          <cell r="G465" t="str">
            <v>A</v>
          </cell>
          <cell r="H465">
            <v>8</v>
          </cell>
          <cell r="I465" t="str">
            <v>Rocks &amp; Boulders</v>
          </cell>
          <cell r="J465" t="str">
            <v>Rocks &amp; Boulders</v>
          </cell>
          <cell r="K465">
            <v>0</v>
          </cell>
          <cell r="L465">
            <v>0</v>
          </cell>
          <cell r="M465">
            <v>0</v>
          </cell>
          <cell r="N465">
            <v>0</v>
          </cell>
          <cell r="O465">
            <v>0</v>
          </cell>
          <cell r="P465">
            <v>0</v>
          </cell>
          <cell r="Q465" t="str">
            <v/>
          </cell>
          <cell r="R465" t="str">
            <v/>
          </cell>
          <cell r="S465" t="str">
            <v/>
          </cell>
          <cell r="T465" t="str">
            <v/>
          </cell>
          <cell r="U465" t="str">
            <v/>
          </cell>
          <cell r="V465" t="str">
            <v/>
          </cell>
          <cell r="W465">
            <v>0</v>
          </cell>
          <cell r="X465">
            <v>0</v>
          </cell>
          <cell r="Y465" t="str">
            <v/>
          </cell>
          <cell r="Z465" t="str">
            <v>BUY</v>
          </cell>
          <cell r="AA465" t="str">
            <v/>
          </cell>
        </row>
        <row r="466">
          <cell r="A466" t="str">
            <v>A</v>
          </cell>
          <cell r="F466" t="str">
            <v>7814</v>
          </cell>
          <cell r="G466" t="str">
            <v>A</v>
          </cell>
          <cell r="H466">
            <v>8</v>
          </cell>
          <cell r="I466" t="str">
            <v>Core Aeration</v>
          </cell>
          <cell r="J466" t="str">
            <v>Core Aeration</v>
          </cell>
          <cell r="K466">
            <v>0</v>
          </cell>
          <cell r="L466">
            <v>0</v>
          </cell>
          <cell r="M466">
            <v>0</v>
          </cell>
          <cell r="N466">
            <v>0</v>
          </cell>
          <cell r="O466">
            <v>0</v>
          </cell>
          <cell r="P466">
            <v>0</v>
          </cell>
          <cell r="Q466" t="str">
            <v/>
          </cell>
          <cell r="R466" t="str">
            <v/>
          </cell>
          <cell r="S466" t="str">
            <v/>
          </cell>
          <cell r="T466" t="str">
            <v/>
          </cell>
          <cell r="U466" t="str">
            <v/>
          </cell>
          <cell r="V466" t="str">
            <v/>
          </cell>
          <cell r="W466">
            <v>0</v>
          </cell>
          <cell r="X466">
            <v>0</v>
          </cell>
          <cell r="Y466" t="str">
            <v/>
          </cell>
          <cell r="Z466" t="str">
            <v>BUY</v>
          </cell>
          <cell r="AA466" t="str">
            <v/>
          </cell>
        </row>
        <row r="467">
          <cell r="A467" t="str">
            <v>A</v>
          </cell>
          <cell r="F467" t="str">
            <v>7815</v>
          </cell>
          <cell r="G467" t="str">
            <v>A</v>
          </cell>
          <cell r="H467">
            <v>8</v>
          </cell>
          <cell r="I467" t="str">
            <v>Sodding &amp; Seeding</v>
          </cell>
          <cell r="J467" t="str">
            <v>Sodding &amp; Seeding</v>
          </cell>
          <cell r="K467">
            <v>0</v>
          </cell>
          <cell r="L467">
            <v>0</v>
          </cell>
          <cell r="M467">
            <v>0</v>
          </cell>
          <cell r="N467">
            <v>0</v>
          </cell>
          <cell r="O467">
            <v>0</v>
          </cell>
          <cell r="P467">
            <v>0</v>
          </cell>
          <cell r="Q467" t="str">
            <v/>
          </cell>
          <cell r="R467" t="str">
            <v/>
          </cell>
          <cell r="S467" t="str">
            <v/>
          </cell>
          <cell r="T467" t="str">
            <v/>
          </cell>
          <cell r="U467" t="str">
            <v/>
          </cell>
          <cell r="V467" t="str">
            <v/>
          </cell>
          <cell r="W467">
            <v>0</v>
          </cell>
          <cell r="X467">
            <v>0</v>
          </cell>
          <cell r="Y467" t="str">
            <v/>
          </cell>
          <cell r="Z467" t="str">
            <v>BUY</v>
          </cell>
          <cell r="AA467" t="str">
            <v/>
          </cell>
        </row>
        <row r="468">
          <cell r="A468" t="str">
            <v>A</v>
          </cell>
          <cell r="F468" t="str">
            <v>7816</v>
          </cell>
          <cell r="G468" t="str">
            <v>A</v>
          </cell>
          <cell r="H468">
            <v>8</v>
          </cell>
          <cell r="I468" t="str">
            <v>Landscape Equipment &amp; Supply</v>
          </cell>
          <cell r="J468" t="str">
            <v>Landscape Equipment &amp; Supply</v>
          </cell>
          <cell r="K468">
            <v>0</v>
          </cell>
          <cell r="L468">
            <v>0</v>
          </cell>
          <cell r="M468">
            <v>0</v>
          </cell>
          <cell r="N468">
            <v>0</v>
          </cell>
          <cell r="O468">
            <v>0</v>
          </cell>
          <cell r="P468">
            <v>0</v>
          </cell>
          <cell r="Q468" t="str">
            <v/>
          </cell>
          <cell r="R468" t="str">
            <v/>
          </cell>
          <cell r="S468" t="str">
            <v/>
          </cell>
          <cell r="T468" t="str">
            <v/>
          </cell>
          <cell r="U468" t="str">
            <v/>
          </cell>
          <cell r="V468" t="str">
            <v/>
          </cell>
          <cell r="W468">
            <v>0</v>
          </cell>
          <cell r="X468">
            <v>0</v>
          </cell>
          <cell r="Y468" t="str">
            <v/>
          </cell>
          <cell r="Z468" t="str">
            <v>BUY</v>
          </cell>
          <cell r="AA468" t="str">
            <v/>
          </cell>
        </row>
        <row r="469">
          <cell r="A469" t="str">
            <v>A</v>
          </cell>
          <cell r="F469" t="str">
            <v>7817</v>
          </cell>
          <cell r="G469" t="str">
            <v>A</v>
          </cell>
          <cell r="H469">
            <v>8</v>
          </cell>
          <cell r="I469" t="str">
            <v>Landscape Professional Services</v>
          </cell>
          <cell r="J469" t="str">
            <v>Landscape Professional Services</v>
          </cell>
          <cell r="K469">
            <v>0</v>
          </cell>
          <cell r="L469">
            <v>0</v>
          </cell>
          <cell r="M469">
            <v>0</v>
          </cell>
          <cell r="N469">
            <v>0</v>
          </cell>
          <cell r="O469">
            <v>0</v>
          </cell>
          <cell r="P469">
            <v>0</v>
          </cell>
          <cell r="Q469" t="str">
            <v/>
          </cell>
          <cell r="R469" t="str">
            <v/>
          </cell>
          <cell r="S469" t="str">
            <v/>
          </cell>
          <cell r="T469" t="str">
            <v/>
          </cell>
          <cell r="U469" t="str">
            <v/>
          </cell>
          <cell r="V469" t="str">
            <v/>
          </cell>
          <cell r="W469">
            <v>0</v>
          </cell>
          <cell r="X469">
            <v>0</v>
          </cell>
          <cell r="Y469" t="str">
            <v/>
          </cell>
          <cell r="Z469" t="str">
            <v>BUY</v>
          </cell>
          <cell r="AA469" t="str">
            <v/>
          </cell>
        </row>
        <row r="470">
          <cell r="A470" t="str">
            <v>A</v>
          </cell>
          <cell r="F470" t="str">
            <v>7818</v>
          </cell>
          <cell r="G470" t="str">
            <v>A</v>
          </cell>
          <cell r="H470">
            <v>8</v>
          </cell>
          <cell r="I470" t="str">
            <v>Chemical Application</v>
          </cell>
          <cell r="J470" t="str">
            <v>Chemical Application</v>
          </cell>
          <cell r="K470">
            <v>0</v>
          </cell>
          <cell r="L470">
            <v>0</v>
          </cell>
          <cell r="M470">
            <v>0</v>
          </cell>
          <cell r="N470">
            <v>0</v>
          </cell>
          <cell r="O470">
            <v>0</v>
          </cell>
          <cell r="P470">
            <v>0</v>
          </cell>
          <cell r="Q470" t="str">
            <v/>
          </cell>
          <cell r="R470" t="str">
            <v/>
          </cell>
          <cell r="S470" t="str">
            <v/>
          </cell>
          <cell r="T470" t="str">
            <v/>
          </cell>
          <cell r="U470" t="str">
            <v/>
          </cell>
          <cell r="V470" t="str">
            <v/>
          </cell>
          <cell r="W470">
            <v>0</v>
          </cell>
          <cell r="X470">
            <v>0</v>
          </cell>
          <cell r="Y470" t="str">
            <v/>
          </cell>
          <cell r="Z470" t="str">
            <v>BUY</v>
          </cell>
          <cell r="AA470" t="str">
            <v/>
          </cell>
        </row>
        <row r="471">
          <cell r="A471" t="str">
            <v>A</v>
          </cell>
          <cell r="F471" t="str">
            <v>7820</v>
          </cell>
          <cell r="G471" t="str">
            <v>A</v>
          </cell>
          <cell r="H471">
            <v>8</v>
          </cell>
          <cell r="I471" t="str">
            <v>Landscape Watering</v>
          </cell>
          <cell r="J471" t="str">
            <v>Landscape Watering</v>
          </cell>
          <cell r="K471">
            <v>0</v>
          </cell>
          <cell r="L471">
            <v>0</v>
          </cell>
          <cell r="M471">
            <v>0</v>
          </cell>
          <cell r="N471">
            <v>0</v>
          </cell>
          <cell r="O471">
            <v>0</v>
          </cell>
          <cell r="P471">
            <v>0</v>
          </cell>
          <cell r="Q471" t="str">
            <v/>
          </cell>
          <cell r="R471" t="str">
            <v/>
          </cell>
          <cell r="S471" t="str">
            <v/>
          </cell>
          <cell r="T471" t="str">
            <v/>
          </cell>
          <cell r="U471" t="str">
            <v/>
          </cell>
          <cell r="V471" t="str">
            <v/>
          </cell>
          <cell r="W471">
            <v>0</v>
          </cell>
          <cell r="X471">
            <v>0</v>
          </cell>
          <cell r="Y471" t="str">
            <v/>
          </cell>
          <cell r="Z471" t="str">
            <v>BUY</v>
          </cell>
          <cell r="AA471" t="str">
            <v/>
          </cell>
        </row>
        <row r="472">
          <cell r="A472" t="str">
            <v>A</v>
          </cell>
          <cell r="F472" t="str">
            <v>7821</v>
          </cell>
          <cell r="G472" t="str">
            <v>A</v>
          </cell>
          <cell r="H472">
            <v>8</v>
          </cell>
          <cell r="I472" t="str">
            <v>Ground Sprinkler Service/Repair</v>
          </cell>
          <cell r="J472" t="str">
            <v>Ground Sprinkler Service/Repair</v>
          </cell>
          <cell r="K472">
            <v>0</v>
          </cell>
          <cell r="L472">
            <v>0</v>
          </cell>
          <cell r="M472">
            <v>0</v>
          </cell>
          <cell r="N472">
            <v>0</v>
          </cell>
          <cell r="O472">
            <v>0</v>
          </cell>
          <cell r="P472">
            <v>0</v>
          </cell>
          <cell r="Q472" t="str">
            <v/>
          </cell>
          <cell r="R472" t="str">
            <v/>
          </cell>
          <cell r="S472" t="str">
            <v/>
          </cell>
          <cell r="T472" t="str">
            <v/>
          </cell>
          <cell r="U472" t="str">
            <v/>
          </cell>
          <cell r="V472" t="str">
            <v/>
          </cell>
          <cell r="W472">
            <v>0</v>
          </cell>
          <cell r="X472">
            <v>0</v>
          </cell>
          <cell r="Y472" t="str">
            <v/>
          </cell>
          <cell r="Z472" t="str">
            <v>BUY</v>
          </cell>
          <cell r="AA472" t="str">
            <v/>
          </cell>
        </row>
        <row r="473">
          <cell r="A473" t="str">
            <v>A</v>
          </cell>
          <cell r="F473" t="str">
            <v>7821-1</v>
          </cell>
          <cell r="G473" t="str">
            <v>A</v>
          </cell>
          <cell r="H473">
            <v>8</v>
          </cell>
          <cell r="I473" t="str">
            <v>Ground Spinkler Service/Repair</v>
          </cell>
          <cell r="J473" t="str">
            <v>Ground Spinkler Service/Repair</v>
          </cell>
          <cell r="K473">
            <v>0</v>
          </cell>
          <cell r="L473">
            <v>0</v>
          </cell>
          <cell r="M473">
            <v>0</v>
          </cell>
          <cell r="N473">
            <v>0</v>
          </cell>
          <cell r="O473">
            <v>0</v>
          </cell>
          <cell r="P473">
            <v>0</v>
          </cell>
          <cell r="Q473" t="str">
            <v/>
          </cell>
          <cell r="R473" t="str">
            <v/>
          </cell>
          <cell r="S473" t="str">
            <v/>
          </cell>
          <cell r="T473" t="str">
            <v/>
          </cell>
          <cell r="U473" t="str">
            <v/>
          </cell>
          <cell r="V473" t="str">
            <v/>
          </cell>
          <cell r="W473">
            <v>0</v>
          </cell>
          <cell r="X473">
            <v>0</v>
          </cell>
          <cell r="Y473" t="str">
            <v/>
          </cell>
          <cell r="Z473" t="str">
            <v>BUY</v>
          </cell>
          <cell r="AA473" t="str">
            <v/>
          </cell>
        </row>
        <row r="474">
          <cell r="A474" t="str">
            <v>A</v>
          </cell>
          <cell r="F474" t="str">
            <v>7821-3</v>
          </cell>
          <cell r="G474" t="str">
            <v>A</v>
          </cell>
          <cell r="H474">
            <v>8</v>
          </cell>
          <cell r="I474" t="str">
            <v>Ground Spnklr Svc/Rp</v>
          </cell>
          <cell r="J474" t="str">
            <v>Ground Spnklr Svc/Rp</v>
          </cell>
          <cell r="K474">
            <v>0</v>
          </cell>
          <cell r="L474">
            <v>0</v>
          </cell>
          <cell r="M474">
            <v>0</v>
          </cell>
          <cell r="N474">
            <v>0</v>
          </cell>
          <cell r="O474">
            <v>0</v>
          </cell>
          <cell r="P474">
            <v>0</v>
          </cell>
          <cell r="Q474" t="str">
            <v/>
          </cell>
          <cell r="R474" t="str">
            <v/>
          </cell>
          <cell r="S474" t="str">
            <v/>
          </cell>
          <cell r="T474" t="str">
            <v/>
          </cell>
          <cell r="U474" t="str">
            <v/>
          </cell>
          <cell r="V474" t="str">
            <v/>
          </cell>
          <cell r="W474">
            <v>0</v>
          </cell>
          <cell r="X474">
            <v>0</v>
          </cell>
          <cell r="Y474" t="str">
            <v/>
          </cell>
          <cell r="Z474" t="str">
            <v>BUY</v>
          </cell>
          <cell r="AA474" t="str">
            <v/>
          </cell>
        </row>
        <row r="475">
          <cell r="A475" t="str">
            <v>A</v>
          </cell>
          <cell r="F475" t="str">
            <v>7821-4</v>
          </cell>
          <cell r="G475" t="str">
            <v>A</v>
          </cell>
          <cell r="H475">
            <v>8</v>
          </cell>
          <cell r="I475" t="str">
            <v>Ground Spnklr Svc/Rp</v>
          </cell>
          <cell r="J475" t="str">
            <v>Ground Spnklr Svc/Rp</v>
          </cell>
          <cell r="K475">
            <v>0</v>
          </cell>
          <cell r="L475">
            <v>0</v>
          </cell>
          <cell r="M475">
            <v>0</v>
          </cell>
          <cell r="N475">
            <v>0</v>
          </cell>
          <cell r="O475">
            <v>0</v>
          </cell>
          <cell r="P475">
            <v>0</v>
          </cell>
          <cell r="Q475" t="str">
            <v/>
          </cell>
          <cell r="R475" t="str">
            <v/>
          </cell>
          <cell r="S475" t="str">
            <v/>
          </cell>
          <cell r="T475" t="str">
            <v/>
          </cell>
          <cell r="U475" t="str">
            <v/>
          </cell>
          <cell r="V475" t="str">
            <v/>
          </cell>
          <cell r="W475">
            <v>0</v>
          </cell>
          <cell r="X475">
            <v>0</v>
          </cell>
          <cell r="Y475" t="str">
            <v/>
          </cell>
          <cell r="Z475" t="str">
            <v>BUY</v>
          </cell>
          <cell r="AA475" t="str">
            <v/>
          </cell>
        </row>
        <row r="476">
          <cell r="A476" t="str">
            <v>A</v>
          </cell>
          <cell r="F476" t="str">
            <v>7822</v>
          </cell>
          <cell r="G476" t="str">
            <v>A</v>
          </cell>
          <cell r="H476">
            <v>8</v>
          </cell>
          <cell r="I476" t="str">
            <v>Resident Water Use</v>
          </cell>
          <cell r="J476" t="str">
            <v>Resident Water Use</v>
          </cell>
          <cell r="K476">
            <v>0</v>
          </cell>
          <cell r="L476">
            <v>0</v>
          </cell>
          <cell r="M476">
            <v>0</v>
          </cell>
          <cell r="N476">
            <v>0</v>
          </cell>
          <cell r="O476">
            <v>0</v>
          </cell>
          <cell r="P476">
            <v>0</v>
          </cell>
          <cell r="Q476" t="str">
            <v/>
          </cell>
          <cell r="R476" t="str">
            <v/>
          </cell>
          <cell r="S476" t="str">
            <v/>
          </cell>
          <cell r="T476" t="str">
            <v/>
          </cell>
          <cell r="U476" t="str">
            <v/>
          </cell>
          <cell r="V476" t="str">
            <v/>
          </cell>
          <cell r="W476">
            <v>0</v>
          </cell>
          <cell r="X476">
            <v>0</v>
          </cell>
          <cell r="Y476" t="str">
            <v/>
          </cell>
          <cell r="Z476" t="str">
            <v>BUY</v>
          </cell>
          <cell r="AA476" t="str">
            <v/>
          </cell>
        </row>
        <row r="477">
          <cell r="A477" t="str">
            <v>A</v>
          </cell>
          <cell r="F477" t="str">
            <v>7823</v>
          </cell>
          <cell r="G477" t="str">
            <v>A</v>
          </cell>
          <cell r="H477">
            <v>8</v>
          </cell>
          <cell r="I477" t="str">
            <v>Watering Services</v>
          </cell>
          <cell r="J477" t="str">
            <v>Watering Services</v>
          </cell>
          <cell r="K477">
            <v>0</v>
          </cell>
          <cell r="L477">
            <v>0</v>
          </cell>
          <cell r="M477">
            <v>0</v>
          </cell>
          <cell r="N477">
            <v>0</v>
          </cell>
          <cell r="O477">
            <v>0</v>
          </cell>
          <cell r="P477">
            <v>0</v>
          </cell>
          <cell r="Q477" t="str">
            <v/>
          </cell>
          <cell r="R477" t="str">
            <v/>
          </cell>
          <cell r="S477" t="str">
            <v/>
          </cell>
          <cell r="T477" t="str">
            <v/>
          </cell>
          <cell r="U477" t="str">
            <v/>
          </cell>
          <cell r="V477" t="str">
            <v/>
          </cell>
          <cell r="W477">
            <v>0</v>
          </cell>
          <cell r="X477">
            <v>0</v>
          </cell>
          <cell r="Y477" t="str">
            <v/>
          </cell>
          <cell r="Z477" t="str">
            <v>BUY</v>
          </cell>
          <cell r="AA477" t="str">
            <v/>
          </cell>
        </row>
        <row r="478">
          <cell r="A478" t="str">
            <v>A</v>
          </cell>
          <cell r="F478" t="str">
            <v>7824</v>
          </cell>
          <cell r="G478" t="str">
            <v>A</v>
          </cell>
          <cell r="H478">
            <v>8</v>
          </cell>
          <cell r="I478" t="str">
            <v>Water Utility,Landscape</v>
          </cell>
          <cell r="J478" t="str">
            <v>Water Utility,Landscape</v>
          </cell>
          <cell r="K478">
            <v>0</v>
          </cell>
          <cell r="L478">
            <v>0</v>
          </cell>
          <cell r="M478">
            <v>0</v>
          </cell>
          <cell r="N478">
            <v>0</v>
          </cell>
          <cell r="O478">
            <v>0</v>
          </cell>
          <cell r="P478">
            <v>0</v>
          </cell>
          <cell r="Q478" t="str">
            <v/>
          </cell>
          <cell r="R478" t="str">
            <v/>
          </cell>
          <cell r="S478" t="str">
            <v/>
          </cell>
          <cell r="T478" t="str">
            <v/>
          </cell>
          <cell r="U478" t="str">
            <v/>
          </cell>
          <cell r="V478" t="str">
            <v/>
          </cell>
          <cell r="W478">
            <v>0</v>
          </cell>
          <cell r="X478">
            <v>0</v>
          </cell>
          <cell r="Y478" t="str">
            <v/>
          </cell>
          <cell r="Z478" t="str">
            <v>BUY</v>
          </cell>
          <cell r="AA478" t="str">
            <v/>
          </cell>
        </row>
        <row r="479">
          <cell r="A479" t="str">
            <v>A</v>
          </cell>
          <cell r="F479" t="str">
            <v>7830</v>
          </cell>
          <cell r="G479" t="str">
            <v>A</v>
          </cell>
          <cell r="H479">
            <v>8</v>
          </cell>
          <cell r="I479" t="str">
            <v>Lakes,Ponds&amp;Fountains</v>
          </cell>
          <cell r="J479" t="str">
            <v>Lakes,Ponds&amp;Fountains</v>
          </cell>
          <cell r="K479">
            <v>0</v>
          </cell>
          <cell r="L479">
            <v>0</v>
          </cell>
          <cell r="M479">
            <v>0</v>
          </cell>
          <cell r="N479">
            <v>0</v>
          </cell>
          <cell r="O479">
            <v>0</v>
          </cell>
          <cell r="P479">
            <v>0</v>
          </cell>
          <cell r="Q479" t="str">
            <v/>
          </cell>
          <cell r="R479" t="str">
            <v/>
          </cell>
          <cell r="S479" t="str">
            <v/>
          </cell>
          <cell r="T479" t="str">
            <v/>
          </cell>
          <cell r="U479" t="str">
            <v/>
          </cell>
          <cell r="V479" t="str">
            <v/>
          </cell>
          <cell r="W479">
            <v>0</v>
          </cell>
          <cell r="X479">
            <v>0</v>
          </cell>
          <cell r="Y479" t="str">
            <v/>
          </cell>
          <cell r="Z479" t="str">
            <v>BUY</v>
          </cell>
          <cell r="AA479" t="str">
            <v/>
          </cell>
        </row>
        <row r="480">
          <cell r="A480" t="str">
            <v>A</v>
          </cell>
          <cell r="F480" t="str">
            <v>7831</v>
          </cell>
          <cell r="G480" t="str">
            <v>A</v>
          </cell>
          <cell r="H480">
            <v>8</v>
          </cell>
          <cell r="I480" t="str">
            <v>Lake, Pond,Fountain Chemical/Supply</v>
          </cell>
          <cell r="J480" t="str">
            <v>Lake, Pond,Fountain Chemical/Supply</v>
          </cell>
          <cell r="K480">
            <v>0</v>
          </cell>
          <cell r="L480">
            <v>0</v>
          </cell>
          <cell r="M480">
            <v>0</v>
          </cell>
          <cell r="N480">
            <v>0</v>
          </cell>
          <cell r="O480">
            <v>0</v>
          </cell>
          <cell r="P480">
            <v>0</v>
          </cell>
          <cell r="Q480" t="str">
            <v/>
          </cell>
          <cell r="R480" t="str">
            <v/>
          </cell>
          <cell r="S480" t="str">
            <v/>
          </cell>
          <cell r="T480" t="str">
            <v/>
          </cell>
          <cell r="U480" t="str">
            <v/>
          </cell>
          <cell r="V480" t="str">
            <v/>
          </cell>
          <cell r="W480">
            <v>0</v>
          </cell>
          <cell r="X480">
            <v>0</v>
          </cell>
          <cell r="Y480" t="str">
            <v/>
          </cell>
          <cell r="Z480" t="str">
            <v>BUY</v>
          </cell>
          <cell r="AA480" t="str">
            <v/>
          </cell>
        </row>
        <row r="481">
          <cell r="A481" t="str">
            <v>A</v>
          </cell>
          <cell r="F481" t="str">
            <v>7832</v>
          </cell>
          <cell r="G481" t="str">
            <v>A</v>
          </cell>
          <cell r="H481">
            <v>8</v>
          </cell>
          <cell r="I481" t="str">
            <v>Lake, Pond, Fountain Aerators</v>
          </cell>
          <cell r="J481" t="str">
            <v>Lake, Pond, Fountain Aerators</v>
          </cell>
          <cell r="K481">
            <v>0</v>
          </cell>
          <cell r="L481">
            <v>0</v>
          </cell>
          <cell r="M481">
            <v>0</v>
          </cell>
          <cell r="N481">
            <v>0</v>
          </cell>
          <cell r="O481">
            <v>0</v>
          </cell>
          <cell r="P481">
            <v>0</v>
          </cell>
          <cell r="Q481" t="str">
            <v/>
          </cell>
          <cell r="R481" t="str">
            <v/>
          </cell>
          <cell r="S481" t="str">
            <v/>
          </cell>
          <cell r="T481" t="str">
            <v/>
          </cell>
          <cell r="U481" t="str">
            <v/>
          </cell>
          <cell r="V481" t="str">
            <v/>
          </cell>
          <cell r="W481">
            <v>0</v>
          </cell>
          <cell r="X481">
            <v>0</v>
          </cell>
          <cell r="Y481" t="str">
            <v/>
          </cell>
          <cell r="Z481" t="str">
            <v>BUY</v>
          </cell>
          <cell r="AA481" t="str">
            <v/>
          </cell>
        </row>
        <row r="482">
          <cell r="A482" t="str">
            <v>A</v>
          </cell>
          <cell r="F482" t="str">
            <v>7833</v>
          </cell>
          <cell r="G482" t="str">
            <v>A</v>
          </cell>
          <cell r="H482">
            <v>8</v>
          </cell>
          <cell r="I482" t="str">
            <v>Lake, Pond Geese Control</v>
          </cell>
          <cell r="J482" t="str">
            <v>Lake, Pond Geese Control</v>
          </cell>
          <cell r="K482">
            <v>0</v>
          </cell>
          <cell r="L482">
            <v>0</v>
          </cell>
          <cell r="M482">
            <v>0</v>
          </cell>
          <cell r="N482">
            <v>0</v>
          </cell>
          <cell r="O482">
            <v>0</v>
          </cell>
          <cell r="P482">
            <v>0</v>
          </cell>
          <cell r="Q482" t="str">
            <v/>
          </cell>
          <cell r="R482" t="str">
            <v/>
          </cell>
          <cell r="S482" t="str">
            <v/>
          </cell>
          <cell r="T482" t="str">
            <v/>
          </cell>
          <cell r="U482" t="str">
            <v/>
          </cell>
          <cell r="V482" t="str">
            <v/>
          </cell>
          <cell r="W482">
            <v>0</v>
          </cell>
          <cell r="X482">
            <v>0</v>
          </cell>
          <cell r="Y482" t="str">
            <v/>
          </cell>
          <cell r="Z482" t="str">
            <v>BUY</v>
          </cell>
          <cell r="AA482" t="str">
            <v/>
          </cell>
        </row>
        <row r="483">
          <cell r="A483" t="str">
            <v>A</v>
          </cell>
          <cell r="F483" t="str">
            <v>7840</v>
          </cell>
          <cell r="G483" t="str">
            <v>A</v>
          </cell>
          <cell r="H483">
            <v>8</v>
          </cell>
          <cell r="I483" t="str">
            <v>Snow &amp; Ice Removal</v>
          </cell>
          <cell r="J483" t="str">
            <v>Snow &amp; Ice Removal</v>
          </cell>
          <cell r="K483">
            <v>0</v>
          </cell>
          <cell r="L483">
            <v>0</v>
          </cell>
          <cell r="M483">
            <v>0</v>
          </cell>
          <cell r="N483">
            <v>0</v>
          </cell>
          <cell r="O483">
            <v>0</v>
          </cell>
          <cell r="P483">
            <v>0</v>
          </cell>
          <cell r="Q483" t="str">
            <v/>
          </cell>
          <cell r="R483" t="str">
            <v/>
          </cell>
          <cell r="S483" t="str">
            <v/>
          </cell>
          <cell r="T483" t="str">
            <v/>
          </cell>
          <cell r="U483" t="str">
            <v/>
          </cell>
          <cell r="V483" t="str">
            <v/>
          </cell>
          <cell r="W483">
            <v>0</v>
          </cell>
          <cell r="X483">
            <v>0</v>
          </cell>
          <cell r="Y483" t="str">
            <v/>
          </cell>
          <cell r="Z483" t="str">
            <v>BUY</v>
          </cell>
          <cell r="AA483" t="str">
            <v/>
          </cell>
        </row>
        <row r="484">
          <cell r="A484" t="str">
            <v>A</v>
          </cell>
          <cell r="F484" t="str">
            <v>7840-5</v>
          </cell>
          <cell r="G484" t="str">
            <v>A</v>
          </cell>
          <cell r="H484">
            <v>8</v>
          </cell>
          <cell r="I484" t="str">
            <v>Snow &amp; Ice Removal</v>
          </cell>
          <cell r="J484" t="str">
            <v>Snow &amp; Ice Removal</v>
          </cell>
          <cell r="K484">
            <v>0</v>
          </cell>
          <cell r="L484">
            <v>0</v>
          </cell>
          <cell r="M484">
            <v>0</v>
          </cell>
          <cell r="N484">
            <v>0</v>
          </cell>
          <cell r="O484">
            <v>0</v>
          </cell>
          <cell r="P484">
            <v>0</v>
          </cell>
          <cell r="Q484" t="str">
            <v/>
          </cell>
          <cell r="R484" t="str">
            <v/>
          </cell>
          <cell r="S484" t="str">
            <v/>
          </cell>
          <cell r="T484" t="str">
            <v/>
          </cell>
          <cell r="U484" t="str">
            <v/>
          </cell>
          <cell r="V484" t="str">
            <v/>
          </cell>
          <cell r="W484">
            <v>0</v>
          </cell>
          <cell r="X484">
            <v>0</v>
          </cell>
          <cell r="Y484" t="str">
            <v/>
          </cell>
          <cell r="Z484" t="str">
            <v>BUY</v>
          </cell>
          <cell r="AA484" t="str">
            <v/>
          </cell>
        </row>
        <row r="485">
          <cell r="A485" t="str">
            <v>A</v>
          </cell>
          <cell r="F485" t="str">
            <v>7841</v>
          </cell>
          <cell r="G485" t="str">
            <v>A</v>
          </cell>
          <cell r="H485">
            <v>8</v>
          </cell>
          <cell r="I485" t="str">
            <v>Normal Snow Removal</v>
          </cell>
          <cell r="J485" t="str">
            <v>Normal Snow Removal</v>
          </cell>
          <cell r="K485">
            <v>0</v>
          </cell>
          <cell r="L485">
            <v>0</v>
          </cell>
          <cell r="M485">
            <v>0</v>
          </cell>
          <cell r="N485">
            <v>0</v>
          </cell>
          <cell r="O485">
            <v>0</v>
          </cell>
          <cell r="P485">
            <v>0</v>
          </cell>
          <cell r="Q485" t="str">
            <v/>
          </cell>
          <cell r="R485" t="str">
            <v/>
          </cell>
          <cell r="S485" t="str">
            <v/>
          </cell>
          <cell r="T485" t="str">
            <v/>
          </cell>
          <cell r="U485" t="str">
            <v/>
          </cell>
          <cell r="V485" t="str">
            <v/>
          </cell>
          <cell r="W485">
            <v>0</v>
          </cell>
          <cell r="X485">
            <v>0</v>
          </cell>
          <cell r="Y485" t="str">
            <v/>
          </cell>
          <cell r="Z485" t="str">
            <v>BUY</v>
          </cell>
          <cell r="AA485" t="str">
            <v/>
          </cell>
        </row>
        <row r="486">
          <cell r="A486" t="str">
            <v>A</v>
          </cell>
          <cell r="F486" t="str">
            <v>7842</v>
          </cell>
          <cell r="G486" t="str">
            <v>A</v>
          </cell>
          <cell r="H486">
            <v>8</v>
          </cell>
          <cell r="I486" t="str">
            <v>Snow Removal Equipment/Supplies</v>
          </cell>
          <cell r="J486" t="str">
            <v>Snow Removal Equipment/Supplies</v>
          </cell>
          <cell r="K486">
            <v>0</v>
          </cell>
          <cell r="L486">
            <v>0</v>
          </cell>
          <cell r="M486">
            <v>800</v>
          </cell>
          <cell r="N486">
            <v>0</v>
          </cell>
          <cell r="O486">
            <v>1000</v>
          </cell>
          <cell r="P486">
            <v>200</v>
          </cell>
          <cell r="Q486">
            <v>0.25</v>
          </cell>
          <cell r="R486" t="str">
            <v>GL 6252  Same as 2009 budget. Calcium Chloride for sidewalks.</v>
          </cell>
          <cell r="S486" t="str">
            <v/>
          </cell>
          <cell r="T486" t="str">
            <v/>
          </cell>
          <cell r="U486" t="str">
            <v/>
          </cell>
          <cell r="V486" t="str">
            <v/>
          </cell>
          <cell r="W486">
            <v>1800</v>
          </cell>
          <cell r="X486">
            <v>0</v>
          </cell>
          <cell r="Y486" t="str">
            <v>A</v>
          </cell>
          <cell r="Z486" t="str">
            <v>BUY</v>
          </cell>
          <cell r="AA486" t="str">
            <v/>
          </cell>
        </row>
        <row r="487">
          <cell r="A487" t="str">
            <v>A</v>
          </cell>
          <cell r="F487" t="str">
            <v>7843</v>
          </cell>
          <cell r="G487" t="str">
            <v>A</v>
          </cell>
          <cell r="H487">
            <v>8</v>
          </cell>
          <cell r="I487" t="str">
            <v>Ice Control</v>
          </cell>
          <cell r="J487" t="str">
            <v>Ice Control</v>
          </cell>
          <cell r="K487">
            <v>0</v>
          </cell>
          <cell r="L487">
            <v>0</v>
          </cell>
          <cell r="M487">
            <v>0</v>
          </cell>
          <cell r="N487">
            <v>0</v>
          </cell>
          <cell r="O487">
            <v>0</v>
          </cell>
          <cell r="P487">
            <v>0</v>
          </cell>
          <cell r="Q487" t="str">
            <v/>
          </cell>
          <cell r="R487" t="str">
            <v/>
          </cell>
          <cell r="S487" t="str">
            <v/>
          </cell>
          <cell r="T487" t="str">
            <v/>
          </cell>
          <cell r="U487" t="str">
            <v/>
          </cell>
          <cell r="V487" t="str">
            <v/>
          </cell>
          <cell r="W487">
            <v>0</v>
          </cell>
          <cell r="X487">
            <v>0</v>
          </cell>
          <cell r="Y487" t="str">
            <v/>
          </cell>
          <cell r="Z487" t="str">
            <v>BUY</v>
          </cell>
          <cell r="AA487" t="str">
            <v/>
          </cell>
        </row>
        <row r="488">
          <cell r="A488" t="str">
            <v>A</v>
          </cell>
          <cell r="F488" t="str">
            <v>7844</v>
          </cell>
          <cell r="G488" t="str">
            <v>A</v>
          </cell>
          <cell r="H488">
            <v>8</v>
          </cell>
          <cell r="I488" t="str">
            <v>Extra Snow Removal</v>
          </cell>
          <cell r="J488" t="str">
            <v>Extra Snow Removal</v>
          </cell>
          <cell r="K488">
            <v>0</v>
          </cell>
          <cell r="L488">
            <v>0</v>
          </cell>
          <cell r="M488">
            <v>0</v>
          </cell>
          <cell r="N488">
            <v>0</v>
          </cell>
          <cell r="O488">
            <v>0</v>
          </cell>
          <cell r="P488">
            <v>0</v>
          </cell>
          <cell r="Q488" t="str">
            <v/>
          </cell>
          <cell r="R488" t="str">
            <v/>
          </cell>
          <cell r="S488" t="str">
            <v/>
          </cell>
          <cell r="T488" t="str">
            <v/>
          </cell>
          <cell r="U488" t="str">
            <v/>
          </cell>
          <cell r="V488" t="str">
            <v/>
          </cell>
          <cell r="W488">
            <v>0</v>
          </cell>
          <cell r="X488">
            <v>0</v>
          </cell>
          <cell r="Y488" t="str">
            <v/>
          </cell>
          <cell r="Z488" t="str">
            <v>BUY</v>
          </cell>
          <cell r="AA488" t="str">
            <v/>
          </cell>
        </row>
        <row r="489">
          <cell r="A489" t="str">
            <v>A</v>
          </cell>
          <cell r="F489" t="str">
            <v>7844-5</v>
          </cell>
          <cell r="G489" t="str">
            <v>A</v>
          </cell>
          <cell r="H489">
            <v>8</v>
          </cell>
          <cell r="I489" t="str">
            <v>Extra Snow Removal</v>
          </cell>
          <cell r="J489" t="str">
            <v>Extra Snow Removal</v>
          </cell>
          <cell r="K489">
            <v>0</v>
          </cell>
          <cell r="L489">
            <v>0</v>
          </cell>
          <cell r="M489">
            <v>0</v>
          </cell>
          <cell r="N489">
            <v>0</v>
          </cell>
          <cell r="O489">
            <v>0</v>
          </cell>
          <cell r="P489">
            <v>0</v>
          </cell>
          <cell r="Q489" t="str">
            <v/>
          </cell>
          <cell r="R489" t="str">
            <v/>
          </cell>
          <cell r="S489" t="str">
            <v/>
          </cell>
          <cell r="T489" t="str">
            <v/>
          </cell>
          <cell r="U489" t="str">
            <v/>
          </cell>
          <cell r="V489" t="str">
            <v/>
          </cell>
          <cell r="W489">
            <v>0</v>
          </cell>
          <cell r="X489">
            <v>0</v>
          </cell>
          <cell r="Y489" t="str">
            <v/>
          </cell>
          <cell r="Z489" t="str">
            <v>BUY</v>
          </cell>
          <cell r="AA489" t="str">
            <v/>
          </cell>
        </row>
        <row r="490">
          <cell r="A490" t="str">
            <v>A</v>
          </cell>
          <cell r="F490" t="str">
            <v>7850</v>
          </cell>
          <cell r="G490" t="str">
            <v>A</v>
          </cell>
          <cell r="H490">
            <v>8</v>
          </cell>
          <cell r="I490" t="str">
            <v>Fence Repairs &amp; Replacement</v>
          </cell>
          <cell r="J490" t="str">
            <v>Fence Repairs &amp; Replacement</v>
          </cell>
          <cell r="K490">
            <v>0</v>
          </cell>
          <cell r="L490">
            <v>0</v>
          </cell>
          <cell r="M490">
            <v>0</v>
          </cell>
          <cell r="N490">
            <v>0</v>
          </cell>
          <cell r="O490">
            <v>0</v>
          </cell>
          <cell r="P490">
            <v>0</v>
          </cell>
          <cell r="Q490" t="str">
            <v/>
          </cell>
          <cell r="R490" t="str">
            <v/>
          </cell>
          <cell r="S490" t="str">
            <v/>
          </cell>
          <cell r="T490" t="str">
            <v/>
          </cell>
          <cell r="U490" t="str">
            <v/>
          </cell>
          <cell r="V490" t="str">
            <v/>
          </cell>
          <cell r="W490">
            <v>0</v>
          </cell>
          <cell r="X490">
            <v>0</v>
          </cell>
          <cell r="Y490" t="str">
            <v/>
          </cell>
          <cell r="Z490" t="str">
            <v>BUY</v>
          </cell>
          <cell r="AA490" t="str">
            <v/>
          </cell>
        </row>
        <row r="491">
          <cell r="A491" t="str">
            <v>A</v>
          </cell>
          <cell r="F491" t="str">
            <v>7850-1</v>
          </cell>
          <cell r="G491" t="str">
            <v>A</v>
          </cell>
          <cell r="H491">
            <v>8</v>
          </cell>
          <cell r="I491" t="str">
            <v>Fence Repairs &amp; Replacement</v>
          </cell>
          <cell r="J491" t="str">
            <v>Fence Repairs &amp; Replacement</v>
          </cell>
          <cell r="K491">
            <v>0</v>
          </cell>
          <cell r="L491">
            <v>0</v>
          </cell>
          <cell r="M491">
            <v>0</v>
          </cell>
          <cell r="N491">
            <v>0</v>
          </cell>
          <cell r="O491">
            <v>0</v>
          </cell>
          <cell r="P491">
            <v>0</v>
          </cell>
          <cell r="Q491" t="str">
            <v/>
          </cell>
          <cell r="R491" t="str">
            <v/>
          </cell>
          <cell r="S491" t="str">
            <v/>
          </cell>
          <cell r="T491" t="str">
            <v/>
          </cell>
          <cell r="U491" t="str">
            <v/>
          </cell>
          <cell r="V491" t="str">
            <v/>
          </cell>
          <cell r="W491">
            <v>0</v>
          </cell>
          <cell r="X491">
            <v>0</v>
          </cell>
          <cell r="Y491" t="str">
            <v/>
          </cell>
          <cell r="Z491" t="str">
            <v>BUY</v>
          </cell>
          <cell r="AA491" t="str">
            <v/>
          </cell>
        </row>
        <row r="492">
          <cell r="A492" t="str">
            <v>A</v>
          </cell>
          <cell r="F492" t="str">
            <v>7851</v>
          </cell>
          <cell r="G492" t="str">
            <v>A</v>
          </cell>
          <cell r="H492">
            <v>8</v>
          </cell>
          <cell r="I492" t="str">
            <v>Retaining Wall Repair</v>
          </cell>
          <cell r="J492" t="str">
            <v>Retaining Wall Repair</v>
          </cell>
          <cell r="K492">
            <v>0</v>
          </cell>
          <cell r="L492">
            <v>0</v>
          </cell>
          <cell r="M492">
            <v>0</v>
          </cell>
          <cell r="N492">
            <v>0</v>
          </cell>
          <cell r="O492">
            <v>0</v>
          </cell>
          <cell r="P492">
            <v>0</v>
          </cell>
          <cell r="Q492" t="str">
            <v/>
          </cell>
          <cell r="R492" t="str">
            <v/>
          </cell>
          <cell r="S492" t="str">
            <v/>
          </cell>
          <cell r="T492" t="str">
            <v/>
          </cell>
          <cell r="U492" t="str">
            <v/>
          </cell>
          <cell r="V492" t="str">
            <v/>
          </cell>
          <cell r="W492">
            <v>0</v>
          </cell>
          <cell r="X492">
            <v>0</v>
          </cell>
          <cell r="Y492" t="str">
            <v/>
          </cell>
          <cell r="Z492" t="str">
            <v>BUY</v>
          </cell>
          <cell r="AA492" t="str">
            <v/>
          </cell>
        </row>
        <row r="493">
          <cell r="A493" t="str">
            <v>A</v>
          </cell>
          <cell r="F493" t="str">
            <v>7860</v>
          </cell>
          <cell r="G493" t="str">
            <v>A</v>
          </cell>
          <cell r="H493">
            <v>8</v>
          </cell>
          <cell r="I493" t="str">
            <v>General Signage/Signals</v>
          </cell>
          <cell r="J493" t="str">
            <v>General Signage/Signals</v>
          </cell>
          <cell r="K493">
            <v>0</v>
          </cell>
          <cell r="L493">
            <v>0</v>
          </cell>
          <cell r="M493">
            <v>0</v>
          </cell>
          <cell r="N493">
            <v>0</v>
          </cell>
          <cell r="O493">
            <v>0</v>
          </cell>
          <cell r="P493">
            <v>0</v>
          </cell>
          <cell r="Q493" t="str">
            <v/>
          </cell>
          <cell r="R493" t="str">
            <v/>
          </cell>
          <cell r="S493" t="str">
            <v/>
          </cell>
          <cell r="T493" t="str">
            <v/>
          </cell>
          <cell r="U493" t="str">
            <v/>
          </cell>
          <cell r="V493" t="str">
            <v/>
          </cell>
          <cell r="W493">
            <v>0</v>
          </cell>
          <cell r="X493">
            <v>0</v>
          </cell>
          <cell r="Y493" t="str">
            <v/>
          </cell>
          <cell r="Z493" t="str">
            <v>BUY</v>
          </cell>
          <cell r="AA493" t="str">
            <v/>
          </cell>
        </row>
        <row r="494">
          <cell r="A494" t="str">
            <v>A</v>
          </cell>
          <cell r="F494" t="str">
            <v>7861</v>
          </cell>
          <cell r="G494" t="str">
            <v>A</v>
          </cell>
          <cell r="H494">
            <v>8</v>
          </cell>
          <cell r="I494" t="str">
            <v>Parking Stickers</v>
          </cell>
          <cell r="J494" t="str">
            <v>Parking Stickers</v>
          </cell>
          <cell r="K494">
            <v>0</v>
          </cell>
          <cell r="L494">
            <v>0</v>
          </cell>
          <cell r="M494">
            <v>0</v>
          </cell>
          <cell r="N494">
            <v>0</v>
          </cell>
          <cell r="O494">
            <v>0</v>
          </cell>
          <cell r="P494">
            <v>0</v>
          </cell>
          <cell r="Q494" t="str">
            <v/>
          </cell>
          <cell r="R494" t="str">
            <v/>
          </cell>
          <cell r="S494" t="str">
            <v/>
          </cell>
          <cell r="T494" t="str">
            <v/>
          </cell>
          <cell r="U494" t="str">
            <v/>
          </cell>
          <cell r="V494" t="str">
            <v/>
          </cell>
          <cell r="W494">
            <v>0</v>
          </cell>
          <cell r="X494">
            <v>0</v>
          </cell>
          <cell r="Y494" t="str">
            <v/>
          </cell>
          <cell r="Z494" t="str">
            <v>BUY</v>
          </cell>
          <cell r="AA494" t="str">
            <v/>
          </cell>
        </row>
        <row r="495">
          <cell r="A495" t="str">
            <v>A</v>
          </cell>
          <cell r="F495" t="str">
            <v>7865</v>
          </cell>
          <cell r="G495" t="str">
            <v>A</v>
          </cell>
          <cell r="H495">
            <v>8</v>
          </cell>
          <cell r="I495" t="str">
            <v>Exterior Lighting</v>
          </cell>
          <cell r="J495" t="str">
            <v>Exterior Lighting</v>
          </cell>
          <cell r="K495">
            <v>0</v>
          </cell>
          <cell r="L495">
            <v>0</v>
          </cell>
          <cell r="M495">
            <v>0</v>
          </cell>
          <cell r="N495">
            <v>0</v>
          </cell>
          <cell r="O495">
            <v>0</v>
          </cell>
          <cell r="P495">
            <v>0</v>
          </cell>
          <cell r="Q495" t="str">
            <v/>
          </cell>
          <cell r="R495" t="str">
            <v/>
          </cell>
          <cell r="S495" t="str">
            <v/>
          </cell>
          <cell r="T495" t="str">
            <v/>
          </cell>
          <cell r="U495" t="str">
            <v/>
          </cell>
          <cell r="V495" t="str">
            <v/>
          </cell>
          <cell r="W495">
            <v>0</v>
          </cell>
          <cell r="X495">
            <v>0</v>
          </cell>
          <cell r="Y495" t="str">
            <v/>
          </cell>
          <cell r="Z495" t="str">
            <v>BUY</v>
          </cell>
          <cell r="AA495" t="str">
            <v/>
          </cell>
        </row>
        <row r="496">
          <cell r="A496" t="str">
            <v>A</v>
          </cell>
          <cell r="F496" t="str">
            <v>7865-1</v>
          </cell>
          <cell r="G496" t="str">
            <v>A</v>
          </cell>
          <cell r="H496">
            <v>8</v>
          </cell>
          <cell r="I496" t="str">
            <v>Exterior Lighting</v>
          </cell>
          <cell r="J496" t="str">
            <v>Exterior Lighting</v>
          </cell>
          <cell r="K496">
            <v>0</v>
          </cell>
          <cell r="L496">
            <v>0</v>
          </cell>
          <cell r="M496">
            <v>0</v>
          </cell>
          <cell r="N496">
            <v>0</v>
          </cell>
          <cell r="O496">
            <v>0</v>
          </cell>
          <cell r="P496">
            <v>0</v>
          </cell>
          <cell r="Q496" t="str">
            <v/>
          </cell>
          <cell r="R496" t="str">
            <v/>
          </cell>
          <cell r="S496" t="str">
            <v/>
          </cell>
          <cell r="T496" t="str">
            <v/>
          </cell>
          <cell r="U496" t="str">
            <v/>
          </cell>
          <cell r="V496" t="str">
            <v/>
          </cell>
          <cell r="W496">
            <v>0</v>
          </cell>
          <cell r="X496">
            <v>0</v>
          </cell>
          <cell r="Y496" t="str">
            <v/>
          </cell>
          <cell r="Z496" t="str">
            <v>BUY</v>
          </cell>
          <cell r="AA496" t="str">
            <v/>
          </cell>
        </row>
        <row r="497">
          <cell r="A497" t="str">
            <v>A</v>
          </cell>
          <cell r="F497" t="str">
            <v>7870</v>
          </cell>
          <cell r="G497" t="str">
            <v>A</v>
          </cell>
          <cell r="H497">
            <v>8</v>
          </cell>
          <cell r="I497" t="str">
            <v>Streets &amp; Sidewalks</v>
          </cell>
          <cell r="J497" t="str">
            <v>Streets &amp; Sidewalks</v>
          </cell>
          <cell r="K497">
            <v>0</v>
          </cell>
          <cell r="L497">
            <v>0</v>
          </cell>
          <cell r="M497">
            <v>0</v>
          </cell>
          <cell r="N497">
            <v>0</v>
          </cell>
          <cell r="O497">
            <v>0</v>
          </cell>
          <cell r="P497">
            <v>0</v>
          </cell>
          <cell r="Q497" t="str">
            <v/>
          </cell>
          <cell r="R497" t="str">
            <v/>
          </cell>
          <cell r="S497" t="str">
            <v/>
          </cell>
          <cell r="T497" t="str">
            <v/>
          </cell>
          <cell r="U497" t="str">
            <v/>
          </cell>
          <cell r="V497" t="str">
            <v/>
          </cell>
          <cell r="W497">
            <v>0</v>
          </cell>
          <cell r="X497">
            <v>0</v>
          </cell>
          <cell r="Y497" t="str">
            <v/>
          </cell>
          <cell r="Z497" t="str">
            <v>BUY</v>
          </cell>
          <cell r="AA497" t="str">
            <v/>
          </cell>
        </row>
        <row r="498">
          <cell r="A498" t="str">
            <v>A</v>
          </cell>
          <cell r="F498" t="str">
            <v>7871</v>
          </cell>
          <cell r="G498" t="str">
            <v>A</v>
          </cell>
          <cell r="H498">
            <v>8</v>
          </cell>
          <cell r="I498" t="str">
            <v>Streets, Parking, Driveways</v>
          </cell>
          <cell r="J498" t="str">
            <v>Streets, Parking, Driveways</v>
          </cell>
          <cell r="K498">
            <v>0</v>
          </cell>
          <cell r="L498">
            <v>0</v>
          </cell>
          <cell r="M498">
            <v>0</v>
          </cell>
          <cell r="N498">
            <v>0</v>
          </cell>
          <cell r="O498">
            <v>0</v>
          </cell>
          <cell r="P498">
            <v>0</v>
          </cell>
          <cell r="Q498" t="str">
            <v/>
          </cell>
          <cell r="R498" t="str">
            <v/>
          </cell>
          <cell r="S498" t="str">
            <v/>
          </cell>
          <cell r="T498" t="str">
            <v/>
          </cell>
          <cell r="U498" t="str">
            <v/>
          </cell>
          <cell r="V498" t="str">
            <v/>
          </cell>
          <cell r="W498">
            <v>0</v>
          </cell>
          <cell r="X498">
            <v>0</v>
          </cell>
          <cell r="Y498" t="str">
            <v/>
          </cell>
          <cell r="Z498" t="str">
            <v>BUY</v>
          </cell>
          <cell r="AA498" t="str">
            <v/>
          </cell>
        </row>
        <row r="499">
          <cell r="A499" t="str">
            <v>A</v>
          </cell>
          <cell r="F499" t="str">
            <v>7871-2000</v>
          </cell>
          <cell r="G499" t="str">
            <v>A</v>
          </cell>
          <cell r="H499">
            <v>8</v>
          </cell>
          <cell r="I499" t="str">
            <v>Street Signs</v>
          </cell>
          <cell r="J499" t="str">
            <v>Street Signs</v>
          </cell>
          <cell r="K499">
            <v>0</v>
          </cell>
          <cell r="L499">
            <v>0</v>
          </cell>
          <cell r="M499">
            <v>0</v>
          </cell>
          <cell r="N499">
            <v>0</v>
          </cell>
          <cell r="O499">
            <v>0</v>
          </cell>
          <cell r="P499">
            <v>0</v>
          </cell>
          <cell r="Q499" t="str">
            <v/>
          </cell>
          <cell r="R499" t="str">
            <v/>
          </cell>
          <cell r="S499" t="str">
            <v/>
          </cell>
          <cell r="T499" t="str">
            <v/>
          </cell>
          <cell r="U499" t="str">
            <v/>
          </cell>
          <cell r="V499" t="str">
            <v/>
          </cell>
          <cell r="W499">
            <v>0</v>
          </cell>
          <cell r="X499">
            <v>0</v>
          </cell>
          <cell r="Y499" t="str">
            <v/>
          </cell>
          <cell r="Z499" t="str">
            <v>BUY</v>
          </cell>
          <cell r="AA499" t="str">
            <v/>
          </cell>
        </row>
        <row r="500">
          <cell r="A500" t="str">
            <v>A</v>
          </cell>
          <cell r="F500" t="str">
            <v>7871-3000</v>
          </cell>
          <cell r="G500" t="str">
            <v>A</v>
          </cell>
          <cell r="H500">
            <v>8</v>
          </cell>
          <cell r="I500" t="str">
            <v>Streets,Parking,Drvw</v>
          </cell>
          <cell r="J500" t="str">
            <v>Streets,Parking,Drvw</v>
          </cell>
          <cell r="K500">
            <v>0</v>
          </cell>
          <cell r="L500">
            <v>0</v>
          </cell>
          <cell r="M500">
            <v>0</v>
          </cell>
          <cell r="N500">
            <v>0</v>
          </cell>
          <cell r="O500">
            <v>0</v>
          </cell>
          <cell r="P500">
            <v>0</v>
          </cell>
          <cell r="Q500" t="str">
            <v/>
          </cell>
          <cell r="R500" t="str">
            <v/>
          </cell>
          <cell r="S500" t="str">
            <v/>
          </cell>
          <cell r="T500" t="str">
            <v/>
          </cell>
          <cell r="U500" t="str">
            <v/>
          </cell>
          <cell r="V500" t="str">
            <v/>
          </cell>
          <cell r="W500">
            <v>0</v>
          </cell>
          <cell r="X500">
            <v>0</v>
          </cell>
          <cell r="Y500" t="str">
            <v/>
          </cell>
          <cell r="Z500" t="str">
            <v>BUY</v>
          </cell>
          <cell r="AA500" t="str">
            <v/>
          </cell>
        </row>
        <row r="501">
          <cell r="A501" t="str">
            <v>A</v>
          </cell>
          <cell r="F501" t="str">
            <v>7871-4</v>
          </cell>
          <cell r="G501" t="str">
            <v>A</v>
          </cell>
          <cell r="H501">
            <v>8</v>
          </cell>
          <cell r="I501" t="str">
            <v>Streets,Parking,Drvw</v>
          </cell>
          <cell r="J501" t="str">
            <v>Streets,Parking,Drvw</v>
          </cell>
          <cell r="K501">
            <v>0</v>
          </cell>
          <cell r="L501">
            <v>0</v>
          </cell>
          <cell r="M501">
            <v>0</v>
          </cell>
          <cell r="N501">
            <v>0</v>
          </cell>
          <cell r="O501">
            <v>0</v>
          </cell>
          <cell r="P501">
            <v>0</v>
          </cell>
          <cell r="Q501" t="str">
            <v/>
          </cell>
          <cell r="R501" t="str">
            <v/>
          </cell>
          <cell r="S501" t="str">
            <v/>
          </cell>
          <cell r="T501" t="str">
            <v/>
          </cell>
          <cell r="U501" t="str">
            <v/>
          </cell>
          <cell r="V501" t="str">
            <v/>
          </cell>
          <cell r="W501">
            <v>0</v>
          </cell>
          <cell r="X501">
            <v>0</v>
          </cell>
          <cell r="Y501" t="str">
            <v/>
          </cell>
          <cell r="Z501" t="str">
            <v>BUY</v>
          </cell>
          <cell r="AA501" t="str">
            <v/>
          </cell>
        </row>
        <row r="502">
          <cell r="A502" t="str">
            <v>A</v>
          </cell>
          <cell r="F502" t="str">
            <v>7871-5</v>
          </cell>
          <cell r="G502" t="str">
            <v>A</v>
          </cell>
          <cell r="H502">
            <v>8</v>
          </cell>
          <cell r="I502" t="str">
            <v>Streets, Parking, Driveways</v>
          </cell>
          <cell r="J502" t="str">
            <v>Streets, Parking, Driveways</v>
          </cell>
          <cell r="K502">
            <v>0</v>
          </cell>
          <cell r="L502">
            <v>0</v>
          </cell>
          <cell r="M502">
            <v>0</v>
          </cell>
          <cell r="N502">
            <v>0</v>
          </cell>
          <cell r="O502">
            <v>0</v>
          </cell>
          <cell r="P502">
            <v>0</v>
          </cell>
          <cell r="Q502" t="str">
            <v/>
          </cell>
          <cell r="R502" t="str">
            <v/>
          </cell>
          <cell r="S502" t="str">
            <v/>
          </cell>
          <cell r="T502" t="str">
            <v/>
          </cell>
          <cell r="U502" t="str">
            <v/>
          </cell>
          <cell r="V502" t="str">
            <v/>
          </cell>
          <cell r="W502">
            <v>0</v>
          </cell>
          <cell r="X502">
            <v>0</v>
          </cell>
          <cell r="Y502" t="str">
            <v/>
          </cell>
          <cell r="Z502" t="str">
            <v>BUY</v>
          </cell>
          <cell r="AA502" t="str">
            <v/>
          </cell>
        </row>
        <row r="503">
          <cell r="A503" t="str">
            <v>A</v>
          </cell>
          <cell r="F503" t="str">
            <v>7872</v>
          </cell>
          <cell r="G503" t="str">
            <v>A</v>
          </cell>
          <cell r="H503">
            <v>8</v>
          </cell>
          <cell r="I503" t="str">
            <v>Speed Bumps</v>
          </cell>
          <cell r="J503" t="str">
            <v>Speed Bumps</v>
          </cell>
          <cell r="K503">
            <v>0</v>
          </cell>
          <cell r="L503">
            <v>0</v>
          </cell>
          <cell r="M503">
            <v>0</v>
          </cell>
          <cell r="N503">
            <v>0</v>
          </cell>
          <cell r="O503">
            <v>0</v>
          </cell>
          <cell r="P503">
            <v>0</v>
          </cell>
          <cell r="Q503" t="str">
            <v/>
          </cell>
          <cell r="R503" t="str">
            <v/>
          </cell>
          <cell r="S503" t="str">
            <v/>
          </cell>
          <cell r="T503" t="str">
            <v/>
          </cell>
          <cell r="U503" t="str">
            <v/>
          </cell>
          <cell r="V503" t="str">
            <v/>
          </cell>
          <cell r="W503">
            <v>0</v>
          </cell>
          <cell r="X503">
            <v>0</v>
          </cell>
          <cell r="Y503" t="str">
            <v/>
          </cell>
          <cell r="Z503" t="str">
            <v>BUY</v>
          </cell>
          <cell r="AA503" t="str">
            <v/>
          </cell>
        </row>
        <row r="504">
          <cell r="A504" t="str">
            <v>A</v>
          </cell>
          <cell r="F504" t="str">
            <v>7873</v>
          </cell>
          <cell r="G504" t="str">
            <v>A</v>
          </cell>
          <cell r="H504">
            <v>8</v>
          </cell>
          <cell r="I504" t="str">
            <v>Street Cleaning</v>
          </cell>
          <cell r="J504" t="str">
            <v>Street Cleaning</v>
          </cell>
          <cell r="K504">
            <v>0</v>
          </cell>
          <cell r="L504">
            <v>0</v>
          </cell>
          <cell r="M504">
            <v>0</v>
          </cell>
          <cell r="N504">
            <v>0</v>
          </cell>
          <cell r="O504">
            <v>0</v>
          </cell>
          <cell r="P504">
            <v>0</v>
          </cell>
          <cell r="Q504" t="str">
            <v/>
          </cell>
          <cell r="R504" t="str">
            <v/>
          </cell>
          <cell r="S504" t="str">
            <v/>
          </cell>
          <cell r="T504" t="str">
            <v/>
          </cell>
          <cell r="U504" t="str">
            <v/>
          </cell>
          <cell r="V504" t="str">
            <v/>
          </cell>
          <cell r="W504">
            <v>0</v>
          </cell>
          <cell r="X504">
            <v>0</v>
          </cell>
          <cell r="Y504" t="str">
            <v/>
          </cell>
          <cell r="Z504" t="str">
            <v>BUY</v>
          </cell>
          <cell r="AA504" t="str">
            <v/>
          </cell>
        </row>
        <row r="505">
          <cell r="A505" t="str">
            <v>A</v>
          </cell>
          <cell r="F505" t="str">
            <v>7874</v>
          </cell>
          <cell r="G505" t="str">
            <v>A</v>
          </cell>
          <cell r="H505">
            <v>8</v>
          </cell>
          <cell r="I505" t="str">
            <v>Car Towing</v>
          </cell>
          <cell r="J505" t="str">
            <v>Car Towing</v>
          </cell>
          <cell r="K505">
            <v>0</v>
          </cell>
          <cell r="L505">
            <v>0</v>
          </cell>
          <cell r="M505">
            <v>0</v>
          </cell>
          <cell r="N505">
            <v>0</v>
          </cell>
          <cell r="O505">
            <v>0</v>
          </cell>
          <cell r="P505">
            <v>0</v>
          </cell>
          <cell r="Q505" t="str">
            <v/>
          </cell>
          <cell r="R505" t="str">
            <v/>
          </cell>
          <cell r="S505" t="str">
            <v/>
          </cell>
          <cell r="T505" t="str">
            <v/>
          </cell>
          <cell r="U505" t="str">
            <v/>
          </cell>
          <cell r="V505" t="str">
            <v/>
          </cell>
          <cell r="W505">
            <v>0</v>
          </cell>
          <cell r="X505">
            <v>0</v>
          </cell>
          <cell r="Y505" t="str">
            <v/>
          </cell>
          <cell r="Z505" t="str">
            <v>BUY</v>
          </cell>
          <cell r="AA505" t="str">
            <v/>
          </cell>
        </row>
        <row r="506">
          <cell r="A506" t="str">
            <v>A</v>
          </cell>
          <cell r="F506" t="str">
            <v>7874-2</v>
          </cell>
          <cell r="G506" t="str">
            <v>A</v>
          </cell>
          <cell r="H506">
            <v>8</v>
          </cell>
          <cell r="I506" t="str">
            <v>Car Towing</v>
          </cell>
          <cell r="J506" t="str">
            <v>Car Towing</v>
          </cell>
          <cell r="K506">
            <v>0</v>
          </cell>
          <cell r="L506">
            <v>0</v>
          </cell>
          <cell r="M506">
            <v>0</v>
          </cell>
          <cell r="N506">
            <v>0</v>
          </cell>
          <cell r="O506">
            <v>0</v>
          </cell>
          <cell r="P506">
            <v>0</v>
          </cell>
          <cell r="Q506" t="str">
            <v/>
          </cell>
          <cell r="R506" t="str">
            <v/>
          </cell>
          <cell r="S506" t="str">
            <v/>
          </cell>
          <cell r="T506" t="str">
            <v/>
          </cell>
          <cell r="U506" t="str">
            <v/>
          </cell>
          <cell r="V506" t="str">
            <v/>
          </cell>
          <cell r="W506">
            <v>0</v>
          </cell>
          <cell r="X506">
            <v>0</v>
          </cell>
          <cell r="Y506" t="str">
            <v/>
          </cell>
          <cell r="Z506" t="str">
            <v>BUY</v>
          </cell>
          <cell r="AA506" t="str">
            <v/>
          </cell>
        </row>
        <row r="507">
          <cell r="A507" t="str">
            <v>A</v>
          </cell>
          <cell r="F507" t="str">
            <v>7874-3</v>
          </cell>
          <cell r="G507" t="str">
            <v>A</v>
          </cell>
          <cell r="H507">
            <v>8</v>
          </cell>
          <cell r="I507" t="str">
            <v>Car Towing</v>
          </cell>
          <cell r="J507" t="str">
            <v>Car Towing</v>
          </cell>
          <cell r="K507">
            <v>0</v>
          </cell>
          <cell r="L507">
            <v>0</v>
          </cell>
          <cell r="M507">
            <v>0</v>
          </cell>
          <cell r="N507">
            <v>0</v>
          </cell>
          <cell r="O507">
            <v>0</v>
          </cell>
          <cell r="P507">
            <v>0</v>
          </cell>
          <cell r="Q507" t="str">
            <v/>
          </cell>
          <cell r="R507" t="str">
            <v/>
          </cell>
          <cell r="S507" t="str">
            <v/>
          </cell>
          <cell r="T507" t="str">
            <v/>
          </cell>
          <cell r="U507" t="str">
            <v/>
          </cell>
          <cell r="V507" t="str">
            <v/>
          </cell>
          <cell r="W507">
            <v>0</v>
          </cell>
          <cell r="X507">
            <v>0</v>
          </cell>
          <cell r="Y507" t="str">
            <v/>
          </cell>
          <cell r="Z507" t="str">
            <v>BUY</v>
          </cell>
          <cell r="AA507" t="str">
            <v/>
          </cell>
        </row>
        <row r="508">
          <cell r="A508" t="str">
            <v>A</v>
          </cell>
          <cell r="F508" t="str">
            <v>7874-4</v>
          </cell>
          <cell r="G508" t="str">
            <v>A</v>
          </cell>
          <cell r="H508">
            <v>8</v>
          </cell>
          <cell r="I508" t="str">
            <v>Car Towing</v>
          </cell>
          <cell r="J508" t="str">
            <v>Car Towing</v>
          </cell>
          <cell r="K508">
            <v>0</v>
          </cell>
          <cell r="L508">
            <v>0</v>
          </cell>
          <cell r="M508">
            <v>0</v>
          </cell>
          <cell r="N508">
            <v>0</v>
          </cell>
          <cell r="O508">
            <v>0</v>
          </cell>
          <cell r="P508">
            <v>0</v>
          </cell>
          <cell r="Q508" t="str">
            <v/>
          </cell>
          <cell r="R508" t="str">
            <v/>
          </cell>
          <cell r="S508" t="str">
            <v/>
          </cell>
          <cell r="T508" t="str">
            <v/>
          </cell>
          <cell r="U508" t="str">
            <v/>
          </cell>
          <cell r="V508" t="str">
            <v/>
          </cell>
          <cell r="W508">
            <v>0</v>
          </cell>
          <cell r="X508">
            <v>0</v>
          </cell>
          <cell r="Y508" t="str">
            <v/>
          </cell>
          <cell r="Z508" t="str">
            <v>BUY</v>
          </cell>
          <cell r="AA508" t="str">
            <v/>
          </cell>
        </row>
        <row r="509">
          <cell r="A509" t="str">
            <v>A</v>
          </cell>
          <cell r="F509" t="str">
            <v>7874-5</v>
          </cell>
          <cell r="G509" t="str">
            <v>A</v>
          </cell>
          <cell r="H509">
            <v>8</v>
          </cell>
          <cell r="I509" t="str">
            <v>Car Towing</v>
          </cell>
          <cell r="J509" t="str">
            <v>Car Towing</v>
          </cell>
          <cell r="K509">
            <v>0</v>
          </cell>
          <cell r="L509">
            <v>0</v>
          </cell>
          <cell r="M509">
            <v>0</v>
          </cell>
          <cell r="N509">
            <v>0</v>
          </cell>
          <cell r="O509">
            <v>0</v>
          </cell>
          <cell r="P509">
            <v>0</v>
          </cell>
          <cell r="Q509" t="str">
            <v/>
          </cell>
          <cell r="R509" t="str">
            <v/>
          </cell>
          <cell r="S509" t="str">
            <v/>
          </cell>
          <cell r="T509" t="str">
            <v/>
          </cell>
          <cell r="U509" t="str">
            <v/>
          </cell>
          <cell r="V509" t="str">
            <v/>
          </cell>
          <cell r="W509">
            <v>0</v>
          </cell>
          <cell r="X509">
            <v>0</v>
          </cell>
          <cell r="Y509" t="str">
            <v/>
          </cell>
          <cell r="Z509" t="str">
            <v>BUY</v>
          </cell>
          <cell r="AA509" t="str">
            <v/>
          </cell>
        </row>
        <row r="510">
          <cell r="A510" t="str">
            <v>A</v>
          </cell>
          <cell r="F510" t="str">
            <v>7877</v>
          </cell>
          <cell r="G510" t="str">
            <v>A</v>
          </cell>
          <cell r="H510">
            <v>8</v>
          </cell>
          <cell r="I510" t="str">
            <v>Sidewalks/Concrete</v>
          </cell>
          <cell r="J510" t="str">
            <v>Sidewalks/Concrete</v>
          </cell>
          <cell r="K510">
            <v>0</v>
          </cell>
          <cell r="L510">
            <v>0</v>
          </cell>
          <cell r="M510">
            <v>0</v>
          </cell>
          <cell r="N510">
            <v>0</v>
          </cell>
          <cell r="O510">
            <v>0</v>
          </cell>
          <cell r="P510">
            <v>0</v>
          </cell>
          <cell r="Q510" t="str">
            <v/>
          </cell>
          <cell r="R510" t="str">
            <v/>
          </cell>
          <cell r="S510" t="str">
            <v/>
          </cell>
          <cell r="T510" t="str">
            <v/>
          </cell>
          <cell r="U510" t="str">
            <v/>
          </cell>
          <cell r="V510" t="str">
            <v/>
          </cell>
          <cell r="W510">
            <v>0</v>
          </cell>
          <cell r="X510">
            <v>0</v>
          </cell>
          <cell r="Y510" t="str">
            <v/>
          </cell>
          <cell r="Z510" t="str">
            <v>BUY</v>
          </cell>
          <cell r="AA510" t="str">
            <v/>
          </cell>
        </row>
        <row r="511">
          <cell r="A511" t="str">
            <v>A</v>
          </cell>
          <cell r="F511" t="str">
            <v>7879</v>
          </cell>
          <cell r="G511" t="str">
            <v>A</v>
          </cell>
          <cell r="H511">
            <v>8</v>
          </cell>
          <cell r="I511" t="str">
            <v>Other Street, Parking, Driveway</v>
          </cell>
          <cell r="J511" t="str">
            <v>Other Street, Parking, Driveway</v>
          </cell>
          <cell r="K511">
            <v>0</v>
          </cell>
          <cell r="L511">
            <v>0</v>
          </cell>
          <cell r="M511">
            <v>0</v>
          </cell>
          <cell r="N511">
            <v>0</v>
          </cell>
          <cell r="O511">
            <v>0</v>
          </cell>
          <cell r="P511">
            <v>0</v>
          </cell>
          <cell r="Q511" t="str">
            <v/>
          </cell>
          <cell r="R511" t="str">
            <v/>
          </cell>
          <cell r="S511" t="str">
            <v/>
          </cell>
          <cell r="T511" t="str">
            <v/>
          </cell>
          <cell r="U511" t="str">
            <v/>
          </cell>
          <cell r="V511" t="str">
            <v/>
          </cell>
          <cell r="W511">
            <v>0</v>
          </cell>
          <cell r="X511">
            <v>0</v>
          </cell>
          <cell r="Y511" t="str">
            <v/>
          </cell>
          <cell r="Z511" t="str">
            <v>BUY</v>
          </cell>
          <cell r="AA511" t="str">
            <v/>
          </cell>
        </row>
        <row r="512">
          <cell r="A512" t="str">
            <v>A</v>
          </cell>
          <cell r="F512" t="str">
            <v>7880</v>
          </cell>
          <cell r="G512" t="str">
            <v>A</v>
          </cell>
          <cell r="H512">
            <v>8</v>
          </cell>
          <cell r="I512" t="str">
            <v>Concrete Repair/Replacement</v>
          </cell>
          <cell r="J512" t="str">
            <v>Concrete Repair/Replacement</v>
          </cell>
          <cell r="K512">
            <v>0</v>
          </cell>
          <cell r="L512">
            <v>0</v>
          </cell>
          <cell r="M512">
            <v>0</v>
          </cell>
          <cell r="N512">
            <v>0</v>
          </cell>
          <cell r="O512">
            <v>0</v>
          </cell>
          <cell r="P512">
            <v>0</v>
          </cell>
          <cell r="Q512" t="str">
            <v/>
          </cell>
          <cell r="R512" t="str">
            <v/>
          </cell>
          <cell r="S512" t="str">
            <v/>
          </cell>
          <cell r="T512" t="str">
            <v/>
          </cell>
          <cell r="U512" t="str">
            <v/>
          </cell>
          <cell r="V512" t="str">
            <v/>
          </cell>
          <cell r="W512">
            <v>0</v>
          </cell>
          <cell r="X512">
            <v>0</v>
          </cell>
          <cell r="Y512" t="str">
            <v/>
          </cell>
          <cell r="Z512" t="str">
            <v>BUY</v>
          </cell>
          <cell r="AA512" t="str">
            <v/>
          </cell>
        </row>
        <row r="513">
          <cell r="A513" t="str">
            <v>A</v>
          </cell>
          <cell r="F513" t="str">
            <v>7890</v>
          </cell>
          <cell r="G513" t="str">
            <v>A</v>
          </cell>
          <cell r="H513">
            <v>8</v>
          </cell>
          <cell r="I513" t="str">
            <v>Vehicle Expenses</v>
          </cell>
          <cell r="J513" t="str">
            <v>Vehicle Expenses</v>
          </cell>
          <cell r="K513">
            <v>0</v>
          </cell>
          <cell r="L513">
            <v>0</v>
          </cell>
          <cell r="M513">
            <v>0</v>
          </cell>
          <cell r="N513">
            <v>0</v>
          </cell>
          <cell r="O513">
            <v>0</v>
          </cell>
          <cell r="P513">
            <v>0</v>
          </cell>
          <cell r="Q513" t="str">
            <v/>
          </cell>
          <cell r="R513" t="str">
            <v/>
          </cell>
          <cell r="S513" t="str">
            <v/>
          </cell>
          <cell r="T513" t="str">
            <v/>
          </cell>
          <cell r="U513" t="str">
            <v/>
          </cell>
          <cell r="V513" t="str">
            <v/>
          </cell>
          <cell r="W513">
            <v>0</v>
          </cell>
          <cell r="X513">
            <v>0</v>
          </cell>
          <cell r="Y513" t="str">
            <v/>
          </cell>
          <cell r="Z513" t="str">
            <v>BUY</v>
          </cell>
          <cell r="AA513" t="str">
            <v/>
          </cell>
        </row>
        <row r="514">
          <cell r="A514" t="str">
            <v>A</v>
          </cell>
          <cell r="F514" t="str">
            <v>7890-2</v>
          </cell>
          <cell r="G514" t="str">
            <v>A</v>
          </cell>
          <cell r="H514">
            <v>8</v>
          </cell>
          <cell r="I514" t="str">
            <v>Vehicle Expenses</v>
          </cell>
          <cell r="J514" t="str">
            <v>Vehicle Expenses</v>
          </cell>
          <cell r="K514">
            <v>0</v>
          </cell>
          <cell r="L514">
            <v>0</v>
          </cell>
          <cell r="M514">
            <v>0</v>
          </cell>
          <cell r="N514">
            <v>0</v>
          </cell>
          <cell r="O514">
            <v>0</v>
          </cell>
          <cell r="P514">
            <v>0</v>
          </cell>
          <cell r="Q514" t="str">
            <v/>
          </cell>
          <cell r="R514" t="str">
            <v/>
          </cell>
          <cell r="S514" t="str">
            <v/>
          </cell>
          <cell r="T514" t="str">
            <v/>
          </cell>
          <cell r="U514" t="str">
            <v/>
          </cell>
          <cell r="V514" t="str">
            <v/>
          </cell>
          <cell r="W514">
            <v>0</v>
          </cell>
          <cell r="X514">
            <v>0</v>
          </cell>
          <cell r="Y514" t="str">
            <v/>
          </cell>
          <cell r="Z514" t="str">
            <v>BUY</v>
          </cell>
          <cell r="AA514" t="str">
            <v/>
          </cell>
        </row>
        <row r="515">
          <cell r="A515" t="str">
            <v>A</v>
          </cell>
          <cell r="F515" t="str">
            <v>7895</v>
          </cell>
          <cell r="G515" t="str">
            <v>A</v>
          </cell>
          <cell r="H515">
            <v>8</v>
          </cell>
          <cell r="I515" t="str">
            <v>Other Common Area Exp</v>
          </cell>
          <cell r="J515" t="str">
            <v>Other Common Area Exp</v>
          </cell>
          <cell r="K515">
            <v>0</v>
          </cell>
          <cell r="L515">
            <v>0</v>
          </cell>
          <cell r="M515">
            <v>0</v>
          </cell>
          <cell r="N515">
            <v>0</v>
          </cell>
          <cell r="O515">
            <v>0</v>
          </cell>
          <cell r="P515">
            <v>0</v>
          </cell>
          <cell r="Q515" t="str">
            <v/>
          </cell>
          <cell r="R515" t="str">
            <v/>
          </cell>
          <cell r="S515" t="str">
            <v/>
          </cell>
          <cell r="T515" t="str">
            <v/>
          </cell>
          <cell r="U515" t="str">
            <v/>
          </cell>
          <cell r="V515" t="str">
            <v/>
          </cell>
          <cell r="W515">
            <v>0</v>
          </cell>
          <cell r="X515">
            <v>0</v>
          </cell>
          <cell r="Y515" t="str">
            <v/>
          </cell>
          <cell r="Z515" t="str">
            <v>BUY</v>
          </cell>
          <cell r="AA515" t="str">
            <v/>
          </cell>
        </row>
        <row r="516">
          <cell r="A516" t="str">
            <v>A</v>
          </cell>
          <cell r="F516" t="str">
            <v>7895-5</v>
          </cell>
          <cell r="G516" t="str">
            <v>A</v>
          </cell>
          <cell r="H516">
            <v>8</v>
          </cell>
          <cell r="I516" t="str">
            <v>Other Common Area Exp</v>
          </cell>
          <cell r="J516" t="str">
            <v>Other Common Area Exp</v>
          </cell>
          <cell r="K516">
            <v>0</v>
          </cell>
          <cell r="L516">
            <v>0</v>
          </cell>
          <cell r="M516">
            <v>0</v>
          </cell>
          <cell r="N516">
            <v>0</v>
          </cell>
          <cell r="O516">
            <v>0</v>
          </cell>
          <cell r="P516">
            <v>0</v>
          </cell>
          <cell r="Q516" t="str">
            <v/>
          </cell>
          <cell r="R516" t="str">
            <v/>
          </cell>
          <cell r="S516" t="str">
            <v/>
          </cell>
          <cell r="T516" t="str">
            <v/>
          </cell>
          <cell r="U516" t="str">
            <v/>
          </cell>
          <cell r="V516" t="str">
            <v/>
          </cell>
          <cell r="W516">
            <v>0</v>
          </cell>
          <cell r="X516">
            <v>0</v>
          </cell>
          <cell r="Y516" t="str">
            <v/>
          </cell>
          <cell r="Z516" t="str">
            <v>BUY</v>
          </cell>
          <cell r="AA516" t="str">
            <v/>
          </cell>
        </row>
        <row r="517">
          <cell r="A517" t="str">
            <v>A</v>
          </cell>
          <cell r="F517" t="str">
            <v>8005</v>
          </cell>
          <cell r="G517" t="str">
            <v>A</v>
          </cell>
          <cell r="H517">
            <v>9</v>
          </cell>
          <cell r="I517" t="str">
            <v>All Pool Expenses</v>
          </cell>
          <cell r="J517" t="str">
            <v>All Pool Expenses</v>
          </cell>
          <cell r="K517">
            <v>0</v>
          </cell>
          <cell r="L517">
            <v>0</v>
          </cell>
          <cell r="M517">
            <v>1500</v>
          </cell>
          <cell r="N517">
            <v>1219</v>
          </cell>
          <cell r="O517">
            <v>1500</v>
          </cell>
          <cell r="P517">
            <v>0</v>
          </cell>
          <cell r="Q517">
            <v>0</v>
          </cell>
          <cell r="R517" t="str">
            <v>GL 7204 Increase due to increase in cost of supplies</v>
          </cell>
          <cell r="S517" t="str">
            <v/>
          </cell>
          <cell r="T517" t="str">
            <v/>
          </cell>
          <cell r="U517" t="str">
            <v/>
          </cell>
          <cell r="V517" t="str">
            <v/>
          </cell>
          <cell r="W517">
            <v>4219</v>
          </cell>
          <cell r="X517">
            <v>0</v>
          </cell>
          <cell r="Y517" t="str">
            <v>A</v>
          </cell>
          <cell r="Z517" t="str">
            <v>BUY</v>
          </cell>
          <cell r="AA517" t="str">
            <v/>
          </cell>
        </row>
        <row r="518">
          <cell r="A518" t="str">
            <v>A</v>
          </cell>
          <cell r="F518" t="str">
            <v>8010</v>
          </cell>
          <cell r="G518" t="str">
            <v>A</v>
          </cell>
          <cell r="H518">
            <v>9</v>
          </cell>
          <cell r="I518" t="str">
            <v>Pool Open, Close, Maintain</v>
          </cell>
          <cell r="J518" t="str">
            <v>Pool Open, Close, Maintain</v>
          </cell>
          <cell r="K518">
            <v>0</v>
          </cell>
          <cell r="L518">
            <v>0</v>
          </cell>
          <cell r="M518">
            <v>0</v>
          </cell>
          <cell r="N518">
            <v>0</v>
          </cell>
          <cell r="O518">
            <v>0</v>
          </cell>
          <cell r="P518">
            <v>0</v>
          </cell>
          <cell r="Q518" t="str">
            <v/>
          </cell>
          <cell r="R518" t="str">
            <v/>
          </cell>
          <cell r="S518" t="str">
            <v/>
          </cell>
          <cell r="T518" t="str">
            <v/>
          </cell>
          <cell r="U518" t="str">
            <v/>
          </cell>
          <cell r="V518" t="str">
            <v/>
          </cell>
          <cell r="W518">
            <v>0</v>
          </cell>
          <cell r="X518">
            <v>0</v>
          </cell>
          <cell r="Y518" t="str">
            <v/>
          </cell>
          <cell r="Z518" t="str">
            <v>BUY</v>
          </cell>
          <cell r="AA518" t="str">
            <v/>
          </cell>
        </row>
        <row r="519">
          <cell r="A519" t="str">
            <v>A</v>
          </cell>
          <cell r="F519" t="str">
            <v>8012</v>
          </cell>
          <cell r="G519" t="str">
            <v>A</v>
          </cell>
          <cell r="H519">
            <v>9</v>
          </cell>
          <cell r="I519" t="str">
            <v>Pool Contract</v>
          </cell>
          <cell r="J519" t="str">
            <v>Pool Contract</v>
          </cell>
          <cell r="K519">
            <v>0</v>
          </cell>
          <cell r="L519">
            <v>0</v>
          </cell>
          <cell r="M519">
            <v>0</v>
          </cell>
          <cell r="N519">
            <v>0</v>
          </cell>
          <cell r="O519">
            <v>0</v>
          </cell>
          <cell r="P519">
            <v>0</v>
          </cell>
          <cell r="Q519" t="str">
            <v/>
          </cell>
          <cell r="R519" t="str">
            <v/>
          </cell>
          <cell r="S519" t="str">
            <v/>
          </cell>
          <cell r="T519" t="str">
            <v/>
          </cell>
          <cell r="U519" t="str">
            <v/>
          </cell>
          <cell r="V519" t="str">
            <v/>
          </cell>
          <cell r="W519">
            <v>0</v>
          </cell>
          <cell r="X519">
            <v>0</v>
          </cell>
          <cell r="Y519" t="str">
            <v/>
          </cell>
          <cell r="Z519" t="str">
            <v>BUY</v>
          </cell>
          <cell r="AA519" t="str">
            <v/>
          </cell>
        </row>
        <row r="520">
          <cell r="A520" t="str">
            <v>A</v>
          </cell>
          <cell r="F520" t="str">
            <v>8015</v>
          </cell>
          <cell r="G520" t="str">
            <v>A</v>
          </cell>
          <cell r="H520">
            <v>9</v>
          </cell>
          <cell r="I520" t="str">
            <v>Pool Contract</v>
          </cell>
          <cell r="J520" t="str">
            <v>Pool Contract</v>
          </cell>
          <cell r="K520">
            <v>0</v>
          </cell>
          <cell r="L520">
            <v>0</v>
          </cell>
          <cell r="M520">
            <v>0</v>
          </cell>
          <cell r="N520">
            <v>0</v>
          </cell>
          <cell r="O520">
            <v>0</v>
          </cell>
          <cell r="P520">
            <v>0</v>
          </cell>
          <cell r="Q520" t="str">
            <v/>
          </cell>
          <cell r="R520" t="str">
            <v/>
          </cell>
          <cell r="S520" t="str">
            <v/>
          </cell>
          <cell r="T520" t="str">
            <v/>
          </cell>
          <cell r="U520" t="str">
            <v/>
          </cell>
          <cell r="V520" t="str">
            <v/>
          </cell>
          <cell r="W520">
            <v>0</v>
          </cell>
          <cell r="X520">
            <v>0</v>
          </cell>
          <cell r="Y520" t="str">
            <v/>
          </cell>
          <cell r="Z520" t="str">
            <v>BUY</v>
          </cell>
          <cell r="AA520" t="str">
            <v/>
          </cell>
        </row>
        <row r="521">
          <cell r="A521" t="str">
            <v>A</v>
          </cell>
          <cell r="F521" t="str">
            <v>8018</v>
          </cell>
          <cell r="G521" t="str">
            <v>A</v>
          </cell>
          <cell r="H521">
            <v>9</v>
          </cell>
          <cell r="I521" t="str">
            <v>Pool Management</v>
          </cell>
          <cell r="J521" t="str">
            <v>Pool Management</v>
          </cell>
          <cell r="K521">
            <v>0</v>
          </cell>
          <cell r="L521">
            <v>0</v>
          </cell>
          <cell r="M521">
            <v>0</v>
          </cell>
          <cell r="N521">
            <v>0</v>
          </cell>
          <cell r="O521">
            <v>0</v>
          </cell>
          <cell r="P521">
            <v>0</v>
          </cell>
          <cell r="Q521" t="str">
            <v/>
          </cell>
          <cell r="R521" t="str">
            <v/>
          </cell>
          <cell r="S521" t="str">
            <v/>
          </cell>
          <cell r="T521" t="str">
            <v/>
          </cell>
          <cell r="U521" t="str">
            <v/>
          </cell>
          <cell r="V521" t="str">
            <v/>
          </cell>
          <cell r="W521">
            <v>0</v>
          </cell>
          <cell r="X521">
            <v>0</v>
          </cell>
          <cell r="Y521" t="str">
            <v/>
          </cell>
          <cell r="Z521" t="str">
            <v>BUY</v>
          </cell>
          <cell r="AA521" t="str">
            <v/>
          </cell>
        </row>
        <row r="522">
          <cell r="A522" t="str">
            <v>A</v>
          </cell>
          <cell r="F522" t="str">
            <v>8020</v>
          </cell>
          <cell r="G522" t="str">
            <v>A</v>
          </cell>
          <cell r="H522">
            <v>9</v>
          </cell>
          <cell r="I522" t="str">
            <v>Pool Chemicals</v>
          </cell>
          <cell r="J522" t="str">
            <v>Pool Chemicals</v>
          </cell>
          <cell r="K522">
            <v>0</v>
          </cell>
          <cell r="L522">
            <v>0</v>
          </cell>
          <cell r="M522">
            <v>0</v>
          </cell>
          <cell r="N522">
            <v>0</v>
          </cell>
          <cell r="O522">
            <v>0</v>
          </cell>
          <cell r="P522">
            <v>0</v>
          </cell>
          <cell r="Q522" t="str">
            <v/>
          </cell>
          <cell r="R522" t="str">
            <v/>
          </cell>
          <cell r="S522" t="str">
            <v/>
          </cell>
          <cell r="T522" t="str">
            <v/>
          </cell>
          <cell r="U522" t="str">
            <v/>
          </cell>
          <cell r="V522" t="str">
            <v/>
          </cell>
          <cell r="W522">
            <v>0</v>
          </cell>
          <cell r="X522">
            <v>0</v>
          </cell>
          <cell r="Y522" t="str">
            <v/>
          </cell>
          <cell r="Z522" t="str">
            <v>BUY</v>
          </cell>
          <cell r="AA522" t="str">
            <v/>
          </cell>
        </row>
        <row r="523">
          <cell r="A523" t="str">
            <v>A</v>
          </cell>
          <cell r="F523" t="str">
            <v>8030</v>
          </cell>
          <cell r="G523" t="str">
            <v>A</v>
          </cell>
          <cell r="H523">
            <v>9</v>
          </cell>
          <cell r="I523" t="str">
            <v>Pool P/R, Taxes, Benefits</v>
          </cell>
          <cell r="J523" t="str">
            <v>Pool P/R, Taxes, Benefits</v>
          </cell>
          <cell r="K523">
            <v>0</v>
          </cell>
          <cell r="L523">
            <v>0</v>
          </cell>
          <cell r="M523">
            <v>0</v>
          </cell>
          <cell r="N523">
            <v>0</v>
          </cell>
          <cell r="O523">
            <v>0</v>
          </cell>
          <cell r="P523">
            <v>0</v>
          </cell>
          <cell r="Q523" t="str">
            <v/>
          </cell>
          <cell r="R523" t="str">
            <v/>
          </cell>
          <cell r="S523" t="str">
            <v/>
          </cell>
          <cell r="T523" t="str">
            <v/>
          </cell>
          <cell r="U523" t="str">
            <v/>
          </cell>
          <cell r="V523" t="str">
            <v/>
          </cell>
          <cell r="W523">
            <v>0</v>
          </cell>
          <cell r="X523">
            <v>0</v>
          </cell>
          <cell r="Y523" t="str">
            <v/>
          </cell>
          <cell r="Z523" t="str">
            <v>BUY</v>
          </cell>
          <cell r="AA523" t="str">
            <v/>
          </cell>
        </row>
        <row r="524">
          <cell r="A524" t="str">
            <v>A</v>
          </cell>
          <cell r="F524" t="str">
            <v>8031</v>
          </cell>
          <cell r="G524" t="str">
            <v>A</v>
          </cell>
          <cell r="H524">
            <v>9</v>
          </cell>
          <cell r="I524" t="str">
            <v>Pool Payroll Salaries</v>
          </cell>
          <cell r="J524" t="str">
            <v>Pool Payroll Salaries</v>
          </cell>
          <cell r="K524">
            <v>0</v>
          </cell>
          <cell r="L524">
            <v>0</v>
          </cell>
          <cell r="M524">
            <v>0</v>
          </cell>
          <cell r="N524">
            <v>0</v>
          </cell>
          <cell r="O524">
            <v>0</v>
          </cell>
          <cell r="P524">
            <v>0</v>
          </cell>
          <cell r="Q524" t="str">
            <v/>
          </cell>
          <cell r="R524" t="str">
            <v/>
          </cell>
          <cell r="S524" t="str">
            <v/>
          </cell>
          <cell r="T524" t="str">
            <v/>
          </cell>
          <cell r="U524" t="str">
            <v/>
          </cell>
          <cell r="V524" t="str">
            <v/>
          </cell>
          <cell r="W524">
            <v>0</v>
          </cell>
          <cell r="X524">
            <v>0</v>
          </cell>
          <cell r="Y524" t="str">
            <v/>
          </cell>
          <cell r="Z524" t="str">
            <v>BUY</v>
          </cell>
          <cell r="AA524" t="str">
            <v/>
          </cell>
        </row>
        <row r="525">
          <cell r="A525" t="str">
            <v>A</v>
          </cell>
          <cell r="F525" t="str">
            <v>8032</v>
          </cell>
          <cell r="G525" t="str">
            <v>A</v>
          </cell>
          <cell r="H525">
            <v>9</v>
          </cell>
          <cell r="I525" t="str">
            <v>Pool Payroll FICA Tax</v>
          </cell>
          <cell r="J525" t="str">
            <v>Pool Payroll FICA Tax</v>
          </cell>
          <cell r="K525">
            <v>0</v>
          </cell>
          <cell r="L525">
            <v>0</v>
          </cell>
          <cell r="M525">
            <v>0</v>
          </cell>
          <cell r="N525">
            <v>0</v>
          </cell>
          <cell r="O525">
            <v>0</v>
          </cell>
          <cell r="P525">
            <v>0</v>
          </cell>
          <cell r="Q525" t="str">
            <v/>
          </cell>
          <cell r="R525" t="str">
            <v/>
          </cell>
          <cell r="S525" t="str">
            <v/>
          </cell>
          <cell r="T525" t="str">
            <v/>
          </cell>
          <cell r="U525" t="str">
            <v/>
          </cell>
          <cell r="V525" t="str">
            <v/>
          </cell>
          <cell r="W525">
            <v>0</v>
          </cell>
          <cell r="X525">
            <v>0</v>
          </cell>
          <cell r="Y525" t="str">
            <v/>
          </cell>
          <cell r="Z525" t="str">
            <v>BUY</v>
          </cell>
          <cell r="AA525" t="str">
            <v/>
          </cell>
        </row>
        <row r="526">
          <cell r="A526" t="str">
            <v>A</v>
          </cell>
          <cell r="F526" t="str">
            <v>8033</v>
          </cell>
          <cell r="G526" t="str">
            <v>A</v>
          </cell>
          <cell r="H526">
            <v>9</v>
          </cell>
          <cell r="I526" t="str">
            <v>Pool Payroll FUTA Tax</v>
          </cell>
          <cell r="J526" t="str">
            <v>Pool Payroll FUTA Tax</v>
          </cell>
          <cell r="K526">
            <v>0</v>
          </cell>
          <cell r="L526">
            <v>0</v>
          </cell>
          <cell r="M526">
            <v>0</v>
          </cell>
          <cell r="N526">
            <v>0</v>
          </cell>
          <cell r="O526">
            <v>0</v>
          </cell>
          <cell r="P526">
            <v>0</v>
          </cell>
          <cell r="Q526" t="str">
            <v/>
          </cell>
          <cell r="R526" t="str">
            <v/>
          </cell>
          <cell r="S526" t="str">
            <v/>
          </cell>
          <cell r="T526" t="str">
            <v/>
          </cell>
          <cell r="U526" t="str">
            <v/>
          </cell>
          <cell r="V526" t="str">
            <v/>
          </cell>
          <cell r="W526">
            <v>0</v>
          </cell>
          <cell r="X526">
            <v>0</v>
          </cell>
          <cell r="Y526" t="str">
            <v/>
          </cell>
          <cell r="Z526" t="str">
            <v>BUY</v>
          </cell>
          <cell r="AA526" t="str">
            <v/>
          </cell>
        </row>
        <row r="527">
          <cell r="A527" t="str">
            <v>A</v>
          </cell>
          <cell r="F527" t="str">
            <v>8034</v>
          </cell>
          <cell r="G527" t="str">
            <v>A</v>
          </cell>
          <cell r="H527">
            <v>9</v>
          </cell>
          <cell r="I527" t="str">
            <v>Pool Paryoll SUTA Tax</v>
          </cell>
          <cell r="J527" t="str">
            <v>Pool Paryoll SUTA Tax</v>
          </cell>
          <cell r="K527">
            <v>0</v>
          </cell>
          <cell r="L527">
            <v>0</v>
          </cell>
          <cell r="M527">
            <v>0</v>
          </cell>
          <cell r="N527">
            <v>0</v>
          </cell>
          <cell r="O527">
            <v>0</v>
          </cell>
          <cell r="P527">
            <v>0</v>
          </cell>
          <cell r="Q527" t="str">
            <v/>
          </cell>
          <cell r="R527" t="str">
            <v/>
          </cell>
          <cell r="S527" t="str">
            <v/>
          </cell>
          <cell r="T527" t="str">
            <v/>
          </cell>
          <cell r="U527" t="str">
            <v/>
          </cell>
          <cell r="V527" t="str">
            <v/>
          </cell>
          <cell r="W527">
            <v>0</v>
          </cell>
          <cell r="X527">
            <v>0</v>
          </cell>
          <cell r="Y527" t="str">
            <v/>
          </cell>
          <cell r="Z527" t="str">
            <v>BUY</v>
          </cell>
          <cell r="AA527" t="str">
            <v/>
          </cell>
        </row>
        <row r="528">
          <cell r="A528" t="str">
            <v>A</v>
          </cell>
          <cell r="F528" t="str">
            <v>8035</v>
          </cell>
          <cell r="G528" t="str">
            <v>A</v>
          </cell>
          <cell r="H528">
            <v>9</v>
          </cell>
          <cell r="I528" t="str">
            <v>Pool Workers Compensation</v>
          </cell>
          <cell r="J528" t="str">
            <v>Pool Workers Compensation</v>
          </cell>
          <cell r="K528">
            <v>0</v>
          </cell>
          <cell r="L528">
            <v>0</v>
          </cell>
          <cell r="M528">
            <v>0</v>
          </cell>
          <cell r="N528">
            <v>0</v>
          </cell>
          <cell r="O528">
            <v>0</v>
          </cell>
          <cell r="P528">
            <v>0</v>
          </cell>
          <cell r="Q528" t="str">
            <v/>
          </cell>
          <cell r="R528" t="str">
            <v/>
          </cell>
          <cell r="S528" t="str">
            <v/>
          </cell>
          <cell r="T528" t="str">
            <v/>
          </cell>
          <cell r="U528" t="str">
            <v/>
          </cell>
          <cell r="V528" t="str">
            <v/>
          </cell>
          <cell r="W528">
            <v>0</v>
          </cell>
          <cell r="X528">
            <v>0</v>
          </cell>
          <cell r="Y528" t="str">
            <v/>
          </cell>
          <cell r="Z528" t="str">
            <v>BUY</v>
          </cell>
          <cell r="AA528" t="str">
            <v/>
          </cell>
        </row>
        <row r="529">
          <cell r="A529" t="str">
            <v>A</v>
          </cell>
          <cell r="F529" t="str">
            <v>8036</v>
          </cell>
          <cell r="G529" t="str">
            <v>A</v>
          </cell>
          <cell r="H529">
            <v>9</v>
          </cell>
          <cell r="I529" t="str">
            <v>Medical &amp; Life Insurance</v>
          </cell>
          <cell r="J529" t="str">
            <v>Medical &amp; Life Insurance</v>
          </cell>
          <cell r="K529">
            <v>0</v>
          </cell>
          <cell r="L529">
            <v>0</v>
          </cell>
          <cell r="M529">
            <v>0</v>
          </cell>
          <cell r="N529">
            <v>0</v>
          </cell>
          <cell r="O529">
            <v>0</v>
          </cell>
          <cell r="P529">
            <v>0</v>
          </cell>
          <cell r="Q529" t="str">
            <v/>
          </cell>
          <cell r="R529" t="str">
            <v/>
          </cell>
          <cell r="S529" t="str">
            <v/>
          </cell>
          <cell r="T529" t="str">
            <v/>
          </cell>
          <cell r="U529" t="str">
            <v/>
          </cell>
          <cell r="V529" t="str">
            <v/>
          </cell>
          <cell r="W529">
            <v>0</v>
          </cell>
          <cell r="X529">
            <v>0</v>
          </cell>
          <cell r="Y529" t="str">
            <v/>
          </cell>
          <cell r="Z529" t="str">
            <v>BUY</v>
          </cell>
          <cell r="AA529" t="str">
            <v/>
          </cell>
        </row>
        <row r="530">
          <cell r="A530" t="str">
            <v>A</v>
          </cell>
          <cell r="F530" t="str">
            <v>8036-5</v>
          </cell>
          <cell r="G530" t="str">
            <v>A</v>
          </cell>
          <cell r="H530">
            <v>9</v>
          </cell>
          <cell r="I530" t="str">
            <v>Med/Life Insurance Reimbursement</v>
          </cell>
          <cell r="J530" t="str">
            <v>Med/Life Insurance Reimbursement</v>
          </cell>
          <cell r="K530">
            <v>0</v>
          </cell>
          <cell r="L530">
            <v>0</v>
          </cell>
          <cell r="M530">
            <v>0</v>
          </cell>
          <cell r="N530">
            <v>0</v>
          </cell>
          <cell r="O530">
            <v>0</v>
          </cell>
          <cell r="P530">
            <v>0</v>
          </cell>
          <cell r="Q530" t="str">
            <v/>
          </cell>
          <cell r="R530" t="str">
            <v/>
          </cell>
          <cell r="S530" t="str">
            <v/>
          </cell>
          <cell r="T530" t="str">
            <v/>
          </cell>
          <cell r="U530" t="str">
            <v/>
          </cell>
          <cell r="V530" t="str">
            <v/>
          </cell>
          <cell r="W530">
            <v>0</v>
          </cell>
          <cell r="X530">
            <v>0</v>
          </cell>
          <cell r="Y530" t="str">
            <v/>
          </cell>
          <cell r="Z530" t="str">
            <v>BUY</v>
          </cell>
          <cell r="AA530" t="str">
            <v/>
          </cell>
        </row>
        <row r="531">
          <cell r="A531" t="str">
            <v>A</v>
          </cell>
          <cell r="F531" t="str">
            <v>8038</v>
          </cell>
          <cell r="G531" t="str">
            <v>A</v>
          </cell>
          <cell r="H531">
            <v>9</v>
          </cell>
          <cell r="I531" t="str">
            <v>Misc Pool Payroll Benefits</v>
          </cell>
          <cell r="J531" t="str">
            <v>Misc Pool Payroll Benefits</v>
          </cell>
          <cell r="K531">
            <v>0</v>
          </cell>
          <cell r="L531">
            <v>0</v>
          </cell>
          <cell r="M531">
            <v>0</v>
          </cell>
          <cell r="N531">
            <v>0</v>
          </cell>
          <cell r="O531">
            <v>0</v>
          </cell>
          <cell r="P531">
            <v>0</v>
          </cell>
          <cell r="Q531" t="str">
            <v/>
          </cell>
          <cell r="R531" t="str">
            <v/>
          </cell>
          <cell r="S531" t="str">
            <v/>
          </cell>
          <cell r="T531" t="str">
            <v/>
          </cell>
          <cell r="U531" t="str">
            <v/>
          </cell>
          <cell r="V531" t="str">
            <v/>
          </cell>
          <cell r="W531">
            <v>0</v>
          </cell>
          <cell r="X531">
            <v>0</v>
          </cell>
          <cell r="Y531" t="str">
            <v/>
          </cell>
          <cell r="Z531" t="str">
            <v>BUY</v>
          </cell>
          <cell r="AA531" t="str">
            <v/>
          </cell>
        </row>
        <row r="532">
          <cell r="A532" t="str">
            <v>A</v>
          </cell>
          <cell r="F532" t="str">
            <v>8040</v>
          </cell>
          <cell r="G532" t="str">
            <v>A</v>
          </cell>
          <cell r="H532">
            <v>9</v>
          </cell>
          <cell r="I532" t="str">
            <v>Pool Utilities</v>
          </cell>
          <cell r="J532" t="str">
            <v>Pool Utilities</v>
          </cell>
          <cell r="K532">
            <v>0</v>
          </cell>
          <cell r="L532">
            <v>0</v>
          </cell>
          <cell r="M532">
            <v>0</v>
          </cell>
          <cell r="N532">
            <v>0</v>
          </cell>
          <cell r="O532">
            <v>0</v>
          </cell>
          <cell r="P532">
            <v>0</v>
          </cell>
          <cell r="Q532" t="str">
            <v/>
          </cell>
          <cell r="R532" t="str">
            <v/>
          </cell>
          <cell r="S532" t="str">
            <v/>
          </cell>
          <cell r="T532" t="str">
            <v/>
          </cell>
          <cell r="U532" t="str">
            <v/>
          </cell>
          <cell r="V532" t="str">
            <v/>
          </cell>
          <cell r="W532">
            <v>0</v>
          </cell>
          <cell r="X532">
            <v>0</v>
          </cell>
          <cell r="Y532" t="str">
            <v/>
          </cell>
          <cell r="Z532" t="str">
            <v>BUY</v>
          </cell>
          <cell r="AA532" t="str">
            <v/>
          </cell>
        </row>
        <row r="533">
          <cell r="A533" t="str">
            <v>A</v>
          </cell>
          <cell r="F533" t="str">
            <v>8041</v>
          </cell>
          <cell r="G533" t="str">
            <v>A</v>
          </cell>
          <cell r="H533">
            <v>9</v>
          </cell>
          <cell r="I533" t="str">
            <v>Pool Phone &amp; Pagers</v>
          </cell>
          <cell r="J533" t="str">
            <v>Pool Phone &amp; Pagers</v>
          </cell>
          <cell r="K533">
            <v>0</v>
          </cell>
          <cell r="L533">
            <v>0</v>
          </cell>
          <cell r="M533">
            <v>0</v>
          </cell>
          <cell r="N533">
            <v>0</v>
          </cell>
          <cell r="O533">
            <v>0</v>
          </cell>
          <cell r="P533">
            <v>0</v>
          </cell>
          <cell r="Q533" t="str">
            <v/>
          </cell>
          <cell r="R533" t="str">
            <v/>
          </cell>
          <cell r="S533" t="str">
            <v/>
          </cell>
          <cell r="T533" t="str">
            <v/>
          </cell>
          <cell r="U533" t="str">
            <v/>
          </cell>
          <cell r="V533" t="str">
            <v/>
          </cell>
          <cell r="W533">
            <v>0</v>
          </cell>
          <cell r="X533">
            <v>0</v>
          </cell>
          <cell r="Y533" t="str">
            <v/>
          </cell>
          <cell r="Z533" t="str">
            <v>BUY</v>
          </cell>
          <cell r="AA533" t="str">
            <v/>
          </cell>
        </row>
        <row r="534">
          <cell r="A534" t="str">
            <v>A</v>
          </cell>
          <cell r="F534" t="str">
            <v>8050</v>
          </cell>
          <cell r="G534" t="str">
            <v>A</v>
          </cell>
          <cell r="H534">
            <v>9</v>
          </cell>
          <cell r="I534" t="str">
            <v>Pool Repair/Maint.</v>
          </cell>
          <cell r="J534" t="str">
            <v>Pool Repairs &amp; Supplies</v>
          </cell>
          <cell r="K534">
            <v>0</v>
          </cell>
          <cell r="L534">
            <v>0</v>
          </cell>
          <cell r="M534">
            <v>2000</v>
          </cell>
          <cell r="N534">
            <v>1192</v>
          </cell>
          <cell r="O534">
            <v>1000</v>
          </cell>
          <cell r="P534">
            <v>-1000</v>
          </cell>
          <cell r="Q534">
            <v>-0.5</v>
          </cell>
          <cell r="R534" t="str">
            <v>GL 7202 Includes minor pool repairs and tile replacement. Have drain replacement, tile replacement, and pipe replacement to complete. Decide here or reserve expense. Budget $1000 for unexpected repairs in 2010.</v>
          </cell>
          <cell r="S534" t="str">
            <v/>
          </cell>
          <cell r="T534" t="str">
            <v/>
          </cell>
          <cell r="U534" t="str">
            <v/>
          </cell>
          <cell r="V534" t="str">
            <v/>
          </cell>
          <cell r="W534">
            <v>4192</v>
          </cell>
          <cell r="X534">
            <v>0</v>
          </cell>
          <cell r="Y534" t="str">
            <v>A</v>
          </cell>
          <cell r="Z534" t="str">
            <v>BUY</v>
          </cell>
          <cell r="AA534" t="str">
            <v/>
          </cell>
        </row>
        <row r="535">
          <cell r="A535" t="str">
            <v>A</v>
          </cell>
          <cell r="F535" t="str">
            <v>8060</v>
          </cell>
          <cell r="G535" t="str">
            <v>A</v>
          </cell>
          <cell r="H535">
            <v>9</v>
          </cell>
          <cell r="I535" t="str">
            <v>Pool House Cleaning</v>
          </cell>
          <cell r="J535" t="str">
            <v>Pool House Cleaning</v>
          </cell>
          <cell r="K535">
            <v>0</v>
          </cell>
          <cell r="L535">
            <v>0</v>
          </cell>
          <cell r="M535">
            <v>0</v>
          </cell>
          <cell r="N535">
            <v>0</v>
          </cell>
          <cell r="O535">
            <v>0</v>
          </cell>
          <cell r="P535">
            <v>0</v>
          </cell>
          <cell r="Q535" t="str">
            <v/>
          </cell>
          <cell r="R535" t="str">
            <v/>
          </cell>
          <cell r="S535" t="str">
            <v/>
          </cell>
          <cell r="T535" t="str">
            <v/>
          </cell>
          <cell r="U535" t="str">
            <v/>
          </cell>
          <cell r="V535" t="str">
            <v/>
          </cell>
          <cell r="W535">
            <v>0</v>
          </cell>
          <cell r="X535">
            <v>0</v>
          </cell>
          <cell r="Y535" t="str">
            <v/>
          </cell>
          <cell r="Z535" t="str">
            <v>BUY</v>
          </cell>
          <cell r="AA535" t="str">
            <v/>
          </cell>
        </row>
        <row r="536">
          <cell r="A536" t="str">
            <v>A</v>
          </cell>
          <cell r="F536" t="str">
            <v>8070</v>
          </cell>
          <cell r="G536" t="str">
            <v>A</v>
          </cell>
          <cell r="H536">
            <v>9</v>
          </cell>
          <cell r="I536" t="str">
            <v>Pool Decorating &amp; Furniture</v>
          </cell>
          <cell r="J536" t="str">
            <v>Pool Decorating &amp; Furniture</v>
          </cell>
          <cell r="K536">
            <v>0</v>
          </cell>
          <cell r="L536">
            <v>0</v>
          </cell>
          <cell r="M536">
            <v>500</v>
          </cell>
          <cell r="N536">
            <v>394</v>
          </cell>
          <cell r="O536">
            <v>0</v>
          </cell>
          <cell r="P536">
            <v>-500</v>
          </cell>
          <cell r="Q536">
            <v>-1</v>
          </cell>
          <cell r="R536" t="str">
            <v>New pool furniture is needed as well as lounge chairs for outside-Budgeted as capital expense</v>
          </cell>
          <cell r="S536" t="str">
            <v/>
          </cell>
          <cell r="T536" t="str">
            <v/>
          </cell>
          <cell r="U536" t="str">
            <v/>
          </cell>
          <cell r="V536" t="str">
            <v/>
          </cell>
          <cell r="W536">
            <v>894</v>
          </cell>
          <cell r="X536">
            <v>0</v>
          </cell>
          <cell r="Y536" t="str">
            <v>A</v>
          </cell>
          <cell r="Z536" t="str">
            <v>BUY</v>
          </cell>
          <cell r="AA536" t="str">
            <v/>
          </cell>
        </row>
        <row r="537">
          <cell r="A537" t="str">
            <v>A</v>
          </cell>
          <cell r="F537" t="str">
            <v>8080</v>
          </cell>
          <cell r="G537" t="str">
            <v>A</v>
          </cell>
          <cell r="H537">
            <v>9</v>
          </cell>
          <cell r="I537" t="str">
            <v>Spas &amp; Saunas</v>
          </cell>
          <cell r="J537" t="str">
            <v>Spas &amp; Saunas</v>
          </cell>
          <cell r="K537">
            <v>0</v>
          </cell>
          <cell r="L537">
            <v>0</v>
          </cell>
          <cell r="M537">
            <v>0</v>
          </cell>
          <cell r="N537">
            <v>0</v>
          </cell>
          <cell r="O537">
            <v>0</v>
          </cell>
          <cell r="P537">
            <v>0</v>
          </cell>
          <cell r="Q537" t="str">
            <v/>
          </cell>
          <cell r="R537" t="str">
            <v/>
          </cell>
          <cell r="S537" t="str">
            <v/>
          </cell>
          <cell r="T537" t="str">
            <v/>
          </cell>
          <cell r="U537" t="str">
            <v/>
          </cell>
          <cell r="V537" t="str">
            <v/>
          </cell>
          <cell r="W537">
            <v>0</v>
          </cell>
          <cell r="X537">
            <v>0</v>
          </cell>
          <cell r="Y537" t="str">
            <v/>
          </cell>
          <cell r="Z537" t="str">
            <v>BUY</v>
          </cell>
          <cell r="AA537" t="str">
            <v/>
          </cell>
        </row>
        <row r="538">
          <cell r="A538" t="str">
            <v>A</v>
          </cell>
          <cell r="F538" t="str">
            <v>8095</v>
          </cell>
          <cell r="G538" t="str">
            <v>A</v>
          </cell>
          <cell r="H538">
            <v>9</v>
          </cell>
          <cell r="I538" t="str">
            <v>Other Pool Expenses</v>
          </cell>
          <cell r="J538" t="str">
            <v>Other Pool Expenses</v>
          </cell>
          <cell r="K538">
            <v>0</v>
          </cell>
          <cell r="L538">
            <v>0</v>
          </cell>
          <cell r="M538">
            <v>0</v>
          </cell>
          <cell r="N538">
            <v>0</v>
          </cell>
          <cell r="O538">
            <v>0</v>
          </cell>
          <cell r="P538">
            <v>0</v>
          </cell>
          <cell r="Q538" t="str">
            <v/>
          </cell>
          <cell r="R538" t="str">
            <v/>
          </cell>
          <cell r="S538" t="str">
            <v/>
          </cell>
          <cell r="T538" t="str">
            <v/>
          </cell>
          <cell r="U538" t="str">
            <v/>
          </cell>
          <cell r="V538" t="str">
            <v/>
          </cell>
          <cell r="W538">
            <v>0</v>
          </cell>
          <cell r="X538">
            <v>0</v>
          </cell>
          <cell r="Y538" t="str">
            <v/>
          </cell>
          <cell r="Z538" t="str">
            <v>BUY</v>
          </cell>
          <cell r="AA538" t="str">
            <v/>
          </cell>
        </row>
        <row r="539">
          <cell r="A539" t="str">
            <v>A</v>
          </cell>
          <cell r="F539" t="str">
            <v>8105</v>
          </cell>
          <cell r="G539" t="str">
            <v>A</v>
          </cell>
          <cell r="H539">
            <v>10</v>
          </cell>
          <cell r="I539" t="str">
            <v>All Clubhouse/Recreation Expense</v>
          </cell>
          <cell r="J539" t="str">
            <v>All Clubhouse/Recreation Expense</v>
          </cell>
          <cell r="K539">
            <v>0</v>
          </cell>
          <cell r="L539">
            <v>0</v>
          </cell>
          <cell r="M539">
            <v>0</v>
          </cell>
          <cell r="N539">
            <v>0</v>
          </cell>
          <cell r="O539">
            <v>0</v>
          </cell>
          <cell r="P539">
            <v>0</v>
          </cell>
          <cell r="Q539" t="str">
            <v/>
          </cell>
          <cell r="R539" t="str">
            <v/>
          </cell>
          <cell r="S539" t="str">
            <v/>
          </cell>
          <cell r="T539" t="str">
            <v/>
          </cell>
          <cell r="U539" t="str">
            <v/>
          </cell>
          <cell r="V539" t="str">
            <v/>
          </cell>
          <cell r="W539">
            <v>0</v>
          </cell>
          <cell r="X539">
            <v>0</v>
          </cell>
          <cell r="Y539" t="str">
            <v/>
          </cell>
          <cell r="Z539" t="str">
            <v>BUY</v>
          </cell>
          <cell r="AA539" t="str">
            <v/>
          </cell>
        </row>
        <row r="540">
          <cell r="A540" t="str">
            <v>A</v>
          </cell>
          <cell r="F540" t="str">
            <v>8105-5</v>
          </cell>
          <cell r="G540" t="str">
            <v>A</v>
          </cell>
          <cell r="H540">
            <v>10</v>
          </cell>
          <cell r="I540" t="str">
            <v>Clubhouse/Meeting Room Income</v>
          </cell>
          <cell r="J540" t="str">
            <v>Clubhouse/Meeting Room Income</v>
          </cell>
          <cell r="K540">
            <v>0</v>
          </cell>
          <cell r="L540">
            <v>0</v>
          </cell>
          <cell r="M540">
            <v>0</v>
          </cell>
          <cell r="N540">
            <v>0</v>
          </cell>
          <cell r="O540">
            <v>0</v>
          </cell>
          <cell r="P540">
            <v>0</v>
          </cell>
          <cell r="Q540" t="str">
            <v/>
          </cell>
          <cell r="R540" t="str">
            <v/>
          </cell>
          <cell r="S540" t="str">
            <v/>
          </cell>
          <cell r="T540" t="str">
            <v/>
          </cell>
          <cell r="U540" t="str">
            <v/>
          </cell>
          <cell r="V540" t="str">
            <v/>
          </cell>
          <cell r="W540">
            <v>0</v>
          </cell>
          <cell r="X540">
            <v>0</v>
          </cell>
          <cell r="Y540" t="str">
            <v/>
          </cell>
          <cell r="Z540" t="str">
            <v>BUY</v>
          </cell>
          <cell r="AA540" t="str">
            <v/>
          </cell>
        </row>
        <row r="541">
          <cell r="A541" t="str">
            <v>A</v>
          </cell>
          <cell r="F541" t="str">
            <v>8110</v>
          </cell>
          <cell r="G541" t="str">
            <v>A</v>
          </cell>
          <cell r="H541">
            <v>10</v>
          </cell>
          <cell r="I541" t="str">
            <v>Clubhouse/Recreation Cleaning</v>
          </cell>
          <cell r="J541" t="str">
            <v>Clubhouse/Recreation Cleaning</v>
          </cell>
          <cell r="K541">
            <v>0</v>
          </cell>
          <cell r="L541">
            <v>0</v>
          </cell>
          <cell r="M541">
            <v>0</v>
          </cell>
          <cell r="N541">
            <v>0</v>
          </cell>
          <cell r="O541">
            <v>0</v>
          </cell>
          <cell r="P541">
            <v>0</v>
          </cell>
          <cell r="Q541" t="str">
            <v/>
          </cell>
          <cell r="R541" t="str">
            <v/>
          </cell>
          <cell r="S541" t="str">
            <v/>
          </cell>
          <cell r="T541" t="str">
            <v/>
          </cell>
          <cell r="U541" t="str">
            <v/>
          </cell>
          <cell r="V541" t="str">
            <v/>
          </cell>
          <cell r="W541">
            <v>0</v>
          </cell>
          <cell r="X541">
            <v>0</v>
          </cell>
          <cell r="Y541" t="str">
            <v/>
          </cell>
          <cell r="Z541" t="str">
            <v>BUY</v>
          </cell>
          <cell r="AA541" t="str">
            <v/>
          </cell>
        </row>
        <row r="542">
          <cell r="A542" t="str">
            <v>A</v>
          </cell>
          <cell r="F542" t="str">
            <v>8111</v>
          </cell>
          <cell r="G542" t="str">
            <v>A</v>
          </cell>
          <cell r="H542">
            <v>10</v>
          </cell>
          <cell r="I542" t="str">
            <v>Clubhouse/Recreation Repair/Mainten</v>
          </cell>
          <cell r="J542" t="str">
            <v>Clubhouse/Recreation Repair/Mainten</v>
          </cell>
          <cell r="K542">
            <v>0</v>
          </cell>
          <cell r="L542">
            <v>0</v>
          </cell>
          <cell r="M542">
            <v>0</v>
          </cell>
          <cell r="N542">
            <v>0</v>
          </cell>
          <cell r="O542">
            <v>0</v>
          </cell>
          <cell r="P542">
            <v>0</v>
          </cell>
          <cell r="Q542" t="str">
            <v/>
          </cell>
          <cell r="R542" t="str">
            <v/>
          </cell>
          <cell r="S542" t="str">
            <v/>
          </cell>
          <cell r="T542" t="str">
            <v/>
          </cell>
          <cell r="U542" t="str">
            <v/>
          </cell>
          <cell r="V542" t="str">
            <v/>
          </cell>
          <cell r="W542">
            <v>0</v>
          </cell>
          <cell r="X542">
            <v>0</v>
          </cell>
          <cell r="Y542" t="str">
            <v/>
          </cell>
          <cell r="Z542" t="str">
            <v>BUY</v>
          </cell>
          <cell r="AA542" t="str">
            <v/>
          </cell>
        </row>
        <row r="543">
          <cell r="A543" t="str">
            <v>A</v>
          </cell>
          <cell r="F543" t="str">
            <v>8112</v>
          </cell>
          <cell r="G543" t="str">
            <v>A</v>
          </cell>
          <cell r="H543">
            <v>10</v>
          </cell>
          <cell r="I543" t="str">
            <v>Clubhouse/Recreation Utilities</v>
          </cell>
          <cell r="J543" t="str">
            <v>Clubhouse/Recreation Utilities</v>
          </cell>
          <cell r="K543">
            <v>0</v>
          </cell>
          <cell r="L543">
            <v>0</v>
          </cell>
          <cell r="M543">
            <v>0</v>
          </cell>
          <cell r="N543">
            <v>0</v>
          </cell>
          <cell r="O543">
            <v>0</v>
          </cell>
          <cell r="P543">
            <v>0</v>
          </cell>
          <cell r="Q543" t="str">
            <v/>
          </cell>
          <cell r="R543" t="str">
            <v/>
          </cell>
          <cell r="S543" t="str">
            <v/>
          </cell>
          <cell r="T543" t="str">
            <v/>
          </cell>
          <cell r="U543" t="str">
            <v/>
          </cell>
          <cell r="V543" t="str">
            <v/>
          </cell>
          <cell r="W543">
            <v>0</v>
          </cell>
          <cell r="X543">
            <v>0</v>
          </cell>
          <cell r="Y543" t="str">
            <v/>
          </cell>
          <cell r="Z543" t="str">
            <v>BUY</v>
          </cell>
          <cell r="AA543" t="str">
            <v/>
          </cell>
        </row>
        <row r="544">
          <cell r="A544" t="str">
            <v>A</v>
          </cell>
          <cell r="F544" t="str">
            <v>8113</v>
          </cell>
          <cell r="G544" t="str">
            <v>A</v>
          </cell>
          <cell r="H544">
            <v>10</v>
          </cell>
          <cell r="I544" t="str">
            <v>Clubhouse/Recreation Phone/Pager</v>
          </cell>
          <cell r="J544" t="str">
            <v>Clubhouse/Recreation Phone/Pager</v>
          </cell>
          <cell r="K544">
            <v>0</v>
          </cell>
          <cell r="L544">
            <v>0</v>
          </cell>
          <cell r="M544">
            <v>0</v>
          </cell>
          <cell r="N544">
            <v>0</v>
          </cell>
          <cell r="O544">
            <v>0</v>
          </cell>
          <cell r="P544">
            <v>0</v>
          </cell>
          <cell r="Q544" t="str">
            <v/>
          </cell>
          <cell r="R544" t="str">
            <v/>
          </cell>
          <cell r="S544" t="str">
            <v/>
          </cell>
          <cell r="T544" t="str">
            <v/>
          </cell>
          <cell r="U544" t="str">
            <v/>
          </cell>
          <cell r="V544" t="str">
            <v/>
          </cell>
          <cell r="W544">
            <v>0</v>
          </cell>
          <cell r="X544">
            <v>0</v>
          </cell>
          <cell r="Y544" t="str">
            <v/>
          </cell>
          <cell r="Z544" t="str">
            <v>BUY</v>
          </cell>
          <cell r="AA544" t="str">
            <v/>
          </cell>
        </row>
        <row r="545">
          <cell r="A545" t="str">
            <v>A</v>
          </cell>
          <cell r="F545" t="str">
            <v>8114</v>
          </cell>
          <cell r="G545" t="str">
            <v>A</v>
          </cell>
          <cell r="H545">
            <v>10</v>
          </cell>
          <cell r="I545" t="str">
            <v>Clubhouse/Recreation Supplies</v>
          </cell>
          <cell r="J545" t="str">
            <v>Clubhouse/Recreation Supplies</v>
          </cell>
          <cell r="K545">
            <v>0</v>
          </cell>
          <cell r="L545">
            <v>0</v>
          </cell>
          <cell r="M545">
            <v>0</v>
          </cell>
          <cell r="N545">
            <v>0</v>
          </cell>
          <cell r="O545">
            <v>0</v>
          </cell>
          <cell r="P545">
            <v>0</v>
          </cell>
          <cell r="Q545" t="str">
            <v/>
          </cell>
          <cell r="R545" t="str">
            <v/>
          </cell>
          <cell r="S545" t="str">
            <v/>
          </cell>
          <cell r="T545" t="str">
            <v/>
          </cell>
          <cell r="U545" t="str">
            <v/>
          </cell>
          <cell r="V545" t="str">
            <v/>
          </cell>
          <cell r="W545">
            <v>0</v>
          </cell>
          <cell r="X545">
            <v>0</v>
          </cell>
          <cell r="Y545" t="str">
            <v/>
          </cell>
          <cell r="Z545" t="str">
            <v>BUY</v>
          </cell>
          <cell r="AA545" t="str">
            <v/>
          </cell>
        </row>
        <row r="546">
          <cell r="A546" t="str">
            <v>A</v>
          </cell>
          <cell r="F546" t="str">
            <v>8114-3</v>
          </cell>
          <cell r="G546" t="str">
            <v>A</v>
          </cell>
          <cell r="H546">
            <v>10</v>
          </cell>
          <cell r="I546" t="str">
            <v>Clubhse/Rec Supplie</v>
          </cell>
          <cell r="J546" t="str">
            <v>Clubhse/Rec Supplie</v>
          </cell>
          <cell r="K546">
            <v>0</v>
          </cell>
          <cell r="L546">
            <v>0</v>
          </cell>
          <cell r="M546">
            <v>0</v>
          </cell>
          <cell r="N546">
            <v>0</v>
          </cell>
          <cell r="O546">
            <v>0</v>
          </cell>
          <cell r="P546">
            <v>0</v>
          </cell>
          <cell r="Q546" t="str">
            <v/>
          </cell>
          <cell r="R546" t="str">
            <v/>
          </cell>
          <cell r="S546" t="str">
            <v/>
          </cell>
          <cell r="T546" t="str">
            <v/>
          </cell>
          <cell r="U546" t="str">
            <v/>
          </cell>
          <cell r="V546" t="str">
            <v/>
          </cell>
          <cell r="W546">
            <v>0</v>
          </cell>
          <cell r="X546">
            <v>0</v>
          </cell>
          <cell r="Y546" t="str">
            <v/>
          </cell>
          <cell r="Z546" t="str">
            <v>BUY</v>
          </cell>
          <cell r="AA546" t="str">
            <v/>
          </cell>
        </row>
        <row r="547">
          <cell r="A547" t="str">
            <v>A</v>
          </cell>
          <cell r="F547" t="str">
            <v>8115</v>
          </cell>
          <cell r="G547" t="str">
            <v>A</v>
          </cell>
          <cell r="H547">
            <v>10</v>
          </cell>
          <cell r="I547" t="str">
            <v>Clubhse/Recreation Decor/Furniture</v>
          </cell>
          <cell r="J547" t="str">
            <v>Clubhse/Recreation Decor/Furniture</v>
          </cell>
          <cell r="K547">
            <v>0</v>
          </cell>
          <cell r="L547">
            <v>0</v>
          </cell>
          <cell r="M547">
            <v>0</v>
          </cell>
          <cell r="N547">
            <v>0</v>
          </cell>
          <cell r="O547">
            <v>0</v>
          </cell>
          <cell r="P547">
            <v>0</v>
          </cell>
          <cell r="Q547" t="str">
            <v/>
          </cell>
          <cell r="R547" t="str">
            <v/>
          </cell>
          <cell r="S547" t="str">
            <v/>
          </cell>
          <cell r="T547" t="str">
            <v/>
          </cell>
          <cell r="U547" t="str">
            <v/>
          </cell>
          <cell r="V547" t="str">
            <v/>
          </cell>
          <cell r="W547">
            <v>0</v>
          </cell>
          <cell r="X547">
            <v>0</v>
          </cell>
          <cell r="Y547" t="str">
            <v/>
          </cell>
          <cell r="Z547" t="str">
            <v>BUY</v>
          </cell>
          <cell r="AA547" t="str">
            <v/>
          </cell>
        </row>
        <row r="548">
          <cell r="A548" t="str">
            <v>A</v>
          </cell>
          <cell r="F548" t="str">
            <v>8115-1</v>
          </cell>
          <cell r="G548" t="str">
            <v>A</v>
          </cell>
          <cell r="H548">
            <v>10</v>
          </cell>
          <cell r="I548" t="str">
            <v>Clubhse/Recreation Decor/Furniture</v>
          </cell>
          <cell r="J548" t="str">
            <v>Clubhse/Recreation Decor/Furniture</v>
          </cell>
          <cell r="K548">
            <v>0</v>
          </cell>
          <cell r="L548">
            <v>0</v>
          </cell>
          <cell r="M548">
            <v>0</v>
          </cell>
          <cell r="N548">
            <v>0</v>
          </cell>
          <cell r="O548">
            <v>0</v>
          </cell>
          <cell r="P548">
            <v>0</v>
          </cell>
          <cell r="Q548" t="str">
            <v/>
          </cell>
          <cell r="R548" t="str">
            <v/>
          </cell>
          <cell r="S548" t="str">
            <v/>
          </cell>
          <cell r="T548" t="str">
            <v/>
          </cell>
          <cell r="U548" t="str">
            <v/>
          </cell>
          <cell r="V548" t="str">
            <v/>
          </cell>
          <cell r="W548">
            <v>0</v>
          </cell>
          <cell r="X548">
            <v>0</v>
          </cell>
          <cell r="Y548" t="str">
            <v/>
          </cell>
          <cell r="Z548" t="str">
            <v>BUY</v>
          </cell>
          <cell r="AA548" t="str">
            <v/>
          </cell>
        </row>
        <row r="549">
          <cell r="A549" t="str">
            <v>A</v>
          </cell>
          <cell r="F549" t="str">
            <v>8115-2</v>
          </cell>
          <cell r="G549" t="str">
            <v>A</v>
          </cell>
          <cell r="H549">
            <v>10</v>
          </cell>
          <cell r="I549" t="str">
            <v>Clubhse/Recreation Decor/Furniture</v>
          </cell>
          <cell r="J549" t="str">
            <v>Clubhse/Recreation Decor/Furniture</v>
          </cell>
          <cell r="K549">
            <v>0</v>
          </cell>
          <cell r="L549">
            <v>0</v>
          </cell>
          <cell r="M549">
            <v>0</v>
          </cell>
          <cell r="N549">
            <v>0</v>
          </cell>
          <cell r="O549">
            <v>0</v>
          </cell>
          <cell r="P549">
            <v>0</v>
          </cell>
          <cell r="Q549" t="str">
            <v/>
          </cell>
          <cell r="R549" t="str">
            <v/>
          </cell>
          <cell r="S549" t="str">
            <v/>
          </cell>
          <cell r="T549" t="str">
            <v/>
          </cell>
          <cell r="U549" t="str">
            <v/>
          </cell>
          <cell r="V549" t="str">
            <v/>
          </cell>
          <cell r="W549">
            <v>0</v>
          </cell>
          <cell r="X549">
            <v>0</v>
          </cell>
          <cell r="Y549" t="str">
            <v/>
          </cell>
          <cell r="Z549" t="str">
            <v>BUY</v>
          </cell>
          <cell r="AA549" t="str">
            <v/>
          </cell>
        </row>
        <row r="550">
          <cell r="A550" t="str">
            <v>A</v>
          </cell>
          <cell r="F550" t="str">
            <v>8115-3</v>
          </cell>
          <cell r="G550" t="str">
            <v>A</v>
          </cell>
          <cell r="H550">
            <v>10</v>
          </cell>
          <cell r="I550" t="str">
            <v>Clubhse/Recreation Decor/Furniture</v>
          </cell>
          <cell r="J550" t="str">
            <v>Clubhse/Recreation Decor/Furniture</v>
          </cell>
          <cell r="K550">
            <v>0</v>
          </cell>
          <cell r="L550">
            <v>0</v>
          </cell>
          <cell r="M550">
            <v>0</v>
          </cell>
          <cell r="N550">
            <v>0</v>
          </cell>
          <cell r="O550">
            <v>0</v>
          </cell>
          <cell r="P550">
            <v>0</v>
          </cell>
          <cell r="Q550" t="str">
            <v/>
          </cell>
          <cell r="R550" t="str">
            <v/>
          </cell>
          <cell r="S550" t="str">
            <v/>
          </cell>
          <cell r="T550" t="str">
            <v/>
          </cell>
          <cell r="U550" t="str">
            <v/>
          </cell>
          <cell r="V550" t="str">
            <v/>
          </cell>
          <cell r="W550">
            <v>0</v>
          </cell>
          <cell r="X550">
            <v>0</v>
          </cell>
          <cell r="Y550" t="str">
            <v/>
          </cell>
          <cell r="Z550" t="str">
            <v>BUY</v>
          </cell>
          <cell r="AA550" t="str">
            <v/>
          </cell>
        </row>
        <row r="551">
          <cell r="A551" t="str">
            <v>A</v>
          </cell>
          <cell r="F551" t="str">
            <v>8115-4</v>
          </cell>
          <cell r="G551" t="str">
            <v>A</v>
          </cell>
          <cell r="H551">
            <v>10</v>
          </cell>
          <cell r="I551" t="str">
            <v>Clubhse/Recreation Decor/Furniture</v>
          </cell>
          <cell r="J551" t="str">
            <v>Clubhse/Recreation Decor/Furniture</v>
          </cell>
          <cell r="K551">
            <v>0</v>
          </cell>
          <cell r="L551">
            <v>0</v>
          </cell>
          <cell r="M551">
            <v>0</v>
          </cell>
          <cell r="N551">
            <v>0</v>
          </cell>
          <cell r="O551">
            <v>0</v>
          </cell>
          <cell r="P551">
            <v>0</v>
          </cell>
          <cell r="Q551" t="str">
            <v/>
          </cell>
          <cell r="R551" t="str">
            <v/>
          </cell>
          <cell r="S551" t="str">
            <v/>
          </cell>
          <cell r="T551" t="str">
            <v/>
          </cell>
          <cell r="U551" t="str">
            <v/>
          </cell>
          <cell r="V551" t="str">
            <v/>
          </cell>
          <cell r="W551">
            <v>0</v>
          </cell>
          <cell r="X551">
            <v>0</v>
          </cell>
          <cell r="Y551" t="str">
            <v/>
          </cell>
          <cell r="Z551" t="str">
            <v>BUY</v>
          </cell>
          <cell r="AA551" t="str">
            <v/>
          </cell>
        </row>
        <row r="552">
          <cell r="A552" t="str">
            <v>A</v>
          </cell>
          <cell r="F552" t="str">
            <v>8115-5</v>
          </cell>
          <cell r="G552" t="str">
            <v>A</v>
          </cell>
          <cell r="H552">
            <v>10</v>
          </cell>
          <cell r="I552" t="str">
            <v>Clubhse/Recreation Decor/Furniture</v>
          </cell>
          <cell r="J552" t="str">
            <v>Clubhse/Recreation Decor/Furniture</v>
          </cell>
          <cell r="K552">
            <v>0</v>
          </cell>
          <cell r="L552">
            <v>0</v>
          </cell>
          <cell r="M552">
            <v>0</v>
          </cell>
          <cell r="N552">
            <v>0</v>
          </cell>
          <cell r="O552">
            <v>0</v>
          </cell>
          <cell r="P552">
            <v>0</v>
          </cell>
          <cell r="Q552" t="str">
            <v/>
          </cell>
          <cell r="R552" t="str">
            <v/>
          </cell>
          <cell r="S552" t="str">
            <v/>
          </cell>
          <cell r="T552" t="str">
            <v/>
          </cell>
          <cell r="U552" t="str">
            <v/>
          </cell>
          <cell r="V552" t="str">
            <v/>
          </cell>
          <cell r="W552">
            <v>0</v>
          </cell>
          <cell r="X552">
            <v>0</v>
          </cell>
          <cell r="Y552" t="str">
            <v/>
          </cell>
          <cell r="Z552" t="str">
            <v>BUY</v>
          </cell>
          <cell r="AA552" t="str">
            <v/>
          </cell>
        </row>
        <row r="553">
          <cell r="A553" t="str">
            <v>A</v>
          </cell>
          <cell r="F553" t="str">
            <v>8116</v>
          </cell>
          <cell r="G553" t="str">
            <v>A</v>
          </cell>
          <cell r="H553">
            <v>10</v>
          </cell>
          <cell r="I553" t="str">
            <v>Fitness Equipment</v>
          </cell>
          <cell r="J553" t="str">
            <v>Fitness Equipment</v>
          </cell>
          <cell r="K553">
            <v>0</v>
          </cell>
          <cell r="L553">
            <v>0</v>
          </cell>
          <cell r="M553">
            <v>0</v>
          </cell>
          <cell r="N553">
            <v>0</v>
          </cell>
          <cell r="O553">
            <v>0</v>
          </cell>
          <cell r="P553">
            <v>0</v>
          </cell>
          <cell r="Q553" t="str">
            <v/>
          </cell>
          <cell r="R553" t="str">
            <v/>
          </cell>
          <cell r="S553" t="str">
            <v/>
          </cell>
          <cell r="T553" t="str">
            <v/>
          </cell>
          <cell r="U553" t="str">
            <v/>
          </cell>
          <cell r="V553" t="str">
            <v/>
          </cell>
          <cell r="W553">
            <v>0</v>
          </cell>
          <cell r="X553">
            <v>0</v>
          </cell>
          <cell r="Y553" t="str">
            <v/>
          </cell>
          <cell r="Z553" t="str">
            <v>BUY</v>
          </cell>
          <cell r="AA553" t="str">
            <v/>
          </cell>
        </row>
        <row r="554">
          <cell r="A554" t="str">
            <v>A</v>
          </cell>
          <cell r="F554" t="str">
            <v>8117</v>
          </cell>
          <cell r="G554" t="str">
            <v>A</v>
          </cell>
          <cell r="H554">
            <v>10</v>
          </cell>
          <cell r="I554" t="str">
            <v>Grill &amp; Restaurant</v>
          </cell>
          <cell r="J554" t="str">
            <v>Grill &amp; Restaurant</v>
          </cell>
          <cell r="K554">
            <v>0</v>
          </cell>
          <cell r="L554">
            <v>0</v>
          </cell>
          <cell r="M554">
            <v>0</v>
          </cell>
          <cell r="N554">
            <v>0</v>
          </cell>
          <cell r="O554">
            <v>0</v>
          </cell>
          <cell r="P554">
            <v>0</v>
          </cell>
          <cell r="Q554" t="str">
            <v/>
          </cell>
          <cell r="R554" t="str">
            <v/>
          </cell>
          <cell r="S554" t="str">
            <v/>
          </cell>
          <cell r="T554" t="str">
            <v/>
          </cell>
          <cell r="U554" t="str">
            <v/>
          </cell>
          <cell r="V554" t="str">
            <v/>
          </cell>
          <cell r="W554">
            <v>0</v>
          </cell>
          <cell r="X554">
            <v>0</v>
          </cell>
          <cell r="Y554" t="str">
            <v/>
          </cell>
          <cell r="Z554" t="str">
            <v>BUY</v>
          </cell>
          <cell r="AA554" t="str">
            <v/>
          </cell>
        </row>
        <row r="555">
          <cell r="A555" t="str">
            <v>A</v>
          </cell>
          <cell r="F555" t="str">
            <v>8120</v>
          </cell>
          <cell r="G555" t="str">
            <v>A</v>
          </cell>
          <cell r="H555">
            <v>10</v>
          </cell>
          <cell r="I555" t="str">
            <v>Clubhouse/Recreation Payroll Tax,Be</v>
          </cell>
          <cell r="J555" t="str">
            <v>Clubhouse/Recreation Payroll Tax,Be</v>
          </cell>
          <cell r="K555">
            <v>0</v>
          </cell>
          <cell r="L555">
            <v>0</v>
          </cell>
          <cell r="M555">
            <v>0</v>
          </cell>
          <cell r="N555">
            <v>0</v>
          </cell>
          <cell r="O555">
            <v>0</v>
          </cell>
          <cell r="P555">
            <v>0</v>
          </cell>
          <cell r="Q555" t="str">
            <v/>
          </cell>
          <cell r="R555" t="str">
            <v/>
          </cell>
          <cell r="S555" t="str">
            <v/>
          </cell>
          <cell r="T555" t="str">
            <v/>
          </cell>
          <cell r="U555" t="str">
            <v/>
          </cell>
          <cell r="V555" t="str">
            <v/>
          </cell>
          <cell r="W555">
            <v>0</v>
          </cell>
          <cell r="X555">
            <v>0</v>
          </cell>
          <cell r="Y555" t="str">
            <v/>
          </cell>
          <cell r="Z555" t="str">
            <v>BUY</v>
          </cell>
          <cell r="AA555" t="str">
            <v/>
          </cell>
        </row>
        <row r="556">
          <cell r="A556" t="str">
            <v>A</v>
          </cell>
          <cell r="F556" t="str">
            <v>8121</v>
          </cell>
          <cell r="G556" t="str">
            <v>A</v>
          </cell>
          <cell r="H556">
            <v>10</v>
          </cell>
          <cell r="I556" t="str">
            <v>Clubhouse/Recreation Payroll Salary</v>
          </cell>
          <cell r="J556" t="str">
            <v>Clubhouse/Recreation Payroll Salary</v>
          </cell>
          <cell r="K556">
            <v>0</v>
          </cell>
          <cell r="L556">
            <v>0</v>
          </cell>
          <cell r="M556">
            <v>0</v>
          </cell>
          <cell r="N556">
            <v>0</v>
          </cell>
          <cell r="O556">
            <v>0</v>
          </cell>
          <cell r="P556">
            <v>0</v>
          </cell>
          <cell r="Q556" t="str">
            <v/>
          </cell>
          <cell r="R556" t="str">
            <v/>
          </cell>
          <cell r="S556" t="str">
            <v/>
          </cell>
          <cell r="T556" t="str">
            <v/>
          </cell>
          <cell r="U556" t="str">
            <v/>
          </cell>
          <cell r="V556" t="str">
            <v/>
          </cell>
          <cell r="W556">
            <v>0</v>
          </cell>
          <cell r="X556">
            <v>0</v>
          </cell>
          <cell r="Y556" t="str">
            <v/>
          </cell>
          <cell r="Z556" t="str">
            <v>BUY</v>
          </cell>
          <cell r="AA556" t="str">
            <v/>
          </cell>
        </row>
        <row r="557">
          <cell r="A557" t="str">
            <v>A</v>
          </cell>
          <cell r="F557" t="str">
            <v>8122</v>
          </cell>
          <cell r="G557" t="str">
            <v>A</v>
          </cell>
          <cell r="H557">
            <v>10</v>
          </cell>
          <cell r="I557" t="str">
            <v>Clubhouse/Recreation FICA</v>
          </cell>
          <cell r="J557" t="str">
            <v>Clubhouse/Recreation FICA</v>
          </cell>
          <cell r="K557">
            <v>0</v>
          </cell>
          <cell r="L557">
            <v>0</v>
          </cell>
          <cell r="M557">
            <v>0</v>
          </cell>
          <cell r="N557">
            <v>0</v>
          </cell>
          <cell r="O557">
            <v>0</v>
          </cell>
          <cell r="P557">
            <v>0</v>
          </cell>
          <cell r="Q557" t="str">
            <v/>
          </cell>
          <cell r="R557" t="str">
            <v/>
          </cell>
          <cell r="S557" t="str">
            <v/>
          </cell>
          <cell r="T557" t="str">
            <v/>
          </cell>
          <cell r="U557" t="str">
            <v/>
          </cell>
          <cell r="V557" t="str">
            <v/>
          </cell>
          <cell r="W557">
            <v>0</v>
          </cell>
          <cell r="X557">
            <v>0</v>
          </cell>
          <cell r="Y557" t="str">
            <v/>
          </cell>
          <cell r="Z557" t="str">
            <v>BUY</v>
          </cell>
          <cell r="AA557" t="str">
            <v/>
          </cell>
        </row>
        <row r="558">
          <cell r="A558" t="str">
            <v>A</v>
          </cell>
          <cell r="F558" t="str">
            <v>8123</v>
          </cell>
          <cell r="G558" t="str">
            <v>A</v>
          </cell>
          <cell r="H558">
            <v>10</v>
          </cell>
          <cell r="I558" t="str">
            <v>Clubhouse/Recreation FUTA</v>
          </cell>
          <cell r="J558" t="str">
            <v>Clubhouse/Recreation FUTA</v>
          </cell>
          <cell r="K558">
            <v>0</v>
          </cell>
          <cell r="L558">
            <v>0</v>
          </cell>
          <cell r="M558">
            <v>0</v>
          </cell>
          <cell r="N558">
            <v>0</v>
          </cell>
          <cell r="O558">
            <v>0</v>
          </cell>
          <cell r="P558">
            <v>0</v>
          </cell>
          <cell r="Q558" t="str">
            <v/>
          </cell>
          <cell r="R558" t="str">
            <v/>
          </cell>
          <cell r="S558" t="str">
            <v/>
          </cell>
          <cell r="T558" t="str">
            <v/>
          </cell>
          <cell r="U558" t="str">
            <v/>
          </cell>
          <cell r="V558" t="str">
            <v/>
          </cell>
          <cell r="W558">
            <v>0</v>
          </cell>
          <cell r="X558">
            <v>0</v>
          </cell>
          <cell r="Y558" t="str">
            <v/>
          </cell>
          <cell r="Z558" t="str">
            <v>BUY</v>
          </cell>
          <cell r="AA558" t="str">
            <v/>
          </cell>
        </row>
        <row r="559">
          <cell r="A559" t="str">
            <v>A</v>
          </cell>
          <cell r="F559" t="str">
            <v>8124</v>
          </cell>
          <cell r="G559" t="str">
            <v>A</v>
          </cell>
          <cell r="H559">
            <v>10</v>
          </cell>
          <cell r="I559" t="str">
            <v>Clubhouse/Recreation SUTA</v>
          </cell>
          <cell r="J559" t="str">
            <v>Clubhouse/Recreation SUTA</v>
          </cell>
          <cell r="K559">
            <v>0</v>
          </cell>
          <cell r="L559">
            <v>0</v>
          </cell>
          <cell r="M559">
            <v>0</v>
          </cell>
          <cell r="N559">
            <v>0</v>
          </cell>
          <cell r="O559">
            <v>0</v>
          </cell>
          <cell r="P559">
            <v>0</v>
          </cell>
          <cell r="Q559" t="str">
            <v/>
          </cell>
          <cell r="R559" t="str">
            <v/>
          </cell>
          <cell r="S559" t="str">
            <v/>
          </cell>
          <cell r="T559" t="str">
            <v/>
          </cell>
          <cell r="U559" t="str">
            <v/>
          </cell>
          <cell r="V559" t="str">
            <v/>
          </cell>
          <cell r="W559">
            <v>0</v>
          </cell>
          <cell r="X559">
            <v>0</v>
          </cell>
          <cell r="Y559" t="str">
            <v/>
          </cell>
          <cell r="Z559" t="str">
            <v>BUY</v>
          </cell>
          <cell r="AA559" t="str">
            <v/>
          </cell>
        </row>
        <row r="560">
          <cell r="A560" t="str">
            <v>A</v>
          </cell>
          <cell r="F560" t="str">
            <v>8125</v>
          </cell>
          <cell r="G560" t="str">
            <v>A</v>
          </cell>
          <cell r="H560">
            <v>10</v>
          </cell>
          <cell r="I560" t="str">
            <v>Workwrs Compensation</v>
          </cell>
          <cell r="J560" t="str">
            <v>Workwrs Compensation</v>
          </cell>
          <cell r="K560">
            <v>0</v>
          </cell>
          <cell r="L560">
            <v>0</v>
          </cell>
          <cell r="M560">
            <v>10920</v>
          </cell>
          <cell r="N560">
            <v>6895</v>
          </cell>
          <cell r="O560">
            <v>10000</v>
          </cell>
          <cell r="P560">
            <v>-920</v>
          </cell>
          <cell r="Q560">
            <v>-8.4249084249084283E-2</v>
          </cell>
          <cell r="R560" t="str">
            <v>GL 5520 in 2008 cost of $10399. we are estimating a 5% increase $750 for 2010 = $9456.</v>
          </cell>
          <cell r="S560" t="str">
            <v/>
          </cell>
          <cell r="T560" t="str">
            <v/>
          </cell>
          <cell r="U560" t="str">
            <v/>
          </cell>
          <cell r="V560" t="str">
            <v/>
          </cell>
          <cell r="W560">
            <v>27815</v>
          </cell>
          <cell r="X560">
            <v>0</v>
          </cell>
          <cell r="Y560" t="str">
            <v>A</v>
          </cell>
          <cell r="Z560" t="str">
            <v>BUY</v>
          </cell>
          <cell r="AA560" t="str">
            <v/>
          </cell>
        </row>
        <row r="561">
          <cell r="A561" t="str">
            <v>A</v>
          </cell>
          <cell r="F561" t="str">
            <v>8126</v>
          </cell>
          <cell r="G561" t="str">
            <v>A</v>
          </cell>
          <cell r="H561">
            <v>10</v>
          </cell>
          <cell r="I561" t="str">
            <v>Medical &amp; Life Insurance</v>
          </cell>
          <cell r="J561" t="str">
            <v>Medical &amp; Life Insurance</v>
          </cell>
          <cell r="K561">
            <v>0</v>
          </cell>
          <cell r="L561">
            <v>0</v>
          </cell>
          <cell r="M561">
            <v>0</v>
          </cell>
          <cell r="N561">
            <v>0</v>
          </cell>
          <cell r="O561">
            <v>0</v>
          </cell>
          <cell r="P561">
            <v>0</v>
          </cell>
          <cell r="Q561" t="str">
            <v/>
          </cell>
          <cell r="R561" t="str">
            <v/>
          </cell>
          <cell r="S561" t="str">
            <v/>
          </cell>
          <cell r="T561" t="str">
            <v/>
          </cell>
          <cell r="U561" t="str">
            <v/>
          </cell>
          <cell r="V561" t="str">
            <v/>
          </cell>
          <cell r="W561">
            <v>0</v>
          </cell>
          <cell r="X561">
            <v>0</v>
          </cell>
          <cell r="Y561" t="str">
            <v/>
          </cell>
          <cell r="Z561" t="str">
            <v>BUY</v>
          </cell>
          <cell r="AA561" t="str">
            <v/>
          </cell>
        </row>
        <row r="562">
          <cell r="A562" t="str">
            <v>A</v>
          </cell>
          <cell r="F562" t="str">
            <v>8126-5</v>
          </cell>
          <cell r="G562" t="str">
            <v>A</v>
          </cell>
          <cell r="H562">
            <v>10</v>
          </cell>
          <cell r="I562" t="str">
            <v>Med/Life Insurance Reimb</v>
          </cell>
          <cell r="J562" t="str">
            <v>Med/Life Insurance Reimb</v>
          </cell>
          <cell r="K562">
            <v>0</v>
          </cell>
          <cell r="L562">
            <v>0</v>
          </cell>
          <cell r="M562">
            <v>0</v>
          </cell>
          <cell r="N562">
            <v>0</v>
          </cell>
          <cell r="O562">
            <v>0</v>
          </cell>
          <cell r="P562">
            <v>0</v>
          </cell>
          <cell r="Q562" t="str">
            <v/>
          </cell>
          <cell r="R562" t="str">
            <v/>
          </cell>
          <cell r="S562" t="str">
            <v/>
          </cell>
          <cell r="T562" t="str">
            <v/>
          </cell>
          <cell r="U562" t="str">
            <v/>
          </cell>
          <cell r="V562" t="str">
            <v/>
          </cell>
          <cell r="W562">
            <v>0</v>
          </cell>
          <cell r="X562">
            <v>0</v>
          </cell>
          <cell r="Y562" t="str">
            <v/>
          </cell>
          <cell r="Z562" t="str">
            <v>BUY</v>
          </cell>
          <cell r="AA562" t="str">
            <v/>
          </cell>
        </row>
        <row r="563">
          <cell r="A563" t="str">
            <v>A</v>
          </cell>
          <cell r="F563" t="str">
            <v>8128</v>
          </cell>
          <cell r="G563" t="str">
            <v>A</v>
          </cell>
          <cell r="H563">
            <v>10</v>
          </cell>
          <cell r="I563" t="str">
            <v>Misc Payroll Benefits</v>
          </cell>
          <cell r="J563" t="str">
            <v>Misc Payroll Benefits</v>
          </cell>
          <cell r="K563">
            <v>0</v>
          </cell>
          <cell r="L563">
            <v>0</v>
          </cell>
          <cell r="M563">
            <v>0</v>
          </cell>
          <cell r="N563">
            <v>0</v>
          </cell>
          <cell r="O563">
            <v>0</v>
          </cell>
          <cell r="P563">
            <v>0</v>
          </cell>
          <cell r="Q563" t="str">
            <v/>
          </cell>
          <cell r="R563" t="str">
            <v/>
          </cell>
          <cell r="S563" t="str">
            <v/>
          </cell>
          <cell r="T563" t="str">
            <v/>
          </cell>
          <cell r="U563" t="str">
            <v/>
          </cell>
          <cell r="V563" t="str">
            <v/>
          </cell>
          <cell r="W563">
            <v>0</v>
          </cell>
          <cell r="X563">
            <v>0</v>
          </cell>
          <cell r="Y563" t="str">
            <v/>
          </cell>
          <cell r="Z563" t="str">
            <v>BUY</v>
          </cell>
          <cell r="AA563" t="str">
            <v/>
          </cell>
        </row>
        <row r="564">
          <cell r="A564" t="str">
            <v>A</v>
          </cell>
          <cell r="F564" t="str">
            <v>8129</v>
          </cell>
          <cell r="G564" t="str">
            <v>A</v>
          </cell>
          <cell r="H564">
            <v>10</v>
          </cell>
          <cell r="I564" t="str">
            <v>Other Clubhse/Rec Exp.</v>
          </cell>
          <cell r="J564" t="str">
            <v>Other Clubhse/Rec Exp.</v>
          </cell>
          <cell r="K564">
            <v>0</v>
          </cell>
          <cell r="L564">
            <v>0</v>
          </cell>
          <cell r="M564">
            <v>0</v>
          </cell>
          <cell r="N564">
            <v>0</v>
          </cell>
          <cell r="O564">
            <v>0</v>
          </cell>
          <cell r="P564">
            <v>0</v>
          </cell>
          <cell r="Q564" t="str">
            <v/>
          </cell>
          <cell r="R564" t="str">
            <v/>
          </cell>
          <cell r="S564" t="str">
            <v/>
          </cell>
          <cell r="T564" t="str">
            <v/>
          </cell>
          <cell r="U564" t="str">
            <v/>
          </cell>
          <cell r="V564" t="str">
            <v/>
          </cell>
          <cell r="W564">
            <v>0</v>
          </cell>
          <cell r="X564">
            <v>0</v>
          </cell>
          <cell r="Y564" t="str">
            <v/>
          </cell>
          <cell r="Z564" t="str">
            <v>BUY</v>
          </cell>
          <cell r="AA564" t="str">
            <v/>
          </cell>
        </row>
        <row r="565">
          <cell r="A565" t="str">
            <v>A</v>
          </cell>
          <cell r="F565" t="str">
            <v>8130</v>
          </cell>
          <cell r="G565" t="str">
            <v>A</v>
          </cell>
          <cell r="H565">
            <v>10</v>
          </cell>
          <cell r="I565" t="str">
            <v>Tennis &amp; Other Court Exp</v>
          </cell>
          <cell r="J565" t="str">
            <v>Tennis &amp; Other Court Exp</v>
          </cell>
          <cell r="K565">
            <v>0</v>
          </cell>
          <cell r="L565">
            <v>0</v>
          </cell>
          <cell r="M565">
            <v>0</v>
          </cell>
          <cell r="N565">
            <v>0</v>
          </cell>
          <cell r="O565">
            <v>0</v>
          </cell>
          <cell r="P565">
            <v>0</v>
          </cell>
          <cell r="Q565" t="str">
            <v/>
          </cell>
          <cell r="R565" t="str">
            <v/>
          </cell>
          <cell r="S565" t="str">
            <v/>
          </cell>
          <cell r="T565" t="str">
            <v/>
          </cell>
          <cell r="U565" t="str">
            <v/>
          </cell>
          <cell r="V565" t="str">
            <v/>
          </cell>
          <cell r="W565">
            <v>0</v>
          </cell>
          <cell r="X565">
            <v>0</v>
          </cell>
          <cell r="Y565" t="str">
            <v/>
          </cell>
          <cell r="Z565" t="str">
            <v>BUY</v>
          </cell>
          <cell r="AA565" t="str">
            <v/>
          </cell>
        </row>
        <row r="566">
          <cell r="A566" t="str">
            <v>A</v>
          </cell>
          <cell r="F566" t="str">
            <v>8140</v>
          </cell>
          <cell r="G566" t="str">
            <v>A</v>
          </cell>
          <cell r="H566">
            <v>10</v>
          </cell>
          <cell r="I566" t="str">
            <v>Gazebo &amp; Walking Paths</v>
          </cell>
          <cell r="J566" t="str">
            <v>Gazebo &amp; Walking Paths</v>
          </cell>
          <cell r="K566">
            <v>0</v>
          </cell>
          <cell r="L566">
            <v>0</v>
          </cell>
          <cell r="M566">
            <v>0</v>
          </cell>
          <cell r="N566">
            <v>0</v>
          </cell>
          <cell r="O566">
            <v>0</v>
          </cell>
          <cell r="P566">
            <v>0</v>
          </cell>
          <cell r="Q566" t="str">
            <v/>
          </cell>
          <cell r="R566" t="str">
            <v/>
          </cell>
          <cell r="S566" t="str">
            <v/>
          </cell>
          <cell r="T566" t="str">
            <v/>
          </cell>
          <cell r="U566" t="str">
            <v/>
          </cell>
          <cell r="V566" t="str">
            <v/>
          </cell>
          <cell r="W566">
            <v>0</v>
          </cell>
          <cell r="X566">
            <v>0</v>
          </cell>
          <cell r="Y566" t="str">
            <v/>
          </cell>
          <cell r="Z566" t="str">
            <v>BUY</v>
          </cell>
          <cell r="AA566" t="str">
            <v/>
          </cell>
        </row>
        <row r="567">
          <cell r="A567" t="str">
            <v>A</v>
          </cell>
          <cell r="F567" t="str">
            <v>8150</v>
          </cell>
          <cell r="G567" t="str">
            <v>A</v>
          </cell>
          <cell r="H567">
            <v>10</v>
          </cell>
          <cell r="I567" t="str">
            <v>Barbecue &amp; Picnic Areas</v>
          </cell>
          <cell r="J567" t="str">
            <v>Barbecue &amp; Picnic Areas</v>
          </cell>
          <cell r="K567">
            <v>0</v>
          </cell>
          <cell r="L567">
            <v>0</v>
          </cell>
          <cell r="M567">
            <v>0</v>
          </cell>
          <cell r="N567">
            <v>0</v>
          </cell>
          <cell r="O567">
            <v>0</v>
          </cell>
          <cell r="P567">
            <v>0</v>
          </cell>
          <cell r="Q567" t="str">
            <v/>
          </cell>
          <cell r="R567" t="str">
            <v/>
          </cell>
          <cell r="S567" t="str">
            <v/>
          </cell>
          <cell r="T567" t="str">
            <v/>
          </cell>
          <cell r="U567" t="str">
            <v/>
          </cell>
          <cell r="V567" t="str">
            <v/>
          </cell>
          <cell r="W567">
            <v>0</v>
          </cell>
          <cell r="X567">
            <v>0</v>
          </cell>
          <cell r="Y567" t="str">
            <v/>
          </cell>
          <cell r="Z567" t="str">
            <v>BUY</v>
          </cell>
          <cell r="AA567" t="str">
            <v/>
          </cell>
        </row>
        <row r="568">
          <cell r="A568" t="str">
            <v>A</v>
          </cell>
          <cell r="F568" t="str">
            <v>8160</v>
          </cell>
          <cell r="G568" t="str">
            <v>A</v>
          </cell>
          <cell r="H568">
            <v>10</v>
          </cell>
          <cell r="I568" t="str">
            <v>Playground Equipment</v>
          </cell>
          <cell r="J568" t="str">
            <v>Playground Equipment</v>
          </cell>
          <cell r="K568">
            <v>0</v>
          </cell>
          <cell r="L568">
            <v>0</v>
          </cell>
          <cell r="M568">
            <v>0</v>
          </cell>
          <cell r="N568">
            <v>0</v>
          </cell>
          <cell r="O568">
            <v>0</v>
          </cell>
          <cell r="P568">
            <v>0</v>
          </cell>
          <cell r="Q568" t="str">
            <v/>
          </cell>
          <cell r="R568" t="str">
            <v/>
          </cell>
          <cell r="S568" t="str">
            <v/>
          </cell>
          <cell r="T568" t="str">
            <v/>
          </cell>
          <cell r="U568" t="str">
            <v/>
          </cell>
          <cell r="V568" t="str">
            <v/>
          </cell>
          <cell r="W568">
            <v>0</v>
          </cell>
          <cell r="X568">
            <v>0</v>
          </cell>
          <cell r="Y568" t="str">
            <v/>
          </cell>
          <cell r="Z568" t="str">
            <v>BUY</v>
          </cell>
          <cell r="AA568" t="str">
            <v/>
          </cell>
        </row>
        <row r="569">
          <cell r="A569" t="str">
            <v>A</v>
          </cell>
          <cell r="F569" t="str">
            <v>8170</v>
          </cell>
          <cell r="G569" t="str">
            <v>A</v>
          </cell>
          <cell r="H569">
            <v>10</v>
          </cell>
          <cell r="I569" t="str">
            <v>All Gatehouse Expenses</v>
          </cell>
          <cell r="J569" t="str">
            <v>All Gatehouse Expenses</v>
          </cell>
          <cell r="K569">
            <v>0</v>
          </cell>
          <cell r="L569">
            <v>0</v>
          </cell>
          <cell r="M569">
            <v>0</v>
          </cell>
          <cell r="N569">
            <v>0</v>
          </cell>
          <cell r="O569">
            <v>0</v>
          </cell>
          <cell r="P569">
            <v>0</v>
          </cell>
          <cell r="Q569" t="str">
            <v/>
          </cell>
          <cell r="R569" t="str">
            <v/>
          </cell>
          <cell r="S569" t="str">
            <v/>
          </cell>
          <cell r="T569" t="str">
            <v/>
          </cell>
          <cell r="U569" t="str">
            <v/>
          </cell>
          <cell r="V569" t="str">
            <v/>
          </cell>
          <cell r="W569">
            <v>0</v>
          </cell>
          <cell r="X569">
            <v>0</v>
          </cell>
          <cell r="Y569" t="str">
            <v/>
          </cell>
          <cell r="Z569" t="str">
            <v>BUY</v>
          </cell>
          <cell r="AA569" t="str">
            <v/>
          </cell>
        </row>
        <row r="570">
          <cell r="A570" t="str">
            <v>A</v>
          </cell>
          <cell r="F570" t="str">
            <v>8171</v>
          </cell>
          <cell r="G570" t="str">
            <v>A</v>
          </cell>
          <cell r="H570">
            <v>10</v>
          </cell>
          <cell r="I570" t="str">
            <v>Gatehouse Main/Reprs</v>
          </cell>
          <cell r="J570" t="str">
            <v>Gatehouse Main/Reprs</v>
          </cell>
          <cell r="K570">
            <v>0</v>
          </cell>
          <cell r="L570">
            <v>0</v>
          </cell>
          <cell r="M570">
            <v>0</v>
          </cell>
          <cell r="N570">
            <v>0</v>
          </cell>
          <cell r="O570">
            <v>0</v>
          </cell>
          <cell r="P570">
            <v>0</v>
          </cell>
          <cell r="Q570" t="str">
            <v/>
          </cell>
          <cell r="R570" t="str">
            <v/>
          </cell>
          <cell r="S570" t="str">
            <v/>
          </cell>
          <cell r="T570" t="str">
            <v/>
          </cell>
          <cell r="U570" t="str">
            <v/>
          </cell>
          <cell r="V570" t="str">
            <v/>
          </cell>
          <cell r="W570">
            <v>0</v>
          </cell>
          <cell r="X570">
            <v>0</v>
          </cell>
          <cell r="Y570" t="str">
            <v/>
          </cell>
          <cell r="Z570" t="str">
            <v>BUY</v>
          </cell>
          <cell r="AA570" t="str">
            <v/>
          </cell>
        </row>
        <row r="571">
          <cell r="A571" t="str">
            <v>A</v>
          </cell>
          <cell r="F571" t="str">
            <v>8172</v>
          </cell>
          <cell r="G571" t="str">
            <v>A</v>
          </cell>
          <cell r="H571">
            <v>10</v>
          </cell>
          <cell r="I571" t="str">
            <v>Gatehouse Utilities</v>
          </cell>
          <cell r="J571" t="str">
            <v>Gatehouse Utilities</v>
          </cell>
          <cell r="K571">
            <v>0</v>
          </cell>
          <cell r="L571">
            <v>0</v>
          </cell>
          <cell r="M571">
            <v>0</v>
          </cell>
          <cell r="N571">
            <v>0</v>
          </cell>
          <cell r="O571">
            <v>0</v>
          </cell>
          <cell r="P571">
            <v>0</v>
          </cell>
          <cell r="Q571" t="str">
            <v/>
          </cell>
          <cell r="R571" t="str">
            <v/>
          </cell>
          <cell r="S571" t="str">
            <v/>
          </cell>
          <cell r="T571" t="str">
            <v/>
          </cell>
          <cell r="U571" t="str">
            <v/>
          </cell>
          <cell r="V571" t="str">
            <v/>
          </cell>
          <cell r="W571">
            <v>0</v>
          </cell>
          <cell r="X571">
            <v>0</v>
          </cell>
          <cell r="Y571" t="str">
            <v/>
          </cell>
          <cell r="Z571" t="str">
            <v>BUY</v>
          </cell>
          <cell r="AA571" t="str">
            <v/>
          </cell>
        </row>
        <row r="572">
          <cell r="A572" t="str">
            <v>A</v>
          </cell>
          <cell r="F572" t="str">
            <v>8173</v>
          </cell>
          <cell r="G572" t="str">
            <v>A</v>
          </cell>
          <cell r="H572">
            <v>10</v>
          </cell>
          <cell r="I572" t="str">
            <v>Gatehouse Guard Service</v>
          </cell>
          <cell r="J572" t="str">
            <v>Gatehouse Guard Service</v>
          </cell>
          <cell r="K572">
            <v>0</v>
          </cell>
          <cell r="L572">
            <v>0</v>
          </cell>
          <cell r="M572">
            <v>0</v>
          </cell>
          <cell r="N572">
            <v>0</v>
          </cell>
          <cell r="O572">
            <v>0</v>
          </cell>
          <cell r="P572">
            <v>0</v>
          </cell>
          <cell r="Q572" t="str">
            <v/>
          </cell>
          <cell r="R572" t="str">
            <v/>
          </cell>
          <cell r="S572" t="str">
            <v/>
          </cell>
          <cell r="T572" t="str">
            <v/>
          </cell>
          <cell r="U572" t="str">
            <v/>
          </cell>
          <cell r="V572" t="str">
            <v/>
          </cell>
          <cell r="W572">
            <v>0</v>
          </cell>
          <cell r="X572">
            <v>0</v>
          </cell>
          <cell r="Y572" t="str">
            <v/>
          </cell>
          <cell r="Z572" t="str">
            <v>BUY</v>
          </cell>
          <cell r="AA572" t="str">
            <v/>
          </cell>
        </row>
        <row r="573">
          <cell r="A573" t="str">
            <v>A</v>
          </cell>
          <cell r="F573" t="str">
            <v>8180</v>
          </cell>
          <cell r="G573" t="str">
            <v>A</v>
          </cell>
          <cell r="H573">
            <v>10</v>
          </cell>
          <cell r="I573" t="str">
            <v>Beach Maintenance</v>
          </cell>
          <cell r="J573" t="str">
            <v>Beach Maintenance</v>
          </cell>
          <cell r="K573">
            <v>0</v>
          </cell>
          <cell r="L573">
            <v>0</v>
          </cell>
          <cell r="M573">
            <v>0</v>
          </cell>
          <cell r="N573">
            <v>0</v>
          </cell>
          <cell r="O573">
            <v>0</v>
          </cell>
          <cell r="P573">
            <v>0</v>
          </cell>
          <cell r="Q573" t="str">
            <v/>
          </cell>
          <cell r="R573" t="str">
            <v/>
          </cell>
          <cell r="S573" t="str">
            <v/>
          </cell>
          <cell r="T573" t="str">
            <v/>
          </cell>
          <cell r="U573" t="str">
            <v/>
          </cell>
          <cell r="V573" t="str">
            <v/>
          </cell>
          <cell r="W573">
            <v>0</v>
          </cell>
          <cell r="X573">
            <v>0</v>
          </cell>
          <cell r="Y573" t="str">
            <v/>
          </cell>
          <cell r="Z573" t="str">
            <v>BUY</v>
          </cell>
          <cell r="AA573" t="str">
            <v/>
          </cell>
        </row>
        <row r="574">
          <cell r="A574" t="str">
            <v>A</v>
          </cell>
          <cell r="F574" t="str">
            <v>8190</v>
          </cell>
          <cell r="G574" t="str">
            <v>A</v>
          </cell>
          <cell r="H574">
            <v>10</v>
          </cell>
          <cell r="I574" t="str">
            <v>Community Facility User Fees</v>
          </cell>
          <cell r="J574" t="str">
            <v>Community Facility User Fees</v>
          </cell>
          <cell r="K574">
            <v>0</v>
          </cell>
          <cell r="L574">
            <v>0</v>
          </cell>
          <cell r="M574">
            <v>0</v>
          </cell>
          <cell r="N574">
            <v>0</v>
          </cell>
          <cell r="O574">
            <v>0</v>
          </cell>
          <cell r="P574">
            <v>0</v>
          </cell>
          <cell r="Q574" t="str">
            <v/>
          </cell>
          <cell r="R574" t="str">
            <v/>
          </cell>
          <cell r="S574" t="str">
            <v/>
          </cell>
          <cell r="T574" t="str">
            <v/>
          </cell>
          <cell r="U574" t="str">
            <v/>
          </cell>
          <cell r="V574" t="str">
            <v/>
          </cell>
          <cell r="W574">
            <v>0</v>
          </cell>
          <cell r="X574">
            <v>0</v>
          </cell>
          <cell r="Y574" t="str">
            <v/>
          </cell>
          <cell r="Z574" t="str">
            <v>BUY</v>
          </cell>
          <cell r="AA574" t="str">
            <v/>
          </cell>
        </row>
        <row r="575">
          <cell r="A575" t="str">
            <v>A</v>
          </cell>
          <cell r="F575" t="str">
            <v>8190-1</v>
          </cell>
          <cell r="G575" t="str">
            <v>A</v>
          </cell>
          <cell r="H575">
            <v>10</v>
          </cell>
          <cell r="I575" t="str">
            <v>Comm Facility User Fee</v>
          </cell>
          <cell r="J575" t="str">
            <v>Comm Facility User Fee</v>
          </cell>
          <cell r="K575">
            <v>0</v>
          </cell>
          <cell r="L575">
            <v>0</v>
          </cell>
          <cell r="M575">
            <v>0</v>
          </cell>
          <cell r="N575">
            <v>0</v>
          </cell>
          <cell r="O575">
            <v>0</v>
          </cell>
          <cell r="P575">
            <v>0</v>
          </cell>
          <cell r="Q575" t="str">
            <v/>
          </cell>
          <cell r="R575" t="str">
            <v/>
          </cell>
          <cell r="S575" t="str">
            <v/>
          </cell>
          <cell r="T575" t="str">
            <v/>
          </cell>
          <cell r="U575" t="str">
            <v/>
          </cell>
          <cell r="V575" t="str">
            <v/>
          </cell>
          <cell r="W575">
            <v>0</v>
          </cell>
          <cell r="X575">
            <v>0</v>
          </cell>
          <cell r="Y575" t="str">
            <v/>
          </cell>
          <cell r="Z575" t="str">
            <v>BUY</v>
          </cell>
          <cell r="AA575" t="str">
            <v/>
          </cell>
        </row>
        <row r="576">
          <cell r="A576" t="str">
            <v>A</v>
          </cell>
          <cell r="F576" t="str">
            <v>8190-2</v>
          </cell>
          <cell r="G576" t="str">
            <v>A</v>
          </cell>
          <cell r="H576">
            <v>10</v>
          </cell>
          <cell r="I576" t="str">
            <v>Comm Facility User Fee</v>
          </cell>
          <cell r="J576" t="str">
            <v>Comm Facility User Fee</v>
          </cell>
          <cell r="K576">
            <v>0</v>
          </cell>
          <cell r="L576">
            <v>0</v>
          </cell>
          <cell r="M576">
            <v>0</v>
          </cell>
          <cell r="N576">
            <v>0</v>
          </cell>
          <cell r="O576">
            <v>0</v>
          </cell>
          <cell r="P576">
            <v>0</v>
          </cell>
          <cell r="Q576" t="str">
            <v/>
          </cell>
          <cell r="R576" t="str">
            <v/>
          </cell>
          <cell r="S576" t="str">
            <v/>
          </cell>
          <cell r="T576" t="str">
            <v/>
          </cell>
          <cell r="U576" t="str">
            <v/>
          </cell>
          <cell r="V576" t="str">
            <v/>
          </cell>
          <cell r="W576">
            <v>0</v>
          </cell>
          <cell r="X576">
            <v>0</v>
          </cell>
          <cell r="Y576" t="str">
            <v/>
          </cell>
          <cell r="Z576" t="str">
            <v>BUY</v>
          </cell>
          <cell r="AA576" t="str">
            <v/>
          </cell>
        </row>
        <row r="577">
          <cell r="A577" t="str">
            <v>A</v>
          </cell>
          <cell r="F577" t="str">
            <v>8190-3</v>
          </cell>
          <cell r="G577" t="str">
            <v>A</v>
          </cell>
          <cell r="H577">
            <v>10</v>
          </cell>
          <cell r="I577" t="str">
            <v>Comm Facility User Fee</v>
          </cell>
          <cell r="J577" t="str">
            <v>Comm Facility User Fee</v>
          </cell>
          <cell r="K577">
            <v>0</v>
          </cell>
          <cell r="L577">
            <v>0</v>
          </cell>
          <cell r="M577">
            <v>0</v>
          </cell>
          <cell r="N577">
            <v>0</v>
          </cell>
          <cell r="O577">
            <v>0</v>
          </cell>
          <cell r="P577">
            <v>0</v>
          </cell>
          <cell r="Q577" t="str">
            <v/>
          </cell>
          <cell r="R577" t="str">
            <v/>
          </cell>
          <cell r="S577" t="str">
            <v/>
          </cell>
          <cell r="T577" t="str">
            <v/>
          </cell>
          <cell r="U577" t="str">
            <v/>
          </cell>
          <cell r="V577" t="str">
            <v/>
          </cell>
          <cell r="W577">
            <v>0</v>
          </cell>
          <cell r="X577">
            <v>0</v>
          </cell>
          <cell r="Y577" t="str">
            <v/>
          </cell>
          <cell r="Z577" t="str">
            <v>BUY</v>
          </cell>
          <cell r="AA577" t="str">
            <v/>
          </cell>
        </row>
        <row r="578">
          <cell r="A578" t="str">
            <v>A</v>
          </cell>
          <cell r="F578" t="str">
            <v>8190-4</v>
          </cell>
          <cell r="G578" t="str">
            <v>A</v>
          </cell>
          <cell r="H578">
            <v>10</v>
          </cell>
          <cell r="I578" t="str">
            <v>Comm Facility User Fee</v>
          </cell>
          <cell r="J578" t="str">
            <v>Comm Facility User Fee</v>
          </cell>
          <cell r="K578">
            <v>0</v>
          </cell>
          <cell r="L578">
            <v>0</v>
          </cell>
          <cell r="M578">
            <v>0</v>
          </cell>
          <cell r="N578">
            <v>0</v>
          </cell>
          <cell r="O578">
            <v>0</v>
          </cell>
          <cell r="P578">
            <v>0</v>
          </cell>
          <cell r="Q578" t="str">
            <v/>
          </cell>
          <cell r="R578" t="str">
            <v/>
          </cell>
          <cell r="S578" t="str">
            <v/>
          </cell>
          <cell r="T578" t="str">
            <v/>
          </cell>
          <cell r="U578" t="str">
            <v/>
          </cell>
          <cell r="V578" t="str">
            <v/>
          </cell>
          <cell r="W578">
            <v>0</v>
          </cell>
          <cell r="X578">
            <v>0</v>
          </cell>
          <cell r="Y578" t="str">
            <v/>
          </cell>
          <cell r="Z578" t="str">
            <v>BUY</v>
          </cell>
          <cell r="AA578" t="str">
            <v/>
          </cell>
        </row>
        <row r="579">
          <cell r="A579" t="str">
            <v>A</v>
          </cell>
          <cell r="F579" t="str">
            <v>8190-5</v>
          </cell>
          <cell r="G579" t="str">
            <v>A</v>
          </cell>
          <cell r="H579">
            <v>10</v>
          </cell>
          <cell r="I579" t="str">
            <v>Comm Facility User Fee</v>
          </cell>
          <cell r="J579" t="str">
            <v>Comm Facility User Fee</v>
          </cell>
          <cell r="K579">
            <v>0</v>
          </cell>
          <cell r="L579">
            <v>0</v>
          </cell>
          <cell r="M579">
            <v>0</v>
          </cell>
          <cell r="N579">
            <v>0</v>
          </cell>
          <cell r="O579">
            <v>0</v>
          </cell>
          <cell r="P579">
            <v>0</v>
          </cell>
          <cell r="Q579" t="str">
            <v/>
          </cell>
          <cell r="R579" t="str">
            <v/>
          </cell>
          <cell r="S579" t="str">
            <v/>
          </cell>
          <cell r="T579" t="str">
            <v/>
          </cell>
          <cell r="U579" t="str">
            <v/>
          </cell>
          <cell r="V579" t="str">
            <v/>
          </cell>
          <cell r="W579">
            <v>0</v>
          </cell>
          <cell r="X579">
            <v>0</v>
          </cell>
          <cell r="Y579" t="str">
            <v/>
          </cell>
          <cell r="Z579" t="str">
            <v>BUY</v>
          </cell>
          <cell r="AA579" t="str">
            <v/>
          </cell>
        </row>
        <row r="580">
          <cell r="A580" t="str">
            <v>A</v>
          </cell>
          <cell r="F580" t="str">
            <v>8191</v>
          </cell>
          <cell r="G580" t="str">
            <v>A</v>
          </cell>
          <cell r="H580">
            <v>10</v>
          </cell>
          <cell r="I580" t="str">
            <v>Comm Parking Fees</v>
          </cell>
          <cell r="J580" t="str">
            <v>Comm Parking Fees</v>
          </cell>
          <cell r="K580">
            <v>0</v>
          </cell>
          <cell r="L580">
            <v>0</v>
          </cell>
          <cell r="M580">
            <v>0</v>
          </cell>
          <cell r="N580">
            <v>0</v>
          </cell>
          <cell r="O580">
            <v>0</v>
          </cell>
          <cell r="P580">
            <v>0</v>
          </cell>
          <cell r="Q580" t="str">
            <v/>
          </cell>
          <cell r="R580" t="str">
            <v/>
          </cell>
          <cell r="S580" t="str">
            <v/>
          </cell>
          <cell r="T580" t="str">
            <v/>
          </cell>
          <cell r="U580" t="str">
            <v/>
          </cell>
          <cell r="V580" t="str">
            <v/>
          </cell>
          <cell r="W580">
            <v>0</v>
          </cell>
          <cell r="X580">
            <v>0</v>
          </cell>
          <cell r="Y580" t="str">
            <v/>
          </cell>
          <cell r="Z580" t="str">
            <v>BUY</v>
          </cell>
          <cell r="AA580" t="str">
            <v/>
          </cell>
        </row>
        <row r="581">
          <cell r="A581" t="str">
            <v>A</v>
          </cell>
          <cell r="F581" t="str">
            <v>8191-5</v>
          </cell>
          <cell r="G581" t="str">
            <v>A</v>
          </cell>
          <cell r="H581">
            <v>10</v>
          </cell>
          <cell r="I581" t="str">
            <v>Comm Parking Reimb</v>
          </cell>
          <cell r="J581" t="str">
            <v>Comm Parking Reimb</v>
          </cell>
          <cell r="K581">
            <v>0</v>
          </cell>
          <cell r="L581">
            <v>0</v>
          </cell>
          <cell r="M581">
            <v>0</v>
          </cell>
          <cell r="N581">
            <v>0</v>
          </cell>
          <cell r="O581">
            <v>0</v>
          </cell>
          <cell r="P581">
            <v>0</v>
          </cell>
          <cell r="Q581" t="str">
            <v/>
          </cell>
          <cell r="R581" t="str">
            <v/>
          </cell>
          <cell r="S581" t="str">
            <v/>
          </cell>
          <cell r="T581" t="str">
            <v/>
          </cell>
          <cell r="U581" t="str">
            <v/>
          </cell>
          <cell r="V581" t="str">
            <v/>
          </cell>
          <cell r="W581">
            <v>0</v>
          </cell>
          <cell r="X581">
            <v>0</v>
          </cell>
          <cell r="Y581" t="str">
            <v/>
          </cell>
          <cell r="Z581" t="str">
            <v>BUY</v>
          </cell>
          <cell r="AA581" t="str">
            <v/>
          </cell>
        </row>
        <row r="582">
          <cell r="A582" t="str">
            <v>A</v>
          </cell>
          <cell r="F582" t="str">
            <v>8195</v>
          </cell>
          <cell r="G582" t="str">
            <v>A</v>
          </cell>
          <cell r="H582">
            <v>10</v>
          </cell>
          <cell r="I582" t="str">
            <v>Other Community Facility Expense</v>
          </cell>
          <cell r="J582" t="str">
            <v>Other Community Facility Expense</v>
          </cell>
          <cell r="K582">
            <v>0</v>
          </cell>
          <cell r="L582">
            <v>0</v>
          </cell>
          <cell r="M582">
            <v>0</v>
          </cell>
          <cell r="N582">
            <v>0</v>
          </cell>
          <cell r="O582">
            <v>0</v>
          </cell>
          <cell r="P582">
            <v>0</v>
          </cell>
          <cell r="Q582" t="str">
            <v/>
          </cell>
          <cell r="R582" t="str">
            <v/>
          </cell>
          <cell r="S582" t="str">
            <v/>
          </cell>
          <cell r="T582" t="str">
            <v/>
          </cell>
          <cell r="U582" t="str">
            <v/>
          </cell>
          <cell r="V582" t="str">
            <v/>
          </cell>
          <cell r="W582">
            <v>0</v>
          </cell>
          <cell r="X582">
            <v>0</v>
          </cell>
          <cell r="Y582" t="str">
            <v/>
          </cell>
          <cell r="Z582" t="str">
            <v>BUY</v>
          </cell>
          <cell r="AA582" t="str">
            <v/>
          </cell>
        </row>
        <row r="583">
          <cell r="A583" t="str">
            <v>A</v>
          </cell>
          <cell r="F583" t="str">
            <v>8310</v>
          </cell>
          <cell r="G583" t="str">
            <v>A</v>
          </cell>
          <cell r="H583">
            <v>11</v>
          </cell>
          <cell r="I583" t="str">
            <v>Marina Income</v>
          </cell>
          <cell r="J583" t="str">
            <v>Marina Income</v>
          </cell>
          <cell r="K583">
            <v>0</v>
          </cell>
          <cell r="L583">
            <v>0</v>
          </cell>
          <cell r="M583">
            <v>0</v>
          </cell>
          <cell r="N583">
            <v>0</v>
          </cell>
          <cell r="O583">
            <v>0</v>
          </cell>
          <cell r="P583">
            <v>0</v>
          </cell>
          <cell r="Q583" t="str">
            <v/>
          </cell>
          <cell r="R583" t="str">
            <v/>
          </cell>
          <cell r="S583" t="str">
            <v/>
          </cell>
          <cell r="T583" t="str">
            <v/>
          </cell>
          <cell r="U583" t="str">
            <v/>
          </cell>
          <cell r="V583" t="str">
            <v/>
          </cell>
          <cell r="W583">
            <v>0</v>
          </cell>
          <cell r="X583">
            <v>0</v>
          </cell>
          <cell r="Y583" t="str">
            <v/>
          </cell>
          <cell r="Z583" t="str">
            <v>BUY</v>
          </cell>
          <cell r="AA583" t="str">
            <v/>
          </cell>
        </row>
        <row r="584">
          <cell r="A584" t="str">
            <v>A</v>
          </cell>
          <cell r="F584" t="str">
            <v>8315</v>
          </cell>
          <cell r="G584" t="str">
            <v>A</v>
          </cell>
          <cell r="H584">
            <v>11</v>
          </cell>
          <cell r="I584" t="str">
            <v>Marina Fund Interest</v>
          </cell>
          <cell r="J584" t="str">
            <v>Marina Fund Interest</v>
          </cell>
          <cell r="K584">
            <v>0</v>
          </cell>
          <cell r="L584">
            <v>0</v>
          </cell>
          <cell r="M584">
            <v>0</v>
          </cell>
          <cell r="N584">
            <v>0</v>
          </cell>
          <cell r="O584">
            <v>0</v>
          </cell>
          <cell r="P584">
            <v>0</v>
          </cell>
          <cell r="Q584" t="str">
            <v/>
          </cell>
          <cell r="R584" t="str">
            <v/>
          </cell>
          <cell r="S584" t="str">
            <v/>
          </cell>
          <cell r="T584" t="str">
            <v/>
          </cell>
          <cell r="U584" t="str">
            <v/>
          </cell>
          <cell r="V584" t="str">
            <v/>
          </cell>
          <cell r="W584">
            <v>0</v>
          </cell>
          <cell r="X584">
            <v>0</v>
          </cell>
          <cell r="Y584" t="str">
            <v/>
          </cell>
          <cell r="Z584" t="str">
            <v>BUY</v>
          </cell>
          <cell r="AA584" t="str">
            <v/>
          </cell>
        </row>
        <row r="585">
          <cell r="A585" t="str">
            <v>A</v>
          </cell>
          <cell r="F585" t="str">
            <v>8345</v>
          </cell>
          <cell r="G585" t="str">
            <v>A</v>
          </cell>
          <cell r="H585">
            <v>11</v>
          </cell>
          <cell r="I585" t="str">
            <v>Dock Installation/Removal</v>
          </cell>
          <cell r="J585" t="str">
            <v>Dock Installation/Removal</v>
          </cell>
          <cell r="K585">
            <v>0</v>
          </cell>
          <cell r="L585">
            <v>0</v>
          </cell>
          <cell r="M585">
            <v>0</v>
          </cell>
          <cell r="N585">
            <v>0</v>
          </cell>
          <cell r="O585">
            <v>0</v>
          </cell>
          <cell r="P585">
            <v>0</v>
          </cell>
          <cell r="Q585" t="str">
            <v/>
          </cell>
          <cell r="R585" t="str">
            <v/>
          </cell>
          <cell r="S585" t="str">
            <v/>
          </cell>
          <cell r="T585" t="str">
            <v/>
          </cell>
          <cell r="U585" t="str">
            <v/>
          </cell>
          <cell r="V585" t="str">
            <v/>
          </cell>
          <cell r="W585">
            <v>0</v>
          </cell>
          <cell r="X585">
            <v>0</v>
          </cell>
          <cell r="Y585" t="str">
            <v/>
          </cell>
          <cell r="Z585" t="str">
            <v>BUY</v>
          </cell>
          <cell r="AA585" t="str">
            <v/>
          </cell>
        </row>
        <row r="586">
          <cell r="A586" t="str">
            <v>A</v>
          </cell>
          <cell r="F586" t="str">
            <v>8350</v>
          </cell>
          <cell r="G586" t="str">
            <v>A</v>
          </cell>
          <cell r="H586">
            <v>11</v>
          </cell>
          <cell r="I586" t="str">
            <v>Dock Repairs &amp; Maintenance</v>
          </cell>
          <cell r="J586" t="str">
            <v>Dock Repairs &amp; Maintenance</v>
          </cell>
          <cell r="K586">
            <v>0</v>
          </cell>
          <cell r="L586">
            <v>0</v>
          </cell>
          <cell r="M586">
            <v>0</v>
          </cell>
          <cell r="N586">
            <v>0</v>
          </cell>
          <cell r="O586">
            <v>0</v>
          </cell>
          <cell r="P586">
            <v>0</v>
          </cell>
          <cell r="Q586" t="str">
            <v/>
          </cell>
          <cell r="R586" t="str">
            <v/>
          </cell>
          <cell r="S586" t="str">
            <v/>
          </cell>
          <cell r="T586" t="str">
            <v/>
          </cell>
          <cell r="U586" t="str">
            <v/>
          </cell>
          <cell r="V586" t="str">
            <v/>
          </cell>
          <cell r="W586">
            <v>0</v>
          </cell>
          <cell r="X586">
            <v>0</v>
          </cell>
          <cell r="Y586" t="str">
            <v/>
          </cell>
          <cell r="Z586" t="str">
            <v>BUY</v>
          </cell>
          <cell r="AA586" t="str">
            <v/>
          </cell>
        </row>
        <row r="587">
          <cell r="A587" t="str">
            <v>A</v>
          </cell>
          <cell r="F587" t="str">
            <v>8360</v>
          </cell>
          <cell r="G587" t="str">
            <v>A</v>
          </cell>
          <cell r="H587">
            <v>11</v>
          </cell>
          <cell r="I587" t="str">
            <v>Beach Maintenance</v>
          </cell>
          <cell r="J587" t="str">
            <v>Beach Maintenance</v>
          </cell>
          <cell r="K587">
            <v>0</v>
          </cell>
          <cell r="L587">
            <v>0</v>
          </cell>
          <cell r="M587">
            <v>0</v>
          </cell>
          <cell r="N587">
            <v>0</v>
          </cell>
          <cell r="O587">
            <v>0</v>
          </cell>
          <cell r="P587">
            <v>0</v>
          </cell>
          <cell r="Q587" t="str">
            <v/>
          </cell>
          <cell r="R587" t="str">
            <v/>
          </cell>
          <cell r="S587" t="str">
            <v/>
          </cell>
          <cell r="T587" t="str">
            <v/>
          </cell>
          <cell r="U587" t="str">
            <v/>
          </cell>
          <cell r="V587" t="str">
            <v/>
          </cell>
          <cell r="W587">
            <v>0</v>
          </cell>
          <cell r="X587">
            <v>0</v>
          </cell>
          <cell r="Y587" t="str">
            <v/>
          </cell>
          <cell r="Z587" t="str">
            <v>BUY</v>
          </cell>
          <cell r="AA587" t="str">
            <v/>
          </cell>
        </row>
        <row r="588">
          <cell r="A588" t="str">
            <v>A</v>
          </cell>
          <cell r="F588" t="str">
            <v>8370</v>
          </cell>
          <cell r="G588" t="str">
            <v>A</v>
          </cell>
          <cell r="H588">
            <v>11</v>
          </cell>
          <cell r="I588" t="str">
            <v>Reserve: Dock Replacment</v>
          </cell>
          <cell r="J588" t="str">
            <v>Reserve: Dock Replacment</v>
          </cell>
          <cell r="K588">
            <v>0</v>
          </cell>
          <cell r="L588">
            <v>0</v>
          </cell>
          <cell r="M588">
            <v>0</v>
          </cell>
          <cell r="N588">
            <v>0</v>
          </cell>
          <cell r="O588">
            <v>0</v>
          </cell>
          <cell r="P588">
            <v>0</v>
          </cell>
          <cell r="Q588" t="str">
            <v/>
          </cell>
          <cell r="R588" t="str">
            <v/>
          </cell>
          <cell r="S588" t="str">
            <v/>
          </cell>
          <cell r="T588" t="str">
            <v/>
          </cell>
          <cell r="U588" t="str">
            <v/>
          </cell>
          <cell r="V588" t="str">
            <v/>
          </cell>
          <cell r="W588">
            <v>0</v>
          </cell>
          <cell r="X588">
            <v>0</v>
          </cell>
          <cell r="Y588" t="str">
            <v/>
          </cell>
          <cell r="Z588" t="str">
            <v>BUY</v>
          </cell>
          <cell r="AA588" t="str">
            <v/>
          </cell>
        </row>
        <row r="589">
          <cell r="A589" t="str">
            <v>A</v>
          </cell>
          <cell r="F589" t="str">
            <v>8380</v>
          </cell>
          <cell r="G589" t="str">
            <v>A</v>
          </cell>
          <cell r="H589">
            <v>11</v>
          </cell>
          <cell r="I589" t="str">
            <v>Reserve: Beach Replacement</v>
          </cell>
          <cell r="J589" t="str">
            <v>Reserve: Beach Replacement</v>
          </cell>
          <cell r="K589">
            <v>0</v>
          </cell>
          <cell r="L589">
            <v>0</v>
          </cell>
          <cell r="M589">
            <v>0</v>
          </cell>
          <cell r="N589">
            <v>0</v>
          </cell>
          <cell r="O589">
            <v>0</v>
          </cell>
          <cell r="P589">
            <v>0</v>
          </cell>
          <cell r="Q589" t="str">
            <v/>
          </cell>
          <cell r="R589" t="str">
            <v/>
          </cell>
          <cell r="S589" t="str">
            <v/>
          </cell>
          <cell r="T589" t="str">
            <v/>
          </cell>
          <cell r="U589" t="str">
            <v/>
          </cell>
          <cell r="V589" t="str">
            <v/>
          </cell>
          <cell r="W589">
            <v>0</v>
          </cell>
          <cell r="X589">
            <v>0</v>
          </cell>
          <cell r="Y589" t="str">
            <v/>
          </cell>
          <cell r="Z589" t="str">
            <v>BUY</v>
          </cell>
          <cell r="AA589" t="str">
            <v/>
          </cell>
        </row>
        <row r="590">
          <cell r="A590" t="str">
            <v>A</v>
          </cell>
          <cell r="F590" t="str">
            <v>8500</v>
          </cell>
          <cell r="G590" t="str">
            <v>A</v>
          </cell>
          <cell r="H590">
            <v>12</v>
          </cell>
          <cell r="I590" t="str">
            <v>Office Rent</v>
          </cell>
          <cell r="J590" t="str">
            <v>Office Rent</v>
          </cell>
          <cell r="K590">
            <v>0</v>
          </cell>
          <cell r="L590">
            <v>0</v>
          </cell>
          <cell r="M590">
            <v>0</v>
          </cell>
          <cell r="N590">
            <v>0</v>
          </cell>
          <cell r="O590">
            <v>0</v>
          </cell>
          <cell r="P590">
            <v>0</v>
          </cell>
          <cell r="Q590" t="str">
            <v/>
          </cell>
          <cell r="R590" t="str">
            <v/>
          </cell>
          <cell r="S590" t="str">
            <v/>
          </cell>
          <cell r="T590" t="str">
            <v/>
          </cell>
          <cell r="U590" t="str">
            <v/>
          </cell>
          <cell r="V590" t="str">
            <v/>
          </cell>
          <cell r="W590">
            <v>0</v>
          </cell>
          <cell r="X590">
            <v>0</v>
          </cell>
          <cell r="Y590" t="str">
            <v/>
          </cell>
          <cell r="Z590" t="str">
            <v>BUY</v>
          </cell>
          <cell r="AA590" t="str">
            <v/>
          </cell>
        </row>
        <row r="591">
          <cell r="A591" t="str">
            <v>A</v>
          </cell>
          <cell r="F591" t="str">
            <v>8501</v>
          </cell>
          <cell r="G591" t="str">
            <v>A</v>
          </cell>
          <cell r="H591">
            <v>12</v>
          </cell>
          <cell r="I591" t="str">
            <v>Charges From LMS</v>
          </cell>
          <cell r="J591" t="str">
            <v>Charges From LMS</v>
          </cell>
          <cell r="K591">
            <v>0</v>
          </cell>
          <cell r="L591">
            <v>0</v>
          </cell>
          <cell r="M591">
            <v>0</v>
          </cell>
          <cell r="N591">
            <v>0</v>
          </cell>
          <cell r="O591">
            <v>0</v>
          </cell>
          <cell r="P591">
            <v>0</v>
          </cell>
          <cell r="Q591" t="str">
            <v/>
          </cell>
          <cell r="R591" t="str">
            <v/>
          </cell>
          <cell r="S591" t="str">
            <v/>
          </cell>
          <cell r="T591" t="str">
            <v/>
          </cell>
          <cell r="U591" t="str">
            <v/>
          </cell>
          <cell r="V591" t="str">
            <v/>
          </cell>
          <cell r="W591">
            <v>0</v>
          </cell>
          <cell r="X591">
            <v>0</v>
          </cell>
          <cell r="Y591" t="str">
            <v/>
          </cell>
          <cell r="Z591" t="str">
            <v>BUY</v>
          </cell>
          <cell r="AA591" t="str">
            <v/>
          </cell>
        </row>
        <row r="592">
          <cell r="A592" t="str">
            <v>A</v>
          </cell>
          <cell r="F592" t="str">
            <v>8505</v>
          </cell>
          <cell r="G592" t="str">
            <v>A</v>
          </cell>
          <cell r="H592">
            <v>12</v>
          </cell>
          <cell r="I592" t="str">
            <v>Management Contract</v>
          </cell>
          <cell r="J592" t="str">
            <v>Management Contract</v>
          </cell>
          <cell r="K592">
            <v>0</v>
          </cell>
          <cell r="L592">
            <v>0</v>
          </cell>
          <cell r="M592">
            <v>56700</v>
          </cell>
          <cell r="N592">
            <v>54625</v>
          </cell>
          <cell r="O592">
            <v>31906</v>
          </cell>
          <cell r="P592">
            <v>-24794</v>
          </cell>
          <cell r="Q592">
            <v>-0.43728395061728398</v>
          </cell>
          <cell r="R592" t="str">
            <v>GL 5115 Lieberman Management Services - Manager budgeted in GL 7011</v>
          </cell>
          <cell r="S592" t="str">
            <v>LMS</v>
          </cell>
          <cell r="T592">
            <v>40118</v>
          </cell>
          <cell r="U592">
            <v>41213</v>
          </cell>
          <cell r="V592" t="str">
            <v>$2,650 per month,  4% increase 11/1/2010</v>
          </cell>
          <cell r="W592">
            <v>143231</v>
          </cell>
          <cell r="X592">
            <v>0</v>
          </cell>
          <cell r="Y592" t="str">
            <v>A</v>
          </cell>
          <cell r="Z592" t="str">
            <v>BUY</v>
          </cell>
          <cell r="AA592" t="str">
            <v/>
          </cell>
        </row>
        <row r="593">
          <cell r="A593" t="str">
            <v>A</v>
          </cell>
          <cell r="F593" t="str">
            <v>8505-5</v>
          </cell>
          <cell r="G593" t="str">
            <v>A</v>
          </cell>
          <cell r="H593">
            <v>12</v>
          </cell>
          <cell r="I593" t="str">
            <v>Management Contract</v>
          </cell>
          <cell r="J593" t="str">
            <v>Management Contract</v>
          </cell>
          <cell r="K593">
            <v>0</v>
          </cell>
          <cell r="L593">
            <v>0</v>
          </cell>
          <cell r="M593">
            <v>0</v>
          </cell>
          <cell r="N593">
            <v>0</v>
          </cell>
          <cell r="O593">
            <v>0</v>
          </cell>
          <cell r="P593">
            <v>0</v>
          </cell>
          <cell r="Q593" t="str">
            <v/>
          </cell>
          <cell r="R593" t="str">
            <v/>
          </cell>
          <cell r="S593" t="str">
            <v/>
          </cell>
          <cell r="T593" t="str">
            <v/>
          </cell>
          <cell r="U593" t="str">
            <v/>
          </cell>
          <cell r="V593" t="str">
            <v/>
          </cell>
          <cell r="W593">
            <v>0</v>
          </cell>
          <cell r="X593">
            <v>0</v>
          </cell>
          <cell r="Y593" t="str">
            <v/>
          </cell>
          <cell r="Z593" t="str">
            <v>BUY</v>
          </cell>
          <cell r="AA593" t="str">
            <v/>
          </cell>
        </row>
        <row r="594">
          <cell r="A594" t="str">
            <v>A</v>
          </cell>
          <cell r="F594" t="str">
            <v>8510</v>
          </cell>
          <cell r="G594" t="str">
            <v>A</v>
          </cell>
          <cell r="H594">
            <v>12</v>
          </cell>
          <cell r="I594" t="str">
            <v>All Administrative Expense</v>
          </cell>
          <cell r="J594" t="str">
            <v>All Administrative Expense</v>
          </cell>
          <cell r="K594">
            <v>0</v>
          </cell>
          <cell r="L594">
            <v>0</v>
          </cell>
          <cell r="M594">
            <v>0</v>
          </cell>
          <cell r="N594">
            <v>0</v>
          </cell>
          <cell r="O594">
            <v>0</v>
          </cell>
          <cell r="P594">
            <v>0</v>
          </cell>
          <cell r="Q594" t="str">
            <v/>
          </cell>
          <cell r="R594" t="str">
            <v/>
          </cell>
          <cell r="S594" t="str">
            <v/>
          </cell>
          <cell r="T594" t="str">
            <v/>
          </cell>
          <cell r="U594" t="str">
            <v/>
          </cell>
          <cell r="V594" t="str">
            <v/>
          </cell>
          <cell r="W594">
            <v>0</v>
          </cell>
          <cell r="X594">
            <v>0</v>
          </cell>
          <cell r="Y594" t="str">
            <v/>
          </cell>
          <cell r="Z594" t="str">
            <v>BUY</v>
          </cell>
          <cell r="AA594" t="str">
            <v/>
          </cell>
        </row>
        <row r="595">
          <cell r="A595" t="str">
            <v>A</v>
          </cell>
          <cell r="F595" t="str">
            <v>8515</v>
          </cell>
          <cell r="G595" t="str">
            <v>A</v>
          </cell>
          <cell r="H595">
            <v>12</v>
          </cell>
          <cell r="I595" t="str">
            <v>Advertising</v>
          </cell>
          <cell r="J595" t="str">
            <v>Advertising</v>
          </cell>
          <cell r="K595">
            <v>0</v>
          </cell>
          <cell r="L595">
            <v>0</v>
          </cell>
          <cell r="M595">
            <v>0</v>
          </cell>
          <cell r="N595">
            <v>0</v>
          </cell>
          <cell r="O595">
            <v>0</v>
          </cell>
          <cell r="P595">
            <v>0</v>
          </cell>
          <cell r="Q595" t="str">
            <v/>
          </cell>
          <cell r="R595" t="str">
            <v/>
          </cell>
          <cell r="S595" t="str">
            <v/>
          </cell>
          <cell r="T595" t="str">
            <v/>
          </cell>
          <cell r="U595" t="str">
            <v/>
          </cell>
          <cell r="V595" t="str">
            <v/>
          </cell>
          <cell r="W595">
            <v>0</v>
          </cell>
          <cell r="X595">
            <v>0</v>
          </cell>
          <cell r="Y595" t="str">
            <v/>
          </cell>
          <cell r="Z595" t="str">
            <v>BUY</v>
          </cell>
          <cell r="AA595" t="str">
            <v/>
          </cell>
        </row>
        <row r="596">
          <cell r="A596" t="str">
            <v>A</v>
          </cell>
          <cell r="F596" t="str">
            <v>8520</v>
          </cell>
          <cell r="G596" t="str">
            <v>A</v>
          </cell>
          <cell r="H596">
            <v>12</v>
          </cell>
          <cell r="I596" t="str">
            <v>Legal Services (Residents)</v>
          </cell>
          <cell r="J596" t="str">
            <v>Legal Services (Residents)</v>
          </cell>
          <cell r="K596">
            <v>0</v>
          </cell>
          <cell r="L596">
            <v>0</v>
          </cell>
          <cell r="M596">
            <v>0</v>
          </cell>
          <cell r="N596">
            <v>0</v>
          </cell>
          <cell r="O596">
            <v>2000</v>
          </cell>
          <cell r="P596">
            <v>2000</v>
          </cell>
          <cell r="Q596" t="str">
            <v/>
          </cell>
          <cell r="R596" t="str">
            <v>Unit legal collections-fees charged back in GL 8520-5</v>
          </cell>
          <cell r="S596" t="str">
            <v/>
          </cell>
          <cell r="T596" t="str">
            <v/>
          </cell>
          <cell r="U596" t="str">
            <v/>
          </cell>
          <cell r="V596" t="str">
            <v/>
          </cell>
          <cell r="W596">
            <v>2000</v>
          </cell>
          <cell r="X596">
            <v>0</v>
          </cell>
          <cell r="Y596" t="str">
            <v>A</v>
          </cell>
          <cell r="Z596" t="str">
            <v>BUY</v>
          </cell>
          <cell r="AA596" t="str">
            <v/>
          </cell>
        </row>
        <row r="597">
          <cell r="A597" t="str">
            <v>A</v>
          </cell>
          <cell r="F597" t="str">
            <v>8520-0005</v>
          </cell>
          <cell r="G597" t="str">
            <v>A</v>
          </cell>
          <cell r="H597">
            <v>12</v>
          </cell>
          <cell r="I597" t="str">
            <v>Legal Serv Reimb (Resident)</v>
          </cell>
          <cell r="J597" t="str">
            <v>Legal Serv Reimb (Resident)</v>
          </cell>
          <cell r="K597">
            <v>0</v>
          </cell>
          <cell r="L597">
            <v>0</v>
          </cell>
          <cell r="M597">
            <v>0</v>
          </cell>
          <cell r="N597">
            <v>0</v>
          </cell>
          <cell r="O597">
            <v>0</v>
          </cell>
          <cell r="P597">
            <v>0</v>
          </cell>
          <cell r="Q597" t="str">
            <v/>
          </cell>
          <cell r="R597" t="str">
            <v/>
          </cell>
          <cell r="S597" t="str">
            <v/>
          </cell>
          <cell r="T597" t="str">
            <v/>
          </cell>
          <cell r="U597" t="str">
            <v/>
          </cell>
          <cell r="V597" t="str">
            <v/>
          </cell>
          <cell r="W597">
            <v>0</v>
          </cell>
          <cell r="X597">
            <v>0</v>
          </cell>
          <cell r="Y597" t="str">
            <v/>
          </cell>
          <cell r="Z597" t="str">
            <v>BUY</v>
          </cell>
          <cell r="AA597" t="str">
            <v/>
          </cell>
        </row>
        <row r="598">
          <cell r="A598" t="str">
            <v>A</v>
          </cell>
          <cell r="F598" t="str">
            <v>8520-1</v>
          </cell>
          <cell r="G598" t="str">
            <v>A</v>
          </cell>
          <cell r="H598">
            <v>12</v>
          </cell>
          <cell r="I598" t="str">
            <v>Legal Services (Residents)</v>
          </cell>
          <cell r="J598" t="str">
            <v>Legal Services (Residents)</v>
          </cell>
          <cell r="K598">
            <v>0</v>
          </cell>
          <cell r="L598">
            <v>0</v>
          </cell>
          <cell r="M598">
            <v>0</v>
          </cell>
          <cell r="N598">
            <v>0</v>
          </cell>
          <cell r="O598">
            <v>0</v>
          </cell>
          <cell r="P598">
            <v>0</v>
          </cell>
          <cell r="Q598" t="str">
            <v/>
          </cell>
          <cell r="R598" t="str">
            <v/>
          </cell>
          <cell r="S598" t="str">
            <v/>
          </cell>
          <cell r="T598" t="str">
            <v/>
          </cell>
          <cell r="U598" t="str">
            <v/>
          </cell>
          <cell r="V598" t="str">
            <v/>
          </cell>
          <cell r="W598">
            <v>0</v>
          </cell>
          <cell r="X598">
            <v>0</v>
          </cell>
          <cell r="Y598" t="str">
            <v/>
          </cell>
          <cell r="Z598" t="str">
            <v>BUY</v>
          </cell>
          <cell r="AA598" t="str">
            <v/>
          </cell>
        </row>
        <row r="599">
          <cell r="A599" t="str">
            <v>A</v>
          </cell>
          <cell r="F599" t="str">
            <v>8520-1005</v>
          </cell>
          <cell r="G599" t="str">
            <v>A</v>
          </cell>
          <cell r="H599">
            <v>12</v>
          </cell>
          <cell r="I599" t="str">
            <v>Legal Serv Reimb (Resident)</v>
          </cell>
          <cell r="J599" t="str">
            <v>Legal Serv Reimb (Resident)</v>
          </cell>
          <cell r="K599">
            <v>0</v>
          </cell>
          <cell r="L599">
            <v>0</v>
          </cell>
          <cell r="M599">
            <v>0</v>
          </cell>
          <cell r="N599">
            <v>0</v>
          </cell>
          <cell r="O599">
            <v>0</v>
          </cell>
          <cell r="P599">
            <v>0</v>
          </cell>
          <cell r="Q599" t="str">
            <v/>
          </cell>
          <cell r="R599" t="str">
            <v/>
          </cell>
          <cell r="S599" t="str">
            <v/>
          </cell>
          <cell r="T599" t="str">
            <v/>
          </cell>
          <cell r="U599" t="str">
            <v/>
          </cell>
          <cell r="V599" t="str">
            <v/>
          </cell>
          <cell r="W599">
            <v>0</v>
          </cell>
          <cell r="X599">
            <v>0</v>
          </cell>
          <cell r="Y599" t="str">
            <v/>
          </cell>
          <cell r="Z599" t="str">
            <v>BUY</v>
          </cell>
          <cell r="AA599" t="str">
            <v/>
          </cell>
        </row>
        <row r="600">
          <cell r="A600" t="str">
            <v>A</v>
          </cell>
          <cell r="F600" t="str">
            <v>8520-2</v>
          </cell>
          <cell r="G600" t="str">
            <v>A</v>
          </cell>
          <cell r="H600">
            <v>12</v>
          </cell>
          <cell r="I600" t="str">
            <v>Legal Services (Residents)</v>
          </cell>
          <cell r="J600" t="str">
            <v>Legal Services (Residents)</v>
          </cell>
          <cell r="K600">
            <v>0</v>
          </cell>
          <cell r="L600">
            <v>0</v>
          </cell>
          <cell r="M600">
            <v>0</v>
          </cell>
          <cell r="N600">
            <v>0</v>
          </cell>
          <cell r="O600">
            <v>0</v>
          </cell>
          <cell r="P600">
            <v>0</v>
          </cell>
          <cell r="Q600" t="str">
            <v/>
          </cell>
          <cell r="R600" t="str">
            <v/>
          </cell>
          <cell r="S600" t="str">
            <v/>
          </cell>
          <cell r="T600" t="str">
            <v/>
          </cell>
          <cell r="U600" t="str">
            <v/>
          </cell>
          <cell r="V600" t="str">
            <v/>
          </cell>
          <cell r="W600">
            <v>0</v>
          </cell>
          <cell r="X600">
            <v>0</v>
          </cell>
          <cell r="Y600" t="str">
            <v/>
          </cell>
          <cell r="Z600" t="str">
            <v>BUY</v>
          </cell>
          <cell r="AA600" t="str">
            <v/>
          </cell>
        </row>
        <row r="601">
          <cell r="A601" t="str">
            <v>A</v>
          </cell>
          <cell r="F601" t="str">
            <v>8520-2005</v>
          </cell>
          <cell r="G601" t="str">
            <v>A</v>
          </cell>
          <cell r="H601">
            <v>12</v>
          </cell>
          <cell r="I601" t="str">
            <v>Legal Serv Reimb (Resident)</v>
          </cell>
          <cell r="J601" t="str">
            <v>Legal Serv Reimb (Resident)</v>
          </cell>
          <cell r="K601">
            <v>0</v>
          </cell>
          <cell r="L601">
            <v>0</v>
          </cell>
          <cell r="M601">
            <v>0</v>
          </cell>
          <cell r="N601">
            <v>0</v>
          </cell>
          <cell r="O601">
            <v>0</v>
          </cell>
          <cell r="P601">
            <v>0</v>
          </cell>
          <cell r="Q601" t="str">
            <v/>
          </cell>
          <cell r="R601" t="str">
            <v/>
          </cell>
          <cell r="S601" t="str">
            <v/>
          </cell>
          <cell r="T601" t="str">
            <v/>
          </cell>
          <cell r="U601" t="str">
            <v/>
          </cell>
          <cell r="V601" t="str">
            <v/>
          </cell>
          <cell r="W601">
            <v>0</v>
          </cell>
          <cell r="X601">
            <v>0</v>
          </cell>
          <cell r="Y601" t="str">
            <v/>
          </cell>
          <cell r="Z601" t="str">
            <v>BUY</v>
          </cell>
          <cell r="AA601" t="str">
            <v/>
          </cell>
        </row>
        <row r="602">
          <cell r="A602" t="str">
            <v>A</v>
          </cell>
          <cell r="F602" t="str">
            <v>8520-3</v>
          </cell>
          <cell r="G602" t="str">
            <v>A</v>
          </cell>
          <cell r="H602">
            <v>12</v>
          </cell>
          <cell r="I602" t="str">
            <v>Legal Services (Residents)</v>
          </cell>
          <cell r="J602" t="str">
            <v>Legal Services (Residents)</v>
          </cell>
          <cell r="K602">
            <v>0</v>
          </cell>
          <cell r="L602">
            <v>0</v>
          </cell>
          <cell r="M602">
            <v>0</v>
          </cell>
          <cell r="N602">
            <v>0</v>
          </cell>
          <cell r="O602">
            <v>0</v>
          </cell>
          <cell r="P602">
            <v>0</v>
          </cell>
          <cell r="Q602" t="str">
            <v/>
          </cell>
          <cell r="R602" t="str">
            <v/>
          </cell>
          <cell r="S602" t="str">
            <v/>
          </cell>
          <cell r="T602" t="str">
            <v/>
          </cell>
          <cell r="U602" t="str">
            <v/>
          </cell>
          <cell r="V602" t="str">
            <v/>
          </cell>
          <cell r="W602">
            <v>0</v>
          </cell>
          <cell r="X602">
            <v>0</v>
          </cell>
          <cell r="Y602" t="str">
            <v/>
          </cell>
          <cell r="Z602" t="str">
            <v>BUY</v>
          </cell>
          <cell r="AA602" t="str">
            <v/>
          </cell>
        </row>
        <row r="603">
          <cell r="A603" t="str">
            <v>A</v>
          </cell>
          <cell r="F603" t="str">
            <v>8520-3005</v>
          </cell>
          <cell r="G603" t="str">
            <v>A</v>
          </cell>
          <cell r="H603">
            <v>12</v>
          </cell>
          <cell r="I603" t="str">
            <v>Legal Serv Reimb (Resident)</v>
          </cell>
          <cell r="J603" t="str">
            <v>Legal Serv Reimb (Resident)</v>
          </cell>
          <cell r="K603">
            <v>0</v>
          </cell>
          <cell r="L603">
            <v>0</v>
          </cell>
          <cell r="M603">
            <v>0</v>
          </cell>
          <cell r="N603">
            <v>0</v>
          </cell>
          <cell r="O603">
            <v>0</v>
          </cell>
          <cell r="P603">
            <v>0</v>
          </cell>
          <cell r="Q603" t="str">
            <v/>
          </cell>
          <cell r="R603" t="str">
            <v/>
          </cell>
          <cell r="S603" t="str">
            <v/>
          </cell>
          <cell r="T603" t="str">
            <v/>
          </cell>
          <cell r="U603" t="str">
            <v/>
          </cell>
          <cell r="V603" t="str">
            <v/>
          </cell>
          <cell r="W603">
            <v>0</v>
          </cell>
          <cell r="X603">
            <v>0</v>
          </cell>
          <cell r="Y603" t="str">
            <v/>
          </cell>
          <cell r="Z603" t="str">
            <v>BUY</v>
          </cell>
          <cell r="AA603" t="str">
            <v/>
          </cell>
        </row>
        <row r="604">
          <cell r="A604" t="str">
            <v>A</v>
          </cell>
          <cell r="F604" t="str">
            <v>8520-4</v>
          </cell>
          <cell r="G604" t="str">
            <v>A</v>
          </cell>
          <cell r="H604">
            <v>12</v>
          </cell>
          <cell r="I604" t="str">
            <v>Legal Services (Residents)</v>
          </cell>
          <cell r="J604" t="str">
            <v>Legal Services (Residents)</v>
          </cell>
          <cell r="K604">
            <v>0</v>
          </cell>
          <cell r="L604">
            <v>0</v>
          </cell>
          <cell r="M604">
            <v>0</v>
          </cell>
          <cell r="N604">
            <v>0</v>
          </cell>
          <cell r="O604">
            <v>0</v>
          </cell>
          <cell r="P604">
            <v>0</v>
          </cell>
          <cell r="Q604" t="str">
            <v/>
          </cell>
          <cell r="R604" t="str">
            <v/>
          </cell>
          <cell r="S604" t="str">
            <v/>
          </cell>
          <cell r="T604" t="str">
            <v/>
          </cell>
          <cell r="U604" t="str">
            <v/>
          </cell>
          <cell r="V604" t="str">
            <v/>
          </cell>
          <cell r="W604">
            <v>0</v>
          </cell>
          <cell r="X604">
            <v>0</v>
          </cell>
          <cell r="Y604" t="str">
            <v/>
          </cell>
          <cell r="Z604" t="str">
            <v>BUY</v>
          </cell>
          <cell r="AA604" t="str">
            <v/>
          </cell>
        </row>
        <row r="605">
          <cell r="A605" t="str">
            <v>A</v>
          </cell>
          <cell r="F605" t="str">
            <v>8520-4005</v>
          </cell>
          <cell r="G605" t="str">
            <v>A</v>
          </cell>
          <cell r="H605">
            <v>12</v>
          </cell>
          <cell r="I605" t="str">
            <v>Legal Serv Reimb (Resident)</v>
          </cell>
          <cell r="J605" t="str">
            <v>Legal Serv Reimb (Resident)</v>
          </cell>
          <cell r="K605">
            <v>0</v>
          </cell>
          <cell r="L605">
            <v>0</v>
          </cell>
          <cell r="M605">
            <v>0</v>
          </cell>
          <cell r="N605">
            <v>0</v>
          </cell>
          <cell r="O605">
            <v>0</v>
          </cell>
          <cell r="P605">
            <v>0</v>
          </cell>
          <cell r="Q605" t="str">
            <v/>
          </cell>
          <cell r="R605" t="str">
            <v/>
          </cell>
          <cell r="S605" t="str">
            <v/>
          </cell>
          <cell r="T605" t="str">
            <v/>
          </cell>
          <cell r="U605" t="str">
            <v/>
          </cell>
          <cell r="V605" t="str">
            <v/>
          </cell>
          <cell r="W605">
            <v>0</v>
          </cell>
          <cell r="X605">
            <v>0</v>
          </cell>
          <cell r="Y605" t="str">
            <v/>
          </cell>
          <cell r="Z605" t="str">
            <v>BUY</v>
          </cell>
          <cell r="AA605" t="str">
            <v/>
          </cell>
        </row>
        <row r="606">
          <cell r="A606" t="str">
            <v>A</v>
          </cell>
          <cell r="F606" t="str">
            <v>8520-5</v>
          </cell>
          <cell r="G606" t="str">
            <v>A</v>
          </cell>
          <cell r="H606">
            <v>12</v>
          </cell>
          <cell r="I606" t="str">
            <v>Legal Services Reimb (Resident)</v>
          </cell>
          <cell r="J606" t="str">
            <v>Legal Services Reimb (Resident)</v>
          </cell>
          <cell r="K606">
            <v>0</v>
          </cell>
          <cell r="L606">
            <v>0</v>
          </cell>
          <cell r="M606">
            <v>-2850</v>
          </cell>
          <cell r="N606">
            <v>-523</v>
          </cell>
          <cell r="O606">
            <v>-2000</v>
          </cell>
          <cell r="P606">
            <v>850</v>
          </cell>
          <cell r="Q606">
            <v>-0.29824561403508776</v>
          </cell>
          <cell r="R606" t="str">
            <v>GL 4302 Legal invoices billed back to homeowners.</v>
          </cell>
          <cell r="S606" t="str">
            <v/>
          </cell>
          <cell r="T606" t="str">
            <v/>
          </cell>
          <cell r="U606" t="str">
            <v/>
          </cell>
          <cell r="V606" t="str">
            <v/>
          </cell>
          <cell r="W606">
            <v>-5373</v>
          </cell>
          <cell r="X606">
            <v>0</v>
          </cell>
          <cell r="Y606" t="str">
            <v>A</v>
          </cell>
          <cell r="Z606" t="str">
            <v>BUY</v>
          </cell>
          <cell r="AA606" t="str">
            <v/>
          </cell>
        </row>
        <row r="607">
          <cell r="A607" t="str">
            <v>A</v>
          </cell>
          <cell r="F607" t="str">
            <v>8520-5005</v>
          </cell>
          <cell r="G607" t="str">
            <v>A</v>
          </cell>
          <cell r="H607">
            <v>12</v>
          </cell>
          <cell r="I607" t="str">
            <v>Legal Serv Reimb (Resident)</v>
          </cell>
          <cell r="J607" t="str">
            <v>Legal Serv Reimb (Resident)</v>
          </cell>
          <cell r="K607">
            <v>0</v>
          </cell>
          <cell r="L607">
            <v>0</v>
          </cell>
          <cell r="M607">
            <v>0</v>
          </cell>
          <cell r="N607">
            <v>0</v>
          </cell>
          <cell r="O607">
            <v>0</v>
          </cell>
          <cell r="P607">
            <v>0</v>
          </cell>
          <cell r="Q607" t="str">
            <v/>
          </cell>
          <cell r="R607" t="str">
            <v/>
          </cell>
          <cell r="S607" t="str">
            <v/>
          </cell>
          <cell r="T607" t="str">
            <v/>
          </cell>
          <cell r="U607" t="str">
            <v/>
          </cell>
          <cell r="V607" t="str">
            <v/>
          </cell>
          <cell r="W607">
            <v>0</v>
          </cell>
          <cell r="X607">
            <v>0</v>
          </cell>
          <cell r="Y607" t="str">
            <v/>
          </cell>
          <cell r="Z607" t="str">
            <v>BUY</v>
          </cell>
          <cell r="AA607" t="str">
            <v/>
          </cell>
        </row>
        <row r="608">
          <cell r="A608" t="str">
            <v>A</v>
          </cell>
          <cell r="F608" t="str">
            <v>8521</v>
          </cell>
          <cell r="G608" t="str">
            <v>A</v>
          </cell>
          <cell r="H608">
            <v>12</v>
          </cell>
          <cell r="I608" t="str">
            <v>Legal Services (Assn)</v>
          </cell>
          <cell r="J608" t="str">
            <v>Legal Services (Assn)</v>
          </cell>
          <cell r="K608">
            <v>0</v>
          </cell>
          <cell r="L608">
            <v>0</v>
          </cell>
          <cell r="M608">
            <v>15000</v>
          </cell>
          <cell r="N608">
            <v>19205</v>
          </cell>
          <cell r="O608">
            <v>10000</v>
          </cell>
          <cell r="P608">
            <v>-5000</v>
          </cell>
          <cell r="Q608">
            <v>-0.33333333333333337</v>
          </cell>
          <cell r="R608" t="str">
            <v>GL 5101Based on historical figures from 2009 and possible increase in hourly rate from attorney. 2009 expenses include: Seal-tight litigation, HSZ lein, management negotiations, lawsuit slip/fall on property, 9E foreclosure using right of first refusal.</v>
          </cell>
          <cell r="S608" t="str">
            <v/>
          </cell>
          <cell r="T608" t="str">
            <v/>
          </cell>
          <cell r="U608" t="str">
            <v/>
          </cell>
          <cell r="V608" t="str">
            <v/>
          </cell>
          <cell r="W608">
            <v>44205</v>
          </cell>
          <cell r="X608">
            <v>0</v>
          </cell>
          <cell r="Y608" t="str">
            <v>A</v>
          </cell>
          <cell r="Z608" t="str">
            <v>BUY</v>
          </cell>
          <cell r="AA608" t="str">
            <v/>
          </cell>
        </row>
        <row r="609">
          <cell r="A609" t="str">
            <v>A</v>
          </cell>
          <cell r="F609" t="str">
            <v>8521-5</v>
          </cell>
          <cell r="G609" t="str">
            <v>A</v>
          </cell>
          <cell r="H609">
            <v>12</v>
          </cell>
          <cell r="I609" t="str">
            <v>Legal Services (Assn)</v>
          </cell>
          <cell r="J609" t="str">
            <v>Legal Services (Assn)</v>
          </cell>
          <cell r="K609">
            <v>0</v>
          </cell>
          <cell r="L609">
            <v>0</v>
          </cell>
          <cell r="M609">
            <v>0</v>
          </cell>
          <cell r="N609">
            <v>0</v>
          </cell>
          <cell r="O609">
            <v>0</v>
          </cell>
          <cell r="P609">
            <v>0</v>
          </cell>
          <cell r="Q609" t="str">
            <v/>
          </cell>
          <cell r="R609" t="str">
            <v/>
          </cell>
          <cell r="S609" t="str">
            <v/>
          </cell>
          <cell r="T609" t="str">
            <v/>
          </cell>
          <cell r="U609" t="str">
            <v/>
          </cell>
          <cell r="V609" t="str">
            <v/>
          </cell>
          <cell r="W609">
            <v>0</v>
          </cell>
          <cell r="X609">
            <v>0</v>
          </cell>
          <cell r="Y609" t="str">
            <v/>
          </cell>
          <cell r="Z609" t="str">
            <v>BUY</v>
          </cell>
          <cell r="AA609" t="str">
            <v/>
          </cell>
        </row>
        <row r="610">
          <cell r="A610" t="str">
            <v>A</v>
          </cell>
          <cell r="F610" t="str">
            <v>8522</v>
          </cell>
          <cell r="G610" t="str">
            <v>A</v>
          </cell>
          <cell r="H610">
            <v>12</v>
          </cell>
          <cell r="I610" t="str">
            <v>Legal Service Special</v>
          </cell>
          <cell r="J610" t="str">
            <v>Legal Service Special</v>
          </cell>
          <cell r="K610">
            <v>0</v>
          </cell>
          <cell r="L610">
            <v>0</v>
          </cell>
          <cell r="M610">
            <v>0</v>
          </cell>
          <cell r="N610">
            <v>0</v>
          </cell>
          <cell r="O610">
            <v>0</v>
          </cell>
          <cell r="P610">
            <v>0</v>
          </cell>
          <cell r="Q610" t="str">
            <v/>
          </cell>
          <cell r="R610" t="str">
            <v/>
          </cell>
          <cell r="S610" t="str">
            <v/>
          </cell>
          <cell r="T610" t="str">
            <v/>
          </cell>
          <cell r="U610" t="str">
            <v/>
          </cell>
          <cell r="V610" t="str">
            <v/>
          </cell>
          <cell r="W610">
            <v>0</v>
          </cell>
          <cell r="X610">
            <v>0</v>
          </cell>
          <cell r="Y610" t="str">
            <v/>
          </cell>
          <cell r="Z610" t="str">
            <v>BUY</v>
          </cell>
          <cell r="AA610" t="str">
            <v/>
          </cell>
        </row>
        <row r="611">
          <cell r="A611" t="str">
            <v>A</v>
          </cell>
          <cell r="F611" t="str">
            <v>8530</v>
          </cell>
          <cell r="G611" t="str">
            <v>A</v>
          </cell>
          <cell r="H611">
            <v>12</v>
          </cell>
          <cell r="I611" t="str">
            <v>Audit &amp; Financial Services</v>
          </cell>
          <cell r="J611" t="str">
            <v>Audit &amp; Financial Services</v>
          </cell>
          <cell r="K611">
            <v>0</v>
          </cell>
          <cell r="L611">
            <v>0</v>
          </cell>
          <cell r="M611">
            <v>12400</v>
          </cell>
          <cell r="N611">
            <v>7836</v>
          </cell>
          <cell r="O611">
            <v>8000</v>
          </cell>
          <cell r="P611">
            <v>-4400</v>
          </cell>
          <cell r="Q611">
            <v>-0.35483870967741937</v>
          </cell>
          <cell r="R611" t="str">
            <v>GL 5110 $6,500 for Audit and $1,500 for misc expenses</v>
          </cell>
          <cell r="S611" t="str">
            <v/>
          </cell>
          <cell r="T611" t="str">
            <v/>
          </cell>
          <cell r="U611" t="str">
            <v/>
          </cell>
          <cell r="V611" t="str">
            <v/>
          </cell>
          <cell r="W611">
            <v>28236</v>
          </cell>
          <cell r="X611">
            <v>0</v>
          </cell>
          <cell r="Y611" t="str">
            <v>A</v>
          </cell>
          <cell r="Z611" t="str">
            <v>BUY</v>
          </cell>
          <cell r="AA611" t="str">
            <v/>
          </cell>
        </row>
        <row r="612">
          <cell r="A612" t="str">
            <v>A</v>
          </cell>
          <cell r="F612" t="str">
            <v>8530-5</v>
          </cell>
          <cell r="G612" t="str">
            <v>A</v>
          </cell>
          <cell r="H612">
            <v>12</v>
          </cell>
          <cell r="I612" t="str">
            <v>Audit &amp; Financial Services</v>
          </cell>
          <cell r="J612" t="str">
            <v>Audit &amp; Financial Services</v>
          </cell>
          <cell r="K612">
            <v>0</v>
          </cell>
          <cell r="L612">
            <v>0</v>
          </cell>
          <cell r="M612">
            <v>0</v>
          </cell>
          <cell r="N612">
            <v>0</v>
          </cell>
          <cell r="O612">
            <v>0</v>
          </cell>
          <cell r="P612">
            <v>0</v>
          </cell>
          <cell r="Q612" t="str">
            <v/>
          </cell>
          <cell r="R612" t="str">
            <v/>
          </cell>
          <cell r="S612" t="str">
            <v/>
          </cell>
          <cell r="T612" t="str">
            <v/>
          </cell>
          <cell r="U612" t="str">
            <v/>
          </cell>
          <cell r="V612" t="str">
            <v/>
          </cell>
          <cell r="W612">
            <v>0</v>
          </cell>
          <cell r="X612">
            <v>0</v>
          </cell>
          <cell r="Y612" t="str">
            <v/>
          </cell>
          <cell r="Z612" t="str">
            <v>BUY</v>
          </cell>
          <cell r="AA612" t="str">
            <v/>
          </cell>
        </row>
        <row r="613">
          <cell r="A613" t="str">
            <v>A</v>
          </cell>
          <cell r="F613" t="str">
            <v>8540</v>
          </cell>
          <cell r="G613" t="str">
            <v>A</v>
          </cell>
          <cell r="H613">
            <v>12</v>
          </cell>
          <cell r="I613" t="str">
            <v>Professional Services</v>
          </cell>
          <cell r="J613" t="str">
            <v>Professional Services</v>
          </cell>
          <cell r="K613">
            <v>0</v>
          </cell>
          <cell r="L613">
            <v>0</v>
          </cell>
          <cell r="M613">
            <v>8000</v>
          </cell>
          <cell r="N613">
            <v>3850</v>
          </cell>
          <cell r="O613">
            <v>8000</v>
          </cell>
          <cell r="P613">
            <v>0</v>
          </cell>
          <cell r="Q613">
            <v>0</v>
          </cell>
          <cell r="R613" t="str">
            <v>GL 5125 Professional services such as roofing, electrical, plumbing, engineering. 2009 to include surveyor redesign.</v>
          </cell>
          <cell r="S613" t="str">
            <v/>
          </cell>
          <cell r="T613" t="str">
            <v/>
          </cell>
          <cell r="U613" t="str">
            <v/>
          </cell>
          <cell r="V613" t="str">
            <v/>
          </cell>
          <cell r="W613">
            <v>19850</v>
          </cell>
          <cell r="X613">
            <v>0</v>
          </cell>
          <cell r="Y613" t="str">
            <v>A</v>
          </cell>
          <cell r="Z613" t="str">
            <v>BUY</v>
          </cell>
          <cell r="AA613" t="str">
            <v/>
          </cell>
        </row>
        <row r="614">
          <cell r="A614" t="str">
            <v>A</v>
          </cell>
          <cell r="F614" t="str">
            <v>8540-5</v>
          </cell>
          <cell r="G614" t="str">
            <v>A</v>
          </cell>
          <cell r="H614">
            <v>12</v>
          </cell>
          <cell r="I614" t="str">
            <v>Professional Services Reimb</v>
          </cell>
          <cell r="J614" t="str">
            <v>Professional Services Reimb</v>
          </cell>
          <cell r="K614">
            <v>0</v>
          </cell>
          <cell r="L614">
            <v>0</v>
          </cell>
          <cell r="M614">
            <v>0</v>
          </cell>
          <cell r="N614">
            <v>0</v>
          </cell>
          <cell r="O614">
            <v>0</v>
          </cell>
          <cell r="P614">
            <v>0</v>
          </cell>
          <cell r="Q614" t="str">
            <v/>
          </cell>
          <cell r="R614" t="str">
            <v/>
          </cell>
          <cell r="S614" t="str">
            <v/>
          </cell>
          <cell r="T614" t="str">
            <v/>
          </cell>
          <cell r="U614" t="str">
            <v/>
          </cell>
          <cell r="V614" t="str">
            <v/>
          </cell>
          <cell r="W614">
            <v>0</v>
          </cell>
          <cell r="X614">
            <v>0</v>
          </cell>
          <cell r="Y614" t="str">
            <v/>
          </cell>
          <cell r="Z614" t="str">
            <v>BUY</v>
          </cell>
          <cell r="AA614" t="str">
            <v/>
          </cell>
        </row>
        <row r="615">
          <cell r="A615" t="str">
            <v>A</v>
          </cell>
          <cell r="F615" t="str">
            <v>8543</v>
          </cell>
          <cell r="G615" t="str">
            <v>A</v>
          </cell>
          <cell r="H615">
            <v>12</v>
          </cell>
          <cell r="I615" t="str">
            <v>Inspection Fees</v>
          </cell>
          <cell r="J615" t="str">
            <v>Inspection Fees</v>
          </cell>
          <cell r="K615">
            <v>0</v>
          </cell>
          <cell r="L615">
            <v>0</v>
          </cell>
          <cell r="M615">
            <v>0</v>
          </cell>
          <cell r="N615">
            <v>0</v>
          </cell>
          <cell r="O615">
            <v>0</v>
          </cell>
          <cell r="P615">
            <v>0</v>
          </cell>
          <cell r="Q615" t="str">
            <v/>
          </cell>
          <cell r="R615" t="str">
            <v/>
          </cell>
          <cell r="S615" t="str">
            <v/>
          </cell>
          <cell r="T615" t="str">
            <v/>
          </cell>
          <cell r="U615" t="str">
            <v/>
          </cell>
          <cell r="V615" t="str">
            <v/>
          </cell>
          <cell r="W615">
            <v>0</v>
          </cell>
          <cell r="X615">
            <v>0</v>
          </cell>
          <cell r="Y615" t="str">
            <v/>
          </cell>
          <cell r="Z615" t="str">
            <v>BUY</v>
          </cell>
          <cell r="AA615" t="str">
            <v/>
          </cell>
        </row>
        <row r="616">
          <cell r="A616" t="str">
            <v>A</v>
          </cell>
          <cell r="F616" t="str">
            <v>8543-5</v>
          </cell>
          <cell r="G616" t="str">
            <v>A</v>
          </cell>
          <cell r="H616">
            <v>12</v>
          </cell>
          <cell r="I616" t="str">
            <v>Inspection Fee Reimbursement</v>
          </cell>
          <cell r="J616" t="str">
            <v>Inspection Fee Reimbursement</v>
          </cell>
          <cell r="K616">
            <v>0</v>
          </cell>
          <cell r="L616">
            <v>0</v>
          </cell>
          <cell r="M616">
            <v>0</v>
          </cell>
          <cell r="N616">
            <v>0</v>
          </cell>
          <cell r="O616">
            <v>0</v>
          </cell>
          <cell r="P616">
            <v>0</v>
          </cell>
          <cell r="Q616" t="str">
            <v/>
          </cell>
          <cell r="R616" t="str">
            <v/>
          </cell>
          <cell r="S616" t="str">
            <v/>
          </cell>
          <cell r="T616" t="str">
            <v/>
          </cell>
          <cell r="U616" t="str">
            <v/>
          </cell>
          <cell r="V616" t="str">
            <v/>
          </cell>
          <cell r="W616">
            <v>0</v>
          </cell>
          <cell r="X616">
            <v>0</v>
          </cell>
          <cell r="Y616" t="str">
            <v/>
          </cell>
          <cell r="Z616" t="str">
            <v>BUY</v>
          </cell>
          <cell r="AA616" t="str">
            <v/>
          </cell>
        </row>
        <row r="617">
          <cell r="A617" t="str">
            <v>A</v>
          </cell>
          <cell r="F617" t="str">
            <v>8545</v>
          </cell>
          <cell r="G617" t="str">
            <v>A</v>
          </cell>
          <cell r="H617">
            <v>12</v>
          </cell>
          <cell r="I617" t="str">
            <v>Secretary/Minutes</v>
          </cell>
          <cell r="J617" t="str">
            <v>Secretary/Minutes</v>
          </cell>
          <cell r="K617">
            <v>0</v>
          </cell>
          <cell r="L617">
            <v>0</v>
          </cell>
          <cell r="M617">
            <v>0</v>
          </cell>
          <cell r="N617">
            <v>0</v>
          </cell>
          <cell r="O617">
            <v>0</v>
          </cell>
          <cell r="P617">
            <v>0</v>
          </cell>
          <cell r="Q617" t="str">
            <v/>
          </cell>
          <cell r="R617" t="str">
            <v/>
          </cell>
          <cell r="S617" t="str">
            <v/>
          </cell>
          <cell r="T617" t="str">
            <v/>
          </cell>
          <cell r="U617" t="str">
            <v/>
          </cell>
          <cell r="V617" t="str">
            <v/>
          </cell>
          <cell r="W617">
            <v>0</v>
          </cell>
          <cell r="X617">
            <v>0</v>
          </cell>
          <cell r="Y617" t="str">
            <v/>
          </cell>
          <cell r="Z617" t="str">
            <v>BUY</v>
          </cell>
          <cell r="AA617" t="str">
            <v/>
          </cell>
        </row>
        <row r="618">
          <cell r="A618" t="str">
            <v>A</v>
          </cell>
          <cell r="F618" t="str">
            <v>8547</v>
          </cell>
          <cell r="G618" t="str">
            <v>A</v>
          </cell>
          <cell r="H618">
            <v>12</v>
          </cell>
          <cell r="I618" t="str">
            <v>Advertising</v>
          </cell>
          <cell r="J618" t="str">
            <v>Advertising</v>
          </cell>
          <cell r="K618">
            <v>0</v>
          </cell>
          <cell r="L618">
            <v>0</v>
          </cell>
          <cell r="M618">
            <v>0</v>
          </cell>
          <cell r="N618">
            <v>0</v>
          </cell>
          <cell r="O618">
            <v>0</v>
          </cell>
          <cell r="P618">
            <v>0</v>
          </cell>
          <cell r="Q618" t="str">
            <v/>
          </cell>
          <cell r="R618" t="str">
            <v/>
          </cell>
          <cell r="S618" t="str">
            <v/>
          </cell>
          <cell r="T618" t="str">
            <v/>
          </cell>
          <cell r="U618" t="str">
            <v/>
          </cell>
          <cell r="V618" t="str">
            <v/>
          </cell>
          <cell r="W618">
            <v>0</v>
          </cell>
          <cell r="X618">
            <v>0</v>
          </cell>
          <cell r="Y618" t="str">
            <v/>
          </cell>
          <cell r="Z618" t="str">
            <v>BUY</v>
          </cell>
          <cell r="AA618" t="str">
            <v/>
          </cell>
        </row>
        <row r="619">
          <cell r="A619" t="str">
            <v>A</v>
          </cell>
          <cell r="F619" t="str">
            <v>8550</v>
          </cell>
          <cell r="G619" t="str">
            <v>A</v>
          </cell>
          <cell r="H619">
            <v>12</v>
          </cell>
          <cell r="I619" t="str">
            <v>General Office Expenses</v>
          </cell>
          <cell r="J619" t="str">
            <v>General Office Expenses</v>
          </cell>
          <cell r="K619">
            <v>0</v>
          </cell>
          <cell r="L619">
            <v>0</v>
          </cell>
          <cell r="M619">
            <v>0</v>
          </cell>
          <cell r="N619">
            <v>0</v>
          </cell>
          <cell r="O619">
            <v>0</v>
          </cell>
          <cell r="P619">
            <v>0</v>
          </cell>
          <cell r="Q619" t="str">
            <v/>
          </cell>
          <cell r="R619" t="str">
            <v/>
          </cell>
          <cell r="S619" t="str">
            <v/>
          </cell>
          <cell r="T619" t="str">
            <v/>
          </cell>
          <cell r="U619" t="str">
            <v/>
          </cell>
          <cell r="V619" t="str">
            <v/>
          </cell>
          <cell r="W619">
            <v>0</v>
          </cell>
          <cell r="X619">
            <v>0</v>
          </cell>
          <cell r="Y619" t="str">
            <v/>
          </cell>
          <cell r="Z619" t="str">
            <v>BUY</v>
          </cell>
          <cell r="AA619" t="str">
            <v/>
          </cell>
        </row>
        <row r="620">
          <cell r="A620" t="str">
            <v>A</v>
          </cell>
          <cell r="F620" t="str">
            <v>8550-1</v>
          </cell>
          <cell r="G620" t="str">
            <v>A</v>
          </cell>
          <cell r="H620">
            <v>12</v>
          </cell>
          <cell r="I620" t="str">
            <v>General Office Expense</v>
          </cell>
          <cell r="J620" t="str">
            <v>General Office Expense</v>
          </cell>
          <cell r="K620">
            <v>0</v>
          </cell>
          <cell r="L620">
            <v>0</v>
          </cell>
          <cell r="M620">
            <v>0</v>
          </cell>
          <cell r="N620">
            <v>0</v>
          </cell>
          <cell r="O620">
            <v>0</v>
          </cell>
          <cell r="P620">
            <v>0</v>
          </cell>
          <cell r="Q620" t="str">
            <v/>
          </cell>
          <cell r="R620" t="str">
            <v/>
          </cell>
          <cell r="S620" t="str">
            <v/>
          </cell>
          <cell r="T620" t="str">
            <v/>
          </cell>
          <cell r="U620" t="str">
            <v/>
          </cell>
          <cell r="V620" t="str">
            <v/>
          </cell>
          <cell r="W620">
            <v>0</v>
          </cell>
          <cell r="X620">
            <v>0</v>
          </cell>
          <cell r="Y620" t="str">
            <v/>
          </cell>
          <cell r="Z620" t="str">
            <v>BUY</v>
          </cell>
          <cell r="AA620" t="str">
            <v/>
          </cell>
        </row>
        <row r="621">
          <cell r="A621" t="str">
            <v>A</v>
          </cell>
          <cell r="F621" t="str">
            <v>8550-2</v>
          </cell>
          <cell r="G621" t="str">
            <v>A</v>
          </cell>
          <cell r="H621">
            <v>12</v>
          </cell>
          <cell r="I621" t="str">
            <v>General Office Expense</v>
          </cell>
          <cell r="J621" t="str">
            <v>General Office Expense</v>
          </cell>
          <cell r="K621">
            <v>0</v>
          </cell>
          <cell r="L621">
            <v>0</v>
          </cell>
          <cell r="M621">
            <v>0</v>
          </cell>
          <cell r="N621">
            <v>0</v>
          </cell>
          <cell r="O621">
            <v>0</v>
          </cell>
          <cell r="P621">
            <v>0</v>
          </cell>
          <cell r="Q621" t="str">
            <v/>
          </cell>
          <cell r="R621" t="str">
            <v/>
          </cell>
          <cell r="S621" t="str">
            <v/>
          </cell>
          <cell r="T621" t="str">
            <v/>
          </cell>
          <cell r="U621" t="str">
            <v/>
          </cell>
          <cell r="V621" t="str">
            <v/>
          </cell>
          <cell r="W621">
            <v>0</v>
          </cell>
          <cell r="X621">
            <v>0</v>
          </cell>
          <cell r="Y621" t="str">
            <v/>
          </cell>
          <cell r="Z621" t="str">
            <v>BUY</v>
          </cell>
          <cell r="AA621" t="str">
            <v/>
          </cell>
        </row>
        <row r="622">
          <cell r="A622" t="str">
            <v>A</v>
          </cell>
          <cell r="F622" t="str">
            <v>8550-3</v>
          </cell>
          <cell r="G622" t="str">
            <v>A</v>
          </cell>
          <cell r="H622">
            <v>12</v>
          </cell>
          <cell r="I622" t="str">
            <v>General Office Expense</v>
          </cell>
          <cell r="J622" t="str">
            <v>General Office Expense</v>
          </cell>
          <cell r="K622">
            <v>0</v>
          </cell>
          <cell r="L622">
            <v>0</v>
          </cell>
          <cell r="M622">
            <v>0</v>
          </cell>
          <cell r="N622">
            <v>0</v>
          </cell>
          <cell r="O622">
            <v>0</v>
          </cell>
          <cell r="P622">
            <v>0</v>
          </cell>
          <cell r="Q622" t="str">
            <v/>
          </cell>
          <cell r="R622" t="str">
            <v/>
          </cell>
          <cell r="S622" t="str">
            <v/>
          </cell>
          <cell r="T622" t="str">
            <v/>
          </cell>
          <cell r="U622" t="str">
            <v/>
          </cell>
          <cell r="V622" t="str">
            <v/>
          </cell>
          <cell r="W622">
            <v>0</v>
          </cell>
          <cell r="X622">
            <v>0</v>
          </cell>
          <cell r="Y622" t="str">
            <v/>
          </cell>
          <cell r="Z622" t="str">
            <v>BUY</v>
          </cell>
          <cell r="AA622" t="str">
            <v/>
          </cell>
        </row>
        <row r="623">
          <cell r="A623" t="str">
            <v>A</v>
          </cell>
          <cell r="F623" t="str">
            <v>8550-4</v>
          </cell>
          <cell r="G623" t="str">
            <v>A</v>
          </cell>
          <cell r="H623">
            <v>12</v>
          </cell>
          <cell r="I623" t="str">
            <v>General Office Expense</v>
          </cell>
          <cell r="J623" t="str">
            <v>General Office Expense</v>
          </cell>
          <cell r="K623">
            <v>0</v>
          </cell>
          <cell r="L623">
            <v>0</v>
          </cell>
          <cell r="M623">
            <v>0</v>
          </cell>
          <cell r="N623">
            <v>0</v>
          </cell>
          <cell r="O623">
            <v>0</v>
          </cell>
          <cell r="P623">
            <v>0</v>
          </cell>
          <cell r="Q623" t="str">
            <v/>
          </cell>
          <cell r="R623" t="str">
            <v/>
          </cell>
          <cell r="S623" t="str">
            <v/>
          </cell>
          <cell r="T623" t="str">
            <v/>
          </cell>
          <cell r="U623" t="str">
            <v/>
          </cell>
          <cell r="V623" t="str">
            <v/>
          </cell>
          <cell r="W623">
            <v>0</v>
          </cell>
          <cell r="X623">
            <v>0</v>
          </cell>
          <cell r="Y623" t="str">
            <v/>
          </cell>
          <cell r="Z623" t="str">
            <v>BUY</v>
          </cell>
          <cell r="AA623" t="str">
            <v/>
          </cell>
        </row>
        <row r="624">
          <cell r="A624" t="str">
            <v>A</v>
          </cell>
          <cell r="F624" t="str">
            <v>8550-5</v>
          </cell>
          <cell r="G624" t="str">
            <v>A</v>
          </cell>
          <cell r="H624">
            <v>12</v>
          </cell>
          <cell r="I624" t="str">
            <v>General Office Expense Reimb</v>
          </cell>
          <cell r="J624" t="str">
            <v>General Office Expense Reimb</v>
          </cell>
          <cell r="K624">
            <v>0</v>
          </cell>
          <cell r="L624">
            <v>0</v>
          </cell>
          <cell r="M624">
            <v>0</v>
          </cell>
          <cell r="N624">
            <v>0</v>
          </cell>
          <cell r="O624">
            <v>0</v>
          </cell>
          <cell r="P624">
            <v>0</v>
          </cell>
          <cell r="Q624" t="str">
            <v/>
          </cell>
          <cell r="R624" t="str">
            <v/>
          </cell>
          <cell r="S624" t="str">
            <v/>
          </cell>
          <cell r="T624" t="str">
            <v/>
          </cell>
          <cell r="U624" t="str">
            <v/>
          </cell>
          <cell r="V624" t="str">
            <v/>
          </cell>
          <cell r="W624">
            <v>0</v>
          </cell>
          <cell r="X624">
            <v>0</v>
          </cell>
          <cell r="Y624" t="str">
            <v/>
          </cell>
          <cell r="Z624" t="str">
            <v>BUY</v>
          </cell>
          <cell r="AA624" t="str">
            <v/>
          </cell>
        </row>
        <row r="625">
          <cell r="A625" t="str">
            <v>A</v>
          </cell>
          <cell r="F625" t="str">
            <v>8551</v>
          </cell>
          <cell r="G625" t="str">
            <v>A</v>
          </cell>
          <cell r="H625">
            <v>12</v>
          </cell>
          <cell r="I625" t="str">
            <v>Photocopy/Reproduction</v>
          </cell>
          <cell r="J625" t="str">
            <v>Photocopy/Reproduction</v>
          </cell>
          <cell r="K625">
            <v>0</v>
          </cell>
          <cell r="L625">
            <v>0</v>
          </cell>
          <cell r="M625">
            <v>3000</v>
          </cell>
          <cell r="N625">
            <v>4840</v>
          </cell>
          <cell r="O625">
            <v>3000</v>
          </cell>
          <cell r="P625">
            <v>0</v>
          </cell>
          <cell r="Q625">
            <v>0</v>
          </cell>
          <cell r="R625" t="str">
            <v>GL 5015 Monthly copying costs, baord packets, special letters or project information.</v>
          </cell>
          <cell r="S625" t="str">
            <v/>
          </cell>
          <cell r="T625" t="str">
            <v/>
          </cell>
          <cell r="U625" t="str">
            <v/>
          </cell>
          <cell r="V625" t="str">
            <v/>
          </cell>
          <cell r="W625">
            <v>10840</v>
          </cell>
          <cell r="X625">
            <v>0</v>
          </cell>
          <cell r="Y625" t="str">
            <v>A</v>
          </cell>
          <cell r="Z625" t="str">
            <v>BUY</v>
          </cell>
          <cell r="AA625" t="str">
            <v/>
          </cell>
        </row>
        <row r="626">
          <cell r="A626" t="str">
            <v>A</v>
          </cell>
          <cell r="F626" t="str">
            <v>8551-1</v>
          </cell>
          <cell r="G626" t="str">
            <v>A</v>
          </cell>
          <cell r="H626">
            <v>12</v>
          </cell>
          <cell r="I626" t="str">
            <v>Photocopy/Reproduction</v>
          </cell>
          <cell r="J626" t="str">
            <v>Photocopy/Reproduction</v>
          </cell>
          <cell r="K626">
            <v>0</v>
          </cell>
          <cell r="L626">
            <v>0</v>
          </cell>
          <cell r="M626">
            <v>0</v>
          </cell>
          <cell r="N626">
            <v>0</v>
          </cell>
          <cell r="O626">
            <v>0</v>
          </cell>
          <cell r="P626">
            <v>0</v>
          </cell>
          <cell r="Q626" t="str">
            <v/>
          </cell>
          <cell r="R626" t="str">
            <v/>
          </cell>
          <cell r="S626" t="str">
            <v/>
          </cell>
          <cell r="T626" t="str">
            <v/>
          </cell>
          <cell r="U626" t="str">
            <v/>
          </cell>
          <cell r="V626" t="str">
            <v/>
          </cell>
          <cell r="W626">
            <v>0</v>
          </cell>
          <cell r="X626">
            <v>0</v>
          </cell>
          <cell r="Y626" t="str">
            <v/>
          </cell>
          <cell r="Z626" t="str">
            <v>BUY</v>
          </cell>
          <cell r="AA626" t="str">
            <v/>
          </cell>
        </row>
        <row r="627">
          <cell r="A627" t="str">
            <v>A</v>
          </cell>
          <cell r="F627" t="str">
            <v>8551-2</v>
          </cell>
          <cell r="G627" t="str">
            <v>A</v>
          </cell>
          <cell r="H627">
            <v>12</v>
          </cell>
          <cell r="I627" t="str">
            <v>Photocopy/Reproduction</v>
          </cell>
          <cell r="J627" t="str">
            <v>Photocopy/Reproduction</v>
          </cell>
          <cell r="K627">
            <v>0</v>
          </cell>
          <cell r="L627">
            <v>0</v>
          </cell>
          <cell r="M627">
            <v>0</v>
          </cell>
          <cell r="N627">
            <v>0</v>
          </cell>
          <cell r="O627">
            <v>0</v>
          </cell>
          <cell r="P627">
            <v>0</v>
          </cell>
          <cell r="Q627" t="str">
            <v/>
          </cell>
          <cell r="R627" t="str">
            <v/>
          </cell>
          <cell r="S627" t="str">
            <v/>
          </cell>
          <cell r="T627" t="str">
            <v/>
          </cell>
          <cell r="U627" t="str">
            <v/>
          </cell>
          <cell r="V627" t="str">
            <v/>
          </cell>
          <cell r="W627">
            <v>0</v>
          </cell>
          <cell r="X627">
            <v>0</v>
          </cell>
          <cell r="Y627" t="str">
            <v/>
          </cell>
          <cell r="Z627" t="str">
            <v>BUY</v>
          </cell>
          <cell r="AA627" t="str">
            <v/>
          </cell>
        </row>
        <row r="628">
          <cell r="A628" t="str">
            <v>A</v>
          </cell>
          <cell r="F628" t="str">
            <v>8551-3</v>
          </cell>
          <cell r="G628" t="str">
            <v>A</v>
          </cell>
          <cell r="H628">
            <v>12</v>
          </cell>
          <cell r="I628" t="str">
            <v>Photocopy/Reproduction</v>
          </cell>
          <cell r="J628" t="str">
            <v>Photocopy/Reproduction</v>
          </cell>
          <cell r="K628">
            <v>0</v>
          </cell>
          <cell r="L628">
            <v>0</v>
          </cell>
          <cell r="M628">
            <v>0</v>
          </cell>
          <cell r="N628">
            <v>0</v>
          </cell>
          <cell r="O628">
            <v>0</v>
          </cell>
          <cell r="P628">
            <v>0</v>
          </cell>
          <cell r="Q628" t="str">
            <v/>
          </cell>
          <cell r="R628" t="str">
            <v/>
          </cell>
          <cell r="S628" t="str">
            <v/>
          </cell>
          <cell r="T628" t="str">
            <v/>
          </cell>
          <cell r="U628" t="str">
            <v/>
          </cell>
          <cell r="V628" t="str">
            <v/>
          </cell>
          <cell r="W628">
            <v>0</v>
          </cell>
          <cell r="X628">
            <v>0</v>
          </cell>
          <cell r="Y628" t="str">
            <v/>
          </cell>
          <cell r="Z628" t="str">
            <v>BUY</v>
          </cell>
          <cell r="AA628" t="str">
            <v/>
          </cell>
        </row>
        <row r="629">
          <cell r="A629" t="str">
            <v>A</v>
          </cell>
          <cell r="F629" t="str">
            <v>8551-4</v>
          </cell>
          <cell r="G629" t="str">
            <v>A</v>
          </cell>
          <cell r="H629">
            <v>12</v>
          </cell>
          <cell r="I629" t="str">
            <v>Photocopy/Reproduce</v>
          </cell>
          <cell r="J629" t="str">
            <v>Photocopy/Reproduce</v>
          </cell>
          <cell r="K629">
            <v>0</v>
          </cell>
          <cell r="L629">
            <v>0</v>
          </cell>
          <cell r="M629">
            <v>0</v>
          </cell>
          <cell r="N629">
            <v>0</v>
          </cell>
          <cell r="O629">
            <v>0</v>
          </cell>
          <cell r="P629">
            <v>0</v>
          </cell>
          <cell r="Q629" t="str">
            <v/>
          </cell>
          <cell r="R629" t="str">
            <v/>
          </cell>
          <cell r="S629" t="str">
            <v/>
          </cell>
          <cell r="T629" t="str">
            <v/>
          </cell>
          <cell r="U629" t="str">
            <v/>
          </cell>
          <cell r="V629" t="str">
            <v/>
          </cell>
          <cell r="W629">
            <v>0</v>
          </cell>
          <cell r="X629">
            <v>0</v>
          </cell>
          <cell r="Y629" t="str">
            <v/>
          </cell>
          <cell r="Z629" t="str">
            <v>BUY</v>
          </cell>
          <cell r="AA629" t="str">
            <v/>
          </cell>
        </row>
        <row r="630">
          <cell r="A630" t="str">
            <v>A</v>
          </cell>
          <cell r="F630" t="str">
            <v>8551-5</v>
          </cell>
          <cell r="G630" t="str">
            <v>A</v>
          </cell>
          <cell r="H630">
            <v>12</v>
          </cell>
          <cell r="I630" t="str">
            <v>Photocopy/Reproduction</v>
          </cell>
          <cell r="J630" t="str">
            <v>Photocopy/Reproduction</v>
          </cell>
          <cell r="K630">
            <v>0</v>
          </cell>
          <cell r="L630">
            <v>0</v>
          </cell>
          <cell r="M630">
            <v>0</v>
          </cell>
          <cell r="N630">
            <v>0</v>
          </cell>
          <cell r="O630">
            <v>0</v>
          </cell>
          <cell r="P630">
            <v>0</v>
          </cell>
          <cell r="Q630" t="str">
            <v/>
          </cell>
          <cell r="R630" t="str">
            <v/>
          </cell>
          <cell r="S630" t="str">
            <v/>
          </cell>
          <cell r="T630" t="str">
            <v/>
          </cell>
          <cell r="U630" t="str">
            <v/>
          </cell>
          <cell r="V630" t="str">
            <v/>
          </cell>
          <cell r="W630">
            <v>0</v>
          </cell>
          <cell r="X630">
            <v>0</v>
          </cell>
          <cell r="Y630" t="str">
            <v/>
          </cell>
          <cell r="Z630" t="str">
            <v>BUY</v>
          </cell>
          <cell r="AA630" t="str">
            <v/>
          </cell>
        </row>
        <row r="631">
          <cell r="A631" t="str">
            <v>A</v>
          </cell>
          <cell r="F631" t="str">
            <v>8552</v>
          </cell>
          <cell r="G631" t="str">
            <v>A</v>
          </cell>
          <cell r="H631">
            <v>12</v>
          </cell>
          <cell r="I631" t="str">
            <v>Postage Expenses</v>
          </cell>
          <cell r="J631" t="str">
            <v>Postage Expenses</v>
          </cell>
          <cell r="K631">
            <v>0</v>
          </cell>
          <cell r="L631">
            <v>0</v>
          </cell>
          <cell r="M631">
            <v>1800</v>
          </cell>
          <cell r="N631">
            <v>1651</v>
          </cell>
          <cell r="O631">
            <v>1800</v>
          </cell>
          <cell r="P631">
            <v>0</v>
          </cell>
          <cell r="Q631">
            <v>0</v>
          </cell>
          <cell r="R631" t="str">
            <v>GL 5010 Postage reimbursement for assessment, vendor mailings, misc mailing.</v>
          </cell>
          <cell r="S631" t="str">
            <v/>
          </cell>
          <cell r="T631" t="str">
            <v/>
          </cell>
          <cell r="U631" t="str">
            <v/>
          </cell>
          <cell r="V631" t="str">
            <v/>
          </cell>
          <cell r="W631">
            <v>5251</v>
          </cell>
          <cell r="X631">
            <v>0</v>
          </cell>
          <cell r="Y631" t="str">
            <v>A</v>
          </cell>
          <cell r="Z631" t="str">
            <v>BUY</v>
          </cell>
          <cell r="AA631" t="str">
            <v/>
          </cell>
        </row>
        <row r="632">
          <cell r="A632" t="str">
            <v>A</v>
          </cell>
          <cell r="F632" t="str">
            <v>8552-1</v>
          </cell>
          <cell r="G632" t="str">
            <v>A</v>
          </cell>
          <cell r="H632">
            <v>12</v>
          </cell>
          <cell r="I632" t="str">
            <v>Postage Expense</v>
          </cell>
          <cell r="J632" t="str">
            <v>Postage Expense</v>
          </cell>
          <cell r="K632">
            <v>0</v>
          </cell>
          <cell r="L632">
            <v>0</v>
          </cell>
          <cell r="M632">
            <v>0</v>
          </cell>
          <cell r="N632">
            <v>0</v>
          </cell>
          <cell r="O632">
            <v>0</v>
          </cell>
          <cell r="P632">
            <v>0</v>
          </cell>
          <cell r="Q632" t="str">
            <v/>
          </cell>
          <cell r="R632" t="str">
            <v/>
          </cell>
          <cell r="S632" t="str">
            <v/>
          </cell>
          <cell r="T632" t="str">
            <v/>
          </cell>
          <cell r="U632" t="str">
            <v/>
          </cell>
          <cell r="V632" t="str">
            <v/>
          </cell>
          <cell r="W632">
            <v>0</v>
          </cell>
          <cell r="X632">
            <v>0</v>
          </cell>
          <cell r="Y632" t="str">
            <v/>
          </cell>
          <cell r="Z632" t="str">
            <v>BUY</v>
          </cell>
          <cell r="AA632" t="str">
            <v/>
          </cell>
        </row>
        <row r="633">
          <cell r="A633" t="str">
            <v>A</v>
          </cell>
          <cell r="F633" t="str">
            <v>8552-2</v>
          </cell>
          <cell r="G633" t="str">
            <v>A</v>
          </cell>
          <cell r="H633">
            <v>12</v>
          </cell>
          <cell r="I633" t="str">
            <v>Postage Expense</v>
          </cell>
          <cell r="J633" t="str">
            <v>Postage Expense</v>
          </cell>
          <cell r="K633">
            <v>0</v>
          </cell>
          <cell r="L633">
            <v>0</v>
          </cell>
          <cell r="M633">
            <v>0</v>
          </cell>
          <cell r="N633">
            <v>0</v>
          </cell>
          <cell r="O633">
            <v>0</v>
          </cell>
          <cell r="P633">
            <v>0</v>
          </cell>
          <cell r="Q633" t="str">
            <v/>
          </cell>
          <cell r="R633" t="str">
            <v/>
          </cell>
          <cell r="S633" t="str">
            <v/>
          </cell>
          <cell r="T633" t="str">
            <v/>
          </cell>
          <cell r="U633" t="str">
            <v/>
          </cell>
          <cell r="V633" t="str">
            <v/>
          </cell>
          <cell r="W633">
            <v>0</v>
          </cell>
          <cell r="X633">
            <v>0</v>
          </cell>
          <cell r="Y633" t="str">
            <v/>
          </cell>
          <cell r="Z633" t="str">
            <v>BUY</v>
          </cell>
          <cell r="AA633" t="str">
            <v/>
          </cell>
        </row>
        <row r="634">
          <cell r="A634" t="str">
            <v>A</v>
          </cell>
          <cell r="F634" t="str">
            <v>8552-3</v>
          </cell>
          <cell r="G634" t="str">
            <v>A</v>
          </cell>
          <cell r="H634">
            <v>12</v>
          </cell>
          <cell r="I634" t="str">
            <v>Postage Expense</v>
          </cell>
          <cell r="J634" t="str">
            <v>Postage Expense</v>
          </cell>
          <cell r="K634">
            <v>0</v>
          </cell>
          <cell r="L634">
            <v>0</v>
          </cell>
          <cell r="M634">
            <v>0</v>
          </cell>
          <cell r="N634">
            <v>0</v>
          </cell>
          <cell r="O634">
            <v>0</v>
          </cell>
          <cell r="P634">
            <v>0</v>
          </cell>
          <cell r="Q634" t="str">
            <v/>
          </cell>
          <cell r="R634" t="str">
            <v/>
          </cell>
          <cell r="S634" t="str">
            <v/>
          </cell>
          <cell r="T634" t="str">
            <v/>
          </cell>
          <cell r="U634" t="str">
            <v/>
          </cell>
          <cell r="V634" t="str">
            <v/>
          </cell>
          <cell r="W634">
            <v>0</v>
          </cell>
          <cell r="X634">
            <v>0</v>
          </cell>
          <cell r="Y634" t="str">
            <v/>
          </cell>
          <cell r="Z634" t="str">
            <v>BUY</v>
          </cell>
          <cell r="AA634" t="str">
            <v/>
          </cell>
        </row>
        <row r="635">
          <cell r="A635" t="str">
            <v>A</v>
          </cell>
          <cell r="F635" t="str">
            <v>8552-4</v>
          </cell>
          <cell r="G635" t="str">
            <v>A</v>
          </cell>
          <cell r="H635">
            <v>12</v>
          </cell>
          <cell r="I635" t="str">
            <v>Postage Expenses</v>
          </cell>
          <cell r="J635" t="str">
            <v>Postage Expenses</v>
          </cell>
          <cell r="K635">
            <v>0</v>
          </cell>
          <cell r="L635">
            <v>0</v>
          </cell>
          <cell r="M635">
            <v>0</v>
          </cell>
          <cell r="N635">
            <v>0</v>
          </cell>
          <cell r="O635">
            <v>0</v>
          </cell>
          <cell r="P635">
            <v>0</v>
          </cell>
          <cell r="Q635" t="str">
            <v/>
          </cell>
          <cell r="R635" t="str">
            <v/>
          </cell>
          <cell r="S635" t="str">
            <v/>
          </cell>
          <cell r="T635" t="str">
            <v/>
          </cell>
          <cell r="U635" t="str">
            <v/>
          </cell>
          <cell r="V635" t="str">
            <v/>
          </cell>
          <cell r="W635">
            <v>0</v>
          </cell>
          <cell r="X635">
            <v>0</v>
          </cell>
          <cell r="Y635" t="str">
            <v/>
          </cell>
          <cell r="Z635" t="str">
            <v>BUY</v>
          </cell>
          <cell r="AA635" t="str">
            <v/>
          </cell>
        </row>
        <row r="636">
          <cell r="A636" t="str">
            <v>A</v>
          </cell>
          <cell r="F636" t="str">
            <v>8552-5</v>
          </cell>
          <cell r="G636" t="str">
            <v>A</v>
          </cell>
          <cell r="H636">
            <v>12</v>
          </cell>
          <cell r="I636" t="str">
            <v>Postage Expenses</v>
          </cell>
          <cell r="J636" t="str">
            <v>Postage Expenses</v>
          </cell>
          <cell r="K636">
            <v>0</v>
          </cell>
          <cell r="L636">
            <v>0</v>
          </cell>
          <cell r="M636">
            <v>0</v>
          </cell>
          <cell r="N636">
            <v>0</v>
          </cell>
          <cell r="O636">
            <v>0</v>
          </cell>
          <cell r="P636">
            <v>0</v>
          </cell>
          <cell r="Q636" t="str">
            <v/>
          </cell>
          <cell r="R636" t="str">
            <v/>
          </cell>
          <cell r="S636" t="str">
            <v/>
          </cell>
          <cell r="T636" t="str">
            <v/>
          </cell>
          <cell r="U636" t="str">
            <v/>
          </cell>
          <cell r="V636" t="str">
            <v/>
          </cell>
          <cell r="W636">
            <v>0</v>
          </cell>
          <cell r="X636">
            <v>0</v>
          </cell>
          <cell r="Y636" t="str">
            <v/>
          </cell>
          <cell r="Z636" t="str">
            <v>BUY</v>
          </cell>
          <cell r="AA636" t="str">
            <v/>
          </cell>
        </row>
        <row r="637">
          <cell r="A637" t="str">
            <v>A</v>
          </cell>
          <cell r="F637" t="str">
            <v>8553</v>
          </cell>
          <cell r="G637" t="str">
            <v>A</v>
          </cell>
          <cell r="H637">
            <v>12</v>
          </cell>
          <cell r="I637" t="str">
            <v>Coupon Books/Lockbox Fee</v>
          </cell>
          <cell r="J637" t="str">
            <v>Coupon Books/Lockbox Fee</v>
          </cell>
          <cell r="K637">
            <v>0</v>
          </cell>
          <cell r="L637">
            <v>0</v>
          </cell>
          <cell r="M637">
            <v>0</v>
          </cell>
          <cell r="N637">
            <v>0</v>
          </cell>
          <cell r="O637">
            <v>0</v>
          </cell>
          <cell r="P637">
            <v>0</v>
          </cell>
          <cell r="Q637" t="str">
            <v/>
          </cell>
          <cell r="R637" t="str">
            <v/>
          </cell>
          <cell r="S637" t="str">
            <v/>
          </cell>
          <cell r="T637" t="str">
            <v/>
          </cell>
          <cell r="U637" t="str">
            <v/>
          </cell>
          <cell r="V637" t="str">
            <v/>
          </cell>
          <cell r="W637">
            <v>0</v>
          </cell>
          <cell r="X637">
            <v>0</v>
          </cell>
          <cell r="Y637" t="str">
            <v/>
          </cell>
          <cell r="Z637" t="str">
            <v>BUY</v>
          </cell>
          <cell r="AA637" t="str">
            <v/>
          </cell>
        </row>
        <row r="638">
          <cell r="A638" t="str">
            <v>A</v>
          </cell>
          <cell r="F638" t="str">
            <v>8553-1</v>
          </cell>
          <cell r="G638" t="str">
            <v>A</v>
          </cell>
          <cell r="H638">
            <v>12</v>
          </cell>
          <cell r="I638" t="str">
            <v>Coupon Bks/Lockbox Fee</v>
          </cell>
          <cell r="J638" t="str">
            <v>Coupon Bks/Lockbox Fee</v>
          </cell>
          <cell r="K638">
            <v>0</v>
          </cell>
          <cell r="L638">
            <v>0</v>
          </cell>
          <cell r="M638">
            <v>0</v>
          </cell>
          <cell r="N638">
            <v>0</v>
          </cell>
          <cell r="O638">
            <v>0</v>
          </cell>
          <cell r="P638">
            <v>0</v>
          </cell>
          <cell r="Q638" t="str">
            <v/>
          </cell>
          <cell r="R638" t="str">
            <v/>
          </cell>
          <cell r="S638" t="str">
            <v/>
          </cell>
          <cell r="T638" t="str">
            <v/>
          </cell>
          <cell r="U638" t="str">
            <v/>
          </cell>
          <cell r="V638" t="str">
            <v/>
          </cell>
          <cell r="W638">
            <v>0</v>
          </cell>
          <cell r="X638">
            <v>0</v>
          </cell>
          <cell r="Y638" t="str">
            <v/>
          </cell>
          <cell r="Z638" t="str">
            <v>BUY</v>
          </cell>
          <cell r="AA638" t="str">
            <v/>
          </cell>
        </row>
        <row r="639">
          <cell r="A639" t="str">
            <v>A</v>
          </cell>
          <cell r="F639" t="str">
            <v>8553-2</v>
          </cell>
          <cell r="G639" t="str">
            <v>A</v>
          </cell>
          <cell r="H639">
            <v>12</v>
          </cell>
          <cell r="I639" t="str">
            <v>Coupon Bks/Lockbox Fee</v>
          </cell>
          <cell r="J639" t="str">
            <v>Coupon Bks/Lockbox Fee</v>
          </cell>
          <cell r="K639">
            <v>0</v>
          </cell>
          <cell r="L639">
            <v>0</v>
          </cell>
          <cell r="M639">
            <v>0</v>
          </cell>
          <cell r="N639">
            <v>0</v>
          </cell>
          <cell r="O639">
            <v>0</v>
          </cell>
          <cell r="P639">
            <v>0</v>
          </cell>
          <cell r="Q639" t="str">
            <v/>
          </cell>
          <cell r="R639" t="str">
            <v/>
          </cell>
          <cell r="S639" t="str">
            <v/>
          </cell>
          <cell r="T639" t="str">
            <v/>
          </cell>
          <cell r="U639" t="str">
            <v/>
          </cell>
          <cell r="V639" t="str">
            <v/>
          </cell>
          <cell r="W639">
            <v>0</v>
          </cell>
          <cell r="X639">
            <v>0</v>
          </cell>
          <cell r="Y639" t="str">
            <v/>
          </cell>
          <cell r="Z639" t="str">
            <v>BUY</v>
          </cell>
          <cell r="AA639" t="str">
            <v/>
          </cell>
        </row>
        <row r="640">
          <cell r="A640" t="str">
            <v>A</v>
          </cell>
          <cell r="F640" t="str">
            <v>8553-3</v>
          </cell>
          <cell r="G640" t="str">
            <v>A</v>
          </cell>
          <cell r="H640">
            <v>12</v>
          </cell>
          <cell r="I640" t="str">
            <v>Coupon Bks/Lockbox Fee</v>
          </cell>
          <cell r="J640" t="str">
            <v>Coupon Bks/Lockbox Fee</v>
          </cell>
          <cell r="K640">
            <v>0</v>
          </cell>
          <cell r="L640">
            <v>0</v>
          </cell>
          <cell r="M640">
            <v>0</v>
          </cell>
          <cell r="N640">
            <v>0</v>
          </cell>
          <cell r="O640">
            <v>0</v>
          </cell>
          <cell r="P640">
            <v>0</v>
          </cell>
          <cell r="Q640" t="str">
            <v/>
          </cell>
          <cell r="R640" t="str">
            <v/>
          </cell>
          <cell r="S640" t="str">
            <v/>
          </cell>
          <cell r="T640" t="str">
            <v/>
          </cell>
          <cell r="U640" t="str">
            <v/>
          </cell>
          <cell r="V640" t="str">
            <v/>
          </cell>
          <cell r="W640">
            <v>0</v>
          </cell>
          <cell r="X640">
            <v>0</v>
          </cell>
          <cell r="Y640" t="str">
            <v/>
          </cell>
          <cell r="Z640" t="str">
            <v>BUY</v>
          </cell>
          <cell r="AA640" t="str">
            <v/>
          </cell>
        </row>
        <row r="641">
          <cell r="A641" t="str">
            <v>A</v>
          </cell>
          <cell r="F641" t="str">
            <v>8553-4</v>
          </cell>
          <cell r="G641" t="str">
            <v>A</v>
          </cell>
          <cell r="H641">
            <v>12</v>
          </cell>
          <cell r="I641" t="str">
            <v>Coupon Bks/Lockbox Fee</v>
          </cell>
          <cell r="J641" t="str">
            <v>Coupon Bks/Lockbox Fee</v>
          </cell>
          <cell r="K641">
            <v>0</v>
          </cell>
          <cell r="L641">
            <v>0</v>
          </cell>
          <cell r="M641">
            <v>0</v>
          </cell>
          <cell r="N641">
            <v>0</v>
          </cell>
          <cell r="O641">
            <v>0</v>
          </cell>
          <cell r="P641">
            <v>0</v>
          </cell>
          <cell r="Q641" t="str">
            <v/>
          </cell>
          <cell r="R641" t="str">
            <v/>
          </cell>
          <cell r="S641" t="str">
            <v/>
          </cell>
          <cell r="T641" t="str">
            <v/>
          </cell>
          <cell r="U641" t="str">
            <v/>
          </cell>
          <cell r="V641" t="str">
            <v/>
          </cell>
          <cell r="W641">
            <v>0</v>
          </cell>
          <cell r="X641">
            <v>0</v>
          </cell>
          <cell r="Y641" t="str">
            <v/>
          </cell>
          <cell r="Z641" t="str">
            <v>BUY</v>
          </cell>
          <cell r="AA641" t="str">
            <v/>
          </cell>
        </row>
        <row r="642">
          <cell r="A642" t="str">
            <v>A</v>
          </cell>
          <cell r="F642" t="str">
            <v>8553-5</v>
          </cell>
          <cell r="G642" t="str">
            <v>A</v>
          </cell>
          <cell r="H642">
            <v>12</v>
          </cell>
          <cell r="I642" t="str">
            <v>Coupon Bks/Lockbox Fee</v>
          </cell>
          <cell r="J642" t="str">
            <v>Coupon Bks/Lockbox Fee</v>
          </cell>
          <cell r="K642">
            <v>0</v>
          </cell>
          <cell r="L642">
            <v>0</v>
          </cell>
          <cell r="M642">
            <v>0</v>
          </cell>
          <cell r="N642">
            <v>0</v>
          </cell>
          <cell r="O642">
            <v>0</v>
          </cell>
          <cell r="P642">
            <v>0</v>
          </cell>
          <cell r="Q642" t="str">
            <v/>
          </cell>
          <cell r="R642" t="str">
            <v/>
          </cell>
          <cell r="S642" t="str">
            <v/>
          </cell>
          <cell r="T642" t="str">
            <v/>
          </cell>
          <cell r="U642" t="str">
            <v/>
          </cell>
          <cell r="V642" t="str">
            <v/>
          </cell>
          <cell r="W642">
            <v>0</v>
          </cell>
          <cell r="X642">
            <v>0</v>
          </cell>
          <cell r="Y642" t="str">
            <v/>
          </cell>
          <cell r="Z642" t="str">
            <v>BUY</v>
          </cell>
          <cell r="AA642" t="str">
            <v/>
          </cell>
        </row>
        <row r="643">
          <cell r="A643" t="str">
            <v>A</v>
          </cell>
          <cell r="F643" t="str">
            <v>8554</v>
          </cell>
          <cell r="G643" t="str">
            <v>A</v>
          </cell>
          <cell r="H643">
            <v>12</v>
          </cell>
          <cell r="I643" t="str">
            <v>Bank Charges</v>
          </cell>
          <cell r="J643" t="str">
            <v>Bank Charges</v>
          </cell>
          <cell r="K643">
            <v>0</v>
          </cell>
          <cell r="L643">
            <v>0</v>
          </cell>
          <cell r="M643">
            <v>0</v>
          </cell>
          <cell r="N643">
            <v>0</v>
          </cell>
          <cell r="O643">
            <v>0</v>
          </cell>
          <cell r="P643">
            <v>0</v>
          </cell>
          <cell r="Q643" t="str">
            <v/>
          </cell>
          <cell r="R643" t="str">
            <v/>
          </cell>
          <cell r="S643" t="str">
            <v/>
          </cell>
          <cell r="T643" t="str">
            <v/>
          </cell>
          <cell r="U643" t="str">
            <v/>
          </cell>
          <cell r="V643" t="str">
            <v/>
          </cell>
          <cell r="W643">
            <v>0</v>
          </cell>
          <cell r="X643">
            <v>0</v>
          </cell>
          <cell r="Y643" t="str">
            <v/>
          </cell>
          <cell r="Z643" t="str">
            <v>BUY</v>
          </cell>
          <cell r="AA643" t="str">
            <v/>
          </cell>
        </row>
        <row r="644">
          <cell r="A644" t="str">
            <v>A</v>
          </cell>
          <cell r="F644" t="str">
            <v>8555</v>
          </cell>
          <cell r="G644" t="str">
            <v>A</v>
          </cell>
          <cell r="H644">
            <v>12</v>
          </cell>
          <cell r="I644" t="str">
            <v>Stationery &amp; Site Office Expense</v>
          </cell>
          <cell r="J644" t="str">
            <v>Stationery &amp; Site Office Expense</v>
          </cell>
          <cell r="K644">
            <v>0</v>
          </cell>
          <cell r="L644">
            <v>0</v>
          </cell>
          <cell r="M644">
            <v>0</v>
          </cell>
          <cell r="N644">
            <v>0</v>
          </cell>
          <cell r="O644">
            <v>0</v>
          </cell>
          <cell r="P644">
            <v>0</v>
          </cell>
          <cell r="Q644" t="str">
            <v/>
          </cell>
          <cell r="R644" t="str">
            <v/>
          </cell>
          <cell r="S644" t="str">
            <v/>
          </cell>
          <cell r="T644" t="str">
            <v/>
          </cell>
          <cell r="U644" t="str">
            <v/>
          </cell>
          <cell r="V644" t="str">
            <v/>
          </cell>
          <cell r="W644">
            <v>0</v>
          </cell>
          <cell r="X644">
            <v>0</v>
          </cell>
          <cell r="Y644" t="str">
            <v/>
          </cell>
          <cell r="Z644" t="str">
            <v>BUY</v>
          </cell>
          <cell r="AA644" t="str">
            <v/>
          </cell>
        </row>
        <row r="645">
          <cell r="A645" t="str">
            <v>A</v>
          </cell>
          <cell r="F645" t="str">
            <v>8556</v>
          </cell>
          <cell r="G645" t="str">
            <v>A</v>
          </cell>
          <cell r="H645">
            <v>12</v>
          </cell>
          <cell r="I645" t="str">
            <v>Dues, Fees, &amp; Licenses</v>
          </cell>
          <cell r="J645" t="str">
            <v>Dues, Fees, &amp; Licenses</v>
          </cell>
          <cell r="K645">
            <v>0</v>
          </cell>
          <cell r="L645">
            <v>0</v>
          </cell>
          <cell r="M645">
            <v>2680</v>
          </cell>
          <cell r="N645">
            <v>2541</v>
          </cell>
          <cell r="O645">
            <v>1275</v>
          </cell>
          <cell r="P645">
            <v>-1405</v>
          </cell>
          <cell r="Q645">
            <v>-0.52425373134328357</v>
          </cell>
          <cell r="R645" t="str">
            <v>GL 5045 ABOMA= $300.00 Secretarey of state annual fee= $13.00, SOAR = $250.00</v>
          </cell>
          <cell r="S645" t="str">
            <v/>
          </cell>
          <cell r="T645" t="str">
            <v/>
          </cell>
          <cell r="U645" t="str">
            <v/>
          </cell>
          <cell r="V645" t="str">
            <v/>
          </cell>
          <cell r="W645">
            <v>6496</v>
          </cell>
          <cell r="X645">
            <v>0</v>
          </cell>
          <cell r="Y645" t="str">
            <v>A</v>
          </cell>
          <cell r="Z645" t="str">
            <v>BUY</v>
          </cell>
          <cell r="AA645" t="str">
            <v/>
          </cell>
        </row>
        <row r="646">
          <cell r="A646" t="str">
            <v>A</v>
          </cell>
          <cell r="F646" t="str">
            <v>8557</v>
          </cell>
          <cell r="G646" t="str">
            <v>A</v>
          </cell>
          <cell r="H646">
            <v>12</v>
          </cell>
          <cell r="I646" t="str">
            <v>Office Equipment Expense</v>
          </cell>
          <cell r="J646" t="str">
            <v>Office Equipment Expense</v>
          </cell>
          <cell r="K646">
            <v>0</v>
          </cell>
          <cell r="L646">
            <v>0</v>
          </cell>
          <cell r="M646">
            <v>0</v>
          </cell>
          <cell r="N646">
            <v>0</v>
          </cell>
          <cell r="O646">
            <v>0</v>
          </cell>
          <cell r="P646">
            <v>0</v>
          </cell>
          <cell r="Q646" t="str">
            <v/>
          </cell>
          <cell r="R646" t="str">
            <v/>
          </cell>
          <cell r="S646" t="str">
            <v/>
          </cell>
          <cell r="T646" t="str">
            <v/>
          </cell>
          <cell r="U646" t="str">
            <v/>
          </cell>
          <cell r="V646" t="str">
            <v/>
          </cell>
          <cell r="W646">
            <v>0</v>
          </cell>
          <cell r="X646">
            <v>0</v>
          </cell>
          <cell r="Y646" t="str">
            <v/>
          </cell>
          <cell r="Z646" t="str">
            <v>BUY</v>
          </cell>
          <cell r="AA646" t="str">
            <v/>
          </cell>
        </row>
        <row r="647">
          <cell r="A647" t="str">
            <v>A</v>
          </cell>
          <cell r="F647" t="str">
            <v>8558</v>
          </cell>
          <cell r="G647" t="str">
            <v>A</v>
          </cell>
          <cell r="H647">
            <v>12</v>
          </cell>
          <cell r="I647" t="str">
            <v>Office Equipment Expense</v>
          </cell>
          <cell r="J647" t="str">
            <v>Office Equipment Expense</v>
          </cell>
          <cell r="K647">
            <v>0</v>
          </cell>
          <cell r="L647">
            <v>0</v>
          </cell>
          <cell r="M647">
            <v>5640</v>
          </cell>
          <cell r="N647">
            <v>3067</v>
          </cell>
          <cell r="O647">
            <v>5640</v>
          </cell>
          <cell r="P647">
            <v>0</v>
          </cell>
          <cell r="Q647">
            <v>0</v>
          </cell>
          <cell r="R647" t="str">
            <v>GL 5001 On-site copy machine rental= $300/mo. Office internet line= $70/mo, Office supplies= $100/mo</v>
          </cell>
          <cell r="S647" t="str">
            <v/>
          </cell>
          <cell r="U647" t="str">
            <v/>
          </cell>
          <cell r="V647" t="str">
            <v/>
          </cell>
          <cell r="W647">
            <v>14347</v>
          </cell>
          <cell r="X647">
            <v>0</v>
          </cell>
          <cell r="Y647" t="str">
            <v>A</v>
          </cell>
          <cell r="Z647" t="str">
            <v>BUY</v>
          </cell>
          <cell r="AA647" t="str">
            <v/>
          </cell>
        </row>
        <row r="648">
          <cell r="A648" t="str">
            <v>A</v>
          </cell>
          <cell r="F648" t="str">
            <v>8559</v>
          </cell>
          <cell r="G648" t="str">
            <v>A</v>
          </cell>
          <cell r="H648">
            <v>12</v>
          </cell>
          <cell r="I648" t="str">
            <v>Leined Unit</v>
          </cell>
          <cell r="J648" t="str">
            <v>Leined Unit</v>
          </cell>
          <cell r="K648">
            <v>0</v>
          </cell>
          <cell r="L648">
            <v>0</v>
          </cell>
          <cell r="M648">
            <v>0</v>
          </cell>
          <cell r="N648">
            <v>0</v>
          </cell>
          <cell r="O648">
            <v>0</v>
          </cell>
          <cell r="P648">
            <v>0</v>
          </cell>
          <cell r="Q648" t="str">
            <v/>
          </cell>
          <cell r="R648" t="str">
            <v/>
          </cell>
          <cell r="S648" t="str">
            <v/>
          </cell>
          <cell r="T648" t="str">
            <v/>
          </cell>
          <cell r="U648" t="str">
            <v/>
          </cell>
          <cell r="V648" t="str">
            <v/>
          </cell>
          <cell r="W648">
            <v>0</v>
          </cell>
          <cell r="X648">
            <v>0</v>
          </cell>
          <cell r="Y648" t="str">
            <v/>
          </cell>
          <cell r="Z648" t="str">
            <v>BUY</v>
          </cell>
          <cell r="AA648" t="str">
            <v/>
          </cell>
        </row>
        <row r="649">
          <cell r="A649" t="str">
            <v>A</v>
          </cell>
          <cell r="F649" t="str">
            <v>8560</v>
          </cell>
          <cell r="G649" t="str">
            <v>A</v>
          </cell>
          <cell r="H649">
            <v>12</v>
          </cell>
          <cell r="I649" t="str">
            <v>Telephone/Pager Expense</v>
          </cell>
          <cell r="J649" t="str">
            <v>Telephone/Pager Expense</v>
          </cell>
          <cell r="K649">
            <v>0</v>
          </cell>
          <cell r="L649">
            <v>0</v>
          </cell>
          <cell r="M649">
            <v>4200</v>
          </cell>
          <cell r="N649">
            <v>2883</v>
          </cell>
          <cell r="O649">
            <v>4200</v>
          </cell>
          <cell r="P649">
            <v>0</v>
          </cell>
          <cell r="Q649">
            <v>0</v>
          </cell>
          <cell r="R649" t="str">
            <v>GL 5960 Includes long distance and local phone services for the doorman station, engineer's cell phone ($50/mo). Total of six building phone lines. In 2009 elevator phone bill was not coming to office or building, cancelled line so YTD is low. Budget same</v>
          </cell>
          <cell r="S649" t="str">
            <v/>
          </cell>
          <cell r="T649" t="str">
            <v/>
          </cell>
          <cell r="U649" t="str">
            <v/>
          </cell>
          <cell r="V649" t="str">
            <v/>
          </cell>
          <cell r="W649">
            <v>11283</v>
          </cell>
          <cell r="X649">
            <v>0</v>
          </cell>
          <cell r="Y649" t="str">
            <v>A</v>
          </cell>
          <cell r="Z649" t="str">
            <v>BUY</v>
          </cell>
          <cell r="AA649" t="str">
            <v/>
          </cell>
        </row>
        <row r="650">
          <cell r="A650" t="str">
            <v>A</v>
          </cell>
          <cell r="F650" t="str">
            <v>8560-5</v>
          </cell>
          <cell r="G650" t="str">
            <v>A</v>
          </cell>
          <cell r="H650">
            <v>12</v>
          </cell>
          <cell r="I650" t="str">
            <v>Phone &amp; Pager Reimb</v>
          </cell>
          <cell r="J650" t="str">
            <v>Phone &amp; Pager Reimb</v>
          </cell>
          <cell r="K650">
            <v>0</v>
          </cell>
          <cell r="L650">
            <v>0</v>
          </cell>
          <cell r="M650">
            <v>0</v>
          </cell>
          <cell r="N650">
            <v>0</v>
          </cell>
          <cell r="O650">
            <v>0</v>
          </cell>
          <cell r="P650">
            <v>0</v>
          </cell>
          <cell r="Q650" t="str">
            <v/>
          </cell>
          <cell r="R650" t="str">
            <v/>
          </cell>
          <cell r="S650" t="str">
            <v/>
          </cell>
          <cell r="T650" t="str">
            <v/>
          </cell>
          <cell r="U650" t="str">
            <v/>
          </cell>
          <cell r="V650" t="str">
            <v/>
          </cell>
          <cell r="W650">
            <v>0</v>
          </cell>
          <cell r="X650">
            <v>0</v>
          </cell>
          <cell r="Y650" t="str">
            <v/>
          </cell>
          <cell r="Z650" t="str">
            <v>BUY</v>
          </cell>
          <cell r="AA650" t="str">
            <v/>
          </cell>
        </row>
        <row r="651">
          <cell r="A651" t="str">
            <v>A</v>
          </cell>
          <cell r="F651" t="str">
            <v>8561</v>
          </cell>
          <cell r="G651" t="str">
            <v>A</v>
          </cell>
          <cell r="H651">
            <v>12</v>
          </cell>
          <cell r="I651" t="str">
            <v>Community Facility Telephone/Interc</v>
          </cell>
          <cell r="J651" t="str">
            <v>Community Facility Telephone/Interc</v>
          </cell>
          <cell r="K651">
            <v>0</v>
          </cell>
          <cell r="L651">
            <v>0</v>
          </cell>
          <cell r="M651">
            <v>0</v>
          </cell>
          <cell r="N651">
            <v>0</v>
          </cell>
          <cell r="O651">
            <v>0</v>
          </cell>
          <cell r="P651">
            <v>0</v>
          </cell>
          <cell r="Q651" t="str">
            <v/>
          </cell>
          <cell r="R651" t="str">
            <v/>
          </cell>
          <cell r="S651" t="str">
            <v/>
          </cell>
          <cell r="T651" t="str">
            <v/>
          </cell>
          <cell r="U651" t="str">
            <v/>
          </cell>
          <cell r="V651" t="str">
            <v/>
          </cell>
          <cell r="W651">
            <v>0</v>
          </cell>
          <cell r="X651">
            <v>0</v>
          </cell>
          <cell r="Y651" t="str">
            <v/>
          </cell>
          <cell r="Z651" t="str">
            <v>BUY</v>
          </cell>
          <cell r="AA651" t="str">
            <v/>
          </cell>
        </row>
        <row r="652">
          <cell r="A652" t="str">
            <v>A</v>
          </cell>
          <cell r="F652" t="str">
            <v>8562</v>
          </cell>
          <cell r="G652" t="str">
            <v>A</v>
          </cell>
          <cell r="H652">
            <v>12</v>
          </cell>
          <cell r="I652" t="str">
            <v>Office Rent</v>
          </cell>
          <cell r="J652" t="str">
            <v>Office Rent</v>
          </cell>
          <cell r="K652">
            <v>0</v>
          </cell>
          <cell r="L652">
            <v>0</v>
          </cell>
          <cell r="M652">
            <v>0</v>
          </cell>
          <cell r="N652">
            <v>0</v>
          </cell>
          <cell r="O652">
            <v>0</v>
          </cell>
          <cell r="P652">
            <v>0</v>
          </cell>
          <cell r="Q652" t="str">
            <v/>
          </cell>
          <cell r="R652" t="str">
            <v/>
          </cell>
          <cell r="S652" t="str">
            <v/>
          </cell>
          <cell r="T652" t="str">
            <v/>
          </cell>
          <cell r="U652" t="str">
            <v/>
          </cell>
          <cell r="V652" t="str">
            <v/>
          </cell>
          <cell r="W652">
            <v>0</v>
          </cell>
          <cell r="X652">
            <v>0</v>
          </cell>
          <cell r="Y652" t="str">
            <v/>
          </cell>
          <cell r="Z652" t="str">
            <v>BUY</v>
          </cell>
          <cell r="AA652" t="str">
            <v/>
          </cell>
        </row>
        <row r="653">
          <cell r="A653" t="str">
            <v>A</v>
          </cell>
          <cell r="F653" t="str">
            <v>8565</v>
          </cell>
          <cell r="G653" t="str">
            <v>A</v>
          </cell>
          <cell r="H653">
            <v>12</v>
          </cell>
          <cell r="I653" t="str">
            <v>Internet/Website Expense</v>
          </cell>
          <cell r="J653" t="str">
            <v>Internet/Website Expense</v>
          </cell>
          <cell r="K653">
            <v>0</v>
          </cell>
          <cell r="L653">
            <v>0</v>
          </cell>
          <cell r="M653">
            <v>700</v>
          </cell>
          <cell r="N653">
            <v>0</v>
          </cell>
          <cell r="O653">
            <v>0</v>
          </cell>
          <cell r="P653">
            <v>-700</v>
          </cell>
          <cell r="Q653">
            <v>-1</v>
          </cell>
          <cell r="R653" t="str">
            <v>GL 5033 No website for 2009</v>
          </cell>
          <cell r="S653" t="str">
            <v/>
          </cell>
          <cell r="T653" t="str">
            <v/>
          </cell>
          <cell r="U653" t="str">
            <v/>
          </cell>
          <cell r="V653" t="str">
            <v/>
          </cell>
          <cell r="W653">
            <v>700</v>
          </cell>
          <cell r="X653">
            <v>0</v>
          </cell>
          <cell r="Y653" t="str">
            <v>A</v>
          </cell>
          <cell r="Z653" t="str">
            <v>BUY</v>
          </cell>
          <cell r="AA653" t="str">
            <v/>
          </cell>
        </row>
        <row r="654">
          <cell r="A654" t="str">
            <v>A</v>
          </cell>
          <cell r="F654" t="str">
            <v>8568</v>
          </cell>
          <cell r="G654" t="str">
            <v>A</v>
          </cell>
          <cell r="H654">
            <v>12</v>
          </cell>
          <cell r="I654" t="str">
            <v>Parking Expense</v>
          </cell>
          <cell r="J654" t="str">
            <v>Parking Expense</v>
          </cell>
          <cell r="K654">
            <v>0</v>
          </cell>
          <cell r="L654">
            <v>0</v>
          </cell>
          <cell r="M654">
            <v>0</v>
          </cell>
          <cell r="N654">
            <v>0</v>
          </cell>
          <cell r="O654">
            <v>0</v>
          </cell>
          <cell r="P654">
            <v>0</v>
          </cell>
          <cell r="Q654" t="str">
            <v/>
          </cell>
          <cell r="R654" t="str">
            <v/>
          </cell>
          <cell r="S654" t="str">
            <v/>
          </cell>
          <cell r="T654" t="str">
            <v/>
          </cell>
          <cell r="U654" t="str">
            <v/>
          </cell>
          <cell r="V654" t="str">
            <v/>
          </cell>
          <cell r="W654">
            <v>0</v>
          </cell>
          <cell r="X654">
            <v>0</v>
          </cell>
          <cell r="Y654" t="str">
            <v/>
          </cell>
          <cell r="Z654" t="str">
            <v>BUY</v>
          </cell>
          <cell r="AA654" t="str">
            <v/>
          </cell>
        </row>
        <row r="655">
          <cell r="A655" t="str">
            <v>A</v>
          </cell>
          <cell r="F655" t="str">
            <v>8570</v>
          </cell>
          <cell r="G655" t="str">
            <v>A</v>
          </cell>
          <cell r="H655">
            <v>12</v>
          </cell>
          <cell r="I655" t="str">
            <v>Community Newsletter</v>
          </cell>
          <cell r="J655" t="str">
            <v>Community Newsletter</v>
          </cell>
          <cell r="K655">
            <v>0</v>
          </cell>
          <cell r="L655">
            <v>0</v>
          </cell>
          <cell r="M655">
            <v>0</v>
          </cell>
          <cell r="N655">
            <v>0</v>
          </cell>
          <cell r="O655">
            <v>0</v>
          </cell>
          <cell r="P655">
            <v>0</v>
          </cell>
          <cell r="Q655" t="str">
            <v/>
          </cell>
          <cell r="R655" t="str">
            <v/>
          </cell>
          <cell r="S655" t="str">
            <v/>
          </cell>
          <cell r="T655" t="str">
            <v/>
          </cell>
          <cell r="U655" t="str">
            <v/>
          </cell>
          <cell r="V655" t="str">
            <v/>
          </cell>
          <cell r="W655">
            <v>0</v>
          </cell>
          <cell r="X655">
            <v>0</v>
          </cell>
          <cell r="Y655" t="str">
            <v/>
          </cell>
          <cell r="Z655" t="str">
            <v>BUY</v>
          </cell>
          <cell r="AA655" t="str">
            <v/>
          </cell>
        </row>
        <row r="656">
          <cell r="A656" t="str">
            <v>A</v>
          </cell>
          <cell r="F656" t="str">
            <v>8570-5</v>
          </cell>
          <cell r="G656" t="str">
            <v>A</v>
          </cell>
          <cell r="H656">
            <v>12</v>
          </cell>
          <cell r="I656" t="str">
            <v>Newletter/Ad Income</v>
          </cell>
          <cell r="J656" t="str">
            <v>Newletter/Ad Income</v>
          </cell>
          <cell r="K656">
            <v>0</v>
          </cell>
          <cell r="L656">
            <v>0</v>
          </cell>
          <cell r="M656">
            <v>0</v>
          </cell>
          <cell r="N656">
            <v>0</v>
          </cell>
          <cell r="O656">
            <v>0</v>
          </cell>
          <cell r="P656">
            <v>0</v>
          </cell>
          <cell r="Q656" t="str">
            <v/>
          </cell>
          <cell r="R656" t="str">
            <v/>
          </cell>
          <cell r="S656" t="str">
            <v/>
          </cell>
          <cell r="T656" t="str">
            <v/>
          </cell>
          <cell r="U656" t="str">
            <v/>
          </cell>
          <cell r="V656" t="str">
            <v/>
          </cell>
          <cell r="W656">
            <v>0</v>
          </cell>
          <cell r="X656">
            <v>0</v>
          </cell>
          <cell r="Y656" t="str">
            <v/>
          </cell>
          <cell r="Z656" t="str">
            <v>BUY</v>
          </cell>
          <cell r="AA656" t="str">
            <v/>
          </cell>
        </row>
        <row r="657">
          <cell r="A657" t="str">
            <v>A</v>
          </cell>
          <cell r="F657" t="str">
            <v>8575</v>
          </cell>
          <cell r="G657" t="str">
            <v>A</v>
          </cell>
          <cell r="H657">
            <v>12</v>
          </cell>
          <cell r="I657" t="str">
            <v>Promotions/Social Activity</v>
          </cell>
          <cell r="J657" t="str">
            <v>Promotions/Social Activity</v>
          </cell>
          <cell r="K657">
            <v>0</v>
          </cell>
          <cell r="L657">
            <v>0</v>
          </cell>
          <cell r="M657">
            <v>0</v>
          </cell>
          <cell r="N657">
            <v>0</v>
          </cell>
          <cell r="O657">
            <v>0</v>
          </cell>
          <cell r="P657">
            <v>0</v>
          </cell>
          <cell r="Q657" t="str">
            <v/>
          </cell>
          <cell r="R657" t="str">
            <v/>
          </cell>
          <cell r="S657" t="str">
            <v/>
          </cell>
          <cell r="T657" t="str">
            <v/>
          </cell>
          <cell r="U657" t="str">
            <v/>
          </cell>
          <cell r="V657" t="str">
            <v/>
          </cell>
          <cell r="W657">
            <v>0</v>
          </cell>
          <cell r="X657">
            <v>0</v>
          </cell>
          <cell r="Y657" t="str">
            <v/>
          </cell>
          <cell r="Z657" t="str">
            <v>BUY</v>
          </cell>
          <cell r="AA657" t="str">
            <v/>
          </cell>
        </row>
        <row r="658">
          <cell r="A658" t="str">
            <v>A</v>
          </cell>
          <cell r="F658" t="str">
            <v>8575-5</v>
          </cell>
          <cell r="G658" t="str">
            <v>A</v>
          </cell>
          <cell r="H658">
            <v>12</v>
          </cell>
          <cell r="I658" t="str">
            <v>Promo/Social Act Reimb</v>
          </cell>
          <cell r="J658" t="str">
            <v>Promo/Social Act Reimb</v>
          </cell>
          <cell r="K658">
            <v>0</v>
          </cell>
          <cell r="L658">
            <v>0</v>
          </cell>
          <cell r="M658">
            <v>0</v>
          </cell>
          <cell r="N658">
            <v>0</v>
          </cell>
          <cell r="O658">
            <v>0</v>
          </cell>
          <cell r="P658">
            <v>0</v>
          </cell>
          <cell r="Q658" t="str">
            <v/>
          </cell>
          <cell r="R658" t="str">
            <v/>
          </cell>
          <cell r="S658" t="str">
            <v/>
          </cell>
          <cell r="T658" t="str">
            <v/>
          </cell>
          <cell r="U658" t="str">
            <v/>
          </cell>
          <cell r="V658" t="str">
            <v/>
          </cell>
          <cell r="W658">
            <v>0</v>
          </cell>
          <cell r="X658">
            <v>0</v>
          </cell>
          <cell r="Y658" t="str">
            <v/>
          </cell>
          <cell r="Z658" t="str">
            <v>BUY</v>
          </cell>
          <cell r="AA658" t="str">
            <v/>
          </cell>
        </row>
        <row r="659">
          <cell r="A659" t="str">
            <v>A</v>
          </cell>
          <cell r="F659" t="str">
            <v>8576</v>
          </cell>
          <cell r="G659" t="str">
            <v>A</v>
          </cell>
          <cell r="H659">
            <v>12</v>
          </cell>
          <cell r="I659" t="str">
            <v>Meeting Expenses</v>
          </cell>
          <cell r="J659" t="str">
            <v>Meeting Expenses</v>
          </cell>
          <cell r="K659">
            <v>0</v>
          </cell>
          <cell r="L659">
            <v>0</v>
          </cell>
          <cell r="M659">
            <v>790</v>
          </cell>
          <cell r="N659">
            <v>148</v>
          </cell>
          <cell r="O659">
            <v>500</v>
          </cell>
          <cell r="P659">
            <v>-290</v>
          </cell>
          <cell r="Q659">
            <v>-0.36708860759493667</v>
          </cell>
          <cell r="R659" t="str">
            <v>2009 historic figures used.  2009 annual meeting cookies, coffee, and meeting chairs rental. Did not rent space for annual meting 2009.</v>
          </cell>
          <cell r="S659" t="str">
            <v/>
          </cell>
          <cell r="T659" t="str">
            <v/>
          </cell>
          <cell r="U659" t="str">
            <v/>
          </cell>
          <cell r="V659" t="str">
            <v/>
          </cell>
          <cell r="W659">
            <v>1438</v>
          </cell>
          <cell r="X659">
            <v>0</v>
          </cell>
          <cell r="Y659" t="str">
            <v>A</v>
          </cell>
          <cell r="Z659" t="str">
            <v>BUY</v>
          </cell>
          <cell r="AA659" t="str">
            <v/>
          </cell>
        </row>
        <row r="660">
          <cell r="A660" t="str">
            <v>A</v>
          </cell>
          <cell r="F660" t="str">
            <v>8576-2000</v>
          </cell>
          <cell r="G660" t="str">
            <v>A</v>
          </cell>
          <cell r="H660">
            <v>12</v>
          </cell>
          <cell r="I660" t="str">
            <v>Annual Meeting</v>
          </cell>
          <cell r="J660" t="str">
            <v>Annual Meeting</v>
          </cell>
          <cell r="K660">
            <v>0</v>
          </cell>
          <cell r="L660">
            <v>0</v>
          </cell>
          <cell r="M660">
            <v>0</v>
          </cell>
          <cell r="N660">
            <v>0</v>
          </cell>
          <cell r="O660">
            <v>0</v>
          </cell>
          <cell r="P660">
            <v>0</v>
          </cell>
          <cell r="Q660" t="str">
            <v/>
          </cell>
          <cell r="R660" t="str">
            <v/>
          </cell>
          <cell r="S660" t="str">
            <v/>
          </cell>
          <cell r="T660" t="str">
            <v/>
          </cell>
          <cell r="U660" t="str">
            <v/>
          </cell>
          <cell r="V660" t="str">
            <v/>
          </cell>
          <cell r="W660">
            <v>0</v>
          </cell>
          <cell r="X660">
            <v>0</v>
          </cell>
          <cell r="Y660" t="str">
            <v/>
          </cell>
          <cell r="Z660" t="str">
            <v>BUY</v>
          </cell>
          <cell r="AA660" t="str">
            <v/>
          </cell>
        </row>
        <row r="661">
          <cell r="A661" t="str">
            <v>A</v>
          </cell>
          <cell r="F661" t="str">
            <v>8576-5</v>
          </cell>
          <cell r="G661" t="str">
            <v>A</v>
          </cell>
          <cell r="H661">
            <v>12</v>
          </cell>
          <cell r="I661" t="str">
            <v>Meeting Expenses</v>
          </cell>
          <cell r="J661" t="str">
            <v>Meeting Expenses</v>
          </cell>
          <cell r="K661">
            <v>0</v>
          </cell>
          <cell r="L661">
            <v>0</v>
          </cell>
          <cell r="M661">
            <v>0</v>
          </cell>
          <cell r="N661">
            <v>0</v>
          </cell>
          <cell r="O661">
            <v>0</v>
          </cell>
          <cell r="P661">
            <v>0</v>
          </cell>
          <cell r="Q661" t="str">
            <v/>
          </cell>
          <cell r="R661" t="str">
            <v/>
          </cell>
          <cell r="S661" t="str">
            <v/>
          </cell>
          <cell r="T661" t="str">
            <v/>
          </cell>
          <cell r="U661" t="str">
            <v/>
          </cell>
          <cell r="V661" t="str">
            <v/>
          </cell>
          <cell r="W661">
            <v>0</v>
          </cell>
          <cell r="X661">
            <v>0</v>
          </cell>
          <cell r="Y661" t="str">
            <v/>
          </cell>
          <cell r="Z661" t="str">
            <v>BUY</v>
          </cell>
          <cell r="AA661" t="str">
            <v/>
          </cell>
        </row>
        <row r="662">
          <cell r="A662" t="str">
            <v>A</v>
          </cell>
          <cell r="F662" t="str">
            <v>8579</v>
          </cell>
          <cell r="G662" t="str">
            <v>A</v>
          </cell>
          <cell r="H662">
            <v>12</v>
          </cell>
          <cell r="I662" t="str">
            <v>Security Interest Paid on any Deposit</v>
          </cell>
          <cell r="J662" t="str">
            <v>Security Interest Paid on any Deposit</v>
          </cell>
          <cell r="K662">
            <v>0</v>
          </cell>
          <cell r="L662">
            <v>0</v>
          </cell>
          <cell r="M662">
            <v>0</v>
          </cell>
          <cell r="N662">
            <v>0</v>
          </cell>
          <cell r="O662">
            <v>0</v>
          </cell>
          <cell r="P662">
            <v>0</v>
          </cell>
          <cell r="Q662" t="str">
            <v/>
          </cell>
          <cell r="R662" t="str">
            <v/>
          </cell>
          <cell r="S662" t="str">
            <v/>
          </cell>
          <cell r="T662" t="str">
            <v/>
          </cell>
          <cell r="U662" t="str">
            <v/>
          </cell>
          <cell r="V662" t="str">
            <v/>
          </cell>
          <cell r="W662">
            <v>0</v>
          </cell>
          <cell r="X662">
            <v>0</v>
          </cell>
          <cell r="Y662" t="str">
            <v/>
          </cell>
          <cell r="Z662" t="str">
            <v>BUY</v>
          </cell>
          <cell r="AA662" t="str">
            <v/>
          </cell>
        </row>
        <row r="663">
          <cell r="A663" t="str">
            <v>A</v>
          </cell>
          <cell r="F663" t="str">
            <v>8580</v>
          </cell>
          <cell r="G663" t="str">
            <v>A</v>
          </cell>
          <cell r="H663">
            <v>12</v>
          </cell>
          <cell r="I663" t="str">
            <v>Income Taxes</v>
          </cell>
          <cell r="J663" t="str">
            <v>Income Taxes</v>
          </cell>
          <cell r="K663">
            <v>0</v>
          </cell>
          <cell r="L663">
            <v>0</v>
          </cell>
          <cell r="M663">
            <v>0</v>
          </cell>
          <cell r="N663">
            <v>0</v>
          </cell>
          <cell r="O663">
            <v>0</v>
          </cell>
          <cell r="P663">
            <v>0</v>
          </cell>
          <cell r="Q663" t="str">
            <v/>
          </cell>
          <cell r="R663" t="str">
            <v/>
          </cell>
          <cell r="S663" t="str">
            <v/>
          </cell>
          <cell r="T663" t="str">
            <v/>
          </cell>
          <cell r="U663" t="str">
            <v/>
          </cell>
          <cell r="V663" t="str">
            <v/>
          </cell>
          <cell r="W663">
            <v>0</v>
          </cell>
          <cell r="X663">
            <v>0</v>
          </cell>
          <cell r="Y663" t="str">
            <v/>
          </cell>
          <cell r="Z663" t="str">
            <v>BUY</v>
          </cell>
          <cell r="AA663" t="str">
            <v/>
          </cell>
        </row>
        <row r="664">
          <cell r="A664" t="str">
            <v>A</v>
          </cell>
          <cell r="F664" t="str">
            <v>8580-1</v>
          </cell>
          <cell r="G664" t="str">
            <v>A</v>
          </cell>
          <cell r="H664">
            <v>12</v>
          </cell>
          <cell r="I664" t="str">
            <v>Fed Income Taxes</v>
          </cell>
          <cell r="J664" t="str">
            <v>Fed Income Taxes</v>
          </cell>
          <cell r="K664">
            <v>0</v>
          </cell>
          <cell r="L664">
            <v>0</v>
          </cell>
          <cell r="M664">
            <v>0</v>
          </cell>
          <cell r="N664">
            <v>0</v>
          </cell>
          <cell r="O664">
            <v>0</v>
          </cell>
          <cell r="P664">
            <v>0</v>
          </cell>
          <cell r="Q664" t="str">
            <v/>
          </cell>
          <cell r="R664" t="str">
            <v/>
          </cell>
          <cell r="S664" t="str">
            <v/>
          </cell>
          <cell r="T664" t="str">
            <v/>
          </cell>
          <cell r="U664" t="str">
            <v/>
          </cell>
          <cell r="V664" t="str">
            <v/>
          </cell>
          <cell r="W664">
            <v>0</v>
          </cell>
          <cell r="X664">
            <v>0</v>
          </cell>
          <cell r="Y664" t="str">
            <v/>
          </cell>
          <cell r="Z664" t="str">
            <v>BUY</v>
          </cell>
          <cell r="AA664" t="str">
            <v/>
          </cell>
        </row>
        <row r="665">
          <cell r="A665" t="str">
            <v>A</v>
          </cell>
          <cell r="F665" t="str">
            <v>8580-5</v>
          </cell>
          <cell r="G665" t="str">
            <v>A</v>
          </cell>
          <cell r="H665">
            <v>12</v>
          </cell>
          <cell r="I665" t="str">
            <v>Income Tax Refunds</v>
          </cell>
          <cell r="J665" t="str">
            <v>Income Tax Refunds</v>
          </cell>
          <cell r="K665">
            <v>0</v>
          </cell>
          <cell r="L665">
            <v>0</v>
          </cell>
          <cell r="M665">
            <v>0</v>
          </cell>
          <cell r="N665">
            <v>0</v>
          </cell>
          <cell r="O665">
            <v>0</v>
          </cell>
          <cell r="P665">
            <v>0</v>
          </cell>
          <cell r="Q665" t="str">
            <v/>
          </cell>
          <cell r="R665" t="str">
            <v/>
          </cell>
          <cell r="S665" t="str">
            <v/>
          </cell>
          <cell r="T665" t="str">
            <v/>
          </cell>
          <cell r="U665" t="str">
            <v/>
          </cell>
          <cell r="V665" t="str">
            <v/>
          </cell>
          <cell r="W665">
            <v>0</v>
          </cell>
          <cell r="X665">
            <v>0</v>
          </cell>
          <cell r="Y665" t="str">
            <v/>
          </cell>
          <cell r="Z665" t="str">
            <v>BUY</v>
          </cell>
          <cell r="AA665" t="str">
            <v/>
          </cell>
        </row>
        <row r="666">
          <cell r="A666" t="str">
            <v>A</v>
          </cell>
          <cell r="F666" t="str">
            <v>8581</v>
          </cell>
          <cell r="G666" t="str">
            <v>A</v>
          </cell>
          <cell r="H666">
            <v>12</v>
          </cell>
          <cell r="I666" t="str">
            <v>Real Estate Taxes</v>
          </cell>
          <cell r="J666" t="str">
            <v>Real Estate Taxes</v>
          </cell>
          <cell r="K666">
            <v>0</v>
          </cell>
          <cell r="L666">
            <v>0</v>
          </cell>
          <cell r="M666">
            <v>5265</v>
          </cell>
          <cell r="N666">
            <v>16024</v>
          </cell>
          <cell r="O666">
            <v>7300</v>
          </cell>
          <cell r="P666">
            <v>2035</v>
          </cell>
          <cell r="Q666">
            <v>0.38651471984805319</v>
          </cell>
          <cell r="R666" t="str">
            <v>GL 71100 Two installments per year for engineer unit.  Also budgeted for 1st installment tax bil for unit 9E.</v>
          </cell>
          <cell r="S666" t="str">
            <v/>
          </cell>
          <cell r="T666" t="str">
            <v/>
          </cell>
          <cell r="U666" t="str">
            <v/>
          </cell>
          <cell r="V666" t="str">
            <v/>
          </cell>
          <cell r="W666">
            <v>28589</v>
          </cell>
          <cell r="X666">
            <v>0</v>
          </cell>
          <cell r="Y666" t="str">
            <v>A</v>
          </cell>
          <cell r="Z666" t="str">
            <v>BUY</v>
          </cell>
          <cell r="AA666" t="str">
            <v/>
          </cell>
        </row>
        <row r="667">
          <cell r="A667" t="str">
            <v>A</v>
          </cell>
          <cell r="F667" t="str">
            <v>8581-1</v>
          </cell>
          <cell r="G667" t="str">
            <v>A</v>
          </cell>
          <cell r="H667">
            <v>12</v>
          </cell>
          <cell r="I667" t="str">
            <v>Real Estate Taxes</v>
          </cell>
          <cell r="J667" t="str">
            <v>Real Estate Taxes</v>
          </cell>
          <cell r="K667">
            <v>0</v>
          </cell>
          <cell r="L667">
            <v>0</v>
          </cell>
          <cell r="M667">
            <v>0</v>
          </cell>
          <cell r="N667">
            <v>0</v>
          </cell>
          <cell r="O667">
            <v>0</v>
          </cell>
          <cell r="P667">
            <v>0</v>
          </cell>
          <cell r="Q667" t="str">
            <v/>
          </cell>
          <cell r="R667" t="str">
            <v/>
          </cell>
          <cell r="S667" t="str">
            <v/>
          </cell>
          <cell r="T667" t="str">
            <v/>
          </cell>
          <cell r="U667" t="str">
            <v/>
          </cell>
          <cell r="V667" t="str">
            <v/>
          </cell>
          <cell r="W667">
            <v>0</v>
          </cell>
          <cell r="X667">
            <v>0</v>
          </cell>
          <cell r="Y667" t="str">
            <v/>
          </cell>
          <cell r="Z667" t="str">
            <v>BUY</v>
          </cell>
          <cell r="AA667" t="str">
            <v/>
          </cell>
        </row>
        <row r="668">
          <cell r="A668" t="str">
            <v>A</v>
          </cell>
          <cell r="F668" t="str">
            <v>8581-1005</v>
          </cell>
          <cell r="G668" t="str">
            <v>A</v>
          </cell>
          <cell r="H668">
            <v>12</v>
          </cell>
          <cell r="I668" t="str">
            <v>Real Estate Tax Reimbursement</v>
          </cell>
          <cell r="J668" t="str">
            <v>Real Estate Tax Reimbursement</v>
          </cell>
          <cell r="K668">
            <v>0</v>
          </cell>
          <cell r="L668">
            <v>0</v>
          </cell>
          <cell r="M668">
            <v>0</v>
          </cell>
          <cell r="N668">
            <v>0</v>
          </cell>
          <cell r="O668">
            <v>0</v>
          </cell>
          <cell r="P668">
            <v>0</v>
          </cell>
          <cell r="Q668" t="str">
            <v/>
          </cell>
          <cell r="R668" t="str">
            <v/>
          </cell>
          <cell r="S668" t="str">
            <v/>
          </cell>
          <cell r="T668" t="str">
            <v/>
          </cell>
          <cell r="U668" t="str">
            <v/>
          </cell>
          <cell r="V668" t="str">
            <v/>
          </cell>
          <cell r="W668">
            <v>0</v>
          </cell>
          <cell r="X668">
            <v>0</v>
          </cell>
          <cell r="Y668" t="str">
            <v/>
          </cell>
          <cell r="Z668" t="str">
            <v>BUY</v>
          </cell>
          <cell r="AA668" t="str">
            <v/>
          </cell>
        </row>
        <row r="669">
          <cell r="A669" t="str">
            <v>A</v>
          </cell>
          <cell r="F669" t="str">
            <v>8581-2</v>
          </cell>
          <cell r="G669" t="str">
            <v>A</v>
          </cell>
          <cell r="H669">
            <v>12</v>
          </cell>
          <cell r="I669" t="str">
            <v>Real Estate Taxes</v>
          </cell>
          <cell r="J669" t="str">
            <v>Real Estate Taxes</v>
          </cell>
          <cell r="K669">
            <v>0</v>
          </cell>
          <cell r="L669">
            <v>0</v>
          </cell>
          <cell r="M669">
            <v>0</v>
          </cell>
          <cell r="N669">
            <v>0</v>
          </cell>
          <cell r="O669">
            <v>0</v>
          </cell>
          <cell r="P669">
            <v>0</v>
          </cell>
          <cell r="Q669" t="str">
            <v/>
          </cell>
          <cell r="R669" t="str">
            <v/>
          </cell>
          <cell r="S669" t="str">
            <v/>
          </cell>
          <cell r="T669" t="str">
            <v/>
          </cell>
          <cell r="U669" t="str">
            <v/>
          </cell>
          <cell r="V669" t="str">
            <v/>
          </cell>
          <cell r="W669">
            <v>0</v>
          </cell>
          <cell r="X669">
            <v>0</v>
          </cell>
          <cell r="Y669" t="str">
            <v/>
          </cell>
          <cell r="Z669" t="str">
            <v>BUY</v>
          </cell>
          <cell r="AA669" t="str">
            <v/>
          </cell>
        </row>
        <row r="670">
          <cell r="A670" t="str">
            <v>A</v>
          </cell>
          <cell r="F670" t="str">
            <v>8581-3</v>
          </cell>
          <cell r="G670" t="str">
            <v>A</v>
          </cell>
          <cell r="H670">
            <v>12</v>
          </cell>
          <cell r="I670" t="str">
            <v>Real Estate Taxes</v>
          </cell>
          <cell r="J670" t="str">
            <v>Real Estate Taxes</v>
          </cell>
          <cell r="K670">
            <v>0</v>
          </cell>
          <cell r="L670">
            <v>0</v>
          </cell>
          <cell r="M670">
            <v>0</v>
          </cell>
          <cell r="N670">
            <v>0</v>
          </cell>
          <cell r="O670">
            <v>0</v>
          </cell>
          <cell r="P670">
            <v>0</v>
          </cell>
          <cell r="Q670" t="str">
            <v/>
          </cell>
          <cell r="R670" t="str">
            <v/>
          </cell>
          <cell r="S670" t="str">
            <v/>
          </cell>
          <cell r="T670" t="str">
            <v/>
          </cell>
          <cell r="U670" t="str">
            <v/>
          </cell>
          <cell r="V670" t="str">
            <v/>
          </cell>
          <cell r="W670">
            <v>0</v>
          </cell>
          <cell r="X670">
            <v>0</v>
          </cell>
          <cell r="Y670" t="str">
            <v/>
          </cell>
          <cell r="Z670" t="str">
            <v>BUY</v>
          </cell>
          <cell r="AA670" t="str">
            <v/>
          </cell>
        </row>
        <row r="671">
          <cell r="A671" t="str">
            <v>A</v>
          </cell>
          <cell r="F671" t="str">
            <v>8581-4</v>
          </cell>
          <cell r="G671" t="str">
            <v>A</v>
          </cell>
          <cell r="H671">
            <v>12</v>
          </cell>
          <cell r="I671" t="str">
            <v>Real Estate Taxes</v>
          </cell>
          <cell r="J671" t="str">
            <v>Real Estate Taxes</v>
          </cell>
          <cell r="K671">
            <v>0</v>
          </cell>
          <cell r="L671">
            <v>0</v>
          </cell>
          <cell r="M671">
            <v>0</v>
          </cell>
          <cell r="N671">
            <v>0</v>
          </cell>
          <cell r="O671">
            <v>0</v>
          </cell>
          <cell r="P671">
            <v>0</v>
          </cell>
          <cell r="Q671" t="str">
            <v/>
          </cell>
          <cell r="R671" t="str">
            <v/>
          </cell>
          <cell r="S671" t="str">
            <v/>
          </cell>
          <cell r="T671" t="str">
            <v/>
          </cell>
          <cell r="U671" t="str">
            <v/>
          </cell>
          <cell r="V671" t="str">
            <v/>
          </cell>
          <cell r="W671">
            <v>0</v>
          </cell>
          <cell r="X671">
            <v>0</v>
          </cell>
          <cell r="Y671" t="str">
            <v/>
          </cell>
          <cell r="Z671" t="str">
            <v>BUY</v>
          </cell>
          <cell r="AA671" t="str">
            <v/>
          </cell>
        </row>
        <row r="672">
          <cell r="A672" t="str">
            <v>A</v>
          </cell>
          <cell r="F672" t="str">
            <v>8581-5</v>
          </cell>
          <cell r="G672" t="str">
            <v>A</v>
          </cell>
          <cell r="H672">
            <v>12</v>
          </cell>
          <cell r="I672" t="str">
            <v>Real Estate Tax Reimbursement</v>
          </cell>
          <cell r="J672" t="str">
            <v>Real Estate Tax Reimbursement</v>
          </cell>
          <cell r="K672">
            <v>0</v>
          </cell>
          <cell r="L672">
            <v>0</v>
          </cell>
          <cell r="M672">
            <v>0</v>
          </cell>
          <cell r="N672">
            <v>0</v>
          </cell>
          <cell r="O672">
            <v>0</v>
          </cell>
          <cell r="P672">
            <v>0</v>
          </cell>
          <cell r="Q672" t="str">
            <v/>
          </cell>
          <cell r="R672" t="str">
            <v/>
          </cell>
          <cell r="S672" t="str">
            <v/>
          </cell>
          <cell r="T672" t="str">
            <v/>
          </cell>
          <cell r="U672" t="str">
            <v/>
          </cell>
          <cell r="V672" t="str">
            <v/>
          </cell>
          <cell r="W672">
            <v>0</v>
          </cell>
          <cell r="X672">
            <v>0</v>
          </cell>
          <cell r="Y672" t="str">
            <v/>
          </cell>
          <cell r="Z672" t="str">
            <v>BUY</v>
          </cell>
          <cell r="AA672" t="str">
            <v/>
          </cell>
        </row>
        <row r="673">
          <cell r="A673" t="str">
            <v>A</v>
          </cell>
          <cell r="F673" t="str">
            <v>8582</v>
          </cell>
          <cell r="G673" t="str">
            <v>A</v>
          </cell>
          <cell r="H673">
            <v>12</v>
          </cell>
          <cell r="I673" t="str">
            <v>Other Taxes</v>
          </cell>
          <cell r="J673" t="str">
            <v>Other Taxes</v>
          </cell>
          <cell r="K673">
            <v>0</v>
          </cell>
          <cell r="L673">
            <v>0</v>
          </cell>
          <cell r="M673">
            <v>0</v>
          </cell>
          <cell r="N673">
            <v>0</v>
          </cell>
          <cell r="O673">
            <v>0</v>
          </cell>
          <cell r="P673">
            <v>0</v>
          </cell>
          <cell r="Q673" t="str">
            <v/>
          </cell>
          <cell r="R673" t="str">
            <v/>
          </cell>
          <cell r="S673" t="str">
            <v/>
          </cell>
          <cell r="T673" t="str">
            <v/>
          </cell>
          <cell r="U673" t="str">
            <v/>
          </cell>
          <cell r="V673" t="str">
            <v/>
          </cell>
          <cell r="W673">
            <v>0</v>
          </cell>
          <cell r="X673">
            <v>0</v>
          </cell>
          <cell r="Y673" t="str">
            <v/>
          </cell>
          <cell r="Z673" t="str">
            <v>BUY</v>
          </cell>
          <cell r="AA673" t="str">
            <v/>
          </cell>
        </row>
        <row r="674">
          <cell r="A674" t="str">
            <v>A</v>
          </cell>
          <cell r="F674" t="str">
            <v>8584</v>
          </cell>
          <cell r="G674" t="str">
            <v>A</v>
          </cell>
          <cell r="H674">
            <v>12</v>
          </cell>
          <cell r="I674" t="str">
            <v>Depreciation Expense</v>
          </cell>
          <cell r="J674" t="str">
            <v>Depreciation Expense</v>
          </cell>
          <cell r="K674">
            <v>0</v>
          </cell>
          <cell r="L674">
            <v>0</v>
          </cell>
          <cell r="M674">
            <v>0</v>
          </cell>
          <cell r="N674">
            <v>0</v>
          </cell>
          <cell r="O674">
            <v>0</v>
          </cell>
          <cell r="P674">
            <v>0</v>
          </cell>
          <cell r="Q674" t="str">
            <v/>
          </cell>
          <cell r="R674" t="str">
            <v/>
          </cell>
          <cell r="S674" t="str">
            <v/>
          </cell>
          <cell r="T674" t="str">
            <v/>
          </cell>
          <cell r="U674" t="str">
            <v/>
          </cell>
          <cell r="V674" t="str">
            <v/>
          </cell>
          <cell r="W674">
            <v>0</v>
          </cell>
          <cell r="X674">
            <v>0</v>
          </cell>
          <cell r="Y674" t="str">
            <v/>
          </cell>
          <cell r="Z674" t="str">
            <v>BUY</v>
          </cell>
          <cell r="AA674" t="str">
            <v/>
          </cell>
        </row>
        <row r="675">
          <cell r="A675" t="str">
            <v>A</v>
          </cell>
          <cell r="F675" t="str">
            <v>8585</v>
          </cell>
          <cell r="G675" t="str">
            <v>A</v>
          </cell>
          <cell r="H675">
            <v>12</v>
          </cell>
          <cell r="I675" t="str">
            <v>Principal Pd:Debt/Loans</v>
          </cell>
          <cell r="J675" t="str">
            <v>Principal Pd:Debt/Loans</v>
          </cell>
          <cell r="K675">
            <v>0</v>
          </cell>
          <cell r="L675">
            <v>0</v>
          </cell>
          <cell r="M675">
            <v>40603</v>
          </cell>
          <cell r="N675">
            <v>28023</v>
          </cell>
          <cell r="O675">
            <v>0</v>
          </cell>
          <cell r="P675">
            <v>-40603</v>
          </cell>
          <cell r="Q675">
            <v>-1</v>
          </cell>
          <cell r="R675" t="str">
            <v>GL 6940 on Oct. 1 2009 convert to permanent loan at 6.375 amortized over ten years. Oct-Dec payment $5,705 per month which is principle and interest.</v>
          </cell>
          <cell r="S675" t="str">
            <v/>
          </cell>
          <cell r="T675" t="str">
            <v/>
          </cell>
          <cell r="U675" t="str">
            <v/>
          </cell>
          <cell r="V675" t="str">
            <v/>
          </cell>
          <cell r="W675">
            <v>68626</v>
          </cell>
          <cell r="X675">
            <v>0</v>
          </cell>
          <cell r="Y675" t="str">
            <v>A</v>
          </cell>
          <cell r="Z675" t="str">
            <v>BUY</v>
          </cell>
          <cell r="AA675" t="str">
            <v/>
          </cell>
        </row>
        <row r="676">
          <cell r="A676" t="str">
            <v>A</v>
          </cell>
          <cell r="F676" t="str">
            <v>8585-1</v>
          </cell>
          <cell r="G676" t="str">
            <v>A</v>
          </cell>
          <cell r="H676">
            <v>12</v>
          </cell>
          <cell r="I676" t="str">
            <v>Principal Pd:Debt/Loans</v>
          </cell>
          <cell r="J676" t="str">
            <v>Principal Pd:Debt/Loans</v>
          </cell>
          <cell r="K676">
            <v>0</v>
          </cell>
          <cell r="L676">
            <v>0</v>
          </cell>
          <cell r="M676">
            <v>0</v>
          </cell>
          <cell r="N676">
            <v>0</v>
          </cell>
          <cell r="O676">
            <v>0</v>
          </cell>
          <cell r="P676">
            <v>0</v>
          </cell>
          <cell r="Q676" t="str">
            <v/>
          </cell>
          <cell r="R676" t="str">
            <v/>
          </cell>
          <cell r="S676" t="str">
            <v/>
          </cell>
          <cell r="T676" t="str">
            <v/>
          </cell>
          <cell r="U676" t="str">
            <v/>
          </cell>
          <cell r="V676" t="str">
            <v/>
          </cell>
          <cell r="W676">
            <v>0</v>
          </cell>
          <cell r="X676">
            <v>0</v>
          </cell>
          <cell r="Y676" t="str">
            <v/>
          </cell>
          <cell r="Z676" t="str">
            <v>BUY</v>
          </cell>
          <cell r="AA676" t="str">
            <v/>
          </cell>
        </row>
        <row r="677">
          <cell r="A677" t="str">
            <v>A</v>
          </cell>
          <cell r="F677" t="str">
            <v>8585-2</v>
          </cell>
          <cell r="G677" t="str">
            <v>A</v>
          </cell>
          <cell r="H677">
            <v>12</v>
          </cell>
          <cell r="I677" t="str">
            <v>Principal Pd:Debt/Loans</v>
          </cell>
          <cell r="J677" t="str">
            <v>Principal Pd:Debt/Loans</v>
          </cell>
          <cell r="K677">
            <v>0</v>
          </cell>
          <cell r="L677">
            <v>0</v>
          </cell>
          <cell r="M677">
            <v>0</v>
          </cell>
          <cell r="N677">
            <v>0</v>
          </cell>
          <cell r="O677">
            <v>0</v>
          </cell>
          <cell r="P677">
            <v>0</v>
          </cell>
          <cell r="Q677" t="str">
            <v/>
          </cell>
          <cell r="R677" t="str">
            <v/>
          </cell>
          <cell r="S677" t="str">
            <v/>
          </cell>
          <cell r="T677" t="str">
            <v/>
          </cell>
          <cell r="U677" t="str">
            <v/>
          </cell>
          <cell r="V677" t="str">
            <v/>
          </cell>
          <cell r="W677">
            <v>0</v>
          </cell>
          <cell r="X677">
            <v>0</v>
          </cell>
          <cell r="Y677" t="str">
            <v/>
          </cell>
          <cell r="Z677" t="str">
            <v>BUY</v>
          </cell>
          <cell r="AA677" t="str">
            <v/>
          </cell>
        </row>
        <row r="678">
          <cell r="A678" t="str">
            <v>A</v>
          </cell>
          <cell r="F678" t="str">
            <v>8586</v>
          </cell>
          <cell r="G678" t="str">
            <v>A</v>
          </cell>
          <cell r="H678">
            <v>12</v>
          </cell>
          <cell r="I678" t="str">
            <v>Reclass Principal to 2810</v>
          </cell>
          <cell r="J678" t="str">
            <v>Reclass Principal to 2810</v>
          </cell>
          <cell r="K678">
            <v>0</v>
          </cell>
          <cell r="L678">
            <v>0</v>
          </cell>
          <cell r="M678">
            <v>0</v>
          </cell>
          <cell r="N678">
            <v>0</v>
          </cell>
          <cell r="O678">
            <v>0</v>
          </cell>
          <cell r="P678">
            <v>0</v>
          </cell>
          <cell r="Q678" t="str">
            <v/>
          </cell>
          <cell r="R678" t="str">
            <v/>
          </cell>
          <cell r="S678" t="str">
            <v/>
          </cell>
          <cell r="T678" t="str">
            <v/>
          </cell>
          <cell r="U678" t="str">
            <v/>
          </cell>
          <cell r="V678" t="str">
            <v/>
          </cell>
          <cell r="W678">
            <v>0</v>
          </cell>
          <cell r="X678">
            <v>0</v>
          </cell>
          <cell r="Y678" t="str">
            <v/>
          </cell>
          <cell r="Z678" t="str">
            <v>BUY</v>
          </cell>
          <cell r="AA678" t="str">
            <v/>
          </cell>
        </row>
        <row r="679">
          <cell r="A679" t="str">
            <v>A</v>
          </cell>
          <cell r="F679" t="str">
            <v>8586-1</v>
          </cell>
          <cell r="G679" t="str">
            <v>A</v>
          </cell>
          <cell r="H679">
            <v>12</v>
          </cell>
          <cell r="I679" t="str">
            <v>Reclass Principal to 2810</v>
          </cell>
          <cell r="J679" t="str">
            <v>Reclass Principal to 2810</v>
          </cell>
          <cell r="K679">
            <v>0</v>
          </cell>
          <cell r="L679">
            <v>0</v>
          </cell>
          <cell r="M679">
            <v>0</v>
          </cell>
          <cell r="N679">
            <v>0</v>
          </cell>
          <cell r="O679">
            <v>0</v>
          </cell>
          <cell r="P679">
            <v>0</v>
          </cell>
          <cell r="Q679" t="str">
            <v/>
          </cell>
          <cell r="R679" t="str">
            <v/>
          </cell>
          <cell r="S679" t="str">
            <v/>
          </cell>
          <cell r="T679" t="str">
            <v/>
          </cell>
          <cell r="U679" t="str">
            <v/>
          </cell>
          <cell r="V679" t="str">
            <v/>
          </cell>
          <cell r="W679">
            <v>0</v>
          </cell>
          <cell r="X679">
            <v>0</v>
          </cell>
          <cell r="Y679" t="str">
            <v/>
          </cell>
          <cell r="Z679" t="str">
            <v>BUY</v>
          </cell>
          <cell r="AA679" t="str">
            <v/>
          </cell>
        </row>
        <row r="680">
          <cell r="A680" t="str">
            <v>A</v>
          </cell>
          <cell r="F680" t="str">
            <v>8586-2</v>
          </cell>
          <cell r="G680" t="str">
            <v>A</v>
          </cell>
          <cell r="H680">
            <v>12</v>
          </cell>
          <cell r="I680" t="str">
            <v>Reclass Principal to 2810</v>
          </cell>
          <cell r="J680" t="str">
            <v>Reclass Principal to 2810</v>
          </cell>
          <cell r="K680">
            <v>0</v>
          </cell>
          <cell r="L680">
            <v>0</v>
          </cell>
          <cell r="M680">
            <v>0</v>
          </cell>
          <cell r="N680">
            <v>0</v>
          </cell>
          <cell r="O680">
            <v>0</v>
          </cell>
          <cell r="P680">
            <v>0</v>
          </cell>
          <cell r="Q680" t="str">
            <v/>
          </cell>
          <cell r="R680" t="str">
            <v/>
          </cell>
          <cell r="S680" t="str">
            <v/>
          </cell>
          <cell r="T680" t="str">
            <v/>
          </cell>
          <cell r="U680" t="str">
            <v/>
          </cell>
          <cell r="V680" t="str">
            <v/>
          </cell>
          <cell r="W680">
            <v>0</v>
          </cell>
          <cell r="X680">
            <v>0</v>
          </cell>
          <cell r="Y680" t="str">
            <v/>
          </cell>
          <cell r="Z680" t="str">
            <v>BUY</v>
          </cell>
          <cell r="AA680" t="str">
            <v/>
          </cell>
        </row>
        <row r="681">
          <cell r="A681" t="str">
            <v>A</v>
          </cell>
          <cell r="F681" t="str">
            <v>8590</v>
          </cell>
          <cell r="G681" t="str">
            <v>A</v>
          </cell>
          <cell r="H681">
            <v>12</v>
          </cell>
          <cell r="I681" t="str">
            <v>Loan Fees</v>
          </cell>
          <cell r="J681" t="str">
            <v>Interest Pd:Debt,Loans</v>
          </cell>
          <cell r="K681">
            <v>0</v>
          </cell>
          <cell r="L681">
            <v>0</v>
          </cell>
          <cell r="M681">
            <v>2250</v>
          </cell>
          <cell r="N681">
            <v>27803</v>
          </cell>
          <cell r="O681">
            <v>2000</v>
          </cell>
          <cell r="P681">
            <v>-250</v>
          </cell>
          <cell r="Q681">
            <v>-0.11111111111111116</v>
          </cell>
          <cell r="R681" t="str">
            <v>GL 73145. Need to evaluate new fees.</v>
          </cell>
          <cell r="S681" t="str">
            <v/>
          </cell>
          <cell r="T681" t="str">
            <v/>
          </cell>
          <cell r="U681" t="str">
            <v/>
          </cell>
          <cell r="V681" t="str">
            <v/>
          </cell>
          <cell r="W681">
            <v>32053</v>
          </cell>
          <cell r="X681">
            <v>0</v>
          </cell>
          <cell r="Y681" t="str">
            <v>A</v>
          </cell>
          <cell r="Z681" t="str">
            <v>BUY</v>
          </cell>
          <cell r="AA681" t="str">
            <v/>
          </cell>
        </row>
        <row r="682">
          <cell r="A682" t="str">
            <v>A</v>
          </cell>
          <cell r="F682" t="str">
            <v>8590-1</v>
          </cell>
          <cell r="G682" t="str">
            <v>A</v>
          </cell>
          <cell r="H682">
            <v>12</v>
          </cell>
          <cell r="I682" t="str">
            <v>Interest Pd:Debt,Loans</v>
          </cell>
          <cell r="J682" t="str">
            <v>Interest Pd:Debt,Loans</v>
          </cell>
          <cell r="K682">
            <v>0</v>
          </cell>
          <cell r="L682">
            <v>0</v>
          </cell>
          <cell r="M682">
            <v>0</v>
          </cell>
          <cell r="N682">
            <v>0</v>
          </cell>
          <cell r="O682">
            <v>0</v>
          </cell>
          <cell r="P682">
            <v>0</v>
          </cell>
          <cell r="Q682" t="str">
            <v/>
          </cell>
          <cell r="R682" t="str">
            <v/>
          </cell>
          <cell r="S682" t="str">
            <v/>
          </cell>
          <cell r="T682" t="str">
            <v/>
          </cell>
          <cell r="U682" t="str">
            <v/>
          </cell>
          <cell r="V682" t="str">
            <v/>
          </cell>
          <cell r="W682">
            <v>0</v>
          </cell>
          <cell r="X682">
            <v>0</v>
          </cell>
          <cell r="Y682" t="str">
            <v/>
          </cell>
          <cell r="Z682" t="str">
            <v>BUY</v>
          </cell>
          <cell r="AA682" t="str">
            <v/>
          </cell>
        </row>
        <row r="683">
          <cell r="A683" t="str">
            <v>A</v>
          </cell>
          <cell r="F683" t="str">
            <v>8590-2</v>
          </cell>
          <cell r="G683" t="str">
            <v>A</v>
          </cell>
          <cell r="H683">
            <v>12</v>
          </cell>
          <cell r="I683" t="str">
            <v>Interest Pd:Debt,Loans</v>
          </cell>
          <cell r="J683" t="str">
            <v>Interest Pd:Debt,Loans</v>
          </cell>
          <cell r="K683">
            <v>0</v>
          </cell>
          <cell r="L683">
            <v>0</v>
          </cell>
          <cell r="M683">
            <v>0</v>
          </cell>
          <cell r="N683">
            <v>0</v>
          </cell>
          <cell r="O683">
            <v>0</v>
          </cell>
          <cell r="P683">
            <v>0</v>
          </cell>
          <cell r="Q683" t="str">
            <v/>
          </cell>
          <cell r="R683" t="str">
            <v/>
          </cell>
          <cell r="S683" t="str">
            <v/>
          </cell>
          <cell r="T683" t="str">
            <v/>
          </cell>
          <cell r="U683" t="str">
            <v/>
          </cell>
          <cell r="V683" t="str">
            <v/>
          </cell>
          <cell r="W683">
            <v>0</v>
          </cell>
          <cell r="X683">
            <v>0</v>
          </cell>
          <cell r="Y683" t="str">
            <v/>
          </cell>
          <cell r="Z683" t="str">
            <v>BUY</v>
          </cell>
          <cell r="AA683" t="str">
            <v/>
          </cell>
        </row>
        <row r="684">
          <cell r="A684" t="str">
            <v>A</v>
          </cell>
          <cell r="F684" t="str">
            <v>8592</v>
          </cell>
          <cell r="G684" t="str">
            <v>A</v>
          </cell>
          <cell r="H684">
            <v>12</v>
          </cell>
          <cell r="I684" t="str">
            <v>Bad Debt Write-Offs</v>
          </cell>
          <cell r="J684" t="str">
            <v>Bad Debt Write-Offs</v>
          </cell>
          <cell r="K684">
            <v>0</v>
          </cell>
          <cell r="L684">
            <v>0</v>
          </cell>
          <cell r="M684">
            <v>0</v>
          </cell>
          <cell r="N684">
            <v>8464</v>
          </cell>
          <cell r="O684">
            <v>5000</v>
          </cell>
          <cell r="P684">
            <v>5000</v>
          </cell>
          <cell r="Q684" t="str">
            <v/>
          </cell>
          <cell r="R684" t="str">
            <v xml:space="preserve">Bad debt to written off for deliquent accounts. </v>
          </cell>
          <cell r="S684" t="str">
            <v/>
          </cell>
          <cell r="T684" t="str">
            <v/>
          </cell>
          <cell r="U684" t="str">
            <v/>
          </cell>
          <cell r="V684" t="str">
            <v/>
          </cell>
          <cell r="W684">
            <v>13464</v>
          </cell>
          <cell r="X684">
            <v>0</v>
          </cell>
          <cell r="Y684" t="str">
            <v>A</v>
          </cell>
          <cell r="Z684" t="str">
            <v>BUY</v>
          </cell>
          <cell r="AA684" t="str">
            <v/>
          </cell>
        </row>
        <row r="685">
          <cell r="A685" t="str">
            <v>A</v>
          </cell>
          <cell r="F685" t="str">
            <v>8592-1</v>
          </cell>
          <cell r="G685" t="str">
            <v>A</v>
          </cell>
          <cell r="H685">
            <v>12</v>
          </cell>
          <cell r="I685" t="str">
            <v>Bad Debt Write-Offs</v>
          </cell>
          <cell r="J685" t="str">
            <v>Bad Debt Write-Offs</v>
          </cell>
          <cell r="K685">
            <v>0</v>
          </cell>
          <cell r="L685">
            <v>0</v>
          </cell>
          <cell r="M685">
            <v>0</v>
          </cell>
          <cell r="N685">
            <v>0</v>
          </cell>
          <cell r="O685">
            <v>0</v>
          </cell>
          <cell r="P685">
            <v>0</v>
          </cell>
          <cell r="Q685" t="str">
            <v/>
          </cell>
          <cell r="R685" t="str">
            <v/>
          </cell>
          <cell r="S685" t="str">
            <v/>
          </cell>
          <cell r="T685" t="str">
            <v/>
          </cell>
          <cell r="U685" t="str">
            <v/>
          </cell>
          <cell r="V685" t="str">
            <v/>
          </cell>
          <cell r="W685">
            <v>0</v>
          </cell>
          <cell r="X685">
            <v>0</v>
          </cell>
          <cell r="Y685" t="str">
            <v/>
          </cell>
          <cell r="Z685" t="str">
            <v>BUY</v>
          </cell>
          <cell r="AA685" t="str">
            <v/>
          </cell>
        </row>
        <row r="686">
          <cell r="A686" t="str">
            <v>A</v>
          </cell>
          <cell r="F686" t="str">
            <v>8592-2</v>
          </cell>
          <cell r="G686" t="str">
            <v>A</v>
          </cell>
          <cell r="H686">
            <v>12</v>
          </cell>
          <cell r="I686" t="str">
            <v>Bad Debt Write-Offs</v>
          </cell>
          <cell r="J686" t="str">
            <v>Bad Debt Write-Offs</v>
          </cell>
          <cell r="K686">
            <v>0</v>
          </cell>
          <cell r="L686">
            <v>0</v>
          </cell>
          <cell r="M686">
            <v>0</v>
          </cell>
          <cell r="N686">
            <v>0</v>
          </cell>
          <cell r="O686">
            <v>0</v>
          </cell>
          <cell r="P686">
            <v>0</v>
          </cell>
          <cell r="Q686" t="str">
            <v/>
          </cell>
          <cell r="R686" t="str">
            <v/>
          </cell>
          <cell r="S686" t="str">
            <v/>
          </cell>
          <cell r="T686" t="str">
            <v/>
          </cell>
          <cell r="U686" t="str">
            <v/>
          </cell>
          <cell r="V686" t="str">
            <v/>
          </cell>
          <cell r="W686">
            <v>0</v>
          </cell>
          <cell r="X686">
            <v>0</v>
          </cell>
          <cell r="Y686" t="str">
            <v/>
          </cell>
          <cell r="Z686" t="str">
            <v>BUY</v>
          </cell>
          <cell r="AA686" t="str">
            <v/>
          </cell>
        </row>
        <row r="687">
          <cell r="A687" t="str">
            <v>A</v>
          </cell>
          <cell r="F687" t="str">
            <v>8592-3</v>
          </cell>
          <cell r="G687" t="str">
            <v>A</v>
          </cell>
          <cell r="H687">
            <v>12</v>
          </cell>
          <cell r="I687" t="str">
            <v>Bad Debt Write-Offs</v>
          </cell>
          <cell r="J687" t="str">
            <v>Bad Debt Write-Offs</v>
          </cell>
          <cell r="K687">
            <v>0</v>
          </cell>
          <cell r="L687">
            <v>0</v>
          </cell>
          <cell r="M687">
            <v>0</v>
          </cell>
          <cell r="N687">
            <v>0</v>
          </cell>
          <cell r="O687">
            <v>0</v>
          </cell>
          <cell r="P687">
            <v>0</v>
          </cell>
          <cell r="Q687" t="str">
            <v/>
          </cell>
          <cell r="R687" t="str">
            <v/>
          </cell>
          <cell r="S687" t="str">
            <v/>
          </cell>
          <cell r="T687" t="str">
            <v/>
          </cell>
          <cell r="U687" t="str">
            <v/>
          </cell>
          <cell r="V687" t="str">
            <v/>
          </cell>
          <cell r="W687">
            <v>0</v>
          </cell>
          <cell r="X687">
            <v>0</v>
          </cell>
          <cell r="Y687" t="str">
            <v/>
          </cell>
          <cell r="Z687" t="str">
            <v>BUY</v>
          </cell>
          <cell r="AA687" t="str">
            <v/>
          </cell>
        </row>
        <row r="688">
          <cell r="A688" t="str">
            <v>A</v>
          </cell>
          <cell r="F688" t="str">
            <v>8592-4</v>
          </cell>
          <cell r="G688" t="str">
            <v>A</v>
          </cell>
          <cell r="H688">
            <v>12</v>
          </cell>
          <cell r="I688" t="str">
            <v>Bad Debt Write-Offs</v>
          </cell>
          <cell r="J688" t="str">
            <v>Bad Debt Write-Offs</v>
          </cell>
          <cell r="K688">
            <v>0</v>
          </cell>
          <cell r="L688">
            <v>0</v>
          </cell>
          <cell r="M688">
            <v>0</v>
          </cell>
          <cell r="N688">
            <v>0</v>
          </cell>
          <cell r="O688">
            <v>0</v>
          </cell>
          <cell r="P688">
            <v>0</v>
          </cell>
          <cell r="Q688" t="str">
            <v/>
          </cell>
          <cell r="R688" t="str">
            <v/>
          </cell>
          <cell r="S688" t="str">
            <v/>
          </cell>
          <cell r="T688" t="str">
            <v/>
          </cell>
          <cell r="U688" t="str">
            <v/>
          </cell>
          <cell r="V688" t="str">
            <v/>
          </cell>
          <cell r="W688">
            <v>0</v>
          </cell>
          <cell r="X688">
            <v>0</v>
          </cell>
          <cell r="Y688" t="str">
            <v/>
          </cell>
          <cell r="Z688" t="str">
            <v>BUY</v>
          </cell>
          <cell r="AA688" t="str">
            <v/>
          </cell>
        </row>
        <row r="689">
          <cell r="A689" t="str">
            <v>A</v>
          </cell>
          <cell r="F689" t="str">
            <v>8592-5</v>
          </cell>
          <cell r="G689" t="str">
            <v>A</v>
          </cell>
          <cell r="H689">
            <v>12</v>
          </cell>
          <cell r="I689" t="str">
            <v>Bad Debt Write-Offs</v>
          </cell>
          <cell r="J689" t="str">
            <v>Bad Debt Write-Offs</v>
          </cell>
          <cell r="K689">
            <v>0</v>
          </cell>
          <cell r="L689">
            <v>0</v>
          </cell>
          <cell r="M689">
            <v>0</v>
          </cell>
          <cell r="N689">
            <v>0</v>
          </cell>
          <cell r="O689">
            <v>0</v>
          </cell>
          <cell r="P689">
            <v>0</v>
          </cell>
          <cell r="Q689" t="str">
            <v/>
          </cell>
          <cell r="R689" t="str">
            <v/>
          </cell>
          <cell r="S689" t="str">
            <v/>
          </cell>
          <cell r="T689" t="str">
            <v/>
          </cell>
          <cell r="U689" t="str">
            <v/>
          </cell>
          <cell r="V689" t="str">
            <v/>
          </cell>
          <cell r="W689">
            <v>0</v>
          </cell>
          <cell r="X689">
            <v>0</v>
          </cell>
          <cell r="Y689" t="str">
            <v/>
          </cell>
          <cell r="Z689" t="str">
            <v>BUY</v>
          </cell>
          <cell r="AA689" t="str">
            <v/>
          </cell>
        </row>
        <row r="690">
          <cell r="A690" t="str">
            <v>A</v>
          </cell>
          <cell r="F690" t="str">
            <v>8594</v>
          </cell>
          <cell r="G690" t="str">
            <v>A</v>
          </cell>
          <cell r="H690">
            <v>12</v>
          </cell>
          <cell r="I690" t="str">
            <v>Provision for Contingency</v>
          </cell>
          <cell r="J690" t="str">
            <v>Provision for Contingency</v>
          </cell>
          <cell r="K690">
            <v>0</v>
          </cell>
          <cell r="L690">
            <v>0</v>
          </cell>
          <cell r="M690">
            <v>0</v>
          </cell>
          <cell r="N690">
            <v>0</v>
          </cell>
          <cell r="O690">
            <v>0</v>
          </cell>
          <cell r="P690">
            <v>0</v>
          </cell>
          <cell r="Q690" t="str">
            <v/>
          </cell>
          <cell r="R690" t="str">
            <v/>
          </cell>
          <cell r="S690" t="str">
            <v/>
          </cell>
          <cell r="T690" t="str">
            <v/>
          </cell>
          <cell r="U690" t="str">
            <v/>
          </cell>
          <cell r="V690" t="str">
            <v/>
          </cell>
          <cell r="W690">
            <v>0</v>
          </cell>
          <cell r="X690">
            <v>0</v>
          </cell>
          <cell r="Y690" t="str">
            <v/>
          </cell>
          <cell r="Z690" t="str">
            <v>BUY</v>
          </cell>
          <cell r="AA690" t="str">
            <v/>
          </cell>
        </row>
        <row r="691">
          <cell r="A691" t="str">
            <v>A</v>
          </cell>
          <cell r="F691" t="str">
            <v>8595</v>
          </cell>
          <cell r="G691" t="str">
            <v>A</v>
          </cell>
          <cell r="H691">
            <v>12</v>
          </cell>
          <cell r="I691" t="str">
            <v>Other Administrative Expense</v>
          </cell>
          <cell r="J691" t="str">
            <v>Other Administrative Expense</v>
          </cell>
          <cell r="K691">
            <v>0</v>
          </cell>
          <cell r="L691">
            <v>0</v>
          </cell>
          <cell r="M691">
            <v>4000</v>
          </cell>
          <cell r="N691">
            <v>8102</v>
          </cell>
          <cell r="O691">
            <v>4000</v>
          </cell>
          <cell r="P691">
            <v>0</v>
          </cell>
          <cell r="Q691">
            <v>0</v>
          </cell>
          <cell r="R691" t="str">
            <v>GL 5065 Admin expenses such as processing checks, payroll, bank charges(return checks). Need to determine new management fee schedule</v>
          </cell>
          <cell r="S691" t="str">
            <v/>
          </cell>
          <cell r="T691" t="str">
            <v/>
          </cell>
          <cell r="U691" t="str">
            <v/>
          </cell>
          <cell r="V691" t="str">
            <v/>
          </cell>
          <cell r="W691">
            <v>16102</v>
          </cell>
          <cell r="X691">
            <v>0</v>
          </cell>
          <cell r="Y691" t="str">
            <v>A</v>
          </cell>
          <cell r="Z691" t="str">
            <v>BUY</v>
          </cell>
          <cell r="AA691" t="str">
            <v/>
          </cell>
        </row>
        <row r="692">
          <cell r="A692" t="str">
            <v>A</v>
          </cell>
          <cell r="F692" t="str">
            <v>8595-1</v>
          </cell>
          <cell r="G692" t="str">
            <v>A</v>
          </cell>
          <cell r="H692">
            <v>12</v>
          </cell>
          <cell r="I692" t="str">
            <v>Other Administrative Expense</v>
          </cell>
          <cell r="J692" t="str">
            <v>Other Administrative Expense</v>
          </cell>
          <cell r="K692">
            <v>0</v>
          </cell>
          <cell r="L692">
            <v>0</v>
          </cell>
          <cell r="M692">
            <v>0</v>
          </cell>
          <cell r="N692">
            <v>0</v>
          </cell>
          <cell r="O692">
            <v>0</v>
          </cell>
          <cell r="P692">
            <v>0</v>
          </cell>
          <cell r="Q692" t="str">
            <v/>
          </cell>
          <cell r="R692" t="str">
            <v/>
          </cell>
          <cell r="S692" t="str">
            <v/>
          </cell>
          <cell r="T692" t="str">
            <v/>
          </cell>
          <cell r="U692" t="str">
            <v/>
          </cell>
          <cell r="V692" t="str">
            <v/>
          </cell>
          <cell r="W692">
            <v>0</v>
          </cell>
          <cell r="X692">
            <v>0</v>
          </cell>
          <cell r="Y692" t="str">
            <v/>
          </cell>
          <cell r="Z692" t="str">
            <v>BUY</v>
          </cell>
          <cell r="AA692" t="str">
            <v/>
          </cell>
        </row>
        <row r="693">
          <cell r="A693" t="str">
            <v>A</v>
          </cell>
          <cell r="F693" t="str">
            <v>8595-2</v>
          </cell>
          <cell r="G693" t="str">
            <v>A</v>
          </cell>
          <cell r="H693">
            <v>12</v>
          </cell>
          <cell r="I693" t="str">
            <v>Other Administrative Expense</v>
          </cell>
          <cell r="J693" t="str">
            <v>Other Administrative Expense</v>
          </cell>
          <cell r="K693">
            <v>0</v>
          </cell>
          <cell r="L693">
            <v>0</v>
          </cell>
          <cell r="M693">
            <v>0</v>
          </cell>
          <cell r="N693">
            <v>0</v>
          </cell>
          <cell r="O693">
            <v>0</v>
          </cell>
          <cell r="P693">
            <v>0</v>
          </cell>
          <cell r="Q693" t="str">
            <v/>
          </cell>
          <cell r="R693" t="str">
            <v/>
          </cell>
          <cell r="S693" t="str">
            <v/>
          </cell>
          <cell r="T693" t="str">
            <v/>
          </cell>
          <cell r="U693" t="str">
            <v/>
          </cell>
          <cell r="V693" t="str">
            <v/>
          </cell>
          <cell r="W693">
            <v>0</v>
          </cell>
          <cell r="X693">
            <v>0</v>
          </cell>
          <cell r="Y693" t="str">
            <v/>
          </cell>
          <cell r="Z693" t="str">
            <v>BUY</v>
          </cell>
          <cell r="AA693" t="str">
            <v/>
          </cell>
        </row>
        <row r="694">
          <cell r="A694" t="str">
            <v>A</v>
          </cell>
          <cell r="F694" t="str">
            <v>8595-3</v>
          </cell>
          <cell r="G694" t="str">
            <v>A</v>
          </cell>
          <cell r="H694">
            <v>12</v>
          </cell>
          <cell r="I694" t="str">
            <v>Other Administrative Expense</v>
          </cell>
          <cell r="J694" t="str">
            <v>Other Administrative Expense</v>
          </cell>
          <cell r="K694">
            <v>0</v>
          </cell>
          <cell r="L694">
            <v>0</v>
          </cell>
          <cell r="M694">
            <v>0</v>
          </cell>
          <cell r="N694">
            <v>0</v>
          </cell>
          <cell r="O694">
            <v>0</v>
          </cell>
          <cell r="P694">
            <v>0</v>
          </cell>
          <cell r="Q694" t="str">
            <v/>
          </cell>
          <cell r="R694" t="str">
            <v/>
          </cell>
          <cell r="S694" t="str">
            <v/>
          </cell>
          <cell r="T694" t="str">
            <v/>
          </cell>
          <cell r="U694" t="str">
            <v/>
          </cell>
          <cell r="V694" t="str">
            <v/>
          </cell>
          <cell r="W694">
            <v>0</v>
          </cell>
          <cell r="X694">
            <v>0</v>
          </cell>
          <cell r="Y694" t="str">
            <v/>
          </cell>
          <cell r="Z694" t="str">
            <v>BUY</v>
          </cell>
          <cell r="AA694" t="str">
            <v/>
          </cell>
        </row>
        <row r="695">
          <cell r="A695" t="str">
            <v>A</v>
          </cell>
          <cell r="F695" t="str">
            <v>8595-4</v>
          </cell>
          <cell r="G695" t="str">
            <v>A</v>
          </cell>
          <cell r="H695">
            <v>12</v>
          </cell>
          <cell r="I695" t="str">
            <v>Other Administrative Expense</v>
          </cell>
          <cell r="J695" t="str">
            <v>Other Administrative Expense</v>
          </cell>
          <cell r="K695">
            <v>0</v>
          </cell>
          <cell r="L695">
            <v>0</v>
          </cell>
          <cell r="M695">
            <v>0</v>
          </cell>
          <cell r="N695">
            <v>0</v>
          </cell>
          <cell r="O695">
            <v>0</v>
          </cell>
          <cell r="P695">
            <v>0</v>
          </cell>
          <cell r="Q695" t="str">
            <v/>
          </cell>
          <cell r="R695" t="str">
            <v/>
          </cell>
          <cell r="S695" t="str">
            <v/>
          </cell>
          <cell r="T695" t="str">
            <v/>
          </cell>
          <cell r="U695" t="str">
            <v/>
          </cell>
          <cell r="V695" t="str">
            <v/>
          </cell>
          <cell r="W695">
            <v>0</v>
          </cell>
          <cell r="X695">
            <v>0</v>
          </cell>
          <cell r="Y695" t="str">
            <v/>
          </cell>
          <cell r="Z695" t="str">
            <v>BUY</v>
          </cell>
          <cell r="AA695" t="str">
            <v/>
          </cell>
        </row>
        <row r="696">
          <cell r="A696" t="str">
            <v>A</v>
          </cell>
          <cell r="F696" t="str">
            <v>8595-5</v>
          </cell>
          <cell r="G696" t="str">
            <v>A</v>
          </cell>
          <cell r="H696">
            <v>12</v>
          </cell>
          <cell r="I696" t="str">
            <v>Other Administrative Expense</v>
          </cell>
          <cell r="J696" t="str">
            <v>Other Administrative Expense</v>
          </cell>
          <cell r="K696">
            <v>0</v>
          </cell>
          <cell r="L696">
            <v>0</v>
          </cell>
          <cell r="M696">
            <v>0</v>
          </cell>
          <cell r="N696">
            <v>0</v>
          </cell>
          <cell r="O696">
            <v>0</v>
          </cell>
          <cell r="P696">
            <v>0</v>
          </cell>
          <cell r="Q696" t="str">
            <v/>
          </cell>
          <cell r="R696" t="str">
            <v/>
          </cell>
          <cell r="S696" t="str">
            <v/>
          </cell>
          <cell r="T696" t="str">
            <v/>
          </cell>
          <cell r="U696" t="str">
            <v/>
          </cell>
          <cell r="V696" t="str">
            <v/>
          </cell>
          <cell r="W696">
            <v>0</v>
          </cell>
          <cell r="X696">
            <v>0</v>
          </cell>
          <cell r="Y696" t="str">
            <v/>
          </cell>
          <cell r="Z696" t="str">
            <v>BUY</v>
          </cell>
          <cell r="AA696" t="str">
            <v/>
          </cell>
        </row>
        <row r="697">
          <cell r="A697" t="str">
            <v>A</v>
          </cell>
          <cell r="F697" t="str">
            <v>8601</v>
          </cell>
          <cell r="G697" t="str">
            <v>A</v>
          </cell>
          <cell r="H697">
            <v>13</v>
          </cell>
          <cell r="I697" t="str">
            <v>Provision for NOI Shortfall</v>
          </cell>
          <cell r="J697" t="str">
            <v>Provision for NOI Shortfall</v>
          </cell>
          <cell r="K697">
            <v>0</v>
          </cell>
          <cell r="L697">
            <v>0</v>
          </cell>
          <cell r="M697">
            <v>0</v>
          </cell>
          <cell r="N697">
            <v>0</v>
          </cell>
          <cell r="O697">
            <v>0.01</v>
          </cell>
          <cell r="P697">
            <v>0.01</v>
          </cell>
          <cell r="Q697" t="str">
            <v/>
          </cell>
          <cell r="R697" t="str">
            <v>This account is used if projecting a shortfall in NOI for 2009.</v>
          </cell>
          <cell r="S697" t="str">
            <v/>
          </cell>
          <cell r="T697" t="str">
            <v/>
          </cell>
          <cell r="U697" t="str">
            <v/>
          </cell>
          <cell r="V697" t="str">
            <v/>
          </cell>
          <cell r="W697">
            <v>0.01</v>
          </cell>
          <cell r="X697">
            <v>0</v>
          </cell>
          <cell r="Y697" t="str">
            <v>A</v>
          </cell>
          <cell r="Z697" t="str">
            <v>BUY</v>
          </cell>
          <cell r="AA697" t="str">
            <v/>
          </cell>
        </row>
        <row r="698">
          <cell r="A698" t="str">
            <v>A</v>
          </cell>
          <cell r="F698" t="str">
            <v>8602</v>
          </cell>
          <cell r="G698" t="str">
            <v>A</v>
          </cell>
          <cell r="H698">
            <v>13</v>
          </cell>
          <cell r="I698" t="str">
            <v>Provision for Loan Repayment</v>
          </cell>
          <cell r="J698" t="str">
            <v>Provision for Loan Repayment</v>
          </cell>
          <cell r="K698">
            <v>0</v>
          </cell>
          <cell r="L698">
            <v>0</v>
          </cell>
          <cell r="M698">
            <v>0</v>
          </cell>
          <cell r="N698">
            <v>0</v>
          </cell>
          <cell r="O698">
            <v>0.01</v>
          </cell>
          <cell r="P698">
            <v>0.01</v>
          </cell>
          <cell r="Q698" t="str">
            <v/>
          </cell>
          <cell r="R698" t="str">
            <v>This account is used if the Association intends to pay back the loan from reserves from previous year(s).</v>
          </cell>
          <cell r="S698" t="str">
            <v/>
          </cell>
          <cell r="T698" t="str">
            <v/>
          </cell>
          <cell r="U698" t="str">
            <v/>
          </cell>
          <cell r="V698" t="str">
            <v/>
          </cell>
          <cell r="W698">
            <v>0.01</v>
          </cell>
          <cell r="X698">
            <v>0</v>
          </cell>
          <cell r="Y698" t="str">
            <v>A</v>
          </cell>
          <cell r="Z698" t="str">
            <v>BUY</v>
          </cell>
          <cell r="AA698" t="str">
            <v/>
          </cell>
        </row>
        <row r="699">
          <cell r="A699" t="str">
            <v>A</v>
          </cell>
          <cell r="F699" t="str">
            <v>8603</v>
          </cell>
          <cell r="G699" t="str">
            <v>A</v>
          </cell>
          <cell r="H699">
            <v>13</v>
          </cell>
          <cell r="I699" t="str">
            <v>Provision for Operating Cash</v>
          </cell>
          <cell r="J699" t="str">
            <v>Provision for Operating Cash</v>
          </cell>
          <cell r="K699">
            <v>0</v>
          </cell>
          <cell r="L699">
            <v>0</v>
          </cell>
          <cell r="M699">
            <v>0</v>
          </cell>
          <cell r="N699">
            <v>0</v>
          </cell>
          <cell r="O699">
            <v>0.01</v>
          </cell>
          <cell r="P699">
            <v>0.01</v>
          </cell>
          <cell r="Q699" t="str">
            <v/>
          </cell>
          <cell r="R699" t="str">
            <v>This account is used if the Association is consistently low on operating cash for monthly bills.</v>
          </cell>
          <cell r="S699" t="str">
            <v/>
          </cell>
          <cell r="T699" t="str">
            <v/>
          </cell>
          <cell r="U699" t="str">
            <v/>
          </cell>
          <cell r="V699" t="str">
            <v/>
          </cell>
          <cell r="W699">
            <v>0.01</v>
          </cell>
          <cell r="X699">
            <v>0</v>
          </cell>
          <cell r="Y699" t="str">
            <v>A</v>
          </cell>
          <cell r="Z699" t="str">
            <v>BUY</v>
          </cell>
          <cell r="AA699" t="str">
            <v/>
          </cell>
        </row>
        <row r="700">
          <cell r="A700" t="str">
            <v>A</v>
          </cell>
          <cell r="F700" t="str">
            <v>8604</v>
          </cell>
          <cell r="G700" t="str">
            <v>A</v>
          </cell>
          <cell r="H700">
            <v>13</v>
          </cell>
          <cell r="I700" t="str">
            <v>Provision for Delinquency</v>
          </cell>
          <cell r="J700" t="str">
            <v>Provision for Delinquency</v>
          </cell>
          <cell r="K700">
            <v>0</v>
          </cell>
          <cell r="L700">
            <v>0</v>
          </cell>
          <cell r="M700">
            <v>0</v>
          </cell>
          <cell r="N700">
            <v>0</v>
          </cell>
          <cell r="O700">
            <v>0.01</v>
          </cell>
          <cell r="P700">
            <v>0.01</v>
          </cell>
          <cell r="Q700" t="str">
            <v/>
          </cell>
          <cell r="R700" t="str">
            <v>This account is used if the Association has high delinquency rates that are affecting operating cash because the assessments are not being collected in a timely manner.</v>
          </cell>
          <cell r="S700" t="str">
            <v/>
          </cell>
          <cell r="T700" t="str">
            <v/>
          </cell>
          <cell r="U700" t="str">
            <v/>
          </cell>
          <cell r="V700" t="str">
            <v/>
          </cell>
          <cell r="W700">
            <v>0.01</v>
          </cell>
          <cell r="X700">
            <v>0</v>
          </cell>
          <cell r="Y700" t="str">
            <v>A</v>
          </cell>
          <cell r="Z700" t="str">
            <v>BUY</v>
          </cell>
          <cell r="AA700" t="str">
            <v/>
          </cell>
        </row>
        <row r="701">
          <cell r="A701" t="str">
            <v>A</v>
          </cell>
          <cell r="F701" t="str">
            <v>8605</v>
          </cell>
          <cell r="G701" t="str">
            <v>A</v>
          </cell>
          <cell r="H701">
            <v>13</v>
          </cell>
          <cell r="I701" t="str">
            <v>Provision for Other/AP</v>
          </cell>
          <cell r="J701" t="str">
            <v>Provision for Other/AP</v>
          </cell>
          <cell r="K701">
            <v>0</v>
          </cell>
          <cell r="L701">
            <v>0</v>
          </cell>
          <cell r="M701">
            <v>0</v>
          </cell>
          <cell r="N701">
            <v>0</v>
          </cell>
          <cell r="O701">
            <v>0.01</v>
          </cell>
          <cell r="P701">
            <v>0.01</v>
          </cell>
          <cell r="Q701" t="str">
            <v/>
          </cell>
          <cell r="R701" t="str">
            <v>This account is used if the Association has an unusually large amount of outstanding accounts payable going into 2010.</v>
          </cell>
          <cell r="S701" t="str">
            <v/>
          </cell>
          <cell r="T701" t="str">
            <v/>
          </cell>
          <cell r="U701" t="str">
            <v/>
          </cell>
          <cell r="V701" t="str">
            <v/>
          </cell>
          <cell r="W701">
            <v>0.01</v>
          </cell>
          <cell r="X701">
            <v>0</v>
          </cell>
          <cell r="Y701" t="str">
            <v>A</v>
          </cell>
          <cell r="Z701" t="str">
            <v>BUY</v>
          </cell>
          <cell r="AA701" t="str">
            <v/>
          </cell>
        </row>
        <row r="702">
          <cell r="A702" t="str">
            <v>A</v>
          </cell>
          <cell r="F702" t="str">
            <v>8710</v>
          </cell>
          <cell r="G702" t="str">
            <v>A</v>
          </cell>
          <cell r="H702">
            <v>14</v>
          </cell>
          <cell r="I702" t="str">
            <v>All Association Insurance</v>
          </cell>
          <cell r="J702" t="str">
            <v>All Association Insurance</v>
          </cell>
          <cell r="K702">
            <v>0</v>
          </cell>
          <cell r="L702">
            <v>0</v>
          </cell>
          <cell r="M702">
            <v>30047</v>
          </cell>
          <cell r="N702">
            <v>24424</v>
          </cell>
          <cell r="O702">
            <v>30000</v>
          </cell>
          <cell r="P702">
            <v>-47</v>
          </cell>
          <cell r="Q702">
            <v>-1.5642160615036982E-3</v>
          </cell>
          <cell r="R702" t="str">
            <v>Based on 2009 Budget. $30,000 for liability policy and $10,000 for workmans comp</v>
          </cell>
          <cell r="S702" t="str">
            <v/>
          </cell>
          <cell r="T702" t="str">
            <v/>
          </cell>
          <cell r="U702" t="str">
            <v/>
          </cell>
          <cell r="V702" t="str">
            <v/>
          </cell>
          <cell r="W702">
            <v>84471</v>
          </cell>
          <cell r="X702">
            <v>0</v>
          </cell>
          <cell r="Y702" t="str">
            <v>A</v>
          </cell>
          <cell r="Z702" t="str">
            <v>BUY</v>
          </cell>
          <cell r="AA702" t="str">
            <v/>
          </cell>
        </row>
        <row r="703">
          <cell r="A703" t="str">
            <v>A</v>
          </cell>
          <cell r="F703" t="str">
            <v>8710-5</v>
          </cell>
          <cell r="G703" t="str">
            <v>A</v>
          </cell>
          <cell r="H703">
            <v>14</v>
          </cell>
          <cell r="I703" t="str">
            <v>Insurance Reimbursement</v>
          </cell>
          <cell r="J703" t="str">
            <v>Insurance Reimbursement</v>
          </cell>
          <cell r="K703">
            <v>0</v>
          </cell>
          <cell r="L703">
            <v>0</v>
          </cell>
          <cell r="M703">
            <v>0</v>
          </cell>
          <cell r="N703">
            <v>0</v>
          </cell>
          <cell r="O703">
            <v>0</v>
          </cell>
          <cell r="P703">
            <v>0</v>
          </cell>
          <cell r="Q703" t="str">
            <v/>
          </cell>
          <cell r="R703" t="str">
            <v/>
          </cell>
          <cell r="S703" t="str">
            <v/>
          </cell>
          <cell r="T703" t="str">
            <v/>
          </cell>
          <cell r="U703" t="str">
            <v/>
          </cell>
          <cell r="V703" t="str">
            <v/>
          </cell>
          <cell r="W703">
            <v>0</v>
          </cell>
          <cell r="X703">
            <v>0</v>
          </cell>
          <cell r="Y703" t="str">
            <v/>
          </cell>
          <cell r="Z703" t="str">
            <v>BUY</v>
          </cell>
          <cell r="AA703" t="str">
            <v/>
          </cell>
        </row>
        <row r="704">
          <cell r="A704" t="str">
            <v>A</v>
          </cell>
          <cell r="F704" t="str">
            <v>8720</v>
          </cell>
          <cell r="G704" t="str">
            <v>A</v>
          </cell>
          <cell r="H704">
            <v>14</v>
          </cell>
          <cell r="I704" t="str">
            <v>Liability Insurance</v>
          </cell>
          <cell r="J704" t="str">
            <v>Liability Insurance</v>
          </cell>
          <cell r="K704">
            <v>0</v>
          </cell>
          <cell r="L704">
            <v>0</v>
          </cell>
          <cell r="M704">
            <v>0</v>
          </cell>
          <cell r="N704">
            <v>0</v>
          </cell>
          <cell r="O704">
            <v>0</v>
          </cell>
          <cell r="P704">
            <v>0</v>
          </cell>
          <cell r="Q704" t="str">
            <v/>
          </cell>
          <cell r="R704" t="str">
            <v/>
          </cell>
          <cell r="S704" t="str">
            <v/>
          </cell>
          <cell r="T704" t="str">
            <v/>
          </cell>
          <cell r="U704" t="str">
            <v/>
          </cell>
          <cell r="V704" t="str">
            <v/>
          </cell>
          <cell r="W704">
            <v>0</v>
          </cell>
          <cell r="X704">
            <v>0</v>
          </cell>
          <cell r="Y704" t="str">
            <v/>
          </cell>
          <cell r="Z704" t="str">
            <v>BUY</v>
          </cell>
          <cell r="AA704" t="str">
            <v/>
          </cell>
        </row>
        <row r="705">
          <cell r="A705" t="str">
            <v>A</v>
          </cell>
          <cell r="F705" t="str">
            <v>8725</v>
          </cell>
          <cell r="G705" t="str">
            <v>A</v>
          </cell>
          <cell r="H705">
            <v>14</v>
          </cell>
          <cell r="I705" t="str">
            <v>Workers Comp Ins</v>
          </cell>
          <cell r="J705" t="str">
            <v>Workers Comp Ins</v>
          </cell>
          <cell r="K705">
            <v>0</v>
          </cell>
          <cell r="L705">
            <v>0</v>
          </cell>
          <cell r="M705">
            <v>0</v>
          </cell>
          <cell r="N705">
            <v>0</v>
          </cell>
          <cell r="O705">
            <v>0</v>
          </cell>
          <cell r="P705">
            <v>0</v>
          </cell>
          <cell r="Q705" t="str">
            <v/>
          </cell>
          <cell r="R705" t="str">
            <v/>
          </cell>
          <cell r="S705" t="str">
            <v/>
          </cell>
          <cell r="T705" t="str">
            <v/>
          </cell>
          <cell r="U705" t="str">
            <v/>
          </cell>
          <cell r="V705" t="str">
            <v/>
          </cell>
          <cell r="W705">
            <v>0</v>
          </cell>
          <cell r="X705">
            <v>0</v>
          </cell>
          <cell r="Y705" t="str">
            <v/>
          </cell>
          <cell r="Z705" t="str">
            <v>BUY</v>
          </cell>
          <cell r="AA705" t="str">
            <v/>
          </cell>
        </row>
        <row r="706">
          <cell r="A706" t="str">
            <v>A</v>
          </cell>
          <cell r="F706" t="str">
            <v>8730</v>
          </cell>
          <cell r="G706" t="str">
            <v>A</v>
          </cell>
          <cell r="H706">
            <v>14</v>
          </cell>
          <cell r="I706" t="str">
            <v>Property Casualty Ins.</v>
          </cell>
          <cell r="J706" t="str">
            <v>Property Casualty Ins.</v>
          </cell>
          <cell r="K706">
            <v>0</v>
          </cell>
          <cell r="L706">
            <v>0</v>
          </cell>
          <cell r="M706">
            <v>0</v>
          </cell>
          <cell r="N706">
            <v>0</v>
          </cell>
          <cell r="O706">
            <v>0</v>
          </cell>
          <cell r="P706">
            <v>0</v>
          </cell>
          <cell r="Q706" t="str">
            <v/>
          </cell>
          <cell r="R706" t="str">
            <v/>
          </cell>
          <cell r="S706" t="str">
            <v/>
          </cell>
          <cell r="T706" t="str">
            <v/>
          </cell>
          <cell r="U706" t="str">
            <v/>
          </cell>
          <cell r="V706" t="str">
            <v/>
          </cell>
          <cell r="W706">
            <v>0</v>
          </cell>
          <cell r="X706">
            <v>0</v>
          </cell>
          <cell r="Y706" t="str">
            <v/>
          </cell>
          <cell r="Z706" t="str">
            <v>BUY</v>
          </cell>
          <cell r="AA706" t="str">
            <v/>
          </cell>
        </row>
        <row r="707">
          <cell r="A707" t="str">
            <v>A</v>
          </cell>
          <cell r="F707" t="str">
            <v>8735</v>
          </cell>
          <cell r="G707" t="str">
            <v>A</v>
          </cell>
          <cell r="H707">
            <v>14</v>
          </cell>
          <cell r="I707" t="str">
            <v>Vehicle Insurance</v>
          </cell>
          <cell r="J707" t="str">
            <v>Vehicle Insurance</v>
          </cell>
          <cell r="K707">
            <v>0</v>
          </cell>
          <cell r="L707">
            <v>0</v>
          </cell>
          <cell r="M707">
            <v>0</v>
          </cell>
          <cell r="N707">
            <v>0</v>
          </cell>
          <cell r="O707">
            <v>0</v>
          </cell>
          <cell r="P707">
            <v>0</v>
          </cell>
          <cell r="Q707" t="str">
            <v/>
          </cell>
          <cell r="R707" t="str">
            <v/>
          </cell>
          <cell r="S707" t="str">
            <v/>
          </cell>
          <cell r="T707" t="str">
            <v/>
          </cell>
          <cell r="U707" t="str">
            <v/>
          </cell>
          <cell r="V707" t="str">
            <v/>
          </cell>
          <cell r="W707">
            <v>0</v>
          </cell>
          <cell r="X707">
            <v>0</v>
          </cell>
          <cell r="Y707" t="str">
            <v/>
          </cell>
          <cell r="Z707" t="str">
            <v>BUY</v>
          </cell>
          <cell r="AA707" t="str">
            <v/>
          </cell>
        </row>
        <row r="708">
          <cell r="A708" t="str">
            <v>A</v>
          </cell>
          <cell r="F708" t="str">
            <v>8740</v>
          </cell>
          <cell r="G708" t="str">
            <v>A</v>
          </cell>
          <cell r="H708">
            <v>14</v>
          </cell>
          <cell r="I708" t="str">
            <v>Insurance Claim Expenses</v>
          </cell>
          <cell r="J708" t="str">
            <v>Insurance Claim Expenses</v>
          </cell>
          <cell r="K708">
            <v>0</v>
          </cell>
          <cell r="L708">
            <v>0</v>
          </cell>
          <cell r="M708">
            <v>5000</v>
          </cell>
          <cell r="N708">
            <v>834</v>
          </cell>
          <cell r="O708">
            <v>5000</v>
          </cell>
          <cell r="P708">
            <v>0</v>
          </cell>
          <cell r="Q708">
            <v>0</v>
          </cell>
          <cell r="R708" t="str">
            <v>Same as 2009 budget. To cover potential deductable</v>
          </cell>
          <cell r="S708" t="str">
            <v/>
          </cell>
          <cell r="T708" t="str">
            <v/>
          </cell>
          <cell r="U708" t="str">
            <v/>
          </cell>
          <cell r="V708" t="str">
            <v/>
          </cell>
          <cell r="W708">
            <v>10834</v>
          </cell>
          <cell r="X708">
            <v>0</v>
          </cell>
          <cell r="Y708" t="str">
            <v>A</v>
          </cell>
          <cell r="Z708" t="str">
            <v>BUY</v>
          </cell>
          <cell r="AA708" t="str">
            <v/>
          </cell>
        </row>
        <row r="709">
          <cell r="A709" t="str">
            <v>A</v>
          </cell>
          <cell r="F709" t="str">
            <v>8740-5</v>
          </cell>
          <cell r="G709" t="str">
            <v>A</v>
          </cell>
          <cell r="H709">
            <v>14</v>
          </cell>
          <cell r="I709" t="str">
            <v>Insurance Claim Income</v>
          </cell>
          <cell r="J709" t="str">
            <v>Insurance Claim Income</v>
          </cell>
          <cell r="K709">
            <v>0</v>
          </cell>
          <cell r="L709">
            <v>0</v>
          </cell>
          <cell r="M709">
            <v>0</v>
          </cell>
          <cell r="N709">
            <v>0</v>
          </cell>
          <cell r="O709">
            <v>0</v>
          </cell>
          <cell r="P709">
            <v>0</v>
          </cell>
          <cell r="Q709" t="str">
            <v/>
          </cell>
          <cell r="R709" t="str">
            <v/>
          </cell>
          <cell r="S709" t="str">
            <v/>
          </cell>
          <cell r="T709" t="str">
            <v/>
          </cell>
          <cell r="U709" t="str">
            <v/>
          </cell>
          <cell r="V709" t="str">
            <v/>
          </cell>
          <cell r="W709">
            <v>0</v>
          </cell>
          <cell r="X709">
            <v>0</v>
          </cell>
          <cell r="Y709" t="str">
            <v/>
          </cell>
          <cell r="Z709" t="str">
            <v>BUY</v>
          </cell>
          <cell r="AA709" t="str">
            <v/>
          </cell>
        </row>
        <row r="710">
          <cell r="A710" t="str">
            <v>A</v>
          </cell>
          <cell r="F710" t="str">
            <v>8801</v>
          </cell>
          <cell r="G710" t="str">
            <v>A</v>
          </cell>
          <cell r="H710">
            <v>15</v>
          </cell>
          <cell r="I710" t="str">
            <v>Budgeted Trsf to Res - UNASSIGNED</v>
          </cell>
          <cell r="J710" t="str">
            <v>Budgeted Trsf to Res - UNASSIGNED</v>
          </cell>
          <cell r="K710">
            <v>0</v>
          </cell>
          <cell r="L710">
            <v>0</v>
          </cell>
          <cell r="M710">
            <v>0</v>
          </cell>
          <cell r="N710">
            <v>0</v>
          </cell>
          <cell r="O710">
            <v>151041</v>
          </cell>
          <cell r="P710">
            <v>151041</v>
          </cell>
          <cell r="Q710" t="str">
            <v/>
          </cell>
          <cell r="R710" t="str">
            <v xml:space="preserve">The transfer to reserve amount was calculated to achieve 3% assessment increase. </v>
          </cell>
          <cell r="S710" t="str">
            <v/>
          </cell>
          <cell r="T710" t="str">
            <v/>
          </cell>
          <cell r="U710" t="str">
            <v/>
          </cell>
          <cell r="V710" t="str">
            <v/>
          </cell>
          <cell r="W710">
            <v>151041</v>
          </cell>
          <cell r="X710">
            <v>0</v>
          </cell>
          <cell r="Y710" t="str">
            <v>A</v>
          </cell>
          <cell r="Z710" t="str">
            <v>BUY</v>
          </cell>
          <cell r="AA710" t="str">
            <v/>
          </cell>
        </row>
        <row r="711">
          <cell r="A711" t="str">
            <v>A</v>
          </cell>
          <cell r="F711" t="str">
            <v>8802</v>
          </cell>
          <cell r="G711" t="str">
            <v>A</v>
          </cell>
          <cell r="H711">
            <v>15</v>
          </cell>
          <cell r="I711" t="str">
            <v>Budgeted Trsf to Res - UNASSIGNED</v>
          </cell>
          <cell r="J711" t="str">
            <v>Budgeted Trsf to Res - UNASSIGNED</v>
          </cell>
          <cell r="K711">
            <v>0</v>
          </cell>
          <cell r="L711">
            <v>0</v>
          </cell>
          <cell r="M711">
            <v>0</v>
          </cell>
          <cell r="N711">
            <v>0</v>
          </cell>
          <cell r="O711">
            <v>46800</v>
          </cell>
          <cell r="P711">
            <v>46800</v>
          </cell>
          <cell r="Q711" t="str">
            <v/>
          </cell>
          <cell r="R711" t="str">
            <v>Transfer to reserves to cover loan payment GL 9002</v>
          </cell>
          <cell r="S711" t="str">
            <v/>
          </cell>
          <cell r="T711" t="str">
            <v/>
          </cell>
          <cell r="U711" t="str">
            <v/>
          </cell>
          <cell r="V711" t="str">
            <v/>
          </cell>
          <cell r="W711">
            <v>46800</v>
          </cell>
          <cell r="X711">
            <v>0</v>
          </cell>
          <cell r="Y711" t="str">
            <v>A</v>
          </cell>
          <cell r="Z711" t="str">
            <v>BUY</v>
          </cell>
          <cell r="AA711" t="str">
            <v/>
          </cell>
        </row>
        <row r="712">
          <cell r="A712" t="str">
            <v>A</v>
          </cell>
          <cell r="F712" t="str">
            <v>8803</v>
          </cell>
          <cell r="G712" t="str">
            <v>A</v>
          </cell>
          <cell r="H712">
            <v>15</v>
          </cell>
          <cell r="I712" t="str">
            <v>Budgeted Trsf to Res - UNASSIGNED</v>
          </cell>
          <cell r="J712" t="str">
            <v>Budgeted Trsf to Res - UNASSIGNED</v>
          </cell>
          <cell r="K712">
            <v>0</v>
          </cell>
          <cell r="L712">
            <v>0</v>
          </cell>
          <cell r="M712">
            <v>0</v>
          </cell>
          <cell r="N712">
            <v>0</v>
          </cell>
          <cell r="O712">
            <v>0</v>
          </cell>
          <cell r="P712">
            <v>0</v>
          </cell>
          <cell r="Q712" t="str">
            <v/>
          </cell>
          <cell r="R712" t="str">
            <v/>
          </cell>
          <cell r="S712" t="str">
            <v/>
          </cell>
          <cell r="T712" t="str">
            <v/>
          </cell>
          <cell r="U712" t="str">
            <v/>
          </cell>
          <cell r="V712" t="str">
            <v/>
          </cell>
          <cell r="W712">
            <v>0</v>
          </cell>
          <cell r="X712">
            <v>0</v>
          </cell>
          <cell r="Y712" t="str">
            <v/>
          </cell>
          <cell r="Z712" t="str">
            <v>BUY</v>
          </cell>
          <cell r="AA712" t="str">
            <v/>
          </cell>
        </row>
        <row r="713">
          <cell r="A713" t="str">
            <v>A</v>
          </cell>
          <cell r="F713" t="str">
            <v>8804</v>
          </cell>
          <cell r="G713" t="str">
            <v>A</v>
          </cell>
          <cell r="H713">
            <v>15</v>
          </cell>
          <cell r="I713" t="str">
            <v>Budgeted Transfer to Reserves - CAPITAL</v>
          </cell>
          <cell r="J713" t="str">
            <v>Budgeted Transfer to Reserves - CAPITAL</v>
          </cell>
          <cell r="K713">
            <v>0</v>
          </cell>
          <cell r="L713">
            <v>0</v>
          </cell>
          <cell r="M713">
            <v>0</v>
          </cell>
          <cell r="N713">
            <v>0</v>
          </cell>
          <cell r="O713">
            <v>0</v>
          </cell>
          <cell r="P713">
            <v>0</v>
          </cell>
          <cell r="Q713" t="str">
            <v/>
          </cell>
          <cell r="R713" t="str">
            <v/>
          </cell>
          <cell r="S713" t="str">
            <v/>
          </cell>
          <cell r="T713" t="str">
            <v/>
          </cell>
          <cell r="U713" t="str">
            <v/>
          </cell>
          <cell r="V713" t="str">
            <v/>
          </cell>
          <cell r="W713">
            <v>0</v>
          </cell>
          <cell r="X713">
            <v>0</v>
          </cell>
          <cell r="Y713" t="str">
            <v/>
          </cell>
          <cell r="Z713" t="str">
            <v>BUY</v>
          </cell>
          <cell r="AA713" t="str">
            <v/>
          </cell>
        </row>
        <row r="714">
          <cell r="A714" t="str">
            <v>A</v>
          </cell>
          <cell r="F714" t="str">
            <v>8804-1</v>
          </cell>
          <cell r="G714" t="str">
            <v>A</v>
          </cell>
          <cell r="H714">
            <v>15</v>
          </cell>
          <cell r="I714" t="str">
            <v>Bdgt Trsf Res-General Capital Expense</v>
          </cell>
          <cell r="J714" t="str">
            <v>Bdgt Trsf Res-General Capital Expense</v>
          </cell>
          <cell r="K714">
            <v>0</v>
          </cell>
          <cell r="L714">
            <v>0</v>
          </cell>
          <cell r="M714">
            <v>0</v>
          </cell>
          <cell r="N714">
            <v>0</v>
          </cell>
          <cell r="O714">
            <v>0</v>
          </cell>
          <cell r="P714">
            <v>0</v>
          </cell>
          <cell r="Q714" t="str">
            <v/>
          </cell>
          <cell r="R714" t="str">
            <v/>
          </cell>
          <cell r="S714" t="str">
            <v/>
          </cell>
          <cell r="T714" t="str">
            <v/>
          </cell>
          <cell r="U714" t="str">
            <v/>
          </cell>
          <cell r="V714" t="str">
            <v/>
          </cell>
          <cell r="W714">
            <v>0</v>
          </cell>
          <cell r="X714">
            <v>0</v>
          </cell>
          <cell r="Y714" t="str">
            <v/>
          </cell>
          <cell r="Z714" t="str">
            <v>BUY</v>
          </cell>
          <cell r="AA714" t="str">
            <v/>
          </cell>
        </row>
        <row r="715">
          <cell r="A715" t="str">
            <v>A</v>
          </cell>
          <cell r="F715" t="str">
            <v>8804-10</v>
          </cell>
          <cell r="G715" t="str">
            <v>A</v>
          </cell>
          <cell r="H715">
            <v>15</v>
          </cell>
          <cell r="I715" t="str">
            <v>Bdgt Trsf Res-Fence</v>
          </cell>
          <cell r="J715" t="str">
            <v>Bdgt Trsf Res-Fence</v>
          </cell>
          <cell r="K715">
            <v>0</v>
          </cell>
          <cell r="L715">
            <v>0</v>
          </cell>
          <cell r="M715">
            <v>0</v>
          </cell>
          <cell r="N715">
            <v>0</v>
          </cell>
          <cell r="O715">
            <v>0</v>
          </cell>
          <cell r="P715">
            <v>0</v>
          </cell>
          <cell r="Q715" t="str">
            <v/>
          </cell>
          <cell r="R715" t="str">
            <v/>
          </cell>
          <cell r="S715" t="str">
            <v/>
          </cell>
          <cell r="T715" t="str">
            <v/>
          </cell>
          <cell r="U715" t="str">
            <v/>
          </cell>
          <cell r="V715" t="str">
            <v/>
          </cell>
          <cell r="W715">
            <v>0</v>
          </cell>
          <cell r="X715">
            <v>0</v>
          </cell>
          <cell r="Y715" t="str">
            <v/>
          </cell>
          <cell r="Z715" t="str">
            <v>BUY</v>
          </cell>
          <cell r="AA715" t="str">
            <v/>
          </cell>
        </row>
        <row r="716">
          <cell r="A716" t="str">
            <v>A</v>
          </cell>
          <cell r="F716" t="str">
            <v>8804-11</v>
          </cell>
          <cell r="G716" t="str">
            <v>A</v>
          </cell>
          <cell r="H716">
            <v>15</v>
          </cell>
          <cell r="I716" t="str">
            <v>Bdgt Trsf Res-Landscape</v>
          </cell>
          <cell r="J716" t="str">
            <v>Bdgt Trsf Res-Landscape</v>
          </cell>
          <cell r="K716">
            <v>0</v>
          </cell>
          <cell r="L716">
            <v>0</v>
          </cell>
          <cell r="M716">
            <v>0</v>
          </cell>
          <cell r="N716">
            <v>0</v>
          </cell>
          <cell r="O716">
            <v>0</v>
          </cell>
          <cell r="P716">
            <v>0</v>
          </cell>
          <cell r="Q716" t="str">
            <v/>
          </cell>
          <cell r="R716" t="str">
            <v/>
          </cell>
          <cell r="S716" t="str">
            <v/>
          </cell>
          <cell r="T716" t="str">
            <v/>
          </cell>
          <cell r="U716" t="str">
            <v/>
          </cell>
          <cell r="V716" t="str">
            <v/>
          </cell>
          <cell r="W716">
            <v>0</v>
          </cell>
          <cell r="X716">
            <v>0</v>
          </cell>
          <cell r="Y716" t="str">
            <v/>
          </cell>
          <cell r="Z716" t="str">
            <v>BUY</v>
          </cell>
          <cell r="AA716" t="str">
            <v/>
          </cell>
        </row>
        <row r="717">
          <cell r="A717" t="str">
            <v>A</v>
          </cell>
          <cell r="F717" t="str">
            <v>8804-12</v>
          </cell>
          <cell r="G717" t="str">
            <v>A</v>
          </cell>
          <cell r="H717">
            <v>15</v>
          </cell>
          <cell r="I717" t="str">
            <v>Bdgt Trsf Res-Lakes/Pond</v>
          </cell>
          <cell r="J717" t="str">
            <v>Bdgt Trsf Res-Lakes/Pond</v>
          </cell>
          <cell r="K717">
            <v>0</v>
          </cell>
          <cell r="L717">
            <v>0</v>
          </cell>
          <cell r="M717">
            <v>0</v>
          </cell>
          <cell r="N717">
            <v>0</v>
          </cell>
          <cell r="O717">
            <v>0</v>
          </cell>
          <cell r="P717">
            <v>0</v>
          </cell>
          <cell r="Q717" t="str">
            <v/>
          </cell>
          <cell r="R717" t="str">
            <v/>
          </cell>
          <cell r="S717" t="str">
            <v/>
          </cell>
          <cell r="T717" t="str">
            <v/>
          </cell>
          <cell r="U717" t="str">
            <v/>
          </cell>
          <cell r="V717" t="str">
            <v/>
          </cell>
          <cell r="W717">
            <v>0</v>
          </cell>
          <cell r="X717">
            <v>0</v>
          </cell>
          <cell r="Y717" t="str">
            <v/>
          </cell>
          <cell r="Z717" t="str">
            <v>BUY</v>
          </cell>
          <cell r="AA717" t="str">
            <v/>
          </cell>
        </row>
        <row r="718">
          <cell r="A718" t="str">
            <v>A</v>
          </cell>
          <cell r="F718" t="str">
            <v>8804-2</v>
          </cell>
          <cell r="G718" t="str">
            <v>A</v>
          </cell>
          <cell r="H718">
            <v>15</v>
          </cell>
          <cell r="I718" t="str">
            <v>Bdgt Trsf Res-Recreational Expense</v>
          </cell>
          <cell r="J718" t="str">
            <v>Bdgt Trsf Res-Recreational Expense</v>
          </cell>
          <cell r="K718">
            <v>0</v>
          </cell>
          <cell r="L718">
            <v>0</v>
          </cell>
          <cell r="M718">
            <v>0</v>
          </cell>
          <cell r="N718">
            <v>0</v>
          </cell>
          <cell r="O718">
            <v>0</v>
          </cell>
          <cell r="P718">
            <v>0</v>
          </cell>
          <cell r="Q718" t="str">
            <v/>
          </cell>
          <cell r="R718" t="str">
            <v/>
          </cell>
          <cell r="S718" t="str">
            <v/>
          </cell>
          <cell r="T718" t="str">
            <v/>
          </cell>
          <cell r="U718" t="str">
            <v/>
          </cell>
          <cell r="V718" t="str">
            <v/>
          </cell>
          <cell r="W718">
            <v>0</v>
          </cell>
          <cell r="X718">
            <v>0</v>
          </cell>
          <cell r="Y718" t="str">
            <v/>
          </cell>
          <cell r="Z718" t="str">
            <v>BUY</v>
          </cell>
          <cell r="AA718" t="str">
            <v/>
          </cell>
        </row>
        <row r="719">
          <cell r="A719" t="str">
            <v>A</v>
          </cell>
          <cell r="F719" t="str">
            <v>8804-3</v>
          </cell>
          <cell r="G719" t="str">
            <v>A</v>
          </cell>
          <cell r="H719">
            <v>15</v>
          </cell>
          <cell r="I719" t="str">
            <v>Bdgt Trsf Res-Building Expense</v>
          </cell>
          <cell r="J719" t="str">
            <v>Bdgt Trsf Res-Building Expense</v>
          </cell>
          <cell r="K719">
            <v>0</v>
          </cell>
          <cell r="L719">
            <v>0</v>
          </cell>
          <cell r="M719">
            <v>0</v>
          </cell>
          <cell r="N719">
            <v>0</v>
          </cell>
          <cell r="O719">
            <v>0</v>
          </cell>
          <cell r="P719">
            <v>0</v>
          </cell>
          <cell r="Q719" t="str">
            <v/>
          </cell>
          <cell r="R719" t="str">
            <v/>
          </cell>
          <cell r="S719" t="str">
            <v/>
          </cell>
          <cell r="T719" t="str">
            <v/>
          </cell>
          <cell r="U719" t="str">
            <v/>
          </cell>
          <cell r="V719" t="str">
            <v/>
          </cell>
          <cell r="W719">
            <v>0</v>
          </cell>
          <cell r="X719">
            <v>0</v>
          </cell>
          <cell r="Y719" t="str">
            <v/>
          </cell>
          <cell r="Z719" t="str">
            <v>BUY</v>
          </cell>
          <cell r="AA719" t="str">
            <v/>
          </cell>
        </row>
        <row r="720">
          <cell r="A720" t="str">
            <v>A</v>
          </cell>
          <cell r="F720" t="str">
            <v>8804-4</v>
          </cell>
          <cell r="G720" t="str">
            <v>A</v>
          </cell>
          <cell r="H720">
            <v>15</v>
          </cell>
          <cell r="I720" t="str">
            <v>Bdgt Trsf Res-Roof</v>
          </cell>
          <cell r="J720" t="str">
            <v>Bdgt Trsf Res-Roof</v>
          </cell>
          <cell r="K720">
            <v>0</v>
          </cell>
          <cell r="L720">
            <v>0</v>
          </cell>
          <cell r="M720">
            <v>0</v>
          </cell>
          <cell r="N720">
            <v>0</v>
          </cell>
          <cell r="O720">
            <v>0</v>
          </cell>
          <cell r="P720">
            <v>0</v>
          </cell>
          <cell r="Q720" t="str">
            <v/>
          </cell>
          <cell r="R720" t="str">
            <v/>
          </cell>
          <cell r="S720" t="str">
            <v/>
          </cell>
          <cell r="T720" t="str">
            <v/>
          </cell>
          <cell r="U720" t="str">
            <v/>
          </cell>
          <cell r="V720" t="str">
            <v/>
          </cell>
          <cell r="W720">
            <v>0</v>
          </cell>
          <cell r="X720">
            <v>0</v>
          </cell>
          <cell r="Y720" t="str">
            <v/>
          </cell>
          <cell r="Z720" t="str">
            <v>BUY</v>
          </cell>
          <cell r="AA720" t="str">
            <v/>
          </cell>
        </row>
        <row r="721">
          <cell r="A721" t="str">
            <v>A</v>
          </cell>
          <cell r="F721" t="str">
            <v>8804-5</v>
          </cell>
          <cell r="G721" t="str">
            <v>A</v>
          </cell>
          <cell r="H721">
            <v>15</v>
          </cell>
          <cell r="I721" t="str">
            <v>Bdgt Trsf Res-Exterior Wall</v>
          </cell>
          <cell r="J721" t="str">
            <v>Bdgt Trsf Res-Exterior Wall</v>
          </cell>
          <cell r="K721">
            <v>0</v>
          </cell>
          <cell r="L721">
            <v>0</v>
          </cell>
          <cell r="M721">
            <v>0</v>
          </cell>
          <cell r="N721">
            <v>0</v>
          </cell>
          <cell r="O721">
            <v>0</v>
          </cell>
          <cell r="P721">
            <v>0</v>
          </cell>
          <cell r="Q721" t="str">
            <v/>
          </cell>
          <cell r="R721" t="str">
            <v/>
          </cell>
          <cell r="S721" t="str">
            <v/>
          </cell>
          <cell r="T721" t="str">
            <v/>
          </cell>
          <cell r="U721" t="str">
            <v/>
          </cell>
          <cell r="V721" t="str">
            <v/>
          </cell>
          <cell r="W721">
            <v>0</v>
          </cell>
          <cell r="X721">
            <v>0</v>
          </cell>
          <cell r="Y721" t="str">
            <v/>
          </cell>
          <cell r="Z721" t="str">
            <v>BUY</v>
          </cell>
          <cell r="AA721" t="str">
            <v/>
          </cell>
        </row>
        <row r="722">
          <cell r="A722" t="str">
            <v>A</v>
          </cell>
          <cell r="F722" t="str">
            <v>8804-6</v>
          </cell>
          <cell r="G722" t="str">
            <v>A</v>
          </cell>
          <cell r="H722">
            <v>15</v>
          </cell>
          <cell r="I722" t="str">
            <v>Bdgt Trsf Res-Balcony</v>
          </cell>
          <cell r="J722" t="str">
            <v>Bdgt Trsf Res-Balcony</v>
          </cell>
          <cell r="K722">
            <v>0</v>
          </cell>
          <cell r="L722">
            <v>0</v>
          </cell>
          <cell r="M722">
            <v>0</v>
          </cell>
          <cell r="N722">
            <v>0</v>
          </cell>
          <cell r="O722">
            <v>0</v>
          </cell>
          <cell r="P722">
            <v>0</v>
          </cell>
          <cell r="Q722" t="str">
            <v/>
          </cell>
          <cell r="R722" t="str">
            <v/>
          </cell>
          <cell r="S722" t="str">
            <v/>
          </cell>
          <cell r="T722" t="str">
            <v/>
          </cell>
          <cell r="U722" t="str">
            <v/>
          </cell>
          <cell r="V722" t="str">
            <v/>
          </cell>
          <cell r="W722">
            <v>0</v>
          </cell>
          <cell r="X722">
            <v>0</v>
          </cell>
          <cell r="Y722" t="str">
            <v/>
          </cell>
          <cell r="Z722" t="str">
            <v>BUY</v>
          </cell>
          <cell r="AA722" t="str">
            <v/>
          </cell>
        </row>
        <row r="723">
          <cell r="A723" t="str">
            <v>A</v>
          </cell>
          <cell r="F723" t="str">
            <v>8804-7</v>
          </cell>
          <cell r="G723" t="str">
            <v>A</v>
          </cell>
          <cell r="H723">
            <v>15</v>
          </cell>
          <cell r="I723" t="str">
            <v>Bdgt Trsf Res-Interior/Remodeling</v>
          </cell>
          <cell r="J723" t="str">
            <v>Bdgt Trsf Res-Interior/Remodeling</v>
          </cell>
          <cell r="K723">
            <v>0</v>
          </cell>
          <cell r="L723">
            <v>0</v>
          </cell>
          <cell r="M723">
            <v>0</v>
          </cell>
          <cell r="N723">
            <v>0</v>
          </cell>
          <cell r="O723">
            <v>0</v>
          </cell>
          <cell r="P723">
            <v>0</v>
          </cell>
          <cell r="Q723" t="str">
            <v/>
          </cell>
          <cell r="R723" t="str">
            <v/>
          </cell>
          <cell r="S723" t="str">
            <v/>
          </cell>
          <cell r="T723" t="str">
            <v/>
          </cell>
          <cell r="U723" t="str">
            <v/>
          </cell>
          <cell r="V723" t="str">
            <v/>
          </cell>
          <cell r="W723">
            <v>0</v>
          </cell>
          <cell r="X723">
            <v>0</v>
          </cell>
          <cell r="Y723" t="str">
            <v/>
          </cell>
          <cell r="Z723" t="str">
            <v>BUY</v>
          </cell>
          <cell r="AA723" t="str">
            <v/>
          </cell>
        </row>
        <row r="724">
          <cell r="A724" t="str">
            <v>A</v>
          </cell>
          <cell r="F724" t="str">
            <v>8804-8</v>
          </cell>
          <cell r="G724" t="str">
            <v>A</v>
          </cell>
          <cell r="H724">
            <v>15</v>
          </cell>
          <cell r="I724" t="str">
            <v>Bdgt Trsf Res-Grounds</v>
          </cell>
          <cell r="J724" t="str">
            <v>Bdgt Trsf Res-Grounds</v>
          </cell>
          <cell r="K724">
            <v>0</v>
          </cell>
          <cell r="L724">
            <v>0</v>
          </cell>
          <cell r="M724">
            <v>0</v>
          </cell>
          <cell r="N724">
            <v>0</v>
          </cell>
          <cell r="O724">
            <v>0</v>
          </cell>
          <cell r="P724">
            <v>0</v>
          </cell>
          <cell r="Q724" t="str">
            <v/>
          </cell>
          <cell r="R724" t="str">
            <v/>
          </cell>
          <cell r="S724" t="str">
            <v/>
          </cell>
          <cell r="T724" t="str">
            <v/>
          </cell>
          <cell r="U724" t="str">
            <v/>
          </cell>
          <cell r="V724" t="str">
            <v/>
          </cell>
          <cell r="W724">
            <v>0</v>
          </cell>
          <cell r="X724">
            <v>0</v>
          </cell>
          <cell r="Y724" t="str">
            <v/>
          </cell>
          <cell r="Z724" t="str">
            <v>BUY</v>
          </cell>
          <cell r="AA724" t="str">
            <v/>
          </cell>
        </row>
        <row r="725">
          <cell r="A725" t="str">
            <v>A</v>
          </cell>
          <cell r="F725" t="str">
            <v>8804-9</v>
          </cell>
          <cell r="G725" t="str">
            <v>A</v>
          </cell>
          <cell r="H725">
            <v>15</v>
          </cell>
          <cell r="I725" t="str">
            <v>Bdgt Trsf Res-Roads/Parking</v>
          </cell>
          <cell r="J725" t="str">
            <v>Bdgt Trsf Res-Roads/Parking</v>
          </cell>
          <cell r="K725">
            <v>0</v>
          </cell>
          <cell r="L725">
            <v>0</v>
          </cell>
          <cell r="M725">
            <v>0</v>
          </cell>
          <cell r="N725">
            <v>0</v>
          </cell>
          <cell r="O725">
            <v>0</v>
          </cell>
          <cell r="P725">
            <v>0</v>
          </cell>
          <cell r="Q725" t="str">
            <v/>
          </cell>
          <cell r="R725" t="str">
            <v/>
          </cell>
          <cell r="S725" t="str">
            <v/>
          </cell>
          <cell r="T725" t="str">
            <v/>
          </cell>
          <cell r="U725" t="str">
            <v/>
          </cell>
          <cell r="V725" t="str">
            <v/>
          </cell>
          <cell r="W725">
            <v>0</v>
          </cell>
          <cell r="X725">
            <v>0</v>
          </cell>
          <cell r="Y725" t="str">
            <v/>
          </cell>
          <cell r="Z725" t="str">
            <v>BUY</v>
          </cell>
          <cell r="AA725" t="str">
            <v/>
          </cell>
        </row>
        <row r="726">
          <cell r="A726" t="str">
            <v>A</v>
          </cell>
          <cell r="F726" t="str">
            <v>8805</v>
          </cell>
          <cell r="G726" t="str">
            <v>A</v>
          </cell>
          <cell r="H726">
            <v>15</v>
          </cell>
          <cell r="I726" t="str">
            <v>Budgeted Transfer to Reserve</v>
          </cell>
          <cell r="J726" t="str">
            <v>Budgeted Transfer to Reserve</v>
          </cell>
          <cell r="K726">
            <v>0</v>
          </cell>
          <cell r="L726">
            <v>0</v>
          </cell>
          <cell r="M726">
            <v>0</v>
          </cell>
          <cell r="N726">
            <v>0</v>
          </cell>
          <cell r="O726">
            <v>0</v>
          </cell>
          <cell r="P726">
            <v>0</v>
          </cell>
          <cell r="Q726" t="str">
            <v/>
          </cell>
          <cell r="R726" t="str">
            <v/>
          </cell>
          <cell r="S726" t="str">
            <v/>
          </cell>
          <cell r="T726" t="str">
            <v/>
          </cell>
          <cell r="U726" t="str">
            <v/>
          </cell>
          <cell r="V726" t="str">
            <v/>
          </cell>
          <cell r="W726">
            <v>0</v>
          </cell>
          <cell r="X726">
            <v>0</v>
          </cell>
          <cell r="Y726" t="str">
            <v/>
          </cell>
          <cell r="Z726" t="str">
            <v>BUY</v>
          </cell>
          <cell r="AA726" t="str">
            <v/>
          </cell>
        </row>
        <row r="727">
          <cell r="A727" t="str">
            <v>A</v>
          </cell>
          <cell r="F727" t="str">
            <v>8805-1</v>
          </cell>
          <cell r="G727" t="str">
            <v>A</v>
          </cell>
          <cell r="H727">
            <v>15</v>
          </cell>
          <cell r="I727" t="str">
            <v>Budgeted Transfer to Reserve</v>
          </cell>
          <cell r="J727" t="str">
            <v>Budgeted Transfer to Reserve</v>
          </cell>
          <cell r="K727">
            <v>0</v>
          </cell>
          <cell r="L727">
            <v>0</v>
          </cell>
          <cell r="M727">
            <v>0</v>
          </cell>
          <cell r="N727">
            <v>0</v>
          </cell>
          <cell r="O727">
            <v>0</v>
          </cell>
          <cell r="P727">
            <v>0</v>
          </cell>
          <cell r="Q727" t="str">
            <v/>
          </cell>
          <cell r="R727" t="str">
            <v/>
          </cell>
          <cell r="S727" t="str">
            <v/>
          </cell>
          <cell r="T727" t="str">
            <v/>
          </cell>
          <cell r="U727" t="str">
            <v/>
          </cell>
          <cell r="V727" t="str">
            <v/>
          </cell>
          <cell r="W727">
            <v>0</v>
          </cell>
          <cell r="X727">
            <v>0</v>
          </cell>
          <cell r="Y727" t="str">
            <v/>
          </cell>
          <cell r="Z727" t="str">
            <v>BUY</v>
          </cell>
          <cell r="AA727" t="str">
            <v/>
          </cell>
        </row>
        <row r="728">
          <cell r="A728" t="str">
            <v>A</v>
          </cell>
          <cell r="F728" t="str">
            <v>8805-2</v>
          </cell>
          <cell r="G728" t="str">
            <v>A</v>
          </cell>
          <cell r="H728">
            <v>15</v>
          </cell>
          <cell r="I728" t="str">
            <v>Budgeted Transfer to Reserve</v>
          </cell>
          <cell r="J728" t="str">
            <v>Budgeted Transfer to Reserve</v>
          </cell>
          <cell r="K728">
            <v>0</v>
          </cell>
          <cell r="L728">
            <v>0</v>
          </cell>
          <cell r="M728">
            <v>0</v>
          </cell>
          <cell r="N728">
            <v>0</v>
          </cell>
          <cell r="O728">
            <v>0</v>
          </cell>
          <cell r="P728">
            <v>0</v>
          </cell>
          <cell r="Q728" t="str">
            <v/>
          </cell>
          <cell r="R728" t="str">
            <v/>
          </cell>
          <cell r="S728" t="str">
            <v/>
          </cell>
          <cell r="T728" t="str">
            <v/>
          </cell>
          <cell r="U728" t="str">
            <v/>
          </cell>
          <cell r="V728" t="str">
            <v/>
          </cell>
          <cell r="W728">
            <v>0</v>
          </cell>
          <cell r="X728">
            <v>0</v>
          </cell>
          <cell r="Y728" t="str">
            <v/>
          </cell>
          <cell r="Z728" t="str">
            <v>BUY</v>
          </cell>
          <cell r="AA728" t="str">
            <v/>
          </cell>
        </row>
        <row r="729">
          <cell r="A729" t="str">
            <v>A</v>
          </cell>
          <cell r="F729" t="str">
            <v>8805-3</v>
          </cell>
          <cell r="G729" t="str">
            <v>A</v>
          </cell>
          <cell r="H729">
            <v>15</v>
          </cell>
          <cell r="I729" t="str">
            <v>Budgeted Transfer to Reserve</v>
          </cell>
          <cell r="J729" t="str">
            <v>Budgeted Transfer to Reserve</v>
          </cell>
          <cell r="K729">
            <v>0</v>
          </cell>
          <cell r="L729">
            <v>0</v>
          </cell>
          <cell r="M729">
            <v>0</v>
          </cell>
          <cell r="N729">
            <v>0</v>
          </cell>
          <cell r="O729">
            <v>0</v>
          </cell>
          <cell r="P729">
            <v>0</v>
          </cell>
          <cell r="Q729" t="str">
            <v/>
          </cell>
          <cell r="R729" t="str">
            <v/>
          </cell>
          <cell r="S729" t="str">
            <v/>
          </cell>
          <cell r="T729" t="str">
            <v/>
          </cell>
          <cell r="U729" t="str">
            <v/>
          </cell>
          <cell r="V729" t="str">
            <v/>
          </cell>
          <cell r="W729">
            <v>0</v>
          </cell>
          <cell r="X729">
            <v>0</v>
          </cell>
          <cell r="Y729" t="str">
            <v/>
          </cell>
          <cell r="Z729" t="str">
            <v>BUY</v>
          </cell>
          <cell r="AA729" t="str">
            <v/>
          </cell>
        </row>
        <row r="730">
          <cell r="A730" t="str">
            <v>A</v>
          </cell>
          <cell r="F730" t="str">
            <v>8805-4</v>
          </cell>
          <cell r="G730" t="str">
            <v>A</v>
          </cell>
          <cell r="H730">
            <v>15</v>
          </cell>
          <cell r="I730" t="str">
            <v>Budgeted Transfer to Reserve</v>
          </cell>
          <cell r="J730" t="str">
            <v>Budgeted Transfer to Reserve</v>
          </cell>
          <cell r="K730">
            <v>0</v>
          </cell>
          <cell r="L730">
            <v>0</v>
          </cell>
          <cell r="M730">
            <v>0</v>
          </cell>
          <cell r="N730">
            <v>0</v>
          </cell>
          <cell r="O730">
            <v>0</v>
          </cell>
          <cell r="P730">
            <v>0</v>
          </cell>
          <cell r="Q730" t="str">
            <v/>
          </cell>
          <cell r="R730" t="str">
            <v/>
          </cell>
          <cell r="S730" t="str">
            <v/>
          </cell>
          <cell r="T730" t="str">
            <v/>
          </cell>
          <cell r="U730" t="str">
            <v/>
          </cell>
          <cell r="V730" t="str">
            <v/>
          </cell>
          <cell r="W730">
            <v>0</v>
          </cell>
          <cell r="X730">
            <v>0</v>
          </cell>
          <cell r="Y730" t="str">
            <v/>
          </cell>
          <cell r="Z730" t="str">
            <v>BUY</v>
          </cell>
          <cell r="AA730" t="str">
            <v/>
          </cell>
        </row>
        <row r="731">
          <cell r="A731" t="str">
            <v>A</v>
          </cell>
          <cell r="F731" t="str">
            <v>8805-5</v>
          </cell>
          <cell r="G731" t="str">
            <v>A</v>
          </cell>
          <cell r="H731">
            <v>15</v>
          </cell>
          <cell r="I731" t="str">
            <v>Budgeted Transfer to Reserve</v>
          </cell>
          <cell r="J731" t="str">
            <v>Budgeted Transfer to Reserve</v>
          </cell>
          <cell r="K731">
            <v>0</v>
          </cell>
          <cell r="L731">
            <v>0</v>
          </cell>
          <cell r="M731">
            <v>0</v>
          </cell>
          <cell r="N731">
            <v>0</v>
          </cell>
          <cell r="O731">
            <v>0</v>
          </cell>
          <cell r="P731">
            <v>0</v>
          </cell>
          <cell r="Q731" t="str">
            <v/>
          </cell>
          <cell r="R731" t="str">
            <v/>
          </cell>
          <cell r="S731" t="str">
            <v/>
          </cell>
          <cell r="T731" t="str">
            <v/>
          </cell>
          <cell r="U731" t="str">
            <v/>
          </cell>
          <cell r="V731" t="str">
            <v/>
          </cell>
          <cell r="W731">
            <v>0</v>
          </cell>
          <cell r="X731">
            <v>0</v>
          </cell>
          <cell r="Y731" t="str">
            <v/>
          </cell>
          <cell r="Z731" t="str">
            <v>BUY</v>
          </cell>
          <cell r="AA731" t="str">
            <v/>
          </cell>
        </row>
        <row r="732">
          <cell r="A732" t="str">
            <v>A</v>
          </cell>
          <cell r="F732" t="str">
            <v>8806</v>
          </cell>
          <cell r="G732" t="str">
            <v>A</v>
          </cell>
          <cell r="H732">
            <v>16</v>
          </cell>
          <cell r="I732" t="str">
            <v>Interest Transfer to Reserve</v>
          </cell>
          <cell r="J732" t="str">
            <v>Interest Transfer to Reserve</v>
          </cell>
          <cell r="K732">
            <v>0</v>
          </cell>
          <cell r="L732">
            <v>0</v>
          </cell>
          <cell r="M732">
            <v>0</v>
          </cell>
          <cell r="N732">
            <v>0</v>
          </cell>
          <cell r="O732">
            <v>0</v>
          </cell>
          <cell r="P732">
            <v>0</v>
          </cell>
          <cell r="Q732" t="str">
            <v/>
          </cell>
          <cell r="R732" t="str">
            <v/>
          </cell>
          <cell r="S732" t="str">
            <v/>
          </cell>
          <cell r="T732" t="str">
            <v/>
          </cell>
          <cell r="U732" t="str">
            <v/>
          </cell>
          <cell r="V732" t="str">
            <v/>
          </cell>
          <cell r="W732">
            <v>0</v>
          </cell>
          <cell r="X732">
            <v>0</v>
          </cell>
          <cell r="Y732" t="str">
            <v/>
          </cell>
          <cell r="Z732" t="str">
            <v>BUY</v>
          </cell>
          <cell r="AA732" t="str">
            <v/>
          </cell>
        </row>
        <row r="733">
          <cell r="A733" t="str">
            <v>A</v>
          </cell>
          <cell r="F733" t="str">
            <v>8807</v>
          </cell>
          <cell r="G733" t="str">
            <v>A</v>
          </cell>
          <cell r="H733">
            <v>16</v>
          </cell>
          <cell r="I733" t="str">
            <v>Loan Payment</v>
          </cell>
          <cell r="J733" t="str">
            <v>Loan Payment</v>
          </cell>
          <cell r="K733">
            <v>0</v>
          </cell>
          <cell r="L733">
            <v>0</v>
          </cell>
          <cell r="M733">
            <v>0</v>
          </cell>
          <cell r="N733">
            <v>0</v>
          </cell>
          <cell r="O733">
            <v>0</v>
          </cell>
          <cell r="P733">
            <v>0</v>
          </cell>
          <cell r="Q733" t="str">
            <v/>
          </cell>
          <cell r="R733" t="str">
            <v/>
          </cell>
          <cell r="S733" t="str">
            <v/>
          </cell>
          <cell r="T733" t="str">
            <v/>
          </cell>
          <cell r="U733" t="str">
            <v/>
          </cell>
          <cell r="V733" t="str">
            <v/>
          </cell>
          <cell r="W733">
            <v>0</v>
          </cell>
          <cell r="X733">
            <v>0</v>
          </cell>
          <cell r="Y733" t="str">
            <v/>
          </cell>
          <cell r="Z733" t="str">
            <v>BUY</v>
          </cell>
          <cell r="AA733" t="str">
            <v/>
          </cell>
        </row>
        <row r="734">
          <cell r="A734" t="str">
            <v>A</v>
          </cell>
          <cell r="F734" t="str">
            <v>8810</v>
          </cell>
          <cell r="G734" t="str">
            <v>A</v>
          </cell>
          <cell r="H734">
            <v>15</v>
          </cell>
          <cell r="I734" t="str">
            <v>General Capital Reserve</v>
          </cell>
          <cell r="J734" t="str">
            <v>General Capital Reserve</v>
          </cell>
          <cell r="K734">
            <v>0</v>
          </cell>
          <cell r="L734">
            <v>0</v>
          </cell>
          <cell r="M734">
            <v>0</v>
          </cell>
          <cell r="N734">
            <v>0</v>
          </cell>
          <cell r="O734">
            <v>0</v>
          </cell>
          <cell r="P734">
            <v>0</v>
          </cell>
          <cell r="Q734" t="str">
            <v/>
          </cell>
          <cell r="R734" t="str">
            <v/>
          </cell>
          <cell r="S734" t="str">
            <v/>
          </cell>
          <cell r="T734" t="str">
            <v/>
          </cell>
          <cell r="U734" t="str">
            <v/>
          </cell>
          <cell r="V734" t="str">
            <v/>
          </cell>
          <cell r="W734">
            <v>0</v>
          </cell>
          <cell r="X734">
            <v>0</v>
          </cell>
          <cell r="Y734" t="str">
            <v/>
          </cell>
          <cell r="Z734" t="str">
            <v>BUY</v>
          </cell>
          <cell r="AA734" t="str">
            <v/>
          </cell>
        </row>
        <row r="735">
          <cell r="A735" t="str">
            <v>A</v>
          </cell>
          <cell r="F735" t="str">
            <v>8815</v>
          </cell>
          <cell r="G735" t="str">
            <v>A</v>
          </cell>
          <cell r="H735">
            <v>15</v>
          </cell>
          <cell r="I735" t="str">
            <v>Recreational Use Reserve</v>
          </cell>
          <cell r="J735" t="str">
            <v>Recreational Use Reserve</v>
          </cell>
          <cell r="K735">
            <v>0</v>
          </cell>
          <cell r="L735">
            <v>0</v>
          </cell>
          <cell r="M735">
            <v>0</v>
          </cell>
          <cell r="N735">
            <v>0</v>
          </cell>
          <cell r="O735">
            <v>0</v>
          </cell>
          <cell r="P735">
            <v>0</v>
          </cell>
          <cell r="Q735" t="str">
            <v/>
          </cell>
          <cell r="R735" t="str">
            <v/>
          </cell>
          <cell r="S735" t="str">
            <v/>
          </cell>
          <cell r="T735" t="str">
            <v/>
          </cell>
          <cell r="U735" t="str">
            <v/>
          </cell>
          <cell r="V735" t="str">
            <v/>
          </cell>
          <cell r="W735">
            <v>0</v>
          </cell>
          <cell r="X735">
            <v>0</v>
          </cell>
          <cell r="Y735" t="str">
            <v/>
          </cell>
          <cell r="Z735" t="str">
            <v>BUY</v>
          </cell>
          <cell r="AA735" t="str">
            <v/>
          </cell>
        </row>
        <row r="736">
          <cell r="A736" t="str">
            <v>A</v>
          </cell>
          <cell r="F736" t="str">
            <v>8820</v>
          </cell>
          <cell r="G736" t="str">
            <v>A</v>
          </cell>
          <cell r="H736">
            <v>15</v>
          </cell>
          <cell r="I736" t="str">
            <v>Building Capital Reserve</v>
          </cell>
          <cell r="J736" t="str">
            <v>Building Capital Reserve</v>
          </cell>
          <cell r="K736">
            <v>0</v>
          </cell>
          <cell r="L736">
            <v>0</v>
          </cell>
          <cell r="M736">
            <v>0</v>
          </cell>
          <cell r="N736">
            <v>0</v>
          </cell>
          <cell r="O736">
            <v>0</v>
          </cell>
          <cell r="P736">
            <v>0</v>
          </cell>
          <cell r="Q736" t="str">
            <v/>
          </cell>
          <cell r="R736" t="str">
            <v/>
          </cell>
          <cell r="S736" t="str">
            <v/>
          </cell>
          <cell r="T736" t="str">
            <v/>
          </cell>
          <cell r="U736" t="str">
            <v/>
          </cell>
          <cell r="V736" t="str">
            <v/>
          </cell>
          <cell r="W736">
            <v>0</v>
          </cell>
          <cell r="X736">
            <v>0</v>
          </cell>
          <cell r="Y736" t="str">
            <v/>
          </cell>
          <cell r="Z736" t="str">
            <v>BUY</v>
          </cell>
          <cell r="AA736" t="str">
            <v/>
          </cell>
        </row>
        <row r="737">
          <cell r="A737" t="str">
            <v>A</v>
          </cell>
          <cell r="F737" t="str">
            <v>8821</v>
          </cell>
          <cell r="G737" t="str">
            <v>A</v>
          </cell>
          <cell r="H737">
            <v>15</v>
          </cell>
          <cell r="I737" t="str">
            <v>Roof Capital Reserve</v>
          </cell>
          <cell r="J737" t="str">
            <v>Roof Capital Reserve</v>
          </cell>
          <cell r="K737">
            <v>0</v>
          </cell>
          <cell r="L737">
            <v>0</v>
          </cell>
          <cell r="M737">
            <v>0</v>
          </cell>
          <cell r="N737">
            <v>0</v>
          </cell>
          <cell r="O737">
            <v>0</v>
          </cell>
          <cell r="P737">
            <v>0</v>
          </cell>
          <cell r="Q737" t="str">
            <v/>
          </cell>
          <cell r="R737" t="str">
            <v/>
          </cell>
          <cell r="S737" t="str">
            <v/>
          </cell>
          <cell r="T737" t="str">
            <v/>
          </cell>
          <cell r="U737" t="str">
            <v/>
          </cell>
          <cell r="V737" t="str">
            <v/>
          </cell>
          <cell r="W737">
            <v>0</v>
          </cell>
          <cell r="X737">
            <v>0</v>
          </cell>
          <cell r="Y737" t="str">
            <v/>
          </cell>
          <cell r="Z737" t="str">
            <v>BUY</v>
          </cell>
          <cell r="AA737" t="str">
            <v/>
          </cell>
        </row>
        <row r="738">
          <cell r="A738" t="str">
            <v>A</v>
          </cell>
          <cell r="F738" t="str">
            <v>8822</v>
          </cell>
          <cell r="G738" t="str">
            <v>A</v>
          </cell>
          <cell r="H738">
            <v>15</v>
          </cell>
          <cell r="I738" t="str">
            <v>Ext Wall or Painting Reserve</v>
          </cell>
          <cell r="J738" t="str">
            <v>Ext Wall or Painting Reserve</v>
          </cell>
          <cell r="K738">
            <v>0</v>
          </cell>
          <cell r="L738">
            <v>0</v>
          </cell>
          <cell r="M738">
            <v>0</v>
          </cell>
          <cell r="N738">
            <v>0</v>
          </cell>
          <cell r="O738">
            <v>0</v>
          </cell>
          <cell r="P738">
            <v>0</v>
          </cell>
          <cell r="Q738" t="str">
            <v/>
          </cell>
          <cell r="R738" t="str">
            <v/>
          </cell>
          <cell r="S738" t="str">
            <v/>
          </cell>
          <cell r="T738" t="str">
            <v/>
          </cell>
          <cell r="U738" t="str">
            <v/>
          </cell>
          <cell r="V738" t="str">
            <v/>
          </cell>
          <cell r="W738">
            <v>0</v>
          </cell>
          <cell r="X738">
            <v>0</v>
          </cell>
          <cell r="Y738" t="str">
            <v/>
          </cell>
          <cell r="Z738" t="str">
            <v>BUY</v>
          </cell>
          <cell r="AA738" t="str">
            <v/>
          </cell>
        </row>
        <row r="739">
          <cell r="A739" t="str">
            <v>A</v>
          </cell>
          <cell r="F739" t="str">
            <v>8823</v>
          </cell>
          <cell r="G739" t="str">
            <v>A</v>
          </cell>
          <cell r="H739">
            <v>15</v>
          </cell>
          <cell r="I739" t="str">
            <v>Balcony Capital Reserve</v>
          </cell>
          <cell r="J739" t="str">
            <v>Balcony Capital Reserve</v>
          </cell>
          <cell r="K739">
            <v>0</v>
          </cell>
          <cell r="L739">
            <v>0</v>
          </cell>
          <cell r="M739">
            <v>0</v>
          </cell>
          <cell r="N739">
            <v>0</v>
          </cell>
          <cell r="O739">
            <v>0</v>
          </cell>
          <cell r="P739">
            <v>0</v>
          </cell>
          <cell r="Q739" t="str">
            <v/>
          </cell>
          <cell r="R739" t="str">
            <v/>
          </cell>
          <cell r="S739" t="str">
            <v/>
          </cell>
          <cell r="T739" t="str">
            <v/>
          </cell>
          <cell r="U739" t="str">
            <v/>
          </cell>
          <cell r="V739" t="str">
            <v/>
          </cell>
          <cell r="W739">
            <v>0</v>
          </cell>
          <cell r="X739">
            <v>0</v>
          </cell>
          <cell r="Y739" t="str">
            <v/>
          </cell>
          <cell r="Z739" t="str">
            <v>BUY</v>
          </cell>
          <cell r="AA739" t="str">
            <v/>
          </cell>
        </row>
        <row r="740">
          <cell r="A740" t="str">
            <v>A</v>
          </cell>
          <cell r="F740" t="str">
            <v>8824</v>
          </cell>
          <cell r="G740" t="str">
            <v>A</v>
          </cell>
          <cell r="H740">
            <v>15</v>
          </cell>
          <cell r="I740" t="str">
            <v>Interior Remodeling Reserve</v>
          </cell>
          <cell r="J740" t="str">
            <v>Interior Remodeling Reserve</v>
          </cell>
          <cell r="K740">
            <v>0</v>
          </cell>
          <cell r="L740">
            <v>0</v>
          </cell>
          <cell r="M740">
            <v>0</v>
          </cell>
          <cell r="N740">
            <v>0</v>
          </cell>
          <cell r="O740">
            <v>0</v>
          </cell>
          <cell r="P740">
            <v>0</v>
          </cell>
          <cell r="Q740" t="str">
            <v/>
          </cell>
          <cell r="R740" t="str">
            <v/>
          </cell>
          <cell r="S740" t="str">
            <v/>
          </cell>
          <cell r="T740" t="str">
            <v/>
          </cell>
          <cell r="U740" t="str">
            <v/>
          </cell>
          <cell r="V740" t="str">
            <v/>
          </cell>
          <cell r="W740">
            <v>0</v>
          </cell>
          <cell r="X740">
            <v>0</v>
          </cell>
          <cell r="Y740" t="str">
            <v/>
          </cell>
          <cell r="Z740" t="str">
            <v>BUY</v>
          </cell>
          <cell r="AA740" t="str">
            <v/>
          </cell>
        </row>
        <row r="741">
          <cell r="A741" t="str">
            <v>A</v>
          </cell>
          <cell r="F741" t="str">
            <v>8830</v>
          </cell>
          <cell r="G741" t="str">
            <v>A</v>
          </cell>
          <cell r="H741">
            <v>15</v>
          </cell>
          <cell r="I741" t="str">
            <v>Grounds Capital Reserve</v>
          </cell>
          <cell r="J741" t="str">
            <v>Grounds Capital Reserve</v>
          </cell>
          <cell r="K741">
            <v>0</v>
          </cell>
          <cell r="L741">
            <v>0</v>
          </cell>
          <cell r="M741">
            <v>0</v>
          </cell>
          <cell r="N741">
            <v>0</v>
          </cell>
          <cell r="O741">
            <v>0</v>
          </cell>
          <cell r="P741">
            <v>0</v>
          </cell>
          <cell r="Q741" t="str">
            <v/>
          </cell>
          <cell r="R741" t="str">
            <v/>
          </cell>
          <cell r="S741" t="str">
            <v/>
          </cell>
          <cell r="T741" t="str">
            <v/>
          </cell>
          <cell r="U741" t="str">
            <v/>
          </cell>
          <cell r="V741" t="str">
            <v/>
          </cell>
          <cell r="W741">
            <v>0</v>
          </cell>
          <cell r="X741">
            <v>0</v>
          </cell>
          <cell r="Y741" t="str">
            <v/>
          </cell>
          <cell r="Z741" t="str">
            <v>BUY</v>
          </cell>
          <cell r="AA741" t="str">
            <v/>
          </cell>
        </row>
        <row r="742">
          <cell r="A742" t="str">
            <v>A</v>
          </cell>
          <cell r="F742" t="str">
            <v>8831</v>
          </cell>
          <cell r="G742" t="str">
            <v>A</v>
          </cell>
          <cell r="H742">
            <v>15</v>
          </cell>
          <cell r="I742" t="str">
            <v>Road &amp; Parking Cap Reserve</v>
          </cell>
          <cell r="J742" t="str">
            <v>Road &amp; Parking Cap Reserve</v>
          </cell>
          <cell r="K742">
            <v>0</v>
          </cell>
          <cell r="L742">
            <v>0</v>
          </cell>
          <cell r="M742">
            <v>0</v>
          </cell>
          <cell r="N742">
            <v>0</v>
          </cell>
          <cell r="O742">
            <v>0</v>
          </cell>
          <cell r="P742">
            <v>0</v>
          </cell>
          <cell r="Q742" t="str">
            <v/>
          </cell>
          <cell r="R742" t="str">
            <v/>
          </cell>
          <cell r="S742" t="str">
            <v/>
          </cell>
          <cell r="T742" t="str">
            <v/>
          </cell>
          <cell r="U742" t="str">
            <v/>
          </cell>
          <cell r="V742" t="str">
            <v/>
          </cell>
          <cell r="W742">
            <v>0</v>
          </cell>
          <cell r="X742">
            <v>0</v>
          </cell>
          <cell r="Y742" t="str">
            <v/>
          </cell>
          <cell r="Z742" t="str">
            <v>BUY</v>
          </cell>
          <cell r="AA742" t="str">
            <v/>
          </cell>
        </row>
        <row r="743">
          <cell r="A743" t="str">
            <v>A</v>
          </cell>
          <cell r="F743" t="str">
            <v>8832</v>
          </cell>
          <cell r="G743" t="str">
            <v>A</v>
          </cell>
          <cell r="H743">
            <v>15</v>
          </cell>
          <cell r="I743" t="str">
            <v>Fence Capital Reserve</v>
          </cell>
          <cell r="J743" t="str">
            <v>Fence Capital Reserve</v>
          </cell>
          <cell r="K743">
            <v>0</v>
          </cell>
          <cell r="L743">
            <v>0</v>
          </cell>
          <cell r="M743">
            <v>0</v>
          </cell>
          <cell r="N743">
            <v>0</v>
          </cell>
          <cell r="O743">
            <v>0</v>
          </cell>
          <cell r="P743">
            <v>0</v>
          </cell>
          <cell r="Q743" t="str">
            <v/>
          </cell>
          <cell r="R743" t="str">
            <v/>
          </cell>
          <cell r="S743" t="str">
            <v/>
          </cell>
          <cell r="T743" t="str">
            <v/>
          </cell>
          <cell r="U743" t="str">
            <v/>
          </cell>
          <cell r="V743" t="str">
            <v/>
          </cell>
          <cell r="W743">
            <v>0</v>
          </cell>
          <cell r="X743">
            <v>0</v>
          </cell>
          <cell r="Y743" t="str">
            <v/>
          </cell>
          <cell r="Z743" t="str">
            <v>BUY</v>
          </cell>
          <cell r="AA743" t="str">
            <v/>
          </cell>
        </row>
        <row r="744">
          <cell r="A744" t="str">
            <v>A</v>
          </cell>
          <cell r="F744" t="str">
            <v>8833</v>
          </cell>
          <cell r="G744" t="str">
            <v>A</v>
          </cell>
          <cell r="H744">
            <v>15</v>
          </cell>
          <cell r="I744" t="str">
            <v>Landscape Capital Reserve</v>
          </cell>
          <cell r="J744" t="str">
            <v>Landscape Capital Reserve</v>
          </cell>
          <cell r="K744">
            <v>0</v>
          </cell>
          <cell r="L744">
            <v>0</v>
          </cell>
          <cell r="M744">
            <v>0</v>
          </cell>
          <cell r="N744">
            <v>0</v>
          </cell>
          <cell r="O744">
            <v>0</v>
          </cell>
          <cell r="P744">
            <v>0</v>
          </cell>
          <cell r="Q744" t="str">
            <v/>
          </cell>
          <cell r="R744" t="str">
            <v/>
          </cell>
          <cell r="S744" t="str">
            <v/>
          </cell>
          <cell r="T744" t="str">
            <v/>
          </cell>
          <cell r="U744" t="str">
            <v/>
          </cell>
          <cell r="V744" t="str">
            <v/>
          </cell>
          <cell r="W744">
            <v>0</v>
          </cell>
          <cell r="X744">
            <v>0</v>
          </cell>
          <cell r="Y744" t="str">
            <v/>
          </cell>
          <cell r="Z744" t="str">
            <v>BUY</v>
          </cell>
          <cell r="AA744" t="str">
            <v/>
          </cell>
        </row>
        <row r="745">
          <cell r="A745" t="str">
            <v>A</v>
          </cell>
          <cell r="F745" t="str">
            <v>8834</v>
          </cell>
          <cell r="G745" t="str">
            <v>A</v>
          </cell>
          <cell r="H745">
            <v>15</v>
          </cell>
          <cell r="I745" t="str">
            <v>Lakes/Ponds Cap Reserve</v>
          </cell>
          <cell r="J745" t="str">
            <v>Lakes/Ponds Cap Reserve</v>
          </cell>
          <cell r="K745">
            <v>0</v>
          </cell>
          <cell r="L745">
            <v>0</v>
          </cell>
          <cell r="M745">
            <v>0</v>
          </cell>
          <cell r="N745">
            <v>0</v>
          </cell>
          <cell r="O745">
            <v>0</v>
          </cell>
          <cell r="P745">
            <v>0</v>
          </cell>
          <cell r="Q745" t="str">
            <v/>
          </cell>
          <cell r="R745" t="str">
            <v/>
          </cell>
          <cell r="S745" t="str">
            <v/>
          </cell>
          <cell r="T745" t="str">
            <v/>
          </cell>
          <cell r="U745" t="str">
            <v/>
          </cell>
          <cell r="V745" t="str">
            <v/>
          </cell>
          <cell r="W745">
            <v>0</v>
          </cell>
          <cell r="X745">
            <v>0</v>
          </cell>
          <cell r="Y745" t="str">
            <v/>
          </cell>
          <cell r="Z745" t="str">
            <v>BUY</v>
          </cell>
          <cell r="AA745" t="str">
            <v/>
          </cell>
        </row>
        <row r="746">
          <cell r="A746" t="str">
            <v>A</v>
          </cell>
          <cell r="F746" t="str">
            <v>8840</v>
          </cell>
          <cell r="G746" t="str">
            <v>A</v>
          </cell>
          <cell r="H746">
            <v>15</v>
          </cell>
          <cell r="I746" t="str">
            <v>Unbudgeted Transfer to Reserve</v>
          </cell>
          <cell r="J746" t="str">
            <v>Unbudgeted Transfer to Reserve</v>
          </cell>
          <cell r="K746">
            <v>0</v>
          </cell>
          <cell r="L746">
            <v>0</v>
          </cell>
          <cell r="M746">
            <v>0</v>
          </cell>
          <cell r="N746">
            <v>186324</v>
          </cell>
          <cell r="O746">
            <v>0</v>
          </cell>
          <cell r="P746">
            <v>0</v>
          </cell>
          <cell r="Q746" t="str">
            <v/>
          </cell>
          <cell r="R746" t="str">
            <v>2009 unbudgeted transfer. No future unbudgeted transfers scheduled.</v>
          </cell>
          <cell r="S746" t="str">
            <v/>
          </cell>
          <cell r="T746" t="str">
            <v/>
          </cell>
          <cell r="U746" t="str">
            <v/>
          </cell>
          <cell r="V746" t="str">
            <v/>
          </cell>
          <cell r="W746">
            <v>186324</v>
          </cell>
          <cell r="X746">
            <v>0</v>
          </cell>
          <cell r="Y746" t="str">
            <v>A</v>
          </cell>
          <cell r="Z746" t="str">
            <v>BUY</v>
          </cell>
          <cell r="AA746" t="str">
            <v/>
          </cell>
        </row>
        <row r="747">
          <cell r="A747" t="str">
            <v>A</v>
          </cell>
          <cell r="F747" t="str">
            <v>8841</v>
          </cell>
          <cell r="G747" t="str">
            <v>A</v>
          </cell>
          <cell r="H747">
            <v>15</v>
          </cell>
          <cell r="I747" t="str">
            <v>Unbudgeted Transfer to Reserve</v>
          </cell>
          <cell r="J747" t="str">
            <v>Unbudgeted Transfer to Reserve</v>
          </cell>
          <cell r="K747">
            <v>0</v>
          </cell>
          <cell r="L747">
            <v>0</v>
          </cell>
          <cell r="M747">
            <v>0</v>
          </cell>
          <cell r="N747">
            <v>0</v>
          </cell>
          <cell r="O747">
            <v>0</v>
          </cell>
          <cell r="P747">
            <v>0</v>
          </cell>
          <cell r="Q747" t="str">
            <v/>
          </cell>
          <cell r="R747" t="str">
            <v/>
          </cell>
          <cell r="S747" t="str">
            <v/>
          </cell>
          <cell r="T747" t="str">
            <v/>
          </cell>
          <cell r="U747" t="str">
            <v/>
          </cell>
          <cell r="V747" t="str">
            <v/>
          </cell>
          <cell r="W747">
            <v>0</v>
          </cell>
          <cell r="X747">
            <v>0</v>
          </cell>
          <cell r="Y747" t="str">
            <v/>
          </cell>
          <cell r="Z747" t="str">
            <v>BUY</v>
          </cell>
          <cell r="AA747" t="str">
            <v/>
          </cell>
        </row>
        <row r="748">
          <cell r="A748" t="str">
            <v>A</v>
          </cell>
          <cell r="F748" t="str">
            <v>8842</v>
          </cell>
          <cell r="G748" t="str">
            <v>A</v>
          </cell>
          <cell r="H748">
            <v>15</v>
          </cell>
          <cell r="I748" t="str">
            <v>Unbudgeted Transfer to Reserve</v>
          </cell>
          <cell r="J748" t="str">
            <v>Unbudgeted Transfer to Reserve</v>
          </cell>
          <cell r="K748">
            <v>0</v>
          </cell>
          <cell r="L748">
            <v>0</v>
          </cell>
          <cell r="M748">
            <v>0</v>
          </cell>
          <cell r="N748">
            <v>0</v>
          </cell>
          <cell r="O748">
            <v>0</v>
          </cell>
          <cell r="P748">
            <v>0</v>
          </cell>
          <cell r="Q748" t="str">
            <v/>
          </cell>
          <cell r="R748" t="str">
            <v/>
          </cell>
          <cell r="S748" t="str">
            <v/>
          </cell>
          <cell r="T748" t="str">
            <v/>
          </cell>
          <cell r="U748" t="str">
            <v/>
          </cell>
          <cell r="V748" t="str">
            <v/>
          </cell>
          <cell r="W748">
            <v>0</v>
          </cell>
          <cell r="X748">
            <v>0</v>
          </cell>
          <cell r="Y748" t="str">
            <v/>
          </cell>
          <cell r="Z748" t="str">
            <v>BUY</v>
          </cell>
          <cell r="AA748" t="str">
            <v/>
          </cell>
        </row>
        <row r="749">
          <cell r="A749" t="str">
            <v>A</v>
          </cell>
          <cell r="F749" t="str">
            <v>8843</v>
          </cell>
          <cell r="G749" t="str">
            <v>A</v>
          </cell>
          <cell r="H749">
            <v>15</v>
          </cell>
          <cell r="I749" t="str">
            <v>Unbudgeted Transfer to Reserve</v>
          </cell>
          <cell r="J749" t="str">
            <v>Unbudgeted Transfer to Reserve</v>
          </cell>
          <cell r="K749">
            <v>0</v>
          </cell>
          <cell r="L749">
            <v>0</v>
          </cell>
          <cell r="M749">
            <v>0</v>
          </cell>
          <cell r="N749">
            <v>0</v>
          </cell>
          <cell r="O749">
            <v>0</v>
          </cell>
          <cell r="P749">
            <v>0</v>
          </cell>
          <cell r="Q749" t="str">
            <v/>
          </cell>
          <cell r="R749" t="str">
            <v/>
          </cell>
          <cell r="S749" t="str">
            <v/>
          </cell>
          <cell r="T749" t="str">
            <v/>
          </cell>
          <cell r="U749" t="str">
            <v/>
          </cell>
          <cell r="V749" t="str">
            <v/>
          </cell>
          <cell r="W749">
            <v>0</v>
          </cell>
          <cell r="X749">
            <v>0</v>
          </cell>
          <cell r="Y749" t="str">
            <v/>
          </cell>
          <cell r="Z749" t="str">
            <v>BUY</v>
          </cell>
          <cell r="AA749" t="str">
            <v/>
          </cell>
        </row>
        <row r="750">
          <cell r="A750" t="str">
            <v>A</v>
          </cell>
          <cell r="F750" t="str">
            <v>8844</v>
          </cell>
          <cell r="G750" t="str">
            <v>A</v>
          </cell>
          <cell r="H750">
            <v>15</v>
          </cell>
          <cell r="I750" t="str">
            <v>Unbudgeted Transfer to Reserve</v>
          </cell>
          <cell r="J750" t="str">
            <v>Unbudgeted Transfer to Reserve</v>
          </cell>
          <cell r="K750">
            <v>0</v>
          </cell>
          <cell r="L750">
            <v>0</v>
          </cell>
          <cell r="M750">
            <v>0</v>
          </cell>
          <cell r="N750">
            <v>0</v>
          </cell>
          <cell r="O750">
            <v>0</v>
          </cell>
          <cell r="P750">
            <v>0</v>
          </cell>
          <cell r="Q750" t="str">
            <v/>
          </cell>
          <cell r="R750" t="str">
            <v/>
          </cell>
          <cell r="S750" t="str">
            <v/>
          </cell>
          <cell r="T750" t="str">
            <v/>
          </cell>
          <cell r="U750" t="str">
            <v/>
          </cell>
          <cell r="V750" t="str">
            <v/>
          </cell>
          <cell r="W750">
            <v>0</v>
          </cell>
          <cell r="X750">
            <v>0</v>
          </cell>
          <cell r="Y750" t="str">
            <v/>
          </cell>
          <cell r="Z750" t="str">
            <v>BUY</v>
          </cell>
          <cell r="AA750" t="str">
            <v/>
          </cell>
        </row>
        <row r="751">
          <cell r="A751" t="str">
            <v>A</v>
          </cell>
          <cell r="F751" t="str">
            <v>8845</v>
          </cell>
          <cell r="G751" t="str">
            <v>A</v>
          </cell>
          <cell r="H751">
            <v>15</v>
          </cell>
          <cell r="I751" t="str">
            <v>UB General Capital Res</v>
          </cell>
          <cell r="J751" t="str">
            <v>UB General Capital Res</v>
          </cell>
          <cell r="K751">
            <v>0</v>
          </cell>
          <cell r="L751">
            <v>0</v>
          </cell>
          <cell r="M751">
            <v>0</v>
          </cell>
          <cell r="N751">
            <v>0</v>
          </cell>
          <cell r="O751">
            <v>0</v>
          </cell>
          <cell r="P751">
            <v>0</v>
          </cell>
          <cell r="Q751" t="str">
            <v/>
          </cell>
          <cell r="R751" t="str">
            <v/>
          </cell>
          <cell r="S751" t="str">
            <v/>
          </cell>
          <cell r="T751" t="str">
            <v/>
          </cell>
          <cell r="U751" t="str">
            <v/>
          </cell>
          <cell r="V751" t="str">
            <v/>
          </cell>
          <cell r="W751">
            <v>0</v>
          </cell>
          <cell r="X751">
            <v>0</v>
          </cell>
          <cell r="Y751" t="str">
            <v/>
          </cell>
          <cell r="Z751" t="str">
            <v>BUY</v>
          </cell>
          <cell r="AA751" t="str">
            <v/>
          </cell>
        </row>
        <row r="752">
          <cell r="A752" t="str">
            <v>A</v>
          </cell>
          <cell r="F752" t="str">
            <v>8850</v>
          </cell>
          <cell r="G752" t="str">
            <v>A</v>
          </cell>
          <cell r="H752">
            <v>15</v>
          </cell>
          <cell r="I752" t="str">
            <v>UB Recreational Res</v>
          </cell>
          <cell r="J752" t="str">
            <v>UB Recreational Res</v>
          </cell>
          <cell r="K752">
            <v>0</v>
          </cell>
          <cell r="L752">
            <v>0</v>
          </cell>
          <cell r="M752">
            <v>0</v>
          </cell>
          <cell r="N752">
            <v>0</v>
          </cell>
          <cell r="O752">
            <v>0</v>
          </cell>
          <cell r="P752">
            <v>0</v>
          </cell>
          <cell r="Q752" t="str">
            <v/>
          </cell>
          <cell r="R752" t="str">
            <v/>
          </cell>
          <cell r="S752" t="str">
            <v/>
          </cell>
          <cell r="T752" t="str">
            <v/>
          </cell>
          <cell r="U752" t="str">
            <v/>
          </cell>
          <cell r="V752" t="str">
            <v/>
          </cell>
          <cell r="W752">
            <v>0</v>
          </cell>
          <cell r="X752">
            <v>0</v>
          </cell>
          <cell r="Y752" t="str">
            <v/>
          </cell>
          <cell r="Z752" t="str">
            <v>BUY</v>
          </cell>
          <cell r="AA752" t="str">
            <v/>
          </cell>
        </row>
        <row r="753">
          <cell r="A753" t="str">
            <v>A</v>
          </cell>
          <cell r="F753" t="str">
            <v>8855</v>
          </cell>
          <cell r="G753" t="str">
            <v>A</v>
          </cell>
          <cell r="H753">
            <v>15</v>
          </cell>
          <cell r="I753" t="str">
            <v>UB Bldg Cap Reserve</v>
          </cell>
          <cell r="J753" t="str">
            <v>UB Bldg Cap Reserve</v>
          </cell>
          <cell r="K753">
            <v>0</v>
          </cell>
          <cell r="L753">
            <v>0</v>
          </cell>
          <cell r="M753">
            <v>0</v>
          </cell>
          <cell r="N753">
            <v>0</v>
          </cell>
          <cell r="O753">
            <v>0</v>
          </cell>
          <cell r="P753">
            <v>0</v>
          </cell>
          <cell r="Q753" t="str">
            <v/>
          </cell>
          <cell r="R753" t="str">
            <v/>
          </cell>
          <cell r="S753" t="str">
            <v/>
          </cell>
          <cell r="T753" t="str">
            <v/>
          </cell>
          <cell r="U753" t="str">
            <v/>
          </cell>
          <cell r="V753" t="str">
            <v/>
          </cell>
          <cell r="W753">
            <v>0</v>
          </cell>
          <cell r="X753">
            <v>0</v>
          </cell>
          <cell r="Y753" t="str">
            <v/>
          </cell>
          <cell r="Z753" t="str">
            <v>BUY</v>
          </cell>
          <cell r="AA753" t="str">
            <v/>
          </cell>
        </row>
        <row r="754">
          <cell r="A754" t="str">
            <v>A</v>
          </cell>
          <cell r="F754" t="str">
            <v>8856</v>
          </cell>
          <cell r="G754" t="str">
            <v>A</v>
          </cell>
          <cell r="H754">
            <v>15</v>
          </cell>
          <cell r="I754" t="str">
            <v>UB Roof Cap Reserve</v>
          </cell>
          <cell r="J754" t="str">
            <v>UB Roof Cap Reserve</v>
          </cell>
          <cell r="K754">
            <v>0</v>
          </cell>
          <cell r="L754">
            <v>0</v>
          </cell>
          <cell r="M754">
            <v>0</v>
          </cell>
          <cell r="N754">
            <v>0</v>
          </cell>
          <cell r="O754">
            <v>0</v>
          </cell>
          <cell r="P754">
            <v>0</v>
          </cell>
          <cell r="Q754" t="str">
            <v/>
          </cell>
          <cell r="R754" t="str">
            <v/>
          </cell>
          <cell r="S754" t="str">
            <v/>
          </cell>
          <cell r="T754" t="str">
            <v/>
          </cell>
          <cell r="U754" t="str">
            <v/>
          </cell>
          <cell r="V754" t="str">
            <v/>
          </cell>
          <cell r="W754">
            <v>0</v>
          </cell>
          <cell r="X754">
            <v>0</v>
          </cell>
          <cell r="Y754" t="str">
            <v/>
          </cell>
          <cell r="Z754" t="str">
            <v>BUY</v>
          </cell>
          <cell r="AA754" t="str">
            <v/>
          </cell>
        </row>
        <row r="755">
          <cell r="A755" t="str">
            <v>A</v>
          </cell>
          <cell r="F755" t="str">
            <v>8857</v>
          </cell>
          <cell r="G755" t="str">
            <v>A</v>
          </cell>
          <cell r="H755">
            <v>15</v>
          </cell>
          <cell r="I755" t="str">
            <v>UB Ext Wall/Paintg Res</v>
          </cell>
          <cell r="J755" t="str">
            <v>UB Ext Wall/Paintg Res</v>
          </cell>
          <cell r="K755">
            <v>0</v>
          </cell>
          <cell r="L755">
            <v>0</v>
          </cell>
          <cell r="M755">
            <v>0</v>
          </cell>
          <cell r="N755">
            <v>0</v>
          </cell>
          <cell r="O755">
            <v>0</v>
          </cell>
          <cell r="P755">
            <v>0</v>
          </cell>
          <cell r="Q755" t="str">
            <v/>
          </cell>
          <cell r="R755" t="str">
            <v/>
          </cell>
          <cell r="S755" t="str">
            <v/>
          </cell>
          <cell r="T755" t="str">
            <v/>
          </cell>
          <cell r="U755" t="str">
            <v/>
          </cell>
          <cell r="V755" t="str">
            <v/>
          </cell>
          <cell r="W755">
            <v>0</v>
          </cell>
          <cell r="X755">
            <v>0</v>
          </cell>
          <cell r="Y755" t="str">
            <v/>
          </cell>
          <cell r="Z755" t="str">
            <v>BUY</v>
          </cell>
          <cell r="AA755" t="str">
            <v/>
          </cell>
        </row>
        <row r="756">
          <cell r="A756" t="str">
            <v>A</v>
          </cell>
          <cell r="F756" t="str">
            <v>8858</v>
          </cell>
          <cell r="G756" t="str">
            <v>A</v>
          </cell>
          <cell r="H756">
            <v>15</v>
          </cell>
          <cell r="I756" t="str">
            <v>UB Balcony Reserve</v>
          </cell>
          <cell r="J756" t="str">
            <v>UB Balcony Reserve</v>
          </cell>
          <cell r="K756">
            <v>0</v>
          </cell>
          <cell r="L756">
            <v>0</v>
          </cell>
          <cell r="M756">
            <v>0</v>
          </cell>
          <cell r="N756">
            <v>0</v>
          </cell>
          <cell r="O756">
            <v>0</v>
          </cell>
          <cell r="P756">
            <v>0</v>
          </cell>
          <cell r="Q756" t="str">
            <v/>
          </cell>
          <cell r="R756" t="str">
            <v/>
          </cell>
          <cell r="S756" t="str">
            <v/>
          </cell>
          <cell r="T756" t="str">
            <v/>
          </cell>
          <cell r="U756" t="str">
            <v/>
          </cell>
          <cell r="V756" t="str">
            <v/>
          </cell>
          <cell r="W756">
            <v>0</v>
          </cell>
          <cell r="X756">
            <v>0</v>
          </cell>
          <cell r="Y756" t="str">
            <v/>
          </cell>
          <cell r="Z756" t="str">
            <v>BUY</v>
          </cell>
          <cell r="AA756" t="str">
            <v/>
          </cell>
        </row>
        <row r="757">
          <cell r="A757" t="str">
            <v>A</v>
          </cell>
          <cell r="F757" t="str">
            <v>8859</v>
          </cell>
          <cell r="G757" t="str">
            <v>A</v>
          </cell>
          <cell r="H757">
            <v>15</v>
          </cell>
          <cell r="I757" t="str">
            <v>UB Int/Remodeling Res</v>
          </cell>
          <cell r="J757" t="str">
            <v>UB Int/Remodeling Res</v>
          </cell>
          <cell r="K757">
            <v>0</v>
          </cell>
          <cell r="L757">
            <v>0</v>
          </cell>
          <cell r="M757">
            <v>0</v>
          </cell>
          <cell r="N757">
            <v>0</v>
          </cell>
          <cell r="O757">
            <v>0</v>
          </cell>
          <cell r="P757">
            <v>0</v>
          </cell>
          <cell r="Q757" t="str">
            <v/>
          </cell>
          <cell r="R757" t="str">
            <v/>
          </cell>
          <cell r="S757" t="str">
            <v/>
          </cell>
          <cell r="T757" t="str">
            <v/>
          </cell>
          <cell r="U757" t="str">
            <v/>
          </cell>
          <cell r="V757" t="str">
            <v/>
          </cell>
          <cell r="W757">
            <v>0</v>
          </cell>
          <cell r="X757">
            <v>0</v>
          </cell>
          <cell r="Y757" t="str">
            <v/>
          </cell>
          <cell r="Z757" t="str">
            <v>BUY</v>
          </cell>
          <cell r="AA757" t="str">
            <v/>
          </cell>
        </row>
        <row r="758">
          <cell r="A758" t="str">
            <v>A</v>
          </cell>
          <cell r="F758" t="str">
            <v>8860</v>
          </cell>
          <cell r="G758" t="str">
            <v>A</v>
          </cell>
          <cell r="H758">
            <v>15</v>
          </cell>
          <cell r="I758" t="str">
            <v>UB Grounds Capital Res</v>
          </cell>
          <cell r="J758" t="str">
            <v>UB Grounds Capital Res</v>
          </cell>
          <cell r="K758">
            <v>0</v>
          </cell>
          <cell r="L758">
            <v>0</v>
          </cell>
          <cell r="M758">
            <v>0</v>
          </cell>
          <cell r="N758">
            <v>0</v>
          </cell>
          <cell r="O758">
            <v>0</v>
          </cell>
          <cell r="P758">
            <v>0</v>
          </cell>
          <cell r="Q758" t="str">
            <v/>
          </cell>
          <cell r="R758" t="str">
            <v/>
          </cell>
          <cell r="S758" t="str">
            <v/>
          </cell>
          <cell r="T758" t="str">
            <v/>
          </cell>
          <cell r="U758" t="str">
            <v/>
          </cell>
          <cell r="V758" t="str">
            <v/>
          </cell>
          <cell r="W758">
            <v>0</v>
          </cell>
          <cell r="X758">
            <v>0</v>
          </cell>
          <cell r="Y758" t="str">
            <v/>
          </cell>
          <cell r="Z758" t="str">
            <v>BUY</v>
          </cell>
          <cell r="AA758" t="str">
            <v/>
          </cell>
        </row>
        <row r="759">
          <cell r="A759" t="str">
            <v>A</v>
          </cell>
          <cell r="F759" t="str">
            <v>8861</v>
          </cell>
          <cell r="G759" t="str">
            <v>A</v>
          </cell>
          <cell r="H759">
            <v>15</v>
          </cell>
          <cell r="I759" t="str">
            <v>UB Road/Parking Res</v>
          </cell>
          <cell r="J759" t="str">
            <v>UB Road/Parking Res</v>
          </cell>
          <cell r="K759">
            <v>0</v>
          </cell>
          <cell r="L759">
            <v>0</v>
          </cell>
          <cell r="M759">
            <v>0</v>
          </cell>
          <cell r="N759">
            <v>0</v>
          </cell>
          <cell r="O759">
            <v>0</v>
          </cell>
          <cell r="P759">
            <v>0</v>
          </cell>
          <cell r="Q759" t="str">
            <v/>
          </cell>
          <cell r="R759" t="str">
            <v/>
          </cell>
          <cell r="S759" t="str">
            <v/>
          </cell>
          <cell r="T759" t="str">
            <v/>
          </cell>
          <cell r="U759" t="str">
            <v/>
          </cell>
          <cell r="V759" t="str">
            <v/>
          </cell>
          <cell r="W759">
            <v>0</v>
          </cell>
          <cell r="X759">
            <v>0</v>
          </cell>
          <cell r="Y759" t="str">
            <v/>
          </cell>
          <cell r="Z759" t="str">
            <v>BUY</v>
          </cell>
          <cell r="AA759" t="str">
            <v/>
          </cell>
        </row>
        <row r="760">
          <cell r="A760" t="str">
            <v>A</v>
          </cell>
          <cell r="F760" t="str">
            <v>8862</v>
          </cell>
          <cell r="G760" t="str">
            <v>A</v>
          </cell>
          <cell r="H760">
            <v>15</v>
          </cell>
          <cell r="I760" t="str">
            <v>UB Fence Capital Res</v>
          </cell>
          <cell r="J760" t="str">
            <v>UB Fence Capital Res</v>
          </cell>
          <cell r="K760">
            <v>0</v>
          </cell>
          <cell r="L760">
            <v>0</v>
          </cell>
          <cell r="M760">
            <v>0</v>
          </cell>
          <cell r="N760">
            <v>0</v>
          </cell>
          <cell r="O760">
            <v>0</v>
          </cell>
          <cell r="P760">
            <v>0</v>
          </cell>
          <cell r="Q760" t="str">
            <v/>
          </cell>
          <cell r="R760" t="str">
            <v/>
          </cell>
          <cell r="S760" t="str">
            <v/>
          </cell>
          <cell r="T760" t="str">
            <v/>
          </cell>
          <cell r="U760" t="str">
            <v/>
          </cell>
          <cell r="V760" t="str">
            <v/>
          </cell>
          <cell r="W760">
            <v>0</v>
          </cell>
          <cell r="X760">
            <v>0</v>
          </cell>
          <cell r="Y760" t="str">
            <v/>
          </cell>
          <cell r="Z760" t="str">
            <v>BUY</v>
          </cell>
          <cell r="AA760" t="str">
            <v/>
          </cell>
        </row>
        <row r="761">
          <cell r="A761" t="str">
            <v>A</v>
          </cell>
          <cell r="F761" t="str">
            <v>8863</v>
          </cell>
          <cell r="G761" t="str">
            <v>A</v>
          </cell>
          <cell r="H761">
            <v>15</v>
          </cell>
          <cell r="I761" t="str">
            <v>UB Landscape Res</v>
          </cell>
          <cell r="J761" t="str">
            <v>UB Landscape Res</v>
          </cell>
          <cell r="K761">
            <v>0</v>
          </cell>
          <cell r="L761">
            <v>0</v>
          </cell>
          <cell r="M761">
            <v>0</v>
          </cell>
          <cell r="N761">
            <v>0</v>
          </cell>
          <cell r="O761">
            <v>0</v>
          </cell>
          <cell r="P761">
            <v>0</v>
          </cell>
          <cell r="Q761" t="str">
            <v/>
          </cell>
          <cell r="R761" t="str">
            <v/>
          </cell>
          <cell r="S761" t="str">
            <v/>
          </cell>
          <cell r="T761" t="str">
            <v/>
          </cell>
          <cell r="U761" t="str">
            <v/>
          </cell>
          <cell r="V761" t="str">
            <v/>
          </cell>
          <cell r="W761">
            <v>0</v>
          </cell>
          <cell r="X761">
            <v>0</v>
          </cell>
          <cell r="Y761" t="str">
            <v/>
          </cell>
          <cell r="Z761" t="str">
            <v>BUY</v>
          </cell>
          <cell r="AA761" t="str">
            <v/>
          </cell>
        </row>
        <row r="762">
          <cell r="A762" t="str">
            <v>A</v>
          </cell>
          <cell r="F762" t="str">
            <v>8864</v>
          </cell>
          <cell r="G762" t="str">
            <v>A</v>
          </cell>
          <cell r="H762">
            <v>15</v>
          </cell>
          <cell r="I762" t="str">
            <v>UB Lakes,Ponds Res</v>
          </cell>
          <cell r="J762" t="str">
            <v>UB Lakes,Ponds Res</v>
          </cell>
          <cell r="K762">
            <v>0</v>
          </cell>
          <cell r="L762">
            <v>0</v>
          </cell>
          <cell r="M762">
            <v>0</v>
          </cell>
          <cell r="N762">
            <v>0</v>
          </cell>
          <cell r="O762">
            <v>0</v>
          </cell>
          <cell r="P762">
            <v>0</v>
          </cell>
          <cell r="Q762" t="str">
            <v/>
          </cell>
          <cell r="R762" t="str">
            <v/>
          </cell>
          <cell r="S762" t="str">
            <v/>
          </cell>
          <cell r="T762" t="str">
            <v/>
          </cell>
          <cell r="U762" t="str">
            <v/>
          </cell>
          <cell r="V762" t="str">
            <v/>
          </cell>
          <cell r="W762">
            <v>0</v>
          </cell>
          <cell r="X762">
            <v>0</v>
          </cell>
          <cell r="Y762" t="str">
            <v/>
          </cell>
          <cell r="Z762" t="str">
            <v>BUY</v>
          </cell>
          <cell r="AA762" t="str">
            <v/>
          </cell>
        </row>
        <row r="763">
          <cell r="A763" t="str">
            <v>A</v>
          </cell>
          <cell r="F763" t="str">
            <v>8872</v>
          </cell>
          <cell r="G763" t="str">
            <v>A</v>
          </cell>
          <cell r="H763">
            <v>17</v>
          </cell>
          <cell r="I763" t="str">
            <v>Townhome Only AST</v>
          </cell>
          <cell r="J763" t="str">
            <v>Townhome Only AST</v>
          </cell>
          <cell r="K763">
            <v>0</v>
          </cell>
          <cell r="L763">
            <v>0</v>
          </cell>
          <cell r="M763">
            <v>0</v>
          </cell>
          <cell r="N763">
            <v>0</v>
          </cell>
          <cell r="O763">
            <v>0</v>
          </cell>
          <cell r="P763">
            <v>0</v>
          </cell>
          <cell r="Q763" t="str">
            <v/>
          </cell>
          <cell r="R763" t="str">
            <v/>
          </cell>
          <cell r="S763" t="str">
            <v/>
          </cell>
          <cell r="T763" t="str">
            <v/>
          </cell>
          <cell r="U763" t="str">
            <v/>
          </cell>
          <cell r="V763" t="str">
            <v/>
          </cell>
          <cell r="W763">
            <v>0</v>
          </cell>
          <cell r="X763">
            <v>0</v>
          </cell>
          <cell r="Y763" t="str">
            <v/>
          </cell>
          <cell r="Z763" t="str">
            <v>BUY</v>
          </cell>
          <cell r="AA763" t="str">
            <v/>
          </cell>
        </row>
        <row r="764">
          <cell r="A764" t="str">
            <v>A</v>
          </cell>
          <cell r="F764" t="str">
            <v>8873</v>
          </cell>
          <cell r="G764" t="str">
            <v>A</v>
          </cell>
          <cell r="H764">
            <v>17</v>
          </cell>
          <cell r="I764" t="str">
            <v>Building Repairs TH</v>
          </cell>
          <cell r="J764" t="str">
            <v>Building Repairs TH</v>
          </cell>
          <cell r="K764">
            <v>0</v>
          </cell>
          <cell r="L764">
            <v>0</v>
          </cell>
          <cell r="M764">
            <v>0</v>
          </cell>
          <cell r="N764">
            <v>0</v>
          </cell>
          <cell r="O764">
            <v>0</v>
          </cell>
          <cell r="P764">
            <v>0</v>
          </cell>
          <cell r="Q764" t="str">
            <v/>
          </cell>
          <cell r="R764" t="str">
            <v/>
          </cell>
          <cell r="S764" t="str">
            <v/>
          </cell>
          <cell r="T764" t="str">
            <v/>
          </cell>
          <cell r="U764" t="str">
            <v/>
          </cell>
          <cell r="V764" t="str">
            <v/>
          </cell>
          <cell r="W764">
            <v>0</v>
          </cell>
          <cell r="X764">
            <v>0</v>
          </cell>
          <cell r="Y764" t="str">
            <v/>
          </cell>
          <cell r="Z764" t="str">
            <v>BUY</v>
          </cell>
          <cell r="AA764" t="str">
            <v/>
          </cell>
        </row>
        <row r="765">
          <cell r="A765" t="str">
            <v>A</v>
          </cell>
          <cell r="F765" t="str">
            <v>8874</v>
          </cell>
          <cell r="G765" t="str">
            <v>A</v>
          </cell>
          <cell r="H765">
            <v>17</v>
          </cell>
          <cell r="I765" t="str">
            <v>Insurance Townhomes</v>
          </cell>
          <cell r="J765" t="str">
            <v>Insurance Townhomes</v>
          </cell>
          <cell r="K765">
            <v>0</v>
          </cell>
          <cell r="L765">
            <v>0</v>
          </cell>
          <cell r="M765">
            <v>0</v>
          </cell>
          <cell r="N765">
            <v>0</v>
          </cell>
          <cell r="O765">
            <v>0</v>
          </cell>
          <cell r="P765">
            <v>0</v>
          </cell>
          <cell r="Q765" t="str">
            <v/>
          </cell>
          <cell r="R765" t="str">
            <v/>
          </cell>
          <cell r="S765" t="str">
            <v/>
          </cell>
          <cell r="T765" t="str">
            <v/>
          </cell>
          <cell r="U765" t="str">
            <v/>
          </cell>
          <cell r="V765" t="str">
            <v/>
          </cell>
          <cell r="W765">
            <v>0</v>
          </cell>
          <cell r="X765">
            <v>0</v>
          </cell>
          <cell r="Y765" t="str">
            <v/>
          </cell>
          <cell r="Z765" t="str">
            <v>BUY</v>
          </cell>
          <cell r="AA765" t="str">
            <v/>
          </cell>
        </row>
        <row r="766">
          <cell r="A766" t="str">
            <v>A</v>
          </cell>
          <cell r="F766" t="str">
            <v>8874-5</v>
          </cell>
          <cell r="G766" t="str">
            <v>A</v>
          </cell>
          <cell r="H766">
            <v>17</v>
          </cell>
          <cell r="I766" t="str">
            <v>Insurance TH Reimb</v>
          </cell>
          <cell r="J766" t="str">
            <v>Insurance TH Reimb</v>
          </cell>
          <cell r="K766">
            <v>0</v>
          </cell>
          <cell r="L766">
            <v>0</v>
          </cell>
          <cell r="M766">
            <v>0</v>
          </cell>
          <cell r="N766">
            <v>0</v>
          </cell>
          <cell r="O766">
            <v>0</v>
          </cell>
          <cell r="P766">
            <v>0</v>
          </cell>
          <cell r="Q766" t="str">
            <v/>
          </cell>
          <cell r="R766" t="str">
            <v/>
          </cell>
          <cell r="S766" t="str">
            <v/>
          </cell>
          <cell r="T766" t="str">
            <v/>
          </cell>
          <cell r="U766" t="str">
            <v/>
          </cell>
          <cell r="V766" t="str">
            <v/>
          </cell>
          <cell r="W766">
            <v>0</v>
          </cell>
          <cell r="X766">
            <v>0</v>
          </cell>
          <cell r="Y766" t="str">
            <v/>
          </cell>
          <cell r="Z766" t="str">
            <v>BUY</v>
          </cell>
          <cell r="AA766" t="str">
            <v/>
          </cell>
        </row>
        <row r="767">
          <cell r="A767" t="str">
            <v>A</v>
          </cell>
          <cell r="F767" t="str">
            <v>8875</v>
          </cell>
          <cell r="G767" t="str">
            <v>A</v>
          </cell>
          <cell r="H767">
            <v>17</v>
          </cell>
          <cell r="I767" t="str">
            <v>Reserve Transfers TH</v>
          </cell>
          <cell r="J767" t="str">
            <v>Reserve Transfers TH</v>
          </cell>
          <cell r="K767">
            <v>0</v>
          </cell>
          <cell r="L767">
            <v>0</v>
          </cell>
          <cell r="M767">
            <v>0</v>
          </cell>
          <cell r="N767">
            <v>0</v>
          </cell>
          <cell r="O767">
            <v>0</v>
          </cell>
          <cell r="P767">
            <v>0</v>
          </cell>
          <cell r="Q767" t="str">
            <v/>
          </cell>
          <cell r="R767" t="str">
            <v/>
          </cell>
          <cell r="S767" t="str">
            <v/>
          </cell>
          <cell r="T767" t="str">
            <v/>
          </cell>
          <cell r="U767" t="str">
            <v/>
          </cell>
          <cell r="V767" t="str">
            <v/>
          </cell>
          <cell r="W767">
            <v>0</v>
          </cell>
          <cell r="X767">
            <v>0</v>
          </cell>
          <cell r="Y767" t="str">
            <v/>
          </cell>
          <cell r="Z767" t="str">
            <v>BUY</v>
          </cell>
          <cell r="AA767" t="str">
            <v/>
          </cell>
        </row>
        <row r="768">
          <cell r="A768" t="str">
            <v>A</v>
          </cell>
          <cell r="F768" t="str">
            <v>8876</v>
          </cell>
          <cell r="G768" t="str">
            <v>A</v>
          </cell>
          <cell r="H768">
            <v>17</v>
          </cell>
          <cell r="I768" t="str">
            <v>Contingency Provision TH</v>
          </cell>
          <cell r="J768" t="str">
            <v>Contingency Provision TH</v>
          </cell>
          <cell r="K768">
            <v>0</v>
          </cell>
          <cell r="L768">
            <v>0</v>
          </cell>
          <cell r="M768">
            <v>0</v>
          </cell>
          <cell r="N768">
            <v>0</v>
          </cell>
          <cell r="O768">
            <v>0</v>
          </cell>
          <cell r="P768">
            <v>0</v>
          </cell>
          <cell r="Q768" t="str">
            <v/>
          </cell>
          <cell r="R768" t="str">
            <v/>
          </cell>
          <cell r="S768" t="str">
            <v/>
          </cell>
          <cell r="T768" t="str">
            <v/>
          </cell>
          <cell r="U768" t="str">
            <v/>
          </cell>
          <cell r="V768" t="str">
            <v/>
          </cell>
          <cell r="W768">
            <v>0</v>
          </cell>
          <cell r="X768">
            <v>0</v>
          </cell>
          <cell r="Y768" t="str">
            <v/>
          </cell>
          <cell r="Z768" t="str">
            <v>BUY</v>
          </cell>
          <cell r="AA768" t="str">
            <v/>
          </cell>
        </row>
        <row r="769">
          <cell r="A769" t="str">
            <v>A</v>
          </cell>
          <cell r="F769" t="str">
            <v>8877</v>
          </cell>
          <cell r="G769" t="str">
            <v>A</v>
          </cell>
          <cell r="H769">
            <v>17</v>
          </cell>
          <cell r="I769" t="str">
            <v>Income Taxes TH</v>
          </cell>
          <cell r="J769" t="str">
            <v>Income Taxes TH</v>
          </cell>
          <cell r="K769">
            <v>0</v>
          </cell>
          <cell r="L769">
            <v>0</v>
          </cell>
          <cell r="M769">
            <v>0</v>
          </cell>
          <cell r="N769">
            <v>0</v>
          </cell>
          <cell r="O769">
            <v>0</v>
          </cell>
          <cell r="P769">
            <v>0</v>
          </cell>
          <cell r="Q769" t="str">
            <v/>
          </cell>
          <cell r="R769" t="str">
            <v/>
          </cell>
          <cell r="S769" t="str">
            <v/>
          </cell>
          <cell r="T769" t="str">
            <v/>
          </cell>
          <cell r="U769" t="str">
            <v/>
          </cell>
          <cell r="V769" t="str">
            <v/>
          </cell>
          <cell r="W769">
            <v>0</v>
          </cell>
          <cell r="X769">
            <v>0</v>
          </cell>
          <cell r="Y769" t="str">
            <v/>
          </cell>
          <cell r="Z769" t="str">
            <v>BUY</v>
          </cell>
          <cell r="AA769" t="str">
            <v/>
          </cell>
        </row>
        <row r="770">
          <cell r="A770" t="str">
            <v>A</v>
          </cell>
          <cell r="F770" t="str">
            <v>8878</v>
          </cell>
          <cell r="G770" t="str">
            <v>A</v>
          </cell>
          <cell r="H770">
            <v>17</v>
          </cell>
          <cell r="I770" t="str">
            <v>Bad Debt Write-Offs</v>
          </cell>
          <cell r="J770" t="str">
            <v>Bad Debt Write-Offs</v>
          </cell>
          <cell r="K770">
            <v>0</v>
          </cell>
          <cell r="L770">
            <v>0</v>
          </cell>
          <cell r="M770">
            <v>0</v>
          </cell>
          <cell r="N770">
            <v>0</v>
          </cell>
          <cell r="O770">
            <v>0</v>
          </cell>
          <cell r="P770">
            <v>0</v>
          </cell>
          <cell r="Q770" t="str">
            <v/>
          </cell>
          <cell r="R770" t="str">
            <v/>
          </cell>
          <cell r="S770" t="str">
            <v/>
          </cell>
          <cell r="T770" t="str">
            <v/>
          </cell>
          <cell r="U770" t="str">
            <v/>
          </cell>
          <cell r="V770" t="str">
            <v/>
          </cell>
          <cell r="W770">
            <v>0</v>
          </cell>
          <cell r="X770">
            <v>0</v>
          </cell>
          <cell r="Y770" t="str">
            <v/>
          </cell>
          <cell r="Z770" t="str">
            <v>BUY</v>
          </cell>
          <cell r="AA770" t="str">
            <v/>
          </cell>
        </row>
        <row r="771">
          <cell r="A771" t="str">
            <v>A</v>
          </cell>
          <cell r="F771" t="str">
            <v>8879</v>
          </cell>
          <cell r="G771" t="str">
            <v>A</v>
          </cell>
          <cell r="H771">
            <v>17</v>
          </cell>
          <cell r="I771" t="str">
            <v>Painting TH</v>
          </cell>
          <cell r="J771" t="str">
            <v>Painting TH</v>
          </cell>
          <cell r="K771">
            <v>0</v>
          </cell>
          <cell r="L771">
            <v>0</v>
          </cell>
          <cell r="M771">
            <v>0</v>
          </cell>
          <cell r="N771">
            <v>0</v>
          </cell>
          <cell r="O771">
            <v>0</v>
          </cell>
          <cell r="P771">
            <v>0</v>
          </cell>
          <cell r="Q771" t="str">
            <v/>
          </cell>
          <cell r="R771" t="str">
            <v/>
          </cell>
          <cell r="S771" t="str">
            <v/>
          </cell>
          <cell r="T771" t="str">
            <v/>
          </cell>
          <cell r="U771" t="str">
            <v/>
          </cell>
          <cell r="V771" t="str">
            <v/>
          </cell>
          <cell r="W771">
            <v>0</v>
          </cell>
          <cell r="X771">
            <v>0</v>
          </cell>
          <cell r="Y771" t="str">
            <v/>
          </cell>
          <cell r="Z771" t="str">
            <v>BUY</v>
          </cell>
          <cell r="AA771" t="str">
            <v/>
          </cell>
        </row>
        <row r="772">
          <cell r="A772" t="str">
            <v>A</v>
          </cell>
          <cell r="F772" t="str">
            <v>8880</v>
          </cell>
          <cell r="G772" t="str">
            <v>A</v>
          </cell>
          <cell r="H772">
            <v>17</v>
          </cell>
          <cell r="I772" t="str">
            <v>Maintenance TH</v>
          </cell>
          <cell r="J772" t="str">
            <v>Maintenance TH</v>
          </cell>
          <cell r="K772">
            <v>0</v>
          </cell>
          <cell r="L772">
            <v>0</v>
          </cell>
          <cell r="M772">
            <v>0</v>
          </cell>
          <cell r="N772">
            <v>0</v>
          </cell>
          <cell r="O772">
            <v>0</v>
          </cell>
          <cell r="P772">
            <v>0</v>
          </cell>
          <cell r="Q772" t="str">
            <v/>
          </cell>
          <cell r="R772" t="str">
            <v/>
          </cell>
          <cell r="S772" t="str">
            <v/>
          </cell>
          <cell r="T772" t="str">
            <v/>
          </cell>
          <cell r="U772" t="str">
            <v/>
          </cell>
          <cell r="V772" t="str">
            <v/>
          </cell>
          <cell r="W772">
            <v>0</v>
          </cell>
          <cell r="X772">
            <v>0</v>
          </cell>
          <cell r="Y772" t="str">
            <v/>
          </cell>
          <cell r="Z772" t="str">
            <v>BUY</v>
          </cell>
          <cell r="AA772" t="str">
            <v/>
          </cell>
        </row>
        <row r="773">
          <cell r="A773" t="str">
            <v>A</v>
          </cell>
          <cell r="F773" t="str">
            <v>8881</v>
          </cell>
          <cell r="G773" t="str">
            <v>A</v>
          </cell>
          <cell r="H773">
            <v>17</v>
          </cell>
          <cell r="I773" t="str">
            <v>Roofs TH</v>
          </cell>
          <cell r="J773" t="str">
            <v>Roofs TH</v>
          </cell>
          <cell r="K773">
            <v>0</v>
          </cell>
          <cell r="L773">
            <v>0</v>
          </cell>
          <cell r="M773">
            <v>0</v>
          </cell>
          <cell r="N773">
            <v>0</v>
          </cell>
          <cell r="O773">
            <v>0</v>
          </cell>
          <cell r="P773">
            <v>0</v>
          </cell>
          <cell r="Q773" t="str">
            <v/>
          </cell>
          <cell r="R773" t="str">
            <v/>
          </cell>
          <cell r="S773" t="str">
            <v/>
          </cell>
          <cell r="T773" t="str">
            <v/>
          </cell>
          <cell r="U773" t="str">
            <v/>
          </cell>
          <cell r="V773" t="str">
            <v/>
          </cell>
          <cell r="W773">
            <v>0</v>
          </cell>
          <cell r="X773">
            <v>0</v>
          </cell>
          <cell r="Y773" t="str">
            <v/>
          </cell>
          <cell r="Z773" t="str">
            <v>BUY</v>
          </cell>
          <cell r="AA773" t="str">
            <v/>
          </cell>
        </row>
        <row r="774">
          <cell r="A774" t="str">
            <v>A</v>
          </cell>
          <cell r="F774" t="str">
            <v>8882</v>
          </cell>
          <cell r="G774" t="str">
            <v>A</v>
          </cell>
          <cell r="H774">
            <v>17</v>
          </cell>
          <cell r="I774" t="str">
            <v>Gutters TH</v>
          </cell>
          <cell r="J774" t="str">
            <v>Gutters TH</v>
          </cell>
          <cell r="K774">
            <v>0</v>
          </cell>
          <cell r="L774">
            <v>0</v>
          </cell>
          <cell r="M774">
            <v>0</v>
          </cell>
          <cell r="N774">
            <v>0</v>
          </cell>
          <cell r="O774">
            <v>0</v>
          </cell>
          <cell r="P774">
            <v>0</v>
          </cell>
          <cell r="Q774" t="str">
            <v/>
          </cell>
          <cell r="R774" t="str">
            <v/>
          </cell>
          <cell r="S774" t="str">
            <v/>
          </cell>
          <cell r="T774" t="str">
            <v/>
          </cell>
          <cell r="U774" t="str">
            <v/>
          </cell>
          <cell r="V774" t="str">
            <v/>
          </cell>
          <cell r="W774">
            <v>0</v>
          </cell>
          <cell r="X774">
            <v>0</v>
          </cell>
          <cell r="Y774" t="str">
            <v/>
          </cell>
          <cell r="Z774" t="str">
            <v>BUY</v>
          </cell>
          <cell r="AA774" t="str">
            <v/>
          </cell>
        </row>
        <row r="775">
          <cell r="A775" t="str">
            <v>A</v>
          </cell>
          <cell r="F775" t="str">
            <v>8883</v>
          </cell>
          <cell r="G775" t="str">
            <v>A</v>
          </cell>
          <cell r="H775">
            <v>17</v>
          </cell>
          <cell r="I775" t="str">
            <v>Structural TH</v>
          </cell>
          <cell r="J775" t="str">
            <v>Structural TH</v>
          </cell>
          <cell r="K775">
            <v>0</v>
          </cell>
          <cell r="L775">
            <v>0</v>
          </cell>
          <cell r="M775">
            <v>0</v>
          </cell>
          <cell r="N775">
            <v>0</v>
          </cell>
          <cell r="O775">
            <v>0</v>
          </cell>
          <cell r="P775">
            <v>0</v>
          </cell>
          <cell r="Q775" t="str">
            <v/>
          </cell>
          <cell r="R775" t="str">
            <v/>
          </cell>
          <cell r="S775" t="str">
            <v/>
          </cell>
          <cell r="T775" t="str">
            <v/>
          </cell>
          <cell r="U775" t="str">
            <v/>
          </cell>
          <cell r="V775" t="str">
            <v/>
          </cell>
          <cell r="W775">
            <v>0</v>
          </cell>
          <cell r="X775">
            <v>0</v>
          </cell>
          <cell r="Y775" t="str">
            <v/>
          </cell>
          <cell r="Z775" t="str">
            <v>BUY</v>
          </cell>
          <cell r="AA775" t="str">
            <v/>
          </cell>
        </row>
        <row r="776">
          <cell r="A776" t="str">
            <v>B</v>
          </cell>
          <cell r="F776" t="str">
            <v>8910</v>
          </cell>
          <cell r="G776" t="str">
            <v>B</v>
          </cell>
          <cell r="H776">
            <v>18</v>
          </cell>
          <cell r="I776" t="str">
            <v>Special Assessment Inc</v>
          </cell>
          <cell r="J776" t="str">
            <v>Special Assessment Inc</v>
          </cell>
          <cell r="K776">
            <v>0</v>
          </cell>
          <cell r="L776">
            <v>0</v>
          </cell>
          <cell r="M776">
            <v>0</v>
          </cell>
          <cell r="N776">
            <v>0</v>
          </cell>
          <cell r="O776">
            <v>0</v>
          </cell>
          <cell r="P776">
            <v>0</v>
          </cell>
          <cell r="Q776" t="str">
            <v/>
          </cell>
          <cell r="R776" t="str">
            <v/>
          </cell>
          <cell r="S776" t="str">
            <v/>
          </cell>
          <cell r="T776" t="str">
            <v/>
          </cell>
          <cell r="U776" t="str">
            <v/>
          </cell>
          <cell r="V776" t="str">
            <v/>
          </cell>
          <cell r="W776">
            <v>0</v>
          </cell>
          <cell r="X776">
            <v>0</v>
          </cell>
          <cell r="Y776" t="str">
            <v/>
          </cell>
          <cell r="Z776" t="str">
            <v>BUY</v>
          </cell>
          <cell r="AA776" t="str">
            <v/>
          </cell>
        </row>
        <row r="777">
          <cell r="A777" t="str">
            <v>B</v>
          </cell>
          <cell r="F777" t="str">
            <v>8910-1</v>
          </cell>
          <cell r="G777" t="str">
            <v>B</v>
          </cell>
          <cell r="H777">
            <v>18</v>
          </cell>
          <cell r="I777" t="str">
            <v>Special Assessment Income</v>
          </cell>
          <cell r="J777" t="str">
            <v>Special Assessment Income</v>
          </cell>
          <cell r="K777">
            <v>0</v>
          </cell>
          <cell r="L777">
            <v>0</v>
          </cell>
          <cell r="M777">
            <v>0</v>
          </cell>
          <cell r="N777">
            <v>0</v>
          </cell>
          <cell r="O777">
            <v>0</v>
          </cell>
          <cell r="P777">
            <v>0</v>
          </cell>
          <cell r="Q777" t="str">
            <v/>
          </cell>
          <cell r="R777" t="str">
            <v/>
          </cell>
          <cell r="S777" t="str">
            <v/>
          </cell>
          <cell r="T777" t="str">
            <v/>
          </cell>
          <cell r="U777" t="str">
            <v/>
          </cell>
          <cell r="V777" t="str">
            <v/>
          </cell>
          <cell r="W777">
            <v>0</v>
          </cell>
          <cell r="X777">
            <v>0</v>
          </cell>
          <cell r="Y777" t="str">
            <v/>
          </cell>
          <cell r="Z777" t="str">
            <v>BUY</v>
          </cell>
          <cell r="AA777" t="str">
            <v/>
          </cell>
        </row>
        <row r="778">
          <cell r="A778" t="str">
            <v>B</v>
          </cell>
          <cell r="F778" t="str">
            <v>8910-5</v>
          </cell>
          <cell r="G778" t="str">
            <v>B</v>
          </cell>
          <cell r="H778">
            <v>18</v>
          </cell>
          <cell r="I778" t="str">
            <v>Special Assessment Credit</v>
          </cell>
          <cell r="J778" t="str">
            <v>Special Assessment Credit</v>
          </cell>
          <cell r="K778">
            <v>0</v>
          </cell>
          <cell r="L778">
            <v>0</v>
          </cell>
          <cell r="M778">
            <v>0</v>
          </cell>
          <cell r="N778">
            <v>0</v>
          </cell>
          <cell r="O778">
            <v>0</v>
          </cell>
          <cell r="P778">
            <v>0</v>
          </cell>
          <cell r="Q778" t="str">
            <v/>
          </cell>
          <cell r="R778" t="str">
            <v/>
          </cell>
          <cell r="S778" t="str">
            <v/>
          </cell>
          <cell r="T778" t="str">
            <v/>
          </cell>
          <cell r="U778" t="str">
            <v/>
          </cell>
          <cell r="V778" t="str">
            <v/>
          </cell>
          <cell r="W778">
            <v>0</v>
          </cell>
          <cell r="X778">
            <v>0</v>
          </cell>
          <cell r="Y778" t="str">
            <v/>
          </cell>
          <cell r="Z778" t="str">
            <v>BUY</v>
          </cell>
          <cell r="AA778" t="str">
            <v/>
          </cell>
        </row>
        <row r="779">
          <cell r="A779" t="str">
            <v>B</v>
          </cell>
          <cell r="F779" t="str">
            <v>8911</v>
          </cell>
          <cell r="G779" t="str">
            <v>B</v>
          </cell>
          <cell r="H779">
            <v>18</v>
          </cell>
          <cell r="I779" t="str">
            <v>S/A Income, Sep Fund</v>
          </cell>
          <cell r="J779" t="str">
            <v>S/A Income, Sep Fund</v>
          </cell>
          <cell r="K779">
            <v>0</v>
          </cell>
          <cell r="L779">
            <v>0</v>
          </cell>
          <cell r="M779">
            <v>0</v>
          </cell>
          <cell r="N779">
            <v>0</v>
          </cell>
          <cell r="O779">
            <v>0</v>
          </cell>
          <cell r="P779">
            <v>0</v>
          </cell>
          <cell r="Q779" t="str">
            <v/>
          </cell>
          <cell r="R779" t="str">
            <v/>
          </cell>
          <cell r="S779" t="str">
            <v/>
          </cell>
          <cell r="T779" t="str">
            <v/>
          </cell>
          <cell r="U779" t="str">
            <v/>
          </cell>
          <cell r="V779" t="str">
            <v/>
          </cell>
          <cell r="W779">
            <v>0</v>
          </cell>
          <cell r="X779">
            <v>0</v>
          </cell>
          <cell r="Y779" t="str">
            <v/>
          </cell>
          <cell r="Z779" t="str">
            <v>BUY</v>
          </cell>
          <cell r="AA779" t="str">
            <v/>
          </cell>
        </row>
        <row r="780">
          <cell r="A780" t="str">
            <v>B</v>
          </cell>
          <cell r="F780" t="str">
            <v>8912</v>
          </cell>
          <cell r="G780" t="str">
            <v>B</v>
          </cell>
          <cell r="H780">
            <v>18</v>
          </cell>
          <cell r="I780" t="str">
            <v>S/A Developer Deficits</v>
          </cell>
          <cell r="J780" t="str">
            <v>S/A Developer Deficits</v>
          </cell>
          <cell r="K780">
            <v>0</v>
          </cell>
          <cell r="L780">
            <v>0</v>
          </cell>
          <cell r="M780">
            <v>0</v>
          </cell>
          <cell r="N780">
            <v>0</v>
          </cell>
          <cell r="O780">
            <v>0</v>
          </cell>
          <cell r="P780">
            <v>0</v>
          </cell>
          <cell r="Q780" t="str">
            <v/>
          </cell>
          <cell r="R780" t="str">
            <v/>
          </cell>
          <cell r="S780" t="str">
            <v/>
          </cell>
          <cell r="T780" t="str">
            <v/>
          </cell>
          <cell r="U780" t="str">
            <v/>
          </cell>
          <cell r="V780" t="str">
            <v/>
          </cell>
          <cell r="W780">
            <v>0</v>
          </cell>
          <cell r="X780">
            <v>0</v>
          </cell>
          <cell r="Y780" t="str">
            <v/>
          </cell>
          <cell r="Z780" t="str">
            <v>BUY</v>
          </cell>
          <cell r="AA780" t="str">
            <v/>
          </cell>
        </row>
        <row r="781">
          <cell r="A781" t="str">
            <v>B</v>
          </cell>
          <cell r="F781" t="str">
            <v>8915</v>
          </cell>
          <cell r="G781" t="str">
            <v>B</v>
          </cell>
          <cell r="H781">
            <v>18</v>
          </cell>
          <cell r="I781" t="str">
            <v>Special Assmt-OLD</v>
          </cell>
          <cell r="J781" t="str">
            <v>Special Assmt-OLD</v>
          </cell>
          <cell r="K781">
            <v>0</v>
          </cell>
          <cell r="L781">
            <v>0</v>
          </cell>
          <cell r="M781">
            <v>0</v>
          </cell>
          <cell r="N781">
            <v>0</v>
          </cell>
          <cell r="O781">
            <v>0</v>
          </cell>
          <cell r="P781">
            <v>0</v>
          </cell>
          <cell r="Q781" t="str">
            <v/>
          </cell>
          <cell r="R781" t="str">
            <v/>
          </cell>
          <cell r="S781" t="str">
            <v/>
          </cell>
          <cell r="T781" t="str">
            <v/>
          </cell>
          <cell r="U781" t="str">
            <v/>
          </cell>
          <cell r="V781" t="str">
            <v/>
          </cell>
          <cell r="W781">
            <v>0</v>
          </cell>
          <cell r="X781">
            <v>0</v>
          </cell>
          <cell r="Y781" t="str">
            <v/>
          </cell>
          <cell r="Z781" t="str">
            <v>BUY</v>
          </cell>
          <cell r="AA781" t="str">
            <v/>
          </cell>
        </row>
        <row r="782">
          <cell r="A782" t="str">
            <v>B</v>
          </cell>
          <cell r="F782" t="str">
            <v>8921</v>
          </cell>
          <cell r="G782" t="str">
            <v>B</v>
          </cell>
          <cell r="H782">
            <v>19</v>
          </cell>
          <cell r="I782" t="str">
            <v>S/A Funds Pd to Vendors</v>
          </cell>
          <cell r="J782" t="str">
            <v>S/A Funds Pd to Vendors</v>
          </cell>
          <cell r="K782">
            <v>0</v>
          </cell>
          <cell r="L782">
            <v>0</v>
          </cell>
          <cell r="M782">
            <v>0</v>
          </cell>
          <cell r="N782">
            <v>0</v>
          </cell>
          <cell r="O782">
            <v>0</v>
          </cell>
          <cell r="P782">
            <v>0</v>
          </cell>
          <cell r="Q782" t="str">
            <v/>
          </cell>
          <cell r="R782" t="str">
            <v/>
          </cell>
          <cell r="S782" t="str">
            <v/>
          </cell>
          <cell r="T782" t="str">
            <v/>
          </cell>
          <cell r="U782" t="str">
            <v/>
          </cell>
          <cell r="V782" t="str">
            <v/>
          </cell>
          <cell r="W782">
            <v>0</v>
          </cell>
          <cell r="X782">
            <v>0</v>
          </cell>
          <cell r="Y782" t="str">
            <v/>
          </cell>
          <cell r="Z782" t="str">
            <v>BUY</v>
          </cell>
          <cell r="AA782" t="str">
            <v/>
          </cell>
        </row>
        <row r="783">
          <cell r="A783" t="str">
            <v>B</v>
          </cell>
          <cell r="F783" t="str">
            <v>8921-1</v>
          </cell>
          <cell r="G783" t="str">
            <v>B</v>
          </cell>
          <cell r="H783">
            <v>19</v>
          </cell>
          <cell r="I783" t="str">
            <v>S/A Funds Pd to Vendors</v>
          </cell>
          <cell r="J783" t="str">
            <v>S/A Funds Pd to Vendors</v>
          </cell>
          <cell r="K783">
            <v>0</v>
          </cell>
          <cell r="L783">
            <v>0</v>
          </cell>
          <cell r="M783">
            <v>0</v>
          </cell>
          <cell r="N783">
            <v>0</v>
          </cell>
          <cell r="O783">
            <v>0</v>
          </cell>
          <cell r="P783">
            <v>0</v>
          </cell>
          <cell r="Q783" t="str">
            <v/>
          </cell>
          <cell r="R783" t="str">
            <v/>
          </cell>
          <cell r="S783" t="str">
            <v/>
          </cell>
          <cell r="T783" t="str">
            <v/>
          </cell>
          <cell r="U783" t="str">
            <v/>
          </cell>
          <cell r="V783" t="str">
            <v/>
          </cell>
          <cell r="W783">
            <v>0</v>
          </cell>
          <cell r="X783">
            <v>0</v>
          </cell>
          <cell r="Y783" t="str">
            <v/>
          </cell>
          <cell r="Z783" t="str">
            <v>BUY</v>
          </cell>
          <cell r="AA783" t="str">
            <v/>
          </cell>
        </row>
        <row r="784">
          <cell r="A784" t="str">
            <v>B</v>
          </cell>
          <cell r="F784" t="str">
            <v>8921-2</v>
          </cell>
          <cell r="G784" t="str">
            <v>B</v>
          </cell>
          <cell r="H784">
            <v>19</v>
          </cell>
          <cell r="I784" t="str">
            <v>S/A Funds Pd to Vendors</v>
          </cell>
          <cell r="J784" t="str">
            <v>S/A Funds Pd to Vendors</v>
          </cell>
          <cell r="K784">
            <v>0</v>
          </cell>
          <cell r="L784">
            <v>0</v>
          </cell>
          <cell r="M784">
            <v>0</v>
          </cell>
          <cell r="N784">
            <v>0</v>
          </cell>
          <cell r="O784">
            <v>0</v>
          </cell>
          <cell r="P784">
            <v>0</v>
          </cell>
          <cell r="Q784" t="str">
            <v/>
          </cell>
          <cell r="R784" t="str">
            <v/>
          </cell>
          <cell r="S784" t="str">
            <v/>
          </cell>
          <cell r="T784" t="str">
            <v/>
          </cell>
          <cell r="U784" t="str">
            <v/>
          </cell>
          <cell r="V784" t="str">
            <v/>
          </cell>
          <cell r="W784">
            <v>0</v>
          </cell>
          <cell r="X784">
            <v>0</v>
          </cell>
          <cell r="Y784" t="str">
            <v/>
          </cell>
          <cell r="Z784" t="str">
            <v>BUY</v>
          </cell>
          <cell r="AA784" t="str">
            <v/>
          </cell>
        </row>
        <row r="785">
          <cell r="A785" t="str">
            <v>B</v>
          </cell>
          <cell r="F785" t="str">
            <v>8921-3</v>
          </cell>
          <cell r="G785" t="str">
            <v>B</v>
          </cell>
          <cell r="H785">
            <v>19</v>
          </cell>
          <cell r="I785" t="str">
            <v>S/A Funds Pd to Vendors</v>
          </cell>
          <cell r="J785" t="str">
            <v>S/A Funds Pd to Vendors</v>
          </cell>
          <cell r="K785">
            <v>0</v>
          </cell>
          <cell r="L785">
            <v>0</v>
          </cell>
          <cell r="M785">
            <v>0</v>
          </cell>
          <cell r="N785">
            <v>0</v>
          </cell>
          <cell r="O785">
            <v>0</v>
          </cell>
          <cell r="P785">
            <v>0</v>
          </cell>
          <cell r="Q785" t="str">
            <v/>
          </cell>
          <cell r="R785" t="str">
            <v/>
          </cell>
          <cell r="S785" t="str">
            <v/>
          </cell>
          <cell r="T785" t="str">
            <v/>
          </cell>
          <cell r="U785" t="str">
            <v/>
          </cell>
          <cell r="V785" t="str">
            <v/>
          </cell>
          <cell r="W785">
            <v>0</v>
          </cell>
          <cell r="X785">
            <v>0</v>
          </cell>
          <cell r="Y785" t="str">
            <v/>
          </cell>
          <cell r="Z785" t="str">
            <v>BUY</v>
          </cell>
          <cell r="AA785" t="str">
            <v/>
          </cell>
        </row>
        <row r="786">
          <cell r="A786" t="str">
            <v>B</v>
          </cell>
          <cell r="F786" t="str">
            <v>8922</v>
          </cell>
          <cell r="G786" t="str">
            <v>B</v>
          </cell>
          <cell r="H786">
            <v>19</v>
          </cell>
          <cell r="I786" t="str">
            <v>Special Assessment Expense</v>
          </cell>
          <cell r="J786" t="str">
            <v>Special Assessment Expense</v>
          </cell>
          <cell r="K786">
            <v>0</v>
          </cell>
          <cell r="L786">
            <v>0</v>
          </cell>
          <cell r="M786">
            <v>0</v>
          </cell>
          <cell r="N786">
            <v>0</v>
          </cell>
          <cell r="O786">
            <v>0</v>
          </cell>
          <cell r="P786">
            <v>0</v>
          </cell>
          <cell r="Q786" t="str">
            <v/>
          </cell>
          <cell r="R786" t="str">
            <v/>
          </cell>
          <cell r="S786" t="str">
            <v/>
          </cell>
          <cell r="T786" t="str">
            <v/>
          </cell>
          <cell r="U786" t="str">
            <v/>
          </cell>
          <cell r="V786" t="str">
            <v/>
          </cell>
          <cell r="W786">
            <v>0</v>
          </cell>
          <cell r="X786">
            <v>0</v>
          </cell>
          <cell r="Y786" t="str">
            <v/>
          </cell>
          <cell r="Z786" t="str">
            <v>BUY</v>
          </cell>
          <cell r="AA786" t="str">
            <v/>
          </cell>
        </row>
        <row r="787">
          <cell r="A787" t="str">
            <v>B</v>
          </cell>
          <cell r="F787" t="str">
            <v>8923</v>
          </cell>
          <cell r="G787" t="str">
            <v>B</v>
          </cell>
          <cell r="H787">
            <v>19</v>
          </cell>
          <cell r="I787" t="str">
            <v>S/A Expense:</v>
          </cell>
          <cell r="J787" t="str">
            <v>S/A Expense:</v>
          </cell>
          <cell r="K787">
            <v>0</v>
          </cell>
          <cell r="L787">
            <v>0</v>
          </cell>
          <cell r="M787">
            <v>0</v>
          </cell>
          <cell r="N787">
            <v>0</v>
          </cell>
          <cell r="O787">
            <v>0</v>
          </cell>
          <cell r="P787">
            <v>0</v>
          </cell>
          <cell r="Q787" t="str">
            <v/>
          </cell>
          <cell r="R787" t="str">
            <v/>
          </cell>
          <cell r="S787" t="str">
            <v/>
          </cell>
          <cell r="T787" t="str">
            <v/>
          </cell>
          <cell r="U787" t="str">
            <v/>
          </cell>
          <cell r="V787" t="str">
            <v/>
          </cell>
          <cell r="W787">
            <v>0</v>
          </cell>
          <cell r="X787">
            <v>0</v>
          </cell>
          <cell r="Y787" t="str">
            <v/>
          </cell>
          <cell r="Z787" t="str">
            <v>BUY</v>
          </cell>
          <cell r="AA787" t="str">
            <v/>
          </cell>
        </row>
        <row r="788">
          <cell r="A788" t="str">
            <v>B</v>
          </cell>
          <cell r="F788" t="str">
            <v>8924</v>
          </cell>
          <cell r="G788" t="str">
            <v>B</v>
          </cell>
          <cell r="H788">
            <v>19</v>
          </cell>
          <cell r="I788" t="str">
            <v>S/A Expense:___________</v>
          </cell>
          <cell r="J788" t="str">
            <v>S/A Expense:___________</v>
          </cell>
          <cell r="K788">
            <v>0</v>
          </cell>
          <cell r="L788">
            <v>0</v>
          </cell>
          <cell r="M788">
            <v>0</v>
          </cell>
          <cell r="N788">
            <v>0</v>
          </cell>
          <cell r="O788">
            <v>0</v>
          </cell>
          <cell r="P788">
            <v>0</v>
          </cell>
          <cell r="Q788" t="str">
            <v/>
          </cell>
          <cell r="R788" t="str">
            <v/>
          </cell>
          <cell r="S788" t="str">
            <v/>
          </cell>
          <cell r="T788" t="str">
            <v/>
          </cell>
          <cell r="U788" t="str">
            <v/>
          </cell>
          <cell r="V788" t="str">
            <v/>
          </cell>
          <cell r="W788">
            <v>0</v>
          </cell>
          <cell r="X788">
            <v>0</v>
          </cell>
          <cell r="Y788" t="str">
            <v/>
          </cell>
          <cell r="Z788" t="str">
            <v>BUY</v>
          </cell>
          <cell r="AA788" t="str">
            <v/>
          </cell>
        </row>
        <row r="789">
          <cell r="A789" t="str">
            <v>B</v>
          </cell>
          <cell r="F789" t="str">
            <v>8925</v>
          </cell>
          <cell r="G789" t="str">
            <v>B</v>
          </cell>
          <cell r="H789">
            <v>19</v>
          </cell>
          <cell r="I789" t="str">
            <v>S/A Expense:___________</v>
          </cell>
          <cell r="J789" t="str">
            <v>S/A Expense:___________</v>
          </cell>
          <cell r="K789">
            <v>0</v>
          </cell>
          <cell r="L789">
            <v>0</v>
          </cell>
          <cell r="M789">
            <v>0</v>
          </cell>
          <cell r="N789">
            <v>0</v>
          </cell>
          <cell r="O789">
            <v>0</v>
          </cell>
          <cell r="P789">
            <v>0</v>
          </cell>
          <cell r="Q789" t="str">
            <v/>
          </cell>
          <cell r="R789" t="str">
            <v/>
          </cell>
          <cell r="S789" t="str">
            <v/>
          </cell>
          <cell r="T789" t="str">
            <v/>
          </cell>
          <cell r="U789" t="str">
            <v/>
          </cell>
          <cell r="V789" t="str">
            <v/>
          </cell>
          <cell r="W789">
            <v>0</v>
          </cell>
          <cell r="X789">
            <v>0</v>
          </cell>
          <cell r="Y789" t="str">
            <v/>
          </cell>
          <cell r="Z789" t="str">
            <v>BUY</v>
          </cell>
          <cell r="AA789" t="str">
            <v/>
          </cell>
        </row>
        <row r="790">
          <cell r="A790" t="str">
            <v>B</v>
          </cell>
          <cell r="F790" t="str">
            <v>8950</v>
          </cell>
          <cell r="G790" t="str">
            <v>B</v>
          </cell>
          <cell r="H790">
            <v>19</v>
          </cell>
          <cell r="I790" t="str">
            <v>Prior Period Activities</v>
          </cell>
          <cell r="J790" t="str">
            <v>Prior Period Activities</v>
          </cell>
          <cell r="K790">
            <v>0</v>
          </cell>
          <cell r="L790">
            <v>0</v>
          </cell>
          <cell r="M790">
            <v>0</v>
          </cell>
          <cell r="N790">
            <v>0</v>
          </cell>
          <cell r="O790">
            <v>0</v>
          </cell>
          <cell r="P790">
            <v>0</v>
          </cell>
          <cell r="Q790" t="str">
            <v/>
          </cell>
          <cell r="R790" t="str">
            <v/>
          </cell>
          <cell r="S790" t="str">
            <v/>
          </cell>
          <cell r="T790" t="str">
            <v/>
          </cell>
          <cell r="U790" t="str">
            <v/>
          </cell>
          <cell r="V790" t="str">
            <v/>
          </cell>
          <cell r="W790">
            <v>0</v>
          </cell>
          <cell r="X790">
            <v>0</v>
          </cell>
          <cell r="Y790" t="str">
            <v/>
          </cell>
          <cell r="Z790" t="str">
            <v>BUY</v>
          </cell>
          <cell r="AA790" t="str">
            <v/>
          </cell>
        </row>
        <row r="791">
          <cell r="A791" t="str">
            <v>B</v>
          </cell>
          <cell r="F791" t="str">
            <v>8950-1</v>
          </cell>
          <cell r="G791" t="str">
            <v>B</v>
          </cell>
          <cell r="H791">
            <v>19</v>
          </cell>
          <cell r="I791" t="str">
            <v>Prior Period Activity</v>
          </cell>
          <cell r="J791" t="str">
            <v>Prior Period Activity</v>
          </cell>
          <cell r="K791">
            <v>0</v>
          </cell>
          <cell r="L791">
            <v>0</v>
          </cell>
          <cell r="M791">
            <v>0</v>
          </cell>
          <cell r="N791">
            <v>0</v>
          </cell>
          <cell r="O791">
            <v>0</v>
          </cell>
          <cell r="P791">
            <v>0</v>
          </cell>
          <cell r="Q791" t="str">
            <v/>
          </cell>
          <cell r="R791" t="str">
            <v/>
          </cell>
          <cell r="S791" t="str">
            <v/>
          </cell>
          <cell r="T791" t="str">
            <v/>
          </cell>
          <cell r="U791" t="str">
            <v/>
          </cell>
          <cell r="V791" t="str">
            <v/>
          </cell>
          <cell r="W791">
            <v>0</v>
          </cell>
          <cell r="X791">
            <v>0</v>
          </cell>
          <cell r="Y791" t="str">
            <v/>
          </cell>
          <cell r="Z791" t="str">
            <v>BUY</v>
          </cell>
          <cell r="AA791" t="str">
            <v/>
          </cell>
        </row>
        <row r="792">
          <cell r="A792" t="str">
            <v>B</v>
          </cell>
          <cell r="F792" t="str">
            <v>8950-2</v>
          </cell>
          <cell r="G792" t="str">
            <v>B</v>
          </cell>
          <cell r="H792">
            <v>19</v>
          </cell>
          <cell r="I792" t="str">
            <v>Prior Period Activity</v>
          </cell>
          <cell r="J792" t="str">
            <v>Prior Period Activity</v>
          </cell>
          <cell r="K792">
            <v>0</v>
          </cell>
          <cell r="L792">
            <v>0</v>
          </cell>
          <cell r="M792">
            <v>0</v>
          </cell>
          <cell r="N792">
            <v>0</v>
          </cell>
          <cell r="O792">
            <v>0</v>
          </cell>
          <cell r="P792">
            <v>0</v>
          </cell>
          <cell r="Q792" t="str">
            <v/>
          </cell>
          <cell r="R792" t="str">
            <v/>
          </cell>
          <cell r="S792" t="str">
            <v/>
          </cell>
          <cell r="T792" t="str">
            <v/>
          </cell>
          <cell r="U792" t="str">
            <v/>
          </cell>
          <cell r="V792" t="str">
            <v/>
          </cell>
          <cell r="W792">
            <v>0</v>
          </cell>
          <cell r="X792">
            <v>0</v>
          </cell>
          <cell r="Y792" t="str">
            <v/>
          </cell>
          <cell r="Z792" t="str">
            <v>BUY</v>
          </cell>
          <cell r="AA792" t="str">
            <v/>
          </cell>
        </row>
        <row r="793">
          <cell r="A793" t="str">
            <v>B</v>
          </cell>
          <cell r="F793" t="str">
            <v>8950-3</v>
          </cell>
          <cell r="G793" t="str">
            <v>B</v>
          </cell>
          <cell r="H793">
            <v>19</v>
          </cell>
          <cell r="I793" t="str">
            <v>Prior Period Activity</v>
          </cell>
          <cell r="J793" t="str">
            <v>Prior Period Activity</v>
          </cell>
          <cell r="K793">
            <v>0</v>
          </cell>
          <cell r="L793">
            <v>0</v>
          </cell>
          <cell r="M793">
            <v>0</v>
          </cell>
          <cell r="N793">
            <v>0</v>
          </cell>
          <cell r="O793">
            <v>0</v>
          </cell>
          <cell r="P793">
            <v>0</v>
          </cell>
          <cell r="Q793" t="str">
            <v/>
          </cell>
          <cell r="R793" t="str">
            <v/>
          </cell>
          <cell r="S793" t="str">
            <v/>
          </cell>
          <cell r="T793" t="str">
            <v/>
          </cell>
          <cell r="U793" t="str">
            <v/>
          </cell>
          <cell r="V793" t="str">
            <v/>
          </cell>
          <cell r="W793">
            <v>0</v>
          </cell>
          <cell r="X793">
            <v>0</v>
          </cell>
          <cell r="Y793" t="str">
            <v/>
          </cell>
          <cell r="Z793" t="str">
            <v>BUY</v>
          </cell>
          <cell r="AA793" t="str">
            <v/>
          </cell>
        </row>
        <row r="794">
          <cell r="A794" t="str">
            <v>B</v>
          </cell>
          <cell r="F794" t="str">
            <v>8950-4</v>
          </cell>
          <cell r="G794" t="str">
            <v>B</v>
          </cell>
          <cell r="H794">
            <v>19</v>
          </cell>
          <cell r="I794" t="str">
            <v>Prior Period Activity</v>
          </cell>
          <cell r="J794" t="str">
            <v>Prior Period Activity</v>
          </cell>
          <cell r="K794">
            <v>0</v>
          </cell>
          <cell r="L794">
            <v>0</v>
          </cell>
          <cell r="M794">
            <v>0</v>
          </cell>
          <cell r="N794">
            <v>0</v>
          </cell>
          <cell r="O794">
            <v>0</v>
          </cell>
          <cell r="P794">
            <v>0</v>
          </cell>
          <cell r="Q794" t="str">
            <v/>
          </cell>
          <cell r="R794" t="str">
            <v/>
          </cell>
          <cell r="S794" t="str">
            <v/>
          </cell>
          <cell r="T794" t="str">
            <v/>
          </cell>
          <cell r="U794" t="str">
            <v/>
          </cell>
          <cell r="V794" t="str">
            <v/>
          </cell>
          <cell r="W794">
            <v>0</v>
          </cell>
          <cell r="X794">
            <v>0</v>
          </cell>
          <cell r="Y794" t="str">
            <v/>
          </cell>
          <cell r="Z794" t="str">
            <v>BUY</v>
          </cell>
          <cell r="AA794" t="str">
            <v/>
          </cell>
        </row>
        <row r="795">
          <cell r="A795" t="str">
            <v>B</v>
          </cell>
          <cell r="F795" t="str">
            <v>8950-5</v>
          </cell>
          <cell r="G795" t="str">
            <v>B</v>
          </cell>
          <cell r="H795">
            <v>19</v>
          </cell>
          <cell r="I795" t="str">
            <v>Prior Period Activity</v>
          </cell>
          <cell r="J795" t="str">
            <v>Prior Period Activity</v>
          </cell>
          <cell r="K795">
            <v>0</v>
          </cell>
          <cell r="L795">
            <v>0</v>
          </cell>
          <cell r="M795">
            <v>0</v>
          </cell>
          <cell r="N795">
            <v>0</v>
          </cell>
          <cell r="O795">
            <v>0</v>
          </cell>
          <cell r="P795">
            <v>0</v>
          </cell>
          <cell r="Q795" t="str">
            <v/>
          </cell>
          <cell r="R795" t="str">
            <v/>
          </cell>
          <cell r="S795" t="str">
            <v/>
          </cell>
          <cell r="T795" t="str">
            <v/>
          </cell>
          <cell r="U795" t="str">
            <v/>
          </cell>
          <cell r="V795" t="str">
            <v/>
          </cell>
          <cell r="W795">
            <v>0</v>
          </cell>
          <cell r="X795">
            <v>0</v>
          </cell>
          <cell r="Y795" t="str">
            <v/>
          </cell>
          <cell r="Z795" t="str">
            <v>BUY</v>
          </cell>
          <cell r="AA795" t="str">
            <v/>
          </cell>
        </row>
        <row r="796">
          <cell r="A796" t="str">
            <v>B</v>
          </cell>
          <cell r="F796" t="str">
            <v>8955</v>
          </cell>
          <cell r="G796" t="str">
            <v>B</v>
          </cell>
          <cell r="H796">
            <v>19</v>
          </cell>
          <cell r="I796" t="str">
            <v>Prior Year Balance Adjustment</v>
          </cell>
          <cell r="J796" t="str">
            <v>Prior Year Balance Adjustment</v>
          </cell>
          <cell r="K796">
            <v>0</v>
          </cell>
          <cell r="L796">
            <v>0</v>
          </cell>
          <cell r="M796">
            <v>0</v>
          </cell>
          <cell r="N796">
            <v>0</v>
          </cell>
          <cell r="O796">
            <v>0</v>
          </cell>
          <cell r="P796">
            <v>0</v>
          </cell>
          <cell r="Q796" t="str">
            <v/>
          </cell>
          <cell r="R796" t="str">
            <v/>
          </cell>
          <cell r="S796" t="str">
            <v/>
          </cell>
          <cell r="T796" t="str">
            <v/>
          </cell>
          <cell r="U796" t="str">
            <v/>
          </cell>
          <cell r="V796" t="str">
            <v/>
          </cell>
          <cell r="W796">
            <v>0</v>
          </cell>
          <cell r="X796">
            <v>0</v>
          </cell>
          <cell r="Y796" t="str">
            <v/>
          </cell>
          <cell r="Z796" t="str">
            <v>BUY</v>
          </cell>
          <cell r="AA796" t="str">
            <v/>
          </cell>
        </row>
        <row r="797">
          <cell r="A797" t="str">
            <v>B</v>
          </cell>
          <cell r="F797" t="str">
            <v>8960</v>
          </cell>
          <cell r="G797" t="str">
            <v>B</v>
          </cell>
          <cell r="H797">
            <v>19</v>
          </cell>
          <cell r="I797" t="str">
            <v>Extraordinary Expense</v>
          </cell>
          <cell r="J797" t="str">
            <v>Extraordinary Expense</v>
          </cell>
          <cell r="K797">
            <v>0</v>
          </cell>
          <cell r="L797">
            <v>0</v>
          </cell>
          <cell r="M797">
            <v>0</v>
          </cell>
          <cell r="N797">
            <v>0</v>
          </cell>
          <cell r="O797">
            <v>0</v>
          </cell>
          <cell r="P797">
            <v>0</v>
          </cell>
          <cell r="Q797" t="str">
            <v/>
          </cell>
          <cell r="R797" t="str">
            <v/>
          </cell>
          <cell r="S797" t="str">
            <v/>
          </cell>
          <cell r="T797" t="str">
            <v/>
          </cell>
          <cell r="U797" t="str">
            <v/>
          </cell>
          <cell r="V797" t="str">
            <v/>
          </cell>
          <cell r="W797">
            <v>0</v>
          </cell>
          <cell r="X797">
            <v>0</v>
          </cell>
          <cell r="Y797" t="str">
            <v/>
          </cell>
          <cell r="Z797" t="str">
            <v>BUY</v>
          </cell>
          <cell r="AA797" t="str">
            <v/>
          </cell>
        </row>
        <row r="798">
          <cell r="A798" t="str">
            <v>B</v>
          </cell>
          <cell r="F798" t="str">
            <v>8961</v>
          </cell>
          <cell r="G798" t="str">
            <v>B</v>
          </cell>
          <cell r="H798">
            <v>19</v>
          </cell>
          <cell r="I798" t="str">
            <v>Extraordinary Expense</v>
          </cell>
          <cell r="J798" t="str">
            <v>Extraordinary Expense</v>
          </cell>
          <cell r="K798">
            <v>0</v>
          </cell>
          <cell r="L798">
            <v>0</v>
          </cell>
          <cell r="M798">
            <v>0</v>
          </cell>
          <cell r="N798">
            <v>0</v>
          </cell>
          <cell r="O798">
            <v>0</v>
          </cell>
          <cell r="P798">
            <v>0</v>
          </cell>
          <cell r="Q798" t="str">
            <v/>
          </cell>
          <cell r="R798" t="str">
            <v/>
          </cell>
          <cell r="S798" t="str">
            <v/>
          </cell>
          <cell r="T798" t="str">
            <v/>
          </cell>
          <cell r="U798" t="str">
            <v/>
          </cell>
          <cell r="V798" t="str">
            <v/>
          </cell>
          <cell r="W798">
            <v>0</v>
          </cell>
          <cell r="X798">
            <v>0</v>
          </cell>
          <cell r="Y798" t="str">
            <v/>
          </cell>
          <cell r="Z798" t="str">
            <v>BUY</v>
          </cell>
          <cell r="AA798" t="str">
            <v/>
          </cell>
        </row>
        <row r="799">
          <cell r="A799" t="str">
            <v>B</v>
          </cell>
          <cell r="F799" t="str">
            <v>8962</v>
          </cell>
          <cell r="G799" t="str">
            <v>B</v>
          </cell>
          <cell r="H799">
            <v>19</v>
          </cell>
          <cell r="I799" t="str">
            <v>Extraordinary Expense</v>
          </cell>
          <cell r="J799" t="str">
            <v>Extraordinary Expense</v>
          </cell>
          <cell r="K799">
            <v>0</v>
          </cell>
          <cell r="L799">
            <v>0</v>
          </cell>
          <cell r="M799">
            <v>0</v>
          </cell>
          <cell r="N799">
            <v>0</v>
          </cell>
          <cell r="O799">
            <v>0</v>
          </cell>
          <cell r="P799">
            <v>0</v>
          </cell>
          <cell r="Q799" t="str">
            <v/>
          </cell>
          <cell r="R799" t="str">
            <v/>
          </cell>
          <cell r="S799" t="str">
            <v/>
          </cell>
          <cell r="T799" t="str">
            <v/>
          </cell>
          <cell r="U799" t="str">
            <v/>
          </cell>
          <cell r="V799" t="str">
            <v/>
          </cell>
          <cell r="W799">
            <v>0</v>
          </cell>
          <cell r="X799">
            <v>0</v>
          </cell>
          <cell r="Y799" t="str">
            <v/>
          </cell>
          <cell r="Z799" t="str">
            <v>BUY</v>
          </cell>
          <cell r="AA799" t="str">
            <v/>
          </cell>
        </row>
        <row r="800">
          <cell r="A800" t="str">
            <v>B</v>
          </cell>
          <cell r="F800" t="str">
            <v>8963</v>
          </cell>
          <cell r="G800" t="str">
            <v>B</v>
          </cell>
          <cell r="H800">
            <v>19</v>
          </cell>
          <cell r="I800" t="str">
            <v>Extraordinary Expense</v>
          </cell>
          <cell r="J800" t="str">
            <v>Extraordinary Expense</v>
          </cell>
          <cell r="K800">
            <v>0</v>
          </cell>
          <cell r="L800">
            <v>0</v>
          </cell>
          <cell r="M800">
            <v>0</v>
          </cell>
          <cell r="N800">
            <v>0</v>
          </cell>
          <cell r="O800">
            <v>0</v>
          </cell>
          <cell r="P800">
            <v>0</v>
          </cell>
          <cell r="Q800" t="str">
            <v/>
          </cell>
          <cell r="R800" t="str">
            <v/>
          </cell>
          <cell r="S800" t="str">
            <v/>
          </cell>
          <cell r="T800" t="str">
            <v/>
          </cell>
          <cell r="U800" t="str">
            <v/>
          </cell>
          <cell r="V800" t="str">
            <v/>
          </cell>
          <cell r="W800">
            <v>0</v>
          </cell>
          <cell r="X800">
            <v>0</v>
          </cell>
          <cell r="Y800" t="str">
            <v/>
          </cell>
          <cell r="Z800" t="str">
            <v>BUY</v>
          </cell>
          <cell r="AA800" t="str">
            <v/>
          </cell>
        </row>
        <row r="801">
          <cell r="A801" t="str">
            <v>B</v>
          </cell>
          <cell r="F801" t="str">
            <v>8964</v>
          </cell>
          <cell r="G801" t="str">
            <v>B</v>
          </cell>
          <cell r="H801">
            <v>19</v>
          </cell>
          <cell r="I801" t="str">
            <v>Extraordinary Expense</v>
          </cell>
          <cell r="J801" t="str">
            <v>Extraordinary Expense</v>
          </cell>
          <cell r="K801">
            <v>0</v>
          </cell>
          <cell r="L801">
            <v>0</v>
          </cell>
          <cell r="M801">
            <v>0</v>
          </cell>
          <cell r="N801">
            <v>0</v>
          </cell>
          <cell r="O801">
            <v>0</v>
          </cell>
          <cell r="P801">
            <v>0</v>
          </cell>
          <cell r="Q801" t="str">
            <v/>
          </cell>
          <cell r="R801" t="str">
            <v/>
          </cell>
          <cell r="S801" t="str">
            <v/>
          </cell>
          <cell r="T801" t="str">
            <v/>
          </cell>
          <cell r="U801" t="str">
            <v/>
          </cell>
          <cell r="V801" t="str">
            <v/>
          </cell>
          <cell r="W801">
            <v>0</v>
          </cell>
          <cell r="X801">
            <v>0</v>
          </cell>
          <cell r="Y801" t="str">
            <v/>
          </cell>
          <cell r="Z801" t="str">
            <v>BUY</v>
          </cell>
          <cell r="AA801" t="str">
            <v/>
          </cell>
        </row>
        <row r="802">
          <cell r="A802" t="str">
            <v>B</v>
          </cell>
          <cell r="F802" t="str">
            <v>8965</v>
          </cell>
          <cell r="G802" t="str">
            <v>B</v>
          </cell>
          <cell r="H802">
            <v>19</v>
          </cell>
          <cell r="I802" t="str">
            <v>Extraordinary Expense</v>
          </cell>
          <cell r="J802" t="str">
            <v>Extraordinary Expense</v>
          </cell>
          <cell r="K802">
            <v>0</v>
          </cell>
          <cell r="L802">
            <v>0</v>
          </cell>
          <cell r="M802">
            <v>0</v>
          </cell>
          <cell r="N802">
            <v>0</v>
          </cell>
          <cell r="O802">
            <v>0</v>
          </cell>
          <cell r="P802">
            <v>0</v>
          </cell>
          <cell r="Q802" t="str">
            <v/>
          </cell>
          <cell r="R802" t="str">
            <v/>
          </cell>
          <cell r="S802" t="str">
            <v/>
          </cell>
          <cell r="T802" t="str">
            <v/>
          </cell>
          <cell r="U802" t="str">
            <v/>
          </cell>
          <cell r="V802" t="str">
            <v/>
          </cell>
          <cell r="W802">
            <v>0</v>
          </cell>
          <cell r="X802">
            <v>0</v>
          </cell>
          <cell r="Y802" t="str">
            <v/>
          </cell>
          <cell r="Z802" t="str">
            <v>BUY</v>
          </cell>
          <cell r="AA802" t="str">
            <v/>
          </cell>
        </row>
        <row r="803">
          <cell r="A803" t="str">
            <v>B</v>
          </cell>
          <cell r="F803" t="str">
            <v>9001</v>
          </cell>
          <cell r="G803" t="str">
            <v>B</v>
          </cell>
          <cell r="H803">
            <v>18</v>
          </cell>
          <cell r="I803" t="str">
            <v>Budgeted Operating Fund to Reserves</v>
          </cell>
          <cell r="J803" t="str">
            <v>Budgeted Operating Fund to Reserves</v>
          </cell>
          <cell r="K803">
            <v>0</v>
          </cell>
          <cell r="L803">
            <v>0</v>
          </cell>
          <cell r="M803">
            <v>0</v>
          </cell>
          <cell r="N803">
            <v>0</v>
          </cell>
          <cell r="O803">
            <v>-151041</v>
          </cell>
          <cell r="P803">
            <v>-151041</v>
          </cell>
          <cell r="Q803" t="str">
            <v/>
          </cell>
          <cell r="R803" t="str">
            <v>Reserve income from GL 8801</v>
          </cell>
          <cell r="S803" t="str">
            <v/>
          </cell>
          <cell r="T803" t="str">
            <v/>
          </cell>
          <cell r="U803" t="str">
            <v/>
          </cell>
          <cell r="V803" t="str">
            <v/>
          </cell>
          <cell r="W803">
            <v>-151041</v>
          </cell>
          <cell r="X803">
            <v>0</v>
          </cell>
          <cell r="Y803" t="str">
            <v>A</v>
          </cell>
          <cell r="Z803" t="str">
            <v>BUY</v>
          </cell>
          <cell r="AA803" t="str">
            <v/>
          </cell>
        </row>
        <row r="804">
          <cell r="A804" t="str">
            <v>B</v>
          </cell>
          <cell r="F804" t="str">
            <v>9002</v>
          </cell>
          <cell r="G804" t="str">
            <v>B</v>
          </cell>
          <cell r="H804">
            <v>18</v>
          </cell>
          <cell r="I804" t="str">
            <v>Budgeted Operating Fund to Reserves</v>
          </cell>
          <cell r="J804" t="str">
            <v>Budgeted Operating Fund to Reserves</v>
          </cell>
          <cell r="K804">
            <v>0</v>
          </cell>
          <cell r="L804">
            <v>0</v>
          </cell>
          <cell r="M804">
            <v>0</v>
          </cell>
          <cell r="N804">
            <v>0</v>
          </cell>
          <cell r="O804">
            <v>-46800</v>
          </cell>
          <cell r="P804">
            <v>-46800</v>
          </cell>
          <cell r="Q804" t="str">
            <v/>
          </cell>
          <cell r="R804" t="str">
            <v xml:space="preserve">Transfer to reserves to cover loan payment- GL 8802 </v>
          </cell>
          <cell r="S804" t="str">
            <v/>
          </cell>
          <cell r="T804" t="str">
            <v/>
          </cell>
          <cell r="U804" t="str">
            <v/>
          </cell>
          <cell r="V804" t="str">
            <v/>
          </cell>
          <cell r="W804">
            <v>-46800</v>
          </cell>
          <cell r="X804">
            <v>0</v>
          </cell>
          <cell r="Y804" t="str">
            <v>A</v>
          </cell>
          <cell r="Z804" t="str">
            <v>BUY</v>
          </cell>
          <cell r="AA804" t="str">
            <v/>
          </cell>
        </row>
        <row r="805">
          <cell r="A805" t="str">
            <v>B</v>
          </cell>
          <cell r="F805" t="str">
            <v>9003</v>
          </cell>
          <cell r="G805" t="str">
            <v>B</v>
          </cell>
          <cell r="H805">
            <v>18</v>
          </cell>
          <cell r="I805" t="str">
            <v>Budgeted Operating Fund to Reserves</v>
          </cell>
          <cell r="J805" t="str">
            <v>Budgeted Operating Fund to Reserves</v>
          </cell>
          <cell r="K805">
            <v>0</v>
          </cell>
          <cell r="L805">
            <v>0</v>
          </cell>
          <cell r="M805">
            <v>0</v>
          </cell>
          <cell r="N805">
            <v>0</v>
          </cell>
          <cell r="O805">
            <v>0</v>
          </cell>
          <cell r="P805">
            <v>0</v>
          </cell>
          <cell r="Q805" t="str">
            <v/>
          </cell>
          <cell r="R805" t="str">
            <v/>
          </cell>
          <cell r="S805" t="str">
            <v/>
          </cell>
          <cell r="T805" t="str">
            <v/>
          </cell>
          <cell r="U805" t="str">
            <v/>
          </cell>
          <cell r="V805" t="str">
            <v/>
          </cell>
          <cell r="W805">
            <v>0</v>
          </cell>
          <cell r="X805">
            <v>0</v>
          </cell>
          <cell r="Y805" t="str">
            <v/>
          </cell>
          <cell r="Z805" t="str">
            <v>BUY</v>
          </cell>
          <cell r="AA805" t="str">
            <v/>
          </cell>
        </row>
        <row r="806">
          <cell r="A806" t="str">
            <v>B</v>
          </cell>
          <cell r="F806" t="str">
            <v>9004</v>
          </cell>
          <cell r="G806" t="str">
            <v>B</v>
          </cell>
          <cell r="H806">
            <v>18</v>
          </cell>
          <cell r="I806" t="str">
            <v>Budgeted Operating Fund to Reserves</v>
          </cell>
          <cell r="J806" t="str">
            <v>Budgeted Operating Fund to Reserves</v>
          </cell>
          <cell r="K806">
            <v>0</v>
          </cell>
          <cell r="L806">
            <v>0</v>
          </cell>
          <cell r="M806">
            <v>0</v>
          </cell>
          <cell r="N806">
            <v>0</v>
          </cell>
          <cell r="O806">
            <v>0</v>
          </cell>
          <cell r="P806">
            <v>0</v>
          </cell>
          <cell r="Q806" t="str">
            <v/>
          </cell>
          <cell r="R806" t="str">
            <v/>
          </cell>
          <cell r="S806" t="str">
            <v/>
          </cell>
          <cell r="T806" t="str">
            <v/>
          </cell>
          <cell r="U806" t="str">
            <v/>
          </cell>
          <cell r="V806" t="str">
            <v/>
          </cell>
          <cell r="W806">
            <v>0</v>
          </cell>
          <cell r="X806">
            <v>0</v>
          </cell>
          <cell r="Y806" t="str">
            <v/>
          </cell>
          <cell r="Z806" t="str">
            <v>BUY</v>
          </cell>
          <cell r="AA806" t="str">
            <v/>
          </cell>
        </row>
        <row r="807">
          <cell r="A807" t="str">
            <v>B</v>
          </cell>
          <cell r="F807" t="str">
            <v>9005</v>
          </cell>
          <cell r="G807" t="str">
            <v>B</v>
          </cell>
          <cell r="H807">
            <v>18</v>
          </cell>
          <cell r="I807" t="str">
            <v>Budgeted Operating Fund to Reserves</v>
          </cell>
          <cell r="J807" t="str">
            <v>Budgeted Operating Fund to Reserves</v>
          </cell>
          <cell r="K807">
            <v>0</v>
          </cell>
          <cell r="L807">
            <v>0</v>
          </cell>
          <cell r="M807">
            <v>0</v>
          </cell>
          <cell r="N807">
            <v>0</v>
          </cell>
          <cell r="O807">
            <v>0</v>
          </cell>
          <cell r="P807">
            <v>0</v>
          </cell>
          <cell r="Q807" t="str">
            <v/>
          </cell>
          <cell r="R807" t="str">
            <v/>
          </cell>
          <cell r="S807" t="str">
            <v/>
          </cell>
          <cell r="T807" t="str">
            <v/>
          </cell>
          <cell r="U807" t="str">
            <v/>
          </cell>
          <cell r="V807" t="str">
            <v/>
          </cell>
          <cell r="W807">
            <v>0</v>
          </cell>
          <cell r="X807">
            <v>0</v>
          </cell>
          <cell r="Y807" t="str">
            <v/>
          </cell>
          <cell r="Z807" t="str">
            <v>BUY</v>
          </cell>
          <cell r="AA807" t="str">
            <v/>
          </cell>
        </row>
        <row r="808">
          <cell r="A808" t="str">
            <v>B</v>
          </cell>
          <cell r="F808" t="str">
            <v>9010</v>
          </cell>
          <cell r="G808" t="str">
            <v>B</v>
          </cell>
          <cell r="H808">
            <v>18</v>
          </cell>
          <cell r="I808" t="str">
            <v>Current Reserve, Not Funded</v>
          </cell>
          <cell r="J808" t="str">
            <v>Current Reserve, Not Funded</v>
          </cell>
          <cell r="K808">
            <v>0</v>
          </cell>
          <cell r="L808">
            <v>0</v>
          </cell>
          <cell r="M808">
            <v>0</v>
          </cell>
          <cell r="N808">
            <v>0</v>
          </cell>
          <cell r="O808">
            <v>0</v>
          </cell>
          <cell r="P808">
            <v>0</v>
          </cell>
          <cell r="Q808" t="str">
            <v/>
          </cell>
          <cell r="R808" t="str">
            <v/>
          </cell>
          <cell r="S808" t="str">
            <v/>
          </cell>
          <cell r="T808" t="str">
            <v/>
          </cell>
          <cell r="U808" t="str">
            <v/>
          </cell>
          <cell r="V808" t="str">
            <v/>
          </cell>
          <cell r="W808">
            <v>0</v>
          </cell>
          <cell r="X808">
            <v>0</v>
          </cell>
          <cell r="Y808" t="str">
            <v/>
          </cell>
          <cell r="Z808" t="str">
            <v>BUY</v>
          </cell>
          <cell r="AA808" t="str">
            <v/>
          </cell>
        </row>
        <row r="809">
          <cell r="A809" t="str">
            <v>B</v>
          </cell>
          <cell r="F809" t="str">
            <v>9020</v>
          </cell>
          <cell r="G809" t="str">
            <v>B</v>
          </cell>
          <cell r="H809">
            <v>18</v>
          </cell>
          <cell r="I809" t="str">
            <v>Closing Res, Not Funded</v>
          </cell>
          <cell r="J809" t="str">
            <v>Closing Res, Not Funded</v>
          </cell>
          <cell r="K809">
            <v>0</v>
          </cell>
          <cell r="L809">
            <v>0</v>
          </cell>
          <cell r="M809">
            <v>0</v>
          </cell>
          <cell r="N809">
            <v>0</v>
          </cell>
          <cell r="O809">
            <v>0</v>
          </cell>
          <cell r="P809">
            <v>0</v>
          </cell>
          <cell r="Q809" t="str">
            <v/>
          </cell>
          <cell r="R809" t="str">
            <v/>
          </cell>
          <cell r="S809" t="str">
            <v/>
          </cell>
          <cell r="T809" t="str">
            <v/>
          </cell>
          <cell r="U809" t="str">
            <v/>
          </cell>
          <cell r="V809" t="str">
            <v/>
          </cell>
          <cell r="W809">
            <v>0</v>
          </cell>
          <cell r="X809">
            <v>0</v>
          </cell>
          <cell r="Y809" t="str">
            <v/>
          </cell>
          <cell r="Z809" t="str">
            <v>BUY</v>
          </cell>
          <cell r="AA809" t="str">
            <v/>
          </cell>
        </row>
        <row r="810">
          <cell r="A810" t="str">
            <v>B</v>
          </cell>
          <cell r="F810" t="str">
            <v>9025</v>
          </cell>
          <cell r="G810" t="str">
            <v>B</v>
          </cell>
          <cell r="H810">
            <v>18</v>
          </cell>
          <cell r="I810" t="str">
            <v>Reserve Interest Inc</v>
          </cell>
          <cell r="J810" t="str">
            <v>Reserve Interest Inc</v>
          </cell>
          <cell r="K810">
            <v>0</v>
          </cell>
          <cell r="L810">
            <v>0</v>
          </cell>
          <cell r="M810">
            <v>0</v>
          </cell>
          <cell r="N810">
            <v>0</v>
          </cell>
          <cell r="O810">
            <v>0</v>
          </cell>
          <cell r="P810">
            <v>0</v>
          </cell>
          <cell r="Q810" t="str">
            <v/>
          </cell>
          <cell r="R810" t="str">
            <v/>
          </cell>
          <cell r="S810" t="str">
            <v/>
          </cell>
          <cell r="T810" t="str">
            <v/>
          </cell>
          <cell r="U810" t="str">
            <v/>
          </cell>
          <cell r="V810" t="str">
            <v/>
          </cell>
          <cell r="W810">
            <v>0</v>
          </cell>
          <cell r="X810">
            <v>0</v>
          </cell>
          <cell r="Y810" t="str">
            <v/>
          </cell>
          <cell r="Z810" t="str">
            <v>BUY</v>
          </cell>
          <cell r="AA810" t="str">
            <v/>
          </cell>
        </row>
        <row r="811">
          <cell r="A811" t="str">
            <v>B</v>
          </cell>
          <cell r="F811" t="str">
            <v>9030</v>
          </cell>
          <cell r="G811" t="str">
            <v>B</v>
          </cell>
          <cell r="H811">
            <v>18</v>
          </cell>
          <cell r="I811" t="str">
            <v>Loan from Operating</v>
          </cell>
          <cell r="J811" t="str">
            <v>Loan from Operating</v>
          </cell>
          <cell r="K811">
            <v>0</v>
          </cell>
          <cell r="L811">
            <v>0</v>
          </cell>
          <cell r="M811">
            <v>0</v>
          </cell>
          <cell r="N811">
            <v>0</v>
          </cell>
          <cell r="O811">
            <v>0</v>
          </cell>
          <cell r="P811">
            <v>0</v>
          </cell>
          <cell r="Q811" t="str">
            <v/>
          </cell>
          <cell r="R811" t="str">
            <v/>
          </cell>
          <cell r="S811" t="str">
            <v/>
          </cell>
          <cell r="T811" t="str">
            <v/>
          </cell>
          <cell r="U811" t="str">
            <v/>
          </cell>
          <cell r="V811" t="str">
            <v/>
          </cell>
          <cell r="W811">
            <v>0</v>
          </cell>
          <cell r="X811">
            <v>0</v>
          </cell>
          <cell r="Y811" t="str">
            <v/>
          </cell>
          <cell r="Z811" t="str">
            <v>BUY</v>
          </cell>
          <cell r="AA811" t="str">
            <v/>
          </cell>
        </row>
        <row r="812">
          <cell r="A812" t="str">
            <v>B</v>
          </cell>
          <cell r="F812" t="str">
            <v>9031</v>
          </cell>
          <cell r="G812" t="str">
            <v>B</v>
          </cell>
          <cell r="H812">
            <v>18</v>
          </cell>
          <cell r="I812" t="str">
            <v>Special Assessment</v>
          </cell>
          <cell r="J812" t="str">
            <v>Special Assessment</v>
          </cell>
          <cell r="K812">
            <v>0</v>
          </cell>
          <cell r="L812">
            <v>0</v>
          </cell>
          <cell r="M812">
            <v>0</v>
          </cell>
          <cell r="N812">
            <v>0</v>
          </cell>
          <cell r="O812">
            <v>0</v>
          </cell>
          <cell r="P812">
            <v>0</v>
          </cell>
          <cell r="Q812" t="str">
            <v/>
          </cell>
          <cell r="R812" t="str">
            <v/>
          </cell>
          <cell r="S812" t="str">
            <v/>
          </cell>
          <cell r="T812" t="str">
            <v/>
          </cell>
          <cell r="U812" t="str">
            <v/>
          </cell>
          <cell r="V812" t="str">
            <v/>
          </cell>
          <cell r="W812">
            <v>0</v>
          </cell>
          <cell r="X812">
            <v>0</v>
          </cell>
          <cell r="Y812" t="str">
            <v/>
          </cell>
          <cell r="Z812" t="str">
            <v>BUY</v>
          </cell>
          <cell r="AA812" t="str">
            <v/>
          </cell>
        </row>
        <row r="813">
          <cell r="A813" t="str">
            <v>B</v>
          </cell>
          <cell r="F813" t="str">
            <v>9032</v>
          </cell>
          <cell r="G813" t="str">
            <v>B</v>
          </cell>
          <cell r="H813">
            <v>18</v>
          </cell>
          <cell r="I813" t="str">
            <v>Special Assessment</v>
          </cell>
          <cell r="J813" t="str">
            <v>Special Assessment</v>
          </cell>
          <cell r="K813">
            <v>0</v>
          </cell>
          <cell r="L813">
            <v>0</v>
          </cell>
          <cell r="M813">
            <v>0</v>
          </cell>
          <cell r="N813">
            <v>0</v>
          </cell>
          <cell r="O813">
            <v>0</v>
          </cell>
          <cell r="P813">
            <v>0</v>
          </cell>
          <cell r="Q813" t="str">
            <v/>
          </cell>
          <cell r="R813" t="str">
            <v/>
          </cell>
          <cell r="S813" t="str">
            <v/>
          </cell>
          <cell r="T813" t="str">
            <v/>
          </cell>
          <cell r="U813" t="str">
            <v/>
          </cell>
          <cell r="V813" t="str">
            <v/>
          </cell>
          <cell r="W813">
            <v>0</v>
          </cell>
          <cell r="X813">
            <v>0</v>
          </cell>
          <cell r="Y813" t="str">
            <v/>
          </cell>
          <cell r="Z813" t="str">
            <v>BUY</v>
          </cell>
          <cell r="AA813" t="str">
            <v/>
          </cell>
        </row>
        <row r="814">
          <cell r="A814" t="str">
            <v>B</v>
          </cell>
          <cell r="F814" t="str">
            <v>9033</v>
          </cell>
          <cell r="G814" t="str">
            <v>B</v>
          </cell>
          <cell r="H814">
            <v>18</v>
          </cell>
          <cell r="I814" t="str">
            <v>Special Assessment</v>
          </cell>
          <cell r="J814" t="str">
            <v>Special Assessment</v>
          </cell>
          <cell r="K814">
            <v>0</v>
          </cell>
          <cell r="L814">
            <v>0</v>
          </cell>
          <cell r="M814">
            <v>0</v>
          </cell>
          <cell r="N814">
            <v>0</v>
          </cell>
          <cell r="O814">
            <v>0</v>
          </cell>
          <cell r="P814">
            <v>0</v>
          </cell>
          <cell r="Q814" t="str">
            <v/>
          </cell>
          <cell r="R814" t="str">
            <v/>
          </cell>
          <cell r="S814" t="str">
            <v/>
          </cell>
          <cell r="T814" t="str">
            <v/>
          </cell>
          <cell r="U814" t="str">
            <v/>
          </cell>
          <cell r="V814" t="str">
            <v/>
          </cell>
          <cell r="W814">
            <v>0</v>
          </cell>
          <cell r="X814">
            <v>0</v>
          </cell>
          <cell r="Y814" t="str">
            <v/>
          </cell>
          <cell r="Z814" t="str">
            <v>BUY</v>
          </cell>
          <cell r="AA814" t="str">
            <v/>
          </cell>
        </row>
        <row r="815">
          <cell r="A815" t="str">
            <v>B</v>
          </cell>
          <cell r="F815" t="str">
            <v>9034</v>
          </cell>
          <cell r="G815" t="str">
            <v>B</v>
          </cell>
          <cell r="H815">
            <v>18</v>
          </cell>
          <cell r="I815" t="str">
            <v>Special Assessment</v>
          </cell>
          <cell r="J815" t="str">
            <v>Special Assessment</v>
          </cell>
          <cell r="K815">
            <v>0</v>
          </cell>
          <cell r="L815">
            <v>0</v>
          </cell>
          <cell r="M815">
            <v>0</v>
          </cell>
          <cell r="N815">
            <v>0</v>
          </cell>
          <cell r="O815">
            <v>0</v>
          </cell>
          <cell r="P815">
            <v>0</v>
          </cell>
          <cell r="Q815" t="str">
            <v/>
          </cell>
          <cell r="R815" t="str">
            <v/>
          </cell>
          <cell r="S815" t="str">
            <v/>
          </cell>
          <cell r="T815" t="str">
            <v/>
          </cell>
          <cell r="U815" t="str">
            <v/>
          </cell>
          <cell r="V815" t="str">
            <v/>
          </cell>
          <cell r="W815">
            <v>0</v>
          </cell>
          <cell r="X815">
            <v>0</v>
          </cell>
          <cell r="Y815" t="str">
            <v/>
          </cell>
          <cell r="Z815" t="str">
            <v>BUY</v>
          </cell>
          <cell r="AA815" t="str">
            <v/>
          </cell>
        </row>
        <row r="816">
          <cell r="A816" t="str">
            <v>B</v>
          </cell>
          <cell r="F816" t="str">
            <v>9035</v>
          </cell>
          <cell r="G816" t="str">
            <v>B</v>
          </cell>
          <cell r="H816">
            <v>18</v>
          </cell>
          <cell r="I816" t="str">
            <v>Special Assessment</v>
          </cell>
          <cell r="J816" t="str">
            <v>Special Assessment</v>
          </cell>
          <cell r="K816">
            <v>0</v>
          </cell>
          <cell r="L816">
            <v>0</v>
          </cell>
          <cell r="M816">
            <v>0</v>
          </cell>
          <cell r="N816">
            <v>0</v>
          </cell>
          <cell r="O816">
            <v>0</v>
          </cell>
          <cell r="P816">
            <v>0</v>
          </cell>
          <cell r="Q816" t="str">
            <v/>
          </cell>
          <cell r="R816" t="str">
            <v/>
          </cell>
          <cell r="S816" t="str">
            <v/>
          </cell>
          <cell r="T816" t="str">
            <v/>
          </cell>
          <cell r="U816" t="str">
            <v/>
          </cell>
          <cell r="V816" t="str">
            <v/>
          </cell>
          <cell r="W816">
            <v>0</v>
          </cell>
          <cell r="X816">
            <v>0</v>
          </cell>
          <cell r="Y816" t="str">
            <v/>
          </cell>
          <cell r="Z816" t="str">
            <v>BUY</v>
          </cell>
          <cell r="AA816" t="str">
            <v/>
          </cell>
        </row>
        <row r="817">
          <cell r="A817" t="str">
            <v>B</v>
          </cell>
          <cell r="F817" t="str">
            <v>9041</v>
          </cell>
          <cell r="G817" t="str">
            <v>B</v>
          </cell>
          <cell r="H817">
            <v>18</v>
          </cell>
          <cell r="I817" t="str">
            <v>Loan Proceeds</v>
          </cell>
          <cell r="J817" t="str">
            <v>Loan Proceeds</v>
          </cell>
          <cell r="K817">
            <v>0</v>
          </cell>
          <cell r="L817">
            <v>0</v>
          </cell>
          <cell r="M817">
            <v>0</v>
          </cell>
          <cell r="N817">
            <v>0</v>
          </cell>
          <cell r="O817">
            <v>0</v>
          </cell>
          <cell r="P817">
            <v>0</v>
          </cell>
          <cell r="Q817" t="str">
            <v/>
          </cell>
          <cell r="R817" t="str">
            <v/>
          </cell>
          <cell r="S817" t="str">
            <v/>
          </cell>
          <cell r="T817" t="str">
            <v/>
          </cell>
          <cell r="U817" t="str">
            <v/>
          </cell>
          <cell r="V817" t="str">
            <v/>
          </cell>
          <cell r="W817">
            <v>0</v>
          </cell>
          <cell r="X817">
            <v>0</v>
          </cell>
          <cell r="Y817" t="str">
            <v/>
          </cell>
          <cell r="Z817" t="str">
            <v>BUY</v>
          </cell>
          <cell r="AA817" t="str">
            <v/>
          </cell>
        </row>
        <row r="818">
          <cell r="A818" t="str">
            <v>B</v>
          </cell>
          <cell r="F818" t="str">
            <v>9045</v>
          </cell>
          <cell r="G818" t="str">
            <v>B</v>
          </cell>
          <cell r="H818">
            <v>18</v>
          </cell>
          <cell r="I818" t="str">
            <v>Reserve Interest Income</v>
          </cell>
          <cell r="J818" t="str">
            <v>Reserve Interest Income</v>
          </cell>
          <cell r="K818">
            <v>0</v>
          </cell>
          <cell r="L818">
            <v>0</v>
          </cell>
          <cell r="M818">
            <v>0</v>
          </cell>
          <cell r="N818">
            <v>0</v>
          </cell>
          <cell r="O818">
            <v>0</v>
          </cell>
          <cell r="P818">
            <v>0</v>
          </cell>
          <cell r="Q818" t="str">
            <v/>
          </cell>
          <cell r="R818" t="str">
            <v/>
          </cell>
          <cell r="S818" t="str">
            <v/>
          </cell>
          <cell r="T818" t="str">
            <v/>
          </cell>
          <cell r="U818" t="str">
            <v/>
          </cell>
          <cell r="V818" t="str">
            <v/>
          </cell>
          <cell r="W818">
            <v>0</v>
          </cell>
          <cell r="X818">
            <v>0</v>
          </cell>
          <cell r="Y818" t="str">
            <v/>
          </cell>
          <cell r="Z818" t="str">
            <v>BUY</v>
          </cell>
          <cell r="AA818" t="str">
            <v/>
          </cell>
        </row>
        <row r="819">
          <cell r="A819" t="str">
            <v>B</v>
          </cell>
          <cell r="F819" t="str">
            <v>9050</v>
          </cell>
          <cell r="G819" t="str">
            <v>B</v>
          </cell>
          <cell r="H819">
            <v>18</v>
          </cell>
          <cell r="I819" t="str">
            <v>Unbdgt Oper Res Fund</v>
          </cell>
          <cell r="J819" t="str">
            <v>Unbdgt Oper Res Fund</v>
          </cell>
          <cell r="K819">
            <v>0</v>
          </cell>
          <cell r="L819">
            <v>0</v>
          </cell>
          <cell r="M819">
            <v>0</v>
          </cell>
          <cell r="N819">
            <v>0</v>
          </cell>
          <cell r="O819">
            <v>0</v>
          </cell>
          <cell r="P819">
            <v>0</v>
          </cell>
          <cell r="Q819" t="str">
            <v/>
          </cell>
          <cell r="R819" t="str">
            <v/>
          </cell>
          <cell r="S819" t="str">
            <v/>
          </cell>
          <cell r="T819" t="str">
            <v/>
          </cell>
          <cell r="U819" t="str">
            <v/>
          </cell>
          <cell r="V819" t="str">
            <v/>
          </cell>
          <cell r="W819">
            <v>0</v>
          </cell>
          <cell r="X819">
            <v>0</v>
          </cell>
          <cell r="Y819" t="str">
            <v/>
          </cell>
          <cell r="Z819" t="str">
            <v>BUY</v>
          </cell>
          <cell r="AA819" t="str">
            <v/>
          </cell>
        </row>
        <row r="820">
          <cell r="A820" t="str">
            <v>B</v>
          </cell>
          <cell r="F820" t="str">
            <v>9051</v>
          </cell>
          <cell r="G820" t="str">
            <v>B</v>
          </cell>
          <cell r="H820">
            <v>18</v>
          </cell>
          <cell r="I820" t="str">
            <v>Unbdgt Oper Res Fund</v>
          </cell>
          <cell r="J820" t="str">
            <v>Unbdgt Oper Res Fund</v>
          </cell>
          <cell r="K820">
            <v>0</v>
          </cell>
          <cell r="L820">
            <v>0</v>
          </cell>
          <cell r="M820">
            <v>0</v>
          </cell>
          <cell r="N820">
            <v>0</v>
          </cell>
          <cell r="O820">
            <v>0</v>
          </cell>
          <cell r="P820">
            <v>0</v>
          </cell>
          <cell r="Q820" t="str">
            <v/>
          </cell>
          <cell r="R820" t="str">
            <v/>
          </cell>
          <cell r="S820" t="str">
            <v/>
          </cell>
          <cell r="T820" t="str">
            <v/>
          </cell>
          <cell r="U820" t="str">
            <v/>
          </cell>
          <cell r="V820" t="str">
            <v/>
          </cell>
          <cell r="W820">
            <v>0</v>
          </cell>
          <cell r="X820">
            <v>0</v>
          </cell>
          <cell r="Y820" t="str">
            <v/>
          </cell>
          <cell r="Z820" t="str">
            <v>BUY</v>
          </cell>
          <cell r="AA820" t="str">
            <v/>
          </cell>
        </row>
        <row r="821">
          <cell r="A821" t="str">
            <v>B</v>
          </cell>
          <cell r="F821" t="str">
            <v>9052</v>
          </cell>
          <cell r="G821" t="str">
            <v>B</v>
          </cell>
          <cell r="H821">
            <v>18</v>
          </cell>
          <cell r="I821" t="str">
            <v>Unbdgt Oper Res Fund</v>
          </cell>
          <cell r="J821" t="str">
            <v>Unbdgt Oper Res Fund</v>
          </cell>
          <cell r="K821">
            <v>0</v>
          </cell>
          <cell r="L821">
            <v>0</v>
          </cell>
          <cell r="M821">
            <v>0</v>
          </cell>
          <cell r="N821">
            <v>0</v>
          </cell>
          <cell r="O821">
            <v>0</v>
          </cell>
          <cell r="P821">
            <v>0</v>
          </cell>
          <cell r="Q821" t="str">
            <v/>
          </cell>
          <cell r="R821" t="str">
            <v/>
          </cell>
          <cell r="S821" t="str">
            <v/>
          </cell>
          <cell r="T821" t="str">
            <v/>
          </cell>
          <cell r="U821" t="str">
            <v/>
          </cell>
          <cell r="V821" t="str">
            <v/>
          </cell>
          <cell r="W821">
            <v>0</v>
          </cell>
          <cell r="X821">
            <v>0</v>
          </cell>
          <cell r="Y821" t="str">
            <v/>
          </cell>
          <cell r="Z821" t="str">
            <v>BUY</v>
          </cell>
          <cell r="AA821" t="str">
            <v/>
          </cell>
        </row>
        <row r="822">
          <cell r="A822" t="str">
            <v>B</v>
          </cell>
          <cell r="F822" t="str">
            <v>9053</v>
          </cell>
          <cell r="G822" t="str">
            <v>B</v>
          </cell>
          <cell r="H822">
            <v>18</v>
          </cell>
          <cell r="I822" t="str">
            <v>Unbdgt Oper Res Fund</v>
          </cell>
          <cell r="J822" t="str">
            <v>Unbdgt Oper Res Fund</v>
          </cell>
          <cell r="K822">
            <v>0</v>
          </cell>
          <cell r="L822">
            <v>0</v>
          </cell>
          <cell r="M822">
            <v>0</v>
          </cell>
          <cell r="N822">
            <v>0</v>
          </cell>
          <cell r="O822">
            <v>0</v>
          </cell>
          <cell r="P822">
            <v>0</v>
          </cell>
          <cell r="Q822" t="str">
            <v/>
          </cell>
          <cell r="R822" t="str">
            <v/>
          </cell>
          <cell r="S822" t="str">
            <v/>
          </cell>
          <cell r="T822" t="str">
            <v/>
          </cell>
          <cell r="U822" t="str">
            <v/>
          </cell>
          <cell r="V822" t="str">
            <v/>
          </cell>
          <cell r="W822">
            <v>0</v>
          </cell>
          <cell r="X822">
            <v>0</v>
          </cell>
          <cell r="Y822" t="str">
            <v/>
          </cell>
          <cell r="Z822" t="str">
            <v>BUY</v>
          </cell>
          <cell r="AA822" t="str">
            <v/>
          </cell>
        </row>
        <row r="823">
          <cell r="A823" t="str">
            <v>B</v>
          </cell>
          <cell r="F823" t="str">
            <v>9054</v>
          </cell>
          <cell r="G823" t="str">
            <v>B</v>
          </cell>
          <cell r="H823">
            <v>18</v>
          </cell>
          <cell r="I823" t="str">
            <v>Unbdgt Oper Res Fund</v>
          </cell>
          <cell r="J823" t="str">
            <v>Unbdgt Oper Res Fund</v>
          </cell>
          <cell r="K823">
            <v>0</v>
          </cell>
          <cell r="L823">
            <v>0</v>
          </cell>
          <cell r="M823">
            <v>0</v>
          </cell>
          <cell r="N823">
            <v>0</v>
          </cell>
          <cell r="O823">
            <v>0</v>
          </cell>
          <cell r="P823">
            <v>0</v>
          </cell>
          <cell r="Q823" t="str">
            <v/>
          </cell>
          <cell r="R823" t="str">
            <v/>
          </cell>
          <cell r="S823" t="str">
            <v/>
          </cell>
          <cell r="T823" t="str">
            <v/>
          </cell>
          <cell r="U823" t="str">
            <v/>
          </cell>
          <cell r="V823" t="str">
            <v/>
          </cell>
          <cell r="W823">
            <v>0</v>
          </cell>
          <cell r="X823">
            <v>0</v>
          </cell>
          <cell r="Y823" t="str">
            <v/>
          </cell>
          <cell r="Z823" t="str">
            <v>BUY</v>
          </cell>
          <cell r="AA823" t="str">
            <v/>
          </cell>
        </row>
        <row r="824">
          <cell r="A824" t="str">
            <v>B</v>
          </cell>
          <cell r="F824" t="str">
            <v>9101</v>
          </cell>
          <cell r="G824" t="str">
            <v>B</v>
          </cell>
          <cell r="H824">
            <v>18</v>
          </cell>
          <cell r="I824" t="str">
            <v>Reserve Service Charges</v>
          </cell>
          <cell r="J824" t="str">
            <v>Reserve Service Charges</v>
          </cell>
          <cell r="K824">
            <v>0</v>
          </cell>
          <cell r="L824">
            <v>0</v>
          </cell>
          <cell r="M824">
            <v>0</v>
          </cell>
          <cell r="N824">
            <v>0</v>
          </cell>
          <cell r="O824">
            <v>0</v>
          </cell>
          <cell r="P824">
            <v>0</v>
          </cell>
          <cell r="Q824" t="str">
            <v/>
          </cell>
          <cell r="R824" t="str">
            <v/>
          </cell>
          <cell r="S824" t="str">
            <v/>
          </cell>
          <cell r="T824" t="str">
            <v/>
          </cell>
          <cell r="U824" t="str">
            <v/>
          </cell>
          <cell r="V824" t="str">
            <v/>
          </cell>
          <cell r="W824">
            <v>0</v>
          </cell>
          <cell r="X824">
            <v>0</v>
          </cell>
          <cell r="Y824" t="str">
            <v/>
          </cell>
          <cell r="Z824" t="str">
            <v>BUY</v>
          </cell>
          <cell r="AA824" t="str">
            <v/>
          </cell>
        </row>
        <row r="825">
          <cell r="A825" t="str">
            <v>B</v>
          </cell>
          <cell r="F825" t="str">
            <v>9102</v>
          </cell>
          <cell r="G825" t="str">
            <v>B</v>
          </cell>
          <cell r="H825">
            <v>18</v>
          </cell>
          <cell r="I825" t="str">
            <v>Reserve Interest</v>
          </cell>
          <cell r="J825" t="str">
            <v>Reserve Interest</v>
          </cell>
          <cell r="K825">
            <v>0</v>
          </cell>
          <cell r="L825">
            <v>0</v>
          </cell>
          <cell r="M825">
            <v>0</v>
          </cell>
          <cell r="N825">
            <v>0</v>
          </cell>
          <cell r="O825">
            <v>0</v>
          </cell>
          <cell r="P825">
            <v>0</v>
          </cell>
          <cell r="Q825" t="str">
            <v/>
          </cell>
          <cell r="R825" t="str">
            <v/>
          </cell>
          <cell r="S825" t="str">
            <v/>
          </cell>
          <cell r="T825" t="str">
            <v/>
          </cell>
          <cell r="U825" t="str">
            <v/>
          </cell>
          <cell r="V825" t="str">
            <v/>
          </cell>
          <cell r="W825">
            <v>0</v>
          </cell>
          <cell r="X825">
            <v>0</v>
          </cell>
          <cell r="Y825" t="str">
            <v/>
          </cell>
          <cell r="Z825" t="str">
            <v>BUY</v>
          </cell>
          <cell r="AA825" t="str">
            <v/>
          </cell>
        </row>
        <row r="826">
          <cell r="A826" t="str">
            <v>B</v>
          </cell>
          <cell r="F826" t="str">
            <v>9103</v>
          </cell>
          <cell r="G826" t="str">
            <v>B</v>
          </cell>
          <cell r="H826">
            <v>18</v>
          </cell>
          <cell r="I826" t="str">
            <v>Closing Inc Deposited to Reserve</v>
          </cell>
          <cell r="J826" t="str">
            <v>Closing Inc Deposited to Reserve</v>
          </cell>
          <cell r="K826">
            <v>0</v>
          </cell>
          <cell r="L826">
            <v>0</v>
          </cell>
          <cell r="M826">
            <v>0</v>
          </cell>
          <cell r="N826">
            <v>0</v>
          </cell>
          <cell r="O826">
            <v>0</v>
          </cell>
          <cell r="P826">
            <v>0</v>
          </cell>
          <cell r="Q826" t="str">
            <v/>
          </cell>
          <cell r="R826" t="str">
            <v/>
          </cell>
          <cell r="S826" t="str">
            <v/>
          </cell>
          <cell r="T826" t="str">
            <v/>
          </cell>
          <cell r="U826" t="str">
            <v/>
          </cell>
          <cell r="V826" t="str">
            <v/>
          </cell>
          <cell r="W826">
            <v>0</v>
          </cell>
          <cell r="X826">
            <v>0</v>
          </cell>
          <cell r="Y826" t="str">
            <v/>
          </cell>
          <cell r="Z826" t="str">
            <v>BUY</v>
          </cell>
          <cell r="AA826" t="str">
            <v/>
          </cell>
        </row>
        <row r="827">
          <cell r="A827" t="str">
            <v>B</v>
          </cell>
          <cell r="F827" t="str">
            <v>9110</v>
          </cell>
          <cell r="G827" t="str">
            <v>B</v>
          </cell>
          <cell r="H827">
            <v>19</v>
          </cell>
          <cell r="I827" t="str">
            <v>General Capital Expense</v>
          </cell>
          <cell r="J827" t="str">
            <v>General Capital Expense</v>
          </cell>
          <cell r="K827">
            <v>0</v>
          </cell>
          <cell r="L827">
            <v>0</v>
          </cell>
          <cell r="M827">
            <v>0</v>
          </cell>
          <cell r="N827">
            <v>0</v>
          </cell>
          <cell r="O827">
            <v>0</v>
          </cell>
          <cell r="P827">
            <v>0</v>
          </cell>
          <cell r="Q827" t="str">
            <v/>
          </cell>
          <cell r="R827" t="str">
            <v/>
          </cell>
          <cell r="S827" t="str">
            <v/>
          </cell>
          <cell r="T827" t="str">
            <v/>
          </cell>
          <cell r="U827" t="str">
            <v/>
          </cell>
          <cell r="V827" t="str">
            <v/>
          </cell>
          <cell r="W827">
            <v>0</v>
          </cell>
          <cell r="X827">
            <v>0</v>
          </cell>
          <cell r="Y827" t="str">
            <v/>
          </cell>
          <cell r="Z827" t="str">
            <v>BUY</v>
          </cell>
          <cell r="AA827" t="str">
            <v/>
          </cell>
        </row>
        <row r="828">
          <cell r="A828" t="str">
            <v>B</v>
          </cell>
          <cell r="F828" t="str">
            <v>9110-1</v>
          </cell>
          <cell r="G828" t="str">
            <v>B</v>
          </cell>
          <cell r="H828">
            <v>19</v>
          </cell>
          <cell r="I828" t="str">
            <v>General Captial Expense</v>
          </cell>
          <cell r="J828" t="str">
            <v>General Captial Expense</v>
          </cell>
          <cell r="K828">
            <v>0</v>
          </cell>
          <cell r="L828">
            <v>0</v>
          </cell>
          <cell r="M828">
            <v>0</v>
          </cell>
          <cell r="N828">
            <v>0</v>
          </cell>
          <cell r="O828">
            <v>0</v>
          </cell>
          <cell r="P828">
            <v>0</v>
          </cell>
          <cell r="Q828" t="str">
            <v/>
          </cell>
          <cell r="R828" t="str">
            <v/>
          </cell>
          <cell r="S828" t="str">
            <v/>
          </cell>
          <cell r="T828" t="str">
            <v/>
          </cell>
          <cell r="U828" t="str">
            <v/>
          </cell>
          <cell r="V828" t="str">
            <v/>
          </cell>
          <cell r="W828">
            <v>0</v>
          </cell>
          <cell r="X828">
            <v>0</v>
          </cell>
          <cell r="Y828" t="str">
            <v/>
          </cell>
          <cell r="Z828" t="str">
            <v>BUY</v>
          </cell>
          <cell r="AA828" t="str">
            <v/>
          </cell>
        </row>
        <row r="829">
          <cell r="A829" t="str">
            <v>B</v>
          </cell>
          <cell r="F829" t="str">
            <v>9110-2</v>
          </cell>
          <cell r="G829" t="str">
            <v>B</v>
          </cell>
          <cell r="H829">
            <v>19</v>
          </cell>
          <cell r="I829" t="str">
            <v>General Capital Expense</v>
          </cell>
          <cell r="J829" t="str">
            <v>General Capital Expense</v>
          </cell>
          <cell r="K829">
            <v>0</v>
          </cell>
          <cell r="L829">
            <v>0</v>
          </cell>
          <cell r="M829">
            <v>0</v>
          </cell>
          <cell r="N829">
            <v>0</v>
          </cell>
          <cell r="O829">
            <v>0</v>
          </cell>
          <cell r="P829">
            <v>0</v>
          </cell>
          <cell r="Q829" t="str">
            <v/>
          </cell>
          <cell r="R829" t="str">
            <v/>
          </cell>
          <cell r="S829" t="str">
            <v/>
          </cell>
          <cell r="T829" t="str">
            <v/>
          </cell>
          <cell r="U829" t="str">
            <v/>
          </cell>
          <cell r="V829" t="str">
            <v/>
          </cell>
          <cell r="W829">
            <v>0</v>
          </cell>
          <cell r="X829">
            <v>0</v>
          </cell>
          <cell r="Y829" t="str">
            <v/>
          </cell>
          <cell r="Z829" t="str">
            <v>BUY</v>
          </cell>
          <cell r="AA829" t="str">
            <v/>
          </cell>
        </row>
        <row r="830">
          <cell r="A830" t="str">
            <v>B</v>
          </cell>
          <cell r="F830" t="str">
            <v>9110-3</v>
          </cell>
          <cell r="G830" t="str">
            <v>B</v>
          </cell>
          <cell r="H830">
            <v>19</v>
          </cell>
          <cell r="I830" t="str">
            <v>General Capatal Expense</v>
          </cell>
          <cell r="J830" t="str">
            <v>General Capatal Expense</v>
          </cell>
          <cell r="K830">
            <v>0</v>
          </cell>
          <cell r="L830">
            <v>0</v>
          </cell>
          <cell r="M830">
            <v>0</v>
          </cell>
          <cell r="N830">
            <v>0</v>
          </cell>
          <cell r="O830">
            <v>0</v>
          </cell>
          <cell r="P830">
            <v>0</v>
          </cell>
          <cell r="Q830" t="str">
            <v/>
          </cell>
          <cell r="R830" t="str">
            <v/>
          </cell>
          <cell r="S830" t="str">
            <v/>
          </cell>
          <cell r="T830" t="str">
            <v/>
          </cell>
          <cell r="U830" t="str">
            <v/>
          </cell>
          <cell r="V830" t="str">
            <v/>
          </cell>
          <cell r="W830">
            <v>0</v>
          </cell>
          <cell r="X830">
            <v>0</v>
          </cell>
          <cell r="Y830" t="str">
            <v/>
          </cell>
          <cell r="Z830" t="str">
            <v>BUY</v>
          </cell>
          <cell r="AA830" t="str">
            <v/>
          </cell>
        </row>
        <row r="831">
          <cell r="A831" t="str">
            <v>B</v>
          </cell>
          <cell r="F831" t="str">
            <v>9110-4</v>
          </cell>
          <cell r="G831" t="str">
            <v>B</v>
          </cell>
          <cell r="H831">
            <v>19</v>
          </cell>
          <cell r="I831" t="str">
            <v>Gen'l Capital Exp</v>
          </cell>
          <cell r="J831" t="str">
            <v>Gen'l Capital Exp</v>
          </cell>
          <cell r="K831">
            <v>0</v>
          </cell>
          <cell r="L831">
            <v>0</v>
          </cell>
          <cell r="M831">
            <v>0</v>
          </cell>
          <cell r="N831">
            <v>0</v>
          </cell>
          <cell r="O831">
            <v>0</v>
          </cell>
          <cell r="P831">
            <v>0</v>
          </cell>
          <cell r="Q831" t="str">
            <v/>
          </cell>
          <cell r="R831" t="str">
            <v/>
          </cell>
          <cell r="S831" t="str">
            <v/>
          </cell>
          <cell r="T831" t="str">
            <v/>
          </cell>
          <cell r="U831" t="str">
            <v/>
          </cell>
          <cell r="V831" t="str">
            <v/>
          </cell>
          <cell r="W831">
            <v>0</v>
          </cell>
          <cell r="X831">
            <v>0</v>
          </cell>
          <cell r="Y831" t="str">
            <v/>
          </cell>
          <cell r="Z831" t="str">
            <v>BUY</v>
          </cell>
          <cell r="AA831" t="str">
            <v/>
          </cell>
        </row>
        <row r="832">
          <cell r="A832" t="str">
            <v>B</v>
          </cell>
          <cell r="F832" t="str">
            <v>9110-5</v>
          </cell>
          <cell r="G832" t="str">
            <v>B</v>
          </cell>
          <cell r="H832">
            <v>19</v>
          </cell>
          <cell r="I832" t="str">
            <v>General Captial Expense</v>
          </cell>
          <cell r="J832" t="str">
            <v>General Captial Expense</v>
          </cell>
          <cell r="K832">
            <v>0</v>
          </cell>
          <cell r="L832">
            <v>0</v>
          </cell>
          <cell r="M832">
            <v>0</v>
          </cell>
          <cell r="N832">
            <v>0</v>
          </cell>
          <cell r="O832">
            <v>0</v>
          </cell>
          <cell r="P832">
            <v>0</v>
          </cell>
          <cell r="Q832" t="str">
            <v/>
          </cell>
          <cell r="R832" t="str">
            <v/>
          </cell>
          <cell r="S832" t="str">
            <v/>
          </cell>
          <cell r="T832" t="str">
            <v/>
          </cell>
          <cell r="U832" t="str">
            <v/>
          </cell>
          <cell r="V832" t="str">
            <v/>
          </cell>
          <cell r="W832">
            <v>0</v>
          </cell>
          <cell r="X832">
            <v>0</v>
          </cell>
          <cell r="Y832" t="str">
            <v/>
          </cell>
          <cell r="Z832" t="str">
            <v>BUY</v>
          </cell>
          <cell r="AA832" t="str">
            <v/>
          </cell>
        </row>
        <row r="833">
          <cell r="A833" t="str">
            <v>B</v>
          </cell>
          <cell r="F833" t="str">
            <v>9110-6</v>
          </cell>
          <cell r="G833" t="str">
            <v>B</v>
          </cell>
          <cell r="H833">
            <v>19</v>
          </cell>
          <cell r="I833" t="str">
            <v>General Captial Expense</v>
          </cell>
          <cell r="J833" t="str">
            <v>General Captial Expense</v>
          </cell>
          <cell r="K833">
            <v>0</v>
          </cell>
          <cell r="L833">
            <v>0</v>
          </cell>
          <cell r="M833">
            <v>0</v>
          </cell>
          <cell r="N833">
            <v>0</v>
          </cell>
          <cell r="O833">
            <v>0</v>
          </cell>
          <cell r="P833">
            <v>0</v>
          </cell>
          <cell r="Q833" t="str">
            <v/>
          </cell>
          <cell r="R833" t="str">
            <v/>
          </cell>
          <cell r="S833" t="str">
            <v/>
          </cell>
          <cell r="T833" t="str">
            <v/>
          </cell>
          <cell r="U833" t="str">
            <v/>
          </cell>
          <cell r="V833" t="str">
            <v/>
          </cell>
          <cell r="W833">
            <v>0</v>
          </cell>
          <cell r="X833">
            <v>0</v>
          </cell>
          <cell r="Y833" t="str">
            <v/>
          </cell>
          <cell r="Z833" t="str">
            <v>BUY</v>
          </cell>
          <cell r="AA833" t="str">
            <v/>
          </cell>
        </row>
        <row r="834">
          <cell r="A834" t="str">
            <v>B</v>
          </cell>
          <cell r="F834" t="str">
            <v>9110-7</v>
          </cell>
          <cell r="G834" t="str">
            <v>B</v>
          </cell>
          <cell r="H834">
            <v>19</v>
          </cell>
          <cell r="I834" t="str">
            <v>Gen'l Captial Expense</v>
          </cell>
          <cell r="J834" t="str">
            <v>Gen'l Captial Expense</v>
          </cell>
          <cell r="K834">
            <v>0</v>
          </cell>
          <cell r="L834">
            <v>0</v>
          </cell>
          <cell r="M834">
            <v>0</v>
          </cell>
          <cell r="N834">
            <v>0</v>
          </cell>
          <cell r="O834">
            <v>0</v>
          </cell>
          <cell r="P834">
            <v>0</v>
          </cell>
          <cell r="Q834" t="str">
            <v/>
          </cell>
          <cell r="R834" t="str">
            <v/>
          </cell>
          <cell r="S834" t="str">
            <v/>
          </cell>
          <cell r="T834" t="str">
            <v/>
          </cell>
          <cell r="U834" t="str">
            <v/>
          </cell>
          <cell r="V834" t="str">
            <v/>
          </cell>
          <cell r="W834">
            <v>0</v>
          </cell>
          <cell r="X834">
            <v>0</v>
          </cell>
          <cell r="Y834" t="str">
            <v/>
          </cell>
          <cell r="Z834" t="str">
            <v>BUY</v>
          </cell>
          <cell r="AA834" t="str">
            <v/>
          </cell>
        </row>
        <row r="835">
          <cell r="A835" t="str">
            <v>B</v>
          </cell>
          <cell r="F835" t="str">
            <v>9111</v>
          </cell>
          <cell r="G835" t="str">
            <v>B</v>
          </cell>
          <cell r="H835">
            <v>19</v>
          </cell>
          <cell r="I835" t="str">
            <v>Fire Escape Cap Exp</v>
          </cell>
          <cell r="J835" t="str">
            <v>Fire Escape Cap Exp</v>
          </cell>
          <cell r="K835">
            <v>0</v>
          </cell>
          <cell r="L835">
            <v>0</v>
          </cell>
          <cell r="M835">
            <v>0</v>
          </cell>
          <cell r="N835">
            <v>0</v>
          </cell>
          <cell r="O835">
            <v>0</v>
          </cell>
          <cell r="P835">
            <v>0</v>
          </cell>
          <cell r="Q835" t="str">
            <v/>
          </cell>
          <cell r="R835" t="str">
            <v/>
          </cell>
          <cell r="S835" t="str">
            <v/>
          </cell>
          <cell r="T835" t="str">
            <v/>
          </cell>
          <cell r="U835" t="str">
            <v/>
          </cell>
          <cell r="V835" t="str">
            <v/>
          </cell>
          <cell r="W835">
            <v>0</v>
          </cell>
          <cell r="X835">
            <v>0</v>
          </cell>
          <cell r="Y835" t="str">
            <v/>
          </cell>
          <cell r="Z835" t="str">
            <v>BUY</v>
          </cell>
          <cell r="AA835" t="str">
            <v/>
          </cell>
        </row>
        <row r="836">
          <cell r="A836" t="str">
            <v>B</v>
          </cell>
          <cell r="F836" t="str">
            <v>9112</v>
          </cell>
          <cell r="G836" t="str">
            <v>B</v>
          </cell>
          <cell r="H836">
            <v>19</v>
          </cell>
          <cell r="I836" t="str">
            <v>Plumbing Cap Exp</v>
          </cell>
          <cell r="J836" t="str">
            <v>Plumbing Cap Exp</v>
          </cell>
          <cell r="K836">
            <v>0</v>
          </cell>
          <cell r="L836">
            <v>0</v>
          </cell>
          <cell r="M836">
            <v>0</v>
          </cell>
          <cell r="N836">
            <v>0</v>
          </cell>
          <cell r="O836">
            <v>0</v>
          </cell>
          <cell r="P836">
            <v>0</v>
          </cell>
          <cell r="Q836" t="str">
            <v/>
          </cell>
          <cell r="R836" t="str">
            <v/>
          </cell>
          <cell r="S836" t="str">
            <v/>
          </cell>
          <cell r="T836" t="str">
            <v/>
          </cell>
          <cell r="U836" t="str">
            <v/>
          </cell>
          <cell r="V836" t="str">
            <v/>
          </cell>
          <cell r="W836">
            <v>0</v>
          </cell>
          <cell r="X836">
            <v>0</v>
          </cell>
          <cell r="Y836" t="str">
            <v/>
          </cell>
          <cell r="Z836" t="str">
            <v>BUY</v>
          </cell>
          <cell r="AA836" t="str">
            <v/>
          </cell>
        </row>
        <row r="837">
          <cell r="A837" t="str">
            <v>B</v>
          </cell>
          <cell r="F837" t="str">
            <v>9113</v>
          </cell>
          <cell r="G837" t="str">
            <v>B</v>
          </cell>
          <cell r="H837">
            <v>19</v>
          </cell>
          <cell r="I837" t="str">
            <v>Crawl Space Cap Exp</v>
          </cell>
          <cell r="J837" t="str">
            <v>Crawl Space Cap Exp</v>
          </cell>
          <cell r="K837">
            <v>0</v>
          </cell>
          <cell r="L837">
            <v>0</v>
          </cell>
          <cell r="M837">
            <v>0</v>
          </cell>
          <cell r="N837">
            <v>0</v>
          </cell>
          <cell r="O837">
            <v>0</v>
          </cell>
          <cell r="P837">
            <v>0</v>
          </cell>
          <cell r="Q837" t="str">
            <v/>
          </cell>
          <cell r="R837" t="str">
            <v/>
          </cell>
          <cell r="S837" t="str">
            <v/>
          </cell>
          <cell r="T837" t="str">
            <v/>
          </cell>
          <cell r="U837" t="str">
            <v/>
          </cell>
          <cell r="V837" t="str">
            <v/>
          </cell>
          <cell r="W837">
            <v>0</v>
          </cell>
          <cell r="X837">
            <v>0</v>
          </cell>
          <cell r="Y837" t="str">
            <v/>
          </cell>
          <cell r="Z837" t="str">
            <v>BUY</v>
          </cell>
          <cell r="AA837" t="str">
            <v/>
          </cell>
        </row>
        <row r="838">
          <cell r="A838" t="str">
            <v>B</v>
          </cell>
          <cell r="F838" t="str">
            <v>9114</v>
          </cell>
          <cell r="G838" t="str">
            <v>B</v>
          </cell>
          <cell r="H838">
            <v>19</v>
          </cell>
          <cell r="I838" t="str">
            <v>Water, Steam Pipes Cap Exp</v>
          </cell>
          <cell r="J838" t="str">
            <v>Water, Steam Pipes Cap Exp</v>
          </cell>
          <cell r="K838">
            <v>0</v>
          </cell>
          <cell r="L838">
            <v>0</v>
          </cell>
          <cell r="M838">
            <v>0</v>
          </cell>
          <cell r="N838">
            <v>0</v>
          </cell>
          <cell r="O838">
            <v>0</v>
          </cell>
          <cell r="P838">
            <v>0</v>
          </cell>
          <cell r="Q838" t="str">
            <v/>
          </cell>
          <cell r="R838" t="str">
            <v/>
          </cell>
          <cell r="S838" t="str">
            <v/>
          </cell>
          <cell r="T838" t="str">
            <v/>
          </cell>
          <cell r="U838" t="str">
            <v/>
          </cell>
          <cell r="V838" t="str">
            <v/>
          </cell>
          <cell r="W838">
            <v>0</v>
          </cell>
          <cell r="X838">
            <v>0</v>
          </cell>
          <cell r="Y838" t="str">
            <v/>
          </cell>
          <cell r="Z838" t="str">
            <v>BUY</v>
          </cell>
          <cell r="AA838" t="str">
            <v/>
          </cell>
        </row>
        <row r="839">
          <cell r="A839" t="str">
            <v>B</v>
          </cell>
          <cell r="F839" t="str">
            <v>9115</v>
          </cell>
          <cell r="G839" t="str">
            <v>B</v>
          </cell>
          <cell r="H839">
            <v>19</v>
          </cell>
          <cell r="I839" t="str">
            <v>Recreation Reserve Expense</v>
          </cell>
          <cell r="J839" t="str">
            <v>Recreation Reserve Expense</v>
          </cell>
          <cell r="K839">
            <v>0</v>
          </cell>
          <cell r="L839">
            <v>0</v>
          </cell>
          <cell r="M839">
            <v>0</v>
          </cell>
          <cell r="N839">
            <v>0</v>
          </cell>
          <cell r="O839">
            <v>0</v>
          </cell>
          <cell r="P839">
            <v>0</v>
          </cell>
          <cell r="Q839" t="str">
            <v/>
          </cell>
          <cell r="R839" t="str">
            <v/>
          </cell>
          <cell r="S839" t="str">
            <v/>
          </cell>
          <cell r="T839" t="str">
            <v/>
          </cell>
          <cell r="U839" t="str">
            <v/>
          </cell>
          <cell r="V839" t="str">
            <v/>
          </cell>
          <cell r="W839">
            <v>0</v>
          </cell>
          <cell r="X839">
            <v>0</v>
          </cell>
          <cell r="Y839" t="str">
            <v/>
          </cell>
          <cell r="Z839" t="str">
            <v>BUY</v>
          </cell>
          <cell r="AA839" t="str">
            <v/>
          </cell>
        </row>
        <row r="840">
          <cell r="A840" t="str">
            <v>B</v>
          </cell>
          <cell r="F840" t="str">
            <v>9116</v>
          </cell>
          <cell r="G840" t="str">
            <v>B</v>
          </cell>
          <cell r="H840">
            <v>19</v>
          </cell>
          <cell r="I840" t="str">
            <v>Capital Loan Payment</v>
          </cell>
          <cell r="J840" t="str">
            <v>Capital Loan Payment</v>
          </cell>
          <cell r="K840">
            <v>0</v>
          </cell>
          <cell r="L840">
            <v>0</v>
          </cell>
          <cell r="M840">
            <v>0</v>
          </cell>
          <cell r="N840">
            <v>0</v>
          </cell>
          <cell r="O840">
            <v>0</v>
          </cell>
          <cell r="P840">
            <v>0</v>
          </cell>
          <cell r="Q840" t="str">
            <v/>
          </cell>
          <cell r="R840" t="str">
            <v/>
          </cell>
          <cell r="S840" t="str">
            <v/>
          </cell>
          <cell r="T840" t="str">
            <v/>
          </cell>
          <cell r="U840" t="str">
            <v/>
          </cell>
          <cell r="V840" t="str">
            <v/>
          </cell>
          <cell r="W840">
            <v>0</v>
          </cell>
          <cell r="X840">
            <v>0</v>
          </cell>
          <cell r="Y840" t="str">
            <v/>
          </cell>
          <cell r="Z840" t="str">
            <v>BUY</v>
          </cell>
          <cell r="AA840" t="str">
            <v/>
          </cell>
        </row>
        <row r="841">
          <cell r="A841" t="str">
            <v>B</v>
          </cell>
          <cell r="F841" t="str">
            <v>9118</v>
          </cell>
          <cell r="G841" t="str">
            <v>B</v>
          </cell>
          <cell r="H841">
            <v>19</v>
          </cell>
          <cell r="I841" t="str">
            <v>Boiler &amp; Heating Sys</v>
          </cell>
          <cell r="J841" t="str">
            <v>Boiler &amp; Heating Sys</v>
          </cell>
          <cell r="K841">
            <v>0</v>
          </cell>
          <cell r="L841">
            <v>0</v>
          </cell>
          <cell r="M841">
            <v>0</v>
          </cell>
          <cell r="N841">
            <v>0</v>
          </cell>
          <cell r="O841">
            <v>0</v>
          </cell>
          <cell r="P841">
            <v>0</v>
          </cell>
          <cell r="Q841" t="str">
            <v/>
          </cell>
          <cell r="R841" t="str">
            <v/>
          </cell>
          <cell r="S841" t="str">
            <v/>
          </cell>
          <cell r="T841" t="str">
            <v/>
          </cell>
          <cell r="U841" t="str">
            <v/>
          </cell>
          <cell r="V841" t="str">
            <v/>
          </cell>
          <cell r="W841">
            <v>0</v>
          </cell>
          <cell r="X841">
            <v>0</v>
          </cell>
          <cell r="Y841" t="str">
            <v/>
          </cell>
          <cell r="Z841" t="str">
            <v>BUY</v>
          </cell>
          <cell r="AA841" t="str">
            <v/>
          </cell>
        </row>
        <row r="842">
          <cell r="A842" t="str">
            <v>B</v>
          </cell>
          <cell r="F842" t="str">
            <v>9120</v>
          </cell>
          <cell r="G842" t="str">
            <v>B</v>
          </cell>
          <cell r="H842">
            <v>19</v>
          </cell>
          <cell r="I842" t="str">
            <v>Building Capital Expense</v>
          </cell>
          <cell r="J842" t="str">
            <v>Building Capital Expense</v>
          </cell>
          <cell r="K842">
            <v>0</v>
          </cell>
          <cell r="L842">
            <v>0</v>
          </cell>
          <cell r="M842">
            <v>0</v>
          </cell>
          <cell r="N842">
            <v>0</v>
          </cell>
          <cell r="O842">
            <v>0</v>
          </cell>
          <cell r="P842">
            <v>0</v>
          </cell>
          <cell r="Q842" t="str">
            <v/>
          </cell>
          <cell r="R842" t="str">
            <v/>
          </cell>
          <cell r="S842" t="str">
            <v/>
          </cell>
          <cell r="T842" t="str">
            <v/>
          </cell>
          <cell r="U842" t="str">
            <v/>
          </cell>
          <cell r="V842" t="str">
            <v/>
          </cell>
          <cell r="W842">
            <v>0</v>
          </cell>
          <cell r="X842">
            <v>0</v>
          </cell>
          <cell r="Y842" t="str">
            <v/>
          </cell>
          <cell r="Z842" t="str">
            <v>BUY</v>
          </cell>
          <cell r="AA842" t="str">
            <v/>
          </cell>
        </row>
        <row r="843">
          <cell r="A843" t="str">
            <v>B</v>
          </cell>
          <cell r="F843" t="str">
            <v>9121</v>
          </cell>
          <cell r="G843" t="str">
            <v>B</v>
          </cell>
          <cell r="H843">
            <v>19</v>
          </cell>
          <cell r="I843" t="str">
            <v>Roof Capital Expense</v>
          </cell>
          <cell r="J843" t="str">
            <v>Roof Capital Expense</v>
          </cell>
          <cell r="K843">
            <v>0</v>
          </cell>
          <cell r="L843">
            <v>0</v>
          </cell>
          <cell r="M843">
            <v>0</v>
          </cell>
          <cell r="N843">
            <v>0</v>
          </cell>
          <cell r="O843">
            <v>0</v>
          </cell>
          <cell r="P843">
            <v>0</v>
          </cell>
          <cell r="Q843" t="str">
            <v/>
          </cell>
          <cell r="R843" t="str">
            <v/>
          </cell>
          <cell r="S843" t="str">
            <v/>
          </cell>
          <cell r="T843" t="str">
            <v/>
          </cell>
          <cell r="U843" t="str">
            <v/>
          </cell>
          <cell r="V843" t="str">
            <v/>
          </cell>
          <cell r="W843">
            <v>0</v>
          </cell>
          <cell r="X843">
            <v>0</v>
          </cell>
          <cell r="Y843" t="str">
            <v/>
          </cell>
          <cell r="Z843" t="str">
            <v>BUY</v>
          </cell>
          <cell r="AA843" t="str">
            <v/>
          </cell>
        </row>
        <row r="844">
          <cell r="A844" t="str">
            <v>B</v>
          </cell>
          <cell r="F844" t="str">
            <v>9122</v>
          </cell>
          <cell r="G844" t="str">
            <v>B</v>
          </cell>
          <cell r="H844">
            <v>19</v>
          </cell>
          <cell r="I844" t="str">
            <v>Exterior Wall Cap Expense</v>
          </cell>
          <cell r="J844" t="str">
            <v>Exterior Wall Cap Expense</v>
          </cell>
          <cell r="K844">
            <v>0</v>
          </cell>
          <cell r="L844">
            <v>0</v>
          </cell>
          <cell r="M844">
            <v>0</v>
          </cell>
          <cell r="N844">
            <v>0</v>
          </cell>
          <cell r="O844">
            <v>0</v>
          </cell>
          <cell r="P844">
            <v>0</v>
          </cell>
          <cell r="Q844" t="str">
            <v/>
          </cell>
          <cell r="R844" t="str">
            <v/>
          </cell>
          <cell r="S844" t="str">
            <v/>
          </cell>
          <cell r="T844" t="str">
            <v/>
          </cell>
          <cell r="U844" t="str">
            <v/>
          </cell>
          <cell r="V844" t="str">
            <v/>
          </cell>
          <cell r="W844">
            <v>0</v>
          </cell>
          <cell r="X844">
            <v>0</v>
          </cell>
          <cell r="Y844" t="str">
            <v/>
          </cell>
          <cell r="Z844" t="str">
            <v>BUY</v>
          </cell>
          <cell r="AA844" t="str">
            <v/>
          </cell>
        </row>
        <row r="845">
          <cell r="A845" t="str">
            <v>B</v>
          </cell>
          <cell r="F845" t="str">
            <v>9123</v>
          </cell>
          <cell r="G845" t="str">
            <v>B</v>
          </cell>
          <cell r="H845">
            <v>19</v>
          </cell>
          <cell r="I845" t="str">
            <v>Balcony Cap Exp/Inc</v>
          </cell>
          <cell r="J845" t="str">
            <v>Balcony Cap Exp/Inc</v>
          </cell>
          <cell r="K845">
            <v>0</v>
          </cell>
          <cell r="L845">
            <v>0</v>
          </cell>
          <cell r="M845">
            <v>0</v>
          </cell>
          <cell r="N845">
            <v>0</v>
          </cell>
          <cell r="O845">
            <v>0</v>
          </cell>
          <cell r="P845">
            <v>0</v>
          </cell>
          <cell r="Q845" t="str">
            <v/>
          </cell>
          <cell r="R845" t="str">
            <v/>
          </cell>
          <cell r="S845" t="str">
            <v/>
          </cell>
          <cell r="T845" t="str">
            <v/>
          </cell>
          <cell r="U845" t="str">
            <v/>
          </cell>
          <cell r="V845" t="str">
            <v/>
          </cell>
          <cell r="W845">
            <v>0</v>
          </cell>
          <cell r="X845">
            <v>0</v>
          </cell>
          <cell r="Y845" t="str">
            <v/>
          </cell>
          <cell r="Z845" t="str">
            <v>BUY</v>
          </cell>
          <cell r="AA845" t="str">
            <v/>
          </cell>
        </row>
        <row r="846">
          <cell r="A846" t="str">
            <v>B</v>
          </cell>
          <cell r="F846" t="str">
            <v>9124</v>
          </cell>
          <cell r="G846" t="str">
            <v>B</v>
          </cell>
          <cell r="H846">
            <v>19</v>
          </cell>
          <cell r="I846" t="str">
            <v>Interior/Remodeling Expense</v>
          </cell>
          <cell r="J846" t="str">
            <v>Interior/Remodeling Expense</v>
          </cell>
          <cell r="K846">
            <v>0</v>
          </cell>
          <cell r="L846">
            <v>0</v>
          </cell>
          <cell r="M846">
            <v>0</v>
          </cell>
          <cell r="N846">
            <v>0</v>
          </cell>
          <cell r="O846">
            <v>0</v>
          </cell>
          <cell r="P846">
            <v>0</v>
          </cell>
          <cell r="Q846" t="str">
            <v/>
          </cell>
          <cell r="R846" t="str">
            <v/>
          </cell>
          <cell r="S846" t="str">
            <v/>
          </cell>
          <cell r="T846" t="str">
            <v/>
          </cell>
          <cell r="U846" t="str">
            <v/>
          </cell>
          <cell r="V846" t="str">
            <v/>
          </cell>
          <cell r="W846">
            <v>0</v>
          </cell>
          <cell r="X846">
            <v>0</v>
          </cell>
          <cell r="Y846" t="str">
            <v/>
          </cell>
          <cell r="Z846" t="str">
            <v>BUY</v>
          </cell>
          <cell r="AA846" t="str">
            <v/>
          </cell>
        </row>
        <row r="847">
          <cell r="A847" t="str">
            <v>B</v>
          </cell>
          <cell r="F847" t="str">
            <v>9125</v>
          </cell>
          <cell r="G847" t="str">
            <v>B</v>
          </cell>
          <cell r="H847">
            <v>19</v>
          </cell>
          <cell r="I847" t="str">
            <v>Auditor  Cap Bldg Ex</v>
          </cell>
          <cell r="J847" t="str">
            <v>Auditor  Cap Bldg Ex</v>
          </cell>
          <cell r="K847">
            <v>0</v>
          </cell>
          <cell r="L847">
            <v>0</v>
          </cell>
          <cell r="M847">
            <v>0</v>
          </cell>
          <cell r="N847">
            <v>0</v>
          </cell>
          <cell r="O847">
            <v>0</v>
          </cell>
          <cell r="P847">
            <v>0</v>
          </cell>
          <cell r="Q847" t="str">
            <v/>
          </cell>
          <cell r="R847" t="str">
            <v/>
          </cell>
          <cell r="S847" t="str">
            <v/>
          </cell>
          <cell r="T847" t="str">
            <v/>
          </cell>
          <cell r="U847" t="str">
            <v/>
          </cell>
          <cell r="V847" t="str">
            <v/>
          </cell>
          <cell r="W847">
            <v>0</v>
          </cell>
          <cell r="X847">
            <v>0</v>
          </cell>
          <cell r="Y847" t="str">
            <v/>
          </cell>
          <cell r="Z847" t="str">
            <v>BUY</v>
          </cell>
          <cell r="AA847" t="str">
            <v/>
          </cell>
        </row>
        <row r="848">
          <cell r="A848" t="str">
            <v>B</v>
          </cell>
          <cell r="F848" t="str">
            <v>9126</v>
          </cell>
          <cell r="G848" t="str">
            <v>B</v>
          </cell>
          <cell r="H848">
            <v>19</v>
          </cell>
          <cell r="I848" t="str">
            <v>Auditor Cap Bldg Ex</v>
          </cell>
          <cell r="J848" t="str">
            <v>Auditor Cap Bldg Ex</v>
          </cell>
          <cell r="K848">
            <v>0</v>
          </cell>
          <cell r="L848">
            <v>0</v>
          </cell>
          <cell r="M848">
            <v>0</v>
          </cell>
          <cell r="N848">
            <v>0</v>
          </cell>
          <cell r="O848">
            <v>0</v>
          </cell>
          <cell r="P848">
            <v>0</v>
          </cell>
          <cell r="Q848" t="str">
            <v/>
          </cell>
          <cell r="R848" t="str">
            <v/>
          </cell>
          <cell r="S848" t="str">
            <v/>
          </cell>
          <cell r="T848" t="str">
            <v/>
          </cell>
          <cell r="U848" t="str">
            <v/>
          </cell>
          <cell r="V848" t="str">
            <v/>
          </cell>
          <cell r="W848">
            <v>0</v>
          </cell>
          <cell r="X848">
            <v>0</v>
          </cell>
          <cell r="Y848" t="str">
            <v/>
          </cell>
          <cell r="Z848" t="str">
            <v>BUY</v>
          </cell>
          <cell r="AA848" t="str">
            <v/>
          </cell>
        </row>
        <row r="849">
          <cell r="A849" t="str">
            <v>B</v>
          </cell>
          <cell r="F849" t="str">
            <v>9127</v>
          </cell>
          <cell r="G849" t="str">
            <v>B</v>
          </cell>
          <cell r="H849">
            <v>19</v>
          </cell>
          <cell r="I849" t="str">
            <v>Elevator Cap Expense</v>
          </cell>
          <cell r="J849" t="str">
            <v>Elevator Cap Expense</v>
          </cell>
          <cell r="K849">
            <v>0</v>
          </cell>
          <cell r="L849">
            <v>0</v>
          </cell>
          <cell r="M849">
            <v>0</v>
          </cell>
          <cell r="N849">
            <v>0</v>
          </cell>
          <cell r="O849">
            <v>0</v>
          </cell>
          <cell r="P849">
            <v>0</v>
          </cell>
          <cell r="Q849" t="str">
            <v/>
          </cell>
          <cell r="R849" t="str">
            <v/>
          </cell>
          <cell r="S849" t="str">
            <v/>
          </cell>
          <cell r="T849" t="str">
            <v/>
          </cell>
          <cell r="U849" t="str">
            <v/>
          </cell>
          <cell r="V849" t="str">
            <v/>
          </cell>
          <cell r="W849">
            <v>0</v>
          </cell>
          <cell r="X849">
            <v>0</v>
          </cell>
          <cell r="Y849" t="str">
            <v/>
          </cell>
          <cell r="Z849" t="str">
            <v>BUY</v>
          </cell>
          <cell r="AA849" t="str">
            <v/>
          </cell>
        </row>
        <row r="850">
          <cell r="A850" t="str">
            <v>B</v>
          </cell>
          <cell r="F850" t="str">
            <v>9130</v>
          </cell>
          <cell r="G850" t="str">
            <v>B</v>
          </cell>
          <cell r="H850">
            <v>19</v>
          </cell>
          <cell r="I850" t="str">
            <v>Grounds Capital Expense</v>
          </cell>
          <cell r="J850" t="str">
            <v>Grounds Capital Expense</v>
          </cell>
          <cell r="K850">
            <v>0</v>
          </cell>
          <cell r="L850">
            <v>0</v>
          </cell>
          <cell r="M850">
            <v>0</v>
          </cell>
          <cell r="N850">
            <v>0</v>
          </cell>
          <cell r="O850">
            <v>0</v>
          </cell>
          <cell r="P850">
            <v>0</v>
          </cell>
          <cell r="Q850" t="str">
            <v/>
          </cell>
          <cell r="R850" t="str">
            <v/>
          </cell>
          <cell r="S850" t="str">
            <v/>
          </cell>
          <cell r="T850" t="str">
            <v/>
          </cell>
          <cell r="U850" t="str">
            <v/>
          </cell>
          <cell r="V850" t="str">
            <v/>
          </cell>
          <cell r="W850">
            <v>0</v>
          </cell>
          <cell r="X850">
            <v>0</v>
          </cell>
          <cell r="Y850" t="str">
            <v/>
          </cell>
          <cell r="Z850" t="str">
            <v>BUY</v>
          </cell>
          <cell r="AA850" t="str">
            <v/>
          </cell>
        </row>
        <row r="851">
          <cell r="A851" t="str">
            <v>B</v>
          </cell>
          <cell r="F851" t="str">
            <v>9131</v>
          </cell>
          <cell r="G851" t="str">
            <v>B</v>
          </cell>
          <cell r="H851">
            <v>19</v>
          </cell>
          <cell r="I851" t="str">
            <v>Road, Parking, Sidewalk Expense</v>
          </cell>
          <cell r="J851" t="str">
            <v>Road, Parking, Sidewalk Expense</v>
          </cell>
          <cell r="K851">
            <v>0</v>
          </cell>
          <cell r="L851">
            <v>0</v>
          </cell>
          <cell r="M851">
            <v>0</v>
          </cell>
          <cell r="N851">
            <v>0</v>
          </cell>
          <cell r="O851">
            <v>0</v>
          </cell>
          <cell r="P851">
            <v>0</v>
          </cell>
          <cell r="Q851" t="str">
            <v/>
          </cell>
          <cell r="R851" t="str">
            <v/>
          </cell>
          <cell r="S851" t="str">
            <v/>
          </cell>
          <cell r="T851" t="str">
            <v/>
          </cell>
          <cell r="U851" t="str">
            <v/>
          </cell>
          <cell r="V851" t="str">
            <v/>
          </cell>
          <cell r="W851">
            <v>0</v>
          </cell>
          <cell r="X851">
            <v>0</v>
          </cell>
          <cell r="Y851" t="str">
            <v/>
          </cell>
          <cell r="Z851" t="str">
            <v>BUY</v>
          </cell>
          <cell r="AA851" t="str">
            <v/>
          </cell>
        </row>
        <row r="852">
          <cell r="A852" t="str">
            <v>B</v>
          </cell>
          <cell r="F852" t="str">
            <v>9132</v>
          </cell>
          <cell r="G852" t="str">
            <v>B</v>
          </cell>
          <cell r="H852">
            <v>19</v>
          </cell>
          <cell r="I852" t="str">
            <v>Fence Capital Expense</v>
          </cell>
          <cell r="J852" t="str">
            <v>Fence Capital Expense</v>
          </cell>
          <cell r="K852">
            <v>0</v>
          </cell>
          <cell r="L852">
            <v>0</v>
          </cell>
          <cell r="M852">
            <v>0</v>
          </cell>
          <cell r="N852">
            <v>0</v>
          </cell>
          <cell r="O852">
            <v>0</v>
          </cell>
          <cell r="P852">
            <v>0</v>
          </cell>
          <cell r="Q852" t="str">
            <v/>
          </cell>
          <cell r="R852" t="str">
            <v/>
          </cell>
          <cell r="S852" t="str">
            <v/>
          </cell>
          <cell r="T852" t="str">
            <v/>
          </cell>
          <cell r="U852" t="str">
            <v/>
          </cell>
          <cell r="V852" t="str">
            <v/>
          </cell>
          <cell r="W852">
            <v>0</v>
          </cell>
          <cell r="X852">
            <v>0</v>
          </cell>
          <cell r="Y852" t="str">
            <v/>
          </cell>
          <cell r="Z852" t="str">
            <v>BUY</v>
          </cell>
          <cell r="AA852" t="str">
            <v/>
          </cell>
        </row>
        <row r="853">
          <cell r="A853" t="str">
            <v>B</v>
          </cell>
          <cell r="F853" t="str">
            <v>9133</v>
          </cell>
          <cell r="G853" t="str">
            <v>B</v>
          </cell>
          <cell r="H853">
            <v>19</v>
          </cell>
          <cell r="I853" t="str">
            <v>Landscape Capital Expense</v>
          </cell>
          <cell r="J853" t="str">
            <v>Landscape Capital Expense</v>
          </cell>
          <cell r="K853">
            <v>0</v>
          </cell>
          <cell r="L853">
            <v>0</v>
          </cell>
          <cell r="M853">
            <v>0</v>
          </cell>
          <cell r="N853">
            <v>0</v>
          </cell>
          <cell r="O853">
            <v>0</v>
          </cell>
          <cell r="P853">
            <v>0</v>
          </cell>
          <cell r="Q853" t="str">
            <v/>
          </cell>
          <cell r="R853" t="str">
            <v/>
          </cell>
          <cell r="S853" t="str">
            <v/>
          </cell>
          <cell r="T853" t="str">
            <v/>
          </cell>
          <cell r="U853" t="str">
            <v/>
          </cell>
          <cell r="V853" t="str">
            <v/>
          </cell>
          <cell r="W853">
            <v>0</v>
          </cell>
          <cell r="X853">
            <v>0</v>
          </cell>
          <cell r="Y853" t="str">
            <v/>
          </cell>
          <cell r="Z853" t="str">
            <v>BUY</v>
          </cell>
          <cell r="AA853" t="str">
            <v/>
          </cell>
        </row>
        <row r="854">
          <cell r="A854" t="str">
            <v>B</v>
          </cell>
          <cell r="F854" t="str">
            <v>9134</v>
          </cell>
          <cell r="G854" t="str">
            <v>B</v>
          </cell>
          <cell r="H854">
            <v>19</v>
          </cell>
          <cell r="I854" t="str">
            <v>Lakes/Pond Capital Expense</v>
          </cell>
          <cell r="J854" t="str">
            <v>Lakes/Pond Capital Expense</v>
          </cell>
          <cell r="K854">
            <v>0</v>
          </cell>
          <cell r="L854">
            <v>0</v>
          </cell>
          <cell r="M854">
            <v>0</v>
          </cell>
          <cell r="N854">
            <v>0</v>
          </cell>
          <cell r="O854">
            <v>0</v>
          </cell>
          <cell r="P854">
            <v>0</v>
          </cell>
          <cell r="Q854" t="str">
            <v/>
          </cell>
          <cell r="R854" t="str">
            <v/>
          </cell>
          <cell r="S854" t="str">
            <v/>
          </cell>
          <cell r="T854" t="str">
            <v/>
          </cell>
          <cell r="U854" t="str">
            <v/>
          </cell>
          <cell r="V854" t="str">
            <v/>
          </cell>
          <cell r="W854">
            <v>0</v>
          </cell>
          <cell r="X854">
            <v>0</v>
          </cell>
          <cell r="Y854" t="str">
            <v/>
          </cell>
          <cell r="Z854" t="str">
            <v>BUY</v>
          </cell>
          <cell r="AA854" t="str">
            <v/>
          </cell>
        </row>
        <row r="855">
          <cell r="A855" t="str">
            <v>B</v>
          </cell>
          <cell r="F855" t="str">
            <v>9135</v>
          </cell>
          <cell r="G855" t="str">
            <v>B</v>
          </cell>
          <cell r="H855">
            <v>19</v>
          </cell>
          <cell r="I855" t="str">
            <v>Fire Equipment Capital Expense</v>
          </cell>
          <cell r="J855" t="str">
            <v>Fire Equipment Capital Expense</v>
          </cell>
          <cell r="K855">
            <v>0</v>
          </cell>
          <cell r="L855">
            <v>0</v>
          </cell>
          <cell r="M855">
            <v>0</v>
          </cell>
          <cell r="N855">
            <v>0</v>
          </cell>
          <cell r="O855">
            <v>0</v>
          </cell>
          <cell r="P855">
            <v>0</v>
          </cell>
          <cell r="Q855" t="str">
            <v/>
          </cell>
          <cell r="R855" t="str">
            <v/>
          </cell>
          <cell r="S855" t="str">
            <v/>
          </cell>
          <cell r="T855" t="str">
            <v/>
          </cell>
          <cell r="U855" t="str">
            <v/>
          </cell>
          <cell r="V855" t="str">
            <v/>
          </cell>
          <cell r="W855">
            <v>0</v>
          </cell>
          <cell r="X855">
            <v>0</v>
          </cell>
          <cell r="Y855" t="str">
            <v/>
          </cell>
          <cell r="Z855" t="str">
            <v>BUY</v>
          </cell>
          <cell r="AA855" t="str">
            <v/>
          </cell>
        </row>
        <row r="856">
          <cell r="A856" t="str">
            <v>B</v>
          </cell>
          <cell r="F856" t="str">
            <v>9140</v>
          </cell>
          <cell r="G856" t="str">
            <v>B</v>
          </cell>
          <cell r="H856">
            <v>19</v>
          </cell>
          <cell r="I856" t="str">
            <v>Return Performance Bond</v>
          </cell>
          <cell r="J856" t="str">
            <v>Return Performance Bond</v>
          </cell>
          <cell r="K856">
            <v>0</v>
          </cell>
          <cell r="L856">
            <v>0</v>
          </cell>
          <cell r="M856">
            <v>0</v>
          </cell>
          <cell r="N856">
            <v>0</v>
          </cell>
          <cell r="O856">
            <v>0</v>
          </cell>
          <cell r="P856">
            <v>0</v>
          </cell>
          <cell r="Q856" t="str">
            <v/>
          </cell>
          <cell r="R856" t="str">
            <v/>
          </cell>
          <cell r="S856" t="str">
            <v/>
          </cell>
          <cell r="T856" t="str">
            <v/>
          </cell>
          <cell r="U856" t="str">
            <v/>
          </cell>
          <cell r="V856" t="str">
            <v/>
          </cell>
          <cell r="W856">
            <v>0</v>
          </cell>
          <cell r="X856">
            <v>0</v>
          </cell>
          <cell r="Y856" t="str">
            <v/>
          </cell>
          <cell r="Z856" t="str">
            <v>BUY</v>
          </cell>
          <cell r="AA856" t="str">
            <v/>
          </cell>
        </row>
        <row r="857">
          <cell r="A857" t="str">
            <v>B</v>
          </cell>
          <cell r="F857" t="str">
            <v>9150</v>
          </cell>
          <cell r="G857" t="str">
            <v>B</v>
          </cell>
          <cell r="H857">
            <v>19</v>
          </cell>
          <cell r="I857" t="str">
            <v>Reserve Study</v>
          </cell>
          <cell r="J857" t="str">
            <v>Reserve Study</v>
          </cell>
          <cell r="K857">
            <v>0</v>
          </cell>
          <cell r="L857">
            <v>0</v>
          </cell>
          <cell r="M857">
            <v>0</v>
          </cell>
          <cell r="N857">
            <v>0</v>
          </cell>
          <cell r="O857">
            <v>0</v>
          </cell>
          <cell r="P857">
            <v>0</v>
          </cell>
          <cell r="Q857" t="str">
            <v/>
          </cell>
          <cell r="R857" t="str">
            <v/>
          </cell>
          <cell r="S857" t="str">
            <v/>
          </cell>
          <cell r="T857" t="str">
            <v/>
          </cell>
          <cell r="U857" t="str">
            <v/>
          </cell>
          <cell r="V857" t="str">
            <v/>
          </cell>
          <cell r="W857">
            <v>0</v>
          </cell>
          <cell r="X857">
            <v>0</v>
          </cell>
          <cell r="Y857" t="str">
            <v/>
          </cell>
          <cell r="Z857" t="str">
            <v>BUY</v>
          </cell>
          <cell r="AA857" t="str">
            <v/>
          </cell>
        </row>
        <row r="858">
          <cell r="A858" t="str">
            <v>B</v>
          </cell>
          <cell r="F858" t="str">
            <v>9151</v>
          </cell>
          <cell r="G858" t="str">
            <v>B</v>
          </cell>
          <cell r="H858">
            <v>19</v>
          </cell>
          <cell r="I858" t="str">
            <v>Capital Project Management</v>
          </cell>
          <cell r="J858" t="str">
            <v>Capital Project Management</v>
          </cell>
          <cell r="K858">
            <v>0</v>
          </cell>
          <cell r="L858">
            <v>0</v>
          </cell>
          <cell r="M858">
            <v>0</v>
          </cell>
          <cell r="N858">
            <v>0</v>
          </cell>
          <cell r="O858">
            <v>0</v>
          </cell>
          <cell r="P858">
            <v>0</v>
          </cell>
          <cell r="Q858" t="str">
            <v/>
          </cell>
          <cell r="R858" t="str">
            <v/>
          </cell>
          <cell r="S858" t="str">
            <v/>
          </cell>
          <cell r="T858" t="str">
            <v/>
          </cell>
          <cell r="U858" t="str">
            <v/>
          </cell>
          <cell r="V858" t="str">
            <v/>
          </cell>
          <cell r="W858">
            <v>0</v>
          </cell>
          <cell r="X858">
            <v>0</v>
          </cell>
          <cell r="Y858" t="str">
            <v/>
          </cell>
          <cell r="Z858" t="str">
            <v>BUY</v>
          </cell>
          <cell r="AA858" t="str">
            <v/>
          </cell>
        </row>
        <row r="859">
          <cell r="A859" t="str">
            <v>B</v>
          </cell>
          <cell r="F859" t="str">
            <v>9160</v>
          </cell>
          <cell r="G859" t="str">
            <v>B</v>
          </cell>
          <cell r="H859">
            <v>19</v>
          </cell>
          <cell r="I859" t="str">
            <v>Building Capital Expense</v>
          </cell>
          <cell r="J859" t="str">
            <v>Building Capital Expense</v>
          </cell>
          <cell r="K859">
            <v>0</v>
          </cell>
          <cell r="L859">
            <v>0</v>
          </cell>
          <cell r="M859">
            <v>0</v>
          </cell>
          <cell r="N859">
            <v>0</v>
          </cell>
          <cell r="O859">
            <v>4500</v>
          </cell>
          <cell r="P859">
            <v>4500</v>
          </cell>
          <cell r="Q859" t="str">
            <v/>
          </cell>
          <cell r="R859" t="str">
            <v>Pool Furniture</v>
          </cell>
          <cell r="S859" t="str">
            <v/>
          </cell>
          <cell r="T859" t="str">
            <v/>
          </cell>
          <cell r="U859" t="str">
            <v/>
          </cell>
          <cell r="V859" t="str">
            <v/>
          </cell>
          <cell r="W859">
            <v>4500</v>
          </cell>
          <cell r="X859">
            <v>0</v>
          </cell>
          <cell r="Y859" t="str">
            <v>A</v>
          </cell>
          <cell r="Z859" t="str">
            <v>BUY</v>
          </cell>
          <cell r="AA859" t="str">
            <v/>
          </cell>
        </row>
        <row r="860">
          <cell r="A860" t="str">
            <v>B</v>
          </cell>
          <cell r="F860" t="str">
            <v>9160-1</v>
          </cell>
          <cell r="G860" t="str">
            <v>B</v>
          </cell>
          <cell r="H860">
            <v>19</v>
          </cell>
          <cell r="I860" t="str">
            <v>Building Capital Expense</v>
          </cell>
          <cell r="J860" t="str">
            <v>Building Capital Expense</v>
          </cell>
          <cell r="K860">
            <v>0</v>
          </cell>
          <cell r="L860">
            <v>0</v>
          </cell>
          <cell r="M860">
            <v>0</v>
          </cell>
          <cell r="N860">
            <v>0</v>
          </cell>
          <cell r="O860">
            <v>5500</v>
          </cell>
          <cell r="P860">
            <v>5500</v>
          </cell>
          <cell r="Q860" t="str">
            <v/>
          </cell>
          <cell r="R860" t="str">
            <v>Fitness room equipment replacement</v>
          </cell>
          <cell r="S860" t="str">
            <v/>
          </cell>
          <cell r="T860" t="str">
            <v/>
          </cell>
          <cell r="U860" t="str">
            <v/>
          </cell>
          <cell r="V860" t="str">
            <v/>
          </cell>
          <cell r="W860">
            <v>5500</v>
          </cell>
          <cell r="X860">
            <v>0</v>
          </cell>
          <cell r="Y860" t="str">
            <v>A</v>
          </cell>
          <cell r="Z860" t="str">
            <v>BUY</v>
          </cell>
          <cell r="AA860" t="str">
            <v/>
          </cell>
        </row>
        <row r="861">
          <cell r="A861" t="str">
            <v>B</v>
          </cell>
          <cell r="F861" t="str">
            <v>9160-2</v>
          </cell>
          <cell r="G861" t="str">
            <v>B</v>
          </cell>
          <cell r="H861">
            <v>19</v>
          </cell>
          <cell r="I861" t="str">
            <v>Laundry Room Piping</v>
          </cell>
          <cell r="J861" t="str">
            <v>Building Capital Expense</v>
          </cell>
          <cell r="K861">
            <v>0</v>
          </cell>
          <cell r="L861">
            <v>0</v>
          </cell>
          <cell r="M861">
            <v>0</v>
          </cell>
          <cell r="N861">
            <v>0</v>
          </cell>
          <cell r="O861">
            <v>5000</v>
          </cell>
          <cell r="P861">
            <v>5000</v>
          </cell>
          <cell r="Q861" t="str">
            <v/>
          </cell>
          <cell r="R861" t="str">
            <v>Pipe expansion in laundry room</v>
          </cell>
          <cell r="S861" t="str">
            <v/>
          </cell>
          <cell r="T861" t="str">
            <v/>
          </cell>
          <cell r="U861" t="str">
            <v/>
          </cell>
          <cell r="V861" t="str">
            <v/>
          </cell>
          <cell r="W861">
            <v>5000</v>
          </cell>
          <cell r="X861">
            <v>0</v>
          </cell>
          <cell r="Y861" t="str">
            <v>A</v>
          </cell>
          <cell r="Z861" t="str">
            <v>BUY</v>
          </cell>
          <cell r="AA861" t="str">
            <v/>
          </cell>
        </row>
        <row r="862">
          <cell r="A862" t="str">
            <v>B</v>
          </cell>
          <cell r="F862" t="str">
            <v>9160-3</v>
          </cell>
          <cell r="G862" t="str">
            <v>B</v>
          </cell>
          <cell r="H862">
            <v>19</v>
          </cell>
          <cell r="I862" t="str">
            <v>Building Capital Expense</v>
          </cell>
          <cell r="J862" t="str">
            <v>Building Capital Expense</v>
          </cell>
          <cell r="K862">
            <v>0</v>
          </cell>
          <cell r="L862">
            <v>0</v>
          </cell>
          <cell r="M862">
            <v>0</v>
          </cell>
          <cell r="N862">
            <v>0</v>
          </cell>
          <cell r="O862">
            <v>0</v>
          </cell>
          <cell r="P862">
            <v>0</v>
          </cell>
          <cell r="Q862" t="str">
            <v/>
          </cell>
          <cell r="R862" t="str">
            <v/>
          </cell>
          <cell r="S862" t="str">
            <v/>
          </cell>
          <cell r="T862" t="str">
            <v/>
          </cell>
          <cell r="U862" t="str">
            <v/>
          </cell>
          <cell r="V862" t="str">
            <v/>
          </cell>
          <cell r="W862">
            <v>0</v>
          </cell>
          <cell r="X862">
            <v>0</v>
          </cell>
          <cell r="Y862" t="str">
            <v/>
          </cell>
          <cell r="Z862" t="str">
            <v>BUY</v>
          </cell>
          <cell r="AA862" t="str">
            <v/>
          </cell>
        </row>
        <row r="863">
          <cell r="A863" t="str">
            <v>B</v>
          </cell>
          <cell r="F863" t="str">
            <v>9160-4</v>
          </cell>
          <cell r="G863" t="str">
            <v>B</v>
          </cell>
          <cell r="H863">
            <v>19</v>
          </cell>
          <cell r="I863" t="str">
            <v>Building Capital Expense</v>
          </cell>
          <cell r="J863" t="str">
            <v>Building Capital Expense</v>
          </cell>
          <cell r="K863">
            <v>0</v>
          </cell>
          <cell r="L863">
            <v>0</v>
          </cell>
          <cell r="M863">
            <v>0</v>
          </cell>
          <cell r="N863">
            <v>0</v>
          </cell>
          <cell r="O863">
            <v>0</v>
          </cell>
          <cell r="P863">
            <v>0</v>
          </cell>
          <cell r="Q863" t="str">
            <v/>
          </cell>
          <cell r="R863" t="str">
            <v/>
          </cell>
          <cell r="S863" t="str">
            <v/>
          </cell>
          <cell r="T863" t="str">
            <v/>
          </cell>
          <cell r="U863" t="str">
            <v/>
          </cell>
          <cell r="V863" t="str">
            <v/>
          </cell>
          <cell r="W863">
            <v>0</v>
          </cell>
          <cell r="X863">
            <v>0</v>
          </cell>
          <cell r="Y863" t="str">
            <v/>
          </cell>
          <cell r="Z863" t="str">
            <v>BUY</v>
          </cell>
          <cell r="AA863" t="str">
            <v/>
          </cell>
        </row>
        <row r="864">
          <cell r="A864" t="str">
            <v>B</v>
          </cell>
          <cell r="F864" t="str">
            <v>9161</v>
          </cell>
          <cell r="G864" t="str">
            <v>B</v>
          </cell>
          <cell r="H864">
            <v>19</v>
          </cell>
          <cell r="I864" t="str">
            <v>Interior/Remodeling Capital Expense</v>
          </cell>
          <cell r="J864" t="str">
            <v>Interior/Remodeling Capital Expense</v>
          </cell>
          <cell r="K864">
            <v>0</v>
          </cell>
          <cell r="L864">
            <v>0</v>
          </cell>
          <cell r="M864">
            <v>0</v>
          </cell>
          <cell r="N864">
            <v>0</v>
          </cell>
          <cell r="O864">
            <v>41876</v>
          </cell>
          <cell r="P864">
            <v>41876</v>
          </cell>
          <cell r="Q864" t="str">
            <v/>
          </cell>
          <cell r="R864" t="str">
            <v>Per Reserve Study: Wall Coverings</v>
          </cell>
          <cell r="S864" t="str">
            <v/>
          </cell>
          <cell r="T864" t="str">
            <v/>
          </cell>
          <cell r="U864" t="str">
            <v/>
          </cell>
          <cell r="V864" t="str">
            <v/>
          </cell>
          <cell r="W864">
            <v>41876</v>
          </cell>
          <cell r="X864">
            <v>0</v>
          </cell>
          <cell r="Y864" t="str">
            <v>A</v>
          </cell>
          <cell r="Z864" t="str">
            <v>BUY</v>
          </cell>
          <cell r="AA864" t="str">
            <v/>
          </cell>
        </row>
        <row r="865">
          <cell r="A865" t="str">
            <v>B</v>
          </cell>
          <cell r="F865" t="str">
            <v>9162</v>
          </cell>
          <cell r="G865" t="str">
            <v>B</v>
          </cell>
          <cell r="H865">
            <v>19</v>
          </cell>
          <cell r="I865" t="str">
            <v>Masonry/Tuckpointing Capital Expense</v>
          </cell>
          <cell r="J865" t="str">
            <v>Masonry/Tuckpointing Capital Expense</v>
          </cell>
          <cell r="K865">
            <v>0</v>
          </cell>
          <cell r="L865">
            <v>0</v>
          </cell>
          <cell r="M865">
            <v>0</v>
          </cell>
          <cell r="N865">
            <v>0</v>
          </cell>
          <cell r="O865">
            <v>0</v>
          </cell>
          <cell r="P865">
            <v>0</v>
          </cell>
          <cell r="Q865" t="str">
            <v/>
          </cell>
          <cell r="R865" t="str">
            <v/>
          </cell>
          <cell r="S865" t="str">
            <v/>
          </cell>
          <cell r="T865" t="str">
            <v/>
          </cell>
          <cell r="U865" t="str">
            <v/>
          </cell>
          <cell r="V865" t="str">
            <v/>
          </cell>
          <cell r="W865">
            <v>0</v>
          </cell>
          <cell r="X865">
            <v>0</v>
          </cell>
          <cell r="Y865" t="str">
            <v/>
          </cell>
          <cell r="Z865" t="str">
            <v>BUY</v>
          </cell>
          <cell r="AA865" t="str">
            <v/>
          </cell>
        </row>
        <row r="866">
          <cell r="A866" t="str">
            <v>B</v>
          </cell>
          <cell r="F866" t="str">
            <v>9163</v>
          </cell>
          <cell r="G866" t="str">
            <v>B</v>
          </cell>
          <cell r="H866">
            <v>19</v>
          </cell>
          <cell r="I866" t="str">
            <v>Carpentry Capital Expense</v>
          </cell>
          <cell r="J866" t="str">
            <v>Carpentry Capital Expense</v>
          </cell>
          <cell r="K866">
            <v>0</v>
          </cell>
          <cell r="L866">
            <v>0</v>
          </cell>
          <cell r="M866">
            <v>0</v>
          </cell>
          <cell r="N866">
            <v>0</v>
          </cell>
          <cell r="O866">
            <v>0</v>
          </cell>
          <cell r="P866">
            <v>0</v>
          </cell>
          <cell r="Q866" t="str">
            <v/>
          </cell>
          <cell r="R866" t="str">
            <v/>
          </cell>
          <cell r="S866" t="str">
            <v/>
          </cell>
          <cell r="T866" t="str">
            <v/>
          </cell>
          <cell r="U866" t="str">
            <v/>
          </cell>
          <cell r="V866" t="str">
            <v/>
          </cell>
          <cell r="W866">
            <v>0</v>
          </cell>
          <cell r="X866">
            <v>0</v>
          </cell>
          <cell r="Y866" t="str">
            <v/>
          </cell>
          <cell r="Z866" t="str">
            <v>BUY</v>
          </cell>
          <cell r="AA866" t="str">
            <v/>
          </cell>
        </row>
        <row r="867">
          <cell r="A867" t="str">
            <v>B</v>
          </cell>
          <cell r="F867" t="str">
            <v>9163-1</v>
          </cell>
          <cell r="G867" t="str">
            <v>B</v>
          </cell>
          <cell r="H867">
            <v>19</v>
          </cell>
          <cell r="I867" t="str">
            <v>Carpentry-Wood Replacement</v>
          </cell>
          <cell r="J867" t="str">
            <v>Carpentry-Wood Replacement</v>
          </cell>
          <cell r="K867">
            <v>0</v>
          </cell>
          <cell r="L867">
            <v>0</v>
          </cell>
          <cell r="M867">
            <v>0</v>
          </cell>
          <cell r="N867">
            <v>0</v>
          </cell>
          <cell r="O867">
            <v>0</v>
          </cell>
          <cell r="P867">
            <v>0</v>
          </cell>
          <cell r="Q867" t="str">
            <v/>
          </cell>
          <cell r="R867" t="str">
            <v/>
          </cell>
          <cell r="S867" t="str">
            <v/>
          </cell>
          <cell r="T867" t="str">
            <v/>
          </cell>
          <cell r="U867" t="str">
            <v/>
          </cell>
          <cell r="V867" t="str">
            <v/>
          </cell>
          <cell r="W867">
            <v>0</v>
          </cell>
          <cell r="X867">
            <v>0</v>
          </cell>
          <cell r="Y867" t="str">
            <v/>
          </cell>
          <cell r="Z867" t="str">
            <v>BUY</v>
          </cell>
          <cell r="AA867" t="str">
            <v/>
          </cell>
        </row>
        <row r="868">
          <cell r="A868" t="str">
            <v>B</v>
          </cell>
          <cell r="F868" t="str">
            <v>9163-2</v>
          </cell>
          <cell r="G868" t="str">
            <v>B</v>
          </cell>
          <cell r="H868">
            <v>19</v>
          </cell>
          <cell r="I868" t="str">
            <v>Carpentry-Window Replacement</v>
          </cell>
          <cell r="J868" t="str">
            <v>Carpentry-Window Replacement</v>
          </cell>
          <cell r="K868">
            <v>0</v>
          </cell>
          <cell r="L868">
            <v>0</v>
          </cell>
          <cell r="M868">
            <v>0</v>
          </cell>
          <cell r="N868">
            <v>0</v>
          </cell>
          <cell r="O868">
            <v>0</v>
          </cell>
          <cell r="P868">
            <v>0</v>
          </cell>
          <cell r="Q868" t="str">
            <v/>
          </cell>
          <cell r="R868" t="str">
            <v/>
          </cell>
          <cell r="S868" t="str">
            <v/>
          </cell>
          <cell r="T868" t="str">
            <v/>
          </cell>
          <cell r="U868" t="str">
            <v/>
          </cell>
          <cell r="V868" t="str">
            <v/>
          </cell>
          <cell r="W868">
            <v>0</v>
          </cell>
          <cell r="X868">
            <v>0</v>
          </cell>
          <cell r="Y868" t="str">
            <v/>
          </cell>
          <cell r="Z868" t="str">
            <v>BUY</v>
          </cell>
          <cell r="AA868" t="str">
            <v/>
          </cell>
        </row>
        <row r="869">
          <cell r="A869" t="str">
            <v>B</v>
          </cell>
          <cell r="F869" t="str">
            <v>9163-3</v>
          </cell>
          <cell r="G869" t="str">
            <v>B</v>
          </cell>
          <cell r="H869">
            <v>19</v>
          </cell>
          <cell r="I869" t="str">
            <v>Carpentry-Siding Replacement</v>
          </cell>
          <cell r="J869" t="str">
            <v>Carpentry-Siding Replacement</v>
          </cell>
          <cell r="K869">
            <v>0</v>
          </cell>
          <cell r="L869">
            <v>0</v>
          </cell>
          <cell r="M869">
            <v>0</v>
          </cell>
          <cell r="N869">
            <v>0</v>
          </cell>
          <cell r="O869">
            <v>0</v>
          </cell>
          <cell r="P869">
            <v>0</v>
          </cell>
          <cell r="Q869" t="str">
            <v/>
          </cell>
          <cell r="R869" t="str">
            <v/>
          </cell>
          <cell r="S869" t="str">
            <v/>
          </cell>
          <cell r="T869" t="str">
            <v/>
          </cell>
          <cell r="U869" t="str">
            <v/>
          </cell>
          <cell r="V869" t="str">
            <v/>
          </cell>
          <cell r="W869">
            <v>0</v>
          </cell>
          <cell r="X869">
            <v>0</v>
          </cell>
          <cell r="Y869" t="str">
            <v/>
          </cell>
          <cell r="Z869" t="str">
            <v>BUY</v>
          </cell>
          <cell r="AA869" t="str">
            <v/>
          </cell>
        </row>
        <row r="870">
          <cell r="A870" t="str">
            <v>B</v>
          </cell>
          <cell r="F870" t="str">
            <v>9163-4</v>
          </cell>
          <cell r="G870" t="str">
            <v>B</v>
          </cell>
          <cell r="H870">
            <v>19</v>
          </cell>
          <cell r="I870" t="str">
            <v>Carpentry-Door Replacement</v>
          </cell>
          <cell r="J870" t="str">
            <v>Carpentry-Door Replacement</v>
          </cell>
          <cell r="K870">
            <v>0</v>
          </cell>
          <cell r="L870">
            <v>0</v>
          </cell>
          <cell r="M870">
            <v>0</v>
          </cell>
          <cell r="N870">
            <v>0</v>
          </cell>
          <cell r="O870">
            <v>0</v>
          </cell>
          <cell r="P870">
            <v>0</v>
          </cell>
          <cell r="Q870" t="str">
            <v/>
          </cell>
          <cell r="R870" t="str">
            <v/>
          </cell>
          <cell r="S870" t="str">
            <v/>
          </cell>
          <cell r="T870" t="str">
            <v/>
          </cell>
          <cell r="U870" t="str">
            <v/>
          </cell>
          <cell r="V870" t="str">
            <v/>
          </cell>
          <cell r="W870">
            <v>0</v>
          </cell>
          <cell r="X870">
            <v>0</v>
          </cell>
          <cell r="Y870" t="str">
            <v/>
          </cell>
          <cell r="Z870" t="str">
            <v>BUY</v>
          </cell>
          <cell r="AA870" t="str">
            <v/>
          </cell>
        </row>
        <row r="871">
          <cell r="A871" t="str">
            <v>B</v>
          </cell>
          <cell r="F871" t="str">
            <v>9163-5</v>
          </cell>
          <cell r="G871" t="str">
            <v>B</v>
          </cell>
          <cell r="H871">
            <v>19</v>
          </cell>
          <cell r="I871" t="str">
            <v>Carpentry-Roof Replacement</v>
          </cell>
          <cell r="J871" t="str">
            <v>Carpentry-Roof Replacement</v>
          </cell>
          <cell r="K871">
            <v>0</v>
          </cell>
          <cell r="L871">
            <v>0</v>
          </cell>
          <cell r="M871">
            <v>0</v>
          </cell>
          <cell r="N871">
            <v>0</v>
          </cell>
          <cell r="O871">
            <v>0</v>
          </cell>
          <cell r="P871">
            <v>0</v>
          </cell>
          <cell r="Q871" t="str">
            <v/>
          </cell>
          <cell r="R871" t="str">
            <v/>
          </cell>
          <cell r="S871" t="str">
            <v/>
          </cell>
          <cell r="T871" t="str">
            <v/>
          </cell>
          <cell r="U871" t="str">
            <v/>
          </cell>
          <cell r="V871" t="str">
            <v/>
          </cell>
          <cell r="W871">
            <v>0</v>
          </cell>
          <cell r="X871">
            <v>0</v>
          </cell>
          <cell r="Y871" t="str">
            <v/>
          </cell>
          <cell r="Z871" t="str">
            <v>BUY</v>
          </cell>
          <cell r="AA871" t="str">
            <v/>
          </cell>
        </row>
        <row r="872">
          <cell r="A872" t="str">
            <v>B</v>
          </cell>
          <cell r="F872" t="str">
            <v>9163-6</v>
          </cell>
          <cell r="G872" t="str">
            <v>B</v>
          </cell>
          <cell r="H872">
            <v>19</v>
          </cell>
          <cell r="I872" t="str">
            <v>Carpentry-Balcony Repair/Replacement</v>
          </cell>
          <cell r="J872" t="str">
            <v>Carpentry-Balcony Repair/Replacement</v>
          </cell>
          <cell r="K872">
            <v>0</v>
          </cell>
          <cell r="L872">
            <v>0</v>
          </cell>
          <cell r="M872">
            <v>0</v>
          </cell>
          <cell r="N872">
            <v>0</v>
          </cell>
          <cell r="O872">
            <v>0</v>
          </cell>
          <cell r="P872">
            <v>0</v>
          </cell>
          <cell r="Q872" t="str">
            <v/>
          </cell>
          <cell r="R872" t="str">
            <v/>
          </cell>
          <cell r="S872" t="str">
            <v/>
          </cell>
          <cell r="T872" t="str">
            <v/>
          </cell>
          <cell r="U872" t="str">
            <v/>
          </cell>
          <cell r="V872" t="str">
            <v/>
          </cell>
          <cell r="W872">
            <v>0</v>
          </cell>
          <cell r="X872">
            <v>0</v>
          </cell>
          <cell r="Y872" t="str">
            <v/>
          </cell>
          <cell r="Z872" t="str">
            <v>BUY</v>
          </cell>
          <cell r="AA872" t="str">
            <v/>
          </cell>
        </row>
        <row r="873">
          <cell r="A873" t="str">
            <v>B</v>
          </cell>
          <cell r="F873" t="str">
            <v>9163-7</v>
          </cell>
          <cell r="G873" t="str">
            <v>B</v>
          </cell>
          <cell r="H873">
            <v>19</v>
          </cell>
          <cell r="I873" t="str">
            <v>Carpentry-New Construction</v>
          </cell>
          <cell r="J873" t="str">
            <v>Carpentry-New Construction</v>
          </cell>
          <cell r="K873">
            <v>0</v>
          </cell>
          <cell r="L873">
            <v>0</v>
          </cell>
          <cell r="M873">
            <v>0</v>
          </cell>
          <cell r="N873">
            <v>0</v>
          </cell>
          <cell r="O873">
            <v>0</v>
          </cell>
          <cell r="P873">
            <v>0</v>
          </cell>
          <cell r="Q873" t="str">
            <v/>
          </cell>
          <cell r="R873" t="str">
            <v/>
          </cell>
          <cell r="S873" t="str">
            <v/>
          </cell>
          <cell r="T873" t="str">
            <v/>
          </cell>
          <cell r="U873" t="str">
            <v/>
          </cell>
          <cell r="V873" t="str">
            <v/>
          </cell>
          <cell r="W873">
            <v>0</v>
          </cell>
          <cell r="X873">
            <v>0</v>
          </cell>
          <cell r="Y873" t="str">
            <v/>
          </cell>
          <cell r="Z873" t="str">
            <v>BUY</v>
          </cell>
          <cell r="AA873" t="str">
            <v/>
          </cell>
        </row>
        <row r="874">
          <cell r="A874" t="str">
            <v>B</v>
          </cell>
          <cell r="F874" t="str">
            <v>9163-8</v>
          </cell>
          <cell r="G874" t="str">
            <v>B</v>
          </cell>
          <cell r="H874">
            <v>19</v>
          </cell>
          <cell r="I874" t="str">
            <v>Carpentry-Mailbox Stations</v>
          </cell>
          <cell r="J874" t="str">
            <v>Carpentry-Mailbox Stations</v>
          </cell>
          <cell r="K874">
            <v>0</v>
          </cell>
          <cell r="L874">
            <v>0</v>
          </cell>
          <cell r="M874">
            <v>0</v>
          </cell>
          <cell r="N874">
            <v>0</v>
          </cell>
          <cell r="O874">
            <v>0</v>
          </cell>
          <cell r="P874">
            <v>0</v>
          </cell>
          <cell r="Q874" t="str">
            <v/>
          </cell>
          <cell r="R874" t="str">
            <v/>
          </cell>
          <cell r="S874" t="str">
            <v/>
          </cell>
          <cell r="T874" t="str">
            <v/>
          </cell>
          <cell r="U874" t="str">
            <v/>
          </cell>
          <cell r="V874" t="str">
            <v/>
          </cell>
          <cell r="W874">
            <v>0</v>
          </cell>
          <cell r="X874">
            <v>0</v>
          </cell>
          <cell r="Y874" t="str">
            <v/>
          </cell>
          <cell r="Z874" t="str">
            <v>BUY</v>
          </cell>
          <cell r="AA874" t="str">
            <v/>
          </cell>
        </row>
        <row r="875">
          <cell r="A875" t="str">
            <v>B</v>
          </cell>
          <cell r="F875" t="str">
            <v>9163-9</v>
          </cell>
          <cell r="G875" t="str">
            <v>B</v>
          </cell>
          <cell r="H875">
            <v>19</v>
          </cell>
          <cell r="I875" t="str">
            <v>Carpentry-Soffit Repair/Replacement</v>
          </cell>
          <cell r="J875" t="str">
            <v>Carpentry-Soffit Repair/Replacement</v>
          </cell>
          <cell r="K875">
            <v>0</v>
          </cell>
          <cell r="L875">
            <v>0</v>
          </cell>
          <cell r="M875">
            <v>0</v>
          </cell>
          <cell r="N875">
            <v>0</v>
          </cell>
          <cell r="O875">
            <v>0</v>
          </cell>
          <cell r="P875">
            <v>0</v>
          </cell>
          <cell r="Q875" t="str">
            <v/>
          </cell>
          <cell r="R875" t="str">
            <v/>
          </cell>
          <cell r="S875" t="str">
            <v/>
          </cell>
          <cell r="T875" t="str">
            <v/>
          </cell>
          <cell r="U875" t="str">
            <v/>
          </cell>
          <cell r="V875" t="str">
            <v/>
          </cell>
          <cell r="W875">
            <v>0</v>
          </cell>
          <cell r="X875">
            <v>0</v>
          </cell>
          <cell r="Y875" t="str">
            <v/>
          </cell>
          <cell r="Z875" t="str">
            <v>BUY</v>
          </cell>
          <cell r="AA875" t="str">
            <v/>
          </cell>
        </row>
        <row r="876">
          <cell r="A876" t="str">
            <v>B</v>
          </cell>
          <cell r="F876" t="str">
            <v>9164</v>
          </cell>
          <cell r="G876" t="str">
            <v>B</v>
          </cell>
          <cell r="H876">
            <v>19</v>
          </cell>
          <cell r="I876" t="str">
            <v>Concrete Captial Expense</v>
          </cell>
          <cell r="J876" t="str">
            <v>Concrete Captial Expense</v>
          </cell>
          <cell r="K876">
            <v>0</v>
          </cell>
          <cell r="L876">
            <v>0</v>
          </cell>
          <cell r="M876">
            <v>0</v>
          </cell>
          <cell r="N876">
            <v>0</v>
          </cell>
          <cell r="O876">
            <v>0</v>
          </cell>
          <cell r="P876">
            <v>0</v>
          </cell>
          <cell r="Q876" t="str">
            <v/>
          </cell>
          <cell r="R876" t="str">
            <v/>
          </cell>
          <cell r="S876" t="str">
            <v/>
          </cell>
          <cell r="T876" t="str">
            <v/>
          </cell>
          <cell r="U876" t="str">
            <v/>
          </cell>
          <cell r="V876" t="str">
            <v/>
          </cell>
          <cell r="W876">
            <v>0</v>
          </cell>
          <cell r="X876">
            <v>0</v>
          </cell>
          <cell r="Y876" t="str">
            <v/>
          </cell>
          <cell r="Z876" t="str">
            <v>BUY</v>
          </cell>
          <cell r="AA876" t="str">
            <v/>
          </cell>
        </row>
        <row r="877">
          <cell r="A877" t="str">
            <v>B</v>
          </cell>
          <cell r="F877" t="str">
            <v>9164-1</v>
          </cell>
          <cell r="G877" t="str">
            <v>B</v>
          </cell>
          <cell r="H877">
            <v>19</v>
          </cell>
          <cell r="I877" t="str">
            <v>Concrete-Sidewalk Replacement</v>
          </cell>
          <cell r="J877" t="str">
            <v>Concrete-Sidewalk Replacement</v>
          </cell>
          <cell r="K877">
            <v>0</v>
          </cell>
          <cell r="L877">
            <v>0</v>
          </cell>
          <cell r="M877">
            <v>0</v>
          </cell>
          <cell r="N877">
            <v>0</v>
          </cell>
          <cell r="O877">
            <v>31000</v>
          </cell>
          <cell r="P877">
            <v>31000</v>
          </cell>
          <cell r="Q877" t="str">
            <v/>
          </cell>
          <cell r="R877" t="str">
            <v>Sidewalk Replacement</v>
          </cell>
          <cell r="S877" t="str">
            <v/>
          </cell>
          <cell r="T877" t="str">
            <v/>
          </cell>
          <cell r="U877" t="str">
            <v/>
          </cell>
          <cell r="V877" t="str">
            <v/>
          </cell>
          <cell r="W877">
            <v>31000</v>
          </cell>
          <cell r="X877">
            <v>0</v>
          </cell>
          <cell r="Y877" t="str">
            <v>A</v>
          </cell>
          <cell r="Z877" t="str">
            <v>BUY</v>
          </cell>
          <cell r="AA877" t="str">
            <v/>
          </cell>
        </row>
        <row r="878">
          <cell r="A878" t="str">
            <v>B</v>
          </cell>
          <cell r="F878" t="str">
            <v>9164-2</v>
          </cell>
          <cell r="G878" t="str">
            <v>B</v>
          </cell>
          <cell r="H878">
            <v>19</v>
          </cell>
          <cell r="I878" t="str">
            <v>Concrete-Curb Replacement</v>
          </cell>
          <cell r="J878" t="str">
            <v>Concrete-Curb Replacement</v>
          </cell>
          <cell r="K878">
            <v>0</v>
          </cell>
          <cell r="L878">
            <v>0</v>
          </cell>
          <cell r="M878">
            <v>0</v>
          </cell>
          <cell r="N878">
            <v>0</v>
          </cell>
          <cell r="O878">
            <v>0</v>
          </cell>
          <cell r="P878">
            <v>0</v>
          </cell>
          <cell r="Q878" t="str">
            <v/>
          </cell>
          <cell r="R878" t="str">
            <v/>
          </cell>
          <cell r="S878" t="str">
            <v/>
          </cell>
          <cell r="T878" t="str">
            <v/>
          </cell>
          <cell r="U878" t="str">
            <v/>
          </cell>
          <cell r="V878" t="str">
            <v/>
          </cell>
          <cell r="W878">
            <v>0</v>
          </cell>
          <cell r="X878">
            <v>0</v>
          </cell>
          <cell r="Y878" t="str">
            <v/>
          </cell>
          <cell r="Z878" t="str">
            <v>BUY</v>
          </cell>
          <cell r="AA878" t="str">
            <v/>
          </cell>
        </row>
        <row r="879">
          <cell r="A879" t="str">
            <v>B</v>
          </cell>
          <cell r="F879" t="str">
            <v>9164-3</v>
          </cell>
          <cell r="G879" t="str">
            <v>B</v>
          </cell>
          <cell r="H879">
            <v>19</v>
          </cell>
          <cell r="I879" t="str">
            <v>Concrete-Driveway Replacement</v>
          </cell>
          <cell r="J879" t="str">
            <v>Concrete-Driveway Replacement</v>
          </cell>
          <cell r="K879">
            <v>0</v>
          </cell>
          <cell r="L879">
            <v>0</v>
          </cell>
          <cell r="M879">
            <v>0</v>
          </cell>
          <cell r="N879">
            <v>0</v>
          </cell>
          <cell r="O879">
            <v>0</v>
          </cell>
          <cell r="P879">
            <v>0</v>
          </cell>
          <cell r="Q879" t="str">
            <v/>
          </cell>
          <cell r="R879" t="str">
            <v/>
          </cell>
          <cell r="S879" t="str">
            <v/>
          </cell>
          <cell r="T879" t="str">
            <v/>
          </cell>
          <cell r="U879" t="str">
            <v/>
          </cell>
          <cell r="V879" t="str">
            <v/>
          </cell>
          <cell r="W879">
            <v>0</v>
          </cell>
          <cell r="X879">
            <v>0</v>
          </cell>
          <cell r="Y879" t="str">
            <v/>
          </cell>
          <cell r="Z879" t="str">
            <v>BUY</v>
          </cell>
          <cell r="AA879" t="str">
            <v/>
          </cell>
        </row>
        <row r="880">
          <cell r="A880" t="str">
            <v>B</v>
          </cell>
          <cell r="F880" t="str">
            <v>9164-4</v>
          </cell>
          <cell r="G880" t="str">
            <v>B</v>
          </cell>
          <cell r="H880">
            <v>19</v>
          </cell>
          <cell r="I880" t="str">
            <v>Concrete-Stoop Replacement</v>
          </cell>
          <cell r="J880" t="str">
            <v>Concrete-Stoop Replacement</v>
          </cell>
          <cell r="K880">
            <v>0</v>
          </cell>
          <cell r="L880">
            <v>0</v>
          </cell>
          <cell r="M880">
            <v>0</v>
          </cell>
          <cell r="N880">
            <v>0</v>
          </cell>
          <cell r="O880">
            <v>0</v>
          </cell>
          <cell r="P880">
            <v>0</v>
          </cell>
          <cell r="Q880" t="str">
            <v/>
          </cell>
          <cell r="R880" t="str">
            <v/>
          </cell>
          <cell r="S880" t="str">
            <v/>
          </cell>
          <cell r="T880" t="str">
            <v/>
          </cell>
          <cell r="U880" t="str">
            <v/>
          </cell>
          <cell r="V880" t="str">
            <v/>
          </cell>
          <cell r="W880">
            <v>0</v>
          </cell>
          <cell r="X880">
            <v>0</v>
          </cell>
          <cell r="Y880" t="str">
            <v/>
          </cell>
          <cell r="Z880" t="str">
            <v>BUY</v>
          </cell>
          <cell r="AA880" t="str">
            <v/>
          </cell>
        </row>
        <row r="881">
          <cell r="A881" t="str">
            <v>B</v>
          </cell>
          <cell r="F881" t="str">
            <v>9164-5</v>
          </cell>
          <cell r="G881" t="str">
            <v>B</v>
          </cell>
          <cell r="H881">
            <v>19</v>
          </cell>
          <cell r="I881" t="str">
            <v>Concrete-Patio Replacement</v>
          </cell>
          <cell r="J881" t="str">
            <v>Concrete-Patio Replacement</v>
          </cell>
          <cell r="K881">
            <v>0</v>
          </cell>
          <cell r="L881">
            <v>0</v>
          </cell>
          <cell r="M881">
            <v>0</v>
          </cell>
          <cell r="N881">
            <v>0</v>
          </cell>
          <cell r="O881">
            <v>0</v>
          </cell>
          <cell r="P881">
            <v>0</v>
          </cell>
          <cell r="Q881" t="str">
            <v/>
          </cell>
          <cell r="R881" t="str">
            <v/>
          </cell>
          <cell r="S881" t="str">
            <v/>
          </cell>
          <cell r="T881" t="str">
            <v/>
          </cell>
          <cell r="U881" t="str">
            <v/>
          </cell>
          <cell r="V881" t="str">
            <v/>
          </cell>
          <cell r="W881">
            <v>0</v>
          </cell>
          <cell r="X881">
            <v>0</v>
          </cell>
          <cell r="Y881" t="str">
            <v/>
          </cell>
          <cell r="Z881" t="str">
            <v>BUY</v>
          </cell>
          <cell r="AA881" t="str">
            <v/>
          </cell>
        </row>
        <row r="882">
          <cell r="A882" t="str">
            <v>B</v>
          </cell>
          <cell r="F882" t="str">
            <v>9165</v>
          </cell>
          <cell r="G882" t="str">
            <v>B</v>
          </cell>
          <cell r="H882">
            <v>19</v>
          </cell>
          <cell r="I882" t="str">
            <v>Elevator Capital Expense</v>
          </cell>
          <cell r="J882" t="str">
            <v>Elevator Capital Expense</v>
          </cell>
          <cell r="K882">
            <v>0</v>
          </cell>
          <cell r="L882">
            <v>0</v>
          </cell>
          <cell r="M882">
            <v>0</v>
          </cell>
          <cell r="N882">
            <v>0</v>
          </cell>
          <cell r="O882">
            <v>0</v>
          </cell>
          <cell r="P882">
            <v>0</v>
          </cell>
          <cell r="Q882" t="str">
            <v/>
          </cell>
          <cell r="R882" t="str">
            <v/>
          </cell>
          <cell r="S882" t="str">
            <v/>
          </cell>
          <cell r="T882" t="str">
            <v/>
          </cell>
          <cell r="U882" t="str">
            <v/>
          </cell>
          <cell r="V882" t="str">
            <v/>
          </cell>
          <cell r="W882">
            <v>0</v>
          </cell>
          <cell r="X882">
            <v>0</v>
          </cell>
          <cell r="Y882" t="str">
            <v/>
          </cell>
          <cell r="Z882" t="str">
            <v>BUY</v>
          </cell>
          <cell r="AA882" t="str">
            <v/>
          </cell>
        </row>
        <row r="883">
          <cell r="A883" t="str">
            <v>B</v>
          </cell>
          <cell r="F883" t="str">
            <v>9166</v>
          </cell>
          <cell r="G883" t="str">
            <v>B</v>
          </cell>
          <cell r="H883">
            <v>19</v>
          </cell>
          <cell r="I883" t="str">
            <v>Fencing Capital Expense</v>
          </cell>
          <cell r="J883" t="str">
            <v>Fencing Capital Expense</v>
          </cell>
          <cell r="K883">
            <v>0</v>
          </cell>
          <cell r="L883">
            <v>0</v>
          </cell>
          <cell r="M883">
            <v>0</v>
          </cell>
          <cell r="N883">
            <v>0</v>
          </cell>
          <cell r="O883">
            <v>0</v>
          </cell>
          <cell r="P883">
            <v>0</v>
          </cell>
          <cell r="Q883" t="str">
            <v/>
          </cell>
          <cell r="R883" t="str">
            <v/>
          </cell>
          <cell r="S883" t="str">
            <v/>
          </cell>
          <cell r="T883" t="str">
            <v/>
          </cell>
          <cell r="U883" t="str">
            <v/>
          </cell>
          <cell r="V883" t="str">
            <v/>
          </cell>
          <cell r="W883">
            <v>0</v>
          </cell>
          <cell r="X883">
            <v>0</v>
          </cell>
          <cell r="Y883" t="str">
            <v/>
          </cell>
          <cell r="Z883" t="str">
            <v>BUY</v>
          </cell>
          <cell r="AA883" t="str">
            <v/>
          </cell>
        </row>
        <row r="884">
          <cell r="A884" t="str">
            <v>B</v>
          </cell>
          <cell r="F884" t="str">
            <v>9166-1</v>
          </cell>
          <cell r="G884" t="str">
            <v>B</v>
          </cell>
          <cell r="H884">
            <v>19</v>
          </cell>
          <cell r="I884" t="str">
            <v>Fence-Wood</v>
          </cell>
          <cell r="J884" t="str">
            <v>Fence-Wood</v>
          </cell>
          <cell r="K884">
            <v>0</v>
          </cell>
          <cell r="L884">
            <v>0</v>
          </cell>
          <cell r="M884">
            <v>0</v>
          </cell>
          <cell r="N884">
            <v>0</v>
          </cell>
          <cell r="O884">
            <v>0</v>
          </cell>
          <cell r="P884">
            <v>0</v>
          </cell>
          <cell r="Q884" t="str">
            <v/>
          </cell>
          <cell r="R884" t="str">
            <v/>
          </cell>
          <cell r="S884" t="str">
            <v/>
          </cell>
          <cell r="T884" t="str">
            <v/>
          </cell>
          <cell r="U884" t="str">
            <v/>
          </cell>
          <cell r="V884" t="str">
            <v/>
          </cell>
          <cell r="W884">
            <v>0</v>
          </cell>
          <cell r="X884">
            <v>0</v>
          </cell>
          <cell r="Y884" t="str">
            <v/>
          </cell>
          <cell r="Z884" t="str">
            <v>BUY</v>
          </cell>
          <cell r="AA884" t="str">
            <v/>
          </cell>
        </row>
        <row r="885">
          <cell r="A885" t="str">
            <v>B</v>
          </cell>
          <cell r="F885" t="str">
            <v>9166-2</v>
          </cell>
          <cell r="G885" t="str">
            <v>B</v>
          </cell>
          <cell r="H885">
            <v>19</v>
          </cell>
          <cell r="I885" t="str">
            <v>Fence-Aluminum</v>
          </cell>
          <cell r="J885" t="str">
            <v>Fence-Aluminum</v>
          </cell>
          <cell r="K885">
            <v>0</v>
          </cell>
          <cell r="L885">
            <v>0</v>
          </cell>
          <cell r="M885">
            <v>0</v>
          </cell>
          <cell r="N885">
            <v>0</v>
          </cell>
          <cell r="O885">
            <v>0</v>
          </cell>
          <cell r="P885">
            <v>0</v>
          </cell>
          <cell r="Q885" t="str">
            <v/>
          </cell>
          <cell r="R885" t="str">
            <v/>
          </cell>
          <cell r="S885" t="str">
            <v/>
          </cell>
          <cell r="T885" t="str">
            <v/>
          </cell>
          <cell r="U885" t="str">
            <v/>
          </cell>
          <cell r="V885" t="str">
            <v/>
          </cell>
          <cell r="W885">
            <v>0</v>
          </cell>
          <cell r="X885">
            <v>0</v>
          </cell>
          <cell r="Y885" t="str">
            <v/>
          </cell>
          <cell r="Z885" t="str">
            <v>BUY</v>
          </cell>
          <cell r="AA885" t="str">
            <v/>
          </cell>
        </row>
        <row r="886">
          <cell r="A886" t="str">
            <v>B</v>
          </cell>
          <cell r="F886" t="str">
            <v>9167</v>
          </cell>
          <cell r="G886" t="str">
            <v>B</v>
          </cell>
          <cell r="H886">
            <v>19</v>
          </cell>
          <cell r="I886" t="str">
            <v>Grounds Capital Expense</v>
          </cell>
          <cell r="J886" t="str">
            <v>Grounds Capital Expense</v>
          </cell>
          <cell r="K886">
            <v>0</v>
          </cell>
          <cell r="L886">
            <v>0</v>
          </cell>
          <cell r="M886">
            <v>0</v>
          </cell>
          <cell r="N886">
            <v>0</v>
          </cell>
          <cell r="O886">
            <v>0</v>
          </cell>
          <cell r="P886">
            <v>0</v>
          </cell>
          <cell r="Q886" t="str">
            <v/>
          </cell>
          <cell r="R886" t="str">
            <v/>
          </cell>
          <cell r="S886" t="str">
            <v/>
          </cell>
          <cell r="T886" t="str">
            <v/>
          </cell>
          <cell r="U886" t="str">
            <v/>
          </cell>
          <cell r="V886" t="str">
            <v/>
          </cell>
          <cell r="W886">
            <v>0</v>
          </cell>
          <cell r="X886">
            <v>0</v>
          </cell>
          <cell r="Y886" t="str">
            <v/>
          </cell>
          <cell r="Z886" t="str">
            <v>BUY</v>
          </cell>
          <cell r="AA886" t="str">
            <v/>
          </cell>
        </row>
        <row r="887">
          <cell r="A887" t="str">
            <v>B</v>
          </cell>
          <cell r="F887" t="str">
            <v>9167-1</v>
          </cell>
          <cell r="G887" t="str">
            <v>B</v>
          </cell>
          <cell r="H887">
            <v>19</v>
          </cell>
          <cell r="I887" t="str">
            <v>Grounds-Tree/Shrub Replacement</v>
          </cell>
          <cell r="J887" t="str">
            <v>Grounds-Tree/Shrub Replacement</v>
          </cell>
          <cell r="K887">
            <v>0</v>
          </cell>
          <cell r="L887">
            <v>0</v>
          </cell>
          <cell r="M887">
            <v>0</v>
          </cell>
          <cell r="N887">
            <v>0</v>
          </cell>
          <cell r="O887">
            <v>0</v>
          </cell>
          <cell r="P887">
            <v>0</v>
          </cell>
          <cell r="Q887" t="str">
            <v/>
          </cell>
          <cell r="R887" t="str">
            <v/>
          </cell>
          <cell r="S887" t="str">
            <v/>
          </cell>
          <cell r="T887" t="str">
            <v/>
          </cell>
          <cell r="U887" t="str">
            <v/>
          </cell>
          <cell r="V887" t="str">
            <v/>
          </cell>
          <cell r="W887">
            <v>0</v>
          </cell>
          <cell r="X887">
            <v>0</v>
          </cell>
          <cell r="Y887" t="str">
            <v/>
          </cell>
          <cell r="Z887" t="str">
            <v>BUY</v>
          </cell>
          <cell r="AA887" t="str">
            <v/>
          </cell>
        </row>
        <row r="888">
          <cell r="A888" t="str">
            <v>B</v>
          </cell>
          <cell r="F888" t="str">
            <v>9167-2</v>
          </cell>
          <cell r="G888" t="str">
            <v>B</v>
          </cell>
          <cell r="H888">
            <v>19</v>
          </cell>
          <cell r="I888" t="str">
            <v>Grounds-Lakes, Ponds</v>
          </cell>
          <cell r="J888" t="str">
            <v>Grounds-Lakes, Ponds</v>
          </cell>
          <cell r="K888">
            <v>0</v>
          </cell>
          <cell r="L888">
            <v>0</v>
          </cell>
          <cell r="M888">
            <v>0</v>
          </cell>
          <cell r="N888">
            <v>0</v>
          </cell>
          <cell r="O888">
            <v>0</v>
          </cell>
          <cell r="P888">
            <v>0</v>
          </cell>
          <cell r="Q888" t="str">
            <v/>
          </cell>
          <cell r="R888" t="str">
            <v/>
          </cell>
          <cell r="S888" t="str">
            <v/>
          </cell>
          <cell r="T888" t="str">
            <v/>
          </cell>
          <cell r="U888" t="str">
            <v/>
          </cell>
          <cell r="V888" t="str">
            <v/>
          </cell>
          <cell r="W888">
            <v>0</v>
          </cell>
          <cell r="X888">
            <v>0</v>
          </cell>
          <cell r="Y888" t="str">
            <v/>
          </cell>
          <cell r="Z888" t="str">
            <v>BUY</v>
          </cell>
          <cell r="AA888" t="str">
            <v/>
          </cell>
        </row>
        <row r="889">
          <cell r="A889" t="str">
            <v>B</v>
          </cell>
          <cell r="F889" t="str">
            <v>9168</v>
          </cell>
          <cell r="G889" t="str">
            <v>B</v>
          </cell>
          <cell r="H889">
            <v>19</v>
          </cell>
          <cell r="I889" t="str">
            <v>HVAC Capital Expense</v>
          </cell>
          <cell r="J889" t="str">
            <v>HVAC Capital Expense</v>
          </cell>
          <cell r="K889">
            <v>0</v>
          </cell>
          <cell r="L889">
            <v>0</v>
          </cell>
          <cell r="M889">
            <v>0</v>
          </cell>
          <cell r="N889">
            <v>0</v>
          </cell>
          <cell r="O889">
            <v>0</v>
          </cell>
          <cell r="P889">
            <v>0</v>
          </cell>
          <cell r="Q889" t="str">
            <v/>
          </cell>
          <cell r="R889" t="str">
            <v/>
          </cell>
          <cell r="S889" t="str">
            <v/>
          </cell>
          <cell r="T889" t="str">
            <v/>
          </cell>
          <cell r="U889" t="str">
            <v/>
          </cell>
          <cell r="V889" t="str">
            <v/>
          </cell>
          <cell r="W889">
            <v>0</v>
          </cell>
          <cell r="X889">
            <v>0</v>
          </cell>
          <cell r="Y889" t="str">
            <v/>
          </cell>
          <cell r="Z889" t="str">
            <v>BUY</v>
          </cell>
          <cell r="AA889" t="str">
            <v/>
          </cell>
        </row>
        <row r="890">
          <cell r="A890" t="str">
            <v>B</v>
          </cell>
          <cell r="F890" t="str">
            <v>9168-1</v>
          </cell>
          <cell r="G890" t="str">
            <v>B</v>
          </cell>
          <cell r="H890">
            <v>19</v>
          </cell>
          <cell r="I890" t="str">
            <v>HVAC-Condenser Replacement</v>
          </cell>
          <cell r="J890" t="str">
            <v>HVAC-Condenser Replacement</v>
          </cell>
          <cell r="K890">
            <v>0</v>
          </cell>
          <cell r="L890">
            <v>0</v>
          </cell>
          <cell r="M890">
            <v>0</v>
          </cell>
          <cell r="N890">
            <v>0</v>
          </cell>
          <cell r="O890">
            <v>0</v>
          </cell>
          <cell r="P890">
            <v>0</v>
          </cell>
          <cell r="Q890" t="str">
            <v/>
          </cell>
          <cell r="R890" t="str">
            <v/>
          </cell>
          <cell r="S890" t="str">
            <v/>
          </cell>
          <cell r="T890" t="str">
            <v/>
          </cell>
          <cell r="U890" t="str">
            <v/>
          </cell>
          <cell r="V890" t="str">
            <v/>
          </cell>
          <cell r="W890">
            <v>0</v>
          </cell>
          <cell r="X890">
            <v>0</v>
          </cell>
          <cell r="Y890" t="str">
            <v/>
          </cell>
          <cell r="Z890" t="str">
            <v>BUY</v>
          </cell>
          <cell r="AA890" t="str">
            <v/>
          </cell>
        </row>
        <row r="891">
          <cell r="A891" t="str">
            <v>B</v>
          </cell>
          <cell r="F891" t="str">
            <v>9168-2</v>
          </cell>
          <cell r="G891" t="str">
            <v>B</v>
          </cell>
          <cell r="H891">
            <v>19</v>
          </cell>
          <cell r="I891" t="str">
            <v>HVAC-Heater Replacement</v>
          </cell>
          <cell r="J891" t="str">
            <v>HVAC-Heater Replacement</v>
          </cell>
          <cell r="K891">
            <v>0</v>
          </cell>
          <cell r="L891">
            <v>0</v>
          </cell>
          <cell r="M891">
            <v>0</v>
          </cell>
          <cell r="N891">
            <v>0</v>
          </cell>
          <cell r="O891">
            <v>0</v>
          </cell>
          <cell r="P891">
            <v>0</v>
          </cell>
          <cell r="Q891" t="str">
            <v/>
          </cell>
          <cell r="R891" t="str">
            <v/>
          </cell>
          <cell r="S891" t="str">
            <v/>
          </cell>
          <cell r="T891" t="str">
            <v/>
          </cell>
          <cell r="U891" t="str">
            <v/>
          </cell>
          <cell r="V891" t="str">
            <v/>
          </cell>
          <cell r="W891">
            <v>0</v>
          </cell>
          <cell r="X891">
            <v>0</v>
          </cell>
          <cell r="Y891" t="str">
            <v/>
          </cell>
          <cell r="Z891" t="str">
            <v>BUY</v>
          </cell>
          <cell r="AA891" t="str">
            <v/>
          </cell>
        </row>
        <row r="892">
          <cell r="A892" t="str">
            <v>B</v>
          </cell>
          <cell r="F892" t="str">
            <v>9169</v>
          </cell>
          <cell r="G892" t="str">
            <v>B</v>
          </cell>
          <cell r="H892">
            <v>19</v>
          </cell>
          <cell r="I892" t="str">
            <v>Plumbing Capital Expense</v>
          </cell>
          <cell r="J892" t="str">
            <v>Plumbing Capital Expense</v>
          </cell>
          <cell r="K892">
            <v>0</v>
          </cell>
          <cell r="L892">
            <v>0</v>
          </cell>
          <cell r="M892">
            <v>0</v>
          </cell>
          <cell r="N892">
            <v>0</v>
          </cell>
          <cell r="O892">
            <v>0</v>
          </cell>
          <cell r="P892">
            <v>0</v>
          </cell>
          <cell r="Q892" t="str">
            <v/>
          </cell>
          <cell r="R892" t="str">
            <v/>
          </cell>
          <cell r="S892" t="str">
            <v/>
          </cell>
          <cell r="T892" t="str">
            <v/>
          </cell>
          <cell r="U892" t="str">
            <v/>
          </cell>
          <cell r="V892" t="str">
            <v/>
          </cell>
          <cell r="W892">
            <v>0</v>
          </cell>
          <cell r="X892">
            <v>0</v>
          </cell>
          <cell r="Y892" t="str">
            <v/>
          </cell>
          <cell r="Z892" t="str">
            <v>BUY</v>
          </cell>
          <cell r="AA892" t="str">
            <v/>
          </cell>
        </row>
        <row r="893">
          <cell r="A893" t="str">
            <v>B</v>
          </cell>
          <cell r="F893" t="str">
            <v>9169-1</v>
          </cell>
          <cell r="G893" t="str">
            <v>B</v>
          </cell>
          <cell r="H893">
            <v>19</v>
          </cell>
          <cell r="I893" t="str">
            <v>Plumbing-Installation/Replacement</v>
          </cell>
          <cell r="J893" t="str">
            <v>Plumbing-Installation/Replacement</v>
          </cell>
          <cell r="K893">
            <v>0</v>
          </cell>
          <cell r="L893">
            <v>0</v>
          </cell>
          <cell r="M893">
            <v>0</v>
          </cell>
          <cell r="N893">
            <v>0</v>
          </cell>
          <cell r="O893">
            <v>0</v>
          </cell>
          <cell r="P893">
            <v>0</v>
          </cell>
          <cell r="Q893" t="str">
            <v/>
          </cell>
          <cell r="R893" t="str">
            <v/>
          </cell>
          <cell r="S893" t="str">
            <v/>
          </cell>
          <cell r="T893" t="str">
            <v/>
          </cell>
          <cell r="U893" t="str">
            <v/>
          </cell>
          <cell r="V893" t="str">
            <v/>
          </cell>
          <cell r="W893">
            <v>0</v>
          </cell>
          <cell r="X893">
            <v>0</v>
          </cell>
          <cell r="Y893" t="str">
            <v/>
          </cell>
          <cell r="Z893" t="str">
            <v>BUY</v>
          </cell>
          <cell r="AA893" t="str">
            <v/>
          </cell>
        </row>
        <row r="894">
          <cell r="A894" t="str">
            <v>B</v>
          </cell>
          <cell r="F894" t="str">
            <v>9169-2</v>
          </cell>
          <cell r="G894" t="str">
            <v>B</v>
          </cell>
          <cell r="H894">
            <v>19</v>
          </cell>
          <cell r="I894" t="str">
            <v>Plumbing-Pipe Upgrades</v>
          </cell>
          <cell r="J894" t="str">
            <v>Plumbing-Pipe Upgrades</v>
          </cell>
          <cell r="K894">
            <v>0</v>
          </cell>
          <cell r="L894">
            <v>0</v>
          </cell>
          <cell r="M894">
            <v>0</v>
          </cell>
          <cell r="N894">
            <v>0</v>
          </cell>
          <cell r="O894">
            <v>0</v>
          </cell>
          <cell r="P894">
            <v>0</v>
          </cell>
          <cell r="Q894" t="str">
            <v/>
          </cell>
          <cell r="R894" t="str">
            <v/>
          </cell>
          <cell r="S894" t="str">
            <v/>
          </cell>
          <cell r="T894" t="str">
            <v/>
          </cell>
          <cell r="U894" t="str">
            <v/>
          </cell>
          <cell r="V894" t="str">
            <v/>
          </cell>
          <cell r="W894">
            <v>0</v>
          </cell>
          <cell r="X894">
            <v>0</v>
          </cell>
          <cell r="Y894" t="str">
            <v/>
          </cell>
          <cell r="Z894" t="str">
            <v>BUY</v>
          </cell>
          <cell r="AA894" t="str">
            <v/>
          </cell>
        </row>
        <row r="895">
          <cell r="A895" t="str">
            <v>B</v>
          </cell>
          <cell r="F895" t="str">
            <v>9169-3</v>
          </cell>
          <cell r="G895" t="str">
            <v>B</v>
          </cell>
          <cell r="H895">
            <v>19</v>
          </cell>
          <cell r="I895" t="str">
            <v>Pumbing-Water Heaters</v>
          </cell>
          <cell r="J895" t="str">
            <v>Pumbing-Water Heaters</v>
          </cell>
          <cell r="K895">
            <v>0</v>
          </cell>
          <cell r="L895">
            <v>0</v>
          </cell>
          <cell r="M895">
            <v>0</v>
          </cell>
          <cell r="N895">
            <v>0</v>
          </cell>
          <cell r="O895">
            <v>0</v>
          </cell>
          <cell r="P895">
            <v>0</v>
          </cell>
          <cell r="Q895" t="str">
            <v/>
          </cell>
          <cell r="R895" t="str">
            <v/>
          </cell>
          <cell r="S895" t="str">
            <v/>
          </cell>
          <cell r="T895" t="str">
            <v/>
          </cell>
          <cell r="U895" t="str">
            <v/>
          </cell>
          <cell r="V895" t="str">
            <v/>
          </cell>
          <cell r="W895">
            <v>0</v>
          </cell>
          <cell r="X895">
            <v>0</v>
          </cell>
          <cell r="Y895" t="str">
            <v/>
          </cell>
          <cell r="Z895" t="str">
            <v>BUY</v>
          </cell>
          <cell r="AA895" t="str">
            <v/>
          </cell>
        </row>
        <row r="896">
          <cell r="A896" t="str">
            <v>B</v>
          </cell>
          <cell r="F896" t="str">
            <v>9169-4</v>
          </cell>
          <cell r="G896" t="str">
            <v>B</v>
          </cell>
          <cell r="H896">
            <v>19</v>
          </cell>
          <cell r="I896" t="str">
            <v>Plumbing-Boiler Replacement</v>
          </cell>
          <cell r="J896" t="str">
            <v>Plumbing-Boiler Replacement</v>
          </cell>
          <cell r="K896">
            <v>0</v>
          </cell>
          <cell r="L896">
            <v>0</v>
          </cell>
          <cell r="M896">
            <v>0</v>
          </cell>
          <cell r="N896">
            <v>0</v>
          </cell>
          <cell r="O896">
            <v>0</v>
          </cell>
          <cell r="P896">
            <v>0</v>
          </cell>
          <cell r="Q896" t="str">
            <v/>
          </cell>
          <cell r="R896" t="str">
            <v/>
          </cell>
          <cell r="S896" t="str">
            <v/>
          </cell>
          <cell r="T896" t="str">
            <v/>
          </cell>
          <cell r="U896" t="str">
            <v/>
          </cell>
          <cell r="V896" t="str">
            <v/>
          </cell>
          <cell r="W896">
            <v>0</v>
          </cell>
          <cell r="X896">
            <v>0</v>
          </cell>
          <cell r="Y896" t="str">
            <v/>
          </cell>
          <cell r="Z896" t="str">
            <v>BUY</v>
          </cell>
          <cell r="AA896" t="str">
            <v/>
          </cell>
        </row>
        <row r="897">
          <cell r="A897" t="str">
            <v>B</v>
          </cell>
          <cell r="F897" t="str">
            <v>9170</v>
          </cell>
          <cell r="G897" t="str">
            <v>B</v>
          </cell>
          <cell r="H897">
            <v>19</v>
          </cell>
          <cell r="I897" t="str">
            <v>Roof Capital Expense</v>
          </cell>
          <cell r="J897" t="str">
            <v>Roof Capital Expense</v>
          </cell>
          <cell r="K897">
            <v>0</v>
          </cell>
          <cell r="L897">
            <v>0</v>
          </cell>
          <cell r="M897">
            <v>0</v>
          </cell>
          <cell r="N897">
            <v>0</v>
          </cell>
          <cell r="O897">
            <v>1500</v>
          </cell>
          <cell r="P897">
            <v>1500</v>
          </cell>
          <cell r="Q897" t="str">
            <v/>
          </cell>
          <cell r="R897" t="str">
            <v>Roof inspection. Pooling water</v>
          </cell>
          <cell r="S897" t="str">
            <v/>
          </cell>
          <cell r="T897" t="str">
            <v/>
          </cell>
          <cell r="U897" t="str">
            <v/>
          </cell>
          <cell r="V897" t="str">
            <v/>
          </cell>
          <cell r="W897">
            <v>1500</v>
          </cell>
          <cell r="X897">
            <v>0</v>
          </cell>
          <cell r="Y897" t="str">
            <v>A</v>
          </cell>
          <cell r="Z897" t="str">
            <v>BUY</v>
          </cell>
          <cell r="AA897" t="str">
            <v/>
          </cell>
        </row>
        <row r="898">
          <cell r="A898" t="str">
            <v>B</v>
          </cell>
          <cell r="F898" t="str">
            <v>9170-1</v>
          </cell>
          <cell r="G898" t="str">
            <v>B</v>
          </cell>
          <cell r="H898">
            <v>19</v>
          </cell>
          <cell r="I898" t="str">
            <v>Roof-Asphalt</v>
          </cell>
          <cell r="J898" t="str">
            <v>Roof-Asphalt</v>
          </cell>
          <cell r="K898">
            <v>0</v>
          </cell>
          <cell r="L898">
            <v>0</v>
          </cell>
          <cell r="M898">
            <v>0</v>
          </cell>
          <cell r="N898">
            <v>0</v>
          </cell>
          <cell r="O898">
            <v>0</v>
          </cell>
          <cell r="P898">
            <v>0</v>
          </cell>
          <cell r="Q898" t="str">
            <v/>
          </cell>
          <cell r="R898" t="str">
            <v/>
          </cell>
          <cell r="S898" t="str">
            <v/>
          </cell>
          <cell r="T898" t="str">
            <v/>
          </cell>
          <cell r="U898" t="str">
            <v/>
          </cell>
          <cell r="V898" t="str">
            <v/>
          </cell>
          <cell r="W898">
            <v>0</v>
          </cell>
          <cell r="X898">
            <v>0</v>
          </cell>
          <cell r="Y898" t="str">
            <v/>
          </cell>
          <cell r="Z898" t="str">
            <v>BUY</v>
          </cell>
          <cell r="AA898" t="str">
            <v/>
          </cell>
        </row>
        <row r="899">
          <cell r="A899" t="str">
            <v>B</v>
          </cell>
          <cell r="F899" t="str">
            <v>9170-2</v>
          </cell>
          <cell r="G899" t="str">
            <v>B</v>
          </cell>
          <cell r="H899">
            <v>19</v>
          </cell>
          <cell r="I899" t="str">
            <v>Roof-Cedar</v>
          </cell>
          <cell r="J899" t="str">
            <v>Roof-Cedar</v>
          </cell>
          <cell r="K899">
            <v>0</v>
          </cell>
          <cell r="L899">
            <v>0</v>
          </cell>
          <cell r="M899">
            <v>0</v>
          </cell>
          <cell r="N899">
            <v>0</v>
          </cell>
          <cell r="O899">
            <v>0</v>
          </cell>
          <cell r="P899">
            <v>0</v>
          </cell>
          <cell r="Q899" t="str">
            <v/>
          </cell>
          <cell r="R899" t="str">
            <v/>
          </cell>
          <cell r="S899" t="str">
            <v/>
          </cell>
          <cell r="T899" t="str">
            <v/>
          </cell>
          <cell r="U899" t="str">
            <v/>
          </cell>
          <cell r="V899" t="str">
            <v/>
          </cell>
          <cell r="W899">
            <v>0</v>
          </cell>
          <cell r="X899">
            <v>0</v>
          </cell>
          <cell r="Y899" t="str">
            <v/>
          </cell>
          <cell r="Z899" t="str">
            <v>BUY</v>
          </cell>
          <cell r="AA899" t="str">
            <v/>
          </cell>
        </row>
        <row r="900">
          <cell r="A900" t="str">
            <v>B</v>
          </cell>
          <cell r="F900" t="str">
            <v>9170-3</v>
          </cell>
          <cell r="G900" t="str">
            <v>B</v>
          </cell>
          <cell r="H900">
            <v>19</v>
          </cell>
          <cell r="I900" t="str">
            <v>Roof-Flat</v>
          </cell>
          <cell r="J900" t="str">
            <v>Roof-Flat</v>
          </cell>
          <cell r="K900">
            <v>0</v>
          </cell>
          <cell r="L900">
            <v>0</v>
          </cell>
          <cell r="M900">
            <v>0</v>
          </cell>
          <cell r="N900">
            <v>0</v>
          </cell>
          <cell r="O900">
            <v>0</v>
          </cell>
          <cell r="P900">
            <v>0</v>
          </cell>
          <cell r="Q900" t="str">
            <v/>
          </cell>
          <cell r="R900" t="str">
            <v/>
          </cell>
          <cell r="S900" t="str">
            <v/>
          </cell>
          <cell r="T900" t="str">
            <v/>
          </cell>
          <cell r="U900" t="str">
            <v/>
          </cell>
          <cell r="V900" t="str">
            <v/>
          </cell>
          <cell r="W900">
            <v>0</v>
          </cell>
          <cell r="X900">
            <v>0</v>
          </cell>
          <cell r="Y900" t="str">
            <v/>
          </cell>
          <cell r="Z900" t="str">
            <v>BUY</v>
          </cell>
          <cell r="AA900" t="str">
            <v/>
          </cell>
        </row>
        <row r="901">
          <cell r="A901" t="str">
            <v>B</v>
          </cell>
          <cell r="F901" t="str">
            <v>9171</v>
          </cell>
          <cell r="G901" t="str">
            <v>B</v>
          </cell>
          <cell r="H901">
            <v>19</v>
          </cell>
          <cell r="I901" t="str">
            <v>Interior Painting Capital Expense</v>
          </cell>
          <cell r="J901" t="str">
            <v>Interior Painting Capital Expense</v>
          </cell>
          <cell r="K901">
            <v>0</v>
          </cell>
          <cell r="L901">
            <v>0</v>
          </cell>
          <cell r="M901">
            <v>0</v>
          </cell>
          <cell r="N901">
            <v>0</v>
          </cell>
          <cell r="O901">
            <v>22770</v>
          </cell>
          <cell r="P901">
            <v>22770</v>
          </cell>
          <cell r="Q901" t="str">
            <v/>
          </cell>
          <cell r="R901" t="str">
            <v>Per Reserve Study: Hallway painting-proposals pending</v>
          </cell>
          <cell r="S901" t="str">
            <v/>
          </cell>
          <cell r="T901" t="str">
            <v/>
          </cell>
          <cell r="U901" t="str">
            <v/>
          </cell>
          <cell r="V901" t="str">
            <v/>
          </cell>
          <cell r="W901">
            <v>22770</v>
          </cell>
          <cell r="X901">
            <v>0</v>
          </cell>
          <cell r="Y901" t="str">
            <v>A</v>
          </cell>
          <cell r="Z901" t="str">
            <v>BUY</v>
          </cell>
          <cell r="AA901" t="str">
            <v/>
          </cell>
        </row>
        <row r="902">
          <cell r="A902" t="str">
            <v>B</v>
          </cell>
          <cell r="F902" t="str">
            <v>9171-1</v>
          </cell>
          <cell r="G902" t="str">
            <v>B</v>
          </cell>
          <cell r="H902">
            <v>19</v>
          </cell>
          <cell r="I902" t="str">
            <v>Interior Painting-Hallways</v>
          </cell>
          <cell r="J902" t="str">
            <v>Interior Painting-Hallways</v>
          </cell>
          <cell r="K902">
            <v>0</v>
          </cell>
          <cell r="L902">
            <v>0</v>
          </cell>
          <cell r="M902">
            <v>0</v>
          </cell>
          <cell r="N902">
            <v>0</v>
          </cell>
          <cell r="O902">
            <v>0</v>
          </cell>
          <cell r="P902">
            <v>0</v>
          </cell>
          <cell r="Q902" t="str">
            <v/>
          </cell>
          <cell r="R902" t="str">
            <v/>
          </cell>
          <cell r="S902" t="str">
            <v/>
          </cell>
          <cell r="T902" t="str">
            <v/>
          </cell>
          <cell r="U902" t="str">
            <v/>
          </cell>
          <cell r="V902" t="str">
            <v/>
          </cell>
          <cell r="W902">
            <v>0</v>
          </cell>
          <cell r="X902">
            <v>0</v>
          </cell>
          <cell r="Y902" t="str">
            <v/>
          </cell>
          <cell r="Z902" t="str">
            <v>BUY</v>
          </cell>
          <cell r="AA902" t="str">
            <v/>
          </cell>
        </row>
        <row r="903">
          <cell r="A903" t="str">
            <v>B</v>
          </cell>
          <cell r="F903" t="str">
            <v>9171-2</v>
          </cell>
          <cell r="G903" t="str">
            <v>B</v>
          </cell>
          <cell r="H903">
            <v>19</v>
          </cell>
          <cell r="I903" t="str">
            <v>Interior Painting-Clubhouse</v>
          </cell>
          <cell r="J903" t="str">
            <v>Interior Painting-Clubhouse</v>
          </cell>
          <cell r="K903">
            <v>0</v>
          </cell>
          <cell r="L903">
            <v>0</v>
          </cell>
          <cell r="M903">
            <v>0</v>
          </cell>
          <cell r="N903">
            <v>0</v>
          </cell>
          <cell r="O903">
            <v>0</v>
          </cell>
          <cell r="P903">
            <v>0</v>
          </cell>
          <cell r="Q903" t="str">
            <v/>
          </cell>
          <cell r="R903" t="str">
            <v/>
          </cell>
          <cell r="S903" t="str">
            <v/>
          </cell>
          <cell r="T903" t="str">
            <v/>
          </cell>
          <cell r="U903" t="str">
            <v/>
          </cell>
          <cell r="V903" t="str">
            <v/>
          </cell>
          <cell r="W903">
            <v>0</v>
          </cell>
          <cell r="X903">
            <v>0</v>
          </cell>
          <cell r="Y903" t="str">
            <v/>
          </cell>
          <cell r="Z903" t="str">
            <v>BUY</v>
          </cell>
          <cell r="AA903" t="str">
            <v/>
          </cell>
        </row>
        <row r="904">
          <cell r="A904" t="str">
            <v>B</v>
          </cell>
          <cell r="F904" t="str">
            <v>9171-3</v>
          </cell>
          <cell r="G904" t="str">
            <v>B</v>
          </cell>
          <cell r="H904">
            <v>19</v>
          </cell>
          <cell r="I904" t="str">
            <v>Interior Painting-Common Area</v>
          </cell>
          <cell r="J904" t="str">
            <v>Interior Painting-Common Area</v>
          </cell>
          <cell r="K904">
            <v>0</v>
          </cell>
          <cell r="L904">
            <v>0</v>
          </cell>
          <cell r="M904">
            <v>0</v>
          </cell>
          <cell r="N904">
            <v>0</v>
          </cell>
          <cell r="O904">
            <v>0</v>
          </cell>
          <cell r="P904">
            <v>0</v>
          </cell>
          <cell r="Q904" t="str">
            <v/>
          </cell>
          <cell r="R904" t="str">
            <v/>
          </cell>
          <cell r="S904" t="str">
            <v/>
          </cell>
          <cell r="T904" t="str">
            <v/>
          </cell>
          <cell r="U904" t="str">
            <v/>
          </cell>
          <cell r="V904" t="str">
            <v/>
          </cell>
          <cell r="W904">
            <v>0</v>
          </cell>
          <cell r="X904">
            <v>0</v>
          </cell>
          <cell r="Y904" t="str">
            <v/>
          </cell>
          <cell r="Z904" t="str">
            <v>BUY</v>
          </cell>
          <cell r="AA904" t="str">
            <v/>
          </cell>
        </row>
        <row r="905">
          <cell r="A905" t="str">
            <v>B</v>
          </cell>
          <cell r="F905" t="str">
            <v>9172</v>
          </cell>
          <cell r="G905" t="str">
            <v>B</v>
          </cell>
          <cell r="H905">
            <v>19</v>
          </cell>
          <cell r="I905" t="str">
            <v>Exterior Painting Capital Expense</v>
          </cell>
          <cell r="J905" t="str">
            <v>Exterior Painting Capital Expense</v>
          </cell>
          <cell r="K905">
            <v>0</v>
          </cell>
          <cell r="L905">
            <v>0</v>
          </cell>
          <cell r="M905">
            <v>0</v>
          </cell>
          <cell r="N905">
            <v>0</v>
          </cell>
          <cell r="O905">
            <v>0</v>
          </cell>
          <cell r="P905">
            <v>0</v>
          </cell>
          <cell r="Q905" t="str">
            <v/>
          </cell>
          <cell r="R905" t="str">
            <v/>
          </cell>
          <cell r="S905" t="str">
            <v/>
          </cell>
          <cell r="T905" t="str">
            <v/>
          </cell>
          <cell r="U905" t="str">
            <v/>
          </cell>
          <cell r="V905" t="str">
            <v/>
          </cell>
          <cell r="W905">
            <v>0</v>
          </cell>
          <cell r="X905">
            <v>0</v>
          </cell>
          <cell r="Y905" t="str">
            <v/>
          </cell>
          <cell r="Z905" t="str">
            <v>BUY</v>
          </cell>
          <cell r="AA905" t="str">
            <v/>
          </cell>
        </row>
        <row r="906">
          <cell r="A906" t="str">
            <v>B</v>
          </cell>
          <cell r="F906" t="str">
            <v>9172-1</v>
          </cell>
          <cell r="G906" t="str">
            <v>B</v>
          </cell>
          <cell r="H906">
            <v>19</v>
          </cell>
          <cell r="I906" t="str">
            <v>Exterior Painting-Building</v>
          </cell>
          <cell r="J906" t="str">
            <v>Exterior Painting-Building</v>
          </cell>
          <cell r="K906">
            <v>0</v>
          </cell>
          <cell r="L906">
            <v>0</v>
          </cell>
          <cell r="M906">
            <v>0</v>
          </cell>
          <cell r="N906">
            <v>0</v>
          </cell>
          <cell r="O906">
            <v>0</v>
          </cell>
          <cell r="P906">
            <v>0</v>
          </cell>
          <cell r="Q906" t="str">
            <v/>
          </cell>
          <cell r="R906" t="str">
            <v/>
          </cell>
          <cell r="S906" t="str">
            <v/>
          </cell>
          <cell r="T906" t="str">
            <v/>
          </cell>
          <cell r="U906" t="str">
            <v/>
          </cell>
          <cell r="V906" t="str">
            <v/>
          </cell>
          <cell r="W906">
            <v>0</v>
          </cell>
          <cell r="X906">
            <v>0</v>
          </cell>
          <cell r="Y906" t="str">
            <v/>
          </cell>
          <cell r="Z906" t="str">
            <v>BUY</v>
          </cell>
          <cell r="AA906" t="str">
            <v/>
          </cell>
        </row>
        <row r="907">
          <cell r="A907" t="str">
            <v>B</v>
          </cell>
          <cell r="F907" t="str">
            <v>9172-2</v>
          </cell>
          <cell r="G907" t="str">
            <v>B</v>
          </cell>
          <cell r="H907">
            <v>19</v>
          </cell>
          <cell r="I907" t="str">
            <v>Exterior Painting-Siding</v>
          </cell>
          <cell r="J907" t="str">
            <v>Exterior Painting-Siding</v>
          </cell>
          <cell r="K907">
            <v>0</v>
          </cell>
          <cell r="L907">
            <v>0</v>
          </cell>
          <cell r="M907">
            <v>0</v>
          </cell>
          <cell r="N907">
            <v>0</v>
          </cell>
          <cell r="O907">
            <v>0</v>
          </cell>
          <cell r="P907">
            <v>0</v>
          </cell>
          <cell r="Q907" t="str">
            <v/>
          </cell>
          <cell r="R907" t="str">
            <v/>
          </cell>
          <cell r="S907" t="str">
            <v/>
          </cell>
          <cell r="T907" t="str">
            <v/>
          </cell>
          <cell r="U907" t="str">
            <v/>
          </cell>
          <cell r="V907" t="str">
            <v/>
          </cell>
          <cell r="W907">
            <v>0</v>
          </cell>
          <cell r="X907">
            <v>0</v>
          </cell>
          <cell r="Y907" t="str">
            <v/>
          </cell>
          <cell r="Z907" t="str">
            <v>BUY</v>
          </cell>
          <cell r="AA907" t="str">
            <v/>
          </cell>
        </row>
        <row r="908">
          <cell r="A908" t="str">
            <v>B</v>
          </cell>
          <cell r="F908" t="str">
            <v>9172-3</v>
          </cell>
          <cell r="G908" t="str">
            <v>B</v>
          </cell>
          <cell r="H908">
            <v>19</v>
          </cell>
          <cell r="I908" t="str">
            <v>Exterior Painting-Trim</v>
          </cell>
          <cell r="J908" t="str">
            <v>Exterior Painting-Trim</v>
          </cell>
          <cell r="K908">
            <v>0</v>
          </cell>
          <cell r="L908">
            <v>0</v>
          </cell>
          <cell r="M908">
            <v>0</v>
          </cell>
          <cell r="N908">
            <v>0</v>
          </cell>
          <cell r="O908">
            <v>0</v>
          </cell>
          <cell r="P908">
            <v>0</v>
          </cell>
          <cell r="Q908" t="str">
            <v/>
          </cell>
          <cell r="R908" t="str">
            <v/>
          </cell>
          <cell r="S908" t="str">
            <v/>
          </cell>
          <cell r="T908" t="str">
            <v/>
          </cell>
          <cell r="U908" t="str">
            <v/>
          </cell>
          <cell r="V908" t="str">
            <v/>
          </cell>
          <cell r="W908">
            <v>0</v>
          </cell>
          <cell r="X908">
            <v>0</v>
          </cell>
          <cell r="Y908" t="str">
            <v/>
          </cell>
          <cell r="Z908" t="str">
            <v>BUY</v>
          </cell>
          <cell r="AA908" t="str">
            <v/>
          </cell>
        </row>
        <row r="909">
          <cell r="A909" t="str">
            <v>B</v>
          </cell>
          <cell r="F909" t="str">
            <v>9173</v>
          </cell>
          <cell r="G909" t="str">
            <v>B</v>
          </cell>
          <cell r="H909">
            <v>19</v>
          </cell>
          <cell r="I909" t="str">
            <v>Asphalt Capital Expense</v>
          </cell>
          <cell r="J909" t="str">
            <v>Asphalt Capital Expense</v>
          </cell>
          <cell r="K909">
            <v>0</v>
          </cell>
          <cell r="L909">
            <v>0</v>
          </cell>
          <cell r="M909">
            <v>0</v>
          </cell>
          <cell r="N909">
            <v>0</v>
          </cell>
          <cell r="O909">
            <v>0</v>
          </cell>
          <cell r="P909">
            <v>0</v>
          </cell>
          <cell r="Q909" t="str">
            <v/>
          </cell>
          <cell r="R909" t="str">
            <v/>
          </cell>
          <cell r="S909" t="str">
            <v/>
          </cell>
          <cell r="T909" t="str">
            <v/>
          </cell>
          <cell r="U909" t="str">
            <v/>
          </cell>
          <cell r="V909" t="str">
            <v/>
          </cell>
          <cell r="W909">
            <v>0</v>
          </cell>
          <cell r="X909">
            <v>0</v>
          </cell>
          <cell r="Y909" t="str">
            <v/>
          </cell>
          <cell r="Z909" t="str">
            <v>BUY</v>
          </cell>
          <cell r="AA909" t="str">
            <v/>
          </cell>
        </row>
        <row r="910">
          <cell r="A910" t="str">
            <v>B</v>
          </cell>
          <cell r="F910" t="str">
            <v>9173-1</v>
          </cell>
          <cell r="G910" t="str">
            <v>B</v>
          </cell>
          <cell r="H910">
            <v>19</v>
          </cell>
          <cell r="I910" t="str">
            <v>Asphalt-Driveway Replacement</v>
          </cell>
          <cell r="J910" t="str">
            <v>Asphalt-Driveway Replacement</v>
          </cell>
          <cell r="K910">
            <v>0</v>
          </cell>
          <cell r="L910">
            <v>0</v>
          </cell>
          <cell r="M910">
            <v>0</v>
          </cell>
          <cell r="N910">
            <v>0</v>
          </cell>
          <cell r="O910">
            <v>0</v>
          </cell>
          <cell r="P910">
            <v>0</v>
          </cell>
          <cell r="Q910" t="str">
            <v/>
          </cell>
          <cell r="R910" t="str">
            <v/>
          </cell>
          <cell r="S910" t="str">
            <v/>
          </cell>
          <cell r="T910" t="str">
            <v/>
          </cell>
          <cell r="U910" t="str">
            <v/>
          </cell>
          <cell r="V910" t="str">
            <v/>
          </cell>
          <cell r="W910">
            <v>0</v>
          </cell>
          <cell r="X910">
            <v>0</v>
          </cell>
          <cell r="Y910" t="str">
            <v/>
          </cell>
          <cell r="Z910" t="str">
            <v>BUY</v>
          </cell>
          <cell r="AA910" t="str">
            <v/>
          </cell>
        </row>
        <row r="911">
          <cell r="A911" t="str">
            <v>B</v>
          </cell>
          <cell r="F911" t="str">
            <v>9173-2</v>
          </cell>
          <cell r="G911" t="str">
            <v>B</v>
          </cell>
          <cell r="H911">
            <v>19</v>
          </cell>
          <cell r="I911" t="str">
            <v>Asphalt-Path Replacement</v>
          </cell>
          <cell r="J911" t="str">
            <v>Asphalt-Path Replacement</v>
          </cell>
          <cell r="K911">
            <v>0</v>
          </cell>
          <cell r="L911">
            <v>0</v>
          </cell>
          <cell r="M911">
            <v>0</v>
          </cell>
          <cell r="N911">
            <v>0</v>
          </cell>
          <cell r="O911">
            <v>0</v>
          </cell>
          <cell r="P911">
            <v>0</v>
          </cell>
          <cell r="Q911" t="str">
            <v/>
          </cell>
          <cell r="R911" t="str">
            <v/>
          </cell>
          <cell r="S911" t="str">
            <v/>
          </cell>
          <cell r="T911" t="str">
            <v/>
          </cell>
          <cell r="U911" t="str">
            <v/>
          </cell>
          <cell r="V911" t="str">
            <v/>
          </cell>
          <cell r="W911">
            <v>0</v>
          </cell>
          <cell r="X911">
            <v>0</v>
          </cell>
          <cell r="Y911" t="str">
            <v/>
          </cell>
          <cell r="Z911" t="str">
            <v>BUY</v>
          </cell>
          <cell r="AA911" t="str">
            <v/>
          </cell>
        </row>
        <row r="912">
          <cell r="A912" t="str">
            <v>B</v>
          </cell>
          <cell r="F912" t="str">
            <v>9174</v>
          </cell>
          <cell r="G912" t="str">
            <v>B</v>
          </cell>
          <cell r="H912">
            <v>19</v>
          </cell>
          <cell r="I912" t="str">
            <v>Electrical Capital Expense</v>
          </cell>
          <cell r="J912" t="str">
            <v>Electrical Capital Expense</v>
          </cell>
          <cell r="K912">
            <v>0</v>
          </cell>
          <cell r="L912">
            <v>0</v>
          </cell>
          <cell r="M912">
            <v>0</v>
          </cell>
          <cell r="N912">
            <v>0</v>
          </cell>
          <cell r="O912">
            <v>0</v>
          </cell>
          <cell r="P912">
            <v>0</v>
          </cell>
          <cell r="Q912" t="str">
            <v/>
          </cell>
          <cell r="R912" t="str">
            <v/>
          </cell>
          <cell r="S912" t="str">
            <v/>
          </cell>
          <cell r="T912" t="str">
            <v/>
          </cell>
          <cell r="U912" t="str">
            <v/>
          </cell>
          <cell r="V912" t="str">
            <v/>
          </cell>
          <cell r="W912">
            <v>0</v>
          </cell>
          <cell r="X912">
            <v>0</v>
          </cell>
          <cell r="Y912" t="str">
            <v/>
          </cell>
          <cell r="Z912" t="str">
            <v>BUY</v>
          </cell>
          <cell r="AA912" t="str">
            <v/>
          </cell>
        </row>
        <row r="913">
          <cell r="A913" t="str">
            <v>B</v>
          </cell>
          <cell r="F913" t="str">
            <v>9174-1</v>
          </cell>
          <cell r="G913" t="str">
            <v>B</v>
          </cell>
          <cell r="H913">
            <v>19</v>
          </cell>
          <cell r="I913" t="str">
            <v>Electrical-Fixture Replacement</v>
          </cell>
          <cell r="J913" t="str">
            <v>Electrical-Fixture Replacement</v>
          </cell>
          <cell r="K913">
            <v>0</v>
          </cell>
          <cell r="L913">
            <v>0</v>
          </cell>
          <cell r="M913">
            <v>0</v>
          </cell>
          <cell r="N913">
            <v>0</v>
          </cell>
          <cell r="O913">
            <v>0</v>
          </cell>
          <cell r="P913">
            <v>0</v>
          </cell>
          <cell r="Q913" t="str">
            <v/>
          </cell>
          <cell r="R913" t="str">
            <v/>
          </cell>
          <cell r="S913" t="str">
            <v/>
          </cell>
          <cell r="T913" t="str">
            <v/>
          </cell>
          <cell r="U913" t="str">
            <v/>
          </cell>
          <cell r="V913" t="str">
            <v/>
          </cell>
          <cell r="W913">
            <v>0</v>
          </cell>
          <cell r="X913">
            <v>0</v>
          </cell>
          <cell r="Y913" t="str">
            <v/>
          </cell>
          <cell r="Z913" t="str">
            <v>BUY</v>
          </cell>
          <cell r="AA913" t="str">
            <v/>
          </cell>
        </row>
        <row r="914">
          <cell r="A914" t="str">
            <v>B</v>
          </cell>
          <cell r="F914" t="str">
            <v>9174-2</v>
          </cell>
          <cell r="G914" t="str">
            <v>B</v>
          </cell>
          <cell r="H914">
            <v>19</v>
          </cell>
          <cell r="I914" t="str">
            <v>Electrical-Service Repair/Replacement</v>
          </cell>
          <cell r="J914" t="str">
            <v>Electrical-Service Repair/Replacement</v>
          </cell>
          <cell r="K914">
            <v>0</v>
          </cell>
          <cell r="L914">
            <v>0</v>
          </cell>
          <cell r="M914">
            <v>0</v>
          </cell>
          <cell r="N914">
            <v>0</v>
          </cell>
          <cell r="O914">
            <v>0</v>
          </cell>
          <cell r="P914">
            <v>0</v>
          </cell>
          <cell r="Q914" t="str">
            <v/>
          </cell>
          <cell r="R914" t="str">
            <v/>
          </cell>
          <cell r="S914" t="str">
            <v/>
          </cell>
          <cell r="T914" t="str">
            <v/>
          </cell>
          <cell r="U914" t="str">
            <v/>
          </cell>
          <cell r="V914" t="str">
            <v/>
          </cell>
          <cell r="W914">
            <v>0</v>
          </cell>
          <cell r="X914">
            <v>0</v>
          </cell>
          <cell r="Y914" t="str">
            <v/>
          </cell>
          <cell r="Z914" t="str">
            <v>BUY</v>
          </cell>
          <cell r="AA914" t="str">
            <v/>
          </cell>
        </row>
        <row r="915">
          <cell r="A915" t="str">
            <v>B</v>
          </cell>
          <cell r="F915" t="str">
            <v>9175</v>
          </cell>
          <cell r="G915" t="str">
            <v>B</v>
          </cell>
          <cell r="H915">
            <v>19</v>
          </cell>
          <cell r="I915" t="str">
            <v>Siding Capital Expense</v>
          </cell>
          <cell r="J915" t="str">
            <v>Siding Capital Expense</v>
          </cell>
          <cell r="K915">
            <v>0</v>
          </cell>
          <cell r="L915">
            <v>0</v>
          </cell>
          <cell r="M915">
            <v>0</v>
          </cell>
          <cell r="N915">
            <v>0</v>
          </cell>
          <cell r="O915">
            <v>0</v>
          </cell>
          <cell r="P915">
            <v>0</v>
          </cell>
          <cell r="Q915" t="str">
            <v/>
          </cell>
          <cell r="R915" t="str">
            <v/>
          </cell>
          <cell r="S915" t="str">
            <v/>
          </cell>
          <cell r="T915" t="str">
            <v/>
          </cell>
          <cell r="U915" t="str">
            <v/>
          </cell>
          <cell r="V915" t="str">
            <v/>
          </cell>
          <cell r="W915">
            <v>0</v>
          </cell>
          <cell r="X915">
            <v>0</v>
          </cell>
          <cell r="Y915" t="str">
            <v/>
          </cell>
          <cell r="Z915" t="str">
            <v>BUY</v>
          </cell>
          <cell r="AA915" t="str">
            <v/>
          </cell>
        </row>
        <row r="916">
          <cell r="A916" t="str">
            <v>B</v>
          </cell>
          <cell r="F916" t="str">
            <v>9175-1</v>
          </cell>
          <cell r="G916" t="str">
            <v>B</v>
          </cell>
          <cell r="H916">
            <v>19</v>
          </cell>
          <cell r="I916" t="str">
            <v>Siding-Alumunium</v>
          </cell>
          <cell r="J916" t="str">
            <v>Siding-Alumunium</v>
          </cell>
          <cell r="K916">
            <v>0</v>
          </cell>
          <cell r="L916">
            <v>0</v>
          </cell>
          <cell r="M916">
            <v>0</v>
          </cell>
          <cell r="N916">
            <v>0</v>
          </cell>
          <cell r="O916">
            <v>0</v>
          </cell>
          <cell r="P916">
            <v>0</v>
          </cell>
          <cell r="Q916" t="str">
            <v/>
          </cell>
          <cell r="R916" t="str">
            <v/>
          </cell>
          <cell r="S916" t="str">
            <v/>
          </cell>
          <cell r="T916" t="str">
            <v/>
          </cell>
          <cell r="U916" t="str">
            <v/>
          </cell>
          <cell r="V916" t="str">
            <v/>
          </cell>
          <cell r="W916">
            <v>0</v>
          </cell>
          <cell r="X916">
            <v>0</v>
          </cell>
          <cell r="Y916" t="str">
            <v/>
          </cell>
          <cell r="Z916" t="str">
            <v>BUY</v>
          </cell>
          <cell r="AA916" t="str">
            <v/>
          </cell>
        </row>
        <row r="917">
          <cell r="A917" t="str">
            <v>B</v>
          </cell>
          <cell r="F917" t="str">
            <v>9175-2</v>
          </cell>
          <cell r="G917" t="str">
            <v>B</v>
          </cell>
          <cell r="H917">
            <v>19</v>
          </cell>
          <cell r="I917" t="str">
            <v>Siding-Cedar</v>
          </cell>
          <cell r="J917" t="str">
            <v>Siding-Cedar</v>
          </cell>
          <cell r="K917">
            <v>0</v>
          </cell>
          <cell r="L917">
            <v>0</v>
          </cell>
          <cell r="M917">
            <v>0</v>
          </cell>
          <cell r="N917">
            <v>0</v>
          </cell>
          <cell r="O917">
            <v>0</v>
          </cell>
          <cell r="P917">
            <v>0</v>
          </cell>
          <cell r="Q917" t="str">
            <v/>
          </cell>
          <cell r="R917" t="str">
            <v/>
          </cell>
          <cell r="S917" t="str">
            <v/>
          </cell>
          <cell r="T917" t="str">
            <v/>
          </cell>
          <cell r="U917" t="str">
            <v/>
          </cell>
          <cell r="V917" t="str">
            <v/>
          </cell>
          <cell r="W917">
            <v>0</v>
          </cell>
          <cell r="X917">
            <v>0</v>
          </cell>
          <cell r="Y917" t="str">
            <v/>
          </cell>
          <cell r="Z917" t="str">
            <v>BUY</v>
          </cell>
          <cell r="AA917" t="str">
            <v/>
          </cell>
        </row>
        <row r="918">
          <cell r="A918" t="str">
            <v>B</v>
          </cell>
          <cell r="F918" t="str">
            <v>9175-3</v>
          </cell>
          <cell r="G918" t="str">
            <v>B</v>
          </cell>
          <cell r="H918">
            <v>19</v>
          </cell>
          <cell r="I918" t="str">
            <v>Siding-Vinyl</v>
          </cell>
          <cell r="J918" t="str">
            <v>Siding-Vinyl</v>
          </cell>
          <cell r="K918">
            <v>0</v>
          </cell>
          <cell r="L918">
            <v>0</v>
          </cell>
          <cell r="M918">
            <v>0</v>
          </cell>
          <cell r="N918">
            <v>0</v>
          </cell>
          <cell r="O918">
            <v>0</v>
          </cell>
          <cell r="P918">
            <v>0</v>
          </cell>
          <cell r="Q918" t="str">
            <v/>
          </cell>
          <cell r="R918" t="str">
            <v/>
          </cell>
          <cell r="S918" t="str">
            <v/>
          </cell>
          <cell r="T918" t="str">
            <v/>
          </cell>
          <cell r="U918" t="str">
            <v/>
          </cell>
          <cell r="V918" t="str">
            <v/>
          </cell>
          <cell r="W918">
            <v>0</v>
          </cell>
          <cell r="X918">
            <v>0</v>
          </cell>
          <cell r="Y918" t="str">
            <v/>
          </cell>
          <cell r="Z918" t="str">
            <v>BUY</v>
          </cell>
          <cell r="AA918" t="str">
            <v/>
          </cell>
        </row>
        <row r="919">
          <cell r="A919" t="str">
            <v>B</v>
          </cell>
          <cell r="F919" t="str">
            <v>9175-4</v>
          </cell>
          <cell r="G919" t="str">
            <v>B</v>
          </cell>
          <cell r="H919">
            <v>19</v>
          </cell>
          <cell r="I919" t="str">
            <v>Siding-Hardy Board</v>
          </cell>
          <cell r="J919" t="str">
            <v>Siding-Hardy Board</v>
          </cell>
          <cell r="K919">
            <v>0</v>
          </cell>
          <cell r="L919">
            <v>0</v>
          </cell>
          <cell r="M919">
            <v>0</v>
          </cell>
          <cell r="N919">
            <v>0</v>
          </cell>
          <cell r="O919">
            <v>0</v>
          </cell>
          <cell r="P919">
            <v>0</v>
          </cell>
          <cell r="Q919" t="str">
            <v/>
          </cell>
          <cell r="R919" t="str">
            <v/>
          </cell>
          <cell r="S919" t="str">
            <v/>
          </cell>
          <cell r="T919" t="str">
            <v/>
          </cell>
          <cell r="U919" t="str">
            <v/>
          </cell>
          <cell r="V919" t="str">
            <v/>
          </cell>
          <cell r="W919">
            <v>0</v>
          </cell>
          <cell r="X919">
            <v>0</v>
          </cell>
          <cell r="Y919" t="str">
            <v/>
          </cell>
          <cell r="Z919" t="str">
            <v>BUY</v>
          </cell>
          <cell r="AA919" t="str">
            <v/>
          </cell>
        </row>
        <row r="920">
          <cell r="A920" t="str">
            <v>B</v>
          </cell>
          <cell r="F920" t="str">
            <v>9176</v>
          </cell>
          <cell r="G920" t="str">
            <v>B</v>
          </cell>
          <cell r="H920">
            <v>19</v>
          </cell>
          <cell r="I920" t="str">
            <v>Flooring Capital Expense</v>
          </cell>
          <cell r="J920" t="str">
            <v>Flooring Capital Expense</v>
          </cell>
          <cell r="K920">
            <v>0</v>
          </cell>
          <cell r="L920">
            <v>0</v>
          </cell>
          <cell r="M920">
            <v>0</v>
          </cell>
          <cell r="N920">
            <v>0</v>
          </cell>
          <cell r="O920">
            <v>9000</v>
          </cell>
          <cell r="P920">
            <v>9000</v>
          </cell>
          <cell r="Q920" t="str">
            <v/>
          </cell>
          <cell r="R920" t="str">
            <v>Terrazzo Cleaning</v>
          </cell>
          <cell r="S920" t="str">
            <v/>
          </cell>
          <cell r="T920" t="str">
            <v/>
          </cell>
          <cell r="U920" t="str">
            <v/>
          </cell>
          <cell r="V920" t="str">
            <v/>
          </cell>
          <cell r="W920">
            <v>9000</v>
          </cell>
          <cell r="X920">
            <v>0</v>
          </cell>
          <cell r="Y920" t="str">
            <v>A</v>
          </cell>
          <cell r="Z920" t="str">
            <v>BUY</v>
          </cell>
          <cell r="AA920" t="str">
            <v/>
          </cell>
        </row>
        <row r="921">
          <cell r="A921" t="str">
            <v>B</v>
          </cell>
          <cell r="F921" t="str">
            <v>9176-1</v>
          </cell>
          <cell r="G921" t="str">
            <v>B</v>
          </cell>
          <cell r="H921">
            <v>19</v>
          </cell>
          <cell r="I921" t="str">
            <v>Flooring-Tile Replacement</v>
          </cell>
          <cell r="J921" t="str">
            <v>Flooring-Tile Replacement</v>
          </cell>
          <cell r="K921">
            <v>0</v>
          </cell>
          <cell r="L921">
            <v>0</v>
          </cell>
          <cell r="M921">
            <v>0</v>
          </cell>
          <cell r="N921">
            <v>0</v>
          </cell>
          <cell r="O921">
            <v>0</v>
          </cell>
          <cell r="P921">
            <v>0</v>
          </cell>
          <cell r="Q921" t="str">
            <v/>
          </cell>
          <cell r="R921" t="str">
            <v/>
          </cell>
          <cell r="S921" t="str">
            <v/>
          </cell>
          <cell r="T921" t="str">
            <v/>
          </cell>
          <cell r="U921" t="str">
            <v/>
          </cell>
          <cell r="V921" t="str">
            <v/>
          </cell>
          <cell r="W921">
            <v>0</v>
          </cell>
          <cell r="X921">
            <v>0</v>
          </cell>
          <cell r="Y921" t="str">
            <v/>
          </cell>
          <cell r="Z921" t="str">
            <v>BUY</v>
          </cell>
          <cell r="AA921" t="str">
            <v/>
          </cell>
        </row>
        <row r="922">
          <cell r="A922" t="str">
            <v>B</v>
          </cell>
          <cell r="F922" t="str">
            <v>9176-2</v>
          </cell>
          <cell r="G922" t="str">
            <v>B</v>
          </cell>
          <cell r="H922">
            <v>19</v>
          </cell>
          <cell r="I922" t="str">
            <v>Flooring-Carpet Replacement</v>
          </cell>
          <cell r="J922" t="str">
            <v>Flooring-Carpet Replacement</v>
          </cell>
          <cell r="K922">
            <v>0</v>
          </cell>
          <cell r="L922">
            <v>0</v>
          </cell>
          <cell r="M922">
            <v>0</v>
          </cell>
          <cell r="N922">
            <v>0</v>
          </cell>
          <cell r="O922">
            <v>48386</v>
          </cell>
          <cell r="P922">
            <v>48386</v>
          </cell>
          <cell r="Q922" t="str">
            <v/>
          </cell>
          <cell r="R922" t="str">
            <v xml:space="preserve">Per Reserve Study: Hallway Carpet-proposals pending </v>
          </cell>
          <cell r="S922" t="str">
            <v/>
          </cell>
          <cell r="T922" t="str">
            <v/>
          </cell>
          <cell r="U922" t="str">
            <v/>
          </cell>
          <cell r="V922" t="str">
            <v/>
          </cell>
          <cell r="W922">
            <v>48386</v>
          </cell>
          <cell r="X922">
            <v>0</v>
          </cell>
          <cell r="Y922" t="str">
            <v>A</v>
          </cell>
          <cell r="Z922" t="str">
            <v>BUY</v>
          </cell>
          <cell r="AA922" t="str">
            <v/>
          </cell>
        </row>
        <row r="923">
          <cell r="A923" t="str">
            <v>B</v>
          </cell>
          <cell r="F923" t="str">
            <v>9176-3</v>
          </cell>
          <cell r="G923" t="str">
            <v>B</v>
          </cell>
          <cell r="H923">
            <v>19</v>
          </cell>
          <cell r="I923" t="str">
            <v>Flooring-Laminate Floors</v>
          </cell>
          <cell r="J923" t="str">
            <v>Flooring-Laminate Floors</v>
          </cell>
          <cell r="K923">
            <v>0</v>
          </cell>
          <cell r="L923">
            <v>0</v>
          </cell>
          <cell r="M923">
            <v>0</v>
          </cell>
          <cell r="N923">
            <v>0</v>
          </cell>
          <cell r="O923">
            <v>0</v>
          </cell>
          <cell r="P923">
            <v>0</v>
          </cell>
          <cell r="Q923" t="str">
            <v/>
          </cell>
          <cell r="R923" t="str">
            <v/>
          </cell>
          <cell r="S923" t="str">
            <v/>
          </cell>
          <cell r="T923" t="str">
            <v/>
          </cell>
          <cell r="U923" t="str">
            <v/>
          </cell>
          <cell r="V923" t="str">
            <v/>
          </cell>
          <cell r="W923">
            <v>0</v>
          </cell>
          <cell r="X923">
            <v>0</v>
          </cell>
          <cell r="Y923" t="str">
            <v/>
          </cell>
          <cell r="Z923" t="str">
            <v>BUY</v>
          </cell>
          <cell r="AA923" t="str">
            <v/>
          </cell>
        </row>
        <row r="924">
          <cell r="A924" t="str">
            <v>B</v>
          </cell>
          <cell r="F924" t="str">
            <v>9177</v>
          </cell>
          <cell r="G924" t="str">
            <v>B</v>
          </cell>
          <cell r="H924">
            <v>19</v>
          </cell>
          <cell r="I924" t="str">
            <v>Gutter Capital Expense</v>
          </cell>
          <cell r="J924" t="str">
            <v>Gutter Capital Expense</v>
          </cell>
          <cell r="K924">
            <v>0</v>
          </cell>
          <cell r="L924">
            <v>0</v>
          </cell>
          <cell r="M924">
            <v>0</v>
          </cell>
          <cell r="N924">
            <v>0</v>
          </cell>
          <cell r="O924">
            <v>0</v>
          </cell>
          <cell r="P924">
            <v>0</v>
          </cell>
          <cell r="Q924" t="str">
            <v/>
          </cell>
          <cell r="R924" t="str">
            <v/>
          </cell>
          <cell r="S924" t="str">
            <v/>
          </cell>
          <cell r="T924" t="str">
            <v/>
          </cell>
          <cell r="U924" t="str">
            <v/>
          </cell>
          <cell r="V924" t="str">
            <v/>
          </cell>
          <cell r="W924">
            <v>0</v>
          </cell>
          <cell r="X924">
            <v>0</v>
          </cell>
          <cell r="Y924" t="str">
            <v/>
          </cell>
          <cell r="Z924" t="str">
            <v>BUY</v>
          </cell>
          <cell r="AA924" t="str">
            <v/>
          </cell>
        </row>
        <row r="925">
          <cell r="A925" t="str">
            <v>B</v>
          </cell>
          <cell r="F925" t="str">
            <v>9177-1</v>
          </cell>
          <cell r="G925" t="str">
            <v>B</v>
          </cell>
          <cell r="H925">
            <v>19</v>
          </cell>
          <cell r="I925" t="str">
            <v>Gutter-Replacement</v>
          </cell>
          <cell r="J925" t="str">
            <v>Gutter-Replacement</v>
          </cell>
          <cell r="K925">
            <v>0</v>
          </cell>
          <cell r="L925">
            <v>0</v>
          </cell>
          <cell r="M925">
            <v>0</v>
          </cell>
          <cell r="N925">
            <v>0</v>
          </cell>
          <cell r="O925">
            <v>0</v>
          </cell>
          <cell r="P925">
            <v>0</v>
          </cell>
          <cell r="Q925" t="str">
            <v/>
          </cell>
          <cell r="R925" t="str">
            <v/>
          </cell>
          <cell r="S925" t="str">
            <v/>
          </cell>
          <cell r="T925" t="str">
            <v/>
          </cell>
          <cell r="U925" t="str">
            <v/>
          </cell>
          <cell r="V925" t="str">
            <v/>
          </cell>
          <cell r="W925">
            <v>0</v>
          </cell>
          <cell r="X925">
            <v>0</v>
          </cell>
          <cell r="Y925" t="str">
            <v/>
          </cell>
          <cell r="Z925" t="str">
            <v>BUY</v>
          </cell>
          <cell r="AA925" t="str">
            <v/>
          </cell>
        </row>
        <row r="926">
          <cell r="A926" t="str">
            <v>B</v>
          </cell>
          <cell r="F926" t="str">
            <v>9177-2</v>
          </cell>
          <cell r="G926" t="str">
            <v>B</v>
          </cell>
          <cell r="H926">
            <v>19</v>
          </cell>
          <cell r="I926" t="str">
            <v>Gutter-Downspout Replacement</v>
          </cell>
          <cell r="J926" t="str">
            <v>Gutter-Downspout Replacement</v>
          </cell>
          <cell r="K926">
            <v>0</v>
          </cell>
          <cell r="L926">
            <v>0</v>
          </cell>
          <cell r="M926">
            <v>0</v>
          </cell>
          <cell r="N926">
            <v>0</v>
          </cell>
          <cell r="O926">
            <v>0</v>
          </cell>
          <cell r="P926">
            <v>0</v>
          </cell>
          <cell r="Q926" t="str">
            <v/>
          </cell>
          <cell r="R926" t="str">
            <v/>
          </cell>
          <cell r="S926" t="str">
            <v/>
          </cell>
          <cell r="T926" t="str">
            <v/>
          </cell>
          <cell r="U926" t="str">
            <v/>
          </cell>
          <cell r="V926" t="str">
            <v/>
          </cell>
          <cell r="W926">
            <v>0</v>
          </cell>
          <cell r="X926">
            <v>0</v>
          </cell>
          <cell r="Y926" t="str">
            <v/>
          </cell>
          <cell r="Z926" t="str">
            <v>BUY</v>
          </cell>
          <cell r="AA926" t="str">
            <v/>
          </cell>
        </row>
        <row r="927">
          <cell r="A927" t="str">
            <v>B</v>
          </cell>
          <cell r="F927" t="str">
            <v>9178</v>
          </cell>
          <cell r="G927" t="str">
            <v>B</v>
          </cell>
          <cell r="H927">
            <v>19</v>
          </cell>
          <cell r="I927" t="str">
            <v>Drywall Capital Expense</v>
          </cell>
          <cell r="J927" t="str">
            <v>Drywall Capital Expense</v>
          </cell>
          <cell r="K927">
            <v>0</v>
          </cell>
          <cell r="L927">
            <v>0</v>
          </cell>
          <cell r="M927">
            <v>0</v>
          </cell>
          <cell r="N927">
            <v>0</v>
          </cell>
          <cell r="O927">
            <v>0</v>
          </cell>
          <cell r="P927">
            <v>0</v>
          </cell>
          <cell r="Q927" t="str">
            <v/>
          </cell>
          <cell r="R927" t="str">
            <v/>
          </cell>
          <cell r="S927" t="str">
            <v/>
          </cell>
          <cell r="T927" t="str">
            <v/>
          </cell>
          <cell r="U927" t="str">
            <v/>
          </cell>
          <cell r="V927" t="str">
            <v/>
          </cell>
          <cell r="W927">
            <v>0</v>
          </cell>
          <cell r="X927">
            <v>0</v>
          </cell>
          <cell r="Y927" t="str">
            <v/>
          </cell>
          <cell r="Z927" t="str">
            <v>BUY</v>
          </cell>
          <cell r="AA927" t="str">
            <v/>
          </cell>
        </row>
        <row r="928">
          <cell r="A928" t="str">
            <v>B</v>
          </cell>
          <cell r="F928" t="str">
            <v>9179</v>
          </cell>
          <cell r="G928" t="str">
            <v>B</v>
          </cell>
          <cell r="H928">
            <v>19</v>
          </cell>
          <cell r="I928" t="str">
            <v>Insurance Claim Expense</v>
          </cell>
          <cell r="J928" t="str">
            <v>Insurance Claim Expense</v>
          </cell>
          <cell r="K928">
            <v>0</v>
          </cell>
          <cell r="L928">
            <v>0</v>
          </cell>
          <cell r="M928">
            <v>0</v>
          </cell>
          <cell r="N928">
            <v>0</v>
          </cell>
          <cell r="O928">
            <v>0</v>
          </cell>
          <cell r="P928">
            <v>0</v>
          </cell>
          <cell r="Q928" t="str">
            <v/>
          </cell>
          <cell r="R928" t="str">
            <v/>
          </cell>
          <cell r="S928" t="str">
            <v/>
          </cell>
          <cell r="T928" t="str">
            <v/>
          </cell>
          <cell r="U928" t="str">
            <v/>
          </cell>
          <cell r="V928" t="str">
            <v/>
          </cell>
          <cell r="W928">
            <v>0</v>
          </cell>
          <cell r="X928">
            <v>0</v>
          </cell>
          <cell r="Y928" t="str">
            <v/>
          </cell>
          <cell r="Z928" t="str">
            <v>BUY</v>
          </cell>
          <cell r="AA928" t="str">
            <v/>
          </cell>
        </row>
        <row r="929">
          <cell r="A929" t="str">
            <v>B</v>
          </cell>
          <cell r="F929" t="str">
            <v>9179-1</v>
          </cell>
          <cell r="G929" t="str">
            <v>B</v>
          </cell>
          <cell r="H929">
            <v>19</v>
          </cell>
          <cell r="I929" t="str">
            <v>Insurance-Fire</v>
          </cell>
          <cell r="J929" t="str">
            <v>Insurance-Fire</v>
          </cell>
          <cell r="K929">
            <v>0</v>
          </cell>
          <cell r="L929">
            <v>0</v>
          </cell>
          <cell r="M929">
            <v>0</v>
          </cell>
          <cell r="N929">
            <v>0</v>
          </cell>
          <cell r="O929">
            <v>0</v>
          </cell>
          <cell r="P929">
            <v>0</v>
          </cell>
          <cell r="Q929" t="str">
            <v/>
          </cell>
          <cell r="R929" t="str">
            <v/>
          </cell>
          <cell r="S929" t="str">
            <v/>
          </cell>
          <cell r="T929" t="str">
            <v/>
          </cell>
          <cell r="U929" t="str">
            <v/>
          </cell>
          <cell r="V929" t="str">
            <v/>
          </cell>
          <cell r="W929">
            <v>0</v>
          </cell>
          <cell r="X929">
            <v>0</v>
          </cell>
          <cell r="Y929" t="str">
            <v/>
          </cell>
          <cell r="Z929" t="str">
            <v>BUY</v>
          </cell>
          <cell r="AA929" t="str">
            <v/>
          </cell>
        </row>
        <row r="930">
          <cell r="A930" t="str">
            <v>B</v>
          </cell>
          <cell r="F930" t="str">
            <v>9179-2</v>
          </cell>
          <cell r="G930" t="str">
            <v>B</v>
          </cell>
          <cell r="H930">
            <v>19</v>
          </cell>
          <cell r="I930" t="str">
            <v>Insurance-Flood</v>
          </cell>
          <cell r="J930" t="str">
            <v>Insurance-Flood</v>
          </cell>
          <cell r="K930">
            <v>0</v>
          </cell>
          <cell r="L930">
            <v>0</v>
          </cell>
          <cell r="M930">
            <v>0</v>
          </cell>
          <cell r="N930">
            <v>0</v>
          </cell>
          <cell r="O930">
            <v>0</v>
          </cell>
          <cell r="P930">
            <v>0</v>
          </cell>
          <cell r="Q930" t="str">
            <v/>
          </cell>
          <cell r="R930" t="str">
            <v/>
          </cell>
          <cell r="S930" t="str">
            <v/>
          </cell>
          <cell r="T930" t="str">
            <v/>
          </cell>
          <cell r="U930" t="str">
            <v/>
          </cell>
          <cell r="V930" t="str">
            <v/>
          </cell>
          <cell r="W930">
            <v>0</v>
          </cell>
          <cell r="X930">
            <v>0</v>
          </cell>
          <cell r="Y930" t="str">
            <v/>
          </cell>
          <cell r="Z930" t="str">
            <v>BUY</v>
          </cell>
          <cell r="AA930" t="str">
            <v/>
          </cell>
        </row>
        <row r="931">
          <cell r="A931" t="str">
            <v>B</v>
          </cell>
          <cell r="F931" t="str">
            <v>9179-3</v>
          </cell>
          <cell r="G931" t="str">
            <v>B</v>
          </cell>
          <cell r="H931">
            <v>19</v>
          </cell>
          <cell r="I931" t="str">
            <v>Insurance-Water</v>
          </cell>
          <cell r="J931" t="str">
            <v>Insurance-Water</v>
          </cell>
          <cell r="K931">
            <v>0</v>
          </cell>
          <cell r="L931">
            <v>0</v>
          </cell>
          <cell r="M931">
            <v>0</v>
          </cell>
          <cell r="N931">
            <v>0</v>
          </cell>
          <cell r="O931">
            <v>0</v>
          </cell>
          <cell r="P931">
            <v>0</v>
          </cell>
          <cell r="Q931" t="str">
            <v/>
          </cell>
          <cell r="R931" t="str">
            <v/>
          </cell>
          <cell r="S931" t="str">
            <v/>
          </cell>
          <cell r="T931" t="str">
            <v/>
          </cell>
          <cell r="U931" t="str">
            <v/>
          </cell>
          <cell r="V931" t="str">
            <v/>
          </cell>
          <cell r="W931">
            <v>0</v>
          </cell>
          <cell r="X931">
            <v>0</v>
          </cell>
          <cell r="Y931" t="str">
            <v/>
          </cell>
          <cell r="Z931" t="str">
            <v>BUY</v>
          </cell>
          <cell r="AA931" t="str">
            <v/>
          </cell>
        </row>
        <row r="932">
          <cell r="A932" t="str">
            <v>B</v>
          </cell>
          <cell r="F932" t="str">
            <v>9180</v>
          </cell>
          <cell r="G932" t="str">
            <v>B</v>
          </cell>
          <cell r="H932">
            <v>19</v>
          </cell>
          <cell r="I932" t="str">
            <v>Swimming Pool Capital Expense</v>
          </cell>
          <cell r="J932" t="str">
            <v>Swimming Pool Capital Expense</v>
          </cell>
          <cell r="K932">
            <v>0</v>
          </cell>
          <cell r="L932">
            <v>0</v>
          </cell>
          <cell r="M932">
            <v>0</v>
          </cell>
          <cell r="N932">
            <v>0</v>
          </cell>
          <cell r="O932">
            <v>16000</v>
          </cell>
          <cell r="P932">
            <v>16000</v>
          </cell>
          <cell r="Q932" t="str">
            <v/>
          </cell>
          <cell r="R932" t="str">
            <v>Pool Pipes (25th flr) and other pool repairs</v>
          </cell>
          <cell r="S932" t="str">
            <v/>
          </cell>
          <cell r="T932" t="str">
            <v/>
          </cell>
          <cell r="U932" t="str">
            <v/>
          </cell>
          <cell r="V932" t="str">
            <v/>
          </cell>
          <cell r="W932">
            <v>16000</v>
          </cell>
          <cell r="X932">
            <v>0</v>
          </cell>
          <cell r="Y932" t="str">
            <v>A</v>
          </cell>
          <cell r="Z932" t="str">
            <v>BUY</v>
          </cell>
          <cell r="AA932" t="str">
            <v/>
          </cell>
        </row>
        <row r="933">
          <cell r="A933" t="str">
            <v>B</v>
          </cell>
          <cell r="F933" t="str">
            <v>9181</v>
          </cell>
          <cell r="G933" t="str">
            <v>B</v>
          </cell>
          <cell r="H933">
            <v>19</v>
          </cell>
          <cell r="I933" t="str">
            <v>Life Safety Capital Expense</v>
          </cell>
          <cell r="J933" t="str">
            <v>Life Safety Capital Expense</v>
          </cell>
          <cell r="K933">
            <v>0</v>
          </cell>
          <cell r="L933">
            <v>0</v>
          </cell>
          <cell r="M933">
            <v>0</v>
          </cell>
          <cell r="N933">
            <v>0</v>
          </cell>
          <cell r="O933">
            <v>0</v>
          </cell>
          <cell r="P933">
            <v>0</v>
          </cell>
          <cell r="Q933" t="str">
            <v/>
          </cell>
          <cell r="R933" t="str">
            <v/>
          </cell>
          <cell r="S933" t="str">
            <v/>
          </cell>
          <cell r="T933" t="str">
            <v/>
          </cell>
          <cell r="U933" t="str">
            <v/>
          </cell>
          <cell r="V933" t="str">
            <v/>
          </cell>
          <cell r="W933">
            <v>0</v>
          </cell>
          <cell r="X933">
            <v>0</v>
          </cell>
          <cell r="Y933" t="str">
            <v/>
          </cell>
          <cell r="Z933" t="str">
            <v>BUY</v>
          </cell>
          <cell r="AA933" t="str">
            <v/>
          </cell>
        </row>
        <row r="934">
          <cell r="A934" t="str">
            <v>B</v>
          </cell>
          <cell r="F934" t="str">
            <v>9182</v>
          </cell>
          <cell r="G934" t="str">
            <v>B</v>
          </cell>
          <cell r="H934">
            <v>19</v>
          </cell>
          <cell r="I934" t="str">
            <v>Garage Capital Expense</v>
          </cell>
          <cell r="J934" t="str">
            <v>Garage Capital Expense</v>
          </cell>
          <cell r="K934">
            <v>0</v>
          </cell>
          <cell r="L934">
            <v>0</v>
          </cell>
          <cell r="M934">
            <v>0</v>
          </cell>
          <cell r="N934">
            <v>0</v>
          </cell>
          <cell r="O934">
            <v>156182</v>
          </cell>
          <cell r="P934">
            <v>156182</v>
          </cell>
          <cell r="Q934" t="str">
            <v/>
          </cell>
          <cell r="R934" t="str">
            <v>Per Reserve Study 2010 expenses: Garage concrete repairs $48,438, Concrete replacement $10,868, Traffic membrane $96,876</v>
          </cell>
          <cell r="S934" t="str">
            <v/>
          </cell>
          <cell r="T934" t="str">
            <v/>
          </cell>
          <cell r="U934" t="str">
            <v/>
          </cell>
          <cell r="V934" t="str">
            <v/>
          </cell>
          <cell r="W934">
            <v>156182</v>
          </cell>
          <cell r="X934">
            <v>0</v>
          </cell>
          <cell r="Y934" t="str">
            <v>A</v>
          </cell>
          <cell r="Z934" t="str">
            <v>BUY</v>
          </cell>
          <cell r="AA934" t="str">
            <v/>
          </cell>
        </row>
        <row r="935">
          <cell r="A935" t="str">
            <v>B</v>
          </cell>
          <cell r="F935" t="str">
            <v>9183</v>
          </cell>
          <cell r="G935" t="str">
            <v>B</v>
          </cell>
          <cell r="H935">
            <v>19</v>
          </cell>
          <cell r="I935" t="str">
            <v>Security Capital Expense</v>
          </cell>
          <cell r="J935" t="str">
            <v>Security Capital Expense</v>
          </cell>
          <cell r="K935">
            <v>0</v>
          </cell>
          <cell r="L935">
            <v>0</v>
          </cell>
          <cell r="M935">
            <v>0</v>
          </cell>
          <cell r="N935">
            <v>0</v>
          </cell>
          <cell r="O935">
            <v>0</v>
          </cell>
          <cell r="P935">
            <v>0</v>
          </cell>
          <cell r="Q935" t="str">
            <v/>
          </cell>
          <cell r="R935" t="str">
            <v/>
          </cell>
          <cell r="S935" t="str">
            <v/>
          </cell>
          <cell r="T935" t="str">
            <v/>
          </cell>
          <cell r="U935" t="str">
            <v/>
          </cell>
          <cell r="V935" t="str">
            <v/>
          </cell>
          <cell r="W935">
            <v>0</v>
          </cell>
          <cell r="X935">
            <v>0</v>
          </cell>
          <cell r="Y935" t="str">
            <v/>
          </cell>
          <cell r="Z935" t="str">
            <v>BUY</v>
          </cell>
          <cell r="AA935" t="str">
            <v/>
          </cell>
        </row>
        <row r="936">
          <cell r="A936" t="str">
            <v>B</v>
          </cell>
          <cell r="F936" t="str">
            <v>9184</v>
          </cell>
          <cell r="G936" t="str">
            <v>B</v>
          </cell>
          <cell r="H936">
            <v>19</v>
          </cell>
          <cell r="I936" t="str">
            <v>Capital Loan Payment</v>
          </cell>
          <cell r="J936" t="str">
            <v>Capital Loan Payment</v>
          </cell>
          <cell r="K936">
            <v>0</v>
          </cell>
          <cell r="L936">
            <v>0</v>
          </cell>
          <cell r="M936">
            <v>0</v>
          </cell>
          <cell r="N936">
            <v>0</v>
          </cell>
          <cell r="O936">
            <v>46800</v>
          </cell>
          <cell r="P936">
            <v>46800</v>
          </cell>
          <cell r="Q936" t="str">
            <v/>
          </cell>
          <cell r="R936" t="str">
            <v>Projected loan payment $450,000, 15 year, 6.375% rate= $3900/mo</v>
          </cell>
          <cell r="S936" t="str">
            <v/>
          </cell>
          <cell r="T936" t="str">
            <v/>
          </cell>
          <cell r="U936" t="str">
            <v/>
          </cell>
          <cell r="V936" t="str">
            <v/>
          </cell>
          <cell r="W936">
            <v>46800</v>
          </cell>
          <cell r="X936">
            <v>0</v>
          </cell>
          <cell r="Y936" t="str">
            <v>A</v>
          </cell>
          <cell r="Z936" t="str">
            <v>BUY</v>
          </cell>
          <cell r="AA936" t="str">
            <v/>
          </cell>
        </row>
        <row r="937">
          <cell r="A937" t="str">
            <v>B</v>
          </cell>
          <cell r="F937" t="str">
            <v>9199</v>
          </cell>
          <cell r="G937" t="str">
            <v>B</v>
          </cell>
          <cell r="H937">
            <v>19</v>
          </cell>
          <cell r="I937" t="str">
            <v>Funds Trsfr Res to Checking</v>
          </cell>
          <cell r="J937" t="str">
            <v>Funds Trsfr Res to Checking</v>
          </cell>
          <cell r="K937">
            <v>0</v>
          </cell>
          <cell r="L937">
            <v>0</v>
          </cell>
          <cell r="M937">
            <v>0</v>
          </cell>
          <cell r="N937">
            <v>0</v>
          </cell>
          <cell r="O937">
            <v>0</v>
          </cell>
          <cell r="P937">
            <v>0</v>
          </cell>
          <cell r="Q937" t="str">
            <v/>
          </cell>
          <cell r="R937" t="str">
            <v/>
          </cell>
          <cell r="S937" t="str">
            <v/>
          </cell>
          <cell r="T937" t="str">
            <v/>
          </cell>
          <cell r="U937" t="str">
            <v/>
          </cell>
          <cell r="V937" t="str">
            <v/>
          </cell>
          <cell r="W937">
            <v>0</v>
          </cell>
          <cell r="X937">
            <v>0</v>
          </cell>
          <cell r="Y937" t="str">
            <v/>
          </cell>
          <cell r="Z937" t="str">
            <v>BUY</v>
          </cell>
          <cell r="AA937" t="str">
            <v/>
          </cell>
        </row>
        <row r="938">
          <cell r="A938" t="str">
            <v>B</v>
          </cell>
          <cell r="F938" t="str">
            <v>9210</v>
          </cell>
          <cell r="G938" t="str">
            <v>B</v>
          </cell>
          <cell r="H938">
            <v>20</v>
          </cell>
          <cell r="I938" t="str">
            <v>Garage Income</v>
          </cell>
          <cell r="J938" t="str">
            <v>Garage Income</v>
          </cell>
          <cell r="K938">
            <v>0</v>
          </cell>
          <cell r="L938">
            <v>0</v>
          </cell>
          <cell r="M938">
            <v>0</v>
          </cell>
          <cell r="N938">
            <v>0</v>
          </cell>
          <cell r="O938">
            <v>0</v>
          </cell>
          <cell r="P938">
            <v>0</v>
          </cell>
          <cell r="Q938" t="str">
            <v/>
          </cell>
          <cell r="R938" t="str">
            <v/>
          </cell>
          <cell r="S938" t="str">
            <v/>
          </cell>
          <cell r="T938" t="str">
            <v/>
          </cell>
          <cell r="U938" t="str">
            <v/>
          </cell>
          <cell r="V938" t="str">
            <v/>
          </cell>
          <cell r="W938">
            <v>0</v>
          </cell>
          <cell r="X938">
            <v>0</v>
          </cell>
          <cell r="Y938" t="str">
            <v/>
          </cell>
          <cell r="Z938" t="str">
            <v>BUY</v>
          </cell>
          <cell r="AA938" t="str">
            <v/>
          </cell>
        </row>
        <row r="939">
          <cell r="A939" t="str">
            <v>B</v>
          </cell>
          <cell r="F939" t="str">
            <v>9211</v>
          </cell>
          <cell r="G939" t="str">
            <v>B</v>
          </cell>
          <cell r="H939">
            <v>20</v>
          </cell>
          <cell r="I939" t="str">
            <v>Garage Income</v>
          </cell>
          <cell r="J939" t="str">
            <v>Garage Income</v>
          </cell>
          <cell r="K939">
            <v>0</v>
          </cell>
          <cell r="L939">
            <v>0</v>
          </cell>
          <cell r="M939">
            <v>0</v>
          </cell>
          <cell r="N939">
            <v>0</v>
          </cell>
          <cell r="O939">
            <v>0</v>
          </cell>
          <cell r="P939">
            <v>0</v>
          </cell>
          <cell r="Q939" t="str">
            <v/>
          </cell>
          <cell r="R939" t="str">
            <v/>
          </cell>
          <cell r="S939" t="str">
            <v/>
          </cell>
          <cell r="T939" t="str">
            <v/>
          </cell>
          <cell r="U939" t="str">
            <v/>
          </cell>
          <cell r="V939" t="str">
            <v/>
          </cell>
          <cell r="W939">
            <v>0</v>
          </cell>
          <cell r="X939">
            <v>0</v>
          </cell>
          <cell r="Y939" t="str">
            <v/>
          </cell>
          <cell r="Z939" t="str">
            <v>BUY</v>
          </cell>
          <cell r="AA939" t="str">
            <v/>
          </cell>
        </row>
        <row r="940">
          <cell r="A940" t="str">
            <v>B</v>
          </cell>
          <cell r="F940" t="str">
            <v>9215</v>
          </cell>
          <cell r="G940" t="str">
            <v>B</v>
          </cell>
          <cell r="H940">
            <v>20</v>
          </cell>
          <cell r="I940" t="str">
            <v>Guest Parking-Garage</v>
          </cell>
          <cell r="J940" t="str">
            <v>Guest Parking-Garage</v>
          </cell>
          <cell r="K940">
            <v>0</v>
          </cell>
          <cell r="L940">
            <v>0</v>
          </cell>
          <cell r="M940">
            <v>0</v>
          </cell>
          <cell r="N940">
            <v>0</v>
          </cell>
          <cell r="O940">
            <v>0</v>
          </cell>
          <cell r="P940">
            <v>0</v>
          </cell>
          <cell r="Q940" t="str">
            <v/>
          </cell>
          <cell r="R940" t="str">
            <v/>
          </cell>
          <cell r="S940" t="str">
            <v/>
          </cell>
          <cell r="T940" t="str">
            <v/>
          </cell>
          <cell r="U940" t="str">
            <v/>
          </cell>
          <cell r="V940" t="str">
            <v/>
          </cell>
          <cell r="W940">
            <v>0</v>
          </cell>
          <cell r="X940">
            <v>0</v>
          </cell>
          <cell r="Y940" t="str">
            <v/>
          </cell>
          <cell r="Z940" t="str">
            <v>BUY</v>
          </cell>
          <cell r="AA940" t="str">
            <v/>
          </cell>
        </row>
        <row r="941">
          <cell r="A941" t="str">
            <v>B</v>
          </cell>
          <cell r="F941" t="str">
            <v>9216</v>
          </cell>
          <cell r="G941" t="str">
            <v>B</v>
          </cell>
          <cell r="H941">
            <v>20</v>
          </cell>
          <cell r="I941" t="str">
            <v>Guest Parking Fee</v>
          </cell>
          <cell r="J941" t="str">
            <v>Guest Parking Fee</v>
          </cell>
          <cell r="K941">
            <v>0</v>
          </cell>
          <cell r="L941">
            <v>0</v>
          </cell>
          <cell r="M941">
            <v>0</v>
          </cell>
          <cell r="N941">
            <v>0</v>
          </cell>
          <cell r="O941">
            <v>0</v>
          </cell>
          <cell r="P941">
            <v>0</v>
          </cell>
          <cell r="Q941" t="str">
            <v/>
          </cell>
          <cell r="R941" t="str">
            <v/>
          </cell>
          <cell r="S941" t="str">
            <v/>
          </cell>
          <cell r="T941" t="str">
            <v/>
          </cell>
          <cell r="U941" t="str">
            <v/>
          </cell>
          <cell r="V941" t="str">
            <v/>
          </cell>
          <cell r="W941">
            <v>0</v>
          </cell>
          <cell r="X941">
            <v>0</v>
          </cell>
          <cell r="Y941" t="str">
            <v/>
          </cell>
          <cell r="Z941" t="str">
            <v>BUY</v>
          </cell>
          <cell r="AA941" t="str">
            <v/>
          </cell>
        </row>
        <row r="942">
          <cell r="A942" t="str">
            <v>B</v>
          </cell>
          <cell r="F942" t="str">
            <v>9217</v>
          </cell>
          <cell r="G942" t="str">
            <v>B</v>
          </cell>
          <cell r="H942">
            <v>20</v>
          </cell>
          <cell r="I942" t="str">
            <v>Parking Service Fee</v>
          </cell>
          <cell r="J942" t="str">
            <v>Parking Service Fee</v>
          </cell>
          <cell r="K942">
            <v>0</v>
          </cell>
          <cell r="L942">
            <v>0</v>
          </cell>
          <cell r="M942">
            <v>0</v>
          </cell>
          <cell r="N942">
            <v>0</v>
          </cell>
          <cell r="O942">
            <v>0</v>
          </cell>
          <cell r="P942">
            <v>0</v>
          </cell>
          <cell r="Q942" t="str">
            <v/>
          </cell>
          <cell r="R942" t="str">
            <v/>
          </cell>
          <cell r="S942" t="str">
            <v/>
          </cell>
          <cell r="T942" t="str">
            <v/>
          </cell>
          <cell r="U942" t="str">
            <v/>
          </cell>
          <cell r="V942" t="str">
            <v/>
          </cell>
          <cell r="W942">
            <v>0</v>
          </cell>
          <cell r="X942">
            <v>0</v>
          </cell>
          <cell r="Y942" t="str">
            <v/>
          </cell>
          <cell r="Z942" t="str">
            <v>BUY</v>
          </cell>
          <cell r="AA942" t="str">
            <v/>
          </cell>
        </row>
        <row r="943">
          <cell r="A943" t="str">
            <v>B</v>
          </cell>
          <cell r="F943" t="str">
            <v>9220</v>
          </cell>
          <cell r="G943" t="str">
            <v>B</v>
          </cell>
          <cell r="H943">
            <v>20</v>
          </cell>
          <cell r="I943" t="str">
            <v>Garage Late Fees</v>
          </cell>
          <cell r="J943" t="str">
            <v>Garage Late Fees</v>
          </cell>
          <cell r="K943">
            <v>0</v>
          </cell>
          <cell r="L943">
            <v>0</v>
          </cell>
          <cell r="M943">
            <v>0</v>
          </cell>
          <cell r="N943">
            <v>0</v>
          </cell>
          <cell r="O943">
            <v>0</v>
          </cell>
          <cell r="P943">
            <v>0</v>
          </cell>
          <cell r="Q943" t="str">
            <v/>
          </cell>
          <cell r="R943" t="str">
            <v/>
          </cell>
          <cell r="S943" t="str">
            <v/>
          </cell>
          <cell r="T943" t="str">
            <v/>
          </cell>
          <cell r="U943" t="str">
            <v/>
          </cell>
          <cell r="V943" t="str">
            <v/>
          </cell>
          <cell r="W943">
            <v>0</v>
          </cell>
          <cell r="X943">
            <v>0</v>
          </cell>
          <cell r="Y943" t="str">
            <v/>
          </cell>
          <cell r="Z943" t="str">
            <v>BUY</v>
          </cell>
          <cell r="AA943" t="str">
            <v/>
          </cell>
        </row>
        <row r="944">
          <cell r="A944" t="str">
            <v>B</v>
          </cell>
          <cell r="F944" t="str">
            <v>9221</v>
          </cell>
          <cell r="G944" t="str">
            <v>B</v>
          </cell>
          <cell r="H944">
            <v>20</v>
          </cell>
          <cell r="I944" t="str">
            <v>Garage NSF Fees</v>
          </cell>
          <cell r="J944" t="str">
            <v>Garage NSF Fees</v>
          </cell>
          <cell r="K944">
            <v>0</v>
          </cell>
          <cell r="L944">
            <v>0</v>
          </cell>
          <cell r="M944">
            <v>0</v>
          </cell>
          <cell r="N944">
            <v>0</v>
          </cell>
          <cell r="O944">
            <v>0</v>
          </cell>
          <cell r="P944">
            <v>0</v>
          </cell>
          <cell r="Q944" t="str">
            <v/>
          </cell>
          <cell r="R944" t="str">
            <v/>
          </cell>
          <cell r="S944" t="str">
            <v/>
          </cell>
          <cell r="T944" t="str">
            <v/>
          </cell>
          <cell r="U944" t="str">
            <v/>
          </cell>
          <cell r="V944" t="str">
            <v/>
          </cell>
          <cell r="W944">
            <v>0</v>
          </cell>
          <cell r="X944">
            <v>0</v>
          </cell>
          <cell r="Y944" t="str">
            <v/>
          </cell>
          <cell r="Z944" t="str">
            <v>BUY</v>
          </cell>
          <cell r="AA944" t="str">
            <v/>
          </cell>
        </row>
        <row r="945">
          <cell r="A945" t="str">
            <v>B</v>
          </cell>
          <cell r="F945" t="str">
            <v>9265</v>
          </cell>
          <cell r="G945" t="str">
            <v>B</v>
          </cell>
          <cell r="H945">
            <v>21</v>
          </cell>
          <cell r="I945" t="str">
            <v>Sidewalk Replacement</v>
          </cell>
          <cell r="J945" t="str">
            <v>Sidewalk Replacement</v>
          </cell>
          <cell r="K945">
            <v>0</v>
          </cell>
          <cell r="L945">
            <v>0</v>
          </cell>
          <cell r="M945">
            <v>0</v>
          </cell>
          <cell r="N945">
            <v>0</v>
          </cell>
          <cell r="O945">
            <v>0</v>
          </cell>
          <cell r="P945">
            <v>0</v>
          </cell>
          <cell r="Q945" t="str">
            <v/>
          </cell>
          <cell r="R945" t="str">
            <v/>
          </cell>
          <cell r="S945" t="str">
            <v/>
          </cell>
          <cell r="T945" t="str">
            <v/>
          </cell>
          <cell r="U945" t="str">
            <v/>
          </cell>
          <cell r="V945" t="str">
            <v/>
          </cell>
          <cell r="W945">
            <v>0</v>
          </cell>
          <cell r="X945">
            <v>0</v>
          </cell>
          <cell r="Y945" t="str">
            <v/>
          </cell>
          <cell r="Z945" t="str">
            <v>BUY</v>
          </cell>
          <cell r="AA945" t="str">
            <v/>
          </cell>
        </row>
        <row r="946">
          <cell r="A946" t="str">
            <v>B</v>
          </cell>
          <cell r="F946" t="str">
            <v>9334</v>
          </cell>
          <cell r="G946" t="str">
            <v>B</v>
          </cell>
          <cell r="H946">
            <v>21</v>
          </cell>
          <cell r="I946" t="str">
            <v>Garage Payroll</v>
          </cell>
          <cell r="J946" t="str">
            <v>Garage Payroll</v>
          </cell>
          <cell r="K946">
            <v>0</v>
          </cell>
          <cell r="L946">
            <v>0</v>
          </cell>
          <cell r="M946">
            <v>0</v>
          </cell>
          <cell r="N946">
            <v>0</v>
          </cell>
          <cell r="O946">
            <v>0</v>
          </cell>
          <cell r="P946">
            <v>0</v>
          </cell>
          <cell r="Q946" t="str">
            <v/>
          </cell>
          <cell r="R946" t="str">
            <v/>
          </cell>
          <cell r="S946" t="str">
            <v/>
          </cell>
          <cell r="T946" t="str">
            <v/>
          </cell>
          <cell r="U946" t="str">
            <v/>
          </cell>
          <cell r="V946" t="str">
            <v/>
          </cell>
          <cell r="W946">
            <v>0</v>
          </cell>
          <cell r="X946">
            <v>0</v>
          </cell>
          <cell r="Y946" t="str">
            <v/>
          </cell>
          <cell r="Z946" t="str">
            <v>BUY</v>
          </cell>
          <cell r="AA946" t="str">
            <v/>
          </cell>
        </row>
        <row r="947">
          <cell r="A947" t="str">
            <v>B</v>
          </cell>
          <cell r="F947" t="str">
            <v>9382</v>
          </cell>
          <cell r="G947" t="str">
            <v>B</v>
          </cell>
          <cell r="H947">
            <v>21</v>
          </cell>
          <cell r="I947" t="str">
            <v>Garage FICA Expense</v>
          </cell>
          <cell r="J947" t="str">
            <v>Garage FICA Expense</v>
          </cell>
          <cell r="K947">
            <v>0</v>
          </cell>
          <cell r="L947">
            <v>0</v>
          </cell>
          <cell r="M947">
            <v>0</v>
          </cell>
          <cell r="N947">
            <v>0</v>
          </cell>
          <cell r="O947">
            <v>0</v>
          </cell>
          <cell r="P947">
            <v>0</v>
          </cell>
          <cell r="Q947" t="str">
            <v/>
          </cell>
          <cell r="R947" t="str">
            <v/>
          </cell>
          <cell r="S947" t="str">
            <v/>
          </cell>
          <cell r="T947" t="str">
            <v/>
          </cell>
          <cell r="U947" t="str">
            <v/>
          </cell>
          <cell r="V947" t="str">
            <v/>
          </cell>
          <cell r="W947">
            <v>0</v>
          </cell>
          <cell r="X947">
            <v>0</v>
          </cell>
          <cell r="Y947" t="str">
            <v/>
          </cell>
          <cell r="Z947" t="str">
            <v>BUY</v>
          </cell>
          <cell r="AA947" t="str">
            <v/>
          </cell>
        </row>
        <row r="948">
          <cell r="A948" t="str">
            <v>B</v>
          </cell>
          <cell r="F948" t="str">
            <v>9383</v>
          </cell>
          <cell r="G948" t="str">
            <v>B</v>
          </cell>
          <cell r="H948">
            <v>21</v>
          </cell>
          <cell r="I948" t="str">
            <v>Garage FUTA Expense</v>
          </cell>
          <cell r="J948" t="str">
            <v>Garage FUTA Expense</v>
          </cell>
          <cell r="K948">
            <v>0</v>
          </cell>
          <cell r="L948">
            <v>0</v>
          </cell>
          <cell r="M948">
            <v>0</v>
          </cell>
          <cell r="N948">
            <v>0</v>
          </cell>
          <cell r="O948">
            <v>0</v>
          </cell>
          <cell r="P948">
            <v>0</v>
          </cell>
          <cell r="Q948" t="str">
            <v/>
          </cell>
          <cell r="R948" t="str">
            <v/>
          </cell>
          <cell r="S948" t="str">
            <v/>
          </cell>
          <cell r="T948" t="str">
            <v/>
          </cell>
          <cell r="U948" t="str">
            <v/>
          </cell>
          <cell r="V948" t="str">
            <v/>
          </cell>
          <cell r="W948">
            <v>0</v>
          </cell>
          <cell r="X948">
            <v>0</v>
          </cell>
          <cell r="Y948" t="str">
            <v/>
          </cell>
          <cell r="Z948" t="str">
            <v>BUY</v>
          </cell>
          <cell r="AA948" t="str">
            <v/>
          </cell>
        </row>
        <row r="949">
          <cell r="A949" t="str">
            <v>B</v>
          </cell>
          <cell r="F949" t="str">
            <v>9384</v>
          </cell>
          <cell r="G949" t="str">
            <v>B</v>
          </cell>
          <cell r="H949">
            <v>21</v>
          </cell>
          <cell r="I949" t="str">
            <v>Garage SUTA</v>
          </cell>
          <cell r="J949" t="str">
            <v>Garage SUTA</v>
          </cell>
          <cell r="K949">
            <v>0</v>
          </cell>
          <cell r="L949">
            <v>0</v>
          </cell>
          <cell r="M949">
            <v>0</v>
          </cell>
          <cell r="N949">
            <v>0</v>
          </cell>
          <cell r="O949">
            <v>0</v>
          </cell>
          <cell r="P949">
            <v>0</v>
          </cell>
          <cell r="Q949" t="str">
            <v/>
          </cell>
          <cell r="R949" t="str">
            <v/>
          </cell>
          <cell r="S949" t="str">
            <v/>
          </cell>
          <cell r="T949" t="str">
            <v/>
          </cell>
          <cell r="U949" t="str">
            <v/>
          </cell>
          <cell r="V949" t="str">
            <v/>
          </cell>
          <cell r="W949">
            <v>0</v>
          </cell>
          <cell r="X949">
            <v>0</v>
          </cell>
          <cell r="Y949" t="str">
            <v/>
          </cell>
          <cell r="Z949" t="str">
            <v>BUY</v>
          </cell>
          <cell r="AA949" t="str">
            <v/>
          </cell>
        </row>
        <row r="950">
          <cell r="A950" t="str">
            <v>B</v>
          </cell>
          <cell r="F950" t="str">
            <v>9385</v>
          </cell>
          <cell r="G950" t="str">
            <v>B</v>
          </cell>
          <cell r="H950">
            <v>21</v>
          </cell>
          <cell r="I950" t="str">
            <v>Garage Workers Comp</v>
          </cell>
          <cell r="J950" t="str">
            <v>Garage Workers Comp</v>
          </cell>
          <cell r="K950">
            <v>0</v>
          </cell>
          <cell r="L950">
            <v>0</v>
          </cell>
          <cell r="M950">
            <v>0</v>
          </cell>
          <cell r="N950">
            <v>0</v>
          </cell>
          <cell r="O950">
            <v>0</v>
          </cell>
          <cell r="P950">
            <v>0</v>
          </cell>
          <cell r="Q950" t="str">
            <v/>
          </cell>
          <cell r="R950" t="str">
            <v/>
          </cell>
          <cell r="S950" t="str">
            <v/>
          </cell>
          <cell r="T950" t="str">
            <v/>
          </cell>
          <cell r="U950" t="str">
            <v/>
          </cell>
          <cell r="V950" t="str">
            <v/>
          </cell>
          <cell r="W950">
            <v>0</v>
          </cell>
          <cell r="X950">
            <v>0</v>
          </cell>
          <cell r="Y950" t="str">
            <v/>
          </cell>
          <cell r="Z950" t="str">
            <v>BUY</v>
          </cell>
          <cell r="AA950" t="str">
            <v/>
          </cell>
        </row>
        <row r="951">
          <cell r="A951" t="str">
            <v>B</v>
          </cell>
          <cell r="F951" t="str">
            <v>9388</v>
          </cell>
          <cell r="G951" t="str">
            <v>B</v>
          </cell>
          <cell r="H951">
            <v>21</v>
          </cell>
          <cell r="I951" t="str">
            <v>Garage Union Benefits</v>
          </cell>
          <cell r="J951" t="str">
            <v>Garage Union Benefits</v>
          </cell>
          <cell r="K951">
            <v>0</v>
          </cell>
          <cell r="L951">
            <v>0</v>
          </cell>
          <cell r="M951">
            <v>0</v>
          </cell>
          <cell r="N951">
            <v>0</v>
          </cell>
          <cell r="O951">
            <v>0</v>
          </cell>
          <cell r="P951">
            <v>0</v>
          </cell>
          <cell r="Q951" t="str">
            <v/>
          </cell>
          <cell r="R951" t="str">
            <v/>
          </cell>
          <cell r="S951" t="str">
            <v/>
          </cell>
          <cell r="T951" t="str">
            <v/>
          </cell>
          <cell r="U951" t="str">
            <v/>
          </cell>
          <cell r="V951" t="str">
            <v/>
          </cell>
          <cell r="W951">
            <v>0</v>
          </cell>
          <cell r="X951">
            <v>0</v>
          </cell>
          <cell r="Y951" t="str">
            <v/>
          </cell>
          <cell r="Z951" t="str">
            <v>BUY</v>
          </cell>
          <cell r="AA951" t="str">
            <v/>
          </cell>
        </row>
        <row r="952">
          <cell r="A952" t="str">
            <v>B</v>
          </cell>
          <cell r="F952" t="str">
            <v>9389</v>
          </cell>
          <cell r="G952" t="str">
            <v>B</v>
          </cell>
          <cell r="H952">
            <v>21</v>
          </cell>
          <cell r="I952" t="str">
            <v>Garage Benefits Audit</v>
          </cell>
          <cell r="J952" t="str">
            <v>Garage Benefits Audit</v>
          </cell>
          <cell r="K952">
            <v>0</v>
          </cell>
          <cell r="L952">
            <v>0</v>
          </cell>
          <cell r="M952">
            <v>0</v>
          </cell>
          <cell r="N952">
            <v>0</v>
          </cell>
          <cell r="O952">
            <v>0</v>
          </cell>
          <cell r="P952">
            <v>0</v>
          </cell>
          <cell r="Q952" t="str">
            <v/>
          </cell>
          <cell r="R952" t="str">
            <v/>
          </cell>
          <cell r="S952" t="str">
            <v/>
          </cell>
          <cell r="T952" t="str">
            <v/>
          </cell>
          <cell r="U952" t="str">
            <v/>
          </cell>
          <cell r="V952" t="str">
            <v/>
          </cell>
          <cell r="W952">
            <v>0</v>
          </cell>
          <cell r="X952">
            <v>0</v>
          </cell>
          <cell r="Y952" t="str">
            <v/>
          </cell>
          <cell r="Z952" t="str">
            <v>BUY</v>
          </cell>
          <cell r="AA952" t="str">
            <v/>
          </cell>
        </row>
        <row r="953">
          <cell r="A953" t="str">
            <v>B</v>
          </cell>
          <cell r="F953" t="str">
            <v>9441</v>
          </cell>
          <cell r="G953" t="str">
            <v>B</v>
          </cell>
          <cell r="H953">
            <v>21</v>
          </cell>
          <cell r="I953" t="str">
            <v>Garage Lights/Bulbs/Tubes</v>
          </cell>
          <cell r="J953" t="str">
            <v>Garage Lights/Bulbs/Tubes</v>
          </cell>
          <cell r="K953">
            <v>0</v>
          </cell>
          <cell r="L953">
            <v>0</v>
          </cell>
          <cell r="M953">
            <v>0</v>
          </cell>
          <cell r="N953">
            <v>0</v>
          </cell>
          <cell r="O953">
            <v>0</v>
          </cell>
          <cell r="P953">
            <v>0</v>
          </cell>
          <cell r="Q953" t="str">
            <v/>
          </cell>
          <cell r="R953" t="str">
            <v/>
          </cell>
          <cell r="S953" t="str">
            <v/>
          </cell>
          <cell r="T953" t="str">
            <v/>
          </cell>
          <cell r="U953" t="str">
            <v/>
          </cell>
          <cell r="V953" t="str">
            <v/>
          </cell>
          <cell r="W953">
            <v>0</v>
          </cell>
          <cell r="X953">
            <v>0</v>
          </cell>
          <cell r="Y953" t="str">
            <v/>
          </cell>
          <cell r="Z953" t="str">
            <v>BUY</v>
          </cell>
          <cell r="AA953" t="str">
            <v/>
          </cell>
        </row>
        <row r="954">
          <cell r="A954" t="str">
            <v>B</v>
          </cell>
          <cell r="F954" t="str">
            <v>9475</v>
          </cell>
          <cell r="G954" t="str">
            <v>B</v>
          </cell>
          <cell r="H954">
            <v>21</v>
          </cell>
          <cell r="I954" t="str">
            <v>Garage Uniform Expense</v>
          </cell>
          <cell r="J954" t="str">
            <v>Garage Uniform Expense</v>
          </cell>
          <cell r="K954">
            <v>0</v>
          </cell>
          <cell r="L954">
            <v>0</v>
          </cell>
          <cell r="M954">
            <v>0</v>
          </cell>
          <cell r="N954">
            <v>0</v>
          </cell>
          <cell r="O954">
            <v>0</v>
          </cell>
          <cell r="P954">
            <v>0</v>
          </cell>
          <cell r="Q954" t="str">
            <v/>
          </cell>
          <cell r="R954" t="str">
            <v/>
          </cell>
          <cell r="S954" t="str">
            <v/>
          </cell>
          <cell r="T954" t="str">
            <v/>
          </cell>
          <cell r="U954" t="str">
            <v/>
          </cell>
          <cell r="V954" t="str">
            <v/>
          </cell>
          <cell r="W954">
            <v>0</v>
          </cell>
          <cell r="X954">
            <v>0</v>
          </cell>
          <cell r="Y954" t="str">
            <v/>
          </cell>
          <cell r="Z954" t="str">
            <v>BUY</v>
          </cell>
          <cell r="AA954" t="str">
            <v/>
          </cell>
        </row>
        <row r="955">
          <cell r="A955" t="str">
            <v>B</v>
          </cell>
          <cell r="F955" t="str">
            <v>9493</v>
          </cell>
          <cell r="G955" t="str">
            <v>B</v>
          </cell>
          <cell r="H955">
            <v>21</v>
          </cell>
          <cell r="I955" t="str">
            <v>Garage Cleaning Supplies</v>
          </cell>
          <cell r="J955" t="str">
            <v>Garage Cleaning Supplies</v>
          </cell>
          <cell r="K955">
            <v>0</v>
          </cell>
          <cell r="L955">
            <v>0</v>
          </cell>
          <cell r="M955">
            <v>0</v>
          </cell>
          <cell r="N955">
            <v>0</v>
          </cell>
          <cell r="O955">
            <v>0</v>
          </cell>
          <cell r="P955">
            <v>0</v>
          </cell>
          <cell r="Q955" t="str">
            <v/>
          </cell>
          <cell r="R955" t="str">
            <v/>
          </cell>
          <cell r="S955" t="str">
            <v/>
          </cell>
          <cell r="T955" t="str">
            <v/>
          </cell>
          <cell r="U955" t="str">
            <v/>
          </cell>
          <cell r="V955" t="str">
            <v/>
          </cell>
          <cell r="W955">
            <v>0</v>
          </cell>
          <cell r="X955">
            <v>0</v>
          </cell>
          <cell r="Y955" t="str">
            <v/>
          </cell>
          <cell r="Z955" t="str">
            <v>BUY</v>
          </cell>
          <cell r="AA955" t="str">
            <v/>
          </cell>
        </row>
        <row r="956">
          <cell r="A956" t="str">
            <v>B</v>
          </cell>
          <cell r="F956" t="str">
            <v>9540</v>
          </cell>
          <cell r="G956" t="str">
            <v>B</v>
          </cell>
          <cell r="H956">
            <v>21</v>
          </cell>
          <cell r="I956" t="str">
            <v>Garage Claims</v>
          </cell>
          <cell r="J956" t="str">
            <v>Garage Claims</v>
          </cell>
          <cell r="K956">
            <v>0</v>
          </cell>
          <cell r="L956">
            <v>0</v>
          </cell>
          <cell r="M956">
            <v>0</v>
          </cell>
          <cell r="N956">
            <v>0</v>
          </cell>
          <cell r="O956">
            <v>0</v>
          </cell>
          <cell r="P956">
            <v>0</v>
          </cell>
          <cell r="Q956" t="str">
            <v/>
          </cell>
          <cell r="R956" t="str">
            <v/>
          </cell>
          <cell r="S956" t="str">
            <v/>
          </cell>
          <cell r="T956" t="str">
            <v/>
          </cell>
          <cell r="U956" t="str">
            <v/>
          </cell>
          <cell r="V956" t="str">
            <v/>
          </cell>
          <cell r="W956">
            <v>0</v>
          </cell>
          <cell r="X956">
            <v>0</v>
          </cell>
          <cell r="Y956" t="str">
            <v/>
          </cell>
          <cell r="Z956" t="str">
            <v>BUY</v>
          </cell>
          <cell r="AA956" t="str">
            <v/>
          </cell>
        </row>
        <row r="957">
          <cell r="A957" t="str">
            <v>B</v>
          </cell>
          <cell r="F957" t="str">
            <v>9550</v>
          </cell>
          <cell r="G957" t="str">
            <v>B</v>
          </cell>
          <cell r="H957">
            <v>21</v>
          </cell>
          <cell r="I957" t="str">
            <v>Garage Consulting Contract</v>
          </cell>
          <cell r="J957" t="str">
            <v>Garage Consulting Contract</v>
          </cell>
          <cell r="K957">
            <v>0</v>
          </cell>
          <cell r="L957">
            <v>0</v>
          </cell>
          <cell r="M957">
            <v>0</v>
          </cell>
          <cell r="N957">
            <v>0</v>
          </cell>
          <cell r="O957">
            <v>0</v>
          </cell>
          <cell r="P957">
            <v>0</v>
          </cell>
          <cell r="Q957" t="str">
            <v/>
          </cell>
          <cell r="R957" t="str">
            <v/>
          </cell>
          <cell r="S957" t="str">
            <v/>
          </cell>
          <cell r="T957" t="str">
            <v/>
          </cell>
          <cell r="U957" t="str">
            <v/>
          </cell>
          <cell r="V957" t="str">
            <v/>
          </cell>
          <cell r="W957">
            <v>0</v>
          </cell>
          <cell r="X957">
            <v>0</v>
          </cell>
          <cell r="Y957" t="str">
            <v/>
          </cell>
          <cell r="Z957" t="str">
            <v>BUY</v>
          </cell>
          <cell r="AA957" t="str">
            <v/>
          </cell>
        </row>
        <row r="958">
          <cell r="A958" t="str">
            <v>B</v>
          </cell>
          <cell r="F958" t="str">
            <v>9560</v>
          </cell>
          <cell r="G958" t="str">
            <v>B</v>
          </cell>
          <cell r="H958">
            <v>21</v>
          </cell>
          <cell r="I958" t="str">
            <v>Garage Phone/Pager Expense</v>
          </cell>
          <cell r="J958" t="str">
            <v>Garage Phone/Pager Expense</v>
          </cell>
          <cell r="K958">
            <v>0</v>
          </cell>
          <cell r="L958">
            <v>0</v>
          </cell>
          <cell r="M958">
            <v>0</v>
          </cell>
          <cell r="N958">
            <v>0</v>
          </cell>
          <cell r="O958">
            <v>0</v>
          </cell>
          <cell r="P958">
            <v>0</v>
          </cell>
          <cell r="Q958" t="str">
            <v/>
          </cell>
          <cell r="R958" t="str">
            <v/>
          </cell>
          <cell r="S958" t="str">
            <v/>
          </cell>
          <cell r="T958" t="str">
            <v/>
          </cell>
          <cell r="U958" t="str">
            <v/>
          </cell>
          <cell r="V958" t="str">
            <v/>
          </cell>
          <cell r="W958">
            <v>0</v>
          </cell>
          <cell r="X958">
            <v>0</v>
          </cell>
          <cell r="Y958" t="str">
            <v/>
          </cell>
          <cell r="Z958" t="str">
            <v>BUY</v>
          </cell>
          <cell r="AA958" t="str">
            <v/>
          </cell>
        </row>
        <row r="959">
          <cell r="A959" t="str">
            <v>B</v>
          </cell>
          <cell r="F959" t="str">
            <v>9561</v>
          </cell>
          <cell r="G959" t="str">
            <v>B</v>
          </cell>
          <cell r="H959">
            <v>21</v>
          </cell>
          <cell r="I959" t="str">
            <v>Garage Door Repairs</v>
          </cell>
          <cell r="J959" t="str">
            <v>Garage Door Repairs</v>
          </cell>
          <cell r="K959">
            <v>0</v>
          </cell>
          <cell r="L959">
            <v>0</v>
          </cell>
          <cell r="M959">
            <v>0</v>
          </cell>
          <cell r="N959">
            <v>0</v>
          </cell>
          <cell r="O959">
            <v>0</v>
          </cell>
          <cell r="P959">
            <v>0</v>
          </cell>
          <cell r="Q959" t="str">
            <v/>
          </cell>
          <cell r="R959" t="str">
            <v/>
          </cell>
          <cell r="S959" t="str">
            <v/>
          </cell>
          <cell r="T959" t="str">
            <v/>
          </cell>
          <cell r="U959" t="str">
            <v/>
          </cell>
          <cell r="V959" t="str">
            <v/>
          </cell>
          <cell r="W959">
            <v>0</v>
          </cell>
          <cell r="X959">
            <v>0</v>
          </cell>
          <cell r="Y959" t="str">
            <v/>
          </cell>
          <cell r="Z959" t="str">
            <v>BUY</v>
          </cell>
          <cell r="AA959" t="str">
            <v/>
          </cell>
        </row>
        <row r="960">
          <cell r="A960" t="str">
            <v>B</v>
          </cell>
          <cell r="F960" t="str">
            <v>9562</v>
          </cell>
          <cell r="G960" t="str">
            <v>B</v>
          </cell>
          <cell r="H960">
            <v>21</v>
          </cell>
          <cell r="I960" t="str">
            <v>Garage City Tax</v>
          </cell>
          <cell r="J960" t="str">
            <v>Garage City Tax</v>
          </cell>
          <cell r="K960">
            <v>0</v>
          </cell>
          <cell r="L960">
            <v>0</v>
          </cell>
          <cell r="M960">
            <v>0</v>
          </cell>
          <cell r="N960">
            <v>0</v>
          </cell>
          <cell r="O960">
            <v>0</v>
          </cell>
          <cell r="P960">
            <v>0</v>
          </cell>
          <cell r="Q960" t="str">
            <v/>
          </cell>
          <cell r="R960" t="str">
            <v/>
          </cell>
          <cell r="S960" t="str">
            <v/>
          </cell>
          <cell r="T960" t="str">
            <v/>
          </cell>
          <cell r="U960" t="str">
            <v/>
          </cell>
          <cell r="V960" t="str">
            <v/>
          </cell>
          <cell r="W960">
            <v>0</v>
          </cell>
          <cell r="X960">
            <v>0</v>
          </cell>
          <cell r="Y960" t="str">
            <v/>
          </cell>
          <cell r="Z960" t="str">
            <v>BUY</v>
          </cell>
          <cell r="AA960" t="str">
            <v/>
          </cell>
        </row>
        <row r="961">
          <cell r="A961" t="str">
            <v>B</v>
          </cell>
          <cell r="F961" t="str">
            <v>9563</v>
          </cell>
          <cell r="G961" t="str">
            <v>B</v>
          </cell>
          <cell r="H961">
            <v>21</v>
          </cell>
          <cell r="I961" t="str">
            <v>Garage Audit</v>
          </cell>
          <cell r="J961" t="str">
            <v>Garage Audit</v>
          </cell>
          <cell r="K961">
            <v>0</v>
          </cell>
          <cell r="L961">
            <v>0</v>
          </cell>
          <cell r="M961">
            <v>0</v>
          </cell>
          <cell r="N961">
            <v>0</v>
          </cell>
          <cell r="O961">
            <v>0</v>
          </cell>
          <cell r="P961">
            <v>0</v>
          </cell>
          <cell r="Q961" t="str">
            <v/>
          </cell>
          <cell r="R961" t="str">
            <v/>
          </cell>
          <cell r="S961" t="str">
            <v/>
          </cell>
          <cell r="T961" t="str">
            <v/>
          </cell>
          <cell r="U961" t="str">
            <v/>
          </cell>
          <cell r="V961" t="str">
            <v/>
          </cell>
          <cell r="W961">
            <v>0</v>
          </cell>
          <cell r="X961">
            <v>0</v>
          </cell>
          <cell r="Y961" t="str">
            <v/>
          </cell>
          <cell r="Z961" t="str">
            <v>BUY</v>
          </cell>
          <cell r="AA961" t="str">
            <v/>
          </cell>
        </row>
        <row r="962">
          <cell r="A962" t="str">
            <v>B</v>
          </cell>
          <cell r="F962" t="str">
            <v>9565</v>
          </cell>
          <cell r="G962" t="str">
            <v>B</v>
          </cell>
          <cell r="H962">
            <v>21</v>
          </cell>
          <cell r="I962" t="str">
            <v>Garage Bank Fees</v>
          </cell>
          <cell r="J962" t="str">
            <v>Garage Bank Fees</v>
          </cell>
          <cell r="K962">
            <v>0</v>
          </cell>
          <cell r="L962">
            <v>0</v>
          </cell>
          <cell r="M962">
            <v>0</v>
          </cell>
          <cell r="N962">
            <v>0</v>
          </cell>
          <cell r="O962">
            <v>0</v>
          </cell>
          <cell r="P962">
            <v>0</v>
          </cell>
          <cell r="Q962" t="str">
            <v/>
          </cell>
          <cell r="R962" t="str">
            <v/>
          </cell>
          <cell r="S962" t="str">
            <v/>
          </cell>
          <cell r="T962" t="str">
            <v/>
          </cell>
          <cell r="U962" t="str">
            <v/>
          </cell>
          <cell r="V962" t="str">
            <v/>
          </cell>
          <cell r="W962">
            <v>0</v>
          </cell>
          <cell r="X962">
            <v>0</v>
          </cell>
          <cell r="Y962" t="str">
            <v/>
          </cell>
          <cell r="Z962" t="str">
            <v>BUY</v>
          </cell>
          <cell r="AA962" t="str">
            <v/>
          </cell>
        </row>
        <row r="963">
          <cell r="A963" t="str">
            <v>B</v>
          </cell>
          <cell r="F963" t="str">
            <v>9575</v>
          </cell>
          <cell r="G963" t="str">
            <v>B</v>
          </cell>
          <cell r="H963">
            <v>21</v>
          </cell>
          <cell r="I963" t="str">
            <v>Garage Transfer to Reserve</v>
          </cell>
          <cell r="J963" t="str">
            <v>Garage Transfer to Reserve</v>
          </cell>
          <cell r="K963">
            <v>0</v>
          </cell>
          <cell r="L963">
            <v>0</v>
          </cell>
          <cell r="M963">
            <v>0</v>
          </cell>
          <cell r="N963">
            <v>0</v>
          </cell>
          <cell r="O963">
            <v>0</v>
          </cell>
          <cell r="P963">
            <v>0</v>
          </cell>
          <cell r="Q963" t="str">
            <v/>
          </cell>
          <cell r="R963" t="str">
            <v/>
          </cell>
          <cell r="S963" t="str">
            <v/>
          </cell>
          <cell r="T963" t="str">
            <v/>
          </cell>
          <cell r="U963" t="str">
            <v/>
          </cell>
          <cell r="V963" t="str">
            <v/>
          </cell>
          <cell r="W963">
            <v>0</v>
          </cell>
          <cell r="X963">
            <v>0</v>
          </cell>
          <cell r="Y963" t="str">
            <v/>
          </cell>
          <cell r="Z963" t="str">
            <v>BUY</v>
          </cell>
          <cell r="AA963" t="str">
            <v/>
          </cell>
        </row>
        <row r="964">
          <cell r="A964" t="str">
            <v>B</v>
          </cell>
          <cell r="F964" t="str">
            <v>9600</v>
          </cell>
          <cell r="G964" t="str">
            <v>B</v>
          </cell>
          <cell r="H964">
            <v>21</v>
          </cell>
          <cell r="I964" t="str">
            <v>Move Net Garage Inc</v>
          </cell>
          <cell r="J964" t="str">
            <v>Move Net Garage Inc</v>
          </cell>
          <cell r="K964">
            <v>0</v>
          </cell>
          <cell r="L964">
            <v>0</v>
          </cell>
          <cell r="M964">
            <v>0</v>
          </cell>
          <cell r="N964">
            <v>0</v>
          </cell>
          <cell r="O964">
            <v>0</v>
          </cell>
          <cell r="P964">
            <v>0</v>
          </cell>
          <cell r="Q964" t="str">
            <v/>
          </cell>
          <cell r="R964" t="str">
            <v/>
          </cell>
          <cell r="S964" t="str">
            <v/>
          </cell>
          <cell r="T964" t="str">
            <v/>
          </cell>
          <cell r="U964" t="str">
            <v/>
          </cell>
          <cell r="V964" t="str">
            <v/>
          </cell>
          <cell r="W964">
            <v>0</v>
          </cell>
          <cell r="X964">
            <v>0</v>
          </cell>
          <cell r="Y964" t="str">
            <v/>
          </cell>
          <cell r="Z964" t="str">
            <v>BUY</v>
          </cell>
          <cell r="AA964" t="str">
            <v/>
          </cell>
        </row>
        <row r="965">
          <cell r="O965">
            <v>0</v>
          </cell>
          <cell r="W965">
            <v>0</v>
          </cell>
          <cell r="X965">
            <v>0</v>
          </cell>
          <cell r="Y965" t="str">
            <v/>
          </cell>
          <cell r="Z965" t="str">
            <v>BUY</v>
          </cell>
          <cell r="AA965" t="str">
            <v/>
          </cell>
        </row>
        <row r="966">
          <cell r="O966">
            <v>0</v>
          </cell>
          <cell r="W966">
            <v>0</v>
          </cell>
          <cell r="X966">
            <v>0</v>
          </cell>
          <cell r="Y966" t="str">
            <v/>
          </cell>
          <cell r="Z966" t="str">
            <v>BUY</v>
          </cell>
          <cell r="AA966" t="str">
            <v/>
          </cell>
        </row>
        <row r="967">
          <cell r="O967">
            <v>0</v>
          </cell>
          <cell r="W967">
            <v>0</v>
          </cell>
          <cell r="X967">
            <v>0</v>
          </cell>
          <cell r="Y967" t="str">
            <v/>
          </cell>
          <cell r="Z967" t="str">
            <v>BUY</v>
          </cell>
          <cell r="AA967" t="str">
            <v/>
          </cell>
        </row>
        <row r="968">
          <cell r="O968">
            <v>0</v>
          </cell>
          <cell r="W968">
            <v>0</v>
          </cell>
          <cell r="X968">
            <v>0</v>
          </cell>
          <cell r="Y968" t="str">
            <v/>
          </cell>
          <cell r="Z968" t="str">
            <v>BUY</v>
          </cell>
          <cell r="AA968" t="str">
            <v/>
          </cell>
        </row>
        <row r="969">
          <cell r="O969">
            <v>0</v>
          </cell>
          <cell r="W969">
            <v>0</v>
          </cell>
          <cell r="X969">
            <v>0</v>
          </cell>
          <cell r="Y969" t="str">
            <v/>
          </cell>
          <cell r="Z969" t="str">
            <v>BUY</v>
          </cell>
          <cell r="AA969" t="str">
            <v/>
          </cell>
        </row>
        <row r="970">
          <cell r="O970">
            <v>0</v>
          </cell>
          <cell r="W970">
            <v>0</v>
          </cell>
          <cell r="X970">
            <v>0</v>
          </cell>
          <cell r="Y970" t="str">
            <v/>
          </cell>
          <cell r="Z970" t="str">
            <v>BUY</v>
          </cell>
          <cell r="AA970" t="str">
            <v/>
          </cell>
        </row>
        <row r="971">
          <cell r="O971">
            <v>0</v>
          </cell>
          <cell r="W971">
            <v>0</v>
          </cell>
          <cell r="X971">
            <v>0</v>
          </cell>
          <cell r="Y971" t="str">
            <v/>
          </cell>
          <cell r="Z971" t="str">
            <v>BUY</v>
          </cell>
          <cell r="AA971" t="str">
            <v/>
          </cell>
        </row>
        <row r="973">
          <cell r="F973" t="str">
            <v>end</v>
          </cell>
        </row>
        <row r="9997">
          <cell r="A9997" t="b">
            <v>1</v>
          </cell>
        </row>
        <row r="10000">
          <cell r="A10000" t="b">
            <v>0</v>
          </cell>
        </row>
      </sheetData>
      <sheetData sheetId="7"/>
      <sheetData sheetId="8"/>
      <sheetData sheetId="9"/>
      <sheetData sheetId="10"/>
      <sheetData sheetId="11" refreshError="1"/>
      <sheetData sheetId="12"/>
      <sheetData sheetId="13"/>
      <sheetData sheetId="14" refreshError="1"/>
      <sheetData sheetId="15" refreshError="1"/>
      <sheetData sheetId="16" refreshError="1"/>
      <sheetData sheetId="17" refreshError="1"/>
      <sheetData sheetId="18"/>
      <sheetData sheetId="19"/>
      <sheetData sheetId="20"/>
      <sheetData sheetId="21"/>
      <sheetData sheetId="22" refreshError="1"/>
      <sheetData sheetId="23" refreshError="1"/>
      <sheetData sheetId="24" refreshError="1">
        <row r="1">
          <cell r="A1" t="str">
            <v>4010</v>
          </cell>
        </row>
        <row r="2">
          <cell r="A2" t="str">
            <v>4015</v>
          </cell>
        </row>
        <row r="3">
          <cell r="A3" t="str">
            <v>4020</v>
          </cell>
        </row>
        <row r="4">
          <cell r="A4" t="str">
            <v>4030</v>
          </cell>
        </row>
        <row r="5">
          <cell r="A5" t="str">
            <v>4040</v>
          </cell>
        </row>
        <row r="6">
          <cell r="A6" t="str">
            <v>4080</v>
          </cell>
        </row>
        <row r="7">
          <cell r="A7" t="str">
            <v>4110</v>
          </cell>
        </row>
        <row r="8">
          <cell r="A8" t="str">
            <v>4170</v>
          </cell>
        </row>
        <row r="9">
          <cell r="A9" t="str">
            <v>4510</v>
          </cell>
        </row>
        <row r="10">
          <cell r="A10" t="str">
            <v>4610</v>
          </cell>
        </row>
        <row r="11">
          <cell r="A11" t="str">
            <v>4640</v>
          </cell>
        </row>
        <row r="12">
          <cell r="A12" t="str">
            <v>4995</v>
          </cell>
        </row>
        <row r="13">
          <cell r="A13" t="str">
            <v>7024</v>
          </cell>
        </row>
        <row r="14">
          <cell r="A14" t="str">
            <v>7030</v>
          </cell>
        </row>
        <row r="15">
          <cell r="A15" t="str">
            <v>7032</v>
          </cell>
        </row>
        <row r="16">
          <cell r="A16" t="str">
            <v>7040</v>
          </cell>
        </row>
        <row r="17">
          <cell r="A17" t="str">
            <v>7080</v>
          </cell>
        </row>
        <row r="18">
          <cell r="A18" t="str">
            <v>7082</v>
          </cell>
        </row>
        <row r="19">
          <cell r="A19" t="str">
            <v>7083</v>
          </cell>
        </row>
        <row r="20">
          <cell r="A20" t="str">
            <v>7084</v>
          </cell>
        </row>
        <row r="21">
          <cell r="A21" t="str">
            <v>7210</v>
          </cell>
        </row>
        <row r="22">
          <cell r="A22" t="str">
            <v>7220</v>
          </cell>
        </row>
        <row r="23">
          <cell r="A23" t="str">
            <v>7230</v>
          </cell>
        </row>
        <row r="24">
          <cell r="A24" t="str">
            <v>7410</v>
          </cell>
        </row>
        <row r="25">
          <cell r="A25" t="str">
            <v>7420</v>
          </cell>
        </row>
        <row r="26">
          <cell r="A26" t="str">
            <v>7430</v>
          </cell>
        </row>
        <row r="27">
          <cell r="A27" t="str">
            <v>7432</v>
          </cell>
        </row>
        <row r="28">
          <cell r="A28" t="str">
            <v>7433</v>
          </cell>
        </row>
        <row r="29">
          <cell r="A29" t="str">
            <v>7436</v>
          </cell>
        </row>
        <row r="30">
          <cell r="A30" t="str">
            <v>7450</v>
          </cell>
        </row>
        <row r="31">
          <cell r="A31" t="str">
            <v>7460</v>
          </cell>
        </row>
        <row r="32">
          <cell r="A32" t="str">
            <v>7462</v>
          </cell>
        </row>
        <row r="33">
          <cell r="A33" t="str">
            <v>7471</v>
          </cell>
        </row>
        <row r="34">
          <cell r="A34" t="str">
            <v>7475</v>
          </cell>
        </row>
        <row r="35">
          <cell r="A35" t="str">
            <v>7476</v>
          </cell>
        </row>
        <row r="36">
          <cell r="A36" t="str">
            <v>7480</v>
          </cell>
        </row>
        <row r="37">
          <cell r="A37" t="str">
            <v>7605</v>
          </cell>
        </row>
        <row r="38">
          <cell r="A38" t="str">
            <v>7608</v>
          </cell>
        </row>
        <row r="39">
          <cell r="A39" t="str">
            <v>7610</v>
          </cell>
        </row>
        <row r="40">
          <cell r="A40" t="str">
            <v>7611</v>
          </cell>
        </row>
        <row r="41">
          <cell r="A41" t="str">
            <v>7620</v>
          </cell>
        </row>
        <row r="42">
          <cell r="A42" t="str">
            <v>7621</v>
          </cell>
        </row>
        <row r="43">
          <cell r="A43" t="str">
            <v>7623</v>
          </cell>
        </row>
        <row r="44">
          <cell r="A44" t="str">
            <v>7631</v>
          </cell>
        </row>
        <row r="45">
          <cell r="A45" t="str">
            <v>7632</v>
          </cell>
        </row>
        <row r="46">
          <cell r="A46" t="str">
            <v>7634</v>
          </cell>
        </row>
        <row r="47">
          <cell r="A47" t="str">
            <v>7642</v>
          </cell>
        </row>
        <row r="48">
          <cell r="A48" t="str">
            <v>7644</v>
          </cell>
        </row>
        <row r="49">
          <cell r="A49" t="str">
            <v>7650</v>
          </cell>
        </row>
        <row r="50">
          <cell r="A50" t="str">
            <v>7655</v>
          </cell>
        </row>
        <row r="51">
          <cell r="A51" t="str">
            <v>7663</v>
          </cell>
        </row>
        <row r="52">
          <cell r="A52" t="str">
            <v>7670</v>
          </cell>
        </row>
        <row r="53">
          <cell r="A53" t="str">
            <v>7695</v>
          </cell>
        </row>
        <row r="54">
          <cell r="A54" t="str">
            <v>7805</v>
          </cell>
        </row>
        <row r="55">
          <cell r="A55" t="str">
            <v>7842</v>
          </cell>
        </row>
        <row r="56">
          <cell r="A56" t="str">
            <v>8005</v>
          </cell>
        </row>
        <row r="57">
          <cell r="A57" t="str">
            <v>8050</v>
          </cell>
        </row>
        <row r="58">
          <cell r="A58" t="str">
            <v>8070</v>
          </cell>
        </row>
        <row r="59">
          <cell r="A59" t="str">
            <v>8505</v>
          </cell>
        </row>
        <row r="60">
          <cell r="A60" t="str">
            <v>8521</v>
          </cell>
        </row>
        <row r="61">
          <cell r="A61" t="str">
            <v>8530</v>
          </cell>
        </row>
        <row r="62">
          <cell r="A62" t="str">
            <v>8540</v>
          </cell>
        </row>
        <row r="63">
          <cell r="A63" t="str">
            <v>8551</v>
          </cell>
        </row>
        <row r="64">
          <cell r="A64" t="str">
            <v>8552</v>
          </cell>
        </row>
        <row r="65">
          <cell r="A65" t="str">
            <v>8556</v>
          </cell>
        </row>
        <row r="66">
          <cell r="A66" t="str">
            <v>8558</v>
          </cell>
        </row>
        <row r="67">
          <cell r="A67" t="str">
            <v>8560</v>
          </cell>
        </row>
        <row r="68">
          <cell r="A68" t="str">
            <v>8565</v>
          </cell>
        </row>
        <row r="69">
          <cell r="A69" t="str">
            <v>8576</v>
          </cell>
        </row>
        <row r="70">
          <cell r="A70" t="str">
            <v>8581</v>
          </cell>
        </row>
        <row r="71">
          <cell r="A71" t="str">
            <v>8585</v>
          </cell>
        </row>
        <row r="72">
          <cell r="A72" t="str">
            <v>8590</v>
          </cell>
        </row>
        <row r="73">
          <cell r="A73" t="str">
            <v>8592</v>
          </cell>
        </row>
        <row r="74">
          <cell r="A74" t="str">
            <v>8595</v>
          </cell>
        </row>
        <row r="75">
          <cell r="A75" t="str">
            <v>8710</v>
          </cell>
        </row>
        <row r="76">
          <cell r="A76" t="str">
            <v>8125</v>
          </cell>
        </row>
        <row r="77">
          <cell r="A77" t="str">
            <v>8740</v>
          </cell>
        </row>
        <row r="78">
          <cell r="A78" t="str">
            <v>8840</v>
          </cell>
        </row>
        <row r="79">
          <cell r="A79" t="str">
            <v>7080-25</v>
          </cell>
        </row>
        <row r="80">
          <cell r="A80" t="str">
            <v>8520-5</v>
          </cell>
        </row>
        <row r="81">
          <cell r="A81" t="str">
            <v/>
          </cell>
        </row>
        <row r="82">
          <cell r="A82" t="str">
            <v/>
          </cell>
        </row>
        <row r="83">
          <cell r="A83" t="str">
            <v/>
          </cell>
        </row>
        <row r="84">
          <cell r="A84" t="str">
            <v/>
          </cell>
        </row>
        <row r="85">
          <cell r="A85" t="str">
            <v/>
          </cell>
        </row>
        <row r="86">
          <cell r="A86" t="str">
            <v/>
          </cell>
        </row>
        <row r="87">
          <cell r="A87" t="str">
            <v/>
          </cell>
        </row>
        <row r="88">
          <cell r="A88" t="str">
            <v/>
          </cell>
        </row>
        <row r="89">
          <cell r="A89" t="str">
            <v/>
          </cell>
        </row>
        <row r="90">
          <cell r="A90" t="str">
            <v/>
          </cell>
        </row>
        <row r="91">
          <cell r="A91" t="str">
            <v/>
          </cell>
        </row>
        <row r="92">
          <cell r="A92" t="str">
            <v/>
          </cell>
        </row>
        <row r="93">
          <cell r="A93" t="str">
            <v/>
          </cell>
        </row>
        <row r="94">
          <cell r="A94" t="str">
            <v/>
          </cell>
        </row>
        <row r="95">
          <cell r="A95" t="str">
            <v/>
          </cell>
        </row>
        <row r="96">
          <cell r="A96" t="str">
            <v/>
          </cell>
        </row>
        <row r="97">
          <cell r="A97" t="str">
            <v/>
          </cell>
        </row>
        <row r="98">
          <cell r="A98" t="str">
            <v/>
          </cell>
        </row>
        <row r="99">
          <cell r="A99" t="str">
            <v/>
          </cell>
        </row>
        <row r="100">
          <cell r="A100" t="str">
            <v/>
          </cell>
        </row>
        <row r="101">
          <cell r="A101" t="str">
            <v/>
          </cell>
        </row>
        <row r="102">
          <cell r="A102" t="str">
            <v/>
          </cell>
        </row>
        <row r="103">
          <cell r="A103" t="str">
            <v/>
          </cell>
        </row>
        <row r="104">
          <cell r="A104" t="str">
            <v/>
          </cell>
        </row>
        <row r="105">
          <cell r="A105" t="str">
            <v/>
          </cell>
        </row>
        <row r="106">
          <cell r="A106" t="str">
            <v/>
          </cell>
        </row>
        <row r="107">
          <cell r="A107" t="str">
            <v/>
          </cell>
        </row>
        <row r="108">
          <cell r="A108" t="str">
            <v/>
          </cell>
        </row>
        <row r="109">
          <cell r="A109" t="str">
            <v/>
          </cell>
        </row>
        <row r="110">
          <cell r="A110" t="str">
            <v/>
          </cell>
        </row>
        <row r="111">
          <cell r="A111" t="str">
            <v/>
          </cell>
        </row>
        <row r="112">
          <cell r="A112" t="str">
            <v/>
          </cell>
        </row>
        <row r="113">
          <cell r="A113" t="str">
            <v/>
          </cell>
        </row>
        <row r="114">
          <cell r="A114" t="str">
            <v/>
          </cell>
        </row>
        <row r="115">
          <cell r="A115" t="str">
            <v/>
          </cell>
        </row>
        <row r="116">
          <cell r="A116" t="str">
            <v/>
          </cell>
        </row>
        <row r="117">
          <cell r="A117" t="str">
            <v/>
          </cell>
        </row>
        <row r="118">
          <cell r="A118" t="str">
            <v/>
          </cell>
        </row>
        <row r="119">
          <cell r="A119" t="str">
            <v/>
          </cell>
        </row>
        <row r="120">
          <cell r="A120" t="str">
            <v/>
          </cell>
        </row>
        <row r="121">
          <cell r="A121" t="str">
            <v/>
          </cell>
        </row>
        <row r="122">
          <cell r="A122" t="str">
            <v/>
          </cell>
        </row>
        <row r="123">
          <cell r="A123" t="str">
            <v/>
          </cell>
        </row>
        <row r="124">
          <cell r="A124" t="str">
            <v/>
          </cell>
        </row>
        <row r="125">
          <cell r="A125" t="str">
            <v/>
          </cell>
        </row>
        <row r="126">
          <cell r="A126" t="str">
            <v/>
          </cell>
        </row>
        <row r="127">
          <cell r="A127" t="str">
            <v/>
          </cell>
        </row>
        <row r="128">
          <cell r="A128" t="str">
            <v/>
          </cell>
        </row>
        <row r="129">
          <cell r="A129" t="str">
            <v/>
          </cell>
        </row>
        <row r="130">
          <cell r="A130" t="str">
            <v/>
          </cell>
        </row>
        <row r="131">
          <cell r="A131" t="str">
            <v/>
          </cell>
        </row>
        <row r="132">
          <cell r="A132" t="str">
            <v/>
          </cell>
        </row>
        <row r="133">
          <cell r="A133" t="str">
            <v/>
          </cell>
        </row>
        <row r="134">
          <cell r="A134" t="str">
            <v/>
          </cell>
        </row>
        <row r="135">
          <cell r="A135" t="str">
            <v/>
          </cell>
        </row>
        <row r="136">
          <cell r="A136" t="str">
            <v/>
          </cell>
        </row>
        <row r="137">
          <cell r="A137" t="str">
            <v/>
          </cell>
        </row>
        <row r="138">
          <cell r="A138" t="str">
            <v/>
          </cell>
        </row>
        <row r="139">
          <cell r="A139" t="str">
            <v/>
          </cell>
        </row>
        <row r="140">
          <cell r="A140" t="str">
            <v/>
          </cell>
        </row>
        <row r="141">
          <cell r="A141" t="str">
            <v/>
          </cell>
        </row>
        <row r="142">
          <cell r="A142" t="str">
            <v/>
          </cell>
        </row>
        <row r="143">
          <cell r="A143" t="str">
            <v/>
          </cell>
        </row>
        <row r="144">
          <cell r="A144" t="str">
            <v/>
          </cell>
        </row>
        <row r="145">
          <cell r="A145" t="str">
            <v/>
          </cell>
        </row>
        <row r="146">
          <cell r="A146" t="str">
            <v/>
          </cell>
        </row>
        <row r="147">
          <cell r="A147" t="str">
            <v/>
          </cell>
        </row>
      </sheetData>
      <sheetData sheetId="25" refreshError="1">
        <row r="1">
          <cell r="A1" t="str">
            <v/>
          </cell>
        </row>
        <row r="2">
          <cell r="A2" t="str">
            <v/>
          </cell>
        </row>
        <row r="3">
          <cell r="A3" t="str">
            <v/>
          </cell>
        </row>
        <row r="4">
          <cell r="A4" t="str">
            <v/>
          </cell>
        </row>
        <row r="5">
          <cell r="A5" t="str">
            <v/>
          </cell>
        </row>
        <row r="6">
          <cell r="A6" t="str">
            <v/>
          </cell>
        </row>
        <row r="7">
          <cell r="A7" t="str">
            <v/>
          </cell>
        </row>
        <row r="8">
          <cell r="A8" t="str">
            <v/>
          </cell>
        </row>
        <row r="9">
          <cell r="A9" t="str">
            <v/>
          </cell>
        </row>
        <row r="10">
          <cell r="A10" t="str">
            <v/>
          </cell>
        </row>
        <row r="11">
          <cell r="A11" t="str">
            <v/>
          </cell>
        </row>
        <row r="12">
          <cell r="A12" t="str">
            <v/>
          </cell>
        </row>
        <row r="13">
          <cell r="A13" t="str">
            <v/>
          </cell>
        </row>
        <row r="14">
          <cell r="A14" t="str">
            <v/>
          </cell>
        </row>
        <row r="15">
          <cell r="A15" t="str">
            <v/>
          </cell>
        </row>
        <row r="16">
          <cell r="A16" t="str">
            <v/>
          </cell>
        </row>
        <row r="17">
          <cell r="A17" t="str">
            <v/>
          </cell>
        </row>
        <row r="18">
          <cell r="A18" t="str">
            <v/>
          </cell>
        </row>
        <row r="19">
          <cell r="A19" t="str">
            <v/>
          </cell>
        </row>
        <row r="20">
          <cell r="A20" t="str">
            <v/>
          </cell>
        </row>
        <row r="21">
          <cell r="A21" t="str">
            <v/>
          </cell>
        </row>
        <row r="22">
          <cell r="A22" t="str">
            <v/>
          </cell>
        </row>
        <row r="23">
          <cell r="A23" t="str">
            <v/>
          </cell>
        </row>
        <row r="24">
          <cell r="A24" t="str">
            <v/>
          </cell>
        </row>
        <row r="25">
          <cell r="A25" t="str">
            <v/>
          </cell>
        </row>
        <row r="26">
          <cell r="A26" t="str">
            <v/>
          </cell>
        </row>
        <row r="27">
          <cell r="A27" t="str">
            <v/>
          </cell>
        </row>
        <row r="28">
          <cell r="A28" t="str">
            <v/>
          </cell>
        </row>
        <row r="29">
          <cell r="A29" t="str">
            <v/>
          </cell>
        </row>
        <row r="30">
          <cell r="A30" t="str">
            <v/>
          </cell>
        </row>
        <row r="31">
          <cell r="A31" t="str">
            <v/>
          </cell>
        </row>
        <row r="32">
          <cell r="A32" t="str">
            <v/>
          </cell>
        </row>
        <row r="33">
          <cell r="A33" t="str">
            <v/>
          </cell>
        </row>
        <row r="34">
          <cell r="A34" t="str">
            <v/>
          </cell>
        </row>
        <row r="35">
          <cell r="A35" t="str">
            <v/>
          </cell>
        </row>
        <row r="36">
          <cell r="A36" t="str">
            <v/>
          </cell>
        </row>
        <row r="37">
          <cell r="A37" t="str">
            <v/>
          </cell>
        </row>
        <row r="38">
          <cell r="A38" t="str">
            <v/>
          </cell>
        </row>
        <row r="39">
          <cell r="A39" t="str">
            <v/>
          </cell>
        </row>
        <row r="40">
          <cell r="A40" t="str">
            <v/>
          </cell>
        </row>
        <row r="41">
          <cell r="A41" t="str">
            <v/>
          </cell>
        </row>
        <row r="42">
          <cell r="A42" t="str">
            <v/>
          </cell>
        </row>
        <row r="43">
          <cell r="A43" t="str">
            <v/>
          </cell>
        </row>
        <row r="44">
          <cell r="A44" t="str">
            <v/>
          </cell>
        </row>
        <row r="45">
          <cell r="A45" t="str">
            <v/>
          </cell>
        </row>
        <row r="46">
          <cell r="A46" t="str">
            <v/>
          </cell>
        </row>
        <row r="47">
          <cell r="A47" t="str">
            <v/>
          </cell>
        </row>
        <row r="48">
          <cell r="A48" t="str">
            <v/>
          </cell>
        </row>
        <row r="49">
          <cell r="A49" t="str">
            <v/>
          </cell>
        </row>
        <row r="50">
          <cell r="A50" t="str">
            <v/>
          </cell>
        </row>
        <row r="51">
          <cell r="A51" t="str">
            <v/>
          </cell>
        </row>
        <row r="52">
          <cell r="A52" t="str">
            <v/>
          </cell>
        </row>
        <row r="53">
          <cell r="A53" t="str">
            <v/>
          </cell>
        </row>
        <row r="54">
          <cell r="A54" t="str">
            <v/>
          </cell>
        </row>
        <row r="55">
          <cell r="A55" t="str">
            <v/>
          </cell>
        </row>
        <row r="56">
          <cell r="A56" t="str">
            <v/>
          </cell>
        </row>
        <row r="57">
          <cell r="A57" t="str">
            <v/>
          </cell>
        </row>
        <row r="58">
          <cell r="A58" t="str">
            <v/>
          </cell>
        </row>
        <row r="59">
          <cell r="A59" t="str">
            <v/>
          </cell>
        </row>
        <row r="60">
          <cell r="A60" t="str">
            <v/>
          </cell>
        </row>
        <row r="61">
          <cell r="A61" t="str">
            <v/>
          </cell>
        </row>
        <row r="62">
          <cell r="A62" t="str">
            <v/>
          </cell>
        </row>
        <row r="63">
          <cell r="A63" t="str">
            <v/>
          </cell>
        </row>
        <row r="64">
          <cell r="A64" t="str">
            <v/>
          </cell>
        </row>
        <row r="65">
          <cell r="A65" t="str">
            <v/>
          </cell>
        </row>
        <row r="66">
          <cell r="A66" t="str">
            <v/>
          </cell>
        </row>
        <row r="67">
          <cell r="A67" t="str">
            <v/>
          </cell>
        </row>
        <row r="68">
          <cell r="A68" t="str">
            <v/>
          </cell>
        </row>
        <row r="69">
          <cell r="A69" t="str">
            <v/>
          </cell>
        </row>
        <row r="70">
          <cell r="A70" t="str">
            <v/>
          </cell>
        </row>
        <row r="71">
          <cell r="A71" t="str">
            <v/>
          </cell>
        </row>
        <row r="72">
          <cell r="A72" t="str">
            <v/>
          </cell>
        </row>
        <row r="73">
          <cell r="A73" t="str">
            <v/>
          </cell>
        </row>
        <row r="74">
          <cell r="A74" t="str">
            <v/>
          </cell>
        </row>
        <row r="75">
          <cell r="A75" t="str">
            <v/>
          </cell>
        </row>
        <row r="76">
          <cell r="A76" t="str">
            <v/>
          </cell>
        </row>
        <row r="77">
          <cell r="A77" t="str">
            <v/>
          </cell>
        </row>
        <row r="78">
          <cell r="A78" t="str">
            <v/>
          </cell>
        </row>
        <row r="79">
          <cell r="A79" t="str">
            <v/>
          </cell>
        </row>
        <row r="80">
          <cell r="A80" t="str">
            <v/>
          </cell>
        </row>
        <row r="81">
          <cell r="A81" t="str">
            <v/>
          </cell>
        </row>
        <row r="82">
          <cell r="A82" t="str">
            <v/>
          </cell>
        </row>
        <row r="83">
          <cell r="A83" t="str">
            <v/>
          </cell>
        </row>
        <row r="84">
          <cell r="A84" t="str">
            <v/>
          </cell>
        </row>
        <row r="85">
          <cell r="A85" t="str">
            <v/>
          </cell>
        </row>
        <row r="86">
          <cell r="A86" t="str">
            <v/>
          </cell>
        </row>
        <row r="87">
          <cell r="A87" t="str">
            <v/>
          </cell>
        </row>
        <row r="88">
          <cell r="A88" t="str">
            <v/>
          </cell>
        </row>
        <row r="89">
          <cell r="A89" t="str">
            <v/>
          </cell>
        </row>
        <row r="90">
          <cell r="A90" t="str">
            <v/>
          </cell>
        </row>
        <row r="91">
          <cell r="A91" t="str">
            <v/>
          </cell>
        </row>
        <row r="92">
          <cell r="A92" t="str">
            <v/>
          </cell>
        </row>
        <row r="93">
          <cell r="A93" t="str">
            <v/>
          </cell>
        </row>
        <row r="94">
          <cell r="A94" t="str">
            <v/>
          </cell>
        </row>
        <row r="95">
          <cell r="A95" t="str">
            <v/>
          </cell>
        </row>
        <row r="96">
          <cell r="A96" t="str">
            <v/>
          </cell>
        </row>
        <row r="97">
          <cell r="A97" t="str">
            <v/>
          </cell>
        </row>
        <row r="98">
          <cell r="A98" t="str">
            <v/>
          </cell>
        </row>
        <row r="99">
          <cell r="A99" t="str">
            <v/>
          </cell>
        </row>
        <row r="100">
          <cell r="A100" t="str">
            <v/>
          </cell>
        </row>
        <row r="101">
          <cell r="A101" t="str">
            <v/>
          </cell>
        </row>
        <row r="102">
          <cell r="A102" t="str">
            <v/>
          </cell>
        </row>
        <row r="103">
          <cell r="A103" t="str">
            <v/>
          </cell>
        </row>
        <row r="104">
          <cell r="A104" t="str">
            <v/>
          </cell>
        </row>
        <row r="105">
          <cell r="A105" t="str">
            <v/>
          </cell>
        </row>
        <row r="106">
          <cell r="A106" t="str">
            <v/>
          </cell>
        </row>
        <row r="107">
          <cell r="A107" t="str">
            <v/>
          </cell>
        </row>
        <row r="108">
          <cell r="A108" t="str">
            <v/>
          </cell>
        </row>
        <row r="109">
          <cell r="A109" t="str">
            <v/>
          </cell>
        </row>
        <row r="110">
          <cell r="A110" t="str">
            <v/>
          </cell>
        </row>
        <row r="111">
          <cell r="A111" t="str">
            <v/>
          </cell>
        </row>
        <row r="112">
          <cell r="A112" t="str">
            <v/>
          </cell>
        </row>
        <row r="113">
          <cell r="A113" t="str">
            <v/>
          </cell>
        </row>
        <row r="114">
          <cell r="A114" t="str">
            <v/>
          </cell>
        </row>
        <row r="115">
          <cell r="A115" t="str">
            <v/>
          </cell>
        </row>
        <row r="116">
          <cell r="A116" t="str">
            <v/>
          </cell>
        </row>
        <row r="117">
          <cell r="A117" t="str">
            <v/>
          </cell>
        </row>
        <row r="118">
          <cell r="A118" t="str">
            <v/>
          </cell>
        </row>
        <row r="119">
          <cell r="A119" t="str">
            <v/>
          </cell>
        </row>
        <row r="120">
          <cell r="A120" t="str">
            <v/>
          </cell>
        </row>
        <row r="121">
          <cell r="A121" t="str">
            <v/>
          </cell>
        </row>
        <row r="122">
          <cell r="A122" t="str">
            <v/>
          </cell>
        </row>
        <row r="123">
          <cell r="A123" t="str">
            <v/>
          </cell>
        </row>
        <row r="124">
          <cell r="A124" t="str">
            <v/>
          </cell>
        </row>
        <row r="125">
          <cell r="A125" t="str">
            <v/>
          </cell>
        </row>
        <row r="126">
          <cell r="A126" t="str">
            <v/>
          </cell>
        </row>
        <row r="127">
          <cell r="A127" t="str">
            <v/>
          </cell>
        </row>
        <row r="128">
          <cell r="A128" t="str">
            <v/>
          </cell>
        </row>
        <row r="129">
          <cell r="A129" t="str">
            <v/>
          </cell>
        </row>
        <row r="130">
          <cell r="A130" t="str">
            <v/>
          </cell>
        </row>
        <row r="131">
          <cell r="A131" t="str">
            <v/>
          </cell>
        </row>
        <row r="132">
          <cell r="A132" t="str">
            <v/>
          </cell>
        </row>
        <row r="133">
          <cell r="A133" t="str">
            <v/>
          </cell>
        </row>
        <row r="134">
          <cell r="A134" t="str">
            <v/>
          </cell>
        </row>
        <row r="135">
          <cell r="A135" t="str">
            <v/>
          </cell>
        </row>
        <row r="136">
          <cell r="A136" t="str">
            <v/>
          </cell>
        </row>
        <row r="137">
          <cell r="A137" t="str">
            <v/>
          </cell>
        </row>
        <row r="138">
          <cell r="A138" t="str">
            <v/>
          </cell>
        </row>
        <row r="139">
          <cell r="A139" t="str">
            <v/>
          </cell>
        </row>
        <row r="140">
          <cell r="A140" t="str">
            <v/>
          </cell>
        </row>
        <row r="141">
          <cell r="A141" t="str">
            <v/>
          </cell>
        </row>
        <row r="142">
          <cell r="A142" t="str">
            <v/>
          </cell>
        </row>
        <row r="143">
          <cell r="A143" t="str">
            <v/>
          </cell>
        </row>
        <row r="144">
          <cell r="A144" t="str">
            <v/>
          </cell>
        </row>
        <row r="145">
          <cell r="A145" t="str">
            <v/>
          </cell>
        </row>
        <row r="146">
          <cell r="A146" t="str">
            <v/>
          </cell>
        </row>
        <row r="147">
          <cell r="A147" t="str">
            <v/>
          </cell>
        </row>
      </sheetData>
      <sheetData sheetId="26" refreshError="1">
        <row r="1">
          <cell r="A1" t="str">
            <v>4010</v>
          </cell>
        </row>
        <row r="2">
          <cell r="A2" t="str">
            <v>4015</v>
          </cell>
        </row>
        <row r="3">
          <cell r="A3" t="str">
            <v>4610</v>
          </cell>
        </row>
        <row r="4">
          <cell r="A4" t="str">
            <v>4030</v>
          </cell>
        </row>
        <row r="5">
          <cell r="A5" t="str">
            <v>4020</v>
          </cell>
        </row>
        <row r="6">
          <cell r="A6" t="str">
            <v>8520-5</v>
          </cell>
        </row>
        <row r="7">
          <cell r="A7" t="str">
            <v>4510</v>
          </cell>
        </row>
        <row r="8">
          <cell r="A8" t="str">
            <v>4040</v>
          </cell>
        </row>
        <row r="9">
          <cell r="A9" t="str">
            <v>4110</v>
          </cell>
        </row>
        <row r="10">
          <cell r="A10" t="str">
            <v>4170</v>
          </cell>
        </row>
        <row r="11">
          <cell r="A11" t="str">
            <v>4080</v>
          </cell>
        </row>
        <row r="12">
          <cell r="A12" t="str">
            <v>4995</v>
          </cell>
        </row>
        <row r="13">
          <cell r="A13" t="str">
            <v>8558</v>
          </cell>
        </row>
        <row r="14">
          <cell r="A14" t="str">
            <v>8552</v>
          </cell>
        </row>
        <row r="15">
          <cell r="A15" t="str">
            <v>8551</v>
          </cell>
        </row>
        <row r="16">
          <cell r="A16" t="str">
            <v>8565</v>
          </cell>
        </row>
        <row r="17">
          <cell r="A17" t="str">
            <v>8556</v>
          </cell>
        </row>
        <row r="18">
          <cell r="A18" t="str">
            <v>8595</v>
          </cell>
        </row>
        <row r="19">
          <cell r="A19" t="str">
            <v>8521</v>
          </cell>
        </row>
        <row r="20">
          <cell r="A20" t="str">
            <v>8530</v>
          </cell>
        </row>
        <row r="21">
          <cell r="A21" t="str">
            <v>8505</v>
          </cell>
        </row>
        <row r="22">
          <cell r="A22" t="str">
            <v>8540</v>
          </cell>
        </row>
        <row r="23">
          <cell r="A23" t="str">
            <v>8581</v>
          </cell>
        </row>
        <row r="24">
          <cell r="A24" t="str">
            <v>8710</v>
          </cell>
        </row>
        <row r="25">
          <cell r="A25" t="str">
            <v>8740</v>
          </cell>
        </row>
        <row r="26">
          <cell r="A26" t="str">
            <v>8125</v>
          </cell>
        </row>
        <row r="27">
          <cell r="A27" t="str">
            <v>7032</v>
          </cell>
        </row>
        <row r="28">
          <cell r="A28" t="str">
            <v>7030</v>
          </cell>
        </row>
        <row r="29">
          <cell r="A29" t="str">
            <v>7024</v>
          </cell>
        </row>
        <row r="30">
          <cell r="A30" t="str">
            <v>7040</v>
          </cell>
        </row>
        <row r="31">
          <cell r="A31" t="str">
            <v>7083</v>
          </cell>
        </row>
        <row r="32">
          <cell r="A32" t="str">
            <v>7084</v>
          </cell>
        </row>
        <row r="33">
          <cell r="A33" t="str">
            <v>7082</v>
          </cell>
        </row>
        <row r="34">
          <cell r="A34" t="str">
            <v>7476</v>
          </cell>
        </row>
        <row r="35">
          <cell r="A35" t="str">
            <v>7080</v>
          </cell>
        </row>
        <row r="36">
          <cell r="A36" t="str">
            <v>7080-25</v>
          </cell>
        </row>
        <row r="37">
          <cell r="A37" t="str">
            <v>8576</v>
          </cell>
        </row>
        <row r="38">
          <cell r="A38" t="str">
            <v>7220</v>
          </cell>
        </row>
        <row r="39">
          <cell r="A39" t="str">
            <v>7210</v>
          </cell>
        </row>
        <row r="40">
          <cell r="A40" t="str">
            <v>7230</v>
          </cell>
        </row>
        <row r="41">
          <cell r="A41" t="str">
            <v>7623</v>
          </cell>
        </row>
        <row r="42">
          <cell r="A42" t="str">
            <v>8560</v>
          </cell>
        </row>
        <row r="43">
          <cell r="A43" t="str">
            <v>7805</v>
          </cell>
        </row>
        <row r="44">
          <cell r="A44" t="str">
            <v>7460</v>
          </cell>
        </row>
        <row r="45">
          <cell r="A45" t="str">
            <v>7631</v>
          </cell>
        </row>
        <row r="46">
          <cell r="A46" t="str">
            <v>7410</v>
          </cell>
        </row>
        <row r="47">
          <cell r="A47" t="str">
            <v>7471</v>
          </cell>
        </row>
        <row r="48">
          <cell r="A48" t="str">
            <v>7436</v>
          </cell>
        </row>
        <row r="49">
          <cell r="A49" t="str">
            <v>7420</v>
          </cell>
        </row>
        <row r="50">
          <cell r="A50" t="str">
            <v>7475</v>
          </cell>
        </row>
        <row r="51">
          <cell r="A51" t="str">
            <v>7842</v>
          </cell>
        </row>
        <row r="52">
          <cell r="A52" t="str">
            <v>7621</v>
          </cell>
        </row>
        <row r="53">
          <cell r="A53" t="str">
            <v>7605</v>
          </cell>
        </row>
        <row r="54">
          <cell r="A54" t="str">
            <v>7695</v>
          </cell>
        </row>
        <row r="55">
          <cell r="A55" t="str">
            <v>7430</v>
          </cell>
        </row>
        <row r="56">
          <cell r="A56" t="str">
            <v>7433</v>
          </cell>
        </row>
        <row r="57">
          <cell r="A57" t="str">
            <v>7432</v>
          </cell>
        </row>
        <row r="58">
          <cell r="A58" t="str">
            <v>7462</v>
          </cell>
        </row>
        <row r="59">
          <cell r="A59" t="str">
            <v>7634</v>
          </cell>
        </row>
        <row r="60">
          <cell r="A60" t="str">
            <v>7671</v>
          </cell>
        </row>
        <row r="61">
          <cell r="A61" t="str">
            <v>7450</v>
          </cell>
        </row>
        <row r="62">
          <cell r="A62" t="str">
            <v>7610</v>
          </cell>
        </row>
        <row r="63">
          <cell r="A63" t="str">
            <v>7611</v>
          </cell>
        </row>
        <row r="64">
          <cell r="A64" t="str">
            <v>7620</v>
          </cell>
        </row>
        <row r="65">
          <cell r="A65" t="str">
            <v>7650</v>
          </cell>
        </row>
        <row r="66">
          <cell r="A66" t="str">
            <v>7644</v>
          </cell>
        </row>
        <row r="67">
          <cell r="A67" t="str">
            <v>7642</v>
          </cell>
        </row>
        <row r="68">
          <cell r="A68" t="str">
            <v>7480</v>
          </cell>
        </row>
        <row r="69">
          <cell r="A69" t="str">
            <v>7663</v>
          </cell>
        </row>
        <row r="70">
          <cell r="A70" t="str">
            <v>8590</v>
          </cell>
        </row>
        <row r="71">
          <cell r="A71" t="str">
            <v>8585</v>
          </cell>
        </row>
        <row r="72">
          <cell r="A72" t="str">
            <v>8050</v>
          </cell>
        </row>
        <row r="73">
          <cell r="A73" t="str">
            <v>8070</v>
          </cell>
        </row>
        <row r="74">
          <cell r="A74" t="str">
            <v>8005</v>
          </cell>
        </row>
        <row r="75">
          <cell r="A75" t="str">
            <v/>
          </cell>
        </row>
        <row r="76">
          <cell r="A76" t="str">
            <v/>
          </cell>
        </row>
        <row r="77">
          <cell r="A77" t="str">
            <v/>
          </cell>
        </row>
        <row r="78">
          <cell r="A78" t="str">
            <v/>
          </cell>
        </row>
        <row r="79">
          <cell r="A79" t="str">
            <v/>
          </cell>
        </row>
        <row r="80">
          <cell r="A80" t="str">
            <v/>
          </cell>
        </row>
        <row r="81">
          <cell r="A81" t="str">
            <v/>
          </cell>
        </row>
        <row r="82">
          <cell r="A82" t="str">
            <v/>
          </cell>
        </row>
        <row r="83">
          <cell r="A83" t="str">
            <v/>
          </cell>
        </row>
        <row r="84">
          <cell r="A84" t="str">
            <v/>
          </cell>
        </row>
        <row r="85">
          <cell r="A85" t="str">
            <v/>
          </cell>
        </row>
        <row r="86">
          <cell r="A86" t="str">
            <v/>
          </cell>
        </row>
        <row r="87">
          <cell r="A87" t="str">
            <v/>
          </cell>
        </row>
        <row r="88">
          <cell r="A88" t="str">
            <v/>
          </cell>
        </row>
        <row r="89">
          <cell r="A89" t="str">
            <v/>
          </cell>
        </row>
        <row r="90">
          <cell r="A90" t="str">
            <v/>
          </cell>
        </row>
        <row r="91">
          <cell r="A91" t="str">
            <v/>
          </cell>
        </row>
        <row r="92">
          <cell r="A92" t="str">
            <v/>
          </cell>
        </row>
        <row r="93">
          <cell r="A93" t="str">
            <v/>
          </cell>
        </row>
        <row r="94">
          <cell r="A94" t="str">
            <v/>
          </cell>
        </row>
        <row r="95">
          <cell r="A95" t="str">
            <v/>
          </cell>
        </row>
        <row r="96">
          <cell r="A96" t="str">
            <v/>
          </cell>
        </row>
        <row r="97">
          <cell r="A97" t="str">
            <v/>
          </cell>
        </row>
        <row r="98">
          <cell r="A98" t="str">
            <v/>
          </cell>
        </row>
        <row r="99">
          <cell r="A99" t="str">
            <v/>
          </cell>
        </row>
        <row r="100">
          <cell r="A100" t="str">
            <v/>
          </cell>
        </row>
        <row r="101">
          <cell r="A101" t="str">
            <v/>
          </cell>
        </row>
        <row r="102">
          <cell r="A102" t="str">
            <v/>
          </cell>
        </row>
        <row r="103">
          <cell r="A103" t="str">
            <v/>
          </cell>
        </row>
        <row r="104">
          <cell r="A104" t="str">
            <v/>
          </cell>
        </row>
        <row r="105">
          <cell r="A105" t="str">
            <v/>
          </cell>
        </row>
        <row r="106">
          <cell r="A106" t="str">
            <v/>
          </cell>
        </row>
        <row r="107">
          <cell r="A107" t="str">
            <v/>
          </cell>
        </row>
        <row r="108">
          <cell r="A108" t="str">
            <v/>
          </cell>
        </row>
        <row r="109">
          <cell r="A109" t="str">
            <v/>
          </cell>
        </row>
        <row r="110">
          <cell r="A110" t="str">
            <v/>
          </cell>
        </row>
        <row r="111">
          <cell r="A111" t="str">
            <v/>
          </cell>
        </row>
        <row r="112">
          <cell r="A112" t="str">
            <v/>
          </cell>
        </row>
        <row r="113">
          <cell r="A113" t="str">
            <v/>
          </cell>
        </row>
        <row r="114">
          <cell r="A114" t="str">
            <v/>
          </cell>
        </row>
        <row r="115">
          <cell r="A115" t="str">
            <v/>
          </cell>
        </row>
        <row r="116">
          <cell r="A116" t="str">
            <v/>
          </cell>
        </row>
        <row r="117">
          <cell r="A117" t="str">
            <v/>
          </cell>
        </row>
        <row r="118">
          <cell r="A118" t="str">
            <v/>
          </cell>
        </row>
        <row r="119">
          <cell r="A119" t="str">
            <v/>
          </cell>
        </row>
        <row r="120">
          <cell r="A120" t="str">
            <v/>
          </cell>
        </row>
        <row r="121">
          <cell r="A121" t="str">
            <v/>
          </cell>
        </row>
        <row r="122">
          <cell r="A122" t="str">
            <v/>
          </cell>
        </row>
        <row r="123">
          <cell r="A123" t="str">
            <v/>
          </cell>
        </row>
        <row r="124">
          <cell r="A124" t="str">
            <v/>
          </cell>
        </row>
        <row r="125">
          <cell r="A125" t="str">
            <v/>
          </cell>
        </row>
        <row r="126">
          <cell r="A126" t="str">
            <v/>
          </cell>
        </row>
        <row r="127">
          <cell r="A127" t="str">
            <v/>
          </cell>
        </row>
        <row r="128">
          <cell r="A128" t="str">
            <v/>
          </cell>
        </row>
        <row r="129">
          <cell r="A129" t="str">
            <v/>
          </cell>
        </row>
        <row r="130">
          <cell r="A130" t="str">
            <v/>
          </cell>
        </row>
        <row r="131">
          <cell r="A131" t="str">
            <v/>
          </cell>
        </row>
        <row r="132">
          <cell r="A132" t="str">
            <v/>
          </cell>
        </row>
        <row r="133">
          <cell r="A133" t="str">
            <v/>
          </cell>
        </row>
        <row r="134">
          <cell r="A134" t="str">
            <v/>
          </cell>
        </row>
        <row r="135">
          <cell r="A135" t="str">
            <v/>
          </cell>
        </row>
        <row r="136">
          <cell r="A136" t="str">
            <v/>
          </cell>
        </row>
        <row r="137">
          <cell r="A137" t="str">
            <v/>
          </cell>
        </row>
        <row r="138">
          <cell r="A138" t="str">
            <v/>
          </cell>
        </row>
        <row r="139">
          <cell r="A139" t="str">
            <v/>
          </cell>
        </row>
        <row r="140">
          <cell r="A140" t="str">
            <v/>
          </cell>
        </row>
        <row r="141">
          <cell r="A141" t="str">
            <v/>
          </cell>
        </row>
        <row r="142">
          <cell r="A142" t="str">
            <v/>
          </cell>
        </row>
        <row r="143">
          <cell r="A143" t="str">
            <v/>
          </cell>
        </row>
        <row r="144">
          <cell r="A144" t="str">
            <v/>
          </cell>
        </row>
        <row r="145">
          <cell r="A145" t="str">
            <v/>
          </cell>
        </row>
        <row r="146">
          <cell r="A146" t="str">
            <v/>
          </cell>
        </row>
        <row r="147">
          <cell r="A147" t="str">
            <v/>
          </cell>
        </row>
      </sheetData>
      <sheetData sheetId="27" refreshError="1">
        <row r="1">
          <cell r="A1" t="str">
            <v/>
          </cell>
        </row>
        <row r="2">
          <cell r="A2" t="str">
            <v/>
          </cell>
        </row>
        <row r="3">
          <cell r="A3" t="str">
            <v/>
          </cell>
        </row>
        <row r="4">
          <cell r="A4" t="str">
            <v/>
          </cell>
        </row>
        <row r="5">
          <cell r="A5" t="str">
            <v/>
          </cell>
        </row>
        <row r="6">
          <cell r="A6" t="str">
            <v/>
          </cell>
        </row>
        <row r="7">
          <cell r="A7" t="str">
            <v/>
          </cell>
        </row>
        <row r="8">
          <cell r="A8" t="str">
            <v/>
          </cell>
        </row>
        <row r="9">
          <cell r="A9" t="str">
            <v/>
          </cell>
        </row>
        <row r="10">
          <cell r="A10" t="str">
            <v/>
          </cell>
        </row>
        <row r="11">
          <cell r="A11" t="str">
            <v/>
          </cell>
        </row>
        <row r="12">
          <cell r="A12" t="str">
            <v/>
          </cell>
        </row>
        <row r="13">
          <cell r="A13" t="str">
            <v/>
          </cell>
        </row>
        <row r="14">
          <cell r="A14" t="str">
            <v/>
          </cell>
        </row>
        <row r="15">
          <cell r="A15" t="str">
            <v/>
          </cell>
        </row>
        <row r="16">
          <cell r="A16" t="str">
            <v/>
          </cell>
        </row>
        <row r="17">
          <cell r="A17" t="str">
            <v/>
          </cell>
        </row>
        <row r="18">
          <cell r="A18" t="str">
            <v/>
          </cell>
        </row>
        <row r="19">
          <cell r="A19" t="str">
            <v/>
          </cell>
        </row>
        <row r="20">
          <cell r="A20" t="str">
            <v/>
          </cell>
        </row>
        <row r="21">
          <cell r="A21" t="str">
            <v/>
          </cell>
        </row>
        <row r="22">
          <cell r="A22" t="str">
            <v/>
          </cell>
        </row>
        <row r="23">
          <cell r="A23" t="str">
            <v/>
          </cell>
        </row>
        <row r="24">
          <cell r="A24" t="str">
            <v/>
          </cell>
        </row>
        <row r="25">
          <cell r="A25" t="str">
            <v/>
          </cell>
        </row>
        <row r="26">
          <cell r="A26" t="str">
            <v/>
          </cell>
        </row>
        <row r="27">
          <cell r="A27" t="str">
            <v/>
          </cell>
        </row>
        <row r="28">
          <cell r="A28" t="str">
            <v/>
          </cell>
        </row>
        <row r="29">
          <cell r="A29" t="str">
            <v/>
          </cell>
        </row>
        <row r="30">
          <cell r="A30" t="str">
            <v/>
          </cell>
        </row>
        <row r="31">
          <cell r="A31" t="str">
            <v/>
          </cell>
        </row>
        <row r="32">
          <cell r="A32" t="str">
            <v/>
          </cell>
        </row>
        <row r="33">
          <cell r="A33" t="str">
            <v/>
          </cell>
        </row>
        <row r="34">
          <cell r="A34" t="str">
            <v/>
          </cell>
        </row>
        <row r="35">
          <cell r="A35" t="str">
            <v/>
          </cell>
        </row>
        <row r="36">
          <cell r="A36" t="str">
            <v/>
          </cell>
        </row>
        <row r="37">
          <cell r="A37" t="str">
            <v/>
          </cell>
        </row>
        <row r="38">
          <cell r="A38" t="str">
            <v/>
          </cell>
        </row>
        <row r="39">
          <cell r="A39" t="str">
            <v/>
          </cell>
        </row>
        <row r="40">
          <cell r="A40" t="str">
            <v/>
          </cell>
        </row>
        <row r="41">
          <cell r="A41" t="str">
            <v/>
          </cell>
        </row>
        <row r="42">
          <cell r="A42" t="str">
            <v/>
          </cell>
        </row>
        <row r="43">
          <cell r="A43" t="str">
            <v/>
          </cell>
        </row>
        <row r="44">
          <cell r="A44" t="str">
            <v/>
          </cell>
        </row>
        <row r="45">
          <cell r="A45" t="str">
            <v/>
          </cell>
        </row>
        <row r="46">
          <cell r="A46" t="str">
            <v/>
          </cell>
        </row>
        <row r="47">
          <cell r="A47" t="str">
            <v/>
          </cell>
        </row>
        <row r="48">
          <cell r="A48" t="str">
            <v/>
          </cell>
        </row>
        <row r="49">
          <cell r="A49" t="str">
            <v/>
          </cell>
        </row>
        <row r="50">
          <cell r="A50" t="str">
            <v/>
          </cell>
        </row>
        <row r="51">
          <cell r="A51" t="str">
            <v/>
          </cell>
        </row>
        <row r="52">
          <cell r="A52" t="str">
            <v/>
          </cell>
        </row>
        <row r="53">
          <cell r="A53" t="str">
            <v/>
          </cell>
        </row>
        <row r="54">
          <cell r="A54" t="str">
            <v/>
          </cell>
        </row>
        <row r="55">
          <cell r="A55" t="str">
            <v/>
          </cell>
        </row>
        <row r="56">
          <cell r="A56" t="str">
            <v/>
          </cell>
        </row>
        <row r="57">
          <cell r="A57" t="str">
            <v/>
          </cell>
        </row>
        <row r="58">
          <cell r="A58" t="str">
            <v/>
          </cell>
        </row>
        <row r="59">
          <cell r="A59" t="str">
            <v/>
          </cell>
        </row>
        <row r="60">
          <cell r="A60" t="str">
            <v/>
          </cell>
        </row>
        <row r="61">
          <cell r="A61" t="str">
            <v/>
          </cell>
        </row>
        <row r="62">
          <cell r="A62" t="str">
            <v/>
          </cell>
        </row>
        <row r="63">
          <cell r="A63" t="str">
            <v/>
          </cell>
        </row>
        <row r="64">
          <cell r="A64" t="str">
            <v/>
          </cell>
        </row>
        <row r="65">
          <cell r="A65" t="str">
            <v/>
          </cell>
        </row>
        <row r="66">
          <cell r="A66" t="str">
            <v/>
          </cell>
        </row>
        <row r="67">
          <cell r="A67" t="str">
            <v/>
          </cell>
        </row>
        <row r="68">
          <cell r="A68" t="str">
            <v/>
          </cell>
        </row>
        <row r="69">
          <cell r="A69" t="str">
            <v/>
          </cell>
        </row>
        <row r="70">
          <cell r="A70" t="str">
            <v/>
          </cell>
        </row>
        <row r="71">
          <cell r="A71" t="str">
            <v/>
          </cell>
        </row>
        <row r="72">
          <cell r="A72" t="str">
            <v/>
          </cell>
        </row>
        <row r="73">
          <cell r="A73" t="str">
            <v/>
          </cell>
        </row>
        <row r="74">
          <cell r="A74" t="str">
            <v/>
          </cell>
        </row>
        <row r="75">
          <cell r="A75" t="str">
            <v/>
          </cell>
        </row>
        <row r="76">
          <cell r="A76" t="str">
            <v/>
          </cell>
        </row>
        <row r="77">
          <cell r="A77" t="str">
            <v/>
          </cell>
        </row>
        <row r="78">
          <cell r="A78" t="str">
            <v/>
          </cell>
        </row>
        <row r="79">
          <cell r="A79" t="str">
            <v/>
          </cell>
        </row>
        <row r="80">
          <cell r="A80" t="str">
            <v/>
          </cell>
        </row>
        <row r="81">
          <cell r="A81" t="str">
            <v/>
          </cell>
        </row>
        <row r="82">
          <cell r="A82" t="str">
            <v/>
          </cell>
        </row>
        <row r="83">
          <cell r="A83" t="str">
            <v/>
          </cell>
        </row>
        <row r="84">
          <cell r="A84" t="str">
            <v/>
          </cell>
        </row>
        <row r="85">
          <cell r="A85" t="str">
            <v/>
          </cell>
        </row>
        <row r="86">
          <cell r="A86" t="str">
            <v/>
          </cell>
        </row>
        <row r="87">
          <cell r="A87" t="str">
            <v/>
          </cell>
        </row>
        <row r="88">
          <cell r="A88" t="str">
            <v/>
          </cell>
        </row>
        <row r="89">
          <cell r="A89" t="str">
            <v/>
          </cell>
        </row>
        <row r="90">
          <cell r="A90" t="str">
            <v/>
          </cell>
        </row>
        <row r="91">
          <cell r="A91" t="str">
            <v/>
          </cell>
        </row>
        <row r="92">
          <cell r="A92" t="str">
            <v/>
          </cell>
        </row>
        <row r="93">
          <cell r="A93" t="str">
            <v/>
          </cell>
        </row>
        <row r="94">
          <cell r="A94" t="str">
            <v/>
          </cell>
        </row>
        <row r="95">
          <cell r="A95" t="str">
            <v/>
          </cell>
        </row>
        <row r="96">
          <cell r="A96" t="str">
            <v/>
          </cell>
        </row>
        <row r="97">
          <cell r="A97" t="str">
            <v/>
          </cell>
        </row>
        <row r="98">
          <cell r="A98" t="str">
            <v/>
          </cell>
        </row>
        <row r="99">
          <cell r="A99" t="str">
            <v/>
          </cell>
        </row>
        <row r="100">
          <cell r="A100" t="str">
            <v/>
          </cell>
        </row>
        <row r="101">
          <cell r="A101" t="str">
            <v/>
          </cell>
        </row>
        <row r="102">
          <cell r="A102" t="str">
            <v/>
          </cell>
        </row>
        <row r="103">
          <cell r="A103" t="str">
            <v/>
          </cell>
        </row>
        <row r="104">
          <cell r="A104" t="str">
            <v/>
          </cell>
        </row>
        <row r="105">
          <cell r="A105" t="str">
            <v/>
          </cell>
        </row>
        <row r="106">
          <cell r="A106" t="str">
            <v/>
          </cell>
        </row>
        <row r="107">
          <cell r="A107" t="str">
            <v/>
          </cell>
        </row>
        <row r="108">
          <cell r="A108" t="str">
            <v/>
          </cell>
        </row>
        <row r="109">
          <cell r="A109" t="str">
            <v/>
          </cell>
        </row>
        <row r="110">
          <cell r="A110" t="str">
            <v/>
          </cell>
        </row>
        <row r="111">
          <cell r="A111" t="str">
            <v/>
          </cell>
        </row>
        <row r="112">
          <cell r="A112" t="str">
            <v/>
          </cell>
        </row>
        <row r="113">
          <cell r="A113" t="str">
            <v/>
          </cell>
        </row>
        <row r="114">
          <cell r="A114" t="str">
            <v/>
          </cell>
        </row>
        <row r="115">
          <cell r="A115" t="str">
            <v/>
          </cell>
        </row>
        <row r="116">
          <cell r="A116" t="str">
            <v/>
          </cell>
        </row>
        <row r="117">
          <cell r="A117" t="str">
            <v/>
          </cell>
        </row>
        <row r="118">
          <cell r="A118" t="str">
            <v/>
          </cell>
        </row>
        <row r="119">
          <cell r="A119" t="str">
            <v/>
          </cell>
        </row>
        <row r="120">
          <cell r="A120" t="str">
            <v/>
          </cell>
        </row>
        <row r="121">
          <cell r="A121" t="str">
            <v/>
          </cell>
        </row>
        <row r="122">
          <cell r="A122" t="str">
            <v/>
          </cell>
        </row>
        <row r="123">
          <cell r="A123" t="str">
            <v/>
          </cell>
        </row>
        <row r="124">
          <cell r="A124" t="str">
            <v/>
          </cell>
        </row>
        <row r="125">
          <cell r="A125" t="str">
            <v/>
          </cell>
        </row>
        <row r="126">
          <cell r="A126" t="str">
            <v/>
          </cell>
        </row>
        <row r="127">
          <cell r="A127" t="str">
            <v/>
          </cell>
        </row>
        <row r="128">
          <cell r="A128" t="str">
            <v/>
          </cell>
        </row>
        <row r="129">
          <cell r="A129" t="str">
            <v/>
          </cell>
        </row>
        <row r="130">
          <cell r="A130" t="str">
            <v/>
          </cell>
        </row>
        <row r="131">
          <cell r="A131" t="str">
            <v/>
          </cell>
        </row>
        <row r="132">
          <cell r="A132" t="str">
            <v/>
          </cell>
        </row>
        <row r="133">
          <cell r="A133" t="str">
            <v/>
          </cell>
        </row>
        <row r="134">
          <cell r="A134" t="str">
            <v/>
          </cell>
        </row>
        <row r="135">
          <cell r="A135" t="str">
            <v/>
          </cell>
        </row>
        <row r="136">
          <cell r="A136" t="str">
            <v/>
          </cell>
        </row>
        <row r="137">
          <cell r="A137" t="str">
            <v/>
          </cell>
        </row>
        <row r="138">
          <cell r="A138" t="str">
            <v/>
          </cell>
        </row>
        <row r="139">
          <cell r="A139" t="str">
            <v/>
          </cell>
        </row>
        <row r="140">
          <cell r="A140" t="str">
            <v/>
          </cell>
        </row>
        <row r="141">
          <cell r="A141" t="str">
            <v/>
          </cell>
        </row>
        <row r="142">
          <cell r="A142" t="str">
            <v/>
          </cell>
        </row>
        <row r="143">
          <cell r="A143" t="str">
            <v/>
          </cell>
        </row>
        <row r="144">
          <cell r="A144" t="str">
            <v/>
          </cell>
        </row>
        <row r="145">
          <cell r="A145" t="str">
            <v/>
          </cell>
        </row>
        <row r="146">
          <cell r="A146" t="str">
            <v/>
          </cell>
        </row>
        <row r="147">
          <cell r="A147" t="str">
            <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
      <sheetName val="Loan Amortization Schedule"/>
      <sheetName val="Ops Data"/>
    </sheetNames>
    <sheetDataSet>
      <sheetData sheetId="0">
        <row r="7">
          <cell r="B7" t="str">
            <v>Unit</v>
          </cell>
          <cell r="C7" t="str">
            <v>Space #</v>
          </cell>
          <cell r="D7" t="str">
            <v>Ownsp</v>
          </cell>
          <cell r="E7" t="str">
            <v>Amount</v>
          </cell>
          <cell r="F7" t="str">
            <v>Fee</v>
          </cell>
          <cell r="G7" t="str">
            <v>Pmt</v>
          </cell>
          <cell r="H7" t="str">
            <v>Off</v>
          </cell>
          <cell r="I7" t="str">
            <v>Remaining</v>
          </cell>
        </row>
        <row r="8">
          <cell r="B8" t="str">
            <v>0101</v>
          </cell>
          <cell r="C8" t="str">
            <v>01</v>
          </cell>
          <cell r="D8">
            <v>1.6902999999999999</v>
          </cell>
          <cell r="E8">
            <v>5916.05</v>
          </cell>
          <cell r="H8">
            <v>5916.05</v>
          </cell>
        </row>
        <row r="9">
          <cell r="B9" t="str">
            <v>0102</v>
          </cell>
          <cell r="C9" t="str">
            <v>01</v>
          </cell>
          <cell r="D9">
            <v>1.1618999999999999</v>
          </cell>
          <cell r="E9">
            <v>4066.65</v>
          </cell>
          <cell r="H9">
            <v>4066.65</v>
          </cell>
        </row>
        <row r="10">
          <cell r="B10" t="str">
            <v>0103</v>
          </cell>
          <cell r="C10" t="str">
            <v>01</v>
          </cell>
          <cell r="D10">
            <v>1.5659000000000001</v>
          </cell>
          <cell r="E10">
            <v>5480.65</v>
          </cell>
          <cell r="H10">
            <v>5480.65</v>
          </cell>
        </row>
        <row r="11">
          <cell r="B11" t="str">
            <v>0104</v>
          </cell>
          <cell r="C11" t="str">
            <v>01</v>
          </cell>
          <cell r="D11">
            <v>1.6548</v>
          </cell>
          <cell r="E11">
            <v>5791.8</v>
          </cell>
          <cell r="F11">
            <v>96</v>
          </cell>
          <cell r="G11">
            <v>113.32321725323305</v>
          </cell>
          <cell r="I11">
            <v>5791.8</v>
          </cell>
        </row>
        <row r="12">
          <cell r="B12" t="str">
            <v>0105</v>
          </cell>
          <cell r="C12" t="str">
            <v>01</v>
          </cell>
          <cell r="D12">
            <v>1.6533</v>
          </cell>
          <cell r="E12">
            <v>5786.55</v>
          </cell>
          <cell r="H12">
            <v>5786.55</v>
          </cell>
        </row>
        <row r="13">
          <cell r="B13" t="str">
            <v>0106</v>
          </cell>
          <cell r="C13" t="str">
            <v>01</v>
          </cell>
          <cell r="D13">
            <v>1.6548</v>
          </cell>
          <cell r="E13">
            <v>5791.8</v>
          </cell>
          <cell r="F13">
            <v>96</v>
          </cell>
          <cell r="G13">
            <v>113.32321725323305</v>
          </cell>
          <cell r="I13">
            <v>5791.8</v>
          </cell>
        </row>
        <row r="14">
          <cell r="B14" t="str">
            <v>0107</v>
          </cell>
          <cell r="C14" t="str">
            <v>01</v>
          </cell>
          <cell r="D14">
            <v>1.6103000000000001</v>
          </cell>
          <cell r="E14">
            <v>5636.05</v>
          </cell>
          <cell r="H14">
            <v>5636.05</v>
          </cell>
        </row>
        <row r="15">
          <cell r="B15" t="str">
            <v>0108</v>
          </cell>
          <cell r="C15" t="str">
            <v>01</v>
          </cell>
          <cell r="D15">
            <v>1.6977</v>
          </cell>
          <cell r="E15">
            <v>5941.95</v>
          </cell>
          <cell r="H15">
            <v>5941.95</v>
          </cell>
        </row>
        <row r="16">
          <cell r="B16" t="str">
            <v>0109</v>
          </cell>
          <cell r="C16" t="str">
            <v>01</v>
          </cell>
          <cell r="D16">
            <v>2.0499000000000001</v>
          </cell>
          <cell r="E16">
            <v>7174.65</v>
          </cell>
          <cell r="F16">
            <v>96</v>
          </cell>
          <cell r="G16">
            <v>140.38026531750205</v>
          </cell>
          <cell r="I16">
            <v>7174.65</v>
          </cell>
        </row>
        <row r="17">
          <cell r="B17" t="str">
            <v>0110</v>
          </cell>
          <cell r="C17" t="str">
            <v>01</v>
          </cell>
          <cell r="D17">
            <v>1.8915999999999999</v>
          </cell>
          <cell r="E17">
            <v>6620.6</v>
          </cell>
          <cell r="F17">
            <v>96</v>
          </cell>
          <cell r="G17">
            <v>129.53964089691542</v>
          </cell>
          <cell r="I17">
            <v>6620.6</v>
          </cell>
        </row>
        <row r="18">
          <cell r="B18" t="str">
            <v>0111</v>
          </cell>
          <cell r="C18" t="str">
            <v>01</v>
          </cell>
          <cell r="D18">
            <v>1.6977</v>
          </cell>
          <cell r="E18">
            <v>5941.95</v>
          </cell>
          <cell r="F18">
            <v>96</v>
          </cell>
          <cell r="G18">
            <v>116.26107440827515</v>
          </cell>
          <cell r="I18">
            <v>5941.95</v>
          </cell>
        </row>
        <row r="19">
          <cell r="B19" t="str">
            <v>0112</v>
          </cell>
          <cell r="C19" t="str">
            <v>01</v>
          </cell>
          <cell r="D19">
            <v>1.1618999999999999</v>
          </cell>
          <cell r="E19">
            <v>4066.65</v>
          </cell>
          <cell r="F19">
            <v>96</v>
          </cell>
          <cell r="G19">
            <v>79.568676653693174</v>
          </cell>
          <cell r="I19">
            <v>4066.65</v>
          </cell>
        </row>
        <row r="20">
          <cell r="B20" t="str">
            <v>0113</v>
          </cell>
          <cell r="C20" t="str">
            <v>01</v>
          </cell>
          <cell r="D20">
            <v>1.5954999999999999</v>
          </cell>
          <cell r="E20">
            <v>5584.25</v>
          </cell>
          <cell r="H20">
            <v>5584.25</v>
          </cell>
        </row>
        <row r="21">
          <cell r="B21" t="str">
            <v>0114</v>
          </cell>
          <cell r="C21" t="str">
            <v>02</v>
          </cell>
          <cell r="D21">
            <v>1.5807</v>
          </cell>
          <cell r="E21">
            <v>5532.45</v>
          </cell>
          <cell r="H21">
            <v>5532.45</v>
          </cell>
        </row>
        <row r="22">
          <cell r="B22" t="str">
            <v>0115</v>
          </cell>
          <cell r="C22" t="str">
            <v>01</v>
          </cell>
          <cell r="D22">
            <v>1.64</v>
          </cell>
          <cell r="E22">
            <v>5740</v>
          </cell>
          <cell r="F22">
            <v>96</v>
          </cell>
          <cell r="G22">
            <v>112.30969077550289</v>
          </cell>
          <cell r="I22">
            <v>5740</v>
          </cell>
        </row>
        <row r="23">
          <cell r="B23" t="str">
            <v>0116</v>
          </cell>
          <cell r="C23" t="str">
            <v>01</v>
          </cell>
          <cell r="D23">
            <v>1.6251</v>
          </cell>
          <cell r="E23">
            <v>5687.85</v>
          </cell>
          <cell r="H23">
            <v>5687.85</v>
          </cell>
        </row>
        <row r="24">
          <cell r="B24" t="str">
            <v>0117</v>
          </cell>
          <cell r="C24" t="str">
            <v>01</v>
          </cell>
          <cell r="D24">
            <v>1.5954999999999999</v>
          </cell>
          <cell r="E24">
            <v>5584.25</v>
          </cell>
          <cell r="H24">
            <v>5584.25</v>
          </cell>
        </row>
        <row r="25">
          <cell r="B25" t="str">
            <v>0118</v>
          </cell>
          <cell r="C25" t="str">
            <v>01</v>
          </cell>
          <cell r="D25">
            <v>1.6251</v>
          </cell>
          <cell r="E25">
            <v>5687.85</v>
          </cell>
          <cell r="F25">
            <v>96</v>
          </cell>
          <cell r="G25">
            <v>111.28931614589619</v>
          </cell>
          <cell r="I25">
            <v>5687.85</v>
          </cell>
        </row>
        <row r="26">
          <cell r="B26" t="str">
            <v>0119</v>
          </cell>
          <cell r="C26" t="str">
            <v>01</v>
          </cell>
          <cell r="D26">
            <v>2.0499000000000001</v>
          </cell>
          <cell r="E26">
            <v>7174.65</v>
          </cell>
          <cell r="H26">
            <v>7174.65</v>
          </cell>
        </row>
        <row r="27">
          <cell r="B27" t="str">
            <v>0120</v>
          </cell>
          <cell r="C27" t="str">
            <v>01</v>
          </cell>
          <cell r="D27">
            <v>1.8352999999999999</v>
          </cell>
          <cell r="E27">
            <v>6423.55</v>
          </cell>
          <cell r="H27">
            <v>6423.55</v>
          </cell>
        </row>
        <row r="28">
          <cell r="B28" t="str">
            <v>0201</v>
          </cell>
          <cell r="C28" t="str">
            <v>01</v>
          </cell>
          <cell r="D28">
            <v>1.7051000000000001</v>
          </cell>
          <cell r="E28">
            <v>5967.85</v>
          </cell>
          <cell r="F28">
            <v>96</v>
          </cell>
          <cell r="G28">
            <v>116.76783764714024</v>
          </cell>
          <cell r="I28">
            <v>5967.85</v>
          </cell>
        </row>
        <row r="29">
          <cell r="B29" t="str">
            <v>0202</v>
          </cell>
          <cell r="C29" t="str">
            <v>01</v>
          </cell>
          <cell r="D29">
            <v>1.1767000000000001</v>
          </cell>
          <cell r="E29">
            <v>4118.45</v>
          </cell>
          <cell r="F29">
            <v>96</v>
          </cell>
          <cell r="G29">
            <v>80.582203131423313</v>
          </cell>
          <cell r="I29">
            <v>4118.45</v>
          </cell>
        </row>
        <row r="30">
          <cell r="B30" t="str">
            <v>0203</v>
          </cell>
          <cell r="C30" t="str">
            <v>01</v>
          </cell>
          <cell r="D30">
            <v>1.5807</v>
          </cell>
          <cell r="E30">
            <v>5532.45</v>
          </cell>
          <cell r="F30">
            <v>96</v>
          </cell>
          <cell r="G30">
            <v>108.24873671270575</v>
          </cell>
          <cell r="I30">
            <v>5532.45</v>
          </cell>
        </row>
        <row r="31">
          <cell r="B31" t="str">
            <v>0204</v>
          </cell>
          <cell r="C31" t="str">
            <v>01</v>
          </cell>
          <cell r="D31">
            <v>1.6696</v>
          </cell>
          <cell r="E31">
            <v>5843.6</v>
          </cell>
          <cell r="F31">
            <v>96</v>
          </cell>
          <cell r="G31">
            <v>114.33674373096319</v>
          </cell>
          <cell r="I31">
            <v>5843.6</v>
          </cell>
        </row>
        <row r="32">
          <cell r="B32" t="str">
            <v>0205</v>
          </cell>
          <cell r="C32" t="str">
            <v>01</v>
          </cell>
          <cell r="D32">
            <v>1.6680999999999999</v>
          </cell>
          <cell r="E32">
            <v>5838.35</v>
          </cell>
          <cell r="H32">
            <v>5838.35</v>
          </cell>
        </row>
        <row r="33">
          <cell r="B33" t="str">
            <v>0206</v>
          </cell>
          <cell r="C33" t="str">
            <v>01</v>
          </cell>
          <cell r="D33">
            <v>1.6696</v>
          </cell>
          <cell r="E33">
            <v>5843.6</v>
          </cell>
          <cell r="F33">
            <v>96</v>
          </cell>
          <cell r="G33">
            <v>114.33674373096319</v>
          </cell>
          <cell r="I33">
            <v>5843.6</v>
          </cell>
        </row>
        <row r="34">
          <cell r="B34" t="str">
            <v>0207</v>
          </cell>
          <cell r="C34" t="str">
            <v>01</v>
          </cell>
          <cell r="D34">
            <v>1.6251</v>
          </cell>
          <cell r="E34">
            <v>5687.85</v>
          </cell>
          <cell r="H34">
            <v>5687.85</v>
          </cell>
        </row>
        <row r="35">
          <cell r="B35" t="str">
            <v>0208</v>
          </cell>
          <cell r="C35" t="str">
            <v>01</v>
          </cell>
          <cell r="D35">
            <v>1.7124999999999999</v>
          </cell>
          <cell r="E35">
            <v>5993.75</v>
          </cell>
          <cell r="F35">
            <v>96</v>
          </cell>
          <cell r="G35">
            <v>117.27460088600532</v>
          </cell>
          <cell r="I35">
            <v>5993.75</v>
          </cell>
        </row>
        <row r="36">
          <cell r="B36" t="str">
            <v>0209</v>
          </cell>
          <cell r="C36" t="str">
            <v>01</v>
          </cell>
          <cell r="D36">
            <v>2.0647000000000002</v>
          </cell>
          <cell r="E36">
            <v>7226.45</v>
          </cell>
          <cell r="H36">
            <v>7226.45</v>
          </cell>
        </row>
        <row r="37">
          <cell r="B37" t="str">
            <v>0210</v>
          </cell>
          <cell r="C37" t="str">
            <v>01</v>
          </cell>
          <cell r="D37">
            <v>1.9064000000000001</v>
          </cell>
          <cell r="E37">
            <v>6672.4</v>
          </cell>
          <cell r="F37">
            <v>96</v>
          </cell>
          <cell r="G37">
            <v>130.55316737464554</v>
          </cell>
          <cell r="I37">
            <v>6672.4</v>
          </cell>
        </row>
        <row r="38">
          <cell r="B38" t="str">
            <v>0211</v>
          </cell>
          <cell r="C38" t="str">
            <v>01</v>
          </cell>
          <cell r="D38">
            <v>1.7124999999999999</v>
          </cell>
          <cell r="E38">
            <v>5993.75</v>
          </cell>
          <cell r="H38">
            <v>5993.75</v>
          </cell>
        </row>
        <row r="39">
          <cell r="B39" t="str">
            <v>0212</v>
          </cell>
          <cell r="C39" t="str">
            <v>01</v>
          </cell>
          <cell r="D39">
            <v>1.1767000000000001</v>
          </cell>
          <cell r="E39">
            <v>4118.45</v>
          </cell>
          <cell r="F39">
            <v>96</v>
          </cell>
          <cell r="G39">
            <v>80.582203131423313</v>
          </cell>
          <cell r="I39">
            <v>4118.45</v>
          </cell>
        </row>
        <row r="40">
          <cell r="B40" t="str">
            <v>0213</v>
          </cell>
          <cell r="C40" t="str">
            <v>01</v>
          </cell>
          <cell r="D40">
            <v>1.6103000000000001</v>
          </cell>
          <cell r="E40">
            <v>5636.05</v>
          </cell>
          <cell r="F40">
            <v>96</v>
          </cell>
          <cell r="G40">
            <v>110.27578966816604</v>
          </cell>
          <cell r="I40">
            <v>5636.05</v>
          </cell>
        </row>
        <row r="41">
          <cell r="B41" t="str">
            <v>0214</v>
          </cell>
          <cell r="C41" t="str">
            <v>01</v>
          </cell>
          <cell r="D41">
            <v>1.5994999999999999</v>
          </cell>
          <cell r="E41">
            <v>5598.25</v>
          </cell>
          <cell r="H41">
            <v>5598.25</v>
          </cell>
        </row>
        <row r="42">
          <cell r="B42" t="str">
            <v>0215</v>
          </cell>
          <cell r="C42" t="str">
            <v>01</v>
          </cell>
          <cell r="D42">
            <v>1.6548</v>
          </cell>
          <cell r="E42">
            <v>5791.8</v>
          </cell>
          <cell r="H42">
            <v>5791.8</v>
          </cell>
        </row>
        <row r="43">
          <cell r="B43" t="str">
            <v>0216</v>
          </cell>
          <cell r="C43" t="str">
            <v>01</v>
          </cell>
          <cell r="D43">
            <v>1.64</v>
          </cell>
          <cell r="E43">
            <v>5740</v>
          </cell>
          <cell r="H43">
            <v>5740</v>
          </cell>
        </row>
        <row r="44">
          <cell r="B44" t="str">
            <v>0217</v>
          </cell>
          <cell r="C44" t="str">
            <v>01</v>
          </cell>
          <cell r="D44">
            <v>1.6103000000000001</v>
          </cell>
          <cell r="E44">
            <v>5636.05</v>
          </cell>
          <cell r="F44">
            <v>96</v>
          </cell>
          <cell r="G44">
            <v>110.27578966816604</v>
          </cell>
          <cell r="I44">
            <v>5636.05</v>
          </cell>
        </row>
        <row r="45">
          <cell r="B45" t="str">
            <v>0218</v>
          </cell>
          <cell r="C45" t="str">
            <v>01</v>
          </cell>
          <cell r="D45">
            <v>1.64</v>
          </cell>
          <cell r="E45">
            <v>5740</v>
          </cell>
          <cell r="H45">
            <v>5740</v>
          </cell>
        </row>
        <row r="46">
          <cell r="B46" t="str">
            <v>0219</v>
          </cell>
          <cell r="C46" t="str">
            <v>01</v>
          </cell>
          <cell r="D46">
            <v>2.0647000000000002</v>
          </cell>
          <cell r="E46">
            <v>7226.45</v>
          </cell>
          <cell r="F46">
            <v>96</v>
          </cell>
          <cell r="G46">
            <v>141.39379179523223</v>
          </cell>
          <cell r="I46">
            <v>7226.45</v>
          </cell>
        </row>
        <row r="47">
          <cell r="B47" t="str">
            <v>0220</v>
          </cell>
          <cell r="C47" t="str">
            <v>02</v>
          </cell>
          <cell r="D47">
            <v>1.8501000000000001</v>
          </cell>
          <cell r="E47">
            <v>6475.35</v>
          </cell>
          <cell r="F47">
            <v>96</v>
          </cell>
          <cell r="G47">
            <v>126.69765786814507</v>
          </cell>
          <cell r="I47">
            <v>6475.35</v>
          </cell>
        </row>
        <row r="48">
          <cell r="B48" t="str">
            <v>0301</v>
          </cell>
          <cell r="C48" t="str">
            <v>01</v>
          </cell>
          <cell r="D48">
            <v>1.7199</v>
          </cell>
          <cell r="E48">
            <v>6019.65</v>
          </cell>
          <cell r="H48">
            <v>6019.65</v>
          </cell>
        </row>
        <row r="49">
          <cell r="B49" t="str">
            <v>0302</v>
          </cell>
          <cell r="C49" t="str">
            <v>01</v>
          </cell>
          <cell r="D49">
            <v>1.1915</v>
          </cell>
          <cell r="E49">
            <v>4170.25</v>
          </cell>
          <cell r="F49">
            <v>96</v>
          </cell>
          <cell r="G49">
            <v>81.595729609153466</v>
          </cell>
          <cell r="I49">
            <v>4170.25</v>
          </cell>
        </row>
        <row r="50">
          <cell r="B50" t="str">
            <v>0303</v>
          </cell>
          <cell r="C50" t="str">
            <v>01</v>
          </cell>
          <cell r="D50">
            <v>1.5954999999999999</v>
          </cell>
          <cell r="E50">
            <v>5584.25</v>
          </cell>
          <cell r="H50">
            <v>5584.25</v>
          </cell>
        </row>
        <row r="51">
          <cell r="B51" t="str">
            <v>0304</v>
          </cell>
          <cell r="C51" t="str">
            <v>01</v>
          </cell>
          <cell r="D51">
            <v>1.6843999999999999</v>
          </cell>
          <cell r="E51">
            <v>5895.4</v>
          </cell>
          <cell r="F51">
            <v>96</v>
          </cell>
          <cell r="G51">
            <v>115.35027020869333</v>
          </cell>
          <cell r="I51">
            <v>5895.4</v>
          </cell>
        </row>
        <row r="52">
          <cell r="B52" t="str">
            <v>0305</v>
          </cell>
          <cell r="C52" t="str">
            <v>01</v>
          </cell>
          <cell r="D52">
            <v>1.6829000000000001</v>
          </cell>
          <cell r="E52">
            <v>5890.15</v>
          </cell>
          <cell r="H52">
            <v>5890.15</v>
          </cell>
        </row>
        <row r="53">
          <cell r="B53" t="str">
            <v>0306</v>
          </cell>
          <cell r="C53" t="str">
            <v>01</v>
          </cell>
          <cell r="D53">
            <v>1.6843999999999999</v>
          </cell>
          <cell r="E53">
            <v>5895.4</v>
          </cell>
          <cell r="H53">
            <v>5895.4</v>
          </cell>
        </row>
        <row r="54">
          <cell r="B54" t="str">
            <v>0307</v>
          </cell>
          <cell r="C54" t="str">
            <v>01</v>
          </cell>
          <cell r="D54">
            <v>1.64</v>
          </cell>
          <cell r="E54">
            <v>5740</v>
          </cell>
          <cell r="H54">
            <v>5740</v>
          </cell>
        </row>
        <row r="55">
          <cell r="B55" t="str">
            <v>0308</v>
          </cell>
          <cell r="C55" t="str">
            <v>01</v>
          </cell>
          <cell r="D55">
            <v>1.7273000000000001</v>
          </cell>
          <cell r="E55">
            <v>6045.55</v>
          </cell>
          <cell r="H55">
            <v>6045.55</v>
          </cell>
        </row>
        <row r="56">
          <cell r="B56" t="str">
            <v>0309</v>
          </cell>
          <cell r="C56" t="str">
            <v>01</v>
          </cell>
          <cell r="D56">
            <v>2.0794999999999999</v>
          </cell>
          <cell r="E56">
            <v>7278.25</v>
          </cell>
          <cell r="H56">
            <v>7278.25</v>
          </cell>
        </row>
        <row r="57">
          <cell r="B57" t="str">
            <v>0310</v>
          </cell>
          <cell r="C57" t="str">
            <v>01</v>
          </cell>
          <cell r="D57">
            <v>1.9212</v>
          </cell>
          <cell r="E57">
            <v>6724.2</v>
          </cell>
          <cell r="F57">
            <v>96</v>
          </cell>
          <cell r="G57">
            <v>131.56669385237572</v>
          </cell>
          <cell r="I57">
            <v>6724.2</v>
          </cell>
        </row>
        <row r="58">
          <cell r="B58" t="str">
            <v>0311</v>
          </cell>
          <cell r="C58" t="str">
            <v>01</v>
          </cell>
          <cell r="D58">
            <v>1.7273000000000001</v>
          </cell>
          <cell r="E58">
            <v>6045.55</v>
          </cell>
          <cell r="H58">
            <v>6045.55</v>
          </cell>
        </row>
        <row r="59">
          <cell r="B59" t="str">
            <v>0312</v>
          </cell>
          <cell r="C59" t="str">
            <v>01</v>
          </cell>
          <cell r="D59">
            <v>1.1915</v>
          </cell>
          <cell r="E59">
            <v>4170.25</v>
          </cell>
          <cell r="F59">
            <v>96</v>
          </cell>
          <cell r="G59">
            <v>81.595729609153466</v>
          </cell>
          <cell r="I59">
            <v>4170.25</v>
          </cell>
        </row>
        <row r="60">
          <cell r="B60" t="str">
            <v>0313</v>
          </cell>
          <cell r="C60" t="str">
            <v>01</v>
          </cell>
          <cell r="D60">
            <v>1.6251</v>
          </cell>
          <cell r="E60">
            <v>5687.85</v>
          </cell>
          <cell r="H60">
            <v>5687.85</v>
          </cell>
        </row>
        <row r="61">
          <cell r="B61" t="str">
            <v>0314</v>
          </cell>
          <cell r="C61" t="str">
            <v>01</v>
          </cell>
          <cell r="D61">
            <v>1.6103000000000001</v>
          </cell>
          <cell r="E61">
            <v>5636.05</v>
          </cell>
          <cell r="H61">
            <v>5636.05</v>
          </cell>
        </row>
        <row r="62">
          <cell r="B62" t="str">
            <v>0315</v>
          </cell>
          <cell r="C62" t="str">
            <v>01</v>
          </cell>
          <cell r="D62">
            <v>1.6696</v>
          </cell>
          <cell r="E62">
            <v>5843.6</v>
          </cell>
          <cell r="F62">
            <v>96</v>
          </cell>
          <cell r="G62">
            <v>114.33674373096319</v>
          </cell>
          <cell r="I62">
            <v>5843.6</v>
          </cell>
        </row>
        <row r="63">
          <cell r="B63" t="str">
            <v>0316</v>
          </cell>
          <cell r="C63" t="str">
            <v>02</v>
          </cell>
          <cell r="D63">
            <v>1.6548</v>
          </cell>
          <cell r="E63">
            <v>5791.8</v>
          </cell>
          <cell r="H63">
            <v>5791.8</v>
          </cell>
        </row>
        <row r="64">
          <cell r="B64" t="str">
            <v>0317</v>
          </cell>
          <cell r="C64" t="str">
            <v>01</v>
          </cell>
          <cell r="D64">
            <v>1.6251</v>
          </cell>
          <cell r="E64">
            <v>5687.85</v>
          </cell>
          <cell r="H64">
            <v>5687.85</v>
          </cell>
        </row>
        <row r="65">
          <cell r="B65" t="str">
            <v>0318</v>
          </cell>
          <cell r="C65" t="str">
            <v>01</v>
          </cell>
          <cell r="D65">
            <v>1.6548</v>
          </cell>
          <cell r="E65">
            <v>5791.8</v>
          </cell>
          <cell r="F65">
            <v>96</v>
          </cell>
          <cell r="G65">
            <v>113.32321725323305</v>
          </cell>
          <cell r="I65">
            <v>5791.8</v>
          </cell>
        </row>
        <row r="66">
          <cell r="B66" t="str">
            <v>0319</v>
          </cell>
          <cell r="C66" t="str">
            <v>01</v>
          </cell>
          <cell r="D66">
            <v>2.0794999999999999</v>
          </cell>
          <cell r="E66">
            <v>7278.25</v>
          </cell>
          <cell r="H66">
            <v>7278.25</v>
          </cell>
        </row>
        <row r="67">
          <cell r="B67" t="str">
            <v>0320</v>
          </cell>
          <cell r="C67" t="str">
            <v>01</v>
          </cell>
          <cell r="D67">
            <v>1.8649</v>
          </cell>
          <cell r="E67">
            <v>6527.15</v>
          </cell>
          <cell r="H67">
            <v>6527.15</v>
          </cell>
        </row>
      </sheetData>
      <sheetData sheetId="1">
        <row r="5">
          <cell r="D5">
            <v>5791.8</v>
          </cell>
        </row>
        <row r="6">
          <cell r="D6">
            <v>6.5000000000000002E-2</v>
          </cell>
        </row>
        <row r="7">
          <cell r="D7">
            <v>5</v>
          </cell>
        </row>
        <row r="9">
          <cell r="D9">
            <v>40391</v>
          </cell>
        </row>
        <row r="18">
          <cell r="I18">
            <v>5709.8490327467671</v>
          </cell>
        </row>
        <row r="19">
          <cell r="I19">
            <v>5627.4541644209121</v>
          </cell>
        </row>
        <row r="20">
          <cell r="I20">
            <v>5544.612990558292</v>
          </cell>
        </row>
        <row r="21">
          <cell r="I21">
            <v>5461.3230936705831</v>
          </cell>
        </row>
        <row r="22">
          <cell r="I22">
            <v>5377.5820431747325</v>
          </cell>
        </row>
        <row r="23">
          <cell r="I23">
            <v>5293.3873953220291</v>
          </cell>
        </row>
        <row r="24">
          <cell r="I24">
            <v>5208.7366931267907</v>
          </cell>
        </row>
        <row r="25">
          <cell r="I25">
            <v>5123.6274662946607</v>
          </cell>
        </row>
        <row r="26">
          <cell r="I26">
            <v>5038.0572311505239</v>
          </cell>
        </row>
        <row r="27">
          <cell r="I27">
            <v>4952.0234905660227</v>
          </cell>
        </row>
        <row r="28">
          <cell r="I28">
            <v>4865.5237338866891</v>
          </cell>
        </row>
        <row r="29">
          <cell r="I29">
            <v>4778.5554368586754</v>
          </cell>
        </row>
        <row r="30">
          <cell r="I30">
            <v>4691.1160615550934</v>
          </cell>
        </row>
        <row r="31">
          <cell r="I31">
            <v>4603.2030563019507</v>
          </cell>
        </row>
        <row r="32">
          <cell r="I32">
            <v>4514.8138556036865</v>
          </cell>
        </row>
        <row r="33">
          <cell r="I33">
            <v>4425.9458800683069</v>
          </cell>
        </row>
        <row r="34">
          <cell r="I34">
            <v>4336.5965363321102</v>
          </cell>
        </row>
        <row r="35">
          <cell r="I35">
            <v>4246.763216984009</v>
          </cell>
        </row>
        <row r="36">
          <cell r="I36">
            <v>4156.443300489439</v>
          </cell>
        </row>
        <row r="37">
          <cell r="I37">
            <v>4065.6341511138571</v>
          </cell>
        </row>
        <row r="38">
          <cell r="I38">
            <v>3974.3331188458242</v>
          </cell>
        </row>
        <row r="39">
          <cell r="I39">
            <v>3882.5375393196728</v>
          </cell>
        </row>
        <row r="40">
          <cell r="I40">
            <v>3790.2447337377548</v>
          </cell>
        </row>
        <row r="41">
          <cell r="I41">
            <v>3697.4520087922679</v>
          </cell>
        </row>
        <row r="42">
          <cell r="I42">
            <v>3604.1566565866597</v>
          </cell>
        </row>
        <row r="43">
          <cell r="I43">
            <v>3510.3559545566045</v>
          </cell>
        </row>
        <row r="44">
          <cell r="I44">
            <v>3416.0471653905529</v>
          </cell>
        </row>
        <row r="45">
          <cell r="I45">
            <v>3321.227536949852</v>
          </cell>
        </row>
        <row r="46">
          <cell r="I46">
            <v>3225.8943021884306</v>
          </cell>
        </row>
        <row r="47">
          <cell r="I47">
            <v>3130.0446790720516</v>
          </cell>
        </row>
        <row r="48">
          <cell r="I48">
            <v>3033.6758704971253</v>
          </cell>
        </row>
        <row r="49">
          <cell r="I49">
            <v>2936.7850642090848</v>
          </cell>
        </row>
        <row r="50">
          <cell r="I50">
            <v>2839.3694327203175</v>
          </cell>
        </row>
        <row r="51">
          <cell r="I51">
            <v>2741.4261332276528</v>
          </cell>
        </row>
        <row r="52">
          <cell r="I52">
            <v>2642.9523075294028</v>
          </cell>
        </row>
        <row r="53">
          <cell r="I53">
            <v>2543.945081941954</v>
          </cell>
        </row>
        <row r="54">
          <cell r="I54">
            <v>2444.4015672159067</v>
          </cell>
        </row>
        <row r="55">
          <cell r="I55">
            <v>2344.3188584517598</v>
          </cell>
        </row>
        <row r="56">
          <cell r="I56">
            <v>2243.6940350151403</v>
          </cell>
        </row>
        <row r="57">
          <cell r="I57">
            <v>2142.5241604515727</v>
          </cell>
        </row>
        <row r="58">
          <cell r="I58">
            <v>2040.8062824007857</v>
          </cell>
        </row>
        <row r="59">
          <cell r="I59">
            <v>1938.537432510557</v>
          </cell>
        </row>
        <row r="60">
          <cell r="I60">
            <v>1835.7146263500895</v>
          </cell>
        </row>
        <row r="61">
          <cell r="I61">
            <v>1732.3348633229193</v>
          </cell>
        </row>
        <row r="62">
          <cell r="I62">
            <v>1628.3951265793521</v>
          </cell>
        </row>
        <row r="63">
          <cell r="I63">
            <v>1523.8923829284238</v>
          </cell>
        </row>
        <row r="64">
          <cell r="I64">
            <v>1418.8235827493863</v>
          </cell>
        </row>
        <row r="65">
          <cell r="I65">
            <v>1313.1856599027124</v>
          </cell>
        </row>
        <row r="66">
          <cell r="I66">
            <v>1206.975531640619</v>
          </cell>
        </row>
        <row r="67">
          <cell r="I67">
            <v>1100.190098517106</v>
          </cell>
        </row>
        <row r="68">
          <cell r="I68">
            <v>992.82624429750729</v>
          </cell>
        </row>
        <row r="69">
          <cell r="I69">
            <v>884.88083586755238</v>
          </cell>
        </row>
        <row r="70">
          <cell r="I70">
            <v>776.35072314193519</v>
          </cell>
        </row>
        <row r="71">
          <cell r="I71">
            <v>667.23273897238766</v>
          </cell>
        </row>
        <row r="72">
          <cell r="I72">
            <v>557.52369905525507</v>
          </cell>
        </row>
        <row r="73">
          <cell r="I73">
            <v>447.22040183857132</v>
          </cell>
        </row>
        <row r="74">
          <cell r="I74">
            <v>336.31962842863049</v>
          </cell>
        </row>
        <row r="75">
          <cell r="I75">
            <v>224.81814249605253</v>
          </cell>
        </row>
        <row r="76">
          <cell r="I76">
            <v>112.71269018133977</v>
          </cell>
        </row>
        <row r="77">
          <cell r="I77">
            <v>0</v>
          </cell>
        </row>
        <row r="78">
          <cell r="I78">
            <v>0</v>
          </cell>
        </row>
        <row r="79">
          <cell r="I79">
            <v>0</v>
          </cell>
        </row>
        <row r="80">
          <cell r="I80">
            <v>0</v>
          </cell>
        </row>
        <row r="81">
          <cell r="I81">
            <v>0</v>
          </cell>
        </row>
        <row r="82">
          <cell r="I82">
            <v>0</v>
          </cell>
        </row>
        <row r="83">
          <cell r="I83">
            <v>0</v>
          </cell>
        </row>
        <row r="84">
          <cell r="I84">
            <v>0</v>
          </cell>
        </row>
        <row r="85">
          <cell r="I85">
            <v>0</v>
          </cell>
        </row>
        <row r="86">
          <cell r="I86">
            <v>0</v>
          </cell>
        </row>
        <row r="87">
          <cell r="I87">
            <v>0</v>
          </cell>
        </row>
        <row r="88">
          <cell r="I88">
            <v>0</v>
          </cell>
        </row>
        <row r="89">
          <cell r="I89">
            <v>0</v>
          </cell>
        </row>
        <row r="90">
          <cell r="I90">
            <v>0</v>
          </cell>
        </row>
        <row r="91">
          <cell r="I91">
            <v>0</v>
          </cell>
        </row>
        <row r="92">
          <cell r="I92">
            <v>0</v>
          </cell>
        </row>
        <row r="93">
          <cell r="I93">
            <v>0</v>
          </cell>
        </row>
        <row r="94">
          <cell r="I94">
            <v>0</v>
          </cell>
        </row>
        <row r="95">
          <cell r="I95">
            <v>0</v>
          </cell>
        </row>
        <row r="96">
          <cell r="I96">
            <v>0</v>
          </cell>
        </row>
        <row r="97">
          <cell r="I97">
            <v>0</v>
          </cell>
        </row>
        <row r="98">
          <cell r="I98">
            <v>0</v>
          </cell>
        </row>
        <row r="99">
          <cell r="I99">
            <v>0</v>
          </cell>
        </row>
        <row r="100">
          <cell r="I100">
            <v>0</v>
          </cell>
        </row>
        <row r="101">
          <cell r="I101">
            <v>0</v>
          </cell>
        </row>
        <row r="102">
          <cell r="I102">
            <v>0</v>
          </cell>
        </row>
        <row r="103">
          <cell r="I103">
            <v>0</v>
          </cell>
        </row>
        <row r="104">
          <cell r="I104">
            <v>0</v>
          </cell>
        </row>
        <row r="105">
          <cell r="I105">
            <v>0</v>
          </cell>
        </row>
        <row r="106">
          <cell r="I106">
            <v>0</v>
          </cell>
        </row>
        <row r="107">
          <cell r="I107">
            <v>0</v>
          </cell>
        </row>
        <row r="108">
          <cell r="I108">
            <v>0</v>
          </cell>
        </row>
        <row r="109">
          <cell r="I109">
            <v>0</v>
          </cell>
        </row>
        <row r="110">
          <cell r="I110">
            <v>0</v>
          </cell>
        </row>
        <row r="111">
          <cell r="I111">
            <v>0</v>
          </cell>
        </row>
        <row r="112">
          <cell r="I112">
            <v>0</v>
          </cell>
        </row>
        <row r="113">
          <cell r="I113">
            <v>0</v>
          </cell>
        </row>
        <row r="114">
          <cell r="I114">
            <v>0</v>
          </cell>
        </row>
        <row r="115">
          <cell r="I115">
            <v>0</v>
          </cell>
        </row>
        <row r="116">
          <cell r="I116">
            <v>0</v>
          </cell>
        </row>
        <row r="117">
          <cell r="I117">
            <v>0</v>
          </cell>
        </row>
        <row r="118">
          <cell r="I118">
            <v>0</v>
          </cell>
        </row>
        <row r="119">
          <cell r="I119">
            <v>0</v>
          </cell>
        </row>
        <row r="120">
          <cell r="I120">
            <v>0</v>
          </cell>
        </row>
        <row r="121">
          <cell r="I121">
            <v>0</v>
          </cell>
        </row>
        <row r="122">
          <cell r="I122">
            <v>0</v>
          </cell>
        </row>
        <row r="123">
          <cell r="I123">
            <v>0</v>
          </cell>
        </row>
        <row r="124">
          <cell r="I124">
            <v>0</v>
          </cell>
        </row>
        <row r="125">
          <cell r="I125">
            <v>0</v>
          </cell>
        </row>
        <row r="126">
          <cell r="I126">
            <v>0</v>
          </cell>
        </row>
        <row r="127">
          <cell r="I127">
            <v>0</v>
          </cell>
        </row>
        <row r="128">
          <cell r="I128">
            <v>0</v>
          </cell>
        </row>
        <row r="129">
          <cell r="I129">
            <v>0</v>
          </cell>
        </row>
        <row r="130">
          <cell r="I130">
            <v>0</v>
          </cell>
        </row>
        <row r="131">
          <cell r="I131">
            <v>0</v>
          </cell>
        </row>
        <row r="132">
          <cell r="I132">
            <v>0</v>
          </cell>
        </row>
        <row r="133">
          <cell r="I133">
            <v>0</v>
          </cell>
        </row>
        <row r="134">
          <cell r="I134">
            <v>0</v>
          </cell>
        </row>
        <row r="135">
          <cell r="I135">
            <v>0</v>
          </cell>
        </row>
        <row r="136">
          <cell r="I136">
            <v>0</v>
          </cell>
        </row>
        <row r="137">
          <cell r="I137">
            <v>0</v>
          </cell>
        </row>
        <row r="138">
          <cell r="I138">
            <v>0</v>
          </cell>
        </row>
        <row r="139">
          <cell r="I139">
            <v>0</v>
          </cell>
        </row>
        <row r="140">
          <cell r="I140">
            <v>0</v>
          </cell>
        </row>
        <row r="141">
          <cell r="I141">
            <v>0</v>
          </cell>
        </row>
        <row r="142">
          <cell r="I142">
            <v>0</v>
          </cell>
        </row>
        <row r="143">
          <cell r="I143">
            <v>0</v>
          </cell>
        </row>
        <row r="144">
          <cell r="I144">
            <v>0</v>
          </cell>
        </row>
        <row r="145">
          <cell r="I145">
            <v>0</v>
          </cell>
        </row>
        <row r="146">
          <cell r="I146">
            <v>0</v>
          </cell>
        </row>
        <row r="147">
          <cell r="I147">
            <v>0</v>
          </cell>
        </row>
        <row r="148">
          <cell r="I148">
            <v>0</v>
          </cell>
        </row>
        <row r="149">
          <cell r="I149">
            <v>0</v>
          </cell>
        </row>
        <row r="150">
          <cell r="I150">
            <v>0</v>
          </cell>
        </row>
        <row r="151">
          <cell r="I151">
            <v>0</v>
          </cell>
        </row>
        <row r="152">
          <cell r="I152">
            <v>0</v>
          </cell>
        </row>
        <row r="153">
          <cell r="I153">
            <v>0</v>
          </cell>
        </row>
        <row r="154">
          <cell r="I154">
            <v>0</v>
          </cell>
        </row>
        <row r="155">
          <cell r="I155">
            <v>0</v>
          </cell>
        </row>
        <row r="156">
          <cell r="I156">
            <v>0</v>
          </cell>
        </row>
        <row r="157">
          <cell r="I157">
            <v>0</v>
          </cell>
        </row>
        <row r="158">
          <cell r="I158">
            <v>0</v>
          </cell>
        </row>
        <row r="159">
          <cell r="I159">
            <v>0</v>
          </cell>
        </row>
        <row r="160">
          <cell r="I160">
            <v>0</v>
          </cell>
        </row>
        <row r="161">
          <cell r="I161">
            <v>0</v>
          </cell>
        </row>
        <row r="162">
          <cell r="I162">
            <v>0</v>
          </cell>
        </row>
        <row r="163">
          <cell r="I163">
            <v>0</v>
          </cell>
        </row>
        <row r="164">
          <cell r="I164">
            <v>0</v>
          </cell>
        </row>
        <row r="165">
          <cell r="I165">
            <v>0</v>
          </cell>
        </row>
        <row r="166">
          <cell r="I166">
            <v>0</v>
          </cell>
        </row>
        <row r="167">
          <cell r="I167">
            <v>0</v>
          </cell>
        </row>
        <row r="168">
          <cell r="I168">
            <v>0</v>
          </cell>
        </row>
        <row r="169">
          <cell r="I169">
            <v>0</v>
          </cell>
        </row>
        <row r="170">
          <cell r="I170">
            <v>0</v>
          </cell>
        </row>
        <row r="171">
          <cell r="I171">
            <v>0</v>
          </cell>
        </row>
        <row r="172">
          <cell r="I172">
            <v>0</v>
          </cell>
        </row>
        <row r="173">
          <cell r="I173">
            <v>0</v>
          </cell>
        </row>
        <row r="174">
          <cell r="I174">
            <v>0</v>
          </cell>
        </row>
        <row r="175">
          <cell r="I175">
            <v>0</v>
          </cell>
        </row>
        <row r="176">
          <cell r="I176">
            <v>0</v>
          </cell>
        </row>
        <row r="177">
          <cell r="I177">
            <v>0</v>
          </cell>
        </row>
        <row r="178">
          <cell r="I178">
            <v>0</v>
          </cell>
        </row>
        <row r="179">
          <cell r="I179">
            <v>0</v>
          </cell>
        </row>
        <row r="180">
          <cell r="I180">
            <v>0</v>
          </cell>
        </row>
        <row r="181">
          <cell r="I181">
            <v>0</v>
          </cell>
        </row>
        <row r="182">
          <cell r="I182">
            <v>0</v>
          </cell>
        </row>
        <row r="183">
          <cell r="I183">
            <v>0</v>
          </cell>
        </row>
        <row r="184">
          <cell r="I184">
            <v>0</v>
          </cell>
        </row>
        <row r="185">
          <cell r="I185">
            <v>0</v>
          </cell>
        </row>
        <row r="186">
          <cell r="I186">
            <v>0</v>
          </cell>
        </row>
        <row r="187">
          <cell r="I187">
            <v>0</v>
          </cell>
        </row>
        <row r="188">
          <cell r="I188">
            <v>0</v>
          </cell>
        </row>
        <row r="189">
          <cell r="I189">
            <v>0</v>
          </cell>
        </row>
        <row r="190">
          <cell r="I190">
            <v>0</v>
          </cell>
        </row>
        <row r="191">
          <cell r="I191">
            <v>0</v>
          </cell>
        </row>
        <row r="192">
          <cell r="I192">
            <v>0</v>
          </cell>
        </row>
        <row r="193">
          <cell r="I193">
            <v>0</v>
          </cell>
        </row>
        <row r="194">
          <cell r="I194">
            <v>0</v>
          </cell>
        </row>
        <row r="195">
          <cell r="I195">
            <v>0</v>
          </cell>
        </row>
        <row r="196">
          <cell r="I196">
            <v>0</v>
          </cell>
        </row>
        <row r="197">
          <cell r="I197">
            <v>0</v>
          </cell>
        </row>
        <row r="198">
          <cell r="I198">
            <v>0</v>
          </cell>
        </row>
        <row r="199">
          <cell r="I199">
            <v>0</v>
          </cell>
        </row>
        <row r="200">
          <cell r="I200">
            <v>0</v>
          </cell>
        </row>
        <row r="201">
          <cell r="I201">
            <v>0</v>
          </cell>
        </row>
        <row r="202">
          <cell r="I202">
            <v>0</v>
          </cell>
        </row>
        <row r="203">
          <cell r="I203">
            <v>0</v>
          </cell>
        </row>
        <row r="204">
          <cell r="I204">
            <v>0</v>
          </cell>
        </row>
        <row r="205">
          <cell r="I205">
            <v>0</v>
          </cell>
        </row>
        <row r="206">
          <cell r="I206">
            <v>0</v>
          </cell>
        </row>
        <row r="207">
          <cell r="I207">
            <v>0</v>
          </cell>
        </row>
        <row r="208">
          <cell r="I208">
            <v>0</v>
          </cell>
        </row>
        <row r="209">
          <cell r="I209">
            <v>0</v>
          </cell>
        </row>
        <row r="210">
          <cell r="I210">
            <v>0</v>
          </cell>
        </row>
        <row r="211">
          <cell r="I211">
            <v>0</v>
          </cell>
        </row>
        <row r="212">
          <cell r="I212">
            <v>0</v>
          </cell>
        </row>
        <row r="213">
          <cell r="I213">
            <v>0</v>
          </cell>
        </row>
        <row r="214">
          <cell r="I214">
            <v>0</v>
          </cell>
        </row>
        <row r="215">
          <cell r="I215">
            <v>0</v>
          </cell>
        </row>
        <row r="216">
          <cell r="I216">
            <v>0</v>
          </cell>
        </row>
        <row r="217">
          <cell r="I217">
            <v>0</v>
          </cell>
        </row>
        <row r="218">
          <cell r="I218">
            <v>0</v>
          </cell>
        </row>
        <row r="219">
          <cell r="I219">
            <v>0</v>
          </cell>
        </row>
        <row r="220">
          <cell r="I220">
            <v>0</v>
          </cell>
        </row>
        <row r="221">
          <cell r="I221">
            <v>0</v>
          </cell>
        </row>
        <row r="222">
          <cell r="I222">
            <v>0</v>
          </cell>
        </row>
        <row r="223">
          <cell r="I223">
            <v>0</v>
          </cell>
        </row>
        <row r="224">
          <cell r="I224">
            <v>0</v>
          </cell>
        </row>
        <row r="225">
          <cell r="I225">
            <v>0</v>
          </cell>
        </row>
        <row r="226">
          <cell r="I226">
            <v>0</v>
          </cell>
        </row>
        <row r="227">
          <cell r="I227">
            <v>0</v>
          </cell>
        </row>
        <row r="228">
          <cell r="I228">
            <v>0</v>
          </cell>
        </row>
        <row r="229">
          <cell r="I229">
            <v>0</v>
          </cell>
        </row>
        <row r="230">
          <cell r="I230">
            <v>0</v>
          </cell>
        </row>
        <row r="231">
          <cell r="I231">
            <v>0</v>
          </cell>
        </row>
        <row r="232">
          <cell r="I232">
            <v>0</v>
          </cell>
        </row>
        <row r="233">
          <cell r="I233">
            <v>0</v>
          </cell>
        </row>
        <row r="234">
          <cell r="I234">
            <v>0</v>
          </cell>
        </row>
        <row r="235">
          <cell r="I235">
            <v>0</v>
          </cell>
        </row>
        <row r="236">
          <cell r="I236">
            <v>0</v>
          </cell>
        </row>
        <row r="237">
          <cell r="I237">
            <v>0</v>
          </cell>
        </row>
        <row r="238">
          <cell r="I238">
            <v>0</v>
          </cell>
        </row>
        <row r="239">
          <cell r="I239">
            <v>0</v>
          </cell>
        </row>
        <row r="240">
          <cell r="I240">
            <v>0</v>
          </cell>
        </row>
        <row r="241">
          <cell r="I241">
            <v>0</v>
          </cell>
        </row>
        <row r="242">
          <cell r="I242">
            <v>0</v>
          </cell>
        </row>
        <row r="243">
          <cell r="I243">
            <v>0</v>
          </cell>
        </row>
        <row r="244">
          <cell r="I244">
            <v>0</v>
          </cell>
        </row>
        <row r="245">
          <cell r="I245">
            <v>0</v>
          </cell>
        </row>
        <row r="246">
          <cell r="I246">
            <v>0</v>
          </cell>
        </row>
        <row r="247">
          <cell r="I247">
            <v>0</v>
          </cell>
        </row>
        <row r="248">
          <cell r="I248">
            <v>0</v>
          </cell>
        </row>
        <row r="249">
          <cell r="I249">
            <v>0</v>
          </cell>
        </row>
        <row r="250">
          <cell r="I250">
            <v>0</v>
          </cell>
        </row>
        <row r="251">
          <cell r="I251">
            <v>0</v>
          </cell>
        </row>
        <row r="252">
          <cell r="I252">
            <v>0</v>
          </cell>
        </row>
        <row r="253">
          <cell r="I253">
            <v>0</v>
          </cell>
        </row>
        <row r="254">
          <cell r="I254">
            <v>0</v>
          </cell>
        </row>
        <row r="255">
          <cell r="I255">
            <v>0</v>
          </cell>
        </row>
        <row r="256">
          <cell r="I256">
            <v>0</v>
          </cell>
        </row>
        <row r="257">
          <cell r="I257">
            <v>0</v>
          </cell>
        </row>
        <row r="258">
          <cell r="I258">
            <v>0</v>
          </cell>
        </row>
        <row r="259">
          <cell r="I259">
            <v>0</v>
          </cell>
        </row>
        <row r="260">
          <cell r="I260">
            <v>0</v>
          </cell>
        </row>
        <row r="261">
          <cell r="I261">
            <v>0</v>
          </cell>
        </row>
        <row r="262">
          <cell r="I262">
            <v>0</v>
          </cell>
        </row>
        <row r="263">
          <cell r="I263">
            <v>0</v>
          </cell>
        </row>
        <row r="264">
          <cell r="I264">
            <v>0</v>
          </cell>
        </row>
        <row r="265">
          <cell r="I265">
            <v>0</v>
          </cell>
        </row>
        <row r="266">
          <cell r="I266">
            <v>0</v>
          </cell>
        </row>
        <row r="267">
          <cell r="I267">
            <v>0</v>
          </cell>
        </row>
        <row r="268">
          <cell r="I268">
            <v>0</v>
          </cell>
        </row>
        <row r="269">
          <cell r="I269">
            <v>0</v>
          </cell>
        </row>
        <row r="270">
          <cell r="I270">
            <v>0</v>
          </cell>
        </row>
        <row r="271">
          <cell r="I271">
            <v>0</v>
          </cell>
        </row>
        <row r="272">
          <cell r="I272">
            <v>0</v>
          </cell>
        </row>
        <row r="273">
          <cell r="I273">
            <v>0</v>
          </cell>
        </row>
        <row r="274">
          <cell r="I274">
            <v>0</v>
          </cell>
        </row>
        <row r="275">
          <cell r="I275">
            <v>0</v>
          </cell>
        </row>
        <row r="276">
          <cell r="I276">
            <v>0</v>
          </cell>
        </row>
        <row r="277">
          <cell r="I277">
            <v>0</v>
          </cell>
        </row>
        <row r="278">
          <cell r="I278">
            <v>0</v>
          </cell>
        </row>
        <row r="279">
          <cell r="I279">
            <v>0</v>
          </cell>
        </row>
        <row r="280">
          <cell r="I280">
            <v>0</v>
          </cell>
        </row>
        <row r="281">
          <cell r="I281">
            <v>0</v>
          </cell>
        </row>
        <row r="282">
          <cell r="I282">
            <v>0</v>
          </cell>
        </row>
        <row r="283">
          <cell r="I283">
            <v>0</v>
          </cell>
        </row>
        <row r="284">
          <cell r="I284">
            <v>0</v>
          </cell>
        </row>
        <row r="285">
          <cell r="I285">
            <v>0</v>
          </cell>
        </row>
        <row r="286">
          <cell r="I286">
            <v>0</v>
          </cell>
        </row>
        <row r="287">
          <cell r="I287">
            <v>0</v>
          </cell>
        </row>
        <row r="288">
          <cell r="I288">
            <v>0</v>
          </cell>
        </row>
        <row r="289">
          <cell r="I289">
            <v>0</v>
          </cell>
        </row>
        <row r="290">
          <cell r="I290">
            <v>0</v>
          </cell>
        </row>
        <row r="291">
          <cell r="I291">
            <v>0</v>
          </cell>
        </row>
        <row r="292">
          <cell r="I292">
            <v>0</v>
          </cell>
        </row>
        <row r="293">
          <cell r="I293">
            <v>0</v>
          </cell>
        </row>
        <row r="294">
          <cell r="I294">
            <v>0</v>
          </cell>
        </row>
        <row r="295">
          <cell r="I295">
            <v>0</v>
          </cell>
        </row>
        <row r="296">
          <cell r="I296">
            <v>0</v>
          </cell>
        </row>
        <row r="297">
          <cell r="I297">
            <v>0</v>
          </cell>
        </row>
        <row r="298">
          <cell r="I298">
            <v>0</v>
          </cell>
        </row>
        <row r="299">
          <cell r="I299">
            <v>0</v>
          </cell>
        </row>
        <row r="300">
          <cell r="I300">
            <v>0</v>
          </cell>
        </row>
        <row r="301">
          <cell r="I301">
            <v>0</v>
          </cell>
        </row>
        <row r="302">
          <cell r="I302">
            <v>0</v>
          </cell>
        </row>
        <row r="303">
          <cell r="I303">
            <v>0</v>
          </cell>
        </row>
        <row r="304">
          <cell r="I304">
            <v>0</v>
          </cell>
        </row>
        <row r="305">
          <cell r="I305">
            <v>0</v>
          </cell>
        </row>
        <row r="306">
          <cell r="I306">
            <v>0</v>
          </cell>
        </row>
        <row r="307">
          <cell r="I307">
            <v>0</v>
          </cell>
        </row>
        <row r="308">
          <cell r="I308">
            <v>0</v>
          </cell>
        </row>
        <row r="309">
          <cell r="I309">
            <v>0</v>
          </cell>
        </row>
        <row r="310">
          <cell r="I310">
            <v>0</v>
          </cell>
        </row>
        <row r="311">
          <cell r="I311">
            <v>0</v>
          </cell>
        </row>
        <row r="312">
          <cell r="I312">
            <v>0</v>
          </cell>
        </row>
        <row r="313">
          <cell r="I313">
            <v>0</v>
          </cell>
        </row>
        <row r="314">
          <cell r="I314">
            <v>0</v>
          </cell>
        </row>
        <row r="315">
          <cell r="I315">
            <v>0</v>
          </cell>
        </row>
        <row r="316">
          <cell r="I316">
            <v>0</v>
          </cell>
        </row>
        <row r="317">
          <cell r="I317">
            <v>0</v>
          </cell>
        </row>
        <row r="318">
          <cell r="I318">
            <v>0</v>
          </cell>
        </row>
        <row r="319">
          <cell r="I319">
            <v>0</v>
          </cell>
        </row>
        <row r="320">
          <cell r="I320">
            <v>0</v>
          </cell>
        </row>
        <row r="321">
          <cell r="I321">
            <v>0</v>
          </cell>
        </row>
        <row r="322">
          <cell r="I322">
            <v>0</v>
          </cell>
        </row>
        <row r="323">
          <cell r="I323">
            <v>0</v>
          </cell>
        </row>
        <row r="324">
          <cell r="I324">
            <v>0</v>
          </cell>
        </row>
        <row r="325">
          <cell r="I325">
            <v>0</v>
          </cell>
        </row>
        <row r="326">
          <cell r="I326">
            <v>0</v>
          </cell>
        </row>
        <row r="327">
          <cell r="I327">
            <v>0</v>
          </cell>
        </row>
        <row r="328">
          <cell r="I328">
            <v>0</v>
          </cell>
        </row>
        <row r="329">
          <cell r="I329">
            <v>0</v>
          </cell>
        </row>
        <row r="330">
          <cell r="I330">
            <v>0</v>
          </cell>
        </row>
        <row r="331">
          <cell r="I331">
            <v>0</v>
          </cell>
        </row>
        <row r="332">
          <cell r="I332">
            <v>0</v>
          </cell>
        </row>
        <row r="333">
          <cell r="I333">
            <v>0</v>
          </cell>
        </row>
        <row r="334">
          <cell r="I334">
            <v>0</v>
          </cell>
        </row>
        <row r="335">
          <cell r="I335">
            <v>0</v>
          </cell>
        </row>
        <row r="336">
          <cell r="I336">
            <v>0</v>
          </cell>
        </row>
        <row r="337">
          <cell r="I337">
            <v>0</v>
          </cell>
        </row>
        <row r="338">
          <cell r="I338">
            <v>0</v>
          </cell>
        </row>
        <row r="339">
          <cell r="I339">
            <v>0</v>
          </cell>
        </row>
        <row r="340">
          <cell r="I340">
            <v>0</v>
          </cell>
        </row>
        <row r="341">
          <cell r="I341">
            <v>0</v>
          </cell>
        </row>
        <row r="342">
          <cell r="I342">
            <v>0</v>
          </cell>
        </row>
        <row r="343">
          <cell r="I343">
            <v>0</v>
          </cell>
        </row>
        <row r="344">
          <cell r="I344">
            <v>0</v>
          </cell>
        </row>
        <row r="345">
          <cell r="I345">
            <v>0</v>
          </cell>
        </row>
        <row r="346">
          <cell r="I346">
            <v>0</v>
          </cell>
        </row>
        <row r="347">
          <cell r="I347">
            <v>0</v>
          </cell>
        </row>
        <row r="348">
          <cell r="I348">
            <v>0</v>
          </cell>
        </row>
        <row r="349">
          <cell r="I349">
            <v>0</v>
          </cell>
        </row>
        <row r="350">
          <cell r="I350">
            <v>0</v>
          </cell>
        </row>
        <row r="351">
          <cell r="I351">
            <v>0</v>
          </cell>
        </row>
        <row r="352">
          <cell r="I352">
            <v>0</v>
          </cell>
        </row>
        <row r="353">
          <cell r="I353">
            <v>0</v>
          </cell>
        </row>
        <row r="354">
          <cell r="I354">
            <v>0</v>
          </cell>
        </row>
        <row r="355">
          <cell r="I355">
            <v>0</v>
          </cell>
        </row>
        <row r="356">
          <cell r="I356">
            <v>0</v>
          </cell>
        </row>
        <row r="357">
          <cell r="I357">
            <v>0</v>
          </cell>
        </row>
        <row r="358">
          <cell r="I358">
            <v>0</v>
          </cell>
        </row>
        <row r="359">
          <cell r="I359">
            <v>0</v>
          </cell>
        </row>
        <row r="360">
          <cell r="I360">
            <v>0</v>
          </cell>
        </row>
        <row r="361">
          <cell r="I361">
            <v>0</v>
          </cell>
        </row>
        <row r="362">
          <cell r="I362">
            <v>0</v>
          </cell>
        </row>
        <row r="363">
          <cell r="I363">
            <v>0</v>
          </cell>
        </row>
        <row r="364">
          <cell r="I364">
            <v>0</v>
          </cell>
        </row>
        <row r="365">
          <cell r="I365">
            <v>0</v>
          </cell>
        </row>
        <row r="366">
          <cell r="I366">
            <v>0</v>
          </cell>
        </row>
        <row r="367">
          <cell r="I367">
            <v>0</v>
          </cell>
        </row>
        <row r="368">
          <cell r="I368">
            <v>0</v>
          </cell>
        </row>
        <row r="369">
          <cell r="I369">
            <v>0</v>
          </cell>
        </row>
        <row r="370">
          <cell r="I370">
            <v>0</v>
          </cell>
        </row>
        <row r="371">
          <cell r="I371">
            <v>0</v>
          </cell>
        </row>
        <row r="372">
          <cell r="I372">
            <v>0</v>
          </cell>
        </row>
        <row r="373">
          <cell r="I373">
            <v>0</v>
          </cell>
        </row>
        <row r="374">
          <cell r="I374">
            <v>0</v>
          </cell>
        </row>
        <row r="375">
          <cell r="I375">
            <v>0</v>
          </cell>
        </row>
        <row r="376">
          <cell r="I376">
            <v>0</v>
          </cell>
        </row>
        <row r="377">
          <cell r="I377">
            <v>0</v>
          </cell>
        </row>
      </sheetData>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4:P134"/>
  <sheetViews>
    <sheetView workbookViewId="0"/>
  </sheetViews>
  <sheetFormatPr defaultRowHeight="12.75" x14ac:dyDescent="0.2"/>
  <cols>
    <col min="1" max="1" width="15.5703125" bestFit="1" customWidth="1"/>
    <col min="2" max="5" width="12.7109375" bestFit="1" customWidth="1"/>
    <col min="6" max="6" width="14.140625" customWidth="1"/>
    <col min="7" max="16" width="12.7109375" bestFit="1" customWidth="1"/>
  </cols>
  <sheetData>
    <row r="4" spans="1:16" ht="18" x14ac:dyDescent="0.25">
      <c r="A4" s="32"/>
      <c r="B4" s="32"/>
      <c r="C4" s="32"/>
      <c r="D4" s="32"/>
      <c r="E4" s="32"/>
      <c r="F4" s="90" t="s">
        <v>96</v>
      </c>
      <c r="G4" s="32"/>
      <c r="H4" s="32"/>
      <c r="I4" s="32"/>
      <c r="J4" s="32"/>
      <c r="K4" s="32"/>
      <c r="L4" s="32"/>
      <c r="M4" s="32"/>
      <c r="N4" s="32"/>
      <c r="O4" s="32"/>
      <c r="P4" s="32"/>
    </row>
    <row r="5" spans="1:16" ht="15" x14ac:dyDescent="0.2">
      <c r="A5" s="86"/>
      <c r="B5" s="86"/>
      <c r="C5" s="86"/>
      <c r="D5" s="86"/>
      <c r="E5" s="86"/>
      <c r="F5" s="86"/>
      <c r="G5" s="86"/>
      <c r="H5" s="86"/>
      <c r="I5" s="86"/>
      <c r="J5" s="86"/>
      <c r="K5" s="86"/>
      <c r="L5" s="86"/>
      <c r="M5" s="86"/>
      <c r="N5" s="86"/>
      <c r="O5" s="86"/>
      <c r="P5" s="86"/>
    </row>
    <row r="6" spans="1:16" ht="15" x14ac:dyDescent="0.2">
      <c r="A6" s="86"/>
      <c r="B6" s="87">
        <f>DATE(C9+1,B9,26)</f>
        <v>26</v>
      </c>
      <c r="C6" s="86"/>
      <c r="D6" s="86"/>
      <c r="E6" s="86"/>
      <c r="F6" s="86"/>
      <c r="G6" s="86"/>
      <c r="H6" s="86"/>
      <c r="I6" s="86"/>
      <c r="J6" s="86"/>
      <c r="K6" s="86"/>
      <c r="L6" s="86"/>
      <c r="M6" s="86"/>
      <c r="N6" s="86"/>
      <c r="O6" s="86"/>
      <c r="P6" s="86"/>
    </row>
    <row r="7" spans="1:16" ht="15" x14ac:dyDescent="0.2">
      <c r="A7" s="86"/>
      <c r="B7" s="86"/>
      <c r="C7" s="86"/>
      <c r="D7" s="86"/>
      <c r="E7" s="86"/>
      <c r="F7" s="86"/>
      <c r="G7" s="86"/>
      <c r="H7" s="86"/>
      <c r="I7" s="86"/>
      <c r="J7" s="86"/>
      <c r="K7" s="86"/>
      <c r="L7" s="86"/>
      <c r="M7" s="86"/>
      <c r="N7" s="86"/>
      <c r="O7" s="86"/>
      <c r="P7" s="86"/>
    </row>
    <row r="8" spans="1:16" ht="15" x14ac:dyDescent="0.2">
      <c r="A8" s="86"/>
      <c r="B8" s="86"/>
      <c r="C8" s="86"/>
      <c r="D8" s="86"/>
      <c r="E8" s="86"/>
      <c r="F8" s="86"/>
      <c r="G8" s="86"/>
      <c r="H8" s="86"/>
      <c r="I8" s="86"/>
      <c r="J8" s="86"/>
      <c r="K8" s="86"/>
      <c r="L8" s="86"/>
      <c r="M8" s="86"/>
      <c r="N8" s="86"/>
      <c r="O8" s="86"/>
      <c r="P8" s="86"/>
    </row>
    <row r="9" spans="1:16" ht="15" x14ac:dyDescent="0.2">
      <c r="A9" s="86"/>
      <c r="B9" s="88">
        <f>MONTH(Assumptions!B23)-MONTH(Assumptions!D8)</f>
        <v>-11</v>
      </c>
      <c r="C9" s="86">
        <f>YEAR(Assumptions!B23)</f>
        <v>1900</v>
      </c>
      <c r="D9" s="86">
        <f>MONTH(Assumptions!B23)</f>
        <v>1</v>
      </c>
      <c r="E9" s="86">
        <f>DAY(Assumptions!B23)</f>
        <v>0</v>
      </c>
      <c r="F9" s="86"/>
      <c r="G9" s="86">
        <f>IF(YEAR(Assumptions!$D$8)=12,MONTH(Assumptions!$D$16)+1-MONTH(Assumptions!$D$8),IF(MONTH(Assumptions!$D$8)&lt;MONTH(Assumptions!$D$16),12-(MONTH(Assumptions!D16)-MONTH(Assumptions!D8)),MONTH(Assumptions!$D$8)-MONTH(Assumptions!$D$16)))</f>
        <v>5</v>
      </c>
      <c r="H9" s="86">
        <f>IF(YEAR(Assumptions!$D$8)=12,MONTH(Assumptions!$D$16)+1-MONTH(Assumptions!$D$8),IF(MONTH(Assumptions!$D$8)&lt;MONTH(Assumptions!$D$16),12-(MONTH(Assumptions!$D$16)-MONTH(Assumptions!$D$8)),MONTH(Assumptions!$D$8)-MONTH(Assumptions!$D$16)))</f>
        <v>5</v>
      </c>
      <c r="I9" s="86"/>
      <c r="J9" s="86"/>
      <c r="K9" s="86"/>
      <c r="L9" s="86"/>
      <c r="M9" s="86"/>
      <c r="N9" s="86"/>
      <c r="O9" s="86"/>
      <c r="P9" s="86"/>
    </row>
    <row r="10" spans="1:16" ht="15" x14ac:dyDescent="0.2">
      <c r="A10" s="86"/>
      <c r="B10" s="86"/>
      <c r="C10" s="86"/>
      <c r="D10" s="86"/>
      <c r="E10" s="86"/>
      <c r="F10" s="86"/>
      <c r="G10" s="86"/>
      <c r="H10" s="86"/>
      <c r="I10" s="86"/>
      <c r="J10" s="86"/>
      <c r="K10" s="86"/>
      <c r="L10" s="86"/>
      <c r="M10" s="86"/>
      <c r="N10" s="86"/>
      <c r="O10" s="86"/>
      <c r="P10" s="86"/>
    </row>
    <row r="11" spans="1:16" ht="15" x14ac:dyDescent="0.2">
      <c r="A11" s="86"/>
      <c r="B11" s="86"/>
      <c r="C11" s="86"/>
      <c r="D11" s="86"/>
      <c r="E11" s="86"/>
      <c r="F11" s="86"/>
      <c r="G11" s="86"/>
      <c r="H11" s="86"/>
      <c r="I11" s="86"/>
      <c r="J11" s="86"/>
      <c r="K11" s="86"/>
      <c r="L11" s="86"/>
      <c r="M11" s="86"/>
      <c r="N11" s="86"/>
      <c r="O11" s="86"/>
      <c r="P11" s="86"/>
    </row>
    <row r="12" spans="1:16" ht="15" x14ac:dyDescent="0.2">
      <c r="A12" s="86"/>
      <c r="B12" s="86"/>
      <c r="C12" s="86"/>
      <c r="D12" s="86"/>
      <c r="E12" s="86"/>
      <c r="F12" s="86"/>
      <c r="G12" s="86"/>
      <c r="H12" s="86"/>
      <c r="I12" s="86"/>
      <c r="J12" s="86"/>
      <c r="K12" s="86"/>
      <c r="L12" s="86"/>
      <c r="M12" s="86"/>
      <c r="N12" s="86"/>
      <c r="O12" s="86"/>
      <c r="P12" s="86"/>
    </row>
    <row r="13" spans="1:16" ht="15" x14ac:dyDescent="0.2">
      <c r="A13" s="86"/>
      <c r="B13" s="88">
        <f>Assumptions!B24*12</f>
        <v>0</v>
      </c>
      <c r="C13" s="86"/>
      <c r="D13" s="86"/>
      <c r="E13" s="86"/>
      <c r="F13" s="86"/>
      <c r="G13" s="86"/>
      <c r="H13" s="86"/>
      <c r="I13" s="86"/>
      <c r="J13" s="86"/>
      <c r="K13" s="86"/>
      <c r="L13" s="86"/>
      <c r="M13" s="86"/>
      <c r="N13" s="86"/>
      <c r="O13" s="86"/>
      <c r="P13" s="86"/>
    </row>
    <row r="14" spans="1:16" ht="15" x14ac:dyDescent="0.2">
      <c r="A14" s="86"/>
      <c r="B14" s="86"/>
      <c r="C14" s="86"/>
      <c r="D14" s="86"/>
      <c r="E14" s="86"/>
      <c r="F14" s="86"/>
      <c r="G14" s="86"/>
      <c r="H14" s="86"/>
      <c r="I14" s="86"/>
      <c r="J14" s="86"/>
      <c r="K14" s="86"/>
      <c r="L14" s="86"/>
      <c r="M14" s="86"/>
      <c r="N14" s="86"/>
      <c r="O14" s="86"/>
      <c r="P14" s="86"/>
    </row>
    <row r="15" spans="1:16" ht="15" x14ac:dyDescent="0.2">
      <c r="A15" s="86" t="s">
        <v>88</v>
      </c>
      <c r="B15" s="86">
        <f>IF((MONTH(B18)-MONTH(Assumptions!B32))+1=12,0,(MONTH(B18)-MONTH(Assumptions!B32))+1)</f>
        <v>0</v>
      </c>
      <c r="C15" s="86">
        <f>IF((MONTH(C18)-MONTH(Assumptions!B32))+1=12,0,(MONTH(C18)-MONTH(Assumptions!B32))+1)</f>
        <v>0</v>
      </c>
      <c r="D15" s="86">
        <f>IF((MONTH(D18)-MONTH(Assumptions!B32))+1=12,0,(MONTH(D18)-MONTH(Assumptions!B32))+1)</f>
        <v>0</v>
      </c>
      <c r="E15" s="86">
        <f>IF((MONTH(E18)-MONTH(Assumptions!B32))+1=12,0,(MONTH(E18)-MONTH(Assumptions!B32))+1)</f>
        <v>0</v>
      </c>
      <c r="F15" s="86">
        <f>IF((MONTH(F18)-MONTH(Assumptions!B32))+1=12,0,(MONTH(F18)-MONTH(Assumptions!B32))+1)</f>
        <v>0</v>
      </c>
      <c r="G15" s="86">
        <f>IF((MONTH(G18)-MONTH(Assumptions!B32))+1=12,0,(MONTH(G18)-MONTH(Assumptions!B32))+1)</f>
        <v>0</v>
      </c>
      <c r="H15" s="86">
        <f>IF((MONTH(H18)-MONTH(Assumptions!B32))+1=12,0,(MONTH(H18)-MONTH(Assumptions!B32))+1)</f>
        <v>0</v>
      </c>
      <c r="I15" s="86">
        <f>IF((MONTH(I18)-MONTH(Assumptions!B32))+1=12,0,(MONTH(I18)-MONTH(Assumptions!B32))+1)</f>
        <v>0</v>
      </c>
      <c r="J15" s="86">
        <f>IF((MONTH(J18)-MONTH(Assumptions!B32))+1=12,0,(MONTH(J18)-MONTH(Assumptions!B32))+1)</f>
        <v>0</v>
      </c>
      <c r="K15" s="86">
        <f>IF((MONTH(K18)-MONTH(Assumptions!B32))+1=12,0,(MONTH(K18)-MONTH(Assumptions!B32))+1)</f>
        <v>0</v>
      </c>
      <c r="L15" s="86">
        <f>IF((MONTH(L18)-MONTH(Assumptions!B32))+1=12,0,(MONTH(L18)-MONTH(Assumptions!B32))+1)</f>
        <v>0</v>
      </c>
      <c r="M15" s="86">
        <f>IF((MONTH(M18)-MONTH(Assumptions!B32))+1=12,0,(MONTH(M18)-MONTH(Assumptions!B32))+1)</f>
        <v>0</v>
      </c>
      <c r="N15" s="86">
        <f>IF((MONTH(N18)-MONTH(Assumptions!B32))+1=12,0,(MONTH(N18)-MONTH(Assumptions!B32))+1)</f>
        <v>0</v>
      </c>
      <c r="O15" s="86">
        <f>IF((MONTH(O18)-MONTH(Assumptions!B32))+1=12,0,(MONTH(O18)-MONTH(Assumptions!B32))+1)</f>
        <v>0</v>
      </c>
      <c r="P15" s="86">
        <f>IF((MONTH(P18)-MONTH(Assumptions!B32))+1=12,0,(MONTH(P18)-MONTH(Assumptions!B32))+1)</f>
        <v>0</v>
      </c>
    </row>
    <row r="16" spans="1:16" ht="15" x14ac:dyDescent="0.2">
      <c r="A16" s="86" t="s">
        <v>89</v>
      </c>
      <c r="B16" s="86">
        <f>IF((MONTH(B18)-MONTH(Assumptions!B22))+1=12,0,(MONTH(B18)-MONTH(Assumptions!B22))+1)</f>
        <v>0</v>
      </c>
      <c r="C16" s="86">
        <f>IF((MONTH(C18)-MONTH(Assumptions!B22))+1=12,0,(MONTH(C18)-MONTH(Assumptions!B22))+1)</f>
        <v>0</v>
      </c>
      <c r="D16" s="86">
        <f>IF((MONTH(D18)-MONTH(Assumptions!B22))+1=12,0,(MONTH(D18)-MONTH(Assumptions!B22))+1)</f>
        <v>0</v>
      </c>
      <c r="E16" s="86">
        <f>IF((MONTH(E18)-MONTH(Assumptions!B22))+1=12,0,(MONTH(E18)-MONTH(Assumptions!B22))+1)</f>
        <v>0</v>
      </c>
      <c r="F16" s="86">
        <f>IF((MONTH(F18)-MONTH(Assumptions!B22))+1=12,0,(MONTH(F18)-MONTH(Assumptions!B22))+1)</f>
        <v>0</v>
      </c>
      <c r="G16" s="86">
        <f>IF((MONTH(G18)-MONTH(Assumptions!B22))+1=12,0,(MONTH(G18)-MONTH(Assumptions!B22))+1)</f>
        <v>0</v>
      </c>
      <c r="H16" s="86">
        <f>IF((MONTH(H18)-MONTH(Assumptions!B22))+1=12,0,(MONTH(H18)-MONTH(Assumptions!B22))+1)</f>
        <v>0</v>
      </c>
      <c r="I16" s="86">
        <f>IF((MONTH(I18)-MONTH(Assumptions!B22))+1=12,0,(MONTH(I18)-MONTH(Assumptions!B22))+1)</f>
        <v>0</v>
      </c>
      <c r="J16" s="86">
        <f>IF((MONTH(J18)-MONTH(Assumptions!B22))+1=12,0,(MONTH(J18)-MONTH(Assumptions!B22))+1)</f>
        <v>0</v>
      </c>
      <c r="K16" s="86">
        <f>IF((MONTH(K18)-MONTH(Assumptions!B22))+1=12,0,(MONTH(K18)-MONTH(Assumptions!B22))+1)</f>
        <v>0</v>
      </c>
      <c r="L16" s="86">
        <f>IF((MONTH(L18)-MONTH(Assumptions!B22))+1=12,0,(MONTH(L18)-MONTH(Assumptions!B22))+1)</f>
        <v>0</v>
      </c>
      <c r="M16" s="86">
        <f>IF((MONTH(M18)-MONTH(Assumptions!B22))+1=12,0,(MONTH(M18)-MONTH(Assumptions!B22))+1)</f>
        <v>0</v>
      </c>
      <c r="N16" s="86">
        <f>IF((MONTH(N18)-MONTH(Assumptions!B22))+1=12,0,(MONTH(N18)-MONTH(Assumptions!B22))+1)</f>
        <v>0</v>
      </c>
      <c r="O16" s="86">
        <f>IF((MONTH(O18)-MONTH(Assumptions!B22))+1=12,0,(MONTH(O18)-MONTH(Assumptions!B22))+1)</f>
        <v>0</v>
      </c>
      <c r="P16" s="86">
        <f>IF((MONTH(P18)-MONTH(Assumptions!B22))+1=12,0,(MONTH(P18)-MONTH(Assumptions!B22))+1)</f>
        <v>0</v>
      </c>
    </row>
    <row r="17" spans="1:16" ht="15" x14ac:dyDescent="0.2">
      <c r="A17" s="86" t="s">
        <v>90</v>
      </c>
      <c r="B17" s="87">
        <f>DATE(B19,IF(MONTH(Assumptions!D8)=12,1,MONTH(Assumptions!D8)+1),1)</f>
        <v>41275</v>
      </c>
      <c r="C17" s="87">
        <f>DATE(C19,IF(MONTH(Assumptions!D8)=12,1,MONTH(Assumptions!D8)+1),1)</f>
        <v>41640</v>
      </c>
      <c r="D17" s="87">
        <f>DATE(D19,IF(MONTH(Assumptions!D8)=12,1,MONTH(Assumptions!D8)+1),1)</f>
        <v>42005</v>
      </c>
      <c r="E17" s="87">
        <f>DATE(E19,IF(MONTH(Assumptions!D8)=12,1,MONTH(Assumptions!D8)+1),1)</f>
        <v>42370</v>
      </c>
      <c r="F17" s="87">
        <f>DATE(F19,IF(MONTH(Assumptions!D8)=12,1,MONTH(Assumptions!D8)+1),1)</f>
        <v>42736</v>
      </c>
      <c r="G17" s="87">
        <f>DATE(G19,IF(MONTH(Assumptions!D8)=12,1,MONTH(Assumptions!D8)+1),1)</f>
        <v>43101</v>
      </c>
      <c r="H17" s="87">
        <f>DATE(H19,IF(MONTH(Assumptions!D8)=12,1,MONTH(Assumptions!D8)+1),1)</f>
        <v>43466</v>
      </c>
      <c r="I17" s="87">
        <f>DATE(I19,IF(MONTH(Assumptions!D8)=12,1,MONTH(Assumptions!D8)+1),1)</f>
        <v>43831</v>
      </c>
      <c r="J17" s="87">
        <f>DATE(J19,IF(MONTH(Assumptions!D8)=12,1,MONTH(Assumptions!D8)+1),1)</f>
        <v>44197</v>
      </c>
      <c r="K17" s="87">
        <f>DATE(K19,IF(MONTH(Assumptions!D8)=12,1,MONTH(Assumptions!D8)+1),1)</f>
        <v>44562</v>
      </c>
      <c r="L17" s="87">
        <f>DATE(L19,IF(MONTH(Assumptions!D8)=12,1,MONTH(Assumptions!D8)+1),1)</f>
        <v>44927</v>
      </c>
      <c r="M17" s="87">
        <f>DATE(M19,IF(MONTH(Assumptions!D8)=12,1,MONTH(Assumptions!D8)+1),1)</f>
        <v>45292</v>
      </c>
      <c r="N17" s="87">
        <f>DATE(N19,IF(MONTH(Assumptions!D8)=12,1,MONTH(Assumptions!D8)+1),1)</f>
        <v>45658</v>
      </c>
      <c r="O17" s="87">
        <f>DATE(O19,IF(MONTH(Assumptions!D8)=12,1,MONTH(Assumptions!D8)+1),1)</f>
        <v>46023</v>
      </c>
      <c r="P17" s="87">
        <f>DATE(P19,IF(MONTH(Assumptions!D8)=12,1,MONTH(Assumptions!D8)+1),1)</f>
        <v>46388</v>
      </c>
    </row>
    <row r="18" spans="1:16" ht="15" x14ac:dyDescent="0.2">
      <c r="A18" s="86" t="s">
        <v>91</v>
      </c>
      <c r="B18" s="87">
        <f>DATE(IF(MONTH(Assumptions!D8)=12,B19,B19+1),MONTH(Assumptions!D8),DAY(Assumptions!D8))</f>
        <v>41639</v>
      </c>
      <c r="C18" s="87">
        <f>DATE(IF(MONTH(Assumptions!D8)=12,C19,C19+1),MONTH(Assumptions!D8),DAY(Assumptions!D8))</f>
        <v>42004</v>
      </c>
      <c r="D18" s="87">
        <f>DATE(IF(MONTH(Assumptions!D8)=12,D19,D19+1),MONTH(Assumptions!D8),DAY(Assumptions!D8))</f>
        <v>42369</v>
      </c>
      <c r="E18" s="87">
        <f>DATE(IF(MONTH(Assumptions!D8)=12,E19,E19+1),MONTH(Assumptions!D8),DAY(Assumptions!D8))</f>
        <v>42735</v>
      </c>
      <c r="F18" s="87">
        <f>DATE(IF(MONTH(Assumptions!D8)=12,F19,F19+1),MONTH(Assumptions!D8),DAY(Assumptions!D8))</f>
        <v>43100</v>
      </c>
      <c r="G18" s="87">
        <f>DATE(IF(MONTH(Assumptions!D8)=12,G19,G19+1),MONTH(Assumptions!D8),DAY(Assumptions!D8))</f>
        <v>43465</v>
      </c>
      <c r="H18" s="87">
        <f>DATE(IF(MONTH(Assumptions!D8)=12,H19,H19+1),MONTH(Assumptions!D8),DAY(Assumptions!D8))</f>
        <v>43830</v>
      </c>
      <c r="I18" s="87">
        <f>DATE(IF(MONTH(Assumptions!D8)=12,I19,I19+1),MONTH(Assumptions!D8),DAY(Assumptions!D8))</f>
        <v>44196</v>
      </c>
      <c r="J18" s="87">
        <f>DATE(IF(MONTH(Assumptions!D8)=12,J19,J19+1),MONTH(Assumptions!D8),DAY(Assumptions!D8))</f>
        <v>44561</v>
      </c>
      <c r="K18" s="87">
        <f>DATE(IF(MONTH(Assumptions!D8)=12,K19,K19+1),MONTH(Assumptions!D8),DAY(Assumptions!D8))</f>
        <v>44926</v>
      </c>
      <c r="L18" s="87">
        <f>DATE(IF(MONTH(Assumptions!D8)=12,L19,L19+1),MONTH(Assumptions!D8),DAY(Assumptions!D8))</f>
        <v>45291</v>
      </c>
      <c r="M18" s="87">
        <f>DATE(IF(MONTH(Assumptions!D8)=12,M19,M19+1),MONTH(Assumptions!D8),DAY(Assumptions!D8))</f>
        <v>45657</v>
      </c>
      <c r="N18" s="87">
        <f>DATE(IF(MONTH(Assumptions!D8)=12,N19,N19+1),MONTH(Assumptions!D8),DAY(Assumptions!D8))</f>
        <v>46022</v>
      </c>
      <c r="O18" s="87">
        <f>DATE(IF(MONTH(Assumptions!D8)=12,O19,O19+1),MONTH(Assumptions!D8),DAY(Assumptions!D8))</f>
        <v>46387</v>
      </c>
      <c r="P18" s="87">
        <f>DATE(IF(MONTH(Assumptions!D8)=12,P19,P19+1),MONTH(Assumptions!D8),DAY(Assumptions!D8))</f>
        <v>46752</v>
      </c>
    </row>
    <row r="19" spans="1:16" ht="15.75" x14ac:dyDescent="0.25">
      <c r="A19" s="86"/>
      <c r="B19" s="89">
        <f>Assumptions!D7</f>
        <v>2013</v>
      </c>
      <c r="C19" s="89">
        <f>+B19+1</f>
        <v>2014</v>
      </c>
      <c r="D19" s="89">
        <f t="shared" ref="D19:P19" si="0">+C19+1</f>
        <v>2015</v>
      </c>
      <c r="E19" s="89">
        <f t="shared" si="0"/>
        <v>2016</v>
      </c>
      <c r="F19" s="89">
        <f t="shared" si="0"/>
        <v>2017</v>
      </c>
      <c r="G19" s="89">
        <f t="shared" si="0"/>
        <v>2018</v>
      </c>
      <c r="H19" s="89">
        <f t="shared" si="0"/>
        <v>2019</v>
      </c>
      <c r="I19" s="89">
        <f t="shared" si="0"/>
        <v>2020</v>
      </c>
      <c r="J19" s="89">
        <f t="shared" si="0"/>
        <v>2021</v>
      </c>
      <c r="K19" s="89">
        <f t="shared" si="0"/>
        <v>2022</v>
      </c>
      <c r="L19" s="89">
        <f t="shared" si="0"/>
        <v>2023</v>
      </c>
      <c r="M19" s="89">
        <f t="shared" si="0"/>
        <v>2024</v>
      </c>
      <c r="N19" s="89">
        <f t="shared" si="0"/>
        <v>2025</v>
      </c>
      <c r="O19" s="89">
        <f t="shared" si="0"/>
        <v>2026</v>
      </c>
      <c r="P19" s="89">
        <f t="shared" si="0"/>
        <v>2027</v>
      </c>
    </row>
    <row r="20" spans="1:16" ht="15" x14ac:dyDescent="0.2">
      <c r="A20" s="86" t="s">
        <v>92</v>
      </c>
      <c r="B20" s="86">
        <f>IF(YEAR(Assumptions!B22)=B19,IF(MONTH(Assumptions!D8)=12,12-MONTH(Assumptions!B22)+1,IF(MONTH(Assumptions!B22)&lt;MONTH(Assumptions!D8),(MONTH(Assumptions!D8)-MONTH(Assumptions!B22))+1,IF(MONTH(Assumptions!B22)=MONTH(Assumptions!D8),1,""))),IF(AND(A20="",YEAR(Assumptions!B22)+1=B19),((MONTH(B18)+12)-MONTH(Assumptions!B22))+1,IF(YEAR($B$6)=B19,$B$13-SUM(A$20:$B20),IF(B19&lt;YEAR(Assumptions!B22),0,IF(B19&lt;YEAR($B$6),12,IF(B19&gt;YEAR($B$6),0))))))</f>
        <v>0</v>
      </c>
      <c r="C20" s="86" t="str">
        <f>IF(YEAR(Assumptions!B22)=C19,IF(MONTH(Assumptions!D8)=12,12-MONTH(Assumptions!B22)+1,IF(MONTH(Assumptions!B22)&lt;MONTH(Assumptions!D8),(MONTH(Assumptions!D8)-MONTH(Assumptions!B22))+1,IF(MONTH(Assumptions!B22)=MONTH(Assumptions!D8),1,""))),IF(AND(B20="",YEAR(Assumptions!B22)+1=C19),((MONTH(C18)+12)-MONTH(Assumptions!B22))+1,IF(YEAR($B$6)=C19,$B$13-SUM(B$20:$B20),IF(C19&lt;YEAR(Assumptions!B22),"",IF(C19&lt;YEAR($B$6),12,IF(C19&gt;YEAR($B$6),""))))))</f>
        <v/>
      </c>
      <c r="D20" s="86" t="str">
        <f>IF(YEAR(Assumptions!B22)=D19,IF(MONTH(Assumptions!D8)=12,12-MONTH(Assumptions!B22)+1,IF(MONTH(Assumptions!B22)&lt;MONTH(Assumptions!D8),(MONTH(Assumptions!D8)-MONTH(Assumptions!B22))+1,IF(MONTH(Assumptions!B22)=MONTH(Assumptions!D8),1,""))),IF(AND(C20="",YEAR(Assumptions!B22)+1=D19),((MONTH(D18)+12)-MONTH(Assumptions!B22))+1,IF(YEAR($B$6)=D19,$B$13-SUM($B$20:C20),IF(D19&lt;YEAR(Assumptions!B22),"",IF(D19&lt;YEAR($B$6),12,IF(D19&gt;YEAR($B$6),""))))))</f>
        <v/>
      </c>
      <c r="E20" s="86" t="str">
        <f>IF(YEAR(Assumptions!B22)=E19,IF(MONTH(Assumptions!D8)=12,12-MONTH(Assumptions!B22)+1,IF(MONTH(Assumptions!B22)&lt;MONTH(Assumptions!D8),(MONTH(Assumptions!D8)-MONTH(Assumptions!B22))+1,IF(MONTH(Assumptions!B22)=MONTH(Assumptions!D8),1,""))),IF(AND(D20="",YEAR(Assumptions!B22)+1=E19),((MONTH(E18)+12)-MONTH(Assumptions!B22))+1,IF(YEAR($B$6)=E19,$B$13-SUM($B$20:D20),IF(E19&lt;YEAR(Assumptions!B22),"",IF(E19&lt;YEAR($B$6),12,IF(E19&gt;YEAR($B$6),""))))))</f>
        <v/>
      </c>
      <c r="F20" s="86" t="str">
        <f>IF(YEAR(Assumptions!B22)=F19,IF(MONTH(Assumptions!D8)=12,12-MONTH(Assumptions!B22)+1,IF(MONTH(Assumptions!B22)&lt;MONTH(Assumptions!D8),(MONTH(Assumptions!D8)-MONTH(Assumptions!B22))+1,IF(MONTH(Assumptions!B22)=MONTH(Assumptions!D8),1,""))),IF(AND(E20="",YEAR(Assumptions!B22)+1=F19),((MONTH(F18)+12)-MONTH(Assumptions!B22))+1,IF(YEAR($B$6)=F19,$B$13-SUM($B$20:E20),IF(F19&lt;YEAR(Assumptions!B22),"",IF(F19&lt;YEAR($B$6),12,IF(F19&gt;YEAR($B$6),""))))))</f>
        <v/>
      </c>
      <c r="G20" s="86" t="str">
        <f>IF(YEAR(Assumptions!B22)=G19,IF(MONTH(Assumptions!D8)=12,12-MONTH(Assumptions!B22)+1,IF(MONTH(Assumptions!B22)&lt;MONTH(Assumptions!D8),(MONTH(Assumptions!D8)-MONTH(Assumptions!B22))+1,IF(MONTH(Assumptions!B22)=MONTH(Assumptions!D8),1,""))),IF(AND(F20="",YEAR(Assumptions!B22)+1=G19),((MONTH(G18)+12)-MONTH(Assumptions!B22))+1,IF(YEAR($B$6)=G19,$B$13-SUM($B$20:F20),IF(G19&lt;YEAR(Assumptions!B22),"",IF(G19&lt;YEAR($B$6),12,IF(G19&gt;YEAR($B$6),""))))))</f>
        <v/>
      </c>
      <c r="H20" s="86" t="str">
        <f>IF(YEAR(Assumptions!B22)=H19,IF(MONTH(Assumptions!D8)=12,12-MONTH(Assumptions!B22)+1,IF(MONTH(Assumptions!B22)&lt;MONTH(Assumptions!D8),(MONTH(Assumptions!D8)-MONTH(Assumptions!B22))+1,IF(MONTH(Assumptions!B22)=MONTH(Assumptions!D8),1,""))),IF(AND(G20="",YEAR(Assumptions!B22)+1=H19),((MONTH(H18)+12)-MONTH(Assumptions!B22))+1,IF(YEAR($B$6)=H19,$B$13-SUM($B$20:G20),IF(H19&lt;YEAR(Assumptions!B22),"",IF(H19&lt;YEAR($B$6),12,IF(H19&gt;YEAR($B$6),""))))))</f>
        <v/>
      </c>
      <c r="I20" s="86" t="str">
        <f>IF(YEAR(Assumptions!B22)=I19,IF(MONTH(Assumptions!D8)=12,12-MONTH(Assumptions!B22)+1,IF(MONTH(Assumptions!B22)&lt;MONTH(Assumptions!D8),(MONTH(Assumptions!D8)-MONTH(Assumptions!B22))+1,IF(MONTH(Assumptions!B22)=MONTH(Assumptions!D8),1,""))),IF(AND(H20="",YEAR(Assumptions!B22)+1=I19),((MONTH(I18)+12)-MONTH(Assumptions!B22))+1,IF(YEAR($B$6)=I19,$B$13-SUM($B$20:H20),IF(I19&lt;YEAR(Assumptions!B22),"",IF(I19&lt;YEAR($B$6),12,IF(I19&gt;YEAR($B$6),""))))))</f>
        <v/>
      </c>
      <c r="J20" s="86" t="str">
        <f>IF(YEAR(Assumptions!B22)=J19,IF(MONTH(Assumptions!D8)=12,12-MONTH(Assumptions!B22)+1,IF(MONTH(Assumptions!B22)&lt;MONTH(Assumptions!D8),(MONTH(Assumptions!D8)-MONTH(Assumptions!B22))+1,IF(MONTH(Assumptions!B22)=MONTH(Assumptions!D8),1,""))),IF(AND(I20="",YEAR(Assumptions!B22)+1=J19),((MONTH(J18)+12)-MONTH(Assumptions!B22))+1,IF(YEAR($B$6)=J19,$B$13-SUM($B$20:I20),IF(J19&lt;YEAR(Assumptions!B22),"",IF(J19&lt;YEAR($B$6),12,IF(J19&gt;YEAR($B$6),""))))))</f>
        <v/>
      </c>
      <c r="K20" s="86" t="str">
        <f>IF(YEAR(Assumptions!B22)=K19,IF(MONTH(Assumptions!D8)=12,12-MONTH(Assumptions!B22)+1,IF(MONTH(Assumptions!B22)&lt;MONTH(Assumptions!D8),(MONTH(Assumptions!D8)-MONTH(Assumptions!B22))+1,IF(MONTH(Assumptions!B22)=MONTH(Assumptions!D8),1,""))),IF(AND(J20="",YEAR(Assumptions!B22)+1=K19),((MONTH(K18)+12)-MONTH(Assumptions!B22))+1,IF(YEAR($B$6)=K19,$B$13-SUM($B$20:J20),IF(K19&lt;YEAR(Assumptions!B22),"",IF(K19&lt;YEAR($B$6),12,IF(K19&gt;YEAR($B$6),""))))))</f>
        <v/>
      </c>
      <c r="L20" s="86" t="str">
        <f>IF(YEAR(Assumptions!B22)=L19,IF(MONTH(Assumptions!D8)=12,12-MONTH(Assumptions!B22)+1,IF(MONTH(Assumptions!B22)&lt;MONTH(Assumptions!D8),(MONTH(Assumptions!D8)-MONTH(Assumptions!B22))+1,IF(MONTH(Assumptions!B22)=MONTH(Assumptions!D8),1,""))),IF(AND(K20="",YEAR(Assumptions!B22)+1=L19),((MONTH(L18)+12)-MONTH(Assumptions!B22))+1,IF(YEAR($B$6)=L19,$B$13-SUM($B$20:K20),IF(L19&lt;YEAR(Assumptions!B22),"",IF(L19&lt;YEAR($B$6),12,IF(L19&gt;YEAR($B$6),""))))))</f>
        <v/>
      </c>
      <c r="M20" s="86" t="str">
        <f>IF(YEAR(Assumptions!B22)=M19,IF(MONTH(Assumptions!D8)=12,12-MONTH(Assumptions!B22)+1,IF(MONTH(Assumptions!B22)&lt;MONTH(Assumptions!D8),(MONTH(Assumptions!D8)-MONTH(Assumptions!B22))+1,IF(MONTH(Assumptions!B22)=MONTH(Assumptions!D8),1,""))),IF(AND(L20="",YEAR(Assumptions!B22)+1=M19),((MONTH(M18)+12)-MONTH(Assumptions!B22))+1,IF(YEAR($B$6)=M19,$B$13-SUM($B$20:L20),IF(M19&lt;YEAR(Assumptions!B22),"",IF(M19&lt;YEAR($B$6),12,IF(M19&gt;YEAR($B$6),""))))))</f>
        <v/>
      </c>
      <c r="N20" s="86" t="str">
        <f>IF(YEAR(Assumptions!B22)=N19,IF(MONTH(Assumptions!D8)=12,12-MONTH(Assumptions!B22)+1,IF(MONTH(Assumptions!B22)&lt;MONTH(Assumptions!D8),(MONTH(Assumptions!D8)-MONTH(Assumptions!B22))+1,IF(MONTH(Assumptions!B22)=MONTH(Assumptions!D8),1,""))),IF(AND(M20="",YEAR(Assumptions!B22)+1=N19),((MONTH(N18)+12)-MONTH(Assumptions!B22))+1,IF(YEAR($B$6)=N19,$B$13-SUM($B$20:M20),IF(N19&lt;YEAR(Assumptions!B22),"",IF(N19&lt;YEAR($B$6),12,IF(N19&gt;YEAR($B$6),""))))))</f>
        <v/>
      </c>
      <c r="O20" s="86" t="str">
        <f>IF(YEAR(Assumptions!B22)=O19,IF(MONTH(Assumptions!D8)=12,12-MONTH(Assumptions!B22)+1,IF(MONTH(Assumptions!B22)&lt;MONTH(Assumptions!D8),(MONTH(Assumptions!D8)-MONTH(Assumptions!B22))+1,IF(MONTH(Assumptions!B22)=MONTH(Assumptions!D8),1,""))),IF(AND(N20="",YEAR(Assumptions!B22)+1=O19),((MONTH(O18)+12)-MONTH(Assumptions!B22))+1,IF(YEAR($B$6)=O19,$B$13-SUM($B$20:N20),IF(O19&lt;YEAR(Assumptions!B22),"",IF(O19&lt;YEAR($B$6),12,IF(O19&gt;YEAR($B$6),""))))))</f>
        <v/>
      </c>
      <c r="P20" s="86" t="str">
        <f>IF(YEAR(Assumptions!B22)=P19,IF(MONTH(Assumptions!D8)=12,12-MONTH(Assumptions!B22)+1,IF(MONTH(Assumptions!B22)&lt;MONTH(Assumptions!D8),(MONTH(Assumptions!D8)-MONTH(Assumptions!B22))+1,IF(MONTH(Assumptions!B22)=MONTH(Assumptions!D8),1,""))),IF(AND(O20="",YEAR(Assumptions!B22)+1=P19),((MONTH(P18)+12)-MONTH(Assumptions!B22))+1,IF(YEAR($B$6)=P19,$B$13-SUM($B$20:O20),IF(P19&lt;YEAR(Assumptions!B22),"",IF(P19&lt;YEAR($B$6),12,IF(P19&gt;YEAR($B$6),""))))))</f>
        <v/>
      </c>
    </row>
    <row r="21" spans="1:16" ht="15" x14ac:dyDescent="0.2">
      <c r="A21" s="86" t="s">
        <v>93</v>
      </c>
      <c r="B21" s="86" t="str">
        <f>IF(YEAR(Assumptions!B32)=B19,IF(MONTH(Assumptions!D8)=12,MONTH(Assumptions!B32),IF(MONTH(Assumptions!B32)&lt;MONTH(Assumptions!D8),12-((MONTH(Assumptions!D8)-MONTH(Assumptions!B32))),IF(MONTH(Assumptions!B32)=MONTH(Assumptions!D8),1,IF(MONTH(Assumptions!B32)&gt;MONTH(Assumptions!D8),IF(YEAR(Assumptions!B32)+1=B19,(MONTH(Assumptions!B32)-MONTH(B17))+1,""),"")))),IF(YEAR(Assumptions!B32)+1=B19,(MONTH(Assumptions!B32)-MONTH(B17))+1,""))</f>
        <v/>
      </c>
      <c r="C21" s="86" t="str">
        <f>IF(B21="",IF(YEAR(Assumptions!B32)=C19,IF(MONTH(Assumptions!D8)=12,MONTH(Assumptions!B32),IF(MONTH(Assumptions!B32)&lt;MONTH(Assumptions!D8),12-((MONTH(Assumptions!D8)-MONTH(Assumptions!B32))),IF(MONTH(Assumptions!B32)=MONTH(Assumptions!D8),1,IF(MONTH(Assumptions!B32)&gt;MONTH(Assumptions!D8),IF(YEAR(Assumptions!B32)+1=C19,(MONTH(Assumptions!B32)-MONTH(C17))+1,""),"")))),IF(YEAR(Assumptions!B32)+1=C19,(MONTH(Assumptions!B32)-MONTH(C17))+1,"")),"")</f>
        <v/>
      </c>
      <c r="D21" s="86" t="str">
        <f>IF(C21="",IF(YEAR(Assumptions!B32)=D19,IF(MONTH(Assumptions!D8)=12,MONTH(Assumptions!B32),IF(MONTH(Assumptions!B32)&lt;MONTH(Assumptions!D8),12-((MONTH(Assumptions!D8)-MONTH(Assumptions!B32))),IF(MONTH(Assumptions!B32)=MONTH(Assumptions!D8),1,IF(MONTH(Assumptions!B32)&gt;MONTH(Assumptions!D8),IF(YEAR(Assumptions!B32)+1=D19,(MONTH(Assumptions!B32)-MONTH(D17))+1,""),"")))),IF(YEAR(Assumptions!B32)+1=D19,(MONTH(Assumptions!B32)-MONTH(D17))+1,"")),"")</f>
        <v/>
      </c>
      <c r="E21" s="86" t="str">
        <f>IF(D21="",IF(YEAR(Assumptions!B32)=E19,IF(MONTH(Assumptions!D8)=12,MONTH(Assumptions!B32),IF(MONTH(Assumptions!B32)&lt;MONTH(Assumptions!D8),12-((MONTH(Assumptions!D8)-MONTH(Assumptions!B32))),IF(MONTH(Assumptions!B32)=MONTH(Assumptions!D8),1,IF(MONTH(Assumptions!B32)&gt;MONTH(Assumptions!D8),IF(YEAR(Assumptions!B32)+1=E19,(MONTH(Assumptions!B32)-MONTH(E17))+1,""),"")))),IF(YEAR(Assumptions!B32)+1=E19,(MONTH(Assumptions!B32)-MONTH(E17))+1,"")),"")</f>
        <v/>
      </c>
      <c r="F21" s="86" t="str">
        <f>IF(E21="",IF(YEAR(Assumptions!B32)=F19,IF(MONTH(Assumptions!D8)=12,MONTH(Assumptions!B32),IF(MONTH(Assumptions!B32)&lt;MONTH(Assumptions!D8),12-((MONTH(Assumptions!D8)-MONTH(Assumptions!B32))),IF(MONTH(Assumptions!B32)=MONTH(Assumptions!D8),1,IF(MONTH(Assumptions!B32)&gt;MONTH(Assumptions!D8),IF(YEAR(Assumptions!B32)+1=F19,(MONTH(Assumptions!B32)-MONTH(F17))+1,""),"")))),IF(YEAR(Assumptions!B32)+1=F19,(MONTH(Assumptions!B32)-MONTH(F17))+1,"")),"")</f>
        <v/>
      </c>
      <c r="G21" s="86" t="str">
        <f>IF(F21="",IF(YEAR(Assumptions!B32)=G19,IF(MONTH(Assumptions!D8)=12,MONTH(Assumptions!B32),IF(MONTH(Assumptions!B32)&lt;MONTH(Assumptions!D8),12-((MONTH(Assumptions!D8)-MONTH(Assumptions!B32))),IF(MONTH(Assumptions!B32)=MONTH(Assumptions!D8),1,IF(MONTH(Assumptions!B32)&gt;MONTH(Assumptions!D8),IF(YEAR(Assumptions!B32)+1=G19,(MONTH(Assumptions!B32)-MONTH(G17))+1,""),"")))),IF(YEAR(Assumptions!B32)+1=G19,(MONTH(Assumptions!B32)-MONTH(G17))+1,"")),"")</f>
        <v/>
      </c>
      <c r="H21" s="86" t="str">
        <f>IF(G21="",IF(YEAR(Assumptions!B32)=H19,IF(MONTH(Assumptions!D8)=12,MONTH(Assumptions!B32),IF(MONTH(Assumptions!B32)&lt;MONTH(Assumptions!D8),12-((MONTH(Assumptions!D8)-MONTH(Assumptions!B32))),IF(MONTH(Assumptions!B32)=MONTH(Assumptions!D8),1,IF(MONTH(Assumptions!B32)&gt;MONTH(Assumptions!D8),IF(YEAR(Assumptions!B32)+1=H19,(MONTH(Assumptions!B32)-MONTH(H17))+1,""),"")))),IF(YEAR(Assumptions!B32)+1=H19,(MONTH(Assumptions!B32)-MONTH(H17))+1,"")),"")</f>
        <v/>
      </c>
      <c r="I21" s="86" t="str">
        <f>IF(H21="",IF(YEAR(Assumptions!B32)=I19,IF(MONTH(Assumptions!D8)=12,MONTH(Assumptions!B32),IF(MONTH(Assumptions!B32)&lt;MONTH(Assumptions!D8),12-((MONTH(Assumptions!D8)-MONTH(Assumptions!B32))),IF(MONTH(Assumptions!B32)=MONTH(Assumptions!D8),1,IF(MONTH(Assumptions!B32)&gt;MONTH(Assumptions!D8),IF(YEAR(Assumptions!B32)+1=I19,(MONTH(Assumptions!B32)-MONTH(I17))+1,""),"")))),IF(YEAR(Assumptions!B32)+1=I19,(MONTH(Assumptions!B32)-MONTH(I17))+1,"")),"")</f>
        <v/>
      </c>
      <c r="J21" s="86" t="str">
        <f>IF(I21="",IF(YEAR(Assumptions!B32)=J19,IF(MONTH(Assumptions!D8)=12,MONTH(Assumptions!B32),IF(MONTH(Assumptions!B32)&lt;MONTH(Assumptions!D8),12-((MONTH(Assumptions!D8)-MONTH(Assumptions!B32))),IF(MONTH(Assumptions!B32)=MONTH(Assumptions!D8),1,IF(MONTH(Assumptions!B32)&gt;MONTH(Assumptions!D8),IF(YEAR(Assumptions!B32)+1=J19,(MONTH(Assumptions!B32)-MONTH(J17))+1,""),"")))),IF(YEAR(Assumptions!B32)+1=J19,(MONTH(Assumptions!B32)-MONTH(J17))+1,"")),"")</f>
        <v/>
      </c>
      <c r="K21" s="86" t="str">
        <f>IF(J21="",IF(YEAR(Assumptions!B32)=K19,IF(MONTH(Assumptions!D8)=12,MONTH(Assumptions!B32),IF(MONTH(Assumptions!B32)&lt;MONTH(Assumptions!D8),12-((MONTH(Assumptions!D8)-MONTH(Assumptions!B32))),IF(MONTH(Assumptions!B32)=MONTH(Assumptions!D8),1,IF(MONTH(Assumptions!B32)&gt;MONTH(Assumptions!D8),IF(YEAR(Assumptions!B32)+1=K19,(MONTH(Assumptions!B32)-MONTH(K17))+1,""),"")))),IF(YEAR(Assumptions!B32)+1=K19,(MONTH(Assumptions!B32)-MONTH(K17))+1,"")),"")</f>
        <v/>
      </c>
      <c r="L21" s="86" t="str">
        <f>IF(K21="",IF(YEAR(Assumptions!B32)=L19,IF(MONTH(Assumptions!D8)=12,MONTH(Assumptions!B32),IF(MONTH(Assumptions!B32)&lt;MONTH(Assumptions!D8),12-((MONTH(Assumptions!D8)-MONTH(Assumptions!B32))),IF(MONTH(Assumptions!B32)=MONTH(Assumptions!D8),1,IF(MONTH(Assumptions!B32)&gt;MONTH(Assumptions!D8),IF(YEAR(Assumptions!B32)+1=L19,(MONTH(Assumptions!B32)-MONTH(L17))+1,""),"")))),IF(YEAR(Assumptions!B32)+1=L19,(MONTH(Assumptions!B32)-MONTH(L17))+1,"")),"")</f>
        <v/>
      </c>
      <c r="M21" s="86" t="str">
        <f>IF(L21="",IF(YEAR(Assumptions!B32)=M19,IF(MONTH(Assumptions!D8)=12,MONTH(Assumptions!B32),IF(MONTH(Assumptions!B32)&lt;MONTH(Assumptions!D8),12-((MONTH(Assumptions!D8)-MONTH(Assumptions!B32))),IF(MONTH(Assumptions!B32)=MONTH(Assumptions!D8),1,IF(MONTH(Assumptions!B32)&gt;MONTH(Assumptions!D8),IF(YEAR(Assumptions!B32)+1=M19,(MONTH(Assumptions!B32)-MONTH(M17))+1,""),"")))),IF(YEAR(Assumptions!B32)+1=M19,(MONTH(Assumptions!B32)-MONTH(M17))+1,"")),"")</f>
        <v/>
      </c>
      <c r="N21" s="86" t="str">
        <f>IF(M21="",IF(YEAR(Assumptions!B32)=N19,IF(MONTH(Assumptions!D8)=12,MONTH(Assumptions!B32),IF(MONTH(Assumptions!B32)&lt;MONTH(Assumptions!D8),12-((MONTH(Assumptions!D8)-MONTH(Assumptions!B32))),IF(MONTH(Assumptions!B32)=MONTH(Assumptions!D8),1,IF(MONTH(Assumptions!B32)&gt;MONTH(Assumptions!D8),IF(YEAR(Assumptions!B32)+1=N19,(MONTH(Assumptions!B32)-MONTH(N17))+1,""),"")))),IF(YEAR(Assumptions!B32)+1=N19,(MONTH(Assumptions!B32)-MONTH(N17))+1,"")),"")</f>
        <v/>
      </c>
      <c r="O21" s="86" t="str">
        <f>IF(N21="",IF(YEAR(Assumptions!B32)=O19,IF(MONTH(Assumptions!D8)=12,MONTH(Assumptions!B32),IF(MONTH(Assumptions!B32)&lt;MONTH(Assumptions!D8),12-((MONTH(Assumptions!D8)-MONTH(Assumptions!B32))),IF(MONTH(Assumptions!B32)=MONTH(Assumptions!D8),1,IF(MONTH(Assumptions!B32)&gt;MONTH(Assumptions!D8),IF(YEAR(Assumptions!B32)+1=O19,(MONTH(Assumptions!B32)-MONTH(O17))+1,""),"")))),IF(YEAR(Assumptions!B32)+1=O19,(MONTH(Assumptions!B32)-MONTH(O17))+1,"")),"")</f>
        <v/>
      </c>
      <c r="P21" s="86" t="str">
        <f>IF(O21="",IF(YEAR(Assumptions!B32)=P19,IF(MONTH(Assumptions!D8)=12,MONTH(Assumptions!B32),IF(MONTH(Assumptions!B32)&lt;MONTH(Assumptions!D8),12-((MONTH(Assumptions!D8)-MONTH(Assumptions!B32))),IF(MONTH(Assumptions!B32)=MONTH(Assumptions!D8),1,IF(MONTH(Assumptions!B32)&gt;MONTH(Assumptions!D8),IF(YEAR(Assumptions!B32)+1=P19,(MONTH(Assumptions!B32)-MONTH(P17))+1,""),"")))),IF(YEAR(Assumptions!B32)+1=P19,(MONTH(Assumptions!B32)-MONTH(P17))+1,"")),"")</f>
        <v/>
      </c>
    </row>
    <row r="22" spans="1:16" ht="15" x14ac:dyDescent="0.2">
      <c r="A22" s="86" t="s">
        <v>94</v>
      </c>
      <c r="B22" s="86" t="str">
        <f>IF(YEAR(Assumptions!B22)=B19,IF(MONTH(Assumptions!D8)=12,1,IF(MONTH(Assumptions!B22)&lt;MONTH(B17),1,"")),IF(A22="",IF(B19=YEAR(Assumptions!B22)+1,1,""),""))</f>
        <v/>
      </c>
      <c r="C22" s="86" t="str">
        <f>IF(YEAR(Assumptions!B22)=C19,IF(MONTH(Assumptions!D8)=12,1,IF(MONTH(Assumptions!B22)&lt;MONTH(C17),1,"")),IF(B22="",IF(C19=YEAR(Assumptions!B22)+1,1,""),""))</f>
        <v/>
      </c>
      <c r="D22" s="86" t="str">
        <f>IF(YEAR(Assumptions!B22)=D19,IF(MONTH(Assumptions!D8)=12,1,IF(MONTH(Assumptions!B22)&lt;MONTH(D17),1,"")),IF(C22="",IF(D19=YEAR(Assumptions!B22)+1,1,""),""))</f>
        <v/>
      </c>
      <c r="E22" s="86" t="str">
        <f>IF(YEAR(Assumptions!B22)=E19,IF(MONTH(Assumptions!D8)=12,1,IF(MONTH(Assumptions!B22)&lt;MONTH(E17),1,"")),IF(D22="",IF(E19=YEAR(Assumptions!B22)+1,1,""),""))</f>
        <v/>
      </c>
      <c r="F22" s="86" t="str">
        <f>IF(YEAR(Assumptions!B22)=F19,IF(MONTH(Assumptions!D8)=12,1,IF(MONTH(Assumptions!B22)&lt;MONTH(F17),1,"")),IF(E22="",IF(F19=YEAR(Assumptions!B22)+1,1,""),""))</f>
        <v/>
      </c>
      <c r="G22" s="86" t="str">
        <f>IF(YEAR(Assumptions!B22)=G19,IF(MONTH(Assumptions!D8)=12,1,IF(MONTH(Assumptions!B22)&lt;MONTH(G17),1,"")),IF(F22="",IF(G19=YEAR(Assumptions!B22)+1,1,""),""))</f>
        <v/>
      </c>
      <c r="H22" s="86" t="str">
        <f>IF(YEAR(Assumptions!B22)=H19,IF(MONTH(Assumptions!D8)=12,1,IF(MONTH(Assumptions!B22)&lt;MONTH(H17),1,"")),IF(G22="",IF(H19=YEAR(Assumptions!B22)+1,1,""),""))</f>
        <v/>
      </c>
      <c r="I22" s="86" t="str">
        <f>IF(YEAR(Assumptions!B22)=I19,IF(MONTH(Assumptions!D8)=12,1,IF(MONTH(Assumptions!B22)&lt;MONTH(I17),1,"")),IF(H22="",IF(I19=YEAR(Assumptions!B22)+1,1,""),""))</f>
        <v/>
      </c>
      <c r="J22" s="86" t="str">
        <f>IF(YEAR(Assumptions!B22)=J19,IF(MONTH(Assumptions!D8)=12,1,IF(MONTH(Assumptions!B22)&lt;MONTH(J17),1,"")),IF(I22="",IF(J19=YEAR(Assumptions!B22)+1,1,""),""))</f>
        <v/>
      </c>
      <c r="K22" s="86" t="str">
        <f>IF(YEAR(Assumptions!B22)=K19,IF(MONTH(Assumptions!D8)=12,1,IF(MONTH(Assumptions!B22)&lt;MONTH(K17),1,"")),IF(J22="",IF(K19=YEAR(Assumptions!B22)+1,1,""),""))</f>
        <v/>
      </c>
      <c r="L22" s="86" t="str">
        <f>IF(YEAR(Assumptions!B22)=L19,IF(MONTH(Assumptions!D8)=12,1,IF(MONTH(Assumptions!B22)&lt;MONTH(L17),1,"")),IF(K22="",IF(L19=YEAR(Assumptions!B22)+1,1,""),""))</f>
        <v/>
      </c>
      <c r="M22" s="86" t="str">
        <f>IF(YEAR(Assumptions!B22)=M19,IF(MONTH(Assumptions!D8)=12,1,IF(MONTH(Assumptions!B22)&lt;MONTH(M17),1,"")),IF(L22="",IF(M19=YEAR(Assumptions!B22)+1,1,""),""))</f>
        <v/>
      </c>
      <c r="N22" s="86" t="str">
        <f>IF(YEAR(Assumptions!B22)=N19,IF(MONTH(Assumptions!D8)=12,1,IF(MONTH(Assumptions!B22)&lt;MONTH(N17),1,"")),IF(M22="",IF(N19=YEAR(Assumptions!B22)+1,1,""),""))</f>
        <v/>
      </c>
      <c r="O22" s="86" t="str">
        <f>IF(YEAR(Assumptions!B22)=O19,IF(MONTH(Assumptions!D8)=12,1,IF(MONTH(Assumptions!B22)&lt;MONTH(O17),1,"")),IF(N22="",IF(O19=YEAR(Assumptions!B22)+1,1,""),""))</f>
        <v/>
      </c>
      <c r="P22" s="86" t="str">
        <f>IF(YEAR(Assumptions!B22)=P19,IF(MONTH(Assumptions!D8)=12,1,IF(MONTH(Assumptions!B22)&lt;MONTH(P17),1,"")),IF(O22="",IF(P19=YEAR(Assumptions!B22)+1,1,""),""))</f>
        <v/>
      </c>
    </row>
    <row r="23" spans="1:16" ht="15" x14ac:dyDescent="0.2">
      <c r="A23" s="86" t="s">
        <v>95</v>
      </c>
      <c r="B23" s="86" t="str">
        <f>IF(YEAR(Assumptions!B32)=B19,IF(MONTH(Assumptions!D8)=12,1,IF(MONTH(Assumptions!B32)&lt;MONTH(B17),1,"")),IF(A23="",IF(B19=YEAR(Assumptions!B32)+1,1,""),""))</f>
        <v/>
      </c>
      <c r="C23" s="86" t="str">
        <f>IF(YEAR(Assumptions!B32)=C19,IF(MONTH(Assumptions!D8)=12,1,IF(MONTH(Assumptions!B32)&lt;MONTH(C17),1,"")),IF(B23="",IF(C19=YEAR(Assumptions!B32)+1,1,""),""))</f>
        <v/>
      </c>
      <c r="D23" s="86" t="str">
        <f>IF(YEAR(Assumptions!B32)=D19,IF(MONTH(Assumptions!D8)=12,1,IF(MONTH(Assumptions!B32)&lt;MONTH(D17),1,"")),IF(C23="",IF(D19=YEAR(Assumptions!B32)+1,1,""),""))</f>
        <v/>
      </c>
      <c r="E23" s="86" t="str">
        <f>IF(YEAR(Assumptions!B32)=E19,IF(MONTH(Assumptions!D8)=12,1,IF(MONTH(Assumptions!B32)&lt;MONTH(E17),1,"")),IF(D23="",IF(E19=YEAR(Assumptions!B32)+1,1,""),""))</f>
        <v/>
      </c>
      <c r="F23" s="86" t="str">
        <f>IF(YEAR(Assumptions!B32)=F19,IF(MONTH(Assumptions!D8)=12,1,IF(MONTH(Assumptions!B32)&lt;MONTH(F17),1,"")),IF(E23="",IF(F19=YEAR(Assumptions!B32)+1,1,""),""))</f>
        <v/>
      </c>
      <c r="G23" s="86" t="str">
        <f>IF(YEAR(Assumptions!B32)=G19,IF(MONTH(Assumptions!D8)=12,1,IF(MONTH(Assumptions!B32)&lt;MONTH(G17),1,"")),IF(F23="",IF(G19=YEAR(Assumptions!B32)+1,1,""),""))</f>
        <v/>
      </c>
      <c r="H23" s="86" t="str">
        <f>IF(YEAR(Assumptions!B32)=H19,IF(MONTH(Assumptions!D8)=12,1,IF(MONTH(Assumptions!B32)&lt;MONTH(H17),1,"")),IF(G23="",IF(H19=YEAR(Assumptions!B32)+1,1,""),""))</f>
        <v/>
      </c>
      <c r="I23" s="86" t="str">
        <f>IF(YEAR(Assumptions!B32)=I19,IF(MONTH(Assumptions!D8)=12,1,IF(MONTH(Assumptions!B32)&lt;MONTH(I17),1,"")),IF(H23="",IF(I19=YEAR(Assumptions!B32)+1,1,""),""))</f>
        <v/>
      </c>
      <c r="J23" s="86" t="str">
        <f>IF(YEAR(Assumptions!B32)=J19,IF(MONTH(Assumptions!D8)=12,1,IF(MONTH(Assumptions!B32)&lt;MONTH(J17),1,"")),IF(I23="",IF(J19=YEAR(Assumptions!B32)+1,1,""),""))</f>
        <v/>
      </c>
      <c r="K23" s="86" t="str">
        <f>IF(YEAR(Assumptions!B32)=K19,IF(MONTH(Assumptions!D8)=12,1,IF(MONTH(Assumptions!B32)&lt;MONTH(K17),1,"")),IF(J23="",IF(K19=YEAR(Assumptions!B32)+1,1,""),""))</f>
        <v/>
      </c>
      <c r="L23" s="86" t="str">
        <f>IF(YEAR(Assumptions!B32)=L19,IF(MONTH(Assumptions!D8)=12,1,IF(MONTH(Assumptions!B32)&lt;MONTH(L17),1,"")),IF(K23="",IF(L19=YEAR(Assumptions!B32)+1,1,""),""))</f>
        <v/>
      </c>
      <c r="M23" s="86" t="str">
        <f>IF(YEAR(Assumptions!B32)=M19,IF(MONTH(Assumptions!D8)=12,1,IF(MONTH(Assumptions!B32)&lt;MONTH(M17),1,"")),IF(L23="",IF(M19=YEAR(Assumptions!B32)+1,1,""),""))</f>
        <v/>
      </c>
      <c r="N23" s="86" t="str">
        <f>IF(YEAR(Assumptions!B32)=N19,IF(MONTH(Assumptions!D8)=12,1,IF(MONTH(Assumptions!B32)&lt;MONTH(N17),1,"")),IF(M23="",IF(N19=YEAR(Assumptions!B32)+1,1,""),""))</f>
        <v/>
      </c>
      <c r="O23" s="86" t="str">
        <f>IF(YEAR(Assumptions!B32)=O19,IF(MONTH(Assumptions!D8)=12,1,IF(MONTH(Assumptions!B32)&lt;MONTH(O17),1,"")),IF(N23="",IF(O19=YEAR(Assumptions!B32)+1,1,""),""))</f>
        <v/>
      </c>
      <c r="P23" s="86" t="str">
        <f>IF(YEAR(Assumptions!B32)=P19,IF(MONTH(Assumptions!D8)=12,1,IF(MONTH(Assumptions!B32)&lt;MONTH(P17),1,"")),IF(O23="",IF(P19=YEAR(Assumptions!B32)+1,1,""),""))</f>
        <v/>
      </c>
    </row>
    <row r="24" spans="1:16" ht="15" x14ac:dyDescent="0.2">
      <c r="A24" s="32"/>
      <c r="B24" s="32"/>
      <c r="C24" s="32"/>
      <c r="D24" s="32"/>
      <c r="E24" s="32"/>
      <c r="F24" s="32"/>
      <c r="G24" s="32"/>
      <c r="H24" s="32"/>
      <c r="I24" s="32"/>
      <c r="J24" s="32"/>
      <c r="K24" s="32"/>
      <c r="L24" s="32"/>
      <c r="M24" s="32"/>
      <c r="N24" s="32"/>
      <c r="O24" s="32"/>
      <c r="P24" s="32"/>
    </row>
    <row r="25" spans="1:16" ht="15" x14ac:dyDescent="0.2">
      <c r="A25" s="32"/>
      <c r="B25" s="32"/>
      <c r="C25" s="32"/>
      <c r="D25" s="32"/>
      <c r="E25" s="32"/>
      <c r="F25" s="32"/>
      <c r="G25" s="32"/>
      <c r="H25" s="32"/>
      <c r="I25" s="32"/>
      <c r="J25" s="32"/>
      <c r="K25" s="32"/>
      <c r="L25" s="32"/>
      <c r="M25" s="32"/>
      <c r="N25" s="32"/>
      <c r="O25" s="32"/>
      <c r="P25" s="32"/>
    </row>
    <row r="26" spans="1:16" ht="15" x14ac:dyDescent="0.2">
      <c r="A26" s="32"/>
      <c r="B26" s="32"/>
      <c r="C26" s="32"/>
      <c r="D26" s="32"/>
      <c r="E26" s="32"/>
      <c r="F26" s="32"/>
      <c r="G26" s="32"/>
      <c r="H26" s="32"/>
      <c r="I26" s="32"/>
      <c r="J26" s="32"/>
      <c r="K26" s="32"/>
      <c r="L26" s="32"/>
      <c r="M26" s="32"/>
      <c r="N26" s="32"/>
      <c r="O26" s="32"/>
      <c r="P26" s="32"/>
    </row>
    <row r="27" spans="1:16" ht="18" x14ac:dyDescent="0.25">
      <c r="A27" s="32"/>
      <c r="B27" s="32"/>
      <c r="C27" s="32"/>
      <c r="D27" s="32"/>
      <c r="E27" s="32"/>
      <c r="F27" s="90" t="s">
        <v>97</v>
      </c>
      <c r="G27" s="32"/>
      <c r="H27" s="32"/>
      <c r="I27" s="32"/>
      <c r="J27" s="32"/>
      <c r="K27" s="32"/>
      <c r="L27" s="32"/>
      <c r="M27" s="32"/>
      <c r="N27" s="32"/>
      <c r="O27" s="32"/>
      <c r="P27" s="32"/>
    </row>
    <row r="28" spans="1:16" ht="15" x14ac:dyDescent="0.2">
      <c r="A28" s="86"/>
      <c r="B28" s="86"/>
      <c r="C28" s="86"/>
      <c r="D28" s="86"/>
      <c r="E28" s="86"/>
      <c r="F28" s="86"/>
      <c r="G28" s="86"/>
      <c r="H28" s="86"/>
      <c r="I28" s="86"/>
      <c r="J28" s="86"/>
      <c r="K28" s="86"/>
      <c r="L28" s="86"/>
      <c r="M28" s="86"/>
      <c r="N28" s="86"/>
      <c r="O28" s="86"/>
      <c r="P28" s="86"/>
    </row>
    <row r="29" spans="1:16" ht="15" x14ac:dyDescent="0.2">
      <c r="A29" s="86"/>
      <c r="B29" s="87">
        <f>DATE(C32+1,B32,26)</f>
        <v>26</v>
      </c>
      <c r="C29" s="86"/>
      <c r="D29" s="86"/>
      <c r="E29" s="86"/>
      <c r="F29" s="86"/>
      <c r="G29" s="86"/>
      <c r="H29" s="86"/>
      <c r="I29" s="86"/>
      <c r="J29" s="86"/>
      <c r="K29" s="86"/>
      <c r="L29" s="86"/>
      <c r="M29" s="86"/>
      <c r="N29" s="86"/>
      <c r="O29" s="86"/>
      <c r="P29" s="86"/>
    </row>
    <row r="30" spans="1:16" ht="15" x14ac:dyDescent="0.2">
      <c r="A30" s="86"/>
      <c r="B30" s="86"/>
      <c r="C30" s="86"/>
      <c r="D30" s="86"/>
      <c r="E30" s="86"/>
      <c r="F30" s="86"/>
      <c r="G30" s="86"/>
      <c r="H30" s="86"/>
      <c r="I30" s="86"/>
      <c r="J30" s="86"/>
      <c r="K30" s="86"/>
      <c r="L30" s="86"/>
      <c r="M30" s="86"/>
      <c r="N30" s="86"/>
      <c r="O30" s="86"/>
      <c r="P30" s="86"/>
    </row>
    <row r="31" spans="1:16" ht="15" x14ac:dyDescent="0.2">
      <c r="A31" s="86"/>
      <c r="B31" s="86"/>
      <c r="C31" s="86"/>
      <c r="D31" s="86"/>
      <c r="E31" s="86"/>
      <c r="F31" s="86"/>
      <c r="G31" s="86"/>
      <c r="H31" s="86"/>
      <c r="I31" s="86"/>
      <c r="J31" s="86"/>
      <c r="K31" s="86"/>
      <c r="L31" s="86"/>
      <c r="M31" s="86"/>
      <c r="N31" s="86"/>
      <c r="O31" s="86"/>
      <c r="P31" s="86"/>
    </row>
    <row r="32" spans="1:16" ht="15" x14ac:dyDescent="0.2">
      <c r="A32" s="86"/>
      <c r="B32" s="88">
        <f>MONTH(Assumptions!C23)-MONTH(Assumptions!D8)</f>
        <v>-11</v>
      </c>
      <c r="C32" s="86">
        <f>YEAR(Assumptions!C23)</f>
        <v>1900</v>
      </c>
      <c r="D32" s="86">
        <f>MONTH(Assumptions!C23)</f>
        <v>1</v>
      </c>
      <c r="E32" s="86">
        <f>DAY(Assumptions!C23)</f>
        <v>0</v>
      </c>
      <c r="F32" s="86"/>
      <c r="G32" s="86">
        <f>IF(B43="",1,B43)</f>
        <v>0</v>
      </c>
      <c r="H32" s="86"/>
      <c r="I32" s="86"/>
      <c r="J32" s="86"/>
      <c r="K32" s="86"/>
      <c r="L32" s="86"/>
      <c r="M32" s="86"/>
      <c r="N32" s="86"/>
      <c r="O32" s="86"/>
      <c r="P32" s="86"/>
    </row>
    <row r="33" spans="1:16" ht="15" x14ac:dyDescent="0.2">
      <c r="A33" s="86"/>
      <c r="B33" s="86"/>
      <c r="C33" s="86"/>
      <c r="D33" s="86"/>
      <c r="E33" s="86"/>
      <c r="F33" s="86"/>
      <c r="G33" s="86"/>
      <c r="H33" s="86"/>
      <c r="I33" s="86"/>
      <c r="J33" s="86"/>
      <c r="K33" s="86"/>
      <c r="L33" s="86"/>
      <c r="M33" s="86"/>
      <c r="N33" s="86"/>
      <c r="O33" s="86"/>
      <c r="P33" s="86"/>
    </row>
    <row r="34" spans="1:16" ht="15" x14ac:dyDescent="0.2">
      <c r="A34" s="86"/>
      <c r="B34" s="86"/>
      <c r="C34" s="86"/>
      <c r="D34" s="86"/>
      <c r="E34" s="86"/>
      <c r="F34" s="86"/>
      <c r="G34" s="86"/>
      <c r="H34" s="86"/>
      <c r="I34" s="86"/>
      <c r="J34" s="86"/>
      <c r="K34" s="86"/>
      <c r="L34" s="86"/>
      <c r="M34" s="86"/>
      <c r="N34" s="86"/>
      <c r="O34" s="86"/>
      <c r="P34" s="86"/>
    </row>
    <row r="35" spans="1:16" ht="15" x14ac:dyDescent="0.2">
      <c r="A35" s="86"/>
      <c r="B35" s="86"/>
      <c r="C35" s="86"/>
      <c r="D35" s="86"/>
      <c r="E35" s="86"/>
      <c r="F35" s="86"/>
      <c r="G35" s="86"/>
      <c r="H35" s="86"/>
      <c r="I35" s="86"/>
      <c r="J35" s="86"/>
      <c r="K35" s="86"/>
      <c r="L35" s="86"/>
      <c r="M35" s="86"/>
      <c r="N35" s="86"/>
      <c r="O35" s="86"/>
      <c r="P35" s="86"/>
    </row>
    <row r="36" spans="1:16" ht="15" x14ac:dyDescent="0.2">
      <c r="A36" s="86"/>
      <c r="B36" s="88">
        <f>Assumptions!C24*12</f>
        <v>0</v>
      </c>
      <c r="C36" s="86"/>
      <c r="D36" s="86"/>
      <c r="E36" s="86"/>
      <c r="F36" s="86"/>
      <c r="G36" s="86"/>
      <c r="H36" s="86"/>
      <c r="I36" s="86"/>
      <c r="J36" s="86"/>
      <c r="K36" s="86"/>
      <c r="L36" s="86"/>
      <c r="M36" s="86"/>
      <c r="N36" s="86"/>
      <c r="O36" s="86"/>
      <c r="P36" s="86"/>
    </row>
    <row r="37" spans="1:16" ht="15" x14ac:dyDescent="0.2">
      <c r="A37" s="86"/>
      <c r="B37" s="86"/>
      <c r="C37" s="86"/>
      <c r="D37" s="86"/>
      <c r="E37" s="86"/>
      <c r="F37" s="86"/>
      <c r="G37" s="86"/>
      <c r="H37" s="86"/>
      <c r="I37" s="86"/>
      <c r="J37" s="86"/>
      <c r="K37" s="86"/>
      <c r="L37" s="86"/>
      <c r="M37" s="86"/>
      <c r="N37" s="86"/>
      <c r="O37" s="86"/>
      <c r="P37" s="86"/>
    </row>
    <row r="38" spans="1:16" ht="15" x14ac:dyDescent="0.2">
      <c r="A38" s="86" t="s">
        <v>88</v>
      </c>
      <c r="B38" s="86">
        <f>IF((MONTH(B41)-MONTH(Assumptions!C32))+1=12,0,(MONTH(B41)-MONTH(Assumptions!C32))+1)</f>
        <v>0</v>
      </c>
      <c r="C38" s="86">
        <f>IF((MONTH(C41)-MONTH(Assumptions!C32))+1=12,0,(MONTH(C41)-MONTH(Assumptions!C32))+1)</f>
        <v>0</v>
      </c>
      <c r="D38" s="86">
        <f>IF((MONTH(D41)-MONTH(Assumptions!C32))+1=12,0,(MONTH(D41)-MONTH(Assumptions!C32))+1)</f>
        <v>0</v>
      </c>
      <c r="E38" s="86">
        <f>IF((MONTH(E41)-MONTH(Assumptions!C32))+1=12,0,(MONTH(E41)-MONTH(Assumptions!C32))+1)</f>
        <v>0</v>
      </c>
      <c r="F38" s="86">
        <f>IF((MONTH(F41)-MONTH(Assumptions!C32))+1=12,0,(MONTH(F41)-MONTH(Assumptions!C32))+1)</f>
        <v>0</v>
      </c>
      <c r="G38" s="86">
        <f>IF((MONTH(G41)-MONTH(Assumptions!C32))+1=12,0,(MONTH(G41)-MONTH(Assumptions!C32))+1)</f>
        <v>0</v>
      </c>
      <c r="H38" s="86">
        <f>IF((MONTH(H41)-MONTH(Assumptions!C32))+1=12,0,(MONTH(H41)-MONTH(Assumptions!C32))+1)</f>
        <v>0</v>
      </c>
      <c r="I38" s="86">
        <f>IF((MONTH(I41)-MONTH(Assumptions!C32))+1=12,0,(MONTH(I41)-MONTH(Assumptions!C32))+1)</f>
        <v>0</v>
      </c>
      <c r="J38" s="86">
        <f>IF((MONTH(J41)-MONTH(Assumptions!C32))+1=12,0,(MONTH(J41)-MONTH(Assumptions!C32))+1)</f>
        <v>0</v>
      </c>
      <c r="K38" s="86">
        <f>IF((MONTH(K41)-MONTH(Assumptions!C32))+1=12,0,(MONTH(K41)-MONTH(Assumptions!C32))+1)</f>
        <v>0</v>
      </c>
      <c r="L38" s="86">
        <f>IF((MONTH(L41)-MONTH(Assumptions!C32))+1=12,0,(MONTH(L41)-MONTH(Assumptions!C32))+1)</f>
        <v>0</v>
      </c>
      <c r="M38" s="86">
        <f>IF((MONTH(M41)-MONTH(Assumptions!C32))+1=12,0,(MONTH(M41)-MONTH(Assumptions!C32))+1)</f>
        <v>0</v>
      </c>
      <c r="N38" s="86">
        <f>IF((MONTH(N41)-MONTH(Assumptions!C32))+1=12,0,(MONTH(N41)-MONTH(Assumptions!C32))+1)</f>
        <v>0</v>
      </c>
      <c r="O38" s="86">
        <f>IF((MONTH(O41)-MONTH(Assumptions!C32))+1=12,0,(MONTH(O41)-MONTH(Assumptions!C32))+1)</f>
        <v>0</v>
      </c>
      <c r="P38" s="86">
        <f>IF((MONTH(P41)-MONTH(Assumptions!C32))+1=12,0,(MONTH(P41)-MONTH(Assumptions!C32))+1)</f>
        <v>0</v>
      </c>
    </row>
    <row r="39" spans="1:16" ht="15" x14ac:dyDescent="0.2">
      <c r="A39" s="86" t="s">
        <v>89</v>
      </c>
      <c r="B39" s="86">
        <f>IF((MONTH(B41)-MONTH(Assumptions!C22))+1=12,0,(MONTH(B41)-MONTH(Assumptions!C22))+1)</f>
        <v>0</v>
      </c>
      <c r="C39" s="86">
        <f>IF((MONTH(C41)-MONTH(Assumptions!C22))+1=12,0,(MONTH(C41)-MONTH(Assumptions!C22))+1)</f>
        <v>0</v>
      </c>
      <c r="D39" s="86">
        <f>IF((MONTH(D41)-MONTH(Assumptions!C22))+1=12,0,(MONTH(D41)-MONTH(Assumptions!C22))+1)</f>
        <v>0</v>
      </c>
      <c r="E39" s="86">
        <f>IF((MONTH(E41)-MONTH(Assumptions!C22))+1=12,0,(MONTH(E41)-MONTH(Assumptions!C22))+1)</f>
        <v>0</v>
      </c>
      <c r="F39" s="86">
        <f>IF((MONTH(F41)-MONTH(Assumptions!C22))+1=12,0,(MONTH(F41)-MONTH(Assumptions!C22))+1)</f>
        <v>0</v>
      </c>
      <c r="G39" s="86">
        <f>IF((MONTH(G41)-MONTH(Assumptions!C22))+1=12,0,(MONTH(G41)-MONTH(Assumptions!C22))+1)</f>
        <v>0</v>
      </c>
      <c r="H39" s="86">
        <f>IF((MONTH(H41)-MONTH(Assumptions!C22))+1=12,0,(MONTH(H41)-MONTH(Assumptions!C22))+1)</f>
        <v>0</v>
      </c>
      <c r="I39" s="86">
        <f>IF((MONTH(I41)-MONTH(Assumptions!C22))+1=12,0,(MONTH(I41)-MONTH(Assumptions!C22))+1)</f>
        <v>0</v>
      </c>
      <c r="J39" s="86">
        <f>IF((MONTH(J41)-MONTH(Assumptions!C22))+1=12,0,(MONTH(J41)-MONTH(Assumptions!C22))+1)</f>
        <v>0</v>
      </c>
      <c r="K39" s="86">
        <f>IF((MONTH(K41)-MONTH(Assumptions!C22))+1=12,0,(MONTH(K41)-MONTH(Assumptions!C22))+1)</f>
        <v>0</v>
      </c>
      <c r="L39" s="86">
        <f>IF((MONTH(L41)-MONTH(Assumptions!C22))+1=12,0,(MONTH(L41)-MONTH(Assumptions!C22))+1)</f>
        <v>0</v>
      </c>
      <c r="M39" s="86">
        <f>IF((MONTH(M41)-MONTH(Assumptions!C22))+1=12,0,(MONTH(M41)-MONTH(Assumptions!C22))+1)</f>
        <v>0</v>
      </c>
      <c r="N39" s="86">
        <f>IF((MONTH(N41)-MONTH(Assumptions!C22))+1=12,0,(MONTH(N41)-MONTH(Assumptions!C22))+1)</f>
        <v>0</v>
      </c>
      <c r="O39" s="86">
        <f>IF((MONTH(O41)-MONTH(Assumptions!C22))+1=12,0,(MONTH(O41)-MONTH(Assumptions!C22))+1)</f>
        <v>0</v>
      </c>
      <c r="P39" s="86">
        <f>IF((MONTH(P41)-MONTH(Assumptions!C22))+1=12,0,(MONTH(P41)-MONTH(Assumptions!C22))+1)</f>
        <v>0</v>
      </c>
    </row>
    <row r="40" spans="1:16" ht="15" x14ac:dyDescent="0.2">
      <c r="A40" s="86" t="s">
        <v>90</v>
      </c>
      <c r="B40" s="87">
        <f>DATE(B42,IF(MONTH(Assumptions!D8)=12,1,MONTH(Assumptions!D8)+1),1)</f>
        <v>41275</v>
      </c>
      <c r="C40" s="87">
        <f>DATE(C42,IF(MONTH(Assumptions!D8)=12,1,MONTH(Assumptions!D8)+1),1)</f>
        <v>41640</v>
      </c>
      <c r="D40" s="87">
        <f>DATE(D42,IF(MONTH(Assumptions!D8)=12,1,MONTH(Assumptions!D8)+1),1)</f>
        <v>42005</v>
      </c>
      <c r="E40" s="87">
        <f>DATE(E42,IF(MONTH(Assumptions!D8)=12,1,MONTH(Assumptions!D8)+1),1)</f>
        <v>42370</v>
      </c>
      <c r="F40" s="87">
        <f>DATE(F42,IF(MONTH(Assumptions!D8)=12,1,MONTH(Assumptions!D8)+1),1)</f>
        <v>42736</v>
      </c>
      <c r="G40" s="87">
        <f>DATE(G42,IF(MONTH(Assumptions!D8)=12,1,MONTH(Assumptions!D8)+1),1)</f>
        <v>43101</v>
      </c>
      <c r="H40" s="87">
        <f>DATE(H42,IF(MONTH(Assumptions!D8)=12,1,MONTH(Assumptions!D8)+1),1)</f>
        <v>43466</v>
      </c>
      <c r="I40" s="87">
        <f>DATE(I42,IF(MONTH(Assumptions!D8)=12,1,MONTH(Assumptions!D8)+1),1)</f>
        <v>43831</v>
      </c>
      <c r="J40" s="87">
        <f>DATE(J42,IF(MONTH(Assumptions!D8)=12,1,MONTH(Assumptions!D8)+1),1)</f>
        <v>44197</v>
      </c>
      <c r="K40" s="87">
        <f>DATE(K42,IF(MONTH(Assumptions!D8)=12,1,MONTH(Assumptions!D8)+1),1)</f>
        <v>44562</v>
      </c>
      <c r="L40" s="87">
        <f>DATE(L42,IF(MONTH(Assumptions!D8)=12,1,MONTH(Assumptions!D8)+1),1)</f>
        <v>44927</v>
      </c>
      <c r="M40" s="87">
        <f>DATE(M42,IF(MONTH(Assumptions!D8)=12,1,MONTH(Assumptions!D8)+1),1)</f>
        <v>45292</v>
      </c>
      <c r="N40" s="87">
        <f>DATE(N42,IF(MONTH(Assumptions!D8)=12,1,MONTH(Assumptions!D8)+1),1)</f>
        <v>45658</v>
      </c>
      <c r="O40" s="87">
        <f>DATE(O42,IF(MONTH(Assumptions!D8)=12,1,MONTH(Assumptions!D8)+1),1)</f>
        <v>46023</v>
      </c>
      <c r="P40" s="87">
        <f>DATE(P42,IF(MONTH(Assumptions!D8)=12,1,MONTH(Assumptions!D8)+1),1)</f>
        <v>46388</v>
      </c>
    </row>
    <row r="41" spans="1:16" ht="15" x14ac:dyDescent="0.2">
      <c r="A41" s="86" t="s">
        <v>91</v>
      </c>
      <c r="B41" s="87">
        <f>DATE(IF(MONTH(Assumptions!D8)=12,B42,B42+1),MONTH(Assumptions!D8),DAY(Assumptions!D8))</f>
        <v>41639</v>
      </c>
      <c r="C41" s="87">
        <f>DATE(IF(MONTH(Assumptions!D8)=12,C42,C42+1),MONTH(Assumptions!D8),DAY(Assumptions!D8))</f>
        <v>42004</v>
      </c>
      <c r="D41" s="87">
        <f>DATE(IF(MONTH(Assumptions!D8)=12,D42,D42+1),MONTH(Assumptions!D8),DAY(Assumptions!D8))</f>
        <v>42369</v>
      </c>
      <c r="E41" s="87">
        <f>DATE(IF(MONTH(Assumptions!D8)=12,E42,E42+1),MONTH(Assumptions!D8),DAY(Assumptions!D8))</f>
        <v>42735</v>
      </c>
      <c r="F41" s="87">
        <f>DATE(IF(MONTH(Assumptions!D8)=12,F42,F42+1),MONTH(Assumptions!D8),DAY(Assumptions!D8))</f>
        <v>43100</v>
      </c>
      <c r="G41" s="87">
        <f>DATE(IF(MONTH(Assumptions!D8)=12,G42,G42+1),MONTH(Assumptions!D8),DAY(Assumptions!D8))</f>
        <v>43465</v>
      </c>
      <c r="H41" s="87">
        <f>DATE(IF(MONTH(Assumptions!D8)=12,H42,H42+1),MONTH(Assumptions!D8),DAY(Assumptions!D8))</f>
        <v>43830</v>
      </c>
      <c r="I41" s="87">
        <f>DATE(IF(MONTH(Assumptions!D8)=12,I42,I42+1),MONTH(Assumptions!D8),DAY(Assumptions!D8))</f>
        <v>44196</v>
      </c>
      <c r="J41" s="87">
        <f>DATE(IF(MONTH(Assumptions!D8)=12,J42,J42+1),MONTH(Assumptions!D8),DAY(Assumptions!D8))</f>
        <v>44561</v>
      </c>
      <c r="K41" s="87">
        <f>DATE(IF(MONTH(Assumptions!D8)=12,K42,K42+1),MONTH(Assumptions!D8),DAY(Assumptions!D8))</f>
        <v>44926</v>
      </c>
      <c r="L41" s="87">
        <f>DATE(IF(MONTH(Assumptions!D8)=12,L42,L42+1),MONTH(Assumptions!D8),DAY(Assumptions!D8))</f>
        <v>45291</v>
      </c>
      <c r="M41" s="87">
        <f>DATE(IF(MONTH(Assumptions!D8)=12,M42,M42+1),MONTH(Assumptions!D8),DAY(Assumptions!D8))</f>
        <v>45657</v>
      </c>
      <c r="N41" s="87">
        <f>DATE(IF(MONTH(Assumptions!D8)=12,N42,N42+1),MONTH(Assumptions!D8),DAY(Assumptions!D8))</f>
        <v>46022</v>
      </c>
      <c r="O41" s="87">
        <f>DATE(IF(MONTH(Assumptions!D8)=12,O42,O42+1),MONTH(Assumptions!D8),DAY(Assumptions!D8))</f>
        <v>46387</v>
      </c>
      <c r="P41" s="87">
        <f>DATE(IF(MONTH(Assumptions!D8)=12,P42,P42+1),MONTH(Assumptions!D8),DAY(Assumptions!D8))</f>
        <v>46752</v>
      </c>
    </row>
    <row r="42" spans="1:16" ht="15.75" x14ac:dyDescent="0.25">
      <c r="A42" s="86"/>
      <c r="B42" s="89">
        <f>Assumptions!$D$7</f>
        <v>2013</v>
      </c>
      <c r="C42" s="89">
        <f>+B42+1</f>
        <v>2014</v>
      </c>
      <c r="D42" s="89">
        <f t="shared" ref="D42:P42" si="1">+C42+1</f>
        <v>2015</v>
      </c>
      <c r="E42" s="89">
        <f t="shared" si="1"/>
        <v>2016</v>
      </c>
      <c r="F42" s="89">
        <f t="shared" si="1"/>
        <v>2017</v>
      </c>
      <c r="G42" s="89">
        <f t="shared" si="1"/>
        <v>2018</v>
      </c>
      <c r="H42" s="89">
        <f t="shared" si="1"/>
        <v>2019</v>
      </c>
      <c r="I42" s="89">
        <f t="shared" si="1"/>
        <v>2020</v>
      </c>
      <c r="J42" s="89">
        <f t="shared" si="1"/>
        <v>2021</v>
      </c>
      <c r="K42" s="89">
        <f t="shared" si="1"/>
        <v>2022</v>
      </c>
      <c r="L42" s="89">
        <f t="shared" si="1"/>
        <v>2023</v>
      </c>
      <c r="M42" s="89">
        <f t="shared" si="1"/>
        <v>2024</v>
      </c>
      <c r="N42" s="89">
        <f t="shared" si="1"/>
        <v>2025</v>
      </c>
      <c r="O42" s="89">
        <f t="shared" si="1"/>
        <v>2026</v>
      </c>
      <c r="P42" s="89">
        <f t="shared" si="1"/>
        <v>2027</v>
      </c>
    </row>
    <row r="43" spans="1:16" ht="15" x14ac:dyDescent="0.2">
      <c r="A43" s="86" t="s">
        <v>92</v>
      </c>
      <c r="B43" s="86">
        <f>IF(YEAR(Assumptions!C22)=B42,IF(MONTH(Assumptions!D8)=12,12-MONTH(Assumptions!C22)+1,IF(MONTH(Assumptions!C22)&lt;MONTH(Assumptions!D8),(MONTH(Assumptions!D8)-MONTH(Assumptions!C22))+1,IF(MONTH(Assumptions!C22)=MONTH(Assumptions!D8),1,""))),IF(AND(A43="",YEAR(Assumptions!C22)+1=B42),((MONTH(B41)+12)-MONTH(Assumptions!C22))+1,IF(YEAR($B$29)=B42,$B$36-SUM(A$43:$B43),IF(B42&lt;YEAR(Assumptions!C22),0,IF(B42&lt;YEAR($B$29),12,IF(B42&gt;YEAR($B$29),0))))))</f>
        <v>0</v>
      </c>
      <c r="C43" s="86" t="str">
        <f>IF(YEAR(Assumptions!C22)=C42,IF(MONTH(Assumptions!D8)=12,12-MONTH(Assumptions!C22)+1,IF(MONTH(Assumptions!C22)&lt;MONTH(Assumptions!D8),(MONTH(Assumptions!D8)-MONTH(Assumptions!C22))+1,IF(MONTH(Assumptions!C22)=MONTH(Assumptions!D8),1,""))),IF(AND(B43="",YEAR(Assumptions!C22)+1=C42),((MONTH(C41)+12)-MONTH(Assumptions!C22))+1,IF(YEAR($B$29)=C42,$B$36-SUM(B$43:$B43),IF(C42&lt;YEAR(Assumptions!C22),"",IF(C42&lt;YEAR($B$29),12,IF(C42&gt;YEAR($B$29),""))))))</f>
        <v/>
      </c>
      <c r="D43" s="86" t="str">
        <f>IF(YEAR(Assumptions!C22)=D42,IF(MONTH(Assumptions!D8)=12,12-MONTH(Assumptions!C22)+1,IF(MONTH(Assumptions!C22)&lt;MONTH(Assumptions!D8),(MONTH(Assumptions!D8)-MONTH(Assumptions!C22))+1,IF(MONTH(Assumptions!C22)=MONTH(Assumptions!D8),1,""))),IF(AND(C43="",YEAR(Assumptions!C22)+1=D42),((MONTH(D41)+12)-MONTH(Assumptions!C22))+1,IF(YEAR($B$29)=D42,$B$36-SUM($B$43:C43),IF(D42&lt;YEAR(Assumptions!C22),"",IF(D42&lt;YEAR($B$29),12,IF(D42&gt;YEAR($B$29),""))))))</f>
        <v/>
      </c>
      <c r="E43" s="86" t="str">
        <f>IF(YEAR(Assumptions!C22)=E42,IF(MONTH(Assumptions!D8)=12,12-MONTH(Assumptions!C22)+1,IF(MONTH(Assumptions!C22)&lt;MONTH(Assumptions!D8),(MONTH(Assumptions!D8)-MONTH(Assumptions!C22))+1,IF(MONTH(Assumptions!C22)=MONTH(Assumptions!D8),1,""))),IF(AND(D43="",YEAR(Assumptions!C22)+1=E42),((MONTH(E41)+12)-MONTH(Assumptions!C22))+1,IF(YEAR($B$29)=E42,$B$36-SUM($B$43:D43),IF(E42&lt;YEAR(Assumptions!C22),"",IF(E42&lt;YEAR($B$29),12,IF(E42&gt;YEAR($B$29),""))))))</f>
        <v/>
      </c>
      <c r="F43" s="86" t="str">
        <f>IF(YEAR(Assumptions!C22)=F42,IF(MONTH(Assumptions!D8)=12,12-MONTH(Assumptions!C22)+1,IF(MONTH(Assumptions!C22)&lt;MONTH(Assumptions!D8),(MONTH(Assumptions!D8)-MONTH(Assumptions!C22))+1,IF(MONTH(Assumptions!C22)=MONTH(Assumptions!D8),1,""))),IF(AND(E43="",YEAR(Assumptions!C22)+1=F42),((MONTH(F41)+12)-MONTH(Assumptions!C22))+1,IF(YEAR($B$29)=F42,$B$36-SUM($B$43:E43),IF(F42&lt;YEAR(Assumptions!C22),"",IF(F42&lt;YEAR($B$29),12,IF(F42&gt;YEAR($B$29),""))))))</f>
        <v/>
      </c>
      <c r="G43" s="86" t="str">
        <f>IF(YEAR(Assumptions!C22)=G42,IF(MONTH(Assumptions!D8)=12,12-MONTH(Assumptions!C22)+1,IF(MONTH(Assumptions!C22)&lt;MONTH(Assumptions!D8),(MONTH(Assumptions!D8)-MONTH(Assumptions!C22))+1,IF(MONTH(Assumptions!C22)=MONTH(Assumptions!D8),1,""))),IF(AND(F43="",YEAR(Assumptions!C22)+1=G42),((MONTH(G41)+12)-MONTH(Assumptions!C22))+1,IF(YEAR($B$29)=G42,$B$36-SUM($B$43:F43),IF(G42&lt;YEAR(Assumptions!C22),"",IF(G42&lt;YEAR($B$29),12,IF(G42&gt;YEAR($B$29),""))))))</f>
        <v/>
      </c>
      <c r="H43" s="86" t="str">
        <f>IF(YEAR(Assumptions!C22)=H42,IF(MONTH(Assumptions!D8)=12,12-MONTH(Assumptions!C22)+1,IF(MONTH(Assumptions!C22)&lt;MONTH(Assumptions!D8),(MONTH(Assumptions!D8)-MONTH(Assumptions!C22))+1,IF(MONTH(Assumptions!C22)=MONTH(Assumptions!D8),1,""))),IF(AND(G43="",YEAR(Assumptions!C22)+1=H42),((MONTH(H41)+12)-MONTH(Assumptions!C22))+1,IF(YEAR($B$29)=H42,$B$36-SUM($B$43:G43),IF(H42&lt;YEAR(Assumptions!C22),"",IF(H42&lt;YEAR($B$29),12,IF(H42&gt;YEAR($B$29),""))))))</f>
        <v/>
      </c>
      <c r="I43" s="86" t="str">
        <f>IF(YEAR(Assumptions!C22)=I42,IF(MONTH(Assumptions!D8)=12,12-MONTH(Assumptions!C22)+1,IF(MONTH(Assumptions!C22)&lt;MONTH(Assumptions!D8),(MONTH(Assumptions!D8)-MONTH(Assumptions!C22))+1,IF(MONTH(Assumptions!C22)=MONTH(Assumptions!D8),1,""))),IF(AND(H43="",YEAR(Assumptions!C22)+1=I42),((MONTH(I41)+12)-MONTH(Assumptions!C22))+1,IF(YEAR($B$29)=I42,$B$36-SUM($B$43:H43),IF(I42&lt;YEAR(Assumptions!C22),"",IF(I42&lt;YEAR($B$29),12,IF(I42&gt;YEAR($B$29),""))))))</f>
        <v/>
      </c>
      <c r="J43" s="86" t="str">
        <f>IF(YEAR(Assumptions!C22)=J42,IF(MONTH(Assumptions!D8)=12,12-MONTH(Assumptions!C22)+1,IF(MONTH(Assumptions!C22)&lt;MONTH(Assumptions!D8),(MONTH(Assumptions!D8)-MONTH(Assumptions!C22))+1,IF(MONTH(Assumptions!C22)=MONTH(Assumptions!D8),1,""))),IF(AND(I43="",YEAR(Assumptions!C22)+1=J42),((MONTH(J41)+12)-MONTH(Assumptions!C22))+1,IF(YEAR($B$29)=J42,$B$36-SUM($B$43:I43),IF(J42&lt;YEAR(Assumptions!C22),"",IF(J42&lt;YEAR($B$29),12,IF(J42&gt;YEAR($B$29),""))))))</f>
        <v/>
      </c>
      <c r="K43" s="86" t="str">
        <f>IF(YEAR(Assumptions!C22)=K42,IF(MONTH(Assumptions!D8)=12,12-MONTH(Assumptions!C22)+1,IF(MONTH(Assumptions!C22)&lt;MONTH(Assumptions!D8),(MONTH(Assumptions!D8)-MONTH(Assumptions!C22))+1,IF(MONTH(Assumptions!C22)=MONTH(Assumptions!D8),1,""))),IF(AND(J43="",YEAR(Assumptions!C22)+1=K42),((MONTH(K41)+12)-MONTH(Assumptions!C22))+1,IF(YEAR($B$29)=K42,$B$36-SUM($B$43:J43),IF(K42&lt;YEAR(Assumptions!C22),"",IF(K42&lt;YEAR($B$29),12,IF(K42&gt;YEAR($B$29),""))))))</f>
        <v/>
      </c>
      <c r="L43" s="86" t="str">
        <f>IF(YEAR(Assumptions!C22)=L42,IF(MONTH(Assumptions!D8)=12,12-MONTH(Assumptions!C22)+1,IF(MONTH(Assumptions!C22)&lt;MONTH(Assumptions!D8),(MONTH(Assumptions!D8)-MONTH(Assumptions!C22))+1,IF(MONTH(Assumptions!C22)=MONTH(Assumptions!D8),1,""))),IF(AND(K43="",YEAR(Assumptions!C22)+1=L42),((MONTH(L41)+12)-MONTH(Assumptions!C22))+1,IF(YEAR($B$29)=L42,$B$36-SUM($B$43:K43),IF(L42&lt;YEAR(Assumptions!C22),"",IF(L42&lt;YEAR($B$29),12,IF(L42&gt;YEAR($B$29),""))))))</f>
        <v/>
      </c>
      <c r="M43" s="86" t="str">
        <f>IF(YEAR(Assumptions!C22)=M42,IF(MONTH(Assumptions!D8)=12,12-MONTH(Assumptions!C22)+1,IF(MONTH(Assumptions!C22)&lt;MONTH(Assumptions!D8),(MONTH(Assumptions!D8)-MONTH(Assumptions!C22))+1,IF(MONTH(Assumptions!C22)=MONTH(Assumptions!D8),1,""))),IF(AND(L43="",YEAR(Assumptions!C22)+1=M42),((MONTH(M41)+12)-MONTH(Assumptions!C22))+1,IF(YEAR($B$29)=M42,$B$36-SUM($B$43:L43),IF(M42&lt;YEAR(Assumptions!C22),"",IF(M42&lt;YEAR($B$29),12,IF(M42&gt;YEAR($B$29),""))))))</f>
        <v/>
      </c>
      <c r="N43" s="86" t="str">
        <f>IF(YEAR(Assumptions!C22)=N42,IF(MONTH(Assumptions!D8)=12,12-MONTH(Assumptions!C22)+1,IF(MONTH(Assumptions!C22)&lt;MONTH(Assumptions!D8),(MONTH(Assumptions!D8)-MONTH(Assumptions!C22))+1,IF(MONTH(Assumptions!C22)=MONTH(Assumptions!D8),1,""))),IF(AND(M43="",YEAR(Assumptions!C22)+1=N42),((MONTH(N41)+12)-MONTH(Assumptions!C22))+1,IF(YEAR($B$29)=N42,$B$36-SUM($B$43:M43),IF(N42&lt;YEAR(Assumptions!C22),"",IF(N42&lt;YEAR($B$29),12,IF(N42&gt;YEAR($B$29),""))))))</f>
        <v/>
      </c>
      <c r="O43" s="86" t="str">
        <f>IF(YEAR(Assumptions!C22)=O42,IF(MONTH(Assumptions!D8)=12,12-MONTH(Assumptions!C22)+1,IF(MONTH(Assumptions!C22)&lt;MONTH(Assumptions!D8),(MONTH(Assumptions!D8)-MONTH(Assumptions!C22))+1,IF(MONTH(Assumptions!C22)=MONTH(Assumptions!D8),1,""))),IF(AND(N43="",YEAR(Assumptions!C22)+1=O42),((MONTH(O41)+12)-MONTH(Assumptions!C22))+1,IF(YEAR($B$29)=O42,$B$36-SUM($B$43:N43),IF(O42&lt;YEAR(Assumptions!C22),"",IF(O42&lt;YEAR($B$29),12,IF(O42&gt;YEAR($B$29),""))))))</f>
        <v/>
      </c>
      <c r="P43" s="86" t="str">
        <f>IF(YEAR(Assumptions!C22)=P42,IF(MONTH(Assumptions!D8)=12,12-MONTH(Assumptions!C22)+1,IF(MONTH(Assumptions!C22)&lt;MONTH(Assumptions!D8),(MONTH(Assumptions!D8)-MONTH(Assumptions!C22))+1,IF(MONTH(Assumptions!C22)=MONTH(Assumptions!D8),1,""))),IF(AND(O43="",YEAR(Assumptions!C22)+1=P42),((MONTH(P41)+12)-MONTH(Assumptions!C22))+1,IF(YEAR($B$29)=P42,$B$36-SUM($B$43:O43),IF(P42&lt;YEAR(Assumptions!C22),"",IF(P42&lt;YEAR($B$29),12,IF(P42&gt;YEAR($B$29),""))))))</f>
        <v/>
      </c>
    </row>
    <row r="44" spans="1:16" ht="15" x14ac:dyDescent="0.2">
      <c r="A44" s="86" t="s">
        <v>93</v>
      </c>
      <c r="B44" s="86" t="str">
        <f>IF(YEAR(Assumptions!C32)=B42,IF(MONTH(Assumptions!D8)=12,MONTH(Assumptions!C32),IF(MONTH(Assumptions!C32)&lt;MONTH(Assumptions!D8),12-((MONTH(Assumptions!D8)-MONTH(Assumptions!C32))),IF(MONTH(Assumptions!C32)=MONTH(Assumptions!D8),1,IF(MONTH(Assumptions!C32)&gt;MONTH(Assumptions!D8),IF(YEAR(Assumptions!C32)+1=B42,(MONTH(Assumptions!C32)-MONTH(B40))+1,""),"")))),IF(YEAR(Assumptions!C32)+1=B42,(MONTH(Assumptions!C32)-MONTH(B40))+1,""))</f>
        <v/>
      </c>
      <c r="C44" s="86" t="str">
        <f>IF(B44="",IF(YEAR(Assumptions!C32)=C42,IF(MONTH(Assumptions!D8)=12,MONTH(Assumptions!C32),IF(MONTH(Assumptions!C32)&lt;MONTH(Assumptions!D8),12-((MONTH(Assumptions!D8)-MONTH(Assumptions!C32))),IF(MONTH(Assumptions!C32)=MONTH(Assumptions!D8),1,IF(MONTH(Assumptions!C32)&gt;MONTH(Assumptions!D8),IF(YEAR(Assumptions!C32)+1=C42,(MONTH(Assumptions!C32)-MONTH(C40))+1,""),"")))),IF(YEAR(Assumptions!C32)+1=C42,(MONTH(Assumptions!C32)-MONTH(C40))+1,"")),"")</f>
        <v/>
      </c>
      <c r="D44" s="86" t="str">
        <f>IF(C44="",IF(YEAR(Assumptions!C32)=D42,IF(MONTH(Assumptions!D8)=12,MONTH(Assumptions!C32),IF(MONTH(Assumptions!C32)&lt;MONTH(Assumptions!D8),12-((MONTH(Assumptions!D8)-MONTH(Assumptions!C32))),IF(MONTH(Assumptions!C32)=MONTH(Assumptions!D8),1,IF(MONTH(Assumptions!C32)&gt;MONTH(Assumptions!D8),IF(YEAR(Assumptions!C32)+1=D42,(MONTH(Assumptions!C32)-MONTH(D40))+1,""),"")))),IF(YEAR(Assumptions!C32)+1=D42,(MONTH(Assumptions!C32)-MONTH(D40))+1,"")),"")</f>
        <v/>
      </c>
      <c r="E44" s="86" t="str">
        <f>IF(D44="",IF(YEAR(Assumptions!C32)=E42,IF(MONTH(Assumptions!D8)=12,MONTH(Assumptions!C32),IF(MONTH(Assumptions!C32)&lt;MONTH(Assumptions!D8),12-((MONTH(Assumptions!D8)-MONTH(Assumptions!C32))),IF(MONTH(Assumptions!C32)=MONTH(Assumptions!D8),1,IF(MONTH(Assumptions!C32)&gt;MONTH(Assumptions!D8),IF(YEAR(Assumptions!C32)+1=E42,(MONTH(Assumptions!C32)-MONTH(E40))+1,""),"")))),IF(YEAR(Assumptions!C32)+1=E42,(MONTH(Assumptions!C32)-MONTH(E40))+1,"")),"")</f>
        <v/>
      </c>
      <c r="F44" s="86" t="str">
        <f>IF(E44="",IF(YEAR(Assumptions!C32)=F42,IF(MONTH(Assumptions!D8)=12,MONTH(Assumptions!C32),IF(MONTH(Assumptions!C32)&lt;MONTH(Assumptions!D8),12-((MONTH(Assumptions!D8)-MONTH(Assumptions!C32))),IF(MONTH(Assumptions!C32)=MONTH(Assumptions!D8),1,IF(MONTH(Assumptions!C32)&gt;MONTH(Assumptions!D8),IF(YEAR(Assumptions!C32)+1=F42,(MONTH(Assumptions!C32)-MONTH(F40))+1,""),"")))),IF(YEAR(Assumptions!C32)+1=F42,(MONTH(Assumptions!C32)-MONTH(F40))+1,"")),"")</f>
        <v/>
      </c>
      <c r="G44" s="86">
        <f>IF(F44="",IF(YEAR(Assumptions!C32)=G42,IF(MONTH(Assumptions!D8)=12,MONTH(Assumptions!C32),IF(MONTH(Assumptions!C32)&lt;MONTH(Assumptions!D8),12-((MONTH(Assumptions!D8)-MONTH(Assumptions!C32))),IF(MONTH(Assumptions!C32)=MONTH(Assumptions!D8),1,IF(MONTH(Assumptions!C32)&gt;MONTH(Assumptions!D8),IF(YEAR(Assumptions!C32)+1=G42,(MONTH(Assumptions!C32)-MONTH(G40))+1,""),"")))),IF(YEAR(Assumptions!C32)+1=G42,(MONTH(Assumptions!C32)-MONTH(G40))+1,"")),"")</f>
        <v>1</v>
      </c>
      <c r="H44" s="86" t="str">
        <f>IF(G44="",IF(YEAR(Assumptions!C32)=H42,IF(MONTH(Assumptions!D8)=12,MONTH(Assumptions!C32),IF(MONTH(Assumptions!C32)&lt;MONTH(Assumptions!D8),12-((MONTH(Assumptions!D8)-MONTH(Assumptions!C32))),IF(MONTH(Assumptions!C32)=MONTH(Assumptions!D8),1,IF(MONTH(Assumptions!C32)&gt;MONTH(Assumptions!D8),IF(YEAR(Assumptions!C32)+1=H42,(MONTH(Assumptions!C32)-MONTH(H40))+1,""),"")))),IF(YEAR(Assumptions!C32)+1=H42,(MONTH(Assumptions!C32)-MONTH(H40))+1,"")),"")</f>
        <v/>
      </c>
      <c r="I44" s="86" t="str">
        <f>IF(H44="",IF(YEAR(Assumptions!C32)=I42,IF(MONTH(Assumptions!D8)=12,MONTH(Assumptions!C32),IF(MONTH(Assumptions!C32)&lt;MONTH(Assumptions!D8),12-((MONTH(Assumptions!D8)-MONTH(Assumptions!C32))),IF(MONTH(Assumptions!C32)=MONTH(Assumptions!D8),1,IF(MONTH(Assumptions!C32)&gt;MONTH(Assumptions!D8),IF(YEAR(Assumptions!C32)+1=I42,(MONTH(Assumptions!C32)-MONTH(I40))+1,""),"")))),IF(YEAR(Assumptions!C32)+1=I42,(MONTH(Assumptions!C32)-MONTH(I40))+1,"")),"")</f>
        <v/>
      </c>
      <c r="J44" s="86" t="str">
        <f>IF(I44="",IF(YEAR(Assumptions!C32)=J42,IF(MONTH(Assumptions!D8)=12,MONTH(Assumptions!C32),IF(MONTH(Assumptions!C32)&lt;MONTH(Assumptions!D8),12-((MONTH(Assumptions!D8)-MONTH(Assumptions!C32))),IF(MONTH(Assumptions!C32)=MONTH(Assumptions!D8),1,IF(MONTH(Assumptions!C32)&gt;MONTH(Assumptions!D8),IF(YEAR(Assumptions!C32)+1=J42,(MONTH(Assumptions!C32)-MONTH(J40))+1,""),"")))),IF(YEAR(Assumptions!C32)+1=J42,(MONTH(Assumptions!C32)-MONTH(J40))+1,"")),"")</f>
        <v/>
      </c>
      <c r="K44" s="86" t="str">
        <f>IF(J44="",IF(YEAR(Assumptions!C32)=K42,IF(MONTH(Assumptions!D8)=12,MONTH(Assumptions!C32),IF(MONTH(Assumptions!C32)&lt;MONTH(Assumptions!D8),12-((MONTH(Assumptions!D8)-MONTH(Assumptions!C32))),IF(MONTH(Assumptions!C32)=MONTH(Assumptions!D8),1,IF(MONTH(Assumptions!C32)&gt;MONTH(Assumptions!D8),IF(YEAR(Assumptions!C32)+1=K42,(MONTH(Assumptions!C32)-MONTH(K40))+1,""),"")))),IF(YEAR(Assumptions!C32)+1=K42,(MONTH(Assumptions!C32)-MONTH(K40))+1,"")),"")</f>
        <v/>
      </c>
      <c r="L44" s="86" t="str">
        <f>IF(K44="",IF(YEAR(Assumptions!C32)=L42,IF(MONTH(Assumptions!D8)=12,MONTH(Assumptions!C32),IF(MONTH(Assumptions!C32)&lt;MONTH(Assumptions!D8),12-((MONTH(Assumptions!D8)-MONTH(Assumptions!C32))),IF(MONTH(Assumptions!C32)=MONTH(Assumptions!D8),1,IF(MONTH(Assumptions!C32)&gt;MONTH(Assumptions!D8),IF(YEAR(Assumptions!C32)+1=L42,(MONTH(Assumptions!C32)-MONTH(L40))+1,""),"")))),IF(YEAR(Assumptions!C32)+1=L42,(MONTH(Assumptions!C32)-MONTH(L40))+1,"")),"")</f>
        <v/>
      </c>
      <c r="M44" s="86" t="str">
        <f>IF(L44="",IF(YEAR(Assumptions!C32)=M42,IF(MONTH(Assumptions!D8)=12,MONTH(Assumptions!C32),IF(MONTH(Assumptions!C32)&lt;MONTH(Assumptions!D8),12-((MONTH(Assumptions!D8)-MONTH(Assumptions!C32))),IF(MONTH(Assumptions!C32)=MONTH(Assumptions!D8),1,IF(MONTH(Assumptions!C32)&gt;MONTH(Assumptions!D8),IF(YEAR(Assumptions!C32)+1=M42,(MONTH(Assumptions!C32)-MONTH(M40))+1,""),"")))),IF(YEAR(Assumptions!C32)+1=M42,(MONTH(Assumptions!C32)-MONTH(M40))+1,"")),"")</f>
        <v/>
      </c>
      <c r="N44" s="86" t="str">
        <f>IF(M44="",IF(YEAR(Assumptions!C32)=N42,IF(MONTH(Assumptions!D8)=12,MONTH(Assumptions!C32),IF(MONTH(Assumptions!C32)&lt;MONTH(Assumptions!D8),12-((MONTH(Assumptions!D8)-MONTH(Assumptions!C32))),IF(MONTH(Assumptions!C32)=MONTH(Assumptions!D8),1,IF(MONTH(Assumptions!C32)&gt;MONTH(Assumptions!D8),IF(YEAR(Assumptions!C32)+1=N42,(MONTH(Assumptions!C32)-MONTH(N40))+1,""),"")))),IF(YEAR(Assumptions!C32)+1=N42,(MONTH(Assumptions!C32)-MONTH(N40))+1,"")),"")</f>
        <v/>
      </c>
      <c r="O44" s="86" t="str">
        <f>IF(N44="",IF(YEAR(Assumptions!C32)=O42,IF(MONTH(Assumptions!D8)=12,MONTH(Assumptions!C32),IF(MONTH(Assumptions!C32)&lt;MONTH(Assumptions!D8),12-((MONTH(Assumptions!D8)-MONTH(Assumptions!C32))),IF(MONTH(Assumptions!C32)=MONTH(Assumptions!D8),1,IF(MONTH(Assumptions!C32)&gt;MONTH(Assumptions!D8),IF(YEAR(Assumptions!C32)+1=O42,(MONTH(Assumptions!C32)-MONTH(O40))+1,""),"")))),IF(YEAR(Assumptions!C32)+1=O42,(MONTH(Assumptions!C32)-MONTH(O40))+1,"")),"")</f>
        <v/>
      </c>
      <c r="P44" s="86" t="str">
        <f>IF(O44="",IF(YEAR(Assumptions!C32)=P42,IF(MONTH(Assumptions!D8)=12,MONTH(Assumptions!C32),IF(MONTH(Assumptions!C32)&lt;MONTH(Assumptions!D8),12-((MONTH(Assumptions!D8)-MONTH(Assumptions!C32))),IF(MONTH(Assumptions!C32)=MONTH(Assumptions!D8),1,IF(MONTH(Assumptions!C32)&gt;MONTH(Assumptions!D8),IF(YEAR(Assumptions!C32)+1=P42,(MONTH(Assumptions!C32)-MONTH(P40))+1,""),"")))),IF(YEAR(Assumptions!C32)+1=P42,(MONTH(Assumptions!C32)-MONTH(P40))+1,"")),"")</f>
        <v/>
      </c>
    </row>
    <row r="45" spans="1:16" ht="15" x14ac:dyDescent="0.2">
      <c r="A45" s="86" t="s">
        <v>94</v>
      </c>
      <c r="B45" s="86" t="str">
        <f>IF(YEAR(Assumptions!C22)=B42,IF(MONTH(Assumptions!D8)=12,1,IF(MONTH(Assumptions!C22)&lt;MONTH(B40),1,"")),IF(A45="",IF(B42=YEAR(Assumptions!C22)+1,1,""),""))</f>
        <v/>
      </c>
      <c r="C45" s="86" t="str">
        <f>IF(YEAR(Assumptions!C22)=C42,IF(MONTH(Assumptions!D8)=12,1,IF(MONTH(Assumptions!C22)&lt;MONTH(C40),1,"")),IF(B45="",IF(C42=YEAR(Assumptions!C22)+1,1,""),""))</f>
        <v/>
      </c>
      <c r="D45" s="86" t="str">
        <f>IF(YEAR(Assumptions!C22)=D42,IF(MONTH(Assumptions!D8)=12,1,IF(MONTH(Assumptions!C22)&lt;MONTH(D40),1,"")),IF(C45="",IF(D42=YEAR(Assumptions!C22)+1,1,""),""))</f>
        <v/>
      </c>
      <c r="E45" s="86" t="str">
        <f>IF(YEAR(Assumptions!C22)=E42,IF(MONTH(Assumptions!D8)=12,1,IF(MONTH(Assumptions!C22)&lt;MONTH(E40),1,"")),IF(D45="",IF(E42=YEAR(Assumptions!C22)+1,1,""),""))</f>
        <v/>
      </c>
      <c r="F45" s="86" t="str">
        <f>IF(YEAR(Assumptions!C22)=F42,IF(MONTH(Assumptions!D8)=12,1,IF(MONTH(Assumptions!C22)&lt;MONTH(F40),1,"")),IF(E45="",IF(F42=YEAR(Assumptions!C22)+1,1,""),""))</f>
        <v/>
      </c>
      <c r="G45" s="86" t="str">
        <f>IF(YEAR(Assumptions!C22)=G42,IF(MONTH(Assumptions!D8)=12,1,IF(MONTH(Assumptions!C22)&lt;MONTH(G40),1,"")),IF(F45="",IF(G42=YEAR(Assumptions!C22)+1,1,""),""))</f>
        <v/>
      </c>
      <c r="H45" s="86" t="str">
        <f>IF(YEAR(Assumptions!C22)=H42,IF(MONTH(Assumptions!D8)=12,1,IF(MONTH(Assumptions!C22)&lt;MONTH(H40),1,"")),IF(G45="",IF(H42=YEAR(Assumptions!C22)+1,1,""),""))</f>
        <v/>
      </c>
      <c r="I45" s="86" t="str">
        <f>IF(YEAR(Assumptions!C22)=I42,IF(MONTH(Assumptions!D8)=12,1,IF(MONTH(Assumptions!C22)&lt;MONTH(I40),1,"")),IF(H45="",IF(I42=YEAR(Assumptions!C22)+1,1,""),""))</f>
        <v/>
      </c>
      <c r="J45" s="86" t="str">
        <f>IF(YEAR(Assumptions!C22)=J42,IF(MONTH(Assumptions!D8)=12,1,IF(MONTH(Assumptions!C22)&lt;MONTH(J40),1,"")),IF(I45="",IF(J42=YEAR(Assumptions!C22)+1,1,""),""))</f>
        <v/>
      </c>
      <c r="K45" s="86" t="str">
        <f>IF(YEAR(Assumptions!C22)=K42,IF(MONTH(Assumptions!D8)=12,1,IF(MONTH(Assumptions!C22)&lt;MONTH(K40),1,"")),IF(J45="",IF(K42=YEAR(Assumptions!C22)+1,1,""),""))</f>
        <v/>
      </c>
      <c r="L45" s="86" t="str">
        <f>IF(YEAR(Assumptions!C22)=L42,IF(MONTH(Assumptions!D8)=12,1,IF(MONTH(Assumptions!C22)&lt;MONTH(L40),1,"")),IF(K45="",IF(L42=YEAR(Assumptions!C22)+1,1,""),""))</f>
        <v/>
      </c>
      <c r="M45" s="86" t="str">
        <f>IF(YEAR(Assumptions!C22)=M42,IF(MONTH(Assumptions!D8)=12,1,IF(MONTH(Assumptions!C22)&lt;MONTH(M40),1,"")),IF(L45="",IF(M42=YEAR(Assumptions!C22)+1,1,""),""))</f>
        <v/>
      </c>
      <c r="N45" s="86" t="str">
        <f>IF(YEAR(Assumptions!C22)=N42,IF(MONTH(Assumptions!D8)=12,1,IF(MONTH(Assumptions!C22)&lt;MONTH(N40),1,"")),IF(M45="",IF(N42=YEAR(Assumptions!C22)+1,1,""),""))</f>
        <v/>
      </c>
      <c r="O45" s="86" t="str">
        <f>IF(YEAR(Assumptions!C22)=O42,IF(MONTH(Assumptions!D8)=12,1,IF(MONTH(Assumptions!C22)&lt;MONTH(O40),1,"")),IF(N45="",IF(O42=YEAR(Assumptions!C22)+1,1,""),""))</f>
        <v/>
      </c>
      <c r="P45" s="86" t="str">
        <f>IF(YEAR(Assumptions!C22)=P42,IF(MONTH(Assumptions!D8)=12,1,IF(MONTH(Assumptions!C22)&lt;MONTH(P40),1,"")),IF(O45="",IF(P42=YEAR(Assumptions!C22)+1,1,""),""))</f>
        <v/>
      </c>
    </row>
    <row r="46" spans="1:16" ht="15" x14ac:dyDescent="0.2">
      <c r="A46" s="86" t="s">
        <v>95</v>
      </c>
      <c r="B46" s="86" t="str">
        <f>IF(YEAR(Assumptions!C32)=B42,IF(MONTH(Assumptions!D8)=12,1,IF(MONTH(Assumptions!C32)&lt;MONTH(B40),1,"")),IF(A46="",IF(B42=YEAR(Assumptions!C32)+1,1,""),""))</f>
        <v/>
      </c>
      <c r="C46" s="86" t="str">
        <f>IF(YEAR(Assumptions!C32)=C42,IF(MONTH(Assumptions!D8)=12,1,IF(MONTH(Assumptions!C32)&lt;MONTH(C40),1,"")),IF(B46="",IF(C42=YEAR(Assumptions!C32)+1,1,""),""))</f>
        <v/>
      </c>
      <c r="D46" s="86" t="str">
        <f>IF(YEAR(Assumptions!C32)=D42,IF(MONTH(Assumptions!D8)=12,1,IF(MONTH(Assumptions!C32)&lt;MONTH(D40),1,"")),IF(C46="",IF(D42=YEAR(Assumptions!C32)+1,1,""),""))</f>
        <v/>
      </c>
      <c r="E46" s="86" t="str">
        <f>IF(YEAR(Assumptions!C32)=E42,IF(MONTH(Assumptions!D8)=12,1,IF(MONTH(Assumptions!C32)&lt;MONTH(E40),1,"")),IF(D46="",IF(E42=YEAR(Assumptions!C32)+1,1,""),""))</f>
        <v/>
      </c>
      <c r="F46" s="86" t="str">
        <f>IF(YEAR(Assumptions!C32)=F42,IF(MONTH(Assumptions!D8)=12,1,IF(MONTH(Assumptions!C32)&lt;MONTH(F40),1,"")),IF(E46="",IF(F42=YEAR(Assumptions!C32)+1,1,""),""))</f>
        <v/>
      </c>
      <c r="G46" s="86">
        <f>IF(YEAR(Assumptions!C32)=G42,IF(MONTH(Assumptions!D8)=12,1,IF(MONTH(Assumptions!C32)&lt;MONTH(G40),1,"")),IF(F46="",IF(G42=YEAR(Assumptions!C32)+1,1,""),""))</f>
        <v>1</v>
      </c>
      <c r="H46" s="86" t="str">
        <f>IF(YEAR(Assumptions!C32)=H42,IF(MONTH(Assumptions!D8)=12,1,IF(MONTH(Assumptions!C32)&lt;MONTH(H40),1,"")),IF(G46="",IF(H42=YEAR(Assumptions!C32)+1,1,""),""))</f>
        <v/>
      </c>
      <c r="I46" s="86" t="str">
        <f>IF(YEAR(Assumptions!C32)=I42,IF(MONTH(Assumptions!D8)=12,1,IF(MONTH(Assumptions!C32)&lt;MONTH(I40),1,"")),IF(H46="",IF(I42=YEAR(Assumptions!C32)+1,1,""),""))</f>
        <v/>
      </c>
      <c r="J46" s="86" t="str">
        <f>IF(YEAR(Assumptions!C32)=J42,IF(MONTH(Assumptions!D8)=12,1,IF(MONTH(Assumptions!C32)&lt;MONTH(J40),1,"")),IF(I46="",IF(J42=YEAR(Assumptions!C32)+1,1,""),""))</f>
        <v/>
      </c>
      <c r="K46" s="86" t="str">
        <f>IF(YEAR(Assumptions!C32)=K42,IF(MONTH(Assumptions!D8)=12,1,IF(MONTH(Assumptions!C32)&lt;MONTH(K40),1,"")),IF(J46="",IF(K42=YEAR(Assumptions!C32)+1,1,""),""))</f>
        <v/>
      </c>
      <c r="L46" s="86" t="str">
        <f>IF(YEAR(Assumptions!C32)=L42,IF(MONTH(Assumptions!D8)=12,1,IF(MONTH(Assumptions!C32)&lt;MONTH(L40),1,"")),IF(K46="",IF(L42=YEAR(Assumptions!C32)+1,1,""),""))</f>
        <v/>
      </c>
      <c r="M46" s="86" t="str">
        <f>IF(YEAR(Assumptions!C32)=M42,IF(MONTH(Assumptions!D8)=12,1,IF(MONTH(Assumptions!C32)&lt;MONTH(M40),1,"")),IF(L46="",IF(M42=YEAR(Assumptions!C32)+1,1,""),""))</f>
        <v/>
      </c>
      <c r="N46" s="86" t="str">
        <f>IF(YEAR(Assumptions!C32)=N42,IF(MONTH(Assumptions!D8)=12,1,IF(MONTH(Assumptions!C32)&lt;MONTH(N40),1,"")),IF(M46="",IF(N42=YEAR(Assumptions!C32)+1,1,""),""))</f>
        <v/>
      </c>
      <c r="O46" s="86" t="str">
        <f>IF(YEAR(Assumptions!C32)=O42,IF(MONTH(Assumptions!D8)=12,1,IF(MONTH(Assumptions!C32)&lt;MONTH(O40),1,"")),IF(N46="",IF(O42=YEAR(Assumptions!C32)+1,1,""),""))</f>
        <v/>
      </c>
      <c r="P46" s="86" t="str">
        <f>IF(YEAR(Assumptions!C32)=P42,IF(MONTH(Assumptions!D8)=12,1,IF(MONTH(Assumptions!C32)&lt;MONTH(P40),1,"")),IF(O46="",IF(P42=YEAR(Assumptions!C32)+1,1,""),""))</f>
        <v/>
      </c>
    </row>
    <row r="47" spans="1:16" ht="15" x14ac:dyDescent="0.2">
      <c r="A47" s="32"/>
      <c r="B47" s="32"/>
      <c r="C47" s="32"/>
      <c r="D47" s="32"/>
      <c r="E47" s="32"/>
      <c r="F47" s="32"/>
      <c r="G47" s="32"/>
      <c r="H47" s="32"/>
      <c r="I47" s="32"/>
      <c r="J47" s="32"/>
      <c r="K47" s="32"/>
      <c r="L47" s="32"/>
      <c r="M47" s="32"/>
      <c r="N47" s="32"/>
      <c r="O47" s="32"/>
      <c r="P47" s="32"/>
    </row>
    <row r="48" spans="1:16" ht="15" x14ac:dyDescent="0.2">
      <c r="A48" s="32"/>
      <c r="B48" s="32"/>
      <c r="C48" s="32"/>
      <c r="D48" s="32"/>
      <c r="E48" s="32"/>
      <c r="F48" s="32"/>
      <c r="G48" s="32"/>
      <c r="H48" s="32"/>
      <c r="I48" s="32"/>
      <c r="J48" s="32"/>
      <c r="K48" s="32"/>
      <c r="L48" s="32"/>
      <c r="M48" s="32"/>
      <c r="N48" s="32"/>
      <c r="O48" s="32"/>
      <c r="P48" s="32"/>
    </row>
    <row r="49" spans="1:16" ht="18" x14ac:dyDescent="0.25">
      <c r="A49" s="32"/>
      <c r="B49" s="32"/>
      <c r="C49" s="32"/>
      <c r="D49" s="32"/>
      <c r="E49" s="32"/>
      <c r="F49" s="90" t="s">
        <v>98</v>
      </c>
      <c r="G49" s="32"/>
      <c r="H49" s="32"/>
      <c r="I49" s="32"/>
      <c r="J49" s="32"/>
      <c r="K49" s="32"/>
      <c r="L49" s="32"/>
      <c r="M49" s="32"/>
      <c r="N49" s="32"/>
      <c r="O49" s="32"/>
      <c r="P49" s="32"/>
    </row>
    <row r="50" spans="1:16" ht="15" x14ac:dyDescent="0.2">
      <c r="A50" s="86"/>
      <c r="B50" s="86"/>
      <c r="C50" s="86"/>
      <c r="D50" s="86"/>
      <c r="E50" s="86"/>
      <c r="F50" s="86"/>
      <c r="G50" s="86"/>
      <c r="H50" s="86"/>
      <c r="I50" s="86"/>
      <c r="J50" s="86"/>
      <c r="K50" s="86"/>
      <c r="L50" s="86"/>
      <c r="M50" s="86"/>
      <c r="N50" s="86"/>
      <c r="O50" s="86"/>
      <c r="P50" s="86"/>
    </row>
    <row r="51" spans="1:16" ht="15" x14ac:dyDescent="0.2">
      <c r="A51" s="86"/>
      <c r="B51" s="87">
        <f>DATE(C54+1,B54,26)</f>
        <v>45286</v>
      </c>
      <c r="C51" s="86"/>
      <c r="D51" s="86"/>
      <c r="E51" s="86"/>
      <c r="F51" s="86"/>
      <c r="G51" s="86"/>
      <c r="H51" s="86"/>
      <c r="I51" s="86"/>
      <c r="J51" s="86"/>
      <c r="K51" s="86"/>
      <c r="L51" s="86"/>
      <c r="M51" s="86"/>
      <c r="N51" s="86"/>
      <c r="O51" s="86"/>
      <c r="P51" s="86"/>
    </row>
    <row r="52" spans="1:16" ht="15" x14ac:dyDescent="0.2">
      <c r="A52" s="86"/>
      <c r="B52" s="86"/>
      <c r="C52" s="86"/>
      <c r="D52" s="86"/>
      <c r="E52" s="86"/>
      <c r="F52" s="86"/>
      <c r="G52" s="86"/>
      <c r="H52" s="86"/>
      <c r="I52" s="86"/>
      <c r="J52" s="86"/>
      <c r="K52" s="86"/>
      <c r="L52" s="86"/>
      <c r="M52" s="86"/>
      <c r="N52" s="86"/>
      <c r="O52" s="86"/>
      <c r="P52" s="86"/>
    </row>
    <row r="53" spans="1:16" ht="15" x14ac:dyDescent="0.2">
      <c r="A53" s="86"/>
      <c r="B53" s="86"/>
      <c r="C53" s="86"/>
      <c r="D53" s="86"/>
      <c r="E53" s="86"/>
      <c r="F53" s="86"/>
      <c r="G53" s="86"/>
      <c r="H53" s="86"/>
      <c r="I53" s="86"/>
      <c r="J53" s="86"/>
      <c r="K53" s="86"/>
      <c r="L53" s="86"/>
      <c r="M53" s="86"/>
      <c r="N53" s="86"/>
      <c r="O53" s="86"/>
      <c r="P53" s="86"/>
    </row>
    <row r="54" spans="1:16" ht="15" x14ac:dyDescent="0.2">
      <c r="A54" s="86"/>
      <c r="B54" s="88">
        <f>MONTH(Assumptions!D23)-MONTH(Assumptions!D8)</f>
        <v>0</v>
      </c>
      <c r="C54" s="86">
        <f>YEAR(Assumptions!D23)</f>
        <v>2023</v>
      </c>
      <c r="D54" s="86">
        <f>MONTH(Assumptions!D23)</f>
        <v>12</v>
      </c>
      <c r="E54" s="86">
        <f>DAY(Assumptions!D23)</f>
        <v>30</v>
      </c>
      <c r="F54" s="86"/>
      <c r="G54" s="86">
        <f>IF(B65="",1,B65)</f>
        <v>0</v>
      </c>
      <c r="H54" s="86"/>
      <c r="I54" s="86"/>
      <c r="J54" s="86"/>
      <c r="K54" s="86"/>
      <c r="L54" s="86"/>
      <c r="M54" s="86"/>
      <c r="N54" s="86"/>
      <c r="O54" s="86"/>
      <c r="P54" s="86"/>
    </row>
    <row r="55" spans="1:16" ht="15" x14ac:dyDescent="0.2">
      <c r="A55" s="86"/>
      <c r="B55" s="86"/>
      <c r="C55" s="86"/>
      <c r="D55" s="86"/>
      <c r="E55" s="86"/>
      <c r="F55" s="86"/>
      <c r="G55" s="86"/>
      <c r="H55" s="86"/>
      <c r="I55" s="86"/>
      <c r="J55" s="86"/>
      <c r="K55" s="86"/>
      <c r="L55" s="86"/>
      <c r="M55" s="86"/>
      <c r="N55" s="86"/>
      <c r="O55" s="86"/>
      <c r="P55" s="86"/>
    </row>
    <row r="56" spans="1:16" ht="15" x14ac:dyDescent="0.2">
      <c r="A56" s="86"/>
      <c r="B56" s="86"/>
      <c r="C56" s="86"/>
      <c r="D56" s="86"/>
      <c r="E56" s="86"/>
      <c r="F56" s="86"/>
      <c r="G56" s="86"/>
      <c r="H56" s="86"/>
      <c r="I56" s="86"/>
      <c r="J56" s="86"/>
      <c r="K56" s="86"/>
      <c r="L56" s="86"/>
      <c r="M56" s="86"/>
      <c r="N56" s="86"/>
      <c r="O56" s="86"/>
      <c r="P56" s="86"/>
    </row>
    <row r="57" spans="1:16" ht="15" x14ac:dyDescent="0.2">
      <c r="A57" s="86"/>
      <c r="B57" s="86"/>
      <c r="C57" s="86"/>
      <c r="D57" s="86"/>
      <c r="E57" s="86"/>
      <c r="F57" s="86"/>
      <c r="G57" s="86"/>
      <c r="H57" s="86"/>
      <c r="I57" s="86"/>
      <c r="J57" s="86"/>
      <c r="K57" s="86"/>
      <c r="L57" s="86"/>
      <c r="M57" s="86"/>
      <c r="N57" s="86"/>
      <c r="O57" s="86"/>
      <c r="P57" s="86"/>
    </row>
    <row r="58" spans="1:16" ht="15" x14ac:dyDescent="0.2">
      <c r="A58" s="86"/>
      <c r="B58" s="88">
        <f>Assumptions!D24*12</f>
        <v>120</v>
      </c>
      <c r="C58" s="86"/>
      <c r="D58" s="86"/>
      <c r="E58" s="86"/>
      <c r="F58" s="86"/>
      <c r="G58" s="86"/>
      <c r="H58" s="86"/>
      <c r="I58" s="86"/>
      <c r="J58" s="86"/>
      <c r="K58" s="86"/>
      <c r="L58" s="86"/>
      <c r="M58" s="86"/>
      <c r="N58" s="86"/>
      <c r="O58" s="86"/>
      <c r="P58" s="86"/>
    </row>
    <row r="59" spans="1:16" ht="15" x14ac:dyDescent="0.2">
      <c r="A59" s="86"/>
      <c r="B59" s="86"/>
      <c r="C59" s="86"/>
      <c r="D59" s="86"/>
      <c r="E59" s="86"/>
      <c r="F59" s="86"/>
      <c r="G59" s="86"/>
      <c r="H59" s="86"/>
      <c r="I59" s="86"/>
      <c r="J59" s="86"/>
      <c r="K59" s="86"/>
      <c r="L59" s="86"/>
      <c r="M59" s="86"/>
      <c r="N59" s="86"/>
      <c r="O59" s="86"/>
      <c r="P59" s="86"/>
    </row>
    <row r="60" spans="1:16" ht="15" x14ac:dyDescent="0.2">
      <c r="A60" s="86" t="s">
        <v>88</v>
      </c>
      <c r="B60" s="86">
        <f>IF((MONTH(B63)-MONTH(Assumptions!D32))+1=12,0,(MONTH(B63)-MONTH(Assumptions!D32))+1)</f>
        <v>0</v>
      </c>
      <c r="C60" s="86">
        <f>IF((MONTH(C63)-MONTH(Assumptions!D32))+1=12,0,(MONTH(C63)-MONTH(Assumptions!D32))+1)</f>
        <v>0</v>
      </c>
      <c r="D60" s="86">
        <f>IF((MONTH(D63)-MONTH(Assumptions!D32))+1=12,0,(MONTH(D63)-MONTH(Assumptions!D32))+1)</f>
        <v>0</v>
      </c>
      <c r="E60" s="86">
        <f>IF((MONTH(E63)-MONTH(Assumptions!D32))+1=12,0,(MONTH(E63)-MONTH(Assumptions!D32))+1)</f>
        <v>0</v>
      </c>
      <c r="F60" s="86">
        <f>IF((MONTH(F63)-MONTH(Assumptions!D32))+1=12,0,(MONTH(F63)-MONTH(Assumptions!D32))+1)</f>
        <v>0</v>
      </c>
      <c r="G60" s="86">
        <f>IF((MONTH(G63)-MONTH(Assumptions!D32))+1=12,0,(MONTH(G63)-MONTH(Assumptions!D32))+1)</f>
        <v>0</v>
      </c>
      <c r="H60" s="86">
        <f>IF((MONTH(H63)-MONTH(Assumptions!D32))+1=12,0,(MONTH(H63)-MONTH(Assumptions!D32))+1)</f>
        <v>0</v>
      </c>
      <c r="I60" s="86">
        <f>IF((MONTH(I63)-MONTH(Assumptions!D32))+1=12,0,(MONTH(I63)-MONTH(Assumptions!D32))+1)</f>
        <v>0</v>
      </c>
      <c r="J60" s="86">
        <f>IF((MONTH(J63)-MONTH(Assumptions!D32))+1=12,0,(MONTH(J63)-MONTH(Assumptions!D32))+1)</f>
        <v>0</v>
      </c>
      <c r="K60" s="86">
        <f>IF((MONTH(K63)-MONTH(Assumptions!D32))+1=12,0,(MONTH(K63)-MONTH(Assumptions!D32))+1)</f>
        <v>0</v>
      </c>
      <c r="L60" s="86">
        <f>IF((MONTH(L63)-MONTH(Assumptions!D32))+1=12,0,(MONTH(L63)-MONTH(Assumptions!D32))+1)</f>
        <v>0</v>
      </c>
      <c r="M60" s="86">
        <f>IF((MONTH(M63)-MONTH(Assumptions!D32))+1=12,0,(MONTH(M63)-MONTH(Assumptions!D32))+1)</f>
        <v>0</v>
      </c>
      <c r="N60" s="86">
        <f>IF((MONTH(N63)-MONTH(Assumptions!D32))+1=12,0,(MONTH(N63)-MONTH(Assumptions!D32))+1)</f>
        <v>0</v>
      </c>
      <c r="O60" s="86">
        <f>IF((MONTH(O63)-MONTH(Assumptions!D32))+1=12,0,(MONTH(O63)-MONTH(Assumptions!D32))+1)</f>
        <v>0</v>
      </c>
      <c r="P60" s="86">
        <f>IF((MONTH(P63)-MONTH(Assumptions!D32))+1=12,0,(MONTH(P63)-MONTH(Assumptions!D32))+1)</f>
        <v>0</v>
      </c>
    </row>
    <row r="61" spans="1:16" ht="15" x14ac:dyDescent="0.2">
      <c r="A61" s="86" t="s">
        <v>89</v>
      </c>
      <c r="B61" s="86">
        <f>IF((MONTH(B63)-MONTH(Assumptions!D22))+1=12,0,(MONTH(B63)-MONTH(Assumptions!D22))+1)</f>
        <v>0</v>
      </c>
      <c r="C61" s="86">
        <f>IF((MONTH(C63)-MONTH(Assumptions!D22))+1=12,0,(MONTH(C63)-MONTH(Assumptions!D22))+1)</f>
        <v>0</v>
      </c>
      <c r="D61" s="86">
        <f>IF((MONTH(D63)-MONTH(Assumptions!D22))+1=12,0,(MONTH(D63)-MONTH(Assumptions!D22))+1)</f>
        <v>0</v>
      </c>
      <c r="E61" s="86">
        <f>IF((MONTH(E63)-MONTH(Assumptions!D22))+1=12,0,(MONTH(E63)-MONTH(Assumptions!D22))+1)</f>
        <v>0</v>
      </c>
      <c r="F61" s="86">
        <f>IF((MONTH(F63)-MONTH(Assumptions!D22))+1=12,0,(MONTH(F63)-MONTH(Assumptions!D22))+1)</f>
        <v>0</v>
      </c>
      <c r="G61" s="86">
        <f>IF((MONTH(G63)-MONTH(Assumptions!D22))+1=12,0,(MONTH(G63)-MONTH(Assumptions!D22))+1)</f>
        <v>0</v>
      </c>
      <c r="H61" s="86">
        <f>IF((MONTH(H63)-MONTH(Assumptions!D22))+1=12,0,(MONTH(H63)-MONTH(Assumptions!D22))+1)</f>
        <v>0</v>
      </c>
      <c r="I61" s="86">
        <f>IF((MONTH(I63)-MONTH(Assumptions!D22))+1=12,0,(MONTH(I63)-MONTH(Assumptions!D22))+1)</f>
        <v>0</v>
      </c>
      <c r="J61" s="86">
        <f>IF((MONTH(J63)-MONTH(Assumptions!D22))+1=12,0,(MONTH(J63)-MONTH(Assumptions!D22))+1)</f>
        <v>0</v>
      </c>
      <c r="K61" s="86">
        <f>IF((MONTH(K63)-MONTH(Assumptions!D22))+1=12,0,(MONTH(K63)-MONTH(Assumptions!D22))+1)</f>
        <v>0</v>
      </c>
      <c r="L61" s="86">
        <f>IF((MONTH(L63)-MONTH(Assumptions!D22))+1=12,0,(MONTH(L63)-MONTH(Assumptions!D22))+1)</f>
        <v>0</v>
      </c>
      <c r="M61" s="86">
        <f>IF((MONTH(M63)-MONTH(Assumptions!D22))+1=12,0,(MONTH(M63)-MONTH(Assumptions!D22))+1)</f>
        <v>0</v>
      </c>
      <c r="N61" s="86">
        <f>IF((MONTH(N63)-MONTH(Assumptions!D22))+1=12,0,(MONTH(N63)-MONTH(Assumptions!D22))+1)</f>
        <v>0</v>
      </c>
      <c r="O61" s="86">
        <f>IF((MONTH(O63)-MONTH(Assumptions!D22))+1=12,0,(MONTH(O63)-MONTH(Assumptions!D22))+1)</f>
        <v>0</v>
      </c>
      <c r="P61" s="86">
        <f>IF((MONTH(P63)-MONTH(Assumptions!D22))+1=12,0,(MONTH(P63)-MONTH(Assumptions!D22))+1)</f>
        <v>0</v>
      </c>
    </row>
    <row r="62" spans="1:16" ht="15" x14ac:dyDescent="0.2">
      <c r="A62" s="86" t="s">
        <v>90</v>
      </c>
      <c r="B62" s="87">
        <f>DATE(B64,IF(MONTH(Assumptions!D8)=12,1,MONTH(Assumptions!D8)+1),1)</f>
        <v>41275</v>
      </c>
      <c r="C62" s="87">
        <f>DATE(C64,IF(MONTH(Assumptions!D8)=12,1,MONTH(Assumptions!D8)+1),1)</f>
        <v>41640</v>
      </c>
      <c r="D62" s="87">
        <f>DATE(D64,IF(MONTH(Assumptions!D8)=12,1,MONTH(Assumptions!D8)+1),1)</f>
        <v>42005</v>
      </c>
      <c r="E62" s="87">
        <f>DATE(E64,IF(MONTH(Assumptions!D8)=12,1,MONTH(Assumptions!D8)+1),1)</f>
        <v>42370</v>
      </c>
      <c r="F62" s="87">
        <f>DATE(F64,IF(MONTH(Assumptions!D8)=12,1,MONTH(Assumptions!D8)+1),1)</f>
        <v>42736</v>
      </c>
      <c r="G62" s="87">
        <f>DATE(G64,IF(MONTH(Assumptions!D8)=12,1,MONTH(Assumptions!D8)+1),1)</f>
        <v>43101</v>
      </c>
      <c r="H62" s="87">
        <f>DATE(H64,IF(MONTH(Assumptions!D8)=12,1,MONTH(Assumptions!D8)+1),1)</f>
        <v>43466</v>
      </c>
      <c r="I62" s="87">
        <f>DATE(I64,IF(MONTH(Assumptions!D8)=12,1,MONTH(Assumptions!D8)+1),1)</f>
        <v>43831</v>
      </c>
      <c r="J62" s="87">
        <f>DATE(J64,IF(MONTH(Assumptions!D8)=12,1,MONTH(Assumptions!D8)+1),1)</f>
        <v>44197</v>
      </c>
      <c r="K62" s="87">
        <f>DATE(K64,IF(MONTH(Assumptions!D8)=12,1,MONTH(Assumptions!D8)+1),1)</f>
        <v>44562</v>
      </c>
      <c r="L62" s="87">
        <f>DATE(L64,IF(MONTH(Assumptions!D8)=12,1,MONTH(Assumptions!D8)+1),1)</f>
        <v>44927</v>
      </c>
      <c r="M62" s="87">
        <f>DATE(M64,IF(MONTH(Assumptions!D8)=12,1,MONTH(Assumptions!D8)+1),1)</f>
        <v>45292</v>
      </c>
      <c r="N62" s="87">
        <f>DATE(N64,IF(MONTH(Assumptions!D8)=12,1,MONTH(Assumptions!D8)+1),1)</f>
        <v>45658</v>
      </c>
      <c r="O62" s="87">
        <f>DATE(O64,IF(MONTH(Assumptions!D8)=12,1,MONTH(Assumptions!D8)+1),1)</f>
        <v>46023</v>
      </c>
      <c r="P62" s="87">
        <f>DATE(P64,IF(MONTH(Assumptions!D8)=12,1,MONTH(Assumptions!D8)+1),1)</f>
        <v>46388</v>
      </c>
    </row>
    <row r="63" spans="1:16" ht="15" x14ac:dyDescent="0.2">
      <c r="A63" s="86" t="s">
        <v>91</v>
      </c>
      <c r="B63" s="87">
        <f>DATE(IF(MONTH(Assumptions!D8)=12,B64,B64+1),MONTH(Assumptions!D8),DAY(Assumptions!D8))</f>
        <v>41639</v>
      </c>
      <c r="C63" s="87">
        <f>DATE(IF(MONTH(Assumptions!D8)=12,C64,C64+1),MONTH(Assumptions!D8),DAY(Assumptions!D8))</f>
        <v>42004</v>
      </c>
      <c r="D63" s="87">
        <f>DATE(IF(MONTH(Assumptions!D8)=12,D64,D64+1),MONTH(Assumptions!D8),DAY(Assumptions!D8))</f>
        <v>42369</v>
      </c>
      <c r="E63" s="87">
        <f>DATE(IF(MONTH(Assumptions!D8)=12,E64,E64+1),MONTH(Assumptions!D8),DAY(Assumptions!D8))</f>
        <v>42735</v>
      </c>
      <c r="F63" s="87">
        <f>DATE(IF(MONTH(Assumptions!D8)=12,F64,F64+1),MONTH(Assumptions!D8),DAY(Assumptions!D8))</f>
        <v>43100</v>
      </c>
      <c r="G63" s="87">
        <f>DATE(IF(MONTH(Assumptions!D8)=12,G64,G64+1),MONTH(Assumptions!D8),DAY(Assumptions!D8))</f>
        <v>43465</v>
      </c>
      <c r="H63" s="87">
        <f>DATE(IF(MONTH(Assumptions!D8)=12,H64,H64+1),MONTH(Assumptions!D8),DAY(Assumptions!D8))</f>
        <v>43830</v>
      </c>
      <c r="I63" s="87">
        <f>DATE(IF(MONTH(Assumptions!D8)=12,I64,I64+1),MONTH(Assumptions!D8),DAY(Assumptions!D8))</f>
        <v>44196</v>
      </c>
      <c r="J63" s="87">
        <f>DATE(IF(MONTH(Assumptions!D8)=12,J64,J64+1),MONTH(Assumptions!D8),DAY(Assumptions!D8))</f>
        <v>44561</v>
      </c>
      <c r="K63" s="87">
        <f>DATE(IF(MONTH(Assumptions!D8)=12,K64,K64+1),MONTH(Assumptions!D8),DAY(Assumptions!D8))</f>
        <v>44926</v>
      </c>
      <c r="L63" s="87">
        <f>DATE(IF(MONTH(Assumptions!D8)=12,L64,L64+1),MONTH(Assumptions!D8),DAY(Assumptions!D8))</f>
        <v>45291</v>
      </c>
      <c r="M63" s="87">
        <f>DATE(IF(MONTH(Assumptions!D8)=12,M64,M64+1),MONTH(Assumptions!D8),DAY(Assumptions!D8))</f>
        <v>45657</v>
      </c>
      <c r="N63" s="87">
        <f>DATE(IF(MONTH(Assumptions!D8)=12,N64,N64+1),MONTH(Assumptions!D8),DAY(Assumptions!D8))</f>
        <v>46022</v>
      </c>
      <c r="O63" s="87">
        <f>DATE(IF(MONTH(Assumptions!D8)=12,O64,O64+1),MONTH(Assumptions!D8),DAY(Assumptions!D8))</f>
        <v>46387</v>
      </c>
      <c r="P63" s="87">
        <f>DATE(IF(MONTH(Assumptions!D8)=12,P64,P64+1),MONTH(Assumptions!D8),DAY(Assumptions!D8))</f>
        <v>46752</v>
      </c>
    </row>
    <row r="64" spans="1:16" ht="15.75" x14ac:dyDescent="0.25">
      <c r="A64" s="86"/>
      <c r="B64" s="89">
        <f>Assumptions!$D$7</f>
        <v>2013</v>
      </c>
      <c r="C64" s="89">
        <f>+B64+1</f>
        <v>2014</v>
      </c>
      <c r="D64" s="89">
        <f t="shared" ref="D64:P64" si="2">+C64+1</f>
        <v>2015</v>
      </c>
      <c r="E64" s="89">
        <f t="shared" si="2"/>
        <v>2016</v>
      </c>
      <c r="F64" s="89">
        <f t="shared" si="2"/>
        <v>2017</v>
      </c>
      <c r="G64" s="89">
        <f t="shared" si="2"/>
        <v>2018</v>
      </c>
      <c r="H64" s="89">
        <f t="shared" si="2"/>
        <v>2019</v>
      </c>
      <c r="I64" s="89">
        <f t="shared" si="2"/>
        <v>2020</v>
      </c>
      <c r="J64" s="89">
        <f t="shared" si="2"/>
        <v>2021</v>
      </c>
      <c r="K64" s="89">
        <f t="shared" si="2"/>
        <v>2022</v>
      </c>
      <c r="L64" s="89">
        <f t="shared" si="2"/>
        <v>2023</v>
      </c>
      <c r="M64" s="89">
        <f t="shared" si="2"/>
        <v>2024</v>
      </c>
      <c r="N64" s="89">
        <f t="shared" si="2"/>
        <v>2025</v>
      </c>
      <c r="O64" s="89">
        <f t="shared" si="2"/>
        <v>2026</v>
      </c>
      <c r="P64" s="89">
        <f t="shared" si="2"/>
        <v>2027</v>
      </c>
    </row>
    <row r="65" spans="1:16" ht="15" x14ac:dyDescent="0.2">
      <c r="A65" s="86" t="s">
        <v>92</v>
      </c>
      <c r="B65" s="86">
        <f>IF(YEAR(Assumptions!D22)=B64,IF(MONTH(Assumptions!D8)=12,12-MONTH(Assumptions!D22)+1,IF(MONTH(Assumptions!D22)&lt;MONTH(Assumptions!D8),(MONTH(Assumptions!D8)-MONTH(Assumptions!D22))+1,IF(MONTH(Assumptions!D22)=MONTH(Assumptions!D8),1,""))),IF(AND(A65="",YEAR(Assumptions!D22)+1=B64),((MONTH(B63)+12)-MONTH(Assumptions!D22))+1,IF(YEAR($B$51)=B64,$B$58-SUM(A$65:$B65),IF(B64&lt;YEAR(Assumptions!D22),0,IF(B64&lt;YEAR($B$51),12,IF(B64&gt;YEAR($B$51),0))))))</f>
        <v>0</v>
      </c>
      <c r="C65" s="86">
        <f>IF(YEAR(Assumptions!D22)=C64,IF(MONTH(Assumptions!D8)=12,12-MONTH(Assumptions!D22)+1,IF(MONTH(Assumptions!D22)&lt;MONTH(Assumptions!D8),(MONTH(Assumptions!D8)-MONTH(Assumptions!D22))+1,IF(MONTH(Assumptions!D22)=MONTH(Assumptions!D8),1,""))),IF(AND(B65="",YEAR(Assumptions!D22)+1=C64),((MONTH(C63)+12)-MONTH(Assumptions!D22))+1,IF(YEAR($B$51)=C64,$B$58-SUM(B$65:$B65),IF(C64&lt;YEAR(Assumptions!D22),"",IF(C64&lt;YEAR($B$51),12,IF(C64&gt;YEAR($B$51),""))))))</f>
        <v>12</v>
      </c>
      <c r="D65" s="86">
        <f>IF(YEAR(Assumptions!D22)=D64,IF(MONTH(Assumptions!D8)=12,12-MONTH(Assumptions!D22)+1,IF(MONTH(Assumptions!D22)&lt;MONTH(Assumptions!D8),(MONTH(Assumptions!D8)-MONTH(Assumptions!D22))+1,IF(MONTH(Assumptions!D22)=MONTH(Assumptions!D8),1,""))),IF(AND(C65="",YEAR(Assumptions!D22)+1=D64),((MONTH(D63)+12)-MONTH(Assumptions!D22))+1,IF(YEAR($B$51)=D64,$B$58-SUM($B$65:C65),IF(D64&lt;YEAR(Assumptions!D22),"",IF(D64&lt;YEAR($B$51),12,IF(D64&gt;YEAR($B$51),""))))))</f>
        <v>12</v>
      </c>
      <c r="E65" s="86">
        <f>IF(YEAR(Assumptions!D22)=E64,IF(MONTH(Assumptions!D8)=12,12-MONTH(Assumptions!D22)+1,IF(MONTH(Assumptions!D22)&lt;MONTH(Assumptions!D8),(MONTH(Assumptions!D8)-MONTH(Assumptions!D22))+1,IF(MONTH(Assumptions!D22)=MONTH(Assumptions!D8),1,""))),IF(AND(D65="",YEAR(Assumptions!D22)+1=E64),((MONTH(E63)+12)-MONTH(Assumptions!D22))+1,IF(YEAR($B$51)=E64,$B$58-SUM($B$65:D65),IF(E64&lt;YEAR(Assumptions!D22),"",IF(E64&lt;YEAR($B$51),12,IF(E64&gt;YEAR($B$51),""))))))</f>
        <v>12</v>
      </c>
      <c r="F65" s="86">
        <f>IF(YEAR(Assumptions!D22)=F64,IF(MONTH(Assumptions!D8)=12,12-MONTH(Assumptions!D22)+1,IF(MONTH(Assumptions!D22)&lt;MONTH(Assumptions!D8),(MONTH(Assumptions!D8)-MONTH(Assumptions!D22))+1,IF(MONTH(Assumptions!D22)=MONTH(Assumptions!D8),1,""))),IF(AND(E65="",YEAR(Assumptions!D22)+1=F64),((MONTH(F63)+12)-MONTH(Assumptions!D22))+1,IF(YEAR($B$51)=F64,$B$58-SUM($B$65:E65),IF(F64&lt;YEAR(Assumptions!D22),"",IF(F64&lt;YEAR($B$51),12,IF(F64&gt;YEAR($B$51),""))))))</f>
        <v>12</v>
      </c>
      <c r="G65" s="86">
        <f>IF(YEAR(Assumptions!D22)=G64,IF(MONTH(Assumptions!D8)=12,12-MONTH(Assumptions!D22)+1,IF(MONTH(Assumptions!D22)&lt;MONTH(Assumptions!D8),(MONTH(Assumptions!D8)-MONTH(Assumptions!D22))+1,IF(MONTH(Assumptions!D22)=MONTH(Assumptions!D8),1,""))),IF(AND(F65="",YEAR(Assumptions!D22)+1=G64),((MONTH(G63)+12)-MONTH(Assumptions!D22))+1,IF(YEAR($B$51)=G64,$B$58-SUM($B$65:F65),IF(G64&lt;YEAR(Assumptions!D22),"",IF(G64&lt;YEAR($B$51),12,IF(G64&gt;YEAR($B$51),""))))))</f>
        <v>12</v>
      </c>
      <c r="H65" s="86">
        <f>IF(YEAR(Assumptions!D22)=H64,IF(MONTH(Assumptions!D8)=12,12-MONTH(Assumptions!D22)+1,IF(MONTH(Assumptions!D22)&lt;MONTH(Assumptions!D8),(MONTH(Assumptions!D8)-MONTH(Assumptions!D22))+1,IF(MONTH(Assumptions!D22)=MONTH(Assumptions!D8),1,""))),IF(AND(G65="",YEAR(Assumptions!D22)+1=H64),((MONTH(H63)+12)-MONTH(Assumptions!D22))+1,IF(YEAR($B$51)=H64,$B$58-SUM($B$65:G65),IF(H64&lt;YEAR(Assumptions!D22),"",IF(H64&lt;YEAR($B$51),12,IF(H64&gt;YEAR($B$51),""))))))</f>
        <v>12</v>
      </c>
      <c r="I65" s="86">
        <f>IF(YEAR(Assumptions!D22)=I64,IF(MONTH(Assumptions!D8)=12,12-MONTH(Assumptions!D22)+1,IF(MONTH(Assumptions!D22)&lt;MONTH(Assumptions!D8),(MONTH(Assumptions!D8)-MONTH(Assumptions!D22))+1,IF(MONTH(Assumptions!D22)=MONTH(Assumptions!D8),1,""))),IF(AND(H65="",YEAR(Assumptions!D22)+1=I64),((MONTH(I63)+12)-MONTH(Assumptions!D22))+1,IF(YEAR($B$51)=I64,$B$58-SUM($B$65:H65),IF(I64&lt;YEAR(Assumptions!D22),"",IF(I64&lt;YEAR($B$51),12,IF(I64&gt;YEAR($B$51),""))))))</f>
        <v>12</v>
      </c>
      <c r="J65" s="86">
        <f>IF(YEAR(Assumptions!D22)=J64,IF(MONTH(Assumptions!D8)=12,12-MONTH(Assumptions!D22)+1,IF(MONTH(Assumptions!D22)&lt;MONTH(Assumptions!D8),(MONTH(Assumptions!D8)-MONTH(Assumptions!D22))+1,IF(MONTH(Assumptions!D22)=MONTH(Assumptions!D8),1,""))),IF(AND(I65="",YEAR(Assumptions!D22)+1=J64),((MONTH(J63)+12)-MONTH(Assumptions!D22))+1,IF(YEAR($B$51)=J64,$B$58-SUM($B$65:I65),IF(J64&lt;YEAR(Assumptions!D22),"",IF(J64&lt;YEAR($B$51),12,IF(J64&gt;YEAR($B$51),""))))))</f>
        <v>12</v>
      </c>
      <c r="K65" s="86">
        <f>IF(YEAR(Assumptions!D22)=K64,IF(MONTH(Assumptions!D8)=12,12-MONTH(Assumptions!D22)+1,IF(MONTH(Assumptions!D22)&lt;MONTH(Assumptions!D8),(MONTH(Assumptions!D8)-MONTH(Assumptions!D22))+1,IF(MONTH(Assumptions!D22)=MONTH(Assumptions!D8),1,""))),IF(AND(J65="",YEAR(Assumptions!D22)+1=K64),((MONTH(K63)+12)-MONTH(Assumptions!D22))+1,IF(YEAR($B$51)=K64,$B$58-SUM($B$65:J65),IF(K64&lt;YEAR(Assumptions!D22),"",IF(K64&lt;YEAR($B$51),12,IF(K64&gt;YEAR($B$51),""))))))</f>
        <v>12</v>
      </c>
      <c r="L65" s="86">
        <f>IF(YEAR(Assumptions!D22)=L64,IF(MONTH(Assumptions!D8)=12,12-MONTH(Assumptions!D22)+1,IF(MONTH(Assumptions!D22)&lt;MONTH(Assumptions!D8),(MONTH(Assumptions!D8)-MONTH(Assumptions!D22))+1,IF(MONTH(Assumptions!D22)=MONTH(Assumptions!D8),1,""))),IF(AND(K65="",YEAR(Assumptions!D22)+1=L64),((MONTH(L63)+12)-MONTH(Assumptions!D22))+1,IF(YEAR($B$51)=L64,$B$58-SUM($B$65:K65),IF(L64&lt;YEAR(Assumptions!D22),"",IF(L64&lt;YEAR($B$51),12,IF(L64&gt;YEAR($B$51),""))))))</f>
        <v>12</v>
      </c>
      <c r="M65" s="86" t="str">
        <f>IF(YEAR(Assumptions!D22)=M64,IF(MONTH(Assumptions!D8)=12,12-MONTH(Assumptions!D22)+1,IF(MONTH(Assumptions!D22)&lt;MONTH(Assumptions!D8),(MONTH(Assumptions!D8)-MONTH(Assumptions!D22))+1,IF(MONTH(Assumptions!D22)=MONTH(Assumptions!D8),1,""))),IF(AND(L65="",YEAR(Assumptions!D22)+1=M64),((MONTH(M63)+12)-MONTH(Assumptions!D22))+1,IF(YEAR($B$51)=M64,$B$58-SUM($B$65:L65),IF(M64&lt;YEAR(Assumptions!D22),"",IF(M64&lt;YEAR($B$51),12,IF(M64&gt;YEAR($B$51),""))))))</f>
        <v/>
      </c>
      <c r="N65" s="86" t="str">
        <f>IF(YEAR(Assumptions!D22)=N64,IF(MONTH(Assumptions!D8)=12,12-MONTH(Assumptions!D22)+1,IF(MONTH(Assumptions!D22)&lt;MONTH(Assumptions!D8),(MONTH(Assumptions!D8)-MONTH(Assumptions!D22))+1,IF(MONTH(Assumptions!D22)=MONTH(Assumptions!D8),1,""))),IF(AND(M65="",YEAR(Assumptions!D22)+1=N64),((MONTH(N63)+12)-MONTH(Assumptions!D22))+1,IF(YEAR($B$51)=N64,$B$58-SUM($B$65:M65),IF(N64&lt;YEAR(Assumptions!D22),"",IF(N64&lt;YEAR($B$51),12,IF(N64&gt;YEAR($B$51),""))))))</f>
        <v/>
      </c>
      <c r="O65" s="86" t="str">
        <f>IF(YEAR(Assumptions!D22)=O64,IF(MONTH(Assumptions!D8)=12,12-MONTH(Assumptions!D22)+1,IF(MONTH(Assumptions!D22)&lt;MONTH(Assumptions!D8),(MONTH(Assumptions!D8)-MONTH(Assumptions!D22))+1,IF(MONTH(Assumptions!D22)=MONTH(Assumptions!D8),1,""))),IF(AND(N65="",YEAR(Assumptions!D22)+1=O64),((MONTH(O63)+12)-MONTH(Assumptions!D22))+1,IF(YEAR($B$51)=O64,$B$58-SUM($B$65:N65),IF(O64&lt;YEAR(Assumptions!D22),"",IF(O64&lt;YEAR($B$51),12,IF(O64&gt;YEAR($B$51),""))))))</f>
        <v/>
      </c>
      <c r="P65" s="86" t="str">
        <f>IF(YEAR(Assumptions!D22)=P64,IF(MONTH(Assumptions!D8)=12,12-MONTH(Assumptions!D22)+1,IF(MONTH(Assumptions!D22)&lt;MONTH(Assumptions!D8),(MONTH(Assumptions!D8)-MONTH(Assumptions!D22))+1,IF(MONTH(Assumptions!D22)=MONTH(Assumptions!D8),1,""))),IF(AND(O65="",YEAR(Assumptions!D22)+1=P64),((MONTH(P63)+12)-MONTH(Assumptions!D22))+1,IF(YEAR($B$51)=P64,$B$58-SUM($B$65:O65),IF(P64&lt;YEAR(Assumptions!D22),"",IF(P64&lt;YEAR($B$51),12,IF(P64&gt;YEAR($B$51),""))))))</f>
        <v/>
      </c>
    </row>
    <row r="66" spans="1:16" ht="15" x14ac:dyDescent="0.2">
      <c r="A66" s="86" t="s">
        <v>93</v>
      </c>
      <c r="B66" s="86" t="str">
        <f>IF(YEAR(Assumptions!D32)=B64,IF(MONTH(Assumptions!D8)=12,MONTH(Assumptions!D32),IF(MONTH(Assumptions!D32)&lt;MONTH(Assumptions!D8),12-((MONTH(Assumptions!D8)-MONTH(Assumptions!D32))),IF(MONTH(Assumptions!D32)=MONTH(Assumptions!D8),1,IF(MONTH(Assumptions!D32)&gt;MONTH(Assumptions!D8),IF(YEAR(Assumptions!D32)+1=B64,(MONTH(Assumptions!D32)-MONTH(B62))+1,""),"")))),IF(YEAR(Assumptions!D32)+1=B64,(MONTH(Assumptions!D32)-MONTH(B62))+1,""))</f>
        <v/>
      </c>
      <c r="C66" s="86" t="str">
        <f>IF(B66="",IF(YEAR(Assumptions!D32)=C64,IF(MONTH(Assumptions!D8)=12,MONTH(Assumptions!D32),IF(MONTH(Assumptions!D32)&lt;MONTH(Assumptions!D8),12-((MONTH(Assumptions!D8)-MONTH(Assumptions!D32))),IF(MONTH(Assumptions!D32)=MONTH(Assumptions!D8),1,IF(MONTH(Assumptions!D32)&gt;MONTH(Assumptions!D8),IF(YEAR(Assumptions!D32)+1=C64,(MONTH(Assumptions!D32)-MONTH(C62))+1,""),"")))),IF(YEAR(Assumptions!D32)+1=C64,(MONTH(Assumptions!D32)-MONTH(C62))+1,"")),"")</f>
        <v/>
      </c>
      <c r="D66" s="86" t="str">
        <f>IF(C66="",IF(YEAR(Assumptions!D32)=D64,IF(MONTH(Assumptions!D8)=12,MONTH(Assumptions!D32),IF(MONTH(Assumptions!D32)&lt;MONTH(Assumptions!D8),12-((MONTH(Assumptions!D8)-MONTH(Assumptions!D32))),IF(MONTH(Assumptions!D32)=MONTH(Assumptions!D8),1,IF(MONTH(Assumptions!D32)&gt;MONTH(Assumptions!D8),IF(YEAR(Assumptions!D32)+1=D64,(MONTH(Assumptions!D32)-MONTH(D62))+1,""),"")))),IF(YEAR(Assumptions!D32)+1=D64,(MONTH(Assumptions!D32)-MONTH(D62))+1,"")),"")</f>
        <v/>
      </c>
      <c r="E66" s="86" t="str">
        <f>IF(D66="",IF(YEAR(Assumptions!D32)=E64,IF(MONTH(Assumptions!D8)=12,MONTH(Assumptions!D32),IF(MONTH(Assumptions!D32)&lt;MONTH(Assumptions!D8),12-((MONTH(Assumptions!D8)-MONTH(Assumptions!D32))),IF(MONTH(Assumptions!D32)=MONTH(Assumptions!D8),1,IF(MONTH(Assumptions!D32)&gt;MONTH(Assumptions!D8),IF(YEAR(Assumptions!D32)+1=E64,(MONTH(Assumptions!D32)-MONTH(E62))+1,""),"")))),IF(YEAR(Assumptions!D32)+1=E64,(MONTH(Assumptions!D32)-MONTH(E62))+1,"")),"")</f>
        <v/>
      </c>
      <c r="F66" s="86" t="str">
        <f>IF(E66="",IF(YEAR(Assumptions!D32)=F64,IF(MONTH(Assumptions!D8)=12,MONTH(Assumptions!D32),IF(MONTH(Assumptions!D32)&lt;MONTH(Assumptions!D8),12-((MONTH(Assumptions!D8)-MONTH(Assumptions!D32))),IF(MONTH(Assumptions!D32)=MONTH(Assumptions!D8),1,IF(MONTH(Assumptions!D32)&gt;MONTH(Assumptions!D8),IF(YEAR(Assumptions!D32)+1=F64,(MONTH(Assumptions!D32)-MONTH(F62))+1,""),"")))),IF(YEAR(Assumptions!D32)+1=F64,(MONTH(Assumptions!D32)-MONTH(F62))+1,"")),"")</f>
        <v/>
      </c>
      <c r="G66" s="86">
        <f>IF(F66="",IF(YEAR(Assumptions!D32)=G64,IF(MONTH(Assumptions!D8)=12,MONTH(Assumptions!D32),IF(MONTH(Assumptions!D32)&lt;MONTH(Assumptions!D8),12-((MONTH(Assumptions!D8)-MONTH(Assumptions!D32))),IF(MONTH(Assumptions!D32)=MONTH(Assumptions!D8),1,IF(MONTH(Assumptions!D32)&gt;MONTH(Assumptions!D8),IF(YEAR(Assumptions!D32)+1=G64,(MONTH(Assumptions!D32)-MONTH(G62))+1,""),"")))),IF(YEAR(Assumptions!D32)+1=G64,(MONTH(Assumptions!D32)-MONTH(G62))+1,"")),"")</f>
        <v>1</v>
      </c>
      <c r="H66" s="86" t="str">
        <f>IF(G66="",IF(YEAR(Assumptions!D32)=H64,IF(MONTH(Assumptions!D8)=12,MONTH(Assumptions!D32),IF(MONTH(Assumptions!D32)&lt;MONTH(Assumptions!D8),12-((MONTH(Assumptions!D8)-MONTH(Assumptions!D32))),IF(MONTH(Assumptions!D32)=MONTH(Assumptions!D8),1,IF(MONTH(Assumptions!D32)&gt;MONTH(Assumptions!D8),IF(YEAR(Assumptions!D32)+1=H64,(MONTH(Assumptions!D32)-MONTH(H62))+1,""),"")))),IF(YEAR(Assumptions!D32)+1=H64,(MONTH(Assumptions!D32)-MONTH(H62))+1,"")),"")</f>
        <v/>
      </c>
      <c r="I66" s="86" t="str">
        <f>IF(H66="",IF(YEAR(Assumptions!D32)=I64,IF(MONTH(Assumptions!D8)=12,MONTH(Assumptions!D32),IF(MONTH(Assumptions!D32)&lt;MONTH(Assumptions!D8),12-((MONTH(Assumptions!D8)-MONTH(Assumptions!D32))),IF(MONTH(Assumptions!D32)=MONTH(Assumptions!D8),1,IF(MONTH(Assumptions!D32)&gt;MONTH(Assumptions!D8),IF(YEAR(Assumptions!D32)+1=I64,(MONTH(Assumptions!D32)-MONTH(I62))+1,""),"")))),IF(YEAR(Assumptions!D32)+1=I64,(MONTH(Assumptions!D32)-MONTH(I62))+1,"")),"")</f>
        <v/>
      </c>
      <c r="J66" s="86" t="str">
        <f>IF(I66="",IF(YEAR(Assumptions!D32)=J64,IF(MONTH(Assumptions!D8)=12,MONTH(Assumptions!D32),IF(MONTH(Assumptions!D32)&lt;MONTH(Assumptions!D8),12-((MONTH(Assumptions!D8)-MONTH(Assumptions!D32))),IF(MONTH(Assumptions!D32)=MONTH(Assumptions!D8),1,IF(MONTH(Assumptions!D32)&gt;MONTH(Assumptions!D8),IF(YEAR(Assumptions!D32)+1=J64,(MONTH(Assumptions!D32)-MONTH(J62))+1,""),"")))),IF(YEAR(Assumptions!D32)+1=J64,(MONTH(Assumptions!D32)-MONTH(J62))+1,"")),"")</f>
        <v/>
      </c>
      <c r="K66" s="86" t="str">
        <f>IF(J66="",IF(YEAR(Assumptions!D32)=K64,IF(MONTH(Assumptions!D8)=12,MONTH(Assumptions!D32),IF(MONTH(Assumptions!D32)&lt;MONTH(Assumptions!D8),12-((MONTH(Assumptions!D8)-MONTH(Assumptions!D32))),IF(MONTH(Assumptions!D32)=MONTH(Assumptions!D8),1,IF(MONTH(Assumptions!D32)&gt;MONTH(Assumptions!D8),IF(YEAR(Assumptions!D32)+1=K64,(MONTH(Assumptions!D32)-MONTH(K62))+1,""),"")))),IF(YEAR(Assumptions!D32)+1=K64,(MONTH(Assumptions!D32)-MONTH(K62))+1,"")),"")</f>
        <v/>
      </c>
      <c r="L66" s="86" t="str">
        <f>IF(K66="",IF(YEAR(Assumptions!D32)=L64,IF(MONTH(Assumptions!D8)=12,MONTH(Assumptions!D32),IF(MONTH(Assumptions!D32)&lt;MONTH(Assumptions!D8),12-((MONTH(Assumptions!D8)-MONTH(Assumptions!D32))),IF(MONTH(Assumptions!D32)=MONTH(Assumptions!D8),1,IF(MONTH(Assumptions!D32)&gt;MONTH(Assumptions!D8),IF(YEAR(Assumptions!D32)+1=L64,(MONTH(Assumptions!D32)-MONTH(L62))+1,""),"")))),IF(YEAR(Assumptions!D32)+1=L64,(MONTH(Assumptions!D32)-MONTH(L62))+1,"")),"")</f>
        <v/>
      </c>
      <c r="M66" s="86" t="str">
        <f>IF(L66="",IF(YEAR(Assumptions!D32)=M64,IF(MONTH(Assumptions!D8)=12,MONTH(Assumptions!D32),IF(MONTH(Assumptions!D32)&lt;MONTH(Assumptions!D8),12-((MONTH(Assumptions!D8)-MONTH(Assumptions!D32))),IF(MONTH(Assumptions!D32)=MONTH(Assumptions!D8),1,IF(MONTH(Assumptions!D32)&gt;MONTH(Assumptions!D8),IF(YEAR(Assumptions!D32)+1=M64,(MONTH(Assumptions!D32)-MONTH(M62))+1,""),"")))),IF(YEAR(Assumptions!D32)+1=M64,(MONTH(Assumptions!D32)-MONTH(M62))+1,"")),"")</f>
        <v/>
      </c>
      <c r="N66" s="86" t="str">
        <f>IF(M66="",IF(YEAR(Assumptions!D32)=N64,IF(MONTH(Assumptions!D8)=12,MONTH(Assumptions!D32),IF(MONTH(Assumptions!D32)&lt;MONTH(Assumptions!D8),12-((MONTH(Assumptions!D8)-MONTH(Assumptions!D32))),IF(MONTH(Assumptions!D32)=MONTH(Assumptions!D8),1,IF(MONTH(Assumptions!D32)&gt;MONTH(Assumptions!D8),IF(YEAR(Assumptions!D32)+1=N64,(MONTH(Assumptions!D32)-MONTH(N62))+1,""),"")))),IF(YEAR(Assumptions!D32)+1=N64,(MONTH(Assumptions!D32)-MONTH(N62))+1,"")),"")</f>
        <v/>
      </c>
      <c r="O66" s="86" t="str">
        <f>IF(N66="",IF(YEAR(Assumptions!D32)=O64,IF(MONTH(Assumptions!D8)=12,MONTH(Assumptions!D32),IF(MONTH(Assumptions!D32)&lt;MONTH(Assumptions!D8),12-((MONTH(Assumptions!D8)-MONTH(Assumptions!D32))),IF(MONTH(Assumptions!D32)=MONTH(Assumptions!D8),1,IF(MONTH(Assumptions!D32)&gt;MONTH(Assumptions!D8),IF(YEAR(Assumptions!D32)+1=O64,(MONTH(Assumptions!D32)-MONTH(O62))+1,""),"")))),IF(YEAR(Assumptions!D32)+1=O64,(MONTH(Assumptions!D32)-MONTH(O62))+1,"")),"")</f>
        <v/>
      </c>
      <c r="P66" s="86" t="str">
        <f>IF(O66="",IF(YEAR(Assumptions!D32)=P64,IF(MONTH(Assumptions!D8)=12,MONTH(Assumptions!D32),IF(MONTH(Assumptions!D32)&lt;MONTH(Assumptions!D8),12-((MONTH(Assumptions!D8)-MONTH(Assumptions!D32))),IF(MONTH(Assumptions!D32)=MONTH(Assumptions!D8),1,IF(MONTH(Assumptions!D32)&gt;MONTH(Assumptions!D8),IF(YEAR(Assumptions!D32)+1=P64,(MONTH(Assumptions!D32)-MONTH(P62))+1,""),"")))),IF(YEAR(Assumptions!D32)+1=P64,(MONTH(Assumptions!D32)-MONTH(P62))+1,"")),"")</f>
        <v/>
      </c>
    </row>
    <row r="67" spans="1:16" ht="15" x14ac:dyDescent="0.2">
      <c r="A67" s="86" t="s">
        <v>94</v>
      </c>
      <c r="B67" s="86" t="str">
        <f>IF(YEAR(Assumptions!D22)=B64,IF(MONTH(Assumptions!D8)=12,1,IF(MONTH(Assumptions!D22)&lt;MONTH(B62),1,"")),IF(A67="",IF(B64=YEAR(Assumptions!D22)+1,1,""),""))</f>
        <v/>
      </c>
      <c r="C67" s="86">
        <f>IF(YEAR(Assumptions!D22)=C64,IF(MONTH(Assumptions!D8)=12,1,IF(MONTH(Assumptions!D22)&lt;MONTH(C62),1,"")),IF(B67="",IF(C64=YEAR(Assumptions!D22)+1,1,""),""))</f>
        <v>1</v>
      </c>
      <c r="D67" s="86" t="str">
        <f>IF(YEAR(Assumptions!D22)=D64,IF(MONTH(Assumptions!D8)=12,1,IF(MONTH(Assumptions!D22)&lt;MONTH(D62),1,"")),IF(C67="",IF(D64=YEAR(Assumptions!D22)+1,1,""),""))</f>
        <v/>
      </c>
      <c r="E67" s="86" t="str">
        <f>IF(YEAR(Assumptions!D22)=E64,IF(MONTH(Assumptions!D8)=12,1,IF(MONTH(Assumptions!D22)&lt;MONTH(E62),1,"")),IF(D67="",IF(E64=YEAR(Assumptions!D22)+1,1,""),""))</f>
        <v/>
      </c>
      <c r="F67" s="86" t="str">
        <f>IF(YEAR(Assumptions!D22)=F64,IF(MONTH(Assumptions!D8)=12,1,IF(MONTH(Assumptions!D22)&lt;MONTH(F62),1,"")),IF(E67="",IF(F64=YEAR(Assumptions!D22)+1,1,""),""))</f>
        <v/>
      </c>
      <c r="G67" s="86" t="str">
        <f>IF(YEAR(Assumptions!D22)=G64,IF(MONTH(Assumptions!D8)=12,1,IF(MONTH(Assumptions!D22)&lt;MONTH(G62),1,"")),IF(F67="",IF(G64=YEAR(Assumptions!D22)+1,1,""),""))</f>
        <v/>
      </c>
      <c r="H67" s="86" t="str">
        <f>IF(YEAR(Assumptions!D22)=H64,IF(MONTH(Assumptions!D8)=12,1,IF(MONTH(Assumptions!D22)&lt;MONTH(H62),1,"")),IF(G67="",IF(H64=YEAR(Assumptions!D22)+1,1,""),""))</f>
        <v/>
      </c>
      <c r="I67" s="86" t="str">
        <f>IF(YEAR(Assumptions!D22)=I64,IF(MONTH(Assumptions!D8)=12,1,IF(MONTH(Assumptions!D22)&lt;MONTH(I62),1,"")),IF(H67="",IF(I64=YEAR(Assumptions!D22)+1,1,""),""))</f>
        <v/>
      </c>
      <c r="J67" s="86" t="str">
        <f>IF(YEAR(Assumptions!D22)=J64,IF(MONTH(Assumptions!D8)=12,1,IF(MONTH(Assumptions!D22)&lt;MONTH(J62),1,"")),IF(I67="",IF(J64=YEAR(Assumptions!D22)+1,1,""),""))</f>
        <v/>
      </c>
      <c r="K67" s="86" t="str">
        <f>IF(YEAR(Assumptions!D22)=K64,IF(MONTH(Assumptions!D8)=12,1,IF(MONTH(Assumptions!D22)&lt;MONTH(K62),1,"")),IF(J67="",IF(K64=YEAR(Assumptions!D22)+1,1,""),""))</f>
        <v/>
      </c>
      <c r="L67" s="86" t="str">
        <f>IF(YEAR(Assumptions!D22)=L64,IF(MONTH(Assumptions!D8)=12,1,IF(MONTH(Assumptions!D22)&lt;MONTH(L62),1,"")),IF(K67="",IF(L64=YEAR(Assumptions!D22)+1,1,""),""))</f>
        <v/>
      </c>
      <c r="M67" s="86" t="str">
        <f>IF(YEAR(Assumptions!D22)=M64,IF(MONTH(Assumptions!D8)=12,1,IF(MONTH(Assumptions!D22)&lt;MONTH(M62),1,"")),IF(L67="",IF(M64=YEAR(Assumptions!D22)+1,1,""),""))</f>
        <v/>
      </c>
      <c r="N67" s="86" t="str">
        <f>IF(YEAR(Assumptions!D22)=N64,IF(MONTH(Assumptions!D8)=12,1,IF(MONTH(Assumptions!D22)&lt;MONTH(N62),1,"")),IF(M67="",IF(N64=YEAR(Assumptions!D22)+1,1,""),""))</f>
        <v/>
      </c>
      <c r="O67" s="86" t="str">
        <f>IF(YEAR(Assumptions!D22)=O64,IF(MONTH(Assumptions!D8)=12,1,IF(MONTH(Assumptions!D22)&lt;MONTH(O62),1,"")),IF(N67="",IF(O64=YEAR(Assumptions!D22)+1,1,""),""))</f>
        <v/>
      </c>
      <c r="P67" s="86" t="str">
        <f>IF(YEAR(Assumptions!D22)=P64,IF(MONTH(Assumptions!D8)=12,1,IF(MONTH(Assumptions!D22)&lt;MONTH(P62),1,"")),IF(O67="",IF(P64=YEAR(Assumptions!D22)+1,1,""),""))</f>
        <v/>
      </c>
    </row>
    <row r="68" spans="1:16" ht="15" x14ac:dyDescent="0.2">
      <c r="A68" s="86" t="s">
        <v>95</v>
      </c>
      <c r="B68" s="86" t="str">
        <f>IF(YEAR(Assumptions!D32)=B64,IF(MONTH(Assumptions!D8)=12,1,IF(MONTH(Assumptions!D32)&lt;MONTH(B62),1,"")),IF(A68="",IF(B64=YEAR(Assumptions!D32)+1,1,""),""))</f>
        <v/>
      </c>
      <c r="C68" s="86" t="str">
        <f>IF(YEAR(Assumptions!D32)=C64,IF(MONTH(Assumptions!D8)=12,1,IF(MONTH(Assumptions!D32)&lt;MONTH(C62),1,"")),IF(B68="",IF(C64=YEAR(Assumptions!D32)+1,1,""),""))</f>
        <v/>
      </c>
      <c r="D68" s="86" t="str">
        <f>IF(YEAR(Assumptions!D32)=D64,IF(MONTH(Assumptions!D8)=12,1,IF(MONTH(Assumptions!D32)&lt;MONTH(D62),1,"")),IF(C68="",IF(D64=YEAR(Assumptions!D32)+1,1,""),""))</f>
        <v/>
      </c>
      <c r="E68" s="86" t="str">
        <f>IF(YEAR(Assumptions!D32)=E64,IF(MONTH(Assumptions!D8)=12,1,IF(MONTH(Assumptions!D32)&lt;MONTH(E62),1,"")),IF(D68="",IF(E64=YEAR(Assumptions!D32)+1,1,""),""))</f>
        <v/>
      </c>
      <c r="F68" s="86" t="str">
        <f>IF(YEAR(Assumptions!D32)=F64,IF(MONTH(Assumptions!D8)=12,1,IF(MONTH(Assumptions!D32)&lt;MONTH(F62),1,"")),IF(E68="",IF(F64=YEAR(Assumptions!D32)+1,1,""),""))</f>
        <v/>
      </c>
      <c r="G68" s="86">
        <f>IF(YEAR(Assumptions!D32)=G64,IF(MONTH(Assumptions!D8)=12,1,IF(MONTH(Assumptions!D32)&lt;MONTH(G62),1,"")),IF(F68="",IF(G64=YEAR(Assumptions!D32)+1,1,""),""))</f>
        <v>1</v>
      </c>
      <c r="H68" s="86" t="str">
        <f>IF(YEAR(Assumptions!D32)=H64,IF(MONTH(Assumptions!D8)=12,1,IF(MONTH(Assumptions!D32)&lt;MONTH(H62),1,"")),IF(G68="",IF(H64=YEAR(Assumptions!D32)+1,1,""),""))</f>
        <v/>
      </c>
      <c r="I68" s="86" t="str">
        <f>IF(YEAR(Assumptions!D32)=I64,IF(MONTH(Assumptions!D8)=12,1,IF(MONTH(Assumptions!D32)&lt;MONTH(I62),1,"")),IF(H68="",IF(I64=YEAR(Assumptions!D32)+1,1,""),""))</f>
        <v/>
      </c>
      <c r="J68" s="86" t="str">
        <f>IF(YEAR(Assumptions!D32)=J64,IF(MONTH(Assumptions!D8)=12,1,IF(MONTH(Assumptions!D32)&lt;MONTH(J62),1,"")),IF(I68="",IF(J64=YEAR(Assumptions!D32)+1,1,""),""))</f>
        <v/>
      </c>
      <c r="K68" s="86" t="str">
        <f>IF(YEAR(Assumptions!D32)=K64,IF(MONTH(Assumptions!D8)=12,1,IF(MONTH(Assumptions!D32)&lt;MONTH(K62),1,"")),IF(J68="",IF(K64=YEAR(Assumptions!D32)+1,1,""),""))</f>
        <v/>
      </c>
      <c r="L68" s="86" t="str">
        <f>IF(YEAR(Assumptions!D32)=L64,IF(MONTH(Assumptions!D8)=12,1,IF(MONTH(Assumptions!D32)&lt;MONTH(L62),1,"")),IF(K68="",IF(L64=YEAR(Assumptions!D32)+1,1,""),""))</f>
        <v/>
      </c>
      <c r="M68" s="86" t="str">
        <f>IF(YEAR(Assumptions!D32)=M64,IF(MONTH(Assumptions!D8)=12,1,IF(MONTH(Assumptions!D32)&lt;MONTH(M62),1,"")),IF(L68="",IF(M64=YEAR(Assumptions!D32)+1,1,""),""))</f>
        <v/>
      </c>
      <c r="N68" s="86" t="str">
        <f>IF(YEAR(Assumptions!D32)=N64,IF(MONTH(Assumptions!D8)=12,1,IF(MONTH(Assumptions!D32)&lt;MONTH(N62),1,"")),IF(M68="",IF(N64=YEAR(Assumptions!D32)+1,1,""),""))</f>
        <v/>
      </c>
      <c r="O68" s="86" t="str">
        <f>IF(YEAR(Assumptions!D32)=O64,IF(MONTH(Assumptions!D8)=12,1,IF(MONTH(Assumptions!D32)&lt;MONTH(O62),1,"")),IF(N68="",IF(O64=YEAR(Assumptions!D32)+1,1,""),""))</f>
        <v/>
      </c>
      <c r="P68" s="86" t="str">
        <f>IF(YEAR(Assumptions!D32)=P64,IF(MONTH(Assumptions!D8)=12,1,IF(MONTH(Assumptions!D32)&lt;MONTH(P62),1,"")),IF(O68="",IF(P64=YEAR(Assumptions!D32)+1,1,""),""))</f>
        <v/>
      </c>
    </row>
    <row r="69" spans="1:16" ht="15" x14ac:dyDescent="0.2">
      <c r="A69" s="32"/>
      <c r="B69" s="32"/>
      <c r="C69" s="32"/>
      <c r="D69" s="32"/>
      <c r="E69" s="32"/>
      <c r="F69" s="32"/>
      <c r="G69" s="32"/>
      <c r="H69" s="32"/>
      <c r="I69" s="32"/>
      <c r="J69" s="32"/>
      <c r="K69" s="32"/>
      <c r="L69" s="32"/>
      <c r="M69" s="32"/>
      <c r="N69" s="32"/>
      <c r="O69" s="32"/>
      <c r="P69" s="32"/>
    </row>
    <row r="70" spans="1:16" ht="15" x14ac:dyDescent="0.2">
      <c r="A70" s="32"/>
      <c r="B70" s="32"/>
      <c r="C70" s="32"/>
      <c r="D70" s="32"/>
      <c r="E70" s="32"/>
      <c r="F70" s="32"/>
      <c r="G70" s="32"/>
      <c r="H70" s="32"/>
      <c r="I70" s="32"/>
      <c r="J70" s="32"/>
      <c r="K70" s="32"/>
      <c r="L70" s="32"/>
      <c r="M70" s="32"/>
      <c r="N70" s="32"/>
      <c r="O70" s="32"/>
      <c r="P70" s="32"/>
    </row>
    <row r="71" spans="1:16" ht="18" x14ac:dyDescent="0.25">
      <c r="A71" s="32"/>
      <c r="B71" s="32"/>
      <c r="C71" s="32"/>
      <c r="D71" s="32"/>
      <c r="E71" s="32"/>
      <c r="F71" s="90" t="s">
        <v>102</v>
      </c>
      <c r="G71" s="32"/>
      <c r="H71" s="32"/>
      <c r="I71" s="32"/>
      <c r="J71" s="32"/>
      <c r="K71" s="32"/>
      <c r="L71" s="32"/>
      <c r="M71" s="32"/>
      <c r="N71" s="32"/>
      <c r="O71" s="32"/>
      <c r="P71" s="32"/>
    </row>
    <row r="72" spans="1:16" ht="15" x14ac:dyDescent="0.2">
      <c r="A72" s="86"/>
      <c r="B72" s="86"/>
      <c r="C72" s="86"/>
      <c r="D72" s="86"/>
      <c r="E72" s="86"/>
      <c r="F72" s="86"/>
      <c r="G72" s="86"/>
      <c r="H72" s="86"/>
      <c r="I72" s="86"/>
      <c r="J72" s="86"/>
      <c r="K72" s="86"/>
      <c r="L72" s="86"/>
      <c r="M72" s="86"/>
      <c r="N72" s="86"/>
      <c r="O72" s="86"/>
      <c r="P72" s="86"/>
    </row>
    <row r="73" spans="1:16" ht="15" x14ac:dyDescent="0.2">
      <c r="A73" s="86"/>
      <c r="B73" s="87">
        <f>DATE(C76+1,B76,26)</f>
        <v>45286</v>
      </c>
      <c r="C73" s="86"/>
      <c r="D73" s="86"/>
      <c r="E73" s="86"/>
      <c r="F73" s="86"/>
      <c r="G73" s="86"/>
      <c r="H73" s="86"/>
      <c r="I73" s="86"/>
      <c r="J73" s="86"/>
      <c r="K73" s="86"/>
      <c r="L73" s="86"/>
      <c r="M73" s="86"/>
      <c r="N73" s="86"/>
      <c r="O73" s="86"/>
      <c r="P73" s="86"/>
    </row>
    <row r="74" spans="1:16" ht="15" x14ac:dyDescent="0.2">
      <c r="A74" s="86"/>
      <c r="B74" s="86"/>
      <c r="C74" s="86"/>
      <c r="D74" s="86"/>
      <c r="E74" s="86"/>
      <c r="F74" s="86"/>
      <c r="G74" s="86"/>
      <c r="H74" s="86"/>
      <c r="I74" s="86"/>
      <c r="J74" s="86"/>
      <c r="K74" s="86"/>
      <c r="L74" s="86"/>
      <c r="M74" s="86"/>
      <c r="N74" s="86"/>
      <c r="O74" s="86"/>
      <c r="P74" s="86"/>
    </row>
    <row r="75" spans="1:16" ht="15" x14ac:dyDescent="0.2">
      <c r="A75" s="86"/>
      <c r="B75" s="86"/>
      <c r="C75" s="86"/>
      <c r="D75" s="86"/>
      <c r="E75" s="86"/>
      <c r="F75" s="86"/>
      <c r="G75" s="86"/>
      <c r="H75" s="86"/>
      <c r="I75" s="86"/>
      <c r="J75" s="86"/>
      <c r="K75" s="86"/>
      <c r="L75" s="86"/>
      <c r="M75" s="86"/>
      <c r="N75" s="86"/>
      <c r="O75" s="86"/>
      <c r="P75" s="86"/>
    </row>
    <row r="76" spans="1:16" ht="15" x14ac:dyDescent="0.2">
      <c r="A76" s="86"/>
      <c r="B76" s="88">
        <f>MONTH(Assumptions!E23)-MONTH(Assumptions!D8)</f>
        <v>0</v>
      </c>
      <c r="C76" s="86">
        <f>YEAR(Assumptions!E23)</f>
        <v>2023</v>
      </c>
      <c r="D76" s="86">
        <f>MONTH(Assumptions!E23)</f>
        <v>12</v>
      </c>
      <c r="E76" s="86">
        <f>DAY(Assumptions!E23)</f>
        <v>30</v>
      </c>
      <c r="F76" s="86"/>
      <c r="G76" s="86">
        <f>IF(B87="",1,B87)</f>
        <v>0</v>
      </c>
      <c r="H76" s="86"/>
      <c r="I76" s="86"/>
      <c r="J76" s="86"/>
      <c r="K76" s="86"/>
      <c r="L76" s="86"/>
      <c r="M76" s="86"/>
      <c r="N76" s="86"/>
      <c r="O76" s="86"/>
      <c r="P76" s="86"/>
    </row>
    <row r="77" spans="1:16" ht="15" x14ac:dyDescent="0.2">
      <c r="A77" s="86"/>
      <c r="B77" s="86"/>
      <c r="C77" s="86"/>
      <c r="D77" s="86"/>
      <c r="E77" s="86"/>
      <c r="F77" s="86"/>
      <c r="G77" s="86"/>
      <c r="H77" s="86"/>
      <c r="I77" s="86"/>
      <c r="J77" s="86"/>
      <c r="K77" s="86"/>
      <c r="L77" s="86"/>
      <c r="M77" s="86"/>
      <c r="N77" s="86"/>
      <c r="O77" s="86"/>
      <c r="P77" s="86"/>
    </row>
    <row r="78" spans="1:16" ht="15" x14ac:dyDescent="0.2">
      <c r="A78" s="86"/>
      <c r="B78" s="86"/>
      <c r="C78" s="86"/>
      <c r="D78" s="86"/>
      <c r="E78" s="86"/>
      <c r="F78" s="86"/>
      <c r="G78" s="86"/>
      <c r="H78" s="86"/>
      <c r="I78" s="86"/>
      <c r="J78" s="86"/>
      <c r="K78" s="86"/>
      <c r="L78" s="86"/>
      <c r="M78" s="86"/>
      <c r="N78" s="86"/>
      <c r="O78" s="86"/>
      <c r="P78" s="86"/>
    </row>
    <row r="79" spans="1:16" ht="15" x14ac:dyDescent="0.2">
      <c r="A79" s="86"/>
      <c r="B79" s="86"/>
      <c r="C79" s="86"/>
      <c r="D79" s="86"/>
      <c r="E79" s="86"/>
      <c r="F79" s="86"/>
      <c r="G79" s="86"/>
      <c r="H79" s="86"/>
      <c r="I79" s="86"/>
      <c r="J79" s="86"/>
      <c r="K79" s="86"/>
      <c r="L79" s="86"/>
      <c r="M79" s="86"/>
      <c r="N79" s="86"/>
      <c r="O79" s="86"/>
      <c r="P79" s="86"/>
    </row>
    <row r="80" spans="1:16" ht="15" x14ac:dyDescent="0.2">
      <c r="A80" s="86"/>
      <c r="B80" s="88">
        <f>Assumptions!E24*12</f>
        <v>120</v>
      </c>
      <c r="C80" s="86"/>
      <c r="D80" s="86"/>
      <c r="E80" s="86"/>
      <c r="F80" s="86"/>
      <c r="G80" s="86"/>
      <c r="H80" s="86"/>
      <c r="I80" s="86"/>
      <c r="J80" s="86"/>
      <c r="K80" s="86"/>
      <c r="L80" s="86"/>
      <c r="M80" s="86"/>
      <c r="N80" s="86"/>
      <c r="O80" s="86"/>
      <c r="P80" s="86"/>
    </row>
    <row r="81" spans="1:16" ht="15" x14ac:dyDescent="0.2">
      <c r="A81" s="86"/>
      <c r="B81" s="86"/>
      <c r="C81" s="86"/>
      <c r="D81" s="86"/>
      <c r="E81" s="86"/>
      <c r="F81" s="86"/>
      <c r="G81" s="86"/>
      <c r="H81" s="86"/>
      <c r="I81" s="86"/>
      <c r="J81" s="86"/>
      <c r="K81" s="86"/>
      <c r="L81" s="86"/>
      <c r="M81" s="86"/>
      <c r="N81" s="86"/>
      <c r="O81" s="86"/>
      <c r="P81" s="86"/>
    </row>
    <row r="82" spans="1:16" ht="15" x14ac:dyDescent="0.2">
      <c r="A82" s="86" t="s">
        <v>88</v>
      </c>
      <c r="B82" s="86">
        <f>IF((MONTH(B85)-MONTH(Assumptions!$E$32))+1=12,0,(MONTH(B85)-MONTH(Assumptions!$E$32))+1)</f>
        <v>0</v>
      </c>
      <c r="C82" s="86">
        <f>IF((MONTH(C85)-MONTH(Assumptions!$E$32))+1=12,0,(MONTH(C85)-MONTH(Assumptions!$E$32))+1)</f>
        <v>0</v>
      </c>
      <c r="D82" s="86">
        <f>IF((MONTH(D85)-MONTH(Assumptions!$E$32))+1=12,0,(MONTH(D85)-MONTH(Assumptions!$E$32))+1)</f>
        <v>0</v>
      </c>
      <c r="E82" s="86">
        <f>IF((MONTH(E85)-MONTH(Assumptions!$E$32))+1=12,0,(MONTH(E85)-MONTH(Assumptions!$E$32))+1)</f>
        <v>0</v>
      </c>
      <c r="F82" s="86">
        <f>IF((MONTH(F85)-MONTH(Assumptions!$E$32))+1=12,0,(MONTH(F85)-MONTH(Assumptions!$E$32))+1)</f>
        <v>0</v>
      </c>
      <c r="G82" s="86">
        <f>IF((MONTH(G85)-MONTH(Assumptions!$E$32))+1=12,0,(MONTH(G85)-MONTH(Assumptions!$E$32))+1)</f>
        <v>0</v>
      </c>
      <c r="H82" s="86">
        <f>IF((MONTH(H85)-MONTH(Assumptions!$E$32))+1=12,0,(MONTH(H85)-MONTH(Assumptions!$E$32))+1)</f>
        <v>0</v>
      </c>
      <c r="I82" s="86">
        <f>IF((MONTH(I85)-MONTH(Assumptions!$E$32))+1=12,0,(MONTH(I85)-MONTH(Assumptions!$E$32))+1)</f>
        <v>0</v>
      </c>
      <c r="J82" s="86">
        <f>IF((MONTH(J85)-MONTH(Assumptions!$E$32))+1=12,0,(MONTH(J85)-MONTH(Assumptions!$E$32))+1)</f>
        <v>0</v>
      </c>
      <c r="K82" s="86">
        <f>IF((MONTH(K85)-MONTH(Assumptions!$E$32))+1=12,0,(MONTH(K85)-MONTH(Assumptions!$E$32))+1)</f>
        <v>0</v>
      </c>
      <c r="L82" s="86">
        <f>IF((MONTH(L85)-MONTH(Assumptions!$E$32))+1=12,0,(MONTH(L85)-MONTH(Assumptions!$E$32))+1)</f>
        <v>0</v>
      </c>
      <c r="M82" s="86">
        <f>IF((MONTH(M85)-MONTH(Assumptions!$E$32))+1=12,0,(MONTH(M85)-MONTH(Assumptions!$E$32))+1)</f>
        <v>0</v>
      </c>
      <c r="N82" s="86">
        <f>IF((MONTH(N85)-MONTH(Assumptions!$E$32))+1=12,0,(MONTH(N85)-MONTH(Assumptions!$E$32))+1)</f>
        <v>0</v>
      </c>
      <c r="O82" s="86">
        <f>IF((MONTH(O85)-MONTH(Assumptions!$E$32))+1=12,0,(MONTH(O85)-MONTH(Assumptions!$E$32))+1)</f>
        <v>0</v>
      </c>
      <c r="P82" s="86">
        <f>IF((MONTH(P85)-MONTH(Assumptions!$E$32))+1=12,0,(MONTH(P85)-MONTH(Assumptions!$E$32))+1)</f>
        <v>0</v>
      </c>
    </row>
    <row r="83" spans="1:16" ht="15" x14ac:dyDescent="0.2">
      <c r="A83" s="86" t="s">
        <v>89</v>
      </c>
      <c r="B83" s="86">
        <f>IF((MONTH(B85)-MONTH(Assumptions!$F$22))+1=12,0,(MONTH(B85)-MONTH(Assumptions!$F$22))+1)</f>
        <v>0</v>
      </c>
      <c r="C83" s="86">
        <f>IF((MONTH(C85)-MONTH(Assumptions!$F$22))+1=12,0,(MONTH(C85)-MONTH(Assumptions!$F$22))+1)</f>
        <v>0</v>
      </c>
      <c r="D83" s="86">
        <f>IF((MONTH(D85)-MONTH(Assumptions!$F$22))+1=12,0,(MONTH(D85)-MONTH(Assumptions!$F$22))+1)</f>
        <v>0</v>
      </c>
      <c r="E83" s="86">
        <f>IF((MONTH(E85)-MONTH(Assumptions!$F$22))+1=12,0,(MONTH(E85)-MONTH(Assumptions!$F$22))+1)</f>
        <v>0</v>
      </c>
      <c r="F83" s="86">
        <f>IF((MONTH(F85)-MONTH(Assumptions!$F$22))+1=12,0,(MONTH(F85)-MONTH(Assumptions!$F$22))+1)</f>
        <v>0</v>
      </c>
      <c r="G83" s="86">
        <f>IF((MONTH(G85)-MONTH(Assumptions!$F$22))+1=12,0,(MONTH(G85)-MONTH(Assumptions!$F$22))+1)</f>
        <v>0</v>
      </c>
      <c r="H83" s="86">
        <f>IF((MONTH(H85)-MONTH(Assumptions!$F$22))+1=12,0,(MONTH(H85)-MONTH(Assumptions!$F$22))+1)</f>
        <v>0</v>
      </c>
      <c r="I83" s="86">
        <f>IF((MONTH(I85)-MONTH(Assumptions!$F$22))+1=12,0,(MONTH(I85)-MONTH(Assumptions!$F$22))+1)</f>
        <v>0</v>
      </c>
      <c r="J83" s="86">
        <f>IF((MONTH(J85)-MONTH(Assumptions!$F$22))+1=12,0,(MONTH(J85)-MONTH(Assumptions!$F$22))+1)</f>
        <v>0</v>
      </c>
      <c r="K83" s="86">
        <f>IF((MONTH(K85)-MONTH(Assumptions!$F$22))+1=12,0,(MONTH(K85)-MONTH(Assumptions!$F$22))+1)</f>
        <v>0</v>
      </c>
      <c r="L83" s="86">
        <f>IF((MONTH(L85)-MONTH(Assumptions!$F$22))+1=12,0,(MONTH(L85)-MONTH(Assumptions!$F$22))+1)</f>
        <v>0</v>
      </c>
      <c r="M83" s="86">
        <f>IF((MONTH(M85)-MONTH(Assumptions!$F$22))+1=12,0,(MONTH(M85)-MONTH(Assumptions!$F$22))+1)</f>
        <v>0</v>
      </c>
      <c r="N83" s="86">
        <f>IF((MONTH(N85)-MONTH(Assumptions!$F$22))+1=12,0,(MONTH(N85)-MONTH(Assumptions!$F$22))+1)</f>
        <v>0</v>
      </c>
      <c r="O83" s="86">
        <f>IF((MONTH(O85)-MONTH(Assumptions!$F$22))+1=12,0,(MONTH(O85)-MONTH(Assumptions!$F$22))+1)</f>
        <v>0</v>
      </c>
      <c r="P83" s="86">
        <f>IF((MONTH(P85)-MONTH(Assumptions!$F$22))+1=12,0,(MONTH(P85)-MONTH(Assumptions!$F$22))+1)</f>
        <v>0</v>
      </c>
    </row>
    <row r="84" spans="1:16" ht="15" x14ac:dyDescent="0.2">
      <c r="A84" s="86" t="s">
        <v>90</v>
      </c>
      <c r="B84" s="87">
        <f>DATE(B86,IF(MONTH(Assumptions!$D$8)=12,1,MONTH(Assumptions!$D$8)+1),1)</f>
        <v>41275</v>
      </c>
      <c r="C84" s="87">
        <f>DATE(C86,IF(MONTH(Assumptions!$D$8)=12,1,MONTH(Assumptions!$D$8)+1),1)</f>
        <v>41640</v>
      </c>
      <c r="D84" s="87">
        <f>DATE(D86,IF(MONTH(Assumptions!$D$8)=12,1,MONTH(Assumptions!$D$8)+1),1)</f>
        <v>42005</v>
      </c>
      <c r="E84" s="87">
        <f>DATE(E86,IF(MONTH(Assumptions!$D$8)=12,1,MONTH(Assumptions!$D$8)+1),1)</f>
        <v>42370</v>
      </c>
      <c r="F84" s="87">
        <f>DATE(F86,IF(MONTH(Assumptions!$D$8)=12,1,MONTH(Assumptions!$D$8)+1),1)</f>
        <v>42736</v>
      </c>
      <c r="G84" s="87">
        <f>DATE(G86,IF(MONTH(Assumptions!$D$8)=12,1,MONTH(Assumptions!$D$8)+1),1)</f>
        <v>43101</v>
      </c>
      <c r="H84" s="87">
        <f>DATE(H86,IF(MONTH(Assumptions!$D$8)=12,1,MONTH(Assumptions!$D$8)+1),1)</f>
        <v>43466</v>
      </c>
      <c r="I84" s="87">
        <f>DATE(I86,IF(MONTH(Assumptions!$D$8)=12,1,MONTH(Assumptions!$D$8)+1),1)</f>
        <v>43831</v>
      </c>
      <c r="J84" s="87">
        <f>DATE(J86,IF(MONTH(Assumptions!$D$8)=12,1,MONTH(Assumptions!$D$8)+1),1)</f>
        <v>44197</v>
      </c>
      <c r="K84" s="87">
        <f>DATE(K86,IF(MONTH(Assumptions!$D$8)=12,1,MONTH(Assumptions!$D$8)+1),1)</f>
        <v>44562</v>
      </c>
      <c r="L84" s="87">
        <f>DATE(L86,IF(MONTH(Assumptions!$D$8)=12,1,MONTH(Assumptions!$D$8)+1),1)</f>
        <v>44927</v>
      </c>
      <c r="M84" s="87">
        <f>DATE(M86,IF(MONTH(Assumptions!$D$8)=12,1,MONTH(Assumptions!$D$8)+1),1)</f>
        <v>45292</v>
      </c>
      <c r="N84" s="87">
        <f>DATE(N86,IF(MONTH(Assumptions!$D$8)=12,1,MONTH(Assumptions!$D$8)+1),1)</f>
        <v>45658</v>
      </c>
      <c r="O84" s="87">
        <f>DATE(O86,IF(MONTH(Assumptions!$D$8)=12,1,MONTH(Assumptions!$D$8)+1),1)</f>
        <v>46023</v>
      </c>
      <c r="P84" s="87">
        <f>DATE(P86,IF(MONTH(Assumptions!$D$8)=12,1,MONTH(Assumptions!$D$8)+1),1)</f>
        <v>46388</v>
      </c>
    </row>
    <row r="85" spans="1:16" ht="15" x14ac:dyDescent="0.2">
      <c r="A85" s="86" t="s">
        <v>91</v>
      </c>
      <c r="B85" s="87">
        <f>DATE(IF(MONTH(Assumptions!$D$8)=12,B86,B86+1),MONTH(Assumptions!$D$8),DAY(Assumptions!$D$8))</f>
        <v>41639</v>
      </c>
      <c r="C85" s="87">
        <f>DATE(IF(MONTH(Assumptions!$D$8)=12,C86,C86+1),MONTH(Assumptions!$D$8),DAY(Assumptions!$D$8))</f>
        <v>42004</v>
      </c>
      <c r="D85" s="87">
        <f>DATE(IF(MONTH(Assumptions!$D$8)=12,D86,D86+1),MONTH(Assumptions!$D$8),DAY(Assumptions!$D$8))</f>
        <v>42369</v>
      </c>
      <c r="E85" s="87">
        <f>DATE(IF(MONTH(Assumptions!$D$8)=12,E86,E86+1),MONTH(Assumptions!$D$8),DAY(Assumptions!$D$8))</f>
        <v>42735</v>
      </c>
      <c r="F85" s="87">
        <f>DATE(IF(MONTH(Assumptions!$D$8)=12,F86,F86+1),MONTH(Assumptions!$D$8),DAY(Assumptions!$D$8))</f>
        <v>43100</v>
      </c>
      <c r="G85" s="87">
        <f>DATE(IF(MONTH(Assumptions!$D$8)=12,G86,G86+1),MONTH(Assumptions!$D$8),DAY(Assumptions!$D$8))</f>
        <v>43465</v>
      </c>
      <c r="H85" s="87">
        <f>DATE(IF(MONTH(Assumptions!$D$8)=12,H86,H86+1),MONTH(Assumptions!$D$8),DAY(Assumptions!$D$8))</f>
        <v>43830</v>
      </c>
      <c r="I85" s="87">
        <f>DATE(IF(MONTH(Assumptions!$D$8)=12,I86,I86+1),MONTH(Assumptions!$D$8),DAY(Assumptions!$D$8))</f>
        <v>44196</v>
      </c>
      <c r="J85" s="87">
        <f>DATE(IF(MONTH(Assumptions!$D$8)=12,J86,J86+1),MONTH(Assumptions!$D$8),DAY(Assumptions!$D$8))</f>
        <v>44561</v>
      </c>
      <c r="K85" s="87">
        <f>DATE(IF(MONTH(Assumptions!$D$8)=12,K86,K86+1),MONTH(Assumptions!$D$8),DAY(Assumptions!$D$8))</f>
        <v>44926</v>
      </c>
      <c r="L85" s="87">
        <f>DATE(IF(MONTH(Assumptions!$D$8)=12,L86,L86+1),MONTH(Assumptions!$D$8),DAY(Assumptions!$D$8))</f>
        <v>45291</v>
      </c>
      <c r="M85" s="87">
        <f>DATE(IF(MONTH(Assumptions!$D$8)=12,M86,M86+1),MONTH(Assumptions!$D$8),DAY(Assumptions!$D$8))</f>
        <v>45657</v>
      </c>
      <c r="N85" s="87">
        <f>DATE(IF(MONTH(Assumptions!$D$8)=12,N86,N86+1),MONTH(Assumptions!$D$8),DAY(Assumptions!$D$8))</f>
        <v>46022</v>
      </c>
      <c r="O85" s="87">
        <f>DATE(IF(MONTH(Assumptions!$D$8)=12,O86,O86+1),MONTH(Assumptions!$D$8),DAY(Assumptions!$D$8))</f>
        <v>46387</v>
      </c>
      <c r="P85" s="87">
        <f>DATE(IF(MONTH(Assumptions!$D$8)=12,P86,P86+1),MONTH(Assumptions!$D$8),DAY(Assumptions!$D$8))</f>
        <v>46752</v>
      </c>
    </row>
    <row r="86" spans="1:16" ht="15.75" x14ac:dyDescent="0.25">
      <c r="A86" s="86"/>
      <c r="B86" s="89">
        <f>Assumptions!$D$7</f>
        <v>2013</v>
      </c>
      <c r="C86" s="89">
        <f>+B86+1</f>
        <v>2014</v>
      </c>
      <c r="D86" s="89">
        <f t="shared" ref="D86:P86" si="3">+C86+1</f>
        <v>2015</v>
      </c>
      <c r="E86" s="89">
        <f t="shared" si="3"/>
        <v>2016</v>
      </c>
      <c r="F86" s="89">
        <f t="shared" si="3"/>
        <v>2017</v>
      </c>
      <c r="G86" s="89">
        <f t="shared" si="3"/>
        <v>2018</v>
      </c>
      <c r="H86" s="89">
        <f t="shared" si="3"/>
        <v>2019</v>
      </c>
      <c r="I86" s="89">
        <f t="shared" si="3"/>
        <v>2020</v>
      </c>
      <c r="J86" s="89">
        <f t="shared" si="3"/>
        <v>2021</v>
      </c>
      <c r="K86" s="89">
        <f t="shared" si="3"/>
        <v>2022</v>
      </c>
      <c r="L86" s="89">
        <f t="shared" si="3"/>
        <v>2023</v>
      </c>
      <c r="M86" s="89">
        <f t="shared" si="3"/>
        <v>2024</v>
      </c>
      <c r="N86" s="89">
        <f t="shared" si="3"/>
        <v>2025</v>
      </c>
      <c r="O86" s="89">
        <f t="shared" si="3"/>
        <v>2026</v>
      </c>
      <c r="P86" s="89">
        <f t="shared" si="3"/>
        <v>2027</v>
      </c>
    </row>
    <row r="87" spans="1:16" ht="15" x14ac:dyDescent="0.2">
      <c r="A87" s="86" t="s">
        <v>92</v>
      </c>
      <c r="B87" s="86">
        <f>IF(YEAR(Assumptions!$E$22)=B86,IF(MONTH(Assumptions!$D$8)=12,12-MONTH(Assumptions!$E$22)+1,IF(MONTH(Assumptions!$E$22)&lt;MONTH(Assumptions!$D$8),(MONTH(Assumptions!$D$8)-MONTH(Assumptions!$E$22))+1,IF(MONTH(Assumptions!$E$22)=MONTH(Assumptions!$D$8),1,""))),IF(AND(A87="",YEAR(Assumptions!$E$22)+1=B86),((MONTH(B85)+12)-MONTH(Assumptions!$E$22))+1,IF(YEAR($B$73)=B86,$B$80-SUM(A$87:$A87),IF(B86&lt;YEAR(Assumptions!$E$22),0,IF(B86&lt;YEAR($B$73),12,IF(B86&gt;YEAR($B$73),0))))))</f>
        <v>0</v>
      </c>
      <c r="C87" s="86">
        <f>IF(YEAR(Assumptions!$E$22)=C86,IF(MONTH(Assumptions!$D$8)=12,12-MONTH(Assumptions!$E$22)+1,IF(MONTH(Assumptions!$E$22)&lt;MONTH(Assumptions!$D$8),(MONTH(Assumptions!$D$8)-MONTH(Assumptions!$E$22))+1,IF(MONTH(Assumptions!$E$22)=MONTH(Assumptions!$D$8),1,""))),IF(AND(B87="",YEAR(Assumptions!$E$22)+1=C86),((MONTH(C85)+12)-MONTH(Assumptions!$E$22))+1,IF(YEAR($B$73)=C86,$B$80-SUM(B$87:$B87),IF(C86&lt;YEAR(Assumptions!$E$22),"",IF(C86&lt;YEAR($B$73),12,IF(C86&gt;YEAR($B$73),""))))))</f>
        <v>12</v>
      </c>
      <c r="D87" s="86">
        <f>IF(YEAR(Assumptions!$E$22)=D86,IF(MONTH(Assumptions!$D$8)=12,12-MONTH(Assumptions!$E$22)+1,IF(MONTH(Assumptions!$E$22)&lt;MONTH(Assumptions!$D$8),(MONTH(Assumptions!$D$8)-MONTH(Assumptions!$E$22))+1,IF(MONTH(Assumptions!$E$22)=MONTH(Assumptions!$D$8),1,""))),IF(AND(C87="",YEAR(Assumptions!$E$22)+1=D86),((MONTH(D85)+12)-MONTH(Assumptions!$E$22))+1,IF(YEAR($B$73)=D86,$B$80-SUM($B$87:C87),IF(D86&lt;YEAR(Assumptions!$E$22),"",IF(D86&lt;YEAR($B$73),12,IF(D86&gt;YEAR($B$73),""))))))</f>
        <v>12</v>
      </c>
      <c r="E87" s="86">
        <f>IF(YEAR(Assumptions!$E$22)=E86,IF(MONTH(Assumptions!$D$8)=12,12-MONTH(Assumptions!$E$22)+1,IF(MONTH(Assumptions!$E$22)&lt;MONTH(Assumptions!$D$8),(MONTH(Assumptions!$D$8)-MONTH(Assumptions!$E$22))+1,IF(MONTH(Assumptions!$E$22)=MONTH(Assumptions!$D$8),1,""))),IF(AND(D87="",YEAR(Assumptions!$E$22)+1=E86),((MONTH(E85)+12)-MONTH(Assumptions!$E$22))+1,IF(YEAR($B$73)=E86,$B$80-SUM($B$87:D87),IF(E86&lt;YEAR(Assumptions!$E$22),"",IF(E86&lt;YEAR($B$73),12,IF(E86&gt;YEAR($B$73),""))))))</f>
        <v>12</v>
      </c>
      <c r="F87" s="86">
        <f>IF(YEAR(Assumptions!$E$22)=F86,IF(MONTH(Assumptions!$D$8)=12,12-MONTH(Assumptions!$E$22)+1,IF(MONTH(Assumptions!$E$22)&lt;MONTH(Assumptions!$D$8),(MONTH(Assumptions!$D$8)-MONTH(Assumptions!$E$22))+1,IF(MONTH(Assumptions!$E$22)=MONTH(Assumptions!$D$8),1,""))),IF(AND(E87="",YEAR(Assumptions!$E$22)+1=F86),((MONTH(F85)+12)-MONTH(Assumptions!$E$22))+1,IF(YEAR($B$73)=F86,$B$80-SUM($B$87:E87),IF(F86&lt;YEAR(Assumptions!$E$22),"",IF(F86&lt;YEAR($B$73),12,IF(F86&gt;YEAR($B$73),""))))))</f>
        <v>12</v>
      </c>
      <c r="G87" s="86">
        <f>IF(YEAR(Assumptions!$E$22)=G86,IF(MONTH(Assumptions!$D$8)=12,12-MONTH(Assumptions!$E$22)+1,IF(MONTH(Assumptions!$E$22)&lt;MONTH(Assumptions!$D$8),(MONTH(Assumptions!$D$8)-MONTH(Assumptions!$E$22))+1,IF(MONTH(Assumptions!$E$22)=MONTH(Assumptions!$D$8),1,""))),IF(AND(F87="",YEAR(Assumptions!$E$22)+1=G86),((MONTH(G85)+12)-MONTH(Assumptions!$E$22))+1,IF(YEAR($B$73)=G86,$B$80-SUM($B$87:F87),IF(G86&lt;YEAR(Assumptions!$E$22),"",IF(G86&lt;YEAR($B$73),12,IF(G86&gt;YEAR($B$73),""))))))</f>
        <v>12</v>
      </c>
      <c r="H87" s="86">
        <f>IF(YEAR(Assumptions!$E$22)=H86,IF(MONTH(Assumptions!$D$8)=12,12-MONTH(Assumptions!$E$22)+1,IF(MONTH(Assumptions!$E$22)&lt;MONTH(Assumptions!$D$8),(MONTH(Assumptions!$D$8)-MONTH(Assumptions!$E$22))+1,IF(MONTH(Assumptions!$E$22)=MONTH(Assumptions!$D$8),1,""))),IF(AND(G87="",YEAR(Assumptions!$E$22)+1=H86),((MONTH(H85)+12)-MONTH(Assumptions!$E$22))+1,IF(YEAR($B$73)=H86,$B$80-SUM($B$87:G87),IF(H86&lt;YEAR(Assumptions!$E$22),"",IF(H86&lt;YEAR($B$73),12,IF(H86&gt;YEAR($B$73),""))))))</f>
        <v>12</v>
      </c>
      <c r="I87" s="86">
        <f>IF(YEAR(Assumptions!$E$22)=I86,IF(MONTH(Assumptions!$D$8)=12,12-MONTH(Assumptions!$E$22)+1,IF(MONTH(Assumptions!$E$22)&lt;MONTH(Assumptions!$D$8),(MONTH(Assumptions!$D$8)-MONTH(Assumptions!$E$22))+1,IF(MONTH(Assumptions!$E$22)=MONTH(Assumptions!$D$8),1,""))),IF(AND(H87="",YEAR(Assumptions!$E$22)+1=I86),((MONTH(I85)+12)-MONTH(Assumptions!$E$22))+1,IF(YEAR($B$73)=I86,$B$80-SUM($B$87:H87),IF(I86&lt;YEAR(Assumptions!$E$22),"",IF(I86&lt;YEAR($B$73),12,IF(I86&gt;YEAR($B$73),""))))))</f>
        <v>12</v>
      </c>
      <c r="J87" s="86">
        <f>IF(YEAR(Assumptions!$E$22)=J86,IF(MONTH(Assumptions!$D$8)=12,12-MONTH(Assumptions!$E$22)+1,IF(MONTH(Assumptions!$E$22)&lt;MONTH(Assumptions!$D$8),(MONTH(Assumptions!$D$8)-MONTH(Assumptions!$E$22))+1,IF(MONTH(Assumptions!$E$22)=MONTH(Assumptions!$D$8),1,""))),IF(AND(I87="",YEAR(Assumptions!$E$22)+1=J86),((MONTH(J85)+12)-MONTH(Assumptions!$E$22))+1,IF(YEAR($B$73)=J86,$B$80-SUM($B$87:I87),IF(J86&lt;YEAR(Assumptions!$E$22),"",IF(J86&lt;YEAR($B$73),12,IF(J86&gt;YEAR($B$73),""))))))</f>
        <v>12</v>
      </c>
      <c r="K87" s="86">
        <f>IF(YEAR(Assumptions!$E$22)=K86,IF(MONTH(Assumptions!$D$8)=12,12-MONTH(Assumptions!$E$22)+1,IF(MONTH(Assumptions!$E$22)&lt;MONTH(Assumptions!$D$8),(MONTH(Assumptions!$D$8)-MONTH(Assumptions!$E$22))+1,IF(MONTH(Assumptions!$E$22)=MONTH(Assumptions!$D$8),1,""))),IF(AND(J87="",YEAR(Assumptions!$E$22)+1=K86),((MONTH(K85)+12)-MONTH(Assumptions!$E$22))+1,IF(YEAR($B$73)=K86,$B$80-SUM($B$87:J87),IF(K86&lt;YEAR(Assumptions!$E$22),"",IF(K86&lt;YEAR($B$73),12,IF(K86&gt;YEAR($B$73),""))))))</f>
        <v>12</v>
      </c>
      <c r="L87" s="86">
        <f>IF(YEAR(Assumptions!$E$22)=L86,IF(MONTH(Assumptions!$D$8)=12,12-MONTH(Assumptions!$E$22)+1,IF(MONTH(Assumptions!$E$22)&lt;MONTH(Assumptions!$D$8),(MONTH(Assumptions!$D$8)-MONTH(Assumptions!$E$22))+1,IF(MONTH(Assumptions!$E$22)=MONTH(Assumptions!$D$8),1,""))),IF(AND(K87="",YEAR(Assumptions!$E$22)+1=L86),((MONTH(L85)+12)-MONTH(Assumptions!$E$22))+1,IF(YEAR($B$73)=L86,$B$80-SUM($B$87:K87),IF(L86&lt;YEAR(Assumptions!$E$22),"",IF(L86&lt;YEAR($B$73),12,IF(L86&gt;YEAR($B$73),""))))))</f>
        <v>12</v>
      </c>
      <c r="M87" s="86" t="str">
        <f>IF(YEAR(Assumptions!$E$22)=M86,IF(MONTH(Assumptions!$D$8)=12,12-MONTH(Assumptions!$E$22)+1,IF(MONTH(Assumptions!$E$22)&lt;MONTH(Assumptions!$D$8),(MONTH(Assumptions!$D$8)-MONTH(Assumptions!$E$22))+1,IF(MONTH(Assumptions!$E$22)=MONTH(Assumptions!$D$8),1,""))),IF(AND(L87="",YEAR(Assumptions!$E$22)+1=M86),((MONTH(M85)+12)-MONTH(Assumptions!$E$22))+1,IF(YEAR($B$73)=M86,$B$80-SUM($B$87:L87),IF(M86&lt;YEAR(Assumptions!$E$22),"",IF(M86&lt;YEAR($B$73),12,IF(M86&gt;YEAR($B$73),""))))))</f>
        <v/>
      </c>
      <c r="N87" s="86" t="str">
        <f>IF(YEAR(Assumptions!$E$22)=N86,IF(MONTH(Assumptions!$D$8)=12,12-MONTH(Assumptions!$E$22)+1,IF(MONTH(Assumptions!$E$22)&lt;MONTH(Assumptions!$D$8),(MONTH(Assumptions!$D$8)-MONTH(Assumptions!$E$22))+1,IF(MONTH(Assumptions!$E$22)=MONTH(Assumptions!$D$8),1,""))),IF(AND(M87="",YEAR(Assumptions!$E$22)+1=N86),((MONTH(N85)+12)-MONTH(Assumptions!$E$22))+1,IF(YEAR($B$73)=N86,$B$80-SUM($B$87:M87),IF(N86&lt;YEAR(Assumptions!$E$22),"",IF(N86&lt;YEAR($B$73),12,IF(N86&gt;YEAR($B$73),""))))))</f>
        <v/>
      </c>
      <c r="O87" s="86" t="str">
        <f>IF(YEAR(Assumptions!$E$22)=O86,IF(MONTH(Assumptions!$D$8)=12,12-MONTH(Assumptions!$E$22)+1,IF(MONTH(Assumptions!$E$22)&lt;MONTH(Assumptions!$D$8),(MONTH(Assumptions!$D$8)-MONTH(Assumptions!$E$22))+1,IF(MONTH(Assumptions!$E$22)=MONTH(Assumptions!$D$8),1,""))),IF(AND(N87="",YEAR(Assumptions!$E$22)+1=O86),((MONTH(O85)+12)-MONTH(Assumptions!$E$22))+1,IF(YEAR($B$73)=O86,$B$80-SUM($B$87:N87),IF(O86&lt;YEAR(Assumptions!$E$22),"",IF(O86&lt;YEAR($B$73),12,IF(O86&gt;YEAR($B$73),""))))))</f>
        <v/>
      </c>
      <c r="P87" s="86" t="str">
        <f>IF(YEAR(Assumptions!$E$22)=P86,IF(MONTH(Assumptions!$D$8)=12,12-MONTH(Assumptions!$E$22)+1,IF(MONTH(Assumptions!$E$22)&lt;MONTH(Assumptions!$D$8),(MONTH(Assumptions!$D$8)-MONTH(Assumptions!$E$22))+1,IF(MONTH(Assumptions!$E$22)=MONTH(Assumptions!$D$8),1,""))),IF(AND(O87="",YEAR(Assumptions!$E$22)+1=P86),((MONTH(P85)+12)-MONTH(Assumptions!$E$22))+1,IF(YEAR($B$73)=P86,$B$80-SUM($B$87:O87),IF(P86&lt;YEAR(Assumptions!$E$22),"",IF(P86&lt;YEAR($B$73),12,IF(P86&gt;YEAR($B$73),""))))))</f>
        <v/>
      </c>
    </row>
    <row r="88" spans="1:16" ht="15" x14ac:dyDescent="0.2">
      <c r="A88" s="86" t="s">
        <v>93</v>
      </c>
      <c r="B88" s="86" t="str">
        <f>IF(YEAR(Assumptions!$E$32)=B86,IF(MONTH(Assumptions!$D$8)=12,MONTH(Assumptions!$E$32),IF(MONTH(Assumptions!$E$32)&lt;MONTH(Assumptions!$D$8),12-((MONTH(Assumptions!$D$8)-MONTH(Assumptions!$E$32))),IF(MONTH(Assumptions!$E$32)=MONTH(Assumptions!$D$8),1,IF(MONTH(Assumptions!$E$32)&gt;MONTH(Assumptions!$D$8),IF(YEAR(Assumptions!$E$32)+1=B86,(MONTH(Assumptions!$E$32)-MONTH(B84))+1,""),"")))),IF(YEAR(Assumptions!$E$32)+1=B86,(MONTH(Assumptions!$E$32)-MONTH(B84))+1,""))</f>
        <v/>
      </c>
      <c r="C88" s="86" t="str">
        <f>IF(B88="",IF(YEAR(Assumptions!$E$32)=C86,IF(MONTH(Assumptions!$D$8)=12,MONTH(Assumptions!$E$32),IF(MONTH(Assumptions!$E$32)&lt;MONTH(Assumptions!$D$8),12-((MONTH(Assumptions!$D$8)-MONTH(Assumptions!$E$32))),IF(MONTH(Assumptions!$E$32)=MONTH(Assumptions!$D$8),1,IF(MONTH(Assumptions!$E$32)&gt;MONTH(Assumptions!$D$8),IF(YEAR(Assumptions!$E$32)+1=C86,(MONTH(Assumptions!$E$32)-MONTH(C84))+1,""),"")))),IF(YEAR(Assumptions!$E$32)+1=C86,(MONTH(Assumptions!$E$32)-MONTH(C84))+1,"")),"")</f>
        <v/>
      </c>
      <c r="D88" s="86" t="str">
        <f>IF(C88="",IF(YEAR(Assumptions!$E$32)=D86,IF(MONTH(Assumptions!$D$8)=12,MONTH(Assumptions!$E$32),IF(MONTH(Assumptions!$E$32)&lt;MONTH(Assumptions!$D$8),12-((MONTH(Assumptions!$D$8)-MONTH(Assumptions!$E$32))),IF(MONTH(Assumptions!$E$32)=MONTH(Assumptions!$D$8),1,IF(MONTH(Assumptions!$E$32)&gt;MONTH(Assumptions!$D$8),IF(YEAR(Assumptions!$E$32)+1=D86,(MONTH(Assumptions!$E$32)-MONTH(D84))+1,""),"")))),IF(YEAR(Assumptions!$E$32)+1=D86,(MONTH(Assumptions!$E$32)-MONTH(D84))+1,"")),"")</f>
        <v/>
      </c>
      <c r="E88" s="86" t="str">
        <f>IF(D88="",IF(YEAR(Assumptions!$E$32)=E86,IF(MONTH(Assumptions!$D$8)=12,MONTH(Assumptions!$E$32),IF(MONTH(Assumptions!$E$32)&lt;MONTH(Assumptions!$D$8),12-((MONTH(Assumptions!$D$8)-MONTH(Assumptions!$E$32))),IF(MONTH(Assumptions!$E$32)=MONTH(Assumptions!$D$8),1,IF(MONTH(Assumptions!$E$32)&gt;MONTH(Assumptions!$D$8),IF(YEAR(Assumptions!$E$32)+1=E86,(MONTH(Assumptions!$E$32)-MONTH(E84))+1,""),"")))),IF(YEAR(Assumptions!$E$32)+1=E86,(MONTH(Assumptions!$E$32)-MONTH(E84))+1,"")),"")</f>
        <v/>
      </c>
      <c r="F88" s="86" t="str">
        <f>IF(E88="",IF(YEAR(Assumptions!$E$32)=F86,IF(MONTH(Assumptions!$D$8)=12,MONTH(Assumptions!$E$32),IF(MONTH(Assumptions!$E$32)&lt;MONTH(Assumptions!$D$8),12-((MONTH(Assumptions!$D$8)-MONTH(Assumptions!$E$32))),IF(MONTH(Assumptions!$E$32)=MONTH(Assumptions!$D$8),1,IF(MONTH(Assumptions!$E$32)&gt;MONTH(Assumptions!$D$8),IF(YEAR(Assumptions!$E$32)+1=F86,(MONTH(Assumptions!$E$32)-MONTH(F84))+1,""),"")))),IF(YEAR(Assumptions!$E$32)+1=F86,(MONTH(Assumptions!$E$32)-MONTH(F84))+1,"")),"")</f>
        <v/>
      </c>
      <c r="G88" s="86">
        <f>IF(F88="",IF(YEAR(Assumptions!$E$32)=G86,IF(MONTH(Assumptions!$D$8)=12,MONTH(Assumptions!$E$32),IF(MONTH(Assumptions!$E$32)&lt;MONTH(Assumptions!$D$8),12-((MONTH(Assumptions!$D$8)-MONTH(Assumptions!$E$32))),IF(MONTH(Assumptions!$E$32)=MONTH(Assumptions!$D$8),1,IF(MONTH(Assumptions!$E$32)&gt;MONTH(Assumptions!$D$8),IF(YEAR(Assumptions!$E$32)+1=G86,(MONTH(Assumptions!$E$32)-MONTH(G84))+1,""),"")))),IF(YEAR(Assumptions!$E$32)+1=G86,(MONTH(Assumptions!$E$32)-MONTH(G84))+1,"")),"")</f>
        <v>1</v>
      </c>
      <c r="H88" s="86" t="str">
        <f>IF(G88="",IF(YEAR(Assumptions!$E$32)=H86,IF(MONTH(Assumptions!$D$8)=12,MONTH(Assumptions!$E$32),IF(MONTH(Assumptions!$E$32)&lt;MONTH(Assumptions!$D$8),12-((MONTH(Assumptions!$D$8)-MONTH(Assumptions!$E$32))),IF(MONTH(Assumptions!$E$32)=MONTH(Assumptions!$D$8),1,IF(MONTH(Assumptions!$E$32)&gt;MONTH(Assumptions!$D$8),IF(YEAR(Assumptions!$E$32)+1=H86,(MONTH(Assumptions!$E$32)-MONTH(H84))+1,""),"")))),IF(YEAR(Assumptions!$E$32)+1=H86,(MONTH(Assumptions!$E$32)-MONTH(H84))+1,"")),"")</f>
        <v/>
      </c>
      <c r="I88" s="86" t="str">
        <f>IF(H88="",IF(YEAR(Assumptions!$E$32)=I86,IF(MONTH(Assumptions!$D$8)=12,MONTH(Assumptions!$E$32),IF(MONTH(Assumptions!$E$32)&lt;MONTH(Assumptions!$D$8),12-((MONTH(Assumptions!$D$8)-MONTH(Assumptions!$E$32))),IF(MONTH(Assumptions!$E$32)=MONTH(Assumptions!$D$8),1,IF(MONTH(Assumptions!$E$32)&gt;MONTH(Assumptions!$D$8),IF(YEAR(Assumptions!$E$32)+1=I86,(MONTH(Assumptions!$E$32)-MONTH(I84))+1,""),"")))),IF(YEAR(Assumptions!$E$32)+1=I86,(MONTH(Assumptions!$E$32)-MONTH(I84))+1,"")),"")</f>
        <v/>
      </c>
      <c r="J88" s="86" t="str">
        <f>IF(I88="",IF(YEAR(Assumptions!$E$32)=J86,IF(MONTH(Assumptions!$D$8)=12,MONTH(Assumptions!$E$32),IF(MONTH(Assumptions!$E$32)&lt;MONTH(Assumptions!$D$8),12-((MONTH(Assumptions!$D$8)-MONTH(Assumptions!$E$32))),IF(MONTH(Assumptions!$E$32)=MONTH(Assumptions!$D$8),1,IF(MONTH(Assumptions!$E$32)&gt;MONTH(Assumptions!$D$8),IF(YEAR(Assumptions!$E$32)+1=J86,(MONTH(Assumptions!$E$32)-MONTH(J84))+1,""),"")))),IF(YEAR(Assumptions!$E$32)+1=J86,(MONTH(Assumptions!$E$32)-MONTH(J84))+1,"")),"")</f>
        <v/>
      </c>
      <c r="K88" s="86" t="str">
        <f>IF(J88="",IF(YEAR(Assumptions!$E$32)=K86,IF(MONTH(Assumptions!$D$8)=12,MONTH(Assumptions!$E$32),IF(MONTH(Assumptions!$E$32)&lt;MONTH(Assumptions!$D$8),12-((MONTH(Assumptions!$D$8)-MONTH(Assumptions!$E$32))),IF(MONTH(Assumptions!$E$32)=MONTH(Assumptions!$D$8),1,IF(MONTH(Assumptions!$E$32)&gt;MONTH(Assumptions!$D$8),IF(YEAR(Assumptions!$E$32)+1=K86,(MONTH(Assumptions!$E$32)-MONTH(K84))+1,""),"")))),IF(YEAR(Assumptions!$E$32)+1=K86,(MONTH(Assumptions!$E$32)-MONTH(K84))+1,"")),"")</f>
        <v/>
      </c>
      <c r="L88" s="86" t="str">
        <f>IF(K88="",IF(YEAR(Assumptions!$E$32)=L86,IF(MONTH(Assumptions!$D$8)=12,MONTH(Assumptions!$E$32),IF(MONTH(Assumptions!$E$32)&lt;MONTH(Assumptions!$D$8),12-((MONTH(Assumptions!$D$8)-MONTH(Assumptions!$E$32))),IF(MONTH(Assumptions!$E$32)=MONTH(Assumptions!$D$8),1,IF(MONTH(Assumptions!$E$32)&gt;MONTH(Assumptions!$D$8),IF(YEAR(Assumptions!$E$32)+1=L86,(MONTH(Assumptions!$E$32)-MONTH(L84))+1,""),"")))),IF(YEAR(Assumptions!$E$32)+1=L86,(MONTH(Assumptions!$E$32)-MONTH(L84))+1,"")),"")</f>
        <v/>
      </c>
      <c r="M88" s="86" t="str">
        <f>IF(L88="",IF(YEAR(Assumptions!$E$32)=M86,IF(MONTH(Assumptions!$D$8)=12,MONTH(Assumptions!$E$32),IF(MONTH(Assumptions!$E$32)&lt;MONTH(Assumptions!$D$8),12-((MONTH(Assumptions!$D$8)-MONTH(Assumptions!$E$32))),IF(MONTH(Assumptions!$E$32)=MONTH(Assumptions!$D$8),1,IF(MONTH(Assumptions!$E$32)&gt;MONTH(Assumptions!$D$8),IF(YEAR(Assumptions!$E$32)+1=M86,(MONTH(Assumptions!$E$32)-MONTH(M84))+1,""),"")))),IF(YEAR(Assumptions!$E$32)+1=M86,(MONTH(Assumptions!$E$32)-MONTH(M84))+1,"")),"")</f>
        <v/>
      </c>
      <c r="N88" s="86" t="str">
        <f>IF(M88="",IF(YEAR(Assumptions!$E$32)=N86,IF(MONTH(Assumptions!$D$8)=12,MONTH(Assumptions!$E$32),IF(MONTH(Assumptions!$E$32)&lt;MONTH(Assumptions!$D$8),12-((MONTH(Assumptions!$D$8)-MONTH(Assumptions!$E$32))),IF(MONTH(Assumptions!$E$32)=MONTH(Assumptions!$D$8),1,IF(MONTH(Assumptions!$E$32)&gt;MONTH(Assumptions!$D$8),IF(YEAR(Assumptions!$E$32)+1=N86,(MONTH(Assumptions!$E$32)-MONTH(N84))+1,""),"")))),IF(YEAR(Assumptions!$E$32)+1=N86,(MONTH(Assumptions!$E$32)-MONTH(N84))+1,"")),"")</f>
        <v/>
      </c>
      <c r="O88" s="86" t="str">
        <f>IF(N88="",IF(YEAR(Assumptions!$E$32)=O86,IF(MONTH(Assumptions!$D$8)=12,MONTH(Assumptions!$E$32),IF(MONTH(Assumptions!$E$32)&lt;MONTH(Assumptions!$D$8),12-((MONTH(Assumptions!$D$8)-MONTH(Assumptions!$E$32))),IF(MONTH(Assumptions!$E$32)=MONTH(Assumptions!$D$8),1,IF(MONTH(Assumptions!$E$32)&gt;MONTH(Assumptions!$D$8),IF(YEAR(Assumptions!$E$32)+1=O86,(MONTH(Assumptions!$E$32)-MONTH(O84))+1,""),"")))),IF(YEAR(Assumptions!$E$32)+1=O86,(MONTH(Assumptions!$E$32)-MONTH(O84))+1,"")),"")</f>
        <v/>
      </c>
      <c r="P88" s="86" t="str">
        <f>IF(O88="",IF(YEAR(Assumptions!$E$32)=P86,IF(MONTH(Assumptions!$D$8)=12,MONTH(Assumptions!$E$32),IF(MONTH(Assumptions!$E$32)&lt;MONTH(Assumptions!$D$8),12-((MONTH(Assumptions!$D$8)-MONTH(Assumptions!$E$32))),IF(MONTH(Assumptions!$E$32)=MONTH(Assumptions!$D$8),1,IF(MONTH(Assumptions!$E$32)&gt;MONTH(Assumptions!$D$8),IF(YEAR(Assumptions!$E$32)+1=P86,(MONTH(Assumptions!$E$32)-MONTH(P84))+1,""),"")))),IF(YEAR(Assumptions!$E$32)+1=P86,(MONTH(Assumptions!$E$32)-MONTH(P84))+1,"")),"")</f>
        <v/>
      </c>
    </row>
    <row r="89" spans="1:16" ht="15" x14ac:dyDescent="0.2">
      <c r="A89" s="86" t="s">
        <v>94</v>
      </c>
      <c r="B89" s="86" t="str">
        <f>IF(YEAR(Assumptions!$E$22)=B86,IF(MONTH(Assumptions!$D$8)=12,1,IF(MONTH(Assumptions!$E$22)&lt;MONTH(B84),1,"")),IF(A89="",IF(B86=YEAR(Assumptions!$E$22)+1,1,""),""))</f>
        <v/>
      </c>
      <c r="C89" s="86">
        <f>IF(YEAR(Assumptions!$E$22)=C86,IF(MONTH(Assumptions!$D$8)=12,1,IF(MONTH(Assumptions!$E$22)&lt;MONTH(C84),1,"")),IF(B89="",IF(C86=YEAR(Assumptions!$E$22)+1,1,""),""))</f>
        <v>1</v>
      </c>
      <c r="D89" s="86" t="str">
        <f>IF(YEAR(Assumptions!$E$22)=D86,IF(MONTH(Assumptions!$D$8)=12,1,IF(MONTH(Assumptions!$E$22)&lt;MONTH(D84),1,"")),IF(C89="",IF(D86=YEAR(Assumptions!$E$22)+1,1,""),""))</f>
        <v/>
      </c>
      <c r="E89" s="86" t="str">
        <f>IF(YEAR(Assumptions!$E$22)=E86,IF(MONTH(Assumptions!$D$8)=12,1,IF(MONTH(Assumptions!$E$22)&lt;MONTH(E84),1,"")),IF(D89="",IF(E86=YEAR(Assumptions!$E$22)+1,1,""),""))</f>
        <v/>
      </c>
      <c r="F89" s="86" t="str">
        <f>IF(YEAR(Assumptions!$E$22)=F86,IF(MONTH(Assumptions!$D$8)=12,1,IF(MONTH(Assumptions!$E$22)&lt;MONTH(F84),1,"")),IF(E89="",IF(F86=YEAR(Assumptions!$E$22)+1,1,""),""))</f>
        <v/>
      </c>
      <c r="G89" s="86" t="str">
        <f>IF(YEAR(Assumptions!$E$22)=G86,IF(MONTH(Assumptions!$D$8)=12,1,IF(MONTH(Assumptions!$E$22)&lt;MONTH(G84),1,"")),IF(F89="",IF(G86=YEAR(Assumptions!$E$22)+1,1,""),""))</f>
        <v/>
      </c>
      <c r="H89" s="86" t="str">
        <f>IF(YEAR(Assumptions!$E$22)=H86,IF(MONTH(Assumptions!$D$8)=12,1,IF(MONTH(Assumptions!$E$22)&lt;MONTH(H84),1,"")),IF(G89="",IF(H86=YEAR(Assumptions!$E$22)+1,1,""),""))</f>
        <v/>
      </c>
      <c r="I89" s="86" t="str">
        <f>IF(YEAR(Assumptions!$E$22)=I86,IF(MONTH(Assumptions!$D$8)=12,1,IF(MONTH(Assumptions!$E$22)&lt;MONTH(I84),1,"")),IF(H89="",IF(I86=YEAR(Assumptions!$E$22)+1,1,""),""))</f>
        <v/>
      </c>
      <c r="J89" s="86" t="str">
        <f>IF(YEAR(Assumptions!$E$22)=J86,IF(MONTH(Assumptions!$D$8)=12,1,IF(MONTH(Assumptions!$E$22)&lt;MONTH(J84),1,"")),IF(I89="",IF(J86=YEAR(Assumptions!$E$22)+1,1,""),""))</f>
        <v/>
      </c>
      <c r="K89" s="86" t="str">
        <f>IF(YEAR(Assumptions!$E$22)=K86,IF(MONTH(Assumptions!$D$8)=12,1,IF(MONTH(Assumptions!$E$22)&lt;MONTH(K84),1,"")),IF(J89="",IF(K86=YEAR(Assumptions!$E$22)+1,1,""),""))</f>
        <v/>
      </c>
      <c r="L89" s="86" t="str">
        <f>IF(YEAR(Assumptions!$E$22)=L86,IF(MONTH(Assumptions!$D$8)=12,1,IF(MONTH(Assumptions!$E$22)&lt;MONTH(L84),1,"")),IF(K89="",IF(L86=YEAR(Assumptions!$E$22)+1,1,""),""))</f>
        <v/>
      </c>
      <c r="M89" s="86" t="str">
        <f>IF(YEAR(Assumptions!$E$22)=M86,IF(MONTH(Assumptions!$D$8)=12,1,IF(MONTH(Assumptions!$E$22)&lt;MONTH(M84),1,"")),IF(L89="",IF(M86=YEAR(Assumptions!$E$22)+1,1,""),""))</f>
        <v/>
      </c>
      <c r="N89" s="86" t="str">
        <f>IF(YEAR(Assumptions!$E$22)=N86,IF(MONTH(Assumptions!$D$8)=12,1,IF(MONTH(Assumptions!$E$22)&lt;MONTH(N84),1,"")),IF(M89="",IF(N86=YEAR(Assumptions!$E$22)+1,1,""),""))</f>
        <v/>
      </c>
      <c r="O89" s="86" t="str">
        <f>IF(YEAR(Assumptions!$E$22)=O86,IF(MONTH(Assumptions!$D$8)=12,1,IF(MONTH(Assumptions!$E$22)&lt;MONTH(O84),1,"")),IF(N89="",IF(O86=YEAR(Assumptions!$E$22)+1,1,""),""))</f>
        <v/>
      </c>
      <c r="P89" s="86" t="str">
        <f>IF(YEAR(Assumptions!$E$22)=P86,IF(MONTH(Assumptions!$D$8)=12,1,IF(MONTH(Assumptions!$E$22)&lt;MONTH(P84),1,"")),IF(O89="",IF(P86=YEAR(Assumptions!$E$22)+1,1,""),""))</f>
        <v/>
      </c>
    </row>
    <row r="90" spans="1:16" ht="15" x14ac:dyDescent="0.2">
      <c r="A90" s="86" t="s">
        <v>95</v>
      </c>
      <c r="B90" s="86" t="str">
        <f>IF(YEAR(Assumptions!$E$32)=B86,IF(MONTH(Assumptions!$D$8)=12,1,IF(MONTH(Assumptions!$E$32)&lt;MONTH(B84),1,"")),IF(A90="",IF(B86=YEAR(Assumptions!$E$32)+1,1,""),""))</f>
        <v/>
      </c>
      <c r="C90" s="86" t="str">
        <f>IF(YEAR(Assumptions!$E$32)=C86,IF(MONTH(Assumptions!$D$8)=12,1,IF(MONTH(Assumptions!$E$32)&lt;MONTH(C84),1,"")),IF(B90="",IF(C86=YEAR(Assumptions!$E$32)+1,1,""),""))</f>
        <v/>
      </c>
      <c r="D90" s="86" t="str">
        <f>IF(YEAR(Assumptions!$E$32)=D86,IF(MONTH(Assumptions!$D$8)=12,1,IF(MONTH(Assumptions!$E$32)&lt;MONTH(D84),1,"")),IF(C90="",IF(D86=YEAR(Assumptions!$E$32)+1,1,""),""))</f>
        <v/>
      </c>
      <c r="E90" s="86" t="str">
        <f>IF(YEAR(Assumptions!$E$32)=E86,IF(MONTH(Assumptions!$D$8)=12,1,IF(MONTH(Assumptions!$E$32)&lt;MONTH(E84),1,"")),IF(D90="",IF(E86=YEAR(Assumptions!$E$32)+1,1,""),""))</f>
        <v/>
      </c>
      <c r="F90" s="86" t="str">
        <f>IF(YEAR(Assumptions!$E$32)=F86,IF(MONTH(Assumptions!$D$8)=12,1,IF(MONTH(Assumptions!$E$32)&lt;MONTH(F84),1,"")),IF(E90="",IF(F86=YEAR(Assumptions!$E$32)+1,1,""),""))</f>
        <v/>
      </c>
      <c r="G90" s="86">
        <f>IF(YEAR(Assumptions!$E$32)=G86,IF(MONTH(Assumptions!$D$8)=12,1,IF(MONTH(Assumptions!$E$32)&lt;MONTH(G84),1,"")),IF(F90="",IF(G86=YEAR(Assumptions!$E$32)+1,1,""),""))</f>
        <v>1</v>
      </c>
      <c r="H90" s="86" t="str">
        <f>IF(YEAR(Assumptions!$E$32)=H86,IF(MONTH(Assumptions!$D$8)=12,1,IF(MONTH(Assumptions!$E$32)&lt;MONTH(H84),1,"")),IF(G90="",IF(H86=YEAR(Assumptions!$E$32)+1,1,""),""))</f>
        <v/>
      </c>
      <c r="I90" s="86" t="str">
        <f>IF(YEAR(Assumptions!$E$32)=I86,IF(MONTH(Assumptions!$D$8)=12,1,IF(MONTH(Assumptions!$E$32)&lt;MONTH(I84),1,"")),IF(H90="",IF(I86=YEAR(Assumptions!$E$32)+1,1,""),""))</f>
        <v/>
      </c>
      <c r="J90" s="86" t="str">
        <f>IF(YEAR(Assumptions!$E$32)=J86,IF(MONTH(Assumptions!$D$8)=12,1,IF(MONTH(Assumptions!$E$32)&lt;MONTH(J84),1,"")),IF(I90="",IF(J86=YEAR(Assumptions!$E$32)+1,1,""),""))</f>
        <v/>
      </c>
      <c r="K90" s="86" t="str">
        <f>IF(YEAR(Assumptions!$E$32)=K86,IF(MONTH(Assumptions!$D$8)=12,1,IF(MONTH(Assumptions!$E$32)&lt;MONTH(K84),1,"")),IF(J90="",IF(K86=YEAR(Assumptions!$E$32)+1,1,""),""))</f>
        <v/>
      </c>
      <c r="L90" s="86" t="str">
        <f>IF(YEAR(Assumptions!$E$32)=L86,IF(MONTH(Assumptions!$D$8)=12,1,IF(MONTH(Assumptions!$E$32)&lt;MONTH(L84),1,"")),IF(K90="",IF(L86=YEAR(Assumptions!$E$32)+1,1,""),""))</f>
        <v/>
      </c>
      <c r="M90" s="86" t="str">
        <f>IF(YEAR(Assumptions!$E$32)=M86,IF(MONTH(Assumptions!$D$8)=12,1,IF(MONTH(Assumptions!$E$32)&lt;MONTH(M84),1,"")),IF(L90="",IF(M86=YEAR(Assumptions!$E$32)+1,1,""),""))</f>
        <v/>
      </c>
      <c r="N90" s="86" t="str">
        <f>IF(YEAR(Assumptions!$E$32)=N86,IF(MONTH(Assumptions!$D$8)=12,1,IF(MONTH(Assumptions!$E$32)&lt;MONTH(N84),1,"")),IF(M90="",IF(N86=YEAR(Assumptions!$E$32)+1,1,""),""))</f>
        <v/>
      </c>
      <c r="O90" s="86" t="str">
        <f>IF(YEAR(Assumptions!$E$32)=O86,IF(MONTH(Assumptions!$D$8)=12,1,IF(MONTH(Assumptions!$E$32)&lt;MONTH(O84),1,"")),IF(N90="",IF(O86=YEAR(Assumptions!$E$32)+1,1,""),""))</f>
        <v/>
      </c>
      <c r="P90" s="86" t="str">
        <f>IF(YEAR(Assumptions!$E$32)=P86,IF(MONTH(Assumptions!$D$8)=12,1,IF(MONTH(Assumptions!$E$32)&lt;MONTH(P84),1,"")),IF(O90="",IF(P86=YEAR(Assumptions!$E$32)+1,1,""),""))</f>
        <v/>
      </c>
    </row>
    <row r="93" spans="1:16" ht="18" x14ac:dyDescent="0.25">
      <c r="A93" s="32"/>
      <c r="B93" s="32"/>
      <c r="C93" s="32"/>
      <c r="D93" s="32"/>
      <c r="E93" s="32"/>
      <c r="F93" s="90" t="s">
        <v>103</v>
      </c>
      <c r="G93" s="32"/>
      <c r="H93" s="32"/>
      <c r="I93" s="32"/>
      <c r="J93" s="32"/>
      <c r="K93" s="32"/>
      <c r="L93" s="32"/>
      <c r="M93" s="32"/>
      <c r="N93" s="32"/>
      <c r="O93" s="32"/>
      <c r="P93" s="32"/>
    </row>
    <row r="94" spans="1:16" ht="15" x14ac:dyDescent="0.2">
      <c r="A94" s="86"/>
      <c r="B94" s="86"/>
      <c r="C94" s="86"/>
      <c r="D94" s="86"/>
      <c r="E94" s="86"/>
      <c r="F94" s="86"/>
      <c r="G94" s="86"/>
      <c r="H94" s="86"/>
      <c r="I94" s="86"/>
      <c r="J94" s="86"/>
      <c r="K94" s="86"/>
      <c r="L94" s="86"/>
      <c r="M94" s="86"/>
      <c r="N94" s="86"/>
      <c r="O94" s="86"/>
      <c r="P94" s="86"/>
    </row>
    <row r="95" spans="1:16" ht="15" x14ac:dyDescent="0.2">
      <c r="A95" s="86"/>
      <c r="B95" s="87">
        <f>DATE(C98+1,B98,26)</f>
        <v>26</v>
      </c>
      <c r="C95" s="86"/>
      <c r="D95" s="86"/>
      <c r="E95" s="86"/>
      <c r="F95" s="86"/>
      <c r="G95" s="86"/>
      <c r="H95" s="86"/>
      <c r="I95" s="86"/>
      <c r="J95" s="86"/>
      <c r="K95" s="86"/>
      <c r="L95" s="86"/>
      <c r="M95" s="86"/>
      <c r="N95" s="86"/>
      <c r="O95" s="86"/>
      <c r="P95" s="86"/>
    </row>
    <row r="96" spans="1:16" ht="15" x14ac:dyDescent="0.2">
      <c r="A96" s="86"/>
      <c r="B96" s="86"/>
      <c r="C96" s="86"/>
      <c r="D96" s="86"/>
      <c r="E96" s="86"/>
      <c r="F96" s="86"/>
      <c r="G96" s="86"/>
      <c r="H96" s="86"/>
      <c r="I96" s="86"/>
      <c r="J96" s="86"/>
      <c r="K96" s="86"/>
      <c r="L96" s="86"/>
      <c r="M96" s="86"/>
      <c r="N96" s="86"/>
      <c r="O96" s="86"/>
      <c r="P96" s="86"/>
    </row>
    <row r="97" spans="1:16" ht="15" x14ac:dyDescent="0.2">
      <c r="A97" s="86"/>
      <c r="B97" s="86"/>
      <c r="C97" s="86"/>
      <c r="D97" s="86"/>
      <c r="E97" s="86"/>
      <c r="F97" s="86"/>
      <c r="G97" s="86"/>
      <c r="H97" s="86"/>
      <c r="I97" s="86"/>
      <c r="J97" s="86"/>
      <c r="K97" s="86"/>
      <c r="L97" s="86"/>
      <c r="M97" s="86"/>
      <c r="N97" s="86"/>
      <c r="O97" s="86"/>
      <c r="P97" s="86"/>
    </row>
    <row r="98" spans="1:16" ht="15" x14ac:dyDescent="0.2">
      <c r="A98" s="86"/>
      <c r="B98" s="88">
        <f>MONTH(Assumptions!F23)-MONTH(Assumptions!$D$8)</f>
        <v>-11</v>
      </c>
      <c r="C98" s="86">
        <f>YEAR(Assumptions!F23)</f>
        <v>1900</v>
      </c>
      <c r="D98" s="86">
        <f>MONTH(Assumptions!F23)</f>
        <v>1</v>
      </c>
      <c r="E98" s="86">
        <f>DAY(Assumptions!F23)</f>
        <v>0</v>
      </c>
      <c r="F98" s="86"/>
      <c r="G98" s="86">
        <f>IF(B109="",1,B109)</f>
        <v>0</v>
      </c>
      <c r="H98" s="86"/>
      <c r="I98" s="86"/>
      <c r="J98" s="86"/>
      <c r="K98" s="86"/>
      <c r="L98" s="86"/>
      <c r="M98" s="86"/>
      <c r="N98" s="86"/>
      <c r="O98" s="86"/>
      <c r="P98" s="86"/>
    </row>
    <row r="99" spans="1:16" ht="15" x14ac:dyDescent="0.2">
      <c r="A99" s="86"/>
      <c r="B99" s="86"/>
      <c r="C99" s="86"/>
      <c r="D99" s="86"/>
      <c r="E99" s="86"/>
      <c r="F99" s="86"/>
      <c r="G99" s="86"/>
      <c r="H99" s="86"/>
      <c r="I99" s="86"/>
      <c r="J99" s="86"/>
      <c r="K99" s="86"/>
      <c r="L99" s="86"/>
      <c r="M99" s="86"/>
      <c r="N99" s="86"/>
      <c r="O99" s="86"/>
      <c r="P99" s="86"/>
    </row>
    <row r="100" spans="1:16" ht="15" x14ac:dyDescent="0.2">
      <c r="A100" s="86"/>
      <c r="B100" s="86"/>
      <c r="C100" s="86"/>
      <c r="D100" s="86"/>
      <c r="E100" s="86"/>
      <c r="F100" s="86"/>
      <c r="G100" s="86"/>
      <c r="H100" s="86"/>
      <c r="I100" s="86"/>
      <c r="J100" s="86"/>
      <c r="K100" s="86"/>
      <c r="L100" s="86"/>
      <c r="M100" s="86"/>
      <c r="N100" s="86"/>
      <c r="O100" s="86"/>
      <c r="P100" s="86"/>
    </row>
    <row r="101" spans="1:16" ht="15" x14ac:dyDescent="0.2">
      <c r="A101" s="86"/>
      <c r="B101" s="86"/>
      <c r="C101" s="86"/>
      <c r="D101" s="86"/>
      <c r="E101" s="86"/>
      <c r="F101" s="86"/>
      <c r="G101" s="86"/>
      <c r="H101" s="86"/>
      <c r="I101" s="86"/>
      <c r="J101" s="86"/>
      <c r="K101" s="86"/>
      <c r="L101" s="86"/>
      <c r="M101" s="86"/>
      <c r="N101" s="86"/>
      <c r="O101" s="86"/>
      <c r="P101" s="86"/>
    </row>
    <row r="102" spans="1:16" ht="15" x14ac:dyDescent="0.2">
      <c r="A102" s="86"/>
      <c r="B102" s="88">
        <f>Assumptions!F24*12</f>
        <v>0</v>
      </c>
      <c r="C102" s="86"/>
      <c r="D102" s="86"/>
      <c r="E102" s="86"/>
      <c r="F102" s="86"/>
      <c r="G102" s="86"/>
      <c r="H102" s="86"/>
      <c r="I102" s="86"/>
      <c r="J102" s="86"/>
      <c r="K102" s="86"/>
      <c r="L102" s="86"/>
      <c r="M102" s="86"/>
      <c r="N102" s="86"/>
      <c r="O102" s="86"/>
      <c r="P102" s="86"/>
    </row>
    <row r="103" spans="1:16" ht="15" x14ac:dyDescent="0.2">
      <c r="A103" s="86"/>
      <c r="B103" s="86"/>
      <c r="C103" s="86"/>
      <c r="D103" s="86"/>
      <c r="E103" s="86"/>
      <c r="F103" s="86"/>
      <c r="G103" s="86"/>
      <c r="H103" s="86"/>
      <c r="I103" s="86"/>
      <c r="J103" s="86"/>
      <c r="K103" s="86"/>
      <c r="L103" s="86"/>
      <c r="M103" s="86"/>
      <c r="N103" s="86"/>
      <c r="O103" s="86"/>
      <c r="P103" s="86"/>
    </row>
    <row r="104" spans="1:16" ht="15" x14ac:dyDescent="0.2">
      <c r="A104" s="86" t="s">
        <v>88</v>
      </c>
      <c r="B104" s="86">
        <f>IF((MONTH(B107)-MONTH(Assumptions!$E$32))+1=12,0,(MONTH(B107)-MONTH(Assumptions!$E$32))+1)</f>
        <v>0</v>
      </c>
      <c r="C104" s="86">
        <f>IF((MONTH(C107)-MONTH(Assumptions!$E$32))+1=12,0,(MONTH(C107)-MONTH(Assumptions!$E$32))+1)</f>
        <v>0</v>
      </c>
      <c r="D104" s="86">
        <f>IF((MONTH(D107)-MONTH(Assumptions!$E$32))+1=12,0,(MONTH(D107)-MONTH(Assumptions!$E$32))+1)</f>
        <v>0</v>
      </c>
      <c r="E104" s="86">
        <f>IF((MONTH(E107)-MONTH(Assumptions!$E$32))+1=12,0,(MONTH(E107)-MONTH(Assumptions!$E$32))+1)</f>
        <v>0</v>
      </c>
      <c r="F104" s="86">
        <f>IF((MONTH(F107)-MONTH(Assumptions!$E$32))+1=12,0,(MONTH(F107)-MONTH(Assumptions!$E$32))+1)</f>
        <v>0</v>
      </c>
      <c r="G104" s="86">
        <f>IF((MONTH(G107)-MONTH(Assumptions!$E$32))+1=12,0,(MONTH(G107)-MONTH(Assumptions!$E$32))+1)</f>
        <v>0</v>
      </c>
      <c r="H104" s="86">
        <f>IF((MONTH(H107)-MONTH(Assumptions!$E$32))+1=12,0,(MONTH(H107)-MONTH(Assumptions!$E$32))+1)</f>
        <v>0</v>
      </c>
      <c r="I104" s="86">
        <f>IF((MONTH(I107)-MONTH(Assumptions!$E$32))+1=12,0,(MONTH(I107)-MONTH(Assumptions!$E$32))+1)</f>
        <v>0</v>
      </c>
      <c r="J104" s="86">
        <f>IF((MONTH(J107)-MONTH(Assumptions!$E$32))+1=12,0,(MONTH(J107)-MONTH(Assumptions!$E$32))+1)</f>
        <v>0</v>
      </c>
      <c r="K104" s="86">
        <f>IF((MONTH(K107)-MONTH(Assumptions!$E$32))+1=12,0,(MONTH(K107)-MONTH(Assumptions!$E$32))+1)</f>
        <v>0</v>
      </c>
      <c r="L104" s="86">
        <f>IF((MONTH(L107)-MONTH(Assumptions!$E$32))+1=12,0,(MONTH(L107)-MONTH(Assumptions!$E$32))+1)</f>
        <v>0</v>
      </c>
      <c r="M104" s="86">
        <f>IF((MONTH(M107)-MONTH(Assumptions!$E$32))+1=12,0,(MONTH(M107)-MONTH(Assumptions!$E$32))+1)</f>
        <v>0</v>
      </c>
      <c r="N104" s="86">
        <f>IF((MONTH(N107)-MONTH(Assumptions!$E$32))+1=12,0,(MONTH(N107)-MONTH(Assumptions!$E$32))+1)</f>
        <v>0</v>
      </c>
      <c r="O104" s="86">
        <f>IF((MONTH(O107)-MONTH(Assumptions!$E$32))+1=12,0,(MONTH(O107)-MONTH(Assumptions!$E$32))+1)</f>
        <v>0</v>
      </c>
      <c r="P104" s="86">
        <f>IF((MONTH(P107)-MONTH(Assumptions!$E$32))+1=12,0,(MONTH(P107)-MONTH(Assumptions!$E$32))+1)</f>
        <v>0</v>
      </c>
    </row>
    <row r="105" spans="1:16" ht="15" x14ac:dyDescent="0.2">
      <c r="A105" s="86" t="s">
        <v>89</v>
      </c>
      <c r="B105" s="86">
        <f>IF((MONTH(B107)-MONTH(Assumptions!$F$22))+1=12,0,(MONTH(B107)-MONTH(Assumptions!$F$22))+1)</f>
        <v>0</v>
      </c>
      <c r="C105" s="86">
        <f>IF((MONTH(C107)-MONTH(Assumptions!$F$22))+1=12,0,(MONTH(C107)-MONTH(Assumptions!$F$22))+1)</f>
        <v>0</v>
      </c>
      <c r="D105" s="86">
        <f>IF((MONTH(D107)-MONTH(Assumptions!$F$22))+1=12,0,(MONTH(D107)-MONTH(Assumptions!$F$22))+1)</f>
        <v>0</v>
      </c>
      <c r="E105" s="86">
        <f>IF((MONTH(E107)-MONTH(Assumptions!$F$22))+1=12,0,(MONTH(E107)-MONTH(Assumptions!$F$22))+1)</f>
        <v>0</v>
      </c>
      <c r="F105" s="86">
        <f>IF((MONTH(F107)-MONTH(Assumptions!$F$22))+1=12,0,(MONTH(F107)-MONTH(Assumptions!$F$22))+1)</f>
        <v>0</v>
      </c>
      <c r="G105" s="86">
        <f>IF((MONTH(G107)-MONTH(Assumptions!$F$22))+1=12,0,(MONTH(G107)-MONTH(Assumptions!$F$22))+1)</f>
        <v>0</v>
      </c>
      <c r="H105" s="86">
        <f>IF((MONTH(H107)-MONTH(Assumptions!$F$22))+1=12,0,(MONTH(H107)-MONTH(Assumptions!$F$22))+1)</f>
        <v>0</v>
      </c>
      <c r="I105" s="86">
        <f>IF((MONTH(I107)-MONTH(Assumptions!$F$22))+1=12,0,(MONTH(I107)-MONTH(Assumptions!$F$22))+1)</f>
        <v>0</v>
      </c>
      <c r="J105" s="86">
        <f>IF((MONTH(J107)-MONTH(Assumptions!$F$22))+1=12,0,(MONTH(J107)-MONTH(Assumptions!$F$22))+1)</f>
        <v>0</v>
      </c>
      <c r="K105" s="86">
        <f>IF((MONTH(K107)-MONTH(Assumptions!$F$22))+1=12,0,(MONTH(K107)-MONTH(Assumptions!$F$22))+1)</f>
        <v>0</v>
      </c>
      <c r="L105" s="86">
        <f>IF((MONTH(L107)-MONTH(Assumptions!$F$22))+1=12,0,(MONTH(L107)-MONTH(Assumptions!$F$22))+1)</f>
        <v>0</v>
      </c>
      <c r="M105" s="86">
        <f>IF((MONTH(M107)-MONTH(Assumptions!$F$22))+1=12,0,(MONTH(M107)-MONTH(Assumptions!$F$22))+1)</f>
        <v>0</v>
      </c>
      <c r="N105" s="86">
        <f>IF((MONTH(N107)-MONTH(Assumptions!$F$22))+1=12,0,(MONTH(N107)-MONTH(Assumptions!$F$22))+1)</f>
        <v>0</v>
      </c>
      <c r="O105" s="86">
        <f>IF((MONTH(O107)-MONTH(Assumptions!$F$22))+1=12,0,(MONTH(O107)-MONTH(Assumptions!$F$22))+1)</f>
        <v>0</v>
      </c>
      <c r="P105" s="86">
        <f>IF((MONTH(P107)-MONTH(Assumptions!$F$22))+1=12,0,(MONTH(P107)-MONTH(Assumptions!$F$22))+1)</f>
        <v>0</v>
      </c>
    </row>
    <row r="106" spans="1:16" ht="15" x14ac:dyDescent="0.2">
      <c r="A106" s="86" t="s">
        <v>90</v>
      </c>
      <c r="B106" s="87">
        <f>DATE(B108,IF(MONTH(Assumptions!$D$8)=12,1,MONTH(Assumptions!$D$8)+1),1)</f>
        <v>41275</v>
      </c>
      <c r="C106" s="87">
        <f>DATE(C108,IF(MONTH(Assumptions!$D$8)=12,1,MONTH(Assumptions!$D$8)+1),1)</f>
        <v>41640</v>
      </c>
      <c r="D106" s="87">
        <f>DATE(D108,IF(MONTH(Assumptions!$D$8)=12,1,MONTH(Assumptions!$D$8)+1),1)</f>
        <v>42005</v>
      </c>
      <c r="E106" s="87">
        <f>DATE(E108,IF(MONTH(Assumptions!$D$8)=12,1,MONTH(Assumptions!$D$8)+1),1)</f>
        <v>42370</v>
      </c>
      <c r="F106" s="87">
        <f>DATE(F108,IF(MONTH(Assumptions!$D$8)=12,1,MONTH(Assumptions!$D$8)+1),1)</f>
        <v>42736</v>
      </c>
      <c r="G106" s="87">
        <f>DATE(G108,IF(MONTH(Assumptions!$D$8)=12,1,MONTH(Assumptions!$D$8)+1),1)</f>
        <v>43101</v>
      </c>
      <c r="H106" s="87">
        <f>DATE(H108,IF(MONTH(Assumptions!$D$8)=12,1,MONTH(Assumptions!$D$8)+1),1)</f>
        <v>43466</v>
      </c>
      <c r="I106" s="87">
        <f>DATE(I108,IF(MONTH(Assumptions!$D$8)=12,1,MONTH(Assumptions!$D$8)+1),1)</f>
        <v>43831</v>
      </c>
      <c r="J106" s="87">
        <f>DATE(J108,IF(MONTH(Assumptions!$D$8)=12,1,MONTH(Assumptions!$D$8)+1),1)</f>
        <v>44197</v>
      </c>
      <c r="K106" s="87">
        <f>DATE(K108,IF(MONTH(Assumptions!$D$8)=12,1,MONTH(Assumptions!$D$8)+1),1)</f>
        <v>44562</v>
      </c>
      <c r="L106" s="87">
        <f>DATE(L108,IF(MONTH(Assumptions!$D$8)=12,1,MONTH(Assumptions!$D$8)+1),1)</f>
        <v>44927</v>
      </c>
      <c r="M106" s="87">
        <f>DATE(M108,IF(MONTH(Assumptions!$D$8)=12,1,MONTH(Assumptions!$D$8)+1),1)</f>
        <v>45292</v>
      </c>
      <c r="N106" s="87">
        <f>DATE(N108,IF(MONTH(Assumptions!$D$8)=12,1,MONTH(Assumptions!$D$8)+1),1)</f>
        <v>45658</v>
      </c>
      <c r="O106" s="87">
        <f>DATE(O108,IF(MONTH(Assumptions!$D$8)=12,1,MONTH(Assumptions!$D$8)+1),1)</f>
        <v>46023</v>
      </c>
      <c r="P106" s="87">
        <f>DATE(P108,IF(MONTH(Assumptions!$D$8)=12,1,MONTH(Assumptions!$D$8)+1),1)</f>
        <v>46388</v>
      </c>
    </row>
    <row r="107" spans="1:16" ht="15" x14ac:dyDescent="0.2">
      <c r="A107" s="86" t="s">
        <v>91</v>
      </c>
      <c r="B107" s="87">
        <f>DATE(IF(MONTH(Assumptions!$D$8)=12,B108,B108+1),MONTH(Assumptions!$D$8),DAY(Assumptions!$D$8))</f>
        <v>41639</v>
      </c>
      <c r="C107" s="87">
        <f>DATE(IF(MONTH(Assumptions!$D$8)=12,C108,C108+1),MONTH(Assumptions!$D$8),DAY(Assumptions!$D$8))</f>
        <v>42004</v>
      </c>
      <c r="D107" s="87">
        <f>DATE(IF(MONTH(Assumptions!$D$8)=12,D108,D108+1),MONTH(Assumptions!$D$8),DAY(Assumptions!$D$8))</f>
        <v>42369</v>
      </c>
      <c r="E107" s="87">
        <f>DATE(IF(MONTH(Assumptions!$D$8)=12,E108,E108+1),MONTH(Assumptions!$D$8),DAY(Assumptions!$D$8))</f>
        <v>42735</v>
      </c>
      <c r="F107" s="87">
        <f>DATE(IF(MONTH(Assumptions!$D$8)=12,F108,F108+1),MONTH(Assumptions!$D$8),DAY(Assumptions!$D$8))</f>
        <v>43100</v>
      </c>
      <c r="G107" s="87">
        <f>DATE(IF(MONTH(Assumptions!$D$8)=12,G108,G108+1),MONTH(Assumptions!$D$8),DAY(Assumptions!$D$8))</f>
        <v>43465</v>
      </c>
      <c r="H107" s="87">
        <f>DATE(IF(MONTH(Assumptions!$D$8)=12,H108,H108+1),MONTH(Assumptions!$D$8),DAY(Assumptions!$D$8))</f>
        <v>43830</v>
      </c>
      <c r="I107" s="87">
        <f>DATE(IF(MONTH(Assumptions!$D$8)=12,I108,I108+1),MONTH(Assumptions!$D$8),DAY(Assumptions!$D$8))</f>
        <v>44196</v>
      </c>
      <c r="J107" s="87">
        <f>DATE(IF(MONTH(Assumptions!$D$8)=12,J108,J108+1),MONTH(Assumptions!$D$8),DAY(Assumptions!$D$8))</f>
        <v>44561</v>
      </c>
      <c r="K107" s="87">
        <f>DATE(IF(MONTH(Assumptions!$D$8)=12,K108,K108+1),MONTH(Assumptions!$D$8),DAY(Assumptions!$D$8))</f>
        <v>44926</v>
      </c>
      <c r="L107" s="87">
        <f>DATE(IF(MONTH(Assumptions!$D$8)=12,L108,L108+1),MONTH(Assumptions!$D$8),DAY(Assumptions!$D$8))</f>
        <v>45291</v>
      </c>
      <c r="M107" s="87">
        <f>DATE(IF(MONTH(Assumptions!$D$8)=12,M108,M108+1),MONTH(Assumptions!$D$8),DAY(Assumptions!$D$8))</f>
        <v>45657</v>
      </c>
      <c r="N107" s="87">
        <f>DATE(IF(MONTH(Assumptions!$D$8)=12,N108,N108+1),MONTH(Assumptions!$D$8),DAY(Assumptions!$D$8))</f>
        <v>46022</v>
      </c>
      <c r="O107" s="87">
        <f>DATE(IF(MONTH(Assumptions!$D$8)=12,O108,O108+1),MONTH(Assumptions!$D$8),DAY(Assumptions!$D$8))</f>
        <v>46387</v>
      </c>
      <c r="P107" s="87">
        <f>DATE(IF(MONTH(Assumptions!$D$8)=12,P108,P108+1),MONTH(Assumptions!$D$8),DAY(Assumptions!$D$8))</f>
        <v>46752</v>
      </c>
    </row>
    <row r="108" spans="1:16" ht="15.75" x14ac:dyDescent="0.25">
      <c r="A108" s="86"/>
      <c r="B108" s="89">
        <f>Assumptions!$D$7</f>
        <v>2013</v>
      </c>
      <c r="C108" s="89">
        <f>+B108+1</f>
        <v>2014</v>
      </c>
      <c r="D108" s="89">
        <f t="shared" ref="D108:P108" si="4">+C108+1</f>
        <v>2015</v>
      </c>
      <c r="E108" s="89">
        <f t="shared" si="4"/>
        <v>2016</v>
      </c>
      <c r="F108" s="89">
        <f t="shared" si="4"/>
        <v>2017</v>
      </c>
      <c r="G108" s="89">
        <f t="shared" si="4"/>
        <v>2018</v>
      </c>
      <c r="H108" s="89">
        <f t="shared" si="4"/>
        <v>2019</v>
      </c>
      <c r="I108" s="89">
        <f t="shared" si="4"/>
        <v>2020</v>
      </c>
      <c r="J108" s="89">
        <f t="shared" si="4"/>
        <v>2021</v>
      </c>
      <c r="K108" s="89">
        <f t="shared" si="4"/>
        <v>2022</v>
      </c>
      <c r="L108" s="89">
        <f t="shared" si="4"/>
        <v>2023</v>
      </c>
      <c r="M108" s="89">
        <f t="shared" si="4"/>
        <v>2024</v>
      </c>
      <c r="N108" s="89">
        <f t="shared" si="4"/>
        <v>2025</v>
      </c>
      <c r="O108" s="89">
        <f t="shared" si="4"/>
        <v>2026</v>
      </c>
      <c r="P108" s="89">
        <f t="shared" si="4"/>
        <v>2027</v>
      </c>
    </row>
    <row r="109" spans="1:16" ht="15" x14ac:dyDescent="0.2">
      <c r="A109" s="86" t="s">
        <v>92</v>
      </c>
      <c r="B109" s="86">
        <f>IF(YEAR(Assumptions!$F$22)=B108,IF(MONTH(Assumptions!$D$8)=12,12-MONTH(Assumptions!$F$22)+1,IF(MONTH(Assumptions!$F$22)&lt;MONTH(Assumptions!$D$8),(MONTH(Assumptions!$D$8)-MONTH(Assumptions!$F$22))+1,IF(MONTH(Assumptions!$F$22)=MONTH(Assumptions!$D$8),1,""))),IF(AND(A109="",YEAR(Assumptions!$F$22)+1=B108),((MONTH(B107)+12)-MONTH(Assumptions!$F$22))+1,IF(YEAR($B$95)=B108,$B$108-SUM(A$109:$A109),IF(B108&lt;YEAR(Assumptions!$F$22),0,IF(B108&lt;YEAR($B$95),12,IF(B108&gt;YEAR($B$95),0))))))</f>
        <v>0</v>
      </c>
      <c r="C109" s="86" t="str">
        <f>IF(YEAR(Assumptions!$F$22)=C108,IF(MONTH(Assumptions!$D$8)=12,12-MONTH(Assumptions!$F$22)+1,IF(MONTH(Assumptions!$F$22)&lt;MONTH(Assumptions!$D$8),(MONTH(Assumptions!$D$8)-MONTH(Assumptions!$F$22))+1,IF(MONTH(Assumptions!$F$22)=MONTH(Assumptions!$D$8),1,""))),IF(AND(B109="",YEAR(Assumptions!$F$22)+1=C108),((MONTH(C107)+12)-MONTH(Assumptions!$F$22))+1,IF(YEAR($B$95)=C108,$B$102-SUM(B109:B109),IF(C108&lt;YEAR(Assumptions!$F$22),"",IF(C108&lt;YEAR($B$95),12,IF(C108&gt;YEAR($B$95),""))))))</f>
        <v/>
      </c>
      <c r="D109" s="86" t="str">
        <f>IF(YEAR(Assumptions!$F$22)=D108,IF(MONTH(Assumptions!$D$8)=12,12-MONTH(Assumptions!$F$22)+1,IF(MONTH(Assumptions!$F$22)&lt;MONTH(Assumptions!$D$8),(MONTH(Assumptions!$D$8)-MONTH(Assumptions!$F$22))+1,IF(MONTH(Assumptions!$F$22)=MONTH(Assumptions!$D$8),1,""))),IF(AND(C109="",YEAR(Assumptions!$F$22)+1=D108),((MONTH(D107)+12)-MONTH(Assumptions!$F$22))+1,IF(YEAR($B$95)=D108,$B$102-SUM($B$109:C$109),IF(D108&lt;YEAR(Assumptions!$F$22),"",IF(D108&lt;YEAR($B$95),12,IF(D108&gt;YEAR($B$95),""))))))</f>
        <v/>
      </c>
      <c r="E109" s="86" t="str">
        <f>IF(YEAR(Assumptions!$F$22)=E108,IF(MONTH(Assumptions!$D$8)=12,12-MONTH(Assumptions!$F$22)+1,IF(MONTH(Assumptions!$F$22)&lt;MONTH(Assumptions!$D$8),(MONTH(Assumptions!$D$8)-MONTH(Assumptions!$F$22))+1,IF(MONTH(Assumptions!$F$22)=MONTH(Assumptions!$D$8),1,""))),IF(AND(D109="",YEAR(Assumptions!$F$22)+1=E108),((MONTH(E107)+12)-MONTH(Assumptions!$F$22))+1,IF(YEAR($B$95)=E108,$B$102-SUM($B$109:D$109),IF(E108&lt;YEAR(Assumptions!$F$22),"",IF(E108&lt;YEAR($B$95),12,IF(E108&gt;YEAR($B$95),""))))))</f>
        <v/>
      </c>
      <c r="F109" s="86" t="str">
        <f>IF(YEAR(Assumptions!$F$22)=F108,IF(MONTH(Assumptions!$D$8)=12,12-MONTH(Assumptions!$F$22)+1,IF(MONTH(Assumptions!$F$22)&lt;MONTH(Assumptions!$D$8),(MONTH(Assumptions!$D$8)-MONTH(Assumptions!$F$22))+1,IF(MONTH(Assumptions!$F$22)=MONTH(Assumptions!$D$8),1,""))),IF(AND(E109="",YEAR(Assumptions!$F$22)+1=F108),((MONTH(F107)+12)-MONTH(Assumptions!$F$22))+1,IF(YEAR($B$95)=F108,$B$102-SUM($B$109:E$109),IF(F108&lt;YEAR(Assumptions!$F$22),"",IF(F108&lt;YEAR($B$95),12,IF(F108&gt;YEAR($B$95),""))))))</f>
        <v/>
      </c>
      <c r="G109" s="86" t="str">
        <f>IF(YEAR(Assumptions!$F$22)=G108,IF(MONTH(Assumptions!$D$8)=12,12-MONTH(Assumptions!$F$22)+1,IF(MONTH(Assumptions!$F$22)&lt;MONTH(Assumptions!$D$8),(MONTH(Assumptions!$D$8)-MONTH(Assumptions!$F$22))+1,IF(MONTH(Assumptions!$F$22)=MONTH(Assumptions!$D$8),1,""))),IF(AND(F109="",YEAR(Assumptions!$F$22)+1=G108),((MONTH(G107)+12)-MONTH(Assumptions!$F$22))+1,IF(YEAR($B$95)=G108,$B$102-SUM($B$109:F$109),IF(G108&lt;YEAR(Assumptions!$F$22),"",IF(G108&lt;YEAR($B$95),12,IF(G108&gt;YEAR($B$95),""))))))</f>
        <v/>
      </c>
      <c r="H109" s="86" t="str">
        <f>IF(YEAR(Assumptions!$F$22)=H108,IF(MONTH(Assumptions!$D$8)=12,12-MONTH(Assumptions!$F$22)+1,IF(MONTH(Assumptions!$F$22)&lt;MONTH(Assumptions!$D$8),(MONTH(Assumptions!$D$8)-MONTH(Assumptions!$F$22))+1,IF(MONTH(Assumptions!$F$22)=MONTH(Assumptions!$D$8),1,""))),IF(AND(G109="",YEAR(Assumptions!$F$22)+1=H108),((MONTH(H107)+12)-MONTH(Assumptions!$F$22))+1,IF(YEAR($B$95)=H108,$B$102-SUM($B$109:G$109),IF(H108&lt;YEAR(Assumptions!$F$22),"",IF(H108&lt;YEAR($B$95),12,IF(H108&gt;YEAR($B$95),""))))))</f>
        <v/>
      </c>
      <c r="I109" s="86" t="str">
        <f>IF(YEAR(Assumptions!$F$22)=I108,IF(MONTH(Assumptions!$D$8)=12,12-MONTH(Assumptions!$F$22)+1,IF(MONTH(Assumptions!$F$22)&lt;MONTH(Assumptions!$D$8),(MONTH(Assumptions!$D$8)-MONTH(Assumptions!$F$22))+1,IF(MONTH(Assumptions!$F$22)=MONTH(Assumptions!$D$8),1,""))),IF(AND(H109="",YEAR(Assumptions!$F$22)+1=I108),((MONTH(I107)+12)-MONTH(Assumptions!$F$22))+1,IF(YEAR($B$95)=I108,$B$102-SUM($B$109:H$109),IF(I108&lt;YEAR(Assumptions!$F$22),"",IF(I108&lt;YEAR($B$95),12,IF(I108&gt;YEAR($B$95),""))))))</f>
        <v/>
      </c>
      <c r="J109" s="86" t="str">
        <f>IF(YEAR(Assumptions!$F$22)=J108,IF(MONTH(Assumptions!$D$8)=12,12-MONTH(Assumptions!$F$22)+1,IF(MONTH(Assumptions!$F$22)&lt;MONTH(Assumptions!$D$8),(MONTH(Assumptions!$D$8)-MONTH(Assumptions!$F$22))+1,IF(MONTH(Assumptions!$F$22)=MONTH(Assumptions!$D$8),1,""))),IF(AND(I109="",YEAR(Assumptions!$F$22)+1=J108),((MONTH(J107)+12)-MONTH(Assumptions!$F$22))+1,IF(YEAR($B$95)=J108,$B$102-SUM($B$109:I$109),IF(J108&lt;YEAR(Assumptions!$F$22),"",IF(J108&lt;YEAR($B$95),12,IF(J108&gt;YEAR($B$95),""))))))</f>
        <v/>
      </c>
      <c r="K109" s="86" t="str">
        <f>IF(YEAR(Assumptions!$F$22)=K108,IF(MONTH(Assumptions!$D$8)=12,12-MONTH(Assumptions!$F$22)+1,IF(MONTH(Assumptions!$F$22)&lt;MONTH(Assumptions!$D$8),(MONTH(Assumptions!$D$8)-MONTH(Assumptions!$F$22))+1,IF(MONTH(Assumptions!$F$22)=MONTH(Assumptions!$D$8),1,""))),IF(AND(J109="",YEAR(Assumptions!$F$22)+1=K108),((MONTH(K107)+12)-MONTH(Assumptions!$F$22))+1,IF(YEAR($B$95)=K108,$B$102-SUM($B$109:J$109),IF(K108&lt;YEAR(Assumptions!$F$22),"",IF(K108&lt;YEAR($B$95),12,IF(K108&gt;YEAR($B$95),""))))))</f>
        <v/>
      </c>
      <c r="L109" s="86" t="str">
        <f>IF(YEAR(Assumptions!$F$22)=L108,IF(MONTH(Assumptions!$D$8)=12,12-MONTH(Assumptions!$F$22)+1,IF(MONTH(Assumptions!$F$22)&lt;MONTH(Assumptions!$D$8),(MONTH(Assumptions!$D$8)-MONTH(Assumptions!$F$22))+1,IF(MONTH(Assumptions!$F$22)=MONTH(Assumptions!$D$8),1,""))),IF(AND(K109="",YEAR(Assumptions!$F$22)+1=L108),((MONTH(L107)+12)-MONTH(Assumptions!$F$22))+1,IF(YEAR($B$95)=L108,$B$102-SUM($B$109:K$109),IF(L108&lt;YEAR(Assumptions!$F$22),"",IF(L108&lt;YEAR($B$95),12,IF(L108&gt;YEAR($B$95),""))))))</f>
        <v/>
      </c>
      <c r="M109" s="86" t="str">
        <f>IF(YEAR(Assumptions!$F$22)=M108,IF(MONTH(Assumptions!$D$8)=12,12-MONTH(Assumptions!$F$22)+1,IF(MONTH(Assumptions!$F$22)&lt;MONTH(Assumptions!$D$8),(MONTH(Assumptions!$D$8)-MONTH(Assumptions!$F$22))+1,IF(MONTH(Assumptions!$F$22)=MONTH(Assumptions!$D$8),1,""))),IF(AND(L109="",YEAR(Assumptions!$F$22)+1=M108),((MONTH(M107)+12)-MONTH(Assumptions!$F$22))+1,IF(YEAR($B$95)=M108,$B$102-SUM($B$109:L$109),IF(M108&lt;YEAR(Assumptions!$F$22),"",IF(M108&lt;YEAR($B$95),12,IF(M108&gt;YEAR($B$95),""))))))</f>
        <v/>
      </c>
      <c r="N109" s="86" t="str">
        <f>IF(YEAR(Assumptions!$F$22)=N108,IF(MONTH(Assumptions!$D$8)=12,12-MONTH(Assumptions!$F$22)+1,IF(MONTH(Assumptions!$F$22)&lt;MONTH(Assumptions!$D$8),(MONTH(Assumptions!$D$8)-MONTH(Assumptions!$F$22))+1,IF(MONTH(Assumptions!$F$22)=MONTH(Assumptions!$D$8),1,""))),IF(AND(M109="",YEAR(Assumptions!$F$22)+1=N108),((MONTH(N107)+12)-MONTH(Assumptions!$F$22))+1,IF(YEAR($B$95)=N108,$B$102-SUM($B$109:M$109),IF(N108&lt;YEAR(Assumptions!$F$22),"",IF(N108&lt;YEAR($B$95),12,IF(N108&gt;YEAR($B$95),""))))))</f>
        <v/>
      </c>
      <c r="O109" s="86" t="str">
        <f>IF(YEAR(Assumptions!$F$22)=O108,IF(MONTH(Assumptions!$D$8)=12,12-MONTH(Assumptions!$F$22)+1,IF(MONTH(Assumptions!$F$22)&lt;MONTH(Assumptions!$D$8),(MONTH(Assumptions!$D$8)-MONTH(Assumptions!$F$22))+1,IF(MONTH(Assumptions!$F$22)=MONTH(Assumptions!$D$8),1,""))),IF(AND(N109="",YEAR(Assumptions!$F$22)+1=O108),((MONTH(O107)+12)-MONTH(Assumptions!$F$22))+1,IF(YEAR($B$95)=O108,$B$102-SUM($B$109:N$109),IF(O108&lt;YEAR(Assumptions!$F$22),"",IF(O108&lt;YEAR($B$95),12,IF(O108&gt;YEAR($B$95),""))))))</f>
        <v/>
      </c>
      <c r="P109" s="86" t="str">
        <f>IF(YEAR(Assumptions!$F$22)=P108,IF(MONTH(Assumptions!$D$8)=12,12-MONTH(Assumptions!$F$22)+1,IF(MONTH(Assumptions!$F$22)&lt;MONTH(Assumptions!$D$8),(MONTH(Assumptions!$D$8)-MONTH(Assumptions!$F$22))+1,IF(MONTH(Assumptions!$F$22)=MONTH(Assumptions!$D$8),1,""))),IF(AND(O109="",YEAR(Assumptions!$F$22)+1=P108),((MONTH(P107)+12)-MONTH(Assumptions!$F$22))+1,IF(YEAR($B$95)=P108,$B$102-SUM($B$109:O$109),IF(P108&lt;YEAR(Assumptions!$F$22),"",IF(P108&lt;YEAR($B$95),12,IF(P108&gt;YEAR($B$95),""))))))</f>
        <v/>
      </c>
    </row>
    <row r="110" spans="1:16" ht="15" x14ac:dyDescent="0.2">
      <c r="A110" s="86" t="s">
        <v>93</v>
      </c>
      <c r="B110" s="86" t="str">
        <f>IF(YEAR(Assumptions!$F$32)=B108,IF(MONTH(Assumptions!$D$8)=12,MONTH(Assumptions!$F$32),IF(MONTH(Assumptions!$F$32)&lt;MONTH(Assumptions!$D$8),12-((MONTH(Assumptions!$D$8)-MONTH(Assumptions!$F$32))),IF(MONTH(Assumptions!$F$32)=MONTH(Assumptions!$D$8),1,IF(MONTH(Assumptions!$F$32)&gt;MONTH(Assumptions!$D$8),IF(YEAR(Assumptions!$F$32)+1=B108,(MONTH(Assumptions!$F$32)-MONTH(B106))+1,""),"")))),IF(YEAR(Assumptions!$F$32)+1=B108,(MONTH(Assumptions!$F$32)-MONTH(B106))+1,""))</f>
        <v/>
      </c>
      <c r="C110" s="86" t="str">
        <f>IF(B110="",IF(YEAR(Assumptions!$F$32)=C108,IF(MONTH(Assumptions!$D$8)=12,MONTH(Assumptions!$F$32),IF(MONTH(Assumptions!$F$32)&lt;MONTH(Assumptions!$D$8),12-((MONTH(Assumptions!$D$8)-MONTH(Assumptions!$F$32))),IF(MONTH(Assumptions!$F$32)=MONTH(Assumptions!$D$8),1,IF(MONTH(Assumptions!$F$32)&gt;MONTH(Assumptions!$D$8),IF(YEAR(Assumptions!$F$32)+1=C108,(MONTH(Assumptions!$F$32)-MONTH(C106))+1,""),"")))),IF(YEAR(Assumptions!$F$32)+1=C108,(MONTH(Assumptions!$F$32)-MONTH(C106))+1,"")),"")</f>
        <v/>
      </c>
      <c r="D110" s="86" t="str">
        <f>IF(C110="",IF(YEAR(Assumptions!$F$32)=D108,IF(MONTH(Assumptions!$D$8)=12,MONTH(Assumptions!$F$32),IF(MONTH(Assumptions!$F$32)&lt;MONTH(Assumptions!$D$8),12-((MONTH(Assumptions!$D$8)-MONTH(Assumptions!$F$32))),IF(MONTH(Assumptions!$F$32)=MONTH(Assumptions!$D$8),1,IF(MONTH(Assumptions!$F$32)&gt;MONTH(Assumptions!$D$8),IF(YEAR(Assumptions!$F$32)+1=D108,(MONTH(Assumptions!$F$32)-MONTH(D106))+1,""),"")))),IF(YEAR(Assumptions!$F$32)+1=D108,(MONTH(Assumptions!$F$32)-MONTH(D106))+1,"")),"")</f>
        <v/>
      </c>
      <c r="E110" s="86" t="str">
        <f>IF(D110="",IF(YEAR(Assumptions!$F$32)=E108,IF(MONTH(Assumptions!$D$8)=12,MONTH(Assumptions!$F$32),IF(MONTH(Assumptions!$F$32)&lt;MONTH(Assumptions!$D$8),12-((MONTH(Assumptions!$D$8)-MONTH(Assumptions!$F$32))),IF(MONTH(Assumptions!$F$32)=MONTH(Assumptions!$D$8),1,IF(MONTH(Assumptions!$F$32)&gt;MONTH(Assumptions!$D$8),IF(YEAR(Assumptions!$F$32)+1=E108,(MONTH(Assumptions!$F$32)-MONTH(E106))+1,""),"")))),IF(YEAR(Assumptions!$F$32)+1=E108,(MONTH(Assumptions!$F$32)-MONTH(E106))+1,"")),"")</f>
        <v/>
      </c>
      <c r="F110" s="86" t="str">
        <f>IF(E110="",IF(YEAR(Assumptions!$F$32)=F108,IF(MONTH(Assumptions!$D$8)=12,MONTH(Assumptions!$F$32),IF(MONTH(Assumptions!$F$32)&lt;MONTH(Assumptions!$D$8),12-((MONTH(Assumptions!$D$8)-MONTH(Assumptions!$F$32))),IF(MONTH(Assumptions!$F$32)=MONTH(Assumptions!$D$8),1,IF(MONTH(Assumptions!$F$32)&gt;MONTH(Assumptions!$D$8),IF(YEAR(Assumptions!$F$32)+1=F108,(MONTH(Assumptions!$F$32)-MONTH(F106))+1,""),"")))),IF(YEAR(Assumptions!$F$32)+1=F108,(MONTH(Assumptions!$F$32)-MONTH(F106))+1,"")),"")</f>
        <v/>
      </c>
      <c r="G110" s="86" t="str">
        <f>IF(F110="",IF(YEAR(Assumptions!$F$32)=G108,IF(MONTH(Assumptions!$D$8)=12,MONTH(Assumptions!$F$32),IF(MONTH(Assumptions!$F$32)&lt;MONTH(Assumptions!$D$8),12-((MONTH(Assumptions!$D$8)-MONTH(Assumptions!$F$32))),IF(MONTH(Assumptions!$F$32)=MONTH(Assumptions!$D$8),1,IF(MONTH(Assumptions!$F$32)&gt;MONTH(Assumptions!$D$8),IF(YEAR(Assumptions!$F$32)+1=G108,(MONTH(Assumptions!$F$32)-MONTH(G106))+1,""),"")))),IF(YEAR(Assumptions!$F$32)+1=G108,(MONTH(Assumptions!$F$32)-MONTH(G106))+1,"")),"")</f>
        <v/>
      </c>
      <c r="H110" s="86" t="str">
        <f>IF(G110="",IF(YEAR(Assumptions!$F$32)=H108,IF(MONTH(Assumptions!$D$8)=12,MONTH(Assumptions!$F$32),IF(MONTH(Assumptions!$F$32)&lt;MONTH(Assumptions!$D$8),12-((MONTH(Assumptions!$D$8)-MONTH(Assumptions!$F$32))),IF(MONTH(Assumptions!$F$32)=MONTH(Assumptions!$D$8),1,IF(MONTH(Assumptions!$F$32)&gt;MONTH(Assumptions!$D$8),IF(YEAR(Assumptions!$F$32)+1=H108,(MONTH(Assumptions!$F$32)-MONTH(H106))+1,""),"")))),IF(YEAR(Assumptions!$F$32)+1=H108,(MONTH(Assumptions!$F$32)-MONTH(H106))+1,"")),"")</f>
        <v/>
      </c>
      <c r="I110" s="86" t="str">
        <f>IF(H110="",IF(YEAR(Assumptions!$F$32)=I108,IF(MONTH(Assumptions!$D$8)=12,MONTH(Assumptions!$F$32),IF(MONTH(Assumptions!$F$32)&lt;MONTH(Assumptions!$D$8),12-((MONTH(Assumptions!$D$8)-MONTH(Assumptions!$F$32))),IF(MONTH(Assumptions!$F$32)=MONTH(Assumptions!$D$8),1,IF(MONTH(Assumptions!$F$32)&gt;MONTH(Assumptions!$D$8),IF(YEAR(Assumptions!$F$32)+1=I108,(MONTH(Assumptions!$F$32)-MONTH(I106))+1,""),"")))),IF(YEAR(Assumptions!$F$32)+1=I108,(MONTH(Assumptions!$F$32)-MONTH(I106))+1,"")),"")</f>
        <v/>
      </c>
      <c r="J110" s="86" t="str">
        <f>IF(I110="",IF(YEAR(Assumptions!$F$32)=J108,IF(MONTH(Assumptions!$D$8)=12,MONTH(Assumptions!$F$32),IF(MONTH(Assumptions!$F$32)&lt;MONTH(Assumptions!$D$8),12-((MONTH(Assumptions!$D$8)-MONTH(Assumptions!$F$32))),IF(MONTH(Assumptions!$F$32)=MONTH(Assumptions!$D$8),1,IF(MONTH(Assumptions!$F$32)&gt;MONTH(Assumptions!$D$8),IF(YEAR(Assumptions!$F$32)+1=J108,(MONTH(Assumptions!$F$32)-MONTH(J106))+1,""),"")))),IF(YEAR(Assumptions!$F$32)+1=J108,(MONTH(Assumptions!$F$32)-MONTH(J106))+1,"")),"")</f>
        <v/>
      </c>
      <c r="K110" s="86" t="str">
        <f>IF(J110="",IF(YEAR(Assumptions!$F$32)=K108,IF(MONTH(Assumptions!$D$8)=12,MONTH(Assumptions!$F$32),IF(MONTH(Assumptions!$F$32)&lt;MONTH(Assumptions!$D$8),12-((MONTH(Assumptions!$D$8)-MONTH(Assumptions!$F$32))),IF(MONTH(Assumptions!$F$32)=MONTH(Assumptions!$D$8),1,IF(MONTH(Assumptions!$F$32)&gt;MONTH(Assumptions!$D$8),IF(YEAR(Assumptions!$F$32)+1=K108,(MONTH(Assumptions!$F$32)-MONTH(K106))+1,""),"")))),IF(YEAR(Assumptions!$F$32)+1=K108,(MONTH(Assumptions!$F$32)-MONTH(K106))+1,"")),"")</f>
        <v/>
      </c>
      <c r="L110" s="86" t="str">
        <f>IF(K110="",IF(YEAR(Assumptions!$F$32)=L108,IF(MONTH(Assumptions!$D$8)=12,MONTH(Assumptions!$F$32),IF(MONTH(Assumptions!$F$32)&lt;MONTH(Assumptions!$D$8),12-((MONTH(Assumptions!$D$8)-MONTH(Assumptions!$F$32))),IF(MONTH(Assumptions!$F$32)=MONTH(Assumptions!$D$8),1,IF(MONTH(Assumptions!$F$32)&gt;MONTH(Assumptions!$D$8),IF(YEAR(Assumptions!$F$32)+1=L108,(MONTH(Assumptions!$F$32)-MONTH(L106))+1,""),"")))),IF(YEAR(Assumptions!$F$32)+1=L108,(MONTH(Assumptions!$F$32)-MONTH(L106))+1,"")),"")</f>
        <v/>
      </c>
      <c r="M110" s="86" t="str">
        <f>IF(L110="",IF(YEAR(Assumptions!$F$32)=M108,IF(MONTH(Assumptions!$D$8)=12,MONTH(Assumptions!$F$32),IF(MONTH(Assumptions!$F$32)&lt;MONTH(Assumptions!$D$8),12-((MONTH(Assumptions!$D$8)-MONTH(Assumptions!$F$32))),IF(MONTH(Assumptions!$F$32)=MONTH(Assumptions!$D$8),1,IF(MONTH(Assumptions!$F$32)&gt;MONTH(Assumptions!$D$8),IF(YEAR(Assumptions!$F$32)+1=M108,(MONTH(Assumptions!$F$32)-MONTH(M106))+1,""),"")))),IF(YEAR(Assumptions!$F$32)+1=M108,(MONTH(Assumptions!$F$32)-MONTH(M106))+1,"")),"")</f>
        <v/>
      </c>
      <c r="N110" s="86" t="str">
        <f>IF(M110="",IF(YEAR(Assumptions!$F$32)=N108,IF(MONTH(Assumptions!$D$8)=12,MONTH(Assumptions!$F$32),IF(MONTH(Assumptions!$F$32)&lt;MONTH(Assumptions!$D$8),12-((MONTH(Assumptions!$D$8)-MONTH(Assumptions!$F$32))),IF(MONTH(Assumptions!$F$32)=MONTH(Assumptions!$D$8),1,IF(MONTH(Assumptions!$F$32)&gt;MONTH(Assumptions!$D$8),IF(YEAR(Assumptions!$F$32)+1=N108,(MONTH(Assumptions!$F$32)-MONTH(N106))+1,""),"")))),IF(YEAR(Assumptions!$F$32)+1=N108,(MONTH(Assumptions!$F$32)-MONTH(N106))+1,"")),"")</f>
        <v/>
      </c>
      <c r="O110" s="86" t="str">
        <f>IF(N110="",IF(YEAR(Assumptions!$F$32)=O108,IF(MONTH(Assumptions!$D$8)=12,MONTH(Assumptions!$F$32),IF(MONTH(Assumptions!$F$32)&lt;MONTH(Assumptions!$D$8),12-((MONTH(Assumptions!$D$8)-MONTH(Assumptions!$F$32))),IF(MONTH(Assumptions!$F$32)=MONTH(Assumptions!$D$8),1,IF(MONTH(Assumptions!$F$32)&gt;MONTH(Assumptions!$D$8),IF(YEAR(Assumptions!$F$32)+1=O108,(MONTH(Assumptions!$F$32)-MONTH(O106))+1,""),"")))),IF(YEAR(Assumptions!$F$32)+1=O108,(MONTH(Assumptions!$F$32)-MONTH(O106))+1,"")),"")</f>
        <v/>
      </c>
      <c r="P110" s="86" t="str">
        <f>IF(O110="",IF(YEAR(Assumptions!$F$32)=P108,IF(MONTH(Assumptions!$D$8)=12,MONTH(Assumptions!$F$32),IF(MONTH(Assumptions!$F$32)&lt;MONTH(Assumptions!$D$8),12-((MONTH(Assumptions!$D$8)-MONTH(Assumptions!$F$32))),IF(MONTH(Assumptions!$F$32)=MONTH(Assumptions!$D$8),1,IF(MONTH(Assumptions!$F$32)&gt;MONTH(Assumptions!$D$8),IF(YEAR(Assumptions!$F$32)+1=P108,(MONTH(Assumptions!$F$32)-MONTH(P106))+1,""),"")))),IF(YEAR(Assumptions!$F$32)+1=P108,(MONTH(Assumptions!$F$32)-MONTH(P106))+1,"")),"")</f>
        <v/>
      </c>
    </row>
    <row r="111" spans="1:16" ht="15" x14ac:dyDescent="0.2">
      <c r="A111" s="86" t="s">
        <v>94</v>
      </c>
      <c r="B111" s="86" t="str">
        <f>IF(YEAR(Assumptions!$F$22)=B108,IF(MONTH(Assumptions!$D$8)=12,1,IF(MONTH(Assumptions!$F$22)&lt;MONTH(B106),1,"")),IF(A111="",IF(B108=YEAR(Assumptions!$F$22)+1,1,""),""))</f>
        <v/>
      </c>
      <c r="C111" s="86" t="str">
        <f>IF(YEAR(Assumptions!$F$22)=C108,IF(MONTH(Assumptions!$D$8)=12,1,IF(MONTH(Assumptions!$F$22)&lt;MONTH(C106),1,"")),IF(B111="",IF(C108=YEAR(Assumptions!$F$22)+1,1,""),""))</f>
        <v/>
      </c>
      <c r="D111" s="86" t="str">
        <f>IF(YEAR(Assumptions!$F$22)=D108,IF(MONTH(Assumptions!$D$8)=12,1,IF(MONTH(Assumptions!$F$22)&lt;MONTH(D106),1,"")),IF(C111="",IF(D108=YEAR(Assumptions!$F$22)+1,1,""),""))</f>
        <v/>
      </c>
      <c r="E111" s="86" t="str">
        <f>IF(YEAR(Assumptions!$F$22)=E108,IF(MONTH(Assumptions!$D$8)=12,1,IF(MONTH(Assumptions!$F$22)&lt;MONTH(E106),1,"")),IF(D111="",IF(E108=YEAR(Assumptions!$F$22)+1,1,""),""))</f>
        <v/>
      </c>
      <c r="F111" s="86" t="str">
        <f>IF(YEAR(Assumptions!$F$22)=F108,IF(MONTH(Assumptions!$D$8)=12,1,IF(MONTH(Assumptions!$F$22)&lt;MONTH(F106),1,"")),IF(E111="",IF(F108=YEAR(Assumptions!$F$22)+1,1,""),""))</f>
        <v/>
      </c>
      <c r="G111" s="86" t="str">
        <f>IF(YEAR(Assumptions!$F$22)=G108,IF(MONTH(Assumptions!$D$8)=12,1,IF(MONTH(Assumptions!$F$22)&lt;MONTH(G106),1,"")),IF(F111="",IF(G108=YEAR(Assumptions!$F$22)+1,1,""),""))</f>
        <v/>
      </c>
      <c r="H111" s="86" t="str">
        <f>IF(YEAR(Assumptions!$F$22)=H108,IF(MONTH(Assumptions!$D$8)=12,1,IF(MONTH(Assumptions!$F$22)&lt;MONTH(H106),1,"")),IF(G111="",IF(H108=YEAR(Assumptions!$F$22)+1,1,""),""))</f>
        <v/>
      </c>
      <c r="I111" s="86" t="str">
        <f>IF(YEAR(Assumptions!$F$22)=I108,IF(MONTH(Assumptions!$D$8)=12,1,IF(MONTH(Assumptions!$F$22)&lt;MONTH(I106),1,"")),IF(H111="",IF(I108=YEAR(Assumptions!$F$22)+1,1,""),""))</f>
        <v/>
      </c>
      <c r="J111" s="86" t="str">
        <f>IF(YEAR(Assumptions!$F$22)=J108,IF(MONTH(Assumptions!$D$8)=12,1,IF(MONTH(Assumptions!$F$22)&lt;MONTH(J106),1,"")),IF(I111="",IF(J108=YEAR(Assumptions!$F$22)+1,1,""),""))</f>
        <v/>
      </c>
      <c r="K111" s="86" t="str">
        <f>IF(YEAR(Assumptions!$F$22)=K108,IF(MONTH(Assumptions!$D$8)=12,1,IF(MONTH(Assumptions!$F$22)&lt;MONTH(K106),1,"")),IF(J111="",IF(K108=YEAR(Assumptions!$F$22)+1,1,""),""))</f>
        <v/>
      </c>
      <c r="L111" s="86" t="str">
        <f>IF(YEAR(Assumptions!$F$22)=L108,IF(MONTH(Assumptions!$D$8)=12,1,IF(MONTH(Assumptions!$F$22)&lt;MONTH(L106),1,"")),IF(K111="",IF(L108=YEAR(Assumptions!$F$22)+1,1,""),""))</f>
        <v/>
      </c>
      <c r="M111" s="86" t="str">
        <f>IF(YEAR(Assumptions!$F$22)=M108,IF(MONTH(Assumptions!$D$8)=12,1,IF(MONTH(Assumptions!$F$22)&lt;MONTH(M106),1,"")),IF(L111="",IF(M108=YEAR(Assumptions!$F$22)+1,1,""),""))</f>
        <v/>
      </c>
      <c r="N111" s="86" t="str">
        <f>IF(YEAR(Assumptions!$F$22)=N108,IF(MONTH(Assumptions!$D$8)=12,1,IF(MONTH(Assumptions!$F$22)&lt;MONTH(N106),1,"")),IF(M111="",IF(N108=YEAR(Assumptions!$F$22)+1,1,""),""))</f>
        <v/>
      </c>
      <c r="O111" s="86" t="str">
        <f>IF(YEAR(Assumptions!$F$22)=O108,IF(MONTH(Assumptions!$D$8)=12,1,IF(MONTH(Assumptions!$F$22)&lt;MONTH(O106),1,"")),IF(N111="",IF(O108=YEAR(Assumptions!$F$22)+1,1,""),""))</f>
        <v/>
      </c>
      <c r="P111" s="86" t="str">
        <f>IF(YEAR(Assumptions!$F$22)=P108,IF(MONTH(Assumptions!$D$8)=12,1,IF(MONTH(Assumptions!$F$22)&lt;MONTH(P106),1,"")),IF(O111="",IF(P108=YEAR(Assumptions!$F$22)+1,1,""),""))</f>
        <v/>
      </c>
    </row>
    <row r="112" spans="1:16" ht="15" x14ac:dyDescent="0.2">
      <c r="A112" s="86" t="s">
        <v>95</v>
      </c>
      <c r="B112" s="86" t="str">
        <f>IF(YEAR(Assumptions!$F$32)=B108,IF(MONTH(Assumptions!$D$8)=12,1,IF(MONTH(Assumptions!$F$32)&lt;MONTH(B106),1,"")),IF(A112="",IF(B108=YEAR(Assumptions!$F$32)+1,1,""),""))</f>
        <v/>
      </c>
      <c r="C112" s="86" t="str">
        <f>IF(YEAR(Assumptions!$F$32)=C108,IF(MONTH(Assumptions!$D$8)=12,1,IF(MONTH(Assumptions!$F$32)&lt;MONTH(C106),1,"")),IF(B112="",IF(C108=YEAR(Assumptions!$F$32)+1,1,""),""))</f>
        <v/>
      </c>
      <c r="D112" s="86" t="str">
        <f>IF(YEAR(Assumptions!$F$32)=D108,IF(MONTH(Assumptions!$D$8)=12,1,IF(MONTH(Assumptions!$F$32)&lt;MONTH(D106),1,"")),IF(C112="",IF(D108=YEAR(Assumptions!$F$32)+1,1,""),""))</f>
        <v/>
      </c>
      <c r="E112" s="86" t="str">
        <f>IF(YEAR(Assumptions!$F$32)=E108,IF(MONTH(Assumptions!$D$8)=12,1,IF(MONTH(Assumptions!$F$32)&lt;MONTH(E106),1,"")),IF(D112="",IF(E108=YEAR(Assumptions!$F$32)+1,1,""),""))</f>
        <v/>
      </c>
      <c r="F112" s="86" t="str">
        <f>IF(YEAR(Assumptions!$F$32)=F108,IF(MONTH(Assumptions!$D$8)=12,1,IF(MONTH(Assumptions!$F$32)&lt;MONTH(F106),1,"")),IF(E112="",IF(F108=YEAR(Assumptions!$F$32)+1,1,""),""))</f>
        <v/>
      </c>
      <c r="G112" s="86" t="str">
        <f>IF(YEAR(Assumptions!$F$32)=G108,IF(MONTH(Assumptions!$D$8)=12,1,IF(MONTH(Assumptions!$F$32)&lt;MONTH(G106),1,"")),IF(F112="",IF(G108=YEAR(Assumptions!$F$32)+1,1,""),""))</f>
        <v/>
      </c>
      <c r="H112" s="86" t="str">
        <f>IF(YEAR(Assumptions!$F$32)=H108,IF(MONTH(Assumptions!$D$8)=12,1,IF(MONTH(Assumptions!$F$32)&lt;MONTH(H106),1,"")),IF(G112="",IF(H108=YEAR(Assumptions!$F$32)+1,1,""),""))</f>
        <v/>
      </c>
      <c r="I112" s="86" t="str">
        <f>IF(YEAR(Assumptions!$F$32)=I108,IF(MONTH(Assumptions!$D$8)=12,1,IF(MONTH(Assumptions!$F$32)&lt;MONTH(I106),1,"")),IF(H112="",IF(I108=YEAR(Assumptions!$F$32)+1,1,""),""))</f>
        <v/>
      </c>
      <c r="J112" s="86" t="str">
        <f>IF(YEAR(Assumptions!$F$32)=J108,IF(MONTH(Assumptions!$D$8)=12,1,IF(MONTH(Assumptions!$F$32)&lt;MONTH(J106),1,"")),IF(I112="",IF(J108=YEAR(Assumptions!$F$32)+1,1,""),""))</f>
        <v/>
      </c>
      <c r="K112" s="86" t="str">
        <f>IF(YEAR(Assumptions!$F$32)=K108,IF(MONTH(Assumptions!$D$8)=12,1,IF(MONTH(Assumptions!$F$32)&lt;MONTH(K106),1,"")),IF(J112="",IF(K108=YEAR(Assumptions!$F$32)+1,1,""),""))</f>
        <v/>
      </c>
      <c r="L112" s="86" t="str">
        <f>IF(YEAR(Assumptions!$F$32)=L108,IF(MONTH(Assumptions!$D$8)=12,1,IF(MONTH(Assumptions!$F$32)&lt;MONTH(L106),1,"")),IF(K112="",IF(L108=YEAR(Assumptions!$F$32)+1,1,""),""))</f>
        <v/>
      </c>
      <c r="M112" s="86" t="str">
        <f>IF(YEAR(Assumptions!$F$32)=M108,IF(MONTH(Assumptions!$D$8)=12,1,IF(MONTH(Assumptions!$F$32)&lt;MONTH(M106),1,"")),IF(L112="",IF(M108=YEAR(Assumptions!$F$32)+1,1,""),""))</f>
        <v/>
      </c>
      <c r="N112" s="86" t="str">
        <f>IF(YEAR(Assumptions!$F$32)=N108,IF(MONTH(Assumptions!$D$8)=12,1,IF(MONTH(Assumptions!$F$32)&lt;MONTH(N106),1,"")),IF(M112="",IF(N108=YEAR(Assumptions!$F$32)+1,1,""),""))</f>
        <v/>
      </c>
      <c r="O112" s="86" t="str">
        <f>IF(YEAR(Assumptions!$F$32)=O108,IF(MONTH(Assumptions!$D$8)=12,1,IF(MONTH(Assumptions!$F$32)&lt;MONTH(O106),1,"")),IF(N112="",IF(O108=YEAR(Assumptions!$F$32)+1,1,""),""))</f>
        <v/>
      </c>
      <c r="P112" s="86" t="str">
        <f>IF(YEAR(Assumptions!$F$32)=P108,IF(MONTH(Assumptions!$D$8)=12,1,IF(MONTH(Assumptions!$F$32)&lt;MONTH(P106),1,"")),IF(O112="",IF(P108=YEAR(Assumptions!$F$32)+1,1,""),""))</f>
        <v/>
      </c>
    </row>
    <row r="115" spans="1:16" ht="18" x14ac:dyDescent="0.25">
      <c r="A115" s="32"/>
      <c r="B115" s="32"/>
      <c r="C115" s="32"/>
      <c r="D115" s="32"/>
      <c r="E115" s="32"/>
      <c r="F115" s="90" t="s">
        <v>104</v>
      </c>
      <c r="G115" s="32"/>
      <c r="H115" s="32"/>
      <c r="I115" s="32"/>
      <c r="J115" s="32"/>
      <c r="K115" s="32"/>
      <c r="L115" s="32"/>
      <c r="M115" s="32"/>
      <c r="N115" s="32"/>
      <c r="O115" s="32"/>
      <c r="P115" s="32"/>
    </row>
    <row r="116" spans="1:16" ht="15" x14ac:dyDescent="0.2">
      <c r="A116" s="86"/>
      <c r="B116" s="86"/>
      <c r="C116" s="86"/>
      <c r="D116" s="86"/>
      <c r="E116" s="86"/>
      <c r="F116" s="86"/>
      <c r="G116" s="86"/>
      <c r="H116" s="86"/>
      <c r="I116" s="86"/>
      <c r="J116" s="86"/>
      <c r="K116" s="86"/>
      <c r="L116" s="86"/>
      <c r="M116" s="86"/>
      <c r="N116" s="86"/>
      <c r="O116" s="86"/>
      <c r="P116" s="86"/>
    </row>
    <row r="117" spans="1:16" ht="15" x14ac:dyDescent="0.2">
      <c r="A117" s="86"/>
      <c r="B117" s="87">
        <f>DATE(C120+1,B120,26)</f>
        <v>26</v>
      </c>
      <c r="C117" s="86"/>
      <c r="D117" s="86"/>
      <c r="E117" s="86"/>
      <c r="F117" s="86"/>
      <c r="G117" s="86"/>
      <c r="H117" s="86"/>
      <c r="I117" s="86"/>
      <c r="J117" s="86"/>
      <c r="K117" s="86"/>
      <c r="L117" s="86"/>
      <c r="M117" s="86"/>
      <c r="N117" s="86"/>
      <c r="O117" s="86"/>
      <c r="P117" s="86"/>
    </row>
    <row r="118" spans="1:16" ht="15" x14ac:dyDescent="0.2">
      <c r="A118" s="86"/>
      <c r="B118" s="86"/>
      <c r="C118" s="86"/>
      <c r="D118" s="86"/>
      <c r="E118" s="86"/>
      <c r="F118" s="86"/>
      <c r="G118" s="86"/>
      <c r="H118" s="86"/>
      <c r="I118" s="86"/>
      <c r="J118" s="86"/>
      <c r="K118" s="86"/>
      <c r="L118" s="86"/>
      <c r="M118" s="86"/>
      <c r="N118" s="86"/>
      <c r="O118" s="86"/>
      <c r="P118" s="86"/>
    </row>
    <row r="119" spans="1:16" ht="15" x14ac:dyDescent="0.2">
      <c r="A119" s="86"/>
      <c r="B119" s="86"/>
      <c r="C119" s="86"/>
      <c r="D119" s="86"/>
      <c r="E119" s="86"/>
      <c r="F119" s="86"/>
      <c r="G119" s="86"/>
      <c r="H119" s="86"/>
      <c r="I119" s="86"/>
      <c r="J119" s="86"/>
      <c r="K119" s="86"/>
      <c r="L119" s="86"/>
      <c r="M119" s="86"/>
      <c r="N119" s="86"/>
      <c r="O119" s="86"/>
      <c r="P119" s="86"/>
    </row>
    <row r="120" spans="1:16" ht="15" x14ac:dyDescent="0.2">
      <c r="A120" s="86"/>
      <c r="B120" s="88">
        <f>MONTH(Assumptions!G23)-MONTH(Assumptions!$D$8)</f>
        <v>-11</v>
      </c>
      <c r="C120" s="86">
        <f>YEAR(Assumptions!G23)</f>
        <v>1900</v>
      </c>
      <c r="D120" s="86">
        <f>MONTH(Assumptions!G23)</f>
        <v>1</v>
      </c>
      <c r="E120" s="86">
        <f>DAY(Assumptions!G23)</f>
        <v>0</v>
      </c>
      <c r="F120" s="86"/>
      <c r="G120" s="86">
        <f>IF(B131="",1,B131)</f>
        <v>0</v>
      </c>
      <c r="H120" s="86"/>
      <c r="I120" s="86"/>
      <c r="J120" s="86"/>
      <c r="K120" s="86"/>
      <c r="L120" s="86"/>
      <c r="M120" s="86"/>
      <c r="N120" s="86"/>
      <c r="O120" s="86"/>
      <c r="P120" s="86"/>
    </row>
    <row r="121" spans="1:16" ht="15" x14ac:dyDescent="0.2">
      <c r="A121" s="86"/>
      <c r="B121" s="86"/>
      <c r="C121" s="86"/>
      <c r="D121" s="86"/>
      <c r="E121" s="86"/>
      <c r="F121" s="86"/>
      <c r="G121" s="86"/>
      <c r="H121" s="86"/>
      <c r="I121" s="86"/>
      <c r="J121" s="86"/>
      <c r="K121" s="86"/>
      <c r="L121" s="86"/>
      <c r="M121" s="86"/>
      <c r="N121" s="86"/>
      <c r="O121" s="86"/>
      <c r="P121" s="86"/>
    </row>
    <row r="122" spans="1:16" ht="15" x14ac:dyDescent="0.2">
      <c r="A122" s="86"/>
      <c r="B122" s="86"/>
      <c r="C122" s="86"/>
      <c r="D122" s="86"/>
      <c r="E122" s="86"/>
      <c r="F122" s="86"/>
      <c r="G122" s="86"/>
      <c r="H122" s="86"/>
      <c r="I122" s="86"/>
      <c r="J122" s="86"/>
      <c r="K122" s="86"/>
      <c r="L122" s="86"/>
      <c r="M122" s="86"/>
      <c r="N122" s="86"/>
      <c r="O122" s="86"/>
      <c r="P122" s="86"/>
    </row>
    <row r="123" spans="1:16" ht="15" x14ac:dyDescent="0.2">
      <c r="A123" s="86"/>
      <c r="B123" s="86"/>
      <c r="C123" s="86"/>
      <c r="D123" s="86"/>
      <c r="E123" s="86"/>
      <c r="F123" s="86"/>
      <c r="G123" s="86"/>
      <c r="H123" s="86"/>
      <c r="I123" s="86"/>
      <c r="J123" s="86"/>
      <c r="K123" s="86"/>
      <c r="L123" s="86"/>
      <c r="M123" s="86"/>
      <c r="N123" s="86"/>
      <c r="O123" s="86"/>
      <c r="P123" s="86"/>
    </row>
    <row r="124" spans="1:16" ht="15" x14ac:dyDescent="0.2">
      <c r="A124" s="86"/>
      <c r="B124" s="88">
        <f>Assumptions!G24*12</f>
        <v>0</v>
      </c>
      <c r="C124" s="86"/>
      <c r="D124" s="86"/>
      <c r="E124" s="86"/>
      <c r="F124" s="86"/>
      <c r="G124" s="86"/>
      <c r="H124" s="86"/>
      <c r="I124" s="86"/>
      <c r="J124" s="86"/>
      <c r="K124" s="86"/>
      <c r="L124" s="86"/>
      <c r="M124" s="86"/>
      <c r="N124" s="86"/>
      <c r="O124" s="86"/>
      <c r="P124" s="86"/>
    </row>
    <row r="125" spans="1:16" ht="15" x14ac:dyDescent="0.2">
      <c r="A125" s="86"/>
      <c r="B125" s="86"/>
      <c r="C125" s="86"/>
      <c r="D125" s="86"/>
      <c r="E125" s="86"/>
      <c r="F125" s="86"/>
      <c r="G125" s="86"/>
      <c r="H125" s="86"/>
      <c r="I125" s="86"/>
      <c r="J125" s="86"/>
      <c r="K125" s="86"/>
      <c r="L125" s="86"/>
      <c r="M125" s="86"/>
      <c r="N125" s="86"/>
      <c r="O125" s="86"/>
      <c r="P125" s="86"/>
    </row>
    <row r="126" spans="1:16" ht="15" x14ac:dyDescent="0.2">
      <c r="A126" s="86" t="s">
        <v>88</v>
      </c>
      <c r="B126" s="86">
        <f>IF((MONTH(B129)-MONTH(Assumptions!$E$32))+1=12,0,(MONTH(B129)-MONTH(Assumptions!$E$32))+1)</f>
        <v>0</v>
      </c>
      <c r="C126" s="86">
        <f>IF((MONTH(C129)-MONTH(Assumptions!$E$32))+1=12,0,(MONTH(C129)-MONTH(Assumptions!$E$32))+1)</f>
        <v>0</v>
      </c>
      <c r="D126" s="86">
        <f>IF((MONTH(D129)-MONTH(Assumptions!$E$32))+1=12,0,(MONTH(D129)-MONTH(Assumptions!$E$32))+1)</f>
        <v>0</v>
      </c>
      <c r="E126" s="86">
        <f>IF((MONTH(E129)-MONTH(Assumptions!$E$32))+1=12,0,(MONTH(E129)-MONTH(Assumptions!$E$32))+1)</f>
        <v>0</v>
      </c>
      <c r="F126" s="86">
        <f>IF((MONTH(F129)-MONTH(Assumptions!$E$32))+1=12,0,(MONTH(F129)-MONTH(Assumptions!$E$32))+1)</f>
        <v>0</v>
      </c>
      <c r="G126" s="86">
        <f>IF((MONTH(G129)-MONTH(Assumptions!$E$32))+1=12,0,(MONTH(G129)-MONTH(Assumptions!$E$32))+1)</f>
        <v>0</v>
      </c>
      <c r="H126" s="86">
        <f>IF((MONTH(H129)-MONTH(Assumptions!$E$32))+1=12,0,(MONTH(H129)-MONTH(Assumptions!$E$32))+1)</f>
        <v>0</v>
      </c>
      <c r="I126" s="86">
        <f>IF((MONTH(I129)-MONTH(Assumptions!$E$32))+1=12,0,(MONTH(I129)-MONTH(Assumptions!$E$32))+1)</f>
        <v>0</v>
      </c>
      <c r="J126" s="86">
        <f>IF((MONTH(J129)-MONTH(Assumptions!$E$32))+1=12,0,(MONTH(J129)-MONTH(Assumptions!$E$32))+1)</f>
        <v>0</v>
      </c>
      <c r="K126" s="86">
        <f>IF((MONTH(K129)-MONTH(Assumptions!$E$32))+1=12,0,(MONTH(K129)-MONTH(Assumptions!$E$32))+1)</f>
        <v>0</v>
      </c>
      <c r="L126" s="86">
        <f>IF((MONTH(L129)-MONTH(Assumptions!$E$32))+1=12,0,(MONTH(L129)-MONTH(Assumptions!$E$32))+1)</f>
        <v>0</v>
      </c>
      <c r="M126" s="86">
        <f>IF((MONTH(M129)-MONTH(Assumptions!$E$32))+1=12,0,(MONTH(M129)-MONTH(Assumptions!$E$32))+1)</f>
        <v>0</v>
      </c>
      <c r="N126" s="86">
        <f>IF((MONTH(N129)-MONTH(Assumptions!$E$32))+1=12,0,(MONTH(N129)-MONTH(Assumptions!$E$32))+1)</f>
        <v>0</v>
      </c>
      <c r="O126" s="86">
        <f>IF((MONTH(O129)-MONTH(Assumptions!$E$32))+1=12,0,(MONTH(O129)-MONTH(Assumptions!$E$32))+1)</f>
        <v>0</v>
      </c>
      <c r="P126" s="86">
        <f>IF((MONTH(P129)-MONTH(Assumptions!$E$32))+1=12,0,(MONTH(P129)-MONTH(Assumptions!$E$32))+1)</f>
        <v>0</v>
      </c>
    </row>
    <row r="127" spans="1:16" ht="15" x14ac:dyDescent="0.2">
      <c r="A127" s="86" t="s">
        <v>89</v>
      </c>
      <c r="B127" s="86">
        <f>IF((MONTH(B129)-MONTH(Assumptions!$G$22))+1=12,0,(MONTH(B129)-MONTH(Assumptions!$G$22))+1)</f>
        <v>0</v>
      </c>
      <c r="C127" s="86">
        <f>IF((MONTH(C129)-MONTH(Assumptions!$G$22))+1=12,0,(MONTH(C129)-MONTH(Assumptions!$G$22))+1)</f>
        <v>0</v>
      </c>
      <c r="D127" s="86">
        <f>IF((MONTH(D129)-MONTH(Assumptions!$G$22))+1=12,0,(MONTH(D129)-MONTH(Assumptions!$G$22))+1)</f>
        <v>0</v>
      </c>
      <c r="E127" s="86">
        <f>IF((MONTH(E129)-MONTH(Assumptions!$G$22))+1=12,0,(MONTH(E129)-MONTH(Assumptions!$G$22))+1)</f>
        <v>0</v>
      </c>
      <c r="F127" s="86">
        <f>IF((MONTH(F129)-MONTH(Assumptions!$G$22))+1=12,0,(MONTH(F129)-MONTH(Assumptions!$G$22))+1)</f>
        <v>0</v>
      </c>
      <c r="G127" s="86">
        <f>IF((MONTH(G129)-MONTH(Assumptions!$G$22))+1=12,0,(MONTH(G129)-MONTH(Assumptions!$G$22))+1)</f>
        <v>0</v>
      </c>
      <c r="H127" s="86">
        <f>IF((MONTH(H129)-MONTH(Assumptions!$G$22))+1=12,0,(MONTH(H129)-MONTH(Assumptions!$G$22))+1)</f>
        <v>0</v>
      </c>
      <c r="I127" s="86">
        <f>IF((MONTH(I129)-MONTH(Assumptions!$G$22))+1=12,0,(MONTH(I129)-MONTH(Assumptions!$G$22))+1)</f>
        <v>0</v>
      </c>
      <c r="J127" s="86">
        <f>IF((MONTH(J129)-MONTH(Assumptions!$G$22))+1=12,0,(MONTH(J129)-MONTH(Assumptions!$G$22))+1)</f>
        <v>0</v>
      </c>
      <c r="K127" s="86">
        <f>IF((MONTH(K129)-MONTH(Assumptions!$G$22))+1=12,0,(MONTH(K129)-MONTH(Assumptions!$G$22))+1)</f>
        <v>0</v>
      </c>
      <c r="L127" s="86">
        <f>IF((MONTH(L129)-MONTH(Assumptions!$G$22))+1=12,0,(MONTH(L129)-MONTH(Assumptions!$G$22))+1)</f>
        <v>0</v>
      </c>
      <c r="M127" s="86">
        <f>IF((MONTH(M129)-MONTH(Assumptions!$G$22))+1=12,0,(MONTH(M129)-MONTH(Assumptions!$G$22))+1)</f>
        <v>0</v>
      </c>
      <c r="N127" s="86">
        <f>IF((MONTH(N129)-MONTH(Assumptions!$G$22))+1=12,0,(MONTH(N129)-MONTH(Assumptions!$G$22))+1)</f>
        <v>0</v>
      </c>
      <c r="O127" s="86">
        <f>IF((MONTH(O129)-MONTH(Assumptions!$G$22))+1=12,0,(MONTH(O129)-MONTH(Assumptions!$G$22))+1)</f>
        <v>0</v>
      </c>
      <c r="P127" s="86">
        <f>IF((MONTH(P129)-MONTH(Assumptions!$G$22))+1=12,0,(MONTH(P129)-MONTH(Assumptions!$G$22))+1)</f>
        <v>0</v>
      </c>
    </row>
    <row r="128" spans="1:16" ht="15" x14ac:dyDescent="0.2">
      <c r="A128" s="86" t="s">
        <v>90</v>
      </c>
      <c r="B128" s="87">
        <f>DATE(B130,IF(MONTH(Assumptions!$D$8)=12,1,MONTH(Assumptions!$D$8)+1),1)</f>
        <v>41275</v>
      </c>
      <c r="C128" s="87">
        <f>DATE(C130,IF(MONTH(Assumptions!$D$8)=12,1,MONTH(Assumptions!$D$8)+1),1)</f>
        <v>41640</v>
      </c>
      <c r="D128" s="87">
        <f>DATE(D130,IF(MONTH(Assumptions!$D$8)=12,1,MONTH(Assumptions!$D$8)+1),1)</f>
        <v>42005</v>
      </c>
      <c r="E128" s="87">
        <f>DATE(E130,IF(MONTH(Assumptions!$D$8)=12,1,MONTH(Assumptions!$D$8)+1),1)</f>
        <v>42370</v>
      </c>
      <c r="F128" s="87">
        <f>DATE(F130,IF(MONTH(Assumptions!$D$8)=12,1,MONTH(Assumptions!$D$8)+1),1)</f>
        <v>42736</v>
      </c>
      <c r="G128" s="87">
        <f>DATE(G130,IF(MONTH(Assumptions!$D$8)=12,1,MONTH(Assumptions!$D$8)+1),1)</f>
        <v>43101</v>
      </c>
      <c r="H128" s="87">
        <f>DATE(H130,IF(MONTH(Assumptions!$D$8)=12,1,MONTH(Assumptions!$D$8)+1),1)</f>
        <v>43466</v>
      </c>
      <c r="I128" s="87">
        <f>DATE(I130,IF(MONTH(Assumptions!$D$8)=12,1,MONTH(Assumptions!$D$8)+1),1)</f>
        <v>43831</v>
      </c>
      <c r="J128" s="87">
        <f>DATE(J130,IF(MONTH(Assumptions!$D$8)=12,1,MONTH(Assumptions!$D$8)+1),1)</f>
        <v>44197</v>
      </c>
      <c r="K128" s="87">
        <f>DATE(K130,IF(MONTH(Assumptions!$D$8)=12,1,MONTH(Assumptions!$D$8)+1),1)</f>
        <v>44562</v>
      </c>
      <c r="L128" s="87">
        <f>DATE(L130,IF(MONTH(Assumptions!$D$8)=12,1,MONTH(Assumptions!$D$8)+1),1)</f>
        <v>44927</v>
      </c>
      <c r="M128" s="87">
        <f>DATE(M130,IF(MONTH(Assumptions!$D$8)=12,1,MONTH(Assumptions!$D$8)+1),1)</f>
        <v>45292</v>
      </c>
      <c r="N128" s="87">
        <f>DATE(N130,IF(MONTH(Assumptions!$D$8)=12,1,MONTH(Assumptions!$D$8)+1),1)</f>
        <v>45658</v>
      </c>
      <c r="O128" s="87">
        <f>DATE(O130,IF(MONTH(Assumptions!$D$8)=12,1,MONTH(Assumptions!$D$8)+1),1)</f>
        <v>46023</v>
      </c>
      <c r="P128" s="87">
        <f>DATE(P130,IF(MONTH(Assumptions!$D$8)=12,1,MONTH(Assumptions!$D$8)+1),1)</f>
        <v>46388</v>
      </c>
    </row>
    <row r="129" spans="1:16" ht="15" x14ac:dyDescent="0.2">
      <c r="A129" s="86" t="s">
        <v>91</v>
      </c>
      <c r="B129" s="87">
        <f>DATE(IF(MONTH(Assumptions!$D$8)=12,B130,B130+1),MONTH(Assumptions!$D$8),DAY(Assumptions!$D$8))</f>
        <v>41639</v>
      </c>
      <c r="C129" s="87">
        <f>DATE(IF(MONTH(Assumptions!$D$8)=12,C130,C130+1),MONTH(Assumptions!$D$8),DAY(Assumptions!$D$8))</f>
        <v>42004</v>
      </c>
      <c r="D129" s="87">
        <f>DATE(IF(MONTH(Assumptions!$D$8)=12,D130,D130+1),MONTH(Assumptions!$D$8),DAY(Assumptions!$D$8))</f>
        <v>42369</v>
      </c>
      <c r="E129" s="87">
        <f>DATE(IF(MONTH(Assumptions!$D$8)=12,E130,E130+1),MONTH(Assumptions!$D$8),DAY(Assumptions!$D$8))</f>
        <v>42735</v>
      </c>
      <c r="F129" s="87">
        <f>DATE(IF(MONTH(Assumptions!$D$8)=12,F130,F130+1),MONTH(Assumptions!$D$8),DAY(Assumptions!$D$8))</f>
        <v>43100</v>
      </c>
      <c r="G129" s="87">
        <f>DATE(IF(MONTH(Assumptions!$D$8)=12,G130,G130+1),MONTH(Assumptions!$D$8),DAY(Assumptions!$D$8))</f>
        <v>43465</v>
      </c>
      <c r="H129" s="87">
        <f>DATE(IF(MONTH(Assumptions!$D$8)=12,H130,H130+1),MONTH(Assumptions!$D$8),DAY(Assumptions!$D$8))</f>
        <v>43830</v>
      </c>
      <c r="I129" s="87">
        <f>DATE(IF(MONTH(Assumptions!$D$8)=12,I130,I130+1),MONTH(Assumptions!$D$8),DAY(Assumptions!$D$8))</f>
        <v>44196</v>
      </c>
      <c r="J129" s="87">
        <f>DATE(IF(MONTH(Assumptions!$D$8)=12,J130,J130+1),MONTH(Assumptions!$D$8),DAY(Assumptions!$D$8))</f>
        <v>44561</v>
      </c>
      <c r="K129" s="87">
        <f>DATE(IF(MONTH(Assumptions!$D$8)=12,K130,K130+1),MONTH(Assumptions!$D$8),DAY(Assumptions!$D$8))</f>
        <v>44926</v>
      </c>
      <c r="L129" s="87">
        <f>DATE(IF(MONTH(Assumptions!$D$8)=12,L130,L130+1),MONTH(Assumptions!$D$8),DAY(Assumptions!$D$8))</f>
        <v>45291</v>
      </c>
      <c r="M129" s="87">
        <f>DATE(IF(MONTH(Assumptions!$D$8)=12,M130,M130+1),MONTH(Assumptions!$D$8),DAY(Assumptions!$D$8))</f>
        <v>45657</v>
      </c>
      <c r="N129" s="87">
        <f>DATE(IF(MONTH(Assumptions!$D$8)=12,N130,N130+1),MONTH(Assumptions!$D$8),DAY(Assumptions!$D$8))</f>
        <v>46022</v>
      </c>
      <c r="O129" s="87">
        <f>DATE(IF(MONTH(Assumptions!$D$8)=12,O130,O130+1),MONTH(Assumptions!$D$8),DAY(Assumptions!$D$8))</f>
        <v>46387</v>
      </c>
      <c r="P129" s="87">
        <f>DATE(IF(MONTH(Assumptions!$D$8)=12,P130,P130+1),MONTH(Assumptions!$D$8),DAY(Assumptions!$D$8))</f>
        <v>46752</v>
      </c>
    </row>
    <row r="130" spans="1:16" ht="15.75" x14ac:dyDescent="0.25">
      <c r="A130" s="86"/>
      <c r="B130" s="89">
        <f>Assumptions!$D$7</f>
        <v>2013</v>
      </c>
      <c r="C130" s="89">
        <f>+B130+1</f>
        <v>2014</v>
      </c>
      <c r="D130" s="89">
        <f t="shared" ref="D130:P130" si="5">+C130+1</f>
        <v>2015</v>
      </c>
      <c r="E130" s="89">
        <f t="shared" si="5"/>
        <v>2016</v>
      </c>
      <c r="F130" s="89">
        <f t="shared" si="5"/>
        <v>2017</v>
      </c>
      <c r="G130" s="89">
        <f t="shared" si="5"/>
        <v>2018</v>
      </c>
      <c r="H130" s="89">
        <f t="shared" si="5"/>
        <v>2019</v>
      </c>
      <c r="I130" s="89">
        <f t="shared" si="5"/>
        <v>2020</v>
      </c>
      <c r="J130" s="89">
        <f t="shared" si="5"/>
        <v>2021</v>
      </c>
      <c r="K130" s="89">
        <f t="shared" si="5"/>
        <v>2022</v>
      </c>
      <c r="L130" s="89">
        <f t="shared" si="5"/>
        <v>2023</v>
      </c>
      <c r="M130" s="89">
        <f t="shared" si="5"/>
        <v>2024</v>
      </c>
      <c r="N130" s="89">
        <f t="shared" si="5"/>
        <v>2025</v>
      </c>
      <c r="O130" s="89">
        <f t="shared" si="5"/>
        <v>2026</v>
      </c>
      <c r="P130" s="89">
        <f t="shared" si="5"/>
        <v>2027</v>
      </c>
    </row>
    <row r="131" spans="1:16" ht="15" x14ac:dyDescent="0.2">
      <c r="A131" s="86" t="s">
        <v>92</v>
      </c>
      <c r="B131" s="86">
        <f>IF(YEAR(Assumptions!$G$22)=B130,IF(MONTH(Assumptions!$D$8)=12,12-MONTH(Assumptions!$G$22)+1,IF(MONTH(Assumptions!$G$22)&lt;MONTH(Assumptions!$D$8),(MONTH(Assumptions!$D$8)-MONTH(Assumptions!$G$22))+1,IF(MONTH(Assumptions!$G$22)=MONTH(Assumptions!$D$8),1,""))),IF(AND(A131="",YEAR(Assumptions!$G$22)+1=B130),((MONTH(B129)+12)-MONTH(Assumptions!$G$22))+1,IF(YEAR($B$117)=B130,$B$124-SUM(A$131:$A131),IF(B130&lt;YEAR(Assumptions!$G$22),0,IF(B130&lt;YEAR($B$117),12,IF(B130&gt;YEAR($B$117),0))))))</f>
        <v>0</v>
      </c>
      <c r="C131" s="86" t="str">
        <f>IF(YEAR(Assumptions!$G$22)=C130,IF(MONTH(Assumptions!$D$8)=12,12-MONTH(Assumptions!$G$22)+1,IF(MONTH(Assumptions!$G$22)&lt;MONTH(Assumptions!$D$8),(MONTH(Assumptions!$D$8)-MONTH(Assumptions!$G$22))+1,IF(MONTH(Assumptions!$G$22)=MONTH(Assumptions!$D$8),1,""))),IF(AND(B131="",YEAR(Assumptions!$G$22)+1=C130),((MONTH(C129)+12)-MONTH(Assumptions!$G$22))+1,IF(YEAR($B$117)=C130,$B$124-SUM(B131:B131),IF(C130&lt;YEAR(Assumptions!$G$22),"",IF(C130&lt;YEAR($B$117),12,IF(C130&gt;YEAR($B$117),""))))))</f>
        <v/>
      </c>
      <c r="D131" s="86" t="str">
        <f>IF(YEAR(Assumptions!$G$22)=D130,IF(MONTH(Assumptions!$D$8)=12,12-MONTH(Assumptions!$G$22)+1,IF(MONTH(Assumptions!$G$22)&lt;MONTH(Assumptions!$D$8),(MONTH(Assumptions!$D$8)-MONTH(Assumptions!$G$22))+1,IF(MONTH(Assumptions!$G$22)=MONTH(Assumptions!$D$8),1,""))),IF(AND(C131="",YEAR(Assumptions!$G$22)+1=D130),((MONTH(D129)+12)-MONTH(Assumptions!$G$22))+1,IF(YEAR($B$117)=D130,$B$124-SUM($B$131:C131),IF(D130&lt;YEAR(Assumptions!$G$22),"",IF(D130&lt;YEAR($B$117),12,IF(D130&gt;YEAR($B$117),""))))))</f>
        <v/>
      </c>
      <c r="E131" s="86" t="str">
        <f>IF(YEAR(Assumptions!$G$22)=E130,IF(MONTH(Assumptions!$D$8)=12,12-MONTH(Assumptions!$G$22)+1,IF(MONTH(Assumptions!$G$22)&lt;MONTH(Assumptions!$D$8),(MONTH(Assumptions!$D$8)-MONTH(Assumptions!$G$22))+1,IF(MONTH(Assumptions!$G$22)=MONTH(Assumptions!$D$8),1,""))),IF(AND(D131="",YEAR(Assumptions!$G$22)+1=E130),((MONTH(E129)+12)-MONTH(Assumptions!$G$22))+1,IF(YEAR($B$117)=E130,$B$124-SUM($B$131:D131),IF(E130&lt;YEAR(Assumptions!$G$22),"",IF(E130&lt;YEAR($B$117),12,IF(E130&gt;YEAR($B$117),""))))))</f>
        <v/>
      </c>
      <c r="F131" s="86" t="str">
        <f>IF(YEAR(Assumptions!$G$22)=F130,IF(MONTH(Assumptions!$D$8)=12,12-MONTH(Assumptions!$G$22)+1,IF(MONTH(Assumptions!$G$22)&lt;MONTH(Assumptions!$D$8),(MONTH(Assumptions!$D$8)-MONTH(Assumptions!$G$22))+1,IF(MONTH(Assumptions!$G$22)=MONTH(Assumptions!$D$8),1,""))),IF(AND(E131="",YEAR(Assumptions!$G$22)+1=F130),((MONTH(F129)+12)-MONTH(Assumptions!$G$22))+1,IF(YEAR($B$117)=F130,$B$124-SUM($B$131:E131),IF(F130&lt;YEAR(Assumptions!$G$22),"",IF(F130&lt;YEAR($B$117),12,IF(F130&gt;YEAR($B$117),""))))))</f>
        <v/>
      </c>
      <c r="G131" s="86" t="str">
        <f>IF(YEAR(Assumptions!$G$22)=G130,IF(MONTH(Assumptions!$D$8)=12,12-MONTH(Assumptions!$G$22)+1,IF(MONTH(Assumptions!$G$22)&lt;MONTH(Assumptions!$D$8),(MONTH(Assumptions!$D$8)-MONTH(Assumptions!$G$22))+1,IF(MONTH(Assumptions!$G$22)=MONTH(Assumptions!$D$8),1,""))),IF(AND(F131="",YEAR(Assumptions!$G$22)+1=G130),((MONTH(G129)+12)-MONTH(Assumptions!$G$22))+1,IF(YEAR($B$117)=G130,$B$124-SUM($B$131:F131),IF(G130&lt;YEAR(Assumptions!$G$22),"",IF(G130&lt;YEAR($B$117),12,IF(G130&gt;YEAR($B$117),""))))))</f>
        <v/>
      </c>
      <c r="H131" s="86" t="str">
        <f>IF(YEAR(Assumptions!$G$22)=H130,IF(MONTH(Assumptions!$D$8)=12,12-MONTH(Assumptions!$G$22)+1,IF(MONTH(Assumptions!$G$22)&lt;MONTH(Assumptions!$D$8),(MONTH(Assumptions!$D$8)-MONTH(Assumptions!$G$22))+1,IF(MONTH(Assumptions!$G$22)=MONTH(Assumptions!$D$8),1,""))),IF(AND(G131="",YEAR(Assumptions!$G$22)+1=H130),((MONTH(H129)+12)-MONTH(Assumptions!$G$22))+1,IF(YEAR($B$117)=H130,$B$124-SUM($B$131:G131),IF(H130&lt;YEAR(Assumptions!$G$22),"",IF(H130&lt;YEAR($B$117),12,IF(H130&gt;YEAR($B$117),""))))))</f>
        <v/>
      </c>
      <c r="I131" s="86" t="str">
        <f>IF(YEAR(Assumptions!$G$22)=I130,IF(MONTH(Assumptions!$D$8)=12,12-MONTH(Assumptions!$G$22)+1,IF(MONTH(Assumptions!$G$22)&lt;MONTH(Assumptions!$D$8),(MONTH(Assumptions!$D$8)-MONTH(Assumptions!$G$22))+1,IF(MONTH(Assumptions!$G$22)=MONTH(Assumptions!$D$8),1,""))),IF(AND(H131="",YEAR(Assumptions!$G$22)+1=I130),((MONTH(I129)+12)-MONTH(Assumptions!$G$22))+1,IF(YEAR($B$117)=I130,$B$124-SUM($B$131:H131),IF(I130&lt;YEAR(Assumptions!$G$22),"",IF(I130&lt;YEAR($B$117),12,IF(I130&gt;YEAR($B$117),""))))))</f>
        <v/>
      </c>
      <c r="J131" s="86" t="str">
        <f>IF(YEAR(Assumptions!$G$22)=J130,IF(MONTH(Assumptions!$D$8)=12,12-MONTH(Assumptions!$G$22)+1,IF(MONTH(Assumptions!$G$22)&lt;MONTH(Assumptions!$D$8),(MONTH(Assumptions!$D$8)-MONTH(Assumptions!$G$22))+1,IF(MONTH(Assumptions!$G$22)=MONTH(Assumptions!$D$8),1,""))),IF(AND(I131="",YEAR(Assumptions!$G$22)+1=J130),((MONTH(J129)+12)-MONTH(Assumptions!$G$22))+1,IF(YEAR($B$117)=J130,$B$124-SUM($B$131:I131),IF(J130&lt;YEAR(Assumptions!$G$22),"",IF(J130&lt;YEAR($B$117),12,IF(J130&gt;YEAR($B$117),""))))))</f>
        <v/>
      </c>
      <c r="K131" s="86" t="str">
        <f>IF(YEAR(Assumptions!$G$22)=K130,IF(MONTH(Assumptions!$D$8)=12,12-MONTH(Assumptions!$G$22)+1,IF(MONTH(Assumptions!$G$22)&lt;MONTH(Assumptions!$D$8),(MONTH(Assumptions!$D$8)-MONTH(Assumptions!$G$22))+1,IF(MONTH(Assumptions!$G$22)=MONTH(Assumptions!$D$8),1,""))),IF(AND(J131="",YEAR(Assumptions!$G$22)+1=K130),((MONTH(K129)+12)-MONTH(Assumptions!$G$22))+1,IF(YEAR($B$117)=K130,$B$124-SUM($B$131:J131),IF(K130&lt;YEAR(Assumptions!$G$22),"",IF(K130&lt;YEAR($B$117),12,IF(K130&gt;YEAR($B$117),""))))))</f>
        <v/>
      </c>
      <c r="L131" s="86" t="str">
        <f>IF(YEAR(Assumptions!$G$22)=L130,IF(MONTH(Assumptions!$D$8)=12,12-MONTH(Assumptions!$G$22)+1,IF(MONTH(Assumptions!$G$22)&lt;MONTH(Assumptions!$D$8),(MONTH(Assumptions!$D$8)-MONTH(Assumptions!$G$22))+1,IF(MONTH(Assumptions!$G$22)=MONTH(Assumptions!$D$8),1,""))),IF(AND(K131="",YEAR(Assumptions!$G$22)+1=L130),((MONTH(L129)+12)-MONTH(Assumptions!$G$22))+1,IF(YEAR($B$117)=L130,$B$124-SUM($B$131:K131),IF(L130&lt;YEAR(Assumptions!$G$22),"",IF(L130&lt;YEAR($B$117),12,IF(L130&gt;YEAR($B$117),""))))))</f>
        <v/>
      </c>
      <c r="M131" s="86" t="str">
        <f>IF(YEAR(Assumptions!$G$22)=M130,IF(MONTH(Assumptions!$D$8)=12,12-MONTH(Assumptions!$G$22)+1,IF(MONTH(Assumptions!$G$22)&lt;MONTH(Assumptions!$D$8),(MONTH(Assumptions!$D$8)-MONTH(Assumptions!$G$22))+1,IF(MONTH(Assumptions!$G$22)=MONTH(Assumptions!$D$8),1,""))),IF(AND(L131="",YEAR(Assumptions!$G$22)+1=M130),((MONTH(M129)+12)-MONTH(Assumptions!$G$22))+1,IF(YEAR($B$117)=M130,$B$124-SUM($B$131:L131),IF(M130&lt;YEAR(Assumptions!$G$22),"",IF(M130&lt;YEAR($B$117),12,IF(M130&gt;YEAR($B$117),""))))))</f>
        <v/>
      </c>
      <c r="N131" s="86" t="str">
        <f>IF(YEAR(Assumptions!$G$22)=N130,IF(MONTH(Assumptions!$D$8)=12,12-MONTH(Assumptions!$G$22)+1,IF(MONTH(Assumptions!$G$22)&lt;MONTH(Assumptions!$D$8),(MONTH(Assumptions!$D$8)-MONTH(Assumptions!$G$22))+1,IF(MONTH(Assumptions!$G$22)=MONTH(Assumptions!$D$8),1,""))),IF(AND(M131="",YEAR(Assumptions!$G$22)+1=N130),((MONTH(N129)+12)-MONTH(Assumptions!$G$22))+1,IF(YEAR($B$117)=N130,$B$124-SUM($B$131:M131),IF(N130&lt;YEAR(Assumptions!$G$22),"",IF(N130&lt;YEAR($B$117),12,IF(N130&gt;YEAR($B$117),""))))))</f>
        <v/>
      </c>
      <c r="O131" s="86" t="str">
        <f>IF(YEAR(Assumptions!$G$22)=O130,IF(MONTH(Assumptions!$D$8)=12,12-MONTH(Assumptions!$G$22)+1,IF(MONTH(Assumptions!$G$22)&lt;MONTH(Assumptions!$D$8),(MONTH(Assumptions!$D$8)-MONTH(Assumptions!$G$22))+1,IF(MONTH(Assumptions!$G$22)=MONTH(Assumptions!$D$8),1,""))),IF(AND(N131="",YEAR(Assumptions!$G$22)+1=O130),((MONTH(O129)+12)-MONTH(Assumptions!$G$22))+1,IF(YEAR($B$117)=O130,$B$124-SUM($B$131:N131),IF(O130&lt;YEAR(Assumptions!$G$22),"",IF(O130&lt;YEAR($B$117),12,IF(O130&gt;YEAR($B$117),""))))))</f>
        <v/>
      </c>
      <c r="P131" s="86" t="str">
        <f>IF(YEAR(Assumptions!$G$22)=P130,IF(MONTH(Assumptions!$D$8)=12,12-MONTH(Assumptions!$G$22)+1,IF(MONTH(Assumptions!$G$22)&lt;MONTH(Assumptions!$D$8),(MONTH(Assumptions!$D$8)-MONTH(Assumptions!$G$22))+1,IF(MONTH(Assumptions!$G$22)=MONTH(Assumptions!$D$8),1,""))),IF(AND(O131="",YEAR(Assumptions!$G$22)+1=P130),((MONTH(P129)+12)-MONTH(Assumptions!$G$22))+1,IF(YEAR($B$117)=P130,$B$124-SUM($B$131:O131),IF(P130&lt;YEAR(Assumptions!$G$22),"",IF(P130&lt;YEAR($B$117),12,IF(P130&gt;YEAR($B$117),""))))))</f>
        <v/>
      </c>
    </row>
    <row r="132" spans="1:16" ht="15" x14ac:dyDescent="0.2">
      <c r="A132" s="86" t="s">
        <v>93</v>
      </c>
      <c r="B132" s="86" t="str">
        <f>IF(YEAR(Assumptions!$G$32)=B130,IF(MONTH(Assumptions!$D$8)=12,MONTH(Assumptions!$G$32),IF(MONTH(Assumptions!$G$32)&lt;MONTH(Assumptions!$D$8),12-((MONTH(Assumptions!$D$8)-MONTH(Assumptions!$G$32))),IF(MONTH(Assumptions!$G$32)=MONTH(Assumptions!$D$8),1,IF(MONTH(Assumptions!$G$32)&gt;MONTH(Assumptions!$D$8),IF(YEAR(Assumptions!$G$32)+1=B130,(MONTH(Assumptions!$G$32)-MONTH(B128))+1,""),"")))),IF(YEAR(Assumptions!$G$32)+1=B130,(MONTH(Assumptions!$G$32)-MONTH(B128))+1,""))</f>
        <v/>
      </c>
      <c r="C132" s="86" t="str">
        <f>IF(B132="",IF(YEAR(Assumptions!$G$32)=C130,IF(MONTH(Assumptions!$D$8)=12,MONTH(Assumptions!$G$32),IF(MONTH(Assumptions!$G$32)&lt;MONTH(Assumptions!$D$8),12-((MONTH(Assumptions!$D$8)-MONTH(Assumptions!$G$32))),IF(MONTH(Assumptions!$G$32)=MONTH(Assumptions!$D$8),1,IF(MONTH(Assumptions!$G$32)&gt;MONTH(Assumptions!$D$8),IF(YEAR(Assumptions!$G$32)+1=C130,(MONTH(Assumptions!$G$32)-MONTH(C128))+1,""),"")))),IF(YEAR(Assumptions!$G$32)+1=C130,(MONTH(Assumptions!$G$32)-MONTH(C128))+1,"")),"")</f>
        <v/>
      </c>
      <c r="D132" s="86" t="str">
        <f>IF(C132="",IF(YEAR(Assumptions!$G$32)=D130,IF(MONTH(Assumptions!$D$8)=12,MONTH(Assumptions!$G$32),IF(MONTH(Assumptions!$G$32)&lt;MONTH(Assumptions!$D$8),12-((MONTH(Assumptions!$D$8)-MONTH(Assumptions!$G$32))),IF(MONTH(Assumptions!$G$32)=MONTH(Assumptions!$D$8),1,IF(MONTH(Assumptions!$G$32)&gt;MONTH(Assumptions!$D$8),IF(YEAR(Assumptions!$G$32)+1=D130,(MONTH(Assumptions!$G$32)-MONTH(D128))+1,""),"")))),IF(YEAR(Assumptions!$G$32)+1=D130,(MONTH(Assumptions!$G$32)-MONTH(D128))+1,"")),"")</f>
        <v/>
      </c>
      <c r="E132" s="86" t="str">
        <f>IF(D132="",IF(YEAR(Assumptions!$G$32)=E130,IF(MONTH(Assumptions!$D$8)=12,MONTH(Assumptions!$G$32),IF(MONTH(Assumptions!$G$32)&lt;MONTH(Assumptions!$D$8),12-((MONTH(Assumptions!$D$8)-MONTH(Assumptions!$G$32))),IF(MONTH(Assumptions!$G$32)=MONTH(Assumptions!$D$8),1,IF(MONTH(Assumptions!$G$32)&gt;MONTH(Assumptions!$D$8),IF(YEAR(Assumptions!$G$32)+1=E130,(MONTH(Assumptions!$G$32)-MONTH(E128))+1,""),"")))),IF(YEAR(Assumptions!$G$32)+1=E130,(MONTH(Assumptions!$G$32)-MONTH(E128))+1,"")),"")</f>
        <v/>
      </c>
      <c r="F132" s="86" t="str">
        <f>IF(E132="",IF(YEAR(Assumptions!$G$32)=F130,IF(MONTH(Assumptions!$D$8)=12,MONTH(Assumptions!$G$32),IF(MONTH(Assumptions!$G$32)&lt;MONTH(Assumptions!$D$8),12-((MONTH(Assumptions!$D$8)-MONTH(Assumptions!$G$32))),IF(MONTH(Assumptions!$G$32)=MONTH(Assumptions!$D$8),1,IF(MONTH(Assumptions!$G$32)&gt;MONTH(Assumptions!$D$8),IF(YEAR(Assumptions!$G$32)+1=F130,(MONTH(Assumptions!$G$32)-MONTH(F128))+1,""),"")))),IF(YEAR(Assumptions!$G$32)+1=F130,(MONTH(Assumptions!$G$32)-MONTH(F128))+1,"")),"")</f>
        <v/>
      </c>
      <c r="G132" s="86" t="str">
        <f>IF(F132="",IF(YEAR(Assumptions!$G$32)=G130,IF(MONTH(Assumptions!$D$8)=12,MONTH(Assumptions!$G$32),IF(MONTH(Assumptions!$G$32)&lt;MONTH(Assumptions!$D$8),12-((MONTH(Assumptions!$D$8)-MONTH(Assumptions!$G$32))),IF(MONTH(Assumptions!$G$32)=MONTH(Assumptions!$D$8),1,IF(MONTH(Assumptions!$G$32)&gt;MONTH(Assumptions!$D$8),IF(YEAR(Assumptions!$G$32)+1=G130,(MONTH(Assumptions!$G$32)-MONTH(G128))+1,""),"")))),IF(YEAR(Assumptions!$G$32)+1=G130,(MONTH(Assumptions!$G$32)-MONTH(G128))+1,"")),"")</f>
        <v/>
      </c>
      <c r="H132" s="86" t="str">
        <f>IF(G132="",IF(YEAR(Assumptions!$G$32)=H130,IF(MONTH(Assumptions!$D$8)=12,MONTH(Assumptions!$G$32),IF(MONTH(Assumptions!$G$32)&lt;MONTH(Assumptions!$D$8),12-((MONTH(Assumptions!$D$8)-MONTH(Assumptions!$G$32))),IF(MONTH(Assumptions!$G$32)=MONTH(Assumptions!$D$8),1,IF(MONTH(Assumptions!$G$32)&gt;MONTH(Assumptions!$D$8),IF(YEAR(Assumptions!$G$32)+1=H130,(MONTH(Assumptions!$G$32)-MONTH(H128))+1,""),"")))),IF(YEAR(Assumptions!$G$32)+1=H130,(MONTH(Assumptions!$G$32)-MONTH(H128))+1,"")),"")</f>
        <v/>
      </c>
      <c r="I132" s="86" t="str">
        <f>IF(H132="",IF(YEAR(Assumptions!$G$32)=I130,IF(MONTH(Assumptions!$D$8)=12,MONTH(Assumptions!$G$32),IF(MONTH(Assumptions!$G$32)&lt;MONTH(Assumptions!$D$8),12-((MONTH(Assumptions!$D$8)-MONTH(Assumptions!$G$32))),IF(MONTH(Assumptions!$G$32)=MONTH(Assumptions!$D$8),1,IF(MONTH(Assumptions!$G$32)&gt;MONTH(Assumptions!$D$8),IF(YEAR(Assumptions!$G$32)+1=I130,(MONTH(Assumptions!$G$32)-MONTH(I128))+1,""),"")))),IF(YEAR(Assumptions!$G$32)+1=I130,(MONTH(Assumptions!$G$32)-MONTH(I128))+1,"")),"")</f>
        <v/>
      </c>
      <c r="J132" s="86" t="str">
        <f>IF(I132="",IF(YEAR(Assumptions!$G$32)=J130,IF(MONTH(Assumptions!$D$8)=12,MONTH(Assumptions!$G$32),IF(MONTH(Assumptions!$G$32)&lt;MONTH(Assumptions!$D$8),12-((MONTH(Assumptions!$D$8)-MONTH(Assumptions!$G$32))),IF(MONTH(Assumptions!$G$32)=MONTH(Assumptions!$D$8),1,IF(MONTH(Assumptions!$G$32)&gt;MONTH(Assumptions!$D$8),IF(YEAR(Assumptions!$G$32)+1=J130,(MONTH(Assumptions!$G$32)-MONTH(J128))+1,""),"")))),IF(YEAR(Assumptions!$G$32)+1=J130,(MONTH(Assumptions!$G$32)-MONTH(J128))+1,"")),"")</f>
        <v/>
      </c>
      <c r="K132" s="86" t="str">
        <f>IF(J132="",IF(YEAR(Assumptions!$G$32)=K130,IF(MONTH(Assumptions!$D$8)=12,MONTH(Assumptions!$G$32),IF(MONTH(Assumptions!$G$32)&lt;MONTH(Assumptions!$D$8),12-((MONTH(Assumptions!$D$8)-MONTH(Assumptions!$G$32))),IF(MONTH(Assumptions!$G$32)=MONTH(Assumptions!$D$8),1,IF(MONTH(Assumptions!$G$32)&gt;MONTH(Assumptions!$D$8),IF(YEAR(Assumptions!$G$32)+1=K130,(MONTH(Assumptions!$G$32)-MONTH(K128))+1,""),"")))),IF(YEAR(Assumptions!$G$32)+1=K130,(MONTH(Assumptions!$G$32)-MONTH(K128))+1,"")),"")</f>
        <v/>
      </c>
      <c r="L132" s="86" t="str">
        <f>IF(K132="",IF(YEAR(Assumptions!$G$32)=L130,IF(MONTH(Assumptions!$D$8)=12,MONTH(Assumptions!$G$32),IF(MONTH(Assumptions!$G$32)&lt;MONTH(Assumptions!$D$8),12-((MONTH(Assumptions!$D$8)-MONTH(Assumptions!$G$32))),IF(MONTH(Assumptions!$G$32)=MONTH(Assumptions!$D$8),1,IF(MONTH(Assumptions!$G$32)&gt;MONTH(Assumptions!$D$8),IF(YEAR(Assumptions!$G$32)+1=L130,(MONTH(Assumptions!$G$32)-MONTH(L128))+1,""),"")))),IF(YEAR(Assumptions!$G$32)+1=L130,(MONTH(Assumptions!$G$32)-MONTH(L128))+1,"")),"")</f>
        <v/>
      </c>
      <c r="M132" s="86" t="str">
        <f>IF(L132="",IF(YEAR(Assumptions!$G$32)=M130,IF(MONTH(Assumptions!$D$8)=12,MONTH(Assumptions!$G$32),IF(MONTH(Assumptions!$G$32)&lt;MONTH(Assumptions!$D$8),12-((MONTH(Assumptions!$D$8)-MONTH(Assumptions!$G$32))),IF(MONTH(Assumptions!$G$32)=MONTH(Assumptions!$D$8),1,IF(MONTH(Assumptions!$G$32)&gt;MONTH(Assumptions!$D$8),IF(YEAR(Assumptions!$G$32)+1=M130,(MONTH(Assumptions!$G$32)-MONTH(M128))+1,""),"")))),IF(YEAR(Assumptions!$G$32)+1=M130,(MONTH(Assumptions!$G$32)-MONTH(M128))+1,"")),"")</f>
        <v/>
      </c>
      <c r="N132" s="86" t="str">
        <f>IF(M132="",IF(YEAR(Assumptions!$G$32)=N130,IF(MONTH(Assumptions!$D$8)=12,MONTH(Assumptions!$G$32),IF(MONTH(Assumptions!$G$32)&lt;MONTH(Assumptions!$D$8),12-((MONTH(Assumptions!$D$8)-MONTH(Assumptions!$G$32))),IF(MONTH(Assumptions!$G$32)=MONTH(Assumptions!$D$8),1,IF(MONTH(Assumptions!$G$32)&gt;MONTH(Assumptions!$D$8),IF(YEAR(Assumptions!$G$32)+1=N130,(MONTH(Assumptions!$G$32)-MONTH(N128))+1,""),"")))),IF(YEAR(Assumptions!$G$32)+1=N130,(MONTH(Assumptions!$G$32)-MONTH(N128))+1,"")),"")</f>
        <v/>
      </c>
      <c r="O132" s="86" t="str">
        <f>IF(N132="",IF(YEAR(Assumptions!$G$32)=O130,IF(MONTH(Assumptions!$D$8)=12,MONTH(Assumptions!$G$32),IF(MONTH(Assumptions!$G$32)&lt;MONTH(Assumptions!$D$8),12-((MONTH(Assumptions!$D$8)-MONTH(Assumptions!$G$32))),IF(MONTH(Assumptions!$G$32)=MONTH(Assumptions!$D$8),1,IF(MONTH(Assumptions!$G$32)&gt;MONTH(Assumptions!$D$8),IF(YEAR(Assumptions!$G$32)+1=O130,(MONTH(Assumptions!$G$32)-MONTH(O128))+1,""),"")))),IF(YEAR(Assumptions!$G$32)+1=O130,(MONTH(Assumptions!$G$32)-MONTH(O128))+1,"")),"")</f>
        <v/>
      </c>
      <c r="P132" s="86" t="str">
        <f>IF(O132="",IF(YEAR(Assumptions!$G$32)=P130,IF(MONTH(Assumptions!$D$8)=12,MONTH(Assumptions!$G$32),IF(MONTH(Assumptions!$G$32)&lt;MONTH(Assumptions!$D$8),12-((MONTH(Assumptions!$D$8)-MONTH(Assumptions!$G$32))),IF(MONTH(Assumptions!$G$32)=MONTH(Assumptions!$D$8),1,IF(MONTH(Assumptions!$G$32)&gt;MONTH(Assumptions!$D$8),IF(YEAR(Assumptions!$G$32)+1=P130,(MONTH(Assumptions!$G$32)-MONTH(P128))+1,""),"")))),IF(YEAR(Assumptions!$G$32)+1=P130,(MONTH(Assumptions!$G$32)-MONTH(P128))+1,"")),"")</f>
        <v/>
      </c>
    </row>
    <row r="133" spans="1:16" ht="15" x14ac:dyDescent="0.2">
      <c r="A133" s="86" t="s">
        <v>94</v>
      </c>
      <c r="B133" s="86" t="str">
        <f>IF(YEAR(Assumptions!$G$22)=B130,IF(MONTH(Assumptions!$D$8)=12,1,IF(MONTH(Assumptions!$G$22)&lt;MONTH(B128),1,"")),IF(A133="",IF(B130=YEAR(Assumptions!$G$22)+1,1,""),""))</f>
        <v/>
      </c>
      <c r="C133" s="86" t="str">
        <f>IF(YEAR(Assumptions!$G$22)=C130,IF(MONTH(Assumptions!$D$8)=12,1,IF(MONTH(Assumptions!$G$22)&lt;MONTH(C128),1,"")),IF(B133="",IF(C130=YEAR(Assumptions!$G$22)+1,1,""),""))</f>
        <v/>
      </c>
      <c r="D133" s="86" t="str">
        <f>IF(YEAR(Assumptions!$G$22)=D130,IF(MONTH(Assumptions!$D$8)=12,1,IF(MONTH(Assumptions!$G$22)&lt;MONTH(D128),1,"")),IF(C133="",IF(D130=YEAR(Assumptions!$G$22)+1,1,""),""))</f>
        <v/>
      </c>
      <c r="E133" s="86" t="str">
        <f>IF(YEAR(Assumptions!$G$22)=E130,IF(MONTH(Assumptions!$D$8)=12,1,IF(MONTH(Assumptions!$G$22)&lt;MONTH(E128),1,"")),IF(D133="",IF(E130=YEAR(Assumptions!$G$22)+1,1,""),""))</f>
        <v/>
      </c>
      <c r="F133" s="86" t="str">
        <f>IF(YEAR(Assumptions!$G$22)=F130,IF(MONTH(Assumptions!$D$8)=12,1,IF(MONTH(Assumptions!$G$22)&lt;MONTH(F128),1,"")),IF(E133="",IF(F130=YEAR(Assumptions!$G$22)+1,1,""),""))</f>
        <v/>
      </c>
      <c r="G133" s="86" t="str">
        <f>IF(YEAR(Assumptions!$G$22)=G130,IF(MONTH(Assumptions!$D$8)=12,1,IF(MONTH(Assumptions!$G$22)&lt;MONTH(G128),1,"")),IF(F133="",IF(G130=YEAR(Assumptions!$G$22)+1,1,""),""))</f>
        <v/>
      </c>
      <c r="H133" s="86" t="str">
        <f>IF(YEAR(Assumptions!$G$22)=H130,IF(MONTH(Assumptions!$D$8)=12,1,IF(MONTH(Assumptions!$G$22)&lt;MONTH(H128),1,"")),IF(G133="",IF(H130=YEAR(Assumptions!$G$22)+1,1,""),""))</f>
        <v/>
      </c>
      <c r="I133" s="86" t="str">
        <f>IF(YEAR(Assumptions!$G$22)=I130,IF(MONTH(Assumptions!$D$8)=12,1,IF(MONTH(Assumptions!$G$22)&lt;MONTH(I128),1,"")),IF(H133="",IF(I130=YEAR(Assumptions!$G$22)+1,1,""),""))</f>
        <v/>
      </c>
      <c r="J133" s="86" t="str">
        <f>IF(YEAR(Assumptions!$G$22)=J130,IF(MONTH(Assumptions!$D$8)=12,1,IF(MONTH(Assumptions!$G$22)&lt;MONTH(J128),1,"")),IF(I133="",IF(J130=YEAR(Assumptions!$G$22)+1,1,""),""))</f>
        <v/>
      </c>
      <c r="K133" s="86" t="str">
        <f>IF(YEAR(Assumptions!$G$22)=K130,IF(MONTH(Assumptions!$D$8)=12,1,IF(MONTH(Assumptions!$G$22)&lt;MONTH(K128),1,"")),IF(J133="",IF(K130=YEAR(Assumptions!$G$22)+1,1,""),""))</f>
        <v/>
      </c>
      <c r="L133" s="86" t="str">
        <f>IF(YEAR(Assumptions!$G$22)=L130,IF(MONTH(Assumptions!$D$8)=12,1,IF(MONTH(Assumptions!$G$22)&lt;MONTH(L128),1,"")),IF(K133="",IF(L130=YEAR(Assumptions!$G$22)+1,1,""),""))</f>
        <v/>
      </c>
      <c r="M133" s="86" t="str">
        <f>IF(YEAR(Assumptions!$G$22)=M130,IF(MONTH(Assumptions!$D$8)=12,1,IF(MONTH(Assumptions!$G$22)&lt;MONTH(M128),1,"")),IF(L133="",IF(M130=YEAR(Assumptions!$G$22)+1,1,""),""))</f>
        <v/>
      </c>
      <c r="N133" s="86" t="str">
        <f>IF(YEAR(Assumptions!$G$22)=N130,IF(MONTH(Assumptions!$D$8)=12,1,IF(MONTH(Assumptions!$G$22)&lt;MONTH(N128),1,"")),IF(M133="",IF(N130=YEAR(Assumptions!$G$22)+1,1,""),""))</f>
        <v/>
      </c>
      <c r="O133" s="86" t="str">
        <f>IF(YEAR(Assumptions!$G$22)=O130,IF(MONTH(Assumptions!$D$8)=12,1,IF(MONTH(Assumptions!$G$22)&lt;MONTH(O128),1,"")),IF(N133="",IF(O130=YEAR(Assumptions!$G$22)+1,1,""),""))</f>
        <v/>
      </c>
      <c r="P133" s="86" t="str">
        <f>IF(YEAR(Assumptions!$G$22)=P130,IF(MONTH(Assumptions!$D$8)=12,1,IF(MONTH(Assumptions!$G$22)&lt;MONTH(P128),1,"")),IF(O133="",IF(P130=YEAR(Assumptions!$G$22)+1,1,""),""))</f>
        <v/>
      </c>
    </row>
    <row r="134" spans="1:16" ht="15" x14ac:dyDescent="0.2">
      <c r="A134" s="86" t="s">
        <v>95</v>
      </c>
      <c r="B134" s="86" t="str">
        <f>IF(YEAR(Assumptions!$G$32)=B130,IF(MONTH(Assumptions!$D$8)=12,1,IF(MONTH(Assumptions!$G$32)&lt;MONTH(B128),1,"")),IF(A134="",IF(B130=YEAR(Assumptions!$G$32)+1,1,""),""))</f>
        <v/>
      </c>
      <c r="C134" s="86" t="str">
        <f>IF(YEAR(Assumptions!$G$32)=C130,IF(MONTH(Assumptions!$D$8)=12,1,IF(MONTH(Assumptions!$G$32)&lt;MONTH(C128),1,"")),IF(B134="",IF(C130=YEAR(Assumptions!$G$32)+1,1,""),""))</f>
        <v/>
      </c>
      <c r="D134" s="86" t="str">
        <f>IF(YEAR(Assumptions!$G$32)=D130,IF(MONTH(Assumptions!$D$8)=12,1,IF(MONTH(Assumptions!$G$32)&lt;MONTH(D128),1,"")),IF(C134="",IF(D130=YEAR(Assumptions!$G$32)+1,1,""),""))</f>
        <v/>
      </c>
      <c r="E134" s="86" t="str">
        <f>IF(YEAR(Assumptions!$G$32)=E130,IF(MONTH(Assumptions!$D$8)=12,1,IF(MONTH(Assumptions!$G$32)&lt;MONTH(E128),1,"")),IF(D134="",IF(E130=YEAR(Assumptions!$G$32)+1,1,""),""))</f>
        <v/>
      </c>
      <c r="F134" s="86" t="str">
        <f>IF(YEAR(Assumptions!$G$32)=F130,IF(MONTH(Assumptions!$D$8)=12,1,IF(MONTH(Assumptions!$G$32)&lt;MONTH(F128),1,"")),IF(E134="",IF(F130=YEAR(Assumptions!$G$32)+1,1,""),""))</f>
        <v/>
      </c>
      <c r="G134" s="86" t="str">
        <f>IF(YEAR(Assumptions!$G$32)=G130,IF(MONTH(Assumptions!$D$8)=12,1,IF(MONTH(Assumptions!$G$32)&lt;MONTH(G128),1,"")),IF(F134="",IF(G130=YEAR(Assumptions!$G$32)+1,1,""),""))</f>
        <v/>
      </c>
      <c r="H134" s="86" t="str">
        <f>IF(YEAR(Assumptions!$G$32)=H130,IF(MONTH(Assumptions!$D$8)=12,1,IF(MONTH(Assumptions!$G$32)&lt;MONTH(H128),1,"")),IF(G134="",IF(H130=YEAR(Assumptions!$G$32)+1,1,""),""))</f>
        <v/>
      </c>
      <c r="I134" s="86" t="str">
        <f>IF(YEAR(Assumptions!$G$32)=I130,IF(MONTH(Assumptions!$D$8)=12,1,IF(MONTH(Assumptions!$G$32)&lt;MONTH(I128),1,"")),IF(H134="",IF(I130=YEAR(Assumptions!$G$32)+1,1,""),""))</f>
        <v/>
      </c>
      <c r="J134" s="86" t="str">
        <f>IF(YEAR(Assumptions!$G$32)=J130,IF(MONTH(Assumptions!$D$8)=12,1,IF(MONTH(Assumptions!$G$32)&lt;MONTH(J128),1,"")),IF(I134="",IF(J130=YEAR(Assumptions!$G$32)+1,1,""),""))</f>
        <v/>
      </c>
      <c r="K134" s="86" t="str">
        <f>IF(YEAR(Assumptions!$G$32)=K130,IF(MONTH(Assumptions!$D$8)=12,1,IF(MONTH(Assumptions!$G$32)&lt;MONTH(K128),1,"")),IF(J134="",IF(K130=YEAR(Assumptions!$G$32)+1,1,""),""))</f>
        <v/>
      </c>
      <c r="L134" s="86" t="str">
        <f>IF(YEAR(Assumptions!$G$32)=L130,IF(MONTH(Assumptions!$D$8)=12,1,IF(MONTH(Assumptions!$G$32)&lt;MONTH(L128),1,"")),IF(K134="",IF(L130=YEAR(Assumptions!$G$32)+1,1,""),""))</f>
        <v/>
      </c>
      <c r="M134" s="86" t="str">
        <f>IF(YEAR(Assumptions!$G$32)=M130,IF(MONTH(Assumptions!$D$8)=12,1,IF(MONTH(Assumptions!$G$32)&lt;MONTH(M128),1,"")),IF(L134="",IF(M130=YEAR(Assumptions!$G$32)+1,1,""),""))</f>
        <v/>
      </c>
      <c r="N134" s="86" t="str">
        <f>IF(YEAR(Assumptions!$G$32)=N130,IF(MONTH(Assumptions!$D$8)=12,1,IF(MONTH(Assumptions!$G$32)&lt;MONTH(N128),1,"")),IF(M134="",IF(N130=YEAR(Assumptions!$G$32)+1,1,""),""))</f>
        <v/>
      </c>
      <c r="O134" s="86" t="str">
        <f>IF(YEAR(Assumptions!$G$32)=O130,IF(MONTH(Assumptions!$D$8)=12,1,IF(MONTH(Assumptions!$G$32)&lt;MONTH(O128),1,"")),IF(N134="",IF(O130=YEAR(Assumptions!$G$32)+1,1,""),""))</f>
        <v/>
      </c>
      <c r="P134" s="86" t="str">
        <f>IF(YEAR(Assumptions!$G$32)=P130,IF(MONTH(Assumptions!$D$8)=12,1,IF(MONTH(Assumptions!$G$32)&lt;MONTH(P128),1,"")),IF(O134="",IF(P130=YEAR(Assumptions!$G$32)+1,1,""),""))</f>
        <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A51"/>
  <sheetViews>
    <sheetView showGridLines="0" zoomScaleNormal="100" workbookViewId="0">
      <selection sqref="A1:L1"/>
    </sheetView>
  </sheetViews>
  <sheetFormatPr defaultRowHeight="12.75" outlineLevelCol="1" x14ac:dyDescent="0.2"/>
  <cols>
    <col min="1" max="1" width="15.42578125" style="146" bestFit="1" customWidth="1"/>
    <col min="2" max="3" width="12.85546875" bestFit="1" customWidth="1"/>
    <col min="4" max="4" width="17.7109375" bestFit="1" customWidth="1"/>
    <col min="5" max="7" width="12.85546875" customWidth="1" outlineLevel="1"/>
    <col min="8" max="8" width="3.28515625" customWidth="1"/>
    <col min="9" max="9" width="6.42578125" bestFit="1" customWidth="1"/>
    <col min="10" max="10" width="17" bestFit="1" customWidth="1"/>
    <col min="11" max="13" width="13.7109375" bestFit="1" customWidth="1"/>
    <col min="14" max="14" width="14.5703125" customWidth="1" outlineLevel="1"/>
    <col min="15" max="16" width="13.7109375" customWidth="1" outlineLevel="1"/>
    <col min="17" max="17" width="9.42578125" customWidth="1"/>
    <col min="18" max="18" width="12.85546875" hidden="1" customWidth="1"/>
    <col min="19" max="24" width="10.28515625" hidden="1" customWidth="1"/>
    <col min="25" max="26" width="9.140625" customWidth="1"/>
    <col min="27" max="27" width="12.7109375" customWidth="1"/>
  </cols>
  <sheetData>
    <row r="1" spans="1:27" ht="26.25" x14ac:dyDescent="0.4">
      <c r="A1" s="224" t="s">
        <v>25</v>
      </c>
      <c r="B1" s="224"/>
      <c r="C1" s="224"/>
      <c r="D1" s="224"/>
      <c r="E1" s="224"/>
      <c r="F1" s="224"/>
      <c r="G1" s="224"/>
      <c r="H1" s="224"/>
      <c r="I1" s="224"/>
      <c r="J1" s="224"/>
      <c r="K1" s="224"/>
      <c r="L1" s="224"/>
      <c r="AA1" s="21"/>
    </row>
    <row r="2" spans="1:27" s="32" customFormat="1" ht="15.75" thickBot="1" x14ac:dyDescent="0.25">
      <c r="A2" s="76"/>
      <c r="AA2" s="148"/>
    </row>
    <row r="3" spans="1:27" s="101" customFormat="1" ht="34.5" customHeight="1" x14ac:dyDescent="0.2">
      <c r="A3" s="225" t="s">
        <v>85</v>
      </c>
      <c r="B3" s="226"/>
      <c r="C3" s="226"/>
      <c r="D3" s="227"/>
      <c r="I3" s="225" t="s">
        <v>58</v>
      </c>
      <c r="J3" s="226"/>
      <c r="K3" s="226"/>
      <c r="L3" s="226"/>
      <c r="M3" s="227"/>
      <c r="N3" s="202"/>
      <c r="O3" s="102"/>
      <c r="P3" s="113"/>
      <c r="AA3" s="150"/>
    </row>
    <row r="4" spans="1:27" s="32" customFormat="1" ht="20.25" x14ac:dyDescent="0.55000000000000004">
      <c r="A4" s="232"/>
      <c r="B4" s="233"/>
      <c r="C4" s="8"/>
      <c r="D4" s="75"/>
      <c r="I4" s="62"/>
      <c r="J4" s="8"/>
      <c r="K4" s="63" t="s">
        <v>19</v>
      </c>
      <c r="L4" s="63" t="s">
        <v>20</v>
      </c>
      <c r="M4" s="64" t="s">
        <v>21</v>
      </c>
      <c r="N4" s="189" t="s">
        <v>99</v>
      </c>
      <c r="O4" s="63" t="s">
        <v>100</v>
      </c>
      <c r="P4" s="64" t="s">
        <v>101</v>
      </c>
    </row>
    <row r="5" spans="1:27" s="32" customFormat="1" ht="15" x14ac:dyDescent="0.2">
      <c r="A5" s="228" t="s">
        <v>42</v>
      </c>
      <c r="B5" s="229"/>
      <c r="C5" s="129"/>
      <c r="D5" s="135" t="s">
        <v>110</v>
      </c>
      <c r="I5" s="62"/>
      <c r="J5" s="165">
        <f>+D7</f>
        <v>2013</v>
      </c>
      <c r="K5" s="65">
        <f>+'Option 1'!D$252</f>
        <v>290817.52916666667</v>
      </c>
      <c r="L5" s="116">
        <f>+'Option 2'!D$252</f>
        <v>290817.52916666667</v>
      </c>
      <c r="M5" s="111">
        <f>+'Option 3'!D$252</f>
        <v>290817.52916666667</v>
      </c>
      <c r="N5" s="203">
        <f>+'Option 4'!D$252</f>
        <v>290817.52916666667</v>
      </c>
      <c r="O5" s="65">
        <f>+'Option 5'!D$252</f>
        <v>290817.52916666667</v>
      </c>
      <c r="P5" s="66">
        <f>+'Option 6'!D$252</f>
        <v>290817.52916666667</v>
      </c>
      <c r="AA5" s="149"/>
    </row>
    <row r="6" spans="1:27" s="32" customFormat="1" ht="15" x14ac:dyDescent="0.2">
      <c r="A6" s="228" t="s">
        <v>41</v>
      </c>
      <c r="B6" s="229"/>
      <c r="C6" s="130"/>
      <c r="D6" s="136">
        <v>554</v>
      </c>
      <c r="I6" s="62"/>
      <c r="J6" s="165">
        <f>+J5+1</f>
        <v>2014</v>
      </c>
      <c r="K6" s="65">
        <f>+'Option 1'!E252</f>
        <v>479775.61681250005</v>
      </c>
      <c r="L6" s="116">
        <f>+'Option 2'!E252</f>
        <v>462904.83681250003</v>
      </c>
      <c r="M6" s="111">
        <f>+'Option 3'!E$252</f>
        <v>519821.09327070124</v>
      </c>
      <c r="N6" s="203">
        <f>+'Option 4'!E$252</f>
        <v>608294.89910350647</v>
      </c>
      <c r="O6" s="65">
        <f>+'Option 5'!E$252</f>
        <v>462904.83681250003</v>
      </c>
      <c r="P6" s="66">
        <f>+'Option 6'!E$252</f>
        <v>462904.83681250003</v>
      </c>
    </row>
    <row r="7" spans="1:27" s="32" customFormat="1" ht="15" x14ac:dyDescent="0.2">
      <c r="A7" s="228" t="s">
        <v>51</v>
      </c>
      <c r="B7" s="229"/>
      <c r="C7" s="129"/>
      <c r="D7" s="135">
        <v>2013</v>
      </c>
      <c r="H7" s="54"/>
      <c r="I7" s="62"/>
      <c r="J7" s="165">
        <f t="shared" ref="J7:J16" si="0">+J6+1</f>
        <v>2015</v>
      </c>
      <c r="K7" s="65">
        <f>+'Option 1'!F252</f>
        <v>653028.40298062505</v>
      </c>
      <c r="L7" s="116">
        <f>+'Option 2'!F252</f>
        <v>618612.01178062509</v>
      </c>
      <c r="M7" s="111">
        <f>+'Option 3'!F$252</f>
        <v>785408.68726160959</v>
      </c>
      <c r="N7" s="203">
        <f>+'Option 4'!F$252</f>
        <v>952149.1603855479</v>
      </c>
      <c r="O7" s="65">
        <f>+'Option 5'!F$252</f>
        <v>618612.01178062509</v>
      </c>
      <c r="P7" s="66">
        <f>+'Option 6'!F$252</f>
        <v>618612.01178062509</v>
      </c>
    </row>
    <row r="8" spans="1:27" s="32" customFormat="1" ht="15" x14ac:dyDescent="0.2">
      <c r="A8" s="228" t="s">
        <v>55</v>
      </c>
      <c r="B8" s="229"/>
      <c r="C8" s="131"/>
      <c r="D8" s="137">
        <v>41639</v>
      </c>
      <c r="I8" s="62"/>
      <c r="J8" s="165">
        <f t="shared" si="0"/>
        <v>2016</v>
      </c>
      <c r="K8" s="65">
        <f>+'Option 1'!G252</f>
        <v>-388424.37007466552</v>
      </c>
      <c r="L8" s="116">
        <f>+'Option 2'!G252</f>
        <v>-441255.21764466551</v>
      </c>
      <c r="M8" s="111">
        <f>+'Option 3'!G$252</f>
        <v>-162645.33557326498</v>
      </c>
      <c r="N8" s="203">
        <f>+'Option 4'!G$252</f>
        <v>72553.540982337552</v>
      </c>
      <c r="O8" s="65">
        <f>+'Option 5'!G$252</f>
        <v>-441255.21764466551</v>
      </c>
      <c r="P8" s="66">
        <f>+'Option 6'!G$252</f>
        <v>-441255.21764466551</v>
      </c>
    </row>
    <row r="9" spans="1:27" s="32" customFormat="1" ht="30" customHeight="1" x14ac:dyDescent="0.2">
      <c r="A9" s="228" t="s">
        <v>48</v>
      </c>
      <c r="B9" s="229"/>
      <c r="C9" s="132"/>
      <c r="D9" s="138">
        <v>1743474</v>
      </c>
      <c r="I9" s="62"/>
      <c r="J9" s="165">
        <f t="shared" si="0"/>
        <v>2017</v>
      </c>
      <c r="K9" s="65">
        <f>+'Option 1'!H252</f>
        <v>-1484659.4925491591</v>
      </c>
      <c r="L9" s="116">
        <f>+'Option 2'!H252</f>
        <v>-1556982.1138876188</v>
      </c>
      <c r="M9" s="111">
        <f>+'Option 3'!H$252</f>
        <v>-1163488.7777165889</v>
      </c>
      <c r="N9" s="203">
        <f>+'Option 4'!H$252</f>
        <v>-869395.99918000947</v>
      </c>
      <c r="O9" s="65">
        <f>+'Option 5'!H$252</f>
        <v>-1556982.1138876188</v>
      </c>
      <c r="P9" s="66">
        <f>+'Option 6'!H$252</f>
        <v>-1556982.1138876188</v>
      </c>
    </row>
    <row r="10" spans="1:27" s="32" customFormat="1" ht="30" customHeight="1" x14ac:dyDescent="0.2">
      <c r="A10" s="228" t="s">
        <v>49</v>
      </c>
      <c r="B10" s="229"/>
      <c r="C10" s="132"/>
      <c r="D10" s="138">
        <v>485174</v>
      </c>
      <c r="E10" s="221"/>
      <c r="F10" s="33"/>
      <c r="I10" s="62"/>
      <c r="J10" s="165">
        <f t="shared" si="0"/>
        <v>2018</v>
      </c>
      <c r="K10" s="65">
        <f>+'Option 1'!I252</f>
        <v>-2967044.663988078</v>
      </c>
      <c r="L10" s="116">
        <f>+'Option 2'!I252</f>
        <v>-1560163.5623815707</v>
      </c>
      <c r="M10" s="111">
        <f>+'Option 3'!I$252</f>
        <v>-1847521.6363480641</v>
      </c>
      <c r="N10" s="203">
        <f>+'Option 4'!I$252</f>
        <v>-1204007.0069396934</v>
      </c>
      <c r="O10" s="65">
        <f>+'Option 5'!I$252</f>
        <v>-3060163.5623815712</v>
      </c>
      <c r="P10" s="66">
        <f>+'Option 6'!I$252</f>
        <v>-3060163.5623815712</v>
      </c>
      <c r="R10" s="147"/>
    </row>
    <row r="11" spans="1:27" s="32" customFormat="1" ht="15.75" thickBot="1" x14ac:dyDescent="0.25">
      <c r="A11" s="228" t="s">
        <v>50</v>
      </c>
      <c r="B11" s="229"/>
      <c r="C11" s="132"/>
      <c r="D11" s="139">
        <f>+D9-D10</f>
        <v>1258300</v>
      </c>
      <c r="F11" s="147"/>
      <c r="I11" s="62"/>
      <c r="J11" s="165">
        <f t="shared" si="0"/>
        <v>2019</v>
      </c>
      <c r="K11" s="65">
        <f>+'Option 1'!J252</f>
        <v>-3074184.1985566663</v>
      </c>
      <c r="L11" s="116">
        <f>+'Option 2'!J252</f>
        <v>-1863044.1916088248</v>
      </c>
      <c r="M11" s="111">
        <f>+'Option 3'!J$252</f>
        <v>-2001643.7935191442</v>
      </c>
      <c r="N11" s="203">
        <f>+'Option 4'!J$252</f>
        <v>-1382233.2180911677</v>
      </c>
      <c r="O11" s="65">
        <f>+'Option 5'!J$252</f>
        <v>-3189654.5217691828</v>
      </c>
      <c r="P11" s="66">
        <f>+'Option 6'!J$252</f>
        <v>-3189654.5217691828</v>
      </c>
    </row>
    <row r="12" spans="1:27" s="32" customFormat="1" ht="15.75" thickTop="1" x14ac:dyDescent="0.2">
      <c r="A12" s="228"/>
      <c r="B12" s="229"/>
      <c r="C12" s="129"/>
      <c r="D12" s="140"/>
      <c r="I12" s="62"/>
      <c r="J12" s="165">
        <f t="shared" si="0"/>
        <v>2020</v>
      </c>
      <c r="K12" s="65">
        <f>+'Option 1'!K252</f>
        <v>-3921497.0859945635</v>
      </c>
      <c r="L12" s="116">
        <f>+'Option 2'!K252</f>
        <v>-2906501.4422464259</v>
      </c>
      <c r="M12" s="111">
        <f>+'Option 3'!K$252</f>
        <v>-2892572.8159484374</v>
      </c>
      <c r="N12" s="203">
        <f>+'Option 4'!K$252</f>
        <v>-2307750.888220842</v>
      </c>
      <c r="O12" s="65">
        <f>+'Option 5'!K$252</f>
        <v>-4061153.4641227536</v>
      </c>
      <c r="P12" s="66">
        <f>+'Option 6'!K$252</f>
        <v>-4061153.4641227536</v>
      </c>
    </row>
    <row r="13" spans="1:27" s="32" customFormat="1" ht="15" x14ac:dyDescent="0.2">
      <c r="A13" s="232" t="s">
        <v>40</v>
      </c>
      <c r="B13" s="233"/>
      <c r="C13" s="129"/>
      <c r="D13" s="135">
        <v>499</v>
      </c>
      <c r="F13" s="54"/>
      <c r="H13" s="54"/>
      <c r="I13" s="62"/>
      <c r="J13" s="165">
        <f t="shared" si="0"/>
        <v>2021</v>
      </c>
      <c r="K13" s="65">
        <f>+'Option 1'!L252</f>
        <v>-3891890.0731374123</v>
      </c>
      <c r="L13" s="116">
        <f>+'Option 2'!L252</f>
        <v>-3075433.2048903243</v>
      </c>
      <c r="M13" s="111">
        <f>+'Option 3'!L$252</f>
        <v>-2903568.2192652472</v>
      </c>
      <c r="N13" s="203">
        <f>+'Option 4'!L$252</f>
        <v>-2364865.7129959548</v>
      </c>
      <c r="O13" s="65">
        <f>+'Option 5'!L$252</f>
        <v>-4057881.6378020626</v>
      </c>
      <c r="P13" s="66">
        <f>+'Option 6'!L$252</f>
        <v>-4057881.6378020626</v>
      </c>
      <c r="R13" s="147"/>
      <c r="S13" s="54"/>
    </row>
    <row r="14" spans="1:27" s="32" customFormat="1" ht="15" customHeight="1" x14ac:dyDescent="0.2">
      <c r="A14" s="228"/>
      <c r="B14" s="229"/>
      <c r="C14" s="229"/>
      <c r="D14" s="140"/>
      <c r="I14" s="62"/>
      <c r="J14" s="165">
        <f t="shared" si="0"/>
        <v>2022</v>
      </c>
      <c r="K14" s="65">
        <f>+'Option 1'!M252</f>
        <v>-4397561.3832427543</v>
      </c>
      <c r="L14" s="116">
        <f>+'Option 2'!M252</f>
        <v>-3784125.025117862</v>
      </c>
      <c r="M14" s="111">
        <f>+'Option 3'!M$252</f>
        <v>-3447146.900864488</v>
      </c>
      <c r="N14" s="203">
        <f>+'Option 4'!M$252</f>
        <v>-2967356.6895293416</v>
      </c>
      <c r="O14" s="65">
        <f>+'Option 5'!M$252</f>
        <v>-4592393.9676709864</v>
      </c>
      <c r="P14" s="66">
        <f>+'Option 6'!M$252</f>
        <v>-4592393.9676709864</v>
      </c>
      <c r="R14" s="54"/>
      <c r="S14" s="54"/>
    </row>
    <row r="15" spans="1:27" s="32" customFormat="1" ht="15" x14ac:dyDescent="0.2">
      <c r="A15" s="228" t="s">
        <v>57</v>
      </c>
      <c r="B15" s="229"/>
      <c r="C15" s="133"/>
      <c r="D15" s="141">
        <v>623745</v>
      </c>
      <c r="I15" s="62"/>
      <c r="J15" s="165">
        <f t="shared" si="0"/>
        <v>2023</v>
      </c>
      <c r="K15" s="65">
        <f>+'Option 1'!N252</f>
        <v>-4258101.7969234753</v>
      </c>
      <c r="L15" s="116">
        <f>+'Option 2'!N252</f>
        <v>-3854395.8320662631</v>
      </c>
      <c r="M15" s="111">
        <f>+'Option 3'!N$252</f>
        <v>-3187061.3513042666</v>
      </c>
      <c r="N15" s="203">
        <f>+'Option 4'!N$252</f>
        <v>-2713574.2933901856</v>
      </c>
      <c r="O15" s="65">
        <f>+'Option 5'!N$252</f>
        <v>-4484688.5519074015</v>
      </c>
      <c r="P15" s="66">
        <f>+'Option 6'!N$252</f>
        <v>-4484688.5519074015</v>
      </c>
      <c r="R15" s="54"/>
    </row>
    <row r="16" spans="1:27" s="32" customFormat="1" ht="15.75" thickBot="1" x14ac:dyDescent="0.25">
      <c r="A16" s="230" t="s">
        <v>78</v>
      </c>
      <c r="B16" s="231"/>
      <c r="C16" s="134"/>
      <c r="D16" s="142">
        <v>41486</v>
      </c>
      <c r="I16" s="67"/>
      <c r="J16" s="115">
        <f t="shared" si="0"/>
        <v>2024</v>
      </c>
      <c r="K16" s="68">
        <f>+'Option 1'!O252</f>
        <v>-3836706.0516237896</v>
      </c>
      <c r="L16" s="117">
        <f>+'Option 2'!O252</f>
        <v>-3653877.3759376705</v>
      </c>
      <c r="M16" s="112">
        <f>+'Option 3'!O$252</f>
        <v>-2734786.5012979317</v>
      </c>
      <c r="N16" s="204">
        <f>+'Option 4'!O$252</f>
        <v>-2734510.2451682729</v>
      </c>
      <c r="O16" s="68">
        <f>+'Option 5'!O$252</f>
        <v>-4097295.0619312236</v>
      </c>
      <c r="P16" s="69">
        <f>+'Option 6'!O$252</f>
        <v>-4097295.0619312236</v>
      </c>
      <c r="R16" s="54"/>
      <c r="S16" s="54"/>
      <c r="T16" s="151"/>
    </row>
    <row r="17" spans="1:24" s="32" customFormat="1" ht="15.75" thickBot="1" x14ac:dyDescent="0.25">
      <c r="A17" s="144"/>
      <c r="B17" s="85"/>
      <c r="I17" s="110"/>
      <c r="J17" s="65"/>
      <c r="K17" s="65"/>
      <c r="L17" s="114"/>
    </row>
    <row r="18" spans="1:24" s="32" customFormat="1" ht="51.75" customHeight="1" x14ac:dyDescent="0.2">
      <c r="A18" s="225" t="s">
        <v>25</v>
      </c>
      <c r="B18" s="226"/>
      <c r="C18" s="226"/>
      <c r="D18" s="227"/>
      <c r="E18" s="195"/>
      <c r="F18" s="106"/>
      <c r="G18" s="107"/>
      <c r="I18" s="225" t="s">
        <v>105</v>
      </c>
      <c r="J18" s="226"/>
      <c r="K18" s="226"/>
      <c r="L18" s="226"/>
      <c r="M18" s="227"/>
      <c r="N18" s="195"/>
      <c r="O18" s="106"/>
      <c r="P18" s="107"/>
      <c r="R18" s="54"/>
    </row>
    <row r="19" spans="1:24" s="60" customFormat="1" ht="63.75" x14ac:dyDescent="0.2">
      <c r="A19" s="214"/>
      <c r="B19" s="215" t="s">
        <v>820</v>
      </c>
      <c r="C19" s="215" t="s">
        <v>817</v>
      </c>
      <c r="D19" s="216" t="s">
        <v>818</v>
      </c>
      <c r="E19" s="214" t="s">
        <v>819</v>
      </c>
      <c r="F19" s="218"/>
      <c r="G19" s="219"/>
      <c r="I19" s="214"/>
      <c r="J19" s="215"/>
      <c r="K19" s="215"/>
      <c r="L19" s="215"/>
      <c r="M19" s="216"/>
      <c r="N19" s="217"/>
      <c r="O19" s="218"/>
      <c r="P19" s="219"/>
      <c r="R19" s="220"/>
    </row>
    <row r="20" spans="1:24" s="32" customFormat="1" ht="20.25" x14ac:dyDescent="0.55000000000000004">
      <c r="A20" s="164"/>
      <c r="B20" s="63" t="s">
        <v>19</v>
      </c>
      <c r="C20" s="63" t="s">
        <v>20</v>
      </c>
      <c r="D20" s="64" t="s">
        <v>21</v>
      </c>
      <c r="E20" s="189" t="s">
        <v>99</v>
      </c>
      <c r="F20" s="63" t="s">
        <v>100</v>
      </c>
      <c r="G20" s="64" t="s">
        <v>101</v>
      </c>
      <c r="I20" s="62"/>
      <c r="J20" s="167"/>
      <c r="K20" s="63" t="s">
        <v>19</v>
      </c>
      <c r="L20" s="63" t="s">
        <v>20</v>
      </c>
      <c r="M20" s="64" t="s">
        <v>21</v>
      </c>
      <c r="N20" s="189" t="s">
        <v>99</v>
      </c>
      <c r="O20" s="63" t="s">
        <v>100</v>
      </c>
      <c r="P20" s="64" t="s">
        <v>101</v>
      </c>
      <c r="R20" s="86" t="s">
        <v>79</v>
      </c>
      <c r="S20" s="86">
        <v>1</v>
      </c>
      <c r="T20" s="86">
        <v>2</v>
      </c>
      <c r="U20" s="86">
        <v>3</v>
      </c>
      <c r="V20" s="86">
        <v>4</v>
      </c>
      <c r="W20" s="86">
        <v>5</v>
      </c>
      <c r="X20" s="86">
        <v>6</v>
      </c>
    </row>
    <row r="21" spans="1:24" s="32" customFormat="1" ht="31.5" x14ac:dyDescent="0.25">
      <c r="A21" s="93" t="s">
        <v>108</v>
      </c>
      <c r="B21" s="91"/>
      <c r="C21" s="91"/>
      <c r="D21" s="92">
        <v>1000000</v>
      </c>
      <c r="E21" s="196">
        <v>5000000</v>
      </c>
      <c r="F21" s="91"/>
      <c r="G21" s="92"/>
      <c r="I21" s="228" t="s">
        <v>109</v>
      </c>
      <c r="J21" s="229"/>
      <c r="K21" s="48">
        <f>-IF(B$21=0,0,PMT(B$25/12,B$24*12,B$21)/$D$13)</f>
        <v>0</v>
      </c>
      <c r="L21" s="48">
        <f t="shared" ref="L21:M21" si="1">-IF(C$21=0,0,PMT(C$25/12,C$24*12,C$21)/$D$13)</f>
        <v>0</v>
      </c>
      <c r="M21" s="70">
        <f t="shared" si="1"/>
        <v>21.255614276367783</v>
      </c>
      <c r="N21" s="205">
        <f>-IF(E$21=0,0,PMT(E$25/12,E$24*12,E$21)/$D$13)</f>
        <v>106.27807138183891</v>
      </c>
      <c r="O21" s="48">
        <f t="shared" ref="O21" si="2">-IF(F$21=0,0,PMT(F$25/12,F$24*12,F$21)/$D$13)</f>
        <v>0</v>
      </c>
      <c r="P21" s="70">
        <f t="shared" ref="P21" si="3">-IF(G$21=0,0,PMT(G$25/12,G$24*12,G$21)/$D$13)</f>
        <v>0</v>
      </c>
      <c r="Q21" s="62"/>
      <c r="R21" s="152">
        <f>+D9</f>
        <v>1743474</v>
      </c>
      <c r="S21" s="153">
        <f>+$R21+SUM('Option 1'!$D$12:$D$13)</f>
        <v>1743474</v>
      </c>
      <c r="T21" s="153">
        <f>+$R21+SUM('Option 2'!$D$12:$D$13)</f>
        <v>1743474</v>
      </c>
      <c r="U21" s="153">
        <f>+$R21+SUM('Option 3'!$D$12:$D$13)</f>
        <v>1743474</v>
      </c>
      <c r="V21" s="153">
        <f>+$R21+SUM('Option 4'!$D$12:$D$13)</f>
        <v>1743474</v>
      </c>
      <c r="W21" s="153">
        <f>+$R21+SUM('Option 5'!$D$12:$D$13)</f>
        <v>1743474</v>
      </c>
      <c r="X21" s="153">
        <f>+$R21+SUM('Option 6'!$D$12:$D$13)</f>
        <v>1743474</v>
      </c>
    </row>
    <row r="22" spans="1:24" s="32" customFormat="1" ht="30.75" thickBot="1" x14ac:dyDescent="0.25">
      <c r="A22" s="162" t="s">
        <v>44</v>
      </c>
      <c r="B22" s="79"/>
      <c r="C22" s="79"/>
      <c r="D22" s="170">
        <v>41640</v>
      </c>
      <c r="E22" s="197">
        <v>41640</v>
      </c>
      <c r="F22" s="79"/>
      <c r="G22" s="79"/>
      <c r="H22" s="62"/>
      <c r="I22" s="230" t="s">
        <v>821</v>
      </c>
      <c r="J22" s="231"/>
      <c r="K22" s="180"/>
      <c r="L22" s="180"/>
      <c r="M22" s="181"/>
      <c r="N22" s="206">
        <f>-359344/D13/12</f>
        <v>-60.010688042752172</v>
      </c>
      <c r="O22" s="180"/>
      <c r="P22" s="181"/>
      <c r="R22" s="86" t="e">
        <f>+R21*(1+#REF!)</f>
        <v>#REF!</v>
      </c>
      <c r="S22" s="153" t="e">
        <f>+$R22+SUM('Option 1'!$E$12:$E$13)</f>
        <v>#REF!</v>
      </c>
      <c r="T22" s="153" t="e">
        <f>+$R22+SUM('Option 2'!$E$12:$E$13)</f>
        <v>#REF!</v>
      </c>
      <c r="U22" s="153" t="e">
        <f>+$R22+SUM('Option 3'!$E$12:$E$13)</f>
        <v>#REF!</v>
      </c>
      <c r="V22" s="153" t="e">
        <f>+$R22+SUM('Option 4'!$E$12:$E$13)</f>
        <v>#REF!</v>
      </c>
      <c r="W22" s="153" t="e">
        <f>+$R22+SUM('Option 5'!$E$12:$E$13)</f>
        <v>#REF!</v>
      </c>
      <c r="X22" s="153" t="e">
        <f>+$R22+SUM('Option 6'!$E$12:$E$13)</f>
        <v>#REF!</v>
      </c>
    </row>
    <row r="23" spans="1:24" s="32" customFormat="1" ht="30" customHeight="1" thickBot="1" x14ac:dyDescent="0.25">
      <c r="A23" s="162" t="s">
        <v>86</v>
      </c>
      <c r="B23" s="104">
        <f t="shared" ref="B23:G23" si="4">+B22+(365*B24)</f>
        <v>0</v>
      </c>
      <c r="C23" s="104">
        <f t="shared" si="4"/>
        <v>0</v>
      </c>
      <c r="D23" s="105">
        <f t="shared" si="4"/>
        <v>45290</v>
      </c>
      <c r="E23" s="198">
        <f t="shared" si="4"/>
        <v>45290</v>
      </c>
      <c r="F23" s="104">
        <f t="shared" si="4"/>
        <v>0</v>
      </c>
      <c r="G23" s="105">
        <f t="shared" si="4"/>
        <v>0</v>
      </c>
      <c r="I23" s="172"/>
      <c r="J23" s="166"/>
      <c r="K23" s="166"/>
      <c r="L23" s="166"/>
      <c r="M23" s="166"/>
      <c r="N23" s="166"/>
      <c r="O23" s="166"/>
      <c r="P23" s="166"/>
      <c r="Q23" s="8"/>
      <c r="R23" s="86" t="e">
        <f>+R22*(1+#REF!)</f>
        <v>#REF!</v>
      </c>
      <c r="S23" s="153" t="e">
        <f>+$R23+SUM('Option 1'!$F$12:$F$13)</f>
        <v>#REF!</v>
      </c>
      <c r="T23" s="153" t="e">
        <f>+$R23+SUM('Option 2'!$F$12:$F$13)</f>
        <v>#REF!</v>
      </c>
      <c r="U23" s="153" t="e">
        <f>+$R23+SUM('Option 3'!$F$12:$F$13)</f>
        <v>#REF!</v>
      </c>
      <c r="V23" s="153" t="e">
        <f>+$R23+SUM('Option 4'!$F$12:$F$13)</f>
        <v>#REF!</v>
      </c>
      <c r="W23" s="153" t="e">
        <f>+$R23+SUM('Option 5'!$F$12:$F$13)</f>
        <v>#REF!</v>
      </c>
      <c r="X23" s="153" t="e">
        <f>+$R23+SUM('Option 6'!$F$12:$F$13)</f>
        <v>#REF!</v>
      </c>
    </row>
    <row r="24" spans="1:24" s="32" customFormat="1" ht="31.5" x14ac:dyDescent="0.25">
      <c r="A24" s="93" t="s">
        <v>43</v>
      </c>
      <c r="B24" s="81"/>
      <c r="C24" s="81"/>
      <c r="D24" s="154">
        <v>10</v>
      </c>
      <c r="E24" s="199">
        <v>10</v>
      </c>
      <c r="F24" s="80"/>
      <c r="G24" s="177"/>
      <c r="I24" s="72"/>
      <c r="J24" s="143" t="s">
        <v>26</v>
      </c>
      <c r="K24" s="143" t="s">
        <v>106</v>
      </c>
      <c r="L24" s="143" t="s">
        <v>107</v>
      </c>
      <c r="M24" s="73"/>
      <c r="N24" s="166"/>
      <c r="O24" s="166"/>
      <c r="P24" s="166"/>
      <c r="Q24" s="8"/>
      <c r="R24" s="86" t="e">
        <f>+R23*(1+#REF!)</f>
        <v>#REF!</v>
      </c>
      <c r="S24" s="153" t="e">
        <f>+$R24+SUM('Option 1'!$G$12:$G$13)</f>
        <v>#REF!</v>
      </c>
      <c r="T24" s="153" t="e">
        <f>+$R24+SUM('Option 2'!$G$12:$G$13)</f>
        <v>#REF!</v>
      </c>
      <c r="U24" s="153" t="e">
        <f>+$R24+SUM('Option 3'!$G$12:$G$13)</f>
        <v>#REF!</v>
      </c>
      <c r="V24" s="153" t="e">
        <f>+$R24+SUM('Option 4'!$G$12:$G$13)</f>
        <v>#REF!</v>
      </c>
      <c r="W24" s="153" t="e">
        <f>+$R24+SUM('Option 5'!$G$12:$G$13)</f>
        <v>#REF!</v>
      </c>
      <c r="X24" s="153" t="e">
        <f>+$R24+SUM('Option 6'!$G$12:$G$13)</f>
        <v>#REF!</v>
      </c>
    </row>
    <row r="25" spans="1:24" s="32" customFormat="1" ht="30" x14ac:dyDescent="0.2">
      <c r="A25" s="162" t="s">
        <v>54</v>
      </c>
      <c r="B25" s="82"/>
      <c r="C25" s="82"/>
      <c r="D25" s="156">
        <v>0.05</v>
      </c>
      <c r="E25" s="200">
        <v>0.05</v>
      </c>
      <c r="F25" s="82"/>
      <c r="G25" s="156"/>
      <c r="H25" s="62"/>
      <c r="I25" s="62">
        <f>+J5</f>
        <v>2013</v>
      </c>
      <c r="J25" s="74">
        <v>2.5000000000000001E-3</v>
      </c>
      <c r="K25" s="74">
        <v>0.03</v>
      </c>
      <c r="L25" s="118">
        <v>0.1</v>
      </c>
      <c r="M25" s="119"/>
      <c r="N25" s="166"/>
      <c r="O25" s="166"/>
      <c r="P25" s="166"/>
      <c r="R25" s="86" t="e">
        <f>+R24*(1+#REF!)</f>
        <v>#REF!</v>
      </c>
      <c r="S25" s="153" t="e">
        <f>+$R25+SUM('Option 1'!$H$12:$H$13)</f>
        <v>#REF!</v>
      </c>
      <c r="T25" s="153" t="e">
        <f>+$R25+SUM('Option 2'!$H$12:$H$13)</f>
        <v>#REF!</v>
      </c>
      <c r="U25" s="153" t="e">
        <f>+$R25+SUM('Option 3'!$H$12:$H$13)</f>
        <v>#REF!</v>
      </c>
      <c r="V25" s="153" t="e">
        <f>+$R25+SUM('Option 4'!$H$12:$H$13)</f>
        <v>#REF!</v>
      </c>
      <c r="W25" s="153" t="e">
        <f>+$R25+SUM('Option 5'!$H$12:$H$13)</f>
        <v>#REF!</v>
      </c>
      <c r="X25" s="153" t="e">
        <f>+$R25+SUM('Option 6'!$H$12:$H$13)</f>
        <v>#REF!</v>
      </c>
    </row>
    <row r="26" spans="1:24" s="32" customFormat="1" ht="45.75" thickBot="1" x14ac:dyDescent="0.25">
      <c r="A26" s="163" t="s">
        <v>59</v>
      </c>
      <c r="B26" s="94">
        <f t="shared" ref="B26:G26" si="5">+B21</f>
        <v>0</v>
      </c>
      <c r="C26" s="94">
        <f t="shared" si="5"/>
        <v>0</v>
      </c>
      <c r="D26" s="95">
        <f t="shared" si="5"/>
        <v>1000000</v>
      </c>
      <c r="E26" s="201">
        <f t="shared" si="5"/>
        <v>5000000</v>
      </c>
      <c r="F26" s="94">
        <f t="shared" si="5"/>
        <v>0</v>
      </c>
      <c r="G26" s="95">
        <f t="shared" si="5"/>
        <v>0</v>
      </c>
      <c r="I26" s="62">
        <f>+I25+1</f>
        <v>2014</v>
      </c>
      <c r="J26" s="74">
        <v>5.0000000000000001E-3</v>
      </c>
      <c r="K26" s="74">
        <v>0.03</v>
      </c>
      <c r="L26" s="118">
        <v>0.1</v>
      </c>
      <c r="M26" s="119"/>
      <c r="N26" s="166"/>
      <c r="O26" s="166"/>
      <c r="P26" s="166"/>
      <c r="R26" s="86" t="e">
        <f>+R25*(1+#REF!)</f>
        <v>#REF!</v>
      </c>
      <c r="S26" s="153" t="e">
        <f>+$R26+SUM('Option 1'!$I$12:$I$13)</f>
        <v>#REF!</v>
      </c>
      <c r="T26" s="153" t="e">
        <f>+$R26+SUM('Option 2'!$I$12:$I$13)</f>
        <v>#REF!</v>
      </c>
      <c r="U26" s="153" t="e">
        <f>+$R26+SUM('Option 3'!$I$12:$I$13)</f>
        <v>#REF!</v>
      </c>
      <c r="V26" s="153" t="e">
        <f>+$R26+SUM('Option 4'!$I$12:$I$13)</f>
        <v>#REF!</v>
      </c>
      <c r="W26" s="153" t="e">
        <f>+$R26+SUM('Option 5'!$I$12:$I$13)</f>
        <v>#REF!</v>
      </c>
      <c r="X26" s="153" t="e">
        <f>+$R26+SUM('Option 6'!$I$12:$I$13)</f>
        <v>#REF!</v>
      </c>
    </row>
    <row r="27" spans="1:24" s="32" customFormat="1" ht="15.75" thickBot="1" x14ac:dyDescent="0.25">
      <c r="A27" s="76"/>
      <c r="I27" s="62">
        <f t="shared" ref="I27:I36" si="6">+I26+1</f>
        <v>2015</v>
      </c>
      <c r="J27" s="74">
        <f>+J26+0.005</f>
        <v>0.01</v>
      </c>
      <c r="K27" s="74">
        <v>0.03</v>
      </c>
      <c r="L27" s="118">
        <v>0.1</v>
      </c>
      <c r="M27" s="119"/>
      <c r="N27" s="166"/>
      <c r="O27" s="166"/>
      <c r="P27" s="166"/>
      <c r="R27" s="86" t="e">
        <f>+R26*(1+#REF!)</f>
        <v>#REF!</v>
      </c>
      <c r="S27" s="153" t="e">
        <f>+$R27+SUM('Option 1'!$J$12:$J$13)</f>
        <v>#REF!</v>
      </c>
      <c r="T27" s="153" t="e">
        <f>+$R27+SUM('Option 2'!$J$12:$J$13)</f>
        <v>#REF!</v>
      </c>
      <c r="U27" s="153" t="e">
        <f>+$R27+SUM('Option 3'!$J$12:$J$13)</f>
        <v>#REF!</v>
      </c>
      <c r="V27" s="153" t="e">
        <f>+$R27+SUM('Option 4'!$J$12:$J$13)</f>
        <v>#REF!</v>
      </c>
      <c r="W27" s="153" t="e">
        <f>+$R27+SUM('Option 5'!$J$12:$J$13)</f>
        <v>#REF!</v>
      </c>
      <c r="X27" s="153" t="e">
        <f>+$R27+SUM('Option 6'!$J$12:$J$13)</f>
        <v>#REF!</v>
      </c>
    </row>
    <row r="28" spans="1:24" s="32" customFormat="1" ht="36" customHeight="1" x14ac:dyDescent="0.2">
      <c r="A28" s="235" t="s">
        <v>84</v>
      </c>
      <c r="B28" s="236"/>
      <c r="C28" s="236"/>
      <c r="D28" s="236"/>
      <c r="E28" s="207"/>
      <c r="F28" s="108"/>
      <c r="G28" s="109"/>
      <c r="I28" s="62">
        <f t="shared" si="6"/>
        <v>2016</v>
      </c>
      <c r="J28" s="74">
        <f t="shared" ref="J28:J35" si="7">+J27+0.005</f>
        <v>1.4999999999999999E-2</v>
      </c>
      <c r="K28" s="74">
        <v>0.03</v>
      </c>
      <c r="L28" s="118">
        <v>0.1</v>
      </c>
      <c r="M28" s="119"/>
      <c r="N28" s="166"/>
      <c r="O28" s="166"/>
      <c r="P28" s="166"/>
      <c r="R28" s="86" t="e">
        <f>+R27*(1+#REF!)</f>
        <v>#REF!</v>
      </c>
      <c r="S28" s="153" t="e">
        <f>+$R28+SUM('Option 1'!$K$12:$K$13)</f>
        <v>#REF!</v>
      </c>
      <c r="T28" s="153" t="e">
        <f>+$R28+SUM('Option 2'!$K$12:$K$13)</f>
        <v>#REF!</v>
      </c>
      <c r="U28" s="153" t="e">
        <f>+$R28+SUM('Option 3'!$K$12:$K$13)</f>
        <v>#REF!</v>
      </c>
      <c r="V28" s="153" t="e">
        <f>+$R28+SUM('Option 4'!$K$12:$K$13)</f>
        <v>#REF!</v>
      </c>
      <c r="W28" s="153" t="e">
        <f>+$R28+SUM('Option 5'!$K$12:$K$13)</f>
        <v>#REF!</v>
      </c>
      <c r="X28" s="153" t="e">
        <f>+$R28+SUM('Option 6'!$K$12:$K$13)</f>
        <v>#REF!</v>
      </c>
    </row>
    <row r="29" spans="1:24" s="32" customFormat="1" ht="20.25" x14ac:dyDescent="0.55000000000000004">
      <c r="A29" s="162"/>
      <c r="B29" s="63" t="s">
        <v>19</v>
      </c>
      <c r="C29" s="63" t="s">
        <v>20</v>
      </c>
      <c r="D29" s="64" t="s">
        <v>21</v>
      </c>
      <c r="E29" s="189" t="s">
        <v>99</v>
      </c>
      <c r="F29" s="63" t="s">
        <v>100</v>
      </c>
      <c r="G29" s="64" t="s">
        <v>101</v>
      </c>
      <c r="I29" s="62">
        <f t="shared" si="6"/>
        <v>2017</v>
      </c>
      <c r="J29" s="74">
        <f t="shared" si="7"/>
        <v>0.02</v>
      </c>
      <c r="K29" s="74">
        <v>0.03</v>
      </c>
      <c r="L29" s="118">
        <v>0.1</v>
      </c>
      <c r="M29" s="119"/>
      <c r="N29" s="166"/>
      <c r="O29" s="166"/>
      <c r="P29" s="166"/>
      <c r="R29" s="86" t="e">
        <f>+R28*(1+#REF!)</f>
        <v>#REF!</v>
      </c>
      <c r="S29" s="153" t="e">
        <f>+$R29+SUM('Option 1'!$L$12:$L$13)</f>
        <v>#REF!</v>
      </c>
      <c r="T29" s="153" t="e">
        <f>+$R29+SUM('Option 2'!$L$12:$L$13)</f>
        <v>#REF!</v>
      </c>
      <c r="U29" s="153" t="e">
        <f>+$R29+SUM('Option 3'!$L$12:$L$13)</f>
        <v>#REF!</v>
      </c>
      <c r="V29" s="153" t="e">
        <f>+$R29+SUM('Option 4'!$L$12:$L$13)</f>
        <v>#REF!</v>
      </c>
      <c r="W29" s="153" t="e">
        <f>+$R29+SUM('Option 5'!$L$12:$L$13)</f>
        <v>#REF!</v>
      </c>
      <c r="X29" s="153" t="e">
        <f>+$R29+SUM('Option 6'!$L$12:$L$13)</f>
        <v>#REF!</v>
      </c>
    </row>
    <row r="30" spans="1:24" s="32" customFormat="1" ht="15" x14ac:dyDescent="0.2">
      <c r="A30" s="162" t="s">
        <v>24</v>
      </c>
      <c r="B30" s="157"/>
      <c r="C30" s="157">
        <v>1500000</v>
      </c>
      <c r="D30" s="158">
        <v>700000</v>
      </c>
      <c r="E30" s="157">
        <v>1000000</v>
      </c>
      <c r="F30" s="157"/>
      <c r="G30" s="157"/>
      <c r="H30" s="62"/>
      <c r="I30" s="62">
        <f t="shared" si="6"/>
        <v>2018</v>
      </c>
      <c r="J30" s="74">
        <f t="shared" si="7"/>
        <v>2.5000000000000001E-2</v>
      </c>
      <c r="K30" s="74">
        <v>0.03</v>
      </c>
      <c r="L30" s="118">
        <v>0.1</v>
      </c>
      <c r="M30" s="119"/>
      <c r="N30" s="166"/>
      <c r="O30" s="166"/>
      <c r="P30" s="166"/>
      <c r="R30" s="86" t="e">
        <f>+R29*(1+#REF!)</f>
        <v>#REF!</v>
      </c>
      <c r="S30" s="153" t="e">
        <f>+$R30+SUM('Option 1'!$M$12:$M$13)</f>
        <v>#REF!</v>
      </c>
      <c r="T30" s="153" t="e">
        <f>+$R30+SUM('Option 2'!$M$12:$M$13)</f>
        <v>#REF!</v>
      </c>
      <c r="U30" s="153" t="e">
        <f>+$R30+SUM('Option 3'!$M$12:$M$13)</f>
        <v>#REF!</v>
      </c>
      <c r="V30" s="153" t="e">
        <f>+$R30+SUM('Option 4'!$M$12:$M$13)</f>
        <v>#REF!</v>
      </c>
      <c r="W30" s="153" t="e">
        <f>+$R30+SUM('Option 5'!$M$12:$M$13)</f>
        <v>#REF!</v>
      </c>
      <c r="X30" s="153" t="e">
        <f>+$R30+SUM('Option 6'!$M$12:$M$13)</f>
        <v>#REF!</v>
      </c>
    </row>
    <row r="31" spans="1:24" s="32" customFormat="1" ht="15" x14ac:dyDescent="0.2">
      <c r="A31" s="162" t="s">
        <v>56</v>
      </c>
      <c r="B31" s="173"/>
      <c r="C31" s="173"/>
      <c r="D31" s="174"/>
      <c r="E31" s="190"/>
      <c r="F31" s="173"/>
      <c r="G31" s="174"/>
      <c r="H31" s="62"/>
      <c r="I31" s="62">
        <f t="shared" si="6"/>
        <v>2019</v>
      </c>
      <c r="J31" s="74">
        <f t="shared" si="7"/>
        <v>3.0000000000000002E-2</v>
      </c>
      <c r="K31" s="74">
        <v>0.03</v>
      </c>
      <c r="L31" s="118">
        <v>0.1</v>
      </c>
      <c r="M31" s="119"/>
      <c r="N31" s="166"/>
      <c r="O31" s="166"/>
      <c r="P31" s="166"/>
      <c r="R31" s="86" t="e">
        <f>+R30*(1+#REF!)</f>
        <v>#REF!</v>
      </c>
      <c r="S31" s="153" t="e">
        <f>+$R31+SUM('Option 1'!$N$12:$N$13)</f>
        <v>#REF!</v>
      </c>
      <c r="T31" s="153" t="e">
        <f>+$R31+SUM('Option 2'!$N$12:$N$13)</f>
        <v>#REF!</v>
      </c>
      <c r="U31" s="153" t="e">
        <f>+$R31+SUM('Option 3'!$N$12:$N$13)</f>
        <v>#REF!</v>
      </c>
      <c r="V31" s="153" t="e">
        <f>+$R31+SUM('Option 4'!$N$12:$N$13)</f>
        <v>#REF!</v>
      </c>
      <c r="W31" s="153" t="e">
        <f>+$R31+SUM('Option 5'!$N$12:$N$13)</f>
        <v>#REF!</v>
      </c>
      <c r="X31" s="153" t="e">
        <f>+$R31+SUM('Option 6'!$N$12:$N$13)</f>
        <v>#REF!</v>
      </c>
    </row>
    <row r="32" spans="1:24" s="32" customFormat="1" ht="45" x14ac:dyDescent="0.2">
      <c r="A32" s="162" t="s">
        <v>45</v>
      </c>
      <c r="B32" s="77"/>
      <c r="C32" s="77">
        <v>43101</v>
      </c>
      <c r="D32" s="97">
        <v>43101</v>
      </c>
      <c r="E32" s="77">
        <v>43101</v>
      </c>
      <c r="F32" s="77"/>
      <c r="G32" s="77"/>
      <c r="H32" s="178"/>
      <c r="I32" s="62">
        <f t="shared" si="6"/>
        <v>2020</v>
      </c>
      <c r="J32" s="74">
        <f t="shared" si="7"/>
        <v>3.5000000000000003E-2</v>
      </c>
      <c r="K32" s="74">
        <v>0.03</v>
      </c>
      <c r="L32" s="118">
        <v>0.1</v>
      </c>
      <c r="M32" s="119"/>
      <c r="N32" s="166"/>
      <c r="O32" s="166"/>
      <c r="P32" s="166"/>
      <c r="R32" s="86" t="e">
        <f>+R31*(1+#REF!)</f>
        <v>#REF!</v>
      </c>
      <c r="S32" s="153" t="e">
        <f>+$R32+SUM('Option 1'!$O$12:$O$13)</f>
        <v>#REF!</v>
      </c>
      <c r="T32" s="153" t="e">
        <f>+$R32+SUM('Option 2'!$O$12:$O$13)</f>
        <v>#REF!</v>
      </c>
      <c r="U32" s="153" t="e">
        <f>+$R32+SUM('Option 3'!$O$12:$O$13)</f>
        <v>#REF!</v>
      </c>
      <c r="V32" s="153" t="e">
        <f>+$R32+SUM('Option 4'!$O$12:$O$13)</f>
        <v>#REF!</v>
      </c>
      <c r="W32" s="153" t="e">
        <f>+$R32+SUM('Option 5'!$O$12:$O$13)</f>
        <v>#REF!</v>
      </c>
      <c r="X32" s="153" t="e">
        <f>+$R32+SUM('Option 6'!$O$12:$O$13)</f>
        <v>#REF!</v>
      </c>
    </row>
    <row r="33" spans="1:25" s="32" customFormat="1" ht="45" x14ac:dyDescent="0.2">
      <c r="A33" s="162" t="s">
        <v>47</v>
      </c>
      <c r="B33" s="78"/>
      <c r="C33" s="78">
        <v>0.08</v>
      </c>
      <c r="D33" s="78">
        <v>0.08</v>
      </c>
      <c r="E33" s="191">
        <v>0.08</v>
      </c>
      <c r="F33" s="78"/>
      <c r="G33" s="98"/>
      <c r="I33" s="62">
        <f t="shared" si="6"/>
        <v>2021</v>
      </c>
      <c r="J33" s="74">
        <f t="shared" si="7"/>
        <v>0.04</v>
      </c>
      <c r="K33" s="74">
        <v>0.03</v>
      </c>
      <c r="L33" s="118">
        <v>0.1</v>
      </c>
      <c r="M33" s="119"/>
      <c r="N33" s="8"/>
      <c r="O33" s="8"/>
      <c r="P33" s="8"/>
    </row>
    <row r="34" spans="1:25" s="32" customFormat="1" ht="15" x14ac:dyDescent="0.2">
      <c r="A34" s="162"/>
      <c r="B34" s="121"/>
      <c r="C34" s="121"/>
      <c r="D34" s="122"/>
      <c r="E34" s="192"/>
      <c r="F34" s="121"/>
      <c r="G34" s="122"/>
      <c r="I34" s="62">
        <f t="shared" si="6"/>
        <v>2022</v>
      </c>
      <c r="J34" s="74">
        <f t="shared" si="7"/>
        <v>4.4999999999999998E-2</v>
      </c>
      <c r="K34" s="74">
        <v>0.03</v>
      </c>
      <c r="L34" s="118">
        <v>0.1</v>
      </c>
      <c r="M34" s="119"/>
      <c r="N34" s="128"/>
      <c r="O34" s="128"/>
      <c r="P34" s="128"/>
    </row>
    <row r="35" spans="1:25" s="32" customFormat="1" ht="30" x14ac:dyDescent="0.2">
      <c r="A35" s="162" t="s">
        <v>87</v>
      </c>
      <c r="B35" s="179">
        <f>+B32+(365*B36)</f>
        <v>0</v>
      </c>
      <c r="C35" s="179">
        <f t="shared" ref="C35:D35" si="8">+C32+(365*C36)</f>
        <v>46751</v>
      </c>
      <c r="D35" s="179">
        <f t="shared" si="8"/>
        <v>44926</v>
      </c>
      <c r="E35" s="193">
        <f>+E32+(365*E36)</f>
        <v>44926</v>
      </c>
      <c r="F35" s="179">
        <f t="shared" ref="F35:G35" si="9">+F32+(365*F36)</f>
        <v>0</v>
      </c>
      <c r="G35" s="179">
        <f t="shared" si="9"/>
        <v>0</v>
      </c>
      <c r="H35" s="178"/>
      <c r="I35" s="62">
        <f t="shared" si="6"/>
        <v>2023</v>
      </c>
      <c r="J35" s="74">
        <f t="shared" si="7"/>
        <v>4.9999999999999996E-2</v>
      </c>
      <c r="K35" s="74">
        <v>0.03</v>
      </c>
      <c r="L35" s="118">
        <v>0.1</v>
      </c>
      <c r="M35" s="119"/>
      <c r="N35" s="8"/>
      <c r="O35" s="8"/>
      <c r="P35" s="8"/>
    </row>
    <row r="36" spans="1:25" s="32" customFormat="1" ht="32.25" thickBot="1" x14ac:dyDescent="0.3">
      <c r="A36" s="145" t="s">
        <v>46</v>
      </c>
      <c r="B36" s="99"/>
      <c r="C36" s="99">
        <v>10</v>
      </c>
      <c r="D36" s="100">
        <v>5</v>
      </c>
      <c r="E36" s="194">
        <v>5</v>
      </c>
      <c r="F36" s="99"/>
      <c r="G36" s="100"/>
      <c r="I36" s="67">
        <f t="shared" si="6"/>
        <v>2024</v>
      </c>
      <c r="J36" s="168">
        <f>+J35</f>
        <v>4.9999999999999996E-2</v>
      </c>
      <c r="K36" s="168">
        <v>0.03</v>
      </c>
      <c r="L36" s="171">
        <v>0.1</v>
      </c>
      <c r="M36" s="169"/>
      <c r="N36" s="8"/>
      <c r="O36" s="8"/>
      <c r="P36" s="8"/>
    </row>
    <row r="37" spans="1:25" s="32" customFormat="1" ht="15.75" x14ac:dyDescent="0.25">
      <c r="A37" s="76"/>
      <c r="D37" s="96"/>
      <c r="G37" s="211"/>
      <c r="I37" s="8"/>
      <c r="J37" s="8"/>
      <c r="K37" s="8"/>
      <c r="L37" s="8"/>
      <c r="M37" s="22"/>
      <c r="Q37" s="8"/>
    </row>
    <row r="38" spans="1:25" s="103" customFormat="1" ht="63" customHeight="1" x14ac:dyDescent="0.2">
      <c r="A38" s="234"/>
      <c r="B38" s="234"/>
      <c r="C38" s="234"/>
      <c r="D38" s="234"/>
      <c r="E38" s="210"/>
      <c r="F38" s="210"/>
      <c r="G38" s="210"/>
      <c r="I38" s="32"/>
      <c r="J38" s="32"/>
      <c r="K38" s="32"/>
      <c r="L38" s="32"/>
      <c r="M38"/>
      <c r="N38"/>
      <c r="O38"/>
      <c r="P38"/>
      <c r="Q38" s="32"/>
      <c r="R38" s="32"/>
    </row>
    <row r="39" spans="1:25" s="32" customFormat="1" ht="20.25" x14ac:dyDescent="0.55000000000000004">
      <c r="A39" s="208"/>
      <c r="B39" s="63"/>
      <c r="C39" s="63"/>
      <c r="D39" s="63"/>
      <c r="E39" s="63"/>
      <c r="F39" s="63"/>
      <c r="G39" s="63"/>
      <c r="M39"/>
      <c r="N39"/>
      <c r="O39"/>
      <c r="P39"/>
    </row>
    <row r="40" spans="1:25" s="32" customFormat="1" ht="15" x14ac:dyDescent="0.2">
      <c r="A40" s="208"/>
      <c r="B40" s="71"/>
      <c r="C40" s="71"/>
      <c r="D40" s="71"/>
      <c r="E40" s="71"/>
      <c r="F40" s="71"/>
      <c r="G40" s="71"/>
      <c r="I40"/>
      <c r="J40"/>
      <c r="K40"/>
      <c r="L40"/>
      <c r="M40"/>
      <c r="N40"/>
      <c r="O40"/>
      <c r="P40"/>
    </row>
    <row r="41" spans="1:25" s="32" customFormat="1" ht="15" x14ac:dyDescent="0.2">
      <c r="A41" s="76"/>
      <c r="I41"/>
      <c r="J41"/>
      <c r="K41"/>
      <c r="L41"/>
      <c r="M41"/>
      <c r="N41"/>
      <c r="O41"/>
      <c r="P41"/>
      <c r="Q41"/>
      <c r="R41"/>
      <c r="V41"/>
      <c r="W41"/>
      <c r="X41"/>
      <c r="Y41"/>
    </row>
    <row r="42" spans="1:25" s="32" customFormat="1" ht="15" x14ac:dyDescent="0.2">
      <c r="A42" s="76"/>
      <c r="I42"/>
      <c r="J42"/>
      <c r="K42"/>
      <c r="L42"/>
      <c r="M42"/>
      <c r="N42"/>
      <c r="O42"/>
      <c r="P42"/>
      <c r="Q42"/>
      <c r="R42"/>
      <c r="V42"/>
      <c r="W42"/>
      <c r="X42"/>
      <c r="Y42"/>
    </row>
    <row r="43" spans="1:25" s="32" customFormat="1" ht="15" x14ac:dyDescent="0.2">
      <c r="A43" s="76"/>
      <c r="I43"/>
      <c r="J43"/>
      <c r="K43"/>
      <c r="L43"/>
      <c r="M43"/>
      <c r="N43"/>
      <c r="O43"/>
      <c r="P43"/>
      <c r="Q43"/>
      <c r="R43"/>
      <c r="V43"/>
      <c r="W43"/>
      <c r="X43"/>
      <c r="Y43"/>
    </row>
    <row r="44" spans="1:25" s="32" customFormat="1" ht="15" x14ac:dyDescent="0.2">
      <c r="A44" s="76"/>
      <c r="I44"/>
      <c r="J44"/>
      <c r="K44"/>
      <c r="L44"/>
      <c r="M44"/>
      <c r="N44"/>
      <c r="O44"/>
      <c r="P44"/>
      <c r="Q44"/>
      <c r="R44"/>
      <c r="V44"/>
      <c r="W44"/>
      <c r="X44"/>
      <c r="Y44"/>
    </row>
    <row r="45" spans="1:25" s="32" customFormat="1" ht="15" x14ac:dyDescent="0.2">
      <c r="A45" s="76"/>
      <c r="I45"/>
      <c r="J45"/>
      <c r="K45"/>
      <c r="L45"/>
      <c r="M45"/>
      <c r="N45"/>
      <c r="O45"/>
      <c r="P45"/>
      <c r="Q45"/>
      <c r="R45"/>
      <c r="V45"/>
      <c r="W45"/>
      <c r="X45"/>
      <c r="Y45"/>
    </row>
    <row r="46" spans="1:25" s="32" customFormat="1" ht="15" x14ac:dyDescent="0.2">
      <c r="A46" s="76"/>
      <c r="I46"/>
      <c r="J46"/>
      <c r="K46"/>
      <c r="L46"/>
      <c r="M46"/>
      <c r="N46"/>
      <c r="O46"/>
      <c r="P46"/>
      <c r="Q46"/>
      <c r="R46"/>
      <c r="V46"/>
      <c r="W46"/>
      <c r="X46"/>
      <c r="Y46"/>
    </row>
    <row r="47" spans="1:25" s="32" customFormat="1" ht="15" x14ac:dyDescent="0.2">
      <c r="A47" s="76"/>
      <c r="I47"/>
      <c r="J47"/>
      <c r="K47"/>
      <c r="L47"/>
      <c r="M47"/>
      <c r="N47"/>
      <c r="O47"/>
      <c r="P47"/>
      <c r="Q47"/>
      <c r="R47"/>
      <c r="V47"/>
      <c r="W47"/>
      <c r="X47"/>
      <c r="Y47"/>
    </row>
    <row r="48" spans="1:25" s="32" customFormat="1" ht="15" x14ac:dyDescent="0.2">
      <c r="A48" s="76"/>
      <c r="I48"/>
      <c r="J48"/>
      <c r="K48"/>
      <c r="L48"/>
      <c r="M48"/>
      <c r="N48"/>
      <c r="O48"/>
      <c r="P48"/>
      <c r="Q48"/>
      <c r="R48"/>
      <c r="V48"/>
      <c r="W48"/>
      <c r="X48"/>
      <c r="Y48"/>
    </row>
    <row r="49" spans="1:25" s="32" customFormat="1" ht="15" x14ac:dyDescent="0.2">
      <c r="A49" s="76"/>
      <c r="I49"/>
      <c r="J49"/>
      <c r="K49"/>
      <c r="L49"/>
      <c r="M49"/>
      <c r="N49"/>
      <c r="O49"/>
      <c r="P49"/>
      <c r="Q49"/>
      <c r="R49"/>
      <c r="V49"/>
      <c r="W49"/>
      <c r="X49"/>
      <c r="Y49"/>
    </row>
    <row r="50" spans="1:25" s="32" customFormat="1" ht="15" x14ac:dyDescent="0.2">
      <c r="A50" s="76"/>
      <c r="I50"/>
      <c r="J50"/>
      <c r="K50"/>
      <c r="L50"/>
      <c r="M50"/>
      <c r="N50"/>
      <c r="O50"/>
      <c r="P50"/>
      <c r="Q50"/>
      <c r="R50"/>
      <c r="V50"/>
      <c r="W50"/>
      <c r="X50"/>
      <c r="Y50"/>
    </row>
    <row r="51" spans="1:25" s="32" customFormat="1" ht="15" x14ac:dyDescent="0.2">
      <c r="A51" s="76"/>
      <c r="I51"/>
      <c r="J51"/>
      <c r="K51"/>
      <c r="L51"/>
      <c r="M51"/>
      <c r="N51"/>
      <c r="O51"/>
      <c r="P51"/>
      <c r="Q51"/>
      <c r="R51"/>
    </row>
  </sheetData>
  <mergeCells count="22">
    <mergeCell ref="A38:D38"/>
    <mergeCell ref="A18:D18"/>
    <mergeCell ref="A28:D28"/>
    <mergeCell ref="I18:M18"/>
    <mergeCell ref="A10:B10"/>
    <mergeCell ref="A14:C14"/>
    <mergeCell ref="I21:J21"/>
    <mergeCell ref="I22:J22"/>
    <mergeCell ref="A1:L1"/>
    <mergeCell ref="I3:M3"/>
    <mergeCell ref="A15:B15"/>
    <mergeCell ref="A16:B16"/>
    <mergeCell ref="A3:D3"/>
    <mergeCell ref="A4:B4"/>
    <mergeCell ref="A5:B5"/>
    <mergeCell ref="A6:B6"/>
    <mergeCell ref="A7:B7"/>
    <mergeCell ref="A8:B8"/>
    <mergeCell ref="A9:B9"/>
    <mergeCell ref="A11:B11"/>
    <mergeCell ref="A12:B12"/>
    <mergeCell ref="A13:B13"/>
  </mergeCells>
  <phoneticPr fontId="21" type="noConversion"/>
  <conditionalFormatting sqref="I17:L17 J4:P16">
    <cfRule type="cellIs" dxfId="17" priority="129" operator="lessThan">
      <formula>0</formula>
    </cfRule>
  </conditionalFormatting>
  <conditionalFormatting sqref="I3">
    <cfRule type="cellIs" dxfId="16" priority="124" operator="lessThan">
      <formula>0</formula>
    </cfRule>
  </conditionalFormatting>
  <conditionalFormatting sqref="D31">
    <cfRule type="cellIs" dxfId="15" priority="17" operator="equal">
      <formula>1</formula>
    </cfRule>
    <cfRule type="cellIs" dxfId="14" priority="18" operator="equal">
      <formula>$G$21</formula>
    </cfRule>
  </conditionalFormatting>
  <conditionalFormatting sqref="C31">
    <cfRule type="cellIs" dxfId="13" priority="15" operator="equal">
      <formula>1</formula>
    </cfRule>
    <cfRule type="cellIs" dxfId="12" priority="16" operator="equal">
      <formula>$F$21</formula>
    </cfRule>
  </conditionalFormatting>
  <conditionalFormatting sqref="B31">
    <cfRule type="cellIs" dxfId="11" priority="13" operator="equal">
      <formula>1</formula>
    </cfRule>
    <cfRule type="cellIs" dxfId="10" priority="14" operator="equal">
      <formula>$F$21</formula>
    </cfRule>
  </conditionalFormatting>
  <conditionalFormatting sqref="E31">
    <cfRule type="cellIs" dxfId="9" priority="11" operator="equal">
      <formula>1</formula>
    </cfRule>
    <cfRule type="cellIs" dxfId="8" priority="12" operator="equal">
      <formula>$F$21</formula>
    </cfRule>
  </conditionalFormatting>
  <conditionalFormatting sqref="B30">
    <cfRule type="cellIs" dxfId="7" priority="10" operator="lessThan">
      <formula>$E$21</formula>
    </cfRule>
  </conditionalFormatting>
  <conditionalFormatting sqref="F30">
    <cfRule type="cellIs" dxfId="6" priority="7" operator="lessThan">
      <formula>$E$21</formula>
    </cfRule>
  </conditionalFormatting>
  <conditionalFormatting sqref="G30">
    <cfRule type="cellIs" dxfId="5" priority="6" operator="lessThan">
      <formula>$E$21</formula>
    </cfRule>
  </conditionalFormatting>
  <conditionalFormatting sqref="C30:E30">
    <cfRule type="cellIs" dxfId="4" priority="5" operator="lessThan">
      <formula>$E$21</formula>
    </cfRule>
  </conditionalFormatting>
  <conditionalFormatting sqref="F31">
    <cfRule type="cellIs" dxfId="3" priority="3" operator="equal">
      <formula>1</formula>
    </cfRule>
    <cfRule type="cellIs" dxfId="2" priority="4" operator="equal">
      <formula>$F$21</formula>
    </cfRule>
  </conditionalFormatting>
  <conditionalFormatting sqref="G31">
    <cfRule type="cellIs" dxfId="1" priority="1" operator="equal">
      <formula>1</formula>
    </cfRule>
    <cfRule type="cellIs" dxfId="0" priority="2" operator="equal">
      <formula>$G$21</formula>
    </cfRule>
  </conditionalFormatting>
  <dataValidations count="3">
    <dataValidation type="whole" allowBlank="1" showErrorMessage="1" errorTitle="Whole Number Error" error="Please enter a valid Year. (format 2012)" sqref="D7">
      <formula1>2011</formula1>
      <formula2>2016</formula2>
    </dataValidation>
    <dataValidation allowBlank="1" showInputMessage="1" showErrorMessage="1" errorTitle="Date Error!" error="The year has to be same as current year and day has to be the last day of the month!!!!_x000a_(Format MM/DD/YYYY)" sqref="D16"/>
    <dataValidation type="date" allowBlank="1" showInputMessage="1" showErrorMessage="1" errorTitle="Date Error" error="Please enter a valid fiscal year date (Format MM/DD/YYYY)" sqref="D8">
      <formula1>40574</formula1>
      <formula2>42369</formula2>
    </dataValidation>
  </dataValidations>
  <printOptions horizontalCentered="1"/>
  <pageMargins left="0" right="0" top="0" bottom="0" header="0" footer="0"/>
  <pageSetup scale="65" orientation="landscape" r:id="rId1"/>
  <headerFooter alignWithMargins="0">
    <oddFooter>&amp;L&amp;D &amp;T&amp;C&amp;Z&amp;F&amp;R&amp;P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P10145"/>
  <sheetViews>
    <sheetView showGridLines="0" tabSelected="1" zoomScaleNormal="100" zoomScaleSheetLayoutView="100" workbookViewId="0">
      <pane xSplit="3" ySplit="9" topLeftCell="D10" activePane="bottomRight" state="frozen"/>
      <selection sqref="A1:L1"/>
      <selection pane="topRight" sqref="A1:L1"/>
      <selection pane="bottomLeft" sqref="A1:L1"/>
      <selection pane="bottomRight" activeCell="E11" sqref="E11"/>
    </sheetView>
  </sheetViews>
  <sheetFormatPr defaultRowHeight="12.75" x14ac:dyDescent="0.2"/>
  <cols>
    <col min="1" max="1" width="3.7109375" customWidth="1"/>
    <col min="2" max="2" width="8.7109375" customWidth="1"/>
    <col min="3" max="3" width="41.7109375" style="20" bestFit="1" customWidth="1"/>
    <col min="4" max="4" width="15.140625" bestFit="1" customWidth="1"/>
    <col min="5" max="6" width="10.28515625" bestFit="1" customWidth="1"/>
    <col min="7" max="7" width="12.140625" bestFit="1" customWidth="1"/>
    <col min="8" max="15" width="12.85546875" bestFit="1" customWidth="1"/>
    <col min="16" max="16" width="13.5703125" bestFit="1" customWidth="1"/>
  </cols>
  <sheetData>
    <row r="1" spans="1:16" ht="18" x14ac:dyDescent="0.25">
      <c r="B1" s="241" t="str">
        <f>Assumptions!D5&amp;" - Reserve &amp; Special Assessment Analysis Option 1"</f>
        <v>Dana Point - Reserve &amp; Special Assessment Analysis Option 1</v>
      </c>
      <c r="C1" s="241"/>
      <c r="D1" s="241"/>
      <c r="E1" s="241"/>
      <c r="F1" s="241"/>
      <c r="G1" s="241"/>
      <c r="H1" s="241"/>
      <c r="I1" s="241"/>
      <c r="J1" s="241"/>
      <c r="K1" s="241"/>
      <c r="L1" s="241"/>
      <c r="M1" s="241"/>
      <c r="N1" s="57"/>
      <c r="O1" s="57"/>
    </row>
    <row r="2" spans="1:16" ht="18" x14ac:dyDescent="0.25">
      <c r="B2" s="241" t="str">
        <f>+Assumptions!D7&amp;" Reserve Study 10-Year Projection"</f>
        <v>2013 Reserve Study 10-Year Projection</v>
      </c>
      <c r="C2" s="241"/>
      <c r="D2" s="241"/>
      <c r="E2" s="241"/>
      <c r="F2" s="241"/>
      <c r="G2" s="241"/>
      <c r="H2" s="241"/>
      <c r="I2" s="241"/>
      <c r="J2" s="241"/>
      <c r="K2" s="241"/>
      <c r="L2" s="241"/>
      <c r="M2" s="241"/>
      <c r="N2" s="57"/>
      <c r="O2" s="57"/>
    </row>
    <row r="4" spans="1:16" x14ac:dyDescent="0.2">
      <c r="C4" s="20" t="s">
        <v>8</v>
      </c>
      <c r="D4" s="39">
        <f>Assumptions!B21</f>
        <v>0</v>
      </c>
    </row>
    <row r="5" spans="1:16" hidden="1" x14ac:dyDescent="0.2">
      <c r="D5" s="20"/>
      <c r="E5">
        <f>IF(YEAR(Assumptions!$D8)&lt;YEAR(Assumptions!B22),0,1)</f>
        <v>1</v>
      </c>
      <c r="F5">
        <f>+E5+1</f>
        <v>2</v>
      </c>
      <c r="G5">
        <f t="shared" ref="G5:M9" si="0">+F5+1</f>
        <v>3</v>
      </c>
      <c r="H5">
        <f t="shared" si="0"/>
        <v>4</v>
      </c>
      <c r="I5">
        <f t="shared" si="0"/>
        <v>5</v>
      </c>
      <c r="J5">
        <f t="shared" si="0"/>
        <v>6</v>
      </c>
      <c r="K5">
        <f t="shared" si="0"/>
        <v>7</v>
      </c>
      <c r="L5">
        <f t="shared" si="0"/>
        <v>8</v>
      </c>
      <c r="M5">
        <f t="shared" si="0"/>
        <v>9</v>
      </c>
      <c r="N5">
        <f t="shared" ref="N5:N9" si="1">+M5+1</f>
        <v>10</v>
      </c>
      <c r="O5">
        <f t="shared" ref="O5:O9" si="2">+N5+1</f>
        <v>11</v>
      </c>
    </row>
    <row r="6" spans="1:16" hidden="1" x14ac:dyDescent="0.2">
      <c r="D6" s="20">
        <f>IF(YEAR(Assumptions!B22)&gt;LEFT(D9,4)*1,0,1)</f>
        <v>1</v>
      </c>
      <c r="E6">
        <f>+D7+1</f>
        <v>1389</v>
      </c>
      <c r="F6">
        <f t="shared" ref="F6:O6" si="3">+E7+1</f>
        <v>1</v>
      </c>
      <c r="G6">
        <f t="shared" si="3"/>
        <v>1</v>
      </c>
      <c r="H6">
        <f t="shared" si="3"/>
        <v>1</v>
      </c>
      <c r="I6">
        <f t="shared" si="3"/>
        <v>1</v>
      </c>
      <c r="J6">
        <f t="shared" si="3"/>
        <v>1</v>
      </c>
      <c r="K6">
        <f t="shared" si="3"/>
        <v>1</v>
      </c>
      <c r="L6">
        <f t="shared" si="3"/>
        <v>1</v>
      </c>
      <c r="M6">
        <f t="shared" si="3"/>
        <v>1</v>
      </c>
      <c r="N6">
        <f t="shared" si="3"/>
        <v>1</v>
      </c>
      <c r="O6">
        <f t="shared" si="3"/>
        <v>1</v>
      </c>
    </row>
    <row r="7" spans="1:16" hidden="1" x14ac:dyDescent="0.2">
      <c r="D7" s="20">
        <f>IF(D6=0,0,ROUND(((IF(YEAR(Assumptions!D8)&lt;YEAR(Assumptions!B22),(Assumptions!D8+365)-Assumptions!B22,Assumptions!D8-Assumptions!B22))/30),0))</f>
        <v>1388</v>
      </c>
      <c r="E7">
        <f>IF(D7=0,ROUND(((IF(YEAR(Assumptions!D8)&lt;YEAR(Assumptions!B22),(Assumptions!D8+365)-Assumptions!B22,Assumptions!D8-Assumptions!B22))/30),0),IF(Assumptions!$B$24*12&gt;D7+12,D7+12,Assumptions!$B$24*12))</f>
        <v>0</v>
      </c>
      <c r="F7">
        <f>IF(Assumptions!$B$24*12&gt;E7+12,E7+12,Assumptions!$B$24*12)</f>
        <v>0</v>
      </c>
      <c r="G7">
        <f>IF(Assumptions!$B$24*12&gt;F7+12,F7+12,Assumptions!$B$24*12)</f>
        <v>0</v>
      </c>
      <c r="H7">
        <f>IF(Assumptions!$B$24*12&gt;G7+12,G7+12,Assumptions!$B$24*12)</f>
        <v>0</v>
      </c>
      <c r="I7">
        <f>IF(Assumptions!$B$24*12&gt;H7+12,H7+12,Assumptions!$B$24*12)</f>
        <v>0</v>
      </c>
      <c r="J7">
        <f>IF(Assumptions!$B$24*12&gt;I7+12,I7+12,Assumptions!$B$24*12)</f>
        <v>0</v>
      </c>
      <c r="K7">
        <f>IF(Assumptions!$B$24*12&gt;J7+12,J7+12,Assumptions!$B$24*12)</f>
        <v>0</v>
      </c>
      <c r="L7">
        <f>IF(Assumptions!$B$24*12&gt;K7+12,K7+12,Assumptions!$B$24*12)</f>
        <v>0</v>
      </c>
      <c r="M7">
        <f>IF(Assumptions!$B$24*12&gt;L7+12,L7+12,Assumptions!$B$24*12)</f>
        <v>0</v>
      </c>
      <c r="N7">
        <f>IF(Assumptions!$B$24*12&gt;M7+12,M7+12,Assumptions!$B$24*12)</f>
        <v>0</v>
      </c>
      <c r="O7">
        <f>IF(Assumptions!$B$24*12&gt;N7+12,N7+12,Assumptions!$B$24*12)</f>
        <v>0</v>
      </c>
    </row>
    <row r="8" spans="1:16" x14ac:dyDescent="0.2">
      <c r="D8" s="20"/>
    </row>
    <row r="9" spans="1:16" ht="15.75" x14ac:dyDescent="0.25">
      <c r="A9" s="237" t="s">
        <v>1</v>
      </c>
      <c r="B9" s="2" t="s">
        <v>2</v>
      </c>
      <c r="C9" s="23" t="s">
        <v>3</v>
      </c>
      <c r="D9" s="3" t="str">
        <f>Assumptions!D7&amp;" Budget"</f>
        <v>2013 Budget</v>
      </c>
      <c r="E9" s="3">
        <f>+Assumptions!D7+1</f>
        <v>2014</v>
      </c>
      <c r="F9" s="3">
        <f>+E9+1</f>
        <v>2015</v>
      </c>
      <c r="G9" s="3">
        <f t="shared" si="0"/>
        <v>2016</v>
      </c>
      <c r="H9" s="3">
        <f t="shared" si="0"/>
        <v>2017</v>
      </c>
      <c r="I9" s="3">
        <f t="shared" si="0"/>
        <v>2018</v>
      </c>
      <c r="J9" s="3">
        <f t="shared" si="0"/>
        <v>2019</v>
      </c>
      <c r="K9" s="3">
        <f t="shared" si="0"/>
        <v>2020</v>
      </c>
      <c r="L9" s="3">
        <f t="shared" si="0"/>
        <v>2021</v>
      </c>
      <c r="M9" s="3">
        <f t="shared" si="0"/>
        <v>2022</v>
      </c>
      <c r="N9" s="3">
        <f t="shared" si="1"/>
        <v>2023</v>
      </c>
      <c r="O9" s="3">
        <f t="shared" si="2"/>
        <v>2024</v>
      </c>
      <c r="P9" s="3" t="s">
        <v>77</v>
      </c>
    </row>
    <row r="10" spans="1:16" ht="15.75" x14ac:dyDescent="0.25">
      <c r="A10" s="237"/>
      <c r="B10" s="4" t="s">
        <v>4</v>
      </c>
      <c r="C10" s="24" t="s">
        <v>5</v>
      </c>
      <c r="D10" s="125">
        <f>ROUND((+Assumptions!D10/12*Calc!$G$9),0)</f>
        <v>202156</v>
      </c>
      <c r="E10" s="222">
        <v>516600</v>
      </c>
      <c r="F10" s="125">
        <f>+E10*(1+Assumptions!K27)</f>
        <v>532098</v>
      </c>
      <c r="G10" s="125">
        <f>+F10*(1+Assumptions!K28)</f>
        <v>548060.94000000006</v>
      </c>
      <c r="H10" s="125">
        <f>+G10*(1+Assumptions!K29)</f>
        <v>564502.76820000005</v>
      </c>
      <c r="I10" s="125">
        <f>+H10*(1+Assumptions!K30)</f>
        <v>581437.85124600003</v>
      </c>
      <c r="J10" s="125">
        <f>+I10*(1+Assumptions!K31)</f>
        <v>598880.98678338004</v>
      </c>
      <c r="K10" s="125">
        <f>+J10*(1+Assumptions!K32)</f>
        <v>616847.41638688149</v>
      </c>
      <c r="L10" s="125">
        <f>+K10*(1+Assumptions!K33)</f>
        <v>635352.83887848794</v>
      </c>
      <c r="M10" s="125">
        <f>+L10*(1+Assumptions!K34)</f>
        <v>654413.4240448426</v>
      </c>
      <c r="N10" s="125">
        <f>+M10*(1+Assumptions!K35)</f>
        <v>674045.82676618791</v>
      </c>
      <c r="O10" s="125">
        <f>+N10*(1+Assumptions!K36)</f>
        <v>694267.2015691736</v>
      </c>
      <c r="P10" s="123">
        <f>SUM(D10:O10)</f>
        <v>6818663.2538749548</v>
      </c>
    </row>
    <row r="11" spans="1:16" ht="15.75" x14ac:dyDescent="0.25">
      <c r="A11" s="237"/>
      <c r="B11" s="29" t="s">
        <v>823</v>
      </c>
      <c r="C11" s="24" t="s">
        <v>5</v>
      </c>
      <c r="D11" s="125">
        <f>140650/12*5</f>
        <v>58604.166666666672</v>
      </c>
      <c r="E11" s="223">
        <v>152001</v>
      </c>
      <c r="F11" s="126">
        <f>+E11*1.03</f>
        <v>156561.03</v>
      </c>
      <c r="G11" s="126">
        <f t="shared" ref="G11:O11" si="4">+F11*1.03</f>
        <v>161257.8609</v>
      </c>
      <c r="H11" s="126">
        <f t="shared" si="4"/>
        <v>166095.596727</v>
      </c>
      <c r="I11" s="126">
        <f t="shared" si="4"/>
        <v>171078.46462881</v>
      </c>
      <c r="J11" s="126">
        <f t="shared" si="4"/>
        <v>176210.81856767432</v>
      </c>
      <c r="K11" s="126">
        <f t="shared" si="4"/>
        <v>181497.14312470454</v>
      </c>
      <c r="L11" s="126">
        <f t="shared" si="4"/>
        <v>186942.05741844568</v>
      </c>
      <c r="M11" s="126">
        <f t="shared" si="4"/>
        <v>192550.31914099905</v>
      </c>
      <c r="N11" s="126">
        <f t="shared" si="4"/>
        <v>198326.82871522903</v>
      </c>
      <c r="O11" s="126">
        <f t="shared" si="4"/>
        <v>204276.63357668591</v>
      </c>
      <c r="P11" s="123">
        <f t="shared" ref="P11:P17" si="5">SUM(D11:O11)</f>
        <v>2005401.9194662152</v>
      </c>
    </row>
    <row r="12" spans="1:16" ht="15.75" x14ac:dyDescent="0.25">
      <c r="A12" s="237"/>
      <c r="B12" s="4" t="s">
        <v>7</v>
      </c>
      <c r="C12" s="24" t="s">
        <v>82</v>
      </c>
      <c r="D12" s="125">
        <f>IF(Assumptions!$B$25=0,IF(ISERROR(-CUMPRINC(0.00000000001/12,Assumptions!$B$24*12,$D$4,D6,D7,0)),0,(-CUMPRINC(0.00000000001/12,Assumptions!$B$24*12,$D$4,D6,D7,0))),IF(ISERROR(-CUMPRINC(Assumptions!$B$25/12,Assumptions!$B$24*12,$D$4,D6,D7,0)),0,(-CUMPRINC(Assumptions!$B$25/12,Assumptions!$B$24*12,$D$4,D6,D7,0))))</f>
        <v>0</v>
      </c>
      <c r="E12" s="125">
        <f>IF(Assumptions!$B$25=0,IF(ISERROR(-CUMPRINC(0.00000000001/12,Assumptions!$B$24*12,$D$4,E6,E7,0)),0,(-CUMPRINC(0.00000000001/12,Assumptions!$B$24*12,$D$4,E6,E7,0))),IF(ISERROR(-CUMPRINC(Assumptions!$B$25/12,Assumptions!$B$24*12,$D$4,E6,E7,0)),0,(-CUMPRINC(Assumptions!$B$25/12,Assumptions!$B$24*12,$D$4,E6,E7,0))))</f>
        <v>0</v>
      </c>
      <c r="F12" s="125">
        <f>IF(Assumptions!$B$25=0,IF(ISERROR(-CUMPRINC(0.00000000001/12,Assumptions!$B$24*12,$D$4,F6,F7,0)),0,(-CUMPRINC(0.00000000001/12,Assumptions!$B$24*12,$D$4,F6,F7,0))),IF(ISERROR(-CUMPRINC(Assumptions!$B$25/12,Assumptions!$B$24*12,$D$4,F6,F7,0)),0,(-CUMPRINC(Assumptions!$B$25/12,Assumptions!$B$24*12,$D$4,F6,F7,0))))</f>
        <v>0</v>
      </c>
      <c r="G12" s="125">
        <f>IF(Assumptions!$B$25=0,IF(ISERROR(-CUMPRINC(0.00000000001/12,Assumptions!$B$24*12,$D$4,G6,G7,0)),0,(-CUMPRINC(0.00000000001/12,Assumptions!$B$24*12,$D$4,G6,G7,0))),IF(ISERROR(-CUMPRINC(Assumptions!$B$25/12,Assumptions!$B$24*12,$D$4,G6,G7,0)),0,(-CUMPRINC(Assumptions!$B$25/12,Assumptions!$B$24*12,$D$4,G6,G7,0))))</f>
        <v>0</v>
      </c>
      <c r="H12" s="125">
        <f>IF(Assumptions!$B$25=0,IF(ISERROR(-CUMPRINC(0.00000000001/12,Assumptions!$B$24*12,$D$4,H6,H7,0)),0,(-CUMPRINC(0.00000000001/12,Assumptions!$B$24*12,$D$4,H6,H7,0))),IF(ISERROR(-CUMPRINC(Assumptions!$B$25/12,Assumptions!$B$24*12,$D$4,H6,H7,0)),0,(-CUMPRINC(Assumptions!$B$25/12,Assumptions!$B$24*12,$D$4,H6,H7,0))))</f>
        <v>0</v>
      </c>
      <c r="I12" s="125">
        <f>IF(Assumptions!$B$25=0,IF(ISERROR(-CUMPRINC(0.00000000001/12,Assumptions!$B$24*12,$D$4,I6,I7,0)),0,(-CUMPRINC(0.00000000001/12,Assumptions!$B$24*12,$D$4,I6,I7,0))),IF(ISERROR(-CUMPRINC(Assumptions!$B$25/12,Assumptions!$B$24*12,$D$4,I6,I7,0)),0,(-CUMPRINC(Assumptions!$B$25/12,Assumptions!$B$24*12,$D$4,I6,I7,0))))</f>
        <v>0</v>
      </c>
      <c r="J12" s="125">
        <f>IF(Assumptions!$B$25=0,IF(ISERROR(-CUMPRINC(0.00000000001/12,Assumptions!$B$24*12,$D$4,J6,J7,0)),0,(-CUMPRINC(0.00000000001/12,Assumptions!$B$24*12,$D$4,J6,J7,0))),IF(ISERROR(-CUMPRINC(Assumptions!$B$25/12,Assumptions!$B$24*12,$D$4,J6,J7,0)),0,(-CUMPRINC(Assumptions!$B$25/12,Assumptions!$B$24*12,$D$4,J6,J7,0))))</f>
        <v>0</v>
      </c>
      <c r="K12" s="125">
        <f>IF(Assumptions!$B$25=0,IF(ISERROR(-CUMPRINC(0.00000000001/12,Assumptions!$B$24*12,$D$4,K6,K7,0)),0,(-CUMPRINC(0.00000000001/12,Assumptions!$B$24*12,$D$4,K6,K7,0))),IF(ISERROR(-CUMPRINC(Assumptions!$B$25/12,Assumptions!$B$24*12,$D$4,K6,K7,0)),0,(-CUMPRINC(Assumptions!$B$25/12,Assumptions!$B$24*12,$D$4,K6,K7,0))))</f>
        <v>0</v>
      </c>
      <c r="L12" s="125">
        <f>IF(Assumptions!$B$25=0,IF(ISERROR(-CUMPRINC(0.00000000001/12,Assumptions!$B$24*12,$D$4,L6,L7,0)),0,(-CUMPRINC(0.00000000001/12,Assumptions!$B$24*12,$D$4,L6,L7,0))),IF(ISERROR(-CUMPRINC(Assumptions!$B$25/12,Assumptions!$B$24*12,$D$4,L6,L7,0)),0,(-CUMPRINC(Assumptions!$B$25/12,Assumptions!$B$24*12,$D$4,L6,L7,0))))</f>
        <v>0</v>
      </c>
      <c r="M12" s="125">
        <f>IF(Assumptions!$B$25=0,IF(ISERROR(-CUMPRINC(0.00000000001/12,Assumptions!$B$24*12,$D$4,M6,M7,0)),0,(-CUMPRINC(0.00000000001/12,Assumptions!$B$24*12,$D$4,M6,M7,0))),IF(ISERROR(-CUMPRINC(Assumptions!$B$25/12,Assumptions!$B$24*12,$D$4,M6,M7,0)),0,(-CUMPRINC(Assumptions!$B$25/12,Assumptions!$B$24*12,$D$4,M6,M7,0))))</f>
        <v>0</v>
      </c>
      <c r="N12" s="125">
        <f>IF(Assumptions!$B$25=0,IF(ISERROR(-CUMPRINC(0.00000000001/12,Assumptions!$B$24*12,$D$4,N6,N7,0)),0,(-CUMPRINC(0.00000000001/12,Assumptions!$B$24*12,$D$4,N6,N7,0))),IF(ISERROR(-CUMPRINC(Assumptions!$B$25/12,Assumptions!$B$24*12,$D$4,N6,N7,0)),0,(-CUMPRINC(Assumptions!$B$25/12,Assumptions!$B$24*12,$D$4,N6,N7,0))))</f>
        <v>0</v>
      </c>
      <c r="O12" s="125">
        <f>IF(Assumptions!$B$25=0,IF(ISERROR(-CUMPRINC(0.00000000001/12,Assumptions!$B$24*12,$D$4,O6,O7,0)),0,(-CUMPRINC(0.00000000001/12,Assumptions!$B$24*12,$D$4,O6,O7,0))),IF(ISERROR(-CUMPRINC(Assumptions!$B$25/12,Assumptions!$B$24*12,$D$4,O6,O7,0)),0,(-CUMPRINC(Assumptions!$B$25/12,Assumptions!$B$24*12,$D$4,O6,O7,0))))</f>
        <v>0</v>
      </c>
      <c r="P12" s="123">
        <f t="shared" si="5"/>
        <v>0</v>
      </c>
    </row>
    <row r="13" spans="1:16" ht="15.75" x14ac:dyDescent="0.25">
      <c r="A13" s="237"/>
      <c r="B13" s="4" t="s">
        <v>27</v>
      </c>
      <c r="C13" s="24" t="s">
        <v>31</v>
      </c>
      <c r="D13" s="125">
        <f>IF(Assumptions!$B$25=0,IF(ISERROR(-CUMIPMT(0.00000000001/12,Assumptions!$B$24*12,$D$4,D6,D7,0)),0,-CUMIPMT(0.00000000001/12,Assumptions!$B$24*12,$D$4,D6,D7,0)),IF(ISERROR(-CUMIPMT(Assumptions!$B$25/12,Assumptions!$B$24*12,$D$4,D6,D7,0)),0,-CUMIPMT(Assumptions!$B$25/12,Assumptions!$B$24*12,$D$4,D6,D7,0)))</f>
        <v>0</v>
      </c>
      <c r="E13" s="125">
        <f>IF(Assumptions!$B$25=0,IF(ISERROR(-CUMIPMT(0.00000000001/12,Assumptions!$B$24*12,$D$4,E6,E7,0)),0,-CUMIPMT(0.00000000001/12,Assumptions!$B$24*12,$D$4,E6,E7,0)),IF(ISERROR(-CUMIPMT(Assumptions!$B$25/12,Assumptions!$B$24*12,$D$4,E6,E7,0)),0,-CUMIPMT(Assumptions!$B$25/12,Assumptions!$B$24*12,$D$4,E6,E7,0)))</f>
        <v>0</v>
      </c>
      <c r="F13" s="125">
        <f>IF(Assumptions!$B$25=0,IF(ISERROR(-CUMIPMT(0.00000000001/12,Assumptions!$B$24*12,$D$4,F6,F7,0)),0,-CUMIPMT(0.00000000001/12,Assumptions!$B$24*12,$D$4,F6,F7,0)),IF(ISERROR(-CUMIPMT(Assumptions!$B$25/12,Assumptions!$B$24*12,$D$4,F6,F7,0)),0,-CUMIPMT(Assumptions!$B$25/12,Assumptions!$B$24*12,$D$4,F6,F7,0)))</f>
        <v>0</v>
      </c>
      <c r="G13" s="125">
        <f>IF(Assumptions!$B$25=0,IF(ISERROR(-CUMIPMT(0.00000000001/12,Assumptions!$B$24*12,$D$4,G6,G7,0)),0,-CUMIPMT(0.00000000001/12,Assumptions!$B$24*12,$D$4,G6,G7,0)),IF(ISERROR(-CUMIPMT(Assumptions!$B$25/12,Assumptions!$B$24*12,$D$4,G6,G7,0)),0,-CUMIPMT(Assumptions!$B$25/12,Assumptions!$B$24*12,$D$4,G6,G7,0)))</f>
        <v>0</v>
      </c>
      <c r="H13" s="125">
        <f>IF(Assumptions!$B$25=0,IF(ISERROR(-CUMIPMT(0.00000000001/12,Assumptions!$B$24*12,$D$4,H6,H7,0)),0,-CUMIPMT(0.00000000001/12,Assumptions!$B$24*12,$D$4,H6,H7,0)),IF(ISERROR(-CUMIPMT(Assumptions!$B$25/12,Assumptions!$B$24*12,$D$4,H6,H7,0)),0,-CUMIPMT(Assumptions!$B$25/12,Assumptions!$B$24*12,$D$4,H6,H7,0)))</f>
        <v>0</v>
      </c>
      <c r="I13" s="125">
        <f>IF(Assumptions!$B$25=0,IF(ISERROR(-CUMIPMT(0.00000000001/12,Assumptions!$B$24*12,$D$4,I6,I7,0)),0,-CUMIPMT(0.00000000001/12,Assumptions!$B$24*12,$D$4,I6,I7,0)),IF(ISERROR(-CUMIPMT(Assumptions!$B$25/12,Assumptions!$B$24*12,$D$4,I6,I7,0)),0,-CUMIPMT(Assumptions!$B$25/12,Assumptions!$B$24*12,$D$4,I6,I7,0)))</f>
        <v>0</v>
      </c>
      <c r="J13" s="125">
        <f>IF(Assumptions!$B$25=0,IF(ISERROR(-CUMIPMT(0.00000000001/12,Assumptions!$B$24*12,$D$4,J6,J7,0)),0,-CUMIPMT(0.00000000001/12,Assumptions!$B$24*12,$D$4,J6,J7,0)),IF(ISERROR(-CUMIPMT(Assumptions!$B$25/12,Assumptions!$B$24*12,$D$4,J6,J7,0)),0,-CUMIPMT(Assumptions!$B$25/12,Assumptions!$B$24*12,$D$4,J6,J7,0)))</f>
        <v>0</v>
      </c>
      <c r="K13" s="125">
        <f>IF(Assumptions!$B$25=0,IF(ISERROR(-CUMIPMT(0.00000000001/12,Assumptions!$B$24*12,$D$4,K6,K7,0)),0,-CUMIPMT(0.00000000001/12,Assumptions!$B$24*12,$D$4,K6,K7,0)),IF(ISERROR(-CUMIPMT(Assumptions!$B$25/12,Assumptions!$B$24*12,$D$4,K6,K7,0)),0,-CUMIPMT(Assumptions!$B$25/12,Assumptions!$B$24*12,$D$4,K6,K7,0)))</f>
        <v>0</v>
      </c>
      <c r="L13" s="125">
        <f>IF(Assumptions!$B$25=0,IF(ISERROR(-CUMIPMT(0.00000000001/12,Assumptions!$B$24*12,$D$4,L6,L7,0)),0,-CUMIPMT(0.00000000001/12,Assumptions!$B$24*12,$D$4,L6,L7,0)),IF(ISERROR(-CUMIPMT(Assumptions!$B$25/12,Assumptions!$B$24*12,$D$4,L6,L7,0)),0,-CUMIPMT(Assumptions!$B$25/12,Assumptions!$B$24*12,$D$4,L6,L7,0)))</f>
        <v>0</v>
      </c>
      <c r="M13" s="125">
        <f>IF(Assumptions!$B$25=0,IF(ISERROR(-CUMIPMT(0.00000000001/12,Assumptions!$B$24*12,$D$4,M6,M7,0)),0,-CUMIPMT(0.00000000001/12,Assumptions!$B$24*12,$D$4,M6,M7,0)),IF(ISERROR(-CUMIPMT(Assumptions!$B$25/12,Assumptions!$B$24*12,$D$4,M6,M7,0)),0,-CUMIPMT(Assumptions!$B$25/12,Assumptions!$B$24*12,$D$4,M6,M7,0)))</f>
        <v>0</v>
      </c>
      <c r="N13" s="125">
        <f>IF(Assumptions!$B$25=0,IF(ISERROR(-CUMIPMT(0.00000000001/12,Assumptions!$B$24*12,$D$4,N6,N7,0)),0,-CUMIPMT(0.00000000001/12,Assumptions!$B$24*12,$D$4,N6,N7,0)),IF(ISERROR(-CUMIPMT(Assumptions!$B$25/12,Assumptions!$B$24*12,$D$4,N6,N7,0)),0,-CUMIPMT(Assumptions!$B$25/12,Assumptions!$B$24*12,$D$4,N6,N7,0)))</f>
        <v>0</v>
      </c>
      <c r="O13" s="125">
        <f>IF(Assumptions!$B$25=0,IF(ISERROR(-CUMIPMT(0.00000000001/12,Assumptions!$B$24*12,$D$4,O6,O7,0)),0,-CUMIPMT(0.00000000001/12,Assumptions!$B$24*12,$D$4,O6,O7,0)),IF(ISERROR(-CUMIPMT(Assumptions!$B$25/12,Assumptions!$B$24*12,$D$4,O6,O7,0)),0,-CUMIPMT(Assumptions!$B$25/12,Assumptions!$B$24*12,$D$4,O6,O7,0)))</f>
        <v>0</v>
      </c>
      <c r="P13" s="123">
        <f t="shared" si="5"/>
        <v>0</v>
      </c>
    </row>
    <row r="14" spans="1:16" ht="15.75" x14ac:dyDescent="0.25">
      <c r="A14" s="237"/>
      <c r="B14" s="29" t="s">
        <v>0</v>
      </c>
      <c r="C14" s="24" t="s">
        <v>32</v>
      </c>
      <c r="D14" s="125">
        <f>-SUM(D12:D13)*Assumptions!L25</f>
        <v>0</v>
      </c>
      <c r="E14" s="125">
        <f>-SUM(E12:E13)*Assumptions!L26</f>
        <v>0</v>
      </c>
      <c r="F14" s="125">
        <f>-SUM(F12:F13)*Assumptions!L27</f>
        <v>0</v>
      </c>
      <c r="G14" s="125">
        <f>-SUM(G12:G13)*Assumptions!L28</f>
        <v>0</v>
      </c>
      <c r="H14" s="125">
        <f>-SUM(H12:H13)*Assumptions!L29</f>
        <v>0</v>
      </c>
      <c r="I14" s="125">
        <f>-SUM(I12:I13)*Assumptions!L30</f>
        <v>0</v>
      </c>
      <c r="J14" s="125">
        <f>-SUM(J12:J13)*Assumptions!L31</f>
        <v>0</v>
      </c>
      <c r="K14" s="125">
        <f>-SUM(K12:K13)*Assumptions!L32</f>
        <v>0</v>
      </c>
      <c r="L14" s="125">
        <f>-SUM(L12:L13)*Assumptions!L33</f>
        <v>0</v>
      </c>
      <c r="M14" s="125">
        <f>-SUM(M12:M13)*Assumptions!L34</f>
        <v>0</v>
      </c>
      <c r="N14" s="125">
        <f>-SUM(N12:N13)*Assumptions!L35</f>
        <v>0</v>
      </c>
      <c r="O14" s="125">
        <f>-SUM(O12:O13)*Assumptions!L36</f>
        <v>0</v>
      </c>
      <c r="P14" s="123">
        <f t="shared" si="5"/>
        <v>0</v>
      </c>
    </row>
    <row r="15" spans="1:16" ht="15.75" x14ac:dyDescent="0.25">
      <c r="A15" s="237"/>
      <c r="B15" s="4" t="s">
        <v>9</v>
      </c>
      <c r="C15" s="24" t="s">
        <v>10</v>
      </c>
      <c r="D15" s="127">
        <f>IF(ISERROR(Assumptions!$B$30*Calc!B$23),0,Assumptions!$B$30*Calc!B$23)</f>
        <v>0</v>
      </c>
      <c r="E15" s="127">
        <f>IF(ISERROR(Assumptions!$B$30*Calc!C$23),0,Assumptions!$B$30*Calc!C$23)</f>
        <v>0</v>
      </c>
      <c r="F15" s="127">
        <f>IF(ISERROR(Assumptions!$B$30*Calc!D$23),0,Assumptions!$B$30*Calc!D$23)</f>
        <v>0</v>
      </c>
      <c r="G15" s="127">
        <f>IF(ISERROR(Assumptions!$B$30*Calc!E$23),0,Assumptions!$B$30*Calc!E$23)</f>
        <v>0</v>
      </c>
      <c r="H15" s="127">
        <f>IF(ISERROR(Assumptions!$B$30*Calc!F$23),0,Assumptions!$B$30*Calc!F$23)</f>
        <v>0</v>
      </c>
      <c r="I15" s="127">
        <f>IF(ISERROR(Assumptions!$B$30*Calc!G$23),0,Assumptions!$B$30*Calc!G$23)</f>
        <v>0</v>
      </c>
      <c r="J15" s="127">
        <f>IF(ISERROR(Assumptions!$B$30*Calc!H$23),0,Assumptions!$B$30*Calc!H$23)</f>
        <v>0</v>
      </c>
      <c r="K15" s="127">
        <f>IF(ISERROR(Assumptions!$B$30*Calc!I$23),0,Assumptions!$B$30*Calc!I$23)</f>
        <v>0</v>
      </c>
      <c r="L15" s="127">
        <f>IF(ISERROR(Assumptions!$B$30*Calc!J$23),0,Assumptions!$B$30*Calc!J$23)</f>
        <v>0</v>
      </c>
      <c r="M15" s="127">
        <f>IF(ISERROR(Assumptions!$B$30*Calc!K$23),0,Assumptions!$B$30*Calc!K$23)</f>
        <v>0</v>
      </c>
      <c r="N15" s="127">
        <f>IF(ISERROR(Assumptions!$B$30*Calc!L$23),0,Assumptions!$B$30*Calc!L$23)</f>
        <v>0</v>
      </c>
      <c r="O15" s="127">
        <f>IF(ISERROR(Assumptions!$B$30*Calc!M$23),0,Assumptions!$B$30*Calc!M$23)</f>
        <v>0</v>
      </c>
      <c r="P15" s="123">
        <f t="shared" si="5"/>
        <v>0</v>
      </c>
    </row>
    <row r="16" spans="1:16" ht="15.75" x14ac:dyDescent="0.25">
      <c r="A16" s="237"/>
      <c r="B16" s="4" t="s">
        <v>11</v>
      </c>
      <c r="C16" s="24" t="s">
        <v>6</v>
      </c>
      <c r="D16" s="127">
        <f>+D247*Assumptions!J25</f>
        <v>1559.3625</v>
      </c>
      <c r="E16" s="125">
        <f>+D252*Assumptions!J26</f>
        <v>1454.0876458333335</v>
      </c>
      <c r="F16" s="125">
        <f>+E252*Assumptions!J27</f>
        <v>4797.7561681250008</v>
      </c>
      <c r="G16" s="125">
        <f>+F252*Assumptions!J28</f>
        <v>9795.4260447093748</v>
      </c>
      <c r="H16" s="125">
        <f>+G252*Assumptions!J29</f>
        <v>-7768.4874014933102</v>
      </c>
      <c r="I16" s="125">
        <f>+H252*Assumptions!J30</f>
        <v>-37116.487313728976</v>
      </c>
      <c r="J16" s="125">
        <f>+I252*Assumptions!J31</f>
        <v>-89011.339919642342</v>
      </c>
      <c r="K16" s="125">
        <f>+J252*Assumptions!J32</f>
        <v>-107596.44694948333</v>
      </c>
      <c r="L16" s="125">
        <f>+K252*Assumptions!J33</f>
        <v>-156859.88343978254</v>
      </c>
      <c r="M16" s="125">
        <f>+L252*Assumptions!J34</f>
        <v>-175135.05329118355</v>
      </c>
      <c r="N16" s="125">
        <f>+M252*Assumptions!J35</f>
        <v>-219878.06916213769</v>
      </c>
      <c r="O16" s="125">
        <f>+N252*Assumptions!J36</f>
        <v>-212905.08984617374</v>
      </c>
      <c r="P16" s="123">
        <f t="shared" si="5"/>
        <v>-988664.2249649578</v>
      </c>
    </row>
    <row r="17" spans="1:16" ht="15.75" x14ac:dyDescent="0.25">
      <c r="B17" s="5"/>
      <c r="C17" s="24" t="s">
        <v>28</v>
      </c>
      <c r="D17" s="125">
        <f t="shared" ref="D17:M17" si="6">SUM(D10:D16)</f>
        <v>262319.52916666667</v>
      </c>
      <c r="E17" s="126">
        <f t="shared" si="6"/>
        <v>670055.08764583338</v>
      </c>
      <c r="F17" s="126">
        <f t="shared" si="6"/>
        <v>693456.78616812499</v>
      </c>
      <c r="G17" s="126">
        <f t="shared" si="6"/>
        <v>719114.22694470943</v>
      </c>
      <c r="H17" s="126">
        <f t="shared" si="6"/>
        <v>722829.87752550666</v>
      </c>
      <c r="I17" s="126">
        <f t="shared" si="6"/>
        <v>715399.82856108109</v>
      </c>
      <c r="J17" s="126">
        <f t="shared" si="6"/>
        <v>686080.46543141198</v>
      </c>
      <c r="K17" s="126">
        <f t="shared" si="6"/>
        <v>690748.11256210273</v>
      </c>
      <c r="L17" s="126">
        <f t="shared" si="6"/>
        <v>665435.0128571511</v>
      </c>
      <c r="M17" s="126">
        <f t="shared" si="6"/>
        <v>671828.68989465816</v>
      </c>
      <c r="N17" s="126">
        <f t="shared" ref="N17:O17" si="7">SUM(N10:N16)</f>
        <v>652494.58631927927</v>
      </c>
      <c r="O17" s="126">
        <f t="shared" si="7"/>
        <v>685638.74529968575</v>
      </c>
      <c r="P17" s="123">
        <f t="shared" si="5"/>
        <v>7835400.9483762123</v>
      </c>
    </row>
    <row r="18" spans="1:16" ht="15" x14ac:dyDescent="0.2">
      <c r="B18" s="8"/>
      <c r="C18" s="25"/>
      <c r="D18" s="6"/>
      <c r="E18" s="6"/>
      <c r="F18" s="6"/>
      <c r="G18" s="6"/>
      <c r="H18" s="6"/>
      <c r="I18" s="6"/>
      <c r="J18" s="6"/>
      <c r="K18" s="6"/>
      <c r="L18" s="6"/>
      <c r="M18" s="6"/>
      <c r="N18" s="6"/>
      <c r="O18" s="6"/>
      <c r="P18" s="6"/>
    </row>
    <row r="19" spans="1:16" ht="15" hidden="1" x14ac:dyDescent="0.2">
      <c r="B19" s="8"/>
      <c r="C19" s="25"/>
      <c r="D19" s="6">
        <f>+D5</f>
        <v>0</v>
      </c>
      <c r="E19" s="6">
        <f t="shared" ref="E19:O19" si="8">+E5</f>
        <v>1</v>
      </c>
      <c r="F19" s="6">
        <f t="shared" si="8"/>
        <v>2</v>
      </c>
      <c r="G19" s="6">
        <f t="shared" si="8"/>
        <v>3</v>
      </c>
      <c r="H19" s="6">
        <f t="shared" si="8"/>
        <v>4</v>
      </c>
      <c r="I19" s="6">
        <f t="shared" si="8"/>
        <v>5</v>
      </c>
      <c r="J19" s="6">
        <f t="shared" si="8"/>
        <v>6</v>
      </c>
      <c r="K19" s="6">
        <f t="shared" si="8"/>
        <v>7</v>
      </c>
      <c r="L19" s="6">
        <f t="shared" si="8"/>
        <v>8</v>
      </c>
      <c r="M19" s="6">
        <f t="shared" si="8"/>
        <v>9</v>
      </c>
      <c r="N19" s="6">
        <f t="shared" si="8"/>
        <v>10</v>
      </c>
      <c r="O19" s="6">
        <f t="shared" si="8"/>
        <v>11</v>
      </c>
      <c r="P19" s="6"/>
    </row>
    <row r="20" spans="1:16" ht="15" hidden="1" x14ac:dyDescent="0.2">
      <c r="B20" s="8"/>
      <c r="C20" s="25"/>
      <c r="D20" s="6">
        <f>IF(YEAR(Assumptions!B32)&gt;LEFT(D9,4)*1,0,1)</f>
        <v>1</v>
      </c>
      <c r="E20" s="6">
        <f>+D21+1</f>
        <v>1389</v>
      </c>
      <c r="F20" s="6">
        <f t="shared" ref="F20:O20" si="9">+E21+1</f>
        <v>1</v>
      </c>
      <c r="G20" s="6">
        <f t="shared" si="9"/>
        <v>1</v>
      </c>
      <c r="H20" s="6">
        <f t="shared" si="9"/>
        <v>1</v>
      </c>
      <c r="I20" s="6">
        <f t="shared" si="9"/>
        <v>1</v>
      </c>
      <c r="J20" s="6">
        <f t="shared" si="9"/>
        <v>1</v>
      </c>
      <c r="K20" s="6">
        <f t="shared" si="9"/>
        <v>1</v>
      </c>
      <c r="L20" s="6">
        <f t="shared" si="9"/>
        <v>1</v>
      </c>
      <c r="M20" s="6">
        <f t="shared" si="9"/>
        <v>1</v>
      </c>
      <c r="N20" s="6">
        <f t="shared" si="9"/>
        <v>1</v>
      </c>
      <c r="O20" s="6">
        <f t="shared" si="9"/>
        <v>1</v>
      </c>
      <c r="P20" s="6"/>
    </row>
    <row r="21" spans="1:16" ht="15" hidden="1" x14ac:dyDescent="0.2">
      <c r="B21" s="8"/>
      <c r="C21" s="25"/>
      <c r="D21" s="6">
        <f>IF(D20=0,0,ROUND(((IF(YEAR(Assumptions!D8)&lt;YEAR(Assumptions!B32),(Assumptions!D8+365)-Assumptions!B32,Assumptions!D8-Assumptions!B32))/30),0))</f>
        <v>1388</v>
      </c>
      <c r="E21" s="6">
        <f>IF(D21=0,ROUND(((IF(YEAR(Assumptions!D8)&lt;YEAR(Assumptions!B32),(Assumptions!D8+365)-Assumptions!B32,Assumptions!D8-Assumptions!B32))/30),0),IF(Assumptions!$B$36*12&gt;D21+12,D21+12,Assumptions!$B$36*12))</f>
        <v>0</v>
      </c>
      <c r="F21" s="6">
        <f>IF(Assumptions!$B$36*12&gt;E21+12,E21+12,Assumptions!$B$36*12)</f>
        <v>0</v>
      </c>
      <c r="G21" s="6">
        <f>IF(Assumptions!$B$36*12&gt;F21+12,F21+12,Assumptions!$B$36*12)</f>
        <v>0</v>
      </c>
      <c r="H21" s="6">
        <f>IF(Assumptions!$B$36*12&gt;G21+12,G21+12,Assumptions!$B$36*12)</f>
        <v>0</v>
      </c>
      <c r="I21" s="6">
        <f>IF(Assumptions!$B$36*12&gt;H21+12,H21+12,Assumptions!$B$36*12)</f>
        <v>0</v>
      </c>
      <c r="J21" s="6">
        <f>IF(Assumptions!$B$36*12&gt;I21+12,I21+12,Assumptions!$B$36*12)</f>
        <v>0</v>
      </c>
      <c r="K21" s="6">
        <f>IF(Assumptions!$B$36*12&gt;J21+12,J21+12,Assumptions!$B$36*12)</f>
        <v>0</v>
      </c>
      <c r="L21" s="6">
        <f>IF(Assumptions!$B$36*12&gt;K21+12,K21+12,Assumptions!$B$36*12)</f>
        <v>0</v>
      </c>
      <c r="M21" s="6">
        <f>IF(Assumptions!$B$36*12&gt;L21+12,L21+12,Assumptions!$B$36*12)</f>
        <v>0</v>
      </c>
      <c r="N21" s="6">
        <f>IF(Assumptions!$B$36*12&gt;M21+12,M21+12,Assumptions!$B$36*12)</f>
        <v>0</v>
      </c>
      <c r="O21" s="6">
        <f>IF(Assumptions!$B$36*12&gt;N21+12,N21+12,Assumptions!$B$36*12)</f>
        <v>0</v>
      </c>
      <c r="P21" s="6"/>
    </row>
    <row r="22" spans="1:16" ht="18" x14ac:dyDescent="0.25">
      <c r="B22" s="1"/>
      <c r="C22" s="26"/>
      <c r="D22" s="1"/>
      <c r="E22" s="1"/>
      <c r="F22" s="1"/>
      <c r="G22" s="1"/>
      <c r="H22" s="1"/>
      <c r="I22" s="1"/>
      <c r="J22" s="1"/>
      <c r="K22" s="1"/>
      <c r="L22" s="1"/>
      <c r="M22" s="1"/>
      <c r="N22" s="57"/>
      <c r="O22" s="57"/>
      <c r="P22" s="120"/>
    </row>
    <row r="23" spans="1:16" ht="15.75" x14ac:dyDescent="0.25">
      <c r="A23" s="238" t="s">
        <v>12</v>
      </c>
      <c r="B23" s="2" t="s">
        <v>2</v>
      </c>
      <c r="C23" s="23" t="s">
        <v>3</v>
      </c>
      <c r="D23" s="3" t="str">
        <f>+D9</f>
        <v>2013 Budget</v>
      </c>
      <c r="E23" s="3">
        <f t="shared" ref="E23:M23" si="10">+E9</f>
        <v>2014</v>
      </c>
      <c r="F23" s="3">
        <f t="shared" si="10"/>
        <v>2015</v>
      </c>
      <c r="G23" s="3">
        <f t="shared" si="10"/>
        <v>2016</v>
      </c>
      <c r="H23" s="3">
        <f t="shared" si="10"/>
        <v>2017</v>
      </c>
      <c r="I23" s="3">
        <f t="shared" si="10"/>
        <v>2018</v>
      </c>
      <c r="J23" s="3">
        <f t="shared" si="10"/>
        <v>2019</v>
      </c>
      <c r="K23" s="3">
        <f t="shared" si="10"/>
        <v>2020</v>
      </c>
      <c r="L23" s="3">
        <f t="shared" si="10"/>
        <v>2021</v>
      </c>
      <c r="M23" s="3">
        <f t="shared" si="10"/>
        <v>2022</v>
      </c>
      <c r="N23" s="3">
        <f>+M23+1</f>
        <v>2023</v>
      </c>
      <c r="O23" s="3">
        <f>+N23+1</f>
        <v>2024</v>
      </c>
      <c r="P23" s="3" t="s">
        <v>23</v>
      </c>
    </row>
    <row r="24" spans="1:16" ht="15.75" x14ac:dyDescent="0.25">
      <c r="A24" s="239"/>
      <c r="B24" s="4"/>
      <c r="C24" s="3" t="s">
        <v>610</v>
      </c>
      <c r="D24" s="183"/>
      <c r="E24" s="184"/>
      <c r="F24" s="184"/>
      <c r="G24" s="184"/>
      <c r="H24" s="184"/>
      <c r="I24" s="184"/>
      <c r="J24" s="184"/>
      <c r="K24" s="184"/>
      <c r="L24" s="184"/>
      <c r="M24" s="184"/>
      <c r="N24" s="184"/>
      <c r="O24" s="184"/>
      <c r="P24" s="124">
        <v>0</v>
      </c>
    </row>
    <row r="25" spans="1:16" ht="15.75" x14ac:dyDescent="0.25">
      <c r="A25" s="239"/>
      <c r="B25" s="4"/>
      <c r="C25" s="182" t="s">
        <v>611</v>
      </c>
      <c r="D25" s="183"/>
      <c r="E25" s="184"/>
      <c r="F25" s="184"/>
      <c r="G25" s="184"/>
      <c r="H25" s="184"/>
      <c r="I25" s="184"/>
      <c r="J25" s="184"/>
      <c r="K25" s="184"/>
      <c r="L25" s="184"/>
      <c r="M25" s="184"/>
      <c r="N25" s="184"/>
      <c r="O25" s="184"/>
      <c r="P25" s="124">
        <f t="shared" ref="P25:P88" si="11">IF(SUM(D25:O25)=0,0,SUM(D25:O25))</f>
        <v>0</v>
      </c>
    </row>
    <row r="26" spans="1:16" ht="15.75" x14ac:dyDescent="0.25">
      <c r="A26" s="239"/>
      <c r="B26" s="4"/>
      <c r="C26" s="182" t="s">
        <v>612</v>
      </c>
      <c r="D26" s="185"/>
      <c r="E26" s="184"/>
      <c r="F26" s="184"/>
      <c r="G26" s="184"/>
      <c r="H26" s="184"/>
      <c r="I26" s="184"/>
      <c r="J26" s="184"/>
      <c r="K26" s="184"/>
      <c r="L26" s="184"/>
      <c r="M26" s="184"/>
      <c r="N26" s="184"/>
      <c r="O26" s="184"/>
      <c r="P26" s="124">
        <f t="shared" si="11"/>
        <v>0</v>
      </c>
    </row>
    <row r="27" spans="1:16" ht="15.75" x14ac:dyDescent="0.25">
      <c r="A27" s="239"/>
      <c r="B27" s="4"/>
      <c r="C27" s="182" t="s">
        <v>613</v>
      </c>
      <c r="D27" s="185"/>
      <c r="E27" s="184"/>
      <c r="F27" s="184"/>
      <c r="G27" s="184"/>
      <c r="H27" s="184"/>
      <c r="I27" s="184"/>
      <c r="J27" s="184"/>
      <c r="K27" s="184"/>
      <c r="L27" s="184"/>
      <c r="M27" s="184"/>
      <c r="N27" s="184"/>
      <c r="O27" s="184"/>
      <c r="P27" s="124">
        <f t="shared" si="11"/>
        <v>0</v>
      </c>
    </row>
    <row r="28" spans="1:16" ht="15.75" x14ac:dyDescent="0.25">
      <c r="A28" s="239"/>
      <c r="B28" s="4"/>
      <c r="C28" s="182" t="s">
        <v>614</v>
      </c>
      <c r="D28" s="185"/>
      <c r="E28" s="184"/>
      <c r="F28" s="184"/>
      <c r="G28" s="184"/>
      <c r="H28" s="184"/>
      <c r="I28" s="184"/>
      <c r="J28" s="184"/>
      <c r="K28" s="184"/>
      <c r="L28" s="184"/>
      <c r="M28" s="184"/>
      <c r="N28" s="184"/>
      <c r="O28" s="184"/>
      <c r="P28" s="124">
        <f t="shared" si="11"/>
        <v>0</v>
      </c>
    </row>
    <row r="29" spans="1:16" ht="15.75" x14ac:dyDescent="0.25">
      <c r="A29" s="239"/>
      <c r="B29" s="4"/>
      <c r="C29" s="182" t="s">
        <v>615</v>
      </c>
      <c r="D29" s="185"/>
      <c r="E29" s="184"/>
      <c r="F29" s="184"/>
      <c r="G29" s="184"/>
      <c r="H29" s="184"/>
      <c r="I29" s="184"/>
      <c r="J29" s="184"/>
      <c r="K29" s="184"/>
      <c r="L29" s="184"/>
      <c r="M29" s="184"/>
      <c r="N29" s="184"/>
      <c r="O29" s="184"/>
      <c r="P29" s="124">
        <f t="shared" si="11"/>
        <v>0</v>
      </c>
    </row>
    <row r="30" spans="1:16" ht="15.75" x14ac:dyDescent="0.25">
      <c r="A30" s="239"/>
      <c r="B30" s="4"/>
      <c r="C30" s="182" t="s">
        <v>822</v>
      </c>
      <c r="D30" s="185"/>
      <c r="E30" s="184"/>
      <c r="F30" s="184"/>
      <c r="G30" s="184"/>
      <c r="H30" s="184"/>
      <c r="I30" s="184"/>
      <c r="J30" s="184"/>
      <c r="K30" s="184"/>
      <c r="L30" s="184"/>
      <c r="M30" s="184"/>
      <c r="N30" s="184"/>
      <c r="O30" s="184"/>
      <c r="P30" s="124">
        <f t="shared" si="11"/>
        <v>0</v>
      </c>
    </row>
    <row r="31" spans="1:16" ht="15.75" x14ac:dyDescent="0.25">
      <c r="A31" s="239"/>
      <c r="B31" s="4"/>
      <c r="C31" s="182" t="s">
        <v>616</v>
      </c>
      <c r="D31" s="185"/>
      <c r="E31" s="184"/>
      <c r="F31" s="184"/>
      <c r="G31" s="184"/>
      <c r="H31" s="184"/>
      <c r="I31" s="184">
        <v>1023820</v>
      </c>
      <c r="J31" s="184"/>
      <c r="K31" s="184"/>
      <c r="L31" s="184"/>
      <c r="M31" s="184"/>
      <c r="N31" s="184"/>
      <c r="O31" s="184"/>
      <c r="P31" s="124">
        <f t="shared" si="11"/>
        <v>1023820</v>
      </c>
    </row>
    <row r="32" spans="1:16" ht="15.75" x14ac:dyDescent="0.25">
      <c r="A32" s="239"/>
      <c r="B32" s="4"/>
      <c r="C32" s="182" t="s">
        <v>617</v>
      </c>
      <c r="D32" s="185"/>
      <c r="E32" s="184"/>
      <c r="F32" s="184"/>
      <c r="G32" s="184"/>
      <c r="H32" s="184"/>
      <c r="I32" s="184"/>
      <c r="J32" s="184"/>
      <c r="K32" s="184">
        <v>46150</v>
      </c>
      <c r="L32" s="184"/>
      <c r="M32" s="184"/>
      <c r="N32" s="184"/>
      <c r="O32" s="184"/>
      <c r="P32" s="124">
        <f t="shared" si="11"/>
        <v>46150</v>
      </c>
    </row>
    <row r="33" spans="1:16" ht="15.75" x14ac:dyDescent="0.25">
      <c r="A33" s="239"/>
      <c r="B33" s="4"/>
      <c r="C33" s="182" t="s">
        <v>618</v>
      </c>
      <c r="D33" s="185"/>
      <c r="E33" s="184">
        <v>120000</v>
      </c>
      <c r="F33" s="184"/>
      <c r="G33" s="184"/>
      <c r="H33" s="184"/>
      <c r="I33" s="184"/>
      <c r="J33" s="184">
        <v>384660</v>
      </c>
      <c r="K33" s="184">
        <v>571410</v>
      </c>
      <c r="L33" s="184">
        <v>134413</v>
      </c>
      <c r="M33" s="184">
        <v>457398</v>
      </c>
      <c r="N33" s="184">
        <v>0</v>
      </c>
      <c r="O33" s="184"/>
      <c r="P33" s="124">
        <f t="shared" si="11"/>
        <v>1667881</v>
      </c>
    </row>
    <row r="34" spans="1:16" ht="15.75" x14ac:dyDescent="0.25">
      <c r="A34" s="239"/>
      <c r="B34" s="4"/>
      <c r="C34" s="182" t="s">
        <v>619</v>
      </c>
      <c r="D34" s="185"/>
      <c r="E34" s="184"/>
      <c r="F34" s="184"/>
      <c r="G34" s="184"/>
      <c r="H34" s="184"/>
      <c r="I34" s="184"/>
      <c r="J34" s="184"/>
      <c r="K34" s="184"/>
      <c r="L34" s="184"/>
      <c r="M34" s="184"/>
      <c r="N34" s="184"/>
      <c r="O34" s="184"/>
      <c r="P34" s="124">
        <f t="shared" si="11"/>
        <v>0</v>
      </c>
    </row>
    <row r="35" spans="1:16" ht="15.75" x14ac:dyDescent="0.25">
      <c r="A35" s="239"/>
      <c r="B35" s="4"/>
      <c r="C35" s="182" t="s">
        <v>620</v>
      </c>
      <c r="D35" s="183"/>
      <c r="E35" s="184"/>
      <c r="F35" s="184"/>
      <c r="G35" s="184"/>
      <c r="H35" s="184"/>
      <c r="I35" s="184"/>
      <c r="J35" s="184">
        <v>50460</v>
      </c>
      <c r="K35" s="184"/>
      <c r="L35" s="184"/>
      <c r="M35" s="184"/>
      <c r="N35" s="184"/>
      <c r="O35" s="184"/>
      <c r="P35" s="124">
        <f t="shared" si="11"/>
        <v>50460</v>
      </c>
    </row>
    <row r="36" spans="1:16" ht="15.75" x14ac:dyDescent="0.25">
      <c r="A36" s="239"/>
      <c r="B36" s="4"/>
      <c r="C36" s="182" t="s">
        <v>621</v>
      </c>
      <c r="D36" s="183"/>
      <c r="E36" s="184"/>
      <c r="F36" s="184"/>
      <c r="G36" s="184"/>
      <c r="H36" s="184"/>
      <c r="I36" s="184"/>
      <c r="J36" s="184"/>
      <c r="K36" s="184"/>
      <c r="L36" s="184"/>
      <c r="M36" s="184"/>
      <c r="N36" s="184"/>
      <c r="O36" s="184"/>
      <c r="P36" s="124">
        <f t="shared" si="11"/>
        <v>0</v>
      </c>
    </row>
    <row r="37" spans="1:16" ht="15.75" x14ac:dyDescent="0.25">
      <c r="A37" s="239"/>
      <c r="B37" s="4"/>
      <c r="C37" s="182" t="s">
        <v>622</v>
      </c>
      <c r="D37" s="183"/>
      <c r="E37" s="184"/>
      <c r="F37" s="184"/>
      <c r="G37" s="184"/>
      <c r="H37" s="184"/>
      <c r="I37" s="184"/>
      <c r="J37" s="184"/>
      <c r="K37" s="184"/>
      <c r="L37" s="184"/>
      <c r="M37" s="184"/>
      <c r="N37" s="184"/>
      <c r="O37" s="184"/>
      <c r="P37" s="124">
        <f t="shared" si="11"/>
        <v>0</v>
      </c>
    </row>
    <row r="38" spans="1:16" ht="15.75" x14ac:dyDescent="0.25">
      <c r="A38" s="239"/>
      <c r="B38" s="4"/>
      <c r="C38" s="182" t="s">
        <v>623</v>
      </c>
      <c r="D38" s="183"/>
      <c r="E38" s="184"/>
      <c r="F38" s="184"/>
      <c r="G38" s="184"/>
      <c r="H38" s="184"/>
      <c r="I38" s="184"/>
      <c r="J38" s="184"/>
      <c r="K38" s="184"/>
      <c r="L38" s="184"/>
      <c r="M38" s="184"/>
      <c r="N38" s="184"/>
      <c r="O38" s="184"/>
      <c r="P38" s="124">
        <f t="shared" si="11"/>
        <v>0</v>
      </c>
    </row>
    <row r="39" spans="1:16" ht="15.75" x14ac:dyDescent="0.25">
      <c r="A39" s="239"/>
      <c r="B39" s="4"/>
      <c r="C39" s="182" t="s">
        <v>624</v>
      </c>
      <c r="D39" s="183"/>
      <c r="E39" s="184"/>
      <c r="F39" s="184"/>
      <c r="G39" s="184"/>
      <c r="H39" s="184"/>
      <c r="I39" s="184"/>
      <c r="J39" s="184"/>
      <c r="K39" s="184"/>
      <c r="L39" s="184"/>
      <c r="M39" s="184"/>
      <c r="N39" s="184"/>
      <c r="O39" s="184"/>
      <c r="P39" s="124">
        <f t="shared" si="11"/>
        <v>0</v>
      </c>
    </row>
    <row r="40" spans="1:16" ht="15.75" x14ac:dyDescent="0.25">
      <c r="A40" s="239"/>
      <c r="B40" s="4"/>
      <c r="C40" s="182" t="s">
        <v>625</v>
      </c>
      <c r="D40" s="183"/>
      <c r="E40" s="184"/>
      <c r="F40" s="184"/>
      <c r="G40" s="184"/>
      <c r="H40" s="184"/>
      <c r="I40" s="184"/>
      <c r="J40" s="184"/>
      <c r="K40" s="184"/>
      <c r="L40" s="184"/>
      <c r="M40" s="184"/>
      <c r="N40" s="184"/>
      <c r="O40" s="184"/>
      <c r="P40" s="124">
        <f t="shared" si="11"/>
        <v>0</v>
      </c>
    </row>
    <row r="41" spans="1:16" ht="15.75" x14ac:dyDescent="0.25">
      <c r="A41" s="239"/>
      <c r="B41" s="4"/>
      <c r="C41" s="182" t="s">
        <v>626</v>
      </c>
      <c r="D41" s="183"/>
      <c r="E41" s="184"/>
      <c r="F41" s="184"/>
      <c r="G41" s="184"/>
      <c r="H41" s="184"/>
      <c r="I41" s="184"/>
      <c r="J41" s="184"/>
      <c r="K41" s="184"/>
      <c r="L41" s="184"/>
      <c r="M41" s="184">
        <v>30445</v>
      </c>
      <c r="N41" s="184"/>
      <c r="O41" s="184"/>
      <c r="P41" s="124">
        <f t="shared" si="11"/>
        <v>30445</v>
      </c>
    </row>
    <row r="42" spans="1:16" ht="15.75" x14ac:dyDescent="0.25">
      <c r="A42" s="239"/>
      <c r="B42" s="4"/>
      <c r="C42" s="182" t="s">
        <v>627</v>
      </c>
      <c r="D42" s="183"/>
      <c r="E42" s="184"/>
      <c r="F42" s="184"/>
      <c r="G42" s="184"/>
      <c r="H42" s="184"/>
      <c r="I42" s="184"/>
      <c r="J42" s="184"/>
      <c r="K42" s="184"/>
      <c r="L42" s="184"/>
      <c r="M42" s="184"/>
      <c r="N42" s="184"/>
      <c r="O42" s="184"/>
      <c r="P42" s="124">
        <f t="shared" si="11"/>
        <v>0</v>
      </c>
    </row>
    <row r="43" spans="1:16" ht="15.75" x14ac:dyDescent="0.25">
      <c r="A43" s="239"/>
      <c r="B43" s="4"/>
      <c r="C43" s="182" t="s">
        <v>628</v>
      </c>
      <c r="D43" s="183"/>
      <c r="E43" s="184">
        <v>27835</v>
      </c>
      <c r="F43" s="184"/>
      <c r="G43" s="184"/>
      <c r="H43" s="184"/>
      <c r="I43" s="184"/>
      <c r="J43" s="184"/>
      <c r="K43" s="184"/>
      <c r="L43" s="184"/>
      <c r="M43" s="184"/>
      <c r="N43" s="184"/>
      <c r="O43" s="184"/>
      <c r="P43" s="124">
        <f t="shared" si="11"/>
        <v>27835</v>
      </c>
    </row>
    <row r="44" spans="1:16" ht="15.75" x14ac:dyDescent="0.25">
      <c r="A44" s="239"/>
      <c r="B44" s="4"/>
      <c r="C44" s="182" t="s">
        <v>629</v>
      </c>
      <c r="D44" s="183"/>
      <c r="E44" s="184"/>
      <c r="F44" s="184"/>
      <c r="G44" s="184"/>
      <c r="H44" s="184"/>
      <c r="I44" s="184"/>
      <c r="J44" s="184"/>
      <c r="K44" s="184"/>
      <c r="L44" s="184"/>
      <c r="M44" s="184"/>
      <c r="N44" s="184"/>
      <c r="O44" s="184"/>
      <c r="P44" s="124">
        <f t="shared" si="11"/>
        <v>0</v>
      </c>
    </row>
    <row r="45" spans="1:16" ht="15.75" x14ac:dyDescent="0.25">
      <c r="A45" s="239"/>
      <c r="B45" s="4"/>
      <c r="C45" s="182" t="s">
        <v>630</v>
      </c>
      <c r="D45" s="183"/>
      <c r="E45" s="184"/>
      <c r="F45" s="184"/>
      <c r="G45" s="184"/>
      <c r="H45" s="184"/>
      <c r="I45" s="184"/>
      <c r="J45" s="184"/>
      <c r="K45" s="184"/>
      <c r="L45" s="184"/>
      <c r="M45" s="184"/>
      <c r="N45" s="184"/>
      <c r="O45" s="184"/>
      <c r="P45" s="124">
        <f t="shared" si="11"/>
        <v>0</v>
      </c>
    </row>
    <row r="46" spans="1:16" ht="15.75" x14ac:dyDescent="0.25">
      <c r="A46" s="239"/>
      <c r="B46" s="4"/>
      <c r="C46" s="182" t="s">
        <v>631</v>
      </c>
      <c r="D46" s="183"/>
      <c r="E46" s="184"/>
      <c r="F46" s="184"/>
      <c r="G46" s="184"/>
      <c r="H46" s="184"/>
      <c r="I46" s="184"/>
      <c r="J46" s="184"/>
      <c r="K46" s="184"/>
      <c r="L46" s="184"/>
      <c r="M46" s="184"/>
      <c r="N46" s="184"/>
      <c r="O46" s="184"/>
      <c r="P46" s="124">
        <f t="shared" si="11"/>
        <v>0</v>
      </c>
    </row>
    <row r="47" spans="1:16" ht="15.75" x14ac:dyDescent="0.25">
      <c r="A47" s="239"/>
      <c r="B47" s="4"/>
      <c r="C47" s="182" t="s">
        <v>632</v>
      </c>
      <c r="D47" s="183"/>
      <c r="E47" s="184"/>
      <c r="F47" s="184"/>
      <c r="G47" s="184"/>
      <c r="H47" s="184"/>
      <c r="I47" s="184"/>
      <c r="J47" s="184"/>
      <c r="K47" s="184"/>
      <c r="L47" s="184"/>
      <c r="M47" s="184"/>
      <c r="N47" s="184">
        <v>30456</v>
      </c>
      <c r="O47" s="184"/>
      <c r="P47" s="124">
        <f t="shared" si="11"/>
        <v>30456</v>
      </c>
    </row>
    <row r="48" spans="1:16" ht="15.75" x14ac:dyDescent="0.25">
      <c r="A48" s="239"/>
      <c r="B48" s="4"/>
      <c r="C48" s="182" t="s">
        <v>633</v>
      </c>
      <c r="D48" s="183"/>
      <c r="E48" s="184"/>
      <c r="F48" s="184"/>
      <c r="G48" s="184"/>
      <c r="H48" s="184"/>
      <c r="I48" s="184"/>
      <c r="J48" s="184"/>
      <c r="K48" s="184"/>
      <c r="L48" s="184"/>
      <c r="M48" s="184"/>
      <c r="N48" s="184"/>
      <c r="O48" s="184"/>
      <c r="P48" s="124">
        <f t="shared" si="11"/>
        <v>0</v>
      </c>
    </row>
    <row r="49" spans="1:16" ht="15.75" x14ac:dyDescent="0.25">
      <c r="A49" s="239"/>
      <c r="B49" s="4"/>
      <c r="C49" s="182" t="s">
        <v>634</v>
      </c>
      <c r="D49" s="183"/>
      <c r="E49" s="184"/>
      <c r="F49" s="184"/>
      <c r="G49" s="184"/>
      <c r="H49" s="184"/>
      <c r="I49" s="184"/>
      <c r="J49" s="184"/>
      <c r="K49" s="184"/>
      <c r="L49" s="184"/>
      <c r="M49" s="184"/>
      <c r="N49" s="184"/>
      <c r="O49" s="184"/>
      <c r="P49" s="124">
        <f t="shared" si="11"/>
        <v>0</v>
      </c>
    </row>
    <row r="50" spans="1:16" ht="15.75" x14ac:dyDescent="0.25">
      <c r="A50" s="239"/>
      <c r="B50" s="4"/>
      <c r="C50" s="182" t="s">
        <v>635</v>
      </c>
      <c r="D50" s="183"/>
      <c r="E50" s="184"/>
      <c r="F50" s="184"/>
      <c r="G50" s="184"/>
      <c r="H50" s="184"/>
      <c r="I50" s="184"/>
      <c r="J50" s="184"/>
      <c r="K50" s="184"/>
      <c r="L50" s="184"/>
      <c r="M50" s="184"/>
      <c r="N50" s="184"/>
      <c r="O50" s="184"/>
      <c r="P50" s="124">
        <f t="shared" si="11"/>
        <v>0</v>
      </c>
    </row>
    <row r="51" spans="1:16" ht="15.75" x14ac:dyDescent="0.25">
      <c r="A51" s="239"/>
      <c r="B51" s="4"/>
      <c r="C51" s="182" t="s">
        <v>636</v>
      </c>
      <c r="D51" s="183"/>
      <c r="E51" s="184"/>
      <c r="F51" s="184"/>
      <c r="G51" s="184"/>
      <c r="H51" s="184"/>
      <c r="I51" s="184"/>
      <c r="J51" s="184"/>
      <c r="K51" s="184"/>
      <c r="L51" s="184"/>
      <c r="M51" s="184"/>
      <c r="N51" s="184"/>
      <c r="O51" s="184"/>
      <c r="P51" s="124">
        <f t="shared" si="11"/>
        <v>0</v>
      </c>
    </row>
    <row r="52" spans="1:16" ht="15.75" x14ac:dyDescent="0.25">
      <c r="A52" s="239"/>
      <c r="B52" s="4"/>
      <c r="C52" s="182" t="s">
        <v>637</v>
      </c>
      <c r="D52" s="186"/>
      <c r="E52" s="184"/>
      <c r="F52" s="184"/>
      <c r="G52" s="184"/>
      <c r="H52" s="184"/>
      <c r="I52" s="184"/>
      <c r="J52" s="184"/>
      <c r="K52" s="184"/>
      <c r="L52" s="184"/>
      <c r="M52" s="184"/>
      <c r="N52" s="184"/>
      <c r="O52" s="184"/>
      <c r="P52" s="124">
        <f t="shared" si="11"/>
        <v>0</v>
      </c>
    </row>
    <row r="53" spans="1:16" ht="15.75" x14ac:dyDescent="0.25">
      <c r="A53" s="239"/>
      <c r="B53" s="4"/>
      <c r="C53" s="182" t="s">
        <v>638</v>
      </c>
      <c r="D53" s="186"/>
      <c r="E53" s="184"/>
      <c r="F53" s="184"/>
      <c r="G53" s="184"/>
      <c r="H53" s="184"/>
      <c r="I53" s="184"/>
      <c r="J53" s="184"/>
      <c r="K53" s="184"/>
      <c r="L53" s="184"/>
      <c r="M53" s="184"/>
      <c r="N53" s="184">
        <v>41516</v>
      </c>
      <c r="O53" s="184"/>
      <c r="P53" s="124">
        <f t="shared" si="11"/>
        <v>41516</v>
      </c>
    </row>
    <row r="54" spans="1:16" ht="15.75" x14ac:dyDescent="0.25">
      <c r="A54" s="239"/>
      <c r="B54" s="4"/>
      <c r="C54" s="182" t="s">
        <v>639</v>
      </c>
      <c r="D54" s="187"/>
      <c r="E54" s="184"/>
      <c r="F54" s="184"/>
      <c r="G54" s="184"/>
      <c r="H54" s="184"/>
      <c r="I54" s="184"/>
      <c r="J54" s="184"/>
      <c r="K54" s="184"/>
      <c r="L54" s="184"/>
      <c r="M54" s="184"/>
      <c r="N54" s="184"/>
      <c r="O54" s="184"/>
      <c r="P54" s="124">
        <f t="shared" si="11"/>
        <v>0</v>
      </c>
    </row>
    <row r="55" spans="1:16" ht="15.75" x14ac:dyDescent="0.25">
      <c r="A55" s="239"/>
      <c r="B55" s="4"/>
      <c r="C55" s="182" t="s">
        <v>640</v>
      </c>
      <c r="D55" s="186"/>
      <c r="E55" s="184"/>
      <c r="F55" s="184"/>
      <c r="G55" s="184"/>
      <c r="H55" s="184">
        <v>2076</v>
      </c>
      <c r="I55" s="184"/>
      <c r="J55" s="184"/>
      <c r="K55" s="184"/>
      <c r="L55" s="184"/>
      <c r="M55" s="184"/>
      <c r="N55" s="184"/>
      <c r="O55" s="184"/>
      <c r="P55" s="124">
        <f t="shared" si="11"/>
        <v>2076</v>
      </c>
    </row>
    <row r="56" spans="1:16" ht="15.75" x14ac:dyDescent="0.25">
      <c r="A56" s="239"/>
      <c r="B56" s="4"/>
      <c r="C56" s="182" t="s">
        <v>641</v>
      </c>
      <c r="D56" s="186"/>
      <c r="E56" s="184"/>
      <c r="F56" s="184"/>
      <c r="G56" s="184"/>
      <c r="H56" s="184"/>
      <c r="I56" s="184"/>
      <c r="J56" s="184"/>
      <c r="K56" s="184"/>
      <c r="L56" s="184"/>
      <c r="M56" s="184"/>
      <c r="N56" s="184"/>
      <c r="O56" s="184"/>
      <c r="P56" s="124">
        <f t="shared" si="11"/>
        <v>0</v>
      </c>
    </row>
    <row r="57" spans="1:16" ht="15.75" x14ac:dyDescent="0.25">
      <c r="A57" s="239"/>
      <c r="B57" s="4"/>
      <c r="C57" s="3" t="s">
        <v>642</v>
      </c>
      <c r="D57" s="186"/>
      <c r="E57" s="184"/>
      <c r="F57" s="184"/>
      <c r="G57" s="184"/>
      <c r="H57" s="184"/>
      <c r="I57" s="184"/>
      <c r="J57" s="184"/>
      <c r="K57" s="184"/>
      <c r="L57" s="184"/>
      <c r="M57" s="184"/>
      <c r="N57" s="184"/>
      <c r="O57" s="184"/>
      <c r="P57" s="124">
        <f t="shared" si="11"/>
        <v>0</v>
      </c>
    </row>
    <row r="58" spans="1:16" ht="15.75" x14ac:dyDescent="0.25">
      <c r="A58" s="239"/>
      <c r="B58" s="4"/>
      <c r="C58" s="182" t="s">
        <v>643</v>
      </c>
      <c r="D58" s="186"/>
      <c r="E58" s="184"/>
      <c r="F58" s="184"/>
      <c r="G58" s="184"/>
      <c r="H58" s="184"/>
      <c r="I58" s="184"/>
      <c r="J58" s="184"/>
      <c r="K58" s="184"/>
      <c r="L58" s="184"/>
      <c r="M58" s="184"/>
      <c r="N58" s="184"/>
      <c r="O58" s="184"/>
      <c r="P58" s="124">
        <f t="shared" si="11"/>
        <v>0</v>
      </c>
    </row>
    <row r="59" spans="1:16" ht="15.75" x14ac:dyDescent="0.25">
      <c r="A59" s="239"/>
      <c r="B59" s="4"/>
      <c r="C59" s="182" t="s">
        <v>644</v>
      </c>
      <c r="D59" s="186"/>
      <c r="E59" s="184">
        <v>5175</v>
      </c>
      <c r="F59" s="184"/>
      <c r="G59" s="184"/>
      <c r="H59" s="184"/>
      <c r="I59" s="184"/>
      <c r="J59" s="184"/>
      <c r="K59" s="184"/>
      <c r="L59" s="184"/>
      <c r="M59" s="184"/>
      <c r="N59" s="184"/>
      <c r="O59" s="184"/>
      <c r="P59" s="124">
        <f t="shared" si="11"/>
        <v>5175</v>
      </c>
    </row>
    <row r="60" spans="1:16" ht="15.75" x14ac:dyDescent="0.25">
      <c r="A60" s="239"/>
      <c r="B60" s="4"/>
      <c r="C60" s="182" t="s">
        <v>645</v>
      </c>
      <c r="D60" s="183"/>
      <c r="E60" s="184"/>
      <c r="F60" s="184"/>
      <c r="G60" s="184"/>
      <c r="H60" s="184"/>
      <c r="I60" s="184"/>
      <c r="J60" s="184"/>
      <c r="K60" s="184"/>
      <c r="L60" s="184"/>
      <c r="M60" s="184"/>
      <c r="N60" s="184"/>
      <c r="O60" s="184"/>
      <c r="P60" s="124">
        <f t="shared" si="11"/>
        <v>0</v>
      </c>
    </row>
    <row r="61" spans="1:16" ht="15.75" x14ac:dyDescent="0.25">
      <c r="A61" s="239"/>
      <c r="B61" s="4"/>
      <c r="C61" s="182" t="s">
        <v>646</v>
      </c>
      <c r="D61" s="183"/>
      <c r="E61" s="184"/>
      <c r="F61" s="184"/>
      <c r="G61" s="184"/>
      <c r="H61" s="184"/>
      <c r="I61" s="184"/>
      <c r="J61" s="184"/>
      <c r="K61" s="184"/>
      <c r="L61" s="184"/>
      <c r="M61" s="184"/>
      <c r="N61" s="184"/>
      <c r="O61" s="184"/>
      <c r="P61" s="124">
        <f t="shared" si="11"/>
        <v>0</v>
      </c>
    </row>
    <row r="62" spans="1:16" ht="15.75" x14ac:dyDescent="0.25">
      <c r="A62" s="239"/>
      <c r="B62" s="4"/>
      <c r="C62" s="182" t="s">
        <v>647</v>
      </c>
      <c r="D62" s="183">
        <v>26826</v>
      </c>
      <c r="E62" s="184"/>
      <c r="F62" s="184"/>
      <c r="G62" s="184"/>
      <c r="H62" s="184"/>
      <c r="I62" s="184"/>
      <c r="J62" s="184"/>
      <c r="K62" s="184"/>
      <c r="L62" s="184"/>
      <c r="M62" s="184"/>
      <c r="N62" s="184"/>
      <c r="O62" s="184"/>
      <c r="P62" s="124">
        <f t="shared" si="11"/>
        <v>26826</v>
      </c>
    </row>
    <row r="63" spans="1:16" ht="15.75" x14ac:dyDescent="0.25">
      <c r="A63" s="239"/>
      <c r="B63" s="4"/>
      <c r="C63" s="182" t="s">
        <v>648</v>
      </c>
      <c r="D63" s="183"/>
      <c r="E63" s="184"/>
      <c r="F63" s="184"/>
      <c r="G63" s="184"/>
      <c r="H63" s="184">
        <v>14465</v>
      </c>
      <c r="I63" s="184"/>
      <c r="J63" s="184"/>
      <c r="K63" s="184"/>
      <c r="L63" s="184"/>
      <c r="M63" s="184"/>
      <c r="N63" s="184"/>
      <c r="O63" s="184"/>
      <c r="P63" s="124">
        <f t="shared" si="11"/>
        <v>14465</v>
      </c>
    </row>
    <row r="64" spans="1:16" ht="15.75" x14ac:dyDescent="0.25">
      <c r="A64" s="239"/>
      <c r="B64" s="4"/>
      <c r="C64" s="182" t="s">
        <v>649</v>
      </c>
      <c r="D64" s="183"/>
      <c r="E64" s="184"/>
      <c r="F64" s="184"/>
      <c r="G64" s="184">
        <v>28930</v>
      </c>
      <c r="H64" s="184"/>
      <c r="I64" s="184"/>
      <c r="J64" s="184"/>
      <c r="K64" s="184"/>
      <c r="L64" s="184"/>
      <c r="M64" s="184"/>
      <c r="N64" s="184"/>
      <c r="O64" s="184"/>
      <c r="P64" s="124">
        <f t="shared" si="11"/>
        <v>28930</v>
      </c>
    </row>
    <row r="65" spans="1:16" ht="15.75" x14ac:dyDescent="0.25">
      <c r="A65" s="239"/>
      <c r="B65" s="4"/>
      <c r="C65" s="182" t="s">
        <v>650</v>
      </c>
      <c r="D65" s="183"/>
      <c r="E65" s="184"/>
      <c r="F65" s="184"/>
      <c r="G65" s="184"/>
      <c r="H65" s="184"/>
      <c r="I65" s="184">
        <v>43395</v>
      </c>
      <c r="J65" s="184"/>
      <c r="K65" s="184"/>
      <c r="L65" s="184"/>
      <c r="M65" s="184"/>
      <c r="N65" s="184"/>
      <c r="O65" s="184"/>
      <c r="P65" s="124">
        <f t="shared" si="11"/>
        <v>43395</v>
      </c>
    </row>
    <row r="66" spans="1:16" ht="15.75" x14ac:dyDescent="0.25">
      <c r="A66" s="239"/>
      <c r="B66" s="4"/>
      <c r="C66" s="182" t="s">
        <v>651</v>
      </c>
      <c r="D66" s="183"/>
      <c r="E66" s="184"/>
      <c r="F66" s="184"/>
      <c r="G66" s="184"/>
      <c r="H66" s="184"/>
      <c r="I66" s="184"/>
      <c r="J66" s="184">
        <v>43395</v>
      </c>
      <c r="K66" s="184"/>
      <c r="L66" s="184"/>
      <c r="M66" s="184"/>
      <c r="N66" s="184"/>
      <c r="O66" s="184"/>
      <c r="P66" s="124">
        <f t="shared" si="11"/>
        <v>43395</v>
      </c>
    </row>
    <row r="67" spans="1:16" ht="15.75" x14ac:dyDescent="0.25">
      <c r="A67" s="239"/>
      <c r="B67" s="4"/>
      <c r="C67" s="182" t="s">
        <v>652</v>
      </c>
      <c r="D67" s="183"/>
      <c r="E67" s="184"/>
      <c r="F67" s="184"/>
      <c r="G67" s="184"/>
      <c r="H67" s="184"/>
      <c r="I67" s="184"/>
      <c r="J67" s="184"/>
      <c r="K67" s="184">
        <v>43395</v>
      </c>
      <c r="L67" s="184"/>
      <c r="M67" s="184"/>
      <c r="N67" s="184"/>
      <c r="O67" s="184"/>
      <c r="P67" s="124">
        <f t="shared" si="11"/>
        <v>43395</v>
      </c>
    </row>
    <row r="68" spans="1:16" ht="15.75" x14ac:dyDescent="0.25">
      <c r="A68" s="239"/>
      <c r="B68" s="4"/>
      <c r="C68" s="182" t="s">
        <v>653</v>
      </c>
      <c r="D68" s="183"/>
      <c r="E68" s="184"/>
      <c r="F68" s="184"/>
      <c r="G68" s="184"/>
      <c r="H68" s="184"/>
      <c r="I68" s="184"/>
      <c r="J68" s="184"/>
      <c r="K68" s="184"/>
      <c r="L68" s="184">
        <v>28930</v>
      </c>
      <c r="M68" s="184"/>
      <c r="N68" s="184"/>
      <c r="O68" s="184"/>
      <c r="P68" s="124">
        <f t="shared" si="11"/>
        <v>28930</v>
      </c>
    </row>
    <row r="69" spans="1:16" ht="15.75" x14ac:dyDescent="0.25">
      <c r="A69" s="239"/>
      <c r="B69" s="4"/>
      <c r="C69" s="182" t="s">
        <v>654</v>
      </c>
      <c r="D69" s="183"/>
      <c r="E69" s="184"/>
      <c r="F69" s="184"/>
      <c r="G69" s="184"/>
      <c r="H69" s="184"/>
      <c r="I69" s="184"/>
      <c r="J69" s="184"/>
      <c r="K69" s="184"/>
      <c r="L69" s="184"/>
      <c r="M69" s="184"/>
      <c r="N69" s="184"/>
      <c r="O69" s="184"/>
      <c r="P69" s="124">
        <f t="shared" si="11"/>
        <v>0</v>
      </c>
    </row>
    <row r="70" spans="1:16" ht="15.75" x14ac:dyDescent="0.25">
      <c r="A70" s="239"/>
      <c r="B70" s="4"/>
      <c r="C70" s="182" t="s">
        <v>655</v>
      </c>
      <c r="D70" s="183"/>
      <c r="E70" s="184"/>
      <c r="F70" s="184"/>
      <c r="G70" s="184"/>
      <c r="H70" s="184"/>
      <c r="I70" s="184"/>
      <c r="J70" s="184"/>
      <c r="K70" s="184"/>
      <c r="L70" s="184"/>
      <c r="M70" s="184"/>
      <c r="N70" s="184"/>
      <c r="O70" s="184"/>
      <c r="P70" s="124">
        <f t="shared" si="11"/>
        <v>0</v>
      </c>
    </row>
    <row r="71" spans="1:16" ht="15.75" x14ac:dyDescent="0.25">
      <c r="A71" s="239"/>
      <c r="B71" s="4"/>
      <c r="C71" s="182" t="s">
        <v>656</v>
      </c>
      <c r="D71" s="183"/>
      <c r="E71" s="184"/>
      <c r="F71" s="184"/>
      <c r="G71" s="184"/>
      <c r="H71" s="184"/>
      <c r="I71" s="184"/>
      <c r="J71" s="184"/>
      <c r="K71" s="184"/>
      <c r="L71" s="184"/>
      <c r="M71" s="184"/>
      <c r="N71" s="184"/>
      <c r="O71" s="184"/>
      <c r="P71" s="124">
        <f t="shared" si="11"/>
        <v>0</v>
      </c>
    </row>
    <row r="72" spans="1:16" ht="15.75" x14ac:dyDescent="0.25">
      <c r="A72" s="239"/>
      <c r="B72" s="4"/>
      <c r="C72" s="182" t="s">
        <v>657</v>
      </c>
      <c r="D72" s="183"/>
      <c r="E72" s="184"/>
      <c r="F72" s="184"/>
      <c r="G72" s="184"/>
      <c r="H72" s="184"/>
      <c r="I72" s="184"/>
      <c r="J72" s="184"/>
      <c r="K72" s="184"/>
      <c r="L72" s="184"/>
      <c r="M72" s="184"/>
      <c r="N72" s="184"/>
      <c r="O72" s="184"/>
      <c r="P72" s="124">
        <f t="shared" si="11"/>
        <v>0</v>
      </c>
    </row>
    <row r="73" spans="1:16" ht="15.75" x14ac:dyDescent="0.25">
      <c r="A73" s="239"/>
      <c r="B73" s="4"/>
      <c r="C73" s="182" t="s">
        <v>658</v>
      </c>
      <c r="D73" s="183"/>
      <c r="E73" s="184"/>
      <c r="F73" s="184"/>
      <c r="G73" s="184"/>
      <c r="H73" s="184"/>
      <c r="I73" s="184"/>
      <c r="J73" s="184"/>
      <c r="K73" s="184"/>
      <c r="L73" s="184"/>
      <c r="M73" s="184"/>
      <c r="N73" s="184"/>
      <c r="O73" s="184"/>
      <c r="P73" s="124">
        <f t="shared" si="11"/>
        <v>0</v>
      </c>
    </row>
    <row r="74" spans="1:16" ht="15.75" x14ac:dyDescent="0.25">
      <c r="A74" s="239"/>
      <c r="B74" s="4"/>
      <c r="C74" s="182" t="s">
        <v>659</v>
      </c>
      <c r="D74" s="183"/>
      <c r="E74" s="184"/>
      <c r="F74" s="184"/>
      <c r="G74" s="184"/>
      <c r="H74" s="184">
        <v>1910</v>
      </c>
      <c r="I74" s="184"/>
      <c r="J74" s="184"/>
      <c r="K74" s="184"/>
      <c r="L74" s="184"/>
      <c r="M74" s="184"/>
      <c r="N74" s="184"/>
      <c r="O74" s="184"/>
      <c r="P74" s="124">
        <f t="shared" si="11"/>
        <v>1910</v>
      </c>
    </row>
    <row r="75" spans="1:16" ht="15.75" x14ac:dyDescent="0.25">
      <c r="A75" s="239"/>
      <c r="B75" s="4"/>
      <c r="C75" s="182" t="s">
        <v>660</v>
      </c>
      <c r="D75" s="183"/>
      <c r="E75" s="184"/>
      <c r="F75" s="184"/>
      <c r="G75" s="184"/>
      <c r="H75" s="184"/>
      <c r="I75" s="184"/>
      <c r="J75" s="184"/>
      <c r="K75" s="184"/>
      <c r="L75" s="184"/>
      <c r="M75" s="184"/>
      <c r="N75" s="184"/>
      <c r="O75" s="184"/>
      <c r="P75" s="124">
        <f t="shared" si="11"/>
        <v>0</v>
      </c>
    </row>
    <row r="76" spans="1:16" ht="15.75" x14ac:dyDescent="0.25">
      <c r="A76" s="239"/>
      <c r="B76" s="4"/>
      <c r="C76" s="182" t="s">
        <v>661</v>
      </c>
      <c r="D76" s="183"/>
      <c r="E76" s="184"/>
      <c r="F76" s="184"/>
      <c r="G76" s="184"/>
      <c r="H76" s="184"/>
      <c r="I76" s="184"/>
      <c r="J76" s="184"/>
      <c r="K76" s="184"/>
      <c r="L76" s="184"/>
      <c r="M76" s="184"/>
      <c r="N76" s="184"/>
      <c r="O76" s="184">
        <v>7326</v>
      </c>
      <c r="P76" s="124">
        <f t="shared" si="11"/>
        <v>7326</v>
      </c>
    </row>
    <row r="77" spans="1:16" ht="15.75" x14ac:dyDescent="0.25">
      <c r="A77" s="239"/>
      <c r="B77" s="4"/>
      <c r="C77" s="182" t="s">
        <v>662</v>
      </c>
      <c r="D77" s="183"/>
      <c r="E77" s="184"/>
      <c r="F77" s="184"/>
      <c r="G77" s="184"/>
      <c r="H77" s="184"/>
      <c r="I77" s="184"/>
      <c r="J77" s="184"/>
      <c r="K77" s="184"/>
      <c r="L77" s="184"/>
      <c r="M77" s="184"/>
      <c r="N77" s="184">
        <v>7326</v>
      </c>
      <c r="O77" s="184"/>
      <c r="P77" s="124">
        <f t="shared" si="11"/>
        <v>7326</v>
      </c>
    </row>
    <row r="78" spans="1:16" ht="15.75" x14ac:dyDescent="0.25">
      <c r="A78" s="239"/>
      <c r="B78" s="4"/>
      <c r="C78" s="182" t="s">
        <v>663</v>
      </c>
      <c r="D78" s="183"/>
      <c r="E78" s="184"/>
      <c r="F78" s="184"/>
      <c r="G78" s="184"/>
      <c r="H78" s="184"/>
      <c r="I78" s="184"/>
      <c r="J78" s="184"/>
      <c r="K78" s="184"/>
      <c r="L78" s="184"/>
      <c r="M78" s="184">
        <v>2442</v>
      </c>
      <c r="N78" s="184"/>
      <c r="O78" s="184"/>
      <c r="P78" s="124">
        <f t="shared" si="11"/>
        <v>2442</v>
      </c>
    </row>
    <row r="79" spans="1:16" ht="15.75" x14ac:dyDescent="0.25">
      <c r="A79" s="239"/>
      <c r="B79" s="4"/>
      <c r="C79" s="182" t="s">
        <v>664</v>
      </c>
      <c r="D79" s="183"/>
      <c r="E79" s="184"/>
      <c r="F79" s="184"/>
      <c r="G79" s="184"/>
      <c r="H79" s="184"/>
      <c r="I79" s="184"/>
      <c r="J79" s="184"/>
      <c r="K79" s="184"/>
      <c r="L79" s="184">
        <v>4884</v>
      </c>
      <c r="M79" s="184"/>
      <c r="N79" s="184"/>
      <c r="O79" s="184"/>
      <c r="P79" s="124">
        <f t="shared" si="11"/>
        <v>4884</v>
      </c>
    </row>
    <row r="80" spans="1:16" ht="15.75" x14ac:dyDescent="0.25">
      <c r="A80" s="239"/>
      <c r="B80" s="4"/>
      <c r="C80" s="182" t="s">
        <v>665</v>
      </c>
      <c r="D80" s="183"/>
      <c r="E80" s="184"/>
      <c r="F80" s="184"/>
      <c r="G80" s="184"/>
      <c r="H80" s="184">
        <v>2442</v>
      </c>
      <c r="I80" s="184"/>
      <c r="J80" s="184"/>
      <c r="K80" s="184"/>
      <c r="L80" s="184"/>
      <c r="M80" s="184"/>
      <c r="N80" s="184"/>
      <c r="O80" s="184"/>
      <c r="P80" s="124">
        <f t="shared" si="11"/>
        <v>2442</v>
      </c>
    </row>
    <row r="81" spans="1:16" ht="15.75" x14ac:dyDescent="0.25">
      <c r="A81" s="239"/>
      <c r="B81" s="4"/>
      <c r="C81" s="182" t="s">
        <v>666</v>
      </c>
      <c r="D81" s="183"/>
      <c r="E81" s="184"/>
      <c r="F81" s="184"/>
      <c r="G81" s="184"/>
      <c r="H81" s="184"/>
      <c r="I81" s="184"/>
      <c r="J81" s="184"/>
      <c r="K81" s="184"/>
      <c r="L81" s="184"/>
      <c r="M81" s="184"/>
      <c r="N81" s="184"/>
      <c r="O81" s="184"/>
      <c r="P81" s="124">
        <f t="shared" si="11"/>
        <v>0</v>
      </c>
    </row>
    <row r="82" spans="1:16" ht="15.75" x14ac:dyDescent="0.25">
      <c r="A82" s="239"/>
      <c r="B82" s="4"/>
      <c r="C82" s="182" t="s">
        <v>667</v>
      </c>
      <c r="D82" s="183"/>
      <c r="E82" s="184"/>
      <c r="F82" s="184"/>
      <c r="G82" s="184"/>
      <c r="H82" s="184"/>
      <c r="I82" s="184">
        <v>251600</v>
      </c>
      <c r="J82" s="184"/>
      <c r="K82" s="184"/>
      <c r="L82" s="184"/>
      <c r="M82" s="184"/>
      <c r="N82" s="184"/>
      <c r="O82" s="184"/>
      <c r="P82" s="124">
        <f t="shared" si="11"/>
        <v>251600</v>
      </c>
    </row>
    <row r="83" spans="1:16" ht="15.75" x14ac:dyDescent="0.25">
      <c r="A83" s="239"/>
      <c r="B83" s="4"/>
      <c r="C83" s="182" t="s">
        <v>668</v>
      </c>
      <c r="D83" s="183"/>
      <c r="E83" s="184"/>
      <c r="F83" s="184"/>
      <c r="G83" s="184"/>
      <c r="H83" s="184"/>
      <c r="I83" s="184"/>
      <c r="J83" s="184"/>
      <c r="K83" s="184"/>
      <c r="L83" s="184">
        <v>56240</v>
      </c>
      <c r="M83" s="184"/>
      <c r="N83" s="184"/>
      <c r="O83" s="184"/>
      <c r="P83" s="124">
        <f t="shared" si="11"/>
        <v>56240</v>
      </c>
    </row>
    <row r="84" spans="1:16" ht="15.75" x14ac:dyDescent="0.25">
      <c r="A84" s="239"/>
      <c r="B84" s="4"/>
      <c r="C84" s="182" t="s">
        <v>669</v>
      </c>
      <c r="D84" s="183"/>
      <c r="E84" s="184"/>
      <c r="F84" s="184"/>
      <c r="G84" s="184"/>
      <c r="H84" s="184"/>
      <c r="I84" s="184"/>
      <c r="J84" s="184"/>
      <c r="K84" s="184"/>
      <c r="L84" s="184"/>
      <c r="M84" s="184"/>
      <c r="N84" s="184">
        <v>56240</v>
      </c>
      <c r="O84" s="184"/>
      <c r="P84" s="124">
        <f t="shared" si="11"/>
        <v>56240</v>
      </c>
    </row>
    <row r="85" spans="1:16" ht="15.75" x14ac:dyDescent="0.25">
      <c r="A85" s="239"/>
      <c r="B85" s="4"/>
      <c r="C85" s="3" t="s">
        <v>670</v>
      </c>
      <c r="D85" s="183"/>
      <c r="E85" s="184"/>
      <c r="F85" s="184"/>
      <c r="G85" s="184"/>
      <c r="H85" s="184"/>
      <c r="I85" s="184"/>
      <c r="J85" s="184"/>
      <c r="K85" s="184"/>
      <c r="L85" s="184"/>
      <c r="M85" s="184"/>
      <c r="N85" s="184"/>
      <c r="O85" s="184"/>
      <c r="P85" s="124">
        <f t="shared" si="11"/>
        <v>0</v>
      </c>
    </row>
    <row r="86" spans="1:16" ht="15.75" x14ac:dyDescent="0.25">
      <c r="A86" s="239"/>
      <c r="B86" s="4"/>
      <c r="C86" s="182" t="s">
        <v>671</v>
      </c>
      <c r="D86" s="183"/>
      <c r="E86" s="184"/>
      <c r="F86" s="184"/>
      <c r="G86" s="184">
        <v>284095</v>
      </c>
      <c r="H86" s="184"/>
      <c r="I86" s="184"/>
      <c r="J86" s="184"/>
      <c r="K86" s="184"/>
      <c r="L86" s="184"/>
      <c r="M86" s="184"/>
      <c r="N86" s="184"/>
      <c r="O86" s="184"/>
      <c r="P86" s="124">
        <f t="shared" si="11"/>
        <v>284095</v>
      </c>
    </row>
    <row r="87" spans="1:16" ht="15.75" x14ac:dyDescent="0.25">
      <c r="A87" s="239"/>
      <c r="B87" s="4"/>
      <c r="C87" s="182" t="s">
        <v>672</v>
      </c>
      <c r="D87" s="183"/>
      <c r="E87" s="184"/>
      <c r="F87" s="184"/>
      <c r="G87" s="184"/>
      <c r="H87" s="184"/>
      <c r="I87" s="184"/>
      <c r="J87" s="184"/>
      <c r="K87" s="184"/>
      <c r="L87" s="184">
        <v>186440</v>
      </c>
      <c r="M87" s="184"/>
      <c r="N87" s="184"/>
      <c r="O87" s="184"/>
      <c r="P87" s="124">
        <f t="shared" si="11"/>
        <v>186440</v>
      </c>
    </row>
    <row r="88" spans="1:16" ht="15.75" x14ac:dyDescent="0.25">
      <c r="A88" s="239"/>
      <c r="B88" s="4"/>
      <c r="C88" s="182" t="s">
        <v>673</v>
      </c>
      <c r="D88" s="183"/>
      <c r="E88" s="184"/>
      <c r="F88" s="184"/>
      <c r="G88" s="184">
        <v>87561</v>
      </c>
      <c r="H88" s="184"/>
      <c r="I88" s="184"/>
      <c r="J88" s="184"/>
      <c r="K88" s="184"/>
      <c r="L88" s="184"/>
      <c r="M88" s="184"/>
      <c r="N88" s="184"/>
      <c r="O88" s="184"/>
      <c r="P88" s="124">
        <f t="shared" si="11"/>
        <v>87561</v>
      </c>
    </row>
    <row r="89" spans="1:16" ht="15.75" x14ac:dyDescent="0.25">
      <c r="A89" s="239"/>
      <c r="B89" s="4"/>
      <c r="C89" s="182" t="s">
        <v>674</v>
      </c>
      <c r="D89" s="183"/>
      <c r="E89" s="184"/>
      <c r="F89" s="184"/>
      <c r="G89" s="184"/>
      <c r="H89" s="184"/>
      <c r="I89" s="184"/>
      <c r="J89" s="184"/>
      <c r="K89" s="184"/>
      <c r="L89" s="184"/>
      <c r="M89" s="184">
        <v>69190</v>
      </c>
      <c r="N89" s="184"/>
      <c r="O89" s="184"/>
      <c r="P89" s="124">
        <f t="shared" ref="P89:P244" si="12">IF(SUM(D89:O89)=0,0,SUM(D89:O89))</f>
        <v>69190</v>
      </c>
    </row>
    <row r="90" spans="1:16" ht="15.75" x14ac:dyDescent="0.25">
      <c r="A90" s="239"/>
      <c r="B90" s="4"/>
      <c r="C90" s="188" t="s">
        <v>675</v>
      </c>
      <c r="D90" s="183"/>
      <c r="E90" s="184"/>
      <c r="F90" s="184"/>
      <c r="G90" s="184"/>
      <c r="H90" s="184"/>
      <c r="I90" s="184"/>
      <c r="J90" s="184"/>
      <c r="K90" s="184"/>
      <c r="L90" s="184"/>
      <c r="M90" s="184">
        <v>24907</v>
      </c>
      <c r="N90" s="184"/>
      <c r="O90" s="184"/>
      <c r="P90" s="124">
        <f t="shared" si="12"/>
        <v>24907</v>
      </c>
    </row>
    <row r="91" spans="1:16" ht="15.75" x14ac:dyDescent="0.25">
      <c r="A91" s="239"/>
      <c r="B91" s="4"/>
      <c r="C91" s="188" t="s">
        <v>676</v>
      </c>
      <c r="D91" s="183"/>
      <c r="E91" s="184"/>
      <c r="F91" s="184"/>
      <c r="G91" s="184"/>
      <c r="H91" s="184"/>
      <c r="I91" s="184"/>
      <c r="J91" s="184"/>
      <c r="K91" s="184"/>
      <c r="L91" s="184"/>
      <c r="M91" s="184"/>
      <c r="N91" s="184"/>
      <c r="O91" s="184"/>
      <c r="P91" s="124">
        <f t="shared" si="12"/>
        <v>0</v>
      </c>
    </row>
    <row r="92" spans="1:16" ht="15.75" x14ac:dyDescent="0.25">
      <c r="A92" s="239"/>
      <c r="B92" s="4"/>
      <c r="C92" s="182" t="s">
        <v>677</v>
      </c>
      <c r="D92" s="183"/>
      <c r="E92" s="184"/>
      <c r="F92" s="184"/>
      <c r="G92" s="184"/>
      <c r="H92" s="184"/>
      <c r="I92" s="184"/>
      <c r="J92" s="184"/>
      <c r="K92" s="184"/>
      <c r="L92" s="184"/>
      <c r="M92" s="184"/>
      <c r="N92" s="184"/>
      <c r="O92" s="184"/>
      <c r="P92" s="124">
        <f t="shared" si="12"/>
        <v>0</v>
      </c>
    </row>
    <row r="93" spans="1:16" ht="15.75" x14ac:dyDescent="0.25">
      <c r="A93" s="239"/>
      <c r="B93" s="4"/>
      <c r="C93" s="188" t="s">
        <v>678</v>
      </c>
      <c r="D93" s="183"/>
      <c r="E93" s="184"/>
      <c r="F93" s="184"/>
      <c r="G93" s="184"/>
      <c r="H93" s="184"/>
      <c r="I93" s="184"/>
      <c r="J93" s="184"/>
      <c r="K93" s="184">
        <v>8303</v>
      </c>
      <c r="L93" s="184"/>
      <c r="M93" s="184"/>
      <c r="N93" s="184"/>
      <c r="O93" s="184"/>
      <c r="P93" s="124">
        <f t="shared" si="12"/>
        <v>8303</v>
      </c>
    </row>
    <row r="94" spans="1:16" ht="15.75" x14ac:dyDescent="0.25">
      <c r="A94" s="239"/>
      <c r="B94" s="4"/>
      <c r="C94" s="188" t="s">
        <v>679</v>
      </c>
      <c r="D94" s="183"/>
      <c r="E94" s="184"/>
      <c r="F94" s="184">
        <v>57222</v>
      </c>
      <c r="G94" s="184"/>
      <c r="H94" s="184"/>
      <c r="I94" s="184"/>
      <c r="J94" s="184"/>
      <c r="K94" s="184"/>
      <c r="L94" s="184"/>
      <c r="M94" s="184"/>
      <c r="N94" s="184"/>
      <c r="O94" s="184"/>
      <c r="P94" s="124">
        <f t="shared" si="12"/>
        <v>57222</v>
      </c>
    </row>
    <row r="95" spans="1:16" ht="15.75" x14ac:dyDescent="0.25">
      <c r="A95" s="239"/>
      <c r="B95" s="4"/>
      <c r="C95" s="188" t="s">
        <v>680</v>
      </c>
      <c r="D95" s="183">
        <v>17305</v>
      </c>
      <c r="E95" s="184"/>
      <c r="F95" s="184"/>
      <c r="G95" s="184"/>
      <c r="H95" s="184"/>
      <c r="I95" s="184"/>
      <c r="J95" s="184"/>
      <c r="K95" s="184"/>
      <c r="L95" s="184"/>
      <c r="M95" s="184"/>
      <c r="N95" s="184">
        <v>17305</v>
      </c>
      <c r="O95" s="184"/>
      <c r="P95" s="124">
        <f t="shared" si="12"/>
        <v>34610</v>
      </c>
    </row>
    <row r="96" spans="1:16" ht="15.75" x14ac:dyDescent="0.25">
      <c r="A96" s="239"/>
      <c r="B96" s="4"/>
      <c r="C96" s="188" t="s">
        <v>681</v>
      </c>
      <c r="D96" s="183"/>
      <c r="E96" s="184"/>
      <c r="F96" s="184"/>
      <c r="G96" s="184"/>
      <c r="H96" s="184"/>
      <c r="I96" s="184"/>
      <c r="J96" s="184"/>
      <c r="K96" s="184">
        <v>21075</v>
      </c>
      <c r="L96" s="184"/>
      <c r="M96" s="184"/>
      <c r="N96" s="184"/>
      <c r="O96" s="184"/>
      <c r="P96" s="124">
        <f t="shared" si="12"/>
        <v>21075</v>
      </c>
    </row>
    <row r="97" spans="1:16" ht="15.75" x14ac:dyDescent="0.25">
      <c r="A97" s="239"/>
      <c r="B97" s="4"/>
      <c r="C97" s="188" t="s">
        <v>682</v>
      </c>
      <c r="D97" s="183"/>
      <c r="E97" s="184"/>
      <c r="F97" s="184"/>
      <c r="G97" s="184"/>
      <c r="H97" s="184"/>
      <c r="I97" s="184"/>
      <c r="J97" s="184"/>
      <c r="K97" s="184"/>
      <c r="L97" s="184"/>
      <c r="M97" s="184"/>
      <c r="N97" s="184"/>
      <c r="O97" s="184"/>
      <c r="P97" s="124">
        <f t="shared" si="12"/>
        <v>0</v>
      </c>
    </row>
    <row r="98" spans="1:16" ht="15.75" x14ac:dyDescent="0.25">
      <c r="A98" s="239"/>
      <c r="B98" s="4"/>
      <c r="C98" s="188" t="s">
        <v>683</v>
      </c>
      <c r="D98" s="183"/>
      <c r="E98" s="184"/>
      <c r="F98" s="184"/>
      <c r="G98" s="184"/>
      <c r="H98" s="184"/>
      <c r="I98" s="184"/>
      <c r="J98" s="184"/>
      <c r="K98" s="184"/>
      <c r="L98" s="184"/>
      <c r="M98" s="184"/>
      <c r="N98" s="184"/>
      <c r="O98" s="184"/>
      <c r="P98" s="124">
        <f t="shared" si="12"/>
        <v>0</v>
      </c>
    </row>
    <row r="99" spans="1:16" ht="15.75" x14ac:dyDescent="0.25">
      <c r="A99" s="239"/>
      <c r="B99" s="4"/>
      <c r="C99" s="182" t="s">
        <v>684</v>
      </c>
      <c r="D99" s="183"/>
      <c r="E99" s="184"/>
      <c r="F99" s="184"/>
      <c r="G99" s="184"/>
      <c r="H99" s="184"/>
      <c r="I99" s="184"/>
      <c r="J99" s="184">
        <v>6326</v>
      </c>
      <c r="K99" s="184"/>
      <c r="L99" s="184"/>
      <c r="M99" s="184"/>
      <c r="N99" s="184"/>
      <c r="O99" s="184"/>
      <c r="P99" s="124">
        <f t="shared" si="12"/>
        <v>6326</v>
      </c>
    </row>
    <row r="100" spans="1:16" ht="15.75" x14ac:dyDescent="0.25">
      <c r="A100" s="239"/>
      <c r="B100" s="4"/>
      <c r="C100" s="188" t="s">
        <v>685</v>
      </c>
      <c r="D100" s="183"/>
      <c r="E100" s="184"/>
      <c r="F100" s="184"/>
      <c r="G100" s="184"/>
      <c r="H100" s="184"/>
      <c r="I100" s="184"/>
      <c r="J100" s="184"/>
      <c r="K100" s="184"/>
      <c r="L100" s="184"/>
      <c r="M100" s="184"/>
      <c r="N100" s="184"/>
      <c r="O100" s="184"/>
      <c r="P100" s="124">
        <f t="shared" si="12"/>
        <v>0</v>
      </c>
    </row>
    <row r="101" spans="1:16" ht="15.75" x14ac:dyDescent="0.25">
      <c r="A101" s="239"/>
      <c r="B101" s="4"/>
      <c r="C101" s="188" t="s">
        <v>686</v>
      </c>
      <c r="D101" s="183"/>
      <c r="E101" s="184"/>
      <c r="F101" s="184"/>
      <c r="G101" s="184"/>
      <c r="H101" s="184"/>
      <c r="I101" s="184">
        <v>2491</v>
      </c>
      <c r="J101" s="184"/>
      <c r="K101" s="184"/>
      <c r="L101" s="184"/>
      <c r="M101" s="184"/>
      <c r="N101" s="184"/>
      <c r="O101" s="184"/>
      <c r="P101" s="124">
        <f t="shared" si="12"/>
        <v>2491</v>
      </c>
    </row>
    <row r="102" spans="1:16" ht="15.75" x14ac:dyDescent="0.25">
      <c r="A102" s="239"/>
      <c r="B102" s="4"/>
      <c r="C102" s="188" t="s">
        <v>687</v>
      </c>
      <c r="D102" s="183">
        <v>5536</v>
      </c>
      <c r="E102" s="184"/>
      <c r="F102" s="184"/>
      <c r="G102" s="184"/>
      <c r="H102" s="184"/>
      <c r="I102" s="184"/>
      <c r="J102" s="184"/>
      <c r="K102" s="184"/>
      <c r="L102" s="184"/>
      <c r="M102" s="184"/>
      <c r="N102" s="184"/>
      <c r="O102" s="184"/>
      <c r="P102" s="124">
        <f t="shared" si="12"/>
        <v>5536</v>
      </c>
    </row>
    <row r="103" spans="1:16" ht="15.75" x14ac:dyDescent="0.25">
      <c r="A103" s="239"/>
      <c r="B103" s="4"/>
      <c r="C103" s="188" t="s">
        <v>688</v>
      </c>
      <c r="D103" s="183"/>
      <c r="E103" s="184"/>
      <c r="F103" s="184"/>
      <c r="G103" s="184"/>
      <c r="H103" s="184">
        <v>30445</v>
      </c>
      <c r="I103" s="184"/>
      <c r="J103" s="184"/>
      <c r="K103" s="184"/>
      <c r="L103" s="184"/>
      <c r="M103" s="184"/>
      <c r="N103" s="184"/>
      <c r="O103" s="184"/>
      <c r="P103" s="124">
        <f t="shared" si="12"/>
        <v>30445</v>
      </c>
    </row>
    <row r="104" spans="1:16" ht="15.75" x14ac:dyDescent="0.25">
      <c r="A104" s="239"/>
      <c r="B104" s="4"/>
      <c r="C104" s="188" t="s">
        <v>689</v>
      </c>
      <c r="D104" s="186">
        <v>19500</v>
      </c>
      <c r="E104" s="184"/>
      <c r="F104" s="184">
        <v>3875</v>
      </c>
      <c r="G104" s="184"/>
      <c r="H104" s="184"/>
      <c r="I104" s="184"/>
      <c r="J104" s="184"/>
      <c r="K104" s="184"/>
      <c r="L104" s="184"/>
      <c r="M104" s="184"/>
      <c r="N104" s="184"/>
      <c r="O104" s="184"/>
      <c r="P104" s="124">
        <f t="shared" si="12"/>
        <v>23375</v>
      </c>
    </row>
    <row r="105" spans="1:16" ht="15.75" x14ac:dyDescent="0.25">
      <c r="A105" s="239"/>
      <c r="B105" s="4"/>
      <c r="C105" s="188" t="s">
        <v>690</v>
      </c>
      <c r="D105" s="186"/>
      <c r="E105" s="184"/>
      <c r="F105" s="184"/>
      <c r="G105" s="184"/>
      <c r="H105" s="184">
        <v>3321</v>
      </c>
      <c r="I105" s="184"/>
      <c r="J105" s="184"/>
      <c r="K105" s="184"/>
      <c r="L105" s="184"/>
      <c r="M105" s="184"/>
      <c r="N105" s="184"/>
      <c r="O105" s="184"/>
      <c r="P105" s="124">
        <f t="shared" si="12"/>
        <v>3321</v>
      </c>
    </row>
    <row r="106" spans="1:16" ht="15.75" x14ac:dyDescent="0.25">
      <c r="A106" s="239"/>
      <c r="B106" s="4"/>
      <c r="C106" s="188" t="s">
        <v>691</v>
      </c>
      <c r="D106" s="186"/>
      <c r="E106" s="184"/>
      <c r="F106" s="184"/>
      <c r="G106" s="184"/>
      <c r="H106" s="184">
        <v>1245</v>
      </c>
      <c r="I106" s="184"/>
      <c r="J106" s="184"/>
      <c r="K106" s="184"/>
      <c r="L106" s="184"/>
      <c r="M106" s="184"/>
      <c r="N106" s="184"/>
      <c r="O106" s="184"/>
      <c r="P106" s="124">
        <f t="shared" si="12"/>
        <v>1245</v>
      </c>
    </row>
    <row r="107" spans="1:16" ht="15.75" x14ac:dyDescent="0.25">
      <c r="A107" s="239"/>
      <c r="B107" s="4"/>
      <c r="C107" s="188" t="s">
        <v>692</v>
      </c>
      <c r="D107" s="186"/>
      <c r="E107" s="184"/>
      <c r="F107" s="184"/>
      <c r="G107" s="184"/>
      <c r="H107" s="184"/>
      <c r="I107" s="184"/>
      <c r="J107" s="184"/>
      <c r="K107" s="184"/>
      <c r="L107" s="184"/>
      <c r="M107" s="184"/>
      <c r="N107" s="184"/>
      <c r="O107" s="184"/>
      <c r="P107" s="124">
        <f t="shared" si="12"/>
        <v>0</v>
      </c>
    </row>
    <row r="108" spans="1:16" ht="15.75" x14ac:dyDescent="0.25">
      <c r="A108" s="239"/>
      <c r="B108" s="4"/>
      <c r="C108" s="188" t="s">
        <v>693</v>
      </c>
      <c r="D108" s="186">
        <v>167</v>
      </c>
      <c r="E108" s="184"/>
      <c r="F108" s="184"/>
      <c r="G108" s="184"/>
      <c r="H108" s="184"/>
      <c r="I108" s="184"/>
      <c r="J108" s="184"/>
      <c r="K108" s="184"/>
      <c r="L108" s="184"/>
      <c r="M108" s="184"/>
      <c r="N108" s="184"/>
      <c r="O108" s="184"/>
      <c r="P108" s="124">
        <f t="shared" si="12"/>
        <v>167</v>
      </c>
    </row>
    <row r="109" spans="1:16" ht="15.75" x14ac:dyDescent="0.25">
      <c r="A109" s="239"/>
      <c r="B109" s="4"/>
      <c r="C109" s="188" t="s">
        <v>694</v>
      </c>
      <c r="D109" s="186"/>
      <c r="E109" s="184"/>
      <c r="F109" s="184"/>
      <c r="G109" s="184"/>
      <c r="H109" s="184"/>
      <c r="I109" s="184"/>
      <c r="J109" s="184"/>
      <c r="K109" s="184"/>
      <c r="L109" s="184"/>
      <c r="M109" s="184"/>
      <c r="N109" s="184"/>
      <c r="O109" s="184"/>
      <c r="P109" s="124">
        <f t="shared" si="12"/>
        <v>0</v>
      </c>
    </row>
    <row r="110" spans="1:16" ht="15.75" x14ac:dyDescent="0.25">
      <c r="A110" s="239"/>
      <c r="B110" s="4"/>
      <c r="C110" s="188" t="s">
        <v>695</v>
      </c>
      <c r="D110" s="186"/>
      <c r="E110" s="184"/>
      <c r="F110" s="184"/>
      <c r="G110" s="184"/>
      <c r="H110" s="184">
        <v>92028</v>
      </c>
      <c r="I110" s="184"/>
      <c r="J110" s="184"/>
      <c r="K110" s="184"/>
      <c r="L110" s="184"/>
      <c r="M110" s="184"/>
      <c r="N110" s="184"/>
      <c r="O110" s="184"/>
      <c r="P110" s="124">
        <f t="shared" si="12"/>
        <v>92028</v>
      </c>
    </row>
    <row r="111" spans="1:16" ht="15.75" x14ac:dyDescent="0.25">
      <c r="A111" s="239"/>
      <c r="B111" s="4"/>
      <c r="C111" s="188" t="s">
        <v>696</v>
      </c>
      <c r="D111" s="186"/>
      <c r="E111" s="184"/>
      <c r="F111" s="184"/>
      <c r="G111" s="184"/>
      <c r="H111" s="184">
        <v>345969</v>
      </c>
      <c r="I111" s="184"/>
      <c r="J111" s="184"/>
      <c r="K111" s="184"/>
      <c r="L111" s="184"/>
      <c r="M111" s="184"/>
      <c r="N111" s="184"/>
      <c r="O111" s="184"/>
      <c r="P111" s="124">
        <f t="shared" si="12"/>
        <v>345969</v>
      </c>
    </row>
    <row r="112" spans="1:16" ht="15.75" x14ac:dyDescent="0.25">
      <c r="A112" s="239"/>
      <c r="B112" s="4"/>
      <c r="C112" s="3" t="s">
        <v>697</v>
      </c>
      <c r="D112" s="186"/>
      <c r="E112" s="184"/>
      <c r="F112" s="184"/>
      <c r="G112" s="184"/>
      <c r="H112" s="184"/>
      <c r="I112" s="184"/>
      <c r="J112" s="184"/>
      <c r="K112" s="184"/>
      <c r="L112" s="184"/>
      <c r="M112" s="184"/>
      <c r="N112" s="184"/>
      <c r="O112" s="184"/>
      <c r="P112" s="124">
        <f t="shared" si="12"/>
        <v>0</v>
      </c>
    </row>
    <row r="113" spans="1:16" ht="15.75" x14ac:dyDescent="0.25">
      <c r="A113" s="239"/>
      <c r="B113" s="4"/>
      <c r="C113" s="188" t="s">
        <v>698</v>
      </c>
      <c r="D113" s="186"/>
      <c r="E113" s="184">
        <v>85000</v>
      </c>
      <c r="F113" s="184">
        <v>85000</v>
      </c>
      <c r="G113" s="184">
        <v>85000</v>
      </c>
      <c r="H113" s="184"/>
      <c r="I113" s="184"/>
      <c r="J113" s="184"/>
      <c r="K113" s="184"/>
      <c r="L113" s="184"/>
      <c r="M113" s="184">
        <v>418500</v>
      </c>
      <c r="N113" s="184"/>
      <c r="O113" s="184"/>
      <c r="P113" s="124">
        <f t="shared" si="12"/>
        <v>673500</v>
      </c>
    </row>
    <row r="114" spans="1:16" ht="15.75" x14ac:dyDescent="0.25">
      <c r="A114" s="239"/>
      <c r="B114" s="4"/>
      <c r="C114" s="188" t="s">
        <v>699</v>
      </c>
      <c r="D114" s="186"/>
      <c r="E114" s="184"/>
      <c r="F114" s="184"/>
      <c r="G114" s="184"/>
      <c r="H114" s="184"/>
      <c r="I114" s="184"/>
      <c r="J114" s="184"/>
      <c r="K114" s="184"/>
      <c r="L114" s="184"/>
      <c r="M114" s="184"/>
      <c r="N114" s="184"/>
      <c r="O114" s="184"/>
      <c r="P114" s="124">
        <f t="shared" si="12"/>
        <v>0</v>
      </c>
    </row>
    <row r="115" spans="1:16" ht="15.75" x14ac:dyDescent="0.25">
      <c r="A115" s="239"/>
      <c r="B115" s="4"/>
      <c r="C115" s="188" t="s">
        <v>700</v>
      </c>
      <c r="D115" s="186"/>
      <c r="E115" s="184"/>
      <c r="F115" s="184"/>
      <c r="G115" s="184"/>
      <c r="H115" s="184"/>
      <c r="I115" s="184"/>
      <c r="J115" s="184"/>
      <c r="K115" s="184"/>
      <c r="L115" s="184"/>
      <c r="M115" s="184"/>
      <c r="N115" s="184"/>
      <c r="O115" s="184"/>
      <c r="P115" s="124">
        <f t="shared" si="12"/>
        <v>0</v>
      </c>
    </row>
    <row r="116" spans="1:16" ht="15.75" x14ac:dyDescent="0.25">
      <c r="A116" s="239"/>
      <c r="B116" s="4"/>
      <c r="C116" s="188" t="s">
        <v>701</v>
      </c>
      <c r="D116" s="186"/>
      <c r="E116" s="184"/>
      <c r="F116" s="184"/>
      <c r="G116" s="184"/>
      <c r="H116" s="184"/>
      <c r="I116" s="184"/>
      <c r="J116" s="184"/>
      <c r="K116" s="184"/>
      <c r="L116" s="184"/>
      <c r="M116" s="184"/>
      <c r="N116" s="184"/>
      <c r="O116" s="184"/>
      <c r="P116" s="124">
        <f t="shared" si="12"/>
        <v>0</v>
      </c>
    </row>
    <row r="117" spans="1:16" ht="15.75" x14ac:dyDescent="0.25">
      <c r="A117" s="239"/>
      <c r="B117" s="4"/>
      <c r="C117" s="188" t="s">
        <v>702</v>
      </c>
      <c r="D117" s="186"/>
      <c r="E117" s="184"/>
      <c r="F117" s="184"/>
      <c r="G117" s="184"/>
      <c r="H117" s="184"/>
      <c r="I117" s="184"/>
      <c r="J117" s="184"/>
      <c r="K117" s="184"/>
      <c r="L117" s="184"/>
      <c r="M117" s="184"/>
      <c r="N117" s="184"/>
      <c r="O117" s="184"/>
      <c r="P117" s="124">
        <f t="shared" si="12"/>
        <v>0</v>
      </c>
    </row>
    <row r="118" spans="1:16" ht="15.75" x14ac:dyDescent="0.25">
      <c r="A118" s="239"/>
      <c r="B118" s="4"/>
      <c r="C118" s="188" t="s">
        <v>703</v>
      </c>
      <c r="D118" s="186"/>
      <c r="E118" s="184"/>
      <c r="F118" s="184"/>
      <c r="G118" s="184"/>
      <c r="H118" s="184">
        <v>23339</v>
      </c>
      <c r="I118" s="184"/>
      <c r="J118" s="184"/>
      <c r="K118" s="184"/>
      <c r="L118" s="184"/>
      <c r="M118" s="184"/>
      <c r="N118" s="184"/>
      <c r="O118" s="184"/>
      <c r="P118" s="124">
        <f t="shared" si="12"/>
        <v>23339</v>
      </c>
    </row>
    <row r="119" spans="1:16" ht="15.75" x14ac:dyDescent="0.25">
      <c r="A119" s="239"/>
      <c r="B119" s="4"/>
      <c r="C119" s="188" t="s">
        <v>704</v>
      </c>
      <c r="D119" s="186"/>
      <c r="E119" s="184"/>
      <c r="F119" s="184"/>
      <c r="G119" s="184"/>
      <c r="H119" s="184"/>
      <c r="I119" s="184"/>
      <c r="J119" s="184"/>
      <c r="K119" s="184"/>
      <c r="L119" s="184">
        <v>132825</v>
      </c>
      <c r="M119" s="184"/>
      <c r="N119" s="184"/>
      <c r="O119" s="184"/>
      <c r="P119" s="124">
        <f t="shared" si="12"/>
        <v>132825</v>
      </c>
    </row>
    <row r="120" spans="1:16" ht="15.75" customHeight="1" x14ac:dyDescent="0.25">
      <c r="A120" s="239"/>
      <c r="B120" s="4"/>
      <c r="C120" s="188" t="s">
        <v>705</v>
      </c>
      <c r="D120" s="186"/>
      <c r="E120" s="184"/>
      <c r="F120" s="184"/>
      <c r="G120" s="184"/>
      <c r="H120" s="184"/>
      <c r="I120" s="184"/>
      <c r="J120" s="184"/>
      <c r="K120" s="184"/>
      <c r="L120" s="184"/>
      <c r="M120" s="184">
        <v>132825</v>
      </c>
      <c r="N120" s="184"/>
      <c r="O120" s="184"/>
      <c r="P120" s="124">
        <f t="shared" si="12"/>
        <v>132825</v>
      </c>
    </row>
    <row r="121" spans="1:16" ht="15.75" customHeight="1" x14ac:dyDescent="0.25">
      <c r="A121" s="239"/>
      <c r="B121" s="4"/>
      <c r="C121" s="188" t="s">
        <v>706</v>
      </c>
      <c r="D121" s="186"/>
      <c r="E121" s="184"/>
      <c r="F121" s="184"/>
      <c r="G121" s="184"/>
      <c r="H121" s="184"/>
      <c r="I121" s="184"/>
      <c r="J121" s="184"/>
      <c r="K121" s="184"/>
      <c r="L121" s="184"/>
      <c r="M121" s="184"/>
      <c r="N121" s="184">
        <v>132825</v>
      </c>
      <c r="O121" s="184"/>
      <c r="P121" s="124">
        <f t="shared" si="12"/>
        <v>132825</v>
      </c>
    </row>
    <row r="122" spans="1:16" ht="15.75" customHeight="1" x14ac:dyDescent="0.25">
      <c r="A122" s="239"/>
      <c r="B122" s="4"/>
      <c r="C122" s="188" t="s">
        <v>707</v>
      </c>
      <c r="D122" s="186"/>
      <c r="E122" s="184"/>
      <c r="F122" s="184"/>
      <c r="G122" s="184"/>
      <c r="H122" s="184"/>
      <c r="I122" s="184"/>
      <c r="J122" s="184"/>
      <c r="K122" s="184"/>
      <c r="L122" s="184"/>
      <c r="M122" s="184"/>
      <c r="N122" s="184"/>
      <c r="O122" s="184">
        <v>132825</v>
      </c>
      <c r="P122" s="124">
        <f t="shared" si="12"/>
        <v>132825</v>
      </c>
    </row>
    <row r="123" spans="1:16" ht="15.75" customHeight="1" x14ac:dyDescent="0.25">
      <c r="A123" s="239"/>
      <c r="B123" s="4"/>
      <c r="C123" s="188" t="s">
        <v>708</v>
      </c>
      <c r="D123" s="186"/>
      <c r="E123" s="184"/>
      <c r="F123" s="184"/>
      <c r="G123" s="184"/>
      <c r="H123" s="184"/>
      <c r="I123" s="184"/>
      <c r="J123" s="184"/>
      <c r="K123" s="184"/>
      <c r="L123" s="184"/>
      <c r="M123" s="184"/>
      <c r="N123" s="184"/>
      <c r="O123" s="184"/>
      <c r="P123" s="124">
        <f t="shared" si="12"/>
        <v>0</v>
      </c>
    </row>
    <row r="124" spans="1:16" ht="15.75" customHeight="1" x14ac:dyDescent="0.25">
      <c r="A124" s="239"/>
      <c r="B124" s="4"/>
      <c r="C124" s="188" t="s">
        <v>709</v>
      </c>
      <c r="D124" s="186"/>
      <c r="E124" s="184"/>
      <c r="F124" s="184"/>
      <c r="G124" s="184"/>
      <c r="H124" s="184"/>
      <c r="I124" s="184"/>
      <c r="J124" s="184"/>
      <c r="K124" s="184"/>
      <c r="L124" s="184"/>
      <c r="M124" s="184"/>
      <c r="N124" s="184"/>
      <c r="O124" s="184"/>
      <c r="P124" s="124">
        <f t="shared" si="12"/>
        <v>0</v>
      </c>
    </row>
    <row r="125" spans="1:16" ht="15.75" customHeight="1" x14ac:dyDescent="0.25">
      <c r="A125" s="239"/>
      <c r="B125" s="4"/>
      <c r="C125" s="188" t="s">
        <v>710</v>
      </c>
      <c r="D125" s="186"/>
      <c r="E125" s="184"/>
      <c r="F125" s="184"/>
      <c r="G125" s="184"/>
      <c r="H125" s="184"/>
      <c r="I125" s="184"/>
      <c r="J125" s="184"/>
      <c r="K125" s="184"/>
      <c r="L125" s="184"/>
      <c r="M125" s="184"/>
      <c r="N125" s="184"/>
      <c r="O125" s="184">
        <v>101092</v>
      </c>
      <c r="P125" s="124">
        <f t="shared" si="12"/>
        <v>101092</v>
      </c>
    </row>
    <row r="126" spans="1:16" ht="15.75" customHeight="1" x14ac:dyDescent="0.25">
      <c r="A126" s="239"/>
      <c r="B126" s="4"/>
      <c r="C126" s="188" t="s">
        <v>711</v>
      </c>
      <c r="D126" s="186"/>
      <c r="E126" s="184"/>
      <c r="F126" s="184"/>
      <c r="G126" s="184"/>
      <c r="H126" s="184"/>
      <c r="I126" s="184"/>
      <c r="J126" s="184"/>
      <c r="K126" s="184"/>
      <c r="L126" s="184"/>
      <c r="M126" s="184"/>
      <c r="N126" s="184"/>
      <c r="O126" s="184"/>
      <c r="P126" s="124">
        <f t="shared" si="12"/>
        <v>0</v>
      </c>
    </row>
    <row r="127" spans="1:16" ht="15.75" customHeight="1" x14ac:dyDescent="0.25">
      <c r="A127" s="239"/>
      <c r="B127" s="4"/>
      <c r="C127" s="188" t="s">
        <v>712</v>
      </c>
      <c r="D127" s="186"/>
      <c r="E127" s="184"/>
      <c r="F127" s="184"/>
      <c r="G127" s="184"/>
      <c r="H127" s="184"/>
      <c r="I127" s="184"/>
      <c r="J127" s="184"/>
      <c r="K127" s="184"/>
      <c r="L127" s="184"/>
      <c r="M127" s="184"/>
      <c r="N127" s="184"/>
      <c r="O127" s="184"/>
      <c r="P127" s="124">
        <f t="shared" si="12"/>
        <v>0</v>
      </c>
    </row>
    <row r="128" spans="1:16" ht="15.75" customHeight="1" x14ac:dyDescent="0.25">
      <c r="A128" s="239"/>
      <c r="B128" s="4"/>
      <c r="C128" s="188" t="s">
        <v>713</v>
      </c>
      <c r="D128" s="186"/>
      <c r="E128" s="184"/>
      <c r="F128" s="184"/>
      <c r="G128" s="184"/>
      <c r="H128" s="184"/>
      <c r="I128" s="184"/>
      <c r="J128" s="184"/>
      <c r="K128" s="184">
        <v>17298</v>
      </c>
      <c r="L128" s="184"/>
      <c r="M128" s="184"/>
      <c r="N128" s="184"/>
      <c r="O128" s="184"/>
      <c r="P128" s="124">
        <f t="shared" si="12"/>
        <v>17298</v>
      </c>
    </row>
    <row r="129" spans="1:16" ht="15.75" x14ac:dyDescent="0.25">
      <c r="A129" s="239"/>
      <c r="B129" s="4"/>
      <c r="C129" s="188" t="s">
        <v>714</v>
      </c>
      <c r="D129" s="186"/>
      <c r="E129" s="184"/>
      <c r="F129" s="184"/>
      <c r="G129" s="184"/>
      <c r="H129" s="184"/>
      <c r="I129" s="184"/>
      <c r="J129" s="184"/>
      <c r="K129" s="184"/>
      <c r="L129" s="184">
        <v>11071</v>
      </c>
      <c r="M129" s="184"/>
      <c r="N129" s="184"/>
      <c r="O129" s="184"/>
      <c r="P129" s="124">
        <f t="shared" si="12"/>
        <v>11071</v>
      </c>
    </row>
    <row r="130" spans="1:16" ht="15.75" x14ac:dyDescent="0.25">
      <c r="A130" s="239"/>
      <c r="B130" s="4"/>
      <c r="C130" s="188" t="s">
        <v>715</v>
      </c>
      <c r="D130" s="186"/>
      <c r="E130" s="184"/>
      <c r="F130" s="184"/>
      <c r="G130" s="184"/>
      <c r="H130" s="184"/>
      <c r="I130" s="184"/>
      <c r="J130" s="184"/>
      <c r="K130" s="184"/>
      <c r="L130" s="184"/>
      <c r="M130" s="184"/>
      <c r="N130" s="184"/>
      <c r="O130" s="184"/>
      <c r="P130" s="124">
        <f t="shared" si="12"/>
        <v>0</v>
      </c>
    </row>
    <row r="131" spans="1:16" ht="15.75" x14ac:dyDescent="0.25">
      <c r="A131" s="239"/>
      <c r="B131" s="4"/>
      <c r="C131" s="188" t="s">
        <v>716</v>
      </c>
      <c r="D131" s="186"/>
      <c r="E131" s="184"/>
      <c r="F131" s="184"/>
      <c r="G131" s="184"/>
      <c r="H131" s="184"/>
      <c r="I131" s="184"/>
      <c r="J131" s="184"/>
      <c r="K131" s="184"/>
      <c r="L131" s="184"/>
      <c r="M131" s="184"/>
      <c r="N131" s="184"/>
      <c r="O131" s="184"/>
      <c r="P131" s="124">
        <f t="shared" si="12"/>
        <v>0</v>
      </c>
    </row>
    <row r="132" spans="1:16" ht="15.75" x14ac:dyDescent="0.25">
      <c r="A132" s="239"/>
      <c r="B132" s="4"/>
      <c r="C132" s="188" t="s">
        <v>717</v>
      </c>
      <c r="D132" s="186"/>
      <c r="E132" s="184"/>
      <c r="F132" s="184"/>
      <c r="G132" s="184"/>
      <c r="H132" s="184"/>
      <c r="I132" s="184"/>
      <c r="J132" s="184"/>
      <c r="K132" s="184"/>
      <c r="L132" s="184"/>
      <c r="M132" s="184"/>
      <c r="N132" s="184"/>
      <c r="O132" s="184"/>
      <c r="P132" s="124">
        <f t="shared" si="12"/>
        <v>0</v>
      </c>
    </row>
    <row r="133" spans="1:16" ht="15.75" x14ac:dyDescent="0.25">
      <c r="A133" s="239"/>
      <c r="B133" s="4"/>
      <c r="C133" s="188" t="s">
        <v>718</v>
      </c>
      <c r="D133" s="186"/>
      <c r="E133" s="184"/>
      <c r="F133" s="184">
        <v>4152</v>
      </c>
      <c r="G133" s="184"/>
      <c r="H133" s="184"/>
      <c r="I133" s="184"/>
      <c r="J133" s="184"/>
      <c r="K133" s="184"/>
      <c r="L133" s="184"/>
      <c r="M133" s="184"/>
      <c r="N133" s="184"/>
      <c r="O133" s="184"/>
      <c r="P133" s="124">
        <f t="shared" si="12"/>
        <v>4152</v>
      </c>
    </row>
    <row r="134" spans="1:16" ht="15.75" x14ac:dyDescent="0.25">
      <c r="A134" s="239"/>
      <c r="B134" s="4"/>
      <c r="C134" s="188" t="s">
        <v>719</v>
      </c>
      <c r="D134" s="186"/>
      <c r="E134" s="184"/>
      <c r="F134" s="184"/>
      <c r="G134" s="184"/>
      <c r="H134" s="184"/>
      <c r="I134" s="184"/>
      <c r="J134" s="184"/>
      <c r="K134" s="184"/>
      <c r="L134" s="184"/>
      <c r="M134" s="184"/>
      <c r="N134" s="184"/>
      <c r="O134" s="184"/>
      <c r="P134" s="124">
        <f t="shared" si="12"/>
        <v>0</v>
      </c>
    </row>
    <row r="135" spans="1:16" ht="15.75" x14ac:dyDescent="0.25">
      <c r="A135" s="239"/>
      <c r="B135" s="4"/>
      <c r="C135" s="188" t="s">
        <v>720</v>
      </c>
      <c r="D135" s="186"/>
      <c r="E135" s="184"/>
      <c r="F135" s="184"/>
      <c r="G135" s="184"/>
      <c r="H135" s="184"/>
      <c r="I135" s="184"/>
      <c r="J135" s="184"/>
      <c r="K135" s="184"/>
      <c r="L135" s="184"/>
      <c r="M135" s="184"/>
      <c r="N135" s="184"/>
      <c r="O135" s="184"/>
      <c r="P135" s="124">
        <f t="shared" si="12"/>
        <v>0</v>
      </c>
    </row>
    <row r="136" spans="1:16" ht="15.75" x14ac:dyDescent="0.25">
      <c r="A136" s="239"/>
      <c r="B136" s="4"/>
      <c r="C136" s="188" t="s">
        <v>721</v>
      </c>
      <c r="D136" s="186"/>
      <c r="E136" s="184">
        <v>3875</v>
      </c>
      <c r="F136" s="184"/>
      <c r="G136" s="184"/>
      <c r="H136" s="184"/>
      <c r="I136" s="184"/>
      <c r="J136" s="184"/>
      <c r="K136" s="184"/>
      <c r="L136" s="184"/>
      <c r="M136" s="184"/>
      <c r="N136" s="184"/>
      <c r="O136" s="184"/>
      <c r="P136" s="124">
        <f t="shared" si="12"/>
        <v>3875</v>
      </c>
    </row>
    <row r="137" spans="1:16" ht="15.75" x14ac:dyDescent="0.25">
      <c r="A137" s="239"/>
      <c r="B137" s="4"/>
      <c r="C137" s="188" t="s">
        <v>722</v>
      </c>
      <c r="D137" s="186"/>
      <c r="E137" s="184"/>
      <c r="F137" s="184"/>
      <c r="G137" s="184"/>
      <c r="H137" s="184"/>
      <c r="I137" s="184"/>
      <c r="J137" s="184"/>
      <c r="K137" s="184"/>
      <c r="L137" s="184"/>
      <c r="M137" s="184"/>
      <c r="N137" s="184"/>
      <c r="O137" s="184"/>
      <c r="P137" s="124">
        <f t="shared" si="12"/>
        <v>0</v>
      </c>
    </row>
    <row r="138" spans="1:16" ht="15.75" x14ac:dyDescent="0.25">
      <c r="A138" s="239"/>
      <c r="B138" s="4"/>
      <c r="C138" s="188" t="s">
        <v>723</v>
      </c>
      <c r="D138" s="186"/>
      <c r="E138" s="184"/>
      <c r="F138" s="184"/>
      <c r="G138" s="184"/>
      <c r="H138" s="184"/>
      <c r="I138" s="184"/>
      <c r="J138" s="184"/>
      <c r="K138" s="184"/>
      <c r="L138" s="184"/>
      <c r="M138" s="184"/>
      <c r="N138" s="184"/>
      <c r="O138" s="184"/>
      <c r="P138" s="124">
        <f t="shared" si="12"/>
        <v>0</v>
      </c>
    </row>
    <row r="139" spans="1:16" ht="15.75" x14ac:dyDescent="0.25">
      <c r="A139" s="239"/>
      <c r="B139" s="4"/>
      <c r="C139" s="188" t="s">
        <v>724</v>
      </c>
      <c r="D139" s="186"/>
      <c r="E139" s="184"/>
      <c r="F139" s="184"/>
      <c r="G139" s="184"/>
      <c r="H139" s="184"/>
      <c r="I139" s="184"/>
      <c r="J139" s="184"/>
      <c r="K139" s="184"/>
      <c r="L139" s="184"/>
      <c r="M139" s="184"/>
      <c r="N139" s="184"/>
      <c r="O139" s="184"/>
      <c r="P139" s="124">
        <f t="shared" si="12"/>
        <v>0</v>
      </c>
    </row>
    <row r="140" spans="1:16" ht="15.75" x14ac:dyDescent="0.25">
      <c r="A140" s="239"/>
      <c r="B140" s="4"/>
      <c r="C140" s="188" t="s">
        <v>725</v>
      </c>
      <c r="D140" s="186">
        <v>29100</v>
      </c>
      <c r="E140" s="184"/>
      <c r="F140" s="184"/>
      <c r="G140" s="184"/>
      <c r="H140" s="184"/>
      <c r="I140" s="184"/>
      <c r="J140" s="184"/>
      <c r="K140" s="184"/>
      <c r="L140" s="184"/>
      <c r="M140" s="184"/>
      <c r="N140" s="184"/>
      <c r="O140" s="184"/>
      <c r="P140" s="124">
        <f t="shared" si="12"/>
        <v>29100</v>
      </c>
    </row>
    <row r="141" spans="1:16" ht="15.75" x14ac:dyDescent="0.25">
      <c r="A141" s="239"/>
      <c r="B141" s="4"/>
      <c r="C141" s="188" t="s">
        <v>726</v>
      </c>
      <c r="D141" s="186"/>
      <c r="E141" s="184">
        <v>175000</v>
      </c>
      <c r="F141" s="184">
        <v>225000</v>
      </c>
      <c r="G141" s="184"/>
      <c r="H141" s="184"/>
      <c r="I141" s="184"/>
      <c r="J141" s="184"/>
      <c r="K141" s="184"/>
      <c r="L141" s="184"/>
      <c r="M141" s="184"/>
      <c r="N141" s="184"/>
      <c r="O141" s="184"/>
      <c r="P141" s="124">
        <f t="shared" si="12"/>
        <v>400000</v>
      </c>
    </row>
    <row r="142" spans="1:16" ht="15.75" x14ac:dyDescent="0.25">
      <c r="A142" s="239"/>
      <c r="B142" s="4"/>
      <c r="C142" s="188" t="s">
        <v>727</v>
      </c>
      <c r="D142" s="186"/>
      <c r="E142" s="184"/>
      <c r="F142" s="184"/>
      <c r="G142" s="184">
        <v>900000</v>
      </c>
      <c r="H142" s="184">
        <v>900000</v>
      </c>
      <c r="I142" s="184"/>
      <c r="J142" s="184"/>
      <c r="K142" s="184"/>
      <c r="L142" s="184"/>
      <c r="M142" s="184"/>
      <c r="N142" s="184"/>
      <c r="O142" s="184"/>
      <c r="P142" s="124">
        <f t="shared" si="12"/>
        <v>1800000</v>
      </c>
    </row>
    <row r="143" spans="1:16" ht="15.75" x14ac:dyDescent="0.25">
      <c r="A143" s="239"/>
      <c r="B143" s="4"/>
      <c r="C143" s="188" t="s">
        <v>728</v>
      </c>
      <c r="D143" s="186"/>
      <c r="E143" s="184"/>
      <c r="F143" s="184"/>
      <c r="G143" s="184"/>
      <c r="H143" s="184"/>
      <c r="I143" s="184">
        <v>500000</v>
      </c>
      <c r="J143" s="184"/>
      <c r="K143" s="184"/>
      <c r="L143" s="184"/>
      <c r="M143" s="184"/>
      <c r="N143" s="184"/>
      <c r="O143" s="184"/>
      <c r="P143" s="124">
        <f t="shared" si="12"/>
        <v>500000</v>
      </c>
    </row>
    <row r="144" spans="1:16" ht="15.75" x14ac:dyDescent="0.25">
      <c r="A144" s="239"/>
      <c r="B144" s="4"/>
      <c r="C144" s="188" t="s">
        <v>729</v>
      </c>
      <c r="D144" s="186">
        <v>50878</v>
      </c>
      <c r="E144" s="184"/>
      <c r="F144" s="184"/>
      <c r="G144" s="184"/>
      <c r="H144" s="184"/>
      <c r="I144" s="184"/>
      <c r="J144" s="184"/>
      <c r="K144" s="184"/>
      <c r="L144" s="184"/>
      <c r="M144" s="184"/>
      <c r="N144" s="184"/>
      <c r="O144" s="184"/>
      <c r="P144" s="124">
        <f t="shared" si="12"/>
        <v>50878</v>
      </c>
    </row>
    <row r="145" spans="1:16" ht="15.75" x14ac:dyDescent="0.25">
      <c r="A145" s="239"/>
      <c r="B145" s="4"/>
      <c r="C145" s="188" t="s">
        <v>730</v>
      </c>
      <c r="D145" s="186"/>
      <c r="E145" s="184"/>
      <c r="F145" s="184"/>
      <c r="G145" s="184"/>
      <c r="H145" s="184"/>
      <c r="I145" s="184"/>
      <c r="J145" s="184"/>
      <c r="K145" s="184"/>
      <c r="L145" s="184"/>
      <c r="M145" s="184"/>
      <c r="N145" s="184"/>
      <c r="O145" s="184"/>
      <c r="P145" s="124">
        <f t="shared" si="12"/>
        <v>0</v>
      </c>
    </row>
    <row r="146" spans="1:16" ht="15.75" x14ac:dyDescent="0.25">
      <c r="A146" s="239"/>
      <c r="B146" s="4"/>
      <c r="C146" s="188" t="s">
        <v>731</v>
      </c>
      <c r="D146" s="186"/>
      <c r="E146" s="184"/>
      <c r="F146" s="184"/>
      <c r="G146" s="184"/>
      <c r="H146" s="184"/>
      <c r="I146" s="184"/>
      <c r="J146" s="184"/>
      <c r="K146" s="184">
        <v>612000</v>
      </c>
      <c r="L146" s="184"/>
      <c r="M146" s="184"/>
      <c r="N146" s="184"/>
      <c r="O146" s="184"/>
      <c r="P146" s="124">
        <f t="shared" si="12"/>
        <v>612000</v>
      </c>
    </row>
    <row r="147" spans="1:16" ht="15.75" x14ac:dyDescent="0.25">
      <c r="A147" s="239"/>
      <c r="B147" s="4"/>
      <c r="C147" s="188" t="s">
        <v>732</v>
      </c>
      <c r="D147" s="186"/>
      <c r="E147" s="184"/>
      <c r="F147" s="184"/>
      <c r="G147" s="184"/>
      <c r="H147" s="184"/>
      <c r="I147" s="184"/>
      <c r="J147" s="184"/>
      <c r="K147" s="184"/>
      <c r="L147" s="184"/>
      <c r="M147" s="184"/>
      <c r="N147" s="184"/>
      <c r="O147" s="184"/>
      <c r="P147" s="124">
        <f t="shared" si="12"/>
        <v>0</v>
      </c>
    </row>
    <row r="148" spans="1:16" ht="15.75" x14ac:dyDescent="0.25">
      <c r="A148" s="239"/>
      <c r="B148" s="4"/>
      <c r="C148" s="188" t="s">
        <v>733</v>
      </c>
      <c r="D148" s="186"/>
      <c r="E148" s="184"/>
      <c r="F148" s="184"/>
      <c r="G148" s="184"/>
      <c r="H148" s="184"/>
      <c r="I148" s="184"/>
      <c r="J148" s="184">
        <v>66426</v>
      </c>
      <c r="K148" s="184"/>
      <c r="L148" s="184"/>
      <c r="M148" s="184"/>
      <c r="N148" s="184"/>
      <c r="O148" s="184"/>
      <c r="P148" s="124">
        <f t="shared" si="12"/>
        <v>66426</v>
      </c>
    </row>
    <row r="149" spans="1:16" ht="15.75" x14ac:dyDescent="0.25">
      <c r="A149" s="239"/>
      <c r="B149" s="4"/>
      <c r="C149" s="188" t="s">
        <v>734</v>
      </c>
      <c r="D149" s="186"/>
      <c r="E149" s="184"/>
      <c r="F149" s="184"/>
      <c r="G149" s="184"/>
      <c r="H149" s="184"/>
      <c r="I149" s="184"/>
      <c r="J149" s="184"/>
      <c r="K149" s="184">
        <v>33213</v>
      </c>
      <c r="L149" s="184"/>
      <c r="M149" s="184"/>
      <c r="N149" s="184"/>
      <c r="O149" s="184"/>
      <c r="P149" s="124">
        <f t="shared" si="12"/>
        <v>33213</v>
      </c>
    </row>
    <row r="150" spans="1:16" ht="15.75" x14ac:dyDescent="0.25">
      <c r="A150" s="239"/>
      <c r="B150" s="4"/>
      <c r="C150" s="188" t="s">
        <v>735</v>
      </c>
      <c r="D150" s="186"/>
      <c r="E150" s="184"/>
      <c r="F150" s="184"/>
      <c r="G150" s="184"/>
      <c r="H150" s="184">
        <v>38749</v>
      </c>
      <c r="I150" s="184"/>
      <c r="J150" s="184"/>
      <c r="K150" s="184"/>
      <c r="L150" s="184"/>
      <c r="M150" s="184"/>
      <c r="N150" s="184"/>
      <c r="O150" s="184"/>
      <c r="P150" s="124">
        <f t="shared" si="12"/>
        <v>38749</v>
      </c>
    </row>
    <row r="151" spans="1:16" ht="15.75" x14ac:dyDescent="0.25">
      <c r="A151" s="239"/>
      <c r="B151" s="4"/>
      <c r="C151" s="188" t="s">
        <v>736</v>
      </c>
      <c r="D151" s="186"/>
      <c r="E151" s="184"/>
      <c r="F151" s="184"/>
      <c r="G151" s="184">
        <v>17664</v>
      </c>
      <c r="H151" s="184"/>
      <c r="I151" s="184"/>
      <c r="J151" s="184"/>
      <c r="K151" s="184"/>
      <c r="L151" s="184"/>
      <c r="M151" s="184"/>
      <c r="N151" s="184"/>
      <c r="O151" s="184"/>
      <c r="P151" s="124">
        <f t="shared" si="12"/>
        <v>17664</v>
      </c>
    </row>
    <row r="152" spans="1:16" ht="15.75" x14ac:dyDescent="0.25">
      <c r="A152" s="239"/>
      <c r="B152" s="4"/>
      <c r="C152" s="188" t="s">
        <v>737</v>
      </c>
      <c r="D152" s="186"/>
      <c r="E152" s="184"/>
      <c r="F152" s="184"/>
      <c r="G152" s="184"/>
      <c r="H152" s="184"/>
      <c r="I152" s="184"/>
      <c r="J152" s="184"/>
      <c r="K152" s="184"/>
      <c r="L152" s="184"/>
      <c r="M152" s="184"/>
      <c r="N152" s="184"/>
      <c r="O152" s="184">
        <v>23000</v>
      </c>
      <c r="P152" s="124">
        <f t="shared" si="12"/>
        <v>23000</v>
      </c>
    </row>
    <row r="153" spans="1:16" ht="15.75" x14ac:dyDescent="0.25">
      <c r="A153" s="239"/>
      <c r="B153" s="4"/>
      <c r="C153" s="3" t="s">
        <v>738</v>
      </c>
      <c r="D153" s="186"/>
      <c r="E153" s="184"/>
      <c r="F153" s="184"/>
      <c r="G153" s="184"/>
      <c r="H153" s="184"/>
      <c r="I153" s="184"/>
      <c r="J153" s="184"/>
      <c r="K153" s="184"/>
      <c r="L153" s="184"/>
      <c r="M153" s="184"/>
      <c r="N153" s="184"/>
      <c r="O153" s="184"/>
      <c r="P153" s="124">
        <f t="shared" si="12"/>
        <v>0</v>
      </c>
    </row>
    <row r="154" spans="1:16" ht="15.75" x14ac:dyDescent="0.25">
      <c r="A154" s="239"/>
      <c r="B154" s="4"/>
      <c r="C154" s="188" t="s">
        <v>739</v>
      </c>
      <c r="D154" s="186"/>
      <c r="E154" s="184"/>
      <c r="F154" s="184"/>
      <c r="G154" s="184"/>
      <c r="H154" s="184"/>
      <c r="I154" s="184">
        <v>69069</v>
      </c>
      <c r="J154" s="184"/>
      <c r="K154" s="184"/>
      <c r="L154" s="184"/>
      <c r="M154" s="184"/>
      <c r="N154" s="184"/>
      <c r="O154" s="184"/>
      <c r="P154" s="124">
        <f t="shared" si="12"/>
        <v>69069</v>
      </c>
    </row>
    <row r="155" spans="1:16" ht="15.75" x14ac:dyDescent="0.25">
      <c r="A155" s="239"/>
      <c r="B155" s="4"/>
      <c r="C155" s="188" t="s">
        <v>740</v>
      </c>
      <c r="D155" s="186"/>
      <c r="E155" s="184"/>
      <c r="F155" s="184"/>
      <c r="G155" s="184"/>
      <c r="H155" s="184"/>
      <c r="I155" s="184"/>
      <c r="J155" s="184">
        <v>9591</v>
      </c>
      <c r="K155" s="184"/>
      <c r="L155" s="184"/>
      <c r="M155" s="184"/>
      <c r="N155" s="184"/>
      <c r="O155" s="184"/>
      <c r="P155" s="124">
        <f t="shared" si="12"/>
        <v>9591</v>
      </c>
    </row>
    <row r="156" spans="1:16" ht="15.75" x14ac:dyDescent="0.25">
      <c r="A156" s="239"/>
      <c r="B156" s="4"/>
      <c r="C156" s="188" t="s">
        <v>741</v>
      </c>
      <c r="D156" s="186"/>
      <c r="E156" s="184"/>
      <c r="F156" s="184"/>
      <c r="G156" s="184"/>
      <c r="H156" s="184"/>
      <c r="I156" s="184"/>
      <c r="J156" s="184"/>
      <c r="K156" s="184"/>
      <c r="L156" s="184">
        <v>28883</v>
      </c>
      <c r="M156" s="184"/>
      <c r="N156" s="184"/>
      <c r="O156" s="184"/>
      <c r="P156" s="124">
        <f t="shared" si="12"/>
        <v>28883</v>
      </c>
    </row>
    <row r="157" spans="1:16" ht="15.75" x14ac:dyDescent="0.25">
      <c r="A157" s="239"/>
      <c r="B157" s="4"/>
      <c r="C157" s="188" t="s">
        <v>742</v>
      </c>
      <c r="D157" s="186"/>
      <c r="E157" s="184"/>
      <c r="F157" s="184"/>
      <c r="G157" s="184">
        <v>4152</v>
      </c>
      <c r="H157" s="184"/>
      <c r="I157" s="184"/>
      <c r="J157" s="184"/>
      <c r="K157" s="184"/>
      <c r="L157" s="184"/>
      <c r="M157" s="184"/>
      <c r="N157" s="184"/>
      <c r="O157" s="184"/>
      <c r="P157" s="124">
        <f t="shared" si="12"/>
        <v>4152</v>
      </c>
    </row>
    <row r="158" spans="1:16" ht="15.75" x14ac:dyDescent="0.25">
      <c r="A158" s="239"/>
      <c r="B158" s="4"/>
      <c r="C158" s="188" t="s">
        <v>743</v>
      </c>
      <c r="D158" s="186"/>
      <c r="E158" s="184"/>
      <c r="F158" s="184"/>
      <c r="G158" s="184"/>
      <c r="H158" s="184"/>
      <c r="I158" s="184">
        <v>13839</v>
      </c>
      <c r="J158" s="184"/>
      <c r="K158" s="184"/>
      <c r="L158" s="184"/>
      <c r="M158" s="184"/>
      <c r="N158" s="184"/>
      <c r="O158" s="184"/>
      <c r="P158" s="124">
        <f t="shared" si="12"/>
        <v>13839</v>
      </c>
    </row>
    <row r="159" spans="1:16" ht="15.75" x14ac:dyDescent="0.25">
      <c r="A159" s="239"/>
      <c r="B159" s="4"/>
      <c r="C159" s="188" t="s">
        <v>744</v>
      </c>
      <c r="D159" s="186"/>
      <c r="E159" s="184">
        <v>7473</v>
      </c>
      <c r="F159" s="184"/>
      <c r="G159" s="184"/>
      <c r="H159" s="184"/>
      <c r="I159" s="184"/>
      <c r="J159" s="184"/>
      <c r="K159" s="184"/>
      <c r="L159" s="184"/>
      <c r="M159" s="184"/>
      <c r="N159" s="184"/>
      <c r="O159" s="184"/>
      <c r="P159" s="124">
        <f t="shared" si="12"/>
        <v>7473</v>
      </c>
    </row>
    <row r="160" spans="1:16" ht="15.75" x14ac:dyDescent="0.25">
      <c r="A160" s="239"/>
      <c r="B160" s="4"/>
      <c r="C160" s="188" t="s">
        <v>745</v>
      </c>
      <c r="D160" s="186"/>
      <c r="E160" s="184"/>
      <c r="F160" s="184"/>
      <c r="G160" s="184"/>
      <c r="H160" s="184"/>
      <c r="I160" s="184"/>
      <c r="J160" s="184"/>
      <c r="K160" s="184"/>
      <c r="L160" s="184"/>
      <c r="M160" s="184"/>
      <c r="N160" s="184">
        <v>83032</v>
      </c>
      <c r="O160" s="184"/>
      <c r="P160" s="124">
        <f t="shared" si="12"/>
        <v>83032</v>
      </c>
    </row>
    <row r="161" spans="1:16" ht="15.75" x14ac:dyDescent="0.25">
      <c r="A161" s="239"/>
      <c r="B161" s="4"/>
      <c r="C161" s="188" t="s">
        <v>746</v>
      </c>
      <c r="D161" s="186"/>
      <c r="E161" s="184">
        <v>12455</v>
      </c>
      <c r="F161" s="184"/>
      <c r="G161" s="184"/>
      <c r="H161" s="184"/>
      <c r="I161" s="184"/>
      <c r="J161" s="184"/>
      <c r="K161" s="184"/>
      <c r="L161" s="184"/>
      <c r="M161" s="184"/>
      <c r="N161" s="184"/>
      <c r="O161" s="184"/>
      <c r="P161" s="124">
        <f t="shared" si="12"/>
        <v>12455</v>
      </c>
    </row>
    <row r="162" spans="1:16" ht="15.75" x14ac:dyDescent="0.25">
      <c r="A162" s="239"/>
      <c r="B162" s="4"/>
      <c r="C162" s="188" t="s">
        <v>747</v>
      </c>
      <c r="D162" s="186">
        <v>16606</v>
      </c>
      <c r="E162" s="184"/>
      <c r="F162" s="184"/>
      <c r="G162" s="184"/>
      <c r="H162" s="184"/>
      <c r="I162" s="184"/>
      <c r="J162" s="184"/>
      <c r="K162" s="184"/>
      <c r="L162" s="184"/>
      <c r="M162" s="184"/>
      <c r="N162" s="184"/>
      <c r="O162" s="184"/>
      <c r="P162" s="124">
        <f t="shared" si="12"/>
        <v>16606</v>
      </c>
    </row>
    <row r="163" spans="1:16" ht="15.75" x14ac:dyDescent="0.25">
      <c r="A163" s="239"/>
      <c r="B163" s="4"/>
      <c r="C163" s="188" t="s">
        <v>748</v>
      </c>
      <c r="D163" s="186"/>
      <c r="E163" s="184"/>
      <c r="F163" s="184"/>
      <c r="G163" s="184"/>
      <c r="H163" s="184">
        <v>77495</v>
      </c>
      <c r="I163" s="184"/>
      <c r="J163" s="184"/>
      <c r="K163" s="184"/>
      <c r="L163" s="184"/>
      <c r="M163" s="184"/>
      <c r="N163" s="184"/>
      <c r="O163" s="184"/>
      <c r="P163" s="124">
        <f t="shared" si="12"/>
        <v>77495</v>
      </c>
    </row>
    <row r="164" spans="1:16" ht="15.75" x14ac:dyDescent="0.25">
      <c r="A164" s="239"/>
      <c r="B164" s="4"/>
      <c r="C164" s="188" t="s">
        <v>749</v>
      </c>
      <c r="D164" s="186"/>
      <c r="E164" s="184"/>
      <c r="F164" s="184"/>
      <c r="G164" s="184"/>
      <c r="H164" s="184"/>
      <c r="I164" s="184"/>
      <c r="J164" s="184">
        <v>11071</v>
      </c>
      <c r="K164" s="184"/>
      <c r="L164" s="184"/>
      <c r="M164" s="184"/>
      <c r="N164" s="184"/>
      <c r="O164" s="184"/>
      <c r="P164" s="124">
        <f t="shared" si="12"/>
        <v>11071</v>
      </c>
    </row>
    <row r="165" spans="1:16" ht="15.75" x14ac:dyDescent="0.25">
      <c r="A165" s="239"/>
      <c r="B165" s="4"/>
      <c r="C165" s="188" t="s">
        <v>750</v>
      </c>
      <c r="D165" s="186"/>
      <c r="E165" s="184"/>
      <c r="F165" s="184"/>
      <c r="G165" s="184"/>
      <c r="H165" s="184">
        <v>19373</v>
      </c>
      <c r="I165" s="184"/>
      <c r="J165" s="184"/>
      <c r="K165" s="184"/>
      <c r="L165" s="184"/>
      <c r="M165" s="184"/>
      <c r="N165" s="184"/>
      <c r="O165" s="184"/>
      <c r="P165" s="124">
        <f t="shared" si="12"/>
        <v>19373</v>
      </c>
    </row>
    <row r="166" spans="1:16" ht="15.75" x14ac:dyDescent="0.25">
      <c r="A166" s="239"/>
      <c r="B166" s="4"/>
      <c r="C166" s="188" t="s">
        <v>751</v>
      </c>
      <c r="D166" s="186"/>
      <c r="E166" s="184"/>
      <c r="F166" s="184"/>
      <c r="G166" s="184"/>
      <c r="H166" s="184"/>
      <c r="I166" s="184"/>
      <c r="J166" s="184"/>
      <c r="K166" s="184"/>
      <c r="L166" s="184"/>
      <c r="M166" s="184">
        <v>9964</v>
      </c>
      <c r="N166" s="184"/>
      <c r="O166" s="184"/>
      <c r="P166" s="124">
        <f t="shared" si="12"/>
        <v>9964</v>
      </c>
    </row>
    <row r="167" spans="1:16" ht="15.75" x14ac:dyDescent="0.25">
      <c r="A167" s="239"/>
      <c r="B167" s="4"/>
      <c r="C167" s="188" t="s">
        <v>752</v>
      </c>
      <c r="D167" s="186"/>
      <c r="E167" s="184"/>
      <c r="F167" s="184"/>
      <c r="G167" s="184"/>
      <c r="H167" s="184"/>
      <c r="I167" s="184"/>
      <c r="J167" s="184"/>
      <c r="K167" s="184"/>
      <c r="L167" s="184"/>
      <c r="M167" s="184"/>
      <c r="N167" s="184"/>
      <c r="O167" s="184"/>
      <c r="P167" s="124">
        <f t="shared" si="12"/>
        <v>0</v>
      </c>
    </row>
    <row r="168" spans="1:16" ht="15.75" x14ac:dyDescent="0.25">
      <c r="A168" s="239"/>
      <c r="B168" s="4"/>
      <c r="C168" s="188" t="s">
        <v>753</v>
      </c>
      <c r="D168" s="186"/>
      <c r="E168" s="184"/>
      <c r="F168" s="184"/>
      <c r="G168" s="184"/>
      <c r="H168" s="184">
        <v>3321</v>
      </c>
      <c r="I168" s="184"/>
      <c r="J168" s="184"/>
      <c r="K168" s="184"/>
      <c r="L168" s="184"/>
      <c r="M168" s="184"/>
      <c r="N168" s="184"/>
      <c r="O168" s="184"/>
      <c r="P168" s="124">
        <f t="shared" si="12"/>
        <v>3321</v>
      </c>
    </row>
    <row r="169" spans="1:16" ht="15.75" x14ac:dyDescent="0.25">
      <c r="A169" s="239"/>
      <c r="B169" s="4"/>
      <c r="C169" s="188" t="s">
        <v>754</v>
      </c>
      <c r="D169" s="186"/>
      <c r="E169" s="184"/>
      <c r="F169" s="184"/>
      <c r="G169" s="184"/>
      <c r="H169" s="184"/>
      <c r="I169" s="184"/>
      <c r="J169" s="184"/>
      <c r="K169" s="184"/>
      <c r="L169" s="184"/>
      <c r="M169" s="184"/>
      <c r="N169" s="184"/>
      <c r="O169" s="184"/>
      <c r="P169" s="124">
        <f t="shared" si="12"/>
        <v>0</v>
      </c>
    </row>
    <row r="170" spans="1:16" ht="15.75" x14ac:dyDescent="0.25">
      <c r="A170" s="239"/>
      <c r="B170" s="4"/>
      <c r="C170" s="188" t="s">
        <v>755</v>
      </c>
      <c r="D170" s="186"/>
      <c r="E170" s="184"/>
      <c r="F170" s="184"/>
      <c r="G170" s="184"/>
      <c r="H170" s="184">
        <v>39675</v>
      </c>
      <c r="I170" s="184"/>
      <c r="J170" s="184"/>
      <c r="K170" s="184"/>
      <c r="L170" s="184"/>
      <c r="M170" s="184"/>
      <c r="N170" s="184"/>
      <c r="O170" s="184"/>
      <c r="P170" s="124">
        <f t="shared" si="12"/>
        <v>39675</v>
      </c>
    </row>
    <row r="171" spans="1:16" ht="15.75" x14ac:dyDescent="0.25">
      <c r="A171" s="239"/>
      <c r="B171" s="4"/>
      <c r="C171" s="188" t="s">
        <v>756</v>
      </c>
      <c r="D171" s="186"/>
      <c r="E171" s="184"/>
      <c r="F171" s="184"/>
      <c r="G171" s="184"/>
      <c r="H171" s="184"/>
      <c r="I171" s="184"/>
      <c r="J171" s="184"/>
      <c r="K171" s="184"/>
      <c r="L171" s="184"/>
      <c r="M171" s="184"/>
      <c r="N171" s="184"/>
      <c r="O171" s="184"/>
      <c r="P171" s="124">
        <f t="shared" si="12"/>
        <v>0</v>
      </c>
    </row>
    <row r="172" spans="1:16" ht="15.75" x14ac:dyDescent="0.25">
      <c r="A172" s="239"/>
      <c r="B172" s="4"/>
      <c r="C172" s="188" t="s">
        <v>757</v>
      </c>
      <c r="D172" s="186"/>
      <c r="E172" s="184"/>
      <c r="F172" s="184"/>
      <c r="G172" s="184"/>
      <c r="H172" s="184"/>
      <c r="I172" s="184"/>
      <c r="J172" s="184"/>
      <c r="K172" s="184"/>
      <c r="L172" s="184"/>
      <c r="M172" s="184"/>
      <c r="N172" s="184"/>
      <c r="O172" s="184"/>
      <c r="P172" s="124">
        <f t="shared" si="12"/>
        <v>0</v>
      </c>
    </row>
    <row r="173" spans="1:16" ht="15.75" x14ac:dyDescent="0.25">
      <c r="A173" s="239"/>
      <c r="B173" s="4"/>
      <c r="C173" s="3" t="s">
        <v>758</v>
      </c>
      <c r="D173" s="186"/>
      <c r="E173" s="184"/>
      <c r="F173" s="184"/>
      <c r="G173" s="184"/>
      <c r="H173" s="184"/>
      <c r="I173" s="184"/>
      <c r="J173" s="184"/>
      <c r="K173" s="184"/>
      <c r="L173" s="184"/>
      <c r="M173" s="184"/>
      <c r="N173" s="184"/>
      <c r="O173" s="184"/>
      <c r="P173" s="124">
        <f t="shared" si="12"/>
        <v>0</v>
      </c>
    </row>
    <row r="174" spans="1:16" ht="15.75" x14ac:dyDescent="0.25">
      <c r="A174" s="239"/>
      <c r="B174" s="4"/>
      <c r="C174" s="188" t="s">
        <v>759</v>
      </c>
      <c r="D174" s="186"/>
      <c r="E174" s="184"/>
      <c r="F174" s="184"/>
      <c r="G174" s="184"/>
      <c r="H174" s="184"/>
      <c r="I174" s="184"/>
      <c r="J174" s="184"/>
      <c r="K174" s="184">
        <v>8303</v>
      </c>
      <c r="L174" s="184"/>
      <c r="M174" s="184"/>
      <c r="N174" s="184"/>
      <c r="O174" s="184"/>
      <c r="P174" s="124">
        <f t="shared" si="12"/>
        <v>8303</v>
      </c>
    </row>
    <row r="175" spans="1:16" ht="15.75" x14ac:dyDescent="0.25">
      <c r="A175" s="239"/>
      <c r="B175" s="4"/>
      <c r="C175" s="188" t="s">
        <v>760</v>
      </c>
      <c r="D175" s="186"/>
      <c r="E175" s="184"/>
      <c r="F175" s="184"/>
      <c r="G175" s="184"/>
      <c r="H175" s="184"/>
      <c r="I175" s="184"/>
      <c r="J175" s="184"/>
      <c r="K175" s="184"/>
      <c r="L175" s="184"/>
      <c r="M175" s="184"/>
      <c r="N175" s="184"/>
      <c r="O175" s="184"/>
      <c r="P175" s="124">
        <f t="shared" si="12"/>
        <v>0</v>
      </c>
    </row>
    <row r="176" spans="1:16" ht="15.75" x14ac:dyDescent="0.25">
      <c r="A176" s="239"/>
      <c r="B176" s="4"/>
      <c r="C176" s="188" t="s">
        <v>761</v>
      </c>
      <c r="D176" s="186"/>
      <c r="E176" s="184"/>
      <c r="F176" s="184"/>
      <c r="G176" s="184"/>
      <c r="H176" s="184">
        <v>6919</v>
      </c>
      <c r="I176" s="184"/>
      <c r="J176" s="184"/>
      <c r="K176" s="184"/>
      <c r="L176" s="184"/>
      <c r="M176" s="184"/>
      <c r="N176" s="184"/>
      <c r="O176" s="184"/>
      <c r="P176" s="124">
        <f t="shared" si="12"/>
        <v>6919</v>
      </c>
    </row>
    <row r="177" spans="1:16" ht="15.75" x14ac:dyDescent="0.25">
      <c r="A177" s="239"/>
      <c r="B177" s="4"/>
      <c r="C177" s="188" t="s">
        <v>762</v>
      </c>
      <c r="D177" s="186"/>
      <c r="E177" s="184"/>
      <c r="F177" s="184"/>
      <c r="G177" s="184"/>
      <c r="H177" s="184"/>
      <c r="I177" s="184"/>
      <c r="J177" s="184">
        <v>20758</v>
      </c>
      <c r="K177" s="184"/>
      <c r="L177" s="184"/>
      <c r="M177" s="184"/>
      <c r="N177" s="184"/>
      <c r="O177" s="184"/>
      <c r="P177" s="124">
        <f t="shared" si="12"/>
        <v>20758</v>
      </c>
    </row>
    <row r="178" spans="1:16" ht="15.75" x14ac:dyDescent="0.25">
      <c r="A178" s="239"/>
      <c r="B178" s="4"/>
      <c r="C178" s="188" t="s">
        <v>763</v>
      </c>
      <c r="D178" s="186"/>
      <c r="E178" s="184"/>
      <c r="F178" s="184"/>
      <c r="G178" s="184"/>
      <c r="H178" s="184"/>
      <c r="I178" s="184"/>
      <c r="J178" s="184"/>
      <c r="K178" s="184"/>
      <c r="L178" s="184"/>
      <c r="M178" s="184"/>
      <c r="N178" s="184"/>
      <c r="O178" s="184"/>
      <c r="P178" s="124">
        <f t="shared" si="12"/>
        <v>0</v>
      </c>
    </row>
    <row r="179" spans="1:16" ht="15.75" x14ac:dyDescent="0.25">
      <c r="A179" s="239"/>
      <c r="B179" s="4"/>
      <c r="C179" s="188" t="s">
        <v>764</v>
      </c>
      <c r="D179" s="186"/>
      <c r="E179" s="184"/>
      <c r="F179" s="184"/>
      <c r="G179" s="184"/>
      <c r="H179" s="184"/>
      <c r="I179" s="184"/>
      <c r="J179" s="184"/>
      <c r="K179" s="184"/>
      <c r="L179" s="184"/>
      <c r="M179" s="184"/>
      <c r="N179" s="184">
        <v>78025</v>
      </c>
      <c r="O179" s="184"/>
      <c r="P179" s="124">
        <f t="shared" si="12"/>
        <v>78025</v>
      </c>
    </row>
    <row r="180" spans="1:16" ht="15.75" x14ac:dyDescent="0.25">
      <c r="A180" s="239"/>
      <c r="B180" s="4"/>
      <c r="C180" s="188" t="s">
        <v>765</v>
      </c>
      <c r="D180" s="186"/>
      <c r="E180" s="184"/>
      <c r="F180" s="184"/>
      <c r="G180" s="184"/>
      <c r="H180" s="184"/>
      <c r="I180" s="184"/>
      <c r="J180" s="184"/>
      <c r="K180" s="184"/>
      <c r="L180" s="184"/>
      <c r="M180" s="184"/>
      <c r="N180" s="184"/>
      <c r="O180" s="184"/>
      <c r="P180" s="124">
        <f t="shared" si="12"/>
        <v>0</v>
      </c>
    </row>
    <row r="181" spans="1:16" ht="15.75" x14ac:dyDescent="0.25">
      <c r="A181" s="239"/>
      <c r="B181" s="4"/>
      <c r="C181" s="188" t="s">
        <v>766</v>
      </c>
      <c r="D181" s="186">
        <v>4000</v>
      </c>
      <c r="E181" s="184"/>
      <c r="F181" s="184"/>
      <c r="G181" s="184"/>
      <c r="H181" s="184"/>
      <c r="I181" s="184"/>
      <c r="J181" s="184"/>
      <c r="K181" s="184"/>
      <c r="L181" s="184"/>
      <c r="M181" s="184"/>
      <c r="N181" s="184"/>
      <c r="O181" s="184"/>
      <c r="P181" s="124">
        <f t="shared" si="12"/>
        <v>4000</v>
      </c>
    </row>
    <row r="182" spans="1:16" ht="15.75" x14ac:dyDescent="0.25">
      <c r="A182" s="239"/>
      <c r="B182" s="4"/>
      <c r="C182" s="188" t="s">
        <v>767</v>
      </c>
      <c r="D182" s="186"/>
      <c r="E182" s="184"/>
      <c r="F182" s="184"/>
      <c r="G182" s="184"/>
      <c r="H182" s="184"/>
      <c r="I182" s="184">
        <v>165000</v>
      </c>
      <c r="J182" s="184"/>
      <c r="K182" s="184"/>
      <c r="L182" s="184"/>
      <c r="M182" s="184"/>
      <c r="N182" s="184"/>
      <c r="O182" s="184"/>
      <c r="P182" s="124">
        <f t="shared" si="12"/>
        <v>165000</v>
      </c>
    </row>
    <row r="183" spans="1:16" ht="15.75" x14ac:dyDescent="0.25">
      <c r="A183" s="239"/>
      <c r="B183" s="4"/>
      <c r="C183" s="188" t="s">
        <v>768</v>
      </c>
      <c r="D183" s="186"/>
      <c r="E183" s="184"/>
      <c r="F183" s="184"/>
      <c r="G183" s="184"/>
      <c r="H183" s="184"/>
      <c r="I183" s="184"/>
      <c r="J183" s="184"/>
      <c r="K183" s="184"/>
      <c r="L183" s="184"/>
      <c r="M183" s="184"/>
      <c r="N183" s="184"/>
      <c r="O183" s="184"/>
      <c r="P183" s="124">
        <f t="shared" si="12"/>
        <v>0</v>
      </c>
    </row>
    <row r="184" spans="1:16" ht="15.75" x14ac:dyDescent="0.25">
      <c r="A184" s="239"/>
      <c r="B184" s="4"/>
      <c r="C184" s="188" t="s">
        <v>769</v>
      </c>
      <c r="D184" s="186"/>
      <c r="E184" s="184"/>
      <c r="F184" s="184"/>
      <c r="G184" s="184"/>
      <c r="H184" s="184">
        <v>20758</v>
      </c>
      <c r="I184" s="184"/>
      <c r="J184" s="184"/>
      <c r="K184" s="184"/>
      <c r="L184" s="184"/>
      <c r="M184" s="184">
        <v>20758</v>
      </c>
      <c r="N184" s="184"/>
      <c r="O184" s="184"/>
      <c r="P184" s="124">
        <f t="shared" si="12"/>
        <v>41516</v>
      </c>
    </row>
    <row r="185" spans="1:16" ht="15.75" x14ac:dyDescent="0.25">
      <c r="A185" s="239"/>
      <c r="B185" s="4"/>
      <c r="C185" s="188" t="s">
        <v>770</v>
      </c>
      <c r="D185" s="186"/>
      <c r="E185" s="184"/>
      <c r="F185" s="184"/>
      <c r="G185" s="184"/>
      <c r="H185" s="184">
        <v>5928</v>
      </c>
      <c r="I185" s="184"/>
      <c r="J185" s="184"/>
      <c r="K185" s="184"/>
      <c r="L185" s="184"/>
      <c r="M185" s="184"/>
      <c r="N185" s="184"/>
      <c r="O185" s="184"/>
      <c r="P185" s="124">
        <f t="shared" si="12"/>
        <v>5928</v>
      </c>
    </row>
    <row r="186" spans="1:16" ht="15.75" x14ac:dyDescent="0.25">
      <c r="A186" s="239"/>
      <c r="B186" s="4"/>
      <c r="C186" s="188" t="s">
        <v>771</v>
      </c>
      <c r="D186" s="186"/>
      <c r="E186" s="184"/>
      <c r="F186" s="184"/>
      <c r="G186" s="184"/>
      <c r="H186" s="184"/>
      <c r="I186" s="184"/>
      <c r="J186" s="184"/>
      <c r="K186" s="184"/>
      <c r="L186" s="184"/>
      <c r="M186" s="184"/>
      <c r="N186" s="184"/>
      <c r="O186" s="184"/>
      <c r="P186" s="124">
        <f t="shared" si="12"/>
        <v>0</v>
      </c>
    </row>
    <row r="187" spans="1:16" ht="15.75" x14ac:dyDescent="0.25">
      <c r="A187" s="239"/>
      <c r="B187" s="4"/>
      <c r="C187" s="188" t="s">
        <v>772</v>
      </c>
      <c r="D187" s="186"/>
      <c r="E187" s="184"/>
      <c r="F187" s="184"/>
      <c r="G187" s="184"/>
      <c r="H187" s="184"/>
      <c r="I187" s="184"/>
      <c r="J187" s="184"/>
      <c r="K187" s="184"/>
      <c r="L187" s="184"/>
      <c r="M187" s="184"/>
      <c r="N187" s="184">
        <v>20000</v>
      </c>
      <c r="O187" s="184"/>
      <c r="P187" s="124">
        <f t="shared" si="12"/>
        <v>20000</v>
      </c>
    </row>
    <row r="188" spans="1:16" ht="15.75" x14ac:dyDescent="0.25">
      <c r="A188" s="239"/>
      <c r="B188" s="4"/>
      <c r="C188" s="188" t="s">
        <v>773</v>
      </c>
      <c r="D188" s="186"/>
      <c r="E188" s="184"/>
      <c r="F188" s="184"/>
      <c r="G188" s="184"/>
      <c r="H188" s="184">
        <v>7000</v>
      </c>
      <c r="I188" s="184"/>
      <c r="J188" s="184"/>
      <c r="K188" s="184"/>
      <c r="L188" s="184"/>
      <c r="M188" s="184"/>
      <c r="N188" s="184"/>
      <c r="O188" s="184"/>
      <c r="P188" s="124">
        <f t="shared" si="12"/>
        <v>7000</v>
      </c>
    </row>
    <row r="189" spans="1:16" ht="15.75" x14ac:dyDescent="0.25">
      <c r="A189" s="239"/>
      <c r="B189" s="4"/>
      <c r="C189" s="188" t="s">
        <v>774</v>
      </c>
      <c r="D189" s="186"/>
      <c r="E189" s="184"/>
      <c r="F189" s="184"/>
      <c r="G189" s="184"/>
      <c r="H189" s="184">
        <v>3000</v>
      </c>
      <c r="I189" s="184"/>
      <c r="J189" s="184"/>
      <c r="K189" s="184"/>
      <c r="L189" s="184"/>
      <c r="M189" s="184"/>
      <c r="N189" s="184"/>
      <c r="O189" s="184"/>
      <c r="P189" s="124">
        <f t="shared" si="12"/>
        <v>3000</v>
      </c>
    </row>
    <row r="190" spans="1:16" ht="15.75" x14ac:dyDescent="0.25">
      <c r="A190" s="239"/>
      <c r="B190" s="4"/>
      <c r="C190" s="188" t="s">
        <v>775</v>
      </c>
      <c r="D190" s="186"/>
      <c r="E190" s="184"/>
      <c r="F190" s="184"/>
      <c r="G190" s="184"/>
      <c r="H190" s="184">
        <v>2100</v>
      </c>
      <c r="I190" s="184"/>
      <c r="J190" s="184"/>
      <c r="K190" s="184"/>
      <c r="L190" s="184"/>
      <c r="M190" s="184"/>
      <c r="N190" s="184"/>
      <c r="O190" s="184"/>
      <c r="P190" s="124">
        <f t="shared" si="12"/>
        <v>2100</v>
      </c>
    </row>
    <row r="191" spans="1:16" ht="15.75" x14ac:dyDescent="0.25">
      <c r="A191" s="239"/>
      <c r="B191" s="4"/>
      <c r="C191" s="188" t="s">
        <v>776</v>
      </c>
      <c r="D191" s="186"/>
      <c r="E191" s="184"/>
      <c r="F191" s="184"/>
      <c r="G191" s="184"/>
      <c r="H191" s="184">
        <v>8000</v>
      </c>
      <c r="I191" s="184"/>
      <c r="J191" s="184"/>
      <c r="K191" s="184"/>
      <c r="L191" s="184"/>
      <c r="M191" s="184"/>
      <c r="N191" s="184"/>
      <c r="O191" s="184"/>
      <c r="P191" s="124">
        <f t="shared" si="12"/>
        <v>8000</v>
      </c>
    </row>
    <row r="192" spans="1:16" ht="15.75" x14ac:dyDescent="0.25">
      <c r="A192" s="239"/>
      <c r="B192" s="4"/>
      <c r="C192" s="3" t="s">
        <v>777</v>
      </c>
      <c r="D192" s="186"/>
      <c r="E192" s="184"/>
      <c r="F192" s="184"/>
      <c r="G192" s="184"/>
      <c r="H192" s="184"/>
      <c r="I192" s="184"/>
      <c r="J192" s="184"/>
      <c r="K192" s="184"/>
      <c r="L192" s="184"/>
      <c r="M192" s="184"/>
      <c r="N192" s="184"/>
      <c r="O192" s="184"/>
      <c r="P192" s="124">
        <f t="shared" si="12"/>
        <v>0</v>
      </c>
    </row>
    <row r="193" spans="1:16" ht="15.75" x14ac:dyDescent="0.25">
      <c r="A193" s="239"/>
      <c r="B193" s="4"/>
      <c r="C193" s="188" t="s">
        <v>778</v>
      </c>
      <c r="D193" s="186"/>
      <c r="E193" s="184"/>
      <c r="F193" s="184"/>
      <c r="G193" s="184">
        <v>3460</v>
      </c>
      <c r="H193" s="184"/>
      <c r="I193" s="184"/>
      <c r="J193" s="184"/>
      <c r="K193" s="184"/>
      <c r="L193" s="184"/>
      <c r="M193" s="184"/>
      <c r="N193" s="184"/>
      <c r="O193" s="184"/>
      <c r="P193" s="124">
        <f t="shared" si="12"/>
        <v>3460</v>
      </c>
    </row>
    <row r="194" spans="1:16" ht="15.75" x14ac:dyDescent="0.25">
      <c r="A194" s="239"/>
      <c r="B194" s="4"/>
      <c r="C194" s="188" t="s">
        <v>779</v>
      </c>
      <c r="D194" s="186"/>
      <c r="E194" s="184"/>
      <c r="F194" s="184"/>
      <c r="G194" s="184"/>
      <c r="H194" s="184"/>
      <c r="I194" s="184"/>
      <c r="J194" s="184"/>
      <c r="K194" s="184"/>
      <c r="L194" s="184"/>
      <c r="M194" s="184"/>
      <c r="N194" s="184"/>
      <c r="O194" s="184"/>
      <c r="P194" s="124">
        <f t="shared" si="12"/>
        <v>0</v>
      </c>
    </row>
    <row r="195" spans="1:16" ht="15.75" x14ac:dyDescent="0.25">
      <c r="A195" s="239"/>
      <c r="B195" s="4"/>
      <c r="C195" s="188" t="s">
        <v>780</v>
      </c>
      <c r="D195" s="186"/>
      <c r="E195" s="184"/>
      <c r="F195" s="184">
        <v>1384</v>
      </c>
      <c r="G195" s="184"/>
      <c r="H195" s="184"/>
      <c r="I195" s="184"/>
      <c r="J195" s="184"/>
      <c r="K195" s="184"/>
      <c r="L195" s="184"/>
      <c r="M195" s="184"/>
      <c r="N195" s="184"/>
      <c r="O195" s="184"/>
      <c r="P195" s="124">
        <f t="shared" si="12"/>
        <v>1384</v>
      </c>
    </row>
    <row r="196" spans="1:16" ht="15.75" x14ac:dyDescent="0.25">
      <c r="A196" s="239"/>
      <c r="B196" s="4"/>
      <c r="C196" s="188" t="s">
        <v>781</v>
      </c>
      <c r="D196" s="186"/>
      <c r="E196" s="184"/>
      <c r="F196" s="184"/>
      <c r="G196" s="184"/>
      <c r="H196" s="184"/>
      <c r="I196" s="184"/>
      <c r="J196" s="184"/>
      <c r="K196" s="184">
        <v>2768</v>
      </c>
      <c r="L196" s="184"/>
      <c r="M196" s="184"/>
      <c r="N196" s="184"/>
      <c r="O196" s="184"/>
      <c r="P196" s="124">
        <f t="shared" si="12"/>
        <v>2768</v>
      </c>
    </row>
    <row r="197" spans="1:16" ht="15.75" x14ac:dyDescent="0.25">
      <c r="A197" s="239"/>
      <c r="B197" s="4"/>
      <c r="C197" s="188" t="s">
        <v>782</v>
      </c>
      <c r="D197" s="186"/>
      <c r="E197" s="184"/>
      <c r="F197" s="184"/>
      <c r="G197" s="184">
        <v>4705</v>
      </c>
      <c r="H197" s="184"/>
      <c r="I197" s="184"/>
      <c r="J197" s="184"/>
      <c r="K197" s="184"/>
      <c r="L197" s="184"/>
      <c r="M197" s="184"/>
      <c r="N197" s="184"/>
      <c r="O197" s="184"/>
      <c r="P197" s="124">
        <f t="shared" si="12"/>
        <v>4705</v>
      </c>
    </row>
    <row r="198" spans="1:16" ht="15.75" x14ac:dyDescent="0.25">
      <c r="A198" s="239"/>
      <c r="B198" s="4"/>
      <c r="C198" s="188" t="s">
        <v>783</v>
      </c>
      <c r="D198" s="186"/>
      <c r="E198" s="184"/>
      <c r="F198" s="184"/>
      <c r="G198" s="184"/>
      <c r="H198" s="184"/>
      <c r="I198" s="184"/>
      <c r="J198" s="184"/>
      <c r="K198" s="184"/>
      <c r="L198" s="184"/>
      <c r="M198" s="184"/>
      <c r="N198" s="184">
        <v>17249</v>
      </c>
      <c r="O198" s="184"/>
      <c r="P198" s="124">
        <f t="shared" si="12"/>
        <v>17249</v>
      </c>
    </row>
    <row r="199" spans="1:16" ht="15.75" x14ac:dyDescent="0.25">
      <c r="A199" s="239"/>
      <c r="B199" s="4"/>
      <c r="C199" s="188" t="s">
        <v>784</v>
      </c>
      <c r="D199" s="186"/>
      <c r="E199" s="184"/>
      <c r="F199" s="184"/>
      <c r="G199" s="184"/>
      <c r="H199" s="184"/>
      <c r="I199" s="184"/>
      <c r="J199" s="184"/>
      <c r="K199" s="184"/>
      <c r="L199" s="184"/>
      <c r="M199" s="184"/>
      <c r="N199" s="184"/>
      <c r="O199" s="184"/>
      <c r="P199" s="124">
        <f t="shared" si="12"/>
        <v>0</v>
      </c>
    </row>
    <row r="200" spans="1:16" ht="15.75" x14ac:dyDescent="0.25">
      <c r="A200" s="239"/>
      <c r="B200" s="4"/>
      <c r="C200" s="188" t="s">
        <v>785</v>
      </c>
      <c r="D200" s="186"/>
      <c r="E200" s="184"/>
      <c r="F200" s="184"/>
      <c r="G200" s="184"/>
      <c r="H200" s="184"/>
      <c r="I200" s="184"/>
      <c r="J200" s="184"/>
      <c r="K200" s="184"/>
      <c r="L200" s="184"/>
      <c r="M200" s="184"/>
      <c r="N200" s="184"/>
      <c r="O200" s="184"/>
      <c r="P200" s="124">
        <f t="shared" si="12"/>
        <v>0</v>
      </c>
    </row>
    <row r="201" spans="1:16" ht="15.75" x14ac:dyDescent="0.25">
      <c r="A201" s="239"/>
      <c r="B201" s="4"/>
      <c r="C201" s="188" t="s">
        <v>786</v>
      </c>
      <c r="D201" s="186"/>
      <c r="E201" s="184"/>
      <c r="F201" s="184"/>
      <c r="G201" s="184"/>
      <c r="H201" s="184"/>
      <c r="I201" s="184"/>
      <c r="J201" s="184"/>
      <c r="K201" s="184"/>
      <c r="L201" s="184"/>
      <c r="M201" s="184"/>
      <c r="N201" s="184"/>
      <c r="O201" s="184"/>
      <c r="P201" s="124">
        <f t="shared" si="12"/>
        <v>0</v>
      </c>
    </row>
    <row r="202" spans="1:16" ht="15.75" x14ac:dyDescent="0.25">
      <c r="A202" s="239"/>
      <c r="B202" s="4"/>
      <c r="C202" s="188" t="s">
        <v>787</v>
      </c>
      <c r="D202" s="186"/>
      <c r="E202" s="184"/>
      <c r="F202" s="184"/>
      <c r="G202" s="184"/>
      <c r="H202" s="184"/>
      <c r="I202" s="184"/>
      <c r="J202" s="184"/>
      <c r="K202" s="184"/>
      <c r="L202" s="184"/>
      <c r="M202" s="184"/>
      <c r="N202" s="184"/>
      <c r="O202" s="184"/>
      <c r="P202" s="124">
        <f t="shared" si="12"/>
        <v>0</v>
      </c>
    </row>
    <row r="203" spans="1:16" ht="15.75" x14ac:dyDescent="0.25">
      <c r="A203" s="239"/>
      <c r="B203" s="4"/>
      <c r="C203" s="188" t="s">
        <v>788</v>
      </c>
      <c r="D203" s="186"/>
      <c r="E203" s="184">
        <v>0</v>
      </c>
      <c r="F203" s="184">
        <v>110000</v>
      </c>
      <c r="G203" s="184"/>
      <c r="H203" s="184"/>
      <c r="I203" s="184"/>
      <c r="J203" s="184"/>
      <c r="K203" s="184"/>
      <c r="L203" s="184"/>
      <c r="M203" s="184"/>
      <c r="N203" s="184"/>
      <c r="O203" s="184"/>
      <c r="P203" s="124">
        <f t="shared" si="12"/>
        <v>110000</v>
      </c>
    </row>
    <row r="204" spans="1:16" ht="15.75" x14ac:dyDescent="0.25">
      <c r="A204" s="239"/>
      <c r="B204" s="4"/>
      <c r="C204" s="188" t="s">
        <v>790</v>
      </c>
      <c r="D204" s="186"/>
      <c r="E204" s="184"/>
      <c r="F204" s="184">
        <v>0</v>
      </c>
      <c r="G204" s="184">
        <v>330000</v>
      </c>
      <c r="H204" s="184"/>
      <c r="I204" s="184"/>
      <c r="J204" s="184"/>
      <c r="K204" s="184"/>
      <c r="L204" s="184"/>
      <c r="M204" s="184"/>
      <c r="N204" s="184"/>
      <c r="O204" s="184"/>
      <c r="P204" s="124">
        <f t="shared" si="12"/>
        <v>330000</v>
      </c>
    </row>
    <row r="205" spans="1:16" ht="15.75" x14ac:dyDescent="0.25">
      <c r="A205" s="239"/>
      <c r="B205" s="4"/>
      <c r="C205" s="188" t="s">
        <v>789</v>
      </c>
      <c r="D205" s="186"/>
      <c r="E205" s="184"/>
      <c r="F205" s="184"/>
      <c r="G205" s="184">
        <v>0</v>
      </c>
      <c r="H205" s="184">
        <v>110000</v>
      </c>
      <c r="I205" s="184"/>
      <c r="J205" s="184"/>
      <c r="K205" s="184"/>
      <c r="L205" s="184"/>
      <c r="M205" s="184"/>
      <c r="N205" s="184"/>
      <c r="O205" s="184"/>
      <c r="P205" s="124">
        <f t="shared" si="12"/>
        <v>110000</v>
      </c>
    </row>
    <row r="206" spans="1:16" ht="15.75" x14ac:dyDescent="0.25">
      <c r="A206" s="239"/>
      <c r="B206" s="4"/>
      <c r="C206" s="188" t="s">
        <v>791</v>
      </c>
      <c r="D206" s="186"/>
      <c r="E206" s="184"/>
      <c r="F206" s="184"/>
      <c r="G206" s="184"/>
      <c r="H206" s="184">
        <v>0</v>
      </c>
      <c r="I206" s="184">
        <v>110000</v>
      </c>
      <c r="J206" s="184"/>
      <c r="K206" s="184"/>
      <c r="L206" s="184"/>
      <c r="M206" s="184"/>
      <c r="N206" s="184"/>
      <c r="O206" s="184"/>
      <c r="P206" s="124">
        <f t="shared" si="12"/>
        <v>110000</v>
      </c>
    </row>
    <row r="207" spans="1:16" ht="15.75" x14ac:dyDescent="0.25">
      <c r="A207" s="239"/>
      <c r="B207" s="4"/>
      <c r="C207" s="188" t="s">
        <v>792</v>
      </c>
      <c r="D207" s="186"/>
      <c r="E207" s="184"/>
      <c r="F207" s="184"/>
      <c r="G207" s="184"/>
      <c r="H207" s="184"/>
      <c r="I207" s="184">
        <v>0</v>
      </c>
      <c r="J207" s="184">
        <v>110000</v>
      </c>
      <c r="K207" s="184"/>
      <c r="L207" s="184"/>
      <c r="M207" s="184"/>
      <c r="N207" s="184"/>
      <c r="O207" s="184"/>
      <c r="P207" s="124">
        <f t="shared" si="12"/>
        <v>110000</v>
      </c>
    </row>
    <row r="208" spans="1:16" ht="15.75" x14ac:dyDescent="0.25">
      <c r="A208" s="239"/>
      <c r="B208" s="4"/>
      <c r="C208" s="188" t="s">
        <v>793</v>
      </c>
      <c r="D208" s="186"/>
      <c r="E208" s="184">
        <v>44284</v>
      </c>
      <c r="F208" s="184"/>
      <c r="G208" s="184"/>
      <c r="H208" s="184"/>
      <c r="I208" s="184"/>
      <c r="J208" s="184"/>
      <c r="K208" s="184"/>
      <c r="L208" s="184"/>
      <c r="M208" s="184"/>
      <c r="N208" s="184"/>
      <c r="O208" s="184"/>
      <c r="P208" s="124">
        <f t="shared" si="12"/>
        <v>44284</v>
      </c>
    </row>
    <row r="209" spans="1:16" ht="15.75" x14ac:dyDescent="0.25">
      <c r="A209" s="239"/>
      <c r="B209" s="4"/>
      <c r="C209" s="188" t="s">
        <v>794</v>
      </c>
      <c r="D209" s="186"/>
      <c r="E209" s="184"/>
      <c r="F209" s="184">
        <v>11071</v>
      </c>
      <c r="G209" s="184"/>
      <c r="H209" s="184"/>
      <c r="I209" s="184"/>
      <c r="J209" s="184"/>
      <c r="K209" s="184"/>
      <c r="L209" s="184"/>
      <c r="M209" s="184"/>
      <c r="N209" s="184"/>
      <c r="O209" s="184"/>
      <c r="P209" s="124">
        <f t="shared" si="12"/>
        <v>11071</v>
      </c>
    </row>
    <row r="210" spans="1:16" ht="15.75" x14ac:dyDescent="0.25">
      <c r="A210" s="239"/>
      <c r="B210" s="4"/>
      <c r="C210" s="188" t="s">
        <v>795</v>
      </c>
      <c r="D210" s="186"/>
      <c r="E210" s="184"/>
      <c r="F210" s="184"/>
      <c r="G210" s="184"/>
      <c r="H210" s="184"/>
      <c r="I210" s="184">
        <v>11071</v>
      </c>
      <c r="J210" s="184"/>
      <c r="K210" s="184"/>
      <c r="L210" s="184"/>
      <c r="M210" s="184"/>
      <c r="N210" s="184"/>
      <c r="O210" s="184"/>
      <c r="P210" s="124">
        <f t="shared" si="12"/>
        <v>11071</v>
      </c>
    </row>
    <row r="211" spans="1:16" ht="15.75" x14ac:dyDescent="0.25">
      <c r="A211" s="239"/>
      <c r="B211" s="4"/>
      <c r="C211" s="188" t="s">
        <v>796</v>
      </c>
      <c r="D211" s="186"/>
      <c r="E211" s="184"/>
      <c r="F211" s="184"/>
      <c r="G211" s="184"/>
      <c r="H211" s="184"/>
      <c r="I211" s="184"/>
      <c r="J211" s="184">
        <v>22142</v>
      </c>
      <c r="K211" s="184"/>
      <c r="L211" s="184"/>
      <c r="M211" s="184"/>
      <c r="N211" s="184"/>
      <c r="O211" s="184"/>
      <c r="P211" s="124">
        <f t="shared" si="12"/>
        <v>22142</v>
      </c>
    </row>
    <row r="212" spans="1:16" ht="15.75" x14ac:dyDescent="0.25">
      <c r="A212" s="239"/>
      <c r="B212" s="4"/>
      <c r="C212" s="188" t="s">
        <v>797</v>
      </c>
      <c r="D212" s="186"/>
      <c r="E212" s="184"/>
      <c r="F212" s="184"/>
      <c r="G212" s="184"/>
      <c r="H212" s="184"/>
      <c r="I212" s="184"/>
      <c r="J212" s="184"/>
      <c r="K212" s="184">
        <v>11071</v>
      </c>
      <c r="L212" s="184"/>
      <c r="M212" s="184"/>
      <c r="N212" s="184"/>
      <c r="O212" s="184"/>
      <c r="P212" s="124">
        <f t="shared" si="12"/>
        <v>11071</v>
      </c>
    </row>
    <row r="213" spans="1:16" ht="15.75" x14ac:dyDescent="0.25">
      <c r="A213" s="239"/>
      <c r="B213" s="4"/>
      <c r="C213" s="188" t="s">
        <v>798</v>
      </c>
      <c r="D213" s="186"/>
      <c r="E213" s="184"/>
      <c r="F213" s="184"/>
      <c r="G213" s="184"/>
      <c r="H213" s="184"/>
      <c r="I213" s="184"/>
      <c r="J213" s="184"/>
      <c r="K213" s="184"/>
      <c r="L213" s="184">
        <v>22142</v>
      </c>
      <c r="M213" s="184"/>
      <c r="N213" s="184"/>
      <c r="O213" s="184"/>
      <c r="P213" s="124">
        <f t="shared" si="12"/>
        <v>22142</v>
      </c>
    </row>
    <row r="214" spans="1:16" ht="15.75" x14ac:dyDescent="0.25">
      <c r="A214" s="239"/>
      <c r="B214" s="4"/>
      <c r="C214" s="188" t="s">
        <v>799</v>
      </c>
      <c r="D214" s="186"/>
      <c r="E214" s="184"/>
      <c r="F214" s="184"/>
      <c r="G214" s="184"/>
      <c r="H214" s="184"/>
      <c r="I214" s="184"/>
      <c r="J214" s="184"/>
      <c r="K214" s="184"/>
      <c r="L214" s="184"/>
      <c r="M214" s="184">
        <v>11071</v>
      </c>
      <c r="N214" s="184"/>
      <c r="O214" s="184"/>
      <c r="P214" s="124">
        <f t="shared" si="12"/>
        <v>11071</v>
      </c>
    </row>
    <row r="215" spans="1:16" ht="15.75" x14ac:dyDescent="0.25">
      <c r="A215" s="239"/>
      <c r="B215" s="4"/>
      <c r="C215" s="188" t="s">
        <v>800</v>
      </c>
      <c r="D215" s="186">
        <v>43643</v>
      </c>
      <c r="E215" s="184"/>
      <c r="F215" s="184"/>
      <c r="G215" s="184"/>
      <c r="H215" s="184"/>
      <c r="I215" s="184"/>
      <c r="J215" s="184"/>
      <c r="K215" s="184"/>
      <c r="L215" s="184"/>
      <c r="M215" s="184"/>
      <c r="N215" s="184"/>
      <c r="O215" s="184"/>
      <c r="P215" s="124">
        <f t="shared" si="12"/>
        <v>43643</v>
      </c>
    </row>
    <row r="216" spans="1:16" ht="15.75" x14ac:dyDescent="0.25">
      <c r="A216" s="239"/>
      <c r="B216" s="4"/>
      <c r="C216" s="188" t="s">
        <v>801</v>
      </c>
      <c r="D216" s="186"/>
      <c r="E216" s="184"/>
      <c r="F216" s="184">
        <v>22500</v>
      </c>
      <c r="G216" s="184"/>
      <c r="H216" s="184"/>
      <c r="I216" s="184"/>
      <c r="J216" s="184"/>
      <c r="K216" s="184"/>
      <c r="L216" s="184"/>
      <c r="M216" s="184"/>
      <c r="N216" s="184"/>
      <c r="O216" s="184"/>
      <c r="P216" s="124">
        <f t="shared" si="12"/>
        <v>22500</v>
      </c>
    </row>
    <row r="217" spans="1:16" ht="15.75" x14ac:dyDescent="0.25">
      <c r="A217" s="239"/>
      <c r="B217" s="4"/>
      <c r="C217" s="188" t="s">
        <v>802</v>
      </c>
      <c r="D217" s="186"/>
      <c r="E217" s="184"/>
      <c r="F217" s="184"/>
      <c r="G217" s="184">
        <v>15000</v>
      </c>
      <c r="H217" s="184"/>
      <c r="I217" s="184"/>
      <c r="J217" s="184"/>
      <c r="K217" s="184"/>
      <c r="L217" s="184"/>
      <c r="M217" s="184"/>
      <c r="N217" s="184"/>
      <c r="O217" s="184"/>
      <c r="P217" s="124">
        <f t="shared" si="12"/>
        <v>15000</v>
      </c>
    </row>
    <row r="218" spans="1:16" ht="15.75" x14ac:dyDescent="0.25">
      <c r="A218" s="239"/>
      <c r="B218" s="4"/>
      <c r="C218" s="188" t="s">
        <v>803</v>
      </c>
      <c r="D218" s="186"/>
      <c r="E218" s="184"/>
      <c r="F218" s="184"/>
      <c r="G218" s="184"/>
      <c r="H218" s="184"/>
      <c r="I218" s="184">
        <v>7500</v>
      </c>
      <c r="J218" s="184"/>
      <c r="K218" s="184"/>
      <c r="L218" s="184"/>
      <c r="M218" s="184"/>
      <c r="N218" s="184"/>
      <c r="O218" s="184"/>
      <c r="P218" s="124">
        <f t="shared" si="12"/>
        <v>7500</v>
      </c>
    </row>
    <row r="219" spans="1:16" ht="15.75" x14ac:dyDescent="0.25">
      <c r="A219" s="239"/>
      <c r="B219" s="4"/>
      <c r="C219" s="188" t="s">
        <v>804</v>
      </c>
      <c r="D219" s="186"/>
      <c r="E219" s="184"/>
      <c r="F219" s="184"/>
      <c r="G219" s="184"/>
      <c r="H219" s="184"/>
      <c r="I219" s="184"/>
      <c r="J219" s="184">
        <v>7500</v>
      </c>
      <c r="K219" s="184"/>
      <c r="L219" s="184"/>
      <c r="M219" s="184"/>
      <c r="N219" s="184"/>
      <c r="O219" s="184"/>
      <c r="P219" s="124">
        <f t="shared" si="12"/>
        <v>7500</v>
      </c>
    </row>
    <row r="220" spans="1:16" ht="15.75" x14ac:dyDescent="0.25">
      <c r="A220" s="239"/>
      <c r="B220" s="4"/>
      <c r="C220" s="188" t="s">
        <v>805</v>
      </c>
      <c r="D220" s="186"/>
      <c r="E220" s="184"/>
      <c r="F220" s="184"/>
      <c r="G220" s="184"/>
      <c r="H220" s="184"/>
      <c r="I220" s="184"/>
      <c r="J220" s="184"/>
      <c r="K220" s="184">
        <v>15000</v>
      </c>
      <c r="L220" s="184"/>
      <c r="M220" s="184"/>
      <c r="N220" s="184"/>
      <c r="O220" s="184"/>
      <c r="P220" s="124">
        <f t="shared" si="12"/>
        <v>15000</v>
      </c>
    </row>
    <row r="221" spans="1:16" ht="15.75" x14ac:dyDescent="0.25">
      <c r="A221" s="239"/>
      <c r="B221" s="4"/>
      <c r="C221" s="188" t="s">
        <v>806</v>
      </c>
      <c r="D221" s="186"/>
      <c r="E221" s="184"/>
      <c r="F221" s="184"/>
      <c r="G221" s="184"/>
      <c r="H221" s="184"/>
      <c r="I221" s="184"/>
      <c r="J221" s="184"/>
      <c r="K221" s="184"/>
      <c r="L221" s="184">
        <v>30000</v>
      </c>
      <c r="M221" s="184"/>
      <c r="N221" s="184"/>
      <c r="O221" s="184"/>
      <c r="P221" s="124">
        <f t="shared" si="12"/>
        <v>30000</v>
      </c>
    </row>
    <row r="222" spans="1:16" ht="15.75" x14ac:dyDescent="0.25">
      <c r="A222" s="239"/>
      <c r="B222" s="4"/>
      <c r="C222" s="188" t="s">
        <v>807</v>
      </c>
      <c r="D222" s="186">
        <v>31480</v>
      </c>
      <c r="E222" s="184"/>
      <c r="F222" s="184"/>
      <c r="G222" s="184"/>
      <c r="H222" s="184"/>
      <c r="I222" s="184"/>
      <c r="J222" s="184"/>
      <c r="K222" s="184"/>
      <c r="L222" s="184"/>
      <c r="M222" s="184"/>
      <c r="N222" s="184"/>
      <c r="O222" s="184"/>
      <c r="P222" s="124">
        <f t="shared" si="12"/>
        <v>31480</v>
      </c>
    </row>
    <row r="223" spans="1:16" ht="15.75" x14ac:dyDescent="0.25">
      <c r="A223" s="239"/>
      <c r="B223" s="4"/>
      <c r="C223" s="188" t="s">
        <v>808</v>
      </c>
      <c r="D223" s="186"/>
      <c r="E223" s="184"/>
      <c r="F223" s="184"/>
      <c r="G223" s="184"/>
      <c r="H223" s="184"/>
      <c r="I223" s="184"/>
      <c r="J223" s="184"/>
      <c r="K223" s="184"/>
      <c r="L223" s="184"/>
      <c r="M223" s="184"/>
      <c r="N223" s="184"/>
      <c r="O223" s="184"/>
      <c r="P223" s="124">
        <f t="shared" si="12"/>
        <v>0</v>
      </c>
    </row>
    <row r="224" spans="1:16" ht="15.75" x14ac:dyDescent="0.25">
      <c r="A224" s="239"/>
      <c r="B224" s="4"/>
      <c r="C224" s="188" t="s">
        <v>809</v>
      </c>
      <c r="D224" s="186"/>
      <c r="E224" s="184"/>
      <c r="F224" s="184"/>
      <c r="G224" s="184"/>
      <c r="H224" s="184"/>
      <c r="I224" s="184"/>
      <c r="J224" s="184"/>
      <c r="K224" s="184">
        <v>148075</v>
      </c>
      <c r="L224" s="184"/>
      <c r="M224" s="184"/>
      <c r="N224" s="184"/>
      <c r="O224" s="184"/>
      <c r="P224" s="124">
        <f t="shared" si="12"/>
        <v>148075</v>
      </c>
    </row>
    <row r="225" spans="1:16" ht="15.75" x14ac:dyDescent="0.25">
      <c r="A225" s="239"/>
      <c r="B225" s="4"/>
      <c r="C225" s="188" t="s">
        <v>810</v>
      </c>
      <c r="D225" s="186">
        <v>29061</v>
      </c>
      <c r="E225" s="184"/>
      <c r="F225" s="184"/>
      <c r="G225" s="184"/>
      <c r="H225" s="184"/>
      <c r="I225" s="184"/>
      <c r="J225" s="184"/>
      <c r="K225" s="184"/>
      <c r="L225" s="184"/>
      <c r="M225" s="184"/>
      <c r="N225" s="184">
        <v>29061</v>
      </c>
      <c r="O225" s="184"/>
      <c r="P225" s="124">
        <f t="shared" si="12"/>
        <v>58122</v>
      </c>
    </row>
    <row r="226" spans="1:16" ht="15.75" x14ac:dyDescent="0.25">
      <c r="A226" s="239"/>
      <c r="B226" s="4"/>
      <c r="C226" s="188" t="s">
        <v>811</v>
      </c>
      <c r="D226" s="186"/>
      <c r="E226" s="184"/>
      <c r="F226" s="184"/>
      <c r="G226" s="184"/>
      <c r="H226" s="184">
        <v>59507</v>
      </c>
      <c r="I226" s="184"/>
      <c r="J226" s="184"/>
      <c r="K226" s="184"/>
      <c r="L226" s="184"/>
      <c r="M226" s="184"/>
      <c r="N226" s="184"/>
      <c r="O226" s="184"/>
      <c r="P226" s="124">
        <f t="shared" si="12"/>
        <v>59507</v>
      </c>
    </row>
    <row r="227" spans="1:16" ht="15.75" x14ac:dyDescent="0.25">
      <c r="A227" s="239"/>
      <c r="B227" s="4"/>
      <c r="C227" s="188" t="s">
        <v>812</v>
      </c>
      <c r="D227" s="186"/>
      <c r="E227" s="184"/>
      <c r="F227" s="184"/>
      <c r="G227" s="184"/>
      <c r="H227" s="184"/>
      <c r="I227" s="184"/>
      <c r="J227" s="184">
        <v>60891</v>
      </c>
      <c r="K227" s="184"/>
      <c r="L227" s="184"/>
      <c r="M227" s="184"/>
      <c r="N227" s="184"/>
      <c r="O227" s="184"/>
      <c r="P227" s="124">
        <f t="shared" si="12"/>
        <v>60891</v>
      </c>
    </row>
    <row r="228" spans="1:16" ht="15.75" x14ac:dyDescent="0.25">
      <c r="A228" s="239"/>
      <c r="B228" s="4"/>
      <c r="C228" s="188" t="s">
        <v>813</v>
      </c>
      <c r="D228" s="186"/>
      <c r="E228" s="184"/>
      <c r="F228" s="184"/>
      <c r="G228" s="184"/>
      <c r="H228" s="184"/>
      <c r="I228" s="184"/>
      <c r="J228" s="184"/>
      <c r="K228" s="184"/>
      <c r="L228" s="184"/>
      <c r="M228" s="184"/>
      <c r="N228" s="184"/>
      <c r="O228" s="184"/>
      <c r="P228" s="124">
        <f t="shared" si="12"/>
        <v>0</v>
      </c>
    </row>
    <row r="229" spans="1:16" ht="15.75" x14ac:dyDescent="0.25">
      <c r="A229" s="239"/>
      <c r="B229" s="4"/>
      <c r="C229" s="188" t="s">
        <v>814</v>
      </c>
      <c r="D229" s="186"/>
      <c r="E229" s="184"/>
      <c r="F229" s="184"/>
      <c r="G229" s="184"/>
      <c r="H229" s="184"/>
      <c r="I229" s="184"/>
      <c r="J229" s="184"/>
      <c r="K229" s="184"/>
      <c r="L229" s="184"/>
      <c r="M229" s="184"/>
      <c r="N229" s="184"/>
      <c r="O229" s="184"/>
      <c r="P229" s="124">
        <f t="shared" si="12"/>
        <v>0</v>
      </c>
    </row>
    <row r="230" spans="1:16" ht="15.75" x14ac:dyDescent="0.25">
      <c r="A230" s="239"/>
      <c r="B230" s="4"/>
      <c r="C230" s="188"/>
      <c r="D230" s="186"/>
      <c r="E230" s="184"/>
      <c r="F230" s="184"/>
      <c r="G230" s="184"/>
      <c r="H230" s="184"/>
      <c r="I230" s="184"/>
      <c r="J230" s="184"/>
      <c r="K230" s="184"/>
      <c r="L230" s="184"/>
      <c r="M230" s="184"/>
      <c r="N230" s="184"/>
      <c r="O230" s="184"/>
      <c r="P230" s="124">
        <f t="shared" si="12"/>
        <v>0</v>
      </c>
    </row>
    <row r="231" spans="1:16" ht="15.75" x14ac:dyDescent="0.25">
      <c r="A231" s="239"/>
      <c r="B231" s="4"/>
      <c r="C231" s="213" t="s">
        <v>815</v>
      </c>
      <c r="D231" s="186">
        <v>274925</v>
      </c>
      <c r="E231" s="184"/>
      <c r="F231" s="184"/>
      <c r="G231" s="184"/>
      <c r="H231" s="184"/>
      <c r="I231" s="184"/>
      <c r="J231" s="184"/>
      <c r="K231" s="184"/>
      <c r="L231" s="184"/>
      <c r="M231" s="184"/>
      <c r="N231" s="184"/>
      <c r="O231" s="184"/>
      <c r="P231" s="124">
        <f t="shared" si="12"/>
        <v>274925</v>
      </c>
    </row>
    <row r="232" spans="1:16" ht="15.75" x14ac:dyDescent="0.25">
      <c r="A232" s="239"/>
      <c r="B232" s="4"/>
      <c r="C232" s="4" t="s">
        <v>816</v>
      </c>
      <c r="D232" s="58">
        <v>46220</v>
      </c>
      <c r="E232" s="184"/>
      <c r="F232" s="184"/>
      <c r="G232" s="184"/>
      <c r="H232" s="184"/>
      <c r="I232" s="184"/>
      <c r="J232" s="184"/>
      <c r="K232" s="184"/>
      <c r="L232" s="184"/>
      <c r="M232" s="184"/>
      <c r="N232" s="184"/>
      <c r="O232" s="184"/>
      <c r="P232" s="124">
        <f t="shared" si="12"/>
        <v>46220</v>
      </c>
    </row>
    <row r="233" spans="1:16" ht="15.75" x14ac:dyDescent="0.25">
      <c r="A233" s="239"/>
      <c r="B233" s="4"/>
      <c r="C233" s="188"/>
      <c r="D233" s="186"/>
      <c r="E233" s="184"/>
      <c r="F233" s="184"/>
      <c r="G233" s="184"/>
      <c r="H233" s="184"/>
      <c r="I233" s="184"/>
      <c r="J233" s="184"/>
      <c r="K233" s="184"/>
      <c r="L233" s="184"/>
      <c r="M233" s="184"/>
      <c r="N233" s="184"/>
      <c r="O233" s="184"/>
      <c r="P233" s="124">
        <f t="shared" si="12"/>
        <v>0</v>
      </c>
    </row>
    <row r="234" spans="1:16" ht="15.75" x14ac:dyDescent="0.25">
      <c r="A234" s="239"/>
      <c r="B234" s="4"/>
      <c r="C234" s="209"/>
      <c r="D234" s="159"/>
      <c r="E234" s="175"/>
      <c r="F234" s="59"/>
      <c r="G234" s="59"/>
      <c r="H234" s="59"/>
      <c r="I234" s="59"/>
      <c r="J234" s="59"/>
      <c r="K234" s="59"/>
      <c r="L234" s="59"/>
      <c r="M234" s="59"/>
      <c r="N234" s="59"/>
      <c r="O234" s="59"/>
      <c r="P234" s="124">
        <f t="shared" si="12"/>
        <v>0</v>
      </c>
    </row>
    <row r="235" spans="1:16" ht="15.75" x14ac:dyDescent="0.25">
      <c r="A235" s="239"/>
      <c r="B235" s="4"/>
      <c r="C235" s="4"/>
      <c r="D235" s="159"/>
      <c r="E235" s="176"/>
      <c r="F235" s="59"/>
      <c r="G235" s="59"/>
      <c r="H235" s="59"/>
      <c r="I235" s="59"/>
      <c r="J235" s="59"/>
      <c r="K235" s="59"/>
      <c r="L235" s="59"/>
      <c r="M235" s="59"/>
      <c r="N235" s="59"/>
      <c r="O235" s="59"/>
      <c r="P235" s="124">
        <f t="shared" si="12"/>
        <v>0</v>
      </c>
    </row>
    <row r="236" spans="1:16" ht="15.75" x14ac:dyDescent="0.25">
      <c r="A236" s="239"/>
      <c r="B236" s="4"/>
      <c r="C236" s="4" t="s">
        <v>33</v>
      </c>
      <c r="D236" s="58">
        <f>IF(Assumptions!$B$21=0,0,IF(YEAR(Assumptions!B22)&gt;Assumptions!D7,0,IF(ISERROR(IF((Assumptions!$D$13*1.75*Assumptions!$B$24*12)&gt;1000,(Assumptions!$D$13*1.75*Assumptions!$B$24*12)/2+((((Assumptions!$D$13*1.75*Assumptions!$B$24*12)/2)/(Assumptions!$B$24*12))*Calc!$B$20),1000)),0,IF((Assumptions!$D$13*1.75*Assumptions!$B$24*12)&gt;1000,(Assumptions!$D$13*1.75*Assumptions!$B$24*12)/2+((((Assumptions!$D$13*1.75*Assumptions!$B$24*12)/2)/(Assumptions!$B$24*12))*Calc!$B$20),1000))))</f>
        <v>0</v>
      </c>
      <c r="E236" s="58">
        <f>IF(Assumptions!$B$21=0,0,IF(D236=0,IF(ISERROR(IF((Assumptions!$D$13*1.75*Assumptions!$B$24*12)&gt;1000,(Assumptions!$D$13*1.75*Assumptions!$B$24*12)/2+((((Assumptions!$D$13*1.75*Assumptions!$B$24*12)/2)/(Assumptions!$B$24*12))*Calc!$B$20),1000)),0,IF((Assumptions!$D$13*1.75*Assumptions!$B$24*12)&gt;1000,(Assumptions!$D$13*1.75*Assumptions!$B$24*12)/2+((((Assumptions!$D$13*1.75*Assumptions!$B$24*12)/2)/(Assumptions!$B$24*12))*Calc!$B$20),1000))+IF(ISERROR(((((Assumptions!$D$13*1.75*Assumptions!$B$24*12)/2)/(Assumptions!$B$24*12))*Calc!C20)),0,((((Assumptions!$D$13*1.75*Assumptions!$B$24*12)/2)/(Assumptions!$B$24*12))*Calc!C20)),IF(ISERROR(((((Assumptions!$D$13*1.75*Assumptions!$B$24*12)/2)/(Assumptions!$B$24*12))*Calc!C20)),0,((((Assumptions!$D$13*1.75*Assumptions!$B$24*12)/2)/(Assumptions!$B$24*12))*Calc!C20))))</f>
        <v>0</v>
      </c>
      <c r="F236" s="58">
        <f>IF(Assumptions!$B$21=0,0,IF(ISERROR(((((Assumptions!$D$13*1.75*Assumptions!$B$24*12)/2)/(Assumptions!$B$24*12))*Calc!D20)),0,((((Assumptions!$D$13*1.75*Assumptions!$B$24*12)/2)/(Assumptions!$B$24*12))*Calc!D20)))</f>
        <v>0</v>
      </c>
      <c r="G236" s="58">
        <f>IF(Assumptions!$B$21=0,0,IF(ISERROR(((((Assumptions!$D$13*1.75*Assumptions!$B$24*12)/2)/(Assumptions!$B$24*12))*Calc!E20)),0,((((Assumptions!$D$13*1.75*Assumptions!$B$24*12)/2)/(Assumptions!$B$24*12))*Calc!E20)))</f>
        <v>0</v>
      </c>
      <c r="H236" s="58">
        <f>IF(Assumptions!$B$21=0,0,IF(ISERROR(((((Assumptions!$D$13*1.75*Assumptions!$B$24*12)/2)/(Assumptions!$B$24*12))*Calc!F20)),0,((((Assumptions!$D$13*1.75*Assumptions!$B$24*12)/2)/(Assumptions!$B$24*12))*Calc!F20)))</f>
        <v>0</v>
      </c>
      <c r="I236" s="58">
        <f>IF(Assumptions!$B$21=0,0,IF(ISERROR(((((Assumptions!$D$13*1.75*Assumptions!$B$24*12)/2)/(Assumptions!$B$24*12))*Calc!G20)),0,((((Assumptions!$D$13*1.75*Assumptions!$B$24*12)/2)/(Assumptions!$B$24*12))*Calc!G20)))</f>
        <v>0</v>
      </c>
      <c r="J236" s="58">
        <f>IF(Assumptions!$B$21=0,0,IF(ISERROR(((((Assumptions!$D$13*1.75*Assumptions!$B$24*12)/2)/(Assumptions!$B$24*12))*Calc!H20)),0,((((Assumptions!$D$13*1.75*Assumptions!$B$24*12)/2)/(Assumptions!$B$24*12))*Calc!H20)))</f>
        <v>0</v>
      </c>
      <c r="K236" s="58">
        <f>IF(Assumptions!$B$21=0,0,IF(ISERROR(((((Assumptions!$D$13*1.75*Assumptions!$B$24*12)/2)/(Assumptions!$B$24*12))*Calc!I20)),0,((((Assumptions!$D$13*1.75*Assumptions!$B$24*12)/2)/(Assumptions!$B$24*12))*Calc!I20)))</f>
        <v>0</v>
      </c>
      <c r="L236" s="58">
        <f>IF(Assumptions!$B$21=0,0,IF(ISERROR(((((Assumptions!$D$13*1.75*Assumptions!$B$24*12)/2)/(Assumptions!$B$24*12))*Calc!J20)),0,((((Assumptions!$D$13*1.75*Assumptions!$B$24*12)/2)/(Assumptions!$B$24*12))*Calc!J20)))</f>
        <v>0</v>
      </c>
      <c r="M236" s="58">
        <f>IF(Assumptions!$B$21=0,0,IF(ISERROR(((((Assumptions!$D$13*1.75*Assumptions!$B$24*12)/2)/(Assumptions!$B$24*12))*Calc!K20)),0,((((Assumptions!$D$13*1.75*Assumptions!$B$24*12)/2)/(Assumptions!$B$24*12))*Calc!K20)))</f>
        <v>0</v>
      </c>
      <c r="N236" s="58">
        <f>IF(Assumptions!$B$21=0,0,IF(ISERROR(((((Assumptions!$D$13*1.75*Assumptions!$B$24*12)/2)/(Assumptions!$B$24*12))*Calc!L20)),0,((((Assumptions!$D$13*1.75*Assumptions!$B$24*12)/2)/(Assumptions!$B$24*12))*Calc!L20)))</f>
        <v>0</v>
      </c>
      <c r="O236" s="58">
        <f>IF(Assumptions!$B$21=0,0,IF(ISERROR(((((Assumptions!$D$13*1.75*Assumptions!$B$24*12)/2)/(Assumptions!$B$24*12))*Calc!M20)),0,((((Assumptions!$D$13*1.75*Assumptions!$B$24*12)/2)/(Assumptions!$B$24*12))*Calc!M20)))</f>
        <v>0</v>
      </c>
      <c r="P236" s="124">
        <f t="shared" si="12"/>
        <v>0</v>
      </c>
    </row>
    <row r="237" spans="1:16" ht="15.75" x14ac:dyDescent="0.25">
      <c r="A237" s="239"/>
      <c r="B237" s="4"/>
      <c r="C237" s="4"/>
      <c r="D237" s="58"/>
      <c r="E237" s="59"/>
      <c r="F237" s="59"/>
      <c r="G237" s="59"/>
      <c r="H237" s="59"/>
      <c r="I237" s="59"/>
      <c r="J237" s="59"/>
      <c r="K237" s="59"/>
      <c r="L237" s="59"/>
      <c r="M237" s="59"/>
      <c r="N237" s="59"/>
      <c r="O237" s="59"/>
      <c r="P237" s="124">
        <f t="shared" si="12"/>
        <v>0</v>
      </c>
    </row>
    <row r="238" spans="1:16" ht="15.75" x14ac:dyDescent="0.25">
      <c r="A238" s="239"/>
      <c r="B238" s="4"/>
      <c r="C238" s="4"/>
      <c r="D238" s="58"/>
      <c r="E238" s="58"/>
      <c r="F238" s="59"/>
      <c r="G238" s="59"/>
      <c r="H238" s="59"/>
      <c r="I238" s="59"/>
      <c r="J238" s="59"/>
      <c r="K238" s="59"/>
      <c r="L238" s="59"/>
      <c r="M238" s="59"/>
      <c r="N238" s="59"/>
      <c r="O238" s="59"/>
      <c r="P238" s="124">
        <f t="shared" si="12"/>
        <v>0</v>
      </c>
    </row>
    <row r="239" spans="1:16" ht="15.75" x14ac:dyDescent="0.25">
      <c r="A239" s="239"/>
      <c r="B239" s="4" t="s">
        <v>13</v>
      </c>
      <c r="C239" s="4" t="s">
        <v>30</v>
      </c>
      <c r="D239" s="58">
        <f>IF(Assumptions!$B$30=0,IF(ISERROR(-CUMIPMT(0.00000000001/12,Assumptions!$B$36*12,Assumptions!$B$30,D20,D21,0)),0,-CUMIPMT(0.00000000001/12,Assumptions!$B$36*12,Assumptions!$B$30,D20,D21,0)),IF(ISERROR(-CUMIPMT(Assumptions!$B$33/12,Assumptions!$B$36*12,Assumptions!$B$30,D20,D21,0)),0,-CUMIPMT(Assumptions!$B$33/12,Assumptions!$B$36*12,Assumptions!$B$30,D20,D21,0)))</f>
        <v>0</v>
      </c>
      <c r="E239" s="58">
        <f>IF(Assumptions!$B$30=0,IF(ISERROR(-CUMIPMT(0.00000000001/12,Assumptions!$B$36*12,Assumptions!$B$30,E20,E21,0)),0,-CUMIPMT(0.00000000001/12,Assumptions!$B$36*12,Assumptions!$B$30,E20,E21,0)),IF(ISERROR(-CUMIPMT(Assumptions!$B$33/12,Assumptions!$B$36*12,Assumptions!$B$30,E20,E21,0)),0,-CUMIPMT(Assumptions!$B$33/12,Assumptions!$B$36*12,Assumptions!$B$30,E20,E21,0)))</f>
        <v>0</v>
      </c>
      <c r="F239" s="58">
        <f>IF(Assumptions!$B$30=0,IF(ISERROR(-CUMIPMT(0.00000000001/12,Assumptions!$B$36*12,Assumptions!$B$30,F20,F21,0)),0,-CUMIPMT(0.00000000001/12,Assumptions!$B$36*12,Assumptions!$B$30,F20,F21,0)),IF(ISERROR(-CUMIPMT(Assumptions!$B$33/12,Assumptions!$B$36*12,Assumptions!$B$30,F20,F21,0)),0,-CUMIPMT(Assumptions!$B$33/12,Assumptions!$B$36*12,Assumptions!$B$30,F20,F21,0)))</f>
        <v>0</v>
      </c>
      <c r="G239" s="58">
        <f>IF(Assumptions!$B$30=0,IF(ISERROR(-CUMIPMT(0.00000000001/12,Assumptions!$B$36*12,Assumptions!$B$30,G20,G21,0)),0,-CUMIPMT(0.00000000001/12,Assumptions!$B$36*12,Assumptions!$B$30,G20,G21,0)),IF(ISERROR(-CUMIPMT(Assumptions!$B$33/12,Assumptions!$B$36*12,Assumptions!$B$30,G20,G21,0)),0,-CUMIPMT(Assumptions!$B$33/12,Assumptions!$B$36*12,Assumptions!$B$30,G20,G21,0)))</f>
        <v>0</v>
      </c>
      <c r="H239" s="58">
        <f>IF(Assumptions!$B$30=0,IF(ISERROR(-CUMIPMT(0.00000000001/12,Assumptions!$B$36*12,Assumptions!$B$30,H20,H21,0)),0,-CUMIPMT(0.00000000001/12,Assumptions!$B$36*12,Assumptions!$B$30,H20,H21,0)),IF(ISERROR(-CUMIPMT(Assumptions!$B$33/12,Assumptions!$B$36*12,Assumptions!$B$30,H20,H21,0)),0,-CUMIPMT(Assumptions!$B$33/12,Assumptions!$B$36*12,Assumptions!$B$30,H20,H21,0)))</f>
        <v>0</v>
      </c>
      <c r="I239" s="58">
        <f>IF(Assumptions!$B$30=0,IF(ISERROR(-CUMIPMT(0.00000000001/12,Assumptions!$B$36*12,Assumptions!$B$30,I20,I21,0)),0,-CUMIPMT(0.00000000001/12,Assumptions!$B$36*12,Assumptions!$B$30,I20,I21,0)),IF(ISERROR(-CUMIPMT(Assumptions!$B$33/12,Assumptions!$B$36*12,Assumptions!$B$30,I20,I21,0)),0,-CUMIPMT(Assumptions!$B$33/12,Assumptions!$B$36*12,Assumptions!$B$30,I20,I21,0)))</f>
        <v>0</v>
      </c>
      <c r="J239" s="58">
        <f>IF(Assumptions!$B$30=0,IF(ISERROR(-CUMIPMT(0.00000000001/12,Assumptions!$B$36*12,Assumptions!$B$30,J20,J21,0)),0,-CUMIPMT(0.00000000001/12,Assumptions!$B$36*12,Assumptions!$B$30,J20,J21,0)),IF(ISERROR(-CUMIPMT(Assumptions!$B$33/12,Assumptions!$B$36*12,Assumptions!$B$30,J20,J21,0)),0,-CUMIPMT(Assumptions!$B$33/12,Assumptions!$B$36*12,Assumptions!$B$30,J20,J21,0)))</f>
        <v>0</v>
      </c>
      <c r="K239" s="58">
        <f>IF(Assumptions!$B$30=0,IF(ISERROR(-CUMIPMT(0.00000000001/12,Assumptions!$B$36*12,Assumptions!$B$30,K20,K21,0)),0,-CUMIPMT(0.00000000001/12,Assumptions!$B$36*12,Assumptions!$B$30,K20,K21,0)),IF(ISERROR(-CUMIPMT(Assumptions!$B$33/12,Assumptions!$B$36*12,Assumptions!$B$30,K20,K21,0)),0,-CUMIPMT(Assumptions!$B$33/12,Assumptions!$B$36*12,Assumptions!$B$30,K20,K21,0)))</f>
        <v>0</v>
      </c>
      <c r="L239" s="58">
        <f>IF(Assumptions!$B$30=0,IF(ISERROR(-CUMIPMT(0.00000000001/12,Assumptions!$B$36*12,Assumptions!$B$30,L20,L21,0)),0,-CUMIPMT(0.00000000001/12,Assumptions!$B$36*12,Assumptions!$B$30,L20,L21,0)),IF(ISERROR(-CUMIPMT(Assumptions!$B$33/12,Assumptions!$B$36*12,Assumptions!$B$30,L20,L21,0)),0,-CUMIPMT(Assumptions!$B$33/12,Assumptions!$B$36*12,Assumptions!$B$30,L20,L21,0)))</f>
        <v>0</v>
      </c>
      <c r="M239" s="58">
        <f>IF(Assumptions!$B$30=0,IF(ISERROR(-CUMIPMT(0.00000000001/12,Assumptions!$B$36*12,Assumptions!$B$30,M20,M21,0)),0,-CUMIPMT(0.00000000001/12,Assumptions!$B$36*12,Assumptions!$B$30,M20,M21,0)),IF(ISERROR(-CUMIPMT(Assumptions!$B$33/12,Assumptions!$B$36*12,Assumptions!$B$30,M20,M21,0)),0,-CUMIPMT(Assumptions!$B$33/12,Assumptions!$B$36*12,Assumptions!$B$30,M20,M21,0)))</f>
        <v>0</v>
      </c>
      <c r="N239" s="58">
        <f>IF(Assumptions!$B$30=0,IF(ISERROR(-CUMIPMT(0.00000000001/12,Assumptions!$B$36*12,Assumptions!$B$30,N20,N21,0)),0,-CUMIPMT(0.00000000001/12,Assumptions!$B$36*12,Assumptions!$B$30,N20,N21,0)),IF(ISERROR(-CUMIPMT(Assumptions!$B$33/12,Assumptions!$B$36*12,Assumptions!$B$30,N20,N21,0)),0,-CUMIPMT(Assumptions!$B$33/12,Assumptions!$B$36*12,Assumptions!$B$30,N20,N21,0)))</f>
        <v>0</v>
      </c>
      <c r="O239" s="58">
        <f>IF(Assumptions!$B$30=0,IF(ISERROR(-CUMIPMT(0.00000000001/12,Assumptions!$B$36*12,Assumptions!$B$30,O20,O21,0)),0,-CUMIPMT(0.00000000001/12,Assumptions!$B$36*12,Assumptions!$B$30,O20,O21,0)),IF(ISERROR(-CUMIPMT(Assumptions!$B$33/12,Assumptions!$B$36*12,Assumptions!$B$30,O20,O21,0)),0,-CUMIPMT(Assumptions!$B$33/12,Assumptions!$B$36*12,Assumptions!$B$30,O20,O21,0)))</f>
        <v>0</v>
      </c>
      <c r="P239" s="124">
        <f t="shared" si="12"/>
        <v>0</v>
      </c>
    </row>
    <row r="240" spans="1:16" ht="15.75" x14ac:dyDescent="0.25">
      <c r="A240" s="239"/>
      <c r="B240" s="4"/>
      <c r="C240" s="4" t="s">
        <v>83</v>
      </c>
      <c r="D240" s="58">
        <f>IF(Assumptions!$B$30=0,IF(ISERROR(-CUMPRINC(0.00000000001/12,Assumptions!$B$36*12,Assumptions!$B$30,D20,D21,0)),0,(-CUMPRINC(0.00000000001/12,Assumptions!$B$36*12,Assumptions!$B$30,D20,D21,0))),IF(ISERROR(-CUMPRINC(Assumptions!$B$33/12,Assumptions!$B$36*12,Assumptions!$B$30,D20,D21,0)),0,(-CUMPRINC(Assumptions!$B$33/12,Assumptions!$B$36*12,Assumptions!$B$30,D20,D21,0))))</f>
        <v>0</v>
      </c>
      <c r="E240" s="58">
        <f>IF(Assumptions!$B$30=0,IF(ISERROR(-CUMPRINC(0.00000000001/12,Assumptions!$B$36*12,Assumptions!$B$30,E20,E21,0)),0,(-CUMPRINC(0.00000000001/12,Assumptions!$B$36*12,Assumptions!$B$30,E20,E21,0))),IF(ISERROR(-CUMPRINC(Assumptions!$B$33/12,Assumptions!$B$36*12,Assumptions!$B$30,E20,E21,0)),0,(-CUMPRINC(Assumptions!$B$33/12,Assumptions!$B$36*12,Assumptions!$B$30,E20,E21,0))))</f>
        <v>0</v>
      </c>
      <c r="F240" s="58">
        <f>IF(Assumptions!$B$30=0,IF(ISERROR(-CUMPRINC(0.00000000001/12,Assumptions!$B$36*12,Assumptions!$B$30,F20,F21,0)),0,(-CUMPRINC(0.00000000001/12,Assumptions!$B$36*12,Assumptions!$B$30,F20,F21,0))),IF(ISERROR(-CUMPRINC(Assumptions!$B$33/12,Assumptions!$B$36*12,Assumptions!$B$30,F20,F21,0)),0,(-CUMPRINC(Assumptions!$B$33/12,Assumptions!$B$36*12,Assumptions!$B$30,F20,F21,0))))</f>
        <v>0</v>
      </c>
      <c r="G240" s="58">
        <f>IF(Assumptions!$B$30=0,IF(ISERROR(-CUMPRINC(0.00000000001/12,Assumptions!$B$36*12,Assumptions!$B$30,G20,G21,0)),0,(-CUMPRINC(0.00000000001/12,Assumptions!$B$36*12,Assumptions!$B$30,G20,G21,0))),IF(ISERROR(-CUMPRINC(Assumptions!$B$33/12,Assumptions!$B$36*12,Assumptions!$B$30,G20,G21,0)),0,(-CUMPRINC(Assumptions!$B$33/12,Assumptions!$B$36*12,Assumptions!$B$30,G20,G21,0))))</f>
        <v>0</v>
      </c>
      <c r="H240" s="58">
        <f>IF(Assumptions!$B$30=0,IF(ISERROR(-CUMPRINC(0.00000000001/12,Assumptions!$B$36*12,Assumptions!$B$30,H20,H21,0)),0,(-CUMPRINC(0.00000000001/12,Assumptions!$B$36*12,Assumptions!$B$30,H20,H21,0))),IF(ISERROR(-CUMPRINC(Assumptions!$B$33/12,Assumptions!$B$36*12,Assumptions!$B$30,H20,H21,0)),0,(-CUMPRINC(Assumptions!$B$33/12,Assumptions!$B$36*12,Assumptions!$B$30,H20,H21,0))))</f>
        <v>0</v>
      </c>
      <c r="I240" s="58">
        <f>IF(Assumptions!$B$30=0,IF(ISERROR(-CUMPRINC(0.00000000001/12,Assumptions!$B$36*12,Assumptions!$B$30,I20,I21,0)),0,(-CUMPRINC(0.00000000001/12,Assumptions!$B$36*12,Assumptions!$B$30,I20,I21,0))),IF(ISERROR(-CUMPRINC(Assumptions!$B$33/12,Assumptions!$B$36*12,Assumptions!$B$30,I20,I21,0)),0,(-CUMPRINC(Assumptions!$B$33/12,Assumptions!$B$36*12,Assumptions!$B$30,I20,I21,0))))</f>
        <v>0</v>
      </c>
      <c r="J240" s="58">
        <f>IF(Assumptions!$B$30=0,IF(ISERROR(-CUMPRINC(0.00000000001/12,Assumptions!$B$36*12,Assumptions!$B$30,J20,J21,0)),0,(-CUMPRINC(0.00000000001/12,Assumptions!$B$36*12,Assumptions!$B$30,J20,J21,0))),IF(ISERROR(-CUMPRINC(Assumptions!$B$33/12,Assumptions!$B$36*12,Assumptions!$B$30,J20,J21,0)),0,(-CUMPRINC(Assumptions!$B$33/12,Assumptions!$B$36*12,Assumptions!$B$30,J20,J21,0))))</f>
        <v>0</v>
      </c>
      <c r="K240" s="58">
        <f>IF(Assumptions!$B$30=0,IF(ISERROR(-CUMPRINC(0.00000000001/12,Assumptions!$B$36*12,Assumptions!$B$30,K20,K21,0)),0,(-CUMPRINC(0.00000000001/12,Assumptions!$B$36*12,Assumptions!$B$30,K20,K21,0))),IF(ISERROR(-CUMPRINC(Assumptions!$B$33/12,Assumptions!$B$36*12,Assumptions!$B$30,K20,K21,0)),0,(-CUMPRINC(Assumptions!$B$33/12,Assumptions!$B$36*12,Assumptions!$B$30,K20,K21,0))))</f>
        <v>0</v>
      </c>
      <c r="L240" s="58">
        <f>IF(Assumptions!$B$30=0,IF(ISERROR(-CUMPRINC(0.00000000001/12,Assumptions!$B$36*12,Assumptions!$B$30,L20,L21,0)),0,(-CUMPRINC(0.00000000001/12,Assumptions!$B$36*12,Assumptions!$B$30,L20,L21,0))),IF(ISERROR(-CUMPRINC(Assumptions!$B$33/12,Assumptions!$B$36*12,Assumptions!$B$30,L20,L21,0)),0,(-CUMPRINC(Assumptions!$B$33/12,Assumptions!$B$36*12,Assumptions!$B$30,L20,L21,0))))</f>
        <v>0</v>
      </c>
      <c r="M240" s="58">
        <f>IF(Assumptions!$B$30=0,IF(ISERROR(-CUMPRINC(0.00000000001/12,Assumptions!$B$36*12,Assumptions!$B$30,M20,M21,0)),0,(-CUMPRINC(0.00000000001/12,Assumptions!$B$36*12,Assumptions!$B$30,M20,M21,0))),IF(ISERROR(-CUMPRINC(Assumptions!$B$33/12,Assumptions!$B$36*12,Assumptions!$B$30,M20,M21,0)),0,(-CUMPRINC(Assumptions!$B$33/12,Assumptions!$B$36*12,Assumptions!$B$30,M20,M21,0))))</f>
        <v>0</v>
      </c>
      <c r="N240" s="58">
        <f>IF(Assumptions!$B$30=0,IF(ISERROR(-CUMPRINC(0.00000000001/12,Assumptions!$B$36*12,Assumptions!$B$30,N20,N21,0)),0,(-CUMPRINC(0.00000000001/12,Assumptions!$B$36*12,Assumptions!$B$30,N20,N21,0))),IF(ISERROR(-CUMPRINC(Assumptions!$B$33/12,Assumptions!$B$36*12,Assumptions!$B$30,N20,N21,0)),0,(-CUMPRINC(Assumptions!$B$33/12,Assumptions!$B$36*12,Assumptions!$B$30,N20,N21,0))))</f>
        <v>0</v>
      </c>
      <c r="O240" s="58">
        <f>IF(Assumptions!$B$30=0,IF(ISERROR(-CUMPRINC(0.00000000001/12,Assumptions!$B$36*12,Assumptions!$B$30,O20,O21,0)),0,(-CUMPRINC(0.00000000001/12,Assumptions!$B$36*12,Assumptions!$B$30,O20,O21,0))),IF(ISERROR(-CUMPRINC(Assumptions!$B$33/12,Assumptions!$B$36*12,Assumptions!$B$30,O20,O21,0)),0,(-CUMPRINC(Assumptions!$B$33/12,Assumptions!$B$36*12,Assumptions!$B$30,O20,O21,0))))</f>
        <v>0</v>
      </c>
      <c r="P240" s="124">
        <f>IF(SUM(D240:O240)=0,0,SUM(D240:O240))</f>
        <v>0</v>
      </c>
    </row>
    <row r="241" spans="1:16" ht="15.75" x14ac:dyDescent="0.25">
      <c r="A241" s="239"/>
      <c r="B241" s="4" t="s">
        <v>14</v>
      </c>
      <c r="C241" s="4" t="s">
        <v>15</v>
      </c>
      <c r="D241" s="58">
        <v>0</v>
      </c>
      <c r="E241" s="59"/>
      <c r="F241" s="59"/>
      <c r="G241" s="59"/>
      <c r="H241" s="59"/>
      <c r="I241" s="59"/>
      <c r="J241" s="59"/>
      <c r="K241" s="59"/>
      <c r="L241" s="59"/>
      <c r="M241" s="59"/>
      <c r="N241" s="59"/>
      <c r="O241" s="59"/>
      <c r="P241" s="124">
        <f t="shared" si="12"/>
        <v>0</v>
      </c>
    </row>
    <row r="242" spans="1:16" ht="15.75" x14ac:dyDescent="0.25">
      <c r="A242" s="239"/>
      <c r="B242" s="4"/>
      <c r="C242" s="24"/>
      <c r="D242" s="58"/>
      <c r="E242" s="59"/>
      <c r="F242" s="59"/>
      <c r="G242" s="59"/>
      <c r="H242" s="59"/>
      <c r="I242" s="59"/>
      <c r="J242" s="59"/>
      <c r="K242" s="59"/>
      <c r="L242" s="59"/>
      <c r="M242" s="59"/>
      <c r="N242" s="59"/>
      <c r="O242" s="59"/>
      <c r="P242" s="124">
        <f t="shared" si="12"/>
        <v>0</v>
      </c>
    </row>
    <row r="243" spans="1:16" ht="15.75" x14ac:dyDescent="0.25">
      <c r="A243" s="239"/>
      <c r="B243" s="4"/>
      <c r="C243" s="24"/>
      <c r="D243" s="58"/>
      <c r="E243" s="59"/>
      <c r="F243" s="59"/>
      <c r="G243" s="59"/>
      <c r="H243" s="59"/>
      <c r="I243" s="59"/>
      <c r="J243" s="59"/>
      <c r="K243" s="59"/>
      <c r="L243" s="59"/>
      <c r="M243" s="59"/>
      <c r="N243" s="59"/>
      <c r="O243" s="59"/>
      <c r="P243" s="124">
        <f t="shared" si="12"/>
        <v>0</v>
      </c>
    </row>
    <row r="244" spans="1:16" ht="15.75" x14ac:dyDescent="0.25">
      <c r="A244" s="240"/>
      <c r="B244" s="4"/>
      <c r="C244" s="24"/>
      <c r="D244" s="9"/>
      <c r="E244" s="10"/>
      <c r="F244" s="10"/>
      <c r="G244" s="10"/>
      <c r="H244" s="10"/>
      <c r="I244" s="10"/>
      <c r="J244" s="10"/>
      <c r="K244" s="10"/>
      <c r="L244" s="10"/>
      <c r="M244" s="10"/>
      <c r="N244" s="10"/>
      <c r="O244" s="10"/>
      <c r="P244" s="124">
        <f t="shared" si="12"/>
        <v>0</v>
      </c>
    </row>
    <row r="245" spans="1:16" ht="15.75" x14ac:dyDescent="0.25">
      <c r="B245" s="8"/>
      <c r="C245" s="24" t="s">
        <v>29</v>
      </c>
      <c r="D245" s="9">
        <f t="shared" ref="D245:O245" si="13">SUM(D24:D244)</f>
        <v>595247</v>
      </c>
      <c r="E245" s="10">
        <f t="shared" si="13"/>
        <v>481097</v>
      </c>
      <c r="F245" s="10">
        <f t="shared" si="13"/>
        <v>520204</v>
      </c>
      <c r="G245" s="10">
        <f t="shared" si="13"/>
        <v>1760567</v>
      </c>
      <c r="H245" s="10">
        <f t="shared" si="13"/>
        <v>1819065</v>
      </c>
      <c r="I245" s="10">
        <f t="shared" si="13"/>
        <v>2197785</v>
      </c>
      <c r="J245" s="10">
        <f t="shared" si="13"/>
        <v>793220</v>
      </c>
      <c r="K245" s="10">
        <f t="shared" si="13"/>
        <v>1538061</v>
      </c>
      <c r="L245" s="10">
        <f t="shared" si="13"/>
        <v>635828</v>
      </c>
      <c r="M245" s="10">
        <f t="shared" si="13"/>
        <v>1177500</v>
      </c>
      <c r="N245" s="10">
        <f t="shared" si="13"/>
        <v>513035</v>
      </c>
      <c r="O245" s="10">
        <f t="shared" si="13"/>
        <v>264243</v>
      </c>
      <c r="P245" s="124">
        <f>IF(SUM(D245:O245)=0,0,SUM(D245:O245))</f>
        <v>12295852</v>
      </c>
    </row>
    <row r="246" spans="1:16" ht="15" x14ac:dyDescent="0.2">
      <c r="B246" s="8"/>
      <c r="C246" s="25"/>
      <c r="D246" s="6"/>
      <c r="E246" s="6"/>
      <c r="F246" s="6"/>
      <c r="G246" s="6"/>
      <c r="H246" s="6"/>
      <c r="I246" s="6"/>
      <c r="J246" s="6"/>
      <c r="K246" s="6"/>
      <c r="L246" s="6"/>
      <c r="M246" s="6"/>
      <c r="N246" s="6"/>
      <c r="O246" s="6"/>
      <c r="P246" s="6"/>
    </row>
    <row r="247" spans="1:16" ht="15.75" x14ac:dyDescent="0.25">
      <c r="B247" s="12" t="s">
        <v>18</v>
      </c>
      <c r="C247" s="25"/>
      <c r="D247" s="7">
        <f>+Assumptions!D15</f>
        <v>623745</v>
      </c>
      <c r="E247" s="6">
        <f>+D252</f>
        <v>290817.52916666667</v>
      </c>
      <c r="F247" s="6">
        <f>+E252</f>
        <v>479775.61681250005</v>
      </c>
      <c r="G247" s="6">
        <f t="shared" ref="G247:O247" si="14">+F252</f>
        <v>653028.40298062505</v>
      </c>
      <c r="H247" s="6">
        <f t="shared" si="14"/>
        <v>-388424.37007466552</v>
      </c>
      <c r="I247" s="6">
        <f t="shared" si="14"/>
        <v>-1484659.4925491591</v>
      </c>
      <c r="J247" s="6">
        <f t="shared" si="14"/>
        <v>-2967044.663988078</v>
      </c>
      <c r="K247" s="6">
        <f t="shared" si="14"/>
        <v>-3074184.1985566663</v>
      </c>
      <c r="L247" s="6">
        <f t="shared" si="14"/>
        <v>-3921497.0859945635</v>
      </c>
      <c r="M247" s="6">
        <f t="shared" si="14"/>
        <v>-3891890.0731374123</v>
      </c>
      <c r="N247" s="6">
        <f t="shared" si="14"/>
        <v>-4397561.3832427543</v>
      </c>
      <c r="O247" s="6">
        <f t="shared" si="14"/>
        <v>-4258101.7969234753</v>
      </c>
      <c r="P247" s="6"/>
    </row>
    <row r="248" spans="1:16" ht="15" x14ac:dyDescent="0.2">
      <c r="B248" s="8"/>
      <c r="C248" s="25"/>
      <c r="D248" s="6"/>
      <c r="E248" s="6"/>
      <c r="F248" s="6"/>
      <c r="G248" s="6"/>
      <c r="H248" s="6"/>
      <c r="I248" s="6"/>
      <c r="J248" s="6"/>
      <c r="K248" s="6"/>
      <c r="L248" s="6"/>
      <c r="M248" s="6"/>
      <c r="N248" s="6"/>
      <c r="O248" s="6"/>
      <c r="P248" s="6"/>
    </row>
    <row r="249" spans="1:16" hidden="1" x14ac:dyDescent="0.2">
      <c r="D249" s="11">
        <f t="shared" ref="D249:O249" si="15">SUM(D24:D244)</f>
        <v>595247</v>
      </c>
      <c r="E249" s="11">
        <f t="shared" si="15"/>
        <v>481097</v>
      </c>
      <c r="F249" s="11">
        <f t="shared" si="15"/>
        <v>520204</v>
      </c>
      <c r="G249" s="11">
        <f t="shared" si="15"/>
        <v>1760567</v>
      </c>
      <c r="H249" s="11">
        <f t="shared" si="15"/>
        <v>1819065</v>
      </c>
      <c r="I249" s="11">
        <f t="shared" si="15"/>
        <v>2197785</v>
      </c>
      <c r="J249" s="11">
        <f t="shared" si="15"/>
        <v>793220</v>
      </c>
      <c r="K249" s="11">
        <f t="shared" si="15"/>
        <v>1538061</v>
      </c>
      <c r="L249" s="11">
        <f t="shared" si="15"/>
        <v>635828</v>
      </c>
      <c r="M249" s="11">
        <f t="shared" si="15"/>
        <v>1177500</v>
      </c>
      <c r="N249" s="11">
        <f t="shared" si="15"/>
        <v>513035</v>
      </c>
      <c r="O249" s="11">
        <f t="shared" si="15"/>
        <v>264243</v>
      </c>
      <c r="P249" s="11"/>
    </row>
    <row r="250" spans="1:16" ht="15.75" x14ac:dyDescent="0.25">
      <c r="B250" s="12" t="s">
        <v>16</v>
      </c>
      <c r="C250" s="27"/>
      <c r="D250" s="13">
        <f t="shared" ref="D250:O250" si="16">+D17-D249</f>
        <v>-332927.47083333333</v>
      </c>
      <c r="E250" s="13">
        <f t="shared" si="16"/>
        <v>188958.08764583338</v>
      </c>
      <c r="F250" s="13">
        <f t="shared" si="16"/>
        <v>173252.78616812499</v>
      </c>
      <c r="G250" s="13">
        <f t="shared" si="16"/>
        <v>-1041452.7730552906</v>
      </c>
      <c r="H250" s="13">
        <f t="shared" si="16"/>
        <v>-1096235.1224744935</v>
      </c>
      <c r="I250" s="13">
        <f t="shared" si="16"/>
        <v>-1482385.1714389189</v>
      </c>
      <c r="J250" s="13">
        <f t="shared" si="16"/>
        <v>-107139.53456858802</v>
      </c>
      <c r="K250" s="13">
        <f t="shared" si="16"/>
        <v>-847312.88743789727</v>
      </c>
      <c r="L250" s="13">
        <f t="shared" si="16"/>
        <v>29607.012857151101</v>
      </c>
      <c r="M250" s="13">
        <f t="shared" si="16"/>
        <v>-505671.31010534184</v>
      </c>
      <c r="N250" s="13">
        <f t="shared" si="16"/>
        <v>139459.58631927927</v>
      </c>
      <c r="O250" s="13">
        <f t="shared" si="16"/>
        <v>421395.74529968575</v>
      </c>
      <c r="P250" s="13"/>
    </row>
    <row r="251" spans="1:16" ht="16.5" thickBot="1" x14ac:dyDescent="0.3">
      <c r="B251" s="12"/>
      <c r="C251" s="27"/>
    </row>
    <row r="252" spans="1:16" ht="16.5" thickBot="1" x14ac:dyDescent="0.3">
      <c r="B252" s="15" t="s">
        <v>17</v>
      </c>
      <c r="C252" s="28"/>
      <c r="D252" s="16">
        <f>+D247+D250</f>
        <v>290817.52916666667</v>
      </c>
      <c r="E252" s="16">
        <f>+E247+E250</f>
        <v>479775.61681250005</v>
      </c>
      <c r="F252" s="16">
        <f t="shared" ref="F252:O252" si="17">+F247+F250</f>
        <v>653028.40298062505</v>
      </c>
      <c r="G252" s="16">
        <f t="shared" si="17"/>
        <v>-388424.37007466552</v>
      </c>
      <c r="H252" s="16">
        <f t="shared" si="17"/>
        <v>-1484659.4925491591</v>
      </c>
      <c r="I252" s="16">
        <f t="shared" si="17"/>
        <v>-2967044.663988078</v>
      </c>
      <c r="J252" s="16">
        <f t="shared" si="17"/>
        <v>-3074184.1985566663</v>
      </c>
      <c r="K252" s="16">
        <f t="shared" si="17"/>
        <v>-3921497.0859945635</v>
      </c>
      <c r="L252" s="16">
        <f t="shared" si="17"/>
        <v>-3891890.0731374123</v>
      </c>
      <c r="M252" s="16">
        <f t="shared" si="17"/>
        <v>-4397561.3832427543</v>
      </c>
      <c r="N252" s="16">
        <f t="shared" si="17"/>
        <v>-4258101.7969234753</v>
      </c>
      <c r="O252" s="17">
        <f t="shared" si="17"/>
        <v>-3836706.0516237896</v>
      </c>
      <c r="P252" s="17"/>
    </row>
    <row r="253" spans="1:16" ht="15.75" x14ac:dyDescent="0.25">
      <c r="B253" s="12"/>
    </row>
    <row r="254" spans="1:16" ht="15.75" x14ac:dyDescent="0.25">
      <c r="B254" s="12" t="s">
        <v>22</v>
      </c>
      <c r="D254" s="6">
        <f>IF(ISERROR(+D15-D240),0,+D15-D240)</f>
        <v>0</v>
      </c>
      <c r="E254" s="6">
        <f>IF(ISERROR(IF(D254=0,E15-E240,D254-E240)),0,IF(D254=0,E15-E240,D254+E15-E240))</f>
        <v>0</v>
      </c>
      <c r="F254" s="6">
        <f t="shared" ref="F254:O254" si="18">IF(ISERROR(IF(E254=0,F15-F240,E254-F240)),0,IF(E254=0,F15-F240,E254-F240))</f>
        <v>0</v>
      </c>
      <c r="G254" s="6">
        <f t="shared" si="18"/>
        <v>0</v>
      </c>
      <c r="H254" s="6">
        <f t="shared" si="18"/>
        <v>0</v>
      </c>
      <c r="I254" s="6">
        <f t="shared" si="18"/>
        <v>0</v>
      </c>
      <c r="J254" s="6">
        <f t="shared" si="18"/>
        <v>0</v>
      </c>
      <c r="K254" s="6">
        <f t="shared" si="18"/>
        <v>0</v>
      </c>
      <c r="L254" s="6">
        <f t="shared" si="18"/>
        <v>0</v>
      </c>
      <c r="M254" s="6">
        <f t="shared" si="18"/>
        <v>0</v>
      </c>
      <c r="N254" s="6">
        <f t="shared" si="18"/>
        <v>0</v>
      </c>
      <c r="O254" s="6">
        <f t="shared" si="18"/>
        <v>0</v>
      </c>
      <c r="P254" s="6"/>
    </row>
    <row r="255" spans="1:16" ht="15.75" x14ac:dyDescent="0.25">
      <c r="B255" s="12"/>
      <c r="D255" s="6"/>
    </row>
    <row r="256" spans="1:16" ht="15.75" x14ac:dyDescent="0.25">
      <c r="B256" s="12"/>
      <c r="D256" s="6"/>
      <c r="E256" s="6"/>
      <c r="F256" s="6"/>
      <c r="G256" s="6"/>
      <c r="H256" s="6"/>
      <c r="I256" s="6"/>
      <c r="J256" s="6"/>
      <c r="K256" s="6"/>
      <c r="L256" s="6"/>
      <c r="M256" s="6"/>
      <c r="N256" s="6"/>
      <c r="O256" s="6"/>
      <c r="P256" s="6"/>
    </row>
    <row r="257" spans="2:4" ht="15.75" x14ac:dyDescent="0.25">
      <c r="B257" s="12"/>
      <c r="D257" s="6"/>
    </row>
    <row r="258" spans="2:4" ht="15.75" x14ac:dyDescent="0.25">
      <c r="B258" s="12"/>
      <c r="D258" s="6"/>
    </row>
    <row r="259" spans="2:4" ht="15.75" x14ac:dyDescent="0.25">
      <c r="B259" s="12"/>
      <c r="D259" s="6"/>
    </row>
    <row r="260" spans="2:4" ht="15.75" x14ac:dyDescent="0.25">
      <c r="B260" s="12"/>
      <c r="D260" s="6"/>
    </row>
    <row r="261" spans="2:4" ht="15.75" x14ac:dyDescent="0.25">
      <c r="B261" s="12"/>
      <c r="D261" s="6"/>
    </row>
    <row r="262" spans="2:4" ht="15.75" x14ac:dyDescent="0.25">
      <c r="B262" s="12"/>
      <c r="D262" s="6"/>
    </row>
    <row r="263" spans="2:4" ht="15.75" x14ac:dyDescent="0.25">
      <c r="B263" s="12"/>
      <c r="D263" s="6"/>
    </row>
    <row r="264" spans="2:4" ht="15.75" x14ac:dyDescent="0.25">
      <c r="B264" s="12"/>
      <c r="D264" s="6"/>
    </row>
    <row r="265" spans="2:4" ht="15.75" x14ac:dyDescent="0.25">
      <c r="B265" s="12"/>
      <c r="D265" s="6"/>
    </row>
    <row r="266" spans="2:4" ht="15" x14ac:dyDescent="0.2">
      <c r="D266" s="6"/>
    </row>
    <row r="267" spans="2:4" ht="15" x14ac:dyDescent="0.2">
      <c r="D267" s="6"/>
    </row>
    <row r="268" spans="2:4" ht="15" x14ac:dyDescent="0.2">
      <c r="D268" s="6"/>
    </row>
    <row r="269" spans="2:4" ht="15" x14ac:dyDescent="0.2">
      <c r="D269" s="6"/>
    </row>
    <row r="270" spans="2:4" ht="15" x14ac:dyDescent="0.2">
      <c r="D270" s="6"/>
    </row>
    <row r="271" spans="2:4" ht="15" x14ac:dyDescent="0.2">
      <c r="D271" s="6"/>
    </row>
    <row r="272" spans="2:4" ht="15" x14ac:dyDescent="0.2">
      <c r="D272" s="6"/>
    </row>
    <row r="273" spans="4:4" ht="15" x14ac:dyDescent="0.2">
      <c r="D273" s="6"/>
    </row>
    <row r="274" spans="4:4" ht="15" x14ac:dyDescent="0.2">
      <c r="D274" s="6"/>
    </row>
    <row r="275" spans="4:4" ht="15" x14ac:dyDescent="0.2">
      <c r="D275" s="6"/>
    </row>
    <row r="276" spans="4:4" ht="15" x14ac:dyDescent="0.2">
      <c r="D276" s="6"/>
    </row>
    <row r="277" spans="4:4" ht="15" x14ac:dyDescent="0.2">
      <c r="D277" s="6"/>
    </row>
    <row r="278" spans="4:4" ht="15" x14ac:dyDescent="0.2">
      <c r="D278" s="6"/>
    </row>
    <row r="279" spans="4:4" ht="15" x14ac:dyDescent="0.2">
      <c r="D279" s="6"/>
    </row>
    <row r="280" spans="4:4" ht="15" x14ac:dyDescent="0.2">
      <c r="D280" s="6"/>
    </row>
    <row r="281" spans="4:4" ht="15" x14ac:dyDescent="0.2">
      <c r="D281" s="6"/>
    </row>
    <row r="282" spans="4:4" ht="15" x14ac:dyDescent="0.2">
      <c r="D282" s="6"/>
    </row>
    <row r="283" spans="4:4" ht="15" x14ac:dyDescent="0.2">
      <c r="D283" s="6"/>
    </row>
    <row r="284" spans="4:4" ht="15" x14ac:dyDescent="0.2">
      <c r="D284" s="6"/>
    </row>
    <row r="285" spans="4:4" ht="15" x14ac:dyDescent="0.2">
      <c r="D285" s="6"/>
    </row>
    <row r="286" spans="4:4" ht="15" x14ac:dyDescent="0.2">
      <c r="D286" s="6"/>
    </row>
    <row r="287" spans="4:4" ht="15" x14ac:dyDescent="0.2">
      <c r="D287" s="6"/>
    </row>
    <row r="288" spans="4:4" ht="15" x14ac:dyDescent="0.2">
      <c r="D288" s="6"/>
    </row>
    <row r="289" spans="4:4" ht="15" x14ac:dyDescent="0.2">
      <c r="D289" s="6"/>
    </row>
    <row r="290" spans="4:4" ht="15" x14ac:dyDescent="0.2">
      <c r="D290" s="6"/>
    </row>
    <row r="291" spans="4:4" ht="15" x14ac:dyDescent="0.2">
      <c r="D291" s="6"/>
    </row>
    <row r="292" spans="4:4" ht="15" x14ac:dyDescent="0.2">
      <c r="D292" s="6"/>
    </row>
    <row r="293" spans="4:4" ht="15" x14ac:dyDescent="0.2">
      <c r="D293" s="6"/>
    </row>
    <row r="294" spans="4:4" ht="15" x14ac:dyDescent="0.2">
      <c r="D294" s="6"/>
    </row>
    <row r="295" spans="4:4" ht="15" x14ac:dyDescent="0.2">
      <c r="D295" s="6"/>
    </row>
    <row r="296" spans="4:4" ht="15" x14ac:dyDescent="0.2">
      <c r="D296" s="6"/>
    </row>
    <row r="297" spans="4:4" ht="15" x14ac:dyDescent="0.2">
      <c r="D297" s="6"/>
    </row>
    <row r="298" spans="4:4" ht="15" x14ac:dyDescent="0.2">
      <c r="D298" s="6"/>
    </row>
    <row r="299" spans="4:4" ht="15" x14ac:dyDescent="0.2">
      <c r="D299" s="6"/>
    </row>
    <row r="300" spans="4:4" ht="15" x14ac:dyDescent="0.2">
      <c r="D300" s="6"/>
    </row>
    <row r="301" spans="4:4" ht="15" x14ac:dyDescent="0.2">
      <c r="D301" s="6"/>
    </row>
    <row r="302" spans="4:4" ht="15" x14ac:dyDescent="0.2">
      <c r="D302" s="6"/>
    </row>
    <row r="303" spans="4:4" ht="15" x14ac:dyDescent="0.2">
      <c r="D303" s="6"/>
    </row>
    <row r="304" spans="4:4" ht="15" x14ac:dyDescent="0.2">
      <c r="D304" s="6"/>
    </row>
    <row r="305" spans="4:4" ht="15" x14ac:dyDescent="0.2">
      <c r="D305" s="6"/>
    </row>
    <row r="306" spans="4:4" ht="15" x14ac:dyDescent="0.2">
      <c r="D306" s="6"/>
    </row>
    <row r="307" spans="4:4" ht="15" x14ac:dyDescent="0.2">
      <c r="D307" s="6"/>
    </row>
    <row r="308" spans="4:4" ht="15" x14ac:dyDescent="0.2">
      <c r="D308" s="6"/>
    </row>
    <row r="309" spans="4:4" ht="15" x14ac:dyDescent="0.2">
      <c r="D309" s="6"/>
    </row>
    <row r="310" spans="4:4" ht="15" x14ac:dyDescent="0.2">
      <c r="D310" s="6"/>
    </row>
    <row r="311" spans="4:4" ht="15" x14ac:dyDescent="0.2">
      <c r="D311" s="6"/>
    </row>
    <row r="312" spans="4:4" ht="15" x14ac:dyDescent="0.2">
      <c r="D312" s="6"/>
    </row>
    <row r="313" spans="4:4" ht="15" x14ac:dyDescent="0.2">
      <c r="D313" s="6"/>
    </row>
    <row r="314" spans="4:4" ht="15" x14ac:dyDescent="0.2">
      <c r="D314" s="6"/>
    </row>
    <row r="315" spans="4:4" ht="15" x14ac:dyDescent="0.2">
      <c r="D315" s="6"/>
    </row>
    <row r="316" spans="4:4" ht="15" x14ac:dyDescent="0.2">
      <c r="D316" s="6"/>
    </row>
    <row r="317" spans="4:4" ht="15" x14ac:dyDescent="0.2">
      <c r="D317" s="6"/>
    </row>
    <row r="318" spans="4:4" ht="15" x14ac:dyDescent="0.2">
      <c r="D318" s="6"/>
    </row>
    <row r="319" spans="4:4" ht="15" x14ac:dyDescent="0.2">
      <c r="D319" s="6"/>
    </row>
    <row r="320" spans="4:4" ht="15" x14ac:dyDescent="0.2">
      <c r="D320" s="6"/>
    </row>
    <row r="321" spans="4:4" ht="15" x14ac:dyDescent="0.2">
      <c r="D321" s="6"/>
    </row>
    <row r="322" spans="4:4" ht="15" x14ac:dyDescent="0.2">
      <c r="D322" s="6"/>
    </row>
    <row r="323" spans="4:4" ht="15" x14ac:dyDescent="0.2">
      <c r="D323" s="6"/>
    </row>
    <row r="324" spans="4:4" ht="15" x14ac:dyDescent="0.2">
      <c r="D324" s="6"/>
    </row>
    <row r="325" spans="4:4" ht="15" x14ac:dyDescent="0.2">
      <c r="D325" s="6"/>
    </row>
    <row r="326" spans="4:4" ht="15" x14ac:dyDescent="0.2">
      <c r="D326" s="6"/>
    </row>
    <row r="327" spans="4:4" ht="15" x14ac:dyDescent="0.2">
      <c r="D327" s="6"/>
    </row>
    <row r="328" spans="4:4" ht="15" x14ac:dyDescent="0.2">
      <c r="D328" s="6"/>
    </row>
    <row r="329" spans="4:4" ht="15" x14ac:dyDescent="0.2">
      <c r="D329" s="6"/>
    </row>
    <row r="330" spans="4:4" ht="15" x14ac:dyDescent="0.2">
      <c r="D330" s="6"/>
    </row>
    <row r="331" spans="4:4" ht="15" x14ac:dyDescent="0.2">
      <c r="D331" s="6"/>
    </row>
    <row r="332" spans="4:4" ht="15" x14ac:dyDescent="0.2">
      <c r="D332" s="6"/>
    </row>
    <row r="333" spans="4:4" ht="15" x14ac:dyDescent="0.2">
      <c r="D333" s="6"/>
    </row>
    <row r="334" spans="4:4" ht="15" x14ac:dyDescent="0.2">
      <c r="D334" s="6"/>
    </row>
    <row r="335" spans="4:4" ht="15" x14ac:dyDescent="0.2">
      <c r="D335" s="6"/>
    </row>
    <row r="336" spans="4:4" ht="15" x14ac:dyDescent="0.2">
      <c r="D336" s="6"/>
    </row>
    <row r="337" spans="4:4" ht="15" x14ac:dyDescent="0.2">
      <c r="D337" s="6"/>
    </row>
    <row r="338" spans="4:4" ht="15" x14ac:dyDescent="0.2">
      <c r="D338" s="6"/>
    </row>
    <row r="339" spans="4:4" ht="15" x14ac:dyDescent="0.2">
      <c r="D339" s="6"/>
    </row>
    <row r="340" spans="4:4" ht="15" x14ac:dyDescent="0.2">
      <c r="D340" s="6"/>
    </row>
    <row r="341" spans="4:4" ht="15" x14ac:dyDescent="0.2">
      <c r="D341" s="6"/>
    </row>
    <row r="342" spans="4:4" ht="15" x14ac:dyDescent="0.2">
      <c r="D342" s="6"/>
    </row>
    <row r="343" spans="4:4" ht="15" x14ac:dyDescent="0.2">
      <c r="D343" s="6"/>
    </row>
    <row r="344" spans="4:4" ht="15" x14ac:dyDescent="0.2">
      <c r="D344" s="6"/>
    </row>
    <row r="345" spans="4:4" ht="15" x14ac:dyDescent="0.2">
      <c r="D345" s="6"/>
    </row>
    <row r="346" spans="4:4" ht="15" x14ac:dyDescent="0.2">
      <c r="D346" s="6"/>
    </row>
    <row r="347" spans="4:4" ht="15" x14ac:dyDescent="0.2">
      <c r="D347" s="6"/>
    </row>
    <row r="348" spans="4:4" ht="15" x14ac:dyDescent="0.2">
      <c r="D348" s="6"/>
    </row>
    <row r="349" spans="4:4" ht="15" x14ac:dyDescent="0.2">
      <c r="D349" s="6"/>
    </row>
    <row r="350" spans="4:4" ht="15" x14ac:dyDescent="0.2">
      <c r="D350" s="6"/>
    </row>
    <row r="351" spans="4:4" ht="15" x14ac:dyDescent="0.2">
      <c r="D351" s="6"/>
    </row>
    <row r="352" spans="4:4" ht="15" x14ac:dyDescent="0.2">
      <c r="D352" s="6"/>
    </row>
    <row r="353" spans="4:4" ht="15" x14ac:dyDescent="0.2">
      <c r="D353" s="6"/>
    </row>
    <row r="354" spans="4:4" ht="15" x14ac:dyDescent="0.2">
      <c r="D354" s="6"/>
    </row>
    <row r="355" spans="4:4" ht="15" x14ac:dyDescent="0.2">
      <c r="D355" s="6"/>
    </row>
    <row r="356" spans="4:4" ht="15" x14ac:dyDescent="0.2">
      <c r="D356" s="6"/>
    </row>
    <row r="357" spans="4:4" ht="15" x14ac:dyDescent="0.2">
      <c r="D357" s="6"/>
    </row>
    <row r="358" spans="4:4" ht="15" x14ac:dyDescent="0.2">
      <c r="D358" s="6"/>
    </row>
    <row r="359" spans="4:4" ht="15" x14ac:dyDescent="0.2">
      <c r="D359" s="6"/>
    </row>
    <row r="360" spans="4:4" ht="15" x14ac:dyDescent="0.2">
      <c r="D360" s="6"/>
    </row>
    <row r="361" spans="4:4" ht="15" x14ac:dyDescent="0.2">
      <c r="D361" s="6"/>
    </row>
    <row r="362" spans="4:4" ht="15" x14ac:dyDescent="0.2">
      <c r="D362" s="6"/>
    </row>
    <row r="363" spans="4:4" ht="15" x14ac:dyDescent="0.2">
      <c r="D363" s="6"/>
    </row>
    <row r="364" spans="4:4" ht="15" x14ac:dyDescent="0.2">
      <c r="D364" s="6"/>
    </row>
    <row r="365" spans="4:4" ht="15" x14ac:dyDescent="0.2">
      <c r="D365" s="6"/>
    </row>
    <row r="366" spans="4:4" ht="15" x14ac:dyDescent="0.2">
      <c r="D366" s="6"/>
    </row>
    <row r="367" spans="4:4" ht="15" x14ac:dyDescent="0.2">
      <c r="D367" s="6"/>
    </row>
    <row r="368" spans="4:4" ht="15" x14ac:dyDescent="0.2">
      <c r="D368" s="6"/>
    </row>
    <row r="369" spans="4:4" ht="15" x14ac:dyDescent="0.2">
      <c r="D369" s="6"/>
    </row>
    <row r="370" spans="4:4" ht="15" x14ac:dyDescent="0.2">
      <c r="D370" s="6"/>
    </row>
    <row r="371" spans="4:4" ht="15" x14ac:dyDescent="0.2">
      <c r="D371" s="6"/>
    </row>
    <row r="372" spans="4:4" ht="15" x14ac:dyDescent="0.2">
      <c r="D372" s="6"/>
    </row>
    <row r="373" spans="4:4" ht="15" x14ac:dyDescent="0.2">
      <c r="D373" s="6"/>
    </row>
    <row r="374" spans="4:4" ht="15" x14ac:dyDescent="0.2">
      <c r="D374" s="6"/>
    </row>
    <row r="375" spans="4:4" ht="15" x14ac:dyDescent="0.2">
      <c r="D375" s="6"/>
    </row>
    <row r="376" spans="4:4" ht="15" x14ac:dyDescent="0.2">
      <c r="D376" s="6"/>
    </row>
    <row r="377" spans="4:4" ht="15" x14ac:dyDescent="0.2">
      <c r="D377" s="6"/>
    </row>
    <row r="378" spans="4:4" ht="15" x14ac:dyDescent="0.2">
      <c r="D378" s="6"/>
    </row>
    <row r="379" spans="4:4" ht="15" x14ac:dyDescent="0.2">
      <c r="D379" s="6"/>
    </row>
    <row r="380" spans="4:4" ht="15" x14ac:dyDescent="0.2">
      <c r="D380" s="6"/>
    </row>
    <row r="381" spans="4:4" ht="15" x14ac:dyDescent="0.2">
      <c r="D381" s="6"/>
    </row>
    <row r="382" spans="4:4" ht="15" x14ac:dyDescent="0.2">
      <c r="D382" s="6"/>
    </row>
    <row r="383" spans="4:4" ht="15" x14ac:dyDescent="0.2">
      <c r="D383" s="6"/>
    </row>
    <row r="384" spans="4:4" ht="15" x14ac:dyDescent="0.2">
      <c r="D384" s="6"/>
    </row>
    <row r="385" spans="4:4" ht="15" x14ac:dyDescent="0.2">
      <c r="D385" s="6"/>
    </row>
    <row r="386" spans="4:4" ht="15" x14ac:dyDescent="0.2">
      <c r="D386" s="6"/>
    </row>
    <row r="387" spans="4:4" ht="15" x14ac:dyDescent="0.2">
      <c r="D387" s="6"/>
    </row>
    <row r="388" spans="4:4" ht="15" x14ac:dyDescent="0.2">
      <c r="D388" s="6"/>
    </row>
    <row r="389" spans="4:4" ht="15" x14ac:dyDescent="0.2">
      <c r="D389" s="6"/>
    </row>
    <row r="10135" spans="1:2" x14ac:dyDescent="0.2">
      <c r="B10135" s="14"/>
    </row>
    <row r="10137" spans="1:2" x14ac:dyDescent="0.2">
      <c r="A10137" s="14" t="b">
        <v>0</v>
      </c>
    </row>
    <row r="10145" spans="2:2" x14ac:dyDescent="0.2">
      <c r="B10145" s="14" t="b">
        <v>1</v>
      </c>
    </row>
  </sheetData>
  <sheetProtection formatColumns="0" formatRows="0"/>
  <mergeCells count="4">
    <mergeCell ref="A9:A16"/>
    <mergeCell ref="A23:A244"/>
    <mergeCell ref="B2:M2"/>
    <mergeCell ref="B1:M1"/>
  </mergeCells>
  <phoneticPr fontId="21" type="noConversion"/>
  <printOptions horizontalCentered="1"/>
  <pageMargins left="0" right="0" top="0" bottom="0" header="0" footer="0"/>
  <pageSetup scale="60" orientation="landscape" r:id="rId1"/>
  <headerFooter alignWithMargins="0">
    <oddFooter>&amp;L&amp;D &amp;T&amp;C&amp;Z&amp;F&amp;R&amp;P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P10160"/>
  <sheetViews>
    <sheetView showGridLines="0" zoomScaleNormal="100" workbookViewId="0">
      <pane xSplit="3" ySplit="9" topLeftCell="D10" activePane="bottomRight" state="frozen"/>
      <selection sqref="A1:L1"/>
      <selection pane="topRight" sqref="A1:L1"/>
      <selection pane="bottomLeft" sqref="A1:L1"/>
      <selection pane="bottomRight" activeCell="D10" sqref="D10"/>
    </sheetView>
  </sheetViews>
  <sheetFormatPr defaultRowHeight="12.75" x14ac:dyDescent="0.2"/>
  <cols>
    <col min="1" max="1" width="3.7109375" customWidth="1"/>
    <col min="2" max="2" width="8.7109375" customWidth="1"/>
    <col min="3" max="3" width="41.7109375" style="20" bestFit="1" customWidth="1"/>
    <col min="4" max="4" width="15.140625" bestFit="1" customWidth="1"/>
    <col min="5" max="6" width="10.28515625" bestFit="1" customWidth="1"/>
    <col min="7" max="7" width="12.140625" bestFit="1" customWidth="1"/>
    <col min="8" max="15" width="12.85546875" bestFit="1" customWidth="1"/>
    <col min="16" max="16" width="13.5703125" bestFit="1" customWidth="1"/>
  </cols>
  <sheetData>
    <row r="1" spans="1:16" ht="18" customHeight="1" x14ac:dyDescent="0.25">
      <c r="B1" s="241" t="str">
        <f>Assumptions!D5&amp;" - Reserve &amp; Special Assessment Analysis Option 2"</f>
        <v>Dana Point - Reserve &amp; Special Assessment Analysis Option 2</v>
      </c>
      <c r="C1" s="241"/>
      <c r="D1" s="241"/>
      <c r="E1" s="241"/>
      <c r="F1" s="241"/>
      <c r="G1" s="241"/>
      <c r="H1" s="241"/>
      <c r="I1" s="241"/>
      <c r="J1" s="241"/>
      <c r="K1" s="241"/>
      <c r="L1" s="241"/>
      <c r="M1" s="241"/>
      <c r="N1" s="155"/>
      <c r="O1" s="155"/>
    </row>
    <row r="2" spans="1:16" ht="18" customHeight="1" x14ac:dyDescent="0.25">
      <c r="B2" s="241" t="str">
        <f>+Assumptions!D7&amp;" Reserve Study 10-Year Projection"</f>
        <v>2013 Reserve Study 10-Year Projection</v>
      </c>
      <c r="C2" s="241"/>
      <c r="D2" s="241"/>
      <c r="E2" s="241"/>
      <c r="F2" s="241"/>
      <c r="G2" s="241"/>
      <c r="H2" s="241"/>
      <c r="I2" s="241"/>
      <c r="J2" s="241"/>
      <c r="K2" s="241"/>
      <c r="L2" s="241"/>
      <c r="M2" s="241"/>
      <c r="N2" s="155"/>
      <c r="O2" s="155"/>
    </row>
    <row r="3" spans="1:16" ht="12.75" customHeight="1" x14ac:dyDescent="0.2"/>
    <row r="4" spans="1:16" ht="12.75" customHeight="1" x14ac:dyDescent="0.2">
      <c r="C4" s="20" t="s">
        <v>8</v>
      </c>
      <c r="D4" s="39">
        <f>Assumptions!C21</f>
        <v>0</v>
      </c>
    </row>
    <row r="5" spans="1:16" ht="12.75" hidden="1" customHeight="1" x14ac:dyDescent="0.2">
      <c r="D5" s="20"/>
      <c r="E5">
        <f>IF(YEAR(Assumptions!$D8)&lt;YEAR(Assumptions!C22),0,1)</f>
        <v>1</v>
      </c>
      <c r="F5">
        <f t="shared" ref="F5" si="0">+E5+1</f>
        <v>2</v>
      </c>
      <c r="G5">
        <f t="shared" ref="G5:G9" si="1">+F5+1</f>
        <v>3</v>
      </c>
      <c r="H5">
        <f t="shared" ref="H5:H9" si="2">+G5+1</f>
        <v>4</v>
      </c>
      <c r="I5">
        <f t="shared" ref="I5:I9" si="3">+H5+1</f>
        <v>5</v>
      </c>
      <c r="J5">
        <f t="shared" ref="J5:J9" si="4">+I5+1</f>
        <v>6</v>
      </c>
      <c r="K5">
        <f t="shared" ref="K5:M9" si="5">+J5+1</f>
        <v>7</v>
      </c>
      <c r="L5">
        <f t="shared" si="5"/>
        <v>8</v>
      </c>
      <c r="M5">
        <f t="shared" si="5"/>
        <v>9</v>
      </c>
      <c r="N5">
        <f t="shared" ref="N5:N9" si="6">+M5+1</f>
        <v>10</v>
      </c>
      <c r="O5">
        <f t="shared" ref="O5:O9" si="7">+N5+1</f>
        <v>11</v>
      </c>
    </row>
    <row r="6" spans="1:16" ht="12.75" hidden="1" customHeight="1" x14ac:dyDescent="0.2">
      <c r="D6" s="20">
        <f>IF(YEAR(Assumptions!C22)&gt;LEFT(D9,4)*1,0,1)</f>
        <v>1</v>
      </c>
      <c r="E6">
        <f>+D7+1</f>
        <v>1389</v>
      </c>
      <c r="F6">
        <f t="shared" ref="F6:O6" si="8">+E7+1</f>
        <v>1</v>
      </c>
      <c r="G6">
        <f t="shared" si="8"/>
        <v>1</v>
      </c>
      <c r="H6">
        <f t="shared" si="8"/>
        <v>1</v>
      </c>
      <c r="I6">
        <f t="shared" si="8"/>
        <v>1</v>
      </c>
      <c r="J6">
        <f t="shared" si="8"/>
        <v>1</v>
      </c>
      <c r="K6">
        <f t="shared" si="8"/>
        <v>1</v>
      </c>
      <c r="L6">
        <f t="shared" si="8"/>
        <v>1</v>
      </c>
      <c r="M6">
        <f t="shared" si="8"/>
        <v>1</v>
      </c>
      <c r="N6">
        <f t="shared" si="8"/>
        <v>1</v>
      </c>
      <c r="O6">
        <f t="shared" si="8"/>
        <v>1</v>
      </c>
    </row>
    <row r="7" spans="1:16" ht="12.75" hidden="1" customHeight="1" x14ac:dyDescent="0.2">
      <c r="D7" s="20">
        <f>IF(D6=0,0,ROUND(((IF(YEAR(Assumptions!D8)&lt;YEAR(Assumptions!C22),(Assumptions!D8+365)-Assumptions!C22,Assumptions!D8-Assumptions!C22))/30),0))</f>
        <v>1388</v>
      </c>
      <c r="E7">
        <f>IF(D7=0,ROUND(((IF(YEAR(Assumptions!D8)&lt;YEAR(Assumptions!C22),(Assumptions!D8+365)-Assumptions!C22,Assumptions!D8-Assumptions!C22))/30),0),IF(Assumptions!$C$24*12&gt;D7+12,D7+12,Assumptions!$C$24*12))</f>
        <v>0</v>
      </c>
      <c r="F7">
        <f>IF(Assumptions!$C$24*12&gt;E7+12,E7+12,Assumptions!$C$24*12)</f>
        <v>0</v>
      </c>
      <c r="G7">
        <f>IF(Assumptions!$C$24*12&gt;F7+12,F7+12,Assumptions!$C$24*12)</f>
        <v>0</v>
      </c>
      <c r="H7">
        <f>IF(Assumptions!$C$24*12&gt;G7+12,G7+12,Assumptions!$C$24*12)</f>
        <v>0</v>
      </c>
      <c r="I7">
        <f>IF(Assumptions!$C$24*12&gt;H7+12,H7+12,Assumptions!$C$24*12)</f>
        <v>0</v>
      </c>
      <c r="J7">
        <f>IF(Assumptions!$C$24*12&gt;I7+12,I7+12,Assumptions!$C$24*12)</f>
        <v>0</v>
      </c>
      <c r="K7">
        <f>IF(Assumptions!$C$24*12&gt;J7+12,J7+12,Assumptions!$C$24*12)</f>
        <v>0</v>
      </c>
      <c r="L7">
        <f>IF(Assumptions!$C$24*12&gt;K7+12,K7+12,Assumptions!$C$24*12)</f>
        <v>0</v>
      </c>
      <c r="M7">
        <f>IF(Assumptions!$C$24*12&gt;L7+12,L7+12,Assumptions!$C$24*12)</f>
        <v>0</v>
      </c>
      <c r="N7">
        <f>IF(Assumptions!$C$24*12&gt;M7+12,M7+12,Assumptions!$C$24*12)</f>
        <v>0</v>
      </c>
      <c r="O7">
        <f>IF(Assumptions!$C$24*12&gt;N7+12,N7+12,Assumptions!$C$24*12)</f>
        <v>0</v>
      </c>
    </row>
    <row r="8" spans="1:16" ht="12.75" customHeight="1" x14ac:dyDescent="0.2">
      <c r="D8" s="20"/>
    </row>
    <row r="9" spans="1:16" ht="15.75" customHeight="1" x14ac:dyDescent="0.25">
      <c r="A9" s="237" t="s">
        <v>1</v>
      </c>
      <c r="B9" s="2" t="s">
        <v>2</v>
      </c>
      <c r="C9" s="23" t="s">
        <v>3</v>
      </c>
      <c r="D9" s="3" t="str">
        <f>Assumptions!D7&amp;" Budget"</f>
        <v>2013 Budget</v>
      </c>
      <c r="E9" s="3">
        <f>+Assumptions!D7+1</f>
        <v>2014</v>
      </c>
      <c r="F9" s="3">
        <f>+E9+1</f>
        <v>2015</v>
      </c>
      <c r="G9" s="3">
        <f t="shared" si="1"/>
        <v>2016</v>
      </c>
      <c r="H9" s="3">
        <f t="shared" si="2"/>
        <v>2017</v>
      </c>
      <c r="I9" s="3">
        <f t="shared" si="3"/>
        <v>2018</v>
      </c>
      <c r="J9" s="3">
        <f t="shared" si="4"/>
        <v>2019</v>
      </c>
      <c r="K9" s="3">
        <f t="shared" si="5"/>
        <v>2020</v>
      </c>
      <c r="L9" s="3">
        <f t="shared" si="5"/>
        <v>2021</v>
      </c>
      <c r="M9" s="3">
        <f t="shared" si="5"/>
        <v>2022</v>
      </c>
      <c r="N9" s="3">
        <f t="shared" si="6"/>
        <v>2023</v>
      </c>
      <c r="O9" s="3">
        <f t="shared" si="7"/>
        <v>2024</v>
      </c>
      <c r="P9" s="3" t="s">
        <v>77</v>
      </c>
    </row>
    <row r="10" spans="1:16" ht="15.75" customHeight="1" x14ac:dyDescent="0.25">
      <c r="A10" s="237"/>
      <c r="B10" s="4" t="s">
        <v>4</v>
      </c>
      <c r="C10" s="24" t="s">
        <v>5</v>
      </c>
      <c r="D10" s="125">
        <f>ROUND((+Assumptions!D10/12*Calc!$G$9),0)</f>
        <v>202156</v>
      </c>
      <c r="E10" s="125">
        <f>+(Assumptions!D10)*(1+Assumptions!K26)</f>
        <v>499729.22000000003</v>
      </c>
      <c r="F10" s="125">
        <f>+E10*(1+Assumptions!K27)</f>
        <v>514721.09660000005</v>
      </c>
      <c r="G10" s="125">
        <f>+F10*(1+Assumptions!K28)</f>
        <v>530162.72949800012</v>
      </c>
      <c r="H10" s="125">
        <f>+G10*(1+Assumptions!K29)</f>
        <v>546067.61138294009</v>
      </c>
      <c r="I10" s="125">
        <f>+H10*(1+Assumptions!K30)</f>
        <v>562449.6397244283</v>
      </c>
      <c r="J10" s="125">
        <f>+I10*(1+Assumptions!K31)</f>
        <v>579323.12891616113</v>
      </c>
      <c r="K10" s="125">
        <f>+J10*(1+Assumptions!K32)</f>
        <v>596702.82278364594</v>
      </c>
      <c r="L10" s="125">
        <f>+K10*(1+Assumptions!K33)</f>
        <v>614603.90746715537</v>
      </c>
      <c r="M10" s="125">
        <f>+L10*(1+Assumptions!K34)</f>
        <v>633042.02469117008</v>
      </c>
      <c r="N10" s="125">
        <f>+M10*(1+Assumptions!K35)</f>
        <v>652033.28543190518</v>
      </c>
      <c r="O10" s="125">
        <f>+N10*(1+Assumptions!K36)</f>
        <v>671594.28399486234</v>
      </c>
      <c r="P10" s="123">
        <f>SUM(D10:O10)</f>
        <v>6602585.7504902687</v>
      </c>
    </row>
    <row r="11" spans="1:16" ht="15.75" customHeight="1" x14ac:dyDescent="0.25">
      <c r="A11" s="237"/>
      <c r="B11" s="29" t="s">
        <v>823</v>
      </c>
      <c r="C11" s="24" t="s">
        <v>5</v>
      </c>
      <c r="D11" s="125">
        <f>+'Option 1'!D11</f>
        <v>58604.166666666672</v>
      </c>
      <c r="E11" s="125">
        <f>+'Option 1'!E11</f>
        <v>152001</v>
      </c>
      <c r="F11" s="125">
        <f>+'Option 1'!F11</f>
        <v>156561.03</v>
      </c>
      <c r="G11" s="125">
        <f>+'Option 1'!G11</f>
        <v>161257.8609</v>
      </c>
      <c r="H11" s="125">
        <f>+'Option 1'!H11</f>
        <v>166095.596727</v>
      </c>
      <c r="I11" s="125">
        <f>+'Option 1'!I11</f>
        <v>171078.46462881</v>
      </c>
      <c r="J11" s="125">
        <f>+'Option 1'!J11</f>
        <v>176210.81856767432</v>
      </c>
      <c r="K11" s="125">
        <f>+'Option 1'!K11</f>
        <v>181497.14312470454</v>
      </c>
      <c r="L11" s="125">
        <f>+'Option 1'!L11</f>
        <v>186942.05741844568</v>
      </c>
      <c r="M11" s="125">
        <f>+'Option 1'!M11</f>
        <v>192550.31914099905</v>
      </c>
      <c r="N11" s="125">
        <f>+'Option 1'!N11</f>
        <v>198326.82871522903</v>
      </c>
      <c r="O11" s="125">
        <f>+'Option 1'!O11</f>
        <v>204276.63357668591</v>
      </c>
      <c r="P11" s="123">
        <f t="shared" ref="P11:P17" si="9">SUM(D11:O11)</f>
        <v>2005401.9194662152</v>
      </c>
    </row>
    <row r="12" spans="1:16" ht="15.75" customHeight="1" x14ac:dyDescent="0.25">
      <c r="A12" s="237"/>
      <c r="B12" s="4" t="s">
        <v>7</v>
      </c>
      <c r="C12" s="24" t="s">
        <v>82</v>
      </c>
      <c r="D12" s="125">
        <f>IF(Assumptions!$C$25=0,IF(ISERROR(-CUMPRINC(0.00000000001/12,Assumptions!$C$24*12,$D$4,D6,D7,0)),0,(-CUMPRINC(0.00000000001/12,Assumptions!$C$24*12,$D$4,D6,D7,0))),IF(ISERROR(-CUMPRINC(Assumptions!$C$25/12,Assumptions!$C$24*12,$D$4,D6,D7,0)),0,(-CUMPRINC(Assumptions!$C$25/12,Assumptions!$C$24*12,$D$4,D6,D7,0))))</f>
        <v>0</v>
      </c>
      <c r="E12" s="125">
        <f>IF(Assumptions!$C$25=0,IF(ISERROR(-CUMPRINC(0.00000000001/12,Assumptions!$C$24*12,$D$4,E6,E7,0)),0,(-CUMPRINC(0.00000000001/12,Assumptions!$C$24*12,$D$4,E6,E7,0))),IF(ISERROR(-CUMPRINC(Assumptions!$C$25/12,Assumptions!$C$24*12,$D$4,E6,E7,0)),0,(-CUMPRINC(Assumptions!$C$25/12,Assumptions!$C$24*12,$D$4,E6,E7,0))))</f>
        <v>0</v>
      </c>
      <c r="F12" s="125">
        <f>IF(Assumptions!$C$25=0,IF(ISERROR(-CUMPRINC(0.00000000001/12,Assumptions!$C$24*12,$D$4,F6,F7,0)),0,(-CUMPRINC(0.00000000001/12,Assumptions!$C$24*12,$D$4,F6,F7,0))),IF(ISERROR(-CUMPRINC(Assumptions!$C$25/12,Assumptions!$C$24*12,$D$4,F6,F7,0)),0,(-CUMPRINC(Assumptions!$C$25/12,Assumptions!$C$24*12,$D$4,F6,F7,0))))</f>
        <v>0</v>
      </c>
      <c r="G12" s="125">
        <f>IF(Assumptions!$C$25=0,IF(ISERROR(-CUMPRINC(0.00000000001/12,Assumptions!$C$24*12,$D$4,G6,G7,0)),0,(-CUMPRINC(0.00000000001/12,Assumptions!$C$24*12,$D$4,G6,G7,0))),IF(ISERROR(-CUMPRINC(Assumptions!$C$25/12,Assumptions!$C$24*12,$D$4,G6,G7,0)),0,(-CUMPRINC(Assumptions!$C$25/12,Assumptions!$C$24*12,$D$4,G6,G7,0))))</f>
        <v>0</v>
      </c>
      <c r="H12" s="125">
        <f>IF(Assumptions!$C$25=0,IF(ISERROR(-CUMPRINC(0.00000000001/12,Assumptions!$C$24*12,$D$4,H6,H7,0)),0,(-CUMPRINC(0.00000000001/12,Assumptions!$C$24*12,$D$4,H6,H7,0))),IF(ISERROR(-CUMPRINC(Assumptions!$C$25/12,Assumptions!$C$24*12,$D$4,H6,H7,0)),0,(-CUMPRINC(Assumptions!$C$25/12,Assumptions!$C$24*12,$D$4,H6,H7,0))))</f>
        <v>0</v>
      </c>
      <c r="I12" s="125">
        <f>IF(Assumptions!$C$25=0,IF(ISERROR(-CUMPRINC(0.00000000001/12,Assumptions!$C$24*12,$D$4,I6,I7,0)),0,(-CUMPRINC(0.00000000001/12,Assumptions!$C$24*12,$D$4,I6,I7,0))),IF(ISERROR(-CUMPRINC(Assumptions!$C$25/12,Assumptions!$C$24*12,$D$4,I6,I7,0)),0,(-CUMPRINC(Assumptions!$C$25/12,Assumptions!$C$24*12,$D$4,I6,I7,0))))</f>
        <v>0</v>
      </c>
      <c r="J12" s="125">
        <f>IF(Assumptions!$C$25=0,IF(ISERROR(-CUMPRINC(0.00000000001/12,Assumptions!$C$24*12,$D$4,J6,J7,0)),0,(-CUMPRINC(0.00000000001/12,Assumptions!$C$24*12,$D$4,J6,J7,0))),IF(ISERROR(-CUMPRINC(Assumptions!$C$25/12,Assumptions!$C$24*12,$D$4,J6,J7,0)),0,(-CUMPRINC(Assumptions!$C$25/12,Assumptions!$C$24*12,$D$4,J6,J7,0))))</f>
        <v>0</v>
      </c>
      <c r="K12" s="125">
        <f>IF(Assumptions!$C$25=0,IF(ISERROR(-CUMPRINC(0.00000000001/12,Assumptions!$C$24*12,$D$4,K6,K7,0)),0,(-CUMPRINC(0.00000000001/12,Assumptions!$C$24*12,$D$4,K6,K7,0))),IF(ISERROR(-CUMPRINC(Assumptions!$C$25/12,Assumptions!$C$24*12,$D$4,K6,K7,0)),0,(-CUMPRINC(Assumptions!$C$25/12,Assumptions!$C$24*12,$D$4,K6,K7,0))))</f>
        <v>0</v>
      </c>
      <c r="L12" s="125">
        <f>IF(Assumptions!$C$25=0,IF(ISERROR(-CUMPRINC(0.00000000001/12,Assumptions!$C$24*12,$D$4,L6,L7,0)),0,(-CUMPRINC(0.00000000001/12,Assumptions!$C$24*12,$D$4,L6,L7,0))),IF(ISERROR(-CUMPRINC(Assumptions!$C$25/12,Assumptions!$C$24*12,$D$4,L6,L7,0)),0,(-CUMPRINC(Assumptions!$C$25/12,Assumptions!$C$24*12,$D$4,L6,L7,0))))</f>
        <v>0</v>
      </c>
      <c r="M12" s="125">
        <f>IF(Assumptions!$C$25=0,IF(ISERROR(-CUMPRINC(0.00000000001/12,Assumptions!$C$24*12,$D$4,M6,M7,0)),0,(-CUMPRINC(0.00000000001/12,Assumptions!$C$24*12,$D$4,M6,M7,0))),IF(ISERROR(-CUMPRINC(Assumptions!$C$25/12,Assumptions!$C$24*12,$D$4,M6,M7,0)),0,(-CUMPRINC(Assumptions!$C$25/12,Assumptions!$C$24*12,$D$4,M6,M7,0))))</f>
        <v>0</v>
      </c>
      <c r="N12" s="125">
        <f>IF(Assumptions!$C$25=0,IF(ISERROR(-CUMPRINC(0.00000000001/12,Assumptions!$C$24*12,$D$4,N6,N7,0)),0,(-CUMPRINC(0.00000000001/12,Assumptions!$C$24*12,$D$4,N6,N7,0))),IF(ISERROR(-CUMPRINC(Assumptions!$C$25/12,Assumptions!$C$24*12,$D$4,N6,N7,0)),0,(-CUMPRINC(Assumptions!$C$25/12,Assumptions!$C$24*12,$D$4,N6,N7,0))))</f>
        <v>0</v>
      </c>
      <c r="O12" s="125">
        <f>IF(Assumptions!$C$25=0,IF(ISERROR(-CUMPRINC(0.00000000001/12,Assumptions!$C$24*12,$D$4,O6,O7,0)),0,(-CUMPRINC(0.00000000001/12,Assumptions!$C$24*12,$D$4,O6,O7,0))),IF(ISERROR(-CUMPRINC(Assumptions!$C$25/12,Assumptions!$C$24*12,$D$4,O6,O7,0)),0,(-CUMPRINC(Assumptions!$C$25/12,Assumptions!$C$24*12,$D$4,O6,O7,0))))</f>
        <v>0</v>
      </c>
      <c r="P12" s="123">
        <f t="shared" si="9"/>
        <v>0</v>
      </c>
    </row>
    <row r="13" spans="1:16" ht="15.75" customHeight="1" x14ac:dyDescent="0.25">
      <c r="A13" s="237"/>
      <c r="B13" s="4" t="s">
        <v>27</v>
      </c>
      <c r="C13" s="24" t="s">
        <v>31</v>
      </c>
      <c r="D13" s="125">
        <f>IF(Assumptions!$C$25=0,IF(ISERROR(-CUMIPMT(0.00000000001/12,Assumptions!$C$24*12,$D$4,D6,D7,0)),0,-CUMIPMT(0.00000000001/12,Assumptions!$C$24*12,$D$4,D6,D7,0)),IF(ISERROR(-CUMIPMT(Assumptions!$C$25/12,Assumptions!$C$24*12,$D$4,D6,D7,0)),0,-CUMIPMT(Assumptions!$C$25/12,Assumptions!$C$24*12,$D$4,D6,D7,0)))</f>
        <v>0</v>
      </c>
      <c r="E13" s="125">
        <f>IF(Assumptions!$C$25=0,IF(ISERROR(-CUMIPMT(0.00000000001/12,Assumptions!$C$24*12,$D$4,E6,E7,0)),0,-CUMIPMT(0.00000000001/12,Assumptions!$C$24*12,$D$4,E6,E7,0)),IF(ISERROR(-CUMIPMT(Assumptions!$C$25/12,Assumptions!$C$24*12,$D$4,E6,E7,0)),0,-CUMIPMT(Assumptions!$C$25/12,Assumptions!$C$24*12,$D$4,E6,E7,0)))</f>
        <v>0</v>
      </c>
      <c r="F13" s="125">
        <f>IF(Assumptions!$C$25=0,IF(ISERROR(-CUMIPMT(0.00000000001/12,Assumptions!$C$24*12,$D$4,F6,F7,0)),0,-CUMIPMT(0.00000000001/12,Assumptions!$C$24*12,$D$4,F6,F7,0)),IF(ISERROR(-CUMIPMT(Assumptions!$C$25/12,Assumptions!$C$24*12,$D$4,F6,F7,0)),0,-CUMIPMT(Assumptions!$C$25/12,Assumptions!$C$24*12,$D$4,F6,F7,0)))</f>
        <v>0</v>
      </c>
      <c r="G13" s="125">
        <f>IF(Assumptions!$C$25=0,IF(ISERROR(-CUMIPMT(0.00000000001/12,Assumptions!$C$24*12,$D$4,G6,G7,0)),0,-CUMIPMT(0.00000000001/12,Assumptions!$C$24*12,$D$4,G6,G7,0)),IF(ISERROR(-CUMIPMT(Assumptions!$C$25/12,Assumptions!$C$24*12,$D$4,G6,G7,0)),0,-CUMIPMT(Assumptions!$C$25/12,Assumptions!$C$24*12,$D$4,G6,G7,0)))</f>
        <v>0</v>
      </c>
      <c r="H13" s="125">
        <f>IF(Assumptions!$C$25=0,IF(ISERROR(-CUMIPMT(0.00000000001/12,Assumptions!$C$24*12,$D$4,H6,H7,0)),0,-CUMIPMT(0.00000000001/12,Assumptions!$C$24*12,$D$4,H6,H7,0)),IF(ISERROR(-CUMIPMT(Assumptions!$C$25/12,Assumptions!$C$24*12,$D$4,H6,H7,0)),0,-CUMIPMT(Assumptions!$C$25/12,Assumptions!$C$24*12,$D$4,H6,H7,0)))</f>
        <v>0</v>
      </c>
      <c r="I13" s="125">
        <f>IF(Assumptions!$C$25=0,IF(ISERROR(-CUMIPMT(0.00000000001/12,Assumptions!$C$24*12,$D$4,I6,I7,0)),0,-CUMIPMT(0.00000000001/12,Assumptions!$C$24*12,$D$4,I6,I7,0)),IF(ISERROR(-CUMIPMT(Assumptions!$C$25/12,Assumptions!$C$24*12,$D$4,I6,I7,0)),0,-CUMIPMT(Assumptions!$C$25/12,Assumptions!$C$24*12,$D$4,I6,I7,0)))</f>
        <v>0</v>
      </c>
      <c r="J13" s="125">
        <f>IF(Assumptions!$C$25=0,IF(ISERROR(-CUMIPMT(0.00000000001/12,Assumptions!$C$24*12,$D$4,J6,J7,0)),0,-CUMIPMT(0.00000000001/12,Assumptions!$C$24*12,$D$4,J6,J7,0)),IF(ISERROR(-CUMIPMT(Assumptions!$C$25/12,Assumptions!$C$24*12,$D$4,J6,J7,0)),0,-CUMIPMT(Assumptions!$C$25/12,Assumptions!$C$24*12,$D$4,J6,J7,0)))</f>
        <v>0</v>
      </c>
      <c r="K13" s="125">
        <f>IF(Assumptions!$C$25=0,IF(ISERROR(-CUMIPMT(0.00000000001/12,Assumptions!$C$24*12,$D$4,K6,K7,0)),0,-CUMIPMT(0.00000000001/12,Assumptions!$C$24*12,$D$4,K6,K7,0)),IF(ISERROR(-CUMIPMT(Assumptions!$C$25/12,Assumptions!$C$24*12,$D$4,K6,K7,0)),0,-CUMIPMT(Assumptions!$C$25/12,Assumptions!$C$24*12,$D$4,K6,K7,0)))</f>
        <v>0</v>
      </c>
      <c r="L13" s="125">
        <f>IF(Assumptions!$C$25=0,IF(ISERROR(-CUMIPMT(0.00000000001/12,Assumptions!$C$24*12,$D$4,L6,L7,0)),0,-CUMIPMT(0.00000000001/12,Assumptions!$C$24*12,$D$4,L6,L7,0)),IF(ISERROR(-CUMIPMT(Assumptions!$C$25/12,Assumptions!$C$24*12,$D$4,L6,L7,0)),0,-CUMIPMT(Assumptions!$C$25/12,Assumptions!$C$24*12,$D$4,L6,L7,0)))</f>
        <v>0</v>
      </c>
      <c r="M13" s="125">
        <f>IF(Assumptions!$C$25=0,IF(ISERROR(-CUMIPMT(0.00000000001/12,Assumptions!$C$24*12,$D$4,M6,M7,0)),0,-CUMIPMT(0.00000000001/12,Assumptions!$C$24*12,$D$4,M6,M7,0)),IF(ISERROR(-CUMIPMT(Assumptions!$C$25/12,Assumptions!$C$24*12,$D$4,M6,M7,0)),0,-CUMIPMT(Assumptions!$C$25/12,Assumptions!$C$24*12,$D$4,M6,M7,0)))</f>
        <v>0</v>
      </c>
      <c r="N13" s="125">
        <f>IF(Assumptions!$C$25=0,IF(ISERROR(-CUMIPMT(0.00000000001/12,Assumptions!$C$24*12,$D$4,N6,N7,0)),0,-CUMIPMT(0.00000000001/12,Assumptions!$C$24*12,$D$4,N6,N7,0)),IF(ISERROR(-CUMIPMT(Assumptions!$C$25/12,Assumptions!$C$24*12,$D$4,N6,N7,0)),0,-CUMIPMT(Assumptions!$C$25/12,Assumptions!$C$24*12,$D$4,N6,N7,0)))</f>
        <v>0</v>
      </c>
      <c r="O13" s="125">
        <f>IF(Assumptions!$C$25=0,IF(ISERROR(-CUMIPMT(0.00000000001/12,Assumptions!$C$24*12,$D$4,O6,O7,0)),0,-CUMIPMT(0.00000000001/12,Assumptions!$C$24*12,$D$4,O6,O7,0)),IF(ISERROR(-CUMIPMT(Assumptions!$C$25/12,Assumptions!$C$24*12,$D$4,O6,O7,0)),0,-CUMIPMT(Assumptions!$C$25/12,Assumptions!$C$24*12,$D$4,O6,O7,0)))</f>
        <v>0</v>
      </c>
      <c r="P13" s="123">
        <f t="shared" si="9"/>
        <v>0</v>
      </c>
    </row>
    <row r="14" spans="1:16" ht="15.75" x14ac:dyDescent="0.25">
      <c r="A14" s="237"/>
      <c r="B14" s="29" t="s">
        <v>0</v>
      </c>
      <c r="C14" s="24" t="s">
        <v>32</v>
      </c>
      <c r="D14" s="125">
        <f>-SUM(D12:D13)*Assumptions!L25</f>
        <v>0</v>
      </c>
      <c r="E14" s="125">
        <f>-SUM(E12:E13)*Assumptions!L26</f>
        <v>0</v>
      </c>
      <c r="F14" s="125">
        <f>-SUM(F12:F13)*Assumptions!L27</f>
        <v>0</v>
      </c>
      <c r="G14" s="125">
        <f>-SUM(G12:G13)*Assumptions!L28</f>
        <v>0</v>
      </c>
      <c r="H14" s="125">
        <f>-SUM(H12:H13)*Assumptions!L29</f>
        <v>0</v>
      </c>
      <c r="I14" s="125">
        <f>-SUM(I12:I13)*Assumptions!L30</f>
        <v>0</v>
      </c>
      <c r="J14" s="125">
        <f>-SUM(J12:J13)*Assumptions!L31</f>
        <v>0</v>
      </c>
      <c r="K14" s="125">
        <f>-SUM(K12:K13)*Assumptions!L32</f>
        <v>0</v>
      </c>
      <c r="L14" s="125">
        <f>-SUM(L12:L13)*Assumptions!L33</f>
        <v>0</v>
      </c>
      <c r="M14" s="125">
        <f>-SUM(M12:M13)*Assumptions!L34</f>
        <v>0</v>
      </c>
      <c r="N14" s="125">
        <f>-SUM(N12:N13)*Assumptions!L35</f>
        <v>0</v>
      </c>
      <c r="O14" s="125">
        <f>-SUM(O12:O13)*Assumptions!L36</f>
        <v>0</v>
      </c>
      <c r="P14" s="123">
        <f t="shared" si="9"/>
        <v>0</v>
      </c>
    </row>
    <row r="15" spans="1:16" ht="15.75" customHeight="1" x14ac:dyDescent="0.25">
      <c r="A15" s="237"/>
      <c r="B15" s="4" t="s">
        <v>9</v>
      </c>
      <c r="C15" s="24" t="s">
        <v>10</v>
      </c>
      <c r="D15" s="127">
        <f>IF(ISERROR(Assumptions!$C$30*Calc!B$46),0,Assumptions!$C$30*Calc!B$46)</f>
        <v>0</v>
      </c>
      <c r="E15" s="127">
        <f>IF(ISERROR(Assumptions!$C$30*Calc!C$46),0,Assumptions!$C$30*Calc!C$46)</f>
        <v>0</v>
      </c>
      <c r="F15" s="127">
        <f>IF(ISERROR(Assumptions!$C$30*Calc!D$46),0,Assumptions!$C$30*Calc!D$46)</f>
        <v>0</v>
      </c>
      <c r="G15" s="127">
        <f>IF(ISERROR(Assumptions!$C$30*Calc!E$46),0,Assumptions!$C$30*Calc!E$46)</f>
        <v>0</v>
      </c>
      <c r="H15" s="127">
        <f>IF(ISERROR(Assumptions!$C$30*Calc!F$46),0,Assumptions!$C$30*Calc!F$46)</f>
        <v>0</v>
      </c>
      <c r="I15" s="127">
        <f>IF(ISERROR(Assumptions!$C$30*Calc!G$46),0,Assumptions!$C$30*Calc!G$46)</f>
        <v>1500000</v>
      </c>
      <c r="J15" s="127">
        <f>IF(ISERROR(Assumptions!$C$30*Calc!H$46),0,Assumptions!$C$30*Calc!H$46)</f>
        <v>0</v>
      </c>
      <c r="K15" s="127">
        <f>IF(ISERROR(Assumptions!$C$30*Calc!I$46),0,Assumptions!$C$30*Calc!I$46)</f>
        <v>0</v>
      </c>
      <c r="L15" s="127">
        <f>IF(ISERROR(Assumptions!$C$30*Calc!J$46),0,Assumptions!$C$30*Calc!J$46)</f>
        <v>0</v>
      </c>
      <c r="M15" s="127">
        <f>IF(ISERROR(Assumptions!$C$30*Calc!K$46),0,Assumptions!$C$30*Calc!K$46)</f>
        <v>0</v>
      </c>
      <c r="N15" s="127">
        <f>IF(ISERROR(Assumptions!$C$30*Calc!L$46),0,Assumptions!$C$30*Calc!L$46)</f>
        <v>0</v>
      </c>
      <c r="O15" s="127">
        <f>IF(ISERROR(Assumptions!$C$30*Calc!M$46),0,Assumptions!$C$30*Calc!M$46)</f>
        <v>0</v>
      </c>
      <c r="P15" s="123">
        <f t="shared" si="9"/>
        <v>1500000</v>
      </c>
    </row>
    <row r="16" spans="1:16" ht="15.75" customHeight="1" x14ac:dyDescent="0.25">
      <c r="A16" s="237"/>
      <c r="B16" s="4" t="s">
        <v>11</v>
      </c>
      <c r="C16" s="24" t="s">
        <v>6</v>
      </c>
      <c r="D16" s="127">
        <f>+D247*Assumptions!J25</f>
        <v>1559.3625</v>
      </c>
      <c r="E16" s="125">
        <f>+D252*Assumptions!J26</f>
        <v>1454.0876458333335</v>
      </c>
      <c r="F16" s="125">
        <f>+E252*Assumptions!J27</f>
        <v>4629.0483681250007</v>
      </c>
      <c r="G16" s="125">
        <f>+F252*Assumptions!J28</f>
        <v>9279.1801767093766</v>
      </c>
      <c r="H16" s="125">
        <f>+G252*Assumptions!J29</f>
        <v>-8825.1043528933096</v>
      </c>
      <c r="I16" s="125">
        <f>+H252*Assumptions!J30</f>
        <v>-38924.552847190469</v>
      </c>
      <c r="J16" s="125">
        <f>+I252*Assumptions!J31</f>
        <v>-46804.906871447121</v>
      </c>
      <c r="K16" s="125">
        <f>+J252*Assumptions!J32</f>
        <v>-65206.546706308873</v>
      </c>
      <c r="L16" s="125">
        <f>+K252*Assumptions!J33</f>
        <v>-116260.05768985704</v>
      </c>
      <c r="M16" s="125">
        <f>+L252*Assumptions!J34</f>
        <v>-138394.49422006457</v>
      </c>
      <c r="N16" s="125">
        <f>+M252*Assumptions!J35</f>
        <v>-189206.25125589309</v>
      </c>
      <c r="O16" s="125">
        <f>+N252*Assumptions!J36</f>
        <v>-192719.79160331315</v>
      </c>
      <c r="P16" s="123">
        <f t="shared" si="9"/>
        <v>-779420.02685629984</v>
      </c>
    </row>
    <row r="17" spans="1:16" ht="15.75" customHeight="1" x14ac:dyDescent="0.25">
      <c r="B17" s="5"/>
      <c r="C17" s="24" t="s">
        <v>28</v>
      </c>
      <c r="D17" s="125">
        <f t="shared" ref="D17:M17" si="10">SUM(D10:D16)</f>
        <v>262319.52916666667</v>
      </c>
      <c r="E17" s="126">
        <f t="shared" si="10"/>
        <v>653184.30764583335</v>
      </c>
      <c r="F17" s="126">
        <f t="shared" si="10"/>
        <v>675911.17496812507</v>
      </c>
      <c r="G17" s="126">
        <f t="shared" si="10"/>
        <v>700699.77057470952</v>
      </c>
      <c r="H17" s="126">
        <f t="shared" si="10"/>
        <v>703338.10375704675</v>
      </c>
      <c r="I17" s="126">
        <f t="shared" si="10"/>
        <v>2194603.5515060481</v>
      </c>
      <c r="J17" s="126">
        <f t="shared" si="10"/>
        <v>708729.0406123884</v>
      </c>
      <c r="K17" s="126">
        <f t="shared" si="10"/>
        <v>712993.41920204158</v>
      </c>
      <c r="L17" s="126">
        <f t="shared" si="10"/>
        <v>685285.90719574399</v>
      </c>
      <c r="M17" s="126">
        <f t="shared" si="10"/>
        <v>687197.84961210459</v>
      </c>
      <c r="N17" s="126">
        <f t="shared" ref="N17:O17" si="11">SUM(N10:N16)</f>
        <v>661153.86289124121</v>
      </c>
      <c r="O17" s="126">
        <f t="shared" si="11"/>
        <v>683151.12596823508</v>
      </c>
      <c r="P17" s="123">
        <f t="shared" si="9"/>
        <v>9328567.6431001835</v>
      </c>
    </row>
    <row r="18" spans="1:16" ht="15" customHeight="1" x14ac:dyDescent="0.2">
      <c r="B18" s="8"/>
      <c r="C18" s="25"/>
      <c r="D18" s="6"/>
      <c r="E18" s="6"/>
      <c r="F18" s="6"/>
      <c r="G18" s="6"/>
      <c r="H18" s="6"/>
      <c r="I18" s="6"/>
      <c r="J18" s="6"/>
      <c r="K18" s="6"/>
      <c r="L18" s="6"/>
      <c r="M18" s="6"/>
      <c r="N18" s="6"/>
      <c r="O18" s="6"/>
      <c r="P18" s="6"/>
    </row>
    <row r="19" spans="1:16" ht="15" hidden="1" customHeight="1" x14ac:dyDescent="0.2">
      <c r="B19" s="8"/>
      <c r="C19" s="25"/>
      <c r="D19" s="6">
        <f>+D5</f>
        <v>0</v>
      </c>
      <c r="E19" s="6">
        <f t="shared" ref="E19:O19" si="12">+E5</f>
        <v>1</v>
      </c>
      <c r="F19" s="6">
        <f t="shared" si="12"/>
        <v>2</v>
      </c>
      <c r="G19" s="6">
        <f t="shared" si="12"/>
        <v>3</v>
      </c>
      <c r="H19" s="6">
        <f t="shared" si="12"/>
        <v>4</v>
      </c>
      <c r="I19" s="6">
        <f t="shared" si="12"/>
        <v>5</v>
      </c>
      <c r="J19" s="6">
        <f t="shared" si="12"/>
        <v>6</v>
      </c>
      <c r="K19" s="6">
        <f t="shared" si="12"/>
        <v>7</v>
      </c>
      <c r="L19" s="6">
        <f t="shared" si="12"/>
        <v>8</v>
      </c>
      <c r="M19" s="6">
        <f t="shared" si="12"/>
        <v>9</v>
      </c>
      <c r="N19" s="6">
        <f t="shared" si="12"/>
        <v>10</v>
      </c>
      <c r="O19" s="6">
        <f t="shared" si="12"/>
        <v>11</v>
      </c>
      <c r="P19" s="6"/>
    </row>
    <row r="20" spans="1:16" ht="15" hidden="1" customHeight="1" x14ac:dyDescent="0.2">
      <c r="B20" s="8"/>
      <c r="C20" s="25"/>
      <c r="D20" s="6">
        <f>IF(YEAR(Assumptions!C32)&gt;LEFT(D9,4)*1,0,1)</f>
        <v>0</v>
      </c>
      <c r="E20" s="6">
        <f>+D21+1</f>
        <v>1</v>
      </c>
      <c r="F20" s="6">
        <f t="shared" ref="F20:O20" si="13">+E21+1</f>
        <v>-36</v>
      </c>
      <c r="G20" s="6">
        <f t="shared" si="13"/>
        <v>-24</v>
      </c>
      <c r="H20" s="6">
        <f t="shared" si="13"/>
        <v>-12</v>
      </c>
      <c r="I20" s="6">
        <f t="shared" si="13"/>
        <v>0</v>
      </c>
      <c r="J20" s="6">
        <f t="shared" si="13"/>
        <v>12</v>
      </c>
      <c r="K20" s="6">
        <f t="shared" si="13"/>
        <v>24</v>
      </c>
      <c r="L20" s="6">
        <f t="shared" si="13"/>
        <v>36</v>
      </c>
      <c r="M20" s="6">
        <f t="shared" si="13"/>
        <v>48</v>
      </c>
      <c r="N20" s="6">
        <f t="shared" si="13"/>
        <v>60</v>
      </c>
      <c r="O20" s="6">
        <f t="shared" si="13"/>
        <v>72</v>
      </c>
      <c r="P20" s="6"/>
    </row>
    <row r="21" spans="1:16" ht="15" hidden="1" customHeight="1" x14ac:dyDescent="0.2">
      <c r="B21" s="8"/>
      <c r="C21" s="25"/>
      <c r="D21" s="6">
        <f>IF(D20=0,0,ROUND(((IF(YEAR(Assumptions!D8)&lt;YEAR(Assumptions!C32),(Assumptions!D8+365)-Assumptions!C32,Assumptions!D8-Assumptions!C32))/30),0))</f>
        <v>0</v>
      </c>
      <c r="E21" s="6">
        <f>IF(D21=0,ROUND(((IF(YEAR(Assumptions!D8)&lt;YEAR(Assumptions!C32),(Assumptions!D8+365)-Assumptions!C32,Assumptions!D8-Assumptions!C32))/30),0),IF(Assumptions!$C$36*12&gt;D21+12,D21+12,Assumptions!$C$36*12))</f>
        <v>-37</v>
      </c>
      <c r="F21" s="6">
        <f>IF(Assumptions!$C$36*12&gt;E21+12,E21+12,Assumptions!$C$36*12)</f>
        <v>-25</v>
      </c>
      <c r="G21" s="6">
        <f>IF(Assumptions!$C$36*12&gt;F21+12,F21+12,Assumptions!$C$36*12)</f>
        <v>-13</v>
      </c>
      <c r="H21" s="6">
        <f>IF(Assumptions!$C$36*12&gt;G21+12,G21+12,Assumptions!$C$36*12)</f>
        <v>-1</v>
      </c>
      <c r="I21" s="6">
        <f>IF(Assumptions!$C$36*12&gt;H21+12,H21+12,Assumptions!$C$36*12)</f>
        <v>11</v>
      </c>
      <c r="J21" s="6">
        <f>IF(Assumptions!$C$36*12&gt;I21+12,I21+12,Assumptions!$C$36*12)</f>
        <v>23</v>
      </c>
      <c r="K21" s="6">
        <f>IF(Assumptions!$C$36*12&gt;J21+12,J21+12,Assumptions!$C$36*12)</f>
        <v>35</v>
      </c>
      <c r="L21" s="6">
        <f>IF(Assumptions!$C$36*12&gt;K21+12,K21+12,Assumptions!$C$36*12)</f>
        <v>47</v>
      </c>
      <c r="M21" s="6">
        <f>IF(Assumptions!$C$36*12&gt;L21+12,L21+12,Assumptions!$C$36*12)</f>
        <v>59</v>
      </c>
      <c r="N21" s="6">
        <f>IF(Assumptions!$C$36*12&gt;M21+12,M21+12,Assumptions!$C$36*12)</f>
        <v>71</v>
      </c>
      <c r="O21" s="6">
        <f>IF(Assumptions!$C$36*12&gt;N21+12,N21+12,Assumptions!$C$36*12)</f>
        <v>83</v>
      </c>
      <c r="P21" s="6"/>
    </row>
    <row r="22" spans="1:16" ht="18" customHeight="1" x14ac:dyDescent="0.25">
      <c r="B22" s="155"/>
      <c r="C22" s="26"/>
      <c r="D22" s="155"/>
      <c r="E22" s="155"/>
      <c r="F22" s="155"/>
      <c r="G22" s="155"/>
      <c r="H22" s="155"/>
      <c r="I22" s="155"/>
      <c r="J22" s="155"/>
      <c r="K22" s="155"/>
      <c r="L22" s="155"/>
      <c r="M22" s="155"/>
      <c r="N22" s="155"/>
      <c r="O22" s="155"/>
      <c r="P22" s="155"/>
    </row>
    <row r="23" spans="1:16" ht="15.75" customHeight="1" x14ac:dyDescent="0.25">
      <c r="A23" s="238" t="s">
        <v>12</v>
      </c>
      <c r="B23" s="2" t="s">
        <v>2</v>
      </c>
      <c r="C23" s="23" t="s">
        <v>3</v>
      </c>
      <c r="D23" s="3" t="str">
        <f>+D9</f>
        <v>2013 Budget</v>
      </c>
      <c r="E23" s="3">
        <f t="shared" ref="E23:M23" si="14">+E9</f>
        <v>2014</v>
      </c>
      <c r="F23" s="3">
        <f t="shared" si="14"/>
        <v>2015</v>
      </c>
      <c r="G23" s="3">
        <f t="shared" si="14"/>
        <v>2016</v>
      </c>
      <c r="H23" s="3">
        <f t="shared" si="14"/>
        <v>2017</v>
      </c>
      <c r="I23" s="3">
        <f t="shared" si="14"/>
        <v>2018</v>
      </c>
      <c r="J23" s="3">
        <f t="shared" si="14"/>
        <v>2019</v>
      </c>
      <c r="K23" s="3">
        <f t="shared" si="14"/>
        <v>2020</v>
      </c>
      <c r="L23" s="3">
        <f t="shared" si="14"/>
        <v>2021</v>
      </c>
      <c r="M23" s="3">
        <f t="shared" si="14"/>
        <v>2022</v>
      </c>
      <c r="N23" s="3">
        <f>+M23+1</f>
        <v>2023</v>
      </c>
      <c r="O23" s="3">
        <f>+N23+1</f>
        <v>2024</v>
      </c>
      <c r="P23" s="3" t="s">
        <v>23</v>
      </c>
    </row>
    <row r="24" spans="1:16" ht="15.75" customHeight="1" x14ac:dyDescent="0.25">
      <c r="A24" s="239"/>
      <c r="B24" s="4" t="str">
        <f>IF('Option 1'!B24="","",'Option 1'!B24)</f>
        <v/>
      </c>
      <c r="C24" s="3" t="str">
        <f>IF('Option 1'!C24="","",'Option 1'!C24)</f>
        <v>Sitework Elements</v>
      </c>
      <c r="D24" s="183" t="str">
        <f>IF('Option 1'!D24="","",'Option 1'!D24)</f>
        <v/>
      </c>
      <c r="E24" s="184" t="str">
        <f>IF('Option 1'!E24="","",'Option 1'!E24)</f>
        <v/>
      </c>
      <c r="F24" s="184" t="str">
        <f>IF('Option 1'!F24="","",'Option 1'!F24)</f>
        <v/>
      </c>
      <c r="G24" s="184" t="str">
        <f>IF('Option 1'!G24="","",'Option 1'!G24)</f>
        <v/>
      </c>
      <c r="H24" s="184" t="str">
        <f>IF('Option 1'!H24="","",'Option 1'!H24)</f>
        <v/>
      </c>
      <c r="I24" s="184" t="str">
        <f>IF('Option 1'!I24="","",'Option 1'!I24)</f>
        <v/>
      </c>
      <c r="J24" s="184" t="str">
        <f>IF('Option 1'!J24="","",'Option 1'!J24)</f>
        <v/>
      </c>
      <c r="K24" s="184" t="str">
        <f>IF('Option 1'!K24="","",'Option 1'!K24)</f>
        <v/>
      </c>
      <c r="L24" s="184" t="str">
        <f>IF('Option 1'!L24="","",'Option 1'!L24)</f>
        <v/>
      </c>
      <c r="M24" s="184" t="str">
        <f>IF('Option 1'!M24="","",'Option 1'!M24)</f>
        <v/>
      </c>
      <c r="N24" s="184" t="str">
        <f>IF('Option 1'!N24="","",'Option 1'!N24)</f>
        <v/>
      </c>
      <c r="O24" s="184" t="str">
        <f>IF('Option 1'!O24="","",'Option 1'!O24)</f>
        <v/>
      </c>
      <c r="P24" s="124">
        <f t="shared" ref="P24" si="15">IF(SUM(D24:O24)=0,0,SUM(D24:O24))</f>
        <v>0</v>
      </c>
    </row>
    <row r="25" spans="1:16" ht="15.75" customHeight="1" x14ac:dyDescent="0.25">
      <c r="A25" s="239"/>
      <c r="B25" s="4" t="str">
        <f>IF('Option 1'!B25="","",'Option 1'!B25)</f>
        <v/>
      </c>
      <c r="C25" s="182" t="str">
        <f>IF('Option 1'!C25="","",'Option 1'!C25)</f>
        <v>East Entry Street Asphalt Pavement</v>
      </c>
      <c r="D25" s="183" t="str">
        <f>IF('Option 1'!D25="","",'Option 1'!D25)</f>
        <v/>
      </c>
      <c r="E25" s="184" t="str">
        <f>IF('Option 1'!E25="","",'Option 1'!E25)</f>
        <v/>
      </c>
      <c r="F25" s="184" t="str">
        <f>IF('Option 1'!F25="","",'Option 1'!F25)</f>
        <v/>
      </c>
      <c r="G25" s="184" t="str">
        <f>IF('Option 1'!G25="","",'Option 1'!G25)</f>
        <v/>
      </c>
      <c r="H25" s="184" t="str">
        <f>IF('Option 1'!H25="","",'Option 1'!H25)</f>
        <v/>
      </c>
      <c r="I25" s="184" t="str">
        <f>IF('Option 1'!I25="","",'Option 1'!I25)</f>
        <v/>
      </c>
      <c r="J25" s="184" t="str">
        <f>IF('Option 1'!J25="","",'Option 1'!J25)</f>
        <v/>
      </c>
      <c r="K25" s="184" t="str">
        <f>IF('Option 1'!K25="","",'Option 1'!K25)</f>
        <v/>
      </c>
      <c r="L25" s="184" t="str">
        <f>IF('Option 1'!L25="","",'Option 1'!L25)</f>
        <v/>
      </c>
      <c r="M25" s="184" t="str">
        <f>IF('Option 1'!M25="","",'Option 1'!M25)</f>
        <v/>
      </c>
      <c r="N25" s="184" t="str">
        <f>IF('Option 1'!N25="","",'Option 1'!N25)</f>
        <v/>
      </c>
      <c r="O25" s="184" t="str">
        <f>IF('Option 1'!O25="","",'Option 1'!O25)</f>
        <v/>
      </c>
      <c r="P25" s="124">
        <f t="shared" ref="P25:P88" si="16">IF(SUM(D25:O25)=0,0,SUM(D25:O25))</f>
        <v>0</v>
      </c>
    </row>
    <row r="26" spans="1:16" ht="15.75" customHeight="1" x14ac:dyDescent="0.25">
      <c r="A26" s="239"/>
      <c r="B26" s="4" t="str">
        <f>IF('Option 1'!B26="","",'Option 1'!B26)</f>
        <v/>
      </c>
      <c r="C26" s="182" t="str">
        <f>IF('Option 1'!C26="","",'Option 1'!C26)</f>
        <v>East Entry Street Asphalt Sealcoating</v>
      </c>
      <c r="D26" s="185" t="str">
        <f>IF('Option 1'!D26="","",'Option 1'!D26)</f>
        <v/>
      </c>
      <c r="E26" s="184" t="str">
        <f>IF('Option 1'!E26="","",'Option 1'!E26)</f>
        <v/>
      </c>
      <c r="F26" s="184" t="str">
        <f>IF('Option 1'!F26="","",'Option 1'!F26)</f>
        <v/>
      </c>
      <c r="G26" s="184" t="str">
        <f>IF('Option 1'!G26="","",'Option 1'!G26)</f>
        <v/>
      </c>
      <c r="H26" s="184" t="str">
        <f>IF('Option 1'!H26="","",'Option 1'!H26)</f>
        <v/>
      </c>
      <c r="I26" s="184" t="str">
        <f>IF('Option 1'!I26="","",'Option 1'!I26)</f>
        <v/>
      </c>
      <c r="J26" s="184" t="str">
        <f>IF('Option 1'!J26="","",'Option 1'!J26)</f>
        <v/>
      </c>
      <c r="K26" s="184" t="str">
        <f>IF('Option 1'!K26="","",'Option 1'!K26)</f>
        <v/>
      </c>
      <c r="L26" s="184" t="str">
        <f>IF('Option 1'!L26="","",'Option 1'!L26)</f>
        <v/>
      </c>
      <c r="M26" s="184" t="str">
        <f>IF('Option 1'!M26="","",'Option 1'!M26)</f>
        <v/>
      </c>
      <c r="N26" s="184" t="str">
        <f>IF('Option 1'!N26="","",'Option 1'!N26)</f>
        <v/>
      </c>
      <c r="O26" s="184" t="str">
        <f>IF('Option 1'!O26="","",'Option 1'!O26)</f>
        <v/>
      </c>
      <c r="P26" s="124">
        <f t="shared" si="16"/>
        <v>0</v>
      </c>
    </row>
    <row r="27" spans="1:16" ht="15.75" customHeight="1" x14ac:dyDescent="0.25">
      <c r="A27" s="239"/>
      <c r="B27" s="4" t="str">
        <f>IF('Option 1'!B27="","",'Option 1'!B27)</f>
        <v/>
      </c>
      <c r="C27" s="182" t="str">
        <f>IF('Option 1'!C27="","",'Option 1'!C27)</f>
        <v>West Entry Street Asphalt Pavement</v>
      </c>
      <c r="D27" s="185" t="str">
        <f>IF('Option 1'!D27="","",'Option 1'!D27)</f>
        <v/>
      </c>
      <c r="E27" s="184" t="str">
        <f>IF('Option 1'!E27="","",'Option 1'!E27)</f>
        <v/>
      </c>
      <c r="F27" s="184" t="str">
        <f>IF('Option 1'!F27="","",'Option 1'!F27)</f>
        <v/>
      </c>
      <c r="G27" s="184" t="str">
        <f>IF('Option 1'!G27="","",'Option 1'!G27)</f>
        <v/>
      </c>
      <c r="H27" s="184" t="str">
        <f>IF('Option 1'!H27="","",'Option 1'!H27)</f>
        <v/>
      </c>
      <c r="I27" s="184" t="str">
        <f>IF('Option 1'!I27="","",'Option 1'!I27)</f>
        <v/>
      </c>
      <c r="J27" s="184" t="str">
        <f>IF('Option 1'!J27="","",'Option 1'!J27)</f>
        <v/>
      </c>
      <c r="K27" s="184" t="str">
        <f>IF('Option 1'!K27="","",'Option 1'!K27)</f>
        <v/>
      </c>
      <c r="L27" s="184" t="str">
        <f>IF('Option 1'!L27="","",'Option 1'!L27)</f>
        <v/>
      </c>
      <c r="M27" s="184" t="str">
        <f>IF('Option 1'!M27="","",'Option 1'!M27)</f>
        <v/>
      </c>
      <c r="N27" s="184" t="str">
        <f>IF('Option 1'!N27="","",'Option 1'!N27)</f>
        <v/>
      </c>
      <c r="O27" s="184" t="str">
        <f>IF('Option 1'!O27="","",'Option 1'!O27)</f>
        <v/>
      </c>
      <c r="P27" s="124">
        <f t="shared" si="16"/>
        <v>0</v>
      </c>
    </row>
    <row r="28" spans="1:16" ht="15.75" customHeight="1" x14ac:dyDescent="0.25">
      <c r="A28" s="239"/>
      <c r="B28" s="4" t="str">
        <f>IF('Option 1'!B28="","",'Option 1'!B28)</f>
        <v/>
      </c>
      <c r="C28" s="182" t="str">
        <f>IF('Option 1'!C28="","",'Option 1'!C28)</f>
        <v>West Entry Street Asphalt Sealcoating</v>
      </c>
      <c r="D28" s="185" t="str">
        <f>IF('Option 1'!D28="","",'Option 1'!D28)</f>
        <v/>
      </c>
      <c r="E28" s="184" t="str">
        <f>IF('Option 1'!E28="","",'Option 1'!E28)</f>
        <v/>
      </c>
      <c r="F28" s="184" t="str">
        <f>IF('Option 1'!F28="","",'Option 1'!F28)</f>
        <v/>
      </c>
      <c r="G28" s="184" t="str">
        <f>IF('Option 1'!G28="","",'Option 1'!G28)</f>
        <v/>
      </c>
      <c r="H28" s="184" t="str">
        <f>IF('Option 1'!H28="","",'Option 1'!H28)</f>
        <v/>
      </c>
      <c r="I28" s="184" t="str">
        <f>IF('Option 1'!I28="","",'Option 1'!I28)</f>
        <v/>
      </c>
      <c r="J28" s="184" t="str">
        <f>IF('Option 1'!J28="","",'Option 1'!J28)</f>
        <v/>
      </c>
      <c r="K28" s="184" t="str">
        <f>IF('Option 1'!K28="","",'Option 1'!K28)</f>
        <v/>
      </c>
      <c r="L28" s="184" t="str">
        <f>IF('Option 1'!L28="","",'Option 1'!L28)</f>
        <v/>
      </c>
      <c r="M28" s="184" t="str">
        <f>IF('Option 1'!M28="","",'Option 1'!M28)</f>
        <v/>
      </c>
      <c r="N28" s="184" t="str">
        <f>IF('Option 1'!N28="","",'Option 1'!N28)</f>
        <v/>
      </c>
      <c r="O28" s="184" t="str">
        <f>IF('Option 1'!O28="","",'Option 1'!O28)</f>
        <v/>
      </c>
      <c r="P28" s="124">
        <f t="shared" si="16"/>
        <v>0</v>
      </c>
    </row>
    <row r="29" spans="1:16" ht="15.75" customHeight="1" x14ac:dyDescent="0.25">
      <c r="A29" s="239"/>
      <c r="B29" s="4" t="str">
        <f>IF('Option 1'!B29="","",'Option 1'!B29)</f>
        <v/>
      </c>
      <c r="C29" s="182" t="str">
        <f>IF('Option 1'!C29="","",'Option 1'!C29)</f>
        <v>East, South, &amp; West Central Road Pavement</v>
      </c>
      <c r="D29" s="185" t="str">
        <f>IF('Option 1'!D29="","",'Option 1'!D29)</f>
        <v/>
      </c>
      <c r="E29" s="184" t="str">
        <f>IF('Option 1'!E29="","",'Option 1'!E29)</f>
        <v/>
      </c>
      <c r="F29" s="184" t="str">
        <f>IF('Option 1'!F29="","",'Option 1'!F29)</f>
        <v/>
      </c>
      <c r="G29" s="184" t="str">
        <f>IF('Option 1'!G29="","",'Option 1'!G29)</f>
        <v/>
      </c>
      <c r="H29" s="184" t="str">
        <f>IF('Option 1'!H29="","",'Option 1'!H29)</f>
        <v/>
      </c>
      <c r="I29" s="184" t="str">
        <f>IF('Option 1'!I29="","",'Option 1'!I29)</f>
        <v/>
      </c>
      <c r="J29" s="184" t="str">
        <f>IF('Option 1'!J29="","",'Option 1'!J29)</f>
        <v/>
      </c>
      <c r="K29" s="184" t="str">
        <f>IF('Option 1'!K29="","",'Option 1'!K29)</f>
        <v/>
      </c>
      <c r="L29" s="184" t="str">
        <f>IF('Option 1'!L29="","",'Option 1'!L29)</f>
        <v/>
      </c>
      <c r="M29" s="184" t="str">
        <f>IF('Option 1'!M29="","",'Option 1'!M29)</f>
        <v/>
      </c>
      <c r="N29" s="184" t="str">
        <f>IF('Option 1'!N29="","",'Option 1'!N29)</f>
        <v/>
      </c>
      <c r="O29" s="184" t="str">
        <f>IF('Option 1'!O29="","",'Option 1'!O29)</f>
        <v/>
      </c>
      <c r="P29" s="124">
        <f t="shared" si="16"/>
        <v>0</v>
      </c>
    </row>
    <row r="30" spans="1:16" ht="15.75" customHeight="1" x14ac:dyDescent="0.25">
      <c r="A30" s="239"/>
      <c r="B30" s="4" t="str">
        <f>IF('Option 1'!B30="","",'Option 1'!B30)</f>
        <v/>
      </c>
      <c r="C30" s="182" t="str">
        <f>IF('Option 1'!C30="","",'Option 1'!C30)</f>
        <v>East, South, &amp; West Central Road Sealcoating</v>
      </c>
      <c r="D30" s="185" t="str">
        <f>IF('Option 1'!D30="","",'Option 1'!D30)</f>
        <v/>
      </c>
      <c r="E30" s="184" t="str">
        <f>IF('Option 1'!E30="","",'Option 1'!E30)</f>
        <v/>
      </c>
      <c r="F30" s="184" t="str">
        <f>IF('Option 1'!F30="","",'Option 1'!F30)</f>
        <v/>
      </c>
      <c r="G30" s="184" t="str">
        <f>IF('Option 1'!G30="","",'Option 1'!G30)</f>
        <v/>
      </c>
      <c r="H30" s="184" t="str">
        <f>IF('Option 1'!H30="","",'Option 1'!H30)</f>
        <v/>
      </c>
      <c r="I30" s="184" t="str">
        <f>IF('Option 1'!I30="","",'Option 1'!I30)</f>
        <v/>
      </c>
      <c r="J30" s="184" t="str">
        <f>IF('Option 1'!J30="","",'Option 1'!J30)</f>
        <v/>
      </c>
      <c r="K30" s="184" t="str">
        <f>IF('Option 1'!K30="","",'Option 1'!K30)</f>
        <v/>
      </c>
      <c r="L30" s="184" t="str">
        <f>IF('Option 1'!L30="","",'Option 1'!L30)</f>
        <v/>
      </c>
      <c r="M30" s="184" t="str">
        <f>IF('Option 1'!M30="","",'Option 1'!M30)</f>
        <v/>
      </c>
      <c r="N30" s="184" t="str">
        <f>IF('Option 1'!N30="","",'Option 1'!N30)</f>
        <v/>
      </c>
      <c r="O30" s="184" t="str">
        <f>IF('Option 1'!O30="","",'Option 1'!O30)</f>
        <v/>
      </c>
      <c r="P30" s="124">
        <f t="shared" si="16"/>
        <v>0</v>
      </c>
    </row>
    <row r="31" spans="1:16" ht="15.75" customHeight="1" x14ac:dyDescent="0.25">
      <c r="A31" s="239"/>
      <c r="B31" s="4" t="str">
        <f>IF('Option 1'!B31="","",'Option 1'!B31)</f>
        <v/>
      </c>
      <c r="C31" s="182" t="str">
        <f>IF('Option 1'!C31="","",'Option 1'!C31)</f>
        <v>Asphalt Fire Lane Pavement (Grind and Resurface)</v>
      </c>
      <c r="D31" s="185" t="str">
        <f>IF('Option 1'!D31="","",'Option 1'!D31)</f>
        <v/>
      </c>
      <c r="E31" s="184" t="str">
        <f>IF('Option 1'!E31="","",'Option 1'!E31)</f>
        <v/>
      </c>
      <c r="F31" s="184" t="str">
        <f>IF('Option 1'!F31="","",'Option 1'!F31)</f>
        <v/>
      </c>
      <c r="G31" s="184" t="str">
        <f>IF('Option 1'!G31="","",'Option 1'!G31)</f>
        <v/>
      </c>
      <c r="H31" s="184" t="str">
        <f>IF('Option 1'!H31="","",'Option 1'!H31)</f>
        <v/>
      </c>
      <c r="I31" s="184">
        <f>IF('Option 1'!I31="","",'Option 1'!I31)</f>
        <v>1023820</v>
      </c>
      <c r="J31" s="184" t="str">
        <f>IF('Option 1'!J31="","",'Option 1'!J31)</f>
        <v/>
      </c>
      <c r="K31" s="184" t="str">
        <f>IF('Option 1'!K31="","",'Option 1'!K31)</f>
        <v/>
      </c>
      <c r="L31" s="184" t="str">
        <f>IF('Option 1'!L31="","",'Option 1'!L31)</f>
        <v/>
      </c>
      <c r="M31" s="184" t="str">
        <f>IF('Option 1'!M31="","",'Option 1'!M31)</f>
        <v/>
      </c>
      <c r="N31" s="184" t="str">
        <f>IF('Option 1'!N31="","",'Option 1'!N31)</f>
        <v/>
      </c>
      <c r="O31" s="184" t="str">
        <f>IF('Option 1'!O31="","",'Option 1'!O31)</f>
        <v/>
      </c>
      <c r="P31" s="124">
        <f t="shared" si="16"/>
        <v>1023820</v>
      </c>
    </row>
    <row r="32" spans="1:16" ht="15.75" customHeight="1" x14ac:dyDescent="0.25">
      <c r="A32" s="239"/>
      <c r="B32" s="4" t="str">
        <f>IF('Option 1'!B32="","",'Option 1'!B32)</f>
        <v/>
      </c>
      <c r="C32" s="182" t="str">
        <f>IF('Option 1'!C32="","",'Option 1'!C32)</f>
        <v>Asphalt Fire Lane Pavement Sealcoating</v>
      </c>
      <c r="D32" s="185" t="str">
        <f>IF('Option 1'!D32="","",'Option 1'!D32)</f>
        <v/>
      </c>
      <c r="E32" s="184" t="str">
        <f>IF('Option 1'!E32="","",'Option 1'!E32)</f>
        <v/>
      </c>
      <c r="F32" s="184" t="str">
        <f>IF('Option 1'!F32="","",'Option 1'!F32)</f>
        <v/>
      </c>
      <c r="G32" s="184" t="str">
        <f>IF('Option 1'!G32="","",'Option 1'!G32)</f>
        <v/>
      </c>
      <c r="H32" s="184" t="str">
        <f>IF('Option 1'!H32="","",'Option 1'!H32)</f>
        <v/>
      </c>
      <c r="I32" s="184" t="str">
        <f>IF('Option 1'!I32="","",'Option 1'!I32)</f>
        <v/>
      </c>
      <c r="J32" s="184" t="str">
        <f>IF('Option 1'!J32="","",'Option 1'!J32)</f>
        <v/>
      </c>
      <c r="K32" s="184">
        <f>IF('Option 1'!K32="","",'Option 1'!K32)</f>
        <v>46150</v>
      </c>
      <c r="L32" s="184" t="str">
        <f>IF('Option 1'!L32="","",'Option 1'!L32)</f>
        <v/>
      </c>
      <c r="M32" s="184" t="str">
        <f>IF('Option 1'!M32="","",'Option 1'!M32)</f>
        <v/>
      </c>
      <c r="N32" s="184" t="str">
        <f>IF('Option 1'!N32="","",'Option 1'!N32)</f>
        <v/>
      </c>
      <c r="O32" s="184" t="str">
        <f>IF('Option 1'!O32="","",'Option 1'!O32)</f>
        <v/>
      </c>
      <c r="P32" s="124">
        <f t="shared" si="16"/>
        <v>46150</v>
      </c>
    </row>
    <row r="33" spans="1:16" ht="15.75" customHeight="1" x14ac:dyDescent="0.25">
      <c r="A33" s="239"/>
      <c r="B33" s="4" t="str">
        <f>IF('Option 1'!B33="","",'Option 1'!B33)</f>
        <v/>
      </c>
      <c r="C33" s="182" t="str">
        <f>IF('Option 1'!C33="","",'Option 1'!C33)</f>
        <v>Asphalt Parking Lot Pavement</v>
      </c>
      <c r="D33" s="185" t="str">
        <f>IF('Option 1'!D33="","",'Option 1'!D33)</f>
        <v/>
      </c>
      <c r="E33" s="184">
        <f>IF('Option 1'!E33="","",'Option 1'!E33)</f>
        <v>120000</v>
      </c>
      <c r="F33" s="184" t="str">
        <f>IF('Option 1'!F33="","",'Option 1'!F33)</f>
        <v/>
      </c>
      <c r="G33" s="184" t="str">
        <f>IF('Option 1'!G33="","",'Option 1'!G33)</f>
        <v/>
      </c>
      <c r="H33" s="184" t="str">
        <f>IF('Option 1'!H33="","",'Option 1'!H33)</f>
        <v/>
      </c>
      <c r="I33" s="184" t="str">
        <f>IF('Option 1'!I33="","",'Option 1'!I33)</f>
        <v/>
      </c>
      <c r="J33" s="184">
        <f>IF('Option 1'!J33="","",'Option 1'!J33)</f>
        <v>384660</v>
      </c>
      <c r="K33" s="184">
        <f>IF('Option 1'!K33="","",'Option 1'!K33)</f>
        <v>571410</v>
      </c>
      <c r="L33" s="184">
        <f>IF('Option 1'!L33="","",'Option 1'!L33)</f>
        <v>134413</v>
      </c>
      <c r="M33" s="184">
        <f>IF('Option 1'!M33="","",'Option 1'!M33)</f>
        <v>457398</v>
      </c>
      <c r="N33" s="184">
        <f>IF('Option 1'!N33="","",'Option 1'!N33)</f>
        <v>0</v>
      </c>
      <c r="O33" s="184" t="str">
        <f>IF('Option 1'!O33="","",'Option 1'!O33)</f>
        <v/>
      </c>
      <c r="P33" s="124">
        <f t="shared" si="16"/>
        <v>1667881</v>
      </c>
    </row>
    <row r="34" spans="1:16" ht="15.75" customHeight="1" x14ac:dyDescent="0.25">
      <c r="A34" s="239"/>
      <c r="B34" s="4" t="str">
        <f>IF('Option 1'!B34="","",'Option 1'!B34)</f>
        <v/>
      </c>
      <c r="C34" s="182" t="str">
        <f>IF('Option 1'!C34="","",'Option 1'!C34)</f>
        <v>Asphalt Parking Lot Sealcoating</v>
      </c>
      <c r="D34" s="185" t="str">
        <f>IF('Option 1'!D34="","",'Option 1'!D34)</f>
        <v/>
      </c>
      <c r="E34" s="184" t="str">
        <f>IF('Option 1'!E34="","",'Option 1'!E34)</f>
        <v/>
      </c>
      <c r="F34" s="184" t="str">
        <f>IF('Option 1'!F34="","",'Option 1'!F34)</f>
        <v/>
      </c>
      <c r="G34" s="184" t="str">
        <f>IF('Option 1'!G34="","",'Option 1'!G34)</f>
        <v/>
      </c>
      <c r="H34" s="184" t="str">
        <f>IF('Option 1'!H34="","",'Option 1'!H34)</f>
        <v/>
      </c>
      <c r="I34" s="184" t="str">
        <f>IF('Option 1'!I34="","",'Option 1'!I34)</f>
        <v/>
      </c>
      <c r="J34" s="184" t="str">
        <f>IF('Option 1'!J34="","",'Option 1'!J34)</f>
        <v/>
      </c>
      <c r="K34" s="184" t="str">
        <f>IF('Option 1'!K34="","",'Option 1'!K34)</f>
        <v/>
      </c>
      <c r="L34" s="184" t="str">
        <f>IF('Option 1'!L34="","",'Option 1'!L34)</f>
        <v/>
      </c>
      <c r="M34" s="184" t="str">
        <f>IF('Option 1'!M34="","",'Option 1'!M34)</f>
        <v/>
      </c>
      <c r="N34" s="184" t="str">
        <f>IF('Option 1'!N34="","",'Option 1'!N34)</f>
        <v/>
      </c>
      <c r="O34" s="184" t="str">
        <f>IF('Option 1'!O34="","",'Option 1'!O34)</f>
        <v/>
      </c>
      <c r="P34" s="124">
        <f t="shared" si="16"/>
        <v>0</v>
      </c>
    </row>
    <row r="35" spans="1:16" ht="15.75" customHeight="1" x14ac:dyDescent="0.25">
      <c r="A35" s="239"/>
      <c r="B35" s="4" t="str">
        <f>IF('Option 1'!B35="","",'Option 1'!B35)</f>
        <v/>
      </c>
      <c r="C35" s="182" t="str">
        <f>IF('Option 1'!C35="","",'Option 1'!C35)</f>
        <v>Ramp Asphalt Pavement (Grind and Resurface)</v>
      </c>
      <c r="D35" s="183" t="str">
        <f>IF('Option 1'!D35="","",'Option 1'!D35)</f>
        <v/>
      </c>
      <c r="E35" s="184" t="str">
        <f>IF('Option 1'!E35="","",'Option 1'!E35)</f>
        <v/>
      </c>
      <c r="F35" s="184" t="str">
        <f>IF('Option 1'!F35="","",'Option 1'!F35)</f>
        <v/>
      </c>
      <c r="G35" s="184" t="str">
        <f>IF('Option 1'!G35="","",'Option 1'!G35)</f>
        <v/>
      </c>
      <c r="H35" s="184" t="str">
        <f>IF('Option 1'!H35="","",'Option 1'!H35)</f>
        <v/>
      </c>
      <c r="I35" s="184" t="str">
        <f>IF('Option 1'!I35="","",'Option 1'!I35)</f>
        <v/>
      </c>
      <c r="J35" s="184">
        <f>IF('Option 1'!J35="","",'Option 1'!J35)</f>
        <v>50460</v>
      </c>
      <c r="K35" s="184" t="str">
        <f>IF('Option 1'!K35="","",'Option 1'!K35)</f>
        <v/>
      </c>
      <c r="L35" s="184" t="str">
        <f>IF('Option 1'!L35="","",'Option 1'!L35)</f>
        <v/>
      </c>
      <c r="M35" s="184" t="str">
        <f>IF('Option 1'!M35="","",'Option 1'!M35)</f>
        <v/>
      </c>
      <c r="N35" s="184" t="str">
        <f>IF('Option 1'!N35="","",'Option 1'!N35)</f>
        <v/>
      </c>
      <c r="O35" s="184" t="str">
        <f>IF('Option 1'!O35="","",'Option 1'!O35)</f>
        <v/>
      </c>
      <c r="P35" s="124">
        <f t="shared" si="16"/>
        <v>50460</v>
      </c>
    </row>
    <row r="36" spans="1:16" ht="15.75" customHeight="1" x14ac:dyDescent="0.25">
      <c r="A36" s="239"/>
      <c r="B36" s="4" t="str">
        <f>IF('Option 1'!B36="","",'Option 1'!B36)</f>
        <v/>
      </c>
      <c r="C36" s="182" t="str">
        <f>IF('Option 1'!C36="","",'Option 1'!C36)</f>
        <v>Ramp Asphalt Sealcoating</v>
      </c>
      <c r="D36" s="183" t="str">
        <f>IF('Option 1'!D36="","",'Option 1'!D36)</f>
        <v/>
      </c>
      <c r="E36" s="184" t="str">
        <f>IF('Option 1'!E36="","",'Option 1'!E36)</f>
        <v/>
      </c>
      <c r="F36" s="184" t="str">
        <f>IF('Option 1'!F36="","",'Option 1'!F36)</f>
        <v/>
      </c>
      <c r="G36" s="184" t="str">
        <f>IF('Option 1'!G36="","",'Option 1'!G36)</f>
        <v/>
      </c>
      <c r="H36" s="184" t="str">
        <f>IF('Option 1'!H36="","",'Option 1'!H36)</f>
        <v/>
      </c>
      <c r="I36" s="184" t="str">
        <f>IF('Option 1'!I36="","",'Option 1'!I36)</f>
        <v/>
      </c>
      <c r="J36" s="184" t="str">
        <f>IF('Option 1'!J36="","",'Option 1'!J36)</f>
        <v/>
      </c>
      <c r="K36" s="184" t="str">
        <f>IF('Option 1'!K36="","",'Option 1'!K36)</f>
        <v/>
      </c>
      <c r="L36" s="184" t="str">
        <f>IF('Option 1'!L36="","",'Option 1'!L36)</f>
        <v/>
      </c>
      <c r="M36" s="184" t="str">
        <f>IF('Option 1'!M36="","",'Option 1'!M36)</f>
        <v/>
      </c>
      <c r="N36" s="184" t="str">
        <f>IF('Option 1'!N36="","",'Option 1'!N36)</f>
        <v/>
      </c>
      <c r="O36" s="184" t="str">
        <f>IF('Option 1'!O36="","",'Option 1'!O36)</f>
        <v/>
      </c>
      <c r="P36" s="124">
        <f t="shared" si="16"/>
        <v>0</v>
      </c>
    </row>
    <row r="37" spans="1:16" ht="15.75" customHeight="1" x14ac:dyDescent="0.25">
      <c r="A37" s="239"/>
      <c r="B37" s="4" t="str">
        <f>IF('Option 1'!B37="","",'Option 1'!B37)</f>
        <v/>
      </c>
      <c r="C37" s="182" t="str">
        <f>IF('Option 1'!C37="","",'Option 1'!C37)</f>
        <v>Street Concrete Curbs</v>
      </c>
      <c r="D37" s="183" t="str">
        <f>IF('Option 1'!D37="","",'Option 1'!D37)</f>
        <v/>
      </c>
      <c r="E37" s="184" t="str">
        <f>IF('Option 1'!E37="","",'Option 1'!E37)</f>
        <v/>
      </c>
      <c r="F37" s="184" t="str">
        <f>IF('Option 1'!F37="","",'Option 1'!F37)</f>
        <v/>
      </c>
      <c r="G37" s="184" t="str">
        <f>IF('Option 1'!G37="","",'Option 1'!G37)</f>
        <v/>
      </c>
      <c r="H37" s="184" t="str">
        <f>IF('Option 1'!H37="","",'Option 1'!H37)</f>
        <v/>
      </c>
      <c r="I37" s="184" t="str">
        <f>IF('Option 1'!I37="","",'Option 1'!I37)</f>
        <v/>
      </c>
      <c r="J37" s="184" t="str">
        <f>IF('Option 1'!J37="","",'Option 1'!J37)</f>
        <v/>
      </c>
      <c r="K37" s="184" t="str">
        <f>IF('Option 1'!K37="","",'Option 1'!K37)</f>
        <v/>
      </c>
      <c r="L37" s="184" t="str">
        <f>IF('Option 1'!L37="","",'Option 1'!L37)</f>
        <v/>
      </c>
      <c r="M37" s="184" t="str">
        <f>IF('Option 1'!M37="","",'Option 1'!M37)</f>
        <v/>
      </c>
      <c r="N37" s="184" t="str">
        <f>IF('Option 1'!N37="","",'Option 1'!N37)</f>
        <v/>
      </c>
      <c r="O37" s="184" t="str">
        <f>IF('Option 1'!O37="","",'Option 1'!O37)</f>
        <v/>
      </c>
      <c r="P37" s="124">
        <f t="shared" si="16"/>
        <v>0</v>
      </c>
    </row>
    <row r="38" spans="1:16" ht="15.75" customHeight="1" x14ac:dyDescent="0.25">
      <c r="A38" s="239"/>
      <c r="B38" s="4" t="str">
        <f>IF('Option 1'!B38="","",'Option 1'!B38)</f>
        <v/>
      </c>
      <c r="C38" s="182" t="str">
        <f>IF('Option 1'!C38="","",'Option 1'!C38)</f>
        <v>Parking Lot Concrete Curbs</v>
      </c>
      <c r="D38" s="183" t="str">
        <f>IF('Option 1'!D38="","",'Option 1'!D38)</f>
        <v/>
      </c>
      <c r="E38" s="184" t="str">
        <f>IF('Option 1'!E38="","",'Option 1'!E38)</f>
        <v/>
      </c>
      <c r="F38" s="184" t="str">
        <f>IF('Option 1'!F38="","",'Option 1'!F38)</f>
        <v/>
      </c>
      <c r="G38" s="184" t="str">
        <f>IF('Option 1'!G38="","",'Option 1'!G38)</f>
        <v/>
      </c>
      <c r="H38" s="184" t="str">
        <f>IF('Option 1'!H38="","",'Option 1'!H38)</f>
        <v/>
      </c>
      <c r="I38" s="184" t="str">
        <f>IF('Option 1'!I38="","",'Option 1'!I38)</f>
        <v/>
      </c>
      <c r="J38" s="184" t="str">
        <f>IF('Option 1'!J38="","",'Option 1'!J38)</f>
        <v/>
      </c>
      <c r="K38" s="184" t="str">
        <f>IF('Option 1'!K38="","",'Option 1'!K38)</f>
        <v/>
      </c>
      <c r="L38" s="184" t="str">
        <f>IF('Option 1'!L38="","",'Option 1'!L38)</f>
        <v/>
      </c>
      <c r="M38" s="184" t="str">
        <f>IF('Option 1'!M38="","",'Option 1'!M38)</f>
        <v/>
      </c>
      <c r="N38" s="184" t="str">
        <f>IF('Option 1'!N38="","",'Option 1'!N38)</f>
        <v/>
      </c>
      <c r="O38" s="184" t="str">
        <f>IF('Option 1'!O38="","",'Option 1'!O38)</f>
        <v/>
      </c>
      <c r="P38" s="124">
        <f t="shared" si="16"/>
        <v>0</v>
      </c>
    </row>
    <row r="39" spans="1:16" ht="15.75" customHeight="1" x14ac:dyDescent="0.25">
      <c r="A39" s="239"/>
      <c r="B39" s="4" t="str">
        <f>IF('Option 1'!B39="","",'Option 1'!B39)</f>
        <v/>
      </c>
      <c r="C39" s="182" t="str">
        <f>IF('Option 1'!C39="","",'Option 1'!C39)</f>
        <v>Ramp Concrete Curbs</v>
      </c>
      <c r="D39" s="183" t="str">
        <f>IF('Option 1'!D39="","",'Option 1'!D39)</f>
        <v/>
      </c>
      <c r="E39" s="184" t="str">
        <f>IF('Option 1'!E39="","",'Option 1'!E39)</f>
        <v/>
      </c>
      <c r="F39" s="184" t="str">
        <f>IF('Option 1'!F39="","",'Option 1'!F39)</f>
        <v/>
      </c>
      <c r="G39" s="184" t="str">
        <f>IF('Option 1'!G39="","",'Option 1'!G39)</f>
        <v/>
      </c>
      <c r="H39" s="184" t="str">
        <f>IF('Option 1'!H39="","",'Option 1'!H39)</f>
        <v/>
      </c>
      <c r="I39" s="184" t="str">
        <f>IF('Option 1'!I39="","",'Option 1'!I39)</f>
        <v/>
      </c>
      <c r="J39" s="184" t="str">
        <f>IF('Option 1'!J39="","",'Option 1'!J39)</f>
        <v/>
      </c>
      <c r="K39" s="184" t="str">
        <f>IF('Option 1'!K39="","",'Option 1'!K39)</f>
        <v/>
      </c>
      <c r="L39" s="184" t="str">
        <f>IF('Option 1'!L39="","",'Option 1'!L39)</f>
        <v/>
      </c>
      <c r="M39" s="184" t="str">
        <f>IF('Option 1'!M39="","",'Option 1'!M39)</f>
        <v/>
      </c>
      <c r="N39" s="184" t="str">
        <f>IF('Option 1'!N39="","",'Option 1'!N39)</f>
        <v/>
      </c>
      <c r="O39" s="184" t="str">
        <f>IF('Option 1'!O39="","",'Option 1'!O39)</f>
        <v/>
      </c>
      <c r="P39" s="124">
        <f t="shared" si="16"/>
        <v>0</v>
      </c>
    </row>
    <row r="40" spans="1:16" ht="15.75" customHeight="1" x14ac:dyDescent="0.25">
      <c r="A40" s="239"/>
      <c r="B40" s="4" t="str">
        <f>IF('Option 1'!B40="","",'Option 1'!B40)</f>
        <v/>
      </c>
      <c r="C40" s="182" t="str">
        <f>IF('Option 1'!C40="","",'Option 1'!C40)</f>
        <v>Aggregate 5'-0" Walkway</v>
      </c>
      <c r="D40" s="183" t="str">
        <f>IF('Option 1'!D40="","",'Option 1'!D40)</f>
        <v/>
      </c>
      <c r="E40" s="184" t="str">
        <f>IF('Option 1'!E40="","",'Option 1'!E40)</f>
        <v/>
      </c>
      <c r="F40" s="184" t="str">
        <f>IF('Option 1'!F40="","",'Option 1'!F40)</f>
        <v/>
      </c>
      <c r="G40" s="184" t="str">
        <f>IF('Option 1'!G40="","",'Option 1'!G40)</f>
        <v/>
      </c>
      <c r="H40" s="184" t="str">
        <f>IF('Option 1'!H40="","",'Option 1'!H40)</f>
        <v/>
      </c>
      <c r="I40" s="184" t="str">
        <f>IF('Option 1'!I40="","",'Option 1'!I40)</f>
        <v/>
      </c>
      <c r="J40" s="184" t="str">
        <f>IF('Option 1'!J40="","",'Option 1'!J40)</f>
        <v/>
      </c>
      <c r="K40" s="184" t="str">
        <f>IF('Option 1'!K40="","",'Option 1'!K40)</f>
        <v/>
      </c>
      <c r="L40" s="184" t="str">
        <f>IF('Option 1'!L40="","",'Option 1'!L40)</f>
        <v/>
      </c>
      <c r="M40" s="184" t="str">
        <f>IF('Option 1'!M40="","",'Option 1'!M40)</f>
        <v/>
      </c>
      <c r="N40" s="184" t="str">
        <f>IF('Option 1'!N40="","",'Option 1'!N40)</f>
        <v/>
      </c>
      <c r="O40" s="184" t="str">
        <f>IF('Option 1'!O40="","",'Option 1'!O40)</f>
        <v/>
      </c>
      <c r="P40" s="124">
        <f t="shared" si="16"/>
        <v>0</v>
      </c>
    </row>
    <row r="41" spans="1:16" ht="15.75" customHeight="1" x14ac:dyDescent="0.25">
      <c r="A41" s="239"/>
      <c r="B41" s="4" t="str">
        <f>IF('Option 1'!B41="","",'Option 1'!B41)</f>
        <v/>
      </c>
      <c r="C41" s="182" t="str">
        <f>IF('Option 1'!C41="","",'Option 1'!C41)</f>
        <v>Storm Sewer System</v>
      </c>
      <c r="D41" s="183" t="str">
        <f>IF('Option 1'!D41="","",'Option 1'!D41)</f>
        <v/>
      </c>
      <c r="E41" s="184" t="str">
        <f>IF('Option 1'!E41="","",'Option 1'!E41)</f>
        <v/>
      </c>
      <c r="F41" s="184" t="str">
        <f>IF('Option 1'!F41="","",'Option 1'!F41)</f>
        <v/>
      </c>
      <c r="G41" s="184" t="str">
        <f>IF('Option 1'!G41="","",'Option 1'!G41)</f>
        <v/>
      </c>
      <c r="H41" s="184" t="str">
        <f>IF('Option 1'!H41="","",'Option 1'!H41)</f>
        <v/>
      </c>
      <c r="I41" s="184" t="str">
        <f>IF('Option 1'!I41="","",'Option 1'!I41)</f>
        <v/>
      </c>
      <c r="J41" s="184" t="str">
        <f>IF('Option 1'!J41="","",'Option 1'!J41)</f>
        <v/>
      </c>
      <c r="K41" s="184" t="str">
        <f>IF('Option 1'!K41="","",'Option 1'!K41)</f>
        <v/>
      </c>
      <c r="L41" s="184" t="str">
        <f>IF('Option 1'!L41="","",'Option 1'!L41)</f>
        <v/>
      </c>
      <c r="M41" s="184">
        <f>IF('Option 1'!M41="","",'Option 1'!M41)</f>
        <v>30445</v>
      </c>
      <c r="N41" s="184" t="str">
        <f>IF('Option 1'!N41="","",'Option 1'!N41)</f>
        <v/>
      </c>
      <c r="O41" s="184" t="str">
        <f>IF('Option 1'!O41="","",'Option 1'!O41)</f>
        <v/>
      </c>
      <c r="P41" s="124">
        <f t="shared" si="16"/>
        <v>30445</v>
      </c>
    </row>
    <row r="42" spans="1:16" ht="15.75" customHeight="1" x14ac:dyDescent="0.25">
      <c r="A42" s="239"/>
      <c r="B42" s="4" t="str">
        <f>IF('Option 1'!B42="","",'Option 1'!B42)</f>
        <v/>
      </c>
      <c r="C42" s="182" t="str">
        <f>IF('Option 1'!C42="","",'Option 1'!C42)</f>
        <v>Concrete Entry Walk (Clubhouse)</v>
      </c>
      <c r="D42" s="183" t="str">
        <f>IF('Option 1'!D42="","",'Option 1'!D42)</f>
        <v/>
      </c>
      <c r="E42" s="184" t="str">
        <f>IF('Option 1'!E42="","",'Option 1'!E42)</f>
        <v/>
      </c>
      <c r="F42" s="184" t="str">
        <f>IF('Option 1'!F42="","",'Option 1'!F42)</f>
        <v/>
      </c>
      <c r="G42" s="184" t="str">
        <f>IF('Option 1'!G42="","",'Option 1'!G42)</f>
        <v/>
      </c>
      <c r="H42" s="184" t="str">
        <f>IF('Option 1'!H42="","",'Option 1'!H42)</f>
        <v/>
      </c>
      <c r="I42" s="184" t="str">
        <f>IF('Option 1'!I42="","",'Option 1'!I42)</f>
        <v/>
      </c>
      <c r="J42" s="184" t="str">
        <f>IF('Option 1'!J42="","",'Option 1'!J42)</f>
        <v/>
      </c>
      <c r="K42" s="184" t="str">
        <f>IF('Option 1'!K42="","",'Option 1'!K42)</f>
        <v/>
      </c>
      <c r="L42" s="184" t="str">
        <f>IF('Option 1'!L42="","",'Option 1'!L42)</f>
        <v/>
      </c>
      <c r="M42" s="184" t="str">
        <f>IF('Option 1'!M42="","",'Option 1'!M42)</f>
        <v/>
      </c>
      <c r="N42" s="184" t="str">
        <f>IF('Option 1'!N42="","",'Option 1'!N42)</f>
        <v/>
      </c>
      <c r="O42" s="184" t="str">
        <f>IF('Option 1'!O42="","",'Option 1'!O42)</f>
        <v/>
      </c>
      <c r="P42" s="124">
        <f t="shared" si="16"/>
        <v>0</v>
      </c>
    </row>
    <row r="43" spans="1:16" ht="15.75" customHeight="1" x14ac:dyDescent="0.25">
      <c r="A43" s="239"/>
      <c r="B43" s="4" t="str">
        <f>IF('Option 1'!B43="","",'Option 1'!B43)</f>
        <v/>
      </c>
      <c r="C43" s="182" t="str">
        <f>IF('Option 1'!C43="","",'Option 1'!C43)</f>
        <v>Rear Concrete Walks</v>
      </c>
      <c r="D43" s="183" t="str">
        <f>IF('Option 1'!D43="","",'Option 1'!D43)</f>
        <v/>
      </c>
      <c r="E43" s="184">
        <f>IF('Option 1'!E43="","",'Option 1'!E43)</f>
        <v>27835</v>
      </c>
      <c r="F43" s="184" t="str">
        <f>IF('Option 1'!F43="","",'Option 1'!F43)</f>
        <v/>
      </c>
      <c r="G43" s="184" t="str">
        <f>IF('Option 1'!G43="","",'Option 1'!G43)</f>
        <v/>
      </c>
      <c r="H43" s="184" t="str">
        <f>IF('Option 1'!H43="","",'Option 1'!H43)</f>
        <v/>
      </c>
      <c r="I43" s="184" t="str">
        <f>IF('Option 1'!I43="","",'Option 1'!I43)</f>
        <v/>
      </c>
      <c r="J43" s="184" t="str">
        <f>IF('Option 1'!J43="","",'Option 1'!J43)</f>
        <v/>
      </c>
      <c r="K43" s="184" t="str">
        <f>IF('Option 1'!K43="","",'Option 1'!K43)</f>
        <v/>
      </c>
      <c r="L43" s="184" t="str">
        <f>IF('Option 1'!L43="","",'Option 1'!L43)</f>
        <v/>
      </c>
      <c r="M43" s="184" t="str">
        <f>IF('Option 1'!M43="","",'Option 1'!M43)</f>
        <v/>
      </c>
      <c r="N43" s="184" t="str">
        <f>IF('Option 1'!N43="","",'Option 1'!N43)</f>
        <v/>
      </c>
      <c r="O43" s="184" t="str">
        <f>IF('Option 1'!O43="","",'Option 1'!O43)</f>
        <v/>
      </c>
      <c r="P43" s="124">
        <f t="shared" si="16"/>
        <v>27835</v>
      </c>
    </row>
    <row r="44" spans="1:16" ht="15.75" customHeight="1" x14ac:dyDescent="0.25">
      <c r="A44" s="239"/>
      <c r="B44" s="4" t="str">
        <f>IF('Option 1'!B44="","",'Option 1'!B44)</f>
        <v/>
      </c>
      <c r="C44" s="182" t="str">
        <f>IF('Option 1'!C44="","",'Option 1'!C44)</f>
        <v>Brick Paver Entry Walks (Bldgs. 1405, 1515, 1605, &amp; 1615)</v>
      </c>
      <c r="D44" s="183" t="str">
        <f>IF('Option 1'!D44="","",'Option 1'!D44)</f>
        <v/>
      </c>
      <c r="E44" s="184" t="str">
        <f>IF('Option 1'!E44="","",'Option 1'!E44)</f>
        <v/>
      </c>
      <c r="F44" s="184" t="str">
        <f>IF('Option 1'!F44="","",'Option 1'!F44)</f>
        <v/>
      </c>
      <c r="G44" s="184" t="str">
        <f>IF('Option 1'!G44="","",'Option 1'!G44)</f>
        <v/>
      </c>
      <c r="H44" s="184" t="str">
        <f>IF('Option 1'!H44="","",'Option 1'!H44)</f>
        <v/>
      </c>
      <c r="I44" s="184" t="str">
        <f>IF('Option 1'!I44="","",'Option 1'!I44)</f>
        <v/>
      </c>
      <c r="J44" s="184" t="str">
        <f>IF('Option 1'!J44="","",'Option 1'!J44)</f>
        <v/>
      </c>
      <c r="K44" s="184" t="str">
        <f>IF('Option 1'!K44="","",'Option 1'!K44)</f>
        <v/>
      </c>
      <c r="L44" s="184" t="str">
        <f>IF('Option 1'!L44="","",'Option 1'!L44)</f>
        <v/>
      </c>
      <c r="M44" s="184" t="str">
        <f>IF('Option 1'!M44="","",'Option 1'!M44)</f>
        <v/>
      </c>
      <c r="N44" s="184" t="str">
        <f>IF('Option 1'!N44="","",'Option 1'!N44)</f>
        <v/>
      </c>
      <c r="O44" s="184" t="str">
        <f>IF('Option 1'!O44="","",'Option 1'!O44)</f>
        <v/>
      </c>
      <c r="P44" s="124">
        <f t="shared" si="16"/>
        <v>0</v>
      </c>
    </row>
    <row r="45" spans="1:16" ht="15.75" customHeight="1" x14ac:dyDescent="0.25">
      <c r="A45" s="239"/>
      <c r="B45" s="4" t="str">
        <f>IF('Option 1'!B45="","",'Option 1'!B45)</f>
        <v/>
      </c>
      <c r="C45" s="182" t="str">
        <f>IF('Option 1'!C45="","",'Option 1'!C45)</f>
        <v>Brick Paver Entry Walks (Bldgs. 1415 &amp; 1505)</v>
      </c>
      <c r="D45" s="183" t="str">
        <f>IF('Option 1'!D45="","",'Option 1'!D45)</f>
        <v/>
      </c>
      <c r="E45" s="184" t="str">
        <f>IF('Option 1'!E45="","",'Option 1'!E45)</f>
        <v/>
      </c>
      <c r="F45" s="184" t="str">
        <f>IF('Option 1'!F45="","",'Option 1'!F45)</f>
        <v/>
      </c>
      <c r="G45" s="184" t="str">
        <f>IF('Option 1'!G45="","",'Option 1'!G45)</f>
        <v/>
      </c>
      <c r="H45" s="184" t="str">
        <f>IF('Option 1'!H45="","",'Option 1'!H45)</f>
        <v/>
      </c>
      <c r="I45" s="184" t="str">
        <f>IF('Option 1'!I45="","",'Option 1'!I45)</f>
        <v/>
      </c>
      <c r="J45" s="184" t="str">
        <f>IF('Option 1'!J45="","",'Option 1'!J45)</f>
        <v/>
      </c>
      <c r="K45" s="184" t="str">
        <f>IF('Option 1'!K45="","",'Option 1'!K45)</f>
        <v/>
      </c>
      <c r="L45" s="184" t="str">
        <f>IF('Option 1'!L45="","",'Option 1'!L45)</f>
        <v/>
      </c>
      <c r="M45" s="184" t="str">
        <f>IF('Option 1'!M45="","",'Option 1'!M45)</f>
        <v/>
      </c>
      <c r="N45" s="184" t="str">
        <f>IF('Option 1'!N45="","",'Option 1'!N45)</f>
        <v/>
      </c>
      <c r="O45" s="184" t="str">
        <f>IF('Option 1'!O45="","",'Option 1'!O45)</f>
        <v/>
      </c>
      <c r="P45" s="124">
        <f t="shared" si="16"/>
        <v>0</v>
      </c>
    </row>
    <row r="46" spans="1:16" ht="15.75" customHeight="1" x14ac:dyDescent="0.25">
      <c r="A46" s="239"/>
      <c r="B46" s="4" t="str">
        <f>IF('Option 1'!B46="","",'Option 1'!B46)</f>
        <v/>
      </c>
      <c r="C46" s="182" t="str">
        <f>IF('Option 1'!C46="","",'Option 1'!C46)</f>
        <v>Stone Paver Walks (Concrete)</v>
      </c>
      <c r="D46" s="183" t="str">
        <f>IF('Option 1'!D46="","",'Option 1'!D46)</f>
        <v/>
      </c>
      <c r="E46" s="184" t="str">
        <f>IF('Option 1'!E46="","",'Option 1'!E46)</f>
        <v/>
      </c>
      <c r="F46" s="184" t="str">
        <f>IF('Option 1'!F46="","",'Option 1'!F46)</f>
        <v/>
      </c>
      <c r="G46" s="184" t="str">
        <f>IF('Option 1'!G46="","",'Option 1'!G46)</f>
        <v/>
      </c>
      <c r="H46" s="184" t="str">
        <f>IF('Option 1'!H46="","",'Option 1'!H46)</f>
        <v/>
      </c>
      <c r="I46" s="184" t="str">
        <f>IF('Option 1'!I46="","",'Option 1'!I46)</f>
        <v/>
      </c>
      <c r="J46" s="184" t="str">
        <f>IF('Option 1'!J46="","",'Option 1'!J46)</f>
        <v/>
      </c>
      <c r="K46" s="184" t="str">
        <f>IF('Option 1'!K46="","",'Option 1'!K46)</f>
        <v/>
      </c>
      <c r="L46" s="184" t="str">
        <f>IF('Option 1'!L46="","",'Option 1'!L46)</f>
        <v/>
      </c>
      <c r="M46" s="184" t="str">
        <f>IF('Option 1'!M46="","",'Option 1'!M46)</f>
        <v/>
      </c>
      <c r="N46" s="184" t="str">
        <f>IF('Option 1'!N46="","",'Option 1'!N46)</f>
        <v/>
      </c>
      <c r="O46" s="184" t="str">
        <f>IF('Option 1'!O46="","",'Option 1'!O46)</f>
        <v/>
      </c>
      <c r="P46" s="124">
        <f t="shared" si="16"/>
        <v>0</v>
      </c>
    </row>
    <row r="47" spans="1:16" ht="15.75" customHeight="1" x14ac:dyDescent="0.25">
      <c r="A47" s="239"/>
      <c r="B47" s="4" t="str">
        <f>IF('Option 1'!B47="","",'Option 1'!B47)</f>
        <v/>
      </c>
      <c r="C47" s="182" t="str">
        <f>IF('Option 1'!C47="","",'Option 1'!C47)</f>
        <v>Concrete Trash Pads</v>
      </c>
      <c r="D47" s="183" t="str">
        <f>IF('Option 1'!D47="","",'Option 1'!D47)</f>
        <v/>
      </c>
      <c r="E47" s="184" t="str">
        <f>IF('Option 1'!E47="","",'Option 1'!E47)</f>
        <v/>
      </c>
      <c r="F47" s="184" t="str">
        <f>IF('Option 1'!F47="","",'Option 1'!F47)</f>
        <v/>
      </c>
      <c r="G47" s="184" t="str">
        <f>IF('Option 1'!G47="","",'Option 1'!G47)</f>
        <v/>
      </c>
      <c r="H47" s="184" t="str">
        <f>IF('Option 1'!H47="","",'Option 1'!H47)</f>
        <v/>
      </c>
      <c r="I47" s="184" t="str">
        <f>IF('Option 1'!I47="","",'Option 1'!I47)</f>
        <v/>
      </c>
      <c r="J47" s="184" t="str">
        <f>IF('Option 1'!J47="","",'Option 1'!J47)</f>
        <v/>
      </c>
      <c r="K47" s="184" t="str">
        <f>IF('Option 1'!K47="","",'Option 1'!K47)</f>
        <v/>
      </c>
      <c r="L47" s="184" t="str">
        <f>IF('Option 1'!L47="","",'Option 1'!L47)</f>
        <v/>
      </c>
      <c r="M47" s="184" t="str">
        <f>IF('Option 1'!M47="","",'Option 1'!M47)</f>
        <v/>
      </c>
      <c r="N47" s="184">
        <f>IF('Option 1'!N47="","",'Option 1'!N47)</f>
        <v>30456</v>
      </c>
      <c r="O47" s="184" t="str">
        <f>IF('Option 1'!O47="","",'Option 1'!O47)</f>
        <v/>
      </c>
      <c r="P47" s="124">
        <f t="shared" si="16"/>
        <v>30456</v>
      </c>
    </row>
    <row r="48" spans="1:16" ht="15.75" customHeight="1" x14ac:dyDescent="0.25">
      <c r="A48" s="239"/>
      <c r="B48" s="4" t="str">
        <f>IF('Option 1'!B48="","",'Option 1'!B48)</f>
        <v/>
      </c>
      <c r="C48" s="182" t="str">
        <f>IF('Option 1'!C48="","",'Option 1'!C48)</f>
        <v>Split Rail Fence</v>
      </c>
      <c r="D48" s="183" t="str">
        <f>IF('Option 1'!D48="","",'Option 1'!D48)</f>
        <v/>
      </c>
      <c r="E48" s="184" t="str">
        <f>IF('Option 1'!E48="","",'Option 1'!E48)</f>
        <v/>
      </c>
      <c r="F48" s="184" t="str">
        <f>IF('Option 1'!F48="","",'Option 1'!F48)</f>
        <v/>
      </c>
      <c r="G48" s="184" t="str">
        <f>IF('Option 1'!G48="","",'Option 1'!G48)</f>
        <v/>
      </c>
      <c r="H48" s="184" t="str">
        <f>IF('Option 1'!H48="","",'Option 1'!H48)</f>
        <v/>
      </c>
      <c r="I48" s="184" t="str">
        <f>IF('Option 1'!I48="","",'Option 1'!I48)</f>
        <v/>
      </c>
      <c r="J48" s="184" t="str">
        <f>IF('Option 1'!J48="","",'Option 1'!J48)</f>
        <v/>
      </c>
      <c r="K48" s="184" t="str">
        <f>IF('Option 1'!K48="","",'Option 1'!K48)</f>
        <v/>
      </c>
      <c r="L48" s="184" t="str">
        <f>IF('Option 1'!L48="","",'Option 1'!L48)</f>
        <v/>
      </c>
      <c r="M48" s="184" t="str">
        <f>IF('Option 1'!M48="","",'Option 1'!M48)</f>
        <v/>
      </c>
      <c r="N48" s="184" t="str">
        <f>IF('Option 1'!N48="","",'Option 1'!N48)</f>
        <v/>
      </c>
      <c r="O48" s="184" t="str">
        <f>IF('Option 1'!O48="","",'Option 1'!O48)</f>
        <v/>
      </c>
      <c r="P48" s="124">
        <f t="shared" si="16"/>
        <v>0</v>
      </c>
    </row>
    <row r="49" spans="1:16" ht="15.75" customHeight="1" x14ac:dyDescent="0.25">
      <c r="A49" s="239"/>
      <c r="B49" s="4" t="str">
        <f>IF('Option 1'!B49="","",'Option 1'!B49)</f>
        <v/>
      </c>
      <c r="C49" s="182" t="str">
        <f>IF('Option 1'!C49="","",'Option 1'!C49)</f>
        <v>Chain Link Fence at SW (5')</v>
      </c>
      <c r="D49" s="183" t="str">
        <f>IF('Option 1'!D49="","",'Option 1'!D49)</f>
        <v/>
      </c>
      <c r="E49" s="184" t="str">
        <f>IF('Option 1'!E49="","",'Option 1'!E49)</f>
        <v/>
      </c>
      <c r="F49" s="184" t="str">
        <f>IF('Option 1'!F49="","",'Option 1'!F49)</f>
        <v/>
      </c>
      <c r="G49" s="184" t="str">
        <f>IF('Option 1'!G49="","",'Option 1'!G49)</f>
        <v/>
      </c>
      <c r="H49" s="184" t="str">
        <f>IF('Option 1'!H49="","",'Option 1'!H49)</f>
        <v/>
      </c>
      <c r="I49" s="184" t="str">
        <f>IF('Option 1'!I49="","",'Option 1'!I49)</f>
        <v/>
      </c>
      <c r="J49" s="184" t="str">
        <f>IF('Option 1'!J49="","",'Option 1'!J49)</f>
        <v/>
      </c>
      <c r="K49" s="184" t="str">
        <f>IF('Option 1'!K49="","",'Option 1'!K49)</f>
        <v/>
      </c>
      <c r="L49" s="184" t="str">
        <f>IF('Option 1'!L49="","",'Option 1'!L49)</f>
        <v/>
      </c>
      <c r="M49" s="184" t="str">
        <f>IF('Option 1'!M49="","",'Option 1'!M49)</f>
        <v/>
      </c>
      <c r="N49" s="184" t="str">
        <f>IF('Option 1'!N49="","",'Option 1'!N49)</f>
        <v/>
      </c>
      <c r="O49" s="184" t="str">
        <f>IF('Option 1'!O49="","",'Option 1'!O49)</f>
        <v/>
      </c>
      <c r="P49" s="124">
        <f t="shared" si="16"/>
        <v>0</v>
      </c>
    </row>
    <row r="50" spans="1:16" ht="15.75" customHeight="1" x14ac:dyDescent="0.25">
      <c r="A50" s="239"/>
      <c r="B50" s="4" t="str">
        <f>IF('Option 1'!B50="","",'Option 1'!B50)</f>
        <v/>
      </c>
      <c r="C50" s="182" t="str">
        <f>IF('Option 1'!C50="","",'Option 1'!C50)</f>
        <v>Chain Link Fence (6')</v>
      </c>
      <c r="D50" s="183" t="str">
        <f>IF('Option 1'!D50="","",'Option 1'!D50)</f>
        <v/>
      </c>
      <c r="E50" s="184" t="str">
        <f>IF('Option 1'!E50="","",'Option 1'!E50)</f>
        <v/>
      </c>
      <c r="F50" s="184" t="str">
        <f>IF('Option 1'!F50="","",'Option 1'!F50)</f>
        <v/>
      </c>
      <c r="G50" s="184" t="str">
        <f>IF('Option 1'!G50="","",'Option 1'!G50)</f>
        <v/>
      </c>
      <c r="H50" s="184" t="str">
        <f>IF('Option 1'!H50="","",'Option 1'!H50)</f>
        <v/>
      </c>
      <c r="I50" s="184" t="str">
        <f>IF('Option 1'!I50="","",'Option 1'!I50)</f>
        <v/>
      </c>
      <c r="J50" s="184" t="str">
        <f>IF('Option 1'!J50="","",'Option 1'!J50)</f>
        <v/>
      </c>
      <c r="K50" s="184" t="str">
        <f>IF('Option 1'!K50="","",'Option 1'!K50)</f>
        <v/>
      </c>
      <c r="L50" s="184" t="str">
        <f>IF('Option 1'!L50="","",'Option 1'!L50)</f>
        <v/>
      </c>
      <c r="M50" s="184" t="str">
        <f>IF('Option 1'!M50="","",'Option 1'!M50)</f>
        <v/>
      </c>
      <c r="N50" s="184" t="str">
        <f>IF('Option 1'!N50="","",'Option 1'!N50)</f>
        <v/>
      </c>
      <c r="O50" s="184" t="str">
        <f>IF('Option 1'!O50="","",'Option 1'!O50)</f>
        <v/>
      </c>
      <c r="P50" s="124">
        <f t="shared" si="16"/>
        <v>0</v>
      </c>
    </row>
    <row r="51" spans="1:16" ht="15.75" customHeight="1" x14ac:dyDescent="0.25">
      <c r="A51" s="239"/>
      <c r="B51" s="4" t="str">
        <f>IF('Option 1'!B51="","",'Option 1'!B51)</f>
        <v/>
      </c>
      <c r="C51" s="182" t="str">
        <f>IF('Option 1'!C51="","",'Option 1'!C51)</f>
        <v>Patio Aluminum Fence</v>
      </c>
      <c r="D51" s="183" t="str">
        <f>IF('Option 1'!D51="","",'Option 1'!D51)</f>
        <v/>
      </c>
      <c r="E51" s="184" t="str">
        <f>IF('Option 1'!E51="","",'Option 1'!E51)</f>
        <v/>
      </c>
      <c r="F51" s="184" t="str">
        <f>IF('Option 1'!F51="","",'Option 1'!F51)</f>
        <v/>
      </c>
      <c r="G51" s="184" t="str">
        <f>IF('Option 1'!G51="","",'Option 1'!G51)</f>
        <v/>
      </c>
      <c r="H51" s="184" t="str">
        <f>IF('Option 1'!H51="","",'Option 1'!H51)</f>
        <v/>
      </c>
      <c r="I51" s="184" t="str">
        <f>IF('Option 1'!I51="","",'Option 1'!I51)</f>
        <v/>
      </c>
      <c r="J51" s="184" t="str">
        <f>IF('Option 1'!J51="","",'Option 1'!J51)</f>
        <v/>
      </c>
      <c r="K51" s="184" t="str">
        <f>IF('Option 1'!K51="","",'Option 1'!K51)</f>
        <v/>
      </c>
      <c r="L51" s="184" t="str">
        <f>IF('Option 1'!L51="","",'Option 1'!L51)</f>
        <v/>
      </c>
      <c r="M51" s="184" t="str">
        <f>IF('Option 1'!M51="","",'Option 1'!M51)</f>
        <v/>
      </c>
      <c r="N51" s="184" t="str">
        <f>IF('Option 1'!N51="","",'Option 1'!N51)</f>
        <v/>
      </c>
      <c r="O51" s="184" t="str">
        <f>IF('Option 1'!O51="","",'Option 1'!O51)</f>
        <v/>
      </c>
      <c r="P51" s="124">
        <f t="shared" si="16"/>
        <v>0</v>
      </c>
    </row>
    <row r="52" spans="1:16" ht="15.75" customHeight="1" x14ac:dyDescent="0.25">
      <c r="A52" s="239"/>
      <c r="B52" s="4" t="str">
        <f>IF('Option 1'!B52="","",'Option 1'!B52)</f>
        <v/>
      </c>
      <c r="C52" s="182" t="str">
        <f>IF('Option 1'!C52="","",'Option 1'!C52)</f>
        <v>Concrete Retaining Walls</v>
      </c>
      <c r="D52" s="186" t="str">
        <f>IF('Option 1'!D52="","",'Option 1'!D52)</f>
        <v/>
      </c>
      <c r="E52" s="184" t="str">
        <f>IF('Option 1'!E52="","",'Option 1'!E52)</f>
        <v/>
      </c>
      <c r="F52" s="184" t="str">
        <f>IF('Option 1'!F52="","",'Option 1'!F52)</f>
        <v/>
      </c>
      <c r="G52" s="184" t="str">
        <f>IF('Option 1'!G52="","",'Option 1'!G52)</f>
        <v/>
      </c>
      <c r="H52" s="184" t="str">
        <f>IF('Option 1'!H52="","",'Option 1'!H52)</f>
        <v/>
      </c>
      <c r="I52" s="184" t="str">
        <f>IF('Option 1'!I52="","",'Option 1'!I52)</f>
        <v/>
      </c>
      <c r="J52" s="184" t="str">
        <f>IF('Option 1'!J52="","",'Option 1'!J52)</f>
        <v/>
      </c>
      <c r="K52" s="184" t="str">
        <f>IF('Option 1'!K52="","",'Option 1'!K52)</f>
        <v/>
      </c>
      <c r="L52" s="184" t="str">
        <f>IF('Option 1'!L52="","",'Option 1'!L52)</f>
        <v/>
      </c>
      <c r="M52" s="184" t="str">
        <f>IF('Option 1'!M52="","",'Option 1'!M52)</f>
        <v/>
      </c>
      <c r="N52" s="184" t="str">
        <f>IF('Option 1'!N52="","",'Option 1'!N52)</f>
        <v/>
      </c>
      <c r="O52" s="184" t="str">
        <f>IF('Option 1'!O52="","",'Option 1'!O52)</f>
        <v/>
      </c>
      <c r="P52" s="124">
        <f t="shared" si="16"/>
        <v>0</v>
      </c>
    </row>
    <row r="53" spans="1:16" ht="15.75" customHeight="1" x14ac:dyDescent="0.25">
      <c r="A53" s="239"/>
      <c r="B53" s="4" t="str">
        <f>IF('Option 1'!B53="","",'Option 1'!B53)</f>
        <v/>
      </c>
      <c r="C53" s="182" t="str">
        <f>IF('Option 1'!C53="","",'Option 1'!C53)</f>
        <v>Ramp Trench Drains</v>
      </c>
      <c r="D53" s="186" t="str">
        <f>IF('Option 1'!D53="","",'Option 1'!D53)</f>
        <v/>
      </c>
      <c r="E53" s="184" t="str">
        <f>IF('Option 1'!E53="","",'Option 1'!E53)</f>
        <v/>
      </c>
      <c r="F53" s="184" t="str">
        <f>IF('Option 1'!F53="","",'Option 1'!F53)</f>
        <v/>
      </c>
      <c r="G53" s="184" t="str">
        <f>IF('Option 1'!G53="","",'Option 1'!G53)</f>
        <v/>
      </c>
      <c r="H53" s="184" t="str">
        <f>IF('Option 1'!H53="","",'Option 1'!H53)</f>
        <v/>
      </c>
      <c r="I53" s="184" t="str">
        <f>IF('Option 1'!I53="","",'Option 1'!I53)</f>
        <v/>
      </c>
      <c r="J53" s="184" t="str">
        <f>IF('Option 1'!J53="","",'Option 1'!J53)</f>
        <v/>
      </c>
      <c r="K53" s="184" t="str">
        <f>IF('Option 1'!K53="","",'Option 1'!K53)</f>
        <v/>
      </c>
      <c r="L53" s="184" t="str">
        <f>IF('Option 1'!L53="","",'Option 1'!L53)</f>
        <v/>
      </c>
      <c r="M53" s="184" t="str">
        <f>IF('Option 1'!M53="","",'Option 1'!M53)</f>
        <v/>
      </c>
      <c r="N53" s="184">
        <f>IF('Option 1'!N53="","",'Option 1'!N53)</f>
        <v>41516</v>
      </c>
      <c r="O53" s="184" t="str">
        <f>IF('Option 1'!O53="","",'Option 1'!O53)</f>
        <v/>
      </c>
      <c r="P53" s="124">
        <f t="shared" si="16"/>
        <v>41516</v>
      </c>
    </row>
    <row r="54" spans="1:16" ht="15.75" customHeight="1" x14ac:dyDescent="0.25">
      <c r="A54" s="239"/>
      <c r="B54" s="4" t="str">
        <f>IF('Option 1'!B54="","",'Option 1'!B54)</f>
        <v/>
      </c>
      <c r="C54" s="182" t="str">
        <f>IF('Option 1'!C54="","",'Option 1'!C54)</f>
        <v xml:space="preserve">Patios </v>
      </c>
      <c r="D54" s="187" t="str">
        <f>IF('Option 1'!D54="","",'Option 1'!D54)</f>
        <v/>
      </c>
      <c r="E54" s="184" t="str">
        <f>IF('Option 1'!E54="","",'Option 1'!E54)</f>
        <v/>
      </c>
      <c r="F54" s="184" t="str">
        <f>IF('Option 1'!F54="","",'Option 1'!F54)</f>
        <v/>
      </c>
      <c r="G54" s="184" t="str">
        <f>IF('Option 1'!G54="","",'Option 1'!G54)</f>
        <v/>
      </c>
      <c r="H54" s="184" t="str">
        <f>IF('Option 1'!H54="","",'Option 1'!H54)</f>
        <v/>
      </c>
      <c r="I54" s="184" t="str">
        <f>IF('Option 1'!I54="","",'Option 1'!I54)</f>
        <v/>
      </c>
      <c r="J54" s="184" t="str">
        <f>IF('Option 1'!J54="","",'Option 1'!J54)</f>
        <v/>
      </c>
      <c r="K54" s="184" t="str">
        <f>IF('Option 1'!K54="","",'Option 1'!K54)</f>
        <v/>
      </c>
      <c r="L54" s="184" t="str">
        <f>IF('Option 1'!L54="","",'Option 1'!L54)</f>
        <v/>
      </c>
      <c r="M54" s="184" t="str">
        <f>IF('Option 1'!M54="","",'Option 1'!M54)</f>
        <v/>
      </c>
      <c r="N54" s="184" t="str">
        <f>IF('Option 1'!N54="","",'Option 1'!N54)</f>
        <v/>
      </c>
      <c r="O54" s="184" t="str">
        <f>IF('Option 1'!O54="","",'Option 1'!O54)</f>
        <v/>
      </c>
      <c r="P54" s="124">
        <f t="shared" si="16"/>
        <v>0</v>
      </c>
    </row>
    <row r="55" spans="1:16" ht="15.75" customHeight="1" x14ac:dyDescent="0.25">
      <c r="A55" s="239"/>
      <c r="B55" s="4" t="str">
        <f>IF('Option 1'!B55="","",'Option 1'!B55)</f>
        <v/>
      </c>
      <c r="C55" s="182" t="str">
        <f>IF('Option 1'!C55="","",'Option 1'!C55)</f>
        <v>Entry Monuments</v>
      </c>
      <c r="D55" s="186" t="str">
        <f>IF('Option 1'!D55="","",'Option 1'!D55)</f>
        <v/>
      </c>
      <c r="E55" s="184" t="str">
        <f>IF('Option 1'!E55="","",'Option 1'!E55)</f>
        <v/>
      </c>
      <c r="F55" s="184" t="str">
        <f>IF('Option 1'!F55="","",'Option 1'!F55)</f>
        <v/>
      </c>
      <c r="G55" s="184" t="str">
        <f>IF('Option 1'!G55="","",'Option 1'!G55)</f>
        <v/>
      </c>
      <c r="H55" s="184">
        <f>IF('Option 1'!H55="","",'Option 1'!H55)</f>
        <v>2076</v>
      </c>
      <c r="I55" s="184" t="str">
        <f>IF('Option 1'!I55="","",'Option 1'!I55)</f>
        <v/>
      </c>
      <c r="J55" s="184" t="str">
        <f>IF('Option 1'!J55="","",'Option 1'!J55)</f>
        <v/>
      </c>
      <c r="K55" s="184" t="str">
        <f>IF('Option 1'!K55="","",'Option 1'!K55)</f>
        <v/>
      </c>
      <c r="L55" s="184" t="str">
        <f>IF('Option 1'!L55="","",'Option 1'!L55)</f>
        <v/>
      </c>
      <c r="M55" s="184" t="str">
        <f>IF('Option 1'!M55="","",'Option 1'!M55)</f>
        <v/>
      </c>
      <c r="N55" s="184" t="str">
        <f>IF('Option 1'!N55="","",'Option 1'!N55)</f>
        <v/>
      </c>
      <c r="O55" s="184" t="str">
        <f>IF('Option 1'!O55="","",'Option 1'!O55)</f>
        <v/>
      </c>
      <c r="P55" s="124">
        <f t="shared" si="16"/>
        <v>2076</v>
      </c>
    </row>
    <row r="56" spans="1:16" ht="15.75" customHeight="1" x14ac:dyDescent="0.25">
      <c r="A56" s="239"/>
      <c r="B56" s="4" t="str">
        <f>IF('Option 1'!B56="","",'Option 1'!B56)</f>
        <v/>
      </c>
      <c r="C56" s="182" t="str">
        <f>IF('Option 1'!C56="","",'Option 1'!C56)</f>
        <v>Chain Link Fence (6' at 1605 S Line)</v>
      </c>
      <c r="D56" s="186" t="str">
        <f>IF('Option 1'!D56="","",'Option 1'!D56)</f>
        <v/>
      </c>
      <c r="E56" s="184" t="str">
        <f>IF('Option 1'!E56="","",'Option 1'!E56)</f>
        <v/>
      </c>
      <c r="F56" s="184" t="str">
        <f>IF('Option 1'!F56="","",'Option 1'!F56)</f>
        <v/>
      </c>
      <c r="G56" s="184" t="str">
        <f>IF('Option 1'!G56="","",'Option 1'!G56)</f>
        <v/>
      </c>
      <c r="H56" s="184" t="str">
        <f>IF('Option 1'!H56="","",'Option 1'!H56)</f>
        <v/>
      </c>
      <c r="I56" s="184" t="str">
        <f>IF('Option 1'!I56="","",'Option 1'!I56)</f>
        <v/>
      </c>
      <c r="J56" s="184" t="str">
        <f>IF('Option 1'!J56="","",'Option 1'!J56)</f>
        <v/>
      </c>
      <c r="K56" s="184" t="str">
        <f>IF('Option 1'!K56="","",'Option 1'!K56)</f>
        <v/>
      </c>
      <c r="L56" s="184" t="str">
        <f>IF('Option 1'!L56="","",'Option 1'!L56)</f>
        <v/>
      </c>
      <c r="M56" s="184" t="str">
        <f>IF('Option 1'!M56="","",'Option 1'!M56)</f>
        <v/>
      </c>
      <c r="N56" s="184" t="str">
        <f>IF('Option 1'!N56="","",'Option 1'!N56)</f>
        <v/>
      </c>
      <c r="O56" s="184" t="str">
        <f>IF('Option 1'!O56="","",'Option 1'!O56)</f>
        <v/>
      </c>
      <c r="P56" s="124">
        <f t="shared" si="16"/>
        <v>0</v>
      </c>
    </row>
    <row r="57" spans="1:16" ht="15.75" customHeight="1" x14ac:dyDescent="0.25">
      <c r="A57" s="239"/>
      <c r="B57" s="4" t="str">
        <f>IF('Option 1'!B57="","",'Option 1'!B57)</f>
        <v/>
      </c>
      <c r="C57" s="3" t="str">
        <f>IF('Option 1'!C57="","",'Option 1'!C57)</f>
        <v>Waterproofing Elements</v>
      </c>
      <c r="D57" s="186" t="str">
        <f>IF('Option 1'!D57="","",'Option 1'!D57)</f>
        <v/>
      </c>
      <c r="E57" s="184" t="str">
        <f>IF('Option 1'!E57="","",'Option 1'!E57)</f>
        <v/>
      </c>
      <c r="F57" s="184" t="str">
        <f>IF('Option 1'!F57="","",'Option 1'!F57)</f>
        <v/>
      </c>
      <c r="G57" s="184" t="str">
        <f>IF('Option 1'!G57="","",'Option 1'!G57)</f>
        <v/>
      </c>
      <c r="H57" s="184" t="str">
        <f>IF('Option 1'!H57="","",'Option 1'!H57)</f>
        <v/>
      </c>
      <c r="I57" s="184" t="str">
        <f>IF('Option 1'!I57="","",'Option 1'!I57)</f>
        <v/>
      </c>
      <c r="J57" s="184" t="str">
        <f>IF('Option 1'!J57="","",'Option 1'!J57)</f>
        <v/>
      </c>
      <c r="K57" s="184" t="str">
        <f>IF('Option 1'!K57="","",'Option 1'!K57)</f>
        <v/>
      </c>
      <c r="L57" s="184" t="str">
        <f>IF('Option 1'!L57="","",'Option 1'!L57)</f>
        <v/>
      </c>
      <c r="M57" s="184" t="str">
        <f>IF('Option 1'!M57="","",'Option 1'!M57)</f>
        <v/>
      </c>
      <c r="N57" s="184" t="str">
        <f>IF('Option 1'!N57="","",'Option 1'!N57)</f>
        <v/>
      </c>
      <c r="O57" s="184" t="str">
        <f>IF('Option 1'!O57="","",'Option 1'!O57)</f>
        <v/>
      </c>
      <c r="P57" s="124">
        <f t="shared" si="16"/>
        <v>0</v>
      </c>
    </row>
    <row r="58" spans="1:16" ht="15.75" customHeight="1" x14ac:dyDescent="0.25">
      <c r="A58" s="239"/>
      <c r="B58" s="4" t="str">
        <f>IF('Option 1'!B58="","",'Option 1'!B58)</f>
        <v/>
      </c>
      <c r="C58" s="182" t="str">
        <f>IF('Option 1'!C58="","",'Option 1'!C58)</f>
        <v>Metal Fascia (1505 A &amp; B Wings)</v>
      </c>
      <c r="D58" s="186" t="str">
        <f>IF('Option 1'!D58="","",'Option 1'!D58)</f>
        <v/>
      </c>
      <c r="E58" s="184" t="str">
        <f>IF('Option 1'!E58="","",'Option 1'!E58)</f>
        <v/>
      </c>
      <c r="F58" s="184" t="str">
        <f>IF('Option 1'!F58="","",'Option 1'!F58)</f>
        <v/>
      </c>
      <c r="G58" s="184" t="str">
        <f>IF('Option 1'!G58="","",'Option 1'!G58)</f>
        <v/>
      </c>
      <c r="H58" s="184" t="str">
        <f>IF('Option 1'!H58="","",'Option 1'!H58)</f>
        <v/>
      </c>
      <c r="I58" s="184" t="str">
        <f>IF('Option 1'!I58="","",'Option 1'!I58)</f>
        <v/>
      </c>
      <c r="J58" s="184" t="str">
        <f>IF('Option 1'!J58="","",'Option 1'!J58)</f>
        <v/>
      </c>
      <c r="K58" s="184" t="str">
        <f>IF('Option 1'!K58="","",'Option 1'!K58)</f>
        <v/>
      </c>
      <c r="L58" s="184" t="str">
        <f>IF('Option 1'!L58="","",'Option 1'!L58)</f>
        <v/>
      </c>
      <c r="M58" s="184" t="str">
        <f>IF('Option 1'!M58="","",'Option 1'!M58)</f>
        <v/>
      </c>
      <c r="N58" s="184" t="str">
        <f>IF('Option 1'!N58="","",'Option 1'!N58)</f>
        <v/>
      </c>
      <c r="O58" s="184" t="str">
        <f>IF('Option 1'!O58="","",'Option 1'!O58)</f>
        <v/>
      </c>
      <c r="P58" s="124">
        <f t="shared" si="16"/>
        <v>0</v>
      </c>
    </row>
    <row r="59" spans="1:16" ht="15.75" customHeight="1" x14ac:dyDescent="0.25">
      <c r="A59" s="239"/>
      <c r="B59" s="4" t="str">
        <f>IF('Option 1'!B59="","",'Option 1'!B59)</f>
        <v/>
      </c>
      <c r="C59" s="182" t="str">
        <f>IF('Option 1'!C59="","",'Option 1'!C59)</f>
        <v>Shingle Roofing (Clubhouse)</v>
      </c>
      <c r="D59" s="186" t="str">
        <f>IF('Option 1'!D59="","",'Option 1'!D59)</f>
        <v/>
      </c>
      <c r="E59" s="184">
        <f>IF('Option 1'!E59="","",'Option 1'!E59)</f>
        <v>5175</v>
      </c>
      <c r="F59" s="184" t="str">
        <f>IF('Option 1'!F59="","",'Option 1'!F59)</f>
        <v/>
      </c>
      <c r="G59" s="184" t="str">
        <f>IF('Option 1'!G59="","",'Option 1'!G59)</f>
        <v/>
      </c>
      <c r="H59" s="184" t="str">
        <f>IF('Option 1'!H59="","",'Option 1'!H59)</f>
        <v/>
      </c>
      <c r="I59" s="184" t="str">
        <f>IF('Option 1'!I59="","",'Option 1'!I59)</f>
        <v/>
      </c>
      <c r="J59" s="184" t="str">
        <f>IF('Option 1'!J59="","",'Option 1'!J59)</f>
        <v/>
      </c>
      <c r="K59" s="184" t="str">
        <f>IF('Option 1'!K59="","",'Option 1'!K59)</f>
        <v/>
      </c>
      <c r="L59" s="184" t="str">
        <f>IF('Option 1'!L59="","",'Option 1'!L59)</f>
        <v/>
      </c>
      <c r="M59" s="184" t="str">
        <f>IF('Option 1'!M59="","",'Option 1'!M59)</f>
        <v/>
      </c>
      <c r="N59" s="184" t="str">
        <f>IF('Option 1'!N59="","",'Option 1'!N59)</f>
        <v/>
      </c>
      <c r="O59" s="184" t="str">
        <f>IF('Option 1'!O59="","",'Option 1'!O59)</f>
        <v/>
      </c>
      <c r="P59" s="124">
        <f t="shared" si="16"/>
        <v>5175</v>
      </c>
    </row>
    <row r="60" spans="1:16" ht="15.75" customHeight="1" x14ac:dyDescent="0.25">
      <c r="A60" s="239"/>
      <c r="B60" s="4" t="str">
        <f>IF('Option 1'!B60="","",'Option 1'!B60)</f>
        <v/>
      </c>
      <c r="C60" s="182" t="str">
        <f>IF('Option 1'!C60="","",'Option 1'!C60)</f>
        <v>Flat Roofing (Clubhouse)</v>
      </c>
      <c r="D60" s="183" t="str">
        <f>IF('Option 1'!D60="","",'Option 1'!D60)</f>
        <v/>
      </c>
      <c r="E60" s="184" t="str">
        <f>IF('Option 1'!E60="","",'Option 1'!E60)</f>
        <v/>
      </c>
      <c r="F60" s="184" t="str">
        <f>IF('Option 1'!F60="","",'Option 1'!F60)</f>
        <v/>
      </c>
      <c r="G60" s="184" t="str">
        <f>IF('Option 1'!G60="","",'Option 1'!G60)</f>
        <v/>
      </c>
      <c r="H60" s="184" t="str">
        <f>IF('Option 1'!H60="","",'Option 1'!H60)</f>
        <v/>
      </c>
      <c r="I60" s="184" t="str">
        <f>IF('Option 1'!I60="","",'Option 1'!I60)</f>
        <v/>
      </c>
      <c r="J60" s="184" t="str">
        <f>IF('Option 1'!J60="","",'Option 1'!J60)</f>
        <v/>
      </c>
      <c r="K60" s="184" t="str">
        <f>IF('Option 1'!K60="","",'Option 1'!K60)</f>
        <v/>
      </c>
      <c r="L60" s="184" t="str">
        <f>IF('Option 1'!L60="","",'Option 1'!L60)</f>
        <v/>
      </c>
      <c r="M60" s="184" t="str">
        <f>IF('Option 1'!M60="","",'Option 1'!M60)</f>
        <v/>
      </c>
      <c r="N60" s="184" t="str">
        <f>IF('Option 1'!N60="","",'Option 1'!N60)</f>
        <v/>
      </c>
      <c r="O60" s="184" t="str">
        <f>IF('Option 1'!O60="","",'Option 1'!O60)</f>
        <v/>
      </c>
      <c r="P60" s="124">
        <f t="shared" si="16"/>
        <v>0</v>
      </c>
    </row>
    <row r="61" spans="1:16" ht="15.75" customHeight="1" x14ac:dyDescent="0.25">
      <c r="A61" s="239"/>
      <c r="B61" s="4" t="str">
        <f>IF('Option 1'!B61="","",'Option 1'!B61)</f>
        <v/>
      </c>
      <c r="C61" s="182" t="str">
        <f>IF('Option 1'!C61="","",'Option 1'!C61)</f>
        <v>Roofing (1415 A Wing)</v>
      </c>
      <c r="D61" s="183" t="str">
        <f>IF('Option 1'!D61="","",'Option 1'!D61)</f>
        <v/>
      </c>
      <c r="E61" s="184" t="str">
        <f>IF('Option 1'!E61="","",'Option 1'!E61)</f>
        <v/>
      </c>
      <c r="F61" s="184" t="str">
        <f>IF('Option 1'!F61="","",'Option 1'!F61)</f>
        <v/>
      </c>
      <c r="G61" s="184" t="str">
        <f>IF('Option 1'!G61="","",'Option 1'!G61)</f>
        <v/>
      </c>
      <c r="H61" s="184" t="str">
        <f>IF('Option 1'!H61="","",'Option 1'!H61)</f>
        <v/>
      </c>
      <c r="I61" s="184" t="str">
        <f>IF('Option 1'!I61="","",'Option 1'!I61)</f>
        <v/>
      </c>
      <c r="J61" s="184" t="str">
        <f>IF('Option 1'!J61="","",'Option 1'!J61)</f>
        <v/>
      </c>
      <c r="K61" s="184" t="str">
        <f>IF('Option 1'!K61="","",'Option 1'!K61)</f>
        <v/>
      </c>
      <c r="L61" s="184" t="str">
        <f>IF('Option 1'!L61="","",'Option 1'!L61)</f>
        <v/>
      </c>
      <c r="M61" s="184" t="str">
        <f>IF('Option 1'!M61="","",'Option 1'!M61)</f>
        <v/>
      </c>
      <c r="N61" s="184" t="str">
        <f>IF('Option 1'!N61="","",'Option 1'!N61)</f>
        <v/>
      </c>
      <c r="O61" s="184" t="str">
        <f>IF('Option 1'!O61="","",'Option 1'!O61)</f>
        <v/>
      </c>
      <c r="P61" s="124">
        <f t="shared" si="16"/>
        <v>0</v>
      </c>
    </row>
    <row r="62" spans="1:16" ht="15.75" customHeight="1" x14ac:dyDescent="0.25">
      <c r="A62" s="239"/>
      <c r="B62" s="4" t="str">
        <f>IF('Option 1'!B62="","",'Option 1'!B62)</f>
        <v/>
      </c>
      <c r="C62" s="182" t="str">
        <f>IF('Option 1'!C62="","",'Option 1'!C62)</f>
        <v>Roofing (1405, 1415, 1505, 1515, 1605 &amp; 1605 Core Bldgs.)</v>
      </c>
      <c r="D62" s="183">
        <f>IF('Option 1'!D62="","",'Option 1'!D62)</f>
        <v>26826</v>
      </c>
      <c r="E62" s="184" t="str">
        <f>IF('Option 1'!E62="","",'Option 1'!E62)</f>
        <v/>
      </c>
      <c r="F62" s="184" t="str">
        <f>IF('Option 1'!F62="","",'Option 1'!F62)</f>
        <v/>
      </c>
      <c r="G62" s="184" t="str">
        <f>IF('Option 1'!G62="","",'Option 1'!G62)</f>
        <v/>
      </c>
      <c r="H62" s="184" t="str">
        <f>IF('Option 1'!H62="","",'Option 1'!H62)</f>
        <v/>
      </c>
      <c r="I62" s="184" t="str">
        <f>IF('Option 1'!I62="","",'Option 1'!I62)</f>
        <v/>
      </c>
      <c r="J62" s="184" t="str">
        <f>IF('Option 1'!J62="","",'Option 1'!J62)</f>
        <v/>
      </c>
      <c r="K62" s="184" t="str">
        <f>IF('Option 1'!K62="","",'Option 1'!K62)</f>
        <v/>
      </c>
      <c r="L62" s="184" t="str">
        <f>IF('Option 1'!L62="","",'Option 1'!L62)</f>
        <v/>
      </c>
      <c r="M62" s="184" t="str">
        <f>IF('Option 1'!M62="","",'Option 1'!M62)</f>
        <v/>
      </c>
      <c r="N62" s="184" t="str">
        <f>IF('Option 1'!N62="","",'Option 1'!N62)</f>
        <v/>
      </c>
      <c r="O62" s="184" t="str">
        <f>IF('Option 1'!O62="","",'Option 1'!O62)</f>
        <v/>
      </c>
      <c r="P62" s="124">
        <f t="shared" si="16"/>
        <v>26826</v>
      </c>
    </row>
    <row r="63" spans="1:16" ht="15.75" customHeight="1" x14ac:dyDescent="0.25">
      <c r="A63" s="239"/>
      <c r="B63" s="4" t="str">
        <f>IF('Option 1'!B63="","",'Option 1'!B63)</f>
        <v/>
      </c>
      <c r="C63" s="182" t="str">
        <f>IF('Option 1'!C63="","",'Option 1'!C63)</f>
        <v>Roofing (1605 B Wing)</v>
      </c>
      <c r="D63" s="183" t="str">
        <f>IF('Option 1'!D63="","",'Option 1'!D63)</f>
        <v/>
      </c>
      <c r="E63" s="184" t="str">
        <f>IF('Option 1'!E63="","",'Option 1'!E63)</f>
        <v/>
      </c>
      <c r="F63" s="184" t="str">
        <f>IF('Option 1'!F63="","",'Option 1'!F63)</f>
        <v/>
      </c>
      <c r="G63" s="184" t="str">
        <f>IF('Option 1'!G63="","",'Option 1'!G63)</f>
        <v/>
      </c>
      <c r="H63" s="184">
        <f>IF('Option 1'!H63="","",'Option 1'!H63)</f>
        <v>14465</v>
      </c>
      <c r="I63" s="184" t="str">
        <f>IF('Option 1'!I63="","",'Option 1'!I63)</f>
        <v/>
      </c>
      <c r="J63" s="184" t="str">
        <f>IF('Option 1'!J63="","",'Option 1'!J63)</f>
        <v/>
      </c>
      <c r="K63" s="184" t="str">
        <f>IF('Option 1'!K63="","",'Option 1'!K63)</f>
        <v/>
      </c>
      <c r="L63" s="184" t="str">
        <f>IF('Option 1'!L63="","",'Option 1'!L63)</f>
        <v/>
      </c>
      <c r="M63" s="184" t="str">
        <f>IF('Option 1'!M63="","",'Option 1'!M63)</f>
        <v/>
      </c>
      <c r="N63" s="184" t="str">
        <f>IF('Option 1'!N63="","",'Option 1'!N63)</f>
        <v/>
      </c>
      <c r="O63" s="184" t="str">
        <f>IF('Option 1'!O63="","",'Option 1'!O63)</f>
        <v/>
      </c>
      <c r="P63" s="124">
        <f t="shared" si="16"/>
        <v>14465</v>
      </c>
    </row>
    <row r="64" spans="1:16" ht="15.75" customHeight="1" x14ac:dyDescent="0.25">
      <c r="A64" s="239"/>
      <c r="B64" s="4" t="str">
        <f>IF('Option 1'!B64="","",'Option 1'!B64)</f>
        <v/>
      </c>
      <c r="C64" s="182" t="str">
        <f>IF('Option 1'!C64="","",'Option 1'!C64)</f>
        <v>Roofing (1415 C &amp; 1605 A Wings)</v>
      </c>
      <c r="D64" s="183" t="str">
        <f>IF('Option 1'!D64="","",'Option 1'!D64)</f>
        <v/>
      </c>
      <c r="E64" s="184" t="str">
        <f>IF('Option 1'!E64="","",'Option 1'!E64)</f>
        <v/>
      </c>
      <c r="F64" s="184" t="str">
        <f>IF('Option 1'!F64="","",'Option 1'!F64)</f>
        <v/>
      </c>
      <c r="G64" s="184">
        <f>IF('Option 1'!G64="","",'Option 1'!G64)</f>
        <v>28930</v>
      </c>
      <c r="H64" s="184" t="str">
        <f>IF('Option 1'!H64="","",'Option 1'!H64)</f>
        <v/>
      </c>
      <c r="I64" s="184" t="str">
        <f>IF('Option 1'!I64="","",'Option 1'!I64)</f>
        <v/>
      </c>
      <c r="J64" s="184" t="str">
        <f>IF('Option 1'!J64="","",'Option 1'!J64)</f>
        <v/>
      </c>
      <c r="K64" s="184" t="str">
        <f>IF('Option 1'!K64="","",'Option 1'!K64)</f>
        <v/>
      </c>
      <c r="L64" s="184" t="str">
        <f>IF('Option 1'!L64="","",'Option 1'!L64)</f>
        <v/>
      </c>
      <c r="M64" s="184" t="str">
        <f>IF('Option 1'!M64="","",'Option 1'!M64)</f>
        <v/>
      </c>
      <c r="N64" s="184" t="str">
        <f>IF('Option 1'!N64="","",'Option 1'!N64)</f>
        <v/>
      </c>
      <c r="O64" s="184" t="str">
        <f>IF('Option 1'!O64="","",'Option 1'!O64)</f>
        <v/>
      </c>
      <c r="P64" s="124">
        <f t="shared" si="16"/>
        <v>28930</v>
      </c>
    </row>
    <row r="65" spans="1:16" ht="15.75" customHeight="1" x14ac:dyDescent="0.25">
      <c r="A65" s="239"/>
      <c r="B65" s="4" t="str">
        <f>IF('Option 1'!B65="","",'Option 1'!B65)</f>
        <v/>
      </c>
      <c r="C65" s="182" t="str">
        <f>IF('Option 1'!C65="","",'Option 1'!C65)</f>
        <v>Roofing (1405 A &amp; B, &amp; 1405 C Wings)</v>
      </c>
      <c r="D65" s="183" t="str">
        <f>IF('Option 1'!D65="","",'Option 1'!D65)</f>
        <v/>
      </c>
      <c r="E65" s="184" t="str">
        <f>IF('Option 1'!E65="","",'Option 1'!E65)</f>
        <v/>
      </c>
      <c r="F65" s="184" t="str">
        <f>IF('Option 1'!F65="","",'Option 1'!F65)</f>
        <v/>
      </c>
      <c r="G65" s="184" t="str">
        <f>IF('Option 1'!G65="","",'Option 1'!G65)</f>
        <v/>
      </c>
      <c r="H65" s="184" t="str">
        <f>IF('Option 1'!H65="","",'Option 1'!H65)</f>
        <v/>
      </c>
      <c r="I65" s="184">
        <f>IF('Option 1'!I65="","",'Option 1'!I65)</f>
        <v>43395</v>
      </c>
      <c r="J65" s="184" t="str">
        <f>IF('Option 1'!J65="","",'Option 1'!J65)</f>
        <v/>
      </c>
      <c r="K65" s="184" t="str">
        <f>IF('Option 1'!K65="","",'Option 1'!K65)</f>
        <v/>
      </c>
      <c r="L65" s="184" t="str">
        <f>IF('Option 1'!L65="","",'Option 1'!L65)</f>
        <v/>
      </c>
      <c r="M65" s="184" t="str">
        <f>IF('Option 1'!M65="","",'Option 1'!M65)</f>
        <v/>
      </c>
      <c r="N65" s="184" t="str">
        <f>IF('Option 1'!N65="","",'Option 1'!N65)</f>
        <v/>
      </c>
      <c r="O65" s="184" t="str">
        <f>IF('Option 1'!O65="","",'Option 1'!O65)</f>
        <v/>
      </c>
      <c r="P65" s="124">
        <f t="shared" si="16"/>
        <v>43395</v>
      </c>
    </row>
    <row r="66" spans="1:16" ht="15.75" customHeight="1" x14ac:dyDescent="0.25">
      <c r="A66" s="239"/>
      <c r="B66" s="4" t="str">
        <f>IF('Option 1'!B66="","",'Option 1'!B66)</f>
        <v/>
      </c>
      <c r="C66" s="182" t="str">
        <f>IF('Option 1'!C66="","",'Option 1'!C66)</f>
        <v>Roofing (1515 B, 1515 A &amp; C Wings)</v>
      </c>
      <c r="D66" s="183" t="str">
        <f>IF('Option 1'!D66="","",'Option 1'!D66)</f>
        <v/>
      </c>
      <c r="E66" s="184" t="str">
        <f>IF('Option 1'!E66="","",'Option 1'!E66)</f>
        <v/>
      </c>
      <c r="F66" s="184" t="str">
        <f>IF('Option 1'!F66="","",'Option 1'!F66)</f>
        <v/>
      </c>
      <c r="G66" s="184" t="str">
        <f>IF('Option 1'!G66="","",'Option 1'!G66)</f>
        <v/>
      </c>
      <c r="H66" s="184" t="str">
        <f>IF('Option 1'!H66="","",'Option 1'!H66)</f>
        <v/>
      </c>
      <c r="I66" s="184" t="str">
        <f>IF('Option 1'!I66="","",'Option 1'!I66)</f>
        <v/>
      </c>
      <c r="J66" s="184">
        <f>IF('Option 1'!J66="","",'Option 1'!J66)</f>
        <v>43395</v>
      </c>
      <c r="K66" s="184" t="str">
        <f>IF('Option 1'!K66="","",'Option 1'!K66)</f>
        <v/>
      </c>
      <c r="L66" s="184" t="str">
        <f>IF('Option 1'!L66="","",'Option 1'!L66)</f>
        <v/>
      </c>
      <c r="M66" s="184" t="str">
        <f>IF('Option 1'!M66="","",'Option 1'!M66)</f>
        <v/>
      </c>
      <c r="N66" s="184" t="str">
        <f>IF('Option 1'!N66="","",'Option 1'!N66)</f>
        <v/>
      </c>
      <c r="O66" s="184" t="str">
        <f>IF('Option 1'!O66="","",'Option 1'!O66)</f>
        <v/>
      </c>
      <c r="P66" s="124">
        <f t="shared" si="16"/>
        <v>43395</v>
      </c>
    </row>
    <row r="67" spans="1:16" ht="15.75" customHeight="1" x14ac:dyDescent="0.25">
      <c r="A67" s="239"/>
      <c r="B67" s="4" t="str">
        <f>IF('Option 1'!B67="","",'Option 1'!B67)</f>
        <v/>
      </c>
      <c r="C67" s="182" t="str">
        <f>IF('Option 1'!C67="","",'Option 1'!C67)</f>
        <v>Roofing (1515 A &amp; C, 1615 B Wings)</v>
      </c>
      <c r="D67" s="183" t="str">
        <f>IF('Option 1'!D67="","",'Option 1'!D67)</f>
        <v/>
      </c>
      <c r="E67" s="184" t="str">
        <f>IF('Option 1'!E67="","",'Option 1'!E67)</f>
        <v/>
      </c>
      <c r="F67" s="184" t="str">
        <f>IF('Option 1'!F67="","",'Option 1'!F67)</f>
        <v/>
      </c>
      <c r="G67" s="184" t="str">
        <f>IF('Option 1'!G67="","",'Option 1'!G67)</f>
        <v/>
      </c>
      <c r="H67" s="184" t="str">
        <f>IF('Option 1'!H67="","",'Option 1'!H67)</f>
        <v/>
      </c>
      <c r="I67" s="184" t="str">
        <f>IF('Option 1'!I67="","",'Option 1'!I67)</f>
        <v/>
      </c>
      <c r="J67" s="184" t="str">
        <f>IF('Option 1'!J67="","",'Option 1'!J67)</f>
        <v/>
      </c>
      <c r="K67" s="184">
        <f>IF('Option 1'!K67="","",'Option 1'!K67)</f>
        <v>43395</v>
      </c>
      <c r="L67" s="184" t="str">
        <f>IF('Option 1'!L67="","",'Option 1'!L67)</f>
        <v/>
      </c>
      <c r="M67" s="184" t="str">
        <f>IF('Option 1'!M67="","",'Option 1'!M67)</f>
        <v/>
      </c>
      <c r="N67" s="184" t="str">
        <f>IF('Option 1'!N67="","",'Option 1'!N67)</f>
        <v/>
      </c>
      <c r="O67" s="184" t="str">
        <f>IF('Option 1'!O67="","",'Option 1'!O67)</f>
        <v/>
      </c>
      <c r="P67" s="124">
        <f t="shared" si="16"/>
        <v>43395</v>
      </c>
    </row>
    <row r="68" spans="1:16" ht="15.75" customHeight="1" x14ac:dyDescent="0.25">
      <c r="A68" s="239"/>
      <c r="B68" s="4" t="str">
        <f>IF('Option 1'!B68="","",'Option 1'!B68)</f>
        <v/>
      </c>
      <c r="C68" s="182" t="str">
        <f>IF('Option 1'!C68="","",'Option 1'!C68)</f>
        <v>Roofing (1505 A &amp; B Wings)</v>
      </c>
      <c r="D68" s="183" t="str">
        <f>IF('Option 1'!D68="","",'Option 1'!D68)</f>
        <v/>
      </c>
      <c r="E68" s="184" t="str">
        <f>IF('Option 1'!E68="","",'Option 1'!E68)</f>
        <v/>
      </c>
      <c r="F68" s="184" t="str">
        <f>IF('Option 1'!F68="","",'Option 1'!F68)</f>
        <v/>
      </c>
      <c r="G68" s="184" t="str">
        <f>IF('Option 1'!G68="","",'Option 1'!G68)</f>
        <v/>
      </c>
      <c r="H68" s="184" t="str">
        <f>IF('Option 1'!H68="","",'Option 1'!H68)</f>
        <v/>
      </c>
      <c r="I68" s="184" t="str">
        <f>IF('Option 1'!I68="","",'Option 1'!I68)</f>
        <v/>
      </c>
      <c r="J68" s="184" t="str">
        <f>IF('Option 1'!J68="","",'Option 1'!J68)</f>
        <v/>
      </c>
      <c r="K68" s="184" t="str">
        <f>IF('Option 1'!K68="","",'Option 1'!K68)</f>
        <v/>
      </c>
      <c r="L68" s="184">
        <f>IF('Option 1'!L68="","",'Option 1'!L68)</f>
        <v>28930</v>
      </c>
      <c r="M68" s="184" t="str">
        <f>IF('Option 1'!M68="","",'Option 1'!M68)</f>
        <v/>
      </c>
      <c r="N68" s="184" t="str">
        <f>IF('Option 1'!N68="","",'Option 1'!N68)</f>
        <v/>
      </c>
      <c r="O68" s="184" t="str">
        <f>IF('Option 1'!O68="","",'Option 1'!O68)</f>
        <v/>
      </c>
      <c r="P68" s="124">
        <f t="shared" si="16"/>
        <v>28930</v>
      </c>
    </row>
    <row r="69" spans="1:16" ht="15.75" customHeight="1" x14ac:dyDescent="0.25">
      <c r="A69" s="239"/>
      <c r="B69" s="4" t="str">
        <f>IF('Option 1'!B69="","",'Option 1'!B69)</f>
        <v/>
      </c>
      <c r="C69" s="182" t="str">
        <f>IF('Option 1'!C69="","",'Option 1'!C69)</f>
        <v>Roofing (1415 B &amp; 1605 C Wings)</v>
      </c>
      <c r="D69" s="183" t="str">
        <f>IF('Option 1'!D69="","",'Option 1'!D69)</f>
        <v/>
      </c>
      <c r="E69" s="184" t="str">
        <f>IF('Option 1'!E69="","",'Option 1'!E69)</f>
        <v/>
      </c>
      <c r="F69" s="184" t="str">
        <f>IF('Option 1'!F69="","",'Option 1'!F69)</f>
        <v/>
      </c>
      <c r="G69" s="184" t="str">
        <f>IF('Option 1'!G69="","",'Option 1'!G69)</f>
        <v/>
      </c>
      <c r="H69" s="184" t="str">
        <f>IF('Option 1'!H69="","",'Option 1'!H69)</f>
        <v/>
      </c>
      <c r="I69" s="184" t="str">
        <f>IF('Option 1'!I69="","",'Option 1'!I69)</f>
        <v/>
      </c>
      <c r="J69" s="184" t="str">
        <f>IF('Option 1'!J69="","",'Option 1'!J69)</f>
        <v/>
      </c>
      <c r="K69" s="184" t="str">
        <f>IF('Option 1'!K69="","",'Option 1'!K69)</f>
        <v/>
      </c>
      <c r="L69" s="184" t="str">
        <f>IF('Option 1'!L69="","",'Option 1'!L69)</f>
        <v/>
      </c>
      <c r="M69" s="184" t="str">
        <f>IF('Option 1'!M69="","",'Option 1'!M69)</f>
        <v/>
      </c>
      <c r="N69" s="184" t="str">
        <f>IF('Option 1'!N69="","",'Option 1'!N69)</f>
        <v/>
      </c>
      <c r="O69" s="184" t="str">
        <f>IF('Option 1'!O69="","",'Option 1'!O69)</f>
        <v/>
      </c>
      <c r="P69" s="124">
        <f t="shared" si="16"/>
        <v>0</v>
      </c>
    </row>
    <row r="70" spans="1:16" ht="15.75" customHeight="1" x14ac:dyDescent="0.25">
      <c r="A70" s="239"/>
      <c r="B70" s="4" t="str">
        <f>IF('Option 1'!B70="","",'Option 1'!B70)</f>
        <v/>
      </c>
      <c r="C70" s="182" t="str">
        <f>IF('Option 1'!C70="","",'Option 1'!C70)</f>
        <v>Gutters and Downspouts (Clubhouse)</v>
      </c>
      <c r="D70" s="183" t="str">
        <f>IF('Option 1'!D70="","",'Option 1'!D70)</f>
        <v/>
      </c>
      <c r="E70" s="184" t="str">
        <f>IF('Option 1'!E70="","",'Option 1'!E70)</f>
        <v/>
      </c>
      <c r="F70" s="184" t="str">
        <f>IF('Option 1'!F70="","",'Option 1'!F70)</f>
        <v/>
      </c>
      <c r="G70" s="184" t="str">
        <f>IF('Option 1'!G70="","",'Option 1'!G70)</f>
        <v/>
      </c>
      <c r="H70" s="184" t="str">
        <f>IF('Option 1'!H70="","",'Option 1'!H70)</f>
        <v/>
      </c>
      <c r="I70" s="184" t="str">
        <f>IF('Option 1'!I70="","",'Option 1'!I70)</f>
        <v/>
      </c>
      <c r="J70" s="184" t="str">
        <f>IF('Option 1'!J70="","",'Option 1'!J70)</f>
        <v/>
      </c>
      <c r="K70" s="184" t="str">
        <f>IF('Option 1'!K70="","",'Option 1'!K70)</f>
        <v/>
      </c>
      <c r="L70" s="184" t="str">
        <f>IF('Option 1'!L70="","",'Option 1'!L70)</f>
        <v/>
      </c>
      <c r="M70" s="184" t="str">
        <f>IF('Option 1'!M70="","",'Option 1'!M70)</f>
        <v/>
      </c>
      <c r="N70" s="184" t="str">
        <f>IF('Option 1'!N70="","",'Option 1'!N70)</f>
        <v/>
      </c>
      <c r="O70" s="184" t="str">
        <f>IF('Option 1'!O70="","",'Option 1'!O70)</f>
        <v/>
      </c>
      <c r="P70" s="124">
        <f t="shared" si="16"/>
        <v>0</v>
      </c>
    </row>
    <row r="71" spans="1:16" ht="15.75" customHeight="1" x14ac:dyDescent="0.25">
      <c r="A71" s="239"/>
      <c r="B71" s="4" t="str">
        <f>IF('Option 1'!B71="","",'Option 1'!B71)</f>
        <v/>
      </c>
      <c r="C71" s="182" t="str">
        <f>IF('Option 1'!C71="","",'Option 1'!C71)</f>
        <v>Gutters and Downspouts (Bldg. 1505)</v>
      </c>
      <c r="D71" s="183" t="str">
        <f>IF('Option 1'!D71="","",'Option 1'!D71)</f>
        <v/>
      </c>
      <c r="E71" s="184" t="str">
        <f>IF('Option 1'!E71="","",'Option 1'!E71)</f>
        <v/>
      </c>
      <c r="F71" s="184" t="str">
        <f>IF('Option 1'!F71="","",'Option 1'!F71)</f>
        <v/>
      </c>
      <c r="G71" s="184" t="str">
        <f>IF('Option 1'!G71="","",'Option 1'!G71)</f>
        <v/>
      </c>
      <c r="H71" s="184" t="str">
        <f>IF('Option 1'!H71="","",'Option 1'!H71)</f>
        <v/>
      </c>
      <c r="I71" s="184" t="str">
        <f>IF('Option 1'!I71="","",'Option 1'!I71)</f>
        <v/>
      </c>
      <c r="J71" s="184" t="str">
        <f>IF('Option 1'!J71="","",'Option 1'!J71)</f>
        <v/>
      </c>
      <c r="K71" s="184" t="str">
        <f>IF('Option 1'!K71="","",'Option 1'!K71)</f>
        <v/>
      </c>
      <c r="L71" s="184" t="str">
        <f>IF('Option 1'!L71="","",'Option 1'!L71)</f>
        <v/>
      </c>
      <c r="M71" s="184" t="str">
        <f>IF('Option 1'!M71="","",'Option 1'!M71)</f>
        <v/>
      </c>
      <c r="N71" s="184" t="str">
        <f>IF('Option 1'!N71="","",'Option 1'!N71)</f>
        <v/>
      </c>
      <c r="O71" s="184" t="str">
        <f>IF('Option 1'!O71="","",'Option 1'!O71)</f>
        <v/>
      </c>
      <c r="P71" s="124">
        <f t="shared" si="16"/>
        <v>0</v>
      </c>
    </row>
    <row r="72" spans="1:16" ht="15.75" customHeight="1" x14ac:dyDescent="0.25">
      <c r="A72" s="239"/>
      <c r="B72" s="4" t="str">
        <f>IF('Option 1'!B72="","",'Option 1'!B72)</f>
        <v/>
      </c>
      <c r="C72" s="182" t="str">
        <f>IF('Option 1'!C72="","",'Option 1'!C72)</f>
        <v>Gutters and Downspouts (Bldg. 1405)</v>
      </c>
      <c r="D72" s="183" t="str">
        <f>IF('Option 1'!D72="","",'Option 1'!D72)</f>
        <v/>
      </c>
      <c r="E72" s="184" t="str">
        <f>IF('Option 1'!E72="","",'Option 1'!E72)</f>
        <v/>
      </c>
      <c r="F72" s="184" t="str">
        <f>IF('Option 1'!F72="","",'Option 1'!F72)</f>
        <v/>
      </c>
      <c r="G72" s="184" t="str">
        <f>IF('Option 1'!G72="","",'Option 1'!G72)</f>
        <v/>
      </c>
      <c r="H72" s="184" t="str">
        <f>IF('Option 1'!H72="","",'Option 1'!H72)</f>
        <v/>
      </c>
      <c r="I72" s="184" t="str">
        <f>IF('Option 1'!I72="","",'Option 1'!I72)</f>
        <v/>
      </c>
      <c r="J72" s="184" t="str">
        <f>IF('Option 1'!J72="","",'Option 1'!J72)</f>
        <v/>
      </c>
      <c r="K72" s="184" t="str">
        <f>IF('Option 1'!K72="","",'Option 1'!K72)</f>
        <v/>
      </c>
      <c r="L72" s="184" t="str">
        <f>IF('Option 1'!L72="","",'Option 1'!L72)</f>
        <v/>
      </c>
      <c r="M72" s="184" t="str">
        <f>IF('Option 1'!M72="","",'Option 1'!M72)</f>
        <v/>
      </c>
      <c r="N72" s="184" t="str">
        <f>IF('Option 1'!N72="","",'Option 1'!N72)</f>
        <v/>
      </c>
      <c r="O72" s="184" t="str">
        <f>IF('Option 1'!O72="","",'Option 1'!O72)</f>
        <v/>
      </c>
      <c r="P72" s="124">
        <f t="shared" si="16"/>
        <v>0</v>
      </c>
    </row>
    <row r="73" spans="1:16" ht="15.75" customHeight="1" x14ac:dyDescent="0.25">
      <c r="A73" s="239"/>
      <c r="B73" s="4" t="str">
        <f>IF('Option 1'!B73="","",'Option 1'!B73)</f>
        <v/>
      </c>
      <c r="C73" s="182" t="str">
        <f>IF('Option 1'!C73="","",'Option 1'!C73)</f>
        <v>Gutters and Downspouts (Bldgs. 1415, 1515, 1605, &amp; 1615)</v>
      </c>
      <c r="D73" s="183" t="str">
        <f>IF('Option 1'!D73="","",'Option 1'!D73)</f>
        <v/>
      </c>
      <c r="E73" s="184" t="str">
        <f>IF('Option 1'!E73="","",'Option 1'!E73)</f>
        <v/>
      </c>
      <c r="F73" s="184" t="str">
        <f>IF('Option 1'!F73="","",'Option 1'!F73)</f>
        <v/>
      </c>
      <c r="G73" s="184" t="str">
        <f>IF('Option 1'!G73="","",'Option 1'!G73)</f>
        <v/>
      </c>
      <c r="H73" s="184" t="str">
        <f>IF('Option 1'!H73="","",'Option 1'!H73)</f>
        <v/>
      </c>
      <c r="I73" s="184" t="str">
        <f>IF('Option 1'!I73="","",'Option 1'!I73)</f>
        <v/>
      </c>
      <c r="J73" s="184" t="str">
        <f>IF('Option 1'!J73="","",'Option 1'!J73)</f>
        <v/>
      </c>
      <c r="K73" s="184" t="str">
        <f>IF('Option 1'!K73="","",'Option 1'!K73)</f>
        <v/>
      </c>
      <c r="L73" s="184" t="str">
        <f>IF('Option 1'!L73="","",'Option 1'!L73)</f>
        <v/>
      </c>
      <c r="M73" s="184" t="str">
        <f>IF('Option 1'!M73="","",'Option 1'!M73)</f>
        <v/>
      </c>
      <c r="N73" s="184" t="str">
        <f>IF('Option 1'!N73="","",'Option 1'!N73)</f>
        <v/>
      </c>
      <c r="O73" s="184" t="str">
        <f>IF('Option 1'!O73="","",'Option 1'!O73)</f>
        <v/>
      </c>
      <c r="P73" s="124">
        <f t="shared" si="16"/>
        <v>0</v>
      </c>
    </row>
    <row r="74" spans="1:16" ht="15.75" customHeight="1" x14ac:dyDescent="0.25">
      <c r="A74" s="239"/>
      <c r="B74" s="4" t="str">
        <f>IF('Option 1'!B74="","",'Option 1'!B74)</f>
        <v/>
      </c>
      <c r="C74" s="182" t="str">
        <f>IF('Option 1'!C74="","",'Option 1'!C74)</f>
        <v>Skylights (Clubhouse)</v>
      </c>
      <c r="D74" s="183" t="str">
        <f>IF('Option 1'!D74="","",'Option 1'!D74)</f>
        <v/>
      </c>
      <c r="E74" s="184" t="str">
        <f>IF('Option 1'!E74="","",'Option 1'!E74)</f>
        <v/>
      </c>
      <c r="F74" s="184" t="str">
        <f>IF('Option 1'!F74="","",'Option 1'!F74)</f>
        <v/>
      </c>
      <c r="G74" s="184" t="str">
        <f>IF('Option 1'!G74="","",'Option 1'!G74)</f>
        <v/>
      </c>
      <c r="H74" s="184">
        <f>IF('Option 1'!H74="","",'Option 1'!H74)</f>
        <v>1910</v>
      </c>
      <c r="I74" s="184" t="str">
        <f>IF('Option 1'!I74="","",'Option 1'!I74)</f>
        <v/>
      </c>
      <c r="J74" s="184" t="str">
        <f>IF('Option 1'!J74="","",'Option 1'!J74)</f>
        <v/>
      </c>
      <c r="K74" s="184" t="str">
        <f>IF('Option 1'!K74="","",'Option 1'!K74)</f>
        <v/>
      </c>
      <c r="L74" s="184" t="str">
        <f>IF('Option 1'!L74="","",'Option 1'!L74)</f>
        <v/>
      </c>
      <c r="M74" s="184" t="str">
        <f>IF('Option 1'!M74="","",'Option 1'!M74)</f>
        <v/>
      </c>
      <c r="N74" s="184" t="str">
        <f>IF('Option 1'!N74="","",'Option 1'!N74)</f>
        <v/>
      </c>
      <c r="O74" s="184" t="str">
        <f>IF('Option 1'!O74="","",'Option 1'!O74)</f>
        <v/>
      </c>
      <c r="P74" s="124">
        <f t="shared" si="16"/>
        <v>1910</v>
      </c>
    </row>
    <row r="75" spans="1:16" ht="15.75" customHeight="1" x14ac:dyDescent="0.25">
      <c r="A75" s="239"/>
      <c r="B75" s="4" t="str">
        <f>IF('Option 1'!B75="","",'Option 1'!B75)</f>
        <v/>
      </c>
      <c r="C75" s="182" t="str">
        <f>IF('Option 1'!C75="","",'Option 1'!C75)</f>
        <v>Metal Fascia (1515 A &amp; C, &amp; 1615 B Wings)</v>
      </c>
      <c r="D75" s="183" t="str">
        <f>IF('Option 1'!D75="","",'Option 1'!D75)</f>
        <v/>
      </c>
      <c r="E75" s="184" t="str">
        <f>IF('Option 1'!E75="","",'Option 1'!E75)</f>
        <v/>
      </c>
      <c r="F75" s="184" t="str">
        <f>IF('Option 1'!F75="","",'Option 1'!F75)</f>
        <v/>
      </c>
      <c r="G75" s="184" t="str">
        <f>IF('Option 1'!G75="","",'Option 1'!G75)</f>
        <v/>
      </c>
      <c r="H75" s="184" t="str">
        <f>IF('Option 1'!H75="","",'Option 1'!H75)</f>
        <v/>
      </c>
      <c r="I75" s="184" t="str">
        <f>IF('Option 1'!I75="","",'Option 1'!I75)</f>
        <v/>
      </c>
      <c r="J75" s="184" t="str">
        <f>IF('Option 1'!J75="","",'Option 1'!J75)</f>
        <v/>
      </c>
      <c r="K75" s="184" t="str">
        <f>IF('Option 1'!K75="","",'Option 1'!K75)</f>
        <v/>
      </c>
      <c r="L75" s="184" t="str">
        <f>IF('Option 1'!L75="","",'Option 1'!L75)</f>
        <v/>
      </c>
      <c r="M75" s="184" t="str">
        <f>IF('Option 1'!M75="","",'Option 1'!M75)</f>
        <v/>
      </c>
      <c r="N75" s="184" t="str">
        <f>IF('Option 1'!N75="","",'Option 1'!N75)</f>
        <v/>
      </c>
      <c r="O75" s="184" t="str">
        <f>IF('Option 1'!O75="","",'Option 1'!O75)</f>
        <v/>
      </c>
      <c r="P75" s="124">
        <f t="shared" si="16"/>
        <v>0</v>
      </c>
    </row>
    <row r="76" spans="1:16" ht="15.75" customHeight="1" x14ac:dyDescent="0.25">
      <c r="A76" s="239"/>
      <c r="B76" s="4" t="str">
        <f>IF('Option 1'!B76="","",'Option 1'!B76)</f>
        <v/>
      </c>
      <c r="C76" s="182" t="str">
        <f>IF('Option 1'!C76="","",'Option 1'!C76)</f>
        <v>Metal Fascia (1515 B, &amp; 1615 A &amp; C Wings)</v>
      </c>
      <c r="D76" s="183" t="str">
        <f>IF('Option 1'!D76="","",'Option 1'!D76)</f>
        <v/>
      </c>
      <c r="E76" s="184" t="str">
        <f>IF('Option 1'!E76="","",'Option 1'!E76)</f>
        <v/>
      </c>
      <c r="F76" s="184" t="str">
        <f>IF('Option 1'!F76="","",'Option 1'!F76)</f>
        <v/>
      </c>
      <c r="G76" s="184" t="str">
        <f>IF('Option 1'!G76="","",'Option 1'!G76)</f>
        <v/>
      </c>
      <c r="H76" s="184" t="str">
        <f>IF('Option 1'!H76="","",'Option 1'!H76)</f>
        <v/>
      </c>
      <c r="I76" s="184" t="str">
        <f>IF('Option 1'!I76="","",'Option 1'!I76)</f>
        <v/>
      </c>
      <c r="J76" s="184" t="str">
        <f>IF('Option 1'!J76="","",'Option 1'!J76)</f>
        <v/>
      </c>
      <c r="K76" s="184" t="str">
        <f>IF('Option 1'!K76="","",'Option 1'!K76)</f>
        <v/>
      </c>
      <c r="L76" s="184" t="str">
        <f>IF('Option 1'!L76="","",'Option 1'!L76)</f>
        <v/>
      </c>
      <c r="M76" s="184" t="str">
        <f>IF('Option 1'!M76="","",'Option 1'!M76)</f>
        <v/>
      </c>
      <c r="N76" s="184" t="str">
        <f>IF('Option 1'!N76="","",'Option 1'!N76)</f>
        <v/>
      </c>
      <c r="O76" s="184">
        <f>IF('Option 1'!O76="","",'Option 1'!O76)</f>
        <v>7326</v>
      </c>
      <c r="P76" s="124">
        <f t="shared" si="16"/>
        <v>7326</v>
      </c>
    </row>
    <row r="77" spans="1:16" ht="15.75" customHeight="1" x14ac:dyDescent="0.25">
      <c r="A77" s="239"/>
      <c r="B77" s="4" t="str">
        <f>IF('Option 1'!B77="","",'Option 1'!B77)</f>
        <v/>
      </c>
      <c r="C77" s="182" t="str">
        <f>IF('Option 1'!C77="","",'Option 1'!C77)</f>
        <v>Metal Fascia (1405 A, B &amp; C Wings)</v>
      </c>
      <c r="D77" s="183" t="str">
        <f>IF('Option 1'!D77="","",'Option 1'!D77)</f>
        <v/>
      </c>
      <c r="E77" s="184" t="str">
        <f>IF('Option 1'!E77="","",'Option 1'!E77)</f>
        <v/>
      </c>
      <c r="F77" s="184" t="str">
        <f>IF('Option 1'!F77="","",'Option 1'!F77)</f>
        <v/>
      </c>
      <c r="G77" s="184" t="str">
        <f>IF('Option 1'!G77="","",'Option 1'!G77)</f>
        <v/>
      </c>
      <c r="H77" s="184" t="str">
        <f>IF('Option 1'!H77="","",'Option 1'!H77)</f>
        <v/>
      </c>
      <c r="I77" s="184" t="str">
        <f>IF('Option 1'!I77="","",'Option 1'!I77)</f>
        <v/>
      </c>
      <c r="J77" s="184" t="str">
        <f>IF('Option 1'!J77="","",'Option 1'!J77)</f>
        <v/>
      </c>
      <c r="K77" s="184" t="str">
        <f>IF('Option 1'!K77="","",'Option 1'!K77)</f>
        <v/>
      </c>
      <c r="L77" s="184" t="str">
        <f>IF('Option 1'!L77="","",'Option 1'!L77)</f>
        <v/>
      </c>
      <c r="M77" s="184" t="str">
        <f>IF('Option 1'!M77="","",'Option 1'!M77)</f>
        <v/>
      </c>
      <c r="N77" s="184">
        <f>IF('Option 1'!N77="","",'Option 1'!N77)</f>
        <v>7326</v>
      </c>
      <c r="O77" s="184" t="str">
        <f>IF('Option 1'!O77="","",'Option 1'!O77)</f>
        <v/>
      </c>
      <c r="P77" s="124">
        <f t="shared" si="16"/>
        <v>7326</v>
      </c>
    </row>
    <row r="78" spans="1:16" ht="15.75" customHeight="1" x14ac:dyDescent="0.25">
      <c r="A78" s="239"/>
      <c r="B78" s="4" t="str">
        <f>IF('Option 1'!B78="","",'Option 1'!B78)</f>
        <v/>
      </c>
      <c r="C78" s="182" t="str">
        <f>IF('Option 1'!C78="","",'Option 1'!C78)</f>
        <v>Metal Fascia (1605 B Wing)</v>
      </c>
      <c r="D78" s="183" t="str">
        <f>IF('Option 1'!D78="","",'Option 1'!D78)</f>
        <v/>
      </c>
      <c r="E78" s="184" t="str">
        <f>IF('Option 1'!E78="","",'Option 1'!E78)</f>
        <v/>
      </c>
      <c r="F78" s="184" t="str">
        <f>IF('Option 1'!F78="","",'Option 1'!F78)</f>
        <v/>
      </c>
      <c r="G78" s="184" t="str">
        <f>IF('Option 1'!G78="","",'Option 1'!G78)</f>
        <v/>
      </c>
      <c r="H78" s="184" t="str">
        <f>IF('Option 1'!H78="","",'Option 1'!H78)</f>
        <v/>
      </c>
      <c r="I78" s="184" t="str">
        <f>IF('Option 1'!I78="","",'Option 1'!I78)</f>
        <v/>
      </c>
      <c r="J78" s="184" t="str">
        <f>IF('Option 1'!J78="","",'Option 1'!J78)</f>
        <v/>
      </c>
      <c r="K78" s="184" t="str">
        <f>IF('Option 1'!K78="","",'Option 1'!K78)</f>
        <v/>
      </c>
      <c r="L78" s="184" t="str">
        <f>IF('Option 1'!L78="","",'Option 1'!L78)</f>
        <v/>
      </c>
      <c r="M78" s="184">
        <f>IF('Option 1'!M78="","",'Option 1'!M78)</f>
        <v>2442</v>
      </c>
      <c r="N78" s="184" t="str">
        <f>IF('Option 1'!N78="","",'Option 1'!N78)</f>
        <v/>
      </c>
      <c r="O78" s="184" t="str">
        <f>IF('Option 1'!O78="","",'Option 1'!O78)</f>
        <v/>
      </c>
      <c r="P78" s="124">
        <f t="shared" si="16"/>
        <v>2442</v>
      </c>
    </row>
    <row r="79" spans="1:16" ht="15.75" customHeight="1" x14ac:dyDescent="0.25">
      <c r="A79" s="239"/>
      <c r="B79" s="4" t="str">
        <f>IF('Option 1'!B79="","",'Option 1'!B79)</f>
        <v/>
      </c>
      <c r="C79" s="182" t="str">
        <f>IF('Option 1'!C79="","",'Option 1'!C79)</f>
        <v>Metal Fascia (1415 C &amp; 1605 A Wings)</v>
      </c>
      <c r="D79" s="183" t="str">
        <f>IF('Option 1'!D79="","",'Option 1'!D79)</f>
        <v/>
      </c>
      <c r="E79" s="184" t="str">
        <f>IF('Option 1'!E79="","",'Option 1'!E79)</f>
        <v/>
      </c>
      <c r="F79" s="184" t="str">
        <f>IF('Option 1'!F79="","",'Option 1'!F79)</f>
        <v/>
      </c>
      <c r="G79" s="184" t="str">
        <f>IF('Option 1'!G79="","",'Option 1'!G79)</f>
        <v/>
      </c>
      <c r="H79" s="184" t="str">
        <f>IF('Option 1'!H79="","",'Option 1'!H79)</f>
        <v/>
      </c>
      <c r="I79" s="184" t="str">
        <f>IF('Option 1'!I79="","",'Option 1'!I79)</f>
        <v/>
      </c>
      <c r="J79" s="184" t="str">
        <f>IF('Option 1'!J79="","",'Option 1'!J79)</f>
        <v/>
      </c>
      <c r="K79" s="184" t="str">
        <f>IF('Option 1'!K79="","",'Option 1'!K79)</f>
        <v/>
      </c>
      <c r="L79" s="184">
        <f>IF('Option 1'!L79="","",'Option 1'!L79)</f>
        <v>4884</v>
      </c>
      <c r="M79" s="184" t="str">
        <f>IF('Option 1'!M79="","",'Option 1'!M79)</f>
        <v/>
      </c>
      <c r="N79" s="184" t="str">
        <f>IF('Option 1'!N79="","",'Option 1'!N79)</f>
        <v/>
      </c>
      <c r="O79" s="184" t="str">
        <f>IF('Option 1'!O79="","",'Option 1'!O79)</f>
        <v/>
      </c>
      <c r="P79" s="124">
        <f t="shared" si="16"/>
        <v>4884</v>
      </c>
    </row>
    <row r="80" spans="1:16" ht="15.75" customHeight="1" x14ac:dyDescent="0.25">
      <c r="A80" s="239"/>
      <c r="B80" s="4" t="str">
        <f>IF('Option 1'!B80="","",'Option 1'!B80)</f>
        <v/>
      </c>
      <c r="C80" s="182" t="str">
        <f>IF('Option 1'!C80="","",'Option 1'!C80)</f>
        <v>Metal Fascia (1415 A Wing)</v>
      </c>
      <c r="D80" s="183" t="str">
        <f>IF('Option 1'!D80="","",'Option 1'!D80)</f>
        <v/>
      </c>
      <c r="E80" s="184" t="str">
        <f>IF('Option 1'!E80="","",'Option 1'!E80)</f>
        <v/>
      </c>
      <c r="F80" s="184" t="str">
        <f>IF('Option 1'!F80="","",'Option 1'!F80)</f>
        <v/>
      </c>
      <c r="G80" s="184" t="str">
        <f>IF('Option 1'!G80="","",'Option 1'!G80)</f>
        <v/>
      </c>
      <c r="H80" s="184">
        <f>IF('Option 1'!H80="","",'Option 1'!H80)</f>
        <v>2442</v>
      </c>
      <c r="I80" s="184" t="str">
        <f>IF('Option 1'!I80="","",'Option 1'!I80)</f>
        <v/>
      </c>
      <c r="J80" s="184" t="str">
        <f>IF('Option 1'!J80="","",'Option 1'!J80)</f>
        <v/>
      </c>
      <c r="K80" s="184" t="str">
        <f>IF('Option 1'!K80="","",'Option 1'!K80)</f>
        <v/>
      </c>
      <c r="L80" s="184" t="str">
        <f>IF('Option 1'!L80="","",'Option 1'!L80)</f>
        <v/>
      </c>
      <c r="M80" s="184" t="str">
        <f>IF('Option 1'!M80="","",'Option 1'!M80)</f>
        <v/>
      </c>
      <c r="N80" s="184" t="str">
        <f>IF('Option 1'!N80="","",'Option 1'!N80)</f>
        <v/>
      </c>
      <c r="O80" s="184" t="str">
        <f>IF('Option 1'!O80="","",'Option 1'!O80)</f>
        <v/>
      </c>
      <c r="P80" s="124">
        <f t="shared" si="16"/>
        <v>2442</v>
      </c>
    </row>
    <row r="81" spans="1:16" ht="15.75" customHeight="1" x14ac:dyDescent="0.25">
      <c r="A81" s="239"/>
      <c r="B81" s="4" t="str">
        <f>IF('Option 1'!B81="","",'Option 1'!B81)</f>
        <v/>
      </c>
      <c r="C81" s="182" t="str">
        <f>IF('Option 1'!C81="","",'Option 1'!C81)</f>
        <v>Metal Fascia (1415 B &amp; 1605 C Wings)</v>
      </c>
      <c r="D81" s="183" t="str">
        <f>IF('Option 1'!D81="","",'Option 1'!D81)</f>
        <v/>
      </c>
      <c r="E81" s="184" t="str">
        <f>IF('Option 1'!E81="","",'Option 1'!E81)</f>
        <v/>
      </c>
      <c r="F81" s="184" t="str">
        <f>IF('Option 1'!F81="","",'Option 1'!F81)</f>
        <v/>
      </c>
      <c r="G81" s="184" t="str">
        <f>IF('Option 1'!G81="","",'Option 1'!G81)</f>
        <v/>
      </c>
      <c r="H81" s="184" t="str">
        <f>IF('Option 1'!H81="","",'Option 1'!H81)</f>
        <v/>
      </c>
      <c r="I81" s="184" t="str">
        <f>IF('Option 1'!I81="","",'Option 1'!I81)</f>
        <v/>
      </c>
      <c r="J81" s="184" t="str">
        <f>IF('Option 1'!J81="","",'Option 1'!J81)</f>
        <v/>
      </c>
      <c r="K81" s="184" t="str">
        <f>IF('Option 1'!K81="","",'Option 1'!K81)</f>
        <v/>
      </c>
      <c r="L81" s="184" t="str">
        <f>IF('Option 1'!L81="","",'Option 1'!L81)</f>
        <v/>
      </c>
      <c r="M81" s="184" t="str">
        <f>IF('Option 1'!M81="","",'Option 1'!M81)</f>
        <v/>
      </c>
      <c r="N81" s="184" t="str">
        <f>IF('Option 1'!N81="","",'Option 1'!N81)</f>
        <v/>
      </c>
      <c r="O81" s="184" t="str">
        <f>IF('Option 1'!O81="","",'Option 1'!O81)</f>
        <v/>
      </c>
      <c r="P81" s="124">
        <f t="shared" si="16"/>
        <v>0</v>
      </c>
    </row>
    <row r="82" spans="1:16" ht="15.75" customHeight="1" x14ac:dyDescent="0.25">
      <c r="A82" s="239"/>
      <c r="B82" s="4" t="str">
        <f>IF('Option 1'!B82="","",'Option 1'!B82)</f>
        <v/>
      </c>
      <c r="C82" s="182" t="str">
        <f>IF('Option 1'!C82="","",'Option 1'!C82)</f>
        <v>Brick Waterproofing (Bldgs. 1405, 1415, 1505, &amp; 1515)</v>
      </c>
      <c r="D82" s="183" t="str">
        <f>IF('Option 1'!D82="","",'Option 1'!D82)</f>
        <v/>
      </c>
      <c r="E82" s="184" t="str">
        <f>IF('Option 1'!E82="","",'Option 1'!E82)</f>
        <v/>
      </c>
      <c r="F82" s="184" t="str">
        <f>IF('Option 1'!F82="","",'Option 1'!F82)</f>
        <v/>
      </c>
      <c r="G82" s="184" t="str">
        <f>IF('Option 1'!G82="","",'Option 1'!G82)</f>
        <v/>
      </c>
      <c r="H82" s="184" t="str">
        <f>IF('Option 1'!H82="","",'Option 1'!H82)</f>
        <v/>
      </c>
      <c r="I82" s="184">
        <f>IF('Option 1'!I82="","",'Option 1'!I82)</f>
        <v>251600</v>
      </c>
      <c r="J82" s="184" t="str">
        <f>IF('Option 1'!J82="","",'Option 1'!J82)</f>
        <v/>
      </c>
      <c r="K82" s="184" t="str">
        <f>IF('Option 1'!K82="","",'Option 1'!K82)</f>
        <v/>
      </c>
      <c r="L82" s="184" t="str">
        <f>IF('Option 1'!L82="","",'Option 1'!L82)</f>
        <v/>
      </c>
      <c r="M82" s="184" t="str">
        <f>IF('Option 1'!M82="","",'Option 1'!M82)</f>
        <v/>
      </c>
      <c r="N82" s="184" t="str">
        <f>IF('Option 1'!N82="","",'Option 1'!N82)</f>
        <v/>
      </c>
      <c r="O82" s="184" t="str">
        <f>IF('Option 1'!O82="","",'Option 1'!O82)</f>
        <v/>
      </c>
      <c r="P82" s="124">
        <f t="shared" si="16"/>
        <v>251600</v>
      </c>
    </row>
    <row r="83" spans="1:16" ht="15.75" customHeight="1" x14ac:dyDescent="0.25">
      <c r="A83" s="239"/>
      <c r="B83" s="4" t="str">
        <f>IF('Option 1'!B83="","",'Option 1'!B83)</f>
        <v/>
      </c>
      <c r="C83" s="182" t="str">
        <f>IF('Option 1'!C83="","",'Option 1'!C83)</f>
        <v>Brick Waterproofing (Bldg. 1605)</v>
      </c>
      <c r="D83" s="183" t="str">
        <f>IF('Option 1'!D83="","",'Option 1'!D83)</f>
        <v/>
      </c>
      <c r="E83" s="184" t="str">
        <f>IF('Option 1'!E83="","",'Option 1'!E83)</f>
        <v/>
      </c>
      <c r="F83" s="184" t="str">
        <f>IF('Option 1'!F83="","",'Option 1'!F83)</f>
        <v/>
      </c>
      <c r="G83" s="184" t="str">
        <f>IF('Option 1'!G83="","",'Option 1'!G83)</f>
        <v/>
      </c>
      <c r="H83" s="184" t="str">
        <f>IF('Option 1'!H83="","",'Option 1'!H83)</f>
        <v/>
      </c>
      <c r="I83" s="184" t="str">
        <f>IF('Option 1'!I83="","",'Option 1'!I83)</f>
        <v/>
      </c>
      <c r="J83" s="184" t="str">
        <f>IF('Option 1'!J83="","",'Option 1'!J83)</f>
        <v/>
      </c>
      <c r="K83" s="184" t="str">
        <f>IF('Option 1'!K83="","",'Option 1'!K83)</f>
        <v/>
      </c>
      <c r="L83" s="184">
        <f>IF('Option 1'!L83="","",'Option 1'!L83)</f>
        <v>56240</v>
      </c>
      <c r="M83" s="184" t="str">
        <f>IF('Option 1'!M83="","",'Option 1'!M83)</f>
        <v/>
      </c>
      <c r="N83" s="184" t="str">
        <f>IF('Option 1'!N83="","",'Option 1'!N83)</f>
        <v/>
      </c>
      <c r="O83" s="184" t="str">
        <f>IF('Option 1'!O83="","",'Option 1'!O83)</f>
        <v/>
      </c>
      <c r="P83" s="124">
        <f t="shared" si="16"/>
        <v>56240</v>
      </c>
    </row>
    <row r="84" spans="1:16" ht="15.75" customHeight="1" x14ac:dyDescent="0.25">
      <c r="A84" s="239"/>
      <c r="B84" s="4" t="str">
        <f>IF('Option 1'!B84="","",'Option 1'!B84)</f>
        <v/>
      </c>
      <c r="C84" s="182" t="str">
        <f>IF('Option 1'!C84="","",'Option 1'!C84)</f>
        <v>Brick Waterproofing (Bldg. 1615)</v>
      </c>
      <c r="D84" s="183" t="str">
        <f>IF('Option 1'!D84="","",'Option 1'!D84)</f>
        <v/>
      </c>
      <c r="E84" s="184" t="str">
        <f>IF('Option 1'!E84="","",'Option 1'!E84)</f>
        <v/>
      </c>
      <c r="F84" s="184" t="str">
        <f>IF('Option 1'!F84="","",'Option 1'!F84)</f>
        <v/>
      </c>
      <c r="G84" s="184" t="str">
        <f>IF('Option 1'!G84="","",'Option 1'!G84)</f>
        <v/>
      </c>
      <c r="H84" s="184" t="str">
        <f>IF('Option 1'!H84="","",'Option 1'!H84)</f>
        <v/>
      </c>
      <c r="I84" s="184" t="str">
        <f>IF('Option 1'!I84="","",'Option 1'!I84)</f>
        <v/>
      </c>
      <c r="J84" s="184" t="str">
        <f>IF('Option 1'!J84="","",'Option 1'!J84)</f>
        <v/>
      </c>
      <c r="K84" s="184" t="str">
        <f>IF('Option 1'!K84="","",'Option 1'!K84)</f>
        <v/>
      </c>
      <c r="L84" s="184" t="str">
        <f>IF('Option 1'!L84="","",'Option 1'!L84)</f>
        <v/>
      </c>
      <c r="M84" s="184" t="str">
        <f>IF('Option 1'!M84="","",'Option 1'!M84)</f>
        <v/>
      </c>
      <c r="N84" s="184">
        <f>IF('Option 1'!N84="","",'Option 1'!N84)</f>
        <v>56240</v>
      </c>
      <c r="O84" s="184" t="str">
        <f>IF('Option 1'!O84="","",'Option 1'!O84)</f>
        <v/>
      </c>
      <c r="P84" s="124">
        <f t="shared" si="16"/>
        <v>56240</v>
      </c>
    </row>
    <row r="85" spans="1:16" ht="15.75" customHeight="1" x14ac:dyDescent="0.25">
      <c r="A85" s="239"/>
      <c r="B85" s="4" t="str">
        <f>IF('Option 1'!B85="","",'Option 1'!B85)</f>
        <v/>
      </c>
      <c r="C85" s="3" t="str">
        <f>IF('Option 1'!C85="","",'Option 1'!C85)</f>
        <v>Interior Finishes Elements</v>
      </c>
      <c r="D85" s="183" t="str">
        <f>IF('Option 1'!D85="","",'Option 1'!D85)</f>
        <v/>
      </c>
      <c r="E85" s="184" t="str">
        <f>IF('Option 1'!E85="","",'Option 1'!E85)</f>
        <v/>
      </c>
      <c r="F85" s="184" t="str">
        <f>IF('Option 1'!F85="","",'Option 1'!F85)</f>
        <v/>
      </c>
      <c r="G85" s="184" t="str">
        <f>IF('Option 1'!G85="","",'Option 1'!G85)</f>
        <v/>
      </c>
      <c r="H85" s="184" t="str">
        <f>IF('Option 1'!H85="","",'Option 1'!H85)</f>
        <v/>
      </c>
      <c r="I85" s="184" t="str">
        <f>IF('Option 1'!I85="","",'Option 1'!I85)</f>
        <v/>
      </c>
      <c r="J85" s="184" t="str">
        <f>IF('Option 1'!J85="","",'Option 1'!J85)</f>
        <v/>
      </c>
      <c r="K85" s="184" t="str">
        <f>IF('Option 1'!K85="","",'Option 1'!K85)</f>
        <v/>
      </c>
      <c r="L85" s="184" t="str">
        <f>IF('Option 1'!L85="","",'Option 1'!L85)</f>
        <v/>
      </c>
      <c r="M85" s="184" t="str">
        <f>IF('Option 1'!M85="","",'Option 1'!M85)</f>
        <v/>
      </c>
      <c r="N85" s="184" t="str">
        <f>IF('Option 1'!N85="","",'Option 1'!N85)</f>
        <v/>
      </c>
      <c r="O85" s="184" t="str">
        <f>IF('Option 1'!O85="","",'Option 1'!O85)</f>
        <v/>
      </c>
      <c r="P85" s="124">
        <f t="shared" si="16"/>
        <v>0</v>
      </c>
    </row>
    <row r="86" spans="1:16" ht="15.75" customHeight="1" x14ac:dyDescent="0.25">
      <c r="A86" s="239"/>
      <c r="B86" s="4" t="str">
        <f>IF('Option 1'!B86="","",'Option 1'!B86)</f>
        <v/>
      </c>
      <c r="C86" s="182" t="str">
        <f>IF('Option 1'!C86="","",'Option 1'!C86)</f>
        <v>Wing and Lobby Carpet</v>
      </c>
      <c r="D86" s="183" t="str">
        <f>IF('Option 1'!D86="","",'Option 1'!D86)</f>
        <v/>
      </c>
      <c r="E86" s="184" t="str">
        <f>IF('Option 1'!E86="","",'Option 1'!E86)</f>
        <v/>
      </c>
      <c r="F86" s="184" t="str">
        <f>IF('Option 1'!F86="","",'Option 1'!F86)</f>
        <v/>
      </c>
      <c r="G86" s="184">
        <f>IF('Option 1'!G86="","",'Option 1'!G86)</f>
        <v>284095</v>
      </c>
      <c r="H86" s="184" t="str">
        <f>IF('Option 1'!H86="","",'Option 1'!H86)</f>
        <v/>
      </c>
      <c r="I86" s="184" t="str">
        <f>IF('Option 1'!I86="","",'Option 1'!I86)</f>
        <v/>
      </c>
      <c r="J86" s="184" t="str">
        <f>IF('Option 1'!J86="","",'Option 1'!J86)</f>
        <v/>
      </c>
      <c r="K86" s="184" t="str">
        <f>IF('Option 1'!K86="","",'Option 1'!K86)</f>
        <v/>
      </c>
      <c r="L86" s="184" t="str">
        <f>IF('Option 1'!L86="","",'Option 1'!L86)</f>
        <v/>
      </c>
      <c r="M86" s="184" t="str">
        <f>IF('Option 1'!M86="","",'Option 1'!M86)</f>
        <v/>
      </c>
      <c r="N86" s="184" t="str">
        <f>IF('Option 1'!N86="","",'Option 1'!N86)</f>
        <v/>
      </c>
      <c r="O86" s="184" t="str">
        <f>IF('Option 1'!O86="","",'Option 1'!O86)</f>
        <v/>
      </c>
      <c r="P86" s="124">
        <f t="shared" si="16"/>
        <v>284095</v>
      </c>
    </row>
    <row r="87" spans="1:16" ht="15.75" customHeight="1" x14ac:dyDescent="0.25">
      <c r="A87" s="239"/>
      <c r="B87" s="4" t="str">
        <f>IF('Option 1'!B87="","",'Option 1'!B87)</f>
        <v/>
      </c>
      <c r="C87" s="182" t="str">
        <f>IF('Option 1'!C87="","",'Option 1'!C87)</f>
        <v>Core Ceramic Tile</v>
      </c>
      <c r="D87" s="183" t="str">
        <f>IF('Option 1'!D87="","",'Option 1'!D87)</f>
        <v/>
      </c>
      <c r="E87" s="184" t="str">
        <f>IF('Option 1'!E87="","",'Option 1'!E87)</f>
        <v/>
      </c>
      <c r="F87" s="184" t="str">
        <f>IF('Option 1'!F87="","",'Option 1'!F87)</f>
        <v/>
      </c>
      <c r="G87" s="184" t="str">
        <f>IF('Option 1'!G87="","",'Option 1'!G87)</f>
        <v/>
      </c>
      <c r="H87" s="184" t="str">
        <f>IF('Option 1'!H87="","",'Option 1'!H87)</f>
        <v/>
      </c>
      <c r="I87" s="184" t="str">
        <f>IF('Option 1'!I87="","",'Option 1'!I87)</f>
        <v/>
      </c>
      <c r="J87" s="184" t="str">
        <f>IF('Option 1'!J87="","",'Option 1'!J87)</f>
        <v/>
      </c>
      <c r="K87" s="184" t="str">
        <f>IF('Option 1'!K87="","",'Option 1'!K87)</f>
        <v/>
      </c>
      <c r="L87" s="184">
        <f>IF('Option 1'!L87="","",'Option 1'!L87)</f>
        <v>186440</v>
      </c>
      <c r="M87" s="184" t="str">
        <f>IF('Option 1'!M87="","",'Option 1'!M87)</f>
        <v/>
      </c>
      <c r="N87" s="184" t="str">
        <f>IF('Option 1'!N87="","",'Option 1'!N87)</f>
        <v/>
      </c>
      <c r="O87" s="184" t="str">
        <f>IF('Option 1'!O87="","",'Option 1'!O87)</f>
        <v/>
      </c>
      <c r="P87" s="124">
        <f t="shared" si="16"/>
        <v>186440</v>
      </c>
    </row>
    <row r="88" spans="1:16" ht="15.75" customHeight="1" x14ac:dyDescent="0.25">
      <c r="A88" s="239"/>
      <c r="B88" s="4" t="str">
        <f>IF('Option 1'!B88="","",'Option 1'!B88)</f>
        <v/>
      </c>
      <c r="C88" s="182" t="str">
        <f>IF('Option 1'!C88="","",'Option 1'!C88)</f>
        <v>Core Wallcovering</v>
      </c>
      <c r="D88" s="183" t="str">
        <f>IF('Option 1'!D88="","",'Option 1'!D88)</f>
        <v/>
      </c>
      <c r="E88" s="184" t="str">
        <f>IF('Option 1'!E88="","",'Option 1'!E88)</f>
        <v/>
      </c>
      <c r="F88" s="184" t="str">
        <f>IF('Option 1'!F88="","",'Option 1'!F88)</f>
        <v/>
      </c>
      <c r="G88" s="184">
        <f>IF('Option 1'!G88="","",'Option 1'!G88)</f>
        <v>87561</v>
      </c>
      <c r="H88" s="184" t="str">
        <f>IF('Option 1'!H88="","",'Option 1'!H88)</f>
        <v/>
      </c>
      <c r="I88" s="184" t="str">
        <f>IF('Option 1'!I88="","",'Option 1'!I88)</f>
        <v/>
      </c>
      <c r="J88" s="184" t="str">
        <f>IF('Option 1'!J88="","",'Option 1'!J88)</f>
        <v/>
      </c>
      <c r="K88" s="184" t="str">
        <f>IF('Option 1'!K88="","",'Option 1'!K88)</f>
        <v/>
      </c>
      <c r="L88" s="184" t="str">
        <f>IF('Option 1'!L88="","",'Option 1'!L88)</f>
        <v/>
      </c>
      <c r="M88" s="184" t="str">
        <f>IF('Option 1'!M88="","",'Option 1'!M88)</f>
        <v/>
      </c>
      <c r="N88" s="184" t="str">
        <f>IF('Option 1'!N88="","",'Option 1'!N88)</f>
        <v/>
      </c>
      <c r="O88" s="184" t="str">
        <f>IF('Option 1'!O88="","",'Option 1'!O88)</f>
        <v/>
      </c>
      <c r="P88" s="124">
        <f t="shared" si="16"/>
        <v>87561</v>
      </c>
    </row>
    <row r="89" spans="1:16" ht="15.75" customHeight="1" x14ac:dyDescent="0.25">
      <c r="A89" s="239"/>
      <c r="B89" s="4" t="str">
        <f>IF('Option 1'!B89="","",'Option 1'!B89)</f>
        <v/>
      </c>
      <c r="C89" s="182" t="str">
        <f>IF('Option 1'!C89="","",'Option 1'!C89)</f>
        <v>Interior Window Wall</v>
      </c>
      <c r="D89" s="183" t="str">
        <f>IF('Option 1'!D89="","",'Option 1'!D89)</f>
        <v/>
      </c>
      <c r="E89" s="184" t="str">
        <f>IF('Option 1'!E89="","",'Option 1'!E89)</f>
        <v/>
      </c>
      <c r="F89" s="184" t="str">
        <f>IF('Option 1'!F89="","",'Option 1'!F89)</f>
        <v/>
      </c>
      <c r="G89" s="184" t="str">
        <f>IF('Option 1'!G89="","",'Option 1'!G89)</f>
        <v/>
      </c>
      <c r="H89" s="184" t="str">
        <f>IF('Option 1'!H89="","",'Option 1'!H89)</f>
        <v/>
      </c>
      <c r="I89" s="184" t="str">
        <f>IF('Option 1'!I89="","",'Option 1'!I89)</f>
        <v/>
      </c>
      <c r="J89" s="184" t="str">
        <f>IF('Option 1'!J89="","",'Option 1'!J89)</f>
        <v/>
      </c>
      <c r="K89" s="184" t="str">
        <f>IF('Option 1'!K89="","",'Option 1'!K89)</f>
        <v/>
      </c>
      <c r="L89" s="184" t="str">
        <f>IF('Option 1'!L89="","",'Option 1'!L89)</f>
        <v/>
      </c>
      <c r="M89" s="184">
        <f>IF('Option 1'!M89="","",'Option 1'!M89)</f>
        <v>69190</v>
      </c>
      <c r="N89" s="184" t="str">
        <f>IF('Option 1'!N89="","",'Option 1'!N89)</f>
        <v/>
      </c>
      <c r="O89" s="184" t="str">
        <f>IF('Option 1'!O89="","",'Option 1'!O89)</f>
        <v/>
      </c>
      <c r="P89" s="124">
        <f t="shared" ref="P89:P152" si="17">IF(SUM(D89:O89)=0,0,SUM(D89:O89))</f>
        <v>69190</v>
      </c>
    </row>
    <row r="90" spans="1:16" ht="15.75" customHeight="1" x14ac:dyDescent="0.25">
      <c r="A90" s="239"/>
      <c r="B90" s="4" t="str">
        <f>IF('Option 1'!B90="","",'Option 1'!B90)</f>
        <v/>
      </c>
      <c r="C90" s="188" t="str">
        <f>IF('Option 1'!C90="","",'Option 1'!C90)</f>
        <v>Mirrors</v>
      </c>
      <c r="D90" s="183" t="str">
        <f>IF('Option 1'!D90="","",'Option 1'!D90)</f>
        <v/>
      </c>
      <c r="E90" s="184" t="str">
        <f>IF('Option 1'!E90="","",'Option 1'!E90)</f>
        <v/>
      </c>
      <c r="F90" s="184" t="str">
        <f>IF('Option 1'!F90="","",'Option 1'!F90)</f>
        <v/>
      </c>
      <c r="G90" s="184" t="str">
        <f>IF('Option 1'!G90="","",'Option 1'!G90)</f>
        <v/>
      </c>
      <c r="H90" s="184" t="str">
        <f>IF('Option 1'!H90="","",'Option 1'!H90)</f>
        <v/>
      </c>
      <c r="I90" s="184" t="str">
        <f>IF('Option 1'!I90="","",'Option 1'!I90)</f>
        <v/>
      </c>
      <c r="J90" s="184" t="str">
        <f>IF('Option 1'!J90="","",'Option 1'!J90)</f>
        <v/>
      </c>
      <c r="K90" s="184" t="str">
        <f>IF('Option 1'!K90="","",'Option 1'!K90)</f>
        <v/>
      </c>
      <c r="L90" s="184" t="str">
        <f>IF('Option 1'!L90="","",'Option 1'!L90)</f>
        <v/>
      </c>
      <c r="M90" s="184">
        <f>IF('Option 1'!M90="","",'Option 1'!M90)</f>
        <v>24907</v>
      </c>
      <c r="N90" s="184" t="str">
        <f>IF('Option 1'!N90="","",'Option 1'!N90)</f>
        <v/>
      </c>
      <c r="O90" s="184" t="str">
        <f>IF('Option 1'!O90="","",'Option 1'!O90)</f>
        <v/>
      </c>
      <c r="P90" s="124">
        <f t="shared" si="17"/>
        <v>24907</v>
      </c>
    </row>
    <row r="91" spans="1:16" ht="15.75" customHeight="1" x14ac:dyDescent="0.25">
      <c r="A91" s="239"/>
      <c r="B91" s="4" t="str">
        <f>IF('Option 1'!B91="","",'Option 1'!B91)</f>
        <v/>
      </c>
      <c r="C91" s="188" t="str">
        <f>IF('Option 1'!C91="","",'Option 1'!C91)</f>
        <v>Lobby Furniture</v>
      </c>
      <c r="D91" s="183" t="str">
        <f>IF('Option 1'!D91="","",'Option 1'!D91)</f>
        <v/>
      </c>
      <c r="E91" s="184" t="str">
        <f>IF('Option 1'!E91="","",'Option 1'!E91)</f>
        <v/>
      </c>
      <c r="F91" s="184" t="str">
        <f>IF('Option 1'!F91="","",'Option 1'!F91)</f>
        <v/>
      </c>
      <c r="G91" s="184" t="str">
        <f>IF('Option 1'!G91="","",'Option 1'!G91)</f>
        <v/>
      </c>
      <c r="H91" s="184" t="str">
        <f>IF('Option 1'!H91="","",'Option 1'!H91)</f>
        <v/>
      </c>
      <c r="I91" s="184" t="str">
        <f>IF('Option 1'!I91="","",'Option 1'!I91)</f>
        <v/>
      </c>
      <c r="J91" s="184" t="str">
        <f>IF('Option 1'!J91="","",'Option 1'!J91)</f>
        <v/>
      </c>
      <c r="K91" s="184" t="str">
        <f>IF('Option 1'!K91="","",'Option 1'!K91)</f>
        <v/>
      </c>
      <c r="L91" s="184" t="str">
        <f>IF('Option 1'!L91="","",'Option 1'!L91)</f>
        <v/>
      </c>
      <c r="M91" s="184" t="str">
        <f>IF('Option 1'!M91="","",'Option 1'!M91)</f>
        <v/>
      </c>
      <c r="N91" s="184" t="str">
        <f>IF('Option 1'!N91="","",'Option 1'!N91)</f>
        <v/>
      </c>
      <c r="O91" s="184" t="str">
        <f>IF('Option 1'!O91="","",'Option 1'!O91)</f>
        <v/>
      </c>
      <c r="P91" s="124">
        <f t="shared" si="17"/>
        <v>0</v>
      </c>
    </row>
    <row r="92" spans="1:16" ht="15.75" customHeight="1" x14ac:dyDescent="0.25">
      <c r="A92" s="239"/>
      <c r="B92" s="4" t="str">
        <f>IF('Option 1'!B92="","",'Option 1'!B92)</f>
        <v/>
      </c>
      <c r="C92" s="182" t="str">
        <f>IF('Option 1'!C92="","",'Option 1'!C92)</f>
        <v>Artwork</v>
      </c>
      <c r="D92" s="183" t="str">
        <f>IF('Option 1'!D92="","",'Option 1'!D92)</f>
        <v/>
      </c>
      <c r="E92" s="184" t="str">
        <f>IF('Option 1'!E92="","",'Option 1'!E92)</f>
        <v/>
      </c>
      <c r="F92" s="184" t="str">
        <f>IF('Option 1'!F92="","",'Option 1'!F92)</f>
        <v/>
      </c>
      <c r="G92" s="184" t="str">
        <f>IF('Option 1'!G92="","",'Option 1'!G92)</f>
        <v/>
      </c>
      <c r="H92" s="184" t="str">
        <f>IF('Option 1'!H92="","",'Option 1'!H92)</f>
        <v/>
      </c>
      <c r="I92" s="184" t="str">
        <f>IF('Option 1'!I92="","",'Option 1'!I92)</f>
        <v/>
      </c>
      <c r="J92" s="184" t="str">
        <f>IF('Option 1'!J92="","",'Option 1'!J92)</f>
        <v/>
      </c>
      <c r="K92" s="184" t="str">
        <f>IF('Option 1'!K92="","",'Option 1'!K92)</f>
        <v/>
      </c>
      <c r="L92" s="184" t="str">
        <f>IF('Option 1'!L92="","",'Option 1'!L92)</f>
        <v/>
      </c>
      <c r="M92" s="184" t="str">
        <f>IF('Option 1'!M92="","",'Option 1'!M92)</f>
        <v/>
      </c>
      <c r="N92" s="184" t="str">
        <f>IF('Option 1'!N92="","",'Option 1'!N92)</f>
        <v/>
      </c>
      <c r="O92" s="184" t="str">
        <f>IF('Option 1'!O92="","",'Option 1'!O92)</f>
        <v/>
      </c>
      <c r="P92" s="124">
        <f t="shared" si="17"/>
        <v>0</v>
      </c>
    </row>
    <row r="93" spans="1:16" ht="15.75" customHeight="1" x14ac:dyDescent="0.25">
      <c r="A93" s="239"/>
      <c r="B93" s="4" t="str">
        <f>IF('Option 1'!B93="","",'Option 1'!B93)</f>
        <v/>
      </c>
      <c r="C93" s="188" t="str">
        <f>IF('Option 1'!C93="","",'Option 1'!C93)</f>
        <v>Vestibule Flooring</v>
      </c>
      <c r="D93" s="183" t="str">
        <f>IF('Option 1'!D93="","",'Option 1'!D93)</f>
        <v/>
      </c>
      <c r="E93" s="184" t="str">
        <f>IF('Option 1'!E93="","",'Option 1'!E93)</f>
        <v/>
      </c>
      <c r="F93" s="184" t="str">
        <f>IF('Option 1'!F93="","",'Option 1'!F93)</f>
        <v/>
      </c>
      <c r="G93" s="184" t="str">
        <f>IF('Option 1'!G93="","",'Option 1'!G93)</f>
        <v/>
      </c>
      <c r="H93" s="184" t="str">
        <f>IF('Option 1'!H93="","",'Option 1'!H93)</f>
        <v/>
      </c>
      <c r="I93" s="184" t="str">
        <f>IF('Option 1'!I93="","",'Option 1'!I93)</f>
        <v/>
      </c>
      <c r="J93" s="184" t="str">
        <f>IF('Option 1'!J93="","",'Option 1'!J93)</f>
        <v/>
      </c>
      <c r="K93" s="184">
        <f>IF('Option 1'!K93="","",'Option 1'!K93)</f>
        <v>8303</v>
      </c>
      <c r="L93" s="184" t="str">
        <f>IF('Option 1'!L93="","",'Option 1'!L93)</f>
        <v/>
      </c>
      <c r="M93" s="184" t="str">
        <f>IF('Option 1'!M93="","",'Option 1'!M93)</f>
        <v/>
      </c>
      <c r="N93" s="184" t="str">
        <f>IF('Option 1'!N93="","",'Option 1'!N93)</f>
        <v/>
      </c>
      <c r="O93" s="184" t="str">
        <f>IF('Option 1'!O93="","",'Option 1'!O93)</f>
        <v/>
      </c>
      <c r="P93" s="124">
        <f t="shared" si="17"/>
        <v>8303</v>
      </c>
    </row>
    <row r="94" spans="1:16" ht="15.75" customHeight="1" x14ac:dyDescent="0.25">
      <c r="A94" s="239"/>
      <c r="B94" s="4" t="str">
        <f>IF('Option 1'!B94="","",'Option 1'!B94)</f>
        <v/>
      </c>
      <c r="C94" s="188" t="str">
        <f>IF('Option 1'!C94="","",'Option 1'!C94)</f>
        <v>Acoustical Tile Ceilings</v>
      </c>
      <c r="D94" s="183" t="str">
        <f>IF('Option 1'!D94="","",'Option 1'!D94)</f>
        <v/>
      </c>
      <c r="E94" s="184" t="str">
        <f>IF('Option 1'!E94="","",'Option 1'!E94)</f>
        <v/>
      </c>
      <c r="F94" s="184">
        <f>IF('Option 1'!F94="","",'Option 1'!F94)</f>
        <v>57222</v>
      </c>
      <c r="G94" s="184" t="str">
        <f>IF('Option 1'!G94="","",'Option 1'!G94)</f>
        <v/>
      </c>
      <c r="H94" s="184" t="str">
        <f>IF('Option 1'!H94="","",'Option 1'!H94)</f>
        <v/>
      </c>
      <c r="I94" s="184" t="str">
        <f>IF('Option 1'!I94="","",'Option 1'!I94)</f>
        <v/>
      </c>
      <c r="J94" s="184" t="str">
        <f>IF('Option 1'!J94="","",'Option 1'!J94)</f>
        <v/>
      </c>
      <c r="K94" s="184" t="str">
        <f>IF('Option 1'!K94="","",'Option 1'!K94)</f>
        <v/>
      </c>
      <c r="L94" s="184" t="str">
        <f>IF('Option 1'!L94="","",'Option 1'!L94)</f>
        <v/>
      </c>
      <c r="M94" s="184" t="str">
        <f>IF('Option 1'!M94="","",'Option 1'!M94)</f>
        <v/>
      </c>
      <c r="N94" s="184" t="str">
        <f>IF('Option 1'!N94="","",'Option 1'!N94)</f>
        <v/>
      </c>
      <c r="O94" s="184" t="str">
        <f>IF('Option 1'!O94="","",'Option 1'!O94)</f>
        <v/>
      </c>
      <c r="P94" s="124">
        <f t="shared" si="17"/>
        <v>57222</v>
      </c>
    </row>
    <row r="95" spans="1:16" ht="15.75" customHeight="1" x14ac:dyDescent="0.25">
      <c r="A95" s="239"/>
      <c r="B95" s="4" t="str">
        <f>IF('Option 1'!B95="","",'Option 1'!B95)</f>
        <v/>
      </c>
      <c r="C95" s="188" t="str">
        <f>IF('Option 1'!C95="","",'Option 1'!C95)</f>
        <v>Laundry Room Flooring</v>
      </c>
      <c r="D95" s="183">
        <f>IF('Option 1'!D95="","",'Option 1'!D95)</f>
        <v>17305</v>
      </c>
      <c r="E95" s="184" t="str">
        <f>IF('Option 1'!E95="","",'Option 1'!E95)</f>
        <v/>
      </c>
      <c r="F95" s="184" t="str">
        <f>IF('Option 1'!F95="","",'Option 1'!F95)</f>
        <v/>
      </c>
      <c r="G95" s="184" t="str">
        <f>IF('Option 1'!G95="","",'Option 1'!G95)</f>
        <v/>
      </c>
      <c r="H95" s="184" t="str">
        <f>IF('Option 1'!H95="","",'Option 1'!H95)</f>
        <v/>
      </c>
      <c r="I95" s="184" t="str">
        <f>IF('Option 1'!I95="","",'Option 1'!I95)</f>
        <v/>
      </c>
      <c r="J95" s="184" t="str">
        <f>IF('Option 1'!J95="","",'Option 1'!J95)</f>
        <v/>
      </c>
      <c r="K95" s="184" t="str">
        <f>IF('Option 1'!K95="","",'Option 1'!K95)</f>
        <v/>
      </c>
      <c r="L95" s="184" t="str">
        <f>IF('Option 1'!L95="","",'Option 1'!L95)</f>
        <v/>
      </c>
      <c r="M95" s="184" t="str">
        <f>IF('Option 1'!M95="","",'Option 1'!M95)</f>
        <v/>
      </c>
      <c r="N95" s="184">
        <f>IF('Option 1'!N95="","",'Option 1'!N95)</f>
        <v>17305</v>
      </c>
      <c r="O95" s="184" t="str">
        <f>IF('Option 1'!O95="","",'Option 1'!O95)</f>
        <v/>
      </c>
      <c r="P95" s="124">
        <f t="shared" si="17"/>
        <v>34610</v>
      </c>
    </row>
    <row r="96" spans="1:16" ht="15.75" customHeight="1" x14ac:dyDescent="0.25">
      <c r="A96" s="239"/>
      <c r="B96" s="4" t="str">
        <f>IF('Option 1'!B96="","",'Option 1'!B96)</f>
        <v/>
      </c>
      <c r="C96" s="188" t="str">
        <f>IF('Option 1'!C96="","",'Option 1'!C96)</f>
        <v>Social Room Carpet</v>
      </c>
      <c r="D96" s="183" t="str">
        <f>IF('Option 1'!D96="","",'Option 1'!D96)</f>
        <v/>
      </c>
      <c r="E96" s="184" t="str">
        <f>IF('Option 1'!E96="","",'Option 1'!E96)</f>
        <v/>
      </c>
      <c r="F96" s="184" t="str">
        <f>IF('Option 1'!F96="","",'Option 1'!F96)</f>
        <v/>
      </c>
      <c r="G96" s="184" t="str">
        <f>IF('Option 1'!G96="","",'Option 1'!G96)</f>
        <v/>
      </c>
      <c r="H96" s="184" t="str">
        <f>IF('Option 1'!H96="","",'Option 1'!H96)</f>
        <v/>
      </c>
      <c r="I96" s="184" t="str">
        <f>IF('Option 1'!I96="","",'Option 1'!I96)</f>
        <v/>
      </c>
      <c r="J96" s="184" t="str">
        <f>IF('Option 1'!J96="","",'Option 1'!J96)</f>
        <v/>
      </c>
      <c r="K96" s="184">
        <f>IF('Option 1'!K96="","",'Option 1'!K96)</f>
        <v>21075</v>
      </c>
      <c r="L96" s="184" t="str">
        <f>IF('Option 1'!L96="","",'Option 1'!L96)</f>
        <v/>
      </c>
      <c r="M96" s="184" t="str">
        <f>IF('Option 1'!M96="","",'Option 1'!M96)</f>
        <v/>
      </c>
      <c r="N96" s="184" t="str">
        <f>IF('Option 1'!N96="","",'Option 1'!N96)</f>
        <v/>
      </c>
      <c r="O96" s="184" t="str">
        <f>IF('Option 1'!O96="","",'Option 1'!O96)</f>
        <v/>
      </c>
      <c r="P96" s="124">
        <f t="shared" si="17"/>
        <v>21075</v>
      </c>
    </row>
    <row r="97" spans="1:16" ht="15.75" customHeight="1" x14ac:dyDescent="0.25">
      <c r="A97" s="239"/>
      <c r="B97" s="4" t="str">
        <f>IF('Option 1'!B97="","",'Option 1'!B97)</f>
        <v/>
      </c>
      <c r="C97" s="188" t="str">
        <f>IF('Option 1'!C97="","",'Option 1'!C97)</f>
        <v>Social Room Sliding Doors</v>
      </c>
      <c r="D97" s="183" t="str">
        <f>IF('Option 1'!D97="","",'Option 1'!D97)</f>
        <v/>
      </c>
      <c r="E97" s="184" t="str">
        <f>IF('Option 1'!E97="","",'Option 1'!E97)</f>
        <v/>
      </c>
      <c r="F97" s="184" t="str">
        <f>IF('Option 1'!F97="","",'Option 1'!F97)</f>
        <v/>
      </c>
      <c r="G97" s="184" t="str">
        <f>IF('Option 1'!G97="","",'Option 1'!G97)</f>
        <v/>
      </c>
      <c r="H97" s="184" t="str">
        <f>IF('Option 1'!H97="","",'Option 1'!H97)</f>
        <v/>
      </c>
      <c r="I97" s="184" t="str">
        <f>IF('Option 1'!I97="","",'Option 1'!I97)</f>
        <v/>
      </c>
      <c r="J97" s="184" t="str">
        <f>IF('Option 1'!J97="","",'Option 1'!J97)</f>
        <v/>
      </c>
      <c r="K97" s="184" t="str">
        <f>IF('Option 1'!K97="","",'Option 1'!K97)</f>
        <v/>
      </c>
      <c r="L97" s="184" t="str">
        <f>IF('Option 1'!L97="","",'Option 1'!L97)</f>
        <v/>
      </c>
      <c r="M97" s="184" t="str">
        <f>IF('Option 1'!M97="","",'Option 1'!M97)</f>
        <v/>
      </c>
      <c r="N97" s="184" t="str">
        <f>IF('Option 1'!N97="","",'Option 1'!N97)</f>
        <v/>
      </c>
      <c r="O97" s="184" t="str">
        <f>IF('Option 1'!O97="","",'Option 1'!O97)</f>
        <v/>
      </c>
      <c r="P97" s="124">
        <f t="shared" si="17"/>
        <v>0</v>
      </c>
    </row>
    <row r="98" spans="1:16" ht="15.75" customHeight="1" x14ac:dyDescent="0.25">
      <c r="A98" s="239"/>
      <c r="B98" s="4" t="str">
        <f>IF('Option 1'!B98="","",'Option 1'!B98)</f>
        <v/>
      </c>
      <c r="C98" s="188" t="str">
        <f>IF('Option 1'!C98="","",'Option 1'!C98)</f>
        <v>Social Room Furniture</v>
      </c>
      <c r="D98" s="183" t="str">
        <f>IF('Option 1'!D98="","",'Option 1'!D98)</f>
        <v/>
      </c>
      <c r="E98" s="184" t="str">
        <f>IF('Option 1'!E98="","",'Option 1'!E98)</f>
        <v/>
      </c>
      <c r="F98" s="184" t="str">
        <f>IF('Option 1'!F98="","",'Option 1'!F98)</f>
        <v/>
      </c>
      <c r="G98" s="184" t="str">
        <f>IF('Option 1'!G98="","",'Option 1'!G98)</f>
        <v/>
      </c>
      <c r="H98" s="184" t="str">
        <f>IF('Option 1'!H98="","",'Option 1'!H98)</f>
        <v/>
      </c>
      <c r="I98" s="184" t="str">
        <f>IF('Option 1'!I98="","",'Option 1'!I98)</f>
        <v/>
      </c>
      <c r="J98" s="184" t="str">
        <f>IF('Option 1'!J98="","",'Option 1'!J98)</f>
        <v/>
      </c>
      <c r="K98" s="184" t="str">
        <f>IF('Option 1'!K98="","",'Option 1'!K98)</f>
        <v/>
      </c>
      <c r="L98" s="184" t="str">
        <f>IF('Option 1'!L98="","",'Option 1'!L98)</f>
        <v/>
      </c>
      <c r="M98" s="184" t="str">
        <f>IF('Option 1'!M98="","",'Option 1'!M98)</f>
        <v/>
      </c>
      <c r="N98" s="184" t="str">
        <f>IF('Option 1'!N98="","",'Option 1'!N98)</f>
        <v/>
      </c>
      <c r="O98" s="184" t="str">
        <f>IF('Option 1'!O98="","",'Option 1'!O98)</f>
        <v/>
      </c>
      <c r="P98" s="124">
        <f t="shared" si="17"/>
        <v>0</v>
      </c>
    </row>
    <row r="99" spans="1:16" ht="15.75" customHeight="1" x14ac:dyDescent="0.25">
      <c r="A99" s="239"/>
      <c r="B99" s="4" t="str">
        <f>IF('Option 1'!B99="","",'Option 1'!B99)</f>
        <v/>
      </c>
      <c r="C99" s="182" t="str">
        <f>IF('Option 1'!C99="","",'Option 1'!C99)</f>
        <v>Carpet (Clubhouse)</v>
      </c>
      <c r="D99" s="183" t="str">
        <f>IF('Option 1'!D99="","",'Option 1'!D99)</f>
        <v/>
      </c>
      <c r="E99" s="184" t="str">
        <f>IF('Option 1'!E99="","",'Option 1'!E99)</f>
        <v/>
      </c>
      <c r="F99" s="184" t="str">
        <f>IF('Option 1'!F99="","",'Option 1'!F99)</f>
        <v/>
      </c>
      <c r="G99" s="184" t="str">
        <f>IF('Option 1'!G99="","",'Option 1'!G99)</f>
        <v/>
      </c>
      <c r="H99" s="184" t="str">
        <f>IF('Option 1'!H99="","",'Option 1'!H99)</f>
        <v/>
      </c>
      <c r="I99" s="184" t="str">
        <f>IF('Option 1'!I99="","",'Option 1'!I99)</f>
        <v/>
      </c>
      <c r="J99" s="184">
        <f>IF('Option 1'!J99="","",'Option 1'!J99)</f>
        <v>6326</v>
      </c>
      <c r="K99" s="184" t="str">
        <f>IF('Option 1'!K99="","",'Option 1'!K99)</f>
        <v/>
      </c>
      <c r="L99" s="184" t="str">
        <f>IF('Option 1'!L99="","",'Option 1'!L99)</f>
        <v/>
      </c>
      <c r="M99" s="184" t="str">
        <f>IF('Option 1'!M99="","",'Option 1'!M99)</f>
        <v/>
      </c>
      <c r="N99" s="184" t="str">
        <f>IF('Option 1'!N99="","",'Option 1'!N99)</f>
        <v/>
      </c>
      <c r="O99" s="184" t="str">
        <f>IF('Option 1'!O99="","",'Option 1'!O99)</f>
        <v/>
      </c>
      <c r="P99" s="124">
        <f t="shared" si="17"/>
        <v>6326</v>
      </c>
    </row>
    <row r="100" spans="1:16" ht="15.75" customHeight="1" x14ac:dyDescent="0.25">
      <c r="A100" s="239"/>
      <c r="B100" s="4" t="str">
        <f>IF('Option 1'!B100="","",'Option 1'!B100)</f>
        <v/>
      </c>
      <c r="C100" s="188" t="str">
        <f>IF('Option 1'!C100="","",'Option 1'!C100)</f>
        <v>Ceramic Tile (Clubhouse)</v>
      </c>
      <c r="D100" s="183" t="str">
        <f>IF('Option 1'!D100="","",'Option 1'!D100)</f>
        <v/>
      </c>
      <c r="E100" s="184" t="str">
        <f>IF('Option 1'!E100="","",'Option 1'!E100)</f>
        <v/>
      </c>
      <c r="F100" s="184" t="str">
        <f>IF('Option 1'!F100="","",'Option 1'!F100)</f>
        <v/>
      </c>
      <c r="G100" s="184" t="str">
        <f>IF('Option 1'!G100="","",'Option 1'!G100)</f>
        <v/>
      </c>
      <c r="H100" s="184" t="str">
        <f>IF('Option 1'!H100="","",'Option 1'!H100)</f>
        <v/>
      </c>
      <c r="I100" s="184" t="str">
        <f>IF('Option 1'!I100="","",'Option 1'!I100)</f>
        <v/>
      </c>
      <c r="J100" s="184" t="str">
        <f>IF('Option 1'!J100="","",'Option 1'!J100)</f>
        <v/>
      </c>
      <c r="K100" s="184" t="str">
        <f>IF('Option 1'!K100="","",'Option 1'!K100)</f>
        <v/>
      </c>
      <c r="L100" s="184" t="str">
        <f>IF('Option 1'!L100="","",'Option 1'!L100)</f>
        <v/>
      </c>
      <c r="M100" s="184" t="str">
        <f>IF('Option 1'!M100="","",'Option 1'!M100)</f>
        <v/>
      </c>
      <c r="N100" s="184" t="str">
        <f>IF('Option 1'!N100="","",'Option 1'!N100)</f>
        <v/>
      </c>
      <c r="O100" s="184" t="str">
        <f>IF('Option 1'!O100="","",'Option 1'!O100)</f>
        <v/>
      </c>
      <c r="P100" s="124">
        <f t="shared" si="17"/>
        <v>0</v>
      </c>
    </row>
    <row r="101" spans="1:16" ht="15.75" customHeight="1" x14ac:dyDescent="0.25">
      <c r="A101" s="239"/>
      <c r="B101" s="4" t="str">
        <f>IF('Option 1'!B101="","",'Option 1'!B101)</f>
        <v/>
      </c>
      <c r="C101" s="188" t="str">
        <f>IF('Option 1'!C101="","",'Option 1'!C101)</f>
        <v>Toilet Partitions</v>
      </c>
      <c r="D101" s="183" t="str">
        <f>IF('Option 1'!D101="","",'Option 1'!D101)</f>
        <v/>
      </c>
      <c r="E101" s="184" t="str">
        <f>IF('Option 1'!E101="","",'Option 1'!E101)</f>
        <v/>
      </c>
      <c r="F101" s="184" t="str">
        <f>IF('Option 1'!F101="","",'Option 1'!F101)</f>
        <v/>
      </c>
      <c r="G101" s="184" t="str">
        <f>IF('Option 1'!G101="","",'Option 1'!G101)</f>
        <v/>
      </c>
      <c r="H101" s="184" t="str">
        <f>IF('Option 1'!H101="","",'Option 1'!H101)</f>
        <v/>
      </c>
      <c r="I101" s="184">
        <f>IF('Option 1'!I101="","",'Option 1'!I101)</f>
        <v>2491</v>
      </c>
      <c r="J101" s="184" t="str">
        <f>IF('Option 1'!J101="","",'Option 1'!J101)</f>
        <v/>
      </c>
      <c r="K101" s="184" t="str">
        <f>IF('Option 1'!K101="","",'Option 1'!K101)</f>
        <v/>
      </c>
      <c r="L101" s="184" t="str">
        <f>IF('Option 1'!L101="","",'Option 1'!L101)</f>
        <v/>
      </c>
      <c r="M101" s="184" t="str">
        <f>IF('Option 1'!M101="","",'Option 1'!M101)</f>
        <v/>
      </c>
      <c r="N101" s="184" t="str">
        <f>IF('Option 1'!N101="","",'Option 1'!N101)</f>
        <v/>
      </c>
      <c r="O101" s="184" t="str">
        <f>IF('Option 1'!O101="","",'Option 1'!O101)</f>
        <v/>
      </c>
      <c r="P101" s="124">
        <f t="shared" si="17"/>
        <v>2491</v>
      </c>
    </row>
    <row r="102" spans="1:16" ht="15.75" customHeight="1" x14ac:dyDescent="0.25">
      <c r="A102" s="239"/>
      <c r="B102" s="4" t="str">
        <f>IF('Option 1'!B102="","",'Option 1'!B102)</f>
        <v/>
      </c>
      <c r="C102" s="188" t="str">
        <f>IF('Option 1'!C102="","",'Option 1'!C102)</f>
        <v>Showers</v>
      </c>
      <c r="D102" s="183">
        <f>IF('Option 1'!D102="","",'Option 1'!D102)</f>
        <v>5536</v>
      </c>
      <c r="E102" s="184" t="str">
        <f>IF('Option 1'!E102="","",'Option 1'!E102)</f>
        <v/>
      </c>
      <c r="F102" s="184" t="str">
        <f>IF('Option 1'!F102="","",'Option 1'!F102)</f>
        <v/>
      </c>
      <c r="G102" s="184" t="str">
        <f>IF('Option 1'!G102="","",'Option 1'!G102)</f>
        <v/>
      </c>
      <c r="H102" s="184" t="str">
        <f>IF('Option 1'!H102="","",'Option 1'!H102)</f>
        <v/>
      </c>
      <c r="I102" s="184" t="str">
        <f>IF('Option 1'!I102="","",'Option 1'!I102)</f>
        <v/>
      </c>
      <c r="J102" s="184" t="str">
        <f>IF('Option 1'!J102="","",'Option 1'!J102)</f>
        <v/>
      </c>
      <c r="K102" s="184" t="str">
        <f>IF('Option 1'!K102="","",'Option 1'!K102)</f>
        <v/>
      </c>
      <c r="L102" s="184" t="str">
        <f>IF('Option 1'!L102="","",'Option 1'!L102)</f>
        <v/>
      </c>
      <c r="M102" s="184" t="str">
        <f>IF('Option 1'!M102="","",'Option 1'!M102)</f>
        <v/>
      </c>
      <c r="N102" s="184" t="str">
        <f>IF('Option 1'!N102="","",'Option 1'!N102)</f>
        <v/>
      </c>
      <c r="O102" s="184" t="str">
        <f>IF('Option 1'!O102="","",'Option 1'!O102)</f>
        <v/>
      </c>
      <c r="P102" s="124">
        <f t="shared" si="17"/>
        <v>5536</v>
      </c>
    </row>
    <row r="103" spans="1:16" ht="15.75" customHeight="1" x14ac:dyDescent="0.25">
      <c r="A103" s="239"/>
      <c r="B103" s="4" t="str">
        <f>IF('Option 1'!B103="","",'Option 1'!B103)</f>
        <v/>
      </c>
      <c r="C103" s="188" t="str">
        <f>IF('Option 1'!C103="","",'Option 1'!C103)</f>
        <v>Saunas</v>
      </c>
      <c r="D103" s="183" t="str">
        <f>IF('Option 1'!D103="","",'Option 1'!D103)</f>
        <v/>
      </c>
      <c r="E103" s="184" t="str">
        <f>IF('Option 1'!E103="","",'Option 1'!E103)</f>
        <v/>
      </c>
      <c r="F103" s="184" t="str">
        <f>IF('Option 1'!F103="","",'Option 1'!F103)</f>
        <v/>
      </c>
      <c r="G103" s="184" t="str">
        <f>IF('Option 1'!G103="","",'Option 1'!G103)</f>
        <v/>
      </c>
      <c r="H103" s="184">
        <f>IF('Option 1'!H103="","",'Option 1'!H103)</f>
        <v>30445</v>
      </c>
      <c r="I103" s="184" t="str">
        <f>IF('Option 1'!I103="","",'Option 1'!I103)</f>
        <v/>
      </c>
      <c r="J103" s="184" t="str">
        <f>IF('Option 1'!J103="","",'Option 1'!J103)</f>
        <v/>
      </c>
      <c r="K103" s="184" t="str">
        <f>IF('Option 1'!K103="","",'Option 1'!K103)</f>
        <v/>
      </c>
      <c r="L103" s="184" t="str">
        <f>IF('Option 1'!L103="","",'Option 1'!L103)</f>
        <v/>
      </c>
      <c r="M103" s="184" t="str">
        <f>IF('Option 1'!M103="","",'Option 1'!M103)</f>
        <v/>
      </c>
      <c r="N103" s="184" t="str">
        <f>IF('Option 1'!N103="","",'Option 1'!N103)</f>
        <v/>
      </c>
      <c r="O103" s="184" t="str">
        <f>IF('Option 1'!O103="","",'Option 1'!O103)</f>
        <v/>
      </c>
      <c r="P103" s="124">
        <f t="shared" si="17"/>
        <v>30445</v>
      </c>
    </row>
    <row r="104" spans="1:16" ht="15.75" customHeight="1" x14ac:dyDescent="0.25">
      <c r="A104" s="239"/>
      <c r="B104" s="4" t="str">
        <f>IF('Option 1'!B104="","",'Option 1'!B104)</f>
        <v/>
      </c>
      <c r="C104" s="188" t="str">
        <f>IF('Option 1'!C104="","",'Option 1'!C104)</f>
        <v>Plumbing Fixtures</v>
      </c>
      <c r="D104" s="186">
        <f>IF('Option 1'!D104="","",'Option 1'!D104)</f>
        <v>19500</v>
      </c>
      <c r="E104" s="184" t="str">
        <f>IF('Option 1'!E104="","",'Option 1'!E104)</f>
        <v/>
      </c>
      <c r="F104" s="184">
        <f>IF('Option 1'!F104="","",'Option 1'!F104)</f>
        <v>3875</v>
      </c>
      <c r="G104" s="184" t="str">
        <f>IF('Option 1'!G104="","",'Option 1'!G104)</f>
        <v/>
      </c>
      <c r="H104" s="184" t="str">
        <f>IF('Option 1'!H104="","",'Option 1'!H104)</f>
        <v/>
      </c>
      <c r="I104" s="184" t="str">
        <f>IF('Option 1'!I104="","",'Option 1'!I104)</f>
        <v/>
      </c>
      <c r="J104" s="184" t="str">
        <f>IF('Option 1'!J104="","",'Option 1'!J104)</f>
        <v/>
      </c>
      <c r="K104" s="184" t="str">
        <f>IF('Option 1'!K104="","",'Option 1'!K104)</f>
        <v/>
      </c>
      <c r="L104" s="184" t="str">
        <f>IF('Option 1'!L104="","",'Option 1'!L104)</f>
        <v/>
      </c>
      <c r="M104" s="184" t="str">
        <f>IF('Option 1'!M104="","",'Option 1'!M104)</f>
        <v/>
      </c>
      <c r="N104" s="184" t="str">
        <f>IF('Option 1'!N104="","",'Option 1'!N104)</f>
        <v/>
      </c>
      <c r="O104" s="184" t="str">
        <f>IF('Option 1'!O104="","",'Option 1'!O104)</f>
        <v/>
      </c>
      <c r="P104" s="124">
        <f t="shared" si="17"/>
        <v>23375</v>
      </c>
    </row>
    <row r="105" spans="1:16" ht="15.75" customHeight="1" x14ac:dyDescent="0.25">
      <c r="A105" s="239"/>
      <c r="B105" s="4" t="str">
        <f>IF('Option 1'!B105="","",'Option 1'!B105)</f>
        <v/>
      </c>
      <c r="C105" s="188" t="str">
        <f>IF('Option 1'!C105="","",'Option 1'!C105)</f>
        <v>Interior Passage Doors</v>
      </c>
      <c r="D105" s="186" t="str">
        <f>IF('Option 1'!D105="","",'Option 1'!D105)</f>
        <v/>
      </c>
      <c r="E105" s="184" t="str">
        <f>IF('Option 1'!E105="","",'Option 1'!E105)</f>
        <v/>
      </c>
      <c r="F105" s="184" t="str">
        <f>IF('Option 1'!F105="","",'Option 1'!F105)</f>
        <v/>
      </c>
      <c r="G105" s="184" t="str">
        <f>IF('Option 1'!G105="","",'Option 1'!G105)</f>
        <v/>
      </c>
      <c r="H105" s="184">
        <f>IF('Option 1'!H105="","",'Option 1'!H105)</f>
        <v>3321</v>
      </c>
      <c r="I105" s="184" t="str">
        <f>IF('Option 1'!I105="","",'Option 1'!I105)</f>
        <v/>
      </c>
      <c r="J105" s="184" t="str">
        <f>IF('Option 1'!J105="","",'Option 1'!J105)</f>
        <v/>
      </c>
      <c r="K105" s="184" t="str">
        <f>IF('Option 1'!K105="","",'Option 1'!K105)</f>
        <v/>
      </c>
      <c r="L105" s="184" t="str">
        <f>IF('Option 1'!L105="","",'Option 1'!L105)</f>
        <v/>
      </c>
      <c r="M105" s="184" t="str">
        <f>IF('Option 1'!M105="","",'Option 1'!M105)</f>
        <v/>
      </c>
      <c r="N105" s="184" t="str">
        <f>IF('Option 1'!N105="","",'Option 1'!N105)</f>
        <v/>
      </c>
      <c r="O105" s="184" t="str">
        <f>IF('Option 1'!O105="","",'Option 1'!O105)</f>
        <v/>
      </c>
      <c r="P105" s="124">
        <f t="shared" si="17"/>
        <v>3321</v>
      </c>
    </row>
    <row r="106" spans="1:16" ht="15.75" customHeight="1" x14ac:dyDescent="0.25">
      <c r="A106" s="239"/>
      <c r="B106" s="4" t="str">
        <f>IF('Option 1'!B106="","",'Option 1'!B106)</f>
        <v/>
      </c>
      <c r="C106" s="188" t="str">
        <f>IF('Option 1'!C106="","",'Option 1'!C106)</f>
        <v>Closet Doors</v>
      </c>
      <c r="D106" s="186" t="str">
        <f>IF('Option 1'!D106="","",'Option 1'!D106)</f>
        <v/>
      </c>
      <c r="E106" s="184" t="str">
        <f>IF('Option 1'!E106="","",'Option 1'!E106)</f>
        <v/>
      </c>
      <c r="F106" s="184" t="str">
        <f>IF('Option 1'!F106="","",'Option 1'!F106)</f>
        <v/>
      </c>
      <c r="G106" s="184" t="str">
        <f>IF('Option 1'!G106="","",'Option 1'!G106)</f>
        <v/>
      </c>
      <c r="H106" s="184">
        <f>IF('Option 1'!H106="","",'Option 1'!H106)</f>
        <v>1245</v>
      </c>
      <c r="I106" s="184" t="str">
        <f>IF('Option 1'!I106="","",'Option 1'!I106)</f>
        <v/>
      </c>
      <c r="J106" s="184" t="str">
        <f>IF('Option 1'!J106="","",'Option 1'!J106)</f>
        <v/>
      </c>
      <c r="K106" s="184" t="str">
        <f>IF('Option 1'!K106="","",'Option 1'!K106)</f>
        <v/>
      </c>
      <c r="L106" s="184" t="str">
        <f>IF('Option 1'!L106="","",'Option 1'!L106)</f>
        <v/>
      </c>
      <c r="M106" s="184" t="str">
        <f>IF('Option 1'!M106="","",'Option 1'!M106)</f>
        <v/>
      </c>
      <c r="N106" s="184" t="str">
        <f>IF('Option 1'!N106="","",'Option 1'!N106)</f>
        <v/>
      </c>
      <c r="O106" s="184" t="str">
        <f>IF('Option 1'!O106="","",'Option 1'!O106)</f>
        <v/>
      </c>
      <c r="P106" s="124">
        <f t="shared" si="17"/>
        <v>1245</v>
      </c>
    </row>
    <row r="107" spans="1:16" ht="15.75" customHeight="1" x14ac:dyDescent="0.25">
      <c r="A107" s="239"/>
      <c r="B107" s="4" t="str">
        <f>IF('Option 1'!B107="","",'Option 1'!B107)</f>
        <v/>
      </c>
      <c r="C107" s="188" t="str">
        <f>IF('Option 1'!C107="","",'Option 1'!C107)</f>
        <v>Appliances</v>
      </c>
      <c r="D107" s="186" t="str">
        <f>IF('Option 1'!D107="","",'Option 1'!D107)</f>
        <v/>
      </c>
      <c r="E107" s="184" t="str">
        <f>IF('Option 1'!E107="","",'Option 1'!E107)</f>
        <v/>
      </c>
      <c r="F107" s="184" t="str">
        <f>IF('Option 1'!F107="","",'Option 1'!F107)</f>
        <v/>
      </c>
      <c r="G107" s="184" t="str">
        <f>IF('Option 1'!G107="","",'Option 1'!G107)</f>
        <v/>
      </c>
      <c r="H107" s="184" t="str">
        <f>IF('Option 1'!H107="","",'Option 1'!H107)</f>
        <v/>
      </c>
      <c r="I107" s="184" t="str">
        <f>IF('Option 1'!I107="","",'Option 1'!I107)</f>
        <v/>
      </c>
      <c r="J107" s="184" t="str">
        <f>IF('Option 1'!J107="","",'Option 1'!J107)</f>
        <v/>
      </c>
      <c r="K107" s="184" t="str">
        <f>IF('Option 1'!K107="","",'Option 1'!K107)</f>
        <v/>
      </c>
      <c r="L107" s="184" t="str">
        <f>IF('Option 1'!L107="","",'Option 1'!L107)</f>
        <v/>
      </c>
      <c r="M107" s="184" t="str">
        <f>IF('Option 1'!M107="","",'Option 1'!M107)</f>
        <v/>
      </c>
      <c r="N107" s="184" t="str">
        <f>IF('Option 1'!N107="","",'Option 1'!N107)</f>
        <v/>
      </c>
      <c r="O107" s="184" t="str">
        <f>IF('Option 1'!O107="","",'Option 1'!O107)</f>
        <v/>
      </c>
      <c r="P107" s="124">
        <f t="shared" si="17"/>
        <v>0</v>
      </c>
    </row>
    <row r="108" spans="1:16" ht="15.75" customHeight="1" x14ac:dyDescent="0.25">
      <c r="A108" s="239"/>
      <c r="B108" s="4" t="str">
        <f>IF('Option 1'!B108="","",'Option 1'!B108)</f>
        <v/>
      </c>
      <c r="C108" s="188" t="str">
        <f>IF('Option 1'!C108="","",'Option 1'!C108)</f>
        <v>Exercise Equipment</v>
      </c>
      <c r="D108" s="186">
        <f>IF('Option 1'!D108="","",'Option 1'!D108)</f>
        <v>167</v>
      </c>
      <c r="E108" s="184" t="str">
        <f>IF('Option 1'!E108="","",'Option 1'!E108)</f>
        <v/>
      </c>
      <c r="F108" s="184" t="str">
        <f>IF('Option 1'!F108="","",'Option 1'!F108)</f>
        <v/>
      </c>
      <c r="G108" s="184" t="str">
        <f>IF('Option 1'!G108="","",'Option 1'!G108)</f>
        <v/>
      </c>
      <c r="H108" s="184" t="str">
        <f>IF('Option 1'!H108="","",'Option 1'!H108)</f>
        <v/>
      </c>
      <c r="I108" s="184" t="str">
        <f>IF('Option 1'!I108="","",'Option 1'!I108)</f>
        <v/>
      </c>
      <c r="J108" s="184" t="str">
        <f>IF('Option 1'!J108="","",'Option 1'!J108)</f>
        <v/>
      </c>
      <c r="K108" s="184" t="str">
        <f>IF('Option 1'!K108="","",'Option 1'!K108)</f>
        <v/>
      </c>
      <c r="L108" s="184" t="str">
        <f>IF('Option 1'!L108="","",'Option 1'!L108)</f>
        <v/>
      </c>
      <c r="M108" s="184" t="str">
        <f>IF('Option 1'!M108="","",'Option 1'!M108)</f>
        <v/>
      </c>
      <c r="N108" s="184" t="str">
        <f>IF('Option 1'!N108="","",'Option 1'!N108)</f>
        <v/>
      </c>
      <c r="O108" s="184" t="str">
        <f>IF('Option 1'!O108="","",'Option 1'!O108)</f>
        <v/>
      </c>
      <c r="P108" s="124">
        <f t="shared" si="17"/>
        <v>167</v>
      </c>
    </row>
    <row r="109" spans="1:16" ht="15.75" customHeight="1" x14ac:dyDescent="0.25">
      <c r="A109" s="239"/>
      <c r="B109" s="4" t="str">
        <f>IF('Option 1'!B109="","",'Option 1'!B109)</f>
        <v/>
      </c>
      <c r="C109" s="188" t="str">
        <f>IF('Option 1'!C109="","",'Option 1'!C109)</f>
        <v>Office Furniture and Equipment</v>
      </c>
      <c r="D109" s="186" t="str">
        <f>IF('Option 1'!D109="","",'Option 1'!D109)</f>
        <v/>
      </c>
      <c r="E109" s="184" t="str">
        <f>IF('Option 1'!E109="","",'Option 1'!E109)</f>
        <v/>
      </c>
      <c r="F109" s="184" t="str">
        <f>IF('Option 1'!F109="","",'Option 1'!F109)</f>
        <v/>
      </c>
      <c r="G109" s="184" t="str">
        <f>IF('Option 1'!G109="","",'Option 1'!G109)</f>
        <v/>
      </c>
      <c r="H109" s="184" t="str">
        <f>IF('Option 1'!H109="","",'Option 1'!H109)</f>
        <v/>
      </c>
      <c r="I109" s="184" t="str">
        <f>IF('Option 1'!I109="","",'Option 1'!I109)</f>
        <v/>
      </c>
      <c r="J109" s="184" t="str">
        <f>IF('Option 1'!J109="","",'Option 1'!J109)</f>
        <v/>
      </c>
      <c r="K109" s="184" t="str">
        <f>IF('Option 1'!K109="","",'Option 1'!K109)</f>
        <v/>
      </c>
      <c r="L109" s="184" t="str">
        <f>IF('Option 1'!L109="","",'Option 1'!L109)</f>
        <v/>
      </c>
      <c r="M109" s="184" t="str">
        <f>IF('Option 1'!M109="","",'Option 1'!M109)</f>
        <v/>
      </c>
      <c r="N109" s="184" t="str">
        <f>IF('Option 1'!N109="","",'Option 1'!N109)</f>
        <v/>
      </c>
      <c r="O109" s="184" t="str">
        <f>IF('Option 1'!O109="","",'Option 1'!O109)</f>
        <v/>
      </c>
      <c r="P109" s="124">
        <f t="shared" si="17"/>
        <v>0</v>
      </c>
    </row>
    <row r="110" spans="1:16" ht="15.75" customHeight="1" x14ac:dyDescent="0.25">
      <c r="A110" s="239"/>
      <c r="B110" s="4" t="str">
        <f>IF('Option 1'!B110="","",'Option 1'!B110)</f>
        <v/>
      </c>
      <c r="C110" s="188" t="str">
        <f>IF('Option 1'!C110="","",'Option 1'!C110)</f>
        <v>Common Double Doors</v>
      </c>
      <c r="D110" s="186" t="str">
        <f>IF('Option 1'!D110="","",'Option 1'!D110)</f>
        <v/>
      </c>
      <c r="E110" s="184" t="str">
        <f>IF('Option 1'!E110="","",'Option 1'!E110)</f>
        <v/>
      </c>
      <c r="F110" s="184" t="str">
        <f>IF('Option 1'!F110="","",'Option 1'!F110)</f>
        <v/>
      </c>
      <c r="G110" s="184" t="str">
        <f>IF('Option 1'!G110="","",'Option 1'!G110)</f>
        <v/>
      </c>
      <c r="H110" s="184">
        <f>IF('Option 1'!H110="","",'Option 1'!H110)</f>
        <v>92028</v>
      </c>
      <c r="I110" s="184" t="str">
        <f>IF('Option 1'!I110="","",'Option 1'!I110)</f>
        <v/>
      </c>
      <c r="J110" s="184" t="str">
        <f>IF('Option 1'!J110="","",'Option 1'!J110)</f>
        <v/>
      </c>
      <c r="K110" s="184" t="str">
        <f>IF('Option 1'!K110="","",'Option 1'!K110)</f>
        <v/>
      </c>
      <c r="L110" s="184" t="str">
        <f>IF('Option 1'!L110="","",'Option 1'!L110)</f>
        <v/>
      </c>
      <c r="M110" s="184" t="str">
        <f>IF('Option 1'!M110="","",'Option 1'!M110)</f>
        <v/>
      </c>
      <c r="N110" s="184" t="str">
        <f>IF('Option 1'!N110="","",'Option 1'!N110)</f>
        <v/>
      </c>
      <c r="O110" s="184" t="str">
        <f>IF('Option 1'!O110="","",'Option 1'!O110)</f>
        <v/>
      </c>
      <c r="P110" s="124">
        <f t="shared" si="17"/>
        <v>92028</v>
      </c>
    </row>
    <row r="111" spans="1:16" ht="15.75" customHeight="1" x14ac:dyDescent="0.25">
      <c r="A111" s="239"/>
      <c r="B111" s="4" t="str">
        <f>IF('Option 1'!B111="","",'Option 1'!B111)</f>
        <v/>
      </c>
      <c r="C111" s="188" t="str">
        <f>IF('Option 1'!C111="","",'Option 1'!C111)</f>
        <v>Common Single Doors</v>
      </c>
      <c r="D111" s="186" t="str">
        <f>IF('Option 1'!D111="","",'Option 1'!D111)</f>
        <v/>
      </c>
      <c r="E111" s="184" t="str">
        <f>IF('Option 1'!E111="","",'Option 1'!E111)</f>
        <v/>
      </c>
      <c r="F111" s="184" t="str">
        <f>IF('Option 1'!F111="","",'Option 1'!F111)</f>
        <v/>
      </c>
      <c r="G111" s="184" t="str">
        <f>IF('Option 1'!G111="","",'Option 1'!G111)</f>
        <v/>
      </c>
      <c r="H111" s="184">
        <f>IF('Option 1'!H111="","",'Option 1'!H111)</f>
        <v>345969</v>
      </c>
      <c r="I111" s="184" t="str">
        <f>IF('Option 1'!I111="","",'Option 1'!I111)</f>
        <v/>
      </c>
      <c r="J111" s="184" t="str">
        <f>IF('Option 1'!J111="","",'Option 1'!J111)</f>
        <v/>
      </c>
      <c r="K111" s="184" t="str">
        <f>IF('Option 1'!K111="","",'Option 1'!K111)</f>
        <v/>
      </c>
      <c r="L111" s="184" t="str">
        <f>IF('Option 1'!L111="","",'Option 1'!L111)</f>
        <v/>
      </c>
      <c r="M111" s="184" t="str">
        <f>IF('Option 1'!M111="","",'Option 1'!M111)</f>
        <v/>
      </c>
      <c r="N111" s="184" t="str">
        <f>IF('Option 1'!N111="","",'Option 1'!N111)</f>
        <v/>
      </c>
      <c r="O111" s="184" t="str">
        <f>IF('Option 1'!O111="","",'Option 1'!O111)</f>
        <v/>
      </c>
      <c r="P111" s="124">
        <f t="shared" si="17"/>
        <v>345969</v>
      </c>
    </row>
    <row r="112" spans="1:16" ht="15.75" customHeight="1" x14ac:dyDescent="0.25">
      <c r="A112" s="239"/>
      <c r="B112" s="4" t="str">
        <f>IF('Option 1'!B112="","",'Option 1'!B112)</f>
        <v/>
      </c>
      <c r="C112" s="3" t="str">
        <f>IF('Option 1'!C112="","",'Option 1'!C112)</f>
        <v>Exterior Finishes Elements</v>
      </c>
      <c r="D112" s="186" t="str">
        <f>IF('Option 1'!D112="","",'Option 1'!D112)</f>
        <v/>
      </c>
      <c r="E112" s="184" t="str">
        <f>IF('Option 1'!E112="","",'Option 1'!E112)</f>
        <v/>
      </c>
      <c r="F112" s="184" t="str">
        <f>IF('Option 1'!F112="","",'Option 1'!F112)</f>
        <v/>
      </c>
      <c r="G112" s="184" t="str">
        <f>IF('Option 1'!G112="","",'Option 1'!G112)</f>
        <v/>
      </c>
      <c r="H112" s="184" t="str">
        <f>IF('Option 1'!H112="","",'Option 1'!H112)</f>
        <v/>
      </c>
      <c r="I112" s="184" t="str">
        <f>IF('Option 1'!I112="","",'Option 1'!I112)</f>
        <v/>
      </c>
      <c r="J112" s="184" t="str">
        <f>IF('Option 1'!J112="","",'Option 1'!J112)</f>
        <v/>
      </c>
      <c r="K112" s="184" t="str">
        <f>IF('Option 1'!K112="","",'Option 1'!K112)</f>
        <v/>
      </c>
      <c r="L112" s="184" t="str">
        <f>IF('Option 1'!L112="","",'Option 1'!L112)</f>
        <v/>
      </c>
      <c r="M112" s="184" t="str">
        <f>IF('Option 1'!M112="","",'Option 1'!M112)</f>
        <v/>
      </c>
      <c r="N112" s="184" t="str">
        <f>IF('Option 1'!N112="","",'Option 1'!N112)</f>
        <v/>
      </c>
      <c r="O112" s="184" t="str">
        <f>IF('Option 1'!O112="","",'Option 1'!O112)</f>
        <v/>
      </c>
      <c r="P112" s="124">
        <f t="shared" si="17"/>
        <v>0</v>
      </c>
    </row>
    <row r="113" spans="1:16" ht="15.75" customHeight="1" x14ac:dyDescent="0.25">
      <c r="A113" s="239"/>
      <c r="B113" s="4" t="str">
        <f>IF('Option 1'!B113="","",'Option 1'!B113)</f>
        <v/>
      </c>
      <c r="C113" s="188" t="str">
        <f>IF('Option 1'!C113="","",'Option 1'!C113)</f>
        <v>Concrete Garage Door Headers (1405 A &amp; B, 1615 B, 1505 A &amp; B, 1515 A &amp; B, &amp; 1605 A &amp; B Wings)</v>
      </c>
      <c r="D113" s="186" t="str">
        <f>IF('Option 1'!D113="","",'Option 1'!D113)</f>
        <v/>
      </c>
      <c r="E113" s="184">
        <f>IF('Option 1'!E113="","",'Option 1'!E113)</f>
        <v>85000</v>
      </c>
      <c r="F113" s="184">
        <f>IF('Option 1'!F113="","",'Option 1'!F113)</f>
        <v>85000</v>
      </c>
      <c r="G113" s="184">
        <f>IF('Option 1'!G113="","",'Option 1'!G113)</f>
        <v>85000</v>
      </c>
      <c r="H113" s="184" t="str">
        <f>IF('Option 1'!H113="","",'Option 1'!H113)</f>
        <v/>
      </c>
      <c r="I113" s="184" t="str">
        <f>IF('Option 1'!I113="","",'Option 1'!I113)</f>
        <v/>
      </c>
      <c r="J113" s="184" t="str">
        <f>IF('Option 1'!J113="","",'Option 1'!J113)</f>
        <v/>
      </c>
      <c r="K113" s="184" t="str">
        <f>IF('Option 1'!K113="","",'Option 1'!K113)</f>
        <v/>
      </c>
      <c r="L113" s="184" t="str">
        <f>IF('Option 1'!L113="","",'Option 1'!L113)</f>
        <v/>
      </c>
      <c r="M113" s="184">
        <f>IF('Option 1'!M113="","",'Option 1'!M113)</f>
        <v>418500</v>
      </c>
      <c r="N113" s="184" t="str">
        <f>IF('Option 1'!N113="","",'Option 1'!N113)</f>
        <v/>
      </c>
      <c r="O113" s="184" t="str">
        <f>IF('Option 1'!O113="","",'Option 1'!O113)</f>
        <v/>
      </c>
      <c r="P113" s="124">
        <f t="shared" si="17"/>
        <v>673500</v>
      </c>
    </row>
    <row r="114" spans="1:16" ht="15.75" customHeight="1" x14ac:dyDescent="0.25">
      <c r="A114" s="239"/>
      <c r="B114" s="4" t="str">
        <f>IF('Option 1'!B114="","",'Option 1'!B114)</f>
        <v/>
      </c>
      <c r="C114" s="188" t="str">
        <f>IF('Option 1'!C114="","",'Option 1'!C114)</f>
        <v>Concrete Garage Door Headers (1415 A &amp; 1615 A Wings)</v>
      </c>
      <c r="D114" s="186" t="str">
        <f>IF('Option 1'!D114="","",'Option 1'!D114)</f>
        <v/>
      </c>
      <c r="E114" s="184" t="str">
        <f>IF('Option 1'!E114="","",'Option 1'!E114)</f>
        <v/>
      </c>
      <c r="F114" s="184" t="str">
        <f>IF('Option 1'!F114="","",'Option 1'!F114)</f>
        <v/>
      </c>
      <c r="G114" s="184" t="str">
        <f>IF('Option 1'!G114="","",'Option 1'!G114)</f>
        <v/>
      </c>
      <c r="H114" s="184" t="str">
        <f>IF('Option 1'!H114="","",'Option 1'!H114)</f>
        <v/>
      </c>
      <c r="I114" s="184" t="str">
        <f>IF('Option 1'!I114="","",'Option 1'!I114)</f>
        <v/>
      </c>
      <c r="J114" s="184" t="str">
        <f>IF('Option 1'!J114="","",'Option 1'!J114)</f>
        <v/>
      </c>
      <c r="K114" s="184" t="str">
        <f>IF('Option 1'!K114="","",'Option 1'!K114)</f>
        <v/>
      </c>
      <c r="L114" s="184" t="str">
        <f>IF('Option 1'!L114="","",'Option 1'!L114)</f>
        <v/>
      </c>
      <c r="M114" s="184" t="str">
        <f>IF('Option 1'!M114="","",'Option 1'!M114)</f>
        <v/>
      </c>
      <c r="N114" s="184" t="str">
        <f>IF('Option 1'!N114="","",'Option 1'!N114)</f>
        <v/>
      </c>
      <c r="O114" s="184" t="str">
        <f>IF('Option 1'!O114="","",'Option 1'!O114)</f>
        <v/>
      </c>
      <c r="P114" s="124">
        <f t="shared" si="17"/>
        <v>0</v>
      </c>
    </row>
    <row r="115" spans="1:16" ht="15.75" customHeight="1" x14ac:dyDescent="0.25">
      <c r="A115" s="239"/>
      <c r="B115" s="4" t="str">
        <f>IF('Option 1'!B115="","",'Option 1'!B115)</f>
        <v/>
      </c>
      <c r="C115" s="188" t="str">
        <f>IF('Option 1'!C115="","",'Option 1'!C115)</f>
        <v>Concrete Garage Door Header (1415 B Wing)</v>
      </c>
      <c r="D115" s="186" t="str">
        <f>IF('Option 1'!D115="","",'Option 1'!D115)</f>
        <v/>
      </c>
      <c r="E115" s="184" t="str">
        <f>IF('Option 1'!E115="","",'Option 1'!E115)</f>
        <v/>
      </c>
      <c r="F115" s="184" t="str">
        <f>IF('Option 1'!F115="","",'Option 1'!F115)</f>
        <v/>
      </c>
      <c r="G115" s="184" t="str">
        <f>IF('Option 1'!G115="","",'Option 1'!G115)</f>
        <v/>
      </c>
      <c r="H115" s="184" t="str">
        <f>IF('Option 1'!H115="","",'Option 1'!H115)</f>
        <v/>
      </c>
      <c r="I115" s="184" t="str">
        <f>IF('Option 1'!I115="","",'Option 1'!I115)</f>
        <v/>
      </c>
      <c r="J115" s="184" t="str">
        <f>IF('Option 1'!J115="","",'Option 1'!J115)</f>
        <v/>
      </c>
      <c r="K115" s="184" t="str">
        <f>IF('Option 1'!K115="","",'Option 1'!K115)</f>
        <v/>
      </c>
      <c r="L115" s="184" t="str">
        <f>IF('Option 1'!L115="","",'Option 1'!L115)</f>
        <v/>
      </c>
      <c r="M115" s="184" t="str">
        <f>IF('Option 1'!M115="","",'Option 1'!M115)</f>
        <v/>
      </c>
      <c r="N115" s="184" t="str">
        <f>IF('Option 1'!N115="","",'Option 1'!N115)</f>
        <v/>
      </c>
      <c r="O115" s="184" t="str">
        <f>IF('Option 1'!O115="","",'Option 1'!O115)</f>
        <v/>
      </c>
      <c r="P115" s="124">
        <f t="shared" si="17"/>
        <v>0</v>
      </c>
    </row>
    <row r="116" spans="1:16" ht="15.75" customHeight="1" x14ac:dyDescent="0.25">
      <c r="A116" s="239"/>
      <c r="B116" s="4" t="str">
        <f>IF('Option 1'!B116="","",'Option 1'!B116)</f>
        <v/>
      </c>
      <c r="C116" s="188" t="str">
        <f>IF('Option 1'!C116="","",'Option 1'!C116)</f>
        <v>Front Entry Railings (Bldgs. 1405, 1505, 1515, 1605, &amp; 1615)</v>
      </c>
      <c r="D116" s="186" t="str">
        <f>IF('Option 1'!D116="","",'Option 1'!D116)</f>
        <v/>
      </c>
      <c r="E116" s="184" t="str">
        <f>IF('Option 1'!E116="","",'Option 1'!E116)</f>
        <v/>
      </c>
      <c r="F116" s="184" t="str">
        <f>IF('Option 1'!F116="","",'Option 1'!F116)</f>
        <v/>
      </c>
      <c r="G116" s="184" t="str">
        <f>IF('Option 1'!G116="","",'Option 1'!G116)</f>
        <v/>
      </c>
      <c r="H116" s="184" t="str">
        <f>IF('Option 1'!H116="","",'Option 1'!H116)</f>
        <v/>
      </c>
      <c r="I116" s="184" t="str">
        <f>IF('Option 1'!I116="","",'Option 1'!I116)</f>
        <v/>
      </c>
      <c r="J116" s="184" t="str">
        <f>IF('Option 1'!J116="","",'Option 1'!J116)</f>
        <v/>
      </c>
      <c r="K116" s="184" t="str">
        <f>IF('Option 1'!K116="","",'Option 1'!K116)</f>
        <v/>
      </c>
      <c r="L116" s="184" t="str">
        <f>IF('Option 1'!L116="","",'Option 1'!L116)</f>
        <v/>
      </c>
      <c r="M116" s="184" t="str">
        <f>IF('Option 1'!M116="","",'Option 1'!M116)</f>
        <v/>
      </c>
      <c r="N116" s="184" t="str">
        <f>IF('Option 1'!N116="","",'Option 1'!N116)</f>
        <v/>
      </c>
      <c r="O116" s="184" t="str">
        <f>IF('Option 1'!O116="","",'Option 1'!O116)</f>
        <v/>
      </c>
      <c r="P116" s="124">
        <f t="shared" si="17"/>
        <v>0</v>
      </c>
    </row>
    <row r="117" spans="1:16" ht="15.75" customHeight="1" x14ac:dyDescent="0.25">
      <c r="A117" s="239"/>
      <c r="B117" s="4" t="str">
        <f>IF('Option 1'!B117="","",'Option 1'!B117)</f>
        <v/>
      </c>
      <c r="C117" s="188" t="str">
        <f>IF('Option 1'!C117="","",'Option 1'!C117)</f>
        <v>Front Entry Railings (Bldg. 1415)</v>
      </c>
      <c r="D117" s="186" t="str">
        <f>IF('Option 1'!D117="","",'Option 1'!D117)</f>
        <v/>
      </c>
      <c r="E117" s="184" t="str">
        <f>IF('Option 1'!E117="","",'Option 1'!E117)</f>
        <v/>
      </c>
      <c r="F117" s="184" t="str">
        <f>IF('Option 1'!F117="","",'Option 1'!F117)</f>
        <v/>
      </c>
      <c r="G117" s="184" t="str">
        <f>IF('Option 1'!G117="","",'Option 1'!G117)</f>
        <v/>
      </c>
      <c r="H117" s="184" t="str">
        <f>IF('Option 1'!H117="","",'Option 1'!H117)</f>
        <v/>
      </c>
      <c r="I117" s="184" t="str">
        <f>IF('Option 1'!I117="","",'Option 1'!I117)</f>
        <v/>
      </c>
      <c r="J117" s="184" t="str">
        <f>IF('Option 1'!J117="","",'Option 1'!J117)</f>
        <v/>
      </c>
      <c r="K117" s="184" t="str">
        <f>IF('Option 1'!K117="","",'Option 1'!K117)</f>
        <v/>
      </c>
      <c r="L117" s="184" t="str">
        <f>IF('Option 1'!L117="","",'Option 1'!L117)</f>
        <v/>
      </c>
      <c r="M117" s="184" t="str">
        <f>IF('Option 1'!M117="","",'Option 1'!M117)</f>
        <v/>
      </c>
      <c r="N117" s="184" t="str">
        <f>IF('Option 1'!N117="","",'Option 1'!N117)</f>
        <v/>
      </c>
      <c r="O117" s="184" t="str">
        <f>IF('Option 1'!O117="","",'Option 1'!O117)</f>
        <v/>
      </c>
      <c r="P117" s="124">
        <f t="shared" si="17"/>
        <v>0</v>
      </c>
    </row>
    <row r="118" spans="1:16" ht="15.75" customHeight="1" x14ac:dyDescent="0.25">
      <c r="A118" s="239"/>
      <c r="B118" s="4" t="str">
        <f>IF('Option 1'!B118="","",'Option 1'!B118)</f>
        <v/>
      </c>
      <c r="C118" s="188" t="str">
        <f>IF('Option 1'!C118="","",'Option 1'!C118)</f>
        <v>Sidewalk Hand Railings</v>
      </c>
      <c r="D118" s="186" t="str">
        <f>IF('Option 1'!D118="","",'Option 1'!D118)</f>
        <v/>
      </c>
      <c r="E118" s="184" t="str">
        <f>IF('Option 1'!E118="","",'Option 1'!E118)</f>
        <v/>
      </c>
      <c r="F118" s="184" t="str">
        <f>IF('Option 1'!F118="","",'Option 1'!F118)</f>
        <v/>
      </c>
      <c r="G118" s="184" t="str">
        <f>IF('Option 1'!G118="","",'Option 1'!G118)</f>
        <v/>
      </c>
      <c r="H118" s="184">
        <f>IF('Option 1'!H118="","",'Option 1'!H118)</f>
        <v>23339</v>
      </c>
      <c r="I118" s="184" t="str">
        <f>IF('Option 1'!I118="","",'Option 1'!I118)</f>
        <v/>
      </c>
      <c r="J118" s="184" t="str">
        <f>IF('Option 1'!J118="","",'Option 1'!J118)</f>
        <v/>
      </c>
      <c r="K118" s="184" t="str">
        <f>IF('Option 1'!K118="","",'Option 1'!K118)</f>
        <v/>
      </c>
      <c r="L118" s="184" t="str">
        <f>IF('Option 1'!L118="","",'Option 1'!L118)</f>
        <v/>
      </c>
      <c r="M118" s="184" t="str">
        <f>IF('Option 1'!M118="","",'Option 1'!M118)</f>
        <v/>
      </c>
      <c r="N118" s="184" t="str">
        <f>IF('Option 1'!N118="","",'Option 1'!N118)</f>
        <v/>
      </c>
      <c r="O118" s="184" t="str">
        <f>IF('Option 1'!O118="","",'Option 1'!O118)</f>
        <v/>
      </c>
      <c r="P118" s="124">
        <f t="shared" si="17"/>
        <v>23339</v>
      </c>
    </row>
    <row r="119" spans="1:16" ht="15.75" customHeight="1" x14ac:dyDescent="0.25">
      <c r="A119" s="239"/>
      <c r="B119" s="4" t="str">
        <f>IF('Option 1'!B119="","",'Option 1'!B119)</f>
        <v/>
      </c>
      <c r="C119" s="188" t="str">
        <f>IF('Option 1'!C119="","",'Option 1'!C119)</f>
        <v>Brick Tuckpointing (Bldg. 1405)</v>
      </c>
      <c r="D119" s="186" t="str">
        <f>IF('Option 1'!D119="","",'Option 1'!D119)</f>
        <v/>
      </c>
      <c r="E119" s="184" t="str">
        <f>IF('Option 1'!E119="","",'Option 1'!E119)</f>
        <v/>
      </c>
      <c r="F119" s="184" t="str">
        <f>IF('Option 1'!F119="","",'Option 1'!F119)</f>
        <v/>
      </c>
      <c r="G119" s="184" t="str">
        <f>IF('Option 1'!G119="","",'Option 1'!G119)</f>
        <v/>
      </c>
      <c r="H119" s="184" t="str">
        <f>IF('Option 1'!H119="","",'Option 1'!H119)</f>
        <v/>
      </c>
      <c r="I119" s="184" t="str">
        <f>IF('Option 1'!I119="","",'Option 1'!I119)</f>
        <v/>
      </c>
      <c r="J119" s="184" t="str">
        <f>IF('Option 1'!J119="","",'Option 1'!J119)</f>
        <v/>
      </c>
      <c r="K119" s="184" t="str">
        <f>IF('Option 1'!K119="","",'Option 1'!K119)</f>
        <v/>
      </c>
      <c r="L119" s="184">
        <f>IF('Option 1'!L119="","",'Option 1'!L119)</f>
        <v>132825</v>
      </c>
      <c r="M119" s="184" t="str">
        <f>IF('Option 1'!M119="","",'Option 1'!M119)</f>
        <v/>
      </c>
      <c r="N119" s="184" t="str">
        <f>IF('Option 1'!N119="","",'Option 1'!N119)</f>
        <v/>
      </c>
      <c r="O119" s="184" t="str">
        <f>IF('Option 1'!O119="","",'Option 1'!O119)</f>
        <v/>
      </c>
      <c r="P119" s="124">
        <f t="shared" si="17"/>
        <v>132825</v>
      </c>
    </row>
    <row r="120" spans="1:16" ht="15.75" customHeight="1" x14ac:dyDescent="0.25">
      <c r="A120" s="239"/>
      <c r="B120" s="4" t="str">
        <f>IF('Option 1'!B120="","",'Option 1'!B120)</f>
        <v/>
      </c>
      <c r="C120" s="188" t="str">
        <f>IF('Option 1'!C120="","",'Option 1'!C120)</f>
        <v>Brick Tuckpointing (Bldg. 1415)</v>
      </c>
      <c r="D120" s="186" t="str">
        <f>IF('Option 1'!D120="","",'Option 1'!D120)</f>
        <v/>
      </c>
      <c r="E120" s="184" t="str">
        <f>IF('Option 1'!E120="","",'Option 1'!E120)</f>
        <v/>
      </c>
      <c r="F120" s="184" t="str">
        <f>IF('Option 1'!F120="","",'Option 1'!F120)</f>
        <v/>
      </c>
      <c r="G120" s="184" t="str">
        <f>IF('Option 1'!G120="","",'Option 1'!G120)</f>
        <v/>
      </c>
      <c r="H120" s="184" t="str">
        <f>IF('Option 1'!H120="","",'Option 1'!H120)</f>
        <v/>
      </c>
      <c r="I120" s="184" t="str">
        <f>IF('Option 1'!I120="","",'Option 1'!I120)</f>
        <v/>
      </c>
      <c r="J120" s="184" t="str">
        <f>IF('Option 1'!J120="","",'Option 1'!J120)</f>
        <v/>
      </c>
      <c r="K120" s="184" t="str">
        <f>IF('Option 1'!K120="","",'Option 1'!K120)</f>
        <v/>
      </c>
      <c r="L120" s="184" t="str">
        <f>IF('Option 1'!L120="","",'Option 1'!L120)</f>
        <v/>
      </c>
      <c r="M120" s="184">
        <f>IF('Option 1'!M120="","",'Option 1'!M120)</f>
        <v>132825</v>
      </c>
      <c r="N120" s="184" t="str">
        <f>IF('Option 1'!N120="","",'Option 1'!N120)</f>
        <v/>
      </c>
      <c r="O120" s="184" t="str">
        <f>IF('Option 1'!O120="","",'Option 1'!O120)</f>
        <v/>
      </c>
      <c r="P120" s="124">
        <f t="shared" si="17"/>
        <v>132825</v>
      </c>
    </row>
    <row r="121" spans="1:16" ht="15.75" customHeight="1" x14ac:dyDescent="0.25">
      <c r="A121" s="239"/>
      <c r="B121" s="4" t="str">
        <f>IF('Option 1'!B121="","",'Option 1'!B121)</f>
        <v/>
      </c>
      <c r="C121" s="188" t="str">
        <f>IF('Option 1'!C121="","",'Option 1'!C121)</f>
        <v>Brick Tuckpointing (Bldg. 1505)</v>
      </c>
      <c r="D121" s="186" t="str">
        <f>IF('Option 1'!D121="","",'Option 1'!D121)</f>
        <v/>
      </c>
      <c r="E121" s="184" t="str">
        <f>IF('Option 1'!E121="","",'Option 1'!E121)</f>
        <v/>
      </c>
      <c r="F121" s="184" t="str">
        <f>IF('Option 1'!F121="","",'Option 1'!F121)</f>
        <v/>
      </c>
      <c r="G121" s="184" t="str">
        <f>IF('Option 1'!G121="","",'Option 1'!G121)</f>
        <v/>
      </c>
      <c r="H121" s="184" t="str">
        <f>IF('Option 1'!H121="","",'Option 1'!H121)</f>
        <v/>
      </c>
      <c r="I121" s="184" t="str">
        <f>IF('Option 1'!I121="","",'Option 1'!I121)</f>
        <v/>
      </c>
      <c r="J121" s="184" t="str">
        <f>IF('Option 1'!J121="","",'Option 1'!J121)</f>
        <v/>
      </c>
      <c r="K121" s="184" t="str">
        <f>IF('Option 1'!K121="","",'Option 1'!K121)</f>
        <v/>
      </c>
      <c r="L121" s="184" t="str">
        <f>IF('Option 1'!L121="","",'Option 1'!L121)</f>
        <v/>
      </c>
      <c r="M121" s="184" t="str">
        <f>IF('Option 1'!M121="","",'Option 1'!M121)</f>
        <v/>
      </c>
      <c r="N121" s="184">
        <f>IF('Option 1'!N121="","",'Option 1'!N121)</f>
        <v>132825</v>
      </c>
      <c r="O121" s="184" t="str">
        <f>IF('Option 1'!O121="","",'Option 1'!O121)</f>
        <v/>
      </c>
      <c r="P121" s="124">
        <f t="shared" si="17"/>
        <v>132825</v>
      </c>
    </row>
    <row r="122" spans="1:16" ht="15.75" customHeight="1" x14ac:dyDescent="0.25">
      <c r="A122" s="239"/>
      <c r="B122" s="4" t="str">
        <f>IF('Option 1'!B122="","",'Option 1'!B122)</f>
        <v/>
      </c>
      <c r="C122" s="188" t="str">
        <f>IF('Option 1'!C122="","",'Option 1'!C122)</f>
        <v>Brick Tuckpointing (Bldg. 1515)</v>
      </c>
      <c r="D122" s="186" t="str">
        <f>IF('Option 1'!D122="","",'Option 1'!D122)</f>
        <v/>
      </c>
      <c r="E122" s="184" t="str">
        <f>IF('Option 1'!E122="","",'Option 1'!E122)</f>
        <v/>
      </c>
      <c r="F122" s="184" t="str">
        <f>IF('Option 1'!F122="","",'Option 1'!F122)</f>
        <v/>
      </c>
      <c r="G122" s="184" t="str">
        <f>IF('Option 1'!G122="","",'Option 1'!G122)</f>
        <v/>
      </c>
      <c r="H122" s="184" t="str">
        <f>IF('Option 1'!H122="","",'Option 1'!H122)</f>
        <v/>
      </c>
      <c r="I122" s="184" t="str">
        <f>IF('Option 1'!I122="","",'Option 1'!I122)</f>
        <v/>
      </c>
      <c r="J122" s="184" t="str">
        <f>IF('Option 1'!J122="","",'Option 1'!J122)</f>
        <v/>
      </c>
      <c r="K122" s="184" t="str">
        <f>IF('Option 1'!K122="","",'Option 1'!K122)</f>
        <v/>
      </c>
      <c r="L122" s="184" t="str">
        <f>IF('Option 1'!L122="","",'Option 1'!L122)</f>
        <v/>
      </c>
      <c r="M122" s="184" t="str">
        <f>IF('Option 1'!M122="","",'Option 1'!M122)</f>
        <v/>
      </c>
      <c r="N122" s="184" t="str">
        <f>IF('Option 1'!N122="","",'Option 1'!N122)</f>
        <v/>
      </c>
      <c r="O122" s="184">
        <f>IF('Option 1'!O122="","",'Option 1'!O122)</f>
        <v>132825</v>
      </c>
      <c r="P122" s="124">
        <f t="shared" si="17"/>
        <v>132825</v>
      </c>
    </row>
    <row r="123" spans="1:16" ht="15.75" customHeight="1" x14ac:dyDescent="0.25">
      <c r="A123" s="239"/>
      <c r="B123" s="4" t="str">
        <f>IF('Option 1'!B123="","",'Option 1'!B123)</f>
        <v/>
      </c>
      <c r="C123" s="188" t="str">
        <f>IF('Option 1'!C123="","",'Option 1'!C123)</f>
        <v>Brick Tuckpointing (Bldg. 1605)</v>
      </c>
      <c r="D123" s="186" t="str">
        <f>IF('Option 1'!D123="","",'Option 1'!D123)</f>
        <v/>
      </c>
      <c r="E123" s="184" t="str">
        <f>IF('Option 1'!E123="","",'Option 1'!E123)</f>
        <v/>
      </c>
      <c r="F123" s="184" t="str">
        <f>IF('Option 1'!F123="","",'Option 1'!F123)</f>
        <v/>
      </c>
      <c r="G123" s="184" t="str">
        <f>IF('Option 1'!G123="","",'Option 1'!G123)</f>
        <v/>
      </c>
      <c r="H123" s="184" t="str">
        <f>IF('Option 1'!H123="","",'Option 1'!H123)</f>
        <v/>
      </c>
      <c r="I123" s="184" t="str">
        <f>IF('Option 1'!I123="","",'Option 1'!I123)</f>
        <v/>
      </c>
      <c r="J123" s="184" t="str">
        <f>IF('Option 1'!J123="","",'Option 1'!J123)</f>
        <v/>
      </c>
      <c r="K123" s="184" t="str">
        <f>IF('Option 1'!K123="","",'Option 1'!K123)</f>
        <v/>
      </c>
      <c r="L123" s="184" t="str">
        <f>IF('Option 1'!L123="","",'Option 1'!L123)</f>
        <v/>
      </c>
      <c r="M123" s="184" t="str">
        <f>IF('Option 1'!M123="","",'Option 1'!M123)</f>
        <v/>
      </c>
      <c r="N123" s="184" t="str">
        <f>IF('Option 1'!N123="","",'Option 1'!N123)</f>
        <v/>
      </c>
      <c r="O123" s="184" t="str">
        <f>IF('Option 1'!O123="","",'Option 1'!O123)</f>
        <v/>
      </c>
      <c r="P123" s="124">
        <f t="shared" si="17"/>
        <v>0</v>
      </c>
    </row>
    <row r="124" spans="1:16" ht="15.75" customHeight="1" x14ac:dyDescent="0.25">
      <c r="A124" s="239"/>
      <c r="B124" s="4" t="str">
        <f>IF('Option 1'!B124="","",'Option 1'!B124)</f>
        <v/>
      </c>
      <c r="C124" s="188" t="str">
        <f>IF('Option 1'!C124="","",'Option 1'!C124)</f>
        <v>Brick Tuckpointing (Bldg. 1615)</v>
      </c>
      <c r="D124" s="186" t="str">
        <f>IF('Option 1'!D124="","",'Option 1'!D124)</f>
        <v/>
      </c>
      <c r="E124" s="184" t="str">
        <f>IF('Option 1'!E124="","",'Option 1'!E124)</f>
        <v/>
      </c>
      <c r="F124" s="184" t="str">
        <f>IF('Option 1'!F124="","",'Option 1'!F124)</f>
        <v/>
      </c>
      <c r="G124" s="184" t="str">
        <f>IF('Option 1'!G124="","",'Option 1'!G124)</f>
        <v/>
      </c>
      <c r="H124" s="184" t="str">
        <f>IF('Option 1'!H124="","",'Option 1'!H124)</f>
        <v/>
      </c>
      <c r="I124" s="184" t="str">
        <f>IF('Option 1'!I124="","",'Option 1'!I124)</f>
        <v/>
      </c>
      <c r="J124" s="184" t="str">
        <f>IF('Option 1'!J124="","",'Option 1'!J124)</f>
        <v/>
      </c>
      <c r="K124" s="184" t="str">
        <f>IF('Option 1'!K124="","",'Option 1'!K124)</f>
        <v/>
      </c>
      <c r="L124" s="184" t="str">
        <f>IF('Option 1'!L124="","",'Option 1'!L124)</f>
        <v/>
      </c>
      <c r="M124" s="184" t="str">
        <f>IF('Option 1'!M124="","",'Option 1'!M124)</f>
        <v/>
      </c>
      <c r="N124" s="184" t="str">
        <f>IF('Option 1'!N124="","",'Option 1'!N124)</f>
        <v/>
      </c>
      <c r="O124" s="184" t="str">
        <f>IF('Option 1'!O124="","",'Option 1'!O124)</f>
        <v/>
      </c>
      <c r="P124" s="124">
        <f t="shared" si="17"/>
        <v>0</v>
      </c>
    </row>
    <row r="125" spans="1:16" ht="15.75" customHeight="1" x14ac:dyDescent="0.25">
      <c r="A125" s="239"/>
      <c r="B125" s="4" t="str">
        <f>IF('Option 1'!B125="","",'Option 1'!B125)</f>
        <v/>
      </c>
      <c r="C125" s="188" t="str">
        <f>IF('Option 1'!C125="","",'Option 1'!C125)</f>
        <v>Window Caulking</v>
      </c>
      <c r="D125" s="186" t="str">
        <f>IF('Option 1'!D125="","",'Option 1'!D125)</f>
        <v/>
      </c>
      <c r="E125" s="184" t="str">
        <f>IF('Option 1'!E125="","",'Option 1'!E125)</f>
        <v/>
      </c>
      <c r="F125" s="184" t="str">
        <f>IF('Option 1'!F125="","",'Option 1'!F125)</f>
        <v/>
      </c>
      <c r="G125" s="184" t="str">
        <f>IF('Option 1'!G125="","",'Option 1'!G125)</f>
        <v/>
      </c>
      <c r="H125" s="184" t="str">
        <f>IF('Option 1'!H125="","",'Option 1'!H125)</f>
        <v/>
      </c>
      <c r="I125" s="184" t="str">
        <f>IF('Option 1'!I125="","",'Option 1'!I125)</f>
        <v/>
      </c>
      <c r="J125" s="184" t="str">
        <f>IF('Option 1'!J125="","",'Option 1'!J125)</f>
        <v/>
      </c>
      <c r="K125" s="184" t="str">
        <f>IF('Option 1'!K125="","",'Option 1'!K125)</f>
        <v/>
      </c>
      <c r="L125" s="184" t="str">
        <f>IF('Option 1'!L125="","",'Option 1'!L125)</f>
        <v/>
      </c>
      <c r="M125" s="184" t="str">
        <f>IF('Option 1'!M125="","",'Option 1'!M125)</f>
        <v/>
      </c>
      <c r="N125" s="184" t="str">
        <f>IF('Option 1'!N125="","",'Option 1'!N125)</f>
        <v/>
      </c>
      <c r="O125" s="184">
        <f>IF('Option 1'!O125="","",'Option 1'!O125)</f>
        <v>101092</v>
      </c>
      <c r="P125" s="124">
        <f t="shared" si="17"/>
        <v>101092</v>
      </c>
    </row>
    <row r="126" spans="1:16" ht="15.75" customHeight="1" x14ac:dyDescent="0.25">
      <c r="A126" s="239"/>
      <c r="B126" s="4" t="str">
        <f>IF('Option 1'!B126="","",'Option 1'!B126)</f>
        <v/>
      </c>
      <c r="C126" s="188" t="str">
        <f>IF('Option 1'!C126="","",'Option 1'!C126)</f>
        <v>Dryvent (Clubhouse)</v>
      </c>
      <c r="D126" s="186" t="str">
        <f>IF('Option 1'!D126="","",'Option 1'!D126)</f>
        <v/>
      </c>
      <c r="E126" s="184" t="str">
        <f>IF('Option 1'!E126="","",'Option 1'!E126)</f>
        <v/>
      </c>
      <c r="F126" s="184" t="str">
        <f>IF('Option 1'!F126="","",'Option 1'!F126)</f>
        <v/>
      </c>
      <c r="G126" s="184" t="str">
        <f>IF('Option 1'!G126="","",'Option 1'!G126)</f>
        <v/>
      </c>
      <c r="H126" s="184" t="str">
        <f>IF('Option 1'!H126="","",'Option 1'!H126)</f>
        <v/>
      </c>
      <c r="I126" s="184" t="str">
        <f>IF('Option 1'!I126="","",'Option 1'!I126)</f>
        <v/>
      </c>
      <c r="J126" s="184" t="str">
        <f>IF('Option 1'!J126="","",'Option 1'!J126)</f>
        <v/>
      </c>
      <c r="K126" s="184" t="str">
        <f>IF('Option 1'!K126="","",'Option 1'!K126)</f>
        <v/>
      </c>
      <c r="L126" s="184" t="str">
        <f>IF('Option 1'!L126="","",'Option 1'!L126)</f>
        <v/>
      </c>
      <c r="M126" s="184" t="str">
        <f>IF('Option 1'!M126="","",'Option 1'!M126)</f>
        <v/>
      </c>
      <c r="N126" s="184" t="str">
        <f>IF('Option 1'!N126="","",'Option 1'!N126)</f>
        <v/>
      </c>
      <c r="O126" s="184" t="str">
        <f>IF('Option 1'!O126="","",'Option 1'!O126)</f>
        <v/>
      </c>
      <c r="P126" s="124">
        <f t="shared" si="17"/>
        <v>0</v>
      </c>
    </row>
    <row r="127" spans="1:16" ht="15.75" customHeight="1" x14ac:dyDescent="0.25">
      <c r="A127" s="239"/>
      <c r="B127" s="4" t="str">
        <f>IF('Option 1'!B127="","",'Option 1'!B127)</f>
        <v/>
      </c>
      <c r="C127" s="188" t="str">
        <f>IF('Option 1'!C127="","",'Option 1'!C127)</f>
        <v>Windows (Clubhouse)</v>
      </c>
      <c r="D127" s="186" t="str">
        <f>IF('Option 1'!D127="","",'Option 1'!D127)</f>
        <v/>
      </c>
      <c r="E127" s="184" t="str">
        <f>IF('Option 1'!E127="","",'Option 1'!E127)</f>
        <v/>
      </c>
      <c r="F127" s="184" t="str">
        <f>IF('Option 1'!F127="","",'Option 1'!F127)</f>
        <v/>
      </c>
      <c r="G127" s="184" t="str">
        <f>IF('Option 1'!G127="","",'Option 1'!G127)</f>
        <v/>
      </c>
      <c r="H127" s="184" t="str">
        <f>IF('Option 1'!H127="","",'Option 1'!H127)</f>
        <v/>
      </c>
      <c r="I127" s="184" t="str">
        <f>IF('Option 1'!I127="","",'Option 1'!I127)</f>
        <v/>
      </c>
      <c r="J127" s="184" t="str">
        <f>IF('Option 1'!J127="","",'Option 1'!J127)</f>
        <v/>
      </c>
      <c r="K127" s="184" t="str">
        <f>IF('Option 1'!K127="","",'Option 1'!K127)</f>
        <v/>
      </c>
      <c r="L127" s="184" t="str">
        <f>IF('Option 1'!L127="","",'Option 1'!L127)</f>
        <v/>
      </c>
      <c r="M127" s="184" t="str">
        <f>IF('Option 1'!M127="","",'Option 1'!M127)</f>
        <v/>
      </c>
      <c r="N127" s="184" t="str">
        <f>IF('Option 1'!N127="","",'Option 1'!N127)</f>
        <v/>
      </c>
      <c r="O127" s="184" t="str">
        <f>IF('Option 1'!O127="","",'Option 1'!O127)</f>
        <v/>
      </c>
      <c r="P127" s="124">
        <f t="shared" si="17"/>
        <v>0</v>
      </c>
    </row>
    <row r="128" spans="1:16" ht="15.75" customHeight="1" x14ac:dyDescent="0.25">
      <c r="A128" s="239"/>
      <c r="B128" s="4" t="str">
        <f>IF('Option 1'!B128="","",'Option 1'!B128)</f>
        <v/>
      </c>
      <c r="C128" s="188" t="str">
        <f>IF('Option 1'!C128="","",'Option 1'!C128)</f>
        <v>Patio Doors (Clubhouse)</v>
      </c>
      <c r="D128" s="186" t="str">
        <f>IF('Option 1'!D128="","",'Option 1'!D128)</f>
        <v/>
      </c>
      <c r="E128" s="184" t="str">
        <f>IF('Option 1'!E128="","",'Option 1'!E128)</f>
        <v/>
      </c>
      <c r="F128" s="184" t="str">
        <f>IF('Option 1'!F128="","",'Option 1'!F128)</f>
        <v/>
      </c>
      <c r="G128" s="184" t="str">
        <f>IF('Option 1'!G128="","",'Option 1'!G128)</f>
        <v/>
      </c>
      <c r="H128" s="184" t="str">
        <f>IF('Option 1'!H128="","",'Option 1'!H128)</f>
        <v/>
      </c>
      <c r="I128" s="184" t="str">
        <f>IF('Option 1'!I128="","",'Option 1'!I128)</f>
        <v/>
      </c>
      <c r="J128" s="184" t="str">
        <f>IF('Option 1'!J128="","",'Option 1'!J128)</f>
        <v/>
      </c>
      <c r="K128" s="184">
        <f>IF('Option 1'!K128="","",'Option 1'!K128)</f>
        <v>17298</v>
      </c>
      <c r="L128" s="184" t="str">
        <f>IF('Option 1'!L128="","",'Option 1'!L128)</f>
        <v/>
      </c>
      <c r="M128" s="184" t="str">
        <f>IF('Option 1'!M128="","",'Option 1'!M128)</f>
        <v/>
      </c>
      <c r="N128" s="184" t="str">
        <f>IF('Option 1'!N128="","",'Option 1'!N128)</f>
        <v/>
      </c>
      <c r="O128" s="184" t="str">
        <f>IF('Option 1'!O128="","",'Option 1'!O128)</f>
        <v/>
      </c>
      <c r="P128" s="124">
        <f t="shared" si="17"/>
        <v>17298</v>
      </c>
    </row>
    <row r="129" spans="1:16" ht="15.75" customHeight="1" x14ac:dyDescent="0.25">
      <c r="A129" s="239"/>
      <c r="B129" s="4" t="str">
        <f>IF('Option 1'!B129="","",'Option 1'!B129)</f>
        <v/>
      </c>
      <c r="C129" s="188" t="str">
        <f>IF('Option 1'!C129="","",'Option 1'!C129)</f>
        <v>Window Wall (Clubhouse)</v>
      </c>
      <c r="D129" s="186" t="str">
        <f>IF('Option 1'!D129="","",'Option 1'!D129)</f>
        <v/>
      </c>
      <c r="E129" s="184" t="str">
        <f>IF('Option 1'!E129="","",'Option 1'!E129)</f>
        <v/>
      </c>
      <c r="F129" s="184" t="str">
        <f>IF('Option 1'!F129="","",'Option 1'!F129)</f>
        <v/>
      </c>
      <c r="G129" s="184" t="str">
        <f>IF('Option 1'!G129="","",'Option 1'!G129)</f>
        <v/>
      </c>
      <c r="H129" s="184" t="str">
        <f>IF('Option 1'!H129="","",'Option 1'!H129)</f>
        <v/>
      </c>
      <c r="I129" s="184" t="str">
        <f>IF('Option 1'!I129="","",'Option 1'!I129)</f>
        <v/>
      </c>
      <c r="J129" s="184" t="str">
        <f>IF('Option 1'!J129="","",'Option 1'!J129)</f>
        <v/>
      </c>
      <c r="K129" s="184" t="str">
        <f>IF('Option 1'!K129="","",'Option 1'!K129)</f>
        <v/>
      </c>
      <c r="L129" s="184">
        <f>IF('Option 1'!L129="","",'Option 1'!L129)</f>
        <v>11071</v>
      </c>
      <c r="M129" s="184" t="str">
        <f>IF('Option 1'!M129="","",'Option 1'!M129)</f>
        <v/>
      </c>
      <c r="N129" s="184" t="str">
        <f>IF('Option 1'!N129="","",'Option 1'!N129)</f>
        <v/>
      </c>
      <c r="O129" s="184" t="str">
        <f>IF('Option 1'!O129="","",'Option 1'!O129)</f>
        <v/>
      </c>
      <c r="P129" s="124">
        <f t="shared" si="17"/>
        <v>11071</v>
      </c>
    </row>
    <row r="130" spans="1:16" ht="15.75" customHeight="1" x14ac:dyDescent="0.25">
      <c r="A130" s="239"/>
      <c r="B130" s="4" t="str">
        <f>IF('Option 1'!B130="","",'Option 1'!B130)</f>
        <v/>
      </c>
      <c r="C130" s="188" t="str">
        <f>IF('Option 1'!C130="","",'Option 1'!C130)</f>
        <v>Window Wall (Bldgs. 1415, 1515, 1605, 1615)</v>
      </c>
      <c r="D130" s="186" t="str">
        <f>IF('Option 1'!D130="","",'Option 1'!D130)</f>
        <v/>
      </c>
      <c r="E130" s="184" t="str">
        <f>IF('Option 1'!E130="","",'Option 1'!E130)</f>
        <v/>
      </c>
      <c r="F130" s="184" t="str">
        <f>IF('Option 1'!F130="","",'Option 1'!F130)</f>
        <v/>
      </c>
      <c r="G130" s="184" t="str">
        <f>IF('Option 1'!G130="","",'Option 1'!G130)</f>
        <v/>
      </c>
      <c r="H130" s="184" t="str">
        <f>IF('Option 1'!H130="","",'Option 1'!H130)</f>
        <v/>
      </c>
      <c r="I130" s="184" t="str">
        <f>IF('Option 1'!I130="","",'Option 1'!I130)</f>
        <v/>
      </c>
      <c r="J130" s="184" t="str">
        <f>IF('Option 1'!J130="","",'Option 1'!J130)</f>
        <v/>
      </c>
      <c r="K130" s="184" t="str">
        <f>IF('Option 1'!K130="","",'Option 1'!K130)</f>
        <v/>
      </c>
      <c r="L130" s="184" t="str">
        <f>IF('Option 1'!L130="","",'Option 1'!L130)</f>
        <v/>
      </c>
      <c r="M130" s="184" t="str">
        <f>IF('Option 1'!M130="","",'Option 1'!M130)</f>
        <v/>
      </c>
      <c r="N130" s="184" t="str">
        <f>IF('Option 1'!N130="","",'Option 1'!N130)</f>
        <v/>
      </c>
      <c r="O130" s="184" t="str">
        <f>IF('Option 1'!O130="","",'Option 1'!O130)</f>
        <v/>
      </c>
      <c r="P130" s="124">
        <f t="shared" si="17"/>
        <v>0</v>
      </c>
    </row>
    <row r="131" spans="1:16" ht="15.75" customHeight="1" x14ac:dyDescent="0.25">
      <c r="A131" s="239"/>
      <c r="B131" s="4" t="str">
        <f>IF('Option 1'!B131="","",'Option 1'!B131)</f>
        <v/>
      </c>
      <c r="C131" s="188" t="str">
        <f>IF('Option 1'!C131="","",'Option 1'!C131)</f>
        <v>Window Wall (Bldg. 1505)</v>
      </c>
      <c r="D131" s="186" t="str">
        <f>IF('Option 1'!D131="","",'Option 1'!D131)</f>
        <v/>
      </c>
      <c r="E131" s="184" t="str">
        <f>IF('Option 1'!E131="","",'Option 1'!E131)</f>
        <v/>
      </c>
      <c r="F131" s="184" t="str">
        <f>IF('Option 1'!F131="","",'Option 1'!F131)</f>
        <v/>
      </c>
      <c r="G131" s="184" t="str">
        <f>IF('Option 1'!G131="","",'Option 1'!G131)</f>
        <v/>
      </c>
      <c r="H131" s="184" t="str">
        <f>IF('Option 1'!H131="","",'Option 1'!H131)</f>
        <v/>
      </c>
      <c r="I131" s="184" t="str">
        <f>IF('Option 1'!I131="","",'Option 1'!I131)</f>
        <v/>
      </c>
      <c r="J131" s="184" t="str">
        <f>IF('Option 1'!J131="","",'Option 1'!J131)</f>
        <v/>
      </c>
      <c r="K131" s="184" t="str">
        <f>IF('Option 1'!K131="","",'Option 1'!K131)</f>
        <v/>
      </c>
      <c r="L131" s="184" t="str">
        <f>IF('Option 1'!L131="","",'Option 1'!L131)</f>
        <v/>
      </c>
      <c r="M131" s="184" t="str">
        <f>IF('Option 1'!M131="","",'Option 1'!M131)</f>
        <v/>
      </c>
      <c r="N131" s="184" t="str">
        <f>IF('Option 1'!N131="","",'Option 1'!N131)</f>
        <v/>
      </c>
      <c r="O131" s="184" t="str">
        <f>IF('Option 1'!O131="","",'Option 1'!O131)</f>
        <v/>
      </c>
      <c r="P131" s="124">
        <f t="shared" si="17"/>
        <v>0</v>
      </c>
    </row>
    <row r="132" spans="1:16" ht="15.75" customHeight="1" x14ac:dyDescent="0.25">
      <c r="A132" s="239"/>
      <c r="B132" s="4" t="str">
        <f>IF('Option 1'!B132="","",'Option 1'!B132)</f>
        <v/>
      </c>
      <c r="C132" s="188" t="str">
        <f>IF('Option 1'!C132="","",'Option 1'!C132)</f>
        <v>Window Wall (Bldg. 1405)</v>
      </c>
      <c r="D132" s="186" t="str">
        <f>IF('Option 1'!D132="","",'Option 1'!D132)</f>
        <v/>
      </c>
      <c r="E132" s="184" t="str">
        <f>IF('Option 1'!E132="","",'Option 1'!E132)</f>
        <v/>
      </c>
      <c r="F132" s="184" t="str">
        <f>IF('Option 1'!F132="","",'Option 1'!F132)</f>
        <v/>
      </c>
      <c r="G132" s="184" t="str">
        <f>IF('Option 1'!G132="","",'Option 1'!G132)</f>
        <v/>
      </c>
      <c r="H132" s="184" t="str">
        <f>IF('Option 1'!H132="","",'Option 1'!H132)</f>
        <v/>
      </c>
      <c r="I132" s="184" t="str">
        <f>IF('Option 1'!I132="","",'Option 1'!I132)</f>
        <v/>
      </c>
      <c r="J132" s="184" t="str">
        <f>IF('Option 1'!J132="","",'Option 1'!J132)</f>
        <v/>
      </c>
      <c r="K132" s="184" t="str">
        <f>IF('Option 1'!K132="","",'Option 1'!K132)</f>
        <v/>
      </c>
      <c r="L132" s="184" t="str">
        <f>IF('Option 1'!L132="","",'Option 1'!L132)</f>
        <v/>
      </c>
      <c r="M132" s="184" t="str">
        <f>IF('Option 1'!M132="","",'Option 1'!M132)</f>
        <v/>
      </c>
      <c r="N132" s="184" t="str">
        <f>IF('Option 1'!N132="","",'Option 1'!N132)</f>
        <v/>
      </c>
      <c r="O132" s="184" t="str">
        <f>IF('Option 1'!O132="","",'Option 1'!O132)</f>
        <v/>
      </c>
      <c r="P132" s="124">
        <f t="shared" si="17"/>
        <v>0</v>
      </c>
    </row>
    <row r="133" spans="1:16" ht="15.75" customHeight="1" x14ac:dyDescent="0.25">
      <c r="A133" s="239"/>
      <c r="B133" s="4" t="str">
        <f>IF('Option 1'!B133="","",'Option 1'!B133)</f>
        <v/>
      </c>
      <c r="C133" s="188" t="str">
        <f>IF('Option 1'!C133="","",'Option 1'!C133)</f>
        <v>Exterior Metal Doors (Clubhouse)</v>
      </c>
      <c r="D133" s="186" t="str">
        <f>IF('Option 1'!D133="","",'Option 1'!D133)</f>
        <v/>
      </c>
      <c r="E133" s="184" t="str">
        <f>IF('Option 1'!E133="","",'Option 1'!E133)</f>
        <v/>
      </c>
      <c r="F133" s="184">
        <f>IF('Option 1'!F133="","",'Option 1'!F133)</f>
        <v>4152</v>
      </c>
      <c r="G133" s="184" t="str">
        <f>IF('Option 1'!G133="","",'Option 1'!G133)</f>
        <v/>
      </c>
      <c r="H133" s="184" t="str">
        <f>IF('Option 1'!H133="","",'Option 1'!H133)</f>
        <v/>
      </c>
      <c r="I133" s="184" t="str">
        <f>IF('Option 1'!I133="","",'Option 1'!I133)</f>
        <v/>
      </c>
      <c r="J133" s="184" t="str">
        <f>IF('Option 1'!J133="","",'Option 1'!J133)</f>
        <v/>
      </c>
      <c r="K133" s="184" t="str">
        <f>IF('Option 1'!K133="","",'Option 1'!K133)</f>
        <v/>
      </c>
      <c r="L133" s="184" t="str">
        <f>IF('Option 1'!L133="","",'Option 1'!L133)</f>
        <v/>
      </c>
      <c r="M133" s="184" t="str">
        <f>IF('Option 1'!M133="","",'Option 1'!M133)</f>
        <v/>
      </c>
      <c r="N133" s="184" t="str">
        <f>IF('Option 1'!N133="","",'Option 1'!N133)</f>
        <v/>
      </c>
      <c r="O133" s="184" t="str">
        <f>IF('Option 1'!O133="","",'Option 1'!O133)</f>
        <v/>
      </c>
      <c r="P133" s="124">
        <f t="shared" si="17"/>
        <v>4152</v>
      </c>
    </row>
    <row r="134" spans="1:16" ht="15.75" customHeight="1" x14ac:dyDescent="0.25">
      <c r="A134" s="239"/>
      <c r="B134" s="4" t="str">
        <f>IF('Option 1'!B134="","",'Option 1'!B134)</f>
        <v/>
      </c>
      <c r="C134" s="188" t="str">
        <f>IF('Option 1'!C134="","",'Option 1'!C134)</f>
        <v>Patio Fence Gate (Clubhouse)</v>
      </c>
      <c r="D134" s="186" t="str">
        <f>IF('Option 1'!D134="","",'Option 1'!D134)</f>
        <v/>
      </c>
      <c r="E134" s="184" t="str">
        <f>IF('Option 1'!E134="","",'Option 1'!E134)</f>
        <v/>
      </c>
      <c r="F134" s="184" t="str">
        <f>IF('Option 1'!F134="","",'Option 1'!F134)</f>
        <v/>
      </c>
      <c r="G134" s="184" t="str">
        <f>IF('Option 1'!G134="","",'Option 1'!G134)</f>
        <v/>
      </c>
      <c r="H134" s="184" t="str">
        <f>IF('Option 1'!H134="","",'Option 1'!H134)</f>
        <v/>
      </c>
      <c r="I134" s="184" t="str">
        <f>IF('Option 1'!I134="","",'Option 1'!I134)</f>
        <v/>
      </c>
      <c r="J134" s="184" t="str">
        <f>IF('Option 1'!J134="","",'Option 1'!J134)</f>
        <v/>
      </c>
      <c r="K134" s="184" t="str">
        <f>IF('Option 1'!K134="","",'Option 1'!K134)</f>
        <v/>
      </c>
      <c r="L134" s="184" t="str">
        <f>IF('Option 1'!L134="","",'Option 1'!L134)</f>
        <v/>
      </c>
      <c r="M134" s="184" t="str">
        <f>IF('Option 1'!M134="","",'Option 1'!M134)</f>
        <v/>
      </c>
      <c r="N134" s="184" t="str">
        <f>IF('Option 1'!N134="","",'Option 1'!N134)</f>
        <v/>
      </c>
      <c r="O134" s="184" t="str">
        <f>IF('Option 1'!O134="","",'Option 1'!O134)</f>
        <v/>
      </c>
      <c r="P134" s="124">
        <f t="shared" si="17"/>
        <v>0</v>
      </c>
    </row>
    <row r="135" spans="1:16" ht="15.75" customHeight="1" x14ac:dyDescent="0.25">
      <c r="A135" s="239"/>
      <c r="B135" s="4" t="str">
        <f>IF('Option 1'!B135="","",'Option 1'!B135)</f>
        <v/>
      </c>
      <c r="C135" s="188" t="str">
        <f>IF('Option 1'!C135="","",'Option 1'!C135)</f>
        <v>Trellis and Columns</v>
      </c>
      <c r="D135" s="186" t="str">
        <f>IF('Option 1'!D135="","",'Option 1'!D135)</f>
        <v/>
      </c>
      <c r="E135" s="184" t="str">
        <f>IF('Option 1'!E135="","",'Option 1'!E135)</f>
        <v/>
      </c>
      <c r="F135" s="184" t="str">
        <f>IF('Option 1'!F135="","",'Option 1'!F135)</f>
        <v/>
      </c>
      <c r="G135" s="184" t="str">
        <f>IF('Option 1'!G135="","",'Option 1'!G135)</f>
        <v/>
      </c>
      <c r="H135" s="184" t="str">
        <f>IF('Option 1'!H135="","",'Option 1'!H135)</f>
        <v/>
      </c>
      <c r="I135" s="184" t="str">
        <f>IF('Option 1'!I135="","",'Option 1'!I135)</f>
        <v/>
      </c>
      <c r="J135" s="184" t="str">
        <f>IF('Option 1'!J135="","",'Option 1'!J135)</f>
        <v/>
      </c>
      <c r="K135" s="184" t="str">
        <f>IF('Option 1'!K135="","",'Option 1'!K135)</f>
        <v/>
      </c>
      <c r="L135" s="184" t="str">
        <f>IF('Option 1'!L135="","",'Option 1'!L135)</f>
        <v/>
      </c>
      <c r="M135" s="184" t="str">
        <f>IF('Option 1'!M135="","",'Option 1'!M135)</f>
        <v/>
      </c>
      <c r="N135" s="184" t="str">
        <f>IF('Option 1'!N135="","",'Option 1'!N135)</f>
        <v/>
      </c>
      <c r="O135" s="184" t="str">
        <f>IF('Option 1'!O135="","",'Option 1'!O135)</f>
        <v/>
      </c>
      <c r="P135" s="124">
        <f t="shared" si="17"/>
        <v>0</v>
      </c>
    </row>
    <row r="136" spans="1:16" ht="15.75" customHeight="1" x14ac:dyDescent="0.25">
      <c r="A136" s="239"/>
      <c r="B136" s="4" t="str">
        <f>IF('Option 1'!B136="","",'Option 1'!B136)</f>
        <v/>
      </c>
      <c r="C136" s="188" t="str">
        <f>IF('Option 1'!C136="","",'Option 1'!C136)</f>
        <v>Precast Concrete Planters</v>
      </c>
      <c r="D136" s="186" t="str">
        <f>IF('Option 1'!D136="","",'Option 1'!D136)</f>
        <v/>
      </c>
      <c r="E136" s="184">
        <f>IF('Option 1'!E136="","",'Option 1'!E136)</f>
        <v>3875</v>
      </c>
      <c r="F136" s="184" t="str">
        <f>IF('Option 1'!F136="","",'Option 1'!F136)</f>
        <v/>
      </c>
      <c r="G136" s="184" t="str">
        <f>IF('Option 1'!G136="","",'Option 1'!G136)</f>
        <v/>
      </c>
      <c r="H136" s="184" t="str">
        <f>IF('Option 1'!H136="","",'Option 1'!H136)</f>
        <v/>
      </c>
      <c r="I136" s="184" t="str">
        <f>IF('Option 1'!I136="","",'Option 1'!I136)</f>
        <v/>
      </c>
      <c r="J136" s="184" t="str">
        <f>IF('Option 1'!J136="","",'Option 1'!J136)</f>
        <v/>
      </c>
      <c r="K136" s="184" t="str">
        <f>IF('Option 1'!K136="","",'Option 1'!K136)</f>
        <v/>
      </c>
      <c r="L136" s="184" t="str">
        <f>IF('Option 1'!L136="","",'Option 1'!L136)</f>
        <v/>
      </c>
      <c r="M136" s="184" t="str">
        <f>IF('Option 1'!M136="","",'Option 1'!M136)</f>
        <v/>
      </c>
      <c r="N136" s="184" t="str">
        <f>IF('Option 1'!N136="","",'Option 1'!N136)</f>
        <v/>
      </c>
      <c r="O136" s="184" t="str">
        <f>IF('Option 1'!O136="","",'Option 1'!O136)</f>
        <v/>
      </c>
      <c r="P136" s="124">
        <f t="shared" si="17"/>
        <v>3875</v>
      </c>
    </row>
    <row r="137" spans="1:16" ht="15.75" customHeight="1" x14ac:dyDescent="0.25">
      <c r="A137" s="239"/>
      <c r="B137" s="4" t="str">
        <f>IF('Option 1'!B137="","",'Option 1'!B137)</f>
        <v/>
      </c>
      <c r="C137" s="188" t="str">
        <f>IF('Option 1'!C137="","",'Option 1'!C137)</f>
        <v>Precast Concrete Catwalks</v>
      </c>
      <c r="D137" s="186" t="str">
        <f>IF('Option 1'!D137="","",'Option 1'!D137)</f>
        <v/>
      </c>
      <c r="E137" s="184" t="str">
        <f>IF('Option 1'!E137="","",'Option 1'!E137)</f>
        <v/>
      </c>
      <c r="F137" s="184" t="str">
        <f>IF('Option 1'!F137="","",'Option 1'!F137)</f>
        <v/>
      </c>
      <c r="G137" s="184" t="str">
        <f>IF('Option 1'!G137="","",'Option 1'!G137)</f>
        <v/>
      </c>
      <c r="H137" s="184" t="str">
        <f>IF('Option 1'!H137="","",'Option 1'!H137)</f>
        <v/>
      </c>
      <c r="I137" s="184" t="str">
        <f>IF('Option 1'!I137="","",'Option 1'!I137)</f>
        <v/>
      </c>
      <c r="J137" s="184" t="str">
        <f>IF('Option 1'!J137="","",'Option 1'!J137)</f>
        <v/>
      </c>
      <c r="K137" s="184" t="str">
        <f>IF('Option 1'!K137="","",'Option 1'!K137)</f>
        <v/>
      </c>
      <c r="L137" s="184" t="str">
        <f>IF('Option 1'!L137="","",'Option 1'!L137)</f>
        <v/>
      </c>
      <c r="M137" s="184" t="str">
        <f>IF('Option 1'!M137="","",'Option 1'!M137)</f>
        <v/>
      </c>
      <c r="N137" s="184" t="str">
        <f>IF('Option 1'!N137="","",'Option 1'!N137)</f>
        <v/>
      </c>
      <c r="O137" s="184" t="str">
        <f>IF('Option 1'!O137="","",'Option 1'!O137)</f>
        <v/>
      </c>
      <c r="P137" s="124">
        <f t="shared" si="17"/>
        <v>0</v>
      </c>
    </row>
    <row r="138" spans="1:16" ht="15.75" customHeight="1" x14ac:dyDescent="0.25">
      <c r="A138" s="239"/>
      <c r="B138" s="4" t="str">
        <f>IF('Option 1'!B138="","",'Option 1'!B138)</f>
        <v/>
      </c>
      <c r="C138" s="188" t="str">
        <f>IF('Option 1'!C138="","",'Option 1'!C138)</f>
        <v>Catwalk Railings</v>
      </c>
      <c r="D138" s="186" t="str">
        <f>IF('Option 1'!D138="","",'Option 1'!D138)</f>
        <v/>
      </c>
      <c r="E138" s="184" t="str">
        <f>IF('Option 1'!E138="","",'Option 1'!E138)</f>
        <v/>
      </c>
      <c r="F138" s="184" t="str">
        <f>IF('Option 1'!F138="","",'Option 1'!F138)</f>
        <v/>
      </c>
      <c r="G138" s="184" t="str">
        <f>IF('Option 1'!G138="","",'Option 1'!G138)</f>
        <v/>
      </c>
      <c r="H138" s="184" t="str">
        <f>IF('Option 1'!H138="","",'Option 1'!H138)</f>
        <v/>
      </c>
      <c r="I138" s="184" t="str">
        <f>IF('Option 1'!I138="","",'Option 1'!I138)</f>
        <v/>
      </c>
      <c r="J138" s="184" t="str">
        <f>IF('Option 1'!J138="","",'Option 1'!J138)</f>
        <v/>
      </c>
      <c r="K138" s="184" t="str">
        <f>IF('Option 1'!K138="","",'Option 1'!K138)</f>
        <v/>
      </c>
      <c r="L138" s="184" t="str">
        <f>IF('Option 1'!L138="","",'Option 1'!L138)</f>
        <v/>
      </c>
      <c r="M138" s="184" t="str">
        <f>IF('Option 1'!M138="","",'Option 1'!M138)</f>
        <v/>
      </c>
      <c r="N138" s="184" t="str">
        <f>IF('Option 1'!N138="","",'Option 1'!N138)</f>
        <v/>
      </c>
      <c r="O138" s="184" t="str">
        <f>IF('Option 1'!O138="","",'Option 1'!O138)</f>
        <v/>
      </c>
      <c r="P138" s="124">
        <f t="shared" si="17"/>
        <v>0</v>
      </c>
    </row>
    <row r="139" spans="1:16" ht="15.75" customHeight="1" x14ac:dyDescent="0.25">
      <c r="A139" s="239"/>
      <c r="B139" s="4" t="str">
        <f>IF('Option 1'!B139="","",'Option 1'!B139)</f>
        <v/>
      </c>
      <c r="C139" s="188" t="str">
        <f>IF('Option 1'!C139="","",'Option 1'!C139)</f>
        <v>Replaced Balconies</v>
      </c>
      <c r="D139" s="186" t="str">
        <f>IF('Option 1'!D139="","",'Option 1'!D139)</f>
        <v/>
      </c>
      <c r="E139" s="184" t="str">
        <f>IF('Option 1'!E139="","",'Option 1'!E139)</f>
        <v/>
      </c>
      <c r="F139" s="184" t="str">
        <f>IF('Option 1'!F139="","",'Option 1'!F139)</f>
        <v/>
      </c>
      <c r="G139" s="184" t="str">
        <f>IF('Option 1'!G139="","",'Option 1'!G139)</f>
        <v/>
      </c>
      <c r="H139" s="184" t="str">
        <f>IF('Option 1'!H139="","",'Option 1'!H139)</f>
        <v/>
      </c>
      <c r="I139" s="184" t="str">
        <f>IF('Option 1'!I139="","",'Option 1'!I139)</f>
        <v/>
      </c>
      <c r="J139" s="184" t="str">
        <f>IF('Option 1'!J139="","",'Option 1'!J139)</f>
        <v/>
      </c>
      <c r="K139" s="184" t="str">
        <f>IF('Option 1'!K139="","",'Option 1'!K139)</f>
        <v/>
      </c>
      <c r="L139" s="184" t="str">
        <f>IF('Option 1'!L139="","",'Option 1'!L139)</f>
        <v/>
      </c>
      <c r="M139" s="184" t="str">
        <f>IF('Option 1'!M139="","",'Option 1'!M139)</f>
        <v/>
      </c>
      <c r="N139" s="184" t="str">
        <f>IF('Option 1'!N139="","",'Option 1'!N139)</f>
        <v/>
      </c>
      <c r="O139" s="184" t="str">
        <f>IF('Option 1'!O139="","",'Option 1'!O139)</f>
        <v/>
      </c>
      <c r="P139" s="124">
        <f t="shared" si="17"/>
        <v>0</v>
      </c>
    </row>
    <row r="140" spans="1:16" ht="15.75" customHeight="1" x14ac:dyDescent="0.25">
      <c r="A140" s="239"/>
      <c r="B140" s="4" t="str">
        <f>IF('Option 1'!B140="","",'Option 1'!B140)</f>
        <v/>
      </c>
      <c r="C140" s="188" t="str">
        <f>IF('Option 1'!C140="","",'Option 1'!C140)</f>
        <v>Balconies (Year 1)</v>
      </c>
      <c r="D140" s="186">
        <f>IF('Option 1'!D140="","",'Option 1'!D140)</f>
        <v>29100</v>
      </c>
      <c r="E140" s="184" t="str">
        <f>IF('Option 1'!E140="","",'Option 1'!E140)</f>
        <v/>
      </c>
      <c r="F140" s="184" t="str">
        <f>IF('Option 1'!F140="","",'Option 1'!F140)</f>
        <v/>
      </c>
      <c r="G140" s="184" t="str">
        <f>IF('Option 1'!G140="","",'Option 1'!G140)</f>
        <v/>
      </c>
      <c r="H140" s="184" t="str">
        <f>IF('Option 1'!H140="","",'Option 1'!H140)</f>
        <v/>
      </c>
      <c r="I140" s="184" t="str">
        <f>IF('Option 1'!I140="","",'Option 1'!I140)</f>
        <v/>
      </c>
      <c r="J140" s="184" t="str">
        <f>IF('Option 1'!J140="","",'Option 1'!J140)</f>
        <v/>
      </c>
      <c r="K140" s="184" t="str">
        <f>IF('Option 1'!K140="","",'Option 1'!K140)</f>
        <v/>
      </c>
      <c r="L140" s="184" t="str">
        <f>IF('Option 1'!L140="","",'Option 1'!L140)</f>
        <v/>
      </c>
      <c r="M140" s="184" t="str">
        <f>IF('Option 1'!M140="","",'Option 1'!M140)</f>
        <v/>
      </c>
      <c r="N140" s="184" t="str">
        <f>IF('Option 1'!N140="","",'Option 1'!N140)</f>
        <v/>
      </c>
      <c r="O140" s="184" t="str">
        <f>IF('Option 1'!O140="","",'Option 1'!O140)</f>
        <v/>
      </c>
      <c r="P140" s="124">
        <f t="shared" si="17"/>
        <v>29100</v>
      </c>
    </row>
    <row r="141" spans="1:16" ht="15.75" customHeight="1" x14ac:dyDescent="0.25">
      <c r="A141" s="239"/>
      <c r="B141" s="4" t="str">
        <f>IF('Option 1'!B141="","",'Option 1'!B141)</f>
        <v/>
      </c>
      <c r="C141" s="188" t="str">
        <f>IF('Option 1'!C141="","",'Option 1'!C141)</f>
        <v>Balconies (Year 2)</v>
      </c>
      <c r="D141" s="186" t="str">
        <f>IF('Option 1'!D141="","",'Option 1'!D141)</f>
        <v/>
      </c>
      <c r="E141" s="184">
        <f>IF('Option 1'!E141="","",'Option 1'!E141)</f>
        <v>175000</v>
      </c>
      <c r="F141" s="184">
        <f>IF('Option 1'!F141="","",'Option 1'!F141)</f>
        <v>225000</v>
      </c>
      <c r="G141" s="184" t="str">
        <f>IF('Option 1'!G141="","",'Option 1'!G141)</f>
        <v/>
      </c>
      <c r="H141" s="184" t="str">
        <f>IF('Option 1'!H141="","",'Option 1'!H141)</f>
        <v/>
      </c>
      <c r="I141" s="184" t="str">
        <f>IF('Option 1'!I141="","",'Option 1'!I141)</f>
        <v/>
      </c>
      <c r="J141" s="184" t="str">
        <f>IF('Option 1'!J141="","",'Option 1'!J141)</f>
        <v/>
      </c>
      <c r="K141" s="184" t="str">
        <f>IF('Option 1'!K141="","",'Option 1'!K141)</f>
        <v/>
      </c>
      <c r="L141" s="184" t="str">
        <f>IF('Option 1'!L141="","",'Option 1'!L141)</f>
        <v/>
      </c>
      <c r="M141" s="184" t="str">
        <f>IF('Option 1'!M141="","",'Option 1'!M141)</f>
        <v/>
      </c>
      <c r="N141" s="184" t="str">
        <f>IF('Option 1'!N141="","",'Option 1'!N141)</f>
        <v/>
      </c>
      <c r="O141" s="184" t="str">
        <f>IF('Option 1'!O141="","",'Option 1'!O141)</f>
        <v/>
      </c>
      <c r="P141" s="124">
        <f t="shared" si="17"/>
        <v>400000</v>
      </c>
    </row>
    <row r="142" spans="1:16" ht="15.75" customHeight="1" x14ac:dyDescent="0.25">
      <c r="A142" s="239"/>
      <c r="B142" s="4" t="str">
        <f>IF('Option 1'!B142="","",'Option 1'!B142)</f>
        <v/>
      </c>
      <c r="C142" s="188" t="str">
        <f>IF('Option 1'!C142="","",'Option 1'!C142)</f>
        <v>Balconies (Year 3)</v>
      </c>
      <c r="D142" s="186" t="str">
        <f>IF('Option 1'!D142="","",'Option 1'!D142)</f>
        <v/>
      </c>
      <c r="E142" s="184" t="str">
        <f>IF('Option 1'!E142="","",'Option 1'!E142)</f>
        <v/>
      </c>
      <c r="F142" s="184" t="str">
        <f>IF('Option 1'!F142="","",'Option 1'!F142)</f>
        <v/>
      </c>
      <c r="G142" s="184">
        <f>IF('Option 1'!G142="","",'Option 1'!G142)</f>
        <v>900000</v>
      </c>
      <c r="H142" s="184">
        <f>IF('Option 1'!H142="","",'Option 1'!H142)</f>
        <v>900000</v>
      </c>
      <c r="I142" s="184" t="str">
        <f>IF('Option 1'!I142="","",'Option 1'!I142)</f>
        <v/>
      </c>
      <c r="J142" s="184" t="str">
        <f>IF('Option 1'!J142="","",'Option 1'!J142)</f>
        <v/>
      </c>
      <c r="K142" s="184" t="str">
        <f>IF('Option 1'!K142="","",'Option 1'!K142)</f>
        <v/>
      </c>
      <c r="L142" s="184" t="str">
        <f>IF('Option 1'!L142="","",'Option 1'!L142)</f>
        <v/>
      </c>
      <c r="M142" s="184" t="str">
        <f>IF('Option 1'!M142="","",'Option 1'!M142)</f>
        <v/>
      </c>
      <c r="N142" s="184" t="str">
        <f>IF('Option 1'!N142="","",'Option 1'!N142)</f>
        <v/>
      </c>
      <c r="O142" s="184" t="str">
        <f>IF('Option 1'!O142="","",'Option 1'!O142)</f>
        <v/>
      </c>
      <c r="P142" s="124">
        <f t="shared" si="17"/>
        <v>1800000</v>
      </c>
    </row>
    <row r="143" spans="1:16" ht="15.75" customHeight="1" x14ac:dyDescent="0.25">
      <c r="A143" s="239"/>
      <c r="B143" s="4" t="str">
        <f>IF('Option 1'!B143="","",'Option 1'!B143)</f>
        <v/>
      </c>
      <c r="C143" s="188" t="str">
        <f>IF('Option 1'!C143="","",'Option 1'!C143)</f>
        <v>Balconies (Year 4)</v>
      </c>
      <c r="D143" s="186" t="str">
        <f>IF('Option 1'!D143="","",'Option 1'!D143)</f>
        <v/>
      </c>
      <c r="E143" s="184" t="str">
        <f>IF('Option 1'!E143="","",'Option 1'!E143)</f>
        <v/>
      </c>
      <c r="F143" s="184" t="str">
        <f>IF('Option 1'!F143="","",'Option 1'!F143)</f>
        <v/>
      </c>
      <c r="G143" s="184" t="str">
        <f>IF('Option 1'!G143="","",'Option 1'!G143)</f>
        <v/>
      </c>
      <c r="H143" s="184" t="str">
        <f>IF('Option 1'!H143="","",'Option 1'!H143)</f>
        <v/>
      </c>
      <c r="I143" s="184">
        <f>IF('Option 1'!I143="","",'Option 1'!I143)</f>
        <v>500000</v>
      </c>
      <c r="J143" s="184" t="str">
        <f>IF('Option 1'!J143="","",'Option 1'!J143)</f>
        <v/>
      </c>
      <c r="K143" s="184" t="str">
        <f>IF('Option 1'!K143="","",'Option 1'!K143)</f>
        <v/>
      </c>
      <c r="L143" s="184" t="str">
        <f>IF('Option 1'!L143="","",'Option 1'!L143)</f>
        <v/>
      </c>
      <c r="M143" s="184" t="str">
        <f>IF('Option 1'!M143="","",'Option 1'!M143)</f>
        <v/>
      </c>
      <c r="N143" s="184" t="str">
        <f>IF('Option 1'!N143="","",'Option 1'!N143)</f>
        <v/>
      </c>
      <c r="O143" s="184" t="str">
        <f>IF('Option 1'!O143="","",'Option 1'!O143)</f>
        <v/>
      </c>
      <c r="P143" s="124">
        <f t="shared" si="17"/>
        <v>500000</v>
      </c>
    </row>
    <row r="144" spans="1:16" ht="15.75" customHeight="1" x14ac:dyDescent="0.25">
      <c r="A144" s="239"/>
      <c r="B144" s="4" t="str">
        <f>IF('Option 1'!B144="","",'Option 1'!B144)</f>
        <v/>
      </c>
      <c r="C144" s="188" t="str">
        <f>IF('Option 1'!C144="","",'Option 1'!C144)</f>
        <v>Balconies (Year 5)</v>
      </c>
      <c r="D144" s="186">
        <f>IF('Option 1'!D144="","",'Option 1'!D144)</f>
        <v>50878</v>
      </c>
      <c r="E144" s="184" t="str">
        <f>IF('Option 1'!E144="","",'Option 1'!E144)</f>
        <v/>
      </c>
      <c r="F144" s="184" t="str">
        <f>IF('Option 1'!F144="","",'Option 1'!F144)</f>
        <v/>
      </c>
      <c r="G144" s="184" t="str">
        <f>IF('Option 1'!G144="","",'Option 1'!G144)</f>
        <v/>
      </c>
      <c r="H144" s="184" t="str">
        <f>IF('Option 1'!H144="","",'Option 1'!H144)</f>
        <v/>
      </c>
      <c r="I144" s="184" t="str">
        <f>IF('Option 1'!I144="","",'Option 1'!I144)</f>
        <v/>
      </c>
      <c r="J144" s="184" t="str">
        <f>IF('Option 1'!J144="","",'Option 1'!J144)</f>
        <v/>
      </c>
      <c r="K144" s="184" t="str">
        <f>IF('Option 1'!K144="","",'Option 1'!K144)</f>
        <v/>
      </c>
      <c r="L144" s="184" t="str">
        <f>IF('Option 1'!L144="","",'Option 1'!L144)</f>
        <v/>
      </c>
      <c r="M144" s="184" t="str">
        <f>IF('Option 1'!M144="","",'Option 1'!M144)</f>
        <v/>
      </c>
      <c r="N144" s="184" t="str">
        <f>IF('Option 1'!N144="","",'Option 1'!N144)</f>
        <v/>
      </c>
      <c r="O144" s="184" t="str">
        <f>IF('Option 1'!O144="","",'Option 1'!O144)</f>
        <v/>
      </c>
      <c r="P144" s="124">
        <f t="shared" si="17"/>
        <v>50878</v>
      </c>
    </row>
    <row r="145" spans="1:16" ht="15.75" customHeight="1" x14ac:dyDescent="0.25">
      <c r="A145" s="239"/>
      <c r="B145" s="4" t="str">
        <f>IF('Option 1'!B145="","",'Option 1'!B145)</f>
        <v/>
      </c>
      <c r="C145" s="188" t="str">
        <f>IF('Option 1'!C145="","",'Option 1'!C145)</f>
        <v>Remaining Balconies</v>
      </c>
      <c r="D145" s="186" t="str">
        <f>IF('Option 1'!D145="","",'Option 1'!D145)</f>
        <v/>
      </c>
      <c r="E145" s="184" t="str">
        <f>IF('Option 1'!E145="","",'Option 1'!E145)</f>
        <v/>
      </c>
      <c r="F145" s="184" t="str">
        <f>IF('Option 1'!F145="","",'Option 1'!F145)</f>
        <v/>
      </c>
      <c r="G145" s="184" t="str">
        <f>IF('Option 1'!G145="","",'Option 1'!G145)</f>
        <v/>
      </c>
      <c r="H145" s="184" t="str">
        <f>IF('Option 1'!H145="","",'Option 1'!H145)</f>
        <v/>
      </c>
      <c r="I145" s="184" t="str">
        <f>IF('Option 1'!I145="","",'Option 1'!I145)</f>
        <v/>
      </c>
      <c r="J145" s="184" t="str">
        <f>IF('Option 1'!J145="","",'Option 1'!J145)</f>
        <v/>
      </c>
      <c r="K145" s="184" t="str">
        <f>IF('Option 1'!K145="","",'Option 1'!K145)</f>
        <v/>
      </c>
      <c r="L145" s="184" t="str">
        <f>IF('Option 1'!L145="","",'Option 1'!L145)</f>
        <v/>
      </c>
      <c r="M145" s="184" t="str">
        <f>IF('Option 1'!M145="","",'Option 1'!M145)</f>
        <v/>
      </c>
      <c r="N145" s="184" t="str">
        <f>IF('Option 1'!N145="","",'Option 1'!N145)</f>
        <v/>
      </c>
      <c r="O145" s="184" t="str">
        <f>IF('Option 1'!O145="","",'Option 1'!O145)</f>
        <v/>
      </c>
      <c r="P145" s="124">
        <f t="shared" si="17"/>
        <v>0</v>
      </c>
    </row>
    <row r="146" spans="1:16" ht="15.75" customHeight="1" x14ac:dyDescent="0.25">
      <c r="A146" s="239"/>
      <c r="B146" s="4" t="str">
        <f>IF('Option 1'!B146="","",'Option 1'!B146)</f>
        <v/>
      </c>
      <c r="C146" s="188" t="str">
        <f>IF('Option 1'!C146="","",'Option 1'!C146)</f>
        <v>Balcony Deck Coating</v>
      </c>
      <c r="D146" s="186" t="str">
        <f>IF('Option 1'!D146="","",'Option 1'!D146)</f>
        <v/>
      </c>
      <c r="E146" s="184" t="str">
        <f>IF('Option 1'!E146="","",'Option 1'!E146)</f>
        <v/>
      </c>
      <c r="F146" s="184" t="str">
        <f>IF('Option 1'!F146="","",'Option 1'!F146)</f>
        <v/>
      </c>
      <c r="G146" s="184" t="str">
        <f>IF('Option 1'!G146="","",'Option 1'!G146)</f>
        <v/>
      </c>
      <c r="H146" s="184" t="str">
        <f>IF('Option 1'!H146="","",'Option 1'!H146)</f>
        <v/>
      </c>
      <c r="I146" s="184" t="str">
        <f>IF('Option 1'!I146="","",'Option 1'!I146)</f>
        <v/>
      </c>
      <c r="J146" s="184" t="str">
        <f>IF('Option 1'!J146="","",'Option 1'!J146)</f>
        <v/>
      </c>
      <c r="K146" s="184">
        <f>IF('Option 1'!K146="","",'Option 1'!K146)</f>
        <v>612000</v>
      </c>
      <c r="L146" s="184" t="str">
        <f>IF('Option 1'!L146="","",'Option 1'!L146)</f>
        <v/>
      </c>
      <c r="M146" s="184" t="str">
        <f>IF('Option 1'!M146="","",'Option 1'!M146)</f>
        <v/>
      </c>
      <c r="N146" s="184" t="str">
        <f>IF('Option 1'!N146="","",'Option 1'!N146)</f>
        <v/>
      </c>
      <c r="O146" s="184" t="str">
        <f>IF('Option 1'!O146="","",'Option 1'!O146)</f>
        <v/>
      </c>
      <c r="P146" s="124">
        <f t="shared" si="17"/>
        <v>612000</v>
      </c>
    </row>
    <row r="147" spans="1:16" ht="15.75" customHeight="1" x14ac:dyDescent="0.25">
      <c r="A147" s="239"/>
      <c r="B147" s="4" t="str">
        <f>IF('Option 1'!B147="","",'Option 1'!B147)</f>
        <v/>
      </c>
      <c r="C147" s="188" t="str">
        <f>IF('Option 1'!C147="","",'Option 1'!C147)</f>
        <v>Balcony Railings</v>
      </c>
      <c r="D147" s="186" t="str">
        <f>IF('Option 1'!D147="","",'Option 1'!D147)</f>
        <v/>
      </c>
      <c r="E147" s="184" t="str">
        <f>IF('Option 1'!E147="","",'Option 1'!E147)</f>
        <v/>
      </c>
      <c r="F147" s="184" t="str">
        <f>IF('Option 1'!F147="","",'Option 1'!F147)</f>
        <v/>
      </c>
      <c r="G147" s="184" t="str">
        <f>IF('Option 1'!G147="","",'Option 1'!G147)</f>
        <v/>
      </c>
      <c r="H147" s="184" t="str">
        <f>IF('Option 1'!H147="","",'Option 1'!H147)</f>
        <v/>
      </c>
      <c r="I147" s="184" t="str">
        <f>IF('Option 1'!I147="","",'Option 1'!I147)</f>
        <v/>
      </c>
      <c r="J147" s="184" t="str">
        <f>IF('Option 1'!J147="","",'Option 1'!J147)</f>
        <v/>
      </c>
      <c r="K147" s="184" t="str">
        <f>IF('Option 1'!K147="","",'Option 1'!K147)</f>
        <v/>
      </c>
      <c r="L147" s="184" t="str">
        <f>IF('Option 1'!L147="","",'Option 1'!L147)</f>
        <v/>
      </c>
      <c r="M147" s="184" t="str">
        <f>IF('Option 1'!M147="","",'Option 1'!M147)</f>
        <v/>
      </c>
      <c r="N147" s="184" t="str">
        <f>IF('Option 1'!N147="","",'Option 1'!N147)</f>
        <v/>
      </c>
      <c r="O147" s="184" t="str">
        <f>IF('Option 1'!O147="","",'Option 1'!O147)</f>
        <v/>
      </c>
      <c r="P147" s="124">
        <f t="shared" si="17"/>
        <v>0</v>
      </c>
    </row>
    <row r="148" spans="1:16" ht="15.75" customHeight="1" x14ac:dyDescent="0.25">
      <c r="A148" s="239"/>
      <c r="B148" s="4" t="str">
        <f>IF('Option 1'!B148="","",'Option 1'!B148)</f>
        <v/>
      </c>
      <c r="C148" s="188" t="str">
        <f>IF('Option 1'!C148="","",'Option 1'!C148)</f>
        <v>Garage Doors</v>
      </c>
      <c r="D148" s="186" t="str">
        <f>IF('Option 1'!D148="","",'Option 1'!D148)</f>
        <v/>
      </c>
      <c r="E148" s="184" t="str">
        <f>IF('Option 1'!E148="","",'Option 1'!E148)</f>
        <v/>
      </c>
      <c r="F148" s="184" t="str">
        <f>IF('Option 1'!F148="","",'Option 1'!F148)</f>
        <v/>
      </c>
      <c r="G148" s="184" t="str">
        <f>IF('Option 1'!G148="","",'Option 1'!G148)</f>
        <v/>
      </c>
      <c r="H148" s="184" t="str">
        <f>IF('Option 1'!H148="","",'Option 1'!H148)</f>
        <v/>
      </c>
      <c r="I148" s="184" t="str">
        <f>IF('Option 1'!I148="","",'Option 1'!I148)</f>
        <v/>
      </c>
      <c r="J148" s="184">
        <f>IF('Option 1'!J148="","",'Option 1'!J148)</f>
        <v>66426</v>
      </c>
      <c r="K148" s="184" t="str">
        <f>IF('Option 1'!K148="","",'Option 1'!K148)</f>
        <v/>
      </c>
      <c r="L148" s="184" t="str">
        <f>IF('Option 1'!L148="","",'Option 1'!L148)</f>
        <v/>
      </c>
      <c r="M148" s="184" t="str">
        <f>IF('Option 1'!M148="","",'Option 1'!M148)</f>
        <v/>
      </c>
      <c r="N148" s="184" t="str">
        <f>IF('Option 1'!N148="","",'Option 1'!N148)</f>
        <v/>
      </c>
      <c r="O148" s="184" t="str">
        <f>IF('Option 1'!O148="","",'Option 1'!O148)</f>
        <v/>
      </c>
      <c r="P148" s="124">
        <f t="shared" si="17"/>
        <v>66426</v>
      </c>
    </row>
    <row r="149" spans="1:16" ht="15.75" customHeight="1" x14ac:dyDescent="0.25">
      <c r="A149" s="239"/>
      <c r="B149" s="4" t="str">
        <f>IF('Option 1'!B149="","",'Option 1'!B149)</f>
        <v/>
      </c>
      <c r="C149" s="188" t="str">
        <f>IF('Option 1'!C149="","",'Option 1'!C149)</f>
        <v>Glazed Entry Doors</v>
      </c>
      <c r="D149" s="186" t="str">
        <f>IF('Option 1'!D149="","",'Option 1'!D149)</f>
        <v/>
      </c>
      <c r="E149" s="184" t="str">
        <f>IF('Option 1'!E149="","",'Option 1'!E149)</f>
        <v/>
      </c>
      <c r="F149" s="184" t="str">
        <f>IF('Option 1'!F149="","",'Option 1'!F149)</f>
        <v/>
      </c>
      <c r="G149" s="184" t="str">
        <f>IF('Option 1'!G149="","",'Option 1'!G149)</f>
        <v/>
      </c>
      <c r="H149" s="184" t="str">
        <f>IF('Option 1'!H149="","",'Option 1'!H149)</f>
        <v/>
      </c>
      <c r="I149" s="184" t="str">
        <f>IF('Option 1'!I149="","",'Option 1'!I149)</f>
        <v/>
      </c>
      <c r="J149" s="184" t="str">
        <f>IF('Option 1'!J149="","",'Option 1'!J149)</f>
        <v/>
      </c>
      <c r="K149" s="184">
        <f>IF('Option 1'!K149="","",'Option 1'!K149)</f>
        <v>33213</v>
      </c>
      <c r="L149" s="184" t="str">
        <f>IF('Option 1'!L149="","",'Option 1'!L149)</f>
        <v/>
      </c>
      <c r="M149" s="184" t="str">
        <f>IF('Option 1'!M149="","",'Option 1'!M149)</f>
        <v/>
      </c>
      <c r="N149" s="184" t="str">
        <f>IF('Option 1'!N149="","",'Option 1'!N149)</f>
        <v/>
      </c>
      <c r="O149" s="184" t="str">
        <f>IF('Option 1'!O149="","",'Option 1'!O149)</f>
        <v/>
      </c>
      <c r="P149" s="124">
        <f t="shared" si="17"/>
        <v>33213</v>
      </c>
    </row>
    <row r="150" spans="1:16" ht="15.75" customHeight="1" x14ac:dyDescent="0.25">
      <c r="A150" s="239"/>
      <c r="B150" s="4" t="str">
        <f>IF('Option 1'!B150="","",'Option 1'!B150)</f>
        <v/>
      </c>
      <c r="C150" s="188" t="str">
        <f>IF('Option 1'!C150="","",'Option 1'!C150)</f>
        <v>Single Metal Doors</v>
      </c>
      <c r="D150" s="186" t="str">
        <f>IF('Option 1'!D150="","",'Option 1'!D150)</f>
        <v/>
      </c>
      <c r="E150" s="184" t="str">
        <f>IF('Option 1'!E150="","",'Option 1'!E150)</f>
        <v/>
      </c>
      <c r="F150" s="184" t="str">
        <f>IF('Option 1'!F150="","",'Option 1'!F150)</f>
        <v/>
      </c>
      <c r="G150" s="184" t="str">
        <f>IF('Option 1'!G150="","",'Option 1'!G150)</f>
        <v/>
      </c>
      <c r="H150" s="184">
        <f>IF('Option 1'!H150="","",'Option 1'!H150)</f>
        <v>38749</v>
      </c>
      <c r="I150" s="184" t="str">
        <f>IF('Option 1'!I150="","",'Option 1'!I150)</f>
        <v/>
      </c>
      <c r="J150" s="184" t="str">
        <f>IF('Option 1'!J150="","",'Option 1'!J150)</f>
        <v/>
      </c>
      <c r="K150" s="184" t="str">
        <f>IF('Option 1'!K150="","",'Option 1'!K150)</f>
        <v/>
      </c>
      <c r="L150" s="184" t="str">
        <f>IF('Option 1'!L150="","",'Option 1'!L150)</f>
        <v/>
      </c>
      <c r="M150" s="184" t="str">
        <f>IF('Option 1'!M150="","",'Option 1'!M150)</f>
        <v/>
      </c>
      <c r="N150" s="184" t="str">
        <f>IF('Option 1'!N150="","",'Option 1'!N150)</f>
        <v/>
      </c>
      <c r="O150" s="184" t="str">
        <f>IF('Option 1'!O150="","",'Option 1'!O150)</f>
        <v/>
      </c>
      <c r="P150" s="124">
        <f t="shared" si="17"/>
        <v>38749</v>
      </c>
    </row>
    <row r="151" spans="1:16" ht="15.75" customHeight="1" x14ac:dyDescent="0.25">
      <c r="A151" s="239"/>
      <c r="B151" s="4" t="str">
        <f>IF('Option 1'!B151="","",'Option 1'!B151)</f>
        <v/>
      </c>
      <c r="C151" s="188" t="str">
        <f>IF('Option 1'!C151="","",'Option 1'!C151)</f>
        <v>Double Metal Doors</v>
      </c>
      <c r="D151" s="186" t="str">
        <f>IF('Option 1'!D151="","",'Option 1'!D151)</f>
        <v/>
      </c>
      <c r="E151" s="184" t="str">
        <f>IF('Option 1'!E151="","",'Option 1'!E151)</f>
        <v/>
      </c>
      <c r="F151" s="184" t="str">
        <f>IF('Option 1'!F151="","",'Option 1'!F151)</f>
        <v/>
      </c>
      <c r="G151" s="184">
        <f>IF('Option 1'!G151="","",'Option 1'!G151)</f>
        <v>17664</v>
      </c>
      <c r="H151" s="184" t="str">
        <f>IF('Option 1'!H151="","",'Option 1'!H151)</f>
        <v/>
      </c>
      <c r="I151" s="184" t="str">
        <f>IF('Option 1'!I151="","",'Option 1'!I151)</f>
        <v/>
      </c>
      <c r="J151" s="184" t="str">
        <f>IF('Option 1'!J151="","",'Option 1'!J151)</f>
        <v/>
      </c>
      <c r="K151" s="184" t="str">
        <f>IF('Option 1'!K151="","",'Option 1'!K151)</f>
        <v/>
      </c>
      <c r="L151" s="184" t="str">
        <f>IF('Option 1'!L151="","",'Option 1'!L151)</f>
        <v/>
      </c>
      <c r="M151" s="184" t="str">
        <f>IF('Option 1'!M151="","",'Option 1'!M151)</f>
        <v/>
      </c>
      <c r="N151" s="184" t="str">
        <f>IF('Option 1'!N151="","",'Option 1'!N151)</f>
        <v/>
      </c>
      <c r="O151" s="184" t="str">
        <f>IF('Option 1'!O151="","",'Option 1'!O151)</f>
        <v/>
      </c>
      <c r="P151" s="124">
        <f t="shared" si="17"/>
        <v>17664</v>
      </c>
    </row>
    <row r="152" spans="1:16" ht="15.75" customHeight="1" x14ac:dyDescent="0.25">
      <c r="A152" s="239"/>
      <c r="B152" s="4" t="str">
        <f>IF('Option 1'!B152="","",'Option 1'!B152)</f>
        <v/>
      </c>
      <c r="C152" s="188" t="str">
        <f>IF('Option 1'!C152="","",'Option 1'!C152)</f>
        <v>Mailboxes</v>
      </c>
      <c r="D152" s="186" t="str">
        <f>IF('Option 1'!D152="","",'Option 1'!D152)</f>
        <v/>
      </c>
      <c r="E152" s="184" t="str">
        <f>IF('Option 1'!E152="","",'Option 1'!E152)</f>
        <v/>
      </c>
      <c r="F152" s="184" t="str">
        <f>IF('Option 1'!F152="","",'Option 1'!F152)</f>
        <v/>
      </c>
      <c r="G152" s="184" t="str">
        <f>IF('Option 1'!G152="","",'Option 1'!G152)</f>
        <v/>
      </c>
      <c r="H152" s="184" t="str">
        <f>IF('Option 1'!H152="","",'Option 1'!H152)</f>
        <v/>
      </c>
      <c r="I152" s="184" t="str">
        <f>IF('Option 1'!I152="","",'Option 1'!I152)</f>
        <v/>
      </c>
      <c r="J152" s="184" t="str">
        <f>IF('Option 1'!J152="","",'Option 1'!J152)</f>
        <v/>
      </c>
      <c r="K152" s="184" t="str">
        <f>IF('Option 1'!K152="","",'Option 1'!K152)</f>
        <v/>
      </c>
      <c r="L152" s="184" t="str">
        <f>IF('Option 1'!L152="","",'Option 1'!L152)</f>
        <v/>
      </c>
      <c r="M152" s="184" t="str">
        <f>IF('Option 1'!M152="","",'Option 1'!M152)</f>
        <v/>
      </c>
      <c r="N152" s="184" t="str">
        <f>IF('Option 1'!N152="","",'Option 1'!N152)</f>
        <v/>
      </c>
      <c r="O152" s="184">
        <f>IF('Option 1'!O152="","",'Option 1'!O152)</f>
        <v>23000</v>
      </c>
      <c r="P152" s="124">
        <f t="shared" si="17"/>
        <v>23000</v>
      </c>
    </row>
    <row r="153" spans="1:16" ht="15.75" customHeight="1" x14ac:dyDescent="0.25">
      <c r="A153" s="239"/>
      <c r="B153" s="4" t="str">
        <f>IF('Option 1'!B153="","",'Option 1'!B153)</f>
        <v/>
      </c>
      <c r="C153" s="3" t="str">
        <f>IF('Option 1'!C153="","",'Option 1'!C153)</f>
        <v>Electrical Elements</v>
      </c>
      <c r="D153" s="186" t="str">
        <f>IF('Option 1'!D153="","",'Option 1'!D153)</f>
        <v/>
      </c>
      <c r="E153" s="184" t="str">
        <f>IF('Option 1'!E153="","",'Option 1'!E153)</f>
        <v/>
      </c>
      <c r="F153" s="184" t="str">
        <f>IF('Option 1'!F153="","",'Option 1'!F153)</f>
        <v/>
      </c>
      <c r="G153" s="184" t="str">
        <f>IF('Option 1'!G153="","",'Option 1'!G153)</f>
        <v/>
      </c>
      <c r="H153" s="184" t="str">
        <f>IF('Option 1'!H153="","",'Option 1'!H153)</f>
        <v/>
      </c>
      <c r="I153" s="184" t="str">
        <f>IF('Option 1'!I153="","",'Option 1'!I153)</f>
        <v/>
      </c>
      <c r="J153" s="184" t="str">
        <f>IF('Option 1'!J153="","",'Option 1'!J153)</f>
        <v/>
      </c>
      <c r="K153" s="184" t="str">
        <f>IF('Option 1'!K153="","",'Option 1'!K153)</f>
        <v/>
      </c>
      <c r="L153" s="184" t="str">
        <f>IF('Option 1'!L153="","",'Option 1'!L153)</f>
        <v/>
      </c>
      <c r="M153" s="184" t="str">
        <f>IF('Option 1'!M153="","",'Option 1'!M153)</f>
        <v/>
      </c>
      <c r="N153" s="184" t="str">
        <f>IF('Option 1'!N153="","",'Option 1'!N153)</f>
        <v/>
      </c>
      <c r="O153" s="184" t="str">
        <f>IF('Option 1'!O153="","",'Option 1'!O153)</f>
        <v/>
      </c>
      <c r="P153" s="124">
        <f t="shared" ref="P153:P216" si="18">IF(SUM(D153:O153)=0,0,SUM(D153:O153))</f>
        <v>0</v>
      </c>
    </row>
    <row r="154" spans="1:16" ht="15.75" customHeight="1" x14ac:dyDescent="0.25">
      <c r="A154" s="239"/>
      <c r="B154" s="4" t="str">
        <f>IF('Option 1'!B154="","",'Option 1'!B154)</f>
        <v/>
      </c>
      <c r="C154" s="188" t="str">
        <f>IF('Option 1'!C154="","",'Option 1'!C154)</f>
        <v>Street Light Poles</v>
      </c>
      <c r="D154" s="186" t="str">
        <f>IF('Option 1'!D154="","",'Option 1'!D154)</f>
        <v/>
      </c>
      <c r="E154" s="184" t="str">
        <f>IF('Option 1'!E154="","",'Option 1'!E154)</f>
        <v/>
      </c>
      <c r="F154" s="184" t="str">
        <f>IF('Option 1'!F154="","",'Option 1'!F154)</f>
        <v/>
      </c>
      <c r="G154" s="184" t="str">
        <f>IF('Option 1'!G154="","",'Option 1'!G154)</f>
        <v/>
      </c>
      <c r="H154" s="184" t="str">
        <f>IF('Option 1'!H154="","",'Option 1'!H154)</f>
        <v/>
      </c>
      <c r="I154" s="184">
        <f>IF('Option 1'!I154="","",'Option 1'!I154)</f>
        <v>69069</v>
      </c>
      <c r="J154" s="184" t="str">
        <f>IF('Option 1'!J154="","",'Option 1'!J154)</f>
        <v/>
      </c>
      <c r="K154" s="184" t="str">
        <f>IF('Option 1'!K154="","",'Option 1'!K154)</f>
        <v/>
      </c>
      <c r="L154" s="184" t="str">
        <f>IF('Option 1'!L154="","",'Option 1'!L154)</f>
        <v/>
      </c>
      <c r="M154" s="184" t="str">
        <f>IF('Option 1'!M154="","",'Option 1'!M154)</f>
        <v/>
      </c>
      <c r="N154" s="184" t="str">
        <f>IF('Option 1'!N154="","",'Option 1'!N154)</f>
        <v/>
      </c>
      <c r="O154" s="184" t="str">
        <f>IF('Option 1'!O154="","",'Option 1'!O154)</f>
        <v/>
      </c>
      <c r="P154" s="124">
        <f t="shared" si="18"/>
        <v>69069</v>
      </c>
    </row>
    <row r="155" spans="1:16" ht="15.75" customHeight="1" x14ac:dyDescent="0.25">
      <c r="A155" s="239"/>
      <c r="B155" s="4" t="str">
        <f>IF('Option 1'!B155="","",'Option 1'!B155)</f>
        <v/>
      </c>
      <c r="C155" s="188" t="str">
        <f>IF('Option 1'!C155="","",'Option 1'!C155)</f>
        <v>Entry Light Poles</v>
      </c>
      <c r="D155" s="186" t="str">
        <f>IF('Option 1'!D155="","",'Option 1'!D155)</f>
        <v/>
      </c>
      <c r="E155" s="184" t="str">
        <f>IF('Option 1'!E155="","",'Option 1'!E155)</f>
        <v/>
      </c>
      <c r="F155" s="184" t="str">
        <f>IF('Option 1'!F155="","",'Option 1'!F155)</f>
        <v/>
      </c>
      <c r="G155" s="184" t="str">
        <f>IF('Option 1'!G155="","",'Option 1'!G155)</f>
        <v/>
      </c>
      <c r="H155" s="184" t="str">
        <f>IF('Option 1'!H155="","",'Option 1'!H155)</f>
        <v/>
      </c>
      <c r="I155" s="184" t="str">
        <f>IF('Option 1'!I155="","",'Option 1'!I155)</f>
        <v/>
      </c>
      <c r="J155" s="184">
        <f>IF('Option 1'!J155="","",'Option 1'!J155)</f>
        <v>9591</v>
      </c>
      <c r="K155" s="184" t="str">
        <f>IF('Option 1'!K155="","",'Option 1'!K155)</f>
        <v/>
      </c>
      <c r="L155" s="184" t="str">
        <f>IF('Option 1'!L155="","",'Option 1'!L155)</f>
        <v/>
      </c>
      <c r="M155" s="184" t="str">
        <f>IF('Option 1'!M155="","",'Option 1'!M155)</f>
        <v/>
      </c>
      <c r="N155" s="184" t="str">
        <f>IF('Option 1'!N155="","",'Option 1'!N155)</f>
        <v/>
      </c>
      <c r="O155" s="184" t="str">
        <f>IF('Option 1'!O155="","",'Option 1'!O155)</f>
        <v/>
      </c>
      <c r="P155" s="124">
        <f t="shared" si="18"/>
        <v>9591</v>
      </c>
    </row>
    <row r="156" spans="1:16" ht="15.75" customHeight="1" x14ac:dyDescent="0.25">
      <c r="A156" s="239"/>
      <c r="B156" s="4" t="str">
        <f>IF('Option 1'!B156="","",'Option 1'!B156)</f>
        <v/>
      </c>
      <c r="C156" s="188" t="str">
        <f>IF('Option 1'!C156="","",'Option 1'!C156)</f>
        <v>Parking Lot Poles</v>
      </c>
      <c r="D156" s="186" t="str">
        <f>IF('Option 1'!D156="","",'Option 1'!D156)</f>
        <v/>
      </c>
      <c r="E156" s="184" t="str">
        <f>IF('Option 1'!E156="","",'Option 1'!E156)</f>
        <v/>
      </c>
      <c r="F156" s="184" t="str">
        <f>IF('Option 1'!F156="","",'Option 1'!F156)</f>
        <v/>
      </c>
      <c r="G156" s="184" t="str">
        <f>IF('Option 1'!G156="","",'Option 1'!G156)</f>
        <v/>
      </c>
      <c r="H156" s="184" t="str">
        <f>IF('Option 1'!H156="","",'Option 1'!H156)</f>
        <v/>
      </c>
      <c r="I156" s="184" t="str">
        <f>IF('Option 1'!I156="","",'Option 1'!I156)</f>
        <v/>
      </c>
      <c r="J156" s="184" t="str">
        <f>IF('Option 1'!J156="","",'Option 1'!J156)</f>
        <v/>
      </c>
      <c r="K156" s="184" t="str">
        <f>IF('Option 1'!K156="","",'Option 1'!K156)</f>
        <v/>
      </c>
      <c r="L156" s="184">
        <f>IF('Option 1'!L156="","",'Option 1'!L156)</f>
        <v>28883</v>
      </c>
      <c r="M156" s="184" t="str">
        <f>IF('Option 1'!M156="","",'Option 1'!M156)</f>
        <v/>
      </c>
      <c r="N156" s="184" t="str">
        <f>IF('Option 1'!N156="","",'Option 1'!N156)</f>
        <v/>
      </c>
      <c r="O156" s="184" t="str">
        <f>IF('Option 1'!O156="","",'Option 1'!O156)</f>
        <v/>
      </c>
      <c r="P156" s="124">
        <f t="shared" si="18"/>
        <v>28883</v>
      </c>
    </row>
    <row r="157" spans="1:16" ht="15.75" customHeight="1" x14ac:dyDescent="0.25">
      <c r="A157" s="239"/>
      <c r="B157" s="4" t="str">
        <f>IF('Option 1'!B157="","",'Option 1'!B157)</f>
        <v/>
      </c>
      <c r="C157" s="188" t="str">
        <f>IF('Option 1'!C157="","",'Option 1'!C157)</f>
        <v>Light Fixtures and Fans</v>
      </c>
      <c r="D157" s="186" t="str">
        <f>IF('Option 1'!D157="","",'Option 1'!D157)</f>
        <v/>
      </c>
      <c r="E157" s="184" t="str">
        <f>IF('Option 1'!E157="","",'Option 1'!E157)</f>
        <v/>
      </c>
      <c r="F157" s="184" t="str">
        <f>IF('Option 1'!F157="","",'Option 1'!F157)</f>
        <v/>
      </c>
      <c r="G157" s="184">
        <f>IF('Option 1'!G157="","",'Option 1'!G157)</f>
        <v>4152</v>
      </c>
      <c r="H157" s="184" t="str">
        <f>IF('Option 1'!H157="","",'Option 1'!H157)</f>
        <v/>
      </c>
      <c r="I157" s="184" t="str">
        <f>IF('Option 1'!I157="","",'Option 1'!I157)</f>
        <v/>
      </c>
      <c r="J157" s="184" t="str">
        <f>IF('Option 1'!J157="","",'Option 1'!J157)</f>
        <v/>
      </c>
      <c r="K157" s="184" t="str">
        <f>IF('Option 1'!K157="","",'Option 1'!K157)</f>
        <v/>
      </c>
      <c r="L157" s="184" t="str">
        <f>IF('Option 1'!L157="","",'Option 1'!L157)</f>
        <v/>
      </c>
      <c r="M157" s="184" t="str">
        <f>IF('Option 1'!M157="","",'Option 1'!M157)</f>
        <v/>
      </c>
      <c r="N157" s="184" t="str">
        <f>IF('Option 1'!N157="","",'Option 1'!N157)</f>
        <v/>
      </c>
      <c r="O157" s="184" t="str">
        <f>IF('Option 1'!O157="","",'Option 1'!O157)</f>
        <v/>
      </c>
      <c r="P157" s="124">
        <f t="shared" si="18"/>
        <v>4152</v>
      </c>
    </row>
    <row r="158" spans="1:16" ht="15.75" customHeight="1" x14ac:dyDescent="0.25">
      <c r="A158" s="239"/>
      <c r="B158" s="4" t="str">
        <f>IF('Option 1'!B158="","",'Option 1'!B158)</f>
        <v/>
      </c>
      <c r="C158" s="188" t="str">
        <f>IF('Option 1'!C158="","",'Option 1'!C158)</f>
        <v>Floodlights</v>
      </c>
      <c r="D158" s="186" t="str">
        <f>IF('Option 1'!D158="","",'Option 1'!D158)</f>
        <v/>
      </c>
      <c r="E158" s="184" t="str">
        <f>IF('Option 1'!E158="","",'Option 1'!E158)</f>
        <v/>
      </c>
      <c r="F158" s="184" t="str">
        <f>IF('Option 1'!F158="","",'Option 1'!F158)</f>
        <v/>
      </c>
      <c r="G158" s="184" t="str">
        <f>IF('Option 1'!G158="","",'Option 1'!G158)</f>
        <v/>
      </c>
      <c r="H158" s="184" t="str">
        <f>IF('Option 1'!H158="","",'Option 1'!H158)</f>
        <v/>
      </c>
      <c r="I158" s="184">
        <f>IF('Option 1'!I158="","",'Option 1'!I158)</f>
        <v>13839</v>
      </c>
      <c r="J158" s="184" t="str">
        <f>IF('Option 1'!J158="","",'Option 1'!J158)</f>
        <v/>
      </c>
      <c r="K158" s="184" t="str">
        <f>IF('Option 1'!K158="","",'Option 1'!K158)</f>
        <v/>
      </c>
      <c r="L158" s="184" t="str">
        <f>IF('Option 1'!L158="","",'Option 1'!L158)</f>
        <v/>
      </c>
      <c r="M158" s="184" t="str">
        <f>IF('Option 1'!M158="","",'Option 1'!M158)</f>
        <v/>
      </c>
      <c r="N158" s="184" t="str">
        <f>IF('Option 1'!N158="","",'Option 1'!N158)</f>
        <v/>
      </c>
      <c r="O158" s="184" t="str">
        <f>IF('Option 1'!O158="","",'Option 1'!O158)</f>
        <v/>
      </c>
      <c r="P158" s="124">
        <f t="shared" si="18"/>
        <v>13839</v>
      </c>
    </row>
    <row r="159" spans="1:16" ht="15.75" customHeight="1" x14ac:dyDescent="0.25">
      <c r="A159" s="239"/>
      <c r="B159" s="4" t="str">
        <f>IF('Option 1'!B159="","",'Option 1'!B159)</f>
        <v/>
      </c>
      <c r="C159" s="188" t="str">
        <f>IF('Option 1'!C159="","",'Option 1'!C159)</f>
        <v>Canopy Lights</v>
      </c>
      <c r="D159" s="186" t="str">
        <f>IF('Option 1'!D159="","",'Option 1'!D159)</f>
        <v/>
      </c>
      <c r="E159" s="184">
        <f>IF('Option 1'!E159="","",'Option 1'!E159)</f>
        <v>7473</v>
      </c>
      <c r="F159" s="184" t="str">
        <f>IF('Option 1'!F159="","",'Option 1'!F159)</f>
        <v/>
      </c>
      <c r="G159" s="184" t="str">
        <f>IF('Option 1'!G159="","",'Option 1'!G159)</f>
        <v/>
      </c>
      <c r="H159" s="184" t="str">
        <f>IF('Option 1'!H159="","",'Option 1'!H159)</f>
        <v/>
      </c>
      <c r="I159" s="184" t="str">
        <f>IF('Option 1'!I159="","",'Option 1'!I159)</f>
        <v/>
      </c>
      <c r="J159" s="184" t="str">
        <f>IF('Option 1'!J159="","",'Option 1'!J159)</f>
        <v/>
      </c>
      <c r="K159" s="184" t="str">
        <f>IF('Option 1'!K159="","",'Option 1'!K159)</f>
        <v/>
      </c>
      <c r="L159" s="184" t="str">
        <f>IF('Option 1'!L159="","",'Option 1'!L159)</f>
        <v/>
      </c>
      <c r="M159" s="184" t="str">
        <f>IF('Option 1'!M159="","",'Option 1'!M159)</f>
        <v/>
      </c>
      <c r="N159" s="184" t="str">
        <f>IF('Option 1'!N159="","",'Option 1'!N159)</f>
        <v/>
      </c>
      <c r="O159" s="184" t="str">
        <f>IF('Option 1'!O159="","",'Option 1'!O159)</f>
        <v/>
      </c>
      <c r="P159" s="124">
        <f t="shared" si="18"/>
        <v>7473</v>
      </c>
    </row>
    <row r="160" spans="1:16" ht="15.75" customHeight="1" x14ac:dyDescent="0.25">
      <c r="A160" s="239"/>
      <c r="B160" s="4" t="str">
        <f>IF('Option 1'!B160="","",'Option 1'!B160)</f>
        <v/>
      </c>
      <c r="C160" s="188" t="str">
        <f>IF('Option 1'!C160="","",'Option 1'!C160)</f>
        <v>Intercom Panels</v>
      </c>
      <c r="D160" s="186" t="str">
        <f>IF('Option 1'!D160="","",'Option 1'!D160)</f>
        <v/>
      </c>
      <c r="E160" s="184" t="str">
        <f>IF('Option 1'!E160="","",'Option 1'!E160)</f>
        <v/>
      </c>
      <c r="F160" s="184" t="str">
        <f>IF('Option 1'!F160="","",'Option 1'!F160)</f>
        <v/>
      </c>
      <c r="G160" s="184" t="str">
        <f>IF('Option 1'!G160="","",'Option 1'!G160)</f>
        <v/>
      </c>
      <c r="H160" s="184" t="str">
        <f>IF('Option 1'!H160="","",'Option 1'!H160)</f>
        <v/>
      </c>
      <c r="I160" s="184" t="str">
        <f>IF('Option 1'!I160="","",'Option 1'!I160)</f>
        <v/>
      </c>
      <c r="J160" s="184" t="str">
        <f>IF('Option 1'!J160="","",'Option 1'!J160)</f>
        <v/>
      </c>
      <c r="K160" s="184" t="str">
        <f>IF('Option 1'!K160="","",'Option 1'!K160)</f>
        <v/>
      </c>
      <c r="L160" s="184" t="str">
        <f>IF('Option 1'!L160="","",'Option 1'!L160)</f>
        <v/>
      </c>
      <c r="M160" s="184" t="str">
        <f>IF('Option 1'!M160="","",'Option 1'!M160)</f>
        <v/>
      </c>
      <c r="N160" s="184">
        <f>IF('Option 1'!N160="","",'Option 1'!N160)</f>
        <v>83032</v>
      </c>
      <c r="O160" s="184" t="str">
        <f>IF('Option 1'!O160="","",'Option 1'!O160)</f>
        <v/>
      </c>
      <c r="P160" s="124">
        <f t="shared" si="18"/>
        <v>83032</v>
      </c>
    </row>
    <row r="161" spans="1:16" ht="15.75" customHeight="1" x14ac:dyDescent="0.25">
      <c r="A161" s="239"/>
      <c r="B161" s="4" t="str">
        <f>IF('Option 1'!B161="","",'Option 1'!B161)</f>
        <v/>
      </c>
      <c r="C161" s="188" t="str">
        <f>IF('Option 1'!C161="","",'Option 1'!C161)</f>
        <v>Security Cameras</v>
      </c>
      <c r="D161" s="186" t="str">
        <f>IF('Option 1'!D161="","",'Option 1'!D161)</f>
        <v/>
      </c>
      <c r="E161" s="184">
        <f>IF('Option 1'!E161="","",'Option 1'!E161)</f>
        <v>12455</v>
      </c>
      <c r="F161" s="184" t="str">
        <f>IF('Option 1'!F161="","",'Option 1'!F161)</f>
        <v/>
      </c>
      <c r="G161" s="184" t="str">
        <f>IF('Option 1'!G161="","",'Option 1'!G161)</f>
        <v/>
      </c>
      <c r="H161" s="184" t="str">
        <f>IF('Option 1'!H161="","",'Option 1'!H161)</f>
        <v/>
      </c>
      <c r="I161" s="184" t="str">
        <f>IF('Option 1'!I161="","",'Option 1'!I161)</f>
        <v/>
      </c>
      <c r="J161" s="184" t="str">
        <f>IF('Option 1'!J161="","",'Option 1'!J161)</f>
        <v/>
      </c>
      <c r="K161" s="184" t="str">
        <f>IF('Option 1'!K161="","",'Option 1'!K161)</f>
        <v/>
      </c>
      <c r="L161" s="184" t="str">
        <f>IF('Option 1'!L161="","",'Option 1'!L161)</f>
        <v/>
      </c>
      <c r="M161" s="184" t="str">
        <f>IF('Option 1'!M161="","",'Option 1'!M161)</f>
        <v/>
      </c>
      <c r="N161" s="184" t="str">
        <f>IF('Option 1'!N161="","",'Option 1'!N161)</f>
        <v/>
      </c>
      <c r="O161" s="184" t="str">
        <f>IF('Option 1'!O161="","",'Option 1'!O161)</f>
        <v/>
      </c>
      <c r="P161" s="124">
        <f t="shared" si="18"/>
        <v>12455</v>
      </c>
    </row>
    <row r="162" spans="1:16" ht="15.75" customHeight="1" x14ac:dyDescent="0.25">
      <c r="A162" s="239"/>
      <c r="B162" s="4" t="str">
        <f>IF('Option 1'!B162="","",'Option 1'!B162)</f>
        <v/>
      </c>
      <c r="C162" s="188" t="str">
        <f>IF('Option 1'!C162="","",'Option 1'!C162)</f>
        <v>Garage Light Fixtures</v>
      </c>
      <c r="D162" s="186">
        <f>IF('Option 1'!D162="","",'Option 1'!D162)</f>
        <v>16606</v>
      </c>
      <c r="E162" s="184" t="str">
        <f>IF('Option 1'!E162="","",'Option 1'!E162)</f>
        <v/>
      </c>
      <c r="F162" s="184" t="str">
        <f>IF('Option 1'!F162="","",'Option 1'!F162)</f>
        <v/>
      </c>
      <c r="G162" s="184" t="str">
        <f>IF('Option 1'!G162="","",'Option 1'!G162)</f>
        <v/>
      </c>
      <c r="H162" s="184" t="str">
        <f>IF('Option 1'!H162="","",'Option 1'!H162)</f>
        <v/>
      </c>
      <c r="I162" s="184" t="str">
        <f>IF('Option 1'!I162="","",'Option 1'!I162)</f>
        <v/>
      </c>
      <c r="J162" s="184" t="str">
        <f>IF('Option 1'!J162="","",'Option 1'!J162)</f>
        <v/>
      </c>
      <c r="K162" s="184" t="str">
        <f>IF('Option 1'!K162="","",'Option 1'!K162)</f>
        <v/>
      </c>
      <c r="L162" s="184" t="str">
        <f>IF('Option 1'!L162="","",'Option 1'!L162)</f>
        <v/>
      </c>
      <c r="M162" s="184" t="str">
        <f>IF('Option 1'!M162="","",'Option 1'!M162)</f>
        <v/>
      </c>
      <c r="N162" s="184" t="str">
        <f>IF('Option 1'!N162="","",'Option 1'!N162)</f>
        <v/>
      </c>
      <c r="O162" s="184" t="str">
        <f>IF('Option 1'!O162="","",'Option 1'!O162)</f>
        <v/>
      </c>
      <c r="P162" s="124">
        <f t="shared" si="18"/>
        <v>16606</v>
      </c>
    </row>
    <row r="163" spans="1:16" ht="15.75" customHeight="1" x14ac:dyDescent="0.25">
      <c r="A163" s="239"/>
      <c r="B163" s="4" t="str">
        <f>IF('Option 1'!B163="","",'Option 1'!B163)</f>
        <v/>
      </c>
      <c r="C163" s="188" t="str">
        <f>IF('Option 1'!C163="","",'Option 1'!C163)</f>
        <v>Sconce Light Fixtures</v>
      </c>
      <c r="D163" s="186" t="str">
        <f>IF('Option 1'!D163="","",'Option 1'!D163)</f>
        <v/>
      </c>
      <c r="E163" s="184" t="str">
        <f>IF('Option 1'!E163="","",'Option 1'!E163)</f>
        <v/>
      </c>
      <c r="F163" s="184" t="str">
        <f>IF('Option 1'!F163="","",'Option 1'!F163)</f>
        <v/>
      </c>
      <c r="G163" s="184" t="str">
        <f>IF('Option 1'!G163="","",'Option 1'!G163)</f>
        <v/>
      </c>
      <c r="H163" s="184">
        <f>IF('Option 1'!H163="","",'Option 1'!H163)</f>
        <v>77495</v>
      </c>
      <c r="I163" s="184" t="str">
        <f>IF('Option 1'!I163="","",'Option 1'!I163)</f>
        <v/>
      </c>
      <c r="J163" s="184" t="str">
        <f>IF('Option 1'!J163="","",'Option 1'!J163)</f>
        <v/>
      </c>
      <c r="K163" s="184" t="str">
        <f>IF('Option 1'!K163="","",'Option 1'!K163)</f>
        <v/>
      </c>
      <c r="L163" s="184" t="str">
        <f>IF('Option 1'!L163="","",'Option 1'!L163)</f>
        <v/>
      </c>
      <c r="M163" s="184" t="str">
        <f>IF('Option 1'!M163="","",'Option 1'!M163)</f>
        <v/>
      </c>
      <c r="N163" s="184" t="str">
        <f>IF('Option 1'!N163="","",'Option 1'!N163)</f>
        <v/>
      </c>
      <c r="O163" s="184" t="str">
        <f>IF('Option 1'!O163="","",'Option 1'!O163)</f>
        <v/>
      </c>
      <c r="P163" s="124">
        <f t="shared" si="18"/>
        <v>77495</v>
      </c>
    </row>
    <row r="164" spans="1:16" ht="15.75" customHeight="1" x14ac:dyDescent="0.25">
      <c r="A164" s="239"/>
      <c r="B164" s="4" t="str">
        <f>IF('Option 1'!B164="","",'Option 1'!B164)</f>
        <v/>
      </c>
      <c r="C164" s="188" t="str">
        <f>IF('Option 1'!C164="","",'Option 1'!C164)</f>
        <v>Lobby Ceiling Light Fixtures</v>
      </c>
      <c r="D164" s="186" t="str">
        <f>IF('Option 1'!D164="","",'Option 1'!D164)</f>
        <v/>
      </c>
      <c r="E164" s="184" t="str">
        <f>IF('Option 1'!E164="","",'Option 1'!E164)</f>
        <v/>
      </c>
      <c r="F164" s="184" t="str">
        <f>IF('Option 1'!F164="","",'Option 1'!F164)</f>
        <v/>
      </c>
      <c r="G164" s="184" t="str">
        <f>IF('Option 1'!G164="","",'Option 1'!G164)</f>
        <v/>
      </c>
      <c r="H164" s="184" t="str">
        <f>IF('Option 1'!H164="","",'Option 1'!H164)</f>
        <v/>
      </c>
      <c r="I164" s="184" t="str">
        <f>IF('Option 1'!I164="","",'Option 1'!I164)</f>
        <v/>
      </c>
      <c r="J164" s="184">
        <f>IF('Option 1'!J164="","",'Option 1'!J164)</f>
        <v>11071</v>
      </c>
      <c r="K164" s="184" t="str">
        <f>IF('Option 1'!K164="","",'Option 1'!K164)</f>
        <v/>
      </c>
      <c r="L164" s="184" t="str">
        <f>IF('Option 1'!L164="","",'Option 1'!L164)</f>
        <v/>
      </c>
      <c r="M164" s="184" t="str">
        <f>IF('Option 1'!M164="","",'Option 1'!M164)</f>
        <v/>
      </c>
      <c r="N164" s="184" t="str">
        <f>IF('Option 1'!N164="","",'Option 1'!N164)</f>
        <v/>
      </c>
      <c r="O164" s="184" t="str">
        <f>IF('Option 1'!O164="","",'Option 1'!O164)</f>
        <v/>
      </c>
      <c r="P164" s="124">
        <f t="shared" si="18"/>
        <v>11071</v>
      </c>
    </row>
    <row r="165" spans="1:16" ht="15.75" customHeight="1" x14ac:dyDescent="0.25">
      <c r="A165" s="239"/>
      <c r="B165" s="4" t="str">
        <f>IF('Option 1'!B165="","",'Option 1'!B165)</f>
        <v/>
      </c>
      <c r="C165" s="188" t="str">
        <f>IF('Option 1'!C165="","",'Option 1'!C165)</f>
        <v>Stair Light Fixtures</v>
      </c>
      <c r="D165" s="186" t="str">
        <f>IF('Option 1'!D165="","",'Option 1'!D165)</f>
        <v/>
      </c>
      <c r="E165" s="184" t="str">
        <f>IF('Option 1'!E165="","",'Option 1'!E165)</f>
        <v/>
      </c>
      <c r="F165" s="184" t="str">
        <f>IF('Option 1'!F165="","",'Option 1'!F165)</f>
        <v/>
      </c>
      <c r="G165" s="184" t="str">
        <f>IF('Option 1'!G165="","",'Option 1'!G165)</f>
        <v/>
      </c>
      <c r="H165" s="184">
        <f>IF('Option 1'!H165="","",'Option 1'!H165)</f>
        <v>19373</v>
      </c>
      <c r="I165" s="184" t="str">
        <f>IF('Option 1'!I165="","",'Option 1'!I165)</f>
        <v/>
      </c>
      <c r="J165" s="184" t="str">
        <f>IF('Option 1'!J165="","",'Option 1'!J165)</f>
        <v/>
      </c>
      <c r="K165" s="184" t="str">
        <f>IF('Option 1'!K165="","",'Option 1'!K165)</f>
        <v/>
      </c>
      <c r="L165" s="184" t="str">
        <f>IF('Option 1'!L165="","",'Option 1'!L165)</f>
        <v/>
      </c>
      <c r="M165" s="184" t="str">
        <f>IF('Option 1'!M165="","",'Option 1'!M165)</f>
        <v/>
      </c>
      <c r="N165" s="184" t="str">
        <f>IF('Option 1'!N165="","",'Option 1'!N165)</f>
        <v/>
      </c>
      <c r="O165" s="184" t="str">
        <f>IF('Option 1'!O165="","",'Option 1'!O165)</f>
        <v/>
      </c>
      <c r="P165" s="124">
        <f t="shared" si="18"/>
        <v>19373</v>
      </c>
    </row>
    <row r="166" spans="1:16" ht="15.75" customHeight="1" x14ac:dyDescent="0.25">
      <c r="A166" s="239"/>
      <c r="B166" s="4" t="str">
        <f>IF('Option 1'!B166="","",'Option 1'!B166)</f>
        <v/>
      </c>
      <c r="C166" s="188" t="str">
        <f>IF('Option 1'!C166="","",'Option 1'!C166)</f>
        <v>Lobby Chandeliers</v>
      </c>
      <c r="D166" s="186" t="str">
        <f>IF('Option 1'!D166="","",'Option 1'!D166)</f>
        <v/>
      </c>
      <c r="E166" s="184" t="str">
        <f>IF('Option 1'!E166="","",'Option 1'!E166)</f>
        <v/>
      </c>
      <c r="F166" s="184" t="str">
        <f>IF('Option 1'!F166="","",'Option 1'!F166)</f>
        <v/>
      </c>
      <c r="G166" s="184" t="str">
        <f>IF('Option 1'!G166="","",'Option 1'!G166)</f>
        <v/>
      </c>
      <c r="H166" s="184" t="str">
        <f>IF('Option 1'!H166="","",'Option 1'!H166)</f>
        <v/>
      </c>
      <c r="I166" s="184" t="str">
        <f>IF('Option 1'!I166="","",'Option 1'!I166)</f>
        <v/>
      </c>
      <c r="J166" s="184" t="str">
        <f>IF('Option 1'!J166="","",'Option 1'!J166)</f>
        <v/>
      </c>
      <c r="K166" s="184" t="str">
        <f>IF('Option 1'!K166="","",'Option 1'!K166)</f>
        <v/>
      </c>
      <c r="L166" s="184" t="str">
        <f>IF('Option 1'!L166="","",'Option 1'!L166)</f>
        <v/>
      </c>
      <c r="M166" s="184">
        <f>IF('Option 1'!M166="","",'Option 1'!M166)</f>
        <v>9964</v>
      </c>
      <c r="N166" s="184" t="str">
        <f>IF('Option 1'!N166="","",'Option 1'!N166)</f>
        <v/>
      </c>
      <c r="O166" s="184" t="str">
        <f>IF('Option 1'!O166="","",'Option 1'!O166)</f>
        <v/>
      </c>
      <c r="P166" s="124">
        <f t="shared" si="18"/>
        <v>9964</v>
      </c>
    </row>
    <row r="167" spans="1:16" ht="15.75" customHeight="1" x14ac:dyDescent="0.25">
      <c r="A167" s="239"/>
      <c r="B167" s="4" t="str">
        <f>IF('Option 1'!B167="","",'Option 1'!B167)</f>
        <v/>
      </c>
      <c r="C167" s="188" t="str">
        <f>IF('Option 1'!C167="","",'Option 1'!C167)</f>
        <v>Surface Light Fixtures</v>
      </c>
      <c r="D167" s="186" t="str">
        <f>IF('Option 1'!D167="","",'Option 1'!D167)</f>
        <v/>
      </c>
      <c r="E167" s="184" t="str">
        <f>IF('Option 1'!E167="","",'Option 1'!E167)</f>
        <v/>
      </c>
      <c r="F167" s="184" t="str">
        <f>IF('Option 1'!F167="","",'Option 1'!F167)</f>
        <v/>
      </c>
      <c r="G167" s="184" t="str">
        <f>IF('Option 1'!G167="","",'Option 1'!G167)</f>
        <v/>
      </c>
      <c r="H167" s="184" t="str">
        <f>IF('Option 1'!H167="","",'Option 1'!H167)</f>
        <v/>
      </c>
      <c r="I167" s="184" t="str">
        <f>IF('Option 1'!I167="","",'Option 1'!I167)</f>
        <v/>
      </c>
      <c r="J167" s="184" t="str">
        <f>IF('Option 1'!J167="","",'Option 1'!J167)</f>
        <v/>
      </c>
      <c r="K167" s="184" t="str">
        <f>IF('Option 1'!K167="","",'Option 1'!K167)</f>
        <v/>
      </c>
      <c r="L167" s="184" t="str">
        <f>IF('Option 1'!L167="","",'Option 1'!L167)</f>
        <v/>
      </c>
      <c r="M167" s="184" t="str">
        <f>IF('Option 1'!M167="","",'Option 1'!M167)</f>
        <v/>
      </c>
      <c r="N167" s="184" t="str">
        <f>IF('Option 1'!N167="","",'Option 1'!N167)</f>
        <v/>
      </c>
      <c r="O167" s="184" t="str">
        <f>IF('Option 1'!O167="","",'Option 1'!O167)</f>
        <v/>
      </c>
      <c r="P167" s="124">
        <f t="shared" si="18"/>
        <v>0</v>
      </c>
    </row>
    <row r="168" spans="1:16" ht="15.75" customHeight="1" x14ac:dyDescent="0.25">
      <c r="A168" s="239"/>
      <c r="B168" s="4" t="str">
        <f>IF('Option 1'!B168="","",'Option 1'!B168)</f>
        <v/>
      </c>
      <c r="C168" s="188" t="str">
        <f>IF('Option 1'!C168="","",'Option 1'!C168)</f>
        <v>Downlights</v>
      </c>
      <c r="D168" s="186" t="str">
        <f>IF('Option 1'!D168="","",'Option 1'!D168)</f>
        <v/>
      </c>
      <c r="E168" s="184" t="str">
        <f>IF('Option 1'!E168="","",'Option 1'!E168)</f>
        <v/>
      </c>
      <c r="F168" s="184" t="str">
        <f>IF('Option 1'!F168="","",'Option 1'!F168)</f>
        <v/>
      </c>
      <c r="G168" s="184" t="str">
        <f>IF('Option 1'!G168="","",'Option 1'!G168)</f>
        <v/>
      </c>
      <c r="H168" s="184">
        <f>IF('Option 1'!H168="","",'Option 1'!H168)</f>
        <v>3321</v>
      </c>
      <c r="I168" s="184" t="str">
        <f>IF('Option 1'!I168="","",'Option 1'!I168)</f>
        <v/>
      </c>
      <c r="J168" s="184" t="str">
        <f>IF('Option 1'!J168="","",'Option 1'!J168)</f>
        <v/>
      </c>
      <c r="K168" s="184" t="str">
        <f>IF('Option 1'!K168="","",'Option 1'!K168)</f>
        <v/>
      </c>
      <c r="L168" s="184" t="str">
        <f>IF('Option 1'!L168="","",'Option 1'!L168)</f>
        <v/>
      </c>
      <c r="M168" s="184" t="str">
        <f>IF('Option 1'!M168="","",'Option 1'!M168)</f>
        <v/>
      </c>
      <c r="N168" s="184" t="str">
        <f>IF('Option 1'!N168="","",'Option 1'!N168)</f>
        <v/>
      </c>
      <c r="O168" s="184" t="str">
        <f>IF('Option 1'!O168="","",'Option 1'!O168)</f>
        <v/>
      </c>
      <c r="P168" s="124">
        <f t="shared" si="18"/>
        <v>3321</v>
      </c>
    </row>
    <row r="169" spans="1:16" ht="15.75" customHeight="1" x14ac:dyDescent="0.25">
      <c r="A169" s="239"/>
      <c r="B169" s="4" t="str">
        <f>IF('Option 1'!B169="","",'Option 1'!B169)</f>
        <v/>
      </c>
      <c r="C169" s="188" t="str">
        <f>IF('Option 1'!C169="","",'Option 1'!C169)</f>
        <v>Fire Alarm Systems</v>
      </c>
      <c r="D169" s="186" t="str">
        <f>IF('Option 1'!D169="","",'Option 1'!D169)</f>
        <v/>
      </c>
      <c r="E169" s="184" t="str">
        <f>IF('Option 1'!E169="","",'Option 1'!E169)</f>
        <v/>
      </c>
      <c r="F169" s="184" t="str">
        <f>IF('Option 1'!F169="","",'Option 1'!F169)</f>
        <v/>
      </c>
      <c r="G169" s="184" t="str">
        <f>IF('Option 1'!G169="","",'Option 1'!G169)</f>
        <v/>
      </c>
      <c r="H169" s="184" t="str">
        <f>IF('Option 1'!H169="","",'Option 1'!H169)</f>
        <v/>
      </c>
      <c r="I169" s="184" t="str">
        <f>IF('Option 1'!I169="","",'Option 1'!I169)</f>
        <v/>
      </c>
      <c r="J169" s="184" t="str">
        <f>IF('Option 1'!J169="","",'Option 1'!J169)</f>
        <v/>
      </c>
      <c r="K169" s="184" t="str">
        <f>IF('Option 1'!K169="","",'Option 1'!K169)</f>
        <v/>
      </c>
      <c r="L169" s="184" t="str">
        <f>IF('Option 1'!L169="","",'Option 1'!L169)</f>
        <v/>
      </c>
      <c r="M169" s="184" t="str">
        <f>IF('Option 1'!M169="","",'Option 1'!M169)</f>
        <v/>
      </c>
      <c r="N169" s="184" t="str">
        <f>IF('Option 1'!N169="","",'Option 1'!N169)</f>
        <v/>
      </c>
      <c r="O169" s="184" t="str">
        <f>IF('Option 1'!O169="","",'Option 1'!O169)</f>
        <v/>
      </c>
      <c r="P169" s="124">
        <f t="shared" si="18"/>
        <v>0</v>
      </c>
    </row>
    <row r="170" spans="1:16" ht="15.75" customHeight="1" x14ac:dyDescent="0.25">
      <c r="A170" s="239"/>
      <c r="B170" s="4" t="str">
        <f>IF('Option 1'!B170="","",'Option 1'!B170)</f>
        <v/>
      </c>
      <c r="C170" s="188" t="str">
        <f>IF('Option 1'!C170="","",'Option 1'!C170)</f>
        <v>Automatic Garage Doors</v>
      </c>
      <c r="D170" s="186" t="str">
        <f>IF('Option 1'!D170="","",'Option 1'!D170)</f>
        <v/>
      </c>
      <c r="E170" s="184" t="str">
        <f>IF('Option 1'!E170="","",'Option 1'!E170)</f>
        <v/>
      </c>
      <c r="F170" s="184" t="str">
        <f>IF('Option 1'!F170="","",'Option 1'!F170)</f>
        <v/>
      </c>
      <c r="G170" s="184" t="str">
        <f>IF('Option 1'!G170="","",'Option 1'!G170)</f>
        <v/>
      </c>
      <c r="H170" s="184">
        <f>IF('Option 1'!H170="","",'Option 1'!H170)</f>
        <v>39675</v>
      </c>
      <c r="I170" s="184" t="str">
        <f>IF('Option 1'!I170="","",'Option 1'!I170)</f>
        <v/>
      </c>
      <c r="J170" s="184" t="str">
        <f>IF('Option 1'!J170="","",'Option 1'!J170)</f>
        <v/>
      </c>
      <c r="K170" s="184" t="str">
        <f>IF('Option 1'!K170="","",'Option 1'!K170)</f>
        <v/>
      </c>
      <c r="L170" s="184" t="str">
        <f>IF('Option 1'!L170="","",'Option 1'!L170)</f>
        <v/>
      </c>
      <c r="M170" s="184" t="str">
        <f>IF('Option 1'!M170="","",'Option 1'!M170)</f>
        <v/>
      </c>
      <c r="N170" s="184" t="str">
        <f>IF('Option 1'!N170="","",'Option 1'!N170)</f>
        <v/>
      </c>
      <c r="O170" s="184" t="str">
        <f>IF('Option 1'!O170="","",'Option 1'!O170)</f>
        <v/>
      </c>
      <c r="P170" s="124">
        <f t="shared" si="18"/>
        <v>39675</v>
      </c>
    </row>
    <row r="171" spans="1:16" ht="15.75" customHeight="1" x14ac:dyDescent="0.25">
      <c r="A171" s="239"/>
      <c r="B171" s="4" t="str">
        <f>IF('Option 1'!B171="","",'Option 1'!B171)</f>
        <v/>
      </c>
      <c r="C171" s="188" t="str">
        <f>IF('Option 1'!C171="","",'Option 1'!C171)</f>
        <v>Electrical System</v>
      </c>
      <c r="D171" s="186" t="str">
        <f>IF('Option 1'!D171="","",'Option 1'!D171)</f>
        <v/>
      </c>
      <c r="E171" s="184" t="str">
        <f>IF('Option 1'!E171="","",'Option 1'!E171)</f>
        <v/>
      </c>
      <c r="F171" s="184" t="str">
        <f>IF('Option 1'!F171="","",'Option 1'!F171)</f>
        <v/>
      </c>
      <c r="G171" s="184" t="str">
        <f>IF('Option 1'!G171="","",'Option 1'!G171)</f>
        <v/>
      </c>
      <c r="H171" s="184" t="str">
        <f>IF('Option 1'!H171="","",'Option 1'!H171)</f>
        <v/>
      </c>
      <c r="I171" s="184" t="str">
        <f>IF('Option 1'!I171="","",'Option 1'!I171)</f>
        <v/>
      </c>
      <c r="J171" s="184" t="str">
        <f>IF('Option 1'!J171="","",'Option 1'!J171)</f>
        <v/>
      </c>
      <c r="K171" s="184" t="str">
        <f>IF('Option 1'!K171="","",'Option 1'!K171)</f>
        <v/>
      </c>
      <c r="L171" s="184" t="str">
        <f>IF('Option 1'!L171="","",'Option 1'!L171)</f>
        <v/>
      </c>
      <c r="M171" s="184" t="str">
        <f>IF('Option 1'!M171="","",'Option 1'!M171)</f>
        <v/>
      </c>
      <c r="N171" s="184" t="str">
        <f>IF('Option 1'!N171="","",'Option 1'!N171)</f>
        <v/>
      </c>
      <c r="O171" s="184" t="str">
        <f>IF('Option 1'!O171="","",'Option 1'!O171)</f>
        <v/>
      </c>
      <c r="P171" s="124">
        <f t="shared" si="18"/>
        <v>0</v>
      </c>
    </row>
    <row r="172" spans="1:16" ht="15.75" customHeight="1" x14ac:dyDescent="0.25">
      <c r="A172" s="239"/>
      <c r="B172" s="4" t="str">
        <f>IF('Option 1'!B172="","",'Option 1'!B172)</f>
        <v/>
      </c>
      <c r="C172" s="188" t="str">
        <f>IF('Option 1'!C172="","",'Option 1'!C172)</f>
        <v>Exterior Light Fixtures</v>
      </c>
      <c r="D172" s="186" t="str">
        <f>IF('Option 1'!D172="","",'Option 1'!D172)</f>
        <v/>
      </c>
      <c r="E172" s="184" t="str">
        <f>IF('Option 1'!E172="","",'Option 1'!E172)</f>
        <v/>
      </c>
      <c r="F172" s="184" t="str">
        <f>IF('Option 1'!F172="","",'Option 1'!F172)</f>
        <v/>
      </c>
      <c r="G172" s="184" t="str">
        <f>IF('Option 1'!G172="","",'Option 1'!G172)</f>
        <v/>
      </c>
      <c r="H172" s="184" t="str">
        <f>IF('Option 1'!H172="","",'Option 1'!H172)</f>
        <v/>
      </c>
      <c r="I172" s="184" t="str">
        <f>IF('Option 1'!I172="","",'Option 1'!I172)</f>
        <v/>
      </c>
      <c r="J172" s="184" t="str">
        <f>IF('Option 1'!J172="","",'Option 1'!J172)</f>
        <v/>
      </c>
      <c r="K172" s="184" t="str">
        <f>IF('Option 1'!K172="","",'Option 1'!K172)</f>
        <v/>
      </c>
      <c r="L172" s="184" t="str">
        <f>IF('Option 1'!L172="","",'Option 1'!L172)</f>
        <v/>
      </c>
      <c r="M172" s="184" t="str">
        <f>IF('Option 1'!M172="","",'Option 1'!M172)</f>
        <v/>
      </c>
      <c r="N172" s="184" t="str">
        <f>IF('Option 1'!N172="","",'Option 1'!N172)</f>
        <v/>
      </c>
      <c r="O172" s="184" t="str">
        <f>IF('Option 1'!O172="","",'Option 1'!O172)</f>
        <v/>
      </c>
      <c r="P172" s="124">
        <f t="shared" si="18"/>
        <v>0</v>
      </c>
    </row>
    <row r="173" spans="1:16" ht="15.75" customHeight="1" x14ac:dyDescent="0.25">
      <c r="A173" s="239"/>
      <c r="B173" s="4" t="str">
        <f>IF('Option 1'!B173="","",'Option 1'!B173)</f>
        <v/>
      </c>
      <c r="C173" s="3" t="str">
        <f>IF('Option 1'!C173="","",'Option 1'!C173)</f>
        <v>Special Construction Elements</v>
      </c>
      <c r="D173" s="186" t="str">
        <f>IF('Option 1'!D173="","",'Option 1'!D173)</f>
        <v/>
      </c>
      <c r="E173" s="184" t="str">
        <f>IF('Option 1'!E173="","",'Option 1'!E173)</f>
        <v/>
      </c>
      <c r="F173" s="184" t="str">
        <f>IF('Option 1'!F173="","",'Option 1'!F173)</f>
        <v/>
      </c>
      <c r="G173" s="184" t="str">
        <f>IF('Option 1'!G173="","",'Option 1'!G173)</f>
        <v/>
      </c>
      <c r="H173" s="184" t="str">
        <f>IF('Option 1'!H173="","",'Option 1'!H173)</f>
        <v/>
      </c>
      <c r="I173" s="184" t="str">
        <f>IF('Option 1'!I173="","",'Option 1'!I173)</f>
        <v/>
      </c>
      <c r="J173" s="184" t="str">
        <f>IF('Option 1'!J173="","",'Option 1'!J173)</f>
        <v/>
      </c>
      <c r="K173" s="184" t="str">
        <f>IF('Option 1'!K173="","",'Option 1'!K173)</f>
        <v/>
      </c>
      <c r="L173" s="184" t="str">
        <f>IF('Option 1'!L173="","",'Option 1'!L173)</f>
        <v/>
      </c>
      <c r="M173" s="184" t="str">
        <f>IF('Option 1'!M173="","",'Option 1'!M173)</f>
        <v/>
      </c>
      <c r="N173" s="184" t="str">
        <f>IF('Option 1'!N173="","",'Option 1'!N173)</f>
        <v/>
      </c>
      <c r="O173" s="184" t="str">
        <f>IF('Option 1'!O173="","",'Option 1'!O173)</f>
        <v/>
      </c>
      <c r="P173" s="124">
        <f t="shared" si="18"/>
        <v>0</v>
      </c>
    </row>
    <row r="174" spans="1:16" ht="15.75" customHeight="1" x14ac:dyDescent="0.25">
      <c r="A174" s="239"/>
      <c r="B174" s="4" t="str">
        <f>IF('Option 1'!B174="","",'Option 1'!B174)</f>
        <v/>
      </c>
      <c r="C174" s="188" t="str">
        <f>IF('Option 1'!C174="","",'Option 1'!C174)</f>
        <v>Pool Heater</v>
      </c>
      <c r="D174" s="186" t="str">
        <f>IF('Option 1'!D174="","",'Option 1'!D174)</f>
        <v/>
      </c>
      <c r="E174" s="184" t="str">
        <f>IF('Option 1'!E174="","",'Option 1'!E174)</f>
        <v/>
      </c>
      <c r="F174" s="184" t="str">
        <f>IF('Option 1'!F174="","",'Option 1'!F174)</f>
        <v/>
      </c>
      <c r="G174" s="184" t="str">
        <f>IF('Option 1'!G174="","",'Option 1'!G174)</f>
        <v/>
      </c>
      <c r="H174" s="184" t="str">
        <f>IF('Option 1'!H174="","",'Option 1'!H174)</f>
        <v/>
      </c>
      <c r="I174" s="184" t="str">
        <f>IF('Option 1'!I174="","",'Option 1'!I174)</f>
        <v/>
      </c>
      <c r="J174" s="184" t="str">
        <f>IF('Option 1'!J174="","",'Option 1'!J174)</f>
        <v/>
      </c>
      <c r="K174" s="184">
        <f>IF('Option 1'!K174="","",'Option 1'!K174)</f>
        <v>8303</v>
      </c>
      <c r="L174" s="184" t="str">
        <f>IF('Option 1'!L174="","",'Option 1'!L174)</f>
        <v/>
      </c>
      <c r="M174" s="184" t="str">
        <f>IF('Option 1'!M174="","",'Option 1'!M174)</f>
        <v/>
      </c>
      <c r="N174" s="184" t="str">
        <f>IF('Option 1'!N174="","",'Option 1'!N174)</f>
        <v/>
      </c>
      <c r="O174" s="184" t="str">
        <f>IF('Option 1'!O174="","",'Option 1'!O174)</f>
        <v/>
      </c>
      <c r="P174" s="124">
        <f t="shared" si="18"/>
        <v>8303</v>
      </c>
    </row>
    <row r="175" spans="1:16" ht="15.75" customHeight="1" x14ac:dyDescent="0.25">
      <c r="A175" s="239"/>
      <c r="B175" s="4" t="str">
        <f>IF('Option 1'!B175="","",'Option 1'!B175)</f>
        <v/>
      </c>
      <c r="C175" s="188" t="str">
        <f>IF('Option 1'!C175="","",'Option 1'!C175)</f>
        <v>Sand Filters</v>
      </c>
      <c r="D175" s="186" t="str">
        <f>IF('Option 1'!D175="","",'Option 1'!D175)</f>
        <v/>
      </c>
      <c r="E175" s="184" t="str">
        <f>IF('Option 1'!E175="","",'Option 1'!E175)</f>
        <v/>
      </c>
      <c r="F175" s="184" t="str">
        <f>IF('Option 1'!F175="","",'Option 1'!F175)</f>
        <v/>
      </c>
      <c r="G175" s="184" t="str">
        <f>IF('Option 1'!G175="","",'Option 1'!G175)</f>
        <v/>
      </c>
      <c r="H175" s="184" t="str">
        <f>IF('Option 1'!H175="","",'Option 1'!H175)</f>
        <v/>
      </c>
      <c r="I175" s="184" t="str">
        <f>IF('Option 1'!I175="","",'Option 1'!I175)</f>
        <v/>
      </c>
      <c r="J175" s="184" t="str">
        <f>IF('Option 1'!J175="","",'Option 1'!J175)</f>
        <v/>
      </c>
      <c r="K175" s="184" t="str">
        <f>IF('Option 1'!K175="","",'Option 1'!K175)</f>
        <v/>
      </c>
      <c r="L175" s="184" t="str">
        <f>IF('Option 1'!L175="","",'Option 1'!L175)</f>
        <v/>
      </c>
      <c r="M175" s="184" t="str">
        <f>IF('Option 1'!M175="","",'Option 1'!M175)</f>
        <v/>
      </c>
      <c r="N175" s="184" t="str">
        <f>IF('Option 1'!N175="","",'Option 1'!N175)</f>
        <v/>
      </c>
      <c r="O175" s="184" t="str">
        <f>IF('Option 1'!O175="","",'Option 1'!O175)</f>
        <v/>
      </c>
      <c r="P175" s="124">
        <f t="shared" si="18"/>
        <v>0</v>
      </c>
    </row>
    <row r="176" spans="1:16" ht="15.75" customHeight="1" x14ac:dyDescent="0.25">
      <c r="A176" s="239"/>
      <c r="B176" s="4" t="str">
        <f>IF('Option 1'!B176="","",'Option 1'!B176)</f>
        <v/>
      </c>
      <c r="C176" s="188" t="str">
        <f>IF('Option 1'!C176="","",'Option 1'!C176)</f>
        <v xml:space="preserve">Pump </v>
      </c>
      <c r="D176" s="186" t="str">
        <f>IF('Option 1'!D176="","",'Option 1'!D176)</f>
        <v/>
      </c>
      <c r="E176" s="184" t="str">
        <f>IF('Option 1'!E176="","",'Option 1'!E176)</f>
        <v/>
      </c>
      <c r="F176" s="184" t="str">
        <f>IF('Option 1'!F176="","",'Option 1'!F176)</f>
        <v/>
      </c>
      <c r="G176" s="184" t="str">
        <f>IF('Option 1'!G176="","",'Option 1'!G176)</f>
        <v/>
      </c>
      <c r="H176" s="184">
        <f>IF('Option 1'!H176="","",'Option 1'!H176)</f>
        <v>6919</v>
      </c>
      <c r="I176" s="184" t="str">
        <f>IF('Option 1'!I176="","",'Option 1'!I176)</f>
        <v/>
      </c>
      <c r="J176" s="184" t="str">
        <f>IF('Option 1'!J176="","",'Option 1'!J176)</f>
        <v/>
      </c>
      <c r="K176" s="184" t="str">
        <f>IF('Option 1'!K176="","",'Option 1'!K176)</f>
        <v/>
      </c>
      <c r="L176" s="184" t="str">
        <f>IF('Option 1'!L176="","",'Option 1'!L176)</f>
        <v/>
      </c>
      <c r="M176" s="184" t="str">
        <f>IF('Option 1'!M176="","",'Option 1'!M176)</f>
        <v/>
      </c>
      <c r="N176" s="184" t="str">
        <f>IF('Option 1'!N176="","",'Option 1'!N176)</f>
        <v/>
      </c>
      <c r="O176" s="184" t="str">
        <f>IF('Option 1'!O176="","",'Option 1'!O176)</f>
        <v/>
      </c>
      <c r="P176" s="124">
        <f t="shared" si="18"/>
        <v>6919</v>
      </c>
    </row>
    <row r="177" spans="1:16" ht="15.75" customHeight="1" x14ac:dyDescent="0.25">
      <c r="A177" s="239"/>
      <c r="B177" s="4" t="str">
        <f>IF('Option 1'!B177="","",'Option 1'!B177)</f>
        <v/>
      </c>
      <c r="C177" s="188" t="str">
        <f>IF('Option 1'!C177="","",'Option 1'!C177)</f>
        <v>Pool Room Piping</v>
      </c>
      <c r="D177" s="186" t="str">
        <f>IF('Option 1'!D177="","",'Option 1'!D177)</f>
        <v/>
      </c>
      <c r="E177" s="184" t="str">
        <f>IF('Option 1'!E177="","",'Option 1'!E177)</f>
        <v/>
      </c>
      <c r="F177" s="184" t="str">
        <f>IF('Option 1'!F177="","",'Option 1'!F177)</f>
        <v/>
      </c>
      <c r="G177" s="184" t="str">
        <f>IF('Option 1'!G177="","",'Option 1'!G177)</f>
        <v/>
      </c>
      <c r="H177" s="184" t="str">
        <f>IF('Option 1'!H177="","",'Option 1'!H177)</f>
        <v/>
      </c>
      <c r="I177" s="184" t="str">
        <f>IF('Option 1'!I177="","",'Option 1'!I177)</f>
        <v/>
      </c>
      <c r="J177" s="184">
        <f>IF('Option 1'!J177="","",'Option 1'!J177)</f>
        <v>20758</v>
      </c>
      <c r="K177" s="184" t="str">
        <f>IF('Option 1'!K177="","",'Option 1'!K177)</f>
        <v/>
      </c>
      <c r="L177" s="184" t="str">
        <f>IF('Option 1'!L177="","",'Option 1'!L177)</f>
        <v/>
      </c>
      <c r="M177" s="184" t="str">
        <f>IF('Option 1'!M177="","",'Option 1'!M177)</f>
        <v/>
      </c>
      <c r="N177" s="184" t="str">
        <f>IF('Option 1'!N177="","",'Option 1'!N177)</f>
        <v/>
      </c>
      <c r="O177" s="184" t="str">
        <f>IF('Option 1'!O177="","",'Option 1'!O177)</f>
        <v/>
      </c>
      <c r="P177" s="124">
        <f t="shared" si="18"/>
        <v>20758</v>
      </c>
    </row>
    <row r="178" spans="1:16" ht="15.75" customHeight="1" x14ac:dyDescent="0.25">
      <c r="A178" s="239"/>
      <c r="B178" s="4" t="str">
        <f>IF('Option 1'!B178="","",'Option 1'!B178)</f>
        <v/>
      </c>
      <c r="C178" s="188" t="str">
        <f>IF('Option 1'!C178="","",'Option 1'!C178)</f>
        <v>Swimming Pool</v>
      </c>
      <c r="D178" s="186" t="str">
        <f>IF('Option 1'!D178="","",'Option 1'!D178)</f>
        <v/>
      </c>
      <c r="E178" s="184" t="str">
        <f>IF('Option 1'!E178="","",'Option 1'!E178)</f>
        <v/>
      </c>
      <c r="F178" s="184" t="str">
        <f>IF('Option 1'!F178="","",'Option 1'!F178)</f>
        <v/>
      </c>
      <c r="G178" s="184" t="str">
        <f>IF('Option 1'!G178="","",'Option 1'!G178)</f>
        <v/>
      </c>
      <c r="H178" s="184" t="str">
        <f>IF('Option 1'!H178="","",'Option 1'!H178)</f>
        <v/>
      </c>
      <c r="I178" s="184" t="str">
        <f>IF('Option 1'!I178="","",'Option 1'!I178)</f>
        <v/>
      </c>
      <c r="J178" s="184" t="str">
        <f>IF('Option 1'!J178="","",'Option 1'!J178)</f>
        <v/>
      </c>
      <c r="K178" s="184" t="str">
        <f>IF('Option 1'!K178="","",'Option 1'!K178)</f>
        <v/>
      </c>
      <c r="L178" s="184" t="str">
        <f>IF('Option 1'!L178="","",'Option 1'!L178)</f>
        <v/>
      </c>
      <c r="M178" s="184" t="str">
        <f>IF('Option 1'!M178="","",'Option 1'!M178)</f>
        <v/>
      </c>
      <c r="N178" s="184" t="str">
        <f>IF('Option 1'!N178="","",'Option 1'!N178)</f>
        <v/>
      </c>
      <c r="O178" s="184" t="str">
        <f>IF('Option 1'!O178="","",'Option 1'!O178)</f>
        <v/>
      </c>
      <c r="P178" s="124">
        <f t="shared" si="18"/>
        <v>0</v>
      </c>
    </row>
    <row r="179" spans="1:16" ht="15.75" customHeight="1" x14ac:dyDescent="0.25">
      <c r="A179" s="239"/>
      <c r="B179" s="4" t="str">
        <f>IF('Option 1'!B179="","",'Option 1'!B179)</f>
        <v/>
      </c>
      <c r="C179" s="188" t="str">
        <f>IF('Option 1'!C179="","",'Option 1'!C179)</f>
        <v>Concrete Pool Deck</v>
      </c>
      <c r="D179" s="186" t="str">
        <f>IF('Option 1'!D179="","",'Option 1'!D179)</f>
        <v/>
      </c>
      <c r="E179" s="184" t="str">
        <f>IF('Option 1'!E179="","",'Option 1'!E179)</f>
        <v/>
      </c>
      <c r="F179" s="184" t="str">
        <f>IF('Option 1'!F179="","",'Option 1'!F179)</f>
        <v/>
      </c>
      <c r="G179" s="184" t="str">
        <f>IF('Option 1'!G179="","",'Option 1'!G179)</f>
        <v/>
      </c>
      <c r="H179" s="184" t="str">
        <f>IF('Option 1'!H179="","",'Option 1'!H179)</f>
        <v/>
      </c>
      <c r="I179" s="184" t="str">
        <f>IF('Option 1'!I179="","",'Option 1'!I179)</f>
        <v/>
      </c>
      <c r="J179" s="184" t="str">
        <f>IF('Option 1'!J179="","",'Option 1'!J179)</f>
        <v/>
      </c>
      <c r="K179" s="184" t="str">
        <f>IF('Option 1'!K179="","",'Option 1'!K179)</f>
        <v/>
      </c>
      <c r="L179" s="184" t="str">
        <f>IF('Option 1'!L179="","",'Option 1'!L179)</f>
        <v/>
      </c>
      <c r="M179" s="184" t="str">
        <f>IF('Option 1'!M179="","",'Option 1'!M179)</f>
        <v/>
      </c>
      <c r="N179" s="184">
        <f>IF('Option 1'!N179="","",'Option 1'!N179)</f>
        <v>78025</v>
      </c>
      <c r="O179" s="184" t="str">
        <f>IF('Option 1'!O179="","",'Option 1'!O179)</f>
        <v/>
      </c>
      <c r="P179" s="124">
        <f t="shared" si="18"/>
        <v>78025</v>
      </c>
    </row>
    <row r="180" spans="1:16" ht="15.75" customHeight="1" x14ac:dyDescent="0.25">
      <c r="A180" s="239"/>
      <c r="B180" s="4" t="str">
        <f>IF('Option 1'!B180="","",'Option 1'!B180)</f>
        <v/>
      </c>
      <c r="C180" s="188" t="str">
        <f>IF('Option 1'!C180="","",'Option 1'!C180)</f>
        <v>Brick Picnic Deck</v>
      </c>
      <c r="D180" s="186" t="str">
        <f>IF('Option 1'!D180="","",'Option 1'!D180)</f>
        <v/>
      </c>
      <c r="E180" s="184" t="str">
        <f>IF('Option 1'!E180="","",'Option 1'!E180)</f>
        <v/>
      </c>
      <c r="F180" s="184" t="str">
        <f>IF('Option 1'!F180="","",'Option 1'!F180)</f>
        <v/>
      </c>
      <c r="G180" s="184" t="str">
        <f>IF('Option 1'!G180="","",'Option 1'!G180)</f>
        <v/>
      </c>
      <c r="H180" s="184" t="str">
        <f>IF('Option 1'!H180="","",'Option 1'!H180)</f>
        <v/>
      </c>
      <c r="I180" s="184" t="str">
        <f>IF('Option 1'!I180="","",'Option 1'!I180)</f>
        <v/>
      </c>
      <c r="J180" s="184" t="str">
        <f>IF('Option 1'!J180="","",'Option 1'!J180)</f>
        <v/>
      </c>
      <c r="K180" s="184" t="str">
        <f>IF('Option 1'!K180="","",'Option 1'!K180)</f>
        <v/>
      </c>
      <c r="L180" s="184" t="str">
        <f>IF('Option 1'!L180="","",'Option 1'!L180)</f>
        <v/>
      </c>
      <c r="M180" s="184" t="str">
        <f>IF('Option 1'!M180="","",'Option 1'!M180)</f>
        <v/>
      </c>
      <c r="N180" s="184" t="str">
        <f>IF('Option 1'!N180="","",'Option 1'!N180)</f>
        <v/>
      </c>
      <c r="O180" s="184" t="str">
        <f>IF('Option 1'!O180="","",'Option 1'!O180)</f>
        <v/>
      </c>
      <c r="P180" s="124">
        <f t="shared" si="18"/>
        <v>0</v>
      </c>
    </row>
    <row r="181" spans="1:16" ht="15.75" customHeight="1" x14ac:dyDescent="0.25">
      <c r="A181" s="239"/>
      <c r="B181" s="4" t="str">
        <f>IF('Option 1'!B181="","",'Option 1'!B181)</f>
        <v/>
      </c>
      <c r="C181" s="188" t="str">
        <f>IF('Option 1'!C181="","",'Option 1'!C181)</f>
        <v>Tennis Court Net and Posts</v>
      </c>
      <c r="D181" s="186">
        <f>IF('Option 1'!D181="","",'Option 1'!D181)</f>
        <v>4000</v>
      </c>
      <c r="E181" s="184" t="str">
        <f>IF('Option 1'!E181="","",'Option 1'!E181)</f>
        <v/>
      </c>
      <c r="F181" s="184" t="str">
        <f>IF('Option 1'!F181="","",'Option 1'!F181)</f>
        <v/>
      </c>
      <c r="G181" s="184" t="str">
        <f>IF('Option 1'!G181="","",'Option 1'!G181)</f>
        <v/>
      </c>
      <c r="H181" s="184" t="str">
        <f>IF('Option 1'!H181="","",'Option 1'!H181)</f>
        <v/>
      </c>
      <c r="I181" s="184" t="str">
        <f>IF('Option 1'!I181="","",'Option 1'!I181)</f>
        <v/>
      </c>
      <c r="J181" s="184" t="str">
        <f>IF('Option 1'!J181="","",'Option 1'!J181)</f>
        <v/>
      </c>
      <c r="K181" s="184" t="str">
        <f>IF('Option 1'!K181="","",'Option 1'!K181)</f>
        <v/>
      </c>
      <c r="L181" s="184" t="str">
        <f>IF('Option 1'!L181="","",'Option 1'!L181)</f>
        <v/>
      </c>
      <c r="M181" s="184" t="str">
        <f>IF('Option 1'!M181="","",'Option 1'!M181)</f>
        <v/>
      </c>
      <c r="N181" s="184" t="str">
        <f>IF('Option 1'!N181="","",'Option 1'!N181)</f>
        <v/>
      </c>
      <c r="O181" s="184" t="str">
        <f>IF('Option 1'!O181="","",'Option 1'!O181)</f>
        <v/>
      </c>
      <c r="P181" s="124">
        <f t="shared" si="18"/>
        <v>4000</v>
      </c>
    </row>
    <row r="182" spans="1:16" ht="15.75" customHeight="1" x14ac:dyDescent="0.25">
      <c r="A182" s="239"/>
      <c r="B182" s="4" t="str">
        <f>IF('Option 1'!B182="","",'Option 1'!B182)</f>
        <v/>
      </c>
      <c r="C182" s="188" t="str">
        <f>IF('Option 1'!C182="","",'Option 1'!C182)</f>
        <v>Tennis Court - Overlay</v>
      </c>
      <c r="D182" s="186" t="str">
        <f>IF('Option 1'!D182="","",'Option 1'!D182)</f>
        <v/>
      </c>
      <c r="E182" s="184" t="str">
        <f>IF('Option 1'!E182="","",'Option 1'!E182)</f>
        <v/>
      </c>
      <c r="F182" s="184" t="str">
        <f>IF('Option 1'!F182="","",'Option 1'!F182)</f>
        <v/>
      </c>
      <c r="G182" s="184" t="str">
        <f>IF('Option 1'!G182="","",'Option 1'!G182)</f>
        <v/>
      </c>
      <c r="H182" s="184" t="str">
        <f>IF('Option 1'!H182="","",'Option 1'!H182)</f>
        <v/>
      </c>
      <c r="I182" s="184">
        <f>IF('Option 1'!I182="","",'Option 1'!I182)</f>
        <v>165000</v>
      </c>
      <c r="J182" s="184" t="str">
        <f>IF('Option 1'!J182="","",'Option 1'!J182)</f>
        <v/>
      </c>
      <c r="K182" s="184" t="str">
        <f>IF('Option 1'!K182="","",'Option 1'!K182)</f>
        <v/>
      </c>
      <c r="L182" s="184" t="str">
        <f>IF('Option 1'!L182="","",'Option 1'!L182)</f>
        <v/>
      </c>
      <c r="M182" s="184" t="str">
        <f>IF('Option 1'!M182="","",'Option 1'!M182)</f>
        <v/>
      </c>
      <c r="N182" s="184" t="str">
        <f>IF('Option 1'!N182="","",'Option 1'!N182)</f>
        <v/>
      </c>
      <c r="O182" s="184" t="str">
        <f>IF('Option 1'!O182="","",'Option 1'!O182)</f>
        <v/>
      </c>
      <c r="P182" s="124">
        <f t="shared" si="18"/>
        <v>165000</v>
      </c>
    </row>
    <row r="183" spans="1:16" ht="15.75" customHeight="1" x14ac:dyDescent="0.25">
      <c r="A183" s="239"/>
      <c r="B183" s="4" t="str">
        <f>IF('Option 1'!B183="","",'Option 1'!B183)</f>
        <v/>
      </c>
      <c r="C183" s="188" t="str">
        <f>IF('Option 1'!C183="","",'Option 1'!C183)</f>
        <v>Tennis Court Fence (10')</v>
      </c>
      <c r="D183" s="186" t="str">
        <f>IF('Option 1'!D183="","",'Option 1'!D183)</f>
        <v/>
      </c>
      <c r="E183" s="184" t="str">
        <f>IF('Option 1'!E183="","",'Option 1'!E183)</f>
        <v/>
      </c>
      <c r="F183" s="184" t="str">
        <f>IF('Option 1'!F183="","",'Option 1'!F183)</f>
        <v/>
      </c>
      <c r="G183" s="184" t="str">
        <f>IF('Option 1'!G183="","",'Option 1'!G183)</f>
        <v/>
      </c>
      <c r="H183" s="184" t="str">
        <f>IF('Option 1'!H183="","",'Option 1'!H183)</f>
        <v/>
      </c>
      <c r="I183" s="184" t="str">
        <f>IF('Option 1'!I183="","",'Option 1'!I183)</f>
        <v/>
      </c>
      <c r="J183" s="184" t="str">
        <f>IF('Option 1'!J183="","",'Option 1'!J183)</f>
        <v/>
      </c>
      <c r="K183" s="184" t="str">
        <f>IF('Option 1'!K183="","",'Option 1'!K183)</f>
        <v/>
      </c>
      <c r="L183" s="184" t="str">
        <f>IF('Option 1'!L183="","",'Option 1'!L183)</f>
        <v/>
      </c>
      <c r="M183" s="184" t="str">
        <f>IF('Option 1'!M183="","",'Option 1'!M183)</f>
        <v/>
      </c>
      <c r="N183" s="184" t="str">
        <f>IF('Option 1'!N183="","",'Option 1'!N183)</f>
        <v/>
      </c>
      <c r="O183" s="184" t="str">
        <f>IF('Option 1'!O183="","",'Option 1'!O183)</f>
        <v/>
      </c>
      <c r="P183" s="124">
        <f t="shared" si="18"/>
        <v>0</v>
      </c>
    </row>
    <row r="184" spans="1:16" ht="15.75" customHeight="1" x14ac:dyDescent="0.25">
      <c r="A184" s="239"/>
      <c r="B184" s="4" t="str">
        <f>IF('Option 1'!B184="","",'Option 1'!B184)</f>
        <v/>
      </c>
      <c r="C184" s="188" t="str">
        <f>IF('Option 1'!C184="","",'Option 1'!C184)</f>
        <v>Pool Furniture</v>
      </c>
      <c r="D184" s="186" t="str">
        <f>IF('Option 1'!D184="","",'Option 1'!D184)</f>
        <v/>
      </c>
      <c r="E184" s="184" t="str">
        <f>IF('Option 1'!E184="","",'Option 1'!E184)</f>
        <v/>
      </c>
      <c r="F184" s="184" t="str">
        <f>IF('Option 1'!F184="","",'Option 1'!F184)</f>
        <v/>
      </c>
      <c r="G184" s="184" t="str">
        <f>IF('Option 1'!G184="","",'Option 1'!G184)</f>
        <v/>
      </c>
      <c r="H184" s="184">
        <f>IF('Option 1'!H184="","",'Option 1'!H184)</f>
        <v>20758</v>
      </c>
      <c r="I184" s="184" t="str">
        <f>IF('Option 1'!I184="","",'Option 1'!I184)</f>
        <v/>
      </c>
      <c r="J184" s="184" t="str">
        <f>IF('Option 1'!J184="","",'Option 1'!J184)</f>
        <v/>
      </c>
      <c r="K184" s="184" t="str">
        <f>IF('Option 1'!K184="","",'Option 1'!K184)</f>
        <v/>
      </c>
      <c r="L184" s="184" t="str">
        <f>IF('Option 1'!L184="","",'Option 1'!L184)</f>
        <v/>
      </c>
      <c r="M184" s="184">
        <f>IF('Option 1'!M184="","",'Option 1'!M184)</f>
        <v>20758</v>
      </c>
      <c r="N184" s="184" t="str">
        <f>IF('Option 1'!N184="","",'Option 1'!N184)</f>
        <v/>
      </c>
      <c r="O184" s="184" t="str">
        <f>IF('Option 1'!O184="","",'Option 1'!O184)</f>
        <v/>
      </c>
      <c r="P184" s="124">
        <f t="shared" si="18"/>
        <v>41516</v>
      </c>
    </row>
    <row r="185" spans="1:16" ht="15.75" customHeight="1" x14ac:dyDescent="0.25">
      <c r="A185" s="239"/>
      <c r="B185" s="4" t="str">
        <f>IF('Option 1'!B185="","",'Option 1'!B185)</f>
        <v/>
      </c>
      <c r="C185" s="188" t="str">
        <f>IF('Option 1'!C185="","",'Option 1'!C185)</f>
        <v>Pool Chainlink Fence</v>
      </c>
      <c r="D185" s="186" t="str">
        <f>IF('Option 1'!D185="","",'Option 1'!D185)</f>
        <v/>
      </c>
      <c r="E185" s="184" t="str">
        <f>IF('Option 1'!E185="","",'Option 1'!E185)</f>
        <v/>
      </c>
      <c r="F185" s="184" t="str">
        <f>IF('Option 1'!F185="","",'Option 1'!F185)</f>
        <v/>
      </c>
      <c r="G185" s="184" t="str">
        <f>IF('Option 1'!G185="","",'Option 1'!G185)</f>
        <v/>
      </c>
      <c r="H185" s="184">
        <f>IF('Option 1'!H185="","",'Option 1'!H185)</f>
        <v>5928</v>
      </c>
      <c r="I185" s="184" t="str">
        <f>IF('Option 1'!I185="","",'Option 1'!I185)</f>
        <v/>
      </c>
      <c r="J185" s="184" t="str">
        <f>IF('Option 1'!J185="","",'Option 1'!J185)</f>
        <v/>
      </c>
      <c r="K185" s="184" t="str">
        <f>IF('Option 1'!K185="","",'Option 1'!K185)</f>
        <v/>
      </c>
      <c r="L185" s="184" t="str">
        <f>IF('Option 1'!L185="","",'Option 1'!L185)</f>
        <v/>
      </c>
      <c r="M185" s="184" t="str">
        <f>IF('Option 1'!M185="","",'Option 1'!M185)</f>
        <v/>
      </c>
      <c r="N185" s="184" t="str">
        <f>IF('Option 1'!N185="","",'Option 1'!N185)</f>
        <v/>
      </c>
      <c r="O185" s="184" t="str">
        <f>IF('Option 1'!O185="","",'Option 1'!O185)</f>
        <v/>
      </c>
      <c r="P185" s="124">
        <f t="shared" si="18"/>
        <v>5928</v>
      </c>
    </row>
    <row r="186" spans="1:16" ht="15.75" customHeight="1" x14ac:dyDescent="0.25">
      <c r="A186" s="239"/>
      <c r="B186" s="4" t="str">
        <f>IF('Option 1'!B186="","",'Option 1'!B186)</f>
        <v/>
      </c>
      <c r="C186" s="188" t="str">
        <f>IF('Option 1'!C186="","",'Option 1'!C186)</f>
        <v>Pool Gutters</v>
      </c>
      <c r="D186" s="186" t="str">
        <f>IF('Option 1'!D186="","",'Option 1'!D186)</f>
        <v/>
      </c>
      <c r="E186" s="184" t="str">
        <f>IF('Option 1'!E186="","",'Option 1'!E186)</f>
        <v/>
      </c>
      <c r="F186" s="184" t="str">
        <f>IF('Option 1'!F186="","",'Option 1'!F186)</f>
        <v/>
      </c>
      <c r="G186" s="184" t="str">
        <f>IF('Option 1'!G186="","",'Option 1'!G186)</f>
        <v/>
      </c>
      <c r="H186" s="184" t="str">
        <f>IF('Option 1'!H186="","",'Option 1'!H186)</f>
        <v/>
      </c>
      <c r="I186" s="184" t="str">
        <f>IF('Option 1'!I186="","",'Option 1'!I186)</f>
        <v/>
      </c>
      <c r="J186" s="184" t="str">
        <f>IF('Option 1'!J186="","",'Option 1'!J186)</f>
        <v/>
      </c>
      <c r="K186" s="184" t="str">
        <f>IF('Option 1'!K186="","",'Option 1'!K186)</f>
        <v/>
      </c>
      <c r="L186" s="184" t="str">
        <f>IF('Option 1'!L186="","",'Option 1'!L186)</f>
        <v/>
      </c>
      <c r="M186" s="184" t="str">
        <f>IF('Option 1'!M186="","",'Option 1'!M186)</f>
        <v/>
      </c>
      <c r="N186" s="184" t="str">
        <f>IF('Option 1'!N186="","",'Option 1'!N186)</f>
        <v/>
      </c>
      <c r="O186" s="184" t="str">
        <f>IF('Option 1'!O186="","",'Option 1'!O186)</f>
        <v/>
      </c>
      <c r="P186" s="124">
        <f t="shared" si="18"/>
        <v>0</v>
      </c>
    </row>
    <row r="187" spans="1:16" ht="15.75" customHeight="1" x14ac:dyDescent="0.25">
      <c r="A187" s="239"/>
      <c r="B187" s="4" t="str">
        <f>IF('Option 1'!B187="","",'Option 1'!B187)</f>
        <v/>
      </c>
      <c r="C187" s="188" t="str">
        <f>IF('Option 1'!C187="","",'Option 1'!C187)</f>
        <v>Pool Resurfacing</v>
      </c>
      <c r="D187" s="186" t="str">
        <f>IF('Option 1'!D187="","",'Option 1'!D187)</f>
        <v/>
      </c>
      <c r="E187" s="184" t="str">
        <f>IF('Option 1'!E187="","",'Option 1'!E187)</f>
        <v/>
      </c>
      <c r="F187" s="184" t="str">
        <f>IF('Option 1'!F187="","",'Option 1'!F187)</f>
        <v/>
      </c>
      <c r="G187" s="184" t="str">
        <f>IF('Option 1'!G187="","",'Option 1'!G187)</f>
        <v/>
      </c>
      <c r="H187" s="184" t="str">
        <f>IF('Option 1'!H187="","",'Option 1'!H187)</f>
        <v/>
      </c>
      <c r="I187" s="184" t="str">
        <f>IF('Option 1'!I187="","",'Option 1'!I187)</f>
        <v/>
      </c>
      <c r="J187" s="184" t="str">
        <f>IF('Option 1'!J187="","",'Option 1'!J187)</f>
        <v/>
      </c>
      <c r="K187" s="184" t="str">
        <f>IF('Option 1'!K187="","",'Option 1'!K187)</f>
        <v/>
      </c>
      <c r="L187" s="184" t="str">
        <f>IF('Option 1'!L187="","",'Option 1'!L187)</f>
        <v/>
      </c>
      <c r="M187" s="184" t="str">
        <f>IF('Option 1'!M187="","",'Option 1'!M187)</f>
        <v/>
      </c>
      <c r="N187" s="184">
        <f>IF('Option 1'!N187="","",'Option 1'!N187)</f>
        <v>20000</v>
      </c>
      <c r="O187" s="184" t="str">
        <f>IF('Option 1'!O187="","",'Option 1'!O187)</f>
        <v/>
      </c>
      <c r="P187" s="124">
        <f t="shared" si="18"/>
        <v>20000</v>
      </c>
    </row>
    <row r="188" spans="1:16" ht="15.75" customHeight="1" x14ac:dyDescent="0.25">
      <c r="A188" s="239"/>
      <c r="B188" s="4" t="str">
        <f>IF('Option 1'!B188="","",'Option 1'!B188)</f>
        <v/>
      </c>
      <c r="C188" s="188" t="str">
        <f>IF('Option 1'!C188="","",'Option 1'!C188)</f>
        <v>Landscape - Crab Trees</v>
      </c>
      <c r="D188" s="186" t="str">
        <f>IF('Option 1'!D188="","",'Option 1'!D188)</f>
        <v/>
      </c>
      <c r="E188" s="184" t="str">
        <f>IF('Option 1'!E188="","",'Option 1'!E188)</f>
        <v/>
      </c>
      <c r="F188" s="184" t="str">
        <f>IF('Option 1'!F188="","",'Option 1'!F188)</f>
        <v/>
      </c>
      <c r="G188" s="184" t="str">
        <f>IF('Option 1'!G188="","",'Option 1'!G188)</f>
        <v/>
      </c>
      <c r="H188" s="184">
        <f>IF('Option 1'!H188="","",'Option 1'!H188)</f>
        <v>7000</v>
      </c>
      <c r="I188" s="184" t="str">
        <f>IF('Option 1'!I188="","",'Option 1'!I188)</f>
        <v/>
      </c>
      <c r="J188" s="184" t="str">
        <f>IF('Option 1'!J188="","",'Option 1'!J188)</f>
        <v/>
      </c>
      <c r="K188" s="184" t="str">
        <f>IF('Option 1'!K188="","",'Option 1'!K188)</f>
        <v/>
      </c>
      <c r="L188" s="184" t="str">
        <f>IF('Option 1'!L188="","",'Option 1'!L188)</f>
        <v/>
      </c>
      <c r="M188" s="184" t="str">
        <f>IF('Option 1'!M188="","",'Option 1'!M188)</f>
        <v/>
      </c>
      <c r="N188" s="184" t="str">
        <f>IF('Option 1'!N188="","",'Option 1'!N188)</f>
        <v/>
      </c>
      <c r="O188" s="184" t="str">
        <f>IF('Option 1'!O188="","",'Option 1'!O188)</f>
        <v/>
      </c>
      <c r="P188" s="124">
        <f t="shared" si="18"/>
        <v>7000</v>
      </c>
    </row>
    <row r="189" spans="1:16" ht="15.75" customHeight="1" x14ac:dyDescent="0.25">
      <c r="A189" s="239"/>
      <c r="B189" s="4" t="str">
        <f>IF('Option 1'!B189="","",'Option 1'!B189)</f>
        <v/>
      </c>
      <c r="C189" s="188" t="str">
        <f>IF('Option 1'!C189="","",'Option 1'!C189)</f>
        <v>Landscape - Tree Removal</v>
      </c>
      <c r="D189" s="186" t="str">
        <f>IF('Option 1'!D189="","",'Option 1'!D189)</f>
        <v/>
      </c>
      <c r="E189" s="184" t="str">
        <f>IF('Option 1'!E189="","",'Option 1'!E189)</f>
        <v/>
      </c>
      <c r="F189" s="184" t="str">
        <f>IF('Option 1'!F189="","",'Option 1'!F189)</f>
        <v/>
      </c>
      <c r="G189" s="184" t="str">
        <f>IF('Option 1'!G189="","",'Option 1'!G189)</f>
        <v/>
      </c>
      <c r="H189" s="184">
        <f>IF('Option 1'!H189="","",'Option 1'!H189)</f>
        <v>3000</v>
      </c>
      <c r="I189" s="184" t="str">
        <f>IF('Option 1'!I189="","",'Option 1'!I189)</f>
        <v/>
      </c>
      <c r="J189" s="184" t="str">
        <f>IF('Option 1'!J189="","",'Option 1'!J189)</f>
        <v/>
      </c>
      <c r="K189" s="184" t="str">
        <f>IF('Option 1'!K189="","",'Option 1'!K189)</f>
        <v/>
      </c>
      <c r="L189" s="184" t="str">
        <f>IF('Option 1'!L189="","",'Option 1'!L189)</f>
        <v/>
      </c>
      <c r="M189" s="184" t="str">
        <f>IF('Option 1'!M189="","",'Option 1'!M189)</f>
        <v/>
      </c>
      <c r="N189" s="184" t="str">
        <f>IF('Option 1'!N189="","",'Option 1'!N189)</f>
        <v/>
      </c>
      <c r="O189" s="184" t="str">
        <f>IF('Option 1'!O189="","",'Option 1'!O189)</f>
        <v/>
      </c>
      <c r="P189" s="124">
        <f t="shared" si="18"/>
        <v>3000</v>
      </c>
    </row>
    <row r="190" spans="1:16" ht="15.75" customHeight="1" x14ac:dyDescent="0.25">
      <c r="A190" s="239"/>
      <c r="B190" s="4" t="str">
        <f>IF('Option 1'!B190="","",'Option 1'!B190)</f>
        <v/>
      </c>
      <c r="C190" s="188" t="str">
        <f>IF('Option 1'!C190="","",'Option 1'!C190)</f>
        <v>Landscape - Other Tree Removal</v>
      </c>
      <c r="D190" s="186" t="str">
        <f>IF('Option 1'!D190="","",'Option 1'!D190)</f>
        <v/>
      </c>
      <c r="E190" s="184" t="str">
        <f>IF('Option 1'!E190="","",'Option 1'!E190)</f>
        <v/>
      </c>
      <c r="F190" s="184" t="str">
        <f>IF('Option 1'!F190="","",'Option 1'!F190)</f>
        <v/>
      </c>
      <c r="G190" s="184" t="str">
        <f>IF('Option 1'!G190="","",'Option 1'!G190)</f>
        <v/>
      </c>
      <c r="H190" s="184">
        <f>IF('Option 1'!H190="","",'Option 1'!H190)</f>
        <v>2100</v>
      </c>
      <c r="I190" s="184" t="str">
        <f>IF('Option 1'!I190="","",'Option 1'!I190)</f>
        <v/>
      </c>
      <c r="J190" s="184" t="str">
        <f>IF('Option 1'!J190="","",'Option 1'!J190)</f>
        <v/>
      </c>
      <c r="K190" s="184" t="str">
        <f>IF('Option 1'!K190="","",'Option 1'!K190)</f>
        <v/>
      </c>
      <c r="L190" s="184" t="str">
        <f>IF('Option 1'!L190="","",'Option 1'!L190)</f>
        <v/>
      </c>
      <c r="M190" s="184" t="str">
        <f>IF('Option 1'!M190="","",'Option 1'!M190)</f>
        <v/>
      </c>
      <c r="N190" s="184" t="str">
        <f>IF('Option 1'!N190="","",'Option 1'!N190)</f>
        <v/>
      </c>
      <c r="O190" s="184" t="str">
        <f>IF('Option 1'!O190="","",'Option 1'!O190)</f>
        <v/>
      </c>
      <c r="P190" s="124">
        <f t="shared" si="18"/>
        <v>2100</v>
      </c>
    </row>
    <row r="191" spans="1:16" ht="15.75" customHeight="1" x14ac:dyDescent="0.25">
      <c r="A191" s="239"/>
      <c r="B191" s="4" t="str">
        <f>IF('Option 1'!B191="","",'Option 1'!B191)</f>
        <v/>
      </c>
      <c r="C191" s="188" t="str">
        <f>IF('Option 1'!C191="","",'Option 1'!C191)</f>
        <v>Landscape - Ash Tree Removal</v>
      </c>
      <c r="D191" s="186" t="str">
        <f>IF('Option 1'!D191="","",'Option 1'!D191)</f>
        <v/>
      </c>
      <c r="E191" s="184" t="str">
        <f>IF('Option 1'!E191="","",'Option 1'!E191)</f>
        <v/>
      </c>
      <c r="F191" s="184" t="str">
        <f>IF('Option 1'!F191="","",'Option 1'!F191)</f>
        <v/>
      </c>
      <c r="G191" s="184" t="str">
        <f>IF('Option 1'!G191="","",'Option 1'!G191)</f>
        <v/>
      </c>
      <c r="H191" s="184">
        <f>IF('Option 1'!H191="","",'Option 1'!H191)</f>
        <v>8000</v>
      </c>
      <c r="I191" s="184" t="str">
        <f>IF('Option 1'!I191="","",'Option 1'!I191)</f>
        <v/>
      </c>
      <c r="J191" s="184" t="str">
        <f>IF('Option 1'!J191="","",'Option 1'!J191)</f>
        <v/>
      </c>
      <c r="K191" s="184" t="str">
        <f>IF('Option 1'!K191="","",'Option 1'!K191)</f>
        <v/>
      </c>
      <c r="L191" s="184" t="str">
        <f>IF('Option 1'!L191="","",'Option 1'!L191)</f>
        <v/>
      </c>
      <c r="M191" s="184" t="str">
        <f>IF('Option 1'!M191="","",'Option 1'!M191)</f>
        <v/>
      </c>
      <c r="N191" s="184" t="str">
        <f>IF('Option 1'!N191="","",'Option 1'!N191)</f>
        <v/>
      </c>
      <c r="O191" s="184" t="str">
        <f>IF('Option 1'!O191="","",'Option 1'!O191)</f>
        <v/>
      </c>
      <c r="P191" s="124">
        <f t="shared" si="18"/>
        <v>8000</v>
      </c>
    </row>
    <row r="192" spans="1:16" ht="15.75" customHeight="1" x14ac:dyDescent="0.25">
      <c r="A192" s="239"/>
      <c r="B192" s="4" t="str">
        <f>IF('Option 1'!B192="","",'Option 1'!B192)</f>
        <v/>
      </c>
      <c r="C192" s="3" t="str">
        <f>IF('Option 1'!C192="","",'Option 1'!C192)</f>
        <v>Mechanical Elements</v>
      </c>
      <c r="D192" s="186" t="str">
        <f>IF('Option 1'!D192="","",'Option 1'!D192)</f>
        <v/>
      </c>
      <c r="E192" s="184" t="str">
        <f>IF('Option 1'!E192="","",'Option 1'!E192)</f>
        <v/>
      </c>
      <c r="F192" s="184" t="str">
        <f>IF('Option 1'!F192="","",'Option 1'!F192)</f>
        <v/>
      </c>
      <c r="G192" s="184" t="str">
        <f>IF('Option 1'!G192="","",'Option 1'!G192)</f>
        <v/>
      </c>
      <c r="H192" s="184" t="str">
        <f>IF('Option 1'!H192="","",'Option 1'!H192)</f>
        <v/>
      </c>
      <c r="I192" s="184" t="str">
        <f>IF('Option 1'!I192="","",'Option 1'!I192)</f>
        <v/>
      </c>
      <c r="J192" s="184" t="str">
        <f>IF('Option 1'!J192="","",'Option 1'!J192)</f>
        <v/>
      </c>
      <c r="K192" s="184" t="str">
        <f>IF('Option 1'!K192="","",'Option 1'!K192)</f>
        <v/>
      </c>
      <c r="L192" s="184" t="str">
        <f>IF('Option 1'!L192="","",'Option 1'!L192)</f>
        <v/>
      </c>
      <c r="M192" s="184" t="str">
        <f>IF('Option 1'!M192="","",'Option 1'!M192)</f>
        <v/>
      </c>
      <c r="N192" s="184" t="str">
        <f>IF('Option 1'!N192="","",'Option 1'!N192)</f>
        <v/>
      </c>
      <c r="O192" s="184" t="str">
        <f>IF('Option 1'!O192="","",'Option 1'!O192)</f>
        <v/>
      </c>
      <c r="P192" s="124">
        <f t="shared" si="18"/>
        <v>0</v>
      </c>
    </row>
    <row r="193" spans="1:16" ht="15.75" customHeight="1" x14ac:dyDescent="0.25">
      <c r="A193" s="239"/>
      <c r="B193" s="4" t="str">
        <f>IF('Option 1'!B193="","",'Option 1'!B193)</f>
        <v/>
      </c>
      <c r="C193" s="188" t="str">
        <f>IF('Option 1'!C193="","",'Option 1'!C193)</f>
        <v>Furnace</v>
      </c>
      <c r="D193" s="186" t="str">
        <f>IF('Option 1'!D193="","",'Option 1'!D193)</f>
        <v/>
      </c>
      <c r="E193" s="184" t="str">
        <f>IF('Option 1'!E193="","",'Option 1'!E193)</f>
        <v/>
      </c>
      <c r="F193" s="184" t="str">
        <f>IF('Option 1'!F193="","",'Option 1'!F193)</f>
        <v/>
      </c>
      <c r="G193" s="184">
        <f>IF('Option 1'!G193="","",'Option 1'!G193)</f>
        <v>3460</v>
      </c>
      <c r="H193" s="184" t="str">
        <f>IF('Option 1'!H193="","",'Option 1'!H193)</f>
        <v/>
      </c>
      <c r="I193" s="184" t="str">
        <f>IF('Option 1'!I193="","",'Option 1'!I193)</f>
        <v/>
      </c>
      <c r="J193" s="184" t="str">
        <f>IF('Option 1'!J193="","",'Option 1'!J193)</f>
        <v/>
      </c>
      <c r="K193" s="184" t="str">
        <f>IF('Option 1'!K193="","",'Option 1'!K193)</f>
        <v/>
      </c>
      <c r="L193" s="184" t="str">
        <f>IF('Option 1'!L193="","",'Option 1'!L193)</f>
        <v/>
      </c>
      <c r="M193" s="184" t="str">
        <f>IF('Option 1'!M193="","",'Option 1'!M193)</f>
        <v/>
      </c>
      <c r="N193" s="184" t="str">
        <f>IF('Option 1'!N193="","",'Option 1'!N193)</f>
        <v/>
      </c>
      <c r="O193" s="184" t="str">
        <f>IF('Option 1'!O193="","",'Option 1'!O193)</f>
        <v/>
      </c>
      <c r="P193" s="124">
        <f t="shared" si="18"/>
        <v>3460</v>
      </c>
    </row>
    <row r="194" spans="1:16" ht="15.75" customHeight="1" x14ac:dyDescent="0.25">
      <c r="A194" s="239"/>
      <c r="B194" s="4" t="str">
        <f>IF('Option 1'!B194="","",'Option 1'!B194)</f>
        <v/>
      </c>
      <c r="C194" s="188" t="str">
        <f>IF('Option 1'!C194="","",'Option 1'!C194)</f>
        <v>Rooftop HVAC Units - 1519 Clubhouse</v>
      </c>
      <c r="D194" s="186" t="str">
        <f>IF('Option 1'!D194="","",'Option 1'!D194)</f>
        <v/>
      </c>
      <c r="E194" s="184" t="str">
        <f>IF('Option 1'!E194="","",'Option 1'!E194)</f>
        <v/>
      </c>
      <c r="F194" s="184" t="str">
        <f>IF('Option 1'!F194="","",'Option 1'!F194)</f>
        <v/>
      </c>
      <c r="G194" s="184" t="str">
        <f>IF('Option 1'!G194="","",'Option 1'!G194)</f>
        <v/>
      </c>
      <c r="H194" s="184" t="str">
        <f>IF('Option 1'!H194="","",'Option 1'!H194)</f>
        <v/>
      </c>
      <c r="I194" s="184" t="str">
        <f>IF('Option 1'!I194="","",'Option 1'!I194)</f>
        <v/>
      </c>
      <c r="J194" s="184" t="str">
        <f>IF('Option 1'!J194="","",'Option 1'!J194)</f>
        <v/>
      </c>
      <c r="K194" s="184" t="str">
        <f>IF('Option 1'!K194="","",'Option 1'!K194)</f>
        <v/>
      </c>
      <c r="L194" s="184" t="str">
        <f>IF('Option 1'!L194="","",'Option 1'!L194)</f>
        <v/>
      </c>
      <c r="M194" s="184" t="str">
        <f>IF('Option 1'!M194="","",'Option 1'!M194)</f>
        <v/>
      </c>
      <c r="N194" s="184" t="str">
        <f>IF('Option 1'!N194="","",'Option 1'!N194)</f>
        <v/>
      </c>
      <c r="O194" s="184" t="str">
        <f>IF('Option 1'!O194="","",'Option 1'!O194)</f>
        <v/>
      </c>
      <c r="P194" s="124">
        <f t="shared" si="18"/>
        <v>0</v>
      </c>
    </row>
    <row r="195" spans="1:16" ht="15.75" customHeight="1" x14ac:dyDescent="0.25">
      <c r="A195" s="239"/>
      <c r="B195" s="4" t="str">
        <f>IF('Option 1'!B195="","",'Option 1'!B195)</f>
        <v/>
      </c>
      <c r="C195" s="188" t="str">
        <f>IF('Option 1'!C195="","",'Option 1'!C195)</f>
        <v>Hot Water Heater</v>
      </c>
      <c r="D195" s="186" t="str">
        <f>IF('Option 1'!D195="","",'Option 1'!D195)</f>
        <v/>
      </c>
      <c r="E195" s="184" t="str">
        <f>IF('Option 1'!E195="","",'Option 1'!E195)</f>
        <v/>
      </c>
      <c r="F195" s="184">
        <f>IF('Option 1'!F195="","",'Option 1'!F195)</f>
        <v>1384</v>
      </c>
      <c r="G195" s="184" t="str">
        <f>IF('Option 1'!G195="","",'Option 1'!G195)</f>
        <v/>
      </c>
      <c r="H195" s="184" t="str">
        <f>IF('Option 1'!H195="","",'Option 1'!H195)</f>
        <v/>
      </c>
      <c r="I195" s="184" t="str">
        <f>IF('Option 1'!I195="","",'Option 1'!I195)</f>
        <v/>
      </c>
      <c r="J195" s="184" t="str">
        <f>IF('Option 1'!J195="","",'Option 1'!J195)</f>
        <v/>
      </c>
      <c r="K195" s="184" t="str">
        <f>IF('Option 1'!K195="","",'Option 1'!K195)</f>
        <v/>
      </c>
      <c r="L195" s="184" t="str">
        <f>IF('Option 1'!L195="","",'Option 1'!L195)</f>
        <v/>
      </c>
      <c r="M195" s="184" t="str">
        <f>IF('Option 1'!M195="","",'Option 1'!M195)</f>
        <v/>
      </c>
      <c r="N195" s="184" t="str">
        <f>IF('Option 1'!N195="","",'Option 1'!N195)</f>
        <v/>
      </c>
      <c r="O195" s="184" t="str">
        <f>IF('Option 1'!O195="","",'Option 1'!O195)</f>
        <v/>
      </c>
      <c r="P195" s="124">
        <f t="shared" si="18"/>
        <v>1384</v>
      </c>
    </row>
    <row r="196" spans="1:16" ht="15.75" customHeight="1" x14ac:dyDescent="0.25">
      <c r="A196" s="239"/>
      <c r="B196" s="4" t="str">
        <f>IF('Option 1'!B196="","",'Option 1'!B196)</f>
        <v/>
      </c>
      <c r="C196" s="188" t="str">
        <f>IF('Option 1'!C196="","",'Option 1'!C196)</f>
        <v>Vestibule Heaters</v>
      </c>
      <c r="D196" s="186" t="str">
        <f>IF('Option 1'!D196="","",'Option 1'!D196)</f>
        <v/>
      </c>
      <c r="E196" s="184" t="str">
        <f>IF('Option 1'!E196="","",'Option 1'!E196)</f>
        <v/>
      </c>
      <c r="F196" s="184" t="str">
        <f>IF('Option 1'!F196="","",'Option 1'!F196)</f>
        <v/>
      </c>
      <c r="G196" s="184" t="str">
        <f>IF('Option 1'!G196="","",'Option 1'!G196)</f>
        <v/>
      </c>
      <c r="H196" s="184" t="str">
        <f>IF('Option 1'!H196="","",'Option 1'!H196)</f>
        <v/>
      </c>
      <c r="I196" s="184" t="str">
        <f>IF('Option 1'!I196="","",'Option 1'!I196)</f>
        <v/>
      </c>
      <c r="J196" s="184" t="str">
        <f>IF('Option 1'!J196="","",'Option 1'!J196)</f>
        <v/>
      </c>
      <c r="K196" s="184">
        <f>IF('Option 1'!K196="","",'Option 1'!K196)</f>
        <v>2768</v>
      </c>
      <c r="L196" s="184" t="str">
        <f>IF('Option 1'!L196="","",'Option 1'!L196)</f>
        <v/>
      </c>
      <c r="M196" s="184" t="str">
        <f>IF('Option 1'!M196="","",'Option 1'!M196)</f>
        <v/>
      </c>
      <c r="N196" s="184" t="str">
        <f>IF('Option 1'!N196="","",'Option 1'!N196)</f>
        <v/>
      </c>
      <c r="O196" s="184" t="str">
        <f>IF('Option 1'!O196="","",'Option 1'!O196)</f>
        <v/>
      </c>
      <c r="P196" s="124">
        <f t="shared" si="18"/>
        <v>2768</v>
      </c>
    </row>
    <row r="197" spans="1:16" ht="15.75" customHeight="1" x14ac:dyDescent="0.25">
      <c r="A197" s="239"/>
      <c r="B197" s="4" t="str">
        <f>IF('Option 1'!B197="","",'Option 1'!B197)</f>
        <v/>
      </c>
      <c r="C197" s="188" t="str">
        <f>IF('Option 1'!C197="","",'Option 1'!C197)</f>
        <v>Stair Electric Heaters</v>
      </c>
      <c r="D197" s="186" t="str">
        <f>IF('Option 1'!D197="","",'Option 1'!D197)</f>
        <v/>
      </c>
      <c r="E197" s="184" t="str">
        <f>IF('Option 1'!E197="","",'Option 1'!E197)</f>
        <v/>
      </c>
      <c r="F197" s="184" t="str">
        <f>IF('Option 1'!F197="","",'Option 1'!F197)</f>
        <v/>
      </c>
      <c r="G197" s="184">
        <f>IF('Option 1'!G197="","",'Option 1'!G197)</f>
        <v>4705</v>
      </c>
      <c r="H197" s="184" t="str">
        <f>IF('Option 1'!H197="","",'Option 1'!H197)</f>
        <v/>
      </c>
      <c r="I197" s="184" t="str">
        <f>IF('Option 1'!I197="","",'Option 1'!I197)</f>
        <v/>
      </c>
      <c r="J197" s="184" t="str">
        <f>IF('Option 1'!J197="","",'Option 1'!J197)</f>
        <v/>
      </c>
      <c r="K197" s="184" t="str">
        <f>IF('Option 1'!K197="","",'Option 1'!K197)</f>
        <v/>
      </c>
      <c r="L197" s="184" t="str">
        <f>IF('Option 1'!L197="","",'Option 1'!L197)</f>
        <v/>
      </c>
      <c r="M197" s="184" t="str">
        <f>IF('Option 1'!M197="","",'Option 1'!M197)</f>
        <v/>
      </c>
      <c r="N197" s="184" t="str">
        <f>IF('Option 1'!N197="","",'Option 1'!N197)</f>
        <v/>
      </c>
      <c r="O197" s="184" t="str">
        <f>IF('Option 1'!O197="","",'Option 1'!O197)</f>
        <v/>
      </c>
      <c r="P197" s="124">
        <f t="shared" si="18"/>
        <v>4705</v>
      </c>
    </row>
    <row r="198" spans="1:16" ht="15.75" customHeight="1" x14ac:dyDescent="0.25">
      <c r="A198" s="239"/>
      <c r="B198" s="4" t="str">
        <f>IF('Option 1'!B198="","",'Option 1'!B198)</f>
        <v/>
      </c>
      <c r="C198" s="188" t="str">
        <f>IF('Option 1'!C198="","",'Option 1'!C198)</f>
        <v>Fire Hoses</v>
      </c>
      <c r="D198" s="186" t="str">
        <f>IF('Option 1'!D198="","",'Option 1'!D198)</f>
        <v/>
      </c>
      <c r="E198" s="184" t="str">
        <f>IF('Option 1'!E198="","",'Option 1'!E198)</f>
        <v/>
      </c>
      <c r="F198" s="184" t="str">
        <f>IF('Option 1'!F198="","",'Option 1'!F198)</f>
        <v/>
      </c>
      <c r="G198" s="184" t="str">
        <f>IF('Option 1'!G198="","",'Option 1'!G198)</f>
        <v/>
      </c>
      <c r="H198" s="184" t="str">
        <f>IF('Option 1'!H198="","",'Option 1'!H198)</f>
        <v/>
      </c>
      <c r="I198" s="184" t="str">
        <f>IF('Option 1'!I198="","",'Option 1'!I198)</f>
        <v/>
      </c>
      <c r="J198" s="184" t="str">
        <f>IF('Option 1'!J198="","",'Option 1'!J198)</f>
        <v/>
      </c>
      <c r="K198" s="184" t="str">
        <f>IF('Option 1'!K198="","",'Option 1'!K198)</f>
        <v/>
      </c>
      <c r="L198" s="184" t="str">
        <f>IF('Option 1'!L198="","",'Option 1'!L198)</f>
        <v/>
      </c>
      <c r="M198" s="184" t="str">
        <f>IF('Option 1'!M198="","",'Option 1'!M198)</f>
        <v/>
      </c>
      <c r="N198" s="184">
        <f>IF('Option 1'!N198="","",'Option 1'!N198)</f>
        <v>17249</v>
      </c>
      <c r="O198" s="184" t="str">
        <f>IF('Option 1'!O198="","",'Option 1'!O198)</f>
        <v/>
      </c>
      <c r="P198" s="124">
        <f t="shared" si="18"/>
        <v>17249</v>
      </c>
    </row>
    <row r="199" spans="1:16" ht="15.75" customHeight="1" x14ac:dyDescent="0.25">
      <c r="A199" s="239"/>
      <c r="B199" s="4" t="str">
        <f>IF('Option 1'!B199="","",'Option 1'!B199)</f>
        <v/>
      </c>
      <c r="C199" s="188" t="str">
        <f>IF('Option 1'!C199="","",'Option 1'!C199)</f>
        <v>Trash Compactors</v>
      </c>
      <c r="D199" s="186" t="str">
        <f>IF('Option 1'!D199="","",'Option 1'!D199)</f>
        <v/>
      </c>
      <c r="E199" s="184" t="str">
        <f>IF('Option 1'!E199="","",'Option 1'!E199)</f>
        <v/>
      </c>
      <c r="F199" s="184" t="str">
        <f>IF('Option 1'!F199="","",'Option 1'!F199)</f>
        <v/>
      </c>
      <c r="G199" s="184" t="str">
        <f>IF('Option 1'!G199="","",'Option 1'!G199)</f>
        <v/>
      </c>
      <c r="H199" s="184" t="str">
        <f>IF('Option 1'!H199="","",'Option 1'!H199)</f>
        <v/>
      </c>
      <c r="I199" s="184" t="str">
        <f>IF('Option 1'!I199="","",'Option 1'!I199)</f>
        <v/>
      </c>
      <c r="J199" s="184" t="str">
        <f>IF('Option 1'!J199="","",'Option 1'!J199)</f>
        <v/>
      </c>
      <c r="K199" s="184" t="str">
        <f>IF('Option 1'!K199="","",'Option 1'!K199)</f>
        <v/>
      </c>
      <c r="L199" s="184" t="str">
        <f>IF('Option 1'!L199="","",'Option 1'!L199)</f>
        <v/>
      </c>
      <c r="M199" s="184" t="str">
        <f>IF('Option 1'!M199="","",'Option 1'!M199)</f>
        <v/>
      </c>
      <c r="N199" s="184" t="str">
        <f>IF('Option 1'!N199="","",'Option 1'!N199)</f>
        <v/>
      </c>
      <c r="O199" s="184" t="str">
        <f>IF('Option 1'!O199="","",'Option 1'!O199)</f>
        <v/>
      </c>
      <c r="P199" s="124">
        <f t="shared" si="18"/>
        <v>0</v>
      </c>
    </row>
    <row r="200" spans="1:16" ht="15.75" customHeight="1" x14ac:dyDescent="0.25">
      <c r="A200" s="239"/>
      <c r="B200" s="4" t="str">
        <f>IF('Option 1'!B200="","",'Option 1'!B200)</f>
        <v/>
      </c>
      <c r="C200" s="188" t="str">
        <f>IF('Option 1'!C200="","",'Option 1'!C200)</f>
        <v>Trash Chutes</v>
      </c>
      <c r="D200" s="186" t="str">
        <f>IF('Option 1'!D200="","",'Option 1'!D200)</f>
        <v/>
      </c>
      <c r="E200" s="184" t="str">
        <f>IF('Option 1'!E200="","",'Option 1'!E200)</f>
        <v/>
      </c>
      <c r="F200" s="184" t="str">
        <f>IF('Option 1'!F200="","",'Option 1'!F200)</f>
        <v/>
      </c>
      <c r="G200" s="184" t="str">
        <f>IF('Option 1'!G200="","",'Option 1'!G200)</f>
        <v/>
      </c>
      <c r="H200" s="184" t="str">
        <f>IF('Option 1'!H200="","",'Option 1'!H200)</f>
        <v/>
      </c>
      <c r="I200" s="184" t="str">
        <f>IF('Option 1'!I200="","",'Option 1'!I200)</f>
        <v/>
      </c>
      <c r="J200" s="184" t="str">
        <f>IF('Option 1'!J200="","",'Option 1'!J200)</f>
        <v/>
      </c>
      <c r="K200" s="184" t="str">
        <f>IF('Option 1'!K200="","",'Option 1'!K200)</f>
        <v/>
      </c>
      <c r="L200" s="184" t="str">
        <f>IF('Option 1'!L200="","",'Option 1'!L200)</f>
        <v/>
      </c>
      <c r="M200" s="184" t="str">
        <f>IF('Option 1'!M200="","",'Option 1'!M200)</f>
        <v/>
      </c>
      <c r="N200" s="184" t="str">
        <f>IF('Option 1'!N200="","",'Option 1'!N200)</f>
        <v/>
      </c>
      <c r="O200" s="184" t="str">
        <f>IF('Option 1'!O200="","",'Option 1'!O200)</f>
        <v/>
      </c>
      <c r="P200" s="124">
        <f t="shared" si="18"/>
        <v>0</v>
      </c>
    </row>
    <row r="201" spans="1:16" ht="15.75" customHeight="1" x14ac:dyDescent="0.25">
      <c r="A201" s="239"/>
      <c r="B201" s="4" t="str">
        <f>IF('Option 1'!B201="","",'Option 1'!B201)</f>
        <v/>
      </c>
      <c r="C201" s="188" t="str">
        <f>IF('Option 1'!C201="","",'Option 1'!C201)</f>
        <v>Elevators</v>
      </c>
      <c r="D201" s="186" t="str">
        <f>IF('Option 1'!D201="","",'Option 1'!D201)</f>
        <v/>
      </c>
      <c r="E201" s="184" t="str">
        <f>IF('Option 1'!E201="","",'Option 1'!E201)</f>
        <v/>
      </c>
      <c r="F201" s="184" t="str">
        <f>IF('Option 1'!F201="","",'Option 1'!F201)</f>
        <v/>
      </c>
      <c r="G201" s="184" t="str">
        <f>IF('Option 1'!G201="","",'Option 1'!G201)</f>
        <v/>
      </c>
      <c r="H201" s="184" t="str">
        <f>IF('Option 1'!H201="","",'Option 1'!H201)</f>
        <v/>
      </c>
      <c r="I201" s="184" t="str">
        <f>IF('Option 1'!I201="","",'Option 1'!I201)</f>
        <v/>
      </c>
      <c r="J201" s="184" t="str">
        <f>IF('Option 1'!J201="","",'Option 1'!J201)</f>
        <v/>
      </c>
      <c r="K201" s="184" t="str">
        <f>IF('Option 1'!K201="","",'Option 1'!K201)</f>
        <v/>
      </c>
      <c r="L201" s="184" t="str">
        <f>IF('Option 1'!L201="","",'Option 1'!L201)</f>
        <v/>
      </c>
      <c r="M201" s="184" t="str">
        <f>IF('Option 1'!M201="","",'Option 1'!M201)</f>
        <v/>
      </c>
      <c r="N201" s="184" t="str">
        <f>IF('Option 1'!N201="","",'Option 1'!N201)</f>
        <v/>
      </c>
      <c r="O201" s="184" t="str">
        <f>IF('Option 1'!O201="","",'Option 1'!O201)</f>
        <v/>
      </c>
      <c r="P201" s="124">
        <f t="shared" si="18"/>
        <v>0</v>
      </c>
    </row>
    <row r="202" spans="1:16" ht="15.75" customHeight="1" x14ac:dyDescent="0.25">
      <c r="A202" s="239"/>
      <c r="B202" s="4" t="str">
        <f>IF('Option 1'!B202="","",'Option 1'!B202)</f>
        <v/>
      </c>
      <c r="C202" s="188" t="str">
        <f>IF('Option 1'!C202="","",'Option 1'!C202)</f>
        <v>Elevator Safety Collars &amp; Engineering</v>
      </c>
      <c r="D202" s="186" t="str">
        <f>IF('Option 1'!D202="","",'Option 1'!D202)</f>
        <v/>
      </c>
      <c r="E202" s="184" t="str">
        <f>IF('Option 1'!E202="","",'Option 1'!E202)</f>
        <v/>
      </c>
      <c r="F202" s="184" t="str">
        <f>IF('Option 1'!F202="","",'Option 1'!F202)</f>
        <v/>
      </c>
      <c r="G202" s="184" t="str">
        <f>IF('Option 1'!G202="","",'Option 1'!G202)</f>
        <v/>
      </c>
      <c r="H202" s="184" t="str">
        <f>IF('Option 1'!H202="","",'Option 1'!H202)</f>
        <v/>
      </c>
      <c r="I202" s="184" t="str">
        <f>IF('Option 1'!I202="","",'Option 1'!I202)</f>
        <v/>
      </c>
      <c r="J202" s="184" t="str">
        <f>IF('Option 1'!J202="","",'Option 1'!J202)</f>
        <v/>
      </c>
      <c r="K202" s="184" t="str">
        <f>IF('Option 1'!K202="","",'Option 1'!K202)</f>
        <v/>
      </c>
      <c r="L202" s="184" t="str">
        <f>IF('Option 1'!L202="","",'Option 1'!L202)</f>
        <v/>
      </c>
      <c r="M202" s="184" t="str">
        <f>IF('Option 1'!M202="","",'Option 1'!M202)</f>
        <v/>
      </c>
      <c r="N202" s="184" t="str">
        <f>IF('Option 1'!N202="","",'Option 1'!N202)</f>
        <v/>
      </c>
      <c r="O202" s="184" t="str">
        <f>IF('Option 1'!O202="","",'Option 1'!O202)</f>
        <v/>
      </c>
      <c r="P202" s="124">
        <f t="shared" si="18"/>
        <v>0</v>
      </c>
    </row>
    <row r="203" spans="1:16" ht="15.75" customHeight="1" x14ac:dyDescent="0.25">
      <c r="A203" s="239"/>
      <c r="B203" s="4" t="str">
        <f>IF('Option 1'!B203="","",'Option 1'!B203)</f>
        <v/>
      </c>
      <c r="C203" s="188" t="str">
        <f>IF('Option 1'!C203="","",'Option 1'!C203)</f>
        <v>Elevator Replacement Cylinders (Bldg. 1405)</v>
      </c>
      <c r="D203" s="186" t="str">
        <f>IF('Option 1'!D203="","",'Option 1'!D203)</f>
        <v/>
      </c>
      <c r="E203" s="184">
        <f>IF('Option 1'!E203="","",'Option 1'!E203)</f>
        <v>0</v>
      </c>
      <c r="F203" s="184">
        <f>IF('Option 1'!F203="","",'Option 1'!F203)</f>
        <v>110000</v>
      </c>
      <c r="G203" s="184" t="str">
        <f>IF('Option 1'!G203="","",'Option 1'!G203)</f>
        <v/>
      </c>
      <c r="H203" s="184" t="str">
        <f>IF('Option 1'!H203="","",'Option 1'!H203)</f>
        <v/>
      </c>
      <c r="I203" s="184" t="str">
        <f>IF('Option 1'!I203="","",'Option 1'!I203)</f>
        <v/>
      </c>
      <c r="J203" s="184" t="str">
        <f>IF('Option 1'!J203="","",'Option 1'!J203)</f>
        <v/>
      </c>
      <c r="K203" s="184" t="str">
        <f>IF('Option 1'!K203="","",'Option 1'!K203)</f>
        <v/>
      </c>
      <c r="L203" s="184" t="str">
        <f>IF('Option 1'!L203="","",'Option 1'!L203)</f>
        <v/>
      </c>
      <c r="M203" s="184" t="str">
        <f>IF('Option 1'!M203="","",'Option 1'!M203)</f>
        <v/>
      </c>
      <c r="N203" s="184" t="str">
        <f>IF('Option 1'!N203="","",'Option 1'!N203)</f>
        <v/>
      </c>
      <c r="O203" s="184" t="str">
        <f>IF('Option 1'!O203="","",'Option 1'!O203)</f>
        <v/>
      </c>
      <c r="P203" s="124">
        <f t="shared" si="18"/>
        <v>110000</v>
      </c>
    </row>
    <row r="204" spans="1:16" ht="15.75" customHeight="1" x14ac:dyDescent="0.25">
      <c r="A204" s="239"/>
      <c r="B204" s="4" t="str">
        <f>IF('Option 1'!B204="","",'Option 1'!B204)</f>
        <v/>
      </c>
      <c r="C204" s="188" t="str">
        <f>IF('Option 1'!C204="","",'Option 1'!C204)</f>
        <v>Elevator Replacement Cylinders (Bldgs. 1505 &amp; 1515)</v>
      </c>
      <c r="D204" s="186" t="str">
        <f>IF('Option 1'!D204="","",'Option 1'!D204)</f>
        <v/>
      </c>
      <c r="E204" s="184" t="str">
        <f>IF('Option 1'!E204="","",'Option 1'!E204)</f>
        <v/>
      </c>
      <c r="F204" s="184">
        <f>IF('Option 1'!F204="","",'Option 1'!F204)</f>
        <v>0</v>
      </c>
      <c r="G204" s="184">
        <f>IF('Option 1'!G204="","",'Option 1'!G204)</f>
        <v>330000</v>
      </c>
      <c r="H204" s="184" t="str">
        <f>IF('Option 1'!H204="","",'Option 1'!H204)</f>
        <v/>
      </c>
      <c r="I204" s="184" t="str">
        <f>IF('Option 1'!I204="","",'Option 1'!I204)</f>
        <v/>
      </c>
      <c r="J204" s="184" t="str">
        <f>IF('Option 1'!J204="","",'Option 1'!J204)</f>
        <v/>
      </c>
      <c r="K204" s="184" t="str">
        <f>IF('Option 1'!K204="","",'Option 1'!K204)</f>
        <v/>
      </c>
      <c r="L204" s="184" t="str">
        <f>IF('Option 1'!L204="","",'Option 1'!L204)</f>
        <v/>
      </c>
      <c r="M204" s="184" t="str">
        <f>IF('Option 1'!M204="","",'Option 1'!M204)</f>
        <v/>
      </c>
      <c r="N204" s="184" t="str">
        <f>IF('Option 1'!N204="","",'Option 1'!N204)</f>
        <v/>
      </c>
      <c r="O204" s="184" t="str">
        <f>IF('Option 1'!O204="","",'Option 1'!O204)</f>
        <v/>
      </c>
      <c r="P204" s="124">
        <f t="shared" si="18"/>
        <v>330000</v>
      </c>
    </row>
    <row r="205" spans="1:16" ht="15.75" customHeight="1" x14ac:dyDescent="0.25">
      <c r="A205" s="239"/>
      <c r="B205" s="4" t="str">
        <f>IF('Option 1'!B205="","",'Option 1'!B205)</f>
        <v/>
      </c>
      <c r="C205" s="188" t="str">
        <f>IF('Option 1'!C205="","",'Option 1'!C205)</f>
        <v>Elevator Replacement Cylinders (Bldg. 1415)</v>
      </c>
      <c r="D205" s="186" t="str">
        <f>IF('Option 1'!D205="","",'Option 1'!D205)</f>
        <v/>
      </c>
      <c r="E205" s="184" t="str">
        <f>IF('Option 1'!E205="","",'Option 1'!E205)</f>
        <v/>
      </c>
      <c r="F205" s="184" t="str">
        <f>IF('Option 1'!F205="","",'Option 1'!F205)</f>
        <v/>
      </c>
      <c r="G205" s="184">
        <f>IF('Option 1'!G205="","",'Option 1'!G205)</f>
        <v>0</v>
      </c>
      <c r="H205" s="184">
        <f>IF('Option 1'!H205="","",'Option 1'!H205)</f>
        <v>110000</v>
      </c>
      <c r="I205" s="184" t="str">
        <f>IF('Option 1'!I205="","",'Option 1'!I205)</f>
        <v/>
      </c>
      <c r="J205" s="184" t="str">
        <f>IF('Option 1'!J205="","",'Option 1'!J205)</f>
        <v/>
      </c>
      <c r="K205" s="184" t="str">
        <f>IF('Option 1'!K205="","",'Option 1'!K205)</f>
        <v/>
      </c>
      <c r="L205" s="184" t="str">
        <f>IF('Option 1'!L205="","",'Option 1'!L205)</f>
        <v/>
      </c>
      <c r="M205" s="184" t="str">
        <f>IF('Option 1'!M205="","",'Option 1'!M205)</f>
        <v/>
      </c>
      <c r="N205" s="184" t="str">
        <f>IF('Option 1'!N205="","",'Option 1'!N205)</f>
        <v/>
      </c>
      <c r="O205" s="184" t="str">
        <f>IF('Option 1'!O205="","",'Option 1'!O205)</f>
        <v/>
      </c>
      <c r="P205" s="124">
        <f t="shared" si="18"/>
        <v>110000</v>
      </c>
    </row>
    <row r="206" spans="1:16" ht="15.75" customHeight="1" x14ac:dyDescent="0.25">
      <c r="A206" s="239"/>
      <c r="B206" s="4" t="str">
        <f>IF('Option 1'!B206="","",'Option 1'!B206)</f>
        <v/>
      </c>
      <c r="C206" s="188" t="str">
        <f>IF('Option 1'!C206="","",'Option 1'!C206)</f>
        <v>Elevator Replacement Cylinders (Bldg. 1605)</v>
      </c>
      <c r="D206" s="186" t="str">
        <f>IF('Option 1'!D206="","",'Option 1'!D206)</f>
        <v/>
      </c>
      <c r="E206" s="184" t="str">
        <f>IF('Option 1'!E206="","",'Option 1'!E206)</f>
        <v/>
      </c>
      <c r="F206" s="184" t="str">
        <f>IF('Option 1'!F206="","",'Option 1'!F206)</f>
        <v/>
      </c>
      <c r="G206" s="184" t="str">
        <f>IF('Option 1'!G206="","",'Option 1'!G206)</f>
        <v/>
      </c>
      <c r="H206" s="184">
        <f>IF('Option 1'!H206="","",'Option 1'!H206)</f>
        <v>0</v>
      </c>
      <c r="I206" s="184">
        <f>IF('Option 1'!I206="","",'Option 1'!I206)</f>
        <v>110000</v>
      </c>
      <c r="J206" s="184" t="str">
        <f>IF('Option 1'!J206="","",'Option 1'!J206)</f>
        <v/>
      </c>
      <c r="K206" s="184" t="str">
        <f>IF('Option 1'!K206="","",'Option 1'!K206)</f>
        <v/>
      </c>
      <c r="L206" s="184" t="str">
        <f>IF('Option 1'!L206="","",'Option 1'!L206)</f>
        <v/>
      </c>
      <c r="M206" s="184" t="str">
        <f>IF('Option 1'!M206="","",'Option 1'!M206)</f>
        <v/>
      </c>
      <c r="N206" s="184" t="str">
        <f>IF('Option 1'!N206="","",'Option 1'!N206)</f>
        <v/>
      </c>
      <c r="O206" s="184" t="str">
        <f>IF('Option 1'!O206="","",'Option 1'!O206)</f>
        <v/>
      </c>
      <c r="P206" s="124">
        <f t="shared" si="18"/>
        <v>110000</v>
      </c>
    </row>
    <row r="207" spans="1:16" ht="15.75" customHeight="1" x14ac:dyDescent="0.25">
      <c r="A207" s="239"/>
      <c r="B207" s="4" t="str">
        <f>IF('Option 1'!B207="","",'Option 1'!B207)</f>
        <v/>
      </c>
      <c r="C207" s="188" t="str">
        <f>IF('Option 1'!C207="","",'Option 1'!C207)</f>
        <v>Elevator Replacement Cylinders (Bldg. 1615)</v>
      </c>
      <c r="D207" s="186" t="str">
        <f>IF('Option 1'!D207="","",'Option 1'!D207)</f>
        <v/>
      </c>
      <c r="E207" s="184" t="str">
        <f>IF('Option 1'!E207="","",'Option 1'!E207)</f>
        <v/>
      </c>
      <c r="F207" s="184" t="str">
        <f>IF('Option 1'!F207="","",'Option 1'!F207)</f>
        <v/>
      </c>
      <c r="G207" s="184" t="str">
        <f>IF('Option 1'!G207="","",'Option 1'!G207)</f>
        <v/>
      </c>
      <c r="H207" s="184" t="str">
        <f>IF('Option 1'!H207="","",'Option 1'!H207)</f>
        <v/>
      </c>
      <c r="I207" s="184">
        <f>IF('Option 1'!I207="","",'Option 1'!I207)</f>
        <v>0</v>
      </c>
      <c r="J207" s="184">
        <f>IF('Option 1'!J207="","",'Option 1'!J207)</f>
        <v>110000</v>
      </c>
      <c r="K207" s="184" t="str">
        <f>IF('Option 1'!K207="","",'Option 1'!K207)</f>
        <v/>
      </c>
      <c r="L207" s="184" t="str">
        <f>IF('Option 1'!L207="","",'Option 1'!L207)</f>
        <v/>
      </c>
      <c r="M207" s="184" t="str">
        <f>IF('Option 1'!M207="","",'Option 1'!M207)</f>
        <v/>
      </c>
      <c r="N207" s="184" t="str">
        <f>IF('Option 1'!N207="","",'Option 1'!N207)</f>
        <v/>
      </c>
      <c r="O207" s="184" t="str">
        <f>IF('Option 1'!O207="","",'Option 1'!O207)</f>
        <v/>
      </c>
      <c r="P207" s="124">
        <f t="shared" si="18"/>
        <v>110000</v>
      </c>
    </row>
    <row r="208" spans="1:16" ht="15.75" customHeight="1" x14ac:dyDescent="0.25">
      <c r="A208" s="239"/>
      <c r="B208" s="4" t="str">
        <f>IF('Option 1'!B208="","",'Option 1'!B208)</f>
        <v/>
      </c>
      <c r="C208" s="188" t="str">
        <f>IF('Option 1'!C208="","",'Option 1'!C208)</f>
        <v>Core HVAC Units - 1515 &amp; 1615 East, 1415 &amp; 1615 West</v>
      </c>
      <c r="D208" s="186" t="str">
        <f>IF('Option 1'!D208="","",'Option 1'!D208)</f>
        <v/>
      </c>
      <c r="E208" s="184">
        <f>IF('Option 1'!E208="","",'Option 1'!E208)</f>
        <v>44284</v>
      </c>
      <c r="F208" s="184" t="str">
        <f>IF('Option 1'!F208="","",'Option 1'!F208)</f>
        <v/>
      </c>
      <c r="G208" s="184" t="str">
        <f>IF('Option 1'!G208="","",'Option 1'!G208)</f>
        <v/>
      </c>
      <c r="H208" s="184" t="str">
        <f>IF('Option 1'!H208="","",'Option 1'!H208)</f>
        <v/>
      </c>
      <c r="I208" s="184" t="str">
        <f>IF('Option 1'!I208="","",'Option 1'!I208)</f>
        <v/>
      </c>
      <c r="J208" s="184" t="str">
        <f>IF('Option 1'!J208="","",'Option 1'!J208)</f>
        <v/>
      </c>
      <c r="K208" s="184" t="str">
        <f>IF('Option 1'!K208="","",'Option 1'!K208)</f>
        <v/>
      </c>
      <c r="L208" s="184" t="str">
        <f>IF('Option 1'!L208="","",'Option 1'!L208)</f>
        <v/>
      </c>
      <c r="M208" s="184" t="str">
        <f>IF('Option 1'!M208="","",'Option 1'!M208)</f>
        <v/>
      </c>
      <c r="N208" s="184" t="str">
        <f>IF('Option 1'!N208="","",'Option 1'!N208)</f>
        <v/>
      </c>
      <c r="O208" s="184" t="str">
        <f>IF('Option 1'!O208="","",'Option 1'!O208)</f>
        <v/>
      </c>
      <c r="P208" s="124">
        <f t="shared" si="18"/>
        <v>44284</v>
      </c>
    </row>
    <row r="209" spans="1:16" ht="15.75" customHeight="1" x14ac:dyDescent="0.25">
      <c r="A209" s="239"/>
      <c r="B209" s="4" t="str">
        <f>IF('Option 1'!B209="","",'Option 1'!B209)</f>
        <v/>
      </c>
      <c r="C209" s="188" t="str">
        <f>IF('Option 1'!C209="","",'Option 1'!C209)</f>
        <v>Core HVAC Unit - 1515 West</v>
      </c>
      <c r="D209" s="186" t="str">
        <f>IF('Option 1'!D209="","",'Option 1'!D209)</f>
        <v/>
      </c>
      <c r="E209" s="184" t="str">
        <f>IF('Option 1'!E209="","",'Option 1'!E209)</f>
        <v/>
      </c>
      <c r="F209" s="184">
        <f>IF('Option 1'!F209="","",'Option 1'!F209)</f>
        <v>11071</v>
      </c>
      <c r="G209" s="184" t="str">
        <f>IF('Option 1'!G209="","",'Option 1'!G209)</f>
        <v/>
      </c>
      <c r="H209" s="184" t="str">
        <f>IF('Option 1'!H209="","",'Option 1'!H209)</f>
        <v/>
      </c>
      <c r="I209" s="184" t="str">
        <f>IF('Option 1'!I209="","",'Option 1'!I209)</f>
        <v/>
      </c>
      <c r="J209" s="184" t="str">
        <f>IF('Option 1'!J209="","",'Option 1'!J209)</f>
        <v/>
      </c>
      <c r="K209" s="184" t="str">
        <f>IF('Option 1'!K209="","",'Option 1'!K209)</f>
        <v/>
      </c>
      <c r="L209" s="184" t="str">
        <f>IF('Option 1'!L209="","",'Option 1'!L209)</f>
        <v/>
      </c>
      <c r="M209" s="184" t="str">
        <f>IF('Option 1'!M209="","",'Option 1'!M209)</f>
        <v/>
      </c>
      <c r="N209" s="184" t="str">
        <f>IF('Option 1'!N209="","",'Option 1'!N209)</f>
        <v/>
      </c>
      <c r="O209" s="184" t="str">
        <f>IF('Option 1'!O209="","",'Option 1'!O209)</f>
        <v/>
      </c>
      <c r="P209" s="124">
        <f t="shared" si="18"/>
        <v>11071</v>
      </c>
    </row>
    <row r="210" spans="1:16" ht="15.75" customHeight="1" x14ac:dyDescent="0.25">
      <c r="A210" s="239"/>
      <c r="B210" s="4" t="str">
        <f>IF('Option 1'!B210="","",'Option 1'!B210)</f>
        <v/>
      </c>
      <c r="C210" s="188" t="str">
        <f>IF('Option 1'!C210="","",'Option 1'!C210)</f>
        <v>Core HVAC Unit - 1415 East</v>
      </c>
      <c r="D210" s="186" t="str">
        <f>IF('Option 1'!D210="","",'Option 1'!D210)</f>
        <v/>
      </c>
      <c r="E210" s="184" t="str">
        <f>IF('Option 1'!E210="","",'Option 1'!E210)</f>
        <v/>
      </c>
      <c r="F210" s="184" t="str">
        <f>IF('Option 1'!F210="","",'Option 1'!F210)</f>
        <v/>
      </c>
      <c r="G210" s="184" t="str">
        <f>IF('Option 1'!G210="","",'Option 1'!G210)</f>
        <v/>
      </c>
      <c r="H210" s="184" t="str">
        <f>IF('Option 1'!H210="","",'Option 1'!H210)</f>
        <v/>
      </c>
      <c r="I210" s="184">
        <f>IF('Option 1'!I210="","",'Option 1'!I210)</f>
        <v>11071</v>
      </c>
      <c r="J210" s="184" t="str">
        <f>IF('Option 1'!J210="","",'Option 1'!J210)</f>
        <v/>
      </c>
      <c r="K210" s="184" t="str">
        <f>IF('Option 1'!K210="","",'Option 1'!K210)</f>
        <v/>
      </c>
      <c r="L210" s="184" t="str">
        <f>IF('Option 1'!L210="","",'Option 1'!L210)</f>
        <v/>
      </c>
      <c r="M210" s="184" t="str">
        <f>IF('Option 1'!M210="","",'Option 1'!M210)</f>
        <v/>
      </c>
      <c r="N210" s="184" t="str">
        <f>IF('Option 1'!N210="","",'Option 1'!N210)</f>
        <v/>
      </c>
      <c r="O210" s="184" t="str">
        <f>IF('Option 1'!O210="","",'Option 1'!O210)</f>
        <v/>
      </c>
      <c r="P210" s="124">
        <f t="shared" si="18"/>
        <v>11071</v>
      </c>
    </row>
    <row r="211" spans="1:16" ht="15.75" customHeight="1" x14ac:dyDescent="0.25">
      <c r="A211" s="239"/>
      <c r="B211" s="4" t="str">
        <f>IF('Option 1'!B211="","",'Option 1'!B211)</f>
        <v/>
      </c>
      <c r="C211" s="188" t="str">
        <f>IF('Option 1'!C211="","",'Option 1'!C211)</f>
        <v>Core HVAC Units - 1605 East &amp; West</v>
      </c>
      <c r="D211" s="186" t="str">
        <f>IF('Option 1'!D211="","",'Option 1'!D211)</f>
        <v/>
      </c>
      <c r="E211" s="184" t="str">
        <f>IF('Option 1'!E211="","",'Option 1'!E211)</f>
        <v/>
      </c>
      <c r="F211" s="184" t="str">
        <f>IF('Option 1'!F211="","",'Option 1'!F211)</f>
        <v/>
      </c>
      <c r="G211" s="184" t="str">
        <f>IF('Option 1'!G211="","",'Option 1'!G211)</f>
        <v/>
      </c>
      <c r="H211" s="184" t="str">
        <f>IF('Option 1'!H211="","",'Option 1'!H211)</f>
        <v/>
      </c>
      <c r="I211" s="184" t="str">
        <f>IF('Option 1'!I211="","",'Option 1'!I211)</f>
        <v/>
      </c>
      <c r="J211" s="184">
        <f>IF('Option 1'!J211="","",'Option 1'!J211)</f>
        <v>22142</v>
      </c>
      <c r="K211" s="184" t="str">
        <f>IF('Option 1'!K211="","",'Option 1'!K211)</f>
        <v/>
      </c>
      <c r="L211" s="184" t="str">
        <f>IF('Option 1'!L211="","",'Option 1'!L211)</f>
        <v/>
      </c>
      <c r="M211" s="184" t="str">
        <f>IF('Option 1'!M211="","",'Option 1'!M211)</f>
        <v/>
      </c>
      <c r="N211" s="184" t="str">
        <f>IF('Option 1'!N211="","",'Option 1'!N211)</f>
        <v/>
      </c>
      <c r="O211" s="184" t="str">
        <f>IF('Option 1'!O211="","",'Option 1'!O211)</f>
        <v/>
      </c>
      <c r="P211" s="124">
        <f t="shared" si="18"/>
        <v>22142</v>
      </c>
    </row>
    <row r="212" spans="1:16" ht="15.75" customHeight="1" x14ac:dyDescent="0.25">
      <c r="A212" s="239"/>
      <c r="B212" s="4" t="str">
        <f>IF('Option 1'!B212="","",'Option 1'!B212)</f>
        <v/>
      </c>
      <c r="C212" s="188" t="str">
        <f>IF('Option 1'!C212="","",'Option 1'!C212)</f>
        <v>Core HVAC Unit - 1405 East</v>
      </c>
      <c r="D212" s="186" t="str">
        <f>IF('Option 1'!D212="","",'Option 1'!D212)</f>
        <v/>
      </c>
      <c r="E212" s="184" t="str">
        <f>IF('Option 1'!E212="","",'Option 1'!E212)</f>
        <v/>
      </c>
      <c r="F212" s="184" t="str">
        <f>IF('Option 1'!F212="","",'Option 1'!F212)</f>
        <v/>
      </c>
      <c r="G212" s="184" t="str">
        <f>IF('Option 1'!G212="","",'Option 1'!G212)</f>
        <v/>
      </c>
      <c r="H212" s="184" t="str">
        <f>IF('Option 1'!H212="","",'Option 1'!H212)</f>
        <v/>
      </c>
      <c r="I212" s="184" t="str">
        <f>IF('Option 1'!I212="","",'Option 1'!I212)</f>
        <v/>
      </c>
      <c r="J212" s="184" t="str">
        <f>IF('Option 1'!J212="","",'Option 1'!J212)</f>
        <v/>
      </c>
      <c r="K212" s="184">
        <f>IF('Option 1'!K212="","",'Option 1'!K212)</f>
        <v>11071</v>
      </c>
      <c r="L212" s="184" t="str">
        <f>IF('Option 1'!L212="","",'Option 1'!L212)</f>
        <v/>
      </c>
      <c r="M212" s="184" t="str">
        <f>IF('Option 1'!M212="","",'Option 1'!M212)</f>
        <v/>
      </c>
      <c r="N212" s="184" t="str">
        <f>IF('Option 1'!N212="","",'Option 1'!N212)</f>
        <v/>
      </c>
      <c r="O212" s="184" t="str">
        <f>IF('Option 1'!O212="","",'Option 1'!O212)</f>
        <v/>
      </c>
      <c r="P212" s="124">
        <f t="shared" si="18"/>
        <v>11071</v>
      </c>
    </row>
    <row r="213" spans="1:16" ht="15.75" customHeight="1" x14ac:dyDescent="0.25">
      <c r="A213" s="239"/>
      <c r="B213" s="4" t="str">
        <f>IF('Option 1'!B213="","",'Option 1'!B213)</f>
        <v/>
      </c>
      <c r="C213" s="188" t="str">
        <f>IF('Option 1'!C213="","",'Option 1'!C213)</f>
        <v>Core HVAC Units - 1505 East &amp; West</v>
      </c>
      <c r="D213" s="186" t="str">
        <f>IF('Option 1'!D213="","",'Option 1'!D213)</f>
        <v/>
      </c>
      <c r="E213" s="184" t="str">
        <f>IF('Option 1'!E213="","",'Option 1'!E213)</f>
        <v/>
      </c>
      <c r="F213" s="184" t="str">
        <f>IF('Option 1'!F213="","",'Option 1'!F213)</f>
        <v/>
      </c>
      <c r="G213" s="184" t="str">
        <f>IF('Option 1'!G213="","",'Option 1'!G213)</f>
        <v/>
      </c>
      <c r="H213" s="184" t="str">
        <f>IF('Option 1'!H213="","",'Option 1'!H213)</f>
        <v/>
      </c>
      <c r="I213" s="184" t="str">
        <f>IF('Option 1'!I213="","",'Option 1'!I213)</f>
        <v/>
      </c>
      <c r="J213" s="184" t="str">
        <f>IF('Option 1'!J213="","",'Option 1'!J213)</f>
        <v/>
      </c>
      <c r="K213" s="184" t="str">
        <f>IF('Option 1'!K213="","",'Option 1'!K213)</f>
        <v/>
      </c>
      <c r="L213" s="184">
        <f>IF('Option 1'!L213="","",'Option 1'!L213)</f>
        <v>22142</v>
      </c>
      <c r="M213" s="184" t="str">
        <f>IF('Option 1'!M213="","",'Option 1'!M213)</f>
        <v/>
      </c>
      <c r="N213" s="184" t="str">
        <f>IF('Option 1'!N213="","",'Option 1'!N213)</f>
        <v/>
      </c>
      <c r="O213" s="184" t="str">
        <f>IF('Option 1'!O213="","",'Option 1'!O213)</f>
        <v/>
      </c>
      <c r="P213" s="124">
        <f t="shared" si="18"/>
        <v>22142</v>
      </c>
    </row>
    <row r="214" spans="1:16" ht="15.75" customHeight="1" x14ac:dyDescent="0.25">
      <c r="A214" s="239"/>
      <c r="B214" s="4" t="str">
        <f>IF('Option 1'!B214="","",'Option 1'!B214)</f>
        <v/>
      </c>
      <c r="C214" s="188" t="str">
        <f>IF('Option 1'!C214="","",'Option 1'!C214)</f>
        <v>Core HVAC Unit - 1405 West</v>
      </c>
      <c r="D214" s="186" t="str">
        <f>IF('Option 1'!D214="","",'Option 1'!D214)</f>
        <v/>
      </c>
      <c r="E214" s="184" t="str">
        <f>IF('Option 1'!E214="","",'Option 1'!E214)</f>
        <v/>
      </c>
      <c r="F214" s="184" t="str">
        <f>IF('Option 1'!F214="","",'Option 1'!F214)</f>
        <v/>
      </c>
      <c r="G214" s="184" t="str">
        <f>IF('Option 1'!G214="","",'Option 1'!G214)</f>
        <v/>
      </c>
      <c r="H214" s="184" t="str">
        <f>IF('Option 1'!H214="","",'Option 1'!H214)</f>
        <v/>
      </c>
      <c r="I214" s="184" t="str">
        <f>IF('Option 1'!I214="","",'Option 1'!I214)</f>
        <v/>
      </c>
      <c r="J214" s="184" t="str">
        <f>IF('Option 1'!J214="","",'Option 1'!J214)</f>
        <v/>
      </c>
      <c r="K214" s="184" t="str">
        <f>IF('Option 1'!K214="","",'Option 1'!K214)</f>
        <v/>
      </c>
      <c r="L214" s="184" t="str">
        <f>IF('Option 1'!L214="","",'Option 1'!L214)</f>
        <v/>
      </c>
      <c r="M214" s="184">
        <f>IF('Option 1'!M214="","",'Option 1'!M214)</f>
        <v>11071</v>
      </c>
      <c r="N214" s="184" t="str">
        <f>IF('Option 1'!N214="","",'Option 1'!N214)</f>
        <v/>
      </c>
      <c r="O214" s="184" t="str">
        <f>IF('Option 1'!O214="","",'Option 1'!O214)</f>
        <v/>
      </c>
      <c r="P214" s="124">
        <f t="shared" si="18"/>
        <v>11071</v>
      </c>
    </row>
    <row r="215" spans="1:16" ht="15.75" customHeight="1" x14ac:dyDescent="0.25">
      <c r="A215" s="239"/>
      <c r="B215" s="4" t="str">
        <f>IF('Option 1'!B215="","",'Option 1'!B215)</f>
        <v/>
      </c>
      <c r="C215" s="188" t="str">
        <f>IF('Option 1'!C215="","",'Option 1'!C215)</f>
        <v>HVAC Units - 1605 B &amp; C, &amp; 1515 A &amp; B Wings</v>
      </c>
      <c r="D215" s="186">
        <f>IF('Option 1'!D215="","",'Option 1'!D215)</f>
        <v>43643</v>
      </c>
      <c r="E215" s="184" t="str">
        <f>IF('Option 1'!E215="","",'Option 1'!E215)</f>
        <v/>
      </c>
      <c r="F215" s="184" t="str">
        <f>IF('Option 1'!F215="","",'Option 1'!F215)</f>
        <v/>
      </c>
      <c r="G215" s="184" t="str">
        <f>IF('Option 1'!G215="","",'Option 1'!G215)</f>
        <v/>
      </c>
      <c r="H215" s="184" t="str">
        <f>IF('Option 1'!H215="","",'Option 1'!H215)</f>
        <v/>
      </c>
      <c r="I215" s="184" t="str">
        <f>IF('Option 1'!I215="","",'Option 1'!I215)</f>
        <v/>
      </c>
      <c r="J215" s="184" t="str">
        <f>IF('Option 1'!J215="","",'Option 1'!J215)</f>
        <v/>
      </c>
      <c r="K215" s="184" t="str">
        <f>IF('Option 1'!K215="","",'Option 1'!K215)</f>
        <v/>
      </c>
      <c r="L215" s="184" t="str">
        <f>IF('Option 1'!L215="","",'Option 1'!L215)</f>
        <v/>
      </c>
      <c r="M215" s="184" t="str">
        <f>IF('Option 1'!M215="","",'Option 1'!M215)</f>
        <v/>
      </c>
      <c r="N215" s="184" t="str">
        <f>IF('Option 1'!N215="","",'Option 1'!N215)</f>
        <v/>
      </c>
      <c r="O215" s="184" t="str">
        <f>IF('Option 1'!O215="","",'Option 1'!O215)</f>
        <v/>
      </c>
      <c r="P215" s="124">
        <f t="shared" si="18"/>
        <v>43643</v>
      </c>
    </row>
    <row r="216" spans="1:16" ht="15.75" customHeight="1" x14ac:dyDescent="0.25">
      <c r="A216" s="239"/>
      <c r="B216" s="4" t="str">
        <f>IF('Option 1'!B216="","",'Option 1'!B216)</f>
        <v/>
      </c>
      <c r="C216" s="188" t="str">
        <f>IF('Option 1'!C216="","",'Option 1'!C216)</f>
        <v>HVAC Units - 1615 B, 1515 C &amp; 1415 C Wings</v>
      </c>
      <c r="D216" s="186" t="str">
        <f>IF('Option 1'!D216="","",'Option 1'!D216)</f>
        <v/>
      </c>
      <c r="E216" s="184" t="str">
        <f>IF('Option 1'!E216="","",'Option 1'!E216)</f>
        <v/>
      </c>
      <c r="F216" s="184">
        <f>IF('Option 1'!F216="","",'Option 1'!F216)</f>
        <v>22500</v>
      </c>
      <c r="G216" s="184" t="str">
        <f>IF('Option 1'!G216="","",'Option 1'!G216)</f>
        <v/>
      </c>
      <c r="H216" s="184" t="str">
        <f>IF('Option 1'!H216="","",'Option 1'!H216)</f>
        <v/>
      </c>
      <c r="I216" s="184" t="str">
        <f>IF('Option 1'!I216="","",'Option 1'!I216)</f>
        <v/>
      </c>
      <c r="J216" s="184" t="str">
        <f>IF('Option 1'!J216="","",'Option 1'!J216)</f>
        <v/>
      </c>
      <c r="K216" s="184" t="str">
        <f>IF('Option 1'!K216="","",'Option 1'!K216)</f>
        <v/>
      </c>
      <c r="L216" s="184" t="str">
        <f>IF('Option 1'!L216="","",'Option 1'!L216)</f>
        <v/>
      </c>
      <c r="M216" s="184" t="str">
        <f>IF('Option 1'!M216="","",'Option 1'!M216)</f>
        <v/>
      </c>
      <c r="N216" s="184" t="str">
        <f>IF('Option 1'!N216="","",'Option 1'!N216)</f>
        <v/>
      </c>
      <c r="O216" s="184" t="str">
        <f>IF('Option 1'!O216="","",'Option 1'!O216)</f>
        <v/>
      </c>
      <c r="P216" s="124">
        <f t="shared" si="18"/>
        <v>22500</v>
      </c>
    </row>
    <row r="217" spans="1:16" ht="15.75" customHeight="1" x14ac:dyDescent="0.25">
      <c r="A217" s="239"/>
      <c r="B217" s="4" t="str">
        <f>IF('Option 1'!B217="","",'Option 1'!B217)</f>
        <v/>
      </c>
      <c r="C217" s="188" t="str">
        <f>IF('Option 1'!C217="","",'Option 1'!C217)</f>
        <v>HVAC Units - 1615 A &amp; 1605 A Wing</v>
      </c>
      <c r="D217" s="186" t="str">
        <f>IF('Option 1'!D217="","",'Option 1'!D217)</f>
        <v/>
      </c>
      <c r="E217" s="184" t="str">
        <f>IF('Option 1'!E217="","",'Option 1'!E217)</f>
        <v/>
      </c>
      <c r="F217" s="184" t="str">
        <f>IF('Option 1'!F217="","",'Option 1'!F217)</f>
        <v/>
      </c>
      <c r="G217" s="184">
        <f>IF('Option 1'!G217="","",'Option 1'!G217)</f>
        <v>15000</v>
      </c>
      <c r="H217" s="184" t="str">
        <f>IF('Option 1'!H217="","",'Option 1'!H217)</f>
        <v/>
      </c>
      <c r="I217" s="184" t="str">
        <f>IF('Option 1'!I217="","",'Option 1'!I217)</f>
        <v/>
      </c>
      <c r="J217" s="184" t="str">
        <f>IF('Option 1'!J217="","",'Option 1'!J217)</f>
        <v/>
      </c>
      <c r="K217" s="184" t="str">
        <f>IF('Option 1'!K217="","",'Option 1'!K217)</f>
        <v/>
      </c>
      <c r="L217" s="184" t="str">
        <f>IF('Option 1'!L217="","",'Option 1'!L217)</f>
        <v/>
      </c>
      <c r="M217" s="184" t="str">
        <f>IF('Option 1'!M217="","",'Option 1'!M217)</f>
        <v/>
      </c>
      <c r="N217" s="184" t="str">
        <f>IF('Option 1'!N217="","",'Option 1'!N217)</f>
        <v/>
      </c>
      <c r="O217" s="184" t="str">
        <f>IF('Option 1'!O217="","",'Option 1'!O217)</f>
        <v/>
      </c>
      <c r="P217" s="124">
        <f t="shared" ref="P217:P234" si="19">IF(SUM(D217:O217)=0,0,SUM(D217:O217))</f>
        <v>15000</v>
      </c>
    </row>
    <row r="218" spans="1:16" ht="15.75" customHeight="1" x14ac:dyDescent="0.25">
      <c r="A218" s="239"/>
      <c r="B218" s="4" t="str">
        <f>IF('Option 1'!B218="","",'Option 1'!B218)</f>
        <v/>
      </c>
      <c r="C218" s="188" t="str">
        <f>IF('Option 1'!C218="","",'Option 1'!C218)</f>
        <v>HVAC Unit - 1415 B Wing</v>
      </c>
      <c r="D218" s="186" t="str">
        <f>IF('Option 1'!D218="","",'Option 1'!D218)</f>
        <v/>
      </c>
      <c r="E218" s="184" t="str">
        <f>IF('Option 1'!E218="","",'Option 1'!E218)</f>
        <v/>
      </c>
      <c r="F218" s="184" t="str">
        <f>IF('Option 1'!F218="","",'Option 1'!F218)</f>
        <v/>
      </c>
      <c r="G218" s="184" t="str">
        <f>IF('Option 1'!G218="","",'Option 1'!G218)</f>
        <v/>
      </c>
      <c r="H218" s="184" t="str">
        <f>IF('Option 1'!H218="","",'Option 1'!H218)</f>
        <v/>
      </c>
      <c r="I218" s="184">
        <f>IF('Option 1'!I218="","",'Option 1'!I218)</f>
        <v>7500</v>
      </c>
      <c r="J218" s="184" t="str">
        <f>IF('Option 1'!J218="","",'Option 1'!J218)</f>
        <v/>
      </c>
      <c r="K218" s="184" t="str">
        <f>IF('Option 1'!K218="","",'Option 1'!K218)</f>
        <v/>
      </c>
      <c r="L218" s="184" t="str">
        <f>IF('Option 1'!L218="","",'Option 1'!L218)</f>
        <v/>
      </c>
      <c r="M218" s="184" t="str">
        <f>IF('Option 1'!M218="","",'Option 1'!M218)</f>
        <v/>
      </c>
      <c r="N218" s="184" t="str">
        <f>IF('Option 1'!N218="","",'Option 1'!N218)</f>
        <v/>
      </c>
      <c r="O218" s="184" t="str">
        <f>IF('Option 1'!O218="","",'Option 1'!O218)</f>
        <v/>
      </c>
      <c r="P218" s="124">
        <f t="shared" si="19"/>
        <v>7500</v>
      </c>
    </row>
    <row r="219" spans="1:16" ht="15.75" customHeight="1" x14ac:dyDescent="0.25">
      <c r="A219" s="239"/>
      <c r="B219" s="4" t="str">
        <f>IF('Option 1'!B219="","",'Option 1'!B219)</f>
        <v/>
      </c>
      <c r="C219" s="188" t="str">
        <f>IF('Option 1'!C219="","",'Option 1'!C219)</f>
        <v>HVAC Unit - 1615 C Wing</v>
      </c>
      <c r="D219" s="186" t="str">
        <f>IF('Option 1'!D219="","",'Option 1'!D219)</f>
        <v/>
      </c>
      <c r="E219" s="184" t="str">
        <f>IF('Option 1'!E219="","",'Option 1'!E219)</f>
        <v/>
      </c>
      <c r="F219" s="184" t="str">
        <f>IF('Option 1'!F219="","",'Option 1'!F219)</f>
        <v/>
      </c>
      <c r="G219" s="184" t="str">
        <f>IF('Option 1'!G219="","",'Option 1'!G219)</f>
        <v/>
      </c>
      <c r="H219" s="184" t="str">
        <f>IF('Option 1'!H219="","",'Option 1'!H219)</f>
        <v/>
      </c>
      <c r="I219" s="184" t="str">
        <f>IF('Option 1'!I219="","",'Option 1'!I219)</f>
        <v/>
      </c>
      <c r="J219" s="184">
        <f>IF('Option 1'!J219="","",'Option 1'!J219)</f>
        <v>7500</v>
      </c>
      <c r="K219" s="184" t="str">
        <f>IF('Option 1'!K219="","",'Option 1'!K219)</f>
        <v/>
      </c>
      <c r="L219" s="184" t="str">
        <f>IF('Option 1'!L219="","",'Option 1'!L219)</f>
        <v/>
      </c>
      <c r="M219" s="184" t="str">
        <f>IF('Option 1'!M219="","",'Option 1'!M219)</f>
        <v/>
      </c>
      <c r="N219" s="184" t="str">
        <f>IF('Option 1'!N219="","",'Option 1'!N219)</f>
        <v/>
      </c>
      <c r="O219" s="184" t="str">
        <f>IF('Option 1'!O219="","",'Option 1'!O219)</f>
        <v/>
      </c>
      <c r="P219" s="124">
        <f t="shared" si="19"/>
        <v>7500</v>
      </c>
    </row>
    <row r="220" spans="1:16" ht="15.75" customHeight="1" x14ac:dyDescent="0.25">
      <c r="A220" s="239"/>
      <c r="B220" s="4" t="str">
        <f>IF('Option 1'!B220="","",'Option 1'!B220)</f>
        <v/>
      </c>
      <c r="C220" s="188" t="str">
        <f>IF('Option 1'!C220="","",'Option 1'!C220)</f>
        <v>HVAC Units - 1405 B &amp; C Wings</v>
      </c>
      <c r="D220" s="186" t="str">
        <f>IF('Option 1'!D220="","",'Option 1'!D220)</f>
        <v/>
      </c>
      <c r="E220" s="184" t="str">
        <f>IF('Option 1'!E220="","",'Option 1'!E220)</f>
        <v/>
      </c>
      <c r="F220" s="184" t="str">
        <f>IF('Option 1'!F220="","",'Option 1'!F220)</f>
        <v/>
      </c>
      <c r="G220" s="184" t="str">
        <f>IF('Option 1'!G220="","",'Option 1'!G220)</f>
        <v/>
      </c>
      <c r="H220" s="184" t="str">
        <f>IF('Option 1'!H220="","",'Option 1'!H220)</f>
        <v/>
      </c>
      <c r="I220" s="184" t="str">
        <f>IF('Option 1'!I220="","",'Option 1'!I220)</f>
        <v/>
      </c>
      <c r="J220" s="184" t="str">
        <f>IF('Option 1'!J220="","",'Option 1'!J220)</f>
        <v/>
      </c>
      <c r="K220" s="184">
        <f>IF('Option 1'!K220="","",'Option 1'!K220)</f>
        <v>15000</v>
      </c>
      <c r="L220" s="184" t="str">
        <f>IF('Option 1'!L220="","",'Option 1'!L220)</f>
        <v/>
      </c>
      <c r="M220" s="184" t="str">
        <f>IF('Option 1'!M220="","",'Option 1'!M220)</f>
        <v/>
      </c>
      <c r="N220" s="184" t="str">
        <f>IF('Option 1'!N220="","",'Option 1'!N220)</f>
        <v/>
      </c>
      <c r="O220" s="184" t="str">
        <f>IF('Option 1'!O220="","",'Option 1'!O220)</f>
        <v/>
      </c>
      <c r="P220" s="124">
        <f t="shared" si="19"/>
        <v>15000</v>
      </c>
    </row>
    <row r="221" spans="1:16" ht="15.75" customHeight="1" x14ac:dyDescent="0.25">
      <c r="A221" s="239"/>
      <c r="B221" s="4" t="str">
        <f>IF('Option 1'!B221="","",'Option 1'!B221)</f>
        <v/>
      </c>
      <c r="C221" s="188" t="str">
        <f>IF('Option 1'!C221="","",'Option 1'!C221)</f>
        <v>HVAC Units - 1505 A &amp; B, 1415 A, &amp; 1405 A Wings</v>
      </c>
      <c r="D221" s="186" t="str">
        <f>IF('Option 1'!D221="","",'Option 1'!D221)</f>
        <v/>
      </c>
      <c r="E221" s="184" t="str">
        <f>IF('Option 1'!E221="","",'Option 1'!E221)</f>
        <v/>
      </c>
      <c r="F221" s="184" t="str">
        <f>IF('Option 1'!F221="","",'Option 1'!F221)</f>
        <v/>
      </c>
      <c r="G221" s="184" t="str">
        <f>IF('Option 1'!G221="","",'Option 1'!G221)</f>
        <v/>
      </c>
      <c r="H221" s="184" t="str">
        <f>IF('Option 1'!H221="","",'Option 1'!H221)</f>
        <v/>
      </c>
      <c r="I221" s="184" t="str">
        <f>IF('Option 1'!I221="","",'Option 1'!I221)</f>
        <v/>
      </c>
      <c r="J221" s="184" t="str">
        <f>IF('Option 1'!J221="","",'Option 1'!J221)</f>
        <v/>
      </c>
      <c r="K221" s="184" t="str">
        <f>IF('Option 1'!K221="","",'Option 1'!K221)</f>
        <v/>
      </c>
      <c r="L221" s="184">
        <f>IF('Option 1'!L221="","",'Option 1'!L221)</f>
        <v>30000</v>
      </c>
      <c r="M221" s="184" t="str">
        <f>IF('Option 1'!M221="","",'Option 1'!M221)</f>
        <v/>
      </c>
      <c r="N221" s="184" t="str">
        <f>IF('Option 1'!N221="","",'Option 1'!N221)</f>
        <v/>
      </c>
      <c r="O221" s="184" t="str">
        <f>IF('Option 1'!O221="","",'Option 1'!O221)</f>
        <v/>
      </c>
      <c r="P221" s="124">
        <f t="shared" si="19"/>
        <v>30000</v>
      </c>
    </row>
    <row r="222" spans="1:16" ht="15.75" customHeight="1" x14ac:dyDescent="0.25">
      <c r="A222" s="239"/>
      <c r="B222" s="4" t="str">
        <f>IF('Option 1'!B222="","",'Option 1'!B222)</f>
        <v/>
      </c>
      <c r="C222" s="188" t="str">
        <f>IF('Option 1'!C222="","",'Option 1'!C222)</f>
        <v>Boiler Stacks</v>
      </c>
      <c r="D222" s="186">
        <f>IF('Option 1'!D222="","",'Option 1'!D222)</f>
        <v>31480</v>
      </c>
      <c r="E222" s="184" t="str">
        <f>IF('Option 1'!E222="","",'Option 1'!E222)</f>
        <v/>
      </c>
      <c r="F222" s="184" t="str">
        <f>IF('Option 1'!F222="","",'Option 1'!F222)</f>
        <v/>
      </c>
      <c r="G222" s="184" t="str">
        <f>IF('Option 1'!G222="","",'Option 1'!G222)</f>
        <v/>
      </c>
      <c r="H222" s="184" t="str">
        <f>IF('Option 1'!H222="","",'Option 1'!H222)</f>
        <v/>
      </c>
      <c r="I222" s="184" t="str">
        <f>IF('Option 1'!I222="","",'Option 1'!I222)</f>
        <v/>
      </c>
      <c r="J222" s="184" t="str">
        <f>IF('Option 1'!J222="","",'Option 1'!J222)</f>
        <v/>
      </c>
      <c r="K222" s="184" t="str">
        <f>IF('Option 1'!K222="","",'Option 1'!K222)</f>
        <v/>
      </c>
      <c r="L222" s="184" t="str">
        <f>IF('Option 1'!L222="","",'Option 1'!L222)</f>
        <v/>
      </c>
      <c r="M222" s="184" t="str">
        <f>IF('Option 1'!M222="","",'Option 1'!M222)</f>
        <v/>
      </c>
      <c r="N222" s="184" t="str">
        <f>IF('Option 1'!N222="","",'Option 1'!N222)</f>
        <v/>
      </c>
      <c r="O222" s="184" t="str">
        <f>IF('Option 1'!O222="","",'Option 1'!O222)</f>
        <v/>
      </c>
      <c r="P222" s="124">
        <f t="shared" si="19"/>
        <v>31480</v>
      </c>
    </row>
    <row r="223" spans="1:16" ht="15.75" customHeight="1" x14ac:dyDescent="0.25">
      <c r="A223" s="239"/>
      <c r="B223" s="4" t="str">
        <f>IF('Option 1'!B223="","",'Option 1'!B223)</f>
        <v/>
      </c>
      <c r="C223" s="188" t="str">
        <f>IF('Option 1'!C223="","",'Option 1'!C223)</f>
        <v>Boiler Stacks (Bldg. 1415)</v>
      </c>
      <c r="D223" s="186" t="str">
        <f>IF('Option 1'!D223="","",'Option 1'!D223)</f>
        <v/>
      </c>
      <c r="E223" s="184" t="str">
        <f>IF('Option 1'!E223="","",'Option 1'!E223)</f>
        <v/>
      </c>
      <c r="F223" s="184" t="str">
        <f>IF('Option 1'!F223="","",'Option 1'!F223)</f>
        <v/>
      </c>
      <c r="G223" s="184" t="str">
        <f>IF('Option 1'!G223="","",'Option 1'!G223)</f>
        <v/>
      </c>
      <c r="H223" s="184" t="str">
        <f>IF('Option 1'!H223="","",'Option 1'!H223)</f>
        <v/>
      </c>
      <c r="I223" s="184" t="str">
        <f>IF('Option 1'!I223="","",'Option 1'!I223)</f>
        <v/>
      </c>
      <c r="J223" s="184" t="str">
        <f>IF('Option 1'!J223="","",'Option 1'!J223)</f>
        <v/>
      </c>
      <c r="K223" s="184" t="str">
        <f>IF('Option 1'!K223="","",'Option 1'!K223)</f>
        <v/>
      </c>
      <c r="L223" s="184" t="str">
        <f>IF('Option 1'!L223="","",'Option 1'!L223)</f>
        <v/>
      </c>
      <c r="M223" s="184" t="str">
        <f>IF('Option 1'!M223="","",'Option 1'!M223)</f>
        <v/>
      </c>
      <c r="N223" s="184" t="str">
        <f>IF('Option 1'!N223="","",'Option 1'!N223)</f>
        <v/>
      </c>
      <c r="O223" s="184" t="str">
        <f>IF('Option 1'!O223="","",'Option 1'!O223)</f>
        <v/>
      </c>
      <c r="P223" s="124">
        <f t="shared" si="19"/>
        <v>0</v>
      </c>
    </row>
    <row r="224" spans="1:16" ht="15.75" customHeight="1" x14ac:dyDescent="0.25">
      <c r="A224" s="239"/>
      <c r="B224" s="4" t="str">
        <f>IF('Option 1'!B224="","",'Option 1'!B224)</f>
        <v/>
      </c>
      <c r="C224" s="188" t="str">
        <f>IF('Option 1'!C224="","",'Option 1'!C224)</f>
        <v>Hot Water Storage Tanks</v>
      </c>
      <c r="D224" s="186" t="str">
        <f>IF('Option 1'!D224="","",'Option 1'!D224)</f>
        <v/>
      </c>
      <c r="E224" s="184" t="str">
        <f>IF('Option 1'!E224="","",'Option 1'!E224)</f>
        <v/>
      </c>
      <c r="F224" s="184" t="str">
        <f>IF('Option 1'!F224="","",'Option 1'!F224)</f>
        <v/>
      </c>
      <c r="G224" s="184" t="str">
        <f>IF('Option 1'!G224="","",'Option 1'!G224)</f>
        <v/>
      </c>
      <c r="H224" s="184" t="str">
        <f>IF('Option 1'!H224="","",'Option 1'!H224)</f>
        <v/>
      </c>
      <c r="I224" s="184" t="str">
        <f>IF('Option 1'!I224="","",'Option 1'!I224)</f>
        <v/>
      </c>
      <c r="J224" s="184" t="str">
        <f>IF('Option 1'!J224="","",'Option 1'!J224)</f>
        <v/>
      </c>
      <c r="K224" s="184">
        <f>IF('Option 1'!K224="","",'Option 1'!K224)</f>
        <v>148075</v>
      </c>
      <c r="L224" s="184" t="str">
        <f>IF('Option 1'!L224="","",'Option 1'!L224)</f>
        <v/>
      </c>
      <c r="M224" s="184" t="str">
        <f>IF('Option 1'!M224="","",'Option 1'!M224)</f>
        <v/>
      </c>
      <c r="N224" s="184" t="str">
        <f>IF('Option 1'!N224="","",'Option 1'!N224)</f>
        <v/>
      </c>
      <c r="O224" s="184" t="str">
        <f>IF('Option 1'!O224="","",'Option 1'!O224)</f>
        <v/>
      </c>
      <c r="P224" s="124">
        <f t="shared" si="19"/>
        <v>148075</v>
      </c>
    </row>
    <row r="225" spans="1:16" ht="15.75" customHeight="1" x14ac:dyDescent="0.25">
      <c r="A225" s="239"/>
      <c r="B225" s="4" t="str">
        <f>IF('Option 1'!B225="","",'Option 1'!B225)</f>
        <v/>
      </c>
      <c r="C225" s="188" t="str">
        <f>IF('Option 1'!C225="","",'Option 1'!C225)</f>
        <v>Circulating Pumps</v>
      </c>
      <c r="D225" s="186">
        <f>IF('Option 1'!D225="","",'Option 1'!D225)</f>
        <v>29061</v>
      </c>
      <c r="E225" s="184" t="str">
        <f>IF('Option 1'!E225="","",'Option 1'!E225)</f>
        <v/>
      </c>
      <c r="F225" s="184" t="str">
        <f>IF('Option 1'!F225="","",'Option 1'!F225)</f>
        <v/>
      </c>
      <c r="G225" s="184" t="str">
        <f>IF('Option 1'!G225="","",'Option 1'!G225)</f>
        <v/>
      </c>
      <c r="H225" s="184" t="str">
        <f>IF('Option 1'!H225="","",'Option 1'!H225)</f>
        <v/>
      </c>
      <c r="I225" s="184" t="str">
        <f>IF('Option 1'!I225="","",'Option 1'!I225)</f>
        <v/>
      </c>
      <c r="J225" s="184" t="str">
        <f>IF('Option 1'!J225="","",'Option 1'!J225)</f>
        <v/>
      </c>
      <c r="K225" s="184" t="str">
        <f>IF('Option 1'!K225="","",'Option 1'!K225)</f>
        <v/>
      </c>
      <c r="L225" s="184" t="str">
        <f>IF('Option 1'!L225="","",'Option 1'!L225)</f>
        <v/>
      </c>
      <c r="M225" s="184" t="str">
        <f>IF('Option 1'!M225="","",'Option 1'!M225)</f>
        <v/>
      </c>
      <c r="N225" s="184">
        <f>IF('Option 1'!N225="","",'Option 1'!N225)</f>
        <v>29061</v>
      </c>
      <c r="O225" s="184" t="str">
        <f>IF('Option 1'!O225="","",'Option 1'!O225)</f>
        <v/>
      </c>
      <c r="P225" s="124">
        <f t="shared" si="19"/>
        <v>58122</v>
      </c>
    </row>
    <row r="226" spans="1:16" ht="15.75" customHeight="1" x14ac:dyDescent="0.25">
      <c r="A226" s="239"/>
      <c r="B226" s="4" t="str">
        <f>IF('Option 1'!B226="","",'Option 1'!B226)</f>
        <v/>
      </c>
      <c r="C226" s="188" t="str">
        <f>IF('Option 1'!C226="","",'Option 1'!C226)</f>
        <v>Sump Pumps</v>
      </c>
      <c r="D226" s="186" t="str">
        <f>IF('Option 1'!D226="","",'Option 1'!D226)</f>
        <v/>
      </c>
      <c r="E226" s="184" t="str">
        <f>IF('Option 1'!E226="","",'Option 1'!E226)</f>
        <v/>
      </c>
      <c r="F226" s="184" t="str">
        <f>IF('Option 1'!F226="","",'Option 1'!F226)</f>
        <v/>
      </c>
      <c r="G226" s="184" t="str">
        <f>IF('Option 1'!G226="","",'Option 1'!G226)</f>
        <v/>
      </c>
      <c r="H226" s="184">
        <f>IF('Option 1'!H226="","",'Option 1'!H226)</f>
        <v>59507</v>
      </c>
      <c r="I226" s="184" t="str">
        <f>IF('Option 1'!I226="","",'Option 1'!I226)</f>
        <v/>
      </c>
      <c r="J226" s="184" t="str">
        <f>IF('Option 1'!J226="","",'Option 1'!J226)</f>
        <v/>
      </c>
      <c r="K226" s="184" t="str">
        <f>IF('Option 1'!K226="","",'Option 1'!K226)</f>
        <v/>
      </c>
      <c r="L226" s="184" t="str">
        <f>IF('Option 1'!L226="","",'Option 1'!L226)</f>
        <v/>
      </c>
      <c r="M226" s="184" t="str">
        <f>IF('Option 1'!M226="","",'Option 1'!M226)</f>
        <v/>
      </c>
      <c r="N226" s="184" t="str">
        <f>IF('Option 1'!N226="","",'Option 1'!N226)</f>
        <v/>
      </c>
      <c r="O226" s="184" t="str">
        <f>IF('Option 1'!O226="","",'Option 1'!O226)</f>
        <v/>
      </c>
      <c r="P226" s="124">
        <f t="shared" si="19"/>
        <v>59507</v>
      </c>
    </row>
    <row r="227" spans="1:16" ht="15.75" customHeight="1" x14ac:dyDescent="0.25">
      <c r="A227" s="239"/>
      <c r="B227" s="4" t="str">
        <f>IF('Option 1'!B227="","",'Option 1'!B227)</f>
        <v/>
      </c>
      <c r="C227" s="188" t="str">
        <f>IF('Option 1'!C227="","",'Option 1'!C227)</f>
        <v>Garage Exhaust Fans</v>
      </c>
      <c r="D227" s="186" t="str">
        <f>IF('Option 1'!D227="","",'Option 1'!D227)</f>
        <v/>
      </c>
      <c r="E227" s="184" t="str">
        <f>IF('Option 1'!E227="","",'Option 1'!E227)</f>
        <v/>
      </c>
      <c r="F227" s="184" t="str">
        <f>IF('Option 1'!F227="","",'Option 1'!F227)</f>
        <v/>
      </c>
      <c r="G227" s="184" t="str">
        <f>IF('Option 1'!G227="","",'Option 1'!G227)</f>
        <v/>
      </c>
      <c r="H227" s="184" t="str">
        <f>IF('Option 1'!H227="","",'Option 1'!H227)</f>
        <v/>
      </c>
      <c r="I227" s="184" t="str">
        <f>IF('Option 1'!I227="","",'Option 1'!I227)</f>
        <v/>
      </c>
      <c r="J227" s="184">
        <f>IF('Option 1'!J227="","",'Option 1'!J227)</f>
        <v>60891</v>
      </c>
      <c r="K227" s="184" t="str">
        <f>IF('Option 1'!K227="","",'Option 1'!K227)</f>
        <v/>
      </c>
      <c r="L227" s="184" t="str">
        <f>IF('Option 1'!L227="","",'Option 1'!L227)</f>
        <v/>
      </c>
      <c r="M227" s="184" t="str">
        <f>IF('Option 1'!M227="","",'Option 1'!M227)</f>
        <v/>
      </c>
      <c r="N227" s="184" t="str">
        <f>IF('Option 1'!N227="","",'Option 1'!N227)</f>
        <v/>
      </c>
      <c r="O227" s="184" t="str">
        <f>IF('Option 1'!O227="","",'Option 1'!O227)</f>
        <v/>
      </c>
      <c r="P227" s="124">
        <f t="shared" si="19"/>
        <v>60891</v>
      </c>
    </row>
    <row r="228" spans="1:16" ht="15.75" customHeight="1" x14ac:dyDescent="0.25">
      <c r="A228" s="239"/>
      <c r="B228" s="4" t="str">
        <f>IF('Option 1'!B228="","",'Option 1'!B228)</f>
        <v/>
      </c>
      <c r="C228" s="188" t="str">
        <f>IF('Option 1'!C228="","",'Option 1'!C228)</f>
        <v>Emergency Generators</v>
      </c>
      <c r="D228" s="186" t="str">
        <f>IF('Option 1'!D228="","",'Option 1'!D228)</f>
        <v/>
      </c>
      <c r="E228" s="184" t="str">
        <f>IF('Option 1'!E228="","",'Option 1'!E228)</f>
        <v/>
      </c>
      <c r="F228" s="184" t="str">
        <f>IF('Option 1'!F228="","",'Option 1'!F228)</f>
        <v/>
      </c>
      <c r="G228" s="184" t="str">
        <f>IF('Option 1'!G228="","",'Option 1'!G228)</f>
        <v/>
      </c>
      <c r="H228" s="184" t="str">
        <f>IF('Option 1'!H228="","",'Option 1'!H228)</f>
        <v/>
      </c>
      <c r="I228" s="184" t="str">
        <f>IF('Option 1'!I228="","",'Option 1'!I228)</f>
        <v/>
      </c>
      <c r="J228" s="184" t="str">
        <f>IF('Option 1'!J228="","",'Option 1'!J228)</f>
        <v/>
      </c>
      <c r="K228" s="184" t="str">
        <f>IF('Option 1'!K228="","",'Option 1'!K228)</f>
        <v/>
      </c>
      <c r="L228" s="184" t="str">
        <f>IF('Option 1'!L228="","",'Option 1'!L228)</f>
        <v/>
      </c>
      <c r="M228" s="184" t="str">
        <f>IF('Option 1'!M228="","",'Option 1'!M228)</f>
        <v/>
      </c>
      <c r="N228" s="184" t="str">
        <f>IF('Option 1'!N228="","",'Option 1'!N228)</f>
        <v/>
      </c>
      <c r="O228" s="184" t="str">
        <f>IF('Option 1'!O228="","",'Option 1'!O228)</f>
        <v/>
      </c>
      <c r="P228" s="124">
        <f t="shared" si="19"/>
        <v>0</v>
      </c>
    </row>
    <row r="229" spans="1:16" ht="15.75" customHeight="1" x14ac:dyDescent="0.25">
      <c r="A229" s="239"/>
      <c r="B229" s="4" t="str">
        <f>IF('Option 1'!B229="","",'Option 1'!B229)</f>
        <v/>
      </c>
      <c r="C229" s="188" t="str">
        <f>IF('Option 1'!C229="","",'Option 1'!C229)</f>
        <v>Fire Pumps/Fire Protection</v>
      </c>
      <c r="D229" s="186" t="str">
        <f>IF('Option 1'!D229="","",'Option 1'!D229)</f>
        <v/>
      </c>
      <c r="E229" s="184" t="str">
        <f>IF('Option 1'!E229="","",'Option 1'!E229)</f>
        <v/>
      </c>
      <c r="F229" s="184" t="str">
        <f>IF('Option 1'!F229="","",'Option 1'!F229)</f>
        <v/>
      </c>
      <c r="G229" s="184" t="str">
        <f>IF('Option 1'!G229="","",'Option 1'!G229)</f>
        <v/>
      </c>
      <c r="H229" s="184" t="str">
        <f>IF('Option 1'!H229="","",'Option 1'!H229)</f>
        <v/>
      </c>
      <c r="I229" s="184" t="str">
        <f>IF('Option 1'!I229="","",'Option 1'!I229)</f>
        <v/>
      </c>
      <c r="J229" s="184" t="str">
        <f>IF('Option 1'!J229="","",'Option 1'!J229)</f>
        <v/>
      </c>
      <c r="K229" s="184" t="str">
        <f>IF('Option 1'!K229="","",'Option 1'!K229)</f>
        <v/>
      </c>
      <c r="L229" s="184" t="str">
        <f>IF('Option 1'!L229="","",'Option 1'!L229)</f>
        <v/>
      </c>
      <c r="M229" s="184" t="str">
        <f>IF('Option 1'!M229="","",'Option 1'!M229)</f>
        <v/>
      </c>
      <c r="N229" s="184" t="str">
        <f>IF('Option 1'!N229="","",'Option 1'!N229)</f>
        <v/>
      </c>
      <c r="O229" s="184" t="str">
        <f>IF('Option 1'!O229="","",'Option 1'!O229)</f>
        <v/>
      </c>
      <c r="P229" s="124">
        <f t="shared" si="19"/>
        <v>0</v>
      </c>
    </row>
    <row r="230" spans="1:16" ht="15.75" customHeight="1" x14ac:dyDescent="0.25">
      <c r="A230" s="239"/>
      <c r="B230" s="4" t="str">
        <f>IF('Option 1'!B230="","",'Option 1'!B230)</f>
        <v/>
      </c>
      <c r="C230" s="188" t="str">
        <f>IF('Option 1'!C230="","",'Option 1'!C230)</f>
        <v/>
      </c>
      <c r="D230" s="186" t="str">
        <f>IF('Option 1'!D230="","",'Option 1'!D230)</f>
        <v/>
      </c>
      <c r="E230" s="184" t="str">
        <f>IF('Option 1'!E230="","",'Option 1'!E230)</f>
        <v/>
      </c>
      <c r="F230" s="184" t="str">
        <f>IF('Option 1'!F230="","",'Option 1'!F230)</f>
        <v/>
      </c>
      <c r="G230" s="184" t="str">
        <f>IF('Option 1'!G230="","",'Option 1'!G230)</f>
        <v/>
      </c>
      <c r="H230" s="184" t="str">
        <f>IF('Option 1'!H230="","",'Option 1'!H230)</f>
        <v/>
      </c>
      <c r="I230" s="184" t="str">
        <f>IF('Option 1'!I230="","",'Option 1'!I230)</f>
        <v/>
      </c>
      <c r="J230" s="184" t="str">
        <f>IF('Option 1'!J230="","",'Option 1'!J230)</f>
        <v/>
      </c>
      <c r="K230" s="184" t="str">
        <f>IF('Option 1'!K230="","",'Option 1'!K230)</f>
        <v/>
      </c>
      <c r="L230" s="184" t="str">
        <f>IF('Option 1'!L230="","",'Option 1'!L230)</f>
        <v/>
      </c>
      <c r="M230" s="184" t="str">
        <f>IF('Option 1'!M230="","",'Option 1'!M230)</f>
        <v/>
      </c>
      <c r="N230" s="184" t="str">
        <f>IF('Option 1'!N230="","",'Option 1'!N230)</f>
        <v/>
      </c>
      <c r="O230" s="184" t="str">
        <f>IF('Option 1'!O230="","",'Option 1'!O230)</f>
        <v/>
      </c>
      <c r="P230" s="124">
        <f t="shared" ref="P230:P233" si="20">IF(SUM(D230:O230)=0,0,SUM(D230:O230))</f>
        <v>0</v>
      </c>
    </row>
    <row r="231" spans="1:16" ht="15.75" customHeight="1" x14ac:dyDescent="0.25">
      <c r="A231" s="239"/>
      <c r="B231" s="4" t="str">
        <f>IF('Option 1'!B231="","",'Option 1'!B231)</f>
        <v/>
      </c>
      <c r="C231" s="213" t="str">
        <f>IF('Option 1'!C231="","",'Option 1'!C231)</f>
        <v>Existing Loan Payoff - 274925</v>
      </c>
      <c r="D231" s="186">
        <f>IF('Option 1'!D231="","",'Option 1'!D231)</f>
        <v>274925</v>
      </c>
      <c r="E231" s="184" t="str">
        <f>IF('Option 1'!E231="","",'Option 1'!E231)</f>
        <v/>
      </c>
      <c r="F231" s="184" t="str">
        <f>IF('Option 1'!F231="","",'Option 1'!F231)</f>
        <v/>
      </c>
      <c r="G231" s="184" t="str">
        <f>IF('Option 1'!G231="","",'Option 1'!G231)</f>
        <v/>
      </c>
      <c r="H231" s="184" t="str">
        <f>IF('Option 1'!H231="","",'Option 1'!H231)</f>
        <v/>
      </c>
      <c r="I231" s="184" t="str">
        <f>IF('Option 1'!I231="","",'Option 1'!I231)</f>
        <v/>
      </c>
      <c r="J231" s="184" t="str">
        <f>IF('Option 1'!J231="","",'Option 1'!J231)</f>
        <v/>
      </c>
      <c r="K231" s="184" t="str">
        <f>IF('Option 1'!K231="","",'Option 1'!K231)</f>
        <v/>
      </c>
      <c r="L231" s="184" t="str">
        <f>IF('Option 1'!L231="","",'Option 1'!L231)</f>
        <v/>
      </c>
      <c r="M231" s="184" t="str">
        <f>IF('Option 1'!M231="","",'Option 1'!M231)</f>
        <v/>
      </c>
      <c r="N231" s="184" t="str">
        <f>IF('Option 1'!N231="","",'Option 1'!N231)</f>
        <v/>
      </c>
      <c r="O231" s="184" t="str">
        <f>IF('Option 1'!O231="","",'Option 1'!O231)</f>
        <v/>
      </c>
      <c r="P231" s="124">
        <f t="shared" si="20"/>
        <v>274925</v>
      </c>
    </row>
    <row r="232" spans="1:16" ht="15.75" customHeight="1" x14ac:dyDescent="0.25">
      <c r="A232" s="239"/>
      <c r="B232" s="4" t="str">
        <f>IF('Option 1'!B232="","",'Option 1'!B232)</f>
        <v/>
      </c>
      <c r="C232" s="4" t="str">
        <f>IF('Option 1'!C232="","",'Option 1'!C232)</f>
        <v>Existing Loan</v>
      </c>
      <c r="D232" s="58">
        <f>IF('Option 1'!D232="","",'Option 1'!D232)</f>
        <v>46220</v>
      </c>
      <c r="E232" s="184" t="str">
        <f>IF('Option 1'!E232="","",'Option 1'!E232)</f>
        <v/>
      </c>
      <c r="F232" s="184" t="str">
        <f>IF('Option 1'!F232="","",'Option 1'!F232)</f>
        <v/>
      </c>
      <c r="G232" s="184" t="str">
        <f>IF('Option 1'!G232="","",'Option 1'!G232)</f>
        <v/>
      </c>
      <c r="H232" s="184" t="str">
        <f>IF('Option 1'!H232="","",'Option 1'!H232)</f>
        <v/>
      </c>
      <c r="I232" s="184" t="str">
        <f>IF('Option 1'!I232="","",'Option 1'!I232)</f>
        <v/>
      </c>
      <c r="J232" s="184" t="str">
        <f>IF('Option 1'!J232="","",'Option 1'!J232)</f>
        <v/>
      </c>
      <c r="K232" s="184" t="str">
        <f>IF('Option 1'!K232="","",'Option 1'!K232)</f>
        <v/>
      </c>
      <c r="L232" s="184" t="str">
        <f>IF('Option 1'!L232="","",'Option 1'!L232)</f>
        <v/>
      </c>
      <c r="M232" s="184" t="str">
        <f>IF('Option 1'!M232="","",'Option 1'!M232)</f>
        <v/>
      </c>
      <c r="N232" s="184" t="str">
        <f>IF('Option 1'!N232="","",'Option 1'!N232)</f>
        <v/>
      </c>
      <c r="O232" s="184" t="str">
        <f>IF('Option 1'!O232="","",'Option 1'!O232)</f>
        <v/>
      </c>
      <c r="P232" s="124">
        <f t="shared" si="20"/>
        <v>46220</v>
      </c>
    </row>
    <row r="233" spans="1:16" ht="15.75" customHeight="1" x14ac:dyDescent="0.25">
      <c r="A233" s="239"/>
      <c r="B233" s="4" t="str">
        <f>IF('Option 1'!B233="","",'Option 1'!B233)</f>
        <v/>
      </c>
      <c r="C233" s="188" t="str">
        <f>IF('Option 1'!C233="","",'Option 1'!C233)</f>
        <v/>
      </c>
      <c r="D233" s="186" t="str">
        <f>IF('Option 1'!D233="","",'Option 1'!D233)</f>
        <v/>
      </c>
      <c r="E233" s="184" t="str">
        <f>IF('Option 1'!E233="","",'Option 1'!E233)</f>
        <v/>
      </c>
      <c r="F233" s="184" t="str">
        <f>IF('Option 1'!F233="","",'Option 1'!F233)</f>
        <v/>
      </c>
      <c r="G233" s="184" t="str">
        <f>IF('Option 1'!G233="","",'Option 1'!G233)</f>
        <v/>
      </c>
      <c r="H233" s="184" t="str">
        <f>IF('Option 1'!H233="","",'Option 1'!H233)</f>
        <v/>
      </c>
      <c r="I233" s="184" t="str">
        <f>IF('Option 1'!I233="","",'Option 1'!I233)</f>
        <v/>
      </c>
      <c r="J233" s="184" t="str">
        <f>IF('Option 1'!J233="","",'Option 1'!J233)</f>
        <v/>
      </c>
      <c r="K233" s="184" t="str">
        <f>IF('Option 1'!K233="","",'Option 1'!K233)</f>
        <v/>
      </c>
      <c r="L233" s="184" t="str">
        <f>IF('Option 1'!L233="","",'Option 1'!L233)</f>
        <v/>
      </c>
      <c r="M233" s="184" t="str">
        <f>IF('Option 1'!M233="","",'Option 1'!M233)</f>
        <v/>
      </c>
      <c r="N233" s="184" t="str">
        <f>IF('Option 1'!N233="","",'Option 1'!N233)</f>
        <v/>
      </c>
      <c r="O233" s="184" t="str">
        <f>IF('Option 1'!O233="","",'Option 1'!O233)</f>
        <v/>
      </c>
      <c r="P233" s="124">
        <f t="shared" si="20"/>
        <v>0</v>
      </c>
    </row>
    <row r="234" spans="1:16" ht="15.75" customHeight="1" x14ac:dyDescent="0.25">
      <c r="A234" s="239"/>
      <c r="B234" s="4" t="str">
        <f>IF('Option 1'!B234="","",'Option 1'!B234)</f>
        <v/>
      </c>
      <c r="C234" s="209" t="str">
        <f>IF('Option 1'!C234="","",'Option 1'!C234)</f>
        <v/>
      </c>
      <c r="D234" s="159" t="str">
        <f>IF('Option 1'!D234="","",'Option 1'!D234)</f>
        <v/>
      </c>
      <c r="E234" s="175" t="str">
        <f>IF('Option 1'!E234="","",'Option 1'!E234)</f>
        <v/>
      </c>
      <c r="F234" s="59" t="str">
        <f>IF('Option 1'!F234="","",'Option 1'!F234)</f>
        <v/>
      </c>
      <c r="G234" s="59" t="str">
        <f>IF('Option 1'!G234="","",'Option 1'!G234)</f>
        <v/>
      </c>
      <c r="H234" s="59" t="str">
        <f>IF('Option 1'!H234="","",'Option 1'!H234)</f>
        <v/>
      </c>
      <c r="I234" s="59" t="str">
        <f>IF('Option 1'!I234="","",'Option 1'!I234)</f>
        <v/>
      </c>
      <c r="J234" s="59" t="str">
        <f>IF('Option 1'!J234="","",'Option 1'!J234)</f>
        <v/>
      </c>
      <c r="K234" s="59" t="str">
        <f>IF('Option 1'!K234="","",'Option 1'!K234)</f>
        <v/>
      </c>
      <c r="L234" s="59" t="str">
        <f>IF('Option 1'!L234="","",'Option 1'!L234)</f>
        <v/>
      </c>
      <c r="M234" s="59" t="str">
        <f>IF('Option 1'!M234="","",'Option 1'!M234)</f>
        <v/>
      </c>
      <c r="N234" s="59" t="str">
        <f>IF('Option 1'!N234="","",'Option 1'!N234)</f>
        <v/>
      </c>
      <c r="O234" s="59" t="str">
        <f>IF('Option 1'!O234="","",'Option 1'!O234)</f>
        <v/>
      </c>
      <c r="P234" s="124">
        <f t="shared" si="19"/>
        <v>0</v>
      </c>
    </row>
    <row r="235" spans="1:16" ht="15.75" customHeight="1" x14ac:dyDescent="0.25">
      <c r="A235" s="239"/>
      <c r="B235" s="4"/>
      <c r="C235" s="4"/>
      <c r="D235" s="159"/>
      <c r="E235" s="176"/>
      <c r="F235" s="59"/>
      <c r="G235" s="59"/>
      <c r="H235" s="59"/>
      <c r="I235" s="59"/>
      <c r="J235" s="59"/>
      <c r="K235" s="59"/>
      <c r="L235" s="59"/>
      <c r="M235" s="59"/>
      <c r="N235" s="59"/>
      <c r="O235" s="59"/>
      <c r="P235" s="124">
        <f t="shared" ref="P235:P244" si="21">IF(SUM(D235:O235)=0,0,SUM(D235:O235))</f>
        <v>0</v>
      </c>
    </row>
    <row r="236" spans="1:16" ht="15.75" customHeight="1" x14ac:dyDescent="0.25">
      <c r="A236" s="239"/>
      <c r="B236" s="4"/>
      <c r="C236" s="4" t="s">
        <v>33</v>
      </c>
      <c r="D236" s="58">
        <f>IF(Assumptions!$C$21=0,0,IF(YEAR(Assumptions!C22)&gt;Assumptions!D7,0,IF(ISERROR(IF((Assumptions!$D$13*1.75*Assumptions!$C$24*12)&gt;1000,(Assumptions!$D$13*1.75*Assumptions!$C$24*12)/2+((((Assumptions!$D$13*1.75*Assumptions!$C$24*12)/2)/(Assumptions!$C$24*12))*Calc!$B$43),1000)),0,IF((Assumptions!$D$13*1.75*Assumptions!$C$24*12)&gt;1000,(Assumptions!$D$13*1.75*Assumptions!$C$24*12)/2+((((Assumptions!$D$13*1.75*Assumptions!$C$24*12)/2)/(Assumptions!$C$24*12))*Calc!$B$43),1000))))</f>
        <v>0</v>
      </c>
      <c r="E236" s="58">
        <f>IF(Assumptions!$C$21=0,0,IF(D236=0,IF(ISERROR(IF((Assumptions!$D$13*1.75*Assumptions!$C$24*12)&gt;1000,(Assumptions!$D$13*1.75*Assumptions!$C$24*12)/2+((((Assumptions!$D$13*1.75*Assumptions!$C$24*12)/2)/(Assumptions!$C$24*12))*Calc!$B$43),1000)),0,IF((Assumptions!$D$13*1.75*Assumptions!$C$24*12)&gt;1000,(Assumptions!$D$13*1.75*Assumptions!$C$24*12)/2+((((Assumptions!$D$13*1.75*Assumptions!$C$24*12)/2)/(Assumptions!$C$24*12))*Calc!$B$43),1000))+IF(ISERROR(((((Assumptions!$D$13*1.75*Assumptions!$C$24*12)/2)/(Assumptions!$C$24*12))*Calc!C43)),0,((((Assumptions!$D$13*1.75*Assumptions!$C$24*12)/2)/(Assumptions!$C$24*12))*Calc!C43)),IF(ISERROR(((((Assumptions!$D$13*1.75*Assumptions!$C$24*12)/2)/(Assumptions!$C$24*12))*Calc!C43)),0,((((Assumptions!$D$13*1.75*Assumptions!$C$24*12)/2)/(Assumptions!$C$24*12))*Calc!C43))))</f>
        <v>0</v>
      </c>
      <c r="F236" s="58">
        <f>IF(Assumptions!$C$21=0,0,IF(ISERROR(((((Assumptions!$D$13*1.75*Assumptions!$C$24*12)/2)/(Assumptions!$C$24*12))*Calc!D43)),0,((((Assumptions!$D$13*1.75*Assumptions!$C$24*12)/2)/(Assumptions!$C$24*12))*Calc!D43)))</f>
        <v>0</v>
      </c>
      <c r="G236" s="58">
        <f>IF(Assumptions!$C$21=0,0,IF(ISERROR(((((Assumptions!$D$13*1.75*Assumptions!$C$24*12)/2)/(Assumptions!$C$24*12))*Calc!E43)),0,((((Assumptions!$D$13*1.75*Assumptions!$C$24*12)/2)/(Assumptions!$C$24*12))*Calc!E43)))</f>
        <v>0</v>
      </c>
      <c r="H236" s="58">
        <f>IF(Assumptions!$C$21=0,0,IF(ISERROR(((((Assumptions!$D$13*1.75*Assumptions!$C$24*12)/2)/(Assumptions!$C$24*12))*Calc!F43)),0,((((Assumptions!$D$13*1.75*Assumptions!$C$24*12)/2)/(Assumptions!$C$24*12))*Calc!F43)))</f>
        <v>0</v>
      </c>
      <c r="I236" s="58">
        <f>IF(Assumptions!$C$21=0,0,IF(ISERROR(((((Assumptions!$D$13*1.75*Assumptions!$C$24*12)/2)/(Assumptions!$C$24*12))*Calc!G43)),0,((((Assumptions!$D$13*1.75*Assumptions!$C$24*12)/2)/(Assumptions!$C$24*12))*Calc!G43)))</f>
        <v>0</v>
      </c>
      <c r="J236" s="58">
        <f>IF(Assumptions!$C$21=0,0,IF(ISERROR(((((Assumptions!$D$13*1.75*Assumptions!$C$24*12)/2)/(Assumptions!$C$24*12))*Calc!H43)),0,((((Assumptions!$D$13*1.75*Assumptions!$C$24*12)/2)/(Assumptions!$C$24*12))*Calc!H43)))</f>
        <v>0</v>
      </c>
      <c r="K236" s="58">
        <f>IF(Assumptions!$C$21=0,0,IF(ISERROR(((((Assumptions!$D$13*1.75*Assumptions!$C$24*12)/2)/(Assumptions!$C$24*12))*Calc!I43)),0,((((Assumptions!$D$13*1.75*Assumptions!$C$24*12)/2)/(Assumptions!$C$24*12))*Calc!I43)))</f>
        <v>0</v>
      </c>
      <c r="L236" s="58">
        <f>IF(Assumptions!$C$21=0,0,IF(ISERROR(((((Assumptions!$D$13*1.75*Assumptions!$C$24*12)/2)/(Assumptions!$C$24*12))*Calc!J43)),0,((((Assumptions!$D$13*1.75*Assumptions!$C$24*12)/2)/(Assumptions!$C$24*12))*Calc!J43)))</f>
        <v>0</v>
      </c>
      <c r="M236" s="58">
        <f>IF(Assumptions!$C$21=0,0,IF(ISERROR(((((Assumptions!$D$13*1.75*Assumptions!$C$24*12)/2)/(Assumptions!$C$24*12))*Calc!K43)),0,((((Assumptions!$D$13*1.75*Assumptions!$C$24*12)/2)/(Assumptions!$C$24*12))*Calc!K43)))</f>
        <v>0</v>
      </c>
      <c r="N236" s="58">
        <f>IF(Assumptions!$C$21=0,0,IF(ISERROR(((((Assumptions!$D$13*1.75*Assumptions!$C$24*12)/2)/(Assumptions!$C$24*12))*Calc!L43)),0,((((Assumptions!$D$13*1.75*Assumptions!$C$24*12)/2)/(Assumptions!$C$24*12))*Calc!L43)))</f>
        <v>0</v>
      </c>
      <c r="O236" s="58">
        <f>IF(Assumptions!$C$21=0,0,IF(ISERROR(((((Assumptions!$D$13*1.75*Assumptions!$C$24*12)/2)/(Assumptions!$C$24*12))*Calc!M43)),0,((((Assumptions!$D$13*1.75*Assumptions!$C$24*12)/2)/(Assumptions!$C$24*12))*Calc!M43)))</f>
        <v>0</v>
      </c>
      <c r="P236" s="124">
        <f t="shared" si="21"/>
        <v>0</v>
      </c>
    </row>
    <row r="237" spans="1:16" ht="15.75" customHeight="1" x14ac:dyDescent="0.25">
      <c r="A237" s="239"/>
      <c r="B237" s="4"/>
      <c r="C237" s="4"/>
      <c r="D237" s="58"/>
      <c r="E237" s="59"/>
      <c r="F237" s="59"/>
      <c r="G237" s="59"/>
      <c r="H237" s="59"/>
      <c r="I237" s="59"/>
      <c r="J237" s="59"/>
      <c r="K237" s="59"/>
      <c r="L237" s="59"/>
      <c r="M237" s="59"/>
      <c r="N237" s="59"/>
      <c r="O237" s="59"/>
      <c r="P237" s="124">
        <f t="shared" si="21"/>
        <v>0</v>
      </c>
    </row>
    <row r="238" spans="1:16" ht="15.75" x14ac:dyDescent="0.25">
      <c r="A238" s="239"/>
      <c r="B238" s="4"/>
      <c r="C238" s="4"/>
      <c r="D238" s="58"/>
      <c r="E238" s="58"/>
      <c r="F238" s="59"/>
      <c r="G238" s="59"/>
      <c r="H238" s="59"/>
      <c r="I238" s="59"/>
      <c r="J238" s="59"/>
      <c r="K238" s="59"/>
      <c r="L238" s="59"/>
      <c r="M238" s="59"/>
      <c r="N238" s="59"/>
      <c r="O238" s="59"/>
      <c r="P238" s="124">
        <f t="shared" ref="P238" si="22">IF(SUM(D238:O238)=0,0,SUM(D238:O238))</f>
        <v>0</v>
      </c>
    </row>
    <row r="239" spans="1:16" ht="15.75" customHeight="1" x14ac:dyDescent="0.25">
      <c r="A239" s="239"/>
      <c r="B239" s="4" t="s">
        <v>13</v>
      </c>
      <c r="C239" s="4" t="s">
        <v>30</v>
      </c>
      <c r="D239" s="58">
        <f>IF(Assumptions!$C$30=0,IF(ISERROR(-CUMIPMT(0.00000000001/12,Assumptions!$C$36*12,Assumptions!$C$30,D20,D21,0)),0,-CUMIPMT(0.00000000001/12,Assumptions!$C$36*12,Assumptions!$C$30,D20,D21,0)),IF(ISERROR(-CUMIPMT(Assumptions!$C$33/12,Assumptions!$C$36*12,Assumptions!$C$30,D20,D21,0)),0,-CUMIPMT(Assumptions!$C$33/12,Assumptions!$C$36*12,Assumptions!$C$30,D20,D21,0)))</f>
        <v>0</v>
      </c>
      <c r="E239" s="58">
        <f>IF(Assumptions!$C$30=0,IF(ISERROR(-CUMIPMT(0.00000000001/12,Assumptions!$C$36*12,Assumptions!$C$30,E20,E21,0)),0,-CUMIPMT(0.00000000001/12,Assumptions!$C$36*12,Assumptions!$C$30,E20,E21,0)),IF(ISERROR(-CUMIPMT(Assumptions!$C$33/12,Assumptions!$C$36*12,Assumptions!$C$30,E20,E21,0)),0,-CUMIPMT(Assumptions!$C$33/12,Assumptions!$C$36*12,Assumptions!$C$30,E20,E21,0)))</f>
        <v>0</v>
      </c>
      <c r="F239" s="58">
        <f>IF(Assumptions!$C$30=0,IF(ISERROR(-CUMIPMT(0.00000000001/12,Assumptions!$C$36*12,Assumptions!$C$30,F20,F21,0)),0,-CUMIPMT(0.00000000001/12,Assumptions!$C$36*12,Assumptions!$C$30,F20,F21,0)),IF(ISERROR(-CUMIPMT(Assumptions!$C$33/12,Assumptions!$C$36*12,Assumptions!$C$30,F20,F21,0)),0,-CUMIPMT(Assumptions!$C$33/12,Assumptions!$C$36*12,Assumptions!$C$30,F20,F21,0)))</f>
        <v>0</v>
      </c>
      <c r="G239" s="58">
        <f>IF(Assumptions!$C$30=0,IF(ISERROR(-CUMIPMT(0.00000000001/12,Assumptions!$C$36*12,Assumptions!$C$30,G20,G21,0)),0,-CUMIPMT(0.00000000001/12,Assumptions!$C$36*12,Assumptions!$C$30,G20,G21,0)),IF(ISERROR(-CUMIPMT(Assumptions!$C$33/12,Assumptions!$C$36*12,Assumptions!$C$30,G20,G21,0)),0,-CUMIPMT(Assumptions!$C$33/12,Assumptions!$C$36*12,Assumptions!$C$30,G20,G21,0)))</f>
        <v>0</v>
      </c>
      <c r="H239" s="58">
        <f>IF(Assumptions!$C$30=0,IF(ISERROR(-CUMIPMT(0.00000000001/12,Assumptions!$C$36*12,Assumptions!$C$30,H20,H21,0)),0,-CUMIPMT(0.00000000001/12,Assumptions!$C$36*12,Assumptions!$C$30,H20,H21,0)),IF(ISERROR(-CUMIPMT(Assumptions!$C$33/12,Assumptions!$C$36*12,Assumptions!$C$30,H20,H21,0)),0,-CUMIPMT(Assumptions!$C$33/12,Assumptions!$C$36*12,Assumptions!$C$30,H20,H21,0)))</f>
        <v>0</v>
      </c>
      <c r="I239" s="58">
        <f>IF(Assumptions!$C$30=0,IF(ISERROR(-CUMIPMT(0.00000000001/12,Assumptions!$C$36*12,Assumptions!$C$30,I20,I21,0)),0,-CUMIPMT(0.00000000001/12,Assumptions!$C$36*12,Assumptions!$C$30,I20,I21,0)),IF(ISERROR(-CUMIPMT(Assumptions!$C$33/12,Assumptions!$C$36*12,Assumptions!$C$30,I20,I21,0)),0,-CUMIPMT(Assumptions!$C$33/12,Assumptions!$C$36*12,Assumptions!$C$30,I20,I21,0)))</f>
        <v>0</v>
      </c>
      <c r="J239" s="58">
        <f>IF(Assumptions!$C$30=0,IF(ISERROR(-CUMIPMT(0.00000000001/12,Assumptions!$C$36*12,Assumptions!$C$30,J20,J21,0)),0,-CUMIPMT(0.00000000001/12,Assumptions!$C$36*12,Assumptions!$C$30,J20,J21,0)),IF(ISERROR(-CUMIPMT(Assumptions!$C$33/12,Assumptions!$C$36*12,Assumptions!$C$30,J20,J21,0)),0,-CUMIPMT(Assumptions!$C$33/12,Assumptions!$C$36*12,Assumptions!$C$30,J20,J21,0)))</f>
        <v>108570.64104780844</v>
      </c>
      <c r="K239" s="58">
        <f>IF(Assumptions!$C$30=0,IF(ISERROR(-CUMIPMT(0.00000000001/12,Assumptions!$C$36*12,Assumptions!$C$30,K20,K21,0)),0,-CUMIPMT(0.00000000001/12,Assumptions!$C$36*12,Assumptions!$C$30,K20,K21,0)),IF(ISERROR(-CUMIPMT(Assumptions!$C$33/12,Assumptions!$C$36*12,Assumptions!$C$30,K20,K21,0)),0,-CUMIPMT(Assumptions!$C$33/12,Assumptions!$C$36*12,Assumptions!$C$30,K20,K21,0)))</f>
        <v>99455.715820006371</v>
      </c>
      <c r="L239" s="58">
        <f>IF(Assumptions!$C$30=0,IF(ISERROR(-CUMIPMT(0.00000000001/12,Assumptions!$C$36*12,Assumptions!$C$30,L20,L21,0)),0,-CUMIPMT(0.00000000001/12,Assumptions!$C$36*12,Assumptions!$C$30,L20,L21,0)),IF(ISERROR(-CUMIPMT(Assumptions!$C$33/12,Assumptions!$C$36*12,Assumptions!$C$30,L20,L21,0)),0,-CUMIPMT(Assumptions!$C$33/12,Assumptions!$C$36*12,Assumptions!$C$30,L20,L21,0)))</f>
        <v>89584.256293709434</v>
      </c>
      <c r="M239" s="58">
        <f>IF(Assumptions!$C$30=0,IF(ISERROR(-CUMIPMT(0.00000000001/12,Assumptions!$C$36*12,Assumptions!$C$30,M20,M21,0)),0,-CUMIPMT(0.00000000001/12,Assumptions!$C$36*12,Assumptions!$C$30,M20,M21,0)),IF(ISERROR(-CUMIPMT(Assumptions!$C$33/12,Assumptions!$C$36*12,Assumptions!$C$30,M20,M21,0)),0,-CUMIPMT(Assumptions!$C$33/12,Assumptions!$C$36*12,Assumptions!$C$30,M20,M21,0)))</f>
        <v>78893.470495259506</v>
      </c>
      <c r="N239" s="58">
        <f>IF(Assumptions!$C$30=0,IF(ISERROR(-CUMIPMT(0.00000000001/12,Assumptions!$C$36*12,Assumptions!$C$30,N20,N21,0)),0,-CUMIPMT(0.00000000001/12,Assumptions!$C$36*12,Assumptions!$C$30,N20,N21,0)),IF(ISERROR(-CUMIPMT(Assumptions!$C$33/12,Assumptions!$C$36*12,Assumptions!$C$30,N20,N21,0)),0,-CUMIPMT(Assumptions!$C$33/12,Assumptions!$C$36*12,Assumptions!$C$30,N20,N21,0)))</f>
        <v>67315.354748153535</v>
      </c>
      <c r="O239" s="58">
        <f>IF(Assumptions!$C$30=0,IF(ISERROR(-CUMIPMT(0.00000000001/12,Assumptions!$C$36*12,Assumptions!$C$30,O20,O21,0)),0,-CUMIPMT(0.00000000001/12,Assumptions!$C$36*12,Assumptions!$C$30,O20,O21,0)),IF(ISERROR(-CUMIPMT(Assumptions!$C$33/12,Assumptions!$C$36*12,Assumptions!$C$30,O20,O21,0)),0,-CUMIPMT(Assumptions!$C$33/12,Assumptions!$C$36*12,Assumptions!$C$30,O20,O21,0)))</f>
        <v>54776.261104277452</v>
      </c>
      <c r="P239" s="124">
        <f t="shared" si="21"/>
        <v>498595.69950921473</v>
      </c>
    </row>
    <row r="240" spans="1:16" ht="15.75" customHeight="1" x14ac:dyDescent="0.25">
      <c r="A240" s="239"/>
      <c r="B240" s="4"/>
      <c r="C240" s="4" t="s">
        <v>83</v>
      </c>
      <c r="D240" s="58">
        <f>IF(Assumptions!$C$30=0,IF(ISERROR(-CUMPRINC(0.00000000001/12,Assumptions!$C$36*12,Assumptions!$C$30,D20,D21,0)),0,(-CUMPRINC(0.00000000001/12,Assumptions!$C$36*12,Assumptions!$C$30,D20,D21,0))),IF(ISERROR(-CUMPRINC(Assumptions!$C$33/12,Assumptions!$C$36*12,Assumptions!$C$30,D20,D21,0)),0,(-CUMPRINC(Assumptions!$C$33/12,Assumptions!$C$36*12,Assumptions!$C$30,D20,D21,0))))</f>
        <v>0</v>
      </c>
      <c r="E240" s="58">
        <f>IF(Assumptions!$C$30=0,IF(ISERROR(-CUMPRINC(0.00000000001/12,Assumptions!$C$36*12,Assumptions!$C$30,E20,E21,0)),0,(-CUMPRINC(0.00000000001/12,Assumptions!$C$36*12,Assumptions!$C$30,E20,E21,0))),IF(ISERROR(-CUMPRINC(Assumptions!$C$33/12,Assumptions!$C$36*12,Assumptions!$C$30,E20,E21,0)),0,(-CUMPRINC(Assumptions!$C$33/12,Assumptions!$C$36*12,Assumptions!$C$30,E20,E21,0))))</f>
        <v>0</v>
      </c>
      <c r="F240" s="58">
        <f>IF(Assumptions!$C$30=0,IF(ISERROR(-CUMPRINC(0.00000000001/12,Assumptions!$C$36*12,Assumptions!$C$30,F20,F21,0)),0,(-CUMPRINC(0.00000000001/12,Assumptions!$C$36*12,Assumptions!$C$30,F20,F21,0))),IF(ISERROR(-CUMPRINC(Assumptions!$C$33/12,Assumptions!$C$36*12,Assumptions!$C$30,F20,F21,0)),0,(-CUMPRINC(Assumptions!$C$33/12,Assumptions!$C$36*12,Assumptions!$C$30,F20,F21,0))))</f>
        <v>0</v>
      </c>
      <c r="G240" s="58">
        <f>IF(Assumptions!$C$30=0,IF(ISERROR(-CUMPRINC(0.00000000001/12,Assumptions!$C$36*12,Assumptions!$C$30,G20,G21,0)),0,(-CUMPRINC(0.00000000001/12,Assumptions!$C$36*12,Assumptions!$C$30,G20,G21,0))),IF(ISERROR(-CUMPRINC(Assumptions!$C$33/12,Assumptions!$C$36*12,Assumptions!$C$30,G20,G21,0)),0,(-CUMPRINC(Assumptions!$C$33/12,Assumptions!$C$36*12,Assumptions!$C$30,G20,G21,0))))</f>
        <v>0</v>
      </c>
      <c r="H240" s="58">
        <f>IF(Assumptions!$C$30=0,IF(ISERROR(-CUMPRINC(0.00000000001/12,Assumptions!$C$36*12,Assumptions!$C$30,H20,H21,0)),0,(-CUMPRINC(0.00000000001/12,Assumptions!$C$36*12,Assumptions!$C$30,H20,H21,0))),IF(ISERROR(-CUMPRINC(Assumptions!$C$33/12,Assumptions!$C$36*12,Assumptions!$C$30,H20,H21,0)),0,(-CUMPRINC(Assumptions!$C$33/12,Assumptions!$C$36*12,Assumptions!$C$30,H20,H21,0))))</f>
        <v>0</v>
      </c>
      <c r="I240" s="58">
        <f>IF(Assumptions!$C$30=0,IF(ISERROR(-CUMPRINC(0.00000000001/12,Assumptions!$C$36*12,Assumptions!$C$30,I20,I21,0)),0,(-CUMPRINC(0.00000000001/12,Assumptions!$C$36*12,Assumptions!$C$30,I20,I21,0))),IF(ISERROR(-CUMPRINC(Assumptions!$C$33/12,Assumptions!$C$36*12,Assumptions!$C$30,I20,I21,0)),0,(-CUMPRINC(Assumptions!$C$33/12,Assumptions!$C$36*12,Assumptions!$C$30,I20,I21,0))))</f>
        <v>0</v>
      </c>
      <c r="J240" s="58">
        <f>IF(Assumptions!$C$30=0,IF(ISERROR(-CUMPRINC(0.00000000001/12,Assumptions!$C$36*12,Assumptions!$C$30,J20,J21,0)),0,(-CUMPRINC(0.00000000001/12,Assumptions!$C$36*12,Assumptions!$C$30,J20,J21,0))),IF(ISERROR(-CUMPRINC(Assumptions!$C$33/12,Assumptions!$C$36*12,Assumptions!$C$30,J20,J21,0)),0,(-CUMPRINC(Assumptions!$C$33/12,Assumptions!$C$36*12,Assumptions!$C$30,J20,J21,0))))</f>
        <v>109819.02879183403</v>
      </c>
      <c r="K240" s="58">
        <f>IF(Assumptions!$C$30=0,IF(ISERROR(-CUMPRINC(0.00000000001/12,Assumptions!$C$36*12,Assumptions!$C$30,K20,K21,0)),0,(-CUMPRINC(0.00000000001/12,Assumptions!$C$36*12,Assumptions!$C$30,K20,K21,0))),IF(ISERROR(-CUMPRINC(Assumptions!$C$33/12,Assumptions!$C$36*12,Assumptions!$C$30,K20,K21,0)),0,(-CUMPRINC(Assumptions!$C$33/12,Assumptions!$C$36*12,Assumptions!$C$30,K20,K21,0))))</f>
        <v>118933.9540196361</v>
      </c>
      <c r="L240" s="58">
        <f>IF(Assumptions!$C$30=0,IF(ISERROR(-CUMPRINC(0.00000000001/12,Assumptions!$C$36*12,Assumptions!$C$30,L20,L21,0)),0,(-CUMPRINC(0.00000000001/12,Assumptions!$C$36*12,Assumptions!$C$30,L20,L21,0))),IF(ISERROR(-CUMPRINC(Assumptions!$C$33/12,Assumptions!$C$36*12,Assumptions!$C$30,L20,L21,0)),0,(-CUMPRINC(Assumptions!$C$33/12,Assumptions!$C$36*12,Assumptions!$C$30,L20,L21,0))))</f>
        <v>128805.41354593304</v>
      </c>
      <c r="M240" s="58">
        <f>IF(Assumptions!$C$30=0,IF(ISERROR(-CUMPRINC(0.00000000001/12,Assumptions!$C$36*12,Assumptions!$C$30,M20,M21,0)),0,(-CUMPRINC(0.00000000001/12,Assumptions!$C$36*12,Assumptions!$C$30,M20,M21,0))),IF(ISERROR(-CUMPRINC(Assumptions!$C$33/12,Assumptions!$C$36*12,Assumptions!$C$30,M20,M21,0)),0,(-CUMPRINC(Assumptions!$C$33/12,Assumptions!$C$36*12,Assumptions!$C$30,M20,M21,0))))</f>
        <v>139496.19934438297</v>
      </c>
      <c r="N240" s="58">
        <f>IF(Assumptions!$C$30=0,IF(ISERROR(-CUMPRINC(0.00000000001/12,Assumptions!$C$36*12,Assumptions!$C$30,N20,N21,0)),0,(-CUMPRINC(0.00000000001/12,Assumptions!$C$36*12,Assumptions!$C$30,N20,N21,0))),IF(ISERROR(-CUMPRINC(Assumptions!$C$33/12,Assumptions!$C$36*12,Assumptions!$C$30,N20,N21,0)),0,(-CUMPRINC(Assumptions!$C$33/12,Assumptions!$C$36*12,Assumptions!$C$30,N20,N21,0))))</f>
        <v>151074.31509148894</v>
      </c>
      <c r="O240" s="58">
        <f>IF(Assumptions!$C$30=0,IF(ISERROR(-CUMPRINC(0.00000000001/12,Assumptions!$C$36*12,Assumptions!$C$30,O20,O21,0)),0,(-CUMPRINC(0.00000000001/12,Assumptions!$C$36*12,Assumptions!$C$30,O20,O21,0))),IF(ISERROR(-CUMPRINC(Assumptions!$C$33/12,Assumptions!$C$36*12,Assumptions!$C$30,O20,O21,0)),0,(-CUMPRINC(Assumptions!$C$33/12,Assumptions!$C$36*12,Assumptions!$C$30,O20,O21,0))))</f>
        <v>163613.40873536502</v>
      </c>
      <c r="P240" s="124">
        <f t="shared" si="21"/>
        <v>811742.31952864013</v>
      </c>
    </row>
    <row r="241" spans="1:16" ht="15.75" customHeight="1" x14ac:dyDescent="0.25">
      <c r="A241" s="239"/>
      <c r="B241" s="4" t="s">
        <v>14</v>
      </c>
      <c r="C241" s="4" t="s">
        <v>15</v>
      </c>
      <c r="D241" s="58">
        <v>0</v>
      </c>
      <c r="E241" s="59"/>
      <c r="F241" s="59"/>
      <c r="G241" s="59"/>
      <c r="H241" s="59"/>
      <c r="I241" s="59"/>
      <c r="J241" s="59"/>
      <c r="K241" s="59"/>
      <c r="L241" s="59"/>
      <c r="M241" s="59"/>
      <c r="N241" s="59"/>
      <c r="O241" s="59"/>
      <c r="P241" s="124">
        <f t="shared" si="21"/>
        <v>0</v>
      </c>
    </row>
    <row r="242" spans="1:16" ht="15.75" customHeight="1" x14ac:dyDescent="0.25">
      <c r="A242" s="239"/>
      <c r="B242" s="4"/>
      <c r="C242" s="24"/>
      <c r="D242" s="58"/>
      <c r="E242" s="59"/>
      <c r="F242" s="59"/>
      <c r="G242" s="59"/>
      <c r="H242" s="59"/>
      <c r="I242" s="59"/>
      <c r="J242" s="59"/>
      <c r="K242" s="59"/>
      <c r="L242" s="59"/>
      <c r="M242" s="59"/>
      <c r="N242" s="59"/>
      <c r="O242" s="59"/>
      <c r="P242" s="124">
        <f t="shared" si="21"/>
        <v>0</v>
      </c>
    </row>
    <row r="243" spans="1:16" ht="15.75" customHeight="1" x14ac:dyDescent="0.25">
      <c r="A243" s="239"/>
      <c r="B243" s="4"/>
      <c r="C243" s="24"/>
      <c r="D243" s="58"/>
      <c r="E243" s="59"/>
      <c r="F243" s="59"/>
      <c r="G243" s="59"/>
      <c r="H243" s="59"/>
      <c r="I243" s="59"/>
      <c r="J243" s="59"/>
      <c r="K243" s="59"/>
      <c r="L243" s="59"/>
      <c r="M243" s="59"/>
      <c r="N243" s="59"/>
      <c r="O243" s="59"/>
      <c r="P243" s="124">
        <f t="shared" si="21"/>
        <v>0</v>
      </c>
    </row>
    <row r="244" spans="1:16" ht="15.75" customHeight="1" x14ac:dyDescent="0.25">
      <c r="A244" s="240"/>
      <c r="B244" s="4"/>
      <c r="C244" s="24"/>
      <c r="D244" s="9"/>
      <c r="E244" s="10"/>
      <c r="F244" s="10"/>
      <c r="G244" s="10"/>
      <c r="H244" s="10"/>
      <c r="I244" s="10"/>
      <c r="J244" s="10"/>
      <c r="K244" s="10"/>
      <c r="L244" s="10"/>
      <c r="M244" s="10"/>
      <c r="N244" s="10"/>
      <c r="O244" s="10"/>
      <c r="P244" s="124">
        <f t="shared" si="21"/>
        <v>0</v>
      </c>
    </row>
    <row r="245" spans="1:16" ht="15.75" customHeight="1" x14ac:dyDescent="0.25">
      <c r="B245" s="8"/>
      <c r="C245" s="24" t="s">
        <v>29</v>
      </c>
      <c r="D245" s="9">
        <f t="shared" ref="D245:O245" si="23">SUM(D24:D244)</f>
        <v>595247</v>
      </c>
      <c r="E245" s="10">
        <f t="shared" si="23"/>
        <v>481097</v>
      </c>
      <c r="F245" s="10">
        <f t="shared" si="23"/>
        <v>520204</v>
      </c>
      <c r="G245" s="10">
        <f t="shared" si="23"/>
        <v>1760567</v>
      </c>
      <c r="H245" s="10">
        <f t="shared" si="23"/>
        <v>1819065</v>
      </c>
      <c r="I245" s="10">
        <f t="shared" si="23"/>
        <v>2197785</v>
      </c>
      <c r="J245" s="10">
        <f t="shared" si="23"/>
        <v>1011609.6698396425</v>
      </c>
      <c r="K245" s="10">
        <f t="shared" si="23"/>
        <v>1756450.6698396425</v>
      </c>
      <c r="L245" s="10">
        <f t="shared" si="23"/>
        <v>854217.66983964248</v>
      </c>
      <c r="M245" s="10">
        <f t="shared" si="23"/>
        <v>1395889.6698396425</v>
      </c>
      <c r="N245" s="10">
        <f t="shared" si="23"/>
        <v>731424.66983964248</v>
      </c>
      <c r="O245" s="10">
        <f t="shared" si="23"/>
        <v>482632.66983964248</v>
      </c>
      <c r="P245" s="124">
        <f>IF(SUM(D245:O245)=0,0,SUM(D245:O245))</f>
        <v>13606190.019037858</v>
      </c>
    </row>
    <row r="246" spans="1:16" ht="15" customHeight="1" x14ac:dyDescent="0.2">
      <c r="B246" s="8"/>
      <c r="C246" s="25"/>
      <c r="D246" s="6"/>
      <c r="E246" s="6"/>
      <c r="F246" s="6"/>
      <c r="G246" s="6"/>
      <c r="H246" s="6"/>
      <c r="I246" s="6"/>
      <c r="J246" s="6"/>
      <c r="K246" s="6"/>
      <c r="L246" s="6"/>
      <c r="M246" s="6"/>
      <c r="N246" s="6"/>
      <c r="O246" s="6"/>
      <c r="P246" s="6"/>
    </row>
    <row r="247" spans="1:16" ht="15.75" customHeight="1" x14ac:dyDescent="0.25">
      <c r="B247" s="12" t="s">
        <v>18</v>
      </c>
      <c r="C247" s="25"/>
      <c r="D247" s="7">
        <f>+Assumptions!D15</f>
        <v>623745</v>
      </c>
      <c r="E247" s="6">
        <f>+D252</f>
        <v>290817.52916666667</v>
      </c>
      <c r="F247" s="6">
        <f t="shared" ref="F247:O247" si="24">+E252</f>
        <v>462904.83681250003</v>
      </c>
      <c r="G247" s="6">
        <f t="shared" si="24"/>
        <v>618612.01178062509</v>
      </c>
      <c r="H247" s="6">
        <f t="shared" si="24"/>
        <v>-441255.21764466551</v>
      </c>
      <c r="I247" s="6">
        <f t="shared" si="24"/>
        <v>-1556982.1138876188</v>
      </c>
      <c r="J247" s="6">
        <f t="shared" si="24"/>
        <v>-1560163.5623815707</v>
      </c>
      <c r="K247" s="6">
        <f t="shared" si="24"/>
        <v>-1863044.1916088248</v>
      </c>
      <c r="L247" s="6">
        <f t="shared" si="24"/>
        <v>-2906501.4422464259</v>
      </c>
      <c r="M247" s="6">
        <f t="shared" si="24"/>
        <v>-3075433.2048903243</v>
      </c>
      <c r="N247" s="6">
        <f t="shared" si="24"/>
        <v>-3784125.025117862</v>
      </c>
      <c r="O247" s="6">
        <f t="shared" si="24"/>
        <v>-3854395.8320662631</v>
      </c>
      <c r="P247" s="6"/>
    </row>
    <row r="248" spans="1:16" ht="15" customHeight="1" x14ac:dyDescent="0.2">
      <c r="B248" s="8"/>
      <c r="C248" s="25"/>
      <c r="D248" s="6"/>
      <c r="E248" s="6"/>
      <c r="F248" s="6"/>
      <c r="G248" s="6"/>
      <c r="H248" s="6"/>
      <c r="I248" s="6"/>
      <c r="J248" s="6"/>
      <c r="K248" s="6"/>
      <c r="L248" s="6"/>
      <c r="M248" s="6"/>
      <c r="N248" s="6"/>
      <c r="O248" s="6"/>
      <c r="P248" s="6"/>
    </row>
    <row r="249" spans="1:16" ht="12.75" hidden="1" customHeight="1" x14ac:dyDescent="0.2">
      <c r="D249" s="11">
        <f t="shared" ref="D249:O249" si="25">SUM(D24:D244)</f>
        <v>595247</v>
      </c>
      <c r="E249" s="11">
        <f t="shared" si="25"/>
        <v>481097</v>
      </c>
      <c r="F249" s="11">
        <f t="shared" si="25"/>
        <v>520204</v>
      </c>
      <c r="G249" s="11">
        <f t="shared" si="25"/>
        <v>1760567</v>
      </c>
      <c r="H249" s="11">
        <f t="shared" si="25"/>
        <v>1819065</v>
      </c>
      <c r="I249" s="11">
        <f t="shared" si="25"/>
        <v>2197785</v>
      </c>
      <c r="J249" s="11">
        <f t="shared" si="25"/>
        <v>1011609.6698396425</v>
      </c>
      <c r="K249" s="11">
        <f t="shared" si="25"/>
        <v>1756450.6698396425</v>
      </c>
      <c r="L249" s="11">
        <f t="shared" si="25"/>
        <v>854217.66983964248</v>
      </c>
      <c r="M249" s="11">
        <f t="shared" si="25"/>
        <v>1395889.6698396425</v>
      </c>
      <c r="N249" s="11">
        <f t="shared" si="25"/>
        <v>731424.66983964248</v>
      </c>
      <c r="O249" s="11">
        <f t="shared" si="25"/>
        <v>482632.66983964248</v>
      </c>
      <c r="P249" s="11"/>
    </row>
    <row r="250" spans="1:16" ht="15.75" customHeight="1" x14ac:dyDescent="0.25">
      <c r="B250" s="12" t="s">
        <v>16</v>
      </c>
      <c r="C250" s="27"/>
      <c r="D250" s="13">
        <f t="shared" ref="D250:O250" si="26">+D17-D249</f>
        <v>-332927.47083333333</v>
      </c>
      <c r="E250" s="13">
        <f t="shared" si="26"/>
        <v>172087.30764583335</v>
      </c>
      <c r="F250" s="13">
        <f t="shared" si="26"/>
        <v>155707.17496812507</v>
      </c>
      <c r="G250" s="13">
        <f t="shared" si="26"/>
        <v>-1059867.2294252906</v>
      </c>
      <c r="H250" s="13">
        <f t="shared" si="26"/>
        <v>-1115726.8962429534</v>
      </c>
      <c r="I250" s="13">
        <f t="shared" si="26"/>
        <v>-3181.4484939519316</v>
      </c>
      <c r="J250" s="13">
        <f t="shared" si="26"/>
        <v>-302880.62922725407</v>
      </c>
      <c r="K250" s="13">
        <f t="shared" si="26"/>
        <v>-1043457.2506376009</v>
      </c>
      <c r="L250" s="13">
        <f t="shared" si="26"/>
        <v>-168931.76264389849</v>
      </c>
      <c r="M250" s="13">
        <f t="shared" si="26"/>
        <v>-708691.82022753789</v>
      </c>
      <c r="N250" s="13">
        <f t="shared" si="26"/>
        <v>-70270.806948401267</v>
      </c>
      <c r="O250" s="13">
        <f t="shared" si="26"/>
        <v>200518.4561285926</v>
      </c>
      <c r="P250" s="13"/>
    </row>
    <row r="251" spans="1:16" ht="16.5" customHeight="1" thickBot="1" x14ac:dyDescent="0.3">
      <c r="B251" s="12"/>
      <c r="C251" s="27"/>
    </row>
    <row r="252" spans="1:16" ht="16.5" customHeight="1" thickBot="1" x14ac:dyDescent="0.3">
      <c r="B252" s="15" t="s">
        <v>17</v>
      </c>
      <c r="C252" s="28"/>
      <c r="D252" s="16">
        <f>+D247+D250</f>
        <v>290817.52916666667</v>
      </c>
      <c r="E252" s="16">
        <f>+E247+E250</f>
        <v>462904.83681250003</v>
      </c>
      <c r="F252" s="16">
        <f t="shared" ref="F252:M252" si="27">+F247+F250</f>
        <v>618612.01178062509</v>
      </c>
      <c r="G252" s="16">
        <f t="shared" si="27"/>
        <v>-441255.21764466551</v>
      </c>
      <c r="H252" s="16">
        <f t="shared" si="27"/>
        <v>-1556982.1138876188</v>
      </c>
      <c r="I252" s="16">
        <f t="shared" si="27"/>
        <v>-1560163.5623815707</v>
      </c>
      <c r="J252" s="16">
        <f t="shared" si="27"/>
        <v>-1863044.1916088248</v>
      </c>
      <c r="K252" s="16">
        <f t="shared" si="27"/>
        <v>-2906501.4422464259</v>
      </c>
      <c r="L252" s="16">
        <f t="shared" si="27"/>
        <v>-3075433.2048903243</v>
      </c>
      <c r="M252" s="16">
        <f t="shared" si="27"/>
        <v>-3784125.025117862</v>
      </c>
      <c r="N252" s="16">
        <f t="shared" ref="N252:O252" si="28">+N247+N250</f>
        <v>-3854395.8320662631</v>
      </c>
      <c r="O252" s="17">
        <f t="shared" si="28"/>
        <v>-3653877.3759376705</v>
      </c>
      <c r="P252" s="17"/>
    </row>
    <row r="253" spans="1:16" ht="15.75" customHeight="1" x14ac:dyDescent="0.25">
      <c r="B253" s="12"/>
    </row>
    <row r="254" spans="1:16" ht="15.75" customHeight="1" x14ac:dyDescent="0.25">
      <c r="B254" s="12" t="s">
        <v>22</v>
      </c>
      <c r="D254" s="6">
        <f>IF(ISERROR(+D15-D240),0,+D15-D240)</f>
        <v>0</v>
      </c>
      <c r="E254" s="6">
        <f>IF(ISERROR(IF(D254=0,E15-E240,D254-E240)),0,IF(D254=0,E15-E240,D254+E15-E240-E234))</f>
        <v>0</v>
      </c>
      <c r="F254" s="6">
        <f t="shared" ref="F254:O254" si="29">IF(ISERROR(IF(E254=0,F15-F240,E254-F240)),0,IF(E254=0,F15-F240,E254-F240))</f>
        <v>0</v>
      </c>
      <c r="G254" s="6">
        <f t="shared" si="29"/>
        <v>0</v>
      </c>
      <c r="H254" s="6">
        <f t="shared" si="29"/>
        <v>0</v>
      </c>
      <c r="I254" s="6">
        <f t="shared" si="29"/>
        <v>1500000</v>
      </c>
      <c r="J254" s="6">
        <f t="shared" si="29"/>
        <v>1390180.9712081659</v>
      </c>
      <c r="K254" s="6">
        <f t="shared" si="29"/>
        <v>1271247.0171885297</v>
      </c>
      <c r="L254" s="6">
        <f t="shared" si="29"/>
        <v>1142441.6036425966</v>
      </c>
      <c r="M254" s="6">
        <f t="shared" si="29"/>
        <v>1002945.4042982137</v>
      </c>
      <c r="N254" s="6">
        <f t="shared" si="29"/>
        <v>851871.08920672466</v>
      </c>
      <c r="O254" s="6">
        <f t="shared" si="29"/>
        <v>688257.68047135964</v>
      </c>
      <c r="P254" s="6"/>
    </row>
    <row r="255" spans="1:16" ht="15.75" customHeight="1" x14ac:dyDescent="0.25">
      <c r="B255" s="12"/>
      <c r="D255" s="6"/>
    </row>
    <row r="256" spans="1:16" ht="15.75" customHeight="1" x14ac:dyDescent="0.25">
      <c r="B256" s="12"/>
      <c r="D256" s="6"/>
      <c r="E256" s="6"/>
      <c r="F256" s="6"/>
      <c r="G256" s="6"/>
      <c r="H256" s="6"/>
      <c r="I256" s="6"/>
      <c r="J256" s="6"/>
      <c r="K256" s="6"/>
      <c r="L256" s="6"/>
      <c r="M256" s="6"/>
      <c r="N256" s="6"/>
      <c r="O256" s="6"/>
    </row>
    <row r="257" spans="2:15" ht="15.75" customHeight="1" x14ac:dyDescent="0.25">
      <c r="B257" s="12"/>
      <c r="D257" s="6"/>
      <c r="E257" s="6"/>
      <c r="F257" s="6"/>
      <c r="G257" s="6"/>
      <c r="H257" s="6"/>
      <c r="I257" s="6"/>
      <c r="J257" s="6"/>
      <c r="K257" s="6"/>
      <c r="L257" s="6"/>
      <c r="M257" s="6"/>
      <c r="N257" s="6"/>
      <c r="O257" s="6"/>
    </row>
    <row r="258" spans="2:15" ht="15.75" customHeight="1" x14ac:dyDescent="0.25">
      <c r="B258" s="12"/>
      <c r="D258" s="6"/>
    </row>
    <row r="259" spans="2:15" ht="15.75" customHeight="1" x14ac:dyDescent="0.25">
      <c r="B259" s="12"/>
      <c r="D259" s="6"/>
    </row>
    <row r="260" spans="2:15" ht="15.75" customHeight="1" x14ac:dyDescent="0.25">
      <c r="B260" s="12"/>
      <c r="D260" s="6"/>
    </row>
    <row r="261" spans="2:15" ht="15.75" customHeight="1" x14ac:dyDescent="0.25">
      <c r="B261" s="12"/>
      <c r="D261" s="6"/>
    </row>
    <row r="262" spans="2:15" ht="15.75" customHeight="1" x14ac:dyDescent="0.25">
      <c r="B262" s="12"/>
      <c r="D262" s="6"/>
    </row>
    <row r="263" spans="2:15" ht="15.75" customHeight="1" x14ac:dyDescent="0.25">
      <c r="B263" s="12"/>
      <c r="D263" s="6"/>
    </row>
    <row r="264" spans="2:15" ht="15.75" customHeight="1" x14ac:dyDescent="0.25">
      <c r="B264" s="12"/>
      <c r="D264" s="6"/>
    </row>
    <row r="265" spans="2:15" ht="15.75" customHeight="1" x14ac:dyDescent="0.25">
      <c r="B265" s="12"/>
      <c r="D265" s="6"/>
    </row>
    <row r="266" spans="2:15" ht="15" customHeight="1" x14ac:dyDescent="0.2">
      <c r="D266" s="6"/>
    </row>
    <row r="267" spans="2:15" ht="15" customHeight="1" x14ac:dyDescent="0.2">
      <c r="D267" s="6"/>
    </row>
    <row r="268" spans="2:15" ht="15" customHeight="1" x14ac:dyDescent="0.2">
      <c r="D268" s="6"/>
    </row>
    <row r="269" spans="2:15" ht="15" customHeight="1" x14ac:dyDescent="0.2">
      <c r="D269" s="6"/>
    </row>
    <row r="270" spans="2:15" ht="15" customHeight="1" x14ac:dyDescent="0.2">
      <c r="D270" s="6"/>
    </row>
    <row r="271" spans="2:15" ht="15" customHeight="1" x14ac:dyDescent="0.2">
      <c r="D271" s="6"/>
    </row>
    <row r="272" spans="2:15" ht="15" customHeight="1" x14ac:dyDescent="0.2">
      <c r="D272" s="6"/>
    </row>
    <row r="273" spans="4:4" ht="15" customHeight="1" x14ac:dyDescent="0.2">
      <c r="D273" s="6"/>
    </row>
    <row r="274" spans="4:4" ht="15" customHeight="1" x14ac:dyDescent="0.2">
      <c r="D274" s="6"/>
    </row>
    <row r="275" spans="4:4" ht="15" customHeight="1" x14ac:dyDescent="0.2">
      <c r="D275" s="6"/>
    </row>
    <row r="276" spans="4:4" ht="15" customHeight="1" x14ac:dyDescent="0.2">
      <c r="D276" s="6"/>
    </row>
    <row r="277" spans="4:4" ht="15" customHeight="1" x14ac:dyDescent="0.2">
      <c r="D277" s="6"/>
    </row>
    <row r="278" spans="4:4" ht="15" customHeight="1" x14ac:dyDescent="0.2">
      <c r="D278" s="6"/>
    </row>
    <row r="279" spans="4:4" ht="15" customHeight="1" x14ac:dyDescent="0.2">
      <c r="D279" s="6"/>
    </row>
    <row r="280" spans="4:4" ht="15" customHeight="1" x14ac:dyDescent="0.2">
      <c r="D280" s="6"/>
    </row>
    <row r="281" spans="4:4" ht="15" customHeight="1" x14ac:dyDescent="0.2">
      <c r="D281" s="6"/>
    </row>
    <row r="282" spans="4:4" ht="15" customHeight="1" x14ac:dyDescent="0.2">
      <c r="D282" s="6"/>
    </row>
    <row r="283" spans="4:4" ht="15" customHeight="1" x14ac:dyDescent="0.2">
      <c r="D283" s="6"/>
    </row>
    <row r="284" spans="4:4" ht="15" customHeight="1" x14ac:dyDescent="0.2">
      <c r="D284" s="6"/>
    </row>
    <row r="285" spans="4:4" ht="15" customHeight="1" x14ac:dyDescent="0.2">
      <c r="D285" s="6"/>
    </row>
    <row r="286" spans="4:4" ht="15" customHeight="1" x14ac:dyDescent="0.2">
      <c r="D286" s="6"/>
    </row>
    <row r="287" spans="4:4" ht="15" customHeight="1" x14ac:dyDescent="0.2">
      <c r="D287" s="6"/>
    </row>
    <row r="288" spans="4:4" ht="15" customHeight="1" x14ac:dyDescent="0.2">
      <c r="D288" s="6"/>
    </row>
    <row r="289" spans="4:4" ht="15" customHeight="1" x14ac:dyDescent="0.2">
      <c r="D289" s="6"/>
    </row>
    <row r="290" spans="4:4" ht="15" customHeight="1" x14ac:dyDescent="0.2">
      <c r="D290" s="6"/>
    </row>
    <row r="291" spans="4:4" ht="15" customHeight="1" x14ac:dyDescent="0.2">
      <c r="D291" s="6"/>
    </row>
    <row r="292" spans="4:4" ht="15" customHeight="1" x14ac:dyDescent="0.2">
      <c r="D292" s="6"/>
    </row>
    <row r="293" spans="4:4" ht="15" customHeight="1" x14ac:dyDescent="0.2">
      <c r="D293" s="6"/>
    </row>
    <row r="294" spans="4:4" ht="15" customHeight="1" x14ac:dyDescent="0.2">
      <c r="D294" s="6"/>
    </row>
    <row r="295" spans="4:4" ht="15" customHeight="1" x14ac:dyDescent="0.2">
      <c r="D295" s="6"/>
    </row>
    <row r="296" spans="4:4" ht="15" customHeight="1" x14ac:dyDescent="0.2">
      <c r="D296" s="6"/>
    </row>
    <row r="297" spans="4:4" ht="15" customHeight="1" x14ac:dyDescent="0.2">
      <c r="D297" s="6"/>
    </row>
    <row r="298" spans="4:4" ht="15" customHeight="1" x14ac:dyDescent="0.2">
      <c r="D298" s="6"/>
    </row>
    <row r="299" spans="4:4" ht="15" customHeight="1" x14ac:dyDescent="0.2">
      <c r="D299" s="6"/>
    </row>
    <row r="300" spans="4:4" ht="15" customHeight="1" x14ac:dyDescent="0.2">
      <c r="D300" s="6"/>
    </row>
    <row r="301" spans="4:4" ht="15" customHeight="1" x14ac:dyDescent="0.2">
      <c r="D301" s="6"/>
    </row>
    <row r="302" spans="4:4" ht="15" customHeight="1" x14ac:dyDescent="0.2">
      <c r="D302" s="6"/>
    </row>
    <row r="303" spans="4:4" ht="15" customHeight="1" x14ac:dyDescent="0.2">
      <c r="D303" s="6"/>
    </row>
    <row r="304" spans="4:4" ht="15" customHeight="1" x14ac:dyDescent="0.2">
      <c r="D304" s="6"/>
    </row>
    <row r="305" spans="4:4" ht="15" customHeight="1" x14ac:dyDescent="0.2">
      <c r="D305" s="6"/>
    </row>
    <row r="306" spans="4:4" ht="15" customHeight="1" x14ac:dyDescent="0.2">
      <c r="D306" s="6"/>
    </row>
    <row r="307" spans="4:4" ht="15" customHeight="1" x14ac:dyDescent="0.2">
      <c r="D307" s="6"/>
    </row>
    <row r="308" spans="4:4" ht="15" customHeight="1" x14ac:dyDescent="0.2">
      <c r="D308" s="6"/>
    </row>
    <row r="309" spans="4:4" ht="15" customHeight="1" x14ac:dyDescent="0.2">
      <c r="D309" s="6"/>
    </row>
    <row r="310" spans="4:4" ht="15" customHeight="1" x14ac:dyDescent="0.2">
      <c r="D310" s="6"/>
    </row>
    <row r="311" spans="4:4" ht="15" customHeight="1" x14ac:dyDescent="0.2">
      <c r="D311" s="6"/>
    </row>
    <row r="312" spans="4:4" ht="15" customHeight="1" x14ac:dyDescent="0.2">
      <c r="D312" s="6"/>
    </row>
    <row r="313" spans="4:4" ht="15" customHeight="1" x14ac:dyDescent="0.2">
      <c r="D313" s="6"/>
    </row>
    <row r="314" spans="4:4" ht="15" customHeight="1" x14ac:dyDescent="0.2">
      <c r="D314" s="6"/>
    </row>
    <row r="315" spans="4:4" ht="15" customHeight="1" x14ac:dyDescent="0.2">
      <c r="D315" s="6"/>
    </row>
    <row r="316" spans="4:4" ht="15" customHeight="1" x14ac:dyDescent="0.2">
      <c r="D316" s="6"/>
    </row>
    <row r="317" spans="4:4" ht="15" customHeight="1" x14ac:dyDescent="0.2">
      <c r="D317" s="6"/>
    </row>
    <row r="318" spans="4:4" ht="15" customHeight="1" x14ac:dyDescent="0.2">
      <c r="D318" s="6"/>
    </row>
    <row r="319" spans="4:4" ht="15" customHeight="1" x14ac:dyDescent="0.2">
      <c r="D319" s="6"/>
    </row>
    <row r="320" spans="4:4" ht="15" customHeight="1" x14ac:dyDescent="0.2">
      <c r="D320" s="6"/>
    </row>
    <row r="321" spans="4:4" ht="15" customHeight="1" x14ac:dyDescent="0.2">
      <c r="D321" s="6"/>
    </row>
    <row r="322" spans="4:4" ht="15" customHeight="1" x14ac:dyDescent="0.2">
      <c r="D322" s="6"/>
    </row>
    <row r="323" spans="4:4" ht="15" customHeight="1" x14ac:dyDescent="0.2">
      <c r="D323" s="6"/>
    </row>
    <row r="324" spans="4:4" ht="15" customHeight="1" x14ac:dyDescent="0.2">
      <c r="D324" s="6"/>
    </row>
    <row r="325" spans="4:4" ht="15" customHeight="1" x14ac:dyDescent="0.2">
      <c r="D325" s="6"/>
    </row>
    <row r="326" spans="4:4" ht="15" customHeight="1" x14ac:dyDescent="0.2">
      <c r="D326" s="6"/>
    </row>
    <row r="327" spans="4:4" ht="15" customHeight="1" x14ac:dyDescent="0.2">
      <c r="D327" s="6"/>
    </row>
    <row r="328" spans="4:4" ht="15" customHeight="1" x14ac:dyDescent="0.2">
      <c r="D328" s="6"/>
    </row>
    <row r="329" spans="4:4" ht="15" customHeight="1" x14ac:dyDescent="0.2">
      <c r="D329" s="6"/>
    </row>
    <row r="330" spans="4:4" ht="15" customHeight="1" x14ac:dyDescent="0.2">
      <c r="D330" s="6"/>
    </row>
    <row r="331" spans="4:4" ht="15" customHeight="1" x14ac:dyDescent="0.2">
      <c r="D331" s="6"/>
    </row>
    <row r="332" spans="4:4" ht="15" customHeight="1" x14ac:dyDescent="0.2">
      <c r="D332" s="6"/>
    </row>
    <row r="333" spans="4:4" ht="15" customHeight="1" x14ac:dyDescent="0.2">
      <c r="D333" s="6"/>
    </row>
    <row r="334" spans="4:4" ht="15" customHeight="1" x14ac:dyDescent="0.2">
      <c r="D334" s="6"/>
    </row>
    <row r="335" spans="4:4" ht="15" customHeight="1" x14ac:dyDescent="0.2">
      <c r="D335" s="6"/>
    </row>
    <row r="336" spans="4:4" ht="15" customHeight="1" x14ac:dyDescent="0.2">
      <c r="D336" s="6"/>
    </row>
    <row r="337" spans="4:4" ht="15" customHeight="1" x14ac:dyDescent="0.2">
      <c r="D337" s="6"/>
    </row>
    <row r="338" spans="4:4" ht="15" customHeight="1" x14ac:dyDescent="0.2">
      <c r="D338" s="6"/>
    </row>
    <row r="339" spans="4:4" ht="15" customHeight="1" x14ac:dyDescent="0.2">
      <c r="D339" s="6"/>
    </row>
    <row r="340" spans="4:4" ht="15" customHeight="1" x14ac:dyDescent="0.2">
      <c r="D340" s="6"/>
    </row>
    <row r="341" spans="4:4" ht="15" customHeight="1" x14ac:dyDescent="0.2">
      <c r="D341" s="6"/>
    </row>
    <row r="342" spans="4:4" ht="15" customHeight="1" x14ac:dyDescent="0.2">
      <c r="D342" s="6"/>
    </row>
    <row r="343" spans="4:4" ht="15" customHeight="1" x14ac:dyDescent="0.2">
      <c r="D343" s="6"/>
    </row>
    <row r="344" spans="4:4" ht="15" customHeight="1" x14ac:dyDescent="0.2">
      <c r="D344" s="6"/>
    </row>
    <row r="345" spans="4:4" ht="15" customHeight="1" x14ac:dyDescent="0.2">
      <c r="D345" s="6"/>
    </row>
    <row r="346" spans="4:4" ht="15" customHeight="1" x14ac:dyDescent="0.2">
      <c r="D346" s="6"/>
    </row>
    <row r="347" spans="4:4" ht="15" customHeight="1" x14ac:dyDescent="0.2">
      <c r="D347" s="6"/>
    </row>
    <row r="348" spans="4:4" ht="15" customHeight="1" x14ac:dyDescent="0.2">
      <c r="D348" s="6"/>
    </row>
    <row r="349" spans="4:4" ht="15" customHeight="1" x14ac:dyDescent="0.2">
      <c r="D349" s="6"/>
    </row>
    <row r="350" spans="4:4" ht="15" customHeight="1" x14ac:dyDescent="0.2">
      <c r="D350" s="6"/>
    </row>
    <row r="351" spans="4:4" ht="15" customHeight="1" x14ac:dyDescent="0.2">
      <c r="D351" s="6"/>
    </row>
    <row r="352" spans="4:4" ht="15" customHeight="1" x14ac:dyDescent="0.2">
      <c r="D352" s="6"/>
    </row>
    <row r="353" spans="4:4" ht="15" customHeight="1" x14ac:dyDescent="0.2">
      <c r="D353" s="6"/>
    </row>
    <row r="354" spans="4:4" ht="15" customHeight="1" x14ac:dyDescent="0.2">
      <c r="D354" s="6"/>
    </row>
    <row r="355" spans="4:4" ht="15" customHeight="1" x14ac:dyDescent="0.2">
      <c r="D355" s="6"/>
    </row>
    <row r="356" spans="4:4" ht="15" customHeight="1" x14ac:dyDescent="0.2">
      <c r="D356" s="6"/>
    </row>
    <row r="357" spans="4:4" ht="15" customHeight="1" x14ac:dyDescent="0.2">
      <c r="D357" s="6"/>
    </row>
    <row r="358" spans="4:4" ht="15" customHeight="1" x14ac:dyDescent="0.2">
      <c r="D358" s="6"/>
    </row>
    <row r="359" spans="4:4" ht="15" customHeight="1" x14ac:dyDescent="0.2">
      <c r="D359" s="6"/>
    </row>
    <row r="360" spans="4:4" ht="15" customHeight="1" x14ac:dyDescent="0.2">
      <c r="D360" s="6"/>
    </row>
    <row r="361" spans="4:4" ht="15" customHeight="1" x14ac:dyDescent="0.2">
      <c r="D361" s="6"/>
    </row>
    <row r="362" spans="4:4" ht="15" customHeight="1" x14ac:dyDescent="0.2">
      <c r="D362" s="6"/>
    </row>
    <row r="363" spans="4:4" ht="15" customHeight="1" x14ac:dyDescent="0.2">
      <c r="D363" s="6"/>
    </row>
    <row r="364" spans="4:4" ht="15" customHeight="1" x14ac:dyDescent="0.2">
      <c r="D364" s="6"/>
    </row>
    <row r="365" spans="4:4" ht="15" customHeight="1" x14ac:dyDescent="0.2">
      <c r="D365" s="6"/>
    </row>
    <row r="366" spans="4:4" ht="15" customHeight="1" x14ac:dyDescent="0.2">
      <c r="D366" s="6"/>
    </row>
    <row r="367" spans="4:4" ht="15" customHeight="1" x14ac:dyDescent="0.2">
      <c r="D367" s="6"/>
    </row>
    <row r="368" spans="4:4" ht="15" customHeight="1" x14ac:dyDescent="0.2">
      <c r="D368" s="6"/>
    </row>
    <row r="369" spans="4:4" ht="15" customHeight="1" x14ac:dyDescent="0.2">
      <c r="D369" s="6"/>
    </row>
    <row r="370" spans="4:4" ht="15" customHeight="1" x14ac:dyDescent="0.2">
      <c r="D370" s="6"/>
    </row>
    <row r="371" spans="4:4" ht="15" customHeight="1" x14ac:dyDescent="0.2">
      <c r="D371" s="6"/>
    </row>
    <row r="372" spans="4:4" ht="15" customHeight="1" x14ac:dyDescent="0.2">
      <c r="D372" s="6"/>
    </row>
    <row r="373" spans="4:4" ht="15" customHeight="1" x14ac:dyDescent="0.2">
      <c r="D373" s="6"/>
    </row>
    <row r="374" spans="4:4" ht="15" customHeight="1" x14ac:dyDescent="0.2">
      <c r="D374" s="6"/>
    </row>
    <row r="375" spans="4:4" ht="15" customHeight="1" x14ac:dyDescent="0.2">
      <c r="D375" s="6"/>
    </row>
    <row r="376" spans="4:4" ht="15" customHeight="1" x14ac:dyDescent="0.2">
      <c r="D376" s="6"/>
    </row>
    <row r="377" spans="4:4" ht="15" customHeight="1" x14ac:dyDescent="0.2">
      <c r="D377" s="6"/>
    </row>
    <row r="378" spans="4:4" ht="15" customHeight="1" x14ac:dyDescent="0.2">
      <c r="D378" s="6"/>
    </row>
    <row r="379" spans="4:4" ht="15" customHeight="1" x14ac:dyDescent="0.2">
      <c r="D379" s="6"/>
    </row>
    <row r="380" spans="4:4" ht="15" customHeight="1" x14ac:dyDescent="0.2">
      <c r="D380" s="6"/>
    </row>
    <row r="381" spans="4:4" ht="15" customHeight="1" x14ac:dyDescent="0.2">
      <c r="D381" s="6"/>
    </row>
    <row r="382" spans="4:4" ht="15" customHeight="1" x14ac:dyDescent="0.2">
      <c r="D382" s="6"/>
    </row>
    <row r="383" spans="4:4" ht="15" customHeight="1" x14ac:dyDescent="0.2">
      <c r="D383" s="6"/>
    </row>
    <row r="384" spans="4:4" ht="15" customHeight="1" x14ac:dyDescent="0.2">
      <c r="D384" s="6"/>
    </row>
    <row r="385" spans="4:4" ht="15" customHeight="1" x14ac:dyDescent="0.2">
      <c r="D385" s="6"/>
    </row>
    <row r="386" spans="4:4" ht="15" customHeight="1" x14ac:dyDescent="0.2">
      <c r="D386" s="6"/>
    </row>
    <row r="387" spans="4:4" ht="15" customHeight="1" x14ac:dyDescent="0.2">
      <c r="D387" s="6"/>
    </row>
    <row r="388" spans="4:4" ht="15" customHeight="1" x14ac:dyDescent="0.2">
      <c r="D388" s="6"/>
    </row>
    <row r="389" spans="4:4" ht="15" customHeight="1" x14ac:dyDescent="0.2">
      <c r="D389" s="6"/>
    </row>
    <row r="390" spans="4:4" ht="12.75" customHeight="1" x14ac:dyDescent="0.2"/>
    <row r="391" spans="4:4" ht="12.75" customHeight="1" x14ac:dyDescent="0.2"/>
    <row r="392" spans="4:4" ht="12.75" customHeight="1" x14ac:dyDescent="0.2"/>
    <row r="393" spans="4:4" ht="12.75" customHeight="1" x14ac:dyDescent="0.2"/>
    <row r="394" spans="4:4" ht="12.75" customHeight="1" x14ac:dyDescent="0.2"/>
    <row r="395" spans="4:4" ht="12.75" customHeight="1" x14ac:dyDescent="0.2"/>
    <row r="396" spans="4:4" ht="12.75" customHeight="1" x14ac:dyDescent="0.2"/>
    <row r="397" spans="4:4" ht="12.75" customHeight="1" x14ac:dyDescent="0.2"/>
    <row r="398" spans="4:4" ht="12.75" customHeight="1" x14ac:dyDescent="0.2"/>
    <row r="399" spans="4:4" ht="12.75" customHeight="1" x14ac:dyDescent="0.2"/>
    <row r="400" spans="4:4"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row r="1007" ht="12.75" customHeight="1" x14ac:dyDescent="0.2"/>
    <row r="1008" ht="12.75" customHeight="1" x14ac:dyDescent="0.2"/>
    <row r="1009" ht="12.75" customHeight="1" x14ac:dyDescent="0.2"/>
    <row r="1010" ht="12.75" customHeight="1" x14ac:dyDescent="0.2"/>
    <row r="1011" ht="12.75" customHeight="1" x14ac:dyDescent="0.2"/>
    <row r="1012" ht="12.75" customHeight="1" x14ac:dyDescent="0.2"/>
    <row r="1013" ht="12.75" customHeight="1" x14ac:dyDescent="0.2"/>
    <row r="1014" ht="12.75" customHeight="1" x14ac:dyDescent="0.2"/>
    <row r="1015" ht="12.75" customHeight="1" x14ac:dyDescent="0.2"/>
    <row r="1016" ht="12.75" customHeight="1" x14ac:dyDescent="0.2"/>
    <row r="1017" ht="12.75" customHeight="1" x14ac:dyDescent="0.2"/>
    <row r="1018" ht="12.75" customHeight="1" x14ac:dyDescent="0.2"/>
    <row r="1019" ht="12.75" customHeight="1" x14ac:dyDescent="0.2"/>
    <row r="1020" ht="12.75" customHeight="1" x14ac:dyDescent="0.2"/>
    <row r="1021" ht="12.75" customHeight="1" x14ac:dyDescent="0.2"/>
    <row r="1022" ht="12.75" customHeight="1" x14ac:dyDescent="0.2"/>
    <row r="1023" ht="12.75" customHeight="1" x14ac:dyDescent="0.2"/>
    <row r="1024" ht="12.75" customHeight="1" x14ac:dyDescent="0.2"/>
    <row r="1025" ht="12.75" customHeight="1" x14ac:dyDescent="0.2"/>
    <row r="1026" ht="12.75" customHeight="1" x14ac:dyDescent="0.2"/>
    <row r="1027" ht="12.75" customHeight="1" x14ac:dyDescent="0.2"/>
    <row r="1028" ht="12.75" customHeight="1" x14ac:dyDescent="0.2"/>
    <row r="1029" ht="12.75" customHeight="1" x14ac:dyDescent="0.2"/>
    <row r="1030" ht="12.75" customHeight="1" x14ac:dyDescent="0.2"/>
    <row r="1031" ht="12.75" customHeight="1" x14ac:dyDescent="0.2"/>
    <row r="1032" ht="12.75" customHeight="1" x14ac:dyDescent="0.2"/>
    <row r="1033" ht="12.75" customHeight="1" x14ac:dyDescent="0.2"/>
    <row r="1034" ht="12.75" customHeight="1" x14ac:dyDescent="0.2"/>
    <row r="1035" ht="12.75" customHeight="1" x14ac:dyDescent="0.2"/>
    <row r="1036" ht="12.75" customHeight="1" x14ac:dyDescent="0.2"/>
    <row r="1037" ht="12.75" customHeight="1" x14ac:dyDescent="0.2"/>
    <row r="1038" ht="12.75" customHeight="1" x14ac:dyDescent="0.2"/>
    <row r="1039" ht="12.75" customHeight="1" x14ac:dyDescent="0.2"/>
    <row r="1040" ht="12.75" customHeight="1" x14ac:dyDescent="0.2"/>
    <row r="1041" ht="12.75" customHeight="1" x14ac:dyDescent="0.2"/>
    <row r="1042" ht="12.75" customHeight="1" x14ac:dyDescent="0.2"/>
    <row r="1043" ht="12.75" customHeight="1" x14ac:dyDescent="0.2"/>
    <row r="1044" ht="12.75" customHeight="1" x14ac:dyDescent="0.2"/>
    <row r="1045" ht="12.75" customHeight="1" x14ac:dyDescent="0.2"/>
    <row r="1046" ht="12.75" customHeight="1" x14ac:dyDescent="0.2"/>
    <row r="1047" ht="12.75" customHeight="1" x14ac:dyDescent="0.2"/>
    <row r="1048" ht="12.75" customHeight="1" x14ac:dyDescent="0.2"/>
    <row r="1049" ht="12.75" customHeight="1" x14ac:dyDescent="0.2"/>
    <row r="1050" ht="12.75" customHeight="1" x14ac:dyDescent="0.2"/>
    <row r="1051" ht="12.75" customHeight="1" x14ac:dyDescent="0.2"/>
    <row r="1052" ht="12.75" customHeight="1" x14ac:dyDescent="0.2"/>
    <row r="1053" ht="12.75" customHeight="1" x14ac:dyDescent="0.2"/>
    <row r="1054" ht="12.75" customHeight="1" x14ac:dyDescent="0.2"/>
    <row r="1055" ht="12.75" customHeight="1" x14ac:dyDescent="0.2"/>
    <row r="1056" ht="12.75" customHeight="1" x14ac:dyDescent="0.2"/>
    <row r="1057" ht="12.75" customHeight="1" x14ac:dyDescent="0.2"/>
    <row r="1058" ht="12.75" customHeight="1" x14ac:dyDescent="0.2"/>
    <row r="1059" ht="12.75" customHeight="1" x14ac:dyDescent="0.2"/>
    <row r="1060" ht="12.75" customHeight="1" x14ac:dyDescent="0.2"/>
    <row r="1061" ht="12.75" customHeight="1" x14ac:dyDescent="0.2"/>
    <row r="1062" ht="12.75" customHeight="1" x14ac:dyDescent="0.2"/>
    <row r="1063" ht="12.75" customHeight="1" x14ac:dyDescent="0.2"/>
    <row r="1064" ht="12.75" customHeight="1" x14ac:dyDescent="0.2"/>
    <row r="1065" ht="12.75" customHeight="1" x14ac:dyDescent="0.2"/>
    <row r="1066" ht="12.75" customHeight="1" x14ac:dyDescent="0.2"/>
    <row r="1067" ht="12.75" customHeight="1" x14ac:dyDescent="0.2"/>
    <row r="1068" ht="12.75" customHeight="1" x14ac:dyDescent="0.2"/>
    <row r="1069" ht="12.75" customHeight="1" x14ac:dyDescent="0.2"/>
    <row r="1070" ht="12.75" customHeight="1" x14ac:dyDescent="0.2"/>
    <row r="1071" ht="12.75" customHeight="1" x14ac:dyDescent="0.2"/>
    <row r="1072" ht="12.75" customHeight="1" x14ac:dyDescent="0.2"/>
    <row r="1073" ht="12.75" customHeight="1" x14ac:dyDescent="0.2"/>
    <row r="1074" ht="12.75" customHeight="1" x14ac:dyDescent="0.2"/>
    <row r="1075" ht="12.75" customHeight="1" x14ac:dyDescent="0.2"/>
    <row r="1076" ht="12.75" customHeight="1" x14ac:dyDescent="0.2"/>
    <row r="1077" ht="12.75" customHeight="1" x14ac:dyDescent="0.2"/>
    <row r="1078" ht="12.75" customHeight="1" x14ac:dyDescent="0.2"/>
    <row r="1079" ht="12.75" customHeight="1" x14ac:dyDescent="0.2"/>
    <row r="1080" ht="12.75" customHeight="1" x14ac:dyDescent="0.2"/>
    <row r="1081" ht="12.75" customHeight="1" x14ac:dyDescent="0.2"/>
    <row r="1082" ht="12.75" customHeight="1" x14ac:dyDescent="0.2"/>
    <row r="1083" ht="12.75" customHeight="1" x14ac:dyDescent="0.2"/>
    <row r="1084" ht="12.75" customHeight="1" x14ac:dyDescent="0.2"/>
    <row r="1085" ht="12.75" customHeight="1" x14ac:dyDescent="0.2"/>
    <row r="1086" ht="12.75" customHeight="1" x14ac:dyDescent="0.2"/>
    <row r="1087" ht="12.75" customHeight="1" x14ac:dyDescent="0.2"/>
    <row r="1088" ht="12.75" customHeight="1" x14ac:dyDescent="0.2"/>
    <row r="1089" ht="12.75" customHeight="1" x14ac:dyDescent="0.2"/>
    <row r="1090" ht="12.75" customHeight="1" x14ac:dyDescent="0.2"/>
    <row r="1091" ht="12.75" customHeight="1" x14ac:dyDescent="0.2"/>
    <row r="1092" ht="12.75" customHeight="1" x14ac:dyDescent="0.2"/>
    <row r="1093" ht="12.75" customHeight="1" x14ac:dyDescent="0.2"/>
    <row r="1094" ht="12.75" customHeight="1" x14ac:dyDescent="0.2"/>
    <row r="1095" ht="12.75" customHeight="1" x14ac:dyDescent="0.2"/>
    <row r="1096" ht="12.75" customHeight="1" x14ac:dyDescent="0.2"/>
    <row r="1097" ht="12.75" customHeight="1" x14ac:dyDescent="0.2"/>
    <row r="1098" ht="12.75" customHeight="1" x14ac:dyDescent="0.2"/>
    <row r="1099" ht="12.75" customHeight="1" x14ac:dyDescent="0.2"/>
    <row r="1100" ht="12.75" customHeight="1" x14ac:dyDescent="0.2"/>
    <row r="1101" ht="12.75" customHeight="1" x14ac:dyDescent="0.2"/>
    <row r="1102" ht="12.75" customHeight="1" x14ac:dyDescent="0.2"/>
    <row r="1103" ht="12.75" customHeight="1" x14ac:dyDescent="0.2"/>
    <row r="1104" ht="12.75" customHeight="1" x14ac:dyDescent="0.2"/>
    <row r="1105" ht="12.75" customHeight="1" x14ac:dyDescent="0.2"/>
    <row r="1106" ht="12.75" customHeight="1" x14ac:dyDescent="0.2"/>
    <row r="1107" ht="12.75" customHeight="1" x14ac:dyDescent="0.2"/>
    <row r="1108" ht="12.75" customHeight="1" x14ac:dyDescent="0.2"/>
    <row r="1109" ht="12.75" customHeight="1" x14ac:dyDescent="0.2"/>
    <row r="1110" ht="12.75" customHeight="1" x14ac:dyDescent="0.2"/>
    <row r="1111" ht="12.75" customHeight="1" x14ac:dyDescent="0.2"/>
    <row r="1112" ht="12.75" customHeight="1" x14ac:dyDescent="0.2"/>
    <row r="1113" ht="12.75" customHeight="1" x14ac:dyDescent="0.2"/>
    <row r="1114" ht="12.75" customHeight="1" x14ac:dyDescent="0.2"/>
    <row r="1115" ht="12.75" customHeight="1" x14ac:dyDescent="0.2"/>
    <row r="1116" ht="12.75" customHeight="1" x14ac:dyDescent="0.2"/>
    <row r="1117" ht="12.75" customHeight="1" x14ac:dyDescent="0.2"/>
    <row r="1118" ht="12.75" customHeight="1" x14ac:dyDescent="0.2"/>
    <row r="1119" ht="12.75" customHeight="1" x14ac:dyDescent="0.2"/>
    <row r="1120" ht="12.75" customHeight="1" x14ac:dyDescent="0.2"/>
    <row r="1121" ht="12.75" customHeight="1" x14ac:dyDescent="0.2"/>
    <row r="1122" ht="12.75" customHeight="1" x14ac:dyDescent="0.2"/>
    <row r="1123" ht="12.75" customHeight="1" x14ac:dyDescent="0.2"/>
    <row r="1124" ht="12.75" customHeight="1" x14ac:dyDescent="0.2"/>
    <row r="1125" ht="12.75" customHeight="1" x14ac:dyDescent="0.2"/>
    <row r="1126" ht="12.75" customHeight="1" x14ac:dyDescent="0.2"/>
    <row r="1127" ht="12.75" customHeight="1" x14ac:dyDescent="0.2"/>
    <row r="1128" ht="12.75" customHeight="1" x14ac:dyDescent="0.2"/>
    <row r="1129" ht="12.75" customHeight="1" x14ac:dyDescent="0.2"/>
    <row r="1130" ht="12.75" customHeight="1" x14ac:dyDescent="0.2"/>
    <row r="1131" ht="12.75" customHeight="1" x14ac:dyDescent="0.2"/>
    <row r="1132" ht="12.75" customHeight="1" x14ac:dyDescent="0.2"/>
    <row r="1133" ht="12.75" customHeight="1" x14ac:dyDescent="0.2"/>
    <row r="1134" ht="12.75" customHeight="1" x14ac:dyDescent="0.2"/>
    <row r="1135" ht="12.75" customHeight="1" x14ac:dyDescent="0.2"/>
    <row r="1136" ht="12.75" customHeight="1" x14ac:dyDescent="0.2"/>
    <row r="1137" ht="12.75" customHeight="1" x14ac:dyDescent="0.2"/>
    <row r="1138" ht="12.75" customHeight="1" x14ac:dyDescent="0.2"/>
    <row r="1139" ht="12.75" customHeight="1" x14ac:dyDescent="0.2"/>
    <row r="1140" ht="12.75" customHeight="1" x14ac:dyDescent="0.2"/>
    <row r="1141" ht="12.75" customHeight="1" x14ac:dyDescent="0.2"/>
    <row r="1142" ht="12.75" customHeight="1" x14ac:dyDescent="0.2"/>
    <row r="1143" ht="12.75" customHeight="1" x14ac:dyDescent="0.2"/>
    <row r="1144" ht="12.75" customHeight="1" x14ac:dyDescent="0.2"/>
    <row r="1145" ht="12.75" customHeight="1" x14ac:dyDescent="0.2"/>
    <row r="1146" ht="12.75" customHeight="1" x14ac:dyDescent="0.2"/>
    <row r="1147" ht="12.75" customHeight="1" x14ac:dyDescent="0.2"/>
    <row r="1148" ht="12.75" customHeight="1" x14ac:dyDescent="0.2"/>
    <row r="1149" ht="12.75" customHeight="1" x14ac:dyDescent="0.2"/>
    <row r="1150" ht="12.75" customHeight="1" x14ac:dyDescent="0.2"/>
    <row r="1151" ht="12.75" customHeight="1" x14ac:dyDescent="0.2"/>
    <row r="1152" ht="12.75" customHeight="1" x14ac:dyDescent="0.2"/>
    <row r="1153" ht="12.75" customHeight="1" x14ac:dyDescent="0.2"/>
    <row r="1154" ht="12.75" customHeight="1" x14ac:dyDescent="0.2"/>
    <row r="1155" ht="12.75" customHeight="1" x14ac:dyDescent="0.2"/>
    <row r="1156" ht="12.75" customHeight="1" x14ac:dyDescent="0.2"/>
    <row r="1157" ht="12.75" customHeight="1" x14ac:dyDescent="0.2"/>
    <row r="1158" ht="12.75" customHeight="1" x14ac:dyDescent="0.2"/>
    <row r="1159" ht="12.75" customHeight="1" x14ac:dyDescent="0.2"/>
    <row r="1160" ht="12.75" customHeight="1" x14ac:dyDescent="0.2"/>
    <row r="1161" ht="12.75" customHeight="1" x14ac:dyDescent="0.2"/>
    <row r="1162" ht="12.75" customHeight="1" x14ac:dyDescent="0.2"/>
    <row r="1163" ht="12.75" customHeight="1" x14ac:dyDescent="0.2"/>
    <row r="1164" ht="12.75" customHeight="1" x14ac:dyDescent="0.2"/>
    <row r="1165" ht="12.75" customHeight="1" x14ac:dyDescent="0.2"/>
    <row r="1166" ht="12.75" customHeight="1" x14ac:dyDescent="0.2"/>
    <row r="1167" ht="12.75" customHeight="1" x14ac:dyDescent="0.2"/>
    <row r="1168" ht="12.75" customHeight="1" x14ac:dyDescent="0.2"/>
    <row r="1169" ht="12.75" customHeight="1" x14ac:dyDescent="0.2"/>
    <row r="1170" ht="12.75" customHeight="1" x14ac:dyDescent="0.2"/>
    <row r="1171" ht="12.75" customHeight="1" x14ac:dyDescent="0.2"/>
    <row r="1172" ht="12.75" customHeight="1" x14ac:dyDescent="0.2"/>
    <row r="1173" ht="12.75" customHeight="1" x14ac:dyDescent="0.2"/>
    <row r="1174" ht="12.75" customHeight="1" x14ac:dyDescent="0.2"/>
    <row r="1175" ht="12.75" customHeight="1" x14ac:dyDescent="0.2"/>
    <row r="1176" ht="12.75" customHeight="1" x14ac:dyDescent="0.2"/>
    <row r="1177" ht="12.75" customHeight="1" x14ac:dyDescent="0.2"/>
    <row r="1178" ht="12.75" customHeight="1" x14ac:dyDescent="0.2"/>
    <row r="1179" ht="12.75" customHeight="1" x14ac:dyDescent="0.2"/>
    <row r="1180" ht="12.75" customHeight="1" x14ac:dyDescent="0.2"/>
    <row r="1181" ht="12.75" customHeight="1" x14ac:dyDescent="0.2"/>
    <row r="1182" ht="12.75" customHeight="1" x14ac:dyDescent="0.2"/>
    <row r="1183" ht="12.75" customHeight="1" x14ac:dyDescent="0.2"/>
    <row r="1184" ht="12.75" customHeight="1" x14ac:dyDescent="0.2"/>
    <row r="1185" ht="12.75" customHeight="1" x14ac:dyDescent="0.2"/>
    <row r="1186" ht="12.75" customHeight="1" x14ac:dyDescent="0.2"/>
    <row r="1187" ht="12.75" customHeight="1" x14ac:dyDescent="0.2"/>
    <row r="1188" ht="12.75" customHeight="1" x14ac:dyDescent="0.2"/>
    <row r="1189" ht="12.75" customHeight="1" x14ac:dyDescent="0.2"/>
    <row r="1190" ht="12.75" customHeight="1" x14ac:dyDescent="0.2"/>
    <row r="1191" ht="12.75" customHeight="1" x14ac:dyDescent="0.2"/>
    <row r="1192" ht="12.75" customHeight="1" x14ac:dyDescent="0.2"/>
    <row r="1193" ht="12.75" customHeight="1" x14ac:dyDescent="0.2"/>
    <row r="1194" ht="12.75" customHeight="1" x14ac:dyDescent="0.2"/>
    <row r="1195" ht="12.75" customHeight="1" x14ac:dyDescent="0.2"/>
    <row r="1196" ht="12.75" customHeight="1" x14ac:dyDescent="0.2"/>
    <row r="1197" ht="12.75" customHeight="1" x14ac:dyDescent="0.2"/>
    <row r="1198" ht="12.75" customHeight="1" x14ac:dyDescent="0.2"/>
    <row r="1199" ht="12.75" customHeight="1" x14ac:dyDescent="0.2"/>
    <row r="1200" ht="12.75" customHeight="1" x14ac:dyDescent="0.2"/>
    <row r="1201" ht="12.75" customHeight="1" x14ac:dyDescent="0.2"/>
    <row r="1202" ht="12.75" customHeight="1" x14ac:dyDescent="0.2"/>
    <row r="1203" ht="12.75" customHeight="1" x14ac:dyDescent="0.2"/>
    <row r="1204" ht="12.75" customHeight="1" x14ac:dyDescent="0.2"/>
    <row r="1205" ht="12.75" customHeight="1" x14ac:dyDescent="0.2"/>
    <row r="1206" ht="12.75" customHeight="1" x14ac:dyDescent="0.2"/>
    <row r="1207" ht="12.75" customHeight="1" x14ac:dyDescent="0.2"/>
    <row r="1208" ht="12.75" customHeight="1" x14ac:dyDescent="0.2"/>
    <row r="1209" ht="12.75" customHeight="1" x14ac:dyDescent="0.2"/>
    <row r="1210" ht="12.75" customHeight="1" x14ac:dyDescent="0.2"/>
    <row r="1211" ht="12.75" customHeight="1" x14ac:dyDescent="0.2"/>
    <row r="1212" ht="12.75" customHeight="1" x14ac:dyDescent="0.2"/>
    <row r="1213" ht="12.75" customHeight="1" x14ac:dyDescent="0.2"/>
    <row r="1214" ht="12.75" customHeight="1" x14ac:dyDescent="0.2"/>
    <row r="1215" ht="12.75" customHeight="1" x14ac:dyDescent="0.2"/>
    <row r="1216" ht="12.75" customHeight="1" x14ac:dyDescent="0.2"/>
    <row r="1217" ht="12.75" customHeight="1" x14ac:dyDescent="0.2"/>
    <row r="1218" ht="12.75" customHeight="1" x14ac:dyDescent="0.2"/>
    <row r="1219" ht="12.75" customHeight="1" x14ac:dyDescent="0.2"/>
    <row r="1220" ht="12.75" customHeight="1" x14ac:dyDescent="0.2"/>
    <row r="1221" ht="12.75" customHeight="1" x14ac:dyDescent="0.2"/>
    <row r="1222" ht="12.75" customHeight="1" x14ac:dyDescent="0.2"/>
    <row r="1223" ht="12.75" customHeight="1" x14ac:dyDescent="0.2"/>
    <row r="1224" ht="12.75" customHeight="1" x14ac:dyDescent="0.2"/>
    <row r="1225" ht="12.75" customHeight="1" x14ac:dyDescent="0.2"/>
    <row r="1226" ht="12.75" customHeight="1" x14ac:dyDescent="0.2"/>
    <row r="1227" ht="12.75" customHeight="1" x14ac:dyDescent="0.2"/>
    <row r="1228" ht="12.75" customHeight="1" x14ac:dyDescent="0.2"/>
    <row r="1229" ht="12.75" customHeight="1" x14ac:dyDescent="0.2"/>
    <row r="1230" ht="12.75" customHeight="1" x14ac:dyDescent="0.2"/>
    <row r="1231" ht="12.75" customHeight="1" x14ac:dyDescent="0.2"/>
    <row r="1232" ht="12.75" customHeight="1" x14ac:dyDescent="0.2"/>
    <row r="1233" ht="12.75" customHeight="1" x14ac:dyDescent="0.2"/>
    <row r="1234" ht="12.75" customHeight="1" x14ac:dyDescent="0.2"/>
    <row r="1235" ht="12.75" customHeight="1" x14ac:dyDescent="0.2"/>
    <row r="1236" ht="12.75" customHeight="1" x14ac:dyDescent="0.2"/>
    <row r="1237" ht="12.75" customHeight="1" x14ac:dyDescent="0.2"/>
    <row r="1238" ht="12.75" customHeight="1" x14ac:dyDescent="0.2"/>
    <row r="1239" ht="12.75" customHeight="1" x14ac:dyDescent="0.2"/>
    <row r="1240" ht="12.75" customHeight="1" x14ac:dyDescent="0.2"/>
    <row r="1241" ht="12.75" customHeight="1" x14ac:dyDescent="0.2"/>
    <row r="1242" ht="12.75" customHeight="1" x14ac:dyDescent="0.2"/>
    <row r="1243" ht="12.75" customHeight="1" x14ac:dyDescent="0.2"/>
    <row r="1244" ht="12.75" customHeight="1" x14ac:dyDescent="0.2"/>
    <row r="1245" ht="12.75" customHeight="1" x14ac:dyDescent="0.2"/>
    <row r="1246" ht="12.75" customHeight="1" x14ac:dyDescent="0.2"/>
    <row r="1247" ht="12.75" customHeight="1" x14ac:dyDescent="0.2"/>
    <row r="1248" ht="12.75" customHeight="1" x14ac:dyDescent="0.2"/>
    <row r="1249" ht="12.75" customHeight="1" x14ac:dyDescent="0.2"/>
    <row r="1250" ht="12.75" customHeight="1" x14ac:dyDescent="0.2"/>
    <row r="1251" ht="12.75" customHeight="1" x14ac:dyDescent="0.2"/>
    <row r="1252" ht="12.75" customHeight="1" x14ac:dyDescent="0.2"/>
    <row r="1253" ht="12.75" customHeight="1" x14ac:dyDescent="0.2"/>
    <row r="1254" ht="12.75" customHeight="1" x14ac:dyDescent="0.2"/>
    <row r="1255" ht="12.75" customHeight="1" x14ac:dyDescent="0.2"/>
    <row r="1256" ht="12.75" customHeight="1" x14ac:dyDescent="0.2"/>
    <row r="1257" ht="12.75" customHeight="1" x14ac:dyDescent="0.2"/>
    <row r="1258" ht="12.75" customHeight="1" x14ac:dyDescent="0.2"/>
    <row r="1259" ht="12.75" customHeight="1" x14ac:dyDescent="0.2"/>
    <row r="1260" ht="12.75" customHeight="1" x14ac:dyDescent="0.2"/>
    <row r="1261" ht="12.75" customHeight="1" x14ac:dyDescent="0.2"/>
    <row r="1262" ht="12.75" customHeight="1" x14ac:dyDescent="0.2"/>
    <row r="1263" ht="12.75" customHeight="1" x14ac:dyDescent="0.2"/>
    <row r="1264" ht="12.75" customHeight="1" x14ac:dyDescent="0.2"/>
    <row r="1265" ht="12.75" customHeight="1" x14ac:dyDescent="0.2"/>
    <row r="1266" ht="12.75" customHeight="1" x14ac:dyDescent="0.2"/>
    <row r="1267" ht="12.75" customHeight="1" x14ac:dyDescent="0.2"/>
    <row r="1268" ht="12.75" customHeight="1" x14ac:dyDescent="0.2"/>
    <row r="1269" ht="12.75" customHeight="1" x14ac:dyDescent="0.2"/>
    <row r="1270" ht="12.75" customHeight="1" x14ac:dyDescent="0.2"/>
    <row r="1271" ht="12.75" customHeight="1" x14ac:dyDescent="0.2"/>
    <row r="1272" ht="12.75" customHeight="1" x14ac:dyDescent="0.2"/>
    <row r="1273" ht="12.75" customHeight="1" x14ac:dyDescent="0.2"/>
    <row r="1274" ht="12.75" customHeight="1" x14ac:dyDescent="0.2"/>
    <row r="1275" ht="12.75" customHeight="1" x14ac:dyDescent="0.2"/>
    <row r="1276" ht="12.75" customHeight="1" x14ac:dyDescent="0.2"/>
    <row r="1277" ht="12.75" customHeight="1" x14ac:dyDescent="0.2"/>
    <row r="1278" ht="12.75" customHeight="1" x14ac:dyDescent="0.2"/>
    <row r="1279" ht="12.75" customHeight="1" x14ac:dyDescent="0.2"/>
    <row r="1280" ht="12.75" customHeight="1" x14ac:dyDescent="0.2"/>
    <row r="1281" ht="12.75" customHeight="1" x14ac:dyDescent="0.2"/>
    <row r="1282" ht="12.75" customHeight="1" x14ac:dyDescent="0.2"/>
    <row r="1283" ht="12.75" customHeight="1" x14ac:dyDescent="0.2"/>
    <row r="1284" ht="12.75" customHeight="1" x14ac:dyDescent="0.2"/>
    <row r="1285" ht="12.75" customHeight="1" x14ac:dyDescent="0.2"/>
    <row r="1286" ht="12.75" customHeight="1" x14ac:dyDescent="0.2"/>
    <row r="1287" ht="12.75" customHeight="1" x14ac:dyDescent="0.2"/>
    <row r="1288" ht="12.75" customHeight="1" x14ac:dyDescent="0.2"/>
    <row r="1289" ht="12.75" customHeight="1" x14ac:dyDescent="0.2"/>
    <row r="1290" ht="12.75" customHeight="1" x14ac:dyDescent="0.2"/>
    <row r="1291" ht="12.75" customHeight="1" x14ac:dyDescent="0.2"/>
    <row r="1292" ht="12.75" customHeight="1" x14ac:dyDescent="0.2"/>
    <row r="1293" ht="12.75" customHeight="1" x14ac:dyDescent="0.2"/>
    <row r="1294" ht="12.75" customHeight="1" x14ac:dyDescent="0.2"/>
    <row r="1295" ht="12.75" customHeight="1" x14ac:dyDescent="0.2"/>
    <row r="1296" ht="12.75" customHeight="1" x14ac:dyDescent="0.2"/>
    <row r="1297" ht="12.75" customHeight="1" x14ac:dyDescent="0.2"/>
    <row r="1298" ht="12.75" customHeight="1" x14ac:dyDescent="0.2"/>
    <row r="1299" ht="12.75" customHeight="1" x14ac:dyDescent="0.2"/>
    <row r="1300" ht="12.75" customHeight="1" x14ac:dyDescent="0.2"/>
    <row r="1301" ht="12.75" customHeight="1" x14ac:dyDescent="0.2"/>
    <row r="1302" ht="12.75" customHeight="1" x14ac:dyDescent="0.2"/>
    <row r="1303" ht="12.75" customHeight="1" x14ac:dyDescent="0.2"/>
    <row r="1304" ht="12.75" customHeight="1" x14ac:dyDescent="0.2"/>
    <row r="1305" ht="12.75" customHeight="1" x14ac:dyDescent="0.2"/>
    <row r="1306" ht="12.75" customHeight="1" x14ac:dyDescent="0.2"/>
    <row r="1307" ht="12.75" customHeight="1" x14ac:dyDescent="0.2"/>
    <row r="1308" ht="12.75" customHeight="1" x14ac:dyDescent="0.2"/>
    <row r="1309" ht="12.75" customHeight="1" x14ac:dyDescent="0.2"/>
    <row r="1310" ht="12.75" customHeight="1" x14ac:dyDescent="0.2"/>
    <row r="1311" ht="12.75" customHeight="1" x14ac:dyDescent="0.2"/>
    <row r="1312" ht="12.75" customHeight="1" x14ac:dyDescent="0.2"/>
    <row r="1313" ht="12.75" customHeight="1" x14ac:dyDescent="0.2"/>
    <row r="1314" ht="12.75" customHeight="1" x14ac:dyDescent="0.2"/>
    <row r="1315" ht="12.75" customHeight="1" x14ac:dyDescent="0.2"/>
    <row r="1316" ht="12.75" customHeight="1" x14ac:dyDescent="0.2"/>
    <row r="1317" ht="12.75" customHeight="1" x14ac:dyDescent="0.2"/>
    <row r="1318" ht="12.75" customHeight="1" x14ac:dyDescent="0.2"/>
    <row r="1319" ht="12.75" customHeight="1" x14ac:dyDescent="0.2"/>
    <row r="1320" ht="12.75" customHeight="1" x14ac:dyDescent="0.2"/>
    <row r="1321" ht="12.75" customHeight="1" x14ac:dyDescent="0.2"/>
    <row r="1322" ht="12.75" customHeight="1" x14ac:dyDescent="0.2"/>
    <row r="1323" ht="12.75" customHeight="1" x14ac:dyDescent="0.2"/>
    <row r="1324" ht="12.75" customHeight="1" x14ac:dyDescent="0.2"/>
    <row r="1325" ht="12.75" customHeight="1" x14ac:dyDescent="0.2"/>
    <row r="1326" ht="12.75" customHeight="1" x14ac:dyDescent="0.2"/>
    <row r="1327" ht="12.75" customHeight="1" x14ac:dyDescent="0.2"/>
    <row r="1328" ht="12.75" customHeight="1" x14ac:dyDescent="0.2"/>
    <row r="1329" ht="12.75" customHeight="1" x14ac:dyDescent="0.2"/>
    <row r="1330" ht="12.75" customHeight="1" x14ac:dyDescent="0.2"/>
    <row r="1331" ht="12.75" customHeight="1" x14ac:dyDescent="0.2"/>
    <row r="1332" ht="12.75" customHeight="1" x14ac:dyDescent="0.2"/>
    <row r="1333" ht="12.75" customHeight="1" x14ac:dyDescent="0.2"/>
    <row r="1334" ht="12.75" customHeight="1" x14ac:dyDescent="0.2"/>
    <row r="1335" ht="12.75" customHeight="1" x14ac:dyDescent="0.2"/>
    <row r="1336" ht="12.75" customHeight="1" x14ac:dyDescent="0.2"/>
    <row r="1337" ht="12.75" customHeight="1" x14ac:dyDescent="0.2"/>
    <row r="1338" ht="12.75" customHeight="1" x14ac:dyDescent="0.2"/>
    <row r="1339" ht="12.75" customHeight="1" x14ac:dyDescent="0.2"/>
    <row r="1340" ht="12.75" customHeight="1" x14ac:dyDescent="0.2"/>
    <row r="1341" ht="12.75" customHeight="1" x14ac:dyDescent="0.2"/>
    <row r="1342" ht="12.75" customHeight="1" x14ac:dyDescent="0.2"/>
    <row r="1343" ht="12.75" customHeight="1" x14ac:dyDescent="0.2"/>
    <row r="1344" ht="12.75" customHeight="1" x14ac:dyDescent="0.2"/>
    <row r="1345" ht="12.75" customHeight="1" x14ac:dyDescent="0.2"/>
    <row r="1346" ht="12.75" customHeight="1" x14ac:dyDescent="0.2"/>
    <row r="1347" ht="12.75" customHeight="1" x14ac:dyDescent="0.2"/>
    <row r="1348" ht="12.75" customHeight="1" x14ac:dyDescent="0.2"/>
    <row r="1349" ht="12.75" customHeight="1" x14ac:dyDescent="0.2"/>
    <row r="1350" ht="12.75" customHeight="1" x14ac:dyDescent="0.2"/>
    <row r="1351" ht="12.75" customHeight="1" x14ac:dyDescent="0.2"/>
    <row r="1352" ht="12.75" customHeight="1" x14ac:dyDescent="0.2"/>
    <row r="1353" ht="12.75" customHeight="1" x14ac:dyDescent="0.2"/>
    <row r="1354" ht="12.75" customHeight="1" x14ac:dyDescent="0.2"/>
    <row r="1355" ht="12.75" customHeight="1" x14ac:dyDescent="0.2"/>
    <row r="1356" ht="12.75" customHeight="1" x14ac:dyDescent="0.2"/>
    <row r="1357" ht="12.75" customHeight="1" x14ac:dyDescent="0.2"/>
    <row r="1358" ht="12.75" customHeight="1" x14ac:dyDescent="0.2"/>
    <row r="1359" ht="12.75" customHeight="1" x14ac:dyDescent="0.2"/>
    <row r="1360" ht="12.75" customHeight="1" x14ac:dyDescent="0.2"/>
    <row r="1361" ht="12.75" customHeight="1" x14ac:dyDescent="0.2"/>
    <row r="1362" ht="12.75" customHeight="1" x14ac:dyDescent="0.2"/>
    <row r="1363" ht="12.75" customHeight="1" x14ac:dyDescent="0.2"/>
    <row r="1364" ht="12.75" customHeight="1" x14ac:dyDescent="0.2"/>
    <row r="1365" ht="12.75" customHeight="1" x14ac:dyDescent="0.2"/>
    <row r="1366" ht="12.75" customHeight="1" x14ac:dyDescent="0.2"/>
    <row r="1367" ht="12.75" customHeight="1" x14ac:dyDescent="0.2"/>
    <row r="1368" ht="12.75" customHeight="1" x14ac:dyDescent="0.2"/>
    <row r="1369" ht="12.75" customHeight="1" x14ac:dyDescent="0.2"/>
    <row r="1370" ht="12.75" customHeight="1" x14ac:dyDescent="0.2"/>
    <row r="1371" ht="12.75" customHeight="1" x14ac:dyDescent="0.2"/>
    <row r="1372" ht="12.75" customHeight="1" x14ac:dyDescent="0.2"/>
    <row r="1373" ht="12.75" customHeight="1" x14ac:dyDescent="0.2"/>
    <row r="1374" ht="12.75" customHeight="1" x14ac:dyDescent="0.2"/>
    <row r="1375" ht="12.75" customHeight="1" x14ac:dyDescent="0.2"/>
    <row r="1376" ht="12.75" customHeight="1" x14ac:dyDescent="0.2"/>
    <row r="1377" ht="12.75" customHeight="1" x14ac:dyDescent="0.2"/>
    <row r="1378" ht="12.75" customHeight="1" x14ac:dyDescent="0.2"/>
    <row r="1379" ht="12.75" customHeight="1" x14ac:dyDescent="0.2"/>
    <row r="1380" ht="12.75" customHeight="1" x14ac:dyDescent="0.2"/>
    <row r="1381" ht="12.75" customHeight="1" x14ac:dyDescent="0.2"/>
    <row r="1382" ht="12.75" customHeight="1" x14ac:dyDescent="0.2"/>
    <row r="1383" ht="12.75" customHeight="1" x14ac:dyDescent="0.2"/>
    <row r="1384" ht="12.75" customHeight="1" x14ac:dyDescent="0.2"/>
    <row r="1385" ht="12.75" customHeight="1" x14ac:dyDescent="0.2"/>
    <row r="1386" ht="12.75" customHeight="1" x14ac:dyDescent="0.2"/>
    <row r="1387" ht="12.75" customHeight="1" x14ac:dyDescent="0.2"/>
    <row r="1388" ht="12.75" customHeight="1" x14ac:dyDescent="0.2"/>
    <row r="1389" ht="12.75" customHeight="1" x14ac:dyDescent="0.2"/>
    <row r="1390" ht="12.75" customHeight="1" x14ac:dyDescent="0.2"/>
    <row r="1391" ht="12.75" customHeight="1" x14ac:dyDescent="0.2"/>
    <row r="1392" ht="12.75" customHeight="1" x14ac:dyDescent="0.2"/>
    <row r="1393" ht="12.75" customHeight="1" x14ac:dyDescent="0.2"/>
    <row r="1394" ht="12.75" customHeight="1" x14ac:dyDescent="0.2"/>
    <row r="1395" ht="12.75" customHeight="1" x14ac:dyDescent="0.2"/>
    <row r="1396" ht="12.75" customHeight="1" x14ac:dyDescent="0.2"/>
    <row r="1397" ht="12.75" customHeight="1" x14ac:dyDescent="0.2"/>
    <row r="1398" ht="12.75" customHeight="1" x14ac:dyDescent="0.2"/>
    <row r="1399" ht="12.75" customHeight="1" x14ac:dyDescent="0.2"/>
    <row r="1400" ht="12.75" customHeight="1" x14ac:dyDescent="0.2"/>
    <row r="1401" ht="12.75" customHeight="1" x14ac:dyDescent="0.2"/>
    <row r="1402" ht="12.75" customHeight="1" x14ac:dyDescent="0.2"/>
    <row r="1403" ht="12.75" customHeight="1" x14ac:dyDescent="0.2"/>
    <row r="1404" ht="12.75" customHeight="1" x14ac:dyDescent="0.2"/>
    <row r="1405" ht="12.75" customHeight="1" x14ac:dyDescent="0.2"/>
    <row r="1406" ht="12.75" customHeight="1" x14ac:dyDescent="0.2"/>
    <row r="1407" ht="12.75" customHeight="1" x14ac:dyDescent="0.2"/>
    <row r="1408" ht="12.75" customHeight="1" x14ac:dyDescent="0.2"/>
    <row r="1409" ht="12.75" customHeight="1" x14ac:dyDescent="0.2"/>
    <row r="1410" ht="12.75" customHeight="1" x14ac:dyDescent="0.2"/>
    <row r="1411" ht="12.75" customHeight="1" x14ac:dyDescent="0.2"/>
    <row r="1412" ht="12.75" customHeight="1" x14ac:dyDescent="0.2"/>
    <row r="1413" ht="12.75" customHeight="1" x14ac:dyDescent="0.2"/>
    <row r="1414" ht="12.75" customHeight="1" x14ac:dyDescent="0.2"/>
    <row r="1415" ht="12.75" customHeight="1" x14ac:dyDescent="0.2"/>
    <row r="1416" ht="12.75" customHeight="1" x14ac:dyDescent="0.2"/>
    <row r="1417" ht="12.75" customHeight="1" x14ac:dyDescent="0.2"/>
    <row r="1418" ht="12.75" customHeight="1" x14ac:dyDescent="0.2"/>
    <row r="1419" ht="12.75" customHeight="1" x14ac:dyDescent="0.2"/>
    <row r="1420" ht="12.75" customHeight="1" x14ac:dyDescent="0.2"/>
    <row r="1421" ht="12.75" customHeight="1" x14ac:dyDescent="0.2"/>
    <row r="1422" ht="12.75" customHeight="1" x14ac:dyDescent="0.2"/>
    <row r="1423" ht="12.75" customHeight="1" x14ac:dyDescent="0.2"/>
    <row r="1424" ht="12.75" customHeight="1" x14ac:dyDescent="0.2"/>
    <row r="1425" ht="12.75" customHeight="1" x14ac:dyDescent="0.2"/>
    <row r="1426" ht="12.75" customHeight="1" x14ac:dyDescent="0.2"/>
    <row r="1427" ht="12.75" customHeight="1" x14ac:dyDescent="0.2"/>
    <row r="1428" ht="12.75" customHeight="1" x14ac:dyDescent="0.2"/>
    <row r="1429" ht="12.75" customHeight="1" x14ac:dyDescent="0.2"/>
    <row r="1430" ht="12.75" customHeight="1" x14ac:dyDescent="0.2"/>
    <row r="1431" ht="12.75" customHeight="1" x14ac:dyDescent="0.2"/>
    <row r="1432" ht="12.75" customHeight="1" x14ac:dyDescent="0.2"/>
    <row r="1433" ht="12.75" customHeight="1" x14ac:dyDescent="0.2"/>
    <row r="1434" ht="12.75" customHeight="1" x14ac:dyDescent="0.2"/>
    <row r="1435" ht="12.75" customHeight="1" x14ac:dyDescent="0.2"/>
    <row r="1436" ht="12.75" customHeight="1" x14ac:dyDescent="0.2"/>
    <row r="1437" ht="12.75" customHeight="1" x14ac:dyDescent="0.2"/>
    <row r="1438" ht="12.75" customHeight="1" x14ac:dyDescent="0.2"/>
    <row r="1439" ht="12.75" customHeight="1" x14ac:dyDescent="0.2"/>
    <row r="1440" ht="12.75" customHeight="1" x14ac:dyDescent="0.2"/>
    <row r="1441" ht="12.75" customHeight="1" x14ac:dyDescent="0.2"/>
    <row r="1442" ht="12.75" customHeight="1" x14ac:dyDescent="0.2"/>
    <row r="1443" ht="12.75" customHeight="1" x14ac:dyDescent="0.2"/>
    <row r="1444" ht="12.75" customHeight="1" x14ac:dyDescent="0.2"/>
    <row r="1445" ht="12.75" customHeight="1" x14ac:dyDescent="0.2"/>
    <row r="1446" ht="12.75" customHeight="1" x14ac:dyDescent="0.2"/>
    <row r="1447" ht="12.75" customHeight="1" x14ac:dyDescent="0.2"/>
    <row r="1448" ht="12.75" customHeight="1" x14ac:dyDescent="0.2"/>
    <row r="1449" ht="12.75" customHeight="1" x14ac:dyDescent="0.2"/>
    <row r="1450" ht="12.75" customHeight="1" x14ac:dyDescent="0.2"/>
    <row r="1451" ht="12.75" customHeight="1" x14ac:dyDescent="0.2"/>
    <row r="1452" ht="12.75" customHeight="1" x14ac:dyDescent="0.2"/>
    <row r="1453" ht="12.75" customHeight="1" x14ac:dyDescent="0.2"/>
    <row r="1454" ht="12.75" customHeight="1" x14ac:dyDescent="0.2"/>
    <row r="1455" ht="12.75" customHeight="1" x14ac:dyDescent="0.2"/>
    <row r="1456" ht="12.75" customHeight="1" x14ac:dyDescent="0.2"/>
    <row r="1457" ht="12.75" customHeight="1" x14ac:dyDescent="0.2"/>
    <row r="1458" ht="12.75" customHeight="1" x14ac:dyDescent="0.2"/>
    <row r="1459" ht="12.75" customHeight="1" x14ac:dyDescent="0.2"/>
    <row r="1460" ht="12.75" customHeight="1" x14ac:dyDescent="0.2"/>
    <row r="1461" ht="12.75" customHeight="1" x14ac:dyDescent="0.2"/>
    <row r="1462" ht="12.75" customHeight="1" x14ac:dyDescent="0.2"/>
    <row r="1463" ht="12.75" customHeight="1" x14ac:dyDescent="0.2"/>
    <row r="1464" ht="12.75" customHeight="1" x14ac:dyDescent="0.2"/>
    <row r="1465" ht="12.75" customHeight="1" x14ac:dyDescent="0.2"/>
    <row r="1466" ht="12.75" customHeight="1" x14ac:dyDescent="0.2"/>
    <row r="1467" ht="12.75" customHeight="1" x14ac:dyDescent="0.2"/>
    <row r="1468" ht="12.75" customHeight="1" x14ac:dyDescent="0.2"/>
    <row r="1469" ht="12.75" customHeight="1" x14ac:dyDescent="0.2"/>
    <row r="1470" ht="12.75" customHeight="1" x14ac:dyDescent="0.2"/>
    <row r="1471" ht="12.75" customHeight="1" x14ac:dyDescent="0.2"/>
    <row r="1472" ht="12.75" customHeight="1" x14ac:dyDescent="0.2"/>
    <row r="1473" ht="12.75" customHeight="1" x14ac:dyDescent="0.2"/>
    <row r="1474" ht="12.75" customHeight="1" x14ac:dyDescent="0.2"/>
    <row r="1475" ht="12.75" customHeight="1" x14ac:dyDescent="0.2"/>
    <row r="1476" ht="12.75" customHeight="1" x14ac:dyDescent="0.2"/>
    <row r="1477" ht="12.75" customHeight="1" x14ac:dyDescent="0.2"/>
    <row r="1478" ht="12.75" customHeight="1" x14ac:dyDescent="0.2"/>
    <row r="1479" ht="12.75" customHeight="1" x14ac:dyDescent="0.2"/>
    <row r="1480" ht="12.75" customHeight="1" x14ac:dyDescent="0.2"/>
    <row r="1481" ht="12.75" customHeight="1" x14ac:dyDescent="0.2"/>
    <row r="1482" ht="12.75" customHeight="1" x14ac:dyDescent="0.2"/>
    <row r="1483" ht="12.75" customHeight="1" x14ac:dyDescent="0.2"/>
    <row r="1484" ht="12.75" customHeight="1" x14ac:dyDescent="0.2"/>
    <row r="1485" ht="12.75" customHeight="1" x14ac:dyDescent="0.2"/>
    <row r="1486" ht="12.75" customHeight="1" x14ac:dyDescent="0.2"/>
    <row r="1487" ht="12.75" customHeight="1" x14ac:dyDescent="0.2"/>
    <row r="1488" ht="12.75" customHeight="1" x14ac:dyDescent="0.2"/>
    <row r="1489" ht="12.75" customHeight="1" x14ac:dyDescent="0.2"/>
    <row r="1490" ht="12.75" customHeight="1" x14ac:dyDescent="0.2"/>
    <row r="1491" ht="12.75" customHeight="1" x14ac:dyDescent="0.2"/>
    <row r="1492" ht="12.75" customHeight="1" x14ac:dyDescent="0.2"/>
    <row r="1493" ht="12.75" customHeight="1" x14ac:dyDescent="0.2"/>
    <row r="1494" ht="12.75" customHeight="1" x14ac:dyDescent="0.2"/>
    <row r="1495" ht="12.75" customHeight="1" x14ac:dyDescent="0.2"/>
    <row r="1496" ht="12.75" customHeight="1" x14ac:dyDescent="0.2"/>
    <row r="1497" ht="12.75" customHeight="1" x14ac:dyDescent="0.2"/>
    <row r="1498" ht="12.75" customHeight="1" x14ac:dyDescent="0.2"/>
    <row r="1499" ht="12.75" customHeight="1" x14ac:dyDescent="0.2"/>
    <row r="1500" ht="12.75" customHeight="1" x14ac:dyDescent="0.2"/>
    <row r="1501" ht="12.75" customHeight="1" x14ac:dyDescent="0.2"/>
    <row r="1502" ht="12.75" customHeight="1" x14ac:dyDescent="0.2"/>
    <row r="1503" ht="12.75" customHeight="1" x14ac:dyDescent="0.2"/>
    <row r="1504" ht="12.75" customHeight="1" x14ac:dyDescent="0.2"/>
    <row r="1505" ht="12.75" customHeight="1" x14ac:dyDescent="0.2"/>
    <row r="1506" ht="12.75" customHeight="1" x14ac:dyDescent="0.2"/>
    <row r="1507" ht="12.75" customHeight="1" x14ac:dyDescent="0.2"/>
    <row r="1508" ht="12.75" customHeight="1" x14ac:dyDescent="0.2"/>
    <row r="1509" ht="12.75" customHeight="1" x14ac:dyDescent="0.2"/>
    <row r="1510" ht="12.75" customHeight="1" x14ac:dyDescent="0.2"/>
    <row r="1511" ht="12.75" customHeight="1" x14ac:dyDescent="0.2"/>
    <row r="1512" ht="12.75" customHeight="1" x14ac:dyDescent="0.2"/>
    <row r="1513" ht="12.75" customHeight="1" x14ac:dyDescent="0.2"/>
    <row r="1514" ht="12.75" customHeight="1" x14ac:dyDescent="0.2"/>
    <row r="1515" ht="12.75" customHeight="1" x14ac:dyDescent="0.2"/>
    <row r="1516" ht="12.75" customHeight="1" x14ac:dyDescent="0.2"/>
    <row r="1517" ht="12.75" customHeight="1" x14ac:dyDescent="0.2"/>
    <row r="1518" ht="12.75" customHeight="1" x14ac:dyDescent="0.2"/>
    <row r="1519" ht="12.75" customHeight="1" x14ac:dyDescent="0.2"/>
    <row r="1520" ht="12.75" customHeight="1" x14ac:dyDescent="0.2"/>
    <row r="1521" ht="12.75" customHeight="1" x14ac:dyDescent="0.2"/>
    <row r="1522" ht="12.75" customHeight="1" x14ac:dyDescent="0.2"/>
    <row r="1523" ht="12.75" customHeight="1" x14ac:dyDescent="0.2"/>
    <row r="1524" ht="12.75" customHeight="1" x14ac:dyDescent="0.2"/>
    <row r="1525" ht="12.75" customHeight="1" x14ac:dyDescent="0.2"/>
    <row r="1526" ht="12.75" customHeight="1" x14ac:dyDescent="0.2"/>
    <row r="1527" ht="12.75" customHeight="1" x14ac:dyDescent="0.2"/>
    <row r="1528" ht="12.75" customHeight="1" x14ac:dyDescent="0.2"/>
    <row r="1529" ht="12.75" customHeight="1" x14ac:dyDescent="0.2"/>
    <row r="1530" ht="12.75" customHeight="1" x14ac:dyDescent="0.2"/>
    <row r="1531" ht="12.75" customHeight="1" x14ac:dyDescent="0.2"/>
    <row r="1532" ht="12.75" customHeight="1" x14ac:dyDescent="0.2"/>
    <row r="1533" ht="12.75" customHeight="1" x14ac:dyDescent="0.2"/>
    <row r="1534" ht="12.75" customHeight="1" x14ac:dyDescent="0.2"/>
    <row r="1535" ht="12.75" customHeight="1" x14ac:dyDescent="0.2"/>
    <row r="1536" ht="12.75" customHeight="1" x14ac:dyDescent="0.2"/>
    <row r="1537" ht="12.75" customHeight="1" x14ac:dyDescent="0.2"/>
    <row r="1538" ht="12.75" customHeight="1" x14ac:dyDescent="0.2"/>
    <row r="1539" ht="12.75" customHeight="1" x14ac:dyDescent="0.2"/>
    <row r="1540" ht="12.75" customHeight="1" x14ac:dyDescent="0.2"/>
    <row r="1541" ht="12.75" customHeight="1" x14ac:dyDescent="0.2"/>
    <row r="1542" ht="12.75" customHeight="1" x14ac:dyDescent="0.2"/>
    <row r="1543" ht="12.75" customHeight="1" x14ac:dyDescent="0.2"/>
    <row r="1544" ht="12.75" customHeight="1" x14ac:dyDescent="0.2"/>
    <row r="1545" ht="12.75" customHeight="1" x14ac:dyDescent="0.2"/>
    <row r="1546" ht="12.75" customHeight="1" x14ac:dyDescent="0.2"/>
    <row r="1547" ht="12.75" customHeight="1" x14ac:dyDescent="0.2"/>
    <row r="1548" ht="12.75" customHeight="1" x14ac:dyDescent="0.2"/>
    <row r="1549" ht="12.75" customHeight="1" x14ac:dyDescent="0.2"/>
    <row r="1550" ht="12.75" customHeight="1" x14ac:dyDescent="0.2"/>
    <row r="1551" ht="12.75" customHeight="1" x14ac:dyDescent="0.2"/>
    <row r="1552" ht="12.75" customHeight="1" x14ac:dyDescent="0.2"/>
    <row r="1553" ht="12.75" customHeight="1" x14ac:dyDescent="0.2"/>
    <row r="1554" ht="12.75" customHeight="1" x14ac:dyDescent="0.2"/>
    <row r="1555" ht="12.75" customHeight="1" x14ac:dyDescent="0.2"/>
    <row r="1556" ht="12.75" customHeight="1" x14ac:dyDescent="0.2"/>
    <row r="1557" ht="12.75" customHeight="1" x14ac:dyDescent="0.2"/>
    <row r="1558" ht="12.75" customHeight="1" x14ac:dyDescent="0.2"/>
    <row r="1559" ht="12.75" customHeight="1" x14ac:dyDescent="0.2"/>
    <row r="1560" ht="12.75" customHeight="1" x14ac:dyDescent="0.2"/>
    <row r="1561" ht="12.75" customHeight="1" x14ac:dyDescent="0.2"/>
    <row r="1562" ht="12.75" customHeight="1" x14ac:dyDescent="0.2"/>
    <row r="1563" ht="12.75" customHeight="1" x14ac:dyDescent="0.2"/>
    <row r="1564" ht="12.75" customHeight="1" x14ac:dyDescent="0.2"/>
    <row r="1565" ht="12.75" customHeight="1" x14ac:dyDescent="0.2"/>
    <row r="1566" ht="12.75" customHeight="1" x14ac:dyDescent="0.2"/>
    <row r="1567" ht="12.75" customHeight="1" x14ac:dyDescent="0.2"/>
    <row r="1568" ht="12.75" customHeight="1" x14ac:dyDescent="0.2"/>
    <row r="1569" ht="12.75" customHeight="1" x14ac:dyDescent="0.2"/>
    <row r="1570" ht="12.75" customHeight="1" x14ac:dyDescent="0.2"/>
    <row r="1571" ht="12.75" customHeight="1" x14ac:dyDescent="0.2"/>
    <row r="1572" ht="12.75" customHeight="1" x14ac:dyDescent="0.2"/>
    <row r="1573" ht="12.75" customHeight="1" x14ac:dyDescent="0.2"/>
    <row r="1574" ht="12.75" customHeight="1" x14ac:dyDescent="0.2"/>
    <row r="1575" ht="12.75" customHeight="1" x14ac:dyDescent="0.2"/>
    <row r="1576" ht="12.75" customHeight="1" x14ac:dyDescent="0.2"/>
    <row r="1577" ht="12.75" customHeight="1" x14ac:dyDescent="0.2"/>
    <row r="1578" ht="12.75" customHeight="1" x14ac:dyDescent="0.2"/>
    <row r="1579" ht="12.75" customHeight="1" x14ac:dyDescent="0.2"/>
    <row r="1580" ht="12.75" customHeight="1" x14ac:dyDescent="0.2"/>
    <row r="1581" ht="12.75" customHeight="1" x14ac:dyDescent="0.2"/>
    <row r="1582" ht="12.75" customHeight="1" x14ac:dyDescent="0.2"/>
    <row r="1583" ht="12.75" customHeight="1" x14ac:dyDescent="0.2"/>
    <row r="1584" ht="12.75" customHeight="1" x14ac:dyDescent="0.2"/>
    <row r="1585" ht="12.75" customHeight="1" x14ac:dyDescent="0.2"/>
    <row r="1586" ht="12.75" customHeight="1" x14ac:dyDescent="0.2"/>
    <row r="1587" ht="12.75" customHeight="1" x14ac:dyDescent="0.2"/>
    <row r="1588" ht="12.75" customHeight="1" x14ac:dyDescent="0.2"/>
    <row r="1589" ht="12.75" customHeight="1" x14ac:dyDescent="0.2"/>
    <row r="1590" ht="12.75" customHeight="1" x14ac:dyDescent="0.2"/>
    <row r="1591" ht="12.75" customHeight="1" x14ac:dyDescent="0.2"/>
    <row r="1592" ht="12.75" customHeight="1" x14ac:dyDescent="0.2"/>
    <row r="1593" ht="12.75" customHeight="1" x14ac:dyDescent="0.2"/>
    <row r="1594" ht="12.75" customHeight="1" x14ac:dyDescent="0.2"/>
    <row r="1595" ht="12.75" customHeight="1" x14ac:dyDescent="0.2"/>
    <row r="1596" ht="12.75" customHeight="1" x14ac:dyDescent="0.2"/>
    <row r="1597" ht="12.75" customHeight="1" x14ac:dyDescent="0.2"/>
    <row r="1598" ht="12.75" customHeight="1" x14ac:dyDescent="0.2"/>
    <row r="1599" ht="12.75" customHeight="1" x14ac:dyDescent="0.2"/>
    <row r="1600" ht="12.75" customHeight="1" x14ac:dyDescent="0.2"/>
    <row r="1601" ht="12.75" customHeight="1" x14ac:dyDescent="0.2"/>
    <row r="1602" ht="12.75" customHeight="1" x14ac:dyDescent="0.2"/>
    <row r="1603" ht="12.75" customHeight="1" x14ac:dyDescent="0.2"/>
    <row r="1604" ht="12.75" customHeight="1" x14ac:dyDescent="0.2"/>
    <row r="1605" ht="12.75" customHeight="1" x14ac:dyDescent="0.2"/>
    <row r="1606" ht="12.75" customHeight="1" x14ac:dyDescent="0.2"/>
    <row r="1607" ht="12.75" customHeight="1" x14ac:dyDescent="0.2"/>
    <row r="1608" ht="12.75" customHeight="1" x14ac:dyDescent="0.2"/>
    <row r="1609" ht="12.75" customHeight="1" x14ac:dyDescent="0.2"/>
    <row r="1610" ht="12.75" customHeight="1" x14ac:dyDescent="0.2"/>
    <row r="1611" ht="12.75" customHeight="1" x14ac:dyDescent="0.2"/>
    <row r="1612" ht="12.75" customHeight="1" x14ac:dyDescent="0.2"/>
    <row r="1613" ht="12.75" customHeight="1" x14ac:dyDescent="0.2"/>
    <row r="1614" ht="12.75" customHeight="1" x14ac:dyDescent="0.2"/>
    <row r="1615" ht="12.75" customHeight="1" x14ac:dyDescent="0.2"/>
    <row r="1616" ht="12.75" customHeight="1" x14ac:dyDescent="0.2"/>
    <row r="1617" ht="12.75" customHeight="1" x14ac:dyDescent="0.2"/>
    <row r="1618" ht="12.75" customHeight="1" x14ac:dyDescent="0.2"/>
    <row r="1619" ht="12.75" customHeight="1" x14ac:dyDescent="0.2"/>
    <row r="1620" ht="12.75" customHeight="1" x14ac:dyDescent="0.2"/>
    <row r="1621" ht="12.75" customHeight="1" x14ac:dyDescent="0.2"/>
    <row r="1622" ht="12.75" customHeight="1" x14ac:dyDescent="0.2"/>
    <row r="1623" ht="12.75" customHeight="1" x14ac:dyDescent="0.2"/>
    <row r="1624" ht="12.75" customHeight="1" x14ac:dyDescent="0.2"/>
    <row r="1625" ht="12.75" customHeight="1" x14ac:dyDescent="0.2"/>
    <row r="1626" ht="12.75" customHeight="1" x14ac:dyDescent="0.2"/>
    <row r="1627" ht="12.75" customHeight="1" x14ac:dyDescent="0.2"/>
    <row r="1628" ht="12.75" customHeight="1" x14ac:dyDescent="0.2"/>
    <row r="1629" ht="12.75" customHeight="1" x14ac:dyDescent="0.2"/>
    <row r="1630" ht="12.75" customHeight="1" x14ac:dyDescent="0.2"/>
    <row r="1631" ht="12.75" customHeight="1" x14ac:dyDescent="0.2"/>
    <row r="1632" ht="12.75" customHeight="1" x14ac:dyDescent="0.2"/>
    <row r="1633" ht="12.75" customHeight="1" x14ac:dyDescent="0.2"/>
    <row r="1634" ht="12.75" customHeight="1" x14ac:dyDescent="0.2"/>
    <row r="1635" ht="12.75" customHeight="1" x14ac:dyDescent="0.2"/>
    <row r="1636" ht="12.75" customHeight="1" x14ac:dyDescent="0.2"/>
    <row r="1637" ht="12.75" customHeight="1" x14ac:dyDescent="0.2"/>
    <row r="1638" ht="12.75" customHeight="1" x14ac:dyDescent="0.2"/>
    <row r="1639" ht="12.75" customHeight="1" x14ac:dyDescent="0.2"/>
    <row r="1640" ht="12.75" customHeight="1" x14ac:dyDescent="0.2"/>
    <row r="1641" ht="12.75" customHeight="1" x14ac:dyDescent="0.2"/>
    <row r="1642" ht="12.75" customHeight="1" x14ac:dyDescent="0.2"/>
    <row r="1643" ht="12.75" customHeight="1" x14ac:dyDescent="0.2"/>
    <row r="1644" ht="12.75" customHeight="1" x14ac:dyDescent="0.2"/>
    <row r="1645" ht="12.75" customHeight="1" x14ac:dyDescent="0.2"/>
    <row r="1646" ht="12.75" customHeight="1" x14ac:dyDescent="0.2"/>
    <row r="1647" ht="12.75" customHeight="1" x14ac:dyDescent="0.2"/>
    <row r="1648" ht="12.75" customHeight="1" x14ac:dyDescent="0.2"/>
    <row r="1649" ht="12.75" customHeight="1" x14ac:dyDescent="0.2"/>
    <row r="1650" ht="12.75" customHeight="1" x14ac:dyDescent="0.2"/>
    <row r="1651" ht="12.75" customHeight="1" x14ac:dyDescent="0.2"/>
    <row r="1652" ht="12.75" customHeight="1" x14ac:dyDescent="0.2"/>
    <row r="1653" ht="12.75" customHeight="1" x14ac:dyDescent="0.2"/>
    <row r="1654" ht="12.75" customHeight="1" x14ac:dyDescent="0.2"/>
    <row r="1655" ht="12.75" customHeight="1" x14ac:dyDescent="0.2"/>
    <row r="1656" ht="12.75" customHeight="1" x14ac:dyDescent="0.2"/>
    <row r="1657" ht="12.75" customHeight="1" x14ac:dyDescent="0.2"/>
    <row r="1658" ht="12.75" customHeight="1" x14ac:dyDescent="0.2"/>
    <row r="1659" ht="12.75" customHeight="1" x14ac:dyDescent="0.2"/>
    <row r="1660" ht="12.75" customHeight="1" x14ac:dyDescent="0.2"/>
    <row r="1661" ht="12.75" customHeight="1" x14ac:dyDescent="0.2"/>
    <row r="1662" ht="12.75" customHeight="1" x14ac:dyDescent="0.2"/>
    <row r="1663" ht="12.75" customHeight="1" x14ac:dyDescent="0.2"/>
    <row r="1664" ht="12.75" customHeight="1" x14ac:dyDescent="0.2"/>
    <row r="1665" ht="12.75" customHeight="1" x14ac:dyDescent="0.2"/>
    <row r="1666" ht="12.75" customHeight="1" x14ac:dyDescent="0.2"/>
    <row r="1667" ht="12.75" customHeight="1" x14ac:dyDescent="0.2"/>
    <row r="1668" ht="12.75" customHeight="1" x14ac:dyDescent="0.2"/>
    <row r="1669" ht="12.75" customHeight="1" x14ac:dyDescent="0.2"/>
    <row r="1670" ht="12.75" customHeight="1" x14ac:dyDescent="0.2"/>
    <row r="1671" ht="12.75" customHeight="1" x14ac:dyDescent="0.2"/>
    <row r="1672" ht="12.75" customHeight="1" x14ac:dyDescent="0.2"/>
    <row r="1673" ht="12.75" customHeight="1" x14ac:dyDescent="0.2"/>
    <row r="1674" ht="12.75" customHeight="1" x14ac:dyDescent="0.2"/>
    <row r="1675" ht="12.75" customHeight="1" x14ac:dyDescent="0.2"/>
    <row r="1676" ht="12.75" customHeight="1" x14ac:dyDescent="0.2"/>
    <row r="1677" ht="12.75" customHeight="1" x14ac:dyDescent="0.2"/>
    <row r="1678" ht="12.75" customHeight="1" x14ac:dyDescent="0.2"/>
    <row r="1679" ht="12.75" customHeight="1" x14ac:dyDescent="0.2"/>
    <row r="1680" ht="12.75" customHeight="1" x14ac:dyDescent="0.2"/>
    <row r="1681" ht="12.75" customHeight="1" x14ac:dyDescent="0.2"/>
    <row r="1682" ht="12.75" customHeight="1" x14ac:dyDescent="0.2"/>
    <row r="1683" ht="12.75" customHeight="1" x14ac:dyDescent="0.2"/>
    <row r="1684" ht="12.75" customHeight="1" x14ac:dyDescent="0.2"/>
    <row r="1685" ht="12.75" customHeight="1" x14ac:dyDescent="0.2"/>
    <row r="1686" ht="12.75" customHeight="1" x14ac:dyDescent="0.2"/>
    <row r="1687" ht="12.75" customHeight="1" x14ac:dyDescent="0.2"/>
    <row r="1688" ht="12.75" customHeight="1" x14ac:dyDescent="0.2"/>
    <row r="1689" ht="12.75" customHeight="1" x14ac:dyDescent="0.2"/>
    <row r="1690" ht="12.75" customHeight="1" x14ac:dyDescent="0.2"/>
    <row r="1691" ht="12.75" customHeight="1" x14ac:dyDescent="0.2"/>
    <row r="1692" ht="12.75" customHeight="1" x14ac:dyDescent="0.2"/>
    <row r="1693" ht="12.75" customHeight="1" x14ac:dyDescent="0.2"/>
    <row r="1694" ht="12.75" customHeight="1" x14ac:dyDescent="0.2"/>
    <row r="1695" ht="12.75" customHeight="1" x14ac:dyDescent="0.2"/>
    <row r="1696" ht="12.75" customHeight="1" x14ac:dyDescent="0.2"/>
    <row r="1697" ht="12.75" customHeight="1" x14ac:dyDescent="0.2"/>
    <row r="1698" ht="12.75" customHeight="1" x14ac:dyDescent="0.2"/>
    <row r="1699" ht="12.75" customHeight="1" x14ac:dyDescent="0.2"/>
    <row r="1700" ht="12.75" customHeight="1" x14ac:dyDescent="0.2"/>
    <row r="1701" ht="12.75" customHeight="1" x14ac:dyDescent="0.2"/>
    <row r="1702" ht="12.75" customHeight="1" x14ac:dyDescent="0.2"/>
    <row r="1703" ht="12.75" customHeight="1" x14ac:dyDescent="0.2"/>
    <row r="1704" ht="12.75" customHeight="1" x14ac:dyDescent="0.2"/>
    <row r="1705" ht="12.75" customHeight="1" x14ac:dyDescent="0.2"/>
    <row r="1706" ht="12.75" customHeight="1" x14ac:dyDescent="0.2"/>
    <row r="1707" ht="12.75" customHeight="1" x14ac:dyDescent="0.2"/>
    <row r="1708" ht="12.75" customHeight="1" x14ac:dyDescent="0.2"/>
    <row r="1709" ht="12.75" customHeight="1" x14ac:dyDescent="0.2"/>
    <row r="1710" ht="12.75" customHeight="1" x14ac:dyDescent="0.2"/>
    <row r="1711" ht="12.75" customHeight="1" x14ac:dyDescent="0.2"/>
    <row r="1712" ht="12.75" customHeight="1" x14ac:dyDescent="0.2"/>
    <row r="1713" ht="12.75" customHeight="1" x14ac:dyDescent="0.2"/>
    <row r="1714" ht="12.75" customHeight="1" x14ac:dyDescent="0.2"/>
    <row r="1715" ht="12.75" customHeight="1" x14ac:dyDescent="0.2"/>
    <row r="1716" ht="12.75" customHeight="1" x14ac:dyDescent="0.2"/>
    <row r="1717" ht="12.75" customHeight="1" x14ac:dyDescent="0.2"/>
    <row r="1718" ht="12.75" customHeight="1" x14ac:dyDescent="0.2"/>
    <row r="1719" ht="12.75" customHeight="1" x14ac:dyDescent="0.2"/>
    <row r="1720" ht="12.75" customHeight="1" x14ac:dyDescent="0.2"/>
    <row r="1721" ht="12.75" customHeight="1" x14ac:dyDescent="0.2"/>
    <row r="1722" ht="12.75" customHeight="1" x14ac:dyDescent="0.2"/>
    <row r="1723" ht="12.75" customHeight="1" x14ac:dyDescent="0.2"/>
    <row r="1724" ht="12.75" customHeight="1" x14ac:dyDescent="0.2"/>
    <row r="1725" ht="12.75" customHeight="1" x14ac:dyDescent="0.2"/>
    <row r="1726" ht="12.75" customHeight="1" x14ac:dyDescent="0.2"/>
    <row r="1727" ht="12.75" customHeight="1" x14ac:dyDescent="0.2"/>
    <row r="1728" ht="12.75" customHeight="1" x14ac:dyDescent="0.2"/>
    <row r="1729" ht="12.75" customHeight="1" x14ac:dyDescent="0.2"/>
    <row r="1730" ht="12.75" customHeight="1" x14ac:dyDescent="0.2"/>
    <row r="1731" ht="12.75" customHeight="1" x14ac:dyDescent="0.2"/>
    <row r="1732" ht="12.75" customHeight="1" x14ac:dyDescent="0.2"/>
    <row r="1733" ht="12.75" customHeight="1" x14ac:dyDescent="0.2"/>
    <row r="1734" ht="12.75" customHeight="1" x14ac:dyDescent="0.2"/>
    <row r="1735" ht="12.75" customHeight="1" x14ac:dyDescent="0.2"/>
    <row r="1736" ht="12.75" customHeight="1" x14ac:dyDescent="0.2"/>
    <row r="1737" ht="12.75" customHeight="1" x14ac:dyDescent="0.2"/>
    <row r="1738" ht="12.75" customHeight="1" x14ac:dyDescent="0.2"/>
    <row r="1739" ht="12.75" customHeight="1" x14ac:dyDescent="0.2"/>
    <row r="1740" ht="12.75" customHeight="1" x14ac:dyDescent="0.2"/>
    <row r="1741" ht="12.75" customHeight="1" x14ac:dyDescent="0.2"/>
    <row r="1742" ht="12.75" customHeight="1" x14ac:dyDescent="0.2"/>
    <row r="1743" ht="12.75" customHeight="1" x14ac:dyDescent="0.2"/>
    <row r="1744" ht="12.75" customHeight="1" x14ac:dyDescent="0.2"/>
    <row r="1745" ht="12.75" customHeight="1" x14ac:dyDescent="0.2"/>
    <row r="1746" ht="12.75" customHeight="1" x14ac:dyDescent="0.2"/>
    <row r="1747" ht="12.75" customHeight="1" x14ac:dyDescent="0.2"/>
    <row r="1748" ht="12.75" customHeight="1" x14ac:dyDescent="0.2"/>
    <row r="1749" ht="12.75" customHeight="1" x14ac:dyDescent="0.2"/>
    <row r="1750" ht="12.75" customHeight="1" x14ac:dyDescent="0.2"/>
    <row r="1751" ht="12.75" customHeight="1" x14ac:dyDescent="0.2"/>
    <row r="1752" ht="12.75" customHeight="1" x14ac:dyDescent="0.2"/>
    <row r="1753" ht="12.75" customHeight="1" x14ac:dyDescent="0.2"/>
    <row r="1754" ht="12.75" customHeight="1" x14ac:dyDescent="0.2"/>
    <row r="1755" ht="12.75" customHeight="1" x14ac:dyDescent="0.2"/>
    <row r="1756" ht="12.75" customHeight="1" x14ac:dyDescent="0.2"/>
    <row r="1757" ht="12.75" customHeight="1" x14ac:dyDescent="0.2"/>
    <row r="1758" ht="12.75" customHeight="1" x14ac:dyDescent="0.2"/>
    <row r="1759" ht="12.75" customHeight="1" x14ac:dyDescent="0.2"/>
    <row r="1760" ht="12.75" customHeight="1" x14ac:dyDescent="0.2"/>
    <row r="1761" ht="12.75" customHeight="1" x14ac:dyDescent="0.2"/>
    <row r="1762" ht="12.75" customHeight="1" x14ac:dyDescent="0.2"/>
    <row r="1763" ht="12.75" customHeight="1" x14ac:dyDescent="0.2"/>
    <row r="1764" ht="12.75" customHeight="1" x14ac:dyDescent="0.2"/>
    <row r="1765" ht="12.75" customHeight="1" x14ac:dyDescent="0.2"/>
    <row r="1766" ht="12.75" customHeight="1" x14ac:dyDescent="0.2"/>
    <row r="1767" ht="12.75" customHeight="1" x14ac:dyDescent="0.2"/>
    <row r="1768" ht="12.75" customHeight="1" x14ac:dyDescent="0.2"/>
    <row r="1769" ht="12.75" customHeight="1" x14ac:dyDescent="0.2"/>
    <row r="1770" ht="12.75" customHeight="1" x14ac:dyDescent="0.2"/>
    <row r="1771" ht="12.75" customHeight="1" x14ac:dyDescent="0.2"/>
    <row r="1772" ht="12.75" customHeight="1" x14ac:dyDescent="0.2"/>
    <row r="1773" ht="12.75" customHeight="1" x14ac:dyDescent="0.2"/>
    <row r="1774" ht="12.75" customHeight="1" x14ac:dyDescent="0.2"/>
    <row r="1775" ht="12.75" customHeight="1" x14ac:dyDescent="0.2"/>
    <row r="1776" ht="12.75" customHeight="1" x14ac:dyDescent="0.2"/>
    <row r="1777" ht="12.75" customHeight="1" x14ac:dyDescent="0.2"/>
    <row r="1778" ht="12.75" customHeight="1" x14ac:dyDescent="0.2"/>
    <row r="1779" ht="12.75" customHeight="1" x14ac:dyDescent="0.2"/>
    <row r="1780" ht="12.75" customHeight="1" x14ac:dyDescent="0.2"/>
    <row r="1781" ht="12.75" customHeight="1" x14ac:dyDescent="0.2"/>
    <row r="1782" ht="12.75" customHeight="1" x14ac:dyDescent="0.2"/>
    <row r="1783" ht="12.75" customHeight="1" x14ac:dyDescent="0.2"/>
    <row r="1784" ht="12.75" customHeight="1" x14ac:dyDescent="0.2"/>
    <row r="1785" ht="12.75" customHeight="1" x14ac:dyDescent="0.2"/>
    <row r="1786" ht="12.75" customHeight="1" x14ac:dyDescent="0.2"/>
    <row r="1787" ht="12.75" customHeight="1" x14ac:dyDescent="0.2"/>
    <row r="1788" ht="12.75" customHeight="1" x14ac:dyDescent="0.2"/>
    <row r="1789" ht="12.75" customHeight="1" x14ac:dyDescent="0.2"/>
    <row r="1790" ht="12.75" customHeight="1" x14ac:dyDescent="0.2"/>
    <row r="1791" ht="12.75" customHeight="1" x14ac:dyDescent="0.2"/>
    <row r="1792" ht="12.75" customHeight="1" x14ac:dyDescent="0.2"/>
    <row r="1793" ht="12.75" customHeight="1" x14ac:dyDescent="0.2"/>
    <row r="1794" ht="12.75" customHeight="1" x14ac:dyDescent="0.2"/>
    <row r="1795" ht="12.75" customHeight="1" x14ac:dyDescent="0.2"/>
    <row r="1796" ht="12.75" customHeight="1" x14ac:dyDescent="0.2"/>
    <row r="1797" ht="12.75" customHeight="1" x14ac:dyDescent="0.2"/>
    <row r="1798" ht="12.75" customHeight="1" x14ac:dyDescent="0.2"/>
    <row r="1799" ht="12.75" customHeight="1" x14ac:dyDescent="0.2"/>
    <row r="1800" ht="12.75" customHeight="1" x14ac:dyDescent="0.2"/>
    <row r="1801" ht="12.75" customHeight="1" x14ac:dyDescent="0.2"/>
    <row r="1802" ht="12.75" customHeight="1" x14ac:dyDescent="0.2"/>
    <row r="1803" ht="12.75" customHeight="1" x14ac:dyDescent="0.2"/>
    <row r="1804" ht="12.75" customHeight="1" x14ac:dyDescent="0.2"/>
    <row r="1805" ht="12.75" customHeight="1" x14ac:dyDescent="0.2"/>
    <row r="1806" ht="12.75" customHeight="1" x14ac:dyDescent="0.2"/>
    <row r="1807" ht="12.75" customHeight="1" x14ac:dyDescent="0.2"/>
    <row r="1808" ht="12.75" customHeight="1" x14ac:dyDescent="0.2"/>
    <row r="1809" ht="12.75" customHeight="1" x14ac:dyDescent="0.2"/>
    <row r="1810" ht="12.75" customHeight="1" x14ac:dyDescent="0.2"/>
    <row r="1811" ht="12.75" customHeight="1" x14ac:dyDescent="0.2"/>
    <row r="1812" ht="12.75" customHeight="1" x14ac:dyDescent="0.2"/>
    <row r="1813" ht="12.75" customHeight="1" x14ac:dyDescent="0.2"/>
    <row r="1814" ht="12.75" customHeight="1" x14ac:dyDescent="0.2"/>
    <row r="1815" ht="12.75" customHeight="1" x14ac:dyDescent="0.2"/>
    <row r="1816" ht="12.75" customHeight="1" x14ac:dyDescent="0.2"/>
    <row r="1817" ht="12.75" customHeight="1" x14ac:dyDescent="0.2"/>
    <row r="1818" ht="12.75" customHeight="1" x14ac:dyDescent="0.2"/>
    <row r="1819" ht="12.75" customHeight="1" x14ac:dyDescent="0.2"/>
    <row r="1820" ht="12.75" customHeight="1" x14ac:dyDescent="0.2"/>
    <row r="1821" ht="12.75" customHeight="1" x14ac:dyDescent="0.2"/>
    <row r="1822" ht="12.75" customHeight="1" x14ac:dyDescent="0.2"/>
    <row r="1823" ht="12.75" customHeight="1" x14ac:dyDescent="0.2"/>
    <row r="1824" ht="12.75" customHeight="1" x14ac:dyDescent="0.2"/>
    <row r="1825" ht="12.75" customHeight="1" x14ac:dyDescent="0.2"/>
    <row r="1826" ht="12.75" customHeight="1" x14ac:dyDescent="0.2"/>
    <row r="1827" ht="12.75" customHeight="1" x14ac:dyDescent="0.2"/>
    <row r="1828" ht="12.75" customHeight="1" x14ac:dyDescent="0.2"/>
    <row r="1829" ht="12.75" customHeight="1" x14ac:dyDescent="0.2"/>
    <row r="1830" ht="12.75" customHeight="1" x14ac:dyDescent="0.2"/>
    <row r="1831" ht="12.75" customHeight="1" x14ac:dyDescent="0.2"/>
    <row r="1832" ht="12.75" customHeight="1" x14ac:dyDescent="0.2"/>
    <row r="1833" ht="12.75" customHeight="1" x14ac:dyDescent="0.2"/>
    <row r="1834" ht="12.75" customHeight="1" x14ac:dyDescent="0.2"/>
    <row r="1835" ht="12.75" customHeight="1" x14ac:dyDescent="0.2"/>
    <row r="1836" ht="12.75" customHeight="1" x14ac:dyDescent="0.2"/>
    <row r="1837" ht="12.75" customHeight="1" x14ac:dyDescent="0.2"/>
    <row r="1838" ht="12.75" customHeight="1" x14ac:dyDescent="0.2"/>
    <row r="1839" ht="12.75" customHeight="1" x14ac:dyDescent="0.2"/>
    <row r="1840" ht="12.75" customHeight="1" x14ac:dyDescent="0.2"/>
    <row r="1841" ht="12.75" customHeight="1" x14ac:dyDescent="0.2"/>
    <row r="1842" ht="12.75" customHeight="1" x14ac:dyDescent="0.2"/>
    <row r="1843" ht="12.75" customHeight="1" x14ac:dyDescent="0.2"/>
    <row r="1844" ht="12.75" customHeight="1" x14ac:dyDescent="0.2"/>
    <row r="1845" ht="12.75" customHeight="1" x14ac:dyDescent="0.2"/>
    <row r="1846" ht="12.75" customHeight="1" x14ac:dyDescent="0.2"/>
    <row r="1847" ht="12.75" customHeight="1" x14ac:dyDescent="0.2"/>
    <row r="1848" ht="12.75" customHeight="1" x14ac:dyDescent="0.2"/>
    <row r="1849" ht="12.75" customHeight="1" x14ac:dyDescent="0.2"/>
    <row r="1850" ht="12.75" customHeight="1" x14ac:dyDescent="0.2"/>
    <row r="1851" ht="12.75" customHeight="1" x14ac:dyDescent="0.2"/>
    <row r="1852" ht="12.75" customHeight="1" x14ac:dyDescent="0.2"/>
    <row r="1853" ht="12.75" customHeight="1" x14ac:dyDescent="0.2"/>
    <row r="1854" ht="12.75" customHeight="1" x14ac:dyDescent="0.2"/>
    <row r="1855" ht="12.75" customHeight="1" x14ac:dyDescent="0.2"/>
    <row r="1856" ht="12.75" customHeight="1" x14ac:dyDescent="0.2"/>
    <row r="1857" ht="12.75" customHeight="1" x14ac:dyDescent="0.2"/>
    <row r="1858" ht="12.75" customHeight="1" x14ac:dyDescent="0.2"/>
    <row r="1859" ht="12.75" customHeight="1" x14ac:dyDescent="0.2"/>
    <row r="1860" ht="12.75" customHeight="1" x14ac:dyDescent="0.2"/>
    <row r="1861" ht="12.75" customHeight="1" x14ac:dyDescent="0.2"/>
    <row r="1862" ht="12.75" customHeight="1" x14ac:dyDescent="0.2"/>
    <row r="1863" ht="12.75" customHeight="1" x14ac:dyDescent="0.2"/>
    <row r="1864" ht="12.75" customHeight="1" x14ac:dyDescent="0.2"/>
    <row r="1865" ht="12.75" customHeight="1" x14ac:dyDescent="0.2"/>
    <row r="1866" ht="12.75" customHeight="1" x14ac:dyDescent="0.2"/>
    <row r="1867" ht="12.75" customHeight="1" x14ac:dyDescent="0.2"/>
    <row r="1868" ht="12.75" customHeight="1" x14ac:dyDescent="0.2"/>
    <row r="1869" ht="12.75" customHeight="1" x14ac:dyDescent="0.2"/>
    <row r="1870" ht="12.75" customHeight="1" x14ac:dyDescent="0.2"/>
    <row r="1871" ht="12.75" customHeight="1" x14ac:dyDescent="0.2"/>
    <row r="1872" ht="12.75" customHeight="1" x14ac:dyDescent="0.2"/>
    <row r="1873" ht="12.75" customHeight="1" x14ac:dyDescent="0.2"/>
    <row r="1874" ht="12.75" customHeight="1" x14ac:dyDescent="0.2"/>
    <row r="1875" ht="12.75" customHeight="1" x14ac:dyDescent="0.2"/>
    <row r="1876" ht="12.75" customHeight="1" x14ac:dyDescent="0.2"/>
    <row r="1877" ht="12.75" customHeight="1" x14ac:dyDescent="0.2"/>
    <row r="1878" ht="12.75" customHeight="1" x14ac:dyDescent="0.2"/>
    <row r="1879" ht="12.75" customHeight="1" x14ac:dyDescent="0.2"/>
    <row r="1880" ht="12.75" customHeight="1" x14ac:dyDescent="0.2"/>
    <row r="1881" ht="12.75" customHeight="1" x14ac:dyDescent="0.2"/>
    <row r="1882" ht="12.75" customHeight="1" x14ac:dyDescent="0.2"/>
    <row r="1883" ht="12.75" customHeight="1" x14ac:dyDescent="0.2"/>
    <row r="1884" ht="12.75" customHeight="1" x14ac:dyDescent="0.2"/>
    <row r="1885" ht="12.75" customHeight="1" x14ac:dyDescent="0.2"/>
    <row r="1886" ht="12.75" customHeight="1" x14ac:dyDescent="0.2"/>
    <row r="1887" ht="12.75" customHeight="1" x14ac:dyDescent="0.2"/>
    <row r="1888" ht="12.75" customHeight="1" x14ac:dyDescent="0.2"/>
    <row r="1889" ht="12.75" customHeight="1" x14ac:dyDescent="0.2"/>
    <row r="1890" ht="12.75" customHeight="1" x14ac:dyDescent="0.2"/>
    <row r="1891" ht="12.75" customHeight="1" x14ac:dyDescent="0.2"/>
    <row r="1892" ht="12.75" customHeight="1" x14ac:dyDescent="0.2"/>
    <row r="1893" ht="12.75" customHeight="1" x14ac:dyDescent="0.2"/>
    <row r="1894" ht="12.75" customHeight="1" x14ac:dyDescent="0.2"/>
    <row r="1895" ht="12.75" customHeight="1" x14ac:dyDescent="0.2"/>
    <row r="1896" ht="12.75" customHeight="1" x14ac:dyDescent="0.2"/>
    <row r="1897" ht="12.75" customHeight="1" x14ac:dyDescent="0.2"/>
    <row r="1898" ht="12.75" customHeight="1" x14ac:dyDescent="0.2"/>
    <row r="1899" ht="12.75" customHeight="1" x14ac:dyDescent="0.2"/>
    <row r="1900" ht="12.75" customHeight="1" x14ac:dyDescent="0.2"/>
    <row r="1901" ht="12.75" customHeight="1" x14ac:dyDescent="0.2"/>
    <row r="1902" ht="12.75" customHeight="1" x14ac:dyDescent="0.2"/>
    <row r="1903" ht="12.75" customHeight="1" x14ac:dyDescent="0.2"/>
    <row r="1904" ht="12.75" customHeight="1" x14ac:dyDescent="0.2"/>
    <row r="1905" ht="12.75" customHeight="1" x14ac:dyDescent="0.2"/>
    <row r="1906" ht="12.75" customHeight="1" x14ac:dyDescent="0.2"/>
    <row r="1907" ht="12.75" customHeight="1" x14ac:dyDescent="0.2"/>
    <row r="1908" ht="12.75" customHeight="1" x14ac:dyDescent="0.2"/>
    <row r="1909" ht="12.75" customHeight="1" x14ac:dyDescent="0.2"/>
    <row r="1910" ht="12.75" customHeight="1" x14ac:dyDescent="0.2"/>
    <row r="1911" ht="12.75" customHeight="1" x14ac:dyDescent="0.2"/>
    <row r="1912" ht="12.75" customHeight="1" x14ac:dyDescent="0.2"/>
    <row r="1913" ht="12.75" customHeight="1" x14ac:dyDescent="0.2"/>
    <row r="1914" ht="12.75" customHeight="1" x14ac:dyDescent="0.2"/>
    <row r="1915" ht="12.75" customHeight="1" x14ac:dyDescent="0.2"/>
    <row r="1916" ht="12.75" customHeight="1" x14ac:dyDescent="0.2"/>
    <row r="1917" ht="12.75" customHeight="1" x14ac:dyDescent="0.2"/>
    <row r="1918" ht="12.75" customHeight="1" x14ac:dyDescent="0.2"/>
    <row r="1919" ht="12.75" customHeight="1" x14ac:dyDescent="0.2"/>
    <row r="1920" ht="12.75" customHeight="1" x14ac:dyDescent="0.2"/>
    <row r="1921" ht="12.75" customHeight="1" x14ac:dyDescent="0.2"/>
    <row r="1922" ht="12.75" customHeight="1" x14ac:dyDescent="0.2"/>
    <row r="1923" ht="12.75" customHeight="1" x14ac:dyDescent="0.2"/>
    <row r="1924" ht="12.75" customHeight="1" x14ac:dyDescent="0.2"/>
    <row r="1925" ht="12.75" customHeight="1" x14ac:dyDescent="0.2"/>
    <row r="1926" ht="12.75" customHeight="1" x14ac:dyDescent="0.2"/>
    <row r="1927" ht="12.75" customHeight="1" x14ac:dyDescent="0.2"/>
    <row r="1928" ht="12.75" customHeight="1" x14ac:dyDescent="0.2"/>
    <row r="1929" ht="12.75" customHeight="1" x14ac:dyDescent="0.2"/>
    <row r="1930" ht="12.75" customHeight="1" x14ac:dyDescent="0.2"/>
    <row r="1931" ht="12.75" customHeight="1" x14ac:dyDescent="0.2"/>
    <row r="1932" ht="12.75" customHeight="1" x14ac:dyDescent="0.2"/>
    <row r="1933" ht="12.75" customHeight="1" x14ac:dyDescent="0.2"/>
    <row r="1934" ht="12.75" customHeight="1" x14ac:dyDescent="0.2"/>
    <row r="1935" ht="12.75" customHeight="1" x14ac:dyDescent="0.2"/>
    <row r="1936" ht="12.75" customHeight="1" x14ac:dyDescent="0.2"/>
    <row r="1937" ht="12.75" customHeight="1" x14ac:dyDescent="0.2"/>
    <row r="1938" ht="12.75" customHeight="1" x14ac:dyDescent="0.2"/>
    <row r="1939" ht="12.75" customHeight="1" x14ac:dyDescent="0.2"/>
    <row r="1940" ht="12.75" customHeight="1" x14ac:dyDescent="0.2"/>
    <row r="1941" ht="12.75" customHeight="1" x14ac:dyDescent="0.2"/>
    <row r="1942" ht="12.75" customHeight="1" x14ac:dyDescent="0.2"/>
    <row r="1943" ht="12.75" customHeight="1" x14ac:dyDescent="0.2"/>
    <row r="1944" ht="12.75" customHeight="1" x14ac:dyDescent="0.2"/>
    <row r="1945" ht="12.75" customHeight="1" x14ac:dyDescent="0.2"/>
    <row r="1946" ht="12.75" customHeight="1" x14ac:dyDescent="0.2"/>
    <row r="1947" ht="12.75" customHeight="1" x14ac:dyDescent="0.2"/>
    <row r="1948" ht="12.75" customHeight="1" x14ac:dyDescent="0.2"/>
    <row r="1949" ht="12.75" customHeight="1" x14ac:dyDescent="0.2"/>
    <row r="1950" ht="12.75" customHeight="1" x14ac:dyDescent="0.2"/>
    <row r="1951" ht="12.75" customHeight="1" x14ac:dyDescent="0.2"/>
    <row r="1952" ht="12.75" customHeight="1" x14ac:dyDescent="0.2"/>
    <row r="1953" ht="12.75" customHeight="1" x14ac:dyDescent="0.2"/>
    <row r="1954" ht="12.75" customHeight="1" x14ac:dyDescent="0.2"/>
    <row r="1955" ht="12.75" customHeight="1" x14ac:dyDescent="0.2"/>
    <row r="1956" ht="12.75" customHeight="1" x14ac:dyDescent="0.2"/>
    <row r="1957" ht="12.75" customHeight="1" x14ac:dyDescent="0.2"/>
    <row r="1958" ht="12.75" customHeight="1" x14ac:dyDescent="0.2"/>
    <row r="1959" ht="12.75" customHeight="1" x14ac:dyDescent="0.2"/>
    <row r="1960" ht="12.75" customHeight="1" x14ac:dyDescent="0.2"/>
    <row r="1961" ht="12.75" customHeight="1" x14ac:dyDescent="0.2"/>
    <row r="1962" ht="12.75" customHeight="1" x14ac:dyDescent="0.2"/>
    <row r="1963" ht="12.75" customHeight="1" x14ac:dyDescent="0.2"/>
    <row r="1964" ht="12.75" customHeight="1" x14ac:dyDescent="0.2"/>
    <row r="1965" ht="12.75" customHeight="1" x14ac:dyDescent="0.2"/>
    <row r="1966" ht="12.75" customHeight="1" x14ac:dyDescent="0.2"/>
    <row r="1967" ht="12.75" customHeight="1" x14ac:dyDescent="0.2"/>
    <row r="1968" ht="12.75" customHeight="1" x14ac:dyDescent="0.2"/>
    <row r="1969" ht="12.75" customHeight="1" x14ac:dyDescent="0.2"/>
    <row r="1970" ht="12.75" customHeight="1" x14ac:dyDescent="0.2"/>
    <row r="1971" ht="12.75" customHeight="1" x14ac:dyDescent="0.2"/>
    <row r="1972" ht="12.75" customHeight="1" x14ac:dyDescent="0.2"/>
    <row r="1973" ht="12.75" customHeight="1" x14ac:dyDescent="0.2"/>
    <row r="1974" ht="12.75" customHeight="1" x14ac:dyDescent="0.2"/>
    <row r="1975" ht="12.75" customHeight="1" x14ac:dyDescent="0.2"/>
    <row r="1976" ht="12.75" customHeight="1" x14ac:dyDescent="0.2"/>
    <row r="1977" ht="12.75" customHeight="1" x14ac:dyDescent="0.2"/>
    <row r="1978" ht="12.75" customHeight="1" x14ac:dyDescent="0.2"/>
    <row r="1979" ht="12.75" customHeight="1" x14ac:dyDescent="0.2"/>
    <row r="1980" ht="12.75" customHeight="1" x14ac:dyDescent="0.2"/>
    <row r="1981" ht="12.75" customHeight="1" x14ac:dyDescent="0.2"/>
    <row r="1982" ht="12.75" customHeight="1" x14ac:dyDescent="0.2"/>
    <row r="1983" ht="12.75" customHeight="1" x14ac:dyDescent="0.2"/>
    <row r="1984" ht="12.75" customHeight="1" x14ac:dyDescent="0.2"/>
    <row r="1985" ht="12.75" customHeight="1" x14ac:dyDescent="0.2"/>
    <row r="1986" ht="12.75" customHeight="1" x14ac:dyDescent="0.2"/>
    <row r="1987" ht="12.75" customHeight="1" x14ac:dyDescent="0.2"/>
    <row r="1988" ht="12.75" customHeight="1" x14ac:dyDescent="0.2"/>
    <row r="1989" ht="12.75" customHeight="1" x14ac:dyDescent="0.2"/>
    <row r="1990" ht="12.75" customHeight="1" x14ac:dyDescent="0.2"/>
    <row r="1991" ht="12.75" customHeight="1" x14ac:dyDescent="0.2"/>
    <row r="1992" ht="12.75" customHeight="1" x14ac:dyDescent="0.2"/>
    <row r="1993" ht="12.75" customHeight="1" x14ac:dyDescent="0.2"/>
    <row r="1994" ht="12.75" customHeight="1" x14ac:dyDescent="0.2"/>
    <row r="1995" ht="12.75" customHeight="1" x14ac:dyDescent="0.2"/>
    <row r="1996" ht="12.75" customHeight="1" x14ac:dyDescent="0.2"/>
    <row r="1997" ht="12.75" customHeight="1" x14ac:dyDescent="0.2"/>
    <row r="1998" ht="12.75" customHeight="1" x14ac:dyDescent="0.2"/>
    <row r="1999" ht="12.75" customHeight="1" x14ac:dyDescent="0.2"/>
    <row r="2000" ht="12.75" customHeight="1" x14ac:dyDescent="0.2"/>
    <row r="2001" ht="12.75" customHeight="1" x14ac:dyDescent="0.2"/>
    <row r="2002" ht="12.75" customHeight="1" x14ac:dyDescent="0.2"/>
    <row r="2003" ht="12.75" customHeight="1" x14ac:dyDescent="0.2"/>
    <row r="2004" ht="12.75" customHeight="1" x14ac:dyDescent="0.2"/>
    <row r="2005" ht="12.75" customHeight="1" x14ac:dyDescent="0.2"/>
    <row r="2006" ht="12.75" customHeight="1" x14ac:dyDescent="0.2"/>
    <row r="2007" ht="12.75" customHeight="1" x14ac:dyDescent="0.2"/>
    <row r="2008" ht="12.75" customHeight="1" x14ac:dyDescent="0.2"/>
    <row r="2009" ht="12.75" customHeight="1" x14ac:dyDescent="0.2"/>
    <row r="2010" ht="12.75" customHeight="1" x14ac:dyDescent="0.2"/>
    <row r="2011" ht="12.75" customHeight="1" x14ac:dyDescent="0.2"/>
    <row r="2012" ht="12.75" customHeight="1" x14ac:dyDescent="0.2"/>
    <row r="2013" ht="12.75" customHeight="1" x14ac:dyDescent="0.2"/>
    <row r="2014" ht="12.75" customHeight="1" x14ac:dyDescent="0.2"/>
    <row r="2015" ht="12.75" customHeight="1" x14ac:dyDescent="0.2"/>
    <row r="2016" ht="12.75" customHeight="1" x14ac:dyDescent="0.2"/>
    <row r="2017" ht="12.75" customHeight="1" x14ac:dyDescent="0.2"/>
    <row r="2018" ht="12.75" customHeight="1" x14ac:dyDescent="0.2"/>
    <row r="2019" ht="12.75" customHeight="1" x14ac:dyDescent="0.2"/>
    <row r="2020" ht="12.75" customHeight="1" x14ac:dyDescent="0.2"/>
    <row r="2021" ht="12.75" customHeight="1" x14ac:dyDescent="0.2"/>
    <row r="2022" ht="12.75" customHeight="1" x14ac:dyDescent="0.2"/>
    <row r="2023" ht="12.75" customHeight="1" x14ac:dyDescent="0.2"/>
    <row r="2024" ht="12.75" customHeight="1" x14ac:dyDescent="0.2"/>
    <row r="2025" ht="12.75" customHeight="1" x14ac:dyDescent="0.2"/>
    <row r="2026" ht="12.75" customHeight="1" x14ac:dyDescent="0.2"/>
    <row r="2027" ht="12.75" customHeight="1" x14ac:dyDescent="0.2"/>
    <row r="2028" ht="12.75" customHeight="1" x14ac:dyDescent="0.2"/>
    <row r="2029" ht="12.75" customHeight="1" x14ac:dyDescent="0.2"/>
    <row r="2030" ht="12.75" customHeight="1" x14ac:dyDescent="0.2"/>
    <row r="2031" ht="12.75" customHeight="1" x14ac:dyDescent="0.2"/>
    <row r="2032" ht="12.75" customHeight="1" x14ac:dyDescent="0.2"/>
    <row r="2033" ht="12.75" customHeight="1" x14ac:dyDescent="0.2"/>
    <row r="2034" ht="12.75" customHeight="1" x14ac:dyDescent="0.2"/>
    <row r="2035" ht="12.75" customHeight="1" x14ac:dyDescent="0.2"/>
    <row r="2036" ht="12.75" customHeight="1" x14ac:dyDescent="0.2"/>
    <row r="2037" ht="12.75" customHeight="1" x14ac:dyDescent="0.2"/>
    <row r="2038" ht="12.75" customHeight="1" x14ac:dyDescent="0.2"/>
    <row r="2039" ht="12.75" customHeight="1" x14ac:dyDescent="0.2"/>
    <row r="2040" ht="12.75" customHeight="1" x14ac:dyDescent="0.2"/>
    <row r="2041" ht="12.75" customHeight="1" x14ac:dyDescent="0.2"/>
    <row r="2042" ht="12.75" customHeight="1" x14ac:dyDescent="0.2"/>
    <row r="2043" ht="12.75" customHeight="1" x14ac:dyDescent="0.2"/>
    <row r="2044" ht="12.75" customHeight="1" x14ac:dyDescent="0.2"/>
    <row r="2045" ht="12.75" customHeight="1" x14ac:dyDescent="0.2"/>
    <row r="2046" ht="12.75" customHeight="1" x14ac:dyDescent="0.2"/>
    <row r="2047" ht="12.75" customHeight="1" x14ac:dyDescent="0.2"/>
    <row r="2048" ht="12.75" customHeight="1" x14ac:dyDescent="0.2"/>
    <row r="2049" ht="12.75" customHeight="1" x14ac:dyDescent="0.2"/>
    <row r="2050" ht="12.75" customHeight="1" x14ac:dyDescent="0.2"/>
    <row r="2051" ht="12.75" customHeight="1" x14ac:dyDescent="0.2"/>
    <row r="2052" ht="12.75" customHeight="1" x14ac:dyDescent="0.2"/>
    <row r="2053" ht="12.75" customHeight="1" x14ac:dyDescent="0.2"/>
    <row r="2054" ht="12.75" customHeight="1" x14ac:dyDescent="0.2"/>
    <row r="2055" ht="12.75" customHeight="1" x14ac:dyDescent="0.2"/>
    <row r="2056" ht="12.75" customHeight="1" x14ac:dyDescent="0.2"/>
    <row r="2057" ht="12.75" customHeight="1" x14ac:dyDescent="0.2"/>
    <row r="2058" ht="12.75" customHeight="1" x14ac:dyDescent="0.2"/>
    <row r="2059" ht="12.75" customHeight="1" x14ac:dyDescent="0.2"/>
    <row r="2060" ht="12.75" customHeight="1" x14ac:dyDescent="0.2"/>
    <row r="2061" ht="12.75" customHeight="1" x14ac:dyDescent="0.2"/>
    <row r="2062" ht="12.75" customHeight="1" x14ac:dyDescent="0.2"/>
    <row r="2063" ht="12.75" customHeight="1" x14ac:dyDescent="0.2"/>
    <row r="2064" ht="12.75" customHeight="1" x14ac:dyDescent="0.2"/>
    <row r="2065" ht="12.75" customHeight="1" x14ac:dyDescent="0.2"/>
    <row r="2066" ht="12.75" customHeight="1" x14ac:dyDescent="0.2"/>
    <row r="2067" ht="12.75" customHeight="1" x14ac:dyDescent="0.2"/>
    <row r="2068" ht="12.75" customHeight="1" x14ac:dyDescent="0.2"/>
    <row r="2069" ht="12.75" customHeight="1" x14ac:dyDescent="0.2"/>
    <row r="2070" ht="12.75" customHeight="1" x14ac:dyDescent="0.2"/>
    <row r="2071" ht="12.75" customHeight="1" x14ac:dyDescent="0.2"/>
    <row r="2072" ht="12.75" customHeight="1" x14ac:dyDescent="0.2"/>
    <row r="2073" ht="12.75" customHeight="1" x14ac:dyDescent="0.2"/>
    <row r="2074" ht="12.75" customHeight="1" x14ac:dyDescent="0.2"/>
    <row r="2075" ht="12.75" customHeight="1" x14ac:dyDescent="0.2"/>
    <row r="2076" ht="12.75" customHeight="1" x14ac:dyDescent="0.2"/>
    <row r="2077" ht="12.75" customHeight="1" x14ac:dyDescent="0.2"/>
    <row r="2078" ht="12.75" customHeight="1" x14ac:dyDescent="0.2"/>
    <row r="2079" ht="12.75" customHeight="1" x14ac:dyDescent="0.2"/>
    <row r="2080" ht="12.75" customHeight="1" x14ac:dyDescent="0.2"/>
    <row r="2081" ht="12.75" customHeight="1" x14ac:dyDescent="0.2"/>
    <row r="2082" ht="12.75" customHeight="1" x14ac:dyDescent="0.2"/>
    <row r="2083" ht="12.75" customHeight="1" x14ac:dyDescent="0.2"/>
    <row r="2084" ht="12.75" customHeight="1" x14ac:dyDescent="0.2"/>
    <row r="2085" ht="12.75" customHeight="1" x14ac:dyDescent="0.2"/>
    <row r="2086" ht="12.75" customHeight="1" x14ac:dyDescent="0.2"/>
    <row r="2087" ht="12.75" customHeight="1" x14ac:dyDescent="0.2"/>
    <row r="2088" ht="12.75" customHeight="1" x14ac:dyDescent="0.2"/>
    <row r="2089" ht="12.75" customHeight="1" x14ac:dyDescent="0.2"/>
    <row r="2090" ht="12.75" customHeight="1" x14ac:dyDescent="0.2"/>
    <row r="2091" ht="12.75" customHeight="1" x14ac:dyDescent="0.2"/>
    <row r="2092" ht="12.75" customHeight="1" x14ac:dyDescent="0.2"/>
    <row r="2093" ht="12.75" customHeight="1" x14ac:dyDescent="0.2"/>
    <row r="2094" ht="12.75" customHeight="1" x14ac:dyDescent="0.2"/>
    <row r="2095" ht="12.75" customHeight="1" x14ac:dyDescent="0.2"/>
    <row r="2096" ht="12.75" customHeight="1" x14ac:dyDescent="0.2"/>
    <row r="2097" ht="12.75" customHeight="1" x14ac:dyDescent="0.2"/>
    <row r="2098" ht="12.75" customHeight="1" x14ac:dyDescent="0.2"/>
    <row r="2099" ht="12.75" customHeight="1" x14ac:dyDescent="0.2"/>
    <row r="2100" ht="12.75" customHeight="1" x14ac:dyDescent="0.2"/>
    <row r="2101" ht="12.75" customHeight="1" x14ac:dyDescent="0.2"/>
    <row r="2102" ht="12.75" customHeight="1" x14ac:dyDescent="0.2"/>
    <row r="2103" ht="12.75" customHeight="1" x14ac:dyDescent="0.2"/>
    <row r="2104" ht="12.75" customHeight="1" x14ac:dyDescent="0.2"/>
    <row r="2105" ht="12.75" customHeight="1" x14ac:dyDescent="0.2"/>
    <row r="2106" ht="12.75" customHeight="1" x14ac:dyDescent="0.2"/>
    <row r="2107" ht="12.75" customHeight="1" x14ac:dyDescent="0.2"/>
    <row r="2108" ht="12.75" customHeight="1" x14ac:dyDescent="0.2"/>
    <row r="2109" ht="12.75" customHeight="1" x14ac:dyDescent="0.2"/>
    <row r="2110" ht="12.75" customHeight="1" x14ac:dyDescent="0.2"/>
    <row r="2111" ht="12.75" customHeight="1" x14ac:dyDescent="0.2"/>
    <row r="2112" ht="12.75" customHeight="1" x14ac:dyDescent="0.2"/>
    <row r="2113" ht="12.75" customHeight="1" x14ac:dyDescent="0.2"/>
    <row r="2114" ht="12.75" customHeight="1" x14ac:dyDescent="0.2"/>
    <row r="2115" ht="12.75" customHeight="1" x14ac:dyDescent="0.2"/>
    <row r="2116" ht="12.75" customHeight="1" x14ac:dyDescent="0.2"/>
    <row r="2117" ht="12.75" customHeight="1" x14ac:dyDescent="0.2"/>
    <row r="2118" ht="12.75" customHeight="1" x14ac:dyDescent="0.2"/>
    <row r="2119" ht="12.75" customHeight="1" x14ac:dyDescent="0.2"/>
    <row r="2120" ht="12.75" customHeight="1" x14ac:dyDescent="0.2"/>
    <row r="2121" ht="12.75" customHeight="1" x14ac:dyDescent="0.2"/>
    <row r="2122" ht="12.75" customHeight="1" x14ac:dyDescent="0.2"/>
    <row r="2123" ht="12.75" customHeight="1" x14ac:dyDescent="0.2"/>
    <row r="2124" ht="12.75" customHeight="1" x14ac:dyDescent="0.2"/>
    <row r="2125" ht="12.75" customHeight="1" x14ac:dyDescent="0.2"/>
    <row r="2126" ht="12.75" customHeight="1" x14ac:dyDescent="0.2"/>
    <row r="2127" ht="12.75" customHeight="1" x14ac:dyDescent="0.2"/>
    <row r="2128" ht="12.75" customHeight="1" x14ac:dyDescent="0.2"/>
    <row r="2129" ht="12.75" customHeight="1" x14ac:dyDescent="0.2"/>
    <row r="2130" ht="12.75" customHeight="1" x14ac:dyDescent="0.2"/>
    <row r="2131" ht="12.75" customHeight="1" x14ac:dyDescent="0.2"/>
    <row r="2132" ht="12.75" customHeight="1" x14ac:dyDescent="0.2"/>
    <row r="2133" ht="12.75" customHeight="1" x14ac:dyDescent="0.2"/>
    <row r="2134" ht="12.75" customHeight="1" x14ac:dyDescent="0.2"/>
    <row r="2135" ht="12.75" customHeight="1" x14ac:dyDescent="0.2"/>
    <row r="2136" ht="12.75" customHeight="1" x14ac:dyDescent="0.2"/>
    <row r="2137" ht="12.75" customHeight="1" x14ac:dyDescent="0.2"/>
    <row r="2138" ht="12.75" customHeight="1" x14ac:dyDescent="0.2"/>
    <row r="2139" ht="12.75" customHeight="1" x14ac:dyDescent="0.2"/>
    <row r="2140" ht="12.75" customHeight="1" x14ac:dyDescent="0.2"/>
    <row r="2141" ht="12.75" customHeight="1" x14ac:dyDescent="0.2"/>
    <row r="2142" ht="12.75" customHeight="1" x14ac:dyDescent="0.2"/>
    <row r="2143" ht="12.75" customHeight="1" x14ac:dyDescent="0.2"/>
    <row r="2144" ht="12.75" customHeight="1" x14ac:dyDescent="0.2"/>
    <row r="2145" ht="12.75" customHeight="1" x14ac:dyDescent="0.2"/>
    <row r="2146" ht="12.75" customHeight="1" x14ac:dyDescent="0.2"/>
    <row r="2147" ht="12.75" customHeight="1" x14ac:dyDescent="0.2"/>
    <row r="2148" ht="12.75" customHeight="1" x14ac:dyDescent="0.2"/>
    <row r="2149" ht="12.75" customHeight="1" x14ac:dyDescent="0.2"/>
    <row r="2150" ht="12.75" customHeight="1" x14ac:dyDescent="0.2"/>
    <row r="2151" ht="12.75" customHeight="1" x14ac:dyDescent="0.2"/>
    <row r="2152" ht="12.75" customHeight="1" x14ac:dyDescent="0.2"/>
    <row r="2153" ht="12.75" customHeight="1" x14ac:dyDescent="0.2"/>
    <row r="2154" ht="12.75" customHeight="1" x14ac:dyDescent="0.2"/>
    <row r="2155" ht="12.75" customHeight="1" x14ac:dyDescent="0.2"/>
    <row r="2156" ht="12.75" customHeight="1" x14ac:dyDescent="0.2"/>
    <row r="2157" ht="12.75" customHeight="1" x14ac:dyDescent="0.2"/>
    <row r="2158" ht="12.75" customHeight="1" x14ac:dyDescent="0.2"/>
    <row r="2159" ht="12.75" customHeight="1" x14ac:dyDescent="0.2"/>
    <row r="2160" ht="12.75" customHeight="1" x14ac:dyDescent="0.2"/>
    <row r="2161" ht="12.75" customHeight="1" x14ac:dyDescent="0.2"/>
    <row r="2162" ht="12.75" customHeight="1" x14ac:dyDescent="0.2"/>
    <row r="2163" ht="12.75" customHeight="1" x14ac:dyDescent="0.2"/>
    <row r="2164" ht="12.75" customHeight="1" x14ac:dyDescent="0.2"/>
    <row r="2165" ht="12.75" customHeight="1" x14ac:dyDescent="0.2"/>
    <row r="2166" ht="12.75" customHeight="1" x14ac:dyDescent="0.2"/>
    <row r="2167" ht="12.75" customHeight="1" x14ac:dyDescent="0.2"/>
    <row r="2168" ht="12.75" customHeight="1" x14ac:dyDescent="0.2"/>
    <row r="2169" ht="12.75" customHeight="1" x14ac:dyDescent="0.2"/>
    <row r="2170" ht="12.75" customHeight="1" x14ac:dyDescent="0.2"/>
    <row r="2171" ht="12.75" customHeight="1" x14ac:dyDescent="0.2"/>
    <row r="2172" ht="12.75" customHeight="1" x14ac:dyDescent="0.2"/>
    <row r="2173" ht="12.75" customHeight="1" x14ac:dyDescent="0.2"/>
    <row r="2174" ht="12.75" customHeight="1" x14ac:dyDescent="0.2"/>
    <row r="2175" ht="12.75" customHeight="1" x14ac:dyDescent="0.2"/>
    <row r="2176" ht="12.75" customHeight="1" x14ac:dyDescent="0.2"/>
    <row r="2177" ht="12.75" customHeight="1" x14ac:dyDescent="0.2"/>
    <row r="2178" ht="12.75" customHeight="1" x14ac:dyDescent="0.2"/>
    <row r="2179" ht="12.75" customHeight="1" x14ac:dyDescent="0.2"/>
    <row r="2180" ht="12.75" customHeight="1" x14ac:dyDescent="0.2"/>
    <row r="2181" ht="12.75" customHeight="1" x14ac:dyDescent="0.2"/>
    <row r="2182" ht="12.75" customHeight="1" x14ac:dyDescent="0.2"/>
    <row r="2183" ht="12.75" customHeight="1" x14ac:dyDescent="0.2"/>
    <row r="2184" ht="12.75" customHeight="1" x14ac:dyDescent="0.2"/>
    <row r="2185" ht="12.75" customHeight="1" x14ac:dyDescent="0.2"/>
    <row r="2186" ht="12.75" customHeight="1" x14ac:dyDescent="0.2"/>
    <row r="2187" ht="12.75" customHeight="1" x14ac:dyDescent="0.2"/>
    <row r="2188" ht="12.75" customHeight="1" x14ac:dyDescent="0.2"/>
    <row r="2189" ht="12.75" customHeight="1" x14ac:dyDescent="0.2"/>
    <row r="2190" ht="12.75" customHeight="1" x14ac:dyDescent="0.2"/>
    <row r="2191" ht="12.75" customHeight="1" x14ac:dyDescent="0.2"/>
    <row r="2192" ht="12.75" customHeight="1" x14ac:dyDescent="0.2"/>
    <row r="2193" ht="12.75" customHeight="1" x14ac:dyDescent="0.2"/>
    <row r="2194" ht="12.75" customHeight="1" x14ac:dyDescent="0.2"/>
    <row r="2195" ht="12.75" customHeight="1" x14ac:dyDescent="0.2"/>
    <row r="2196" ht="12.75" customHeight="1" x14ac:dyDescent="0.2"/>
    <row r="2197" ht="12.75" customHeight="1" x14ac:dyDescent="0.2"/>
    <row r="2198" ht="12.75" customHeight="1" x14ac:dyDescent="0.2"/>
    <row r="2199" ht="12.75" customHeight="1" x14ac:dyDescent="0.2"/>
    <row r="2200" ht="12.75" customHeight="1" x14ac:dyDescent="0.2"/>
    <row r="2201" ht="12.75" customHeight="1" x14ac:dyDescent="0.2"/>
    <row r="2202" ht="12.75" customHeight="1" x14ac:dyDescent="0.2"/>
    <row r="2203" ht="12.75" customHeight="1" x14ac:dyDescent="0.2"/>
    <row r="2204" ht="12.75" customHeight="1" x14ac:dyDescent="0.2"/>
    <row r="2205" ht="12.75" customHeight="1" x14ac:dyDescent="0.2"/>
    <row r="2206" ht="12.75" customHeight="1" x14ac:dyDescent="0.2"/>
    <row r="2207" ht="12.75" customHeight="1" x14ac:dyDescent="0.2"/>
    <row r="2208" ht="12.75" customHeight="1" x14ac:dyDescent="0.2"/>
    <row r="2209" ht="12.75" customHeight="1" x14ac:dyDescent="0.2"/>
    <row r="2210" ht="12.75" customHeight="1" x14ac:dyDescent="0.2"/>
    <row r="2211" ht="12.75" customHeight="1" x14ac:dyDescent="0.2"/>
    <row r="2212" ht="12.75" customHeight="1" x14ac:dyDescent="0.2"/>
    <row r="2213" ht="12.75" customHeight="1" x14ac:dyDescent="0.2"/>
    <row r="2214" ht="12.75" customHeight="1" x14ac:dyDescent="0.2"/>
    <row r="2215" ht="12.75" customHeight="1" x14ac:dyDescent="0.2"/>
    <row r="2216" ht="12.75" customHeight="1" x14ac:dyDescent="0.2"/>
    <row r="2217" ht="12.75" customHeight="1" x14ac:dyDescent="0.2"/>
    <row r="2218" ht="12.75" customHeight="1" x14ac:dyDescent="0.2"/>
    <row r="2219" ht="12.75" customHeight="1" x14ac:dyDescent="0.2"/>
    <row r="2220" ht="12.75" customHeight="1" x14ac:dyDescent="0.2"/>
    <row r="2221" ht="12.75" customHeight="1" x14ac:dyDescent="0.2"/>
    <row r="2222" ht="12.75" customHeight="1" x14ac:dyDescent="0.2"/>
    <row r="2223" ht="12.75" customHeight="1" x14ac:dyDescent="0.2"/>
    <row r="2224" ht="12.75" customHeight="1" x14ac:dyDescent="0.2"/>
    <row r="2225" ht="12.75" customHeight="1" x14ac:dyDescent="0.2"/>
    <row r="2226" ht="12.75" customHeight="1" x14ac:dyDescent="0.2"/>
    <row r="2227" ht="12.75" customHeight="1" x14ac:dyDescent="0.2"/>
    <row r="2228" ht="12.75" customHeight="1" x14ac:dyDescent="0.2"/>
    <row r="2229" ht="12.75" customHeight="1" x14ac:dyDescent="0.2"/>
    <row r="2230" ht="12.75" customHeight="1" x14ac:dyDescent="0.2"/>
    <row r="2231" ht="12.75" customHeight="1" x14ac:dyDescent="0.2"/>
    <row r="2232" ht="12.75" customHeight="1" x14ac:dyDescent="0.2"/>
    <row r="2233" ht="12.75" customHeight="1" x14ac:dyDescent="0.2"/>
    <row r="2234" ht="12.75" customHeight="1" x14ac:dyDescent="0.2"/>
    <row r="2235" ht="12.75" customHeight="1" x14ac:dyDescent="0.2"/>
    <row r="2236" ht="12.75" customHeight="1" x14ac:dyDescent="0.2"/>
    <row r="2237" ht="12.75" customHeight="1" x14ac:dyDescent="0.2"/>
    <row r="2238" ht="12.75" customHeight="1" x14ac:dyDescent="0.2"/>
    <row r="2239" ht="12.75" customHeight="1" x14ac:dyDescent="0.2"/>
    <row r="2240" ht="12.75" customHeight="1" x14ac:dyDescent="0.2"/>
    <row r="2241" ht="12.75" customHeight="1" x14ac:dyDescent="0.2"/>
    <row r="2242" ht="12.75" customHeight="1" x14ac:dyDescent="0.2"/>
    <row r="2243" ht="12.75" customHeight="1" x14ac:dyDescent="0.2"/>
    <row r="2244" ht="12.75" customHeight="1" x14ac:dyDescent="0.2"/>
    <row r="2245" ht="12.75" customHeight="1" x14ac:dyDescent="0.2"/>
    <row r="2246" ht="12.75" customHeight="1" x14ac:dyDescent="0.2"/>
    <row r="2247" ht="12.75" customHeight="1" x14ac:dyDescent="0.2"/>
    <row r="2248" ht="12.75" customHeight="1" x14ac:dyDescent="0.2"/>
    <row r="2249" ht="12.75" customHeight="1" x14ac:dyDescent="0.2"/>
    <row r="2250" ht="12.75" customHeight="1" x14ac:dyDescent="0.2"/>
    <row r="2251" ht="12.75" customHeight="1" x14ac:dyDescent="0.2"/>
    <row r="2252" ht="12.75" customHeight="1" x14ac:dyDescent="0.2"/>
    <row r="2253" ht="12.75" customHeight="1" x14ac:dyDescent="0.2"/>
    <row r="2254" ht="12.75" customHeight="1" x14ac:dyDescent="0.2"/>
    <row r="2255" ht="12.75" customHeight="1" x14ac:dyDescent="0.2"/>
    <row r="2256" ht="12.75" customHeight="1" x14ac:dyDescent="0.2"/>
    <row r="2257" ht="12.75" customHeight="1" x14ac:dyDescent="0.2"/>
    <row r="2258" ht="12.75" customHeight="1" x14ac:dyDescent="0.2"/>
    <row r="2259" ht="12.75" customHeight="1" x14ac:dyDescent="0.2"/>
    <row r="2260" ht="12.75" customHeight="1" x14ac:dyDescent="0.2"/>
    <row r="2261" ht="12.75" customHeight="1" x14ac:dyDescent="0.2"/>
    <row r="2262" ht="12.75" customHeight="1" x14ac:dyDescent="0.2"/>
    <row r="2263" ht="12.75" customHeight="1" x14ac:dyDescent="0.2"/>
    <row r="2264" ht="12.75" customHeight="1" x14ac:dyDescent="0.2"/>
    <row r="2265" ht="12.75" customHeight="1" x14ac:dyDescent="0.2"/>
    <row r="2266" ht="12.75" customHeight="1" x14ac:dyDescent="0.2"/>
    <row r="2267" ht="12.75" customHeight="1" x14ac:dyDescent="0.2"/>
    <row r="2268" ht="12.75" customHeight="1" x14ac:dyDescent="0.2"/>
    <row r="2269" ht="12.75" customHeight="1" x14ac:dyDescent="0.2"/>
    <row r="2270" ht="12.75" customHeight="1" x14ac:dyDescent="0.2"/>
    <row r="2271" ht="12.75" customHeight="1" x14ac:dyDescent="0.2"/>
    <row r="2272" ht="12.75" customHeight="1" x14ac:dyDescent="0.2"/>
    <row r="2273" ht="12.75" customHeight="1" x14ac:dyDescent="0.2"/>
    <row r="2274" ht="12.75" customHeight="1" x14ac:dyDescent="0.2"/>
    <row r="2275" ht="12.75" customHeight="1" x14ac:dyDescent="0.2"/>
    <row r="2276" ht="12.75" customHeight="1" x14ac:dyDescent="0.2"/>
    <row r="2277" ht="12.75" customHeight="1" x14ac:dyDescent="0.2"/>
    <row r="2278" ht="12.75" customHeight="1" x14ac:dyDescent="0.2"/>
    <row r="2279" ht="12.75" customHeight="1" x14ac:dyDescent="0.2"/>
    <row r="2280" ht="12.75" customHeight="1" x14ac:dyDescent="0.2"/>
    <row r="2281" ht="12.75" customHeight="1" x14ac:dyDescent="0.2"/>
    <row r="2282" ht="12.75" customHeight="1" x14ac:dyDescent="0.2"/>
    <row r="2283" ht="12.75" customHeight="1" x14ac:dyDescent="0.2"/>
    <row r="2284" ht="12.75" customHeight="1" x14ac:dyDescent="0.2"/>
    <row r="2285" ht="12.75" customHeight="1" x14ac:dyDescent="0.2"/>
    <row r="2286" ht="12.75" customHeight="1" x14ac:dyDescent="0.2"/>
    <row r="2287" ht="12.75" customHeight="1" x14ac:dyDescent="0.2"/>
    <row r="2288" ht="12.75" customHeight="1" x14ac:dyDescent="0.2"/>
    <row r="2289" ht="12.75" customHeight="1" x14ac:dyDescent="0.2"/>
    <row r="2290" ht="12.75" customHeight="1" x14ac:dyDescent="0.2"/>
    <row r="2291" ht="12.75" customHeight="1" x14ac:dyDescent="0.2"/>
    <row r="2292" ht="12.75" customHeight="1" x14ac:dyDescent="0.2"/>
    <row r="2293" ht="12.75" customHeight="1" x14ac:dyDescent="0.2"/>
    <row r="2294" ht="12.75" customHeight="1" x14ac:dyDescent="0.2"/>
    <row r="2295" ht="12.75" customHeight="1" x14ac:dyDescent="0.2"/>
    <row r="2296" ht="12.75" customHeight="1" x14ac:dyDescent="0.2"/>
    <row r="2297" ht="12.75" customHeight="1" x14ac:dyDescent="0.2"/>
    <row r="2298" ht="12.75" customHeight="1" x14ac:dyDescent="0.2"/>
    <row r="2299" ht="12.75" customHeight="1" x14ac:dyDescent="0.2"/>
    <row r="2300" ht="12.75" customHeight="1" x14ac:dyDescent="0.2"/>
    <row r="2301" ht="12.75" customHeight="1" x14ac:dyDescent="0.2"/>
    <row r="2302" ht="12.75" customHeight="1" x14ac:dyDescent="0.2"/>
    <row r="2303" ht="12.75" customHeight="1" x14ac:dyDescent="0.2"/>
    <row r="2304" ht="12.75" customHeight="1" x14ac:dyDescent="0.2"/>
    <row r="2305" ht="12.75" customHeight="1" x14ac:dyDescent="0.2"/>
    <row r="2306" ht="12.75" customHeight="1" x14ac:dyDescent="0.2"/>
    <row r="2307" ht="12.75" customHeight="1" x14ac:dyDescent="0.2"/>
    <row r="2308" ht="12.75" customHeight="1" x14ac:dyDescent="0.2"/>
    <row r="2309" ht="12.75" customHeight="1" x14ac:dyDescent="0.2"/>
    <row r="2310" ht="12.75" customHeight="1" x14ac:dyDescent="0.2"/>
    <row r="2311" ht="12.75" customHeight="1" x14ac:dyDescent="0.2"/>
    <row r="2312" ht="12.75" customHeight="1" x14ac:dyDescent="0.2"/>
    <row r="2313" ht="12.75" customHeight="1" x14ac:dyDescent="0.2"/>
    <row r="2314" ht="12.75" customHeight="1" x14ac:dyDescent="0.2"/>
    <row r="2315" ht="12.75" customHeight="1" x14ac:dyDescent="0.2"/>
    <row r="2316" ht="12.75" customHeight="1" x14ac:dyDescent="0.2"/>
    <row r="2317" ht="12.75" customHeight="1" x14ac:dyDescent="0.2"/>
    <row r="2318" ht="12.75" customHeight="1" x14ac:dyDescent="0.2"/>
    <row r="2319" ht="12.75" customHeight="1" x14ac:dyDescent="0.2"/>
    <row r="2320" ht="12.75" customHeight="1" x14ac:dyDescent="0.2"/>
    <row r="2321" ht="12.75" customHeight="1" x14ac:dyDescent="0.2"/>
    <row r="2322" ht="12.75" customHeight="1" x14ac:dyDescent="0.2"/>
    <row r="2323" ht="12.75" customHeight="1" x14ac:dyDescent="0.2"/>
    <row r="2324" ht="12.75" customHeight="1" x14ac:dyDescent="0.2"/>
    <row r="2325" ht="12.75" customHeight="1" x14ac:dyDescent="0.2"/>
    <row r="2326" ht="12.75" customHeight="1" x14ac:dyDescent="0.2"/>
    <row r="2327" ht="12.75" customHeight="1" x14ac:dyDescent="0.2"/>
    <row r="2328" ht="12.75" customHeight="1" x14ac:dyDescent="0.2"/>
    <row r="2329" ht="12.75" customHeight="1" x14ac:dyDescent="0.2"/>
    <row r="2330" ht="12.75" customHeight="1" x14ac:dyDescent="0.2"/>
    <row r="2331" ht="12.75" customHeight="1" x14ac:dyDescent="0.2"/>
    <row r="2332" ht="12.75" customHeight="1" x14ac:dyDescent="0.2"/>
    <row r="2333" ht="12.75" customHeight="1" x14ac:dyDescent="0.2"/>
    <row r="2334" ht="12.75" customHeight="1" x14ac:dyDescent="0.2"/>
    <row r="2335" ht="12.75" customHeight="1" x14ac:dyDescent="0.2"/>
    <row r="2336" ht="12.75" customHeight="1" x14ac:dyDescent="0.2"/>
    <row r="2337" ht="12.75" customHeight="1" x14ac:dyDescent="0.2"/>
    <row r="2338" ht="12.75" customHeight="1" x14ac:dyDescent="0.2"/>
    <row r="2339" ht="12.75" customHeight="1" x14ac:dyDescent="0.2"/>
    <row r="2340" ht="12.75" customHeight="1" x14ac:dyDescent="0.2"/>
    <row r="2341" ht="12.75" customHeight="1" x14ac:dyDescent="0.2"/>
    <row r="2342" ht="12.75" customHeight="1" x14ac:dyDescent="0.2"/>
    <row r="2343" ht="12.75" customHeight="1" x14ac:dyDescent="0.2"/>
    <row r="2344" ht="12.75" customHeight="1" x14ac:dyDescent="0.2"/>
    <row r="2345" ht="12.75" customHeight="1" x14ac:dyDescent="0.2"/>
    <row r="2346" ht="12.75" customHeight="1" x14ac:dyDescent="0.2"/>
    <row r="2347" ht="12.75" customHeight="1" x14ac:dyDescent="0.2"/>
    <row r="2348" ht="12.75" customHeight="1" x14ac:dyDescent="0.2"/>
    <row r="2349" ht="12.75" customHeight="1" x14ac:dyDescent="0.2"/>
    <row r="2350" ht="12.75" customHeight="1" x14ac:dyDescent="0.2"/>
    <row r="2351" ht="12.75" customHeight="1" x14ac:dyDescent="0.2"/>
    <row r="2352" ht="12.75" customHeight="1" x14ac:dyDescent="0.2"/>
    <row r="2353" ht="12.75" customHeight="1" x14ac:dyDescent="0.2"/>
    <row r="2354" ht="12.75" customHeight="1" x14ac:dyDescent="0.2"/>
    <row r="2355" ht="12.75" customHeight="1" x14ac:dyDescent="0.2"/>
    <row r="2356" ht="12.75" customHeight="1" x14ac:dyDescent="0.2"/>
    <row r="2357" ht="12.75" customHeight="1" x14ac:dyDescent="0.2"/>
    <row r="2358" ht="12.75" customHeight="1" x14ac:dyDescent="0.2"/>
    <row r="2359" ht="12.75" customHeight="1" x14ac:dyDescent="0.2"/>
    <row r="2360" ht="12.75" customHeight="1" x14ac:dyDescent="0.2"/>
    <row r="2361" ht="12.75" customHeight="1" x14ac:dyDescent="0.2"/>
    <row r="2362" ht="12.75" customHeight="1" x14ac:dyDescent="0.2"/>
    <row r="2363" ht="12.75" customHeight="1" x14ac:dyDescent="0.2"/>
    <row r="2364" ht="12.75" customHeight="1" x14ac:dyDescent="0.2"/>
    <row r="2365" ht="12.75" customHeight="1" x14ac:dyDescent="0.2"/>
    <row r="2366" ht="12.75" customHeight="1" x14ac:dyDescent="0.2"/>
    <row r="2367" ht="12.75" customHeight="1" x14ac:dyDescent="0.2"/>
    <row r="2368" ht="12.75" customHeight="1" x14ac:dyDescent="0.2"/>
    <row r="2369" ht="12.75" customHeight="1" x14ac:dyDescent="0.2"/>
    <row r="2370" ht="12.75" customHeight="1" x14ac:dyDescent="0.2"/>
    <row r="2371" ht="12.75" customHeight="1" x14ac:dyDescent="0.2"/>
    <row r="2372" ht="12.75" customHeight="1" x14ac:dyDescent="0.2"/>
    <row r="2373" ht="12.75" customHeight="1" x14ac:dyDescent="0.2"/>
    <row r="2374" ht="12.75" customHeight="1" x14ac:dyDescent="0.2"/>
    <row r="2375" ht="12.75" customHeight="1" x14ac:dyDescent="0.2"/>
    <row r="2376" ht="12.75" customHeight="1" x14ac:dyDescent="0.2"/>
    <row r="2377" ht="12.75" customHeight="1" x14ac:dyDescent="0.2"/>
    <row r="2378" ht="12.75" customHeight="1" x14ac:dyDescent="0.2"/>
    <row r="2379" ht="12.75" customHeight="1" x14ac:dyDescent="0.2"/>
    <row r="2380" ht="12.75" customHeight="1" x14ac:dyDescent="0.2"/>
    <row r="2381" ht="12.75" customHeight="1" x14ac:dyDescent="0.2"/>
    <row r="2382" ht="12.75" customHeight="1" x14ac:dyDescent="0.2"/>
    <row r="2383" ht="12.75" customHeight="1" x14ac:dyDescent="0.2"/>
    <row r="2384" ht="12.75" customHeight="1" x14ac:dyDescent="0.2"/>
    <row r="2385" ht="12.75" customHeight="1" x14ac:dyDescent="0.2"/>
    <row r="2386" ht="12.75" customHeight="1" x14ac:dyDescent="0.2"/>
    <row r="2387" ht="12.75" customHeight="1" x14ac:dyDescent="0.2"/>
    <row r="2388" ht="12.75" customHeight="1" x14ac:dyDescent="0.2"/>
    <row r="2389" ht="12.75" customHeight="1" x14ac:dyDescent="0.2"/>
    <row r="2390" ht="12.75" customHeight="1" x14ac:dyDescent="0.2"/>
    <row r="2391" ht="12.75" customHeight="1" x14ac:dyDescent="0.2"/>
    <row r="2392" ht="12.75" customHeight="1" x14ac:dyDescent="0.2"/>
    <row r="2393" ht="12.75" customHeight="1" x14ac:dyDescent="0.2"/>
    <row r="2394" ht="12.75" customHeight="1" x14ac:dyDescent="0.2"/>
    <row r="2395" ht="12.75" customHeight="1" x14ac:dyDescent="0.2"/>
    <row r="2396" ht="12.75" customHeight="1" x14ac:dyDescent="0.2"/>
    <row r="2397" ht="12.75" customHeight="1" x14ac:dyDescent="0.2"/>
    <row r="2398" ht="12.75" customHeight="1" x14ac:dyDescent="0.2"/>
    <row r="2399" ht="12.75" customHeight="1" x14ac:dyDescent="0.2"/>
    <row r="2400" ht="12.75" customHeight="1" x14ac:dyDescent="0.2"/>
    <row r="2401" ht="12.75" customHeight="1" x14ac:dyDescent="0.2"/>
    <row r="2402" ht="12.75" customHeight="1" x14ac:dyDescent="0.2"/>
    <row r="2403" ht="12.75" customHeight="1" x14ac:dyDescent="0.2"/>
    <row r="2404" ht="12.75" customHeight="1" x14ac:dyDescent="0.2"/>
    <row r="2405" ht="12.75" customHeight="1" x14ac:dyDescent="0.2"/>
    <row r="2406" ht="12.75" customHeight="1" x14ac:dyDescent="0.2"/>
    <row r="2407" ht="12.75" customHeight="1" x14ac:dyDescent="0.2"/>
    <row r="2408" ht="12.75" customHeight="1" x14ac:dyDescent="0.2"/>
    <row r="2409" ht="12.75" customHeight="1" x14ac:dyDescent="0.2"/>
    <row r="2410" ht="12.75" customHeight="1" x14ac:dyDescent="0.2"/>
    <row r="2411" ht="12.75" customHeight="1" x14ac:dyDescent="0.2"/>
    <row r="2412" ht="12.75" customHeight="1" x14ac:dyDescent="0.2"/>
    <row r="2413" ht="12.75" customHeight="1" x14ac:dyDescent="0.2"/>
    <row r="2414" ht="12.75" customHeight="1" x14ac:dyDescent="0.2"/>
    <row r="2415" ht="12.75" customHeight="1" x14ac:dyDescent="0.2"/>
    <row r="2416" ht="12.75" customHeight="1" x14ac:dyDescent="0.2"/>
    <row r="2417" ht="12.75" customHeight="1" x14ac:dyDescent="0.2"/>
    <row r="2418" ht="12.75" customHeight="1" x14ac:dyDescent="0.2"/>
    <row r="2419" ht="12.75" customHeight="1" x14ac:dyDescent="0.2"/>
    <row r="2420" ht="12.75" customHeight="1" x14ac:dyDescent="0.2"/>
    <row r="2421" ht="12.75" customHeight="1" x14ac:dyDescent="0.2"/>
    <row r="2422" ht="12.75" customHeight="1" x14ac:dyDescent="0.2"/>
    <row r="2423" ht="12.75" customHeight="1" x14ac:dyDescent="0.2"/>
    <row r="2424" ht="12.75" customHeight="1" x14ac:dyDescent="0.2"/>
    <row r="2425" ht="12.75" customHeight="1" x14ac:dyDescent="0.2"/>
    <row r="2426" ht="12.75" customHeight="1" x14ac:dyDescent="0.2"/>
    <row r="2427" ht="12.75" customHeight="1" x14ac:dyDescent="0.2"/>
    <row r="2428" ht="12.75" customHeight="1" x14ac:dyDescent="0.2"/>
    <row r="2429" ht="12.75" customHeight="1" x14ac:dyDescent="0.2"/>
    <row r="2430" ht="12.75" customHeight="1" x14ac:dyDescent="0.2"/>
    <row r="2431" ht="12.75" customHeight="1" x14ac:dyDescent="0.2"/>
    <row r="2432" ht="12.75" customHeight="1" x14ac:dyDescent="0.2"/>
    <row r="2433" ht="12.75" customHeight="1" x14ac:dyDescent="0.2"/>
    <row r="2434" ht="12.75" customHeight="1" x14ac:dyDescent="0.2"/>
    <row r="2435" ht="12.75" customHeight="1" x14ac:dyDescent="0.2"/>
    <row r="2436" ht="12.75" customHeight="1" x14ac:dyDescent="0.2"/>
    <row r="2437" ht="12.75" customHeight="1" x14ac:dyDescent="0.2"/>
    <row r="2438" ht="12.75" customHeight="1" x14ac:dyDescent="0.2"/>
    <row r="2439" ht="12.75" customHeight="1" x14ac:dyDescent="0.2"/>
    <row r="2440" ht="12.75" customHeight="1" x14ac:dyDescent="0.2"/>
    <row r="2441" ht="12.75" customHeight="1" x14ac:dyDescent="0.2"/>
    <row r="2442" ht="12.75" customHeight="1" x14ac:dyDescent="0.2"/>
    <row r="2443" ht="12.75" customHeight="1" x14ac:dyDescent="0.2"/>
    <row r="2444" ht="12.75" customHeight="1" x14ac:dyDescent="0.2"/>
    <row r="2445" ht="12.75" customHeight="1" x14ac:dyDescent="0.2"/>
    <row r="2446" ht="12.75" customHeight="1" x14ac:dyDescent="0.2"/>
    <row r="2447" ht="12.75" customHeight="1" x14ac:dyDescent="0.2"/>
    <row r="2448" ht="12.75" customHeight="1" x14ac:dyDescent="0.2"/>
    <row r="2449" ht="12.75" customHeight="1" x14ac:dyDescent="0.2"/>
    <row r="2450" ht="12.75" customHeight="1" x14ac:dyDescent="0.2"/>
    <row r="2451" ht="12.75" customHeight="1" x14ac:dyDescent="0.2"/>
    <row r="2452" ht="12.75" customHeight="1" x14ac:dyDescent="0.2"/>
    <row r="2453" ht="12.75" customHeight="1" x14ac:dyDescent="0.2"/>
    <row r="2454" ht="12.75" customHeight="1" x14ac:dyDescent="0.2"/>
    <row r="2455" ht="12.75" customHeight="1" x14ac:dyDescent="0.2"/>
    <row r="2456" ht="12.75" customHeight="1" x14ac:dyDescent="0.2"/>
    <row r="2457" ht="12.75" customHeight="1" x14ac:dyDescent="0.2"/>
    <row r="2458" ht="12.75" customHeight="1" x14ac:dyDescent="0.2"/>
    <row r="2459" ht="12.75" customHeight="1" x14ac:dyDescent="0.2"/>
    <row r="2460" ht="12.75" customHeight="1" x14ac:dyDescent="0.2"/>
    <row r="2461" ht="12.75" customHeight="1" x14ac:dyDescent="0.2"/>
    <row r="2462" ht="12.75" customHeight="1" x14ac:dyDescent="0.2"/>
    <row r="2463" ht="12.75" customHeight="1" x14ac:dyDescent="0.2"/>
    <row r="2464" ht="12.75" customHeight="1" x14ac:dyDescent="0.2"/>
    <row r="2465" ht="12.75" customHeight="1" x14ac:dyDescent="0.2"/>
    <row r="2466" ht="12.75" customHeight="1" x14ac:dyDescent="0.2"/>
    <row r="2467" ht="12.75" customHeight="1" x14ac:dyDescent="0.2"/>
    <row r="2468" ht="12.75" customHeight="1" x14ac:dyDescent="0.2"/>
    <row r="2469" ht="12.75" customHeight="1" x14ac:dyDescent="0.2"/>
    <row r="2470" ht="12.75" customHeight="1" x14ac:dyDescent="0.2"/>
    <row r="2471" ht="12.75" customHeight="1" x14ac:dyDescent="0.2"/>
    <row r="2472" ht="12.75" customHeight="1" x14ac:dyDescent="0.2"/>
    <row r="2473" ht="12.75" customHeight="1" x14ac:dyDescent="0.2"/>
    <row r="2474" ht="12.75" customHeight="1" x14ac:dyDescent="0.2"/>
    <row r="2475" ht="12.75" customHeight="1" x14ac:dyDescent="0.2"/>
    <row r="2476" ht="12.75" customHeight="1" x14ac:dyDescent="0.2"/>
    <row r="2477" ht="12.75" customHeight="1" x14ac:dyDescent="0.2"/>
    <row r="2478" ht="12.75" customHeight="1" x14ac:dyDescent="0.2"/>
    <row r="2479" ht="12.75" customHeight="1" x14ac:dyDescent="0.2"/>
    <row r="2480" ht="12.75" customHeight="1" x14ac:dyDescent="0.2"/>
    <row r="2481" ht="12.75" customHeight="1" x14ac:dyDescent="0.2"/>
    <row r="2482" ht="12.75" customHeight="1" x14ac:dyDescent="0.2"/>
    <row r="2483" ht="12.75" customHeight="1" x14ac:dyDescent="0.2"/>
    <row r="2484" ht="12.75" customHeight="1" x14ac:dyDescent="0.2"/>
    <row r="2485" ht="12.75" customHeight="1" x14ac:dyDescent="0.2"/>
    <row r="2486" ht="12.75" customHeight="1" x14ac:dyDescent="0.2"/>
    <row r="2487" ht="12.75" customHeight="1" x14ac:dyDescent="0.2"/>
    <row r="2488" ht="12.75" customHeight="1" x14ac:dyDescent="0.2"/>
    <row r="2489" ht="12.75" customHeight="1" x14ac:dyDescent="0.2"/>
    <row r="2490" ht="12.75" customHeight="1" x14ac:dyDescent="0.2"/>
    <row r="2491" ht="12.75" customHeight="1" x14ac:dyDescent="0.2"/>
    <row r="2492" ht="12.75" customHeight="1" x14ac:dyDescent="0.2"/>
    <row r="2493" ht="12.75" customHeight="1" x14ac:dyDescent="0.2"/>
    <row r="2494" ht="12.75" customHeight="1" x14ac:dyDescent="0.2"/>
    <row r="2495" ht="12.75" customHeight="1" x14ac:dyDescent="0.2"/>
    <row r="2496" ht="12.75" customHeight="1" x14ac:dyDescent="0.2"/>
    <row r="2497" ht="12.75" customHeight="1" x14ac:dyDescent="0.2"/>
    <row r="2498" ht="12.75" customHeight="1" x14ac:dyDescent="0.2"/>
    <row r="2499" ht="12.75" customHeight="1" x14ac:dyDescent="0.2"/>
    <row r="2500" ht="12.75" customHeight="1" x14ac:dyDescent="0.2"/>
    <row r="2501" ht="12.75" customHeight="1" x14ac:dyDescent="0.2"/>
    <row r="2502" ht="12.75" customHeight="1" x14ac:dyDescent="0.2"/>
    <row r="2503" ht="12.75" customHeight="1" x14ac:dyDescent="0.2"/>
    <row r="2504" ht="12.75" customHeight="1" x14ac:dyDescent="0.2"/>
    <row r="2505" ht="12.75" customHeight="1" x14ac:dyDescent="0.2"/>
    <row r="2506" ht="12.75" customHeight="1" x14ac:dyDescent="0.2"/>
    <row r="2507" ht="12.75" customHeight="1" x14ac:dyDescent="0.2"/>
    <row r="2508" ht="12.75" customHeight="1" x14ac:dyDescent="0.2"/>
    <row r="2509" ht="12.75" customHeight="1" x14ac:dyDescent="0.2"/>
    <row r="2510" ht="12.75" customHeight="1" x14ac:dyDescent="0.2"/>
    <row r="2511" ht="12.75" customHeight="1" x14ac:dyDescent="0.2"/>
    <row r="2512" ht="12.75" customHeight="1" x14ac:dyDescent="0.2"/>
    <row r="2513" ht="12.75" customHeight="1" x14ac:dyDescent="0.2"/>
    <row r="2514" ht="12.75" customHeight="1" x14ac:dyDescent="0.2"/>
    <row r="2515" ht="12.75" customHeight="1" x14ac:dyDescent="0.2"/>
    <row r="2516" ht="12.75" customHeight="1" x14ac:dyDescent="0.2"/>
    <row r="2517" ht="12.75" customHeight="1" x14ac:dyDescent="0.2"/>
    <row r="2518" ht="12.75" customHeight="1" x14ac:dyDescent="0.2"/>
    <row r="2519" ht="12.75" customHeight="1" x14ac:dyDescent="0.2"/>
    <row r="2520" ht="12.75" customHeight="1" x14ac:dyDescent="0.2"/>
    <row r="2521" ht="12.75" customHeight="1" x14ac:dyDescent="0.2"/>
    <row r="2522" ht="12.75" customHeight="1" x14ac:dyDescent="0.2"/>
    <row r="2523" ht="12.75" customHeight="1" x14ac:dyDescent="0.2"/>
    <row r="2524" ht="12.75" customHeight="1" x14ac:dyDescent="0.2"/>
    <row r="2525" ht="12.75" customHeight="1" x14ac:dyDescent="0.2"/>
    <row r="2526" ht="12.75" customHeight="1" x14ac:dyDescent="0.2"/>
    <row r="2527" ht="12.75" customHeight="1" x14ac:dyDescent="0.2"/>
    <row r="2528" ht="12.75" customHeight="1" x14ac:dyDescent="0.2"/>
    <row r="2529" ht="12.75" customHeight="1" x14ac:dyDescent="0.2"/>
    <row r="2530" ht="12.75" customHeight="1" x14ac:dyDescent="0.2"/>
    <row r="2531" ht="12.75" customHeight="1" x14ac:dyDescent="0.2"/>
    <row r="2532" ht="12.75" customHeight="1" x14ac:dyDescent="0.2"/>
    <row r="2533" ht="12.75" customHeight="1" x14ac:dyDescent="0.2"/>
    <row r="2534" ht="12.75" customHeight="1" x14ac:dyDescent="0.2"/>
    <row r="2535" ht="12.75" customHeight="1" x14ac:dyDescent="0.2"/>
    <row r="2536" ht="12.75" customHeight="1" x14ac:dyDescent="0.2"/>
    <row r="2537" ht="12.75" customHeight="1" x14ac:dyDescent="0.2"/>
    <row r="2538" ht="12.75" customHeight="1" x14ac:dyDescent="0.2"/>
    <row r="2539" ht="12.75" customHeight="1" x14ac:dyDescent="0.2"/>
    <row r="2540" ht="12.75" customHeight="1" x14ac:dyDescent="0.2"/>
    <row r="2541" ht="12.75" customHeight="1" x14ac:dyDescent="0.2"/>
    <row r="2542" ht="12.75" customHeight="1" x14ac:dyDescent="0.2"/>
    <row r="2543" ht="12.75" customHeight="1" x14ac:dyDescent="0.2"/>
    <row r="2544" ht="12.75" customHeight="1" x14ac:dyDescent="0.2"/>
    <row r="2545" ht="12.75" customHeight="1" x14ac:dyDescent="0.2"/>
    <row r="2546" ht="12.75" customHeight="1" x14ac:dyDescent="0.2"/>
    <row r="2547" ht="12.75" customHeight="1" x14ac:dyDescent="0.2"/>
    <row r="2548" ht="12.75" customHeight="1" x14ac:dyDescent="0.2"/>
    <row r="2549" ht="12.75" customHeight="1" x14ac:dyDescent="0.2"/>
    <row r="2550" ht="12.75" customHeight="1" x14ac:dyDescent="0.2"/>
    <row r="2551" ht="12.75" customHeight="1" x14ac:dyDescent="0.2"/>
    <row r="2552" ht="12.75" customHeight="1" x14ac:dyDescent="0.2"/>
    <row r="2553" ht="12.75" customHeight="1" x14ac:dyDescent="0.2"/>
    <row r="2554" ht="12.75" customHeight="1" x14ac:dyDescent="0.2"/>
    <row r="2555" ht="12.75" customHeight="1" x14ac:dyDescent="0.2"/>
    <row r="2556" ht="12.75" customHeight="1" x14ac:dyDescent="0.2"/>
    <row r="2557" ht="12.75" customHeight="1" x14ac:dyDescent="0.2"/>
    <row r="2558" ht="12.75" customHeight="1" x14ac:dyDescent="0.2"/>
    <row r="2559" ht="12.75" customHeight="1" x14ac:dyDescent="0.2"/>
    <row r="2560" ht="12.75" customHeight="1" x14ac:dyDescent="0.2"/>
    <row r="2561" ht="12.75" customHeight="1" x14ac:dyDescent="0.2"/>
    <row r="2562" ht="12.75" customHeight="1" x14ac:dyDescent="0.2"/>
    <row r="2563" ht="12.75" customHeight="1" x14ac:dyDescent="0.2"/>
    <row r="2564" ht="12.75" customHeight="1" x14ac:dyDescent="0.2"/>
    <row r="2565" ht="12.75" customHeight="1" x14ac:dyDescent="0.2"/>
    <row r="2566" ht="12.75" customHeight="1" x14ac:dyDescent="0.2"/>
    <row r="2567" ht="12.75" customHeight="1" x14ac:dyDescent="0.2"/>
    <row r="2568" ht="12.75" customHeight="1" x14ac:dyDescent="0.2"/>
    <row r="2569" ht="12.75" customHeight="1" x14ac:dyDescent="0.2"/>
    <row r="2570" ht="12.75" customHeight="1" x14ac:dyDescent="0.2"/>
    <row r="2571" ht="12.75" customHeight="1" x14ac:dyDescent="0.2"/>
    <row r="2572" ht="12.75" customHeight="1" x14ac:dyDescent="0.2"/>
    <row r="2573" ht="12.75" customHeight="1" x14ac:dyDescent="0.2"/>
    <row r="2574" ht="12.75" customHeight="1" x14ac:dyDescent="0.2"/>
    <row r="2575" ht="12.75" customHeight="1" x14ac:dyDescent="0.2"/>
    <row r="2576" ht="12.75" customHeight="1" x14ac:dyDescent="0.2"/>
    <row r="2577" ht="12.75" customHeight="1" x14ac:dyDescent="0.2"/>
    <row r="2578" ht="12.75" customHeight="1" x14ac:dyDescent="0.2"/>
    <row r="2579" ht="12.75" customHeight="1" x14ac:dyDescent="0.2"/>
    <row r="2580" ht="12.75" customHeight="1" x14ac:dyDescent="0.2"/>
    <row r="2581" ht="12.75" customHeight="1" x14ac:dyDescent="0.2"/>
    <row r="2582" ht="12.75" customHeight="1" x14ac:dyDescent="0.2"/>
    <row r="2583" ht="12.75" customHeight="1" x14ac:dyDescent="0.2"/>
    <row r="2584" ht="12.75" customHeight="1" x14ac:dyDescent="0.2"/>
    <row r="2585" ht="12.75" customHeight="1" x14ac:dyDescent="0.2"/>
    <row r="2586" ht="12.75" customHeight="1" x14ac:dyDescent="0.2"/>
    <row r="2587" ht="12.75" customHeight="1" x14ac:dyDescent="0.2"/>
    <row r="2588" ht="12.75" customHeight="1" x14ac:dyDescent="0.2"/>
    <row r="2589" ht="12.75" customHeight="1" x14ac:dyDescent="0.2"/>
    <row r="2590" ht="12.75" customHeight="1" x14ac:dyDescent="0.2"/>
    <row r="2591" ht="12.75" customHeight="1" x14ac:dyDescent="0.2"/>
    <row r="2592" ht="12.75" customHeight="1" x14ac:dyDescent="0.2"/>
    <row r="2593" ht="12.75" customHeight="1" x14ac:dyDescent="0.2"/>
    <row r="2594" ht="12.75" customHeight="1" x14ac:dyDescent="0.2"/>
    <row r="2595" ht="12.75" customHeight="1" x14ac:dyDescent="0.2"/>
    <row r="2596" ht="12.75" customHeight="1" x14ac:dyDescent="0.2"/>
    <row r="2597" ht="12.75" customHeight="1" x14ac:dyDescent="0.2"/>
    <row r="2598" ht="12.75" customHeight="1" x14ac:dyDescent="0.2"/>
    <row r="2599" ht="12.75" customHeight="1" x14ac:dyDescent="0.2"/>
    <row r="2600" ht="12.75" customHeight="1" x14ac:dyDescent="0.2"/>
    <row r="2601" ht="12.75" customHeight="1" x14ac:dyDescent="0.2"/>
    <row r="2602" ht="12.75" customHeight="1" x14ac:dyDescent="0.2"/>
    <row r="2603" ht="12.75" customHeight="1" x14ac:dyDescent="0.2"/>
    <row r="2604" ht="12.75" customHeight="1" x14ac:dyDescent="0.2"/>
    <row r="2605" ht="12.75" customHeight="1" x14ac:dyDescent="0.2"/>
    <row r="2606" ht="12.75" customHeight="1" x14ac:dyDescent="0.2"/>
    <row r="2607" ht="12.75" customHeight="1" x14ac:dyDescent="0.2"/>
    <row r="2608" ht="12.75" customHeight="1" x14ac:dyDescent="0.2"/>
    <row r="2609" ht="12.75" customHeight="1" x14ac:dyDescent="0.2"/>
    <row r="2610" ht="12.75" customHeight="1" x14ac:dyDescent="0.2"/>
    <row r="2611" ht="12.75" customHeight="1" x14ac:dyDescent="0.2"/>
    <row r="2612" ht="12.75" customHeight="1" x14ac:dyDescent="0.2"/>
    <row r="2613" ht="12.75" customHeight="1" x14ac:dyDescent="0.2"/>
    <row r="2614" ht="12.75" customHeight="1" x14ac:dyDescent="0.2"/>
    <row r="2615" ht="12.75" customHeight="1" x14ac:dyDescent="0.2"/>
    <row r="2616" ht="12.75" customHeight="1" x14ac:dyDescent="0.2"/>
    <row r="2617" ht="12.75" customHeight="1" x14ac:dyDescent="0.2"/>
    <row r="2618" ht="12.75" customHeight="1" x14ac:dyDescent="0.2"/>
    <row r="2619" ht="12.75" customHeight="1" x14ac:dyDescent="0.2"/>
    <row r="2620" ht="12.75" customHeight="1" x14ac:dyDescent="0.2"/>
    <row r="2621" ht="12.75" customHeight="1" x14ac:dyDescent="0.2"/>
    <row r="2622" ht="12.75" customHeight="1" x14ac:dyDescent="0.2"/>
    <row r="2623" ht="12.75" customHeight="1" x14ac:dyDescent="0.2"/>
    <row r="2624" ht="12.75" customHeight="1" x14ac:dyDescent="0.2"/>
    <row r="2625" ht="12.75" customHeight="1" x14ac:dyDescent="0.2"/>
    <row r="2626" ht="12.75" customHeight="1" x14ac:dyDescent="0.2"/>
    <row r="2627" ht="12.75" customHeight="1" x14ac:dyDescent="0.2"/>
    <row r="2628" ht="12.75" customHeight="1" x14ac:dyDescent="0.2"/>
    <row r="2629" ht="12.75" customHeight="1" x14ac:dyDescent="0.2"/>
    <row r="2630" ht="12.75" customHeight="1" x14ac:dyDescent="0.2"/>
    <row r="2631" ht="12.75" customHeight="1" x14ac:dyDescent="0.2"/>
    <row r="2632" ht="12.75" customHeight="1" x14ac:dyDescent="0.2"/>
    <row r="2633" ht="12.75" customHeight="1" x14ac:dyDescent="0.2"/>
    <row r="2634" ht="12.75" customHeight="1" x14ac:dyDescent="0.2"/>
    <row r="2635" ht="12.75" customHeight="1" x14ac:dyDescent="0.2"/>
    <row r="2636" ht="12.75" customHeight="1" x14ac:dyDescent="0.2"/>
    <row r="2637" ht="12.75" customHeight="1" x14ac:dyDescent="0.2"/>
    <row r="2638" ht="12.75" customHeight="1" x14ac:dyDescent="0.2"/>
    <row r="2639" ht="12.75" customHeight="1" x14ac:dyDescent="0.2"/>
    <row r="2640" ht="12.75" customHeight="1" x14ac:dyDescent="0.2"/>
    <row r="2641" ht="12.75" customHeight="1" x14ac:dyDescent="0.2"/>
    <row r="2642" ht="12.75" customHeight="1" x14ac:dyDescent="0.2"/>
    <row r="2643" ht="12.75" customHeight="1" x14ac:dyDescent="0.2"/>
    <row r="2644" ht="12.75" customHeight="1" x14ac:dyDescent="0.2"/>
    <row r="2645" ht="12.75" customHeight="1" x14ac:dyDescent="0.2"/>
    <row r="2646" ht="12.75" customHeight="1" x14ac:dyDescent="0.2"/>
    <row r="2647" ht="12.75" customHeight="1" x14ac:dyDescent="0.2"/>
    <row r="2648" ht="12.75" customHeight="1" x14ac:dyDescent="0.2"/>
    <row r="2649" ht="12.75" customHeight="1" x14ac:dyDescent="0.2"/>
    <row r="2650" ht="12.75" customHeight="1" x14ac:dyDescent="0.2"/>
    <row r="2651" ht="12.75" customHeight="1" x14ac:dyDescent="0.2"/>
    <row r="2652" ht="12.75" customHeight="1" x14ac:dyDescent="0.2"/>
    <row r="2653" ht="12.75" customHeight="1" x14ac:dyDescent="0.2"/>
    <row r="2654" ht="12.75" customHeight="1" x14ac:dyDescent="0.2"/>
    <row r="2655" ht="12.75" customHeight="1" x14ac:dyDescent="0.2"/>
    <row r="2656" ht="12.75" customHeight="1" x14ac:dyDescent="0.2"/>
    <row r="2657" ht="12.75" customHeight="1" x14ac:dyDescent="0.2"/>
    <row r="2658" ht="12.75" customHeight="1" x14ac:dyDescent="0.2"/>
    <row r="2659" ht="12.75" customHeight="1" x14ac:dyDescent="0.2"/>
    <row r="2660" ht="12.75" customHeight="1" x14ac:dyDescent="0.2"/>
    <row r="2661" ht="12.75" customHeight="1" x14ac:dyDescent="0.2"/>
    <row r="2662" ht="12.75" customHeight="1" x14ac:dyDescent="0.2"/>
    <row r="2663" ht="12.75" customHeight="1" x14ac:dyDescent="0.2"/>
    <row r="2664" ht="12.75" customHeight="1" x14ac:dyDescent="0.2"/>
    <row r="2665" ht="12.75" customHeight="1" x14ac:dyDescent="0.2"/>
    <row r="2666" ht="12.75" customHeight="1" x14ac:dyDescent="0.2"/>
    <row r="2667" ht="12.75" customHeight="1" x14ac:dyDescent="0.2"/>
    <row r="2668" ht="12.75" customHeight="1" x14ac:dyDescent="0.2"/>
    <row r="2669" ht="12.75" customHeight="1" x14ac:dyDescent="0.2"/>
    <row r="2670" ht="12.75" customHeight="1" x14ac:dyDescent="0.2"/>
    <row r="2671" ht="12.75" customHeight="1" x14ac:dyDescent="0.2"/>
    <row r="2672" ht="12.75" customHeight="1" x14ac:dyDescent="0.2"/>
    <row r="2673" ht="12.75" customHeight="1" x14ac:dyDescent="0.2"/>
    <row r="2674" ht="12.75" customHeight="1" x14ac:dyDescent="0.2"/>
    <row r="2675" ht="12.75" customHeight="1" x14ac:dyDescent="0.2"/>
    <row r="2676" ht="12.75" customHeight="1" x14ac:dyDescent="0.2"/>
    <row r="2677" ht="12.75" customHeight="1" x14ac:dyDescent="0.2"/>
    <row r="2678" ht="12.75" customHeight="1" x14ac:dyDescent="0.2"/>
    <row r="2679" ht="12.75" customHeight="1" x14ac:dyDescent="0.2"/>
    <row r="2680" ht="12.75" customHeight="1" x14ac:dyDescent="0.2"/>
    <row r="2681" ht="12.75" customHeight="1" x14ac:dyDescent="0.2"/>
    <row r="2682" ht="12.75" customHeight="1" x14ac:dyDescent="0.2"/>
    <row r="2683" ht="12.75" customHeight="1" x14ac:dyDescent="0.2"/>
    <row r="2684" ht="12.75" customHeight="1" x14ac:dyDescent="0.2"/>
    <row r="2685" ht="12.75" customHeight="1" x14ac:dyDescent="0.2"/>
    <row r="2686" ht="12.75" customHeight="1" x14ac:dyDescent="0.2"/>
    <row r="2687" ht="12.75" customHeight="1" x14ac:dyDescent="0.2"/>
    <row r="2688" ht="12.75" customHeight="1" x14ac:dyDescent="0.2"/>
    <row r="2689" ht="12.75" customHeight="1" x14ac:dyDescent="0.2"/>
    <row r="2690" ht="12.75" customHeight="1" x14ac:dyDescent="0.2"/>
    <row r="2691" ht="12.75" customHeight="1" x14ac:dyDescent="0.2"/>
    <row r="2692" ht="12.75" customHeight="1" x14ac:dyDescent="0.2"/>
    <row r="2693" ht="12.75" customHeight="1" x14ac:dyDescent="0.2"/>
    <row r="2694" ht="12.75" customHeight="1" x14ac:dyDescent="0.2"/>
    <row r="2695" ht="12.75" customHeight="1" x14ac:dyDescent="0.2"/>
    <row r="2696" ht="12.75" customHeight="1" x14ac:dyDescent="0.2"/>
    <row r="2697" ht="12.75" customHeight="1" x14ac:dyDescent="0.2"/>
    <row r="2698" ht="12.75" customHeight="1" x14ac:dyDescent="0.2"/>
    <row r="2699" ht="12.75" customHeight="1" x14ac:dyDescent="0.2"/>
    <row r="2700" ht="12.75" customHeight="1" x14ac:dyDescent="0.2"/>
    <row r="2701" ht="12.75" customHeight="1" x14ac:dyDescent="0.2"/>
    <row r="2702" ht="12.75" customHeight="1" x14ac:dyDescent="0.2"/>
    <row r="2703" ht="12.75" customHeight="1" x14ac:dyDescent="0.2"/>
    <row r="2704" ht="12.75" customHeight="1" x14ac:dyDescent="0.2"/>
    <row r="2705" ht="12.75" customHeight="1" x14ac:dyDescent="0.2"/>
    <row r="2706" ht="12.75" customHeight="1" x14ac:dyDescent="0.2"/>
    <row r="2707" ht="12.75" customHeight="1" x14ac:dyDescent="0.2"/>
    <row r="2708" ht="12.75" customHeight="1" x14ac:dyDescent="0.2"/>
    <row r="2709" ht="12.75" customHeight="1" x14ac:dyDescent="0.2"/>
    <row r="2710" ht="12.75" customHeight="1" x14ac:dyDescent="0.2"/>
    <row r="2711" ht="12.75" customHeight="1" x14ac:dyDescent="0.2"/>
    <row r="2712" ht="12.75" customHeight="1" x14ac:dyDescent="0.2"/>
    <row r="2713" ht="12.75" customHeight="1" x14ac:dyDescent="0.2"/>
    <row r="2714" ht="12.75" customHeight="1" x14ac:dyDescent="0.2"/>
    <row r="2715" ht="12.75" customHeight="1" x14ac:dyDescent="0.2"/>
    <row r="2716" ht="12.75" customHeight="1" x14ac:dyDescent="0.2"/>
    <row r="2717" ht="12.75" customHeight="1" x14ac:dyDescent="0.2"/>
    <row r="2718" ht="12.75" customHeight="1" x14ac:dyDescent="0.2"/>
    <row r="2719" ht="12.75" customHeight="1" x14ac:dyDescent="0.2"/>
    <row r="2720" ht="12.75" customHeight="1" x14ac:dyDescent="0.2"/>
    <row r="2721" ht="12.75" customHeight="1" x14ac:dyDescent="0.2"/>
    <row r="2722" ht="12.75" customHeight="1" x14ac:dyDescent="0.2"/>
    <row r="2723" ht="12.75" customHeight="1" x14ac:dyDescent="0.2"/>
    <row r="2724" ht="12.75" customHeight="1" x14ac:dyDescent="0.2"/>
    <row r="2725" ht="12.75" customHeight="1" x14ac:dyDescent="0.2"/>
    <row r="2726" ht="12.75" customHeight="1" x14ac:dyDescent="0.2"/>
    <row r="2727" ht="12.75" customHeight="1" x14ac:dyDescent="0.2"/>
    <row r="2728" ht="12.75" customHeight="1" x14ac:dyDescent="0.2"/>
    <row r="2729" ht="12.75" customHeight="1" x14ac:dyDescent="0.2"/>
    <row r="2730" ht="12.75" customHeight="1" x14ac:dyDescent="0.2"/>
    <row r="2731" ht="12.75" customHeight="1" x14ac:dyDescent="0.2"/>
    <row r="2732" ht="12.75" customHeight="1" x14ac:dyDescent="0.2"/>
    <row r="2733" ht="12.75" customHeight="1" x14ac:dyDescent="0.2"/>
    <row r="2734" ht="12.75" customHeight="1" x14ac:dyDescent="0.2"/>
    <row r="2735" ht="12.75" customHeight="1" x14ac:dyDescent="0.2"/>
    <row r="2736" ht="12.75" customHeight="1" x14ac:dyDescent="0.2"/>
    <row r="2737" ht="12.75" customHeight="1" x14ac:dyDescent="0.2"/>
    <row r="2738" ht="12.75" customHeight="1" x14ac:dyDescent="0.2"/>
    <row r="2739" ht="12.75" customHeight="1" x14ac:dyDescent="0.2"/>
    <row r="2740" ht="12.75" customHeight="1" x14ac:dyDescent="0.2"/>
    <row r="2741" ht="12.75" customHeight="1" x14ac:dyDescent="0.2"/>
    <row r="2742" ht="12.75" customHeight="1" x14ac:dyDescent="0.2"/>
    <row r="2743" ht="12.75" customHeight="1" x14ac:dyDescent="0.2"/>
    <row r="2744" ht="12.75" customHeight="1" x14ac:dyDescent="0.2"/>
    <row r="2745" ht="12.75" customHeight="1" x14ac:dyDescent="0.2"/>
    <row r="2746" ht="12.75" customHeight="1" x14ac:dyDescent="0.2"/>
    <row r="2747" ht="12.75" customHeight="1" x14ac:dyDescent="0.2"/>
    <row r="2748" ht="12.75" customHeight="1" x14ac:dyDescent="0.2"/>
    <row r="2749" ht="12.75" customHeight="1" x14ac:dyDescent="0.2"/>
    <row r="2750" ht="12.75" customHeight="1" x14ac:dyDescent="0.2"/>
    <row r="2751" ht="12.75" customHeight="1" x14ac:dyDescent="0.2"/>
    <row r="2752" ht="12.75" customHeight="1" x14ac:dyDescent="0.2"/>
    <row r="2753" ht="12.75" customHeight="1" x14ac:dyDescent="0.2"/>
    <row r="2754" ht="12.75" customHeight="1" x14ac:dyDescent="0.2"/>
    <row r="2755" ht="12.75" customHeight="1" x14ac:dyDescent="0.2"/>
    <row r="2756" ht="12.75" customHeight="1" x14ac:dyDescent="0.2"/>
    <row r="2757" ht="12.75" customHeight="1" x14ac:dyDescent="0.2"/>
    <row r="2758" ht="12.75" customHeight="1" x14ac:dyDescent="0.2"/>
    <row r="2759" ht="12.75" customHeight="1" x14ac:dyDescent="0.2"/>
    <row r="2760" ht="12.75" customHeight="1" x14ac:dyDescent="0.2"/>
    <row r="2761" ht="12.75" customHeight="1" x14ac:dyDescent="0.2"/>
    <row r="2762" ht="12.75" customHeight="1" x14ac:dyDescent="0.2"/>
    <row r="2763" ht="12.75" customHeight="1" x14ac:dyDescent="0.2"/>
    <row r="2764" ht="12.75" customHeight="1" x14ac:dyDescent="0.2"/>
    <row r="2765" ht="12.75" customHeight="1" x14ac:dyDescent="0.2"/>
    <row r="2766" ht="12.75" customHeight="1" x14ac:dyDescent="0.2"/>
    <row r="2767" ht="12.75" customHeight="1" x14ac:dyDescent="0.2"/>
    <row r="2768" ht="12.75" customHeight="1" x14ac:dyDescent="0.2"/>
    <row r="2769" ht="12.75" customHeight="1" x14ac:dyDescent="0.2"/>
    <row r="2770" ht="12.75" customHeight="1" x14ac:dyDescent="0.2"/>
    <row r="2771" ht="12.75" customHeight="1" x14ac:dyDescent="0.2"/>
    <row r="2772" ht="12.75" customHeight="1" x14ac:dyDescent="0.2"/>
    <row r="2773" ht="12.75" customHeight="1" x14ac:dyDescent="0.2"/>
    <row r="2774" ht="12.75" customHeight="1" x14ac:dyDescent="0.2"/>
    <row r="2775" ht="12.75" customHeight="1" x14ac:dyDescent="0.2"/>
    <row r="2776" ht="12.75" customHeight="1" x14ac:dyDescent="0.2"/>
    <row r="2777" ht="12.75" customHeight="1" x14ac:dyDescent="0.2"/>
    <row r="2778" ht="12.75" customHeight="1" x14ac:dyDescent="0.2"/>
    <row r="2779" ht="12.75" customHeight="1" x14ac:dyDescent="0.2"/>
    <row r="2780" ht="12.75" customHeight="1" x14ac:dyDescent="0.2"/>
    <row r="2781" ht="12.75" customHeight="1" x14ac:dyDescent="0.2"/>
    <row r="2782" ht="12.75" customHeight="1" x14ac:dyDescent="0.2"/>
    <row r="2783" ht="12.75" customHeight="1" x14ac:dyDescent="0.2"/>
    <row r="2784" ht="12.75" customHeight="1" x14ac:dyDescent="0.2"/>
    <row r="2785" ht="12.75" customHeight="1" x14ac:dyDescent="0.2"/>
    <row r="2786" ht="12.75" customHeight="1" x14ac:dyDescent="0.2"/>
    <row r="2787" ht="12.75" customHeight="1" x14ac:dyDescent="0.2"/>
    <row r="2788" ht="12.75" customHeight="1" x14ac:dyDescent="0.2"/>
    <row r="2789" ht="12.75" customHeight="1" x14ac:dyDescent="0.2"/>
    <row r="2790" ht="12.75" customHeight="1" x14ac:dyDescent="0.2"/>
    <row r="2791" ht="12.75" customHeight="1" x14ac:dyDescent="0.2"/>
    <row r="2792" ht="12.75" customHeight="1" x14ac:dyDescent="0.2"/>
    <row r="2793" ht="12.75" customHeight="1" x14ac:dyDescent="0.2"/>
    <row r="2794" ht="12.75" customHeight="1" x14ac:dyDescent="0.2"/>
    <row r="2795" ht="12.75" customHeight="1" x14ac:dyDescent="0.2"/>
    <row r="2796" ht="12.75" customHeight="1" x14ac:dyDescent="0.2"/>
    <row r="2797" ht="12.75" customHeight="1" x14ac:dyDescent="0.2"/>
    <row r="2798" ht="12.75" customHeight="1" x14ac:dyDescent="0.2"/>
    <row r="2799" ht="12.75" customHeight="1" x14ac:dyDescent="0.2"/>
    <row r="2800" ht="12.75" customHeight="1" x14ac:dyDescent="0.2"/>
    <row r="2801" ht="12.75" customHeight="1" x14ac:dyDescent="0.2"/>
    <row r="2802" ht="12.75" customHeight="1" x14ac:dyDescent="0.2"/>
    <row r="2803" ht="12.75" customHeight="1" x14ac:dyDescent="0.2"/>
    <row r="2804" ht="12.75" customHeight="1" x14ac:dyDescent="0.2"/>
    <row r="2805" ht="12.75" customHeight="1" x14ac:dyDescent="0.2"/>
    <row r="2806" ht="12.75" customHeight="1" x14ac:dyDescent="0.2"/>
    <row r="2807" ht="12.75" customHeight="1" x14ac:dyDescent="0.2"/>
    <row r="2808" ht="12.75" customHeight="1" x14ac:dyDescent="0.2"/>
    <row r="2809" ht="12.75" customHeight="1" x14ac:dyDescent="0.2"/>
    <row r="2810" ht="12.75" customHeight="1" x14ac:dyDescent="0.2"/>
    <row r="2811" ht="12.75" customHeight="1" x14ac:dyDescent="0.2"/>
    <row r="2812" ht="12.75" customHeight="1" x14ac:dyDescent="0.2"/>
    <row r="2813" ht="12.75" customHeight="1" x14ac:dyDescent="0.2"/>
    <row r="2814" ht="12.75" customHeight="1" x14ac:dyDescent="0.2"/>
    <row r="2815" ht="12.75" customHeight="1" x14ac:dyDescent="0.2"/>
    <row r="2816" ht="12.75" customHeight="1" x14ac:dyDescent="0.2"/>
    <row r="2817" ht="12.75" customHeight="1" x14ac:dyDescent="0.2"/>
    <row r="2818" ht="12.75" customHeight="1" x14ac:dyDescent="0.2"/>
    <row r="2819" ht="12.75" customHeight="1" x14ac:dyDescent="0.2"/>
    <row r="2820" ht="12.75" customHeight="1" x14ac:dyDescent="0.2"/>
    <row r="2821" ht="12.75" customHeight="1" x14ac:dyDescent="0.2"/>
    <row r="2822" ht="12.75" customHeight="1" x14ac:dyDescent="0.2"/>
    <row r="2823" ht="12.75" customHeight="1" x14ac:dyDescent="0.2"/>
    <row r="2824" ht="12.75" customHeight="1" x14ac:dyDescent="0.2"/>
    <row r="2825" ht="12.75" customHeight="1" x14ac:dyDescent="0.2"/>
    <row r="2826" ht="12.75" customHeight="1" x14ac:dyDescent="0.2"/>
    <row r="2827" ht="12.75" customHeight="1" x14ac:dyDescent="0.2"/>
    <row r="2828" ht="12.75" customHeight="1" x14ac:dyDescent="0.2"/>
    <row r="2829" ht="12.75" customHeight="1" x14ac:dyDescent="0.2"/>
    <row r="2830" ht="12.75" customHeight="1" x14ac:dyDescent="0.2"/>
    <row r="2831" ht="12.75" customHeight="1" x14ac:dyDescent="0.2"/>
    <row r="2832" ht="12.75" customHeight="1" x14ac:dyDescent="0.2"/>
    <row r="2833" ht="12.75" customHeight="1" x14ac:dyDescent="0.2"/>
    <row r="2834" ht="12.75" customHeight="1" x14ac:dyDescent="0.2"/>
    <row r="2835" ht="12.75" customHeight="1" x14ac:dyDescent="0.2"/>
    <row r="2836" ht="12.75" customHeight="1" x14ac:dyDescent="0.2"/>
    <row r="2837" ht="12.75" customHeight="1" x14ac:dyDescent="0.2"/>
    <row r="2838" ht="12.75" customHeight="1" x14ac:dyDescent="0.2"/>
    <row r="2839" ht="12.75" customHeight="1" x14ac:dyDescent="0.2"/>
    <row r="2840" ht="12.75" customHeight="1" x14ac:dyDescent="0.2"/>
    <row r="2841" ht="12.75" customHeight="1" x14ac:dyDescent="0.2"/>
    <row r="2842" ht="12.75" customHeight="1" x14ac:dyDescent="0.2"/>
    <row r="2843" ht="12.75" customHeight="1" x14ac:dyDescent="0.2"/>
    <row r="2844" ht="12.75" customHeight="1" x14ac:dyDescent="0.2"/>
    <row r="2845" ht="12.75" customHeight="1" x14ac:dyDescent="0.2"/>
    <row r="2846" ht="12.75" customHeight="1" x14ac:dyDescent="0.2"/>
    <row r="2847" ht="12.75" customHeight="1" x14ac:dyDescent="0.2"/>
    <row r="2848" ht="12.75" customHeight="1" x14ac:dyDescent="0.2"/>
    <row r="2849" ht="12.75" customHeight="1" x14ac:dyDescent="0.2"/>
    <row r="2850" ht="12.75" customHeight="1" x14ac:dyDescent="0.2"/>
    <row r="2851" ht="12.75" customHeight="1" x14ac:dyDescent="0.2"/>
    <row r="2852" ht="12.75" customHeight="1" x14ac:dyDescent="0.2"/>
    <row r="2853" ht="12.75" customHeight="1" x14ac:dyDescent="0.2"/>
    <row r="2854" ht="12.75" customHeight="1" x14ac:dyDescent="0.2"/>
    <row r="2855" ht="12.75" customHeight="1" x14ac:dyDescent="0.2"/>
    <row r="2856" ht="12.75" customHeight="1" x14ac:dyDescent="0.2"/>
    <row r="2857" ht="12.75" customHeight="1" x14ac:dyDescent="0.2"/>
    <row r="2858" ht="12.75" customHeight="1" x14ac:dyDescent="0.2"/>
    <row r="2859" ht="12.75" customHeight="1" x14ac:dyDescent="0.2"/>
    <row r="2860" ht="12.75" customHeight="1" x14ac:dyDescent="0.2"/>
    <row r="2861" ht="12.75" customHeight="1" x14ac:dyDescent="0.2"/>
    <row r="2862" ht="12.75" customHeight="1" x14ac:dyDescent="0.2"/>
    <row r="2863" ht="12.75" customHeight="1" x14ac:dyDescent="0.2"/>
    <row r="2864" ht="12.75" customHeight="1" x14ac:dyDescent="0.2"/>
    <row r="2865" ht="12.75" customHeight="1" x14ac:dyDescent="0.2"/>
    <row r="2866" ht="12.75" customHeight="1" x14ac:dyDescent="0.2"/>
    <row r="2867" ht="12.75" customHeight="1" x14ac:dyDescent="0.2"/>
    <row r="2868" ht="12.75" customHeight="1" x14ac:dyDescent="0.2"/>
    <row r="2869" ht="12.75" customHeight="1" x14ac:dyDescent="0.2"/>
    <row r="2870" ht="12.75" customHeight="1" x14ac:dyDescent="0.2"/>
    <row r="2871" ht="12.75" customHeight="1" x14ac:dyDescent="0.2"/>
    <row r="2872" ht="12.75" customHeight="1" x14ac:dyDescent="0.2"/>
    <row r="2873" ht="12.75" customHeight="1" x14ac:dyDescent="0.2"/>
    <row r="2874" ht="12.75" customHeight="1" x14ac:dyDescent="0.2"/>
    <row r="2875" ht="12.75" customHeight="1" x14ac:dyDescent="0.2"/>
    <row r="2876" ht="12.75" customHeight="1" x14ac:dyDescent="0.2"/>
    <row r="2877" ht="12.75" customHeight="1" x14ac:dyDescent="0.2"/>
    <row r="2878" ht="12.75" customHeight="1" x14ac:dyDescent="0.2"/>
    <row r="2879" ht="12.75" customHeight="1" x14ac:dyDescent="0.2"/>
    <row r="2880" ht="12.75" customHeight="1" x14ac:dyDescent="0.2"/>
    <row r="2881" ht="12.75" customHeight="1" x14ac:dyDescent="0.2"/>
    <row r="2882" ht="12.75" customHeight="1" x14ac:dyDescent="0.2"/>
    <row r="2883" ht="12.75" customHeight="1" x14ac:dyDescent="0.2"/>
    <row r="2884" ht="12.75" customHeight="1" x14ac:dyDescent="0.2"/>
    <row r="2885" ht="12.75" customHeight="1" x14ac:dyDescent="0.2"/>
    <row r="2886" ht="12.75" customHeight="1" x14ac:dyDescent="0.2"/>
    <row r="2887" ht="12.75" customHeight="1" x14ac:dyDescent="0.2"/>
    <row r="2888" ht="12.75" customHeight="1" x14ac:dyDescent="0.2"/>
    <row r="2889" ht="12.75" customHeight="1" x14ac:dyDescent="0.2"/>
    <row r="2890" ht="12.75" customHeight="1" x14ac:dyDescent="0.2"/>
    <row r="2891" ht="12.75" customHeight="1" x14ac:dyDescent="0.2"/>
    <row r="2892" ht="12.75" customHeight="1" x14ac:dyDescent="0.2"/>
    <row r="2893" ht="12.75" customHeight="1" x14ac:dyDescent="0.2"/>
    <row r="2894" ht="12.75" customHeight="1" x14ac:dyDescent="0.2"/>
    <row r="2895" ht="12.75" customHeight="1" x14ac:dyDescent="0.2"/>
    <row r="2896" ht="12.75" customHeight="1" x14ac:dyDescent="0.2"/>
    <row r="2897" ht="12.75" customHeight="1" x14ac:dyDescent="0.2"/>
    <row r="2898" ht="12.75" customHeight="1" x14ac:dyDescent="0.2"/>
    <row r="2899" ht="12.75" customHeight="1" x14ac:dyDescent="0.2"/>
    <row r="2900" ht="12.75" customHeight="1" x14ac:dyDescent="0.2"/>
    <row r="2901" ht="12.75" customHeight="1" x14ac:dyDescent="0.2"/>
    <row r="2902" ht="12.75" customHeight="1" x14ac:dyDescent="0.2"/>
    <row r="2903" ht="12.75" customHeight="1" x14ac:dyDescent="0.2"/>
    <row r="2904" ht="12.75" customHeight="1" x14ac:dyDescent="0.2"/>
    <row r="2905" ht="12.75" customHeight="1" x14ac:dyDescent="0.2"/>
    <row r="2906" ht="12.75" customHeight="1" x14ac:dyDescent="0.2"/>
    <row r="2907" ht="12.75" customHeight="1" x14ac:dyDescent="0.2"/>
    <row r="2908" ht="12.75" customHeight="1" x14ac:dyDescent="0.2"/>
    <row r="2909" ht="12.75" customHeight="1" x14ac:dyDescent="0.2"/>
    <row r="2910" ht="12.75" customHeight="1" x14ac:dyDescent="0.2"/>
    <row r="2911" ht="12.75" customHeight="1" x14ac:dyDescent="0.2"/>
    <row r="2912" ht="12.75" customHeight="1" x14ac:dyDescent="0.2"/>
    <row r="2913" ht="12.75" customHeight="1" x14ac:dyDescent="0.2"/>
    <row r="2914" ht="12.75" customHeight="1" x14ac:dyDescent="0.2"/>
    <row r="2915" ht="12.75" customHeight="1" x14ac:dyDescent="0.2"/>
    <row r="2916" ht="12.75" customHeight="1" x14ac:dyDescent="0.2"/>
    <row r="2917" ht="12.75" customHeight="1" x14ac:dyDescent="0.2"/>
    <row r="2918" ht="12.75" customHeight="1" x14ac:dyDescent="0.2"/>
    <row r="2919" ht="12.75" customHeight="1" x14ac:dyDescent="0.2"/>
    <row r="2920" ht="12.75" customHeight="1" x14ac:dyDescent="0.2"/>
    <row r="2921" ht="12.75" customHeight="1" x14ac:dyDescent="0.2"/>
    <row r="2922" ht="12.75" customHeight="1" x14ac:dyDescent="0.2"/>
    <row r="2923" ht="12.75" customHeight="1" x14ac:dyDescent="0.2"/>
    <row r="2924" ht="12.75" customHeight="1" x14ac:dyDescent="0.2"/>
    <row r="2925" ht="12.75" customHeight="1" x14ac:dyDescent="0.2"/>
    <row r="2926" ht="12.75" customHeight="1" x14ac:dyDescent="0.2"/>
    <row r="2927" ht="12.75" customHeight="1" x14ac:dyDescent="0.2"/>
    <row r="2928" ht="12.75" customHeight="1" x14ac:dyDescent="0.2"/>
    <row r="2929" ht="12.75" customHeight="1" x14ac:dyDescent="0.2"/>
    <row r="2930" ht="12.75" customHeight="1" x14ac:dyDescent="0.2"/>
    <row r="2931" ht="12.75" customHeight="1" x14ac:dyDescent="0.2"/>
    <row r="2932" ht="12.75" customHeight="1" x14ac:dyDescent="0.2"/>
    <row r="2933" ht="12.75" customHeight="1" x14ac:dyDescent="0.2"/>
    <row r="2934" ht="12.75" customHeight="1" x14ac:dyDescent="0.2"/>
    <row r="2935" ht="12.75" customHeight="1" x14ac:dyDescent="0.2"/>
    <row r="2936" ht="12.75" customHeight="1" x14ac:dyDescent="0.2"/>
    <row r="2937" ht="12.75" customHeight="1" x14ac:dyDescent="0.2"/>
    <row r="2938" ht="12.75" customHeight="1" x14ac:dyDescent="0.2"/>
    <row r="2939" ht="12.75" customHeight="1" x14ac:dyDescent="0.2"/>
    <row r="2940" ht="12.75" customHeight="1" x14ac:dyDescent="0.2"/>
    <row r="2941" ht="12.75" customHeight="1" x14ac:dyDescent="0.2"/>
    <row r="2942" ht="12.75" customHeight="1" x14ac:dyDescent="0.2"/>
    <row r="2943" ht="12.75" customHeight="1" x14ac:dyDescent="0.2"/>
    <row r="2944" ht="12.75" customHeight="1" x14ac:dyDescent="0.2"/>
    <row r="2945" ht="12.75" customHeight="1" x14ac:dyDescent="0.2"/>
    <row r="2946" ht="12.75" customHeight="1" x14ac:dyDescent="0.2"/>
    <row r="2947" ht="12.75" customHeight="1" x14ac:dyDescent="0.2"/>
    <row r="2948" ht="12.75" customHeight="1" x14ac:dyDescent="0.2"/>
    <row r="2949" ht="12.75" customHeight="1" x14ac:dyDescent="0.2"/>
    <row r="2950" ht="12.75" customHeight="1" x14ac:dyDescent="0.2"/>
    <row r="2951" ht="12.75" customHeight="1" x14ac:dyDescent="0.2"/>
    <row r="2952" ht="12.75" customHeight="1" x14ac:dyDescent="0.2"/>
    <row r="2953" ht="12.75" customHeight="1" x14ac:dyDescent="0.2"/>
    <row r="2954" ht="12.75" customHeight="1" x14ac:dyDescent="0.2"/>
    <row r="2955" ht="12.75" customHeight="1" x14ac:dyDescent="0.2"/>
    <row r="2956" ht="12.75" customHeight="1" x14ac:dyDescent="0.2"/>
    <row r="2957" ht="12.75" customHeight="1" x14ac:dyDescent="0.2"/>
    <row r="2958" ht="12.75" customHeight="1" x14ac:dyDescent="0.2"/>
    <row r="2959" ht="12.75" customHeight="1" x14ac:dyDescent="0.2"/>
    <row r="2960" ht="12.75" customHeight="1" x14ac:dyDescent="0.2"/>
    <row r="2961" ht="12.75" customHeight="1" x14ac:dyDescent="0.2"/>
    <row r="2962" ht="12.75" customHeight="1" x14ac:dyDescent="0.2"/>
    <row r="2963" ht="12.75" customHeight="1" x14ac:dyDescent="0.2"/>
    <row r="2964" ht="12.75" customHeight="1" x14ac:dyDescent="0.2"/>
    <row r="2965" ht="12.75" customHeight="1" x14ac:dyDescent="0.2"/>
    <row r="2966" ht="12.75" customHeight="1" x14ac:dyDescent="0.2"/>
    <row r="2967" ht="12.75" customHeight="1" x14ac:dyDescent="0.2"/>
    <row r="2968" ht="12.75" customHeight="1" x14ac:dyDescent="0.2"/>
    <row r="2969" ht="12.75" customHeight="1" x14ac:dyDescent="0.2"/>
    <row r="2970" ht="12.75" customHeight="1" x14ac:dyDescent="0.2"/>
    <row r="2971" ht="12.75" customHeight="1" x14ac:dyDescent="0.2"/>
    <row r="2972" ht="12.75" customHeight="1" x14ac:dyDescent="0.2"/>
    <row r="2973" ht="12.75" customHeight="1" x14ac:dyDescent="0.2"/>
    <row r="2974" ht="12.75" customHeight="1" x14ac:dyDescent="0.2"/>
    <row r="2975" ht="12.75" customHeight="1" x14ac:dyDescent="0.2"/>
    <row r="2976" ht="12.75" customHeight="1" x14ac:dyDescent="0.2"/>
    <row r="2977" ht="12.75" customHeight="1" x14ac:dyDescent="0.2"/>
    <row r="2978" ht="12.75" customHeight="1" x14ac:dyDescent="0.2"/>
    <row r="2979" ht="12.75" customHeight="1" x14ac:dyDescent="0.2"/>
    <row r="2980" ht="12.75" customHeight="1" x14ac:dyDescent="0.2"/>
    <row r="2981" ht="12.75" customHeight="1" x14ac:dyDescent="0.2"/>
    <row r="2982" ht="12.75" customHeight="1" x14ac:dyDescent="0.2"/>
    <row r="2983" ht="12.75" customHeight="1" x14ac:dyDescent="0.2"/>
    <row r="2984" ht="12.75" customHeight="1" x14ac:dyDescent="0.2"/>
    <row r="2985" ht="12.75" customHeight="1" x14ac:dyDescent="0.2"/>
    <row r="2986" ht="12.75" customHeight="1" x14ac:dyDescent="0.2"/>
    <row r="2987" ht="12.75" customHeight="1" x14ac:dyDescent="0.2"/>
    <row r="2988" ht="12.75" customHeight="1" x14ac:dyDescent="0.2"/>
    <row r="2989" ht="12.75" customHeight="1" x14ac:dyDescent="0.2"/>
    <row r="2990" ht="12.75" customHeight="1" x14ac:dyDescent="0.2"/>
    <row r="2991" ht="12.75" customHeight="1" x14ac:dyDescent="0.2"/>
    <row r="2992" ht="12.75" customHeight="1" x14ac:dyDescent="0.2"/>
    <row r="2993" ht="12.75" customHeight="1" x14ac:dyDescent="0.2"/>
    <row r="2994" ht="12.75" customHeight="1" x14ac:dyDescent="0.2"/>
    <row r="2995" ht="12.75" customHeight="1" x14ac:dyDescent="0.2"/>
    <row r="2996" ht="12.75" customHeight="1" x14ac:dyDescent="0.2"/>
    <row r="2997" ht="12.75" customHeight="1" x14ac:dyDescent="0.2"/>
    <row r="2998" ht="12.75" customHeight="1" x14ac:dyDescent="0.2"/>
    <row r="2999" ht="12.75" customHeight="1" x14ac:dyDescent="0.2"/>
    <row r="3000" ht="12.75" customHeight="1" x14ac:dyDescent="0.2"/>
    <row r="3001" ht="12.75" customHeight="1" x14ac:dyDescent="0.2"/>
    <row r="3002" ht="12.75" customHeight="1" x14ac:dyDescent="0.2"/>
    <row r="3003" ht="12.75" customHeight="1" x14ac:dyDescent="0.2"/>
    <row r="3004" ht="12.75" customHeight="1" x14ac:dyDescent="0.2"/>
    <row r="3005" ht="12.75" customHeight="1" x14ac:dyDescent="0.2"/>
    <row r="3006" ht="12.75" customHeight="1" x14ac:dyDescent="0.2"/>
    <row r="3007" ht="12.75" customHeight="1" x14ac:dyDescent="0.2"/>
    <row r="3008" ht="12.75" customHeight="1" x14ac:dyDescent="0.2"/>
    <row r="3009" ht="12.75" customHeight="1" x14ac:dyDescent="0.2"/>
    <row r="3010" ht="12.75" customHeight="1" x14ac:dyDescent="0.2"/>
    <row r="3011" ht="12.75" customHeight="1" x14ac:dyDescent="0.2"/>
    <row r="3012" ht="12.75" customHeight="1" x14ac:dyDescent="0.2"/>
    <row r="3013" ht="12.75" customHeight="1" x14ac:dyDescent="0.2"/>
    <row r="3014" ht="12.75" customHeight="1" x14ac:dyDescent="0.2"/>
    <row r="3015" ht="12.75" customHeight="1" x14ac:dyDescent="0.2"/>
    <row r="3016" ht="12.75" customHeight="1" x14ac:dyDescent="0.2"/>
    <row r="3017" ht="12.75" customHeight="1" x14ac:dyDescent="0.2"/>
    <row r="3018" ht="12.75" customHeight="1" x14ac:dyDescent="0.2"/>
    <row r="3019" ht="12.75" customHeight="1" x14ac:dyDescent="0.2"/>
    <row r="3020" ht="12.75" customHeight="1" x14ac:dyDescent="0.2"/>
    <row r="3021" ht="12.75" customHeight="1" x14ac:dyDescent="0.2"/>
    <row r="3022" ht="12.75" customHeight="1" x14ac:dyDescent="0.2"/>
    <row r="3023" ht="12.75" customHeight="1" x14ac:dyDescent="0.2"/>
    <row r="3024" ht="12.75" customHeight="1" x14ac:dyDescent="0.2"/>
    <row r="3025" ht="12.75" customHeight="1" x14ac:dyDescent="0.2"/>
    <row r="3026" ht="12.75" customHeight="1" x14ac:dyDescent="0.2"/>
    <row r="3027" ht="12.75" customHeight="1" x14ac:dyDescent="0.2"/>
    <row r="3028" ht="12.75" customHeight="1" x14ac:dyDescent="0.2"/>
    <row r="3029" ht="12.75" customHeight="1" x14ac:dyDescent="0.2"/>
    <row r="3030" ht="12.75" customHeight="1" x14ac:dyDescent="0.2"/>
    <row r="3031" ht="12.75" customHeight="1" x14ac:dyDescent="0.2"/>
    <row r="3032" ht="12.75" customHeight="1" x14ac:dyDescent="0.2"/>
    <row r="3033" ht="12.75" customHeight="1" x14ac:dyDescent="0.2"/>
    <row r="3034" ht="12.75" customHeight="1" x14ac:dyDescent="0.2"/>
    <row r="3035" ht="12.75" customHeight="1" x14ac:dyDescent="0.2"/>
    <row r="3036" ht="12.75" customHeight="1" x14ac:dyDescent="0.2"/>
    <row r="3037" ht="12.75" customHeight="1" x14ac:dyDescent="0.2"/>
    <row r="3038" ht="12.75" customHeight="1" x14ac:dyDescent="0.2"/>
    <row r="3039" ht="12.75" customHeight="1" x14ac:dyDescent="0.2"/>
    <row r="3040" ht="12.75" customHeight="1" x14ac:dyDescent="0.2"/>
    <row r="3041" ht="12.75" customHeight="1" x14ac:dyDescent="0.2"/>
    <row r="3042" ht="12.75" customHeight="1" x14ac:dyDescent="0.2"/>
    <row r="3043" ht="12.75" customHeight="1" x14ac:dyDescent="0.2"/>
    <row r="3044" ht="12.75" customHeight="1" x14ac:dyDescent="0.2"/>
    <row r="3045" ht="12.75" customHeight="1" x14ac:dyDescent="0.2"/>
    <row r="3046" ht="12.75" customHeight="1" x14ac:dyDescent="0.2"/>
    <row r="3047" ht="12.75" customHeight="1" x14ac:dyDescent="0.2"/>
    <row r="3048" ht="12.75" customHeight="1" x14ac:dyDescent="0.2"/>
    <row r="3049" ht="12.75" customHeight="1" x14ac:dyDescent="0.2"/>
    <row r="3050" ht="12.75" customHeight="1" x14ac:dyDescent="0.2"/>
    <row r="3051" ht="12.75" customHeight="1" x14ac:dyDescent="0.2"/>
    <row r="3052" ht="12.75" customHeight="1" x14ac:dyDescent="0.2"/>
    <row r="3053" ht="12.75" customHeight="1" x14ac:dyDescent="0.2"/>
    <row r="3054" ht="12.75" customHeight="1" x14ac:dyDescent="0.2"/>
    <row r="3055" ht="12.75" customHeight="1" x14ac:dyDescent="0.2"/>
    <row r="3056" ht="12.75" customHeight="1" x14ac:dyDescent="0.2"/>
    <row r="3057" ht="12.75" customHeight="1" x14ac:dyDescent="0.2"/>
    <row r="3058" ht="12.75" customHeight="1" x14ac:dyDescent="0.2"/>
    <row r="3059" ht="12.75" customHeight="1" x14ac:dyDescent="0.2"/>
    <row r="3060" ht="12.75" customHeight="1" x14ac:dyDescent="0.2"/>
    <row r="3061" ht="12.75" customHeight="1" x14ac:dyDescent="0.2"/>
    <row r="3062" ht="12.75" customHeight="1" x14ac:dyDescent="0.2"/>
    <row r="3063" ht="12.75" customHeight="1" x14ac:dyDescent="0.2"/>
    <row r="3064" ht="12.75" customHeight="1" x14ac:dyDescent="0.2"/>
    <row r="3065" ht="12.75" customHeight="1" x14ac:dyDescent="0.2"/>
    <row r="3066" ht="12.75" customHeight="1" x14ac:dyDescent="0.2"/>
    <row r="3067" ht="12.75" customHeight="1" x14ac:dyDescent="0.2"/>
    <row r="3068" ht="12.75" customHeight="1" x14ac:dyDescent="0.2"/>
    <row r="3069" ht="12.75" customHeight="1" x14ac:dyDescent="0.2"/>
    <row r="3070" ht="12.75" customHeight="1" x14ac:dyDescent="0.2"/>
    <row r="3071" ht="12.75" customHeight="1" x14ac:dyDescent="0.2"/>
    <row r="3072" ht="12.75" customHeight="1" x14ac:dyDescent="0.2"/>
    <row r="3073" ht="12.75" customHeight="1" x14ac:dyDescent="0.2"/>
    <row r="3074" ht="12.75" customHeight="1" x14ac:dyDescent="0.2"/>
    <row r="3075" ht="12.75" customHeight="1" x14ac:dyDescent="0.2"/>
    <row r="3076" ht="12.75" customHeight="1" x14ac:dyDescent="0.2"/>
    <row r="3077" ht="12.75" customHeight="1" x14ac:dyDescent="0.2"/>
    <row r="3078" ht="12.75" customHeight="1" x14ac:dyDescent="0.2"/>
    <row r="3079" ht="12.75" customHeight="1" x14ac:dyDescent="0.2"/>
    <row r="3080" ht="12.75" customHeight="1" x14ac:dyDescent="0.2"/>
    <row r="3081" ht="12.75" customHeight="1" x14ac:dyDescent="0.2"/>
    <row r="3082" ht="12.75" customHeight="1" x14ac:dyDescent="0.2"/>
    <row r="3083" ht="12.75" customHeight="1" x14ac:dyDescent="0.2"/>
    <row r="3084" ht="12.75" customHeight="1" x14ac:dyDescent="0.2"/>
    <row r="3085" ht="12.75" customHeight="1" x14ac:dyDescent="0.2"/>
    <row r="3086" ht="12.75" customHeight="1" x14ac:dyDescent="0.2"/>
    <row r="3087" ht="12.75" customHeight="1" x14ac:dyDescent="0.2"/>
    <row r="3088" ht="12.75" customHeight="1" x14ac:dyDescent="0.2"/>
    <row r="3089" ht="12.75" customHeight="1" x14ac:dyDescent="0.2"/>
    <row r="3090" ht="12.75" customHeight="1" x14ac:dyDescent="0.2"/>
    <row r="3091" ht="12.75" customHeight="1" x14ac:dyDescent="0.2"/>
    <row r="3092" ht="12.75" customHeight="1" x14ac:dyDescent="0.2"/>
    <row r="3093" ht="12.75" customHeight="1" x14ac:dyDescent="0.2"/>
    <row r="3094" ht="12.75" customHeight="1" x14ac:dyDescent="0.2"/>
    <row r="3095" ht="12.75" customHeight="1" x14ac:dyDescent="0.2"/>
    <row r="3096" ht="12.75" customHeight="1" x14ac:dyDescent="0.2"/>
    <row r="3097" ht="12.75" customHeight="1" x14ac:dyDescent="0.2"/>
    <row r="3098" ht="12.75" customHeight="1" x14ac:dyDescent="0.2"/>
    <row r="3099" ht="12.75" customHeight="1" x14ac:dyDescent="0.2"/>
    <row r="3100" ht="12.75" customHeight="1" x14ac:dyDescent="0.2"/>
    <row r="3101" ht="12.75" customHeight="1" x14ac:dyDescent="0.2"/>
    <row r="3102" ht="12.75" customHeight="1" x14ac:dyDescent="0.2"/>
    <row r="3103" ht="12.75" customHeight="1" x14ac:dyDescent="0.2"/>
    <row r="3104" ht="12.75" customHeight="1" x14ac:dyDescent="0.2"/>
    <row r="3105" ht="12.75" customHeight="1" x14ac:dyDescent="0.2"/>
    <row r="3106" ht="12.75" customHeight="1" x14ac:dyDescent="0.2"/>
    <row r="3107" ht="12.75" customHeight="1" x14ac:dyDescent="0.2"/>
    <row r="3108" ht="12.75" customHeight="1" x14ac:dyDescent="0.2"/>
    <row r="3109" ht="12.75" customHeight="1" x14ac:dyDescent="0.2"/>
    <row r="3110" ht="12.75" customHeight="1" x14ac:dyDescent="0.2"/>
    <row r="3111" ht="12.75" customHeight="1" x14ac:dyDescent="0.2"/>
    <row r="3112" ht="12.75" customHeight="1" x14ac:dyDescent="0.2"/>
    <row r="3113" ht="12.75" customHeight="1" x14ac:dyDescent="0.2"/>
    <row r="3114" ht="12.75" customHeight="1" x14ac:dyDescent="0.2"/>
    <row r="3115" ht="12.75" customHeight="1" x14ac:dyDescent="0.2"/>
    <row r="3116" ht="12.75" customHeight="1" x14ac:dyDescent="0.2"/>
    <row r="3117" ht="12.75" customHeight="1" x14ac:dyDescent="0.2"/>
    <row r="3118" ht="12.75" customHeight="1" x14ac:dyDescent="0.2"/>
    <row r="3119" ht="12.75" customHeight="1" x14ac:dyDescent="0.2"/>
    <row r="3120" ht="12.75" customHeight="1" x14ac:dyDescent="0.2"/>
    <row r="3121" ht="12.75" customHeight="1" x14ac:dyDescent="0.2"/>
    <row r="3122" ht="12.75" customHeight="1" x14ac:dyDescent="0.2"/>
    <row r="3123" ht="12.75" customHeight="1" x14ac:dyDescent="0.2"/>
    <row r="3124" ht="12.75" customHeight="1" x14ac:dyDescent="0.2"/>
    <row r="3125" ht="12.75" customHeight="1" x14ac:dyDescent="0.2"/>
    <row r="3126" ht="12.75" customHeight="1" x14ac:dyDescent="0.2"/>
    <row r="3127" ht="12.75" customHeight="1" x14ac:dyDescent="0.2"/>
    <row r="3128" ht="12.75" customHeight="1" x14ac:dyDescent="0.2"/>
    <row r="3129" ht="12.75" customHeight="1" x14ac:dyDescent="0.2"/>
    <row r="3130" ht="12.75" customHeight="1" x14ac:dyDescent="0.2"/>
    <row r="3131" ht="12.75" customHeight="1" x14ac:dyDescent="0.2"/>
    <row r="3132" ht="12.75" customHeight="1" x14ac:dyDescent="0.2"/>
    <row r="3133" ht="12.75" customHeight="1" x14ac:dyDescent="0.2"/>
    <row r="3134" ht="12.75" customHeight="1" x14ac:dyDescent="0.2"/>
    <row r="3135" ht="12.75" customHeight="1" x14ac:dyDescent="0.2"/>
    <row r="3136" ht="12.75" customHeight="1" x14ac:dyDescent="0.2"/>
    <row r="3137" ht="12.75" customHeight="1" x14ac:dyDescent="0.2"/>
    <row r="3138" ht="12.75" customHeight="1" x14ac:dyDescent="0.2"/>
    <row r="3139" ht="12.75" customHeight="1" x14ac:dyDescent="0.2"/>
    <row r="3140" ht="12.75" customHeight="1" x14ac:dyDescent="0.2"/>
    <row r="3141" ht="12.75" customHeight="1" x14ac:dyDescent="0.2"/>
    <row r="3142" ht="12.75" customHeight="1" x14ac:dyDescent="0.2"/>
    <row r="3143" ht="12.75" customHeight="1" x14ac:dyDescent="0.2"/>
    <row r="3144" ht="12.75" customHeight="1" x14ac:dyDescent="0.2"/>
    <row r="3145" ht="12.75" customHeight="1" x14ac:dyDescent="0.2"/>
    <row r="3146" ht="12.75" customHeight="1" x14ac:dyDescent="0.2"/>
    <row r="3147" ht="12.75" customHeight="1" x14ac:dyDescent="0.2"/>
    <row r="3148" ht="12.75" customHeight="1" x14ac:dyDescent="0.2"/>
    <row r="3149" ht="12.75" customHeight="1" x14ac:dyDescent="0.2"/>
    <row r="3150" ht="12.75" customHeight="1" x14ac:dyDescent="0.2"/>
    <row r="3151" ht="12.75" customHeight="1" x14ac:dyDescent="0.2"/>
    <row r="3152" ht="12.75" customHeight="1" x14ac:dyDescent="0.2"/>
    <row r="3153" ht="12.75" customHeight="1" x14ac:dyDescent="0.2"/>
    <row r="3154" ht="12.75" customHeight="1" x14ac:dyDescent="0.2"/>
    <row r="3155" ht="12.75" customHeight="1" x14ac:dyDescent="0.2"/>
    <row r="3156" ht="12.75" customHeight="1" x14ac:dyDescent="0.2"/>
    <row r="3157" ht="12.75" customHeight="1" x14ac:dyDescent="0.2"/>
    <row r="3158" ht="12.75" customHeight="1" x14ac:dyDescent="0.2"/>
    <row r="3159" ht="12.75" customHeight="1" x14ac:dyDescent="0.2"/>
    <row r="3160" ht="12.75" customHeight="1" x14ac:dyDescent="0.2"/>
    <row r="3161" ht="12.75" customHeight="1" x14ac:dyDescent="0.2"/>
    <row r="3162" ht="12.75" customHeight="1" x14ac:dyDescent="0.2"/>
    <row r="3163" ht="12.75" customHeight="1" x14ac:dyDescent="0.2"/>
    <row r="3164" ht="12.75" customHeight="1" x14ac:dyDescent="0.2"/>
    <row r="3165" ht="12.75" customHeight="1" x14ac:dyDescent="0.2"/>
    <row r="3166" ht="12.75" customHeight="1" x14ac:dyDescent="0.2"/>
    <row r="3167" ht="12.75" customHeight="1" x14ac:dyDescent="0.2"/>
    <row r="3168" ht="12.75" customHeight="1" x14ac:dyDescent="0.2"/>
    <row r="3169" ht="12.75" customHeight="1" x14ac:dyDescent="0.2"/>
    <row r="3170" ht="12.75" customHeight="1" x14ac:dyDescent="0.2"/>
    <row r="3171" ht="12.75" customHeight="1" x14ac:dyDescent="0.2"/>
    <row r="3172" ht="12.75" customHeight="1" x14ac:dyDescent="0.2"/>
    <row r="3173" ht="12.75" customHeight="1" x14ac:dyDescent="0.2"/>
    <row r="3174" ht="12.75" customHeight="1" x14ac:dyDescent="0.2"/>
    <row r="3175" ht="12.75" customHeight="1" x14ac:dyDescent="0.2"/>
    <row r="3176" ht="12.75" customHeight="1" x14ac:dyDescent="0.2"/>
    <row r="3177" ht="12.75" customHeight="1" x14ac:dyDescent="0.2"/>
    <row r="3178" ht="12.75" customHeight="1" x14ac:dyDescent="0.2"/>
    <row r="3179" ht="12.75" customHeight="1" x14ac:dyDescent="0.2"/>
    <row r="3180" ht="12.75" customHeight="1" x14ac:dyDescent="0.2"/>
    <row r="3181" ht="12.75" customHeight="1" x14ac:dyDescent="0.2"/>
    <row r="3182" ht="12.75" customHeight="1" x14ac:dyDescent="0.2"/>
    <row r="3183" ht="12.75" customHeight="1" x14ac:dyDescent="0.2"/>
    <row r="3184" ht="12.75" customHeight="1" x14ac:dyDescent="0.2"/>
    <row r="3185" ht="12.75" customHeight="1" x14ac:dyDescent="0.2"/>
    <row r="3186" ht="12.75" customHeight="1" x14ac:dyDescent="0.2"/>
    <row r="3187" ht="12.75" customHeight="1" x14ac:dyDescent="0.2"/>
    <row r="3188" ht="12.75" customHeight="1" x14ac:dyDescent="0.2"/>
    <row r="3189" ht="12.75" customHeight="1" x14ac:dyDescent="0.2"/>
    <row r="3190" ht="12.75" customHeight="1" x14ac:dyDescent="0.2"/>
    <row r="3191" ht="12.75" customHeight="1" x14ac:dyDescent="0.2"/>
    <row r="3192" ht="12.75" customHeight="1" x14ac:dyDescent="0.2"/>
    <row r="3193" ht="12.75" customHeight="1" x14ac:dyDescent="0.2"/>
    <row r="3194" ht="12.75" customHeight="1" x14ac:dyDescent="0.2"/>
    <row r="3195" ht="12.75" customHeight="1" x14ac:dyDescent="0.2"/>
    <row r="3196" ht="12.75" customHeight="1" x14ac:dyDescent="0.2"/>
    <row r="3197" ht="12.75" customHeight="1" x14ac:dyDescent="0.2"/>
    <row r="3198" ht="12.75" customHeight="1" x14ac:dyDescent="0.2"/>
    <row r="3199" ht="12.75" customHeight="1" x14ac:dyDescent="0.2"/>
    <row r="3200" ht="12.75" customHeight="1" x14ac:dyDescent="0.2"/>
    <row r="3201" ht="12.75" customHeight="1" x14ac:dyDescent="0.2"/>
    <row r="3202" ht="12.75" customHeight="1" x14ac:dyDescent="0.2"/>
    <row r="3203" ht="12.75" customHeight="1" x14ac:dyDescent="0.2"/>
    <row r="3204" ht="12.75" customHeight="1" x14ac:dyDescent="0.2"/>
    <row r="3205" ht="12.75" customHeight="1" x14ac:dyDescent="0.2"/>
    <row r="3206" ht="12.75" customHeight="1" x14ac:dyDescent="0.2"/>
    <row r="3207" ht="12.75" customHeight="1" x14ac:dyDescent="0.2"/>
    <row r="3208" ht="12.75" customHeight="1" x14ac:dyDescent="0.2"/>
    <row r="3209" ht="12.75" customHeight="1" x14ac:dyDescent="0.2"/>
    <row r="3210" ht="12.75" customHeight="1" x14ac:dyDescent="0.2"/>
    <row r="3211" ht="12.75" customHeight="1" x14ac:dyDescent="0.2"/>
    <row r="3212" ht="12.75" customHeight="1" x14ac:dyDescent="0.2"/>
    <row r="3213" ht="12.75" customHeight="1" x14ac:dyDescent="0.2"/>
    <row r="3214" ht="12.75" customHeight="1" x14ac:dyDescent="0.2"/>
    <row r="3215" ht="12.75" customHeight="1" x14ac:dyDescent="0.2"/>
    <row r="3216" ht="12.75" customHeight="1" x14ac:dyDescent="0.2"/>
    <row r="3217" ht="12.75" customHeight="1" x14ac:dyDescent="0.2"/>
    <row r="3218" ht="12.75" customHeight="1" x14ac:dyDescent="0.2"/>
    <row r="3219" ht="12.75" customHeight="1" x14ac:dyDescent="0.2"/>
    <row r="3220" ht="12.75" customHeight="1" x14ac:dyDescent="0.2"/>
    <row r="3221" ht="12.75" customHeight="1" x14ac:dyDescent="0.2"/>
    <row r="3222" ht="12.75" customHeight="1" x14ac:dyDescent="0.2"/>
    <row r="3223" ht="12.75" customHeight="1" x14ac:dyDescent="0.2"/>
    <row r="3224" ht="12.75" customHeight="1" x14ac:dyDescent="0.2"/>
    <row r="3225" ht="12.75" customHeight="1" x14ac:dyDescent="0.2"/>
    <row r="3226" ht="12.75" customHeight="1" x14ac:dyDescent="0.2"/>
    <row r="3227" ht="12.75" customHeight="1" x14ac:dyDescent="0.2"/>
    <row r="3228" ht="12.75" customHeight="1" x14ac:dyDescent="0.2"/>
    <row r="3229" ht="12.75" customHeight="1" x14ac:dyDescent="0.2"/>
    <row r="3230" ht="12.75" customHeight="1" x14ac:dyDescent="0.2"/>
    <row r="3231" ht="12.75" customHeight="1" x14ac:dyDescent="0.2"/>
    <row r="3232" ht="12.75" customHeight="1" x14ac:dyDescent="0.2"/>
    <row r="3233" ht="12.75" customHeight="1" x14ac:dyDescent="0.2"/>
    <row r="3234" ht="12.75" customHeight="1" x14ac:dyDescent="0.2"/>
    <row r="3235" ht="12.75" customHeight="1" x14ac:dyDescent="0.2"/>
    <row r="3236" ht="12.75" customHeight="1" x14ac:dyDescent="0.2"/>
    <row r="3237" ht="12.75" customHeight="1" x14ac:dyDescent="0.2"/>
    <row r="3238" ht="12.75" customHeight="1" x14ac:dyDescent="0.2"/>
    <row r="3239" ht="12.75" customHeight="1" x14ac:dyDescent="0.2"/>
    <row r="3240" ht="12.75" customHeight="1" x14ac:dyDescent="0.2"/>
    <row r="3241" ht="12.75" customHeight="1" x14ac:dyDescent="0.2"/>
    <row r="3242" ht="12.75" customHeight="1" x14ac:dyDescent="0.2"/>
    <row r="3243" ht="12.75" customHeight="1" x14ac:dyDescent="0.2"/>
    <row r="3244" ht="12.75" customHeight="1" x14ac:dyDescent="0.2"/>
    <row r="3245" ht="12.75" customHeight="1" x14ac:dyDescent="0.2"/>
    <row r="3246" ht="12.75" customHeight="1" x14ac:dyDescent="0.2"/>
    <row r="3247" ht="12.75" customHeight="1" x14ac:dyDescent="0.2"/>
    <row r="3248" ht="12.75" customHeight="1" x14ac:dyDescent="0.2"/>
    <row r="3249" ht="12.75" customHeight="1" x14ac:dyDescent="0.2"/>
    <row r="3250" ht="12.75" customHeight="1" x14ac:dyDescent="0.2"/>
    <row r="3251" ht="12.75" customHeight="1" x14ac:dyDescent="0.2"/>
    <row r="3252" ht="12.75" customHeight="1" x14ac:dyDescent="0.2"/>
    <row r="3253" ht="12.75" customHeight="1" x14ac:dyDescent="0.2"/>
    <row r="3254" ht="12.75" customHeight="1" x14ac:dyDescent="0.2"/>
    <row r="3255" ht="12.75" customHeight="1" x14ac:dyDescent="0.2"/>
    <row r="3256" ht="12.75" customHeight="1" x14ac:dyDescent="0.2"/>
    <row r="3257" ht="12.75" customHeight="1" x14ac:dyDescent="0.2"/>
    <row r="3258" ht="12.75" customHeight="1" x14ac:dyDescent="0.2"/>
    <row r="3259" ht="12.75" customHeight="1" x14ac:dyDescent="0.2"/>
    <row r="3260" ht="12.75" customHeight="1" x14ac:dyDescent="0.2"/>
    <row r="3261" ht="12.75" customHeight="1" x14ac:dyDescent="0.2"/>
    <row r="3262" ht="12.75" customHeight="1" x14ac:dyDescent="0.2"/>
    <row r="3263" ht="12.75" customHeight="1" x14ac:dyDescent="0.2"/>
    <row r="3264" ht="12.75" customHeight="1" x14ac:dyDescent="0.2"/>
    <row r="3265" ht="12.75" customHeight="1" x14ac:dyDescent="0.2"/>
    <row r="3266" ht="12.75" customHeight="1" x14ac:dyDescent="0.2"/>
    <row r="3267" ht="12.75" customHeight="1" x14ac:dyDescent="0.2"/>
    <row r="3268" ht="12.75" customHeight="1" x14ac:dyDescent="0.2"/>
    <row r="3269" ht="12.75" customHeight="1" x14ac:dyDescent="0.2"/>
    <row r="3270" ht="12.75" customHeight="1" x14ac:dyDescent="0.2"/>
    <row r="3271" ht="12.75" customHeight="1" x14ac:dyDescent="0.2"/>
    <row r="3272" ht="12.75" customHeight="1" x14ac:dyDescent="0.2"/>
    <row r="3273" ht="12.75" customHeight="1" x14ac:dyDescent="0.2"/>
    <row r="3274" ht="12.75" customHeight="1" x14ac:dyDescent="0.2"/>
    <row r="3275" ht="12.75" customHeight="1" x14ac:dyDescent="0.2"/>
    <row r="3276" ht="12.75" customHeight="1" x14ac:dyDescent="0.2"/>
    <row r="3277" ht="12.75" customHeight="1" x14ac:dyDescent="0.2"/>
    <row r="3278" ht="12.75" customHeight="1" x14ac:dyDescent="0.2"/>
    <row r="3279" ht="12.75" customHeight="1" x14ac:dyDescent="0.2"/>
    <row r="3280" ht="12.75" customHeight="1" x14ac:dyDescent="0.2"/>
    <row r="3281" ht="12.75" customHeight="1" x14ac:dyDescent="0.2"/>
    <row r="3282" ht="12.75" customHeight="1" x14ac:dyDescent="0.2"/>
    <row r="3283" ht="12.75" customHeight="1" x14ac:dyDescent="0.2"/>
    <row r="3284" ht="12.75" customHeight="1" x14ac:dyDescent="0.2"/>
    <row r="3285" ht="12.75" customHeight="1" x14ac:dyDescent="0.2"/>
    <row r="3286" ht="12.75" customHeight="1" x14ac:dyDescent="0.2"/>
    <row r="3287" ht="12.75" customHeight="1" x14ac:dyDescent="0.2"/>
    <row r="3288" ht="12.75" customHeight="1" x14ac:dyDescent="0.2"/>
    <row r="3289" ht="12.75" customHeight="1" x14ac:dyDescent="0.2"/>
    <row r="3290" ht="12.75" customHeight="1" x14ac:dyDescent="0.2"/>
    <row r="3291" ht="12.75" customHeight="1" x14ac:dyDescent="0.2"/>
    <row r="3292" ht="12.75" customHeight="1" x14ac:dyDescent="0.2"/>
    <row r="3293" ht="12.75" customHeight="1" x14ac:dyDescent="0.2"/>
    <row r="3294" ht="12.75" customHeight="1" x14ac:dyDescent="0.2"/>
    <row r="3295" ht="12.75" customHeight="1" x14ac:dyDescent="0.2"/>
    <row r="3296" ht="12.75" customHeight="1" x14ac:dyDescent="0.2"/>
    <row r="3297" ht="12.75" customHeight="1" x14ac:dyDescent="0.2"/>
    <row r="3298" ht="12.75" customHeight="1" x14ac:dyDescent="0.2"/>
    <row r="3299" ht="12.75" customHeight="1" x14ac:dyDescent="0.2"/>
    <row r="3300" ht="12.75" customHeight="1" x14ac:dyDescent="0.2"/>
    <row r="3301" ht="12.75" customHeight="1" x14ac:dyDescent="0.2"/>
    <row r="3302" ht="12.75" customHeight="1" x14ac:dyDescent="0.2"/>
    <row r="3303" ht="12.75" customHeight="1" x14ac:dyDescent="0.2"/>
    <row r="3304" ht="12.75" customHeight="1" x14ac:dyDescent="0.2"/>
    <row r="3305" ht="12.75" customHeight="1" x14ac:dyDescent="0.2"/>
    <row r="3306" ht="12.75" customHeight="1" x14ac:dyDescent="0.2"/>
    <row r="3307" ht="12.75" customHeight="1" x14ac:dyDescent="0.2"/>
    <row r="3308" ht="12.75" customHeight="1" x14ac:dyDescent="0.2"/>
    <row r="3309" ht="12.75" customHeight="1" x14ac:dyDescent="0.2"/>
    <row r="3310" ht="12.75" customHeight="1" x14ac:dyDescent="0.2"/>
    <row r="3311" ht="12.75" customHeight="1" x14ac:dyDescent="0.2"/>
    <row r="3312" ht="12.75" customHeight="1" x14ac:dyDescent="0.2"/>
    <row r="3313" ht="12.75" customHeight="1" x14ac:dyDescent="0.2"/>
    <row r="3314" ht="12.75" customHeight="1" x14ac:dyDescent="0.2"/>
    <row r="3315" ht="12.75" customHeight="1" x14ac:dyDescent="0.2"/>
    <row r="3316" ht="12.75" customHeight="1" x14ac:dyDescent="0.2"/>
    <row r="3317" ht="12.75" customHeight="1" x14ac:dyDescent="0.2"/>
    <row r="3318" ht="12.75" customHeight="1" x14ac:dyDescent="0.2"/>
    <row r="3319" ht="12.75" customHeight="1" x14ac:dyDescent="0.2"/>
    <row r="3320" ht="12.75" customHeight="1" x14ac:dyDescent="0.2"/>
    <row r="3321" ht="12.75" customHeight="1" x14ac:dyDescent="0.2"/>
    <row r="3322" ht="12.75" customHeight="1" x14ac:dyDescent="0.2"/>
    <row r="3323" ht="12.75" customHeight="1" x14ac:dyDescent="0.2"/>
    <row r="3324" ht="12.75" customHeight="1" x14ac:dyDescent="0.2"/>
    <row r="3325" ht="12.75" customHeight="1" x14ac:dyDescent="0.2"/>
    <row r="3326" ht="12.75" customHeight="1" x14ac:dyDescent="0.2"/>
    <row r="3327" ht="12.75" customHeight="1" x14ac:dyDescent="0.2"/>
    <row r="3328" ht="12.75" customHeight="1" x14ac:dyDescent="0.2"/>
    <row r="3329" ht="12.75" customHeight="1" x14ac:dyDescent="0.2"/>
    <row r="3330" ht="12.75" customHeight="1" x14ac:dyDescent="0.2"/>
    <row r="3331" ht="12.75" customHeight="1" x14ac:dyDescent="0.2"/>
    <row r="3332" ht="12.75" customHeight="1" x14ac:dyDescent="0.2"/>
    <row r="3333" ht="12.75" customHeight="1" x14ac:dyDescent="0.2"/>
    <row r="3334" ht="12.75" customHeight="1" x14ac:dyDescent="0.2"/>
    <row r="3335" ht="12.75" customHeight="1" x14ac:dyDescent="0.2"/>
    <row r="3336" ht="12.75" customHeight="1" x14ac:dyDescent="0.2"/>
    <row r="3337" ht="12.75" customHeight="1" x14ac:dyDescent="0.2"/>
    <row r="3338" ht="12.75" customHeight="1" x14ac:dyDescent="0.2"/>
    <row r="3339" ht="12.75" customHeight="1" x14ac:dyDescent="0.2"/>
    <row r="3340" ht="12.75" customHeight="1" x14ac:dyDescent="0.2"/>
    <row r="3341" ht="12.75" customHeight="1" x14ac:dyDescent="0.2"/>
    <row r="3342" ht="12.75" customHeight="1" x14ac:dyDescent="0.2"/>
    <row r="3343" ht="12.75" customHeight="1" x14ac:dyDescent="0.2"/>
    <row r="3344" ht="12.75" customHeight="1" x14ac:dyDescent="0.2"/>
    <row r="3345" ht="12.75" customHeight="1" x14ac:dyDescent="0.2"/>
    <row r="3346" ht="12.75" customHeight="1" x14ac:dyDescent="0.2"/>
    <row r="3347" ht="12.75" customHeight="1" x14ac:dyDescent="0.2"/>
    <row r="3348" ht="12.75" customHeight="1" x14ac:dyDescent="0.2"/>
    <row r="3349" ht="12.75" customHeight="1" x14ac:dyDescent="0.2"/>
    <row r="3350" ht="12.75" customHeight="1" x14ac:dyDescent="0.2"/>
    <row r="3351" ht="12.75" customHeight="1" x14ac:dyDescent="0.2"/>
    <row r="3352" ht="12.75" customHeight="1" x14ac:dyDescent="0.2"/>
    <row r="3353" ht="12.75" customHeight="1" x14ac:dyDescent="0.2"/>
    <row r="3354" ht="12.75" customHeight="1" x14ac:dyDescent="0.2"/>
    <row r="3355" ht="12.75" customHeight="1" x14ac:dyDescent="0.2"/>
    <row r="3356" ht="12.75" customHeight="1" x14ac:dyDescent="0.2"/>
    <row r="3357" ht="12.75" customHeight="1" x14ac:dyDescent="0.2"/>
    <row r="3358" ht="12.75" customHeight="1" x14ac:dyDescent="0.2"/>
    <row r="3359" ht="12.75" customHeight="1" x14ac:dyDescent="0.2"/>
    <row r="3360" ht="12.75" customHeight="1" x14ac:dyDescent="0.2"/>
    <row r="3361" ht="12.75" customHeight="1" x14ac:dyDescent="0.2"/>
    <row r="3362" ht="12.75" customHeight="1" x14ac:dyDescent="0.2"/>
    <row r="3363" ht="12.75" customHeight="1" x14ac:dyDescent="0.2"/>
    <row r="3364" ht="12.75" customHeight="1" x14ac:dyDescent="0.2"/>
    <row r="3365" ht="12.75" customHeight="1" x14ac:dyDescent="0.2"/>
    <row r="3366" ht="12.75" customHeight="1" x14ac:dyDescent="0.2"/>
    <row r="3367" ht="12.75" customHeight="1" x14ac:dyDescent="0.2"/>
    <row r="3368" ht="12.75" customHeight="1" x14ac:dyDescent="0.2"/>
    <row r="3369" ht="12.75" customHeight="1" x14ac:dyDescent="0.2"/>
    <row r="3370" ht="12.75" customHeight="1" x14ac:dyDescent="0.2"/>
    <row r="3371" ht="12.75" customHeight="1" x14ac:dyDescent="0.2"/>
    <row r="3372" ht="12.75" customHeight="1" x14ac:dyDescent="0.2"/>
    <row r="3373" ht="12.75" customHeight="1" x14ac:dyDescent="0.2"/>
    <row r="3374" ht="12.75" customHeight="1" x14ac:dyDescent="0.2"/>
    <row r="3375" ht="12.75" customHeight="1" x14ac:dyDescent="0.2"/>
    <row r="3376" ht="12.75" customHeight="1" x14ac:dyDescent="0.2"/>
    <row r="3377" ht="12.75" customHeight="1" x14ac:dyDescent="0.2"/>
    <row r="3378" ht="12.75" customHeight="1" x14ac:dyDescent="0.2"/>
    <row r="3379" ht="12.75" customHeight="1" x14ac:dyDescent="0.2"/>
    <row r="3380" ht="12.75" customHeight="1" x14ac:dyDescent="0.2"/>
    <row r="3381" ht="12.75" customHeight="1" x14ac:dyDescent="0.2"/>
    <row r="3382" ht="12.75" customHeight="1" x14ac:dyDescent="0.2"/>
    <row r="3383" ht="12.75" customHeight="1" x14ac:dyDescent="0.2"/>
    <row r="3384" ht="12.75" customHeight="1" x14ac:dyDescent="0.2"/>
    <row r="3385" ht="12.75" customHeight="1" x14ac:dyDescent="0.2"/>
    <row r="3386" ht="12.75" customHeight="1" x14ac:dyDescent="0.2"/>
    <row r="3387" ht="12.75" customHeight="1" x14ac:dyDescent="0.2"/>
    <row r="3388" ht="12.75" customHeight="1" x14ac:dyDescent="0.2"/>
    <row r="3389" ht="12.75" customHeight="1" x14ac:dyDescent="0.2"/>
    <row r="3390" ht="12.75" customHeight="1" x14ac:dyDescent="0.2"/>
    <row r="3391" ht="12.75" customHeight="1" x14ac:dyDescent="0.2"/>
    <row r="3392" ht="12.75" customHeight="1" x14ac:dyDescent="0.2"/>
    <row r="3393" ht="12.75" customHeight="1" x14ac:dyDescent="0.2"/>
    <row r="3394" ht="12.75" customHeight="1" x14ac:dyDescent="0.2"/>
    <row r="3395" ht="12.75" customHeight="1" x14ac:dyDescent="0.2"/>
    <row r="3396" ht="12.75" customHeight="1" x14ac:dyDescent="0.2"/>
    <row r="3397" ht="12.75" customHeight="1" x14ac:dyDescent="0.2"/>
    <row r="3398" ht="12.75" customHeight="1" x14ac:dyDescent="0.2"/>
    <row r="3399" ht="12.75" customHeight="1" x14ac:dyDescent="0.2"/>
    <row r="3400" ht="12.75" customHeight="1" x14ac:dyDescent="0.2"/>
    <row r="3401" ht="12.75" customHeight="1" x14ac:dyDescent="0.2"/>
    <row r="3402" ht="12.75" customHeight="1" x14ac:dyDescent="0.2"/>
    <row r="3403" ht="12.75" customHeight="1" x14ac:dyDescent="0.2"/>
    <row r="3404" ht="12.75" customHeight="1" x14ac:dyDescent="0.2"/>
    <row r="3405" ht="12.75" customHeight="1" x14ac:dyDescent="0.2"/>
    <row r="3406" ht="12.75" customHeight="1" x14ac:dyDescent="0.2"/>
    <row r="3407" ht="12.75" customHeight="1" x14ac:dyDescent="0.2"/>
    <row r="3408" ht="12.75" customHeight="1" x14ac:dyDescent="0.2"/>
    <row r="3409" ht="12.75" customHeight="1" x14ac:dyDescent="0.2"/>
    <row r="3410" ht="12.75" customHeight="1" x14ac:dyDescent="0.2"/>
    <row r="3411" ht="12.75" customHeight="1" x14ac:dyDescent="0.2"/>
    <row r="3412" ht="12.75" customHeight="1" x14ac:dyDescent="0.2"/>
    <row r="3413" ht="12.75" customHeight="1" x14ac:dyDescent="0.2"/>
    <row r="3414" ht="12.75" customHeight="1" x14ac:dyDescent="0.2"/>
    <row r="3415" ht="12.75" customHeight="1" x14ac:dyDescent="0.2"/>
    <row r="3416" ht="12.75" customHeight="1" x14ac:dyDescent="0.2"/>
    <row r="3417" ht="12.75" customHeight="1" x14ac:dyDescent="0.2"/>
    <row r="3418" ht="12.75" customHeight="1" x14ac:dyDescent="0.2"/>
    <row r="3419" ht="12.75" customHeight="1" x14ac:dyDescent="0.2"/>
    <row r="3420" ht="12.75" customHeight="1" x14ac:dyDescent="0.2"/>
    <row r="3421" ht="12.75" customHeight="1" x14ac:dyDescent="0.2"/>
    <row r="3422" ht="12.75" customHeight="1" x14ac:dyDescent="0.2"/>
    <row r="3423" ht="12.75" customHeight="1" x14ac:dyDescent="0.2"/>
    <row r="3424" ht="12.75" customHeight="1" x14ac:dyDescent="0.2"/>
    <row r="3425" ht="12.75" customHeight="1" x14ac:dyDescent="0.2"/>
    <row r="3426" ht="12.75" customHeight="1" x14ac:dyDescent="0.2"/>
    <row r="3427" ht="12.75" customHeight="1" x14ac:dyDescent="0.2"/>
    <row r="3428" ht="12.75" customHeight="1" x14ac:dyDescent="0.2"/>
    <row r="3429" ht="12.75" customHeight="1" x14ac:dyDescent="0.2"/>
    <row r="3430" ht="12.75" customHeight="1" x14ac:dyDescent="0.2"/>
    <row r="3431" ht="12.75" customHeight="1" x14ac:dyDescent="0.2"/>
    <row r="3432" ht="12.75" customHeight="1" x14ac:dyDescent="0.2"/>
    <row r="3433" ht="12.75" customHeight="1" x14ac:dyDescent="0.2"/>
    <row r="3434" ht="12.75" customHeight="1" x14ac:dyDescent="0.2"/>
    <row r="3435" ht="12.75" customHeight="1" x14ac:dyDescent="0.2"/>
    <row r="3436" ht="12.75" customHeight="1" x14ac:dyDescent="0.2"/>
    <row r="3437" ht="12.75" customHeight="1" x14ac:dyDescent="0.2"/>
    <row r="3438" ht="12.75" customHeight="1" x14ac:dyDescent="0.2"/>
    <row r="3439" ht="12.75" customHeight="1" x14ac:dyDescent="0.2"/>
    <row r="3440" ht="12.75" customHeight="1" x14ac:dyDescent="0.2"/>
    <row r="3441" ht="12.75" customHeight="1" x14ac:dyDescent="0.2"/>
    <row r="3442" ht="12.75" customHeight="1" x14ac:dyDescent="0.2"/>
    <row r="3443" ht="12.75" customHeight="1" x14ac:dyDescent="0.2"/>
    <row r="3444" ht="12.75" customHeight="1" x14ac:dyDescent="0.2"/>
    <row r="3445" ht="12.75" customHeight="1" x14ac:dyDescent="0.2"/>
    <row r="3446" ht="12.75" customHeight="1" x14ac:dyDescent="0.2"/>
    <row r="3447" ht="12.75" customHeight="1" x14ac:dyDescent="0.2"/>
    <row r="3448" ht="12.75" customHeight="1" x14ac:dyDescent="0.2"/>
    <row r="3449" ht="12.75" customHeight="1" x14ac:dyDescent="0.2"/>
    <row r="3450" ht="12.75" customHeight="1" x14ac:dyDescent="0.2"/>
    <row r="3451" ht="12.75" customHeight="1" x14ac:dyDescent="0.2"/>
    <row r="3452" ht="12.75" customHeight="1" x14ac:dyDescent="0.2"/>
    <row r="3453" ht="12.75" customHeight="1" x14ac:dyDescent="0.2"/>
    <row r="3454" ht="12.75" customHeight="1" x14ac:dyDescent="0.2"/>
    <row r="3455" ht="12.75" customHeight="1" x14ac:dyDescent="0.2"/>
    <row r="3456" ht="12.75" customHeight="1" x14ac:dyDescent="0.2"/>
    <row r="3457" ht="12.75" customHeight="1" x14ac:dyDescent="0.2"/>
    <row r="3458" ht="12.75" customHeight="1" x14ac:dyDescent="0.2"/>
    <row r="3459" ht="12.75" customHeight="1" x14ac:dyDescent="0.2"/>
    <row r="3460" ht="12.75" customHeight="1" x14ac:dyDescent="0.2"/>
    <row r="3461" ht="12.75" customHeight="1" x14ac:dyDescent="0.2"/>
    <row r="3462" ht="12.75" customHeight="1" x14ac:dyDescent="0.2"/>
    <row r="3463" ht="12.75" customHeight="1" x14ac:dyDescent="0.2"/>
    <row r="3464" ht="12.75" customHeight="1" x14ac:dyDescent="0.2"/>
    <row r="3465" ht="12.75" customHeight="1" x14ac:dyDescent="0.2"/>
    <row r="3466" ht="12.75" customHeight="1" x14ac:dyDescent="0.2"/>
    <row r="3467" ht="12.75" customHeight="1" x14ac:dyDescent="0.2"/>
    <row r="3468" ht="12.75" customHeight="1" x14ac:dyDescent="0.2"/>
    <row r="3469" ht="12.75" customHeight="1" x14ac:dyDescent="0.2"/>
    <row r="3470" ht="12.75" customHeight="1" x14ac:dyDescent="0.2"/>
    <row r="3471" ht="12.75" customHeight="1" x14ac:dyDescent="0.2"/>
    <row r="3472" ht="12.75" customHeight="1" x14ac:dyDescent="0.2"/>
    <row r="3473" ht="12.75" customHeight="1" x14ac:dyDescent="0.2"/>
    <row r="3474" ht="12.75" customHeight="1" x14ac:dyDescent="0.2"/>
    <row r="3475" ht="12.75" customHeight="1" x14ac:dyDescent="0.2"/>
    <row r="3476" ht="12.75" customHeight="1" x14ac:dyDescent="0.2"/>
    <row r="3477" ht="12.75" customHeight="1" x14ac:dyDescent="0.2"/>
    <row r="3478" ht="12.75" customHeight="1" x14ac:dyDescent="0.2"/>
    <row r="3479" ht="12.75" customHeight="1" x14ac:dyDescent="0.2"/>
    <row r="3480" ht="12.75" customHeight="1" x14ac:dyDescent="0.2"/>
    <row r="3481" ht="12.75" customHeight="1" x14ac:dyDescent="0.2"/>
    <row r="3482" ht="12.75" customHeight="1" x14ac:dyDescent="0.2"/>
    <row r="3483" ht="12.75" customHeight="1" x14ac:dyDescent="0.2"/>
    <row r="3484" ht="12.75" customHeight="1" x14ac:dyDescent="0.2"/>
    <row r="3485" ht="12.75" customHeight="1" x14ac:dyDescent="0.2"/>
    <row r="3486" ht="12.75" customHeight="1" x14ac:dyDescent="0.2"/>
    <row r="3487" ht="12.75" customHeight="1" x14ac:dyDescent="0.2"/>
    <row r="3488" ht="12.75" customHeight="1" x14ac:dyDescent="0.2"/>
    <row r="3489" ht="12.75" customHeight="1" x14ac:dyDescent="0.2"/>
    <row r="3490" ht="12.75" customHeight="1" x14ac:dyDescent="0.2"/>
    <row r="3491" ht="12.75" customHeight="1" x14ac:dyDescent="0.2"/>
    <row r="3492" ht="12.75" customHeight="1" x14ac:dyDescent="0.2"/>
    <row r="3493" ht="12.75" customHeight="1" x14ac:dyDescent="0.2"/>
    <row r="3494" ht="12.75" customHeight="1" x14ac:dyDescent="0.2"/>
    <row r="3495" ht="12.75" customHeight="1" x14ac:dyDescent="0.2"/>
    <row r="3496" ht="12.75" customHeight="1" x14ac:dyDescent="0.2"/>
    <row r="3497" ht="12.75" customHeight="1" x14ac:dyDescent="0.2"/>
    <row r="3498" ht="12.75" customHeight="1" x14ac:dyDescent="0.2"/>
    <row r="3499" ht="12.75" customHeight="1" x14ac:dyDescent="0.2"/>
    <row r="3500" ht="12.75" customHeight="1" x14ac:dyDescent="0.2"/>
    <row r="3501" ht="12.75" customHeight="1" x14ac:dyDescent="0.2"/>
    <row r="3502" ht="12.75" customHeight="1" x14ac:dyDescent="0.2"/>
    <row r="3503" ht="12.75" customHeight="1" x14ac:dyDescent="0.2"/>
    <row r="3504" ht="12.75" customHeight="1" x14ac:dyDescent="0.2"/>
    <row r="3505" ht="12.75" customHeight="1" x14ac:dyDescent="0.2"/>
    <row r="3506" ht="12.75" customHeight="1" x14ac:dyDescent="0.2"/>
    <row r="3507" ht="12.75" customHeight="1" x14ac:dyDescent="0.2"/>
    <row r="3508" ht="12.75" customHeight="1" x14ac:dyDescent="0.2"/>
    <row r="3509" ht="12.75" customHeight="1" x14ac:dyDescent="0.2"/>
    <row r="3510" ht="12.75" customHeight="1" x14ac:dyDescent="0.2"/>
    <row r="3511" ht="12.75" customHeight="1" x14ac:dyDescent="0.2"/>
    <row r="3512" ht="12.75" customHeight="1" x14ac:dyDescent="0.2"/>
    <row r="3513" ht="12.75" customHeight="1" x14ac:dyDescent="0.2"/>
    <row r="3514" ht="12.75" customHeight="1" x14ac:dyDescent="0.2"/>
    <row r="3515" ht="12.75" customHeight="1" x14ac:dyDescent="0.2"/>
    <row r="3516" ht="12.75" customHeight="1" x14ac:dyDescent="0.2"/>
    <row r="3517" ht="12.75" customHeight="1" x14ac:dyDescent="0.2"/>
    <row r="3518" ht="12.75" customHeight="1" x14ac:dyDescent="0.2"/>
    <row r="3519" ht="12.75" customHeight="1" x14ac:dyDescent="0.2"/>
    <row r="3520" ht="12.75" customHeight="1" x14ac:dyDescent="0.2"/>
    <row r="3521" ht="12.75" customHeight="1" x14ac:dyDescent="0.2"/>
    <row r="3522" ht="12.75" customHeight="1" x14ac:dyDescent="0.2"/>
    <row r="3523" ht="12.75" customHeight="1" x14ac:dyDescent="0.2"/>
    <row r="3524" ht="12.75" customHeight="1" x14ac:dyDescent="0.2"/>
    <row r="3525" ht="12.75" customHeight="1" x14ac:dyDescent="0.2"/>
    <row r="3526" ht="12.75" customHeight="1" x14ac:dyDescent="0.2"/>
    <row r="3527" ht="12.75" customHeight="1" x14ac:dyDescent="0.2"/>
    <row r="3528" ht="12.75" customHeight="1" x14ac:dyDescent="0.2"/>
    <row r="3529" ht="12.75" customHeight="1" x14ac:dyDescent="0.2"/>
    <row r="3530" ht="12.75" customHeight="1" x14ac:dyDescent="0.2"/>
    <row r="3531" ht="12.75" customHeight="1" x14ac:dyDescent="0.2"/>
    <row r="3532" ht="12.75" customHeight="1" x14ac:dyDescent="0.2"/>
    <row r="3533" ht="12.75" customHeight="1" x14ac:dyDescent="0.2"/>
    <row r="3534" ht="12.75" customHeight="1" x14ac:dyDescent="0.2"/>
    <row r="3535" ht="12.75" customHeight="1" x14ac:dyDescent="0.2"/>
    <row r="3536" ht="12.75" customHeight="1" x14ac:dyDescent="0.2"/>
    <row r="3537" ht="12.75" customHeight="1" x14ac:dyDescent="0.2"/>
    <row r="3538" ht="12.75" customHeight="1" x14ac:dyDescent="0.2"/>
    <row r="3539" ht="12.75" customHeight="1" x14ac:dyDescent="0.2"/>
    <row r="3540" ht="12.75" customHeight="1" x14ac:dyDescent="0.2"/>
    <row r="3541" ht="12.75" customHeight="1" x14ac:dyDescent="0.2"/>
    <row r="3542" ht="12.75" customHeight="1" x14ac:dyDescent="0.2"/>
    <row r="3543" ht="12.75" customHeight="1" x14ac:dyDescent="0.2"/>
    <row r="3544" ht="12.75" customHeight="1" x14ac:dyDescent="0.2"/>
    <row r="3545" ht="12.75" customHeight="1" x14ac:dyDescent="0.2"/>
    <row r="3546" ht="12.75" customHeight="1" x14ac:dyDescent="0.2"/>
    <row r="3547" ht="12.75" customHeight="1" x14ac:dyDescent="0.2"/>
    <row r="3548" ht="12.75" customHeight="1" x14ac:dyDescent="0.2"/>
    <row r="3549" ht="12.75" customHeight="1" x14ac:dyDescent="0.2"/>
    <row r="3550" ht="12.75" customHeight="1" x14ac:dyDescent="0.2"/>
    <row r="3551" ht="12.75" customHeight="1" x14ac:dyDescent="0.2"/>
    <row r="3552" ht="12.75" customHeight="1" x14ac:dyDescent="0.2"/>
    <row r="3553" ht="12.75" customHeight="1" x14ac:dyDescent="0.2"/>
    <row r="3554" ht="12.75" customHeight="1" x14ac:dyDescent="0.2"/>
    <row r="3555" ht="12.75" customHeight="1" x14ac:dyDescent="0.2"/>
    <row r="3556" ht="12.75" customHeight="1" x14ac:dyDescent="0.2"/>
    <row r="3557" ht="12.75" customHeight="1" x14ac:dyDescent="0.2"/>
    <row r="3558" ht="12.75" customHeight="1" x14ac:dyDescent="0.2"/>
    <row r="3559" ht="12.75" customHeight="1" x14ac:dyDescent="0.2"/>
    <row r="3560" ht="12.75" customHeight="1" x14ac:dyDescent="0.2"/>
    <row r="3561" ht="12.75" customHeight="1" x14ac:dyDescent="0.2"/>
    <row r="3562" ht="12.75" customHeight="1" x14ac:dyDescent="0.2"/>
    <row r="3563" ht="12.75" customHeight="1" x14ac:dyDescent="0.2"/>
    <row r="3564" ht="12.75" customHeight="1" x14ac:dyDescent="0.2"/>
    <row r="3565" ht="12.75" customHeight="1" x14ac:dyDescent="0.2"/>
    <row r="3566" ht="12.75" customHeight="1" x14ac:dyDescent="0.2"/>
    <row r="3567" ht="12.75" customHeight="1" x14ac:dyDescent="0.2"/>
    <row r="3568" ht="12.75" customHeight="1" x14ac:dyDescent="0.2"/>
    <row r="3569" ht="12.75" customHeight="1" x14ac:dyDescent="0.2"/>
    <row r="3570" ht="12.75" customHeight="1" x14ac:dyDescent="0.2"/>
    <row r="3571" ht="12.75" customHeight="1" x14ac:dyDescent="0.2"/>
    <row r="3572" ht="12.75" customHeight="1" x14ac:dyDescent="0.2"/>
    <row r="3573" ht="12.75" customHeight="1" x14ac:dyDescent="0.2"/>
    <row r="3574" ht="12.75" customHeight="1" x14ac:dyDescent="0.2"/>
    <row r="3575" ht="12.75" customHeight="1" x14ac:dyDescent="0.2"/>
    <row r="3576" ht="12.75" customHeight="1" x14ac:dyDescent="0.2"/>
    <row r="3577" ht="12.75" customHeight="1" x14ac:dyDescent="0.2"/>
    <row r="3578" ht="12.75" customHeight="1" x14ac:dyDescent="0.2"/>
    <row r="3579" ht="12.75" customHeight="1" x14ac:dyDescent="0.2"/>
    <row r="3580" ht="12.75" customHeight="1" x14ac:dyDescent="0.2"/>
    <row r="3581" ht="12.75" customHeight="1" x14ac:dyDescent="0.2"/>
    <row r="3582" ht="12.75" customHeight="1" x14ac:dyDescent="0.2"/>
    <row r="3583" ht="12.75" customHeight="1" x14ac:dyDescent="0.2"/>
    <row r="3584" ht="12.75" customHeight="1" x14ac:dyDescent="0.2"/>
    <row r="3585" ht="12.75" customHeight="1" x14ac:dyDescent="0.2"/>
    <row r="3586" ht="12.75" customHeight="1" x14ac:dyDescent="0.2"/>
    <row r="3587" ht="12.75" customHeight="1" x14ac:dyDescent="0.2"/>
    <row r="3588" ht="12.75" customHeight="1" x14ac:dyDescent="0.2"/>
    <row r="3589" ht="12.75" customHeight="1" x14ac:dyDescent="0.2"/>
    <row r="3590" ht="12.75" customHeight="1" x14ac:dyDescent="0.2"/>
    <row r="3591" ht="12.75" customHeight="1" x14ac:dyDescent="0.2"/>
    <row r="3592" ht="12.75" customHeight="1" x14ac:dyDescent="0.2"/>
    <row r="3593" ht="12.75" customHeight="1" x14ac:dyDescent="0.2"/>
    <row r="3594" ht="12.75" customHeight="1" x14ac:dyDescent="0.2"/>
    <row r="3595" ht="12.75" customHeight="1" x14ac:dyDescent="0.2"/>
    <row r="3596" ht="12.75" customHeight="1" x14ac:dyDescent="0.2"/>
    <row r="3597" ht="12.75" customHeight="1" x14ac:dyDescent="0.2"/>
    <row r="3598" ht="12.75" customHeight="1" x14ac:dyDescent="0.2"/>
    <row r="3599" ht="12.75" customHeight="1" x14ac:dyDescent="0.2"/>
    <row r="3600" ht="12.75" customHeight="1" x14ac:dyDescent="0.2"/>
    <row r="3601" ht="12.75" customHeight="1" x14ac:dyDescent="0.2"/>
    <row r="3602" ht="12.75" customHeight="1" x14ac:dyDescent="0.2"/>
    <row r="3603" ht="12.75" customHeight="1" x14ac:dyDescent="0.2"/>
    <row r="3604" ht="12.75" customHeight="1" x14ac:dyDescent="0.2"/>
    <row r="3605" ht="12.75" customHeight="1" x14ac:dyDescent="0.2"/>
    <row r="3606" ht="12.75" customHeight="1" x14ac:dyDescent="0.2"/>
    <row r="3607" ht="12.75" customHeight="1" x14ac:dyDescent="0.2"/>
    <row r="3608" ht="12.75" customHeight="1" x14ac:dyDescent="0.2"/>
    <row r="3609" ht="12.75" customHeight="1" x14ac:dyDescent="0.2"/>
    <row r="3610" ht="12.75" customHeight="1" x14ac:dyDescent="0.2"/>
    <row r="3611" ht="12.75" customHeight="1" x14ac:dyDescent="0.2"/>
    <row r="3612" ht="12.75" customHeight="1" x14ac:dyDescent="0.2"/>
    <row r="3613" ht="12.75" customHeight="1" x14ac:dyDescent="0.2"/>
    <row r="3614" ht="12.75" customHeight="1" x14ac:dyDescent="0.2"/>
    <row r="3615" ht="12.75" customHeight="1" x14ac:dyDescent="0.2"/>
    <row r="3616" ht="12.75" customHeight="1" x14ac:dyDescent="0.2"/>
    <row r="3617" ht="12.75" customHeight="1" x14ac:dyDescent="0.2"/>
    <row r="3618" ht="12.75" customHeight="1" x14ac:dyDescent="0.2"/>
    <row r="3619" ht="12.75" customHeight="1" x14ac:dyDescent="0.2"/>
    <row r="3620" ht="12.75" customHeight="1" x14ac:dyDescent="0.2"/>
    <row r="3621" ht="12.75" customHeight="1" x14ac:dyDescent="0.2"/>
    <row r="3622" ht="12.75" customHeight="1" x14ac:dyDescent="0.2"/>
    <row r="3623" ht="12.75" customHeight="1" x14ac:dyDescent="0.2"/>
    <row r="3624" ht="12.75" customHeight="1" x14ac:dyDescent="0.2"/>
    <row r="3625" ht="12.75" customHeight="1" x14ac:dyDescent="0.2"/>
    <row r="3626" ht="12.75" customHeight="1" x14ac:dyDescent="0.2"/>
    <row r="3627" ht="12.75" customHeight="1" x14ac:dyDescent="0.2"/>
    <row r="3628" ht="12.75" customHeight="1" x14ac:dyDescent="0.2"/>
    <row r="3629" ht="12.75" customHeight="1" x14ac:dyDescent="0.2"/>
    <row r="3630" ht="12.75" customHeight="1" x14ac:dyDescent="0.2"/>
    <row r="3631" ht="12.75" customHeight="1" x14ac:dyDescent="0.2"/>
    <row r="3632" ht="12.75" customHeight="1" x14ac:dyDescent="0.2"/>
    <row r="3633" ht="12.75" customHeight="1" x14ac:dyDescent="0.2"/>
    <row r="3634" ht="12.75" customHeight="1" x14ac:dyDescent="0.2"/>
    <row r="3635" ht="12.75" customHeight="1" x14ac:dyDescent="0.2"/>
    <row r="3636" ht="12.75" customHeight="1" x14ac:dyDescent="0.2"/>
    <row r="3637" ht="12.75" customHeight="1" x14ac:dyDescent="0.2"/>
    <row r="3638" ht="12.75" customHeight="1" x14ac:dyDescent="0.2"/>
    <row r="3639" ht="12.75" customHeight="1" x14ac:dyDescent="0.2"/>
    <row r="3640" ht="12.75" customHeight="1" x14ac:dyDescent="0.2"/>
    <row r="3641" ht="12.75" customHeight="1" x14ac:dyDescent="0.2"/>
    <row r="3642" ht="12.75" customHeight="1" x14ac:dyDescent="0.2"/>
    <row r="3643" ht="12.75" customHeight="1" x14ac:dyDescent="0.2"/>
    <row r="3644" ht="12.75" customHeight="1" x14ac:dyDescent="0.2"/>
    <row r="3645" ht="12.75" customHeight="1" x14ac:dyDescent="0.2"/>
    <row r="3646" ht="12.75" customHeight="1" x14ac:dyDescent="0.2"/>
    <row r="3647" ht="12.75" customHeight="1" x14ac:dyDescent="0.2"/>
    <row r="3648" ht="12.75" customHeight="1" x14ac:dyDescent="0.2"/>
    <row r="3649" ht="12.75" customHeight="1" x14ac:dyDescent="0.2"/>
    <row r="3650" ht="12.75" customHeight="1" x14ac:dyDescent="0.2"/>
    <row r="3651" ht="12.75" customHeight="1" x14ac:dyDescent="0.2"/>
    <row r="3652" ht="12.75" customHeight="1" x14ac:dyDescent="0.2"/>
    <row r="3653" ht="12.75" customHeight="1" x14ac:dyDescent="0.2"/>
    <row r="3654" ht="12.75" customHeight="1" x14ac:dyDescent="0.2"/>
    <row r="3655" ht="12.75" customHeight="1" x14ac:dyDescent="0.2"/>
    <row r="3656" ht="12.75" customHeight="1" x14ac:dyDescent="0.2"/>
    <row r="3657" ht="12.75" customHeight="1" x14ac:dyDescent="0.2"/>
    <row r="3658" ht="12.75" customHeight="1" x14ac:dyDescent="0.2"/>
    <row r="3659" ht="12.75" customHeight="1" x14ac:dyDescent="0.2"/>
    <row r="3660" ht="12.75" customHeight="1" x14ac:dyDescent="0.2"/>
    <row r="3661" ht="12.75" customHeight="1" x14ac:dyDescent="0.2"/>
    <row r="3662" ht="12.75" customHeight="1" x14ac:dyDescent="0.2"/>
    <row r="3663" ht="12.75" customHeight="1" x14ac:dyDescent="0.2"/>
    <row r="3664" ht="12.75" customHeight="1" x14ac:dyDescent="0.2"/>
    <row r="3665" ht="12.75" customHeight="1" x14ac:dyDescent="0.2"/>
    <row r="3666" ht="12.75" customHeight="1" x14ac:dyDescent="0.2"/>
    <row r="3667" ht="12.75" customHeight="1" x14ac:dyDescent="0.2"/>
    <row r="3668" ht="12.75" customHeight="1" x14ac:dyDescent="0.2"/>
    <row r="3669" ht="12.75" customHeight="1" x14ac:dyDescent="0.2"/>
    <row r="3670" ht="12.75" customHeight="1" x14ac:dyDescent="0.2"/>
    <row r="3671" ht="12.75" customHeight="1" x14ac:dyDescent="0.2"/>
    <row r="3672" ht="12.75" customHeight="1" x14ac:dyDescent="0.2"/>
    <row r="3673" ht="12.75" customHeight="1" x14ac:dyDescent="0.2"/>
    <row r="3674" ht="12.75" customHeight="1" x14ac:dyDescent="0.2"/>
    <row r="3675" ht="12.75" customHeight="1" x14ac:dyDescent="0.2"/>
    <row r="3676" ht="12.75" customHeight="1" x14ac:dyDescent="0.2"/>
    <row r="3677" ht="12.75" customHeight="1" x14ac:dyDescent="0.2"/>
    <row r="3678" ht="12.75" customHeight="1" x14ac:dyDescent="0.2"/>
    <row r="3679" ht="12.75" customHeight="1" x14ac:dyDescent="0.2"/>
    <row r="3680" ht="12.75" customHeight="1" x14ac:dyDescent="0.2"/>
    <row r="3681" ht="12.75" customHeight="1" x14ac:dyDescent="0.2"/>
    <row r="3682" ht="12.75" customHeight="1" x14ac:dyDescent="0.2"/>
    <row r="3683" ht="12.75" customHeight="1" x14ac:dyDescent="0.2"/>
    <row r="3684" ht="12.75" customHeight="1" x14ac:dyDescent="0.2"/>
    <row r="3685" ht="12.75" customHeight="1" x14ac:dyDescent="0.2"/>
    <row r="3686" ht="12.75" customHeight="1" x14ac:dyDescent="0.2"/>
    <row r="3687" ht="12.75" customHeight="1" x14ac:dyDescent="0.2"/>
    <row r="3688" ht="12.75" customHeight="1" x14ac:dyDescent="0.2"/>
    <row r="3689" ht="12.75" customHeight="1" x14ac:dyDescent="0.2"/>
    <row r="3690" ht="12.75" customHeight="1" x14ac:dyDescent="0.2"/>
    <row r="3691" ht="12.75" customHeight="1" x14ac:dyDescent="0.2"/>
    <row r="3692" ht="12.75" customHeight="1" x14ac:dyDescent="0.2"/>
    <row r="3693" ht="12.75" customHeight="1" x14ac:dyDescent="0.2"/>
    <row r="3694" ht="12.75" customHeight="1" x14ac:dyDescent="0.2"/>
    <row r="3695" ht="12.75" customHeight="1" x14ac:dyDescent="0.2"/>
    <row r="3696" ht="12.75" customHeight="1" x14ac:dyDescent="0.2"/>
    <row r="3697" ht="12.75" customHeight="1" x14ac:dyDescent="0.2"/>
    <row r="3698" ht="12.75" customHeight="1" x14ac:dyDescent="0.2"/>
    <row r="3699" ht="12.75" customHeight="1" x14ac:dyDescent="0.2"/>
    <row r="3700" ht="12.75" customHeight="1" x14ac:dyDescent="0.2"/>
    <row r="3701" ht="12.75" customHeight="1" x14ac:dyDescent="0.2"/>
    <row r="3702" ht="12.75" customHeight="1" x14ac:dyDescent="0.2"/>
    <row r="3703" ht="12.75" customHeight="1" x14ac:dyDescent="0.2"/>
    <row r="3704" ht="12.75" customHeight="1" x14ac:dyDescent="0.2"/>
    <row r="3705" ht="12.75" customHeight="1" x14ac:dyDescent="0.2"/>
    <row r="3706" ht="12.75" customHeight="1" x14ac:dyDescent="0.2"/>
    <row r="3707" ht="12.75" customHeight="1" x14ac:dyDescent="0.2"/>
    <row r="3708" ht="12.75" customHeight="1" x14ac:dyDescent="0.2"/>
    <row r="3709" ht="12.75" customHeight="1" x14ac:dyDescent="0.2"/>
    <row r="3710" ht="12.75" customHeight="1" x14ac:dyDescent="0.2"/>
    <row r="3711" ht="12.75" customHeight="1" x14ac:dyDescent="0.2"/>
    <row r="3712" ht="12.75" customHeight="1" x14ac:dyDescent="0.2"/>
    <row r="3713" ht="12.75" customHeight="1" x14ac:dyDescent="0.2"/>
    <row r="3714" ht="12.75" customHeight="1" x14ac:dyDescent="0.2"/>
    <row r="3715" ht="12.75" customHeight="1" x14ac:dyDescent="0.2"/>
    <row r="3716" ht="12.75" customHeight="1" x14ac:dyDescent="0.2"/>
    <row r="3717" ht="12.75" customHeight="1" x14ac:dyDescent="0.2"/>
    <row r="3718" ht="12.75" customHeight="1" x14ac:dyDescent="0.2"/>
    <row r="3719" ht="12.75" customHeight="1" x14ac:dyDescent="0.2"/>
    <row r="3720" ht="12.75" customHeight="1" x14ac:dyDescent="0.2"/>
    <row r="3721" ht="12.75" customHeight="1" x14ac:dyDescent="0.2"/>
    <row r="3722" ht="12.75" customHeight="1" x14ac:dyDescent="0.2"/>
    <row r="3723" ht="12.75" customHeight="1" x14ac:dyDescent="0.2"/>
    <row r="3724" ht="12.75" customHeight="1" x14ac:dyDescent="0.2"/>
    <row r="3725" ht="12.75" customHeight="1" x14ac:dyDescent="0.2"/>
    <row r="3726" ht="12.75" customHeight="1" x14ac:dyDescent="0.2"/>
    <row r="3727" ht="12.75" customHeight="1" x14ac:dyDescent="0.2"/>
    <row r="3728" ht="12.75" customHeight="1" x14ac:dyDescent="0.2"/>
    <row r="3729" ht="12.75" customHeight="1" x14ac:dyDescent="0.2"/>
    <row r="3730" ht="12.75" customHeight="1" x14ac:dyDescent="0.2"/>
    <row r="3731" ht="12.75" customHeight="1" x14ac:dyDescent="0.2"/>
    <row r="3732" ht="12.75" customHeight="1" x14ac:dyDescent="0.2"/>
    <row r="3733" ht="12.75" customHeight="1" x14ac:dyDescent="0.2"/>
    <row r="3734" ht="12.75" customHeight="1" x14ac:dyDescent="0.2"/>
    <row r="3735" ht="12.75" customHeight="1" x14ac:dyDescent="0.2"/>
    <row r="3736" ht="12.75" customHeight="1" x14ac:dyDescent="0.2"/>
    <row r="3737" ht="12.75" customHeight="1" x14ac:dyDescent="0.2"/>
    <row r="3738" ht="12.75" customHeight="1" x14ac:dyDescent="0.2"/>
    <row r="3739" ht="12.75" customHeight="1" x14ac:dyDescent="0.2"/>
    <row r="3740" ht="12.75" customHeight="1" x14ac:dyDescent="0.2"/>
    <row r="3741" ht="12.75" customHeight="1" x14ac:dyDescent="0.2"/>
    <row r="3742" ht="12.75" customHeight="1" x14ac:dyDescent="0.2"/>
    <row r="3743" ht="12.75" customHeight="1" x14ac:dyDescent="0.2"/>
    <row r="3744" ht="12.75" customHeight="1" x14ac:dyDescent="0.2"/>
    <row r="3745" ht="12.75" customHeight="1" x14ac:dyDescent="0.2"/>
    <row r="3746" ht="12.75" customHeight="1" x14ac:dyDescent="0.2"/>
    <row r="3747" ht="12.75" customHeight="1" x14ac:dyDescent="0.2"/>
    <row r="3748" ht="12.75" customHeight="1" x14ac:dyDescent="0.2"/>
    <row r="3749" ht="12.75" customHeight="1" x14ac:dyDescent="0.2"/>
    <row r="3750" ht="12.75" customHeight="1" x14ac:dyDescent="0.2"/>
    <row r="3751" ht="12.75" customHeight="1" x14ac:dyDescent="0.2"/>
    <row r="3752" ht="12.75" customHeight="1" x14ac:dyDescent="0.2"/>
    <row r="3753" ht="12.75" customHeight="1" x14ac:dyDescent="0.2"/>
    <row r="3754" ht="12.75" customHeight="1" x14ac:dyDescent="0.2"/>
    <row r="3755" ht="12.75" customHeight="1" x14ac:dyDescent="0.2"/>
    <row r="3756" ht="12.75" customHeight="1" x14ac:dyDescent="0.2"/>
    <row r="3757" ht="12.75" customHeight="1" x14ac:dyDescent="0.2"/>
    <row r="3758" ht="12.75" customHeight="1" x14ac:dyDescent="0.2"/>
    <row r="3759" ht="12.75" customHeight="1" x14ac:dyDescent="0.2"/>
    <row r="3760" ht="12.75" customHeight="1" x14ac:dyDescent="0.2"/>
    <row r="3761" ht="12.75" customHeight="1" x14ac:dyDescent="0.2"/>
    <row r="3762" ht="12.75" customHeight="1" x14ac:dyDescent="0.2"/>
    <row r="3763" ht="12.75" customHeight="1" x14ac:dyDescent="0.2"/>
    <row r="3764" ht="12.75" customHeight="1" x14ac:dyDescent="0.2"/>
    <row r="3765" ht="12.75" customHeight="1" x14ac:dyDescent="0.2"/>
    <row r="3766" ht="12.75" customHeight="1" x14ac:dyDescent="0.2"/>
    <row r="3767" ht="12.75" customHeight="1" x14ac:dyDescent="0.2"/>
    <row r="3768" ht="12.75" customHeight="1" x14ac:dyDescent="0.2"/>
    <row r="3769" ht="12.75" customHeight="1" x14ac:dyDescent="0.2"/>
    <row r="3770" ht="12.75" customHeight="1" x14ac:dyDescent="0.2"/>
    <row r="3771" ht="12.75" customHeight="1" x14ac:dyDescent="0.2"/>
    <row r="3772" ht="12.75" customHeight="1" x14ac:dyDescent="0.2"/>
    <row r="3773" ht="12.75" customHeight="1" x14ac:dyDescent="0.2"/>
    <row r="3774" ht="12.75" customHeight="1" x14ac:dyDescent="0.2"/>
    <row r="3775" ht="12.75" customHeight="1" x14ac:dyDescent="0.2"/>
    <row r="3776" ht="12.75" customHeight="1" x14ac:dyDescent="0.2"/>
    <row r="3777" ht="12.75" customHeight="1" x14ac:dyDescent="0.2"/>
    <row r="3778" ht="12.75" customHeight="1" x14ac:dyDescent="0.2"/>
    <row r="3779" ht="12.75" customHeight="1" x14ac:dyDescent="0.2"/>
    <row r="3780" ht="12.75" customHeight="1" x14ac:dyDescent="0.2"/>
    <row r="3781" ht="12.75" customHeight="1" x14ac:dyDescent="0.2"/>
    <row r="3782" ht="12.75" customHeight="1" x14ac:dyDescent="0.2"/>
    <row r="3783" ht="12.75" customHeight="1" x14ac:dyDescent="0.2"/>
    <row r="3784" ht="12.75" customHeight="1" x14ac:dyDescent="0.2"/>
    <row r="3785" ht="12.75" customHeight="1" x14ac:dyDescent="0.2"/>
    <row r="3786" ht="12.75" customHeight="1" x14ac:dyDescent="0.2"/>
    <row r="3787" ht="12.75" customHeight="1" x14ac:dyDescent="0.2"/>
    <row r="3788" ht="12.75" customHeight="1" x14ac:dyDescent="0.2"/>
    <row r="3789" ht="12.75" customHeight="1" x14ac:dyDescent="0.2"/>
    <row r="3790" ht="12.75" customHeight="1" x14ac:dyDescent="0.2"/>
    <row r="3791" ht="12.75" customHeight="1" x14ac:dyDescent="0.2"/>
    <row r="3792" ht="12.75" customHeight="1" x14ac:dyDescent="0.2"/>
    <row r="3793" ht="12.75" customHeight="1" x14ac:dyDescent="0.2"/>
    <row r="3794" ht="12.75" customHeight="1" x14ac:dyDescent="0.2"/>
    <row r="3795" ht="12.75" customHeight="1" x14ac:dyDescent="0.2"/>
    <row r="3796" ht="12.75" customHeight="1" x14ac:dyDescent="0.2"/>
    <row r="3797" ht="12.75" customHeight="1" x14ac:dyDescent="0.2"/>
    <row r="3798" ht="12.75" customHeight="1" x14ac:dyDescent="0.2"/>
    <row r="3799" ht="12.75" customHeight="1" x14ac:dyDescent="0.2"/>
    <row r="3800" ht="12.75" customHeight="1" x14ac:dyDescent="0.2"/>
    <row r="3801" ht="12.75" customHeight="1" x14ac:dyDescent="0.2"/>
    <row r="3802" ht="12.75" customHeight="1" x14ac:dyDescent="0.2"/>
    <row r="3803" ht="12.75" customHeight="1" x14ac:dyDescent="0.2"/>
    <row r="3804" ht="12.75" customHeight="1" x14ac:dyDescent="0.2"/>
    <row r="3805" ht="12.75" customHeight="1" x14ac:dyDescent="0.2"/>
    <row r="3806" ht="12.75" customHeight="1" x14ac:dyDescent="0.2"/>
    <row r="3807" ht="12.75" customHeight="1" x14ac:dyDescent="0.2"/>
    <row r="3808" ht="12.75" customHeight="1" x14ac:dyDescent="0.2"/>
    <row r="3809" ht="12.75" customHeight="1" x14ac:dyDescent="0.2"/>
    <row r="3810" ht="12.75" customHeight="1" x14ac:dyDescent="0.2"/>
    <row r="3811" ht="12.75" customHeight="1" x14ac:dyDescent="0.2"/>
    <row r="3812" ht="12.75" customHeight="1" x14ac:dyDescent="0.2"/>
    <row r="3813" ht="12.75" customHeight="1" x14ac:dyDescent="0.2"/>
    <row r="3814" ht="12.75" customHeight="1" x14ac:dyDescent="0.2"/>
    <row r="3815" ht="12.75" customHeight="1" x14ac:dyDescent="0.2"/>
    <row r="3816" ht="12.75" customHeight="1" x14ac:dyDescent="0.2"/>
    <row r="3817" ht="12.75" customHeight="1" x14ac:dyDescent="0.2"/>
    <row r="3818" ht="12.75" customHeight="1" x14ac:dyDescent="0.2"/>
    <row r="3819" ht="12.75" customHeight="1" x14ac:dyDescent="0.2"/>
    <row r="3820" ht="12.75" customHeight="1" x14ac:dyDescent="0.2"/>
    <row r="3821" ht="12.75" customHeight="1" x14ac:dyDescent="0.2"/>
    <row r="3822" ht="12.75" customHeight="1" x14ac:dyDescent="0.2"/>
    <row r="3823" ht="12.75" customHeight="1" x14ac:dyDescent="0.2"/>
    <row r="3824" ht="12.75" customHeight="1" x14ac:dyDescent="0.2"/>
    <row r="3825" ht="12.75" customHeight="1" x14ac:dyDescent="0.2"/>
    <row r="3826" ht="12.75" customHeight="1" x14ac:dyDescent="0.2"/>
    <row r="3827" ht="12.75" customHeight="1" x14ac:dyDescent="0.2"/>
    <row r="3828" ht="12.75" customHeight="1" x14ac:dyDescent="0.2"/>
    <row r="3829" ht="12.75" customHeight="1" x14ac:dyDescent="0.2"/>
    <row r="3830" ht="12.75" customHeight="1" x14ac:dyDescent="0.2"/>
    <row r="3831" ht="12.75" customHeight="1" x14ac:dyDescent="0.2"/>
    <row r="3832" ht="12.75" customHeight="1" x14ac:dyDescent="0.2"/>
    <row r="3833" ht="12.75" customHeight="1" x14ac:dyDescent="0.2"/>
    <row r="3834" ht="12.75" customHeight="1" x14ac:dyDescent="0.2"/>
    <row r="3835" ht="12.75" customHeight="1" x14ac:dyDescent="0.2"/>
    <row r="3836" ht="12.75" customHeight="1" x14ac:dyDescent="0.2"/>
    <row r="3837" ht="12.75" customHeight="1" x14ac:dyDescent="0.2"/>
    <row r="3838" ht="12.75" customHeight="1" x14ac:dyDescent="0.2"/>
    <row r="3839" ht="12.75" customHeight="1" x14ac:dyDescent="0.2"/>
    <row r="3840" ht="12.75" customHeight="1" x14ac:dyDescent="0.2"/>
    <row r="3841" ht="12.75" customHeight="1" x14ac:dyDescent="0.2"/>
    <row r="3842" ht="12.75" customHeight="1" x14ac:dyDescent="0.2"/>
    <row r="3843" ht="12.75" customHeight="1" x14ac:dyDescent="0.2"/>
    <row r="3844" ht="12.75" customHeight="1" x14ac:dyDescent="0.2"/>
    <row r="3845" ht="12.75" customHeight="1" x14ac:dyDescent="0.2"/>
    <row r="3846" ht="12.75" customHeight="1" x14ac:dyDescent="0.2"/>
    <row r="3847" ht="12.75" customHeight="1" x14ac:dyDescent="0.2"/>
    <row r="3848" ht="12.75" customHeight="1" x14ac:dyDescent="0.2"/>
    <row r="3849" ht="12.75" customHeight="1" x14ac:dyDescent="0.2"/>
    <row r="3850" ht="12.75" customHeight="1" x14ac:dyDescent="0.2"/>
    <row r="3851" ht="12.75" customHeight="1" x14ac:dyDescent="0.2"/>
    <row r="3852" ht="12.75" customHeight="1" x14ac:dyDescent="0.2"/>
    <row r="3853" ht="12.75" customHeight="1" x14ac:dyDescent="0.2"/>
    <row r="3854" ht="12.75" customHeight="1" x14ac:dyDescent="0.2"/>
    <row r="3855" ht="12.75" customHeight="1" x14ac:dyDescent="0.2"/>
    <row r="3856" ht="12.75" customHeight="1" x14ac:dyDescent="0.2"/>
    <row r="3857" ht="12.75" customHeight="1" x14ac:dyDescent="0.2"/>
    <row r="3858" ht="12.75" customHeight="1" x14ac:dyDescent="0.2"/>
    <row r="3859" ht="12.75" customHeight="1" x14ac:dyDescent="0.2"/>
    <row r="3860" ht="12.75" customHeight="1" x14ac:dyDescent="0.2"/>
    <row r="3861" ht="12.75" customHeight="1" x14ac:dyDescent="0.2"/>
    <row r="3862" ht="12.75" customHeight="1" x14ac:dyDescent="0.2"/>
    <row r="3863" ht="12.75" customHeight="1" x14ac:dyDescent="0.2"/>
    <row r="3864" ht="12.75" customHeight="1" x14ac:dyDescent="0.2"/>
    <row r="3865" ht="12.75" customHeight="1" x14ac:dyDescent="0.2"/>
    <row r="3866" ht="12.75" customHeight="1" x14ac:dyDescent="0.2"/>
    <row r="3867" ht="12.75" customHeight="1" x14ac:dyDescent="0.2"/>
    <row r="3868" ht="12.75" customHeight="1" x14ac:dyDescent="0.2"/>
    <row r="3869" ht="12.75" customHeight="1" x14ac:dyDescent="0.2"/>
    <row r="3870" ht="12.75" customHeight="1" x14ac:dyDescent="0.2"/>
    <row r="3871" ht="12.75" customHeight="1" x14ac:dyDescent="0.2"/>
    <row r="3872" ht="12.75" customHeight="1" x14ac:dyDescent="0.2"/>
    <row r="3873" ht="12.75" customHeight="1" x14ac:dyDescent="0.2"/>
    <row r="3874" ht="12.75" customHeight="1" x14ac:dyDescent="0.2"/>
    <row r="3875" ht="12.75" customHeight="1" x14ac:dyDescent="0.2"/>
    <row r="3876" ht="12.75" customHeight="1" x14ac:dyDescent="0.2"/>
    <row r="3877" ht="12.75" customHeight="1" x14ac:dyDescent="0.2"/>
    <row r="3878" ht="12.75" customHeight="1" x14ac:dyDescent="0.2"/>
    <row r="3879" ht="12.75" customHeight="1" x14ac:dyDescent="0.2"/>
    <row r="3880" ht="12.75" customHeight="1" x14ac:dyDescent="0.2"/>
    <row r="3881" ht="12.75" customHeight="1" x14ac:dyDescent="0.2"/>
    <row r="3882" ht="12.75" customHeight="1" x14ac:dyDescent="0.2"/>
    <row r="3883" ht="12.75" customHeight="1" x14ac:dyDescent="0.2"/>
    <row r="3884" ht="12.75" customHeight="1" x14ac:dyDescent="0.2"/>
    <row r="3885" ht="12.75" customHeight="1" x14ac:dyDescent="0.2"/>
    <row r="3886" ht="12.75" customHeight="1" x14ac:dyDescent="0.2"/>
    <row r="3887" ht="12.75" customHeight="1" x14ac:dyDescent="0.2"/>
    <row r="3888" ht="12.75" customHeight="1" x14ac:dyDescent="0.2"/>
    <row r="3889" ht="12.75" customHeight="1" x14ac:dyDescent="0.2"/>
    <row r="3890" ht="12.75" customHeight="1" x14ac:dyDescent="0.2"/>
    <row r="3891" ht="12.75" customHeight="1" x14ac:dyDescent="0.2"/>
    <row r="3892" ht="12.75" customHeight="1" x14ac:dyDescent="0.2"/>
    <row r="3893" ht="12.75" customHeight="1" x14ac:dyDescent="0.2"/>
    <row r="3894" ht="12.75" customHeight="1" x14ac:dyDescent="0.2"/>
    <row r="3895" ht="12.75" customHeight="1" x14ac:dyDescent="0.2"/>
    <row r="3896" ht="12.75" customHeight="1" x14ac:dyDescent="0.2"/>
    <row r="3897" ht="12.75" customHeight="1" x14ac:dyDescent="0.2"/>
    <row r="3898" ht="12.75" customHeight="1" x14ac:dyDescent="0.2"/>
    <row r="3899" ht="12.75" customHeight="1" x14ac:dyDescent="0.2"/>
    <row r="3900" ht="12.75" customHeight="1" x14ac:dyDescent="0.2"/>
    <row r="3901" ht="12.75" customHeight="1" x14ac:dyDescent="0.2"/>
    <row r="3902" ht="12.75" customHeight="1" x14ac:dyDescent="0.2"/>
    <row r="3903" ht="12.75" customHeight="1" x14ac:dyDescent="0.2"/>
    <row r="3904" ht="12.75" customHeight="1" x14ac:dyDescent="0.2"/>
    <row r="3905" ht="12.75" customHeight="1" x14ac:dyDescent="0.2"/>
    <row r="3906" ht="12.75" customHeight="1" x14ac:dyDescent="0.2"/>
    <row r="3907" ht="12.75" customHeight="1" x14ac:dyDescent="0.2"/>
    <row r="3908" ht="12.75" customHeight="1" x14ac:dyDescent="0.2"/>
    <row r="3909" ht="12.75" customHeight="1" x14ac:dyDescent="0.2"/>
    <row r="3910" ht="12.75" customHeight="1" x14ac:dyDescent="0.2"/>
    <row r="3911" ht="12.75" customHeight="1" x14ac:dyDescent="0.2"/>
    <row r="3912" ht="12.75" customHeight="1" x14ac:dyDescent="0.2"/>
    <row r="3913" ht="12.75" customHeight="1" x14ac:dyDescent="0.2"/>
    <row r="3914" ht="12.75" customHeight="1" x14ac:dyDescent="0.2"/>
    <row r="3915" ht="12.75" customHeight="1" x14ac:dyDescent="0.2"/>
    <row r="3916" ht="12.75" customHeight="1" x14ac:dyDescent="0.2"/>
    <row r="3917" ht="12.75" customHeight="1" x14ac:dyDescent="0.2"/>
    <row r="3918" ht="12.75" customHeight="1" x14ac:dyDescent="0.2"/>
    <row r="3919" ht="12.75" customHeight="1" x14ac:dyDescent="0.2"/>
    <row r="3920" ht="12.75" customHeight="1" x14ac:dyDescent="0.2"/>
    <row r="3921" ht="12.75" customHeight="1" x14ac:dyDescent="0.2"/>
    <row r="3922" ht="12.75" customHeight="1" x14ac:dyDescent="0.2"/>
    <row r="3923" ht="12.75" customHeight="1" x14ac:dyDescent="0.2"/>
    <row r="3924" ht="12.75" customHeight="1" x14ac:dyDescent="0.2"/>
    <row r="3925" ht="12.75" customHeight="1" x14ac:dyDescent="0.2"/>
    <row r="3926" ht="12.75" customHeight="1" x14ac:dyDescent="0.2"/>
    <row r="3927" ht="12.75" customHeight="1" x14ac:dyDescent="0.2"/>
    <row r="3928" ht="12.75" customHeight="1" x14ac:dyDescent="0.2"/>
    <row r="3929" ht="12.75" customHeight="1" x14ac:dyDescent="0.2"/>
    <row r="3930" ht="12.75" customHeight="1" x14ac:dyDescent="0.2"/>
    <row r="3931" ht="12.75" customHeight="1" x14ac:dyDescent="0.2"/>
    <row r="3932" ht="12.75" customHeight="1" x14ac:dyDescent="0.2"/>
    <row r="3933" ht="12.75" customHeight="1" x14ac:dyDescent="0.2"/>
    <row r="3934" ht="12.75" customHeight="1" x14ac:dyDescent="0.2"/>
    <row r="3935" ht="12.75" customHeight="1" x14ac:dyDescent="0.2"/>
    <row r="3936" ht="12.75" customHeight="1" x14ac:dyDescent="0.2"/>
    <row r="3937" ht="12.75" customHeight="1" x14ac:dyDescent="0.2"/>
    <row r="3938" ht="12.75" customHeight="1" x14ac:dyDescent="0.2"/>
    <row r="3939" ht="12.75" customHeight="1" x14ac:dyDescent="0.2"/>
    <row r="3940" ht="12.75" customHeight="1" x14ac:dyDescent="0.2"/>
    <row r="3941" ht="12.75" customHeight="1" x14ac:dyDescent="0.2"/>
    <row r="3942" ht="12.75" customHeight="1" x14ac:dyDescent="0.2"/>
    <row r="3943" ht="12.75" customHeight="1" x14ac:dyDescent="0.2"/>
    <row r="3944" ht="12.75" customHeight="1" x14ac:dyDescent="0.2"/>
    <row r="3945" ht="12.75" customHeight="1" x14ac:dyDescent="0.2"/>
    <row r="3946" ht="12.75" customHeight="1" x14ac:dyDescent="0.2"/>
    <row r="3947" ht="12.75" customHeight="1" x14ac:dyDescent="0.2"/>
    <row r="3948" ht="12.75" customHeight="1" x14ac:dyDescent="0.2"/>
    <row r="3949" ht="12.75" customHeight="1" x14ac:dyDescent="0.2"/>
    <row r="3950" ht="12.75" customHeight="1" x14ac:dyDescent="0.2"/>
    <row r="3951" ht="12.75" customHeight="1" x14ac:dyDescent="0.2"/>
    <row r="3952" ht="12.75" customHeight="1" x14ac:dyDescent="0.2"/>
    <row r="3953" ht="12.75" customHeight="1" x14ac:dyDescent="0.2"/>
    <row r="3954" ht="12.75" customHeight="1" x14ac:dyDescent="0.2"/>
    <row r="3955" ht="12.75" customHeight="1" x14ac:dyDescent="0.2"/>
    <row r="3956" ht="12.75" customHeight="1" x14ac:dyDescent="0.2"/>
    <row r="3957" ht="12.75" customHeight="1" x14ac:dyDescent="0.2"/>
    <row r="3958" ht="12.75" customHeight="1" x14ac:dyDescent="0.2"/>
    <row r="3959" ht="12.75" customHeight="1" x14ac:dyDescent="0.2"/>
    <row r="3960" ht="12.75" customHeight="1" x14ac:dyDescent="0.2"/>
    <row r="3961" ht="12.75" customHeight="1" x14ac:dyDescent="0.2"/>
    <row r="3962" ht="12.75" customHeight="1" x14ac:dyDescent="0.2"/>
    <row r="3963" ht="12.75" customHeight="1" x14ac:dyDescent="0.2"/>
    <row r="3964" ht="12.75" customHeight="1" x14ac:dyDescent="0.2"/>
    <row r="3965" ht="12.75" customHeight="1" x14ac:dyDescent="0.2"/>
    <row r="3966" ht="12.75" customHeight="1" x14ac:dyDescent="0.2"/>
    <row r="3967" ht="12.75" customHeight="1" x14ac:dyDescent="0.2"/>
    <row r="3968" ht="12.75" customHeight="1" x14ac:dyDescent="0.2"/>
    <row r="3969" ht="12.75" customHeight="1" x14ac:dyDescent="0.2"/>
    <row r="3970" ht="12.75" customHeight="1" x14ac:dyDescent="0.2"/>
    <row r="3971" ht="12.75" customHeight="1" x14ac:dyDescent="0.2"/>
    <row r="3972" ht="12.75" customHeight="1" x14ac:dyDescent="0.2"/>
    <row r="3973" ht="12.75" customHeight="1" x14ac:dyDescent="0.2"/>
    <row r="3974" ht="12.75" customHeight="1" x14ac:dyDescent="0.2"/>
    <row r="3975" ht="12.75" customHeight="1" x14ac:dyDescent="0.2"/>
    <row r="3976" ht="12.75" customHeight="1" x14ac:dyDescent="0.2"/>
    <row r="3977" ht="12.75" customHeight="1" x14ac:dyDescent="0.2"/>
    <row r="3978" ht="12.75" customHeight="1" x14ac:dyDescent="0.2"/>
    <row r="3979" ht="12.75" customHeight="1" x14ac:dyDescent="0.2"/>
    <row r="3980" ht="12.75" customHeight="1" x14ac:dyDescent="0.2"/>
    <row r="3981" ht="12.75" customHeight="1" x14ac:dyDescent="0.2"/>
    <row r="3982" ht="12.75" customHeight="1" x14ac:dyDescent="0.2"/>
    <row r="3983" ht="12.75" customHeight="1" x14ac:dyDescent="0.2"/>
    <row r="3984" ht="12.75" customHeight="1" x14ac:dyDescent="0.2"/>
    <row r="3985" ht="12.75" customHeight="1" x14ac:dyDescent="0.2"/>
    <row r="3986" ht="12.75" customHeight="1" x14ac:dyDescent="0.2"/>
    <row r="3987" ht="12.75" customHeight="1" x14ac:dyDescent="0.2"/>
    <row r="3988" ht="12.75" customHeight="1" x14ac:dyDescent="0.2"/>
    <row r="3989" ht="12.75" customHeight="1" x14ac:dyDescent="0.2"/>
    <row r="3990" ht="12.75" customHeight="1" x14ac:dyDescent="0.2"/>
    <row r="3991" ht="12.75" customHeight="1" x14ac:dyDescent="0.2"/>
    <row r="3992" ht="12.75" customHeight="1" x14ac:dyDescent="0.2"/>
    <row r="3993" ht="12.75" customHeight="1" x14ac:dyDescent="0.2"/>
    <row r="3994" ht="12.75" customHeight="1" x14ac:dyDescent="0.2"/>
    <row r="3995" ht="12.75" customHeight="1" x14ac:dyDescent="0.2"/>
    <row r="3996" ht="12.75" customHeight="1" x14ac:dyDescent="0.2"/>
    <row r="3997" ht="12.75" customHeight="1" x14ac:dyDescent="0.2"/>
    <row r="3998" ht="12.75" customHeight="1" x14ac:dyDescent="0.2"/>
    <row r="3999" ht="12.75" customHeight="1" x14ac:dyDescent="0.2"/>
    <row r="4000" ht="12.75" customHeight="1" x14ac:dyDescent="0.2"/>
    <row r="4001" ht="12.75" customHeight="1" x14ac:dyDescent="0.2"/>
    <row r="4002" ht="12.75" customHeight="1" x14ac:dyDescent="0.2"/>
    <row r="4003" ht="12.75" customHeight="1" x14ac:dyDescent="0.2"/>
    <row r="4004" ht="12.75" customHeight="1" x14ac:dyDescent="0.2"/>
    <row r="4005" ht="12.75" customHeight="1" x14ac:dyDescent="0.2"/>
    <row r="4006" ht="12.75" customHeight="1" x14ac:dyDescent="0.2"/>
    <row r="4007" ht="12.75" customHeight="1" x14ac:dyDescent="0.2"/>
    <row r="4008" ht="12.75" customHeight="1" x14ac:dyDescent="0.2"/>
    <row r="4009" ht="12.75" customHeight="1" x14ac:dyDescent="0.2"/>
    <row r="4010" ht="12.75" customHeight="1" x14ac:dyDescent="0.2"/>
    <row r="4011" ht="12.75" customHeight="1" x14ac:dyDescent="0.2"/>
    <row r="4012" ht="12.75" customHeight="1" x14ac:dyDescent="0.2"/>
    <row r="4013" ht="12.75" customHeight="1" x14ac:dyDescent="0.2"/>
    <row r="4014" ht="12.75" customHeight="1" x14ac:dyDescent="0.2"/>
    <row r="4015" ht="12.75" customHeight="1" x14ac:dyDescent="0.2"/>
    <row r="4016" ht="12.75" customHeight="1" x14ac:dyDescent="0.2"/>
    <row r="4017" ht="12.75" customHeight="1" x14ac:dyDescent="0.2"/>
    <row r="4018" ht="12.75" customHeight="1" x14ac:dyDescent="0.2"/>
    <row r="4019" ht="12.75" customHeight="1" x14ac:dyDescent="0.2"/>
    <row r="4020" ht="12.75" customHeight="1" x14ac:dyDescent="0.2"/>
    <row r="4021" ht="12.75" customHeight="1" x14ac:dyDescent="0.2"/>
    <row r="4022" ht="12.75" customHeight="1" x14ac:dyDescent="0.2"/>
    <row r="4023" ht="12.75" customHeight="1" x14ac:dyDescent="0.2"/>
    <row r="4024" ht="12.75" customHeight="1" x14ac:dyDescent="0.2"/>
    <row r="4025" ht="12.75" customHeight="1" x14ac:dyDescent="0.2"/>
    <row r="4026" ht="12.75" customHeight="1" x14ac:dyDescent="0.2"/>
    <row r="4027" ht="12.75" customHeight="1" x14ac:dyDescent="0.2"/>
    <row r="4028" ht="12.75" customHeight="1" x14ac:dyDescent="0.2"/>
    <row r="4029" ht="12.75" customHeight="1" x14ac:dyDescent="0.2"/>
    <row r="4030" ht="12.75" customHeight="1" x14ac:dyDescent="0.2"/>
    <row r="4031" ht="12.75" customHeight="1" x14ac:dyDescent="0.2"/>
    <row r="4032" ht="12.75" customHeight="1" x14ac:dyDescent="0.2"/>
    <row r="4033" ht="12.75" customHeight="1" x14ac:dyDescent="0.2"/>
    <row r="4034" ht="12.75" customHeight="1" x14ac:dyDescent="0.2"/>
    <row r="4035" ht="12.75" customHeight="1" x14ac:dyDescent="0.2"/>
    <row r="4036" ht="12.75" customHeight="1" x14ac:dyDescent="0.2"/>
    <row r="4037" ht="12.75" customHeight="1" x14ac:dyDescent="0.2"/>
    <row r="4038" ht="12.75" customHeight="1" x14ac:dyDescent="0.2"/>
    <row r="4039" ht="12.75" customHeight="1" x14ac:dyDescent="0.2"/>
    <row r="4040" ht="12.75" customHeight="1" x14ac:dyDescent="0.2"/>
    <row r="4041" ht="12.75" customHeight="1" x14ac:dyDescent="0.2"/>
    <row r="4042" ht="12.75" customHeight="1" x14ac:dyDescent="0.2"/>
    <row r="4043" ht="12.75" customHeight="1" x14ac:dyDescent="0.2"/>
    <row r="4044" ht="12.75" customHeight="1" x14ac:dyDescent="0.2"/>
    <row r="4045" ht="12.75" customHeight="1" x14ac:dyDescent="0.2"/>
    <row r="4046" ht="12.75" customHeight="1" x14ac:dyDescent="0.2"/>
    <row r="4047" ht="12.75" customHeight="1" x14ac:dyDescent="0.2"/>
    <row r="4048" ht="12.75" customHeight="1" x14ac:dyDescent="0.2"/>
    <row r="4049" ht="12.75" customHeight="1" x14ac:dyDescent="0.2"/>
    <row r="4050" ht="12.75" customHeight="1" x14ac:dyDescent="0.2"/>
    <row r="4051" ht="12.75" customHeight="1" x14ac:dyDescent="0.2"/>
    <row r="4052" ht="12.75" customHeight="1" x14ac:dyDescent="0.2"/>
    <row r="4053" ht="12.75" customHeight="1" x14ac:dyDescent="0.2"/>
    <row r="4054" ht="12.75" customHeight="1" x14ac:dyDescent="0.2"/>
    <row r="4055" ht="12.75" customHeight="1" x14ac:dyDescent="0.2"/>
    <row r="4056" ht="12.75" customHeight="1" x14ac:dyDescent="0.2"/>
    <row r="4057" ht="12.75" customHeight="1" x14ac:dyDescent="0.2"/>
    <row r="4058" ht="12.75" customHeight="1" x14ac:dyDescent="0.2"/>
    <row r="4059" ht="12.75" customHeight="1" x14ac:dyDescent="0.2"/>
    <row r="4060" ht="12.75" customHeight="1" x14ac:dyDescent="0.2"/>
    <row r="4061" ht="12.75" customHeight="1" x14ac:dyDescent="0.2"/>
    <row r="4062" ht="12.75" customHeight="1" x14ac:dyDescent="0.2"/>
    <row r="4063" ht="12.75" customHeight="1" x14ac:dyDescent="0.2"/>
    <row r="4064" ht="12.75" customHeight="1" x14ac:dyDescent="0.2"/>
    <row r="4065" ht="12.75" customHeight="1" x14ac:dyDescent="0.2"/>
    <row r="4066" ht="12.75" customHeight="1" x14ac:dyDescent="0.2"/>
    <row r="4067" ht="12.75" customHeight="1" x14ac:dyDescent="0.2"/>
    <row r="4068" ht="12.75" customHeight="1" x14ac:dyDescent="0.2"/>
    <row r="4069" ht="12.75" customHeight="1" x14ac:dyDescent="0.2"/>
    <row r="4070" ht="12.75" customHeight="1" x14ac:dyDescent="0.2"/>
    <row r="4071" ht="12.75" customHeight="1" x14ac:dyDescent="0.2"/>
    <row r="4072" ht="12.75" customHeight="1" x14ac:dyDescent="0.2"/>
    <row r="4073" ht="12.75" customHeight="1" x14ac:dyDescent="0.2"/>
    <row r="4074" ht="12.75" customHeight="1" x14ac:dyDescent="0.2"/>
    <row r="4075" ht="12.75" customHeight="1" x14ac:dyDescent="0.2"/>
    <row r="4076" ht="12.75" customHeight="1" x14ac:dyDescent="0.2"/>
    <row r="4077" ht="12.75" customHeight="1" x14ac:dyDescent="0.2"/>
    <row r="4078" ht="12.75" customHeight="1" x14ac:dyDescent="0.2"/>
    <row r="4079" ht="12.75" customHeight="1" x14ac:dyDescent="0.2"/>
    <row r="4080" ht="12.75" customHeight="1" x14ac:dyDescent="0.2"/>
    <row r="4081" ht="12.75" customHeight="1" x14ac:dyDescent="0.2"/>
    <row r="4082" ht="12.75" customHeight="1" x14ac:dyDescent="0.2"/>
    <row r="4083" ht="12.75" customHeight="1" x14ac:dyDescent="0.2"/>
    <row r="4084" ht="12.75" customHeight="1" x14ac:dyDescent="0.2"/>
    <row r="4085" ht="12.75" customHeight="1" x14ac:dyDescent="0.2"/>
    <row r="4086" ht="12.75" customHeight="1" x14ac:dyDescent="0.2"/>
    <row r="4087" ht="12.75" customHeight="1" x14ac:dyDescent="0.2"/>
    <row r="4088" ht="12.75" customHeight="1" x14ac:dyDescent="0.2"/>
    <row r="4089" ht="12.75" customHeight="1" x14ac:dyDescent="0.2"/>
    <row r="4090" ht="12.75" customHeight="1" x14ac:dyDescent="0.2"/>
    <row r="4091" ht="12.75" customHeight="1" x14ac:dyDescent="0.2"/>
    <row r="4092" ht="12.75" customHeight="1" x14ac:dyDescent="0.2"/>
    <row r="4093" ht="12.75" customHeight="1" x14ac:dyDescent="0.2"/>
    <row r="4094" ht="12.75" customHeight="1" x14ac:dyDescent="0.2"/>
    <row r="4095" ht="12.75" customHeight="1" x14ac:dyDescent="0.2"/>
    <row r="4096" ht="12.75" customHeight="1" x14ac:dyDescent="0.2"/>
    <row r="4097" ht="12.75" customHeight="1" x14ac:dyDescent="0.2"/>
    <row r="4098" ht="12.75" customHeight="1" x14ac:dyDescent="0.2"/>
    <row r="4099" ht="12.75" customHeight="1" x14ac:dyDescent="0.2"/>
    <row r="4100" ht="12.75" customHeight="1" x14ac:dyDescent="0.2"/>
    <row r="4101" ht="12.75" customHeight="1" x14ac:dyDescent="0.2"/>
    <row r="4102" ht="12.75" customHeight="1" x14ac:dyDescent="0.2"/>
    <row r="4103" ht="12.75" customHeight="1" x14ac:dyDescent="0.2"/>
    <row r="4104" ht="12.75" customHeight="1" x14ac:dyDescent="0.2"/>
    <row r="4105" ht="12.75" customHeight="1" x14ac:dyDescent="0.2"/>
    <row r="4106" ht="12.75" customHeight="1" x14ac:dyDescent="0.2"/>
    <row r="4107" ht="12.75" customHeight="1" x14ac:dyDescent="0.2"/>
    <row r="4108" ht="12.75" customHeight="1" x14ac:dyDescent="0.2"/>
    <row r="4109" ht="12.75" customHeight="1" x14ac:dyDescent="0.2"/>
    <row r="4110" ht="12.75" customHeight="1" x14ac:dyDescent="0.2"/>
    <row r="4111" ht="12.75" customHeight="1" x14ac:dyDescent="0.2"/>
    <row r="4112" ht="12.75" customHeight="1" x14ac:dyDescent="0.2"/>
    <row r="4113" ht="12.75" customHeight="1" x14ac:dyDescent="0.2"/>
    <row r="4114" ht="12.75" customHeight="1" x14ac:dyDescent="0.2"/>
    <row r="4115" ht="12.75" customHeight="1" x14ac:dyDescent="0.2"/>
    <row r="4116" ht="12.75" customHeight="1" x14ac:dyDescent="0.2"/>
    <row r="4117" ht="12.75" customHeight="1" x14ac:dyDescent="0.2"/>
    <row r="4118" ht="12.75" customHeight="1" x14ac:dyDescent="0.2"/>
    <row r="4119" ht="12.75" customHeight="1" x14ac:dyDescent="0.2"/>
    <row r="4120" ht="12.75" customHeight="1" x14ac:dyDescent="0.2"/>
    <row r="4121" ht="12.75" customHeight="1" x14ac:dyDescent="0.2"/>
    <row r="4122" ht="12.75" customHeight="1" x14ac:dyDescent="0.2"/>
    <row r="4123" ht="12.75" customHeight="1" x14ac:dyDescent="0.2"/>
    <row r="4124" ht="12.75" customHeight="1" x14ac:dyDescent="0.2"/>
    <row r="4125" ht="12.75" customHeight="1" x14ac:dyDescent="0.2"/>
    <row r="4126" ht="12.75" customHeight="1" x14ac:dyDescent="0.2"/>
    <row r="4127" ht="12.75" customHeight="1" x14ac:dyDescent="0.2"/>
    <row r="4128" ht="12.75" customHeight="1" x14ac:dyDescent="0.2"/>
    <row r="4129" ht="12.75" customHeight="1" x14ac:dyDescent="0.2"/>
    <row r="4130" ht="12.75" customHeight="1" x14ac:dyDescent="0.2"/>
    <row r="4131" ht="12.75" customHeight="1" x14ac:dyDescent="0.2"/>
    <row r="4132" ht="12.75" customHeight="1" x14ac:dyDescent="0.2"/>
    <row r="4133" ht="12.75" customHeight="1" x14ac:dyDescent="0.2"/>
    <row r="4134" ht="12.75" customHeight="1" x14ac:dyDescent="0.2"/>
    <row r="4135" ht="12.75" customHeight="1" x14ac:dyDescent="0.2"/>
    <row r="4136" ht="12.75" customHeight="1" x14ac:dyDescent="0.2"/>
    <row r="4137" ht="12.75" customHeight="1" x14ac:dyDescent="0.2"/>
    <row r="4138" ht="12.75" customHeight="1" x14ac:dyDescent="0.2"/>
    <row r="4139" ht="12.75" customHeight="1" x14ac:dyDescent="0.2"/>
    <row r="4140" ht="12.75" customHeight="1" x14ac:dyDescent="0.2"/>
    <row r="4141" ht="12.75" customHeight="1" x14ac:dyDescent="0.2"/>
    <row r="4142" ht="12.75" customHeight="1" x14ac:dyDescent="0.2"/>
    <row r="4143" ht="12.75" customHeight="1" x14ac:dyDescent="0.2"/>
    <row r="4144" ht="12.75" customHeight="1" x14ac:dyDescent="0.2"/>
    <row r="4145" ht="12.75" customHeight="1" x14ac:dyDescent="0.2"/>
    <row r="4146" ht="12.75" customHeight="1" x14ac:dyDescent="0.2"/>
    <row r="4147" ht="12.75" customHeight="1" x14ac:dyDescent="0.2"/>
    <row r="4148" ht="12.75" customHeight="1" x14ac:dyDescent="0.2"/>
    <row r="4149" ht="12.75" customHeight="1" x14ac:dyDescent="0.2"/>
    <row r="4150" ht="12.75" customHeight="1" x14ac:dyDescent="0.2"/>
    <row r="4151" ht="12.75" customHeight="1" x14ac:dyDescent="0.2"/>
    <row r="4152" ht="12.75" customHeight="1" x14ac:dyDescent="0.2"/>
    <row r="4153" ht="12.75" customHeight="1" x14ac:dyDescent="0.2"/>
    <row r="4154" ht="12.75" customHeight="1" x14ac:dyDescent="0.2"/>
    <row r="4155" ht="12.75" customHeight="1" x14ac:dyDescent="0.2"/>
    <row r="4156" ht="12.75" customHeight="1" x14ac:dyDescent="0.2"/>
    <row r="4157" ht="12.75" customHeight="1" x14ac:dyDescent="0.2"/>
    <row r="4158" ht="12.75" customHeight="1" x14ac:dyDescent="0.2"/>
    <row r="4159" ht="12.75" customHeight="1" x14ac:dyDescent="0.2"/>
    <row r="4160" ht="12.75" customHeight="1" x14ac:dyDescent="0.2"/>
    <row r="4161" ht="12.75" customHeight="1" x14ac:dyDescent="0.2"/>
    <row r="4162" ht="12.75" customHeight="1" x14ac:dyDescent="0.2"/>
    <row r="4163" ht="12.75" customHeight="1" x14ac:dyDescent="0.2"/>
    <row r="4164" ht="12.75" customHeight="1" x14ac:dyDescent="0.2"/>
    <row r="4165" ht="12.75" customHeight="1" x14ac:dyDescent="0.2"/>
    <row r="4166" ht="12.75" customHeight="1" x14ac:dyDescent="0.2"/>
    <row r="4167" ht="12.75" customHeight="1" x14ac:dyDescent="0.2"/>
    <row r="4168" ht="12.75" customHeight="1" x14ac:dyDescent="0.2"/>
    <row r="4169" ht="12.75" customHeight="1" x14ac:dyDescent="0.2"/>
    <row r="4170" ht="12.75" customHeight="1" x14ac:dyDescent="0.2"/>
    <row r="4171" ht="12.75" customHeight="1" x14ac:dyDescent="0.2"/>
    <row r="4172" ht="12.75" customHeight="1" x14ac:dyDescent="0.2"/>
    <row r="4173" ht="12.75" customHeight="1" x14ac:dyDescent="0.2"/>
    <row r="4174" ht="12.75" customHeight="1" x14ac:dyDescent="0.2"/>
    <row r="4175" ht="12.75" customHeight="1" x14ac:dyDescent="0.2"/>
    <row r="4176" ht="12.75" customHeight="1" x14ac:dyDescent="0.2"/>
    <row r="4177" ht="12.75" customHeight="1" x14ac:dyDescent="0.2"/>
    <row r="4178" ht="12.75" customHeight="1" x14ac:dyDescent="0.2"/>
    <row r="4179" ht="12.75" customHeight="1" x14ac:dyDescent="0.2"/>
    <row r="4180" ht="12.75" customHeight="1" x14ac:dyDescent="0.2"/>
    <row r="4181" ht="12.75" customHeight="1" x14ac:dyDescent="0.2"/>
    <row r="4182" ht="12.75" customHeight="1" x14ac:dyDescent="0.2"/>
    <row r="4183" ht="12.75" customHeight="1" x14ac:dyDescent="0.2"/>
    <row r="4184" ht="12.75" customHeight="1" x14ac:dyDescent="0.2"/>
    <row r="4185" ht="12.75" customHeight="1" x14ac:dyDescent="0.2"/>
    <row r="4186" ht="12.75" customHeight="1" x14ac:dyDescent="0.2"/>
    <row r="4187" ht="12.75" customHeight="1" x14ac:dyDescent="0.2"/>
    <row r="4188" ht="12.75" customHeight="1" x14ac:dyDescent="0.2"/>
    <row r="4189" ht="12.75" customHeight="1" x14ac:dyDescent="0.2"/>
    <row r="4190" ht="12.75" customHeight="1" x14ac:dyDescent="0.2"/>
    <row r="4191" ht="12.75" customHeight="1" x14ac:dyDescent="0.2"/>
    <row r="4192" ht="12.75" customHeight="1" x14ac:dyDescent="0.2"/>
    <row r="4193" ht="12.75" customHeight="1" x14ac:dyDescent="0.2"/>
    <row r="4194" ht="12.75" customHeight="1" x14ac:dyDescent="0.2"/>
    <row r="4195" ht="12.75" customHeight="1" x14ac:dyDescent="0.2"/>
    <row r="4196" ht="12.75" customHeight="1" x14ac:dyDescent="0.2"/>
    <row r="4197" ht="12.75" customHeight="1" x14ac:dyDescent="0.2"/>
    <row r="4198" ht="12.75" customHeight="1" x14ac:dyDescent="0.2"/>
    <row r="4199" ht="12.75" customHeight="1" x14ac:dyDescent="0.2"/>
    <row r="4200" ht="12.75" customHeight="1" x14ac:dyDescent="0.2"/>
    <row r="4201" ht="12.75" customHeight="1" x14ac:dyDescent="0.2"/>
    <row r="4202" ht="12.75" customHeight="1" x14ac:dyDescent="0.2"/>
    <row r="4203" ht="12.75" customHeight="1" x14ac:dyDescent="0.2"/>
    <row r="4204" ht="12.75" customHeight="1" x14ac:dyDescent="0.2"/>
    <row r="4205" ht="12.75" customHeight="1" x14ac:dyDescent="0.2"/>
    <row r="4206" ht="12.75" customHeight="1" x14ac:dyDescent="0.2"/>
    <row r="4207" ht="12.75" customHeight="1" x14ac:dyDescent="0.2"/>
    <row r="4208" ht="12.75" customHeight="1" x14ac:dyDescent="0.2"/>
    <row r="4209" ht="12.75" customHeight="1" x14ac:dyDescent="0.2"/>
    <row r="4210" ht="12.75" customHeight="1" x14ac:dyDescent="0.2"/>
    <row r="4211" ht="12.75" customHeight="1" x14ac:dyDescent="0.2"/>
    <row r="4212" ht="12.75" customHeight="1" x14ac:dyDescent="0.2"/>
    <row r="4213" ht="12.75" customHeight="1" x14ac:dyDescent="0.2"/>
    <row r="4214" ht="12.75" customHeight="1" x14ac:dyDescent="0.2"/>
    <row r="4215" ht="12.75" customHeight="1" x14ac:dyDescent="0.2"/>
    <row r="4216" ht="12.75" customHeight="1" x14ac:dyDescent="0.2"/>
    <row r="4217" ht="12.75" customHeight="1" x14ac:dyDescent="0.2"/>
    <row r="4218" ht="12.75" customHeight="1" x14ac:dyDescent="0.2"/>
    <row r="4219" ht="12.75" customHeight="1" x14ac:dyDescent="0.2"/>
    <row r="4220" ht="12.75" customHeight="1" x14ac:dyDescent="0.2"/>
    <row r="4221" ht="12.75" customHeight="1" x14ac:dyDescent="0.2"/>
    <row r="4222" ht="12.75" customHeight="1" x14ac:dyDescent="0.2"/>
    <row r="4223" ht="12.75" customHeight="1" x14ac:dyDescent="0.2"/>
    <row r="4224" ht="12.75" customHeight="1" x14ac:dyDescent="0.2"/>
    <row r="4225" ht="12.75" customHeight="1" x14ac:dyDescent="0.2"/>
    <row r="4226" ht="12.75" customHeight="1" x14ac:dyDescent="0.2"/>
    <row r="4227" ht="12.75" customHeight="1" x14ac:dyDescent="0.2"/>
    <row r="4228" ht="12.75" customHeight="1" x14ac:dyDescent="0.2"/>
    <row r="4229" ht="12.75" customHeight="1" x14ac:dyDescent="0.2"/>
    <row r="4230" ht="12.75" customHeight="1" x14ac:dyDescent="0.2"/>
    <row r="4231" ht="12.75" customHeight="1" x14ac:dyDescent="0.2"/>
    <row r="4232" ht="12.75" customHeight="1" x14ac:dyDescent="0.2"/>
    <row r="4233" ht="12.75" customHeight="1" x14ac:dyDescent="0.2"/>
    <row r="4234" ht="12.75" customHeight="1" x14ac:dyDescent="0.2"/>
    <row r="4235" ht="12.75" customHeight="1" x14ac:dyDescent="0.2"/>
    <row r="4236" ht="12.75" customHeight="1" x14ac:dyDescent="0.2"/>
    <row r="4237" ht="12.75" customHeight="1" x14ac:dyDescent="0.2"/>
    <row r="4238" ht="12.75" customHeight="1" x14ac:dyDescent="0.2"/>
    <row r="4239" ht="12.75" customHeight="1" x14ac:dyDescent="0.2"/>
    <row r="4240" ht="12.75" customHeight="1" x14ac:dyDescent="0.2"/>
    <row r="4241" ht="12.75" customHeight="1" x14ac:dyDescent="0.2"/>
    <row r="4242" ht="12.75" customHeight="1" x14ac:dyDescent="0.2"/>
    <row r="4243" ht="12.75" customHeight="1" x14ac:dyDescent="0.2"/>
    <row r="4244" ht="12.75" customHeight="1" x14ac:dyDescent="0.2"/>
    <row r="4245" ht="12.75" customHeight="1" x14ac:dyDescent="0.2"/>
    <row r="4246" ht="12.75" customHeight="1" x14ac:dyDescent="0.2"/>
    <row r="4247" ht="12.75" customHeight="1" x14ac:dyDescent="0.2"/>
    <row r="4248" ht="12.75" customHeight="1" x14ac:dyDescent="0.2"/>
    <row r="4249" ht="12.75" customHeight="1" x14ac:dyDescent="0.2"/>
    <row r="4250" ht="12.75" customHeight="1" x14ac:dyDescent="0.2"/>
    <row r="4251" ht="12.75" customHeight="1" x14ac:dyDescent="0.2"/>
    <row r="4252" ht="12.75" customHeight="1" x14ac:dyDescent="0.2"/>
    <row r="4253" ht="12.75" customHeight="1" x14ac:dyDescent="0.2"/>
    <row r="4254" ht="12.75" customHeight="1" x14ac:dyDescent="0.2"/>
    <row r="4255" ht="12.75" customHeight="1" x14ac:dyDescent="0.2"/>
    <row r="4256" ht="12.75" customHeight="1" x14ac:dyDescent="0.2"/>
    <row r="4257" ht="12.75" customHeight="1" x14ac:dyDescent="0.2"/>
    <row r="4258" ht="12.75" customHeight="1" x14ac:dyDescent="0.2"/>
    <row r="4259" ht="12.75" customHeight="1" x14ac:dyDescent="0.2"/>
    <row r="4260" ht="12.75" customHeight="1" x14ac:dyDescent="0.2"/>
    <row r="4261" ht="12.75" customHeight="1" x14ac:dyDescent="0.2"/>
    <row r="4262" ht="12.75" customHeight="1" x14ac:dyDescent="0.2"/>
    <row r="4263" ht="12.75" customHeight="1" x14ac:dyDescent="0.2"/>
    <row r="4264" ht="12.75" customHeight="1" x14ac:dyDescent="0.2"/>
    <row r="4265" ht="12.75" customHeight="1" x14ac:dyDescent="0.2"/>
    <row r="4266" ht="12.75" customHeight="1" x14ac:dyDescent="0.2"/>
    <row r="4267" ht="12.75" customHeight="1" x14ac:dyDescent="0.2"/>
    <row r="4268" ht="12.75" customHeight="1" x14ac:dyDescent="0.2"/>
    <row r="4269" ht="12.75" customHeight="1" x14ac:dyDescent="0.2"/>
    <row r="4270" ht="12.75" customHeight="1" x14ac:dyDescent="0.2"/>
    <row r="4271" ht="12.75" customHeight="1" x14ac:dyDescent="0.2"/>
    <row r="4272" ht="12.75" customHeight="1" x14ac:dyDescent="0.2"/>
    <row r="4273" ht="12.75" customHeight="1" x14ac:dyDescent="0.2"/>
    <row r="4274" ht="12.75" customHeight="1" x14ac:dyDescent="0.2"/>
    <row r="4275" ht="12.75" customHeight="1" x14ac:dyDescent="0.2"/>
    <row r="4276" ht="12.75" customHeight="1" x14ac:dyDescent="0.2"/>
    <row r="4277" ht="12.75" customHeight="1" x14ac:dyDescent="0.2"/>
    <row r="4278" ht="12.75" customHeight="1" x14ac:dyDescent="0.2"/>
    <row r="4279" ht="12.75" customHeight="1" x14ac:dyDescent="0.2"/>
    <row r="4280" ht="12.75" customHeight="1" x14ac:dyDescent="0.2"/>
    <row r="4281" ht="12.75" customHeight="1" x14ac:dyDescent="0.2"/>
    <row r="4282" ht="12.75" customHeight="1" x14ac:dyDescent="0.2"/>
    <row r="4283" ht="12.75" customHeight="1" x14ac:dyDescent="0.2"/>
    <row r="4284" ht="12.75" customHeight="1" x14ac:dyDescent="0.2"/>
    <row r="4285" ht="12.75" customHeight="1" x14ac:dyDescent="0.2"/>
    <row r="4286" ht="12.75" customHeight="1" x14ac:dyDescent="0.2"/>
    <row r="4287" ht="12.75" customHeight="1" x14ac:dyDescent="0.2"/>
    <row r="4288" ht="12.75" customHeight="1" x14ac:dyDescent="0.2"/>
    <row r="4289" ht="12.75" customHeight="1" x14ac:dyDescent="0.2"/>
    <row r="4290" ht="12.75" customHeight="1" x14ac:dyDescent="0.2"/>
    <row r="4291" ht="12.75" customHeight="1" x14ac:dyDescent="0.2"/>
    <row r="4292" ht="12.75" customHeight="1" x14ac:dyDescent="0.2"/>
    <row r="4293" ht="12.75" customHeight="1" x14ac:dyDescent="0.2"/>
    <row r="4294" ht="12.75" customHeight="1" x14ac:dyDescent="0.2"/>
    <row r="4295" ht="12.75" customHeight="1" x14ac:dyDescent="0.2"/>
    <row r="4296" ht="12.75" customHeight="1" x14ac:dyDescent="0.2"/>
    <row r="4297" ht="12.75" customHeight="1" x14ac:dyDescent="0.2"/>
    <row r="4298" ht="12.75" customHeight="1" x14ac:dyDescent="0.2"/>
    <row r="4299" ht="12.75" customHeight="1" x14ac:dyDescent="0.2"/>
    <row r="4300" ht="12.75" customHeight="1" x14ac:dyDescent="0.2"/>
    <row r="4301" ht="12.75" customHeight="1" x14ac:dyDescent="0.2"/>
    <row r="4302" ht="12.75" customHeight="1" x14ac:dyDescent="0.2"/>
    <row r="4303" ht="12.75" customHeight="1" x14ac:dyDescent="0.2"/>
    <row r="4304" ht="12.75" customHeight="1" x14ac:dyDescent="0.2"/>
    <row r="4305" ht="12.75" customHeight="1" x14ac:dyDescent="0.2"/>
    <row r="4306" ht="12.75" customHeight="1" x14ac:dyDescent="0.2"/>
    <row r="4307" ht="12.75" customHeight="1" x14ac:dyDescent="0.2"/>
    <row r="4308" ht="12.75" customHeight="1" x14ac:dyDescent="0.2"/>
    <row r="4309" ht="12.75" customHeight="1" x14ac:dyDescent="0.2"/>
    <row r="4310" ht="12.75" customHeight="1" x14ac:dyDescent="0.2"/>
    <row r="4311" ht="12.75" customHeight="1" x14ac:dyDescent="0.2"/>
    <row r="4312" ht="12.75" customHeight="1" x14ac:dyDescent="0.2"/>
    <row r="4313" ht="12.75" customHeight="1" x14ac:dyDescent="0.2"/>
    <row r="4314" ht="12.75" customHeight="1" x14ac:dyDescent="0.2"/>
    <row r="4315" ht="12.75" customHeight="1" x14ac:dyDescent="0.2"/>
    <row r="4316" ht="12.75" customHeight="1" x14ac:dyDescent="0.2"/>
    <row r="4317" ht="12.75" customHeight="1" x14ac:dyDescent="0.2"/>
    <row r="4318" ht="12.75" customHeight="1" x14ac:dyDescent="0.2"/>
    <row r="4319" ht="12.75" customHeight="1" x14ac:dyDescent="0.2"/>
    <row r="4320" ht="12.75" customHeight="1" x14ac:dyDescent="0.2"/>
    <row r="4321" ht="12.75" customHeight="1" x14ac:dyDescent="0.2"/>
    <row r="4322" ht="12.75" customHeight="1" x14ac:dyDescent="0.2"/>
    <row r="4323" ht="12.75" customHeight="1" x14ac:dyDescent="0.2"/>
    <row r="4324" ht="12.75" customHeight="1" x14ac:dyDescent="0.2"/>
    <row r="4325" ht="12.75" customHeight="1" x14ac:dyDescent="0.2"/>
    <row r="4326" ht="12.75" customHeight="1" x14ac:dyDescent="0.2"/>
    <row r="4327" ht="12.75" customHeight="1" x14ac:dyDescent="0.2"/>
    <row r="4328" ht="12.75" customHeight="1" x14ac:dyDescent="0.2"/>
    <row r="4329" ht="12.75" customHeight="1" x14ac:dyDescent="0.2"/>
    <row r="4330" ht="12.75" customHeight="1" x14ac:dyDescent="0.2"/>
    <row r="4331" ht="12.75" customHeight="1" x14ac:dyDescent="0.2"/>
    <row r="4332" ht="12.75" customHeight="1" x14ac:dyDescent="0.2"/>
    <row r="4333" ht="12.75" customHeight="1" x14ac:dyDescent="0.2"/>
    <row r="4334" ht="12.75" customHeight="1" x14ac:dyDescent="0.2"/>
    <row r="4335" ht="12.75" customHeight="1" x14ac:dyDescent="0.2"/>
    <row r="4336" ht="12.75" customHeight="1" x14ac:dyDescent="0.2"/>
    <row r="4337" ht="12.75" customHeight="1" x14ac:dyDescent="0.2"/>
    <row r="4338" ht="12.75" customHeight="1" x14ac:dyDescent="0.2"/>
    <row r="4339" ht="12.75" customHeight="1" x14ac:dyDescent="0.2"/>
    <row r="4340" ht="12.75" customHeight="1" x14ac:dyDescent="0.2"/>
    <row r="4341" ht="12.75" customHeight="1" x14ac:dyDescent="0.2"/>
    <row r="4342" ht="12.75" customHeight="1" x14ac:dyDescent="0.2"/>
    <row r="4343" ht="12.75" customHeight="1" x14ac:dyDescent="0.2"/>
    <row r="4344" ht="12.75" customHeight="1" x14ac:dyDescent="0.2"/>
    <row r="4345" ht="12.75" customHeight="1" x14ac:dyDescent="0.2"/>
    <row r="4346" ht="12.75" customHeight="1" x14ac:dyDescent="0.2"/>
    <row r="4347" ht="12.75" customHeight="1" x14ac:dyDescent="0.2"/>
    <row r="4348" ht="12.75" customHeight="1" x14ac:dyDescent="0.2"/>
    <row r="4349" ht="12.75" customHeight="1" x14ac:dyDescent="0.2"/>
    <row r="4350" ht="12.75" customHeight="1" x14ac:dyDescent="0.2"/>
    <row r="4351" ht="12.75" customHeight="1" x14ac:dyDescent="0.2"/>
    <row r="4352" ht="12.75" customHeight="1" x14ac:dyDescent="0.2"/>
    <row r="4353" ht="12.75" customHeight="1" x14ac:dyDescent="0.2"/>
    <row r="4354" ht="12.75" customHeight="1" x14ac:dyDescent="0.2"/>
    <row r="4355" ht="12.75" customHeight="1" x14ac:dyDescent="0.2"/>
    <row r="4356" ht="12.75" customHeight="1" x14ac:dyDescent="0.2"/>
    <row r="4357" ht="12.75" customHeight="1" x14ac:dyDescent="0.2"/>
    <row r="4358" ht="12.75" customHeight="1" x14ac:dyDescent="0.2"/>
    <row r="4359" ht="12.75" customHeight="1" x14ac:dyDescent="0.2"/>
    <row r="4360" ht="12.75" customHeight="1" x14ac:dyDescent="0.2"/>
    <row r="4361" ht="12.75" customHeight="1" x14ac:dyDescent="0.2"/>
    <row r="4362" ht="12.75" customHeight="1" x14ac:dyDescent="0.2"/>
    <row r="4363" ht="12.75" customHeight="1" x14ac:dyDescent="0.2"/>
    <row r="4364" ht="12.75" customHeight="1" x14ac:dyDescent="0.2"/>
    <row r="4365" ht="12.75" customHeight="1" x14ac:dyDescent="0.2"/>
    <row r="4366" ht="12.75" customHeight="1" x14ac:dyDescent="0.2"/>
    <row r="4367" ht="12.75" customHeight="1" x14ac:dyDescent="0.2"/>
    <row r="4368" ht="12.75" customHeight="1" x14ac:dyDescent="0.2"/>
    <row r="4369" ht="12.75" customHeight="1" x14ac:dyDescent="0.2"/>
    <row r="4370" ht="12.75" customHeight="1" x14ac:dyDescent="0.2"/>
    <row r="4371" ht="12.75" customHeight="1" x14ac:dyDescent="0.2"/>
    <row r="4372" ht="12.75" customHeight="1" x14ac:dyDescent="0.2"/>
    <row r="4373" ht="12.75" customHeight="1" x14ac:dyDescent="0.2"/>
    <row r="4374" ht="12.75" customHeight="1" x14ac:dyDescent="0.2"/>
    <row r="4375" ht="12.75" customHeight="1" x14ac:dyDescent="0.2"/>
    <row r="4376" ht="12.75" customHeight="1" x14ac:dyDescent="0.2"/>
    <row r="4377" ht="12.75" customHeight="1" x14ac:dyDescent="0.2"/>
    <row r="4378" ht="12.75" customHeight="1" x14ac:dyDescent="0.2"/>
    <row r="4379" ht="12.75" customHeight="1" x14ac:dyDescent="0.2"/>
    <row r="4380" ht="12.75" customHeight="1" x14ac:dyDescent="0.2"/>
    <row r="4381" ht="12.75" customHeight="1" x14ac:dyDescent="0.2"/>
    <row r="4382" ht="12.75" customHeight="1" x14ac:dyDescent="0.2"/>
    <row r="4383" ht="12.75" customHeight="1" x14ac:dyDescent="0.2"/>
    <row r="4384" ht="12.75" customHeight="1" x14ac:dyDescent="0.2"/>
    <row r="4385" ht="12.75" customHeight="1" x14ac:dyDescent="0.2"/>
    <row r="4386" ht="12.75" customHeight="1" x14ac:dyDescent="0.2"/>
    <row r="4387" ht="12.75" customHeight="1" x14ac:dyDescent="0.2"/>
    <row r="4388" ht="12.75" customHeight="1" x14ac:dyDescent="0.2"/>
    <row r="4389" ht="12.75" customHeight="1" x14ac:dyDescent="0.2"/>
    <row r="4390" ht="12.75" customHeight="1" x14ac:dyDescent="0.2"/>
    <row r="4391" ht="12.75" customHeight="1" x14ac:dyDescent="0.2"/>
    <row r="4392" ht="12.75" customHeight="1" x14ac:dyDescent="0.2"/>
    <row r="4393" ht="12.75" customHeight="1" x14ac:dyDescent="0.2"/>
    <row r="4394" ht="12.75" customHeight="1" x14ac:dyDescent="0.2"/>
    <row r="4395" ht="12.75" customHeight="1" x14ac:dyDescent="0.2"/>
    <row r="4396" ht="12.75" customHeight="1" x14ac:dyDescent="0.2"/>
    <row r="4397" ht="12.75" customHeight="1" x14ac:dyDescent="0.2"/>
    <row r="4398" ht="12.75" customHeight="1" x14ac:dyDescent="0.2"/>
    <row r="4399" ht="12.75" customHeight="1" x14ac:dyDescent="0.2"/>
    <row r="4400" ht="12.75" customHeight="1" x14ac:dyDescent="0.2"/>
    <row r="4401" ht="12.75" customHeight="1" x14ac:dyDescent="0.2"/>
    <row r="4402" ht="12.75" customHeight="1" x14ac:dyDescent="0.2"/>
    <row r="4403" ht="12.75" customHeight="1" x14ac:dyDescent="0.2"/>
    <row r="4404" ht="12.75" customHeight="1" x14ac:dyDescent="0.2"/>
    <row r="4405" ht="12.75" customHeight="1" x14ac:dyDescent="0.2"/>
    <row r="4406" ht="12.75" customHeight="1" x14ac:dyDescent="0.2"/>
    <row r="4407" ht="12.75" customHeight="1" x14ac:dyDescent="0.2"/>
    <row r="4408" ht="12.75" customHeight="1" x14ac:dyDescent="0.2"/>
    <row r="4409" ht="12.75" customHeight="1" x14ac:dyDescent="0.2"/>
    <row r="4410" ht="12.75" customHeight="1" x14ac:dyDescent="0.2"/>
    <row r="4411" ht="12.75" customHeight="1" x14ac:dyDescent="0.2"/>
    <row r="4412" ht="12.75" customHeight="1" x14ac:dyDescent="0.2"/>
    <row r="4413" ht="12.75" customHeight="1" x14ac:dyDescent="0.2"/>
    <row r="4414" ht="12.75" customHeight="1" x14ac:dyDescent="0.2"/>
    <row r="4415" ht="12.75" customHeight="1" x14ac:dyDescent="0.2"/>
    <row r="4416" ht="12.75" customHeight="1" x14ac:dyDescent="0.2"/>
    <row r="4417" ht="12.75" customHeight="1" x14ac:dyDescent="0.2"/>
    <row r="4418" ht="12.75" customHeight="1" x14ac:dyDescent="0.2"/>
    <row r="4419" ht="12.75" customHeight="1" x14ac:dyDescent="0.2"/>
    <row r="4420" ht="12.75" customHeight="1" x14ac:dyDescent="0.2"/>
    <row r="4421" ht="12.75" customHeight="1" x14ac:dyDescent="0.2"/>
    <row r="4422" ht="12.75" customHeight="1" x14ac:dyDescent="0.2"/>
    <row r="4423" ht="12.75" customHeight="1" x14ac:dyDescent="0.2"/>
    <row r="4424" ht="12.75" customHeight="1" x14ac:dyDescent="0.2"/>
    <row r="4425" ht="12.75" customHeight="1" x14ac:dyDescent="0.2"/>
    <row r="4426" ht="12.75" customHeight="1" x14ac:dyDescent="0.2"/>
    <row r="4427" ht="12.75" customHeight="1" x14ac:dyDescent="0.2"/>
    <row r="4428" ht="12.75" customHeight="1" x14ac:dyDescent="0.2"/>
    <row r="4429" ht="12.75" customHeight="1" x14ac:dyDescent="0.2"/>
    <row r="4430" ht="12.75" customHeight="1" x14ac:dyDescent="0.2"/>
    <row r="4431" ht="12.75" customHeight="1" x14ac:dyDescent="0.2"/>
    <row r="4432" ht="12.75" customHeight="1" x14ac:dyDescent="0.2"/>
    <row r="4433" ht="12.75" customHeight="1" x14ac:dyDescent="0.2"/>
    <row r="4434" ht="12.75" customHeight="1" x14ac:dyDescent="0.2"/>
    <row r="4435" ht="12.75" customHeight="1" x14ac:dyDescent="0.2"/>
    <row r="4436" ht="12.75" customHeight="1" x14ac:dyDescent="0.2"/>
    <row r="4437" ht="12.75" customHeight="1" x14ac:dyDescent="0.2"/>
    <row r="4438" ht="12.75" customHeight="1" x14ac:dyDescent="0.2"/>
    <row r="4439" ht="12.75" customHeight="1" x14ac:dyDescent="0.2"/>
    <row r="4440" ht="12.75" customHeight="1" x14ac:dyDescent="0.2"/>
    <row r="4441" ht="12.75" customHeight="1" x14ac:dyDescent="0.2"/>
    <row r="4442" ht="12.75" customHeight="1" x14ac:dyDescent="0.2"/>
    <row r="4443" ht="12.75" customHeight="1" x14ac:dyDescent="0.2"/>
    <row r="4444" ht="12.75" customHeight="1" x14ac:dyDescent="0.2"/>
    <row r="4445" ht="12.75" customHeight="1" x14ac:dyDescent="0.2"/>
    <row r="4446" ht="12.75" customHeight="1" x14ac:dyDescent="0.2"/>
    <row r="4447" ht="12.75" customHeight="1" x14ac:dyDescent="0.2"/>
    <row r="4448" ht="12.75" customHeight="1" x14ac:dyDescent="0.2"/>
    <row r="4449" ht="12.75" customHeight="1" x14ac:dyDescent="0.2"/>
    <row r="4450" ht="12.75" customHeight="1" x14ac:dyDescent="0.2"/>
    <row r="4451" ht="12.75" customHeight="1" x14ac:dyDescent="0.2"/>
    <row r="4452" ht="12.75" customHeight="1" x14ac:dyDescent="0.2"/>
    <row r="4453" ht="12.75" customHeight="1" x14ac:dyDescent="0.2"/>
    <row r="4454" ht="12.75" customHeight="1" x14ac:dyDescent="0.2"/>
    <row r="4455" ht="12.75" customHeight="1" x14ac:dyDescent="0.2"/>
    <row r="4456" ht="12.75" customHeight="1" x14ac:dyDescent="0.2"/>
    <row r="4457" ht="12.75" customHeight="1" x14ac:dyDescent="0.2"/>
    <row r="4458" ht="12.75" customHeight="1" x14ac:dyDescent="0.2"/>
    <row r="4459" ht="12.75" customHeight="1" x14ac:dyDescent="0.2"/>
    <row r="4460" ht="12.75" customHeight="1" x14ac:dyDescent="0.2"/>
    <row r="4461" ht="12.75" customHeight="1" x14ac:dyDescent="0.2"/>
    <row r="4462" ht="12.75" customHeight="1" x14ac:dyDescent="0.2"/>
    <row r="4463" ht="12.75" customHeight="1" x14ac:dyDescent="0.2"/>
    <row r="4464" ht="12.75" customHeight="1" x14ac:dyDescent="0.2"/>
    <row r="4465" ht="12.75" customHeight="1" x14ac:dyDescent="0.2"/>
    <row r="4466" ht="12.75" customHeight="1" x14ac:dyDescent="0.2"/>
    <row r="4467" ht="12.75" customHeight="1" x14ac:dyDescent="0.2"/>
    <row r="4468" ht="12.75" customHeight="1" x14ac:dyDescent="0.2"/>
    <row r="4469" ht="12.75" customHeight="1" x14ac:dyDescent="0.2"/>
    <row r="4470" ht="12.75" customHeight="1" x14ac:dyDescent="0.2"/>
    <row r="4471" ht="12.75" customHeight="1" x14ac:dyDescent="0.2"/>
    <row r="4472" ht="12.75" customHeight="1" x14ac:dyDescent="0.2"/>
    <row r="4473" ht="12.75" customHeight="1" x14ac:dyDescent="0.2"/>
    <row r="4474" ht="12.75" customHeight="1" x14ac:dyDescent="0.2"/>
    <row r="4475" ht="12.75" customHeight="1" x14ac:dyDescent="0.2"/>
    <row r="4476" ht="12.75" customHeight="1" x14ac:dyDescent="0.2"/>
    <row r="4477" ht="12.75" customHeight="1" x14ac:dyDescent="0.2"/>
    <row r="4478" ht="12.75" customHeight="1" x14ac:dyDescent="0.2"/>
    <row r="4479" ht="12.75" customHeight="1" x14ac:dyDescent="0.2"/>
    <row r="4480" ht="12.75" customHeight="1" x14ac:dyDescent="0.2"/>
    <row r="4481" ht="12.75" customHeight="1" x14ac:dyDescent="0.2"/>
    <row r="4482" ht="12.75" customHeight="1" x14ac:dyDescent="0.2"/>
    <row r="4483" ht="12.75" customHeight="1" x14ac:dyDescent="0.2"/>
    <row r="4484" ht="12.75" customHeight="1" x14ac:dyDescent="0.2"/>
    <row r="4485" ht="12.75" customHeight="1" x14ac:dyDescent="0.2"/>
    <row r="4486" ht="12.75" customHeight="1" x14ac:dyDescent="0.2"/>
    <row r="4487" ht="12.75" customHeight="1" x14ac:dyDescent="0.2"/>
    <row r="4488" ht="12.75" customHeight="1" x14ac:dyDescent="0.2"/>
    <row r="4489" ht="12.75" customHeight="1" x14ac:dyDescent="0.2"/>
    <row r="4490" ht="12.75" customHeight="1" x14ac:dyDescent="0.2"/>
    <row r="4491" ht="12.75" customHeight="1" x14ac:dyDescent="0.2"/>
    <row r="4492" ht="12.75" customHeight="1" x14ac:dyDescent="0.2"/>
    <row r="4493" ht="12.75" customHeight="1" x14ac:dyDescent="0.2"/>
    <row r="4494" ht="12.75" customHeight="1" x14ac:dyDescent="0.2"/>
    <row r="4495" ht="12.75" customHeight="1" x14ac:dyDescent="0.2"/>
    <row r="4496" ht="12.75" customHeight="1" x14ac:dyDescent="0.2"/>
    <row r="4497" ht="12.75" customHeight="1" x14ac:dyDescent="0.2"/>
    <row r="4498" ht="12.75" customHeight="1" x14ac:dyDescent="0.2"/>
    <row r="4499" ht="12.75" customHeight="1" x14ac:dyDescent="0.2"/>
    <row r="4500" ht="12.75" customHeight="1" x14ac:dyDescent="0.2"/>
    <row r="4501" ht="12.75" customHeight="1" x14ac:dyDescent="0.2"/>
    <row r="4502" ht="12.75" customHeight="1" x14ac:dyDescent="0.2"/>
    <row r="4503" ht="12.75" customHeight="1" x14ac:dyDescent="0.2"/>
    <row r="4504" ht="12.75" customHeight="1" x14ac:dyDescent="0.2"/>
    <row r="4505" ht="12.75" customHeight="1" x14ac:dyDescent="0.2"/>
    <row r="4506" ht="12.75" customHeight="1" x14ac:dyDescent="0.2"/>
    <row r="4507" ht="12.75" customHeight="1" x14ac:dyDescent="0.2"/>
    <row r="4508" ht="12.75" customHeight="1" x14ac:dyDescent="0.2"/>
    <row r="4509" ht="12.75" customHeight="1" x14ac:dyDescent="0.2"/>
    <row r="4510" ht="12.75" customHeight="1" x14ac:dyDescent="0.2"/>
    <row r="4511" ht="12.75" customHeight="1" x14ac:dyDescent="0.2"/>
    <row r="4512" ht="12.75" customHeight="1" x14ac:dyDescent="0.2"/>
    <row r="4513" ht="12.75" customHeight="1" x14ac:dyDescent="0.2"/>
    <row r="4514" ht="12.75" customHeight="1" x14ac:dyDescent="0.2"/>
    <row r="4515" ht="12.75" customHeight="1" x14ac:dyDescent="0.2"/>
    <row r="4516" ht="12.75" customHeight="1" x14ac:dyDescent="0.2"/>
    <row r="4517" ht="12.75" customHeight="1" x14ac:dyDescent="0.2"/>
    <row r="4518" ht="12.75" customHeight="1" x14ac:dyDescent="0.2"/>
    <row r="4519" ht="12.75" customHeight="1" x14ac:dyDescent="0.2"/>
    <row r="4520" ht="12.75" customHeight="1" x14ac:dyDescent="0.2"/>
    <row r="4521" ht="12.75" customHeight="1" x14ac:dyDescent="0.2"/>
    <row r="4522" ht="12.75" customHeight="1" x14ac:dyDescent="0.2"/>
    <row r="4523" ht="12.75" customHeight="1" x14ac:dyDescent="0.2"/>
    <row r="4524" ht="12.75" customHeight="1" x14ac:dyDescent="0.2"/>
    <row r="4525" ht="12.75" customHeight="1" x14ac:dyDescent="0.2"/>
    <row r="4526" ht="12.75" customHeight="1" x14ac:dyDescent="0.2"/>
    <row r="4527" ht="12.75" customHeight="1" x14ac:dyDescent="0.2"/>
    <row r="4528" ht="12.75" customHeight="1" x14ac:dyDescent="0.2"/>
    <row r="4529" ht="12.75" customHeight="1" x14ac:dyDescent="0.2"/>
    <row r="4530" ht="12.75" customHeight="1" x14ac:dyDescent="0.2"/>
    <row r="4531" ht="12.75" customHeight="1" x14ac:dyDescent="0.2"/>
    <row r="4532" ht="12.75" customHeight="1" x14ac:dyDescent="0.2"/>
    <row r="4533" ht="12.75" customHeight="1" x14ac:dyDescent="0.2"/>
    <row r="4534" ht="12.75" customHeight="1" x14ac:dyDescent="0.2"/>
    <row r="4535" ht="12.75" customHeight="1" x14ac:dyDescent="0.2"/>
    <row r="4536" ht="12.75" customHeight="1" x14ac:dyDescent="0.2"/>
    <row r="4537" ht="12.75" customHeight="1" x14ac:dyDescent="0.2"/>
    <row r="4538" ht="12.75" customHeight="1" x14ac:dyDescent="0.2"/>
    <row r="4539" ht="12.75" customHeight="1" x14ac:dyDescent="0.2"/>
    <row r="4540" ht="12.75" customHeight="1" x14ac:dyDescent="0.2"/>
    <row r="4541" ht="12.75" customHeight="1" x14ac:dyDescent="0.2"/>
    <row r="4542" ht="12.75" customHeight="1" x14ac:dyDescent="0.2"/>
    <row r="4543" ht="12.75" customHeight="1" x14ac:dyDescent="0.2"/>
    <row r="4544" ht="12.75" customHeight="1" x14ac:dyDescent="0.2"/>
    <row r="4545" ht="12.75" customHeight="1" x14ac:dyDescent="0.2"/>
    <row r="4546" ht="12.75" customHeight="1" x14ac:dyDescent="0.2"/>
    <row r="4547" ht="12.75" customHeight="1" x14ac:dyDescent="0.2"/>
    <row r="4548" ht="12.75" customHeight="1" x14ac:dyDescent="0.2"/>
    <row r="4549" ht="12.75" customHeight="1" x14ac:dyDescent="0.2"/>
    <row r="4550" ht="12.75" customHeight="1" x14ac:dyDescent="0.2"/>
    <row r="4551" ht="12.75" customHeight="1" x14ac:dyDescent="0.2"/>
    <row r="4552" ht="12.75" customHeight="1" x14ac:dyDescent="0.2"/>
    <row r="4553" ht="12.75" customHeight="1" x14ac:dyDescent="0.2"/>
    <row r="4554" ht="12.75" customHeight="1" x14ac:dyDescent="0.2"/>
    <row r="4555" ht="12.75" customHeight="1" x14ac:dyDescent="0.2"/>
    <row r="4556" ht="12.75" customHeight="1" x14ac:dyDescent="0.2"/>
    <row r="4557" ht="12.75" customHeight="1" x14ac:dyDescent="0.2"/>
    <row r="4558" ht="12.75" customHeight="1" x14ac:dyDescent="0.2"/>
    <row r="4559" ht="12.75" customHeight="1" x14ac:dyDescent="0.2"/>
    <row r="4560" ht="12.75" customHeight="1" x14ac:dyDescent="0.2"/>
    <row r="4561" ht="12.75" customHeight="1" x14ac:dyDescent="0.2"/>
    <row r="4562" ht="12.75" customHeight="1" x14ac:dyDescent="0.2"/>
    <row r="4563" ht="12.75" customHeight="1" x14ac:dyDescent="0.2"/>
    <row r="4564" ht="12.75" customHeight="1" x14ac:dyDescent="0.2"/>
    <row r="4565" ht="12.75" customHeight="1" x14ac:dyDescent="0.2"/>
    <row r="4566" ht="12.75" customHeight="1" x14ac:dyDescent="0.2"/>
    <row r="4567" ht="12.75" customHeight="1" x14ac:dyDescent="0.2"/>
    <row r="4568" ht="12.75" customHeight="1" x14ac:dyDescent="0.2"/>
    <row r="4569" ht="12.75" customHeight="1" x14ac:dyDescent="0.2"/>
    <row r="4570" ht="12.75" customHeight="1" x14ac:dyDescent="0.2"/>
    <row r="4571" ht="12.75" customHeight="1" x14ac:dyDescent="0.2"/>
    <row r="4572" ht="12.75" customHeight="1" x14ac:dyDescent="0.2"/>
    <row r="4573" ht="12.75" customHeight="1" x14ac:dyDescent="0.2"/>
    <row r="4574" ht="12.75" customHeight="1" x14ac:dyDescent="0.2"/>
    <row r="4575" ht="12.75" customHeight="1" x14ac:dyDescent="0.2"/>
    <row r="4576" ht="12.75" customHeight="1" x14ac:dyDescent="0.2"/>
    <row r="4577" ht="12.75" customHeight="1" x14ac:dyDescent="0.2"/>
    <row r="4578" ht="12.75" customHeight="1" x14ac:dyDescent="0.2"/>
    <row r="4579" ht="12.75" customHeight="1" x14ac:dyDescent="0.2"/>
    <row r="4580" ht="12.75" customHeight="1" x14ac:dyDescent="0.2"/>
    <row r="4581" ht="12.75" customHeight="1" x14ac:dyDescent="0.2"/>
    <row r="4582" ht="12.75" customHeight="1" x14ac:dyDescent="0.2"/>
    <row r="4583" ht="12.75" customHeight="1" x14ac:dyDescent="0.2"/>
    <row r="4584" ht="12.75" customHeight="1" x14ac:dyDescent="0.2"/>
    <row r="4585" ht="12.75" customHeight="1" x14ac:dyDescent="0.2"/>
    <row r="4586" ht="12.75" customHeight="1" x14ac:dyDescent="0.2"/>
    <row r="4587" ht="12.75" customHeight="1" x14ac:dyDescent="0.2"/>
    <row r="4588" ht="12.75" customHeight="1" x14ac:dyDescent="0.2"/>
    <row r="4589" ht="12.75" customHeight="1" x14ac:dyDescent="0.2"/>
    <row r="4590" ht="12.75" customHeight="1" x14ac:dyDescent="0.2"/>
    <row r="4591" ht="12.75" customHeight="1" x14ac:dyDescent="0.2"/>
    <row r="4592" ht="12.75" customHeight="1" x14ac:dyDescent="0.2"/>
    <row r="4593" ht="12.75" customHeight="1" x14ac:dyDescent="0.2"/>
    <row r="4594" ht="12.75" customHeight="1" x14ac:dyDescent="0.2"/>
    <row r="4595" ht="12.75" customHeight="1" x14ac:dyDescent="0.2"/>
    <row r="4596" ht="12.75" customHeight="1" x14ac:dyDescent="0.2"/>
    <row r="4597" ht="12.75" customHeight="1" x14ac:dyDescent="0.2"/>
    <row r="4598" ht="12.75" customHeight="1" x14ac:dyDescent="0.2"/>
    <row r="4599" ht="12.75" customHeight="1" x14ac:dyDescent="0.2"/>
    <row r="4600" ht="12.75" customHeight="1" x14ac:dyDescent="0.2"/>
    <row r="4601" ht="12.75" customHeight="1" x14ac:dyDescent="0.2"/>
    <row r="4602" ht="12.75" customHeight="1" x14ac:dyDescent="0.2"/>
    <row r="4603" ht="12.75" customHeight="1" x14ac:dyDescent="0.2"/>
    <row r="4604" ht="12.75" customHeight="1" x14ac:dyDescent="0.2"/>
    <row r="4605" ht="12.75" customHeight="1" x14ac:dyDescent="0.2"/>
    <row r="4606" ht="12.75" customHeight="1" x14ac:dyDescent="0.2"/>
    <row r="4607" ht="12.75" customHeight="1" x14ac:dyDescent="0.2"/>
    <row r="4608" ht="12.75" customHeight="1" x14ac:dyDescent="0.2"/>
    <row r="4609" ht="12.75" customHeight="1" x14ac:dyDescent="0.2"/>
    <row r="4610" ht="12.75" customHeight="1" x14ac:dyDescent="0.2"/>
    <row r="4611" ht="12.75" customHeight="1" x14ac:dyDescent="0.2"/>
    <row r="4612" ht="12.75" customHeight="1" x14ac:dyDescent="0.2"/>
    <row r="4613" ht="12.75" customHeight="1" x14ac:dyDescent="0.2"/>
    <row r="4614" ht="12.75" customHeight="1" x14ac:dyDescent="0.2"/>
    <row r="4615" ht="12.75" customHeight="1" x14ac:dyDescent="0.2"/>
    <row r="4616" ht="12.75" customHeight="1" x14ac:dyDescent="0.2"/>
    <row r="4617" ht="12.75" customHeight="1" x14ac:dyDescent="0.2"/>
    <row r="4618" ht="12.75" customHeight="1" x14ac:dyDescent="0.2"/>
    <row r="4619" ht="12.75" customHeight="1" x14ac:dyDescent="0.2"/>
    <row r="4620" ht="12.75" customHeight="1" x14ac:dyDescent="0.2"/>
    <row r="4621" ht="12.75" customHeight="1" x14ac:dyDescent="0.2"/>
    <row r="4622" ht="12.75" customHeight="1" x14ac:dyDescent="0.2"/>
    <row r="4623" ht="12.75" customHeight="1" x14ac:dyDescent="0.2"/>
    <row r="4624" ht="12.75" customHeight="1" x14ac:dyDescent="0.2"/>
    <row r="4625" ht="12.75" customHeight="1" x14ac:dyDescent="0.2"/>
    <row r="4626" ht="12.75" customHeight="1" x14ac:dyDescent="0.2"/>
    <row r="4627" ht="12.75" customHeight="1" x14ac:dyDescent="0.2"/>
    <row r="4628" ht="12.75" customHeight="1" x14ac:dyDescent="0.2"/>
    <row r="4629" ht="12.75" customHeight="1" x14ac:dyDescent="0.2"/>
    <row r="4630" ht="12.75" customHeight="1" x14ac:dyDescent="0.2"/>
    <row r="4631" ht="12.75" customHeight="1" x14ac:dyDescent="0.2"/>
    <row r="4632" ht="12.75" customHeight="1" x14ac:dyDescent="0.2"/>
    <row r="4633" ht="12.75" customHeight="1" x14ac:dyDescent="0.2"/>
    <row r="4634" ht="12.75" customHeight="1" x14ac:dyDescent="0.2"/>
    <row r="4635" ht="12.75" customHeight="1" x14ac:dyDescent="0.2"/>
    <row r="4636" ht="12.75" customHeight="1" x14ac:dyDescent="0.2"/>
    <row r="4637" ht="12.75" customHeight="1" x14ac:dyDescent="0.2"/>
    <row r="4638" ht="12.75" customHeight="1" x14ac:dyDescent="0.2"/>
    <row r="4639" ht="12.75" customHeight="1" x14ac:dyDescent="0.2"/>
    <row r="4640" ht="12.75" customHeight="1" x14ac:dyDescent="0.2"/>
    <row r="4641" ht="12.75" customHeight="1" x14ac:dyDescent="0.2"/>
    <row r="4642" ht="12.75" customHeight="1" x14ac:dyDescent="0.2"/>
    <row r="4643" ht="12.75" customHeight="1" x14ac:dyDescent="0.2"/>
    <row r="4644" ht="12.75" customHeight="1" x14ac:dyDescent="0.2"/>
    <row r="4645" ht="12.75" customHeight="1" x14ac:dyDescent="0.2"/>
    <row r="4646" ht="12.75" customHeight="1" x14ac:dyDescent="0.2"/>
    <row r="4647" ht="12.75" customHeight="1" x14ac:dyDescent="0.2"/>
    <row r="4648" ht="12.75" customHeight="1" x14ac:dyDescent="0.2"/>
    <row r="4649" ht="12.75" customHeight="1" x14ac:dyDescent="0.2"/>
    <row r="4650" ht="12.75" customHeight="1" x14ac:dyDescent="0.2"/>
    <row r="4651" ht="12.75" customHeight="1" x14ac:dyDescent="0.2"/>
    <row r="4652" ht="12.75" customHeight="1" x14ac:dyDescent="0.2"/>
    <row r="4653" ht="12.75" customHeight="1" x14ac:dyDescent="0.2"/>
    <row r="4654" ht="12.75" customHeight="1" x14ac:dyDescent="0.2"/>
    <row r="4655" ht="12.75" customHeight="1" x14ac:dyDescent="0.2"/>
    <row r="4656" ht="12.75" customHeight="1" x14ac:dyDescent="0.2"/>
    <row r="4657" ht="12.75" customHeight="1" x14ac:dyDescent="0.2"/>
    <row r="4658" ht="12.75" customHeight="1" x14ac:dyDescent="0.2"/>
    <row r="4659" ht="12.75" customHeight="1" x14ac:dyDescent="0.2"/>
    <row r="4660" ht="12.75" customHeight="1" x14ac:dyDescent="0.2"/>
    <row r="4661" ht="12.75" customHeight="1" x14ac:dyDescent="0.2"/>
    <row r="4662" ht="12.75" customHeight="1" x14ac:dyDescent="0.2"/>
    <row r="4663" ht="12.75" customHeight="1" x14ac:dyDescent="0.2"/>
    <row r="4664" ht="12.75" customHeight="1" x14ac:dyDescent="0.2"/>
    <row r="4665" ht="12.75" customHeight="1" x14ac:dyDescent="0.2"/>
    <row r="4666" ht="12.75" customHeight="1" x14ac:dyDescent="0.2"/>
    <row r="4667" ht="12.75" customHeight="1" x14ac:dyDescent="0.2"/>
    <row r="4668" ht="12.75" customHeight="1" x14ac:dyDescent="0.2"/>
    <row r="4669" ht="12.75" customHeight="1" x14ac:dyDescent="0.2"/>
    <row r="4670" ht="12.75" customHeight="1" x14ac:dyDescent="0.2"/>
    <row r="4671" ht="12.75" customHeight="1" x14ac:dyDescent="0.2"/>
    <row r="4672" ht="12.75" customHeight="1" x14ac:dyDescent="0.2"/>
    <row r="4673" ht="12.75" customHeight="1" x14ac:dyDescent="0.2"/>
    <row r="4674" ht="12.75" customHeight="1" x14ac:dyDescent="0.2"/>
    <row r="4675" ht="12.75" customHeight="1" x14ac:dyDescent="0.2"/>
    <row r="4676" ht="12.75" customHeight="1" x14ac:dyDescent="0.2"/>
    <row r="4677" ht="12.75" customHeight="1" x14ac:dyDescent="0.2"/>
    <row r="4678" ht="12.75" customHeight="1" x14ac:dyDescent="0.2"/>
    <row r="4679" ht="12.75" customHeight="1" x14ac:dyDescent="0.2"/>
    <row r="4680" ht="12.75" customHeight="1" x14ac:dyDescent="0.2"/>
    <row r="4681" ht="12.75" customHeight="1" x14ac:dyDescent="0.2"/>
    <row r="4682" ht="12.75" customHeight="1" x14ac:dyDescent="0.2"/>
    <row r="4683" ht="12.75" customHeight="1" x14ac:dyDescent="0.2"/>
    <row r="4684" ht="12.75" customHeight="1" x14ac:dyDescent="0.2"/>
    <row r="4685" ht="12.75" customHeight="1" x14ac:dyDescent="0.2"/>
    <row r="4686" ht="12.75" customHeight="1" x14ac:dyDescent="0.2"/>
    <row r="4687" ht="12.75" customHeight="1" x14ac:dyDescent="0.2"/>
    <row r="4688" ht="12.75" customHeight="1" x14ac:dyDescent="0.2"/>
    <row r="4689" ht="12.75" customHeight="1" x14ac:dyDescent="0.2"/>
    <row r="4690" ht="12.75" customHeight="1" x14ac:dyDescent="0.2"/>
    <row r="4691" ht="12.75" customHeight="1" x14ac:dyDescent="0.2"/>
    <row r="4692" ht="12.75" customHeight="1" x14ac:dyDescent="0.2"/>
    <row r="4693" ht="12.75" customHeight="1" x14ac:dyDescent="0.2"/>
    <row r="4694" ht="12.75" customHeight="1" x14ac:dyDescent="0.2"/>
    <row r="4695" ht="12.75" customHeight="1" x14ac:dyDescent="0.2"/>
    <row r="4696" ht="12.75" customHeight="1" x14ac:dyDescent="0.2"/>
    <row r="4697" ht="12.75" customHeight="1" x14ac:dyDescent="0.2"/>
    <row r="4698" ht="12.75" customHeight="1" x14ac:dyDescent="0.2"/>
    <row r="4699" ht="12.75" customHeight="1" x14ac:dyDescent="0.2"/>
    <row r="4700" ht="12.75" customHeight="1" x14ac:dyDescent="0.2"/>
    <row r="4701" ht="12.75" customHeight="1" x14ac:dyDescent="0.2"/>
    <row r="4702" ht="12.75" customHeight="1" x14ac:dyDescent="0.2"/>
    <row r="4703" ht="12.75" customHeight="1" x14ac:dyDescent="0.2"/>
    <row r="4704" ht="12.75" customHeight="1" x14ac:dyDescent="0.2"/>
    <row r="4705" ht="12.75" customHeight="1" x14ac:dyDescent="0.2"/>
    <row r="4706" ht="12.75" customHeight="1" x14ac:dyDescent="0.2"/>
    <row r="4707" ht="12.75" customHeight="1" x14ac:dyDescent="0.2"/>
    <row r="4708" ht="12.75" customHeight="1" x14ac:dyDescent="0.2"/>
    <row r="4709" ht="12.75" customHeight="1" x14ac:dyDescent="0.2"/>
    <row r="4710" ht="12.75" customHeight="1" x14ac:dyDescent="0.2"/>
    <row r="4711" ht="12.75" customHeight="1" x14ac:dyDescent="0.2"/>
    <row r="4712" ht="12.75" customHeight="1" x14ac:dyDescent="0.2"/>
    <row r="4713" ht="12.75" customHeight="1" x14ac:dyDescent="0.2"/>
    <row r="4714" ht="12.75" customHeight="1" x14ac:dyDescent="0.2"/>
    <row r="4715" ht="12.75" customHeight="1" x14ac:dyDescent="0.2"/>
    <row r="4716" ht="12.75" customHeight="1" x14ac:dyDescent="0.2"/>
    <row r="4717" ht="12.75" customHeight="1" x14ac:dyDescent="0.2"/>
    <row r="4718" ht="12.75" customHeight="1" x14ac:dyDescent="0.2"/>
    <row r="4719" ht="12.75" customHeight="1" x14ac:dyDescent="0.2"/>
    <row r="4720" ht="12.75" customHeight="1" x14ac:dyDescent="0.2"/>
    <row r="4721" ht="12.75" customHeight="1" x14ac:dyDescent="0.2"/>
    <row r="4722" ht="12.75" customHeight="1" x14ac:dyDescent="0.2"/>
    <row r="4723" ht="12.75" customHeight="1" x14ac:dyDescent="0.2"/>
    <row r="4724" ht="12.75" customHeight="1" x14ac:dyDescent="0.2"/>
    <row r="4725" ht="12.75" customHeight="1" x14ac:dyDescent="0.2"/>
    <row r="4726" ht="12.75" customHeight="1" x14ac:dyDescent="0.2"/>
    <row r="4727" ht="12.75" customHeight="1" x14ac:dyDescent="0.2"/>
    <row r="4728" ht="12.75" customHeight="1" x14ac:dyDescent="0.2"/>
    <row r="4729" ht="12.75" customHeight="1" x14ac:dyDescent="0.2"/>
    <row r="4730" ht="12.75" customHeight="1" x14ac:dyDescent="0.2"/>
    <row r="4731" ht="12.75" customHeight="1" x14ac:dyDescent="0.2"/>
    <row r="4732" ht="12.75" customHeight="1" x14ac:dyDescent="0.2"/>
    <row r="4733" ht="12.75" customHeight="1" x14ac:dyDescent="0.2"/>
    <row r="4734" ht="12.75" customHeight="1" x14ac:dyDescent="0.2"/>
    <row r="4735" ht="12.75" customHeight="1" x14ac:dyDescent="0.2"/>
    <row r="4736" ht="12.75" customHeight="1" x14ac:dyDescent="0.2"/>
    <row r="4737" ht="12.75" customHeight="1" x14ac:dyDescent="0.2"/>
    <row r="4738" ht="12.75" customHeight="1" x14ac:dyDescent="0.2"/>
    <row r="4739" ht="12.75" customHeight="1" x14ac:dyDescent="0.2"/>
    <row r="4740" ht="12.75" customHeight="1" x14ac:dyDescent="0.2"/>
    <row r="4741" ht="12.75" customHeight="1" x14ac:dyDescent="0.2"/>
    <row r="4742" ht="12.75" customHeight="1" x14ac:dyDescent="0.2"/>
    <row r="4743" ht="12.75" customHeight="1" x14ac:dyDescent="0.2"/>
    <row r="4744" ht="12.75" customHeight="1" x14ac:dyDescent="0.2"/>
    <row r="4745" ht="12.75" customHeight="1" x14ac:dyDescent="0.2"/>
    <row r="4746" ht="12.75" customHeight="1" x14ac:dyDescent="0.2"/>
    <row r="4747" ht="12.75" customHeight="1" x14ac:dyDescent="0.2"/>
    <row r="4748" ht="12.75" customHeight="1" x14ac:dyDescent="0.2"/>
    <row r="4749" ht="12.75" customHeight="1" x14ac:dyDescent="0.2"/>
    <row r="4750" ht="12.75" customHeight="1" x14ac:dyDescent="0.2"/>
    <row r="4751" ht="12.75" customHeight="1" x14ac:dyDescent="0.2"/>
    <row r="4752" ht="12.75" customHeight="1" x14ac:dyDescent="0.2"/>
    <row r="4753" ht="12.75" customHeight="1" x14ac:dyDescent="0.2"/>
    <row r="4754" ht="12.75" customHeight="1" x14ac:dyDescent="0.2"/>
    <row r="4755" ht="12.75" customHeight="1" x14ac:dyDescent="0.2"/>
    <row r="4756" ht="12.75" customHeight="1" x14ac:dyDescent="0.2"/>
    <row r="4757" ht="12.75" customHeight="1" x14ac:dyDescent="0.2"/>
    <row r="4758" ht="12.75" customHeight="1" x14ac:dyDescent="0.2"/>
    <row r="4759" ht="12.75" customHeight="1" x14ac:dyDescent="0.2"/>
    <row r="4760" ht="12.75" customHeight="1" x14ac:dyDescent="0.2"/>
    <row r="4761" ht="12.75" customHeight="1" x14ac:dyDescent="0.2"/>
    <row r="4762" ht="12.75" customHeight="1" x14ac:dyDescent="0.2"/>
    <row r="4763" ht="12.75" customHeight="1" x14ac:dyDescent="0.2"/>
    <row r="4764" ht="12.75" customHeight="1" x14ac:dyDescent="0.2"/>
    <row r="4765" ht="12.75" customHeight="1" x14ac:dyDescent="0.2"/>
    <row r="4766" ht="12.75" customHeight="1" x14ac:dyDescent="0.2"/>
    <row r="4767" ht="12.75" customHeight="1" x14ac:dyDescent="0.2"/>
    <row r="4768" ht="12.75" customHeight="1" x14ac:dyDescent="0.2"/>
    <row r="4769" ht="12.75" customHeight="1" x14ac:dyDescent="0.2"/>
    <row r="4770" ht="12.75" customHeight="1" x14ac:dyDescent="0.2"/>
    <row r="4771" ht="12.75" customHeight="1" x14ac:dyDescent="0.2"/>
    <row r="4772" ht="12.75" customHeight="1" x14ac:dyDescent="0.2"/>
    <row r="4773" ht="12.75" customHeight="1" x14ac:dyDescent="0.2"/>
    <row r="4774" ht="12.75" customHeight="1" x14ac:dyDescent="0.2"/>
    <row r="4775" ht="12.75" customHeight="1" x14ac:dyDescent="0.2"/>
    <row r="4776" ht="12.75" customHeight="1" x14ac:dyDescent="0.2"/>
    <row r="4777" ht="12.75" customHeight="1" x14ac:dyDescent="0.2"/>
    <row r="4778" ht="12.75" customHeight="1" x14ac:dyDescent="0.2"/>
    <row r="4779" ht="12.75" customHeight="1" x14ac:dyDescent="0.2"/>
    <row r="4780" ht="12.75" customHeight="1" x14ac:dyDescent="0.2"/>
    <row r="4781" ht="12.75" customHeight="1" x14ac:dyDescent="0.2"/>
    <row r="4782" ht="12.75" customHeight="1" x14ac:dyDescent="0.2"/>
    <row r="4783" ht="12.75" customHeight="1" x14ac:dyDescent="0.2"/>
    <row r="4784" ht="12.75" customHeight="1" x14ac:dyDescent="0.2"/>
    <row r="4785" ht="12.75" customHeight="1" x14ac:dyDescent="0.2"/>
    <row r="4786" ht="12.75" customHeight="1" x14ac:dyDescent="0.2"/>
    <row r="4787" ht="12.75" customHeight="1" x14ac:dyDescent="0.2"/>
    <row r="4788" ht="12.75" customHeight="1" x14ac:dyDescent="0.2"/>
    <row r="4789" ht="12.75" customHeight="1" x14ac:dyDescent="0.2"/>
    <row r="4790" ht="12.75" customHeight="1" x14ac:dyDescent="0.2"/>
    <row r="4791" ht="12.75" customHeight="1" x14ac:dyDescent="0.2"/>
    <row r="4792" ht="12.75" customHeight="1" x14ac:dyDescent="0.2"/>
    <row r="4793" ht="12.75" customHeight="1" x14ac:dyDescent="0.2"/>
    <row r="4794" ht="12.75" customHeight="1" x14ac:dyDescent="0.2"/>
    <row r="4795" ht="12.75" customHeight="1" x14ac:dyDescent="0.2"/>
    <row r="4796" ht="12.75" customHeight="1" x14ac:dyDescent="0.2"/>
    <row r="4797" ht="12.75" customHeight="1" x14ac:dyDescent="0.2"/>
    <row r="4798" ht="12.75" customHeight="1" x14ac:dyDescent="0.2"/>
    <row r="4799" ht="12.75" customHeight="1" x14ac:dyDescent="0.2"/>
    <row r="4800" ht="12.75" customHeight="1" x14ac:dyDescent="0.2"/>
    <row r="4801" ht="12.75" customHeight="1" x14ac:dyDescent="0.2"/>
    <row r="4802" ht="12.75" customHeight="1" x14ac:dyDescent="0.2"/>
    <row r="4803" ht="12.75" customHeight="1" x14ac:dyDescent="0.2"/>
    <row r="4804" ht="12.75" customHeight="1" x14ac:dyDescent="0.2"/>
    <row r="4805" ht="12.75" customHeight="1" x14ac:dyDescent="0.2"/>
    <row r="4806" ht="12.75" customHeight="1" x14ac:dyDescent="0.2"/>
    <row r="4807" ht="12.75" customHeight="1" x14ac:dyDescent="0.2"/>
    <row r="4808" ht="12.75" customHeight="1" x14ac:dyDescent="0.2"/>
    <row r="4809" ht="12.75" customHeight="1" x14ac:dyDescent="0.2"/>
    <row r="4810" ht="12.75" customHeight="1" x14ac:dyDescent="0.2"/>
    <row r="4811" ht="12.75" customHeight="1" x14ac:dyDescent="0.2"/>
    <row r="4812" ht="12.75" customHeight="1" x14ac:dyDescent="0.2"/>
    <row r="4813" ht="12.75" customHeight="1" x14ac:dyDescent="0.2"/>
    <row r="4814" ht="12.75" customHeight="1" x14ac:dyDescent="0.2"/>
    <row r="4815" ht="12.75" customHeight="1" x14ac:dyDescent="0.2"/>
    <row r="4816" ht="12.75" customHeight="1" x14ac:dyDescent="0.2"/>
    <row r="4817" ht="12.75" customHeight="1" x14ac:dyDescent="0.2"/>
    <row r="4818" ht="12.75" customHeight="1" x14ac:dyDescent="0.2"/>
    <row r="4819" ht="12.75" customHeight="1" x14ac:dyDescent="0.2"/>
    <row r="4820" ht="12.75" customHeight="1" x14ac:dyDescent="0.2"/>
    <row r="4821" ht="12.75" customHeight="1" x14ac:dyDescent="0.2"/>
    <row r="4822" ht="12.75" customHeight="1" x14ac:dyDescent="0.2"/>
    <row r="4823" ht="12.75" customHeight="1" x14ac:dyDescent="0.2"/>
    <row r="4824" ht="12.75" customHeight="1" x14ac:dyDescent="0.2"/>
    <row r="4825" ht="12.75" customHeight="1" x14ac:dyDescent="0.2"/>
    <row r="4826" ht="12.75" customHeight="1" x14ac:dyDescent="0.2"/>
    <row r="4827" ht="12.75" customHeight="1" x14ac:dyDescent="0.2"/>
    <row r="4828" ht="12.75" customHeight="1" x14ac:dyDescent="0.2"/>
    <row r="4829" ht="12.75" customHeight="1" x14ac:dyDescent="0.2"/>
    <row r="4830" ht="12.75" customHeight="1" x14ac:dyDescent="0.2"/>
    <row r="4831" ht="12.75" customHeight="1" x14ac:dyDescent="0.2"/>
    <row r="4832" ht="12.75" customHeight="1" x14ac:dyDescent="0.2"/>
    <row r="4833" ht="12.75" customHeight="1" x14ac:dyDescent="0.2"/>
    <row r="4834" ht="12.75" customHeight="1" x14ac:dyDescent="0.2"/>
    <row r="4835" ht="12.75" customHeight="1" x14ac:dyDescent="0.2"/>
    <row r="4836" ht="12.75" customHeight="1" x14ac:dyDescent="0.2"/>
    <row r="4837" ht="12.75" customHeight="1" x14ac:dyDescent="0.2"/>
    <row r="4838" ht="12.75" customHeight="1" x14ac:dyDescent="0.2"/>
    <row r="4839" ht="12.75" customHeight="1" x14ac:dyDescent="0.2"/>
    <row r="4840" ht="12.75" customHeight="1" x14ac:dyDescent="0.2"/>
    <row r="4841" ht="12.75" customHeight="1" x14ac:dyDescent="0.2"/>
    <row r="4842" ht="12.75" customHeight="1" x14ac:dyDescent="0.2"/>
    <row r="4843" ht="12.75" customHeight="1" x14ac:dyDescent="0.2"/>
    <row r="4844" ht="12.75" customHeight="1" x14ac:dyDescent="0.2"/>
    <row r="4845" ht="12.75" customHeight="1" x14ac:dyDescent="0.2"/>
    <row r="4846" ht="12.75" customHeight="1" x14ac:dyDescent="0.2"/>
    <row r="4847" ht="12.75" customHeight="1" x14ac:dyDescent="0.2"/>
    <row r="4848" ht="12.75" customHeight="1" x14ac:dyDescent="0.2"/>
    <row r="4849" ht="12.75" customHeight="1" x14ac:dyDescent="0.2"/>
    <row r="4850" ht="12.75" customHeight="1" x14ac:dyDescent="0.2"/>
    <row r="4851" ht="12.75" customHeight="1" x14ac:dyDescent="0.2"/>
    <row r="4852" ht="12.75" customHeight="1" x14ac:dyDescent="0.2"/>
    <row r="4853" ht="12.75" customHeight="1" x14ac:dyDescent="0.2"/>
    <row r="4854" ht="12.75" customHeight="1" x14ac:dyDescent="0.2"/>
    <row r="4855" ht="12.75" customHeight="1" x14ac:dyDescent="0.2"/>
    <row r="4856" ht="12.75" customHeight="1" x14ac:dyDescent="0.2"/>
    <row r="4857" ht="12.75" customHeight="1" x14ac:dyDescent="0.2"/>
    <row r="4858" ht="12.75" customHeight="1" x14ac:dyDescent="0.2"/>
    <row r="4859" ht="12.75" customHeight="1" x14ac:dyDescent="0.2"/>
    <row r="4860" ht="12.75" customHeight="1" x14ac:dyDescent="0.2"/>
    <row r="4861" ht="12.75" customHeight="1" x14ac:dyDescent="0.2"/>
    <row r="4862" ht="12.75" customHeight="1" x14ac:dyDescent="0.2"/>
    <row r="4863" ht="12.75" customHeight="1" x14ac:dyDescent="0.2"/>
    <row r="4864" ht="12.75" customHeight="1" x14ac:dyDescent="0.2"/>
    <row r="4865" ht="12.75" customHeight="1" x14ac:dyDescent="0.2"/>
    <row r="4866" ht="12.75" customHeight="1" x14ac:dyDescent="0.2"/>
    <row r="4867" ht="12.75" customHeight="1" x14ac:dyDescent="0.2"/>
    <row r="4868" ht="12.75" customHeight="1" x14ac:dyDescent="0.2"/>
    <row r="4869" ht="12.75" customHeight="1" x14ac:dyDescent="0.2"/>
    <row r="4870" ht="12.75" customHeight="1" x14ac:dyDescent="0.2"/>
    <row r="4871" ht="12.75" customHeight="1" x14ac:dyDescent="0.2"/>
    <row r="4872" ht="12.75" customHeight="1" x14ac:dyDescent="0.2"/>
    <row r="4873" ht="12.75" customHeight="1" x14ac:dyDescent="0.2"/>
    <row r="4874" ht="12.75" customHeight="1" x14ac:dyDescent="0.2"/>
    <row r="4875" ht="12.75" customHeight="1" x14ac:dyDescent="0.2"/>
    <row r="4876" ht="12.75" customHeight="1" x14ac:dyDescent="0.2"/>
    <row r="4877" ht="12.75" customHeight="1" x14ac:dyDescent="0.2"/>
    <row r="4878" ht="12.75" customHeight="1" x14ac:dyDescent="0.2"/>
    <row r="4879" ht="12.75" customHeight="1" x14ac:dyDescent="0.2"/>
    <row r="4880" ht="12.75" customHeight="1" x14ac:dyDescent="0.2"/>
    <row r="4881" ht="12.75" customHeight="1" x14ac:dyDescent="0.2"/>
    <row r="4882" ht="12.75" customHeight="1" x14ac:dyDescent="0.2"/>
    <row r="4883" ht="12.75" customHeight="1" x14ac:dyDescent="0.2"/>
    <row r="4884" ht="12.75" customHeight="1" x14ac:dyDescent="0.2"/>
    <row r="4885" ht="12.75" customHeight="1" x14ac:dyDescent="0.2"/>
    <row r="4886" ht="12.75" customHeight="1" x14ac:dyDescent="0.2"/>
    <row r="4887" ht="12.75" customHeight="1" x14ac:dyDescent="0.2"/>
    <row r="4888" ht="12.75" customHeight="1" x14ac:dyDescent="0.2"/>
    <row r="4889" ht="12.75" customHeight="1" x14ac:dyDescent="0.2"/>
    <row r="4890" ht="12.75" customHeight="1" x14ac:dyDescent="0.2"/>
    <row r="4891" ht="12.75" customHeight="1" x14ac:dyDescent="0.2"/>
    <row r="4892" ht="12.75" customHeight="1" x14ac:dyDescent="0.2"/>
    <row r="4893" ht="12.75" customHeight="1" x14ac:dyDescent="0.2"/>
    <row r="4894" ht="12.75" customHeight="1" x14ac:dyDescent="0.2"/>
    <row r="4895" ht="12.75" customHeight="1" x14ac:dyDescent="0.2"/>
    <row r="4896" ht="12.75" customHeight="1" x14ac:dyDescent="0.2"/>
    <row r="4897" ht="12.75" customHeight="1" x14ac:dyDescent="0.2"/>
    <row r="4898" ht="12.75" customHeight="1" x14ac:dyDescent="0.2"/>
    <row r="4899" ht="12.75" customHeight="1" x14ac:dyDescent="0.2"/>
    <row r="4900" ht="12.75" customHeight="1" x14ac:dyDescent="0.2"/>
    <row r="4901" ht="12.75" customHeight="1" x14ac:dyDescent="0.2"/>
    <row r="4902" ht="12.75" customHeight="1" x14ac:dyDescent="0.2"/>
    <row r="4903" ht="12.75" customHeight="1" x14ac:dyDescent="0.2"/>
    <row r="4904" ht="12.75" customHeight="1" x14ac:dyDescent="0.2"/>
    <row r="4905" ht="12.75" customHeight="1" x14ac:dyDescent="0.2"/>
    <row r="4906" ht="12.75" customHeight="1" x14ac:dyDescent="0.2"/>
    <row r="4907" ht="12.75" customHeight="1" x14ac:dyDescent="0.2"/>
    <row r="4908" ht="12.75" customHeight="1" x14ac:dyDescent="0.2"/>
    <row r="4909" ht="12.75" customHeight="1" x14ac:dyDescent="0.2"/>
    <row r="4910" ht="12.75" customHeight="1" x14ac:dyDescent="0.2"/>
    <row r="4911" ht="12.75" customHeight="1" x14ac:dyDescent="0.2"/>
    <row r="4912" ht="12.75" customHeight="1" x14ac:dyDescent="0.2"/>
    <row r="4913" ht="12.75" customHeight="1" x14ac:dyDescent="0.2"/>
    <row r="4914" ht="12.75" customHeight="1" x14ac:dyDescent="0.2"/>
    <row r="4915" ht="12.75" customHeight="1" x14ac:dyDescent="0.2"/>
    <row r="4916" ht="12.75" customHeight="1" x14ac:dyDescent="0.2"/>
    <row r="4917" ht="12.75" customHeight="1" x14ac:dyDescent="0.2"/>
    <row r="4918" ht="12.75" customHeight="1" x14ac:dyDescent="0.2"/>
    <row r="4919" ht="12.75" customHeight="1" x14ac:dyDescent="0.2"/>
    <row r="4920" ht="12.75" customHeight="1" x14ac:dyDescent="0.2"/>
    <row r="4921" ht="12.75" customHeight="1" x14ac:dyDescent="0.2"/>
    <row r="4922" ht="12.75" customHeight="1" x14ac:dyDescent="0.2"/>
    <row r="4923" ht="12.75" customHeight="1" x14ac:dyDescent="0.2"/>
    <row r="4924" ht="12.75" customHeight="1" x14ac:dyDescent="0.2"/>
    <row r="4925" ht="12.75" customHeight="1" x14ac:dyDescent="0.2"/>
    <row r="4926" ht="12.75" customHeight="1" x14ac:dyDescent="0.2"/>
    <row r="4927" ht="12.75" customHeight="1" x14ac:dyDescent="0.2"/>
    <row r="4928" ht="12.75" customHeight="1" x14ac:dyDescent="0.2"/>
    <row r="4929" ht="12.75" customHeight="1" x14ac:dyDescent="0.2"/>
    <row r="4930" ht="12.75" customHeight="1" x14ac:dyDescent="0.2"/>
    <row r="4931" ht="12.75" customHeight="1" x14ac:dyDescent="0.2"/>
    <row r="4932" ht="12.75" customHeight="1" x14ac:dyDescent="0.2"/>
    <row r="4933" ht="12.75" customHeight="1" x14ac:dyDescent="0.2"/>
    <row r="4934" ht="12.75" customHeight="1" x14ac:dyDescent="0.2"/>
    <row r="4935" ht="12.75" customHeight="1" x14ac:dyDescent="0.2"/>
    <row r="4936" ht="12.75" customHeight="1" x14ac:dyDescent="0.2"/>
    <row r="4937" ht="12.75" customHeight="1" x14ac:dyDescent="0.2"/>
    <row r="4938" ht="12.75" customHeight="1" x14ac:dyDescent="0.2"/>
    <row r="4939" ht="12.75" customHeight="1" x14ac:dyDescent="0.2"/>
    <row r="4940" ht="12.75" customHeight="1" x14ac:dyDescent="0.2"/>
    <row r="4941" ht="12.75" customHeight="1" x14ac:dyDescent="0.2"/>
    <row r="4942" ht="12.75" customHeight="1" x14ac:dyDescent="0.2"/>
    <row r="4943" ht="12.75" customHeight="1" x14ac:dyDescent="0.2"/>
    <row r="4944" ht="12.75" customHeight="1" x14ac:dyDescent="0.2"/>
    <row r="4945" ht="12.75" customHeight="1" x14ac:dyDescent="0.2"/>
    <row r="4946" ht="12.75" customHeight="1" x14ac:dyDescent="0.2"/>
    <row r="4947" ht="12.75" customHeight="1" x14ac:dyDescent="0.2"/>
    <row r="4948" ht="12.75" customHeight="1" x14ac:dyDescent="0.2"/>
    <row r="4949" ht="12.75" customHeight="1" x14ac:dyDescent="0.2"/>
    <row r="4950" ht="12.75" customHeight="1" x14ac:dyDescent="0.2"/>
    <row r="4951" ht="12.75" customHeight="1" x14ac:dyDescent="0.2"/>
    <row r="4952" ht="12.75" customHeight="1" x14ac:dyDescent="0.2"/>
    <row r="4953" ht="12.75" customHeight="1" x14ac:dyDescent="0.2"/>
    <row r="4954" ht="12.75" customHeight="1" x14ac:dyDescent="0.2"/>
    <row r="4955" ht="12.75" customHeight="1" x14ac:dyDescent="0.2"/>
    <row r="4956" ht="12.75" customHeight="1" x14ac:dyDescent="0.2"/>
    <row r="4957" ht="12.75" customHeight="1" x14ac:dyDescent="0.2"/>
    <row r="4958" ht="12.75" customHeight="1" x14ac:dyDescent="0.2"/>
    <row r="4959" ht="12.75" customHeight="1" x14ac:dyDescent="0.2"/>
    <row r="4960" ht="12.75" customHeight="1" x14ac:dyDescent="0.2"/>
    <row r="4961" ht="12.75" customHeight="1" x14ac:dyDescent="0.2"/>
    <row r="4962" ht="12.75" customHeight="1" x14ac:dyDescent="0.2"/>
    <row r="4963" ht="12.75" customHeight="1" x14ac:dyDescent="0.2"/>
    <row r="4964" ht="12.75" customHeight="1" x14ac:dyDescent="0.2"/>
    <row r="4965" ht="12.75" customHeight="1" x14ac:dyDescent="0.2"/>
    <row r="4966" ht="12.75" customHeight="1" x14ac:dyDescent="0.2"/>
    <row r="4967" ht="12.75" customHeight="1" x14ac:dyDescent="0.2"/>
    <row r="4968" ht="12.75" customHeight="1" x14ac:dyDescent="0.2"/>
    <row r="4969" ht="12.75" customHeight="1" x14ac:dyDescent="0.2"/>
    <row r="4970" ht="12.75" customHeight="1" x14ac:dyDescent="0.2"/>
    <row r="4971" ht="12.75" customHeight="1" x14ac:dyDescent="0.2"/>
    <row r="4972" ht="12.75" customHeight="1" x14ac:dyDescent="0.2"/>
    <row r="4973" ht="12.75" customHeight="1" x14ac:dyDescent="0.2"/>
    <row r="4974" ht="12.75" customHeight="1" x14ac:dyDescent="0.2"/>
    <row r="4975" ht="12.75" customHeight="1" x14ac:dyDescent="0.2"/>
    <row r="4976" ht="12.75" customHeight="1" x14ac:dyDescent="0.2"/>
    <row r="4977" ht="12.75" customHeight="1" x14ac:dyDescent="0.2"/>
    <row r="4978" ht="12.75" customHeight="1" x14ac:dyDescent="0.2"/>
    <row r="4979" ht="12.75" customHeight="1" x14ac:dyDescent="0.2"/>
    <row r="4980" ht="12.75" customHeight="1" x14ac:dyDescent="0.2"/>
    <row r="4981" ht="12.75" customHeight="1" x14ac:dyDescent="0.2"/>
    <row r="4982" ht="12.75" customHeight="1" x14ac:dyDescent="0.2"/>
    <row r="4983" ht="12.75" customHeight="1" x14ac:dyDescent="0.2"/>
    <row r="4984" ht="12.75" customHeight="1" x14ac:dyDescent="0.2"/>
    <row r="4985" ht="12.75" customHeight="1" x14ac:dyDescent="0.2"/>
    <row r="4986" ht="12.75" customHeight="1" x14ac:dyDescent="0.2"/>
    <row r="4987" ht="12.75" customHeight="1" x14ac:dyDescent="0.2"/>
    <row r="4988" ht="12.75" customHeight="1" x14ac:dyDescent="0.2"/>
    <row r="4989" ht="12.75" customHeight="1" x14ac:dyDescent="0.2"/>
    <row r="4990" ht="12.75" customHeight="1" x14ac:dyDescent="0.2"/>
    <row r="4991" ht="12.75" customHeight="1" x14ac:dyDescent="0.2"/>
    <row r="4992" ht="12.75" customHeight="1" x14ac:dyDescent="0.2"/>
    <row r="4993" ht="12.75" customHeight="1" x14ac:dyDescent="0.2"/>
    <row r="4994" ht="12.75" customHeight="1" x14ac:dyDescent="0.2"/>
    <row r="4995" ht="12.75" customHeight="1" x14ac:dyDescent="0.2"/>
    <row r="4996" ht="12.75" customHeight="1" x14ac:dyDescent="0.2"/>
    <row r="4997" ht="12.75" customHeight="1" x14ac:dyDescent="0.2"/>
    <row r="4998" ht="12.75" customHeight="1" x14ac:dyDescent="0.2"/>
    <row r="4999" ht="12.75" customHeight="1" x14ac:dyDescent="0.2"/>
    <row r="5000" ht="12.75" customHeight="1" x14ac:dyDescent="0.2"/>
    <row r="5001" ht="12.75" customHeight="1" x14ac:dyDescent="0.2"/>
    <row r="5002" ht="12.75" customHeight="1" x14ac:dyDescent="0.2"/>
    <row r="5003" ht="12.75" customHeight="1" x14ac:dyDescent="0.2"/>
    <row r="5004" ht="12.75" customHeight="1" x14ac:dyDescent="0.2"/>
    <row r="5005" ht="12.75" customHeight="1" x14ac:dyDescent="0.2"/>
    <row r="5006" ht="12.75" customHeight="1" x14ac:dyDescent="0.2"/>
    <row r="5007" ht="12.75" customHeight="1" x14ac:dyDescent="0.2"/>
    <row r="5008" ht="12.75" customHeight="1" x14ac:dyDescent="0.2"/>
    <row r="5009" ht="12.75" customHeight="1" x14ac:dyDescent="0.2"/>
    <row r="5010" ht="12.75" customHeight="1" x14ac:dyDescent="0.2"/>
    <row r="5011" ht="12.75" customHeight="1" x14ac:dyDescent="0.2"/>
    <row r="5012" ht="12.75" customHeight="1" x14ac:dyDescent="0.2"/>
    <row r="5013" ht="12.75" customHeight="1" x14ac:dyDescent="0.2"/>
    <row r="5014" ht="12.75" customHeight="1" x14ac:dyDescent="0.2"/>
    <row r="5015" ht="12.75" customHeight="1" x14ac:dyDescent="0.2"/>
    <row r="5016" ht="12.75" customHeight="1" x14ac:dyDescent="0.2"/>
    <row r="5017" ht="12.75" customHeight="1" x14ac:dyDescent="0.2"/>
    <row r="5018" ht="12.75" customHeight="1" x14ac:dyDescent="0.2"/>
    <row r="5019" ht="12.75" customHeight="1" x14ac:dyDescent="0.2"/>
    <row r="5020" ht="12.75" customHeight="1" x14ac:dyDescent="0.2"/>
    <row r="5021" ht="12.75" customHeight="1" x14ac:dyDescent="0.2"/>
    <row r="5022" ht="12.75" customHeight="1" x14ac:dyDescent="0.2"/>
    <row r="5023" ht="12.75" customHeight="1" x14ac:dyDescent="0.2"/>
    <row r="5024" ht="12.75" customHeight="1" x14ac:dyDescent="0.2"/>
    <row r="5025" ht="12.75" customHeight="1" x14ac:dyDescent="0.2"/>
    <row r="5026" ht="12.75" customHeight="1" x14ac:dyDescent="0.2"/>
    <row r="5027" ht="12.75" customHeight="1" x14ac:dyDescent="0.2"/>
    <row r="5028" ht="12.75" customHeight="1" x14ac:dyDescent="0.2"/>
    <row r="5029" ht="12.75" customHeight="1" x14ac:dyDescent="0.2"/>
    <row r="5030" ht="12.75" customHeight="1" x14ac:dyDescent="0.2"/>
    <row r="5031" ht="12.75" customHeight="1" x14ac:dyDescent="0.2"/>
    <row r="5032" ht="12.75" customHeight="1" x14ac:dyDescent="0.2"/>
    <row r="5033" ht="12.75" customHeight="1" x14ac:dyDescent="0.2"/>
    <row r="5034" ht="12.75" customHeight="1" x14ac:dyDescent="0.2"/>
    <row r="5035" ht="12.75" customHeight="1" x14ac:dyDescent="0.2"/>
    <row r="5036" ht="12.75" customHeight="1" x14ac:dyDescent="0.2"/>
    <row r="5037" ht="12.75" customHeight="1" x14ac:dyDescent="0.2"/>
    <row r="5038" ht="12.75" customHeight="1" x14ac:dyDescent="0.2"/>
    <row r="5039" ht="12.75" customHeight="1" x14ac:dyDescent="0.2"/>
    <row r="5040" ht="12.75" customHeight="1" x14ac:dyDescent="0.2"/>
    <row r="5041" ht="12.75" customHeight="1" x14ac:dyDescent="0.2"/>
    <row r="5042" ht="12.75" customHeight="1" x14ac:dyDescent="0.2"/>
    <row r="5043" ht="12.75" customHeight="1" x14ac:dyDescent="0.2"/>
    <row r="5044" ht="12.75" customHeight="1" x14ac:dyDescent="0.2"/>
    <row r="5045" ht="12.75" customHeight="1" x14ac:dyDescent="0.2"/>
    <row r="5046" ht="12.75" customHeight="1" x14ac:dyDescent="0.2"/>
    <row r="5047" ht="12.75" customHeight="1" x14ac:dyDescent="0.2"/>
    <row r="5048" ht="12.75" customHeight="1" x14ac:dyDescent="0.2"/>
    <row r="5049" ht="12.75" customHeight="1" x14ac:dyDescent="0.2"/>
    <row r="5050" ht="12.75" customHeight="1" x14ac:dyDescent="0.2"/>
    <row r="5051" ht="12.75" customHeight="1" x14ac:dyDescent="0.2"/>
    <row r="5052" ht="12.75" customHeight="1" x14ac:dyDescent="0.2"/>
    <row r="5053" ht="12.75" customHeight="1" x14ac:dyDescent="0.2"/>
    <row r="5054" ht="12.75" customHeight="1" x14ac:dyDescent="0.2"/>
    <row r="5055" ht="12.75" customHeight="1" x14ac:dyDescent="0.2"/>
    <row r="5056" ht="12.75" customHeight="1" x14ac:dyDescent="0.2"/>
    <row r="5057" ht="12.75" customHeight="1" x14ac:dyDescent="0.2"/>
    <row r="5058" ht="12.75" customHeight="1" x14ac:dyDescent="0.2"/>
    <row r="5059" ht="12.75" customHeight="1" x14ac:dyDescent="0.2"/>
    <row r="5060" ht="12.75" customHeight="1" x14ac:dyDescent="0.2"/>
    <row r="5061" ht="12.75" customHeight="1" x14ac:dyDescent="0.2"/>
    <row r="5062" ht="12.75" customHeight="1" x14ac:dyDescent="0.2"/>
    <row r="5063" ht="12.75" customHeight="1" x14ac:dyDescent="0.2"/>
    <row r="5064" ht="12.75" customHeight="1" x14ac:dyDescent="0.2"/>
    <row r="5065" ht="12.75" customHeight="1" x14ac:dyDescent="0.2"/>
    <row r="5066" ht="12.75" customHeight="1" x14ac:dyDescent="0.2"/>
    <row r="5067" ht="12.75" customHeight="1" x14ac:dyDescent="0.2"/>
    <row r="5068" ht="12.75" customHeight="1" x14ac:dyDescent="0.2"/>
    <row r="5069" ht="12.75" customHeight="1" x14ac:dyDescent="0.2"/>
    <row r="5070" ht="12.75" customHeight="1" x14ac:dyDescent="0.2"/>
    <row r="5071" ht="12.75" customHeight="1" x14ac:dyDescent="0.2"/>
    <row r="5072" ht="12.75" customHeight="1" x14ac:dyDescent="0.2"/>
    <row r="5073" ht="12.75" customHeight="1" x14ac:dyDescent="0.2"/>
    <row r="5074" ht="12.75" customHeight="1" x14ac:dyDescent="0.2"/>
    <row r="5075" ht="12.75" customHeight="1" x14ac:dyDescent="0.2"/>
    <row r="5076" ht="12.75" customHeight="1" x14ac:dyDescent="0.2"/>
    <row r="5077" ht="12.75" customHeight="1" x14ac:dyDescent="0.2"/>
    <row r="5078" ht="12.75" customHeight="1" x14ac:dyDescent="0.2"/>
    <row r="5079" ht="12.75" customHeight="1" x14ac:dyDescent="0.2"/>
    <row r="5080" ht="12.75" customHeight="1" x14ac:dyDescent="0.2"/>
    <row r="5081" ht="12.75" customHeight="1" x14ac:dyDescent="0.2"/>
    <row r="5082" ht="12.75" customHeight="1" x14ac:dyDescent="0.2"/>
    <row r="5083" ht="12.75" customHeight="1" x14ac:dyDescent="0.2"/>
    <row r="5084" ht="12.75" customHeight="1" x14ac:dyDescent="0.2"/>
    <row r="5085" ht="12.75" customHeight="1" x14ac:dyDescent="0.2"/>
    <row r="5086" ht="12.75" customHeight="1" x14ac:dyDescent="0.2"/>
    <row r="5087" ht="12.75" customHeight="1" x14ac:dyDescent="0.2"/>
    <row r="5088" ht="12.75" customHeight="1" x14ac:dyDescent="0.2"/>
    <row r="5089" ht="12.75" customHeight="1" x14ac:dyDescent="0.2"/>
    <row r="5090" ht="12.75" customHeight="1" x14ac:dyDescent="0.2"/>
    <row r="5091" ht="12.75" customHeight="1" x14ac:dyDescent="0.2"/>
    <row r="5092" ht="12.75" customHeight="1" x14ac:dyDescent="0.2"/>
    <row r="5093" ht="12.75" customHeight="1" x14ac:dyDescent="0.2"/>
    <row r="5094" ht="12.75" customHeight="1" x14ac:dyDescent="0.2"/>
    <row r="5095" ht="12.75" customHeight="1" x14ac:dyDescent="0.2"/>
    <row r="5096" ht="12.75" customHeight="1" x14ac:dyDescent="0.2"/>
    <row r="5097" ht="12.75" customHeight="1" x14ac:dyDescent="0.2"/>
    <row r="5098" ht="12.75" customHeight="1" x14ac:dyDescent="0.2"/>
    <row r="5099" ht="12.75" customHeight="1" x14ac:dyDescent="0.2"/>
    <row r="5100" ht="12.75" customHeight="1" x14ac:dyDescent="0.2"/>
    <row r="5101" ht="12.75" customHeight="1" x14ac:dyDescent="0.2"/>
    <row r="5102" ht="12.75" customHeight="1" x14ac:dyDescent="0.2"/>
    <row r="5103" ht="12.75" customHeight="1" x14ac:dyDescent="0.2"/>
    <row r="5104" ht="12.75" customHeight="1" x14ac:dyDescent="0.2"/>
    <row r="5105" ht="12.75" customHeight="1" x14ac:dyDescent="0.2"/>
    <row r="5106" ht="12.75" customHeight="1" x14ac:dyDescent="0.2"/>
    <row r="5107" ht="12.75" customHeight="1" x14ac:dyDescent="0.2"/>
    <row r="5108" ht="12.75" customHeight="1" x14ac:dyDescent="0.2"/>
    <row r="5109" ht="12.75" customHeight="1" x14ac:dyDescent="0.2"/>
    <row r="5110" ht="12.75" customHeight="1" x14ac:dyDescent="0.2"/>
    <row r="5111" ht="12.75" customHeight="1" x14ac:dyDescent="0.2"/>
    <row r="5112" ht="12.75" customHeight="1" x14ac:dyDescent="0.2"/>
    <row r="5113" ht="12.75" customHeight="1" x14ac:dyDescent="0.2"/>
    <row r="5114" ht="12.75" customHeight="1" x14ac:dyDescent="0.2"/>
    <row r="5115" ht="12.75" customHeight="1" x14ac:dyDescent="0.2"/>
    <row r="5116" ht="12.75" customHeight="1" x14ac:dyDescent="0.2"/>
    <row r="5117" ht="12.75" customHeight="1" x14ac:dyDescent="0.2"/>
    <row r="5118" ht="12.75" customHeight="1" x14ac:dyDescent="0.2"/>
    <row r="5119" ht="12.75" customHeight="1" x14ac:dyDescent="0.2"/>
    <row r="5120" ht="12.75" customHeight="1" x14ac:dyDescent="0.2"/>
    <row r="5121" ht="12.75" customHeight="1" x14ac:dyDescent="0.2"/>
    <row r="5122" ht="12.75" customHeight="1" x14ac:dyDescent="0.2"/>
    <row r="5123" ht="12.75" customHeight="1" x14ac:dyDescent="0.2"/>
    <row r="5124" ht="12.75" customHeight="1" x14ac:dyDescent="0.2"/>
    <row r="5125" ht="12.75" customHeight="1" x14ac:dyDescent="0.2"/>
    <row r="5126" ht="12.75" customHeight="1" x14ac:dyDescent="0.2"/>
    <row r="5127" ht="12.75" customHeight="1" x14ac:dyDescent="0.2"/>
    <row r="5128" ht="12.75" customHeight="1" x14ac:dyDescent="0.2"/>
    <row r="5129" ht="12.75" customHeight="1" x14ac:dyDescent="0.2"/>
    <row r="5130" ht="12.75" customHeight="1" x14ac:dyDescent="0.2"/>
    <row r="5131" ht="12.75" customHeight="1" x14ac:dyDescent="0.2"/>
    <row r="5132" ht="12.75" customHeight="1" x14ac:dyDescent="0.2"/>
    <row r="5133" ht="12.75" customHeight="1" x14ac:dyDescent="0.2"/>
    <row r="5134" ht="12.75" customHeight="1" x14ac:dyDescent="0.2"/>
    <row r="5135" ht="12.75" customHeight="1" x14ac:dyDescent="0.2"/>
    <row r="5136" ht="12.75" customHeight="1" x14ac:dyDescent="0.2"/>
    <row r="5137" ht="12.75" customHeight="1" x14ac:dyDescent="0.2"/>
    <row r="5138" ht="12.75" customHeight="1" x14ac:dyDescent="0.2"/>
    <row r="5139" ht="12.75" customHeight="1" x14ac:dyDescent="0.2"/>
    <row r="5140" ht="12.75" customHeight="1" x14ac:dyDescent="0.2"/>
    <row r="5141" ht="12.75" customHeight="1" x14ac:dyDescent="0.2"/>
    <row r="5142" ht="12.75" customHeight="1" x14ac:dyDescent="0.2"/>
    <row r="5143" ht="12.75" customHeight="1" x14ac:dyDescent="0.2"/>
    <row r="5144" ht="12.75" customHeight="1" x14ac:dyDescent="0.2"/>
    <row r="5145" ht="12.75" customHeight="1" x14ac:dyDescent="0.2"/>
    <row r="5146" ht="12.75" customHeight="1" x14ac:dyDescent="0.2"/>
    <row r="5147" ht="12.75" customHeight="1" x14ac:dyDescent="0.2"/>
    <row r="5148" ht="12.75" customHeight="1" x14ac:dyDescent="0.2"/>
    <row r="5149" ht="12.75" customHeight="1" x14ac:dyDescent="0.2"/>
    <row r="5150" ht="12.75" customHeight="1" x14ac:dyDescent="0.2"/>
    <row r="5151" ht="12.75" customHeight="1" x14ac:dyDescent="0.2"/>
    <row r="5152" ht="12.75" customHeight="1" x14ac:dyDescent="0.2"/>
    <row r="5153" ht="12.75" customHeight="1" x14ac:dyDescent="0.2"/>
    <row r="5154" ht="12.75" customHeight="1" x14ac:dyDescent="0.2"/>
    <row r="5155" ht="12.75" customHeight="1" x14ac:dyDescent="0.2"/>
    <row r="5156" ht="12.75" customHeight="1" x14ac:dyDescent="0.2"/>
    <row r="5157" ht="12.75" customHeight="1" x14ac:dyDescent="0.2"/>
    <row r="5158" ht="12.75" customHeight="1" x14ac:dyDescent="0.2"/>
    <row r="5159" ht="12.75" customHeight="1" x14ac:dyDescent="0.2"/>
    <row r="5160" ht="12.75" customHeight="1" x14ac:dyDescent="0.2"/>
    <row r="5161" ht="12.75" customHeight="1" x14ac:dyDescent="0.2"/>
    <row r="5162" ht="12.75" customHeight="1" x14ac:dyDescent="0.2"/>
    <row r="5163" ht="12.75" customHeight="1" x14ac:dyDescent="0.2"/>
    <row r="5164" ht="12.75" customHeight="1" x14ac:dyDescent="0.2"/>
    <row r="5165" ht="12.75" customHeight="1" x14ac:dyDescent="0.2"/>
    <row r="5166" ht="12.75" customHeight="1" x14ac:dyDescent="0.2"/>
    <row r="5167" ht="12.75" customHeight="1" x14ac:dyDescent="0.2"/>
    <row r="5168" ht="12.75" customHeight="1" x14ac:dyDescent="0.2"/>
    <row r="5169" ht="12.75" customHeight="1" x14ac:dyDescent="0.2"/>
    <row r="5170" ht="12.75" customHeight="1" x14ac:dyDescent="0.2"/>
    <row r="5171" ht="12.75" customHeight="1" x14ac:dyDescent="0.2"/>
    <row r="5172" ht="12.75" customHeight="1" x14ac:dyDescent="0.2"/>
    <row r="5173" ht="12.75" customHeight="1" x14ac:dyDescent="0.2"/>
    <row r="5174" ht="12.75" customHeight="1" x14ac:dyDescent="0.2"/>
    <row r="5175" ht="12.75" customHeight="1" x14ac:dyDescent="0.2"/>
    <row r="5176" ht="12.75" customHeight="1" x14ac:dyDescent="0.2"/>
    <row r="5177" ht="12.75" customHeight="1" x14ac:dyDescent="0.2"/>
    <row r="5178" ht="12.75" customHeight="1" x14ac:dyDescent="0.2"/>
    <row r="5179" ht="12.75" customHeight="1" x14ac:dyDescent="0.2"/>
    <row r="5180" ht="12.75" customHeight="1" x14ac:dyDescent="0.2"/>
    <row r="5181" ht="12.75" customHeight="1" x14ac:dyDescent="0.2"/>
    <row r="5182" ht="12.75" customHeight="1" x14ac:dyDescent="0.2"/>
    <row r="5183" ht="12.75" customHeight="1" x14ac:dyDescent="0.2"/>
    <row r="5184" ht="12.75" customHeight="1" x14ac:dyDescent="0.2"/>
    <row r="5185" ht="12.75" customHeight="1" x14ac:dyDescent="0.2"/>
    <row r="5186" ht="12.75" customHeight="1" x14ac:dyDescent="0.2"/>
    <row r="5187" ht="12.75" customHeight="1" x14ac:dyDescent="0.2"/>
    <row r="5188" ht="12.75" customHeight="1" x14ac:dyDescent="0.2"/>
    <row r="5189" ht="12.75" customHeight="1" x14ac:dyDescent="0.2"/>
    <row r="5190" ht="12.75" customHeight="1" x14ac:dyDescent="0.2"/>
    <row r="5191" ht="12.75" customHeight="1" x14ac:dyDescent="0.2"/>
    <row r="5192" ht="12.75" customHeight="1" x14ac:dyDescent="0.2"/>
    <row r="5193" ht="12.75" customHeight="1" x14ac:dyDescent="0.2"/>
    <row r="5194" ht="12.75" customHeight="1" x14ac:dyDescent="0.2"/>
    <row r="5195" ht="12.75" customHeight="1" x14ac:dyDescent="0.2"/>
    <row r="5196" ht="12.75" customHeight="1" x14ac:dyDescent="0.2"/>
    <row r="5197" ht="12.75" customHeight="1" x14ac:dyDescent="0.2"/>
    <row r="5198" ht="12.75" customHeight="1" x14ac:dyDescent="0.2"/>
    <row r="5199" ht="12.75" customHeight="1" x14ac:dyDescent="0.2"/>
    <row r="5200" ht="12.75" customHeight="1" x14ac:dyDescent="0.2"/>
    <row r="5201" ht="12.75" customHeight="1" x14ac:dyDescent="0.2"/>
    <row r="5202" ht="12.75" customHeight="1" x14ac:dyDescent="0.2"/>
    <row r="5203" ht="12.75" customHeight="1" x14ac:dyDescent="0.2"/>
    <row r="5204" ht="12.75" customHeight="1" x14ac:dyDescent="0.2"/>
    <row r="5205" ht="12.75" customHeight="1" x14ac:dyDescent="0.2"/>
    <row r="5206" ht="12.75" customHeight="1" x14ac:dyDescent="0.2"/>
    <row r="5207" ht="12.75" customHeight="1" x14ac:dyDescent="0.2"/>
    <row r="5208" ht="12.75" customHeight="1" x14ac:dyDescent="0.2"/>
    <row r="5209" ht="12.75" customHeight="1" x14ac:dyDescent="0.2"/>
    <row r="5210" ht="12.75" customHeight="1" x14ac:dyDescent="0.2"/>
    <row r="5211" ht="12.75" customHeight="1" x14ac:dyDescent="0.2"/>
    <row r="5212" ht="12.75" customHeight="1" x14ac:dyDescent="0.2"/>
    <row r="5213" ht="12.75" customHeight="1" x14ac:dyDescent="0.2"/>
    <row r="5214" ht="12.75" customHeight="1" x14ac:dyDescent="0.2"/>
    <row r="5215" ht="12.75" customHeight="1" x14ac:dyDescent="0.2"/>
    <row r="5216" ht="12.75" customHeight="1" x14ac:dyDescent="0.2"/>
    <row r="5217" ht="12.75" customHeight="1" x14ac:dyDescent="0.2"/>
    <row r="5218" ht="12.75" customHeight="1" x14ac:dyDescent="0.2"/>
    <row r="5219" ht="12.75" customHeight="1" x14ac:dyDescent="0.2"/>
    <row r="5220" ht="12.75" customHeight="1" x14ac:dyDescent="0.2"/>
    <row r="5221" ht="12.75" customHeight="1" x14ac:dyDescent="0.2"/>
    <row r="5222" ht="12.75" customHeight="1" x14ac:dyDescent="0.2"/>
    <row r="5223" ht="12.75" customHeight="1" x14ac:dyDescent="0.2"/>
    <row r="5224" ht="12.75" customHeight="1" x14ac:dyDescent="0.2"/>
    <row r="5225" ht="12.75" customHeight="1" x14ac:dyDescent="0.2"/>
    <row r="5226" ht="12.75" customHeight="1" x14ac:dyDescent="0.2"/>
    <row r="5227" ht="12.75" customHeight="1" x14ac:dyDescent="0.2"/>
    <row r="5228" ht="12.75" customHeight="1" x14ac:dyDescent="0.2"/>
    <row r="5229" ht="12.75" customHeight="1" x14ac:dyDescent="0.2"/>
    <row r="5230" ht="12.75" customHeight="1" x14ac:dyDescent="0.2"/>
    <row r="5231" ht="12.75" customHeight="1" x14ac:dyDescent="0.2"/>
    <row r="5232" ht="12.75" customHeight="1" x14ac:dyDescent="0.2"/>
    <row r="5233" ht="12.75" customHeight="1" x14ac:dyDescent="0.2"/>
    <row r="5234" ht="12.75" customHeight="1" x14ac:dyDescent="0.2"/>
    <row r="5235" ht="12.75" customHeight="1" x14ac:dyDescent="0.2"/>
    <row r="5236" ht="12.75" customHeight="1" x14ac:dyDescent="0.2"/>
    <row r="5237" ht="12.75" customHeight="1" x14ac:dyDescent="0.2"/>
    <row r="5238" ht="12.75" customHeight="1" x14ac:dyDescent="0.2"/>
    <row r="5239" ht="12.75" customHeight="1" x14ac:dyDescent="0.2"/>
    <row r="5240" ht="12.75" customHeight="1" x14ac:dyDescent="0.2"/>
    <row r="5241" ht="12.75" customHeight="1" x14ac:dyDescent="0.2"/>
    <row r="5242" ht="12.75" customHeight="1" x14ac:dyDescent="0.2"/>
    <row r="5243" ht="12.75" customHeight="1" x14ac:dyDescent="0.2"/>
    <row r="5244" ht="12.75" customHeight="1" x14ac:dyDescent="0.2"/>
    <row r="5245" ht="12.75" customHeight="1" x14ac:dyDescent="0.2"/>
    <row r="5246" ht="12.75" customHeight="1" x14ac:dyDescent="0.2"/>
    <row r="5247" ht="12.75" customHeight="1" x14ac:dyDescent="0.2"/>
    <row r="5248" ht="12.75" customHeight="1" x14ac:dyDescent="0.2"/>
    <row r="5249" ht="12.75" customHeight="1" x14ac:dyDescent="0.2"/>
    <row r="5250" ht="12.75" customHeight="1" x14ac:dyDescent="0.2"/>
    <row r="5251" ht="12.75" customHeight="1" x14ac:dyDescent="0.2"/>
    <row r="5252" ht="12.75" customHeight="1" x14ac:dyDescent="0.2"/>
    <row r="5253" ht="12.75" customHeight="1" x14ac:dyDescent="0.2"/>
    <row r="5254" ht="12.75" customHeight="1" x14ac:dyDescent="0.2"/>
    <row r="5255" ht="12.75" customHeight="1" x14ac:dyDescent="0.2"/>
    <row r="5256" ht="12.75" customHeight="1" x14ac:dyDescent="0.2"/>
    <row r="5257" ht="12.75" customHeight="1" x14ac:dyDescent="0.2"/>
    <row r="5258" ht="12.75" customHeight="1" x14ac:dyDescent="0.2"/>
    <row r="5259" ht="12.75" customHeight="1" x14ac:dyDescent="0.2"/>
    <row r="5260" ht="12.75" customHeight="1" x14ac:dyDescent="0.2"/>
    <row r="5261" ht="12.75" customHeight="1" x14ac:dyDescent="0.2"/>
    <row r="5262" ht="12.75" customHeight="1" x14ac:dyDescent="0.2"/>
    <row r="5263" ht="12.75" customHeight="1" x14ac:dyDescent="0.2"/>
    <row r="5264" ht="12.75" customHeight="1" x14ac:dyDescent="0.2"/>
    <row r="5265" ht="12.75" customHeight="1" x14ac:dyDescent="0.2"/>
    <row r="5266" ht="12.75" customHeight="1" x14ac:dyDescent="0.2"/>
    <row r="5267" ht="12.75" customHeight="1" x14ac:dyDescent="0.2"/>
    <row r="5268" ht="12.75" customHeight="1" x14ac:dyDescent="0.2"/>
    <row r="5269" ht="12.75" customHeight="1" x14ac:dyDescent="0.2"/>
    <row r="5270" ht="12.75" customHeight="1" x14ac:dyDescent="0.2"/>
    <row r="5271" ht="12.75" customHeight="1" x14ac:dyDescent="0.2"/>
    <row r="5272" ht="12.75" customHeight="1" x14ac:dyDescent="0.2"/>
    <row r="5273" ht="12.75" customHeight="1" x14ac:dyDescent="0.2"/>
    <row r="5274" ht="12.75" customHeight="1" x14ac:dyDescent="0.2"/>
    <row r="5275" ht="12.75" customHeight="1" x14ac:dyDescent="0.2"/>
    <row r="5276" ht="12.75" customHeight="1" x14ac:dyDescent="0.2"/>
    <row r="5277" ht="12.75" customHeight="1" x14ac:dyDescent="0.2"/>
    <row r="5278" ht="12.75" customHeight="1" x14ac:dyDescent="0.2"/>
    <row r="5279" ht="12.75" customHeight="1" x14ac:dyDescent="0.2"/>
    <row r="5280" ht="12.75" customHeight="1" x14ac:dyDescent="0.2"/>
    <row r="5281" ht="12.75" customHeight="1" x14ac:dyDescent="0.2"/>
    <row r="5282" ht="12.75" customHeight="1" x14ac:dyDescent="0.2"/>
    <row r="5283" ht="12.75" customHeight="1" x14ac:dyDescent="0.2"/>
    <row r="5284" ht="12.75" customHeight="1" x14ac:dyDescent="0.2"/>
    <row r="5285" ht="12.75" customHeight="1" x14ac:dyDescent="0.2"/>
    <row r="5286" ht="12.75" customHeight="1" x14ac:dyDescent="0.2"/>
    <row r="5287" ht="12.75" customHeight="1" x14ac:dyDescent="0.2"/>
    <row r="5288" ht="12.75" customHeight="1" x14ac:dyDescent="0.2"/>
    <row r="5289" ht="12.75" customHeight="1" x14ac:dyDescent="0.2"/>
    <row r="5290" ht="12.75" customHeight="1" x14ac:dyDescent="0.2"/>
    <row r="5291" ht="12.75" customHeight="1" x14ac:dyDescent="0.2"/>
    <row r="5292" ht="12.75" customHeight="1" x14ac:dyDescent="0.2"/>
    <row r="5293" ht="12.75" customHeight="1" x14ac:dyDescent="0.2"/>
    <row r="5294" ht="12.75" customHeight="1" x14ac:dyDescent="0.2"/>
    <row r="5295" ht="12.75" customHeight="1" x14ac:dyDescent="0.2"/>
    <row r="5296" ht="12.75" customHeight="1" x14ac:dyDescent="0.2"/>
    <row r="5297" ht="12.75" customHeight="1" x14ac:dyDescent="0.2"/>
    <row r="5298" ht="12.75" customHeight="1" x14ac:dyDescent="0.2"/>
    <row r="5299" ht="12.75" customHeight="1" x14ac:dyDescent="0.2"/>
    <row r="5300" ht="12.75" customHeight="1" x14ac:dyDescent="0.2"/>
    <row r="5301" ht="12.75" customHeight="1" x14ac:dyDescent="0.2"/>
    <row r="5302" ht="12.75" customHeight="1" x14ac:dyDescent="0.2"/>
    <row r="5303" ht="12.75" customHeight="1" x14ac:dyDescent="0.2"/>
    <row r="5304" ht="12.75" customHeight="1" x14ac:dyDescent="0.2"/>
    <row r="5305" ht="12.75" customHeight="1" x14ac:dyDescent="0.2"/>
    <row r="5306" ht="12.75" customHeight="1" x14ac:dyDescent="0.2"/>
    <row r="5307" ht="12.75" customHeight="1" x14ac:dyDescent="0.2"/>
    <row r="5308" ht="12.75" customHeight="1" x14ac:dyDescent="0.2"/>
    <row r="5309" ht="12.75" customHeight="1" x14ac:dyDescent="0.2"/>
    <row r="5310" ht="12.75" customHeight="1" x14ac:dyDescent="0.2"/>
    <row r="5311" ht="12.75" customHeight="1" x14ac:dyDescent="0.2"/>
    <row r="5312" ht="12.75" customHeight="1" x14ac:dyDescent="0.2"/>
    <row r="5313" ht="12.75" customHeight="1" x14ac:dyDescent="0.2"/>
    <row r="5314" ht="12.75" customHeight="1" x14ac:dyDescent="0.2"/>
    <row r="5315" ht="12.75" customHeight="1" x14ac:dyDescent="0.2"/>
    <row r="5316" ht="12.75" customHeight="1" x14ac:dyDescent="0.2"/>
    <row r="5317" ht="12.75" customHeight="1" x14ac:dyDescent="0.2"/>
    <row r="5318" ht="12.75" customHeight="1" x14ac:dyDescent="0.2"/>
    <row r="5319" ht="12.75" customHeight="1" x14ac:dyDescent="0.2"/>
    <row r="5320" ht="12.75" customHeight="1" x14ac:dyDescent="0.2"/>
    <row r="5321" ht="12.75" customHeight="1" x14ac:dyDescent="0.2"/>
    <row r="5322" ht="12.75" customHeight="1" x14ac:dyDescent="0.2"/>
    <row r="5323" ht="12.75" customHeight="1" x14ac:dyDescent="0.2"/>
    <row r="5324" ht="12.75" customHeight="1" x14ac:dyDescent="0.2"/>
    <row r="5325" ht="12.75" customHeight="1" x14ac:dyDescent="0.2"/>
    <row r="5326" ht="12.75" customHeight="1" x14ac:dyDescent="0.2"/>
    <row r="5327" ht="12.75" customHeight="1" x14ac:dyDescent="0.2"/>
    <row r="5328" ht="12.75" customHeight="1" x14ac:dyDescent="0.2"/>
    <row r="5329" ht="12.75" customHeight="1" x14ac:dyDescent="0.2"/>
    <row r="5330" ht="12.75" customHeight="1" x14ac:dyDescent="0.2"/>
    <row r="5331" ht="12.75" customHeight="1" x14ac:dyDescent="0.2"/>
    <row r="5332" ht="12.75" customHeight="1" x14ac:dyDescent="0.2"/>
    <row r="5333" ht="12.75" customHeight="1" x14ac:dyDescent="0.2"/>
    <row r="5334" ht="12.75" customHeight="1" x14ac:dyDescent="0.2"/>
    <row r="5335" ht="12.75" customHeight="1" x14ac:dyDescent="0.2"/>
    <row r="5336" ht="12.75" customHeight="1" x14ac:dyDescent="0.2"/>
    <row r="5337" ht="12.75" customHeight="1" x14ac:dyDescent="0.2"/>
    <row r="5338" ht="12.75" customHeight="1" x14ac:dyDescent="0.2"/>
    <row r="5339" ht="12.75" customHeight="1" x14ac:dyDescent="0.2"/>
    <row r="5340" ht="12.75" customHeight="1" x14ac:dyDescent="0.2"/>
    <row r="5341" ht="12.75" customHeight="1" x14ac:dyDescent="0.2"/>
    <row r="5342" ht="12.75" customHeight="1" x14ac:dyDescent="0.2"/>
    <row r="5343" ht="12.75" customHeight="1" x14ac:dyDescent="0.2"/>
    <row r="5344" ht="12.75" customHeight="1" x14ac:dyDescent="0.2"/>
    <row r="5345" ht="12.75" customHeight="1" x14ac:dyDescent="0.2"/>
    <row r="5346" ht="12.75" customHeight="1" x14ac:dyDescent="0.2"/>
    <row r="5347" ht="12.75" customHeight="1" x14ac:dyDescent="0.2"/>
    <row r="5348" ht="12.75" customHeight="1" x14ac:dyDescent="0.2"/>
    <row r="5349" ht="12.75" customHeight="1" x14ac:dyDescent="0.2"/>
    <row r="5350" ht="12.75" customHeight="1" x14ac:dyDescent="0.2"/>
    <row r="5351" ht="12.75" customHeight="1" x14ac:dyDescent="0.2"/>
    <row r="5352" ht="12.75" customHeight="1" x14ac:dyDescent="0.2"/>
    <row r="5353" ht="12.75" customHeight="1" x14ac:dyDescent="0.2"/>
    <row r="5354" ht="12.75" customHeight="1" x14ac:dyDescent="0.2"/>
    <row r="5355" ht="12.75" customHeight="1" x14ac:dyDescent="0.2"/>
    <row r="5356" ht="12.75" customHeight="1" x14ac:dyDescent="0.2"/>
    <row r="5357" ht="12.75" customHeight="1" x14ac:dyDescent="0.2"/>
    <row r="5358" ht="12.75" customHeight="1" x14ac:dyDescent="0.2"/>
    <row r="5359" ht="12.75" customHeight="1" x14ac:dyDescent="0.2"/>
    <row r="5360" ht="12.75" customHeight="1" x14ac:dyDescent="0.2"/>
    <row r="5361" ht="12.75" customHeight="1" x14ac:dyDescent="0.2"/>
    <row r="5362" ht="12.75" customHeight="1" x14ac:dyDescent="0.2"/>
    <row r="5363" ht="12.75" customHeight="1" x14ac:dyDescent="0.2"/>
    <row r="5364" ht="12.75" customHeight="1" x14ac:dyDescent="0.2"/>
    <row r="5365" ht="12.75" customHeight="1" x14ac:dyDescent="0.2"/>
    <row r="5366" ht="12.75" customHeight="1" x14ac:dyDescent="0.2"/>
    <row r="5367" ht="12.75" customHeight="1" x14ac:dyDescent="0.2"/>
    <row r="5368" ht="12.75" customHeight="1" x14ac:dyDescent="0.2"/>
    <row r="5369" ht="12.75" customHeight="1" x14ac:dyDescent="0.2"/>
    <row r="5370" ht="12.75" customHeight="1" x14ac:dyDescent="0.2"/>
    <row r="5371" ht="12.75" customHeight="1" x14ac:dyDescent="0.2"/>
    <row r="5372" ht="12.75" customHeight="1" x14ac:dyDescent="0.2"/>
    <row r="5373" ht="12.75" customHeight="1" x14ac:dyDescent="0.2"/>
    <row r="5374" ht="12.75" customHeight="1" x14ac:dyDescent="0.2"/>
    <row r="5375" ht="12.75" customHeight="1" x14ac:dyDescent="0.2"/>
    <row r="5376" ht="12.75" customHeight="1" x14ac:dyDescent="0.2"/>
    <row r="5377" ht="12.75" customHeight="1" x14ac:dyDescent="0.2"/>
    <row r="5378" ht="12.75" customHeight="1" x14ac:dyDescent="0.2"/>
    <row r="5379" ht="12.75" customHeight="1" x14ac:dyDescent="0.2"/>
    <row r="5380" ht="12.75" customHeight="1" x14ac:dyDescent="0.2"/>
    <row r="5381" ht="12.75" customHeight="1" x14ac:dyDescent="0.2"/>
    <row r="5382" ht="12.75" customHeight="1" x14ac:dyDescent="0.2"/>
    <row r="5383" ht="12.75" customHeight="1" x14ac:dyDescent="0.2"/>
    <row r="5384" ht="12.75" customHeight="1" x14ac:dyDescent="0.2"/>
    <row r="5385" ht="12.75" customHeight="1" x14ac:dyDescent="0.2"/>
    <row r="5386" ht="12.75" customHeight="1" x14ac:dyDescent="0.2"/>
    <row r="5387" ht="12.75" customHeight="1" x14ac:dyDescent="0.2"/>
    <row r="5388" ht="12.75" customHeight="1" x14ac:dyDescent="0.2"/>
    <row r="5389" ht="12.75" customHeight="1" x14ac:dyDescent="0.2"/>
    <row r="5390" ht="12.75" customHeight="1" x14ac:dyDescent="0.2"/>
    <row r="5391" ht="12.75" customHeight="1" x14ac:dyDescent="0.2"/>
    <row r="5392" ht="12.75" customHeight="1" x14ac:dyDescent="0.2"/>
    <row r="5393" ht="12.75" customHeight="1" x14ac:dyDescent="0.2"/>
    <row r="5394" ht="12.75" customHeight="1" x14ac:dyDescent="0.2"/>
    <row r="5395" ht="12.75" customHeight="1" x14ac:dyDescent="0.2"/>
    <row r="5396" ht="12.75" customHeight="1" x14ac:dyDescent="0.2"/>
    <row r="5397" ht="12.75" customHeight="1" x14ac:dyDescent="0.2"/>
    <row r="5398" ht="12.75" customHeight="1" x14ac:dyDescent="0.2"/>
    <row r="5399" ht="12.75" customHeight="1" x14ac:dyDescent="0.2"/>
    <row r="5400" ht="12.75" customHeight="1" x14ac:dyDescent="0.2"/>
    <row r="5401" ht="12.75" customHeight="1" x14ac:dyDescent="0.2"/>
    <row r="5402" ht="12.75" customHeight="1" x14ac:dyDescent="0.2"/>
    <row r="5403" ht="12.75" customHeight="1" x14ac:dyDescent="0.2"/>
    <row r="5404" ht="12.75" customHeight="1" x14ac:dyDescent="0.2"/>
    <row r="5405" ht="12.75" customHeight="1" x14ac:dyDescent="0.2"/>
    <row r="5406" ht="12.75" customHeight="1" x14ac:dyDescent="0.2"/>
    <row r="5407" ht="12.75" customHeight="1" x14ac:dyDescent="0.2"/>
    <row r="5408" ht="12.75" customHeight="1" x14ac:dyDescent="0.2"/>
    <row r="5409" ht="12.75" customHeight="1" x14ac:dyDescent="0.2"/>
    <row r="5410" ht="12.75" customHeight="1" x14ac:dyDescent="0.2"/>
    <row r="5411" ht="12.75" customHeight="1" x14ac:dyDescent="0.2"/>
    <row r="5412" ht="12.75" customHeight="1" x14ac:dyDescent="0.2"/>
    <row r="5413" ht="12.75" customHeight="1" x14ac:dyDescent="0.2"/>
    <row r="5414" ht="12.75" customHeight="1" x14ac:dyDescent="0.2"/>
    <row r="5415" ht="12.75" customHeight="1" x14ac:dyDescent="0.2"/>
    <row r="5416" ht="12.75" customHeight="1" x14ac:dyDescent="0.2"/>
    <row r="5417" ht="12.75" customHeight="1" x14ac:dyDescent="0.2"/>
    <row r="5418" ht="12.75" customHeight="1" x14ac:dyDescent="0.2"/>
    <row r="5419" ht="12.75" customHeight="1" x14ac:dyDescent="0.2"/>
    <row r="5420" ht="12.75" customHeight="1" x14ac:dyDescent="0.2"/>
    <row r="5421" ht="12.75" customHeight="1" x14ac:dyDescent="0.2"/>
    <row r="5422" ht="12.75" customHeight="1" x14ac:dyDescent="0.2"/>
    <row r="5423" ht="12.75" customHeight="1" x14ac:dyDescent="0.2"/>
    <row r="5424" ht="12.75" customHeight="1" x14ac:dyDescent="0.2"/>
    <row r="5425" ht="12.75" customHeight="1" x14ac:dyDescent="0.2"/>
    <row r="5426" ht="12.75" customHeight="1" x14ac:dyDescent="0.2"/>
    <row r="5427" ht="12.75" customHeight="1" x14ac:dyDescent="0.2"/>
    <row r="5428" ht="12.75" customHeight="1" x14ac:dyDescent="0.2"/>
    <row r="5429" ht="12.75" customHeight="1" x14ac:dyDescent="0.2"/>
    <row r="5430" ht="12.75" customHeight="1" x14ac:dyDescent="0.2"/>
    <row r="5431" ht="12.75" customHeight="1" x14ac:dyDescent="0.2"/>
    <row r="5432" ht="12.75" customHeight="1" x14ac:dyDescent="0.2"/>
    <row r="5433" ht="12.75" customHeight="1" x14ac:dyDescent="0.2"/>
    <row r="5434" ht="12.75" customHeight="1" x14ac:dyDescent="0.2"/>
    <row r="5435" ht="12.75" customHeight="1" x14ac:dyDescent="0.2"/>
    <row r="5436" ht="12.75" customHeight="1" x14ac:dyDescent="0.2"/>
    <row r="5437" ht="12.75" customHeight="1" x14ac:dyDescent="0.2"/>
    <row r="5438" ht="12.75" customHeight="1" x14ac:dyDescent="0.2"/>
    <row r="5439" ht="12.75" customHeight="1" x14ac:dyDescent="0.2"/>
    <row r="5440" ht="12.75" customHeight="1" x14ac:dyDescent="0.2"/>
    <row r="5441" ht="12.75" customHeight="1" x14ac:dyDescent="0.2"/>
    <row r="5442" ht="12.75" customHeight="1" x14ac:dyDescent="0.2"/>
    <row r="5443" ht="12.75" customHeight="1" x14ac:dyDescent="0.2"/>
    <row r="5444" ht="12.75" customHeight="1" x14ac:dyDescent="0.2"/>
    <row r="5445" ht="12.75" customHeight="1" x14ac:dyDescent="0.2"/>
    <row r="5446" ht="12.75" customHeight="1" x14ac:dyDescent="0.2"/>
    <row r="5447" ht="12.75" customHeight="1" x14ac:dyDescent="0.2"/>
    <row r="5448" ht="12.75" customHeight="1" x14ac:dyDescent="0.2"/>
    <row r="5449" ht="12.75" customHeight="1" x14ac:dyDescent="0.2"/>
    <row r="5450" ht="12.75" customHeight="1" x14ac:dyDescent="0.2"/>
    <row r="5451" ht="12.75" customHeight="1" x14ac:dyDescent="0.2"/>
    <row r="5452" ht="12.75" customHeight="1" x14ac:dyDescent="0.2"/>
    <row r="5453" ht="12.75" customHeight="1" x14ac:dyDescent="0.2"/>
    <row r="5454" ht="12.75" customHeight="1" x14ac:dyDescent="0.2"/>
    <row r="5455" ht="12.75" customHeight="1" x14ac:dyDescent="0.2"/>
    <row r="5456" ht="12.75" customHeight="1" x14ac:dyDescent="0.2"/>
    <row r="5457" ht="12.75" customHeight="1" x14ac:dyDescent="0.2"/>
    <row r="5458" ht="12.75" customHeight="1" x14ac:dyDescent="0.2"/>
    <row r="5459" ht="12.75" customHeight="1" x14ac:dyDescent="0.2"/>
    <row r="5460" ht="12.75" customHeight="1" x14ac:dyDescent="0.2"/>
    <row r="5461" ht="12.75" customHeight="1" x14ac:dyDescent="0.2"/>
    <row r="5462" ht="12.75" customHeight="1" x14ac:dyDescent="0.2"/>
    <row r="5463" ht="12.75" customHeight="1" x14ac:dyDescent="0.2"/>
    <row r="5464" ht="12.75" customHeight="1" x14ac:dyDescent="0.2"/>
    <row r="5465" ht="12.75" customHeight="1" x14ac:dyDescent="0.2"/>
    <row r="5466" ht="12.75" customHeight="1" x14ac:dyDescent="0.2"/>
    <row r="5467" ht="12.75" customHeight="1" x14ac:dyDescent="0.2"/>
    <row r="5468" ht="12.75" customHeight="1" x14ac:dyDescent="0.2"/>
    <row r="5469" ht="12.75" customHeight="1" x14ac:dyDescent="0.2"/>
    <row r="5470" ht="12.75" customHeight="1" x14ac:dyDescent="0.2"/>
    <row r="5471" ht="12.75" customHeight="1" x14ac:dyDescent="0.2"/>
    <row r="5472" ht="12.75" customHeight="1" x14ac:dyDescent="0.2"/>
    <row r="5473" ht="12.75" customHeight="1" x14ac:dyDescent="0.2"/>
    <row r="5474" ht="12.75" customHeight="1" x14ac:dyDescent="0.2"/>
    <row r="5475" ht="12.75" customHeight="1" x14ac:dyDescent="0.2"/>
    <row r="5476" ht="12.75" customHeight="1" x14ac:dyDescent="0.2"/>
    <row r="5477" ht="12.75" customHeight="1" x14ac:dyDescent="0.2"/>
    <row r="5478" ht="12.75" customHeight="1" x14ac:dyDescent="0.2"/>
    <row r="5479" ht="12.75" customHeight="1" x14ac:dyDescent="0.2"/>
    <row r="5480" ht="12.75" customHeight="1" x14ac:dyDescent="0.2"/>
    <row r="5481" ht="12.75" customHeight="1" x14ac:dyDescent="0.2"/>
    <row r="5482" ht="12.75" customHeight="1" x14ac:dyDescent="0.2"/>
    <row r="5483" ht="12.75" customHeight="1" x14ac:dyDescent="0.2"/>
    <row r="5484" ht="12.75" customHeight="1" x14ac:dyDescent="0.2"/>
    <row r="5485" ht="12.75" customHeight="1" x14ac:dyDescent="0.2"/>
    <row r="5486" ht="12.75" customHeight="1" x14ac:dyDescent="0.2"/>
    <row r="5487" ht="12.75" customHeight="1" x14ac:dyDescent="0.2"/>
    <row r="5488" ht="12.75" customHeight="1" x14ac:dyDescent="0.2"/>
    <row r="5489" ht="12.75" customHeight="1" x14ac:dyDescent="0.2"/>
    <row r="5490" ht="12.75" customHeight="1" x14ac:dyDescent="0.2"/>
    <row r="5491" ht="12.75" customHeight="1" x14ac:dyDescent="0.2"/>
    <row r="5492" ht="12.75" customHeight="1" x14ac:dyDescent="0.2"/>
    <row r="5493" ht="12.75" customHeight="1" x14ac:dyDescent="0.2"/>
    <row r="5494" ht="12.75" customHeight="1" x14ac:dyDescent="0.2"/>
    <row r="5495" ht="12.75" customHeight="1" x14ac:dyDescent="0.2"/>
    <row r="5496" ht="12.75" customHeight="1" x14ac:dyDescent="0.2"/>
    <row r="5497" ht="12.75" customHeight="1" x14ac:dyDescent="0.2"/>
    <row r="5498" ht="12.75" customHeight="1" x14ac:dyDescent="0.2"/>
    <row r="5499" ht="12.75" customHeight="1" x14ac:dyDescent="0.2"/>
    <row r="5500" ht="12.75" customHeight="1" x14ac:dyDescent="0.2"/>
    <row r="5501" ht="12.75" customHeight="1" x14ac:dyDescent="0.2"/>
    <row r="5502" ht="12.75" customHeight="1" x14ac:dyDescent="0.2"/>
    <row r="5503" ht="12.75" customHeight="1" x14ac:dyDescent="0.2"/>
    <row r="5504" ht="12.75" customHeight="1" x14ac:dyDescent="0.2"/>
    <row r="5505" ht="12.75" customHeight="1" x14ac:dyDescent="0.2"/>
    <row r="5506" ht="12.75" customHeight="1" x14ac:dyDescent="0.2"/>
    <row r="5507" ht="12.75" customHeight="1" x14ac:dyDescent="0.2"/>
    <row r="5508" ht="12.75" customHeight="1" x14ac:dyDescent="0.2"/>
    <row r="5509" ht="12.75" customHeight="1" x14ac:dyDescent="0.2"/>
    <row r="5510" ht="12.75" customHeight="1" x14ac:dyDescent="0.2"/>
    <row r="5511" ht="12.75" customHeight="1" x14ac:dyDescent="0.2"/>
    <row r="5512" ht="12.75" customHeight="1" x14ac:dyDescent="0.2"/>
    <row r="5513" ht="12.75" customHeight="1" x14ac:dyDescent="0.2"/>
    <row r="5514" ht="12.75" customHeight="1" x14ac:dyDescent="0.2"/>
    <row r="5515" ht="12.75" customHeight="1" x14ac:dyDescent="0.2"/>
    <row r="5516" ht="12.75" customHeight="1" x14ac:dyDescent="0.2"/>
    <row r="5517" ht="12.75" customHeight="1" x14ac:dyDescent="0.2"/>
    <row r="5518" ht="12.75" customHeight="1" x14ac:dyDescent="0.2"/>
    <row r="5519" ht="12.75" customHeight="1" x14ac:dyDescent="0.2"/>
    <row r="5520" ht="12.75" customHeight="1" x14ac:dyDescent="0.2"/>
    <row r="5521" ht="12.75" customHeight="1" x14ac:dyDescent="0.2"/>
    <row r="5522" ht="12.75" customHeight="1" x14ac:dyDescent="0.2"/>
    <row r="5523" ht="12.75" customHeight="1" x14ac:dyDescent="0.2"/>
    <row r="5524" ht="12.75" customHeight="1" x14ac:dyDescent="0.2"/>
    <row r="5525" ht="12.75" customHeight="1" x14ac:dyDescent="0.2"/>
    <row r="5526" ht="12.75" customHeight="1" x14ac:dyDescent="0.2"/>
    <row r="5527" ht="12.75" customHeight="1" x14ac:dyDescent="0.2"/>
    <row r="5528" ht="12.75" customHeight="1" x14ac:dyDescent="0.2"/>
    <row r="5529" ht="12.75" customHeight="1" x14ac:dyDescent="0.2"/>
    <row r="5530" ht="12.75" customHeight="1" x14ac:dyDescent="0.2"/>
    <row r="5531" ht="12.75" customHeight="1" x14ac:dyDescent="0.2"/>
    <row r="5532" ht="12.75" customHeight="1" x14ac:dyDescent="0.2"/>
    <row r="5533" ht="12.75" customHeight="1" x14ac:dyDescent="0.2"/>
    <row r="5534" ht="12.75" customHeight="1" x14ac:dyDescent="0.2"/>
    <row r="5535" ht="12.75" customHeight="1" x14ac:dyDescent="0.2"/>
    <row r="5536" ht="12.75" customHeight="1" x14ac:dyDescent="0.2"/>
    <row r="5537" ht="12.75" customHeight="1" x14ac:dyDescent="0.2"/>
    <row r="5538" ht="12.75" customHeight="1" x14ac:dyDescent="0.2"/>
    <row r="5539" ht="12.75" customHeight="1" x14ac:dyDescent="0.2"/>
    <row r="5540" ht="12.75" customHeight="1" x14ac:dyDescent="0.2"/>
    <row r="5541" ht="12.75" customHeight="1" x14ac:dyDescent="0.2"/>
    <row r="5542" ht="12.75" customHeight="1" x14ac:dyDescent="0.2"/>
    <row r="5543" ht="12.75" customHeight="1" x14ac:dyDescent="0.2"/>
    <row r="5544" ht="12.75" customHeight="1" x14ac:dyDescent="0.2"/>
    <row r="5545" ht="12.75" customHeight="1" x14ac:dyDescent="0.2"/>
    <row r="5546" ht="12.75" customHeight="1" x14ac:dyDescent="0.2"/>
    <row r="5547" ht="12.75" customHeight="1" x14ac:dyDescent="0.2"/>
    <row r="5548" ht="12.75" customHeight="1" x14ac:dyDescent="0.2"/>
    <row r="5549" ht="12.75" customHeight="1" x14ac:dyDescent="0.2"/>
    <row r="5550" ht="12.75" customHeight="1" x14ac:dyDescent="0.2"/>
    <row r="5551" ht="12.75" customHeight="1" x14ac:dyDescent="0.2"/>
    <row r="5552" ht="12.75" customHeight="1" x14ac:dyDescent="0.2"/>
    <row r="5553" ht="12.75" customHeight="1" x14ac:dyDescent="0.2"/>
    <row r="5554" ht="12.75" customHeight="1" x14ac:dyDescent="0.2"/>
    <row r="5555" ht="12.75" customHeight="1" x14ac:dyDescent="0.2"/>
    <row r="5556" ht="12.75" customHeight="1" x14ac:dyDescent="0.2"/>
    <row r="5557" ht="12.75" customHeight="1" x14ac:dyDescent="0.2"/>
    <row r="5558" ht="12.75" customHeight="1" x14ac:dyDescent="0.2"/>
    <row r="5559" ht="12.75" customHeight="1" x14ac:dyDescent="0.2"/>
    <row r="5560" ht="12.75" customHeight="1" x14ac:dyDescent="0.2"/>
    <row r="5561" ht="12.75" customHeight="1" x14ac:dyDescent="0.2"/>
    <row r="5562" ht="12.75" customHeight="1" x14ac:dyDescent="0.2"/>
    <row r="5563" ht="12.75" customHeight="1" x14ac:dyDescent="0.2"/>
    <row r="5564" ht="12.75" customHeight="1" x14ac:dyDescent="0.2"/>
    <row r="5565" ht="12.75" customHeight="1" x14ac:dyDescent="0.2"/>
    <row r="5566" ht="12.75" customHeight="1" x14ac:dyDescent="0.2"/>
    <row r="5567" ht="12.75" customHeight="1" x14ac:dyDescent="0.2"/>
    <row r="5568" ht="12.75" customHeight="1" x14ac:dyDescent="0.2"/>
    <row r="5569" ht="12.75" customHeight="1" x14ac:dyDescent="0.2"/>
    <row r="5570" ht="12.75" customHeight="1" x14ac:dyDescent="0.2"/>
    <row r="5571" ht="12.75" customHeight="1" x14ac:dyDescent="0.2"/>
    <row r="5572" ht="12.75" customHeight="1" x14ac:dyDescent="0.2"/>
    <row r="5573" ht="12.75" customHeight="1" x14ac:dyDescent="0.2"/>
    <row r="5574" ht="12.75" customHeight="1" x14ac:dyDescent="0.2"/>
    <row r="5575" ht="12.75" customHeight="1" x14ac:dyDescent="0.2"/>
    <row r="5576" ht="12.75" customHeight="1" x14ac:dyDescent="0.2"/>
    <row r="5577" ht="12.75" customHeight="1" x14ac:dyDescent="0.2"/>
    <row r="5578" ht="12.75" customHeight="1" x14ac:dyDescent="0.2"/>
    <row r="5579" ht="12.75" customHeight="1" x14ac:dyDescent="0.2"/>
    <row r="5580" ht="12.75" customHeight="1" x14ac:dyDescent="0.2"/>
    <row r="5581" ht="12.75" customHeight="1" x14ac:dyDescent="0.2"/>
    <row r="5582" ht="12.75" customHeight="1" x14ac:dyDescent="0.2"/>
    <row r="5583" ht="12.75" customHeight="1" x14ac:dyDescent="0.2"/>
    <row r="5584" ht="12.75" customHeight="1" x14ac:dyDescent="0.2"/>
    <row r="5585" ht="12.75" customHeight="1" x14ac:dyDescent="0.2"/>
    <row r="5586" ht="12.75" customHeight="1" x14ac:dyDescent="0.2"/>
    <row r="5587" ht="12.75" customHeight="1" x14ac:dyDescent="0.2"/>
    <row r="5588" ht="12.75" customHeight="1" x14ac:dyDescent="0.2"/>
    <row r="5589" ht="12.75" customHeight="1" x14ac:dyDescent="0.2"/>
    <row r="5590" ht="12.75" customHeight="1" x14ac:dyDescent="0.2"/>
    <row r="5591" ht="12.75" customHeight="1" x14ac:dyDescent="0.2"/>
    <row r="5592" ht="12.75" customHeight="1" x14ac:dyDescent="0.2"/>
    <row r="5593" ht="12.75" customHeight="1" x14ac:dyDescent="0.2"/>
    <row r="5594" ht="12.75" customHeight="1" x14ac:dyDescent="0.2"/>
    <row r="5595" ht="12.75" customHeight="1" x14ac:dyDescent="0.2"/>
    <row r="5596" ht="12.75" customHeight="1" x14ac:dyDescent="0.2"/>
    <row r="5597" ht="12.75" customHeight="1" x14ac:dyDescent="0.2"/>
    <row r="5598" ht="12.75" customHeight="1" x14ac:dyDescent="0.2"/>
    <row r="5599" ht="12.75" customHeight="1" x14ac:dyDescent="0.2"/>
    <row r="5600" ht="12.75" customHeight="1" x14ac:dyDescent="0.2"/>
    <row r="5601" ht="12.75" customHeight="1" x14ac:dyDescent="0.2"/>
    <row r="5602" ht="12.75" customHeight="1" x14ac:dyDescent="0.2"/>
    <row r="5603" ht="12.75" customHeight="1" x14ac:dyDescent="0.2"/>
    <row r="5604" ht="12.75" customHeight="1" x14ac:dyDescent="0.2"/>
    <row r="5605" ht="12.75" customHeight="1" x14ac:dyDescent="0.2"/>
    <row r="5606" ht="12.75" customHeight="1" x14ac:dyDescent="0.2"/>
    <row r="5607" ht="12.75" customHeight="1" x14ac:dyDescent="0.2"/>
    <row r="5608" ht="12.75" customHeight="1" x14ac:dyDescent="0.2"/>
    <row r="5609" ht="12.75" customHeight="1" x14ac:dyDescent="0.2"/>
    <row r="5610" ht="12.75" customHeight="1" x14ac:dyDescent="0.2"/>
    <row r="5611" ht="12.75" customHeight="1" x14ac:dyDescent="0.2"/>
    <row r="5612" ht="12.75" customHeight="1" x14ac:dyDescent="0.2"/>
    <row r="5613" ht="12.75" customHeight="1" x14ac:dyDescent="0.2"/>
    <row r="5614" ht="12.75" customHeight="1" x14ac:dyDescent="0.2"/>
    <row r="5615" ht="12.75" customHeight="1" x14ac:dyDescent="0.2"/>
    <row r="5616" ht="12.75" customHeight="1" x14ac:dyDescent="0.2"/>
    <row r="5617" ht="12.75" customHeight="1" x14ac:dyDescent="0.2"/>
    <row r="5618" ht="12.75" customHeight="1" x14ac:dyDescent="0.2"/>
    <row r="5619" ht="12.75" customHeight="1" x14ac:dyDescent="0.2"/>
    <row r="5620" ht="12.75" customHeight="1" x14ac:dyDescent="0.2"/>
    <row r="5621" ht="12.75" customHeight="1" x14ac:dyDescent="0.2"/>
    <row r="5622" ht="12.75" customHeight="1" x14ac:dyDescent="0.2"/>
    <row r="5623" ht="12.75" customHeight="1" x14ac:dyDescent="0.2"/>
    <row r="5624" ht="12.75" customHeight="1" x14ac:dyDescent="0.2"/>
    <row r="5625" ht="12.75" customHeight="1" x14ac:dyDescent="0.2"/>
    <row r="5626" ht="12.75" customHeight="1" x14ac:dyDescent="0.2"/>
    <row r="5627" ht="12.75" customHeight="1" x14ac:dyDescent="0.2"/>
    <row r="5628" ht="12.75" customHeight="1" x14ac:dyDescent="0.2"/>
    <row r="5629" ht="12.75" customHeight="1" x14ac:dyDescent="0.2"/>
    <row r="5630" ht="12.75" customHeight="1" x14ac:dyDescent="0.2"/>
    <row r="5631" ht="12.75" customHeight="1" x14ac:dyDescent="0.2"/>
    <row r="5632" ht="12.75" customHeight="1" x14ac:dyDescent="0.2"/>
    <row r="5633" ht="12.75" customHeight="1" x14ac:dyDescent="0.2"/>
    <row r="5634" ht="12.75" customHeight="1" x14ac:dyDescent="0.2"/>
    <row r="5635" ht="12.75" customHeight="1" x14ac:dyDescent="0.2"/>
    <row r="5636" ht="12.75" customHeight="1" x14ac:dyDescent="0.2"/>
    <row r="5637" ht="12.75" customHeight="1" x14ac:dyDescent="0.2"/>
    <row r="5638" ht="12.75" customHeight="1" x14ac:dyDescent="0.2"/>
    <row r="5639" ht="12.75" customHeight="1" x14ac:dyDescent="0.2"/>
    <row r="5640" ht="12.75" customHeight="1" x14ac:dyDescent="0.2"/>
    <row r="5641" ht="12.75" customHeight="1" x14ac:dyDescent="0.2"/>
    <row r="5642" ht="12.75" customHeight="1" x14ac:dyDescent="0.2"/>
    <row r="5643" ht="12.75" customHeight="1" x14ac:dyDescent="0.2"/>
    <row r="5644" ht="12.75" customHeight="1" x14ac:dyDescent="0.2"/>
    <row r="5645" ht="12.75" customHeight="1" x14ac:dyDescent="0.2"/>
    <row r="5646" ht="12.75" customHeight="1" x14ac:dyDescent="0.2"/>
    <row r="5647" ht="12.75" customHeight="1" x14ac:dyDescent="0.2"/>
    <row r="5648" ht="12.75" customHeight="1" x14ac:dyDescent="0.2"/>
    <row r="5649" ht="12.75" customHeight="1" x14ac:dyDescent="0.2"/>
    <row r="5650" ht="12.75" customHeight="1" x14ac:dyDescent="0.2"/>
    <row r="5651" ht="12.75" customHeight="1" x14ac:dyDescent="0.2"/>
    <row r="5652" ht="12.75" customHeight="1" x14ac:dyDescent="0.2"/>
    <row r="5653" ht="12.75" customHeight="1" x14ac:dyDescent="0.2"/>
    <row r="5654" ht="12.75" customHeight="1" x14ac:dyDescent="0.2"/>
    <row r="5655" ht="12.75" customHeight="1" x14ac:dyDescent="0.2"/>
    <row r="5656" ht="12.75" customHeight="1" x14ac:dyDescent="0.2"/>
    <row r="5657" ht="12.75" customHeight="1" x14ac:dyDescent="0.2"/>
    <row r="5658" ht="12.75" customHeight="1" x14ac:dyDescent="0.2"/>
    <row r="5659" ht="12.75" customHeight="1" x14ac:dyDescent="0.2"/>
    <row r="5660" ht="12.75" customHeight="1" x14ac:dyDescent="0.2"/>
    <row r="5661" ht="12.75" customHeight="1" x14ac:dyDescent="0.2"/>
    <row r="5662" ht="12.75" customHeight="1" x14ac:dyDescent="0.2"/>
    <row r="5663" ht="12.75" customHeight="1" x14ac:dyDescent="0.2"/>
    <row r="5664" ht="12.75" customHeight="1" x14ac:dyDescent="0.2"/>
    <row r="5665" ht="12.75" customHeight="1" x14ac:dyDescent="0.2"/>
    <row r="5666" ht="12.75" customHeight="1" x14ac:dyDescent="0.2"/>
    <row r="5667" ht="12.75" customHeight="1" x14ac:dyDescent="0.2"/>
    <row r="5668" ht="12.75" customHeight="1" x14ac:dyDescent="0.2"/>
    <row r="5669" ht="12.75" customHeight="1" x14ac:dyDescent="0.2"/>
    <row r="5670" ht="12.75" customHeight="1" x14ac:dyDescent="0.2"/>
    <row r="5671" ht="12.75" customHeight="1" x14ac:dyDescent="0.2"/>
    <row r="5672" ht="12.75" customHeight="1" x14ac:dyDescent="0.2"/>
    <row r="5673" ht="12.75" customHeight="1" x14ac:dyDescent="0.2"/>
    <row r="5674" ht="12.75" customHeight="1" x14ac:dyDescent="0.2"/>
    <row r="5675" ht="12.75" customHeight="1" x14ac:dyDescent="0.2"/>
    <row r="5676" ht="12.75" customHeight="1" x14ac:dyDescent="0.2"/>
    <row r="5677" ht="12.75" customHeight="1" x14ac:dyDescent="0.2"/>
    <row r="5678" ht="12.75" customHeight="1" x14ac:dyDescent="0.2"/>
    <row r="5679" ht="12.75" customHeight="1" x14ac:dyDescent="0.2"/>
    <row r="5680" ht="12.75" customHeight="1" x14ac:dyDescent="0.2"/>
    <row r="5681" ht="12.75" customHeight="1" x14ac:dyDescent="0.2"/>
    <row r="5682" ht="12.75" customHeight="1" x14ac:dyDescent="0.2"/>
    <row r="5683" ht="12.75" customHeight="1" x14ac:dyDescent="0.2"/>
    <row r="5684" ht="12.75" customHeight="1" x14ac:dyDescent="0.2"/>
    <row r="5685" ht="12.75" customHeight="1" x14ac:dyDescent="0.2"/>
    <row r="5686" ht="12.75" customHeight="1" x14ac:dyDescent="0.2"/>
    <row r="5687" ht="12.75" customHeight="1" x14ac:dyDescent="0.2"/>
    <row r="5688" ht="12.75" customHeight="1" x14ac:dyDescent="0.2"/>
    <row r="5689" ht="12.75" customHeight="1" x14ac:dyDescent="0.2"/>
    <row r="5690" ht="12.75" customHeight="1" x14ac:dyDescent="0.2"/>
    <row r="5691" ht="12.75" customHeight="1" x14ac:dyDescent="0.2"/>
    <row r="5692" ht="12.75" customHeight="1" x14ac:dyDescent="0.2"/>
    <row r="5693" ht="12.75" customHeight="1" x14ac:dyDescent="0.2"/>
    <row r="5694" ht="12.75" customHeight="1" x14ac:dyDescent="0.2"/>
    <row r="5695" ht="12.75" customHeight="1" x14ac:dyDescent="0.2"/>
    <row r="5696" ht="12.75" customHeight="1" x14ac:dyDescent="0.2"/>
    <row r="5697" ht="12.75" customHeight="1" x14ac:dyDescent="0.2"/>
    <row r="5698" ht="12.75" customHeight="1" x14ac:dyDescent="0.2"/>
    <row r="5699" ht="12.75" customHeight="1" x14ac:dyDescent="0.2"/>
    <row r="5700" ht="12.75" customHeight="1" x14ac:dyDescent="0.2"/>
    <row r="5701" ht="12.75" customHeight="1" x14ac:dyDescent="0.2"/>
    <row r="5702" ht="12.75" customHeight="1" x14ac:dyDescent="0.2"/>
    <row r="5703" ht="12.75" customHeight="1" x14ac:dyDescent="0.2"/>
    <row r="5704" ht="12.75" customHeight="1" x14ac:dyDescent="0.2"/>
    <row r="5705" ht="12.75" customHeight="1" x14ac:dyDescent="0.2"/>
    <row r="5706" ht="12.75" customHeight="1" x14ac:dyDescent="0.2"/>
    <row r="5707" ht="12.75" customHeight="1" x14ac:dyDescent="0.2"/>
    <row r="5708" ht="12.75" customHeight="1" x14ac:dyDescent="0.2"/>
    <row r="5709" ht="12.75" customHeight="1" x14ac:dyDescent="0.2"/>
    <row r="5710" ht="12.75" customHeight="1" x14ac:dyDescent="0.2"/>
    <row r="5711" ht="12.75" customHeight="1" x14ac:dyDescent="0.2"/>
    <row r="5712" ht="12.75" customHeight="1" x14ac:dyDescent="0.2"/>
    <row r="5713" ht="12.75" customHeight="1" x14ac:dyDescent="0.2"/>
    <row r="5714" ht="12.75" customHeight="1" x14ac:dyDescent="0.2"/>
    <row r="5715" ht="12.75" customHeight="1" x14ac:dyDescent="0.2"/>
    <row r="5716" ht="12.75" customHeight="1" x14ac:dyDescent="0.2"/>
    <row r="5717" ht="12.75" customHeight="1" x14ac:dyDescent="0.2"/>
    <row r="5718" ht="12.75" customHeight="1" x14ac:dyDescent="0.2"/>
    <row r="5719" ht="12.75" customHeight="1" x14ac:dyDescent="0.2"/>
    <row r="5720" ht="12.75" customHeight="1" x14ac:dyDescent="0.2"/>
    <row r="5721" ht="12.75" customHeight="1" x14ac:dyDescent="0.2"/>
    <row r="5722" ht="12.75" customHeight="1" x14ac:dyDescent="0.2"/>
    <row r="5723" ht="12.75" customHeight="1" x14ac:dyDescent="0.2"/>
    <row r="5724" ht="12.75" customHeight="1" x14ac:dyDescent="0.2"/>
    <row r="5725" ht="12.75" customHeight="1" x14ac:dyDescent="0.2"/>
    <row r="5726" ht="12.75" customHeight="1" x14ac:dyDescent="0.2"/>
    <row r="5727" ht="12.75" customHeight="1" x14ac:dyDescent="0.2"/>
    <row r="5728" ht="12.75" customHeight="1" x14ac:dyDescent="0.2"/>
    <row r="5729" ht="12.75" customHeight="1" x14ac:dyDescent="0.2"/>
    <row r="5730" ht="12.75" customHeight="1" x14ac:dyDescent="0.2"/>
    <row r="5731" ht="12.75" customHeight="1" x14ac:dyDescent="0.2"/>
    <row r="5732" ht="12.75" customHeight="1" x14ac:dyDescent="0.2"/>
    <row r="5733" ht="12.75" customHeight="1" x14ac:dyDescent="0.2"/>
    <row r="5734" ht="12.75" customHeight="1" x14ac:dyDescent="0.2"/>
    <row r="5735" ht="12.75" customHeight="1" x14ac:dyDescent="0.2"/>
    <row r="5736" ht="12.75" customHeight="1" x14ac:dyDescent="0.2"/>
    <row r="5737" ht="12.75" customHeight="1" x14ac:dyDescent="0.2"/>
    <row r="5738" ht="12.75" customHeight="1" x14ac:dyDescent="0.2"/>
    <row r="5739" ht="12.75" customHeight="1" x14ac:dyDescent="0.2"/>
    <row r="5740" ht="12.75" customHeight="1" x14ac:dyDescent="0.2"/>
    <row r="5741" ht="12.75" customHeight="1" x14ac:dyDescent="0.2"/>
    <row r="5742" ht="12.75" customHeight="1" x14ac:dyDescent="0.2"/>
    <row r="5743" ht="12.75" customHeight="1" x14ac:dyDescent="0.2"/>
    <row r="5744" ht="12.75" customHeight="1" x14ac:dyDescent="0.2"/>
    <row r="5745" ht="12.75" customHeight="1" x14ac:dyDescent="0.2"/>
    <row r="5746" ht="12.75" customHeight="1" x14ac:dyDescent="0.2"/>
    <row r="5747" ht="12.75" customHeight="1" x14ac:dyDescent="0.2"/>
    <row r="5748" ht="12.75" customHeight="1" x14ac:dyDescent="0.2"/>
    <row r="5749" ht="12.75" customHeight="1" x14ac:dyDescent="0.2"/>
    <row r="5750" ht="12.75" customHeight="1" x14ac:dyDescent="0.2"/>
    <row r="5751" ht="12.75" customHeight="1" x14ac:dyDescent="0.2"/>
    <row r="5752" ht="12.75" customHeight="1" x14ac:dyDescent="0.2"/>
    <row r="5753" ht="12.75" customHeight="1" x14ac:dyDescent="0.2"/>
    <row r="5754" ht="12.75" customHeight="1" x14ac:dyDescent="0.2"/>
    <row r="5755" ht="12.75" customHeight="1" x14ac:dyDescent="0.2"/>
    <row r="5756" ht="12.75" customHeight="1" x14ac:dyDescent="0.2"/>
    <row r="5757" ht="12.75" customHeight="1" x14ac:dyDescent="0.2"/>
    <row r="5758" ht="12.75" customHeight="1" x14ac:dyDescent="0.2"/>
    <row r="5759" ht="12.75" customHeight="1" x14ac:dyDescent="0.2"/>
    <row r="5760" ht="12.75" customHeight="1" x14ac:dyDescent="0.2"/>
    <row r="5761" ht="12.75" customHeight="1" x14ac:dyDescent="0.2"/>
    <row r="5762" ht="12.75" customHeight="1" x14ac:dyDescent="0.2"/>
    <row r="5763" ht="12.75" customHeight="1" x14ac:dyDescent="0.2"/>
    <row r="5764" ht="12.75" customHeight="1" x14ac:dyDescent="0.2"/>
    <row r="5765" ht="12.75" customHeight="1" x14ac:dyDescent="0.2"/>
    <row r="5766" ht="12.75" customHeight="1" x14ac:dyDescent="0.2"/>
    <row r="5767" ht="12.75" customHeight="1" x14ac:dyDescent="0.2"/>
    <row r="5768" ht="12.75" customHeight="1" x14ac:dyDescent="0.2"/>
    <row r="5769" ht="12.75" customHeight="1" x14ac:dyDescent="0.2"/>
    <row r="5770" ht="12.75" customHeight="1" x14ac:dyDescent="0.2"/>
    <row r="5771" ht="12.75" customHeight="1" x14ac:dyDescent="0.2"/>
    <row r="5772" ht="12.75" customHeight="1" x14ac:dyDescent="0.2"/>
    <row r="5773" ht="12.75" customHeight="1" x14ac:dyDescent="0.2"/>
    <row r="5774" ht="12.75" customHeight="1" x14ac:dyDescent="0.2"/>
    <row r="5775" ht="12.75" customHeight="1" x14ac:dyDescent="0.2"/>
    <row r="5776" ht="12.75" customHeight="1" x14ac:dyDescent="0.2"/>
    <row r="5777" ht="12.75" customHeight="1" x14ac:dyDescent="0.2"/>
    <row r="5778" ht="12.75" customHeight="1" x14ac:dyDescent="0.2"/>
    <row r="5779" ht="12.75" customHeight="1" x14ac:dyDescent="0.2"/>
    <row r="5780" ht="12.75" customHeight="1" x14ac:dyDescent="0.2"/>
    <row r="5781" ht="12.75" customHeight="1" x14ac:dyDescent="0.2"/>
    <row r="5782" ht="12.75" customHeight="1" x14ac:dyDescent="0.2"/>
    <row r="5783" ht="12.75" customHeight="1" x14ac:dyDescent="0.2"/>
    <row r="5784" ht="12.75" customHeight="1" x14ac:dyDescent="0.2"/>
    <row r="5785" ht="12.75" customHeight="1" x14ac:dyDescent="0.2"/>
    <row r="5786" ht="12.75" customHeight="1" x14ac:dyDescent="0.2"/>
    <row r="5787" ht="12.75" customHeight="1" x14ac:dyDescent="0.2"/>
    <row r="5788" ht="12.75" customHeight="1" x14ac:dyDescent="0.2"/>
    <row r="5789" ht="12.75" customHeight="1" x14ac:dyDescent="0.2"/>
    <row r="5790" ht="12.75" customHeight="1" x14ac:dyDescent="0.2"/>
    <row r="5791" ht="12.75" customHeight="1" x14ac:dyDescent="0.2"/>
    <row r="5792" ht="12.75" customHeight="1" x14ac:dyDescent="0.2"/>
    <row r="5793" ht="12.75" customHeight="1" x14ac:dyDescent="0.2"/>
    <row r="5794" ht="12.75" customHeight="1" x14ac:dyDescent="0.2"/>
    <row r="5795" ht="12.75" customHeight="1" x14ac:dyDescent="0.2"/>
    <row r="5796" ht="12.75" customHeight="1" x14ac:dyDescent="0.2"/>
    <row r="5797" ht="12.75" customHeight="1" x14ac:dyDescent="0.2"/>
    <row r="5798" ht="12.75" customHeight="1" x14ac:dyDescent="0.2"/>
    <row r="5799" ht="12.75" customHeight="1" x14ac:dyDescent="0.2"/>
    <row r="5800" ht="12.75" customHeight="1" x14ac:dyDescent="0.2"/>
    <row r="5801" ht="12.75" customHeight="1" x14ac:dyDescent="0.2"/>
    <row r="5802" ht="12.75" customHeight="1" x14ac:dyDescent="0.2"/>
    <row r="5803" ht="12.75" customHeight="1" x14ac:dyDescent="0.2"/>
    <row r="5804" ht="12.75" customHeight="1" x14ac:dyDescent="0.2"/>
    <row r="5805" ht="12.75" customHeight="1" x14ac:dyDescent="0.2"/>
    <row r="5806" ht="12.75" customHeight="1" x14ac:dyDescent="0.2"/>
    <row r="5807" ht="12.75" customHeight="1" x14ac:dyDescent="0.2"/>
    <row r="5808" ht="12.75" customHeight="1" x14ac:dyDescent="0.2"/>
    <row r="5809" ht="12.75" customHeight="1" x14ac:dyDescent="0.2"/>
    <row r="5810" ht="12.75" customHeight="1" x14ac:dyDescent="0.2"/>
    <row r="5811" ht="12.75" customHeight="1" x14ac:dyDescent="0.2"/>
    <row r="5812" ht="12.75" customHeight="1" x14ac:dyDescent="0.2"/>
    <row r="5813" ht="12.75" customHeight="1" x14ac:dyDescent="0.2"/>
    <row r="5814" ht="12.75" customHeight="1" x14ac:dyDescent="0.2"/>
    <row r="5815" ht="12.75" customHeight="1" x14ac:dyDescent="0.2"/>
    <row r="5816" ht="12.75" customHeight="1" x14ac:dyDescent="0.2"/>
    <row r="5817" ht="12.75" customHeight="1" x14ac:dyDescent="0.2"/>
    <row r="5818" ht="12.75" customHeight="1" x14ac:dyDescent="0.2"/>
    <row r="5819" ht="12.75" customHeight="1" x14ac:dyDescent="0.2"/>
    <row r="5820" ht="12.75" customHeight="1" x14ac:dyDescent="0.2"/>
    <row r="5821" ht="12.75" customHeight="1" x14ac:dyDescent="0.2"/>
    <row r="5822" ht="12.75" customHeight="1" x14ac:dyDescent="0.2"/>
    <row r="5823" ht="12.75" customHeight="1" x14ac:dyDescent="0.2"/>
    <row r="5824" ht="12.75" customHeight="1" x14ac:dyDescent="0.2"/>
    <row r="5825" ht="12.75" customHeight="1" x14ac:dyDescent="0.2"/>
    <row r="5826" ht="12.75" customHeight="1" x14ac:dyDescent="0.2"/>
    <row r="5827" ht="12.75" customHeight="1" x14ac:dyDescent="0.2"/>
    <row r="5828" ht="12.75" customHeight="1" x14ac:dyDescent="0.2"/>
    <row r="5829" ht="12.75" customHeight="1" x14ac:dyDescent="0.2"/>
    <row r="5830" ht="12.75" customHeight="1" x14ac:dyDescent="0.2"/>
    <row r="5831" ht="12.75" customHeight="1" x14ac:dyDescent="0.2"/>
    <row r="5832" ht="12.75" customHeight="1" x14ac:dyDescent="0.2"/>
    <row r="5833" ht="12.75" customHeight="1" x14ac:dyDescent="0.2"/>
    <row r="5834" ht="12.75" customHeight="1" x14ac:dyDescent="0.2"/>
    <row r="5835" ht="12.75" customHeight="1" x14ac:dyDescent="0.2"/>
    <row r="5836" ht="12.75" customHeight="1" x14ac:dyDescent="0.2"/>
    <row r="5837" ht="12.75" customHeight="1" x14ac:dyDescent="0.2"/>
    <row r="5838" ht="12.75" customHeight="1" x14ac:dyDescent="0.2"/>
    <row r="5839" ht="12.75" customHeight="1" x14ac:dyDescent="0.2"/>
    <row r="5840" ht="12.75" customHeight="1" x14ac:dyDescent="0.2"/>
    <row r="5841" ht="12.75" customHeight="1" x14ac:dyDescent="0.2"/>
    <row r="5842" ht="12.75" customHeight="1" x14ac:dyDescent="0.2"/>
    <row r="5843" ht="12.75" customHeight="1" x14ac:dyDescent="0.2"/>
    <row r="5844" ht="12.75" customHeight="1" x14ac:dyDescent="0.2"/>
    <row r="5845" ht="12.75" customHeight="1" x14ac:dyDescent="0.2"/>
    <row r="5846" ht="12.75" customHeight="1" x14ac:dyDescent="0.2"/>
    <row r="5847" ht="12.75" customHeight="1" x14ac:dyDescent="0.2"/>
    <row r="5848" ht="12.75" customHeight="1" x14ac:dyDescent="0.2"/>
    <row r="5849" ht="12.75" customHeight="1" x14ac:dyDescent="0.2"/>
    <row r="5850" ht="12.75" customHeight="1" x14ac:dyDescent="0.2"/>
    <row r="5851" ht="12.75" customHeight="1" x14ac:dyDescent="0.2"/>
    <row r="5852" ht="12.75" customHeight="1" x14ac:dyDescent="0.2"/>
    <row r="5853" ht="12.75" customHeight="1" x14ac:dyDescent="0.2"/>
    <row r="5854" ht="12.75" customHeight="1" x14ac:dyDescent="0.2"/>
    <row r="5855" ht="12.75" customHeight="1" x14ac:dyDescent="0.2"/>
    <row r="5856" ht="12.75" customHeight="1" x14ac:dyDescent="0.2"/>
    <row r="5857" ht="12.75" customHeight="1" x14ac:dyDescent="0.2"/>
    <row r="5858" ht="12.75" customHeight="1" x14ac:dyDescent="0.2"/>
    <row r="5859" ht="12.75" customHeight="1" x14ac:dyDescent="0.2"/>
    <row r="5860" ht="12.75" customHeight="1" x14ac:dyDescent="0.2"/>
    <row r="5861" ht="12.75" customHeight="1" x14ac:dyDescent="0.2"/>
    <row r="5862" ht="12.75" customHeight="1" x14ac:dyDescent="0.2"/>
    <row r="5863" ht="12.75" customHeight="1" x14ac:dyDescent="0.2"/>
    <row r="5864" ht="12.75" customHeight="1" x14ac:dyDescent="0.2"/>
    <row r="5865" ht="12.75" customHeight="1" x14ac:dyDescent="0.2"/>
    <row r="5866" ht="12.75" customHeight="1" x14ac:dyDescent="0.2"/>
    <row r="5867" ht="12.75" customHeight="1" x14ac:dyDescent="0.2"/>
    <row r="5868" ht="12.75" customHeight="1" x14ac:dyDescent="0.2"/>
    <row r="5869" ht="12.75" customHeight="1" x14ac:dyDescent="0.2"/>
    <row r="5870" ht="12.75" customHeight="1" x14ac:dyDescent="0.2"/>
    <row r="5871" ht="12.75" customHeight="1" x14ac:dyDescent="0.2"/>
    <row r="5872" ht="12.75" customHeight="1" x14ac:dyDescent="0.2"/>
    <row r="5873" ht="12.75" customHeight="1" x14ac:dyDescent="0.2"/>
    <row r="5874" ht="12.75" customHeight="1" x14ac:dyDescent="0.2"/>
    <row r="5875" ht="12.75" customHeight="1" x14ac:dyDescent="0.2"/>
    <row r="5876" ht="12.75" customHeight="1" x14ac:dyDescent="0.2"/>
    <row r="5877" ht="12.75" customHeight="1" x14ac:dyDescent="0.2"/>
    <row r="5878" ht="12.75" customHeight="1" x14ac:dyDescent="0.2"/>
    <row r="5879" ht="12.75" customHeight="1" x14ac:dyDescent="0.2"/>
    <row r="5880" ht="12.75" customHeight="1" x14ac:dyDescent="0.2"/>
    <row r="5881" ht="12.75" customHeight="1" x14ac:dyDescent="0.2"/>
    <row r="5882" ht="12.75" customHeight="1" x14ac:dyDescent="0.2"/>
    <row r="5883" ht="12.75" customHeight="1" x14ac:dyDescent="0.2"/>
    <row r="5884" ht="12.75" customHeight="1" x14ac:dyDescent="0.2"/>
    <row r="5885" ht="12.75" customHeight="1" x14ac:dyDescent="0.2"/>
    <row r="5886" ht="12.75" customHeight="1" x14ac:dyDescent="0.2"/>
    <row r="5887" ht="12.75" customHeight="1" x14ac:dyDescent="0.2"/>
    <row r="5888" ht="12.75" customHeight="1" x14ac:dyDescent="0.2"/>
    <row r="5889" ht="12.75" customHeight="1" x14ac:dyDescent="0.2"/>
    <row r="5890" ht="12.75" customHeight="1" x14ac:dyDescent="0.2"/>
    <row r="5891" ht="12.75" customHeight="1" x14ac:dyDescent="0.2"/>
    <row r="5892" ht="12.75" customHeight="1" x14ac:dyDescent="0.2"/>
    <row r="5893" ht="12.75" customHeight="1" x14ac:dyDescent="0.2"/>
    <row r="5894" ht="12.75" customHeight="1" x14ac:dyDescent="0.2"/>
    <row r="5895" ht="12.75" customHeight="1" x14ac:dyDescent="0.2"/>
    <row r="5896" ht="12.75" customHeight="1" x14ac:dyDescent="0.2"/>
    <row r="5897" ht="12.75" customHeight="1" x14ac:dyDescent="0.2"/>
    <row r="5898" ht="12.75" customHeight="1" x14ac:dyDescent="0.2"/>
    <row r="5899" ht="12.75" customHeight="1" x14ac:dyDescent="0.2"/>
    <row r="5900" ht="12.75" customHeight="1" x14ac:dyDescent="0.2"/>
    <row r="5901" ht="12.75" customHeight="1" x14ac:dyDescent="0.2"/>
    <row r="5902" ht="12.75" customHeight="1" x14ac:dyDescent="0.2"/>
    <row r="5903" ht="12.75" customHeight="1" x14ac:dyDescent="0.2"/>
    <row r="5904" ht="12.75" customHeight="1" x14ac:dyDescent="0.2"/>
    <row r="5905" ht="12.75" customHeight="1" x14ac:dyDescent="0.2"/>
    <row r="5906" ht="12.75" customHeight="1" x14ac:dyDescent="0.2"/>
    <row r="5907" ht="12.75" customHeight="1" x14ac:dyDescent="0.2"/>
    <row r="5908" ht="12.75" customHeight="1" x14ac:dyDescent="0.2"/>
    <row r="5909" ht="12.75" customHeight="1" x14ac:dyDescent="0.2"/>
    <row r="5910" ht="12.75" customHeight="1" x14ac:dyDescent="0.2"/>
    <row r="5911" ht="12.75" customHeight="1" x14ac:dyDescent="0.2"/>
    <row r="5912" ht="12.75" customHeight="1" x14ac:dyDescent="0.2"/>
    <row r="5913" ht="12.75" customHeight="1" x14ac:dyDescent="0.2"/>
    <row r="5914" ht="12.75" customHeight="1" x14ac:dyDescent="0.2"/>
    <row r="5915" ht="12.75" customHeight="1" x14ac:dyDescent="0.2"/>
    <row r="5916" ht="12.75" customHeight="1" x14ac:dyDescent="0.2"/>
    <row r="5917" ht="12.75" customHeight="1" x14ac:dyDescent="0.2"/>
    <row r="5918" ht="12.75" customHeight="1" x14ac:dyDescent="0.2"/>
    <row r="5919" ht="12.75" customHeight="1" x14ac:dyDescent="0.2"/>
    <row r="5920" ht="12.75" customHeight="1" x14ac:dyDescent="0.2"/>
    <row r="5921" ht="12.75" customHeight="1" x14ac:dyDescent="0.2"/>
    <row r="5922" ht="12.75" customHeight="1" x14ac:dyDescent="0.2"/>
    <row r="5923" ht="12.75" customHeight="1" x14ac:dyDescent="0.2"/>
    <row r="5924" ht="12.75" customHeight="1" x14ac:dyDescent="0.2"/>
    <row r="5925" ht="12.75" customHeight="1" x14ac:dyDescent="0.2"/>
    <row r="5926" ht="12.75" customHeight="1" x14ac:dyDescent="0.2"/>
    <row r="5927" ht="12.75" customHeight="1" x14ac:dyDescent="0.2"/>
    <row r="5928" ht="12.75" customHeight="1" x14ac:dyDescent="0.2"/>
    <row r="5929" ht="12.75" customHeight="1" x14ac:dyDescent="0.2"/>
    <row r="5930" ht="12.75" customHeight="1" x14ac:dyDescent="0.2"/>
    <row r="5931" ht="12.75" customHeight="1" x14ac:dyDescent="0.2"/>
    <row r="5932" ht="12.75" customHeight="1" x14ac:dyDescent="0.2"/>
    <row r="5933" ht="12.75" customHeight="1" x14ac:dyDescent="0.2"/>
    <row r="5934" ht="12.75" customHeight="1" x14ac:dyDescent="0.2"/>
    <row r="5935" ht="12.75" customHeight="1" x14ac:dyDescent="0.2"/>
    <row r="5936" ht="12.75" customHeight="1" x14ac:dyDescent="0.2"/>
    <row r="5937" ht="12.75" customHeight="1" x14ac:dyDescent="0.2"/>
    <row r="5938" ht="12.75" customHeight="1" x14ac:dyDescent="0.2"/>
    <row r="5939" ht="12.75" customHeight="1" x14ac:dyDescent="0.2"/>
    <row r="5940" ht="12.75" customHeight="1" x14ac:dyDescent="0.2"/>
    <row r="5941" ht="12.75" customHeight="1" x14ac:dyDescent="0.2"/>
    <row r="5942" ht="12.75" customHeight="1" x14ac:dyDescent="0.2"/>
    <row r="5943" ht="12.75" customHeight="1" x14ac:dyDescent="0.2"/>
    <row r="5944" ht="12.75" customHeight="1" x14ac:dyDescent="0.2"/>
    <row r="5945" ht="12.75" customHeight="1" x14ac:dyDescent="0.2"/>
    <row r="5946" ht="12.75" customHeight="1" x14ac:dyDescent="0.2"/>
    <row r="5947" ht="12.75" customHeight="1" x14ac:dyDescent="0.2"/>
    <row r="5948" ht="12.75" customHeight="1" x14ac:dyDescent="0.2"/>
    <row r="5949" ht="12.75" customHeight="1" x14ac:dyDescent="0.2"/>
    <row r="5950" ht="12.75" customHeight="1" x14ac:dyDescent="0.2"/>
    <row r="5951" ht="12.75" customHeight="1" x14ac:dyDescent="0.2"/>
    <row r="5952" ht="12.75" customHeight="1" x14ac:dyDescent="0.2"/>
    <row r="5953" ht="12.75" customHeight="1" x14ac:dyDescent="0.2"/>
    <row r="5954" ht="12.75" customHeight="1" x14ac:dyDescent="0.2"/>
    <row r="5955" ht="12.75" customHeight="1" x14ac:dyDescent="0.2"/>
    <row r="5956" ht="12.75" customHeight="1" x14ac:dyDescent="0.2"/>
    <row r="5957" ht="12.75" customHeight="1" x14ac:dyDescent="0.2"/>
    <row r="5958" ht="12.75" customHeight="1" x14ac:dyDescent="0.2"/>
    <row r="5959" ht="12.75" customHeight="1" x14ac:dyDescent="0.2"/>
    <row r="5960" ht="12.75" customHeight="1" x14ac:dyDescent="0.2"/>
    <row r="5961" ht="12.75" customHeight="1" x14ac:dyDescent="0.2"/>
    <row r="5962" ht="12.75" customHeight="1" x14ac:dyDescent="0.2"/>
    <row r="5963" ht="12.75" customHeight="1" x14ac:dyDescent="0.2"/>
    <row r="5964" ht="12.75" customHeight="1" x14ac:dyDescent="0.2"/>
    <row r="5965" ht="12.75" customHeight="1" x14ac:dyDescent="0.2"/>
    <row r="5966" ht="12.75" customHeight="1" x14ac:dyDescent="0.2"/>
    <row r="5967" ht="12.75" customHeight="1" x14ac:dyDescent="0.2"/>
    <row r="5968" ht="12.75" customHeight="1" x14ac:dyDescent="0.2"/>
    <row r="5969" ht="12.75" customHeight="1" x14ac:dyDescent="0.2"/>
    <row r="5970" ht="12.75" customHeight="1" x14ac:dyDescent="0.2"/>
    <row r="5971" ht="12.75" customHeight="1" x14ac:dyDescent="0.2"/>
    <row r="5972" ht="12.75" customHeight="1" x14ac:dyDescent="0.2"/>
    <row r="5973" ht="12.75" customHeight="1" x14ac:dyDescent="0.2"/>
    <row r="5974" ht="12.75" customHeight="1" x14ac:dyDescent="0.2"/>
    <row r="5975" ht="12.75" customHeight="1" x14ac:dyDescent="0.2"/>
    <row r="5976" ht="12.75" customHeight="1" x14ac:dyDescent="0.2"/>
    <row r="5977" ht="12.75" customHeight="1" x14ac:dyDescent="0.2"/>
    <row r="5978" ht="12.75" customHeight="1" x14ac:dyDescent="0.2"/>
    <row r="5979" ht="12.75" customHeight="1" x14ac:dyDescent="0.2"/>
    <row r="5980" ht="12.75" customHeight="1" x14ac:dyDescent="0.2"/>
    <row r="5981" ht="12.75" customHeight="1" x14ac:dyDescent="0.2"/>
    <row r="5982" ht="12.75" customHeight="1" x14ac:dyDescent="0.2"/>
    <row r="5983" ht="12.75" customHeight="1" x14ac:dyDescent="0.2"/>
    <row r="5984" ht="12.75" customHeight="1" x14ac:dyDescent="0.2"/>
    <row r="5985" ht="12.75" customHeight="1" x14ac:dyDescent="0.2"/>
    <row r="5986" ht="12.75" customHeight="1" x14ac:dyDescent="0.2"/>
    <row r="5987" ht="12.75" customHeight="1" x14ac:dyDescent="0.2"/>
    <row r="5988" ht="12.75" customHeight="1" x14ac:dyDescent="0.2"/>
    <row r="5989" ht="12.75" customHeight="1" x14ac:dyDescent="0.2"/>
    <row r="5990" ht="12.75" customHeight="1" x14ac:dyDescent="0.2"/>
    <row r="5991" ht="12.75" customHeight="1" x14ac:dyDescent="0.2"/>
    <row r="5992" ht="12.75" customHeight="1" x14ac:dyDescent="0.2"/>
    <row r="5993" ht="12.75" customHeight="1" x14ac:dyDescent="0.2"/>
    <row r="5994" ht="12.75" customHeight="1" x14ac:dyDescent="0.2"/>
    <row r="5995" ht="12.75" customHeight="1" x14ac:dyDescent="0.2"/>
    <row r="5996" ht="12.75" customHeight="1" x14ac:dyDescent="0.2"/>
    <row r="5997" ht="12.75" customHeight="1" x14ac:dyDescent="0.2"/>
    <row r="5998" ht="12.75" customHeight="1" x14ac:dyDescent="0.2"/>
    <row r="5999" ht="12.75" customHeight="1" x14ac:dyDescent="0.2"/>
    <row r="6000" ht="12.75" customHeight="1" x14ac:dyDescent="0.2"/>
    <row r="6001" ht="12.75" customHeight="1" x14ac:dyDescent="0.2"/>
    <row r="6002" ht="12.75" customHeight="1" x14ac:dyDescent="0.2"/>
    <row r="6003" ht="12.75" customHeight="1" x14ac:dyDescent="0.2"/>
    <row r="6004" ht="12.75" customHeight="1" x14ac:dyDescent="0.2"/>
    <row r="6005" ht="12.75" customHeight="1" x14ac:dyDescent="0.2"/>
    <row r="6006" ht="12.75" customHeight="1" x14ac:dyDescent="0.2"/>
    <row r="6007" ht="12.75" customHeight="1" x14ac:dyDescent="0.2"/>
    <row r="6008" ht="12.75" customHeight="1" x14ac:dyDescent="0.2"/>
    <row r="6009" ht="12.75" customHeight="1" x14ac:dyDescent="0.2"/>
    <row r="6010" ht="12.75" customHeight="1" x14ac:dyDescent="0.2"/>
    <row r="6011" ht="12.75" customHeight="1" x14ac:dyDescent="0.2"/>
    <row r="6012" ht="12.75" customHeight="1" x14ac:dyDescent="0.2"/>
    <row r="6013" ht="12.75" customHeight="1" x14ac:dyDescent="0.2"/>
    <row r="6014" ht="12.75" customHeight="1" x14ac:dyDescent="0.2"/>
    <row r="6015" ht="12.75" customHeight="1" x14ac:dyDescent="0.2"/>
    <row r="6016" ht="12.75" customHeight="1" x14ac:dyDescent="0.2"/>
    <row r="6017" ht="12.75" customHeight="1" x14ac:dyDescent="0.2"/>
    <row r="6018" ht="12.75" customHeight="1" x14ac:dyDescent="0.2"/>
    <row r="6019" ht="12.75" customHeight="1" x14ac:dyDescent="0.2"/>
    <row r="6020" ht="12.75" customHeight="1" x14ac:dyDescent="0.2"/>
    <row r="6021" ht="12.75" customHeight="1" x14ac:dyDescent="0.2"/>
    <row r="6022" ht="12.75" customHeight="1" x14ac:dyDescent="0.2"/>
    <row r="6023" ht="12.75" customHeight="1" x14ac:dyDescent="0.2"/>
    <row r="6024" ht="12.75" customHeight="1" x14ac:dyDescent="0.2"/>
    <row r="6025" ht="12.75" customHeight="1" x14ac:dyDescent="0.2"/>
    <row r="6026" ht="12.75" customHeight="1" x14ac:dyDescent="0.2"/>
    <row r="6027" ht="12.75" customHeight="1" x14ac:dyDescent="0.2"/>
    <row r="6028" ht="12.75" customHeight="1" x14ac:dyDescent="0.2"/>
    <row r="6029" ht="12.75" customHeight="1" x14ac:dyDescent="0.2"/>
    <row r="6030" ht="12.75" customHeight="1" x14ac:dyDescent="0.2"/>
    <row r="6031" ht="12.75" customHeight="1" x14ac:dyDescent="0.2"/>
    <row r="6032" ht="12.75" customHeight="1" x14ac:dyDescent="0.2"/>
    <row r="6033" ht="12.75" customHeight="1" x14ac:dyDescent="0.2"/>
    <row r="6034" ht="12.75" customHeight="1" x14ac:dyDescent="0.2"/>
    <row r="6035" ht="12.75" customHeight="1" x14ac:dyDescent="0.2"/>
    <row r="6036" ht="12.75" customHeight="1" x14ac:dyDescent="0.2"/>
    <row r="6037" ht="12.75" customHeight="1" x14ac:dyDescent="0.2"/>
    <row r="6038" ht="12.75" customHeight="1" x14ac:dyDescent="0.2"/>
    <row r="6039" ht="12.75" customHeight="1" x14ac:dyDescent="0.2"/>
    <row r="6040" ht="12.75" customHeight="1" x14ac:dyDescent="0.2"/>
    <row r="6041" ht="12.75" customHeight="1" x14ac:dyDescent="0.2"/>
    <row r="6042" ht="12.75" customHeight="1" x14ac:dyDescent="0.2"/>
    <row r="6043" ht="12.75" customHeight="1" x14ac:dyDescent="0.2"/>
    <row r="6044" ht="12.75" customHeight="1" x14ac:dyDescent="0.2"/>
    <row r="6045" ht="12.75" customHeight="1" x14ac:dyDescent="0.2"/>
    <row r="6046" ht="12.75" customHeight="1" x14ac:dyDescent="0.2"/>
    <row r="6047" ht="12.75" customHeight="1" x14ac:dyDescent="0.2"/>
    <row r="6048" ht="12.75" customHeight="1" x14ac:dyDescent="0.2"/>
    <row r="6049" ht="12.75" customHeight="1" x14ac:dyDescent="0.2"/>
    <row r="6050" ht="12.75" customHeight="1" x14ac:dyDescent="0.2"/>
    <row r="6051" ht="12.75" customHeight="1" x14ac:dyDescent="0.2"/>
    <row r="6052" ht="12.75" customHeight="1" x14ac:dyDescent="0.2"/>
    <row r="6053" ht="12.75" customHeight="1" x14ac:dyDescent="0.2"/>
    <row r="6054" ht="12.75" customHeight="1" x14ac:dyDescent="0.2"/>
    <row r="6055" ht="12.75" customHeight="1" x14ac:dyDescent="0.2"/>
    <row r="6056" ht="12.75" customHeight="1" x14ac:dyDescent="0.2"/>
    <row r="6057" ht="12.75" customHeight="1" x14ac:dyDescent="0.2"/>
    <row r="6058" ht="12.75" customHeight="1" x14ac:dyDescent="0.2"/>
    <row r="6059" ht="12.75" customHeight="1" x14ac:dyDescent="0.2"/>
    <row r="6060" ht="12.75" customHeight="1" x14ac:dyDescent="0.2"/>
    <row r="6061" ht="12.75" customHeight="1" x14ac:dyDescent="0.2"/>
    <row r="6062" ht="12.75" customHeight="1" x14ac:dyDescent="0.2"/>
    <row r="6063" ht="12.75" customHeight="1" x14ac:dyDescent="0.2"/>
    <row r="6064" ht="12.75" customHeight="1" x14ac:dyDescent="0.2"/>
    <row r="6065" ht="12.75" customHeight="1" x14ac:dyDescent="0.2"/>
    <row r="6066" ht="12.75" customHeight="1" x14ac:dyDescent="0.2"/>
    <row r="6067" ht="12.75" customHeight="1" x14ac:dyDescent="0.2"/>
    <row r="6068" ht="12.75" customHeight="1" x14ac:dyDescent="0.2"/>
    <row r="6069" ht="12.75" customHeight="1" x14ac:dyDescent="0.2"/>
    <row r="6070" ht="12.75" customHeight="1" x14ac:dyDescent="0.2"/>
    <row r="6071" ht="12.75" customHeight="1" x14ac:dyDescent="0.2"/>
    <row r="6072" ht="12.75" customHeight="1" x14ac:dyDescent="0.2"/>
    <row r="6073" ht="12.75" customHeight="1" x14ac:dyDescent="0.2"/>
    <row r="6074" ht="12.75" customHeight="1" x14ac:dyDescent="0.2"/>
    <row r="6075" ht="12.75" customHeight="1" x14ac:dyDescent="0.2"/>
    <row r="6076" ht="12.75" customHeight="1" x14ac:dyDescent="0.2"/>
    <row r="6077" ht="12.75" customHeight="1" x14ac:dyDescent="0.2"/>
    <row r="6078" ht="12.75" customHeight="1" x14ac:dyDescent="0.2"/>
    <row r="6079" ht="12.75" customHeight="1" x14ac:dyDescent="0.2"/>
    <row r="6080" ht="12.75" customHeight="1" x14ac:dyDescent="0.2"/>
    <row r="6081" ht="12.75" customHeight="1" x14ac:dyDescent="0.2"/>
    <row r="6082" ht="12.75" customHeight="1" x14ac:dyDescent="0.2"/>
    <row r="6083" ht="12.75" customHeight="1" x14ac:dyDescent="0.2"/>
    <row r="6084" ht="12.75" customHeight="1" x14ac:dyDescent="0.2"/>
    <row r="6085" ht="12.75" customHeight="1" x14ac:dyDescent="0.2"/>
    <row r="6086" ht="12.75" customHeight="1" x14ac:dyDescent="0.2"/>
    <row r="6087" ht="12.75" customHeight="1" x14ac:dyDescent="0.2"/>
    <row r="6088" ht="12.75" customHeight="1" x14ac:dyDescent="0.2"/>
    <row r="6089" ht="12.75" customHeight="1" x14ac:dyDescent="0.2"/>
    <row r="6090" ht="12.75" customHeight="1" x14ac:dyDescent="0.2"/>
    <row r="6091" ht="12.75" customHeight="1" x14ac:dyDescent="0.2"/>
    <row r="6092" ht="12.75" customHeight="1" x14ac:dyDescent="0.2"/>
    <row r="6093" ht="12.75" customHeight="1" x14ac:dyDescent="0.2"/>
    <row r="6094" ht="12.75" customHeight="1" x14ac:dyDescent="0.2"/>
    <row r="6095" ht="12.75" customHeight="1" x14ac:dyDescent="0.2"/>
    <row r="6096" ht="12.75" customHeight="1" x14ac:dyDescent="0.2"/>
    <row r="6097" ht="12.75" customHeight="1" x14ac:dyDescent="0.2"/>
    <row r="6098" ht="12.75" customHeight="1" x14ac:dyDescent="0.2"/>
    <row r="6099" ht="12.75" customHeight="1" x14ac:dyDescent="0.2"/>
    <row r="6100" ht="12.75" customHeight="1" x14ac:dyDescent="0.2"/>
    <row r="6101" ht="12.75" customHeight="1" x14ac:dyDescent="0.2"/>
    <row r="6102" ht="12.75" customHeight="1" x14ac:dyDescent="0.2"/>
    <row r="6103" ht="12.75" customHeight="1" x14ac:dyDescent="0.2"/>
    <row r="6104" ht="12.75" customHeight="1" x14ac:dyDescent="0.2"/>
    <row r="6105" ht="12.75" customHeight="1" x14ac:dyDescent="0.2"/>
    <row r="6106" ht="12.75" customHeight="1" x14ac:dyDescent="0.2"/>
    <row r="6107" ht="12.75" customHeight="1" x14ac:dyDescent="0.2"/>
    <row r="6108" ht="12.75" customHeight="1" x14ac:dyDescent="0.2"/>
    <row r="6109" ht="12.75" customHeight="1" x14ac:dyDescent="0.2"/>
    <row r="6110" ht="12.75" customHeight="1" x14ac:dyDescent="0.2"/>
    <row r="6111" ht="12.75" customHeight="1" x14ac:dyDescent="0.2"/>
    <row r="6112" ht="12.75" customHeight="1" x14ac:dyDescent="0.2"/>
    <row r="6113" ht="12.75" customHeight="1" x14ac:dyDescent="0.2"/>
    <row r="6114" ht="12.75" customHeight="1" x14ac:dyDescent="0.2"/>
    <row r="6115" ht="12.75" customHeight="1" x14ac:dyDescent="0.2"/>
    <row r="6116" ht="12.75" customHeight="1" x14ac:dyDescent="0.2"/>
    <row r="6117" ht="12.75" customHeight="1" x14ac:dyDescent="0.2"/>
    <row r="6118" ht="12.75" customHeight="1" x14ac:dyDescent="0.2"/>
    <row r="6119" ht="12.75" customHeight="1" x14ac:dyDescent="0.2"/>
    <row r="6120" ht="12.75" customHeight="1" x14ac:dyDescent="0.2"/>
    <row r="6121" ht="12.75" customHeight="1" x14ac:dyDescent="0.2"/>
    <row r="6122" ht="12.75" customHeight="1" x14ac:dyDescent="0.2"/>
    <row r="6123" ht="12.75" customHeight="1" x14ac:dyDescent="0.2"/>
    <row r="6124" ht="12.75" customHeight="1" x14ac:dyDescent="0.2"/>
    <row r="6125" ht="12.75" customHeight="1" x14ac:dyDescent="0.2"/>
    <row r="6126" ht="12.75" customHeight="1" x14ac:dyDescent="0.2"/>
    <row r="6127" ht="12.75" customHeight="1" x14ac:dyDescent="0.2"/>
    <row r="6128" ht="12.75" customHeight="1" x14ac:dyDescent="0.2"/>
    <row r="6129" ht="12.75" customHeight="1" x14ac:dyDescent="0.2"/>
    <row r="6130" ht="12.75" customHeight="1" x14ac:dyDescent="0.2"/>
    <row r="6131" ht="12.75" customHeight="1" x14ac:dyDescent="0.2"/>
    <row r="6132" ht="12.75" customHeight="1" x14ac:dyDescent="0.2"/>
    <row r="6133" ht="12.75" customHeight="1" x14ac:dyDescent="0.2"/>
    <row r="6134" ht="12.75" customHeight="1" x14ac:dyDescent="0.2"/>
    <row r="6135" ht="12.75" customHeight="1" x14ac:dyDescent="0.2"/>
    <row r="6136" ht="12.75" customHeight="1" x14ac:dyDescent="0.2"/>
    <row r="6137" ht="12.75" customHeight="1" x14ac:dyDescent="0.2"/>
    <row r="6138" ht="12.75" customHeight="1" x14ac:dyDescent="0.2"/>
    <row r="6139" ht="12.75" customHeight="1" x14ac:dyDescent="0.2"/>
    <row r="6140" ht="12.75" customHeight="1" x14ac:dyDescent="0.2"/>
    <row r="6141" ht="12.75" customHeight="1" x14ac:dyDescent="0.2"/>
    <row r="6142" ht="12.75" customHeight="1" x14ac:dyDescent="0.2"/>
    <row r="6143" ht="12.75" customHeight="1" x14ac:dyDescent="0.2"/>
    <row r="6144" ht="12.75" customHeight="1" x14ac:dyDescent="0.2"/>
    <row r="6145" ht="12.75" customHeight="1" x14ac:dyDescent="0.2"/>
    <row r="6146" ht="12.75" customHeight="1" x14ac:dyDescent="0.2"/>
    <row r="6147" ht="12.75" customHeight="1" x14ac:dyDescent="0.2"/>
    <row r="6148" ht="12.75" customHeight="1" x14ac:dyDescent="0.2"/>
    <row r="6149" ht="12.75" customHeight="1" x14ac:dyDescent="0.2"/>
    <row r="6150" ht="12.75" customHeight="1" x14ac:dyDescent="0.2"/>
    <row r="6151" ht="12.75" customHeight="1" x14ac:dyDescent="0.2"/>
    <row r="6152" ht="12.75" customHeight="1" x14ac:dyDescent="0.2"/>
    <row r="6153" ht="12.75" customHeight="1" x14ac:dyDescent="0.2"/>
    <row r="6154" ht="12.75" customHeight="1" x14ac:dyDescent="0.2"/>
    <row r="6155" ht="12.75" customHeight="1" x14ac:dyDescent="0.2"/>
    <row r="6156" ht="12.75" customHeight="1" x14ac:dyDescent="0.2"/>
    <row r="6157" ht="12.75" customHeight="1" x14ac:dyDescent="0.2"/>
    <row r="6158" ht="12.75" customHeight="1" x14ac:dyDescent="0.2"/>
    <row r="6159" ht="12.75" customHeight="1" x14ac:dyDescent="0.2"/>
    <row r="6160" ht="12.75" customHeight="1" x14ac:dyDescent="0.2"/>
    <row r="6161" ht="12.75" customHeight="1" x14ac:dyDescent="0.2"/>
    <row r="6162" ht="12.75" customHeight="1" x14ac:dyDescent="0.2"/>
    <row r="6163" ht="12.75" customHeight="1" x14ac:dyDescent="0.2"/>
    <row r="6164" ht="12.75" customHeight="1" x14ac:dyDescent="0.2"/>
    <row r="6165" ht="12.75" customHeight="1" x14ac:dyDescent="0.2"/>
    <row r="6166" ht="12.75" customHeight="1" x14ac:dyDescent="0.2"/>
    <row r="6167" ht="12.75" customHeight="1" x14ac:dyDescent="0.2"/>
    <row r="6168" ht="12.75" customHeight="1" x14ac:dyDescent="0.2"/>
    <row r="6169" ht="12.75" customHeight="1" x14ac:dyDescent="0.2"/>
    <row r="6170" ht="12.75" customHeight="1" x14ac:dyDescent="0.2"/>
    <row r="6171" ht="12.75" customHeight="1" x14ac:dyDescent="0.2"/>
    <row r="6172" ht="12.75" customHeight="1" x14ac:dyDescent="0.2"/>
    <row r="6173" ht="12.75" customHeight="1" x14ac:dyDescent="0.2"/>
    <row r="6174" ht="12.75" customHeight="1" x14ac:dyDescent="0.2"/>
    <row r="6175" ht="12.75" customHeight="1" x14ac:dyDescent="0.2"/>
    <row r="6176" ht="12.75" customHeight="1" x14ac:dyDescent="0.2"/>
    <row r="6177" ht="12.75" customHeight="1" x14ac:dyDescent="0.2"/>
    <row r="6178" ht="12.75" customHeight="1" x14ac:dyDescent="0.2"/>
    <row r="6179" ht="12.75" customHeight="1" x14ac:dyDescent="0.2"/>
    <row r="6180" ht="12.75" customHeight="1" x14ac:dyDescent="0.2"/>
    <row r="6181" ht="12.75" customHeight="1" x14ac:dyDescent="0.2"/>
    <row r="6182" ht="12.75" customHeight="1" x14ac:dyDescent="0.2"/>
    <row r="6183" ht="12.75" customHeight="1" x14ac:dyDescent="0.2"/>
    <row r="6184" ht="12.75" customHeight="1" x14ac:dyDescent="0.2"/>
    <row r="6185" ht="12.75" customHeight="1" x14ac:dyDescent="0.2"/>
    <row r="6186" ht="12.75" customHeight="1" x14ac:dyDescent="0.2"/>
    <row r="6187" ht="12.75" customHeight="1" x14ac:dyDescent="0.2"/>
    <row r="6188" ht="12.75" customHeight="1" x14ac:dyDescent="0.2"/>
    <row r="6189" ht="12.75" customHeight="1" x14ac:dyDescent="0.2"/>
    <row r="6190" ht="12.75" customHeight="1" x14ac:dyDescent="0.2"/>
    <row r="6191" ht="12.75" customHeight="1" x14ac:dyDescent="0.2"/>
    <row r="6192" ht="12.75" customHeight="1" x14ac:dyDescent="0.2"/>
    <row r="6193" ht="12.75" customHeight="1" x14ac:dyDescent="0.2"/>
    <row r="6194" ht="12.75" customHeight="1" x14ac:dyDescent="0.2"/>
    <row r="6195" ht="12.75" customHeight="1" x14ac:dyDescent="0.2"/>
    <row r="6196" ht="12.75" customHeight="1" x14ac:dyDescent="0.2"/>
    <row r="6197" ht="12.75" customHeight="1" x14ac:dyDescent="0.2"/>
    <row r="6198" ht="12.75" customHeight="1" x14ac:dyDescent="0.2"/>
    <row r="6199" ht="12.75" customHeight="1" x14ac:dyDescent="0.2"/>
    <row r="6200" ht="12.75" customHeight="1" x14ac:dyDescent="0.2"/>
    <row r="6201" ht="12.75" customHeight="1" x14ac:dyDescent="0.2"/>
    <row r="6202" ht="12.75" customHeight="1" x14ac:dyDescent="0.2"/>
    <row r="6203" ht="12.75" customHeight="1" x14ac:dyDescent="0.2"/>
    <row r="6204" ht="12.75" customHeight="1" x14ac:dyDescent="0.2"/>
    <row r="6205" ht="12.75" customHeight="1" x14ac:dyDescent="0.2"/>
    <row r="6206" ht="12.75" customHeight="1" x14ac:dyDescent="0.2"/>
    <row r="6207" ht="12.75" customHeight="1" x14ac:dyDescent="0.2"/>
    <row r="6208" ht="12.75" customHeight="1" x14ac:dyDescent="0.2"/>
    <row r="6209" ht="12.75" customHeight="1" x14ac:dyDescent="0.2"/>
    <row r="6210" ht="12.75" customHeight="1" x14ac:dyDescent="0.2"/>
    <row r="6211" ht="12.75" customHeight="1" x14ac:dyDescent="0.2"/>
    <row r="6212" ht="12.75" customHeight="1" x14ac:dyDescent="0.2"/>
    <row r="6213" ht="12.75" customHeight="1" x14ac:dyDescent="0.2"/>
    <row r="6214" ht="12.75" customHeight="1" x14ac:dyDescent="0.2"/>
    <row r="6215" ht="12.75" customHeight="1" x14ac:dyDescent="0.2"/>
    <row r="6216" ht="12.75" customHeight="1" x14ac:dyDescent="0.2"/>
    <row r="6217" ht="12.75" customHeight="1" x14ac:dyDescent="0.2"/>
    <row r="6218" ht="12.75" customHeight="1" x14ac:dyDescent="0.2"/>
    <row r="6219" ht="12.75" customHeight="1" x14ac:dyDescent="0.2"/>
    <row r="6220" ht="12.75" customHeight="1" x14ac:dyDescent="0.2"/>
    <row r="6221" ht="12.75" customHeight="1" x14ac:dyDescent="0.2"/>
    <row r="6222" ht="12.75" customHeight="1" x14ac:dyDescent="0.2"/>
    <row r="6223" ht="12.75" customHeight="1" x14ac:dyDescent="0.2"/>
    <row r="6224" ht="12.75" customHeight="1" x14ac:dyDescent="0.2"/>
    <row r="6225" ht="12.75" customHeight="1" x14ac:dyDescent="0.2"/>
    <row r="6226" ht="12.75" customHeight="1" x14ac:dyDescent="0.2"/>
    <row r="6227" ht="12.75" customHeight="1" x14ac:dyDescent="0.2"/>
    <row r="6228" ht="12.75" customHeight="1" x14ac:dyDescent="0.2"/>
    <row r="6229" ht="12.75" customHeight="1" x14ac:dyDescent="0.2"/>
    <row r="6230" ht="12.75" customHeight="1" x14ac:dyDescent="0.2"/>
    <row r="6231" ht="12.75" customHeight="1" x14ac:dyDescent="0.2"/>
    <row r="6232" ht="12.75" customHeight="1" x14ac:dyDescent="0.2"/>
    <row r="6233" ht="12.75" customHeight="1" x14ac:dyDescent="0.2"/>
    <row r="6234" ht="12.75" customHeight="1" x14ac:dyDescent="0.2"/>
    <row r="6235" ht="12.75" customHeight="1" x14ac:dyDescent="0.2"/>
    <row r="6236" ht="12.75" customHeight="1" x14ac:dyDescent="0.2"/>
    <row r="6237" ht="12.75" customHeight="1" x14ac:dyDescent="0.2"/>
    <row r="6238" ht="12.75" customHeight="1" x14ac:dyDescent="0.2"/>
    <row r="6239" ht="12.75" customHeight="1" x14ac:dyDescent="0.2"/>
    <row r="6240" ht="12.75" customHeight="1" x14ac:dyDescent="0.2"/>
    <row r="6241" ht="12.75" customHeight="1" x14ac:dyDescent="0.2"/>
    <row r="6242" ht="12.75" customHeight="1" x14ac:dyDescent="0.2"/>
    <row r="6243" ht="12.75" customHeight="1" x14ac:dyDescent="0.2"/>
    <row r="6244" ht="12.75" customHeight="1" x14ac:dyDescent="0.2"/>
    <row r="6245" ht="12.75" customHeight="1" x14ac:dyDescent="0.2"/>
    <row r="6246" ht="12.75" customHeight="1" x14ac:dyDescent="0.2"/>
    <row r="6247" ht="12.75" customHeight="1" x14ac:dyDescent="0.2"/>
    <row r="6248" ht="12.75" customHeight="1" x14ac:dyDescent="0.2"/>
    <row r="6249" ht="12.75" customHeight="1" x14ac:dyDescent="0.2"/>
    <row r="6250" ht="12.75" customHeight="1" x14ac:dyDescent="0.2"/>
    <row r="6251" ht="12.75" customHeight="1" x14ac:dyDescent="0.2"/>
    <row r="6252" ht="12.75" customHeight="1" x14ac:dyDescent="0.2"/>
    <row r="6253" ht="12.75" customHeight="1" x14ac:dyDescent="0.2"/>
    <row r="6254" ht="12.75" customHeight="1" x14ac:dyDescent="0.2"/>
    <row r="6255" ht="12.75" customHeight="1" x14ac:dyDescent="0.2"/>
    <row r="6256" ht="12.75" customHeight="1" x14ac:dyDescent="0.2"/>
    <row r="6257" ht="12.75" customHeight="1" x14ac:dyDescent="0.2"/>
    <row r="6258" ht="12.75" customHeight="1" x14ac:dyDescent="0.2"/>
    <row r="6259" ht="12.75" customHeight="1" x14ac:dyDescent="0.2"/>
    <row r="6260" ht="12.75" customHeight="1" x14ac:dyDescent="0.2"/>
    <row r="6261" ht="12.75" customHeight="1" x14ac:dyDescent="0.2"/>
    <row r="6262" ht="12.75" customHeight="1" x14ac:dyDescent="0.2"/>
    <row r="6263" ht="12.75" customHeight="1" x14ac:dyDescent="0.2"/>
    <row r="6264" ht="12.75" customHeight="1" x14ac:dyDescent="0.2"/>
    <row r="6265" ht="12.75" customHeight="1" x14ac:dyDescent="0.2"/>
    <row r="6266" ht="12.75" customHeight="1" x14ac:dyDescent="0.2"/>
    <row r="6267" ht="12.75" customHeight="1" x14ac:dyDescent="0.2"/>
    <row r="6268" ht="12.75" customHeight="1" x14ac:dyDescent="0.2"/>
    <row r="6269" ht="12.75" customHeight="1" x14ac:dyDescent="0.2"/>
    <row r="6270" ht="12.75" customHeight="1" x14ac:dyDescent="0.2"/>
    <row r="6271" ht="12.75" customHeight="1" x14ac:dyDescent="0.2"/>
    <row r="6272" ht="12.75" customHeight="1" x14ac:dyDescent="0.2"/>
    <row r="6273" ht="12.75" customHeight="1" x14ac:dyDescent="0.2"/>
    <row r="6274" ht="12.75" customHeight="1" x14ac:dyDescent="0.2"/>
    <row r="6275" ht="12.75" customHeight="1" x14ac:dyDescent="0.2"/>
    <row r="6276" ht="12.75" customHeight="1" x14ac:dyDescent="0.2"/>
    <row r="6277" ht="12.75" customHeight="1" x14ac:dyDescent="0.2"/>
    <row r="6278" ht="12.75" customHeight="1" x14ac:dyDescent="0.2"/>
    <row r="6279" ht="12.75" customHeight="1" x14ac:dyDescent="0.2"/>
    <row r="6280" ht="12.75" customHeight="1" x14ac:dyDescent="0.2"/>
    <row r="6281" ht="12.75" customHeight="1" x14ac:dyDescent="0.2"/>
    <row r="6282" ht="12.75" customHeight="1" x14ac:dyDescent="0.2"/>
    <row r="6283" ht="12.75" customHeight="1" x14ac:dyDescent="0.2"/>
    <row r="6284" ht="12.75" customHeight="1" x14ac:dyDescent="0.2"/>
    <row r="6285" ht="12.75" customHeight="1" x14ac:dyDescent="0.2"/>
    <row r="6286" ht="12.75" customHeight="1" x14ac:dyDescent="0.2"/>
    <row r="6287" ht="12.75" customHeight="1" x14ac:dyDescent="0.2"/>
    <row r="6288" ht="12.75" customHeight="1" x14ac:dyDescent="0.2"/>
    <row r="6289" ht="12.75" customHeight="1" x14ac:dyDescent="0.2"/>
    <row r="6290" ht="12.75" customHeight="1" x14ac:dyDescent="0.2"/>
    <row r="6291" ht="12.75" customHeight="1" x14ac:dyDescent="0.2"/>
    <row r="6292" ht="12.75" customHeight="1" x14ac:dyDescent="0.2"/>
    <row r="6293" ht="12.75" customHeight="1" x14ac:dyDescent="0.2"/>
    <row r="6294" ht="12.75" customHeight="1" x14ac:dyDescent="0.2"/>
    <row r="6295" ht="12.75" customHeight="1" x14ac:dyDescent="0.2"/>
    <row r="6296" ht="12.75" customHeight="1" x14ac:dyDescent="0.2"/>
    <row r="6297" ht="12.75" customHeight="1" x14ac:dyDescent="0.2"/>
    <row r="6298" ht="12.75" customHeight="1" x14ac:dyDescent="0.2"/>
    <row r="6299" ht="12.75" customHeight="1" x14ac:dyDescent="0.2"/>
    <row r="6300" ht="12.75" customHeight="1" x14ac:dyDescent="0.2"/>
    <row r="6301" ht="12.75" customHeight="1" x14ac:dyDescent="0.2"/>
    <row r="6302" ht="12.75" customHeight="1" x14ac:dyDescent="0.2"/>
    <row r="6303" ht="12.75" customHeight="1" x14ac:dyDescent="0.2"/>
    <row r="6304" ht="12.75" customHeight="1" x14ac:dyDescent="0.2"/>
    <row r="6305" ht="12.75" customHeight="1" x14ac:dyDescent="0.2"/>
    <row r="6306" ht="12.75" customHeight="1" x14ac:dyDescent="0.2"/>
    <row r="6307" ht="12.75" customHeight="1" x14ac:dyDescent="0.2"/>
    <row r="6308" ht="12.75" customHeight="1" x14ac:dyDescent="0.2"/>
    <row r="6309" ht="12.75" customHeight="1" x14ac:dyDescent="0.2"/>
    <row r="6310" ht="12.75" customHeight="1" x14ac:dyDescent="0.2"/>
    <row r="6311" ht="12.75" customHeight="1" x14ac:dyDescent="0.2"/>
    <row r="6312" ht="12.75" customHeight="1" x14ac:dyDescent="0.2"/>
    <row r="6313" ht="12.75" customHeight="1" x14ac:dyDescent="0.2"/>
    <row r="6314" ht="12.75" customHeight="1" x14ac:dyDescent="0.2"/>
    <row r="6315" ht="12.75" customHeight="1" x14ac:dyDescent="0.2"/>
    <row r="6316" ht="12.75" customHeight="1" x14ac:dyDescent="0.2"/>
    <row r="6317" ht="12.75" customHeight="1" x14ac:dyDescent="0.2"/>
    <row r="6318" ht="12.75" customHeight="1" x14ac:dyDescent="0.2"/>
    <row r="6319" ht="12.75" customHeight="1" x14ac:dyDescent="0.2"/>
    <row r="6320" ht="12.75" customHeight="1" x14ac:dyDescent="0.2"/>
    <row r="6321" ht="12.75" customHeight="1" x14ac:dyDescent="0.2"/>
    <row r="6322" ht="12.75" customHeight="1" x14ac:dyDescent="0.2"/>
    <row r="6323" ht="12.75" customHeight="1" x14ac:dyDescent="0.2"/>
    <row r="6324" ht="12.75" customHeight="1" x14ac:dyDescent="0.2"/>
    <row r="6325" ht="12.75" customHeight="1" x14ac:dyDescent="0.2"/>
    <row r="6326" ht="12.75" customHeight="1" x14ac:dyDescent="0.2"/>
    <row r="6327" ht="12.75" customHeight="1" x14ac:dyDescent="0.2"/>
    <row r="6328" ht="12.75" customHeight="1" x14ac:dyDescent="0.2"/>
    <row r="6329" ht="12.75" customHeight="1" x14ac:dyDescent="0.2"/>
    <row r="6330" ht="12.75" customHeight="1" x14ac:dyDescent="0.2"/>
    <row r="6331" ht="12.75" customHeight="1" x14ac:dyDescent="0.2"/>
    <row r="6332" ht="12.75" customHeight="1" x14ac:dyDescent="0.2"/>
    <row r="6333" ht="12.75" customHeight="1" x14ac:dyDescent="0.2"/>
    <row r="6334" ht="12.75" customHeight="1" x14ac:dyDescent="0.2"/>
    <row r="6335" ht="12.75" customHeight="1" x14ac:dyDescent="0.2"/>
    <row r="6336" ht="12.75" customHeight="1" x14ac:dyDescent="0.2"/>
    <row r="6337" ht="12.75" customHeight="1" x14ac:dyDescent="0.2"/>
    <row r="6338" ht="12.75" customHeight="1" x14ac:dyDescent="0.2"/>
    <row r="6339" ht="12.75" customHeight="1" x14ac:dyDescent="0.2"/>
    <row r="6340" ht="12.75" customHeight="1" x14ac:dyDescent="0.2"/>
    <row r="6341" ht="12.75" customHeight="1" x14ac:dyDescent="0.2"/>
    <row r="6342" ht="12.75" customHeight="1" x14ac:dyDescent="0.2"/>
    <row r="6343" ht="12.75" customHeight="1" x14ac:dyDescent="0.2"/>
    <row r="6344" ht="12.75" customHeight="1" x14ac:dyDescent="0.2"/>
    <row r="6345" ht="12.75" customHeight="1" x14ac:dyDescent="0.2"/>
    <row r="6346" ht="12.75" customHeight="1" x14ac:dyDescent="0.2"/>
    <row r="6347" ht="12.75" customHeight="1" x14ac:dyDescent="0.2"/>
    <row r="6348" ht="12.75" customHeight="1" x14ac:dyDescent="0.2"/>
    <row r="6349" ht="12.75" customHeight="1" x14ac:dyDescent="0.2"/>
    <row r="6350" ht="12.75" customHeight="1" x14ac:dyDescent="0.2"/>
    <row r="6351" ht="12.75" customHeight="1" x14ac:dyDescent="0.2"/>
    <row r="6352" ht="12.75" customHeight="1" x14ac:dyDescent="0.2"/>
    <row r="6353" ht="12.75" customHeight="1" x14ac:dyDescent="0.2"/>
    <row r="6354" ht="12.75" customHeight="1" x14ac:dyDescent="0.2"/>
    <row r="6355" ht="12.75" customHeight="1" x14ac:dyDescent="0.2"/>
    <row r="6356" ht="12.75" customHeight="1" x14ac:dyDescent="0.2"/>
    <row r="6357" ht="12.75" customHeight="1" x14ac:dyDescent="0.2"/>
    <row r="6358" ht="12.75" customHeight="1" x14ac:dyDescent="0.2"/>
    <row r="6359" ht="12.75" customHeight="1" x14ac:dyDescent="0.2"/>
    <row r="6360" ht="12.75" customHeight="1" x14ac:dyDescent="0.2"/>
    <row r="6361" ht="12.75" customHeight="1" x14ac:dyDescent="0.2"/>
    <row r="6362" ht="12.75" customHeight="1" x14ac:dyDescent="0.2"/>
    <row r="6363" ht="12.75" customHeight="1" x14ac:dyDescent="0.2"/>
    <row r="6364" ht="12.75" customHeight="1" x14ac:dyDescent="0.2"/>
    <row r="6365" ht="12.75" customHeight="1" x14ac:dyDescent="0.2"/>
    <row r="6366" ht="12.75" customHeight="1" x14ac:dyDescent="0.2"/>
    <row r="6367" ht="12.75" customHeight="1" x14ac:dyDescent="0.2"/>
    <row r="6368" ht="12.75" customHeight="1" x14ac:dyDescent="0.2"/>
    <row r="6369" ht="12.75" customHeight="1" x14ac:dyDescent="0.2"/>
    <row r="6370" ht="12.75" customHeight="1" x14ac:dyDescent="0.2"/>
    <row r="6371" ht="12.75" customHeight="1" x14ac:dyDescent="0.2"/>
    <row r="6372" ht="12.75" customHeight="1" x14ac:dyDescent="0.2"/>
    <row r="6373" ht="12.75" customHeight="1" x14ac:dyDescent="0.2"/>
    <row r="6374" ht="12.75" customHeight="1" x14ac:dyDescent="0.2"/>
    <row r="6375" ht="12.75" customHeight="1" x14ac:dyDescent="0.2"/>
    <row r="6376" ht="12.75" customHeight="1" x14ac:dyDescent="0.2"/>
    <row r="6377" ht="12.75" customHeight="1" x14ac:dyDescent="0.2"/>
    <row r="6378" ht="12.75" customHeight="1" x14ac:dyDescent="0.2"/>
    <row r="6379" ht="12.75" customHeight="1" x14ac:dyDescent="0.2"/>
    <row r="6380" ht="12.75" customHeight="1" x14ac:dyDescent="0.2"/>
    <row r="6381" ht="12.75" customHeight="1" x14ac:dyDescent="0.2"/>
    <row r="6382" ht="12.75" customHeight="1" x14ac:dyDescent="0.2"/>
    <row r="6383" ht="12.75" customHeight="1" x14ac:dyDescent="0.2"/>
    <row r="6384" ht="12.75" customHeight="1" x14ac:dyDescent="0.2"/>
    <row r="6385" ht="12.75" customHeight="1" x14ac:dyDescent="0.2"/>
    <row r="6386" ht="12.75" customHeight="1" x14ac:dyDescent="0.2"/>
    <row r="6387" ht="12.75" customHeight="1" x14ac:dyDescent="0.2"/>
    <row r="6388" ht="12.75" customHeight="1" x14ac:dyDescent="0.2"/>
    <row r="6389" ht="12.75" customHeight="1" x14ac:dyDescent="0.2"/>
    <row r="6390" ht="12.75" customHeight="1" x14ac:dyDescent="0.2"/>
    <row r="6391" ht="12.75" customHeight="1" x14ac:dyDescent="0.2"/>
    <row r="6392" ht="12.75" customHeight="1" x14ac:dyDescent="0.2"/>
    <row r="6393" ht="12.75" customHeight="1" x14ac:dyDescent="0.2"/>
    <row r="6394" ht="12.75" customHeight="1" x14ac:dyDescent="0.2"/>
    <row r="6395" ht="12.75" customHeight="1" x14ac:dyDescent="0.2"/>
    <row r="6396" ht="12.75" customHeight="1" x14ac:dyDescent="0.2"/>
    <row r="6397" ht="12.75" customHeight="1" x14ac:dyDescent="0.2"/>
    <row r="6398" ht="12.75" customHeight="1" x14ac:dyDescent="0.2"/>
    <row r="6399" ht="12.75" customHeight="1" x14ac:dyDescent="0.2"/>
    <row r="6400" ht="12.75" customHeight="1" x14ac:dyDescent="0.2"/>
    <row r="6401" ht="12.75" customHeight="1" x14ac:dyDescent="0.2"/>
    <row r="6402" ht="12.75" customHeight="1" x14ac:dyDescent="0.2"/>
    <row r="6403" ht="12.75" customHeight="1" x14ac:dyDescent="0.2"/>
    <row r="6404" ht="12.75" customHeight="1" x14ac:dyDescent="0.2"/>
    <row r="6405" ht="12.75" customHeight="1" x14ac:dyDescent="0.2"/>
    <row r="6406" ht="12.75" customHeight="1" x14ac:dyDescent="0.2"/>
    <row r="6407" ht="12.75" customHeight="1" x14ac:dyDescent="0.2"/>
    <row r="6408" ht="12.75" customHeight="1" x14ac:dyDescent="0.2"/>
    <row r="6409" ht="12.75" customHeight="1" x14ac:dyDescent="0.2"/>
    <row r="6410" ht="12.75" customHeight="1" x14ac:dyDescent="0.2"/>
    <row r="6411" ht="12.75" customHeight="1" x14ac:dyDescent="0.2"/>
    <row r="6412" ht="12.75" customHeight="1" x14ac:dyDescent="0.2"/>
    <row r="6413" ht="12.75" customHeight="1" x14ac:dyDescent="0.2"/>
    <row r="6414" ht="12.75" customHeight="1" x14ac:dyDescent="0.2"/>
    <row r="6415" ht="12.75" customHeight="1" x14ac:dyDescent="0.2"/>
    <row r="6416" ht="12.75" customHeight="1" x14ac:dyDescent="0.2"/>
    <row r="6417" ht="12.75" customHeight="1" x14ac:dyDescent="0.2"/>
    <row r="6418" ht="12.75" customHeight="1" x14ac:dyDescent="0.2"/>
    <row r="6419" ht="12.75" customHeight="1" x14ac:dyDescent="0.2"/>
    <row r="6420" ht="12.75" customHeight="1" x14ac:dyDescent="0.2"/>
    <row r="6421" ht="12.75" customHeight="1" x14ac:dyDescent="0.2"/>
    <row r="6422" ht="12.75" customHeight="1" x14ac:dyDescent="0.2"/>
    <row r="6423" ht="12.75" customHeight="1" x14ac:dyDescent="0.2"/>
    <row r="6424" ht="12.75" customHeight="1" x14ac:dyDescent="0.2"/>
    <row r="6425" ht="12.75" customHeight="1" x14ac:dyDescent="0.2"/>
    <row r="6426" ht="12.75" customHeight="1" x14ac:dyDescent="0.2"/>
    <row r="6427" ht="12.75" customHeight="1" x14ac:dyDescent="0.2"/>
    <row r="6428" ht="12.75" customHeight="1" x14ac:dyDescent="0.2"/>
    <row r="6429" ht="12.75" customHeight="1" x14ac:dyDescent="0.2"/>
    <row r="6430" ht="12.75" customHeight="1" x14ac:dyDescent="0.2"/>
    <row r="6431" ht="12.75" customHeight="1" x14ac:dyDescent="0.2"/>
    <row r="6432" ht="12.75" customHeight="1" x14ac:dyDescent="0.2"/>
    <row r="6433" ht="12.75" customHeight="1" x14ac:dyDescent="0.2"/>
    <row r="6434" ht="12.75" customHeight="1" x14ac:dyDescent="0.2"/>
    <row r="6435" ht="12.75" customHeight="1" x14ac:dyDescent="0.2"/>
    <row r="6436" ht="12.75" customHeight="1" x14ac:dyDescent="0.2"/>
    <row r="6437" ht="12.75" customHeight="1" x14ac:dyDescent="0.2"/>
    <row r="6438" ht="12.75" customHeight="1" x14ac:dyDescent="0.2"/>
    <row r="6439" ht="12.75" customHeight="1" x14ac:dyDescent="0.2"/>
    <row r="6440" ht="12.75" customHeight="1" x14ac:dyDescent="0.2"/>
    <row r="6441" ht="12.75" customHeight="1" x14ac:dyDescent="0.2"/>
    <row r="6442" ht="12.75" customHeight="1" x14ac:dyDescent="0.2"/>
    <row r="6443" ht="12.75" customHeight="1" x14ac:dyDescent="0.2"/>
    <row r="6444" ht="12.75" customHeight="1" x14ac:dyDescent="0.2"/>
    <row r="6445" ht="12.75" customHeight="1" x14ac:dyDescent="0.2"/>
    <row r="6446" ht="12.75" customHeight="1" x14ac:dyDescent="0.2"/>
    <row r="6447" ht="12.75" customHeight="1" x14ac:dyDescent="0.2"/>
    <row r="6448" ht="12.75" customHeight="1" x14ac:dyDescent="0.2"/>
    <row r="6449" ht="12.75" customHeight="1" x14ac:dyDescent="0.2"/>
    <row r="6450" ht="12.75" customHeight="1" x14ac:dyDescent="0.2"/>
    <row r="6451" ht="12.75" customHeight="1" x14ac:dyDescent="0.2"/>
    <row r="6452" ht="12.75" customHeight="1" x14ac:dyDescent="0.2"/>
    <row r="6453" ht="12.75" customHeight="1" x14ac:dyDescent="0.2"/>
    <row r="6454" ht="12.75" customHeight="1" x14ac:dyDescent="0.2"/>
    <row r="6455" ht="12.75" customHeight="1" x14ac:dyDescent="0.2"/>
    <row r="6456" ht="12.75" customHeight="1" x14ac:dyDescent="0.2"/>
    <row r="6457" ht="12.75" customHeight="1" x14ac:dyDescent="0.2"/>
    <row r="6458" ht="12.75" customHeight="1" x14ac:dyDescent="0.2"/>
    <row r="6459" ht="12.75" customHeight="1" x14ac:dyDescent="0.2"/>
    <row r="6460" ht="12.75" customHeight="1" x14ac:dyDescent="0.2"/>
    <row r="6461" ht="12.75" customHeight="1" x14ac:dyDescent="0.2"/>
    <row r="6462" ht="12.75" customHeight="1" x14ac:dyDescent="0.2"/>
    <row r="6463" ht="12.75" customHeight="1" x14ac:dyDescent="0.2"/>
    <row r="6464" ht="12.75" customHeight="1" x14ac:dyDescent="0.2"/>
    <row r="6465" ht="12.75" customHeight="1" x14ac:dyDescent="0.2"/>
    <row r="6466" ht="12.75" customHeight="1" x14ac:dyDescent="0.2"/>
    <row r="6467" ht="12.75" customHeight="1" x14ac:dyDescent="0.2"/>
    <row r="6468" ht="12.75" customHeight="1" x14ac:dyDescent="0.2"/>
    <row r="6469" ht="12.75" customHeight="1" x14ac:dyDescent="0.2"/>
    <row r="6470" ht="12.75" customHeight="1" x14ac:dyDescent="0.2"/>
    <row r="6471" ht="12.75" customHeight="1" x14ac:dyDescent="0.2"/>
    <row r="6472" ht="12.75" customHeight="1" x14ac:dyDescent="0.2"/>
    <row r="6473" ht="12.75" customHeight="1" x14ac:dyDescent="0.2"/>
    <row r="6474" ht="12.75" customHeight="1" x14ac:dyDescent="0.2"/>
    <row r="6475" ht="12.75" customHeight="1" x14ac:dyDescent="0.2"/>
    <row r="6476" ht="12.75" customHeight="1" x14ac:dyDescent="0.2"/>
    <row r="6477" ht="12.75" customHeight="1" x14ac:dyDescent="0.2"/>
    <row r="6478" ht="12.75" customHeight="1" x14ac:dyDescent="0.2"/>
    <row r="6479" ht="12.75" customHeight="1" x14ac:dyDescent="0.2"/>
    <row r="6480" ht="12.75" customHeight="1" x14ac:dyDescent="0.2"/>
    <row r="6481" ht="12.75" customHeight="1" x14ac:dyDescent="0.2"/>
    <row r="6482" ht="12.75" customHeight="1" x14ac:dyDescent="0.2"/>
    <row r="6483" ht="12.75" customHeight="1" x14ac:dyDescent="0.2"/>
    <row r="6484" ht="12.75" customHeight="1" x14ac:dyDescent="0.2"/>
    <row r="6485" ht="12.75" customHeight="1" x14ac:dyDescent="0.2"/>
    <row r="6486" ht="12.75" customHeight="1" x14ac:dyDescent="0.2"/>
    <row r="6487" ht="12.75" customHeight="1" x14ac:dyDescent="0.2"/>
    <row r="6488" ht="12.75" customHeight="1" x14ac:dyDescent="0.2"/>
    <row r="6489" ht="12.75" customHeight="1" x14ac:dyDescent="0.2"/>
    <row r="6490" ht="12.75" customHeight="1" x14ac:dyDescent="0.2"/>
    <row r="6491" ht="12.75" customHeight="1" x14ac:dyDescent="0.2"/>
    <row r="6492" ht="12.75" customHeight="1" x14ac:dyDescent="0.2"/>
    <row r="6493" ht="12.75" customHeight="1" x14ac:dyDescent="0.2"/>
    <row r="6494" ht="12.75" customHeight="1" x14ac:dyDescent="0.2"/>
    <row r="6495" ht="12.75" customHeight="1" x14ac:dyDescent="0.2"/>
    <row r="6496" ht="12.75" customHeight="1" x14ac:dyDescent="0.2"/>
    <row r="6497" ht="12.75" customHeight="1" x14ac:dyDescent="0.2"/>
    <row r="6498" ht="12.75" customHeight="1" x14ac:dyDescent="0.2"/>
    <row r="6499" ht="12.75" customHeight="1" x14ac:dyDescent="0.2"/>
    <row r="6500" ht="12.75" customHeight="1" x14ac:dyDescent="0.2"/>
    <row r="6501" ht="12.75" customHeight="1" x14ac:dyDescent="0.2"/>
    <row r="6502" ht="12.75" customHeight="1" x14ac:dyDescent="0.2"/>
    <row r="6503" ht="12.75" customHeight="1" x14ac:dyDescent="0.2"/>
    <row r="6504" ht="12.75" customHeight="1" x14ac:dyDescent="0.2"/>
    <row r="6505" ht="12.75" customHeight="1" x14ac:dyDescent="0.2"/>
    <row r="6506" ht="12.75" customHeight="1" x14ac:dyDescent="0.2"/>
    <row r="6507" ht="12.75" customHeight="1" x14ac:dyDescent="0.2"/>
    <row r="6508" ht="12.75" customHeight="1" x14ac:dyDescent="0.2"/>
    <row r="6509" ht="12.75" customHeight="1" x14ac:dyDescent="0.2"/>
    <row r="6510" ht="12.75" customHeight="1" x14ac:dyDescent="0.2"/>
    <row r="6511" ht="12.75" customHeight="1" x14ac:dyDescent="0.2"/>
    <row r="6512" ht="12.75" customHeight="1" x14ac:dyDescent="0.2"/>
    <row r="6513" ht="12.75" customHeight="1" x14ac:dyDescent="0.2"/>
    <row r="6514" ht="12.75" customHeight="1" x14ac:dyDescent="0.2"/>
    <row r="6515" ht="12.75" customHeight="1" x14ac:dyDescent="0.2"/>
    <row r="6516" ht="12.75" customHeight="1" x14ac:dyDescent="0.2"/>
    <row r="6517" ht="12.75" customHeight="1" x14ac:dyDescent="0.2"/>
    <row r="6518" ht="12.75" customHeight="1" x14ac:dyDescent="0.2"/>
    <row r="6519" ht="12.75" customHeight="1" x14ac:dyDescent="0.2"/>
    <row r="6520" ht="12.75" customHeight="1" x14ac:dyDescent="0.2"/>
    <row r="6521" ht="12.75" customHeight="1" x14ac:dyDescent="0.2"/>
    <row r="6522" ht="12.75" customHeight="1" x14ac:dyDescent="0.2"/>
    <row r="6523" ht="12.75" customHeight="1" x14ac:dyDescent="0.2"/>
    <row r="6524" ht="12.75" customHeight="1" x14ac:dyDescent="0.2"/>
    <row r="6525" ht="12.75" customHeight="1" x14ac:dyDescent="0.2"/>
    <row r="6526" ht="12.75" customHeight="1" x14ac:dyDescent="0.2"/>
    <row r="6527" ht="12.75" customHeight="1" x14ac:dyDescent="0.2"/>
    <row r="6528" ht="12.75" customHeight="1" x14ac:dyDescent="0.2"/>
    <row r="6529" ht="12.75" customHeight="1" x14ac:dyDescent="0.2"/>
    <row r="6530" ht="12.75" customHeight="1" x14ac:dyDescent="0.2"/>
    <row r="6531" ht="12.75" customHeight="1" x14ac:dyDescent="0.2"/>
    <row r="6532" ht="12.75" customHeight="1" x14ac:dyDescent="0.2"/>
    <row r="6533" ht="12.75" customHeight="1" x14ac:dyDescent="0.2"/>
    <row r="6534" ht="12.75" customHeight="1" x14ac:dyDescent="0.2"/>
    <row r="6535" ht="12.75" customHeight="1" x14ac:dyDescent="0.2"/>
    <row r="6536" ht="12.75" customHeight="1" x14ac:dyDescent="0.2"/>
    <row r="6537" ht="12.75" customHeight="1" x14ac:dyDescent="0.2"/>
    <row r="6538" ht="12.75" customHeight="1" x14ac:dyDescent="0.2"/>
    <row r="6539" ht="12.75" customHeight="1" x14ac:dyDescent="0.2"/>
    <row r="6540" ht="12.75" customHeight="1" x14ac:dyDescent="0.2"/>
    <row r="6541" ht="12.75" customHeight="1" x14ac:dyDescent="0.2"/>
    <row r="6542" ht="12.75" customHeight="1" x14ac:dyDescent="0.2"/>
    <row r="6543" ht="12.75" customHeight="1" x14ac:dyDescent="0.2"/>
    <row r="6544" ht="12.75" customHeight="1" x14ac:dyDescent="0.2"/>
    <row r="6545" ht="12.75" customHeight="1" x14ac:dyDescent="0.2"/>
    <row r="6546" ht="12.75" customHeight="1" x14ac:dyDescent="0.2"/>
    <row r="6547" ht="12.75" customHeight="1" x14ac:dyDescent="0.2"/>
    <row r="6548" ht="12.75" customHeight="1" x14ac:dyDescent="0.2"/>
    <row r="6549" ht="12.75" customHeight="1" x14ac:dyDescent="0.2"/>
    <row r="6550" ht="12.75" customHeight="1" x14ac:dyDescent="0.2"/>
    <row r="6551" ht="12.75" customHeight="1" x14ac:dyDescent="0.2"/>
    <row r="6552" ht="12.75" customHeight="1" x14ac:dyDescent="0.2"/>
    <row r="6553" ht="12.75" customHeight="1" x14ac:dyDescent="0.2"/>
    <row r="6554" ht="12.75" customHeight="1" x14ac:dyDescent="0.2"/>
    <row r="6555" ht="12.75" customHeight="1" x14ac:dyDescent="0.2"/>
    <row r="6556" ht="12.75" customHeight="1" x14ac:dyDescent="0.2"/>
    <row r="6557" ht="12.75" customHeight="1" x14ac:dyDescent="0.2"/>
    <row r="6558" ht="12.75" customHeight="1" x14ac:dyDescent="0.2"/>
    <row r="6559" ht="12.75" customHeight="1" x14ac:dyDescent="0.2"/>
    <row r="6560" ht="12.75" customHeight="1" x14ac:dyDescent="0.2"/>
    <row r="6561" ht="12.75" customHeight="1" x14ac:dyDescent="0.2"/>
    <row r="6562" ht="12.75" customHeight="1" x14ac:dyDescent="0.2"/>
    <row r="6563" ht="12.75" customHeight="1" x14ac:dyDescent="0.2"/>
    <row r="6564" ht="12.75" customHeight="1" x14ac:dyDescent="0.2"/>
    <row r="6565" ht="12.75" customHeight="1" x14ac:dyDescent="0.2"/>
    <row r="6566" ht="12.75" customHeight="1" x14ac:dyDescent="0.2"/>
    <row r="6567" ht="12.75" customHeight="1" x14ac:dyDescent="0.2"/>
    <row r="6568" ht="12.75" customHeight="1" x14ac:dyDescent="0.2"/>
    <row r="6569" ht="12.75" customHeight="1" x14ac:dyDescent="0.2"/>
    <row r="6570" ht="12.75" customHeight="1" x14ac:dyDescent="0.2"/>
    <row r="6571" ht="12.75" customHeight="1" x14ac:dyDescent="0.2"/>
    <row r="6572" ht="12.75" customHeight="1" x14ac:dyDescent="0.2"/>
    <row r="6573" ht="12.75" customHeight="1" x14ac:dyDescent="0.2"/>
    <row r="6574" ht="12.75" customHeight="1" x14ac:dyDescent="0.2"/>
    <row r="6575" ht="12.75" customHeight="1" x14ac:dyDescent="0.2"/>
    <row r="6576" ht="12.75" customHeight="1" x14ac:dyDescent="0.2"/>
    <row r="6577" ht="12.75" customHeight="1" x14ac:dyDescent="0.2"/>
    <row r="6578" ht="12.75" customHeight="1" x14ac:dyDescent="0.2"/>
    <row r="6579" ht="12.75" customHeight="1" x14ac:dyDescent="0.2"/>
    <row r="6580" ht="12.75" customHeight="1" x14ac:dyDescent="0.2"/>
    <row r="6581" ht="12.75" customHeight="1" x14ac:dyDescent="0.2"/>
    <row r="6582" ht="12.75" customHeight="1" x14ac:dyDescent="0.2"/>
    <row r="6583" ht="12.75" customHeight="1" x14ac:dyDescent="0.2"/>
    <row r="6584" ht="12.75" customHeight="1" x14ac:dyDescent="0.2"/>
    <row r="6585" ht="12.75" customHeight="1" x14ac:dyDescent="0.2"/>
    <row r="6586" ht="12.75" customHeight="1" x14ac:dyDescent="0.2"/>
    <row r="6587" ht="12.75" customHeight="1" x14ac:dyDescent="0.2"/>
    <row r="6588" ht="12.75" customHeight="1" x14ac:dyDescent="0.2"/>
    <row r="6589" ht="12.75" customHeight="1" x14ac:dyDescent="0.2"/>
    <row r="6590" ht="12.75" customHeight="1" x14ac:dyDescent="0.2"/>
    <row r="6591" ht="12.75" customHeight="1" x14ac:dyDescent="0.2"/>
    <row r="6592" ht="12.75" customHeight="1" x14ac:dyDescent="0.2"/>
    <row r="6593" ht="12.75" customHeight="1" x14ac:dyDescent="0.2"/>
    <row r="6594" ht="12.75" customHeight="1" x14ac:dyDescent="0.2"/>
    <row r="6595" ht="12.75" customHeight="1" x14ac:dyDescent="0.2"/>
    <row r="6596" ht="12.75" customHeight="1" x14ac:dyDescent="0.2"/>
    <row r="6597" ht="12.75" customHeight="1" x14ac:dyDescent="0.2"/>
    <row r="6598" ht="12.75" customHeight="1" x14ac:dyDescent="0.2"/>
    <row r="6599" ht="12.75" customHeight="1" x14ac:dyDescent="0.2"/>
    <row r="6600" ht="12.75" customHeight="1" x14ac:dyDescent="0.2"/>
    <row r="6601" ht="12.75" customHeight="1" x14ac:dyDescent="0.2"/>
    <row r="6602" ht="12.75" customHeight="1" x14ac:dyDescent="0.2"/>
    <row r="6603" ht="12.75" customHeight="1" x14ac:dyDescent="0.2"/>
    <row r="6604" ht="12.75" customHeight="1" x14ac:dyDescent="0.2"/>
    <row r="6605" ht="12.75" customHeight="1" x14ac:dyDescent="0.2"/>
    <row r="6606" ht="12.75" customHeight="1" x14ac:dyDescent="0.2"/>
    <row r="6607" ht="12.75" customHeight="1" x14ac:dyDescent="0.2"/>
    <row r="6608" ht="12.75" customHeight="1" x14ac:dyDescent="0.2"/>
    <row r="6609" ht="12.75" customHeight="1" x14ac:dyDescent="0.2"/>
    <row r="6610" ht="12.75" customHeight="1" x14ac:dyDescent="0.2"/>
    <row r="6611" ht="12.75" customHeight="1" x14ac:dyDescent="0.2"/>
    <row r="6612" ht="12.75" customHeight="1" x14ac:dyDescent="0.2"/>
    <row r="6613" ht="12.75" customHeight="1" x14ac:dyDescent="0.2"/>
    <row r="6614" ht="12.75" customHeight="1" x14ac:dyDescent="0.2"/>
    <row r="6615" ht="12.75" customHeight="1" x14ac:dyDescent="0.2"/>
    <row r="6616" ht="12.75" customHeight="1" x14ac:dyDescent="0.2"/>
    <row r="6617" ht="12.75" customHeight="1" x14ac:dyDescent="0.2"/>
    <row r="6618" ht="12.75" customHeight="1" x14ac:dyDescent="0.2"/>
    <row r="6619" ht="12.75" customHeight="1" x14ac:dyDescent="0.2"/>
    <row r="6620" ht="12.75" customHeight="1" x14ac:dyDescent="0.2"/>
    <row r="6621" ht="12.75" customHeight="1" x14ac:dyDescent="0.2"/>
    <row r="6622" ht="12.75" customHeight="1" x14ac:dyDescent="0.2"/>
    <row r="6623" ht="12.75" customHeight="1" x14ac:dyDescent="0.2"/>
    <row r="6624" ht="12.75" customHeight="1" x14ac:dyDescent="0.2"/>
    <row r="6625" ht="12.75" customHeight="1" x14ac:dyDescent="0.2"/>
    <row r="6626" ht="12.75" customHeight="1" x14ac:dyDescent="0.2"/>
    <row r="6627" ht="12.75" customHeight="1" x14ac:dyDescent="0.2"/>
    <row r="6628" ht="12.75" customHeight="1" x14ac:dyDescent="0.2"/>
    <row r="6629" ht="12.75" customHeight="1" x14ac:dyDescent="0.2"/>
    <row r="6630" ht="12.75" customHeight="1" x14ac:dyDescent="0.2"/>
    <row r="6631" ht="12.75" customHeight="1" x14ac:dyDescent="0.2"/>
    <row r="6632" ht="12.75" customHeight="1" x14ac:dyDescent="0.2"/>
    <row r="6633" ht="12.75" customHeight="1" x14ac:dyDescent="0.2"/>
    <row r="6634" ht="12.75" customHeight="1" x14ac:dyDescent="0.2"/>
    <row r="6635" ht="12.75" customHeight="1" x14ac:dyDescent="0.2"/>
    <row r="6636" ht="12.75" customHeight="1" x14ac:dyDescent="0.2"/>
    <row r="6637" ht="12.75" customHeight="1" x14ac:dyDescent="0.2"/>
    <row r="6638" ht="12.75" customHeight="1" x14ac:dyDescent="0.2"/>
    <row r="6639" ht="12.75" customHeight="1" x14ac:dyDescent="0.2"/>
    <row r="6640" ht="12.75" customHeight="1" x14ac:dyDescent="0.2"/>
    <row r="6641" ht="12.75" customHeight="1" x14ac:dyDescent="0.2"/>
    <row r="6642" ht="12.75" customHeight="1" x14ac:dyDescent="0.2"/>
    <row r="6643" ht="12.75" customHeight="1" x14ac:dyDescent="0.2"/>
    <row r="6644" ht="12.75" customHeight="1" x14ac:dyDescent="0.2"/>
    <row r="6645" ht="12.75" customHeight="1" x14ac:dyDescent="0.2"/>
    <row r="6646" ht="12.75" customHeight="1" x14ac:dyDescent="0.2"/>
    <row r="6647" ht="12.75" customHeight="1" x14ac:dyDescent="0.2"/>
    <row r="6648" ht="12.75" customHeight="1" x14ac:dyDescent="0.2"/>
    <row r="6649" ht="12.75" customHeight="1" x14ac:dyDescent="0.2"/>
    <row r="6650" ht="12.75" customHeight="1" x14ac:dyDescent="0.2"/>
    <row r="6651" ht="12.75" customHeight="1" x14ac:dyDescent="0.2"/>
    <row r="6652" ht="12.75" customHeight="1" x14ac:dyDescent="0.2"/>
    <row r="6653" ht="12.75" customHeight="1" x14ac:dyDescent="0.2"/>
    <row r="6654" ht="12.75" customHeight="1" x14ac:dyDescent="0.2"/>
    <row r="6655" ht="12.75" customHeight="1" x14ac:dyDescent="0.2"/>
    <row r="6656" ht="12.75" customHeight="1" x14ac:dyDescent="0.2"/>
    <row r="6657" ht="12.75" customHeight="1" x14ac:dyDescent="0.2"/>
    <row r="6658" ht="12.75" customHeight="1" x14ac:dyDescent="0.2"/>
    <row r="6659" ht="12.75" customHeight="1" x14ac:dyDescent="0.2"/>
    <row r="6660" ht="12.75" customHeight="1" x14ac:dyDescent="0.2"/>
    <row r="6661" ht="12.75" customHeight="1" x14ac:dyDescent="0.2"/>
    <row r="6662" ht="12.75" customHeight="1" x14ac:dyDescent="0.2"/>
    <row r="6663" ht="12.75" customHeight="1" x14ac:dyDescent="0.2"/>
    <row r="6664" ht="12.75" customHeight="1" x14ac:dyDescent="0.2"/>
    <row r="6665" ht="12.75" customHeight="1" x14ac:dyDescent="0.2"/>
    <row r="6666" ht="12.75" customHeight="1" x14ac:dyDescent="0.2"/>
    <row r="6667" ht="12.75" customHeight="1" x14ac:dyDescent="0.2"/>
    <row r="6668" ht="12.75" customHeight="1" x14ac:dyDescent="0.2"/>
    <row r="6669" ht="12.75" customHeight="1" x14ac:dyDescent="0.2"/>
    <row r="6670" ht="12.75" customHeight="1" x14ac:dyDescent="0.2"/>
    <row r="6671" ht="12.75" customHeight="1" x14ac:dyDescent="0.2"/>
    <row r="6672" ht="12.75" customHeight="1" x14ac:dyDescent="0.2"/>
    <row r="6673" ht="12.75" customHeight="1" x14ac:dyDescent="0.2"/>
    <row r="6674" ht="12.75" customHeight="1" x14ac:dyDescent="0.2"/>
    <row r="6675" ht="12.75" customHeight="1" x14ac:dyDescent="0.2"/>
    <row r="6676" ht="12.75" customHeight="1" x14ac:dyDescent="0.2"/>
    <row r="6677" ht="12.75" customHeight="1" x14ac:dyDescent="0.2"/>
    <row r="6678" ht="12.75" customHeight="1" x14ac:dyDescent="0.2"/>
    <row r="6679" ht="12.75" customHeight="1" x14ac:dyDescent="0.2"/>
    <row r="6680" ht="12.75" customHeight="1" x14ac:dyDescent="0.2"/>
    <row r="6681" ht="12.75" customHeight="1" x14ac:dyDescent="0.2"/>
    <row r="6682" ht="12.75" customHeight="1" x14ac:dyDescent="0.2"/>
    <row r="6683" ht="12.75" customHeight="1" x14ac:dyDescent="0.2"/>
    <row r="6684" ht="12.75" customHeight="1" x14ac:dyDescent="0.2"/>
    <row r="6685" ht="12.75" customHeight="1" x14ac:dyDescent="0.2"/>
    <row r="6686" ht="12.75" customHeight="1" x14ac:dyDescent="0.2"/>
    <row r="6687" ht="12.75" customHeight="1" x14ac:dyDescent="0.2"/>
    <row r="6688" ht="12.75" customHeight="1" x14ac:dyDescent="0.2"/>
    <row r="6689" ht="12.75" customHeight="1" x14ac:dyDescent="0.2"/>
    <row r="6690" ht="12.75" customHeight="1" x14ac:dyDescent="0.2"/>
    <row r="6691" ht="12.75" customHeight="1" x14ac:dyDescent="0.2"/>
    <row r="6692" ht="12.75" customHeight="1" x14ac:dyDescent="0.2"/>
    <row r="6693" ht="12.75" customHeight="1" x14ac:dyDescent="0.2"/>
    <row r="6694" ht="12.75" customHeight="1" x14ac:dyDescent="0.2"/>
    <row r="6695" ht="12.75" customHeight="1" x14ac:dyDescent="0.2"/>
    <row r="6696" ht="12.75" customHeight="1" x14ac:dyDescent="0.2"/>
    <row r="6697" ht="12.75" customHeight="1" x14ac:dyDescent="0.2"/>
    <row r="6698" ht="12.75" customHeight="1" x14ac:dyDescent="0.2"/>
    <row r="6699" ht="12.75" customHeight="1" x14ac:dyDescent="0.2"/>
    <row r="6700" ht="12.75" customHeight="1" x14ac:dyDescent="0.2"/>
    <row r="6701" ht="12.75" customHeight="1" x14ac:dyDescent="0.2"/>
    <row r="6702" ht="12.75" customHeight="1" x14ac:dyDescent="0.2"/>
    <row r="6703" ht="12.75" customHeight="1" x14ac:dyDescent="0.2"/>
    <row r="6704" ht="12.75" customHeight="1" x14ac:dyDescent="0.2"/>
    <row r="6705" ht="12.75" customHeight="1" x14ac:dyDescent="0.2"/>
    <row r="6706" ht="12.75" customHeight="1" x14ac:dyDescent="0.2"/>
    <row r="6707" ht="12.75" customHeight="1" x14ac:dyDescent="0.2"/>
    <row r="6708" ht="12.75" customHeight="1" x14ac:dyDescent="0.2"/>
    <row r="6709" ht="12.75" customHeight="1" x14ac:dyDescent="0.2"/>
    <row r="6710" ht="12.75" customHeight="1" x14ac:dyDescent="0.2"/>
    <row r="6711" ht="12.75" customHeight="1" x14ac:dyDescent="0.2"/>
    <row r="6712" ht="12.75" customHeight="1" x14ac:dyDescent="0.2"/>
    <row r="6713" ht="12.75" customHeight="1" x14ac:dyDescent="0.2"/>
    <row r="6714" ht="12.75" customHeight="1" x14ac:dyDescent="0.2"/>
    <row r="6715" ht="12.75" customHeight="1" x14ac:dyDescent="0.2"/>
    <row r="6716" ht="12.75" customHeight="1" x14ac:dyDescent="0.2"/>
    <row r="6717" ht="12.75" customHeight="1" x14ac:dyDescent="0.2"/>
    <row r="6718" ht="12.75" customHeight="1" x14ac:dyDescent="0.2"/>
    <row r="6719" ht="12.75" customHeight="1" x14ac:dyDescent="0.2"/>
    <row r="6720" ht="12.75" customHeight="1" x14ac:dyDescent="0.2"/>
    <row r="6721" ht="12.75" customHeight="1" x14ac:dyDescent="0.2"/>
    <row r="6722" ht="12.75" customHeight="1" x14ac:dyDescent="0.2"/>
    <row r="6723" ht="12.75" customHeight="1" x14ac:dyDescent="0.2"/>
    <row r="6724" ht="12.75" customHeight="1" x14ac:dyDescent="0.2"/>
    <row r="6725" ht="12.75" customHeight="1" x14ac:dyDescent="0.2"/>
    <row r="6726" ht="12.75" customHeight="1" x14ac:dyDescent="0.2"/>
    <row r="6727" ht="12.75" customHeight="1" x14ac:dyDescent="0.2"/>
    <row r="6728" ht="12.75" customHeight="1" x14ac:dyDescent="0.2"/>
    <row r="6729" ht="12.75" customHeight="1" x14ac:dyDescent="0.2"/>
    <row r="6730" ht="12.75" customHeight="1" x14ac:dyDescent="0.2"/>
    <row r="6731" ht="12.75" customHeight="1" x14ac:dyDescent="0.2"/>
    <row r="6732" ht="12.75" customHeight="1" x14ac:dyDescent="0.2"/>
    <row r="6733" ht="12.75" customHeight="1" x14ac:dyDescent="0.2"/>
    <row r="6734" ht="12.75" customHeight="1" x14ac:dyDescent="0.2"/>
    <row r="6735" ht="12.75" customHeight="1" x14ac:dyDescent="0.2"/>
    <row r="6736" ht="12.75" customHeight="1" x14ac:dyDescent="0.2"/>
    <row r="6737" ht="12.75" customHeight="1" x14ac:dyDescent="0.2"/>
    <row r="6738" ht="12.75" customHeight="1" x14ac:dyDescent="0.2"/>
    <row r="6739" ht="12.75" customHeight="1" x14ac:dyDescent="0.2"/>
    <row r="6740" ht="12.75" customHeight="1" x14ac:dyDescent="0.2"/>
    <row r="6741" ht="12.75" customHeight="1" x14ac:dyDescent="0.2"/>
    <row r="6742" ht="12.75" customHeight="1" x14ac:dyDescent="0.2"/>
    <row r="6743" ht="12.75" customHeight="1" x14ac:dyDescent="0.2"/>
    <row r="6744" ht="12.75" customHeight="1" x14ac:dyDescent="0.2"/>
    <row r="6745" ht="12.75" customHeight="1" x14ac:dyDescent="0.2"/>
    <row r="6746" ht="12.75" customHeight="1" x14ac:dyDescent="0.2"/>
    <row r="6747" ht="12.75" customHeight="1" x14ac:dyDescent="0.2"/>
    <row r="6748" ht="12.75" customHeight="1" x14ac:dyDescent="0.2"/>
    <row r="6749" ht="12.75" customHeight="1" x14ac:dyDescent="0.2"/>
    <row r="6750" ht="12.75" customHeight="1" x14ac:dyDescent="0.2"/>
    <row r="6751" ht="12.75" customHeight="1" x14ac:dyDescent="0.2"/>
    <row r="6752" ht="12.75" customHeight="1" x14ac:dyDescent="0.2"/>
    <row r="6753" ht="12.75" customHeight="1" x14ac:dyDescent="0.2"/>
    <row r="6754" ht="12.75" customHeight="1" x14ac:dyDescent="0.2"/>
    <row r="6755" ht="12.75" customHeight="1" x14ac:dyDescent="0.2"/>
    <row r="6756" ht="12.75" customHeight="1" x14ac:dyDescent="0.2"/>
    <row r="6757" ht="12.75" customHeight="1" x14ac:dyDescent="0.2"/>
    <row r="6758" ht="12.75" customHeight="1" x14ac:dyDescent="0.2"/>
    <row r="6759" ht="12.75" customHeight="1" x14ac:dyDescent="0.2"/>
    <row r="6760" ht="12.75" customHeight="1" x14ac:dyDescent="0.2"/>
    <row r="6761" ht="12.75" customHeight="1" x14ac:dyDescent="0.2"/>
    <row r="6762" ht="12.75" customHeight="1" x14ac:dyDescent="0.2"/>
    <row r="6763" ht="12.75" customHeight="1" x14ac:dyDescent="0.2"/>
    <row r="6764" ht="12.75" customHeight="1" x14ac:dyDescent="0.2"/>
    <row r="6765" ht="12.75" customHeight="1" x14ac:dyDescent="0.2"/>
    <row r="6766" ht="12.75" customHeight="1" x14ac:dyDescent="0.2"/>
    <row r="6767" ht="12.75" customHeight="1" x14ac:dyDescent="0.2"/>
    <row r="6768" ht="12.75" customHeight="1" x14ac:dyDescent="0.2"/>
    <row r="6769" ht="12.75" customHeight="1" x14ac:dyDescent="0.2"/>
    <row r="6770" ht="12.75" customHeight="1" x14ac:dyDescent="0.2"/>
    <row r="6771" ht="12.75" customHeight="1" x14ac:dyDescent="0.2"/>
    <row r="6772" ht="12.75" customHeight="1" x14ac:dyDescent="0.2"/>
    <row r="6773" ht="12.75" customHeight="1" x14ac:dyDescent="0.2"/>
    <row r="6774" ht="12.75" customHeight="1" x14ac:dyDescent="0.2"/>
    <row r="6775" ht="12.75" customHeight="1" x14ac:dyDescent="0.2"/>
    <row r="6776" ht="12.75" customHeight="1" x14ac:dyDescent="0.2"/>
    <row r="6777" ht="12.75" customHeight="1" x14ac:dyDescent="0.2"/>
    <row r="6778" ht="12.75" customHeight="1" x14ac:dyDescent="0.2"/>
    <row r="6779" ht="12.75" customHeight="1" x14ac:dyDescent="0.2"/>
    <row r="6780" ht="12.75" customHeight="1" x14ac:dyDescent="0.2"/>
    <row r="6781" ht="12.75" customHeight="1" x14ac:dyDescent="0.2"/>
    <row r="6782" ht="12.75" customHeight="1" x14ac:dyDescent="0.2"/>
    <row r="6783" ht="12.75" customHeight="1" x14ac:dyDescent="0.2"/>
    <row r="6784" ht="12.75" customHeight="1" x14ac:dyDescent="0.2"/>
    <row r="6785" ht="12.75" customHeight="1" x14ac:dyDescent="0.2"/>
    <row r="6786" ht="12.75" customHeight="1" x14ac:dyDescent="0.2"/>
    <row r="6787" ht="12.75" customHeight="1" x14ac:dyDescent="0.2"/>
    <row r="6788" ht="12.75" customHeight="1" x14ac:dyDescent="0.2"/>
    <row r="6789" ht="12.75" customHeight="1" x14ac:dyDescent="0.2"/>
    <row r="6790" ht="12.75" customHeight="1" x14ac:dyDescent="0.2"/>
    <row r="6791" ht="12.75" customHeight="1" x14ac:dyDescent="0.2"/>
    <row r="6792" ht="12.75" customHeight="1" x14ac:dyDescent="0.2"/>
    <row r="6793" ht="12.75" customHeight="1" x14ac:dyDescent="0.2"/>
    <row r="6794" ht="12.75" customHeight="1" x14ac:dyDescent="0.2"/>
    <row r="6795" ht="12.75" customHeight="1" x14ac:dyDescent="0.2"/>
    <row r="6796" ht="12.75" customHeight="1" x14ac:dyDescent="0.2"/>
    <row r="6797" ht="12.75" customHeight="1" x14ac:dyDescent="0.2"/>
    <row r="6798" ht="12.75" customHeight="1" x14ac:dyDescent="0.2"/>
    <row r="6799" ht="12.75" customHeight="1" x14ac:dyDescent="0.2"/>
    <row r="6800" ht="12.75" customHeight="1" x14ac:dyDescent="0.2"/>
    <row r="6801" ht="12.75" customHeight="1" x14ac:dyDescent="0.2"/>
    <row r="6802" ht="12.75" customHeight="1" x14ac:dyDescent="0.2"/>
    <row r="6803" ht="12.75" customHeight="1" x14ac:dyDescent="0.2"/>
    <row r="6804" ht="12.75" customHeight="1" x14ac:dyDescent="0.2"/>
    <row r="6805" ht="12.75" customHeight="1" x14ac:dyDescent="0.2"/>
    <row r="6806" ht="12.75" customHeight="1" x14ac:dyDescent="0.2"/>
    <row r="6807" ht="12.75" customHeight="1" x14ac:dyDescent="0.2"/>
    <row r="6808" ht="12.75" customHeight="1" x14ac:dyDescent="0.2"/>
    <row r="6809" ht="12.75" customHeight="1" x14ac:dyDescent="0.2"/>
    <row r="6810" ht="12.75" customHeight="1" x14ac:dyDescent="0.2"/>
    <row r="6811" ht="12.75" customHeight="1" x14ac:dyDescent="0.2"/>
    <row r="6812" ht="12.75" customHeight="1" x14ac:dyDescent="0.2"/>
    <row r="6813" ht="12.75" customHeight="1" x14ac:dyDescent="0.2"/>
    <row r="6814" ht="12.75" customHeight="1" x14ac:dyDescent="0.2"/>
    <row r="6815" ht="12.75" customHeight="1" x14ac:dyDescent="0.2"/>
    <row r="6816" ht="12.75" customHeight="1" x14ac:dyDescent="0.2"/>
    <row r="6817" ht="12.75" customHeight="1" x14ac:dyDescent="0.2"/>
    <row r="6818" ht="12.75" customHeight="1" x14ac:dyDescent="0.2"/>
    <row r="6819" ht="12.75" customHeight="1" x14ac:dyDescent="0.2"/>
    <row r="6820" ht="12.75" customHeight="1" x14ac:dyDescent="0.2"/>
    <row r="6821" ht="12.75" customHeight="1" x14ac:dyDescent="0.2"/>
    <row r="6822" ht="12.75" customHeight="1" x14ac:dyDescent="0.2"/>
    <row r="6823" ht="12.75" customHeight="1" x14ac:dyDescent="0.2"/>
    <row r="6824" ht="12.75" customHeight="1" x14ac:dyDescent="0.2"/>
    <row r="6825" ht="12.75" customHeight="1" x14ac:dyDescent="0.2"/>
    <row r="6826" ht="12.75" customHeight="1" x14ac:dyDescent="0.2"/>
    <row r="6827" ht="12.75" customHeight="1" x14ac:dyDescent="0.2"/>
    <row r="6828" ht="12.75" customHeight="1" x14ac:dyDescent="0.2"/>
    <row r="6829" ht="12.75" customHeight="1" x14ac:dyDescent="0.2"/>
    <row r="6830" ht="12.75" customHeight="1" x14ac:dyDescent="0.2"/>
    <row r="6831" ht="12.75" customHeight="1" x14ac:dyDescent="0.2"/>
    <row r="6832" ht="12.75" customHeight="1" x14ac:dyDescent="0.2"/>
    <row r="6833" ht="12.75" customHeight="1" x14ac:dyDescent="0.2"/>
    <row r="6834" ht="12.75" customHeight="1" x14ac:dyDescent="0.2"/>
    <row r="6835" ht="12.75" customHeight="1" x14ac:dyDescent="0.2"/>
    <row r="6836" ht="12.75" customHeight="1" x14ac:dyDescent="0.2"/>
    <row r="6837" ht="12.75" customHeight="1" x14ac:dyDescent="0.2"/>
    <row r="6838" ht="12.75" customHeight="1" x14ac:dyDescent="0.2"/>
    <row r="6839" ht="12.75" customHeight="1" x14ac:dyDescent="0.2"/>
    <row r="6840" ht="12.75" customHeight="1" x14ac:dyDescent="0.2"/>
    <row r="6841" ht="12.75" customHeight="1" x14ac:dyDescent="0.2"/>
    <row r="6842" ht="12.75" customHeight="1" x14ac:dyDescent="0.2"/>
    <row r="6843" ht="12.75" customHeight="1" x14ac:dyDescent="0.2"/>
    <row r="6844" ht="12.75" customHeight="1" x14ac:dyDescent="0.2"/>
    <row r="6845" ht="12.75" customHeight="1" x14ac:dyDescent="0.2"/>
    <row r="6846" ht="12.75" customHeight="1" x14ac:dyDescent="0.2"/>
    <row r="6847" ht="12.75" customHeight="1" x14ac:dyDescent="0.2"/>
    <row r="6848" ht="12.75" customHeight="1" x14ac:dyDescent="0.2"/>
    <row r="6849" ht="12.75" customHeight="1" x14ac:dyDescent="0.2"/>
    <row r="6850" ht="12.75" customHeight="1" x14ac:dyDescent="0.2"/>
    <row r="6851" ht="12.75" customHeight="1" x14ac:dyDescent="0.2"/>
    <row r="6852" ht="12.75" customHeight="1" x14ac:dyDescent="0.2"/>
    <row r="6853" ht="12.75" customHeight="1" x14ac:dyDescent="0.2"/>
    <row r="6854" ht="12.75" customHeight="1" x14ac:dyDescent="0.2"/>
    <row r="6855" ht="12.75" customHeight="1" x14ac:dyDescent="0.2"/>
    <row r="6856" ht="12.75" customHeight="1" x14ac:dyDescent="0.2"/>
    <row r="6857" ht="12.75" customHeight="1" x14ac:dyDescent="0.2"/>
    <row r="6858" ht="12.75" customHeight="1" x14ac:dyDescent="0.2"/>
    <row r="6859" ht="12.75" customHeight="1" x14ac:dyDescent="0.2"/>
    <row r="6860" ht="12.75" customHeight="1" x14ac:dyDescent="0.2"/>
    <row r="6861" ht="12.75" customHeight="1" x14ac:dyDescent="0.2"/>
    <row r="6862" ht="12.75" customHeight="1" x14ac:dyDescent="0.2"/>
    <row r="6863" ht="12.75" customHeight="1" x14ac:dyDescent="0.2"/>
    <row r="6864" ht="12.75" customHeight="1" x14ac:dyDescent="0.2"/>
    <row r="6865" ht="12.75" customHeight="1" x14ac:dyDescent="0.2"/>
    <row r="6866" ht="12.75" customHeight="1" x14ac:dyDescent="0.2"/>
    <row r="6867" ht="12.75" customHeight="1" x14ac:dyDescent="0.2"/>
    <row r="6868" ht="12.75" customHeight="1" x14ac:dyDescent="0.2"/>
    <row r="6869" ht="12.75" customHeight="1" x14ac:dyDescent="0.2"/>
    <row r="6870" ht="12.75" customHeight="1" x14ac:dyDescent="0.2"/>
    <row r="6871" ht="12.75" customHeight="1" x14ac:dyDescent="0.2"/>
    <row r="6872" ht="12.75" customHeight="1" x14ac:dyDescent="0.2"/>
    <row r="6873" ht="12.75" customHeight="1" x14ac:dyDescent="0.2"/>
    <row r="6874" ht="12.75" customHeight="1" x14ac:dyDescent="0.2"/>
    <row r="6875" ht="12.75" customHeight="1" x14ac:dyDescent="0.2"/>
    <row r="6876" ht="12.75" customHeight="1" x14ac:dyDescent="0.2"/>
    <row r="6877" ht="12.75" customHeight="1" x14ac:dyDescent="0.2"/>
    <row r="6878" ht="12.75" customHeight="1" x14ac:dyDescent="0.2"/>
    <row r="6879" ht="12.75" customHeight="1" x14ac:dyDescent="0.2"/>
    <row r="6880" ht="12.75" customHeight="1" x14ac:dyDescent="0.2"/>
    <row r="6881" ht="12.75" customHeight="1" x14ac:dyDescent="0.2"/>
    <row r="6882" ht="12.75" customHeight="1" x14ac:dyDescent="0.2"/>
    <row r="6883" ht="12.75" customHeight="1" x14ac:dyDescent="0.2"/>
    <row r="6884" ht="12.75" customHeight="1" x14ac:dyDescent="0.2"/>
    <row r="6885" ht="12.75" customHeight="1" x14ac:dyDescent="0.2"/>
    <row r="6886" ht="12.75" customHeight="1" x14ac:dyDescent="0.2"/>
    <row r="6887" ht="12.75" customHeight="1" x14ac:dyDescent="0.2"/>
    <row r="6888" ht="12.75" customHeight="1" x14ac:dyDescent="0.2"/>
    <row r="6889" ht="12.75" customHeight="1" x14ac:dyDescent="0.2"/>
    <row r="6890" ht="12.75" customHeight="1" x14ac:dyDescent="0.2"/>
    <row r="6891" ht="12.75" customHeight="1" x14ac:dyDescent="0.2"/>
    <row r="6892" ht="12.75" customHeight="1" x14ac:dyDescent="0.2"/>
    <row r="6893" ht="12.75" customHeight="1" x14ac:dyDescent="0.2"/>
    <row r="6894" ht="12.75" customHeight="1" x14ac:dyDescent="0.2"/>
    <row r="6895" ht="12.75" customHeight="1" x14ac:dyDescent="0.2"/>
    <row r="6896" ht="12.75" customHeight="1" x14ac:dyDescent="0.2"/>
    <row r="6897" ht="12.75" customHeight="1" x14ac:dyDescent="0.2"/>
    <row r="6898" ht="12.75" customHeight="1" x14ac:dyDescent="0.2"/>
    <row r="6899" ht="12.75" customHeight="1" x14ac:dyDescent="0.2"/>
    <row r="6900" ht="12.75" customHeight="1" x14ac:dyDescent="0.2"/>
    <row r="6901" ht="12.75" customHeight="1" x14ac:dyDescent="0.2"/>
    <row r="6902" ht="12.75" customHeight="1" x14ac:dyDescent="0.2"/>
    <row r="6903" ht="12.75" customHeight="1" x14ac:dyDescent="0.2"/>
    <row r="6904" ht="12.75" customHeight="1" x14ac:dyDescent="0.2"/>
    <row r="6905" ht="12.75" customHeight="1" x14ac:dyDescent="0.2"/>
    <row r="6906" ht="12.75" customHeight="1" x14ac:dyDescent="0.2"/>
    <row r="6907" ht="12.75" customHeight="1" x14ac:dyDescent="0.2"/>
    <row r="6908" ht="12.75" customHeight="1" x14ac:dyDescent="0.2"/>
    <row r="6909" ht="12.75" customHeight="1" x14ac:dyDescent="0.2"/>
    <row r="6910" ht="12.75" customHeight="1" x14ac:dyDescent="0.2"/>
    <row r="6911" ht="12.75" customHeight="1" x14ac:dyDescent="0.2"/>
    <row r="6912" ht="12.75" customHeight="1" x14ac:dyDescent="0.2"/>
    <row r="6913" ht="12.75" customHeight="1" x14ac:dyDescent="0.2"/>
    <row r="6914" ht="12.75" customHeight="1" x14ac:dyDescent="0.2"/>
    <row r="6915" ht="12.75" customHeight="1" x14ac:dyDescent="0.2"/>
    <row r="6916" ht="12.75" customHeight="1" x14ac:dyDescent="0.2"/>
    <row r="6917" ht="12.75" customHeight="1" x14ac:dyDescent="0.2"/>
    <row r="6918" ht="12.75" customHeight="1" x14ac:dyDescent="0.2"/>
    <row r="6919" ht="12.75" customHeight="1" x14ac:dyDescent="0.2"/>
    <row r="6920" ht="12.75" customHeight="1" x14ac:dyDescent="0.2"/>
    <row r="6921" ht="12.75" customHeight="1" x14ac:dyDescent="0.2"/>
    <row r="6922" ht="12.75" customHeight="1" x14ac:dyDescent="0.2"/>
    <row r="6923" ht="12.75" customHeight="1" x14ac:dyDescent="0.2"/>
    <row r="6924" ht="12.75" customHeight="1" x14ac:dyDescent="0.2"/>
    <row r="6925" ht="12.75" customHeight="1" x14ac:dyDescent="0.2"/>
    <row r="6926" ht="12.75" customHeight="1" x14ac:dyDescent="0.2"/>
    <row r="6927" ht="12.75" customHeight="1" x14ac:dyDescent="0.2"/>
    <row r="6928" ht="12.75" customHeight="1" x14ac:dyDescent="0.2"/>
    <row r="6929" ht="12.75" customHeight="1" x14ac:dyDescent="0.2"/>
    <row r="6930" ht="12.75" customHeight="1" x14ac:dyDescent="0.2"/>
    <row r="6931" ht="12.75" customHeight="1" x14ac:dyDescent="0.2"/>
    <row r="6932" ht="12.75" customHeight="1" x14ac:dyDescent="0.2"/>
    <row r="6933" ht="12.75" customHeight="1" x14ac:dyDescent="0.2"/>
    <row r="6934" ht="12.75" customHeight="1" x14ac:dyDescent="0.2"/>
    <row r="6935" ht="12.75" customHeight="1" x14ac:dyDescent="0.2"/>
    <row r="6936" ht="12.75" customHeight="1" x14ac:dyDescent="0.2"/>
    <row r="6937" ht="12.75" customHeight="1" x14ac:dyDescent="0.2"/>
    <row r="6938" ht="12.75" customHeight="1" x14ac:dyDescent="0.2"/>
    <row r="6939" ht="12.75" customHeight="1" x14ac:dyDescent="0.2"/>
    <row r="6940" ht="12.75" customHeight="1" x14ac:dyDescent="0.2"/>
    <row r="6941" ht="12.75" customHeight="1" x14ac:dyDescent="0.2"/>
    <row r="6942" ht="12.75" customHeight="1" x14ac:dyDescent="0.2"/>
    <row r="6943" ht="12.75" customHeight="1" x14ac:dyDescent="0.2"/>
    <row r="6944" ht="12.75" customHeight="1" x14ac:dyDescent="0.2"/>
    <row r="6945" ht="12.75" customHeight="1" x14ac:dyDescent="0.2"/>
    <row r="6946" ht="12.75" customHeight="1" x14ac:dyDescent="0.2"/>
    <row r="6947" ht="12.75" customHeight="1" x14ac:dyDescent="0.2"/>
    <row r="6948" ht="12.75" customHeight="1" x14ac:dyDescent="0.2"/>
    <row r="6949" ht="12.75" customHeight="1" x14ac:dyDescent="0.2"/>
    <row r="6950" ht="12.75" customHeight="1" x14ac:dyDescent="0.2"/>
    <row r="6951" ht="12.75" customHeight="1" x14ac:dyDescent="0.2"/>
    <row r="6952" ht="12.75" customHeight="1" x14ac:dyDescent="0.2"/>
    <row r="6953" ht="12.75" customHeight="1" x14ac:dyDescent="0.2"/>
    <row r="6954" ht="12.75" customHeight="1" x14ac:dyDescent="0.2"/>
    <row r="6955" ht="12.75" customHeight="1" x14ac:dyDescent="0.2"/>
    <row r="6956" ht="12.75" customHeight="1" x14ac:dyDescent="0.2"/>
    <row r="6957" ht="12.75" customHeight="1" x14ac:dyDescent="0.2"/>
    <row r="6958" ht="12.75" customHeight="1" x14ac:dyDescent="0.2"/>
    <row r="6959" ht="12.75" customHeight="1" x14ac:dyDescent="0.2"/>
    <row r="6960" ht="12.75" customHeight="1" x14ac:dyDescent="0.2"/>
    <row r="6961" ht="12.75" customHeight="1" x14ac:dyDescent="0.2"/>
    <row r="6962" ht="12.75" customHeight="1" x14ac:dyDescent="0.2"/>
    <row r="6963" ht="12.75" customHeight="1" x14ac:dyDescent="0.2"/>
    <row r="6964" ht="12.75" customHeight="1" x14ac:dyDescent="0.2"/>
    <row r="6965" ht="12.75" customHeight="1" x14ac:dyDescent="0.2"/>
    <row r="6966" ht="12.75" customHeight="1" x14ac:dyDescent="0.2"/>
    <row r="6967" ht="12.75" customHeight="1" x14ac:dyDescent="0.2"/>
    <row r="6968" ht="12.75" customHeight="1" x14ac:dyDescent="0.2"/>
    <row r="6969" ht="12.75" customHeight="1" x14ac:dyDescent="0.2"/>
    <row r="6970" ht="12.75" customHeight="1" x14ac:dyDescent="0.2"/>
    <row r="6971" ht="12.75" customHeight="1" x14ac:dyDescent="0.2"/>
    <row r="6972" ht="12.75" customHeight="1" x14ac:dyDescent="0.2"/>
    <row r="6973" ht="12.75" customHeight="1" x14ac:dyDescent="0.2"/>
    <row r="6974" ht="12.75" customHeight="1" x14ac:dyDescent="0.2"/>
    <row r="6975" ht="12.75" customHeight="1" x14ac:dyDescent="0.2"/>
    <row r="6976" ht="12.75" customHeight="1" x14ac:dyDescent="0.2"/>
    <row r="6977" ht="12.75" customHeight="1" x14ac:dyDescent="0.2"/>
    <row r="6978" ht="12.75" customHeight="1" x14ac:dyDescent="0.2"/>
    <row r="6979" ht="12.75" customHeight="1" x14ac:dyDescent="0.2"/>
    <row r="6980" ht="12.75" customHeight="1" x14ac:dyDescent="0.2"/>
    <row r="6981" ht="12.75" customHeight="1" x14ac:dyDescent="0.2"/>
    <row r="6982" ht="12.75" customHeight="1" x14ac:dyDescent="0.2"/>
    <row r="6983" ht="12.75" customHeight="1" x14ac:dyDescent="0.2"/>
    <row r="6984" ht="12.75" customHeight="1" x14ac:dyDescent="0.2"/>
    <row r="6985" ht="12.75" customHeight="1" x14ac:dyDescent="0.2"/>
    <row r="6986" ht="12.75" customHeight="1" x14ac:dyDescent="0.2"/>
    <row r="6987" ht="12.75" customHeight="1" x14ac:dyDescent="0.2"/>
    <row r="6988" ht="12.75" customHeight="1" x14ac:dyDescent="0.2"/>
    <row r="6989" ht="12.75" customHeight="1" x14ac:dyDescent="0.2"/>
    <row r="6990" ht="12.75" customHeight="1" x14ac:dyDescent="0.2"/>
    <row r="6991" ht="12.75" customHeight="1" x14ac:dyDescent="0.2"/>
    <row r="6992" ht="12.75" customHeight="1" x14ac:dyDescent="0.2"/>
    <row r="6993" ht="12.75" customHeight="1" x14ac:dyDescent="0.2"/>
    <row r="6994" ht="12.75" customHeight="1" x14ac:dyDescent="0.2"/>
    <row r="6995" ht="12.75" customHeight="1" x14ac:dyDescent="0.2"/>
    <row r="6996" ht="12.75" customHeight="1" x14ac:dyDescent="0.2"/>
    <row r="6997" ht="12.75" customHeight="1" x14ac:dyDescent="0.2"/>
    <row r="6998" ht="12.75" customHeight="1" x14ac:dyDescent="0.2"/>
    <row r="6999" ht="12.75" customHeight="1" x14ac:dyDescent="0.2"/>
    <row r="7000" ht="12.75" customHeight="1" x14ac:dyDescent="0.2"/>
    <row r="7001" ht="12.75" customHeight="1" x14ac:dyDescent="0.2"/>
    <row r="7002" ht="12.75" customHeight="1" x14ac:dyDescent="0.2"/>
    <row r="7003" ht="12.75" customHeight="1" x14ac:dyDescent="0.2"/>
    <row r="7004" ht="12.75" customHeight="1" x14ac:dyDescent="0.2"/>
    <row r="7005" ht="12.75" customHeight="1" x14ac:dyDescent="0.2"/>
    <row r="7006" ht="12.75" customHeight="1" x14ac:dyDescent="0.2"/>
    <row r="7007" ht="12.75" customHeight="1" x14ac:dyDescent="0.2"/>
    <row r="7008" ht="12.75" customHeight="1" x14ac:dyDescent="0.2"/>
    <row r="7009" ht="12.75" customHeight="1" x14ac:dyDescent="0.2"/>
    <row r="7010" ht="12.75" customHeight="1" x14ac:dyDescent="0.2"/>
    <row r="7011" ht="12.75" customHeight="1" x14ac:dyDescent="0.2"/>
    <row r="7012" ht="12.75" customHeight="1" x14ac:dyDescent="0.2"/>
    <row r="7013" ht="12.75" customHeight="1" x14ac:dyDescent="0.2"/>
    <row r="7014" ht="12.75" customHeight="1" x14ac:dyDescent="0.2"/>
    <row r="7015" ht="12.75" customHeight="1" x14ac:dyDescent="0.2"/>
    <row r="7016" ht="12.75" customHeight="1" x14ac:dyDescent="0.2"/>
    <row r="7017" ht="12.75" customHeight="1" x14ac:dyDescent="0.2"/>
    <row r="7018" ht="12.75" customHeight="1" x14ac:dyDescent="0.2"/>
    <row r="7019" ht="12.75" customHeight="1" x14ac:dyDescent="0.2"/>
    <row r="7020" ht="12.75" customHeight="1" x14ac:dyDescent="0.2"/>
    <row r="7021" ht="12.75" customHeight="1" x14ac:dyDescent="0.2"/>
    <row r="7022" ht="12.75" customHeight="1" x14ac:dyDescent="0.2"/>
    <row r="7023" ht="12.75" customHeight="1" x14ac:dyDescent="0.2"/>
    <row r="7024" ht="12.75" customHeight="1" x14ac:dyDescent="0.2"/>
    <row r="7025" ht="12.75" customHeight="1" x14ac:dyDescent="0.2"/>
    <row r="7026" ht="12.75" customHeight="1" x14ac:dyDescent="0.2"/>
    <row r="7027" ht="12.75" customHeight="1" x14ac:dyDescent="0.2"/>
    <row r="7028" ht="12.75" customHeight="1" x14ac:dyDescent="0.2"/>
    <row r="7029" ht="12.75" customHeight="1" x14ac:dyDescent="0.2"/>
    <row r="7030" ht="12.75" customHeight="1" x14ac:dyDescent="0.2"/>
    <row r="7031" ht="12.75" customHeight="1" x14ac:dyDescent="0.2"/>
    <row r="7032" ht="12.75" customHeight="1" x14ac:dyDescent="0.2"/>
    <row r="7033" ht="12.75" customHeight="1" x14ac:dyDescent="0.2"/>
    <row r="7034" ht="12.75" customHeight="1" x14ac:dyDescent="0.2"/>
    <row r="7035" ht="12.75" customHeight="1" x14ac:dyDescent="0.2"/>
    <row r="7036" ht="12.75" customHeight="1" x14ac:dyDescent="0.2"/>
    <row r="7037" ht="12.75" customHeight="1" x14ac:dyDescent="0.2"/>
    <row r="7038" ht="12.75" customHeight="1" x14ac:dyDescent="0.2"/>
    <row r="7039" ht="12.75" customHeight="1" x14ac:dyDescent="0.2"/>
    <row r="7040" ht="12.75" customHeight="1" x14ac:dyDescent="0.2"/>
    <row r="7041" ht="12.75" customHeight="1" x14ac:dyDescent="0.2"/>
    <row r="7042" ht="12.75" customHeight="1" x14ac:dyDescent="0.2"/>
    <row r="7043" ht="12.75" customHeight="1" x14ac:dyDescent="0.2"/>
    <row r="7044" ht="12.75" customHeight="1" x14ac:dyDescent="0.2"/>
    <row r="7045" ht="12.75" customHeight="1" x14ac:dyDescent="0.2"/>
    <row r="7046" ht="12.75" customHeight="1" x14ac:dyDescent="0.2"/>
    <row r="7047" ht="12.75" customHeight="1" x14ac:dyDescent="0.2"/>
    <row r="7048" ht="12.75" customHeight="1" x14ac:dyDescent="0.2"/>
    <row r="7049" ht="12.75" customHeight="1" x14ac:dyDescent="0.2"/>
    <row r="7050" ht="12.75" customHeight="1" x14ac:dyDescent="0.2"/>
    <row r="7051" ht="12.75" customHeight="1" x14ac:dyDescent="0.2"/>
    <row r="7052" ht="12.75" customHeight="1" x14ac:dyDescent="0.2"/>
    <row r="7053" ht="12.75" customHeight="1" x14ac:dyDescent="0.2"/>
    <row r="7054" ht="12.75" customHeight="1" x14ac:dyDescent="0.2"/>
    <row r="7055" ht="12.75" customHeight="1" x14ac:dyDescent="0.2"/>
    <row r="7056" ht="12.75" customHeight="1" x14ac:dyDescent="0.2"/>
    <row r="7057" ht="12.75" customHeight="1" x14ac:dyDescent="0.2"/>
    <row r="7058" ht="12.75" customHeight="1" x14ac:dyDescent="0.2"/>
    <row r="7059" ht="12.75" customHeight="1" x14ac:dyDescent="0.2"/>
    <row r="7060" ht="12.75" customHeight="1" x14ac:dyDescent="0.2"/>
    <row r="7061" ht="12.75" customHeight="1" x14ac:dyDescent="0.2"/>
    <row r="7062" ht="12.75" customHeight="1" x14ac:dyDescent="0.2"/>
    <row r="7063" ht="12.75" customHeight="1" x14ac:dyDescent="0.2"/>
    <row r="7064" ht="12.75" customHeight="1" x14ac:dyDescent="0.2"/>
    <row r="7065" ht="12.75" customHeight="1" x14ac:dyDescent="0.2"/>
    <row r="7066" ht="12.75" customHeight="1" x14ac:dyDescent="0.2"/>
    <row r="7067" ht="12.75" customHeight="1" x14ac:dyDescent="0.2"/>
    <row r="7068" ht="12.75" customHeight="1" x14ac:dyDescent="0.2"/>
    <row r="7069" ht="12.75" customHeight="1" x14ac:dyDescent="0.2"/>
    <row r="7070" ht="12.75" customHeight="1" x14ac:dyDescent="0.2"/>
    <row r="7071" ht="12.75" customHeight="1" x14ac:dyDescent="0.2"/>
    <row r="7072" ht="12.75" customHeight="1" x14ac:dyDescent="0.2"/>
    <row r="7073" ht="12.75" customHeight="1" x14ac:dyDescent="0.2"/>
    <row r="7074" ht="12.75" customHeight="1" x14ac:dyDescent="0.2"/>
    <row r="7075" ht="12.75" customHeight="1" x14ac:dyDescent="0.2"/>
    <row r="7076" ht="12.75" customHeight="1" x14ac:dyDescent="0.2"/>
    <row r="7077" ht="12.75" customHeight="1" x14ac:dyDescent="0.2"/>
    <row r="7078" ht="12.75" customHeight="1" x14ac:dyDescent="0.2"/>
    <row r="7079" ht="12.75" customHeight="1" x14ac:dyDescent="0.2"/>
    <row r="7080" ht="12.75" customHeight="1" x14ac:dyDescent="0.2"/>
    <row r="7081" ht="12.75" customHeight="1" x14ac:dyDescent="0.2"/>
    <row r="7082" ht="12.75" customHeight="1" x14ac:dyDescent="0.2"/>
    <row r="7083" ht="12.75" customHeight="1" x14ac:dyDescent="0.2"/>
    <row r="7084" ht="12.75" customHeight="1" x14ac:dyDescent="0.2"/>
    <row r="7085" ht="12.75" customHeight="1" x14ac:dyDescent="0.2"/>
    <row r="7086" ht="12.75" customHeight="1" x14ac:dyDescent="0.2"/>
    <row r="7087" ht="12.75" customHeight="1" x14ac:dyDescent="0.2"/>
    <row r="7088" ht="12.75" customHeight="1" x14ac:dyDescent="0.2"/>
    <row r="7089" ht="12.75" customHeight="1" x14ac:dyDescent="0.2"/>
    <row r="7090" ht="12.75" customHeight="1" x14ac:dyDescent="0.2"/>
    <row r="7091" ht="12.75" customHeight="1" x14ac:dyDescent="0.2"/>
    <row r="7092" ht="12.75" customHeight="1" x14ac:dyDescent="0.2"/>
    <row r="7093" ht="12.75" customHeight="1" x14ac:dyDescent="0.2"/>
    <row r="7094" ht="12.75" customHeight="1" x14ac:dyDescent="0.2"/>
    <row r="7095" ht="12.75" customHeight="1" x14ac:dyDescent="0.2"/>
    <row r="7096" ht="12.75" customHeight="1" x14ac:dyDescent="0.2"/>
    <row r="7097" ht="12.75" customHeight="1" x14ac:dyDescent="0.2"/>
    <row r="7098" ht="12.75" customHeight="1" x14ac:dyDescent="0.2"/>
    <row r="7099" ht="12.75" customHeight="1" x14ac:dyDescent="0.2"/>
    <row r="7100" ht="12.75" customHeight="1" x14ac:dyDescent="0.2"/>
    <row r="7101" ht="12.75" customHeight="1" x14ac:dyDescent="0.2"/>
    <row r="7102" ht="12.75" customHeight="1" x14ac:dyDescent="0.2"/>
    <row r="7103" ht="12.75" customHeight="1" x14ac:dyDescent="0.2"/>
    <row r="7104" ht="12.75" customHeight="1" x14ac:dyDescent="0.2"/>
    <row r="7105" ht="12.75" customHeight="1" x14ac:dyDescent="0.2"/>
    <row r="7106" ht="12.75" customHeight="1" x14ac:dyDescent="0.2"/>
    <row r="7107" ht="12.75" customHeight="1" x14ac:dyDescent="0.2"/>
    <row r="7108" ht="12.75" customHeight="1" x14ac:dyDescent="0.2"/>
    <row r="7109" ht="12.75" customHeight="1" x14ac:dyDescent="0.2"/>
    <row r="7110" ht="12.75" customHeight="1" x14ac:dyDescent="0.2"/>
    <row r="7111" ht="12.75" customHeight="1" x14ac:dyDescent="0.2"/>
    <row r="7112" ht="12.75" customHeight="1" x14ac:dyDescent="0.2"/>
    <row r="7113" ht="12.75" customHeight="1" x14ac:dyDescent="0.2"/>
    <row r="7114" ht="12.75" customHeight="1" x14ac:dyDescent="0.2"/>
    <row r="7115" ht="12.75" customHeight="1" x14ac:dyDescent="0.2"/>
    <row r="7116" ht="12.75" customHeight="1" x14ac:dyDescent="0.2"/>
    <row r="7117" ht="12.75" customHeight="1" x14ac:dyDescent="0.2"/>
    <row r="7118" ht="12.75" customHeight="1" x14ac:dyDescent="0.2"/>
    <row r="7119" ht="12.75" customHeight="1" x14ac:dyDescent="0.2"/>
    <row r="7120" ht="12.75" customHeight="1" x14ac:dyDescent="0.2"/>
    <row r="7121" ht="12.75" customHeight="1" x14ac:dyDescent="0.2"/>
    <row r="7122" ht="12.75" customHeight="1" x14ac:dyDescent="0.2"/>
    <row r="7123" ht="12.75" customHeight="1" x14ac:dyDescent="0.2"/>
    <row r="7124" ht="12.75" customHeight="1" x14ac:dyDescent="0.2"/>
    <row r="7125" ht="12.75" customHeight="1" x14ac:dyDescent="0.2"/>
    <row r="7126" ht="12.75" customHeight="1" x14ac:dyDescent="0.2"/>
    <row r="7127" ht="12.75" customHeight="1" x14ac:dyDescent="0.2"/>
    <row r="7128" ht="12.75" customHeight="1" x14ac:dyDescent="0.2"/>
    <row r="7129" ht="12.75" customHeight="1" x14ac:dyDescent="0.2"/>
    <row r="7130" ht="12.75" customHeight="1" x14ac:dyDescent="0.2"/>
    <row r="7131" ht="12.75" customHeight="1" x14ac:dyDescent="0.2"/>
    <row r="7132" ht="12.75" customHeight="1" x14ac:dyDescent="0.2"/>
    <row r="7133" ht="12.75" customHeight="1" x14ac:dyDescent="0.2"/>
    <row r="7134" ht="12.75" customHeight="1" x14ac:dyDescent="0.2"/>
    <row r="7135" ht="12.75" customHeight="1" x14ac:dyDescent="0.2"/>
    <row r="7136" ht="12.75" customHeight="1" x14ac:dyDescent="0.2"/>
    <row r="7137" ht="12.75" customHeight="1" x14ac:dyDescent="0.2"/>
    <row r="7138" ht="12.75" customHeight="1" x14ac:dyDescent="0.2"/>
    <row r="7139" ht="12.75" customHeight="1" x14ac:dyDescent="0.2"/>
    <row r="7140" ht="12.75" customHeight="1" x14ac:dyDescent="0.2"/>
    <row r="7141" ht="12.75" customHeight="1" x14ac:dyDescent="0.2"/>
    <row r="7142" ht="12.75" customHeight="1" x14ac:dyDescent="0.2"/>
    <row r="7143" ht="12.75" customHeight="1" x14ac:dyDescent="0.2"/>
    <row r="7144" ht="12.75" customHeight="1" x14ac:dyDescent="0.2"/>
    <row r="7145" ht="12.75" customHeight="1" x14ac:dyDescent="0.2"/>
    <row r="7146" ht="12.75" customHeight="1" x14ac:dyDescent="0.2"/>
    <row r="7147" ht="12.75" customHeight="1" x14ac:dyDescent="0.2"/>
    <row r="7148" ht="12.75" customHeight="1" x14ac:dyDescent="0.2"/>
    <row r="7149" ht="12.75" customHeight="1" x14ac:dyDescent="0.2"/>
    <row r="7150" ht="12.75" customHeight="1" x14ac:dyDescent="0.2"/>
    <row r="7151" ht="12.75" customHeight="1" x14ac:dyDescent="0.2"/>
    <row r="7152" ht="12.75" customHeight="1" x14ac:dyDescent="0.2"/>
    <row r="7153" ht="12.75" customHeight="1" x14ac:dyDescent="0.2"/>
    <row r="7154" ht="12.75" customHeight="1" x14ac:dyDescent="0.2"/>
    <row r="7155" ht="12.75" customHeight="1" x14ac:dyDescent="0.2"/>
    <row r="7156" ht="12.75" customHeight="1" x14ac:dyDescent="0.2"/>
    <row r="7157" ht="12.75" customHeight="1" x14ac:dyDescent="0.2"/>
    <row r="7158" ht="12.75" customHeight="1" x14ac:dyDescent="0.2"/>
    <row r="7159" ht="12.75" customHeight="1" x14ac:dyDescent="0.2"/>
    <row r="7160" ht="12.75" customHeight="1" x14ac:dyDescent="0.2"/>
    <row r="7161" ht="12.75" customHeight="1" x14ac:dyDescent="0.2"/>
    <row r="7162" ht="12.75" customHeight="1" x14ac:dyDescent="0.2"/>
    <row r="7163" ht="12.75" customHeight="1" x14ac:dyDescent="0.2"/>
    <row r="7164" ht="12.75" customHeight="1" x14ac:dyDescent="0.2"/>
    <row r="7165" ht="12.75" customHeight="1" x14ac:dyDescent="0.2"/>
    <row r="7166" ht="12.75" customHeight="1" x14ac:dyDescent="0.2"/>
    <row r="7167" ht="12.75" customHeight="1" x14ac:dyDescent="0.2"/>
    <row r="7168" ht="12.75" customHeight="1" x14ac:dyDescent="0.2"/>
    <row r="7169" ht="12.75" customHeight="1" x14ac:dyDescent="0.2"/>
    <row r="7170" ht="12.75" customHeight="1" x14ac:dyDescent="0.2"/>
    <row r="7171" ht="12.75" customHeight="1" x14ac:dyDescent="0.2"/>
    <row r="7172" ht="12.75" customHeight="1" x14ac:dyDescent="0.2"/>
    <row r="7173" ht="12.75" customHeight="1" x14ac:dyDescent="0.2"/>
    <row r="7174" ht="12.75" customHeight="1" x14ac:dyDescent="0.2"/>
    <row r="7175" ht="12.75" customHeight="1" x14ac:dyDescent="0.2"/>
    <row r="7176" ht="12.75" customHeight="1" x14ac:dyDescent="0.2"/>
    <row r="7177" ht="12.75" customHeight="1" x14ac:dyDescent="0.2"/>
    <row r="7178" ht="12.75" customHeight="1" x14ac:dyDescent="0.2"/>
    <row r="7179" ht="12.75" customHeight="1" x14ac:dyDescent="0.2"/>
    <row r="7180" ht="12.75" customHeight="1" x14ac:dyDescent="0.2"/>
    <row r="7181" ht="12.75" customHeight="1" x14ac:dyDescent="0.2"/>
    <row r="7182" ht="12.75" customHeight="1" x14ac:dyDescent="0.2"/>
    <row r="7183" ht="12.75" customHeight="1" x14ac:dyDescent="0.2"/>
    <row r="7184" ht="12.75" customHeight="1" x14ac:dyDescent="0.2"/>
    <row r="7185" ht="12.75" customHeight="1" x14ac:dyDescent="0.2"/>
    <row r="7186" ht="12.75" customHeight="1" x14ac:dyDescent="0.2"/>
    <row r="7187" ht="12.75" customHeight="1" x14ac:dyDescent="0.2"/>
    <row r="7188" ht="12.75" customHeight="1" x14ac:dyDescent="0.2"/>
    <row r="7189" ht="12.75" customHeight="1" x14ac:dyDescent="0.2"/>
    <row r="7190" ht="12.75" customHeight="1" x14ac:dyDescent="0.2"/>
    <row r="7191" ht="12.75" customHeight="1" x14ac:dyDescent="0.2"/>
    <row r="7192" ht="12.75" customHeight="1" x14ac:dyDescent="0.2"/>
    <row r="7193" ht="12.75" customHeight="1" x14ac:dyDescent="0.2"/>
    <row r="7194" ht="12.75" customHeight="1" x14ac:dyDescent="0.2"/>
    <row r="7195" ht="12.75" customHeight="1" x14ac:dyDescent="0.2"/>
    <row r="7196" ht="12.75" customHeight="1" x14ac:dyDescent="0.2"/>
    <row r="7197" ht="12.75" customHeight="1" x14ac:dyDescent="0.2"/>
    <row r="7198" ht="12.75" customHeight="1" x14ac:dyDescent="0.2"/>
    <row r="7199" ht="12.75" customHeight="1" x14ac:dyDescent="0.2"/>
    <row r="7200" ht="12.75" customHeight="1" x14ac:dyDescent="0.2"/>
    <row r="7201" ht="12.75" customHeight="1" x14ac:dyDescent="0.2"/>
    <row r="7202" ht="12.75" customHeight="1" x14ac:dyDescent="0.2"/>
    <row r="7203" ht="12.75" customHeight="1" x14ac:dyDescent="0.2"/>
    <row r="7204" ht="12.75" customHeight="1" x14ac:dyDescent="0.2"/>
    <row r="7205" ht="12.75" customHeight="1" x14ac:dyDescent="0.2"/>
    <row r="7206" ht="12.75" customHeight="1" x14ac:dyDescent="0.2"/>
    <row r="7207" ht="12.75" customHeight="1" x14ac:dyDescent="0.2"/>
    <row r="7208" ht="12.75" customHeight="1" x14ac:dyDescent="0.2"/>
    <row r="7209" ht="12.75" customHeight="1" x14ac:dyDescent="0.2"/>
    <row r="7210" ht="12.75" customHeight="1" x14ac:dyDescent="0.2"/>
    <row r="7211" ht="12.75" customHeight="1" x14ac:dyDescent="0.2"/>
    <row r="7212" ht="12.75" customHeight="1" x14ac:dyDescent="0.2"/>
    <row r="7213" ht="12.75" customHeight="1" x14ac:dyDescent="0.2"/>
    <row r="7214" ht="12.75" customHeight="1" x14ac:dyDescent="0.2"/>
    <row r="7215" ht="12.75" customHeight="1" x14ac:dyDescent="0.2"/>
    <row r="7216" ht="12.75" customHeight="1" x14ac:dyDescent="0.2"/>
    <row r="7217" ht="12.75" customHeight="1" x14ac:dyDescent="0.2"/>
    <row r="7218" ht="12.75" customHeight="1" x14ac:dyDescent="0.2"/>
    <row r="7219" ht="12.75" customHeight="1" x14ac:dyDescent="0.2"/>
    <row r="7220" ht="12.75" customHeight="1" x14ac:dyDescent="0.2"/>
    <row r="7221" ht="12.75" customHeight="1" x14ac:dyDescent="0.2"/>
    <row r="7222" ht="12.75" customHeight="1" x14ac:dyDescent="0.2"/>
    <row r="7223" ht="12.75" customHeight="1" x14ac:dyDescent="0.2"/>
    <row r="7224" ht="12.75" customHeight="1" x14ac:dyDescent="0.2"/>
    <row r="7225" ht="12.75" customHeight="1" x14ac:dyDescent="0.2"/>
    <row r="7226" ht="12.75" customHeight="1" x14ac:dyDescent="0.2"/>
    <row r="7227" ht="12.75" customHeight="1" x14ac:dyDescent="0.2"/>
    <row r="7228" ht="12.75" customHeight="1" x14ac:dyDescent="0.2"/>
    <row r="7229" ht="12.75" customHeight="1" x14ac:dyDescent="0.2"/>
    <row r="7230" ht="12.75" customHeight="1" x14ac:dyDescent="0.2"/>
    <row r="7231" ht="12.75" customHeight="1" x14ac:dyDescent="0.2"/>
    <row r="7232" ht="12.75" customHeight="1" x14ac:dyDescent="0.2"/>
    <row r="7233" ht="12.75" customHeight="1" x14ac:dyDescent="0.2"/>
    <row r="7234" ht="12.75" customHeight="1" x14ac:dyDescent="0.2"/>
    <row r="7235" ht="12.75" customHeight="1" x14ac:dyDescent="0.2"/>
    <row r="7236" ht="12.75" customHeight="1" x14ac:dyDescent="0.2"/>
    <row r="7237" ht="12.75" customHeight="1" x14ac:dyDescent="0.2"/>
    <row r="7238" ht="12.75" customHeight="1" x14ac:dyDescent="0.2"/>
    <row r="7239" ht="12.75" customHeight="1" x14ac:dyDescent="0.2"/>
    <row r="7240" ht="12.75" customHeight="1" x14ac:dyDescent="0.2"/>
    <row r="7241" ht="12.75" customHeight="1" x14ac:dyDescent="0.2"/>
    <row r="7242" ht="12.75" customHeight="1" x14ac:dyDescent="0.2"/>
    <row r="7243" ht="12.75" customHeight="1" x14ac:dyDescent="0.2"/>
    <row r="7244" ht="12.75" customHeight="1" x14ac:dyDescent="0.2"/>
    <row r="7245" ht="12.75" customHeight="1" x14ac:dyDescent="0.2"/>
    <row r="7246" ht="12.75" customHeight="1" x14ac:dyDescent="0.2"/>
    <row r="7247" ht="12.75" customHeight="1" x14ac:dyDescent="0.2"/>
    <row r="7248" ht="12.75" customHeight="1" x14ac:dyDescent="0.2"/>
    <row r="7249" ht="12.75" customHeight="1" x14ac:dyDescent="0.2"/>
    <row r="7250" ht="12.75" customHeight="1" x14ac:dyDescent="0.2"/>
    <row r="7251" ht="12.75" customHeight="1" x14ac:dyDescent="0.2"/>
    <row r="7252" ht="12.75" customHeight="1" x14ac:dyDescent="0.2"/>
    <row r="7253" ht="12.75" customHeight="1" x14ac:dyDescent="0.2"/>
    <row r="7254" ht="12.75" customHeight="1" x14ac:dyDescent="0.2"/>
    <row r="7255" ht="12.75" customHeight="1" x14ac:dyDescent="0.2"/>
    <row r="7256" ht="12.75" customHeight="1" x14ac:dyDescent="0.2"/>
    <row r="7257" ht="12.75" customHeight="1" x14ac:dyDescent="0.2"/>
    <row r="7258" ht="12.75" customHeight="1" x14ac:dyDescent="0.2"/>
    <row r="7259" ht="12.75" customHeight="1" x14ac:dyDescent="0.2"/>
    <row r="7260" ht="12.75" customHeight="1" x14ac:dyDescent="0.2"/>
    <row r="7261" ht="12.75" customHeight="1" x14ac:dyDescent="0.2"/>
    <row r="7262" ht="12.75" customHeight="1" x14ac:dyDescent="0.2"/>
    <row r="7263" ht="12.75" customHeight="1" x14ac:dyDescent="0.2"/>
    <row r="7264" ht="12.75" customHeight="1" x14ac:dyDescent="0.2"/>
    <row r="7265" ht="12.75" customHeight="1" x14ac:dyDescent="0.2"/>
    <row r="7266" ht="12.75" customHeight="1" x14ac:dyDescent="0.2"/>
    <row r="7267" ht="12.75" customHeight="1" x14ac:dyDescent="0.2"/>
    <row r="7268" ht="12.75" customHeight="1" x14ac:dyDescent="0.2"/>
    <row r="7269" ht="12.75" customHeight="1" x14ac:dyDescent="0.2"/>
    <row r="7270" ht="12.75" customHeight="1" x14ac:dyDescent="0.2"/>
    <row r="7271" ht="12.75" customHeight="1" x14ac:dyDescent="0.2"/>
    <row r="7272" ht="12.75" customHeight="1" x14ac:dyDescent="0.2"/>
    <row r="7273" ht="12.75" customHeight="1" x14ac:dyDescent="0.2"/>
    <row r="7274" ht="12.75" customHeight="1" x14ac:dyDescent="0.2"/>
    <row r="7275" ht="12.75" customHeight="1" x14ac:dyDescent="0.2"/>
    <row r="7276" ht="12.75" customHeight="1" x14ac:dyDescent="0.2"/>
    <row r="7277" ht="12.75" customHeight="1" x14ac:dyDescent="0.2"/>
    <row r="7278" ht="12.75" customHeight="1" x14ac:dyDescent="0.2"/>
    <row r="7279" ht="12.75" customHeight="1" x14ac:dyDescent="0.2"/>
    <row r="7280" ht="12.75" customHeight="1" x14ac:dyDescent="0.2"/>
    <row r="7281" ht="12.75" customHeight="1" x14ac:dyDescent="0.2"/>
    <row r="7282" ht="12.75" customHeight="1" x14ac:dyDescent="0.2"/>
    <row r="7283" ht="12.75" customHeight="1" x14ac:dyDescent="0.2"/>
    <row r="7284" ht="12.75" customHeight="1" x14ac:dyDescent="0.2"/>
    <row r="7285" ht="12.75" customHeight="1" x14ac:dyDescent="0.2"/>
    <row r="7286" ht="12.75" customHeight="1" x14ac:dyDescent="0.2"/>
    <row r="7287" ht="12.75" customHeight="1" x14ac:dyDescent="0.2"/>
    <row r="7288" ht="12.75" customHeight="1" x14ac:dyDescent="0.2"/>
    <row r="7289" ht="12.75" customHeight="1" x14ac:dyDescent="0.2"/>
    <row r="7290" ht="12.75" customHeight="1" x14ac:dyDescent="0.2"/>
    <row r="7291" ht="12.75" customHeight="1" x14ac:dyDescent="0.2"/>
    <row r="7292" ht="12.75" customHeight="1" x14ac:dyDescent="0.2"/>
    <row r="7293" ht="12.75" customHeight="1" x14ac:dyDescent="0.2"/>
    <row r="7294" ht="12.75" customHeight="1" x14ac:dyDescent="0.2"/>
    <row r="7295" ht="12.75" customHeight="1" x14ac:dyDescent="0.2"/>
    <row r="7296" ht="12.75" customHeight="1" x14ac:dyDescent="0.2"/>
    <row r="7297" ht="12.75" customHeight="1" x14ac:dyDescent="0.2"/>
    <row r="7298" ht="12.75" customHeight="1" x14ac:dyDescent="0.2"/>
    <row r="7299" ht="12.75" customHeight="1" x14ac:dyDescent="0.2"/>
    <row r="7300" ht="12.75" customHeight="1" x14ac:dyDescent="0.2"/>
    <row r="7301" ht="12.75" customHeight="1" x14ac:dyDescent="0.2"/>
    <row r="7302" ht="12.75" customHeight="1" x14ac:dyDescent="0.2"/>
    <row r="7303" ht="12.75" customHeight="1" x14ac:dyDescent="0.2"/>
    <row r="7304" ht="12.75" customHeight="1" x14ac:dyDescent="0.2"/>
    <row r="7305" ht="12.75" customHeight="1" x14ac:dyDescent="0.2"/>
    <row r="7306" ht="12.75" customHeight="1" x14ac:dyDescent="0.2"/>
    <row r="7307" ht="12.75" customHeight="1" x14ac:dyDescent="0.2"/>
    <row r="7308" ht="12.75" customHeight="1" x14ac:dyDescent="0.2"/>
    <row r="7309" ht="12.75" customHeight="1" x14ac:dyDescent="0.2"/>
    <row r="7310" ht="12.75" customHeight="1" x14ac:dyDescent="0.2"/>
    <row r="7311" ht="12.75" customHeight="1" x14ac:dyDescent="0.2"/>
    <row r="7312" ht="12.75" customHeight="1" x14ac:dyDescent="0.2"/>
    <row r="7313" ht="12.75" customHeight="1" x14ac:dyDescent="0.2"/>
    <row r="7314" ht="12.75" customHeight="1" x14ac:dyDescent="0.2"/>
    <row r="7315" ht="12.75" customHeight="1" x14ac:dyDescent="0.2"/>
    <row r="7316" ht="12.75" customHeight="1" x14ac:dyDescent="0.2"/>
    <row r="7317" ht="12.75" customHeight="1" x14ac:dyDescent="0.2"/>
    <row r="7318" ht="12.75" customHeight="1" x14ac:dyDescent="0.2"/>
    <row r="7319" ht="12.75" customHeight="1" x14ac:dyDescent="0.2"/>
    <row r="7320" ht="12.75" customHeight="1" x14ac:dyDescent="0.2"/>
    <row r="7321" ht="12.75" customHeight="1" x14ac:dyDescent="0.2"/>
    <row r="7322" ht="12.75" customHeight="1" x14ac:dyDescent="0.2"/>
    <row r="7323" ht="12.75" customHeight="1" x14ac:dyDescent="0.2"/>
    <row r="7324" ht="12.75" customHeight="1" x14ac:dyDescent="0.2"/>
    <row r="7325" ht="12.75" customHeight="1" x14ac:dyDescent="0.2"/>
    <row r="7326" ht="12.75" customHeight="1" x14ac:dyDescent="0.2"/>
    <row r="7327" ht="12.75" customHeight="1" x14ac:dyDescent="0.2"/>
    <row r="7328" ht="12.75" customHeight="1" x14ac:dyDescent="0.2"/>
    <row r="7329" ht="12.75" customHeight="1" x14ac:dyDescent="0.2"/>
    <row r="7330" ht="12.75" customHeight="1" x14ac:dyDescent="0.2"/>
    <row r="7331" ht="12.75" customHeight="1" x14ac:dyDescent="0.2"/>
    <row r="7332" ht="12.75" customHeight="1" x14ac:dyDescent="0.2"/>
    <row r="7333" ht="12.75" customHeight="1" x14ac:dyDescent="0.2"/>
    <row r="7334" ht="12.75" customHeight="1" x14ac:dyDescent="0.2"/>
    <row r="7335" ht="12.75" customHeight="1" x14ac:dyDescent="0.2"/>
    <row r="7336" ht="12.75" customHeight="1" x14ac:dyDescent="0.2"/>
    <row r="7337" ht="12.75" customHeight="1" x14ac:dyDescent="0.2"/>
    <row r="7338" ht="12.75" customHeight="1" x14ac:dyDescent="0.2"/>
    <row r="7339" ht="12.75" customHeight="1" x14ac:dyDescent="0.2"/>
    <row r="7340" ht="12.75" customHeight="1" x14ac:dyDescent="0.2"/>
    <row r="7341" ht="12.75" customHeight="1" x14ac:dyDescent="0.2"/>
    <row r="7342" ht="12.75" customHeight="1" x14ac:dyDescent="0.2"/>
    <row r="7343" ht="12.75" customHeight="1" x14ac:dyDescent="0.2"/>
    <row r="7344" ht="12.75" customHeight="1" x14ac:dyDescent="0.2"/>
    <row r="7345" ht="12.75" customHeight="1" x14ac:dyDescent="0.2"/>
    <row r="7346" ht="12.75" customHeight="1" x14ac:dyDescent="0.2"/>
    <row r="7347" ht="12.75" customHeight="1" x14ac:dyDescent="0.2"/>
    <row r="7348" ht="12.75" customHeight="1" x14ac:dyDescent="0.2"/>
    <row r="7349" ht="12.75" customHeight="1" x14ac:dyDescent="0.2"/>
    <row r="7350" ht="12.75" customHeight="1" x14ac:dyDescent="0.2"/>
    <row r="7351" ht="12.75" customHeight="1" x14ac:dyDescent="0.2"/>
    <row r="7352" ht="12.75" customHeight="1" x14ac:dyDescent="0.2"/>
    <row r="7353" ht="12.75" customHeight="1" x14ac:dyDescent="0.2"/>
    <row r="7354" ht="12.75" customHeight="1" x14ac:dyDescent="0.2"/>
    <row r="7355" ht="12.75" customHeight="1" x14ac:dyDescent="0.2"/>
    <row r="7356" ht="12.75" customHeight="1" x14ac:dyDescent="0.2"/>
    <row r="7357" ht="12.75" customHeight="1" x14ac:dyDescent="0.2"/>
    <row r="7358" ht="12.75" customHeight="1" x14ac:dyDescent="0.2"/>
    <row r="7359" ht="12.75" customHeight="1" x14ac:dyDescent="0.2"/>
    <row r="7360" ht="12.75" customHeight="1" x14ac:dyDescent="0.2"/>
    <row r="7361" ht="12.75" customHeight="1" x14ac:dyDescent="0.2"/>
    <row r="7362" ht="12.75" customHeight="1" x14ac:dyDescent="0.2"/>
    <row r="7363" ht="12.75" customHeight="1" x14ac:dyDescent="0.2"/>
    <row r="7364" ht="12.75" customHeight="1" x14ac:dyDescent="0.2"/>
    <row r="7365" ht="12.75" customHeight="1" x14ac:dyDescent="0.2"/>
    <row r="7366" ht="12.75" customHeight="1" x14ac:dyDescent="0.2"/>
    <row r="7367" ht="12.75" customHeight="1" x14ac:dyDescent="0.2"/>
    <row r="7368" ht="12.75" customHeight="1" x14ac:dyDescent="0.2"/>
    <row r="7369" ht="12.75" customHeight="1" x14ac:dyDescent="0.2"/>
    <row r="7370" ht="12.75" customHeight="1" x14ac:dyDescent="0.2"/>
    <row r="7371" ht="12.75" customHeight="1" x14ac:dyDescent="0.2"/>
    <row r="7372" ht="12.75" customHeight="1" x14ac:dyDescent="0.2"/>
    <row r="7373" ht="12.75" customHeight="1" x14ac:dyDescent="0.2"/>
    <row r="7374" ht="12.75" customHeight="1" x14ac:dyDescent="0.2"/>
    <row r="7375" ht="12.75" customHeight="1" x14ac:dyDescent="0.2"/>
    <row r="7376" ht="12.75" customHeight="1" x14ac:dyDescent="0.2"/>
    <row r="7377" ht="12.75" customHeight="1" x14ac:dyDescent="0.2"/>
    <row r="7378" ht="12.75" customHeight="1" x14ac:dyDescent="0.2"/>
    <row r="7379" ht="12.75" customHeight="1" x14ac:dyDescent="0.2"/>
    <row r="7380" ht="12.75" customHeight="1" x14ac:dyDescent="0.2"/>
    <row r="7381" ht="12.75" customHeight="1" x14ac:dyDescent="0.2"/>
    <row r="7382" ht="12.75" customHeight="1" x14ac:dyDescent="0.2"/>
    <row r="7383" ht="12.75" customHeight="1" x14ac:dyDescent="0.2"/>
    <row r="7384" ht="12.75" customHeight="1" x14ac:dyDescent="0.2"/>
    <row r="7385" ht="12.75" customHeight="1" x14ac:dyDescent="0.2"/>
    <row r="7386" ht="12.75" customHeight="1" x14ac:dyDescent="0.2"/>
    <row r="7387" ht="12.75" customHeight="1" x14ac:dyDescent="0.2"/>
    <row r="7388" ht="12.75" customHeight="1" x14ac:dyDescent="0.2"/>
    <row r="7389" ht="12.75" customHeight="1" x14ac:dyDescent="0.2"/>
    <row r="7390" ht="12.75" customHeight="1" x14ac:dyDescent="0.2"/>
    <row r="7391" ht="12.75" customHeight="1" x14ac:dyDescent="0.2"/>
    <row r="7392" ht="12.75" customHeight="1" x14ac:dyDescent="0.2"/>
    <row r="7393" ht="12.75" customHeight="1" x14ac:dyDescent="0.2"/>
    <row r="7394" ht="12.75" customHeight="1" x14ac:dyDescent="0.2"/>
    <row r="7395" ht="12.75" customHeight="1" x14ac:dyDescent="0.2"/>
    <row r="7396" ht="12.75" customHeight="1" x14ac:dyDescent="0.2"/>
    <row r="7397" ht="12.75" customHeight="1" x14ac:dyDescent="0.2"/>
    <row r="7398" ht="12.75" customHeight="1" x14ac:dyDescent="0.2"/>
    <row r="7399" ht="12.75" customHeight="1" x14ac:dyDescent="0.2"/>
    <row r="7400" ht="12.75" customHeight="1" x14ac:dyDescent="0.2"/>
    <row r="7401" ht="12.75" customHeight="1" x14ac:dyDescent="0.2"/>
    <row r="7402" ht="12.75" customHeight="1" x14ac:dyDescent="0.2"/>
    <row r="7403" ht="12.75" customHeight="1" x14ac:dyDescent="0.2"/>
    <row r="7404" ht="12.75" customHeight="1" x14ac:dyDescent="0.2"/>
    <row r="7405" ht="12.75" customHeight="1" x14ac:dyDescent="0.2"/>
    <row r="7406" ht="12.75" customHeight="1" x14ac:dyDescent="0.2"/>
    <row r="7407" ht="12.75" customHeight="1" x14ac:dyDescent="0.2"/>
    <row r="7408" ht="12.75" customHeight="1" x14ac:dyDescent="0.2"/>
    <row r="7409" ht="12.75" customHeight="1" x14ac:dyDescent="0.2"/>
    <row r="7410" ht="12.75" customHeight="1" x14ac:dyDescent="0.2"/>
    <row r="7411" ht="12.75" customHeight="1" x14ac:dyDescent="0.2"/>
    <row r="7412" ht="12.75" customHeight="1" x14ac:dyDescent="0.2"/>
    <row r="7413" ht="12.75" customHeight="1" x14ac:dyDescent="0.2"/>
    <row r="7414" ht="12.75" customHeight="1" x14ac:dyDescent="0.2"/>
    <row r="7415" ht="12.75" customHeight="1" x14ac:dyDescent="0.2"/>
    <row r="7416" ht="12.75" customHeight="1" x14ac:dyDescent="0.2"/>
    <row r="7417" ht="12.75" customHeight="1" x14ac:dyDescent="0.2"/>
    <row r="7418" ht="12.75" customHeight="1" x14ac:dyDescent="0.2"/>
    <row r="7419" ht="12.75" customHeight="1" x14ac:dyDescent="0.2"/>
    <row r="7420" ht="12.75" customHeight="1" x14ac:dyDescent="0.2"/>
    <row r="7421" ht="12.75" customHeight="1" x14ac:dyDescent="0.2"/>
    <row r="7422" ht="12.75" customHeight="1" x14ac:dyDescent="0.2"/>
    <row r="7423" ht="12.75" customHeight="1" x14ac:dyDescent="0.2"/>
    <row r="7424" ht="12.75" customHeight="1" x14ac:dyDescent="0.2"/>
    <row r="7425" ht="12.75" customHeight="1" x14ac:dyDescent="0.2"/>
    <row r="7426" ht="12.75" customHeight="1" x14ac:dyDescent="0.2"/>
    <row r="7427" ht="12.75" customHeight="1" x14ac:dyDescent="0.2"/>
    <row r="7428" ht="12.75" customHeight="1" x14ac:dyDescent="0.2"/>
    <row r="7429" ht="12.75" customHeight="1" x14ac:dyDescent="0.2"/>
    <row r="7430" ht="12.75" customHeight="1" x14ac:dyDescent="0.2"/>
    <row r="7431" ht="12.75" customHeight="1" x14ac:dyDescent="0.2"/>
    <row r="7432" ht="12.75" customHeight="1" x14ac:dyDescent="0.2"/>
    <row r="7433" ht="12.75" customHeight="1" x14ac:dyDescent="0.2"/>
    <row r="7434" ht="12.75" customHeight="1" x14ac:dyDescent="0.2"/>
    <row r="7435" ht="12.75" customHeight="1" x14ac:dyDescent="0.2"/>
    <row r="7436" ht="12.75" customHeight="1" x14ac:dyDescent="0.2"/>
    <row r="7437" ht="12.75" customHeight="1" x14ac:dyDescent="0.2"/>
    <row r="7438" ht="12.75" customHeight="1" x14ac:dyDescent="0.2"/>
    <row r="7439" ht="12.75" customHeight="1" x14ac:dyDescent="0.2"/>
    <row r="7440" ht="12.75" customHeight="1" x14ac:dyDescent="0.2"/>
    <row r="7441" ht="12.75" customHeight="1" x14ac:dyDescent="0.2"/>
    <row r="7442" ht="12.75" customHeight="1" x14ac:dyDescent="0.2"/>
    <row r="7443" ht="12.75" customHeight="1" x14ac:dyDescent="0.2"/>
    <row r="7444" ht="12.75" customHeight="1" x14ac:dyDescent="0.2"/>
    <row r="7445" ht="12.75" customHeight="1" x14ac:dyDescent="0.2"/>
    <row r="7446" ht="12.75" customHeight="1" x14ac:dyDescent="0.2"/>
    <row r="7447" ht="12.75" customHeight="1" x14ac:dyDescent="0.2"/>
    <row r="7448" ht="12.75" customHeight="1" x14ac:dyDescent="0.2"/>
    <row r="7449" ht="12.75" customHeight="1" x14ac:dyDescent="0.2"/>
    <row r="7450" ht="12.75" customHeight="1" x14ac:dyDescent="0.2"/>
    <row r="7451" ht="12.75" customHeight="1" x14ac:dyDescent="0.2"/>
    <row r="7452" ht="12.75" customHeight="1" x14ac:dyDescent="0.2"/>
    <row r="7453" ht="12.75" customHeight="1" x14ac:dyDescent="0.2"/>
    <row r="7454" ht="12.75" customHeight="1" x14ac:dyDescent="0.2"/>
    <row r="7455" ht="12.75" customHeight="1" x14ac:dyDescent="0.2"/>
    <row r="7456" ht="12.75" customHeight="1" x14ac:dyDescent="0.2"/>
    <row r="7457" ht="12.75" customHeight="1" x14ac:dyDescent="0.2"/>
    <row r="7458" ht="12.75" customHeight="1" x14ac:dyDescent="0.2"/>
    <row r="7459" ht="12.75" customHeight="1" x14ac:dyDescent="0.2"/>
    <row r="7460" ht="12.75" customHeight="1" x14ac:dyDescent="0.2"/>
    <row r="7461" ht="12.75" customHeight="1" x14ac:dyDescent="0.2"/>
    <row r="7462" ht="12.75" customHeight="1" x14ac:dyDescent="0.2"/>
    <row r="7463" ht="12.75" customHeight="1" x14ac:dyDescent="0.2"/>
    <row r="7464" ht="12.75" customHeight="1" x14ac:dyDescent="0.2"/>
    <row r="7465" ht="12.75" customHeight="1" x14ac:dyDescent="0.2"/>
    <row r="7466" ht="12.75" customHeight="1" x14ac:dyDescent="0.2"/>
    <row r="7467" ht="12.75" customHeight="1" x14ac:dyDescent="0.2"/>
    <row r="7468" ht="12.75" customHeight="1" x14ac:dyDescent="0.2"/>
    <row r="7469" ht="12.75" customHeight="1" x14ac:dyDescent="0.2"/>
    <row r="7470" ht="12.75" customHeight="1" x14ac:dyDescent="0.2"/>
    <row r="7471" ht="12.75" customHeight="1" x14ac:dyDescent="0.2"/>
    <row r="7472" ht="12.75" customHeight="1" x14ac:dyDescent="0.2"/>
    <row r="7473" ht="12.75" customHeight="1" x14ac:dyDescent="0.2"/>
    <row r="7474" ht="12.75" customHeight="1" x14ac:dyDescent="0.2"/>
    <row r="7475" ht="12.75" customHeight="1" x14ac:dyDescent="0.2"/>
    <row r="7476" ht="12.75" customHeight="1" x14ac:dyDescent="0.2"/>
    <row r="7477" ht="12.75" customHeight="1" x14ac:dyDescent="0.2"/>
    <row r="7478" ht="12.75" customHeight="1" x14ac:dyDescent="0.2"/>
    <row r="7479" ht="12.75" customHeight="1" x14ac:dyDescent="0.2"/>
    <row r="7480" ht="12.75" customHeight="1" x14ac:dyDescent="0.2"/>
    <row r="7481" ht="12.75" customHeight="1" x14ac:dyDescent="0.2"/>
    <row r="7482" ht="12.75" customHeight="1" x14ac:dyDescent="0.2"/>
    <row r="7483" ht="12.75" customHeight="1" x14ac:dyDescent="0.2"/>
    <row r="7484" ht="12.75" customHeight="1" x14ac:dyDescent="0.2"/>
    <row r="7485" ht="12.75" customHeight="1" x14ac:dyDescent="0.2"/>
    <row r="7486" ht="12.75" customHeight="1" x14ac:dyDescent="0.2"/>
    <row r="7487" ht="12.75" customHeight="1" x14ac:dyDescent="0.2"/>
    <row r="7488" ht="12.75" customHeight="1" x14ac:dyDescent="0.2"/>
    <row r="7489" ht="12.75" customHeight="1" x14ac:dyDescent="0.2"/>
    <row r="7490" ht="12.75" customHeight="1" x14ac:dyDescent="0.2"/>
    <row r="7491" ht="12.75" customHeight="1" x14ac:dyDescent="0.2"/>
    <row r="7492" ht="12.75" customHeight="1" x14ac:dyDescent="0.2"/>
    <row r="7493" ht="12.75" customHeight="1" x14ac:dyDescent="0.2"/>
    <row r="7494" ht="12.75" customHeight="1" x14ac:dyDescent="0.2"/>
    <row r="7495" ht="12.75" customHeight="1" x14ac:dyDescent="0.2"/>
    <row r="7496" ht="12.75" customHeight="1" x14ac:dyDescent="0.2"/>
    <row r="7497" ht="12.75" customHeight="1" x14ac:dyDescent="0.2"/>
    <row r="7498" ht="12.75" customHeight="1" x14ac:dyDescent="0.2"/>
    <row r="7499" ht="12.75" customHeight="1" x14ac:dyDescent="0.2"/>
    <row r="7500" ht="12.75" customHeight="1" x14ac:dyDescent="0.2"/>
    <row r="7501" ht="12.75" customHeight="1" x14ac:dyDescent="0.2"/>
    <row r="7502" ht="12.75" customHeight="1" x14ac:dyDescent="0.2"/>
    <row r="7503" ht="12.75" customHeight="1" x14ac:dyDescent="0.2"/>
    <row r="7504" ht="12.75" customHeight="1" x14ac:dyDescent="0.2"/>
    <row r="7505" ht="12.75" customHeight="1" x14ac:dyDescent="0.2"/>
    <row r="7506" ht="12.75" customHeight="1" x14ac:dyDescent="0.2"/>
    <row r="7507" ht="12.75" customHeight="1" x14ac:dyDescent="0.2"/>
    <row r="7508" ht="12.75" customHeight="1" x14ac:dyDescent="0.2"/>
    <row r="7509" ht="12.75" customHeight="1" x14ac:dyDescent="0.2"/>
    <row r="7510" ht="12.75" customHeight="1" x14ac:dyDescent="0.2"/>
    <row r="7511" ht="12.75" customHeight="1" x14ac:dyDescent="0.2"/>
    <row r="7512" ht="12.75" customHeight="1" x14ac:dyDescent="0.2"/>
    <row r="7513" ht="12.75" customHeight="1" x14ac:dyDescent="0.2"/>
    <row r="7514" ht="12.75" customHeight="1" x14ac:dyDescent="0.2"/>
    <row r="7515" ht="12.75" customHeight="1" x14ac:dyDescent="0.2"/>
    <row r="7516" ht="12.75" customHeight="1" x14ac:dyDescent="0.2"/>
    <row r="7517" ht="12.75" customHeight="1" x14ac:dyDescent="0.2"/>
    <row r="7518" ht="12.75" customHeight="1" x14ac:dyDescent="0.2"/>
    <row r="7519" ht="12.75" customHeight="1" x14ac:dyDescent="0.2"/>
    <row r="7520" ht="12.75" customHeight="1" x14ac:dyDescent="0.2"/>
    <row r="7521" ht="12.75" customHeight="1" x14ac:dyDescent="0.2"/>
    <row r="7522" ht="12.75" customHeight="1" x14ac:dyDescent="0.2"/>
    <row r="7523" ht="12.75" customHeight="1" x14ac:dyDescent="0.2"/>
    <row r="7524" ht="12.75" customHeight="1" x14ac:dyDescent="0.2"/>
    <row r="7525" ht="12.75" customHeight="1" x14ac:dyDescent="0.2"/>
    <row r="7526" ht="12.75" customHeight="1" x14ac:dyDescent="0.2"/>
    <row r="7527" ht="12.75" customHeight="1" x14ac:dyDescent="0.2"/>
    <row r="7528" ht="12.75" customHeight="1" x14ac:dyDescent="0.2"/>
    <row r="7529" ht="12.75" customHeight="1" x14ac:dyDescent="0.2"/>
    <row r="7530" ht="12.75" customHeight="1" x14ac:dyDescent="0.2"/>
    <row r="7531" ht="12.75" customHeight="1" x14ac:dyDescent="0.2"/>
    <row r="7532" ht="12.75" customHeight="1" x14ac:dyDescent="0.2"/>
    <row r="7533" ht="12.75" customHeight="1" x14ac:dyDescent="0.2"/>
    <row r="7534" ht="12.75" customHeight="1" x14ac:dyDescent="0.2"/>
    <row r="7535" ht="12.75" customHeight="1" x14ac:dyDescent="0.2"/>
    <row r="7536" ht="12.75" customHeight="1" x14ac:dyDescent="0.2"/>
    <row r="7537" ht="12.75" customHeight="1" x14ac:dyDescent="0.2"/>
    <row r="7538" ht="12.75" customHeight="1" x14ac:dyDescent="0.2"/>
    <row r="7539" ht="12.75" customHeight="1" x14ac:dyDescent="0.2"/>
    <row r="7540" ht="12.75" customHeight="1" x14ac:dyDescent="0.2"/>
    <row r="7541" ht="12.75" customHeight="1" x14ac:dyDescent="0.2"/>
    <row r="7542" ht="12.75" customHeight="1" x14ac:dyDescent="0.2"/>
    <row r="7543" ht="12.75" customHeight="1" x14ac:dyDescent="0.2"/>
    <row r="7544" ht="12.75" customHeight="1" x14ac:dyDescent="0.2"/>
    <row r="7545" ht="12.75" customHeight="1" x14ac:dyDescent="0.2"/>
    <row r="7546" ht="12.75" customHeight="1" x14ac:dyDescent="0.2"/>
    <row r="7547" ht="12.75" customHeight="1" x14ac:dyDescent="0.2"/>
    <row r="7548" ht="12.75" customHeight="1" x14ac:dyDescent="0.2"/>
    <row r="7549" ht="12.75" customHeight="1" x14ac:dyDescent="0.2"/>
    <row r="7550" ht="12.75" customHeight="1" x14ac:dyDescent="0.2"/>
    <row r="7551" ht="12.75" customHeight="1" x14ac:dyDescent="0.2"/>
    <row r="7552" ht="12.75" customHeight="1" x14ac:dyDescent="0.2"/>
    <row r="7553" ht="12.75" customHeight="1" x14ac:dyDescent="0.2"/>
    <row r="7554" ht="12.75" customHeight="1" x14ac:dyDescent="0.2"/>
    <row r="7555" ht="12.75" customHeight="1" x14ac:dyDescent="0.2"/>
    <row r="7556" ht="12.75" customHeight="1" x14ac:dyDescent="0.2"/>
    <row r="7557" ht="12.75" customHeight="1" x14ac:dyDescent="0.2"/>
    <row r="7558" ht="12.75" customHeight="1" x14ac:dyDescent="0.2"/>
    <row r="7559" ht="12.75" customHeight="1" x14ac:dyDescent="0.2"/>
    <row r="7560" ht="12.75" customHeight="1" x14ac:dyDescent="0.2"/>
    <row r="7561" ht="12.75" customHeight="1" x14ac:dyDescent="0.2"/>
    <row r="7562" ht="12.75" customHeight="1" x14ac:dyDescent="0.2"/>
    <row r="7563" ht="12.75" customHeight="1" x14ac:dyDescent="0.2"/>
    <row r="7564" ht="12.75" customHeight="1" x14ac:dyDescent="0.2"/>
    <row r="7565" ht="12.75" customHeight="1" x14ac:dyDescent="0.2"/>
    <row r="7566" ht="12.75" customHeight="1" x14ac:dyDescent="0.2"/>
    <row r="7567" ht="12.75" customHeight="1" x14ac:dyDescent="0.2"/>
    <row r="7568" ht="12.75" customHeight="1" x14ac:dyDescent="0.2"/>
    <row r="7569" ht="12.75" customHeight="1" x14ac:dyDescent="0.2"/>
    <row r="7570" ht="12.75" customHeight="1" x14ac:dyDescent="0.2"/>
    <row r="7571" ht="12.75" customHeight="1" x14ac:dyDescent="0.2"/>
    <row r="7572" ht="12.75" customHeight="1" x14ac:dyDescent="0.2"/>
    <row r="7573" ht="12.75" customHeight="1" x14ac:dyDescent="0.2"/>
    <row r="7574" ht="12.75" customHeight="1" x14ac:dyDescent="0.2"/>
    <row r="7575" ht="12.75" customHeight="1" x14ac:dyDescent="0.2"/>
    <row r="7576" ht="12.75" customHeight="1" x14ac:dyDescent="0.2"/>
    <row r="7577" ht="12.75" customHeight="1" x14ac:dyDescent="0.2"/>
    <row r="7578" ht="12.75" customHeight="1" x14ac:dyDescent="0.2"/>
    <row r="7579" ht="12.75" customHeight="1" x14ac:dyDescent="0.2"/>
    <row r="7580" ht="12.75" customHeight="1" x14ac:dyDescent="0.2"/>
    <row r="7581" ht="12.75" customHeight="1" x14ac:dyDescent="0.2"/>
    <row r="7582" ht="12.75" customHeight="1" x14ac:dyDescent="0.2"/>
    <row r="7583" ht="12.75" customHeight="1" x14ac:dyDescent="0.2"/>
    <row r="7584" ht="12.75" customHeight="1" x14ac:dyDescent="0.2"/>
    <row r="7585" ht="12.75" customHeight="1" x14ac:dyDescent="0.2"/>
    <row r="7586" ht="12.75" customHeight="1" x14ac:dyDescent="0.2"/>
    <row r="7587" ht="12.75" customHeight="1" x14ac:dyDescent="0.2"/>
    <row r="7588" ht="12.75" customHeight="1" x14ac:dyDescent="0.2"/>
    <row r="7589" ht="12.75" customHeight="1" x14ac:dyDescent="0.2"/>
    <row r="7590" ht="12.75" customHeight="1" x14ac:dyDescent="0.2"/>
    <row r="7591" ht="12.75" customHeight="1" x14ac:dyDescent="0.2"/>
    <row r="7592" ht="12.75" customHeight="1" x14ac:dyDescent="0.2"/>
    <row r="7593" ht="12.75" customHeight="1" x14ac:dyDescent="0.2"/>
    <row r="7594" ht="12.75" customHeight="1" x14ac:dyDescent="0.2"/>
    <row r="7595" ht="12.75" customHeight="1" x14ac:dyDescent="0.2"/>
    <row r="7596" ht="12.75" customHeight="1" x14ac:dyDescent="0.2"/>
    <row r="7597" ht="12.75" customHeight="1" x14ac:dyDescent="0.2"/>
    <row r="7598" ht="12.75" customHeight="1" x14ac:dyDescent="0.2"/>
    <row r="7599" ht="12.75" customHeight="1" x14ac:dyDescent="0.2"/>
    <row r="7600" ht="12.75" customHeight="1" x14ac:dyDescent="0.2"/>
    <row r="7601" ht="12.75" customHeight="1" x14ac:dyDescent="0.2"/>
    <row r="7602" ht="12.75" customHeight="1" x14ac:dyDescent="0.2"/>
    <row r="7603" ht="12.75" customHeight="1" x14ac:dyDescent="0.2"/>
    <row r="7604" ht="12.75" customHeight="1" x14ac:dyDescent="0.2"/>
    <row r="7605" ht="12.75" customHeight="1" x14ac:dyDescent="0.2"/>
    <row r="7606" ht="12.75" customHeight="1" x14ac:dyDescent="0.2"/>
    <row r="7607" ht="12.75" customHeight="1" x14ac:dyDescent="0.2"/>
    <row r="7608" ht="12.75" customHeight="1" x14ac:dyDescent="0.2"/>
    <row r="7609" ht="12.75" customHeight="1" x14ac:dyDescent="0.2"/>
    <row r="7610" ht="12.75" customHeight="1" x14ac:dyDescent="0.2"/>
    <row r="7611" ht="12.75" customHeight="1" x14ac:dyDescent="0.2"/>
    <row r="7612" ht="12.75" customHeight="1" x14ac:dyDescent="0.2"/>
    <row r="7613" ht="12.75" customHeight="1" x14ac:dyDescent="0.2"/>
    <row r="7614" ht="12.75" customHeight="1" x14ac:dyDescent="0.2"/>
    <row r="7615" ht="12.75" customHeight="1" x14ac:dyDescent="0.2"/>
    <row r="7616" ht="12.75" customHeight="1" x14ac:dyDescent="0.2"/>
    <row r="7617" ht="12.75" customHeight="1" x14ac:dyDescent="0.2"/>
    <row r="7618" ht="12.75" customHeight="1" x14ac:dyDescent="0.2"/>
    <row r="7619" ht="12.75" customHeight="1" x14ac:dyDescent="0.2"/>
    <row r="7620" ht="12.75" customHeight="1" x14ac:dyDescent="0.2"/>
    <row r="7621" ht="12.75" customHeight="1" x14ac:dyDescent="0.2"/>
    <row r="7622" ht="12.75" customHeight="1" x14ac:dyDescent="0.2"/>
    <row r="7623" ht="12.75" customHeight="1" x14ac:dyDescent="0.2"/>
    <row r="7624" ht="12.75" customHeight="1" x14ac:dyDescent="0.2"/>
    <row r="7625" ht="12.75" customHeight="1" x14ac:dyDescent="0.2"/>
    <row r="7626" ht="12.75" customHeight="1" x14ac:dyDescent="0.2"/>
    <row r="7627" ht="12.75" customHeight="1" x14ac:dyDescent="0.2"/>
    <row r="7628" ht="12.75" customHeight="1" x14ac:dyDescent="0.2"/>
    <row r="7629" ht="12.75" customHeight="1" x14ac:dyDescent="0.2"/>
    <row r="7630" ht="12.75" customHeight="1" x14ac:dyDescent="0.2"/>
    <row r="7631" ht="12.75" customHeight="1" x14ac:dyDescent="0.2"/>
    <row r="7632" ht="12.75" customHeight="1" x14ac:dyDescent="0.2"/>
    <row r="7633" ht="12.75" customHeight="1" x14ac:dyDescent="0.2"/>
    <row r="7634" ht="12.75" customHeight="1" x14ac:dyDescent="0.2"/>
    <row r="7635" ht="12.75" customHeight="1" x14ac:dyDescent="0.2"/>
    <row r="7636" ht="12.75" customHeight="1" x14ac:dyDescent="0.2"/>
    <row r="7637" ht="12.75" customHeight="1" x14ac:dyDescent="0.2"/>
    <row r="7638" ht="12.75" customHeight="1" x14ac:dyDescent="0.2"/>
    <row r="7639" ht="12.75" customHeight="1" x14ac:dyDescent="0.2"/>
    <row r="7640" ht="12.75" customHeight="1" x14ac:dyDescent="0.2"/>
    <row r="7641" ht="12.75" customHeight="1" x14ac:dyDescent="0.2"/>
    <row r="7642" ht="12.75" customHeight="1" x14ac:dyDescent="0.2"/>
    <row r="7643" ht="12.75" customHeight="1" x14ac:dyDescent="0.2"/>
    <row r="7644" ht="12.75" customHeight="1" x14ac:dyDescent="0.2"/>
    <row r="7645" ht="12.75" customHeight="1" x14ac:dyDescent="0.2"/>
    <row r="7646" ht="12.75" customHeight="1" x14ac:dyDescent="0.2"/>
    <row r="7647" ht="12.75" customHeight="1" x14ac:dyDescent="0.2"/>
    <row r="7648" ht="12.75" customHeight="1" x14ac:dyDescent="0.2"/>
    <row r="7649" ht="12.75" customHeight="1" x14ac:dyDescent="0.2"/>
    <row r="7650" ht="12.75" customHeight="1" x14ac:dyDescent="0.2"/>
    <row r="7651" ht="12.75" customHeight="1" x14ac:dyDescent="0.2"/>
    <row r="7652" ht="12.75" customHeight="1" x14ac:dyDescent="0.2"/>
    <row r="7653" ht="12.75" customHeight="1" x14ac:dyDescent="0.2"/>
    <row r="7654" ht="12.75" customHeight="1" x14ac:dyDescent="0.2"/>
    <row r="7655" ht="12.75" customHeight="1" x14ac:dyDescent="0.2"/>
    <row r="7656" ht="12.75" customHeight="1" x14ac:dyDescent="0.2"/>
    <row r="7657" ht="12.75" customHeight="1" x14ac:dyDescent="0.2"/>
    <row r="7658" ht="12.75" customHeight="1" x14ac:dyDescent="0.2"/>
    <row r="7659" ht="12.75" customHeight="1" x14ac:dyDescent="0.2"/>
    <row r="7660" ht="12.75" customHeight="1" x14ac:dyDescent="0.2"/>
    <row r="7661" ht="12.75" customHeight="1" x14ac:dyDescent="0.2"/>
    <row r="7662" ht="12.75" customHeight="1" x14ac:dyDescent="0.2"/>
    <row r="7663" ht="12.75" customHeight="1" x14ac:dyDescent="0.2"/>
    <row r="7664" ht="12.75" customHeight="1" x14ac:dyDescent="0.2"/>
    <row r="7665" ht="12.75" customHeight="1" x14ac:dyDescent="0.2"/>
    <row r="7666" ht="12.75" customHeight="1" x14ac:dyDescent="0.2"/>
    <row r="7667" ht="12.75" customHeight="1" x14ac:dyDescent="0.2"/>
    <row r="7668" ht="12.75" customHeight="1" x14ac:dyDescent="0.2"/>
    <row r="7669" ht="12.75" customHeight="1" x14ac:dyDescent="0.2"/>
    <row r="7670" ht="12.75" customHeight="1" x14ac:dyDescent="0.2"/>
    <row r="7671" ht="12.75" customHeight="1" x14ac:dyDescent="0.2"/>
    <row r="7672" ht="12.75" customHeight="1" x14ac:dyDescent="0.2"/>
    <row r="7673" ht="12.75" customHeight="1" x14ac:dyDescent="0.2"/>
    <row r="7674" ht="12.75" customHeight="1" x14ac:dyDescent="0.2"/>
    <row r="7675" ht="12.75" customHeight="1" x14ac:dyDescent="0.2"/>
    <row r="7676" ht="12.75" customHeight="1" x14ac:dyDescent="0.2"/>
    <row r="7677" ht="12.75" customHeight="1" x14ac:dyDescent="0.2"/>
    <row r="7678" ht="12.75" customHeight="1" x14ac:dyDescent="0.2"/>
    <row r="7679" ht="12.75" customHeight="1" x14ac:dyDescent="0.2"/>
    <row r="7680" ht="12.75" customHeight="1" x14ac:dyDescent="0.2"/>
    <row r="7681" ht="12.75" customHeight="1" x14ac:dyDescent="0.2"/>
    <row r="7682" ht="12.75" customHeight="1" x14ac:dyDescent="0.2"/>
    <row r="7683" ht="12.75" customHeight="1" x14ac:dyDescent="0.2"/>
    <row r="7684" ht="12.75" customHeight="1" x14ac:dyDescent="0.2"/>
    <row r="7685" ht="12.75" customHeight="1" x14ac:dyDescent="0.2"/>
    <row r="7686" ht="12.75" customHeight="1" x14ac:dyDescent="0.2"/>
    <row r="7687" ht="12.75" customHeight="1" x14ac:dyDescent="0.2"/>
    <row r="7688" ht="12.75" customHeight="1" x14ac:dyDescent="0.2"/>
    <row r="7689" ht="12.75" customHeight="1" x14ac:dyDescent="0.2"/>
    <row r="7690" ht="12.75" customHeight="1" x14ac:dyDescent="0.2"/>
    <row r="7691" ht="12.75" customHeight="1" x14ac:dyDescent="0.2"/>
    <row r="7692" ht="12.75" customHeight="1" x14ac:dyDescent="0.2"/>
    <row r="7693" ht="12.75" customHeight="1" x14ac:dyDescent="0.2"/>
    <row r="7694" ht="12.75" customHeight="1" x14ac:dyDescent="0.2"/>
    <row r="7695" ht="12.75" customHeight="1" x14ac:dyDescent="0.2"/>
    <row r="7696" ht="12.75" customHeight="1" x14ac:dyDescent="0.2"/>
    <row r="7697" ht="12.75" customHeight="1" x14ac:dyDescent="0.2"/>
    <row r="7698" ht="12.75" customHeight="1" x14ac:dyDescent="0.2"/>
    <row r="7699" ht="12.75" customHeight="1" x14ac:dyDescent="0.2"/>
    <row r="7700" ht="12.75" customHeight="1" x14ac:dyDescent="0.2"/>
    <row r="7701" ht="12.75" customHeight="1" x14ac:dyDescent="0.2"/>
    <row r="7702" ht="12.75" customHeight="1" x14ac:dyDescent="0.2"/>
    <row r="7703" ht="12.75" customHeight="1" x14ac:dyDescent="0.2"/>
    <row r="7704" ht="12.75" customHeight="1" x14ac:dyDescent="0.2"/>
    <row r="7705" ht="12.75" customHeight="1" x14ac:dyDescent="0.2"/>
    <row r="7706" ht="12.75" customHeight="1" x14ac:dyDescent="0.2"/>
    <row r="7707" ht="12.75" customHeight="1" x14ac:dyDescent="0.2"/>
    <row r="7708" ht="12.75" customHeight="1" x14ac:dyDescent="0.2"/>
    <row r="7709" ht="12.75" customHeight="1" x14ac:dyDescent="0.2"/>
    <row r="7710" ht="12.75" customHeight="1" x14ac:dyDescent="0.2"/>
    <row r="7711" ht="12.75" customHeight="1" x14ac:dyDescent="0.2"/>
    <row r="7712" ht="12.75" customHeight="1" x14ac:dyDescent="0.2"/>
    <row r="7713" ht="12.75" customHeight="1" x14ac:dyDescent="0.2"/>
    <row r="7714" ht="12.75" customHeight="1" x14ac:dyDescent="0.2"/>
    <row r="7715" ht="12.75" customHeight="1" x14ac:dyDescent="0.2"/>
    <row r="7716" ht="12.75" customHeight="1" x14ac:dyDescent="0.2"/>
    <row r="7717" ht="12.75" customHeight="1" x14ac:dyDescent="0.2"/>
    <row r="7718" ht="12.75" customHeight="1" x14ac:dyDescent="0.2"/>
    <row r="7719" ht="12.75" customHeight="1" x14ac:dyDescent="0.2"/>
    <row r="7720" ht="12.75" customHeight="1" x14ac:dyDescent="0.2"/>
    <row r="7721" ht="12.75" customHeight="1" x14ac:dyDescent="0.2"/>
    <row r="7722" ht="12.75" customHeight="1" x14ac:dyDescent="0.2"/>
    <row r="7723" ht="12.75" customHeight="1" x14ac:dyDescent="0.2"/>
    <row r="7724" ht="12.75" customHeight="1" x14ac:dyDescent="0.2"/>
    <row r="7725" ht="12.75" customHeight="1" x14ac:dyDescent="0.2"/>
    <row r="7726" ht="12.75" customHeight="1" x14ac:dyDescent="0.2"/>
    <row r="7727" ht="12.75" customHeight="1" x14ac:dyDescent="0.2"/>
    <row r="7728" ht="12.75" customHeight="1" x14ac:dyDescent="0.2"/>
    <row r="7729" ht="12.75" customHeight="1" x14ac:dyDescent="0.2"/>
    <row r="7730" ht="12.75" customHeight="1" x14ac:dyDescent="0.2"/>
    <row r="7731" ht="12.75" customHeight="1" x14ac:dyDescent="0.2"/>
    <row r="7732" ht="12.75" customHeight="1" x14ac:dyDescent="0.2"/>
    <row r="7733" ht="12.75" customHeight="1" x14ac:dyDescent="0.2"/>
    <row r="7734" ht="12.75" customHeight="1" x14ac:dyDescent="0.2"/>
    <row r="7735" ht="12.75" customHeight="1" x14ac:dyDescent="0.2"/>
    <row r="7736" ht="12.75" customHeight="1" x14ac:dyDescent="0.2"/>
    <row r="7737" ht="12.75" customHeight="1" x14ac:dyDescent="0.2"/>
    <row r="7738" ht="12.75" customHeight="1" x14ac:dyDescent="0.2"/>
    <row r="7739" ht="12.75" customHeight="1" x14ac:dyDescent="0.2"/>
    <row r="7740" ht="12.75" customHeight="1" x14ac:dyDescent="0.2"/>
    <row r="7741" ht="12.75" customHeight="1" x14ac:dyDescent="0.2"/>
    <row r="7742" ht="12.75" customHeight="1" x14ac:dyDescent="0.2"/>
    <row r="7743" ht="12.75" customHeight="1" x14ac:dyDescent="0.2"/>
    <row r="7744" ht="12.75" customHeight="1" x14ac:dyDescent="0.2"/>
    <row r="7745" ht="12.75" customHeight="1" x14ac:dyDescent="0.2"/>
    <row r="7746" ht="12.75" customHeight="1" x14ac:dyDescent="0.2"/>
    <row r="7747" ht="12.75" customHeight="1" x14ac:dyDescent="0.2"/>
    <row r="7748" ht="12.75" customHeight="1" x14ac:dyDescent="0.2"/>
    <row r="7749" ht="12.75" customHeight="1" x14ac:dyDescent="0.2"/>
    <row r="7750" ht="12.75" customHeight="1" x14ac:dyDescent="0.2"/>
    <row r="7751" ht="12.75" customHeight="1" x14ac:dyDescent="0.2"/>
    <row r="7752" ht="12.75" customHeight="1" x14ac:dyDescent="0.2"/>
    <row r="7753" ht="12.75" customHeight="1" x14ac:dyDescent="0.2"/>
    <row r="7754" ht="12.75" customHeight="1" x14ac:dyDescent="0.2"/>
    <row r="7755" ht="12.75" customHeight="1" x14ac:dyDescent="0.2"/>
    <row r="7756" ht="12.75" customHeight="1" x14ac:dyDescent="0.2"/>
    <row r="7757" ht="12.75" customHeight="1" x14ac:dyDescent="0.2"/>
    <row r="7758" ht="12.75" customHeight="1" x14ac:dyDescent="0.2"/>
    <row r="7759" ht="12.75" customHeight="1" x14ac:dyDescent="0.2"/>
    <row r="7760" ht="12.75" customHeight="1" x14ac:dyDescent="0.2"/>
    <row r="7761" ht="12.75" customHeight="1" x14ac:dyDescent="0.2"/>
    <row r="7762" ht="12.75" customHeight="1" x14ac:dyDescent="0.2"/>
    <row r="7763" ht="12.75" customHeight="1" x14ac:dyDescent="0.2"/>
    <row r="7764" ht="12.75" customHeight="1" x14ac:dyDescent="0.2"/>
    <row r="7765" ht="12.75" customHeight="1" x14ac:dyDescent="0.2"/>
    <row r="7766" ht="12.75" customHeight="1" x14ac:dyDescent="0.2"/>
    <row r="7767" ht="12.75" customHeight="1" x14ac:dyDescent="0.2"/>
    <row r="7768" ht="12.75" customHeight="1" x14ac:dyDescent="0.2"/>
    <row r="7769" ht="12.75" customHeight="1" x14ac:dyDescent="0.2"/>
    <row r="7770" ht="12.75" customHeight="1" x14ac:dyDescent="0.2"/>
    <row r="7771" ht="12.75" customHeight="1" x14ac:dyDescent="0.2"/>
    <row r="7772" ht="12.75" customHeight="1" x14ac:dyDescent="0.2"/>
    <row r="7773" ht="12.75" customHeight="1" x14ac:dyDescent="0.2"/>
    <row r="7774" ht="12.75" customHeight="1" x14ac:dyDescent="0.2"/>
    <row r="7775" ht="12.75" customHeight="1" x14ac:dyDescent="0.2"/>
    <row r="7776" ht="12.75" customHeight="1" x14ac:dyDescent="0.2"/>
    <row r="7777" ht="12.75" customHeight="1" x14ac:dyDescent="0.2"/>
    <row r="7778" ht="12.75" customHeight="1" x14ac:dyDescent="0.2"/>
    <row r="7779" ht="12.75" customHeight="1" x14ac:dyDescent="0.2"/>
    <row r="7780" ht="12.75" customHeight="1" x14ac:dyDescent="0.2"/>
    <row r="7781" ht="12.75" customHeight="1" x14ac:dyDescent="0.2"/>
    <row r="7782" ht="12.75" customHeight="1" x14ac:dyDescent="0.2"/>
    <row r="7783" ht="12.75" customHeight="1" x14ac:dyDescent="0.2"/>
    <row r="7784" ht="12.75" customHeight="1" x14ac:dyDescent="0.2"/>
    <row r="7785" ht="12.75" customHeight="1" x14ac:dyDescent="0.2"/>
    <row r="7786" ht="12.75" customHeight="1" x14ac:dyDescent="0.2"/>
    <row r="7787" ht="12.75" customHeight="1" x14ac:dyDescent="0.2"/>
    <row r="7788" ht="12.75" customHeight="1" x14ac:dyDescent="0.2"/>
    <row r="7789" ht="12.75" customHeight="1" x14ac:dyDescent="0.2"/>
    <row r="7790" ht="12.75" customHeight="1" x14ac:dyDescent="0.2"/>
    <row r="7791" ht="12.75" customHeight="1" x14ac:dyDescent="0.2"/>
    <row r="7792" ht="12.75" customHeight="1" x14ac:dyDescent="0.2"/>
    <row r="7793" ht="12.75" customHeight="1" x14ac:dyDescent="0.2"/>
    <row r="7794" ht="12.75" customHeight="1" x14ac:dyDescent="0.2"/>
    <row r="7795" ht="12.75" customHeight="1" x14ac:dyDescent="0.2"/>
    <row r="7796" ht="12.75" customHeight="1" x14ac:dyDescent="0.2"/>
    <row r="7797" ht="12.75" customHeight="1" x14ac:dyDescent="0.2"/>
    <row r="7798" ht="12.75" customHeight="1" x14ac:dyDescent="0.2"/>
    <row r="7799" ht="12.75" customHeight="1" x14ac:dyDescent="0.2"/>
    <row r="7800" ht="12.75" customHeight="1" x14ac:dyDescent="0.2"/>
    <row r="7801" ht="12.75" customHeight="1" x14ac:dyDescent="0.2"/>
    <row r="7802" ht="12.75" customHeight="1" x14ac:dyDescent="0.2"/>
    <row r="7803" ht="12.75" customHeight="1" x14ac:dyDescent="0.2"/>
    <row r="7804" ht="12.75" customHeight="1" x14ac:dyDescent="0.2"/>
    <row r="7805" ht="12.75" customHeight="1" x14ac:dyDescent="0.2"/>
    <row r="7806" ht="12.75" customHeight="1" x14ac:dyDescent="0.2"/>
    <row r="7807" ht="12.75" customHeight="1" x14ac:dyDescent="0.2"/>
    <row r="7808" ht="12.75" customHeight="1" x14ac:dyDescent="0.2"/>
    <row r="7809" ht="12.75" customHeight="1" x14ac:dyDescent="0.2"/>
    <row r="7810" ht="12.75" customHeight="1" x14ac:dyDescent="0.2"/>
    <row r="7811" ht="12.75" customHeight="1" x14ac:dyDescent="0.2"/>
    <row r="7812" ht="12.75" customHeight="1" x14ac:dyDescent="0.2"/>
    <row r="7813" ht="12.75" customHeight="1" x14ac:dyDescent="0.2"/>
    <row r="7814" ht="12.75" customHeight="1" x14ac:dyDescent="0.2"/>
    <row r="7815" ht="12.75" customHeight="1" x14ac:dyDescent="0.2"/>
    <row r="7816" ht="12.75" customHeight="1" x14ac:dyDescent="0.2"/>
    <row r="7817" ht="12.75" customHeight="1" x14ac:dyDescent="0.2"/>
    <row r="7818" ht="12.75" customHeight="1" x14ac:dyDescent="0.2"/>
    <row r="7819" ht="12.75" customHeight="1" x14ac:dyDescent="0.2"/>
    <row r="7820" ht="12.75" customHeight="1" x14ac:dyDescent="0.2"/>
    <row r="7821" ht="12.75" customHeight="1" x14ac:dyDescent="0.2"/>
    <row r="7822" ht="12.75" customHeight="1" x14ac:dyDescent="0.2"/>
    <row r="7823" ht="12.75" customHeight="1" x14ac:dyDescent="0.2"/>
    <row r="7824" ht="12.75" customHeight="1" x14ac:dyDescent="0.2"/>
    <row r="7825" ht="12.75" customHeight="1" x14ac:dyDescent="0.2"/>
    <row r="7826" ht="12.75" customHeight="1" x14ac:dyDescent="0.2"/>
    <row r="7827" ht="12.75" customHeight="1" x14ac:dyDescent="0.2"/>
    <row r="7828" ht="12.75" customHeight="1" x14ac:dyDescent="0.2"/>
    <row r="7829" ht="12.75" customHeight="1" x14ac:dyDescent="0.2"/>
    <row r="7830" ht="12.75" customHeight="1" x14ac:dyDescent="0.2"/>
    <row r="7831" ht="12.75" customHeight="1" x14ac:dyDescent="0.2"/>
    <row r="7832" ht="12.75" customHeight="1" x14ac:dyDescent="0.2"/>
    <row r="7833" ht="12.75" customHeight="1" x14ac:dyDescent="0.2"/>
    <row r="7834" ht="12.75" customHeight="1" x14ac:dyDescent="0.2"/>
    <row r="7835" ht="12.75" customHeight="1" x14ac:dyDescent="0.2"/>
    <row r="7836" ht="12.75" customHeight="1" x14ac:dyDescent="0.2"/>
    <row r="7837" ht="12.75" customHeight="1" x14ac:dyDescent="0.2"/>
    <row r="7838" ht="12.75" customHeight="1" x14ac:dyDescent="0.2"/>
    <row r="7839" ht="12.75" customHeight="1" x14ac:dyDescent="0.2"/>
    <row r="7840" ht="12.75" customHeight="1" x14ac:dyDescent="0.2"/>
    <row r="7841" ht="12.75" customHeight="1" x14ac:dyDescent="0.2"/>
    <row r="7842" ht="12.75" customHeight="1" x14ac:dyDescent="0.2"/>
    <row r="7843" ht="12.75" customHeight="1" x14ac:dyDescent="0.2"/>
    <row r="7844" ht="12.75" customHeight="1" x14ac:dyDescent="0.2"/>
    <row r="7845" ht="12.75" customHeight="1" x14ac:dyDescent="0.2"/>
    <row r="7846" ht="12.75" customHeight="1" x14ac:dyDescent="0.2"/>
    <row r="7847" ht="12.75" customHeight="1" x14ac:dyDescent="0.2"/>
    <row r="7848" ht="12.75" customHeight="1" x14ac:dyDescent="0.2"/>
    <row r="7849" ht="12.75" customHeight="1" x14ac:dyDescent="0.2"/>
    <row r="7850" ht="12.75" customHeight="1" x14ac:dyDescent="0.2"/>
    <row r="7851" ht="12.75" customHeight="1" x14ac:dyDescent="0.2"/>
    <row r="7852" ht="12.75" customHeight="1" x14ac:dyDescent="0.2"/>
    <row r="7853" ht="12.75" customHeight="1" x14ac:dyDescent="0.2"/>
    <row r="7854" ht="12.75" customHeight="1" x14ac:dyDescent="0.2"/>
    <row r="7855" ht="12.75" customHeight="1" x14ac:dyDescent="0.2"/>
    <row r="7856" ht="12.75" customHeight="1" x14ac:dyDescent="0.2"/>
    <row r="7857" ht="12.75" customHeight="1" x14ac:dyDescent="0.2"/>
    <row r="7858" ht="12.75" customHeight="1" x14ac:dyDescent="0.2"/>
    <row r="7859" ht="12.75" customHeight="1" x14ac:dyDescent="0.2"/>
    <row r="7860" ht="12.75" customHeight="1" x14ac:dyDescent="0.2"/>
    <row r="7861" ht="12.75" customHeight="1" x14ac:dyDescent="0.2"/>
    <row r="7862" ht="12.75" customHeight="1" x14ac:dyDescent="0.2"/>
    <row r="7863" ht="12.75" customHeight="1" x14ac:dyDescent="0.2"/>
    <row r="7864" ht="12.75" customHeight="1" x14ac:dyDescent="0.2"/>
    <row r="7865" ht="12.75" customHeight="1" x14ac:dyDescent="0.2"/>
    <row r="7866" ht="12.75" customHeight="1" x14ac:dyDescent="0.2"/>
    <row r="7867" ht="12.75" customHeight="1" x14ac:dyDescent="0.2"/>
    <row r="7868" ht="12.75" customHeight="1" x14ac:dyDescent="0.2"/>
    <row r="7869" ht="12.75" customHeight="1" x14ac:dyDescent="0.2"/>
    <row r="7870" ht="12.75" customHeight="1" x14ac:dyDescent="0.2"/>
    <row r="7871" ht="12.75" customHeight="1" x14ac:dyDescent="0.2"/>
    <row r="7872" ht="12.75" customHeight="1" x14ac:dyDescent="0.2"/>
    <row r="7873" ht="12.75" customHeight="1" x14ac:dyDescent="0.2"/>
    <row r="7874" ht="12.75" customHeight="1" x14ac:dyDescent="0.2"/>
    <row r="7875" ht="12.75" customHeight="1" x14ac:dyDescent="0.2"/>
    <row r="7876" ht="12.75" customHeight="1" x14ac:dyDescent="0.2"/>
    <row r="7877" ht="12.75" customHeight="1" x14ac:dyDescent="0.2"/>
    <row r="7878" ht="12.75" customHeight="1" x14ac:dyDescent="0.2"/>
    <row r="7879" ht="12.75" customHeight="1" x14ac:dyDescent="0.2"/>
    <row r="7880" ht="12.75" customHeight="1" x14ac:dyDescent="0.2"/>
    <row r="7881" ht="12.75" customHeight="1" x14ac:dyDescent="0.2"/>
    <row r="7882" ht="12.75" customHeight="1" x14ac:dyDescent="0.2"/>
    <row r="7883" ht="12.75" customHeight="1" x14ac:dyDescent="0.2"/>
    <row r="7884" ht="12.75" customHeight="1" x14ac:dyDescent="0.2"/>
    <row r="7885" ht="12.75" customHeight="1" x14ac:dyDescent="0.2"/>
    <row r="7886" ht="12.75" customHeight="1" x14ac:dyDescent="0.2"/>
    <row r="7887" ht="12.75" customHeight="1" x14ac:dyDescent="0.2"/>
    <row r="7888" ht="12.75" customHeight="1" x14ac:dyDescent="0.2"/>
    <row r="7889" ht="12.75" customHeight="1" x14ac:dyDescent="0.2"/>
    <row r="7890" ht="12.75" customHeight="1" x14ac:dyDescent="0.2"/>
    <row r="7891" ht="12.75" customHeight="1" x14ac:dyDescent="0.2"/>
    <row r="7892" ht="12.75" customHeight="1" x14ac:dyDescent="0.2"/>
    <row r="7893" ht="12.75" customHeight="1" x14ac:dyDescent="0.2"/>
    <row r="7894" ht="12.75" customHeight="1" x14ac:dyDescent="0.2"/>
    <row r="7895" ht="12.75" customHeight="1" x14ac:dyDescent="0.2"/>
    <row r="7896" ht="12.75" customHeight="1" x14ac:dyDescent="0.2"/>
    <row r="7897" ht="12.75" customHeight="1" x14ac:dyDescent="0.2"/>
    <row r="7898" ht="12.75" customHeight="1" x14ac:dyDescent="0.2"/>
    <row r="7899" ht="12.75" customHeight="1" x14ac:dyDescent="0.2"/>
    <row r="7900" ht="12.75" customHeight="1" x14ac:dyDescent="0.2"/>
    <row r="7901" ht="12.75" customHeight="1" x14ac:dyDescent="0.2"/>
    <row r="7902" ht="12.75" customHeight="1" x14ac:dyDescent="0.2"/>
    <row r="7903" ht="12.75" customHeight="1" x14ac:dyDescent="0.2"/>
    <row r="7904" ht="12.75" customHeight="1" x14ac:dyDescent="0.2"/>
    <row r="7905" ht="12.75" customHeight="1" x14ac:dyDescent="0.2"/>
    <row r="7906" ht="12.75" customHeight="1" x14ac:dyDescent="0.2"/>
    <row r="7907" ht="12.75" customHeight="1" x14ac:dyDescent="0.2"/>
    <row r="7908" ht="12.75" customHeight="1" x14ac:dyDescent="0.2"/>
    <row r="7909" ht="12.75" customHeight="1" x14ac:dyDescent="0.2"/>
    <row r="7910" ht="12.75" customHeight="1" x14ac:dyDescent="0.2"/>
    <row r="7911" ht="12.75" customHeight="1" x14ac:dyDescent="0.2"/>
    <row r="7912" ht="12.75" customHeight="1" x14ac:dyDescent="0.2"/>
    <row r="7913" ht="12.75" customHeight="1" x14ac:dyDescent="0.2"/>
    <row r="7914" ht="12.75" customHeight="1" x14ac:dyDescent="0.2"/>
    <row r="7915" ht="12.75" customHeight="1" x14ac:dyDescent="0.2"/>
    <row r="7916" ht="12.75" customHeight="1" x14ac:dyDescent="0.2"/>
    <row r="7917" ht="12.75" customHeight="1" x14ac:dyDescent="0.2"/>
    <row r="7918" ht="12.75" customHeight="1" x14ac:dyDescent="0.2"/>
    <row r="7919" ht="12.75" customHeight="1" x14ac:dyDescent="0.2"/>
    <row r="7920" ht="12.75" customHeight="1" x14ac:dyDescent="0.2"/>
    <row r="7921" ht="12.75" customHeight="1" x14ac:dyDescent="0.2"/>
    <row r="7922" ht="12.75" customHeight="1" x14ac:dyDescent="0.2"/>
    <row r="7923" ht="12.75" customHeight="1" x14ac:dyDescent="0.2"/>
    <row r="7924" ht="12.75" customHeight="1" x14ac:dyDescent="0.2"/>
    <row r="7925" ht="12.75" customHeight="1" x14ac:dyDescent="0.2"/>
    <row r="7926" ht="12.75" customHeight="1" x14ac:dyDescent="0.2"/>
    <row r="7927" ht="12.75" customHeight="1" x14ac:dyDescent="0.2"/>
    <row r="7928" ht="12.75" customHeight="1" x14ac:dyDescent="0.2"/>
    <row r="7929" ht="12.75" customHeight="1" x14ac:dyDescent="0.2"/>
    <row r="7930" ht="12.75" customHeight="1" x14ac:dyDescent="0.2"/>
    <row r="7931" ht="12.75" customHeight="1" x14ac:dyDescent="0.2"/>
    <row r="7932" ht="12.75" customHeight="1" x14ac:dyDescent="0.2"/>
    <row r="7933" ht="12.75" customHeight="1" x14ac:dyDescent="0.2"/>
    <row r="7934" ht="12.75" customHeight="1" x14ac:dyDescent="0.2"/>
    <row r="7935" ht="12.75" customHeight="1" x14ac:dyDescent="0.2"/>
    <row r="7936" ht="12.75" customHeight="1" x14ac:dyDescent="0.2"/>
    <row r="7937" ht="12.75" customHeight="1" x14ac:dyDescent="0.2"/>
    <row r="7938" ht="12.75" customHeight="1" x14ac:dyDescent="0.2"/>
    <row r="7939" ht="12.75" customHeight="1" x14ac:dyDescent="0.2"/>
    <row r="7940" ht="12.75" customHeight="1" x14ac:dyDescent="0.2"/>
    <row r="7941" ht="12.75" customHeight="1" x14ac:dyDescent="0.2"/>
    <row r="7942" ht="12.75" customHeight="1" x14ac:dyDescent="0.2"/>
    <row r="7943" ht="12.75" customHeight="1" x14ac:dyDescent="0.2"/>
    <row r="7944" ht="12.75" customHeight="1" x14ac:dyDescent="0.2"/>
    <row r="7945" ht="12.75" customHeight="1" x14ac:dyDescent="0.2"/>
    <row r="7946" ht="12.75" customHeight="1" x14ac:dyDescent="0.2"/>
    <row r="7947" ht="12.75" customHeight="1" x14ac:dyDescent="0.2"/>
    <row r="7948" ht="12.75" customHeight="1" x14ac:dyDescent="0.2"/>
    <row r="7949" ht="12.75" customHeight="1" x14ac:dyDescent="0.2"/>
    <row r="7950" ht="12.75" customHeight="1" x14ac:dyDescent="0.2"/>
    <row r="7951" ht="12.75" customHeight="1" x14ac:dyDescent="0.2"/>
    <row r="7952" ht="12.75" customHeight="1" x14ac:dyDescent="0.2"/>
    <row r="7953" ht="12.75" customHeight="1" x14ac:dyDescent="0.2"/>
    <row r="7954" ht="12.75" customHeight="1" x14ac:dyDescent="0.2"/>
    <row r="7955" ht="12.75" customHeight="1" x14ac:dyDescent="0.2"/>
    <row r="7956" ht="12.75" customHeight="1" x14ac:dyDescent="0.2"/>
    <row r="7957" ht="12.75" customHeight="1" x14ac:dyDescent="0.2"/>
    <row r="7958" ht="12.75" customHeight="1" x14ac:dyDescent="0.2"/>
    <row r="7959" ht="12.75" customHeight="1" x14ac:dyDescent="0.2"/>
    <row r="7960" ht="12.75" customHeight="1" x14ac:dyDescent="0.2"/>
    <row r="7961" ht="12.75" customHeight="1" x14ac:dyDescent="0.2"/>
    <row r="7962" ht="12.75" customHeight="1" x14ac:dyDescent="0.2"/>
    <row r="7963" ht="12.75" customHeight="1" x14ac:dyDescent="0.2"/>
    <row r="7964" ht="12.75" customHeight="1" x14ac:dyDescent="0.2"/>
    <row r="7965" ht="12.75" customHeight="1" x14ac:dyDescent="0.2"/>
    <row r="7966" ht="12.75" customHeight="1" x14ac:dyDescent="0.2"/>
    <row r="7967" ht="12.75" customHeight="1" x14ac:dyDescent="0.2"/>
    <row r="7968" ht="12.75" customHeight="1" x14ac:dyDescent="0.2"/>
    <row r="7969" ht="12.75" customHeight="1" x14ac:dyDescent="0.2"/>
    <row r="7970" ht="12.75" customHeight="1" x14ac:dyDescent="0.2"/>
    <row r="7971" ht="12.75" customHeight="1" x14ac:dyDescent="0.2"/>
    <row r="7972" ht="12.75" customHeight="1" x14ac:dyDescent="0.2"/>
    <row r="7973" ht="12.75" customHeight="1" x14ac:dyDescent="0.2"/>
    <row r="7974" ht="12.75" customHeight="1" x14ac:dyDescent="0.2"/>
    <row r="7975" ht="12.75" customHeight="1" x14ac:dyDescent="0.2"/>
    <row r="7976" ht="12.75" customHeight="1" x14ac:dyDescent="0.2"/>
    <row r="7977" ht="12.75" customHeight="1" x14ac:dyDescent="0.2"/>
    <row r="7978" ht="12.75" customHeight="1" x14ac:dyDescent="0.2"/>
    <row r="7979" ht="12.75" customHeight="1" x14ac:dyDescent="0.2"/>
    <row r="7980" ht="12.75" customHeight="1" x14ac:dyDescent="0.2"/>
    <row r="7981" ht="12.75" customHeight="1" x14ac:dyDescent="0.2"/>
    <row r="7982" ht="12.75" customHeight="1" x14ac:dyDescent="0.2"/>
    <row r="7983" ht="12.75" customHeight="1" x14ac:dyDescent="0.2"/>
    <row r="7984" ht="12.75" customHeight="1" x14ac:dyDescent="0.2"/>
    <row r="7985" ht="12.75" customHeight="1" x14ac:dyDescent="0.2"/>
    <row r="7986" ht="12.75" customHeight="1" x14ac:dyDescent="0.2"/>
    <row r="7987" ht="12.75" customHeight="1" x14ac:dyDescent="0.2"/>
    <row r="7988" ht="12.75" customHeight="1" x14ac:dyDescent="0.2"/>
    <row r="7989" ht="12.75" customHeight="1" x14ac:dyDescent="0.2"/>
    <row r="7990" ht="12.75" customHeight="1" x14ac:dyDescent="0.2"/>
    <row r="7991" ht="12.75" customHeight="1" x14ac:dyDescent="0.2"/>
    <row r="7992" ht="12.75" customHeight="1" x14ac:dyDescent="0.2"/>
    <row r="7993" ht="12.75" customHeight="1" x14ac:dyDescent="0.2"/>
    <row r="7994" ht="12.75" customHeight="1" x14ac:dyDescent="0.2"/>
    <row r="7995" ht="12.75" customHeight="1" x14ac:dyDescent="0.2"/>
    <row r="7996" ht="12.75" customHeight="1" x14ac:dyDescent="0.2"/>
    <row r="7997" ht="12.75" customHeight="1" x14ac:dyDescent="0.2"/>
    <row r="7998" ht="12.75" customHeight="1" x14ac:dyDescent="0.2"/>
    <row r="7999" ht="12.75" customHeight="1" x14ac:dyDescent="0.2"/>
    <row r="8000" ht="12.75" customHeight="1" x14ac:dyDescent="0.2"/>
    <row r="8001" ht="12.75" customHeight="1" x14ac:dyDescent="0.2"/>
    <row r="8002" ht="12.75" customHeight="1" x14ac:dyDescent="0.2"/>
    <row r="8003" ht="12.75" customHeight="1" x14ac:dyDescent="0.2"/>
    <row r="8004" ht="12.75" customHeight="1" x14ac:dyDescent="0.2"/>
    <row r="8005" ht="12.75" customHeight="1" x14ac:dyDescent="0.2"/>
    <row r="8006" ht="12.75" customHeight="1" x14ac:dyDescent="0.2"/>
    <row r="8007" ht="12.75" customHeight="1" x14ac:dyDescent="0.2"/>
    <row r="8008" ht="12.75" customHeight="1" x14ac:dyDescent="0.2"/>
    <row r="8009" ht="12.75" customHeight="1" x14ac:dyDescent="0.2"/>
    <row r="8010" ht="12.75" customHeight="1" x14ac:dyDescent="0.2"/>
    <row r="8011" ht="12.75" customHeight="1" x14ac:dyDescent="0.2"/>
    <row r="8012" ht="12.75" customHeight="1" x14ac:dyDescent="0.2"/>
    <row r="8013" ht="12.75" customHeight="1" x14ac:dyDescent="0.2"/>
    <row r="8014" ht="12.75" customHeight="1" x14ac:dyDescent="0.2"/>
    <row r="8015" ht="12.75" customHeight="1" x14ac:dyDescent="0.2"/>
    <row r="8016" ht="12.75" customHeight="1" x14ac:dyDescent="0.2"/>
    <row r="8017" ht="12.75" customHeight="1" x14ac:dyDescent="0.2"/>
    <row r="8018" ht="12.75" customHeight="1" x14ac:dyDescent="0.2"/>
    <row r="8019" ht="12.75" customHeight="1" x14ac:dyDescent="0.2"/>
    <row r="8020" ht="12.75" customHeight="1" x14ac:dyDescent="0.2"/>
    <row r="8021" ht="12.75" customHeight="1" x14ac:dyDescent="0.2"/>
    <row r="8022" ht="12.75" customHeight="1" x14ac:dyDescent="0.2"/>
    <row r="8023" ht="12.75" customHeight="1" x14ac:dyDescent="0.2"/>
    <row r="8024" ht="12.75" customHeight="1" x14ac:dyDescent="0.2"/>
    <row r="8025" ht="12.75" customHeight="1" x14ac:dyDescent="0.2"/>
    <row r="8026" ht="12.75" customHeight="1" x14ac:dyDescent="0.2"/>
    <row r="8027" ht="12.75" customHeight="1" x14ac:dyDescent="0.2"/>
    <row r="8028" ht="12.75" customHeight="1" x14ac:dyDescent="0.2"/>
    <row r="8029" ht="12.75" customHeight="1" x14ac:dyDescent="0.2"/>
    <row r="8030" ht="12.75" customHeight="1" x14ac:dyDescent="0.2"/>
    <row r="8031" ht="12.75" customHeight="1" x14ac:dyDescent="0.2"/>
    <row r="8032" ht="12.75" customHeight="1" x14ac:dyDescent="0.2"/>
    <row r="8033" ht="12.75" customHeight="1" x14ac:dyDescent="0.2"/>
    <row r="8034" ht="12.75" customHeight="1" x14ac:dyDescent="0.2"/>
    <row r="8035" ht="12.75" customHeight="1" x14ac:dyDescent="0.2"/>
    <row r="8036" ht="12.75" customHeight="1" x14ac:dyDescent="0.2"/>
    <row r="8037" ht="12.75" customHeight="1" x14ac:dyDescent="0.2"/>
    <row r="8038" ht="12.75" customHeight="1" x14ac:dyDescent="0.2"/>
    <row r="8039" ht="12.75" customHeight="1" x14ac:dyDescent="0.2"/>
    <row r="8040" ht="12.75" customHeight="1" x14ac:dyDescent="0.2"/>
    <row r="8041" ht="12.75" customHeight="1" x14ac:dyDescent="0.2"/>
    <row r="8042" ht="12.75" customHeight="1" x14ac:dyDescent="0.2"/>
    <row r="8043" ht="12.75" customHeight="1" x14ac:dyDescent="0.2"/>
    <row r="8044" ht="12.75" customHeight="1" x14ac:dyDescent="0.2"/>
    <row r="8045" ht="12.75" customHeight="1" x14ac:dyDescent="0.2"/>
    <row r="8046" ht="12.75" customHeight="1" x14ac:dyDescent="0.2"/>
    <row r="8047" ht="12.75" customHeight="1" x14ac:dyDescent="0.2"/>
    <row r="8048" ht="12.75" customHeight="1" x14ac:dyDescent="0.2"/>
    <row r="8049" ht="12.75" customHeight="1" x14ac:dyDescent="0.2"/>
    <row r="8050" ht="12.75" customHeight="1" x14ac:dyDescent="0.2"/>
    <row r="8051" ht="12.75" customHeight="1" x14ac:dyDescent="0.2"/>
    <row r="8052" ht="12.75" customHeight="1" x14ac:dyDescent="0.2"/>
    <row r="8053" ht="12.75" customHeight="1" x14ac:dyDescent="0.2"/>
    <row r="8054" ht="12.75" customHeight="1" x14ac:dyDescent="0.2"/>
    <row r="8055" ht="12.75" customHeight="1" x14ac:dyDescent="0.2"/>
    <row r="8056" ht="12.75" customHeight="1" x14ac:dyDescent="0.2"/>
    <row r="8057" ht="12.75" customHeight="1" x14ac:dyDescent="0.2"/>
    <row r="8058" ht="12.75" customHeight="1" x14ac:dyDescent="0.2"/>
    <row r="8059" ht="12.75" customHeight="1" x14ac:dyDescent="0.2"/>
    <row r="8060" ht="12.75" customHeight="1" x14ac:dyDescent="0.2"/>
    <row r="8061" ht="12.75" customHeight="1" x14ac:dyDescent="0.2"/>
    <row r="8062" ht="12.75" customHeight="1" x14ac:dyDescent="0.2"/>
    <row r="8063" ht="12.75" customHeight="1" x14ac:dyDescent="0.2"/>
    <row r="8064" ht="12.75" customHeight="1" x14ac:dyDescent="0.2"/>
    <row r="8065" ht="12.75" customHeight="1" x14ac:dyDescent="0.2"/>
    <row r="8066" ht="12.75" customHeight="1" x14ac:dyDescent="0.2"/>
    <row r="8067" ht="12.75" customHeight="1" x14ac:dyDescent="0.2"/>
    <row r="8068" ht="12.75" customHeight="1" x14ac:dyDescent="0.2"/>
    <row r="8069" ht="12.75" customHeight="1" x14ac:dyDescent="0.2"/>
    <row r="8070" ht="12.75" customHeight="1" x14ac:dyDescent="0.2"/>
    <row r="8071" ht="12.75" customHeight="1" x14ac:dyDescent="0.2"/>
    <row r="8072" ht="12.75" customHeight="1" x14ac:dyDescent="0.2"/>
    <row r="8073" ht="12.75" customHeight="1" x14ac:dyDescent="0.2"/>
    <row r="8074" ht="12.75" customHeight="1" x14ac:dyDescent="0.2"/>
    <row r="8075" ht="12.75" customHeight="1" x14ac:dyDescent="0.2"/>
    <row r="8076" ht="12.75" customHeight="1" x14ac:dyDescent="0.2"/>
    <row r="8077" ht="12.75" customHeight="1" x14ac:dyDescent="0.2"/>
    <row r="8078" ht="12.75" customHeight="1" x14ac:dyDescent="0.2"/>
    <row r="8079" ht="12.75" customHeight="1" x14ac:dyDescent="0.2"/>
    <row r="8080" ht="12.75" customHeight="1" x14ac:dyDescent="0.2"/>
    <row r="8081" ht="12.75" customHeight="1" x14ac:dyDescent="0.2"/>
    <row r="8082" ht="12.75" customHeight="1" x14ac:dyDescent="0.2"/>
    <row r="8083" ht="12.75" customHeight="1" x14ac:dyDescent="0.2"/>
    <row r="8084" ht="12.75" customHeight="1" x14ac:dyDescent="0.2"/>
    <row r="8085" ht="12.75" customHeight="1" x14ac:dyDescent="0.2"/>
    <row r="8086" ht="12.75" customHeight="1" x14ac:dyDescent="0.2"/>
    <row r="8087" ht="12.75" customHeight="1" x14ac:dyDescent="0.2"/>
    <row r="8088" ht="12.75" customHeight="1" x14ac:dyDescent="0.2"/>
    <row r="8089" ht="12.75" customHeight="1" x14ac:dyDescent="0.2"/>
    <row r="8090" ht="12.75" customHeight="1" x14ac:dyDescent="0.2"/>
    <row r="8091" ht="12.75" customHeight="1" x14ac:dyDescent="0.2"/>
    <row r="8092" ht="12.75" customHeight="1" x14ac:dyDescent="0.2"/>
    <row r="8093" ht="12.75" customHeight="1" x14ac:dyDescent="0.2"/>
    <row r="8094" ht="12.75" customHeight="1" x14ac:dyDescent="0.2"/>
    <row r="8095" ht="12.75" customHeight="1" x14ac:dyDescent="0.2"/>
    <row r="8096" ht="12.75" customHeight="1" x14ac:dyDescent="0.2"/>
    <row r="8097" ht="12.75" customHeight="1" x14ac:dyDescent="0.2"/>
    <row r="8098" ht="12.75" customHeight="1" x14ac:dyDescent="0.2"/>
    <row r="8099" ht="12.75" customHeight="1" x14ac:dyDescent="0.2"/>
    <row r="8100" ht="12.75" customHeight="1" x14ac:dyDescent="0.2"/>
    <row r="8101" ht="12.75" customHeight="1" x14ac:dyDescent="0.2"/>
    <row r="8102" ht="12.75" customHeight="1" x14ac:dyDescent="0.2"/>
    <row r="8103" ht="12.75" customHeight="1" x14ac:dyDescent="0.2"/>
    <row r="8104" ht="12.75" customHeight="1" x14ac:dyDescent="0.2"/>
    <row r="8105" ht="12.75" customHeight="1" x14ac:dyDescent="0.2"/>
    <row r="8106" ht="12.75" customHeight="1" x14ac:dyDescent="0.2"/>
    <row r="8107" ht="12.75" customHeight="1" x14ac:dyDescent="0.2"/>
    <row r="8108" ht="12.75" customHeight="1" x14ac:dyDescent="0.2"/>
    <row r="8109" ht="12.75" customHeight="1" x14ac:dyDescent="0.2"/>
    <row r="8110" ht="12.75" customHeight="1" x14ac:dyDescent="0.2"/>
    <row r="8111" ht="12.75" customHeight="1" x14ac:dyDescent="0.2"/>
    <row r="8112" ht="12.75" customHeight="1" x14ac:dyDescent="0.2"/>
    <row r="8113" ht="12.75" customHeight="1" x14ac:dyDescent="0.2"/>
    <row r="8114" ht="12.75" customHeight="1" x14ac:dyDescent="0.2"/>
    <row r="8115" ht="12.75" customHeight="1" x14ac:dyDescent="0.2"/>
    <row r="8116" ht="12.75" customHeight="1" x14ac:dyDescent="0.2"/>
    <row r="8117" ht="12.75" customHeight="1" x14ac:dyDescent="0.2"/>
    <row r="8118" ht="12.75" customHeight="1" x14ac:dyDescent="0.2"/>
    <row r="8119" ht="12.75" customHeight="1" x14ac:dyDescent="0.2"/>
    <row r="8120" ht="12.75" customHeight="1" x14ac:dyDescent="0.2"/>
    <row r="8121" ht="12.75" customHeight="1" x14ac:dyDescent="0.2"/>
    <row r="8122" ht="12.75" customHeight="1" x14ac:dyDescent="0.2"/>
    <row r="8123" ht="12.75" customHeight="1" x14ac:dyDescent="0.2"/>
    <row r="8124" ht="12.75" customHeight="1" x14ac:dyDescent="0.2"/>
    <row r="8125" ht="12.75" customHeight="1" x14ac:dyDescent="0.2"/>
    <row r="8126" ht="12.75" customHeight="1" x14ac:dyDescent="0.2"/>
    <row r="8127" ht="12.75" customHeight="1" x14ac:dyDescent="0.2"/>
    <row r="8128" ht="12.75" customHeight="1" x14ac:dyDescent="0.2"/>
    <row r="8129" ht="12.75" customHeight="1" x14ac:dyDescent="0.2"/>
    <row r="8130" ht="12.75" customHeight="1" x14ac:dyDescent="0.2"/>
    <row r="8131" ht="12.75" customHeight="1" x14ac:dyDescent="0.2"/>
    <row r="8132" ht="12.75" customHeight="1" x14ac:dyDescent="0.2"/>
    <row r="8133" ht="12.75" customHeight="1" x14ac:dyDescent="0.2"/>
    <row r="8134" ht="12.75" customHeight="1" x14ac:dyDescent="0.2"/>
    <row r="8135" ht="12.75" customHeight="1" x14ac:dyDescent="0.2"/>
    <row r="8136" ht="12.75" customHeight="1" x14ac:dyDescent="0.2"/>
    <row r="8137" ht="12.75" customHeight="1" x14ac:dyDescent="0.2"/>
    <row r="8138" ht="12.75" customHeight="1" x14ac:dyDescent="0.2"/>
    <row r="8139" ht="12.75" customHeight="1" x14ac:dyDescent="0.2"/>
    <row r="8140" ht="12.75" customHeight="1" x14ac:dyDescent="0.2"/>
    <row r="8141" ht="12.75" customHeight="1" x14ac:dyDescent="0.2"/>
    <row r="8142" ht="12.75" customHeight="1" x14ac:dyDescent="0.2"/>
    <row r="8143" ht="12.75" customHeight="1" x14ac:dyDescent="0.2"/>
    <row r="8144" ht="12.75" customHeight="1" x14ac:dyDescent="0.2"/>
    <row r="8145" ht="12.75" customHeight="1" x14ac:dyDescent="0.2"/>
    <row r="8146" ht="12.75" customHeight="1" x14ac:dyDescent="0.2"/>
    <row r="8147" ht="12.75" customHeight="1" x14ac:dyDescent="0.2"/>
    <row r="8148" ht="12.75" customHeight="1" x14ac:dyDescent="0.2"/>
    <row r="8149" ht="12.75" customHeight="1" x14ac:dyDescent="0.2"/>
    <row r="8150" ht="12.75" customHeight="1" x14ac:dyDescent="0.2"/>
    <row r="8151" ht="12.75" customHeight="1" x14ac:dyDescent="0.2"/>
    <row r="8152" ht="12.75" customHeight="1" x14ac:dyDescent="0.2"/>
    <row r="8153" ht="12.75" customHeight="1" x14ac:dyDescent="0.2"/>
    <row r="8154" ht="12.75" customHeight="1" x14ac:dyDescent="0.2"/>
    <row r="8155" ht="12.75" customHeight="1" x14ac:dyDescent="0.2"/>
    <row r="8156" ht="12.75" customHeight="1" x14ac:dyDescent="0.2"/>
    <row r="8157" ht="12.75" customHeight="1" x14ac:dyDescent="0.2"/>
    <row r="8158" ht="12.75" customHeight="1" x14ac:dyDescent="0.2"/>
    <row r="8159" ht="12.75" customHeight="1" x14ac:dyDescent="0.2"/>
    <row r="8160" ht="12.75" customHeight="1" x14ac:dyDescent="0.2"/>
    <row r="8161" ht="12.75" customHeight="1" x14ac:dyDescent="0.2"/>
    <row r="8162" ht="12.75" customHeight="1" x14ac:dyDescent="0.2"/>
    <row r="8163" ht="12.75" customHeight="1" x14ac:dyDescent="0.2"/>
    <row r="8164" ht="12.75" customHeight="1" x14ac:dyDescent="0.2"/>
    <row r="8165" ht="12.75" customHeight="1" x14ac:dyDescent="0.2"/>
    <row r="8166" ht="12.75" customHeight="1" x14ac:dyDescent="0.2"/>
    <row r="8167" ht="12.75" customHeight="1" x14ac:dyDescent="0.2"/>
    <row r="8168" ht="12.75" customHeight="1" x14ac:dyDescent="0.2"/>
    <row r="8169" ht="12.75" customHeight="1" x14ac:dyDescent="0.2"/>
    <row r="8170" ht="12.75" customHeight="1" x14ac:dyDescent="0.2"/>
    <row r="8171" ht="12.75" customHeight="1" x14ac:dyDescent="0.2"/>
    <row r="8172" ht="12.75" customHeight="1" x14ac:dyDescent="0.2"/>
    <row r="8173" ht="12.75" customHeight="1" x14ac:dyDescent="0.2"/>
    <row r="8174" ht="12.75" customHeight="1" x14ac:dyDescent="0.2"/>
    <row r="8175" ht="12.75" customHeight="1" x14ac:dyDescent="0.2"/>
    <row r="8176" ht="12.75" customHeight="1" x14ac:dyDescent="0.2"/>
    <row r="8177" ht="12.75" customHeight="1" x14ac:dyDescent="0.2"/>
    <row r="8178" ht="12.75" customHeight="1" x14ac:dyDescent="0.2"/>
    <row r="8179" ht="12.75" customHeight="1" x14ac:dyDescent="0.2"/>
    <row r="8180" ht="12.75" customHeight="1" x14ac:dyDescent="0.2"/>
    <row r="8181" ht="12.75" customHeight="1" x14ac:dyDescent="0.2"/>
    <row r="8182" ht="12.75" customHeight="1" x14ac:dyDescent="0.2"/>
    <row r="8183" ht="12.75" customHeight="1" x14ac:dyDescent="0.2"/>
    <row r="8184" ht="12.75" customHeight="1" x14ac:dyDescent="0.2"/>
    <row r="8185" ht="12.75" customHeight="1" x14ac:dyDescent="0.2"/>
    <row r="8186" ht="12.75" customHeight="1" x14ac:dyDescent="0.2"/>
    <row r="8187" ht="12.75" customHeight="1" x14ac:dyDescent="0.2"/>
    <row r="8188" ht="12.75" customHeight="1" x14ac:dyDescent="0.2"/>
    <row r="8189" ht="12.75" customHeight="1" x14ac:dyDescent="0.2"/>
    <row r="8190" ht="12.75" customHeight="1" x14ac:dyDescent="0.2"/>
    <row r="8191" ht="12.75" customHeight="1" x14ac:dyDescent="0.2"/>
    <row r="8192" ht="12.75" customHeight="1" x14ac:dyDescent="0.2"/>
    <row r="8193" ht="12.75" customHeight="1" x14ac:dyDescent="0.2"/>
    <row r="8194" ht="12.75" customHeight="1" x14ac:dyDescent="0.2"/>
    <row r="8195" ht="12.75" customHeight="1" x14ac:dyDescent="0.2"/>
    <row r="8196" ht="12.75" customHeight="1" x14ac:dyDescent="0.2"/>
    <row r="8197" ht="12.75" customHeight="1" x14ac:dyDescent="0.2"/>
    <row r="8198" ht="12.75" customHeight="1" x14ac:dyDescent="0.2"/>
    <row r="8199" ht="12.75" customHeight="1" x14ac:dyDescent="0.2"/>
    <row r="8200" ht="12.75" customHeight="1" x14ac:dyDescent="0.2"/>
    <row r="8201" ht="12.75" customHeight="1" x14ac:dyDescent="0.2"/>
    <row r="8202" ht="12.75" customHeight="1" x14ac:dyDescent="0.2"/>
    <row r="8203" ht="12.75" customHeight="1" x14ac:dyDescent="0.2"/>
    <row r="8204" ht="12.75" customHeight="1" x14ac:dyDescent="0.2"/>
    <row r="8205" ht="12.75" customHeight="1" x14ac:dyDescent="0.2"/>
    <row r="8206" ht="12.75" customHeight="1" x14ac:dyDescent="0.2"/>
    <row r="8207" ht="12.75" customHeight="1" x14ac:dyDescent="0.2"/>
    <row r="8208" ht="12.75" customHeight="1" x14ac:dyDescent="0.2"/>
    <row r="8209" ht="12.75" customHeight="1" x14ac:dyDescent="0.2"/>
    <row r="8210" ht="12.75" customHeight="1" x14ac:dyDescent="0.2"/>
    <row r="8211" ht="12.75" customHeight="1" x14ac:dyDescent="0.2"/>
    <row r="8212" ht="12.75" customHeight="1" x14ac:dyDescent="0.2"/>
    <row r="8213" ht="12.75" customHeight="1" x14ac:dyDescent="0.2"/>
    <row r="8214" ht="12.75" customHeight="1" x14ac:dyDescent="0.2"/>
    <row r="8215" ht="12.75" customHeight="1" x14ac:dyDescent="0.2"/>
    <row r="8216" ht="12.75" customHeight="1" x14ac:dyDescent="0.2"/>
    <row r="8217" ht="12.75" customHeight="1" x14ac:dyDescent="0.2"/>
    <row r="8218" ht="12.75" customHeight="1" x14ac:dyDescent="0.2"/>
    <row r="8219" ht="12.75" customHeight="1" x14ac:dyDescent="0.2"/>
    <row r="8220" ht="12.75" customHeight="1" x14ac:dyDescent="0.2"/>
    <row r="8221" ht="12.75" customHeight="1" x14ac:dyDescent="0.2"/>
    <row r="8222" ht="12.75" customHeight="1" x14ac:dyDescent="0.2"/>
    <row r="8223" ht="12.75" customHeight="1" x14ac:dyDescent="0.2"/>
    <row r="8224" ht="12.75" customHeight="1" x14ac:dyDescent="0.2"/>
    <row r="8225" ht="12.75" customHeight="1" x14ac:dyDescent="0.2"/>
    <row r="8226" ht="12.75" customHeight="1" x14ac:dyDescent="0.2"/>
    <row r="8227" ht="12.75" customHeight="1" x14ac:dyDescent="0.2"/>
    <row r="8228" ht="12.75" customHeight="1" x14ac:dyDescent="0.2"/>
    <row r="8229" ht="12.75" customHeight="1" x14ac:dyDescent="0.2"/>
    <row r="8230" ht="12.75" customHeight="1" x14ac:dyDescent="0.2"/>
    <row r="8231" ht="12.75" customHeight="1" x14ac:dyDescent="0.2"/>
    <row r="8232" ht="12.75" customHeight="1" x14ac:dyDescent="0.2"/>
    <row r="8233" ht="12.75" customHeight="1" x14ac:dyDescent="0.2"/>
    <row r="8234" ht="12.75" customHeight="1" x14ac:dyDescent="0.2"/>
    <row r="8235" ht="12.75" customHeight="1" x14ac:dyDescent="0.2"/>
    <row r="8236" ht="12.75" customHeight="1" x14ac:dyDescent="0.2"/>
    <row r="8237" ht="12.75" customHeight="1" x14ac:dyDescent="0.2"/>
    <row r="8238" ht="12.75" customHeight="1" x14ac:dyDescent="0.2"/>
    <row r="8239" ht="12.75" customHeight="1" x14ac:dyDescent="0.2"/>
    <row r="8240" ht="12.75" customHeight="1" x14ac:dyDescent="0.2"/>
    <row r="8241" ht="12.75" customHeight="1" x14ac:dyDescent="0.2"/>
    <row r="8242" ht="12.75" customHeight="1" x14ac:dyDescent="0.2"/>
    <row r="8243" ht="12.75" customHeight="1" x14ac:dyDescent="0.2"/>
    <row r="8244" ht="12.75" customHeight="1" x14ac:dyDescent="0.2"/>
    <row r="8245" ht="12.75" customHeight="1" x14ac:dyDescent="0.2"/>
    <row r="8246" ht="12.75" customHeight="1" x14ac:dyDescent="0.2"/>
    <row r="8247" ht="12.75" customHeight="1" x14ac:dyDescent="0.2"/>
    <row r="8248" ht="12.75" customHeight="1" x14ac:dyDescent="0.2"/>
    <row r="8249" ht="12.75" customHeight="1" x14ac:dyDescent="0.2"/>
    <row r="8250" ht="12.75" customHeight="1" x14ac:dyDescent="0.2"/>
    <row r="8251" ht="12.75" customHeight="1" x14ac:dyDescent="0.2"/>
    <row r="8252" ht="12.75" customHeight="1" x14ac:dyDescent="0.2"/>
    <row r="8253" ht="12.75" customHeight="1" x14ac:dyDescent="0.2"/>
    <row r="8254" ht="12.75" customHeight="1" x14ac:dyDescent="0.2"/>
    <row r="8255" ht="12.75" customHeight="1" x14ac:dyDescent="0.2"/>
    <row r="8256" ht="12.75" customHeight="1" x14ac:dyDescent="0.2"/>
    <row r="8257" ht="12.75" customHeight="1" x14ac:dyDescent="0.2"/>
    <row r="8258" ht="12.75" customHeight="1" x14ac:dyDescent="0.2"/>
    <row r="8259" ht="12.75" customHeight="1" x14ac:dyDescent="0.2"/>
    <row r="8260" ht="12.75" customHeight="1" x14ac:dyDescent="0.2"/>
    <row r="8261" ht="12.75" customHeight="1" x14ac:dyDescent="0.2"/>
    <row r="8262" ht="12.75" customHeight="1" x14ac:dyDescent="0.2"/>
    <row r="8263" ht="12.75" customHeight="1" x14ac:dyDescent="0.2"/>
    <row r="8264" ht="12.75" customHeight="1" x14ac:dyDescent="0.2"/>
    <row r="8265" ht="12.75" customHeight="1" x14ac:dyDescent="0.2"/>
    <row r="8266" ht="12.75" customHeight="1" x14ac:dyDescent="0.2"/>
    <row r="8267" ht="12.75" customHeight="1" x14ac:dyDescent="0.2"/>
    <row r="8268" ht="12.75" customHeight="1" x14ac:dyDescent="0.2"/>
    <row r="8269" ht="12.75" customHeight="1" x14ac:dyDescent="0.2"/>
    <row r="8270" ht="12.75" customHeight="1" x14ac:dyDescent="0.2"/>
    <row r="8271" ht="12.75" customHeight="1" x14ac:dyDescent="0.2"/>
    <row r="8272" ht="12.75" customHeight="1" x14ac:dyDescent="0.2"/>
    <row r="8273" ht="12.75" customHeight="1" x14ac:dyDescent="0.2"/>
    <row r="8274" ht="12.75" customHeight="1" x14ac:dyDescent="0.2"/>
    <row r="8275" ht="12.75" customHeight="1" x14ac:dyDescent="0.2"/>
    <row r="8276" ht="12.75" customHeight="1" x14ac:dyDescent="0.2"/>
    <row r="8277" ht="12.75" customHeight="1" x14ac:dyDescent="0.2"/>
    <row r="8278" ht="12.75" customHeight="1" x14ac:dyDescent="0.2"/>
    <row r="8279" ht="12.75" customHeight="1" x14ac:dyDescent="0.2"/>
    <row r="8280" ht="12.75" customHeight="1" x14ac:dyDescent="0.2"/>
    <row r="8281" ht="12.75" customHeight="1" x14ac:dyDescent="0.2"/>
    <row r="8282" ht="12.75" customHeight="1" x14ac:dyDescent="0.2"/>
    <row r="8283" ht="12.75" customHeight="1" x14ac:dyDescent="0.2"/>
    <row r="8284" ht="12.75" customHeight="1" x14ac:dyDescent="0.2"/>
    <row r="8285" ht="12.75" customHeight="1" x14ac:dyDescent="0.2"/>
    <row r="8286" ht="12.75" customHeight="1" x14ac:dyDescent="0.2"/>
    <row r="8287" ht="12.75" customHeight="1" x14ac:dyDescent="0.2"/>
    <row r="8288" ht="12.75" customHeight="1" x14ac:dyDescent="0.2"/>
    <row r="8289" ht="12.75" customHeight="1" x14ac:dyDescent="0.2"/>
    <row r="8290" ht="12.75" customHeight="1" x14ac:dyDescent="0.2"/>
    <row r="8291" ht="12.75" customHeight="1" x14ac:dyDescent="0.2"/>
    <row r="8292" ht="12.75" customHeight="1" x14ac:dyDescent="0.2"/>
    <row r="8293" ht="12.75" customHeight="1" x14ac:dyDescent="0.2"/>
    <row r="8294" ht="12.75" customHeight="1" x14ac:dyDescent="0.2"/>
    <row r="8295" ht="12.75" customHeight="1" x14ac:dyDescent="0.2"/>
    <row r="8296" ht="12.75" customHeight="1" x14ac:dyDescent="0.2"/>
    <row r="8297" ht="12.75" customHeight="1" x14ac:dyDescent="0.2"/>
    <row r="8298" ht="12.75" customHeight="1" x14ac:dyDescent="0.2"/>
    <row r="8299" ht="12.75" customHeight="1" x14ac:dyDescent="0.2"/>
    <row r="8300" ht="12.75" customHeight="1" x14ac:dyDescent="0.2"/>
    <row r="8301" ht="12.75" customHeight="1" x14ac:dyDescent="0.2"/>
    <row r="8302" ht="12.75" customHeight="1" x14ac:dyDescent="0.2"/>
    <row r="8303" ht="12.75" customHeight="1" x14ac:dyDescent="0.2"/>
    <row r="8304" ht="12.75" customHeight="1" x14ac:dyDescent="0.2"/>
    <row r="8305" ht="12.75" customHeight="1" x14ac:dyDescent="0.2"/>
    <row r="8306" ht="12.75" customHeight="1" x14ac:dyDescent="0.2"/>
    <row r="8307" ht="12.75" customHeight="1" x14ac:dyDescent="0.2"/>
    <row r="8308" ht="12.75" customHeight="1" x14ac:dyDescent="0.2"/>
    <row r="8309" ht="12.75" customHeight="1" x14ac:dyDescent="0.2"/>
    <row r="8310" ht="12.75" customHeight="1" x14ac:dyDescent="0.2"/>
    <row r="8311" ht="12.75" customHeight="1" x14ac:dyDescent="0.2"/>
    <row r="8312" ht="12.75" customHeight="1" x14ac:dyDescent="0.2"/>
    <row r="8313" ht="12.75" customHeight="1" x14ac:dyDescent="0.2"/>
    <row r="8314" ht="12.75" customHeight="1" x14ac:dyDescent="0.2"/>
    <row r="8315" ht="12.75" customHeight="1" x14ac:dyDescent="0.2"/>
    <row r="8316" ht="12.75" customHeight="1" x14ac:dyDescent="0.2"/>
    <row r="8317" ht="12.75" customHeight="1" x14ac:dyDescent="0.2"/>
    <row r="8318" ht="12.75" customHeight="1" x14ac:dyDescent="0.2"/>
    <row r="8319" ht="12.75" customHeight="1" x14ac:dyDescent="0.2"/>
    <row r="8320" ht="12.75" customHeight="1" x14ac:dyDescent="0.2"/>
    <row r="8321" ht="12.75" customHeight="1" x14ac:dyDescent="0.2"/>
    <row r="8322" ht="12.75" customHeight="1" x14ac:dyDescent="0.2"/>
    <row r="8323" ht="12.75" customHeight="1" x14ac:dyDescent="0.2"/>
    <row r="8324" ht="12.75" customHeight="1" x14ac:dyDescent="0.2"/>
    <row r="8325" ht="12.75" customHeight="1" x14ac:dyDescent="0.2"/>
    <row r="8326" ht="12.75" customHeight="1" x14ac:dyDescent="0.2"/>
    <row r="8327" ht="12.75" customHeight="1" x14ac:dyDescent="0.2"/>
    <row r="8328" ht="12.75" customHeight="1" x14ac:dyDescent="0.2"/>
    <row r="8329" ht="12.75" customHeight="1" x14ac:dyDescent="0.2"/>
    <row r="8330" ht="12.75" customHeight="1" x14ac:dyDescent="0.2"/>
    <row r="8331" ht="12.75" customHeight="1" x14ac:dyDescent="0.2"/>
    <row r="8332" ht="12.75" customHeight="1" x14ac:dyDescent="0.2"/>
    <row r="8333" ht="12.75" customHeight="1" x14ac:dyDescent="0.2"/>
    <row r="8334" ht="12.75" customHeight="1" x14ac:dyDescent="0.2"/>
    <row r="8335" ht="12.75" customHeight="1" x14ac:dyDescent="0.2"/>
    <row r="8336" ht="12.75" customHeight="1" x14ac:dyDescent="0.2"/>
    <row r="8337" ht="12.75" customHeight="1" x14ac:dyDescent="0.2"/>
    <row r="8338" ht="12.75" customHeight="1" x14ac:dyDescent="0.2"/>
    <row r="8339" ht="12.75" customHeight="1" x14ac:dyDescent="0.2"/>
    <row r="8340" ht="12.75" customHeight="1" x14ac:dyDescent="0.2"/>
    <row r="8341" ht="12.75" customHeight="1" x14ac:dyDescent="0.2"/>
    <row r="8342" ht="12.75" customHeight="1" x14ac:dyDescent="0.2"/>
    <row r="8343" ht="12.75" customHeight="1" x14ac:dyDescent="0.2"/>
    <row r="8344" ht="12.75" customHeight="1" x14ac:dyDescent="0.2"/>
    <row r="8345" ht="12.75" customHeight="1" x14ac:dyDescent="0.2"/>
    <row r="8346" ht="12.75" customHeight="1" x14ac:dyDescent="0.2"/>
    <row r="8347" ht="12.75" customHeight="1" x14ac:dyDescent="0.2"/>
    <row r="8348" ht="12.75" customHeight="1" x14ac:dyDescent="0.2"/>
    <row r="8349" ht="12.75" customHeight="1" x14ac:dyDescent="0.2"/>
    <row r="8350" ht="12.75" customHeight="1" x14ac:dyDescent="0.2"/>
    <row r="8351" ht="12.75" customHeight="1" x14ac:dyDescent="0.2"/>
    <row r="8352" ht="12.75" customHeight="1" x14ac:dyDescent="0.2"/>
    <row r="8353" ht="12.75" customHeight="1" x14ac:dyDescent="0.2"/>
    <row r="8354" ht="12.75" customHeight="1" x14ac:dyDescent="0.2"/>
    <row r="8355" ht="12.75" customHeight="1" x14ac:dyDescent="0.2"/>
    <row r="8356" ht="12.75" customHeight="1" x14ac:dyDescent="0.2"/>
    <row r="8357" ht="12.75" customHeight="1" x14ac:dyDescent="0.2"/>
    <row r="8358" ht="12.75" customHeight="1" x14ac:dyDescent="0.2"/>
    <row r="8359" ht="12.75" customHeight="1" x14ac:dyDescent="0.2"/>
    <row r="8360" ht="12.75" customHeight="1" x14ac:dyDescent="0.2"/>
    <row r="8361" ht="12.75" customHeight="1" x14ac:dyDescent="0.2"/>
    <row r="8362" ht="12.75" customHeight="1" x14ac:dyDescent="0.2"/>
    <row r="8363" ht="12.75" customHeight="1" x14ac:dyDescent="0.2"/>
    <row r="8364" ht="12.75" customHeight="1" x14ac:dyDescent="0.2"/>
    <row r="8365" ht="12.75" customHeight="1" x14ac:dyDescent="0.2"/>
    <row r="8366" ht="12.75" customHeight="1" x14ac:dyDescent="0.2"/>
    <row r="8367" ht="12.75" customHeight="1" x14ac:dyDescent="0.2"/>
    <row r="8368" ht="12.75" customHeight="1" x14ac:dyDescent="0.2"/>
    <row r="8369" ht="12.75" customHeight="1" x14ac:dyDescent="0.2"/>
    <row r="8370" ht="12.75" customHeight="1" x14ac:dyDescent="0.2"/>
    <row r="8371" ht="12.75" customHeight="1" x14ac:dyDescent="0.2"/>
    <row r="8372" ht="12.75" customHeight="1" x14ac:dyDescent="0.2"/>
    <row r="8373" ht="12.75" customHeight="1" x14ac:dyDescent="0.2"/>
    <row r="8374" ht="12.75" customHeight="1" x14ac:dyDescent="0.2"/>
    <row r="8375" ht="12.75" customHeight="1" x14ac:dyDescent="0.2"/>
    <row r="8376" ht="12.75" customHeight="1" x14ac:dyDescent="0.2"/>
    <row r="8377" ht="12.75" customHeight="1" x14ac:dyDescent="0.2"/>
    <row r="8378" ht="12.75" customHeight="1" x14ac:dyDescent="0.2"/>
    <row r="8379" ht="12.75" customHeight="1" x14ac:dyDescent="0.2"/>
    <row r="8380" ht="12.75" customHeight="1" x14ac:dyDescent="0.2"/>
    <row r="8381" ht="12.75" customHeight="1" x14ac:dyDescent="0.2"/>
    <row r="8382" ht="12.75" customHeight="1" x14ac:dyDescent="0.2"/>
    <row r="8383" ht="12.75" customHeight="1" x14ac:dyDescent="0.2"/>
    <row r="8384" ht="12.75" customHeight="1" x14ac:dyDescent="0.2"/>
    <row r="8385" ht="12.75" customHeight="1" x14ac:dyDescent="0.2"/>
    <row r="8386" ht="12.75" customHeight="1" x14ac:dyDescent="0.2"/>
    <row r="8387" ht="12.75" customHeight="1" x14ac:dyDescent="0.2"/>
    <row r="8388" ht="12.75" customHeight="1" x14ac:dyDescent="0.2"/>
    <row r="8389" ht="12.75" customHeight="1" x14ac:dyDescent="0.2"/>
    <row r="8390" ht="12.75" customHeight="1" x14ac:dyDescent="0.2"/>
    <row r="8391" ht="12.75" customHeight="1" x14ac:dyDescent="0.2"/>
    <row r="8392" ht="12.75" customHeight="1" x14ac:dyDescent="0.2"/>
    <row r="8393" ht="12.75" customHeight="1" x14ac:dyDescent="0.2"/>
    <row r="8394" ht="12.75" customHeight="1" x14ac:dyDescent="0.2"/>
    <row r="8395" ht="12.75" customHeight="1" x14ac:dyDescent="0.2"/>
    <row r="8396" ht="12.75" customHeight="1" x14ac:dyDescent="0.2"/>
    <row r="8397" ht="12.75" customHeight="1" x14ac:dyDescent="0.2"/>
    <row r="8398" ht="12.75" customHeight="1" x14ac:dyDescent="0.2"/>
    <row r="8399" ht="12.75" customHeight="1" x14ac:dyDescent="0.2"/>
    <row r="8400" ht="12.75" customHeight="1" x14ac:dyDescent="0.2"/>
    <row r="8401" ht="12.75" customHeight="1" x14ac:dyDescent="0.2"/>
    <row r="8402" ht="12.75" customHeight="1" x14ac:dyDescent="0.2"/>
    <row r="8403" ht="12.75" customHeight="1" x14ac:dyDescent="0.2"/>
    <row r="8404" ht="12.75" customHeight="1" x14ac:dyDescent="0.2"/>
    <row r="8405" ht="12.75" customHeight="1" x14ac:dyDescent="0.2"/>
    <row r="8406" ht="12.75" customHeight="1" x14ac:dyDescent="0.2"/>
    <row r="8407" ht="12.75" customHeight="1" x14ac:dyDescent="0.2"/>
    <row r="8408" ht="12.75" customHeight="1" x14ac:dyDescent="0.2"/>
    <row r="8409" ht="12.75" customHeight="1" x14ac:dyDescent="0.2"/>
    <row r="8410" ht="12.75" customHeight="1" x14ac:dyDescent="0.2"/>
    <row r="8411" ht="12.75" customHeight="1" x14ac:dyDescent="0.2"/>
    <row r="8412" ht="12.75" customHeight="1" x14ac:dyDescent="0.2"/>
    <row r="8413" ht="12.75" customHeight="1" x14ac:dyDescent="0.2"/>
    <row r="8414" ht="12.75" customHeight="1" x14ac:dyDescent="0.2"/>
    <row r="8415" ht="12.75" customHeight="1" x14ac:dyDescent="0.2"/>
    <row r="8416" ht="12.75" customHeight="1" x14ac:dyDescent="0.2"/>
    <row r="8417" ht="12.75" customHeight="1" x14ac:dyDescent="0.2"/>
    <row r="8418" ht="12.75" customHeight="1" x14ac:dyDescent="0.2"/>
    <row r="8419" ht="12.75" customHeight="1" x14ac:dyDescent="0.2"/>
    <row r="8420" ht="12.75" customHeight="1" x14ac:dyDescent="0.2"/>
    <row r="8421" ht="12.75" customHeight="1" x14ac:dyDescent="0.2"/>
    <row r="8422" ht="12.75" customHeight="1" x14ac:dyDescent="0.2"/>
    <row r="8423" ht="12.75" customHeight="1" x14ac:dyDescent="0.2"/>
    <row r="8424" ht="12.75" customHeight="1" x14ac:dyDescent="0.2"/>
    <row r="8425" ht="12.75" customHeight="1" x14ac:dyDescent="0.2"/>
    <row r="8426" ht="12.75" customHeight="1" x14ac:dyDescent="0.2"/>
    <row r="8427" ht="12.75" customHeight="1" x14ac:dyDescent="0.2"/>
    <row r="8428" ht="12.75" customHeight="1" x14ac:dyDescent="0.2"/>
    <row r="8429" ht="12.75" customHeight="1" x14ac:dyDescent="0.2"/>
    <row r="8430" ht="12.75" customHeight="1" x14ac:dyDescent="0.2"/>
    <row r="8431" ht="12.75" customHeight="1" x14ac:dyDescent="0.2"/>
    <row r="8432" ht="12.75" customHeight="1" x14ac:dyDescent="0.2"/>
    <row r="8433" ht="12.75" customHeight="1" x14ac:dyDescent="0.2"/>
    <row r="8434" ht="12.75" customHeight="1" x14ac:dyDescent="0.2"/>
    <row r="8435" ht="12.75" customHeight="1" x14ac:dyDescent="0.2"/>
    <row r="8436" ht="12.75" customHeight="1" x14ac:dyDescent="0.2"/>
    <row r="8437" ht="12.75" customHeight="1" x14ac:dyDescent="0.2"/>
    <row r="8438" ht="12.75" customHeight="1" x14ac:dyDescent="0.2"/>
    <row r="8439" ht="12.75" customHeight="1" x14ac:dyDescent="0.2"/>
    <row r="8440" ht="12.75" customHeight="1" x14ac:dyDescent="0.2"/>
    <row r="8441" ht="12.75" customHeight="1" x14ac:dyDescent="0.2"/>
    <row r="8442" ht="12.75" customHeight="1" x14ac:dyDescent="0.2"/>
    <row r="8443" ht="12.75" customHeight="1" x14ac:dyDescent="0.2"/>
    <row r="8444" ht="12.75" customHeight="1" x14ac:dyDescent="0.2"/>
    <row r="8445" ht="12.75" customHeight="1" x14ac:dyDescent="0.2"/>
    <row r="8446" ht="12.75" customHeight="1" x14ac:dyDescent="0.2"/>
    <row r="8447" ht="12.75" customHeight="1" x14ac:dyDescent="0.2"/>
    <row r="8448" ht="12.75" customHeight="1" x14ac:dyDescent="0.2"/>
    <row r="8449" ht="12.75" customHeight="1" x14ac:dyDescent="0.2"/>
    <row r="8450" ht="12.75" customHeight="1" x14ac:dyDescent="0.2"/>
    <row r="8451" ht="12.75" customHeight="1" x14ac:dyDescent="0.2"/>
    <row r="8452" ht="12.75" customHeight="1" x14ac:dyDescent="0.2"/>
    <row r="8453" ht="12.75" customHeight="1" x14ac:dyDescent="0.2"/>
    <row r="8454" ht="12.75" customHeight="1" x14ac:dyDescent="0.2"/>
    <row r="8455" ht="12.75" customHeight="1" x14ac:dyDescent="0.2"/>
    <row r="8456" ht="12.75" customHeight="1" x14ac:dyDescent="0.2"/>
    <row r="8457" ht="12.75" customHeight="1" x14ac:dyDescent="0.2"/>
    <row r="8458" ht="12.75" customHeight="1" x14ac:dyDescent="0.2"/>
    <row r="8459" ht="12.75" customHeight="1" x14ac:dyDescent="0.2"/>
    <row r="8460" ht="12.75" customHeight="1" x14ac:dyDescent="0.2"/>
    <row r="8461" ht="12.75" customHeight="1" x14ac:dyDescent="0.2"/>
    <row r="8462" ht="12.75" customHeight="1" x14ac:dyDescent="0.2"/>
    <row r="8463" ht="12.75" customHeight="1" x14ac:dyDescent="0.2"/>
    <row r="8464" ht="12.75" customHeight="1" x14ac:dyDescent="0.2"/>
    <row r="8465" ht="12.75" customHeight="1" x14ac:dyDescent="0.2"/>
    <row r="8466" ht="12.75" customHeight="1" x14ac:dyDescent="0.2"/>
    <row r="8467" ht="12.75" customHeight="1" x14ac:dyDescent="0.2"/>
    <row r="8468" ht="12.75" customHeight="1" x14ac:dyDescent="0.2"/>
    <row r="8469" ht="12.75" customHeight="1" x14ac:dyDescent="0.2"/>
    <row r="8470" ht="12.75" customHeight="1" x14ac:dyDescent="0.2"/>
    <row r="8471" ht="12.75" customHeight="1" x14ac:dyDescent="0.2"/>
    <row r="8472" ht="12.75" customHeight="1" x14ac:dyDescent="0.2"/>
    <row r="8473" ht="12.75" customHeight="1" x14ac:dyDescent="0.2"/>
    <row r="8474" ht="12.75" customHeight="1" x14ac:dyDescent="0.2"/>
    <row r="8475" ht="12.75" customHeight="1" x14ac:dyDescent="0.2"/>
    <row r="8476" ht="12.75" customHeight="1" x14ac:dyDescent="0.2"/>
    <row r="8477" ht="12.75" customHeight="1" x14ac:dyDescent="0.2"/>
    <row r="8478" ht="12.75" customHeight="1" x14ac:dyDescent="0.2"/>
    <row r="8479" ht="12.75" customHeight="1" x14ac:dyDescent="0.2"/>
    <row r="8480" ht="12.75" customHeight="1" x14ac:dyDescent="0.2"/>
    <row r="8481" ht="12.75" customHeight="1" x14ac:dyDescent="0.2"/>
    <row r="8482" ht="12.75" customHeight="1" x14ac:dyDescent="0.2"/>
    <row r="8483" ht="12.75" customHeight="1" x14ac:dyDescent="0.2"/>
    <row r="8484" ht="12.75" customHeight="1" x14ac:dyDescent="0.2"/>
    <row r="8485" ht="12.75" customHeight="1" x14ac:dyDescent="0.2"/>
    <row r="8486" ht="12.75" customHeight="1" x14ac:dyDescent="0.2"/>
    <row r="8487" ht="12.75" customHeight="1" x14ac:dyDescent="0.2"/>
    <row r="8488" ht="12.75" customHeight="1" x14ac:dyDescent="0.2"/>
    <row r="8489" ht="12.75" customHeight="1" x14ac:dyDescent="0.2"/>
    <row r="8490" ht="12.75" customHeight="1" x14ac:dyDescent="0.2"/>
    <row r="8491" ht="12.75" customHeight="1" x14ac:dyDescent="0.2"/>
    <row r="8492" ht="12.75" customHeight="1" x14ac:dyDescent="0.2"/>
    <row r="8493" ht="12.75" customHeight="1" x14ac:dyDescent="0.2"/>
    <row r="8494" ht="12.75" customHeight="1" x14ac:dyDescent="0.2"/>
    <row r="8495" ht="12.75" customHeight="1" x14ac:dyDescent="0.2"/>
    <row r="8496" ht="12.75" customHeight="1" x14ac:dyDescent="0.2"/>
    <row r="8497" ht="12.75" customHeight="1" x14ac:dyDescent="0.2"/>
    <row r="8498" ht="12.75" customHeight="1" x14ac:dyDescent="0.2"/>
    <row r="8499" ht="12.75" customHeight="1" x14ac:dyDescent="0.2"/>
    <row r="8500" ht="12.75" customHeight="1" x14ac:dyDescent="0.2"/>
    <row r="8501" ht="12.75" customHeight="1" x14ac:dyDescent="0.2"/>
    <row r="8502" ht="12.75" customHeight="1" x14ac:dyDescent="0.2"/>
    <row r="8503" ht="12.75" customHeight="1" x14ac:dyDescent="0.2"/>
    <row r="8504" ht="12.75" customHeight="1" x14ac:dyDescent="0.2"/>
    <row r="8505" ht="12.75" customHeight="1" x14ac:dyDescent="0.2"/>
    <row r="8506" ht="12.75" customHeight="1" x14ac:dyDescent="0.2"/>
    <row r="8507" ht="12.75" customHeight="1" x14ac:dyDescent="0.2"/>
    <row r="8508" ht="12.75" customHeight="1" x14ac:dyDescent="0.2"/>
    <row r="8509" ht="12.75" customHeight="1" x14ac:dyDescent="0.2"/>
    <row r="8510" ht="12.75" customHeight="1" x14ac:dyDescent="0.2"/>
    <row r="8511" ht="12.75" customHeight="1" x14ac:dyDescent="0.2"/>
    <row r="8512" ht="12.75" customHeight="1" x14ac:dyDescent="0.2"/>
    <row r="8513" ht="12.75" customHeight="1" x14ac:dyDescent="0.2"/>
    <row r="8514" ht="12.75" customHeight="1" x14ac:dyDescent="0.2"/>
    <row r="8515" ht="12.75" customHeight="1" x14ac:dyDescent="0.2"/>
    <row r="8516" ht="12.75" customHeight="1" x14ac:dyDescent="0.2"/>
    <row r="8517" ht="12.75" customHeight="1" x14ac:dyDescent="0.2"/>
    <row r="8518" ht="12.75" customHeight="1" x14ac:dyDescent="0.2"/>
    <row r="8519" ht="12.75" customHeight="1" x14ac:dyDescent="0.2"/>
    <row r="8520" ht="12.75" customHeight="1" x14ac:dyDescent="0.2"/>
    <row r="8521" ht="12.75" customHeight="1" x14ac:dyDescent="0.2"/>
    <row r="8522" ht="12.75" customHeight="1" x14ac:dyDescent="0.2"/>
    <row r="8523" ht="12.75" customHeight="1" x14ac:dyDescent="0.2"/>
    <row r="8524" ht="12.75" customHeight="1" x14ac:dyDescent="0.2"/>
    <row r="8525" ht="12.75" customHeight="1" x14ac:dyDescent="0.2"/>
    <row r="8526" ht="12.75" customHeight="1" x14ac:dyDescent="0.2"/>
    <row r="8527" ht="12.75" customHeight="1" x14ac:dyDescent="0.2"/>
    <row r="8528" ht="12.75" customHeight="1" x14ac:dyDescent="0.2"/>
    <row r="8529" ht="12.75" customHeight="1" x14ac:dyDescent="0.2"/>
    <row r="8530" ht="12.75" customHeight="1" x14ac:dyDescent="0.2"/>
    <row r="8531" ht="12.75" customHeight="1" x14ac:dyDescent="0.2"/>
    <row r="8532" ht="12.75" customHeight="1" x14ac:dyDescent="0.2"/>
    <row r="8533" ht="12.75" customHeight="1" x14ac:dyDescent="0.2"/>
    <row r="8534" ht="12.75" customHeight="1" x14ac:dyDescent="0.2"/>
    <row r="8535" ht="12.75" customHeight="1" x14ac:dyDescent="0.2"/>
    <row r="8536" ht="12.75" customHeight="1" x14ac:dyDescent="0.2"/>
    <row r="8537" ht="12.75" customHeight="1" x14ac:dyDescent="0.2"/>
    <row r="8538" ht="12.75" customHeight="1" x14ac:dyDescent="0.2"/>
    <row r="8539" ht="12.75" customHeight="1" x14ac:dyDescent="0.2"/>
    <row r="8540" ht="12.75" customHeight="1" x14ac:dyDescent="0.2"/>
    <row r="8541" ht="12.75" customHeight="1" x14ac:dyDescent="0.2"/>
    <row r="8542" ht="12.75" customHeight="1" x14ac:dyDescent="0.2"/>
    <row r="8543" ht="12.75" customHeight="1" x14ac:dyDescent="0.2"/>
    <row r="8544" ht="12.75" customHeight="1" x14ac:dyDescent="0.2"/>
    <row r="8545" ht="12.75" customHeight="1" x14ac:dyDescent="0.2"/>
    <row r="8546" ht="12.75" customHeight="1" x14ac:dyDescent="0.2"/>
    <row r="8547" ht="12.75" customHeight="1" x14ac:dyDescent="0.2"/>
    <row r="8548" ht="12.75" customHeight="1" x14ac:dyDescent="0.2"/>
    <row r="8549" ht="12.75" customHeight="1" x14ac:dyDescent="0.2"/>
    <row r="8550" ht="12.75" customHeight="1" x14ac:dyDescent="0.2"/>
    <row r="8551" ht="12.75" customHeight="1" x14ac:dyDescent="0.2"/>
    <row r="8552" ht="12.75" customHeight="1" x14ac:dyDescent="0.2"/>
    <row r="8553" ht="12.75" customHeight="1" x14ac:dyDescent="0.2"/>
    <row r="8554" ht="12.75" customHeight="1" x14ac:dyDescent="0.2"/>
    <row r="8555" ht="12.75" customHeight="1" x14ac:dyDescent="0.2"/>
    <row r="8556" ht="12.75" customHeight="1" x14ac:dyDescent="0.2"/>
    <row r="8557" ht="12.75" customHeight="1" x14ac:dyDescent="0.2"/>
    <row r="8558" ht="12.75" customHeight="1" x14ac:dyDescent="0.2"/>
    <row r="8559" ht="12.75" customHeight="1" x14ac:dyDescent="0.2"/>
    <row r="8560" ht="12.75" customHeight="1" x14ac:dyDescent="0.2"/>
    <row r="8561" ht="12.75" customHeight="1" x14ac:dyDescent="0.2"/>
    <row r="8562" ht="12.75" customHeight="1" x14ac:dyDescent="0.2"/>
    <row r="8563" ht="12.75" customHeight="1" x14ac:dyDescent="0.2"/>
    <row r="8564" ht="12.75" customHeight="1" x14ac:dyDescent="0.2"/>
    <row r="8565" ht="12.75" customHeight="1" x14ac:dyDescent="0.2"/>
    <row r="8566" ht="12.75" customHeight="1" x14ac:dyDescent="0.2"/>
    <row r="8567" ht="12.75" customHeight="1" x14ac:dyDescent="0.2"/>
    <row r="8568" ht="12.75" customHeight="1" x14ac:dyDescent="0.2"/>
    <row r="8569" ht="12.75" customHeight="1" x14ac:dyDescent="0.2"/>
    <row r="8570" ht="12.75" customHeight="1" x14ac:dyDescent="0.2"/>
    <row r="8571" ht="12.75" customHeight="1" x14ac:dyDescent="0.2"/>
    <row r="8572" ht="12.75" customHeight="1" x14ac:dyDescent="0.2"/>
    <row r="8573" ht="12.75" customHeight="1" x14ac:dyDescent="0.2"/>
    <row r="8574" ht="12.75" customHeight="1" x14ac:dyDescent="0.2"/>
    <row r="8575" ht="12.75" customHeight="1" x14ac:dyDescent="0.2"/>
    <row r="8576" ht="12.75" customHeight="1" x14ac:dyDescent="0.2"/>
    <row r="8577" ht="12.75" customHeight="1" x14ac:dyDescent="0.2"/>
    <row r="8578" ht="12.75" customHeight="1" x14ac:dyDescent="0.2"/>
    <row r="8579" ht="12.75" customHeight="1" x14ac:dyDescent="0.2"/>
    <row r="8580" ht="12.75" customHeight="1" x14ac:dyDescent="0.2"/>
    <row r="8581" ht="12.75" customHeight="1" x14ac:dyDescent="0.2"/>
    <row r="8582" ht="12.75" customHeight="1" x14ac:dyDescent="0.2"/>
    <row r="8583" ht="12.75" customHeight="1" x14ac:dyDescent="0.2"/>
    <row r="8584" ht="12.75" customHeight="1" x14ac:dyDescent="0.2"/>
    <row r="8585" ht="12.75" customHeight="1" x14ac:dyDescent="0.2"/>
    <row r="8586" ht="12.75" customHeight="1" x14ac:dyDescent="0.2"/>
    <row r="8587" ht="12.75" customHeight="1" x14ac:dyDescent="0.2"/>
    <row r="8588" ht="12.75" customHeight="1" x14ac:dyDescent="0.2"/>
    <row r="8589" ht="12.75" customHeight="1" x14ac:dyDescent="0.2"/>
    <row r="8590" ht="12.75" customHeight="1" x14ac:dyDescent="0.2"/>
    <row r="8591" ht="12.75" customHeight="1" x14ac:dyDescent="0.2"/>
    <row r="8592" ht="12.75" customHeight="1" x14ac:dyDescent="0.2"/>
    <row r="8593" ht="12.75" customHeight="1" x14ac:dyDescent="0.2"/>
    <row r="8594" ht="12.75" customHeight="1" x14ac:dyDescent="0.2"/>
    <row r="8595" ht="12.75" customHeight="1" x14ac:dyDescent="0.2"/>
    <row r="8596" ht="12.75" customHeight="1" x14ac:dyDescent="0.2"/>
    <row r="8597" ht="12.75" customHeight="1" x14ac:dyDescent="0.2"/>
    <row r="8598" ht="12.75" customHeight="1" x14ac:dyDescent="0.2"/>
    <row r="8599" ht="12.75" customHeight="1" x14ac:dyDescent="0.2"/>
    <row r="8600" ht="12.75" customHeight="1" x14ac:dyDescent="0.2"/>
    <row r="8601" ht="12.75" customHeight="1" x14ac:dyDescent="0.2"/>
    <row r="8602" ht="12.75" customHeight="1" x14ac:dyDescent="0.2"/>
    <row r="8603" ht="12.75" customHeight="1" x14ac:dyDescent="0.2"/>
    <row r="8604" ht="12.75" customHeight="1" x14ac:dyDescent="0.2"/>
    <row r="8605" ht="12.75" customHeight="1" x14ac:dyDescent="0.2"/>
    <row r="8606" ht="12.75" customHeight="1" x14ac:dyDescent="0.2"/>
    <row r="8607" ht="12.75" customHeight="1" x14ac:dyDescent="0.2"/>
    <row r="8608" ht="12.75" customHeight="1" x14ac:dyDescent="0.2"/>
    <row r="8609" ht="12.75" customHeight="1" x14ac:dyDescent="0.2"/>
    <row r="8610" ht="12.75" customHeight="1" x14ac:dyDescent="0.2"/>
    <row r="8611" ht="12.75" customHeight="1" x14ac:dyDescent="0.2"/>
    <row r="8612" ht="12.75" customHeight="1" x14ac:dyDescent="0.2"/>
    <row r="8613" ht="12.75" customHeight="1" x14ac:dyDescent="0.2"/>
    <row r="8614" ht="12.75" customHeight="1" x14ac:dyDescent="0.2"/>
    <row r="8615" ht="12.75" customHeight="1" x14ac:dyDescent="0.2"/>
    <row r="8616" ht="12.75" customHeight="1" x14ac:dyDescent="0.2"/>
    <row r="8617" ht="12.75" customHeight="1" x14ac:dyDescent="0.2"/>
    <row r="8618" ht="12.75" customHeight="1" x14ac:dyDescent="0.2"/>
    <row r="8619" ht="12.75" customHeight="1" x14ac:dyDescent="0.2"/>
    <row r="8620" ht="12.75" customHeight="1" x14ac:dyDescent="0.2"/>
    <row r="8621" ht="12.75" customHeight="1" x14ac:dyDescent="0.2"/>
    <row r="8622" ht="12.75" customHeight="1" x14ac:dyDescent="0.2"/>
    <row r="8623" ht="12.75" customHeight="1" x14ac:dyDescent="0.2"/>
    <row r="8624" ht="12.75" customHeight="1" x14ac:dyDescent="0.2"/>
    <row r="8625" ht="12.75" customHeight="1" x14ac:dyDescent="0.2"/>
    <row r="8626" ht="12.75" customHeight="1" x14ac:dyDescent="0.2"/>
    <row r="8627" ht="12.75" customHeight="1" x14ac:dyDescent="0.2"/>
    <row r="8628" ht="12.75" customHeight="1" x14ac:dyDescent="0.2"/>
    <row r="8629" ht="12.75" customHeight="1" x14ac:dyDescent="0.2"/>
    <row r="8630" ht="12.75" customHeight="1" x14ac:dyDescent="0.2"/>
    <row r="8631" ht="12.75" customHeight="1" x14ac:dyDescent="0.2"/>
    <row r="8632" ht="12.75" customHeight="1" x14ac:dyDescent="0.2"/>
    <row r="8633" ht="12.75" customHeight="1" x14ac:dyDescent="0.2"/>
    <row r="8634" ht="12.75" customHeight="1" x14ac:dyDescent="0.2"/>
    <row r="8635" ht="12.75" customHeight="1" x14ac:dyDescent="0.2"/>
    <row r="8636" ht="12.75" customHeight="1" x14ac:dyDescent="0.2"/>
    <row r="8637" ht="12.75" customHeight="1" x14ac:dyDescent="0.2"/>
    <row r="8638" ht="12.75" customHeight="1" x14ac:dyDescent="0.2"/>
    <row r="8639" ht="12.75" customHeight="1" x14ac:dyDescent="0.2"/>
    <row r="8640" ht="12.75" customHeight="1" x14ac:dyDescent="0.2"/>
    <row r="8641" ht="12.75" customHeight="1" x14ac:dyDescent="0.2"/>
    <row r="8642" ht="12.75" customHeight="1" x14ac:dyDescent="0.2"/>
    <row r="8643" ht="12.75" customHeight="1" x14ac:dyDescent="0.2"/>
    <row r="8644" ht="12.75" customHeight="1" x14ac:dyDescent="0.2"/>
    <row r="8645" ht="12.75" customHeight="1" x14ac:dyDescent="0.2"/>
    <row r="8646" ht="12.75" customHeight="1" x14ac:dyDescent="0.2"/>
    <row r="8647" ht="12.75" customHeight="1" x14ac:dyDescent="0.2"/>
    <row r="8648" ht="12.75" customHeight="1" x14ac:dyDescent="0.2"/>
    <row r="8649" ht="12.75" customHeight="1" x14ac:dyDescent="0.2"/>
    <row r="8650" ht="12.75" customHeight="1" x14ac:dyDescent="0.2"/>
    <row r="8651" ht="12.75" customHeight="1" x14ac:dyDescent="0.2"/>
    <row r="8652" ht="12.75" customHeight="1" x14ac:dyDescent="0.2"/>
    <row r="8653" ht="12.75" customHeight="1" x14ac:dyDescent="0.2"/>
    <row r="8654" ht="12.75" customHeight="1" x14ac:dyDescent="0.2"/>
    <row r="8655" ht="12.75" customHeight="1" x14ac:dyDescent="0.2"/>
    <row r="8656" ht="12.75" customHeight="1" x14ac:dyDescent="0.2"/>
    <row r="8657" ht="12.75" customHeight="1" x14ac:dyDescent="0.2"/>
    <row r="8658" ht="12.75" customHeight="1" x14ac:dyDescent="0.2"/>
    <row r="8659" ht="12.75" customHeight="1" x14ac:dyDescent="0.2"/>
    <row r="8660" ht="12.75" customHeight="1" x14ac:dyDescent="0.2"/>
    <row r="8661" ht="12.75" customHeight="1" x14ac:dyDescent="0.2"/>
    <row r="8662" ht="12.75" customHeight="1" x14ac:dyDescent="0.2"/>
    <row r="8663" ht="12.75" customHeight="1" x14ac:dyDescent="0.2"/>
    <row r="8664" ht="12.75" customHeight="1" x14ac:dyDescent="0.2"/>
    <row r="8665" ht="12.75" customHeight="1" x14ac:dyDescent="0.2"/>
    <row r="8666" ht="12.75" customHeight="1" x14ac:dyDescent="0.2"/>
    <row r="8667" ht="12.75" customHeight="1" x14ac:dyDescent="0.2"/>
    <row r="8668" ht="12.75" customHeight="1" x14ac:dyDescent="0.2"/>
    <row r="8669" ht="12.75" customHeight="1" x14ac:dyDescent="0.2"/>
    <row r="8670" ht="12.75" customHeight="1" x14ac:dyDescent="0.2"/>
    <row r="8671" ht="12.75" customHeight="1" x14ac:dyDescent="0.2"/>
    <row r="8672" ht="12.75" customHeight="1" x14ac:dyDescent="0.2"/>
    <row r="8673" ht="12.75" customHeight="1" x14ac:dyDescent="0.2"/>
    <row r="8674" ht="12.75" customHeight="1" x14ac:dyDescent="0.2"/>
    <row r="8675" ht="12.75" customHeight="1" x14ac:dyDescent="0.2"/>
    <row r="8676" ht="12.75" customHeight="1" x14ac:dyDescent="0.2"/>
    <row r="8677" ht="12.75" customHeight="1" x14ac:dyDescent="0.2"/>
    <row r="8678" ht="12.75" customHeight="1" x14ac:dyDescent="0.2"/>
    <row r="8679" ht="12.75" customHeight="1" x14ac:dyDescent="0.2"/>
    <row r="8680" ht="12.75" customHeight="1" x14ac:dyDescent="0.2"/>
    <row r="8681" ht="12.75" customHeight="1" x14ac:dyDescent="0.2"/>
    <row r="8682" ht="12.75" customHeight="1" x14ac:dyDescent="0.2"/>
    <row r="8683" ht="12.75" customHeight="1" x14ac:dyDescent="0.2"/>
    <row r="8684" ht="12.75" customHeight="1" x14ac:dyDescent="0.2"/>
    <row r="8685" ht="12.75" customHeight="1" x14ac:dyDescent="0.2"/>
    <row r="8686" ht="12.75" customHeight="1" x14ac:dyDescent="0.2"/>
    <row r="8687" ht="12.75" customHeight="1" x14ac:dyDescent="0.2"/>
    <row r="8688" ht="12.75" customHeight="1" x14ac:dyDescent="0.2"/>
    <row r="8689" ht="12.75" customHeight="1" x14ac:dyDescent="0.2"/>
    <row r="8690" ht="12.75" customHeight="1" x14ac:dyDescent="0.2"/>
    <row r="8691" ht="12.75" customHeight="1" x14ac:dyDescent="0.2"/>
    <row r="8692" ht="12.75" customHeight="1" x14ac:dyDescent="0.2"/>
    <row r="8693" ht="12.75" customHeight="1" x14ac:dyDescent="0.2"/>
    <row r="8694" ht="12.75" customHeight="1" x14ac:dyDescent="0.2"/>
    <row r="8695" ht="12.75" customHeight="1" x14ac:dyDescent="0.2"/>
    <row r="8696" ht="12.75" customHeight="1" x14ac:dyDescent="0.2"/>
    <row r="8697" ht="12.75" customHeight="1" x14ac:dyDescent="0.2"/>
    <row r="8698" ht="12.75" customHeight="1" x14ac:dyDescent="0.2"/>
    <row r="8699" ht="12.75" customHeight="1" x14ac:dyDescent="0.2"/>
    <row r="8700" ht="12.75" customHeight="1" x14ac:dyDescent="0.2"/>
    <row r="8701" ht="12.75" customHeight="1" x14ac:dyDescent="0.2"/>
    <row r="8702" ht="12.75" customHeight="1" x14ac:dyDescent="0.2"/>
    <row r="8703" ht="12.75" customHeight="1" x14ac:dyDescent="0.2"/>
    <row r="8704" ht="12.75" customHeight="1" x14ac:dyDescent="0.2"/>
    <row r="8705" ht="12.75" customHeight="1" x14ac:dyDescent="0.2"/>
    <row r="8706" ht="12.75" customHeight="1" x14ac:dyDescent="0.2"/>
    <row r="8707" ht="12.75" customHeight="1" x14ac:dyDescent="0.2"/>
    <row r="8708" ht="12.75" customHeight="1" x14ac:dyDescent="0.2"/>
    <row r="8709" ht="12.75" customHeight="1" x14ac:dyDescent="0.2"/>
    <row r="8710" ht="12.75" customHeight="1" x14ac:dyDescent="0.2"/>
    <row r="8711" ht="12.75" customHeight="1" x14ac:dyDescent="0.2"/>
    <row r="8712" ht="12.75" customHeight="1" x14ac:dyDescent="0.2"/>
    <row r="8713" ht="12.75" customHeight="1" x14ac:dyDescent="0.2"/>
    <row r="8714" ht="12.75" customHeight="1" x14ac:dyDescent="0.2"/>
    <row r="8715" ht="12.75" customHeight="1" x14ac:dyDescent="0.2"/>
    <row r="8716" ht="12.75" customHeight="1" x14ac:dyDescent="0.2"/>
    <row r="8717" ht="12.75" customHeight="1" x14ac:dyDescent="0.2"/>
    <row r="8718" ht="12.75" customHeight="1" x14ac:dyDescent="0.2"/>
    <row r="8719" ht="12.75" customHeight="1" x14ac:dyDescent="0.2"/>
    <row r="8720" ht="12.75" customHeight="1" x14ac:dyDescent="0.2"/>
    <row r="8721" ht="12.75" customHeight="1" x14ac:dyDescent="0.2"/>
    <row r="8722" ht="12.75" customHeight="1" x14ac:dyDescent="0.2"/>
    <row r="8723" ht="12.75" customHeight="1" x14ac:dyDescent="0.2"/>
    <row r="8724" ht="12.75" customHeight="1" x14ac:dyDescent="0.2"/>
    <row r="8725" ht="12.75" customHeight="1" x14ac:dyDescent="0.2"/>
    <row r="8726" ht="12.75" customHeight="1" x14ac:dyDescent="0.2"/>
    <row r="8727" ht="12.75" customHeight="1" x14ac:dyDescent="0.2"/>
    <row r="8728" ht="12.75" customHeight="1" x14ac:dyDescent="0.2"/>
    <row r="8729" ht="12.75" customHeight="1" x14ac:dyDescent="0.2"/>
    <row r="8730" ht="12.75" customHeight="1" x14ac:dyDescent="0.2"/>
    <row r="8731" ht="12.75" customHeight="1" x14ac:dyDescent="0.2"/>
    <row r="8732" ht="12.75" customHeight="1" x14ac:dyDescent="0.2"/>
    <row r="8733" ht="12.75" customHeight="1" x14ac:dyDescent="0.2"/>
    <row r="8734" ht="12.75" customHeight="1" x14ac:dyDescent="0.2"/>
    <row r="8735" ht="12.75" customHeight="1" x14ac:dyDescent="0.2"/>
    <row r="8736" ht="12.75" customHeight="1" x14ac:dyDescent="0.2"/>
    <row r="8737" ht="12.75" customHeight="1" x14ac:dyDescent="0.2"/>
    <row r="8738" ht="12.75" customHeight="1" x14ac:dyDescent="0.2"/>
    <row r="8739" ht="12.75" customHeight="1" x14ac:dyDescent="0.2"/>
    <row r="8740" ht="12.75" customHeight="1" x14ac:dyDescent="0.2"/>
    <row r="8741" ht="12.75" customHeight="1" x14ac:dyDescent="0.2"/>
    <row r="8742" ht="12.75" customHeight="1" x14ac:dyDescent="0.2"/>
    <row r="8743" ht="12.75" customHeight="1" x14ac:dyDescent="0.2"/>
    <row r="8744" ht="12.75" customHeight="1" x14ac:dyDescent="0.2"/>
    <row r="8745" ht="12.75" customHeight="1" x14ac:dyDescent="0.2"/>
    <row r="8746" ht="12.75" customHeight="1" x14ac:dyDescent="0.2"/>
    <row r="8747" ht="12.75" customHeight="1" x14ac:dyDescent="0.2"/>
    <row r="8748" ht="12.75" customHeight="1" x14ac:dyDescent="0.2"/>
    <row r="8749" ht="12.75" customHeight="1" x14ac:dyDescent="0.2"/>
    <row r="8750" ht="12.75" customHeight="1" x14ac:dyDescent="0.2"/>
    <row r="8751" ht="12.75" customHeight="1" x14ac:dyDescent="0.2"/>
    <row r="8752" ht="12.75" customHeight="1" x14ac:dyDescent="0.2"/>
    <row r="8753" ht="12.75" customHeight="1" x14ac:dyDescent="0.2"/>
    <row r="8754" ht="12.75" customHeight="1" x14ac:dyDescent="0.2"/>
    <row r="8755" ht="12.75" customHeight="1" x14ac:dyDescent="0.2"/>
    <row r="8756" ht="12.75" customHeight="1" x14ac:dyDescent="0.2"/>
    <row r="8757" ht="12.75" customHeight="1" x14ac:dyDescent="0.2"/>
    <row r="8758" ht="12.75" customHeight="1" x14ac:dyDescent="0.2"/>
    <row r="8759" ht="12.75" customHeight="1" x14ac:dyDescent="0.2"/>
    <row r="8760" ht="12.75" customHeight="1" x14ac:dyDescent="0.2"/>
    <row r="8761" ht="12.75" customHeight="1" x14ac:dyDescent="0.2"/>
    <row r="8762" ht="12.75" customHeight="1" x14ac:dyDescent="0.2"/>
    <row r="8763" ht="12.75" customHeight="1" x14ac:dyDescent="0.2"/>
    <row r="8764" ht="12.75" customHeight="1" x14ac:dyDescent="0.2"/>
    <row r="8765" ht="12.75" customHeight="1" x14ac:dyDescent="0.2"/>
    <row r="8766" ht="12.75" customHeight="1" x14ac:dyDescent="0.2"/>
    <row r="8767" ht="12.75" customHeight="1" x14ac:dyDescent="0.2"/>
    <row r="8768" ht="12.75" customHeight="1" x14ac:dyDescent="0.2"/>
    <row r="8769" ht="12.75" customHeight="1" x14ac:dyDescent="0.2"/>
    <row r="8770" ht="12.75" customHeight="1" x14ac:dyDescent="0.2"/>
    <row r="8771" ht="12.75" customHeight="1" x14ac:dyDescent="0.2"/>
    <row r="8772" ht="12.75" customHeight="1" x14ac:dyDescent="0.2"/>
    <row r="8773" ht="12.75" customHeight="1" x14ac:dyDescent="0.2"/>
    <row r="8774" ht="12.75" customHeight="1" x14ac:dyDescent="0.2"/>
    <row r="8775" ht="12.75" customHeight="1" x14ac:dyDescent="0.2"/>
    <row r="8776" ht="12.75" customHeight="1" x14ac:dyDescent="0.2"/>
    <row r="8777" ht="12.75" customHeight="1" x14ac:dyDescent="0.2"/>
    <row r="8778" ht="12.75" customHeight="1" x14ac:dyDescent="0.2"/>
    <row r="8779" ht="12.75" customHeight="1" x14ac:dyDescent="0.2"/>
    <row r="8780" ht="12.75" customHeight="1" x14ac:dyDescent="0.2"/>
    <row r="8781" ht="12.75" customHeight="1" x14ac:dyDescent="0.2"/>
    <row r="8782" ht="12.75" customHeight="1" x14ac:dyDescent="0.2"/>
    <row r="8783" ht="12.75" customHeight="1" x14ac:dyDescent="0.2"/>
    <row r="8784" ht="12.75" customHeight="1" x14ac:dyDescent="0.2"/>
    <row r="8785" ht="12.75" customHeight="1" x14ac:dyDescent="0.2"/>
    <row r="8786" ht="12.75" customHeight="1" x14ac:dyDescent="0.2"/>
    <row r="8787" ht="12.75" customHeight="1" x14ac:dyDescent="0.2"/>
    <row r="8788" ht="12.75" customHeight="1" x14ac:dyDescent="0.2"/>
    <row r="8789" ht="12.75" customHeight="1" x14ac:dyDescent="0.2"/>
    <row r="8790" ht="12.75" customHeight="1" x14ac:dyDescent="0.2"/>
    <row r="8791" ht="12.75" customHeight="1" x14ac:dyDescent="0.2"/>
    <row r="8792" ht="12.75" customHeight="1" x14ac:dyDescent="0.2"/>
    <row r="8793" ht="12.75" customHeight="1" x14ac:dyDescent="0.2"/>
    <row r="8794" ht="12.75" customHeight="1" x14ac:dyDescent="0.2"/>
    <row r="8795" ht="12.75" customHeight="1" x14ac:dyDescent="0.2"/>
    <row r="8796" ht="12.75" customHeight="1" x14ac:dyDescent="0.2"/>
    <row r="8797" ht="12.75" customHeight="1" x14ac:dyDescent="0.2"/>
    <row r="8798" ht="12.75" customHeight="1" x14ac:dyDescent="0.2"/>
    <row r="8799" ht="12.75" customHeight="1" x14ac:dyDescent="0.2"/>
    <row r="8800" ht="12.75" customHeight="1" x14ac:dyDescent="0.2"/>
    <row r="8801" ht="12.75" customHeight="1" x14ac:dyDescent="0.2"/>
    <row r="8802" ht="12.75" customHeight="1" x14ac:dyDescent="0.2"/>
    <row r="8803" ht="12.75" customHeight="1" x14ac:dyDescent="0.2"/>
    <row r="8804" ht="12.75" customHeight="1" x14ac:dyDescent="0.2"/>
    <row r="8805" ht="12.75" customHeight="1" x14ac:dyDescent="0.2"/>
    <row r="8806" ht="12.75" customHeight="1" x14ac:dyDescent="0.2"/>
    <row r="8807" ht="12.75" customHeight="1" x14ac:dyDescent="0.2"/>
    <row r="8808" ht="12.75" customHeight="1" x14ac:dyDescent="0.2"/>
    <row r="8809" ht="12.75" customHeight="1" x14ac:dyDescent="0.2"/>
    <row r="8810" ht="12.75" customHeight="1" x14ac:dyDescent="0.2"/>
    <row r="8811" ht="12.75" customHeight="1" x14ac:dyDescent="0.2"/>
    <row r="8812" ht="12.75" customHeight="1" x14ac:dyDescent="0.2"/>
    <row r="8813" ht="12.75" customHeight="1" x14ac:dyDescent="0.2"/>
    <row r="8814" ht="12.75" customHeight="1" x14ac:dyDescent="0.2"/>
    <row r="8815" ht="12.75" customHeight="1" x14ac:dyDescent="0.2"/>
    <row r="8816" ht="12.75" customHeight="1" x14ac:dyDescent="0.2"/>
    <row r="8817" ht="12.75" customHeight="1" x14ac:dyDescent="0.2"/>
    <row r="8818" ht="12.75" customHeight="1" x14ac:dyDescent="0.2"/>
    <row r="8819" ht="12.75" customHeight="1" x14ac:dyDescent="0.2"/>
    <row r="8820" ht="12.75" customHeight="1" x14ac:dyDescent="0.2"/>
    <row r="8821" ht="12.75" customHeight="1" x14ac:dyDescent="0.2"/>
    <row r="8822" ht="12.75" customHeight="1" x14ac:dyDescent="0.2"/>
    <row r="8823" ht="12.75" customHeight="1" x14ac:dyDescent="0.2"/>
    <row r="8824" ht="12.75" customHeight="1" x14ac:dyDescent="0.2"/>
    <row r="8825" ht="12.75" customHeight="1" x14ac:dyDescent="0.2"/>
    <row r="8826" ht="12.75" customHeight="1" x14ac:dyDescent="0.2"/>
    <row r="8827" ht="12.75" customHeight="1" x14ac:dyDescent="0.2"/>
    <row r="8828" ht="12.75" customHeight="1" x14ac:dyDescent="0.2"/>
    <row r="8829" ht="12.75" customHeight="1" x14ac:dyDescent="0.2"/>
    <row r="8830" ht="12.75" customHeight="1" x14ac:dyDescent="0.2"/>
    <row r="8831" ht="12.75" customHeight="1" x14ac:dyDescent="0.2"/>
    <row r="8832" ht="12.75" customHeight="1" x14ac:dyDescent="0.2"/>
    <row r="8833" ht="12.75" customHeight="1" x14ac:dyDescent="0.2"/>
    <row r="8834" ht="12.75" customHeight="1" x14ac:dyDescent="0.2"/>
    <row r="8835" ht="12.75" customHeight="1" x14ac:dyDescent="0.2"/>
    <row r="8836" ht="12.75" customHeight="1" x14ac:dyDescent="0.2"/>
    <row r="8837" ht="12.75" customHeight="1" x14ac:dyDescent="0.2"/>
    <row r="8838" ht="12.75" customHeight="1" x14ac:dyDescent="0.2"/>
    <row r="8839" ht="12.75" customHeight="1" x14ac:dyDescent="0.2"/>
    <row r="8840" ht="12.75" customHeight="1" x14ac:dyDescent="0.2"/>
    <row r="8841" ht="12.75" customHeight="1" x14ac:dyDescent="0.2"/>
    <row r="8842" ht="12.75" customHeight="1" x14ac:dyDescent="0.2"/>
    <row r="8843" ht="12.75" customHeight="1" x14ac:dyDescent="0.2"/>
    <row r="8844" ht="12.75" customHeight="1" x14ac:dyDescent="0.2"/>
    <row r="8845" ht="12.75" customHeight="1" x14ac:dyDescent="0.2"/>
    <row r="8846" ht="12.75" customHeight="1" x14ac:dyDescent="0.2"/>
    <row r="8847" ht="12.75" customHeight="1" x14ac:dyDescent="0.2"/>
    <row r="8848" ht="12.75" customHeight="1" x14ac:dyDescent="0.2"/>
    <row r="8849" ht="12.75" customHeight="1" x14ac:dyDescent="0.2"/>
    <row r="8850" ht="12.75" customHeight="1" x14ac:dyDescent="0.2"/>
    <row r="8851" ht="12.75" customHeight="1" x14ac:dyDescent="0.2"/>
    <row r="8852" ht="12.75" customHeight="1" x14ac:dyDescent="0.2"/>
    <row r="8853" ht="12.75" customHeight="1" x14ac:dyDescent="0.2"/>
    <row r="8854" ht="12.75" customHeight="1" x14ac:dyDescent="0.2"/>
    <row r="8855" ht="12.75" customHeight="1" x14ac:dyDescent="0.2"/>
    <row r="8856" ht="12.75" customHeight="1" x14ac:dyDescent="0.2"/>
    <row r="8857" ht="12.75" customHeight="1" x14ac:dyDescent="0.2"/>
    <row r="8858" ht="12.75" customHeight="1" x14ac:dyDescent="0.2"/>
    <row r="8859" ht="12.75" customHeight="1" x14ac:dyDescent="0.2"/>
    <row r="8860" ht="12.75" customHeight="1" x14ac:dyDescent="0.2"/>
    <row r="8861" ht="12.75" customHeight="1" x14ac:dyDescent="0.2"/>
    <row r="8862" ht="12.75" customHeight="1" x14ac:dyDescent="0.2"/>
    <row r="8863" ht="12.75" customHeight="1" x14ac:dyDescent="0.2"/>
    <row r="8864" ht="12.75" customHeight="1" x14ac:dyDescent="0.2"/>
    <row r="8865" ht="12.75" customHeight="1" x14ac:dyDescent="0.2"/>
    <row r="8866" ht="12.75" customHeight="1" x14ac:dyDescent="0.2"/>
    <row r="8867" ht="12.75" customHeight="1" x14ac:dyDescent="0.2"/>
    <row r="8868" ht="12.75" customHeight="1" x14ac:dyDescent="0.2"/>
    <row r="8869" ht="12.75" customHeight="1" x14ac:dyDescent="0.2"/>
    <row r="8870" ht="12.75" customHeight="1" x14ac:dyDescent="0.2"/>
    <row r="8871" ht="12.75" customHeight="1" x14ac:dyDescent="0.2"/>
    <row r="8872" ht="12.75" customHeight="1" x14ac:dyDescent="0.2"/>
    <row r="8873" ht="12.75" customHeight="1" x14ac:dyDescent="0.2"/>
    <row r="8874" ht="12.75" customHeight="1" x14ac:dyDescent="0.2"/>
    <row r="8875" ht="12.75" customHeight="1" x14ac:dyDescent="0.2"/>
    <row r="8876" ht="12.75" customHeight="1" x14ac:dyDescent="0.2"/>
    <row r="8877" ht="12.75" customHeight="1" x14ac:dyDescent="0.2"/>
    <row r="8878" ht="12.75" customHeight="1" x14ac:dyDescent="0.2"/>
    <row r="8879" ht="12.75" customHeight="1" x14ac:dyDescent="0.2"/>
    <row r="8880" ht="12.75" customHeight="1" x14ac:dyDescent="0.2"/>
    <row r="8881" ht="12.75" customHeight="1" x14ac:dyDescent="0.2"/>
    <row r="8882" ht="12.75" customHeight="1" x14ac:dyDescent="0.2"/>
    <row r="8883" ht="12.75" customHeight="1" x14ac:dyDescent="0.2"/>
    <row r="8884" ht="12.75" customHeight="1" x14ac:dyDescent="0.2"/>
    <row r="8885" ht="12.75" customHeight="1" x14ac:dyDescent="0.2"/>
    <row r="8886" ht="12.75" customHeight="1" x14ac:dyDescent="0.2"/>
    <row r="8887" ht="12.75" customHeight="1" x14ac:dyDescent="0.2"/>
    <row r="8888" ht="12.75" customHeight="1" x14ac:dyDescent="0.2"/>
    <row r="8889" ht="12.75" customHeight="1" x14ac:dyDescent="0.2"/>
    <row r="8890" ht="12.75" customHeight="1" x14ac:dyDescent="0.2"/>
    <row r="8891" ht="12.75" customHeight="1" x14ac:dyDescent="0.2"/>
    <row r="8892" ht="12.75" customHeight="1" x14ac:dyDescent="0.2"/>
    <row r="8893" ht="12.75" customHeight="1" x14ac:dyDescent="0.2"/>
    <row r="8894" ht="12.75" customHeight="1" x14ac:dyDescent="0.2"/>
    <row r="8895" ht="12.75" customHeight="1" x14ac:dyDescent="0.2"/>
    <row r="8896" ht="12.75" customHeight="1" x14ac:dyDescent="0.2"/>
    <row r="8897" ht="12.75" customHeight="1" x14ac:dyDescent="0.2"/>
    <row r="8898" ht="12.75" customHeight="1" x14ac:dyDescent="0.2"/>
    <row r="8899" ht="12.75" customHeight="1" x14ac:dyDescent="0.2"/>
    <row r="8900" ht="12.75" customHeight="1" x14ac:dyDescent="0.2"/>
    <row r="8901" ht="12.75" customHeight="1" x14ac:dyDescent="0.2"/>
    <row r="8902" ht="12.75" customHeight="1" x14ac:dyDescent="0.2"/>
    <row r="8903" ht="12.75" customHeight="1" x14ac:dyDescent="0.2"/>
    <row r="8904" ht="12.75" customHeight="1" x14ac:dyDescent="0.2"/>
    <row r="8905" ht="12.75" customHeight="1" x14ac:dyDescent="0.2"/>
    <row r="8906" ht="12.75" customHeight="1" x14ac:dyDescent="0.2"/>
    <row r="8907" ht="12.75" customHeight="1" x14ac:dyDescent="0.2"/>
    <row r="8908" ht="12.75" customHeight="1" x14ac:dyDescent="0.2"/>
    <row r="8909" ht="12.75" customHeight="1" x14ac:dyDescent="0.2"/>
    <row r="8910" ht="12.75" customHeight="1" x14ac:dyDescent="0.2"/>
    <row r="8911" ht="12.75" customHeight="1" x14ac:dyDescent="0.2"/>
    <row r="8912" ht="12.75" customHeight="1" x14ac:dyDescent="0.2"/>
    <row r="8913" ht="12.75" customHeight="1" x14ac:dyDescent="0.2"/>
    <row r="8914" ht="12.75" customHeight="1" x14ac:dyDescent="0.2"/>
    <row r="8915" ht="12.75" customHeight="1" x14ac:dyDescent="0.2"/>
    <row r="8916" ht="12.75" customHeight="1" x14ac:dyDescent="0.2"/>
    <row r="8917" ht="12.75" customHeight="1" x14ac:dyDescent="0.2"/>
    <row r="8918" ht="12.75" customHeight="1" x14ac:dyDescent="0.2"/>
    <row r="8919" ht="12.75" customHeight="1" x14ac:dyDescent="0.2"/>
    <row r="8920" ht="12.75" customHeight="1" x14ac:dyDescent="0.2"/>
    <row r="8921" ht="12.75" customHeight="1" x14ac:dyDescent="0.2"/>
    <row r="8922" ht="12.75" customHeight="1" x14ac:dyDescent="0.2"/>
    <row r="8923" ht="12.75" customHeight="1" x14ac:dyDescent="0.2"/>
    <row r="8924" ht="12.75" customHeight="1" x14ac:dyDescent="0.2"/>
    <row r="8925" ht="12.75" customHeight="1" x14ac:dyDescent="0.2"/>
    <row r="8926" ht="12.75" customHeight="1" x14ac:dyDescent="0.2"/>
    <row r="8927" ht="12.75" customHeight="1" x14ac:dyDescent="0.2"/>
    <row r="8928" ht="12.75" customHeight="1" x14ac:dyDescent="0.2"/>
    <row r="8929" ht="12.75" customHeight="1" x14ac:dyDescent="0.2"/>
    <row r="8930" ht="12.75" customHeight="1" x14ac:dyDescent="0.2"/>
    <row r="8931" ht="12.75" customHeight="1" x14ac:dyDescent="0.2"/>
    <row r="8932" ht="12.75" customHeight="1" x14ac:dyDescent="0.2"/>
    <row r="8933" ht="12.75" customHeight="1" x14ac:dyDescent="0.2"/>
    <row r="8934" ht="12.75" customHeight="1" x14ac:dyDescent="0.2"/>
    <row r="8935" ht="12.75" customHeight="1" x14ac:dyDescent="0.2"/>
    <row r="8936" ht="12.75" customHeight="1" x14ac:dyDescent="0.2"/>
    <row r="8937" ht="12.75" customHeight="1" x14ac:dyDescent="0.2"/>
    <row r="8938" ht="12.75" customHeight="1" x14ac:dyDescent="0.2"/>
    <row r="8939" ht="12.75" customHeight="1" x14ac:dyDescent="0.2"/>
    <row r="8940" ht="12.75" customHeight="1" x14ac:dyDescent="0.2"/>
    <row r="8941" ht="12.75" customHeight="1" x14ac:dyDescent="0.2"/>
    <row r="8942" ht="12.75" customHeight="1" x14ac:dyDescent="0.2"/>
    <row r="8943" ht="12.75" customHeight="1" x14ac:dyDescent="0.2"/>
    <row r="8944" ht="12.75" customHeight="1" x14ac:dyDescent="0.2"/>
    <row r="8945" ht="12.75" customHeight="1" x14ac:dyDescent="0.2"/>
    <row r="8946" ht="12.75" customHeight="1" x14ac:dyDescent="0.2"/>
    <row r="8947" ht="12.75" customHeight="1" x14ac:dyDescent="0.2"/>
    <row r="8948" ht="12.75" customHeight="1" x14ac:dyDescent="0.2"/>
    <row r="8949" ht="12.75" customHeight="1" x14ac:dyDescent="0.2"/>
    <row r="8950" ht="12.75" customHeight="1" x14ac:dyDescent="0.2"/>
    <row r="8951" ht="12.75" customHeight="1" x14ac:dyDescent="0.2"/>
    <row r="8952" ht="12.75" customHeight="1" x14ac:dyDescent="0.2"/>
    <row r="8953" ht="12.75" customHeight="1" x14ac:dyDescent="0.2"/>
    <row r="8954" ht="12.75" customHeight="1" x14ac:dyDescent="0.2"/>
    <row r="8955" ht="12.75" customHeight="1" x14ac:dyDescent="0.2"/>
    <row r="8956" ht="12.75" customHeight="1" x14ac:dyDescent="0.2"/>
    <row r="8957" ht="12.75" customHeight="1" x14ac:dyDescent="0.2"/>
    <row r="8958" ht="12.75" customHeight="1" x14ac:dyDescent="0.2"/>
    <row r="8959" ht="12.75" customHeight="1" x14ac:dyDescent="0.2"/>
    <row r="8960" ht="12.75" customHeight="1" x14ac:dyDescent="0.2"/>
    <row r="8961" ht="12.75" customHeight="1" x14ac:dyDescent="0.2"/>
    <row r="8962" ht="12.75" customHeight="1" x14ac:dyDescent="0.2"/>
    <row r="8963" ht="12.75" customHeight="1" x14ac:dyDescent="0.2"/>
    <row r="8964" ht="12.75" customHeight="1" x14ac:dyDescent="0.2"/>
    <row r="8965" ht="12.75" customHeight="1" x14ac:dyDescent="0.2"/>
    <row r="8966" ht="12.75" customHeight="1" x14ac:dyDescent="0.2"/>
    <row r="8967" ht="12.75" customHeight="1" x14ac:dyDescent="0.2"/>
    <row r="8968" ht="12.75" customHeight="1" x14ac:dyDescent="0.2"/>
    <row r="8969" ht="12.75" customHeight="1" x14ac:dyDescent="0.2"/>
    <row r="8970" ht="12.75" customHeight="1" x14ac:dyDescent="0.2"/>
    <row r="8971" ht="12.75" customHeight="1" x14ac:dyDescent="0.2"/>
    <row r="8972" ht="12.75" customHeight="1" x14ac:dyDescent="0.2"/>
    <row r="8973" ht="12.75" customHeight="1" x14ac:dyDescent="0.2"/>
    <row r="8974" ht="12.75" customHeight="1" x14ac:dyDescent="0.2"/>
    <row r="8975" ht="12.75" customHeight="1" x14ac:dyDescent="0.2"/>
    <row r="8976" ht="12.75" customHeight="1" x14ac:dyDescent="0.2"/>
    <row r="8977" ht="12.75" customHeight="1" x14ac:dyDescent="0.2"/>
    <row r="8978" ht="12.75" customHeight="1" x14ac:dyDescent="0.2"/>
    <row r="8979" ht="12.75" customHeight="1" x14ac:dyDescent="0.2"/>
    <row r="8980" ht="12.75" customHeight="1" x14ac:dyDescent="0.2"/>
    <row r="8981" ht="12.75" customHeight="1" x14ac:dyDescent="0.2"/>
    <row r="8982" ht="12.75" customHeight="1" x14ac:dyDescent="0.2"/>
    <row r="8983" ht="12.75" customHeight="1" x14ac:dyDescent="0.2"/>
    <row r="8984" ht="12.75" customHeight="1" x14ac:dyDescent="0.2"/>
    <row r="8985" ht="12.75" customHeight="1" x14ac:dyDescent="0.2"/>
    <row r="8986" ht="12.75" customHeight="1" x14ac:dyDescent="0.2"/>
    <row r="8987" ht="12.75" customHeight="1" x14ac:dyDescent="0.2"/>
    <row r="8988" ht="12.75" customHeight="1" x14ac:dyDescent="0.2"/>
    <row r="8989" ht="12.75" customHeight="1" x14ac:dyDescent="0.2"/>
    <row r="8990" ht="12.75" customHeight="1" x14ac:dyDescent="0.2"/>
    <row r="8991" ht="12.75" customHeight="1" x14ac:dyDescent="0.2"/>
    <row r="8992" ht="12.75" customHeight="1" x14ac:dyDescent="0.2"/>
    <row r="8993" ht="12.75" customHeight="1" x14ac:dyDescent="0.2"/>
    <row r="8994" ht="12.75" customHeight="1" x14ac:dyDescent="0.2"/>
    <row r="8995" ht="12.75" customHeight="1" x14ac:dyDescent="0.2"/>
    <row r="8996" ht="12.75" customHeight="1" x14ac:dyDescent="0.2"/>
    <row r="8997" ht="12.75" customHeight="1" x14ac:dyDescent="0.2"/>
    <row r="8998" ht="12.75" customHeight="1" x14ac:dyDescent="0.2"/>
    <row r="8999" ht="12.75" customHeight="1" x14ac:dyDescent="0.2"/>
    <row r="9000" ht="12.75" customHeight="1" x14ac:dyDescent="0.2"/>
    <row r="9001" ht="12.75" customHeight="1" x14ac:dyDescent="0.2"/>
    <row r="9002" ht="12.75" customHeight="1" x14ac:dyDescent="0.2"/>
    <row r="9003" ht="12.75" customHeight="1" x14ac:dyDescent="0.2"/>
    <row r="9004" ht="12.75" customHeight="1" x14ac:dyDescent="0.2"/>
    <row r="9005" ht="12.75" customHeight="1" x14ac:dyDescent="0.2"/>
    <row r="9006" ht="12.75" customHeight="1" x14ac:dyDescent="0.2"/>
    <row r="9007" ht="12.75" customHeight="1" x14ac:dyDescent="0.2"/>
    <row r="9008" ht="12.75" customHeight="1" x14ac:dyDescent="0.2"/>
    <row r="9009" ht="12.75" customHeight="1" x14ac:dyDescent="0.2"/>
    <row r="9010" ht="12.75" customHeight="1" x14ac:dyDescent="0.2"/>
    <row r="9011" ht="12.75" customHeight="1" x14ac:dyDescent="0.2"/>
    <row r="9012" ht="12.75" customHeight="1" x14ac:dyDescent="0.2"/>
    <row r="9013" ht="12.75" customHeight="1" x14ac:dyDescent="0.2"/>
    <row r="9014" ht="12.75" customHeight="1" x14ac:dyDescent="0.2"/>
    <row r="9015" ht="12.75" customHeight="1" x14ac:dyDescent="0.2"/>
    <row r="9016" ht="12.75" customHeight="1" x14ac:dyDescent="0.2"/>
    <row r="9017" ht="12.75" customHeight="1" x14ac:dyDescent="0.2"/>
    <row r="9018" ht="12.75" customHeight="1" x14ac:dyDescent="0.2"/>
    <row r="9019" ht="12.75" customHeight="1" x14ac:dyDescent="0.2"/>
    <row r="9020" ht="12.75" customHeight="1" x14ac:dyDescent="0.2"/>
    <row r="9021" ht="12.75" customHeight="1" x14ac:dyDescent="0.2"/>
    <row r="9022" ht="12.75" customHeight="1" x14ac:dyDescent="0.2"/>
    <row r="9023" ht="12.75" customHeight="1" x14ac:dyDescent="0.2"/>
    <row r="9024" ht="12.75" customHeight="1" x14ac:dyDescent="0.2"/>
    <row r="9025" ht="12.75" customHeight="1" x14ac:dyDescent="0.2"/>
    <row r="9026" ht="12.75" customHeight="1" x14ac:dyDescent="0.2"/>
    <row r="9027" ht="12.75" customHeight="1" x14ac:dyDescent="0.2"/>
    <row r="9028" ht="12.75" customHeight="1" x14ac:dyDescent="0.2"/>
    <row r="9029" ht="12.75" customHeight="1" x14ac:dyDescent="0.2"/>
    <row r="9030" ht="12.75" customHeight="1" x14ac:dyDescent="0.2"/>
    <row r="9031" ht="12.75" customHeight="1" x14ac:dyDescent="0.2"/>
    <row r="9032" ht="12.75" customHeight="1" x14ac:dyDescent="0.2"/>
    <row r="9033" ht="12.75" customHeight="1" x14ac:dyDescent="0.2"/>
    <row r="9034" ht="12.75" customHeight="1" x14ac:dyDescent="0.2"/>
    <row r="9035" ht="12.75" customHeight="1" x14ac:dyDescent="0.2"/>
    <row r="9036" ht="12.75" customHeight="1" x14ac:dyDescent="0.2"/>
    <row r="9037" ht="12.75" customHeight="1" x14ac:dyDescent="0.2"/>
    <row r="9038" ht="12.75" customHeight="1" x14ac:dyDescent="0.2"/>
    <row r="9039" ht="12.75" customHeight="1" x14ac:dyDescent="0.2"/>
    <row r="9040" ht="12.75" customHeight="1" x14ac:dyDescent="0.2"/>
    <row r="9041" ht="12.75" customHeight="1" x14ac:dyDescent="0.2"/>
    <row r="9042" ht="12.75" customHeight="1" x14ac:dyDescent="0.2"/>
    <row r="9043" ht="12.75" customHeight="1" x14ac:dyDescent="0.2"/>
    <row r="9044" ht="12.75" customHeight="1" x14ac:dyDescent="0.2"/>
    <row r="9045" ht="12.75" customHeight="1" x14ac:dyDescent="0.2"/>
    <row r="9046" ht="12.75" customHeight="1" x14ac:dyDescent="0.2"/>
    <row r="9047" ht="12.75" customHeight="1" x14ac:dyDescent="0.2"/>
    <row r="9048" ht="12.75" customHeight="1" x14ac:dyDescent="0.2"/>
    <row r="9049" ht="12.75" customHeight="1" x14ac:dyDescent="0.2"/>
    <row r="9050" ht="12.75" customHeight="1" x14ac:dyDescent="0.2"/>
    <row r="9051" ht="12.75" customHeight="1" x14ac:dyDescent="0.2"/>
    <row r="9052" ht="12.75" customHeight="1" x14ac:dyDescent="0.2"/>
    <row r="9053" ht="12.75" customHeight="1" x14ac:dyDescent="0.2"/>
    <row r="9054" ht="12.75" customHeight="1" x14ac:dyDescent="0.2"/>
    <row r="9055" ht="12.75" customHeight="1" x14ac:dyDescent="0.2"/>
    <row r="9056" ht="12.75" customHeight="1" x14ac:dyDescent="0.2"/>
    <row r="9057" ht="12.75" customHeight="1" x14ac:dyDescent="0.2"/>
    <row r="9058" ht="12.75" customHeight="1" x14ac:dyDescent="0.2"/>
    <row r="9059" ht="12.75" customHeight="1" x14ac:dyDescent="0.2"/>
    <row r="9060" ht="12.75" customHeight="1" x14ac:dyDescent="0.2"/>
    <row r="9061" ht="12.75" customHeight="1" x14ac:dyDescent="0.2"/>
    <row r="9062" ht="12.75" customHeight="1" x14ac:dyDescent="0.2"/>
    <row r="9063" ht="12.75" customHeight="1" x14ac:dyDescent="0.2"/>
    <row r="9064" ht="12.75" customHeight="1" x14ac:dyDescent="0.2"/>
    <row r="9065" ht="12.75" customHeight="1" x14ac:dyDescent="0.2"/>
    <row r="9066" ht="12.75" customHeight="1" x14ac:dyDescent="0.2"/>
    <row r="9067" ht="12.75" customHeight="1" x14ac:dyDescent="0.2"/>
    <row r="9068" ht="12.75" customHeight="1" x14ac:dyDescent="0.2"/>
    <row r="9069" ht="12.75" customHeight="1" x14ac:dyDescent="0.2"/>
    <row r="9070" ht="12.75" customHeight="1" x14ac:dyDescent="0.2"/>
    <row r="9071" ht="12.75" customHeight="1" x14ac:dyDescent="0.2"/>
    <row r="9072" ht="12.75" customHeight="1" x14ac:dyDescent="0.2"/>
    <row r="9073" ht="12.75" customHeight="1" x14ac:dyDescent="0.2"/>
    <row r="9074" ht="12.75" customHeight="1" x14ac:dyDescent="0.2"/>
    <row r="9075" ht="12.75" customHeight="1" x14ac:dyDescent="0.2"/>
    <row r="9076" ht="12.75" customHeight="1" x14ac:dyDescent="0.2"/>
    <row r="9077" ht="12.75" customHeight="1" x14ac:dyDescent="0.2"/>
    <row r="9078" ht="12.75" customHeight="1" x14ac:dyDescent="0.2"/>
    <row r="9079" ht="12.75" customHeight="1" x14ac:dyDescent="0.2"/>
    <row r="9080" ht="12.75" customHeight="1" x14ac:dyDescent="0.2"/>
    <row r="9081" ht="12.75" customHeight="1" x14ac:dyDescent="0.2"/>
    <row r="9082" ht="12.75" customHeight="1" x14ac:dyDescent="0.2"/>
    <row r="9083" ht="12.75" customHeight="1" x14ac:dyDescent="0.2"/>
    <row r="9084" ht="12.75" customHeight="1" x14ac:dyDescent="0.2"/>
    <row r="9085" ht="12.75" customHeight="1" x14ac:dyDescent="0.2"/>
    <row r="9086" ht="12.75" customHeight="1" x14ac:dyDescent="0.2"/>
    <row r="9087" ht="12.75" customHeight="1" x14ac:dyDescent="0.2"/>
    <row r="9088" ht="12.75" customHeight="1" x14ac:dyDescent="0.2"/>
    <row r="9089" ht="12.75" customHeight="1" x14ac:dyDescent="0.2"/>
    <row r="9090" ht="12.75" customHeight="1" x14ac:dyDescent="0.2"/>
    <row r="9091" ht="12.75" customHeight="1" x14ac:dyDescent="0.2"/>
    <row r="9092" ht="12.75" customHeight="1" x14ac:dyDescent="0.2"/>
    <row r="9093" ht="12.75" customHeight="1" x14ac:dyDescent="0.2"/>
    <row r="9094" ht="12.75" customHeight="1" x14ac:dyDescent="0.2"/>
    <row r="9095" ht="12.75" customHeight="1" x14ac:dyDescent="0.2"/>
    <row r="9096" ht="12.75" customHeight="1" x14ac:dyDescent="0.2"/>
    <row r="9097" ht="12.75" customHeight="1" x14ac:dyDescent="0.2"/>
    <row r="9098" ht="12.75" customHeight="1" x14ac:dyDescent="0.2"/>
    <row r="9099" ht="12.75" customHeight="1" x14ac:dyDescent="0.2"/>
    <row r="9100" ht="12.75" customHeight="1" x14ac:dyDescent="0.2"/>
    <row r="9101" ht="12.75" customHeight="1" x14ac:dyDescent="0.2"/>
    <row r="9102" ht="12.75" customHeight="1" x14ac:dyDescent="0.2"/>
    <row r="9103" ht="12.75" customHeight="1" x14ac:dyDescent="0.2"/>
    <row r="9104" ht="12.75" customHeight="1" x14ac:dyDescent="0.2"/>
    <row r="9105" ht="12.75" customHeight="1" x14ac:dyDescent="0.2"/>
    <row r="9106" ht="12.75" customHeight="1" x14ac:dyDescent="0.2"/>
    <row r="9107" ht="12.75" customHeight="1" x14ac:dyDescent="0.2"/>
    <row r="9108" ht="12.75" customHeight="1" x14ac:dyDescent="0.2"/>
    <row r="9109" ht="12.75" customHeight="1" x14ac:dyDescent="0.2"/>
    <row r="9110" ht="12.75" customHeight="1" x14ac:dyDescent="0.2"/>
    <row r="9111" ht="12.75" customHeight="1" x14ac:dyDescent="0.2"/>
    <row r="9112" ht="12.75" customHeight="1" x14ac:dyDescent="0.2"/>
    <row r="9113" ht="12.75" customHeight="1" x14ac:dyDescent="0.2"/>
    <row r="9114" ht="12.75" customHeight="1" x14ac:dyDescent="0.2"/>
    <row r="9115" ht="12.75" customHeight="1" x14ac:dyDescent="0.2"/>
    <row r="9116" ht="12.75" customHeight="1" x14ac:dyDescent="0.2"/>
    <row r="9117" ht="12.75" customHeight="1" x14ac:dyDescent="0.2"/>
    <row r="9118" ht="12.75" customHeight="1" x14ac:dyDescent="0.2"/>
    <row r="9119" ht="12.75" customHeight="1" x14ac:dyDescent="0.2"/>
    <row r="9120" ht="12.75" customHeight="1" x14ac:dyDescent="0.2"/>
    <row r="9121" ht="12.75" customHeight="1" x14ac:dyDescent="0.2"/>
    <row r="9122" ht="12.75" customHeight="1" x14ac:dyDescent="0.2"/>
    <row r="9123" ht="12.75" customHeight="1" x14ac:dyDescent="0.2"/>
    <row r="9124" ht="12.75" customHeight="1" x14ac:dyDescent="0.2"/>
    <row r="9125" ht="12.75" customHeight="1" x14ac:dyDescent="0.2"/>
    <row r="9126" ht="12.75" customHeight="1" x14ac:dyDescent="0.2"/>
    <row r="9127" ht="12.75" customHeight="1" x14ac:dyDescent="0.2"/>
    <row r="9128" ht="12.75" customHeight="1" x14ac:dyDescent="0.2"/>
    <row r="9129" ht="12.75" customHeight="1" x14ac:dyDescent="0.2"/>
    <row r="9130" ht="12.75" customHeight="1" x14ac:dyDescent="0.2"/>
    <row r="9131" ht="12.75" customHeight="1" x14ac:dyDescent="0.2"/>
    <row r="9132" ht="12.75" customHeight="1" x14ac:dyDescent="0.2"/>
    <row r="9133" ht="12.75" customHeight="1" x14ac:dyDescent="0.2"/>
    <row r="9134" ht="12.75" customHeight="1" x14ac:dyDescent="0.2"/>
    <row r="9135" ht="12.75" customHeight="1" x14ac:dyDescent="0.2"/>
    <row r="9136" ht="12.75" customHeight="1" x14ac:dyDescent="0.2"/>
    <row r="9137" ht="12.75" customHeight="1" x14ac:dyDescent="0.2"/>
    <row r="9138" ht="12.75" customHeight="1" x14ac:dyDescent="0.2"/>
    <row r="9139" ht="12.75" customHeight="1" x14ac:dyDescent="0.2"/>
    <row r="9140" ht="12.75" customHeight="1" x14ac:dyDescent="0.2"/>
    <row r="9141" ht="12.75" customHeight="1" x14ac:dyDescent="0.2"/>
    <row r="9142" ht="12.75" customHeight="1" x14ac:dyDescent="0.2"/>
    <row r="9143" ht="12.75" customHeight="1" x14ac:dyDescent="0.2"/>
    <row r="9144" ht="12.75" customHeight="1" x14ac:dyDescent="0.2"/>
    <row r="9145" ht="12.75" customHeight="1" x14ac:dyDescent="0.2"/>
    <row r="9146" ht="12.75" customHeight="1" x14ac:dyDescent="0.2"/>
    <row r="9147" ht="12.75" customHeight="1" x14ac:dyDescent="0.2"/>
    <row r="9148" ht="12.75" customHeight="1" x14ac:dyDescent="0.2"/>
    <row r="9149" ht="12.75" customHeight="1" x14ac:dyDescent="0.2"/>
    <row r="9150" ht="12.75" customHeight="1" x14ac:dyDescent="0.2"/>
    <row r="9151" ht="12.75" customHeight="1" x14ac:dyDescent="0.2"/>
    <row r="9152" ht="12.75" customHeight="1" x14ac:dyDescent="0.2"/>
    <row r="9153" ht="12.75" customHeight="1" x14ac:dyDescent="0.2"/>
    <row r="9154" ht="12.75" customHeight="1" x14ac:dyDescent="0.2"/>
    <row r="9155" ht="12.75" customHeight="1" x14ac:dyDescent="0.2"/>
    <row r="9156" ht="12.75" customHeight="1" x14ac:dyDescent="0.2"/>
    <row r="9157" ht="12.75" customHeight="1" x14ac:dyDescent="0.2"/>
    <row r="9158" ht="12.75" customHeight="1" x14ac:dyDescent="0.2"/>
    <row r="9159" ht="12.75" customHeight="1" x14ac:dyDescent="0.2"/>
    <row r="9160" ht="12.75" customHeight="1" x14ac:dyDescent="0.2"/>
    <row r="9161" ht="12.75" customHeight="1" x14ac:dyDescent="0.2"/>
    <row r="9162" ht="12.75" customHeight="1" x14ac:dyDescent="0.2"/>
    <row r="9163" ht="12.75" customHeight="1" x14ac:dyDescent="0.2"/>
    <row r="9164" ht="12.75" customHeight="1" x14ac:dyDescent="0.2"/>
    <row r="9165" ht="12.75" customHeight="1" x14ac:dyDescent="0.2"/>
    <row r="9166" ht="12.75" customHeight="1" x14ac:dyDescent="0.2"/>
    <row r="9167" ht="12.75" customHeight="1" x14ac:dyDescent="0.2"/>
    <row r="9168" ht="12.75" customHeight="1" x14ac:dyDescent="0.2"/>
    <row r="9169" ht="12.75" customHeight="1" x14ac:dyDescent="0.2"/>
    <row r="9170" ht="12.75" customHeight="1" x14ac:dyDescent="0.2"/>
    <row r="9171" ht="12.75" customHeight="1" x14ac:dyDescent="0.2"/>
    <row r="9172" ht="12.75" customHeight="1" x14ac:dyDescent="0.2"/>
    <row r="9173" ht="12.75" customHeight="1" x14ac:dyDescent="0.2"/>
    <row r="9174" ht="12.75" customHeight="1" x14ac:dyDescent="0.2"/>
    <row r="9175" ht="12.75" customHeight="1" x14ac:dyDescent="0.2"/>
    <row r="9176" ht="12.75" customHeight="1" x14ac:dyDescent="0.2"/>
    <row r="9177" ht="12.75" customHeight="1" x14ac:dyDescent="0.2"/>
    <row r="9178" ht="12.75" customHeight="1" x14ac:dyDescent="0.2"/>
    <row r="9179" ht="12.75" customHeight="1" x14ac:dyDescent="0.2"/>
    <row r="9180" ht="12.75" customHeight="1" x14ac:dyDescent="0.2"/>
    <row r="9181" ht="12.75" customHeight="1" x14ac:dyDescent="0.2"/>
    <row r="9182" ht="12.75" customHeight="1" x14ac:dyDescent="0.2"/>
    <row r="9183" ht="12.75" customHeight="1" x14ac:dyDescent="0.2"/>
    <row r="9184" ht="12.75" customHeight="1" x14ac:dyDescent="0.2"/>
    <row r="9185" ht="12.75" customHeight="1" x14ac:dyDescent="0.2"/>
    <row r="9186" ht="12.75" customHeight="1" x14ac:dyDescent="0.2"/>
    <row r="9187" ht="12.75" customHeight="1" x14ac:dyDescent="0.2"/>
    <row r="9188" ht="12.75" customHeight="1" x14ac:dyDescent="0.2"/>
    <row r="9189" ht="12.75" customHeight="1" x14ac:dyDescent="0.2"/>
    <row r="9190" ht="12.75" customHeight="1" x14ac:dyDescent="0.2"/>
    <row r="9191" ht="12.75" customHeight="1" x14ac:dyDescent="0.2"/>
    <row r="9192" ht="12.75" customHeight="1" x14ac:dyDescent="0.2"/>
    <row r="9193" ht="12.75" customHeight="1" x14ac:dyDescent="0.2"/>
    <row r="9194" ht="12.75" customHeight="1" x14ac:dyDescent="0.2"/>
    <row r="9195" ht="12.75" customHeight="1" x14ac:dyDescent="0.2"/>
    <row r="9196" ht="12.75" customHeight="1" x14ac:dyDescent="0.2"/>
    <row r="9197" ht="12.75" customHeight="1" x14ac:dyDescent="0.2"/>
    <row r="9198" ht="12.75" customHeight="1" x14ac:dyDescent="0.2"/>
    <row r="9199" ht="12.75" customHeight="1" x14ac:dyDescent="0.2"/>
    <row r="9200" ht="12.75" customHeight="1" x14ac:dyDescent="0.2"/>
    <row r="9201" ht="12.75" customHeight="1" x14ac:dyDescent="0.2"/>
    <row r="9202" ht="12.75" customHeight="1" x14ac:dyDescent="0.2"/>
    <row r="9203" ht="12.75" customHeight="1" x14ac:dyDescent="0.2"/>
    <row r="9204" ht="12.75" customHeight="1" x14ac:dyDescent="0.2"/>
    <row r="9205" ht="12.75" customHeight="1" x14ac:dyDescent="0.2"/>
    <row r="9206" ht="12.75" customHeight="1" x14ac:dyDescent="0.2"/>
    <row r="9207" ht="12.75" customHeight="1" x14ac:dyDescent="0.2"/>
    <row r="9208" ht="12.75" customHeight="1" x14ac:dyDescent="0.2"/>
    <row r="9209" ht="12.75" customHeight="1" x14ac:dyDescent="0.2"/>
    <row r="9210" ht="12.75" customHeight="1" x14ac:dyDescent="0.2"/>
    <row r="9211" ht="12.75" customHeight="1" x14ac:dyDescent="0.2"/>
    <row r="9212" ht="12.75" customHeight="1" x14ac:dyDescent="0.2"/>
    <row r="9213" ht="12.75" customHeight="1" x14ac:dyDescent="0.2"/>
    <row r="9214" ht="12.75" customHeight="1" x14ac:dyDescent="0.2"/>
    <row r="9215" ht="12.75" customHeight="1" x14ac:dyDescent="0.2"/>
    <row r="9216" ht="12.75" customHeight="1" x14ac:dyDescent="0.2"/>
    <row r="9217" ht="12.75" customHeight="1" x14ac:dyDescent="0.2"/>
    <row r="9218" ht="12.75" customHeight="1" x14ac:dyDescent="0.2"/>
    <row r="9219" ht="12.75" customHeight="1" x14ac:dyDescent="0.2"/>
    <row r="9220" ht="12.75" customHeight="1" x14ac:dyDescent="0.2"/>
    <row r="9221" ht="12.75" customHeight="1" x14ac:dyDescent="0.2"/>
    <row r="9222" ht="12.75" customHeight="1" x14ac:dyDescent="0.2"/>
    <row r="9223" ht="12.75" customHeight="1" x14ac:dyDescent="0.2"/>
    <row r="9224" ht="12.75" customHeight="1" x14ac:dyDescent="0.2"/>
    <row r="9225" ht="12.75" customHeight="1" x14ac:dyDescent="0.2"/>
    <row r="9226" ht="12.75" customHeight="1" x14ac:dyDescent="0.2"/>
    <row r="9227" ht="12.75" customHeight="1" x14ac:dyDescent="0.2"/>
    <row r="9228" ht="12.75" customHeight="1" x14ac:dyDescent="0.2"/>
    <row r="9229" ht="12.75" customHeight="1" x14ac:dyDescent="0.2"/>
    <row r="9230" ht="12.75" customHeight="1" x14ac:dyDescent="0.2"/>
    <row r="9231" ht="12.75" customHeight="1" x14ac:dyDescent="0.2"/>
    <row r="9232" ht="12.75" customHeight="1" x14ac:dyDescent="0.2"/>
    <row r="9233" ht="12.75" customHeight="1" x14ac:dyDescent="0.2"/>
    <row r="9234" ht="12.75" customHeight="1" x14ac:dyDescent="0.2"/>
    <row r="9235" ht="12.75" customHeight="1" x14ac:dyDescent="0.2"/>
    <row r="9236" ht="12.75" customHeight="1" x14ac:dyDescent="0.2"/>
    <row r="9237" ht="12.75" customHeight="1" x14ac:dyDescent="0.2"/>
    <row r="9238" ht="12.75" customHeight="1" x14ac:dyDescent="0.2"/>
    <row r="9239" ht="12.75" customHeight="1" x14ac:dyDescent="0.2"/>
    <row r="9240" ht="12.75" customHeight="1" x14ac:dyDescent="0.2"/>
    <row r="9241" ht="12.75" customHeight="1" x14ac:dyDescent="0.2"/>
    <row r="9242" ht="12.75" customHeight="1" x14ac:dyDescent="0.2"/>
    <row r="9243" ht="12.75" customHeight="1" x14ac:dyDescent="0.2"/>
    <row r="9244" ht="12.75" customHeight="1" x14ac:dyDescent="0.2"/>
    <row r="9245" ht="12.75" customHeight="1" x14ac:dyDescent="0.2"/>
    <row r="9246" ht="12.75" customHeight="1" x14ac:dyDescent="0.2"/>
    <row r="9247" ht="12.75" customHeight="1" x14ac:dyDescent="0.2"/>
    <row r="9248" ht="12.75" customHeight="1" x14ac:dyDescent="0.2"/>
    <row r="9249" ht="12.75" customHeight="1" x14ac:dyDescent="0.2"/>
    <row r="9250" ht="12.75" customHeight="1" x14ac:dyDescent="0.2"/>
    <row r="9251" ht="12.75" customHeight="1" x14ac:dyDescent="0.2"/>
    <row r="9252" ht="12.75" customHeight="1" x14ac:dyDescent="0.2"/>
    <row r="9253" ht="12.75" customHeight="1" x14ac:dyDescent="0.2"/>
    <row r="9254" ht="12.75" customHeight="1" x14ac:dyDescent="0.2"/>
    <row r="9255" ht="12.75" customHeight="1" x14ac:dyDescent="0.2"/>
    <row r="9256" ht="12.75" customHeight="1" x14ac:dyDescent="0.2"/>
    <row r="9257" ht="12.75" customHeight="1" x14ac:dyDescent="0.2"/>
    <row r="9258" ht="12.75" customHeight="1" x14ac:dyDescent="0.2"/>
    <row r="9259" ht="12.75" customHeight="1" x14ac:dyDescent="0.2"/>
    <row r="9260" ht="12.75" customHeight="1" x14ac:dyDescent="0.2"/>
    <row r="9261" ht="12.75" customHeight="1" x14ac:dyDescent="0.2"/>
    <row r="9262" ht="12.75" customHeight="1" x14ac:dyDescent="0.2"/>
    <row r="9263" ht="12.75" customHeight="1" x14ac:dyDescent="0.2"/>
    <row r="9264" ht="12.75" customHeight="1" x14ac:dyDescent="0.2"/>
    <row r="9265" ht="12.75" customHeight="1" x14ac:dyDescent="0.2"/>
    <row r="9266" ht="12.75" customHeight="1" x14ac:dyDescent="0.2"/>
    <row r="9267" ht="12.75" customHeight="1" x14ac:dyDescent="0.2"/>
    <row r="9268" ht="12.75" customHeight="1" x14ac:dyDescent="0.2"/>
    <row r="9269" ht="12.75" customHeight="1" x14ac:dyDescent="0.2"/>
    <row r="9270" ht="12.75" customHeight="1" x14ac:dyDescent="0.2"/>
    <row r="9271" ht="12.75" customHeight="1" x14ac:dyDescent="0.2"/>
    <row r="9272" ht="12.75" customHeight="1" x14ac:dyDescent="0.2"/>
    <row r="9273" ht="12.75" customHeight="1" x14ac:dyDescent="0.2"/>
    <row r="9274" ht="12.75" customHeight="1" x14ac:dyDescent="0.2"/>
    <row r="9275" ht="12.75" customHeight="1" x14ac:dyDescent="0.2"/>
    <row r="9276" ht="12.75" customHeight="1" x14ac:dyDescent="0.2"/>
    <row r="9277" ht="12.75" customHeight="1" x14ac:dyDescent="0.2"/>
    <row r="9278" ht="12.75" customHeight="1" x14ac:dyDescent="0.2"/>
    <row r="9279" ht="12.75" customHeight="1" x14ac:dyDescent="0.2"/>
    <row r="9280" ht="12.75" customHeight="1" x14ac:dyDescent="0.2"/>
    <row r="9281" ht="12.75" customHeight="1" x14ac:dyDescent="0.2"/>
    <row r="9282" ht="12.75" customHeight="1" x14ac:dyDescent="0.2"/>
    <row r="9283" ht="12.75" customHeight="1" x14ac:dyDescent="0.2"/>
    <row r="9284" ht="12.75" customHeight="1" x14ac:dyDescent="0.2"/>
    <row r="9285" ht="12.75" customHeight="1" x14ac:dyDescent="0.2"/>
    <row r="9286" ht="12.75" customHeight="1" x14ac:dyDescent="0.2"/>
    <row r="9287" ht="12.75" customHeight="1" x14ac:dyDescent="0.2"/>
    <row r="9288" ht="12.75" customHeight="1" x14ac:dyDescent="0.2"/>
    <row r="9289" ht="12.75" customHeight="1" x14ac:dyDescent="0.2"/>
    <row r="9290" ht="12.75" customHeight="1" x14ac:dyDescent="0.2"/>
    <row r="9291" ht="12.75" customHeight="1" x14ac:dyDescent="0.2"/>
    <row r="9292" ht="12.75" customHeight="1" x14ac:dyDescent="0.2"/>
    <row r="9293" ht="12.75" customHeight="1" x14ac:dyDescent="0.2"/>
    <row r="9294" ht="12.75" customHeight="1" x14ac:dyDescent="0.2"/>
    <row r="9295" ht="12.75" customHeight="1" x14ac:dyDescent="0.2"/>
    <row r="9296" ht="12.75" customHeight="1" x14ac:dyDescent="0.2"/>
    <row r="9297" ht="12.75" customHeight="1" x14ac:dyDescent="0.2"/>
    <row r="9298" ht="12.75" customHeight="1" x14ac:dyDescent="0.2"/>
    <row r="9299" ht="12.75" customHeight="1" x14ac:dyDescent="0.2"/>
    <row r="9300" ht="12.75" customHeight="1" x14ac:dyDescent="0.2"/>
    <row r="9301" ht="12.75" customHeight="1" x14ac:dyDescent="0.2"/>
    <row r="9302" ht="12.75" customHeight="1" x14ac:dyDescent="0.2"/>
    <row r="9303" ht="12.75" customHeight="1" x14ac:dyDescent="0.2"/>
    <row r="9304" ht="12.75" customHeight="1" x14ac:dyDescent="0.2"/>
    <row r="9305" ht="12.75" customHeight="1" x14ac:dyDescent="0.2"/>
    <row r="9306" ht="12.75" customHeight="1" x14ac:dyDescent="0.2"/>
    <row r="9307" ht="12.75" customHeight="1" x14ac:dyDescent="0.2"/>
    <row r="9308" ht="12.75" customHeight="1" x14ac:dyDescent="0.2"/>
    <row r="9309" ht="12.75" customHeight="1" x14ac:dyDescent="0.2"/>
    <row r="9310" ht="12.75" customHeight="1" x14ac:dyDescent="0.2"/>
    <row r="9311" ht="12.75" customHeight="1" x14ac:dyDescent="0.2"/>
    <row r="9312" ht="12.75" customHeight="1" x14ac:dyDescent="0.2"/>
    <row r="9313" ht="12.75" customHeight="1" x14ac:dyDescent="0.2"/>
    <row r="9314" ht="12.75" customHeight="1" x14ac:dyDescent="0.2"/>
    <row r="9315" ht="12.75" customHeight="1" x14ac:dyDescent="0.2"/>
    <row r="9316" ht="12.75" customHeight="1" x14ac:dyDescent="0.2"/>
    <row r="9317" ht="12.75" customHeight="1" x14ac:dyDescent="0.2"/>
    <row r="9318" ht="12.75" customHeight="1" x14ac:dyDescent="0.2"/>
    <row r="9319" ht="12.75" customHeight="1" x14ac:dyDescent="0.2"/>
    <row r="9320" ht="12.75" customHeight="1" x14ac:dyDescent="0.2"/>
    <row r="9321" ht="12.75" customHeight="1" x14ac:dyDescent="0.2"/>
    <row r="9322" ht="12.75" customHeight="1" x14ac:dyDescent="0.2"/>
    <row r="9323" ht="12.75" customHeight="1" x14ac:dyDescent="0.2"/>
    <row r="9324" ht="12.75" customHeight="1" x14ac:dyDescent="0.2"/>
    <row r="9325" ht="12.75" customHeight="1" x14ac:dyDescent="0.2"/>
    <row r="9326" ht="12.75" customHeight="1" x14ac:dyDescent="0.2"/>
    <row r="9327" ht="12.75" customHeight="1" x14ac:dyDescent="0.2"/>
    <row r="9328" ht="12.75" customHeight="1" x14ac:dyDescent="0.2"/>
    <row r="9329" ht="12.75" customHeight="1" x14ac:dyDescent="0.2"/>
    <row r="9330" ht="12.75" customHeight="1" x14ac:dyDescent="0.2"/>
    <row r="9331" ht="12.75" customHeight="1" x14ac:dyDescent="0.2"/>
    <row r="9332" ht="12.75" customHeight="1" x14ac:dyDescent="0.2"/>
    <row r="9333" ht="12.75" customHeight="1" x14ac:dyDescent="0.2"/>
    <row r="9334" ht="12.75" customHeight="1" x14ac:dyDescent="0.2"/>
    <row r="9335" ht="12.75" customHeight="1" x14ac:dyDescent="0.2"/>
    <row r="9336" ht="12.75" customHeight="1" x14ac:dyDescent="0.2"/>
    <row r="9337" ht="12.75" customHeight="1" x14ac:dyDescent="0.2"/>
    <row r="9338" ht="12.75" customHeight="1" x14ac:dyDescent="0.2"/>
    <row r="9339" ht="12.75" customHeight="1" x14ac:dyDescent="0.2"/>
    <row r="9340" ht="12.75" customHeight="1" x14ac:dyDescent="0.2"/>
    <row r="9341" ht="12.75" customHeight="1" x14ac:dyDescent="0.2"/>
    <row r="9342" ht="12.75" customHeight="1" x14ac:dyDescent="0.2"/>
    <row r="9343" ht="12.75" customHeight="1" x14ac:dyDescent="0.2"/>
    <row r="9344" ht="12.75" customHeight="1" x14ac:dyDescent="0.2"/>
    <row r="9345" ht="12.75" customHeight="1" x14ac:dyDescent="0.2"/>
    <row r="9346" ht="12.75" customHeight="1" x14ac:dyDescent="0.2"/>
    <row r="9347" ht="12.75" customHeight="1" x14ac:dyDescent="0.2"/>
    <row r="9348" ht="12.75" customHeight="1" x14ac:dyDescent="0.2"/>
    <row r="9349" ht="12.75" customHeight="1" x14ac:dyDescent="0.2"/>
    <row r="9350" ht="12.75" customHeight="1" x14ac:dyDescent="0.2"/>
    <row r="9351" ht="12.75" customHeight="1" x14ac:dyDescent="0.2"/>
    <row r="9352" ht="12.75" customHeight="1" x14ac:dyDescent="0.2"/>
    <row r="9353" ht="12.75" customHeight="1" x14ac:dyDescent="0.2"/>
    <row r="9354" ht="12.75" customHeight="1" x14ac:dyDescent="0.2"/>
    <row r="9355" ht="12.75" customHeight="1" x14ac:dyDescent="0.2"/>
    <row r="9356" ht="12.75" customHeight="1" x14ac:dyDescent="0.2"/>
    <row r="9357" ht="12.75" customHeight="1" x14ac:dyDescent="0.2"/>
    <row r="9358" ht="12.75" customHeight="1" x14ac:dyDescent="0.2"/>
    <row r="9359" ht="12.75" customHeight="1" x14ac:dyDescent="0.2"/>
    <row r="9360" ht="12.75" customHeight="1" x14ac:dyDescent="0.2"/>
    <row r="9361" ht="12.75" customHeight="1" x14ac:dyDescent="0.2"/>
    <row r="9362" ht="12.75" customHeight="1" x14ac:dyDescent="0.2"/>
    <row r="9363" ht="12.75" customHeight="1" x14ac:dyDescent="0.2"/>
    <row r="9364" ht="12.75" customHeight="1" x14ac:dyDescent="0.2"/>
    <row r="9365" ht="12.75" customHeight="1" x14ac:dyDescent="0.2"/>
    <row r="9366" ht="12.75" customHeight="1" x14ac:dyDescent="0.2"/>
    <row r="9367" ht="12.75" customHeight="1" x14ac:dyDescent="0.2"/>
    <row r="9368" ht="12.75" customHeight="1" x14ac:dyDescent="0.2"/>
    <row r="9369" ht="12.75" customHeight="1" x14ac:dyDescent="0.2"/>
    <row r="9370" ht="12.75" customHeight="1" x14ac:dyDescent="0.2"/>
    <row r="9371" ht="12.75" customHeight="1" x14ac:dyDescent="0.2"/>
    <row r="9372" ht="12.75" customHeight="1" x14ac:dyDescent="0.2"/>
    <row r="9373" ht="12.75" customHeight="1" x14ac:dyDescent="0.2"/>
    <row r="9374" ht="12.75" customHeight="1" x14ac:dyDescent="0.2"/>
    <row r="9375" ht="12.75" customHeight="1" x14ac:dyDescent="0.2"/>
    <row r="9376" ht="12.75" customHeight="1" x14ac:dyDescent="0.2"/>
    <row r="9377" ht="12.75" customHeight="1" x14ac:dyDescent="0.2"/>
    <row r="9378" ht="12.75" customHeight="1" x14ac:dyDescent="0.2"/>
    <row r="9379" ht="12.75" customHeight="1" x14ac:dyDescent="0.2"/>
    <row r="9380" ht="12.75" customHeight="1" x14ac:dyDescent="0.2"/>
    <row r="9381" ht="12.75" customHeight="1" x14ac:dyDescent="0.2"/>
    <row r="9382" ht="12.75" customHeight="1" x14ac:dyDescent="0.2"/>
    <row r="9383" ht="12.75" customHeight="1" x14ac:dyDescent="0.2"/>
    <row r="9384" ht="12.75" customHeight="1" x14ac:dyDescent="0.2"/>
    <row r="9385" ht="12.75" customHeight="1" x14ac:dyDescent="0.2"/>
    <row r="9386" ht="12.75" customHeight="1" x14ac:dyDescent="0.2"/>
    <row r="9387" ht="12.75" customHeight="1" x14ac:dyDescent="0.2"/>
    <row r="9388" ht="12.75" customHeight="1" x14ac:dyDescent="0.2"/>
    <row r="9389" ht="12.75" customHeight="1" x14ac:dyDescent="0.2"/>
    <row r="9390" ht="12.75" customHeight="1" x14ac:dyDescent="0.2"/>
    <row r="9391" ht="12.75" customHeight="1" x14ac:dyDescent="0.2"/>
    <row r="9392" ht="12.75" customHeight="1" x14ac:dyDescent="0.2"/>
    <row r="9393" ht="12.75" customHeight="1" x14ac:dyDescent="0.2"/>
    <row r="9394" ht="12.75" customHeight="1" x14ac:dyDescent="0.2"/>
    <row r="9395" ht="12.75" customHeight="1" x14ac:dyDescent="0.2"/>
    <row r="9396" ht="12.75" customHeight="1" x14ac:dyDescent="0.2"/>
    <row r="9397" ht="12.75" customHeight="1" x14ac:dyDescent="0.2"/>
    <row r="9398" ht="12.75" customHeight="1" x14ac:dyDescent="0.2"/>
    <row r="9399" ht="12.75" customHeight="1" x14ac:dyDescent="0.2"/>
    <row r="9400" ht="12.75" customHeight="1" x14ac:dyDescent="0.2"/>
    <row r="9401" ht="12.75" customHeight="1" x14ac:dyDescent="0.2"/>
    <row r="9402" ht="12.75" customHeight="1" x14ac:dyDescent="0.2"/>
    <row r="9403" ht="12.75" customHeight="1" x14ac:dyDescent="0.2"/>
    <row r="9404" ht="12.75" customHeight="1" x14ac:dyDescent="0.2"/>
    <row r="9405" ht="12.75" customHeight="1" x14ac:dyDescent="0.2"/>
    <row r="9406" ht="12.75" customHeight="1" x14ac:dyDescent="0.2"/>
    <row r="9407" ht="12.75" customHeight="1" x14ac:dyDescent="0.2"/>
    <row r="9408" ht="12.75" customHeight="1" x14ac:dyDescent="0.2"/>
    <row r="9409" ht="12.75" customHeight="1" x14ac:dyDescent="0.2"/>
    <row r="9410" ht="12.75" customHeight="1" x14ac:dyDescent="0.2"/>
    <row r="9411" ht="12.75" customHeight="1" x14ac:dyDescent="0.2"/>
    <row r="9412" ht="12.75" customHeight="1" x14ac:dyDescent="0.2"/>
    <row r="9413" ht="12.75" customHeight="1" x14ac:dyDescent="0.2"/>
    <row r="9414" ht="12.75" customHeight="1" x14ac:dyDescent="0.2"/>
    <row r="9415" ht="12.75" customHeight="1" x14ac:dyDescent="0.2"/>
    <row r="9416" ht="12.75" customHeight="1" x14ac:dyDescent="0.2"/>
    <row r="9417" ht="12.75" customHeight="1" x14ac:dyDescent="0.2"/>
    <row r="9418" ht="12.75" customHeight="1" x14ac:dyDescent="0.2"/>
    <row r="9419" ht="12.75" customHeight="1" x14ac:dyDescent="0.2"/>
    <row r="9420" ht="12.75" customHeight="1" x14ac:dyDescent="0.2"/>
    <row r="9421" ht="12.75" customHeight="1" x14ac:dyDescent="0.2"/>
    <row r="9422" ht="12.75" customHeight="1" x14ac:dyDescent="0.2"/>
    <row r="9423" ht="12.75" customHeight="1" x14ac:dyDescent="0.2"/>
    <row r="9424" ht="12.75" customHeight="1" x14ac:dyDescent="0.2"/>
    <row r="9425" ht="12.75" customHeight="1" x14ac:dyDescent="0.2"/>
    <row r="9426" ht="12.75" customHeight="1" x14ac:dyDescent="0.2"/>
    <row r="9427" ht="12.75" customHeight="1" x14ac:dyDescent="0.2"/>
    <row r="9428" ht="12.75" customHeight="1" x14ac:dyDescent="0.2"/>
    <row r="9429" ht="12.75" customHeight="1" x14ac:dyDescent="0.2"/>
    <row r="9430" ht="12.75" customHeight="1" x14ac:dyDescent="0.2"/>
    <row r="9431" ht="12.75" customHeight="1" x14ac:dyDescent="0.2"/>
    <row r="9432" ht="12.75" customHeight="1" x14ac:dyDescent="0.2"/>
    <row r="9433" ht="12.75" customHeight="1" x14ac:dyDescent="0.2"/>
    <row r="9434" ht="12.75" customHeight="1" x14ac:dyDescent="0.2"/>
    <row r="9435" ht="12.75" customHeight="1" x14ac:dyDescent="0.2"/>
    <row r="9436" ht="12.75" customHeight="1" x14ac:dyDescent="0.2"/>
    <row r="9437" ht="12.75" customHeight="1" x14ac:dyDescent="0.2"/>
    <row r="9438" ht="12.75" customHeight="1" x14ac:dyDescent="0.2"/>
    <row r="9439" ht="12.75" customHeight="1" x14ac:dyDescent="0.2"/>
    <row r="9440" ht="12.75" customHeight="1" x14ac:dyDescent="0.2"/>
    <row r="9441" ht="12.75" customHeight="1" x14ac:dyDescent="0.2"/>
    <row r="9442" ht="12.75" customHeight="1" x14ac:dyDescent="0.2"/>
    <row r="9443" ht="12.75" customHeight="1" x14ac:dyDescent="0.2"/>
    <row r="9444" ht="12.75" customHeight="1" x14ac:dyDescent="0.2"/>
    <row r="9445" ht="12.75" customHeight="1" x14ac:dyDescent="0.2"/>
    <row r="9446" ht="12.75" customHeight="1" x14ac:dyDescent="0.2"/>
    <row r="9447" ht="12.75" customHeight="1" x14ac:dyDescent="0.2"/>
    <row r="9448" ht="12.75" customHeight="1" x14ac:dyDescent="0.2"/>
    <row r="9449" ht="12.75" customHeight="1" x14ac:dyDescent="0.2"/>
    <row r="9450" ht="12.75" customHeight="1" x14ac:dyDescent="0.2"/>
    <row r="9451" ht="12.75" customHeight="1" x14ac:dyDescent="0.2"/>
    <row r="9452" ht="12.75" customHeight="1" x14ac:dyDescent="0.2"/>
    <row r="9453" ht="12.75" customHeight="1" x14ac:dyDescent="0.2"/>
    <row r="9454" ht="12.75" customHeight="1" x14ac:dyDescent="0.2"/>
    <row r="9455" ht="12.75" customHeight="1" x14ac:dyDescent="0.2"/>
    <row r="9456" ht="12.75" customHeight="1" x14ac:dyDescent="0.2"/>
    <row r="9457" ht="12.75" customHeight="1" x14ac:dyDescent="0.2"/>
    <row r="9458" ht="12.75" customHeight="1" x14ac:dyDescent="0.2"/>
    <row r="9459" ht="12.75" customHeight="1" x14ac:dyDescent="0.2"/>
    <row r="9460" ht="12.75" customHeight="1" x14ac:dyDescent="0.2"/>
    <row r="9461" ht="12.75" customHeight="1" x14ac:dyDescent="0.2"/>
    <row r="9462" ht="12.75" customHeight="1" x14ac:dyDescent="0.2"/>
    <row r="9463" ht="12.75" customHeight="1" x14ac:dyDescent="0.2"/>
    <row r="9464" ht="12.75" customHeight="1" x14ac:dyDescent="0.2"/>
    <row r="9465" ht="12.75" customHeight="1" x14ac:dyDescent="0.2"/>
    <row r="9466" ht="12.75" customHeight="1" x14ac:dyDescent="0.2"/>
    <row r="9467" ht="12.75" customHeight="1" x14ac:dyDescent="0.2"/>
    <row r="9468" ht="12.75" customHeight="1" x14ac:dyDescent="0.2"/>
    <row r="9469" ht="12.75" customHeight="1" x14ac:dyDescent="0.2"/>
    <row r="9470" ht="12.75" customHeight="1" x14ac:dyDescent="0.2"/>
    <row r="9471" ht="12.75" customHeight="1" x14ac:dyDescent="0.2"/>
    <row r="9472" ht="12.75" customHeight="1" x14ac:dyDescent="0.2"/>
    <row r="9473" ht="12.75" customHeight="1" x14ac:dyDescent="0.2"/>
    <row r="9474" ht="12.75" customHeight="1" x14ac:dyDescent="0.2"/>
    <row r="9475" ht="12.75" customHeight="1" x14ac:dyDescent="0.2"/>
    <row r="9476" ht="12.75" customHeight="1" x14ac:dyDescent="0.2"/>
    <row r="9477" ht="12.75" customHeight="1" x14ac:dyDescent="0.2"/>
    <row r="9478" ht="12.75" customHeight="1" x14ac:dyDescent="0.2"/>
    <row r="9479" ht="12.75" customHeight="1" x14ac:dyDescent="0.2"/>
    <row r="9480" ht="12.75" customHeight="1" x14ac:dyDescent="0.2"/>
    <row r="9481" ht="12.75" customHeight="1" x14ac:dyDescent="0.2"/>
    <row r="9482" ht="12.75" customHeight="1" x14ac:dyDescent="0.2"/>
    <row r="9483" ht="12.75" customHeight="1" x14ac:dyDescent="0.2"/>
    <row r="9484" ht="12.75" customHeight="1" x14ac:dyDescent="0.2"/>
    <row r="9485" ht="12.75" customHeight="1" x14ac:dyDescent="0.2"/>
    <row r="9486" ht="12.75" customHeight="1" x14ac:dyDescent="0.2"/>
    <row r="9487" ht="12.75" customHeight="1" x14ac:dyDescent="0.2"/>
    <row r="9488" ht="12.75" customHeight="1" x14ac:dyDescent="0.2"/>
    <row r="9489" ht="12.75" customHeight="1" x14ac:dyDescent="0.2"/>
    <row r="9490" ht="12.75" customHeight="1" x14ac:dyDescent="0.2"/>
    <row r="9491" ht="12.75" customHeight="1" x14ac:dyDescent="0.2"/>
    <row r="9492" ht="12.75" customHeight="1" x14ac:dyDescent="0.2"/>
    <row r="9493" ht="12.75" customHeight="1" x14ac:dyDescent="0.2"/>
    <row r="9494" ht="12.75" customHeight="1" x14ac:dyDescent="0.2"/>
    <row r="9495" ht="12.75" customHeight="1" x14ac:dyDescent="0.2"/>
    <row r="9496" ht="12.75" customHeight="1" x14ac:dyDescent="0.2"/>
    <row r="9497" ht="12.75" customHeight="1" x14ac:dyDescent="0.2"/>
    <row r="9498" ht="12.75" customHeight="1" x14ac:dyDescent="0.2"/>
    <row r="9499" ht="12.75" customHeight="1" x14ac:dyDescent="0.2"/>
    <row r="9500" ht="12.75" customHeight="1" x14ac:dyDescent="0.2"/>
    <row r="9501" ht="12.75" customHeight="1" x14ac:dyDescent="0.2"/>
    <row r="9502" ht="12.75" customHeight="1" x14ac:dyDescent="0.2"/>
    <row r="9503" ht="12.75" customHeight="1" x14ac:dyDescent="0.2"/>
    <row r="9504" ht="12.75" customHeight="1" x14ac:dyDescent="0.2"/>
    <row r="9505" ht="12.75" customHeight="1" x14ac:dyDescent="0.2"/>
    <row r="9506" ht="12.75" customHeight="1" x14ac:dyDescent="0.2"/>
    <row r="9507" ht="12.75" customHeight="1" x14ac:dyDescent="0.2"/>
    <row r="9508" ht="12.75" customHeight="1" x14ac:dyDescent="0.2"/>
    <row r="9509" ht="12.75" customHeight="1" x14ac:dyDescent="0.2"/>
    <row r="9510" ht="12.75" customHeight="1" x14ac:dyDescent="0.2"/>
    <row r="9511" ht="12.75" customHeight="1" x14ac:dyDescent="0.2"/>
    <row r="9512" ht="12.75" customHeight="1" x14ac:dyDescent="0.2"/>
    <row r="9513" ht="12.75" customHeight="1" x14ac:dyDescent="0.2"/>
    <row r="9514" ht="12.75" customHeight="1" x14ac:dyDescent="0.2"/>
    <row r="9515" ht="12.75" customHeight="1" x14ac:dyDescent="0.2"/>
    <row r="9516" ht="12.75" customHeight="1" x14ac:dyDescent="0.2"/>
    <row r="9517" ht="12.75" customHeight="1" x14ac:dyDescent="0.2"/>
    <row r="9518" ht="12.75" customHeight="1" x14ac:dyDescent="0.2"/>
    <row r="9519" ht="12.75" customHeight="1" x14ac:dyDescent="0.2"/>
    <row r="9520" ht="12.75" customHeight="1" x14ac:dyDescent="0.2"/>
    <row r="9521" ht="12.75" customHeight="1" x14ac:dyDescent="0.2"/>
    <row r="9522" ht="12.75" customHeight="1" x14ac:dyDescent="0.2"/>
    <row r="9523" ht="12.75" customHeight="1" x14ac:dyDescent="0.2"/>
    <row r="9524" ht="12.75" customHeight="1" x14ac:dyDescent="0.2"/>
    <row r="9525" ht="12.75" customHeight="1" x14ac:dyDescent="0.2"/>
    <row r="9526" ht="12.75" customHeight="1" x14ac:dyDescent="0.2"/>
    <row r="9527" ht="12.75" customHeight="1" x14ac:dyDescent="0.2"/>
    <row r="9528" ht="12.75" customHeight="1" x14ac:dyDescent="0.2"/>
    <row r="9529" ht="12.75" customHeight="1" x14ac:dyDescent="0.2"/>
    <row r="9530" ht="12.75" customHeight="1" x14ac:dyDescent="0.2"/>
    <row r="9531" ht="12.75" customHeight="1" x14ac:dyDescent="0.2"/>
    <row r="9532" ht="12.75" customHeight="1" x14ac:dyDescent="0.2"/>
    <row r="9533" ht="12.75" customHeight="1" x14ac:dyDescent="0.2"/>
    <row r="9534" ht="12.75" customHeight="1" x14ac:dyDescent="0.2"/>
    <row r="9535" ht="12.75" customHeight="1" x14ac:dyDescent="0.2"/>
    <row r="9536" ht="12.75" customHeight="1" x14ac:dyDescent="0.2"/>
    <row r="9537" ht="12.75" customHeight="1" x14ac:dyDescent="0.2"/>
    <row r="9538" ht="12.75" customHeight="1" x14ac:dyDescent="0.2"/>
    <row r="9539" ht="12.75" customHeight="1" x14ac:dyDescent="0.2"/>
    <row r="9540" ht="12.75" customHeight="1" x14ac:dyDescent="0.2"/>
    <row r="9541" ht="12.75" customHeight="1" x14ac:dyDescent="0.2"/>
    <row r="9542" ht="12.75" customHeight="1" x14ac:dyDescent="0.2"/>
    <row r="9543" ht="12.75" customHeight="1" x14ac:dyDescent="0.2"/>
    <row r="9544" ht="12.75" customHeight="1" x14ac:dyDescent="0.2"/>
    <row r="9545" ht="12.75" customHeight="1" x14ac:dyDescent="0.2"/>
    <row r="9546" ht="12.75" customHeight="1" x14ac:dyDescent="0.2"/>
    <row r="9547" ht="12.75" customHeight="1" x14ac:dyDescent="0.2"/>
    <row r="9548" ht="12.75" customHeight="1" x14ac:dyDescent="0.2"/>
    <row r="9549" ht="12.75" customHeight="1" x14ac:dyDescent="0.2"/>
    <row r="9550" ht="12.75" customHeight="1" x14ac:dyDescent="0.2"/>
    <row r="9551" ht="12.75" customHeight="1" x14ac:dyDescent="0.2"/>
    <row r="9552" ht="12.75" customHeight="1" x14ac:dyDescent="0.2"/>
    <row r="9553" ht="12.75" customHeight="1" x14ac:dyDescent="0.2"/>
    <row r="9554" ht="12.75" customHeight="1" x14ac:dyDescent="0.2"/>
    <row r="9555" ht="12.75" customHeight="1" x14ac:dyDescent="0.2"/>
    <row r="9556" ht="12.75" customHeight="1" x14ac:dyDescent="0.2"/>
    <row r="9557" ht="12.75" customHeight="1" x14ac:dyDescent="0.2"/>
    <row r="9558" ht="12.75" customHeight="1" x14ac:dyDescent="0.2"/>
    <row r="9559" ht="12.75" customHeight="1" x14ac:dyDescent="0.2"/>
    <row r="9560" ht="12.75" customHeight="1" x14ac:dyDescent="0.2"/>
    <row r="9561" ht="12.75" customHeight="1" x14ac:dyDescent="0.2"/>
    <row r="9562" ht="12.75" customHeight="1" x14ac:dyDescent="0.2"/>
    <row r="9563" ht="12.75" customHeight="1" x14ac:dyDescent="0.2"/>
    <row r="9564" ht="12.75" customHeight="1" x14ac:dyDescent="0.2"/>
    <row r="9565" ht="12.75" customHeight="1" x14ac:dyDescent="0.2"/>
    <row r="9566" ht="12.75" customHeight="1" x14ac:dyDescent="0.2"/>
    <row r="9567" ht="12.75" customHeight="1" x14ac:dyDescent="0.2"/>
    <row r="9568" ht="12.75" customHeight="1" x14ac:dyDescent="0.2"/>
    <row r="9569" ht="12.75" customHeight="1" x14ac:dyDescent="0.2"/>
    <row r="9570" ht="12.75" customHeight="1" x14ac:dyDescent="0.2"/>
    <row r="9571" ht="12.75" customHeight="1" x14ac:dyDescent="0.2"/>
    <row r="9572" ht="12.75" customHeight="1" x14ac:dyDescent="0.2"/>
    <row r="9573" ht="12.75" customHeight="1" x14ac:dyDescent="0.2"/>
    <row r="9574" ht="12.75" customHeight="1" x14ac:dyDescent="0.2"/>
    <row r="9575" ht="12.75" customHeight="1" x14ac:dyDescent="0.2"/>
    <row r="9576" ht="12.75" customHeight="1" x14ac:dyDescent="0.2"/>
    <row r="9577" ht="12.75" customHeight="1" x14ac:dyDescent="0.2"/>
    <row r="9578" ht="12.75" customHeight="1" x14ac:dyDescent="0.2"/>
    <row r="9579" ht="12.75" customHeight="1" x14ac:dyDescent="0.2"/>
    <row r="9580" ht="12.75" customHeight="1" x14ac:dyDescent="0.2"/>
    <row r="9581" ht="12.75" customHeight="1" x14ac:dyDescent="0.2"/>
    <row r="9582" ht="12.75" customHeight="1" x14ac:dyDescent="0.2"/>
    <row r="9583" ht="12.75" customHeight="1" x14ac:dyDescent="0.2"/>
    <row r="9584" ht="12.75" customHeight="1" x14ac:dyDescent="0.2"/>
    <row r="9585" ht="12.75" customHeight="1" x14ac:dyDescent="0.2"/>
    <row r="9586" ht="12.75" customHeight="1" x14ac:dyDescent="0.2"/>
    <row r="9587" ht="12.75" customHeight="1" x14ac:dyDescent="0.2"/>
    <row r="9588" ht="12.75" customHeight="1" x14ac:dyDescent="0.2"/>
    <row r="9589" ht="12.75" customHeight="1" x14ac:dyDescent="0.2"/>
    <row r="9590" ht="12.75" customHeight="1" x14ac:dyDescent="0.2"/>
    <row r="9591" ht="12.75" customHeight="1" x14ac:dyDescent="0.2"/>
    <row r="9592" ht="12.75" customHeight="1" x14ac:dyDescent="0.2"/>
    <row r="9593" ht="12.75" customHeight="1" x14ac:dyDescent="0.2"/>
    <row r="9594" ht="12.75" customHeight="1" x14ac:dyDescent="0.2"/>
    <row r="9595" ht="12.75" customHeight="1" x14ac:dyDescent="0.2"/>
    <row r="9596" ht="12.75" customHeight="1" x14ac:dyDescent="0.2"/>
    <row r="9597" ht="12.75" customHeight="1" x14ac:dyDescent="0.2"/>
    <row r="9598" ht="12.75" customHeight="1" x14ac:dyDescent="0.2"/>
    <row r="9599" ht="12.75" customHeight="1" x14ac:dyDescent="0.2"/>
    <row r="9600" ht="12.75" customHeight="1" x14ac:dyDescent="0.2"/>
    <row r="9601" ht="12.75" customHeight="1" x14ac:dyDescent="0.2"/>
    <row r="9602" ht="12.75" customHeight="1" x14ac:dyDescent="0.2"/>
    <row r="9603" ht="12.75" customHeight="1" x14ac:dyDescent="0.2"/>
    <row r="9604" ht="12.75" customHeight="1" x14ac:dyDescent="0.2"/>
    <row r="9605" ht="12.75" customHeight="1" x14ac:dyDescent="0.2"/>
    <row r="9606" ht="12.75" customHeight="1" x14ac:dyDescent="0.2"/>
    <row r="9607" ht="12.75" customHeight="1" x14ac:dyDescent="0.2"/>
    <row r="9608" ht="12.75" customHeight="1" x14ac:dyDescent="0.2"/>
    <row r="9609" ht="12.75" customHeight="1" x14ac:dyDescent="0.2"/>
    <row r="9610" ht="12.75" customHeight="1" x14ac:dyDescent="0.2"/>
    <row r="9611" ht="12.75" customHeight="1" x14ac:dyDescent="0.2"/>
    <row r="9612" ht="12.75" customHeight="1" x14ac:dyDescent="0.2"/>
    <row r="9613" ht="12.75" customHeight="1" x14ac:dyDescent="0.2"/>
    <row r="9614" ht="12.75" customHeight="1" x14ac:dyDescent="0.2"/>
    <row r="9615" ht="12.75" customHeight="1" x14ac:dyDescent="0.2"/>
    <row r="9616" ht="12.75" customHeight="1" x14ac:dyDescent="0.2"/>
    <row r="9617" ht="12.75" customHeight="1" x14ac:dyDescent="0.2"/>
    <row r="9618" ht="12.75" customHeight="1" x14ac:dyDescent="0.2"/>
    <row r="9619" ht="12.75" customHeight="1" x14ac:dyDescent="0.2"/>
    <row r="9620" ht="12.75" customHeight="1" x14ac:dyDescent="0.2"/>
    <row r="9621" ht="12.75" customHeight="1" x14ac:dyDescent="0.2"/>
    <row r="9622" ht="12.75" customHeight="1" x14ac:dyDescent="0.2"/>
    <row r="9623" ht="12.75" customHeight="1" x14ac:dyDescent="0.2"/>
    <row r="9624" ht="12.75" customHeight="1" x14ac:dyDescent="0.2"/>
    <row r="9625" ht="12.75" customHeight="1" x14ac:dyDescent="0.2"/>
    <row r="9626" ht="12.75" customHeight="1" x14ac:dyDescent="0.2"/>
    <row r="9627" ht="12.75" customHeight="1" x14ac:dyDescent="0.2"/>
    <row r="9628" ht="12.75" customHeight="1" x14ac:dyDescent="0.2"/>
    <row r="9629" ht="12.75" customHeight="1" x14ac:dyDescent="0.2"/>
    <row r="9630" ht="12.75" customHeight="1" x14ac:dyDescent="0.2"/>
    <row r="9631" ht="12.75" customHeight="1" x14ac:dyDescent="0.2"/>
    <row r="9632" ht="12.75" customHeight="1" x14ac:dyDescent="0.2"/>
    <row r="9633" ht="12.75" customHeight="1" x14ac:dyDescent="0.2"/>
    <row r="9634" ht="12.75" customHeight="1" x14ac:dyDescent="0.2"/>
    <row r="9635" ht="12.75" customHeight="1" x14ac:dyDescent="0.2"/>
    <row r="9636" ht="12.75" customHeight="1" x14ac:dyDescent="0.2"/>
    <row r="9637" ht="12.75" customHeight="1" x14ac:dyDescent="0.2"/>
    <row r="9638" ht="12.75" customHeight="1" x14ac:dyDescent="0.2"/>
    <row r="9639" ht="12.75" customHeight="1" x14ac:dyDescent="0.2"/>
    <row r="9640" ht="12.75" customHeight="1" x14ac:dyDescent="0.2"/>
    <row r="9641" ht="12.75" customHeight="1" x14ac:dyDescent="0.2"/>
    <row r="9642" ht="12.75" customHeight="1" x14ac:dyDescent="0.2"/>
    <row r="9643" ht="12.75" customHeight="1" x14ac:dyDescent="0.2"/>
    <row r="9644" ht="12.75" customHeight="1" x14ac:dyDescent="0.2"/>
    <row r="9645" ht="12.75" customHeight="1" x14ac:dyDescent="0.2"/>
    <row r="9646" ht="12.75" customHeight="1" x14ac:dyDescent="0.2"/>
    <row r="9647" ht="12.75" customHeight="1" x14ac:dyDescent="0.2"/>
    <row r="9648" ht="12.75" customHeight="1" x14ac:dyDescent="0.2"/>
    <row r="9649" ht="12.75" customHeight="1" x14ac:dyDescent="0.2"/>
    <row r="9650" ht="12.75" customHeight="1" x14ac:dyDescent="0.2"/>
    <row r="9651" ht="12.75" customHeight="1" x14ac:dyDescent="0.2"/>
    <row r="9652" ht="12.75" customHeight="1" x14ac:dyDescent="0.2"/>
    <row r="9653" ht="12.75" customHeight="1" x14ac:dyDescent="0.2"/>
    <row r="9654" ht="12.75" customHeight="1" x14ac:dyDescent="0.2"/>
    <row r="9655" ht="12.75" customHeight="1" x14ac:dyDescent="0.2"/>
    <row r="9656" ht="12.75" customHeight="1" x14ac:dyDescent="0.2"/>
    <row r="9657" ht="12.75" customHeight="1" x14ac:dyDescent="0.2"/>
    <row r="9658" ht="12.75" customHeight="1" x14ac:dyDescent="0.2"/>
    <row r="9659" ht="12.75" customHeight="1" x14ac:dyDescent="0.2"/>
    <row r="9660" ht="12.75" customHeight="1" x14ac:dyDescent="0.2"/>
    <row r="9661" ht="12.75" customHeight="1" x14ac:dyDescent="0.2"/>
    <row r="9662" ht="12.75" customHeight="1" x14ac:dyDescent="0.2"/>
    <row r="9663" ht="12.75" customHeight="1" x14ac:dyDescent="0.2"/>
    <row r="9664" ht="12.75" customHeight="1" x14ac:dyDescent="0.2"/>
    <row r="9665" ht="12.75" customHeight="1" x14ac:dyDescent="0.2"/>
    <row r="9666" ht="12.75" customHeight="1" x14ac:dyDescent="0.2"/>
    <row r="9667" ht="12.75" customHeight="1" x14ac:dyDescent="0.2"/>
    <row r="9668" ht="12.75" customHeight="1" x14ac:dyDescent="0.2"/>
    <row r="9669" ht="12.75" customHeight="1" x14ac:dyDescent="0.2"/>
    <row r="9670" ht="12.75" customHeight="1" x14ac:dyDescent="0.2"/>
    <row r="9671" ht="12.75" customHeight="1" x14ac:dyDescent="0.2"/>
    <row r="9672" ht="12.75" customHeight="1" x14ac:dyDescent="0.2"/>
    <row r="9673" ht="12.75" customHeight="1" x14ac:dyDescent="0.2"/>
    <row r="9674" ht="12.75" customHeight="1" x14ac:dyDescent="0.2"/>
    <row r="9675" ht="12.75" customHeight="1" x14ac:dyDescent="0.2"/>
    <row r="9676" ht="12.75" customHeight="1" x14ac:dyDescent="0.2"/>
    <row r="9677" ht="12.75" customHeight="1" x14ac:dyDescent="0.2"/>
    <row r="9678" ht="12.75" customHeight="1" x14ac:dyDescent="0.2"/>
    <row r="9679" ht="12.75" customHeight="1" x14ac:dyDescent="0.2"/>
    <row r="9680" ht="12.75" customHeight="1" x14ac:dyDescent="0.2"/>
    <row r="9681" ht="12.75" customHeight="1" x14ac:dyDescent="0.2"/>
    <row r="9682" ht="12.75" customHeight="1" x14ac:dyDescent="0.2"/>
    <row r="9683" ht="12.75" customHeight="1" x14ac:dyDescent="0.2"/>
    <row r="9684" ht="12.75" customHeight="1" x14ac:dyDescent="0.2"/>
    <row r="9685" ht="12.75" customHeight="1" x14ac:dyDescent="0.2"/>
    <row r="9686" ht="12.75" customHeight="1" x14ac:dyDescent="0.2"/>
    <row r="9687" ht="12.75" customHeight="1" x14ac:dyDescent="0.2"/>
    <row r="9688" ht="12.75" customHeight="1" x14ac:dyDescent="0.2"/>
    <row r="9689" ht="12.75" customHeight="1" x14ac:dyDescent="0.2"/>
    <row r="9690" ht="12.75" customHeight="1" x14ac:dyDescent="0.2"/>
    <row r="9691" ht="12.75" customHeight="1" x14ac:dyDescent="0.2"/>
    <row r="9692" ht="12.75" customHeight="1" x14ac:dyDescent="0.2"/>
    <row r="9693" ht="12.75" customHeight="1" x14ac:dyDescent="0.2"/>
    <row r="9694" ht="12.75" customHeight="1" x14ac:dyDescent="0.2"/>
    <row r="9695" ht="12.75" customHeight="1" x14ac:dyDescent="0.2"/>
    <row r="9696" ht="12.75" customHeight="1" x14ac:dyDescent="0.2"/>
    <row r="9697" ht="12.75" customHeight="1" x14ac:dyDescent="0.2"/>
    <row r="9698" ht="12.75" customHeight="1" x14ac:dyDescent="0.2"/>
    <row r="9699" ht="12.75" customHeight="1" x14ac:dyDescent="0.2"/>
    <row r="9700" ht="12.75" customHeight="1" x14ac:dyDescent="0.2"/>
    <row r="9701" ht="12.75" customHeight="1" x14ac:dyDescent="0.2"/>
    <row r="9702" ht="12.75" customHeight="1" x14ac:dyDescent="0.2"/>
    <row r="9703" ht="12.75" customHeight="1" x14ac:dyDescent="0.2"/>
    <row r="9704" ht="12.75" customHeight="1" x14ac:dyDescent="0.2"/>
    <row r="9705" ht="12.75" customHeight="1" x14ac:dyDescent="0.2"/>
    <row r="9706" ht="12.75" customHeight="1" x14ac:dyDescent="0.2"/>
    <row r="9707" ht="12.75" customHeight="1" x14ac:dyDescent="0.2"/>
    <row r="9708" ht="12.75" customHeight="1" x14ac:dyDescent="0.2"/>
    <row r="9709" ht="12.75" customHeight="1" x14ac:dyDescent="0.2"/>
    <row r="9710" ht="12.75" customHeight="1" x14ac:dyDescent="0.2"/>
    <row r="9711" ht="12.75" customHeight="1" x14ac:dyDescent="0.2"/>
    <row r="9712" ht="12.75" customHeight="1" x14ac:dyDescent="0.2"/>
    <row r="9713" ht="12.75" customHeight="1" x14ac:dyDescent="0.2"/>
    <row r="9714" ht="12.75" customHeight="1" x14ac:dyDescent="0.2"/>
    <row r="9715" ht="12.75" customHeight="1" x14ac:dyDescent="0.2"/>
    <row r="9716" ht="12.75" customHeight="1" x14ac:dyDescent="0.2"/>
    <row r="9717" ht="12.75" customHeight="1" x14ac:dyDescent="0.2"/>
    <row r="9718" ht="12.75" customHeight="1" x14ac:dyDescent="0.2"/>
    <row r="9719" ht="12.75" customHeight="1" x14ac:dyDescent="0.2"/>
    <row r="9720" ht="12.75" customHeight="1" x14ac:dyDescent="0.2"/>
    <row r="9721" ht="12.75" customHeight="1" x14ac:dyDescent="0.2"/>
    <row r="9722" ht="12.75" customHeight="1" x14ac:dyDescent="0.2"/>
    <row r="9723" ht="12.75" customHeight="1" x14ac:dyDescent="0.2"/>
    <row r="9724" ht="12.75" customHeight="1" x14ac:dyDescent="0.2"/>
    <row r="9725" ht="12.75" customHeight="1" x14ac:dyDescent="0.2"/>
    <row r="9726" ht="12.75" customHeight="1" x14ac:dyDescent="0.2"/>
    <row r="9727" ht="12.75" customHeight="1" x14ac:dyDescent="0.2"/>
    <row r="9728" ht="12.75" customHeight="1" x14ac:dyDescent="0.2"/>
    <row r="9729" ht="12.75" customHeight="1" x14ac:dyDescent="0.2"/>
    <row r="9730" ht="12.75" customHeight="1" x14ac:dyDescent="0.2"/>
    <row r="9731" ht="12.75" customHeight="1" x14ac:dyDescent="0.2"/>
    <row r="9732" ht="12.75" customHeight="1" x14ac:dyDescent="0.2"/>
    <row r="9733" ht="12.75" customHeight="1" x14ac:dyDescent="0.2"/>
    <row r="9734" ht="12.75" customHeight="1" x14ac:dyDescent="0.2"/>
    <row r="9735" ht="12.75" customHeight="1" x14ac:dyDescent="0.2"/>
    <row r="9736" ht="12.75" customHeight="1" x14ac:dyDescent="0.2"/>
    <row r="9737" ht="12.75" customHeight="1" x14ac:dyDescent="0.2"/>
    <row r="9738" ht="12.75" customHeight="1" x14ac:dyDescent="0.2"/>
    <row r="9739" ht="12.75" customHeight="1" x14ac:dyDescent="0.2"/>
    <row r="9740" ht="12.75" customHeight="1" x14ac:dyDescent="0.2"/>
    <row r="9741" ht="12.75" customHeight="1" x14ac:dyDescent="0.2"/>
    <row r="9742" ht="12.75" customHeight="1" x14ac:dyDescent="0.2"/>
    <row r="9743" ht="12.75" customHeight="1" x14ac:dyDescent="0.2"/>
    <row r="9744" ht="12.75" customHeight="1" x14ac:dyDescent="0.2"/>
    <row r="9745" ht="12.75" customHeight="1" x14ac:dyDescent="0.2"/>
    <row r="9746" ht="12.75" customHeight="1" x14ac:dyDescent="0.2"/>
    <row r="9747" ht="12.75" customHeight="1" x14ac:dyDescent="0.2"/>
    <row r="9748" ht="12.75" customHeight="1" x14ac:dyDescent="0.2"/>
    <row r="9749" ht="12.75" customHeight="1" x14ac:dyDescent="0.2"/>
    <row r="9750" ht="12.75" customHeight="1" x14ac:dyDescent="0.2"/>
    <row r="9751" ht="12.75" customHeight="1" x14ac:dyDescent="0.2"/>
    <row r="9752" ht="12.75" customHeight="1" x14ac:dyDescent="0.2"/>
    <row r="9753" ht="12.75" customHeight="1" x14ac:dyDescent="0.2"/>
    <row r="9754" ht="12.75" customHeight="1" x14ac:dyDescent="0.2"/>
    <row r="9755" ht="12.75" customHeight="1" x14ac:dyDescent="0.2"/>
    <row r="9756" ht="12.75" customHeight="1" x14ac:dyDescent="0.2"/>
    <row r="9757" ht="12.75" customHeight="1" x14ac:dyDescent="0.2"/>
    <row r="9758" ht="12.75" customHeight="1" x14ac:dyDescent="0.2"/>
    <row r="9759" ht="12.75" customHeight="1" x14ac:dyDescent="0.2"/>
    <row r="9760" ht="12.75" customHeight="1" x14ac:dyDescent="0.2"/>
    <row r="9761" ht="12.75" customHeight="1" x14ac:dyDescent="0.2"/>
    <row r="9762" ht="12.75" customHeight="1" x14ac:dyDescent="0.2"/>
    <row r="9763" ht="12.75" customHeight="1" x14ac:dyDescent="0.2"/>
    <row r="9764" ht="12.75" customHeight="1" x14ac:dyDescent="0.2"/>
    <row r="9765" ht="12.75" customHeight="1" x14ac:dyDescent="0.2"/>
    <row r="9766" ht="12.75" customHeight="1" x14ac:dyDescent="0.2"/>
    <row r="9767" ht="12.75" customHeight="1" x14ac:dyDescent="0.2"/>
    <row r="9768" ht="12.75" customHeight="1" x14ac:dyDescent="0.2"/>
    <row r="9769" ht="12.75" customHeight="1" x14ac:dyDescent="0.2"/>
    <row r="9770" ht="12.75" customHeight="1" x14ac:dyDescent="0.2"/>
    <row r="9771" ht="12.75" customHeight="1" x14ac:dyDescent="0.2"/>
    <row r="9772" ht="12.75" customHeight="1" x14ac:dyDescent="0.2"/>
    <row r="9773" ht="12.75" customHeight="1" x14ac:dyDescent="0.2"/>
    <row r="9774" ht="12.75" customHeight="1" x14ac:dyDescent="0.2"/>
    <row r="9775" ht="12.75" customHeight="1" x14ac:dyDescent="0.2"/>
    <row r="9776" ht="12.75" customHeight="1" x14ac:dyDescent="0.2"/>
    <row r="9777" ht="12.75" customHeight="1" x14ac:dyDescent="0.2"/>
    <row r="9778" ht="12.75" customHeight="1" x14ac:dyDescent="0.2"/>
    <row r="9779" ht="12.75" customHeight="1" x14ac:dyDescent="0.2"/>
    <row r="9780" ht="12.75" customHeight="1" x14ac:dyDescent="0.2"/>
    <row r="9781" ht="12.75" customHeight="1" x14ac:dyDescent="0.2"/>
    <row r="9782" ht="12.75" customHeight="1" x14ac:dyDescent="0.2"/>
    <row r="9783" ht="12.75" customHeight="1" x14ac:dyDescent="0.2"/>
    <row r="9784" ht="12.75" customHeight="1" x14ac:dyDescent="0.2"/>
    <row r="9785" ht="12.75" customHeight="1" x14ac:dyDescent="0.2"/>
    <row r="9786" ht="12.75" customHeight="1" x14ac:dyDescent="0.2"/>
    <row r="9787" ht="12.75" customHeight="1" x14ac:dyDescent="0.2"/>
    <row r="9788" ht="12.75" customHeight="1" x14ac:dyDescent="0.2"/>
    <row r="9789" ht="12.75" customHeight="1" x14ac:dyDescent="0.2"/>
    <row r="9790" ht="12.75" customHeight="1" x14ac:dyDescent="0.2"/>
    <row r="9791" ht="12.75" customHeight="1" x14ac:dyDescent="0.2"/>
    <row r="9792" ht="12.75" customHeight="1" x14ac:dyDescent="0.2"/>
    <row r="9793" ht="12.75" customHeight="1" x14ac:dyDescent="0.2"/>
    <row r="9794" ht="12.75" customHeight="1" x14ac:dyDescent="0.2"/>
    <row r="9795" ht="12.75" customHeight="1" x14ac:dyDescent="0.2"/>
    <row r="9796" ht="12.75" customHeight="1" x14ac:dyDescent="0.2"/>
    <row r="9797" ht="12.75" customHeight="1" x14ac:dyDescent="0.2"/>
    <row r="9798" ht="12.75" customHeight="1" x14ac:dyDescent="0.2"/>
    <row r="9799" ht="12.75" customHeight="1" x14ac:dyDescent="0.2"/>
    <row r="9800" ht="12.75" customHeight="1" x14ac:dyDescent="0.2"/>
    <row r="9801" ht="12.75" customHeight="1" x14ac:dyDescent="0.2"/>
    <row r="9802" ht="12.75" customHeight="1" x14ac:dyDescent="0.2"/>
    <row r="9803" ht="12.75" customHeight="1" x14ac:dyDescent="0.2"/>
    <row r="9804" ht="12.75" customHeight="1" x14ac:dyDescent="0.2"/>
    <row r="9805" ht="12.75" customHeight="1" x14ac:dyDescent="0.2"/>
    <row r="9806" ht="12.75" customHeight="1" x14ac:dyDescent="0.2"/>
    <row r="9807" ht="12.75" customHeight="1" x14ac:dyDescent="0.2"/>
    <row r="9808" ht="12.75" customHeight="1" x14ac:dyDescent="0.2"/>
    <row r="9809" ht="12.75" customHeight="1" x14ac:dyDescent="0.2"/>
    <row r="9810" ht="12.75" customHeight="1" x14ac:dyDescent="0.2"/>
    <row r="9811" ht="12.75" customHeight="1" x14ac:dyDescent="0.2"/>
    <row r="9812" ht="12.75" customHeight="1" x14ac:dyDescent="0.2"/>
    <row r="9813" ht="12.75" customHeight="1" x14ac:dyDescent="0.2"/>
    <row r="9814" ht="12.75" customHeight="1" x14ac:dyDescent="0.2"/>
    <row r="9815" ht="12.75" customHeight="1" x14ac:dyDescent="0.2"/>
    <row r="9816" ht="12.75" customHeight="1" x14ac:dyDescent="0.2"/>
    <row r="9817" ht="12.75" customHeight="1" x14ac:dyDescent="0.2"/>
    <row r="9818" ht="12.75" customHeight="1" x14ac:dyDescent="0.2"/>
    <row r="9819" ht="12.75" customHeight="1" x14ac:dyDescent="0.2"/>
    <row r="9820" ht="12.75" customHeight="1" x14ac:dyDescent="0.2"/>
    <row r="9821" ht="12.75" customHeight="1" x14ac:dyDescent="0.2"/>
    <row r="9822" ht="12.75" customHeight="1" x14ac:dyDescent="0.2"/>
    <row r="9823" ht="12.75" customHeight="1" x14ac:dyDescent="0.2"/>
    <row r="9824" ht="12.75" customHeight="1" x14ac:dyDescent="0.2"/>
    <row r="9825" ht="12.75" customHeight="1" x14ac:dyDescent="0.2"/>
    <row r="9826" ht="12.75" customHeight="1" x14ac:dyDescent="0.2"/>
    <row r="9827" ht="12.75" customHeight="1" x14ac:dyDescent="0.2"/>
    <row r="9828" ht="12.75" customHeight="1" x14ac:dyDescent="0.2"/>
    <row r="9829" ht="12.75" customHeight="1" x14ac:dyDescent="0.2"/>
    <row r="9830" ht="12.75" customHeight="1" x14ac:dyDescent="0.2"/>
    <row r="9831" ht="12.75" customHeight="1" x14ac:dyDescent="0.2"/>
    <row r="9832" ht="12.75" customHeight="1" x14ac:dyDescent="0.2"/>
    <row r="9833" ht="12.75" customHeight="1" x14ac:dyDescent="0.2"/>
    <row r="9834" ht="12.75" customHeight="1" x14ac:dyDescent="0.2"/>
    <row r="9835" ht="12.75" customHeight="1" x14ac:dyDescent="0.2"/>
    <row r="9836" ht="12.75" customHeight="1" x14ac:dyDescent="0.2"/>
    <row r="9837" ht="12.75" customHeight="1" x14ac:dyDescent="0.2"/>
    <row r="9838" ht="12.75" customHeight="1" x14ac:dyDescent="0.2"/>
    <row r="9839" ht="12.75" customHeight="1" x14ac:dyDescent="0.2"/>
    <row r="9840" ht="12.75" customHeight="1" x14ac:dyDescent="0.2"/>
    <row r="9841" ht="12.75" customHeight="1" x14ac:dyDescent="0.2"/>
    <row r="9842" ht="12.75" customHeight="1" x14ac:dyDescent="0.2"/>
    <row r="9843" ht="12.75" customHeight="1" x14ac:dyDescent="0.2"/>
    <row r="9844" ht="12.75" customHeight="1" x14ac:dyDescent="0.2"/>
    <row r="9845" ht="12.75" customHeight="1" x14ac:dyDescent="0.2"/>
    <row r="9846" ht="12.75" customHeight="1" x14ac:dyDescent="0.2"/>
    <row r="9847" ht="12.75" customHeight="1" x14ac:dyDescent="0.2"/>
    <row r="9848" ht="12.75" customHeight="1" x14ac:dyDescent="0.2"/>
    <row r="9849" ht="12.75" customHeight="1" x14ac:dyDescent="0.2"/>
    <row r="9850" ht="12.75" customHeight="1" x14ac:dyDescent="0.2"/>
    <row r="9851" ht="12.75" customHeight="1" x14ac:dyDescent="0.2"/>
    <row r="9852" ht="12.75" customHeight="1" x14ac:dyDescent="0.2"/>
    <row r="9853" ht="12.75" customHeight="1" x14ac:dyDescent="0.2"/>
    <row r="9854" ht="12.75" customHeight="1" x14ac:dyDescent="0.2"/>
    <row r="9855" ht="12.75" customHeight="1" x14ac:dyDescent="0.2"/>
    <row r="9856" ht="12.75" customHeight="1" x14ac:dyDescent="0.2"/>
    <row r="9857" ht="12.75" customHeight="1" x14ac:dyDescent="0.2"/>
    <row r="9858" ht="12.75" customHeight="1" x14ac:dyDescent="0.2"/>
    <row r="9859" ht="12.75" customHeight="1" x14ac:dyDescent="0.2"/>
    <row r="9860" ht="12.75" customHeight="1" x14ac:dyDescent="0.2"/>
    <row r="9861" ht="12.75" customHeight="1" x14ac:dyDescent="0.2"/>
    <row r="9862" ht="12.75" customHeight="1" x14ac:dyDescent="0.2"/>
    <row r="9863" ht="12.75" customHeight="1" x14ac:dyDescent="0.2"/>
    <row r="9864" ht="12.75" customHeight="1" x14ac:dyDescent="0.2"/>
    <row r="9865" ht="12.75" customHeight="1" x14ac:dyDescent="0.2"/>
    <row r="9866" ht="12.75" customHeight="1" x14ac:dyDescent="0.2"/>
    <row r="9867" ht="12.75" customHeight="1" x14ac:dyDescent="0.2"/>
    <row r="9868" ht="12.75" customHeight="1" x14ac:dyDescent="0.2"/>
    <row r="9869" ht="12.75" customHeight="1" x14ac:dyDescent="0.2"/>
    <row r="9870" ht="12.75" customHeight="1" x14ac:dyDescent="0.2"/>
    <row r="9871" ht="12.75" customHeight="1" x14ac:dyDescent="0.2"/>
    <row r="9872" ht="12.75" customHeight="1" x14ac:dyDescent="0.2"/>
    <row r="9873" ht="12.75" customHeight="1" x14ac:dyDescent="0.2"/>
    <row r="9874" ht="12.75" customHeight="1" x14ac:dyDescent="0.2"/>
    <row r="9875" ht="12.75" customHeight="1" x14ac:dyDescent="0.2"/>
    <row r="9876" ht="12.75" customHeight="1" x14ac:dyDescent="0.2"/>
    <row r="9877" ht="12.75" customHeight="1" x14ac:dyDescent="0.2"/>
    <row r="9878" ht="12.75" customHeight="1" x14ac:dyDescent="0.2"/>
    <row r="9879" ht="12.75" customHeight="1" x14ac:dyDescent="0.2"/>
    <row r="9880" ht="12.75" customHeight="1" x14ac:dyDescent="0.2"/>
    <row r="9881" ht="12.75" customHeight="1" x14ac:dyDescent="0.2"/>
    <row r="9882" ht="12.75" customHeight="1" x14ac:dyDescent="0.2"/>
    <row r="9883" ht="12.75" customHeight="1" x14ac:dyDescent="0.2"/>
    <row r="9884" ht="12.75" customHeight="1" x14ac:dyDescent="0.2"/>
    <row r="9885" ht="12.75" customHeight="1" x14ac:dyDescent="0.2"/>
    <row r="9886" ht="12.75" customHeight="1" x14ac:dyDescent="0.2"/>
    <row r="9887" ht="12.75" customHeight="1" x14ac:dyDescent="0.2"/>
    <row r="9888" ht="12.75" customHeight="1" x14ac:dyDescent="0.2"/>
    <row r="9889" ht="12.75" customHeight="1" x14ac:dyDescent="0.2"/>
    <row r="9890" ht="12.75" customHeight="1" x14ac:dyDescent="0.2"/>
    <row r="9891" ht="12.75" customHeight="1" x14ac:dyDescent="0.2"/>
    <row r="9892" ht="12.75" customHeight="1" x14ac:dyDescent="0.2"/>
    <row r="9893" ht="12.75" customHeight="1" x14ac:dyDescent="0.2"/>
    <row r="9894" ht="12.75" customHeight="1" x14ac:dyDescent="0.2"/>
    <row r="9895" ht="12.75" customHeight="1" x14ac:dyDescent="0.2"/>
    <row r="9896" ht="12.75" customHeight="1" x14ac:dyDescent="0.2"/>
    <row r="9897" ht="12.75" customHeight="1" x14ac:dyDescent="0.2"/>
    <row r="9898" ht="12.75" customHeight="1" x14ac:dyDescent="0.2"/>
    <row r="9899" ht="12.75" customHeight="1" x14ac:dyDescent="0.2"/>
    <row r="9900" ht="12.75" customHeight="1" x14ac:dyDescent="0.2"/>
    <row r="9901" ht="12.75" customHeight="1" x14ac:dyDescent="0.2"/>
    <row r="9902" ht="12.75" customHeight="1" x14ac:dyDescent="0.2"/>
    <row r="9903" ht="12.75" customHeight="1" x14ac:dyDescent="0.2"/>
    <row r="9904" ht="12.75" customHeight="1" x14ac:dyDescent="0.2"/>
    <row r="9905" ht="12.75" customHeight="1" x14ac:dyDescent="0.2"/>
    <row r="9906" ht="12.75" customHeight="1" x14ac:dyDescent="0.2"/>
    <row r="9907" ht="12.75" customHeight="1" x14ac:dyDescent="0.2"/>
    <row r="9908" ht="12.75" customHeight="1" x14ac:dyDescent="0.2"/>
    <row r="9909" ht="12.75" customHeight="1" x14ac:dyDescent="0.2"/>
    <row r="9910" ht="12.75" customHeight="1" x14ac:dyDescent="0.2"/>
    <row r="9911" ht="12.75" customHeight="1" x14ac:dyDescent="0.2"/>
    <row r="9912" ht="12.75" customHeight="1" x14ac:dyDescent="0.2"/>
    <row r="9913" ht="12.75" customHeight="1" x14ac:dyDescent="0.2"/>
    <row r="9914" ht="12.75" customHeight="1" x14ac:dyDescent="0.2"/>
    <row r="9915" ht="12.75" customHeight="1" x14ac:dyDescent="0.2"/>
    <row r="9916" ht="12.75" customHeight="1" x14ac:dyDescent="0.2"/>
    <row r="9917" ht="12.75" customHeight="1" x14ac:dyDescent="0.2"/>
    <row r="9918" ht="12.75" customHeight="1" x14ac:dyDescent="0.2"/>
    <row r="9919" ht="12.75" customHeight="1" x14ac:dyDescent="0.2"/>
    <row r="9920" ht="12.75" customHeight="1" x14ac:dyDescent="0.2"/>
    <row r="9921" ht="12.75" customHeight="1" x14ac:dyDescent="0.2"/>
    <row r="9922" ht="12.75" customHeight="1" x14ac:dyDescent="0.2"/>
    <row r="9923" ht="12.75" customHeight="1" x14ac:dyDescent="0.2"/>
    <row r="9924" ht="12.75" customHeight="1" x14ac:dyDescent="0.2"/>
    <row r="9925" ht="12.75" customHeight="1" x14ac:dyDescent="0.2"/>
    <row r="9926" ht="12.75" customHeight="1" x14ac:dyDescent="0.2"/>
    <row r="9927" ht="12.75" customHeight="1" x14ac:dyDescent="0.2"/>
    <row r="9928" ht="12.75" customHeight="1" x14ac:dyDescent="0.2"/>
    <row r="9929" ht="12.75" customHeight="1" x14ac:dyDescent="0.2"/>
    <row r="9930" ht="12.75" customHeight="1" x14ac:dyDescent="0.2"/>
    <row r="9931" ht="12.75" customHeight="1" x14ac:dyDescent="0.2"/>
    <row r="9932" ht="12.75" customHeight="1" x14ac:dyDescent="0.2"/>
    <row r="9933" ht="12.75" customHeight="1" x14ac:dyDescent="0.2"/>
    <row r="9934" ht="12.75" customHeight="1" x14ac:dyDescent="0.2"/>
    <row r="9935" ht="12.75" customHeight="1" x14ac:dyDescent="0.2"/>
    <row r="9936" ht="12.75" customHeight="1" x14ac:dyDescent="0.2"/>
    <row r="9937" ht="12.75" customHeight="1" x14ac:dyDescent="0.2"/>
    <row r="9938" ht="12.75" customHeight="1" x14ac:dyDescent="0.2"/>
    <row r="9939" ht="12.75" customHeight="1" x14ac:dyDescent="0.2"/>
    <row r="9940" ht="12.75" customHeight="1" x14ac:dyDescent="0.2"/>
    <row r="9941" ht="12.75" customHeight="1" x14ac:dyDescent="0.2"/>
    <row r="9942" ht="12.75" customHeight="1" x14ac:dyDescent="0.2"/>
    <row r="9943" ht="12.75" customHeight="1" x14ac:dyDescent="0.2"/>
    <row r="9944" ht="12.75" customHeight="1" x14ac:dyDescent="0.2"/>
    <row r="9945" ht="12.75" customHeight="1" x14ac:dyDescent="0.2"/>
    <row r="9946" ht="12.75" customHeight="1" x14ac:dyDescent="0.2"/>
    <row r="9947" ht="12.75" customHeight="1" x14ac:dyDescent="0.2"/>
    <row r="9948" ht="12.75" customHeight="1" x14ac:dyDescent="0.2"/>
    <row r="9949" ht="12.75" customHeight="1" x14ac:dyDescent="0.2"/>
    <row r="9950" ht="12.75" customHeight="1" x14ac:dyDescent="0.2"/>
    <row r="9951" ht="12.75" customHeight="1" x14ac:dyDescent="0.2"/>
    <row r="9952" ht="12.75" customHeight="1" x14ac:dyDescent="0.2"/>
    <row r="9953" ht="12.75" customHeight="1" x14ac:dyDescent="0.2"/>
    <row r="9954" ht="12.75" customHeight="1" x14ac:dyDescent="0.2"/>
    <row r="9955" ht="12.75" customHeight="1" x14ac:dyDescent="0.2"/>
    <row r="9956" ht="12.75" customHeight="1" x14ac:dyDescent="0.2"/>
    <row r="9957" ht="12.75" customHeight="1" x14ac:dyDescent="0.2"/>
    <row r="9958" ht="12.75" customHeight="1" x14ac:dyDescent="0.2"/>
    <row r="9959" ht="12.75" customHeight="1" x14ac:dyDescent="0.2"/>
    <row r="9960" ht="12.75" customHeight="1" x14ac:dyDescent="0.2"/>
    <row r="9961" ht="12.75" customHeight="1" x14ac:dyDescent="0.2"/>
    <row r="9962" ht="12.75" customHeight="1" x14ac:dyDescent="0.2"/>
    <row r="9963" ht="12.75" customHeight="1" x14ac:dyDescent="0.2"/>
    <row r="9964" ht="12.75" customHeight="1" x14ac:dyDescent="0.2"/>
    <row r="9965" ht="12.75" customHeight="1" x14ac:dyDescent="0.2"/>
    <row r="9966" ht="12.75" customHeight="1" x14ac:dyDescent="0.2"/>
    <row r="9967" ht="12.75" customHeight="1" x14ac:dyDescent="0.2"/>
    <row r="9968" ht="12.75" customHeight="1" x14ac:dyDescent="0.2"/>
    <row r="9969" ht="12.75" customHeight="1" x14ac:dyDescent="0.2"/>
    <row r="9970" ht="12.75" customHeight="1" x14ac:dyDescent="0.2"/>
    <row r="9971" ht="12.75" customHeight="1" x14ac:dyDescent="0.2"/>
    <row r="9972" ht="12.75" customHeight="1" x14ac:dyDescent="0.2"/>
    <row r="9973" ht="12.75" customHeight="1" x14ac:dyDescent="0.2"/>
    <row r="9974" ht="12.75" customHeight="1" x14ac:dyDescent="0.2"/>
    <row r="9975" ht="12.75" customHeight="1" x14ac:dyDescent="0.2"/>
    <row r="9976" ht="12.75" customHeight="1" x14ac:dyDescent="0.2"/>
    <row r="9977" ht="12.75" customHeight="1" x14ac:dyDescent="0.2"/>
    <row r="9978" ht="12.75" customHeight="1" x14ac:dyDescent="0.2"/>
    <row r="9979" ht="12.75" customHeight="1" x14ac:dyDescent="0.2"/>
    <row r="9980" ht="12.75" customHeight="1" x14ac:dyDescent="0.2"/>
    <row r="9981" ht="12.75" customHeight="1" x14ac:dyDescent="0.2"/>
    <row r="9982" ht="12.75" customHeight="1" x14ac:dyDescent="0.2"/>
    <row r="9983" ht="12.75" customHeight="1" x14ac:dyDescent="0.2"/>
    <row r="9984" ht="12.75" customHeight="1" x14ac:dyDescent="0.2"/>
    <row r="9985" ht="12.75" customHeight="1" x14ac:dyDescent="0.2"/>
    <row r="9986" ht="12.75" customHeight="1" x14ac:dyDescent="0.2"/>
    <row r="9987" ht="12.75" customHeight="1" x14ac:dyDescent="0.2"/>
    <row r="9988" ht="12.75" customHeight="1" x14ac:dyDescent="0.2"/>
    <row r="9989" ht="12.75" customHeight="1" x14ac:dyDescent="0.2"/>
    <row r="9990" ht="12.75" customHeight="1" x14ac:dyDescent="0.2"/>
    <row r="9991" ht="12.75" customHeight="1" x14ac:dyDescent="0.2"/>
    <row r="9992" ht="12.75" customHeight="1" x14ac:dyDescent="0.2"/>
    <row r="9993" ht="12.75" customHeight="1" x14ac:dyDescent="0.2"/>
    <row r="9994" ht="12.75" customHeight="1" x14ac:dyDescent="0.2"/>
    <row r="9995" ht="12.75" customHeight="1" x14ac:dyDescent="0.2"/>
    <row r="9996" ht="12.75" customHeight="1" x14ac:dyDescent="0.2"/>
    <row r="9997" ht="12.75" customHeight="1" x14ac:dyDescent="0.2"/>
    <row r="9998" ht="12.75" customHeight="1" x14ac:dyDescent="0.2"/>
    <row r="9999" ht="12.75" customHeight="1" x14ac:dyDescent="0.2"/>
    <row r="10000" ht="12.75" customHeight="1" x14ac:dyDescent="0.2"/>
    <row r="10001" ht="12.75" customHeight="1" x14ac:dyDescent="0.2"/>
    <row r="10002" ht="12.75" customHeight="1" x14ac:dyDescent="0.2"/>
    <row r="10003" ht="12.75" customHeight="1" x14ac:dyDescent="0.2"/>
    <row r="10004" ht="12.75" customHeight="1" x14ac:dyDescent="0.2"/>
    <row r="10005" ht="12.75" customHeight="1" x14ac:dyDescent="0.2"/>
    <row r="10006" ht="12.75" customHeight="1" x14ac:dyDescent="0.2"/>
    <row r="10007" ht="12.75" customHeight="1" x14ac:dyDescent="0.2"/>
    <row r="10008" ht="12.75" customHeight="1" x14ac:dyDescent="0.2"/>
    <row r="10009" ht="12.75" customHeight="1" x14ac:dyDescent="0.2"/>
    <row r="10010" ht="12.75" customHeight="1" x14ac:dyDescent="0.2"/>
    <row r="10011" ht="12.75" customHeight="1" x14ac:dyDescent="0.2"/>
    <row r="10012" ht="12.75" customHeight="1" x14ac:dyDescent="0.2"/>
    <row r="10013" ht="12.75" customHeight="1" x14ac:dyDescent="0.2"/>
    <row r="10014" ht="12.75" customHeight="1" x14ac:dyDescent="0.2"/>
    <row r="10015" ht="12.75" customHeight="1" x14ac:dyDescent="0.2"/>
    <row r="10016" ht="12.75" customHeight="1" x14ac:dyDescent="0.2"/>
    <row r="10017" ht="12.75" customHeight="1" x14ac:dyDescent="0.2"/>
    <row r="10018" ht="12.75" customHeight="1" x14ac:dyDescent="0.2"/>
    <row r="10019" ht="12.75" customHeight="1" x14ac:dyDescent="0.2"/>
    <row r="10020" ht="12.75" customHeight="1" x14ac:dyDescent="0.2"/>
    <row r="10021" ht="12.75" customHeight="1" x14ac:dyDescent="0.2"/>
    <row r="10022" ht="12.75" customHeight="1" x14ac:dyDescent="0.2"/>
    <row r="10023" ht="12.75" customHeight="1" x14ac:dyDescent="0.2"/>
    <row r="10024" ht="12.75" customHeight="1" x14ac:dyDescent="0.2"/>
    <row r="10025" ht="12.75" customHeight="1" x14ac:dyDescent="0.2"/>
    <row r="10026" ht="12.75" customHeight="1" x14ac:dyDescent="0.2"/>
    <row r="10027" ht="12.75" customHeight="1" x14ac:dyDescent="0.2"/>
    <row r="10028" ht="12.75" customHeight="1" x14ac:dyDescent="0.2"/>
    <row r="10029" ht="12.75" customHeight="1" x14ac:dyDescent="0.2"/>
    <row r="10030" ht="12.75" customHeight="1" x14ac:dyDescent="0.2"/>
    <row r="10031" ht="12.75" customHeight="1" x14ac:dyDescent="0.2"/>
    <row r="10032" ht="12.75" customHeight="1" x14ac:dyDescent="0.2"/>
    <row r="10033" ht="12.75" customHeight="1" x14ac:dyDescent="0.2"/>
    <row r="10034" ht="12.75" customHeight="1" x14ac:dyDescent="0.2"/>
    <row r="10035" ht="12.75" customHeight="1" x14ac:dyDescent="0.2"/>
    <row r="10036" ht="12.75" customHeight="1" x14ac:dyDescent="0.2"/>
    <row r="10037" ht="12.75" customHeight="1" x14ac:dyDescent="0.2"/>
    <row r="10038" ht="12.75" customHeight="1" x14ac:dyDescent="0.2"/>
    <row r="10039" ht="12.75" customHeight="1" x14ac:dyDescent="0.2"/>
    <row r="10040" ht="12.75" customHeight="1" x14ac:dyDescent="0.2"/>
    <row r="10041" ht="12.75" customHeight="1" x14ac:dyDescent="0.2"/>
    <row r="10042" ht="12.75" customHeight="1" x14ac:dyDescent="0.2"/>
    <row r="10043" ht="12.75" customHeight="1" x14ac:dyDescent="0.2"/>
    <row r="10044" ht="12.75" customHeight="1" x14ac:dyDescent="0.2"/>
    <row r="10045" ht="12.75" customHeight="1" x14ac:dyDescent="0.2"/>
    <row r="10046" ht="12.75" customHeight="1" x14ac:dyDescent="0.2"/>
    <row r="10047" ht="12.75" customHeight="1" x14ac:dyDescent="0.2"/>
    <row r="10048" ht="12.75" customHeight="1" x14ac:dyDescent="0.2"/>
    <row r="10049" ht="12.75" customHeight="1" x14ac:dyDescent="0.2"/>
    <row r="10050" ht="12.75" customHeight="1" x14ac:dyDescent="0.2"/>
    <row r="10051" ht="12.75" customHeight="1" x14ac:dyDescent="0.2"/>
    <row r="10052" ht="12.75" customHeight="1" x14ac:dyDescent="0.2"/>
    <row r="10053" ht="12.75" customHeight="1" x14ac:dyDescent="0.2"/>
    <row r="10054" ht="12.75" customHeight="1" x14ac:dyDescent="0.2"/>
    <row r="10055" ht="12.75" customHeight="1" x14ac:dyDescent="0.2"/>
    <row r="10056" ht="12.75" customHeight="1" x14ac:dyDescent="0.2"/>
    <row r="10057" ht="12.75" customHeight="1" x14ac:dyDescent="0.2"/>
    <row r="10058" ht="12.75" customHeight="1" x14ac:dyDescent="0.2"/>
    <row r="10059" ht="12.75" customHeight="1" x14ac:dyDescent="0.2"/>
    <row r="10060" ht="12.75" customHeight="1" x14ac:dyDescent="0.2"/>
    <row r="10061" ht="12.75" customHeight="1" x14ac:dyDescent="0.2"/>
    <row r="10062" ht="12.75" customHeight="1" x14ac:dyDescent="0.2"/>
    <row r="10063" ht="12.75" customHeight="1" x14ac:dyDescent="0.2"/>
    <row r="10064" ht="12.75" customHeight="1" x14ac:dyDescent="0.2"/>
    <row r="10065" ht="12.75" customHeight="1" x14ac:dyDescent="0.2"/>
    <row r="10066" ht="12.75" customHeight="1" x14ac:dyDescent="0.2"/>
    <row r="10067" ht="12.75" customHeight="1" x14ac:dyDescent="0.2"/>
    <row r="10068" ht="12.75" customHeight="1" x14ac:dyDescent="0.2"/>
    <row r="10069" ht="12.75" customHeight="1" x14ac:dyDescent="0.2"/>
    <row r="10070" ht="12.75" customHeight="1" x14ac:dyDescent="0.2"/>
    <row r="10071" ht="12.75" customHeight="1" x14ac:dyDescent="0.2"/>
    <row r="10072" ht="12.75" customHeight="1" x14ac:dyDescent="0.2"/>
    <row r="10073" ht="12.75" customHeight="1" x14ac:dyDescent="0.2"/>
    <row r="10074" ht="12.75" customHeight="1" x14ac:dyDescent="0.2"/>
    <row r="10075" ht="12.75" customHeight="1" x14ac:dyDescent="0.2"/>
    <row r="10076" ht="12.75" customHeight="1" x14ac:dyDescent="0.2"/>
    <row r="10077" ht="12.75" customHeight="1" x14ac:dyDescent="0.2"/>
    <row r="10078" ht="12.75" customHeight="1" x14ac:dyDescent="0.2"/>
    <row r="10079" ht="12.75" customHeight="1" x14ac:dyDescent="0.2"/>
    <row r="10080" ht="12.75" customHeight="1" x14ac:dyDescent="0.2"/>
    <row r="10081" ht="12.75" customHeight="1" x14ac:dyDescent="0.2"/>
    <row r="10082" ht="12.75" customHeight="1" x14ac:dyDescent="0.2"/>
    <row r="10083" ht="12.75" customHeight="1" x14ac:dyDescent="0.2"/>
    <row r="10084" ht="12.75" customHeight="1" x14ac:dyDescent="0.2"/>
    <row r="10085" ht="12.75" customHeight="1" x14ac:dyDescent="0.2"/>
    <row r="10086" ht="12.75" customHeight="1" x14ac:dyDescent="0.2"/>
    <row r="10087" ht="12.75" customHeight="1" x14ac:dyDescent="0.2"/>
    <row r="10088" ht="12.75" customHeight="1" x14ac:dyDescent="0.2"/>
    <row r="10089" ht="12.75" customHeight="1" x14ac:dyDescent="0.2"/>
    <row r="10090" ht="12.75" customHeight="1" x14ac:dyDescent="0.2"/>
    <row r="10091" ht="12.75" customHeight="1" x14ac:dyDescent="0.2"/>
    <row r="10092" ht="12.75" customHeight="1" x14ac:dyDescent="0.2"/>
    <row r="10093" ht="12.75" customHeight="1" x14ac:dyDescent="0.2"/>
    <row r="10094" ht="12.75" customHeight="1" x14ac:dyDescent="0.2"/>
    <row r="10095" ht="12.75" customHeight="1" x14ac:dyDescent="0.2"/>
    <row r="10096" ht="12.75" customHeight="1" x14ac:dyDescent="0.2"/>
    <row r="10097" ht="12.75" customHeight="1" x14ac:dyDescent="0.2"/>
    <row r="10098" ht="12.75" customHeight="1" x14ac:dyDescent="0.2"/>
    <row r="10099" ht="12.75" customHeight="1" x14ac:dyDescent="0.2"/>
    <row r="10100" ht="12.75" customHeight="1" x14ac:dyDescent="0.2"/>
    <row r="10101" ht="12.75" customHeight="1" x14ac:dyDescent="0.2"/>
    <row r="10102" ht="12.75" customHeight="1" x14ac:dyDescent="0.2"/>
    <row r="10103" ht="12.75" customHeight="1" x14ac:dyDescent="0.2"/>
    <row r="10104" ht="12.75" customHeight="1" x14ac:dyDescent="0.2"/>
    <row r="10105" ht="12.75" customHeight="1" x14ac:dyDescent="0.2"/>
    <row r="10106" ht="12.75" customHeight="1" x14ac:dyDescent="0.2"/>
    <row r="10107" ht="12.75" customHeight="1" x14ac:dyDescent="0.2"/>
    <row r="10108" ht="12.75" customHeight="1" x14ac:dyDescent="0.2"/>
    <row r="10109" ht="12.75" customHeight="1" x14ac:dyDescent="0.2"/>
    <row r="10110" ht="12.75" customHeight="1" x14ac:dyDescent="0.2"/>
    <row r="10111" ht="12.75" customHeight="1" x14ac:dyDescent="0.2"/>
    <row r="10112" ht="12.75" customHeight="1" x14ac:dyDescent="0.2"/>
    <row r="10113" ht="12.75" customHeight="1" x14ac:dyDescent="0.2"/>
    <row r="10114" ht="12.75" customHeight="1" x14ac:dyDescent="0.2"/>
    <row r="10115" ht="12.75" customHeight="1" x14ac:dyDescent="0.2"/>
    <row r="10116" ht="12.75" customHeight="1" x14ac:dyDescent="0.2"/>
    <row r="10117" ht="12.75" customHeight="1" x14ac:dyDescent="0.2"/>
    <row r="10118" ht="12.75" customHeight="1" x14ac:dyDescent="0.2"/>
    <row r="10119" ht="12.75" customHeight="1" x14ac:dyDescent="0.2"/>
    <row r="10120" ht="12.75" customHeight="1" x14ac:dyDescent="0.2"/>
    <row r="10121" ht="12.75" customHeight="1" x14ac:dyDescent="0.2"/>
    <row r="10122" ht="12.75" customHeight="1" x14ac:dyDescent="0.2"/>
    <row r="10123" ht="12.75" customHeight="1" x14ac:dyDescent="0.2"/>
    <row r="10124" ht="12.75" customHeight="1" x14ac:dyDescent="0.2"/>
    <row r="10125" ht="12.75" customHeight="1" x14ac:dyDescent="0.2"/>
    <row r="10126" ht="12.75" customHeight="1" x14ac:dyDescent="0.2"/>
    <row r="10127" ht="12.75" customHeight="1" x14ac:dyDescent="0.2"/>
    <row r="10128" ht="12.75" customHeight="1" x14ac:dyDescent="0.2"/>
    <row r="10129" spans="1:2" ht="12.75" customHeight="1" x14ac:dyDescent="0.2"/>
    <row r="10130" spans="1:2" ht="12.75" customHeight="1" x14ac:dyDescent="0.2"/>
    <row r="10131" spans="1:2" ht="12.75" customHeight="1" x14ac:dyDescent="0.2"/>
    <row r="10132" spans="1:2" ht="12.75" customHeight="1" x14ac:dyDescent="0.2"/>
    <row r="10133" spans="1:2" ht="12.75" customHeight="1" x14ac:dyDescent="0.2"/>
    <row r="10134" spans="1:2" ht="12.75" customHeight="1" x14ac:dyDescent="0.2"/>
    <row r="10135" spans="1:2" ht="12.75" customHeight="1" x14ac:dyDescent="0.2">
      <c r="B10135" s="14"/>
    </row>
    <row r="10136" spans="1:2" ht="12.75" customHeight="1" x14ac:dyDescent="0.2"/>
    <row r="10137" spans="1:2" ht="12.75" customHeight="1" x14ac:dyDescent="0.2">
      <c r="A10137" s="14" t="b">
        <v>0</v>
      </c>
    </row>
    <row r="10138" spans="1:2" ht="12.75" customHeight="1" x14ac:dyDescent="0.2"/>
    <row r="10139" spans="1:2" ht="12.75" customHeight="1" x14ac:dyDescent="0.2"/>
    <row r="10140" spans="1:2" ht="12.75" customHeight="1" x14ac:dyDescent="0.2"/>
    <row r="10141" spans="1:2" ht="12.75" customHeight="1" x14ac:dyDescent="0.2"/>
    <row r="10142" spans="1:2" ht="12.75" customHeight="1" x14ac:dyDescent="0.2"/>
    <row r="10143" spans="1:2" ht="12.75" customHeight="1" x14ac:dyDescent="0.2"/>
    <row r="10144" spans="1:2" ht="12.75" customHeight="1" x14ac:dyDescent="0.2"/>
    <row r="10145" spans="2:2" ht="12.75" customHeight="1" x14ac:dyDescent="0.2">
      <c r="B10145" s="14" t="b">
        <v>1</v>
      </c>
    </row>
    <row r="10146" spans="2:2" ht="12.75" customHeight="1" x14ac:dyDescent="0.2"/>
    <row r="10147" spans="2:2" ht="12.75" customHeight="1" x14ac:dyDescent="0.2"/>
    <row r="10148" spans="2:2" ht="12.75" customHeight="1" x14ac:dyDescent="0.2"/>
    <row r="10149" spans="2:2" ht="12.75" customHeight="1" x14ac:dyDescent="0.2"/>
    <row r="10150" spans="2:2" ht="12.75" customHeight="1" x14ac:dyDescent="0.2"/>
    <row r="10151" spans="2:2" ht="12.75" customHeight="1" x14ac:dyDescent="0.2"/>
    <row r="10152" spans="2:2" ht="12.75" customHeight="1" x14ac:dyDescent="0.2"/>
    <row r="10153" spans="2:2" ht="12.75" customHeight="1" x14ac:dyDescent="0.2"/>
    <row r="10154" spans="2:2" ht="12.75" customHeight="1" x14ac:dyDescent="0.2"/>
    <row r="10155" spans="2:2" ht="12.75" customHeight="1" x14ac:dyDescent="0.2"/>
    <row r="10156" spans="2:2" ht="12.75" customHeight="1" x14ac:dyDescent="0.2"/>
    <row r="10157" spans="2:2" ht="12.75" customHeight="1" x14ac:dyDescent="0.2"/>
    <row r="10158" spans="2:2" ht="12.75" customHeight="1" x14ac:dyDescent="0.2"/>
    <row r="10159" spans="2:2" ht="12.75" customHeight="1" x14ac:dyDescent="0.2"/>
    <row r="10160" spans="2:2" ht="12.75" customHeight="1" x14ac:dyDescent="0.2"/>
  </sheetData>
  <sheetProtection formatColumns="0" formatRows="0"/>
  <mergeCells count="4">
    <mergeCell ref="B1:M1"/>
    <mergeCell ref="B2:M2"/>
    <mergeCell ref="A9:A16"/>
    <mergeCell ref="A23:A244"/>
  </mergeCells>
  <phoneticPr fontId="21" type="noConversion"/>
  <printOptions horizontalCentered="1"/>
  <pageMargins left="0" right="0" top="0" bottom="0" header="0" footer="0"/>
  <pageSetup scale="60" orientation="landscape" r:id="rId1"/>
  <headerFooter alignWithMargins="0">
    <oddFooter>&amp;L&amp;D &amp;T&amp;C&amp;Z&amp;F&amp;R&amp;P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10160"/>
  <sheetViews>
    <sheetView showGridLines="0" zoomScaleNormal="100" workbookViewId="0">
      <pane xSplit="3" ySplit="9" topLeftCell="D10" activePane="bottomRight" state="frozen"/>
      <selection sqref="A1:L1"/>
      <selection pane="topRight" sqref="A1:L1"/>
      <selection pane="bottomLeft" sqref="A1:L1"/>
      <selection pane="bottomRight" activeCell="D10" sqref="D10"/>
    </sheetView>
  </sheetViews>
  <sheetFormatPr defaultRowHeight="12.75" x14ac:dyDescent="0.2"/>
  <cols>
    <col min="1" max="1" width="3.7109375" customWidth="1"/>
    <col min="2" max="2" width="8.7109375" customWidth="1"/>
    <col min="3" max="3" width="41.7109375" style="20" bestFit="1" customWidth="1"/>
    <col min="4" max="4" width="15.140625" bestFit="1" customWidth="1"/>
    <col min="5" max="6" width="10.28515625" bestFit="1" customWidth="1"/>
    <col min="7" max="7" width="12.140625" bestFit="1" customWidth="1"/>
    <col min="8" max="15" width="12.85546875" bestFit="1" customWidth="1"/>
    <col min="16" max="16" width="13.5703125" bestFit="1" customWidth="1"/>
  </cols>
  <sheetData>
    <row r="1" spans="1:16" ht="18" customHeight="1" x14ac:dyDescent="0.25">
      <c r="B1" s="241" t="str">
        <f>Assumptions!D5&amp;" - Reserve &amp; Special Assessment Analysis Option 3"</f>
        <v>Dana Point - Reserve &amp; Special Assessment Analysis Option 3</v>
      </c>
      <c r="C1" s="241"/>
      <c r="D1" s="241"/>
      <c r="E1" s="241"/>
      <c r="F1" s="241"/>
      <c r="G1" s="241"/>
      <c r="H1" s="241"/>
      <c r="I1" s="241"/>
      <c r="J1" s="241"/>
      <c r="K1" s="241"/>
      <c r="L1" s="241"/>
      <c r="M1" s="241"/>
      <c r="N1" s="155"/>
      <c r="O1" s="155"/>
    </row>
    <row r="2" spans="1:16" ht="18" customHeight="1" x14ac:dyDescent="0.25">
      <c r="B2" s="241" t="str">
        <f>+Assumptions!D7&amp;" Reserve Study 10-Year Projection"</f>
        <v>2013 Reserve Study 10-Year Projection</v>
      </c>
      <c r="C2" s="241"/>
      <c r="D2" s="241"/>
      <c r="E2" s="241"/>
      <c r="F2" s="241"/>
      <c r="G2" s="241"/>
      <c r="H2" s="241"/>
      <c r="I2" s="241"/>
      <c r="J2" s="241"/>
      <c r="K2" s="241"/>
      <c r="L2" s="241"/>
      <c r="M2" s="241"/>
      <c r="N2" s="155"/>
      <c r="O2" s="155"/>
    </row>
    <row r="3" spans="1:16" ht="12.75" customHeight="1" x14ac:dyDescent="0.2"/>
    <row r="4" spans="1:16" ht="12.75" customHeight="1" x14ac:dyDescent="0.2">
      <c r="C4" s="20" t="s">
        <v>8</v>
      </c>
      <c r="D4" s="39">
        <f>Assumptions!D21</f>
        <v>1000000</v>
      </c>
    </row>
    <row r="5" spans="1:16" ht="12.75" hidden="1" customHeight="1" x14ac:dyDescent="0.2">
      <c r="D5" s="20"/>
      <c r="E5">
        <f>IF(YEAR(Assumptions!$D8)&lt;YEAR(Assumptions!D22),0,1)</f>
        <v>0</v>
      </c>
      <c r="F5">
        <f>+E5+1</f>
        <v>1</v>
      </c>
      <c r="G5">
        <f t="shared" ref="G5:M9" si="0">+F5+1</f>
        <v>2</v>
      </c>
      <c r="H5">
        <f t="shared" si="0"/>
        <v>3</v>
      </c>
      <c r="I5">
        <f t="shared" si="0"/>
        <v>4</v>
      </c>
      <c r="J5">
        <f t="shared" si="0"/>
        <v>5</v>
      </c>
      <c r="K5">
        <f t="shared" si="0"/>
        <v>6</v>
      </c>
      <c r="L5">
        <f t="shared" si="0"/>
        <v>7</v>
      </c>
      <c r="M5">
        <f t="shared" si="0"/>
        <v>8</v>
      </c>
      <c r="N5">
        <f t="shared" ref="N5:N9" si="1">+M5+1</f>
        <v>9</v>
      </c>
      <c r="O5">
        <f t="shared" ref="O5:O9" si="2">+N5+1</f>
        <v>10</v>
      </c>
    </row>
    <row r="6" spans="1:16" ht="12.75" hidden="1" customHeight="1" x14ac:dyDescent="0.2">
      <c r="D6" s="20">
        <f>IF(YEAR(Assumptions!D22)&gt;LEFT(D9,4)*1,0,1)</f>
        <v>0</v>
      </c>
      <c r="E6">
        <f>+D7+1</f>
        <v>1</v>
      </c>
      <c r="F6">
        <f t="shared" ref="F6:O6" si="3">+E7+1</f>
        <v>13</v>
      </c>
      <c r="G6">
        <f t="shared" si="3"/>
        <v>25</v>
      </c>
      <c r="H6">
        <f t="shared" si="3"/>
        <v>37</v>
      </c>
      <c r="I6">
        <f t="shared" si="3"/>
        <v>49</v>
      </c>
      <c r="J6">
        <f t="shared" si="3"/>
        <v>61</v>
      </c>
      <c r="K6">
        <f t="shared" si="3"/>
        <v>73</v>
      </c>
      <c r="L6">
        <f t="shared" si="3"/>
        <v>85</v>
      </c>
      <c r="M6">
        <f t="shared" si="3"/>
        <v>97</v>
      </c>
      <c r="N6">
        <f t="shared" si="3"/>
        <v>109</v>
      </c>
      <c r="O6">
        <f t="shared" si="3"/>
        <v>121</v>
      </c>
    </row>
    <row r="7" spans="1:16" ht="12.75" hidden="1" customHeight="1" x14ac:dyDescent="0.2">
      <c r="D7" s="20">
        <f>IF(D6=0,0,ROUND(((IF(YEAR(Assumptions!D8)&lt;YEAR(Assumptions!D22),(Assumptions!D8+365)-Assumptions!D22,Assumptions!D8-Assumptions!D22))/30),0))</f>
        <v>0</v>
      </c>
      <c r="E7">
        <f>IF(D7=0,ROUND(((IF(YEAR(Assumptions!D8)&lt;YEAR(Assumptions!D22),(Assumptions!D8+365)-Assumptions!D22,Assumptions!D8-Assumptions!D22))/30),0),IF(Assumptions!$D$24*12&gt;D7+12,D7+12,Assumptions!$D$24*12))</f>
        <v>12</v>
      </c>
      <c r="F7">
        <f>IF(Assumptions!$D$24*12&gt;E7+12,E7+12,Assumptions!$D$24*12)</f>
        <v>24</v>
      </c>
      <c r="G7">
        <f>IF(Assumptions!$D$24*12&gt;F7+12,F7+12,Assumptions!$D$24*12)</f>
        <v>36</v>
      </c>
      <c r="H7">
        <f>IF(Assumptions!$D$24*12&gt;G7+12,G7+12,Assumptions!$D$24*12)</f>
        <v>48</v>
      </c>
      <c r="I7">
        <f>IF(Assumptions!$D$24*12&gt;H7+12,H7+12,Assumptions!$D$24*12)</f>
        <v>60</v>
      </c>
      <c r="J7">
        <f>IF(Assumptions!$D$24*12&gt;I7+12,I7+12,Assumptions!$D$24*12)</f>
        <v>72</v>
      </c>
      <c r="K7">
        <f>IF(Assumptions!$D$24*12&gt;J7+12,J7+12,Assumptions!$D$24*12)</f>
        <v>84</v>
      </c>
      <c r="L7">
        <f>IF(Assumptions!$D$24*12&gt;K7+12,K7+12,Assumptions!$D$24*12)</f>
        <v>96</v>
      </c>
      <c r="M7">
        <f>IF(Assumptions!$D$24*12&gt;L7+12,L7+12,Assumptions!$D$24*12)</f>
        <v>108</v>
      </c>
      <c r="N7">
        <f>IF(Assumptions!$D$24*12&gt;M7+12,M7+12,Assumptions!$D$24*12)</f>
        <v>120</v>
      </c>
      <c r="O7">
        <f>IF(Assumptions!$D$24*12&gt;N7+12,N7+12,Assumptions!$D$24*12)</f>
        <v>120</v>
      </c>
    </row>
    <row r="8" spans="1:16" ht="12.75" customHeight="1" x14ac:dyDescent="0.2">
      <c r="D8" s="20"/>
    </row>
    <row r="9" spans="1:16" ht="15.75" customHeight="1" x14ac:dyDescent="0.25">
      <c r="A9" s="237" t="s">
        <v>1</v>
      </c>
      <c r="B9" s="2" t="s">
        <v>2</v>
      </c>
      <c r="C9" s="23" t="s">
        <v>3</v>
      </c>
      <c r="D9" s="3" t="str">
        <f>Assumptions!D7&amp;" Budget"</f>
        <v>2013 Budget</v>
      </c>
      <c r="E9" s="3">
        <f>+Assumptions!D7+1</f>
        <v>2014</v>
      </c>
      <c r="F9" s="3">
        <f>+E9+1</f>
        <v>2015</v>
      </c>
      <c r="G9" s="3">
        <f t="shared" si="0"/>
        <v>2016</v>
      </c>
      <c r="H9" s="3">
        <f t="shared" si="0"/>
        <v>2017</v>
      </c>
      <c r="I9" s="3">
        <f t="shared" si="0"/>
        <v>2018</v>
      </c>
      <c r="J9" s="3">
        <f t="shared" si="0"/>
        <v>2019</v>
      </c>
      <c r="K9" s="3">
        <f t="shared" si="0"/>
        <v>2020</v>
      </c>
      <c r="L9" s="3">
        <f t="shared" si="0"/>
        <v>2021</v>
      </c>
      <c r="M9" s="3">
        <f t="shared" si="0"/>
        <v>2022</v>
      </c>
      <c r="N9" s="3">
        <f t="shared" si="1"/>
        <v>2023</v>
      </c>
      <c r="O9" s="3">
        <f t="shared" si="2"/>
        <v>2024</v>
      </c>
      <c r="P9" s="3" t="s">
        <v>77</v>
      </c>
    </row>
    <row r="10" spans="1:16" ht="15.75" customHeight="1" x14ac:dyDescent="0.25">
      <c r="A10" s="237"/>
      <c r="B10" s="4" t="s">
        <v>4</v>
      </c>
      <c r="C10" s="24" t="s">
        <v>5</v>
      </c>
      <c r="D10" s="125">
        <f>ROUND((+Assumptions!D10/12*Calc!$G$9),0)</f>
        <v>202156</v>
      </c>
      <c r="E10" s="125">
        <f>+(Assumptions!D10)*(1+Assumptions!K26)</f>
        <v>499729.22000000003</v>
      </c>
      <c r="F10" s="125">
        <f>+E10*(1+Assumptions!K27)</f>
        <v>514721.09660000005</v>
      </c>
      <c r="G10" s="125">
        <f>+F10*(1+Assumptions!K28)</f>
        <v>530162.72949800012</v>
      </c>
      <c r="H10" s="125">
        <f>+G10*(1+Assumptions!K29)</f>
        <v>546067.61138294009</v>
      </c>
      <c r="I10" s="125">
        <f>+H10*(1+Assumptions!K30)</f>
        <v>562449.6397244283</v>
      </c>
      <c r="J10" s="125">
        <f>+I10*(1+Assumptions!K31)</f>
        <v>579323.12891616113</v>
      </c>
      <c r="K10" s="125">
        <f>+J10*(1+Assumptions!K32)</f>
        <v>596702.82278364594</v>
      </c>
      <c r="L10" s="125">
        <f>+K10*(1+Assumptions!K33)</f>
        <v>614603.90746715537</v>
      </c>
      <c r="M10" s="125">
        <f>+L10*(1+Assumptions!K34)</f>
        <v>633042.02469117008</v>
      </c>
      <c r="N10" s="125">
        <f>+M10*(1+Assumptions!K35)</f>
        <v>652033.28543190518</v>
      </c>
      <c r="O10" s="125">
        <f>+N10*(1+Assumptions!K36)</f>
        <v>671594.28399486234</v>
      </c>
      <c r="P10" s="123">
        <f>SUM(D10:O10)</f>
        <v>6602585.7504902687</v>
      </c>
    </row>
    <row r="11" spans="1:16" ht="15.75" customHeight="1" x14ac:dyDescent="0.25">
      <c r="A11" s="237"/>
      <c r="B11" s="29" t="s">
        <v>823</v>
      </c>
      <c r="C11" s="24" t="s">
        <v>5</v>
      </c>
      <c r="D11" s="125">
        <f>+'Option 1'!D11</f>
        <v>58604.166666666672</v>
      </c>
      <c r="E11" s="125">
        <f>+'Option 1'!E11</f>
        <v>152001</v>
      </c>
      <c r="F11" s="125">
        <f>+'Option 1'!F11</f>
        <v>156561.03</v>
      </c>
      <c r="G11" s="125">
        <f>+'Option 1'!G11</f>
        <v>161257.8609</v>
      </c>
      <c r="H11" s="125">
        <f>+'Option 1'!H11</f>
        <v>166095.596727</v>
      </c>
      <c r="I11" s="125">
        <f>+'Option 1'!I11</f>
        <v>171078.46462881</v>
      </c>
      <c r="J11" s="125">
        <f>+'Option 1'!J11</f>
        <v>176210.81856767432</v>
      </c>
      <c r="K11" s="125">
        <f>+'Option 1'!K11</f>
        <v>181497.14312470454</v>
      </c>
      <c r="L11" s="125">
        <f>+'Option 1'!L11</f>
        <v>186942.05741844568</v>
      </c>
      <c r="M11" s="125">
        <f>+'Option 1'!M11</f>
        <v>192550.31914099905</v>
      </c>
      <c r="N11" s="125">
        <f>+'Option 1'!N11</f>
        <v>198326.82871522903</v>
      </c>
      <c r="O11" s="125">
        <f>+'Option 1'!O11</f>
        <v>204276.63357668591</v>
      </c>
      <c r="P11" s="123">
        <f t="shared" ref="P11:P17" si="4">SUM(D11:O11)</f>
        <v>2005401.9194662152</v>
      </c>
    </row>
    <row r="12" spans="1:16" ht="15.75" customHeight="1" x14ac:dyDescent="0.25">
      <c r="A12" s="237"/>
      <c r="B12" s="4" t="s">
        <v>7</v>
      </c>
      <c r="C12" s="24" t="s">
        <v>82</v>
      </c>
      <c r="D12" s="125">
        <f>IF(Assumptions!$D$25=0,IF(ISERROR(-CUMPRINC(0.00000000001/12,Assumptions!$D$24*12,$D$4,D6,D7,0)),0,(-CUMPRINC(0.00000000001/12,Assumptions!$D$24*12,$D$4,D6,D7,0))),IF(ISERROR(-CUMPRINC(Assumptions!$D$25/12,Assumptions!$D$24*12,$D$4,D6,D7,0)),0,(-CUMPRINC(Assumptions!$D$25/12,Assumptions!$D$24*12,$D$4,D6,D7,0))))</f>
        <v>0</v>
      </c>
      <c r="E12" s="125">
        <f>IF(Assumptions!$D$25=0,IF(ISERROR(-CUMPRINC(0.00000000001/12,Assumptions!$D$24*12,$D$4,E6,E7,0)),0,(-CUMPRINC(0.00000000001/12,Assumptions!$D$24*12,$D$4,E6,E7,0))),IF(ISERROR(-CUMPRINC(Assumptions!$D$25/12,Assumptions!$D$24*12,$D$4,E6,E7,0)),0,(-CUMPRINC(Assumptions!$D$25/12,Assumptions!$D$24*12,$D$4,E6,E7,0))))</f>
        <v>79074.415544706397</v>
      </c>
      <c r="F12" s="125">
        <f>IF(Assumptions!$D$25=0,IF(ISERROR(-CUMPRINC(0.00000000001/12,Assumptions!$D$24*12,$D$4,F6,F7,0)),0,(-CUMPRINC(0.00000000001/12,Assumptions!$D$24*12,$D$4,F6,F7,0))),IF(ISERROR(-CUMPRINC(Assumptions!$D$25/12,Assumptions!$D$24*12,$D$4,F6,F7,0)),0,(-CUMPRINC(Assumptions!$D$25/12,Assumptions!$D$24*12,$D$4,F6,F7,0))))</f>
        <v>83120.012717862395</v>
      </c>
      <c r="G12" s="125">
        <f>IF(Assumptions!$D$25=0,IF(ISERROR(-CUMPRINC(0.00000000001/12,Assumptions!$D$24*12,$D$4,G6,G7,0)),0,(-CUMPRINC(0.00000000001/12,Assumptions!$D$24*12,$D$4,G6,G7,0))),IF(ISERROR(-CUMPRINC(Assumptions!$D$25/12,Assumptions!$D$24*12,$D$4,G6,G7,0)),0,(-CUMPRINC(Assumptions!$D$25/12,Assumptions!$D$24*12,$D$4,G6,G7,0))))</f>
        <v>87372.590320462026</v>
      </c>
      <c r="H12" s="125">
        <f>IF(Assumptions!$D$25=0,IF(ISERROR(-CUMPRINC(0.00000000001/12,Assumptions!$D$24*12,$D$4,H6,H7,0)),0,(-CUMPRINC(0.00000000001/12,Assumptions!$D$24*12,$D$4,H6,H7,0))),IF(ISERROR(-CUMPRINC(Assumptions!$D$25/12,Assumptions!$D$24*12,$D$4,H6,H7,0)),0,(-CUMPRINC(Assumptions!$D$25/12,Assumptions!$D$24*12,$D$4,H6,H7,0))))</f>
        <v>91842.737864100025</v>
      </c>
      <c r="I12" s="125">
        <f>IF(Assumptions!$D$25=0,IF(ISERROR(-CUMPRINC(0.00000000001/12,Assumptions!$D$24*12,$D$4,I6,I7,0)),0,(-CUMPRINC(0.00000000001/12,Assumptions!$D$24*12,$D$4,I6,I7,0))),IF(ISERROR(-CUMPRINC(Assumptions!$D$25/12,Assumptions!$D$24*12,$D$4,I6,I7,0)),0,(-CUMPRINC(Assumptions!$D$25/12,Assumptions!$D$24*12,$D$4,I6,I7,0))))</f>
        <v>96541.586639881891</v>
      </c>
      <c r="J12" s="125">
        <f>IF(Assumptions!$D$25=0,IF(ISERROR(-CUMPRINC(0.00000000001/12,Assumptions!$D$24*12,$D$4,J6,J7,0)),0,(-CUMPRINC(0.00000000001/12,Assumptions!$D$24*12,$D$4,J6,J7,0))),IF(ISERROR(-CUMPRINC(Assumptions!$D$25/12,Assumptions!$D$24*12,$D$4,J6,J7,0)),0,(-CUMPRINC(Assumptions!$D$25/12,Assumptions!$D$24*12,$D$4,J6,J7,0))))</f>
        <v>101480.83743689202</v>
      </c>
      <c r="K12" s="125">
        <f>IF(Assumptions!$D$25=0,IF(ISERROR(-CUMPRINC(0.00000000001/12,Assumptions!$D$24*12,$D$4,K6,K7,0)),0,(-CUMPRINC(0.00000000001/12,Assumptions!$D$24*12,$D$4,K6,K7,0))),IF(ISERROR(-CUMPRINC(Assumptions!$D$25/12,Assumptions!$D$24*12,$D$4,K6,K7,0)),0,(-CUMPRINC(Assumptions!$D$25/12,Assumptions!$D$24*12,$D$4,K6,K7,0))))</f>
        <v>106672.78967879106</v>
      </c>
      <c r="L12" s="125">
        <f>IF(Assumptions!$D$25=0,IF(ISERROR(-CUMPRINC(0.00000000001/12,Assumptions!$D$24*12,$D$4,L6,L7,0)),0,(-CUMPRINC(0.00000000001/12,Assumptions!$D$24*12,$D$4,L6,L7,0))),IF(ISERROR(-CUMPRINC(Assumptions!$D$25/12,Assumptions!$D$24*12,$D$4,L6,L7,0)),0,(-CUMPRINC(Assumptions!$D$25/12,Assumptions!$D$24*12,$D$4,L6,L7,0))))</f>
        <v>112130.37205109697</v>
      </c>
      <c r="M12" s="125">
        <f>IF(Assumptions!$D$25=0,IF(ISERROR(-CUMPRINC(0.00000000001/12,Assumptions!$D$24*12,$D$4,M6,M7,0)),0,(-CUMPRINC(0.00000000001/12,Assumptions!$D$24*12,$D$4,M6,M7,0))),IF(ISERROR(-CUMPRINC(Assumptions!$D$25/12,Assumptions!$D$24*12,$D$4,M6,M7,0)),0,(-CUMPRINC(Assumptions!$D$25/12,Assumptions!$D$24*12,$D$4,M6,M7,0))))</f>
        <v>117867.17469541595</v>
      </c>
      <c r="N12" s="125">
        <f>IF(Assumptions!$D$25=0,IF(ISERROR(-CUMPRINC(0.00000000001/12,Assumptions!$D$24*12,$D$4,N6,N7,0)),0,(-CUMPRINC(0.00000000001/12,Assumptions!$D$24*12,$D$4,N6,N7,0))),IF(ISERROR(-CUMPRINC(Assumptions!$D$25/12,Assumptions!$D$24*12,$D$4,N6,N7,0)),0,(-CUMPRINC(Assumptions!$D$25/12,Assumptions!$D$24*12,$D$4,N6,N7,0))))</f>
        <v>123897.4830507912</v>
      </c>
      <c r="O12" s="125">
        <f>IF(Assumptions!$D$25=0,IF(ISERROR(-CUMPRINC(0.00000000001/12,Assumptions!$D$24*12,$D$4,O6,O7,0)),0,(-CUMPRINC(0.00000000001/12,Assumptions!$D$24*12,$D$4,O6,O7,0))),IF(ISERROR(-CUMPRINC(Assumptions!$D$25/12,Assumptions!$D$24*12,$D$4,O6,O7,0)),0,(-CUMPRINC(Assumptions!$D$25/12,Assumptions!$D$24*12,$D$4,O6,O7,0))))</f>
        <v>0</v>
      </c>
      <c r="P12" s="123">
        <f t="shared" si="4"/>
        <v>999999.99999999988</v>
      </c>
    </row>
    <row r="13" spans="1:16" ht="15.75" customHeight="1" x14ac:dyDescent="0.25">
      <c r="A13" s="237"/>
      <c r="B13" s="4" t="s">
        <v>27</v>
      </c>
      <c r="C13" s="24" t="s">
        <v>31</v>
      </c>
      <c r="D13" s="125">
        <f>IF(Assumptions!$D$25=0,IF(ISERROR(-CUMIPMT(0.00000000001/12,Assumptions!$D$24*12,$D$4,D6,D7,0)),0,-CUMIPMT(0.00000000001/12,Assumptions!$D$24*12,$D$4,D6,D7,0)),IF(ISERROR(-CUMIPMT(Assumptions!$D$25/12,Assumptions!$D$24*12,$D$4,D6,D7,0)),0,-CUMIPMT(Assumptions!$D$25/12,Assumptions!$D$24*12,$D$4,D6,D7,0)))</f>
        <v>0</v>
      </c>
      <c r="E13" s="125">
        <f>IF(Assumptions!$D$25=0,IF(ISERROR(-CUMIPMT(0.00000000001/12,Assumptions!$D$24*12,$D$4,E6,E7,0)),0,-CUMIPMT(0.00000000001/12,Assumptions!$D$24*12,$D$4,E6,E7,0)),IF(ISERROR(-CUMIPMT(Assumptions!$D$25/12,Assumptions!$D$24*12,$D$4,E6,E7,0)),0,-CUMIPMT(Assumptions!$D$25/12,Assumptions!$D$24*12,$D$4,E6,E7,0)))</f>
        <v>48204.202742183872</v>
      </c>
      <c r="F13" s="125">
        <f>IF(Assumptions!$D$25=0,IF(ISERROR(-CUMIPMT(0.00000000001/12,Assumptions!$D$24*12,$D$4,F6,F7,0)),0,-CUMIPMT(0.00000000001/12,Assumptions!$D$24*12,$D$4,F6,F7,0)),IF(ISERROR(-CUMIPMT(Assumptions!$D$25/12,Assumptions!$D$24*12,$D$4,F6,F7,0)),0,-CUMIPMT(Assumptions!$D$25/12,Assumptions!$D$24*12,$D$4,F6,F7,0)))</f>
        <v>44158.605569027874</v>
      </c>
      <c r="G13" s="125">
        <f>IF(Assumptions!$D$25=0,IF(ISERROR(-CUMIPMT(0.00000000001/12,Assumptions!$D$24*12,$D$4,G6,G7,0)),0,-CUMIPMT(0.00000000001/12,Assumptions!$D$24*12,$D$4,G6,G7,0)),IF(ISERROR(-CUMIPMT(Assumptions!$D$25/12,Assumptions!$D$24*12,$D$4,G6,G7,0)),0,-CUMIPMT(Assumptions!$D$25/12,Assumptions!$D$24*12,$D$4,G6,G7,0)))</f>
        <v>39906.027966428243</v>
      </c>
      <c r="H13" s="125">
        <f>IF(Assumptions!$D$25=0,IF(ISERROR(-CUMIPMT(0.00000000001/12,Assumptions!$D$24*12,$D$4,H6,H7,0)),0,-CUMIPMT(0.00000000001/12,Assumptions!$D$24*12,$D$4,H6,H7,0)),IF(ISERROR(-CUMIPMT(Assumptions!$D$25/12,Assumptions!$D$24*12,$D$4,H6,H7,0)),0,-CUMIPMT(Assumptions!$D$25/12,Assumptions!$D$24*12,$D$4,H6,H7,0)))</f>
        <v>35435.880422790244</v>
      </c>
      <c r="I13" s="125">
        <f>IF(Assumptions!$D$25=0,IF(ISERROR(-CUMIPMT(0.00000000001/12,Assumptions!$D$24*12,$D$4,I6,I7,0)),0,-CUMIPMT(0.00000000001/12,Assumptions!$D$24*12,$D$4,I6,I7,0)),IF(ISERROR(-CUMIPMT(Assumptions!$D$25/12,Assumptions!$D$24*12,$D$4,I6,I7,0)),0,-CUMIPMT(Assumptions!$D$25/12,Assumptions!$D$24*12,$D$4,I6,I7,0)))</f>
        <v>30737.031647008378</v>
      </c>
      <c r="J13" s="125">
        <f>IF(Assumptions!$D$25=0,IF(ISERROR(-CUMIPMT(0.00000000001/12,Assumptions!$D$24*12,$D$4,J6,J7,0)),0,-CUMIPMT(0.00000000001/12,Assumptions!$D$24*12,$D$4,J6,J7,0)),IF(ISERROR(-CUMIPMT(Assumptions!$D$25/12,Assumptions!$D$24*12,$D$4,J6,J7,0)),0,-CUMIPMT(Assumptions!$D$25/12,Assumptions!$D$24*12,$D$4,J6,J7,0)))</f>
        <v>25797.780849998249</v>
      </c>
      <c r="K13" s="125">
        <f>IF(Assumptions!$D$25=0,IF(ISERROR(-CUMIPMT(0.00000000001/12,Assumptions!$D$24*12,$D$4,K6,K7,0)),0,-CUMIPMT(0.00000000001/12,Assumptions!$D$24*12,$D$4,K6,K7,0)),IF(ISERROR(-CUMIPMT(Assumptions!$D$25/12,Assumptions!$D$24*12,$D$4,K6,K7,0)),0,-CUMIPMT(Assumptions!$D$25/12,Assumptions!$D$24*12,$D$4,K6,K7,0)))</f>
        <v>20605.828608099211</v>
      </c>
      <c r="L13" s="125">
        <f>IF(Assumptions!$D$25=0,IF(ISERROR(-CUMIPMT(0.00000000001/12,Assumptions!$D$24*12,$D$4,L6,L7,0)),0,-CUMIPMT(0.00000000001/12,Assumptions!$D$24*12,$D$4,L6,L7,0)),IF(ISERROR(-CUMIPMT(Assumptions!$D$25/12,Assumptions!$D$24*12,$D$4,L6,L7,0)),0,-CUMIPMT(Assumptions!$D$25/12,Assumptions!$D$24*12,$D$4,L6,L7,0)))</f>
        <v>15148.246235793296</v>
      </c>
      <c r="M13" s="125">
        <f>IF(Assumptions!$D$25=0,IF(ISERROR(-CUMIPMT(0.00000000001/12,Assumptions!$D$24*12,$D$4,M6,M7,0)),0,-CUMIPMT(0.00000000001/12,Assumptions!$D$24*12,$D$4,M6,M7,0)),IF(ISERROR(-CUMIPMT(Assumptions!$D$25/12,Assumptions!$D$24*12,$D$4,M6,M7,0)),0,-CUMIPMT(Assumptions!$D$25/12,Assumptions!$D$24*12,$D$4,M6,M7,0)))</f>
        <v>9411.4435914743226</v>
      </c>
      <c r="N13" s="125">
        <f>IF(Assumptions!$D$25=0,IF(ISERROR(-CUMIPMT(0.00000000001/12,Assumptions!$D$24*12,$D$4,N6,N7,0)),0,-CUMIPMT(0.00000000001/12,Assumptions!$D$24*12,$D$4,N6,N7,0)),IF(ISERROR(-CUMIPMT(Assumptions!$D$25/12,Assumptions!$D$24*12,$D$4,N6,N7,0)),0,-CUMIPMT(Assumptions!$D$25/12,Assumptions!$D$24*12,$D$4,N6,N7,0)))</f>
        <v>3381.1352360990713</v>
      </c>
      <c r="O13" s="125">
        <f>IF(Assumptions!$D$25=0,IF(ISERROR(-CUMIPMT(0.00000000001/12,Assumptions!$D$24*12,$D$4,O6,O7,0)),0,-CUMIPMT(0.00000000001/12,Assumptions!$D$24*12,$D$4,O6,O7,0)),IF(ISERROR(-CUMIPMT(Assumptions!$D$25/12,Assumptions!$D$24*12,$D$4,O6,O7,0)),0,-CUMIPMT(Assumptions!$D$25/12,Assumptions!$D$24*12,$D$4,O6,O7,0)))</f>
        <v>0</v>
      </c>
      <c r="P13" s="123">
        <f t="shared" si="4"/>
        <v>272786.18286890275</v>
      </c>
    </row>
    <row r="14" spans="1:16" ht="15.75" x14ac:dyDescent="0.25">
      <c r="A14" s="237"/>
      <c r="B14" s="29" t="s">
        <v>0</v>
      </c>
      <c r="C14" s="24" t="s">
        <v>32</v>
      </c>
      <c r="D14" s="125">
        <f>-SUM(D12:D13)*Assumptions!L25</f>
        <v>0</v>
      </c>
      <c r="E14" s="125">
        <f>-SUM(E12:E13)*Assumptions!L26</f>
        <v>-12727.861828689027</v>
      </c>
      <c r="F14" s="125">
        <f>-SUM(F12:F13)*Assumptions!L27</f>
        <v>-12727.861828689027</v>
      </c>
      <c r="G14" s="125">
        <f>-SUM(G12:G13)*Assumptions!L28</f>
        <v>-12727.861828689027</v>
      </c>
      <c r="H14" s="125">
        <f>-SUM(H12:H13)*Assumptions!L29</f>
        <v>-12727.861828689027</v>
      </c>
      <c r="I14" s="125">
        <f>-SUM(I12:I13)*Assumptions!L30</f>
        <v>-12727.861828689027</v>
      </c>
      <c r="J14" s="125">
        <f>-SUM(J12:J13)*Assumptions!L31</f>
        <v>-12727.861828689027</v>
      </c>
      <c r="K14" s="125">
        <f>-SUM(K12:K13)*Assumptions!L32</f>
        <v>-12727.861828689027</v>
      </c>
      <c r="L14" s="125">
        <f>-SUM(L12:L13)*Assumptions!L33</f>
        <v>-12727.861828689027</v>
      </c>
      <c r="M14" s="125">
        <f>-SUM(M12:M13)*Assumptions!L34</f>
        <v>-12727.861828689027</v>
      </c>
      <c r="N14" s="125">
        <f>-SUM(N12:N13)*Assumptions!L35</f>
        <v>-12727.861828689027</v>
      </c>
      <c r="O14" s="125">
        <f>-SUM(O12:O13)*Assumptions!L36</f>
        <v>0</v>
      </c>
      <c r="P14" s="123">
        <f t="shared" si="4"/>
        <v>-127278.61828689027</v>
      </c>
    </row>
    <row r="15" spans="1:16" ht="15.75" customHeight="1" x14ac:dyDescent="0.25">
      <c r="A15" s="237"/>
      <c r="B15" s="4" t="s">
        <v>9</v>
      </c>
      <c r="C15" s="24" t="s">
        <v>10</v>
      </c>
      <c r="D15" s="127">
        <f>IF(ISERROR(Assumptions!$D$30*Calc!B$68),0,Assumptions!$D$30*Calc!B$68)</f>
        <v>0</v>
      </c>
      <c r="E15" s="127">
        <f>IF(ISERROR(Assumptions!$D$30*Calc!C$68),0,Assumptions!$D$30*Calc!C$68)</f>
        <v>0</v>
      </c>
      <c r="F15" s="127">
        <f>IF(ISERROR(Assumptions!$D$30*Calc!D$68),0,Assumptions!$D$30*Calc!D$68)</f>
        <v>0</v>
      </c>
      <c r="G15" s="127">
        <f>IF(ISERROR(Assumptions!$D$30*Calc!E$68),0,Assumptions!$D$30*Calc!E$68)</f>
        <v>0</v>
      </c>
      <c r="H15" s="127">
        <f>IF(ISERROR(Assumptions!$D$30*Calc!F$68),0,Assumptions!$D$30*Calc!F$68)</f>
        <v>0</v>
      </c>
      <c r="I15" s="127">
        <f>IF(ISERROR(Assumptions!$D$30*Calc!G$68),0,Assumptions!$D$30*Calc!G$68)</f>
        <v>700000</v>
      </c>
      <c r="J15" s="127">
        <f>IF(ISERROR(Assumptions!$D$30*Calc!H$68),0,Assumptions!$D$30*Calc!H$68)</f>
        <v>0</v>
      </c>
      <c r="K15" s="127">
        <f>IF(ISERROR(Assumptions!$D$30*Calc!I$68),0,Assumptions!$D$30*Calc!I$68)</f>
        <v>0</v>
      </c>
      <c r="L15" s="127">
        <f>IF(ISERROR(Assumptions!$D$30*Calc!J$68),0,Assumptions!$D$30*Calc!J$68)</f>
        <v>0</v>
      </c>
      <c r="M15" s="127">
        <f>IF(ISERROR(Assumptions!$D$30*Calc!K$68),0,Assumptions!$D$30*Calc!K$68)</f>
        <v>0</v>
      </c>
      <c r="N15" s="127">
        <f>IF(ISERROR(Assumptions!$D$30*Calc!L$68),0,Assumptions!$D$30*Calc!L$68)</f>
        <v>0</v>
      </c>
      <c r="O15" s="127">
        <f>IF(ISERROR(Assumptions!$D$30*Calc!M$68),0,Assumptions!$D$30*Calc!M$68)</f>
        <v>0</v>
      </c>
      <c r="P15" s="123">
        <f t="shared" si="4"/>
        <v>700000</v>
      </c>
    </row>
    <row r="16" spans="1:16" ht="15.75" customHeight="1" x14ac:dyDescent="0.25">
      <c r="A16" s="237"/>
      <c r="B16" s="4" t="s">
        <v>11</v>
      </c>
      <c r="C16" s="24" t="s">
        <v>6</v>
      </c>
      <c r="D16" s="127">
        <f>+D247*Assumptions!J25</f>
        <v>1559.3625</v>
      </c>
      <c r="E16" s="125">
        <f>+D252*Assumptions!J26</f>
        <v>1454.0876458333335</v>
      </c>
      <c r="F16" s="125">
        <f>+E252*Assumptions!J27</f>
        <v>5198.2109327070129</v>
      </c>
      <c r="G16" s="125">
        <f>+F252*Assumptions!J28</f>
        <v>11781.130308924143</v>
      </c>
      <c r="H16" s="125">
        <f>+G252*Assumptions!J29</f>
        <v>-3252.9067114652998</v>
      </c>
      <c r="I16" s="125">
        <f>+H252*Assumptions!J30</f>
        <v>-29087.219442914724</v>
      </c>
      <c r="J16" s="125">
        <f>+I252*Assumptions!J31</f>
        <v>-55425.649090441926</v>
      </c>
      <c r="K16" s="125">
        <f>+J252*Assumptions!J32</f>
        <v>-70057.532773170053</v>
      </c>
      <c r="L16" s="125">
        <f>+K252*Assumptions!J33</f>
        <v>-115702.91263793749</v>
      </c>
      <c r="M16" s="125">
        <f>+L252*Assumptions!J34</f>
        <v>-130660.56986693612</v>
      </c>
      <c r="N16" s="125">
        <f>+M252*Assumptions!J35</f>
        <v>-172357.3450432244</v>
      </c>
      <c r="O16" s="125">
        <f>+N252*Assumptions!J36</f>
        <v>-159353.06756521331</v>
      </c>
      <c r="P16" s="123">
        <f t="shared" si="4"/>
        <v>-715904.41174383881</v>
      </c>
    </row>
    <row r="17" spans="1:16" ht="15.75" customHeight="1" x14ac:dyDescent="0.25">
      <c r="B17" s="5"/>
      <c r="C17" s="24" t="s">
        <v>28</v>
      </c>
      <c r="D17" s="125">
        <f>SUM(D10:D16)</f>
        <v>262319.52916666667</v>
      </c>
      <c r="E17" s="126">
        <f t="shared" ref="E17:O17" si="5">SUM(E10:E16)</f>
        <v>767735.06410403457</v>
      </c>
      <c r="F17" s="126">
        <f t="shared" si="5"/>
        <v>791031.09399090835</v>
      </c>
      <c r="G17" s="126">
        <f t="shared" si="5"/>
        <v>817752.47716512543</v>
      </c>
      <c r="H17" s="126">
        <f t="shared" si="5"/>
        <v>823461.05785667605</v>
      </c>
      <c r="I17" s="126">
        <f t="shared" si="5"/>
        <v>1518991.6413685249</v>
      </c>
      <c r="J17" s="126">
        <f t="shared" si="5"/>
        <v>814659.05485159485</v>
      </c>
      <c r="K17" s="126">
        <f t="shared" si="5"/>
        <v>822693.18959338171</v>
      </c>
      <c r="L17" s="126">
        <f t="shared" si="5"/>
        <v>800393.80870586494</v>
      </c>
      <c r="M17" s="126">
        <f t="shared" si="5"/>
        <v>809482.53042343433</v>
      </c>
      <c r="N17" s="126">
        <f t="shared" si="5"/>
        <v>792553.52556211117</v>
      </c>
      <c r="O17" s="126">
        <f t="shared" si="5"/>
        <v>716517.85000633495</v>
      </c>
      <c r="P17" s="123">
        <f t="shared" si="4"/>
        <v>9737590.8227946572</v>
      </c>
    </row>
    <row r="18" spans="1:16" ht="15" customHeight="1" x14ac:dyDescent="0.2">
      <c r="B18" s="8"/>
      <c r="C18" s="25"/>
      <c r="D18" s="6"/>
      <c r="E18" s="6"/>
      <c r="F18" s="6"/>
      <c r="G18" s="6"/>
      <c r="H18" s="6"/>
      <c r="I18" s="6"/>
      <c r="J18" s="6"/>
      <c r="K18" s="6"/>
      <c r="L18" s="6"/>
      <c r="M18" s="6"/>
      <c r="N18" s="6"/>
      <c r="O18" s="6"/>
      <c r="P18" s="6"/>
    </row>
    <row r="19" spans="1:16" ht="15" hidden="1" customHeight="1" x14ac:dyDescent="0.2">
      <c r="B19" s="8"/>
      <c r="C19" s="25"/>
      <c r="D19" s="6">
        <f>+D5</f>
        <v>0</v>
      </c>
      <c r="E19" s="6">
        <f t="shared" ref="E19:O19" si="6">+E5</f>
        <v>0</v>
      </c>
      <c r="F19" s="6">
        <f t="shared" si="6"/>
        <v>1</v>
      </c>
      <c r="G19" s="6">
        <f t="shared" si="6"/>
        <v>2</v>
      </c>
      <c r="H19" s="6">
        <f t="shared" si="6"/>
        <v>3</v>
      </c>
      <c r="I19" s="6">
        <f t="shared" si="6"/>
        <v>4</v>
      </c>
      <c r="J19" s="6">
        <f t="shared" si="6"/>
        <v>5</v>
      </c>
      <c r="K19" s="6">
        <f t="shared" si="6"/>
        <v>6</v>
      </c>
      <c r="L19" s="6">
        <f t="shared" si="6"/>
        <v>7</v>
      </c>
      <c r="M19" s="6">
        <f t="shared" si="6"/>
        <v>8</v>
      </c>
      <c r="N19" s="6">
        <f t="shared" si="6"/>
        <v>9</v>
      </c>
      <c r="O19" s="6">
        <f t="shared" si="6"/>
        <v>10</v>
      </c>
      <c r="P19" s="6"/>
    </row>
    <row r="20" spans="1:16" ht="15" hidden="1" customHeight="1" x14ac:dyDescent="0.2">
      <c r="B20" s="8"/>
      <c r="C20" s="25"/>
      <c r="D20" s="6">
        <f>IF(YEAR(Assumptions!D32)&gt;LEFT(D9,4)*1,0,1)</f>
        <v>0</v>
      </c>
      <c r="E20" s="6">
        <f>+D21+1</f>
        <v>1</v>
      </c>
      <c r="F20" s="6">
        <f t="shared" ref="F20:O20" si="7">+E21+1</f>
        <v>-36</v>
      </c>
      <c r="G20" s="6">
        <f t="shared" si="7"/>
        <v>-24</v>
      </c>
      <c r="H20" s="6">
        <f t="shared" si="7"/>
        <v>-12</v>
      </c>
      <c r="I20" s="6">
        <f t="shared" si="7"/>
        <v>0</v>
      </c>
      <c r="J20" s="6">
        <f t="shared" si="7"/>
        <v>12</v>
      </c>
      <c r="K20" s="6">
        <f t="shared" si="7"/>
        <v>24</v>
      </c>
      <c r="L20" s="6">
        <f t="shared" si="7"/>
        <v>36</v>
      </c>
      <c r="M20" s="6">
        <f t="shared" si="7"/>
        <v>48</v>
      </c>
      <c r="N20" s="6">
        <f t="shared" si="7"/>
        <v>60</v>
      </c>
      <c r="O20" s="6">
        <f t="shared" si="7"/>
        <v>61</v>
      </c>
      <c r="P20" s="6"/>
    </row>
    <row r="21" spans="1:16" ht="15" hidden="1" customHeight="1" x14ac:dyDescent="0.2">
      <c r="B21" s="8"/>
      <c r="C21" s="25"/>
      <c r="D21" s="6">
        <f>IF(D20=0,0,ROUND(((IF(YEAR(Assumptions!D8)&lt;YEAR(Assumptions!D32),(Assumptions!D8+365)-Assumptions!D32,Assumptions!D8-Assumptions!D32))/30),0))</f>
        <v>0</v>
      </c>
      <c r="E21" s="6">
        <f>IF(D21=0,ROUND(((IF(YEAR(Assumptions!D8)&lt;YEAR(Assumptions!D32),(Assumptions!D8+365)-Assumptions!D32,Assumptions!D8-Assumptions!D32))/30),0),IF(Assumptions!$D$36*12&gt;D21+12,D21+12,Assumptions!$D$36*12))</f>
        <v>-37</v>
      </c>
      <c r="F21" s="6">
        <f>IF(Assumptions!$D$36*12&gt;E21+12,E21+12,Assumptions!$D$36*12)</f>
        <v>-25</v>
      </c>
      <c r="G21" s="6">
        <f>IF(Assumptions!$D$36*12&gt;F21+12,F21+12,Assumptions!$D$36*12)</f>
        <v>-13</v>
      </c>
      <c r="H21" s="6">
        <f>IF(Assumptions!$D$36*12&gt;G21+12,G21+12,Assumptions!$D$36*12)</f>
        <v>-1</v>
      </c>
      <c r="I21" s="6">
        <f>IF(Assumptions!$D$36*12&gt;H21+12,H21+12,Assumptions!$D$36*12)</f>
        <v>11</v>
      </c>
      <c r="J21" s="6">
        <f>IF(Assumptions!$D$36*12&gt;I21+12,I21+12,Assumptions!$D$36*12)</f>
        <v>23</v>
      </c>
      <c r="K21" s="6">
        <f>IF(Assumptions!$D$36*12&gt;J21+12,J21+12,Assumptions!$D$36*12)</f>
        <v>35</v>
      </c>
      <c r="L21" s="6">
        <f>IF(Assumptions!$D$36*12&gt;K21+12,K21+12,Assumptions!$D$36*12)</f>
        <v>47</v>
      </c>
      <c r="M21" s="6">
        <f>IF(Assumptions!$D$36*12&gt;L21+12,L21+12,Assumptions!$D$36*12)</f>
        <v>59</v>
      </c>
      <c r="N21" s="6">
        <f>IF(Assumptions!$D$36*12&gt;M21+12,M21+12,Assumptions!$D$36*12)</f>
        <v>60</v>
      </c>
      <c r="O21" s="6">
        <f>IF(Assumptions!$D$36*12&gt;N21+12,N21+12,Assumptions!$D$36*12)</f>
        <v>60</v>
      </c>
      <c r="P21" s="6"/>
    </row>
    <row r="22" spans="1:16" ht="18" customHeight="1" x14ac:dyDescent="0.25">
      <c r="B22" s="155"/>
      <c r="C22" s="26"/>
      <c r="D22" s="155"/>
      <c r="E22" s="155"/>
      <c r="F22" s="155"/>
      <c r="G22" s="155"/>
      <c r="H22" s="155"/>
      <c r="I22" s="155"/>
      <c r="J22" s="155"/>
      <c r="K22" s="155"/>
      <c r="L22" s="155"/>
      <c r="M22" s="155"/>
      <c r="N22" s="155"/>
      <c r="O22" s="155"/>
      <c r="P22" s="155"/>
    </row>
    <row r="23" spans="1:16" ht="15.75" customHeight="1" x14ac:dyDescent="0.25">
      <c r="A23" s="238" t="s">
        <v>12</v>
      </c>
      <c r="B23" s="2" t="s">
        <v>2</v>
      </c>
      <c r="C23" s="23" t="s">
        <v>3</v>
      </c>
      <c r="D23" s="3" t="str">
        <f>+D9</f>
        <v>2013 Budget</v>
      </c>
      <c r="E23" s="3">
        <f t="shared" ref="E23:M23" si="8">+E9</f>
        <v>2014</v>
      </c>
      <c r="F23" s="3">
        <f t="shared" si="8"/>
        <v>2015</v>
      </c>
      <c r="G23" s="3">
        <f t="shared" si="8"/>
        <v>2016</v>
      </c>
      <c r="H23" s="3">
        <f t="shared" si="8"/>
        <v>2017</v>
      </c>
      <c r="I23" s="3">
        <f t="shared" si="8"/>
        <v>2018</v>
      </c>
      <c r="J23" s="3">
        <f t="shared" si="8"/>
        <v>2019</v>
      </c>
      <c r="K23" s="3">
        <f t="shared" si="8"/>
        <v>2020</v>
      </c>
      <c r="L23" s="3">
        <f t="shared" si="8"/>
        <v>2021</v>
      </c>
      <c r="M23" s="3">
        <f t="shared" si="8"/>
        <v>2022</v>
      </c>
      <c r="N23" s="3">
        <f>+M23+1</f>
        <v>2023</v>
      </c>
      <c r="O23" s="3">
        <f>+N23+1</f>
        <v>2024</v>
      </c>
      <c r="P23" s="3" t="s">
        <v>23</v>
      </c>
    </row>
    <row r="24" spans="1:16" ht="15.75" customHeight="1" x14ac:dyDescent="0.25">
      <c r="A24" s="239"/>
      <c r="B24" s="4" t="str">
        <f>IF('Option 1'!B24="","",'Option 1'!B24)</f>
        <v/>
      </c>
      <c r="C24" s="3" t="str">
        <f>IF('Option 1'!C24="","",'Option 1'!C24)</f>
        <v>Sitework Elements</v>
      </c>
      <c r="D24" s="183" t="str">
        <f>IF('Option 1'!D24="","",'Option 1'!D24)</f>
        <v/>
      </c>
      <c r="E24" s="184" t="str">
        <f>IF('Option 1'!E24="","",'Option 1'!E24)</f>
        <v/>
      </c>
      <c r="F24" s="184" t="str">
        <f>IF('Option 1'!F24="","",'Option 1'!F24)</f>
        <v/>
      </c>
      <c r="G24" s="184" t="str">
        <f>IF('Option 1'!G24="","",'Option 1'!G24)</f>
        <v/>
      </c>
      <c r="H24" s="184" t="str">
        <f>IF('Option 1'!H24="","",'Option 1'!H24)</f>
        <v/>
      </c>
      <c r="I24" s="184" t="str">
        <f>IF('Option 1'!I24="","",'Option 1'!I24)</f>
        <v/>
      </c>
      <c r="J24" s="184" t="str">
        <f>IF('Option 1'!J24="","",'Option 1'!J24)</f>
        <v/>
      </c>
      <c r="K24" s="184" t="str">
        <f>IF('Option 1'!K24="","",'Option 1'!K24)</f>
        <v/>
      </c>
      <c r="L24" s="184" t="str">
        <f>IF('Option 1'!L24="","",'Option 1'!L24)</f>
        <v/>
      </c>
      <c r="M24" s="184" t="str">
        <f>IF('Option 1'!M24="","",'Option 1'!M24)</f>
        <v/>
      </c>
      <c r="N24" s="184" t="str">
        <f>IF('Option 1'!N24="","",'Option 1'!N24)</f>
        <v/>
      </c>
      <c r="O24" s="184" t="str">
        <f>IF('Option 1'!O24="","",'Option 1'!O24)</f>
        <v/>
      </c>
      <c r="P24" s="124">
        <f t="shared" ref="P24" si="9">IF(SUM(D24:O24)=0,0,SUM(D24:O24))</f>
        <v>0</v>
      </c>
    </row>
    <row r="25" spans="1:16" ht="15.75" customHeight="1" x14ac:dyDescent="0.25">
      <c r="A25" s="239"/>
      <c r="B25" s="4" t="str">
        <f>IF('Option 1'!B25="","",'Option 1'!B25)</f>
        <v/>
      </c>
      <c r="C25" s="182" t="str">
        <f>IF('Option 1'!C25="","",'Option 1'!C25)</f>
        <v>East Entry Street Asphalt Pavement</v>
      </c>
      <c r="D25" s="183" t="str">
        <f>IF('Option 1'!D25="","",'Option 1'!D25)</f>
        <v/>
      </c>
      <c r="E25" s="184" t="str">
        <f>IF('Option 1'!E25="","",'Option 1'!E25)</f>
        <v/>
      </c>
      <c r="F25" s="184" t="str">
        <f>IF('Option 1'!F25="","",'Option 1'!F25)</f>
        <v/>
      </c>
      <c r="G25" s="184" t="str">
        <f>IF('Option 1'!G25="","",'Option 1'!G25)</f>
        <v/>
      </c>
      <c r="H25" s="184" t="str">
        <f>IF('Option 1'!H25="","",'Option 1'!H25)</f>
        <v/>
      </c>
      <c r="I25" s="184" t="str">
        <f>IF('Option 1'!I25="","",'Option 1'!I25)</f>
        <v/>
      </c>
      <c r="J25" s="184" t="str">
        <f>IF('Option 1'!J25="","",'Option 1'!J25)</f>
        <v/>
      </c>
      <c r="K25" s="184" t="str">
        <f>IF('Option 1'!K25="","",'Option 1'!K25)</f>
        <v/>
      </c>
      <c r="L25" s="184" t="str">
        <f>IF('Option 1'!L25="","",'Option 1'!L25)</f>
        <v/>
      </c>
      <c r="M25" s="184" t="str">
        <f>IF('Option 1'!M25="","",'Option 1'!M25)</f>
        <v/>
      </c>
      <c r="N25" s="184" t="str">
        <f>IF('Option 1'!N25="","",'Option 1'!N25)</f>
        <v/>
      </c>
      <c r="O25" s="184" t="str">
        <f>IF('Option 1'!O25="","",'Option 1'!O25)</f>
        <v/>
      </c>
      <c r="P25" s="124">
        <f t="shared" ref="P25:P88" si="10">IF(SUM(D25:O25)=0,0,SUM(D25:O25))</f>
        <v>0</v>
      </c>
    </row>
    <row r="26" spans="1:16" ht="15.75" customHeight="1" x14ac:dyDescent="0.25">
      <c r="A26" s="239"/>
      <c r="B26" s="4" t="str">
        <f>IF('Option 1'!B26="","",'Option 1'!B26)</f>
        <v/>
      </c>
      <c r="C26" s="182" t="str">
        <f>IF('Option 1'!C26="","",'Option 1'!C26)</f>
        <v>East Entry Street Asphalt Sealcoating</v>
      </c>
      <c r="D26" s="185" t="str">
        <f>IF('Option 1'!D26="","",'Option 1'!D26)</f>
        <v/>
      </c>
      <c r="E26" s="184" t="str">
        <f>IF('Option 1'!E26="","",'Option 1'!E26)</f>
        <v/>
      </c>
      <c r="F26" s="184" t="str">
        <f>IF('Option 1'!F26="","",'Option 1'!F26)</f>
        <v/>
      </c>
      <c r="G26" s="184" t="str">
        <f>IF('Option 1'!G26="","",'Option 1'!G26)</f>
        <v/>
      </c>
      <c r="H26" s="184" t="str">
        <f>IF('Option 1'!H26="","",'Option 1'!H26)</f>
        <v/>
      </c>
      <c r="I26" s="184" t="str">
        <f>IF('Option 1'!I26="","",'Option 1'!I26)</f>
        <v/>
      </c>
      <c r="J26" s="184" t="str">
        <f>IF('Option 1'!J26="","",'Option 1'!J26)</f>
        <v/>
      </c>
      <c r="K26" s="184" t="str">
        <f>IF('Option 1'!K26="","",'Option 1'!K26)</f>
        <v/>
      </c>
      <c r="L26" s="184" t="str">
        <f>IF('Option 1'!L26="","",'Option 1'!L26)</f>
        <v/>
      </c>
      <c r="M26" s="184" t="str">
        <f>IF('Option 1'!M26="","",'Option 1'!M26)</f>
        <v/>
      </c>
      <c r="N26" s="184" t="str">
        <f>IF('Option 1'!N26="","",'Option 1'!N26)</f>
        <v/>
      </c>
      <c r="O26" s="184" t="str">
        <f>IF('Option 1'!O26="","",'Option 1'!O26)</f>
        <v/>
      </c>
      <c r="P26" s="124">
        <f t="shared" si="10"/>
        <v>0</v>
      </c>
    </row>
    <row r="27" spans="1:16" ht="15.75" customHeight="1" x14ac:dyDescent="0.25">
      <c r="A27" s="239"/>
      <c r="B27" s="4" t="str">
        <f>IF('Option 1'!B27="","",'Option 1'!B27)</f>
        <v/>
      </c>
      <c r="C27" s="182" t="str">
        <f>IF('Option 1'!C27="","",'Option 1'!C27)</f>
        <v>West Entry Street Asphalt Pavement</v>
      </c>
      <c r="D27" s="185" t="str">
        <f>IF('Option 1'!D27="","",'Option 1'!D27)</f>
        <v/>
      </c>
      <c r="E27" s="184" t="str">
        <f>IF('Option 1'!E27="","",'Option 1'!E27)</f>
        <v/>
      </c>
      <c r="F27" s="184" t="str">
        <f>IF('Option 1'!F27="","",'Option 1'!F27)</f>
        <v/>
      </c>
      <c r="G27" s="184" t="str">
        <f>IF('Option 1'!G27="","",'Option 1'!G27)</f>
        <v/>
      </c>
      <c r="H27" s="184" t="str">
        <f>IF('Option 1'!H27="","",'Option 1'!H27)</f>
        <v/>
      </c>
      <c r="I27" s="184" t="str">
        <f>IF('Option 1'!I27="","",'Option 1'!I27)</f>
        <v/>
      </c>
      <c r="J27" s="184" t="str">
        <f>IF('Option 1'!J27="","",'Option 1'!J27)</f>
        <v/>
      </c>
      <c r="K27" s="184" t="str">
        <f>IF('Option 1'!K27="","",'Option 1'!K27)</f>
        <v/>
      </c>
      <c r="L27" s="184" t="str">
        <f>IF('Option 1'!L27="","",'Option 1'!L27)</f>
        <v/>
      </c>
      <c r="M27" s="184" t="str">
        <f>IF('Option 1'!M27="","",'Option 1'!M27)</f>
        <v/>
      </c>
      <c r="N27" s="184" t="str">
        <f>IF('Option 1'!N27="","",'Option 1'!N27)</f>
        <v/>
      </c>
      <c r="O27" s="184" t="str">
        <f>IF('Option 1'!O27="","",'Option 1'!O27)</f>
        <v/>
      </c>
      <c r="P27" s="124">
        <f t="shared" si="10"/>
        <v>0</v>
      </c>
    </row>
    <row r="28" spans="1:16" ht="15.75" customHeight="1" x14ac:dyDescent="0.25">
      <c r="A28" s="239"/>
      <c r="B28" s="4" t="str">
        <f>IF('Option 1'!B28="","",'Option 1'!B28)</f>
        <v/>
      </c>
      <c r="C28" s="182" t="str">
        <f>IF('Option 1'!C28="","",'Option 1'!C28)</f>
        <v>West Entry Street Asphalt Sealcoating</v>
      </c>
      <c r="D28" s="185" t="str">
        <f>IF('Option 1'!D28="","",'Option 1'!D28)</f>
        <v/>
      </c>
      <c r="E28" s="184" t="str">
        <f>IF('Option 1'!E28="","",'Option 1'!E28)</f>
        <v/>
      </c>
      <c r="F28" s="184" t="str">
        <f>IF('Option 1'!F28="","",'Option 1'!F28)</f>
        <v/>
      </c>
      <c r="G28" s="184" t="str">
        <f>IF('Option 1'!G28="","",'Option 1'!G28)</f>
        <v/>
      </c>
      <c r="H28" s="184" t="str">
        <f>IF('Option 1'!H28="","",'Option 1'!H28)</f>
        <v/>
      </c>
      <c r="I28" s="184" t="str">
        <f>IF('Option 1'!I28="","",'Option 1'!I28)</f>
        <v/>
      </c>
      <c r="J28" s="184" t="str">
        <f>IF('Option 1'!J28="","",'Option 1'!J28)</f>
        <v/>
      </c>
      <c r="K28" s="184" t="str">
        <f>IF('Option 1'!K28="","",'Option 1'!K28)</f>
        <v/>
      </c>
      <c r="L28" s="184" t="str">
        <f>IF('Option 1'!L28="","",'Option 1'!L28)</f>
        <v/>
      </c>
      <c r="M28" s="184" t="str">
        <f>IF('Option 1'!M28="","",'Option 1'!M28)</f>
        <v/>
      </c>
      <c r="N28" s="184" t="str">
        <f>IF('Option 1'!N28="","",'Option 1'!N28)</f>
        <v/>
      </c>
      <c r="O28" s="184" t="str">
        <f>IF('Option 1'!O28="","",'Option 1'!O28)</f>
        <v/>
      </c>
      <c r="P28" s="124">
        <f t="shared" si="10"/>
        <v>0</v>
      </c>
    </row>
    <row r="29" spans="1:16" ht="15.75" customHeight="1" x14ac:dyDescent="0.25">
      <c r="A29" s="239"/>
      <c r="B29" s="4" t="str">
        <f>IF('Option 1'!B29="","",'Option 1'!B29)</f>
        <v/>
      </c>
      <c r="C29" s="182" t="str">
        <f>IF('Option 1'!C29="","",'Option 1'!C29)</f>
        <v>East, South, &amp; West Central Road Pavement</v>
      </c>
      <c r="D29" s="185" t="str">
        <f>IF('Option 1'!D29="","",'Option 1'!D29)</f>
        <v/>
      </c>
      <c r="E29" s="184" t="str">
        <f>IF('Option 1'!E29="","",'Option 1'!E29)</f>
        <v/>
      </c>
      <c r="F29" s="184" t="str">
        <f>IF('Option 1'!F29="","",'Option 1'!F29)</f>
        <v/>
      </c>
      <c r="G29" s="184" t="str">
        <f>IF('Option 1'!G29="","",'Option 1'!G29)</f>
        <v/>
      </c>
      <c r="H29" s="184" t="str">
        <f>IF('Option 1'!H29="","",'Option 1'!H29)</f>
        <v/>
      </c>
      <c r="I29" s="184" t="str">
        <f>IF('Option 1'!I29="","",'Option 1'!I29)</f>
        <v/>
      </c>
      <c r="J29" s="184" t="str">
        <f>IF('Option 1'!J29="","",'Option 1'!J29)</f>
        <v/>
      </c>
      <c r="K29" s="184" t="str">
        <f>IF('Option 1'!K29="","",'Option 1'!K29)</f>
        <v/>
      </c>
      <c r="L29" s="184" t="str">
        <f>IF('Option 1'!L29="","",'Option 1'!L29)</f>
        <v/>
      </c>
      <c r="M29" s="184" t="str">
        <f>IF('Option 1'!M29="","",'Option 1'!M29)</f>
        <v/>
      </c>
      <c r="N29" s="184" t="str">
        <f>IF('Option 1'!N29="","",'Option 1'!N29)</f>
        <v/>
      </c>
      <c r="O29" s="184" t="str">
        <f>IF('Option 1'!O29="","",'Option 1'!O29)</f>
        <v/>
      </c>
      <c r="P29" s="124">
        <f t="shared" si="10"/>
        <v>0</v>
      </c>
    </row>
    <row r="30" spans="1:16" ht="15.75" customHeight="1" x14ac:dyDescent="0.25">
      <c r="A30" s="239"/>
      <c r="B30" s="4" t="str">
        <f>IF('Option 1'!B30="","",'Option 1'!B30)</f>
        <v/>
      </c>
      <c r="C30" s="182" t="str">
        <f>IF('Option 1'!C30="","",'Option 1'!C30)</f>
        <v>East, South, &amp; West Central Road Sealcoating</v>
      </c>
      <c r="D30" s="185" t="str">
        <f>IF('Option 1'!D30="","",'Option 1'!D30)</f>
        <v/>
      </c>
      <c r="E30" s="184" t="str">
        <f>IF('Option 1'!E30="","",'Option 1'!E30)</f>
        <v/>
      </c>
      <c r="F30" s="184" t="str">
        <f>IF('Option 1'!F30="","",'Option 1'!F30)</f>
        <v/>
      </c>
      <c r="G30" s="184" t="str">
        <f>IF('Option 1'!G30="","",'Option 1'!G30)</f>
        <v/>
      </c>
      <c r="H30" s="184" t="str">
        <f>IF('Option 1'!H30="","",'Option 1'!H30)</f>
        <v/>
      </c>
      <c r="I30" s="184" t="str">
        <f>IF('Option 1'!I30="","",'Option 1'!I30)</f>
        <v/>
      </c>
      <c r="J30" s="184" t="str">
        <f>IF('Option 1'!J30="","",'Option 1'!J30)</f>
        <v/>
      </c>
      <c r="K30" s="184" t="str">
        <f>IF('Option 1'!K30="","",'Option 1'!K30)</f>
        <v/>
      </c>
      <c r="L30" s="184" t="str">
        <f>IF('Option 1'!L30="","",'Option 1'!L30)</f>
        <v/>
      </c>
      <c r="M30" s="184" t="str">
        <f>IF('Option 1'!M30="","",'Option 1'!M30)</f>
        <v/>
      </c>
      <c r="N30" s="184" t="str">
        <f>IF('Option 1'!N30="","",'Option 1'!N30)</f>
        <v/>
      </c>
      <c r="O30" s="184" t="str">
        <f>IF('Option 1'!O30="","",'Option 1'!O30)</f>
        <v/>
      </c>
      <c r="P30" s="124">
        <f t="shared" si="10"/>
        <v>0</v>
      </c>
    </row>
    <row r="31" spans="1:16" ht="15.75" customHeight="1" x14ac:dyDescent="0.25">
      <c r="A31" s="239"/>
      <c r="B31" s="4" t="str">
        <f>IF('Option 1'!B31="","",'Option 1'!B31)</f>
        <v/>
      </c>
      <c r="C31" s="182" t="str">
        <f>IF('Option 1'!C31="","",'Option 1'!C31)</f>
        <v>Asphalt Fire Lane Pavement (Grind and Resurface)</v>
      </c>
      <c r="D31" s="185" t="str">
        <f>IF('Option 1'!D31="","",'Option 1'!D31)</f>
        <v/>
      </c>
      <c r="E31" s="184" t="str">
        <f>IF('Option 1'!E31="","",'Option 1'!E31)</f>
        <v/>
      </c>
      <c r="F31" s="184" t="str">
        <f>IF('Option 1'!F31="","",'Option 1'!F31)</f>
        <v/>
      </c>
      <c r="G31" s="184" t="str">
        <f>IF('Option 1'!G31="","",'Option 1'!G31)</f>
        <v/>
      </c>
      <c r="H31" s="184" t="str">
        <f>IF('Option 1'!H31="","",'Option 1'!H31)</f>
        <v/>
      </c>
      <c r="I31" s="184">
        <f>IF('Option 1'!I31="","",'Option 1'!I31)</f>
        <v>1023820</v>
      </c>
      <c r="J31" s="184" t="str">
        <f>IF('Option 1'!J31="","",'Option 1'!J31)</f>
        <v/>
      </c>
      <c r="K31" s="184" t="str">
        <f>IF('Option 1'!K31="","",'Option 1'!K31)</f>
        <v/>
      </c>
      <c r="L31" s="184" t="str">
        <f>IF('Option 1'!L31="","",'Option 1'!L31)</f>
        <v/>
      </c>
      <c r="M31" s="184" t="str">
        <f>IF('Option 1'!M31="","",'Option 1'!M31)</f>
        <v/>
      </c>
      <c r="N31" s="184" t="str">
        <f>IF('Option 1'!N31="","",'Option 1'!N31)</f>
        <v/>
      </c>
      <c r="O31" s="184" t="str">
        <f>IF('Option 1'!O31="","",'Option 1'!O31)</f>
        <v/>
      </c>
      <c r="P31" s="124">
        <f t="shared" si="10"/>
        <v>1023820</v>
      </c>
    </row>
    <row r="32" spans="1:16" ht="15.75" customHeight="1" x14ac:dyDescent="0.25">
      <c r="A32" s="239"/>
      <c r="B32" s="4" t="str">
        <f>IF('Option 1'!B32="","",'Option 1'!B32)</f>
        <v/>
      </c>
      <c r="C32" s="182" t="str">
        <f>IF('Option 1'!C32="","",'Option 1'!C32)</f>
        <v>Asphalt Fire Lane Pavement Sealcoating</v>
      </c>
      <c r="D32" s="185" t="str">
        <f>IF('Option 1'!D32="","",'Option 1'!D32)</f>
        <v/>
      </c>
      <c r="E32" s="184" t="str">
        <f>IF('Option 1'!E32="","",'Option 1'!E32)</f>
        <v/>
      </c>
      <c r="F32" s="184" t="str">
        <f>IF('Option 1'!F32="","",'Option 1'!F32)</f>
        <v/>
      </c>
      <c r="G32" s="184" t="str">
        <f>IF('Option 1'!G32="","",'Option 1'!G32)</f>
        <v/>
      </c>
      <c r="H32" s="184" t="str">
        <f>IF('Option 1'!H32="","",'Option 1'!H32)</f>
        <v/>
      </c>
      <c r="I32" s="184" t="str">
        <f>IF('Option 1'!I32="","",'Option 1'!I32)</f>
        <v/>
      </c>
      <c r="J32" s="184" t="str">
        <f>IF('Option 1'!J32="","",'Option 1'!J32)</f>
        <v/>
      </c>
      <c r="K32" s="184">
        <f>IF('Option 1'!K32="","",'Option 1'!K32)</f>
        <v>46150</v>
      </c>
      <c r="L32" s="184" t="str">
        <f>IF('Option 1'!L32="","",'Option 1'!L32)</f>
        <v/>
      </c>
      <c r="M32" s="184" t="str">
        <f>IF('Option 1'!M32="","",'Option 1'!M32)</f>
        <v/>
      </c>
      <c r="N32" s="184" t="str">
        <f>IF('Option 1'!N32="","",'Option 1'!N32)</f>
        <v/>
      </c>
      <c r="O32" s="184" t="str">
        <f>IF('Option 1'!O32="","",'Option 1'!O32)</f>
        <v/>
      </c>
      <c r="P32" s="124">
        <f t="shared" si="10"/>
        <v>46150</v>
      </c>
    </row>
    <row r="33" spans="1:16" ht="15.75" customHeight="1" x14ac:dyDescent="0.25">
      <c r="A33" s="239"/>
      <c r="B33" s="4" t="str">
        <f>IF('Option 1'!B33="","",'Option 1'!B33)</f>
        <v/>
      </c>
      <c r="C33" s="182" t="str">
        <f>IF('Option 1'!C33="","",'Option 1'!C33)</f>
        <v>Asphalt Parking Lot Pavement</v>
      </c>
      <c r="D33" s="185" t="str">
        <f>IF('Option 1'!D33="","",'Option 1'!D33)</f>
        <v/>
      </c>
      <c r="E33" s="184">
        <f>IF('Option 1'!E33="","",'Option 1'!E33)</f>
        <v>120000</v>
      </c>
      <c r="F33" s="184" t="str">
        <f>IF('Option 1'!F33="","",'Option 1'!F33)</f>
        <v/>
      </c>
      <c r="G33" s="184" t="str">
        <f>IF('Option 1'!G33="","",'Option 1'!G33)</f>
        <v/>
      </c>
      <c r="H33" s="184" t="str">
        <f>IF('Option 1'!H33="","",'Option 1'!H33)</f>
        <v/>
      </c>
      <c r="I33" s="184" t="str">
        <f>IF('Option 1'!I33="","",'Option 1'!I33)</f>
        <v/>
      </c>
      <c r="J33" s="184">
        <f>IF('Option 1'!J33="","",'Option 1'!J33)</f>
        <v>384660</v>
      </c>
      <c r="K33" s="184">
        <f>IF('Option 1'!K33="","",'Option 1'!K33)</f>
        <v>571410</v>
      </c>
      <c r="L33" s="184">
        <f>IF('Option 1'!L33="","",'Option 1'!L33)</f>
        <v>134413</v>
      </c>
      <c r="M33" s="184">
        <f>IF('Option 1'!M33="","",'Option 1'!M33)</f>
        <v>457398</v>
      </c>
      <c r="N33" s="184">
        <f>IF('Option 1'!N33="","",'Option 1'!N33)</f>
        <v>0</v>
      </c>
      <c r="O33" s="184" t="str">
        <f>IF('Option 1'!O33="","",'Option 1'!O33)</f>
        <v/>
      </c>
      <c r="P33" s="124">
        <f t="shared" si="10"/>
        <v>1667881</v>
      </c>
    </row>
    <row r="34" spans="1:16" ht="15.75" customHeight="1" x14ac:dyDescent="0.25">
      <c r="A34" s="239"/>
      <c r="B34" s="4" t="str">
        <f>IF('Option 1'!B34="","",'Option 1'!B34)</f>
        <v/>
      </c>
      <c r="C34" s="182" t="str">
        <f>IF('Option 1'!C34="","",'Option 1'!C34)</f>
        <v>Asphalt Parking Lot Sealcoating</v>
      </c>
      <c r="D34" s="185" t="str">
        <f>IF('Option 1'!D34="","",'Option 1'!D34)</f>
        <v/>
      </c>
      <c r="E34" s="184" t="str">
        <f>IF('Option 1'!E34="","",'Option 1'!E34)</f>
        <v/>
      </c>
      <c r="F34" s="184" t="str">
        <f>IF('Option 1'!F34="","",'Option 1'!F34)</f>
        <v/>
      </c>
      <c r="G34" s="184" t="str">
        <f>IF('Option 1'!G34="","",'Option 1'!G34)</f>
        <v/>
      </c>
      <c r="H34" s="184" t="str">
        <f>IF('Option 1'!H34="","",'Option 1'!H34)</f>
        <v/>
      </c>
      <c r="I34" s="184" t="str">
        <f>IF('Option 1'!I34="","",'Option 1'!I34)</f>
        <v/>
      </c>
      <c r="J34" s="184" t="str">
        <f>IF('Option 1'!J34="","",'Option 1'!J34)</f>
        <v/>
      </c>
      <c r="K34" s="184" t="str">
        <f>IF('Option 1'!K34="","",'Option 1'!K34)</f>
        <v/>
      </c>
      <c r="L34" s="184" t="str">
        <f>IF('Option 1'!L34="","",'Option 1'!L34)</f>
        <v/>
      </c>
      <c r="M34" s="184" t="str">
        <f>IF('Option 1'!M34="","",'Option 1'!M34)</f>
        <v/>
      </c>
      <c r="N34" s="184" t="str">
        <f>IF('Option 1'!N34="","",'Option 1'!N34)</f>
        <v/>
      </c>
      <c r="O34" s="184" t="str">
        <f>IF('Option 1'!O34="","",'Option 1'!O34)</f>
        <v/>
      </c>
      <c r="P34" s="124">
        <f t="shared" si="10"/>
        <v>0</v>
      </c>
    </row>
    <row r="35" spans="1:16" ht="15.75" customHeight="1" x14ac:dyDescent="0.25">
      <c r="A35" s="239"/>
      <c r="B35" s="4" t="str">
        <f>IF('Option 1'!B35="","",'Option 1'!B35)</f>
        <v/>
      </c>
      <c r="C35" s="182" t="str">
        <f>IF('Option 1'!C35="","",'Option 1'!C35)</f>
        <v>Ramp Asphalt Pavement (Grind and Resurface)</v>
      </c>
      <c r="D35" s="183" t="str">
        <f>IF('Option 1'!D35="","",'Option 1'!D35)</f>
        <v/>
      </c>
      <c r="E35" s="184" t="str">
        <f>IF('Option 1'!E35="","",'Option 1'!E35)</f>
        <v/>
      </c>
      <c r="F35" s="184" t="str">
        <f>IF('Option 1'!F35="","",'Option 1'!F35)</f>
        <v/>
      </c>
      <c r="G35" s="184" t="str">
        <f>IF('Option 1'!G35="","",'Option 1'!G35)</f>
        <v/>
      </c>
      <c r="H35" s="184" t="str">
        <f>IF('Option 1'!H35="","",'Option 1'!H35)</f>
        <v/>
      </c>
      <c r="I35" s="184" t="str">
        <f>IF('Option 1'!I35="","",'Option 1'!I35)</f>
        <v/>
      </c>
      <c r="J35" s="184">
        <f>IF('Option 1'!J35="","",'Option 1'!J35)</f>
        <v>50460</v>
      </c>
      <c r="K35" s="184" t="str">
        <f>IF('Option 1'!K35="","",'Option 1'!K35)</f>
        <v/>
      </c>
      <c r="L35" s="184" t="str">
        <f>IF('Option 1'!L35="","",'Option 1'!L35)</f>
        <v/>
      </c>
      <c r="M35" s="184" t="str">
        <f>IF('Option 1'!M35="","",'Option 1'!M35)</f>
        <v/>
      </c>
      <c r="N35" s="184" t="str">
        <f>IF('Option 1'!N35="","",'Option 1'!N35)</f>
        <v/>
      </c>
      <c r="O35" s="184" t="str">
        <f>IF('Option 1'!O35="","",'Option 1'!O35)</f>
        <v/>
      </c>
      <c r="P35" s="124">
        <f t="shared" si="10"/>
        <v>50460</v>
      </c>
    </row>
    <row r="36" spans="1:16" ht="15.75" customHeight="1" x14ac:dyDescent="0.25">
      <c r="A36" s="239"/>
      <c r="B36" s="4" t="str">
        <f>IF('Option 1'!B36="","",'Option 1'!B36)</f>
        <v/>
      </c>
      <c r="C36" s="182" t="str">
        <f>IF('Option 1'!C36="","",'Option 1'!C36)</f>
        <v>Ramp Asphalt Sealcoating</v>
      </c>
      <c r="D36" s="183" t="str">
        <f>IF('Option 1'!D36="","",'Option 1'!D36)</f>
        <v/>
      </c>
      <c r="E36" s="184" t="str">
        <f>IF('Option 1'!E36="","",'Option 1'!E36)</f>
        <v/>
      </c>
      <c r="F36" s="184" t="str">
        <f>IF('Option 1'!F36="","",'Option 1'!F36)</f>
        <v/>
      </c>
      <c r="G36" s="184" t="str">
        <f>IF('Option 1'!G36="","",'Option 1'!G36)</f>
        <v/>
      </c>
      <c r="H36" s="184" t="str">
        <f>IF('Option 1'!H36="","",'Option 1'!H36)</f>
        <v/>
      </c>
      <c r="I36" s="184" t="str">
        <f>IF('Option 1'!I36="","",'Option 1'!I36)</f>
        <v/>
      </c>
      <c r="J36" s="184" t="str">
        <f>IF('Option 1'!J36="","",'Option 1'!J36)</f>
        <v/>
      </c>
      <c r="K36" s="184" t="str">
        <f>IF('Option 1'!K36="","",'Option 1'!K36)</f>
        <v/>
      </c>
      <c r="L36" s="184" t="str">
        <f>IF('Option 1'!L36="","",'Option 1'!L36)</f>
        <v/>
      </c>
      <c r="M36" s="184" t="str">
        <f>IF('Option 1'!M36="","",'Option 1'!M36)</f>
        <v/>
      </c>
      <c r="N36" s="184" t="str">
        <f>IF('Option 1'!N36="","",'Option 1'!N36)</f>
        <v/>
      </c>
      <c r="O36" s="184" t="str">
        <f>IF('Option 1'!O36="","",'Option 1'!O36)</f>
        <v/>
      </c>
      <c r="P36" s="124">
        <f t="shared" si="10"/>
        <v>0</v>
      </c>
    </row>
    <row r="37" spans="1:16" ht="15.75" customHeight="1" x14ac:dyDescent="0.25">
      <c r="A37" s="239"/>
      <c r="B37" s="4" t="str">
        <f>IF('Option 1'!B37="","",'Option 1'!B37)</f>
        <v/>
      </c>
      <c r="C37" s="182" t="str">
        <f>IF('Option 1'!C37="","",'Option 1'!C37)</f>
        <v>Street Concrete Curbs</v>
      </c>
      <c r="D37" s="183" t="str">
        <f>IF('Option 1'!D37="","",'Option 1'!D37)</f>
        <v/>
      </c>
      <c r="E37" s="184" t="str">
        <f>IF('Option 1'!E37="","",'Option 1'!E37)</f>
        <v/>
      </c>
      <c r="F37" s="184" t="str">
        <f>IF('Option 1'!F37="","",'Option 1'!F37)</f>
        <v/>
      </c>
      <c r="G37" s="184" t="str">
        <f>IF('Option 1'!G37="","",'Option 1'!G37)</f>
        <v/>
      </c>
      <c r="H37" s="184" t="str">
        <f>IF('Option 1'!H37="","",'Option 1'!H37)</f>
        <v/>
      </c>
      <c r="I37" s="184" t="str">
        <f>IF('Option 1'!I37="","",'Option 1'!I37)</f>
        <v/>
      </c>
      <c r="J37" s="184" t="str">
        <f>IF('Option 1'!J37="","",'Option 1'!J37)</f>
        <v/>
      </c>
      <c r="K37" s="184" t="str">
        <f>IF('Option 1'!K37="","",'Option 1'!K37)</f>
        <v/>
      </c>
      <c r="L37" s="184" t="str">
        <f>IF('Option 1'!L37="","",'Option 1'!L37)</f>
        <v/>
      </c>
      <c r="M37" s="184" t="str">
        <f>IF('Option 1'!M37="","",'Option 1'!M37)</f>
        <v/>
      </c>
      <c r="N37" s="184" t="str">
        <f>IF('Option 1'!N37="","",'Option 1'!N37)</f>
        <v/>
      </c>
      <c r="O37" s="184" t="str">
        <f>IF('Option 1'!O37="","",'Option 1'!O37)</f>
        <v/>
      </c>
      <c r="P37" s="124">
        <f t="shared" si="10"/>
        <v>0</v>
      </c>
    </row>
    <row r="38" spans="1:16" ht="15.75" customHeight="1" x14ac:dyDescent="0.25">
      <c r="A38" s="239"/>
      <c r="B38" s="4" t="str">
        <f>IF('Option 1'!B38="","",'Option 1'!B38)</f>
        <v/>
      </c>
      <c r="C38" s="182" t="str">
        <f>IF('Option 1'!C38="","",'Option 1'!C38)</f>
        <v>Parking Lot Concrete Curbs</v>
      </c>
      <c r="D38" s="183" t="str">
        <f>IF('Option 1'!D38="","",'Option 1'!D38)</f>
        <v/>
      </c>
      <c r="E38" s="184" t="str">
        <f>IF('Option 1'!E38="","",'Option 1'!E38)</f>
        <v/>
      </c>
      <c r="F38" s="184" t="str">
        <f>IF('Option 1'!F38="","",'Option 1'!F38)</f>
        <v/>
      </c>
      <c r="G38" s="184" t="str">
        <f>IF('Option 1'!G38="","",'Option 1'!G38)</f>
        <v/>
      </c>
      <c r="H38" s="184" t="str">
        <f>IF('Option 1'!H38="","",'Option 1'!H38)</f>
        <v/>
      </c>
      <c r="I38" s="184" t="str">
        <f>IF('Option 1'!I38="","",'Option 1'!I38)</f>
        <v/>
      </c>
      <c r="J38" s="184" t="str">
        <f>IF('Option 1'!J38="","",'Option 1'!J38)</f>
        <v/>
      </c>
      <c r="K38" s="184" t="str">
        <f>IF('Option 1'!K38="","",'Option 1'!K38)</f>
        <v/>
      </c>
      <c r="L38" s="184" t="str">
        <f>IF('Option 1'!L38="","",'Option 1'!L38)</f>
        <v/>
      </c>
      <c r="M38" s="184" t="str">
        <f>IF('Option 1'!M38="","",'Option 1'!M38)</f>
        <v/>
      </c>
      <c r="N38" s="184" t="str">
        <f>IF('Option 1'!N38="","",'Option 1'!N38)</f>
        <v/>
      </c>
      <c r="O38" s="184" t="str">
        <f>IF('Option 1'!O38="","",'Option 1'!O38)</f>
        <v/>
      </c>
      <c r="P38" s="124">
        <f t="shared" si="10"/>
        <v>0</v>
      </c>
    </row>
    <row r="39" spans="1:16" ht="15.75" customHeight="1" x14ac:dyDescent="0.25">
      <c r="A39" s="239"/>
      <c r="B39" s="4" t="str">
        <f>IF('Option 1'!B39="","",'Option 1'!B39)</f>
        <v/>
      </c>
      <c r="C39" s="182" t="str">
        <f>IF('Option 1'!C39="","",'Option 1'!C39)</f>
        <v>Ramp Concrete Curbs</v>
      </c>
      <c r="D39" s="183" t="str">
        <f>IF('Option 1'!D39="","",'Option 1'!D39)</f>
        <v/>
      </c>
      <c r="E39" s="184" t="str">
        <f>IF('Option 1'!E39="","",'Option 1'!E39)</f>
        <v/>
      </c>
      <c r="F39" s="184" t="str">
        <f>IF('Option 1'!F39="","",'Option 1'!F39)</f>
        <v/>
      </c>
      <c r="G39" s="184" t="str">
        <f>IF('Option 1'!G39="","",'Option 1'!G39)</f>
        <v/>
      </c>
      <c r="H39" s="184" t="str">
        <f>IF('Option 1'!H39="","",'Option 1'!H39)</f>
        <v/>
      </c>
      <c r="I39" s="184" t="str">
        <f>IF('Option 1'!I39="","",'Option 1'!I39)</f>
        <v/>
      </c>
      <c r="J39" s="184" t="str">
        <f>IF('Option 1'!J39="","",'Option 1'!J39)</f>
        <v/>
      </c>
      <c r="K39" s="184" t="str">
        <f>IF('Option 1'!K39="","",'Option 1'!K39)</f>
        <v/>
      </c>
      <c r="L39" s="184" t="str">
        <f>IF('Option 1'!L39="","",'Option 1'!L39)</f>
        <v/>
      </c>
      <c r="M39" s="184" t="str">
        <f>IF('Option 1'!M39="","",'Option 1'!M39)</f>
        <v/>
      </c>
      <c r="N39" s="184" t="str">
        <f>IF('Option 1'!N39="","",'Option 1'!N39)</f>
        <v/>
      </c>
      <c r="O39" s="184" t="str">
        <f>IF('Option 1'!O39="","",'Option 1'!O39)</f>
        <v/>
      </c>
      <c r="P39" s="124">
        <f t="shared" si="10"/>
        <v>0</v>
      </c>
    </row>
    <row r="40" spans="1:16" ht="15.75" customHeight="1" x14ac:dyDescent="0.25">
      <c r="A40" s="239"/>
      <c r="B40" s="4" t="str">
        <f>IF('Option 1'!B40="","",'Option 1'!B40)</f>
        <v/>
      </c>
      <c r="C40" s="182" t="str">
        <f>IF('Option 1'!C40="","",'Option 1'!C40)</f>
        <v>Aggregate 5'-0" Walkway</v>
      </c>
      <c r="D40" s="183" t="str">
        <f>IF('Option 1'!D40="","",'Option 1'!D40)</f>
        <v/>
      </c>
      <c r="E40" s="184" t="str">
        <f>IF('Option 1'!E40="","",'Option 1'!E40)</f>
        <v/>
      </c>
      <c r="F40" s="184" t="str">
        <f>IF('Option 1'!F40="","",'Option 1'!F40)</f>
        <v/>
      </c>
      <c r="G40" s="184" t="str">
        <f>IF('Option 1'!G40="","",'Option 1'!G40)</f>
        <v/>
      </c>
      <c r="H40" s="184" t="str">
        <f>IF('Option 1'!H40="","",'Option 1'!H40)</f>
        <v/>
      </c>
      <c r="I40" s="184" t="str">
        <f>IF('Option 1'!I40="","",'Option 1'!I40)</f>
        <v/>
      </c>
      <c r="J40" s="184" t="str">
        <f>IF('Option 1'!J40="","",'Option 1'!J40)</f>
        <v/>
      </c>
      <c r="K40" s="184" t="str">
        <f>IF('Option 1'!K40="","",'Option 1'!K40)</f>
        <v/>
      </c>
      <c r="L40" s="184" t="str">
        <f>IF('Option 1'!L40="","",'Option 1'!L40)</f>
        <v/>
      </c>
      <c r="M40" s="184" t="str">
        <f>IF('Option 1'!M40="","",'Option 1'!M40)</f>
        <v/>
      </c>
      <c r="N40" s="184" t="str">
        <f>IF('Option 1'!N40="","",'Option 1'!N40)</f>
        <v/>
      </c>
      <c r="O40" s="184" t="str">
        <f>IF('Option 1'!O40="","",'Option 1'!O40)</f>
        <v/>
      </c>
      <c r="P40" s="124">
        <f t="shared" si="10"/>
        <v>0</v>
      </c>
    </row>
    <row r="41" spans="1:16" ht="15.75" customHeight="1" x14ac:dyDescent="0.25">
      <c r="A41" s="239"/>
      <c r="B41" s="4" t="str">
        <f>IF('Option 1'!B41="","",'Option 1'!B41)</f>
        <v/>
      </c>
      <c r="C41" s="182" t="str">
        <f>IF('Option 1'!C41="","",'Option 1'!C41)</f>
        <v>Storm Sewer System</v>
      </c>
      <c r="D41" s="183" t="str">
        <f>IF('Option 1'!D41="","",'Option 1'!D41)</f>
        <v/>
      </c>
      <c r="E41" s="184" t="str">
        <f>IF('Option 1'!E41="","",'Option 1'!E41)</f>
        <v/>
      </c>
      <c r="F41" s="184" t="str">
        <f>IF('Option 1'!F41="","",'Option 1'!F41)</f>
        <v/>
      </c>
      <c r="G41" s="184" t="str">
        <f>IF('Option 1'!G41="","",'Option 1'!G41)</f>
        <v/>
      </c>
      <c r="H41" s="184" t="str">
        <f>IF('Option 1'!H41="","",'Option 1'!H41)</f>
        <v/>
      </c>
      <c r="I41" s="184" t="str">
        <f>IF('Option 1'!I41="","",'Option 1'!I41)</f>
        <v/>
      </c>
      <c r="J41" s="184" t="str">
        <f>IF('Option 1'!J41="","",'Option 1'!J41)</f>
        <v/>
      </c>
      <c r="K41" s="184" t="str">
        <f>IF('Option 1'!K41="","",'Option 1'!K41)</f>
        <v/>
      </c>
      <c r="L41" s="184" t="str">
        <f>IF('Option 1'!L41="","",'Option 1'!L41)</f>
        <v/>
      </c>
      <c r="M41" s="184">
        <f>IF('Option 1'!M41="","",'Option 1'!M41)</f>
        <v>30445</v>
      </c>
      <c r="N41" s="184" t="str">
        <f>IF('Option 1'!N41="","",'Option 1'!N41)</f>
        <v/>
      </c>
      <c r="O41" s="184" t="str">
        <f>IF('Option 1'!O41="","",'Option 1'!O41)</f>
        <v/>
      </c>
      <c r="P41" s="124">
        <f t="shared" si="10"/>
        <v>30445</v>
      </c>
    </row>
    <row r="42" spans="1:16" ht="15.75" customHeight="1" x14ac:dyDescent="0.25">
      <c r="A42" s="239"/>
      <c r="B42" s="4" t="str">
        <f>IF('Option 1'!B42="","",'Option 1'!B42)</f>
        <v/>
      </c>
      <c r="C42" s="182" t="str">
        <f>IF('Option 1'!C42="","",'Option 1'!C42)</f>
        <v>Concrete Entry Walk (Clubhouse)</v>
      </c>
      <c r="D42" s="183" t="str">
        <f>IF('Option 1'!D42="","",'Option 1'!D42)</f>
        <v/>
      </c>
      <c r="E42" s="184" t="str">
        <f>IF('Option 1'!E42="","",'Option 1'!E42)</f>
        <v/>
      </c>
      <c r="F42" s="184" t="str">
        <f>IF('Option 1'!F42="","",'Option 1'!F42)</f>
        <v/>
      </c>
      <c r="G42" s="184" t="str">
        <f>IF('Option 1'!G42="","",'Option 1'!G42)</f>
        <v/>
      </c>
      <c r="H42" s="184" t="str">
        <f>IF('Option 1'!H42="","",'Option 1'!H42)</f>
        <v/>
      </c>
      <c r="I42" s="184" t="str">
        <f>IF('Option 1'!I42="","",'Option 1'!I42)</f>
        <v/>
      </c>
      <c r="J42" s="184" t="str">
        <f>IF('Option 1'!J42="","",'Option 1'!J42)</f>
        <v/>
      </c>
      <c r="K42" s="184" t="str">
        <f>IF('Option 1'!K42="","",'Option 1'!K42)</f>
        <v/>
      </c>
      <c r="L42" s="184" t="str">
        <f>IF('Option 1'!L42="","",'Option 1'!L42)</f>
        <v/>
      </c>
      <c r="M42" s="184" t="str">
        <f>IF('Option 1'!M42="","",'Option 1'!M42)</f>
        <v/>
      </c>
      <c r="N42" s="184" t="str">
        <f>IF('Option 1'!N42="","",'Option 1'!N42)</f>
        <v/>
      </c>
      <c r="O42" s="184" t="str">
        <f>IF('Option 1'!O42="","",'Option 1'!O42)</f>
        <v/>
      </c>
      <c r="P42" s="124">
        <f t="shared" si="10"/>
        <v>0</v>
      </c>
    </row>
    <row r="43" spans="1:16" ht="15.75" customHeight="1" x14ac:dyDescent="0.25">
      <c r="A43" s="239"/>
      <c r="B43" s="4" t="str">
        <f>IF('Option 1'!B43="","",'Option 1'!B43)</f>
        <v/>
      </c>
      <c r="C43" s="182" t="str">
        <f>IF('Option 1'!C43="","",'Option 1'!C43)</f>
        <v>Rear Concrete Walks</v>
      </c>
      <c r="D43" s="183" t="str">
        <f>IF('Option 1'!D43="","",'Option 1'!D43)</f>
        <v/>
      </c>
      <c r="E43" s="184">
        <f>IF('Option 1'!E43="","",'Option 1'!E43)</f>
        <v>27835</v>
      </c>
      <c r="F43" s="184" t="str">
        <f>IF('Option 1'!F43="","",'Option 1'!F43)</f>
        <v/>
      </c>
      <c r="G43" s="184" t="str">
        <f>IF('Option 1'!G43="","",'Option 1'!G43)</f>
        <v/>
      </c>
      <c r="H43" s="184" t="str">
        <f>IF('Option 1'!H43="","",'Option 1'!H43)</f>
        <v/>
      </c>
      <c r="I43" s="184" t="str">
        <f>IF('Option 1'!I43="","",'Option 1'!I43)</f>
        <v/>
      </c>
      <c r="J43" s="184" t="str">
        <f>IF('Option 1'!J43="","",'Option 1'!J43)</f>
        <v/>
      </c>
      <c r="K43" s="184" t="str">
        <f>IF('Option 1'!K43="","",'Option 1'!K43)</f>
        <v/>
      </c>
      <c r="L43" s="184" t="str">
        <f>IF('Option 1'!L43="","",'Option 1'!L43)</f>
        <v/>
      </c>
      <c r="M43" s="184" t="str">
        <f>IF('Option 1'!M43="","",'Option 1'!M43)</f>
        <v/>
      </c>
      <c r="N43" s="184" t="str">
        <f>IF('Option 1'!N43="","",'Option 1'!N43)</f>
        <v/>
      </c>
      <c r="O43" s="184" t="str">
        <f>IF('Option 1'!O43="","",'Option 1'!O43)</f>
        <v/>
      </c>
      <c r="P43" s="124">
        <f t="shared" si="10"/>
        <v>27835</v>
      </c>
    </row>
    <row r="44" spans="1:16" ht="15.75" customHeight="1" x14ac:dyDescent="0.25">
      <c r="A44" s="239"/>
      <c r="B44" s="4" t="str">
        <f>IF('Option 1'!B44="","",'Option 1'!B44)</f>
        <v/>
      </c>
      <c r="C44" s="182" t="str">
        <f>IF('Option 1'!C44="","",'Option 1'!C44)</f>
        <v>Brick Paver Entry Walks (Bldgs. 1405, 1515, 1605, &amp; 1615)</v>
      </c>
      <c r="D44" s="183" t="str">
        <f>IF('Option 1'!D44="","",'Option 1'!D44)</f>
        <v/>
      </c>
      <c r="E44" s="184" t="str">
        <f>IF('Option 1'!E44="","",'Option 1'!E44)</f>
        <v/>
      </c>
      <c r="F44" s="184" t="str">
        <f>IF('Option 1'!F44="","",'Option 1'!F44)</f>
        <v/>
      </c>
      <c r="G44" s="184" t="str">
        <f>IF('Option 1'!G44="","",'Option 1'!G44)</f>
        <v/>
      </c>
      <c r="H44" s="184" t="str">
        <f>IF('Option 1'!H44="","",'Option 1'!H44)</f>
        <v/>
      </c>
      <c r="I44" s="184" t="str">
        <f>IF('Option 1'!I44="","",'Option 1'!I44)</f>
        <v/>
      </c>
      <c r="J44" s="184" t="str">
        <f>IF('Option 1'!J44="","",'Option 1'!J44)</f>
        <v/>
      </c>
      <c r="K44" s="184" t="str">
        <f>IF('Option 1'!K44="","",'Option 1'!K44)</f>
        <v/>
      </c>
      <c r="L44" s="184" t="str">
        <f>IF('Option 1'!L44="","",'Option 1'!L44)</f>
        <v/>
      </c>
      <c r="M44" s="184" t="str">
        <f>IF('Option 1'!M44="","",'Option 1'!M44)</f>
        <v/>
      </c>
      <c r="N44" s="184" t="str">
        <f>IF('Option 1'!N44="","",'Option 1'!N44)</f>
        <v/>
      </c>
      <c r="O44" s="184" t="str">
        <f>IF('Option 1'!O44="","",'Option 1'!O44)</f>
        <v/>
      </c>
      <c r="P44" s="124">
        <f t="shared" si="10"/>
        <v>0</v>
      </c>
    </row>
    <row r="45" spans="1:16" ht="15.75" customHeight="1" x14ac:dyDescent="0.25">
      <c r="A45" s="239"/>
      <c r="B45" s="4" t="str">
        <f>IF('Option 1'!B45="","",'Option 1'!B45)</f>
        <v/>
      </c>
      <c r="C45" s="182" t="str">
        <f>IF('Option 1'!C45="","",'Option 1'!C45)</f>
        <v>Brick Paver Entry Walks (Bldgs. 1415 &amp; 1505)</v>
      </c>
      <c r="D45" s="183" t="str">
        <f>IF('Option 1'!D45="","",'Option 1'!D45)</f>
        <v/>
      </c>
      <c r="E45" s="184" t="str">
        <f>IF('Option 1'!E45="","",'Option 1'!E45)</f>
        <v/>
      </c>
      <c r="F45" s="184" t="str">
        <f>IF('Option 1'!F45="","",'Option 1'!F45)</f>
        <v/>
      </c>
      <c r="G45" s="184" t="str">
        <f>IF('Option 1'!G45="","",'Option 1'!G45)</f>
        <v/>
      </c>
      <c r="H45" s="184" t="str">
        <f>IF('Option 1'!H45="","",'Option 1'!H45)</f>
        <v/>
      </c>
      <c r="I45" s="184" t="str">
        <f>IF('Option 1'!I45="","",'Option 1'!I45)</f>
        <v/>
      </c>
      <c r="J45" s="184" t="str">
        <f>IF('Option 1'!J45="","",'Option 1'!J45)</f>
        <v/>
      </c>
      <c r="K45" s="184" t="str">
        <f>IF('Option 1'!K45="","",'Option 1'!K45)</f>
        <v/>
      </c>
      <c r="L45" s="184" t="str">
        <f>IF('Option 1'!L45="","",'Option 1'!L45)</f>
        <v/>
      </c>
      <c r="M45" s="184" t="str">
        <f>IF('Option 1'!M45="","",'Option 1'!M45)</f>
        <v/>
      </c>
      <c r="N45" s="184" t="str">
        <f>IF('Option 1'!N45="","",'Option 1'!N45)</f>
        <v/>
      </c>
      <c r="O45" s="184" t="str">
        <f>IF('Option 1'!O45="","",'Option 1'!O45)</f>
        <v/>
      </c>
      <c r="P45" s="124">
        <f t="shared" si="10"/>
        <v>0</v>
      </c>
    </row>
    <row r="46" spans="1:16" ht="15.75" customHeight="1" x14ac:dyDescent="0.25">
      <c r="A46" s="239"/>
      <c r="B46" s="4" t="str">
        <f>IF('Option 1'!B46="","",'Option 1'!B46)</f>
        <v/>
      </c>
      <c r="C46" s="182" t="str">
        <f>IF('Option 1'!C46="","",'Option 1'!C46)</f>
        <v>Stone Paver Walks (Concrete)</v>
      </c>
      <c r="D46" s="183" t="str">
        <f>IF('Option 1'!D46="","",'Option 1'!D46)</f>
        <v/>
      </c>
      <c r="E46" s="184" t="str">
        <f>IF('Option 1'!E46="","",'Option 1'!E46)</f>
        <v/>
      </c>
      <c r="F46" s="184" t="str">
        <f>IF('Option 1'!F46="","",'Option 1'!F46)</f>
        <v/>
      </c>
      <c r="G46" s="184" t="str">
        <f>IF('Option 1'!G46="","",'Option 1'!G46)</f>
        <v/>
      </c>
      <c r="H46" s="184" t="str">
        <f>IF('Option 1'!H46="","",'Option 1'!H46)</f>
        <v/>
      </c>
      <c r="I46" s="184" t="str">
        <f>IF('Option 1'!I46="","",'Option 1'!I46)</f>
        <v/>
      </c>
      <c r="J46" s="184" t="str">
        <f>IF('Option 1'!J46="","",'Option 1'!J46)</f>
        <v/>
      </c>
      <c r="K46" s="184" t="str">
        <f>IF('Option 1'!K46="","",'Option 1'!K46)</f>
        <v/>
      </c>
      <c r="L46" s="184" t="str">
        <f>IF('Option 1'!L46="","",'Option 1'!L46)</f>
        <v/>
      </c>
      <c r="M46" s="184" t="str">
        <f>IF('Option 1'!M46="","",'Option 1'!M46)</f>
        <v/>
      </c>
      <c r="N46" s="184" t="str">
        <f>IF('Option 1'!N46="","",'Option 1'!N46)</f>
        <v/>
      </c>
      <c r="O46" s="184" t="str">
        <f>IF('Option 1'!O46="","",'Option 1'!O46)</f>
        <v/>
      </c>
      <c r="P46" s="124">
        <f t="shared" si="10"/>
        <v>0</v>
      </c>
    </row>
    <row r="47" spans="1:16" ht="15.75" customHeight="1" x14ac:dyDescent="0.25">
      <c r="A47" s="239"/>
      <c r="B47" s="4" t="str">
        <f>IF('Option 1'!B47="","",'Option 1'!B47)</f>
        <v/>
      </c>
      <c r="C47" s="182" t="str">
        <f>IF('Option 1'!C47="","",'Option 1'!C47)</f>
        <v>Concrete Trash Pads</v>
      </c>
      <c r="D47" s="183" t="str">
        <f>IF('Option 1'!D47="","",'Option 1'!D47)</f>
        <v/>
      </c>
      <c r="E47" s="184" t="str">
        <f>IF('Option 1'!E47="","",'Option 1'!E47)</f>
        <v/>
      </c>
      <c r="F47" s="184" t="str">
        <f>IF('Option 1'!F47="","",'Option 1'!F47)</f>
        <v/>
      </c>
      <c r="G47" s="184" t="str">
        <f>IF('Option 1'!G47="","",'Option 1'!G47)</f>
        <v/>
      </c>
      <c r="H47" s="184" t="str">
        <f>IF('Option 1'!H47="","",'Option 1'!H47)</f>
        <v/>
      </c>
      <c r="I47" s="184" t="str">
        <f>IF('Option 1'!I47="","",'Option 1'!I47)</f>
        <v/>
      </c>
      <c r="J47" s="184" t="str">
        <f>IF('Option 1'!J47="","",'Option 1'!J47)</f>
        <v/>
      </c>
      <c r="K47" s="184" t="str">
        <f>IF('Option 1'!K47="","",'Option 1'!K47)</f>
        <v/>
      </c>
      <c r="L47" s="184" t="str">
        <f>IF('Option 1'!L47="","",'Option 1'!L47)</f>
        <v/>
      </c>
      <c r="M47" s="184" t="str">
        <f>IF('Option 1'!M47="","",'Option 1'!M47)</f>
        <v/>
      </c>
      <c r="N47" s="184">
        <f>IF('Option 1'!N47="","",'Option 1'!N47)</f>
        <v>30456</v>
      </c>
      <c r="O47" s="184" t="str">
        <f>IF('Option 1'!O47="","",'Option 1'!O47)</f>
        <v/>
      </c>
      <c r="P47" s="124">
        <f t="shared" si="10"/>
        <v>30456</v>
      </c>
    </row>
    <row r="48" spans="1:16" ht="15.75" customHeight="1" x14ac:dyDescent="0.25">
      <c r="A48" s="239"/>
      <c r="B48" s="4" t="str">
        <f>IF('Option 1'!B48="","",'Option 1'!B48)</f>
        <v/>
      </c>
      <c r="C48" s="182" t="str">
        <f>IF('Option 1'!C48="","",'Option 1'!C48)</f>
        <v>Split Rail Fence</v>
      </c>
      <c r="D48" s="183" t="str">
        <f>IF('Option 1'!D48="","",'Option 1'!D48)</f>
        <v/>
      </c>
      <c r="E48" s="184" t="str">
        <f>IF('Option 1'!E48="","",'Option 1'!E48)</f>
        <v/>
      </c>
      <c r="F48" s="184" t="str">
        <f>IF('Option 1'!F48="","",'Option 1'!F48)</f>
        <v/>
      </c>
      <c r="G48" s="184" t="str">
        <f>IF('Option 1'!G48="","",'Option 1'!G48)</f>
        <v/>
      </c>
      <c r="H48" s="184" t="str">
        <f>IF('Option 1'!H48="","",'Option 1'!H48)</f>
        <v/>
      </c>
      <c r="I48" s="184" t="str">
        <f>IF('Option 1'!I48="","",'Option 1'!I48)</f>
        <v/>
      </c>
      <c r="J48" s="184" t="str">
        <f>IF('Option 1'!J48="","",'Option 1'!J48)</f>
        <v/>
      </c>
      <c r="K48" s="184" t="str">
        <f>IF('Option 1'!K48="","",'Option 1'!K48)</f>
        <v/>
      </c>
      <c r="L48" s="184" t="str">
        <f>IF('Option 1'!L48="","",'Option 1'!L48)</f>
        <v/>
      </c>
      <c r="M48" s="184" t="str">
        <f>IF('Option 1'!M48="","",'Option 1'!M48)</f>
        <v/>
      </c>
      <c r="N48" s="184" t="str">
        <f>IF('Option 1'!N48="","",'Option 1'!N48)</f>
        <v/>
      </c>
      <c r="O48" s="184" t="str">
        <f>IF('Option 1'!O48="","",'Option 1'!O48)</f>
        <v/>
      </c>
      <c r="P48" s="124">
        <f t="shared" si="10"/>
        <v>0</v>
      </c>
    </row>
    <row r="49" spans="1:16" ht="15.75" customHeight="1" x14ac:dyDescent="0.25">
      <c r="A49" s="239"/>
      <c r="B49" s="4" t="str">
        <f>IF('Option 1'!B49="","",'Option 1'!B49)</f>
        <v/>
      </c>
      <c r="C49" s="182" t="str">
        <f>IF('Option 1'!C49="","",'Option 1'!C49)</f>
        <v>Chain Link Fence at SW (5')</v>
      </c>
      <c r="D49" s="183" t="str">
        <f>IF('Option 1'!D49="","",'Option 1'!D49)</f>
        <v/>
      </c>
      <c r="E49" s="184" t="str">
        <f>IF('Option 1'!E49="","",'Option 1'!E49)</f>
        <v/>
      </c>
      <c r="F49" s="184" t="str">
        <f>IF('Option 1'!F49="","",'Option 1'!F49)</f>
        <v/>
      </c>
      <c r="G49" s="184" t="str">
        <f>IF('Option 1'!G49="","",'Option 1'!G49)</f>
        <v/>
      </c>
      <c r="H49" s="184" t="str">
        <f>IF('Option 1'!H49="","",'Option 1'!H49)</f>
        <v/>
      </c>
      <c r="I49" s="184" t="str">
        <f>IF('Option 1'!I49="","",'Option 1'!I49)</f>
        <v/>
      </c>
      <c r="J49" s="184" t="str">
        <f>IF('Option 1'!J49="","",'Option 1'!J49)</f>
        <v/>
      </c>
      <c r="K49" s="184" t="str">
        <f>IF('Option 1'!K49="","",'Option 1'!K49)</f>
        <v/>
      </c>
      <c r="L49" s="184" t="str">
        <f>IF('Option 1'!L49="","",'Option 1'!L49)</f>
        <v/>
      </c>
      <c r="M49" s="184" t="str">
        <f>IF('Option 1'!M49="","",'Option 1'!M49)</f>
        <v/>
      </c>
      <c r="N49" s="184" t="str">
        <f>IF('Option 1'!N49="","",'Option 1'!N49)</f>
        <v/>
      </c>
      <c r="O49" s="184" t="str">
        <f>IF('Option 1'!O49="","",'Option 1'!O49)</f>
        <v/>
      </c>
      <c r="P49" s="124">
        <f t="shared" si="10"/>
        <v>0</v>
      </c>
    </row>
    <row r="50" spans="1:16" ht="15.75" customHeight="1" x14ac:dyDescent="0.25">
      <c r="A50" s="239"/>
      <c r="B50" s="4" t="str">
        <f>IF('Option 1'!B50="","",'Option 1'!B50)</f>
        <v/>
      </c>
      <c r="C50" s="182" t="str">
        <f>IF('Option 1'!C50="","",'Option 1'!C50)</f>
        <v>Chain Link Fence (6')</v>
      </c>
      <c r="D50" s="183" t="str">
        <f>IF('Option 1'!D50="","",'Option 1'!D50)</f>
        <v/>
      </c>
      <c r="E50" s="184" t="str">
        <f>IF('Option 1'!E50="","",'Option 1'!E50)</f>
        <v/>
      </c>
      <c r="F50" s="184" t="str">
        <f>IF('Option 1'!F50="","",'Option 1'!F50)</f>
        <v/>
      </c>
      <c r="G50" s="184" t="str">
        <f>IF('Option 1'!G50="","",'Option 1'!G50)</f>
        <v/>
      </c>
      <c r="H50" s="184" t="str">
        <f>IF('Option 1'!H50="","",'Option 1'!H50)</f>
        <v/>
      </c>
      <c r="I50" s="184" t="str">
        <f>IF('Option 1'!I50="","",'Option 1'!I50)</f>
        <v/>
      </c>
      <c r="J50" s="184" t="str">
        <f>IF('Option 1'!J50="","",'Option 1'!J50)</f>
        <v/>
      </c>
      <c r="K50" s="184" t="str">
        <f>IF('Option 1'!K50="","",'Option 1'!K50)</f>
        <v/>
      </c>
      <c r="L50" s="184" t="str">
        <f>IF('Option 1'!L50="","",'Option 1'!L50)</f>
        <v/>
      </c>
      <c r="M50" s="184" t="str">
        <f>IF('Option 1'!M50="","",'Option 1'!M50)</f>
        <v/>
      </c>
      <c r="N50" s="184" t="str">
        <f>IF('Option 1'!N50="","",'Option 1'!N50)</f>
        <v/>
      </c>
      <c r="O50" s="184" t="str">
        <f>IF('Option 1'!O50="","",'Option 1'!O50)</f>
        <v/>
      </c>
      <c r="P50" s="124">
        <f t="shared" si="10"/>
        <v>0</v>
      </c>
    </row>
    <row r="51" spans="1:16" ht="15.75" customHeight="1" x14ac:dyDescent="0.25">
      <c r="A51" s="239"/>
      <c r="B51" s="4" t="str">
        <f>IF('Option 1'!B51="","",'Option 1'!B51)</f>
        <v/>
      </c>
      <c r="C51" s="182" t="str">
        <f>IF('Option 1'!C51="","",'Option 1'!C51)</f>
        <v>Patio Aluminum Fence</v>
      </c>
      <c r="D51" s="183" t="str">
        <f>IF('Option 1'!D51="","",'Option 1'!D51)</f>
        <v/>
      </c>
      <c r="E51" s="184" t="str">
        <f>IF('Option 1'!E51="","",'Option 1'!E51)</f>
        <v/>
      </c>
      <c r="F51" s="184" t="str">
        <f>IF('Option 1'!F51="","",'Option 1'!F51)</f>
        <v/>
      </c>
      <c r="G51" s="184" t="str">
        <f>IF('Option 1'!G51="","",'Option 1'!G51)</f>
        <v/>
      </c>
      <c r="H51" s="184" t="str">
        <f>IF('Option 1'!H51="","",'Option 1'!H51)</f>
        <v/>
      </c>
      <c r="I51" s="184" t="str">
        <f>IF('Option 1'!I51="","",'Option 1'!I51)</f>
        <v/>
      </c>
      <c r="J51" s="184" t="str">
        <f>IF('Option 1'!J51="","",'Option 1'!J51)</f>
        <v/>
      </c>
      <c r="K51" s="184" t="str">
        <f>IF('Option 1'!K51="","",'Option 1'!K51)</f>
        <v/>
      </c>
      <c r="L51" s="184" t="str">
        <f>IF('Option 1'!L51="","",'Option 1'!L51)</f>
        <v/>
      </c>
      <c r="M51" s="184" t="str">
        <f>IF('Option 1'!M51="","",'Option 1'!M51)</f>
        <v/>
      </c>
      <c r="N51" s="184" t="str">
        <f>IF('Option 1'!N51="","",'Option 1'!N51)</f>
        <v/>
      </c>
      <c r="O51" s="184" t="str">
        <f>IF('Option 1'!O51="","",'Option 1'!O51)</f>
        <v/>
      </c>
      <c r="P51" s="124">
        <f t="shared" si="10"/>
        <v>0</v>
      </c>
    </row>
    <row r="52" spans="1:16" ht="15.75" customHeight="1" x14ac:dyDescent="0.25">
      <c r="A52" s="239"/>
      <c r="B52" s="4" t="str">
        <f>IF('Option 1'!B52="","",'Option 1'!B52)</f>
        <v/>
      </c>
      <c r="C52" s="182" t="str">
        <f>IF('Option 1'!C52="","",'Option 1'!C52)</f>
        <v>Concrete Retaining Walls</v>
      </c>
      <c r="D52" s="186" t="str">
        <f>IF('Option 1'!D52="","",'Option 1'!D52)</f>
        <v/>
      </c>
      <c r="E52" s="184" t="str">
        <f>IF('Option 1'!E52="","",'Option 1'!E52)</f>
        <v/>
      </c>
      <c r="F52" s="184" t="str">
        <f>IF('Option 1'!F52="","",'Option 1'!F52)</f>
        <v/>
      </c>
      <c r="G52" s="184" t="str">
        <f>IF('Option 1'!G52="","",'Option 1'!G52)</f>
        <v/>
      </c>
      <c r="H52" s="184" t="str">
        <f>IF('Option 1'!H52="","",'Option 1'!H52)</f>
        <v/>
      </c>
      <c r="I52" s="184" t="str">
        <f>IF('Option 1'!I52="","",'Option 1'!I52)</f>
        <v/>
      </c>
      <c r="J52" s="184" t="str">
        <f>IF('Option 1'!J52="","",'Option 1'!J52)</f>
        <v/>
      </c>
      <c r="K52" s="184" t="str">
        <f>IF('Option 1'!K52="","",'Option 1'!K52)</f>
        <v/>
      </c>
      <c r="L52" s="184" t="str">
        <f>IF('Option 1'!L52="","",'Option 1'!L52)</f>
        <v/>
      </c>
      <c r="M52" s="184" t="str">
        <f>IF('Option 1'!M52="","",'Option 1'!M52)</f>
        <v/>
      </c>
      <c r="N52" s="184" t="str">
        <f>IF('Option 1'!N52="","",'Option 1'!N52)</f>
        <v/>
      </c>
      <c r="O52" s="184" t="str">
        <f>IF('Option 1'!O52="","",'Option 1'!O52)</f>
        <v/>
      </c>
      <c r="P52" s="124">
        <f t="shared" si="10"/>
        <v>0</v>
      </c>
    </row>
    <row r="53" spans="1:16" ht="15.75" customHeight="1" x14ac:dyDescent="0.25">
      <c r="A53" s="239"/>
      <c r="B53" s="4" t="str">
        <f>IF('Option 1'!B53="","",'Option 1'!B53)</f>
        <v/>
      </c>
      <c r="C53" s="182" t="str">
        <f>IF('Option 1'!C53="","",'Option 1'!C53)</f>
        <v>Ramp Trench Drains</v>
      </c>
      <c r="D53" s="186" t="str">
        <f>IF('Option 1'!D53="","",'Option 1'!D53)</f>
        <v/>
      </c>
      <c r="E53" s="184" t="str">
        <f>IF('Option 1'!E53="","",'Option 1'!E53)</f>
        <v/>
      </c>
      <c r="F53" s="184" t="str">
        <f>IF('Option 1'!F53="","",'Option 1'!F53)</f>
        <v/>
      </c>
      <c r="G53" s="184" t="str">
        <f>IF('Option 1'!G53="","",'Option 1'!G53)</f>
        <v/>
      </c>
      <c r="H53" s="184" t="str">
        <f>IF('Option 1'!H53="","",'Option 1'!H53)</f>
        <v/>
      </c>
      <c r="I53" s="184" t="str">
        <f>IF('Option 1'!I53="","",'Option 1'!I53)</f>
        <v/>
      </c>
      <c r="J53" s="184" t="str">
        <f>IF('Option 1'!J53="","",'Option 1'!J53)</f>
        <v/>
      </c>
      <c r="K53" s="184" t="str">
        <f>IF('Option 1'!K53="","",'Option 1'!K53)</f>
        <v/>
      </c>
      <c r="L53" s="184" t="str">
        <f>IF('Option 1'!L53="","",'Option 1'!L53)</f>
        <v/>
      </c>
      <c r="M53" s="184" t="str">
        <f>IF('Option 1'!M53="","",'Option 1'!M53)</f>
        <v/>
      </c>
      <c r="N53" s="184">
        <f>IF('Option 1'!N53="","",'Option 1'!N53)</f>
        <v>41516</v>
      </c>
      <c r="O53" s="184" t="str">
        <f>IF('Option 1'!O53="","",'Option 1'!O53)</f>
        <v/>
      </c>
      <c r="P53" s="124">
        <f t="shared" si="10"/>
        <v>41516</v>
      </c>
    </row>
    <row r="54" spans="1:16" ht="15.75" customHeight="1" x14ac:dyDescent="0.25">
      <c r="A54" s="239"/>
      <c r="B54" s="4" t="str">
        <f>IF('Option 1'!B54="","",'Option 1'!B54)</f>
        <v/>
      </c>
      <c r="C54" s="182" t="str">
        <f>IF('Option 1'!C54="","",'Option 1'!C54)</f>
        <v xml:space="preserve">Patios </v>
      </c>
      <c r="D54" s="187" t="str">
        <f>IF('Option 1'!D54="","",'Option 1'!D54)</f>
        <v/>
      </c>
      <c r="E54" s="184" t="str">
        <f>IF('Option 1'!E54="","",'Option 1'!E54)</f>
        <v/>
      </c>
      <c r="F54" s="184" t="str">
        <f>IF('Option 1'!F54="","",'Option 1'!F54)</f>
        <v/>
      </c>
      <c r="G54" s="184" t="str">
        <f>IF('Option 1'!G54="","",'Option 1'!G54)</f>
        <v/>
      </c>
      <c r="H54" s="184" t="str">
        <f>IF('Option 1'!H54="","",'Option 1'!H54)</f>
        <v/>
      </c>
      <c r="I54" s="184" t="str">
        <f>IF('Option 1'!I54="","",'Option 1'!I54)</f>
        <v/>
      </c>
      <c r="J54" s="184" t="str">
        <f>IF('Option 1'!J54="","",'Option 1'!J54)</f>
        <v/>
      </c>
      <c r="K54" s="184" t="str">
        <f>IF('Option 1'!K54="","",'Option 1'!K54)</f>
        <v/>
      </c>
      <c r="L54" s="184" t="str">
        <f>IF('Option 1'!L54="","",'Option 1'!L54)</f>
        <v/>
      </c>
      <c r="M54" s="184" t="str">
        <f>IF('Option 1'!M54="","",'Option 1'!M54)</f>
        <v/>
      </c>
      <c r="N54" s="184" t="str">
        <f>IF('Option 1'!N54="","",'Option 1'!N54)</f>
        <v/>
      </c>
      <c r="O54" s="184" t="str">
        <f>IF('Option 1'!O54="","",'Option 1'!O54)</f>
        <v/>
      </c>
      <c r="P54" s="124">
        <f t="shared" si="10"/>
        <v>0</v>
      </c>
    </row>
    <row r="55" spans="1:16" ht="15.75" customHeight="1" x14ac:dyDescent="0.25">
      <c r="A55" s="239"/>
      <c r="B55" s="4" t="str">
        <f>IF('Option 1'!B55="","",'Option 1'!B55)</f>
        <v/>
      </c>
      <c r="C55" s="182" t="str">
        <f>IF('Option 1'!C55="","",'Option 1'!C55)</f>
        <v>Entry Monuments</v>
      </c>
      <c r="D55" s="186" t="str">
        <f>IF('Option 1'!D55="","",'Option 1'!D55)</f>
        <v/>
      </c>
      <c r="E55" s="184" t="str">
        <f>IF('Option 1'!E55="","",'Option 1'!E55)</f>
        <v/>
      </c>
      <c r="F55" s="184" t="str">
        <f>IF('Option 1'!F55="","",'Option 1'!F55)</f>
        <v/>
      </c>
      <c r="G55" s="184" t="str">
        <f>IF('Option 1'!G55="","",'Option 1'!G55)</f>
        <v/>
      </c>
      <c r="H55" s="184">
        <f>IF('Option 1'!H55="","",'Option 1'!H55)</f>
        <v>2076</v>
      </c>
      <c r="I55" s="184" t="str">
        <f>IF('Option 1'!I55="","",'Option 1'!I55)</f>
        <v/>
      </c>
      <c r="J55" s="184" t="str">
        <f>IF('Option 1'!J55="","",'Option 1'!J55)</f>
        <v/>
      </c>
      <c r="K55" s="184" t="str">
        <f>IF('Option 1'!K55="","",'Option 1'!K55)</f>
        <v/>
      </c>
      <c r="L55" s="184" t="str">
        <f>IF('Option 1'!L55="","",'Option 1'!L55)</f>
        <v/>
      </c>
      <c r="M55" s="184" t="str">
        <f>IF('Option 1'!M55="","",'Option 1'!M55)</f>
        <v/>
      </c>
      <c r="N55" s="184" t="str">
        <f>IF('Option 1'!N55="","",'Option 1'!N55)</f>
        <v/>
      </c>
      <c r="O55" s="184" t="str">
        <f>IF('Option 1'!O55="","",'Option 1'!O55)</f>
        <v/>
      </c>
      <c r="P55" s="124">
        <f t="shared" si="10"/>
        <v>2076</v>
      </c>
    </row>
    <row r="56" spans="1:16" ht="15.75" customHeight="1" x14ac:dyDescent="0.25">
      <c r="A56" s="239"/>
      <c r="B56" s="4" t="str">
        <f>IF('Option 1'!B56="","",'Option 1'!B56)</f>
        <v/>
      </c>
      <c r="C56" s="182" t="str">
        <f>IF('Option 1'!C56="","",'Option 1'!C56)</f>
        <v>Chain Link Fence (6' at 1605 S Line)</v>
      </c>
      <c r="D56" s="186" t="str">
        <f>IF('Option 1'!D56="","",'Option 1'!D56)</f>
        <v/>
      </c>
      <c r="E56" s="184" t="str">
        <f>IF('Option 1'!E56="","",'Option 1'!E56)</f>
        <v/>
      </c>
      <c r="F56" s="184" t="str">
        <f>IF('Option 1'!F56="","",'Option 1'!F56)</f>
        <v/>
      </c>
      <c r="G56" s="184" t="str">
        <f>IF('Option 1'!G56="","",'Option 1'!G56)</f>
        <v/>
      </c>
      <c r="H56" s="184" t="str">
        <f>IF('Option 1'!H56="","",'Option 1'!H56)</f>
        <v/>
      </c>
      <c r="I56" s="184" t="str">
        <f>IF('Option 1'!I56="","",'Option 1'!I56)</f>
        <v/>
      </c>
      <c r="J56" s="184" t="str">
        <f>IF('Option 1'!J56="","",'Option 1'!J56)</f>
        <v/>
      </c>
      <c r="K56" s="184" t="str">
        <f>IF('Option 1'!K56="","",'Option 1'!K56)</f>
        <v/>
      </c>
      <c r="L56" s="184" t="str">
        <f>IF('Option 1'!L56="","",'Option 1'!L56)</f>
        <v/>
      </c>
      <c r="M56" s="184" t="str">
        <f>IF('Option 1'!M56="","",'Option 1'!M56)</f>
        <v/>
      </c>
      <c r="N56" s="184" t="str">
        <f>IF('Option 1'!N56="","",'Option 1'!N56)</f>
        <v/>
      </c>
      <c r="O56" s="184" t="str">
        <f>IF('Option 1'!O56="","",'Option 1'!O56)</f>
        <v/>
      </c>
      <c r="P56" s="124">
        <f t="shared" si="10"/>
        <v>0</v>
      </c>
    </row>
    <row r="57" spans="1:16" ht="15.75" customHeight="1" x14ac:dyDescent="0.25">
      <c r="A57" s="239"/>
      <c r="B57" s="4" t="str">
        <f>IF('Option 1'!B57="","",'Option 1'!B57)</f>
        <v/>
      </c>
      <c r="C57" s="3" t="str">
        <f>IF('Option 1'!C57="","",'Option 1'!C57)</f>
        <v>Waterproofing Elements</v>
      </c>
      <c r="D57" s="186" t="str">
        <f>IF('Option 1'!D57="","",'Option 1'!D57)</f>
        <v/>
      </c>
      <c r="E57" s="184" t="str">
        <f>IF('Option 1'!E57="","",'Option 1'!E57)</f>
        <v/>
      </c>
      <c r="F57" s="184" t="str">
        <f>IF('Option 1'!F57="","",'Option 1'!F57)</f>
        <v/>
      </c>
      <c r="G57" s="184" t="str">
        <f>IF('Option 1'!G57="","",'Option 1'!G57)</f>
        <v/>
      </c>
      <c r="H57" s="184" t="str">
        <f>IF('Option 1'!H57="","",'Option 1'!H57)</f>
        <v/>
      </c>
      <c r="I57" s="184" t="str">
        <f>IF('Option 1'!I57="","",'Option 1'!I57)</f>
        <v/>
      </c>
      <c r="J57" s="184" t="str">
        <f>IF('Option 1'!J57="","",'Option 1'!J57)</f>
        <v/>
      </c>
      <c r="K57" s="184" t="str">
        <f>IF('Option 1'!K57="","",'Option 1'!K57)</f>
        <v/>
      </c>
      <c r="L57" s="184" t="str">
        <f>IF('Option 1'!L57="","",'Option 1'!L57)</f>
        <v/>
      </c>
      <c r="M57" s="184" t="str">
        <f>IF('Option 1'!M57="","",'Option 1'!M57)</f>
        <v/>
      </c>
      <c r="N57" s="184" t="str">
        <f>IF('Option 1'!N57="","",'Option 1'!N57)</f>
        <v/>
      </c>
      <c r="O57" s="184" t="str">
        <f>IF('Option 1'!O57="","",'Option 1'!O57)</f>
        <v/>
      </c>
      <c r="P57" s="124">
        <f t="shared" si="10"/>
        <v>0</v>
      </c>
    </row>
    <row r="58" spans="1:16" ht="15.75" customHeight="1" x14ac:dyDescent="0.25">
      <c r="A58" s="239"/>
      <c r="B58" s="4" t="str">
        <f>IF('Option 1'!B58="","",'Option 1'!B58)</f>
        <v/>
      </c>
      <c r="C58" s="182" t="str">
        <f>IF('Option 1'!C58="","",'Option 1'!C58)</f>
        <v>Metal Fascia (1505 A &amp; B Wings)</v>
      </c>
      <c r="D58" s="186" t="str">
        <f>IF('Option 1'!D58="","",'Option 1'!D58)</f>
        <v/>
      </c>
      <c r="E58" s="184" t="str">
        <f>IF('Option 1'!E58="","",'Option 1'!E58)</f>
        <v/>
      </c>
      <c r="F58" s="184" t="str">
        <f>IF('Option 1'!F58="","",'Option 1'!F58)</f>
        <v/>
      </c>
      <c r="G58" s="184" t="str">
        <f>IF('Option 1'!G58="","",'Option 1'!G58)</f>
        <v/>
      </c>
      <c r="H58" s="184" t="str">
        <f>IF('Option 1'!H58="","",'Option 1'!H58)</f>
        <v/>
      </c>
      <c r="I58" s="184" t="str">
        <f>IF('Option 1'!I58="","",'Option 1'!I58)</f>
        <v/>
      </c>
      <c r="J58" s="184" t="str">
        <f>IF('Option 1'!J58="","",'Option 1'!J58)</f>
        <v/>
      </c>
      <c r="K58" s="184" t="str">
        <f>IF('Option 1'!K58="","",'Option 1'!K58)</f>
        <v/>
      </c>
      <c r="L58" s="184" t="str">
        <f>IF('Option 1'!L58="","",'Option 1'!L58)</f>
        <v/>
      </c>
      <c r="M58" s="184" t="str">
        <f>IF('Option 1'!M58="","",'Option 1'!M58)</f>
        <v/>
      </c>
      <c r="N58" s="184" t="str">
        <f>IF('Option 1'!N58="","",'Option 1'!N58)</f>
        <v/>
      </c>
      <c r="O58" s="184" t="str">
        <f>IF('Option 1'!O58="","",'Option 1'!O58)</f>
        <v/>
      </c>
      <c r="P58" s="124">
        <f t="shared" si="10"/>
        <v>0</v>
      </c>
    </row>
    <row r="59" spans="1:16" ht="15.75" customHeight="1" x14ac:dyDescent="0.25">
      <c r="A59" s="239"/>
      <c r="B59" s="4" t="str">
        <f>IF('Option 1'!B59="","",'Option 1'!B59)</f>
        <v/>
      </c>
      <c r="C59" s="182" t="str">
        <f>IF('Option 1'!C59="","",'Option 1'!C59)</f>
        <v>Shingle Roofing (Clubhouse)</v>
      </c>
      <c r="D59" s="186" t="str">
        <f>IF('Option 1'!D59="","",'Option 1'!D59)</f>
        <v/>
      </c>
      <c r="E59" s="184">
        <f>IF('Option 1'!E59="","",'Option 1'!E59)</f>
        <v>5175</v>
      </c>
      <c r="F59" s="184" t="str">
        <f>IF('Option 1'!F59="","",'Option 1'!F59)</f>
        <v/>
      </c>
      <c r="G59" s="184" t="str">
        <f>IF('Option 1'!G59="","",'Option 1'!G59)</f>
        <v/>
      </c>
      <c r="H59" s="184" t="str">
        <f>IF('Option 1'!H59="","",'Option 1'!H59)</f>
        <v/>
      </c>
      <c r="I59" s="184" t="str">
        <f>IF('Option 1'!I59="","",'Option 1'!I59)</f>
        <v/>
      </c>
      <c r="J59" s="184" t="str">
        <f>IF('Option 1'!J59="","",'Option 1'!J59)</f>
        <v/>
      </c>
      <c r="K59" s="184" t="str">
        <f>IF('Option 1'!K59="","",'Option 1'!K59)</f>
        <v/>
      </c>
      <c r="L59" s="184" t="str">
        <f>IF('Option 1'!L59="","",'Option 1'!L59)</f>
        <v/>
      </c>
      <c r="M59" s="184" t="str">
        <f>IF('Option 1'!M59="","",'Option 1'!M59)</f>
        <v/>
      </c>
      <c r="N59" s="184" t="str">
        <f>IF('Option 1'!N59="","",'Option 1'!N59)</f>
        <v/>
      </c>
      <c r="O59" s="184" t="str">
        <f>IF('Option 1'!O59="","",'Option 1'!O59)</f>
        <v/>
      </c>
      <c r="P59" s="124">
        <f t="shared" si="10"/>
        <v>5175</v>
      </c>
    </row>
    <row r="60" spans="1:16" ht="15.75" customHeight="1" x14ac:dyDescent="0.25">
      <c r="A60" s="239"/>
      <c r="B60" s="4" t="str">
        <f>IF('Option 1'!B60="","",'Option 1'!B60)</f>
        <v/>
      </c>
      <c r="C60" s="182" t="str">
        <f>IF('Option 1'!C60="","",'Option 1'!C60)</f>
        <v>Flat Roofing (Clubhouse)</v>
      </c>
      <c r="D60" s="183" t="str">
        <f>IF('Option 1'!D60="","",'Option 1'!D60)</f>
        <v/>
      </c>
      <c r="E60" s="184" t="str">
        <f>IF('Option 1'!E60="","",'Option 1'!E60)</f>
        <v/>
      </c>
      <c r="F60" s="184" t="str">
        <f>IF('Option 1'!F60="","",'Option 1'!F60)</f>
        <v/>
      </c>
      <c r="G60" s="184" t="str">
        <f>IF('Option 1'!G60="","",'Option 1'!G60)</f>
        <v/>
      </c>
      <c r="H60" s="184" t="str">
        <f>IF('Option 1'!H60="","",'Option 1'!H60)</f>
        <v/>
      </c>
      <c r="I60" s="184" t="str">
        <f>IF('Option 1'!I60="","",'Option 1'!I60)</f>
        <v/>
      </c>
      <c r="J60" s="184" t="str">
        <f>IF('Option 1'!J60="","",'Option 1'!J60)</f>
        <v/>
      </c>
      <c r="K60" s="184" t="str">
        <f>IF('Option 1'!K60="","",'Option 1'!K60)</f>
        <v/>
      </c>
      <c r="L60" s="184" t="str">
        <f>IF('Option 1'!L60="","",'Option 1'!L60)</f>
        <v/>
      </c>
      <c r="M60" s="184" t="str">
        <f>IF('Option 1'!M60="","",'Option 1'!M60)</f>
        <v/>
      </c>
      <c r="N60" s="184" t="str">
        <f>IF('Option 1'!N60="","",'Option 1'!N60)</f>
        <v/>
      </c>
      <c r="O60" s="184" t="str">
        <f>IF('Option 1'!O60="","",'Option 1'!O60)</f>
        <v/>
      </c>
      <c r="P60" s="124">
        <f t="shared" si="10"/>
        <v>0</v>
      </c>
    </row>
    <row r="61" spans="1:16" ht="15.75" customHeight="1" x14ac:dyDescent="0.25">
      <c r="A61" s="239"/>
      <c r="B61" s="4" t="str">
        <f>IF('Option 1'!B61="","",'Option 1'!B61)</f>
        <v/>
      </c>
      <c r="C61" s="182" t="str">
        <f>IF('Option 1'!C61="","",'Option 1'!C61)</f>
        <v>Roofing (1415 A Wing)</v>
      </c>
      <c r="D61" s="183" t="str">
        <f>IF('Option 1'!D61="","",'Option 1'!D61)</f>
        <v/>
      </c>
      <c r="E61" s="184" t="str">
        <f>IF('Option 1'!E61="","",'Option 1'!E61)</f>
        <v/>
      </c>
      <c r="F61" s="184" t="str">
        <f>IF('Option 1'!F61="","",'Option 1'!F61)</f>
        <v/>
      </c>
      <c r="G61" s="184" t="str">
        <f>IF('Option 1'!G61="","",'Option 1'!G61)</f>
        <v/>
      </c>
      <c r="H61" s="184" t="str">
        <f>IF('Option 1'!H61="","",'Option 1'!H61)</f>
        <v/>
      </c>
      <c r="I61" s="184" t="str">
        <f>IF('Option 1'!I61="","",'Option 1'!I61)</f>
        <v/>
      </c>
      <c r="J61" s="184" t="str">
        <f>IF('Option 1'!J61="","",'Option 1'!J61)</f>
        <v/>
      </c>
      <c r="K61" s="184" t="str">
        <f>IF('Option 1'!K61="","",'Option 1'!K61)</f>
        <v/>
      </c>
      <c r="L61" s="184" t="str">
        <f>IF('Option 1'!L61="","",'Option 1'!L61)</f>
        <v/>
      </c>
      <c r="M61" s="184" t="str">
        <f>IF('Option 1'!M61="","",'Option 1'!M61)</f>
        <v/>
      </c>
      <c r="N61" s="184" t="str">
        <f>IF('Option 1'!N61="","",'Option 1'!N61)</f>
        <v/>
      </c>
      <c r="O61" s="184" t="str">
        <f>IF('Option 1'!O61="","",'Option 1'!O61)</f>
        <v/>
      </c>
      <c r="P61" s="124">
        <f t="shared" si="10"/>
        <v>0</v>
      </c>
    </row>
    <row r="62" spans="1:16" ht="15.75" customHeight="1" x14ac:dyDescent="0.25">
      <c r="A62" s="239"/>
      <c r="B62" s="4" t="str">
        <f>IF('Option 1'!B62="","",'Option 1'!B62)</f>
        <v/>
      </c>
      <c r="C62" s="182" t="str">
        <f>IF('Option 1'!C62="","",'Option 1'!C62)</f>
        <v>Roofing (1405, 1415, 1505, 1515, 1605 &amp; 1605 Core Bldgs.)</v>
      </c>
      <c r="D62" s="183">
        <f>IF('Option 1'!D62="","",'Option 1'!D62)</f>
        <v>26826</v>
      </c>
      <c r="E62" s="184" t="str">
        <f>IF('Option 1'!E62="","",'Option 1'!E62)</f>
        <v/>
      </c>
      <c r="F62" s="184" t="str">
        <f>IF('Option 1'!F62="","",'Option 1'!F62)</f>
        <v/>
      </c>
      <c r="G62" s="184" t="str">
        <f>IF('Option 1'!G62="","",'Option 1'!G62)</f>
        <v/>
      </c>
      <c r="H62" s="184" t="str">
        <f>IF('Option 1'!H62="","",'Option 1'!H62)</f>
        <v/>
      </c>
      <c r="I62" s="184" t="str">
        <f>IF('Option 1'!I62="","",'Option 1'!I62)</f>
        <v/>
      </c>
      <c r="J62" s="184" t="str">
        <f>IF('Option 1'!J62="","",'Option 1'!J62)</f>
        <v/>
      </c>
      <c r="K62" s="184" t="str">
        <f>IF('Option 1'!K62="","",'Option 1'!K62)</f>
        <v/>
      </c>
      <c r="L62" s="184" t="str">
        <f>IF('Option 1'!L62="","",'Option 1'!L62)</f>
        <v/>
      </c>
      <c r="M62" s="184" t="str">
        <f>IF('Option 1'!M62="","",'Option 1'!M62)</f>
        <v/>
      </c>
      <c r="N62" s="184" t="str">
        <f>IF('Option 1'!N62="","",'Option 1'!N62)</f>
        <v/>
      </c>
      <c r="O62" s="184" t="str">
        <f>IF('Option 1'!O62="","",'Option 1'!O62)</f>
        <v/>
      </c>
      <c r="P62" s="124">
        <f t="shared" si="10"/>
        <v>26826</v>
      </c>
    </row>
    <row r="63" spans="1:16" ht="15.75" customHeight="1" x14ac:dyDescent="0.25">
      <c r="A63" s="239"/>
      <c r="B63" s="4" t="str">
        <f>IF('Option 1'!B63="","",'Option 1'!B63)</f>
        <v/>
      </c>
      <c r="C63" s="182" t="str">
        <f>IF('Option 1'!C63="","",'Option 1'!C63)</f>
        <v>Roofing (1605 B Wing)</v>
      </c>
      <c r="D63" s="183" t="str">
        <f>IF('Option 1'!D63="","",'Option 1'!D63)</f>
        <v/>
      </c>
      <c r="E63" s="184" t="str">
        <f>IF('Option 1'!E63="","",'Option 1'!E63)</f>
        <v/>
      </c>
      <c r="F63" s="184" t="str">
        <f>IF('Option 1'!F63="","",'Option 1'!F63)</f>
        <v/>
      </c>
      <c r="G63" s="184" t="str">
        <f>IF('Option 1'!G63="","",'Option 1'!G63)</f>
        <v/>
      </c>
      <c r="H63" s="184">
        <f>IF('Option 1'!H63="","",'Option 1'!H63)</f>
        <v>14465</v>
      </c>
      <c r="I63" s="184" t="str">
        <f>IF('Option 1'!I63="","",'Option 1'!I63)</f>
        <v/>
      </c>
      <c r="J63" s="184" t="str">
        <f>IF('Option 1'!J63="","",'Option 1'!J63)</f>
        <v/>
      </c>
      <c r="K63" s="184" t="str">
        <f>IF('Option 1'!K63="","",'Option 1'!K63)</f>
        <v/>
      </c>
      <c r="L63" s="184" t="str">
        <f>IF('Option 1'!L63="","",'Option 1'!L63)</f>
        <v/>
      </c>
      <c r="M63" s="184" t="str">
        <f>IF('Option 1'!M63="","",'Option 1'!M63)</f>
        <v/>
      </c>
      <c r="N63" s="184" t="str">
        <f>IF('Option 1'!N63="","",'Option 1'!N63)</f>
        <v/>
      </c>
      <c r="O63" s="184" t="str">
        <f>IF('Option 1'!O63="","",'Option 1'!O63)</f>
        <v/>
      </c>
      <c r="P63" s="124">
        <f t="shared" si="10"/>
        <v>14465</v>
      </c>
    </row>
    <row r="64" spans="1:16" ht="15.75" customHeight="1" x14ac:dyDescent="0.25">
      <c r="A64" s="239"/>
      <c r="B64" s="4" t="str">
        <f>IF('Option 1'!B64="","",'Option 1'!B64)</f>
        <v/>
      </c>
      <c r="C64" s="182" t="str">
        <f>IF('Option 1'!C64="","",'Option 1'!C64)</f>
        <v>Roofing (1415 C &amp; 1605 A Wings)</v>
      </c>
      <c r="D64" s="183" t="str">
        <f>IF('Option 1'!D64="","",'Option 1'!D64)</f>
        <v/>
      </c>
      <c r="E64" s="184" t="str">
        <f>IF('Option 1'!E64="","",'Option 1'!E64)</f>
        <v/>
      </c>
      <c r="F64" s="184" t="str">
        <f>IF('Option 1'!F64="","",'Option 1'!F64)</f>
        <v/>
      </c>
      <c r="G64" s="184">
        <f>IF('Option 1'!G64="","",'Option 1'!G64)</f>
        <v>28930</v>
      </c>
      <c r="H64" s="184" t="str">
        <f>IF('Option 1'!H64="","",'Option 1'!H64)</f>
        <v/>
      </c>
      <c r="I64" s="184" t="str">
        <f>IF('Option 1'!I64="","",'Option 1'!I64)</f>
        <v/>
      </c>
      <c r="J64" s="184" t="str">
        <f>IF('Option 1'!J64="","",'Option 1'!J64)</f>
        <v/>
      </c>
      <c r="K64" s="184" t="str">
        <f>IF('Option 1'!K64="","",'Option 1'!K64)</f>
        <v/>
      </c>
      <c r="L64" s="184" t="str">
        <f>IF('Option 1'!L64="","",'Option 1'!L64)</f>
        <v/>
      </c>
      <c r="M64" s="184" t="str">
        <f>IF('Option 1'!M64="","",'Option 1'!M64)</f>
        <v/>
      </c>
      <c r="N64" s="184" t="str">
        <f>IF('Option 1'!N64="","",'Option 1'!N64)</f>
        <v/>
      </c>
      <c r="O64" s="184" t="str">
        <f>IF('Option 1'!O64="","",'Option 1'!O64)</f>
        <v/>
      </c>
      <c r="P64" s="124">
        <f t="shared" si="10"/>
        <v>28930</v>
      </c>
    </row>
    <row r="65" spans="1:16" ht="15.75" customHeight="1" x14ac:dyDescent="0.25">
      <c r="A65" s="239"/>
      <c r="B65" s="4" t="str">
        <f>IF('Option 1'!B65="","",'Option 1'!B65)</f>
        <v/>
      </c>
      <c r="C65" s="182" t="str">
        <f>IF('Option 1'!C65="","",'Option 1'!C65)</f>
        <v>Roofing (1405 A &amp; B, &amp; 1405 C Wings)</v>
      </c>
      <c r="D65" s="183" t="str">
        <f>IF('Option 1'!D65="","",'Option 1'!D65)</f>
        <v/>
      </c>
      <c r="E65" s="184" t="str">
        <f>IF('Option 1'!E65="","",'Option 1'!E65)</f>
        <v/>
      </c>
      <c r="F65" s="184" t="str">
        <f>IF('Option 1'!F65="","",'Option 1'!F65)</f>
        <v/>
      </c>
      <c r="G65" s="184" t="str">
        <f>IF('Option 1'!G65="","",'Option 1'!G65)</f>
        <v/>
      </c>
      <c r="H65" s="184" t="str">
        <f>IF('Option 1'!H65="","",'Option 1'!H65)</f>
        <v/>
      </c>
      <c r="I65" s="184">
        <f>IF('Option 1'!I65="","",'Option 1'!I65)</f>
        <v>43395</v>
      </c>
      <c r="J65" s="184" t="str">
        <f>IF('Option 1'!J65="","",'Option 1'!J65)</f>
        <v/>
      </c>
      <c r="K65" s="184" t="str">
        <f>IF('Option 1'!K65="","",'Option 1'!K65)</f>
        <v/>
      </c>
      <c r="L65" s="184" t="str">
        <f>IF('Option 1'!L65="","",'Option 1'!L65)</f>
        <v/>
      </c>
      <c r="M65" s="184" t="str">
        <f>IF('Option 1'!M65="","",'Option 1'!M65)</f>
        <v/>
      </c>
      <c r="N65" s="184" t="str">
        <f>IF('Option 1'!N65="","",'Option 1'!N65)</f>
        <v/>
      </c>
      <c r="O65" s="184" t="str">
        <f>IF('Option 1'!O65="","",'Option 1'!O65)</f>
        <v/>
      </c>
      <c r="P65" s="124">
        <f t="shared" si="10"/>
        <v>43395</v>
      </c>
    </row>
    <row r="66" spans="1:16" ht="15.75" customHeight="1" x14ac:dyDescent="0.25">
      <c r="A66" s="239"/>
      <c r="B66" s="4" t="str">
        <f>IF('Option 1'!B66="","",'Option 1'!B66)</f>
        <v/>
      </c>
      <c r="C66" s="182" t="str">
        <f>IF('Option 1'!C66="","",'Option 1'!C66)</f>
        <v>Roofing (1515 B, 1515 A &amp; C Wings)</v>
      </c>
      <c r="D66" s="183" t="str">
        <f>IF('Option 1'!D66="","",'Option 1'!D66)</f>
        <v/>
      </c>
      <c r="E66" s="184" t="str">
        <f>IF('Option 1'!E66="","",'Option 1'!E66)</f>
        <v/>
      </c>
      <c r="F66" s="184" t="str">
        <f>IF('Option 1'!F66="","",'Option 1'!F66)</f>
        <v/>
      </c>
      <c r="G66" s="184" t="str">
        <f>IF('Option 1'!G66="","",'Option 1'!G66)</f>
        <v/>
      </c>
      <c r="H66" s="184" t="str">
        <f>IF('Option 1'!H66="","",'Option 1'!H66)</f>
        <v/>
      </c>
      <c r="I66" s="184" t="str">
        <f>IF('Option 1'!I66="","",'Option 1'!I66)</f>
        <v/>
      </c>
      <c r="J66" s="184">
        <f>IF('Option 1'!J66="","",'Option 1'!J66)</f>
        <v>43395</v>
      </c>
      <c r="K66" s="184" t="str">
        <f>IF('Option 1'!K66="","",'Option 1'!K66)</f>
        <v/>
      </c>
      <c r="L66" s="184" t="str">
        <f>IF('Option 1'!L66="","",'Option 1'!L66)</f>
        <v/>
      </c>
      <c r="M66" s="184" t="str">
        <f>IF('Option 1'!M66="","",'Option 1'!M66)</f>
        <v/>
      </c>
      <c r="N66" s="184" t="str">
        <f>IF('Option 1'!N66="","",'Option 1'!N66)</f>
        <v/>
      </c>
      <c r="O66" s="184" t="str">
        <f>IF('Option 1'!O66="","",'Option 1'!O66)</f>
        <v/>
      </c>
      <c r="P66" s="124">
        <f t="shared" si="10"/>
        <v>43395</v>
      </c>
    </row>
    <row r="67" spans="1:16" ht="15.75" customHeight="1" x14ac:dyDescent="0.25">
      <c r="A67" s="239"/>
      <c r="B67" s="4" t="str">
        <f>IF('Option 1'!B67="","",'Option 1'!B67)</f>
        <v/>
      </c>
      <c r="C67" s="182" t="str">
        <f>IF('Option 1'!C67="","",'Option 1'!C67)</f>
        <v>Roofing (1515 A &amp; C, 1615 B Wings)</v>
      </c>
      <c r="D67" s="183" t="str">
        <f>IF('Option 1'!D67="","",'Option 1'!D67)</f>
        <v/>
      </c>
      <c r="E67" s="184" t="str">
        <f>IF('Option 1'!E67="","",'Option 1'!E67)</f>
        <v/>
      </c>
      <c r="F67" s="184" t="str">
        <f>IF('Option 1'!F67="","",'Option 1'!F67)</f>
        <v/>
      </c>
      <c r="G67" s="184" t="str">
        <f>IF('Option 1'!G67="","",'Option 1'!G67)</f>
        <v/>
      </c>
      <c r="H67" s="184" t="str">
        <f>IF('Option 1'!H67="","",'Option 1'!H67)</f>
        <v/>
      </c>
      <c r="I67" s="184" t="str">
        <f>IF('Option 1'!I67="","",'Option 1'!I67)</f>
        <v/>
      </c>
      <c r="J67" s="184" t="str">
        <f>IF('Option 1'!J67="","",'Option 1'!J67)</f>
        <v/>
      </c>
      <c r="K67" s="184">
        <f>IF('Option 1'!K67="","",'Option 1'!K67)</f>
        <v>43395</v>
      </c>
      <c r="L67" s="184" t="str">
        <f>IF('Option 1'!L67="","",'Option 1'!L67)</f>
        <v/>
      </c>
      <c r="M67" s="184" t="str">
        <f>IF('Option 1'!M67="","",'Option 1'!M67)</f>
        <v/>
      </c>
      <c r="N67" s="184" t="str">
        <f>IF('Option 1'!N67="","",'Option 1'!N67)</f>
        <v/>
      </c>
      <c r="O67" s="184" t="str">
        <f>IF('Option 1'!O67="","",'Option 1'!O67)</f>
        <v/>
      </c>
      <c r="P67" s="124">
        <f t="shared" si="10"/>
        <v>43395</v>
      </c>
    </row>
    <row r="68" spans="1:16" ht="15.75" customHeight="1" x14ac:dyDescent="0.25">
      <c r="A68" s="239"/>
      <c r="B68" s="4" t="str">
        <f>IF('Option 1'!B68="","",'Option 1'!B68)</f>
        <v/>
      </c>
      <c r="C68" s="182" t="str">
        <f>IF('Option 1'!C68="","",'Option 1'!C68)</f>
        <v>Roofing (1505 A &amp; B Wings)</v>
      </c>
      <c r="D68" s="183" t="str">
        <f>IF('Option 1'!D68="","",'Option 1'!D68)</f>
        <v/>
      </c>
      <c r="E68" s="184" t="str">
        <f>IF('Option 1'!E68="","",'Option 1'!E68)</f>
        <v/>
      </c>
      <c r="F68" s="184" t="str">
        <f>IF('Option 1'!F68="","",'Option 1'!F68)</f>
        <v/>
      </c>
      <c r="G68" s="184" t="str">
        <f>IF('Option 1'!G68="","",'Option 1'!G68)</f>
        <v/>
      </c>
      <c r="H68" s="184" t="str">
        <f>IF('Option 1'!H68="","",'Option 1'!H68)</f>
        <v/>
      </c>
      <c r="I68" s="184" t="str">
        <f>IF('Option 1'!I68="","",'Option 1'!I68)</f>
        <v/>
      </c>
      <c r="J68" s="184" t="str">
        <f>IF('Option 1'!J68="","",'Option 1'!J68)</f>
        <v/>
      </c>
      <c r="K68" s="184" t="str">
        <f>IF('Option 1'!K68="","",'Option 1'!K68)</f>
        <v/>
      </c>
      <c r="L68" s="184">
        <f>IF('Option 1'!L68="","",'Option 1'!L68)</f>
        <v>28930</v>
      </c>
      <c r="M68" s="184" t="str">
        <f>IF('Option 1'!M68="","",'Option 1'!M68)</f>
        <v/>
      </c>
      <c r="N68" s="184" t="str">
        <f>IF('Option 1'!N68="","",'Option 1'!N68)</f>
        <v/>
      </c>
      <c r="O68" s="184" t="str">
        <f>IF('Option 1'!O68="","",'Option 1'!O68)</f>
        <v/>
      </c>
      <c r="P68" s="124">
        <f t="shared" si="10"/>
        <v>28930</v>
      </c>
    </row>
    <row r="69" spans="1:16" ht="15.75" customHeight="1" x14ac:dyDescent="0.25">
      <c r="A69" s="239"/>
      <c r="B69" s="4" t="str">
        <f>IF('Option 1'!B69="","",'Option 1'!B69)</f>
        <v/>
      </c>
      <c r="C69" s="182" t="str">
        <f>IF('Option 1'!C69="","",'Option 1'!C69)</f>
        <v>Roofing (1415 B &amp; 1605 C Wings)</v>
      </c>
      <c r="D69" s="183" t="str">
        <f>IF('Option 1'!D69="","",'Option 1'!D69)</f>
        <v/>
      </c>
      <c r="E69" s="184" t="str">
        <f>IF('Option 1'!E69="","",'Option 1'!E69)</f>
        <v/>
      </c>
      <c r="F69" s="184" t="str">
        <f>IF('Option 1'!F69="","",'Option 1'!F69)</f>
        <v/>
      </c>
      <c r="G69" s="184" t="str">
        <f>IF('Option 1'!G69="","",'Option 1'!G69)</f>
        <v/>
      </c>
      <c r="H69" s="184" t="str">
        <f>IF('Option 1'!H69="","",'Option 1'!H69)</f>
        <v/>
      </c>
      <c r="I69" s="184" t="str">
        <f>IF('Option 1'!I69="","",'Option 1'!I69)</f>
        <v/>
      </c>
      <c r="J69" s="184" t="str">
        <f>IF('Option 1'!J69="","",'Option 1'!J69)</f>
        <v/>
      </c>
      <c r="K69" s="184" t="str">
        <f>IF('Option 1'!K69="","",'Option 1'!K69)</f>
        <v/>
      </c>
      <c r="L69" s="184" t="str">
        <f>IF('Option 1'!L69="","",'Option 1'!L69)</f>
        <v/>
      </c>
      <c r="M69" s="184" t="str">
        <f>IF('Option 1'!M69="","",'Option 1'!M69)</f>
        <v/>
      </c>
      <c r="N69" s="184" t="str">
        <f>IF('Option 1'!N69="","",'Option 1'!N69)</f>
        <v/>
      </c>
      <c r="O69" s="184" t="str">
        <f>IF('Option 1'!O69="","",'Option 1'!O69)</f>
        <v/>
      </c>
      <c r="P69" s="124">
        <f t="shared" si="10"/>
        <v>0</v>
      </c>
    </row>
    <row r="70" spans="1:16" ht="15.75" customHeight="1" x14ac:dyDescent="0.25">
      <c r="A70" s="239"/>
      <c r="B70" s="4" t="str">
        <f>IF('Option 1'!B70="","",'Option 1'!B70)</f>
        <v/>
      </c>
      <c r="C70" s="182" t="str">
        <f>IF('Option 1'!C70="","",'Option 1'!C70)</f>
        <v>Gutters and Downspouts (Clubhouse)</v>
      </c>
      <c r="D70" s="183" t="str">
        <f>IF('Option 1'!D70="","",'Option 1'!D70)</f>
        <v/>
      </c>
      <c r="E70" s="184" t="str">
        <f>IF('Option 1'!E70="","",'Option 1'!E70)</f>
        <v/>
      </c>
      <c r="F70" s="184" t="str">
        <f>IF('Option 1'!F70="","",'Option 1'!F70)</f>
        <v/>
      </c>
      <c r="G70" s="184" t="str">
        <f>IF('Option 1'!G70="","",'Option 1'!G70)</f>
        <v/>
      </c>
      <c r="H70" s="184" t="str">
        <f>IF('Option 1'!H70="","",'Option 1'!H70)</f>
        <v/>
      </c>
      <c r="I70" s="184" t="str">
        <f>IF('Option 1'!I70="","",'Option 1'!I70)</f>
        <v/>
      </c>
      <c r="J70" s="184" t="str">
        <f>IF('Option 1'!J70="","",'Option 1'!J70)</f>
        <v/>
      </c>
      <c r="K70" s="184" t="str">
        <f>IF('Option 1'!K70="","",'Option 1'!K70)</f>
        <v/>
      </c>
      <c r="L70" s="184" t="str">
        <f>IF('Option 1'!L70="","",'Option 1'!L70)</f>
        <v/>
      </c>
      <c r="M70" s="184" t="str">
        <f>IF('Option 1'!M70="","",'Option 1'!M70)</f>
        <v/>
      </c>
      <c r="N70" s="184" t="str">
        <f>IF('Option 1'!N70="","",'Option 1'!N70)</f>
        <v/>
      </c>
      <c r="O70" s="184" t="str">
        <f>IF('Option 1'!O70="","",'Option 1'!O70)</f>
        <v/>
      </c>
      <c r="P70" s="124">
        <f t="shared" si="10"/>
        <v>0</v>
      </c>
    </row>
    <row r="71" spans="1:16" ht="15.75" customHeight="1" x14ac:dyDescent="0.25">
      <c r="A71" s="239"/>
      <c r="B71" s="4" t="str">
        <f>IF('Option 1'!B71="","",'Option 1'!B71)</f>
        <v/>
      </c>
      <c r="C71" s="182" t="str">
        <f>IF('Option 1'!C71="","",'Option 1'!C71)</f>
        <v>Gutters and Downspouts (Bldg. 1505)</v>
      </c>
      <c r="D71" s="183" t="str">
        <f>IF('Option 1'!D71="","",'Option 1'!D71)</f>
        <v/>
      </c>
      <c r="E71" s="184" t="str">
        <f>IF('Option 1'!E71="","",'Option 1'!E71)</f>
        <v/>
      </c>
      <c r="F71" s="184" t="str">
        <f>IF('Option 1'!F71="","",'Option 1'!F71)</f>
        <v/>
      </c>
      <c r="G71" s="184" t="str">
        <f>IF('Option 1'!G71="","",'Option 1'!G71)</f>
        <v/>
      </c>
      <c r="H71" s="184" t="str">
        <f>IF('Option 1'!H71="","",'Option 1'!H71)</f>
        <v/>
      </c>
      <c r="I71" s="184" t="str">
        <f>IF('Option 1'!I71="","",'Option 1'!I71)</f>
        <v/>
      </c>
      <c r="J71" s="184" t="str">
        <f>IF('Option 1'!J71="","",'Option 1'!J71)</f>
        <v/>
      </c>
      <c r="K71" s="184" t="str">
        <f>IF('Option 1'!K71="","",'Option 1'!K71)</f>
        <v/>
      </c>
      <c r="L71" s="184" t="str">
        <f>IF('Option 1'!L71="","",'Option 1'!L71)</f>
        <v/>
      </c>
      <c r="M71" s="184" t="str">
        <f>IF('Option 1'!M71="","",'Option 1'!M71)</f>
        <v/>
      </c>
      <c r="N71" s="184" t="str">
        <f>IF('Option 1'!N71="","",'Option 1'!N71)</f>
        <v/>
      </c>
      <c r="O71" s="184" t="str">
        <f>IF('Option 1'!O71="","",'Option 1'!O71)</f>
        <v/>
      </c>
      <c r="P71" s="124">
        <f t="shared" si="10"/>
        <v>0</v>
      </c>
    </row>
    <row r="72" spans="1:16" ht="15.75" customHeight="1" x14ac:dyDescent="0.25">
      <c r="A72" s="239"/>
      <c r="B72" s="4" t="str">
        <f>IF('Option 1'!B72="","",'Option 1'!B72)</f>
        <v/>
      </c>
      <c r="C72" s="182" t="str">
        <f>IF('Option 1'!C72="","",'Option 1'!C72)</f>
        <v>Gutters and Downspouts (Bldg. 1405)</v>
      </c>
      <c r="D72" s="183" t="str">
        <f>IF('Option 1'!D72="","",'Option 1'!D72)</f>
        <v/>
      </c>
      <c r="E72" s="184" t="str">
        <f>IF('Option 1'!E72="","",'Option 1'!E72)</f>
        <v/>
      </c>
      <c r="F72" s="184" t="str">
        <f>IF('Option 1'!F72="","",'Option 1'!F72)</f>
        <v/>
      </c>
      <c r="G72" s="184" t="str">
        <f>IF('Option 1'!G72="","",'Option 1'!G72)</f>
        <v/>
      </c>
      <c r="H72" s="184" t="str">
        <f>IF('Option 1'!H72="","",'Option 1'!H72)</f>
        <v/>
      </c>
      <c r="I72" s="184" t="str">
        <f>IF('Option 1'!I72="","",'Option 1'!I72)</f>
        <v/>
      </c>
      <c r="J72" s="184" t="str">
        <f>IF('Option 1'!J72="","",'Option 1'!J72)</f>
        <v/>
      </c>
      <c r="K72" s="184" t="str">
        <f>IF('Option 1'!K72="","",'Option 1'!K72)</f>
        <v/>
      </c>
      <c r="L72" s="184" t="str">
        <f>IF('Option 1'!L72="","",'Option 1'!L72)</f>
        <v/>
      </c>
      <c r="M72" s="184" t="str">
        <f>IF('Option 1'!M72="","",'Option 1'!M72)</f>
        <v/>
      </c>
      <c r="N72" s="184" t="str">
        <f>IF('Option 1'!N72="","",'Option 1'!N72)</f>
        <v/>
      </c>
      <c r="O72" s="184" t="str">
        <f>IF('Option 1'!O72="","",'Option 1'!O72)</f>
        <v/>
      </c>
      <c r="P72" s="124">
        <f t="shared" si="10"/>
        <v>0</v>
      </c>
    </row>
    <row r="73" spans="1:16" ht="15.75" customHeight="1" x14ac:dyDescent="0.25">
      <c r="A73" s="239"/>
      <c r="B73" s="4" t="str">
        <f>IF('Option 1'!B73="","",'Option 1'!B73)</f>
        <v/>
      </c>
      <c r="C73" s="182" t="str">
        <f>IF('Option 1'!C73="","",'Option 1'!C73)</f>
        <v>Gutters and Downspouts (Bldgs. 1415, 1515, 1605, &amp; 1615)</v>
      </c>
      <c r="D73" s="183" t="str">
        <f>IF('Option 1'!D73="","",'Option 1'!D73)</f>
        <v/>
      </c>
      <c r="E73" s="184" t="str">
        <f>IF('Option 1'!E73="","",'Option 1'!E73)</f>
        <v/>
      </c>
      <c r="F73" s="184" t="str">
        <f>IF('Option 1'!F73="","",'Option 1'!F73)</f>
        <v/>
      </c>
      <c r="G73" s="184" t="str">
        <f>IF('Option 1'!G73="","",'Option 1'!G73)</f>
        <v/>
      </c>
      <c r="H73" s="184" t="str">
        <f>IF('Option 1'!H73="","",'Option 1'!H73)</f>
        <v/>
      </c>
      <c r="I73" s="184" t="str">
        <f>IF('Option 1'!I73="","",'Option 1'!I73)</f>
        <v/>
      </c>
      <c r="J73" s="184" t="str">
        <f>IF('Option 1'!J73="","",'Option 1'!J73)</f>
        <v/>
      </c>
      <c r="K73" s="184" t="str">
        <f>IF('Option 1'!K73="","",'Option 1'!K73)</f>
        <v/>
      </c>
      <c r="L73" s="184" t="str">
        <f>IF('Option 1'!L73="","",'Option 1'!L73)</f>
        <v/>
      </c>
      <c r="M73" s="184" t="str">
        <f>IF('Option 1'!M73="","",'Option 1'!M73)</f>
        <v/>
      </c>
      <c r="N73" s="184" t="str">
        <f>IF('Option 1'!N73="","",'Option 1'!N73)</f>
        <v/>
      </c>
      <c r="O73" s="184" t="str">
        <f>IF('Option 1'!O73="","",'Option 1'!O73)</f>
        <v/>
      </c>
      <c r="P73" s="124">
        <f t="shared" si="10"/>
        <v>0</v>
      </c>
    </row>
    <row r="74" spans="1:16" ht="15.75" customHeight="1" x14ac:dyDescent="0.25">
      <c r="A74" s="239"/>
      <c r="B74" s="4" t="str">
        <f>IF('Option 1'!B74="","",'Option 1'!B74)</f>
        <v/>
      </c>
      <c r="C74" s="182" t="str">
        <f>IF('Option 1'!C74="","",'Option 1'!C74)</f>
        <v>Skylights (Clubhouse)</v>
      </c>
      <c r="D74" s="183" t="str">
        <f>IF('Option 1'!D74="","",'Option 1'!D74)</f>
        <v/>
      </c>
      <c r="E74" s="184" t="str">
        <f>IF('Option 1'!E74="","",'Option 1'!E74)</f>
        <v/>
      </c>
      <c r="F74" s="184" t="str">
        <f>IF('Option 1'!F74="","",'Option 1'!F74)</f>
        <v/>
      </c>
      <c r="G74" s="184" t="str">
        <f>IF('Option 1'!G74="","",'Option 1'!G74)</f>
        <v/>
      </c>
      <c r="H74" s="184">
        <f>IF('Option 1'!H74="","",'Option 1'!H74)</f>
        <v>1910</v>
      </c>
      <c r="I74" s="184" t="str">
        <f>IF('Option 1'!I74="","",'Option 1'!I74)</f>
        <v/>
      </c>
      <c r="J74" s="184" t="str">
        <f>IF('Option 1'!J74="","",'Option 1'!J74)</f>
        <v/>
      </c>
      <c r="K74" s="184" t="str">
        <f>IF('Option 1'!K74="","",'Option 1'!K74)</f>
        <v/>
      </c>
      <c r="L74" s="184" t="str">
        <f>IF('Option 1'!L74="","",'Option 1'!L74)</f>
        <v/>
      </c>
      <c r="M74" s="184" t="str">
        <f>IF('Option 1'!M74="","",'Option 1'!M74)</f>
        <v/>
      </c>
      <c r="N74" s="184" t="str">
        <f>IF('Option 1'!N74="","",'Option 1'!N74)</f>
        <v/>
      </c>
      <c r="O74" s="184" t="str">
        <f>IF('Option 1'!O74="","",'Option 1'!O74)</f>
        <v/>
      </c>
      <c r="P74" s="124">
        <f t="shared" si="10"/>
        <v>1910</v>
      </c>
    </row>
    <row r="75" spans="1:16" ht="15.75" customHeight="1" x14ac:dyDescent="0.25">
      <c r="A75" s="239"/>
      <c r="B75" s="4" t="str">
        <f>IF('Option 1'!B75="","",'Option 1'!B75)</f>
        <v/>
      </c>
      <c r="C75" s="182" t="str">
        <f>IF('Option 1'!C75="","",'Option 1'!C75)</f>
        <v>Metal Fascia (1515 A &amp; C, &amp; 1615 B Wings)</v>
      </c>
      <c r="D75" s="183" t="str">
        <f>IF('Option 1'!D75="","",'Option 1'!D75)</f>
        <v/>
      </c>
      <c r="E75" s="184" t="str">
        <f>IF('Option 1'!E75="","",'Option 1'!E75)</f>
        <v/>
      </c>
      <c r="F75" s="184" t="str">
        <f>IF('Option 1'!F75="","",'Option 1'!F75)</f>
        <v/>
      </c>
      <c r="G75" s="184" t="str">
        <f>IF('Option 1'!G75="","",'Option 1'!G75)</f>
        <v/>
      </c>
      <c r="H75" s="184" t="str">
        <f>IF('Option 1'!H75="","",'Option 1'!H75)</f>
        <v/>
      </c>
      <c r="I75" s="184" t="str">
        <f>IF('Option 1'!I75="","",'Option 1'!I75)</f>
        <v/>
      </c>
      <c r="J75" s="184" t="str">
        <f>IF('Option 1'!J75="","",'Option 1'!J75)</f>
        <v/>
      </c>
      <c r="K75" s="184" t="str">
        <f>IF('Option 1'!K75="","",'Option 1'!K75)</f>
        <v/>
      </c>
      <c r="L75" s="184" t="str">
        <f>IF('Option 1'!L75="","",'Option 1'!L75)</f>
        <v/>
      </c>
      <c r="M75" s="184" t="str">
        <f>IF('Option 1'!M75="","",'Option 1'!M75)</f>
        <v/>
      </c>
      <c r="N75" s="184" t="str">
        <f>IF('Option 1'!N75="","",'Option 1'!N75)</f>
        <v/>
      </c>
      <c r="O75" s="184" t="str">
        <f>IF('Option 1'!O75="","",'Option 1'!O75)</f>
        <v/>
      </c>
      <c r="P75" s="124">
        <f t="shared" si="10"/>
        <v>0</v>
      </c>
    </row>
    <row r="76" spans="1:16" ht="15.75" customHeight="1" x14ac:dyDescent="0.25">
      <c r="A76" s="239"/>
      <c r="B76" s="4" t="str">
        <f>IF('Option 1'!B76="","",'Option 1'!B76)</f>
        <v/>
      </c>
      <c r="C76" s="182" t="str">
        <f>IF('Option 1'!C76="","",'Option 1'!C76)</f>
        <v>Metal Fascia (1515 B, &amp; 1615 A &amp; C Wings)</v>
      </c>
      <c r="D76" s="183" t="str">
        <f>IF('Option 1'!D76="","",'Option 1'!D76)</f>
        <v/>
      </c>
      <c r="E76" s="184" t="str">
        <f>IF('Option 1'!E76="","",'Option 1'!E76)</f>
        <v/>
      </c>
      <c r="F76" s="184" t="str">
        <f>IF('Option 1'!F76="","",'Option 1'!F76)</f>
        <v/>
      </c>
      <c r="G76" s="184" t="str">
        <f>IF('Option 1'!G76="","",'Option 1'!G76)</f>
        <v/>
      </c>
      <c r="H76" s="184" t="str">
        <f>IF('Option 1'!H76="","",'Option 1'!H76)</f>
        <v/>
      </c>
      <c r="I76" s="184" t="str">
        <f>IF('Option 1'!I76="","",'Option 1'!I76)</f>
        <v/>
      </c>
      <c r="J76" s="184" t="str">
        <f>IF('Option 1'!J76="","",'Option 1'!J76)</f>
        <v/>
      </c>
      <c r="K76" s="184" t="str">
        <f>IF('Option 1'!K76="","",'Option 1'!K76)</f>
        <v/>
      </c>
      <c r="L76" s="184" t="str">
        <f>IF('Option 1'!L76="","",'Option 1'!L76)</f>
        <v/>
      </c>
      <c r="M76" s="184" t="str">
        <f>IF('Option 1'!M76="","",'Option 1'!M76)</f>
        <v/>
      </c>
      <c r="N76" s="184" t="str">
        <f>IF('Option 1'!N76="","",'Option 1'!N76)</f>
        <v/>
      </c>
      <c r="O76" s="184">
        <f>IF('Option 1'!O76="","",'Option 1'!O76)</f>
        <v>7326</v>
      </c>
      <c r="P76" s="124">
        <f t="shared" si="10"/>
        <v>7326</v>
      </c>
    </row>
    <row r="77" spans="1:16" ht="15.75" customHeight="1" x14ac:dyDescent="0.25">
      <c r="A77" s="239"/>
      <c r="B77" s="4" t="str">
        <f>IF('Option 1'!B77="","",'Option 1'!B77)</f>
        <v/>
      </c>
      <c r="C77" s="182" t="str">
        <f>IF('Option 1'!C77="","",'Option 1'!C77)</f>
        <v>Metal Fascia (1405 A, B &amp; C Wings)</v>
      </c>
      <c r="D77" s="183" t="str">
        <f>IF('Option 1'!D77="","",'Option 1'!D77)</f>
        <v/>
      </c>
      <c r="E77" s="184" t="str">
        <f>IF('Option 1'!E77="","",'Option 1'!E77)</f>
        <v/>
      </c>
      <c r="F77" s="184" t="str">
        <f>IF('Option 1'!F77="","",'Option 1'!F77)</f>
        <v/>
      </c>
      <c r="G77" s="184" t="str">
        <f>IF('Option 1'!G77="","",'Option 1'!G77)</f>
        <v/>
      </c>
      <c r="H77" s="184" t="str">
        <f>IF('Option 1'!H77="","",'Option 1'!H77)</f>
        <v/>
      </c>
      <c r="I77" s="184" t="str">
        <f>IF('Option 1'!I77="","",'Option 1'!I77)</f>
        <v/>
      </c>
      <c r="J77" s="184" t="str">
        <f>IF('Option 1'!J77="","",'Option 1'!J77)</f>
        <v/>
      </c>
      <c r="K77" s="184" t="str">
        <f>IF('Option 1'!K77="","",'Option 1'!K77)</f>
        <v/>
      </c>
      <c r="L77" s="184" t="str">
        <f>IF('Option 1'!L77="","",'Option 1'!L77)</f>
        <v/>
      </c>
      <c r="M77" s="184" t="str">
        <f>IF('Option 1'!M77="","",'Option 1'!M77)</f>
        <v/>
      </c>
      <c r="N77" s="184">
        <f>IF('Option 1'!N77="","",'Option 1'!N77)</f>
        <v>7326</v>
      </c>
      <c r="O77" s="184" t="str">
        <f>IF('Option 1'!O77="","",'Option 1'!O77)</f>
        <v/>
      </c>
      <c r="P77" s="124">
        <f t="shared" si="10"/>
        <v>7326</v>
      </c>
    </row>
    <row r="78" spans="1:16" ht="15.75" customHeight="1" x14ac:dyDescent="0.25">
      <c r="A78" s="239"/>
      <c r="B78" s="4" t="str">
        <f>IF('Option 1'!B78="","",'Option 1'!B78)</f>
        <v/>
      </c>
      <c r="C78" s="182" t="str">
        <f>IF('Option 1'!C78="","",'Option 1'!C78)</f>
        <v>Metal Fascia (1605 B Wing)</v>
      </c>
      <c r="D78" s="183" t="str">
        <f>IF('Option 1'!D78="","",'Option 1'!D78)</f>
        <v/>
      </c>
      <c r="E78" s="184" t="str">
        <f>IF('Option 1'!E78="","",'Option 1'!E78)</f>
        <v/>
      </c>
      <c r="F78" s="184" t="str">
        <f>IF('Option 1'!F78="","",'Option 1'!F78)</f>
        <v/>
      </c>
      <c r="G78" s="184" t="str">
        <f>IF('Option 1'!G78="","",'Option 1'!G78)</f>
        <v/>
      </c>
      <c r="H78" s="184" t="str">
        <f>IF('Option 1'!H78="","",'Option 1'!H78)</f>
        <v/>
      </c>
      <c r="I78" s="184" t="str">
        <f>IF('Option 1'!I78="","",'Option 1'!I78)</f>
        <v/>
      </c>
      <c r="J78" s="184" t="str">
        <f>IF('Option 1'!J78="","",'Option 1'!J78)</f>
        <v/>
      </c>
      <c r="K78" s="184" t="str">
        <f>IF('Option 1'!K78="","",'Option 1'!K78)</f>
        <v/>
      </c>
      <c r="L78" s="184" t="str">
        <f>IF('Option 1'!L78="","",'Option 1'!L78)</f>
        <v/>
      </c>
      <c r="M78" s="184">
        <f>IF('Option 1'!M78="","",'Option 1'!M78)</f>
        <v>2442</v>
      </c>
      <c r="N78" s="184" t="str">
        <f>IF('Option 1'!N78="","",'Option 1'!N78)</f>
        <v/>
      </c>
      <c r="O78" s="184" t="str">
        <f>IF('Option 1'!O78="","",'Option 1'!O78)</f>
        <v/>
      </c>
      <c r="P78" s="124">
        <f t="shared" si="10"/>
        <v>2442</v>
      </c>
    </row>
    <row r="79" spans="1:16" ht="15.75" customHeight="1" x14ac:dyDescent="0.25">
      <c r="A79" s="239"/>
      <c r="B79" s="4" t="str">
        <f>IF('Option 1'!B79="","",'Option 1'!B79)</f>
        <v/>
      </c>
      <c r="C79" s="182" t="str">
        <f>IF('Option 1'!C79="","",'Option 1'!C79)</f>
        <v>Metal Fascia (1415 C &amp; 1605 A Wings)</v>
      </c>
      <c r="D79" s="183" t="str">
        <f>IF('Option 1'!D79="","",'Option 1'!D79)</f>
        <v/>
      </c>
      <c r="E79" s="184" t="str">
        <f>IF('Option 1'!E79="","",'Option 1'!E79)</f>
        <v/>
      </c>
      <c r="F79" s="184" t="str">
        <f>IF('Option 1'!F79="","",'Option 1'!F79)</f>
        <v/>
      </c>
      <c r="G79" s="184" t="str">
        <f>IF('Option 1'!G79="","",'Option 1'!G79)</f>
        <v/>
      </c>
      <c r="H79" s="184" t="str">
        <f>IF('Option 1'!H79="","",'Option 1'!H79)</f>
        <v/>
      </c>
      <c r="I79" s="184" t="str">
        <f>IF('Option 1'!I79="","",'Option 1'!I79)</f>
        <v/>
      </c>
      <c r="J79" s="184" t="str">
        <f>IF('Option 1'!J79="","",'Option 1'!J79)</f>
        <v/>
      </c>
      <c r="K79" s="184" t="str">
        <f>IF('Option 1'!K79="","",'Option 1'!K79)</f>
        <v/>
      </c>
      <c r="L79" s="184">
        <f>IF('Option 1'!L79="","",'Option 1'!L79)</f>
        <v>4884</v>
      </c>
      <c r="M79" s="184" t="str">
        <f>IF('Option 1'!M79="","",'Option 1'!M79)</f>
        <v/>
      </c>
      <c r="N79" s="184" t="str">
        <f>IF('Option 1'!N79="","",'Option 1'!N79)</f>
        <v/>
      </c>
      <c r="O79" s="184" t="str">
        <f>IF('Option 1'!O79="","",'Option 1'!O79)</f>
        <v/>
      </c>
      <c r="P79" s="124">
        <f t="shared" si="10"/>
        <v>4884</v>
      </c>
    </row>
    <row r="80" spans="1:16" ht="15.75" customHeight="1" x14ac:dyDescent="0.25">
      <c r="A80" s="239"/>
      <c r="B80" s="4" t="str">
        <f>IF('Option 1'!B80="","",'Option 1'!B80)</f>
        <v/>
      </c>
      <c r="C80" s="182" t="str">
        <f>IF('Option 1'!C80="","",'Option 1'!C80)</f>
        <v>Metal Fascia (1415 A Wing)</v>
      </c>
      <c r="D80" s="183" t="str">
        <f>IF('Option 1'!D80="","",'Option 1'!D80)</f>
        <v/>
      </c>
      <c r="E80" s="184" t="str">
        <f>IF('Option 1'!E80="","",'Option 1'!E80)</f>
        <v/>
      </c>
      <c r="F80" s="184" t="str">
        <f>IF('Option 1'!F80="","",'Option 1'!F80)</f>
        <v/>
      </c>
      <c r="G80" s="184" t="str">
        <f>IF('Option 1'!G80="","",'Option 1'!G80)</f>
        <v/>
      </c>
      <c r="H80" s="184">
        <f>IF('Option 1'!H80="","",'Option 1'!H80)</f>
        <v>2442</v>
      </c>
      <c r="I80" s="184" t="str">
        <f>IF('Option 1'!I80="","",'Option 1'!I80)</f>
        <v/>
      </c>
      <c r="J80" s="184" t="str">
        <f>IF('Option 1'!J80="","",'Option 1'!J80)</f>
        <v/>
      </c>
      <c r="K80" s="184" t="str">
        <f>IF('Option 1'!K80="","",'Option 1'!K80)</f>
        <v/>
      </c>
      <c r="L80" s="184" t="str">
        <f>IF('Option 1'!L80="","",'Option 1'!L80)</f>
        <v/>
      </c>
      <c r="M80" s="184" t="str">
        <f>IF('Option 1'!M80="","",'Option 1'!M80)</f>
        <v/>
      </c>
      <c r="N80" s="184" t="str">
        <f>IF('Option 1'!N80="","",'Option 1'!N80)</f>
        <v/>
      </c>
      <c r="O80" s="184" t="str">
        <f>IF('Option 1'!O80="","",'Option 1'!O80)</f>
        <v/>
      </c>
      <c r="P80" s="124">
        <f t="shared" si="10"/>
        <v>2442</v>
      </c>
    </row>
    <row r="81" spans="1:16" ht="15.75" customHeight="1" x14ac:dyDescent="0.25">
      <c r="A81" s="239"/>
      <c r="B81" s="4" t="str">
        <f>IF('Option 1'!B81="","",'Option 1'!B81)</f>
        <v/>
      </c>
      <c r="C81" s="182" t="str">
        <f>IF('Option 1'!C81="","",'Option 1'!C81)</f>
        <v>Metal Fascia (1415 B &amp; 1605 C Wings)</v>
      </c>
      <c r="D81" s="183" t="str">
        <f>IF('Option 1'!D81="","",'Option 1'!D81)</f>
        <v/>
      </c>
      <c r="E81" s="184" t="str">
        <f>IF('Option 1'!E81="","",'Option 1'!E81)</f>
        <v/>
      </c>
      <c r="F81" s="184" t="str">
        <f>IF('Option 1'!F81="","",'Option 1'!F81)</f>
        <v/>
      </c>
      <c r="G81" s="184" t="str">
        <f>IF('Option 1'!G81="","",'Option 1'!G81)</f>
        <v/>
      </c>
      <c r="H81" s="184" t="str">
        <f>IF('Option 1'!H81="","",'Option 1'!H81)</f>
        <v/>
      </c>
      <c r="I81" s="184" t="str">
        <f>IF('Option 1'!I81="","",'Option 1'!I81)</f>
        <v/>
      </c>
      <c r="J81" s="184" t="str">
        <f>IF('Option 1'!J81="","",'Option 1'!J81)</f>
        <v/>
      </c>
      <c r="K81" s="184" t="str">
        <f>IF('Option 1'!K81="","",'Option 1'!K81)</f>
        <v/>
      </c>
      <c r="L81" s="184" t="str">
        <f>IF('Option 1'!L81="","",'Option 1'!L81)</f>
        <v/>
      </c>
      <c r="M81" s="184" t="str">
        <f>IF('Option 1'!M81="","",'Option 1'!M81)</f>
        <v/>
      </c>
      <c r="N81" s="184" t="str">
        <f>IF('Option 1'!N81="","",'Option 1'!N81)</f>
        <v/>
      </c>
      <c r="O81" s="184" t="str">
        <f>IF('Option 1'!O81="","",'Option 1'!O81)</f>
        <v/>
      </c>
      <c r="P81" s="124">
        <f t="shared" si="10"/>
        <v>0</v>
      </c>
    </row>
    <row r="82" spans="1:16" ht="15.75" customHeight="1" x14ac:dyDescent="0.25">
      <c r="A82" s="239"/>
      <c r="B82" s="4" t="str">
        <f>IF('Option 1'!B82="","",'Option 1'!B82)</f>
        <v/>
      </c>
      <c r="C82" s="182" t="str">
        <f>IF('Option 1'!C82="","",'Option 1'!C82)</f>
        <v>Brick Waterproofing (Bldgs. 1405, 1415, 1505, &amp; 1515)</v>
      </c>
      <c r="D82" s="183" t="str">
        <f>IF('Option 1'!D82="","",'Option 1'!D82)</f>
        <v/>
      </c>
      <c r="E82" s="184" t="str">
        <f>IF('Option 1'!E82="","",'Option 1'!E82)</f>
        <v/>
      </c>
      <c r="F82" s="184" t="str">
        <f>IF('Option 1'!F82="","",'Option 1'!F82)</f>
        <v/>
      </c>
      <c r="G82" s="184" t="str">
        <f>IF('Option 1'!G82="","",'Option 1'!G82)</f>
        <v/>
      </c>
      <c r="H82" s="184" t="str">
        <f>IF('Option 1'!H82="","",'Option 1'!H82)</f>
        <v/>
      </c>
      <c r="I82" s="184">
        <f>IF('Option 1'!I82="","",'Option 1'!I82)</f>
        <v>251600</v>
      </c>
      <c r="J82" s="184" t="str">
        <f>IF('Option 1'!J82="","",'Option 1'!J82)</f>
        <v/>
      </c>
      <c r="K82" s="184" t="str">
        <f>IF('Option 1'!K82="","",'Option 1'!K82)</f>
        <v/>
      </c>
      <c r="L82" s="184" t="str">
        <f>IF('Option 1'!L82="","",'Option 1'!L82)</f>
        <v/>
      </c>
      <c r="M82" s="184" t="str">
        <f>IF('Option 1'!M82="","",'Option 1'!M82)</f>
        <v/>
      </c>
      <c r="N82" s="184" t="str">
        <f>IF('Option 1'!N82="","",'Option 1'!N82)</f>
        <v/>
      </c>
      <c r="O82" s="184" t="str">
        <f>IF('Option 1'!O82="","",'Option 1'!O82)</f>
        <v/>
      </c>
      <c r="P82" s="124">
        <f t="shared" si="10"/>
        <v>251600</v>
      </c>
    </row>
    <row r="83" spans="1:16" ht="15.75" customHeight="1" x14ac:dyDescent="0.25">
      <c r="A83" s="239"/>
      <c r="B83" s="4" t="str">
        <f>IF('Option 1'!B83="","",'Option 1'!B83)</f>
        <v/>
      </c>
      <c r="C83" s="182" t="str">
        <f>IF('Option 1'!C83="","",'Option 1'!C83)</f>
        <v>Brick Waterproofing (Bldg. 1605)</v>
      </c>
      <c r="D83" s="183" t="str">
        <f>IF('Option 1'!D83="","",'Option 1'!D83)</f>
        <v/>
      </c>
      <c r="E83" s="184" t="str">
        <f>IF('Option 1'!E83="","",'Option 1'!E83)</f>
        <v/>
      </c>
      <c r="F83" s="184" t="str">
        <f>IF('Option 1'!F83="","",'Option 1'!F83)</f>
        <v/>
      </c>
      <c r="G83" s="184" t="str">
        <f>IF('Option 1'!G83="","",'Option 1'!G83)</f>
        <v/>
      </c>
      <c r="H83" s="184" t="str">
        <f>IF('Option 1'!H83="","",'Option 1'!H83)</f>
        <v/>
      </c>
      <c r="I83" s="184" t="str">
        <f>IF('Option 1'!I83="","",'Option 1'!I83)</f>
        <v/>
      </c>
      <c r="J83" s="184" t="str">
        <f>IF('Option 1'!J83="","",'Option 1'!J83)</f>
        <v/>
      </c>
      <c r="K83" s="184" t="str">
        <f>IF('Option 1'!K83="","",'Option 1'!K83)</f>
        <v/>
      </c>
      <c r="L83" s="184">
        <f>IF('Option 1'!L83="","",'Option 1'!L83)</f>
        <v>56240</v>
      </c>
      <c r="M83" s="184" t="str">
        <f>IF('Option 1'!M83="","",'Option 1'!M83)</f>
        <v/>
      </c>
      <c r="N83" s="184" t="str">
        <f>IF('Option 1'!N83="","",'Option 1'!N83)</f>
        <v/>
      </c>
      <c r="O83" s="184" t="str">
        <f>IF('Option 1'!O83="","",'Option 1'!O83)</f>
        <v/>
      </c>
      <c r="P83" s="124">
        <f t="shared" si="10"/>
        <v>56240</v>
      </c>
    </row>
    <row r="84" spans="1:16" ht="15.75" customHeight="1" x14ac:dyDescent="0.25">
      <c r="A84" s="239"/>
      <c r="B84" s="4" t="str">
        <f>IF('Option 1'!B84="","",'Option 1'!B84)</f>
        <v/>
      </c>
      <c r="C84" s="182" t="str">
        <f>IF('Option 1'!C84="","",'Option 1'!C84)</f>
        <v>Brick Waterproofing (Bldg. 1615)</v>
      </c>
      <c r="D84" s="183" t="str">
        <f>IF('Option 1'!D84="","",'Option 1'!D84)</f>
        <v/>
      </c>
      <c r="E84" s="184" t="str">
        <f>IF('Option 1'!E84="","",'Option 1'!E84)</f>
        <v/>
      </c>
      <c r="F84" s="184" t="str">
        <f>IF('Option 1'!F84="","",'Option 1'!F84)</f>
        <v/>
      </c>
      <c r="G84" s="184" t="str">
        <f>IF('Option 1'!G84="","",'Option 1'!G84)</f>
        <v/>
      </c>
      <c r="H84" s="184" t="str">
        <f>IF('Option 1'!H84="","",'Option 1'!H84)</f>
        <v/>
      </c>
      <c r="I84" s="184" t="str">
        <f>IF('Option 1'!I84="","",'Option 1'!I84)</f>
        <v/>
      </c>
      <c r="J84" s="184" t="str">
        <f>IF('Option 1'!J84="","",'Option 1'!J84)</f>
        <v/>
      </c>
      <c r="K84" s="184" t="str">
        <f>IF('Option 1'!K84="","",'Option 1'!K84)</f>
        <v/>
      </c>
      <c r="L84" s="184" t="str">
        <f>IF('Option 1'!L84="","",'Option 1'!L84)</f>
        <v/>
      </c>
      <c r="M84" s="184" t="str">
        <f>IF('Option 1'!M84="","",'Option 1'!M84)</f>
        <v/>
      </c>
      <c r="N84" s="184">
        <f>IF('Option 1'!N84="","",'Option 1'!N84)</f>
        <v>56240</v>
      </c>
      <c r="O84" s="184" t="str">
        <f>IF('Option 1'!O84="","",'Option 1'!O84)</f>
        <v/>
      </c>
      <c r="P84" s="124">
        <f t="shared" si="10"/>
        <v>56240</v>
      </c>
    </row>
    <row r="85" spans="1:16" ht="15.75" customHeight="1" x14ac:dyDescent="0.25">
      <c r="A85" s="239"/>
      <c r="B85" s="4" t="str">
        <f>IF('Option 1'!B85="","",'Option 1'!B85)</f>
        <v/>
      </c>
      <c r="C85" s="3" t="str">
        <f>IF('Option 1'!C85="","",'Option 1'!C85)</f>
        <v>Interior Finishes Elements</v>
      </c>
      <c r="D85" s="183" t="str">
        <f>IF('Option 1'!D85="","",'Option 1'!D85)</f>
        <v/>
      </c>
      <c r="E85" s="184" t="str">
        <f>IF('Option 1'!E85="","",'Option 1'!E85)</f>
        <v/>
      </c>
      <c r="F85" s="184" t="str">
        <f>IF('Option 1'!F85="","",'Option 1'!F85)</f>
        <v/>
      </c>
      <c r="G85" s="184" t="str">
        <f>IF('Option 1'!G85="","",'Option 1'!G85)</f>
        <v/>
      </c>
      <c r="H85" s="184" t="str">
        <f>IF('Option 1'!H85="","",'Option 1'!H85)</f>
        <v/>
      </c>
      <c r="I85" s="184" t="str">
        <f>IF('Option 1'!I85="","",'Option 1'!I85)</f>
        <v/>
      </c>
      <c r="J85" s="184" t="str">
        <f>IF('Option 1'!J85="","",'Option 1'!J85)</f>
        <v/>
      </c>
      <c r="K85" s="184" t="str">
        <f>IF('Option 1'!K85="","",'Option 1'!K85)</f>
        <v/>
      </c>
      <c r="L85" s="184" t="str">
        <f>IF('Option 1'!L85="","",'Option 1'!L85)</f>
        <v/>
      </c>
      <c r="M85" s="184" t="str">
        <f>IF('Option 1'!M85="","",'Option 1'!M85)</f>
        <v/>
      </c>
      <c r="N85" s="184" t="str">
        <f>IF('Option 1'!N85="","",'Option 1'!N85)</f>
        <v/>
      </c>
      <c r="O85" s="184" t="str">
        <f>IF('Option 1'!O85="","",'Option 1'!O85)</f>
        <v/>
      </c>
      <c r="P85" s="124">
        <f t="shared" si="10"/>
        <v>0</v>
      </c>
    </row>
    <row r="86" spans="1:16" ht="15.75" customHeight="1" x14ac:dyDescent="0.25">
      <c r="A86" s="239"/>
      <c r="B86" s="4" t="str">
        <f>IF('Option 1'!B86="","",'Option 1'!B86)</f>
        <v/>
      </c>
      <c r="C86" s="182" t="str">
        <f>IF('Option 1'!C86="","",'Option 1'!C86)</f>
        <v>Wing and Lobby Carpet</v>
      </c>
      <c r="D86" s="183" t="str">
        <f>IF('Option 1'!D86="","",'Option 1'!D86)</f>
        <v/>
      </c>
      <c r="E86" s="184" t="str">
        <f>IF('Option 1'!E86="","",'Option 1'!E86)</f>
        <v/>
      </c>
      <c r="F86" s="184" t="str">
        <f>IF('Option 1'!F86="","",'Option 1'!F86)</f>
        <v/>
      </c>
      <c r="G86" s="184">
        <f>IF('Option 1'!G86="","",'Option 1'!G86)</f>
        <v>284095</v>
      </c>
      <c r="H86" s="184" t="str">
        <f>IF('Option 1'!H86="","",'Option 1'!H86)</f>
        <v/>
      </c>
      <c r="I86" s="184" t="str">
        <f>IF('Option 1'!I86="","",'Option 1'!I86)</f>
        <v/>
      </c>
      <c r="J86" s="184" t="str">
        <f>IF('Option 1'!J86="","",'Option 1'!J86)</f>
        <v/>
      </c>
      <c r="K86" s="184" t="str">
        <f>IF('Option 1'!K86="","",'Option 1'!K86)</f>
        <v/>
      </c>
      <c r="L86" s="184" t="str">
        <f>IF('Option 1'!L86="","",'Option 1'!L86)</f>
        <v/>
      </c>
      <c r="M86" s="184" t="str">
        <f>IF('Option 1'!M86="","",'Option 1'!M86)</f>
        <v/>
      </c>
      <c r="N86" s="184" t="str">
        <f>IF('Option 1'!N86="","",'Option 1'!N86)</f>
        <v/>
      </c>
      <c r="O86" s="184" t="str">
        <f>IF('Option 1'!O86="","",'Option 1'!O86)</f>
        <v/>
      </c>
      <c r="P86" s="124">
        <f t="shared" si="10"/>
        <v>284095</v>
      </c>
    </row>
    <row r="87" spans="1:16" ht="15.75" customHeight="1" x14ac:dyDescent="0.25">
      <c r="A87" s="239"/>
      <c r="B87" s="4" t="str">
        <f>IF('Option 1'!B87="","",'Option 1'!B87)</f>
        <v/>
      </c>
      <c r="C87" s="182" t="str">
        <f>IF('Option 1'!C87="","",'Option 1'!C87)</f>
        <v>Core Ceramic Tile</v>
      </c>
      <c r="D87" s="183" t="str">
        <f>IF('Option 1'!D87="","",'Option 1'!D87)</f>
        <v/>
      </c>
      <c r="E87" s="184" t="str">
        <f>IF('Option 1'!E87="","",'Option 1'!E87)</f>
        <v/>
      </c>
      <c r="F87" s="184" t="str">
        <f>IF('Option 1'!F87="","",'Option 1'!F87)</f>
        <v/>
      </c>
      <c r="G87" s="184" t="str">
        <f>IF('Option 1'!G87="","",'Option 1'!G87)</f>
        <v/>
      </c>
      <c r="H87" s="184" t="str">
        <f>IF('Option 1'!H87="","",'Option 1'!H87)</f>
        <v/>
      </c>
      <c r="I87" s="184" t="str">
        <f>IF('Option 1'!I87="","",'Option 1'!I87)</f>
        <v/>
      </c>
      <c r="J87" s="184" t="str">
        <f>IF('Option 1'!J87="","",'Option 1'!J87)</f>
        <v/>
      </c>
      <c r="K87" s="184" t="str">
        <f>IF('Option 1'!K87="","",'Option 1'!K87)</f>
        <v/>
      </c>
      <c r="L87" s="184">
        <f>IF('Option 1'!L87="","",'Option 1'!L87)</f>
        <v>186440</v>
      </c>
      <c r="M87" s="184" t="str">
        <f>IF('Option 1'!M87="","",'Option 1'!M87)</f>
        <v/>
      </c>
      <c r="N87" s="184" t="str">
        <f>IF('Option 1'!N87="","",'Option 1'!N87)</f>
        <v/>
      </c>
      <c r="O87" s="184" t="str">
        <f>IF('Option 1'!O87="","",'Option 1'!O87)</f>
        <v/>
      </c>
      <c r="P87" s="124">
        <f t="shared" si="10"/>
        <v>186440</v>
      </c>
    </row>
    <row r="88" spans="1:16" ht="15.75" customHeight="1" x14ac:dyDescent="0.25">
      <c r="A88" s="239"/>
      <c r="B88" s="4" t="str">
        <f>IF('Option 1'!B88="","",'Option 1'!B88)</f>
        <v/>
      </c>
      <c r="C88" s="182" t="str">
        <f>IF('Option 1'!C88="","",'Option 1'!C88)</f>
        <v>Core Wallcovering</v>
      </c>
      <c r="D88" s="183" t="str">
        <f>IF('Option 1'!D88="","",'Option 1'!D88)</f>
        <v/>
      </c>
      <c r="E88" s="184" t="str">
        <f>IF('Option 1'!E88="","",'Option 1'!E88)</f>
        <v/>
      </c>
      <c r="F88" s="184" t="str">
        <f>IF('Option 1'!F88="","",'Option 1'!F88)</f>
        <v/>
      </c>
      <c r="G88" s="184">
        <f>IF('Option 1'!G88="","",'Option 1'!G88)</f>
        <v>87561</v>
      </c>
      <c r="H88" s="184" t="str">
        <f>IF('Option 1'!H88="","",'Option 1'!H88)</f>
        <v/>
      </c>
      <c r="I88" s="184" t="str">
        <f>IF('Option 1'!I88="","",'Option 1'!I88)</f>
        <v/>
      </c>
      <c r="J88" s="184" t="str">
        <f>IF('Option 1'!J88="","",'Option 1'!J88)</f>
        <v/>
      </c>
      <c r="K88" s="184" t="str">
        <f>IF('Option 1'!K88="","",'Option 1'!K88)</f>
        <v/>
      </c>
      <c r="L88" s="184" t="str">
        <f>IF('Option 1'!L88="","",'Option 1'!L88)</f>
        <v/>
      </c>
      <c r="M88" s="184" t="str">
        <f>IF('Option 1'!M88="","",'Option 1'!M88)</f>
        <v/>
      </c>
      <c r="N88" s="184" t="str">
        <f>IF('Option 1'!N88="","",'Option 1'!N88)</f>
        <v/>
      </c>
      <c r="O88" s="184" t="str">
        <f>IF('Option 1'!O88="","",'Option 1'!O88)</f>
        <v/>
      </c>
      <c r="P88" s="124">
        <f t="shared" si="10"/>
        <v>87561</v>
      </c>
    </row>
    <row r="89" spans="1:16" ht="15.75" customHeight="1" x14ac:dyDescent="0.25">
      <c r="A89" s="239"/>
      <c r="B89" s="4" t="str">
        <f>IF('Option 1'!B89="","",'Option 1'!B89)</f>
        <v/>
      </c>
      <c r="C89" s="182" t="str">
        <f>IF('Option 1'!C89="","",'Option 1'!C89)</f>
        <v>Interior Window Wall</v>
      </c>
      <c r="D89" s="183" t="str">
        <f>IF('Option 1'!D89="","",'Option 1'!D89)</f>
        <v/>
      </c>
      <c r="E89" s="184" t="str">
        <f>IF('Option 1'!E89="","",'Option 1'!E89)</f>
        <v/>
      </c>
      <c r="F89" s="184" t="str">
        <f>IF('Option 1'!F89="","",'Option 1'!F89)</f>
        <v/>
      </c>
      <c r="G89" s="184" t="str">
        <f>IF('Option 1'!G89="","",'Option 1'!G89)</f>
        <v/>
      </c>
      <c r="H89" s="184" t="str">
        <f>IF('Option 1'!H89="","",'Option 1'!H89)</f>
        <v/>
      </c>
      <c r="I89" s="184" t="str">
        <f>IF('Option 1'!I89="","",'Option 1'!I89)</f>
        <v/>
      </c>
      <c r="J89" s="184" t="str">
        <f>IF('Option 1'!J89="","",'Option 1'!J89)</f>
        <v/>
      </c>
      <c r="K89" s="184" t="str">
        <f>IF('Option 1'!K89="","",'Option 1'!K89)</f>
        <v/>
      </c>
      <c r="L89" s="184" t="str">
        <f>IF('Option 1'!L89="","",'Option 1'!L89)</f>
        <v/>
      </c>
      <c r="M89" s="184">
        <f>IF('Option 1'!M89="","",'Option 1'!M89)</f>
        <v>69190</v>
      </c>
      <c r="N89" s="184" t="str">
        <f>IF('Option 1'!N89="","",'Option 1'!N89)</f>
        <v/>
      </c>
      <c r="O89" s="184" t="str">
        <f>IF('Option 1'!O89="","",'Option 1'!O89)</f>
        <v/>
      </c>
      <c r="P89" s="124">
        <f t="shared" ref="P89:P152" si="11">IF(SUM(D89:O89)=0,0,SUM(D89:O89))</f>
        <v>69190</v>
      </c>
    </row>
    <row r="90" spans="1:16" ht="15.75" customHeight="1" x14ac:dyDescent="0.25">
      <c r="A90" s="239"/>
      <c r="B90" s="4" t="str">
        <f>IF('Option 1'!B90="","",'Option 1'!B90)</f>
        <v/>
      </c>
      <c r="C90" s="188" t="str">
        <f>IF('Option 1'!C90="","",'Option 1'!C90)</f>
        <v>Mirrors</v>
      </c>
      <c r="D90" s="183" t="str">
        <f>IF('Option 1'!D90="","",'Option 1'!D90)</f>
        <v/>
      </c>
      <c r="E90" s="184" t="str">
        <f>IF('Option 1'!E90="","",'Option 1'!E90)</f>
        <v/>
      </c>
      <c r="F90" s="184" t="str">
        <f>IF('Option 1'!F90="","",'Option 1'!F90)</f>
        <v/>
      </c>
      <c r="G90" s="184" t="str">
        <f>IF('Option 1'!G90="","",'Option 1'!G90)</f>
        <v/>
      </c>
      <c r="H90" s="184" t="str">
        <f>IF('Option 1'!H90="","",'Option 1'!H90)</f>
        <v/>
      </c>
      <c r="I90" s="184" t="str">
        <f>IF('Option 1'!I90="","",'Option 1'!I90)</f>
        <v/>
      </c>
      <c r="J90" s="184" t="str">
        <f>IF('Option 1'!J90="","",'Option 1'!J90)</f>
        <v/>
      </c>
      <c r="K90" s="184" t="str">
        <f>IF('Option 1'!K90="","",'Option 1'!K90)</f>
        <v/>
      </c>
      <c r="L90" s="184" t="str">
        <f>IF('Option 1'!L90="","",'Option 1'!L90)</f>
        <v/>
      </c>
      <c r="M90" s="184">
        <f>IF('Option 1'!M90="","",'Option 1'!M90)</f>
        <v>24907</v>
      </c>
      <c r="N90" s="184" t="str">
        <f>IF('Option 1'!N90="","",'Option 1'!N90)</f>
        <v/>
      </c>
      <c r="O90" s="184" t="str">
        <f>IF('Option 1'!O90="","",'Option 1'!O90)</f>
        <v/>
      </c>
      <c r="P90" s="124">
        <f t="shared" si="11"/>
        <v>24907</v>
      </c>
    </row>
    <row r="91" spans="1:16" ht="15.75" customHeight="1" x14ac:dyDescent="0.25">
      <c r="A91" s="239"/>
      <c r="B91" s="4" t="str">
        <f>IF('Option 1'!B91="","",'Option 1'!B91)</f>
        <v/>
      </c>
      <c r="C91" s="188" t="str">
        <f>IF('Option 1'!C91="","",'Option 1'!C91)</f>
        <v>Lobby Furniture</v>
      </c>
      <c r="D91" s="183" t="str">
        <f>IF('Option 1'!D91="","",'Option 1'!D91)</f>
        <v/>
      </c>
      <c r="E91" s="184" t="str">
        <f>IF('Option 1'!E91="","",'Option 1'!E91)</f>
        <v/>
      </c>
      <c r="F91" s="184" t="str">
        <f>IF('Option 1'!F91="","",'Option 1'!F91)</f>
        <v/>
      </c>
      <c r="G91" s="184" t="str">
        <f>IF('Option 1'!G91="","",'Option 1'!G91)</f>
        <v/>
      </c>
      <c r="H91" s="184" t="str">
        <f>IF('Option 1'!H91="","",'Option 1'!H91)</f>
        <v/>
      </c>
      <c r="I91" s="184" t="str">
        <f>IF('Option 1'!I91="","",'Option 1'!I91)</f>
        <v/>
      </c>
      <c r="J91" s="184" t="str">
        <f>IF('Option 1'!J91="","",'Option 1'!J91)</f>
        <v/>
      </c>
      <c r="K91" s="184" t="str">
        <f>IF('Option 1'!K91="","",'Option 1'!K91)</f>
        <v/>
      </c>
      <c r="L91" s="184" t="str">
        <f>IF('Option 1'!L91="","",'Option 1'!L91)</f>
        <v/>
      </c>
      <c r="M91" s="184" t="str">
        <f>IF('Option 1'!M91="","",'Option 1'!M91)</f>
        <v/>
      </c>
      <c r="N91" s="184" t="str">
        <f>IF('Option 1'!N91="","",'Option 1'!N91)</f>
        <v/>
      </c>
      <c r="O91" s="184" t="str">
        <f>IF('Option 1'!O91="","",'Option 1'!O91)</f>
        <v/>
      </c>
      <c r="P91" s="124">
        <f t="shared" si="11"/>
        <v>0</v>
      </c>
    </row>
    <row r="92" spans="1:16" ht="15.75" customHeight="1" x14ac:dyDescent="0.25">
      <c r="A92" s="239"/>
      <c r="B92" s="4" t="str">
        <f>IF('Option 1'!B92="","",'Option 1'!B92)</f>
        <v/>
      </c>
      <c r="C92" s="182" t="str">
        <f>IF('Option 1'!C92="","",'Option 1'!C92)</f>
        <v>Artwork</v>
      </c>
      <c r="D92" s="183" t="str">
        <f>IF('Option 1'!D92="","",'Option 1'!D92)</f>
        <v/>
      </c>
      <c r="E92" s="184" t="str">
        <f>IF('Option 1'!E92="","",'Option 1'!E92)</f>
        <v/>
      </c>
      <c r="F92" s="184" t="str">
        <f>IF('Option 1'!F92="","",'Option 1'!F92)</f>
        <v/>
      </c>
      <c r="G92" s="184" t="str">
        <f>IF('Option 1'!G92="","",'Option 1'!G92)</f>
        <v/>
      </c>
      <c r="H92" s="184" t="str">
        <f>IF('Option 1'!H92="","",'Option 1'!H92)</f>
        <v/>
      </c>
      <c r="I92" s="184" t="str">
        <f>IF('Option 1'!I92="","",'Option 1'!I92)</f>
        <v/>
      </c>
      <c r="J92" s="184" t="str">
        <f>IF('Option 1'!J92="","",'Option 1'!J92)</f>
        <v/>
      </c>
      <c r="K92" s="184" t="str">
        <f>IF('Option 1'!K92="","",'Option 1'!K92)</f>
        <v/>
      </c>
      <c r="L92" s="184" t="str">
        <f>IF('Option 1'!L92="","",'Option 1'!L92)</f>
        <v/>
      </c>
      <c r="M92" s="184" t="str">
        <f>IF('Option 1'!M92="","",'Option 1'!M92)</f>
        <v/>
      </c>
      <c r="N92" s="184" t="str">
        <f>IF('Option 1'!N92="","",'Option 1'!N92)</f>
        <v/>
      </c>
      <c r="O92" s="184" t="str">
        <f>IF('Option 1'!O92="","",'Option 1'!O92)</f>
        <v/>
      </c>
      <c r="P92" s="124">
        <f t="shared" si="11"/>
        <v>0</v>
      </c>
    </row>
    <row r="93" spans="1:16" ht="15.75" customHeight="1" x14ac:dyDescent="0.25">
      <c r="A93" s="239"/>
      <c r="B93" s="4" t="str">
        <f>IF('Option 1'!B93="","",'Option 1'!B93)</f>
        <v/>
      </c>
      <c r="C93" s="188" t="str">
        <f>IF('Option 1'!C93="","",'Option 1'!C93)</f>
        <v>Vestibule Flooring</v>
      </c>
      <c r="D93" s="183" t="str">
        <f>IF('Option 1'!D93="","",'Option 1'!D93)</f>
        <v/>
      </c>
      <c r="E93" s="184" t="str">
        <f>IF('Option 1'!E93="","",'Option 1'!E93)</f>
        <v/>
      </c>
      <c r="F93" s="184" t="str">
        <f>IF('Option 1'!F93="","",'Option 1'!F93)</f>
        <v/>
      </c>
      <c r="G93" s="184" t="str">
        <f>IF('Option 1'!G93="","",'Option 1'!G93)</f>
        <v/>
      </c>
      <c r="H93" s="184" t="str">
        <f>IF('Option 1'!H93="","",'Option 1'!H93)</f>
        <v/>
      </c>
      <c r="I93" s="184" t="str">
        <f>IF('Option 1'!I93="","",'Option 1'!I93)</f>
        <v/>
      </c>
      <c r="J93" s="184" t="str">
        <f>IF('Option 1'!J93="","",'Option 1'!J93)</f>
        <v/>
      </c>
      <c r="K93" s="184">
        <f>IF('Option 1'!K93="","",'Option 1'!K93)</f>
        <v>8303</v>
      </c>
      <c r="L93" s="184" t="str">
        <f>IF('Option 1'!L93="","",'Option 1'!L93)</f>
        <v/>
      </c>
      <c r="M93" s="184" t="str">
        <f>IF('Option 1'!M93="","",'Option 1'!M93)</f>
        <v/>
      </c>
      <c r="N93" s="184" t="str">
        <f>IF('Option 1'!N93="","",'Option 1'!N93)</f>
        <v/>
      </c>
      <c r="O93" s="184" t="str">
        <f>IF('Option 1'!O93="","",'Option 1'!O93)</f>
        <v/>
      </c>
      <c r="P93" s="124">
        <f t="shared" si="11"/>
        <v>8303</v>
      </c>
    </row>
    <row r="94" spans="1:16" ht="15.75" customHeight="1" x14ac:dyDescent="0.25">
      <c r="A94" s="239"/>
      <c r="B94" s="4" t="str">
        <f>IF('Option 1'!B94="","",'Option 1'!B94)</f>
        <v/>
      </c>
      <c r="C94" s="188" t="str">
        <f>IF('Option 1'!C94="","",'Option 1'!C94)</f>
        <v>Acoustical Tile Ceilings</v>
      </c>
      <c r="D94" s="183" t="str">
        <f>IF('Option 1'!D94="","",'Option 1'!D94)</f>
        <v/>
      </c>
      <c r="E94" s="184" t="str">
        <f>IF('Option 1'!E94="","",'Option 1'!E94)</f>
        <v/>
      </c>
      <c r="F94" s="184">
        <f>IF('Option 1'!F94="","",'Option 1'!F94)</f>
        <v>57222</v>
      </c>
      <c r="G94" s="184" t="str">
        <f>IF('Option 1'!G94="","",'Option 1'!G94)</f>
        <v/>
      </c>
      <c r="H94" s="184" t="str">
        <f>IF('Option 1'!H94="","",'Option 1'!H94)</f>
        <v/>
      </c>
      <c r="I94" s="184" t="str">
        <f>IF('Option 1'!I94="","",'Option 1'!I94)</f>
        <v/>
      </c>
      <c r="J94" s="184" t="str">
        <f>IF('Option 1'!J94="","",'Option 1'!J94)</f>
        <v/>
      </c>
      <c r="K94" s="184" t="str">
        <f>IF('Option 1'!K94="","",'Option 1'!K94)</f>
        <v/>
      </c>
      <c r="L94" s="184" t="str">
        <f>IF('Option 1'!L94="","",'Option 1'!L94)</f>
        <v/>
      </c>
      <c r="M94" s="184" t="str">
        <f>IF('Option 1'!M94="","",'Option 1'!M94)</f>
        <v/>
      </c>
      <c r="N94" s="184" t="str">
        <f>IF('Option 1'!N94="","",'Option 1'!N94)</f>
        <v/>
      </c>
      <c r="O94" s="184" t="str">
        <f>IF('Option 1'!O94="","",'Option 1'!O94)</f>
        <v/>
      </c>
      <c r="P94" s="124">
        <f t="shared" si="11"/>
        <v>57222</v>
      </c>
    </row>
    <row r="95" spans="1:16" ht="15.75" customHeight="1" x14ac:dyDescent="0.25">
      <c r="A95" s="239"/>
      <c r="B95" s="4" t="str">
        <f>IF('Option 1'!B95="","",'Option 1'!B95)</f>
        <v/>
      </c>
      <c r="C95" s="188" t="str">
        <f>IF('Option 1'!C95="","",'Option 1'!C95)</f>
        <v>Laundry Room Flooring</v>
      </c>
      <c r="D95" s="183">
        <f>IF('Option 1'!D95="","",'Option 1'!D95)</f>
        <v>17305</v>
      </c>
      <c r="E95" s="184" t="str">
        <f>IF('Option 1'!E95="","",'Option 1'!E95)</f>
        <v/>
      </c>
      <c r="F95" s="184" t="str">
        <f>IF('Option 1'!F95="","",'Option 1'!F95)</f>
        <v/>
      </c>
      <c r="G95" s="184" t="str">
        <f>IF('Option 1'!G95="","",'Option 1'!G95)</f>
        <v/>
      </c>
      <c r="H95" s="184" t="str">
        <f>IF('Option 1'!H95="","",'Option 1'!H95)</f>
        <v/>
      </c>
      <c r="I95" s="184" t="str">
        <f>IF('Option 1'!I95="","",'Option 1'!I95)</f>
        <v/>
      </c>
      <c r="J95" s="184" t="str">
        <f>IF('Option 1'!J95="","",'Option 1'!J95)</f>
        <v/>
      </c>
      <c r="K95" s="184" t="str">
        <f>IF('Option 1'!K95="","",'Option 1'!K95)</f>
        <v/>
      </c>
      <c r="L95" s="184" t="str">
        <f>IF('Option 1'!L95="","",'Option 1'!L95)</f>
        <v/>
      </c>
      <c r="M95" s="184" t="str">
        <f>IF('Option 1'!M95="","",'Option 1'!M95)</f>
        <v/>
      </c>
      <c r="N95" s="184">
        <f>IF('Option 1'!N95="","",'Option 1'!N95)</f>
        <v>17305</v>
      </c>
      <c r="O95" s="184" t="str">
        <f>IF('Option 1'!O95="","",'Option 1'!O95)</f>
        <v/>
      </c>
      <c r="P95" s="124">
        <f t="shared" si="11"/>
        <v>34610</v>
      </c>
    </row>
    <row r="96" spans="1:16" ht="15.75" customHeight="1" x14ac:dyDescent="0.25">
      <c r="A96" s="239"/>
      <c r="B96" s="4" t="str">
        <f>IF('Option 1'!B96="","",'Option 1'!B96)</f>
        <v/>
      </c>
      <c r="C96" s="188" t="str">
        <f>IF('Option 1'!C96="","",'Option 1'!C96)</f>
        <v>Social Room Carpet</v>
      </c>
      <c r="D96" s="183" t="str">
        <f>IF('Option 1'!D96="","",'Option 1'!D96)</f>
        <v/>
      </c>
      <c r="E96" s="184" t="str">
        <f>IF('Option 1'!E96="","",'Option 1'!E96)</f>
        <v/>
      </c>
      <c r="F96" s="184" t="str">
        <f>IF('Option 1'!F96="","",'Option 1'!F96)</f>
        <v/>
      </c>
      <c r="G96" s="184" t="str">
        <f>IF('Option 1'!G96="","",'Option 1'!G96)</f>
        <v/>
      </c>
      <c r="H96" s="184" t="str">
        <f>IF('Option 1'!H96="","",'Option 1'!H96)</f>
        <v/>
      </c>
      <c r="I96" s="184" t="str">
        <f>IF('Option 1'!I96="","",'Option 1'!I96)</f>
        <v/>
      </c>
      <c r="J96" s="184" t="str">
        <f>IF('Option 1'!J96="","",'Option 1'!J96)</f>
        <v/>
      </c>
      <c r="K96" s="184">
        <f>IF('Option 1'!K96="","",'Option 1'!K96)</f>
        <v>21075</v>
      </c>
      <c r="L96" s="184" t="str">
        <f>IF('Option 1'!L96="","",'Option 1'!L96)</f>
        <v/>
      </c>
      <c r="M96" s="184" t="str">
        <f>IF('Option 1'!M96="","",'Option 1'!M96)</f>
        <v/>
      </c>
      <c r="N96" s="184" t="str">
        <f>IF('Option 1'!N96="","",'Option 1'!N96)</f>
        <v/>
      </c>
      <c r="O96" s="184" t="str">
        <f>IF('Option 1'!O96="","",'Option 1'!O96)</f>
        <v/>
      </c>
      <c r="P96" s="124">
        <f t="shared" si="11"/>
        <v>21075</v>
      </c>
    </row>
    <row r="97" spans="1:16" ht="15.75" customHeight="1" x14ac:dyDescent="0.25">
      <c r="A97" s="239"/>
      <c r="B97" s="4" t="str">
        <f>IF('Option 1'!B97="","",'Option 1'!B97)</f>
        <v/>
      </c>
      <c r="C97" s="188" t="str">
        <f>IF('Option 1'!C97="","",'Option 1'!C97)</f>
        <v>Social Room Sliding Doors</v>
      </c>
      <c r="D97" s="183" t="str">
        <f>IF('Option 1'!D97="","",'Option 1'!D97)</f>
        <v/>
      </c>
      <c r="E97" s="184" t="str">
        <f>IF('Option 1'!E97="","",'Option 1'!E97)</f>
        <v/>
      </c>
      <c r="F97" s="184" t="str">
        <f>IF('Option 1'!F97="","",'Option 1'!F97)</f>
        <v/>
      </c>
      <c r="G97" s="184" t="str">
        <f>IF('Option 1'!G97="","",'Option 1'!G97)</f>
        <v/>
      </c>
      <c r="H97" s="184" t="str">
        <f>IF('Option 1'!H97="","",'Option 1'!H97)</f>
        <v/>
      </c>
      <c r="I97" s="184" t="str">
        <f>IF('Option 1'!I97="","",'Option 1'!I97)</f>
        <v/>
      </c>
      <c r="J97" s="184" t="str">
        <f>IF('Option 1'!J97="","",'Option 1'!J97)</f>
        <v/>
      </c>
      <c r="K97" s="184" t="str">
        <f>IF('Option 1'!K97="","",'Option 1'!K97)</f>
        <v/>
      </c>
      <c r="L97" s="184" t="str">
        <f>IF('Option 1'!L97="","",'Option 1'!L97)</f>
        <v/>
      </c>
      <c r="M97" s="184" t="str">
        <f>IF('Option 1'!M97="","",'Option 1'!M97)</f>
        <v/>
      </c>
      <c r="N97" s="184" t="str">
        <f>IF('Option 1'!N97="","",'Option 1'!N97)</f>
        <v/>
      </c>
      <c r="O97" s="184" t="str">
        <f>IF('Option 1'!O97="","",'Option 1'!O97)</f>
        <v/>
      </c>
      <c r="P97" s="124">
        <f t="shared" si="11"/>
        <v>0</v>
      </c>
    </row>
    <row r="98" spans="1:16" ht="15.75" customHeight="1" x14ac:dyDescent="0.25">
      <c r="A98" s="239"/>
      <c r="B98" s="4" t="str">
        <f>IF('Option 1'!B98="","",'Option 1'!B98)</f>
        <v/>
      </c>
      <c r="C98" s="188" t="str">
        <f>IF('Option 1'!C98="","",'Option 1'!C98)</f>
        <v>Social Room Furniture</v>
      </c>
      <c r="D98" s="183" t="str">
        <f>IF('Option 1'!D98="","",'Option 1'!D98)</f>
        <v/>
      </c>
      <c r="E98" s="184" t="str">
        <f>IF('Option 1'!E98="","",'Option 1'!E98)</f>
        <v/>
      </c>
      <c r="F98" s="184" t="str">
        <f>IF('Option 1'!F98="","",'Option 1'!F98)</f>
        <v/>
      </c>
      <c r="G98" s="184" t="str">
        <f>IF('Option 1'!G98="","",'Option 1'!G98)</f>
        <v/>
      </c>
      <c r="H98" s="184" t="str">
        <f>IF('Option 1'!H98="","",'Option 1'!H98)</f>
        <v/>
      </c>
      <c r="I98" s="184" t="str">
        <f>IF('Option 1'!I98="","",'Option 1'!I98)</f>
        <v/>
      </c>
      <c r="J98" s="184" t="str">
        <f>IF('Option 1'!J98="","",'Option 1'!J98)</f>
        <v/>
      </c>
      <c r="K98" s="184" t="str">
        <f>IF('Option 1'!K98="","",'Option 1'!K98)</f>
        <v/>
      </c>
      <c r="L98" s="184" t="str">
        <f>IF('Option 1'!L98="","",'Option 1'!L98)</f>
        <v/>
      </c>
      <c r="M98" s="184" t="str">
        <f>IF('Option 1'!M98="","",'Option 1'!M98)</f>
        <v/>
      </c>
      <c r="N98" s="184" t="str">
        <f>IF('Option 1'!N98="","",'Option 1'!N98)</f>
        <v/>
      </c>
      <c r="O98" s="184" t="str">
        <f>IF('Option 1'!O98="","",'Option 1'!O98)</f>
        <v/>
      </c>
      <c r="P98" s="124">
        <f t="shared" si="11"/>
        <v>0</v>
      </c>
    </row>
    <row r="99" spans="1:16" ht="15.75" customHeight="1" x14ac:dyDescent="0.25">
      <c r="A99" s="239"/>
      <c r="B99" s="4" t="str">
        <f>IF('Option 1'!B99="","",'Option 1'!B99)</f>
        <v/>
      </c>
      <c r="C99" s="182" t="str">
        <f>IF('Option 1'!C99="","",'Option 1'!C99)</f>
        <v>Carpet (Clubhouse)</v>
      </c>
      <c r="D99" s="183" t="str">
        <f>IF('Option 1'!D99="","",'Option 1'!D99)</f>
        <v/>
      </c>
      <c r="E99" s="184" t="str">
        <f>IF('Option 1'!E99="","",'Option 1'!E99)</f>
        <v/>
      </c>
      <c r="F99" s="184" t="str">
        <f>IF('Option 1'!F99="","",'Option 1'!F99)</f>
        <v/>
      </c>
      <c r="G99" s="184" t="str">
        <f>IF('Option 1'!G99="","",'Option 1'!G99)</f>
        <v/>
      </c>
      <c r="H99" s="184" t="str">
        <f>IF('Option 1'!H99="","",'Option 1'!H99)</f>
        <v/>
      </c>
      <c r="I99" s="184" t="str">
        <f>IF('Option 1'!I99="","",'Option 1'!I99)</f>
        <v/>
      </c>
      <c r="J99" s="184">
        <f>IF('Option 1'!J99="","",'Option 1'!J99)</f>
        <v>6326</v>
      </c>
      <c r="K99" s="184" t="str">
        <f>IF('Option 1'!K99="","",'Option 1'!K99)</f>
        <v/>
      </c>
      <c r="L99" s="184" t="str">
        <f>IF('Option 1'!L99="","",'Option 1'!L99)</f>
        <v/>
      </c>
      <c r="M99" s="184" t="str">
        <f>IF('Option 1'!M99="","",'Option 1'!M99)</f>
        <v/>
      </c>
      <c r="N99" s="184" t="str">
        <f>IF('Option 1'!N99="","",'Option 1'!N99)</f>
        <v/>
      </c>
      <c r="O99" s="184" t="str">
        <f>IF('Option 1'!O99="","",'Option 1'!O99)</f>
        <v/>
      </c>
      <c r="P99" s="124">
        <f t="shared" si="11"/>
        <v>6326</v>
      </c>
    </row>
    <row r="100" spans="1:16" ht="15.75" customHeight="1" x14ac:dyDescent="0.25">
      <c r="A100" s="239"/>
      <c r="B100" s="4" t="str">
        <f>IF('Option 1'!B100="","",'Option 1'!B100)</f>
        <v/>
      </c>
      <c r="C100" s="188" t="str">
        <f>IF('Option 1'!C100="","",'Option 1'!C100)</f>
        <v>Ceramic Tile (Clubhouse)</v>
      </c>
      <c r="D100" s="183" t="str">
        <f>IF('Option 1'!D100="","",'Option 1'!D100)</f>
        <v/>
      </c>
      <c r="E100" s="184" t="str">
        <f>IF('Option 1'!E100="","",'Option 1'!E100)</f>
        <v/>
      </c>
      <c r="F100" s="184" t="str">
        <f>IF('Option 1'!F100="","",'Option 1'!F100)</f>
        <v/>
      </c>
      <c r="G100" s="184" t="str">
        <f>IF('Option 1'!G100="","",'Option 1'!G100)</f>
        <v/>
      </c>
      <c r="H100" s="184" t="str">
        <f>IF('Option 1'!H100="","",'Option 1'!H100)</f>
        <v/>
      </c>
      <c r="I100" s="184" t="str">
        <f>IF('Option 1'!I100="","",'Option 1'!I100)</f>
        <v/>
      </c>
      <c r="J100" s="184" t="str">
        <f>IF('Option 1'!J100="","",'Option 1'!J100)</f>
        <v/>
      </c>
      <c r="K100" s="184" t="str">
        <f>IF('Option 1'!K100="","",'Option 1'!K100)</f>
        <v/>
      </c>
      <c r="L100" s="184" t="str">
        <f>IF('Option 1'!L100="","",'Option 1'!L100)</f>
        <v/>
      </c>
      <c r="M100" s="184" t="str">
        <f>IF('Option 1'!M100="","",'Option 1'!M100)</f>
        <v/>
      </c>
      <c r="N100" s="184" t="str">
        <f>IF('Option 1'!N100="","",'Option 1'!N100)</f>
        <v/>
      </c>
      <c r="O100" s="184" t="str">
        <f>IF('Option 1'!O100="","",'Option 1'!O100)</f>
        <v/>
      </c>
      <c r="P100" s="124">
        <f t="shared" si="11"/>
        <v>0</v>
      </c>
    </row>
    <row r="101" spans="1:16" ht="15.75" customHeight="1" x14ac:dyDescent="0.25">
      <c r="A101" s="239"/>
      <c r="B101" s="4" t="str">
        <f>IF('Option 1'!B101="","",'Option 1'!B101)</f>
        <v/>
      </c>
      <c r="C101" s="188" t="str">
        <f>IF('Option 1'!C101="","",'Option 1'!C101)</f>
        <v>Toilet Partitions</v>
      </c>
      <c r="D101" s="183" t="str">
        <f>IF('Option 1'!D101="","",'Option 1'!D101)</f>
        <v/>
      </c>
      <c r="E101" s="184" t="str">
        <f>IF('Option 1'!E101="","",'Option 1'!E101)</f>
        <v/>
      </c>
      <c r="F101" s="184" t="str">
        <f>IF('Option 1'!F101="","",'Option 1'!F101)</f>
        <v/>
      </c>
      <c r="G101" s="184" t="str">
        <f>IF('Option 1'!G101="","",'Option 1'!G101)</f>
        <v/>
      </c>
      <c r="H101" s="184" t="str">
        <f>IF('Option 1'!H101="","",'Option 1'!H101)</f>
        <v/>
      </c>
      <c r="I101" s="184">
        <f>IF('Option 1'!I101="","",'Option 1'!I101)</f>
        <v>2491</v>
      </c>
      <c r="J101" s="184" t="str">
        <f>IF('Option 1'!J101="","",'Option 1'!J101)</f>
        <v/>
      </c>
      <c r="K101" s="184" t="str">
        <f>IF('Option 1'!K101="","",'Option 1'!K101)</f>
        <v/>
      </c>
      <c r="L101" s="184" t="str">
        <f>IF('Option 1'!L101="","",'Option 1'!L101)</f>
        <v/>
      </c>
      <c r="M101" s="184" t="str">
        <f>IF('Option 1'!M101="","",'Option 1'!M101)</f>
        <v/>
      </c>
      <c r="N101" s="184" t="str">
        <f>IF('Option 1'!N101="","",'Option 1'!N101)</f>
        <v/>
      </c>
      <c r="O101" s="184" t="str">
        <f>IF('Option 1'!O101="","",'Option 1'!O101)</f>
        <v/>
      </c>
      <c r="P101" s="124">
        <f t="shared" si="11"/>
        <v>2491</v>
      </c>
    </row>
    <row r="102" spans="1:16" ht="15.75" customHeight="1" x14ac:dyDescent="0.25">
      <c r="A102" s="239"/>
      <c r="B102" s="4" t="str">
        <f>IF('Option 1'!B102="","",'Option 1'!B102)</f>
        <v/>
      </c>
      <c r="C102" s="188" t="str">
        <f>IF('Option 1'!C102="","",'Option 1'!C102)</f>
        <v>Showers</v>
      </c>
      <c r="D102" s="183">
        <f>IF('Option 1'!D102="","",'Option 1'!D102)</f>
        <v>5536</v>
      </c>
      <c r="E102" s="184" t="str">
        <f>IF('Option 1'!E102="","",'Option 1'!E102)</f>
        <v/>
      </c>
      <c r="F102" s="184" t="str">
        <f>IF('Option 1'!F102="","",'Option 1'!F102)</f>
        <v/>
      </c>
      <c r="G102" s="184" t="str">
        <f>IF('Option 1'!G102="","",'Option 1'!G102)</f>
        <v/>
      </c>
      <c r="H102" s="184" t="str">
        <f>IF('Option 1'!H102="","",'Option 1'!H102)</f>
        <v/>
      </c>
      <c r="I102" s="184" t="str">
        <f>IF('Option 1'!I102="","",'Option 1'!I102)</f>
        <v/>
      </c>
      <c r="J102" s="184" t="str">
        <f>IF('Option 1'!J102="","",'Option 1'!J102)</f>
        <v/>
      </c>
      <c r="K102" s="184" t="str">
        <f>IF('Option 1'!K102="","",'Option 1'!K102)</f>
        <v/>
      </c>
      <c r="L102" s="184" t="str">
        <f>IF('Option 1'!L102="","",'Option 1'!L102)</f>
        <v/>
      </c>
      <c r="M102" s="184" t="str">
        <f>IF('Option 1'!M102="","",'Option 1'!M102)</f>
        <v/>
      </c>
      <c r="N102" s="184" t="str">
        <f>IF('Option 1'!N102="","",'Option 1'!N102)</f>
        <v/>
      </c>
      <c r="O102" s="184" t="str">
        <f>IF('Option 1'!O102="","",'Option 1'!O102)</f>
        <v/>
      </c>
      <c r="P102" s="124">
        <f t="shared" si="11"/>
        <v>5536</v>
      </c>
    </row>
    <row r="103" spans="1:16" ht="15.75" customHeight="1" x14ac:dyDescent="0.25">
      <c r="A103" s="239"/>
      <c r="B103" s="4" t="str">
        <f>IF('Option 1'!B103="","",'Option 1'!B103)</f>
        <v/>
      </c>
      <c r="C103" s="188" t="str">
        <f>IF('Option 1'!C103="","",'Option 1'!C103)</f>
        <v>Saunas</v>
      </c>
      <c r="D103" s="183" t="str">
        <f>IF('Option 1'!D103="","",'Option 1'!D103)</f>
        <v/>
      </c>
      <c r="E103" s="184" t="str">
        <f>IF('Option 1'!E103="","",'Option 1'!E103)</f>
        <v/>
      </c>
      <c r="F103" s="184" t="str">
        <f>IF('Option 1'!F103="","",'Option 1'!F103)</f>
        <v/>
      </c>
      <c r="G103" s="184" t="str">
        <f>IF('Option 1'!G103="","",'Option 1'!G103)</f>
        <v/>
      </c>
      <c r="H103" s="184">
        <f>IF('Option 1'!H103="","",'Option 1'!H103)</f>
        <v>30445</v>
      </c>
      <c r="I103" s="184" t="str">
        <f>IF('Option 1'!I103="","",'Option 1'!I103)</f>
        <v/>
      </c>
      <c r="J103" s="184" t="str">
        <f>IF('Option 1'!J103="","",'Option 1'!J103)</f>
        <v/>
      </c>
      <c r="K103" s="184" t="str">
        <f>IF('Option 1'!K103="","",'Option 1'!K103)</f>
        <v/>
      </c>
      <c r="L103" s="184" t="str">
        <f>IF('Option 1'!L103="","",'Option 1'!L103)</f>
        <v/>
      </c>
      <c r="M103" s="184" t="str">
        <f>IF('Option 1'!M103="","",'Option 1'!M103)</f>
        <v/>
      </c>
      <c r="N103" s="184" t="str">
        <f>IF('Option 1'!N103="","",'Option 1'!N103)</f>
        <v/>
      </c>
      <c r="O103" s="184" t="str">
        <f>IF('Option 1'!O103="","",'Option 1'!O103)</f>
        <v/>
      </c>
      <c r="P103" s="124">
        <f t="shared" si="11"/>
        <v>30445</v>
      </c>
    </row>
    <row r="104" spans="1:16" ht="15.75" customHeight="1" x14ac:dyDescent="0.25">
      <c r="A104" s="239"/>
      <c r="B104" s="4" t="str">
        <f>IF('Option 1'!B104="","",'Option 1'!B104)</f>
        <v/>
      </c>
      <c r="C104" s="188" t="str">
        <f>IF('Option 1'!C104="","",'Option 1'!C104)</f>
        <v>Plumbing Fixtures</v>
      </c>
      <c r="D104" s="186">
        <f>IF('Option 1'!D104="","",'Option 1'!D104)</f>
        <v>19500</v>
      </c>
      <c r="E104" s="184" t="str">
        <f>IF('Option 1'!E104="","",'Option 1'!E104)</f>
        <v/>
      </c>
      <c r="F104" s="184">
        <f>IF('Option 1'!F104="","",'Option 1'!F104)</f>
        <v>3875</v>
      </c>
      <c r="G104" s="184" t="str">
        <f>IF('Option 1'!G104="","",'Option 1'!G104)</f>
        <v/>
      </c>
      <c r="H104" s="184" t="str">
        <f>IF('Option 1'!H104="","",'Option 1'!H104)</f>
        <v/>
      </c>
      <c r="I104" s="184" t="str">
        <f>IF('Option 1'!I104="","",'Option 1'!I104)</f>
        <v/>
      </c>
      <c r="J104" s="184" t="str">
        <f>IF('Option 1'!J104="","",'Option 1'!J104)</f>
        <v/>
      </c>
      <c r="K104" s="184" t="str">
        <f>IF('Option 1'!K104="","",'Option 1'!K104)</f>
        <v/>
      </c>
      <c r="L104" s="184" t="str">
        <f>IF('Option 1'!L104="","",'Option 1'!L104)</f>
        <v/>
      </c>
      <c r="M104" s="184" t="str">
        <f>IF('Option 1'!M104="","",'Option 1'!M104)</f>
        <v/>
      </c>
      <c r="N104" s="184" t="str">
        <f>IF('Option 1'!N104="","",'Option 1'!N104)</f>
        <v/>
      </c>
      <c r="O104" s="184" t="str">
        <f>IF('Option 1'!O104="","",'Option 1'!O104)</f>
        <v/>
      </c>
      <c r="P104" s="124">
        <f t="shared" si="11"/>
        <v>23375</v>
      </c>
    </row>
    <row r="105" spans="1:16" ht="15.75" customHeight="1" x14ac:dyDescent="0.25">
      <c r="A105" s="239"/>
      <c r="B105" s="4" t="str">
        <f>IF('Option 1'!B105="","",'Option 1'!B105)</f>
        <v/>
      </c>
      <c r="C105" s="188" t="str">
        <f>IF('Option 1'!C105="","",'Option 1'!C105)</f>
        <v>Interior Passage Doors</v>
      </c>
      <c r="D105" s="186" t="str">
        <f>IF('Option 1'!D105="","",'Option 1'!D105)</f>
        <v/>
      </c>
      <c r="E105" s="184" t="str">
        <f>IF('Option 1'!E105="","",'Option 1'!E105)</f>
        <v/>
      </c>
      <c r="F105" s="184" t="str">
        <f>IF('Option 1'!F105="","",'Option 1'!F105)</f>
        <v/>
      </c>
      <c r="G105" s="184" t="str">
        <f>IF('Option 1'!G105="","",'Option 1'!G105)</f>
        <v/>
      </c>
      <c r="H105" s="184">
        <f>IF('Option 1'!H105="","",'Option 1'!H105)</f>
        <v>3321</v>
      </c>
      <c r="I105" s="184" t="str">
        <f>IF('Option 1'!I105="","",'Option 1'!I105)</f>
        <v/>
      </c>
      <c r="J105" s="184" t="str">
        <f>IF('Option 1'!J105="","",'Option 1'!J105)</f>
        <v/>
      </c>
      <c r="K105" s="184" t="str">
        <f>IF('Option 1'!K105="","",'Option 1'!K105)</f>
        <v/>
      </c>
      <c r="L105" s="184" t="str">
        <f>IF('Option 1'!L105="","",'Option 1'!L105)</f>
        <v/>
      </c>
      <c r="M105" s="184" t="str">
        <f>IF('Option 1'!M105="","",'Option 1'!M105)</f>
        <v/>
      </c>
      <c r="N105" s="184" t="str">
        <f>IF('Option 1'!N105="","",'Option 1'!N105)</f>
        <v/>
      </c>
      <c r="O105" s="184" t="str">
        <f>IF('Option 1'!O105="","",'Option 1'!O105)</f>
        <v/>
      </c>
      <c r="P105" s="124">
        <f t="shared" si="11"/>
        <v>3321</v>
      </c>
    </row>
    <row r="106" spans="1:16" ht="15.75" customHeight="1" x14ac:dyDescent="0.25">
      <c r="A106" s="239"/>
      <c r="B106" s="4" t="str">
        <f>IF('Option 1'!B106="","",'Option 1'!B106)</f>
        <v/>
      </c>
      <c r="C106" s="188" t="str">
        <f>IF('Option 1'!C106="","",'Option 1'!C106)</f>
        <v>Closet Doors</v>
      </c>
      <c r="D106" s="186" t="str">
        <f>IF('Option 1'!D106="","",'Option 1'!D106)</f>
        <v/>
      </c>
      <c r="E106" s="184" t="str">
        <f>IF('Option 1'!E106="","",'Option 1'!E106)</f>
        <v/>
      </c>
      <c r="F106" s="184" t="str">
        <f>IF('Option 1'!F106="","",'Option 1'!F106)</f>
        <v/>
      </c>
      <c r="G106" s="184" t="str">
        <f>IF('Option 1'!G106="","",'Option 1'!G106)</f>
        <v/>
      </c>
      <c r="H106" s="184">
        <f>IF('Option 1'!H106="","",'Option 1'!H106)</f>
        <v>1245</v>
      </c>
      <c r="I106" s="184" t="str">
        <f>IF('Option 1'!I106="","",'Option 1'!I106)</f>
        <v/>
      </c>
      <c r="J106" s="184" t="str">
        <f>IF('Option 1'!J106="","",'Option 1'!J106)</f>
        <v/>
      </c>
      <c r="K106" s="184" t="str">
        <f>IF('Option 1'!K106="","",'Option 1'!K106)</f>
        <v/>
      </c>
      <c r="L106" s="184" t="str">
        <f>IF('Option 1'!L106="","",'Option 1'!L106)</f>
        <v/>
      </c>
      <c r="M106" s="184" t="str">
        <f>IF('Option 1'!M106="","",'Option 1'!M106)</f>
        <v/>
      </c>
      <c r="N106" s="184" t="str">
        <f>IF('Option 1'!N106="","",'Option 1'!N106)</f>
        <v/>
      </c>
      <c r="O106" s="184" t="str">
        <f>IF('Option 1'!O106="","",'Option 1'!O106)</f>
        <v/>
      </c>
      <c r="P106" s="124">
        <f t="shared" si="11"/>
        <v>1245</v>
      </c>
    </row>
    <row r="107" spans="1:16" ht="15.75" customHeight="1" x14ac:dyDescent="0.25">
      <c r="A107" s="239"/>
      <c r="B107" s="4" t="str">
        <f>IF('Option 1'!B107="","",'Option 1'!B107)</f>
        <v/>
      </c>
      <c r="C107" s="188" t="str">
        <f>IF('Option 1'!C107="","",'Option 1'!C107)</f>
        <v>Appliances</v>
      </c>
      <c r="D107" s="186" t="str">
        <f>IF('Option 1'!D107="","",'Option 1'!D107)</f>
        <v/>
      </c>
      <c r="E107" s="184" t="str">
        <f>IF('Option 1'!E107="","",'Option 1'!E107)</f>
        <v/>
      </c>
      <c r="F107" s="184" t="str">
        <f>IF('Option 1'!F107="","",'Option 1'!F107)</f>
        <v/>
      </c>
      <c r="G107" s="184" t="str">
        <f>IF('Option 1'!G107="","",'Option 1'!G107)</f>
        <v/>
      </c>
      <c r="H107" s="184" t="str">
        <f>IF('Option 1'!H107="","",'Option 1'!H107)</f>
        <v/>
      </c>
      <c r="I107" s="184" t="str">
        <f>IF('Option 1'!I107="","",'Option 1'!I107)</f>
        <v/>
      </c>
      <c r="J107" s="184" t="str">
        <f>IF('Option 1'!J107="","",'Option 1'!J107)</f>
        <v/>
      </c>
      <c r="K107" s="184" t="str">
        <f>IF('Option 1'!K107="","",'Option 1'!K107)</f>
        <v/>
      </c>
      <c r="L107" s="184" t="str">
        <f>IF('Option 1'!L107="","",'Option 1'!L107)</f>
        <v/>
      </c>
      <c r="M107" s="184" t="str">
        <f>IF('Option 1'!M107="","",'Option 1'!M107)</f>
        <v/>
      </c>
      <c r="N107" s="184" t="str">
        <f>IF('Option 1'!N107="","",'Option 1'!N107)</f>
        <v/>
      </c>
      <c r="O107" s="184" t="str">
        <f>IF('Option 1'!O107="","",'Option 1'!O107)</f>
        <v/>
      </c>
      <c r="P107" s="124">
        <f t="shared" si="11"/>
        <v>0</v>
      </c>
    </row>
    <row r="108" spans="1:16" ht="15.75" customHeight="1" x14ac:dyDescent="0.25">
      <c r="A108" s="239"/>
      <c r="B108" s="4" t="str">
        <f>IF('Option 1'!B108="","",'Option 1'!B108)</f>
        <v/>
      </c>
      <c r="C108" s="188" t="str">
        <f>IF('Option 1'!C108="","",'Option 1'!C108)</f>
        <v>Exercise Equipment</v>
      </c>
      <c r="D108" s="186">
        <f>IF('Option 1'!D108="","",'Option 1'!D108)</f>
        <v>167</v>
      </c>
      <c r="E108" s="184" t="str">
        <f>IF('Option 1'!E108="","",'Option 1'!E108)</f>
        <v/>
      </c>
      <c r="F108" s="184" t="str">
        <f>IF('Option 1'!F108="","",'Option 1'!F108)</f>
        <v/>
      </c>
      <c r="G108" s="184" t="str">
        <f>IF('Option 1'!G108="","",'Option 1'!G108)</f>
        <v/>
      </c>
      <c r="H108" s="184" t="str">
        <f>IF('Option 1'!H108="","",'Option 1'!H108)</f>
        <v/>
      </c>
      <c r="I108" s="184" t="str">
        <f>IF('Option 1'!I108="","",'Option 1'!I108)</f>
        <v/>
      </c>
      <c r="J108" s="184" t="str">
        <f>IF('Option 1'!J108="","",'Option 1'!J108)</f>
        <v/>
      </c>
      <c r="K108" s="184" t="str">
        <f>IF('Option 1'!K108="","",'Option 1'!K108)</f>
        <v/>
      </c>
      <c r="L108" s="184" t="str">
        <f>IF('Option 1'!L108="","",'Option 1'!L108)</f>
        <v/>
      </c>
      <c r="M108" s="184" t="str">
        <f>IF('Option 1'!M108="","",'Option 1'!M108)</f>
        <v/>
      </c>
      <c r="N108" s="184" t="str">
        <f>IF('Option 1'!N108="","",'Option 1'!N108)</f>
        <v/>
      </c>
      <c r="O108" s="184" t="str">
        <f>IF('Option 1'!O108="","",'Option 1'!O108)</f>
        <v/>
      </c>
      <c r="P108" s="124">
        <f t="shared" si="11"/>
        <v>167</v>
      </c>
    </row>
    <row r="109" spans="1:16" ht="15.75" customHeight="1" x14ac:dyDescent="0.25">
      <c r="A109" s="239"/>
      <c r="B109" s="4" t="str">
        <f>IF('Option 1'!B109="","",'Option 1'!B109)</f>
        <v/>
      </c>
      <c r="C109" s="188" t="str">
        <f>IF('Option 1'!C109="","",'Option 1'!C109)</f>
        <v>Office Furniture and Equipment</v>
      </c>
      <c r="D109" s="186" t="str">
        <f>IF('Option 1'!D109="","",'Option 1'!D109)</f>
        <v/>
      </c>
      <c r="E109" s="184" t="str">
        <f>IF('Option 1'!E109="","",'Option 1'!E109)</f>
        <v/>
      </c>
      <c r="F109" s="184" t="str">
        <f>IF('Option 1'!F109="","",'Option 1'!F109)</f>
        <v/>
      </c>
      <c r="G109" s="184" t="str">
        <f>IF('Option 1'!G109="","",'Option 1'!G109)</f>
        <v/>
      </c>
      <c r="H109" s="184" t="str">
        <f>IF('Option 1'!H109="","",'Option 1'!H109)</f>
        <v/>
      </c>
      <c r="I109" s="184" t="str">
        <f>IF('Option 1'!I109="","",'Option 1'!I109)</f>
        <v/>
      </c>
      <c r="J109" s="184" t="str">
        <f>IF('Option 1'!J109="","",'Option 1'!J109)</f>
        <v/>
      </c>
      <c r="K109" s="184" t="str">
        <f>IF('Option 1'!K109="","",'Option 1'!K109)</f>
        <v/>
      </c>
      <c r="L109" s="184" t="str">
        <f>IF('Option 1'!L109="","",'Option 1'!L109)</f>
        <v/>
      </c>
      <c r="M109" s="184" t="str">
        <f>IF('Option 1'!M109="","",'Option 1'!M109)</f>
        <v/>
      </c>
      <c r="N109" s="184" t="str">
        <f>IF('Option 1'!N109="","",'Option 1'!N109)</f>
        <v/>
      </c>
      <c r="O109" s="184" t="str">
        <f>IF('Option 1'!O109="","",'Option 1'!O109)</f>
        <v/>
      </c>
      <c r="P109" s="124">
        <f t="shared" si="11"/>
        <v>0</v>
      </c>
    </row>
    <row r="110" spans="1:16" ht="15.75" customHeight="1" x14ac:dyDescent="0.25">
      <c r="A110" s="239"/>
      <c r="B110" s="4" t="str">
        <f>IF('Option 1'!B110="","",'Option 1'!B110)</f>
        <v/>
      </c>
      <c r="C110" s="188" t="str">
        <f>IF('Option 1'!C110="","",'Option 1'!C110)</f>
        <v>Common Double Doors</v>
      </c>
      <c r="D110" s="186" t="str">
        <f>IF('Option 1'!D110="","",'Option 1'!D110)</f>
        <v/>
      </c>
      <c r="E110" s="184" t="str">
        <f>IF('Option 1'!E110="","",'Option 1'!E110)</f>
        <v/>
      </c>
      <c r="F110" s="184" t="str">
        <f>IF('Option 1'!F110="","",'Option 1'!F110)</f>
        <v/>
      </c>
      <c r="G110" s="184" t="str">
        <f>IF('Option 1'!G110="","",'Option 1'!G110)</f>
        <v/>
      </c>
      <c r="H110" s="184">
        <f>IF('Option 1'!H110="","",'Option 1'!H110)</f>
        <v>92028</v>
      </c>
      <c r="I110" s="184" t="str">
        <f>IF('Option 1'!I110="","",'Option 1'!I110)</f>
        <v/>
      </c>
      <c r="J110" s="184" t="str">
        <f>IF('Option 1'!J110="","",'Option 1'!J110)</f>
        <v/>
      </c>
      <c r="K110" s="184" t="str">
        <f>IF('Option 1'!K110="","",'Option 1'!K110)</f>
        <v/>
      </c>
      <c r="L110" s="184" t="str">
        <f>IF('Option 1'!L110="","",'Option 1'!L110)</f>
        <v/>
      </c>
      <c r="M110" s="184" t="str">
        <f>IF('Option 1'!M110="","",'Option 1'!M110)</f>
        <v/>
      </c>
      <c r="N110" s="184" t="str">
        <f>IF('Option 1'!N110="","",'Option 1'!N110)</f>
        <v/>
      </c>
      <c r="O110" s="184" t="str">
        <f>IF('Option 1'!O110="","",'Option 1'!O110)</f>
        <v/>
      </c>
      <c r="P110" s="124">
        <f t="shared" si="11"/>
        <v>92028</v>
      </c>
    </row>
    <row r="111" spans="1:16" ht="15.75" customHeight="1" x14ac:dyDescent="0.25">
      <c r="A111" s="239"/>
      <c r="B111" s="4" t="str">
        <f>IF('Option 1'!B111="","",'Option 1'!B111)</f>
        <v/>
      </c>
      <c r="C111" s="188" t="str">
        <f>IF('Option 1'!C111="","",'Option 1'!C111)</f>
        <v>Common Single Doors</v>
      </c>
      <c r="D111" s="186" t="str">
        <f>IF('Option 1'!D111="","",'Option 1'!D111)</f>
        <v/>
      </c>
      <c r="E111" s="184" t="str">
        <f>IF('Option 1'!E111="","",'Option 1'!E111)</f>
        <v/>
      </c>
      <c r="F111" s="184" t="str">
        <f>IF('Option 1'!F111="","",'Option 1'!F111)</f>
        <v/>
      </c>
      <c r="G111" s="184" t="str">
        <f>IF('Option 1'!G111="","",'Option 1'!G111)</f>
        <v/>
      </c>
      <c r="H111" s="184">
        <f>IF('Option 1'!H111="","",'Option 1'!H111)</f>
        <v>345969</v>
      </c>
      <c r="I111" s="184" t="str">
        <f>IF('Option 1'!I111="","",'Option 1'!I111)</f>
        <v/>
      </c>
      <c r="J111" s="184" t="str">
        <f>IF('Option 1'!J111="","",'Option 1'!J111)</f>
        <v/>
      </c>
      <c r="K111" s="184" t="str">
        <f>IF('Option 1'!K111="","",'Option 1'!K111)</f>
        <v/>
      </c>
      <c r="L111" s="184" t="str">
        <f>IF('Option 1'!L111="","",'Option 1'!L111)</f>
        <v/>
      </c>
      <c r="M111" s="184" t="str">
        <f>IF('Option 1'!M111="","",'Option 1'!M111)</f>
        <v/>
      </c>
      <c r="N111" s="184" t="str">
        <f>IF('Option 1'!N111="","",'Option 1'!N111)</f>
        <v/>
      </c>
      <c r="O111" s="184" t="str">
        <f>IF('Option 1'!O111="","",'Option 1'!O111)</f>
        <v/>
      </c>
      <c r="P111" s="124">
        <f t="shared" si="11"/>
        <v>345969</v>
      </c>
    </row>
    <row r="112" spans="1:16" ht="15.75" customHeight="1" x14ac:dyDescent="0.25">
      <c r="A112" s="239"/>
      <c r="B112" s="4" t="str">
        <f>IF('Option 1'!B112="","",'Option 1'!B112)</f>
        <v/>
      </c>
      <c r="C112" s="3" t="str">
        <f>IF('Option 1'!C112="","",'Option 1'!C112)</f>
        <v>Exterior Finishes Elements</v>
      </c>
      <c r="D112" s="186" t="str">
        <f>IF('Option 1'!D112="","",'Option 1'!D112)</f>
        <v/>
      </c>
      <c r="E112" s="184" t="str">
        <f>IF('Option 1'!E112="","",'Option 1'!E112)</f>
        <v/>
      </c>
      <c r="F112" s="184" t="str">
        <f>IF('Option 1'!F112="","",'Option 1'!F112)</f>
        <v/>
      </c>
      <c r="G112" s="184" t="str">
        <f>IF('Option 1'!G112="","",'Option 1'!G112)</f>
        <v/>
      </c>
      <c r="H112" s="184" t="str">
        <f>IF('Option 1'!H112="","",'Option 1'!H112)</f>
        <v/>
      </c>
      <c r="I112" s="184" t="str">
        <f>IF('Option 1'!I112="","",'Option 1'!I112)</f>
        <v/>
      </c>
      <c r="J112" s="184" t="str">
        <f>IF('Option 1'!J112="","",'Option 1'!J112)</f>
        <v/>
      </c>
      <c r="K112" s="184" t="str">
        <f>IF('Option 1'!K112="","",'Option 1'!K112)</f>
        <v/>
      </c>
      <c r="L112" s="184" t="str">
        <f>IF('Option 1'!L112="","",'Option 1'!L112)</f>
        <v/>
      </c>
      <c r="M112" s="184" t="str">
        <f>IF('Option 1'!M112="","",'Option 1'!M112)</f>
        <v/>
      </c>
      <c r="N112" s="184" t="str">
        <f>IF('Option 1'!N112="","",'Option 1'!N112)</f>
        <v/>
      </c>
      <c r="O112" s="184" t="str">
        <f>IF('Option 1'!O112="","",'Option 1'!O112)</f>
        <v/>
      </c>
      <c r="P112" s="124">
        <f t="shared" si="11"/>
        <v>0</v>
      </c>
    </row>
    <row r="113" spans="1:16" ht="15.75" customHeight="1" x14ac:dyDescent="0.25">
      <c r="A113" s="239"/>
      <c r="B113" s="4" t="str">
        <f>IF('Option 1'!B113="","",'Option 1'!B113)</f>
        <v/>
      </c>
      <c r="C113" s="188" t="str">
        <f>IF('Option 1'!C113="","",'Option 1'!C113)</f>
        <v>Concrete Garage Door Headers (1405 A &amp; B, 1615 B, 1505 A &amp; B, 1515 A &amp; B, &amp; 1605 A &amp; B Wings)</v>
      </c>
      <c r="D113" s="186" t="str">
        <f>IF('Option 1'!D113="","",'Option 1'!D113)</f>
        <v/>
      </c>
      <c r="E113" s="184">
        <f>IF('Option 1'!E113="","",'Option 1'!E113)</f>
        <v>85000</v>
      </c>
      <c r="F113" s="184">
        <f>IF('Option 1'!F113="","",'Option 1'!F113)</f>
        <v>85000</v>
      </c>
      <c r="G113" s="184">
        <f>IF('Option 1'!G113="","",'Option 1'!G113)</f>
        <v>85000</v>
      </c>
      <c r="H113" s="184" t="str">
        <f>IF('Option 1'!H113="","",'Option 1'!H113)</f>
        <v/>
      </c>
      <c r="I113" s="184" t="str">
        <f>IF('Option 1'!I113="","",'Option 1'!I113)</f>
        <v/>
      </c>
      <c r="J113" s="184" t="str">
        <f>IF('Option 1'!J113="","",'Option 1'!J113)</f>
        <v/>
      </c>
      <c r="K113" s="184" t="str">
        <f>IF('Option 1'!K113="","",'Option 1'!K113)</f>
        <v/>
      </c>
      <c r="L113" s="184" t="str">
        <f>IF('Option 1'!L113="","",'Option 1'!L113)</f>
        <v/>
      </c>
      <c r="M113" s="184">
        <f>IF('Option 1'!M113="","",'Option 1'!M113)</f>
        <v>418500</v>
      </c>
      <c r="N113" s="184" t="str">
        <f>IF('Option 1'!N113="","",'Option 1'!N113)</f>
        <v/>
      </c>
      <c r="O113" s="184" t="str">
        <f>IF('Option 1'!O113="","",'Option 1'!O113)</f>
        <v/>
      </c>
      <c r="P113" s="124">
        <f t="shared" si="11"/>
        <v>673500</v>
      </c>
    </row>
    <row r="114" spans="1:16" ht="15.75" customHeight="1" x14ac:dyDescent="0.25">
      <c r="A114" s="239"/>
      <c r="B114" s="4" t="str">
        <f>IF('Option 1'!B114="","",'Option 1'!B114)</f>
        <v/>
      </c>
      <c r="C114" s="188" t="str">
        <f>IF('Option 1'!C114="","",'Option 1'!C114)</f>
        <v>Concrete Garage Door Headers (1415 A &amp; 1615 A Wings)</v>
      </c>
      <c r="D114" s="186" t="str">
        <f>IF('Option 1'!D114="","",'Option 1'!D114)</f>
        <v/>
      </c>
      <c r="E114" s="184" t="str">
        <f>IF('Option 1'!E114="","",'Option 1'!E114)</f>
        <v/>
      </c>
      <c r="F114" s="184" t="str">
        <f>IF('Option 1'!F114="","",'Option 1'!F114)</f>
        <v/>
      </c>
      <c r="G114" s="184" t="str">
        <f>IF('Option 1'!G114="","",'Option 1'!G114)</f>
        <v/>
      </c>
      <c r="H114" s="184" t="str">
        <f>IF('Option 1'!H114="","",'Option 1'!H114)</f>
        <v/>
      </c>
      <c r="I114" s="184" t="str">
        <f>IF('Option 1'!I114="","",'Option 1'!I114)</f>
        <v/>
      </c>
      <c r="J114" s="184" t="str">
        <f>IF('Option 1'!J114="","",'Option 1'!J114)</f>
        <v/>
      </c>
      <c r="K114" s="184" t="str">
        <f>IF('Option 1'!K114="","",'Option 1'!K114)</f>
        <v/>
      </c>
      <c r="L114" s="184" t="str">
        <f>IF('Option 1'!L114="","",'Option 1'!L114)</f>
        <v/>
      </c>
      <c r="M114" s="184" t="str">
        <f>IF('Option 1'!M114="","",'Option 1'!M114)</f>
        <v/>
      </c>
      <c r="N114" s="184" t="str">
        <f>IF('Option 1'!N114="","",'Option 1'!N114)</f>
        <v/>
      </c>
      <c r="O114" s="184" t="str">
        <f>IF('Option 1'!O114="","",'Option 1'!O114)</f>
        <v/>
      </c>
      <c r="P114" s="124">
        <f t="shared" si="11"/>
        <v>0</v>
      </c>
    </row>
    <row r="115" spans="1:16" ht="15.75" customHeight="1" x14ac:dyDescent="0.25">
      <c r="A115" s="239"/>
      <c r="B115" s="4" t="str">
        <f>IF('Option 1'!B115="","",'Option 1'!B115)</f>
        <v/>
      </c>
      <c r="C115" s="188" t="str">
        <f>IF('Option 1'!C115="","",'Option 1'!C115)</f>
        <v>Concrete Garage Door Header (1415 B Wing)</v>
      </c>
      <c r="D115" s="186" t="str">
        <f>IF('Option 1'!D115="","",'Option 1'!D115)</f>
        <v/>
      </c>
      <c r="E115" s="184" t="str">
        <f>IF('Option 1'!E115="","",'Option 1'!E115)</f>
        <v/>
      </c>
      <c r="F115" s="184" t="str">
        <f>IF('Option 1'!F115="","",'Option 1'!F115)</f>
        <v/>
      </c>
      <c r="G115" s="184" t="str">
        <f>IF('Option 1'!G115="","",'Option 1'!G115)</f>
        <v/>
      </c>
      <c r="H115" s="184" t="str">
        <f>IF('Option 1'!H115="","",'Option 1'!H115)</f>
        <v/>
      </c>
      <c r="I115" s="184" t="str">
        <f>IF('Option 1'!I115="","",'Option 1'!I115)</f>
        <v/>
      </c>
      <c r="J115" s="184" t="str">
        <f>IF('Option 1'!J115="","",'Option 1'!J115)</f>
        <v/>
      </c>
      <c r="K115" s="184" t="str">
        <f>IF('Option 1'!K115="","",'Option 1'!K115)</f>
        <v/>
      </c>
      <c r="L115" s="184" t="str">
        <f>IF('Option 1'!L115="","",'Option 1'!L115)</f>
        <v/>
      </c>
      <c r="M115" s="184" t="str">
        <f>IF('Option 1'!M115="","",'Option 1'!M115)</f>
        <v/>
      </c>
      <c r="N115" s="184" t="str">
        <f>IF('Option 1'!N115="","",'Option 1'!N115)</f>
        <v/>
      </c>
      <c r="O115" s="184" t="str">
        <f>IF('Option 1'!O115="","",'Option 1'!O115)</f>
        <v/>
      </c>
      <c r="P115" s="124">
        <f t="shared" si="11"/>
        <v>0</v>
      </c>
    </row>
    <row r="116" spans="1:16" ht="15.75" customHeight="1" x14ac:dyDescent="0.25">
      <c r="A116" s="239"/>
      <c r="B116" s="4" t="str">
        <f>IF('Option 1'!B116="","",'Option 1'!B116)</f>
        <v/>
      </c>
      <c r="C116" s="188" t="str">
        <f>IF('Option 1'!C116="","",'Option 1'!C116)</f>
        <v>Front Entry Railings (Bldgs. 1405, 1505, 1515, 1605, &amp; 1615)</v>
      </c>
      <c r="D116" s="186" t="str">
        <f>IF('Option 1'!D116="","",'Option 1'!D116)</f>
        <v/>
      </c>
      <c r="E116" s="184" t="str">
        <f>IF('Option 1'!E116="","",'Option 1'!E116)</f>
        <v/>
      </c>
      <c r="F116" s="184" t="str">
        <f>IF('Option 1'!F116="","",'Option 1'!F116)</f>
        <v/>
      </c>
      <c r="G116" s="184" t="str">
        <f>IF('Option 1'!G116="","",'Option 1'!G116)</f>
        <v/>
      </c>
      <c r="H116" s="184" t="str">
        <f>IF('Option 1'!H116="","",'Option 1'!H116)</f>
        <v/>
      </c>
      <c r="I116" s="184" t="str">
        <f>IF('Option 1'!I116="","",'Option 1'!I116)</f>
        <v/>
      </c>
      <c r="J116" s="184" t="str">
        <f>IF('Option 1'!J116="","",'Option 1'!J116)</f>
        <v/>
      </c>
      <c r="K116" s="184" t="str">
        <f>IF('Option 1'!K116="","",'Option 1'!K116)</f>
        <v/>
      </c>
      <c r="L116" s="184" t="str">
        <f>IF('Option 1'!L116="","",'Option 1'!L116)</f>
        <v/>
      </c>
      <c r="M116" s="184" t="str">
        <f>IF('Option 1'!M116="","",'Option 1'!M116)</f>
        <v/>
      </c>
      <c r="N116" s="184" t="str">
        <f>IF('Option 1'!N116="","",'Option 1'!N116)</f>
        <v/>
      </c>
      <c r="O116" s="184" t="str">
        <f>IF('Option 1'!O116="","",'Option 1'!O116)</f>
        <v/>
      </c>
      <c r="P116" s="124">
        <f t="shared" si="11"/>
        <v>0</v>
      </c>
    </row>
    <row r="117" spans="1:16" ht="15.75" customHeight="1" x14ac:dyDescent="0.25">
      <c r="A117" s="239"/>
      <c r="B117" s="4" t="str">
        <f>IF('Option 1'!B117="","",'Option 1'!B117)</f>
        <v/>
      </c>
      <c r="C117" s="188" t="str">
        <f>IF('Option 1'!C117="","",'Option 1'!C117)</f>
        <v>Front Entry Railings (Bldg. 1415)</v>
      </c>
      <c r="D117" s="186" t="str">
        <f>IF('Option 1'!D117="","",'Option 1'!D117)</f>
        <v/>
      </c>
      <c r="E117" s="184" t="str">
        <f>IF('Option 1'!E117="","",'Option 1'!E117)</f>
        <v/>
      </c>
      <c r="F117" s="184" t="str">
        <f>IF('Option 1'!F117="","",'Option 1'!F117)</f>
        <v/>
      </c>
      <c r="G117" s="184" t="str">
        <f>IF('Option 1'!G117="","",'Option 1'!G117)</f>
        <v/>
      </c>
      <c r="H117" s="184" t="str">
        <f>IF('Option 1'!H117="","",'Option 1'!H117)</f>
        <v/>
      </c>
      <c r="I117" s="184" t="str">
        <f>IF('Option 1'!I117="","",'Option 1'!I117)</f>
        <v/>
      </c>
      <c r="J117" s="184" t="str">
        <f>IF('Option 1'!J117="","",'Option 1'!J117)</f>
        <v/>
      </c>
      <c r="K117" s="184" t="str">
        <f>IF('Option 1'!K117="","",'Option 1'!K117)</f>
        <v/>
      </c>
      <c r="L117" s="184" t="str">
        <f>IF('Option 1'!L117="","",'Option 1'!L117)</f>
        <v/>
      </c>
      <c r="M117" s="184" t="str">
        <f>IF('Option 1'!M117="","",'Option 1'!M117)</f>
        <v/>
      </c>
      <c r="N117" s="184" t="str">
        <f>IF('Option 1'!N117="","",'Option 1'!N117)</f>
        <v/>
      </c>
      <c r="O117" s="184" t="str">
        <f>IF('Option 1'!O117="","",'Option 1'!O117)</f>
        <v/>
      </c>
      <c r="P117" s="124">
        <f t="shared" si="11"/>
        <v>0</v>
      </c>
    </row>
    <row r="118" spans="1:16" ht="15.75" customHeight="1" x14ac:dyDescent="0.25">
      <c r="A118" s="239"/>
      <c r="B118" s="4" t="str">
        <f>IF('Option 1'!B118="","",'Option 1'!B118)</f>
        <v/>
      </c>
      <c r="C118" s="188" t="str">
        <f>IF('Option 1'!C118="","",'Option 1'!C118)</f>
        <v>Sidewalk Hand Railings</v>
      </c>
      <c r="D118" s="186" t="str">
        <f>IF('Option 1'!D118="","",'Option 1'!D118)</f>
        <v/>
      </c>
      <c r="E118" s="184" t="str">
        <f>IF('Option 1'!E118="","",'Option 1'!E118)</f>
        <v/>
      </c>
      <c r="F118" s="184" t="str">
        <f>IF('Option 1'!F118="","",'Option 1'!F118)</f>
        <v/>
      </c>
      <c r="G118" s="184" t="str">
        <f>IF('Option 1'!G118="","",'Option 1'!G118)</f>
        <v/>
      </c>
      <c r="H118" s="184">
        <f>IF('Option 1'!H118="","",'Option 1'!H118)</f>
        <v>23339</v>
      </c>
      <c r="I118" s="184" t="str">
        <f>IF('Option 1'!I118="","",'Option 1'!I118)</f>
        <v/>
      </c>
      <c r="J118" s="184" t="str">
        <f>IF('Option 1'!J118="","",'Option 1'!J118)</f>
        <v/>
      </c>
      <c r="K118" s="184" t="str">
        <f>IF('Option 1'!K118="","",'Option 1'!K118)</f>
        <v/>
      </c>
      <c r="L118" s="184" t="str">
        <f>IF('Option 1'!L118="","",'Option 1'!L118)</f>
        <v/>
      </c>
      <c r="M118" s="184" t="str">
        <f>IF('Option 1'!M118="","",'Option 1'!M118)</f>
        <v/>
      </c>
      <c r="N118" s="184" t="str">
        <f>IF('Option 1'!N118="","",'Option 1'!N118)</f>
        <v/>
      </c>
      <c r="O118" s="184" t="str">
        <f>IF('Option 1'!O118="","",'Option 1'!O118)</f>
        <v/>
      </c>
      <c r="P118" s="124">
        <f t="shared" si="11"/>
        <v>23339</v>
      </c>
    </row>
    <row r="119" spans="1:16" ht="15.75" customHeight="1" x14ac:dyDescent="0.25">
      <c r="A119" s="239"/>
      <c r="B119" s="4" t="str">
        <f>IF('Option 1'!B119="","",'Option 1'!B119)</f>
        <v/>
      </c>
      <c r="C119" s="188" t="str">
        <f>IF('Option 1'!C119="","",'Option 1'!C119)</f>
        <v>Brick Tuckpointing (Bldg. 1405)</v>
      </c>
      <c r="D119" s="186" t="str">
        <f>IF('Option 1'!D119="","",'Option 1'!D119)</f>
        <v/>
      </c>
      <c r="E119" s="184" t="str">
        <f>IF('Option 1'!E119="","",'Option 1'!E119)</f>
        <v/>
      </c>
      <c r="F119" s="184" t="str">
        <f>IF('Option 1'!F119="","",'Option 1'!F119)</f>
        <v/>
      </c>
      <c r="G119" s="184" t="str">
        <f>IF('Option 1'!G119="","",'Option 1'!G119)</f>
        <v/>
      </c>
      <c r="H119" s="184" t="str">
        <f>IF('Option 1'!H119="","",'Option 1'!H119)</f>
        <v/>
      </c>
      <c r="I119" s="184" t="str">
        <f>IF('Option 1'!I119="","",'Option 1'!I119)</f>
        <v/>
      </c>
      <c r="J119" s="184" t="str">
        <f>IF('Option 1'!J119="","",'Option 1'!J119)</f>
        <v/>
      </c>
      <c r="K119" s="184" t="str">
        <f>IF('Option 1'!K119="","",'Option 1'!K119)</f>
        <v/>
      </c>
      <c r="L119" s="184">
        <f>IF('Option 1'!L119="","",'Option 1'!L119)</f>
        <v>132825</v>
      </c>
      <c r="M119" s="184" t="str">
        <f>IF('Option 1'!M119="","",'Option 1'!M119)</f>
        <v/>
      </c>
      <c r="N119" s="184" t="str">
        <f>IF('Option 1'!N119="","",'Option 1'!N119)</f>
        <v/>
      </c>
      <c r="O119" s="184" t="str">
        <f>IF('Option 1'!O119="","",'Option 1'!O119)</f>
        <v/>
      </c>
      <c r="P119" s="124">
        <f t="shared" si="11"/>
        <v>132825</v>
      </c>
    </row>
    <row r="120" spans="1:16" ht="15.75" customHeight="1" x14ac:dyDescent="0.25">
      <c r="A120" s="239"/>
      <c r="B120" s="4" t="str">
        <f>IF('Option 1'!B120="","",'Option 1'!B120)</f>
        <v/>
      </c>
      <c r="C120" s="188" t="str">
        <f>IF('Option 1'!C120="","",'Option 1'!C120)</f>
        <v>Brick Tuckpointing (Bldg. 1415)</v>
      </c>
      <c r="D120" s="186" t="str">
        <f>IF('Option 1'!D120="","",'Option 1'!D120)</f>
        <v/>
      </c>
      <c r="E120" s="184" t="str">
        <f>IF('Option 1'!E120="","",'Option 1'!E120)</f>
        <v/>
      </c>
      <c r="F120" s="184" t="str">
        <f>IF('Option 1'!F120="","",'Option 1'!F120)</f>
        <v/>
      </c>
      <c r="G120" s="184" t="str">
        <f>IF('Option 1'!G120="","",'Option 1'!G120)</f>
        <v/>
      </c>
      <c r="H120" s="184" t="str">
        <f>IF('Option 1'!H120="","",'Option 1'!H120)</f>
        <v/>
      </c>
      <c r="I120" s="184" t="str">
        <f>IF('Option 1'!I120="","",'Option 1'!I120)</f>
        <v/>
      </c>
      <c r="J120" s="184" t="str">
        <f>IF('Option 1'!J120="","",'Option 1'!J120)</f>
        <v/>
      </c>
      <c r="K120" s="184" t="str">
        <f>IF('Option 1'!K120="","",'Option 1'!K120)</f>
        <v/>
      </c>
      <c r="L120" s="184" t="str">
        <f>IF('Option 1'!L120="","",'Option 1'!L120)</f>
        <v/>
      </c>
      <c r="M120" s="184">
        <f>IF('Option 1'!M120="","",'Option 1'!M120)</f>
        <v>132825</v>
      </c>
      <c r="N120" s="184" t="str">
        <f>IF('Option 1'!N120="","",'Option 1'!N120)</f>
        <v/>
      </c>
      <c r="O120" s="184" t="str">
        <f>IF('Option 1'!O120="","",'Option 1'!O120)</f>
        <v/>
      </c>
      <c r="P120" s="124">
        <f t="shared" si="11"/>
        <v>132825</v>
      </c>
    </row>
    <row r="121" spans="1:16" ht="15.75" customHeight="1" x14ac:dyDescent="0.25">
      <c r="A121" s="239"/>
      <c r="B121" s="4" t="str">
        <f>IF('Option 1'!B121="","",'Option 1'!B121)</f>
        <v/>
      </c>
      <c r="C121" s="188" t="str">
        <f>IF('Option 1'!C121="","",'Option 1'!C121)</f>
        <v>Brick Tuckpointing (Bldg. 1505)</v>
      </c>
      <c r="D121" s="186" t="str">
        <f>IF('Option 1'!D121="","",'Option 1'!D121)</f>
        <v/>
      </c>
      <c r="E121" s="184" t="str">
        <f>IF('Option 1'!E121="","",'Option 1'!E121)</f>
        <v/>
      </c>
      <c r="F121" s="184" t="str">
        <f>IF('Option 1'!F121="","",'Option 1'!F121)</f>
        <v/>
      </c>
      <c r="G121" s="184" t="str">
        <f>IF('Option 1'!G121="","",'Option 1'!G121)</f>
        <v/>
      </c>
      <c r="H121" s="184" t="str">
        <f>IF('Option 1'!H121="","",'Option 1'!H121)</f>
        <v/>
      </c>
      <c r="I121" s="184" t="str">
        <f>IF('Option 1'!I121="","",'Option 1'!I121)</f>
        <v/>
      </c>
      <c r="J121" s="184" t="str">
        <f>IF('Option 1'!J121="","",'Option 1'!J121)</f>
        <v/>
      </c>
      <c r="K121" s="184" t="str">
        <f>IF('Option 1'!K121="","",'Option 1'!K121)</f>
        <v/>
      </c>
      <c r="L121" s="184" t="str">
        <f>IF('Option 1'!L121="","",'Option 1'!L121)</f>
        <v/>
      </c>
      <c r="M121" s="184" t="str">
        <f>IF('Option 1'!M121="","",'Option 1'!M121)</f>
        <v/>
      </c>
      <c r="N121" s="184">
        <f>IF('Option 1'!N121="","",'Option 1'!N121)</f>
        <v>132825</v>
      </c>
      <c r="O121" s="184" t="str">
        <f>IF('Option 1'!O121="","",'Option 1'!O121)</f>
        <v/>
      </c>
      <c r="P121" s="124">
        <f t="shared" si="11"/>
        <v>132825</v>
      </c>
    </row>
    <row r="122" spans="1:16" ht="15.75" customHeight="1" x14ac:dyDescent="0.25">
      <c r="A122" s="239"/>
      <c r="B122" s="4" t="str">
        <f>IF('Option 1'!B122="","",'Option 1'!B122)</f>
        <v/>
      </c>
      <c r="C122" s="188" t="str">
        <f>IF('Option 1'!C122="","",'Option 1'!C122)</f>
        <v>Brick Tuckpointing (Bldg. 1515)</v>
      </c>
      <c r="D122" s="186" t="str">
        <f>IF('Option 1'!D122="","",'Option 1'!D122)</f>
        <v/>
      </c>
      <c r="E122" s="184" t="str">
        <f>IF('Option 1'!E122="","",'Option 1'!E122)</f>
        <v/>
      </c>
      <c r="F122" s="184" t="str">
        <f>IF('Option 1'!F122="","",'Option 1'!F122)</f>
        <v/>
      </c>
      <c r="G122" s="184" t="str">
        <f>IF('Option 1'!G122="","",'Option 1'!G122)</f>
        <v/>
      </c>
      <c r="H122" s="184" t="str">
        <f>IF('Option 1'!H122="","",'Option 1'!H122)</f>
        <v/>
      </c>
      <c r="I122" s="184" t="str">
        <f>IF('Option 1'!I122="","",'Option 1'!I122)</f>
        <v/>
      </c>
      <c r="J122" s="184" t="str">
        <f>IF('Option 1'!J122="","",'Option 1'!J122)</f>
        <v/>
      </c>
      <c r="K122" s="184" t="str">
        <f>IF('Option 1'!K122="","",'Option 1'!K122)</f>
        <v/>
      </c>
      <c r="L122" s="184" t="str">
        <f>IF('Option 1'!L122="","",'Option 1'!L122)</f>
        <v/>
      </c>
      <c r="M122" s="184" t="str">
        <f>IF('Option 1'!M122="","",'Option 1'!M122)</f>
        <v/>
      </c>
      <c r="N122" s="184" t="str">
        <f>IF('Option 1'!N122="","",'Option 1'!N122)</f>
        <v/>
      </c>
      <c r="O122" s="184">
        <f>IF('Option 1'!O122="","",'Option 1'!O122)</f>
        <v>132825</v>
      </c>
      <c r="P122" s="124">
        <f t="shared" si="11"/>
        <v>132825</v>
      </c>
    </row>
    <row r="123" spans="1:16" ht="15.75" customHeight="1" x14ac:dyDescent="0.25">
      <c r="A123" s="239"/>
      <c r="B123" s="4" t="str">
        <f>IF('Option 1'!B123="","",'Option 1'!B123)</f>
        <v/>
      </c>
      <c r="C123" s="188" t="str">
        <f>IF('Option 1'!C123="","",'Option 1'!C123)</f>
        <v>Brick Tuckpointing (Bldg. 1605)</v>
      </c>
      <c r="D123" s="186" t="str">
        <f>IF('Option 1'!D123="","",'Option 1'!D123)</f>
        <v/>
      </c>
      <c r="E123" s="184" t="str">
        <f>IF('Option 1'!E123="","",'Option 1'!E123)</f>
        <v/>
      </c>
      <c r="F123" s="184" t="str">
        <f>IF('Option 1'!F123="","",'Option 1'!F123)</f>
        <v/>
      </c>
      <c r="G123" s="184" t="str">
        <f>IF('Option 1'!G123="","",'Option 1'!G123)</f>
        <v/>
      </c>
      <c r="H123" s="184" t="str">
        <f>IF('Option 1'!H123="","",'Option 1'!H123)</f>
        <v/>
      </c>
      <c r="I123" s="184" t="str">
        <f>IF('Option 1'!I123="","",'Option 1'!I123)</f>
        <v/>
      </c>
      <c r="J123" s="184" t="str">
        <f>IF('Option 1'!J123="","",'Option 1'!J123)</f>
        <v/>
      </c>
      <c r="K123" s="184" t="str">
        <f>IF('Option 1'!K123="","",'Option 1'!K123)</f>
        <v/>
      </c>
      <c r="L123" s="184" t="str">
        <f>IF('Option 1'!L123="","",'Option 1'!L123)</f>
        <v/>
      </c>
      <c r="M123" s="184" t="str">
        <f>IF('Option 1'!M123="","",'Option 1'!M123)</f>
        <v/>
      </c>
      <c r="N123" s="184" t="str">
        <f>IF('Option 1'!N123="","",'Option 1'!N123)</f>
        <v/>
      </c>
      <c r="O123" s="184" t="str">
        <f>IF('Option 1'!O123="","",'Option 1'!O123)</f>
        <v/>
      </c>
      <c r="P123" s="124">
        <f t="shared" si="11"/>
        <v>0</v>
      </c>
    </row>
    <row r="124" spans="1:16" ht="15.75" customHeight="1" x14ac:dyDescent="0.25">
      <c r="A124" s="239"/>
      <c r="B124" s="4" t="str">
        <f>IF('Option 1'!B124="","",'Option 1'!B124)</f>
        <v/>
      </c>
      <c r="C124" s="188" t="str">
        <f>IF('Option 1'!C124="","",'Option 1'!C124)</f>
        <v>Brick Tuckpointing (Bldg. 1615)</v>
      </c>
      <c r="D124" s="186" t="str">
        <f>IF('Option 1'!D124="","",'Option 1'!D124)</f>
        <v/>
      </c>
      <c r="E124" s="184" t="str">
        <f>IF('Option 1'!E124="","",'Option 1'!E124)</f>
        <v/>
      </c>
      <c r="F124" s="184" t="str">
        <f>IF('Option 1'!F124="","",'Option 1'!F124)</f>
        <v/>
      </c>
      <c r="G124" s="184" t="str">
        <f>IF('Option 1'!G124="","",'Option 1'!G124)</f>
        <v/>
      </c>
      <c r="H124" s="184" t="str">
        <f>IF('Option 1'!H124="","",'Option 1'!H124)</f>
        <v/>
      </c>
      <c r="I124" s="184" t="str">
        <f>IF('Option 1'!I124="","",'Option 1'!I124)</f>
        <v/>
      </c>
      <c r="J124" s="184" t="str">
        <f>IF('Option 1'!J124="","",'Option 1'!J124)</f>
        <v/>
      </c>
      <c r="K124" s="184" t="str">
        <f>IF('Option 1'!K124="","",'Option 1'!K124)</f>
        <v/>
      </c>
      <c r="L124" s="184" t="str">
        <f>IF('Option 1'!L124="","",'Option 1'!L124)</f>
        <v/>
      </c>
      <c r="M124" s="184" t="str">
        <f>IF('Option 1'!M124="","",'Option 1'!M124)</f>
        <v/>
      </c>
      <c r="N124" s="184" t="str">
        <f>IF('Option 1'!N124="","",'Option 1'!N124)</f>
        <v/>
      </c>
      <c r="O124" s="184" t="str">
        <f>IF('Option 1'!O124="","",'Option 1'!O124)</f>
        <v/>
      </c>
      <c r="P124" s="124">
        <f t="shared" si="11"/>
        <v>0</v>
      </c>
    </row>
    <row r="125" spans="1:16" ht="15.75" customHeight="1" x14ac:dyDescent="0.25">
      <c r="A125" s="239"/>
      <c r="B125" s="4" t="str">
        <f>IF('Option 1'!B125="","",'Option 1'!B125)</f>
        <v/>
      </c>
      <c r="C125" s="188" t="str">
        <f>IF('Option 1'!C125="","",'Option 1'!C125)</f>
        <v>Window Caulking</v>
      </c>
      <c r="D125" s="186" t="str">
        <f>IF('Option 1'!D125="","",'Option 1'!D125)</f>
        <v/>
      </c>
      <c r="E125" s="184" t="str">
        <f>IF('Option 1'!E125="","",'Option 1'!E125)</f>
        <v/>
      </c>
      <c r="F125" s="184" t="str">
        <f>IF('Option 1'!F125="","",'Option 1'!F125)</f>
        <v/>
      </c>
      <c r="G125" s="184" t="str">
        <f>IF('Option 1'!G125="","",'Option 1'!G125)</f>
        <v/>
      </c>
      <c r="H125" s="184" t="str">
        <f>IF('Option 1'!H125="","",'Option 1'!H125)</f>
        <v/>
      </c>
      <c r="I125" s="184" t="str">
        <f>IF('Option 1'!I125="","",'Option 1'!I125)</f>
        <v/>
      </c>
      <c r="J125" s="184" t="str">
        <f>IF('Option 1'!J125="","",'Option 1'!J125)</f>
        <v/>
      </c>
      <c r="K125" s="184" t="str">
        <f>IF('Option 1'!K125="","",'Option 1'!K125)</f>
        <v/>
      </c>
      <c r="L125" s="184" t="str">
        <f>IF('Option 1'!L125="","",'Option 1'!L125)</f>
        <v/>
      </c>
      <c r="M125" s="184" t="str">
        <f>IF('Option 1'!M125="","",'Option 1'!M125)</f>
        <v/>
      </c>
      <c r="N125" s="184" t="str">
        <f>IF('Option 1'!N125="","",'Option 1'!N125)</f>
        <v/>
      </c>
      <c r="O125" s="184">
        <f>IF('Option 1'!O125="","",'Option 1'!O125)</f>
        <v>101092</v>
      </c>
      <c r="P125" s="124">
        <f t="shared" si="11"/>
        <v>101092</v>
      </c>
    </row>
    <row r="126" spans="1:16" ht="15.75" customHeight="1" x14ac:dyDescent="0.25">
      <c r="A126" s="239"/>
      <c r="B126" s="4" t="str">
        <f>IF('Option 1'!B126="","",'Option 1'!B126)</f>
        <v/>
      </c>
      <c r="C126" s="188" t="str">
        <f>IF('Option 1'!C126="","",'Option 1'!C126)</f>
        <v>Dryvent (Clubhouse)</v>
      </c>
      <c r="D126" s="186" t="str">
        <f>IF('Option 1'!D126="","",'Option 1'!D126)</f>
        <v/>
      </c>
      <c r="E126" s="184" t="str">
        <f>IF('Option 1'!E126="","",'Option 1'!E126)</f>
        <v/>
      </c>
      <c r="F126" s="184" t="str">
        <f>IF('Option 1'!F126="","",'Option 1'!F126)</f>
        <v/>
      </c>
      <c r="G126" s="184" t="str">
        <f>IF('Option 1'!G126="","",'Option 1'!G126)</f>
        <v/>
      </c>
      <c r="H126" s="184" t="str">
        <f>IF('Option 1'!H126="","",'Option 1'!H126)</f>
        <v/>
      </c>
      <c r="I126" s="184" t="str">
        <f>IF('Option 1'!I126="","",'Option 1'!I126)</f>
        <v/>
      </c>
      <c r="J126" s="184" t="str">
        <f>IF('Option 1'!J126="","",'Option 1'!J126)</f>
        <v/>
      </c>
      <c r="K126" s="184" t="str">
        <f>IF('Option 1'!K126="","",'Option 1'!K126)</f>
        <v/>
      </c>
      <c r="L126" s="184" t="str">
        <f>IF('Option 1'!L126="","",'Option 1'!L126)</f>
        <v/>
      </c>
      <c r="M126" s="184" t="str">
        <f>IF('Option 1'!M126="","",'Option 1'!M126)</f>
        <v/>
      </c>
      <c r="N126" s="184" t="str">
        <f>IF('Option 1'!N126="","",'Option 1'!N126)</f>
        <v/>
      </c>
      <c r="O126" s="184" t="str">
        <f>IF('Option 1'!O126="","",'Option 1'!O126)</f>
        <v/>
      </c>
      <c r="P126" s="124">
        <f t="shared" si="11"/>
        <v>0</v>
      </c>
    </row>
    <row r="127" spans="1:16" ht="15.75" customHeight="1" x14ac:dyDescent="0.25">
      <c r="A127" s="239"/>
      <c r="B127" s="4" t="str">
        <f>IF('Option 1'!B127="","",'Option 1'!B127)</f>
        <v/>
      </c>
      <c r="C127" s="188" t="str">
        <f>IF('Option 1'!C127="","",'Option 1'!C127)</f>
        <v>Windows (Clubhouse)</v>
      </c>
      <c r="D127" s="186" t="str">
        <f>IF('Option 1'!D127="","",'Option 1'!D127)</f>
        <v/>
      </c>
      <c r="E127" s="184" t="str">
        <f>IF('Option 1'!E127="","",'Option 1'!E127)</f>
        <v/>
      </c>
      <c r="F127" s="184" t="str">
        <f>IF('Option 1'!F127="","",'Option 1'!F127)</f>
        <v/>
      </c>
      <c r="G127" s="184" t="str">
        <f>IF('Option 1'!G127="","",'Option 1'!G127)</f>
        <v/>
      </c>
      <c r="H127" s="184" t="str">
        <f>IF('Option 1'!H127="","",'Option 1'!H127)</f>
        <v/>
      </c>
      <c r="I127" s="184" t="str">
        <f>IF('Option 1'!I127="","",'Option 1'!I127)</f>
        <v/>
      </c>
      <c r="J127" s="184" t="str">
        <f>IF('Option 1'!J127="","",'Option 1'!J127)</f>
        <v/>
      </c>
      <c r="K127" s="184" t="str">
        <f>IF('Option 1'!K127="","",'Option 1'!K127)</f>
        <v/>
      </c>
      <c r="L127" s="184" t="str">
        <f>IF('Option 1'!L127="","",'Option 1'!L127)</f>
        <v/>
      </c>
      <c r="M127" s="184" t="str">
        <f>IF('Option 1'!M127="","",'Option 1'!M127)</f>
        <v/>
      </c>
      <c r="N127" s="184" t="str">
        <f>IF('Option 1'!N127="","",'Option 1'!N127)</f>
        <v/>
      </c>
      <c r="O127" s="184" t="str">
        <f>IF('Option 1'!O127="","",'Option 1'!O127)</f>
        <v/>
      </c>
      <c r="P127" s="124">
        <f t="shared" si="11"/>
        <v>0</v>
      </c>
    </row>
    <row r="128" spans="1:16" ht="15.75" customHeight="1" x14ac:dyDescent="0.25">
      <c r="A128" s="239"/>
      <c r="B128" s="4" t="str">
        <f>IF('Option 1'!B128="","",'Option 1'!B128)</f>
        <v/>
      </c>
      <c r="C128" s="188" t="str">
        <f>IF('Option 1'!C128="","",'Option 1'!C128)</f>
        <v>Patio Doors (Clubhouse)</v>
      </c>
      <c r="D128" s="186" t="str">
        <f>IF('Option 1'!D128="","",'Option 1'!D128)</f>
        <v/>
      </c>
      <c r="E128" s="184" t="str">
        <f>IF('Option 1'!E128="","",'Option 1'!E128)</f>
        <v/>
      </c>
      <c r="F128" s="184" t="str">
        <f>IF('Option 1'!F128="","",'Option 1'!F128)</f>
        <v/>
      </c>
      <c r="G128" s="184" t="str">
        <f>IF('Option 1'!G128="","",'Option 1'!G128)</f>
        <v/>
      </c>
      <c r="H128" s="184" t="str">
        <f>IF('Option 1'!H128="","",'Option 1'!H128)</f>
        <v/>
      </c>
      <c r="I128" s="184" t="str">
        <f>IF('Option 1'!I128="","",'Option 1'!I128)</f>
        <v/>
      </c>
      <c r="J128" s="184" t="str">
        <f>IF('Option 1'!J128="","",'Option 1'!J128)</f>
        <v/>
      </c>
      <c r="K128" s="184">
        <f>IF('Option 1'!K128="","",'Option 1'!K128)</f>
        <v>17298</v>
      </c>
      <c r="L128" s="184" t="str">
        <f>IF('Option 1'!L128="","",'Option 1'!L128)</f>
        <v/>
      </c>
      <c r="M128" s="184" t="str">
        <f>IF('Option 1'!M128="","",'Option 1'!M128)</f>
        <v/>
      </c>
      <c r="N128" s="184" t="str">
        <f>IF('Option 1'!N128="","",'Option 1'!N128)</f>
        <v/>
      </c>
      <c r="O128" s="184" t="str">
        <f>IF('Option 1'!O128="","",'Option 1'!O128)</f>
        <v/>
      </c>
      <c r="P128" s="124">
        <f t="shared" si="11"/>
        <v>17298</v>
      </c>
    </row>
    <row r="129" spans="1:16" ht="15.75" customHeight="1" x14ac:dyDescent="0.25">
      <c r="A129" s="239"/>
      <c r="B129" s="4" t="str">
        <f>IF('Option 1'!B129="","",'Option 1'!B129)</f>
        <v/>
      </c>
      <c r="C129" s="188" t="str">
        <f>IF('Option 1'!C129="","",'Option 1'!C129)</f>
        <v>Window Wall (Clubhouse)</v>
      </c>
      <c r="D129" s="186" t="str">
        <f>IF('Option 1'!D129="","",'Option 1'!D129)</f>
        <v/>
      </c>
      <c r="E129" s="184" t="str">
        <f>IF('Option 1'!E129="","",'Option 1'!E129)</f>
        <v/>
      </c>
      <c r="F129" s="184" t="str">
        <f>IF('Option 1'!F129="","",'Option 1'!F129)</f>
        <v/>
      </c>
      <c r="G129" s="184" t="str">
        <f>IF('Option 1'!G129="","",'Option 1'!G129)</f>
        <v/>
      </c>
      <c r="H129" s="184" t="str">
        <f>IF('Option 1'!H129="","",'Option 1'!H129)</f>
        <v/>
      </c>
      <c r="I129" s="184" t="str">
        <f>IF('Option 1'!I129="","",'Option 1'!I129)</f>
        <v/>
      </c>
      <c r="J129" s="184" t="str">
        <f>IF('Option 1'!J129="","",'Option 1'!J129)</f>
        <v/>
      </c>
      <c r="K129" s="184" t="str">
        <f>IF('Option 1'!K129="","",'Option 1'!K129)</f>
        <v/>
      </c>
      <c r="L129" s="184">
        <f>IF('Option 1'!L129="","",'Option 1'!L129)</f>
        <v>11071</v>
      </c>
      <c r="M129" s="184" t="str">
        <f>IF('Option 1'!M129="","",'Option 1'!M129)</f>
        <v/>
      </c>
      <c r="N129" s="184" t="str">
        <f>IF('Option 1'!N129="","",'Option 1'!N129)</f>
        <v/>
      </c>
      <c r="O129" s="184" t="str">
        <f>IF('Option 1'!O129="","",'Option 1'!O129)</f>
        <v/>
      </c>
      <c r="P129" s="124">
        <f t="shared" si="11"/>
        <v>11071</v>
      </c>
    </row>
    <row r="130" spans="1:16" ht="15.75" customHeight="1" x14ac:dyDescent="0.25">
      <c r="A130" s="239"/>
      <c r="B130" s="4" t="str">
        <f>IF('Option 1'!B130="","",'Option 1'!B130)</f>
        <v/>
      </c>
      <c r="C130" s="188" t="str">
        <f>IF('Option 1'!C130="","",'Option 1'!C130)</f>
        <v>Window Wall (Bldgs. 1415, 1515, 1605, 1615)</v>
      </c>
      <c r="D130" s="186" t="str">
        <f>IF('Option 1'!D130="","",'Option 1'!D130)</f>
        <v/>
      </c>
      <c r="E130" s="184" t="str">
        <f>IF('Option 1'!E130="","",'Option 1'!E130)</f>
        <v/>
      </c>
      <c r="F130" s="184" t="str">
        <f>IF('Option 1'!F130="","",'Option 1'!F130)</f>
        <v/>
      </c>
      <c r="G130" s="184" t="str">
        <f>IF('Option 1'!G130="","",'Option 1'!G130)</f>
        <v/>
      </c>
      <c r="H130" s="184" t="str">
        <f>IF('Option 1'!H130="","",'Option 1'!H130)</f>
        <v/>
      </c>
      <c r="I130" s="184" t="str">
        <f>IF('Option 1'!I130="","",'Option 1'!I130)</f>
        <v/>
      </c>
      <c r="J130" s="184" t="str">
        <f>IF('Option 1'!J130="","",'Option 1'!J130)</f>
        <v/>
      </c>
      <c r="K130" s="184" t="str">
        <f>IF('Option 1'!K130="","",'Option 1'!K130)</f>
        <v/>
      </c>
      <c r="L130" s="184" t="str">
        <f>IF('Option 1'!L130="","",'Option 1'!L130)</f>
        <v/>
      </c>
      <c r="M130" s="184" t="str">
        <f>IF('Option 1'!M130="","",'Option 1'!M130)</f>
        <v/>
      </c>
      <c r="N130" s="184" t="str">
        <f>IF('Option 1'!N130="","",'Option 1'!N130)</f>
        <v/>
      </c>
      <c r="O130" s="184" t="str">
        <f>IF('Option 1'!O130="","",'Option 1'!O130)</f>
        <v/>
      </c>
      <c r="P130" s="124">
        <f t="shared" si="11"/>
        <v>0</v>
      </c>
    </row>
    <row r="131" spans="1:16" ht="15.75" customHeight="1" x14ac:dyDescent="0.25">
      <c r="A131" s="239"/>
      <c r="B131" s="4" t="str">
        <f>IF('Option 1'!B131="","",'Option 1'!B131)</f>
        <v/>
      </c>
      <c r="C131" s="188" t="str">
        <f>IF('Option 1'!C131="","",'Option 1'!C131)</f>
        <v>Window Wall (Bldg. 1505)</v>
      </c>
      <c r="D131" s="186" t="str">
        <f>IF('Option 1'!D131="","",'Option 1'!D131)</f>
        <v/>
      </c>
      <c r="E131" s="184" t="str">
        <f>IF('Option 1'!E131="","",'Option 1'!E131)</f>
        <v/>
      </c>
      <c r="F131" s="184" t="str">
        <f>IF('Option 1'!F131="","",'Option 1'!F131)</f>
        <v/>
      </c>
      <c r="G131" s="184" t="str">
        <f>IF('Option 1'!G131="","",'Option 1'!G131)</f>
        <v/>
      </c>
      <c r="H131" s="184" t="str">
        <f>IF('Option 1'!H131="","",'Option 1'!H131)</f>
        <v/>
      </c>
      <c r="I131" s="184" t="str">
        <f>IF('Option 1'!I131="","",'Option 1'!I131)</f>
        <v/>
      </c>
      <c r="J131" s="184" t="str">
        <f>IF('Option 1'!J131="","",'Option 1'!J131)</f>
        <v/>
      </c>
      <c r="K131" s="184" t="str">
        <f>IF('Option 1'!K131="","",'Option 1'!K131)</f>
        <v/>
      </c>
      <c r="L131" s="184" t="str">
        <f>IF('Option 1'!L131="","",'Option 1'!L131)</f>
        <v/>
      </c>
      <c r="M131" s="184" t="str">
        <f>IF('Option 1'!M131="","",'Option 1'!M131)</f>
        <v/>
      </c>
      <c r="N131" s="184" t="str">
        <f>IF('Option 1'!N131="","",'Option 1'!N131)</f>
        <v/>
      </c>
      <c r="O131" s="184" t="str">
        <f>IF('Option 1'!O131="","",'Option 1'!O131)</f>
        <v/>
      </c>
      <c r="P131" s="124">
        <f t="shared" si="11"/>
        <v>0</v>
      </c>
    </row>
    <row r="132" spans="1:16" ht="15.75" customHeight="1" x14ac:dyDescent="0.25">
      <c r="A132" s="239"/>
      <c r="B132" s="4" t="str">
        <f>IF('Option 1'!B132="","",'Option 1'!B132)</f>
        <v/>
      </c>
      <c r="C132" s="188" t="str">
        <f>IF('Option 1'!C132="","",'Option 1'!C132)</f>
        <v>Window Wall (Bldg. 1405)</v>
      </c>
      <c r="D132" s="186" t="str">
        <f>IF('Option 1'!D132="","",'Option 1'!D132)</f>
        <v/>
      </c>
      <c r="E132" s="184" t="str">
        <f>IF('Option 1'!E132="","",'Option 1'!E132)</f>
        <v/>
      </c>
      <c r="F132" s="184" t="str">
        <f>IF('Option 1'!F132="","",'Option 1'!F132)</f>
        <v/>
      </c>
      <c r="G132" s="184" t="str">
        <f>IF('Option 1'!G132="","",'Option 1'!G132)</f>
        <v/>
      </c>
      <c r="H132" s="184" t="str">
        <f>IF('Option 1'!H132="","",'Option 1'!H132)</f>
        <v/>
      </c>
      <c r="I132" s="184" t="str">
        <f>IF('Option 1'!I132="","",'Option 1'!I132)</f>
        <v/>
      </c>
      <c r="J132" s="184" t="str">
        <f>IF('Option 1'!J132="","",'Option 1'!J132)</f>
        <v/>
      </c>
      <c r="K132" s="184" t="str">
        <f>IF('Option 1'!K132="","",'Option 1'!K132)</f>
        <v/>
      </c>
      <c r="L132" s="184" t="str">
        <f>IF('Option 1'!L132="","",'Option 1'!L132)</f>
        <v/>
      </c>
      <c r="M132" s="184" t="str">
        <f>IF('Option 1'!M132="","",'Option 1'!M132)</f>
        <v/>
      </c>
      <c r="N132" s="184" t="str">
        <f>IF('Option 1'!N132="","",'Option 1'!N132)</f>
        <v/>
      </c>
      <c r="O132" s="184" t="str">
        <f>IF('Option 1'!O132="","",'Option 1'!O132)</f>
        <v/>
      </c>
      <c r="P132" s="124">
        <f t="shared" si="11"/>
        <v>0</v>
      </c>
    </row>
    <row r="133" spans="1:16" ht="15.75" customHeight="1" x14ac:dyDescent="0.25">
      <c r="A133" s="239"/>
      <c r="B133" s="4" t="str">
        <f>IF('Option 1'!B133="","",'Option 1'!B133)</f>
        <v/>
      </c>
      <c r="C133" s="188" t="str">
        <f>IF('Option 1'!C133="","",'Option 1'!C133)</f>
        <v>Exterior Metal Doors (Clubhouse)</v>
      </c>
      <c r="D133" s="186" t="str">
        <f>IF('Option 1'!D133="","",'Option 1'!D133)</f>
        <v/>
      </c>
      <c r="E133" s="184" t="str">
        <f>IF('Option 1'!E133="","",'Option 1'!E133)</f>
        <v/>
      </c>
      <c r="F133" s="184">
        <f>IF('Option 1'!F133="","",'Option 1'!F133)</f>
        <v>4152</v>
      </c>
      <c r="G133" s="184" t="str">
        <f>IF('Option 1'!G133="","",'Option 1'!G133)</f>
        <v/>
      </c>
      <c r="H133" s="184" t="str">
        <f>IF('Option 1'!H133="","",'Option 1'!H133)</f>
        <v/>
      </c>
      <c r="I133" s="184" t="str">
        <f>IF('Option 1'!I133="","",'Option 1'!I133)</f>
        <v/>
      </c>
      <c r="J133" s="184" t="str">
        <f>IF('Option 1'!J133="","",'Option 1'!J133)</f>
        <v/>
      </c>
      <c r="K133" s="184" t="str">
        <f>IF('Option 1'!K133="","",'Option 1'!K133)</f>
        <v/>
      </c>
      <c r="L133" s="184" t="str">
        <f>IF('Option 1'!L133="","",'Option 1'!L133)</f>
        <v/>
      </c>
      <c r="M133" s="184" t="str">
        <f>IF('Option 1'!M133="","",'Option 1'!M133)</f>
        <v/>
      </c>
      <c r="N133" s="184" t="str">
        <f>IF('Option 1'!N133="","",'Option 1'!N133)</f>
        <v/>
      </c>
      <c r="O133" s="184" t="str">
        <f>IF('Option 1'!O133="","",'Option 1'!O133)</f>
        <v/>
      </c>
      <c r="P133" s="124">
        <f t="shared" si="11"/>
        <v>4152</v>
      </c>
    </row>
    <row r="134" spans="1:16" ht="15.75" customHeight="1" x14ac:dyDescent="0.25">
      <c r="A134" s="239"/>
      <c r="B134" s="4" t="str">
        <f>IF('Option 1'!B134="","",'Option 1'!B134)</f>
        <v/>
      </c>
      <c r="C134" s="188" t="str">
        <f>IF('Option 1'!C134="","",'Option 1'!C134)</f>
        <v>Patio Fence Gate (Clubhouse)</v>
      </c>
      <c r="D134" s="186" t="str">
        <f>IF('Option 1'!D134="","",'Option 1'!D134)</f>
        <v/>
      </c>
      <c r="E134" s="184" t="str">
        <f>IF('Option 1'!E134="","",'Option 1'!E134)</f>
        <v/>
      </c>
      <c r="F134" s="184" t="str">
        <f>IF('Option 1'!F134="","",'Option 1'!F134)</f>
        <v/>
      </c>
      <c r="G134" s="184" t="str">
        <f>IF('Option 1'!G134="","",'Option 1'!G134)</f>
        <v/>
      </c>
      <c r="H134" s="184" t="str">
        <f>IF('Option 1'!H134="","",'Option 1'!H134)</f>
        <v/>
      </c>
      <c r="I134" s="184" t="str">
        <f>IF('Option 1'!I134="","",'Option 1'!I134)</f>
        <v/>
      </c>
      <c r="J134" s="184" t="str">
        <f>IF('Option 1'!J134="","",'Option 1'!J134)</f>
        <v/>
      </c>
      <c r="K134" s="184" t="str">
        <f>IF('Option 1'!K134="","",'Option 1'!K134)</f>
        <v/>
      </c>
      <c r="L134" s="184" t="str">
        <f>IF('Option 1'!L134="","",'Option 1'!L134)</f>
        <v/>
      </c>
      <c r="M134" s="184" t="str">
        <f>IF('Option 1'!M134="","",'Option 1'!M134)</f>
        <v/>
      </c>
      <c r="N134" s="184" t="str">
        <f>IF('Option 1'!N134="","",'Option 1'!N134)</f>
        <v/>
      </c>
      <c r="O134" s="184" t="str">
        <f>IF('Option 1'!O134="","",'Option 1'!O134)</f>
        <v/>
      </c>
      <c r="P134" s="124">
        <f t="shared" si="11"/>
        <v>0</v>
      </c>
    </row>
    <row r="135" spans="1:16" ht="15.75" customHeight="1" x14ac:dyDescent="0.25">
      <c r="A135" s="239"/>
      <c r="B135" s="4" t="str">
        <f>IF('Option 1'!B135="","",'Option 1'!B135)</f>
        <v/>
      </c>
      <c r="C135" s="188" t="str">
        <f>IF('Option 1'!C135="","",'Option 1'!C135)</f>
        <v>Trellis and Columns</v>
      </c>
      <c r="D135" s="186" t="str">
        <f>IF('Option 1'!D135="","",'Option 1'!D135)</f>
        <v/>
      </c>
      <c r="E135" s="184" t="str">
        <f>IF('Option 1'!E135="","",'Option 1'!E135)</f>
        <v/>
      </c>
      <c r="F135" s="184" t="str">
        <f>IF('Option 1'!F135="","",'Option 1'!F135)</f>
        <v/>
      </c>
      <c r="G135" s="184" t="str">
        <f>IF('Option 1'!G135="","",'Option 1'!G135)</f>
        <v/>
      </c>
      <c r="H135" s="184" t="str">
        <f>IF('Option 1'!H135="","",'Option 1'!H135)</f>
        <v/>
      </c>
      <c r="I135" s="184" t="str">
        <f>IF('Option 1'!I135="","",'Option 1'!I135)</f>
        <v/>
      </c>
      <c r="J135" s="184" t="str">
        <f>IF('Option 1'!J135="","",'Option 1'!J135)</f>
        <v/>
      </c>
      <c r="K135" s="184" t="str">
        <f>IF('Option 1'!K135="","",'Option 1'!K135)</f>
        <v/>
      </c>
      <c r="L135" s="184" t="str">
        <f>IF('Option 1'!L135="","",'Option 1'!L135)</f>
        <v/>
      </c>
      <c r="M135" s="184" t="str">
        <f>IF('Option 1'!M135="","",'Option 1'!M135)</f>
        <v/>
      </c>
      <c r="N135" s="184" t="str">
        <f>IF('Option 1'!N135="","",'Option 1'!N135)</f>
        <v/>
      </c>
      <c r="O135" s="184" t="str">
        <f>IF('Option 1'!O135="","",'Option 1'!O135)</f>
        <v/>
      </c>
      <c r="P135" s="124">
        <f t="shared" si="11"/>
        <v>0</v>
      </c>
    </row>
    <row r="136" spans="1:16" ht="15.75" customHeight="1" x14ac:dyDescent="0.25">
      <c r="A136" s="239"/>
      <c r="B136" s="4" t="str">
        <f>IF('Option 1'!B136="","",'Option 1'!B136)</f>
        <v/>
      </c>
      <c r="C136" s="188" t="str">
        <f>IF('Option 1'!C136="","",'Option 1'!C136)</f>
        <v>Precast Concrete Planters</v>
      </c>
      <c r="D136" s="186" t="str">
        <f>IF('Option 1'!D136="","",'Option 1'!D136)</f>
        <v/>
      </c>
      <c r="E136" s="184">
        <f>IF('Option 1'!E136="","",'Option 1'!E136)</f>
        <v>3875</v>
      </c>
      <c r="F136" s="184" t="str">
        <f>IF('Option 1'!F136="","",'Option 1'!F136)</f>
        <v/>
      </c>
      <c r="G136" s="184" t="str">
        <f>IF('Option 1'!G136="","",'Option 1'!G136)</f>
        <v/>
      </c>
      <c r="H136" s="184" t="str">
        <f>IF('Option 1'!H136="","",'Option 1'!H136)</f>
        <v/>
      </c>
      <c r="I136" s="184" t="str">
        <f>IF('Option 1'!I136="","",'Option 1'!I136)</f>
        <v/>
      </c>
      <c r="J136" s="184" t="str">
        <f>IF('Option 1'!J136="","",'Option 1'!J136)</f>
        <v/>
      </c>
      <c r="K136" s="184" t="str">
        <f>IF('Option 1'!K136="","",'Option 1'!K136)</f>
        <v/>
      </c>
      <c r="L136" s="184" t="str">
        <f>IF('Option 1'!L136="","",'Option 1'!L136)</f>
        <v/>
      </c>
      <c r="M136" s="184" t="str">
        <f>IF('Option 1'!M136="","",'Option 1'!M136)</f>
        <v/>
      </c>
      <c r="N136" s="184" t="str">
        <f>IF('Option 1'!N136="","",'Option 1'!N136)</f>
        <v/>
      </c>
      <c r="O136" s="184" t="str">
        <f>IF('Option 1'!O136="","",'Option 1'!O136)</f>
        <v/>
      </c>
      <c r="P136" s="124">
        <f t="shared" si="11"/>
        <v>3875</v>
      </c>
    </row>
    <row r="137" spans="1:16" ht="15.75" customHeight="1" x14ac:dyDescent="0.25">
      <c r="A137" s="239"/>
      <c r="B137" s="4" t="str">
        <f>IF('Option 1'!B137="","",'Option 1'!B137)</f>
        <v/>
      </c>
      <c r="C137" s="188" t="str">
        <f>IF('Option 1'!C137="","",'Option 1'!C137)</f>
        <v>Precast Concrete Catwalks</v>
      </c>
      <c r="D137" s="186" t="str">
        <f>IF('Option 1'!D137="","",'Option 1'!D137)</f>
        <v/>
      </c>
      <c r="E137" s="184" t="str">
        <f>IF('Option 1'!E137="","",'Option 1'!E137)</f>
        <v/>
      </c>
      <c r="F137" s="184" t="str">
        <f>IF('Option 1'!F137="","",'Option 1'!F137)</f>
        <v/>
      </c>
      <c r="G137" s="184" t="str">
        <f>IF('Option 1'!G137="","",'Option 1'!G137)</f>
        <v/>
      </c>
      <c r="H137" s="184" t="str">
        <f>IF('Option 1'!H137="","",'Option 1'!H137)</f>
        <v/>
      </c>
      <c r="I137" s="184" t="str">
        <f>IF('Option 1'!I137="","",'Option 1'!I137)</f>
        <v/>
      </c>
      <c r="J137" s="184" t="str">
        <f>IF('Option 1'!J137="","",'Option 1'!J137)</f>
        <v/>
      </c>
      <c r="K137" s="184" t="str">
        <f>IF('Option 1'!K137="","",'Option 1'!K137)</f>
        <v/>
      </c>
      <c r="L137" s="184" t="str">
        <f>IF('Option 1'!L137="","",'Option 1'!L137)</f>
        <v/>
      </c>
      <c r="M137" s="184" t="str">
        <f>IF('Option 1'!M137="","",'Option 1'!M137)</f>
        <v/>
      </c>
      <c r="N137" s="184" t="str">
        <f>IF('Option 1'!N137="","",'Option 1'!N137)</f>
        <v/>
      </c>
      <c r="O137" s="184" t="str">
        <f>IF('Option 1'!O137="","",'Option 1'!O137)</f>
        <v/>
      </c>
      <c r="P137" s="124">
        <f t="shared" si="11"/>
        <v>0</v>
      </c>
    </row>
    <row r="138" spans="1:16" ht="15.75" customHeight="1" x14ac:dyDescent="0.25">
      <c r="A138" s="239"/>
      <c r="B138" s="4" t="str">
        <f>IF('Option 1'!B138="","",'Option 1'!B138)</f>
        <v/>
      </c>
      <c r="C138" s="188" t="str">
        <f>IF('Option 1'!C138="","",'Option 1'!C138)</f>
        <v>Catwalk Railings</v>
      </c>
      <c r="D138" s="186" t="str">
        <f>IF('Option 1'!D138="","",'Option 1'!D138)</f>
        <v/>
      </c>
      <c r="E138" s="184" t="str">
        <f>IF('Option 1'!E138="","",'Option 1'!E138)</f>
        <v/>
      </c>
      <c r="F138" s="184" t="str">
        <f>IF('Option 1'!F138="","",'Option 1'!F138)</f>
        <v/>
      </c>
      <c r="G138" s="184" t="str">
        <f>IF('Option 1'!G138="","",'Option 1'!G138)</f>
        <v/>
      </c>
      <c r="H138" s="184" t="str">
        <f>IF('Option 1'!H138="","",'Option 1'!H138)</f>
        <v/>
      </c>
      <c r="I138" s="184" t="str">
        <f>IF('Option 1'!I138="","",'Option 1'!I138)</f>
        <v/>
      </c>
      <c r="J138" s="184" t="str">
        <f>IF('Option 1'!J138="","",'Option 1'!J138)</f>
        <v/>
      </c>
      <c r="K138" s="184" t="str">
        <f>IF('Option 1'!K138="","",'Option 1'!K138)</f>
        <v/>
      </c>
      <c r="L138" s="184" t="str">
        <f>IF('Option 1'!L138="","",'Option 1'!L138)</f>
        <v/>
      </c>
      <c r="M138" s="184" t="str">
        <f>IF('Option 1'!M138="","",'Option 1'!M138)</f>
        <v/>
      </c>
      <c r="N138" s="184" t="str">
        <f>IF('Option 1'!N138="","",'Option 1'!N138)</f>
        <v/>
      </c>
      <c r="O138" s="184" t="str">
        <f>IF('Option 1'!O138="","",'Option 1'!O138)</f>
        <v/>
      </c>
      <c r="P138" s="124">
        <f t="shared" si="11"/>
        <v>0</v>
      </c>
    </row>
    <row r="139" spans="1:16" ht="15.75" customHeight="1" x14ac:dyDescent="0.25">
      <c r="A139" s="239"/>
      <c r="B139" s="4" t="str">
        <f>IF('Option 1'!B139="","",'Option 1'!B139)</f>
        <v/>
      </c>
      <c r="C139" s="188" t="str">
        <f>IF('Option 1'!C139="","",'Option 1'!C139)</f>
        <v>Replaced Balconies</v>
      </c>
      <c r="D139" s="186" t="str">
        <f>IF('Option 1'!D139="","",'Option 1'!D139)</f>
        <v/>
      </c>
      <c r="E139" s="184" t="str">
        <f>IF('Option 1'!E139="","",'Option 1'!E139)</f>
        <v/>
      </c>
      <c r="F139" s="184" t="str">
        <f>IF('Option 1'!F139="","",'Option 1'!F139)</f>
        <v/>
      </c>
      <c r="G139" s="184" t="str">
        <f>IF('Option 1'!G139="","",'Option 1'!G139)</f>
        <v/>
      </c>
      <c r="H139" s="184" t="str">
        <f>IF('Option 1'!H139="","",'Option 1'!H139)</f>
        <v/>
      </c>
      <c r="I139" s="184" t="str">
        <f>IF('Option 1'!I139="","",'Option 1'!I139)</f>
        <v/>
      </c>
      <c r="J139" s="184" t="str">
        <f>IF('Option 1'!J139="","",'Option 1'!J139)</f>
        <v/>
      </c>
      <c r="K139" s="184" t="str">
        <f>IF('Option 1'!K139="","",'Option 1'!K139)</f>
        <v/>
      </c>
      <c r="L139" s="184" t="str">
        <f>IF('Option 1'!L139="","",'Option 1'!L139)</f>
        <v/>
      </c>
      <c r="M139" s="184" t="str">
        <f>IF('Option 1'!M139="","",'Option 1'!M139)</f>
        <v/>
      </c>
      <c r="N139" s="184" t="str">
        <f>IF('Option 1'!N139="","",'Option 1'!N139)</f>
        <v/>
      </c>
      <c r="O139" s="184" t="str">
        <f>IF('Option 1'!O139="","",'Option 1'!O139)</f>
        <v/>
      </c>
      <c r="P139" s="124">
        <f t="shared" si="11"/>
        <v>0</v>
      </c>
    </row>
    <row r="140" spans="1:16" ht="15.75" customHeight="1" x14ac:dyDescent="0.25">
      <c r="A140" s="239"/>
      <c r="B140" s="4" t="str">
        <f>IF('Option 1'!B140="","",'Option 1'!B140)</f>
        <v/>
      </c>
      <c r="C140" s="188" t="str">
        <f>IF('Option 1'!C140="","",'Option 1'!C140)</f>
        <v>Balconies (Year 1)</v>
      </c>
      <c r="D140" s="186">
        <f>IF('Option 1'!D140="","",'Option 1'!D140)</f>
        <v>29100</v>
      </c>
      <c r="E140" s="184" t="str">
        <f>IF('Option 1'!E140="","",'Option 1'!E140)</f>
        <v/>
      </c>
      <c r="F140" s="184" t="str">
        <f>IF('Option 1'!F140="","",'Option 1'!F140)</f>
        <v/>
      </c>
      <c r="G140" s="184" t="str">
        <f>IF('Option 1'!G140="","",'Option 1'!G140)</f>
        <v/>
      </c>
      <c r="H140" s="184" t="str">
        <f>IF('Option 1'!H140="","",'Option 1'!H140)</f>
        <v/>
      </c>
      <c r="I140" s="184" t="str">
        <f>IF('Option 1'!I140="","",'Option 1'!I140)</f>
        <v/>
      </c>
      <c r="J140" s="184" t="str">
        <f>IF('Option 1'!J140="","",'Option 1'!J140)</f>
        <v/>
      </c>
      <c r="K140" s="184" t="str">
        <f>IF('Option 1'!K140="","",'Option 1'!K140)</f>
        <v/>
      </c>
      <c r="L140" s="184" t="str">
        <f>IF('Option 1'!L140="","",'Option 1'!L140)</f>
        <v/>
      </c>
      <c r="M140" s="184" t="str">
        <f>IF('Option 1'!M140="","",'Option 1'!M140)</f>
        <v/>
      </c>
      <c r="N140" s="184" t="str">
        <f>IF('Option 1'!N140="","",'Option 1'!N140)</f>
        <v/>
      </c>
      <c r="O140" s="184" t="str">
        <f>IF('Option 1'!O140="","",'Option 1'!O140)</f>
        <v/>
      </c>
      <c r="P140" s="124">
        <f t="shared" si="11"/>
        <v>29100</v>
      </c>
    </row>
    <row r="141" spans="1:16" ht="15.75" customHeight="1" x14ac:dyDescent="0.25">
      <c r="A141" s="239"/>
      <c r="B141" s="4" t="str">
        <f>IF('Option 1'!B141="","",'Option 1'!B141)</f>
        <v/>
      </c>
      <c r="C141" s="188" t="str">
        <f>IF('Option 1'!C141="","",'Option 1'!C141)</f>
        <v>Balconies (Year 2)</v>
      </c>
      <c r="D141" s="186" t="str">
        <f>IF('Option 1'!D141="","",'Option 1'!D141)</f>
        <v/>
      </c>
      <c r="E141" s="184">
        <f>IF('Option 1'!E141="","",'Option 1'!E141)</f>
        <v>175000</v>
      </c>
      <c r="F141" s="184">
        <f>IF('Option 1'!F141="","",'Option 1'!F141)</f>
        <v>225000</v>
      </c>
      <c r="G141" s="184" t="str">
        <f>IF('Option 1'!G141="","",'Option 1'!G141)</f>
        <v/>
      </c>
      <c r="H141" s="184" t="str">
        <f>IF('Option 1'!H141="","",'Option 1'!H141)</f>
        <v/>
      </c>
      <c r="I141" s="184" t="str">
        <f>IF('Option 1'!I141="","",'Option 1'!I141)</f>
        <v/>
      </c>
      <c r="J141" s="184" t="str">
        <f>IF('Option 1'!J141="","",'Option 1'!J141)</f>
        <v/>
      </c>
      <c r="K141" s="184" t="str">
        <f>IF('Option 1'!K141="","",'Option 1'!K141)</f>
        <v/>
      </c>
      <c r="L141" s="184" t="str">
        <f>IF('Option 1'!L141="","",'Option 1'!L141)</f>
        <v/>
      </c>
      <c r="M141" s="184" t="str">
        <f>IF('Option 1'!M141="","",'Option 1'!M141)</f>
        <v/>
      </c>
      <c r="N141" s="184" t="str">
        <f>IF('Option 1'!N141="","",'Option 1'!N141)</f>
        <v/>
      </c>
      <c r="O141" s="184" t="str">
        <f>IF('Option 1'!O141="","",'Option 1'!O141)</f>
        <v/>
      </c>
      <c r="P141" s="124">
        <f t="shared" si="11"/>
        <v>400000</v>
      </c>
    </row>
    <row r="142" spans="1:16" ht="15.75" customHeight="1" x14ac:dyDescent="0.25">
      <c r="A142" s="239"/>
      <c r="B142" s="4" t="str">
        <f>IF('Option 1'!B142="","",'Option 1'!B142)</f>
        <v/>
      </c>
      <c r="C142" s="188" t="str">
        <f>IF('Option 1'!C142="","",'Option 1'!C142)</f>
        <v>Balconies (Year 3)</v>
      </c>
      <c r="D142" s="186" t="str">
        <f>IF('Option 1'!D142="","",'Option 1'!D142)</f>
        <v/>
      </c>
      <c r="E142" s="184" t="str">
        <f>IF('Option 1'!E142="","",'Option 1'!E142)</f>
        <v/>
      </c>
      <c r="F142" s="184" t="str">
        <f>IF('Option 1'!F142="","",'Option 1'!F142)</f>
        <v/>
      </c>
      <c r="G142" s="184">
        <f>IF('Option 1'!G142="","",'Option 1'!G142)</f>
        <v>900000</v>
      </c>
      <c r="H142" s="184">
        <f>IF('Option 1'!H142="","",'Option 1'!H142)</f>
        <v>900000</v>
      </c>
      <c r="I142" s="184" t="str">
        <f>IF('Option 1'!I142="","",'Option 1'!I142)</f>
        <v/>
      </c>
      <c r="J142" s="184" t="str">
        <f>IF('Option 1'!J142="","",'Option 1'!J142)</f>
        <v/>
      </c>
      <c r="K142" s="184" t="str">
        <f>IF('Option 1'!K142="","",'Option 1'!K142)</f>
        <v/>
      </c>
      <c r="L142" s="184" t="str">
        <f>IF('Option 1'!L142="","",'Option 1'!L142)</f>
        <v/>
      </c>
      <c r="M142" s="184" t="str">
        <f>IF('Option 1'!M142="","",'Option 1'!M142)</f>
        <v/>
      </c>
      <c r="N142" s="184" t="str">
        <f>IF('Option 1'!N142="","",'Option 1'!N142)</f>
        <v/>
      </c>
      <c r="O142" s="184" t="str">
        <f>IF('Option 1'!O142="","",'Option 1'!O142)</f>
        <v/>
      </c>
      <c r="P142" s="124">
        <f t="shared" si="11"/>
        <v>1800000</v>
      </c>
    </row>
    <row r="143" spans="1:16" ht="15.75" customHeight="1" x14ac:dyDescent="0.25">
      <c r="A143" s="239"/>
      <c r="B143" s="4" t="str">
        <f>IF('Option 1'!B143="","",'Option 1'!B143)</f>
        <v/>
      </c>
      <c r="C143" s="188" t="str">
        <f>IF('Option 1'!C143="","",'Option 1'!C143)</f>
        <v>Balconies (Year 4)</v>
      </c>
      <c r="D143" s="186" t="str">
        <f>IF('Option 1'!D143="","",'Option 1'!D143)</f>
        <v/>
      </c>
      <c r="E143" s="184" t="str">
        <f>IF('Option 1'!E143="","",'Option 1'!E143)</f>
        <v/>
      </c>
      <c r="F143" s="184" t="str">
        <f>IF('Option 1'!F143="","",'Option 1'!F143)</f>
        <v/>
      </c>
      <c r="G143" s="184" t="str">
        <f>IF('Option 1'!G143="","",'Option 1'!G143)</f>
        <v/>
      </c>
      <c r="H143" s="184" t="str">
        <f>IF('Option 1'!H143="","",'Option 1'!H143)</f>
        <v/>
      </c>
      <c r="I143" s="184">
        <f>IF('Option 1'!I143="","",'Option 1'!I143)</f>
        <v>500000</v>
      </c>
      <c r="J143" s="184" t="str">
        <f>IF('Option 1'!J143="","",'Option 1'!J143)</f>
        <v/>
      </c>
      <c r="K143" s="184" t="str">
        <f>IF('Option 1'!K143="","",'Option 1'!K143)</f>
        <v/>
      </c>
      <c r="L143" s="184" t="str">
        <f>IF('Option 1'!L143="","",'Option 1'!L143)</f>
        <v/>
      </c>
      <c r="M143" s="184" t="str">
        <f>IF('Option 1'!M143="","",'Option 1'!M143)</f>
        <v/>
      </c>
      <c r="N143" s="184" t="str">
        <f>IF('Option 1'!N143="","",'Option 1'!N143)</f>
        <v/>
      </c>
      <c r="O143" s="184" t="str">
        <f>IF('Option 1'!O143="","",'Option 1'!O143)</f>
        <v/>
      </c>
      <c r="P143" s="124">
        <f t="shared" si="11"/>
        <v>500000</v>
      </c>
    </row>
    <row r="144" spans="1:16" ht="15.75" customHeight="1" x14ac:dyDescent="0.25">
      <c r="A144" s="239"/>
      <c r="B144" s="4" t="str">
        <f>IF('Option 1'!B144="","",'Option 1'!B144)</f>
        <v/>
      </c>
      <c r="C144" s="188" t="str">
        <f>IF('Option 1'!C144="","",'Option 1'!C144)</f>
        <v>Balconies (Year 5)</v>
      </c>
      <c r="D144" s="186">
        <f>IF('Option 1'!D144="","",'Option 1'!D144)</f>
        <v>50878</v>
      </c>
      <c r="E144" s="184" t="str">
        <f>IF('Option 1'!E144="","",'Option 1'!E144)</f>
        <v/>
      </c>
      <c r="F144" s="184" t="str">
        <f>IF('Option 1'!F144="","",'Option 1'!F144)</f>
        <v/>
      </c>
      <c r="G144" s="184" t="str">
        <f>IF('Option 1'!G144="","",'Option 1'!G144)</f>
        <v/>
      </c>
      <c r="H144" s="184" t="str">
        <f>IF('Option 1'!H144="","",'Option 1'!H144)</f>
        <v/>
      </c>
      <c r="I144" s="184" t="str">
        <f>IF('Option 1'!I144="","",'Option 1'!I144)</f>
        <v/>
      </c>
      <c r="J144" s="184" t="str">
        <f>IF('Option 1'!J144="","",'Option 1'!J144)</f>
        <v/>
      </c>
      <c r="K144" s="184" t="str">
        <f>IF('Option 1'!K144="","",'Option 1'!K144)</f>
        <v/>
      </c>
      <c r="L144" s="184" t="str">
        <f>IF('Option 1'!L144="","",'Option 1'!L144)</f>
        <v/>
      </c>
      <c r="M144" s="184" t="str">
        <f>IF('Option 1'!M144="","",'Option 1'!M144)</f>
        <v/>
      </c>
      <c r="N144" s="184" t="str">
        <f>IF('Option 1'!N144="","",'Option 1'!N144)</f>
        <v/>
      </c>
      <c r="O144" s="184" t="str">
        <f>IF('Option 1'!O144="","",'Option 1'!O144)</f>
        <v/>
      </c>
      <c r="P144" s="124">
        <f t="shared" si="11"/>
        <v>50878</v>
      </c>
    </row>
    <row r="145" spans="1:16" ht="15.75" customHeight="1" x14ac:dyDescent="0.25">
      <c r="A145" s="239"/>
      <c r="B145" s="4" t="str">
        <f>IF('Option 1'!B145="","",'Option 1'!B145)</f>
        <v/>
      </c>
      <c r="C145" s="188" t="str">
        <f>IF('Option 1'!C145="","",'Option 1'!C145)</f>
        <v>Remaining Balconies</v>
      </c>
      <c r="D145" s="186" t="str">
        <f>IF('Option 1'!D145="","",'Option 1'!D145)</f>
        <v/>
      </c>
      <c r="E145" s="184" t="str">
        <f>IF('Option 1'!E145="","",'Option 1'!E145)</f>
        <v/>
      </c>
      <c r="F145" s="184" t="str">
        <f>IF('Option 1'!F145="","",'Option 1'!F145)</f>
        <v/>
      </c>
      <c r="G145" s="184" t="str">
        <f>IF('Option 1'!G145="","",'Option 1'!G145)</f>
        <v/>
      </c>
      <c r="H145" s="184" t="str">
        <f>IF('Option 1'!H145="","",'Option 1'!H145)</f>
        <v/>
      </c>
      <c r="I145" s="184" t="str">
        <f>IF('Option 1'!I145="","",'Option 1'!I145)</f>
        <v/>
      </c>
      <c r="J145" s="184" t="str">
        <f>IF('Option 1'!J145="","",'Option 1'!J145)</f>
        <v/>
      </c>
      <c r="K145" s="184" t="str">
        <f>IF('Option 1'!K145="","",'Option 1'!K145)</f>
        <v/>
      </c>
      <c r="L145" s="184" t="str">
        <f>IF('Option 1'!L145="","",'Option 1'!L145)</f>
        <v/>
      </c>
      <c r="M145" s="184" t="str">
        <f>IF('Option 1'!M145="","",'Option 1'!M145)</f>
        <v/>
      </c>
      <c r="N145" s="184" t="str">
        <f>IF('Option 1'!N145="","",'Option 1'!N145)</f>
        <v/>
      </c>
      <c r="O145" s="184" t="str">
        <f>IF('Option 1'!O145="","",'Option 1'!O145)</f>
        <v/>
      </c>
      <c r="P145" s="124">
        <f t="shared" si="11"/>
        <v>0</v>
      </c>
    </row>
    <row r="146" spans="1:16" ht="15.75" customHeight="1" x14ac:dyDescent="0.25">
      <c r="A146" s="239"/>
      <c r="B146" s="4" t="str">
        <f>IF('Option 1'!B146="","",'Option 1'!B146)</f>
        <v/>
      </c>
      <c r="C146" s="188" t="str">
        <f>IF('Option 1'!C146="","",'Option 1'!C146)</f>
        <v>Balcony Deck Coating</v>
      </c>
      <c r="D146" s="186" t="str">
        <f>IF('Option 1'!D146="","",'Option 1'!D146)</f>
        <v/>
      </c>
      <c r="E146" s="184" t="str">
        <f>IF('Option 1'!E146="","",'Option 1'!E146)</f>
        <v/>
      </c>
      <c r="F146" s="184" t="str">
        <f>IF('Option 1'!F146="","",'Option 1'!F146)</f>
        <v/>
      </c>
      <c r="G146" s="184" t="str">
        <f>IF('Option 1'!G146="","",'Option 1'!G146)</f>
        <v/>
      </c>
      <c r="H146" s="184" t="str">
        <f>IF('Option 1'!H146="","",'Option 1'!H146)</f>
        <v/>
      </c>
      <c r="I146" s="184" t="str">
        <f>IF('Option 1'!I146="","",'Option 1'!I146)</f>
        <v/>
      </c>
      <c r="J146" s="184" t="str">
        <f>IF('Option 1'!J146="","",'Option 1'!J146)</f>
        <v/>
      </c>
      <c r="K146" s="184">
        <f>IF('Option 1'!K146="","",'Option 1'!K146)</f>
        <v>612000</v>
      </c>
      <c r="L146" s="184" t="str">
        <f>IF('Option 1'!L146="","",'Option 1'!L146)</f>
        <v/>
      </c>
      <c r="M146" s="184" t="str">
        <f>IF('Option 1'!M146="","",'Option 1'!M146)</f>
        <v/>
      </c>
      <c r="N146" s="184" t="str">
        <f>IF('Option 1'!N146="","",'Option 1'!N146)</f>
        <v/>
      </c>
      <c r="O146" s="184" t="str">
        <f>IF('Option 1'!O146="","",'Option 1'!O146)</f>
        <v/>
      </c>
      <c r="P146" s="124">
        <f t="shared" si="11"/>
        <v>612000</v>
      </c>
    </row>
    <row r="147" spans="1:16" ht="15.75" customHeight="1" x14ac:dyDescent="0.25">
      <c r="A147" s="239"/>
      <c r="B147" s="4" t="str">
        <f>IF('Option 1'!B147="","",'Option 1'!B147)</f>
        <v/>
      </c>
      <c r="C147" s="188" t="str">
        <f>IF('Option 1'!C147="","",'Option 1'!C147)</f>
        <v>Balcony Railings</v>
      </c>
      <c r="D147" s="186" t="str">
        <f>IF('Option 1'!D147="","",'Option 1'!D147)</f>
        <v/>
      </c>
      <c r="E147" s="184" t="str">
        <f>IF('Option 1'!E147="","",'Option 1'!E147)</f>
        <v/>
      </c>
      <c r="F147" s="184" t="str">
        <f>IF('Option 1'!F147="","",'Option 1'!F147)</f>
        <v/>
      </c>
      <c r="G147" s="184" t="str">
        <f>IF('Option 1'!G147="","",'Option 1'!G147)</f>
        <v/>
      </c>
      <c r="H147" s="184" t="str">
        <f>IF('Option 1'!H147="","",'Option 1'!H147)</f>
        <v/>
      </c>
      <c r="I147" s="184" t="str">
        <f>IF('Option 1'!I147="","",'Option 1'!I147)</f>
        <v/>
      </c>
      <c r="J147" s="184" t="str">
        <f>IF('Option 1'!J147="","",'Option 1'!J147)</f>
        <v/>
      </c>
      <c r="K147" s="184" t="str">
        <f>IF('Option 1'!K147="","",'Option 1'!K147)</f>
        <v/>
      </c>
      <c r="L147" s="184" t="str">
        <f>IF('Option 1'!L147="","",'Option 1'!L147)</f>
        <v/>
      </c>
      <c r="M147" s="184" t="str">
        <f>IF('Option 1'!M147="","",'Option 1'!M147)</f>
        <v/>
      </c>
      <c r="N147" s="184" t="str">
        <f>IF('Option 1'!N147="","",'Option 1'!N147)</f>
        <v/>
      </c>
      <c r="O147" s="184" t="str">
        <f>IF('Option 1'!O147="","",'Option 1'!O147)</f>
        <v/>
      </c>
      <c r="P147" s="124">
        <f t="shared" si="11"/>
        <v>0</v>
      </c>
    </row>
    <row r="148" spans="1:16" ht="15.75" customHeight="1" x14ac:dyDescent="0.25">
      <c r="A148" s="239"/>
      <c r="B148" s="4" t="str">
        <f>IF('Option 1'!B148="","",'Option 1'!B148)</f>
        <v/>
      </c>
      <c r="C148" s="188" t="str">
        <f>IF('Option 1'!C148="","",'Option 1'!C148)</f>
        <v>Garage Doors</v>
      </c>
      <c r="D148" s="186" t="str">
        <f>IF('Option 1'!D148="","",'Option 1'!D148)</f>
        <v/>
      </c>
      <c r="E148" s="184" t="str">
        <f>IF('Option 1'!E148="","",'Option 1'!E148)</f>
        <v/>
      </c>
      <c r="F148" s="184" t="str">
        <f>IF('Option 1'!F148="","",'Option 1'!F148)</f>
        <v/>
      </c>
      <c r="G148" s="184" t="str">
        <f>IF('Option 1'!G148="","",'Option 1'!G148)</f>
        <v/>
      </c>
      <c r="H148" s="184" t="str">
        <f>IF('Option 1'!H148="","",'Option 1'!H148)</f>
        <v/>
      </c>
      <c r="I148" s="184" t="str">
        <f>IF('Option 1'!I148="","",'Option 1'!I148)</f>
        <v/>
      </c>
      <c r="J148" s="184">
        <f>IF('Option 1'!J148="","",'Option 1'!J148)</f>
        <v>66426</v>
      </c>
      <c r="K148" s="184" t="str">
        <f>IF('Option 1'!K148="","",'Option 1'!K148)</f>
        <v/>
      </c>
      <c r="L148" s="184" t="str">
        <f>IF('Option 1'!L148="","",'Option 1'!L148)</f>
        <v/>
      </c>
      <c r="M148" s="184" t="str">
        <f>IF('Option 1'!M148="","",'Option 1'!M148)</f>
        <v/>
      </c>
      <c r="N148" s="184" t="str">
        <f>IF('Option 1'!N148="","",'Option 1'!N148)</f>
        <v/>
      </c>
      <c r="O148" s="184" t="str">
        <f>IF('Option 1'!O148="","",'Option 1'!O148)</f>
        <v/>
      </c>
      <c r="P148" s="124">
        <f t="shared" si="11"/>
        <v>66426</v>
      </c>
    </row>
    <row r="149" spans="1:16" ht="15.75" customHeight="1" x14ac:dyDescent="0.25">
      <c r="A149" s="239"/>
      <c r="B149" s="4" t="str">
        <f>IF('Option 1'!B149="","",'Option 1'!B149)</f>
        <v/>
      </c>
      <c r="C149" s="188" t="str">
        <f>IF('Option 1'!C149="","",'Option 1'!C149)</f>
        <v>Glazed Entry Doors</v>
      </c>
      <c r="D149" s="186" t="str">
        <f>IF('Option 1'!D149="","",'Option 1'!D149)</f>
        <v/>
      </c>
      <c r="E149" s="184" t="str">
        <f>IF('Option 1'!E149="","",'Option 1'!E149)</f>
        <v/>
      </c>
      <c r="F149" s="184" t="str">
        <f>IF('Option 1'!F149="","",'Option 1'!F149)</f>
        <v/>
      </c>
      <c r="G149" s="184" t="str">
        <f>IF('Option 1'!G149="","",'Option 1'!G149)</f>
        <v/>
      </c>
      <c r="H149" s="184" t="str">
        <f>IF('Option 1'!H149="","",'Option 1'!H149)</f>
        <v/>
      </c>
      <c r="I149" s="184" t="str">
        <f>IF('Option 1'!I149="","",'Option 1'!I149)</f>
        <v/>
      </c>
      <c r="J149" s="184" t="str">
        <f>IF('Option 1'!J149="","",'Option 1'!J149)</f>
        <v/>
      </c>
      <c r="K149" s="184">
        <f>IF('Option 1'!K149="","",'Option 1'!K149)</f>
        <v>33213</v>
      </c>
      <c r="L149" s="184" t="str">
        <f>IF('Option 1'!L149="","",'Option 1'!L149)</f>
        <v/>
      </c>
      <c r="M149" s="184" t="str">
        <f>IF('Option 1'!M149="","",'Option 1'!M149)</f>
        <v/>
      </c>
      <c r="N149" s="184" t="str">
        <f>IF('Option 1'!N149="","",'Option 1'!N149)</f>
        <v/>
      </c>
      <c r="O149" s="184" t="str">
        <f>IF('Option 1'!O149="","",'Option 1'!O149)</f>
        <v/>
      </c>
      <c r="P149" s="124">
        <f t="shared" si="11"/>
        <v>33213</v>
      </c>
    </row>
    <row r="150" spans="1:16" ht="15.75" customHeight="1" x14ac:dyDescent="0.25">
      <c r="A150" s="239"/>
      <c r="B150" s="4" t="str">
        <f>IF('Option 1'!B150="","",'Option 1'!B150)</f>
        <v/>
      </c>
      <c r="C150" s="188" t="str">
        <f>IF('Option 1'!C150="","",'Option 1'!C150)</f>
        <v>Single Metal Doors</v>
      </c>
      <c r="D150" s="186" t="str">
        <f>IF('Option 1'!D150="","",'Option 1'!D150)</f>
        <v/>
      </c>
      <c r="E150" s="184" t="str">
        <f>IF('Option 1'!E150="","",'Option 1'!E150)</f>
        <v/>
      </c>
      <c r="F150" s="184" t="str">
        <f>IF('Option 1'!F150="","",'Option 1'!F150)</f>
        <v/>
      </c>
      <c r="G150" s="184" t="str">
        <f>IF('Option 1'!G150="","",'Option 1'!G150)</f>
        <v/>
      </c>
      <c r="H150" s="184">
        <f>IF('Option 1'!H150="","",'Option 1'!H150)</f>
        <v>38749</v>
      </c>
      <c r="I150" s="184" t="str">
        <f>IF('Option 1'!I150="","",'Option 1'!I150)</f>
        <v/>
      </c>
      <c r="J150" s="184" t="str">
        <f>IF('Option 1'!J150="","",'Option 1'!J150)</f>
        <v/>
      </c>
      <c r="K150" s="184" t="str">
        <f>IF('Option 1'!K150="","",'Option 1'!K150)</f>
        <v/>
      </c>
      <c r="L150" s="184" t="str">
        <f>IF('Option 1'!L150="","",'Option 1'!L150)</f>
        <v/>
      </c>
      <c r="M150" s="184" t="str">
        <f>IF('Option 1'!M150="","",'Option 1'!M150)</f>
        <v/>
      </c>
      <c r="N150" s="184" t="str">
        <f>IF('Option 1'!N150="","",'Option 1'!N150)</f>
        <v/>
      </c>
      <c r="O150" s="184" t="str">
        <f>IF('Option 1'!O150="","",'Option 1'!O150)</f>
        <v/>
      </c>
      <c r="P150" s="124">
        <f t="shared" si="11"/>
        <v>38749</v>
      </c>
    </row>
    <row r="151" spans="1:16" ht="15.75" customHeight="1" x14ac:dyDescent="0.25">
      <c r="A151" s="239"/>
      <c r="B151" s="4" t="str">
        <f>IF('Option 1'!B151="","",'Option 1'!B151)</f>
        <v/>
      </c>
      <c r="C151" s="188" t="str">
        <f>IF('Option 1'!C151="","",'Option 1'!C151)</f>
        <v>Double Metal Doors</v>
      </c>
      <c r="D151" s="186" t="str">
        <f>IF('Option 1'!D151="","",'Option 1'!D151)</f>
        <v/>
      </c>
      <c r="E151" s="184" t="str">
        <f>IF('Option 1'!E151="","",'Option 1'!E151)</f>
        <v/>
      </c>
      <c r="F151" s="184" t="str">
        <f>IF('Option 1'!F151="","",'Option 1'!F151)</f>
        <v/>
      </c>
      <c r="G151" s="184">
        <f>IF('Option 1'!G151="","",'Option 1'!G151)</f>
        <v>17664</v>
      </c>
      <c r="H151" s="184" t="str">
        <f>IF('Option 1'!H151="","",'Option 1'!H151)</f>
        <v/>
      </c>
      <c r="I151" s="184" t="str">
        <f>IF('Option 1'!I151="","",'Option 1'!I151)</f>
        <v/>
      </c>
      <c r="J151" s="184" t="str">
        <f>IF('Option 1'!J151="","",'Option 1'!J151)</f>
        <v/>
      </c>
      <c r="K151" s="184" t="str">
        <f>IF('Option 1'!K151="","",'Option 1'!K151)</f>
        <v/>
      </c>
      <c r="L151" s="184" t="str">
        <f>IF('Option 1'!L151="","",'Option 1'!L151)</f>
        <v/>
      </c>
      <c r="M151" s="184" t="str">
        <f>IF('Option 1'!M151="","",'Option 1'!M151)</f>
        <v/>
      </c>
      <c r="N151" s="184" t="str">
        <f>IF('Option 1'!N151="","",'Option 1'!N151)</f>
        <v/>
      </c>
      <c r="O151" s="184" t="str">
        <f>IF('Option 1'!O151="","",'Option 1'!O151)</f>
        <v/>
      </c>
      <c r="P151" s="124">
        <f t="shared" si="11"/>
        <v>17664</v>
      </c>
    </row>
    <row r="152" spans="1:16" ht="15.75" customHeight="1" x14ac:dyDescent="0.25">
      <c r="A152" s="239"/>
      <c r="B152" s="4" t="str">
        <f>IF('Option 1'!B152="","",'Option 1'!B152)</f>
        <v/>
      </c>
      <c r="C152" s="188" t="str">
        <f>IF('Option 1'!C152="","",'Option 1'!C152)</f>
        <v>Mailboxes</v>
      </c>
      <c r="D152" s="186" t="str">
        <f>IF('Option 1'!D152="","",'Option 1'!D152)</f>
        <v/>
      </c>
      <c r="E152" s="184" t="str">
        <f>IF('Option 1'!E152="","",'Option 1'!E152)</f>
        <v/>
      </c>
      <c r="F152" s="184" t="str">
        <f>IF('Option 1'!F152="","",'Option 1'!F152)</f>
        <v/>
      </c>
      <c r="G152" s="184" t="str">
        <f>IF('Option 1'!G152="","",'Option 1'!G152)</f>
        <v/>
      </c>
      <c r="H152" s="184" t="str">
        <f>IF('Option 1'!H152="","",'Option 1'!H152)</f>
        <v/>
      </c>
      <c r="I152" s="184" t="str">
        <f>IF('Option 1'!I152="","",'Option 1'!I152)</f>
        <v/>
      </c>
      <c r="J152" s="184" t="str">
        <f>IF('Option 1'!J152="","",'Option 1'!J152)</f>
        <v/>
      </c>
      <c r="K152" s="184" t="str">
        <f>IF('Option 1'!K152="","",'Option 1'!K152)</f>
        <v/>
      </c>
      <c r="L152" s="184" t="str">
        <f>IF('Option 1'!L152="","",'Option 1'!L152)</f>
        <v/>
      </c>
      <c r="M152" s="184" t="str">
        <f>IF('Option 1'!M152="","",'Option 1'!M152)</f>
        <v/>
      </c>
      <c r="N152" s="184" t="str">
        <f>IF('Option 1'!N152="","",'Option 1'!N152)</f>
        <v/>
      </c>
      <c r="O152" s="184">
        <f>IF('Option 1'!O152="","",'Option 1'!O152)</f>
        <v>23000</v>
      </c>
      <c r="P152" s="124">
        <f t="shared" si="11"/>
        <v>23000</v>
      </c>
    </row>
    <row r="153" spans="1:16" ht="15.75" customHeight="1" x14ac:dyDescent="0.25">
      <c r="A153" s="239"/>
      <c r="B153" s="4" t="str">
        <f>IF('Option 1'!B153="","",'Option 1'!B153)</f>
        <v/>
      </c>
      <c r="C153" s="3" t="str">
        <f>IF('Option 1'!C153="","",'Option 1'!C153)</f>
        <v>Electrical Elements</v>
      </c>
      <c r="D153" s="186" t="str">
        <f>IF('Option 1'!D153="","",'Option 1'!D153)</f>
        <v/>
      </c>
      <c r="E153" s="184" t="str">
        <f>IF('Option 1'!E153="","",'Option 1'!E153)</f>
        <v/>
      </c>
      <c r="F153" s="184" t="str">
        <f>IF('Option 1'!F153="","",'Option 1'!F153)</f>
        <v/>
      </c>
      <c r="G153" s="184" t="str">
        <f>IF('Option 1'!G153="","",'Option 1'!G153)</f>
        <v/>
      </c>
      <c r="H153" s="184" t="str">
        <f>IF('Option 1'!H153="","",'Option 1'!H153)</f>
        <v/>
      </c>
      <c r="I153" s="184" t="str">
        <f>IF('Option 1'!I153="","",'Option 1'!I153)</f>
        <v/>
      </c>
      <c r="J153" s="184" t="str">
        <f>IF('Option 1'!J153="","",'Option 1'!J153)</f>
        <v/>
      </c>
      <c r="K153" s="184" t="str">
        <f>IF('Option 1'!K153="","",'Option 1'!K153)</f>
        <v/>
      </c>
      <c r="L153" s="184" t="str">
        <f>IF('Option 1'!L153="","",'Option 1'!L153)</f>
        <v/>
      </c>
      <c r="M153" s="184" t="str">
        <f>IF('Option 1'!M153="","",'Option 1'!M153)</f>
        <v/>
      </c>
      <c r="N153" s="184" t="str">
        <f>IF('Option 1'!N153="","",'Option 1'!N153)</f>
        <v/>
      </c>
      <c r="O153" s="184" t="str">
        <f>IF('Option 1'!O153="","",'Option 1'!O153)</f>
        <v/>
      </c>
      <c r="P153" s="124">
        <f t="shared" ref="P153:P216" si="12">IF(SUM(D153:O153)=0,0,SUM(D153:O153))</f>
        <v>0</v>
      </c>
    </row>
    <row r="154" spans="1:16" ht="15.75" customHeight="1" x14ac:dyDescent="0.25">
      <c r="A154" s="239"/>
      <c r="B154" s="4" t="str">
        <f>IF('Option 1'!B154="","",'Option 1'!B154)</f>
        <v/>
      </c>
      <c r="C154" s="188" t="str">
        <f>IF('Option 1'!C154="","",'Option 1'!C154)</f>
        <v>Street Light Poles</v>
      </c>
      <c r="D154" s="186" t="str">
        <f>IF('Option 1'!D154="","",'Option 1'!D154)</f>
        <v/>
      </c>
      <c r="E154" s="184" t="str">
        <f>IF('Option 1'!E154="","",'Option 1'!E154)</f>
        <v/>
      </c>
      <c r="F154" s="184" t="str">
        <f>IF('Option 1'!F154="","",'Option 1'!F154)</f>
        <v/>
      </c>
      <c r="G154" s="184" t="str">
        <f>IF('Option 1'!G154="","",'Option 1'!G154)</f>
        <v/>
      </c>
      <c r="H154" s="184" t="str">
        <f>IF('Option 1'!H154="","",'Option 1'!H154)</f>
        <v/>
      </c>
      <c r="I154" s="184">
        <f>IF('Option 1'!I154="","",'Option 1'!I154)</f>
        <v>69069</v>
      </c>
      <c r="J154" s="184" t="str">
        <f>IF('Option 1'!J154="","",'Option 1'!J154)</f>
        <v/>
      </c>
      <c r="K154" s="184" t="str">
        <f>IF('Option 1'!K154="","",'Option 1'!K154)</f>
        <v/>
      </c>
      <c r="L154" s="184" t="str">
        <f>IF('Option 1'!L154="","",'Option 1'!L154)</f>
        <v/>
      </c>
      <c r="M154" s="184" t="str">
        <f>IF('Option 1'!M154="","",'Option 1'!M154)</f>
        <v/>
      </c>
      <c r="N154" s="184" t="str">
        <f>IF('Option 1'!N154="","",'Option 1'!N154)</f>
        <v/>
      </c>
      <c r="O154" s="184" t="str">
        <f>IF('Option 1'!O154="","",'Option 1'!O154)</f>
        <v/>
      </c>
      <c r="P154" s="124">
        <f t="shared" si="12"/>
        <v>69069</v>
      </c>
    </row>
    <row r="155" spans="1:16" ht="15.75" customHeight="1" x14ac:dyDescent="0.25">
      <c r="A155" s="239"/>
      <c r="B155" s="4" t="str">
        <f>IF('Option 1'!B155="","",'Option 1'!B155)</f>
        <v/>
      </c>
      <c r="C155" s="188" t="str">
        <f>IF('Option 1'!C155="","",'Option 1'!C155)</f>
        <v>Entry Light Poles</v>
      </c>
      <c r="D155" s="186" t="str">
        <f>IF('Option 1'!D155="","",'Option 1'!D155)</f>
        <v/>
      </c>
      <c r="E155" s="184" t="str">
        <f>IF('Option 1'!E155="","",'Option 1'!E155)</f>
        <v/>
      </c>
      <c r="F155" s="184" t="str">
        <f>IF('Option 1'!F155="","",'Option 1'!F155)</f>
        <v/>
      </c>
      <c r="G155" s="184" t="str">
        <f>IF('Option 1'!G155="","",'Option 1'!G155)</f>
        <v/>
      </c>
      <c r="H155" s="184" t="str">
        <f>IF('Option 1'!H155="","",'Option 1'!H155)</f>
        <v/>
      </c>
      <c r="I155" s="184" t="str">
        <f>IF('Option 1'!I155="","",'Option 1'!I155)</f>
        <v/>
      </c>
      <c r="J155" s="184">
        <f>IF('Option 1'!J155="","",'Option 1'!J155)</f>
        <v>9591</v>
      </c>
      <c r="K155" s="184" t="str">
        <f>IF('Option 1'!K155="","",'Option 1'!K155)</f>
        <v/>
      </c>
      <c r="L155" s="184" t="str">
        <f>IF('Option 1'!L155="","",'Option 1'!L155)</f>
        <v/>
      </c>
      <c r="M155" s="184" t="str">
        <f>IF('Option 1'!M155="","",'Option 1'!M155)</f>
        <v/>
      </c>
      <c r="N155" s="184" t="str">
        <f>IF('Option 1'!N155="","",'Option 1'!N155)</f>
        <v/>
      </c>
      <c r="O155" s="184" t="str">
        <f>IF('Option 1'!O155="","",'Option 1'!O155)</f>
        <v/>
      </c>
      <c r="P155" s="124">
        <f t="shared" si="12"/>
        <v>9591</v>
      </c>
    </row>
    <row r="156" spans="1:16" ht="15.75" customHeight="1" x14ac:dyDescent="0.25">
      <c r="A156" s="239"/>
      <c r="B156" s="4" t="str">
        <f>IF('Option 1'!B156="","",'Option 1'!B156)</f>
        <v/>
      </c>
      <c r="C156" s="188" t="str">
        <f>IF('Option 1'!C156="","",'Option 1'!C156)</f>
        <v>Parking Lot Poles</v>
      </c>
      <c r="D156" s="186" t="str">
        <f>IF('Option 1'!D156="","",'Option 1'!D156)</f>
        <v/>
      </c>
      <c r="E156" s="184" t="str">
        <f>IF('Option 1'!E156="","",'Option 1'!E156)</f>
        <v/>
      </c>
      <c r="F156" s="184" t="str">
        <f>IF('Option 1'!F156="","",'Option 1'!F156)</f>
        <v/>
      </c>
      <c r="G156" s="184" t="str">
        <f>IF('Option 1'!G156="","",'Option 1'!G156)</f>
        <v/>
      </c>
      <c r="H156" s="184" t="str">
        <f>IF('Option 1'!H156="","",'Option 1'!H156)</f>
        <v/>
      </c>
      <c r="I156" s="184" t="str">
        <f>IF('Option 1'!I156="","",'Option 1'!I156)</f>
        <v/>
      </c>
      <c r="J156" s="184" t="str">
        <f>IF('Option 1'!J156="","",'Option 1'!J156)</f>
        <v/>
      </c>
      <c r="K156" s="184" t="str">
        <f>IF('Option 1'!K156="","",'Option 1'!K156)</f>
        <v/>
      </c>
      <c r="L156" s="184">
        <f>IF('Option 1'!L156="","",'Option 1'!L156)</f>
        <v>28883</v>
      </c>
      <c r="M156" s="184" t="str">
        <f>IF('Option 1'!M156="","",'Option 1'!M156)</f>
        <v/>
      </c>
      <c r="N156" s="184" t="str">
        <f>IF('Option 1'!N156="","",'Option 1'!N156)</f>
        <v/>
      </c>
      <c r="O156" s="184" t="str">
        <f>IF('Option 1'!O156="","",'Option 1'!O156)</f>
        <v/>
      </c>
      <c r="P156" s="124">
        <f t="shared" si="12"/>
        <v>28883</v>
      </c>
    </row>
    <row r="157" spans="1:16" ht="15.75" customHeight="1" x14ac:dyDescent="0.25">
      <c r="A157" s="239"/>
      <c r="B157" s="4" t="str">
        <f>IF('Option 1'!B157="","",'Option 1'!B157)</f>
        <v/>
      </c>
      <c r="C157" s="188" t="str">
        <f>IF('Option 1'!C157="","",'Option 1'!C157)</f>
        <v>Light Fixtures and Fans</v>
      </c>
      <c r="D157" s="186" t="str">
        <f>IF('Option 1'!D157="","",'Option 1'!D157)</f>
        <v/>
      </c>
      <c r="E157" s="184" t="str">
        <f>IF('Option 1'!E157="","",'Option 1'!E157)</f>
        <v/>
      </c>
      <c r="F157" s="184" t="str">
        <f>IF('Option 1'!F157="","",'Option 1'!F157)</f>
        <v/>
      </c>
      <c r="G157" s="184">
        <f>IF('Option 1'!G157="","",'Option 1'!G157)</f>
        <v>4152</v>
      </c>
      <c r="H157" s="184" t="str">
        <f>IF('Option 1'!H157="","",'Option 1'!H157)</f>
        <v/>
      </c>
      <c r="I157" s="184" t="str">
        <f>IF('Option 1'!I157="","",'Option 1'!I157)</f>
        <v/>
      </c>
      <c r="J157" s="184" t="str">
        <f>IF('Option 1'!J157="","",'Option 1'!J157)</f>
        <v/>
      </c>
      <c r="K157" s="184" t="str">
        <f>IF('Option 1'!K157="","",'Option 1'!K157)</f>
        <v/>
      </c>
      <c r="L157" s="184" t="str">
        <f>IF('Option 1'!L157="","",'Option 1'!L157)</f>
        <v/>
      </c>
      <c r="M157" s="184" t="str">
        <f>IF('Option 1'!M157="","",'Option 1'!M157)</f>
        <v/>
      </c>
      <c r="N157" s="184" t="str">
        <f>IF('Option 1'!N157="","",'Option 1'!N157)</f>
        <v/>
      </c>
      <c r="O157" s="184" t="str">
        <f>IF('Option 1'!O157="","",'Option 1'!O157)</f>
        <v/>
      </c>
      <c r="P157" s="124">
        <f t="shared" si="12"/>
        <v>4152</v>
      </c>
    </row>
    <row r="158" spans="1:16" ht="15.75" customHeight="1" x14ac:dyDescent="0.25">
      <c r="A158" s="239"/>
      <c r="B158" s="4" t="str">
        <f>IF('Option 1'!B158="","",'Option 1'!B158)</f>
        <v/>
      </c>
      <c r="C158" s="188" t="str">
        <f>IF('Option 1'!C158="","",'Option 1'!C158)</f>
        <v>Floodlights</v>
      </c>
      <c r="D158" s="186" t="str">
        <f>IF('Option 1'!D158="","",'Option 1'!D158)</f>
        <v/>
      </c>
      <c r="E158" s="184" t="str">
        <f>IF('Option 1'!E158="","",'Option 1'!E158)</f>
        <v/>
      </c>
      <c r="F158" s="184" t="str">
        <f>IF('Option 1'!F158="","",'Option 1'!F158)</f>
        <v/>
      </c>
      <c r="G158" s="184" t="str">
        <f>IF('Option 1'!G158="","",'Option 1'!G158)</f>
        <v/>
      </c>
      <c r="H158" s="184" t="str">
        <f>IF('Option 1'!H158="","",'Option 1'!H158)</f>
        <v/>
      </c>
      <c r="I158" s="184">
        <f>IF('Option 1'!I158="","",'Option 1'!I158)</f>
        <v>13839</v>
      </c>
      <c r="J158" s="184" t="str">
        <f>IF('Option 1'!J158="","",'Option 1'!J158)</f>
        <v/>
      </c>
      <c r="K158" s="184" t="str">
        <f>IF('Option 1'!K158="","",'Option 1'!K158)</f>
        <v/>
      </c>
      <c r="L158" s="184" t="str">
        <f>IF('Option 1'!L158="","",'Option 1'!L158)</f>
        <v/>
      </c>
      <c r="M158" s="184" t="str">
        <f>IF('Option 1'!M158="","",'Option 1'!M158)</f>
        <v/>
      </c>
      <c r="N158" s="184" t="str">
        <f>IF('Option 1'!N158="","",'Option 1'!N158)</f>
        <v/>
      </c>
      <c r="O158" s="184" t="str">
        <f>IF('Option 1'!O158="","",'Option 1'!O158)</f>
        <v/>
      </c>
      <c r="P158" s="124">
        <f t="shared" si="12"/>
        <v>13839</v>
      </c>
    </row>
    <row r="159" spans="1:16" ht="15.75" customHeight="1" x14ac:dyDescent="0.25">
      <c r="A159" s="239"/>
      <c r="B159" s="4" t="str">
        <f>IF('Option 1'!B159="","",'Option 1'!B159)</f>
        <v/>
      </c>
      <c r="C159" s="188" t="str">
        <f>IF('Option 1'!C159="","",'Option 1'!C159)</f>
        <v>Canopy Lights</v>
      </c>
      <c r="D159" s="186" t="str">
        <f>IF('Option 1'!D159="","",'Option 1'!D159)</f>
        <v/>
      </c>
      <c r="E159" s="184">
        <f>IF('Option 1'!E159="","",'Option 1'!E159)</f>
        <v>7473</v>
      </c>
      <c r="F159" s="184" t="str">
        <f>IF('Option 1'!F159="","",'Option 1'!F159)</f>
        <v/>
      </c>
      <c r="G159" s="184" t="str">
        <f>IF('Option 1'!G159="","",'Option 1'!G159)</f>
        <v/>
      </c>
      <c r="H159" s="184" t="str">
        <f>IF('Option 1'!H159="","",'Option 1'!H159)</f>
        <v/>
      </c>
      <c r="I159" s="184" t="str">
        <f>IF('Option 1'!I159="","",'Option 1'!I159)</f>
        <v/>
      </c>
      <c r="J159" s="184" t="str">
        <f>IF('Option 1'!J159="","",'Option 1'!J159)</f>
        <v/>
      </c>
      <c r="K159" s="184" t="str">
        <f>IF('Option 1'!K159="","",'Option 1'!K159)</f>
        <v/>
      </c>
      <c r="L159" s="184" t="str">
        <f>IF('Option 1'!L159="","",'Option 1'!L159)</f>
        <v/>
      </c>
      <c r="M159" s="184" t="str">
        <f>IF('Option 1'!M159="","",'Option 1'!M159)</f>
        <v/>
      </c>
      <c r="N159" s="184" t="str">
        <f>IF('Option 1'!N159="","",'Option 1'!N159)</f>
        <v/>
      </c>
      <c r="O159" s="184" t="str">
        <f>IF('Option 1'!O159="","",'Option 1'!O159)</f>
        <v/>
      </c>
      <c r="P159" s="124">
        <f t="shared" si="12"/>
        <v>7473</v>
      </c>
    </row>
    <row r="160" spans="1:16" ht="15.75" customHeight="1" x14ac:dyDescent="0.25">
      <c r="A160" s="239"/>
      <c r="B160" s="4" t="str">
        <f>IF('Option 1'!B160="","",'Option 1'!B160)</f>
        <v/>
      </c>
      <c r="C160" s="188" t="str">
        <f>IF('Option 1'!C160="","",'Option 1'!C160)</f>
        <v>Intercom Panels</v>
      </c>
      <c r="D160" s="186" t="str">
        <f>IF('Option 1'!D160="","",'Option 1'!D160)</f>
        <v/>
      </c>
      <c r="E160" s="184" t="str">
        <f>IF('Option 1'!E160="","",'Option 1'!E160)</f>
        <v/>
      </c>
      <c r="F160" s="184" t="str">
        <f>IF('Option 1'!F160="","",'Option 1'!F160)</f>
        <v/>
      </c>
      <c r="G160" s="184" t="str">
        <f>IF('Option 1'!G160="","",'Option 1'!G160)</f>
        <v/>
      </c>
      <c r="H160" s="184" t="str">
        <f>IF('Option 1'!H160="","",'Option 1'!H160)</f>
        <v/>
      </c>
      <c r="I160" s="184" t="str">
        <f>IF('Option 1'!I160="","",'Option 1'!I160)</f>
        <v/>
      </c>
      <c r="J160" s="184" t="str">
        <f>IF('Option 1'!J160="","",'Option 1'!J160)</f>
        <v/>
      </c>
      <c r="K160" s="184" t="str">
        <f>IF('Option 1'!K160="","",'Option 1'!K160)</f>
        <v/>
      </c>
      <c r="L160" s="184" t="str">
        <f>IF('Option 1'!L160="","",'Option 1'!L160)</f>
        <v/>
      </c>
      <c r="M160" s="184" t="str">
        <f>IF('Option 1'!M160="","",'Option 1'!M160)</f>
        <v/>
      </c>
      <c r="N160" s="184">
        <f>IF('Option 1'!N160="","",'Option 1'!N160)</f>
        <v>83032</v>
      </c>
      <c r="O160" s="184" t="str">
        <f>IF('Option 1'!O160="","",'Option 1'!O160)</f>
        <v/>
      </c>
      <c r="P160" s="124">
        <f t="shared" si="12"/>
        <v>83032</v>
      </c>
    </row>
    <row r="161" spans="1:16" ht="15.75" customHeight="1" x14ac:dyDescent="0.25">
      <c r="A161" s="239"/>
      <c r="B161" s="4" t="str">
        <f>IF('Option 1'!B161="","",'Option 1'!B161)</f>
        <v/>
      </c>
      <c r="C161" s="188" t="str">
        <f>IF('Option 1'!C161="","",'Option 1'!C161)</f>
        <v>Security Cameras</v>
      </c>
      <c r="D161" s="186" t="str">
        <f>IF('Option 1'!D161="","",'Option 1'!D161)</f>
        <v/>
      </c>
      <c r="E161" s="184">
        <f>IF('Option 1'!E161="","",'Option 1'!E161)</f>
        <v>12455</v>
      </c>
      <c r="F161" s="184" t="str">
        <f>IF('Option 1'!F161="","",'Option 1'!F161)</f>
        <v/>
      </c>
      <c r="G161" s="184" t="str">
        <f>IF('Option 1'!G161="","",'Option 1'!G161)</f>
        <v/>
      </c>
      <c r="H161" s="184" t="str">
        <f>IF('Option 1'!H161="","",'Option 1'!H161)</f>
        <v/>
      </c>
      <c r="I161" s="184" t="str">
        <f>IF('Option 1'!I161="","",'Option 1'!I161)</f>
        <v/>
      </c>
      <c r="J161" s="184" t="str">
        <f>IF('Option 1'!J161="","",'Option 1'!J161)</f>
        <v/>
      </c>
      <c r="K161" s="184" t="str">
        <f>IF('Option 1'!K161="","",'Option 1'!K161)</f>
        <v/>
      </c>
      <c r="L161" s="184" t="str">
        <f>IF('Option 1'!L161="","",'Option 1'!L161)</f>
        <v/>
      </c>
      <c r="M161" s="184" t="str">
        <f>IF('Option 1'!M161="","",'Option 1'!M161)</f>
        <v/>
      </c>
      <c r="N161" s="184" t="str">
        <f>IF('Option 1'!N161="","",'Option 1'!N161)</f>
        <v/>
      </c>
      <c r="O161" s="184" t="str">
        <f>IF('Option 1'!O161="","",'Option 1'!O161)</f>
        <v/>
      </c>
      <c r="P161" s="124">
        <f t="shared" si="12"/>
        <v>12455</v>
      </c>
    </row>
    <row r="162" spans="1:16" ht="15.75" customHeight="1" x14ac:dyDescent="0.25">
      <c r="A162" s="239"/>
      <c r="B162" s="4" t="str">
        <f>IF('Option 1'!B162="","",'Option 1'!B162)</f>
        <v/>
      </c>
      <c r="C162" s="188" t="str">
        <f>IF('Option 1'!C162="","",'Option 1'!C162)</f>
        <v>Garage Light Fixtures</v>
      </c>
      <c r="D162" s="186">
        <f>IF('Option 1'!D162="","",'Option 1'!D162)</f>
        <v>16606</v>
      </c>
      <c r="E162" s="184" t="str">
        <f>IF('Option 1'!E162="","",'Option 1'!E162)</f>
        <v/>
      </c>
      <c r="F162" s="184" t="str">
        <f>IF('Option 1'!F162="","",'Option 1'!F162)</f>
        <v/>
      </c>
      <c r="G162" s="184" t="str">
        <f>IF('Option 1'!G162="","",'Option 1'!G162)</f>
        <v/>
      </c>
      <c r="H162" s="184" t="str">
        <f>IF('Option 1'!H162="","",'Option 1'!H162)</f>
        <v/>
      </c>
      <c r="I162" s="184" t="str">
        <f>IF('Option 1'!I162="","",'Option 1'!I162)</f>
        <v/>
      </c>
      <c r="J162" s="184" t="str">
        <f>IF('Option 1'!J162="","",'Option 1'!J162)</f>
        <v/>
      </c>
      <c r="K162" s="184" t="str">
        <f>IF('Option 1'!K162="","",'Option 1'!K162)</f>
        <v/>
      </c>
      <c r="L162" s="184" t="str">
        <f>IF('Option 1'!L162="","",'Option 1'!L162)</f>
        <v/>
      </c>
      <c r="M162" s="184" t="str">
        <f>IF('Option 1'!M162="","",'Option 1'!M162)</f>
        <v/>
      </c>
      <c r="N162" s="184" t="str">
        <f>IF('Option 1'!N162="","",'Option 1'!N162)</f>
        <v/>
      </c>
      <c r="O162" s="184" t="str">
        <f>IF('Option 1'!O162="","",'Option 1'!O162)</f>
        <v/>
      </c>
      <c r="P162" s="124">
        <f t="shared" si="12"/>
        <v>16606</v>
      </c>
    </row>
    <row r="163" spans="1:16" ht="15.75" customHeight="1" x14ac:dyDescent="0.25">
      <c r="A163" s="239"/>
      <c r="B163" s="4" t="str">
        <f>IF('Option 1'!B163="","",'Option 1'!B163)</f>
        <v/>
      </c>
      <c r="C163" s="188" t="str">
        <f>IF('Option 1'!C163="","",'Option 1'!C163)</f>
        <v>Sconce Light Fixtures</v>
      </c>
      <c r="D163" s="186" t="str">
        <f>IF('Option 1'!D163="","",'Option 1'!D163)</f>
        <v/>
      </c>
      <c r="E163" s="184" t="str">
        <f>IF('Option 1'!E163="","",'Option 1'!E163)</f>
        <v/>
      </c>
      <c r="F163" s="184" t="str">
        <f>IF('Option 1'!F163="","",'Option 1'!F163)</f>
        <v/>
      </c>
      <c r="G163" s="184" t="str">
        <f>IF('Option 1'!G163="","",'Option 1'!G163)</f>
        <v/>
      </c>
      <c r="H163" s="184">
        <f>IF('Option 1'!H163="","",'Option 1'!H163)</f>
        <v>77495</v>
      </c>
      <c r="I163" s="184" t="str">
        <f>IF('Option 1'!I163="","",'Option 1'!I163)</f>
        <v/>
      </c>
      <c r="J163" s="184" t="str">
        <f>IF('Option 1'!J163="","",'Option 1'!J163)</f>
        <v/>
      </c>
      <c r="K163" s="184" t="str">
        <f>IF('Option 1'!K163="","",'Option 1'!K163)</f>
        <v/>
      </c>
      <c r="L163" s="184" t="str">
        <f>IF('Option 1'!L163="","",'Option 1'!L163)</f>
        <v/>
      </c>
      <c r="M163" s="184" t="str">
        <f>IF('Option 1'!M163="","",'Option 1'!M163)</f>
        <v/>
      </c>
      <c r="N163" s="184" t="str">
        <f>IF('Option 1'!N163="","",'Option 1'!N163)</f>
        <v/>
      </c>
      <c r="O163" s="184" t="str">
        <f>IF('Option 1'!O163="","",'Option 1'!O163)</f>
        <v/>
      </c>
      <c r="P163" s="124">
        <f t="shared" si="12"/>
        <v>77495</v>
      </c>
    </row>
    <row r="164" spans="1:16" ht="15.75" customHeight="1" x14ac:dyDescent="0.25">
      <c r="A164" s="239"/>
      <c r="B164" s="4" t="str">
        <f>IF('Option 1'!B164="","",'Option 1'!B164)</f>
        <v/>
      </c>
      <c r="C164" s="188" t="str">
        <f>IF('Option 1'!C164="","",'Option 1'!C164)</f>
        <v>Lobby Ceiling Light Fixtures</v>
      </c>
      <c r="D164" s="186" t="str">
        <f>IF('Option 1'!D164="","",'Option 1'!D164)</f>
        <v/>
      </c>
      <c r="E164" s="184" t="str">
        <f>IF('Option 1'!E164="","",'Option 1'!E164)</f>
        <v/>
      </c>
      <c r="F164" s="184" t="str">
        <f>IF('Option 1'!F164="","",'Option 1'!F164)</f>
        <v/>
      </c>
      <c r="G164" s="184" t="str">
        <f>IF('Option 1'!G164="","",'Option 1'!G164)</f>
        <v/>
      </c>
      <c r="H164" s="184" t="str">
        <f>IF('Option 1'!H164="","",'Option 1'!H164)</f>
        <v/>
      </c>
      <c r="I164" s="184" t="str">
        <f>IF('Option 1'!I164="","",'Option 1'!I164)</f>
        <v/>
      </c>
      <c r="J164" s="184">
        <f>IF('Option 1'!J164="","",'Option 1'!J164)</f>
        <v>11071</v>
      </c>
      <c r="K164" s="184" t="str">
        <f>IF('Option 1'!K164="","",'Option 1'!K164)</f>
        <v/>
      </c>
      <c r="L164" s="184" t="str">
        <f>IF('Option 1'!L164="","",'Option 1'!L164)</f>
        <v/>
      </c>
      <c r="M164" s="184" t="str">
        <f>IF('Option 1'!M164="","",'Option 1'!M164)</f>
        <v/>
      </c>
      <c r="N164" s="184" t="str">
        <f>IF('Option 1'!N164="","",'Option 1'!N164)</f>
        <v/>
      </c>
      <c r="O164" s="184" t="str">
        <f>IF('Option 1'!O164="","",'Option 1'!O164)</f>
        <v/>
      </c>
      <c r="P164" s="124">
        <f t="shared" si="12"/>
        <v>11071</v>
      </c>
    </row>
    <row r="165" spans="1:16" ht="15.75" customHeight="1" x14ac:dyDescent="0.25">
      <c r="A165" s="239"/>
      <c r="B165" s="4" t="str">
        <f>IF('Option 1'!B165="","",'Option 1'!B165)</f>
        <v/>
      </c>
      <c r="C165" s="188" t="str">
        <f>IF('Option 1'!C165="","",'Option 1'!C165)</f>
        <v>Stair Light Fixtures</v>
      </c>
      <c r="D165" s="186" t="str">
        <f>IF('Option 1'!D165="","",'Option 1'!D165)</f>
        <v/>
      </c>
      <c r="E165" s="184" t="str">
        <f>IF('Option 1'!E165="","",'Option 1'!E165)</f>
        <v/>
      </c>
      <c r="F165" s="184" t="str">
        <f>IF('Option 1'!F165="","",'Option 1'!F165)</f>
        <v/>
      </c>
      <c r="G165" s="184" t="str">
        <f>IF('Option 1'!G165="","",'Option 1'!G165)</f>
        <v/>
      </c>
      <c r="H165" s="184">
        <f>IF('Option 1'!H165="","",'Option 1'!H165)</f>
        <v>19373</v>
      </c>
      <c r="I165" s="184" t="str">
        <f>IF('Option 1'!I165="","",'Option 1'!I165)</f>
        <v/>
      </c>
      <c r="J165" s="184" t="str">
        <f>IF('Option 1'!J165="","",'Option 1'!J165)</f>
        <v/>
      </c>
      <c r="K165" s="184" t="str">
        <f>IF('Option 1'!K165="","",'Option 1'!K165)</f>
        <v/>
      </c>
      <c r="L165" s="184" t="str">
        <f>IF('Option 1'!L165="","",'Option 1'!L165)</f>
        <v/>
      </c>
      <c r="M165" s="184" t="str">
        <f>IF('Option 1'!M165="","",'Option 1'!M165)</f>
        <v/>
      </c>
      <c r="N165" s="184" t="str">
        <f>IF('Option 1'!N165="","",'Option 1'!N165)</f>
        <v/>
      </c>
      <c r="O165" s="184" t="str">
        <f>IF('Option 1'!O165="","",'Option 1'!O165)</f>
        <v/>
      </c>
      <c r="P165" s="124">
        <f t="shared" si="12"/>
        <v>19373</v>
      </c>
    </row>
    <row r="166" spans="1:16" ht="15.75" customHeight="1" x14ac:dyDescent="0.25">
      <c r="A166" s="239"/>
      <c r="B166" s="4" t="str">
        <f>IF('Option 1'!B166="","",'Option 1'!B166)</f>
        <v/>
      </c>
      <c r="C166" s="188" t="str">
        <f>IF('Option 1'!C166="","",'Option 1'!C166)</f>
        <v>Lobby Chandeliers</v>
      </c>
      <c r="D166" s="186" t="str">
        <f>IF('Option 1'!D166="","",'Option 1'!D166)</f>
        <v/>
      </c>
      <c r="E166" s="184" t="str">
        <f>IF('Option 1'!E166="","",'Option 1'!E166)</f>
        <v/>
      </c>
      <c r="F166" s="184" t="str">
        <f>IF('Option 1'!F166="","",'Option 1'!F166)</f>
        <v/>
      </c>
      <c r="G166" s="184" t="str">
        <f>IF('Option 1'!G166="","",'Option 1'!G166)</f>
        <v/>
      </c>
      <c r="H166" s="184" t="str">
        <f>IF('Option 1'!H166="","",'Option 1'!H166)</f>
        <v/>
      </c>
      <c r="I166" s="184" t="str">
        <f>IF('Option 1'!I166="","",'Option 1'!I166)</f>
        <v/>
      </c>
      <c r="J166" s="184" t="str">
        <f>IF('Option 1'!J166="","",'Option 1'!J166)</f>
        <v/>
      </c>
      <c r="K166" s="184" t="str">
        <f>IF('Option 1'!K166="","",'Option 1'!K166)</f>
        <v/>
      </c>
      <c r="L166" s="184" t="str">
        <f>IF('Option 1'!L166="","",'Option 1'!L166)</f>
        <v/>
      </c>
      <c r="M166" s="184">
        <f>IF('Option 1'!M166="","",'Option 1'!M166)</f>
        <v>9964</v>
      </c>
      <c r="N166" s="184" t="str">
        <f>IF('Option 1'!N166="","",'Option 1'!N166)</f>
        <v/>
      </c>
      <c r="O166" s="184" t="str">
        <f>IF('Option 1'!O166="","",'Option 1'!O166)</f>
        <v/>
      </c>
      <c r="P166" s="124">
        <f t="shared" si="12"/>
        <v>9964</v>
      </c>
    </row>
    <row r="167" spans="1:16" ht="15.75" customHeight="1" x14ac:dyDescent="0.25">
      <c r="A167" s="239"/>
      <c r="B167" s="4" t="str">
        <f>IF('Option 1'!B167="","",'Option 1'!B167)</f>
        <v/>
      </c>
      <c r="C167" s="188" t="str">
        <f>IF('Option 1'!C167="","",'Option 1'!C167)</f>
        <v>Surface Light Fixtures</v>
      </c>
      <c r="D167" s="186" t="str">
        <f>IF('Option 1'!D167="","",'Option 1'!D167)</f>
        <v/>
      </c>
      <c r="E167" s="184" t="str">
        <f>IF('Option 1'!E167="","",'Option 1'!E167)</f>
        <v/>
      </c>
      <c r="F167" s="184" t="str">
        <f>IF('Option 1'!F167="","",'Option 1'!F167)</f>
        <v/>
      </c>
      <c r="G167" s="184" t="str">
        <f>IF('Option 1'!G167="","",'Option 1'!G167)</f>
        <v/>
      </c>
      <c r="H167" s="184" t="str">
        <f>IF('Option 1'!H167="","",'Option 1'!H167)</f>
        <v/>
      </c>
      <c r="I167" s="184" t="str">
        <f>IF('Option 1'!I167="","",'Option 1'!I167)</f>
        <v/>
      </c>
      <c r="J167" s="184" t="str">
        <f>IF('Option 1'!J167="","",'Option 1'!J167)</f>
        <v/>
      </c>
      <c r="K167" s="184" t="str">
        <f>IF('Option 1'!K167="","",'Option 1'!K167)</f>
        <v/>
      </c>
      <c r="L167" s="184" t="str">
        <f>IF('Option 1'!L167="","",'Option 1'!L167)</f>
        <v/>
      </c>
      <c r="M167" s="184" t="str">
        <f>IF('Option 1'!M167="","",'Option 1'!M167)</f>
        <v/>
      </c>
      <c r="N167" s="184" t="str">
        <f>IF('Option 1'!N167="","",'Option 1'!N167)</f>
        <v/>
      </c>
      <c r="O167" s="184" t="str">
        <f>IF('Option 1'!O167="","",'Option 1'!O167)</f>
        <v/>
      </c>
      <c r="P167" s="124">
        <f t="shared" si="12"/>
        <v>0</v>
      </c>
    </row>
    <row r="168" spans="1:16" ht="15.75" customHeight="1" x14ac:dyDescent="0.25">
      <c r="A168" s="239"/>
      <c r="B168" s="4" t="str">
        <f>IF('Option 1'!B168="","",'Option 1'!B168)</f>
        <v/>
      </c>
      <c r="C168" s="188" t="str">
        <f>IF('Option 1'!C168="","",'Option 1'!C168)</f>
        <v>Downlights</v>
      </c>
      <c r="D168" s="186" t="str">
        <f>IF('Option 1'!D168="","",'Option 1'!D168)</f>
        <v/>
      </c>
      <c r="E168" s="184" t="str">
        <f>IF('Option 1'!E168="","",'Option 1'!E168)</f>
        <v/>
      </c>
      <c r="F168" s="184" t="str">
        <f>IF('Option 1'!F168="","",'Option 1'!F168)</f>
        <v/>
      </c>
      <c r="G168" s="184" t="str">
        <f>IF('Option 1'!G168="","",'Option 1'!G168)</f>
        <v/>
      </c>
      <c r="H168" s="184">
        <f>IF('Option 1'!H168="","",'Option 1'!H168)</f>
        <v>3321</v>
      </c>
      <c r="I168" s="184" t="str">
        <f>IF('Option 1'!I168="","",'Option 1'!I168)</f>
        <v/>
      </c>
      <c r="J168" s="184" t="str">
        <f>IF('Option 1'!J168="","",'Option 1'!J168)</f>
        <v/>
      </c>
      <c r="K168" s="184" t="str">
        <f>IF('Option 1'!K168="","",'Option 1'!K168)</f>
        <v/>
      </c>
      <c r="L168" s="184" t="str">
        <f>IF('Option 1'!L168="","",'Option 1'!L168)</f>
        <v/>
      </c>
      <c r="M168" s="184" t="str">
        <f>IF('Option 1'!M168="","",'Option 1'!M168)</f>
        <v/>
      </c>
      <c r="N168" s="184" t="str">
        <f>IF('Option 1'!N168="","",'Option 1'!N168)</f>
        <v/>
      </c>
      <c r="O168" s="184" t="str">
        <f>IF('Option 1'!O168="","",'Option 1'!O168)</f>
        <v/>
      </c>
      <c r="P168" s="124">
        <f t="shared" si="12"/>
        <v>3321</v>
      </c>
    </row>
    <row r="169" spans="1:16" ht="15.75" customHeight="1" x14ac:dyDescent="0.25">
      <c r="A169" s="239"/>
      <c r="B169" s="4" t="str">
        <f>IF('Option 1'!B169="","",'Option 1'!B169)</f>
        <v/>
      </c>
      <c r="C169" s="188" t="str">
        <f>IF('Option 1'!C169="","",'Option 1'!C169)</f>
        <v>Fire Alarm Systems</v>
      </c>
      <c r="D169" s="186" t="str">
        <f>IF('Option 1'!D169="","",'Option 1'!D169)</f>
        <v/>
      </c>
      <c r="E169" s="184" t="str">
        <f>IF('Option 1'!E169="","",'Option 1'!E169)</f>
        <v/>
      </c>
      <c r="F169" s="184" t="str">
        <f>IF('Option 1'!F169="","",'Option 1'!F169)</f>
        <v/>
      </c>
      <c r="G169" s="184" t="str">
        <f>IF('Option 1'!G169="","",'Option 1'!G169)</f>
        <v/>
      </c>
      <c r="H169" s="184" t="str">
        <f>IF('Option 1'!H169="","",'Option 1'!H169)</f>
        <v/>
      </c>
      <c r="I169" s="184" t="str">
        <f>IF('Option 1'!I169="","",'Option 1'!I169)</f>
        <v/>
      </c>
      <c r="J169" s="184" t="str">
        <f>IF('Option 1'!J169="","",'Option 1'!J169)</f>
        <v/>
      </c>
      <c r="K169" s="184" t="str">
        <f>IF('Option 1'!K169="","",'Option 1'!K169)</f>
        <v/>
      </c>
      <c r="L169" s="184" t="str">
        <f>IF('Option 1'!L169="","",'Option 1'!L169)</f>
        <v/>
      </c>
      <c r="M169" s="184" t="str">
        <f>IF('Option 1'!M169="","",'Option 1'!M169)</f>
        <v/>
      </c>
      <c r="N169" s="184" t="str">
        <f>IF('Option 1'!N169="","",'Option 1'!N169)</f>
        <v/>
      </c>
      <c r="O169" s="184" t="str">
        <f>IF('Option 1'!O169="","",'Option 1'!O169)</f>
        <v/>
      </c>
      <c r="P169" s="124">
        <f t="shared" si="12"/>
        <v>0</v>
      </c>
    </row>
    <row r="170" spans="1:16" ht="15.75" customHeight="1" x14ac:dyDescent="0.25">
      <c r="A170" s="239"/>
      <c r="B170" s="4" t="str">
        <f>IF('Option 1'!B170="","",'Option 1'!B170)</f>
        <v/>
      </c>
      <c r="C170" s="188" t="str">
        <f>IF('Option 1'!C170="","",'Option 1'!C170)</f>
        <v>Automatic Garage Doors</v>
      </c>
      <c r="D170" s="186" t="str">
        <f>IF('Option 1'!D170="","",'Option 1'!D170)</f>
        <v/>
      </c>
      <c r="E170" s="184" t="str">
        <f>IF('Option 1'!E170="","",'Option 1'!E170)</f>
        <v/>
      </c>
      <c r="F170" s="184" t="str">
        <f>IF('Option 1'!F170="","",'Option 1'!F170)</f>
        <v/>
      </c>
      <c r="G170" s="184" t="str">
        <f>IF('Option 1'!G170="","",'Option 1'!G170)</f>
        <v/>
      </c>
      <c r="H170" s="184">
        <f>IF('Option 1'!H170="","",'Option 1'!H170)</f>
        <v>39675</v>
      </c>
      <c r="I170" s="184" t="str">
        <f>IF('Option 1'!I170="","",'Option 1'!I170)</f>
        <v/>
      </c>
      <c r="J170" s="184" t="str">
        <f>IF('Option 1'!J170="","",'Option 1'!J170)</f>
        <v/>
      </c>
      <c r="K170" s="184" t="str">
        <f>IF('Option 1'!K170="","",'Option 1'!K170)</f>
        <v/>
      </c>
      <c r="L170" s="184" t="str">
        <f>IF('Option 1'!L170="","",'Option 1'!L170)</f>
        <v/>
      </c>
      <c r="M170" s="184" t="str">
        <f>IF('Option 1'!M170="","",'Option 1'!M170)</f>
        <v/>
      </c>
      <c r="N170" s="184" t="str">
        <f>IF('Option 1'!N170="","",'Option 1'!N170)</f>
        <v/>
      </c>
      <c r="O170" s="184" t="str">
        <f>IF('Option 1'!O170="","",'Option 1'!O170)</f>
        <v/>
      </c>
      <c r="P170" s="124">
        <f t="shared" si="12"/>
        <v>39675</v>
      </c>
    </row>
    <row r="171" spans="1:16" ht="15.75" customHeight="1" x14ac:dyDescent="0.25">
      <c r="A171" s="239"/>
      <c r="B171" s="4" t="str">
        <f>IF('Option 1'!B171="","",'Option 1'!B171)</f>
        <v/>
      </c>
      <c r="C171" s="188" t="str">
        <f>IF('Option 1'!C171="","",'Option 1'!C171)</f>
        <v>Electrical System</v>
      </c>
      <c r="D171" s="186" t="str">
        <f>IF('Option 1'!D171="","",'Option 1'!D171)</f>
        <v/>
      </c>
      <c r="E171" s="184" t="str">
        <f>IF('Option 1'!E171="","",'Option 1'!E171)</f>
        <v/>
      </c>
      <c r="F171" s="184" t="str">
        <f>IF('Option 1'!F171="","",'Option 1'!F171)</f>
        <v/>
      </c>
      <c r="G171" s="184" t="str">
        <f>IF('Option 1'!G171="","",'Option 1'!G171)</f>
        <v/>
      </c>
      <c r="H171" s="184" t="str">
        <f>IF('Option 1'!H171="","",'Option 1'!H171)</f>
        <v/>
      </c>
      <c r="I171" s="184" t="str">
        <f>IF('Option 1'!I171="","",'Option 1'!I171)</f>
        <v/>
      </c>
      <c r="J171" s="184" t="str">
        <f>IF('Option 1'!J171="","",'Option 1'!J171)</f>
        <v/>
      </c>
      <c r="K171" s="184" t="str">
        <f>IF('Option 1'!K171="","",'Option 1'!K171)</f>
        <v/>
      </c>
      <c r="L171" s="184" t="str">
        <f>IF('Option 1'!L171="","",'Option 1'!L171)</f>
        <v/>
      </c>
      <c r="M171" s="184" t="str">
        <f>IF('Option 1'!M171="","",'Option 1'!M171)</f>
        <v/>
      </c>
      <c r="N171" s="184" t="str">
        <f>IF('Option 1'!N171="","",'Option 1'!N171)</f>
        <v/>
      </c>
      <c r="O171" s="184" t="str">
        <f>IF('Option 1'!O171="","",'Option 1'!O171)</f>
        <v/>
      </c>
      <c r="P171" s="124">
        <f t="shared" si="12"/>
        <v>0</v>
      </c>
    </row>
    <row r="172" spans="1:16" ht="15.75" customHeight="1" x14ac:dyDescent="0.25">
      <c r="A172" s="239"/>
      <c r="B172" s="4" t="str">
        <f>IF('Option 1'!B172="","",'Option 1'!B172)</f>
        <v/>
      </c>
      <c r="C172" s="188" t="str">
        <f>IF('Option 1'!C172="","",'Option 1'!C172)</f>
        <v>Exterior Light Fixtures</v>
      </c>
      <c r="D172" s="186" t="str">
        <f>IF('Option 1'!D172="","",'Option 1'!D172)</f>
        <v/>
      </c>
      <c r="E172" s="184" t="str">
        <f>IF('Option 1'!E172="","",'Option 1'!E172)</f>
        <v/>
      </c>
      <c r="F172" s="184" t="str">
        <f>IF('Option 1'!F172="","",'Option 1'!F172)</f>
        <v/>
      </c>
      <c r="G172" s="184" t="str">
        <f>IF('Option 1'!G172="","",'Option 1'!G172)</f>
        <v/>
      </c>
      <c r="H172" s="184" t="str">
        <f>IF('Option 1'!H172="","",'Option 1'!H172)</f>
        <v/>
      </c>
      <c r="I172" s="184" t="str">
        <f>IF('Option 1'!I172="","",'Option 1'!I172)</f>
        <v/>
      </c>
      <c r="J172" s="184" t="str">
        <f>IF('Option 1'!J172="","",'Option 1'!J172)</f>
        <v/>
      </c>
      <c r="K172" s="184" t="str">
        <f>IF('Option 1'!K172="","",'Option 1'!K172)</f>
        <v/>
      </c>
      <c r="L172" s="184" t="str">
        <f>IF('Option 1'!L172="","",'Option 1'!L172)</f>
        <v/>
      </c>
      <c r="M172" s="184" t="str">
        <f>IF('Option 1'!M172="","",'Option 1'!M172)</f>
        <v/>
      </c>
      <c r="N172" s="184" t="str">
        <f>IF('Option 1'!N172="","",'Option 1'!N172)</f>
        <v/>
      </c>
      <c r="O172" s="184" t="str">
        <f>IF('Option 1'!O172="","",'Option 1'!O172)</f>
        <v/>
      </c>
      <c r="P172" s="124">
        <f t="shared" si="12"/>
        <v>0</v>
      </c>
    </row>
    <row r="173" spans="1:16" ht="15.75" customHeight="1" x14ac:dyDescent="0.25">
      <c r="A173" s="239"/>
      <c r="B173" s="4" t="str">
        <f>IF('Option 1'!B173="","",'Option 1'!B173)</f>
        <v/>
      </c>
      <c r="C173" s="3" t="str">
        <f>IF('Option 1'!C173="","",'Option 1'!C173)</f>
        <v>Special Construction Elements</v>
      </c>
      <c r="D173" s="186" t="str">
        <f>IF('Option 1'!D173="","",'Option 1'!D173)</f>
        <v/>
      </c>
      <c r="E173" s="184" t="str">
        <f>IF('Option 1'!E173="","",'Option 1'!E173)</f>
        <v/>
      </c>
      <c r="F173" s="184" t="str">
        <f>IF('Option 1'!F173="","",'Option 1'!F173)</f>
        <v/>
      </c>
      <c r="G173" s="184" t="str">
        <f>IF('Option 1'!G173="","",'Option 1'!G173)</f>
        <v/>
      </c>
      <c r="H173" s="184" t="str">
        <f>IF('Option 1'!H173="","",'Option 1'!H173)</f>
        <v/>
      </c>
      <c r="I173" s="184" t="str">
        <f>IF('Option 1'!I173="","",'Option 1'!I173)</f>
        <v/>
      </c>
      <c r="J173" s="184" t="str">
        <f>IF('Option 1'!J173="","",'Option 1'!J173)</f>
        <v/>
      </c>
      <c r="K173" s="184" t="str">
        <f>IF('Option 1'!K173="","",'Option 1'!K173)</f>
        <v/>
      </c>
      <c r="L173" s="184" t="str">
        <f>IF('Option 1'!L173="","",'Option 1'!L173)</f>
        <v/>
      </c>
      <c r="M173" s="184" t="str">
        <f>IF('Option 1'!M173="","",'Option 1'!M173)</f>
        <v/>
      </c>
      <c r="N173" s="184" t="str">
        <f>IF('Option 1'!N173="","",'Option 1'!N173)</f>
        <v/>
      </c>
      <c r="O173" s="184" t="str">
        <f>IF('Option 1'!O173="","",'Option 1'!O173)</f>
        <v/>
      </c>
      <c r="P173" s="124">
        <f t="shared" si="12"/>
        <v>0</v>
      </c>
    </row>
    <row r="174" spans="1:16" ht="15.75" customHeight="1" x14ac:dyDescent="0.25">
      <c r="A174" s="239"/>
      <c r="B174" s="4" t="str">
        <f>IF('Option 1'!B174="","",'Option 1'!B174)</f>
        <v/>
      </c>
      <c r="C174" s="188" t="str">
        <f>IF('Option 1'!C174="","",'Option 1'!C174)</f>
        <v>Pool Heater</v>
      </c>
      <c r="D174" s="186" t="str">
        <f>IF('Option 1'!D174="","",'Option 1'!D174)</f>
        <v/>
      </c>
      <c r="E174" s="184" t="str">
        <f>IF('Option 1'!E174="","",'Option 1'!E174)</f>
        <v/>
      </c>
      <c r="F174" s="184" t="str">
        <f>IF('Option 1'!F174="","",'Option 1'!F174)</f>
        <v/>
      </c>
      <c r="G174" s="184" t="str">
        <f>IF('Option 1'!G174="","",'Option 1'!G174)</f>
        <v/>
      </c>
      <c r="H174" s="184" t="str">
        <f>IF('Option 1'!H174="","",'Option 1'!H174)</f>
        <v/>
      </c>
      <c r="I174" s="184" t="str">
        <f>IF('Option 1'!I174="","",'Option 1'!I174)</f>
        <v/>
      </c>
      <c r="J174" s="184" t="str">
        <f>IF('Option 1'!J174="","",'Option 1'!J174)</f>
        <v/>
      </c>
      <c r="K174" s="184">
        <f>IF('Option 1'!K174="","",'Option 1'!K174)</f>
        <v>8303</v>
      </c>
      <c r="L174" s="184" t="str">
        <f>IF('Option 1'!L174="","",'Option 1'!L174)</f>
        <v/>
      </c>
      <c r="M174" s="184" t="str">
        <f>IF('Option 1'!M174="","",'Option 1'!M174)</f>
        <v/>
      </c>
      <c r="N174" s="184" t="str">
        <f>IF('Option 1'!N174="","",'Option 1'!N174)</f>
        <v/>
      </c>
      <c r="O174" s="184" t="str">
        <f>IF('Option 1'!O174="","",'Option 1'!O174)</f>
        <v/>
      </c>
      <c r="P174" s="124">
        <f t="shared" si="12"/>
        <v>8303</v>
      </c>
    </row>
    <row r="175" spans="1:16" ht="15.75" customHeight="1" x14ac:dyDescent="0.25">
      <c r="A175" s="239"/>
      <c r="B175" s="4" t="str">
        <f>IF('Option 1'!B175="","",'Option 1'!B175)</f>
        <v/>
      </c>
      <c r="C175" s="188" t="str">
        <f>IF('Option 1'!C175="","",'Option 1'!C175)</f>
        <v>Sand Filters</v>
      </c>
      <c r="D175" s="186" t="str">
        <f>IF('Option 1'!D175="","",'Option 1'!D175)</f>
        <v/>
      </c>
      <c r="E175" s="184" t="str">
        <f>IF('Option 1'!E175="","",'Option 1'!E175)</f>
        <v/>
      </c>
      <c r="F175" s="184" t="str">
        <f>IF('Option 1'!F175="","",'Option 1'!F175)</f>
        <v/>
      </c>
      <c r="G175" s="184" t="str">
        <f>IF('Option 1'!G175="","",'Option 1'!G175)</f>
        <v/>
      </c>
      <c r="H175" s="184" t="str">
        <f>IF('Option 1'!H175="","",'Option 1'!H175)</f>
        <v/>
      </c>
      <c r="I175" s="184" t="str">
        <f>IF('Option 1'!I175="","",'Option 1'!I175)</f>
        <v/>
      </c>
      <c r="J175" s="184" t="str">
        <f>IF('Option 1'!J175="","",'Option 1'!J175)</f>
        <v/>
      </c>
      <c r="K175" s="184" t="str">
        <f>IF('Option 1'!K175="","",'Option 1'!K175)</f>
        <v/>
      </c>
      <c r="L175" s="184" t="str">
        <f>IF('Option 1'!L175="","",'Option 1'!L175)</f>
        <v/>
      </c>
      <c r="M175" s="184" t="str">
        <f>IF('Option 1'!M175="","",'Option 1'!M175)</f>
        <v/>
      </c>
      <c r="N175" s="184" t="str">
        <f>IF('Option 1'!N175="","",'Option 1'!N175)</f>
        <v/>
      </c>
      <c r="O175" s="184" t="str">
        <f>IF('Option 1'!O175="","",'Option 1'!O175)</f>
        <v/>
      </c>
      <c r="P175" s="124">
        <f t="shared" si="12"/>
        <v>0</v>
      </c>
    </row>
    <row r="176" spans="1:16" ht="15.75" customHeight="1" x14ac:dyDescent="0.25">
      <c r="A176" s="239"/>
      <c r="B176" s="4" t="str">
        <f>IF('Option 1'!B176="","",'Option 1'!B176)</f>
        <v/>
      </c>
      <c r="C176" s="188" t="str">
        <f>IF('Option 1'!C176="","",'Option 1'!C176)</f>
        <v xml:space="preserve">Pump </v>
      </c>
      <c r="D176" s="186" t="str">
        <f>IF('Option 1'!D176="","",'Option 1'!D176)</f>
        <v/>
      </c>
      <c r="E176" s="184" t="str">
        <f>IF('Option 1'!E176="","",'Option 1'!E176)</f>
        <v/>
      </c>
      <c r="F176" s="184" t="str">
        <f>IF('Option 1'!F176="","",'Option 1'!F176)</f>
        <v/>
      </c>
      <c r="G176" s="184" t="str">
        <f>IF('Option 1'!G176="","",'Option 1'!G176)</f>
        <v/>
      </c>
      <c r="H176" s="184">
        <f>IF('Option 1'!H176="","",'Option 1'!H176)</f>
        <v>6919</v>
      </c>
      <c r="I176" s="184" t="str">
        <f>IF('Option 1'!I176="","",'Option 1'!I176)</f>
        <v/>
      </c>
      <c r="J176" s="184" t="str">
        <f>IF('Option 1'!J176="","",'Option 1'!J176)</f>
        <v/>
      </c>
      <c r="K176" s="184" t="str">
        <f>IF('Option 1'!K176="","",'Option 1'!K176)</f>
        <v/>
      </c>
      <c r="L176" s="184" t="str">
        <f>IF('Option 1'!L176="","",'Option 1'!L176)</f>
        <v/>
      </c>
      <c r="M176" s="184" t="str">
        <f>IF('Option 1'!M176="","",'Option 1'!M176)</f>
        <v/>
      </c>
      <c r="N176" s="184" t="str">
        <f>IF('Option 1'!N176="","",'Option 1'!N176)</f>
        <v/>
      </c>
      <c r="O176" s="184" t="str">
        <f>IF('Option 1'!O176="","",'Option 1'!O176)</f>
        <v/>
      </c>
      <c r="P176" s="124">
        <f t="shared" si="12"/>
        <v>6919</v>
      </c>
    </row>
    <row r="177" spans="1:16" ht="15.75" customHeight="1" x14ac:dyDescent="0.25">
      <c r="A177" s="239"/>
      <c r="B177" s="4" t="str">
        <f>IF('Option 1'!B177="","",'Option 1'!B177)</f>
        <v/>
      </c>
      <c r="C177" s="188" t="str">
        <f>IF('Option 1'!C177="","",'Option 1'!C177)</f>
        <v>Pool Room Piping</v>
      </c>
      <c r="D177" s="186" t="str">
        <f>IF('Option 1'!D177="","",'Option 1'!D177)</f>
        <v/>
      </c>
      <c r="E177" s="184" t="str">
        <f>IF('Option 1'!E177="","",'Option 1'!E177)</f>
        <v/>
      </c>
      <c r="F177" s="184" t="str">
        <f>IF('Option 1'!F177="","",'Option 1'!F177)</f>
        <v/>
      </c>
      <c r="G177" s="184" t="str">
        <f>IF('Option 1'!G177="","",'Option 1'!G177)</f>
        <v/>
      </c>
      <c r="H177" s="184" t="str">
        <f>IF('Option 1'!H177="","",'Option 1'!H177)</f>
        <v/>
      </c>
      <c r="I177" s="184" t="str">
        <f>IF('Option 1'!I177="","",'Option 1'!I177)</f>
        <v/>
      </c>
      <c r="J177" s="184">
        <f>IF('Option 1'!J177="","",'Option 1'!J177)</f>
        <v>20758</v>
      </c>
      <c r="K177" s="184" t="str">
        <f>IF('Option 1'!K177="","",'Option 1'!K177)</f>
        <v/>
      </c>
      <c r="L177" s="184" t="str">
        <f>IF('Option 1'!L177="","",'Option 1'!L177)</f>
        <v/>
      </c>
      <c r="M177" s="184" t="str">
        <f>IF('Option 1'!M177="","",'Option 1'!M177)</f>
        <v/>
      </c>
      <c r="N177" s="184" t="str">
        <f>IF('Option 1'!N177="","",'Option 1'!N177)</f>
        <v/>
      </c>
      <c r="O177" s="184" t="str">
        <f>IF('Option 1'!O177="","",'Option 1'!O177)</f>
        <v/>
      </c>
      <c r="P177" s="124">
        <f t="shared" si="12"/>
        <v>20758</v>
      </c>
    </row>
    <row r="178" spans="1:16" ht="15.75" customHeight="1" x14ac:dyDescent="0.25">
      <c r="A178" s="239"/>
      <c r="B178" s="4" t="str">
        <f>IF('Option 1'!B178="","",'Option 1'!B178)</f>
        <v/>
      </c>
      <c r="C178" s="188" t="str">
        <f>IF('Option 1'!C178="","",'Option 1'!C178)</f>
        <v>Swimming Pool</v>
      </c>
      <c r="D178" s="186" t="str">
        <f>IF('Option 1'!D178="","",'Option 1'!D178)</f>
        <v/>
      </c>
      <c r="E178" s="184" t="str">
        <f>IF('Option 1'!E178="","",'Option 1'!E178)</f>
        <v/>
      </c>
      <c r="F178" s="184" t="str">
        <f>IF('Option 1'!F178="","",'Option 1'!F178)</f>
        <v/>
      </c>
      <c r="G178" s="184" t="str">
        <f>IF('Option 1'!G178="","",'Option 1'!G178)</f>
        <v/>
      </c>
      <c r="H178" s="184" t="str">
        <f>IF('Option 1'!H178="","",'Option 1'!H178)</f>
        <v/>
      </c>
      <c r="I178" s="184" t="str">
        <f>IF('Option 1'!I178="","",'Option 1'!I178)</f>
        <v/>
      </c>
      <c r="J178" s="184" t="str">
        <f>IF('Option 1'!J178="","",'Option 1'!J178)</f>
        <v/>
      </c>
      <c r="K178" s="184" t="str">
        <f>IF('Option 1'!K178="","",'Option 1'!K178)</f>
        <v/>
      </c>
      <c r="L178" s="184" t="str">
        <f>IF('Option 1'!L178="","",'Option 1'!L178)</f>
        <v/>
      </c>
      <c r="M178" s="184" t="str">
        <f>IF('Option 1'!M178="","",'Option 1'!M178)</f>
        <v/>
      </c>
      <c r="N178" s="184" t="str">
        <f>IF('Option 1'!N178="","",'Option 1'!N178)</f>
        <v/>
      </c>
      <c r="O178" s="184" t="str">
        <f>IF('Option 1'!O178="","",'Option 1'!O178)</f>
        <v/>
      </c>
      <c r="P178" s="124">
        <f t="shared" si="12"/>
        <v>0</v>
      </c>
    </row>
    <row r="179" spans="1:16" ht="15.75" customHeight="1" x14ac:dyDescent="0.25">
      <c r="A179" s="239"/>
      <c r="B179" s="4" t="str">
        <f>IF('Option 1'!B179="","",'Option 1'!B179)</f>
        <v/>
      </c>
      <c r="C179" s="188" t="str">
        <f>IF('Option 1'!C179="","",'Option 1'!C179)</f>
        <v>Concrete Pool Deck</v>
      </c>
      <c r="D179" s="186" t="str">
        <f>IF('Option 1'!D179="","",'Option 1'!D179)</f>
        <v/>
      </c>
      <c r="E179" s="184" t="str">
        <f>IF('Option 1'!E179="","",'Option 1'!E179)</f>
        <v/>
      </c>
      <c r="F179" s="184" t="str">
        <f>IF('Option 1'!F179="","",'Option 1'!F179)</f>
        <v/>
      </c>
      <c r="G179" s="184" t="str">
        <f>IF('Option 1'!G179="","",'Option 1'!G179)</f>
        <v/>
      </c>
      <c r="H179" s="184" t="str">
        <f>IF('Option 1'!H179="","",'Option 1'!H179)</f>
        <v/>
      </c>
      <c r="I179" s="184" t="str">
        <f>IF('Option 1'!I179="","",'Option 1'!I179)</f>
        <v/>
      </c>
      <c r="J179" s="184" t="str">
        <f>IF('Option 1'!J179="","",'Option 1'!J179)</f>
        <v/>
      </c>
      <c r="K179" s="184" t="str">
        <f>IF('Option 1'!K179="","",'Option 1'!K179)</f>
        <v/>
      </c>
      <c r="L179" s="184" t="str">
        <f>IF('Option 1'!L179="","",'Option 1'!L179)</f>
        <v/>
      </c>
      <c r="M179" s="184" t="str">
        <f>IF('Option 1'!M179="","",'Option 1'!M179)</f>
        <v/>
      </c>
      <c r="N179" s="184">
        <f>IF('Option 1'!N179="","",'Option 1'!N179)</f>
        <v>78025</v>
      </c>
      <c r="O179" s="184" t="str">
        <f>IF('Option 1'!O179="","",'Option 1'!O179)</f>
        <v/>
      </c>
      <c r="P179" s="124">
        <f t="shared" si="12"/>
        <v>78025</v>
      </c>
    </row>
    <row r="180" spans="1:16" ht="15.75" customHeight="1" x14ac:dyDescent="0.25">
      <c r="A180" s="239"/>
      <c r="B180" s="4" t="str">
        <f>IF('Option 1'!B180="","",'Option 1'!B180)</f>
        <v/>
      </c>
      <c r="C180" s="188" t="str">
        <f>IF('Option 1'!C180="","",'Option 1'!C180)</f>
        <v>Brick Picnic Deck</v>
      </c>
      <c r="D180" s="186" t="str">
        <f>IF('Option 1'!D180="","",'Option 1'!D180)</f>
        <v/>
      </c>
      <c r="E180" s="184" t="str">
        <f>IF('Option 1'!E180="","",'Option 1'!E180)</f>
        <v/>
      </c>
      <c r="F180" s="184" t="str">
        <f>IF('Option 1'!F180="","",'Option 1'!F180)</f>
        <v/>
      </c>
      <c r="G180" s="184" t="str">
        <f>IF('Option 1'!G180="","",'Option 1'!G180)</f>
        <v/>
      </c>
      <c r="H180" s="184" t="str">
        <f>IF('Option 1'!H180="","",'Option 1'!H180)</f>
        <v/>
      </c>
      <c r="I180" s="184" t="str">
        <f>IF('Option 1'!I180="","",'Option 1'!I180)</f>
        <v/>
      </c>
      <c r="J180" s="184" t="str">
        <f>IF('Option 1'!J180="","",'Option 1'!J180)</f>
        <v/>
      </c>
      <c r="K180" s="184" t="str">
        <f>IF('Option 1'!K180="","",'Option 1'!K180)</f>
        <v/>
      </c>
      <c r="L180" s="184" t="str">
        <f>IF('Option 1'!L180="","",'Option 1'!L180)</f>
        <v/>
      </c>
      <c r="M180" s="184" t="str">
        <f>IF('Option 1'!M180="","",'Option 1'!M180)</f>
        <v/>
      </c>
      <c r="N180" s="184" t="str">
        <f>IF('Option 1'!N180="","",'Option 1'!N180)</f>
        <v/>
      </c>
      <c r="O180" s="184" t="str">
        <f>IF('Option 1'!O180="","",'Option 1'!O180)</f>
        <v/>
      </c>
      <c r="P180" s="124">
        <f t="shared" si="12"/>
        <v>0</v>
      </c>
    </row>
    <row r="181" spans="1:16" ht="15.75" customHeight="1" x14ac:dyDescent="0.25">
      <c r="A181" s="239"/>
      <c r="B181" s="4" t="str">
        <f>IF('Option 1'!B181="","",'Option 1'!B181)</f>
        <v/>
      </c>
      <c r="C181" s="188" t="str">
        <f>IF('Option 1'!C181="","",'Option 1'!C181)</f>
        <v>Tennis Court Net and Posts</v>
      </c>
      <c r="D181" s="186">
        <f>IF('Option 1'!D181="","",'Option 1'!D181)</f>
        <v>4000</v>
      </c>
      <c r="E181" s="184" t="str">
        <f>IF('Option 1'!E181="","",'Option 1'!E181)</f>
        <v/>
      </c>
      <c r="F181" s="184" t="str">
        <f>IF('Option 1'!F181="","",'Option 1'!F181)</f>
        <v/>
      </c>
      <c r="G181" s="184" t="str">
        <f>IF('Option 1'!G181="","",'Option 1'!G181)</f>
        <v/>
      </c>
      <c r="H181" s="184" t="str">
        <f>IF('Option 1'!H181="","",'Option 1'!H181)</f>
        <v/>
      </c>
      <c r="I181" s="184" t="str">
        <f>IF('Option 1'!I181="","",'Option 1'!I181)</f>
        <v/>
      </c>
      <c r="J181" s="184" t="str">
        <f>IF('Option 1'!J181="","",'Option 1'!J181)</f>
        <v/>
      </c>
      <c r="K181" s="184" t="str">
        <f>IF('Option 1'!K181="","",'Option 1'!K181)</f>
        <v/>
      </c>
      <c r="L181" s="184" t="str">
        <f>IF('Option 1'!L181="","",'Option 1'!L181)</f>
        <v/>
      </c>
      <c r="M181" s="184" t="str">
        <f>IF('Option 1'!M181="","",'Option 1'!M181)</f>
        <v/>
      </c>
      <c r="N181" s="184" t="str">
        <f>IF('Option 1'!N181="","",'Option 1'!N181)</f>
        <v/>
      </c>
      <c r="O181" s="184" t="str">
        <f>IF('Option 1'!O181="","",'Option 1'!O181)</f>
        <v/>
      </c>
      <c r="P181" s="124">
        <f t="shared" si="12"/>
        <v>4000</v>
      </c>
    </row>
    <row r="182" spans="1:16" ht="15.75" customHeight="1" x14ac:dyDescent="0.25">
      <c r="A182" s="239"/>
      <c r="B182" s="4" t="str">
        <f>IF('Option 1'!B182="","",'Option 1'!B182)</f>
        <v/>
      </c>
      <c r="C182" s="188" t="str">
        <f>IF('Option 1'!C182="","",'Option 1'!C182)</f>
        <v>Tennis Court - Overlay</v>
      </c>
      <c r="D182" s="186" t="str">
        <f>IF('Option 1'!D182="","",'Option 1'!D182)</f>
        <v/>
      </c>
      <c r="E182" s="184" t="str">
        <f>IF('Option 1'!E182="","",'Option 1'!E182)</f>
        <v/>
      </c>
      <c r="F182" s="184" t="str">
        <f>IF('Option 1'!F182="","",'Option 1'!F182)</f>
        <v/>
      </c>
      <c r="G182" s="184" t="str">
        <f>IF('Option 1'!G182="","",'Option 1'!G182)</f>
        <v/>
      </c>
      <c r="H182" s="184" t="str">
        <f>IF('Option 1'!H182="","",'Option 1'!H182)</f>
        <v/>
      </c>
      <c r="I182" s="184">
        <f>IF('Option 1'!I182="","",'Option 1'!I182)</f>
        <v>165000</v>
      </c>
      <c r="J182" s="184" t="str">
        <f>IF('Option 1'!J182="","",'Option 1'!J182)</f>
        <v/>
      </c>
      <c r="K182" s="184" t="str">
        <f>IF('Option 1'!K182="","",'Option 1'!K182)</f>
        <v/>
      </c>
      <c r="L182" s="184" t="str">
        <f>IF('Option 1'!L182="","",'Option 1'!L182)</f>
        <v/>
      </c>
      <c r="M182" s="184" t="str">
        <f>IF('Option 1'!M182="","",'Option 1'!M182)</f>
        <v/>
      </c>
      <c r="N182" s="184" t="str">
        <f>IF('Option 1'!N182="","",'Option 1'!N182)</f>
        <v/>
      </c>
      <c r="O182" s="184" t="str">
        <f>IF('Option 1'!O182="","",'Option 1'!O182)</f>
        <v/>
      </c>
      <c r="P182" s="124">
        <f t="shared" si="12"/>
        <v>165000</v>
      </c>
    </row>
    <row r="183" spans="1:16" ht="15.75" customHeight="1" x14ac:dyDescent="0.25">
      <c r="A183" s="239"/>
      <c r="B183" s="4" t="str">
        <f>IF('Option 1'!B183="","",'Option 1'!B183)</f>
        <v/>
      </c>
      <c r="C183" s="188" t="str">
        <f>IF('Option 1'!C183="","",'Option 1'!C183)</f>
        <v>Tennis Court Fence (10')</v>
      </c>
      <c r="D183" s="186" t="str">
        <f>IF('Option 1'!D183="","",'Option 1'!D183)</f>
        <v/>
      </c>
      <c r="E183" s="184" t="str">
        <f>IF('Option 1'!E183="","",'Option 1'!E183)</f>
        <v/>
      </c>
      <c r="F183" s="184" t="str">
        <f>IF('Option 1'!F183="","",'Option 1'!F183)</f>
        <v/>
      </c>
      <c r="G183" s="184" t="str">
        <f>IF('Option 1'!G183="","",'Option 1'!G183)</f>
        <v/>
      </c>
      <c r="H183" s="184" t="str">
        <f>IF('Option 1'!H183="","",'Option 1'!H183)</f>
        <v/>
      </c>
      <c r="I183" s="184" t="str">
        <f>IF('Option 1'!I183="","",'Option 1'!I183)</f>
        <v/>
      </c>
      <c r="J183" s="184" t="str">
        <f>IF('Option 1'!J183="","",'Option 1'!J183)</f>
        <v/>
      </c>
      <c r="K183" s="184" t="str">
        <f>IF('Option 1'!K183="","",'Option 1'!K183)</f>
        <v/>
      </c>
      <c r="L183" s="184" t="str">
        <f>IF('Option 1'!L183="","",'Option 1'!L183)</f>
        <v/>
      </c>
      <c r="M183" s="184" t="str">
        <f>IF('Option 1'!M183="","",'Option 1'!M183)</f>
        <v/>
      </c>
      <c r="N183" s="184" t="str">
        <f>IF('Option 1'!N183="","",'Option 1'!N183)</f>
        <v/>
      </c>
      <c r="O183" s="184" t="str">
        <f>IF('Option 1'!O183="","",'Option 1'!O183)</f>
        <v/>
      </c>
      <c r="P183" s="124">
        <f t="shared" si="12"/>
        <v>0</v>
      </c>
    </row>
    <row r="184" spans="1:16" ht="15.75" customHeight="1" x14ac:dyDescent="0.25">
      <c r="A184" s="239"/>
      <c r="B184" s="4" t="str">
        <f>IF('Option 1'!B184="","",'Option 1'!B184)</f>
        <v/>
      </c>
      <c r="C184" s="188" t="str">
        <f>IF('Option 1'!C184="","",'Option 1'!C184)</f>
        <v>Pool Furniture</v>
      </c>
      <c r="D184" s="186" t="str">
        <f>IF('Option 1'!D184="","",'Option 1'!D184)</f>
        <v/>
      </c>
      <c r="E184" s="184" t="str">
        <f>IF('Option 1'!E184="","",'Option 1'!E184)</f>
        <v/>
      </c>
      <c r="F184" s="184" t="str">
        <f>IF('Option 1'!F184="","",'Option 1'!F184)</f>
        <v/>
      </c>
      <c r="G184" s="184" t="str">
        <f>IF('Option 1'!G184="","",'Option 1'!G184)</f>
        <v/>
      </c>
      <c r="H184" s="184">
        <f>IF('Option 1'!H184="","",'Option 1'!H184)</f>
        <v>20758</v>
      </c>
      <c r="I184" s="184" t="str">
        <f>IF('Option 1'!I184="","",'Option 1'!I184)</f>
        <v/>
      </c>
      <c r="J184" s="184" t="str">
        <f>IF('Option 1'!J184="","",'Option 1'!J184)</f>
        <v/>
      </c>
      <c r="K184" s="184" t="str">
        <f>IF('Option 1'!K184="","",'Option 1'!K184)</f>
        <v/>
      </c>
      <c r="L184" s="184" t="str">
        <f>IF('Option 1'!L184="","",'Option 1'!L184)</f>
        <v/>
      </c>
      <c r="M184" s="184">
        <f>IF('Option 1'!M184="","",'Option 1'!M184)</f>
        <v>20758</v>
      </c>
      <c r="N184" s="184" t="str">
        <f>IF('Option 1'!N184="","",'Option 1'!N184)</f>
        <v/>
      </c>
      <c r="O184" s="184" t="str">
        <f>IF('Option 1'!O184="","",'Option 1'!O184)</f>
        <v/>
      </c>
      <c r="P184" s="124">
        <f t="shared" si="12"/>
        <v>41516</v>
      </c>
    </row>
    <row r="185" spans="1:16" ht="15.75" customHeight="1" x14ac:dyDescent="0.25">
      <c r="A185" s="239"/>
      <c r="B185" s="4" t="str">
        <f>IF('Option 1'!B185="","",'Option 1'!B185)</f>
        <v/>
      </c>
      <c r="C185" s="188" t="str">
        <f>IF('Option 1'!C185="","",'Option 1'!C185)</f>
        <v>Pool Chainlink Fence</v>
      </c>
      <c r="D185" s="186" t="str">
        <f>IF('Option 1'!D185="","",'Option 1'!D185)</f>
        <v/>
      </c>
      <c r="E185" s="184" t="str">
        <f>IF('Option 1'!E185="","",'Option 1'!E185)</f>
        <v/>
      </c>
      <c r="F185" s="184" t="str">
        <f>IF('Option 1'!F185="","",'Option 1'!F185)</f>
        <v/>
      </c>
      <c r="G185" s="184" t="str">
        <f>IF('Option 1'!G185="","",'Option 1'!G185)</f>
        <v/>
      </c>
      <c r="H185" s="184">
        <f>IF('Option 1'!H185="","",'Option 1'!H185)</f>
        <v>5928</v>
      </c>
      <c r="I185" s="184" t="str">
        <f>IF('Option 1'!I185="","",'Option 1'!I185)</f>
        <v/>
      </c>
      <c r="J185" s="184" t="str">
        <f>IF('Option 1'!J185="","",'Option 1'!J185)</f>
        <v/>
      </c>
      <c r="K185" s="184" t="str">
        <f>IF('Option 1'!K185="","",'Option 1'!K185)</f>
        <v/>
      </c>
      <c r="L185" s="184" t="str">
        <f>IF('Option 1'!L185="","",'Option 1'!L185)</f>
        <v/>
      </c>
      <c r="M185" s="184" t="str">
        <f>IF('Option 1'!M185="","",'Option 1'!M185)</f>
        <v/>
      </c>
      <c r="N185" s="184" t="str">
        <f>IF('Option 1'!N185="","",'Option 1'!N185)</f>
        <v/>
      </c>
      <c r="O185" s="184" t="str">
        <f>IF('Option 1'!O185="","",'Option 1'!O185)</f>
        <v/>
      </c>
      <c r="P185" s="124">
        <f t="shared" si="12"/>
        <v>5928</v>
      </c>
    </row>
    <row r="186" spans="1:16" ht="15.75" customHeight="1" x14ac:dyDescent="0.25">
      <c r="A186" s="239"/>
      <c r="B186" s="4" t="str">
        <f>IF('Option 1'!B186="","",'Option 1'!B186)</f>
        <v/>
      </c>
      <c r="C186" s="188" t="str">
        <f>IF('Option 1'!C186="","",'Option 1'!C186)</f>
        <v>Pool Gutters</v>
      </c>
      <c r="D186" s="186" t="str">
        <f>IF('Option 1'!D186="","",'Option 1'!D186)</f>
        <v/>
      </c>
      <c r="E186" s="184" t="str">
        <f>IF('Option 1'!E186="","",'Option 1'!E186)</f>
        <v/>
      </c>
      <c r="F186" s="184" t="str">
        <f>IF('Option 1'!F186="","",'Option 1'!F186)</f>
        <v/>
      </c>
      <c r="G186" s="184" t="str">
        <f>IF('Option 1'!G186="","",'Option 1'!G186)</f>
        <v/>
      </c>
      <c r="H186" s="184" t="str">
        <f>IF('Option 1'!H186="","",'Option 1'!H186)</f>
        <v/>
      </c>
      <c r="I186" s="184" t="str">
        <f>IF('Option 1'!I186="","",'Option 1'!I186)</f>
        <v/>
      </c>
      <c r="J186" s="184" t="str">
        <f>IF('Option 1'!J186="","",'Option 1'!J186)</f>
        <v/>
      </c>
      <c r="K186" s="184" t="str">
        <f>IF('Option 1'!K186="","",'Option 1'!K186)</f>
        <v/>
      </c>
      <c r="L186" s="184" t="str">
        <f>IF('Option 1'!L186="","",'Option 1'!L186)</f>
        <v/>
      </c>
      <c r="M186" s="184" t="str">
        <f>IF('Option 1'!M186="","",'Option 1'!M186)</f>
        <v/>
      </c>
      <c r="N186" s="184" t="str">
        <f>IF('Option 1'!N186="","",'Option 1'!N186)</f>
        <v/>
      </c>
      <c r="O186" s="184" t="str">
        <f>IF('Option 1'!O186="","",'Option 1'!O186)</f>
        <v/>
      </c>
      <c r="P186" s="124">
        <f t="shared" si="12"/>
        <v>0</v>
      </c>
    </row>
    <row r="187" spans="1:16" ht="15.75" customHeight="1" x14ac:dyDescent="0.25">
      <c r="A187" s="239"/>
      <c r="B187" s="4" t="str">
        <f>IF('Option 1'!B187="","",'Option 1'!B187)</f>
        <v/>
      </c>
      <c r="C187" s="188" t="str">
        <f>IF('Option 1'!C187="","",'Option 1'!C187)</f>
        <v>Pool Resurfacing</v>
      </c>
      <c r="D187" s="186" t="str">
        <f>IF('Option 1'!D187="","",'Option 1'!D187)</f>
        <v/>
      </c>
      <c r="E187" s="184" t="str">
        <f>IF('Option 1'!E187="","",'Option 1'!E187)</f>
        <v/>
      </c>
      <c r="F187" s="184" t="str">
        <f>IF('Option 1'!F187="","",'Option 1'!F187)</f>
        <v/>
      </c>
      <c r="G187" s="184" t="str">
        <f>IF('Option 1'!G187="","",'Option 1'!G187)</f>
        <v/>
      </c>
      <c r="H187" s="184" t="str">
        <f>IF('Option 1'!H187="","",'Option 1'!H187)</f>
        <v/>
      </c>
      <c r="I187" s="184" t="str">
        <f>IF('Option 1'!I187="","",'Option 1'!I187)</f>
        <v/>
      </c>
      <c r="J187" s="184" t="str">
        <f>IF('Option 1'!J187="","",'Option 1'!J187)</f>
        <v/>
      </c>
      <c r="K187" s="184" t="str">
        <f>IF('Option 1'!K187="","",'Option 1'!K187)</f>
        <v/>
      </c>
      <c r="L187" s="184" t="str">
        <f>IF('Option 1'!L187="","",'Option 1'!L187)</f>
        <v/>
      </c>
      <c r="M187" s="184" t="str">
        <f>IF('Option 1'!M187="","",'Option 1'!M187)</f>
        <v/>
      </c>
      <c r="N187" s="184">
        <f>IF('Option 1'!N187="","",'Option 1'!N187)</f>
        <v>20000</v>
      </c>
      <c r="O187" s="184" t="str">
        <f>IF('Option 1'!O187="","",'Option 1'!O187)</f>
        <v/>
      </c>
      <c r="P187" s="124">
        <f t="shared" si="12"/>
        <v>20000</v>
      </c>
    </row>
    <row r="188" spans="1:16" ht="15.75" customHeight="1" x14ac:dyDescent="0.25">
      <c r="A188" s="239"/>
      <c r="B188" s="4" t="str">
        <f>IF('Option 1'!B188="","",'Option 1'!B188)</f>
        <v/>
      </c>
      <c r="C188" s="188" t="str">
        <f>IF('Option 1'!C188="","",'Option 1'!C188)</f>
        <v>Landscape - Crab Trees</v>
      </c>
      <c r="D188" s="186" t="str">
        <f>IF('Option 1'!D188="","",'Option 1'!D188)</f>
        <v/>
      </c>
      <c r="E188" s="184" t="str">
        <f>IF('Option 1'!E188="","",'Option 1'!E188)</f>
        <v/>
      </c>
      <c r="F188" s="184" t="str">
        <f>IF('Option 1'!F188="","",'Option 1'!F188)</f>
        <v/>
      </c>
      <c r="G188" s="184" t="str">
        <f>IF('Option 1'!G188="","",'Option 1'!G188)</f>
        <v/>
      </c>
      <c r="H188" s="184">
        <f>IF('Option 1'!H188="","",'Option 1'!H188)</f>
        <v>7000</v>
      </c>
      <c r="I188" s="184" t="str">
        <f>IF('Option 1'!I188="","",'Option 1'!I188)</f>
        <v/>
      </c>
      <c r="J188" s="184" t="str">
        <f>IF('Option 1'!J188="","",'Option 1'!J188)</f>
        <v/>
      </c>
      <c r="K188" s="184" t="str">
        <f>IF('Option 1'!K188="","",'Option 1'!K188)</f>
        <v/>
      </c>
      <c r="L188" s="184" t="str">
        <f>IF('Option 1'!L188="","",'Option 1'!L188)</f>
        <v/>
      </c>
      <c r="M188" s="184" t="str">
        <f>IF('Option 1'!M188="","",'Option 1'!M188)</f>
        <v/>
      </c>
      <c r="N188" s="184" t="str">
        <f>IF('Option 1'!N188="","",'Option 1'!N188)</f>
        <v/>
      </c>
      <c r="O188" s="184" t="str">
        <f>IF('Option 1'!O188="","",'Option 1'!O188)</f>
        <v/>
      </c>
      <c r="P188" s="124">
        <f t="shared" si="12"/>
        <v>7000</v>
      </c>
    </row>
    <row r="189" spans="1:16" ht="15.75" customHeight="1" x14ac:dyDescent="0.25">
      <c r="A189" s="239"/>
      <c r="B189" s="4" t="str">
        <f>IF('Option 1'!B189="","",'Option 1'!B189)</f>
        <v/>
      </c>
      <c r="C189" s="188" t="str">
        <f>IF('Option 1'!C189="","",'Option 1'!C189)</f>
        <v>Landscape - Tree Removal</v>
      </c>
      <c r="D189" s="186" t="str">
        <f>IF('Option 1'!D189="","",'Option 1'!D189)</f>
        <v/>
      </c>
      <c r="E189" s="184" t="str">
        <f>IF('Option 1'!E189="","",'Option 1'!E189)</f>
        <v/>
      </c>
      <c r="F189" s="184" t="str">
        <f>IF('Option 1'!F189="","",'Option 1'!F189)</f>
        <v/>
      </c>
      <c r="G189" s="184" t="str">
        <f>IF('Option 1'!G189="","",'Option 1'!G189)</f>
        <v/>
      </c>
      <c r="H189" s="184">
        <f>IF('Option 1'!H189="","",'Option 1'!H189)</f>
        <v>3000</v>
      </c>
      <c r="I189" s="184" t="str">
        <f>IF('Option 1'!I189="","",'Option 1'!I189)</f>
        <v/>
      </c>
      <c r="J189" s="184" t="str">
        <f>IF('Option 1'!J189="","",'Option 1'!J189)</f>
        <v/>
      </c>
      <c r="K189" s="184" t="str">
        <f>IF('Option 1'!K189="","",'Option 1'!K189)</f>
        <v/>
      </c>
      <c r="L189" s="184" t="str">
        <f>IF('Option 1'!L189="","",'Option 1'!L189)</f>
        <v/>
      </c>
      <c r="M189" s="184" t="str">
        <f>IF('Option 1'!M189="","",'Option 1'!M189)</f>
        <v/>
      </c>
      <c r="N189" s="184" t="str">
        <f>IF('Option 1'!N189="","",'Option 1'!N189)</f>
        <v/>
      </c>
      <c r="O189" s="184" t="str">
        <f>IF('Option 1'!O189="","",'Option 1'!O189)</f>
        <v/>
      </c>
      <c r="P189" s="124">
        <f t="shared" si="12"/>
        <v>3000</v>
      </c>
    </row>
    <row r="190" spans="1:16" ht="15.75" customHeight="1" x14ac:dyDescent="0.25">
      <c r="A190" s="239"/>
      <c r="B190" s="4" t="str">
        <f>IF('Option 1'!B190="","",'Option 1'!B190)</f>
        <v/>
      </c>
      <c r="C190" s="188" t="str">
        <f>IF('Option 1'!C190="","",'Option 1'!C190)</f>
        <v>Landscape - Other Tree Removal</v>
      </c>
      <c r="D190" s="186" t="str">
        <f>IF('Option 1'!D190="","",'Option 1'!D190)</f>
        <v/>
      </c>
      <c r="E190" s="184" t="str">
        <f>IF('Option 1'!E190="","",'Option 1'!E190)</f>
        <v/>
      </c>
      <c r="F190" s="184" t="str">
        <f>IF('Option 1'!F190="","",'Option 1'!F190)</f>
        <v/>
      </c>
      <c r="G190" s="184" t="str">
        <f>IF('Option 1'!G190="","",'Option 1'!G190)</f>
        <v/>
      </c>
      <c r="H190" s="184">
        <f>IF('Option 1'!H190="","",'Option 1'!H190)</f>
        <v>2100</v>
      </c>
      <c r="I190" s="184" t="str">
        <f>IF('Option 1'!I190="","",'Option 1'!I190)</f>
        <v/>
      </c>
      <c r="J190" s="184" t="str">
        <f>IF('Option 1'!J190="","",'Option 1'!J190)</f>
        <v/>
      </c>
      <c r="K190" s="184" t="str">
        <f>IF('Option 1'!K190="","",'Option 1'!K190)</f>
        <v/>
      </c>
      <c r="L190" s="184" t="str">
        <f>IF('Option 1'!L190="","",'Option 1'!L190)</f>
        <v/>
      </c>
      <c r="M190" s="184" t="str">
        <f>IF('Option 1'!M190="","",'Option 1'!M190)</f>
        <v/>
      </c>
      <c r="N190" s="184" t="str">
        <f>IF('Option 1'!N190="","",'Option 1'!N190)</f>
        <v/>
      </c>
      <c r="O190" s="184" t="str">
        <f>IF('Option 1'!O190="","",'Option 1'!O190)</f>
        <v/>
      </c>
      <c r="P190" s="124">
        <f t="shared" si="12"/>
        <v>2100</v>
      </c>
    </row>
    <row r="191" spans="1:16" ht="15.75" customHeight="1" x14ac:dyDescent="0.25">
      <c r="A191" s="239"/>
      <c r="B191" s="4" t="str">
        <f>IF('Option 1'!B191="","",'Option 1'!B191)</f>
        <v/>
      </c>
      <c r="C191" s="188" t="str">
        <f>IF('Option 1'!C191="","",'Option 1'!C191)</f>
        <v>Landscape - Ash Tree Removal</v>
      </c>
      <c r="D191" s="186" t="str">
        <f>IF('Option 1'!D191="","",'Option 1'!D191)</f>
        <v/>
      </c>
      <c r="E191" s="184" t="str">
        <f>IF('Option 1'!E191="","",'Option 1'!E191)</f>
        <v/>
      </c>
      <c r="F191" s="184" t="str">
        <f>IF('Option 1'!F191="","",'Option 1'!F191)</f>
        <v/>
      </c>
      <c r="G191" s="184" t="str">
        <f>IF('Option 1'!G191="","",'Option 1'!G191)</f>
        <v/>
      </c>
      <c r="H191" s="184">
        <f>IF('Option 1'!H191="","",'Option 1'!H191)</f>
        <v>8000</v>
      </c>
      <c r="I191" s="184" t="str">
        <f>IF('Option 1'!I191="","",'Option 1'!I191)</f>
        <v/>
      </c>
      <c r="J191" s="184" t="str">
        <f>IF('Option 1'!J191="","",'Option 1'!J191)</f>
        <v/>
      </c>
      <c r="K191" s="184" t="str">
        <f>IF('Option 1'!K191="","",'Option 1'!K191)</f>
        <v/>
      </c>
      <c r="L191" s="184" t="str">
        <f>IF('Option 1'!L191="","",'Option 1'!L191)</f>
        <v/>
      </c>
      <c r="M191" s="184" t="str">
        <f>IF('Option 1'!M191="","",'Option 1'!M191)</f>
        <v/>
      </c>
      <c r="N191" s="184" t="str">
        <f>IF('Option 1'!N191="","",'Option 1'!N191)</f>
        <v/>
      </c>
      <c r="O191" s="184" t="str">
        <f>IF('Option 1'!O191="","",'Option 1'!O191)</f>
        <v/>
      </c>
      <c r="P191" s="124">
        <f t="shared" si="12"/>
        <v>8000</v>
      </c>
    </row>
    <row r="192" spans="1:16" ht="15.75" customHeight="1" x14ac:dyDescent="0.25">
      <c r="A192" s="239"/>
      <c r="B192" s="4" t="str">
        <f>IF('Option 1'!B192="","",'Option 1'!B192)</f>
        <v/>
      </c>
      <c r="C192" s="3" t="str">
        <f>IF('Option 1'!C192="","",'Option 1'!C192)</f>
        <v>Mechanical Elements</v>
      </c>
      <c r="D192" s="186" t="str">
        <f>IF('Option 1'!D192="","",'Option 1'!D192)</f>
        <v/>
      </c>
      <c r="E192" s="184" t="str">
        <f>IF('Option 1'!E192="","",'Option 1'!E192)</f>
        <v/>
      </c>
      <c r="F192" s="184" t="str">
        <f>IF('Option 1'!F192="","",'Option 1'!F192)</f>
        <v/>
      </c>
      <c r="G192" s="184" t="str">
        <f>IF('Option 1'!G192="","",'Option 1'!G192)</f>
        <v/>
      </c>
      <c r="H192" s="184" t="str">
        <f>IF('Option 1'!H192="","",'Option 1'!H192)</f>
        <v/>
      </c>
      <c r="I192" s="184" t="str">
        <f>IF('Option 1'!I192="","",'Option 1'!I192)</f>
        <v/>
      </c>
      <c r="J192" s="184" t="str">
        <f>IF('Option 1'!J192="","",'Option 1'!J192)</f>
        <v/>
      </c>
      <c r="K192" s="184" t="str">
        <f>IF('Option 1'!K192="","",'Option 1'!K192)</f>
        <v/>
      </c>
      <c r="L192" s="184" t="str">
        <f>IF('Option 1'!L192="","",'Option 1'!L192)</f>
        <v/>
      </c>
      <c r="M192" s="184" t="str">
        <f>IF('Option 1'!M192="","",'Option 1'!M192)</f>
        <v/>
      </c>
      <c r="N192" s="184" t="str">
        <f>IF('Option 1'!N192="","",'Option 1'!N192)</f>
        <v/>
      </c>
      <c r="O192" s="184" t="str">
        <f>IF('Option 1'!O192="","",'Option 1'!O192)</f>
        <v/>
      </c>
      <c r="P192" s="124">
        <f t="shared" si="12"/>
        <v>0</v>
      </c>
    </row>
    <row r="193" spans="1:16" ht="15.75" customHeight="1" x14ac:dyDescent="0.25">
      <c r="A193" s="239"/>
      <c r="B193" s="4" t="str">
        <f>IF('Option 1'!B193="","",'Option 1'!B193)</f>
        <v/>
      </c>
      <c r="C193" s="188" t="str">
        <f>IF('Option 1'!C193="","",'Option 1'!C193)</f>
        <v>Furnace</v>
      </c>
      <c r="D193" s="186" t="str">
        <f>IF('Option 1'!D193="","",'Option 1'!D193)</f>
        <v/>
      </c>
      <c r="E193" s="184" t="str">
        <f>IF('Option 1'!E193="","",'Option 1'!E193)</f>
        <v/>
      </c>
      <c r="F193" s="184" t="str">
        <f>IF('Option 1'!F193="","",'Option 1'!F193)</f>
        <v/>
      </c>
      <c r="G193" s="184">
        <f>IF('Option 1'!G193="","",'Option 1'!G193)</f>
        <v>3460</v>
      </c>
      <c r="H193" s="184" t="str">
        <f>IF('Option 1'!H193="","",'Option 1'!H193)</f>
        <v/>
      </c>
      <c r="I193" s="184" t="str">
        <f>IF('Option 1'!I193="","",'Option 1'!I193)</f>
        <v/>
      </c>
      <c r="J193" s="184" t="str">
        <f>IF('Option 1'!J193="","",'Option 1'!J193)</f>
        <v/>
      </c>
      <c r="K193" s="184" t="str">
        <f>IF('Option 1'!K193="","",'Option 1'!K193)</f>
        <v/>
      </c>
      <c r="L193" s="184" t="str">
        <f>IF('Option 1'!L193="","",'Option 1'!L193)</f>
        <v/>
      </c>
      <c r="M193" s="184" t="str">
        <f>IF('Option 1'!M193="","",'Option 1'!M193)</f>
        <v/>
      </c>
      <c r="N193" s="184" t="str">
        <f>IF('Option 1'!N193="","",'Option 1'!N193)</f>
        <v/>
      </c>
      <c r="O193" s="184" t="str">
        <f>IF('Option 1'!O193="","",'Option 1'!O193)</f>
        <v/>
      </c>
      <c r="P193" s="124">
        <f t="shared" si="12"/>
        <v>3460</v>
      </c>
    </row>
    <row r="194" spans="1:16" ht="15.75" customHeight="1" x14ac:dyDescent="0.25">
      <c r="A194" s="239"/>
      <c r="B194" s="4" t="str">
        <f>IF('Option 1'!B194="","",'Option 1'!B194)</f>
        <v/>
      </c>
      <c r="C194" s="188" t="str">
        <f>IF('Option 1'!C194="","",'Option 1'!C194)</f>
        <v>Rooftop HVAC Units - 1519 Clubhouse</v>
      </c>
      <c r="D194" s="186" t="str">
        <f>IF('Option 1'!D194="","",'Option 1'!D194)</f>
        <v/>
      </c>
      <c r="E194" s="184" t="str">
        <f>IF('Option 1'!E194="","",'Option 1'!E194)</f>
        <v/>
      </c>
      <c r="F194" s="184" t="str">
        <f>IF('Option 1'!F194="","",'Option 1'!F194)</f>
        <v/>
      </c>
      <c r="G194" s="184" t="str">
        <f>IF('Option 1'!G194="","",'Option 1'!G194)</f>
        <v/>
      </c>
      <c r="H194" s="184" t="str">
        <f>IF('Option 1'!H194="","",'Option 1'!H194)</f>
        <v/>
      </c>
      <c r="I194" s="184" t="str">
        <f>IF('Option 1'!I194="","",'Option 1'!I194)</f>
        <v/>
      </c>
      <c r="J194" s="184" t="str">
        <f>IF('Option 1'!J194="","",'Option 1'!J194)</f>
        <v/>
      </c>
      <c r="K194" s="184" t="str">
        <f>IF('Option 1'!K194="","",'Option 1'!K194)</f>
        <v/>
      </c>
      <c r="L194" s="184" t="str">
        <f>IF('Option 1'!L194="","",'Option 1'!L194)</f>
        <v/>
      </c>
      <c r="M194" s="184" t="str">
        <f>IF('Option 1'!M194="","",'Option 1'!M194)</f>
        <v/>
      </c>
      <c r="N194" s="184" t="str">
        <f>IF('Option 1'!N194="","",'Option 1'!N194)</f>
        <v/>
      </c>
      <c r="O194" s="184" t="str">
        <f>IF('Option 1'!O194="","",'Option 1'!O194)</f>
        <v/>
      </c>
      <c r="P194" s="124">
        <f t="shared" si="12"/>
        <v>0</v>
      </c>
    </row>
    <row r="195" spans="1:16" ht="15.75" customHeight="1" x14ac:dyDescent="0.25">
      <c r="A195" s="239"/>
      <c r="B195" s="4" t="str">
        <f>IF('Option 1'!B195="","",'Option 1'!B195)</f>
        <v/>
      </c>
      <c r="C195" s="188" t="str">
        <f>IF('Option 1'!C195="","",'Option 1'!C195)</f>
        <v>Hot Water Heater</v>
      </c>
      <c r="D195" s="186" t="str">
        <f>IF('Option 1'!D195="","",'Option 1'!D195)</f>
        <v/>
      </c>
      <c r="E195" s="184" t="str">
        <f>IF('Option 1'!E195="","",'Option 1'!E195)</f>
        <v/>
      </c>
      <c r="F195" s="184">
        <f>IF('Option 1'!F195="","",'Option 1'!F195)</f>
        <v>1384</v>
      </c>
      <c r="G195" s="184" t="str">
        <f>IF('Option 1'!G195="","",'Option 1'!G195)</f>
        <v/>
      </c>
      <c r="H195" s="184" t="str">
        <f>IF('Option 1'!H195="","",'Option 1'!H195)</f>
        <v/>
      </c>
      <c r="I195" s="184" t="str">
        <f>IF('Option 1'!I195="","",'Option 1'!I195)</f>
        <v/>
      </c>
      <c r="J195" s="184" t="str">
        <f>IF('Option 1'!J195="","",'Option 1'!J195)</f>
        <v/>
      </c>
      <c r="K195" s="184" t="str">
        <f>IF('Option 1'!K195="","",'Option 1'!K195)</f>
        <v/>
      </c>
      <c r="L195" s="184" t="str">
        <f>IF('Option 1'!L195="","",'Option 1'!L195)</f>
        <v/>
      </c>
      <c r="M195" s="184" t="str">
        <f>IF('Option 1'!M195="","",'Option 1'!M195)</f>
        <v/>
      </c>
      <c r="N195" s="184" t="str">
        <f>IF('Option 1'!N195="","",'Option 1'!N195)</f>
        <v/>
      </c>
      <c r="O195" s="184" t="str">
        <f>IF('Option 1'!O195="","",'Option 1'!O195)</f>
        <v/>
      </c>
      <c r="P195" s="124">
        <f t="shared" si="12"/>
        <v>1384</v>
      </c>
    </row>
    <row r="196" spans="1:16" ht="15.75" customHeight="1" x14ac:dyDescent="0.25">
      <c r="A196" s="239"/>
      <c r="B196" s="4" t="str">
        <f>IF('Option 1'!B196="","",'Option 1'!B196)</f>
        <v/>
      </c>
      <c r="C196" s="188" t="str">
        <f>IF('Option 1'!C196="","",'Option 1'!C196)</f>
        <v>Vestibule Heaters</v>
      </c>
      <c r="D196" s="186" t="str">
        <f>IF('Option 1'!D196="","",'Option 1'!D196)</f>
        <v/>
      </c>
      <c r="E196" s="184" t="str">
        <f>IF('Option 1'!E196="","",'Option 1'!E196)</f>
        <v/>
      </c>
      <c r="F196" s="184" t="str">
        <f>IF('Option 1'!F196="","",'Option 1'!F196)</f>
        <v/>
      </c>
      <c r="G196" s="184" t="str">
        <f>IF('Option 1'!G196="","",'Option 1'!G196)</f>
        <v/>
      </c>
      <c r="H196" s="184" t="str">
        <f>IF('Option 1'!H196="","",'Option 1'!H196)</f>
        <v/>
      </c>
      <c r="I196" s="184" t="str">
        <f>IF('Option 1'!I196="","",'Option 1'!I196)</f>
        <v/>
      </c>
      <c r="J196" s="184" t="str">
        <f>IF('Option 1'!J196="","",'Option 1'!J196)</f>
        <v/>
      </c>
      <c r="K196" s="184">
        <f>IF('Option 1'!K196="","",'Option 1'!K196)</f>
        <v>2768</v>
      </c>
      <c r="L196" s="184" t="str">
        <f>IF('Option 1'!L196="","",'Option 1'!L196)</f>
        <v/>
      </c>
      <c r="M196" s="184" t="str">
        <f>IF('Option 1'!M196="","",'Option 1'!M196)</f>
        <v/>
      </c>
      <c r="N196" s="184" t="str">
        <f>IF('Option 1'!N196="","",'Option 1'!N196)</f>
        <v/>
      </c>
      <c r="O196" s="184" t="str">
        <f>IF('Option 1'!O196="","",'Option 1'!O196)</f>
        <v/>
      </c>
      <c r="P196" s="124">
        <f t="shared" si="12"/>
        <v>2768</v>
      </c>
    </row>
    <row r="197" spans="1:16" ht="15.75" customHeight="1" x14ac:dyDescent="0.25">
      <c r="A197" s="239"/>
      <c r="B197" s="4" t="str">
        <f>IF('Option 1'!B197="","",'Option 1'!B197)</f>
        <v/>
      </c>
      <c r="C197" s="188" t="str">
        <f>IF('Option 1'!C197="","",'Option 1'!C197)</f>
        <v>Stair Electric Heaters</v>
      </c>
      <c r="D197" s="186" t="str">
        <f>IF('Option 1'!D197="","",'Option 1'!D197)</f>
        <v/>
      </c>
      <c r="E197" s="184" t="str">
        <f>IF('Option 1'!E197="","",'Option 1'!E197)</f>
        <v/>
      </c>
      <c r="F197" s="184" t="str">
        <f>IF('Option 1'!F197="","",'Option 1'!F197)</f>
        <v/>
      </c>
      <c r="G197" s="184">
        <f>IF('Option 1'!G197="","",'Option 1'!G197)</f>
        <v>4705</v>
      </c>
      <c r="H197" s="184" t="str">
        <f>IF('Option 1'!H197="","",'Option 1'!H197)</f>
        <v/>
      </c>
      <c r="I197" s="184" t="str">
        <f>IF('Option 1'!I197="","",'Option 1'!I197)</f>
        <v/>
      </c>
      <c r="J197" s="184" t="str">
        <f>IF('Option 1'!J197="","",'Option 1'!J197)</f>
        <v/>
      </c>
      <c r="K197" s="184" t="str">
        <f>IF('Option 1'!K197="","",'Option 1'!K197)</f>
        <v/>
      </c>
      <c r="L197" s="184" t="str">
        <f>IF('Option 1'!L197="","",'Option 1'!L197)</f>
        <v/>
      </c>
      <c r="M197" s="184" t="str">
        <f>IF('Option 1'!M197="","",'Option 1'!M197)</f>
        <v/>
      </c>
      <c r="N197" s="184" t="str">
        <f>IF('Option 1'!N197="","",'Option 1'!N197)</f>
        <v/>
      </c>
      <c r="O197" s="184" t="str">
        <f>IF('Option 1'!O197="","",'Option 1'!O197)</f>
        <v/>
      </c>
      <c r="P197" s="124">
        <f t="shared" si="12"/>
        <v>4705</v>
      </c>
    </row>
    <row r="198" spans="1:16" ht="15.75" customHeight="1" x14ac:dyDescent="0.25">
      <c r="A198" s="239"/>
      <c r="B198" s="4" t="str">
        <f>IF('Option 1'!B198="","",'Option 1'!B198)</f>
        <v/>
      </c>
      <c r="C198" s="188" t="str">
        <f>IF('Option 1'!C198="","",'Option 1'!C198)</f>
        <v>Fire Hoses</v>
      </c>
      <c r="D198" s="186" t="str">
        <f>IF('Option 1'!D198="","",'Option 1'!D198)</f>
        <v/>
      </c>
      <c r="E198" s="184" t="str">
        <f>IF('Option 1'!E198="","",'Option 1'!E198)</f>
        <v/>
      </c>
      <c r="F198" s="184" t="str">
        <f>IF('Option 1'!F198="","",'Option 1'!F198)</f>
        <v/>
      </c>
      <c r="G198" s="184" t="str">
        <f>IF('Option 1'!G198="","",'Option 1'!G198)</f>
        <v/>
      </c>
      <c r="H198" s="184" t="str">
        <f>IF('Option 1'!H198="","",'Option 1'!H198)</f>
        <v/>
      </c>
      <c r="I198" s="184" t="str">
        <f>IF('Option 1'!I198="","",'Option 1'!I198)</f>
        <v/>
      </c>
      <c r="J198" s="184" t="str">
        <f>IF('Option 1'!J198="","",'Option 1'!J198)</f>
        <v/>
      </c>
      <c r="K198" s="184" t="str">
        <f>IF('Option 1'!K198="","",'Option 1'!K198)</f>
        <v/>
      </c>
      <c r="L198" s="184" t="str">
        <f>IF('Option 1'!L198="","",'Option 1'!L198)</f>
        <v/>
      </c>
      <c r="M198" s="184" t="str">
        <f>IF('Option 1'!M198="","",'Option 1'!M198)</f>
        <v/>
      </c>
      <c r="N198" s="184">
        <f>IF('Option 1'!N198="","",'Option 1'!N198)</f>
        <v>17249</v>
      </c>
      <c r="O198" s="184" t="str">
        <f>IF('Option 1'!O198="","",'Option 1'!O198)</f>
        <v/>
      </c>
      <c r="P198" s="124">
        <f t="shared" si="12"/>
        <v>17249</v>
      </c>
    </row>
    <row r="199" spans="1:16" ht="15.75" customHeight="1" x14ac:dyDescent="0.25">
      <c r="A199" s="239"/>
      <c r="B199" s="4" t="str">
        <f>IF('Option 1'!B199="","",'Option 1'!B199)</f>
        <v/>
      </c>
      <c r="C199" s="188" t="str">
        <f>IF('Option 1'!C199="","",'Option 1'!C199)</f>
        <v>Trash Compactors</v>
      </c>
      <c r="D199" s="186" t="str">
        <f>IF('Option 1'!D199="","",'Option 1'!D199)</f>
        <v/>
      </c>
      <c r="E199" s="184" t="str">
        <f>IF('Option 1'!E199="","",'Option 1'!E199)</f>
        <v/>
      </c>
      <c r="F199" s="184" t="str">
        <f>IF('Option 1'!F199="","",'Option 1'!F199)</f>
        <v/>
      </c>
      <c r="G199" s="184" t="str">
        <f>IF('Option 1'!G199="","",'Option 1'!G199)</f>
        <v/>
      </c>
      <c r="H199" s="184" t="str">
        <f>IF('Option 1'!H199="","",'Option 1'!H199)</f>
        <v/>
      </c>
      <c r="I199" s="184" t="str">
        <f>IF('Option 1'!I199="","",'Option 1'!I199)</f>
        <v/>
      </c>
      <c r="J199" s="184" t="str">
        <f>IF('Option 1'!J199="","",'Option 1'!J199)</f>
        <v/>
      </c>
      <c r="K199" s="184" t="str">
        <f>IF('Option 1'!K199="","",'Option 1'!K199)</f>
        <v/>
      </c>
      <c r="L199" s="184" t="str">
        <f>IF('Option 1'!L199="","",'Option 1'!L199)</f>
        <v/>
      </c>
      <c r="M199" s="184" t="str">
        <f>IF('Option 1'!M199="","",'Option 1'!M199)</f>
        <v/>
      </c>
      <c r="N199" s="184" t="str">
        <f>IF('Option 1'!N199="","",'Option 1'!N199)</f>
        <v/>
      </c>
      <c r="O199" s="184" t="str">
        <f>IF('Option 1'!O199="","",'Option 1'!O199)</f>
        <v/>
      </c>
      <c r="P199" s="124">
        <f t="shared" si="12"/>
        <v>0</v>
      </c>
    </row>
    <row r="200" spans="1:16" ht="15.75" customHeight="1" x14ac:dyDescent="0.25">
      <c r="A200" s="239"/>
      <c r="B200" s="4" t="str">
        <f>IF('Option 1'!B200="","",'Option 1'!B200)</f>
        <v/>
      </c>
      <c r="C200" s="188" t="str">
        <f>IF('Option 1'!C200="","",'Option 1'!C200)</f>
        <v>Trash Chutes</v>
      </c>
      <c r="D200" s="186" t="str">
        <f>IF('Option 1'!D200="","",'Option 1'!D200)</f>
        <v/>
      </c>
      <c r="E200" s="184" t="str">
        <f>IF('Option 1'!E200="","",'Option 1'!E200)</f>
        <v/>
      </c>
      <c r="F200" s="184" t="str">
        <f>IF('Option 1'!F200="","",'Option 1'!F200)</f>
        <v/>
      </c>
      <c r="G200" s="184" t="str">
        <f>IF('Option 1'!G200="","",'Option 1'!G200)</f>
        <v/>
      </c>
      <c r="H200" s="184" t="str">
        <f>IF('Option 1'!H200="","",'Option 1'!H200)</f>
        <v/>
      </c>
      <c r="I200" s="184" t="str">
        <f>IF('Option 1'!I200="","",'Option 1'!I200)</f>
        <v/>
      </c>
      <c r="J200" s="184" t="str">
        <f>IF('Option 1'!J200="","",'Option 1'!J200)</f>
        <v/>
      </c>
      <c r="K200" s="184" t="str">
        <f>IF('Option 1'!K200="","",'Option 1'!K200)</f>
        <v/>
      </c>
      <c r="L200" s="184" t="str">
        <f>IF('Option 1'!L200="","",'Option 1'!L200)</f>
        <v/>
      </c>
      <c r="M200" s="184" t="str">
        <f>IF('Option 1'!M200="","",'Option 1'!M200)</f>
        <v/>
      </c>
      <c r="N200" s="184" t="str">
        <f>IF('Option 1'!N200="","",'Option 1'!N200)</f>
        <v/>
      </c>
      <c r="O200" s="184" t="str">
        <f>IF('Option 1'!O200="","",'Option 1'!O200)</f>
        <v/>
      </c>
      <c r="P200" s="124">
        <f t="shared" si="12"/>
        <v>0</v>
      </c>
    </row>
    <row r="201" spans="1:16" ht="15.75" customHeight="1" x14ac:dyDescent="0.25">
      <c r="A201" s="239"/>
      <c r="B201" s="4" t="str">
        <f>IF('Option 1'!B201="","",'Option 1'!B201)</f>
        <v/>
      </c>
      <c r="C201" s="188" t="str">
        <f>IF('Option 1'!C201="","",'Option 1'!C201)</f>
        <v>Elevators</v>
      </c>
      <c r="D201" s="186" t="str">
        <f>IF('Option 1'!D201="","",'Option 1'!D201)</f>
        <v/>
      </c>
      <c r="E201" s="184" t="str">
        <f>IF('Option 1'!E201="","",'Option 1'!E201)</f>
        <v/>
      </c>
      <c r="F201" s="184" t="str">
        <f>IF('Option 1'!F201="","",'Option 1'!F201)</f>
        <v/>
      </c>
      <c r="G201" s="184" t="str">
        <f>IF('Option 1'!G201="","",'Option 1'!G201)</f>
        <v/>
      </c>
      <c r="H201" s="184" t="str">
        <f>IF('Option 1'!H201="","",'Option 1'!H201)</f>
        <v/>
      </c>
      <c r="I201" s="184" t="str">
        <f>IF('Option 1'!I201="","",'Option 1'!I201)</f>
        <v/>
      </c>
      <c r="J201" s="184" t="str">
        <f>IF('Option 1'!J201="","",'Option 1'!J201)</f>
        <v/>
      </c>
      <c r="K201" s="184" t="str">
        <f>IF('Option 1'!K201="","",'Option 1'!K201)</f>
        <v/>
      </c>
      <c r="L201" s="184" t="str">
        <f>IF('Option 1'!L201="","",'Option 1'!L201)</f>
        <v/>
      </c>
      <c r="M201" s="184" t="str">
        <f>IF('Option 1'!M201="","",'Option 1'!M201)</f>
        <v/>
      </c>
      <c r="N201" s="184" t="str">
        <f>IF('Option 1'!N201="","",'Option 1'!N201)</f>
        <v/>
      </c>
      <c r="O201" s="184" t="str">
        <f>IF('Option 1'!O201="","",'Option 1'!O201)</f>
        <v/>
      </c>
      <c r="P201" s="124">
        <f t="shared" si="12"/>
        <v>0</v>
      </c>
    </row>
    <row r="202" spans="1:16" ht="15.75" customHeight="1" x14ac:dyDescent="0.25">
      <c r="A202" s="239"/>
      <c r="B202" s="4" t="str">
        <f>IF('Option 1'!B202="","",'Option 1'!B202)</f>
        <v/>
      </c>
      <c r="C202" s="188" t="str">
        <f>IF('Option 1'!C202="","",'Option 1'!C202)</f>
        <v>Elevator Safety Collars &amp; Engineering</v>
      </c>
      <c r="D202" s="186" t="str">
        <f>IF('Option 1'!D202="","",'Option 1'!D202)</f>
        <v/>
      </c>
      <c r="E202" s="184" t="str">
        <f>IF('Option 1'!E202="","",'Option 1'!E202)</f>
        <v/>
      </c>
      <c r="F202" s="184" t="str">
        <f>IF('Option 1'!F202="","",'Option 1'!F202)</f>
        <v/>
      </c>
      <c r="G202" s="184" t="str">
        <f>IF('Option 1'!G202="","",'Option 1'!G202)</f>
        <v/>
      </c>
      <c r="H202" s="184" t="str">
        <f>IF('Option 1'!H202="","",'Option 1'!H202)</f>
        <v/>
      </c>
      <c r="I202" s="184" t="str">
        <f>IF('Option 1'!I202="","",'Option 1'!I202)</f>
        <v/>
      </c>
      <c r="J202" s="184" t="str">
        <f>IF('Option 1'!J202="","",'Option 1'!J202)</f>
        <v/>
      </c>
      <c r="K202" s="184" t="str">
        <f>IF('Option 1'!K202="","",'Option 1'!K202)</f>
        <v/>
      </c>
      <c r="L202" s="184" t="str">
        <f>IF('Option 1'!L202="","",'Option 1'!L202)</f>
        <v/>
      </c>
      <c r="M202" s="184" t="str">
        <f>IF('Option 1'!M202="","",'Option 1'!M202)</f>
        <v/>
      </c>
      <c r="N202" s="184" t="str">
        <f>IF('Option 1'!N202="","",'Option 1'!N202)</f>
        <v/>
      </c>
      <c r="O202" s="184" t="str">
        <f>IF('Option 1'!O202="","",'Option 1'!O202)</f>
        <v/>
      </c>
      <c r="P202" s="124">
        <f t="shared" si="12"/>
        <v>0</v>
      </c>
    </row>
    <row r="203" spans="1:16" ht="15.75" customHeight="1" x14ac:dyDescent="0.25">
      <c r="A203" s="239"/>
      <c r="B203" s="4" t="str">
        <f>IF('Option 1'!B203="","",'Option 1'!B203)</f>
        <v/>
      </c>
      <c r="C203" s="188" t="str">
        <f>IF('Option 1'!C203="","",'Option 1'!C203)</f>
        <v>Elevator Replacement Cylinders (Bldg. 1405)</v>
      </c>
      <c r="D203" s="186" t="str">
        <f>IF('Option 1'!D203="","",'Option 1'!D203)</f>
        <v/>
      </c>
      <c r="E203" s="184">
        <f>IF('Option 1'!E203="","",'Option 1'!E203)</f>
        <v>0</v>
      </c>
      <c r="F203" s="184">
        <f>IF('Option 1'!F203="","",'Option 1'!F203)</f>
        <v>110000</v>
      </c>
      <c r="G203" s="184" t="str">
        <f>IF('Option 1'!G203="","",'Option 1'!G203)</f>
        <v/>
      </c>
      <c r="H203" s="184" t="str">
        <f>IF('Option 1'!H203="","",'Option 1'!H203)</f>
        <v/>
      </c>
      <c r="I203" s="184" t="str">
        <f>IF('Option 1'!I203="","",'Option 1'!I203)</f>
        <v/>
      </c>
      <c r="J203" s="184" t="str">
        <f>IF('Option 1'!J203="","",'Option 1'!J203)</f>
        <v/>
      </c>
      <c r="K203" s="184" t="str">
        <f>IF('Option 1'!K203="","",'Option 1'!K203)</f>
        <v/>
      </c>
      <c r="L203" s="184" t="str">
        <f>IF('Option 1'!L203="","",'Option 1'!L203)</f>
        <v/>
      </c>
      <c r="M203" s="184" t="str">
        <f>IF('Option 1'!M203="","",'Option 1'!M203)</f>
        <v/>
      </c>
      <c r="N203" s="184" t="str">
        <f>IF('Option 1'!N203="","",'Option 1'!N203)</f>
        <v/>
      </c>
      <c r="O203" s="184" t="str">
        <f>IF('Option 1'!O203="","",'Option 1'!O203)</f>
        <v/>
      </c>
      <c r="P203" s="124">
        <f t="shared" si="12"/>
        <v>110000</v>
      </c>
    </row>
    <row r="204" spans="1:16" ht="15.75" customHeight="1" x14ac:dyDescent="0.25">
      <c r="A204" s="239"/>
      <c r="B204" s="4" t="str">
        <f>IF('Option 1'!B204="","",'Option 1'!B204)</f>
        <v/>
      </c>
      <c r="C204" s="188" t="str">
        <f>IF('Option 1'!C204="","",'Option 1'!C204)</f>
        <v>Elevator Replacement Cylinders (Bldgs. 1505 &amp; 1515)</v>
      </c>
      <c r="D204" s="186" t="str">
        <f>IF('Option 1'!D204="","",'Option 1'!D204)</f>
        <v/>
      </c>
      <c r="E204" s="184" t="str">
        <f>IF('Option 1'!E204="","",'Option 1'!E204)</f>
        <v/>
      </c>
      <c r="F204" s="184">
        <f>IF('Option 1'!F204="","",'Option 1'!F204)</f>
        <v>0</v>
      </c>
      <c r="G204" s="184">
        <f>IF('Option 1'!G204="","",'Option 1'!G204)</f>
        <v>330000</v>
      </c>
      <c r="H204" s="184" t="str">
        <f>IF('Option 1'!H204="","",'Option 1'!H204)</f>
        <v/>
      </c>
      <c r="I204" s="184" t="str">
        <f>IF('Option 1'!I204="","",'Option 1'!I204)</f>
        <v/>
      </c>
      <c r="J204" s="184" t="str">
        <f>IF('Option 1'!J204="","",'Option 1'!J204)</f>
        <v/>
      </c>
      <c r="K204" s="184" t="str">
        <f>IF('Option 1'!K204="","",'Option 1'!K204)</f>
        <v/>
      </c>
      <c r="L204" s="184" t="str">
        <f>IF('Option 1'!L204="","",'Option 1'!L204)</f>
        <v/>
      </c>
      <c r="M204" s="184" t="str">
        <f>IF('Option 1'!M204="","",'Option 1'!M204)</f>
        <v/>
      </c>
      <c r="N204" s="184" t="str">
        <f>IF('Option 1'!N204="","",'Option 1'!N204)</f>
        <v/>
      </c>
      <c r="O204" s="184" t="str">
        <f>IF('Option 1'!O204="","",'Option 1'!O204)</f>
        <v/>
      </c>
      <c r="P204" s="124">
        <f t="shared" si="12"/>
        <v>330000</v>
      </c>
    </row>
    <row r="205" spans="1:16" ht="15.75" customHeight="1" x14ac:dyDescent="0.25">
      <c r="A205" s="239"/>
      <c r="B205" s="4" t="str">
        <f>IF('Option 1'!B205="","",'Option 1'!B205)</f>
        <v/>
      </c>
      <c r="C205" s="188" t="str">
        <f>IF('Option 1'!C205="","",'Option 1'!C205)</f>
        <v>Elevator Replacement Cylinders (Bldg. 1415)</v>
      </c>
      <c r="D205" s="186" t="str">
        <f>IF('Option 1'!D205="","",'Option 1'!D205)</f>
        <v/>
      </c>
      <c r="E205" s="184" t="str">
        <f>IF('Option 1'!E205="","",'Option 1'!E205)</f>
        <v/>
      </c>
      <c r="F205" s="184" t="str">
        <f>IF('Option 1'!F205="","",'Option 1'!F205)</f>
        <v/>
      </c>
      <c r="G205" s="184">
        <f>IF('Option 1'!G205="","",'Option 1'!G205)</f>
        <v>0</v>
      </c>
      <c r="H205" s="184">
        <f>IF('Option 1'!H205="","",'Option 1'!H205)</f>
        <v>110000</v>
      </c>
      <c r="I205" s="184" t="str">
        <f>IF('Option 1'!I205="","",'Option 1'!I205)</f>
        <v/>
      </c>
      <c r="J205" s="184" t="str">
        <f>IF('Option 1'!J205="","",'Option 1'!J205)</f>
        <v/>
      </c>
      <c r="K205" s="184" t="str">
        <f>IF('Option 1'!K205="","",'Option 1'!K205)</f>
        <v/>
      </c>
      <c r="L205" s="184" t="str">
        <f>IF('Option 1'!L205="","",'Option 1'!L205)</f>
        <v/>
      </c>
      <c r="M205" s="184" t="str">
        <f>IF('Option 1'!M205="","",'Option 1'!M205)</f>
        <v/>
      </c>
      <c r="N205" s="184" t="str">
        <f>IF('Option 1'!N205="","",'Option 1'!N205)</f>
        <v/>
      </c>
      <c r="O205" s="184" t="str">
        <f>IF('Option 1'!O205="","",'Option 1'!O205)</f>
        <v/>
      </c>
      <c r="P205" s="124">
        <f t="shared" si="12"/>
        <v>110000</v>
      </c>
    </row>
    <row r="206" spans="1:16" ht="15.75" customHeight="1" x14ac:dyDescent="0.25">
      <c r="A206" s="239"/>
      <c r="B206" s="4" t="str">
        <f>IF('Option 1'!B206="","",'Option 1'!B206)</f>
        <v/>
      </c>
      <c r="C206" s="188" t="str">
        <f>IF('Option 1'!C206="","",'Option 1'!C206)</f>
        <v>Elevator Replacement Cylinders (Bldg. 1605)</v>
      </c>
      <c r="D206" s="186" t="str">
        <f>IF('Option 1'!D206="","",'Option 1'!D206)</f>
        <v/>
      </c>
      <c r="E206" s="184" t="str">
        <f>IF('Option 1'!E206="","",'Option 1'!E206)</f>
        <v/>
      </c>
      <c r="F206" s="184" t="str">
        <f>IF('Option 1'!F206="","",'Option 1'!F206)</f>
        <v/>
      </c>
      <c r="G206" s="184" t="str">
        <f>IF('Option 1'!G206="","",'Option 1'!G206)</f>
        <v/>
      </c>
      <c r="H206" s="184">
        <f>IF('Option 1'!H206="","",'Option 1'!H206)</f>
        <v>0</v>
      </c>
      <c r="I206" s="184">
        <f>IF('Option 1'!I206="","",'Option 1'!I206)</f>
        <v>110000</v>
      </c>
      <c r="J206" s="184" t="str">
        <f>IF('Option 1'!J206="","",'Option 1'!J206)</f>
        <v/>
      </c>
      <c r="K206" s="184" t="str">
        <f>IF('Option 1'!K206="","",'Option 1'!K206)</f>
        <v/>
      </c>
      <c r="L206" s="184" t="str">
        <f>IF('Option 1'!L206="","",'Option 1'!L206)</f>
        <v/>
      </c>
      <c r="M206" s="184" t="str">
        <f>IF('Option 1'!M206="","",'Option 1'!M206)</f>
        <v/>
      </c>
      <c r="N206" s="184" t="str">
        <f>IF('Option 1'!N206="","",'Option 1'!N206)</f>
        <v/>
      </c>
      <c r="O206" s="184" t="str">
        <f>IF('Option 1'!O206="","",'Option 1'!O206)</f>
        <v/>
      </c>
      <c r="P206" s="124">
        <f t="shared" si="12"/>
        <v>110000</v>
      </c>
    </row>
    <row r="207" spans="1:16" ht="15.75" customHeight="1" x14ac:dyDescent="0.25">
      <c r="A207" s="239"/>
      <c r="B207" s="4" t="str">
        <f>IF('Option 1'!B207="","",'Option 1'!B207)</f>
        <v/>
      </c>
      <c r="C207" s="188" t="str">
        <f>IF('Option 1'!C207="","",'Option 1'!C207)</f>
        <v>Elevator Replacement Cylinders (Bldg. 1615)</v>
      </c>
      <c r="D207" s="186" t="str">
        <f>IF('Option 1'!D207="","",'Option 1'!D207)</f>
        <v/>
      </c>
      <c r="E207" s="184" t="str">
        <f>IF('Option 1'!E207="","",'Option 1'!E207)</f>
        <v/>
      </c>
      <c r="F207" s="184" t="str">
        <f>IF('Option 1'!F207="","",'Option 1'!F207)</f>
        <v/>
      </c>
      <c r="G207" s="184" t="str">
        <f>IF('Option 1'!G207="","",'Option 1'!G207)</f>
        <v/>
      </c>
      <c r="H207" s="184" t="str">
        <f>IF('Option 1'!H207="","",'Option 1'!H207)</f>
        <v/>
      </c>
      <c r="I207" s="184">
        <f>IF('Option 1'!I207="","",'Option 1'!I207)</f>
        <v>0</v>
      </c>
      <c r="J207" s="184">
        <f>IF('Option 1'!J207="","",'Option 1'!J207)</f>
        <v>110000</v>
      </c>
      <c r="K207" s="184" t="str">
        <f>IF('Option 1'!K207="","",'Option 1'!K207)</f>
        <v/>
      </c>
      <c r="L207" s="184" t="str">
        <f>IF('Option 1'!L207="","",'Option 1'!L207)</f>
        <v/>
      </c>
      <c r="M207" s="184" t="str">
        <f>IF('Option 1'!M207="","",'Option 1'!M207)</f>
        <v/>
      </c>
      <c r="N207" s="184" t="str">
        <f>IF('Option 1'!N207="","",'Option 1'!N207)</f>
        <v/>
      </c>
      <c r="O207" s="184" t="str">
        <f>IF('Option 1'!O207="","",'Option 1'!O207)</f>
        <v/>
      </c>
      <c r="P207" s="124">
        <f t="shared" si="12"/>
        <v>110000</v>
      </c>
    </row>
    <row r="208" spans="1:16" ht="15.75" customHeight="1" x14ac:dyDescent="0.25">
      <c r="A208" s="239"/>
      <c r="B208" s="4" t="str">
        <f>IF('Option 1'!B208="","",'Option 1'!B208)</f>
        <v/>
      </c>
      <c r="C208" s="188" t="str">
        <f>IF('Option 1'!C208="","",'Option 1'!C208)</f>
        <v>Core HVAC Units - 1515 &amp; 1615 East, 1415 &amp; 1615 West</v>
      </c>
      <c r="D208" s="186" t="str">
        <f>IF('Option 1'!D208="","",'Option 1'!D208)</f>
        <v/>
      </c>
      <c r="E208" s="184">
        <f>IF('Option 1'!E208="","",'Option 1'!E208)</f>
        <v>44284</v>
      </c>
      <c r="F208" s="184" t="str">
        <f>IF('Option 1'!F208="","",'Option 1'!F208)</f>
        <v/>
      </c>
      <c r="G208" s="184" t="str">
        <f>IF('Option 1'!G208="","",'Option 1'!G208)</f>
        <v/>
      </c>
      <c r="H208" s="184" t="str">
        <f>IF('Option 1'!H208="","",'Option 1'!H208)</f>
        <v/>
      </c>
      <c r="I208" s="184" t="str">
        <f>IF('Option 1'!I208="","",'Option 1'!I208)</f>
        <v/>
      </c>
      <c r="J208" s="184" t="str">
        <f>IF('Option 1'!J208="","",'Option 1'!J208)</f>
        <v/>
      </c>
      <c r="K208" s="184" t="str">
        <f>IF('Option 1'!K208="","",'Option 1'!K208)</f>
        <v/>
      </c>
      <c r="L208" s="184" t="str">
        <f>IF('Option 1'!L208="","",'Option 1'!L208)</f>
        <v/>
      </c>
      <c r="M208" s="184" t="str">
        <f>IF('Option 1'!M208="","",'Option 1'!M208)</f>
        <v/>
      </c>
      <c r="N208" s="184" t="str">
        <f>IF('Option 1'!N208="","",'Option 1'!N208)</f>
        <v/>
      </c>
      <c r="O208" s="184" t="str">
        <f>IF('Option 1'!O208="","",'Option 1'!O208)</f>
        <v/>
      </c>
      <c r="P208" s="124">
        <f t="shared" si="12"/>
        <v>44284</v>
      </c>
    </row>
    <row r="209" spans="1:16" ht="15.75" customHeight="1" x14ac:dyDescent="0.25">
      <c r="A209" s="239"/>
      <c r="B209" s="4" t="str">
        <f>IF('Option 1'!B209="","",'Option 1'!B209)</f>
        <v/>
      </c>
      <c r="C209" s="188" t="str">
        <f>IF('Option 1'!C209="","",'Option 1'!C209)</f>
        <v>Core HVAC Unit - 1515 West</v>
      </c>
      <c r="D209" s="186" t="str">
        <f>IF('Option 1'!D209="","",'Option 1'!D209)</f>
        <v/>
      </c>
      <c r="E209" s="184" t="str">
        <f>IF('Option 1'!E209="","",'Option 1'!E209)</f>
        <v/>
      </c>
      <c r="F209" s="184">
        <f>IF('Option 1'!F209="","",'Option 1'!F209)</f>
        <v>11071</v>
      </c>
      <c r="G209" s="184" t="str">
        <f>IF('Option 1'!G209="","",'Option 1'!G209)</f>
        <v/>
      </c>
      <c r="H209" s="184" t="str">
        <f>IF('Option 1'!H209="","",'Option 1'!H209)</f>
        <v/>
      </c>
      <c r="I209" s="184" t="str">
        <f>IF('Option 1'!I209="","",'Option 1'!I209)</f>
        <v/>
      </c>
      <c r="J209" s="184" t="str">
        <f>IF('Option 1'!J209="","",'Option 1'!J209)</f>
        <v/>
      </c>
      <c r="K209" s="184" t="str">
        <f>IF('Option 1'!K209="","",'Option 1'!K209)</f>
        <v/>
      </c>
      <c r="L209" s="184" t="str">
        <f>IF('Option 1'!L209="","",'Option 1'!L209)</f>
        <v/>
      </c>
      <c r="M209" s="184" t="str">
        <f>IF('Option 1'!M209="","",'Option 1'!M209)</f>
        <v/>
      </c>
      <c r="N209" s="184" t="str">
        <f>IF('Option 1'!N209="","",'Option 1'!N209)</f>
        <v/>
      </c>
      <c r="O209" s="184" t="str">
        <f>IF('Option 1'!O209="","",'Option 1'!O209)</f>
        <v/>
      </c>
      <c r="P209" s="124">
        <f t="shared" si="12"/>
        <v>11071</v>
      </c>
    </row>
    <row r="210" spans="1:16" ht="15.75" customHeight="1" x14ac:dyDescent="0.25">
      <c r="A210" s="239"/>
      <c r="B210" s="4" t="str">
        <f>IF('Option 1'!B210="","",'Option 1'!B210)</f>
        <v/>
      </c>
      <c r="C210" s="188" t="str">
        <f>IF('Option 1'!C210="","",'Option 1'!C210)</f>
        <v>Core HVAC Unit - 1415 East</v>
      </c>
      <c r="D210" s="186" t="str">
        <f>IF('Option 1'!D210="","",'Option 1'!D210)</f>
        <v/>
      </c>
      <c r="E210" s="184" t="str">
        <f>IF('Option 1'!E210="","",'Option 1'!E210)</f>
        <v/>
      </c>
      <c r="F210" s="184" t="str">
        <f>IF('Option 1'!F210="","",'Option 1'!F210)</f>
        <v/>
      </c>
      <c r="G210" s="184" t="str">
        <f>IF('Option 1'!G210="","",'Option 1'!G210)</f>
        <v/>
      </c>
      <c r="H210" s="184" t="str">
        <f>IF('Option 1'!H210="","",'Option 1'!H210)</f>
        <v/>
      </c>
      <c r="I210" s="184">
        <f>IF('Option 1'!I210="","",'Option 1'!I210)</f>
        <v>11071</v>
      </c>
      <c r="J210" s="184" t="str">
        <f>IF('Option 1'!J210="","",'Option 1'!J210)</f>
        <v/>
      </c>
      <c r="K210" s="184" t="str">
        <f>IF('Option 1'!K210="","",'Option 1'!K210)</f>
        <v/>
      </c>
      <c r="L210" s="184" t="str">
        <f>IF('Option 1'!L210="","",'Option 1'!L210)</f>
        <v/>
      </c>
      <c r="M210" s="184" t="str">
        <f>IF('Option 1'!M210="","",'Option 1'!M210)</f>
        <v/>
      </c>
      <c r="N210" s="184" t="str">
        <f>IF('Option 1'!N210="","",'Option 1'!N210)</f>
        <v/>
      </c>
      <c r="O210" s="184" t="str">
        <f>IF('Option 1'!O210="","",'Option 1'!O210)</f>
        <v/>
      </c>
      <c r="P210" s="124">
        <f t="shared" si="12"/>
        <v>11071</v>
      </c>
    </row>
    <row r="211" spans="1:16" ht="15.75" customHeight="1" x14ac:dyDescent="0.25">
      <c r="A211" s="239"/>
      <c r="B211" s="4" t="str">
        <f>IF('Option 1'!B211="","",'Option 1'!B211)</f>
        <v/>
      </c>
      <c r="C211" s="188" t="str">
        <f>IF('Option 1'!C211="","",'Option 1'!C211)</f>
        <v>Core HVAC Units - 1605 East &amp; West</v>
      </c>
      <c r="D211" s="186" t="str">
        <f>IF('Option 1'!D211="","",'Option 1'!D211)</f>
        <v/>
      </c>
      <c r="E211" s="184" t="str">
        <f>IF('Option 1'!E211="","",'Option 1'!E211)</f>
        <v/>
      </c>
      <c r="F211" s="184" t="str">
        <f>IF('Option 1'!F211="","",'Option 1'!F211)</f>
        <v/>
      </c>
      <c r="G211" s="184" t="str">
        <f>IF('Option 1'!G211="","",'Option 1'!G211)</f>
        <v/>
      </c>
      <c r="H211" s="184" t="str">
        <f>IF('Option 1'!H211="","",'Option 1'!H211)</f>
        <v/>
      </c>
      <c r="I211" s="184" t="str">
        <f>IF('Option 1'!I211="","",'Option 1'!I211)</f>
        <v/>
      </c>
      <c r="J211" s="184">
        <f>IF('Option 1'!J211="","",'Option 1'!J211)</f>
        <v>22142</v>
      </c>
      <c r="K211" s="184" t="str">
        <f>IF('Option 1'!K211="","",'Option 1'!K211)</f>
        <v/>
      </c>
      <c r="L211" s="184" t="str">
        <f>IF('Option 1'!L211="","",'Option 1'!L211)</f>
        <v/>
      </c>
      <c r="M211" s="184" t="str">
        <f>IF('Option 1'!M211="","",'Option 1'!M211)</f>
        <v/>
      </c>
      <c r="N211" s="184" t="str">
        <f>IF('Option 1'!N211="","",'Option 1'!N211)</f>
        <v/>
      </c>
      <c r="O211" s="184" t="str">
        <f>IF('Option 1'!O211="","",'Option 1'!O211)</f>
        <v/>
      </c>
      <c r="P211" s="124">
        <f t="shared" si="12"/>
        <v>22142</v>
      </c>
    </row>
    <row r="212" spans="1:16" ht="15.75" customHeight="1" x14ac:dyDescent="0.25">
      <c r="A212" s="239"/>
      <c r="B212" s="4" t="str">
        <f>IF('Option 1'!B212="","",'Option 1'!B212)</f>
        <v/>
      </c>
      <c r="C212" s="188" t="str">
        <f>IF('Option 1'!C212="","",'Option 1'!C212)</f>
        <v>Core HVAC Unit - 1405 East</v>
      </c>
      <c r="D212" s="186" t="str">
        <f>IF('Option 1'!D212="","",'Option 1'!D212)</f>
        <v/>
      </c>
      <c r="E212" s="184" t="str">
        <f>IF('Option 1'!E212="","",'Option 1'!E212)</f>
        <v/>
      </c>
      <c r="F212" s="184" t="str">
        <f>IF('Option 1'!F212="","",'Option 1'!F212)</f>
        <v/>
      </c>
      <c r="G212" s="184" t="str">
        <f>IF('Option 1'!G212="","",'Option 1'!G212)</f>
        <v/>
      </c>
      <c r="H212" s="184" t="str">
        <f>IF('Option 1'!H212="","",'Option 1'!H212)</f>
        <v/>
      </c>
      <c r="I212" s="184" t="str">
        <f>IF('Option 1'!I212="","",'Option 1'!I212)</f>
        <v/>
      </c>
      <c r="J212" s="184" t="str">
        <f>IF('Option 1'!J212="","",'Option 1'!J212)</f>
        <v/>
      </c>
      <c r="K212" s="184">
        <f>IF('Option 1'!K212="","",'Option 1'!K212)</f>
        <v>11071</v>
      </c>
      <c r="L212" s="184" t="str">
        <f>IF('Option 1'!L212="","",'Option 1'!L212)</f>
        <v/>
      </c>
      <c r="M212" s="184" t="str">
        <f>IF('Option 1'!M212="","",'Option 1'!M212)</f>
        <v/>
      </c>
      <c r="N212" s="184" t="str">
        <f>IF('Option 1'!N212="","",'Option 1'!N212)</f>
        <v/>
      </c>
      <c r="O212" s="184" t="str">
        <f>IF('Option 1'!O212="","",'Option 1'!O212)</f>
        <v/>
      </c>
      <c r="P212" s="124">
        <f t="shared" si="12"/>
        <v>11071</v>
      </c>
    </row>
    <row r="213" spans="1:16" ht="15.75" customHeight="1" x14ac:dyDescent="0.25">
      <c r="A213" s="239"/>
      <c r="B213" s="4" t="str">
        <f>IF('Option 1'!B213="","",'Option 1'!B213)</f>
        <v/>
      </c>
      <c r="C213" s="188" t="str">
        <f>IF('Option 1'!C213="","",'Option 1'!C213)</f>
        <v>Core HVAC Units - 1505 East &amp; West</v>
      </c>
      <c r="D213" s="186" t="str">
        <f>IF('Option 1'!D213="","",'Option 1'!D213)</f>
        <v/>
      </c>
      <c r="E213" s="184" t="str">
        <f>IF('Option 1'!E213="","",'Option 1'!E213)</f>
        <v/>
      </c>
      <c r="F213" s="184" t="str">
        <f>IF('Option 1'!F213="","",'Option 1'!F213)</f>
        <v/>
      </c>
      <c r="G213" s="184" t="str">
        <f>IF('Option 1'!G213="","",'Option 1'!G213)</f>
        <v/>
      </c>
      <c r="H213" s="184" t="str">
        <f>IF('Option 1'!H213="","",'Option 1'!H213)</f>
        <v/>
      </c>
      <c r="I213" s="184" t="str">
        <f>IF('Option 1'!I213="","",'Option 1'!I213)</f>
        <v/>
      </c>
      <c r="J213" s="184" t="str">
        <f>IF('Option 1'!J213="","",'Option 1'!J213)</f>
        <v/>
      </c>
      <c r="K213" s="184" t="str">
        <f>IF('Option 1'!K213="","",'Option 1'!K213)</f>
        <v/>
      </c>
      <c r="L213" s="184">
        <f>IF('Option 1'!L213="","",'Option 1'!L213)</f>
        <v>22142</v>
      </c>
      <c r="M213" s="184" t="str">
        <f>IF('Option 1'!M213="","",'Option 1'!M213)</f>
        <v/>
      </c>
      <c r="N213" s="184" t="str">
        <f>IF('Option 1'!N213="","",'Option 1'!N213)</f>
        <v/>
      </c>
      <c r="O213" s="184" t="str">
        <f>IF('Option 1'!O213="","",'Option 1'!O213)</f>
        <v/>
      </c>
      <c r="P213" s="124">
        <f t="shared" si="12"/>
        <v>22142</v>
      </c>
    </row>
    <row r="214" spans="1:16" ht="15.75" customHeight="1" x14ac:dyDescent="0.25">
      <c r="A214" s="239"/>
      <c r="B214" s="4" t="str">
        <f>IF('Option 1'!B214="","",'Option 1'!B214)</f>
        <v/>
      </c>
      <c r="C214" s="188" t="str">
        <f>IF('Option 1'!C214="","",'Option 1'!C214)</f>
        <v>Core HVAC Unit - 1405 West</v>
      </c>
      <c r="D214" s="186" t="str">
        <f>IF('Option 1'!D214="","",'Option 1'!D214)</f>
        <v/>
      </c>
      <c r="E214" s="184" t="str">
        <f>IF('Option 1'!E214="","",'Option 1'!E214)</f>
        <v/>
      </c>
      <c r="F214" s="184" t="str">
        <f>IF('Option 1'!F214="","",'Option 1'!F214)</f>
        <v/>
      </c>
      <c r="G214" s="184" t="str">
        <f>IF('Option 1'!G214="","",'Option 1'!G214)</f>
        <v/>
      </c>
      <c r="H214" s="184" t="str">
        <f>IF('Option 1'!H214="","",'Option 1'!H214)</f>
        <v/>
      </c>
      <c r="I214" s="184" t="str">
        <f>IF('Option 1'!I214="","",'Option 1'!I214)</f>
        <v/>
      </c>
      <c r="J214" s="184" t="str">
        <f>IF('Option 1'!J214="","",'Option 1'!J214)</f>
        <v/>
      </c>
      <c r="K214" s="184" t="str">
        <f>IF('Option 1'!K214="","",'Option 1'!K214)</f>
        <v/>
      </c>
      <c r="L214" s="184" t="str">
        <f>IF('Option 1'!L214="","",'Option 1'!L214)</f>
        <v/>
      </c>
      <c r="M214" s="184">
        <f>IF('Option 1'!M214="","",'Option 1'!M214)</f>
        <v>11071</v>
      </c>
      <c r="N214" s="184" t="str">
        <f>IF('Option 1'!N214="","",'Option 1'!N214)</f>
        <v/>
      </c>
      <c r="O214" s="184" t="str">
        <f>IF('Option 1'!O214="","",'Option 1'!O214)</f>
        <v/>
      </c>
      <c r="P214" s="124">
        <f t="shared" si="12"/>
        <v>11071</v>
      </c>
    </row>
    <row r="215" spans="1:16" ht="15.75" customHeight="1" x14ac:dyDescent="0.25">
      <c r="A215" s="239"/>
      <c r="B215" s="4" t="str">
        <f>IF('Option 1'!B215="","",'Option 1'!B215)</f>
        <v/>
      </c>
      <c r="C215" s="188" t="str">
        <f>IF('Option 1'!C215="","",'Option 1'!C215)</f>
        <v>HVAC Units - 1605 B &amp; C, &amp; 1515 A &amp; B Wings</v>
      </c>
      <c r="D215" s="186">
        <f>IF('Option 1'!D215="","",'Option 1'!D215)</f>
        <v>43643</v>
      </c>
      <c r="E215" s="184" t="str">
        <f>IF('Option 1'!E215="","",'Option 1'!E215)</f>
        <v/>
      </c>
      <c r="F215" s="184" t="str">
        <f>IF('Option 1'!F215="","",'Option 1'!F215)</f>
        <v/>
      </c>
      <c r="G215" s="184" t="str">
        <f>IF('Option 1'!G215="","",'Option 1'!G215)</f>
        <v/>
      </c>
      <c r="H215" s="184" t="str">
        <f>IF('Option 1'!H215="","",'Option 1'!H215)</f>
        <v/>
      </c>
      <c r="I215" s="184" t="str">
        <f>IF('Option 1'!I215="","",'Option 1'!I215)</f>
        <v/>
      </c>
      <c r="J215" s="184" t="str">
        <f>IF('Option 1'!J215="","",'Option 1'!J215)</f>
        <v/>
      </c>
      <c r="K215" s="184" t="str">
        <f>IF('Option 1'!K215="","",'Option 1'!K215)</f>
        <v/>
      </c>
      <c r="L215" s="184" t="str">
        <f>IF('Option 1'!L215="","",'Option 1'!L215)</f>
        <v/>
      </c>
      <c r="M215" s="184" t="str">
        <f>IF('Option 1'!M215="","",'Option 1'!M215)</f>
        <v/>
      </c>
      <c r="N215" s="184" t="str">
        <f>IF('Option 1'!N215="","",'Option 1'!N215)</f>
        <v/>
      </c>
      <c r="O215" s="184" t="str">
        <f>IF('Option 1'!O215="","",'Option 1'!O215)</f>
        <v/>
      </c>
      <c r="P215" s="124">
        <f t="shared" si="12"/>
        <v>43643</v>
      </c>
    </row>
    <row r="216" spans="1:16" ht="15.75" customHeight="1" x14ac:dyDescent="0.25">
      <c r="A216" s="239"/>
      <c r="B216" s="4" t="str">
        <f>IF('Option 1'!B216="","",'Option 1'!B216)</f>
        <v/>
      </c>
      <c r="C216" s="188" t="str">
        <f>IF('Option 1'!C216="","",'Option 1'!C216)</f>
        <v>HVAC Units - 1615 B, 1515 C &amp; 1415 C Wings</v>
      </c>
      <c r="D216" s="186" t="str">
        <f>IF('Option 1'!D216="","",'Option 1'!D216)</f>
        <v/>
      </c>
      <c r="E216" s="184" t="str">
        <f>IF('Option 1'!E216="","",'Option 1'!E216)</f>
        <v/>
      </c>
      <c r="F216" s="184">
        <f>IF('Option 1'!F216="","",'Option 1'!F216)</f>
        <v>22500</v>
      </c>
      <c r="G216" s="184" t="str">
        <f>IF('Option 1'!G216="","",'Option 1'!G216)</f>
        <v/>
      </c>
      <c r="H216" s="184" t="str">
        <f>IF('Option 1'!H216="","",'Option 1'!H216)</f>
        <v/>
      </c>
      <c r="I216" s="184" t="str">
        <f>IF('Option 1'!I216="","",'Option 1'!I216)</f>
        <v/>
      </c>
      <c r="J216" s="184" t="str">
        <f>IF('Option 1'!J216="","",'Option 1'!J216)</f>
        <v/>
      </c>
      <c r="K216" s="184" t="str">
        <f>IF('Option 1'!K216="","",'Option 1'!K216)</f>
        <v/>
      </c>
      <c r="L216" s="184" t="str">
        <f>IF('Option 1'!L216="","",'Option 1'!L216)</f>
        <v/>
      </c>
      <c r="M216" s="184" t="str">
        <f>IF('Option 1'!M216="","",'Option 1'!M216)</f>
        <v/>
      </c>
      <c r="N216" s="184" t="str">
        <f>IF('Option 1'!N216="","",'Option 1'!N216)</f>
        <v/>
      </c>
      <c r="O216" s="184" t="str">
        <f>IF('Option 1'!O216="","",'Option 1'!O216)</f>
        <v/>
      </c>
      <c r="P216" s="124">
        <f t="shared" si="12"/>
        <v>22500</v>
      </c>
    </row>
    <row r="217" spans="1:16" ht="15.75" customHeight="1" x14ac:dyDescent="0.25">
      <c r="A217" s="239"/>
      <c r="B217" s="4" t="str">
        <f>IF('Option 1'!B217="","",'Option 1'!B217)</f>
        <v/>
      </c>
      <c r="C217" s="188" t="str">
        <f>IF('Option 1'!C217="","",'Option 1'!C217)</f>
        <v>HVAC Units - 1615 A &amp; 1605 A Wing</v>
      </c>
      <c r="D217" s="186" t="str">
        <f>IF('Option 1'!D217="","",'Option 1'!D217)</f>
        <v/>
      </c>
      <c r="E217" s="184" t="str">
        <f>IF('Option 1'!E217="","",'Option 1'!E217)</f>
        <v/>
      </c>
      <c r="F217" s="184" t="str">
        <f>IF('Option 1'!F217="","",'Option 1'!F217)</f>
        <v/>
      </c>
      <c r="G217" s="184">
        <f>IF('Option 1'!G217="","",'Option 1'!G217)</f>
        <v>15000</v>
      </c>
      <c r="H217" s="184" t="str">
        <f>IF('Option 1'!H217="","",'Option 1'!H217)</f>
        <v/>
      </c>
      <c r="I217" s="184" t="str">
        <f>IF('Option 1'!I217="","",'Option 1'!I217)</f>
        <v/>
      </c>
      <c r="J217" s="184" t="str">
        <f>IF('Option 1'!J217="","",'Option 1'!J217)</f>
        <v/>
      </c>
      <c r="K217" s="184" t="str">
        <f>IF('Option 1'!K217="","",'Option 1'!K217)</f>
        <v/>
      </c>
      <c r="L217" s="184" t="str">
        <f>IF('Option 1'!L217="","",'Option 1'!L217)</f>
        <v/>
      </c>
      <c r="M217" s="184" t="str">
        <f>IF('Option 1'!M217="","",'Option 1'!M217)</f>
        <v/>
      </c>
      <c r="N217" s="184" t="str">
        <f>IF('Option 1'!N217="","",'Option 1'!N217)</f>
        <v/>
      </c>
      <c r="O217" s="184" t="str">
        <f>IF('Option 1'!O217="","",'Option 1'!O217)</f>
        <v/>
      </c>
      <c r="P217" s="124">
        <f t="shared" ref="P217:P234" si="13">IF(SUM(D217:O217)=0,0,SUM(D217:O217))</f>
        <v>15000</v>
      </c>
    </row>
    <row r="218" spans="1:16" ht="15.75" customHeight="1" x14ac:dyDescent="0.25">
      <c r="A218" s="239"/>
      <c r="B218" s="4" t="str">
        <f>IF('Option 1'!B218="","",'Option 1'!B218)</f>
        <v/>
      </c>
      <c r="C218" s="188" t="str">
        <f>IF('Option 1'!C218="","",'Option 1'!C218)</f>
        <v>HVAC Unit - 1415 B Wing</v>
      </c>
      <c r="D218" s="186" t="str">
        <f>IF('Option 1'!D218="","",'Option 1'!D218)</f>
        <v/>
      </c>
      <c r="E218" s="184" t="str">
        <f>IF('Option 1'!E218="","",'Option 1'!E218)</f>
        <v/>
      </c>
      <c r="F218" s="184" t="str">
        <f>IF('Option 1'!F218="","",'Option 1'!F218)</f>
        <v/>
      </c>
      <c r="G218" s="184" t="str">
        <f>IF('Option 1'!G218="","",'Option 1'!G218)</f>
        <v/>
      </c>
      <c r="H218" s="184" t="str">
        <f>IF('Option 1'!H218="","",'Option 1'!H218)</f>
        <v/>
      </c>
      <c r="I218" s="184">
        <f>IF('Option 1'!I218="","",'Option 1'!I218)</f>
        <v>7500</v>
      </c>
      <c r="J218" s="184" t="str">
        <f>IF('Option 1'!J218="","",'Option 1'!J218)</f>
        <v/>
      </c>
      <c r="K218" s="184" t="str">
        <f>IF('Option 1'!K218="","",'Option 1'!K218)</f>
        <v/>
      </c>
      <c r="L218" s="184" t="str">
        <f>IF('Option 1'!L218="","",'Option 1'!L218)</f>
        <v/>
      </c>
      <c r="M218" s="184" t="str">
        <f>IF('Option 1'!M218="","",'Option 1'!M218)</f>
        <v/>
      </c>
      <c r="N218" s="184" t="str">
        <f>IF('Option 1'!N218="","",'Option 1'!N218)</f>
        <v/>
      </c>
      <c r="O218" s="184" t="str">
        <f>IF('Option 1'!O218="","",'Option 1'!O218)</f>
        <v/>
      </c>
      <c r="P218" s="124">
        <f t="shared" si="13"/>
        <v>7500</v>
      </c>
    </row>
    <row r="219" spans="1:16" ht="15.75" customHeight="1" x14ac:dyDescent="0.25">
      <c r="A219" s="239"/>
      <c r="B219" s="4" t="str">
        <f>IF('Option 1'!B219="","",'Option 1'!B219)</f>
        <v/>
      </c>
      <c r="C219" s="188" t="str">
        <f>IF('Option 1'!C219="","",'Option 1'!C219)</f>
        <v>HVAC Unit - 1615 C Wing</v>
      </c>
      <c r="D219" s="186" t="str">
        <f>IF('Option 1'!D219="","",'Option 1'!D219)</f>
        <v/>
      </c>
      <c r="E219" s="184" t="str">
        <f>IF('Option 1'!E219="","",'Option 1'!E219)</f>
        <v/>
      </c>
      <c r="F219" s="184" t="str">
        <f>IF('Option 1'!F219="","",'Option 1'!F219)</f>
        <v/>
      </c>
      <c r="G219" s="184" t="str">
        <f>IF('Option 1'!G219="","",'Option 1'!G219)</f>
        <v/>
      </c>
      <c r="H219" s="184" t="str">
        <f>IF('Option 1'!H219="","",'Option 1'!H219)</f>
        <v/>
      </c>
      <c r="I219" s="184" t="str">
        <f>IF('Option 1'!I219="","",'Option 1'!I219)</f>
        <v/>
      </c>
      <c r="J219" s="184">
        <f>IF('Option 1'!J219="","",'Option 1'!J219)</f>
        <v>7500</v>
      </c>
      <c r="K219" s="184" t="str">
        <f>IF('Option 1'!K219="","",'Option 1'!K219)</f>
        <v/>
      </c>
      <c r="L219" s="184" t="str">
        <f>IF('Option 1'!L219="","",'Option 1'!L219)</f>
        <v/>
      </c>
      <c r="M219" s="184" t="str">
        <f>IF('Option 1'!M219="","",'Option 1'!M219)</f>
        <v/>
      </c>
      <c r="N219" s="184" t="str">
        <f>IF('Option 1'!N219="","",'Option 1'!N219)</f>
        <v/>
      </c>
      <c r="O219" s="184" t="str">
        <f>IF('Option 1'!O219="","",'Option 1'!O219)</f>
        <v/>
      </c>
      <c r="P219" s="124">
        <f t="shared" si="13"/>
        <v>7500</v>
      </c>
    </row>
    <row r="220" spans="1:16" ht="15.75" customHeight="1" x14ac:dyDescent="0.25">
      <c r="A220" s="239"/>
      <c r="B220" s="4" t="str">
        <f>IF('Option 1'!B220="","",'Option 1'!B220)</f>
        <v/>
      </c>
      <c r="C220" s="188" t="str">
        <f>IF('Option 1'!C220="","",'Option 1'!C220)</f>
        <v>HVAC Units - 1405 B &amp; C Wings</v>
      </c>
      <c r="D220" s="186" t="str">
        <f>IF('Option 1'!D220="","",'Option 1'!D220)</f>
        <v/>
      </c>
      <c r="E220" s="184" t="str">
        <f>IF('Option 1'!E220="","",'Option 1'!E220)</f>
        <v/>
      </c>
      <c r="F220" s="184" t="str">
        <f>IF('Option 1'!F220="","",'Option 1'!F220)</f>
        <v/>
      </c>
      <c r="G220" s="184" t="str">
        <f>IF('Option 1'!G220="","",'Option 1'!G220)</f>
        <v/>
      </c>
      <c r="H220" s="184" t="str">
        <f>IF('Option 1'!H220="","",'Option 1'!H220)</f>
        <v/>
      </c>
      <c r="I220" s="184" t="str">
        <f>IF('Option 1'!I220="","",'Option 1'!I220)</f>
        <v/>
      </c>
      <c r="J220" s="184" t="str">
        <f>IF('Option 1'!J220="","",'Option 1'!J220)</f>
        <v/>
      </c>
      <c r="K220" s="184">
        <f>IF('Option 1'!K220="","",'Option 1'!K220)</f>
        <v>15000</v>
      </c>
      <c r="L220" s="184" t="str">
        <f>IF('Option 1'!L220="","",'Option 1'!L220)</f>
        <v/>
      </c>
      <c r="M220" s="184" t="str">
        <f>IF('Option 1'!M220="","",'Option 1'!M220)</f>
        <v/>
      </c>
      <c r="N220" s="184" t="str">
        <f>IF('Option 1'!N220="","",'Option 1'!N220)</f>
        <v/>
      </c>
      <c r="O220" s="184" t="str">
        <f>IF('Option 1'!O220="","",'Option 1'!O220)</f>
        <v/>
      </c>
      <c r="P220" s="124">
        <f t="shared" si="13"/>
        <v>15000</v>
      </c>
    </row>
    <row r="221" spans="1:16" ht="15.75" customHeight="1" x14ac:dyDescent="0.25">
      <c r="A221" s="239"/>
      <c r="B221" s="4" t="str">
        <f>IF('Option 1'!B221="","",'Option 1'!B221)</f>
        <v/>
      </c>
      <c r="C221" s="188" t="str">
        <f>IF('Option 1'!C221="","",'Option 1'!C221)</f>
        <v>HVAC Units - 1505 A &amp; B, 1415 A, &amp; 1405 A Wings</v>
      </c>
      <c r="D221" s="186" t="str">
        <f>IF('Option 1'!D221="","",'Option 1'!D221)</f>
        <v/>
      </c>
      <c r="E221" s="184" t="str">
        <f>IF('Option 1'!E221="","",'Option 1'!E221)</f>
        <v/>
      </c>
      <c r="F221" s="184" t="str">
        <f>IF('Option 1'!F221="","",'Option 1'!F221)</f>
        <v/>
      </c>
      <c r="G221" s="184" t="str">
        <f>IF('Option 1'!G221="","",'Option 1'!G221)</f>
        <v/>
      </c>
      <c r="H221" s="184" t="str">
        <f>IF('Option 1'!H221="","",'Option 1'!H221)</f>
        <v/>
      </c>
      <c r="I221" s="184" t="str">
        <f>IF('Option 1'!I221="","",'Option 1'!I221)</f>
        <v/>
      </c>
      <c r="J221" s="184" t="str">
        <f>IF('Option 1'!J221="","",'Option 1'!J221)</f>
        <v/>
      </c>
      <c r="K221" s="184" t="str">
        <f>IF('Option 1'!K221="","",'Option 1'!K221)</f>
        <v/>
      </c>
      <c r="L221" s="184">
        <f>IF('Option 1'!L221="","",'Option 1'!L221)</f>
        <v>30000</v>
      </c>
      <c r="M221" s="184" t="str">
        <f>IF('Option 1'!M221="","",'Option 1'!M221)</f>
        <v/>
      </c>
      <c r="N221" s="184" t="str">
        <f>IF('Option 1'!N221="","",'Option 1'!N221)</f>
        <v/>
      </c>
      <c r="O221" s="184" t="str">
        <f>IF('Option 1'!O221="","",'Option 1'!O221)</f>
        <v/>
      </c>
      <c r="P221" s="124">
        <f t="shared" si="13"/>
        <v>30000</v>
      </c>
    </row>
    <row r="222" spans="1:16" ht="15.75" customHeight="1" x14ac:dyDescent="0.25">
      <c r="A222" s="239"/>
      <c r="B222" s="4" t="str">
        <f>IF('Option 1'!B222="","",'Option 1'!B222)</f>
        <v/>
      </c>
      <c r="C222" s="188" t="str">
        <f>IF('Option 1'!C222="","",'Option 1'!C222)</f>
        <v>Boiler Stacks</v>
      </c>
      <c r="D222" s="186">
        <f>IF('Option 1'!D222="","",'Option 1'!D222)</f>
        <v>31480</v>
      </c>
      <c r="E222" s="184" t="str">
        <f>IF('Option 1'!E222="","",'Option 1'!E222)</f>
        <v/>
      </c>
      <c r="F222" s="184" t="str">
        <f>IF('Option 1'!F222="","",'Option 1'!F222)</f>
        <v/>
      </c>
      <c r="G222" s="184" t="str">
        <f>IF('Option 1'!G222="","",'Option 1'!G222)</f>
        <v/>
      </c>
      <c r="H222" s="184" t="str">
        <f>IF('Option 1'!H222="","",'Option 1'!H222)</f>
        <v/>
      </c>
      <c r="I222" s="184" t="str">
        <f>IF('Option 1'!I222="","",'Option 1'!I222)</f>
        <v/>
      </c>
      <c r="J222" s="184" t="str">
        <f>IF('Option 1'!J222="","",'Option 1'!J222)</f>
        <v/>
      </c>
      <c r="K222" s="184" t="str">
        <f>IF('Option 1'!K222="","",'Option 1'!K222)</f>
        <v/>
      </c>
      <c r="L222" s="184" t="str">
        <f>IF('Option 1'!L222="","",'Option 1'!L222)</f>
        <v/>
      </c>
      <c r="M222" s="184" t="str">
        <f>IF('Option 1'!M222="","",'Option 1'!M222)</f>
        <v/>
      </c>
      <c r="N222" s="184" t="str">
        <f>IF('Option 1'!N222="","",'Option 1'!N222)</f>
        <v/>
      </c>
      <c r="O222" s="184" t="str">
        <f>IF('Option 1'!O222="","",'Option 1'!O222)</f>
        <v/>
      </c>
      <c r="P222" s="124">
        <f t="shared" si="13"/>
        <v>31480</v>
      </c>
    </row>
    <row r="223" spans="1:16" ht="15.75" customHeight="1" x14ac:dyDescent="0.25">
      <c r="A223" s="239"/>
      <c r="B223" s="4" t="str">
        <f>IF('Option 1'!B223="","",'Option 1'!B223)</f>
        <v/>
      </c>
      <c r="C223" s="188" t="str">
        <f>IF('Option 1'!C223="","",'Option 1'!C223)</f>
        <v>Boiler Stacks (Bldg. 1415)</v>
      </c>
      <c r="D223" s="186" t="str">
        <f>IF('Option 1'!D223="","",'Option 1'!D223)</f>
        <v/>
      </c>
      <c r="E223" s="184" t="str">
        <f>IF('Option 1'!E223="","",'Option 1'!E223)</f>
        <v/>
      </c>
      <c r="F223" s="184" t="str">
        <f>IF('Option 1'!F223="","",'Option 1'!F223)</f>
        <v/>
      </c>
      <c r="G223" s="184" t="str">
        <f>IF('Option 1'!G223="","",'Option 1'!G223)</f>
        <v/>
      </c>
      <c r="H223" s="184" t="str">
        <f>IF('Option 1'!H223="","",'Option 1'!H223)</f>
        <v/>
      </c>
      <c r="I223" s="184" t="str">
        <f>IF('Option 1'!I223="","",'Option 1'!I223)</f>
        <v/>
      </c>
      <c r="J223" s="184" t="str">
        <f>IF('Option 1'!J223="","",'Option 1'!J223)</f>
        <v/>
      </c>
      <c r="K223" s="184" t="str">
        <f>IF('Option 1'!K223="","",'Option 1'!K223)</f>
        <v/>
      </c>
      <c r="L223" s="184" t="str">
        <f>IF('Option 1'!L223="","",'Option 1'!L223)</f>
        <v/>
      </c>
      <c r="M223" s="184" t="str">
        <f>IF('Option 1'!M223="","",'Option 1'!M223)</f>
        <v/>
      </c>
      <c r="N223" s="184" t="str">
        <f>IF('Option 1'!N223="","",'Option 1'!N223)</f>
        <v/>
      </c>
      <c r="O223" s="184" t="str">
        <f>IF('Option 1'!O223="","",'Option 1'!O223)</f>
        <v/>
      </c>
      <c r="P223" s="124">
        <f t="shared" si="13"/>
        <v>0</v>
      </c>
    </row>
    <row r="224" spans="1:16" ht="15.75" customHeight="1" x14ac:dyDescent="0.25">
      <c r="A224" s="239"/>
      <c r="B224" s="4" t="str">
        <f>IF('Option 1'!B224="","",'Option 1'!B224)</f>
        <v/>
      </c>
      <c r="C224" s="188" t="str">
        <f>IF('Option 1'!C224="","",'Option 1'!C224)</f>
        <v>Hot Water Storage Tanks</v>
      </c>
      <c r="D224" s="186" t="str">
        <f>IF('Option 1'!D224="","",'Option 1'!D224)</f>
        <v/>
      </c>
      <c r="E224" s="184" t="str">
        <f>IF('Option 1'!E224="","",'Option 1'!E224)</f>
        <v/>
      </c>
      <c r="F224" s="184" t="str">
        <f>IF('Option 1'!F224="","",'Option 1'!F224)</f>
        <v/>
      </c>
      <c r="G224" s="184" t="str">
        <f>IF('Option 1'!G224="","",'Option 1'!G224)</f>
        <v/>
      </c>
      <c r="H224" s="184" t="str">
        <f>IF('Option 1'!H224="","",'Option 1'!H224)</f>
        <v/>
      </c>
      <c r="I224" s="184" t="str">
        <f>IF('Option 1'!I224="","",'Option 1'!I224)</f>
        <v/>
      </c>
      <c r="J224" s="184" t="str">
        <f>IF('Option 1'!J224="","",'Option 1'!J224)</f>
        <v/>
      </c>
      <c r="K224" s="184">
        <f>IF('Option 1'!K224="","",'Option 1'!K224)</f>
        <v>148075</v>
      </c>
      <c r="L224" s="184" t="str">
        <f>IF('Option 1'!L224="","",'Option 1'!L224)</f>
        <v/>
      </c>
      <c r="M224" s="184" t="str">
        <f>IF('Option 1'!M224="","",'Option 1'!M224)</f>
        <v/>
      </c>
      <c r="N224" s="184" t="str">
        <f>IF('Option 1'!N224="","",'Option 1'!N224)</f>
        <v/>
      </c>
      <c r="O224" s="184" t="str">
        <f>IF('Option 1'!O224="","",'Option 1'!O224)</f>
        <v/>
      </c>
      <c r="P224" s="124">
        <f t="shared" si="13"/>
        <v>148075</v>
      </c>
    </row>
    <row r="225" spans="1:16" ht="15.75" customHeight="1" x14ac:dyDescent="0.25">
      <c r="A225" s="239"/>
      <c r="B225" s="4" t="str">
        <f>IF('Option 1'!B225="","",'Option 1'!B225)</f>
        <v/>
      </c>
      <c r="C225" s="188" t="str">
        <f>IF('Option 1'!C225="","",'Option 1'!C225)</f>
        <v>Circulating Pumps</v>
      </c>
      <c r="D225" s="186">
        <f>IF('Option 1'!D225="","",'Option 1'!D225)</f>
        <v>29061</v>
      </c>
      <c r="E225" s="184" t="str">
        <f>IF('Option 1'!E225="","",'Option 1'!E225)</f>
        <v/>
      </c>
      <c r="F225" s="184" t="str">
        <f>IF('Option 1'!F225="","",'Option 1'!F225)</f>
        <v/>
      </c>
      <c r="G225" s="184" t="str">
        <f>IF('Option 1'!G225="","",'Option 1'!G225)</f>
        <v/>
      </c>
      <c r="H225" s="184" t="str">
        <f>IF('Option 1'!H225="","",'Option 1'!H225)</f>
        <v/>
      </c>
      <c r="I225" s="184" t="str">
        <f>IF('Option 1'!I225="","",'Option 1'!I225)</f>
        <v/>
      </c>
      <c r="J225" s="184" t="str">
        <f>IF('Option 1'!J225="","",'Option 1'!J225)</f>
        <v/>
      </c>
      <c r="K225" s="184" t="str">
        <f>IF('Option 1'!K225="","",'Option 1'!K225)</f>
        <v/>
      </c>
      <c r="L225" s="184" t="str">
        <f>IF('Option 1'!L225="","",'Option 1'!L225)</f>
        <v/>
      </c>
      <c r="M225" s="184" t="str">
        <f>IF('Option 1'!M225="","",'Option 1'!M225)</f>
        <v/>
      </c>
      <c r="N225" s="184">
        <f>IF('Option 1'!N225="","",'Option 1'!N225)</f>
        <v>29061</v>
      </c>
      <c r="O225" s="184" t="str">
        <f>IF('Option 1'!O225="","",'Option 1'!O225)</f>
        <v/>
      </c>
      <c r="P225" s="124">
        <f t="shared" si="13"/>
        <v>58122</v>
      </c>
    </row>
    <row r="226" spans="1:16" ht="15.75" customHeight="1" x14ac:dyDescent="0.25">
      <c r="A226" s="239"/>
      <c r="B226" s="4" t="str">
        <f>IF('Option 1'!B226="","",'Option 1'!B226)</f>
        <v/>
      </c>
      <c r="C226" s="188" t="str">
        <f>IF('Option 1'!C226="","",'Option 1'!C226)</f>
        <v>Sump Pumps</v>
      </c>
      <c r="D226" s="186" t="str">
        <f>IF('Option 1'!D226="","",'Option 1'!D226)</f>
        <v/>
      </c>
      <c r="E226" s="184" t="str">
        <f>IF('Option 1'!E226="","",'Option 1'!E226)</f>
        <v/>
      </c>
      <c r="F226" s="184" t="str">
        <f>IF('Option 1'!F226="","",'Option 1'!F226)</f>
        <v/>
      </c>
      <c r="G226" s="184" t="str">
        <f>IF('Option 1'!G226="","",'Option 1'!G226)</f>
        <v/>
      </c>
      <c r="H226" s="184">
        <f>IF('Option 1'!H226="","",'Option 1'!H226)</f>
        <v>59507</v>
      </c>
      <c r="I226" s="184" t="str">
        <f>IF('Option 1'!I226="","",'Option 1'!I226)</f>
        <v/>
      </c>
      <c r="J226" s="184" t="str">
        <f>IF('Option 1'!J226="","",'Option 1'!J226)</f>
        <v/>
      </c>
      <c r="K226" s="184" t="str">
        <f>IF('Option 1'!K226="","",'Option 1'!K226)</f>
        <v/>
      </c>
      <c r="L226" s="184" t="str">
        <f>IF('Option 1'!L226="","",'Option 1'!L226)</f>
        <v/>
      </c>
      <c r="M226" s="184" t="str">
        <f>IF('Option 1'!M226="","",'Option 1'!M226)</f>
        <v/>
      </c>
      <c r="N226" s="184" t="str">
        <f>IF('Option 1'!N226="","",'Option 1'!N226)</f>
        <v/>
      </c>
      <c r="O226" s="184" t="str">
        <f>IF('Option 1'!O226="","",'Option 1'!O226)</f>
        <v/>
      </c>
      <c r="P226" s="124">
        <f t="shared" si="13"/>
        <v>59507</v>
      </c>
    </row>
    <row r="227" spans="1:16" ht="15.75" customHeight="1" x14ac:dyDescent="0.25">
      <c r="A227" s="239"/>
      <c r="B227" s="4" t="str">
        <f>IF('Option 1'!B227="","",'Option 1'!B227)</f>
        <v/>
      </c>
      <c r="C227" s="188" t="str">
        <f>IF('Option 1'!C227="","",'Option 1'!C227)</f>
        <v>Garage Exhaust Fans</v>
      </c>
      <c r="D227" s="186" t="str">
        <f>IF('Option 1'!D227="","",'Option 1'!D227)</f>
        <v/>
      </c>
      <c r="E227" s="184" t="str">
        <f>IF('Option 1'!E227="","",'Option 1'!E227)</f>
        <v/>
      </c>
      <c r="F227" s="184" t="str">
        <f>IF('Option 1'!F227="","",'Option 1'!F227)</f>
        <v/>
      </c>
      <c r="G227" s="184" t="str">
        <f>IF('Option 1'!G227="","",'Option 1'!G227)</f>
        <v/>
      </c>
      <c r="H227" s="184" t="str">
        <f>IF('Option 1'!H227="","",'Option 1'!H227)</f>
        <v/>
      </c>
      <c r="I227" s="184" t="str">
        <f>IF('Option 1'!I227="","",'Option 1'!I227)</f>
        <v/>
      </c>
      <c r="J227" s="184">
        <f>IF('Option 1'!J227="","",'Option 1'!J227)</f>
        <v>60891</v>
      </c>
      <c r="K227" s="184" t="str">
        <f>IF('Option 1'!K227="","",'Option 1'!K227)</f>
        <v/>
      </c>
      <c r="L227" s="184" t="str">
        <f>IF('Option 1'!L227="","",'Option 1'!L227)</f>
        <v/>
      </c>
      <c r="M227" s="184" t="str">
        <f>IF('Option 1'!M227="","",'Option 1'!M227)</f>
        <v/>
      </c>
      <c r="N227" s="184" t="str">
        <f>IF('Option 1'!N227="","",'Option 1'!N227)</f>
        <v/>
      </c>
      <c r="O227" s="184" t="str">
        <f>IF('Option 1'!O227="","",'Option 1'!O227)</f>
        <v/>
      </c>
      <c r="P227" s="124">
        <f t="shared" si="13"/>
        <v>60891</v>
      </c>
    </row>
    <row r="228" spans="1:16" ht="15.75" customHeight="1" x14ac:dyDescent="0.25">
      <c r="A228" s="239"/>
      <c r="B228" s="4" t="str">
        <f>IF('Option 1'!B228="","",'Option 1'!B228)</f>
        <v/>
      </c>
      <c r="C228" s="188" t="str">
        <f>IF('Option 1'!C228="","",'Option 1'!C228)</f>
        <v>Emergency Generators</v>
      </c>
      <c r="D228" s="186" t="str">
        <f>IF('Option 1'!D228="","",'Option 1'!D228)</f>
        <v/>
      </c>
      <c r="E228" s="184" t="str">
        <f>IF('Option 1'!E228="","",'Option 1'!E228)</f>
        <v/>
      </c>
      <c r="F228" s="184" t="str">
        <f>IF('Option 1'!F228="","",'Option 1'!F228)</f>
        <v/>
      </c>
      <c r="G228" s="184" t="str">
        <f>IF('Option 1'!G228="","",'Option 1'!G228)</f>
        <v/>
      </c>
      <c r="H228" s="184" t="str">
        <f>IF('Option 1'!H228="","",'Option 1'!H228)</f>
        <v/>
      </c>
      <c r="I228" s="184" t="str">
        <f>IF('Option 1'!I228="","",'Option 1'!I228)</f>
        <v/>
      </c>
      <c r="J228" s="184" t="str">
        <f>IF('Option 1'!J228="","",'Option 1'!J228)</f>
        <v/>
      </c>
      <c r="K228" s="184" t="str">
        <f>IF('Option 1'!K228="","",'Option 1'!K228)</f>
        <v/>
      </c>
      <c r="L228" s="184" t="str">
        <f>IF('Option 1'!L228="","",'Option 1'!L228)</f>
        <v/>
      </c>
      <c r="M228" s="184" t="str">
        <f>IF('Option 1'!M228="","",'Option 1'!M228)</f>
        <v/>
      </c>
      <c r="N228" s="184" t="str">
        <f>IF('Option 1'!N228="","",'Option 1'!N228)</f>
        <v/>
      </c>
      <c r="O228" s="184" t="str">
        <f>IF('Option 1'!O228="","",'Option 1'!O228)</f>
        <v/>
      </c>
      <c r="P228" s="124">
        <f t="shared" si="13"/>
        <v>0</v>
      </c>
    </row>
    <row r="229" spans="1:16" ht="15.75" customHeight="1" x14ac:dyDescent="0.25">
      <c r="A229" s="239"/>
      <c r="B229" s="4" t="str">
        <f>IF('Option 1'!B229="","",'Option 1'!B229)</f>
        <v/>
      </c>
      <c r="C229" s="188" t="str">
        <f>IF('Option 1'!C229="","",'Option 1'!C229)</f>
        <v>Fire Pumps/Fire Protection</v>
      </c>
      <c r="D229" s="186" t="str">
        <f>IF('Option 1'!D229="","",'Option 1'!D229)</f>
        <v/>
      </c>
      <c r="E229" s="184" t="str">
        <f>IF('Option 1'!E229="","",'Option 1'!E229)</f>
        <v/>
      </c>
      <c r="F229" s="184" t="str">
        <f>IF('Option 1'!F229="","",'Option 1'!F229)</f>
        <v/>
      </c>
      <c r="G229" s="184" t="str">
        <f>IF('Option 1'!G229="","",'Option 1'!G229)</f>
        <v/>
      </c>
      <c r="H229" s="184" t="str">
        <f>IF('Option 1'!H229="","",'Option 1'!H229)</f>
        <v/>
      </c>
      <c r="I229" s="184" t="str">
        <f>IF('Option 1'!I229="","",'Option 1'!I229)</f>
        <v/>
      </c>
      <c r="J229" s="184" t="str">
        <f>IF('Option 1'!J229="","",'Option 1'!J229)</f>
        <v/>
      </c>
      <c r="K229" s="184" t="str">
        <f>IF('Option 1'!K229="","",'Option 1'!K229)</f>
        <v/>
      </c>
      <c r="L229" s="184" t="str">
        <f>IF('Option 1'!L229="","",'Option 1'!L229)</f>
        <v/>
      </c>
      <c r="M229" s="184" t="str">
        <f>IF('Option 1'!M229="","",'Option 1'!M229)</f>
        <v/>
      </c>
      <c r="N229" s="184" t="str">
        <f>IF('Option 1'!N229="","",'Option 1'!N229)</f>
        <v/>
      </c>
      <c r="O229" s="184" t="str">
        <f>IF('Option 1'!O229="","",'Option 1'!O229)</f>
        <v/>
      </c>
      <c r="P229" s="124">
        <f t="shared" si="13"/>
        <v>0</v>
      </c>
    </row>
    <row r="230" spans="1:16" ht="15.75" customHeight="1" x14ac:dyDescent="0.25">
      <c r="A230" s="239"/>
      <c r="B230" s="4" t="str">
        <f>IF('Option 1'!B230="","",'Option 1'!B230)</f>
        <v/>
      </c>
      <c r="C230" s="188" t="str">
        <f>IF('Option 1'!C230="","",'Option 1'!C230)</f>
        <v/>
      </c>
      <c r="D230" s="186" t="str">
        <f>IF('Option 1'!D230="","",'Option 1'!D230)</f>
        <v/>
      </c>
      <c r="E230" s="184" t="str">
        <f>IF('Option 1'!E230="","",'Option 1'!E230)</f>
        <v/>
      </c>
      <c r="F230" s="184" t="str">
        <f>IF('Option 1'!F230="","",'Option 1'!F230)</f>
        <v/>
      </c>
      <c r="G230" s="184" t="str">
        <f>IF('Option 1'!G230="","",'Option 1'!G230)</f>
        <v/>
      </c>
      <c r="H230" s="184" t="str">
        <f>IF('Option 1'!H230="","",'Option 1'!H230)</f>
        <v/>
      </c>
      <c r="I230" s="184" t="str">
        <f>IF('Option 1'!I230="","",'Option 1'!I230)</f>
        <v/>
      </c>
      <c r="J230" s="184" t="str">
        <f>IF('Option 1'!J230="","",'Option 1'!J230)</f>
        <v/>
      </c>
      <c r="K230" s="184" t="str">
        <f>IF('Option 1'!K230="","",'Option 1'!K230)</f>
        <v/>
      </c>
      <c r="L230" s="184" t="str">
        <f>IF('Option 1'!L230="","",'Option 1'!L230)</f>
        <v/>
      </c>
      <c r="M230" s="184" t="str">
        <f>IF('Option 1'!M230="","",'Option 1'!M230)</f>
        <v/>
      </c>
      <c r="N230" s="184" t="str">
        <f>IF('Option 1'!N230="","",'Option 1'!N230)</f>
        <v/>
      </c>
      <c r="O230" s="184" t="str">
        <f>IF('Option 1'!O230="","",'Option 1'!O230)</f>
        <v/>
      </c>
      <c r="P230" s="124">
        <f t="shared" ref="P230:P233" si="14">IF(SUM(D230:O230)=0,0,SUM(D230:O230))</f>
        <v>0</v>
      </c>
    </row>
    <row r="231" spans="1:16" ht="15.75" customHeight="1" x14ac:dyDescent="0.25">
      <c r="A231" s="239"/>
      <c r="B231" s="4" t="str">
        <f>IF('Option 1'!B231="","",'Option 1'!B231)</f>
        <v/>
      </c>
      <c r="C231" s="213" t="str">
        <f>IF('Option 1'!C231="","",'Option 1'!C231)</f>
        <v>Existing Loan Payoff - 274925</v>
      </c>
      <c r="D231" s="186">
        <f>IF('Option 1'!D231="","",'Option 1'!D231)</f>
        <v>274925</v>
      </c>
      <c r="E231" s="184" t="str">
        <f>IF('Option 1'!E231="","",'Option 1'!E231)</f>
        <v/>
      </c>
      <c r="F231" s="184" t="str">
        <f>IF('Option 1'!F231="","",'Option 1'!F231)</f>
        <v/>
      </c>
      <c r="G231" s="184" t="str">
        <f>IF('Option 1'!G231="","",'Option 1'!G231)</f>
        <v/>
      </c>
      <c r="H231" s="184" t="str">
        <f>IF('Option 1'!H231="","",'Option 1'!H231)</f>
        <v/>
      </c>
      <c r="I231" s="184" t="str">
        <f>IF('Option 1'!I231="","",'Option 1'!I231)</f>
        <v/>
      </c>
      <c r="J231" s="184" t="str">
        <f>IF('Option 1'!J231="","",'Option 1'!J231)</f>
        <v/>
      </c>
      <c r="K231" s="184" t="str">
        <f>IF('Option 1'!K231="","",'Option 1'!K231)</f>
        <v/>
      </c>
      <c r="L231" s="184" t="str">
        <f>IF('Option 1'!L231="","",'Option 1'!L231)</f>
        <v/>
      </c>
      <c r="M231" s="184" t="str">
        <f>IF('Option 1'!M231="","",'Option 1'!M231)</f>
        <v/>
      </c>
      <c r="N231" s="184" t="str">
        <f>IF('Option 1'!N231="","",'Option 1'!N231)</f>
        <v/>
      </c>
      <c r="O231" s="184" t="str">
        <f>IF('Option 1'!O231="","",'Option 1'!O231)</f>
        <v/>
      </c>
      <c r="P231" s="124">
        <f t="shared" si="14"/>
        <v>274925</v>
      </c>
    </row>
    <row r="232" spans="1:16" ht="15.75" customHeight="1" x14ac:dyDescent="0.25">
      <c r="A232" s="239"/>
      <c r="B232" s="4" t="str">
        <f>IF('Option 1'!B232="","",'Option 1'!B232)</f>
        <v/>
      </c>
      <c r="C232" s="4" t="str">
        <f>IF('Option 1'!C232="","",'Option 1'!C232)</f>
        <v>Existing Loan</v>
      </c>
      <c r="D232" s="58">
        <f>IF('Option 1'!D232="","",'Option 1'!D232)</f>
        <v>46220</v>
      </c>
      <c r="E232" s="184" t="str">
        <f>IF('Option 1'!E232="","",'Option 1'!E232)</f>
        <v/>
      </c>
      <c r="F232" s="184" t="str">
        <f>IF('Option 1'!F232="","",'Option 1'!F232)</f>
        <v/>
      </c>
      <c r="G232" s="184" t="str">
        <f>IF('Option 1'!G232="","",'Option 1'!G232)</f>
        <v/>
      </c>
      <c r="H232" s="184" t="str">
        <f>IF('Option 1'!H232="","",'Option 1'!H232)</f>
        <v/>
      </c>
      <c r="I232" s="184" t="str">
        <f>IF('Option 1'!I232="","",'Option 1'!I232)</f>
        <v/>
      </c>
      <c r="J232" s="184" t="str">
        <f>IF('Option 1'!J232="","",'Option 1'!J232)</f>
        <v/>
      </c>
      <c r="K232" s="184" t="str">
        <f>IF('Option 1'!K232="","",'Option 1'!K232)</f>
        <v/>
      </c>
      <c r="L232" s="184" t="str">
        <f>IF('Option 1'!L232="","",'Option 1'!L232)</f>
        <v/>
      </c>
      <c r="M232" s="184" t="str">
        <f>IF('Option 1'!M232="","",'Option 1'!M232)</f>
        <v/>
      </c>
      <c r="N232" s="184" t="str">
        <f>IF('Option 1'!N232="","",'Option 1'!N232)</f>
        <v/>
      </c>
      <c r="O232" s="184" t="str">
        <f>IF('Option 1'!O232="","",'Option 1'!O232)</f>
        <v/>
      </c>
      <c r="P232" s="124">
        <f t="shared" si="14"/>
        <v>46220</v>
      </c>
    </row>
    <row r="233" spans="1:16" ht="15.75" customHeight="1" x14ac:dyDescent="0.25">
      <c r="A233" s="239"/>
      <c r="B233" s="4" t="str">
        <f>IF('Option 1'!B233="","",'Option 1'!B233)</f>
        <v/>
      </c>
      <c r="C233" s="188" t="str">
        <f>IF('Option 1'!C233="","",'Option 1'!C233)</f>
        <v/>
      </c>
      <c r="D233" s="186" t="str">
        <f>IF('Option 1'!D233="","",'Option 1'!D233)</f>
        <v/>
      </c>
      <c r="E233" s="184" t="str">
        <f>IF('Option 1'!E233="","",'Option 1'!E233)</f>
        <v/>
      </c>
      <c r="F233" s="184" t="str">
        <f>IF('Option 1'!F233="","",'Option 1'!F233)</f>
        <v/>
      </c>
      <c r="G233" s="184" t="str">
        <f>IF('Option 1'!G233="","",'Option 1'!G233)</f>
        <v/>
      </c>
      <c r="H233" s="184" t="str">
        <f>IF('Option 1'!H233="","",'Option 1'!H233)</f>
        <v/>
      </c>
      <c r="I233" s="184" t="str">
        <f>IF('Option 1'!I233="","",'Option 1'!I233)</f>
        <v/>
      </c>
      <c r="J233" s="184" t="str">
        <f>IF('Option 1'!J233="","",'Option 1'!J233)</f>
        <v/>
      </c>
      <c r="K233" s="184" t="str">
        <f>IF('Option 1'!K233="","",'Option 1'!K233)</f>
        <v/>
      </c>
      <c r="L233" s="184" t="str">
        <f>IF('Option 1'!L233="","",'Option 1'!L233)</f>
        <v/>
      </c>
      <c r="M233" s="184" t="str">
        <f>IF('Option 1'!M233="","",'Option 1'!M233)</f>
        <v/>
      </c>
      <c r="N233" s="184" t="str">
        <f>IF('Option 1'!N233="","",'Option 1'!N233)</f>
        <v/>
      </c>
      <c r="O233" s="184" t="str">
        <f>IF('Option 1'!O233="","",'Option 1'!O233)</f>
        <v/>
      </c>
      <c r="P233" s="124">
        <f t="shared" si="14"/>
        <v>0</v>
      </c>
    </row>
    <row r="234" spans="1:16" ht="15.75" customHeight="1" x14ac:dyDescent="0.25">
      <c r="A234" s="239"/>
      <c r="B234" s="4" t="str">
        <f>IF('Option 1'!B234="","",'Option 1'!B234)</f>
        <v/>
      </c>
      <c r="C234" s="209" t="str">
        <f>IF('Option 1'!C234="","",'Option 1'!C234)</f>
        <v/>
      </c>
      <c r="D234" s="159" t="str">
        <f>IF('Option 1'!D234="","",'Option 1'!D234)</f>
        <v/>
      </c>
      <c r="E234" s="175" t="str">
        <f>IF('Option 1'!E234="","",'Option 1'!E234)</f>
        <v/>
      </c>
      <c r="F234" s="59" t="str">
        <f>IF('Option 1'!F234="","",'Option 1'!F234)</f>
        <v/>
      </c>
      <c r="G234" s="59" t="str">
        <f>IF('Option 1'!G234="","",'Option 1'!G234)</f>
        <v/>
      </c>
      <c r="H234" s="59" t="str">
        <f>IF('Option 1'!H234="","",'Option 1'!H234)</f>
        <v/>
      </c>
      <c r="I234" s="59" t="str">
        <f>IF('Option 1'!I234="","",'Option 1'!I234)</f>
        <v/>
      </c>
      <c r="J234" s="59" t="str">
        <f>IF('Option 1'!J234="","",'Option 1'!J234)</f>
        <v/>
      </c>
      <c r="K234" s="59" t="str">
        <f>IF('Option 1'!K234="","",'Option 1'!K234)</f>
        <v/>
      </c>
      <c r="L234" s="59" t="str">
        <f>IF('Option 1'!L234="","",'Option 1'!L234)</f>
        <v/>
      </c>
      <c r="M234" s="59" t="str">
        <f>IF('Option 1'!M234="","",'Option 1'!M234)</f>
        <v/>
      </c>
      <c r="N234" s="59" t="str">
        <f>IF('Option 1'!N234="","",'Option 1'!N234)</f>
        <v/>
      </c>
      <c r="O234" s="59" t="str">
        <f>IF('Option 1'!O234="","",'Option 1'!O234)</f>
        <v/>
      </c>
      <c r="P234" s="124">
        <f t="shared" si="13"/>
        <v>0</v>
      </c>
    </row>
    <row r="235" spans="1:16" ht="15.75" customHeight="1" x14ac:dyDescent="0.25">
      <c r="A235" s="239"/>
      <c r="B235" s="4"/>
      <c r="C235" s="4"/>
      <c r="D235" s="159"/>
      <c r="E235" s="176"/>
      <c r="F235" s="59"/>
      <c r="G235" s="59"/>
      <c r="H235" s="59"/>
      <c r="I235" s="59"/>
      <c r="J235" s="59"/>
      <c r="K235" s="59"/>
      <c r="L235" s="59"/>
      <c r="M235" s="59"/>
      <c r="N235" s="59"/>
      <c r="O235" s="59"/>
      <c r="P235" s="124">
        <f t="shared" ref="P235:P244" si="15">IF(SUM(D235:O235)=0,0,SUM(D235:O235))</f>
        <v>0</v>
      </c>
    </row>
    <row r="236" spans="1:16" ht="15.75" customHeight="1" x14ac:dyDescent="0.25">
      <c r="A236" s="239"/>
      <c r="B236" s="4"/>
      <c r="C236" s="4" t="s">
        <v>33</v>
      </c>
      <c r="D236" s="58">
        <f>IF(Assumptions!$D$21=0,0,IF(YEAR(Assumptions!D22)&gt;Assumptions!D7,0,IF(ISERROR(IF((Assumptions!$D$13*1.75*Assumptions!$D$24*12)&gt;1000,(Assumptions!$D$13*1.75*Assumptions!$D$24*12)/2+((((Assumptions!$D$13*1.75*Assumptions!$D$24*12)/2)/(Assumptions!$D$24*12))*Calc!$B$65),1000)),0,IF((Assumptions!$D$13*1.75*Assumptions!$D$24*12)&gt;1000,(Assumptions!$D$13*1.75*Assumptions!$D$24*12)/2+((((Assumptions!$D$13*1.75*Assumptions!$D$24*12)/2)/(Assumptions!$D$24*12))*Calc!$B$65),1000))))</f>
        <v>0</v>
      </c>
      <c r="E236" s="58">
        <f>IF(Assumptions!$D$21=0,0,IF(D236=0,IF(ISERROR(IF((Assumptions!$D$13*1.75*Assumptions!$D$24*12)&gt;1000,(Assumptions!$D$13*1.75*Assumptions!$D$24*12)/2+((((Assumptions!$D$13*1.75*Assumptions!$D$24*12)/2)/(Assumptions!$D$24*12))*Calc!$B$65),1000)),0,IF((Assumptions!$D$13*1.75*Assumptions!$D$24*12)&gt;1000,(Assumptions!$D$13*1.75*Assumptions!$D$24*12)/2+((((Assumptions!$D$13*1.75*Assumptions!$D$24*12)/2)/(Assumptions!$D$24*12))*Calc!$B$65),1000))+IF(ISERROR(((((Assumptions!$D$13*1.75*Assumptions!$D$24*12)/2)/(Assumptions!$D$24*12))*Calc!C65)),0,((((Assumptions!$D$13*1.75*Assumptions!$D$24*12)/2)/(Assumptions!$D$24*12))*Calc!C65)),IF(ISERROR(((((Assumptions!$D$13*1.75*Assumptions!$D$24*12)/2)/(Assumptions!$D$24*12))*Calc!C65)),0,((((Assumptions!$D$13*1.75*Assumptions!$D$24*12)/2)/(Assumptions!$D$24*12))*Calc!C65))))</f>
        <v>57634.5</v>
      </c>
      <c r="F236" s="58">
        <f>IF(Assumptions!$D$21=0,0,IF(ISERROR(((((Assumptions!$D$13*1.75*Assumptions!$D$24*12)/2)/(Assumptions!$D$24*12))*Calc!D65)),0,((((Assumptions!$D$13*1.75*Assumptions!$D$24*12)/2)/(Assumptions!$D$24*12))*Calc!D65)))</f>
        <v>5239.5</v>
      </c>
      <c r="G236" s="58">
        <f>IF(Assumptions!$D$21=0,0,IF(ISERROR(((((Assumptions!$D$13*1.75*Assumptions!$D$24*12)/2)/(Assumptions!$D$24*12))*Calc!E65)),0,((((Assumptions!$D$13*1.75*Assumptions!$D$24*12)/2)/(Assumptions!$D$24*12))*Calc!E65)))</f>
        <v>5239.5</v>
      </c>
      <c r="H236" s="58">
        <f>IF(Assumptions!$D$21=0,0,IF(ISERROR(((((Assumptions!$D$13*1.75*Assumptions!$D$24*12)/2)/(Assumptions!$D$24*12))*Calc!F65)),0,((((Assumptions!$D$13*1.75*Assumptions!$D$24*12)/2)/(Assumptions!$D$24*12))*Calc!F65)))</f>
        <v>5239.5</v>
      </c>
      <c r="I236" s="58">
        <f>IF(Assumptions!$D$21=0,0,IF(ISERROR(((((Assumptions!$D$13*1.75*Assumptions!$D$24*12)/2)/(Assumptions!$D$24*12))*Calc!G65)),0,((((Assumptions!$D$13*1.75*Assumptions!$D$24*12)/2)/(Assumptions!$D$24*12))*Calc!G65)))</f>
        <v>5239.5</v>
      </c>
      <c r="J236" s="58">
        <f>IF(Assumptions!$D$21=0,0,IF(ISERROR(((((Assumptions!$D$13*1.75*Assumptions!$D$24*12)/2)/(Assumptions!$D$24*12))*Calc!H65)),0,((((Assumptions!$D$13*1.75*Assumptions!$D$24*12)/2)/(Assumptions!$D$24*12))*Calc!H65)))</f>
        <v>5239.5</v>
      </c>
      <c r="K236" s="58">
        <f>IF(Assumptions!$D$21=0,0,IF(ISERROR(((((Assumptions!$D$13*1.75*Assumptions!$D$24*12)/2)/(Assumptions!$D$24*12))*Calc!I65)),0,((((Assumptions!$D$13*1.75*Assumptions!$D$24*12)/2)/(Assumptions!$D$24*12))*Calc!I65)))</f>
        <v>5239.5</v>
      </c>
      <c r="L236" s="58">
        <f>IF(Assumptions!$D$21=0,0,IF(ISERROR(((((Assumptions!$D$13*1.75*Assumptions!$D$24*12)/2)/(Assumptions!$D$24*12))*Calc!J65)),0,((((Assumptions!$D$13*1.75*Assumptions!$D$24*12)/2)/(Assumptions!$D$24*12))*Calc!J65)))</f>
        <v>5239.5</v>
      </c>
      <c r="M236" s="58">
        <f>IF(Assumptions!$D$21=0,0,IF(ISERROR(((((Assumptions!$D$13*1.75*Assumptions!$D$24*12)/2)/(Assumptions!$D$24*12))*Calc!K65)),0,((((Assumptions!$D$13*1.75*Assumptions!$D$24*12)/2)/(Assumptions!$D$24*12))*Calc!K65)))</f>
        <v>5239.5</v>
      </c>
      <c r="N236" s="58">
        <f>IF(Assumptions!$D$21=0,0,IF(ISERROR(((((Assumptions!$D$13*1.75*Assumptions!$D$24*12)/2)/(Assumptions!$D$24*12))*Calc!L65)),0,((((Assumptions!$D$13*1.75*Assumptions!$D$24*12)/2)/(Assumptions!$D$24*12))*Calc!L65)))</f>
        <v>5239.5</v>
      </c>
      <c r="O236" s="58">
        <f>IF(Assumptions!$D$21=0,0,IF(ISERROR(((((Assumptions!$D$13*1.75*Assumptions!$D$24*12)/2)/(Assumptions!$D$24*12))*Calc!M65)),0,((((Assumptions!$D$13*1.75*Assumptions!$D$24*12)/2)/(Assumptions!$D$24*12))*Calc!M65)))</f>
        <v>0</v>
      </c>
      <c r="P236" s="124">
        <f t="shared" si="15"/>
        <v>104790</v>
      </c>
    </row>
    <row r="237" spans="1:16" ht="15.75" customHeight="1" x14ac:dyDescent="0.25">
      <c r="A237" s="239"/>
      <c r="B237" s="4"/>
      <c r="C237" s="4"/>
      <c r="D237" s="58"/>
      <c r="E237" s="59"/>
      <c r="F237" s="59"/>
      <c r="G237" s="59"/>
      <c r="H237" s="59"/>
      <c r="I237" s="59"/>
      <c r="J237" s="59"/>
      <c r="K237" s="59"/>
      <c r="L237" s="59"/>
      <c r="M237" s="59"/>
      <c r="N237" s="59"/>
      <c r="O237" s="59"/>
      <c r="P237" s="124">
        <f t="shared" si="15"/>
        <v>0</v>
      </c>
    </row>
    <row r="238" spans="1:16" ht="15.75" x14ac:dyDescent="0.25">
      <c r="A238" s="239"/>
      <c r="B238" s="4"/>
      <c r="C238" s="4"/>
      <c r="D238" s="58"/>
      <c r="E238" s="58"/>
      <c r="F238" s="59"/>
      <c r="G238" s="59"/>
      <c r="H238" s="59"/>
      <c r="I238" s="59"/>
      <c r="J238" s="59"/>
      <c r="K238" s="59"/>
      <c r="L238" s="59"/>
      <c r="M238" s="59"/>
      <c r="N238" s="59"/>
      <c r="O238" s="59"/>
      <c r="P238" s="124">
        <f t="shared" ref="P238" si="16">IF(SUM(D238:O238)=0,0,SUM(D238:O238))</f>
        <v>0</v>
      </c>
    </row>
    <row r="239" spans="1:16" ht="15.75" customHeight="1" x14ac:dyDescent="0.25">
      <c r="A239" s="239"/>
      <c r="B239" s="4" t="s">
        <v>13</v>
      </c>
      <c r="C239" s="4" t="s">
        <v>30</v>
      </c>
      <c r="D239" s="58">
        <f>IF(Assumptions!$D$30=0,IF(ISERROR(-CUMIPMT(0.00000000001/12,Assumptions!$D$36*12,Assumptions!$D$30,D20,D21,0)),0,-CUMIPMT(0.00000000001/12,Assumptions!$D$36*12,Assumptions!$D$30,D20,D21,0)),IF(ISERROR(-CUMIPMT(Assumptions!$D$33/12,Assumptions!$D$36*12,Assumptions!$D$30,D20,D21,0)),0,-CUMIPMT(Assumptions!$D$33/12,Assumptions!$D$36*12,Assumptions!$D$30,D20,D21,0)))</f>
        <v>0</v>
      </c>
      <c r="E239" s="58">
        <f>IF(Assumptions!$D$30=0,IF(ISERROR(-CUMIPMT(0.00000000001/12,Assumptions!$D$36*12,Assumptions!$D$30,E20,E21,0)),0,-CUMIPMT(0.00000000001/12,Assumptions!$D$36*12,Assumptions!$D$30,E20,E21,0)),IF(ISERROR(-CUMIPMT(Assumptions!$D$33/12,Assumptions!$D$36*12,Assumptions!$D$30,E20,E21,0)),0,-CUMIPMT(Assumptions!$D$33/12,Assumptions!$D$36*12,Assumptions!$D$30,E20,E21,0)))</f>
        <v>0</v>
      </c>
      <c r="F239" s="58">
        <f>IF(Assumptions!$D$30=0,IF(ISERROR(-CUMIPMT(0.00000000001/12,Assumptions!$D$36*12,Assumptions!$D$30,F20,F21,0)),0,-CUMIPMT(0.00000000001/12,Assumptions!$D$36*12,Assumptions!$D$30,F20,F21,0)),IF(ISERROR(-CUMIPMT(Assumptions!$D$33/12,Assumptions!$D$36*12,Assumptions!$D$30,F20,F21,0)),0,-CUMIPMT(Assumptions!$D$33/12,Assumptions!$D$36*12,Assumptions!$D$30,F20,F21,0)))</f>
        <v>0</v>
      </c>
      <c r="G239" s="58">
        <f>IF(Assumptions!$D$30=0,IF(ISERROR(-CUMIPMT(0.00000000001/12,Assumptions!$D$36*12,Assumptions!$D$30,G20,G21,0)),0,-CUMIPMT(0.00000000001/12,Assumptions!$D$36*12,Assumptions!$D$30,G20,G21,0)),IF(ISERROR(-CUMIPMT(Assumptions!$D$33/12,Assumptions!$D$36*12,Assumptions!$D$30,G20,G21,0)),0,-CUMIPMT(Assumptions!$D$33/12,Assumptions!$D$36*12,Assumptions!$D$30,G20,G21,0)))</f>
        <v>0</v>
      </c>
      <c r="H239" s="58">
        <f>IF(Assumptions!$D$30=0,IF(ISERROR(-CUMIPMT(0.00000000001/12,Assumptions!$D$36*12,Assumptions!$D$30,H20,H21,0)),0,-CUMIPMT(0.00000000001/12,Assumptions!$D$36*12,Assumptions!$D$30,H20,H21,0)),IF(ISERROR(-CUMIPMT(Assumptions!$D$33/12,Assumptions!$D$36*12,Assumptions!$D$30,H20,H21,0)),0,-CUMIPMT(Assumptions!$D$33/12,Assumptions!$D$36*12,Assumptions!$D$30,H20,H21,0)))</f>
        <v>0</v>
      </c>
      <c r="I239" s="58">
        <f>IF(Assumptions!$D$30=0,IF(ISERROR(-CUMIPMT(0.00000000001/12,Assumptions!$D$36*12,Assumptions!$D$30,I20,I21,0)),0,-CUMIPMT(0.00000000001/12,Assumptions!$D$36*12,Assumptions!$D$30,I20,I21,0)),IF(ISERROR(-CUMIPMT(Assumptions!$D$33/12,Assumptions!$D$36*12,Assumptions!$D$30,I20,I21,0)),0,-CUMIPMT(Assumptions!$D$33/12,Assumptions!$D$36*12,Assumptions!$D$30,I20,I21,0)))</f>
        <v>0</v>
      </c>
      <c r="J239" s="58">
        <f>IF(Assumptions!$D$30=0,IF(ISERROR(-CUMIPMT(0.00000000001/12,Assumptions!$D$36*12,Assumptions!$D$30,J20,J21,0)),0,-CUMIPMT(0.00000000001/12,Assumptions!$D$36*12,Assumptions!$D$30,J20,J21,0)),IF(ISERROR(-CUMIPMT(Assumptions!$D$33/12,Assumptions!$D$36*12,Assumptions!$D$30,J20,J21,0)),0,-CUMIPMT(Assumptions!$D$33/12,Assumptions!$D$36*12,Assumptions!$D$30,J20,J21,0)))</f>
        <v>42719.907843315348</v>
      </c>
      <c r="K239" s="58">
        <f>IF(Assumptions!$D$30=0,IF(ISERROR(-CUMIPMT(0.00000000001/12,Assumptions!$D$36*12,Assumptions!$D$30,K20,K21,0)),0,-CUMIPMT(0.00000000001/12,Assumptions!$D$36*12,Assumptions!$D$30,K20,K21,0)),IF(ISERROR(-CUMIPMT(Assumptions!$D$33/12,Assumptions!$D$36*12,Assumptions!$D$30,K20,K21,0)),0,-CUMIPMT(Assumptions!$D$33/12,Assumptions!$D$36*12,Assumptions!$D$30,K20,K21,0)))</f>
        <v>32129.021028679941</v>
      </c>
      <c r="L239" s="58">
        <f>IF(Assumptions!$D$30=0,IF(ISERROR(-CUMIPMT(0.00000000001/12,Assumptions!$D$36*12,Assumptions!$D$30,L20,L21,0)),0,-CUMIPMT(0.00000000001/12,Assumptions!$D$36*12,Assumptions!$D$30,L20,L21,0)),IF(ISERROR(-CUMIPMT(Assumptions!$D$33/12,Assumptions!$D$36*12,Assumptions!$D$30,L20,L21,0)),0,-CUMIPMT(Assumptions!$D$33/12,Assumptions!$D$36*12,Assumptions!$D$30,L20,L21,0)))</f>
        <v>20659.095831775601</v>
      </c>
      <c r="M239" s="58">
        <f>IF(Assumptions!$D$30=0,IF(ISERROR(-CUMIPMT(0.00000000001/12,Assumptions!$D$36*12,Assumptions!$D$30,M20,M21,0)),0,-CUMIPMT(0.00000000001/12,Assumptions!$D$36*12,Assumptions!$D$30,M20,M21,0)),IF(ISERROR(-CUMIPMT(Assumptions!$D$33/12,Assumptions!$D$36*12,Assumptions!$D$30,M20,M21,0)),0,-CUMIPMT(Assumptions!$D$33/12,Assumptions!$D$36*12,Assumptions!$D$30,M20,M21,0)))</f>
        <v>8237.172500409215</v>
      </c>
      <c r="N239" s="58">
        <f>IF(Assumptions!$D$30=0,IF(ISERROR(-CUMIPMT(0.00000000001/12,Assumptions!$D$36*12,Assumptions!$D$30,N20,N21,0)),0,-CUMIPMT(0.00000000001/12,Assumptions!$D$36*12,Assumptions!$D$30,N20,N21,0)),IF(ISERROR(-CUMIPMT(Assumptions!$D$33/12,Assumptions!$D$36*12,Assumptions!$D$30,N20,N21,0)),0,-CUMIPMT(Assumptions!$D$33/12,Assumptions!$D$36*12,Assumptions!$D$30,N20,N21,0)))</f>
        <v>93.996529813841335</v>
      </c>
      <c r="O239" s="58">
        <f>IF(Assumptions!$D$30=0,IF(ISERROR(-CUMIPMT(0.00000000001/12,Assumptions!$D$36*12,Assumptions!$D$30,O20,O21,0)),0,-CUMIPMT(0.00000000001/12,Assumptions!$D$36*12,Assumptions!$D$30,O20,O21,0)),IF(ISERROR(-CUMIPMT(Assumptions!$D$33/12,Assumptions!$D$36*12,Assumptions!$D$30,O20,O21,0)),0,-CUMIPMT(Assumptions!$D$33/12,Assumptions!$D$36*12,Assumptions!$D$30,O20,O21,0)))</f>
        <v>0</v>
      </c>
      <c r="P239" s="124">
        <f t="shared" si="15"/>
        <v>103839.19373399395</v>
      </c>
    </row>
    <row r="240" spans="1:16" ht="15.75" customHeight="1" x14ac:dyDescent="0.25">
      <c r="A240" s="239"/>
      <c r="B240" s="4"/>
      <c r="C240" s="4" t="s">
        <v>83</v>
      </c>
      <c r="D240" s="58">
        <f>IF(Assumptions!$D$30=0,IF(ISERROR(-CUMPRINC(0.00000000001/12,Assumptions!$D$36*12,Assumptions!$D$30,D20,D21,0)),0,(-CUMPRINC(0.00000000001/12,Assumptions!$D$36*12,Assumptions!$D$30,D20,D21,0))),IF(ISERROR(-CUMPRINC(Assumptions!$D$33/12,Assumptions!$D$36*12,Assumptions!$D$30,D20,D21,0)),0,(-CUMPRINC(Assumptions!$D$33/12,Assumptions!$D$36*12,Assumptions!$D$30,D20,D21,0))))</f>
        <v>0</v>
      </c>
      <c r="E240" s="58">
        <f>IF(Assumptions!$D$30=0,IF(ISERROR(-CUMPRINC(0.00000000001/12,Assumptions!$D$36*12,Assumptions!$D$30,E20,E21,0)),0,(-CUMPRINC(0.00000000001/12,Assumptions!$D$36*12,Assumptions!$D$30,E20,E21,0))),IF(ISERROR(-CUMPRINC(Assumptions!$D$33/12,Assumptions!$D$36*12,Assumptions!$D$30,E20,E21,0)),0,(-CUMPRINC(Assumptions!$D$33/12,Assumptions!$D$36*12,Assumptions!$D$30,E20,E21,0))))</f>
        <v>0</v>
      </c>
      <c r="F240" s="58">
        <f>IF(Assumptions!$D$30=0,IF(ISERROR(-CUMPRINC(0.00000000001/12,Assumptions!$D$36*12,Assumptions!$D$30,F20,F21,0)),0,(-CUMPRINC(0.00000000001/12,Assumptions!$D$36*12,Assumptions!$D$30,F20,F21,0))),IF(ISERROR(-CUMPRINC(Assumptions!$D$33/12,Assumptions!$D$36*12,Assumptions!$D$30,F20,F21,0)),0,(-CUMPRINC(Assumptions!$D$33/12,Assumptions!$D$36*12,Assumptions!$D$30,F20,F21,0))))</f>
        <v>0</v>
      </c>
      <c r="G240" s="58">
        <f>IF(Assumptions!$D$30=0,IF(ISERROR(-CUMPRINC(0.00000000001/12,Assumptions!$D$36*12,Assumptions!$D$30,G20,G21,0)),0,(-CUMPRINC(0.00000000001/12,Assumptions!$D$36*12,Assumptions!$D$30,G20,G21,0))),IF(ISERROR(-CUMPRINC(Assumptions!$D$33/12,Assumptions!$D$36*12,Assumptions!$D$30,G20,G21,0)),0,(-CUMPRINC(Assumptions!$D$33/12,Assumptions!$D$36*12,Assumptions!$D$30,G20,G21,0))))</f>
        <v>0</v>
      </c>
      <c r="H240" s="58">
        <f>IF(Assumptions!$D$30=0,IF(ISERROR(-CUMPRINC(0.00000000001/12,Assumptions!$D$36*12,Assumptions!$D$30,H20,H21,0)),0,(-CUMPRINC(0.00000000001/12,Assumptions!$D$36*12,Assumptions!$D$30,H20,H21,0))),IF(ISERROR(-CUMPRINC(Assumptions!$D$33/12,Assumptions!$D$36*12,Assumptions!$D$30,H20,H21,0)),0,(-CUMPRINC(Assumptions!$D$33/12,Assumptions!$D$36*12,Assumptions!$D$30,H20,H21,0))))</f>
        <v>0</v>
      </c>
      <c r="I240" s="58">
        <f>IF(Assumptions!$D$30=0,IF(ISERROR(-CUMPRINC(0.00000000001/12,Assumptions!$D$36*12,Assumptions!$D$30,I20,I21,0)),0,(-CUMPRINC(0.00000000001/12,Assumptions!$D$36*12,Assumptions!$D$30,I20,I21,0))),IF(ISERROR(-CUMPRINC(Assumptions!$D$33/12,Assumptions!$D$36*12,Assumptions!$D$30,I20,I21,0)),0,(-CUMPRINC(Assumptions!$D$33/12,Assumptions!$D$36*12,Assumptions!$D$30,I20,I21,0))))</f>
        <v>0</v>
      </c>
      <c r="J240" s="58">
        <f>IF(Assumptions!$D$30=0,IF(ISERROR(-CUMPRINC(0.00000000001/12,Assumptions!$D$36*12,Assumptions!$D$30,J20,J21,0)),0,(-CUMPRINC(0.00000000001/12,Assumptions!$D$36*12,Assumptions!$D$30,J20,J21,0))),IF(ISERROR(-CUMPRINC(Assumptions!$D$33/12,Assumptions!$D$36*12,Assumptions!$D$30,J20,J21,0)),0,(-CUMPRINC(Assumptions!$D$33/12,Assumptions!$D$36*12,Assumptions!$D$30,J20,J21,0))))</f>
        <v>127601.80417935956</v>
      </c>
      <c r="K240" s="58">
        <f>IF(Assumptions!$D$30=0,IF(ISERROR(-CUMPRINC(0.00000000001/12,Assumptions!$D$36*12,Assumptions!$D$30,K20,K21,0)),0,(-CUMPRINC(0.00000000001/12,Assumptions!$D$36*12,Assumptions!$D$30,K20,K21,0))),IF(ISERROR(-CUMPRINC(Assumptions!$D$33/12,Assumptions!$D$36*12,Assumptions!$D$30,K20,K21,0)),0,(-CUMPRINC(Assumptions!$D$33/12,Assumptions!$D$36*12,Assumptions!$D$30,K20,K21,0))))</f>
        <v>138192.69099399497</v>
      </c>
      <c r="L240" s="58">
        <f>IF(Assumptions!$D$30=0,IF(ISERROR(-CUMPRINC(0.00000000001/12,Assumptions!$D$36*12,Assumptions!$D$30,L20,L21,0)),0,(-CUMPRINC(0.00000000001/12,Assumptions!$D$36*12,Assumptions!$D$30,L20,L21,0))),IF(ISERROR(-CUMPRINC(Assumptions!$D$33/12,Assumptions!$D$36*12,Assumptions!$D$30,L20,L21,0)),0,(-CUMPRINC(Assumptions!$D$33/12,Assumptions!$D$36*12,Assumptions!$D$30,L20,L21,0))))</f>
        <v>149662.61619089931</v>
      </c>
      <c r="M240" s="58">
        <f>IF(Assumptions!$D$30=0,IF(ISERROR(-CUMPRINC(0.00000000001/12,Assumptions!$D$36*12,Assumptions!$D$30,M20,M21,0)),0,(-CUMPRINC(0.00000000001/12,Assumptions!$D$36*12,Assumptions!$D$30,M20,M21,0))),IF(ISERROR(-CUMPRINC(Assumptions!$D$33/12,Assumptions!$D$36*12,Assumptions!$D$30,M20,M21,0)),0,(-CUMPRINC(Assumptions!$D$33/12,Assumptions!$D$36*12,Assumptions!$D$30,M20,M21,0))))</f>
        <v>162084.5395222657</v>
      </c>
      <c r="N240" s="58">
        <f>IF(Assumptions!$D$30=0,IF(ISERROR(-CUMPRINC(0.00000000001/12,Assumptions!$D$36*12,Assumptions!$D$30,N20,N21,0)),0,(-CUMPRINC(0.00000000001/12,Assumptions!$D$36*12,Assumptions!$D$30,N20,N21,0))),IF(ISERROR(-CUMPRINC(Assumptions!$D$33/12,Assumptions!$D$36*12,Assumptions!$D$30,N20,N21,0)),0,(-CUMPRINC(Assumptions!$D$33/12,Assumptions!$D$36*12,Assumptions!$D$30,N20,N21,0))))</f>
        <v>14099.479472075735</v>
      </c>
      <c r="O240" s="58">
        <f>IF(Assumptions!$D$30=0,IF(ISERROR(-CUMPRINC(0.00000000001/12,Assumptions!$D$36*12,Assumptions!$D$30,O20,O21,0)),0,(-CUMPRINC(0.00000000001/12,Assumptions!$D$36*12,Assumptions!$D$30,O20,O21,0))),IF(ISERROR(-CUMPRINC(Assumptions!$D$33/12,Assumptions!$D$36*12,Assumptions!$D$30,O20,O21,0)),0,(-CUMPRINC(Assumptions!$D$33/12,Assumptions!$D$36*12,Assumptions!$D$30,O20,O21,0))))</f>
        <v>0</v>
      </c>
      <c r="P240" s="124">
        <f t="shared" si="15"/>
        <v>591641.13035859517</v>
      </c>
    </row>
    <row r="241" spans="1:16" ht="15.75" customHeight="1" x14ac:dyDescent="0.25">
      <c r="A241" s="239"/>
      <c r="B241" s="4" t="s">
        <v>14</v>
      </c>
      <c r="C241" s="4" t="s">
        <v>15</v>
      </c>
      <c r="D241" s="58">
        <v>0</v>
      </c>
      <c r="E241" s="59"/>
      <c r="F241" s="59"/>
      <c r="G241" s="59"/>
      <c r="H241" s="59"/>
      <c r="I241" s="59"/>
      <c r="J241" s="59"/>
      <c r="K241" s="59"/>
      <c r="L241" s="59"/>
      <c r="M241" s="59"/>
      <c r="N241" s="59"/>
      <c r="O241" s="59"/>
      <c r="P241" s="124">
        <f t="shared" si="15"/>
        <v>0</v>
      </c>
    </row>
    <row r="242" spans="1:16" ht="15.75" customHeight="1" x14ac:dyDescent="0.25">
      <c r="A242" s="239"/>
      <c r="B242" s="4"/>
      <c r="C242" s="24"/>
      <c r="D242" s="58"/>
      <c r="E242" s="59"/>
      <c r="F242" s="59"/>
      <c r="G242" s="59"/>
      <c r="H242" s="59"/>
      <c r="I242" s="59"/>
      <c r="J242" s="59"/>
      <c r="K242" s="59"/>
      <c r="L242" s="59"/>
      <c r="M242" s="59"/>
      <c r="N242" s="59"/>
      <c r="O242" s="59"/>
      <c r="P242" s="124">
        <f t="shared" si="15"/>
        <v>0</v>
      </c>
    </row>
    <row r="243" spans="1:16" ht="15.75" customHeight="1" x14ac:dyDescent="0.25">
      <c r="A243" s="239"/>
      <c r="B243" s="4"/>
      <c r="C243" s="24"/>
      <c r="D243" s="58"/>
      <c r="E243" s="59"/>
      <c r="F243" s="59"/>
      <c r="G243" s="59"/>
      <c r="H243" s="59"/>
      <c r="I243" s="59"/>
      <c r="J243" s="59"/>
      <c r="K243" s="59"/>
      <c r="L243" s="59"/>
      <c r="M243" s="59"/>
      <c r="N243" s="59"/>
      <c r="O243" s="59"/>
      <c r="P243" s="124">
        <f t="shared" si="15"/>
        <v>0</v>
      </c>
    </row>
    <row r="244" spans="1:16" ht="15.75" customHeight="1" x14ac:dyDescent="0.25">
      <c r="A244" s="240"/>
      <c r="B244" s="4"/>
      <c r="C244" s="24"/>
      <c r="D244" s="9"/>
      <c r="E244" s="10"/>
      <c r="F244" s="10"/>
      <c r="G244" s="10"/>
      <c r="H244" s="10"/>
      <c r="I244" s="10"/>
      <c r="J244" s="10"/>
      <c r="K244" s="10"/>
      <c r="L244" s="10"/>
      <c r="M244" s="10"/>
      <c r="N244" s="10"/>
      <c r="O244" s="10"/>
      <c r="P244" s="124">
        <f t="shared" si="15"/>
        <v>0</v>
      </c>
    </row>
    <row r="245" spans="1:16" ht="15.75" customHeight="1" x14ac:dyDescent="0.25">
      <c r="B245" s="8"/>
      <c r="C245" s="24" t="s">
        <v>29</v>
      </c>
      <c r="D245" s="9">
        <f t="shared" ref="D245:O245" si="17">SUM(D24:D244)</f>
        <v>595247</v>
      </c>
      <c r="E245" s="10">
        <f t="shared" si="17"/>
        <v>538731.5</v>
      </c>
      <c r="F245" s="10">
        <f t="shared" si="17"/>
        <v>525443.5</v>
      </c>
      <c r="G245" s="10">
        <f t="shared" si="17"/>
        <v>1765806.5</v>
      </c>
      <c r="H245" s="10">
        <f t="shared" si="17"/>
        <v>1824304.5</v>
      </c>
      <c r="I245" s="10">
        <f t="shared" si="17"/>
        <v>2203024.5</v>
      </c>
      <c r="J245" s="10">
        <f t="shared" si="17"/>
        <v>968781.21202267497</v>
      </c>
      <c r="K245" s="10">
        <f t="shared" si="17"/>
        <v>1713622.212022675</v>
      </c>
      <c r="L245" s="10">
        <f t="shared" si="17"/>
        <v>811389.21202267485</v>
      </c>
      <c r="M245" s="10">
        <f t="shared" si="17"/>
        <v>1353061.212022675</v>
      </c>
      <c r="N245" s="10">
        <f t="shared" si="17"/>
        <v>532467.97600188956</v>
      </c>
      <c r="O245" s="10">
        <f t="shared" si="17"/>
        <v>264243</v>
      </c>
      <c r="P245" s="124">
        <f>IF(SUM(D245:O245)=0,0,SUM(D245:O245))</f>
        <v>13096122.324092591</v>
      </c>
    </row>
    <row r="246" spans="1:16" ht="15" customHeight="1" x14ac:dyDescent="0.2">
      <c r="B246" s="8"/>
      <c r="C246" s="25"/>
      <c r="D246" s="6"/>
      <c r="E246" s="6"/>
      <c r="F246" s="6"/>
      <c r="G246" s="6"/>
      <c r="H246" s="6"/>
      <c r="I246" s="6"/>
      <c r="J246" s="6"/>
      <c r="K246" s="6"/>
      <c r="L246" s="6"/>
      <c r="M246" s="6"/>
      <c r="N246" s="6"/>
      <c r="O246" s="6"/>
      <c r="P246" s="6"/>
    </row>
    <row r="247" spans="1:16" ht="15.75" customHeight="1" x14ac:dyDescent="0.25">
      <c r="B247" s="12" t="s">
        <v>18</v>
      </c>
      <c r="C247" s="25"/>
      <c r="D247" s="7">
        <f>+Assumptions!D15</f>
        <v>623745</v>
      </c>
      <c r="E247" s="6">
        <f>+D252</f>
        <v>290817.52916666667</v>
      </c>
      <c r="F247" s="6">
        <f t="shared" ref="F247:M247" si="18">+E252</f>
        <v>519821.09327070124</v>
      </c>
      <c r="G247" s="6">
        <f t="shared" si="18"/>
        <v>785408.68726160959</v>
      </c>
      <c r="H247" s="6">
        <f t="shared" si="18"/>
        <v>-162645.33557326498</v>
      </c>
      <c r="I247" s="6">
        <f t="shared" si="18"/>
        <v>-1163488.7777165889</v>
      </c>
      <c r="J247" s="6">
        <f t="shared" si="18"/>
        <v>-1847521.6363480641</v>
      </c>
      <c r="K247" s="6">
        <f t="shared" si="18"/>
        <v>-2001643.7935191442</v>
      </c>
      <c r="L247" s="6">
        <f t="shared" si="18"/>
        <v>-2892572.8159484374</v>
      </c>
      <c r="M247" s="6">
        <f t="shared" si="18"/>
        <v>-2903568.2192652472</v>
      </c>
      <c r="N247" s="6">
        <f>+M252</f>
        <v>-3447146.900864488</v>
      </c>
      <c r="O247" s="6">
        <f>+N252</f>
        <v>-3187061.3513042666</v>
      </c>
      <c r="P247" s="6"/>
    </row>
    <row r="248" spans="1:16" ht="15" customHeight="1" x14ac:dyDescent="0.2">
      <c r="B248" s="8"/>
      <c r="C248" s="25"/>
      <c r="D248" s="6"/>
      <c r="E248" s="6"/>
      <c r="F248" s="6"/>
      <c r="G248" s="6"/>
      <c r="H248" s="6"/>
      <c r="I248" s="6"/>
      <c r="J248" s="6"/>
      <c r="K248" s="6"/>
      <c r="L248" s="6"/>
      <c r="M248" s="6"/>
      <c r="N248" s="6"/>
      <c r="O248" s="6"/>
      <c r="P248" s="6"/>
    </row>
    <row r="249" spans="1:16" ht="12.75" hidden="1" customHeight="1" x14ac:dyDescent="0.2">
      <c r="D249" s="11">
        <f t="shared" ref="D249:O249" si="19">SUM(D24:D244)</f>
        <v>595247</v>
      </c>
      <c r="E249" s="11">
        <f t="shared" si="19"/>
        <v>538731.5</v>
      </c>
      <c r="F249" s="11">
        <f t="shared" si="19"/>
        <v>525443.5</v>
      </c>
      <c r="G249" s="11">
        <f t="shared" si="19"/>
        <v>1765806.5</v>
      </c>
      <c r="H249" s="11">
        <f t="shared" si="19"/>
        <v>1824304.5</v>
      </c>
      <c r="I249" s="11">
        <f t="shared" si="19"/>
        <v>2203024.5</v>
      </c>
      <c r="J249" s="11">
        <f t="shared" si="19"/>
        <v>968781.21202267497</v>
      </c>
      <c r="K249" s="11">
        <f t="shared" si="19"/>
        <v>1713622.212022675</v>
      </c>
      <c r="L249" s="11">
        <f t="shared" si="19"/>
        <v>811389.21202267485</v>
      </c>
      <c r="M249" s="11">
        <f t="shared" si="19"/>
        <v>1353061.212022675</v>
      </c>
      <c r="N249" s="11">
        <f t="shared" si="19"/>
        <v>532467.97600188956</v>
      </c>
      <c r="O249" s="11">
        <f t="shared" si="19"/>
        <v>264243</v>
      </c>
      <c r="P249" s="11"/>
    </row>
    <row r="250" spans="1:16" ht="15.75" customHeight="1" x14ac:dyDescent="0.25">
      <c r="B250" s="12" t="s">
        <v>16</v>
      </c>
      <c r="C250" s="27"/>
      <c r="D250" s="13">
        <f t="shared" ref="D250:O250" si="20">+D17-D249</f>
        <v>-332927.47083333333</v>
      </c>
      <c r="E250" s="13">
        <f t="shared" si="20"/>
        <v>229003.56410403457</v>
      </c>
      <c r="F250" s="13">
        <f t="shared" si="20"/>
        <v>265587.59399090835</v>
      </c>
      <c r="G250" s="13">
        <f t="shared" si="20"/>
        <v>-948054.02283487457</v>
      </c>
      <c r="H250" s="13">
        <f t="shared" si="20"/>
        <v>-1000843.4421433239</v>
      </c>
      <c r="I250" s="13">
        <f t="shared" si="20"/>
        <v>-684032.85863147513</v>
      </c>
      <c r="J250" s="13">
        <f t="shared" si="20"/>
        <v>-154122.15717108012</v>
      </c>
      <c r="K250" s="13">
        <f t="shared" si="20"/>
        <v>-890929.02242929325</v>
      </c>
      <c r="L250" s="13">
        <f t="shared" si="20"/>
        <v>-10995.403316809912</v>
      </c>
      <c r="M250" s="13">
        <f t="shared" si="20"/>
        <v>-543578.68159924063</v>
      </c>
      <c r="N250" s="13">
        <f t="shared" si="20"/>
        <v>260085.54956022161</v>
      </c>
      <c r="O250" s="13">
        <f t="shared" si="20"/>
        <v>452274.85000633495</v>
      </c>
      <c r="P250" s="13"/>
    </row>
    <row r="251" spans="1:16" ht="16.5" customHeight="1" thickBot="1" x14ac:dyDescent="0.3">
      <c r="B251" s="12"/>
      <c r="C251" s="27"/>
    </row>
    <row r="252" spans="1:16" ht="16.5" customHeight="1" thickBot="1" x14ac:dyDescent="0.3">
      <c r="B252" s="15" t="s">
        <v>17</v>
      </c>
      <c r="C252" s="28"/>
      <c r="D252" s="16">
        <f t="shared" ref="D252:O252" si="21">+D247+D250</f>
        <v>290817.52916666667</v>
      </c>
      <c r="E252" s="16">
        <f t="shared" si="21"/>
        <v>519821.09327070124</v>
      </c>
      <c r="F252" s="16">
        <f t="shared" si="21"/>
        <v>785408.68726160959</v>
      </c>
      <c r="G252" s="16">
        <f t="shared" si="21"/>
        <v>-162645.33557326498</v>
      </c>
      <c r="H252" s="16">
        <f t="shared" si="21"/>
        <v>-1163488.7777165889</v>
      </c>
      <c r="I252" s="16">
        <f t="shared" si="21"/>
        <v>-1847521.6363480641</v>
      </c>
      <c r="J252" s="16">
        <f t="shared" si="21"/>
        <v>-2001643.7935191442</v>
      </c>
      <c r="K252" s="16">
        <f t="shared" si="21"/>
        <v>-2892572.8159484374</v>
      </c>
      <c r="L252" s="16">
        <f t="shared" si="21"/>
        <v>-2903568.2192652472</v>
      </c>
      <c r="M252" s="16">
        <f t="shared" si="21"/>
        <v>-3447146.900864488</v>
      </c>
      <c r="N252" s="16">
        <f t="shared" si="21"/>
        <v>-3187061.3513042666</v>
      </c>
      <c r="O252" s="17">
        <f t="shared" si="21"/>
        <v>-2734786.5012979317</v>
      </c>
      <c r="P252" s="17"/>
    </row>
    <row r="253" spans="1:16" ht="15.75" customHeight="1" x14ac:dyDescent="0.25">
      <c r="B253" s="12"/>
    </row>
    <row r="254" spans="1:16" ht="15.75" customHeight="1" x14ac:dyDescent="0.25">
      <c r="B254" s="12" t="s">
        <v>22</v>
      </c>
      <c r="D254" s="6">
        <f>IF(ISERROR(+D15-D240),0,+D15-D240)</f>
        <v>0</v>
      </c>
      <c r="E254" s="6">
        <f>IF(ISERROR(IF(D254=0,E15-E240,D254-E240)),0,IF(D254=0,E15-E240,D254+E15-E240-E234))</f>
        <v>0</v>
      </c>
      <c r="F254" s="6">
        <f t="shared" ref="F254:O254" si="22">IF(ISERROR(IF(E254=0,F15-F240,E254-F240)),0,IF(E254=0,F15-F240,E254-F240))</f>
        <v>0</v>
      </c>
      <c r="G254" s="6">
        <f t="shared" si="22"/>
        <v>0</v>
      </c>
      <c r="H254" s="6">
        <f t="shared" si="22"/>
        <v>0</v>
      </c>
      <c r="I254" s="6">
        <f t="shared" si="22"/>
        <v>700000</v>
      </c>
      <c r="J254" s="6">
        <f t="shared" si="22"/>
        <v>572398.19582064042</v>
      </c>
      <c r="K254" s="6">
        <f t="shared" si="22"/>
        <v>434205.50482664548</v>
      </c>
      <c r="L254" s="6">
        <f t="shared" si="22"/>
        <v>284542.8886357462</v>
      </c>
      <c r="M254" s="6">
        <f t="shared" si="22"/>
        <v>122458.34911348051</v>
      </c>
      <c r="N254" s="6">
        <f t="shared" si="22"/>
        <v>108358.86964140477</v>
      </c>
      <c r="O254" s="6">
        <f t="shared" si="22"/>
        <v>108358.86964140477</v>
      </c>
      <c r="P254" s="6"/>
    </row>
    <row r="255" spans="1:16" ht="15.75" customHeight="1" x14ac:dyDescent="0.25">
      <c r="B255" s="12"/>
      <c r="D255" s="6"/>
    </row>
    <row r="256" spans="1:16" ht="15.75" customHeight="1" x14ac:dyDescent="0.25">
      <c r="B256" s="12"/>
      <c r="D256" s="6"/>
      <c r="E256" s="6"/>
      <c r="F256" s="6"/>
      <c r="G256" s="6"/>
      <c r="H256" s="6"/>
      <c r="I256" s="6"/>
      <c r="J256" s="6"/>
      <c r="K256" s="6"/>
      <c r="L256" s="6"/>
      <c r="M256" s="6"/>
      <c r="N256" s="6"/>
      <c r="O256" s="6"/>
    </row>
    <row r="257" spans="2:4" ht="15.75" customHeight="1" x14ac:dyDescent="0.25">
      <c r="B257" s="12"/>
      <c r="D257" s="6"/>
    </row>
    <row r="258" spans="2:4" ht="15.75" customHeight="1" x14ac:dyDescent="0.25">
      <c r="B258" s="12"/>
      <c r="D258" s="6"/>
    </row>
    <row r="259" spans="2:4" ht="15.75" customHeight="1" x14ac:dyDescent="0.25">
      <c r="B259" s="12"/>
      <c r="D259" s="6"/>
    </row>
    <row r="260" spans="2:4" ht="15.75" customHeight="1" x14ac:dyDescent="0.25">
      <c r="B260" s="12"/>
      <c r="D260" s="6"/>
    </row>
    <row r="261" spans="2:4" ht="15.75" customHeight="1" x14ac:dyDescent="0.25">
      <c r="B261" s="12"/>
      <c r="D261" s="6"/>
    </row>
    <row r="262" spans="2:4" ht="15.75" customHeight="1" x14ac:dyDescent="0.25">
      <c r="B262" s="12"/>
      <c r="D262" s="6"/>
    </row>
    <row r="263" spans="2:4" ht="15.75" customHeight="1" x14ac:dyDescent="0.25">
      <c r="B263" s="12"/>
      <c r="D263" s="6"/>
    </row>
    <row r="264" spans="2:4" ht="15.75" customHeight="1" x14ac:dyDescent="0.25">
      <c r="B264" s="12"/>
      <c r="D264" s="6"/>
    </row>
    <row r="265" spans="2:4" ht="15.75" customHeight="1" x14ac:dyDescent="0.25">
      <c r="B265" s="12"/>
      <c r="D265" s="6"/>
    </row>
    <row r="266" spans="2:4" ht="15" customHeight="1" x14ac:dyDescent="0.2">
      <c r="D266" s="6"/>
    </row>
    <row r="267" spans="2:4" ht="15" customHeight="1" x14ac:dyDescent="0.2">
      <c r="D267" s="6"/>
    </row>
    <row r="268" spans="2:4" ht="15" customHeight="1" x14ac:dyDescent="0.2">
      <c r="D268" s="6"/>
    </row>
    <row r="269" spans="2:4" ht="15" customHeight="1" x14ac:dyDescent="0.2">
      <c r="D269" s="6"/>
    </row>
    <row r="270" spans="2:4" ht="15" customHeight="1" x14ac:dyDescent="0.2">
      <c r="D270" s="6"/>
    </row>
    <row r="271" spans="2:4" ht="15" customHeight="1" x14ac:dyDescent="0.2">
      <c r="D271" s="6"/>
    </row>
    <row r="272" spans="2:4" ht="15" customHeight="1" x14ac:dyDescent="0.2">
      <c r="D272" s="6"/>
    </row>
    <row r="273" spans="4:4" ht="15" customHeight="1" x14ac:dyDescent="0.2">
      <c r="D273" s="6"/>
    </row>
    <row r="274" spans="4:4" ht="15" customHeight="1" x14ac:dyDescent="0.2">
      <c r="D274" s="6"/>
    </row>
    <row r="275" spans="4:4" ht="15" customHeight="1" x14ac:dyDescent="0.2">
      <c r="D275" s="6"/>
    </row>
    <row r="276" spans="4:4" ht="15" customHeight="1" x14ac:dyDescent="0.2">
      <c r="D276" s="6"/>
    </row>
    <row r="277" spans="4:4" ht="15" customHeight="1" x14ac:dyDescent="0.2">
      <c r="D277" s="6"/>
    </row>
    <row r="278" spans="4:4" ht="15" customHeight="1" x14ac:dyDescent="0.2">
      <c r="D278" s="6"/>
    </row>
    <row r="279" spans="4:4" ht="15" customHeight="1" x14ac:dyDescent="0.2">
      <c r="D279" s="6"/>
    </row>
    <row r="280" spans="4:4" ht="15" customHeight="1" x14ac:dyDescent="0.2">
      <c r="D280" s="6"/>
    </row>
    <row r="281" spans="4:4" ht="15" customHeight="1" x14ac:dyDescent="0.2">
      <c r="D281" s="6"/>
    </row>
    <row r="282" spans="4:4" ht="15" customHeight="1" x14ac:dyDescent="0.2">
      <c r="D282" s="6"/>
    </row>
    <row r="283" spans="4:4" ht="15" customHeight="1" x14ac:dyDescent="0.2">
      <c r="D283" s="6"/>
    </row>
    <row r="284" spans="4:4" ht="15" customHeight="1" x14ac:dyDescent="0.2">
      <c r="D284" s="6"/>
    </row>
    <row r="285" spans="4:4" ht="15" customHeight="1" x14ac:dyDescent="0.2">
      <c r="D285" s="6"/>
    </row>
    <row r="286" spans="4:4" ht="15" customHeight="1" x14ac:dyDescent="0.2">
      <c r="D286" s="6"/>
    </row>
    <row r="287" spans="4:4" ht="15" customHeight="1" x14ac:dyDescent="0.2">
      <c r="D287" s="6"/>
    </row>
    <row r="288" spans="4:4" ht="15" customHeight="1" x14ac:dyDescent="0.2">
      <c r="D288" s="6"/>
    </row>
    <row r="289" spans="4:4" ht="15" customHeight="1" x14ac:dyDescent="0.2">
      <c r="D289" s="6"/>
    </row>
    <row r="290" spans="4:4" ht="15" customHeight="1" x14ac:dyDescent="0.2">
      <c r="D290" s="6"/>
    </row>
    <row r="291" spans="4:4" ht="15" customHeight="1" x14ac:dyDescent="0.2">
      <c r="D291" s="6"/>
    </row>
    <row r="292" spans="4:4" ht="15" customHeight="1" x14ac:dyDescent="0.2">
      <c r="D292" s="6"/>
    </row>
    <row r="293" spans="4:4" ht="15" customHeight="1" x14ac:dyDescent="0.2">
      <c r="D293" s="6"/>
    </row>
    <row r="294" spans="4:4" ht="15" customHeight="1" x14ac:dyDescent="0.2">
      <c r="D294" s="6"/>
    </row>
    <row r="295" spans="4:4" ht="15" customHeight="1" x14ac:dyDescent="0.2">
      <c r="D295" s="6"/>
    </row>
    <row r="296" spans="4:4" ht="15" customHeight="1" x14ac:dyDescent="0.2">
      <c r="D296" s="6"/>
    </row>
    <row r="297" spans="4:4" ht="15" customHeight="1" x14ac:dyDescent="0.2">
      <c r="D297" s="6"/>
    </row>
    <row r="298" spans="4:4" ht="15" customHeight="1" x14ac:dyDescent="0.2">
      <c r="D298" s="6"/>
    </row>
    <row r="299" spans="4:4" ht="15" customHeight="1" x14ac:dyDescent="0.2">
      <c r="D299" s="6"/>
    </row>
    <row r="300" spans="4:4" ht="15" customHeight="1" x14ac:dyDescent="0.2">
      <c r="D300" s="6"/>
    </row>
    <row r="301" spans="4:4" ht="15" customHeight="1" x14ac:dyDescent="0.2">
      <c r="D301" s="6"/>
    </row>
    <row r="302" spans="4:4" ht="15" customHeight="1" x14ac:dyDescent="0.2">
      <c r="D302" s="6"/>
    </row>
    <row r="303" spans="4:4" ht="15" customHeight="1" x14ac:dyDescent="0.2">
      <c r="D303" s="6"/>
    </row>
    <row r="304" spans="4:4" ht="15" customHeight="1" x14ac:dyDescent="0.2">
      <c r="D304" s="6"/>
    </row>
    <row r="305" spans="4:4" ht="15" customHeight="1" x14ac:dyDescent="0.2">
      <c r="D305" s="6"/>
    </row>
    <row r="306" spans="4:4" ht="15" customHeight="1" x14ac:dyDescent="0.2">
      <c r="D306" s="6"/>
    </row>
    <row r="307" spans="4:4" ht="15" customHeight="1" x14ac:dyDescent="0.2">
      <c r="D307" s="6"/>
    </row>
    <row r="308" spans="4:4" ht="15" customHeight="1" x14ac:dyDescent="0.2">
      <c r="D308" s="6"/>
    </row>
    <row r="309" spans="4:4" ht="15" customHeight="1" x14ac:dyDescent="0.2">
      <c r="D309" s="6"/>
    </row>
    <row r="310" spans="4:4" ht="15" customHeight="1" x14ac:dyDescent="0.2">
      <c r="D310" s="6"/>
    </row>
    <row r="311" spans="4:4" ht="15" customHeight="1" x14ac:dyDescent="0.2">
      <c r="D311" s="6"/>
    </row>
    <row r="312" spans="4:4" ht="15" customHeight="1" x14ac:dyDescent="0.2">
      <c r="D312" s="6"/>
    </row>
    <row r="313" spans="4:4" ht="15" customHeight="1" x14ac:dyDescent="0.2">
      <c r="D313" s="6"/>
    </row>
    <row r="314" spans="4:4" ht="15" customHeight="1" x14ac:dyDescent="0.2">
      <c r="D314" s="6"/>
    </row>
    <row r="315" spans="4:4" ht="15" customHeight="1" x14ac:dyDescent="0.2">
      <c r="D315" s="6"/>
    </row>
    <row r="316" spans="4:4" ht="15" customHeight="1" x14ac:dyDescent="0.2">
      <c r="D316" s="6"/>
    </row>
    <row r="317" spans="4:4" ht="15" customHeight="1" x14ac:dyDescent="0.2">
      <c r="D317" s="6"/>
    </row>
    <row r="318" spans="4:4" ht="15" customHeight="1" x14ac:dyDescent="0.2">
      <c r="D318" s="6"/>
    </row>
    <row r="319" spans="4:4" ht="15" customHeight="1" x14ac:dyDescent="0.2">
      <c r="D319" s="6"/>
    </row>
    <row r="320" spans="4:4" ht="15" customHeight="1" x14ac:dyDescent="0.2">
      <c r="D320" s="6"/>
    </row>
    <row r="321" spans="4:4" ht="15" customHeight="1" x14ac:dyDescent="0.2">
      <c r="D321" s="6"/>
    </row>
    <row r="322" spans="4:4" ht="15" customHeight="1" x14ac:dyDescent="0.2">
      <c r="D322" s="6"/>
    </row>
    <row r="323" spans="4:4" ht="15" customHeight="1" x14ac:dyDescent="0.2">
      <c r="D323" s="6"/>
    </row>
    <row r="324" spans="4:4" ht="15" customHeight="1" x14ac:dyDescent="0.2">
      <c r="D324" s="6"/>
    </row>
    <row r="325" spans="4:4" ht="15" customHeight="1" x14ac:dyDescent="0.2">
      <c r="D325" s="6"/>
    </row>
    <row r="326" spans="4:4" ht="15" customHeight="1" x14ac:dyDescent="0.2">
      <c r="D326" s="6"/>
    </row>
    <row r="327" spans="4:4" ht="15" customHeight="1" x14ac:dyDescent="0.2">
      <c r="D327" s="6"/>
    </row>
    <row r="328" spans="4:4" ht="15" customHeight="1" x14ac:dyDescent="0.2">
      <c r="D328" s="6"/>
    </row>
    <row r="329" spans="4:4" ht="15" customHeight="1" x14ac:dyDescent="0.2">
      <c r="D329" s="6"/>
    </row>
    <row r="330" spans="4:4" ht="15" customHeight="1" x14ac:dyDescent="0.2">
      <c r="D330" s="6"/>
    </row>
    <row r="331" spans="4:4" ht="15" customHeight="1" x14ac:dyDescent="0.2">
      <c r="D331" s="6"/>
    </row>
    <row r="332" spans="4:4" ht="15" customHeight="1" x14ac:dyDescent="0.2">
      <c r="D332" s="6"/>
    </row>
    <row r="333" spans="4:4" ht="15" customHeight="1" x14ac:dyDescent="0.2">
      <c r="D333" s="6"/>
    </row>
    <row r="334" spans="4:4" ht="15" customHeight="1" x14ac:dyDescent="0.2">
      <c r="D334" s="6"/>
    </row>
    <row r="335" spans="4:4" ht="15" customHeight="1" x14ac:dyDescent="0.2">
      <c r="D335" s="6"/>
    </row>
    <row r="336" spans="4:4" ht="15" customHeight="1" x14ac:dyDescent="0.2">
      <c r="D336" s="6"/>
    </row>
    <row r="337" spans="4:4" ht="15" customHeight="1" x14ac:dyDescent="0.2">
      <c r="D337" s="6"/>
    </row>
    <row r="338" spans="4:4" ht="15" customHeight="1" x14ac:dyDescent="0.2">
      <c r="D338" s="6"/>
    </row>
    <row r="339" spans="4:4" ht="15" customHeight="1" x14ac:dyDescent="0.2">
      <c r="D339" s="6"/>
    </row>
    <row r="340" spans="4:4" ht="15" customHeight="1" x14ac:dyDescent="0.2">
      <c r="D340" s="6"/>
    </row>
    <row r="341" spans="4:4" ht="15" customHeight="1" x14ac:dyDescent="0.2">
      <c r="D341" s="6"/>
    </row>
    <row r="342" spans="4:4" ht="15" customHeight="1" x14ac:dyDescent="0.2">
      <c r="D342" s="6"/>
    </row>
    <row r="343" spans="4:4" ht="15" customHeight="1" x14ac:dyDescent="0.2">
      <c r="D343" s="6"/>
    </row>
    <row r="344" spans="4:4" ht="15" customHeight="1" x14ac:dyDescent="0.2">
      <c r="D344" s="6"/>
    </row>
    <row r="345" spans="4:4" ht="15" customHeight="1" x14ac:dyDescent="0.2">
      <c r="D345" s="6"/>
    </row>
    <row r="346" spans="4:4" ht="15" customHeight="1" x14ac:dyDescent="0.2">
      <c r="D346" s="6"/>
    </row>
    <row r="347" spans="4:4" ht="15" customHeight="1" x14ac:dyDescent="0.2">
      <c r="D347" s="6"/>
    </row>
    <row r="348" spans="4:4" ht="15" customHeight="1" x14ac:dyDescent="0.2">
      <c r="D348" s="6"/>
    </row>
    <row r="349" spans="4:4" ht="15" customHeight="1" x14ac:dyDescent="0.2">
      <c r="D349" s="6"/>
    </row>
    <row r="350" spans="4:4" ht="15" customHeight="1" x14ac:dyDescent="0.2">
      <c r="D350" s="6"/>
    </row>
    <row r="351" spans="4:4" ht="15" customHeight="1" x14ac:dyDescent="0.2">
      <c r="D351" s="6"/>
    </row>
    <row r="352" spans="4:4" ht="15" customHeight="1" x14ac:dyDescent="0.2">
      <c r="D352" s="6"/>
    </row>
    <row r="353" spans="4:4" ht="15" customHeight="1" x14ac:dyDescent="0.2">
      <c r="D353" s="6"/>
    </row>
    <row r="354" spans="4:4" ht="15" customHeight="1" x14ac:dyDescent="0.2">
      <c r="D354" s="6"/>
    </row>
    <row r="355" spans="4:4" ht="15" customHeight="1" x14ac:dyDescent="0.2">
      <c r="D355" s="6"/>
    </row>
    <row r="356" spans="4:4" ht="15" customHeight="1" x14ac:dyDescent="0.2">
      <c r="D356" s="6"/>
    </row>
    <row r="357" spans="4:4" ht="15" customHeight="1" x14ac:dyDescent="0.2">
      <c r="D357" s="6"/>
    </row>
    <row r="358" spans="4:4" ht="15" customHeight="1" x14ac:dyDescent="0.2">
      <c r="D358" s="6"/>
    </row>
    <row r="359" spans="4:4" ht="15" customHeight="1" x14ac:dyDescent="0.2">
      <c r="D359" s="6"/>
    </row>
    <row r="360" spans="4:4" ht="15" customHeight="1" x14ac:dyDescent="0.2">
      <c r="D360" s="6"/>
    </row>
    <row r="361" spans="4:4" ht="15" customHeight="1" x14ac:dyDescent="0.2">
      <c r="D361" s="6"/>
    </row>
    <row r="362" spans="4:4" ht="15" customHeight="1" x14ac:dyDescent="0.2">
      <c r="D362" s="6"/>
    </row>
    <row r="363" spans="4:4" ht="15" customHeight="1" x14ac:dyDescent="0.2">
      <c r="D363" s="6"/>
    </row>
    <row r="364" spans="4:4" ht="15" customHeight="1" x14ac:dyDescent="0.2">
      <c r="D364" s="6"/>
    </row>
    <row r="365" spans="4:4" ht="15" customHeight="1" x14ac:dyDescent="0.2">
      <c r="D365" s="6"/>
    </row>
    <row r="366" spans="4:4" ht="15" customHeight="1" x14ac:dyDescent="0.2">
      <c r="D366" s="6"/>
    </row>
    <row r="367" spans="4:4" ht="15" customHeight="1" x14ac:dyDescent="0.2">
      <c r="D367" s="6"/>
    </row>
    <row r="368" spans="4:4" ht="15" customHeight="1" x14ac:dyDescent="0.2">
      <c r="D368" s="6"/>
    </row>
    <row r="369" spans="4:4" ht="15" customHeight="1" x14ac:dyDescent="0.2">
      <c r="D369" s="6"/>
    </row>
    <row r="370" spans="4:4" ht="15" customHeight="1" x14ac:dyDescent="0.2">
      <c r="D370" s="6"/>
    </row>
    <row r="371" spans="4:4" ht="15" customHeight="1" x14ac:dyDescent="0.2">
      <c r="D371" s="6"/>
    </row>
    <row r="372" spans="4:4" ht="15" customHeight="1" x14ac:dyDescent="0.2">
      <c r="D372" s="6"/>
    </row>
    <row r="373" spans="4:4" ht="15" customHeight="1" x14ac:dyDescent="0.2">
      <c r="D373" s="6"/>
    </row>
    <row r="374" spans="4:4" ht="15" customHeight="1" x14ac:dyDescent="0.2">
      <c r="D374" s="6"/>
    </row>
    <row r="375" spans="4:4" ht="15" customHeight="1" x14ac:dyDescent="0.2">
      <c r="D375" s="6"/>
    </row>
    <row r="376" spans="4:4" ht="15" customHeight="1" x14ac:dyDescent="0.2">
      <c r="D376" s="6"/>
    </row>
    <row r="377" spans="4:4" ht="15" customHeight="1" x14ac:dyDescent="0.2">
      <c r="D377" s="6"/>
    </row>
    <row r="378" spans="4:4" ht="15" customHeight="1" x14ac:dyDescent="0.2">
      <c r="D378" s="6"/>
    </row>
    <row r="379" spans="4:4" ht="15" customHeight="1" x14ac:dyDescent="0.2">
      <c r="D379" s="6"/>
    </row>
    <row r="380" spans="4:4" ht="15" customHeight="1" x14ac:dyDescent="0.2">
      <c r="D380" s="6"/>
    </row>
    <row r="381" spans="4:4" ht="15" customHeight="1" x14ac:dyDescent="0.2">
      <c r="D381" s="6"/>
    </row>
    <row r="382" spans="4:4" ht="15" customHeight="1" x14ac:dyDescent="0.2">
      <c r="D382" s="6"/>
    </row>
    <row r="383" spans="4:4" ht="15" customHeight="1" x14ac:dyDescent="0.2">
      <c r="D383" s="6"/>
    </row>
    <row r="384" spans="4:4" ht="15" customHeight="1" x14ac:dyDescent="0.2">
      <c r="D384" s="6"/>
    </row>
    <row r="385" spans="4:4" ht="15" customHeight="1" x14ac:dyDescent="0.2">
      <c r="D385" s="6"/>
    </row>
    <row r="386" spans="4:4" ht="15" customHeight="1" x14ac:dyDescent="0.2">
      <c r="D386" s="6"/>
    </row>
    <row r="387" spans="4:4" ht="15" customHeight="1" x14ac:dyDescent="0.2">
      <c r="D387" s="6"/>
    </row>
    <row r="388" spans="4:4" ht="15" customHeight="1" x14ac:dyDescent="0.2">
      <c r="D388" s="6"/>
    </row>
    <row r="389" spans="4:4" ht="15" customHeight="1" x14ac:dyDescent="0.2">
      <c r="D389" s="6"/>
    </row>
    <row r="390" spans="4:4" ht="12.75" customHeight="1" x14ac:dyDescent="0.2"/>
    <row r="391" spans="4:4" ht="12.75" customHeight="1" x14ac:dyDescent="0.2"/>
    <row r="392" spans="4:4" ht="12.75" customHeight="1" x14ac:dyDescent="0.2"/>
    <row r="393" spans="4:4" ht="12.75" customHeight="1" x14ac:dyDescent="0.2"/>
    <row r="394" spans="4:4" ht="12.75" customHeight="1" x14ac:dyDescent="0.2"/>
    <row r="395" spans="4:4" ht="12.75" customHeight="1" x14ac:dyDescent="0.2"/>
    <row r="396" spans="4:4" ht="12.75" customHeight="1" x14ac:dyDescent="0.2"/>
    <row r="397" spans="4:4" ht="12.75" customHeight="1" x14ac:dyDescent="0.2"/>
    <row r="398" spans="4:4" ht="12.75" customHeight="1" x14ac:dyDescent="0.2"/>
    <row r="399" spans="4:4" ht="12.75" customHeight="1" x14ac:dyDescent="0.2"/>
    <row r="400" spans="4:4"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row r="1007" ht="12.75" customHeight="1" x14ac:dyDescent="0.2"/>
    <row r="1008" ht="12.75" customHeight="1" x14ac:dyDescent="0.2"/>
    <row r="1009" ht="12.75" customHeight="1" x14ac:dyDescent="0.2"/>
    <row r="1010" ht="12.75" customHeight="1" x14ac:dyDescent="0.2"/>
    <row r="1011" ht="12.75" customHeight="1" x14ac:dyDescent="0.2"/>
    <row r="1012" ht="12.75" customHeight="1" x14ac:dyDescent="0.2"/>
    <row r="1013" ht="12.75" customHeight="1" x14ac:dyDescent="0.2"/>
    <row r="1014" ht="12.75" customHeight="1" x14ac:dyDescent="0.2"/>
    <row r="1015" ht="12.75" customHeight="1" x14ac:dyDescent="0.2"/>
    <row r="1016" ht="12.75" customHeight="1" x14ac:dyDescent="0.2"/>
    <row r="1017" ht="12.75" customHeight="1" x14ac:dyDescent="0.2"/>
    <row r="1018" ht="12.75" customHeight="1" x14ac:dyDescent="0.2"/>
    <row r="1019" ht="12.75" customHeight="1" x14ac:dyDescent="0.2"/>
    <row r="1020" ht="12.75" customHeight="1" x14ac:dyDescent="0.2"/>
    <row r="1021" ht="12.75" customHeight="1" x14ac:dyDescent="0.2"/>
    <row r="1022" ht="12.75" customHeight="1" x14ac:dyDescent="0.2"/>
    <row r="1023" ht="12.75" customHeight="1" x14ac:dyDescent="0.2"/>
    <row r="1024" ht="12.75" customHeight="1" x14ac:dyDescent="0.2"/>
    <row r="1025" ht="12.75" customHeight="1" x14ac:dyDescent="0.2"/>
    <row r="1026" ht="12.75" customHeight="1" x14ac:dyDescent="0.2"/>
    <row r="1027" ht="12.75" customHeight="1" x14ac:dyDescent="0.2"/>
    <row r="1028" ht="12.75" customHeight="1" x14ac:dyDescent="0.2"/>
    <row r="1029" ht="12.75" customHeight="1" x14ac:dyDescent="0.2"/>
    <row r="1030" ht="12.75" customHeight="1" x14ac:dyDescent="0.2"/>
    <row r="1031" ht="12.75" customHeight="1" x14ac:dyDescent="0.2"/>
    <row r="1032" ht="12.75" customHeight="1" x14ac:dyDescent="0.2"/>
    <row r="1033" ht="12.75" customHeight="1" x14ac:dyDescent="0.2"/>
    <row r="1034" ht="12.75" customHeight="1" x14ac:dyDescent="0.2"/>
    <row r="1035" ht="12.75" customHeight="1" x14ac:dyDescent="0.2"/>
    <row r="1036" ht="12.75" customHeight="1" x14ac:dyDescent="0.2"/>
    <row r="1037" ht="12.75" customHeight="1" x14ac:dyDescent="0.2"/>
    <row r="1038" ht="12.75" customHeight="1" x14ac:dyDescent="0.2"/>
    <row r="1039" ht="12.75" customHeight="1" x14ac:dyDescent="0.2"/>
    <row r="1040" ht="12.75" customHeight="1" x14ac:dyDescent="0.2"/>
    <row r="1041" ht="12.75" customHeight="1" x14ac:dyDescent="0.2"/>
    <row r="1042" ht="12.75" customHeight="1" x14ac:dyDescent="0.2"/>
    <row r="1043" ht="12.75" customHeight="1" x14ac:dyDescent="0.2"/>
    <row r="1044" ht="12.75" customHeight="1" x14ac:dyDescent="0.2"/>
    <row r="1045" ht="12.75" customHeight="1" x14ac:dyDescent="0.2"/>
    <row r="1046" ht="12.75" customHeight="1" x14ac:dyDescent="0.2"/>
    <row r="1047" ht="12.75" customHeight="1" x14ac:dyDescent="0.2"/>
    <row r="1048" ht="12.75" customHeight="1" x14ac:dyDescent="0.2"/>
    <row r="1049" ht="12.75" customHeight="1" x14ac:dyDescent="0.2"/>
    <row r="1050" ht="12.75" customHeight="1" x14ac:dyDescent="0.2"/>
    <row r="1051" ht="12.75" customHeight="1" x14ac:dyDescent="0.2"/>
    <row r="1052" ht="12.75" customHeight="1" x14ac:dyDescent="0.2"/>
    <row r="1053" ht="12.75" customHeight="1" x14ac:dyDescent="0.2"/>
    <row r="1054" ht="12.75" customHeight="1" x14ac:dyDescent="0.2"/>
    <row r="1055" ht="12.75" customHeight="1" x14ac:dyDescent="0.2"/>
    <row r="1056" ht="12.75" customHeight="1" x14ac:dyDescent="0.2"/>
    <row r="1057" ht="12.75" customHeight="1" x14ac:dyDescent="0.2"/>
    <row r="1058" ht="12.75" customHeight="1" x14ac:dyDescent="0.2"/>
    <row r="1059" ht="12.75" customHeight="1" x14ac:dyDescent="0.2"/>
    <row r="1060" ht="12.75" customHeight="1" x14ac:dyDescent="0.2"/>
    <row r="1061" ht="12.75" customHeight="1" x14ac:dyDescent="0.2"/>
    <row r="1062" ht="12.75" customHeight="1" x14ac:dyDescent="0.2"/>
    <row r="1063" ht="12.75" customHeight="1" x14ac:dyDescent="0.2"/>
    <row r="1064" ht="12.75" customHeight="1" x14ac:dyDescent="0.2"/>
    <row r="1065" ht="12.75" customHeight="1" x14ac:dyDescent="0.2"/>
    <row r="1066" ht="12.75" customHeight="1" x14ac:dyDescent="0.2"/>
    <row r="1067" ht="12.75" customHeight="1" x14ac:dyDescent="0.2"/>
    <row r="1068" ht="12.75" customHeight="1" x14ac:dyDescent="0.2"/>
    <row r="1069" ht="12.75" customHeight="1" x14ac:dyDescent="0.2"/>
    <row r="1070" ht="12.75" customHeight="1" x14ac:dyDescent="0.2"/>
    <row r="1071" ht="12.75" customHeight="1" x14ac:dyDescent="0.2"/>
    <row r="1072" ht="12.75" customHeight="1" x14ac:dyDescent="0.2"/>
    <row r="1073" ht="12.75" customHeight="1" x14ac:dyDescent="0.2"/>
    <row r="1074" ht="12.75" customHeight="1" x14ac:dyDescent="0.2"/>
    <row r="1075" ht="12.75" customHeight="1" x14ac:dyDescent="0.2"/>
    <row r="1076" ht="12.75" customHeight="1" x14ac:dyDescent="0.2"/>
    <row r="1077" ht="12.75" customHeight="1" x14ac:dyDescent="0.2"/>
    <row r="1078" ht="12.75" customHeight="1" x14ac:dyDescent="0.2"/>
    <row r="1079" ht="12.75" customHeight="1" x14ac:dyDescent="0.2"/>
    <row r="1080" ht="12.75" customHeight="1" x14ac:dyDescent="0.2"/>
    <row r="1081" ht="12.75" customHeight="1" x14ac:dyDescent="0.2"/>
    <row r="1082" ht="12.75" customHeight="1" x14ac:dyDescent="0.2"/>
    <row r="1083" ht="12.75" customHeight="1" x14ac:dyDescent="0.2"/>
    <row r="1084" ht="12.75" customHeight="1" x14ac:dyDescent="0.2"/>
    <row r="1085" ht="12.75" customHeight="1" x14ac:dyDescent="0.2"/>
    <row r="1086" ht="12.75" customHeight="1" x14ac:dyDescent="0.2"/>
    <row r="1087" ht="12.75" customHeight="1" x14ac:dyDescent="0.2"/>
    <row r="1088" ht="12.75" customHeight="1" x14ac:dyDescent="0.2"/>
    <row r="1089" ht="12.75" customHeight="1" x14ac:dyDescent="0.2"/>
    <row r="1090" ht="12.75" customHeight="1" x14ac:dyDescent="0.2"/>
    <row r="1091" ht="12.75" customHeight="1" x14ac:dyDescent="0.2"/>
    <row r="1092" ht="12.75" customHeight="1" x14ac:dyDescent="0.2"/>
    <row r="1093" ht="12.75" customHeight="1" x14ac:dyDescent="0.2"/>
    <row r="1094" ht="12.75" customHeight="1" x14ac:dyDescent="0.2"/>
    <row r="1095" ht="12.75" customHeight="1" x14ac:dyDescent="0.2"/>
    <row r="1096" ht="12.75" customHeight="1" x14ac:dyDescent="0.2"/>
    <row r="1097" ht="12.75" customHeight="1" x14ac:dyDescent="0.2"/>
    <row r="1098" ht="12.75" customHeight="1" x14ac:dyDescent="0.2"/>
    <row r="1099" ht="12.75" customHeight="1" x14ac:dyDescent="0.2"/>
    <row r="1100" ht="12.75" customHeight="1" x14ac:dyDescent="0.2"/>
    <row r="1101" ht="12.75" customHeight="1" x14ac:dyDescent="0.2"/>
    <row r="1102" ht="12.75" customHeight="1" x14ac:dyDescent="0.2"/>
    <row r="1103" ht="12.75" customHeight="1" x14ac:dyDescent="0.2"/>
    <row r="1104" ht="12.75" customHeight="1" x14ac:dyDescent="0.2"/>
    <row r="1105" ht="12.75" customHeight="1" x14ac:dyDescent="0.2"/>
    <row r="1106" ht="12.75" customHeight="1" x14ac:dyDescent="0.2"/>
    <row r="1107" ht="12.75" customHeight="1" x14ac:dyDescent="0.2"/>
    <row r="1108" ht="12.75" customHeight="1" x14ac:dyDescent="0.2"/>
    <row r="1109" ht="12.75" customHeight="1" x14ac:dyDescent="0.2"/>
    <row r="1110" ht="12.75" customHeight="1" x14ac:dyDescent="0.2"/>
    <row r="1111" ht="12.75" customHeight="1" x14ac:dyDescent="0.2"/>
    <row r="1112" ht="12.75" customHeight="1" x14ac:dyDescent="0.2"/>
    <row r="1113" ht="12.75" customHeight="1" x14ac:dyDescent="0.2"/>
    <row r="1114" ht="12.75" customHeight="1" x14ac:dyDescent="0.2"/>
    <row r="1115" ht="12.75" customHeight="1" x14ac:dyDescent="0.2"/>
    <row r="1116" ht="12.75" customHeight="1" x14ac:dyDescent="0.2"/>
    <row r="1117" ht="12.75" customHeight="1" x14ac:dyDescent="0.2"/>
    <row r="1118" ht="12.75" customHeight="1" x14ac:dyDescent="0.2"/>
    <row r="1119" ht="12.75" customHeight="1" x14ac:dyDescent="0.2"/>
    <row r="1120" ht="12.75" customHeight="1" x14ac:dyDescent="0.2"/>
    <row r="1121" ht="12.75" customHeight="1" x14ac:dyDescent="0.2"/>
    <row r="1122" ht="12.75" customHeight="1" x14ac:dyDescent="0.2"/>
    <row r="1123" ht="12.75" customHeight="1" x14ac:dyDescent="0.2"/>
    <row r="1124" ht="12.75" customHeight="1" x14ac:dyDescent="0.2"/>
    <row r="1125" ht="12.75" customHeight="1" x14ac:dyDescent="0.2"/>
    <row r="1126" ht="12.75" customHeight="1" x14ac:dyDescent="0.2"/>
    <row r="1127" ht="12.75" customHeight="1" x14ac:dyDescent="0.2"/>
    <row r="1128" ht="12.75" customHeight="1" x14ac:dyDescent="0.2"/>
    <row r="1129" ht="12.75" customHeight="1" x14ac:dyDescent="0.2"/>
    <row r="1130" ht="12.75" customHeight="1" x14ac:dyDescent="0.2"/>
    <row r="1131" ht="12.75" customHeight="1" x14ac:dyDescent="0.2"/>
    <row r="1132" ht="12.75" customHeight="1" x14ac:dyDescent="0.2"/>
    <row r="1133" ht="12.75" customHeight="1" x14ac:dyDescent="0.2"/>
    <row r="1134" ht="12.75" customHeight="1" x14ac:dyDescent="0.2"/>
    <row r="1135" ht="12.75" customHeight="1" x14ac:dyDescent="0.2"/>
    <row r="1136" ht="12.75" customHeight="1" x14ac:dyDescent="0.2"/>
    <row r="1137" ht="12.75" customHeight="1" x14ac:dyDescent="0.2"/>
    <row r="1138" ht="12.75" customHeight="1" x14ac:dyDescent="0.2"/>
    <row r="1139" ht="12.75" customHeight="1" x14ac:dyDescent="0.2"/>
    <row r="1140" ht="12.75" customHeight="1" x14ac:dyDescent="0.2"/>
    <row r="1141" ht="12.75" customHeight="1" x14ac:dyDescent="0.2"/>
    <row r="1142" ht="12.75" customHeight="1" x14ac:dyDescent="0.2"/>
    <row r="1143" ht="12.75" customHeight="1" x14ac:dyDescent="0.2"/>
    <row r="1144" ht="12.75" customHeight="1" x14ac:dyDescent="0.2"/>
    <row r="1145" ht="12.75" customHeight="1" x14ac:dyDescent="0.2"/>
    <row r="1146" ht="12.75" customHeight="1" x14ac:dyDescent="0.2"/>
    <row r="1147" ht="12.75" customHeight="1" x14ac:dyDescent="0.2"/>
    <row r="1148" ht="12.75" customHeight="1" x14ac:dyDescent="0.2"/>
    <row r="1149" ht="12.75" customHeight="1" x14ac:dyDescent="0.2"/>
    <row r="1150" ht="12.75" customHeight="1" x14ac:dyDescent="0.2"/>
    <row r="1151" ht="12.75" customHeight="1" x14ac:dyDescent="0.2"/>
    <row r="1152" ht="12.75" customHeight="1" x14ac:dyDescent="0.2"/>
    <row r="1153" ht="12.75" customHeight="1" x14ac:dyDescent="0.2"/>
    <row r="1154" ht="12.75" customHeight="1" x14ac:dyDescent="0.2"/>
    <row r="1155" ht="12.75" customHeight="1" x14ac:dyDescent="0.2"/>
    <row r="1156" ht="12.75" customHeight="1" x14ac:dyDescent="0.2"/>
    <row r="1157" ht="12.75" customHeight="1" x14ac:dyDescent="0.2"/>
    <row r="1158" ht="12.75" customHeight="1" x14ac:dyDescent="0.2"/>
    <row r="1159" ht="12.75" customHeight="1" x14ac:dyDescent="0.2"/>
    <row r="1160" ht="12.75" customHeight="1" x14ac:dyDescent="0.2"/>
    <row r="1161" ht="12.75" customHeight="1" x14ac:dyDescent="0.2"/>
    <row r="1162" ht="12.75" customHeight="1" x14ac:dyDescent="0.2"/>
    <row r="1163" ht="12.75" customHeight="1" x14ac:dyDescent="0.2"/>
    <row r="1164" ht="12.75" customHeight="1" x14ac:dyDescent="0.2"/>
    <row r="1165" ht="12.75" customHeight="1" x14ac:dyDescent="0.2"/>
    <row r="1166" ht="12.75" customHeight="1" x14ac:dyDescent="0.2"/>
    <row r="1167" ht="12.75" customHeight="1" x14ac:dyDescent="0.2"/>
    <row r="1168" ht="12.75" customHeight="1" x14ac:dyDescent="0.2"/>
    <row r="1169" ht="12.75" customHeight="1" x14ac:dyDescent="0.2"/>
    <row r="1170" ht="12.75" customHeight="1" x14ac:dyDescent="0.2"/>
    <row r="1171" ht="12.75" customHeight="1" x14ac:dyDescent="0.2"/>
    <row r="1172" ht="12.75" customHeight="1" x14ac:dyDescent="0.2"/>
    <row r="1173" ht="12.75" customHeight="1" x14ac:dyDescent="0.2"/>
    <row r="1174" ht="12.75" customHeight="1" x14ac:dyDescent="0.2"/>
    <row r="1175" ht="12.75" customHeight="1" x14ac:dyDescent="0.2"/>
    <row r="1176" ht="12.75" customHeight="1" x14ac:dyDescent="0.2"/>
    <row r="1177" ht="12.75" customHeight="1" x14ac:dyDescent="0.2"/>
    <row r="1178" ht="12.75" customHeight="1" x14ac:dyDescent="0.2"/>
    <row r="1179" ht="12.75" customHeight="1" x14ac:dyDescent="0.2"/>
    <row r="1180" ht="12.75" customHeight="1" x14ac:dyDescent="0.2"/>
    <row r="1181" ht="12.75" customHeight="1" x14ac:dyDescent="0.2"/>
    <row r="1182" ht="12.75" customHeight="1" x14ac:dyDescent="0.2"/>
    <row r="1183" ht="12.75" customHeight="1" x14ac:dyDescent="0.2"/>
    <row r="1184" ht="12.75" customHeight="1" x14ac:dyDescent="0.2"/>
    <row r="1185" ht="12.75" customHeight="1" x14ac:dyDescent="0.2"/>
    <row r="1186" ht="12.75" customHeight="1" x14ac:dyDescent="0.2"/>
    <row r="1187" ht="12.75" customHeight="1" x14ac:dyDescent="0.2"/>
    <row r="1188" ht="12.75" customHeight="1" x14ac:dyDescent="0.2"/>
    <row r="1189" ht="12.75" customHeight="1" x14ac:dyDescent="0.2"/>
    <row r="1190" ht="12.75" customHeight="1" x14ac:dyDescent="0.2"/>
    <row r="1191" ht="12.75" customHeight="1" x14ac:dyDescent="0.2"/>
    <row r="1192" ht="12.75" customHeight="1" x14ac:dyDescent="0.2"/>
    <row r="1193" ht="12.75" customHeight="1" x14ac:dyDescent="0.2"/>
    <row r="1194" ht="12.75" customHeight="1" x14ac:dyDescent="0.2"/>
    <row r="1195" ht="12.75" customHeight="1" x14ac:dyDescent="0.2"/>
    <row r="1196" ht="12.75" customHeight="1" x14ac:dyDescent="0.2"/>
    <row r="1197" ht="12.75" customHeight="1" x14ac:dyDescent="0.2"/>
    <row r="1198" ht="12.75" customHeight="1" x14ac:dyDescent="0.2"/>
    <row r="1199" ht="12.75" customHeight="1" x14ac:dyDescent="0.2"/>
    <row r="1200" ht="12.75" customHeight="1" x14ac:dyDescent="0.2"/>
    <row r="1201" ht="12.75" customHeight="1" x14ac:dyDescent="0.2"/>
    <row r="1202" ht="12.75" customHeight="1" x14ac:dyDescent="0.2"/>
    <row r="1203" ht="12.75" customHeight="1" x14ac:dyDescent="0.2"/>
    <row r="1204" ht="12.75" customHeight="1" x14ac:dyDescent="0.2"/>
    <row r="1205" ht="12.75" customHeight="1" x14ac:dyDescent="0.2"/>
    <row r="1206" ht="12.75" customHeight="1" x14ac:dyDescent="0.2"/>
    <row r="1207" ht="12.75" customHeight="1" x14ac:dyDescent="0.2"/>
    <row r="1208" ht="12.75" customHeight="1" x14ac:dyDescent="0.2"/>
    <row r="1209" ht="12.75" customHeight="1" x14ac:dyDescent="0.2"/>
    <row r="1210" ht="12.75" customHeight="1" x14ac:dyDescent="0.2"/>
    <row r="1211" ht="12.75" customHeight="1" x14ac:dyDescent="0.2"/>
    <row r="1212" ht="12.75" customHeight="1" x14ac:dyDescent="0.2"/>
    <row r="1213" ht="12.75" customHeight="1" x14ac:dyDescent="0.2"/>
    <row r="1214" ht="12.75" customHeight="1" x14ac:dyDescent="0.2"/>
    <row r="1215" ht="12.75" customHeight="1" x14ac:dyDescent="0.2"/>
    <row r="1216" ht="12.75" customHeight="1" x14ac:dyDescent="0.2"/>
    <row r="1217" ht="12.75" customHeight="1" x14ac:dyDescent="0.2"/>
    <row r="1218" ht="12.75" customHeight="1" x14ac:dyDescent="0.2"/>
    <row r="1219" ht="12.75" customHeight="1" x14ac:dyDescent="0.2"/>
    <row r="1220" ht="12.75" customHeight="1" x14ac:dyDescent="0.2"/>
    <row r="1221" ht="12.75" customHeight="1" x14ac:dyDescent="0.2"/>
    <row r="1222" ht="12.75" customHeight="1" x14ac:dyDescent="0.2"/>
    <row r="1223" ht="12.75" customHeight="1" x14ac:dyDescent="0.2"/>
    <row r="1224" ht="12.75" customHeight="1" x14ac:dyDescent="0.2"/>
    <row r="1225" ht="12.75" customHeight="1" x14ac:dyDescent="0.2"/>
    <row r="1226" ht="12.75" customHeight="1" x14ac:dyDescent="0.2"/>
    <row r="1227" ht="12.75" customHeight="1" x14ac:dyDescent="0.2"/>
    <row r="1228" ht="12.75" customHeight="1" x14ac:dyDescent="0.2"/>
    <row r="1229" ht="12.75" customHeight="1" x14ac:dyDescent="0.2"/>
    <row r="1230" ht="12.75" customHeight="1" x14ac:dyDescent="0.2"/>
    <row r="1231" ht="12.75" customHeight="1" x14ac:dyDescent="0.2"/>
    <row r="1232" ht="12.75" customHeight="1" x14ac:dyDescent="0.2"/>
    <row r="1233" ht="12.75" customHeight="1" x14ac:dyDescent="0.2"/>
    <row r="1234" ht="12.75" customHeight="1" x14ac:dyDescent="0.2"/>
    <row r="1235" ht="12.75" customHeight="1" x14ac:dyDescent="0.2"/>
    <row r="1236" ht="12.75" customHeight="1" x14ac:dyDescent="0.2"/>
    <row r="1237" ht="12.75" customHeight="1" x14ac:dyDescent="0.2"/>
    <row r="1238" ht="12.75" customHeight="1" x14ac:dyDescent="0.2"/>
    <row r="1239" ht="12.75" customHeight="1" x14ac:dyDescent="0.2"/>
    <row r="1240" ht="12.75" customHeight="1" x14ac:dyDescent="0.2"/>
    <row r="1241" ht="12.75" customHeight="1" x14ac:dyDescent="0.2"/>
    <row r="1242" ht="12.75" customHeight="1" x14ac:dyDescent="0.2"/>
    <row r="1243" ht="12.75" customHeight="1" x14ac:dyDescent="0.2"/>
    <row r="1244" ht="12.75" customHeight="1" x14ac:dyDescent="0.2"/>
    <row r="1245" ht="12.75" customHeight="1" x14ac:dyDescent="0.2"/>
    <row r="1246" ht="12.75" customHeight="1" x14ac:dyDescent="0.2"/>
    <row r="1247" ht="12.75" customHeight="1" x14ac:dyDescent="0.2"/>
    <row r="1248" ht="12.75" customHeight="1" x14ac:dyDescent="0.2"/>
    <row r="1249" ht="12.75" customHeight="1" x14ac:dyDescent="0.2"/>
    <row r="1250" ht="12.75" customHeight="1" x14ac:dyDescent="0.2"/>
    <row r="1251" ht="12.75" customHeight="1" x14ac:dyDescent="0.2"/>
    <row r="1252" ht="12.75" customHeight="1" x14ac:dyDescent="0.2"/>
    <row r="1253" ht="12.75" customHeight="1" x14ac:dyDescent="0.2"/>
    <row r="1254" ht="12.75" customHeight="1" x14ac:dyDescent="0.2"/>
    <row r="1255" ht="12.75" customHeight="1" x14ac:dyDescent="0.2"/>
    <row r="1256" ht="12.75" customHeight="1" x14ac:dyDescent="0.2"/>
    <row r="1257" ht="12.75" customHeight="1" x14ac:dyDescent="0.2"/>
    <row r="1258" ht="12.75" customHeight="1" x14ac:dyDescent="0.2"/>
    <row r="1259" ht="12.75" customHeight="1" x14ac:dyDescent="0.2"/>
    <row r="1260" ht="12.75" customHeight="1" x14ac:dyDescent="0.2"/>
    <row r="1261" ht="12.75" customHeight="1" x14ac:dyDescent="0.2"/>
    <row r="1262" ht="12.75" customHeight="1" x14ac:dyDescent="0.2"/>
    <row r="1263" ht="12.75" customHeight="1" x14ac:dyDescent="0.2"/>
    <row r="1264" ht="12.75" customHeight="1" x14ac:dyDescent="0.2"/>
    <row r="1265" ht="12.75" customHeight="1" x14ac:dyDescent="0.2"/>
    <row r="1266" ht="12.75" customHeight="1" x14ac:dyDescent="0.2"/>
    <row r="1267" ht="12.75" customHeight="1" x14ac:dyDescent="0.2"/>
    <row r="1268" ht="12.75" customHeight="1" x14ac:dyDescent="0.2"/>
    <row r="1269" ht="12.75" customHeight="1" x14ac:dyDescent="0.2"/>
    <row r="1270" ht="12.75" customHeight="1" x14ac:dyDescent="0.2"/>
    <row r="1271" ht="12.75" customHeight="1" x14ac:dyDescent="0.2"/>
    <row r="1272" ht="12.75" customHeight="1" x14ac:dyDescent="0.2"/>
    <row r="1273" ht="12.75" customHeight="1" x14ac:dyDescent="0.2"/>
    <row r="1274" ht="12.75" customHeight="1" x14ac:dyDescent="0.2"/>
    <row r="1275" ht="12.75" customHeight="1" x14ac:dyDescent="0.2"/>
    <row r="1276" ht="12.75" customHeight="1" x14ac:dyDescent="0.2"/>
    <row r="1277" ht="12.75" customHeight="1" x14ac:dyDescent="0.2"/>
    <row r="1278" ht="12.75" customHeight="1" x14ac:dyDescent="0.2"/>
    <row r="1279" ht="12.75" customHeight="1" x14ac:dyDescent="0.2"/>
    <row r="1280" ht="12.75" customHeight="1" x14ac:dyDescent="0.2"/>
    <row r="1281" ht="12.75" customHeight="1" x14ac:dyDescent="0.2"/>
    <row r="1282" ht="12.75" customHeight="1" x14ac:dyDescent="0.2"/>
    <row r="1283" ht="12.75" customHeight="1" x14ac:dyDescent="0.2"/>
    <row r="1284" ht="12.75" customHeight="1" x14ac:dyDescent="0.2"/>
    <row r="1285" ht="12.75" customHeight="1" x14ac:dyDescent="0.2"/>
    <row r="1286" ht="12.75" customHeight="1" x14ac:dyDescent="0.2"/>
    <row r="1287" ht="12.75" customHeight="1" x14ac:dyDescent="0.2"/>
    <row r="1288" ht="12.75" customHeight="1" x14ac:dyDescent="0.2"/>
    <row r="1289" ht="12.75" customHeight="1" x14ac:dyDescent="0.2"/>
    <row r="1290" ht="12.75" customHeight="1" x14ac:dyDescent="0.2"/>
    <row r="1291" ht="12.75" customHeight="1" x14ac:dyDescent="0.2"/>
    <row r="1292" ht="12.75" customHeight="1" x14ac:dyDescent="0.2"/>
    <row r="1293" ht="12.75" customHeight="1" x14ac:dyDescent="0.2"/>
    <row r="1294" ht="12.75" customHeight="1" x14ac:dyDescent="0.2"/>
    <row r="1295" ht="12.75" customHeight="1" x14ac:dyDescent="0.2"/>
    <row r="1296" ht="12.75" customHeight="1" x14ac:dyDescent="0.2"/>
    <row r="1297" ht="12.75" customHeight="1" x14ac:dyDescent="0.2"/>
    <row r="1298" ht="12.75" customHeight="1" x14ac:dyDescent="0.2"/>
    <row r="1299" ht="12.75" customHeight="1" x14ac:dyDescent="0.2"/>
    <row r="1300" ht="12.75" customHeight="1" x14ac:dyDescent="0.2"/>
    <row r="1301" ht="12.75" customHeight="1" x14ac:dyDescent="0.2"/>
    <row r="1302" ht="12.75" customHeight="1" x14ac:dyDescent="0.2"/>
    <row r="1303" ht="12.75" customHeight="1" x14ac:dyDescent="0.2"/>
    <row r="1304" ht="12.75" customHeight="1" x14ac:dyDescent="0.2"/>
    <row r="1305" ht="12.75" customHeight="1" x14ac:dyDescent="0.2"/>
    <row r="1306" ht="12.75" customHeight="1" x14ac:dyDescent="0.2"/>
    <row r="1307" ht="12.75" customHeight="1" x14ac:dyDescent="0.2"/>
    <row r="1308" ht="12.75" customHeight="1" x14ac:dyDescent="0.2"/>
    <row r="1309" ht="12.75" customHeight="1" x14ac:dyDescent="0.2"/>
    <row r="1310" ht="12.75" customHeight="1" x14ac:dyDescent="0.2"/>
    <row r="1311" ht="12.75" customHeight="1" x14ac:dyDescent="0.2"/>
    <row r="1312" ht="12.75" customHeight="1" x14ac:dyDescent="0.2"/>
    <row r="1313" ht="12.75" customHeight="1" x14ac:dyDescent="0.2"/>
    <row r="1314" ht="12.75" customHeight="1" x14ac:dyDescent="0.2"/>
    <row r="1315" ht="12.75" customHeight="1" x14ac:dyDescent="0.2"/>
    <row r="1316" ht="12.75" customHeight="1" x14ac:dyDescent="0.2"/>
    <row r="1317" ht="12.75" customHeight="1" x14ac:dyDescent="0.2"/>
    <row r="1318" ht="12.75" customHeight="1" x14ac:dyDescent="0.2"/>
    <row r="1319" ht="12.75" customHeight="1" x14ac:dyDescent="0.2"/>
    <row r="1320" ht="12.75" customHeight="1" x14ac:dyDescent="0.2"/>
    <row r="1321" ht="12.75" customHeight="1" x14ac:dyDescent="0.2"/>
    <row r="1322" ht="12.75" customHeight="1" x14ac:dyDescent="0.2"/>
    <row r="1323" ht="12.75" customHeight="1" x14ac:dyDescent="0.2"/>
    <row r="1324" ht="12.75" customHeight="1" x14ac:dyDescent="0.2"/>
    <row r="1325" ht="12.75" customHeight="1" x14ac:dyDescent="0.2"/>
    <row r="1326" ht="12.75" customHeight="1" x14ac:dyDescent="0.2"/>
    <row r="1327" ht="12.75" customHeight="1" x14ac:dyDescent="0.2"/>
    <row r="1328" ht="12.75" customHeight="1" x14ac:dyDescent="0.2"/>
    <row r="1329" ht="12.75" customHeight="1" x14ac:dyDescent="0.2"/>
    <row r="1330" ht="12.75" customHeight="1" x14ac:dyDescent="0.2"/>
    <row r="1331" ht="12.75" customHeight="1" x14ac:dyDescent="0.2"/>
    <row r="1332" ht="12.75" customHeight="1" x14ac:dyDescent="0.2"/>
    <row r="1333" ht="12.75" customHeight="1" x14ac:dyDescent="0.2"/>
    <row r="1334" ht="12.75" customHeight="1" x14ac:dyDescent="0.2"/>
    <row r="1335" ht="12.75" customHeight="1" x14ac:dyDescent="0.2"/>
    <row r="1336" ht="12.75" customHeight="1" x14ac:dyDescent="0.2"/>
    <row r="1337" ht="12.75" customHeight="1" x14ac:dyDescent="0.2"/>
    <row r="1338" ht="12.75" customHeight="1" x14ac:dyDescent="0.2"/>
    <row r="1339" ht="12.75" customHeight="1" x14ac:dyDescent="0.2"/>
    <row r="1340" ht="12.75" customHeight="1" x14ac:dyDescent="0.2"/>
    <row r="1341" ht="12.75" customHeight="1" x14ac:dyDescent="0.2"/>
    <row r="1342" ht="12.75" customHeight="1" x14ac:dyDescent="0.2"/>
    <row r="1343" ht="12.75" customHeight="1" x14ac:dyDescent="0.2"/>
    <row r="1344" ht="12.75" customHeight="1" x14ac:dyDescent="0.2"/>
    <row r="1345" ht="12.75" customHeight="1" x14ac:dyDescent="0.2"/>
    <row r="1346" ht="12.75" customHeight="1" x14ac:dyDescent="0.2"/>
    <row r="1347" ht="12.75" customHeight="1" x14ac:dyDescent="0.2"/>
    <row r="1348" ht="12.75" customHeight="1" x14ac:dyDescent="0.2"/>
    <row r="1349" ht="12.75" customHeight="1" x14ac:dyDescent="0.2"/>
    <row r="1350" ht="12.75" customHeight="1" x14ac:dyDescent="0.2"/>
    <row r="1351" ht="12.75" customHeight="1" x14ac:dyDescent="0.2"/>
    <row r="1352" ht="12.75" customHeight="1" x14ac:dyDescent="0.2"/>
    <row r="1353" ht="12.75" customHeight="1" x14ac:dyDescent="0.2"/>
    <row r="1354" ht="12.75" customHeight="1" x14ac:dyDescent="0.2"/>
    <row r="1355" ht="12.75" customHeight="1" x14ac:dyDescent="0.2"/>
    <row r="1356" ht="12.75" customHeight="1" x14ac:dyDescent="0.2"/>
    <row r="1357" ht="12.75" customHeight="1" x14ac:dyDescent="0.2"/>
    <row r="1358" ht="12.75" customHeight="1" x14ac:dyDescent="0.2"/>
    <row r="1359" ht="12.75" customHeight="1" x14ac:dyDescent="0.2"/>
    <row r="1360" ht="12.75" customHeight="1" x14ac:dyDescent="0.2"/>
    <row r="1361" ht="12.75" customHeight="1" x14ac:dyDescent="0.2"/>
    <row r="1362" ht="12.75" customHeight="1" x14ac:dyDescent="0.2"/>
    <row r="1363" ht="12.75" customHeight="1" x14ac:dyDescent="0.2"/>
    <row r="1364" ht="12.75" customHeight="1" x14ac:dyDescent="0.2"/>
    <row r="1365" ht="12.75" customHeight="1" x14ac:dyDescent="0.2"/>
    <row r="1366" ht="12.75" customHeight="1" x14ac:dyDescent="0.2"/>
    <row r="1367" ht="12.75" customHeight="1" x14ac:dyDescent="0.2"/>
    <row r="1368" ht="12.75" customHeight="1" x14ac:dyDescent="0.2"/>
    <row r="1369" ht="12.75" customHeight="1" x14ac:dyDescent="0.2"/>
    <row r="1370" ht="12.75" customHeight="1" x14ac:dyDescent="0.2"/>
    <row r="1371" ht="12.75" customHeight="1" x14ac:dyDescent="0.2"/>
    <row r="1372" ht="12.75" customHeight="1" x14ac:dyDescent="0.2"/>
    <row r="1373" ht="12.75" customHeight="1" x14ac:dyDescent="0.2"/>
    <row r="1374" ht="12.75" customHeight="1" x14ac:dyDescent="0.2"/>
    <row r="1375" ht="12.75" customHeight="1" x14ac:dyDescent="0.2"/>
    <row r="1376" ht="12.75" customHeight="1" x14ac:dyDescent="0.2"/>
    <row r="1377" ht="12.75" customHeight="1" x14ac:dyDescent="0.2"/>
    <row r="1378" ht="12.75" customHeight="1" x14ac:dyDescent="0.2"/>
    <row r="1379" ht="12.75" customHeight="1" x14ac:dyDescent="0.2"/>
    <row r="1380" ht="12.75" customHeight="1" x14ac:dyDescent="0.2"/>
    <row r="1381" ht="12.75" customHeight="1" x14ac:dyDescent="0.2"/>
    <row r="1382" ht="12.75" customHeight="1" x14ac:dyDescent="0.2"/>
    <row r="1383" ht="12.75" customHeight="1" x14ac:dyDescent="0.2"/>
    <row r="1384" ht="12.75" customHeight="1" x14ac:dyDescent="0.2"/>
    <row r="1385" ht="12.75" customHeight="1" x14ac:dyDescent="0.2"/>
    <row r="1386" ht="12.75" customHeight="1" x14ac:dyDescent="0.2"/>
    <row r="1387" ht="12.75" customHeight="1" x14ac:dyDescent="0.2"/>
    <row r="1388" ht="12.75" customHeight="1" x14ac:dyDescent="0.2"/>
    <row r="1389" ht="12.75" customHeight="1" x14ac:dyDescent="0.2"/>
    <row r="1390" ht="12.75" customHeight="1" x14ac:dyDescent="0.2"/>
    <row r="1391" ht="12.75" customHeight="1" x14ac:dyDescent="0.2"/>
    <row r="1392" ht="12.75" customHeight="1" x14ac:dyDescent="0.2"/>
    <row r="1393" ht="12.75" customHeight="1" x14ac:dyDescent="0.2"/>
    <row r="1394" ht="12.75" customHeight="1" x14ac:dyDescent="0.2"/>
    <row r="1395" ht="12.75" customHeight="1" x14ac:dyDescent="0.2"/>
    <row r="1396" ht="12.75" customHeight="1" x14ac:dyDescent="0.2"/>
    <row r="1397" ht="12.75" customHeight="1" x14ac:dyDescent="0.2"/>
    <row r="1398" ht="12.75" customHeight="1" x14ac:dyDescent="0.2"/>
    <row r="1399" ht="12.75" customHeight="1" x14ac:dyDescent="0.2"/>
    <row r="1400" ht="12.75" customHeight="1" x14ac:dyDescent="0.2"/>
    <row r="1401" ht="12.75" customHeight="1" x14ac:dyDescent="0.2"/>
    <row r="1402" ht="12.75" customHeight="1" x14ac:dyDescent="0.2"/>
    <row r="1403" ht="12.75" customHeight="1" x14ac:dyDescent="0.2"/>
    <row r="1404" ht="12.75" customHeight="1" x14ac:dyDescent="0.2"/>
    <row r="1405" ht="12.75" customHeight="1" x14ac:dyDescent="0.2"/>
    <row r="1406" ht="12.75" customHeight="1" x14ac:dyDescent="0.2"/>
    <row r="1407" ht="12.75" customHeight="1" x14ac:dyDescent="0.2"/>
    <row r="1408" ht="12.75" customHeight="1" x14ac:dyDescent="0.2"/>
    <row r="1409" ht="12.75" customHeight="1" x14ac:dyDescent="0.2"/>
    <row r="1410" ht="12.75" customHeight="1" x14ac:dyDescent="0.2"/>
    <row r="1411" ht="12.75" customHeight="1" x14ac:dyDescent="0.2"/>
    <row r="1412" ht="12.75" customHeight="1" x14ac:dyDescent="0.2"/>
    <row r="1413" ht="12.75" customHeight="1" x14ac:dyDescent="0.2"/>
    <row r="1414" ht="12.75" customHeight="1" x14ac:dyDescent="0.2"/>
    <row r="1415" ht="12.75" customHeight="1" x14ac:dyDescent="0.2"/>
    <row r="1416" ht="12.75" customHeight="1" x14ac:dyDescent="0.2"/>
    <row r="1417" ht="12.75" customHeight="1" x14ac:dyDescent="0.2"/>
    <row r="1418" ht="12.75" customHeight="1" x14ac:dyDescent="0.2"/>
    <row r="1419" ht="12.75" customHeight="1" x14ac:dyDescent="0.2"/>
    <row r="1420" ht="12.75" customHeight="1" x14ac:dyDescent="0.2"/>
    <row r="1421" ht="12.75" customHeight="1" x14ac:dyDescent="0.2"/>
    <row r="1422" ht="12.75" customHeight="1" x14ac:dyDescent="0.2"/>
    <row r="1423" ht="12.75" customHeight="1" x14ac:dyDescent="0.2"/>
    <row r="1424" ht="12.75" customHeight="1" x14ac:dyDescent="0.2"/>
    <row r="1425" ht="12.75" customHeight="1" x14ac:dyDescent="0.2"/>
    <row r="1426" ht="12.75" customHeight="1" x14ac:dyDescent="0.2"/>
    <row r="1427" ht="12.75" customHeight="1" x14ac:dyDescent="0.2"/>
    <row r="1428" ht="12.75" customHeight="1" x14ac:dyDescent="0.2"/>
    <row r="1429" ht="12.75" customHeight="1" x14ac:dyDescent="0.2"/>
    <row r="1430" ht="12.75" customHeight="1" x14ac:dyDescent="0.2"/>
    <row r="1431" ht="12.75" customHeight="1" x14ac:dyDescent="0.2"/>
    <row r="1432" ht="12.75" customHeight="1" x14ac:dyDescent="0.2"/>
    <row r="1433" ht="12.75" customHeight="1" x14ac:dyDescent="0.2"/>
    <row r="1434" ht="12.75" customHeight="1" x14ac:dyDescent="0.2"/>
    <row r="1435" ht="12.75" customHeight="1" x14ac:dyDescent="0.2"/>
    <row r="1436" ht="12.75" customHeight="1" x14ac:dyDescent="0.2"/>
    <row r="1437" ht="12.75" customHeight="1" x14ac:dyDescent="0.2"/>
    <row r="1438" ht="12.75" customHeight="1" x14ac:dyDescent="0.2"/>
    <row r="1439" ht="12.75" customHeight="1" x14ac:dyDescent="0.2"/>
    <row r="1440" ht="12.75" customHeight="1" x14ac:dyDescent="0.2"/>
    <row r="1441" ht="12.75" customHeight="1" x14ac:dyDescent="0.2"/>
    <row r="1442" ht="12.75" customHeight="1" x14ac:dyDescent="0.2"/>
    <row r="1443" ht="12.75" customHeight="1" x14ac:dyDescent="0.2"/>
    <row r="1444" ht="12.75" customHeight="1" x14ac:dyDescent="0.2"/>
    <row r="1445" ht="12.75" customHeight="1" x14ac:dyDescent="0.2"/>
    <row r="1446" ht="12.75" customHeight="1" x14ac:dyDescent="0.2"/>
    <row r="1447" ht="12.75" customHeight="1" x14ac:dyDescent="0.2"/>
    <row r="1448" ht="12.75" customHeight="1" x14ac:dyDescent="0.2"/>
    <row r="1449" ht="12.75" customHeight="1" x14ac:dyDescent="0.2"/>
    <row r="1450" ht="12.75" customHeight="1" x14ac:dyDescent="0.2"/>
    <row r="1451" ht="12.75" customHeight="1" x14ac:dyDescent="0.2"/>
    <row r="1452" ht="12.75" customHeight="1" x14ac:dyDescent="0.2"/>
    <row r="1453" ht="12.75" customHeight="1" x14ac:dyDescent="0.2"/>
    <row r="1454" ht="12.75" customHeight="1" x14ac:dyDescent="0.2"/>
    <row r="1455" ht="12.75" customHeight="1" x14ac:dyDescent="0.2"/>
    <row r="1456" ht="12.75" customHeight="1" x14ac:dyDescent="0.2"/>
    <row r="1457" ht="12.75" customHeight="1" x14ac:dyDescent="0.2"/>
    <row r="1458" ht="12.75" customHeight="1" x14ac:dyDescent="0.2"/>
    <row r="1459" ht="12.75" customHeight="1" x14ac:dyDescent="0.2"/>
    <row r="1460" ht="12.75" customHeight="1" x14ac:dyDescent="0.2"/>
    <row r="1461" ht="12.75" customHeight="1" x14ac:dyDescent="0.2"/>
    <row r="1462" ht="12.75" customHeight="1" x14ac:dyDescent="0.2"/>
    <row r="1463" ht="12.75" customHeight="1" x14ac:dyDescent="0.2"/>
    <row r="1464" ht="12.75" customHeight="1" x14ac:dyDescent="0.2"/>
    <row r="1465" ht="12.75" customHeight="1" x14ac:dyDescent="0.2"/>
    <row r="1466" ht="12.75" customHeight="1" x14ac:dyDescent="0.2"/>
    <row r="1467" ht="12.75" customHeight="1" x14ac:dyDescent="0.2"/>
    <row r="1468" ht="12.75" customHeight="1" x14ac:dyDescent="0.2"/>
    <row r="1469" ht="12.75" customHeight="1" x14ac:dyDescent="0.2"/>
    <row r="1470" ht="12.75" customHeight="1" x14ac:dyDescent="0.2"/>
    <row r="1471" ht="12.75" customHeight="1" x14ac:dyDescent="0.2"/>
    <row r="1472" ht="12.75" customHeight="1" x14ac:dyDescent="0.2"/>
    <row r="1473" ht="12.75" customHeight="1" x14ac:dyDescent="0.2"/>
    <row r="1474" ht="12.75" customHeight="1" x14ac:dyDescent="0.2"/>
    <row r="1475" ht="12.75" customHeight="1" x14ac:dyDescent="0.2"/>
    <row r="1476" ht="12.75" customHeight="1" x14ac:dyDescent="0.2"/>
    <row r="1477" ht="12.75" customHeight="1" x14ac:dyDescent="0.2"/>
    <row r="1478" ht="12.75" customHeight="1" x14ac:dyDescent="0.2"/>
    <row r="1479" ht="12.75" customHeight="1" x14ac:dyDescent="0.2"/>
    <row r="1480" ht="12.75" customHeight="1" x14ac:dyDescent="0.2"/>
    <row r="1481" ht="12.75" customHeight="1" x14ac:dyDescent="0.2"/>
    <row r="1482" ht="12.75" customHeight="1" x14ac:dyDescent="0.2"/>
    <row r="1483" ht="12.75" customHeight="1" x14ac:dyDescent="0.2"/>
    <row r="1484" ht="12.75" customHeight="1" x14ac:dyDescent="0.2"/>
    <row r="1485" ht="12.75" customHeight="1" x14ac:dyDescent="0.2"/>
    <row r="1486" ht="12.75" customHeight="1" x14ac:dyDescent="0.2"/>
    <row r="1487" ht="12.75" customHeight="1" x14ac:dyDescent="0.2"/>
    <row r="1488" ht="12.75" customHeight="1" x14ac:dyDescent="0.2"/>
    <row r="1489" ht="12.75" customHeight="1" x14ac:dyDescent="0.2"/>
    <row r="1490" ht="12.75" customHeight="1" x14ac:dyDescent="0.2"/>
    <row r="1491" ht="12.75" customHeight="1" x14ac:dyDescent="0.2"/>
    <row r="1492" ht="12.75" customHeight="1" x14ac:dyDescent="0.2"/>
    <row r="1493" ht="12.75" customHeight="1" x14ac:dyDescent="0.2"/>
    <row r="1494" ht="12.75" customHeight="1" x14ac:dyDescent="0.2"/>
    <row r="1495" ht="12.75" customHeight="1" x14ac:dyDescent="0.2"/>
    <row r="1496" ht="12.75" customHeight="1" x14ac:dyDescent="0.2"/>
    <row r="1497" ht="12.75" customHeight="1" x14ac:dyDescent="0.2"/>
    <row r="1498" ht="12.75" customHeight="1" x14ac:dyDescent="0.2"/>
    <row r="1499" ht="12.75" customHeight="1" x14ac:dyDescent="0.2"/>
    <row r="1500" ht="12.75" customHeight="1" x14ac:dyDescent="0.2"/>
    <row r="1501" ht="12.75" customHeight="1" x14ac:dyDescent="0.2"/>
    <row r="1502" ht="12.75" customHeight="1" x14ac:dyDescent="0.2"/>
    <row r="1503" ht="12.75" customHeight="1" x14ac:dyDescent="0.2"/>
    <row r="1504" ht="12.75" customHeight="1" x14ac:dyDescent="0.2"/>
    <row r="1505" ht="12.75" customHeight="1" x14ac:dyDescent="0.2"/>
    <row r="1506" ht="12.75" customHeight="1" x14ac:dyDescent="0.2"/>
    <row r="1507" ht="12.75" customHeight="1" x14ac:dyDescent="0.2"/>
    <row r="1508" ht="12.75" customHeight="1" x14ac:dyDescent="0.2"/>
    <row r="1509" ht="12.75" customHeight="1" x14ac:dyDescent="0.2"/>
    <row r="1510" ht="12.75" customHeight="1" x14ac:dyDescent="0.2"/>
    <row r="1511" ht="12.75" customHeight="1" x14ac:dyDescent="0.2"/>
    <row r="1512" ht="12.75" customHeight="1" x14ac:dyDescent="0.2"/>
    <row r="1513" ht="12.75" customHeight="1" x14ac:dyDescent="0.2"/>
    <row r="1514" ht="12.75" customHeight="1" x14ac:dyDescent="0.2"/>
    <row r="1515" ht="12.75" customHeight="1" x14ac:dyDescent="0.2"/>
    <row r="1516" ht="12.75" customHeight="1" x14ac:dyDescent="0.2"/>
    <row r="1517" ht="12.75" customHeight="1" x14ac:dyDescent="0.2"/>
    <row r="1518" ht="12.75" customHeight="1" x14ac:dyDescent="0.2"/>
    <row r="1519" ht="12.75" customHeight="1" x14ac:dyDescent="0.2"/>
    <row r="1520" ht="12.75" customHeight="1" x14ac:dyDescent="0.2"/>
    <row r="1521" ht="12.75" customHeight="1" x14ac:dyDescent="0.2"/>
    <row r="1522" ht="12.75" customHeight="1" x14ac:dyDescent="0.2"/>
    <row r="1523" ht="12.75" customHeight="1" x14ac:dyDescent="0.2"/>
    <row r="1524" ht="12.75" customHeight="1" x14ac:dyDescent="0.2"/>
    <row r="1525" ht="12.75" customHeight="1" x14ac:dyDescent="0.2"/>
    <row r="1526" ht="12.75" customHeight="1" x14ac:dyDescent="0.2"/>
    <row r="1527" ht="12.75" customHeight="1" x14ac:dyDescent="0.2"/>
    <row r="1528" ht="12.75" customHeight="1" x14ac:dyDescent="0.2"/>
    <row r="1529" ht="12.75" customHeight="1" x14ac:dyDescent="0.2"/>
    <row r="1530" ht="12.75" customHeight="1" x14ac:dyDescent="0.2"/>
    <row r="1531" ht="12.75" customHeight="1" x14ac:dyDescent="0.2"/>
    <row r="1532" ht="12.75" customHeight="1" x14ac:dyDescent="0.2"/>
    <row r="1533" ht="12.75" customHeight="1" x14ac:dyDescent="0.2"/>
    <row r="1534" ht="12.75" customHeight="1" x14ac:dyDescent="0.2"/>
    <row r="1535" ht="12.75" customHeight="1" x14ac:dyDescent="0.2"/>
    <row r="1536" ht="12.75" customHeight="1" x14ac:dyDescent="0.2"/>
    <row r="1537" ht="12.75" customHeight="1" x14ac:dyDescent="0.2"/>
    <row r="1538" ht="12.75" customHeight="1" x14ac:dyDescent="0.2"/>
    <row r="1539" ht="12.75" customHeight="1" x14ac:dyDescent="0.2"/>
    <row r="1540" ht="12.75" customHeight="1" x14ac:dyDescent="0.2"/>
    <row r="1541" ht="12.75" customHeight="1" x14ac:dyDescent="0.2"/>
    <row r="1542" ht="12.75" customHeight="1" x14ac:dyDescent="0.2"/>
    <row r="1543" ht="12.75" customHeight="1" x14ac:dyDescent="0.2"/>
    <row r="1544" ht="12.75" customHeight="1" x14ac:dyDescent="0.2"/>
    <row r="1545" ht="12.75" customHeight="1" x14ac:dyDescent="0.2"/>
    <row r="1546" ht="12.75" customHeight="1" x14ac:dyDescent="0.2"/>
    <row r="1547" ht="12.75" customHeight="1" x14ac:dyDescent="0.2"/>
    <row r="1548" ht="12.75" customHeight="1" x14ac:dyDescent="0.2"/>
    <row r="1549" ht="12.75" customHeight="1" x14ac:dyDescent="0.2"/>
    <row r="1550" ht="12.75" customHeight="1" x14ac:dyDescent="0.2"/>
    <row r="1551" ht="12.75" customHeight="1" x14ac:dyDescent="0.2"/>
    <row r="1552" ht="12.75" customHeight="1" x14ac:dyDescent="0.2"/>
    <row r="1553" ht="12.75" customHeight="1" x14ac:dyDescent="0.2"/>
    <row r="1554" ht="12.75" customHeight="1" x14ac:dyDescent="0.2"/>
    <row r="1555" ht="12.75" customHeight="1" x14ac:dyDescent="0.2"/>
    <row r="1556" ht="12.75" customHeight="1" x14ac:dyDescent="0.2"/>
    <row r="1557" ht="12.75" customHeight="1" x14ac:dyDescent="0.2"/>
    <row r="1558" ht="12.75" customHeight="1" x14ac:dyDescent="0.2"/>
    <row r="1559" ht="12.75" customHeight="1" x14ac:dyDescent="0.2"/>
    <row r="1560" ht="12.75" customHeight="1" x14ac:dyDescent="0.2"/>
    <row r="1561" ht="12.75" customHeight="1" x14ac:dyDescent="0.2"/>
    <row r="1562" ht="12.75" customHeight="1" x14ac:dyDescent="0.2"/>
    <row r="1563" ht="12.75" customHeight="1" x14ac:dyDescent="0.2"/>
    <row r="1564" ht="12.75" customHeight="1" x14ac:dyDescent="0.2"/>
    <row r="1565" ht="12.75" customHeight="1" x14ac:dyDescent="0.2"/>
    <row r="1566" ht="12.75" customHeight="1" x14ac:dyDescent="0.2"/>
    <row r="1567" ht="12.75" customHeight="1" x14ac:dyDescent="0.2"/>
    <row r="1568" ht="12.75" customHeight="1" x14ac:dyDescent="0.2"/>
    <row r="1569" ht="12.75" customHeight="1" x14ac:dyDescent="0.2"/>
    <row r="1570" ht="12.75" customHeight="1" x14ac:dyDescent="0.2"/>
    <row r="1571" ht="12.75" customHeight="1" x14ac:dyDescent="0.2"/>
    <row r="1572" ht="12.75" customHeight="1" x14ac:dyDescent="0.2"/>
    <row r="1573" ht="12.75" customHeight="1" x14ac:dyDescent="0.2"/>
    <row r="1574" ht="12.75" customHeight="1" x14ac:dyDescent="0.2"/>
    <row r="1575" ht="12.75" customHeight="1" x14ac:dyDescent="0.2"/>
    <row r="1576" ht="12.75" customHeight="1" x14ac:dyDescent="0.2"/>
    <row r="1577" ht="12.75" customHeight="1" x14ac:dyDescent="0.2"/>
    <row r="1578" ht="12.75" customHeight="1" x14ac:dyDescent="0.2"/>
    <row r="1579" ht="12.75" customHeight="1" x14ac:dyDescent="0.2"/>
    <row r="1580" ht="12.75" customHeight="1" x14ac:dyDescent="0.2"/>
    <row r="1581" ht="12.75" customHeight="1" x14ac:dyDescent="0.2"/>
    <row r="1582" ht="12.75" customHeight="1" x14ac:dyDescent="0.2"/>
    <row r="1583" ht="12.75" customHeight="1" x14ac:dyDescent="0.2"/>
    <row r="1584" ht="12.75" customHeight="1" x14ac:dyDescent="0.2"/>
    <row r="1585" ht="12.75" customHeight="1" x14ac:dyDescent="0.2"/>
    <row r="1586" ht="12.75" customHeight="1" x14ac:dyDescent="0.2"/>
    <row r="1587" ht="12.75" customHeight="1" x14ac:dyDescent="0.2"/>
    <row r="1588" ht="12.75" customHeight="1" x14ac:dyDescent="0.2"/>
    <row r="1589" ht="12.75" customHeight="1" x14ac:dyDescent="0.2"/>
    <row r="1590" ht="12.75" customHeight="1" x14ac:dyDescent="0.2"/>
    <row r="1591" ht="12.75" customHeight="1" x14ac:dyDescent="0.2"/>
    <row r="1592" ht="12.75" customHeight="1" x14ac:dyDescent="0.2"/>
    <row r="1593" ht="12.75" customHeight="1" x14ac:dyDescent="0.2"/>
    <row r="1594" ht="12.75" customHeight="1" x14ac:dyDescent="0.2"/>
    <row r="1595" ht="12.75" customHeight="1" x14ac:dyDescent="0.2"/>
    <row r="1596" ht="12.75" customHeight="1" x14ac:dyDescent="0.2"/>
    <row r="1597" ht="12.75" customHeight="1" x14ac:dyDescent="0.2"/>
    <row r="1598" ht="12.75" customHeight="1" x14ac:dyDescent="0.2"/>
    <row r="1599" ht="12.75" customHeight="1" x14ac:dyDescent="0.2"/>
    <row r="1600" ht="12.75" customHeight="1" x14ac:dyDescent="0.2"/>
    <row r="1601" ht="12.75" customHeight="1" x14ac:dyDescent="0.2"/>
    <row r="1602" ht="12.75" customHeight="1" x14ac:dyDescent="0.2"/>
    <row r="1603" ht="12.75" customHeight="1" x14ac:dyDescent="0.2"/>
    <row r="1604" ht="12.75" customHeight="1" x14ac:dyDescent="0.2"/>
    <row r="1605" ht="12.75" customHeight="1" x14ac:dyDescent="0.2"/>
    <row r="1606" ht="12.75" customHeight="1" x14ac:dyDescent="0.2"/>
    <row r="1607" ht="12.75" customHeight="1" x14ac:dyDescent="0.2"/>
    <row r="1608" ht="12.75" customHeight="1" x14ac:dyDescent="0.2"/>
    <row r="1609" ht="12.75" customHeight="1" x14ac:dyDescent="0.2"/>
    <row r="1610" ht="12.75" customHeight="1" x14ac:dyDescent="0.2"/>
    <row r="1611" ht="12.75" customHeight="1" x14ac:dyDescent="0.2"/>
    <row r="1612" ht="12.75" customHeight="1" x14ac:dyDescent="0.2"/>
    <row r="1613" ht="12.75" customHeight="1" x14ac:dyDescent="0.2"/>
    <row r="1614" ht="12.75" customHeight="1" x14ac:dyDescent="0.2"/>
    <row r="1615" ht="12.75" customHeight="1" x14ac:dyDescent="0.2"/>
    <row r="1616" ht="12.75" customHeight="1" x14ac:dyDescent="0.2"/>
    <row r="1617" ht="12.75" customHeight="1" x14ac:dyDescent="0.2"/>
    <row r="1618" ht="12.75" customHeight="1" x14ac:dyDescent="0.2"/>
    <row r="1619" ht="12.75" customHeight="1" x14ac:dyDescent="0.2"/>
    <row r="1620" ht="12.75" customHeight="1" x14ac:dyDescent="0.2"/>
    <row r="1621" ht="12.75" customHeight="1" x14ac:dyDescent="0.2"/>
    <row r="1622" ht="12.75" customHeight="1" x14ac:dyDescent="0.2"/>
    <row r="1623" ht="12.75" customHeight="1" x14ac:dyDescent="0.2"/>
    <row r="1624" ht="12.75" customHeight="1" x14ac:dyDescent="0.2"/>
    <row r="1625" ht="12.75" customHeight="1" x14ac:dyDescent="0.2"/>
    <row r="1626" ht="12.75" customHeight="1" x14ac:dyDescent="0.2"/>
    <row r="1627" ht="12.75" customHeight="1" x14ac:dyDescent="0.2"/>
    <row r="1628" ht="12.75" customHeight="1" x14ac:dyDescent="0.2"/>
    <row r="1629" ht="12.75" customHeight="1" x14ac:dyDescent="0.2"/>
    <row r="1630" ht="12.75" customHeight="1" x14ac:dyDescent="0.2"/>
    <row r="1631" ht="12.75" customHeight="1" x14ac:dyDescent="0.2"/>
    <row r="1632" ht="12.75" customHeight="1" x14ac:dyDescent="0.2"/>
    <row r="1633" ht="12.75" customHeight="1" x14ac:dyDescent="0.2"/>
    <row r="1634" ht="12.75" customHeight="1" x14ac:dyDescent="0.2"/>
    <row r="1635" ht="12.75" customHeight="1" x14ac:dyDescent="0.2"/>
    <row r="1636" ht="12.75" customHeight="1" x14ac:dyDescent="0.2"/>
    <row r="1637" ht="12.75" customHeight="1" x14ac:dyDescent="0.2"/>
    <row r="1638" ht="12.75" customHeight="1" x14ac:dyDescent="0.2"/>
    <row r="1639" ht="12.75" customHeight="1" x14ac:dyDescent="0.2"/>
    <row r="1640" ht="12.75" customHeight="1" x14ac:dyDescent="0.2"/>
    <row r="1641" ht="12.75" customHeight="1" x14ac:dyDescent="0.2"/>
    <row r="1642" ht="12.75" customHeight="1" x14ac:dyDescent="0.2"/>
    <row r="1643" ht="12.75" customHeight="1" x14ac:dyDescent="0.2"/>
    <row r="1644" ht="12.75" customHeight="1" x14ac:dyDescent="0.2"/>
    <row r="1645" ht="12.75" customHeight="1" x14ac:dyDescent="0.2"/>
    <row r="1646" ht="12.75" customHeight="1" x14ac:dyDescent="0.2"/>
    <row r="1647" ht="12.75" customHeight="1" x14ac:dyDescent="0.2"/>
    <row r="1648" ht="12.75" customHeight="1" x14ac:dyDescent="0.2"/>
    <row r="1649" ht="12.75" customHeight="1" x14ac:dyDescent="0.2"/>
    <row r="1650" ht="12.75" customHeight="1" x14ac:dyDescent="0.2"/>
    <row r="1651" ht="12.75" customHeight="1" x14ac:dyDescent="0.2"/>
    <row r="1652" ht="12.75" customHeight="1" x14ac:dyDescent="0.2"/>
    <row r="1653" ht="12.75" customHeight="1" x14ac:dyDescent="0.2"/>
    <row r="1654" ht="12.75" customHeight="1" x14ac:dyDescent="0.2"/>
    <row r="1655" ht="12.75" customHeight="1" x14ac:dyDescent="0.2"/>
    <row r="1656" ht="12.75" customHeight="1" x14ac:dyDescent="0.2"/>
    <row r="1657" ht="12.75" customHeight="1" x14ac:dyDescent="0.2"/>
    <row r="1658" ht="12.75" customHeight="1" x14ac:dyDescent="0.2"/>
    <row r="1659" ht="12.75" customHeight="1" x14ac:dyDescent="0.2"/>
    <row r="1660" ht="12.75" customHeight="1" x14ac:dyDescent="0.2"/>
    <row r="1661" ht="12.75" customHeight="1" x14ac:dyDescent="0.2"/>
    <row r="1662" ht="12.75" customHeight="1" x14ac:dyDescent="0.2"/>
    <row r="1663" ht="12.75" customHeight="1" x14ac:dyDescent="0.2"/>
    <row r="1664" ht="12.75" customHeight="1" x14ac:dyDescent="0.2"/>
    <row r="1665" ht="12.75" customHeight="1" x14ac:dyDescent="0.2"/>
    <row r="1666" ht="12.75" customHeight="1" x14ac:dyDescent="0.2"/>
    <row r="1667" ht="12.75" customHeight="1" x14ac:dyDescent="0.2"/>
    <row r="1668" ht="12.75" customHeight="1" x14ac:dyDescent="0.2"/>
    <row r="1669" ht="12.75" customHeight="1" x14ac:dyDescent="0.2"/>
    <row r="1670" ht="12.75" customHeight="1" x14ac:dyDescent="0.2"/>
    <row r="1671" ht="12.75" customHeight="1" x14ac:dyDescent="0.2"/>
    <row r="1672" ht="12.75" customHeight="1" x14ac:dyDescent="0.2"/>
    <row r="1673" ht="12.75" customHeight="1" x14ac:dyDescent="0.2"/>
    <row r="1674" ht="12.75" customHeight="1" x14ac:dyDescent="0.2"/>
    <row r="1675" ht="12.75" customHeight="1" x14ac:dyDescent="0.2"/>
    <row r="1676" ht="12.75" customHeight="1" x14ac:dyDescent="0.2"/>
    <row r="1677" ht="12.75" customHeight="1" x14ac:dyDescent="0.2"/>
    <row r="1678" ht="12.75" customHeight="1" x14ac:dyDescent="0.2"/>
    <row r="1679" ht="12.75" customHeight="1" x14ac:dyDescent="0.2"/>
    <row r="1680" ht="12.75" customHeight="1" x14ac:dyDescent="0.2"/>
    <row r="1681" ht="12.75" customHeight="1" x14ac:dyDescent="0.2"/>
    <row r="1682" ht="12.75" customHeight="1" x14ac:dyDescent="0.2"/>
    <row r="1683" ht="12.75" customHeight="1" x14ac:dyDescent="0.2"/>
    <row r="1684" ht="12.75" customHeight="1" x14ac:dyDescent="0.2"/>
    <row r="1685" ht="12.75" customHeight="1" x14ac:dyDescent="0.2"/>
    <row r="1686" ht="12.75" customHeight="1" x14ac:dyDescent="0.2"/>
    <row r="1687" ht="12.75" customHeight="1" x14ac:dyDescent="0.2"/>
    <row r="1688" ht="12.75" customHeight="1" x14ac:dyDescent="0.2"/>
    <row r="1689" ht="12.75" customHeight="1" x14ac:dyDescent="0.2"/>
    <row r="1690" ht="12.75" customHeight="1" x14ac:dyDescent="0.2"/>
    <row r="1691" ht="12.75" customHeight="1" x14ac:dyDescent="0.2"/>
    <row r="1692" ht="12.75" customHeight="1" x14ac:dyDescent="0.2"/>
    <row r="1693" ht="12.75" customHeight="1" x14ac:dyDescent="0.2"/>
    <row r="1694" ht="12.75" customHeight="1" x14ac:dyDescent="0.2"/>
    <row r="1695" ht="12.75" customHeight="1" x14ac:dyDescent="0.2"/>
    <row r="1696" ht="12.75" customHeight="1" x14ac:dyDescent="0.2"/>
    <row r="1697" ht="12.75" customHeight="1" x14ac:dyDescent="0.2"/>
    <row r="1698" ht="12.75" customHeight="1" x14ac:dyDescent="0.2"/>
    <row r="1699" ht="12.75" customHeight="1" x14ac:dyDescent="0.2"/>
    <row r="1700" ht="12.75" customHeight="1" x14ac:dyDescent="0.2"/>
    <row r="1701" ht="12.75" customHeight="1" x14ac:dyDescent="0.2"/>
    <row r="1702" ht="12.75" customHeight="1" x14ac:dyDescent="0.2"/>
    <row r="1703" ht="12.75" customHeight="1" x14ac:dyDescent="0.2"/>
    <row r="1704" ht="12.75" customHeight="1" x14ac:dyDescent="0.2"/>
    <row r="1705" ht="12.75" customHeight="1" x14ac:dyDescent="0.2"/>
    <row r="1706" ht="12.75" customHeight="1" x14ac:dyDescent="0.2"/>
    <row r="1707" ht="12.75" customHeight="1" x14ac:dyDescent="0.2"/>
    <row r="1708" ht="12.75" customHeight="1" x14ac:dyDescent="0.2"/>
    <row r="1709" ht="12.75" customHeight="1" x14ac:dyDescent="0.2"/>
    <row r="1710" ht="12.75" customHeight="1" x14ac:dyDescent="0.2"/>
    <row r="1711" ht="12.75" customHeight="1" x14ac:dyDescent="0.2"/>
    <row r="1712" ht="12.75" customHeight="1" x14ac:dyDescent="0.2"/>
    <row r="1713" ht="12.75" customHeight="1" x14ac:dyDescent="0.2"/>
    <row r="1714" ht="12.75" customHeight="1" x14ac:dyDescent="0.2"/>
    <row r="1715" ht="12.75" customHeight="1" x14ac:dyDescent="0.2"/>
    <row r="1716" ht="12.75" customHeight="1" x14ac:dyDescent="0.2"/>
    <row r="1717" ht="12.75" customHeight="1" x14ac:dyDescent="0.2"/>
    <row r="1718" ht="12.75" customHeight="1" x14ac:dyDescent="0.2"/>
    <row r="1719" ht="12.75" customHeight="1" x14ac:dyDescent="0.2"/>
    <row r="1720" ht="12.75" customHeight="1" x14ac:dyDescent="0.2"/>
    <row r="1721" ht="12.75" customHeight="1" x14ac:dyDescent="0.2"/>
    <row r="1722" ht="12.75" customHeight="1" x14ac:dyDescent="0.2"/>
    <row r="1723" ht="12.75" customHeight="1" x14ac:dyDescent="0.2"/>
    <row r="1724" ht="12.75" customHeight="1" x14ac:dyDescent="0.2"/>
    <row r="1725" ht="12.75" customHeight="1" x14ac:dyDescent="0.2"/>
    <row r="1726" ht="12.75" customHeight="1" x14ac:dyDescent="0.2"/>
    <row r="1727" ht="12.75" customHeight="1" x14ac:dyDescent="0.2"/>
    <row r="1728" ht="12.75" customHeight="1" x14ac:dyDescent="0.2"/>
    <row r="1729" ht="12.75" customHeight="1" x14ac:dyDescent="0.2"/>
    <row r="1730" ht="12.75" customHeight="1" x14ac:dyDescent="0.2"/>
    <row r="1731" ht="12.75" customHeight="1" x14ac:dyDescent="0.2"/>
    <row r="1732" ht="12.75" customHeight="1" x14ac:dyDescent="0.2"/>
    <row r="1733" ht="12.75" customHeight="1" x14ac:dyDescent="0.2"/>
    <row r="1734" ht="12.75" customHeight="1" x14ac:dyDescent="0.2"/>
    <row r="1735" ht="12.75" customHeight="1" x14ac:dyDescent="0.2"/>
    <row r="1736" ht="12.75" customHeight="1" x14ac:dyDescent="0.2"/>
    <row r="1737" ht="12.75" customHeight="1" x14ac:dyDescent="0.2"/>
    <row r="1738" ht="12.75" customHeight="1" x14ac:dyDescent="0.2"/>
    <row r="1739" ht="12.75" customHeight="1" x14ac:dyDescent="0.2"/>
    <row r="1740" ht="12.75" customHeight="1" x14ac:dyDescent="0.2"/>
    <row r="1741" ht="12.75" customHeight="1" x14ac:dyDescent="0.2"/>
    <row r="1742" ht="12.75" customHeight="1" x14ac:dyDescent="0.2"/>
    <row r="1743" ht="12.75" customHeight="1" x14ac:dyDescent="0.2"/>
    <row r="1744" ht="12.75" customHeight="1" x14ac:dyDescent="0.2"/>
    <row r="1745" ht="12.75" customHeight="1" x14ac:dyDescent="0.2"/>
    <row r="1746" ht="12.75" customHeight="1" x14ac:dyDescent="0.2"/>
    <row r="1747" ht="12.75" customHeight="1" x14ac:dyDescent="0.2"/>
    <row r="1748" ht="12.75" customHeight="1" x14ac:dyDescent="0.2"/>
    <row r="1749" ht="12.75" customHeight="1" x14ac:dyDescent="0.2"/>
    <row r="1750" ht="12.75" customHeight="1" x14ac:dyDescent="0.2"/>
    <row r="1751" ht="12.75" customHeight="1" x14ac:dyDescent="0.2"/>
    <row r="1752" ht="12.75" customHeight="1" x14ac:dyDescent="0.2"/>
    <row r="1753" ht="12.75" customHeight="1" x14ac:dyDescent="0.2"/>
    <row r="1754" ht="12.75" customHeight="1" x14ac:dyDescent="0.2"/>
    <row r="1755" ht="12.75" customHeight="1" x14ac:dyDescent="0.2"/>
    <row r="1756" ht="12.75" customHeight="1" x14ac:dyDescent="0.2"/>
    <row r="1757" ht="12.75" customHeight="1" x14ac:dyDescent="0.2"/>
    <row r="1758" ht="12.75" customHeight="1" x14ac:dyDescent="0.2"/>
    <row r="1759" ht="12.75" customHeight="1" x14ac:dyDescent="0.2"/>
    <row r="1760" ht="12.75" customHeight="1" x14ac:dyDescent="0.2"/>
    <row r="1761" ht="12.75" customHeight="1" x14ac:dyDescent="0.2"/>
    <row r="1762" ht="12.75" customHeight="1" x14ac:dyDescent="0.2"/>
    <row r="1763" ht="12.75" customHeight="1" x14ac:dyDescent="0.2"/>
    <row r="1764" ht="12.75" customHeight="1" x14ac:dyDescent="0.2"/>
    <row r="1765" ht="12.75" customHeight="1" x14ac:dyDescent="0.2"/>
    <row r="1766" ht="12.75" customHeight="1" x14ac:dyDescent="0.2"/>
    <row r="1767" ht="12.75" customHeight="1" x14ac:dyDescent="0.2"/>
    <row r="1768" ht="12.75" customHeight="1" x14ac:dyDescent="0.2"/>
    <row r="1769" ht="12.75" customHeight="1" x14ac:dyDescent="0.2"/>
    <row r="1770" ht="12.75" customHeight="1" x14ac:dyDescent="0.2"/>
    <row r="1771" ht="12.75" customHeight="1" x14ac:dyDescent="0.2"/>
    <row r="1772" ht="12.75" customHeight="1" x14ac:dyDescent="0.2"/>
    <row r="1773" ht="12.75" customHeight="1" x14ac:dyDescent="0.2"/>
    <row r="1774" ht="12.75" customHeight="1" x14ac:dyDescent="0.2"/>
    <row r="1775" ht="12.75" customHeight="1" x14ac:dyDescent="0.2"/>
    <row r="1776" ht="12.75" customHeight="1" x14ac:dyDescent="0.2"/>
    <row r="1777" ht="12.75" customHeight="1" x14ac:dyDescent="0.2"/>
    <row r="1778" ht="12.75" customHeight="1" x14ac:dyDescent="0.2"/>
    <row r="1779" ht="12.75" customHeight="1" x14ac:dyDescent="0.2"/>
    <row r="1780" ht="12.75" customHeight="1" x14ac:dyDescent="0.2"/>
    <row r="1781" ht="12.75" customHeight="1" x14ac:dyDescent="0.2"/>
    <row r="1782" ht="12.75" customHeight="1" x14ac:dyDescent="0.2"/>
    <row r="1783" ht="12.75" customHeight="1" x14ac:dyDescent="0.2"/>
    <row r="1784" ht="12.75" customHeight="1" x14ac:dyDescent="0.2"/>
    <row r="1785" ht="12.75" customHeight="1" x14ac:dyDescent="0.2"/>
    <row r="1786" ht="12.75" customHeight="1" x14ac:dyDescent="0.2"/>
    <row r="1787" ht="12.75" customHeight="1" x14ac:dyDescent="0.2"/>
    <row r="1788" ht="12.75" customHeight="1" x14ac:dyDescent="0.2"/>
    <row r="1789" ht="12.75" customHeight="1" x14ac:dyDescent="0.2"/>
    <row r="1790" ht="12.75" customHeight="1" x14ac:dyDescent="0.2"/>
    <row r="1791" ht="12.75" customHeight="1" x14ac:dyDescent="0.2"/>
    <row r="1792" ht="12.75" customHeight="1" x14ac:dyDescent="0.2"/>
    <row r="1793" ht="12.75" customHeight="1" x14ac:dyDescent="0.2"/>
    <row r="1794" ht="12.75" customHeight="1" x14ac:dyDescent="0.2"/>
    <row r="1795" ht="12.75" customHeight="1" x14ac:dyDescent="0.2"/>
    <row r="1796" ht="12.75" customHeight="1" x14ac:dyDescent="0.2"/>
    <row r="1797" ht="12.75" customHeight="1" x14ac:dyDescent="0.2"/>
    <row r="1798" ht="12.75" customHeight="1" x14ac:dyDescent="0.2"/>
    <row r="1799" ht="12.75" customHeight="1" x14ac:dyDescent="0.2"/>
    <row r="1800" ht="12.75" customHeight="1" x14ac:dyDescent="0.2"/>
    <row r="1801" ht="12.75" customHeight="1" x14ac:dyDescent="0.2"/>
    <row r="1802" ht="12.75" customHeight="1" x14ac:dyDescent="0.2"/>
    <row r="1803" ht="12.75" customHeight="1" x14ac:dyDescent="0.2"/>
    <row r="1804" ht="12.75" customHeight="1" x14ac:dyDescent="0.2"/>
    <row r="1805" ht="12.75" customHeight="1" x14ac:dyDescent="0.2"/>
    <row r="1806" ht="12.75" customHeight="1" x14ac:dyDescent="0.2"/>
    <row r="1807" ht="12.75" customHeight="1" x14ac:dyDescent="0.2"/>
    <row r="1808" ht="12.75" customHeight="1" x14ac:dyDescent="0.2"/>
    <row r="1809" ht="12.75" customHeight="1" x14ac:dyDescent="0.2"/>
    <row r="1810" ht="12.75" customHeight="1" x14ac:dyDescent="0.2"/>
    <row r="1811" ht="12.75" customHeight="1" x14ac:dyDescent="0.2"/>
    <row r="1812" ht="12.75" customHeight="1" x14ac:dyDescent="0.2"/>
    <row r="1813" ht="12.75" customHeight="1" x14ac:dyDescent="0.2"/>
    <row r="1814" ht="12.75" customHeight="1" x14ac:dyDescent="0.2"/>
    <row r="1815" ht="12.75" customHeight="1" x14ac:dyDescent="0.2"/>
    <row r="1816" ht="12.75" customHeight="1" x14ac:dyDescent="0.2"/>
    <row r="1817" ht="12.75" customHeight="1" x14ac:dyDescent="0.2"/>
    <row r="1818" ht="12.75" customHeight="1" x14ac:dyDescent="0.2"/>
    <row r="1819" ht="12.75" customHeight="1" x14ac:dyDescent="0.2"/>
    <row r="1820" ht="12.75" customHeight="1" x14ac:dyDescent="0.2"/>
    <row r="1821" ht="12.75" customHeight="1" x14ac:dyDescent="0.2"/>
    <row r="1822" ht="12.75" customHeight="1" x14ac:dyDescent="0.2"/>
    <row r="1823" ht="12.75" customHeight="1" x14ac:dyDescent="0.2"/>
    <row r="1824" ht="12.75" customHeight="1" x14ac:dyDescent="0.2"/>
    <row r="1825" ht="12.75" customHeight="1" x14ac:dyDescent="0.2"/>
    <row r="1826" ht="12.75" customHeight="1" x14ac:dyDescent="0.2"/>
    <row r="1827" ht="12.75" customHeight="1" x14ac:dyDescent="0.2"/>
    <row r="1828" ht="12.75" customHeight="1" x14ac:dyDescent="0.2"/>
    <row r="1829" ht="12.75" customHeight="1" x14ac:dyDescent="0.2"/>
    <row r="1830" ht="12.75" customHeight="1" x14ac:dyDescent="0.2"/>
    <row r="1831" ht="12.75" customHeight="1" x14ac:dyDescent="0.2"/>
    <row r="1832" ht="12.75" customHeight="1" x14ac:dyDescent="0.2"/>
    <row r="1833" ht="12.75" customHeight="1" x14ac:dyDescent="0.2"/>
    <row r="1834" ht="12.75" customHeight="1" x14ac:dyDescent="0.2"/>
    <row r="1835" ht="12.75" customHeight="1" x14ac:dyDescent="0.2"/>
    <row r="1836" ht="12.75" customHeight="1" x14ac:dyDescent="0.2"/>
    <row r="1837" ht="12.75" customHeight="1" x14ac:dyDescent="0.2"/>
    <row r="1838" ht="12.75" customHeight="1" x14ac:dyDescent="0.2"/>
    <row r="1839" ht="12.75" customHeight="1" x14ac:dyDescent="0.2"/>
    <row r="1840" ht="12.75" customHeight="1" x14ac:dyDescent="0.2"/>
    <row r="1841" ht="12.75" customHeight="1" x14ac:dyDescent="0.2"/>
    <row r="1842" ht="12.75" customHeight="1" x14ac:dyDescent="0.2"/>
    <row r="1843" ht="12.75" customHeight="1" x14ac:dyDescent="0.2"/>
    <row r="1844" ht="12.75" customHeight="1" x14ac:dyDescent="0.2"/>
    <row r="1845" ht="12.75" customHeight="1" x14ac:dyDescent="0.2"/>
    <row r="1846" ht="12.75" customHeight="1" x14ac:dyDescent="0.2"/>
    <row r="1847" ht="12.75" customHeight="1" x14ac:dyDescent="0.2"/>
    <row r="1848" ht="12.75" customHeight="1" x14ac:dyDescent="0.2"/>
    <row r="1849" ht="12.75" customHeight="1" x14ac:dyDescent="0.2"/>
    <row r="1850" ht="12.75" customHeight="1" x14ac:dyDescent="0.2"/>
    <row r="1851" ht="12.75" customHeight="1" x14ac:dyDescent="0.2"/>
    <row r="1852" ht="12.75" customHeight="1" x14ac:dyDescent="0.2"/>
    <row r="1853" ht="12.75" customHeight="1" x14ac:dyDescent="0.2"/>
    <row r="1854" ht="12.75" customHeight="1" x14ac:dyDescent="0.2"/>
    <row r="1855" ht="12.75" customHeight="1" x14ac:dyDescent="0.2"/>
    <row r="1856" ht="12.75" customHeight="1" x14ac:dyDescent="0.2"/>
    <row r="1857" ht="12.75" customHeight="1" x14ac:dyDescent="0.2"/>
    <row r="1858" ht="12.75" customHeight="1" x14ac:dyDescent="0.2"/>
    <row r="1859" ht="12.75" customHeight="1" x14ac:dyDescent="0.2"/>
    <row r="1860" ht="12.75" customHeight="1" x14ac:dyDescent="0.2"/>
    <row r="1861" ht="12.75" customHeight="1" x14ac:dyDescent="0.2"/>
    <row r="1862" ht="12.75" customHeight="1" x14ac:dyDescent="0.2"/>
    <row r="1863" ht="12.75" customHeight="1" x14ac:dyDescent="0.2"/>
    <row r="1864" ht="12.75" customHeight="1" x14ac:dyDescent="0.2"/>
    <row r="1865" ht="12.75" customHeight="1" x14ac:dyDescent="0.2"/>
    <row r="1866" ht="12.75" customHeight="1" x14ac:dyDescent="0.2"/>
    <row r="1867" ht="12.75" customHeight="1" x14ac:dyDescent="0.2"/>
    <row r="1868" ht="12.75" customHeight="1" x14ac:dyDescent="0.2"/>
    <row r="1869" ht="12.75" customHeight="1" x14ac:dyDescent="0.2"/>
    <row r="1870" ht="12.75" customHeight="1" x14ac:dyDescent="0.2"/>
    <row r="1871" ht="12.75" customHeight="1" x14ac:dyDescent="0.2"/>
    <row r="1872" ht="12.75" customHeight="1" x14ac:dyDescent="0.2"/>
    <row r="1873" ht="12.75" customHeight="1" x14ac:dyDescent="0.2"/>
    <row r="1874" ht="12.75" customHeight="1" x14ac:dyDescent="0.2"/>
    <row r="1875" ht="12.75" customHeight="1" x14ac:dyDescent="0.2"/>
    <row r="1876" ht="12.75" customHeight="1" x14ac:dyDescent="0.2"/>
    <row r="1877" ht="12.75" customHeight="1" x14ac:dyDescent="0.2"/>
    <row r="1878" ht="12.75" customHeight="1" x14ac:dyDescent="0.2"/>
    <row r="1879" ht="12.75" customHeight="1" x14ac:dyDescent="0.2"/>
    <row r="1880" ht="12.75" customHeight="1" x14ac:dyDescent="0.2"/>
    <row r="1881" ht="12.75" customHeight="1" x14ac:dyDescent="0.2"/>
    <row r="1882" ht="12.75" customHeight="1" x14ac:dyDescent="0.2"/>
    <row r="1883" ht="12.75" customHeight="1" x14ac:dyDescent="0.2"/>
    <row r="1884" ht="12.75" customHeight="1" x14ac:dyDescent="0.2"/>
    <row r="1885" ht="12.75" customHeight="1" x14ac:dyDescent="0.2"/>
    <row r="1886" ht="12.75" customHeight="1" x14ac:dyDescent="0.2"/>
    <row r="1887" ht="12.75" customHeight="1" x14ac:dyDescent="0.2"/>
    <row r="1888" ht="12.75" customHeight="1" x14ac:dyDescent="0.2"/>
    <row r="1889" ht="12.75" customHeight="1" x14ac:dyDescent="0.2"/>
    <row r="1890" ht="12.75" customHeight="1" x14ac:dyDescent="0.2"/>
    <row r="1891" ht="12.75" customHeight="1" x14ac:dyDescent="0.2"/>
    <row r="1892" ht="12.75" customHeight="1" x14ac:dyDescent="0.2"/>
    <row r="1893" ht="12.75" customHeight="1" x14ac:dyDescent="0.2"/>
    <row r="1894" ht="12.75" customHeight="1" x14ac:dyDescent="0.2"/>
    <row r="1895" ht="12.75" customHeight="1" x14ac:dyDescent="0.2"/>
    <row r="1896" ht="12.75" customHeight="1" x14ac:dyDescent="0.2"/>
    <row r="1897" ht="12.75" customHeight="1" x14ac:dyDescent="0.2"/>
    <row r="1898" ht="12.75" customHeight="1" x14ac:dyDescent="0.2"/>
    <row r="1899" ht="12.75" customHeight="1" x14ac:dyDescent="0.2"/>
    <row r="1900" ht="12.75" customHeight="1" x14ac:dyDescent="0.2"/>
    <row r="1901" ht="12.75" customHeight="1" x14ac:dyDescent="0.2"/>
    <row r="1902" ht="12.75" customHeight="1" x14ac:dyDescent="0.2"/>
    <row r="1903" ht="12.75" customHeight="1" x14ac:dyDescent="0.2"/>
    <row r="1904" ht="12.75" customHeight="1" x14ac:dyDescent="0.2"/>
    <row r="1905" ht="12.75" customHeight="1" x14ac:dyDescent="0.2"/>
    <row r="1906" ht="12.75" customHeight="1" x14ac:dyDescent="0.2"/>
    <row r="1907" ht="12.75" customHeight="1" x14ac:dyDescent="0.2"/>
    <row r="1908" ht="12.75" customHeight="1" x14ac:dyDescent="0.2"/>
    <row r="1909" ht="12.75" customHeight="1" x14ac:dyDescent="0.2"/>
    <row r="1910" ht="12.75" customHeight="1" x14ac:dyDescent="0.2"/>
    <row r="1911" ht="12.75" customHeight="1" x14ac:dyDescent="0.2"/>
    <row r="1912" ht="12.75" customHeight="1" x14ac:dyDescent="0.2"/>
    <row r="1913" ht="12.75" customHeight="1" x14ac:dyDescent="0.2"/>
    <row r="1914" ht="12.75" customHeight="1" x14ac:dyDescent="0.2"/>
    <row r="1915" ht="12.75" customHeight="1" x14ac:dyDescent="0.2"/>
    <row r="1916" ht="12.75" customHeight="1" x14ac:dyDescent="0.2"/>
    <row r="1917" ht="12.75" customHeight="1" x14ac:dyDescent="0.2"/>
    <row r="1918" ht="12.75" customHeight="1" x14ac:dyDescent="0.2"/>
    <row r="1919" ht="12.75" customHeight="1" x14ac:dyDescent="0.2"/>
    <row r="1920" ht="12.75" customHeight="1" x14ac:dyDescent="0.2"/>
    <row r="1921" ht="12.75" customHeight="1" x14ac:dyDescent="0.2"/>
    <row r="1922" ht="12.75" customHeight="1" x14ac:dyDescent="0.2"/>
    <row r="1923" ht="12.75" customHeight="1" x14ac:dyDescent="0.2"/>
    <row r="1924" ht="12.75" customHeight="1" x14ac:dyDescent="0.2"/>
    <row r="1925" ht="12.75" customHeight="1" x14ac:dyDescent="0.2"/>
    <row r="1926" ht="12.75" customHeight="1" x14ac:dyDescent="0.2"/>
    <row r="1927" ht="12.75" customHeight="1" x14ac:dyDescent="0.2"/>
    <row r="1928" ht="12.75" customHeight="1" x14ac:dyDescent="0.2"/>
    <row r="1929" ht="12.75" customHeight="1" x14ac:dyDescent="0.2"/>
    <row r="1930" ht="12.75" customHeight="1" x14ac:dyDescent="0.2"/>
    <row r="1931" ht="12.75" customHeight="1" x14ac:dyDescent="0.2"/>
    <row r="1932" ht="12.75" customHeight="1" x14ac:dyDescent="0.2"/>
    <row r="1933" ht="12.75" customHeight="1" x14ac:dyDescent="0.2"/>
    <row r="1934" ht="12.75" customHeight="1" x14ac:dyDescent="0.2"/>
    <row r="1935" ht="12.75" customHeight="1" x14ac:dyDescent="0.2"/>
    <row r="1936" ht="12.75" customHeight="1" x14ac:dyDescent="0.2"/>
    <row r="1937" ht="12.75" customHeight="1" x14ac:dyDescent="0.2"/>
    <row r="1938" ht="12.75" customHeight="1" x14ac:dyDescent="0.2"/>
    <row r="1939" ht="12.75" customHeight="1" x14ac:dyDescent="0.2"/>
    <row r="1940" ht="12.75" customHeight="1" x14ac:dyDescent="0.2"/>
    <row r="1941" ht="12.75" customHeight="1" x14ac:dyDescent="0.2"/>
    <row r="1942" ht="12.75" customHeight="1" x14ac:dyDescent="0.2"/>
    <row r="1943" ht="12.75" customHeight="1" x14ac:dyDescent="0.2"/>
    <row r="1944" ht="12.75" customHeight="1" x14ac:dyDescent="0.2"/>
    <row r="1945" ht="12.75" customHeight="1" x14ac:dyDescent="0.2"/>
    <row r="1946" ht="12.75" customHeight="1" x14ac:dyDescent="0.2"/>
    <row r="1947" ht="12.75" customHeight="1" x14ac:dyDescent="0.2"/>
    <row r="1948" ht="12.75" customHeight="1" x14ac:dyDescent="0.2"/>
    <row r="1949" ht="12.75" customHeight="1" x14ac:dyDescent="0.2"/>
    <row r="1950" ht="12.75" customHeight="1" x14ac:dyDescent="0.2"/>
    <row r="1951" ht="12.75" customHeight="1" x14ac:dyDescent="0.2"/>
    <row r="1952" ht="12.75" customHeight="1" x14ac:dyDescent="0.2"/>
    <row r="1953" ht="12.75" customHeight="1" x14ac:dyDescent="0.2"/>
    <row r="1954" ht="12.75" customHeight="1" x14ac:dyDescent="0.2"/>
    <row r="1955" ht="12.75" customHeight="1" x14ac:dyDescent="0.2"/>
    <row r="1956" ht="12.75" customHeight="1" x14ac:dyDescent="0.2"/>
    <row r="1957" ht="12.75" customHeight="1" x14ac:dyDescent="0.2"/>
    <row r="1958" ht="12.75" customHeight="1" x14ac:dyDescent="0.2"/>
    <row r="1959" ht="12.75" customHeight="1" x14ac:dyDescent="0.2"/>
    <row r="1960" ht="12.75" customHeight="1" x14ac:dyDescent="0.2"/>
    <row r="1961" ht="12.75" customHeight="1" x14ac:dyDescent="0.2"/>
    <row r="1962" ht="12.75" customHeight="1" x14ac:dyDescent="0.2"/>
    <row r="1963" ht="12.75" customHeight="1" x14ac:dyDescent="0.2"/>
    <row r="1964" ht="12.75" customHeight="1" x14ac:dyDescent="0.2"/>
    <row r="1965" ht="12.75" customHeight="1" x14ac:dyDescent="0.2"/>
    <row r="1966" ht="12.75" customHeight="1" x14ac:dyDescent="0.2"/>
    <row r="1967" ht="12.75" customHeight="1" x14ac:dyDescent="0.2"/>
    <row r="1968" ht="12.75" customHeight="1" x14ac:dyDescent="0.2"/>
    <row r="1969" ht="12.75" customHeight="1" x14ac:dyDescent="0.2"/>
    <row r="1970" ht="12.75" customHeight="1" x14ac:dyDescent="0.2"/>
    <row r="1971" ht="12.75" customHeight="1" x14ac:dyDescent="0.2"/>
    <row r="1972" ht="12.75" customHeight="1" x14ac:dyDescent="0.2"/>
    <row r="1973" ht="12.75" customHeight="1" x14ac:dyDescent="0.2"/>
    <row r="1974" ht="12.75" customHeight="1" x14ac:dyDescent="0.2"/>
    <row r="1975" ht="12.75" customHeight="1" x14ac:dyDescent="0.2"/>
    <row r="1976" ht="12.75" customHeight="1" x14ac:dyDescent="0.2"/>
    <row r="1977" ht="12.75" customHeight="1" x14ac:dyDescent="0.2"/>
    <row r="1978" ht="12.75" customHeight="1" x14ac:dyDescent="0.2"/>
    <row r="1979" ht="12.75" customHeight="1" x14ac:dyDescent="0.2"/>
    <row r="1980" ht="12.75" customHeight="1" x14ac:dyDescent="0.2"/>
    <row r="1981" ht="12.75" customHeight="1" x14ac:dyDescent="0.2"/>
    <row r="1982" ht="12.75" customHeight="1" x14ac:dyDescent="0.2"/>
    <row r="1983" ht="12.75" customHeight="1" x14ac:dyDescent="0.2"/>
    <row r="1984" ht="12.75" customHeight="1" x14ac:dyDescent="0.2"/>
    <row r="1985" ht="12.75" customHeight="1" x14ac:dyDescent="0.2"/>
    <row r="1986" ht="12.75" customHeight="1" x14ac:dyDescent="0.2"/>
    <row r="1987" ht="12.75" customHeight="1" x14ac:dyDescent="0.2"/>
    <row r="1988" ht="12.75" customHeight="1" x14ac:dyDescent="0.2"/>
    <row r="1989" ht="12.75" customHeight="1" x14ac:dyDescent="0.2"/>
    <row r="1990" ht="12.75" customHeight="1" x14ac:dyDescent="0.2"/>
    <row r="1991" ht="12.75" customHeight="1" x14ac:dyDescent="0.2"/>
    <row r="1992" ht="12.75" customHeight="1" x14ac:dyDescent="0.2"/>
    <row r="1993" ht="12.75" customHeight="1" x14ac:dyDescent="0.2"/>
    <row r="1994" ht="12.75" customHeight="1" x14ac:dyDescent="0.2"/>
    <row r="1995" ht="12.75" customHeight="1" x14ac:dyDescent="0.2"/>
    <row r="1996" ht="12.75" customHeight="1" x14ac:dyDescent="0.2"/>
    <row r="1997" ht="12.75" customHeight="1" x14ac:dyDescent="0.2"/>
    <row r="1998" ht="12.75" customHeight="1" x14ac:dyDescent="0.2"/>
    <row r="1999" ht="12.75" customHeight="1" x14ac:dyDescent="0.2"/>
    <row r="2000" ht="12.75" customHeight="1" x14ac:dyDescent="0.2"/>
    <row r="2001" ht="12.75" customHeight="1" x14ac:dyDescent="0.2"/>
    <row r="2002" ht="12.75" customHeight="1" x14ac:dyDescent="0.2"/>
    <row r="2003" ht="12.75" customHeight="1" x14ac:dyDescent="0.2"/>
    <row r="2004" ht="12.75" customHeight="1" x14ac:dyDescent="0.2"/>
    <row r="2005" ht="12.75" customHeight="1" x14ac:dyDescent="0.2"/>
    <row r="2006" ht="12.75" customHeight="1" x14ac:dyDescent="0.2"/>
    <row r="2007" ht="12.75" customHeight="1" x14ac:dyDescent="0.2"/>
    <row r="2008" ht="12.75" customHeight="1" x14ac:dyDescent="0.2"/>
    <row r="2009" ht="12.75" customHeight="1" x14ac:dyDescent="0.2"/>
    <row r="2010" ht="12.75" customHeight="1" x14ac:dyDescent="0.2"/>
    <row r="2011" ht="12.75" customHeight="1" x14ac:dyDescent="0.2"/>
    <row r="2012" ht="12.75" customHeight="1" x14ac:dyDescent="0.2"/>
    <row r="2013" ht="12.75" customHeight="1" x14ac:dyDescent="0.2"/>
    <row r="2014" ht="12.75" customHeight="1" x14ac:dyDescent="0.2"/>
    <row r="2015" ht="12.75" customHeight="1" x14ac:dyDescent="0.2"/>
    <row r="2016" ht="12.75" customHeight="1" x14ac:dyDescent="0.2"/>
    <row r="2017" ht="12.75" customHeight="1" x14ac:dyDescent="0.2"/>
    <row r="2018" ht="12.75" customHeight="1" x14ac:dyDescent="0.2"/>
    <row r="2019" ht="12.75" customHeight="1" x14ac:dyDescent="0.2"/>
    <row r="2020" ht="12.75" customHeight="1" x14ac:dyDescent="0.2"/>
    <row r="2021" ht="12.75" customHeight="1" x14ac:dyDescent="0.2"/>
    <row r="2022" ht="12.75" customHeight="1" x14ac:dyDescent="0.2"/>
    <row r="2023" ht="12.75" customHeight="1" x14ac:dyDescent="0.2"/>
    <row r="2024" ht="12.75" customHeight="1" x14ac:dyDescent="0.2"/>
    <row r="2025" ht="12.75" customHeight="1" x14ac:dyDescent="0.2"/>
    <row r="2026" ht="12.75" customHeight="1" x14ac:dyDescent="0.2"/>
    <row r="2027" ht="12.75" customHeight="1" x14ac:dyDescent="0.2"/>
    <row r="2028" ht="12.75" customHeight="1" x14ac:dyDescent="0.2"/>
    <row r="2029" ht="12.75" customHeight="1" x14ac:dyDescent="0.2"/>
    <row r="2030" ht="12.75" customHeight="1" x14ac:dyDescent="0.2"/>
    <row r="2031" ht="12.75" customHeight="1" x14ac:dyDescent="0.2"/>
    <row r="2032" ht="12.75" customHeight="1" x14ac:dyDescent="0.2"/>
    <row r="2033" ht="12.75" customHeight="1" x14ac:dyDescent="0.2"/>
    <row r="2034" ht="12.75" customHeight="1" x14ac:dyDescent="0.2"/>
    <row r="2035" ht="12.75" customHeight="1" x14ac:dyDescent="0.2"/>
    <row r="2036" ht="12.75" customHeight="1" x14ac:dyDescent="0.2"/>
    <row r="2037" ht="12.75" customHeight="1" x14ac:dyDescent="0.2"/>
    <row r="2038" ht="12.75" customHeight="1" x14ac:dyDescent="0.2"/>
    <row r="2039" ht="12.75" customHeight="1" x14ac:dyDescent="0.2"/>
    <row r="2040" ht="12.75" customHeight="1" x14ac:dyDescent="0.2"/>
    <row r="2041" ht="12.75" customHeight="1" x14ac:dyDescent="0.2"/>
    <row r="2042" ht="12.75" customHeight="1" x14ac:dyDescent="0.2"/>
    <row r="2043" ht="12.75" customHeight="1" x14ac:dyDescent="0.2"/>
    <row r="2044" ht="12.75" customHeight="1" x14ac:dyDescent="0.2"/>
    <row r="2045" ht="12.75" customHeight="1" x14ac:dyDescent="0.2"/>
    <row r="2046" ht="12.75" customHeight="1" x14ac:dyDescent="0.2"/>
    <row r="2047" ht="12.75" customHeight="1" x14ac:dyDescent="0.2"/>
    <row r="2048" ht="12.75" customHeight="1" x14ac:dyDescent="0.2"/>
    <row r="2049" ht="12.75" customHeight="1" x14ac:dyDescent="0.2"/>
    <row r="2050" ht="12.75" customHeight="1" x14ac:dyDescent="0.2"/>
    <row r="2051" ht="12.75" customHeight="1" x14ac:dyDescent="0.2"/>
    <row r="2052" ht="12.75" customHeight="1" x14ac:dyDescent="0.2"/>
    <row r="2053" ht="12.75" customHeight="1" x14ac:dyDescent="0.2"/>
    <row r="2054" ht="12.75" customHeight="1" x14ac:dyDescent="0.2"/>
    <row r="2055" ht="12.75" customHeight="1" x14ac:dyDescent="0.2"/>
    <row r="2056" ht="12.75" customHeight="1" x14ac:dyDescent="0.2"/>
    <row r="2057" ht="12.75" customHeight="1" x14ac:dyDescent="0.2"/>
    <row r="2058" ht="12.75" customHeight="1" x14ac:dyDescent="0.2"/>
    <row r="2059" ht="12.75" customHeight="1" x14ac:dyDescent="0.2"/>
    <row r="2060" ht="12.75" customHeight="1" x14ac:dyDescent="0.2"/>
    <row r="2061" ht="12.75" customHeight="1" x14ac:dyDescent="0.2"/>
    <row r="2062" ht="12.75" customHeight="1" x14ac:dyDescent="0.2"/>
    <row r="2063" ht="12.75" customHeight="1" x14ac:dyDescent="0.2"/>
    <row r="2064" ht="12.75" customHeight="1" x14ac:dyDescent="0.2"/>
    <row r="2065" ht="12.75" customHeight="1" x14ac:dyDescent="0.2"/>
    <row r="2066" ht="12.75" customHeight="1" x14ac:dyDescent="0.2"/>
    <row r="2067" ht="12.75" customHeight="1" x14ac:dyDescent="0.2"/>
    <row r="2068" ht="12.75" customHeight="1" x14ac:dyDescent="0.2"/>
    <row r="2069" ht="12.75" customHeight="1" x14ac:dyDescent="0.2"/>
    <row r="2070" ht="12.75" customHeight="1" x14ac:dyDescent="0.2"/>
    <row r="2071" ht="12.75" customHeight="1" x14ac:dyDescent="0.2"/>
    <row r="2072" ht="12.75" customHeight="1" x14ac:dyDescent="0.2"/>
    <row r="2073" ht="12.75" customHeight="1" x14ac:dyDescent="0.2"/>
    <row r="2074" ht="12.75" customHeight="1" x14ac:dyDescent="0.2"/>
    <row r="2075" ht="12.75" customHeight="1" x14ac:dyDescent="0.2"/>
    <row r="2076" ht="12.75" customHeight="1" x14ac:dyDescent="0.2"/>
    <row r="2077" ht="12.75" customHeight="1" x14ac:dyDescent="0.2"/>
    <row r="2078" ht="12.75" customHeight="1" x14ac:dyDescent="0.2"/>
    <row r="2079" ht="12.75" customHeight="1" x14ac:dyDescent="0.2"/>
    <row r="2080" ht="12.75" customHeight="1" x14ac:dyDescent="0.2"/>
    <row r="2081" ht="12.75" customHeight="1" x14ac:dyDescent="0.2"/>
    <row r="2082" ht="12.75" customHeight="1" x14ac:dyDescent="0.2"/>
    <row r="2083" ht="12.75" customHeight="1" x14ac:dyDescent="0.2"/>
    <row r="2084" ht="12.75" customHeight="1" x14ac:dyDescent="0.2"/>
    <row r="2085" ht="12.75" customHeight="1" x14ac:dyDescent="0.2"/>
    <row r="2086" ht="12.75" customHeight="1" x14ac:dyDescent="0.2"/>
    <row r="2087" ht="12.75" customHeight="1" x14ac:dyDescent="0.2"/>
    <row r="2088" ht="12.75" customHeight="1" x14ac:dyDescent="0.2"/>
    <row r="2089" ht="12.75" customHeight="1" x14ac:dyDescent="0.2"/>
    <row r="2090" ht="12.75" customHeight="1" x14ac:dyDescent="0.2"/>
    <row r="2091" ht="12.75" customHeight="1" x14ac:dyDescent="0.2"/>
    <row r="2092" ht="12.75" customHeight="1" x14ac:dyDescent="0.2"/>
    <row r="2093" ht="12.75" customHeight="1" x14ac:dyDescent="0.2"/>
    <row r="2094" ht="12.75" customHeight="1" x14ac:dyDescent="0.2"/>
    <row r="2095" ht="12.75" customHeight="1" x14ac:dyDescent="0.2"/>
    <row r="2096" ht="12.75" customHeight="1" x14ac:dyDescent="0.2"/>
    <row r="2097" ht="12.75" customHeight="1" x14ac:dyDescent="0.2"/>
    <row r="2098" ht="12.75" customHeight="1" x14ac:dyDescent="0.2"/>
    <row r="2099" ht="12.75" customHeight="1" x14ac:dyDescent="0.2"/>
    <row r="2100" ht="12.75" customHeight="1" x14ac:dyDescent="0.2"/>
    <row r="2101" ht="12.75" customHeight="1" x14ac:dyDescent="0.2"/>
    <row r="2102" ht="12.75" customHeight="1" x14ac:dyDescent="0.2"/>
    <row r="2103" ht="12.75" customHeight="1" x14ac:dyDescent="0.2"/>
    <row r="2104" ht="12.75" customHeight="1" x14ac:dyDescent="0.2"/>
    <row r="2105" ht="12.75" customHeight="1" x14ac:dyDescent="0.2"/>
    <row r="2106" ht="12.75" customHeight="1" x14ac:dyDescent="0.2"/>
    <row r="2107" ht="12.75" customHeight="1" x14ac:dyDescent="0.2"/>
    <row r="2108" ht="12.75" customHeight="1" x14ac:dyDescent="0.2"/>
    <row r="2109" ht="12.75" customHeight="1" x14ac:dyDescent="0.2"/>
    <row r="2110" ht="12.75" customHeight="1" x14ac:dyDescent="0.2"/>
    <row r="2111" ht="12.75" customHeight="1" x14ac:dyDescent="0.2"/>
    <row r="2112" ht="12.75" customHeight="1" x14ac:dyDescent="0.2"/>
    <row r="2113" ht="12.75" customHeight="1" x14ac:dyDescent="0.2"/>
    <row r="2114" ht="12.75" customHeight="1" x14ac:dyDescent="0.2"/>
    <row r="2115" ht="12.75" customHeight="1" x14ac:dyDescent="0.2"/>
    <row r="2116" ht="12.75" customHeight="1" x14ac:dyDescent="0.2"/>
    <row r="2117" ht="12.75" customHeight="1" x14ac:dyDescent="0.2"/>
    <row r="2118" ht="12.75" customHeight="1" x14ac:dyDescent="0.2"/>
    <row r="2119" ht="12.75" customHeight="1" x14ac:dyDescent="0.2"/>
    <row r="2120" ht="12.75" customHeight="1" x14ac:dyDescent="0.2"/>
    <row r="2121" ht="12.75" customHeight="1" x14ac:dyDescent="0.2"/>
    <row r="2122" ht="12.75" customHeight="1" x14ac:dyDescent="0.2"/>
    <row r="2123" ht="12.75" customHeight="1" x14ac:dyDescent="0.2"/>
    <row r="2124" ht="12.75" customHeight="1" x14ac:dyDescent="0.2"/>
    <row r="2125" ht="12.75" customHeight="1" x14ac:dyDescent="0.2"/>
    <row r="2126" ht="12.75" customHeight="1" x14ac:dyDescent="0.2"/>
    <row r="2127" ht="12.75" customHeight="1" x14ac:dyDescent="0.2"/>
    <row r="2128" ht="12.75" customHeight="1" x14ac:dyDescent="0.2"/>
    <row r="2129" ht="12.75" customHeight="1" x14ac:dyDescent="0.2"/>
    <row r="2130" ht="12.75" customHeight="1" x14ac:dyDescent="0.2"/>
    <row r="2131" ht="12.75" customHeight="1" x14ac:dyDescent="0.2"/>
    <row r="2132" ht="12.75" customHeight="1" x14ac:dyDescent="0.2"/>
    <row r="2133" ht="12.75" customHeight="1" x14ac:dyDescent="0.2"/>
    <row r="2134" ht="12.75" customHeight="1" x14ac:dyDescent="0.2"/>
    <row r="2135" ht="12.75" customHeight="1" x14ac:dyDescent="0.2"/>
    <row r="2136" ht="12.75" customHeight="1" x14ac:dyDescent="0.2"/>
    <row r="2137" ht="12.75" customHeight="1" x14ac:dyDescent="0.2"/>
    <row r="2138" ht="12.75" customHeight="1" x14ac:dyDescent="0.2"/>
    <row r="2139" ht="12.75" customHeight="1" x14ac:dyDescent="0.2"/>
    <row r="2140" ht="12.75" customHeight="1" x14ac:dyDescent="0.2"/>
    <row r="2141" ht="12.75" customHeight="1" x14ac:dyDescent="0.2"/>
    <row r="2142" ht="12.75" customHeight="1" x14ac:dyDescent="0.2"/>
    <row r="2143" ht="12.75" customHeight="1" x14ac:dyDescent="0.2"/>
    <row r="2144" ht="12.75" customHeight="1" x14ac:dyDescent="0.2"/>
    <row r="2145" ht="12.75" customHeight="1" x14ac:dyDescent="0.2"/>
    <row r="2146" ht="12.75" customHeight="1" x14ac:dyDescent="0.2"/>
    <row r="2147" ht="12.75" customHeight="1" x14ac:dyDescent="0.2"/>
    <row r="2148" ht="12.75" customHeight="1" x14ac:dyDescent="0.2"/>
    <row r="2149" ht="12.75" customHeight="1" x14ac:dyDescent="0.2"/>
    <row r="2150" ht="12.75" customHeight="1" x14ac:dyDescent="0.2"/>
    <row r="2151" ht="12.75" customHeight="1" x14ac:dyDescent="0.2"/>
    <row r="2152" ht="12.75" customHeight="1" x14ac:dyDescent="0.2"/>
    <row r="2153" ht="12.75" customHeight="1" x14ac:dyDescent="0.2"/>
    <row r="2154" ht="12.75" customHeight="1" x14ac:dyDescent="0.2"/>
    <row r="2155" ht="12.75" customHeight="1" x14ac:dyDescent="0.2"/>
    <row r="2156" ht="12.75" customHeight="1" x14ac:dyDescent="0.2"/>
    <row r="2157" ht="12.75" customHeight="1" x14ac:dyDescent="0.2"/>
    <row r="2158" ht="12.75" customHeight="1" x14ac:dyDescent="0.2"/>
    <row r="2159" ht="12.75" customHeight="1" x14ac:dyDescent="0.2"/>
    <row r="2160" ht="12.75" customHeight="1" x14ac:dyDescent="0.2"/>
    <row r="2161" ht="12.75" customHeight="1" x14ac:dyDescent="0.2"/>
    <row r="2162" ht="12.75" customHeight="1" x14ac:dyDescent="0.2"/>
    <row r="2163" ht="12.75" customHeight="1" x14ac:dyDescent="0.2"/>
    <row r="2164" ht="12.75" customHeight="1" x14ac:dyDescent="0.2"/>
    <row r="2165" ht="12.75" customHeight="1" x14ac:dyDescent="0.2"/>
    <row r="2166" ht="12.75" customHeight="1" x14ac:dyDescent="0.2"/>
    <row r="2167" ht="12.75" customHeight="1" x14ac:dyDescent="0.2"/>
    <row r="2168" ht="12.75" customHeight="1" x14ac:dyDescent="0.2"/>
    <row r="2169" ht="12.75" customHeight="1" x14ac:dyDescent="0.2"/>
    <row r="2170" ht="12.75" customHeight="1" x14ac:dyDescent="0.2"/>
    <row r="2171" ht="12.75" customHeight="1" x14ac:dyDescent="0.2"/>
    <row r="2172" ht="12.75" customHeight="1" x14ac:dyDescent="0.2"/>
    <row r="2173" ht="12.75" customHeight="1" x14ac:dyDescent="0.2"/>
    <row r="2174" ht="12.75" customHeight="1" x14ac:dyDescent="0.2"/>
    <row r="2175" ht="12.75" customHeight="1" x14ac:dyDescent="0.2"/>
    <row r="2176" ht="12.75" customHeight="1" x14ac:dyDescent="0.2"/>
    <row r="2177" ht="12.75" customHeight="1" x14ac:dyDescent="0.2"/>
    <row r="2178" ht="12.75" customHeight="1" x14ac:dyDescent="0.2"/>
    <row r="2179" ht="12.75" customHeight="1" x14ac:dyDescent="0.2"/>
    <row r="2180" ht="12.75" customHeight="1" x14ac:dyDescent="0.2"/>
    <row r="2181" ht="12.75" customHeight="1" x14ac:dyDescent="0.2"/>
    <row r="2182" ht="12.75" customHeight="1" x14ac:dyDescent="0.2"/>
    <row r="2183" ht="12.75" customHeight="1" x14ac:dyDescent="0.2"/>
    <row r="2184" ht="12.75" customHeight="1" x14ac:dyDescent="0.2"/>
    <row r="2185" ht="12.75" customHeight="1" x14ac:dyDescent="0.2"/>
    <row r="2186" ht="12.75" customHeight="1" x14ac:dyDescent="0.2"/>
    <row r="2187" ht="12.75" customHeight="1" x14ac:dyDescent="0.2"/>
    <row r="2188" ht="12.75" customHeight="1" x14ac:dyDescent="0.2"/>
    <row r="2189" ht="12.75" customHeight="1" x14ac:dyDescent="0.2"/>
    <row r="2190" ht="12.75" customHeight="1" x14ac:dyDescent="0.2"/>
    <row r="2191" ht="12.75" customHeight="1" x14ac:dyDescent="0.2"/>
    <row r="2192" ht="12.75" customHeight="1" x14ac:dyDescent="0.2"/>
    <row r="2193" ht="12.75" customHeight="1" x14ac:dyDescent="0.2"/>
    <row r="2194" ht="12.75" customHeight="1" x14ac:dyDescent="0.2"/>
    <row r="2195" ht="12.75" customHeight="1" x14ac:dyDescent="0.2"/>
    <row r="2196" ht="12.75" customHeight="1" x14ac:dyDescent="0.2"/>
    <row r="2197" ht="12.75" customHeight="1" x14ac:dyDescent="0.2"/>
    <row r="2198" ht="12.75" customHeight="1" x14ac:dyDescent="0.2"/>
    <row r="2199" ht="12.75" customHeight="1" x14ac:dyDescent="0.2"/>
    <row r="2200" ht="12.75" customHeight="1" x14ac:dyDescent="0.2"/>
    <row r="2201" ht="12.75" customHeight="1" x14ac:dyDescent="0.2"/>
    <row r="2202" ht="12.75" customHeight="1" x14ac:dyDescent="0.2"/>
    <row r="2203" ht="12.75" customHeight="1" x14ac:dyDescent="0.2"/>
    <row r="2204" ht="12.75" customHeight="1" x14ac:dyDescent="0.2"/>
    <row r="2205" ht="12.75" customHeight="1" x14ac:dyDescent="0.2"/>
    <row r="2206" ht="12.75" customHeight="1" x14ac:dyDescent="0.2"/>
    <row r="2207" ht="12.75" customHeight="1" x14ac:dyDescent="0.2"/>
    <row r="2208" ht="12.75" customHeight="1" x14ac:dyDescent="0.2"/>
    <row r="2209" ht="12.75" customHeight="1" x14ac:dyDescent="0.2"/>
    <row r="2210" ht="12.75" customHeight="1" x14ac:dyDescent="0.2"/>
    <row r="2211" ht="12.75" customHeight="1" x14ac:dyDescent="0.2"/>
    <row r="2212" ht="12.75" customHeight="1" x14ac:dyDescent="0.2"/>
    <row r="2213" ht="12.75" customHeight="1" x14ac:dyDescent="0.2"/>
    <row r="2214" ht="12.75" customHeight="1" x14ac:dyDescent="0.2"/>
    <row r="2215" ht="12.75" customHeight="1" x14ac:dyDescent="0.2"/>
    <row r="2216" ht="12.75" customHeight="1" x14ac:dyDescent="0.2"/>
    <row r="2217" ht="12.75" customHeight="1" x14ac:dyDescent="0.2"/>
    <row r="2218" ht="12.75" customHeight="1" x14ac:dyDescent="0.2"/>
    <row r="2219" ht="12.75" customHeight="1" x14ac:dyDescent="0.2"/>
    <row r="2220" ht="12.75" customHeight="1" x14ac:dyDescent="0.2"/>
    <row r="2221" ht="12.75" customHeight="1" x14ac:dyDescent="0.2"/>
    <row r="2222" ht="12.75" customHeight="1" x14ac:dyDescent="0.2"/>
    <row r="2223" ht="12.75" customHeight="1" x14ac:dyDescent="0.2"/>
    <row r="2224" ht="12.75" customHeight="1" x14ac:dyDescent="0.2"/>
    <row r="2225" ht="12.75" customHeight="1" x14ac:dyDescent="0.2"/>
    <row r="2226" ht="12.75" customHeight="1" x14ac:dyDescent="0.2"/>
    <row r="2227" ht="12.75" customHeight="1" x14ac:dyDescent="0.2"/>
    <row r="2228" ht="12.75" customHeight="1" x14ac:dyDescent="0.2"/>
    <row r="2229" ht="12.75" customHeight="1" x14ac:dyDescent="0.2"/>
    <row r="2230" ht="12.75" customHeight="1" x14ac:dyDescent="0.2"/>
    <row r="2231" ht="12.75" customHeight="1" x14ac:dyDescent="0.2"/>
    <row r="2232" ht="12.75" customHeight="1" x14ac:dyDescent="0.2"/>
    <row r="2233" ht="12.75" customHeight="1" x14ac:dyDescent="0.2"/>
    <row r="2234" ht="12.75" customHeight="1" x14ac:dyDescent="0.2"/>
    <row r="2235" ht="12.75" customHeight="1" x14ac:dyDescent="0.2"/>
    <row r="2236" ht="12.75" customHeight="1" x14ac:dyDescent="0.2"/>
    <row r="2237" ht="12.75" customHeight="1" x14ac:dyDescent="0.2"/>
    <row r="2238" ht="12.75" customHeight="1" x14ac:dyDescent="0.2"/>
    <row r="2239" ht="12.75" customHeight="1" x14ac:dyDescent="0.2"/>
    <row r="2240" ht="12.75" customHeight="1" x14ac:dyDescent="0.2"/>
    <row r="2241" ht="12.75" customHeight="1" x14ac:dyDescent="0.2"/>
    <row r="2242" ht="12.75" customHeight="1" x14ac:dyDescent="0.2"/>
    <row r="2243" ht="12.75" customHeight="1" x14ac:dyDescent="0.2"/>
    <row r="2244" ht="12.75" customHeight="1" x14ac:dyDescent="0.2"/>
    <row r="2245" ht="12.75" customHeight="1" x14ac:dyDescent="0.2"/>
    <row r="2246" ht="12.75" customHeight="1" x14ac:dyDescent="0.2"/>
    <row r="2247" ht="12.75" customHeight="1" x14ac:dyDescent="0.2"/>
    <row r="2248" ht="12.75" customHeight="1" x14ac:dyDescent="0.2"/>
    <row r="2249" ht="12.75" customHeight="1" x14ac:dyDescent="0.2"/>
    <row r="2250" ht="12.75" customHeight="1" x14ac:dyDescent="0.2"/>
    <row r="2251" ht="12.75" customHeight="1" x14ac:dyDescent="0.2"/>
    <row r="2252" ht="12.75" customHeight="1" x14ac:dyDescent="0.2"/>
    <row r="2253" ht="12.75" customHeight="1" x14ac:dyDescent="0.2"/>
    <row r="2254" ht="12.75" customHeight="1" x14ac:dyDescent="0.2"/>
    <row r="2255" ht="12.75" customHeight="1" x14ac:dyDescent="0.2"/>
    <row r="2256" ht="12.75" customHeight="1" x14ac:dyDescent="0.2"/>
    <row r="2257" ht="12.75" customHeight="1" x14ac:dyDescent="0.2"/>
    <row r="2258" ht="12.75" customHeight="1" x14ac:dyDescent="0.2"/>
    <row r="2259" ht="12.75" customHeight="1" x14ac:dyDescent="0.2"/>
    <row r="2260" ht="12.75" customHeight="1" x14ac:dyDescent="0.2"/>
    <row r="2261" ht="12.75" customHeight="1" x14ac:dyDescent="0.2"/>
    <row r="2262" ht="12.75" customHeight="1" x14ac:dyDescent="0.2"/>
    <row r="2263" ht="12.75" customHeight="1" x14ac:dyDescent="0.2"/>
    <row r="2264" ht="12.75" customHeight="1" x14ac:dyDescent="0.2"/>
    <row r="2265" ht="12.75" customHeight="1" x14ac:dyDescent="0.2"/>
    <row r="2266" ht="12.75" customHeight="1" x14ac:dyDescent="0.2"/>
    <row r="2267" ht="12.75" customHeight="1" x14ac:dyDescent="0.2"/>
    <row r="2268" ht="12.75" customHeight="1" x14ac:dyDescent="0.2"/>
    <row r="2269" ht="12.75" customHeight="1" x14ac:dyDescent="0.2"/>
    <row r="2270" ht="12.75" customHeight="1" x14ac:dyDescent="0.2"/>
    <row r="2271" ht="12.75" customHeight="1" x14ac:dyDescent="0.2"/>
    <row r="2272" ht="12.75" customHeight="1" x14ac:dyDescent="0.2"/>
    <row r="2273" ht="12.75" customHeight="1" x14ac:dyDescent="0.2"/>
    <row r="2274" ht="12.75" customHeight="1" x14ac:dyDescent="0.2"/>
    <row r="2275" ht="12.75" customHeight="1" x14ac:dyDescent="0.2"/>
    <row r="2276" ht="12.75" customHeight="1" x14ac:dyDescent="0.2"/>
    <row r="2277" ht="12.75" customHeight="1" x14ac:dyDescent="0.2"/>
    <row r="2278" ht="12.75" customHeight="1" x14ac:dyDescent="0.2"/>
    <row r="2279" ht="12.75" customHeight="1" x14ac:dyDescent="0.2"/>
    <row r="2280" ht="12.75" customHeight="1" x14ac:dyDescent="0.2"/>
    <row r="2281" ht="12.75" customHeight="1" x14ac:dyDescent="0.2"/>
    <row r="2282" ht="12.75" customHeight="1" x14ac:dyDescent="0.2"/>
    <row r="2283" ht="12.75" customHeight="1" x14ac:dyDescent="0.2"/>
    <row r="2284" ht="12.75" customHeight="1" x14ac:dyDescent="0.2"/>
    <row r="2285" ht="12.75" customHeight="1" x14ac:dyDescent="0.2"/>
    <row r="2286" ht="12.75" customHeight="1" x14ac:dyDescent="0.2"/>
    <row r="2287" ht="12.75" customHeight="1" x14ac:dyDescent="0.2"/>
    <row r="2288" ht="12.75" customHeight="1" x14ac:dyDescent="0.2"/>
    <row r="2289" ht="12.75" customHeight="1" x14ac:dyDescent="0.2"/>
    <row r="2290" ht="12.75" customHeight="1" x14ac:dyDescent="0.2"/>
    <row r="2291" ht="12.75" customHeight="1" x14ac:dyDescent="0.2"/>
    <row r="2292" ht="12.75" customHeight="1" x14ac:dyDescent="0.2"/>
    <row r="2293" ht="12.75" customHeight="1" x14ac:dyDescent="0.2"/>
    <row r="2294" ht="12.75" customHeight="1" x14ac:dyDescent="0.2"/>
    <row r="2295" ht="12.75" customHeight="1" x14ac:dyDescent="0.2"/>
    <row r="2296" ht="12.75" customHeight="1" x14ac:dyDescent="0.2"/>
    <row r="2297" ht="12.75" customHeight="1" x14ac:dyDescent="0.2"/>
    <row r="2298" ht="12.75" customHeight="1" x14ac:dyDescent="0.2"/>
    <row r="2299" ht="12.75" customHeight="1" x14ac:dyDescent="0.2"/>
    <row r="2300" ht="12.75" customHeight="1" x14ac:dyDescent="0.2"/>
    <row r="2301" ht="12.75" customHeight="1" x14ac:dyDescent="0.2"/>
    <row r="2302" ht="12.75" customHeight="1" x14ac:dyDescent="0.2"/>
    <row r="2303" ht="12.75" customHeight="1" x14ac:dyDescent="0.2"/>
    <row r="2304" ht="12.75" customHeight="1" x14ac:dyDescent="0.2"/>
    <row r="2305" ht="12.75" customHeight="1" x14ac:dyDescent="0.2"/>
    <row r="2306" ht="12.75" customHeight="1" x14ac:dyDescent="0.2"/>
    <row r="2307" ht="12.75" customHeight="1" x14ac:dyDescent="0.2"/>
    <row r="2308" ht="12.75" customHeight="1" x14ac:dyDescent="0.2"/>
    <row r="2309" ht="12.75" customHeight="1" x14ac:dyDescent="0.2"/>
    <row r="2310" ht="12.75" customHeight="1" x14ac:dyDescent="0.2"/>
    <row r="2311" ht="12.75" customHeight="1" x14ac:dyDescent="0.2"/>
    <row r="2312" ht="12.75" customHeight="1" x14ac:dyDescent="0.2"/>
    <row r="2313" ht="12.75" customHeight="1" x14ac:dyDescent="0.2"/>
    <row r="2314" ht="12.75" customHeight="1" x14ac:dyDescent="0.2"/>
    <row r="2315" ht="12.75" customHeight="1" x14ac:dyDescent="0.2"/>
    <row r="2316" ht="12.75" customHeight="1" x14ac:dyDescent="0.2"/>
    <row r="2317" ht="12.75" customHeight="1" x14ac:dyDescent="0.2"/>
    <row r="2318" ht="12.75" customHeight="1" x14ac:dyDescent="0.2"/>
    <row r="2319" ht="12.75" customHeight="1" x14ac:dyDescent="0.2"/>
    <row r="2320" ht="12.75" customHeight="1" x14ac:dyDescent="0.2"/>
    <row r="2321" ht="12.75" customHeight="1" x14ac:dyDescent="0.2"/>
    <row r="2322" ht="12.75" customHeight="1" x14ac:dyDescent="0.2"/>
    <row r="2323" ht="12.75" customHeight="1" x14ac:dyDescent="0.2"/>
    <row r="2324" ht="12.75" customHeight="1" x14ac:dyDescent="0.2"/>
    <row r="2325" ht="12.75" customHeight="1" x14ac:dyDescent="0.2"/>
    <row r="2326" ht="12.75" customHeight="1" x14ac:dyDescent="0.2"/>
    <row r="2327" ht="12.75" customHeight="1" x14ac:dyDescent="0.2"/>
    <row r="2328" ht="12.75" customHeight="1" x14ac:dyDescent="0.2"/>
    <row r="2329" ht="12.75" customHeight="1" x14ac:dyDescent="0.2"/>
    <row r="2330" ht="12.75" customHeight="1" x14ac:dyDescent="0.2"/>
    <row r="2331" ht="12.75" customHeight="1" x14ac:dyDescent="0.2"/>
    <row r="2332" ht="12.75" customHeight="1" x14ac:dyDescent="0.2"/>
    <row r="2333" ht="12.75" customHeight="1" x14ac:dyDescent="0.2"/>
    <row r="2334" ht="12.75" customHeight="1" x14ac:dyDescent="0.2"/>
    <row r="2335" ht="12.75" customHeight="1" x14ac:dyDescent="0.2"/>
    <row r="2336" ht="12.75" customHeight="1" x14ac:dyDescent="0.2"/>
    <row r="2337" ht="12.75" customHeight="1" x14ac:dyDescent="0.2"/>
    <row r="2338" ht="12.75" customHeight="1" x14ac:dyDescent="0.2"/>
    <row r="2339" ht="12.75" customHeight="1" x14ac:dyDescent="0.2"/>
    <row r="2340" ht="12.75" customHeight="1" x14ac:dyDescent="0.2"/>
    <row r="2341" ht="12.75" customHeight="1" x14ac:dyDescent="0.2"/>
    <row r="2342" ht="12.75" customHeight="1" x14ac:dyDescent="0.2"/>
    <row r="2343" ht="12.75" customHeight="1" x14ac:dyDescent="0.2"/>
    <row r="2344" ht="12.75" customHeight="1" x14ac:dyDescent="0.2"/>
    <row r="2345" ht="12.75" customHeight="1" x14ac:dyDescent="0.2"/>
    <row r="2346" ht="12.75" customHeight="1" x14ac:dyDescent="0.2"/>
    <row r="2347" ht="12.75" customHeight="1" x14ac:dyDescent="0.2"/>
    <row r="2348" ht="12.75" customHeight="1" x14ac:dyDescent="0.2"/>
    <row r="2349" ht="12.75" customHeight="1" x14ac:dyDescent="0.2"/>
    <row r="2350" ht="12.75" customHeight="1" x14ac:dyDescent="0.2"/>
    <row r="2351" ht="12.75" customHeight="1" x14ac:dyDescent="0.2"/>
    <row r="2352" ht="12.75" customHeight="1" x14ac:dyDescent="0.2"/>
    <row r="2353" ht="12.75" customHeight="1" x14ac:dyDescent="0.2"/>
    <row r="2354" ht="12.75" customHeight="1" x14ac:dyDescent="0.2"/>
    <row r="2355" ht="12.75" customHeight="1" x14ac:dyDescent="0.2"/>
    <row r="2356" ht="12.75" customHeight="1" x14ac:dyDescent="0.2"/>
    <row r="2357" ht="12.75" customHeight="1" x14ac:dyDescent="0.2"/>
    <row r="2358" ht="12.75" customHeight="1" x14ac:dyDescent="0.2"/>
    <row r="2359" ht="12.75" customHeight="1" x14ac:dyDescent="0.2"/>
    <row r="2360" ht="12.75" customHeight="1" x14ac:dyDescent="0.2"/>
    <row r="2361" ht="12.75" customHeight="1" x14ac:dyDescent="0.2"/>
    <row r="2362" ht="12.75" customHeight="1" x14ac:dyDescent="0.2"/>
    <row r="2363" ht="12.75" customHeight="1" x14ac:dyDescent="0.2"/>
    <row r="2364" ht="12.75" customHeight="1" x14ac:dyDescent="0.2"/>
    <row r="2365" ht="12.75" customHeight="1" x14ac:dyDescent="0.2"/>
    <row r="2366" ht="12.75" customHeight="1" x14ac:dyDescent="0.2"/>
    <row r="2367" ht="12.75" customHeight="1" x14ac:dyDescent="0.2"/>
    <row r="2368" ht="12.75" customHeight="1" x14ac:dyDescent="0.2"/>
    <row r="2369" ht="12.75" customHeight="1" x14ac:dyDescent="0.2"/>
    <row r="2370" ht="12.75" customHeight="1" x14ac:dyDescent="0.2"/>
    <row r="2371" ht="12.75" customHeight="1" x14ac:dyDescent="0.2"/>
    <row r="2372" ht="12.75" customHeight="1" x14ac:dyDescent="0.2"/>
    <row r="2373" ht="12.75" customHeight="1" x14ac:dyDescent="0.2"/>
    <row r="2374" ht="12.75" customHeight="1" x14ac:dyDescent="0.2"/>
    <row r="2375" ht="12.75" customHeight="1" x14ac:dyDescent="0.2"/>
    <row r="2376" ht="12.75" customHeight="1" x14ac:dyDescent="0.2"/>
    <row r="2377" ht="12.75" customHeight="1" x14ac:dyDescent="0.2"/>
    <row r="2378" ht="12.75" customHeight="1" x14ac:dyDescent="0.2"/>
    <row r="2379" ht="12.75" customHeight="1" x14ac:dyDescent="0.2"/>
    <row r="2380" ht="12.75" customHeight="1" x14ac:dyDescent="0.2"/>
    <row r="2381" ht="12.75" customHeight="1" x14ac:dyDescent="0.2"/>
    <row r="2382" ht="12.75" customHeight="1" x14ac:dyDescent="0.2"/>
    <row r="2383" ht="12.75" customHeight="1" x14ac:dyDescent="0.2"/>
    <row r="2384" ht="12.75" customHeight="1" x14ac:dyDescent="0.2"/>
    <row r="2385" ht="12.75" customHeight="1" x14ac:dyDescent="0.2"/>
    <row r="2386" ht="12.75" customHeight="1" x14ac:dyDescent="0.2"/>
    <row r="2387" ht="12.75" customHeight="1" x14ac:dyDescent="0.2"/>
    <row r="2388" ht="12.75" customHeight="1" x14ac:dyDescent="0.2"/>
    <row r="2389" ht="12.75" customHeight="1" x14ac:dyDescent="0.2"/>
    <row r="2390" ht="12.75" customHeight="1" x14ac:dyDescent="0.2"/>
    <row r="2391" ht="12.75" customHeight="1" x14ac:dyDescent="0.2"/>
    <row r="2392" ht="12.75" customHeight="1" x14ac:dyDescent="0.2"/>
    <row r="2393" ht="12.75" customHeight="1" x14ac:dyDescent="0.2"/>
    <row r="2394" ht="12.75" customHeight="1" x14ac:dyDescent="0.2"/>
    <row r="2395" ht="12.75" customHeight="1" x14ac:dyDescent="0.2"/>
    <row r="2396" ht="12.75" customHeight="1" x14ac:dyDescent="0.2"/>
    <row r="2397" ht="12.75" customHeight="1" x14ac:dyDescent="0.2"/>
    <row r="2398" ht="12.75" customHeight="1" x14ac:dyDescent="0.2"/>
    <row r="2399" ht="12.75" customHeight="1" x14ac:dyDescent="0.2"/>
    <row r="2400" ht="12.75" customHeight="1" x14ac:dyDescent="0.2"/>
    <row r="2401" ht="12.75" customHeight="1" x14ac:dyDescent="0.2"/>
    <row r="2402" ht="12.75" customHeight="1" x14ac:dyDescent="0.2"/>
    <row r="2403" ht="12.75" customHeight="1" x14ac:dyDescent="0.2"/>
    <row r="2404" ht="12.75" customHeight="1" x14ac:dyDescent="0.2"/>
    <row r="2405" ht="12.75" customHeight="1" x14ac:dyDescent="0.2"/>
    <row r="2406" ht="12.75" customHeight="1" x14ac:dyDescent="0.2"/>
    <row r="2407" ht="12.75" customHeight="1" x14ac:dyDescent="0.2"/>
    <row r="2408" ht="12.75" customHeight="1" x14ac:dyDescent="0.2"/>
    <row r="2409" ht="12.75" customHeight="1" x14ac:dyDescent="0.2"/>
    <row r="2410" ht="12.75" customHeight="1" x14ac:dyDescent="0.2"/>
    <row r="2411" ht="12.75" customHeight="1" x14ac:dyDescent="0.2"/>
    <row r="2412" ht="12.75" customHeight="1" x14ac:dyDescent="0.2"/>
    <row r="2413" ht="12.75" customHeight="1" x14ac:dyDescent="0.2"/>
    <row r="2414" ht="12.75" customHeight="1" x14ac:dyDescent="0.2"/>
    <row r="2415" ht="12.75" customHeight="1" x14ac:dyDescent="0.2"/>
    <row r="2416" ht="12.75" customHeight="1" x14ac:dyDescent="0.2"/>
    <row r="2417" ht="12.75" customHeight="1" x14ac:dyDescent="0.2"/>
    <row r="2418" ht="12.75" customHeight="1" x14ac:dyDescent="0.2"/>
    <row r="2419" ht="12.75" customHeight="1" x14ac:dyDescent="0.2"/>
    <row r="2420" ht="12.75" customHeight="1" x14ac:dyDescent="0.2"/>
    <row r="2421" ht="12.75" customHeight="1" x14ac:dyDescent="0.2"/>
    <row r="2422" ht="12.75" customHeight="1" x14ac:dyDescent="0.2"/>
    <row r="2423" ht="12.75" customHeight="1" x14ac:dyDescent="0.2"/>
    <row r="2424" ht="12.75" customHeight="1" x14ac:dyDescent="0.2"/>
    <row r="2425" ht="12.75" customHeight="1" x14ac:dyDescent="0.2"/>
    <row r="2426" ht="12.75" customHeight="1" x14ac:dyDescent="0.2"/>
    <row r="2427" ht="12.75" customHeight="1" x14ac:dyDescent="0.2"/>
    <row r="2428" ht="12.75" customHeight="1" x14ac:dyDescent="0.2"/>
    <row r="2429" ht="12.75" customHeight="1" x14ac:dyDescent="0.2"/>
    <row r="2430" ht="12.75" customHeight="1" x14ac:dyDescent="0.2"/>
    <row r="2431" ht="12.75" customHeight="1" x14ac:dyDescent="0.2"/>
    <row r="2432" ht="12.75" customHeight="1" x14ac:dyDescent="0.2"/>
    <row r="2433" ht="12.75" customHeight="1" x14ac:dyDescent="0.2"/>
    <row r="2434" ht="12.75" customHeight="1" x14ac:dyDescent="0.2"/>
    <row r="2435" ht="12.75" customHeight="1" x14ac:dyDescent="0.2"/>
    <row r="2436" ht="12.75" customHeight="1" x14ac:dyDescent="0.2"/>
    <row r="2437" ht="12.75" customHeight="1" x14ac:dyDescent="0.2"/>
    <row r="2438" ht="12.75" customHeight="1" x14ac:dyDescent="0.2"/>
    <row r="2439" ht="12.75" customHeight="1" x14ac:dyDescent="0.2"/>
    <row r="2440" ht="12.75" customHeight="1" x14ac:dyDescent="0.2"/>
    <row r="2441" ht="12.75" customHeight="1" x14ac:dyDescent="0.2"/>
    <row r="2442" ht="12.75" customHeight="1" x14ac:dyDescent="0.2"/>
    <row r="2443" ht="12.75" customHeight="1" x14ac:dyDescent="0.2"/>
    <row r="2444" ht="12.75" customHeight="1" x14ac:dyDescent="0.2"/>
    <row r="2445" ht="12.75" customHeight="1" x14ac:dyDescent="0.2"/>
    <row r="2446" ht="12.75" customHeight="1" x14ac:dyDescent="0.2"/>
    <row r="2447" ht="12.75" customHeight="1" x14ac:dyDescent="0.2"/>
    <row r="2448" ht="12.75" customHeight="1" x14ac:dyDescent="0.2"/>
    <row r="2449" ht="12.75" customHeight="1" x14ac:dyDescent="0.2"/>
    <row r="2450" ht="12.75" customHeight="1" x14ac:dyDescent="0.2"/>
    <row r="2451" ht="12.75" customHeight="1" x14ac:dyDescent="0.2"/>
    <row r="2452" ht="12.75" customHeight="1" x14ac:dyDescent="0.2"/>
    <row r="2453" ht="12.75" customHeight="1" x14ac:dyDescent="0.2"/>
    <row r="2454" ht="12.75" customHeight="1" x14ac:dyDescent="0.2"/>
    <row r="2455" ht="12.75" customHeight="1" x14ac:dyDescent="0.2"/>
    <row r="2456" ht="12.75" customHeight="1" x14ac:dyDescent="0.2"/>
    <row r="2457" ht="12.75" customHeight="1" x14ac:dyDescent="0.2"/>
    <row r="2458" ht="12.75" customHeight="1" x14ac:dyDescent="0.2"/>
    <row r="2459" ht="12.75" customHeight="1" x14ac:dyDescent="0.2"/>
    <row r="2460" ht="12.75" customHeight="1" x14ac:dyDescent="0.2"/>
    <row r="2461" ht="12.75" customHeight="1" x14ac:dyDescent="0.2"/>
    <row r="2462" ht="12.75" customHeight="1" x14ac:dyDescent="0.2"/>
    <row r="2463" ht="12.75" customHeight="1" x14ac:dyDescent="0.2"/>
    <row r="2464" ht="12.75" customHeight="1" x14ac:dyDescent="0.2"/>
    <row r="2465" ht="12.75" customHeight="1" x14ac:dyDescent="0.2"/>
    <row r="2466" ht="12.75" customHeight="1" x14ac:dyDescent="0.2"/>
    <row r="2467" ht="12.75" customHeight="1" x14ac:dyDescent="0.2"/>
    <row r="2468" ht="12.75" customHeight="1" x14ac:dyDescent="0.2"/>
    <row r="2469" ht="12.75" customHeight="1" x14ac:dyDescent="0.2"/>
    <row r="2470" ht="12.75" customHeight="1" x14ac:dyDescent="0.2"/>
    <row r="2471" ht="12.75" customHeight="1" x14ac:dyDescent="0.2"/>
    <row r="2472" ht="12.75" customHeight="1" x14ac:dyDescent="0.2"/>
    <row r="2473" ht="12.75" customHeight="1" x14ac:dyDescent="0.2"/>
    <row r="2474" ht="12.75" customHeight="1" x14ac:dyDescent="0.2"/>
    <row r="2475" ht="12.75" customHeight="1" x14ac:dyDescent="0.2"/>
    <row r="2476" ht="12.75" customHeight="1" x14ac:dyDescent="0.2"/>
    <row r="2477" ht="12.75" customHeight="1" x14ac:dyDescent="0.2"/>
    <row r="2478" ht="12.75" customHeight="1" x14ac:dyDescent="0.2"/>
    <row r="2479" ht="12.75" customHeight="1" x14ac:dyDescent="0.2"/>
    <row r="2480" ht="12.75" customHeight="1" x14ac:dyDescent="0.2"/>
    <row r="2481" ht="12.75" customHeight="1" x14ac:dyDescent="0.2"/>
    <row r="2482" ht="12.75" customHeight="1" x14ac:dyDescent="0.2"/>
    <row r="2483" ht="12.75" customHeight="1" x14ac:dyDescent="0.2"/>
    <row r="2484" ht="12.75" customHeight="1" x14ac:dyDescent="0.2"/>
    <row r="2485" ht="12.75" customHeight="1" x14ac:dyDescent="0.2"/>
    <row r="2486" ht="12.75" customHeight="1" x14ac:dyDescent="0.2"/>
    <row r="2487" ht="12.75" customHeight="1" x14ac:dyDescent="0.2"/>
    <row r="2488" ht="12.75" customHeight="1" x14ac:dyDescent="0.2"/>
    <row r="2489" ht="12.75" customHeight="1" x14ac:dyDescent="0.2"/>
    <row r="2490" ht="12.75" customHeight="1" x14ac:dyDescent="0.2"/>
    <row r="2491" ht="12.75" customHeight="1" x14ac:dyDescent="0.2"/>
    <row r="2492" ht="12.75" customHeight="1" x14ac:dyDescent="0.2"/>
    <row r="2493" ht="12.75" customHeight="1" x14ac:dyDescent="0.2"/>
    <row r="2494" ht="12.75" customHeight="1" x14ac:dyDescent="0.2"/>
    <row r="2495" ht="12.75" customHeight="1" x14ac:dyDescent="0.2"/>
    <row r="2496" ht="12.75" customHeight="1" x14ac:dyDescent="0.2"/>
    <row r="2497" ht="12.75" customHeight="1" x14ac:dyDescent="0.2"/>
    <row r="2498" ht="12.75" customHeight="1" x14ac:dyDescent="0.2"/>
    <row r="2499" ht="12.75" customHeight="1" x14ac:dyDescent="0.2"/>
    <row r="2500" ht="12.75" customHeight="1" x14ac:dyDescent="0.2"/>
    <row r="2501" ht="12.75" customHeight="1" x14ac:dyDescent="0.2"/>
    <row r="2502" ht="12.75" customHeight="1" x14ac:dyDescent="0.2"/>
    <row r="2503" ht="12.75" customHeight="1" x14ac:dyDescent="0.2"/>
    <row r="2504" ht="12.75" customHeight="1" x14ac:dyDescent="0.2"/>
    <row r="2505" ht="12.75" customHeight="1" x14ac:dyDescent="0.2"/>
    <row r="2506" ht="12.75" customHeight="1" x14ac:dyDescent="0.2"/>
    <row r="2507" ht="12.75" customHeight="1" x14ac:dyDescent="0.2"/>
    <row r="2508" ht="12.75" customHeight="1" x14ac:dyDescent="0.2"/>
    <row r="2509" ht="12.75" customHeight="1" x14ac:dyDescent="0.2"/>
    <row r="2510" ht="12.75" customHeight="1" x14ac:dyDescent="0.2"/>
    <row r="2511" ht="12.75" customHeight="1" x14ac:dyDescent="0.2"/>
    <row r="2512" ht="12.75" customHeight="1" x14ac:dyDescent="0.2"/>
    <row r="2513" ht="12.75" customHeight="1" x14ac:dyDescent="0.2"/>
    <row r="2514" ht="12.75" customHeight="1" x14ac:dyDescent="0.2"/>
    <row r="2515" ht="12.75" customHeight="1" x14ac:dyDescent="0.2"/>
    <row r="2516" ht="12.75" customHeight="1" x14ac:dyDescent="0.2"/>
    <row r="2517" ht="12.75" customHeight="1" x14ac:dyDescent="0.2"/>
    <row r="2518" ht="12.75" customHeight="1" x14ac:dyDescent="0.2"/>
    <row r="2519" ht="12.75" customHeight="1" x14ac:dyDescent="0.2"/>
    <row r="2520" ht="12.75" customHeight="1" x14ac:dyDescent="0.2"/>
    <row r="2521" ht="12.75" customHeight="1" x14ac:dyDescent="0.2"/>
    <row r="2522" ht="12.75" customHeight="1" x14ac:dyDescent="0.2"/>
    <row r="2523" ht="12.75" customHeight="1" x14ac:dyDescent="0.2"/>
    <row r="2524" ht="12.75" customHeight="1" x14ac:dyDescent="0.2"/>
    <row r="2525" ht="12.75" customHeight="1" x14ac:dyDescent="0.2"/>
    <row r="2526" ht="12.75" customHeight="1" x14ac:dyDescent="0.2"/>
    <row r="2527" ht="12.75" customHeight="1" x14ac:dyDescent="0.2"/>
    <row r="2528" ht="12.75" customHeight="1" x14ac:dyDescent="0.2"/>
    <row r="2529" ht="12.75" customHeight="1" x14ac:dyDescent="0.2"/>
    <row r="2530" ht="12.75" customHeight="1" x14ac:dyDescent="0.2"/>
    <row r="2531" ht="12.75" customHeight="1" x14ac:dyDescent="0.2"/>
    <row r="2532" ht="12.75" customHeight="1" x14ac:dyDescent="0.2"/>
    <row r="2533" ht="12.75" customHeight="1" x14ac:dyDescent="0.2"/>
    <row r="2534" ht="12.75" customHeight="1" x14ac:dyDescent="0.2"/>
    <row r="2535" ht="12.75" customHeight="1" x14ac:dyDescent="0.2"/>
    <row r="2536" ht="12.75" customHeight="1" x14ac:dyDescent="0.2"/>
    <row r="2537" ht="12.75" customHeight="1" x14ac:dyDescent="0.2"/>
    <row r="2538" ht="12.75" customHeight="1" x14ac:dyDescent="0.2"/>
    <row r="2539" ht="12.75" customHeight="1" x14ac:dyDescent="0.2"/>
    <row r="2540" ht="12.75" customHeight="1" x14ac:dyDescent="0.2"/>
    <row r="2541" ht="12.75" customHeight="1" x14ac:dyDescent="0.2"/>
    <row r="2542" ht="12.75" customHeight="1" x14ac:dyDescent="0.2"/>
    <row r="2543" ht="12.75" customHeight="1" x14ac:dyDescent="0.2"/>
    <row r="2544" ht="12.75" customHeight="1" x14ac:dyDescent="0.2"/>
    <row r="2545" ht="12.75" customHeight="1" x14ac:dyDescent="0.2"/>
    <row r="2546" ht="12.75" customHeight="1" x14ac:dyDescent="0.2"/>
    <row r="2547" ht="12.75" customHeight="1" x14ac:dyDescent="0.2"/>
    <row r="2548" ht="12.75" customHeight="1" x14ac:dyDescent="0.2"/>
    <row r="2549" ht="12.75" customHeight="1" x14ac:dyDescent="0.2"/>
    <row r="2550" ht="12.75" customHeight="1" x14ac:dyDescent="0.2"/>
    <row r="2551" ht="12.75" customHeight="1" x14ac:dyDescent="0.2"/>
    <row r="2552" ht="12.75" customHeight="1" x14ac:dyDescent="0.2"/>
    <row r="2553" ht="12.75" customHeight="1" x14ac:dyDescent="0.2"/>
    <row r="2554" ht="12.75" customHeight="1" x14ac:dyDescent="0.2"/>
    <row r="2555" ht="12.75" customHeight="1" x14ac:dyDescent="0.2"/>
    <row r="2556" ht="12.75" customHeight="1" x14ac:dyDescent="0.2"/>
    <row r="2557" ht="12.75" customHeight="1" x14ac:dyDescent="0.2"/>
    <row r="2558" ht="12.75" customHeight="1" x14ac:dyDescent="0.2"/>
    <row r="2559" ht="12.75" customHeight="1" x14ac:dyDescent="0.2"/>
    <row r="2560" ht="12.75" customHeight="1" x14ac:dyDescent="0.2"/>
    <row r="2561" ht="12.75" customHeight="1" x14ac:dyDescent="0.2"/>
    <row r="2562" ht="12.75" customHeight="1" x14ac:dyDescent="0.2"/>
    <row r="2563" ht="12.75" customHeight="1" x14ac:dyDescent="0.2"/>
    <row r="2564" ht="12.75" customHeight="1" x14ac:dyDescent="0.2"/>
    <row r="2565" ht="12.75" customHeight="1" x14ac:dyDescent="0.2"/>
    <row r="2566" ht="12.75" customHeight="1" x14ac:dyDescent="0.2"/>
    <row r="2567" ht="12.75" customHeight="1" x14ac:dyDescent="0.2"/>
    <row r="2568" ht="12.75" customHeight="1" x14ac:dyDescent="0.2"/>
    <row r="2569" ht="12.75" customHeight="1" x14ac:dyDescent="0.2"/>
    <row r="2570" ht="12.75" customHeight="1" x14ac:dyDescent="0.2"/>
    <row r="2571" ht="12.75" customHeight="1" x14ac:dyDescent="0.2"/>
    <row r="2572" ht="12.75" customHeight="1" x14ac:dyDescent="0.2"/>
    <row r="2573" ht="12.75" customHeight="1" x14ac:dyDescent="0.2"/>
    <row r="2574" ht="12.75" customHeight="1" x14ac:dyDescent="0.2"/>
    <row r="2575" ht="12.75" customHeight="1" x14ac:dyDescent="0.2"/>
    <row r="2576" ht="12.75" customHeight="1" x14ac:dyDescent="0.2"/>
    <row r="2577" ht="12.75" customHeight="1" x14ac:dyDescent="0.2"/>
    <row r="2578" ht="12.75" customHeight="1" x14ac:dyDescent="0.2"/>
    <row r="2579" ht="12.75" customHeight="1" x14ac:dyDescent="0.2"/>
    <row r="2580" ht="12.75" customHeight="1" x14ac:dyDescent="0.2"/>
    <row r="2581" ht="12.75" customHeight="1" x14ac:dyDescent="0.2"/>
    <row r="2582" ht="12.75" customHeight="1" x14ac:dyDescent="0.2"/>
    <row r="2583" ht="12.75" customHeight="1" x14ac:dyDescent="0.2"/>
    <row r="2584" ht="12.75" customHeight="1" x14ac:dyDescent="0.2"/>
    <row r="2585" ht="12.75" customHeight="1" x14ac:dyDescent="0.2"/>
    <row r="2586" ht="12.75" customHeight="1" x14ac:dyDescent="0.2"/>
    <row r="2587" ht="12.75" customHeight="1" x14ac:dyDescent="0.2"/>
    <row r="2588" ht="12.75" customHeight="1" x14ac:dyDescent="0.2"/>
    <row r="2589" ht="12.75" customHeight="1" x14ac:dyDescent="0.2"/>
    <row r="2590" ht="12.75" customHeight="1" x14ac:dyDescent="0.2"/>
    <row r="2591" ht="12.75" customHeight="1" x14ac:dyDescent="0.2"/>
    <row r="2592" ht="12.75" customHeight="1" x14ac:dyDescent="0.2"/>
    <row r="2593" ht="12.75" customHeight="1" x14ac:dyDescent="0.2"/>
    <row r="2594" ht="12.75" customHeight="1" x14ac:dyDescent="0.2"/>
    <row r="2595" ht="12.75" customHeight="1" x14ac:dyDescent="0.2"/>
    <row r="2596" ht="12.75" customHeight="1" x14ac:dyDescent="0.2"/>
    <row r="2597" ht="12.75" customHeight="1" x14ac:dyDescent="0.2"/>
    <row r="2598" ht="12.75" customHeight="1" x14ac:dyDescent="0.2"/>
    <row r="2599" ht="12.75" customHeight="1" x14ac:dyDescent="0.2"/>
    <row r="2600" ht="12.75" customHeight="1" x14ac:dyDescent="0.2"/>
    <row r="2601" ht="12.75" customHeight="1" x14ac:dyDescent="0.2"/>
    <row r="2602" ht="12.75" customHeight="1" x14ac:dyDescent="0.2"/>
    <row r="2603" ht="12.75" customHeight="1" x14ac:dyDescent="0.2"/>
    <row r="2604" ht="12.75" customHeight="1" x14ac:dyDescent="0.2"/>
    <row r="2605" ht="12.75" customHeight="1" x14ac:dyDescent="0.2"/>
    <row r="2606" ht="12.75" customHeight="1" x14ac:dyDescent="0.2"/>
    <row r="2607" ht="12.75" customHeight="1" x14ac:dyDescent="0.2"/>
    <row r="2608" ht="12.75" customHeight="1" x14ac:dyDescent="0.2"/>
    <row r="2609" ht="12.75" customHeight="1" x14ac:dyDescent="0.2"/>
    <row r="2610" ht="12.75" customHeight="1" x14ac:dyDescent="0.2"/>
    <row r="2611" ht="12.75" customHeight="1" x14ac:dyDescent="0.2"/>
    <row r="2612" ht="12.75" customHeight="1" x14ac:dyDescent="0.2"/>
    <row r="2613" ht="12.75" customHeight="1" x14ac:dyDescent="0.2"/>
    <row r="2614" ht="12.75" customHeight="1" x14ac:dyDescent="0.2"/>
    <row r="2615" ht="12.75" customHeight="1" x14ac:dyDescent="0.2"/>
    <row r="2616" ht="12.75" customHeight="1" x14ac:dyDescent="0.2"/>
    <row r="2617" ht="12.75" customHeight="1" x14ac:dyDescent="0.2"/>
    <row r="2618" ht="12.75" customHeight="1" x14ac:dyDescent="0.2"/>
    <row r="2619" ht="12.75" customHeight="1" x14ac:dyDescent="0.2"/>
    <row r="2620" ht="12.75" customHeight="1" x14ac:dyDescent="0.2"/>
    <row r="2621" ht="12.75" customHeight="1" x14ac:dyDescent="0.2"/>
    <row r="2622" ht="12.75" customHeight="1" x14ac:dyDescent="0.2"/>
    <row r="2623" ht="12.75" customHeight="1" x14ac:dyDescent="0.2"/>
    <row r="2624" ht="12.75" customHeight="1" x14ac:dyDescent="0.2"/>
    <row r="2625" ht="12.75" customHeight="1" x14ac:dyDescent="0.2"/>
    <row r="2626" ht="12.75" customHeight="1" x14ac:dyDescent="0.2"/>
    <row r="2627" ht="12.75" customHeight="1" x14ac:dyDescent="0.2"/>
    <row r="2628" ht="12.75" customHeight="1" x14ac:dyDescent="0.2"/>
    <row r="2629" ht="12.75" customHeight="1" x14ac:dyDescent="0.2"/>
    <row r="2630" ht="12.75" customHeight="1" x14ac:dyDescent="0.2"/>
    <row r="2631" ht="12.75" customHeight="1" x14ac:dyDescent="0.2"/>
    <row r="2632" ht="12.75" customHeight="1" x14ac:dyDescent="0.2"/>
    <row r="2633" ht="12.75" customHeight="1" x14ac:dyDescent="0.2"/>
    <row r="2634" ht="12.75" customHeight="1" x14ac:dyDescent="0.2"/>
    <row r="2635" ht="12.75" customHeight="1" x14ac:dyDescent="0.2"/>
    <row r="2636" ht="12.75" customHeight="1" x14ac:dyDescent="0.2"/>
    <row r="2637" ht="12.75" customHeight="1" x14ac:dyDescent="0.2"/>
    <row r="2638" ht="12.75" customHeight="1" x14ac:dyDescent="0.2"/>
    <row r="2639" ht="12.75" customHeight="1" x14ac:dyDescent="0.2"/>
    <row r="2640" ht="12.75" customHeight="1" x14ac:dyDescent="0.2"/>
    <row r="2641" ht="12.75" customHeight="1" x14ac:dyDescent="0.2"/>
    <row r="2642" ht="12.75" customHeight="1" x14ac:dyDescent="0.2"/>
    <row r="2643" ht="12.75" customHeight="1" x14ac:dyDescent="0.2"/>
    <row r="2644" ht="12.75" customHeight="1" x14ac:dyDescent="0.2"/>
    <row r="2645" ht="12.75" customHeight="1" x14ac:dyDescent="0.2"/>
    <row r="2646" ht="12.75" customHeight="1" x14ac:dyDescent="0.2"/>
    <row r="2647" ht="12.75" customHeight="1" x14ac:dyDescent="0.2"/>
    <row r="2648" ht="12.75" customHeight="1" x14ac:dyDescent="0.2"/>
    <row r="2649" ht="12.75" customHeight="1" x14ac:dyDescent="0.2"/>
    <row r="2650" ht="12.75" customHeight="1" x14ac:dyDescent="0.2"/>
    <row r="2651" ht="12.75" customHeight="1" x14ac:dyDescent="0.2"/>
    <row r="2652" ht="12.75" customHeight="1" x14ac:dyDescent="0.2"/>
    <row r="2653" ht="12.75" customHeight="1" x14ac:dyDescent="0.2"/>
    <row r="2654" ht="12.75" customHeight="1" x14ac:dyDescent="0.2"/>
    <row r="2655" ht="12.75" customHeight="1" x14ac:dyDescent="0.2"/>
    <row r="2656" ht="12.75" customHeight="1" x14ac:dyDescent="0.2"/>
    <row r="2657" ht="12.75" customHeight="1" x14ac:dyDescent="0.2"/>
    <row r="2658" ht="12.75" customHeight="1" x14ac:dyDescent="0.2"/>
    <row r="2659" ht="12.75" customHeight="1" x14ac:dyDescent="0.2"/>
    <row r="2660" ht="12.75" customHeight="1" x14ac:dyDescent="0.2"/>
    <row r="2661" ht="12.75" customHeight="1" x14ac:dyDescent="0.2"/>
    <row r="2662" ht="12.75" customHeight="1" x14ac:dyDescent="0.2"/>
    <row r="2663" ht="12.75" customHeight="1" x14ac:dyDescent="0.2"/>
    <row r="2664" ht="12.75" customHeight="1" x14ac:dyDescent="0.2"/>
    <row r="2665" ht="12.75" customHeight="1" x14ac:dyDescent="0.2"/>
    <row r="2666" ht="12.75" customHeight="1" x14ac:dyDescent="0.2"/>
    <row r="2667" ht="12.75" customHeight="1" x14ac:dyDescent="0.2"/>
    <row r="2668" ht="12.75" customHeight="1" x14ac:dyDescent="0.2"/>
    <row r="2669" ht="12.75" customHeight="1" x14ac:dyDescent="0.2"/>
    <row r="2670" ht="12.75" customHeight="1" x14ac:dyDescent="0.2"/>
    <row r="2671" ht="12.75" customHeight="1" x14ac:dyDescent="0.2"/>
    <row r="2672" ht="12.75" customHeight="1" x14ac:dyDescent="0.2"/>
    <row r="2673" ht="12.75" customHeight="1" x14ac:dyDescent="0.2"/>
    <row r="2674" ht="12.75" customHeight="1" x14ac:dyDescent="0.2"/>
    <row r="2675" ht="12.75" customHeight="1" x14ac:dyDescent="0.2"/>
    <row r="2676" ht="12.75" customHeight="1" x14ac:dyDescent="0.2"/>
    <row r="2677" ht="12.75" customHeight="1" x14ac:dyDescent="0.2"/>
    <row r="2678" ht="12.75" customHeight="1" x14ac:dyDescent="0.2"/>
    <row r="2679" ht="12.75" customHeight="1" x14ac:dyDescent="0.2"/>
    <row r="2680" ht="12.75" customHeight="1" x14ac:dyDescent="0.2"/>
    <row r="2681" ht="12.75" customHeight="1" x14ac:dyDescent="0.2"/>
    <row r="2682" ht="12.75" customHeight="1" x14ac:dyDescent="0.2"/>
    <row r="2683" ht="12.75" customHeight="1" x14ac:dyDescent="0.2"/>
    <row r="2684" ht="12.75" customHeight="1" x14ac:dyDescent="0.2"/>
    <row r="2685" ht="12.75" customHeight="1" x14ac:dyDescent="0.2"/>
    <row r="2686" ht="12.75" customHeight="1" x14ac:dyDescent="0.2"/>
    <row r="2687" ht="12.75" customHeight="1" x14ac:dyDescent="0.2"/>
    <row r="2688" ht="12.75" customHeight="1" x14ac:dyDescent="0.2"/>
    <row r="2689" ht="12.75" customHeight="1" x14ac:dyDescent="0.2"/>
    <row r="2690" ht="12.75" customHeight="1" x14ac:dyDescent="0.2"/>
    <row r="2691" ht="12.75" customHeight="1" x14ac:dyDescent="0.2"/>
    <row r="2692" ht="12.75" customHeight="1" x14ac:dyDescent="0.2"/>
    <row r="2693" ht="12.75" customHeight="1" x14ac:dyDescent="0.2"/>
    <row r="2694" ht="12.75" customHeight="1" x14ac:dyDescent="0.2"/>
    <row r="2695" ht="12.75" customHeight="1" x14ac:dyDescent="0.2"/>
    <row r="2696" ht="12.75" customHeight="1" x14ac:dyDescent="0.2"/>
    <row r="2697" ht="12.75" customHeight="1" x14ac:dyDescent="0.2"/>
    <row r="2698" ht="12.75" customHeight="1" x14ac:dyDescent="0.2"/>
    <row r="2699" ht="12.75" customHeight="1" x14ac:dyDescent="0.2"/>
    <row r="2700" ht="12.75" customHeight="1" x14ac:dyDescent="0.2"/>
    <row r="2701" ht="12.75" customHeight="1" x14ac:dyDescent="0.2"/>
    <row r="2702" ht="12.75" customHeight="1" x14ac:dyDescent="0.2"/>
    <row r="2703" ht="12.75" customHeight="1" x14ac:dyDescent="0.2"/>
    <row r="2704" ht="12.75" customHeight="1" x14ac:dyDescent="0.2"/>
    <row r="2705" ht="12.75" customHeight="1" x14ac:dyDescent="0.2"/>
    <row r="2706" ht="12.75" customHeight="1" x14ac:dyDescent="0.2"/>
    <row r="2707" ht="12.75" customHeight="1" x14ac:dyDescent="0.2"/>
    <row r="2708" ht="12.75" customHeight="1" x14ac:dyDescent="0.2"/>
    <row r="2709" ht="12.75" customHeight="1" x14ac:dyDescent="0.2"/>
    <row r="2710" ht="12.75" customHeight="1" x14ac:dyDescent="0.2"/>
    <row r="2711" ht="12.75" customHeight="1" x14ac:dyDescent="0.2"/>
    <row r="2712" ht="12.75" customHeight="1" x14ac:dyDescent="0.2"/>
    <row r="2713" ht="12.75" customHeight="1" x14ac:dyDescent="0.2"/>
    <row r="2714" ht="12.75" customHeight="1" x14ac:dyDescent="0.2"/>
    <row r="2715" ht="12.75" customHeight="1" x14ac:dyDescent="0.2"/>
    <row r="2716" ht="12.75" customHeight="1" x14ac:dyDescent="0.2"/>
    <row r="2717" ht="12.75" customHeight="1" x14ac:dyDescent="0.2"/>
    <row r="2718" ht="12.75" customHeight="1" x14ac:dyDescent="0.2"/>
    <row r="2719" ht="12.75" customHeight="1" x14ac:dyDescent="0.2"/>
    <row r="2720" ht="12.75" customHeight="1" x14ac:dyDescent="0.2"/>
    <row r="2721" ht="12.75" customHeight="1" x14ac:dyDescent="0.2"/>
    <row r="2722" ht="12.75" customHeight="1" x14ac:dyDescent="0.2"/>
    <row r="2723" ht="12.75" customHeight="1" x14ac:dyDescent="0.2"/>
    <row r="2724" ht="12.75" customHeight="1" x14ac:dyDescent="0.2"/>
    <row r="2725" ht="12.75" customHeight="1" x14ac:dyDescent="0.2"/>
    <row r="2726" ht="12.75" customHeight="1" x14ac:dyDescent="0.2"/>
    <row r="2727" ht="12.75" customHeight="1" x14ac:dyDescent="0.2"/>
    <row r="2728" ht="12.75" customHeight="1" x14ac:dyDescent="0.2"/>
    <row r="2729" ht="12.75" customHeight="1" x14ac:dyDescent="0.2"/>
    <row r="2730" ht="12.75" customHeight="1" x14ac:dyDescent="0.2"/>
    <row r="2731" ht="12.75" customHeight="1" x14ac:dyDescent="0.2"/>
    <row r="2732" ht="12.75" customHeight="1" x14ac:dyDescent="0.2"/>
    <row r="2733" ht="12.75" customHeight="1" x14ac:dyDescent="0.2"/>
    <row r="2734" ht="12.75" customHeight="1" x14ac:dyDescent="0.2"/>
    <row r="2735" ht="12.75" customHeight="1" x14ac:dyDescent="0.2"/>
    <row r="2736" ht="12.75" customHeight="1" x14ac:dyDescent="0.2"/>
    <row r="2737" ht="12.75" customHeight="1" x14ac:dyDescent="0.2"/>
    <row r="2738" ht="12.75" customHeight="1" x14ac:dyDescent="0.2"/>
    <row r="2739" ht="12.75" customHeight="1" x14ac:dyDescent="0.2"/>
    <row r="2740" ht="12.75" customHeight="1" x14ac:dyDescent="0.2"/>
    <row r="2741" ht="12.75" customHeight="1" x14ac:dyDescent="0.2"/>
    <row r="2742" ht="12.75" customHeight="1" x14ac:dyDescent="0.2"/>
    <row r="2743" ht="12.75" customHeight="1" x14ac:dyDescent="0.2"/>
    <row r="2744" ht="12.75" customHeight="1" x14ac:dyDescent="0.2"/>
    <row r="2745" ht="12.75" customHeight="1" x14ac:dyDescent="0.2"/>
    <row r="2746" ht="12.75" customHeight="1" x14ac:dyDescent="0.2"/>
    <row r="2747" ht="12.75" customHeight="1" x14ac:dyDescent="0.2"/>
    <row r="2748" ht="12.75" customHeight="1" x14ac:dyDescent="0.2"/>
    <row r="2749" ht="12.75" customHeight="1" x14ac:dyDescent="0.2"/>
    <row r="2750" ht="12.75" customHeight="1" x14ac:dyDescent="0.2"/>
    <row r="2751" ht="12.75" customHeight="1" x14ac:dyDescent="0.2"/>
    <row r="2752" ht="12.75" customHeight="1" x14ac:dyDescent="0.2"/>
    <row r="2753" ht="12.75" customHeight="1" x14ac:dyDescent="0.2"/>
    <row r="2754" ht="12.75" customHeight="1" x14ac:dyDescent="0.2"/>
    <row r="2755" ht="12.75" customHeight="1" x14ac:dyDescent="0.2"/>
    <row r="2756" ht="12.75" customHeight="1" x14ac:dyDescent="0.2"/>
    <row r="2757" ht="12.75" customHeight="1" x14ac:dyDescent="0.2"/>
    <row r="2758" ht="12.75" customHeight="1" x14ac:dyDescent="0.2"/>
    <row r="2759" ht="12.75" customHeight="1" x14ac:dyDescent="0.2"/>
    <row r="2760" ht="12.75" customHeight="1" x14ac:dyDescent="0.2"/>
    <row r="2761" ht="12.75" customHeight="1" x14ac:dyDescent="0.2"/>
    <row r="2762" ht="12.75" customHeight="1" x14ac:dyDescent="0.2"/>
    <row r="2763" ht="12.75" customHeight="1" x14ac:dyDescent="0.2"/>
    <row r="2764" ht="12.75" customHeight="1" x14ac:dyDescent="0.2"/>
    <row r="2765" ht="12.75" customHeight="1" x14ac:dyDescent="0.2"/>
    <row r="2766" ht="12.75" customHeight="1" x14ac:dyDescent="0.2"/>
    <row r="2767" ht="12.75" customHeight="1" x14ac:dyDescent="0.2"/>
    <row r="2768" ht="12.75" customHeight="1" x14ac:dyDescent="0.2"/>
    <row r="2769" ht="12.75" customHeight="1" x14ac:dyDescent="0.2"/>
    <row r="2770" ht="12.75" customHeight="1" x14ac:dyDescent="0.2"/>
    <row r="2771" ht="12.75" customHeight="1" x14ac:dyDescent="0.2"/>
    <row r="2772" ht="12.75" customHeight="1" x14ac:dyDescent="0.2"/>
    <row r="2773" ht="12.75" customHeight="1" x14ac:dyDescent="0.2"/>
    <row r="2774" ht="12.75" customHeight="1" x14ac:dyDescent="0.2"/>
    <row r="2775" ht="12.75" customHeight="1" x14ac:dyDescent="0.2"/>
    <row r="2776" ht="12.75" customHeight="1" x14ac:dyDescent="0.2"/>
    <row r="2777" ht="12.75" customHeight="1" x14ac:dyDescent="0.2"/>
    <row r="2778" ht="12.75" customHeight="1" x14ac:dyDescent="0.2"/>
    <row r="2779" ht="12.75" customHeight="1" x14ac:dyDescent="0.2"/>
    <row r="2780" ht="12.75" customHeight="1" x14ac:dyDescent="0.2"/>
    <row r="2781" ht="12.75" customHeight="1" x14ac:dyDescent="0.2"/>
    <row r="2782" ht="12.75" customHeight="1" x14ac:dyDescent="0.2"/>
    <row r="2783" ht="12.75" customHeight="1" x14ac:dyDescent="0.2"/>
    <row r="2784" ht="12.75" customHeight="1" x14ac:dyDescent="0.2"/>
    <row r="2785" ht="12.75" customHeight="1" x14ac:dyDescent="0.2"/>
    <row r="2786" ht="12.75" customHeight="1" x14ac:dyDescent="0.2"/>
    <row r="2787" ht="12.75" customHeight="1" x14ac:dyDescent="0.2"/>
    <row r="2788" ht="12.75" customHeight="1" x14ac:dyDescent="0.2"/>
    <row r="2789" ht="12.75" customHeight="1" x14ac:dyDescent="0.2"/>
    <row r="2790" ht="12.75" customHeight="1" x14ac:dyDescent="0.2"/>
    <row r="2791" ht="12.75" customHeight="1" x14ac:dyDescent="0.2"/>
    <row r="2792" ht="12.75" customHeight="1" x14ac:dyDescent="0.2"/>
    <row r="2793" ht="12.75" customHeight="1" x14ac:dyDescent="0.2"/>
    <row r="2794" ht="12.75" customHeight="1" x14ac:dyDescent="0.2"/>
    <row r="2795" ht="12.75" customHeight="1" x14ac:dyDescent="0.2"/>
    <row r="2796" ht="12.75" customHeight="1" x14ac:dyDescent="0.2"/>
    <row r="2797" ht="12.75" customHeight="1" x14ac:dyDescent="0.2"/>
    <row r="2798" ht="12.75" customHeight="1" x14ac:dyDescent="0.2"/>
    <row r="2799" ht="12.75" customHeight="1" x14ac:dyDescent="0.2"/>
    <row r="2800" ht="12.75" customHeight="1" x14ac:dyDescent="0.2"/>
    <row r="2801" ht="12.75" customHeight="1" x14ac:dyDescent="0.2"/>
    <row r="2802" ht="12.75" customHeight="1" x14ac:dyDescent="0.2"/>
    <row r="2803" ht="12.75" customHeight="1" x14ac:dyDescent="0.2"/>
    <row r="2804" ht="12.75" customHeight="1" x14ac:dyDescent="0.2"/>
    <row r="2805" ht="12.75" customHeight="1" x14ac:dyDescent="0.2"/>
    <row r="2806" ht="12.75" customHeight="1" x14ac:dyDescent="0.2"/>
    <row r="2807" ht="12.75" customHeight="1" x14ac:dyDescent="0.2"/>
    <row r="2808" ht="12.75" customHeight="1" x14ac:dyDescent="0.2"/>
    <row r="2809" ht="12.75" customHeight="1" x14ac:dyDescent="0.2"/>
    <row r="2810" ht="12.75" customHeight="1" x14ac:dyDescent="0.2"/>
    <row r="2811" ht="12.75" customHeight="1" x14ac:dyDescent="0.2"/>
    <row r="2812" ht="12.75" customHeight="1" x14ac:dyDescent="0.2"/>
    <row r="2813" ht="12.75" customHeight="1" x14ac:dyDescent="0.2"/>
    <row r="2814" ht="12.75" customHeight="1" x14ac:dyDescent="0.2"/>
    <row r="2815" ht="12.75" customHeight="1" x14ac:dyDescent="0.2"/>
    <row r="2816" ht="12.75" customHeight="1" x14ac:dyDescent="0.2"/>
    <row r="2817" ht="12.75" customHeight="1" x14ac:dyDescent="0.2"/>
    <row r="2818" ht="12.75" customHeight="1" x14ac:dyDescent="0.2"/>
    <row r="2819" ht="12.75" customHeight="1" x14ac:dyDescent="0.2"/>
    <row r="2820" ht="12.75" customHeight="1" x14ac:dyDescent="0.2"/>
    <row r="2821" ht="12.75" customHeight="1" x14ac:dyDescent="0.2"/>
    <row r="2822" ht="12.75" customHeight="1" x14ac:dyDescent="0.2"/>
    <row r="2823" ht="12.75" customHeight="1" x14ac:dyDescent="0.2"/>
    <row r="2824" ht="12.75" customHeight="1" x14ac:dyDescent="0.2"/>
    <row r="2825" ht="12.75" customHeight="1" x14ac:dyDescent="0.2"/>
    <row r="2826" ht="12.75" customHeight="1" x14ac:dyDescent="0.2"/>
    <row r="2827" ht="12.75" customHeight="1" x14ac:dyDescent="0.2"/>
    <row r="2828" ht="12.75" customHeight="1" x14ac:dyDescent="0.2"/>
    <row r="2829" ht="12.75" customHeight="1" x14ac:dyDescent="0.2"/>
    <row r="2830" ht="12.75" customHeight="1" x14ac:dyDescent="0.2"/>
    <row r="2831" ht="12.75" customHeight="1" x14ac:dyDescent="0.2"/>
    <row r="2832" ht="12.75" customHeight="1" x14ac:dyDescent="0.2"/>
    <row r="2833" ht="12.75" customHeight="1" x14ac:dyDescent="0.2"/>
    <row r="2834" ht="12.75" customHeight="1" x14ac:dyDescent="0.2"/>
    <row r="2835" ht="12.75" customHeight="1" x14ac:dyDescent="0.2"/>
    <row r="2836" ht="12.75" customHeight="1" x14ac:dyDescent="0.2"/>
    <row r="2837" ht="12.75" customHeight="1" x14ac:dyDescent="0.2"/>
    <row r="2838" ht="12.75" customHeight="1" x14ac:dyDescent="0.2"/>
    <row r="2839" ht="12.75" customHeight="1" x14ac:dyDescent="0.2"/>
    <row r="2840" ht="12.75" customHeight="1" x14ac:dyDescent="0.2"/>
    <row r="2841" ht="12.75" customHeight="1" x14ac:dyDescent="0.2"/>
    <row r="2842" ht="12.75" customHeight="1" x14ac:dyDescent="0.2"/>
    <row r="2843" ht="12.75" customHeight="1" x14ac:dyDescent="0.2"/>
    <row r="2844" ht="12.75" customHeight="1" x14ac:dyDescent="0.2"/>
    <row r="2845" ht="12.75" customHeight="1" x14ac:dyDescent="0.2"/>
    <row r="2846" ht="12.75" customHeight="1" x14ac:dyDescent="0.2"/>
    <row r="2847" ht="12.75" customHeight="1" x14ac:dyDescent="0.2"/>
    <row r="2848" ht="12.75" customHeight="1" x14ac:dyDescent="0.2"/>
    <row r="2849" ht="12.75" customHeight="1" x14ac:dyDescent="0.2"/>
    <row r="2850" ht="12.75" customHeight="1" x14ac:dyDescent="0.2"/>
    <row r="2851" ht="12.75" customHeight="1" x14ac:dyDescent="0.2"/>
    <row r="2852" ht="12.75" customHeight="1" x14ac:dyDescent="0.2"/>
    <row r="2853" ht="12.75" customHeight="1" x14ac:dyDescent="0.2"/>
    <row r="2854" ht="12.75" customHeight="1" x14ac:dyDescent="0.2"/>
    <row r="2855" ht="12.75" customHeight="1" x14ac:dyDescent="0.2"/>
    <row r="2856" ht="12.75" customHeight="1" x14ac:dyDescent="0.2"/>
    <row r="2857" ht="12.75" customHeight="1" x14ac:dyDescent="0.2"/>
    <row r="2858" ht="12.75" customHeight="1" x14ac:dyDescent="0.2"/>
    <row r="2859" ht="12.75" customHeight="1" x14ac:dyDescent="0.2"/>
    <row r="2860" ht="12.75" customHeight="1" x14ac:dyDescent="0.2"/>
    <row r="2861" ht="12.75" customHeight="1" x14ac:dyDescent="0.2"/>
    <row r="2862" ht="12.75" customHeight="1" x14ac:dyDescent="0.2"/>
    <row r="2863" ht="12.75" customHeight="1" x14ac:dyDescent="0.2"/>
    <row r="2864" ht="12.75" customHeight="1" x14ac:dyDescent="0.2"/>
    <row r="2865" ht="12.75" customHeight="1" x14ac:dyDescent="0.2"/>
    <row r="2866" ht="12.75" customHeight="1" x14ac:dyDescent="0.2"/>
    <row r="2867" ht="12.75" customHeight="1" x14ac:dyDescent="0.2"/>
    <row r="2868" ht="12.75" customHeight="1" x14ac:dyDescent="0.2"/>
    <row r="2869" ht="12.75" customHeight="1" x14ac:dyDescent="0.2"/>
    <row r="2870" ht="12.75" customHeight="1" x14ac:dyDescent="0.2"/>
    <row r="2871" ht="12.75" customHeight="1" x14ac:dyDescent="0.2"/>
    <row r="2872" ht="12.75" customHeight="1" x14ac:dyDescent="0.2"/>
    <row r="2873" ht="12.75" customHeight="1" x14ac:dyDescent="0.2"/>
    <row r="2874" ht="12.75" customHeight="1" x14ac:dyDescent="0.2"/>
    <row r="2875" ht="12.75" customHeight="1" x14ac:dyDescent="0.2"/>
    <row r="2876" ht="12.75" customHeight="1" x14ac:dyDescent="0.2"/>
    <row r="2877" ht="12.75" customHeight="1" x14ac:dyDescent="0.2"/>
    <row r="2878" ht="12.75" customHeight="1" x14ac:dyDescent="0.2"/>
    <row r="2879" ht="12.75" customHeight="1" x14ac:dyDescent="0.2"/>
    <row r="2880" ht="12.75" customHeight="1" x14ac:dyDescent="0.2"/>
    <row r="2881" ht="12.75" customHeight="1" x14ac:dyDescent="0.2"/>
    <row r="2882" ht="12.75" customHeight="1" x14ac:dyDescent="0.2"/>
    <row r="2883" ht="12.75" customHeight="1" x14ac:dyDescent="0.2"/>
    <row r="2884" ht="12.75" customHeight="1" x14ac:dyDescent="0.2"/>
    <row r="2885" ht="12.75" customHeight="1" x14ac:dyDescent="0.2"/>
    <row r="2886" ht="12.75" customHeight="1" x14ac:dyDescent="0.2"/>
    <row r="2887" ht="12.75" customHeight="1" x14ac:dyDescent="0.2"/>
    <row r="2888" ht="12.75" customHeight="1" x14ac:dyDescent="0.2"/>
    <row r="2889" ht="12.75" customHeight="1" x14ac:dyDescent="0.2"/>
    <row r="2890" ht="12.75" customHeight="1" x14ac:dyDescent="0.2"/>
    <row r="2891" ht="12.75" customHeight="1" x14ac:dyDescent="0.2"/>
    <row r="2892" ht="12.75" customHeight="1" x14ac:dyDescent="0.2"/>
    <row r="2893" ht="12.75" customHeight="1" x14ac:dyDescent="0.2"/>
    <row r="2894" ht="12.75" customHeight="1" x14ac:dyDescent="0.2"/>
    <row r="2895" ht="12.75" customHeight="1" x14ac:dyDescent="0.2"/>
    <row r="2896" ht="12.75" customHeight="1" x14ac:dyDescent="0.2"/>
    <row r="2897" ht="12.75" customHeight="1" x14ac:dyDescent="0.2"/>
    <row r="2898" ht="12.75" customHeight="1" x14ac:dyDescent="0.2"/>
    <row r="2899" ht="12.75" customHeight="1" x14ac:dyDescent="0.2"/>
    <row r="2900" ht="12.75" customHeight="1" x14ac:dyDescent="0.2"/>
    <row r="2901" ht="12.75" customHeight="1" x14ac:dyDescent="0.2"/>
    <row r="2902" ht="12.75" customHeight="1" x14ac:dyDescent="0.2"/>
    <row r="2903" ht="12.75" customHeight="1" x14ac:dyDescent="0.2"/>
    <row r="2904" ht="12.75" customHeight="1" x14ac:dyDescent="0.2"/>
    <row r="2905" ht="12.75" customHeight="1" x14ac:dyDescent="0.2"/>
    <row r="2906" ht="12.75" customHeight="1" x14ac:dyDescent="0.2"/>
    <row r="2907" ht="12.75" customHeight="1" x14ac:dyDescent="0.2"/>
    <row r="2908" ht="12.75" customHeight="1" x14ac:dyDescent="0.2"/>
    <row r="2909" ht="12.75" customHeight="1" x14ac:dyDescent="0.2"/>
    <row r="2910" ht="12.75" customHeight="1" x14ac:dyDescent="0.2"/>
    <row r="2911" ht="12.75" customHeight="1" x14ac:dyDescent="0.2"/>
    <row r="2912" ht="12.75" customHeight="1" x14ac:dyDescent="0.2"/>
    <row r="2913" ht="12.75" customHeight="1" x14ac:dyDescent="0.2"/>
    <row r="2914" ht="12.75" customHeight="1" x14ac:dyDescent="0.2"/>
    <row r="2915" ht="12.75" customHeight="1" x14ac:dyDescent="0.2"/>
    <row r="2916" ht="12.75" customHeight="1" x14ac:dyDescent="0.2"/>
    <row r="2917" ht="12.75" customHeight="1" x14ac:dyDescent="0.2"/>
    <row r="2918" ht="12.75" customHeight="1" x14ac:dyDescent="0.2"/>
    <row r="2919" ht="12.75" customHeight="1" x14ac:dyDescent="0.2"/>
    <row r="2920" ht="12.75" customHeight="1" x14ac:dyDescent="0.2"/>
    <row r="2921" ht="12.75" customHeight="1" x14ac:dyDescent="0.2"/>
    <row r="2922" ht="12.75" customHeight="1" x14ac:dyDescent="0.2"/>
    <row r="2923" ht="12.75" customHeight="1" x14ac:dyDescent="0.2"/>
    <row r="2924" ht="12.75" customHeight="1" x14ac:dyDescent="0.2"/>
    <row r="2925" ht="12.75" customHeight="1" x14ac:dyDescent="0.2"/>
    <row r="2926" ht="12.75" customHeight="1" x14ac:dyDescent="0.2"/>
    <row r="2927" ht="12.75" customHeight="1" x14ac:dyDescent="0.2"/>
    <row r="2928" ht="12.75" customHeight="1" x14ac:dyDescent="0.2"/>
    <row r="2929" ht="12.75" customHeight="1" x14ac:dyDescent="0.2"/>
    <row r="2930" ht="12.75" customHeight="1" x14ac:dyDescent="0.2"/>
    <row r="2931" ht="12.75" customHeight="1" x14ac:dyDescent="0.2"/>
    <row r="2932" ht="12.75" customHeight="1" x14ac:dyDescent="0.2"/>
    <row r="2933" ht="12.75" customHeight="1" x14ac:dyDescent="0.2"/>
    <row r="2934" ht="12.75" customHeight="1" x14ac:dyDescent="0.2"/>
    <row r="2935" ht="12.75" customHeight="1" x14ac:dyDescent="0.2"/>
    <row r="2936" ht="12.75" customHeight="1" x14ac:dyDescent="0.2"/>
    <row r="2937" ht="12.75" customHeight="1" x14ac:dyDescent="0.2"/>
    <row r="2938" ht="12.75" customHeight="1" x14ac:dyDescent="0.2"/>
    <row r="2939" ht="12.75" customHeight="1" x14ac:dyDescent="0.2"/>
    <row r="2940" ht="12.75" customHeight="1" x14ac:dyDescent="0.2"/>
    <row r="2941" ht="12.75" customHeight="1" x14ac:dyDescent="0.2"/>
    <row r="2942" ht="12.75" customHeight="1" x14ac:dyDescent="0.2"/>
    <row r="2943" ht="12.75" customHeight="1" x14ac:dyDescent="0.2"/>
    <row r="2944" ht="12.75" customHeight="1" x14ac:dyDescent="0.2"/>
    <row r="2945" ht="12.75" customHeight="1" x14ac:dyDescent="0.2"/>
    <row r="2946" ht="12.75" customHeight="1" x14ac:dyDescent="0.2"/>
    <row r="2947" ht="12.75" customHeight="1" x14ac:dyDescent="0.2"/>
    <row r="2948" ht="12.75" customHeight="1" x14ac:dyDescent="0.2"/>
    <row r="2949" ht="12.75" customHeight="1" x14ac:dyDescent="0.2"/>
    <row r="2950" ht="12.75" customHeight="1" x14ac:dyDescent="0.2"/>
    <row r="2951" ht="12.75" customHeight="1" x14ac:dyDescent="0.2"/>
    <row r="2952" ht="12.75" customHeight="1" x14ac:dyDescent="0.2"/>
    <row r="2953" ht="12.75" customHeight="1" x14ac:dyDescent="0.2"/>
    <row r="2954" ht="12.75" customHeight="1" x14ac:dyDescent="0.2"/>
    <row r="2955" ht="12.75" customHeight="1" x14ac:dyDescent="0.2"/>
    <row r="2956" ht="12.75" customHeight="1" x14ac:dyDescent="0.2"/>
    <row r="2957" ht="12.75" customHeight="1" x14ac:dyDescent="0.2"/>
    <row r="2958" ht="12.75" customHeight="1" x14ac:dyDescent="0.2"/>
    <row r="2959" ht="12.75" customHeight="1" x14ac:dyDescent="0.2"/>
    <row r="2960" ht="12.75" customHeight="1" x14ac:dyDescent="0.2"/>
    <row r="2961" ht="12.75" customHeight="1" x14ac:dyDescent="0.2"/>
    <row r="2962" ht="12.75" customHeight="1" x14ac:dyDescent="0.2"/>
    <row r="2963" ht="12.75" customHeight="1" x14ac:dyDescent="0.2"/>
    <row r="2964" ht="12.75" customHeight="1" x14ac:dyDescent="0.2"/>
    <row r="2965" ht="12.75" customHeight="1" x14ac:dyDescent="0.2"/>
    <row r="2966" ht="12.75" customHeight="1" x14ac:dyDescent="0.2"/>
    <row r="2967" ht="12.75" customHeight="1" x14ac:dyDescent="0.2"/>
    <row r="2968" ht="12.75" customHeight="1" x14ac:dyDescent="0.2"/>
    <row r="2969" ht="12.75" customHeight="1" x14ac:dyDescent="0.2"/>
    <row r="2970" ht="12.75" customHeight="1" x14ac:dyDescent="0.2"/>
    <row r="2971" ht="12.75" customHeight="1" x14ac:dyDescent="0.2"/>
    <row r="2972" ht="12.75" customHeight="1" x14ac:dyDescent="0.2"/>
    <row r="2973" ht="12.75" customHeight="1" x14ac:dyDescent="0.2"/>
    <row r="2974" ht="12.75" customHeight="1" x14ac:dyDescent="0.2"/>
    <row r="2975" ht="12.75" customHeight="1" x14ac:dyDescent="0.2"/>
    <row r="2976" ht="12.75" customHeight="1" x14ac:dyDescent="0.2"/>
    <row r="2977" ht="12.75" customHeight="1" x14ac:dyDescent="0.2"/>
    <row r="2978" ht="12.75" customHeight="1" x14ac:dyDescent="0.2"/>
    <row r="2979" ht="12.75" customHeight="1" x14ac:dyDescent="0.2"/>
    <row r="2980" ht="12.75" customHeight="1" x14ac:dyDescent="0.2"/>
    <row r="2981" ht="12.75" customHeight="1" x14ac:dyDescent="0.2"/>
    <row r="2982" ht="12.75" customHeight="1" x14ac:dyDescent="0.2"/>
    <row r="2983" ht="12.75" customHeight="1" x14ac:dyDescent="0.2"/>
    <row r="2984" ht="12.75" customHeight="1" x14ac:dyDescent="0.2"/>
    <row r="2985" ht="12.75" customHeight="1" x14ac:dyDescent="0.2"/>
    <row r="2986" ht="12.75" customHeight="1" x14ac:dyDescent="0.2"/>
    <row r="2987" ht="12.75" customHeight="1" x14ac:dyDescent="0.2"/>
    <row r="2988" ht="12.75" customHeight="1" x14ac:dyDescent="0.2"/>
    <row r="2989" ht="12.75" customHeight="1" x14ac:dyDescent="0.2"/>
    <row r="2990" ht="12.75" customHeight="1" x14ac:dyDescent="0.2"/>
    <row r="2991" ht="12.75" customHeight="1" x14ac:dyDescent="0.2"/>
    <row r="2992" ht="12.75" customHeight="1" x14ac:dyDescent="0.2"/>
    <row r="2993" ht="12.75" customHeight="1" x14ac:dyDescent="0.2"/>
    <row r="2994" ht="12.75" customHeight="1" x14ac:dyDescent="0.2"/>
    <row r="2995" ht="12.75" customHeight="1" x14ac:dyDescent="0.2"/>
    <row r="2996" ht="12.75" customHeight="1" x14ac:dyDescent="0.2"/>
    <row r="2997" ht="12.75" customHeight="1" x14ac:dyDescent="0.2"/>
    <row r="2998" ht="12.75" customHeight="1" x14ac:dyDescent="0.2"/>
    <row r="2999" ht="12.75" customHeight="1" x14ac:dyDescent="0.2"/>
    <row r="3000" ht="12.75" customHeight="1" x14ac:dyDescent="0.2"/>
    <row r="3001" ht="12.75" customHeight="1" x14ac:dyDescent="0.2"/>
    <row r="3002" ht="12.75" customHeight="1" x14ac:dyDescent="0.2"/>
    <row r="3003" ht="12.75" customHeight="1" x14ac:dyDescent="0.2"/>
    <row r="3004" ht="12.75" customHeight="1" x14ac:dyDescent="0.2"/>
    <row r="3005" ht="12.75" customHeight="1" x14ac:dyDescent="0.2"/>
    <row r="3006" ht="12.75" customHeight="1" x14ac:dyDescent="0.2"/>
    <row r="3007" ht="12.75" customHeight="1" x14ac:dyDescent="0.2"/>
    <row r="3008" ht="12.75" customHeight="1" x14ac:dyDescent="0.2"/>
    <row r="3009" ht="12.75" customHeight="1" x14ac:dyDescent="0.2"/>
    <row r="3010" ht="12.75" customHeight="1" x14ac:dyDescent="0.2"/>
    <row r="3011" ht="12.75" customHeight="1" x14ac:dyDescent="0.2"/>
    <row r="3012" ht="12.75" customHeight="1" x14ac:dyDescent="0.2"/>
    <row r="3013" ht="12.75" customHeight="1" x14ac:dyDescent="0.2"/>
    <row r="3014" ht="12.75" customHeight="1" x14ac:dyDescent="0.2"/>
    <row r="3015" ht="12.75" customHeight="1" x14ac:dyDescent="0.2"/>
    <row r="3016" ht="12.75" customHeight="1" x14ac:dyDescent="0.2"/>
    <row r="3017" ht="12.75" customHeight="1" x14ac:dyDescent="0.2"/>
    <row r="3018" ht="12.75" customHeight="1" x14ac:dyDescent="0.2"/>
    <row r="3019" ht="12.75" customHeight="1" x14ac:dyDescent="0.2"/>
    <row r="3020" ht="12.75" customHeight="1" x14ac:dyDescent="0.2"/>
    <row r="3021" ht="12.75" customHeight="1" x14ac:dyDescent="0.2"/>
    <row r="3022" ht="12.75" customHeight="1" x14ac:dyDescent="0.2"/>
    <row r="3023" ht="12.75" customHeight="1" x14ac:dyDescent="0.2"/>
    <row r="3024" ht="12.75" customHeight="1" x14ac:dyDescent="0.2"/>
    <row r="3025" ht="12.75" customHeight="1" x14ac:dyDescent="0.2"/>
    <row r="3026" ht="12.75" customHeight="1" x14ac:dyDescent="0.2"/>
    <row r="3027" ht="12.75" customHeight="1" x14ac:dyDescent="0.2"/>
    <row r="3028" ht="12.75" customHeight="1" x14ac:dyDescent="0.2"/>
    <row r="3029" ht="12.75" customHeight="1" x14ac:dyDescent="0.2"/>
    <row r="3030" ht="12.75" customHeight="1" x14ac:dyDescent="0.2"/>
    <row r="3031" ht="12.75" customHeight="1" x14ac:dyDescent="0.2"/>
    <row r="3032" ht="12.75" customHeight="1" x14ac:dyDescent="0.2"/>
    <row r="3033" ht="12.75" customHeight="1" x14ac:dyDescent="0.2"/>
    <row r="3034" ht="12.75" customHeight="1" x14ac:dyDescent="0.2"/>
    <row r="3035" ht="12.75" customHeight="1" x14ac:dyDescent="0.2"/>
    <row r="3036" ht="12.75" customHeight="1" x14ac:dyDescent="0.2"/>
    <row r="3037" ht="12.75" customHeight="1" x14ac:dyDescent="0.2"/>
    <row r="3038" ht="12.75" customHeight="1" x14ac:dyDescent="0.2"/>
    <row r="3039" ht="12.75" customHeight="1" x14ac:dyDescent="0.2"/>
    <row r="3040" ht="12.75" customHeight="1" x14ac:dyDescent="0.2"/>
    <row r="3041" ht="12.75" customHeight="1" x14ac:dyDescent="0.2"/>
    <row r="3042" ht="12.75" customHeight="1" x14ac:dyDescent="0.2"/>
    <row r="3043" ht="12.75" customHeight="1" x14ac:dyDescent="0.2"/>
    <row r="3044" ht="12.75" customHeight="1" x14ac:dyDescent="0.2"/>
    <row r="3045" ht="12.75" customHeight="1" x14ac:dyDescent="0.2"/>
    <row r="3046" ht="12.75" customHeight="1" x14ac:dyDescent="0.2"/>
    <row r="3047" ht="12.75" customHeight="1" x14ac:dyDescent="0.2"/>
    <row r="3048" ht="12.75" customHeight="1" x14ac:dyDescent="0.2"/>
    <row r="3049" ht="12.75" customHeight="1" x14ac:dyDescent="0.2"/>
    <row r="3050" ht="12.75" customHeight="1" x14ac:dyDescent="0.2"/>
    <row r="3051" ht="12.75" customHeight="1" x14ac:dyDescent="0.2"/>
    <row r="3052" ht="12.75" customHeight="1" x14ac:dyDescent="0.2"/>
    <row r="3053" ht="12.75" customHeight="1" x14ac:dyDescent="0.2"/>
    <row r="3054" ht="12.75" customHeight="1" x14ac:dyDescent="0.2"/>
    <row r="3055" ht="12.75" customHeight="1" x14ac:dyDescent="0.2"/>
    <row r="3056" ht="12.75" customHeight="1" x14ac:dyDescent="0.2"/>
    <row r="3057" ht="12.75" customHeight="1" x14ac:dyDescent="0.2"/>
    <row r="3058" ht="12.75" customHeight="1" x14ac:dyDescent="0.2"/>
    <row r="3059" ht="12.75" customHeight="1" x14ac:dyDescent="0.2"/>
    <row r="3060" ht="12.75" customHeight="1" x14ac:dyDescent="0.2"/>
    <row r="3061" ht="12.75" customHeight="1" x14ac:dyDescent="0.2"/>
    <row r="3062" ht="12.75" customHeight="1" x14ac:dyDescent="0.2"/>
    <row r="3063" ht="12.75" customHeight="1" x14ac:dyDescent="0.2"/>
    <row r="3064" ht="12.75" customHeight="1" x14ac:dyDescent="0.2"/>
    <row r="3065" ht="12.75" customHeight="1" x14ac:dyDescent="0.2"/>
    <row r="3066" ht="12.75" customHeight="1" x14ac:dyDescent="0.2"/>
    <row r="3067" ht="12.75" customHeight="1" x14ac:dyDescent="0.2"/>
    <row r="3068" ht="12.75" customHeight="1" x14ac:dyDescent="0.2"/>
    <row r="3069" ht="12.75" customHeight="1" x14ac:dyDescent="0.2"/>
    <row r="3070" ht="12.75" customHeight="1" x14ac:dyDescent="0.2"/>
    <row r="3071" ht="12.75" customHeight="1" x14ac:dyDescent="0.2"/>
    <row r="3072" ht="12.75" customHeight="1" x14ac:dyDescent="0.2"/>
    <row r="3073" ht="12.75" customHeight="1" x14ac:dyDescent="0.2"/>
    <row r="3074" ht="12.75" customHeight="1" x14ac:dyDescent="0.2"/>
    <row r="3075" ht="12.75" customHeight="1" x14ac:dyDescent="0.2"/>
    <row r="3076" ht="12.75" customHeight="1" x14ac:dyDescent="0.2"/>
    <row r="3077" ht="12.75" customHeight="1" x14ac:dyDescent="0.2"/>
    <row r="3078" ht="12.75" customHeight="1" x14ac:dyDescent="0.2"/>
    <row r="3079" ht="12.75" customHeight="1" x14ac:dyDescent="0.2"/>
    <row r="3080" ht="12.75" customHeight="1" x14ac:dyDescent="0.2"/>
    <row r="3081" ht="12.75" customHeight="1" x14ac:dyDescent="0.2"/>
    <row r="3082" ht="12.75" customHeight="1" x14ac:dyDescent="0.2"/>
    <row r="3083" ht="12.75" customHeight="1" x14ac:dyDescent="0.2"/>
    <row r="3084" ht="12.75" customHeight="1" x14ac:dyDescent="0.2"/>
    <row r="3085" ht="12.75" customHeight="1" x14ac:dyDescent="0.2"/>
    <row r="3086" ht="12.75" customHeight="1" x14ac:dyDescent="0.2"/>
    <row r="3087" ht="12.75" customHeight="1" x14ac:dyDescent="0.2"/>
    <row r="3088" ht="12.75" customHeight="1" x14ac:dyDescent="0.2"/>
    <row r="3089" ht="12.75" customHeight="1" x14ac:dyDescent="0.2"/>
    <row r="3090" ht="12.75" customHeight="1" x14ac:dyDescent="0.2"/>
    <row r="3091" ht="12.75" customHeight="1" x14ac:dyDescent="0.2"/>
    <row r="3092" ht="12.75" customHeight="1" x14ac:dyDescent="0.2"/>
    <row r="3093" ht="12.75" customHeight="1" x14ac:dyDescent="0.2"/>
    <row r="3094" ht="12.75" customHeight="1" x14ac:dyDescent="0.2"/>
    <row r="3095" ht="12.75" customHeight="1" x14ac:dyDescent="0.2"/>
    <row r="3096" ht="12.75" customHeight="1" x14ac:dyDescent="0.2"/>
    <row r="3097" ht="12.75" customHeight="1" x14ac:dyDescent="0.2"/>
    <row r="3098" ht="12.75" customHeight="1" x14ac:dyDescent="0.2"/>
    <row r="3099" ht="12.75" customHeight="1" x14ac:dyDescent="0.2"/>
    <row r="3100" ht="12.75" customHeight="1" x14ac:dyDescent="0.2"/>
    <row r="3101" ht="12.75" customHeight="1" x14ac:dyDescent="0.2"/>
    <row r="3102" ht="12.75" customHeight="1" x14ac:dyDescent="0.2"/>
    <row r="3103" ht="12.75" customHeight="1" x14ac:dyDescent="0.2"/>
    <row r="3104" ht="12.75" customHeight="1" x14ac:dyDescent="0.2"/>
    <row r="3105" ht="12.75" customHeight="1" x14ac:dyDescent="0.2"/>
    <row r="3106" ht="12.75" customHeight="1" x14ac:dyDescent="0.2"/>
    <row r="3107" ht="12.75" customHeight="1" x14ac:dyDescent="0.2"/>
    <row r="3108" ht="12.75" customHeight="1" x14ac:dyDescent="0.2"/>
    <row r="3109" ht="12.75" customHeight="1" x14ac:dyDescent="0.2"/>
    <row r="3110" ht="12.75" customHeight="1" x14ac:dyDescent="0.2"/>
    <row r="3111" ht="12.75" customHeight="1" x14ac:dyDescent="0.2"/>
    <row r="3112" ht="12.75" customHeight="1" x14ac:dyDescent="0.2"/>
    <row r="3113" ht="12.75" customHeight="1" x14ac:dyDescent="0.2"/>
    <row r="3114" ht="12.75" customHeight="1" x14ac:dyDescent="0.2"/>
    <row r="3115" ht="12.75" customHeight="1" x14ac:dyDescent="0.2"/>
    <row r="3116" ht="12.75" customHeight="1" x14ac:dyDescent="0.2"/>
    <row r="3117" ht="12.75" customHeight="1" x14ac:dyDescent="0.2"/>
    <row r="3118" ht="12.75" customHeight="1" x14ac:dyDescent="0.2"/>
    <row r="3119" ht="12.75" customHeight="1" x14ac:dyDescent="0.2"/>
    <row r="3120" ht="12.75" customHeight="1" x14ac:dyDescent="0.2"/>
    <row r="3121" ht="12.75" customHeight="1" x14ac:dyDescent="0.2"/>
    <row r="3122" ht="12.75" customHeight="1" x14ac:dyDescent="0.2"/>
    <row r="3123" ht="12.75" customHeight="1" x14ac:dyDescent="0.2"/>
    <row r="3124" ht="12.75" customHeight="1" x14ac:dyDescent="0.2"/>
    <row r="3125" ht="12.75" customHeight="1" x14ac:dyDescent="0.2"/>
    <row r="3126" ht="12.75" customHeight="1" x14ac:dyDescent="0.2"/>
    <row r="3127" ht="12.75" customHeight="1" x14ac:dyDescent="0.2"/>
    <row r="3128" ht="12.75" customHeight="1" x14ac:dyDescent="0.2"/>
    <row r="3129" ht="12.75" customHeight="1" x14ac:dyDescent="0.2"/>
    <row r="3130" ht="12.75" customHeight="1" x14ac:dyDescent="0.2"/>
    <row r="3131" ht="12.75" customHeight="1" x14ac:dyDescent="0.2"/>
    <row r="3132" ht="12.75" customHeight="1" x14ac:dyDescent="0.2"/>
    <row r="3133" ht="12.75" customHeight="1" x14ac:dyDescent="0.2"/>
    <row r="3134" ht="12.75" customHeight="1" x14ac:dyDescent="0.2"/>
    <row r="3135" ht="12.75" customHeight="1" x14ac:dyDescent="0.2"/>
    <row r="3136" ht="12.75" customHeight="1" x14ac:dyDescent="0.2"/>
    <row r="3137" ht="12.75" customHeight="1" x14ac:dyDescent="0.2"/>
    <row r="3138" ht="12.75" customHeight="1" x14ac:dyDescent="0.2"/>
    <row r="3139" ht="12.75" customHeight="1" x14ac:dyDescent="0.2"/>
    <row r="3140" ht="12.75" customHeight="1" x14ac:dyDescent="0.2"/>
    <row r="3141" ht="12.75" customHeight="1" x14ac:dyDescent="0.2"/>
    <row r="3142" ht="12.75" customHeight="1" x14ac:dyDescent="0.2"/>
    <row r="3143" ht="12.75" customHeight="1" x14ac:dyDescent="0.2"/>
    <row r="3144" ht="12.75" customHeight="1" x14ac:dyDescent="0.2"/>
    <row r="3145" ht="12.75" customHeight="1" x14ac:dyDescent="0.2"/>
    <row r="3146" ht="12.75" customHeight="1" x14ac:dyDescent="0.2"/>
    <row r="3147" ht="12.75" customHeight="1" x14ac:dyDescent="0.2"/>
    <row r="3148" ht="12.75" customHeight="1" x14ac:dyDescent="0.2"/>
    <row r="3149" ht="12.75" customHeight="1" x14ac:dyDescent="0.2"/>
    <row r="3150" ht="12.75" customHeight="1" x14ac:dyDescent="0.2"/>
    <row r="3151" ht="12.75" customHeight="1" x14ac:dyDescent="0.2"/>
    <row r="3152" ht="12.75" customHeight="1" x14ac:dyDescent="0.2"/>
    <row r="3153" ht="12.75" customHeight="1" x14ac:dyDescent="0.2"/>
    <row r="3154" ht="12.75" customHeight="1" x14ac:dyDescent="0.2"/>
    <row r="3155" ht="12.75" customHeight="1" x14ac:dyDescent="0.2"/>
    <row r="3156" ht="12.75" customHeight="1" x14ac:dyDescent="0.2"/>
    <row r="3157" ht="12.75" customHeight="1" x14ac:dyDescent="0.2"/>
    <row r="3158" ht="12.75" customHeight="1" x14ac:dyDescent="0.2"/>
    <row r="3159" ht="12.75" customHeight="1" x14ac:dyDescent="0.2"/>
    <row r="3160" ht="12.75" customHeight="1" x14ac:dyDescent="0.2"/>
    <row r="3161" ht="12.75" customHeight="1" x14ac:dyDescent="0.2"/>
    <row r="3162" ht="12.75" customHeight="1" x14ac:dyDescent="0.2"/>
    <row r="3163" ht="12.75" customHeight="1" x14ac:dyDescent="0.2"/>
    <row r="3164" ht="12.75" customHeight="1" x14ac:dyDescent="0.2"/>
    <row r="3165" ht="12.75" customHeight="1" x14ac:dyDescent="0.2"/>
    <row r="3166" ht="12.75" customHeight="1" x14ac:dyDescent="0.2"/>
    <row r="3167" ht="12.75" customHeight="1" x14ac:dyDescent="0.2"/>
    <row r="3168" ht="12.75" customHeight="1" x14ac:dyDescent="0.2"/>
    <row r="3169" ht="12.75" customHeight="1" x14ac:dyDescent="0.2"/>
    <row r="3170" ht="12.75" customHeight="1" x14ac:dyDescent="0.2"/>
    <row r="3171" ht="12.75" customHeight="1" x14ac:dyDescent="0.2"/>
    <row r="3172" ht="12.75" customHeight="1" x14ac:dyDescent="0.2"/>
    <row r="3173" ht="12.75" customHeight="1" x14ac:dyDescent="0.2"/>
    <row r="3174" ht="12.75" customHeight="1" x14ac:dyDescent="0.2"/>
    <row r="3175" ht="12.75" customHeight="1" x14ac:dyDescent="0.2"/>
    <row r="3176" ht="12.75" customHeight="1" x14ac:dyDescent="0.2"/>
    <row r="3177" ht="12.75" customHeight="1" x14ac:dyDescent="0.2"/>
    <row r="3178" ht="12.75" customHeight="1" x14ac:dyDescent="0.2"/>
    <row r="3179" ht="12.75" customHeight="1" x14ac:dyDescent="0.2"/>
    <row r="3180" ht="12.75" customHeight="1" x14ac:dyDescent="0.2"/>
    <row r="3181" ht="12.75" customHeight="1" x14ac:dyDescent="0.2"/>
    <row r="3182" ht="12.75" customHeight="1" x14ac:dyDescent="0.2"/>
    <row r="3183" ht="12.75" customHeight="1" x14ac:dyDescent="0.2"/>
    <row r="3184" ht="12.75" customHeight="1" x14ac:dyDescent="0.2"/>
    <row r="3185" ht="12.75" customHeight="1" x14ac:dyDescent="0.2"/>
    <row r="3186" ht="12.75" customHeight="1" x14ac:dyDescent="0.2"/>
    <row r="3187" ht="12.75" customHeight="1" x14ac:dyDescent="0.2"/>
    <row r="3188" ht="12.75" customHeight="1" x14ac:dyDescent="0.2"/>
    <row r="3189" ht="12.75" customHeight="1" x14ac:dyDescent="0.2"/>
    <row r="3190" ht="12.75" customHeight="1" x14ac:dyDescent="0.2"/>
    <row r="3191" ht="12.75" customHeight="1" x14ac:dyDescent="0.2"/>
    <row r="3192" ht="12.75" customHeight="1" x14ac:dyDescent="0.2"/>
    <row r="3193" ht="12.75" customHeight="1" x14ac:dyDescent="0.2"/>
    <row r="3194" ht="12.75" customHeight="1" x14ac:dyDescent="0.2"/>
    <row r="3195" ht="12.75" customHeight="1" x14ac:dyDescent="0.2"/>
    <row r="3196" ht="12.75" customHeight="1" x14ac:dyDescent="0.2"/>
    <row r="3197" ht="12.75" customHeight="1" x14ac:dyDescent="0.2"/>
    <row r="3198" ht="12.75" customHeight="1" x14ac:dyDescent="0.2"/>
    <row r="3199" ht="12.75" customHeight="1" x14ac:dyDescent="0.2"/>
    <row r="3200" ht="12.75" customHeight="1" x14ac:dyDescent="0.2"/>
    <row r="3201" ht="12.75" customHeight="1" x14ac:dyDescent="0.2"/>
    <row r="3202" ht="12.75" customHeight="1" x14ac:dyDescent="0.2"/>
    <row r="3203" ht="12.75" customHeight="1" x14ac:dyDescent="0.2"/>
    <row r="3204" ht="12.75" customHeight="1" x14ac:dyDescent="0.2"/>
    <row r="3205" ht="12.75" customHeight="1" x14ac:dyDescent="0.2"/>
    <row r="3206" ht="12.75" customHeight="1" x14ac:dyDescent="0.2"/>
    <row r="3207" ht="12.75" customHeight="1" x14ac:dyDescent="0.2"/>
    <row r="3208" ht="12.75" customHeight="1" x14ac:dyDescent="0.2"/>
    <row r="3209" ht="12.75" customHeight="1" x14ac:dyDescent="0.2"/>
    <row r="3210" ht="12.75" customHeight="1" x14ac:dyDescent="0.2"/>
    <row r="3211" ht="12.75" customHeight="1" x14ac:dyDescent="0.2"/>
    <row r="3212" ht="12.75" customHeight="1" x14ac:dyDescent="0.2"/>
    <row r="3213" ht="12.75" customHeight="1" x14ac:dyDescent="0.2"/>
    <row r="3214" ht="12.75" customHeight="1" x14ac:dyDescent="0.2"/>
    <row r="3215" ht="12.75" customHeight="1" x14ac:dyDescent="0.2"/>
    <row r="3216" ht="12.75" customHeight="1" x14ac:dyDescent="0.2"/>
    <row r="3217" ht="12.75" customHeight="1" x14ac:dyDescent="0.2"/>
    <row r="3218" ht="12.75" customHeight="1" x14ac:dyDescent="0.2"/>
    <row r="3219" ht="12.75" customHeight="1" x14ac:dyDescent="0.2"/>
    <row r="3220" ht="12.75" customHeight="1" x14ac:dyDescent="0.2"/>
    <row r="3221" ht="12.75" customHeight="1" x14ac:dyDescent="0.2"/>
    <row r="3222" ht="12.75" customHeight="1" x14ac:dyDescent="0.2"/>
    <row r="3223" ht="12.75" customHeight="1" x14ac:dyDescent="0.2"/>
    <row r="3224" ht="12.75" customHeight="1" x14ac:dyDescent="0.2"/>
    <row r="3225" ht="12.75" customHeight="1" x14ac:dyDescent="0.2"/>
    <row r="3226" ht="12.75" customHeight="1" x14ac:dyDescent="0.2"/>
    <row r="3227" ht="12.75" customHeight="1" x14ac:dyDescent="0.2"/>
    <row r="3228" ht="12.75" customHeight="1" x14ac:dyDescent="0.2"/>
    <row r="3229" ht="12.75" customHeight="1" x14ac:dyDescent="0.2"/>
    <row r="3230" ht="12.75" customHeight="1" x14ac:dyDescent="0.2"/>
    <row r="3231" ht="12.75" customHeight="1" x14ac:dyDescent="0.2"/>
    <row r="3232" ht="12.75" customHeight="1" x14ac:dyDescent="0.2"/>
    <row r="3233" ht="12.75" customHeight="1" x14ac:dyDescent="0.2"/>
    <row r="3234" ht="12.75" customHeight="1" x14ac:dyDescent="0.2"/>
    <row r="3235" ht="12.75" customHeight="1" x14ac:dyDescent="0.2"/>
    <row r="3236" ht="12.75" customHeight="1" x14ac:dyDescent="0.2"/>
    <row r="3237" ht="12.75" customHeight="1" x14ac:dyDescent="0.2"/>
    <row r="3238" ht="12.75" customHeight="1" x14ac:dyDescent="0.2"/>
    <row r="3239" ht="12.75" customHeight="1" x14ac:dyDescent="0.2"/>
    <row r="3240" ht="12.75" customHeight="1" x14ac:dyDescent="0.2"/>
    <row r="3241" ht="12.75" customHeight="1" x14ac:dyDescent="0.2"/>
    <row r="3242" ht="12.75" customHeight="1" x14ac:dyDescent="0.2"/>
    <row r="3243" ht="12.75" customHeight="1" x14ac:dyDescent="0.2"/>
    <row r="3244" ht="12.75" customHeight="1" x14ac:dyDescent="0.2"/>
    <row r="3245" ht="12.75" customHeight="1" x14ac:dyDescent="0.2"/>
    <row r="3246" ht="12.75" customHeight="1" x14ac:dyDescent="0.2"/>
    <row r="3247" ht="12.75" customHeight="1" x14ac:dyDescent="0.2"/>
    <row r="3248" ht="12.75" customHeight="1" x14ac:dyDescent="0.2"/>
    <row r="3249" ht="12.75" customHeight="1" x14ac:dyDescent="0.2"/>
    <row r="3250" ht="12.75" customHeight="1" x14ac:dyDescent="0.2"/>
    <row r="3251" ht="12.75" customHeight="1" x14ac:dyDescent="0.2"/>
    <row r="3252" ht="12.75" customHeight="1" x14ac:dyDescent="0.2"/>
    <row r="3253" ht="12.75" customHeight="1" x14ac:dyDescent="0.2"/>
    <row r="3254" ht="12.75" customHeight="1" x14ac:dyDescent="0.2"/>
    <row r="3255" ht="12.75" customHeight="1" x14ac:dyDescent="0.2"/>
    <row r="3256" ht="12.75" customHeight="1" x14ac:dyDescent="0.2"/>
    <row r="3257" ht="12.75" customHeight="1" x14ac:dyDescent="0.2"/>
    <row r="3258" ht="12.75" customHeight="1" x14ac:dyDescent="0.2"/>
    <row r="3259" ht="12.75" customHeight="1" x14ac:dyDescent="0.2"/>
    <row r="3260" ht="12.75" customHeight="1" x14ac:dyDescent="0.2"/>
    <row r="3261" ht="12.75" customHeight="1" x14ac:dyDescent="0.2"/>
    <row r="3262" ht="12.75" customHeight="1" x14ac:dyDescent="0.2"/>
    <row r="3263" ht="12.75" customHeight="1" x14ac:dyDescent="0.2"/>
    <row r="3264" ht="12.75" customHeight="1" x14ac:dyDescent="0.2"/>
    <row r="3265" ht="12.75" customHeight="1" x14ac:dyDescent="0.2"/>
    <row r="3266" ht="12.75" customHeight="1" x14ac:dyDescent="0.2"/>
    <row r="3267" ht="12.75" customHeight="1" x14ac:dyDescent="0.2"/>
    <row r="3268" ht="12.75" customHeight="1" x14ac:dyDescent="0.2"/>
    <row r="3269" ht="12.75" customHeight="1" x14ac:dyDescent="0.2"/>
    <row r="3270" ht="12.75" customHeight="1" x14ac:dyDescent="0.2"/>
    <row r="3271" ht="12.75" customHeight="1" x14ac:dyDescent="0.2"/>
    <row r="3272" ht="12.75" customHeight="1" x14ac:dyDescent="0.2"/>
    <row r="3273" ht="12.75" customHeight="1" x14ac:dyDescent="0.2"/>
    <row r="3274" ht="12.75" customHeight="1" x14ac:dyDescent="0.2"/>
    <row r="3275" ht="12.75" customHeight="1" x14ac:dyDescent="0.2"/>
    <row r="3276" ht="12.75" customHeight="1" x14ac:dyDescent="0.2"/>
    <row r="3277" ht="12.75" customHeight="1" x14ac:dyDescent="0.2"/>
    <row r="3278" ht="12.75" customHeight="1" x14ac:dyDescent="0.2"/>
    <row r="3279" ht="12.75" customHeight="1" x14ac:dyDescent="0.2"/>
    <row r="3280" ht="12.75" customHeight="1" x14ac:dyDescent="0.2"/>
    <row r="3281" ht="12.75" customHeight="1" x14ac:dyDescent="0.2"/>
    <row r="3282" ht="12.75" customHeight="1" x14ac:dyDescent="0.2"/>
    <row r="3283" ht="12.75" customHeight="1" x14ac:dyDescent="0.2"/>
    <row r="3284" ht="12.75" customHeight="1" x14ac:dyDescent="0.2"/>
    <row r="3285" ht="12.75" customHeight="1" x14ac:dyDescent="0.2"/>
    <row r="3286" ht="12.75" customHeight="1" x14ac:dyDescent="0.2"/>
    <row r="3287" ht="12.75" customHeight="1" x14ac:dyDescent="0.2"/>
    <row r="3288" ht="12.75" customHeight="1" x14ac:dyDescent="0.2"/>
    <row r="3289" ht="12.75" customHeight="1" x14ac:dyDescent="0.2"/>
    <row r="3290" ht="12.75" customHeight="1" x14ac:dyDescent="0.2"/>
    <row r="3291" ht="12.75" customHeight="1" x14ac:dyDescent="0.2"/>
    <row r="3292" ht="12.75" customHeight="1" x14ac:dyDescent="0.2"/>
    <row r="3293" ht="12.75" customHeight="1" x14ac:dyDescent="0.2"/>
    <row r="3294" ht="12.75" customHeight="1" x14ac:dyDescent="0.2"/>
    <row r="3295" ht="12.75" customHeight="1" x14ac:dyDescent="0.2"/>
    <row r="3296" ht="12.75" customHeight="1" x14ac:dyDescent="0.2"/>
    <row r="3297" ht="12.75" customHeight="1" x14ac:dyDescent="0.2"/>
    <row r="3298" ht="12.75" customHeight="1" x14ac:dyDescent="0.2"/>
    <row r="3299" ht="12.75" customHeight="1" x14ac:dyDescent="0.2"/>
    <row r="3300" ht="12.75" customHeight="1" x14ac:dyDescent="0.2"/>
    <row r="3301" ht="12.75" customHeight="1" x14ac:dyDescent="0.2"/>
    <row r="3302" ht="12.75" customHeight="1" x14ac:dyDescent="0.2"/>
    <row r="3303" ht="12.75" customHeight="1" x14ac:dyDescent="0.2"/>
    <row r="3304" ht="12.75" customHeight="1" x14ac:dyDescent="0.2"/>
    <row r="3305" ht="12.75" customHeight="1" x14ac:dyDescent="0.2"/>
    <row r="3306" ht="12.75" customHeight="1" x14ac:dyDescent="0.2"/>
    <row r="3307" ht="12.75" customHeight="1" x14ac:dyDescent="0.2"/>
    <row r="3308" ht="12.75" customHeight="1" x14ac:dyDescent="0.2"/>
    <row r="3309" ht="12.75" customHeight="1" x14ac:dyDescent="0.2"/>
    <row r="3310" ht="12.75" customHeight="1" x14ac:dyDescent="0.2"/>
    <row r="3311" ht="12.75" customHeight="1" x14ac:dyDescent="0.2"/>
    <row r="3312" ht="12.75" customHeight="1" x14ac:dyDescent="0.2"/>
    <row r="3313" ht="12.75" customHeight="1" x14ac:dyDescent="0.2"/>
    <row r="3314" ht="12.75" customHeight="1" x14ac:dyDescent="0.2"/>
    <row r="3315" ht="12.75" customHeight="1" x14ac:dyDescent="0.2"/>
    <row r="3316" ht="12.75" customHeight="1" x14ac:dyDescent="0.2"/>
    <row r="3317" ht="12.75" customHeight="1" x14ac:dyDescent="0.2"/>
    <row r="3318" ht="12.75" customHeight="1" x14ac:dyDescent="0.2"/>
    <row r="3319" ht="12.75" customHeight="1" x14ac:dyDescent="0.2"/>
    <row r="3320" ht="12.75" customHeight="1" x14ac:dyDescent="0.2"/>
    <row r="3321" ht="12.75" customHeight="1" x14ac:dyDescent="0.2"/>
    <row r="3322" ht="12.75" customHeight="1" x14ac:dyDescent="0.2"/>
    <row r="3323" ht="12.75" customHeight="1" x14ac:dyDescent="0.2"/>
    <row r="3324" ht="12.75" customHeight="1" x14ac:dyDescent="0.2"/>
    <row r="3325" ht="12.75" customHeight="1" x14ac:dyDescent="0.2"/>
    <row r="3326" ht="12.75" customHeight="1" x14ac:dyDescent="0.2"/>
    <row r="3327" ht="12.75" customHeight="1" x14ac:dyDescent="0.2"/>
    <row r="3328" ht="12.75" customHeight="1" x14ac:dyDescent="0.2"/>
    <row r="3329" ht="12.75" customHeight="1" x14ac:dyDescent="0.2"/>
    <row r="3330" ht="12.75" customHeight="1" x14ac:dyDescent="0.2"/>
    <row r="3331" ht="12.75" customHeight="1" x14ac:dyDescent="0.2"/>
    <row r="3332" ht="12.75" customHeight="1" x14ac:dyDescent="0.2"/>
    <row r="3333" ht="12.75" customHeight="1" x14ac:dyDescent="0.2"/>
    <row r="3334" ht="12.75" customHeight="1" x14ac:dyDescent="0.2"/>
    <row r="3335" ht="12.75" customHeight="1" x14ac:dyDescent="0.2"/>
    <row r="3336" ht="12.75" customHeight="1" x14ac:dyDescent="0.2"/>
    <row r="3337" ht="12.75" customHeight="1" x14ac:dyDescent="0.2"/>
    <row r="3338" ht="12.75" customHeight="1" x14ac:dyDescent="0.2"/>
    <row r="3339" ht="12.75" customHeight="1" x14ac:dyDescent="0.2"/>
    <row r="3340" ht="12.75" customHeight="1" x14ac:dyDescent="0.2"/>
    <row r="3341" ht="12.75" customHeight="1" x14ac:dyDescent="0.2"/>
    <row r="3342" ht="12.75" customHeight="1" x14ac:dyDescent="0.2"/>
    <row r="3343" ht="12.75" customHeight="1" x14ac:dyDescent="0.2"/>
    <row r="3344" ht="12.75" customHeight="1" x14ac:dyDescent="0.2"/>
    <row r="3345" ht="12.75" customHeight="1" x14ac:dyDescent="0.2"/>
    <row r="3346" ht="12.75" customHeight="1" x14ac:dyDescent="0.2"/>
    <row r="3347" ht="12.75" customHeight="1" x14ac:dyDescent="0.2"/>
    <row r="3348" ht="12.75" customHeight="1" x14ac:dyDescent="0.2"/>
    <row r="3349" ht="12.75" customHeight="1" x14ac:dyDescent="0.2"/>
    <row r="3350" ht="12.75" customHeight="1" x14ac:dyDescent="0.2"/>
    <row r="3351" ht="12.75" customHeight="1" x14ac:dyDescent="0.2"/>
    <row r="3352" ht="12.75" customHeight="1" x14ac:dyDescent="0.2"/>
    <row r="3353" ht="12.75" customHeight="1" x14ac:dyDescent="0.2"/>
    <row r="3354" ht="12.75" customHeight="1" x14ac:dyDescent="0.2"/>
    <row r="3355" ht="12.75" customHeight="1" x14ac:dyDescent="0.2"/>
    <row r="3356" ht="12.75" customHeight="1" x14ac:dyDescent="0.2"/>
    <row r="3357" ht="12.75" customHeight="1" x14ac:dyDescent="0.2"/>
    <row r="3358" ht="12.75" customHeight="1" x14ac:dyDescent="0.2"/>
    <row r="3359" ht="12.75" customHeight="1" x14ac:dyDescent="0.2"/>
    <row r="3360" ht="12.75" customHeight="1" x14ac:dyDescent="0.2"/>
    <row r="3361" ht="12.75" customHeight="1" x14ac:dyDescent="0.2"/>
    <row r="3362" ht="12.75" customHeight="1" x14ac:dyDescent="0.2"/>
    <row r="3363" ht="12.75" customHeight="1" x14ac:dyDescent="0.2"/>
    <row r="3364" ht="12.75" customHeight="1" x14ac:dyDescent="0.2"/>
    <row r="3365" ht="12.75" customHeight="1" x14ac:dyDescent="0.2"/>
    <row r="3366" ht="12.75" customHeight="1" x14ac:dyDescent="0.2"/>
    <row r="3367" ht="12.75" customHeight="1" x14ac:dyDescent="0.2"/>
    <row r="3368" ht="12.75" customHeight="1" x14ac:dyDescent="0.2"/>
    <row r="3369" ht="12.75" customHeight="1" x14ac:dyDescent="0.2"/>
    <row r="3370" ht="12.75" customHeight="1" x14ac:dyDescent="0.2"/>
    <row r="3371" ht="12.75" customHeight="1" x14ac:dyDescent="0.2"/>
    <row r="3372" ht="12.75" customHeight="1" x14ac:dyDescent="0.2"/>
    <row r="3373" ht="12.75" customHeight="1" x14ac:dyDescent="0.2"/>
    <row r="3374" ht="12.75" customHeight="1" x14ac:dyDescent="0.2"/>
    <row r="3375" ht="12.75" customHeight="1" x14ac:dyDescent="0.2"/>
    <row r="3376" ht="12.75" customHeight="1" x14ac:dyDescent="0.2"/>
    <row r="3377" ht="12.75" customHeight="1" x14ac:dyDescent="0.2"/>
    <row r="3378" ht="12.75" customHeight="1" x14ac:dyDescent="0.2"/>
    <row r="3379" ht="12.75" customHeight="1" x14ac:dyDescent="0.2"/>
    <row r="3380" ht="12.75" customHeight="1" x14ac:dyDescent="0.2"/>
    <row r="3381" ht="12.75" customHeight="1" x14ac:dyDescent="0.2"/>
    <row r="3382" ht="12.75" customHeight="1" x14ac:dyDescent="0.2"/>
    <row r="3383" ht="12.75" customHeight="1" x14ac:dyDescent="0.2"/>
    <row r="3384" ht="12.75" customHeight="1" x14ac:dyDescent="0.2"/>
    <row r="3385" ht="12.75" customHeight="1" x14ac:dyDescent="0.2"/>
    <row r="3386" ht="12.75" customHeight="1" x14ac:dyDescent="0.2"/>
    <row r="3387" ht="12.75" customHeight="1" x14ac:dyDescent="0.2"/>
    <row r="3388" ht="12.75" customHeight="1" x14ac:dyDescent="0.2"/>
    <row r="3389" ht="12.75" customHeight="1" x14ac:dyDescent="0.2"/>
    <row r="3390" ht="12.75" customHeight="1" x14ac:dyDescent="0.2"/>
    <row r="3391" ht="12.75" customHeight="1" x14ac:dyDescent="0.2"/>
    <row r="3392" ht="12.75" customHeight="1" x14ac:dyDescent="0.2"/>
    <row r="3393" ht="12.75" customHeight="1" x14ac:dyDescent="0.2"/>
    <row r="3394" ht="12.75" customHeight="1" x14ac:dyDescent="0.2"/>
    <row r="3395" ht="12.75" customHeight="1" x14ac:dyDescent="0.2"/>
    <row r="3396" ht="12.75" customHeight="1" x14ac:dyDescent="0.2"/>
    <row r="3397" ht="12.75" customHeight="1" x14ac:dyDescent="0.2"/>
    <row r="3398" ht="12.75" customHeight="1" x14ac:dyDescent="0.2"/>
    <row r="3399" ht="12.75" customHeight="1" x14ac:dyDescent="0.2"/>
    <row r="3400" ht="12.75" customHeight="1" x14ac:dyDescent="0.2"/>
    <row r="3401" ht="12.75" customHeight="1" x14ac:dyDescent="0.2"/>
    <row r="3402" ht="12.75" customHeight="1" x14ac:dyDescent="0.2"/>
    <row r="3403" ht="12.75" customHeight="1" x14ac:dyDescent="0.2"/>
    <row r="3404" ht="12.75" customHeight="1" x14ac:dyDescent="0.2"/>
    <row r="3405" ht="12.75" customHeight="1" x14ac:dyDescent="0.2"/>
    <row r="3406" ht="12.75" customHeight="1" x14ac:dyDescent="0.2"/>
    <row r="3407" ht="12.75" customHeight="1" x14ac:dyDescent="0.2"/>
    <row r="3408" ht="12.75" customHeight="1" x14ac:dyDescent="0.2"/>
    <row r="3409" ht="12.75" customHeight="1" x14ac:dyDescent="0.2"/>
    <row r="3410" ht="12.75" customHeight="1" x14ac:dyDescent="0.2"/>
    <row r="3411" ht="12.75" customHeight="1" x14ac:dyDescent="0.2"/>
    <row r="3412" ht="12.75" customHeight="1" x14ac:dyDescent="0.2"/>
    <row r="3413" ht="12.75" customHeight="1" x14ac:dyDescent="0.2"/>
    <row r="3414" ht="12.75" customHeight="1" x14ac:dyDescent="0.2"/>
    <row r="3415" ht="12.75" customHeight="1" x14ac:dyDescent="0.2"/>
    <row r="3416" ht="12.75" customHeight="1" x14ac:dyDescent="0.2"/>
    <row r="3417" ht="12.75" customHeight="1" x14ac:dyDescent="0.2"/>
    <row r="3418" ht="12.75" customHeight="1" x14ac:dyDescent="0.2"/>
    <row r="3419" ht="12.75" customHeight="1" x14ac:dyDescent="0.2"/>
    <row r="3420" ht="12.75" customHeight="1" x14ac:dyDescent="0.2"/>
    <row r="3421" ht="12.75" customHeight="1" x14ac:dyDescent="0.2"/>
    <row r="3422" ht="12.75" customHeight="1" x14ac:dyDescent="0.2"/>
    <row r="3423" ht="12.75" customHeight="1" x14ac:dyDescent="0.2"/>
    <row r="3424" ht="12.75" customHeight="1" x14ac:dyDescent="0.2"/>
    <row r="3425" ht="12.75" customHeight="1" x14ac:dyDescent="0.2"/>
    <row r="3426" ht="12.75" customHeight="1" x14ac:dyDescent="0.2"/>
    <row r="3427" ht="12.75" customHeight="1" x14ac:dyDescent="0.2"/>
    <row r="3428" ht="12.75" customHeight="1" x14ac:dyDescent="0.2"/>
    <row r="3429" ht="12.75" customHeight="1" x14ac:dyDescent="0.2"/>
    <row r="3430" ht="12.75" customHeight="1" x14ac:dyDescent="0.2"/>
    <row r="3431" ht="12.75" customHeight="1" x14ac:dyDescent="0.2"/>
    <row r="3432" ht="12.75" customHeight="1" x14ac:dyDescent="0.2"/>
    <row r="3433" ht="12.75" customHeight="1" x14ac:dyDescent="0.2"/>
    <row r="3434" ht="12.75" customHeight="1" x14ac:dyDescent="0.2"/>
    <row r="3435" ht="12.75" customHeight="1" x14ac:dyDescent="0.2"/>
    <row r="3436" ht="12.75" customHeight="1" x14ac:dyDescent="0.2"/>
    <row r="3437" ht="12.75" customHeight="1" x14ac:dyDescent="0.2"/>
    <row r="3438" ht="12.75" customHeight="1" x14ac:dyDescent="0.2"/>
    <row r="3439" ht="12.75" customHeight="1" x14ac:dyDescent="0.2"/>
    <row r="3440" ht="12.75" customHeight="1" x14ac:dyDescent="0.2"/>
    <row r="3441" ht="12.75" customHeight="1" x14ac:dyDescent="0.2"/>
    <row r="3442" ht="12.75" customHeight="1" x14ac:dyDescent="0.2"/>
    <row r="3443" ht="12.75" customHeight="1" x14ac:dyDescent="0.2"/>
    <row r="3444" ht="12.75" customHeight="1" x14ac:dyDescent="0.2"/>
    <row r="3445" ht="12.75" customHeight="1" x14ac:dyDescent="0.2"/>
    <row r="3446" ht="12.75" customHeight="1" x14ac:dyDescent="0.2"/>
    <row r="3447" ht="12.75" customHeight="1" x14ac:dyDescent="0.2"/>
    <row r="3448" ht="12.75" customHeight="1" x14ac:dyDescent="0.2"/>
    <row r="3449" ht="12.75" customHeight="1" x14ac:dyDescent="0.2"/>
    <row r="3450" ht="12.75" customHeight="1" x14ac:dyDescent="0.2"/>
    <row r="3451" ht="12.75" customHeight="1" x14ac:dyDescent="0.2"/>
    <row r="3452" ht="12.75" customHeight="1" x14ac:dyDescent="0.2"/>
    <row r="3453" ht="12.75" customHeight="1" x14ac:dyDescent="0.2"/>
    <row r="3454" ht="12.75" customHeight="1" x14ac:dyDescent="0.2"/>
    <row r="3455" ht="12.75" customHeight="1" x14ac:dyDescent="0.2"/>
    <row r="3456" ht="12.75" customHeight="1" x14ac:dyDescent="0.2"/>
    <row r="3457" ht="12.75" customHeight="1" x14ac:dyDescent="0.2"/>
    <row r="3458" ht="12.75" customHeight="1" x14ac:dyDescent="0.2"/>
    <row r="3459" ht="12.75" customHeight="1" x14ac:dyDescent="0.2"/>
    <row r="3460" ht="12.75" customHeight="1" x14ac:dyDescent="0.2"/>
    <row r="3461" ht="12.75" customHeight="1" x14ac:dyDescent="0.2"/>
    <row r="3462" ht="12.75" customHeight="1" x14ac:dyDescent="0.2"/>
    <row r="3463" ht="12.75" customHeight="1" x14ac:dyDescent="0.2"/>
    <row r="3464" ht="12.75" customHeight="1" x14ac:dyDescent="0.2"/>
    <row r="3465" ht="12.75" customHeight="1" x14ac:dyDescent="0.2"/>
    <row r="3466" ht="12.75" customHeight="1" x14ac:dyDescent="0.2"/>
    <row r="3467" ht="12.75" customHeight="1" x14ac:dyDescent="0.2"/>
    <row r="3468" ht="12.75" customHeight="1" x14ac:dyDescent="0.2"/>
    <row r="3469" ht="12.75" customHeight="1" x14ac:dyDescent="0.2"/>
    <row r="3470" ht="12.75" customHeight="1" x14ac:dyDescent="0.2"/>
    <row r="3471" ht="12.75" customHeight="1" x14ac:dyDescent="0.2"/>
    <row r="3472" ht="12.75" customHeight="1" x14ac:dyDescent="0.2"/>
    <row r="3473" ht="12.75" customHeight="1" x14ac:dyDescent="0.2"/>
    <row r="3474" ht="12.75" customHeight="1" x14ac:dyDescent="0.2"/>
    <row r="3475" ht="12.75" customHeight="1" x14ac:dyDescent="0.2"/>
    <row r="3476" ht="12.75" customHeight="1" x14ac:dyDescent="0.2"/>
    <row r="3477" ht="12.75" customHeight="1" x14ac:dyDescent="0.2"/>
    <row r="3478" ht="12.75" customHeight="1" x14ac:dyDescent="0.2"/>
    <row r="3479" ht="12.75" customHeight="1" x14ac:dyDescent="0.2"/>
    <row r="3480" ht="12.75" customHeight="1" x14ac:dyDescent="0.2"/>
    <row r="3481" ht="12.75" customHeight="1" x14ac:dyDescent="0.2"/>
    <row r="3482" ht="12.75" customHeight="1" x14ac:dyDescent="0.2"/>
    <row r="3483" ht="12.75" customHeight="1" x14ac:dyDescent="0.2"/>
    <row r="3484" ht="12.75" customHeight="1" x14ac:dyDescent="0.2"/>
    <row r="3485" ht="12.75" customHeight="1" x14ac:dyDescent="0.2"/>
    <row r="3486" ht="12.75" customHeight="1" x14ac:dyDescent="0.2"/>
    <row r="3487" ht="12.75" customHeight="1" x14ac:dyDescent="0.2"/>
    <row r="3488" ht="12.75" customHeight="1" x14ac:dyDescent="0.2"/>
    <row r="3489" ht="12.75" customHeight="1" x14ac:dyDescent="0.2"/>
    <row r="3490" ht="12.75" customHeight="1" x14ac:dyDescent="0.2"/>
    <row r="3491" ht="12.75" customHeight="1" x14ac:dyDescent="0.2"/>
    <row r="3492" ht="12.75" customHeight="1" x14ac:dyDescent="0.2"/>
    <row r="3493" ht="12.75" customHeight="1" x14ac:dyDescent="0.2"/>
    <row r="3494" ht="12.75" customHeight="1" x14ac:dyDescent="0.2"/>
    <row r="3495" ht="12.75" customHeight="1" x14ac:dyDescent="0.2"/>
    <row r="3496" ht="12.75" customHeight="1" x14ac:dyDescent="0.2"/>
    <row r="3497" ht="12.75" customHeight="1" x14ac:dyDescent="0.2"/>
    <row r="3498" ht="12.75" customHeight="1" x14ac:dyDescent="0.2"/>
    <row r="3499" ht="12.75" customHeight="1" x14ac:dyDescent="0.2"/>
    <row r="3500" ht="12.75" customHeight="1" x14ac:dyDescent="0.2"/>
    <row r="3501" ht="12.75" customHeight="1" x14ac:dyDescent="0.2"/>
    <row r="3502" ht="12.75" customHeight="1" x14ac:dyDescent="0.2"/>
    <row r="3503" ht="12.75" customHeight="1" x14ac:dyDescent="0.2"/>
    <row r="3504" ht="12.75" customHeight="1" x14ac:dyDescent="0.2"/>
    <row r="3505" ht="12.75" customHeight="1" x14ac:dyDescent="0.2"/>
    <row r="3506" ht="12.75" customHeight="1" x14ac:dyDescent="0.2"/>
    <row r="3507" ht="12.75" customHeight="1" x14ac:dyDescent="0.2"/>
    <row r="3508" ht="12.75" customHeight="1" x14ac:dyDescent="0.2"/>
    <row r="3509" ht="12.75" customHeight="1" x14ac:dyDescent="0.2"/>
    <row r="3510" ht="12.75" customHeight="1" x14ac:dyDescent="0.2"/>
    <row r="3511" ht="12.75" customHeight="1" x14ac:dyDescent="0.2"/>
    <row r="3512" ht="12.75" customHeight="1" x14ac:dyDescent="0.2"/>
    <row r="3513" ht="12.75" customHeight="1" x14ac:dyDescent="0.2"/>
    <row r="3514" ht="12.75" customHeight="1" x14ac:dyDescent="0.2"/>
    <row r="3515" ht="12.75" customHeight="1" x14ac:dyDescent="0.2"/>
    <row r="3516" ht="12.75" customHeight="1" x14ac:dyDescent="0.2"/>
    <row r="3517" ht="12.75" customHeight="1" x14ac:dyDescent="0.2"/>
    <row r="3518" ht="12.75" customHeight="1" x14ac:dyDescent="0.2"/>
    <row r="3519" ht="12.75" customHeight="1" x14ac:dyDescent="0.2"/>
    <row r="3520" ht="12.75" customHeight="1" x14ac:dyDescent="0.2"/>
    <row r="3521" ht="12.75" customHeight="1" x14ac:dyDescent="0.2"/>
    <row r="3522" ht="12.75" customHeight="1" x14ac:dyDescent="0.2"/>
    <row r="3523" ht="12.75" customHeight="1" x14ac:dyDescent="0.2"/>
    <row r="3524" ht="12.75" customHeight="1" x14ac:dyDescent="0.2"/>
    <row r="3525" ht="12.75" customHeight="1" x14ac:dyDescent="0.2"/>
    <row r="3526" ht="12.75" customHeight="1" x14ac:dyDescent="0.2"/>
    <row r="3527" ht="12.75" customHeight="1" x14ac:dyDescent="0.2"/>
    <row r="3528" ht="12.75" customHeight="1" x14ac:dyDescent="0.2"/>
    <row r="3529" ht="12.75" customHeight="1" x14ac:dyDescent="0.2"/>
    <row r="3530" ht="12.75" customHeight="1" x14ac:dyDescent="0.2"/>
    <row r="3531" ht="12.75" customHeight="1" x14ac:dyDescent="0.2"/>
    <row r="3532" ht="12.75" customHeight="1" x14ac:dyDescent="0.2"/>
    <row r="3533" ht="12.75" customHeight="1" x14ac:dyDescent="0.2"/>
    <row r="3534" ht="12.75" customHeight="1" x14ac:dyDescent="0.2"/>
    <row r="3535" ht="12.75" customHeight="1" x14ac:dyDescent="0.2"/>
    <row r="3536" ht="12.75" customHeight="1" x14ac:dyDescent="0.2"/>
    <row r="3537" ht="12.75" customHeight="1" x14ac:dyDescent="0.2"/>
    <row r="3538" ht="12.75" customHeight="1" x14ac:dyDescent="0.2"/>
    <row r="3539" ht="12.75" customHeight="1" x14ac:dyDescent="0.2"/>
    <row r="3540" ht="12.75" customHeight="1" x14ac:dyDescent="0.2"/>
    <row r="3541" ht="12.75" customHeight="1" x14ac:dyDescent="0.2"/>
    <row r="3542" ht="12.75" customHeight="1" x14ac:dyDescent="0.2"/>
    <row r="3543" ht="12.75" customHeight="1" x14ac:dyDescent="0.2"/>
    <row r="3544" ht="12.75" customHeight="1" x14ac:dyDescent="0.2"/>
    <row r="3545" ht="12.75" customHeight="1" x14ac:dyDescent="0.2"/>
    <row r="3546" ht="12.75" customHeight="1" x14ac:dyDescent="0.2"/>
    <row r="3547" ht="12.75" customHeight="1" x14ac:dyDescent="0.2"/>
    <row r="3548" ht="12.75" customHeight="1" x14ac:dyDescent="0.2"/>
    <row r="3549" ht="12.75" customHeight="1" x14ac:dyDescent="0.2"/>
    <row r="3550" ht="12.75" customHeight="1" x14ac:dyDescent="0.2"/>
    <row r="3551" ht="12.75" customHeight="1" x14ac:dyDescent="0.2"/>
    <row r="3552" ht="12.75" customHeight="1" x14ac:dyDescent="0.2"/>
    <row r="3553" ht="12.75" customHeight="1" x14ac:dyDescent="0.2"/>
    <row r="3554" ht="12.75" customHeight="1" x14ac:dyDescent="0.2"/>
    <row r="3555" ht="12.75" customHeight="1" x14ac:dyDescent="0.2"/>
    <row r="3556" ht="12.75" customHeight="1" x14ac:dyDescent="0.2"/>
    <row r="3557" ht="12.75" customHeight="1" x14ac:dyDescent="0.2"/>
    <row r="3558" ht="12.75" customHeight="1" x14ac:dyDescent="0.2"/>
    <row r="3559" ht="12.75" customHeight="1" x14ac:dyDescent="0.2"/>
    <row r="3560" ht="12.75" customHeight="1" x14ac:dyDescent="0.2"/>
    <row r="3561" ht="12.75" customHeight="1" x14ac:dyDescent="0.2"/>
    <row r="3562" ht="12.75" customHeight="1" x14ac:dyDescent="0.2"/>
    <row r="3563" ht="12.75" customHeight="1" x14ac:dyDescent="0.2"/>
    <row r="3564" ht="12.75" customHeight="1" x14ac:dyDescent="0.2"/>
    <row r="3565" ht="12.75" customHeight="1" x14ac:dyDescent="0.2"/>
    <row r="3566" ht="12.75" customHeight="1" x14ac:dyDescent="0.2"/>
    <row r="3567" ht="12.75" customHeight="1" x14ac:dyDescent="0.2"/>
    <row r="3568" ht="12.75" customHeight="1" x14ac:dyDescent="0.2"/>
    <row r="3569" ht="12.75" customHeight="1" x14ac:dyDescent="0.2"/>
    <row r="3570" ht="12.75" customHeight="1" x14ac:dyDescent="0.2"/>
    <row r="3571" ht="12.75" customHeight="1" x14ac:dyDescent="0.2"/>
    <row r="3572" ht="12.75" customHeight="1" x14ac:dyDescent="0.2"/>
    <row r="3573" ht="12.75" customHeight="1" x14ac:dyDescent="0.2"/>
    <row r="3574" ht="12.75" customHeight="1" x14ac:dyDescent="0.2"/>
    <row r="3575" ht="12.75" customHeight="1" x14ac:dyDescent="0.2"/>
    <row r="3576" ht="12.75" customHeight="1" x14ac:dyDescent="0.2"/>
    <row r="3577" ht="12.75" customHeight="1" x14ac:dyDescent="0.2"/>
    <row r="3578" ht="12.75" customHeight="1" x14ac:dyDescent="0.2"/>
    <row r="3579" ht="12.75" customHeight="1" x14ac:dyDescent="0.2"/>
    <row r="3580" ht="12.75" customHeight="1" x14ac:dyDescent="0.2"/>
    <row r="3581" ht="12.75" customHeight="1" x14ac:dyDescent="0.2"/>
    <row r="3582" ht="12.75" customHeight="1" x14ac:dyDescent="0.2"/>
    <row r="3583" ht="12.75" customHeight="1" x14ac:dyDescent="0.2"/>
    <row r="3584" ht="12.75" customHeight="1" x14ac:dyDescent="0.2"/>
    <row r="3585" ht="12.75" customHeight="1" x14ac:dyDescent="0.2"/>
    <row r="3586" ht="12.75" customHeight="1" x14ac:dyDescent="0.2"/>
    <row r="3587" ht="12.75" customHeight="1" x14ac:dyDescent="0.2"/>
    <row r="3588" ht="12.75" customHeight="1" x14ac:dyDescent="0.2"/>
    <row r="3589" ht="12.75" customHeight="1" x14ac:dyDescent="0.2"/>
    <row r="3590" ht="12.75" customHeight="1" x14ac:dyDescent="0.2"/>
    <row r="3591" ht="12.75" customHeight="1" x14ac:dyDescent="0.2"/>
    <row r="3592" ht="12.75" customHeight="1" x14ac:dyDescent="0.2"/>
    <row r="3593" ht="12.75" customHeight="1" x14ac:dyDescent="0.2"/>
    <row r="3594" ht="12.75" customHeight="1" x14ac:dyDescent="0.2"/>
    <row r="3595" ht="12.75" customHeight="1" x14ac:dyDescent="0.2"/>
    <row r="3596" ht="12.75" customHeight="1" x14ac:dyDescent="0.2"/>
    <row r="3597" ht="12.75" customHeight="1" x14ac:dyDescent="0.2"/>
    <row r="3598" ht="12.75" customHeight="1" x14ac:dyDescent="0.2"/>
    <row r="3599" ht="12.75" customHeight="1" x14ac:dyDescent="0.2"/>
    <row r="3600" ht="12.75" customHeight="1" x14ac:dyDescent="0.2"/>
    <row r="3601" ht="12.75" customHeight="1" x14ac:dyDescent="0.2"/>
    <row r="3602" ht="12.75" customHeight="1" x14ac:dyDescent="0.2"/>
    <row r="3603" ht="12.75" customHeight="1" x14ac:dyDescent="0.2"/>
    <row r="3604" ht="12.75" customHeight="1" x14ac:dyDescent="0.2"/>
    <row r="3605" ht="12.75" customHeight="1" x14ac:dyDescent="0.2"/>
    <row r="3606" ht="12.75" customHeight="1" x14ac:dyDescent="0.2"/>
    <row r="3607" ht="12.75" customHeight="1" x14ac:dyDescent="0.2"/>
    <row r="3608" ht="12.75" customHeight="1" x14ac:dyDescent="0.2"/>
    <row r="3609" ht="12.75" customHeight="1" x14ac:dyDescent="0.2"/>
    <row r="3610" ht="12.75" customHeight="1" x14ac:dyDescent="0.2"/>
    <row r="3611" ht="12.75" customHeight="1" x14ac:dyDescent="0.2"/>
    <row r="3612" ht="12.75" customHeight="1" x14ac:dyDescent="0.2"/>
    <row r="3613" ht="12.75" customHeight="1" x14ac:dyDescent="0.2"/>
    <row r="3614" ht="12.75" customHeight="1" x14ac:dyDescent="0.2"/>
    <row r="3615" ht="12.75" customHeight="1" x14ac:dyDescent="0.2"/>
    <row r="3616" ht="12.75" customHeight="1" x14ac:dyDescent="0.2"/>
    <row r="3617" ht="12.75" customHeight="1" x14ac:dyDescent="0.2"/>
    <row r="3618" ht="12.75" customHeight="1" x14ac:dyDescent="0.2"/>
    <row r="3619" ht="12.75" customHeight="1" x14ac:dyDescent="0.2"/>
    <row r="3620" ht="12.75" customHeight="1" x14ac:dyDescent="0.2"/>
    <row r="3621" ht="12.75" customHeight="1" x14ac:dyDescent="0.2"/>
    <row r="3622" ht="12.75" customHeight="1" x14ac:dyDescent="0.2"/>
    <row r="3623" ht="12.75" customHeight="1" x14ac:dyDescent="0.2"/>
    <row r="3624" ht="12.75" customHeight="1" x14ac:dyDescent="0.2"/>
    <row r="3625" ht="12.75" customHeight="1" x14ac:dyDescent="0.2"/>
    <row r="3626" ht="12.75" customHeight="1" x14ac:dyDescent="0.2"/>
    <row r="3627" ht="12.75" customHeight="1" x14ac:dyDescent="0.2"/>
    <row r="3628" ht="12.75" customHeight="1" x14ac:dyDescent="0.2"/>
    <row r="3629" ht="12.75" customHeight="1" x14ac:dyDescent="0.2"/>
    <row r="3630" ht="12.75" customHeight="1" x14ac:dyDescent="0.2"/>
    <row r="3631" ht="12.75" customHeight="1" x14ac:dyDescent="0.2"/>
    <row r="3632" ht="12.75" customHeight="1" x14ac:dyDescent="0.2"/>
    <row r="3633" ht="12.75" customHeight="1" x14ac:dyDescent="0.2"/>
    <row r="3634" ht="12.75" customHeight="1" x14ac:dyDescent="0.2"/>
    <row r="3635" ht="12.75" customHeight="1" x14ac:dyDescent="0.2"/>
    <row r="3636" ht="12.75" customHeight="1" x14ac:dyDescent="0.2"/>
    <row r="3637" ht="12.75" customHeight="1" x14ac:dyDescent="0.2"/>
    <row r="3638" ht="12.75" customHeight="1" x14ac:dyDescent="0.2"/>
    <row r="3639" ht="12.75" customHeight="1" x14ac:dyDescent="0.2"/>
    <row r="3640" ht="12.75" customHeight="1" x14ac:dyDescent="0.2"/>
    <row r="3641" ht="12.75" customHeight="1" x14ac:dyDescent="0.2"/>
    <row r="3642" ht="12.75" customHeight="1" x14ac:dyDescent="0.2"/>
    <row r="3643" ht="12.75" customHeight="1" x14ac:dyDescent="0.2"/>
    <row r="3644" ht="12.75" customHeight="1" x14ac:dyDescent="0.2"/>
    <row r="3645" ht="12.75" customHeight="1" x14ac:dyDescent="0.2"/>
    <row r="3646" ht="12.75" customHeight="1" x14ac:dyDescent="0.2"/>
    <row r="3647" ht="12.75" customHeight="1" x14ac:dyDescent="0.2"/>
    <row r="3648" ht="12.75" customHeight="1" x14ac:dyDescent="0.2"/>
    <row r="3649" ht="12.75" customHeight="1" x14ac:dyDescent="0.2"/>
    <row r="3650" ht="12.75" customHeight="1" x14ac:dyDescent="0.2"/>
    <row r="3651" ht="12.75" customHeight="1" x14ac:dyDescent="0.2"/>
    <row r="3652" ht="12.75" customHeight="1" x14ac:dyDescent="0.2"/>
    <row r="3653" ht="12.75" customHeight="1" x14ac:dyDescent="0.2"/>
    <row r="3654" ht="12.75" customHeight="1" x14ac:dyDescent="0.2"/>
    <row r="3655" ht="12.75" customHeight="1" x14ac:dyDescent="0.2"/>
    <row r="3656" ht="12.75" customHeight="1" x14ac:dyDescent="0.2"/>
    <row r="3657" ht="12.75" customHeight="1" x14ac:dyDescent="0.2"/>
    <row r="3658" ht="12.75" customHeight="1" x14ac:dyDescent="0.2"/>
    <row r="3659" ht="12.75" customHeight="1" x14ac:dyDescent="0.2"/>
    <row r="3660" ht="12.75" customHeight="1" x14ac:dyDescent="0.2"/>
    <row r="3661" ht="12.75" customHeight="1" x14ac:dyDescent="0.2"/>
    <row r="3662" ht="12.75" customHeight="1" x14ac:dyDescent="0.2"/>
    <row r="3663" ht="12.75" customHeight="1" x14ac:dyDescent="0.2"/>
    <row r="3664" ht="12.75" customHeight="1" x14ac:dyDescent="0.2"/>
    <row r="3665" ht="12.75" customHeight="1" x14ac:dyDescent="0.2"/>
    <row r="3666" ht="12.75" customHeight="1" x14ac:dyDescent="0.2"/>
    <row r="3667" ht="12.75" customHeight="1" x14ac:dyDescent="0.2"/>
    <row r="3668" ht="12.75" customHeight="1" x14ac:dyDescent="0.2"/>
    <row r="3669" ht="12.75" customHeight="1" x14ac:dyDescent="0.2"/>
    <row r="3670" ht="12.75" customHeight="1" x14ac:dyDescent="0.2"/>
    <row r="3671" ht="12.75" customHeight="1" x14ac:dyDescent="0.2"/>
    <row r="3672" ht="12.75" customHeight="1" x14ac:dyDescent="0.2"/>
    <row r="3673" ht="12.75" customHeight="1" x14ac:dyDescent="0.2"/>
    <row r="3674" ht="12.75" customHeight="1" x14ac:dyDescent="0.2"/>
    <row r="3675" ht="12.75" customHeight="1" x14ac:dyDescent="0.2"/>
    <row r="3676" ht="12.75" customHeight="1" x14ac:dyDescent="0.2"/>
    <row r="3677" ht="12.75" customHeight="1" x14ac:dyDescent="0.2"/>
    <row r="3678" ht="12.75" customHeight="1" x14ac:dyDescent="0.2"/>
    <row r="3679" ht="12.75" customHeight="1" x14ac:dyDescent="0.2"/>
    <row r="3680" ht="12.75" customHeight="1" x14ac:dyDescent="0.2"/>
    <row r="3681" ht="12.75" customHeight="1" x14ac:dyDescent="0.2"/>
    <row r="3682" ht="12.75" customHeight="1" x14ac:dyDescent="0.2"/>
    <row r="3683" ht="12.75" customHeight="1" x14ac:dyDescent="0.2"/>
    <row r="3684" ht="12.75" customHeight="1" x14ac:dyDescent="0.2"/>
    <row r="3685" ht="12.75" customHeight="1" x14ac:dyDescent="0.2"/>
    <row r="3686" ht="12.75" customHeight="1" x14ac:dyDescent="0.2"/>
    <row r="3687" ht="12.75" customHeight="1" x14ac:dyDescent="0.2"/>
    <row r="3688" ht="12.75" customHeight="1" x14ac:dyDescent="0.2"/>
    <row r="3689" ht="12.75" customHeight="1" x14ac:dyDescent="0.2"/>
    <row r="3690" ht="12.75" customHeight="1" x14ac:dyDescent="0.2"/>
    <row r="3691" ht="12.75" customHeight="1" x14ac:dyDescent="0.2"/>
    <row r="3692" ht="12.75" customHeight="1" x14ac:dyDescent="0.2"/>
    <row r="3693" ht="12.75" customHeight="1" x14ac:dyDescent="0.2"/>
    <row r="3694" ht="12.75" customHeight="1" x14ac:dyDescent="0.2"/>
    <row r="3695" ht="12.75" customHeight="1" x14ac:dyDescent="0.2"/>
    <row r="3696" ht="12.75" customHeight="1" x14ac:dyDescent="0.2"/>
    <row r="3697" ht="12.75" customHeight="1" x14ac:dyDescent="0.2"/>
    <row r="3698" ht="12.75" customHeight="1" x14ac:dyDescent="0.2"/>
    <row r="3699" ht="12.75" customHeight="1" x14ac:dyDescent="0.2"/>
    <row r="3700" ht="12.75" customHeight="1" x14ac:dyDescent="0.2"/>
    <row r="3701" ht="12.75" customHeight="1" x14ac:dyDescent="0.2"/>
    <row r="3702" ht="12.75" customHeight="1" x14ac:dyDescent="0.2"/>
    <row r="3703" ht="12.75" customHeight="1" x14ac:dyDescent="0.2"/>
    <row r="3704" ht="12.75" customHeight="1" x14ac:dyDescent="0.2"/>
    <row r="3705" ht="12.75" customHeight="1" x14ac:dyDescent="0.2"/>
    <row r="3706" ht="12.75" customHeight="1" x14ac:dyDescent="0.2"/>
    <row r="3707" ht="12.75" customHeight="1" x14ac:dyDescent="0.2"/>
    <row r="3708" ht="12.75" customHeight="1" x14ac:dyDescent="0.2"/>
    <row r="3709" ht="12.75" customHeight="1" x14ac:dyDescent="0.2"/>
    <row r="3710" ht="12.75" customHeight="1" x14ac:dyDescent="0.2"/>
    <row r="3711" ht="12.75" customHeight="1" x14ac:dyDescent="0.2"/>
    <row r="3712" ht="12.75" customHeight="1" x14ac:dyDescent="0.2"/>
    <row r="3713" ht="12.75" customHeight="1" x14ac:dyDescent="0.2"/>
    <row r="3714" ht="12.75" customHeight="1" x14ac:dyDescent="0.2"/>
    <row r="3715" ht="12.75" customHeight="1" x14ac:dyDescent="0.2"/>
    <row r="3716" ht="12.75" customHeight="1" x14ac:dyDescent="0.2"/>
    <row r="3717" ht="12.75" customHeight="1" x14ac:dyDescent="0.2"/>
    <row r="3718" ht="12.75" customHeight="1" x14ac:dyDescent="0.2"/>
    <row r="3719" ht="12.75" customHeight="1" x14ac:dyDescent="0.2"/>
    <row r="3720" ht="12.75" customHeight="1" x14ac:dyDescent="0.2"/>
    <row r="3721" ht="12.75" customHeight="1" x14ac:dyDescent="0.2"/>
    <row r="3722" ht="12.75" customHeight="1" x14ac:dyDescent="0.2"/>
    <row r="3723" ht="12.75" customHeight="1" x14ac:dyDescent="0.2"/>
    <row r="3724" ht="12.75" customHeight="1" x14ac:dyDescent="0.2"/>
    <row r="3725" ht="12.75" customHeight="1" x14ac:dyDescent="0.2"/>
    <row r="3726" ht="12.75" customHeight="1" x14ac:dyDescent="0.2"/>
    <row r="3727" ht="12.75" customHeight="1" x14ac:dyDescent="0.2"/>
    <row r="3728" ht="12.75" customHeight="1" x14ac:dyDescent="0.2"/>
    <row r="3729" ht="12.75" customHeight="1" x14ac:dyDescent="0.2"/>
    <row r="3730" ht="12.75" customHeight="1" x14ac:dyDescent="0.2"/>
    <row r="3731" ht="12.75" customHeight="1" x14ac:dyDescent="0.2"/>
    <row r="3732" ht="12.75" customHeight="1" x14ac:dyDescent="0.2"/>
    <row r="3733" ht="12.75" customHeight="1" x14ac:dyDescent="0.2"/>
    <row r="3734" ht="12.75" customHeight="1" x14ac:dyDescent="0.2"/>
    <row r="3735" ht="12.75" customHeight="1" x14ac:dyDescent="0.2"/>
    <row r="3736" ht="12.75" customHeight="1" x14ac:dyDescent="0.2"/>
    <row r="3737" ht="12.75" customHeight="1" x14ac:dyDescent="0.2"/>
    <row r="3738" ht="12.75" customHeight="1" x14ac:dyDescent="0.2"/>
    <row r="3739" ht="12.75" customHeight="1" x14ac:dyDescent="0.2"/>
    <row r="3740" ht="12.75" customHeight="1" x14ac:dyDescent="0.2"/>
    <row r="3741" ht="12.75" customHeight="1" x14ac:dyDescent="0.2"/>
    <row r="3742" ht="12.75" customHeight="1" x14ac:dyDescent="0.2"/>
    <row r="3743" ht="12.75" customHeight="1" x14ac:dyDescent="0.2"/>
    <row r="3744" ht="12.75" customHeight="1" x14ac:dyDescent="0.2"/>
    <row r="3745" ht="12.75" customHeight="1" x14ac:dyDescent="0.2"/>
    <row r="3746" ht="12.75" customHeight="1" x14ac:dyDescent="0.2"/>
    <row r="3747" ht="12.75" customHeight="1" x14ac:dyDescent="0.2"/>
    <row r="3748" ht="12.75" customHeight="1" x14ac:dyDescent="0.2"/>
    <row r="3749" ht="12.75" customHeight="1" x14ac:dyDescent="0.2"/>
    <row r="3750" ht="12.75" customHeight="1" x14ac:dyDescent="0.2"/>
    <row r="3751" ht="12.75" customHeight="1" x14ac:dyDescent="0.2"/>
    <row r="3752" ht="12.75" customHeight="1" x14ac:dyDescent="0.2"/>
    <row r="3753" ht="12.75" customHeight="1" x14ac:dyDescent="0.2"/>
    <row r="3754" ht="12.75" customHeight="1" x14ac:dyDescent="0.2"/>
    <row r="3755" ht="12.75" customHeight="1" x14ac:dyDescent="0.2"/>
    <row r="3756" ht="12.75" customHeight="1" x14ac:dyDescent="0.2"/>
    <row r="3757" ht="12.75" customHeight="1" x14ac:dyDescent="0.2"/>
    <row r="3758" ht="12.75" customHeight="1" x14ac:dyDescent="0.2"/>
    <row r="3759" ht="12.75" customHeight="1" x14ac:dyDescent="0.2"/>
    <row r="3760" ht="12.75" customHeight="1" x14ac:dyDescent="0.2"/>
    <row r="3761" ht="12.75" customHeight="1" x14ac:dyDescent="0.2"/>
    <row r="3762" ht="12.75" customHeight="1" x14ac:dyDescent="0.2"/>
    <row r="3763" ht="12.75" customHeight="1" x14ac:dyDescent="0.2"/>
    <row r="3764" ht="12.75" customHeight="1" x14ac:dyDescent="0.2"/>
    <row r="3765" ht="12.75" customHeight="1" x14ac:dyDescent="0.2"/>
    <row r="3766" ht="12.75" customHeight="1" x14ac:dyDescent="0.2"/>
    <row r="3767" ht="12.75" customHeight="1" x14ac:dyDescent="0.2"/>
    <row r="3768" ht="12.75" customHeight="1" x14ac:dyDescent="0.2"/>
    <row r="3769" ht="12.75" customHeight="1" x14ac:dyDescent="0.2"/>
    <row r="3770" ht="12.75" customHeight="1" x14ac:dyDescent="0.2"/>
    <row r="3771" ht="12.75" customHeight="1" x14ac:dyDescent="0.2"/>
    <row r="3772" ht="12.75" customHeight="1" x14ac:dyDescent="0.2"/>
    <row r="3773" ht="12.75" customHeight="1" x14ac:dyDescent="0.2"/>
    <row r="3774" ht="12.75" customHeight="1" x14ac:dyDescent="0.2"/>
    <row r="3775" ht="12.75" customHeight="1" x14ac:dyDescent="0.2"/>
    <row r="3776" ht="12.75" customHeight="1" x14ac:dyDescent="0.2"/>
    <row r="3777" ht="12.75" customHeight="1" x14ac:dyDescent="0.2"/>
    <row r="3778" ht="12.75" customHeight="1" x14ac:dyDescent="0.2"/>
    <row r="3779" ht="12.75" customHeight="1" x14ac:dyDescent="0.2"/>
    <row r="3780" ht="12.75" customHeight="1" x14ac:dyDescent="0.2"/>
    <row r="3781" ht="12.75" customHeight="1" x14ac:dyDescent="0.2"/>
    <row r="3782" ht="12.75" customHeight="1" x14ac:dyDescent="0.2"/>
    <row r="3783" ht="12.75" customHeight="1" x14ac:dyDescent="0.2"/>
    <row r="3784" ht="12.75" customHeight="1" x14ac:dyDescent="0.2"/>
    <row r="3785" ht="12.75" customHeight="1" x14ac:dyDescent="0.2"/>
    <row r="3786" ht="12.75" customHeight="1" x14ac:dyDescent="0.2"/>
    <row r="3787" ht="12.75" customHeight="1" x14ac:dyDescent="0.2"/>
    <row r="3788" ht="12.75" customHeight="1" x14ac:dyDescent="0.2"/>
    <row r="3789" ht="12.75" customHeight="1" x14ac:dyDescent="0.2"/>
    <row r="3790" ht="12.75" customHeight="1" x14ac:dyDescent="0.2"/>
    <row r="3791" ht="12.75" customHeight="1" x14ac:dyDescent="0.2"/>
    <row r="3792" ht="12.75" customHeight="1" x14ac:dyDescent="0.2"/>
    <row r="3793" ht="12.75" customHeight="1" x14ac:dyDescent="0.2"/>
    <row r="3794" ht="12.75" customHeight="1" x14ac:dyDescent="0.2"/>
    <row r="3795" ht="12.75" customHeight="1" x14ac:dyDescent="0.2"/>
    <row r="3796" ht="12.75" customHeight="1" x14ac:dyDescent="0.2"/>
    <row r="3797" ht="12.75" customHeight="1" x14ac:dyDescent="0.2"/>
    <row r="3798" ht="12.75" customHeight="1" x14ac:dyDescent="0.2"/>
    <row r="3799" ht="12.75" customHeight="1" x14ac:dyDescent="0.2"/>
    <row r="3800" ht="12.75" customHeight="1" x14ac:dyDescent="0.2"/>
    <row r="3801" ht="12.75" customHeight="1" x14ac:dyDescent="0.2"/>
    <row r="3802" ht="12.75" customHeight="1" x14ac:dyDescent="0.2"/>
    <row r="3803" ht="12.75" customHeight="1" x14ac:dyDescent="0.2"/>
    <row r="3804" ht="12.75" customHeight="1" x14ac:dyDescent="0.2"/>
    <row r="3805" ht="12.75" customHeight="1" x14ac:dyDescent="0.2"/>
    <row r="3806" ht="12.75" customHeight="1" x14ac:dyDescent="0.2"/>
    <row r="3807" ht="12.75" customHeight="1" x14ac:dyDescent="0.2"/>
    <row r="3808" ht="12.75" customHeight="1" x14ac:dyDescent="0.2"/>
    <row r="3809" ht="12.75" customHeight="1" x14ac:dyDescent="0.2"/>
    <row r="3810" ht="12.75" customHeight="1" x14ac:dyDescent="0.2"/>
    <row r="3811" ht="12.75" customHeight="1" x14ac:dyDescent="0.2"/>
    <row r="3812" ht="12.75" customHeight="1" x14ac:dyDescent="0.2"/>
    <row r="3813" ht="12.75" customHeight="1" x14ac:dyDescent="0.2"/>
    <row r="3814" ht="12.75" customHeight="1" x14ac:dyDescent="0.2"/>
    <row r="3815" ht="12.75" customHeight="1" x14ac:dyDescent="0.2"/>
    <row r="3816" ht="12.75" customHeight="1" x14ac:dyDescent="0.2"/>
    <row r="3817" ht="12.75" customHeight="1" x14ac:dyDescent="0.2"/>
    <row r="3818" ht="12.75" customHeight="1" x14ac:dyDescent="0.2"/>
    <row r="3819" ht="12.75" customHeight="1" x14ac:dyDescent="0.2"/>
    <row r="3820" ht="12.75" customHeight="1" x14ac:dyDescent="0.2"/>
    <row r="3821" ht="12.75" customHeight="1" x14ac:dyDescent="0.2"/>
    <row r="3822" ht="12.75" customHeight="1" x14ac:dyDescent="0.2"/>
    <row r="3823" ht="12.75" customHeight="1" x14ac:dyDescent="0.2"/>
    <row r="3824" ht="12.75" customHeight="1" x14ac:dyDescent="0.2"/>
    <row r="3825" ht="12.75" customHeight="1" x14ac:dyDescent="0.2"/>
    <row r="3826" ht="12.75" customHeight="1" x14ac:dyDescent="0.2"/>
    <row r="3827" ht="12.75" customHeight="1" x14ac:dyDescent="0.2"/>
    <row r="3828" ht="12.75" customHeight="1" x14ac:dyDescent="0.2"/>
    <row r="3829" ht="12.75" customHeight="1" x14ac:dyDescent="0.2"/>
    <row r="3830" ht="12.75" customHeight="1" x14ac:dyDescent="0.2"/>
    <row r="3831" ht="12.75" customHeight="1" x14ac:dyDescent="0.2"/>
    <row r="3832" ht="12.75" customHeight="1" x14ac:dyDescent="0.2"/>
    <row r="3833" ht="12.75" customHeight="1" x14ac:dyDescent="0.2"/>
    <row r="3834" ht="12.75" customHeight="1" x14ac:dyDescent="0.2"/>
    <row r="3835" ht="12.75" customHeight="1" x14ac:dyDescent="0.2"/>
    <row r="3836" ht="12.75" customHeight="1" x14ac:dyDescent="0.2"/>
    <row r="3837" ht="12.75" customHeight="1" x14ac:dyDescent="0.2"/>
    <row r="3838" ht="12.75" customHeight="1" x14ac:dyDescent="0.2"/>
    <row r="3839" ht="12.75" customHeight="1" x14ac:dyDescent="0.2"/>
    <row r="3840" ht="12.75" customHeight="1" x14ac:dyDescent="0.2"/>
    <row r="3841" ht="12.75" customHeight="1" x14ac:dyDescent="0.2"/>
    <row r="3842" ht="12.75" customHeight="1" x14ac:dyDescent="0.2"/>
    <row r="3843" ht="12.75" customHeight="1" x14ac:dyDescent="0.2"/>
    <row r="3844" ht="12.75" customHeight="1" x14ac:dyDescent="0.2"/>
    <row r="3845" ht="12.75" customHeight="1" x14ac:dyDescent="0.2"/>
    <row r="3846" ht="12.75" customHeight="1" x14ac:dyDescent="0.2"/>
    <row r="3847" ht="12.75" customHeight="1" x14ac:dyDescent="0.2"/>
    <row r="3848" ht="12.75" customHeight="1" x14ac:dyDescent="0.2"/>
    <row r="3849" ht="12.75" customHeight="1" x14ac:dyDescent="0.2"/>
    <row r="3850" ht="12.75" customHeight="1" x14ac:dyDescent="0.2"/>
    <row r="3851" ht="12.75" customHeight="1" x14ac:dyDescent="0.2"/>
    <row r="3852" ht="12.75" customHeight="1" x14ac:dyDescent="0.2"/>
    <row r="3853" ht="12.75" customHeight="1" x14ac:dyDescent="0.2"/>
    <row r="3854" ht="12.75" customHeight="1" x14ac:dyDescent="0.2"/>
    <row r="3855" ht="12.75" customHeight="1" x14ac:dyDescent="0.2"/>
    <row r="3856" ht="12.75" customHeight="1" x14ac:dyDescent="0.2"/>
    <row r="3857" ht="12.75" customHeight="1" x14ac:dyDescent="0.2"/>
    <row r="3858" ht="12.75" customHeight="1" x14ac:dyDescent="0.2"/>
    <row r="3859" ht="12.75" customHeight="1" x14ac:dyDescent="0.2"/>
    <row r="3860" ht="12.75" customHeight="1" x14ac:dyDescent="0.2"/>
    <row r="3861" ht="12.75" customHeight="1" x14ac:dyDescent="0.2"/>
    <row r="3862" ht="12.75" customHeight="1" x14ac:dyDescent="0.2"/>
    <row r="3863" ht="12.75" customHeight="1" x14ac:dyDescent="0.2"/>
    <row r="3864" ht="12.75" customHeight="1" x14ac:dyDescent="0.2"/>
    <row r="3865" ht="12.75" customHeight="1" x14ac:dyDescent="0.2"/>
    <row r="3866" ht="12.75" customHeight="1" x14ac:dyDescent="0.2"/>
    <row r="3867" ht="12.75" customHeight="1" x14ac:dyDescent="0.2"/>
    <row r="3868" ht="12.75" customHeight="1" x14ac:dyDescent="0.2"/>
    <row r="3869" ht="12.75" customHeight="1" x14ac:dyDescent="0.2"/>
    <row r="3870" ht="12.75" customHeight="1" x14ac:dyDescent="0.2"/>
    <row r="3871" ht="12.75" customHeight="1" x14ac:dyDescent="0.2"/>
    <row r="3872" ht="12.75" customHeight="1" x14ac:dyDescent="0.2"/>
    <row r="3873" ht="12.75" customHeight="1" x14ac:dyDescent="0.2"/>
    <row r="3874" ht="12.75" customHeight="1" x14ac:dyDescent="0.2"/>
    <row r="3875" ht="12.75" customHeight="1" x14ac:dyDescent="0.2"/>
    <row r="3876" ht="12.75" customHeight="1" x14ac:dyDescent="0.2"/>
    <row r="3877" ht="12.75" customHeight="1" x14ac:dyDescent="0.2"/>
    <row r="3878" ht="12.75" customHeight="1" x14ac:dyDescent="0.2"/>
    <row r="3879" ht="12.75" customHeight="1" x14ac:dyDescent="0.2"/>
    <row r="3880" ht="12.75" customHeight="1" x14ac:dyDescent="0.2"/>
    <row r="3881" ht="12.75" customHeight="1" x14ac:dyDescent="0.2"/>
    <row r="3882" ht="12.75" customHeight="1" x14ac:dyDescent="0.2"/>
    <row r="3883" ht="12.75" customHeight="1" x14ac:dyDescent="0.2"/>
    <row r="3884" ht="12.75" customHeight="1" x14ac:dyDescent="0.2"/>
    <row r="3885" ht="12.75" customHeight="1" x14ac:dyDescent="0.2"/>
    <row r="3886" ht="12.75" customHeight="1" x14ac:dyDescent="0.2"/>
    <row r="3887" ht="12.75" customHeight="1" x14ac:dyDescent="0.2"/>
    <row r="3888" ht="12.75" customHeight="1" x14ac:dyDescent="0.2"/>
    <row r="3889" ht="12.75" customHeight="1" x14ac:dyDescent="0.2"/>
    <row r="3890" ht="12.75" customHeight="1" x14ac:dyDescent="0.2"/>
    <row r="3891" ht="12.75" customHeight="1" x14ac:dyDescent="0.2"/>
    <row r="3892" ht="12.75" customHeight="1" x14ac:dyDescent="0.2"/>
    <row r="3893" ht="12.75" customHeight="1" x14ac:dyDescent="0.2"/>
    <row r="3894" ht="12.75" customHeight="1" x14ac:dyDescent="0.2"/>
    <row r="3895" ht="12.75" customHeight="1" x14ac:dyDescent="0.2"/>
    <row r="3896" ht="12.75" customHeight="1" x14ac:dyDescent="0.2"/>
    <row r="3897" ht="12.75" customHeight="1" x14ac:dyDescent="0.2"/>
    <row r="3898" ht="12.75" customHeight="1" x14ac:dyDescent="0.2"/>
    <row r="3899" ht="12.75" customHeight="1" x14ac:dyDescent="0.2"/>
    <row r="3900" ht="12.75" customHeight="1" x14ac:dyDescent="0.2"/>
    <row r="3901" ht="12.75" customHeight="1" x14ac:dyDescent="0.2"/>
    <row r="3902" ht="12.75" customHeight="1" x14ac:dyDescent="0.2"/>
    <row r="3903" ht="12.75" customHeight="1" x14ac:dyDescent="0.2"/>
    <row r="3904" ht="12.75" customHeight="1" x14ac:dyDescent="0.2"/>
    <row r="3905" ht="12.75" customHeight="1" x14ac:dyDescent="0.2"/>
    <row r="3906" ht="12.75" customHeight="1" x14ac:dyDescent="0.2"/>
    <row r="3907" ht="12.75" customHeight="1" x14ac:dyDescent="0.2"/>
    <row r="3908" ht="12.75" customHeight="1" x14ac:dyDescent="0.2"/>
    <row r="3909" ht="12.75" customHeight="1" x14ac:dyDescent="0.2"/>
    <row r="3910" ht="12.75" customHeight="1" x14ac:dyDescent="0.2"/>
    <row r="3911" ht="12.75" customHeight="1" x14ac:dyDescent="0.2"/>
    <row r="3912" ht="12.75" customHeight="1" x14ac:dyDescent="0.2"/>
    <row r="3913" ht="12.75" customHeight="1" x14ac:dyDescent="0.2"/>
    <row r="3914" ht="12.75" customHeight="1" x14ac:dyDescent="0.2"/>
    <row r="3915" ht="12.75" customHeight="1" x14ac:dyDescent="0.2"/>
    <row r="3916" ht="12.75" customHeight="1" x14ac:dyDescent="0.2"/>
    <row r="3917" ht="12.75" customHeight="1" x14ac:dyDescent="0.2"/>
    <row r="3918" ht="12.75" customHeight="1" x14ac:dyDescent="0.2"/>
    <row r="3919" ht="12.75" customHeight="1" x14ac:dyDescent="0.2"/>
    <row r="3920" ht="12.75" customHeight="1" x14ac:dyDescent="0.2"/>
    <row r="3921" ht="12.75" customHeight="1" x14ac:dyDescent="0.2"/>
    <row r="3922" ht="12.75" customHeight="1" x14ac:dyDescent="0.2"/>
    <row r="3923" ht="12.75" customHeight="1" x14ac:dyDescent="0.2"/>
    <row r="3924" ht="12.75" customHeight="1" x14ac:dyDescent="0.2"/>
    <row r="3925" ht="12.75" customHeight="1" x14ac:dyDescent="0.2"/>
    <row r="3926" ht="12.75" customHeight="1" x14ac:dyDescent="0.2"/>
    <row r="3927" ht="12.75" customHeight="1" x14ac:dyDescent="0.2"/>
    <row r="3928" ht="12.75" customHeight="1" x14ac:dyDescent="0.2"/>
    <row r="3929" ht="12.75" customHeight="1" x14ac:dyDescent="0.2"/>
    <row r="3930" ht="12.75" customHeight="1" x14ac:dyDescent="0.2"/>
    <row r="3931" ht="12.75" customHeight="1" x14ac:dyDescent="0.2"/>
    <row r="3932" ht="12.75" customHeight="1" x14ac:dyDescent="0.2"/>
    <row r="3933" ht="12.75" customHeight="1" x14ac:dyDescent="0.2"/>
    <row r="3934" ht="12.75" customHeight="1" x14ac:dyDescent="0.2"/>
    <row r="3935" ht="12.75" customHeight="1" x14ac:dyDescent="0.2"/>
    <row r="3936" ht="12.75" customHeight="1" x14ac:dyDescent="0.2"/>
    <row r="3937" ht="12.75" customHeight="1" x14ac:dyDescent="0.2"/>
    <row r="3938" ht="12.75" customHeight="1" x14ac:dyDescent="0.2"/>
    <row r="3939" ht="12.75" customHeight="1" x14ac:dyDescent="0.2"/>
    <row r="3940" ht="12.75" customHeight="1" x14ac:dyDescent="0.2"/>
    <row r="3941" ht="12.75" customHeight="1" x14ac:dyDescent="0.2"/>
    <row r="3942" ht="12.75" customHeight="1" x14ac:dyDescent="0.2"/>
    <row r="3943" ht="12.75" customHeight="1" x14ac:dyDescent="0.2"/>
    <row r="3944" ht="12.75" customHeight="1" x14ac:dyDescent="0.2"/>
    <row r="3945" ht="12.75" customHeight="1" x14ac:dyDescent="0.2"/>
    <row r="3946" ht="12.75" customHeight="1" x14ac:dyDescent="0.2"/>
    <row r="3947" ht="12.75" customHeight="1" x14ac:dyDescent="0.2"/>
    <row r="3948" ht="12.75" customHeight="1" x14ac:dyDescent="0.2"/>
    <row r="3949" ht="12.75" customHeight="1" x14ac:dyDescent="0.2"/>
    <row r="3950" ht="12.75" customHeight="1" x14ac:dyDescent="0.2"/>
    <row r="3951" ht="12.75" customHeight="1" x14ac:dyDescent="0.2"/>
    <row r="3952" ht="12.75" customHeight="1" x14ac:dyDescent="0.2"/>
    <row r="3953" ht="12.75" customHeight="1" x14ac:dyDescent="0.2"/>
    <row r="3954" ht="12.75" customHeight="1" x14ac:dyDescent="0.2"/>
    <row r="3955" ht="12.75" customHeight="1" x14ac:dyDescent="0.2"/>
    <row r="3956" ht="12.75" customHeight="1" x14ac:dyDescent="0.2"/>
    <row r="3957" ht="12.75" customHeight="1" x14ac:dyDescent="0.2"/>
    <row r="3958" ht="12.75" customHeight="1" x14ac:dyDescent="0.2"/>
    <row r="3959" ht="12.75" customHeight="1" x14ac:dyDescent="0.2"/>
    <row r="3960" ht="12.75" customHeight="1" x14ac:dyDescent="0.2"/>
    <row r="3961" ht="12.75" customHeight="1" x14ac:dyDescent="0.2"/>
    <row r="3962" ht="12.75" customHeight="1" x14ac:dyDescent="0.2"/>
    <row r="3963" ht="12.75" customHeight="1" x14ac:dyDescent="0.2"/>
    <row r="3964" ht="12.75" customHeight="1" x14ac:dyDescent="0.2"/>
    <row r="3965" ht="12.75" customHeight="1" x14ac:dyDescent="0.2"/>
    <row r="3966" ht="12.75" customHeight="1" x14ac:dyDescent="0.2"/>
    <row r="3967" ht="12.75" customHeight="1" x14ac:dyDescent="0.2"/>
    <row r="3968" ht="12.75" customHeight="1" x14ac:dyDescent="0.2"/>
    <row r="3969" ht="12.75" customHeight="1" x14ac:dyDescent="0.2"/>
    <row r="3970" ht="12.75" customHeight="1" x14ac:dyDescent="0.2"/>
    <row r="3971" ht="12.75" customHeight="1" x14ac:dyDescent="0.2"/>
    <row r="3972" ht="12.75" customHeight="1" x14ac:dyDescent="0.2"/>
    <row r="3973" ht="12.75" customHeight="1" x14ac:dyDescent="0.2"/>
    <row r="3974" ht="12.75" customHeight="1" x14ac:dyDescent="0.2"/>
    <row r="3975" ht="12.75" customHeight="1" x14ac:dyDescent="0.2"/>
    <row r="3976" ht="12.75" customHeight="1" x14ac:dyDescent="0.2"/>
    <row r="3977" ht="12.75" customHeight="1" x14ac:dyDescent="0.2"/>
    <row r="3978" ht="12.75" customHeight="1" x14ac:dyDescent="0.2"/>
    <row r="3979" ht="12.75" customHeight="1" x14ac:dyDescent="0.2"/>
    <row r="3980" ht="12.75" customHeight="1" x14ac:dyDescent="0.2"/>
    <row r="3981" ht="12.75" customHeight="1" x14ac:dyDescent="0.2"/>
    <row r="3982" ht="12.75" customHeight="1" x14ac:dyDescent="0.2"/>
    <row r="3983" ht="12.75" customHeight="1" x14ac:dyDescent="0.2"/>
    <row r="3984" ht="12.75" customHeight="1" x14ac:dyDescent="0.2"/>
    <row r="3985" ht="12.75" customHeight="1" x14ac:dyDescent="0.2"/>
    <row r="3986" ht="12.75" customHeight="1" x14ac:dyDescent="0.2"/>
    <row r="3987" ht="12.75" customHeight="1" x14ac:dyDescent="0.2"/>
    <row r="3988" ht="12.75" customHeight="1" x14ac:dyDescent="0.2"/>
    <row r="3989" ht="12.75" customHeight="1" x14ac:dyDescent="0.2"/>
    <row r="3990" ht="12.75" customHeight="1" x14ac:dyDescent="0.2"/>
    <row r="3991" ht="12.75" customHeight="1" x14ac:dyDescent="0.2"/>
    <row r="3992" ht="12.75" customHeight="1" x14ac:dyDescent="0.2"/>
    <row r="3993" ht="12.75" customHeight="1" x14ac:dyDescent="0.2"/>
    <row r="3994" ht="12.75" customHeight="1" x14ac:dyDescent="0.2"/>
    <row r="3995" ht="12.75" customHeight="1" x14ac:dyDescent="0.2"/>
    <row r="3996" ht="12.75" customHeight="1" x14ac:dyDescent="0.2"/>
    <row r="3997" ht="12.75" customHeight="1" x14ac:dyDescent="0.2"/>
    <row r="3998" ht="12.75" customHeight="1" x14ac:dyDescent="0.2"/>
    <row r="3999" ht="12.75" customHeight="1" x14ac:dyDescent="0.2"/>
    <row r="4000" ht="12.75" customHeight="1" x14ac:dyDescent="0.2"/>
    <row r="4001" ht="12.75" customHeight="1" x14ac:dyDescent="0.2"/>
    <row r="4002" ht="12.75" customHeight="1" x14ac:dyDescent="0.2"/>
    <row r="4003" ht="12.75" customHeight="1" x14ac:dyDescent="0.2"/>
    <row r="4004" ht="12.75" customHeight="1" x14ac:dyDescent="0.2"/>
    <row r="4005" ht="12.75" customHeight="1" x14ac:dyDescent="0.2"/>
    <row r="4006" ht="12.75" customHeight="1" x14ac:dyDescent="0.2"/>
    <row r="4007" ht="12.75" customHeight="1" x14ac:dyDescent="0.2"/>
    <row r="4008" ht="12.75" customHeight="1" x14ac:dyDescent="0.2"/>
    <row r="4009" ht="12.75" customHeight="1" x14ac:dyDescent="0.2"/>
    <row r="4010" ht="12.75" customHeight="1" x14ac:dyDescent="0.2"/>
    <row r="4011" ht="12.75" customHeight="1" x14ac:dyDescent="0.2"/>
    <row r="4012" ht="12.75" customHeight="1" x14ac:dyDescent="0.2"/>
    <row r="4013" ht="12.75" customHeight="1" x14ac:dyDescent="0.2"/>
    <row r="4014" ht="12.75" customHeight="1" x14ac:dyDescent="0.2"/>
    <row r="4015" ht="12.75" customHeight="1" x14ac:dyDescent="0.2"/>
    <row r="4016" ht="12.75" customHeight="1" x14ac:dyDescent="0.2"/>
    <row r="4017" ht="12.75" customHeight="1" x14ac:dyDescent="0.2"/>
    <row r="4018" ht="12.75" customHeight="1" x14ac:dyDescent="0.2"/>
    <row r="4019" ht="12.75" customHeight="1" x14ac:dyDescent="0.2"/>
    <row r="4020" ht="12.75" customHeight="1" x14ac:dyDescent="0.2"/>
    <row r="4021" ht="12.75" customHeight="1" x14ac:dyDescent="0.2"/>
    <row r="4022" ht="12.75" customHeight="1" x14ac:dyDescent="0.2"/>
    <row r="4023" ht="12.75" customHeight="1" x14ac:dyDescent="0.2"/>
    <row r="4024" ht="12.75" customHeight="1" x14ac:dyDescent="0.2"/>
    <row r="4025" ht="12.75" customHeight="1" x14ac:dyDescent="0.2"/>
    <row r="4026" ht="12.75" customHeight="1" x14ac:dyDescent="0.2"/>
    <row r="4027" ht="12.75" customHeight="1" x14ac:dyDescent="0.2"/>
    <row r="4028" ht="12.75" customHeight="1" x14ac:dyDescent="0.2"/>
    <row r="4029" ht="12.75" customHeight="1" x14ac:dyDescent="0.2"/>
    <row r="4030" ht="12.75" customHeight="1" x14ac:dyDescent="0.2"/>
    <row r="4031" ht="12.75" customHeight="1" x14ac:dyDescent="0.2"/>
    <row r="4032" ht="12.75" customHeight="1" x14ac:dyDescent="0.2"/>
    <row r="4033" ht="12.75" customHeight="1" x14ac:dyDescent="0.2"/>
    <row r="4034" ht="12.75" customHeight="1" x14ac:dyDescent="0.2"/>
    <row r="4035" ht="12.75" customHeight="1" x14ac:dyDescent="0.2"/>
    <row r="4036" ht="12.75" customHeight="1" x14ac:dyDescent="0.2"/>
    <row r="4037" ht="12.75" customHeight="1" x14ac:dyDescent="0.2"/>
    <row r="4038" ht="12.75" customHeight="1" x14ac:dyDescent="0.2"/>
    <row r="4039" ht="12.75" customHeight="1" x14ac:dyDescent="0.2"/>
    <row r="4040" ht="12.75" customHeight="1" x14ac:dyDescent="0.2"/>
    <row r="4041" ht="12.75" customHeight="1" x14ac:dyDescent="0.2"/>
    <row r="4042" ht="12.75" customHeight="1" x14ac:dyDescent="0.2"/>
    <row r="4043" ht="12.75" customHeight="1" x14ac:dyDescent="0.2"/>
    <row r="4044" ht="12.75" customHeight="1" x14ac:dyDescent="0.2"/>
    <row r="4045" ht="12.75" customHeight="1" x14ac:dyDescent="0.2"/>
    <row r="4046" ht="12.75" customHeight="1" x14ac:dyDescent="0.2"/>
    <row r="4047" ht="12.75" customHeight="1" x14ac:dyDescent="0.2"/>
    <row r="4048" ht="12.75" customHeight="1" x14ac:dyDescent="0.2"/>
    <row r="4049" ht="12.75" customHeight="1" x14ac:dyDescent="0.2"/>
    <row r="4050" ht="12.75" customHeight="1" x14ac:dyDescent="0.2"/>
    <row r="4051" ht="12.75" customHeight="1" x14ac:dyDescent="0.2"/>
    <row r="4052" ht="12.75" customHeight="1" x14ac:dyDescent="0.2"/>
    <row r="4053" ht="12.75" customHeight="1" x14ac:dyDescent="0.2"/>
    <row r="4054" ht="12.75" customHeight="1" x14ac:dyDescent="0.2"/>
    <row r="4055" ht="12.75" customHeight="1" x14ac:dyDescent="0.2"/>
    <row r="4056" ht="12.75" customHeight="1" x14ac:dyDescent="0.2"/>
    <row r="4057" ht="12.75" customHeight="1" x14ac:dyDescent="0.2"/>
    <row r="4058" ht="12.75" customHeight="1" x14ac:dyDescent="0.2"/>
    <row r="4059" ht="12.75" customHeight="1" x14ac:dyDescent="0.2"/>
    <row r="4060" ht="12.75" customHeight="1" x14ac:dyDescent="0.2"/>
    <row r="4061" ht="12.75" customHeight="1" x14ac:dyDescent="0.2"/>
    <row r="4062" ht="12.75" customHeight="1" x14ac:dyDescent="0.2"/>
    <row r="4063" ht="12.75" customHeight="1" x14ac:dyDescent="0.2"/>
    <row r="4064" ht="12.75" customHeight="1" x14ac:dyDescent="0.2"/>
    <row r="4065" ht="12.75" customHeight="1" x14ac:dyDescent="0.2"/>
    <row r="4066" ht="12.75" customHeight="1" x14ac:dyDescent="0.2"/>
    <row r="4067" ht="12.75" customHeight="1" x14ac:dyDescent="0.2"/>
    <row r="4068" ht="12.75" customHeight="1" x14ac:dyDescent="0.2"/>
    <row r="4069" ht="12.75" customHeight="1" x14ac:dyDescent="0.2"/>
    <row r="4070" ht="12.75" customHeight="1" x14ac:dyDescent="0.2"/>
    <row r="4071" ht="12.75" customHeight="1" x14ac:dyDescent="0.2"/>
    <row r="4072" ht="12.75" customHeight="1" x14ac:dyDescent="0.2"/>
    <row r="4073" ht="12.75" customHeight="1" x14ac:dyDescent="0.2"/>
    <row r="4074" ht="12.75" customHeight="1" x14ac:dyDescent="0.2"/>
    <row r="4075" ht="12.75" customHeight="1" x14ac:dyDescent="0.2"/>
    <row r="4076" ht="12.75" customHeight="1" x14ac:dyDescent="0.2"/>
    <row r="4077" ht="12.75" customHeight="1" x14ac:dyDescent="0.2"/>
    <row r="4078" ht="12.75" customHeight="1" x14ac:dyDescent="0.2"/>
    <row r="4079" ht="12.75" customHeight="1" x14ac:dyDescent="0.2"/>
    <row r="4080" ht="12.75" customHeight="1" x14ac:dyDescent="0.2"/>
    <row r="4081" ht="12.75" customHeight="1" x14ac:dyDescent="0.2"/>
    <row r="4082" ht="12.75" customHeight="1" x14ac:dyDescent="0.2"/>
    <row r="4083" ht="12.75" customHeight="1" x14ac:dyDescent="0.2"/>
    <row r="4084" ht="12.75" customHeight="1" x14ac:dyDescent="0.2"/>
    <row r="4085" ht="12.75" customHeight="1" x14ac:dyDescent="0.2"/>
    <row r="4086" ht="12.75" customHeight="1" x14ac:dyDescent="0.2"/>
    <row r="4087" ht="12.75" customHeight="1" x14ac:dyDescent="0.2"/>
    <row r="4088" ht="12.75" customHeight="1" x14ac:dyDescent="0.2"/>
    <row r="4089" ht="12.75" customHeight="1" x14ac:dyDescent="0.2"/>
    <row r="4090" ht="12.75" customHeight="1" x14ac:dyDescent="0.2"/>
    <row r="4091" ht="12.75" customHeight="1" x14ac:dyDescent="0.2"/>
    <row r="4092" ht="12.75" customHeight="1" x14ac:dyDescent="0.2"/>
    <row r="4093" ht="12.75" customHeight="1" x14ac:dyDescent="0.2"/>
    <row r="4094" ht="12.75" customHeight="1" x14ac:dyDescent="0.2"/>
    <row r="4095" ht="12.75" customHeight="1" x14ac:dyDescent="0.2"/>
    <row r="4096" ht="12.75" customHeight="1" x14ac:dyDescent="0.2"/>
    <row r="4097" ht="12.75" customHeight="1" x14ac:dyDescent="0.2"/>
    <row r="4098" ht="12.75" customHeight="1" x14ac:dyDescent="0.2"/>
    <row r="4099" ht="12.75" customHeight="1" x14ac:dyDescent="0.2"/>
    <row r="4100" ht="12.75" customHeight="1" x14ac:dyDescent="0.2"/>
    <row r="4101" ht="12.75" customHeight="1" x14ac:dyDescent="0.2"/>
    <row r="4102" ht="12.75" customHeight="1" x14ac:dyDescent="0.2"/>
    <row r="4103" ht="12.75" customHeight="1" x14ac:dyDescent="0.2"/>
    <row r="4104" ht="12.75" customHeight="1" x14ac:dyDescent="0.2"/>
    <row r="4105" ht="12.75" customHeight="1" x14ac:dyDescent="0.2"/>
    <row r="4106" ht="12.75" customHeight="1" x14ac:dyDescent="0.2"/>
    <row r="4107" ht="12.75" customHeight="1" x14ac:dyDescent="0.2"/>
    <row r="4108" ht="12.75" customHeight="1" x14ac:dyDescent="0.2"/>
    <row r="4109" ht="12.75" customHeight="1" x14ac:dyDescent="0.2"/>
    <row r="4110" ht="12.75" customHeight="1" x14ac:dyDescent="0.2"/>
    <row r="4111" ht="12.75" customHeight="1" x14ac:dyDescent="0.2"/>
    <row r="4112" ht="12.75" customHeight="1" x14ac:dyDescent="0.2"/>
    <row r="4113" ht="12.75" customHeight="1" x14ac:dyDescent="0.2"/>
    <row r="4114" ht="12.75" customHeight="1" x14ac:dyDescent="0.2"/>
    <row r="4115" ht="12.75" customHeight="1" x14ac:dyDescent="0.2"/>
    <row r="4116" ht="12.75" customHeight="1" x14ac:dyDescent="0.2"/>
    <row r="4117" ht="12.75" customHeight="1" x14ac:dyDescent="0.2"/>
    <row r="4118" ht="12.75" customHeight="1" x14ac:dyDescent="0.2"/>
    <row r="4119" ht="12.75" customHeight="1" x14ac:dyDescent="0.2"/>
    <row r="4120" ht="12.75" customHeight="1" x14ac:dyDescent="0.2"/>
    <row r="4121" ht="12.75" customHeight="1" x14ac:dyDescent="0.2"/>
    <row r="4122" ht="12.75" customHeight="1" x14ac:dyDescent="0.2"/>
    <row r="4123" ht="12.75" customHeight="1" x14ac:dyDescent="0.2"/>
    <row r="4124" ht="12.75" customHeight="1" x14ac:dyDescent="0.2"/>
    <row r="4125" ht="12.75" customHeight="1" x14ac:dyDescent="0.2"/>
    <row r="4126" ht="12.75" customHeight="1" x14ac:dyDescent="0.2"/>
    <row r="4127" ht="12.75" customHeight="1" x14ac:dyDescent="0.2"/>
    <row r="4128" ht="12.75" customHeight="1" x14ac:dyDescent="0.2"/>
    <row r="4129" ht="12.75" customHeight="1" x14ac:dyDescent="0.2"/>
    <row r="4130" ht="12.75" customHeight="1" x14ac:dyDescent="0.2"/>
    <row r="4131" ht="12.75" customHeight="1" x14ac:dyDescent="0.2"/>
    <row r="4132" ht="12.75" customHeight="1" x14ac:dyDescent="0.2"/>
    <row r="4133" ht="12.75" customHeight="1" x14ac:dyDescent="0.2"/>
    <row r="4134" ht="12.75" customHeight="1" x14ac:dyDescent="0.2"/>
    <row r="4135" ht="12.75" customHeight="1" x14ac:dyDescent="0.2"/>
    <row r="4136" ht="12.75" customHeight="1" x14ac:dyDescent="0.2"/>
    <row r="4137" ht="12.75" customHeight="1" x14ac:dyDescent="0.2"/>
    <row r="4138" ht="12.75" customHeight="1" x14ac:dyDescent="0.2"/>
    <row r="4139" ht="12.75" customHeight="1" x14ac:dyDescent="0.2"/>
    <row r="4140" ht="12.75" customHeight="1" x14ac:dyDescent="0.2"/>
    <row r="4141" ht="12.75" customHeight="1" x14ac:dyDescent="0.2"/>
    <row r="4142" ht="12.75" customHeight="1" x14ac:dyDescent="0.2"/>
    <row r="4143" ht="12.75" customHeight="1" x14ac:dyDescent="0.2"/>
    <row r="4144" ht="12.75" customHeight="1" x14ac:dyDescent="0.2"/>
    <row r="4145" ht="12.75" customHeight="1" x14ac:dyDescent="0.2"/>
    <row r="4146" ht="12.75" customHeight="1" x14ac:dyDescent="0.2"/>
    <row r="4147" ht="12.75" customHeight="1" x14ac:dyDescent="0.2"/>
    <row r="4148" ht="12.75" customHeight="1" x14ac:dyDescent="0.2"/>
    <row r="4149" ht="12.75" customHeight="1" x14ac:dyDescent="0.2"/>
    <row r="4150" ht="12.75" customHeight="1" x14ac:dyDescent="0.2"/>
    <row r="4151" ht="12.75" customHeight="1" x14ac:dyDescent="0.2"/>
    <row r="4152" ht="12.75" customHeight="1" x14ac:dyDescent="0.2"/>
    <row r="4153" ht="12.75" customHeight="1" x14ac:dyDescent="0.2"/>
    <row r="4154" ht="12.75" customHeight="1" x14ac:dyDescent="0.2"/>
    <row r="4155" ht="12.75" customHeight="1" x14ac:dyDescent="0.2"/>
    <row r="4156" ht="12.75" customHeight="1" x14ac:dyDescent="0.2"/>
    <row r="4157" ht="12.75" customHeight="1" x14ac:dyDescent="0.2"/>
    <row r="4158" ht="12.75" customHeight="1" x14ac:dyDescent="0.2"/>
    <row r="4159" ht="12.75" customHeight="1" x14ac:dyDescent="0.2"/>
    <row r="4160" ht="12.75" customHeight="1" x14ac:dyDescent="0.2"/>
    <row r="4161" ht="12.75" customHeight="1" x14ac:dyDescent="0.2"/>
    <row r="4162" ht="12.75" customHeight="1" x14ac:dyDescent="0.2"/>
    <row r="4163" ht="12.75" customHeight="1" x14ac:dyDescent="0.2"/>
    <row r="4164" ht="12.75" customHeight="1" x14ac:dyDescent="0.2"/>
    <row r="4165" ht="12.75" customHeight="1" x14ac:dyDescent="0.2"/>
    <row r="4166" ht="12.75" customHeight="1" x14ac:dyDescent="0.2"/>
    <row r="4167" ht="12.75" customHeight="1" x14ac:dyDescent="0.2"/>
    <row r="4168" ht="12.75" customHeight="1" x14ac:dyDescent="0.2"/>
    <row r="4169" ht="12.75" customHeight="1" x14ac:dyDescent="0.2"/>
    <row r="4170" ht="12.75" customHeight="1" x14ac:dyDescent="0.2"/>
    <row r="4171" ht="12.75" customHeight="1" x14ac:dyDescent="0.2"/>
    <row r="4172" ht="12.75" customHeight="1" x14ac:dyDescent="0.2"/>
    <row r="4173" ht="12.75" customHeight="1" x14ac:dyDescent="0.2"/>
    <row r="4174" ht="12.75" customHeight="1" x14ac:dyDescent="0.2"/>
    <row r="4175" ht="12.75" customHeight="1" x14ac:dyDescent="0.2"/>
    <row r="4176" ht="12.75" customHeight="1" x14ac:dyDescent="0.2"/>
    <row r="4177" ht="12.75" customHeight="1" x14ac:dyDescent="0.2"/>
    <row r="4178" ht="12.75" customHeight="1" x14ac:dyDescent="0.2"/>
    <row r="4179" ht="12.75" customHeight="1" x14ac:dyDescent="0.2"/>
    <row r="4180" ht="12.75" customHeight="1" x14ac:dyDescent="0.2"/>
    <row r="4181" ht="12.75" customHeight="1" x14ac:dyDescent="0.2"/>
    <row r="4182" ht="12.75" customHeight="1" x14ac:dyDescent="0.2"/>
    <row r="4183" ht="12.75" customHeight="1" x14ac:dyDescent="0.2"/>
    <row r="4184" ht="12.75" customHeight="1" x14ac:dyDescent="0.2"/>
    <row r="4185" ht="12.75" customHeight="1" x14ac:dyDescent="0.2"/>
    <row r="4186" ht="12.75" customHeight="1" x14ac:dyDescent="0.2"/>
    <row r="4187" ht="12.75" customHeight="1" x14ac:dyDescent="0.2"/>
    <row r="4188" ht="12.75" customHeight="1" x14ac:dyDescent="0.2"/>
    <row r="4189" ht="12.75" customHeight="1" x14ac:dyDescent="0.2"/>
    <row r="4190" ht="12.75" customHeight="1" x14ac:dyDescent="0.2"/>
    <row r="4191" ht="12.75" customHeight="1" x14ac:dyDescent="0.2"/>
    <row r="4192" ht="12.75" customHeight="1" x14ac:dyDescent="0.2"/>
    <row r="4193" ht="12.75" customHeight="1" x14ac:dyDescent="0.2"/>
    <row r="4194" ht="12.75" customHeight="1" x14ac:dyDescent="0.2"/>
    <row r="4195" ht="12.75" customHeight="1" x14ac:dyDescent="0.2"/>
    <row r="4196" ht="12.75" customHeight="1" x14ac:dyDescent="0.2"/>
    <row r="4197" ht="12.75" customHeight="1" x14ac:dyDescent="0.2"/>
    <row r="4198" ht="12.75" customHeight="1" x14ac:dyDescent="0.2"/>
    <row r="4199" ht="12.75" customHeight="1" x14ac:dyDescent="0.2"/>
    <row r="4200" ht="12.75" customHeight="1" x14ac:dyDescent="0.2"/>
    <row r="4201" ht="12.75" customHeight="1" x14ac:dyDescent="0.2"/>
    <row r="4202" ht="12.75" customHeight="1" x14ac:dyDescent="0.2"/>
    <row r="4203" ht="12.75" customHeight="1" x14ac:dyDescent="0.2"/>
    <row r="4204" ht="12.75" customHeight="1" x14ac:dyDescent="0.2"/>
    <row r="4205" ht="12.75" customHeight="1" x14ac:dyDescent="0.2"/>
    <row r="4206" ht="12.75" customHeight="1" x14ac:dyDescent="0.2"/>
    <row r="4207" ht="12.75" customHeight="1" x14ac:dyDescent="0.2"/>
    <row r="4208" ht="12.75" customHeight="1" x14ac:dyDescent="0.2"/>
    <row r="4209" ht="12.75" customHeight="1" x14ac:dyDescent="0.2"/>
    <row r="4210" ht="12.75" customHeight="1" x14ac:dyDescent="0.2"/>
    <row r="4211" ht="12.75" customHeight="1" x14ac:dyDescent="0.2"/>
    <row r="4212" ht="12.75" customHeight="1" x14ac:dyDescent="0.2"/>
    <row r="4213" ht="12.75" customHeight="1" x14ac:dyDescent="0.2"/>
    <row r="4214" ht="12.75" customHeight="1" x14ac:dyDescent="0.2"/>
    <row r="4215" ht="12.75" customHeight="1" x14ac:dyDescent="0.2"/>
    <row r="4216" ht="12.75" customHeight="1" x14ac:dyDescent="0.2"/>
    <row r="4217" ht="12.75" customHeight="1" x14ac:dyDescent="0.2"/>
    <row r="4218" ht="12.75" customHeight="1" x14ac:dyDescent="0.2"/>
    <row r="4219" ht="12.75" customHeight="1" x14ac:dyDescent="0.2"/>
    <row r="4220" ht="12.75" customHeight="1" x14ac:dyDescent="0.2"/>
    <row r="4221" ht="12.75" customHeight="1" x14ac:dyDescent="0.2"/>
    <row r="4222" ht="12.75" customHeight="1" x14ac:dyDescent="0.2"/>
    <row r="4223" ht="12.75" customHeight="1" x14ac:dyDescent="0.2"/>
    <row r="4224" ht="12.75" customHeight="1" x14ac:dyDescent="0.2"/>
    <row r="4225" ht="12.75" customHeight="1" x14ac:dyDescent="0.2"/>
    <row r="4226" ht="12.75" customHeight="1" x14ac:dyDescent="0.2"/>
    <row r="4227" ht="12.75" customHeight="1" x14ac:dyDescent="0.2"/>
    <row r="4228" ht="12.75" customHeight="1" x14ac:dyDescent="0.2"/>
    <row r="4229" ht="12.75" customHeight="1" x14ac:dyDescent="0.2"/>
    <row r="4230" ht="12.75" customHeight="1" x14ac:dyDescent="0.2"/>
    <row r="4231" ht="12.75" customHeight="1" x14ac:dyDescent="0.2"/>
    <row r="4232" ht="12.75" customHeight="1" x14ac:dyDescent="0.2"/>
    <row r="4233" ht="12.75" customHeight="1" x14ac:dyDescent="0.2"/>
    <row r="4234" ht="12.75" customHeight="1" x14ac:dyDescent="0.2"/>
    <row r="4235" ht="12.75" customHeight="1" x14ac:dyDescent="0.2"/>
    <row r="4236" ht="12.75" customHeight="1" x14ac:dyDescent="0.2"/>
    <row r="4237" ht="12.75" customHeight="1" x14ac:dyDescent="0.2"/>
    <row r="4238" ht="12.75" customHeight="1" x14ac:dyDescent="0.2"/>
    <row r="4239" ht="12.75" customHeight="1" x14ac:dyDescent="0.2"/>
    <row r="4240" ht="12.75" customHeight="1" x14ac:dyDescent="0.2"/>
    <row r="4241" ht="12.75" customHeight="1" x14ac:dyDescent="0.2"/>
    <row r="4242" ht="12.75" customHeight="1" x14ac:dyDescent="0.2"/>
    <row r="4243" ht="12.75" customHeight="1" x14ac:dyDescent="0.2"/>
    <row r="4244" ht="12.75" customHeight="1" x14ac:dyDescent="0.2"/>
    <row r="4245" ht="12.75" customHeight="1" x14ac:dyDescent="0.2"/>
    <row r="4246" ht="12.75" customHeight="1" x14ac:dyDescent="0.2"/>
    <row r="4247" ht="12.75" customHeight="1" x14ac:dyDescent="0.2"/>
    <row r="4248" ht="12.75" customHeight="1" x14ac:dyDescent="0.2"/>
    <row r="4249" ht="12.75" customHeight="1" x14ac:dyDescent="0.2"/>
    <row r="4250" ht="12.75" customHeight="1" x14ac:dyDescent="0.2"/>
    <row r="4251" ht="12.75" customHeight="1" x14ac:dyDescent="0.2"/>
    <row r="4252" ht="12.75" customHeight="1" x14ac:dyDescent="0.2"/>
    <row r="4253" ht="12.75" customHeight="1" x14ac:dyDescent="0.2"/>
    <row r="4254" ht="12.75" customHeight="1" x14ac:dyDescent="0.2"/>
    <row r="4255" ht="12.75" customHeight="1" x14ac:dyDescent="0.2"/>
    <row r="4256" ht="12.75" customHeight="1" x14ac:dyDescent="0.2"/>
    <row r="4257" ht="12.75" customHeight="1" x14ac:dyDescent="0.2"/>
    <row r="4258" ht="12.75" customHeight="1" x14ac:dyDescent="0.2"/>
    <row r="4259" ht="12.75" customHeight="1" x14ac:dyDescent="0.2"/>
    <row r="4260" ht="12.75" customHeight="1" x14ac:dyDescent="0.2"/>
    <row r="4261" ht="12.75" customHeight="1" x14ac:dyDescent="0.2"/>
    <row r="4262" ht="12.75" customHeight="1" x14ac:dyDescent="0.2"/>
    <row r="4263" ht="12.75" customHeight="1" x14ac:dyDescent="0.2"/>
    <row r="4264" ht="12.75" customHeight="1" x14ac:dyDescent="0.2"/>
    <row r="4265" ht="12.75" customHeight="1" x14ac:dyDescent="0.2"/>
    <row r="4266" ht="12.75" customHeight="1" x14ac:dyDescent="0.2"/>
    <row r="4267" ht="12.75" customHeight="1" x14ac:dyDescent="0.2"/>
    <row r="4268" ht="12.75" customHeight="1" x14ac:dyDescent="0.2"/>
    <row r="4269" ht="12.75" customHeight="1" x14ac:dyDescent="0.2"/>
    <row r="4270" ht="12.75" customHeight="1" x14ac:dyDescent="0.2"/>
    <row r="4271" ht="12.75" customHeight="1" x14ac:dyDescent="0.2"/>
    <row r="4272" ht="12.75" customHeight="1" x14ac:dyDescent="0.2"/>
    <row r="4273" ht="12.75" customHeight="1" x14ac:dyDescent="0.2"/>
    <row r="4274" ht="12.75" customHeight="1" x14ac:dyDescent="0.2"/>
    <row r="4275" ht="12.75" customHeight="1" x14ac:dyDescent="0.2"/>
    <row r="4276" ht="12.75" customHeight="1" x14ac:dyDescent="0.2"/>
    <row r="4277" ht="12.75" customHeight="1" x14ac:dyDescent="0.2"/>
    <row r="4278" ht="12.75" customHeight="1" x14ac:dyDescent="0.2"/>
    <row r="4279" ht="12.75" customHeight="1" x14ac:dyDescent="0.2"/>
    <row r="4280" ht="12.75" customHeight="1" x14ac:dyDescent="0.2"/>
    <row r="4281" ht="12.75" customHeight="1" x14ac:dyDescent="0.2"/>
    <row r="4282" ht="12.75" customHeight="1" x14ac:dyDescent="0.2"/>
    <row r="4283" ht="12.75" customHeight="1" x14ac:dyDescent="0.2"/>
    <row r="4284" ht="12.75" customHeight="1" x14ac:dyDescent="0.2"/>
    <row r="4285" ht="12.75" customHeight="1" x14ac:dyDescent="0.2"/>
    <row r="4286" ht="12.75" customHeight="1" x14ac:dyDescent="0.2"/>
    <row r="4287" ht="12.75" customHeight="1" x14ac:dyDescent="0.2"/>
    <row r="4288" ht="12.75" customHeight="1" x14ac:dyDescent="0.2"/>
    <row r="4289" ht="12.75" customHeight="1" x14ac:dyDescent="0.2"/>
    <row r="4290" ht="12.75" customHeight="1" x14ac:dyDescent="0.2"/>
    <row r="4291" ht="12.75" customHeight="1" x14ac:dyDescent="0.2"/>
    <row r="4292" ht="12.75" customHeight="1" x14ac:dyDescent="0.2"/>
    <row r="4293" ht="12.75" customHeight="1" x14ac:dyDescent="0.2"/>
    <row r="4294" ht="12.75" customHeight="1" x14ac:dyDescent="0.2"/>
    <row r="4295" ht="12.75" customHeight="1" x14ac:dyDescent="0.2"/>
    <row r="4296" ht="12.75" customHeight="1" x14ac:dyDescent="0.2"/>
    <row r="4297" ht="12.75" customHeight="1" x14ac:dyDescent="0.2"/>
    <row r="4298" ht="12.75" customHeight="1" x14ac:dyDescent="0.2"/>
    <row r="4299" ht="12.75" customHeight="1" x14ac:dyDescent="0.2"/>
    <row r="4300" ht="12.75" customHeight="1" x14ac:dyDescent="0.2"/>
    <row r="4301" ht="12.75" customHeight="1" x14ac:dyDescent="0.2"/>
    <row r="4302" ht="12.75" customHeight="1" x14ac:dyDescent="0.2"/>
    <row r="4303" ht="12.75" customHeight="1" x14ac:dyDescent="0.2"/>
    <row r="4304" ht="12.75" customHeight="1" x14ac:dyDescent="0.2"/>
    <row r="4305" ht="12.75" customHeight="1" x14ac:dyDescent="0.2"/>
    <row r="4306" ht="12.75" customHeight="1" x14ac:dyDescent="0.2"/>
    <row r="4307" ht="12.75" customHeight="1" x14ac:dyDescent="0.2"/>
    <row r="4308" ht="12.75" customHeight="1" x14ac:dyDescent="0.2"/>
    <row r="4309" ht="12.75" customHeight="1" x14ac:dyDescent="0.2"/>
    <row r="4310" ht="12.75" customHeight="1" x14ac:dyDescent="0.2"/>
    <row r="4311" ht="12.75" customHeight="1" x14ac:dyDescent="0.2"/>
    <row r="4312" ht="12.75" customHeight="1" x14ac:dyDescent="0.2"/>
    <row r="4313" ht="12.75" customHeight="1" x14ac:dyDescent="0.2"/>
    <row r="4314" ht="12.75" customHeight="1" x14ac:dyDescent="0.2"/>
    <row r="4315" ht="12.75" customHeight="1" x14ac:dyDescent="0.2"/>
    <row r="4316" ht="12.75" customHeight="1" x14ac:dyDescent="0.2"/>
    <row r="4317" ht="12.75" customHeight="1" x14ac:dyDescent="0.2"/>
    <row r="4318" ht="12.75" customHeight="1" x14ac:dyDescent="0.2"/>
    <row r="4319" ht="12.75" customHeight="1" x14ac:dyDescent="0.2"/>
    <row r="4320" ht="12.75" customHeight="1" x14ac:dyDescent="0.2"/>
    <row r="4321" ht="12.75" customHeight="1" x14ac:dyDescent="0.2"/>
    <row r="4322" ht="12.75" customHeight="1" x14ac:dyDescent="0.2"/>
    <row r="4323" ht="12.75" customHeight="1" x14ac:dyDescent="0.2"/>
    <row r="4324" ht="12.75" customHeight="1" x14ac:dyDescent="0.2"/>
    <row r="4325" ht="12.75" customHeight="1" x14ac:dyDescent="0.2"/>
    <row r="4326" ht="12.75" customHeight="1" x14ac:dyDescent="0.2"/>
    <row r="4327" ht="12.75" customHeight="1" x14ac:dyDescent="0.2"/>
    <row r="4328" ht="12.75" customHeight="1" x14ac:dyDescent="0.2"/>
    <row r="4329" ht="12.75" customHeight="1" x14ac:dyDescent="0.2"/>
    <row r="4330" ht="12.75" customHeight="1" x14ac:dyDescent="0.2"/>
    <row r="4331" ht="12.75" customHeight="1" x14ac:dyDescent="0.2"/>
    <row r="4332" ht="12.75" customHeight="1" x14ac:dyDescent="0.2"/>
    <row r="4333" ht="12.75" customHeight="1" x14ac:dyDescent="0.2"/>
    <row r="4334" ht="12.75" customHeight="1" x14ac:dyDescent="0.2"/>
    <row r="4335" ht="12.75" customHeight="1" x14ac:dyDescent="0.2"/>
    <row r="4336" ht="12.75" customHeight="1" x14ac:dyDescent="0.2"/>
    <row r="4337" ht="12.75" customHeight="1" x14ac:dyDescent="0.2"/>
    <row r="4338" ht="12.75" customHeight="1" x14ac:dyDescent="0.2"/>
    <row r="4339" ht="12.75" customHeight="1" x14ac:dyDescent="0.2"/>
    <row r="4340" ht="12.75" customHeight="1" x14ac:dyDescent="0.2"/>
    <row r="4341" ht="12.75" customHeight="1" x14ac:dyDescent="0.2"/>
    <row r="4342" ht="12.75" customHeight="1" x14ac:dyDescent="0.2"/>
    <row r="4343" ht="12.75" customHeight="1" x14ac:dyDescent="0.2"/>
    <row r="4344" ht="12.75" customHeight="1" x14ac:dyDescent="0.2"/>
    <row r="4345" ht="12.75" customHeight="1" x14ac:dyDescent="0.2"/>
    <row r="4346" ht="12.75" customHeight="1" x14ac:dyDescent="0.2"/>
    <row r="4347" ht="12.75" customHeight="1" x14ac:dyDescent="0.2"/>
    <row r="4348" ht="12.75" customHeight="1" x14ac:dyDescent="0.2"/>
    <row r="4349" ht="12.75" customHeight="1" x14ac:dyDescent="0.2"/>
    <row r="4350" ht="12.75" customHeight="1" x14ac:dyDescent="0.2"/>
    <row r="4351" ht="12.75" customHeight="1" x14ac:dyDescent="0.2"/>
    <row r="4352" ht="12.75" customHeight="1" x14ac:dyDescent="0.2"/>
    <row r="4353" ht="12.75" customHeight="1" x14ac:dyDescent="0.2"/>
    <row r="4354" ht="12.75" customHeight="1" x14ac:dyDescent="0.2"/>
    <row r="4355" ht="12.75" customHeight="1" x14ac:dyDescent="0.2"/>
    <row r="4356" ht="12.75" customHeight="1" x14ac:dyDescent="0.2"/>
    <row r="4357" ht="12.75" customHeight="1" x14ac:dyDescent="0.2"/>
    <row r="4358" ht="12.75" customHeight="1" x14ac:dyDescent="0.2"/>
    <row r="4359" ht="12.75" customHeight="1" x14ac:dyDescent="0.2"/>
    <row r="4360" ht="12.75" customHeight="1" x14ac:dyDescent="0.2"/>
    <row r="4361" ht="12.75" customHeight="1" x14ac:dyDescent="0.2"/>
    <row r="4362" ht="12.75" customHeight="1" x14ac:dyDescent="0.2"/>
    <row r="4363" ht="12.75" customHeight="1" x14ac:dyDescent="0.2"/>
    <row r="4364" ht="12.75" customHeight="1" x14ac:dyDescent="0.2"/>
    <row r="4365" ht="12.75" customHeight="1" x14ac:dyDescent="0.2"/>
    <row r="4366" ht="12.75" customHeight="1" x14ac:dyDescent="0.2"/>
    <row r="4367" ht="12.75" customHeight="1" x14ac:dyDescent="0.2"/>
    <row r="4368" ht="12.75" customHeight="1" x14ac:dyDescent="0.2"/>
    <row r="4369" ht="12.75" customHeight="1" x14ac:dyDescent="0.2"/>
    <row r="4370" ht="12.75" customHeight="1" x14ac:dyDescent="0.2"/>
    <row r="4371" ht="12.75" customHeight="1" x14ac:dyDescent="0.2"/>
    <row r="4372" ht="12.75" customHeight="1" x14ac:dyDescent="0.2"/>
    <row r="4373" ht="12.75" customHeight="1" x14ac:dyDescent="0.2"/>
    <row r="4374" ht="12.75" customHeight="1" x14ac:dyDescent="0.2"/>
    <row r="4375" ht="12.75" customHeight="1" x14ac:dyDescent="0.2"/>
    <row r="4376" ht="12.75" customHeight="1" x14ac:dyDescent="0.2"/>
    <row r="4377" ht="12.75" customHeight="1" x14ac:dyDescent="0.2"/>
    <row r="4378" ht="12.75" customHeight="1" x14ac:dyDescent="0.2"/>
    <row r="4379" ht="12.75" customHeight="1" x14ac:dyDescent="0.2"/>
    <row r="4380" ht="12.75" customHeight="1" x14ac:dyDescent="0.2"/>
    <row r="4381" ht="12.75" customHeight="1" x14ac:dyDescent="0.2"/>
    <row r="4382" ht="12.75" customHeight="1" x14ac:dyDescent="0.2"/>
    <row r="4383" ht="12.75" customHeight="1" x14ac:dyDescent="0.2"/>
    <row r="4384" ht="12.75" customHeight="1" x14ac:dyDescent="0.2"/>
    <row r="4385" ht="12.75" customHeight="1" x14ac:dyDescent="0.2"/>
    <row r="4386" ht="12.75" customHeight="1" x14ac:dyDescent="0.2"/>
    <row r="4387" ht="12.75" customHeight="1" x14ac:dyDescent="0.2"/>
    <row r="4388" ht="12.75" customHeight="1" x14ac:dyDescent="0.2"/>
    <row r="4389" ht="12.75" customHeight="1" x14ac:dyDescent="0.2"/>
    <row r="4390" ht="12.75" customHeight="1" x14ac:dyDescent="0.2"/>
    <row r="4391" ht="12.75" customHeight="1" x14ac:dyDescent="0.2"/>
    <row r="4392" ht="12.75" customHeight="1" x14ac:dyDescent="0.2"/>
    <row r="4393" ht="12.75" customHeight="1" x14ac:dyDescent="0.2"/>
    <row r="4394" ht="12.75" customHeight="1" x14ac:dyDescent="0.2"/>
    <row r="4395" ht="12.75" customHeight="1" x14ac:dyDescent="0.2"/>
    <row r="4396" ht="12.75" customHeight="1" x14ac:dyDescent="0.2"/>
    <row r="4397" ht="12.75" customHeight="1" x14ac:dyDescent="0.2"/>
    <row r="4398" ht="12.75" customHeight="1" x14ac:dyDescent="0.2"/>
    <row r="4399" ht="12.75" customHeight="1" x14ac:dyDescent="0.2"/>
    <row r="4400" ht="12.75" customHeight="1" x14ac:dyDescent="0.2"/>
    <row r="4401" ht="12.75" customHeight="1" x14ac:dyDescent="0.2"/>
    <row r="4402" ht="12.75" customHeight="1" x14ac:dyDescent="0.2"/>
    <row r="4403" ht="12.75" customHeight="1" x14ac:dyDescent="0.2"/>
    <row r="4404" ht="12.75" customHeight="1" x14ac:dyDescent="0.2"/>
    <row r="4405" ht="12.75" customHeight="1" x14ac:dyDescent="0.2"/>
    <row r="4406" ht="12.75" customHeight="1" x14ac:dyDescent="0.2"/>
    <row r="4407" ht="12.75" customHeight="1" x14ac:dyDescent="0.2"/>
    <row r="4408" ht="12.75" customHeight="1" x14ac:dyDescent="0.2"/>
    <row r="4409" ht="12.75" customHeight="1" x14ac:dyDescent="0.2"/>
    <row r="4410" ht="12.75" customHeight="1" x14ac:dyDescent="0.2"/>
    <row r="4411" ht="12.75" customHeight="1" x14ac:dyDescent="0.2"/>
    <row r="4412" ht="12.75" customHeight="1" x14ac:dyDescent="0.2"/>
    <row r="4413" ht="12.75" customHeight="1" x14ac:dyDescent="0.2"/>
    <row r="4414" ht="12.75" customHeight="1" x14ac:dyDescent="0.2"/>
    <row r="4415" ht="12.75" customHeight="1" x14ac:dyDescent="0.2"/>
    <row r="4416" ht="12.75" customHeight="1" x14ac:dyDescent="0.2"/>
    <row r="4417" ht="12.75" customHeight="1" x14ac:dyDescent="0.2"/>
    <row r="4418" ht="12.75" customHeight="1" x14ac:dyDescent="0.2"/>
    <row r="4419" ht="12.75" customHeight="1" x14ac:dyDescent="0.2"/>
    <row r="4420" ht="12.75" customHeight="1" x14ac:dyDescent="0.2"/>
    <row r="4421" ht="12.75" customHeight="1" x14ac:dyDescent="0.2"/>
    <row r="4422" ht="12.75" customHeight="1" x14ac:dyDescent="0.2"/>
    <row r="4423" ht="12.75" customHeight="1" x14ac:dyDescent="0.2"/>
    <row r="4424" ht="12.75" customHeight="1" x14ac:dyDescent="0.2"/>
    <row r="4425" ht="12.75" customHeight="1" x14ac:dyDescent="0.2"/>
    <row r="4426" ht="12.75" customHeight="1" x14ac:dyDescent="0.2"/>
    <row r="4427" ht="12.75" customHeight="1" x14ac:dyDescent="0.2"/>
    <row r="4428" ht="12.75" customHeight="1" x14ac:dyDescent="0.2"/>
    <row r="4429" ht="12.75" customHeight="1" x14ac:dyDescent="0.2"/>
    <row r="4430" ht="12.75" customHeight="1" x14ac:dyDescent="0.2"/>
    <row r="4431" ht="12.75" customHeight="1" x14ac:dyDescent="0.2"/>
    <row r="4432" ht="12.75" customHeight="1" x14ac:dyDescent="0.2"/>
    <row r="4433" ht="12.75" customHeight="1" x14ac:dyDescent="0.2"/>
    <row r="4434" ht="12.75" customHeight="1" x14ac:dyDescent="0.2"/>
    <row r="4435" ht="12.75" customHeight="1" x14ac:dyDescent="0.2"/>
    <row r="4436" ht="12.75" customHeight="1" x14ac:dyDescent="0.2"/>
    <row r="4437" ht="12.75" customHeight="1" x14ac:dyDescent="0.2"/>
    <row r="4438" ht="12.75" customHeight="1" x14ac:dyDescent="0.2"/>
    <row r="4439" ht="12.75" customHeight="1" x14ac:dyDescent="0.2"/>
    <row r="4440" ht="12.75" customHeight="1" x14ac:dyDescent="0.2"/>
    <row r="4441" ht="12.75" customHeight="1" x14ac:dyDescent="0.2"/>
    <row r="4442" ht="12.75" customHeight="1" x14ac:dyDescent="0.2"/>
    <row r="4443" ht="12.75" customHeight="1" x14ac:dyDescent="0.2"/>
    <row r="4444" ht="12.75" customHeight="1" x14ac:dyDescent="0.2"/>
    <row r="4445" ht="12.75" customHeight="1" x14ac:dyDescent="0.2"/>
    <row r="4446" ht="12.75" customHeight="1" x14ac:dyDescent="0.2"/>
    <row r="4447" ht="12.75" customHeight="1" x14ac:dyDescent="0.2"/>
    <row r="4448" ht="12.75" customHeight="1" x14ac:dyDescent="0.2"/>
    <row r="4449" ht="12.75" customHeight="1" x14ac:dyDescent="0.2"/>
    <row r="4450" ht="12.75" customHeight="1" x14ac:dyDescent="0.2"/>
    <row r="4451" ht="12.75" customHeight="1" x14ac:dyDescent="0.2"/>
    <row r="4452" ht="12.75" customHeight="1" x14ac:dyDescent="0.2"/>
    <row r="4453" ht="12.75" customHeight="1" x14ac:dyDescent="0.2"/>
    <row r="4454" ht="12.75" customHeight="1" x14ac:dyDescent="0.2"/>
    <row r="4455" ht="12.75" customHeight="1" x14ac:dyDescent="0.2"/>
    <row r="4456" ht="12.75" customHeight="1" x14ac:dyDescent="0.2"/>
    <row r="4457" ht="12.75" customHeight="1" x14ac:dyDescent="0.2"/>
    <row r="4458" ht="12.75" customHeight="1" x14ac:dyDescent="0.2"/>
    <row r="4459" ht="12.75" customHeight="1" x14ac:dyDescent="0.2"/>
    <row r="4460" ht="12.75" customHeight="1" x14ac:dyDescent="0.2"/>
    <row r="4461" ht="12.75" customHeight="1" x14ac:dyDescent="0.2"/>
    <row r="4462" ht="12.75" customHeight="1" x14ac:dyDescent="0.2"/>
    <row r="4463" ht="12.75" customHeight="1" x14ac:dyDescent="0.2"/>
    <row r="4464" ht="12.75" customHeight="1" x14ac:dyDescent="0.2"/>
    <row r="4465" ht="12.75" customHeight="1" x14ac:dyDescent="0.2"/>
    <row r="4466" ht="12.75" customHeight="1" x14ac:dyDescent="0.2"/>
    <row r="4467" ht="12.75" customHeight="1" x14ac:dyDescent="0.2"/>
    <row r="4468" ht="12.75" customHeight="1" x14ac:dyDescent="0.2"/>
    <row r="4469" ht="12.75" customHeight="1" x14ac:dyDescent="0.2"/>
    <row r="4470" ht="12.75" customHeight="1" x14ac:dyDescent="0.2"/>
    <row r="4471" ht="12.75" customHeight="1" x14ac:dyDescent="0.2"/>
    <row r="4472" ht="12.75" customHeight="1" x14ac:dyDescent="0.2"/>
    <row r="4473" ht="12.75" customHeight="1" x14ac:dyDescent="0.2"/>
    <row r="4474" ht="12.75" customHeight="1" x14ac:dyDescent="0.2"/>
    <row r="4475" ht="12.75" customHeight="1" x14ac:dyDescent="0.2"/>
    <row r="4476" ht="12.75" customHeight="1" x14ac:dyDescent="0.2"/>
    <row r="4477" ht="12.75" customHeight="1" x14ac:dyDescent="0.2"/>
    <row r="4478" ht="12.75" customHeight="1" x14ac:dyDescent="0.2"/>
    <row r="4479" ht="12.75" customHeight="1" x14ac:dyDescent="0.2"/>
    <row r="4480" ht="12.75" customHeight="1" x14ac:dyDescent="0.2"/>
    <row r="4481" ht="12.75" customHeight="1" x14ac:dyDescent="0.2"/>
    <row r="4482" ht="12.75" customHeight="1" x14ac:dyDescent="0.2"/>
    <row r="4483" ht="12.75" customHeight="1" x14ac:dyDescent="0.2"/>
    <row r="4484" ht="12.75" customHeight="1" x14ac:dyDescent="0.2"/>
    <row r="4485" ht="12.75" customHeight="1" x14ac:dyDescent="0.2"/>
    <row r="4486" ht="12.75" customHeight="1" x14ac:dyDescent="0.2"/>
    <row r="4487" ht="12.75" customHeight="1" x14ac:dyDescent="0.2"/>
    <row r="4488" ht="12.75" customHeight="1" x14ac:dyDescent="0.2"/>
    <row r="4489" ht="12.75" customHeight="1" x14ac:dyDescent="0.2"/>
    <row r="4490" ht="12.75" customHeight="1" x14ac:dyDescent="0.2"/>
    <row r="4491" ht="12.75" customHeight="1" x14ac:dyDescent="0.2"/>
    <row r="4492" ht="12.75" customHeight="1" x14ac:dyDescent="0.2"/>
    <row r="4493" ht="12.75" customHeight="1" x14ac:dyDescent="0.2"/>
    <row r="4494" ht="12.75" customHeight="1" x14ac:dyDescent="0.2"/>
    <row r="4495" ht="12.75" customHeight="1" x14ac:dyDescent="0.2"/>
    <row r="4496" ht="12.75" customHeight="1" x14ac:dyDescent="0.2"/>
    <row r="4497" ht="12.75" customHeight="1" x14ac:dyDescent="0.2"/>
    <row r="4498" ht="12.75" customHeight="1" x14ac:dyDescent="0.2"/>
    <row r="4499" ht="12.75" customHeight="1" x14ac:dyDescent="0.2"/>
    <row r="4500" ht="12.75" customHeight="1" x14ac:dyDescent="0.2"/>
    <row r="4501" ht="12.75" customHeight="1" x14ac:dyDescent="0.2"/>
    <row r="4502" ht="12.75" customHeight="1" x14ac:dyDescent="0.2"/>
    <row r="4503" ht="12.75" customHeight="1" x14ac:dyDescent="0.2"/>
    <row r="4504" ht="12.75" customHeight="1" x14ac:dyDescent="0.2"/>
    <row r="4505" ht="12.75" customHeight="1" x14ac:dyDescent="0.2"/>
    <row r="4506" ht="12.75" customHeight="1" x14ac:dyDescent="0.2"/>
    <row r="4507" ht="12.75" customHeight="1" x14ac:dyDescent="0.2"/>
    <row r="4508" ht="12.75" customHeight="1" x14ac:dyDescent="0.2"/>
    <row r="4509" ht="12.75" customHeight="1" x14ac:dyDescent="0.2"/>
    <row r="4510" ht="12.75" customHeight="1" x14ac:dyDescent="0.2"/>
    <row r="4511" ht="12.75" customHeight="1" x14ac:dyDescent="0.2"/>
    <row r="4512" ht="12.75" customHeight="1" x14ac:dyDescent="0.2"/>
    <row r="4513" ht="12.75" customHeight="1" x14ac:dyDescent="0.2"/>
    <row r="4514" ht="12.75" customHeight="1" x14ac:dyDescent="0.2"/>
    <row r="4515" ht="12.75" customHeight="1" x14ac:dyDescent="0.2"/>
    <row r="4516" ht="12.75" customHeight="1" x14ac:dyDescent="0.2"/>
    <row r="4517" ht="12.75" customHeight="1" x14ac:dyDescent="0.2"/>
    <row r="4518" ht="12.75" customHeight="1" x14ac:dyDescent="0.2"/>
    <row r="4519" ht="12.75" customHeight="1" x14ac:dyDescent="0.2"/>
    <row r="4520" ht="12.75" customHeight="1" x14ac:dyDescent="0.2"/>
    <row r="4521" ht="12.75" customHeight="1" x14ac:dyDescent="0.2"/>
    <row r="4522" ht="12.75" customHeight="1" x14ac:dyDescent="0.2"/>
    <row r="4523" ht="12.75" customHeight="1" x14ac:dyDescent="0.2"/>
    <row r="4524" ht="12.75" customHeight="1" x14ac:dyDescent="0.2"/>
    <row r="4525" ht="12.75" customHeight="1" x14ac:dyDescent="0.2"/>
    <row r="4526" ht="12.75" customHeight="1" x14ac:dyDescent="0.2"/>
    <row r="4527" ht="12.75" customHeight="1" x14ac:dyDescent="0.2"/>
    <row r="4528" ht="12.75" customHeight="1" x14ac:dyDescent="0.2"/>
    <row r="4529" ht="12.75" customHeight="1" x14ac:dyDescent="0.2"/>
    <row r="4530" ht="12.75" customHeight="1" x14ac:dyDescent="0.2"/>
    <row r="4531" ht="12.75" customHeight="1" x14ac:dyDescent="0.2"/>
    <row r="4532" ht="12.75" customHeight="1" x14ac:dyDescent="0.2"/>
    <row r="4533" ht="12.75" customHeight="1" x14ac:dyDescent="0.2"/>
    <row r="4534" ht="12.75" customHeight="1" x14ac:dyDescent="0.2"/>
    <row r="4535" ht="12.75" customHeight="1" x14ac:dyDescent="0.2"/>
    <row r="4536" ht="12.75" customHeight="1" x14ac:dyDescent="0.2"/>
    <row r="4537" ht="12.75" customHeight="1" x14ac:dyDescent="0.2"/>
    <row r="4538" ht="12.75" customHeight="1" x14ac:dyDescent="0.2"/>
    <row r="4539" ht="12.75" customHeight="1" x14ac:dyDescent="0.2"/>
    <row r="4540" ht="12.75" customHeight="1" x14ac:dyDescent="0.2"/>
    <row r="4541" ht="12.75" customHeight="1" x14ac:dyDescent="0.2"/>
    <row r="4542" ht="12.75" customHeight="1" x14ac:dyDescent="0.2"/>
    <row r="4543" ht="12.75" customHeight="1" x14ac:dyDescent="0.2"/>
    <row r="4544" ht="12.75" customHeight="1" x14ac:dyDescent="0.2"/>
    <row r="4545" ht="12.75" customHeight="1" x14ac:dyDescent="0.2"/>
    <row r="4546" ht="12.75" customHeight="1" x14ac:dyDescent="0.2"/>
    <row r="4547" ht="12.75" customHeight="1" x14ac:dyDescent="0.2"/>
    <row r="4548" ht="12.75" customHeight="1" x14ac:dyDescent="0.2"/>
    <row r="4549" ht="12.75" customHeight="1" x14ac:dyDescent="0.2"/>
    <row r="4550" ht="12.75" customHeight="1" x14ac:dyDescent="0.2"/>
    <row r="4551" ht="12.75" customHeight="1" x14ac:dyDescent="0.2"/>
    <row r="4552" ht="12.75" customHeight="1" x14ac:dyDescent="0.2"/>
    <row r="4553" ht="12.75" customHeight="1" x14ac:dyDescent="0.2"/>
    <row r="4554" ht="12.75" customHeight="1" x14ac:dyDescent="0.2"/>
    <row r="4555" ht="12.75" customHeight="1" x14ac:dyDescent="0.2"/>
    <row r="4556" ht="12.75" customHeight="1" x14ac:dyDescent="0.2"/>
    <row r="4557" ht="12.75" customHeight="1" x14ac:dyDescent="0.2"/>
    <row r="4558" ht="12.75" customHeight="1" x14ac:dyDescent="0.2"/>
    <row r="4559" ht="12.75" customHeight="1" x14ac:dyDescent="0.2"/>
    <row r="4560" ht="12.75" customHeight="1" x14ac:dyDescent="0.2"/>
    <row r="4561" ht="12.75" customHeight="1" x14ac:dyDescent="0.2"/>
    <row r="4562" ht="12.75" customHeight="1" x14ac:dyDescent="0.2"/>
    <row r="4563" ht="12.75" customHeight="1" x14ac:dyDescent="0.2"/>
    <row r="4564" ht="12.75" customHeight="1" x14ac:dyDescent="0.2"/>
    <row r="4565" ht="12.75" customHeight="1" x14ac:dyDescent="0.2"/>
    <row r="4566" ht="12.75" customHeight="1" x14ac:dyDescent="0.2"/>
    <row r="4567" ht="12.75" customHeight="1" x14ac:dyDescent="0.2"/>
    <row r="4568" ht="12.75" customHeight="1" x14ac:dyDescent="0.2"/>
    <row r="4569" ht="12.75" customHeight="1" x14ac:dyDescent="0.2"/>
    <row r="4570" ht="12.75" customHeight="1" x14ac:dyDescent="0.2"/>
    <row r="4571" ht="12.75" customHeight="1" x14ac:dyDescent="0.2"/>
    <row r="4572" ht="12.75" customHeight="1" x14ac:dyDescent="0.2"/>
    <row r="4573" ht="12.75" customHeight="1" x14ac:dyDescent="0.2"/>
    <row r="4574" ht="12.75" customHeight="1" x14ac:dyDescent="0.2"/>
    <row r="4575" ht="12.75" customHeight="1" x14ac:dyDescent="0.2"/>
    <row r="4576" ht="12.75" customHeight="1" x14ac:dyDescent="0.2"/>
    <row r="4577" ht="12.75" customHeight="1" x14ac:dyDescent="0.2"/>
    <row r="4578" ht="12.75" customHeight="1" x14ac:dyDescent="0.2"/>
    <row r="4579" ht="12.75" customHeight="1" x14ac:dyDescent="0.2"/>
    <row r="4580" ht="12.75" customHeight="1" x14ac:dyDescent="0.2"/>
    <row r="4581" ht="12.75" customHeight="1" x14ac:dyDescent="0.2"/>
    <row r="4582" ht="12.75" customHeight="1" x14ac:dyDescent="0.2"/>
    <row r="4583" ht="12.75" customHeight="1" x14ac:dyDescent="0.2"/>
    <row r="4584" ht="12.75" customHeight="1" x14ac:dyDescent="0.2"/>
    <row r="4585" ht="12.75" customHeight="1" x14ac:dyDescent="0.2"/>
    <row r="4586" ht="12.75" customHeight="1" x14ac:dyDescent="0.2"/>
    <row r="4587" ht="12.75" customHeight="1" x14ac:dyDescent="0.2"/>
    <row r="4588" ht="12.75" customHeight="1" x14ac:dyDescent="0.2"/>
    <row r="4589" ht="12.75" customHeight="1" x14ac:dyDescent="0.2"/>
    <row r="4590" ht="12.75" customHeight="1" x14ac:dyDescent="0.2"/>
    <row r="4591" ht="12.75" customHeight="1" x14ac:dyDescent="0.2"/>
    <row r="4592" ht="12.75" customHeight="1" x14ac:dyDescent="0.2"/>
    <row r="4593" ht="12.75" customHeight="1" x14ac:dyDescent="0.2"/>
    <row r="4594" ht="12.75" customHeight="1" x14ac:dyDescent="0.2"/>
    <row r="4595" ht="12.75" customHeight="1" x14ac:dyDescent="0.2"/>
    <row r="4596" ht="12.75" customHeight="1" x14ac:dyDescent="0.2"/>
    <row r="4597" ht="12.75" customHeight="1" x14ac:dyDescent="0.2"/>
    <row r="4598" ht="12.75" customHeight="1" x14ac:dyDescent="0.2"/>
    <row r="4599" ht="12.75" customHeight="1" x14ac:dyDescent="0.2"/>
    <row r="4600" ht="12.75" customHeight="1" x14ac:dyDescent="0.2"/>
    <row r="4601" ht="12.75" customHeight="1" x14ac:dyDescent="0.2"/>
    <row r="4602" ht="12.75" customHeight="1" x14ac:dyDescent="0.2"/>
    <row r="4603" ht="12.75" customHeight="1" x14ac:dyDescent="0.2"/>
    <row r="4604" ht="12.75" customHeight="1" x14ac:dyDescent="0.2"/>
    <row r="4605" ht="12.75" customHeight="1" x14ac:dyDescent="0.2"/>
    <row r="4606" ht="12.75" customHeight="1" x14ac:dyDescent="0.2"/>
    <row r="4607" ht="12.75" customHeight="1" x14ac:dyDescent="0.2"/>
    <row r="4608" ht="12.75" customHeight="1" x14ac:dyDescent="0.2"/>
    <row r="4609" ht="12.75" customHeight="1" x14ac:dyDescent="0.2"/>
    <row r="4610" ht="12.75" customHeight="1" x14ac:dyDescent="0.2"/>
    <row r="4611" ht="12.75" customHeight="1" x14ac:dyDescent="0.2"/>
    <row r="4612" ht="12.75" customHeight="1" x14ac:dyDescent="0.2"/>
    <row r="4613" ht="12.75" customHeight="1" x14ac:dyDescent="0.2"/>
    <row r="4614" ht="12.75" customHeight="1" x14ac:dyDescent="0.2"/>
    <row r="4615" ht="12.75" customHeight="1" x14ac:dyDescent="0.2"/>
    <row r="4616" ht="12.75" customHeight="1" x14ac:dyDescent="0.2"/>
    <row r="4617" ht="12.75" customHeight="1" x14ac:dyDescent="0.2"/>
    <row r="4618" ht="12.75" customHeight="1" x14ac:dyDescent="0.2"/>
    <row r="4619" ht="12.75" customHeight="1" x14ac:dyDescent="0.2"/>
    <row r="4620" ht="12.75" customHeight="1" x14ac:dyDescent="0.2"/>
    <row r="4621" ht="12.75" customHeight="1" x14ac:dyDescent="0.2"/>
    <row r="4622" ht="12.75" customHeight="1" x14ac:dyDescent="0.2"/>
    <row r="4623" ht="12.75" customHeight="1" x14ac:dyDescent="0.2"/>
    <row r="4624" ht="12.75" customHeight="1" x14ac:dyDescent="0.2"/>
    <row r="4625" ht="12.75" customHeight="1" x14ac:dyDescent="0.2"/>
    <row r="4626" ht="12.75" customHeight="1" x14ac:dyDescent="0.2"/>
    <row r="4627" ht="12.75" customHeight="1" x14ac:dyDescent="0.2"/>
    <row r="4628" ht="12.75" customHeight="1" x14ac:dyDescent="0.2"/>
    <row r="4629" ht="12.75" customHeight="1" x14ac:dyDescent="0.2"/>
    <row r="4630" ht="12.75" customHeight="1" x14ac:dyDescent="0.2"/>
    <row r="4631" ht="12.75" customHeight="1" x14ac:dyDescent="0.2"/>
    <row r="4632" ht="12.75" customHeight="1" x14ac:dyDescent="0.2"/>
    <row r="4633" ht="12.75" customHeight="1" x14ac:dyDescent="0.2"/>
    <row r="4634" ht="12.75" customHeight="1" x14ac:dyDescent="0.2"/>
    <row r="4635" ht="12.75" customHeight="1" x14ac:dyDescent="0.2"/>
    <row r="4636" ht="12.75" customHeight="1" x14ac:dyDescent="0.2"/>
    <row r="4637" ht="12.75" customHeight="1" x14ac:dyDescent="0.2"/>
    <row r="4638" ht="12.75" customHeight="1" x14ac:dyDescent="0.2"/>
    <row r="4639" ht="12.75" customHeight="1" x14ac:dyDescent="0.2"/>
    <row r="4640" ht="12.75" customHeight="1" x14ac:dyDescent="0.2"/>
    <row r="4641" ht="12.75" customHeight="1" x14ac:dyDescent="0.2"/>
    <row r="4642" ht="12.75" customHeight="1" x14ac:dyDescent="0.2"/>
    <row r="4643" ht="12.75" customHeight="1" x14ac:dyDescent="0.2"/>
    <row r="4644" ht="12.75" customHeight="1" x14ac:dyDescent="0.2"/>
    <row r="4645" ht="12.75" customHeight="1" x14ac:dyDescent="0.2"/>
    <row r="4646" ht="12.75" customHeight="1" x14ac:dyDescent="0.2"/>
    <row r="4647" ht="12.75" customHeight="1" x14ac:dyDescent="0.2"/>
    <row r="4648" ht="12.75" customHeight="1" x14ac:dyDescent="0.2"/>
    <row r="4649" ht="12.75" customHeight="1" x14ac:dyDescent="0.2"/>
    <row r="4650" ht="12.75" customHeight="1" x14ac:dyDescent="0.2"/>
    <row r="4651" ht="12.75" customHeight="1" x14ac:dyDescent="0.2"/>
    <row r="4652" ht="12.75" customHeight="1" x14ac:dyDescent="0.2"/>
    <row r="4653" ht="12.75" customHeight="1" x14ac:dyDescent="0.2"/>
    <row r="4654" ht="12.75" customHeight="1" x14ac:dyDescent="0.2"/>
    <row r="4655" ht="12.75" customHeight="1" x14ac:dyDescent="0.2"/>
    <row r="4656" ht="12.75" customHeight="1" x14ac:dyDescent="0.2"/>
    <row r="4657" ht="12.75" customHeight="1" x14ac:dyDescent="0.2"/>
    <row r="4658" ht="12.75" customHeight="1" x14ac:dyDescent="0.2"/>
    <row r="4659" ht="12.75" customHeight="1" x14ac:dyDescent="0.2"/>
    <row r="4660" ht="12.75" customHeight="1" x14ac:dyDescent="0.2"/>
    <row r="4661" ht="12.75" customHeight="1" x14ac:dyDescent="0.2"/>
    <row r="4662" ht="12.75" customHeight="1" x14ac:dyDescent="0.2"/>
    <row r="4663" ht="12.75" customHeight="1" x14ac:dyDescent="0.2"/>
    <row r="4664" ht="12.75" customHeight="1" x14ac:dyDescent="0.2"/>
    <row r="4665" ht="12.75" customHeight="1" x14ac:dyDescent="0.2"/>
    <row r="4666" ht="12.75" customHeight="1" x14ac:dyDescent="0.2"/>
    <row r="4667" ht="12.75" customHeight="1" x14ac:dyDescent="0.2"/>
    <row r="4668" ht="12.75" customHeight="1" x14ac:dyDescent="0.2"/>
    <row r="4669" ht="12.75" customHeight="1" x14ac:dyDescent="0.2"/>
    <row r="4670" ht="12.75" customHeight="1" x14ac:dyDescent="0.2"/>
    <row r="4671" ht="12.75" customHeight="1" x14ac:dyDescent="0.2"/>
    <row r="4672" ht="12.75" customHeight="1" x14ac:dyDescent="0.2"/>
    <row r="4673" ht="12.75" customHeight="1" x14ac:dyDescent="0.2"/>
    <row r="4674" ht="12.75" customHeight="1" x14ac:dyDescent="0.2"/>
    <row r="4675" ht="12.75" customHeight="1" x14ac:dyDescent="0.2"/>
    <row r="4676" ht="12.75" customHeight="1" x14ac:dyDescent="0.2"/>
    <row r="4677" ht="12.75" customHeight="1" x14ac:dyDescent="0.2"/>
    <row r="4678" ht="12.75" customHeight="1" x14ac:dyDescent="0.2"/>
    <row r="4679" ht="12.75" customHeight="1" x14ac:dyDescent="0.2"/>
    <row r="4680" ht="12.75" customHeight="1" x14ac:dyDescent="0.2"/>
    <row r="4681" ht="12.75" customHeight="1" x14ac:dyDescent="0.2"/>
    <row r="4682" ht="12.75" customHeight="1" x14ac:dyDescent="0.2"/>
    <row r="4683" ht="12.75" customHeight="1" x14ac:dyDescent="0.2"/>
    <row r="4684" ht="12.75" customHeight="1" x14ac:dyDescent="0.2"/>
    <row r="4685" ht="12.75" customHeight="1" x14ac:dyDescent="0.2"/>
    <row r="4686" ht="12.75" customHeight="1" x14ac:dyDescent="0.2"/>
    <row r="4687" ht="12.75" customHeight="1" x14ac:dyDescent="0.2"/>
    <row r="4688" ht="12.75" customHeight="1" x14ac:dyDescent="0.2"/>
    <row r="4689" ht="12.75" customHeight="1" x14ac:dyDescent="0.2"/>
    <row r="4690" ht="12.75" customHeight="1" x14ac:dyDescent="0.2"/>
    <row r="4691" ht="12.75" customHeight="1" x14ac:dyDescent="0.2"/>
    <row r="4692" ht="12.75" customHeight="1" x14ac:dyDescent="0.2"/>
    <row r="4693" ht="12.75" customHeight="1" x14ac:dyDescent="0.2"/>
    <row r="4694" ht="12.75" customHeight="1" x14ac:dyDescent="0.2"/>
    <row r="4695" ht="12.75" customHeight="1" x14ac:dyDescent="0.2"/>
    <row r="4696" ht="12.75" customHeight="1" x14ac:dyDescent="0.2"/>
    <row r="4697" ht="12.75" customHeight="1" x14ac:dyDescent="0.2"/>
    <row r="4698" ht="12.75" customHeight="1" x14ac:dyDescent="0.2"/>
    <row r="4699" ht="12.75" customHeight="1" x14ac:dyDescent="0.2"/>
    <row r="4700" ht="12.75" customHeight="1" x14ac:dyDescent="0.2"/>
    <row r="4701" ht="12.75" customHeight="1" x14ac:dyDescent="0.2"/>
    <row r="4702" ht="12.75" customHeight="1" x14ac:dyDescent="0.2"/>
    <row r="4703" ht="12.75" customHeight="1" x14ac:dyDescent="0.2"/>
    <row r="4704" ht="12.75" customHeight="1" x14ac:dyDescent="0.2"/>
    <row r="4705" ht="12.75" customHeight="1" x14ac:dyDescent="0.2"/>
    <row r="4706" ht="12.75" customHeight="1" x14ac:dyDescent="0.2"/>
    <row r="4707" ht="12.75" customHeight="1" x14ac:dyDescent="0.2"/>
    <row r="4708" ht="12.75" customHeight="1" x14ac:dyDescent="0.2"/>
    <row r="4709" ht="12.75" customHeight="1" x14ac:dyDescent="0.2"/>
    <row r="4710" ht="12.75" customHeight="1" x14ac:dyDescent="0.2"/>
    <row r="4711" ht="12.75" customHeight="1" x14ac:dyDescent="0.2"/>
    <row r="4712" ht="12.75" customHeight="1" x14ac:dyDescent="0.2"/>
    <row r="4713" ht="12.75" customHeight="1" x14ac:dyDescent="0.2"/>
    <row r="4714" ht="12.75" customHeight="1" x14ac:dyDescent="0.2"/>
    <row r="4715" ht="12.75" customHeight="1" x14ac:dyDescent="0.2"/>
    <row r="4716" ht="12.75" customHeight="1" x14ac:dyDescent="0.2"/>
    <row r="4717" ht="12.75" customHeight="1" x14ac:dyDescent="0.2"/>
    <row r="4718" ht="12.75" customHeight="1" x14ac:dyDescent="0.2"/>
    <row r="4719" ht="12.75" customHeight="1" x14ac:dyDescent="0.2"/>
    <row r="4720" ht="12.75" customHeight="1" x14ac:dyDescent="0.2"/>
    <row r="4721" ht="12.75" customHeight="1" x14ac:dyDescent="0.2"/>
    <row r="4722" ht="12.75" customHeight="1" x14ac:dyDescent="0.2"/>
    <row r="4723" ht="12.75" customHeight="1" x14ac:dyDescent="0.2"/>
    <row r="4724" ht="12.75" customHeight="1" x14ac:dyDescent="0.2"/>
    <row r="4725" ht="12.75" customHeight="1" x14ac:dyDescent="0.2"/>
    <row r="4726" ht="12.75" customHeight="1" x14ac:dyDescent="0.2"/>
    <row r="4727" ht="12.75" customHeight="1" x14ac:dyDescent="0.2"/>
    <row r="4728" ht="12.75" customHeight="1" x14ac:dyDescent="0.2"/>
    <row r="4729" ht="12.75" customHeight="1" x14ac:dyDescent="0.2"/>
    <row r="4730" ht="12.75" customHeight="1" x14ac:dyDescent="0.2"/>
    <row r="4731" ht="12.75" customHeight="1" x14ac:dyDescent="0.2"/>
    <row r="4732" ht="12.75" customHeight="1" x14ac:dyDescent="0.2"/>
    <row r="4733" ht="12.75" customHeight="1" x14ac:dyDescent="0.2"/>
    <row r="4734" ht="12.75" customHeight="1" x14ac:dyDescent="0.2"/>
    <row r="4735" ht="12.75" customHeight="1" x14ac:dyDescent="0.2"/>
    <row r="4736" ht="12.75" customHeight="1" x14ac:dyDescent="0.2"/>
    <row r="4737" ht="12.75" customHeight="1" x14ac:dyDescent="0.2"/>
    <row r="4738" ht="12.75" customHeight="1" x14ac:dyDescent="0.2"/>
    <row r="4739" ht="12.75" customHeight="1" x14ac:dyDescent="0.2"/>
    <row r="4740" ht="12.75" customHeight="1" x14ac:dyDescent="0.2"/>
    <row r="4741" ht="12.75" customHeight="1" x14ac:dyDescent="0.2"/>
    <row r="4742" ht="12.75" customHeight="1" x14ac:dyDescent="0.2"/>
    <row r="4743" ht="12.75" customHeight="1" x14ac:dyDescent="0.2"/>
    <row r="4744" ht="12.75" customHeight="1" x14ac:dyDescent="0.2"/>
    <row r="4745" ht="12.75" customHeight="1" x14ac:dyDescent="0.2"/>
    <row r="4746" ht="12.75" customHeight="1" x14ac:dyDescent="0.2"/>
    <row r="4747" ht="12.75" customHeight="1" x14ac:dyDescent="0.2"/>
    <row r="4748" ht="12.75" customHeight="1" x14ac:dyDescent="0.2"/>
    <row r="4749" ht="12.75" customHeight="1" x14ac:dyDescent="0.2"/>
    <row r="4750" ht="12.75" customHeight="1" x14ac:dyDescent="0.2"/>
    <row r="4751" ht="12.75" customHeight="1" x14ac:dyDescent="0.2"/>
    <row r="4752" ht="12.75" customHeight="1" x14ac:dyDescent="0.2"/>
    <row r="4753" ht="12.75" customHeight="1" x14ac:dyDescent="0.2"/>
    <row r="4754" ht="12.75" customHeight="1" x14ac:dyDescent="0.2"/>
    <row r="4755" ht="12.75" customHeight="1" x14ac:dyDescent="0.2"/>
    <row r="4756" ht="12.75" customHeight="1" x14ac:dyDescent="0.2"/>
    <row r="4757" ht="12.75" customHeight="1" x14ac:dyDescent="0.2"/>
    <row r="4758" ht="12.75" customHeight="1" x14ac:dyDescent="0.2"/>
    <row r="4759" ht="12.75" customHeight="1" x14ac:dyDescent="0.2"/>
    <row r="4760" ht="12.75" customHeight="1" x14ac:dyDescent="0.2"/>
    <row r="4761" ht="12.75" customHeight="1" x14ac:dyDescent="0.2"/>
    <row r="4762" ht="12.75" customHeight="1" x14ac:dyDescent="0.2"/>
    <row r="4763" ht="12.75" customHeight="1" x14ac:dyDescent="0.2"/>
    <row r="4764" ht="12.75" customHeight="1" x14ac:dyDescent="0.2"/>
    <row r="4765" ht="12.75" customHeight="1" x14ac:dyDescent="0.2"/>
    <row r="4766" ht="12.75" customHeight="1" x14ac:dyDescent="0.2"/>
    <row r="4767" ht="12.75" customHeight="1" x14ac:dyDescent="0.2"/>
    <row r="4768" ht="12.75" customHeight="1" x14ac:dyDescent="0.2"/>
    <row r="4769" ht="12.75" customHeight="1" x14ac:dyDescent="0.2"/>
    <row r="4770" ht="12.75" customHeight="1" x14ac:dyDescent="0.2"/>
    <row r="4771" ht="12.75" customHeight="1" x14ac:dyDescent="0.2"/>
    <row r="4772" ht="12.75" customHeight="1" x14ac:dyDescent="0.2"/>
    <row r="4773" ht="12.75" customHeight="1" x14ac:dyDescent="0.2"/>
    <row r="4774" ht="12.75" customHeight="1" x14ac:dyDescent="0.2"/>
    <row r="4775" ht="12.75" customHeight="1" x14ac:dyDescent="0.2"/>
    <row r="4776" ht="12.75" customHeight="1" x14ac:dyDescent="0.2"/>
    <row r="4777" ht="12.75" customHeight="1" x14ac:dyDescent="0.2"/>
    <row r="4778" ht="12.75" customHeight="1" x14ac:dyDescent="0.2"/>
    <row r="4779" ht="12.75" customHeight="1" x14ac:dyDescent="0.2"/>
    <row r="4780" ht="12.75" customHeight="1" x14ac:dyDescent="0.2"/>
    <row r="4781" ht="12.75" customHeight="1" x14ac:dyDescent="0.2"/>
    <row r="4782" ht="12.75" customHeight="1" x14ac:dyDescent="0.2"/>
    <row r="4783" ht="12.75" customHeight="1" x14ac:dyDescent="0.2"/>
    <row r="4784" ht="12.75" customHeight="1" x14ac:dyDescent="0.2"/>
    <row r="4785" ht="12.75" customHeight="1" x14ac:dyDescent="0.2"/>
    <row r="4786" ht="12.75" customHeight="1" x14ac:dyDescent="0.2"/>
    <row r="4787" ht="12.75" customHeight="1" x14ac:dyDescent="0.2"/>
    <row r="4788" ht="12.75" customHeight="1" x14ac:dyDescent="0.2"/>
    <row r="4789" ht="12.75" customHeight="1" x14ac:dyDescent="0.2"/>
    <row r="4790" ht="12.75" customHeight="1" x14ac:dyDescent="0.2"/>
    <row r="4791" ht="12.75" customHeight="1" x14ac:dyDescent="0.2"/>
    <row r="4792" ht="12.75" customHeight="1" x14ac:dyDescent="0.2"/>
    <row r="4793" ht="12.75" customHeight="1" x14ac:dyDescent="0.2"/>
    <row r="4794" ht="12.75" customHeight="1" x14ac:dyDescent="0.2"/>
    <row r="4795" ht="12.75" customHeight="1" x14ac:dyDescent="0.2"/>
    <row r="4796" ht="12.75" customHeight="1" x14ac:dyDescent="0.2"/>
    <row r="4797" ht="12.75" customHeight="1" x14ac:dyDescent="0.2"/>
    <row r="4798" ht="12.75" customHeight="1" x14ac:dyDescent="0.2"/>
    <row r="4799" ht="12.75" customHeight="1" x14ac:dyDescent="0.2"/>
    <row r="4800" ht="12.75" customHeight="1" x14ac:dyDescent="0.2"/>
    <row r="4801" ht="12.75" customHeight="1" x14ac:dyDescent="0.2"/>
    <row r="4802" ht="12.75" customHeight="1" x14ac:dyDescent="0.2"/>
    <row r="4803" ht="12.75" customHeight="1" x14ac:dyDescent="0.2"/>
    <row r="4804" ht="12.75" customHeight="1" x14ac:dyDescent="0.2"/>
    <row r="4805" ht="12.75" customHeight="1" x14ac:dyDescent="0.2"/>
    <row r="4806" ht="12.75" customHeight="1" x14ac:dyDescent="0.2"/>
    <row r="4807" ht="12.75" customHeight="1" x14ac:dyDescent="0.2"/>
    <row r="4808" ht="12.75" customHeight="1" x14ac:dyDescent="0.2"/>
    <row r="4809" ht="12.75" customHeight="1" x14ac:dyDescent="0.2"/>
    <row r="4810" ht="12.75" customHeight="1" x14ac:dyDescent="0.2"/>
    <row r="4811" ht="12.75" customHeight="1" x14ac:dyDescent="0.2"/>
    <row r="4812" ht="12.75" customHeight="1" x14ac:dyDescent="0.2"/>
    <row r="4813" ht="12.75" customHeight="1" x14ac:dyDescent="0.2"/>
    <row r="4814" ht="12.75" customHeight="1" x14ac:dyDescent="0.2"/>
    <row r="4815" ht="12.75" customHeight="1" x14ac:dyDescent="0.2"/>
    <row r="4816" ht="12.75" customHeight="1" x14ac:dyDescent="0.2"/>
    <row r="4817" ht="12.75" customHeight="1" x14ac:dyDescent="0.2"/>
    <row r="4818" ht="12.75" customHeight="1" x14ac:dyDescent="0.2"/>
    <row r="4819" ht="12.75" customHeight="1" x14ac:dyDescent="0.2"/>
    <row r="4820" ht="12.75" customHeight="1" x14ac:dyDescent="0.2"/>
    <row r="4821" ht="12.75" customHeight="1" x14ac:dyDescent="0.2"/>
    <row r="4822" ht="12.75" customHeight="1" x14ac:dyDescent="0.2"/>
    <row r="4823" ht="12.75" customHeight="1" x14ac:dyDescent="0.2"/>
    <row r="4824" ht="12.75" customHeight="1" x14ac:dyDescent="0.2"/>
    <row r="4825" ht="12.75" customHeight="1" x14ac:dyDescent="0.2"/>
    <row r="4826" ht="12.75" customHeight="1" x14ac:dyDescent="0.2"/>
    <row r="4827" ht="12.75" customHeight="1" x14ac:dyDescent="0.2"/>
    <row r="4828" ht="12.75" customHeight="1" x14ac:dyDescent="0.2"/>
    <row r="4829" ht="12.75" customHeight="1" x14ac:dyDescent="0.2"/>
    <row r="4830" ht="12.75" customHeight="1" x14ac:dyDescent="0.2"/>
    <row r="4831" ht="12.75" customHeight="1" x14ac:dyDescent="0.2"/>
    <row r="4832" ht="12.75" customHeight="1" x14ac:dyDescent="0.2"/>
    <row r="4833" ht="12.75" customHeight="1" x14ac:dyDescent="0.2"/>
    <row r="4834" ht="12.75" customHeight="1" x14ac:dyDescent="0.2"/>
    <row r="4835" ht="12.75" customHeight="1" x14ac:dyDescent="0.2"/>
    <row r="4836" ht="12.75" customHeight="1" x14ac:dyDescent="0.2"/>
    <row r="4837" ht="12.75" customHeight="1" x14ac:dyDescent="0.2"/>
    <row r="4838" ht="12.75" customHeight="1" x14ac:dyDescent="0.2"/>
    <row r="4839" ht="12.75" customHeight="1" x14ac:dyDescent="0.2"/>
    <row r="4840" ht="12.75" customHeight="1" x14ac:dyDescent="0.2"/>
    <row r="4841" ht="12.75" customHeight="1" x14ac:dyDescent="0.2"/>
    <row r="4842" ht="12.75" customHeight="1" x14ac:dyDescent="0.2"/>
    <row r="4843" ht="12.75" customHeight="1" x14ac:dyDescent="0.2"/>
    <row r="4844" ht="12.75" customHeight="1" x14ac:dyDescent="0.2"/>
    <row r="4845" ht="12.75" customHeight="1" x14ac:dyDescent="0.2"/>
    <row r="4846" ht="12.75" customHeight="1" x14ac:dyDescent="0.2"/>
    <row r="4847" ht="12.75" customHeight="1" x14ac:dyDescent="0.2"/>
    <row r="4848" ht="12.75" customHeight="1" x14ac:dyDescent="0.2"/>
    <row r="4849" ht="12.75" customHeight="1" x14ac:dyDescent="0.2"/>
    <row r="4850" ht="12.75" customHeight="1" x14ac:dyDescent="0.2"/>
    <row r="4851" ht="12.75" customHeight="1" x14ac:dyDescent="0.2"/>
    <row r="4852" ht="12.75" customHeight="1" x14ac:dyDescent="0.2"/>
    <row r="4853" ht="12.75" customHeight="1" x14ac:dyDescent="0.2"/>
    <row r="4854" ht="12.75" customHeight="1" x14ac:dyDescent="0.2"/>
    <row r="4855" ht="12.75" customHeight="1" x14ac:dyDescent="0.2"/>
    <row r="4856" ht="12.75" customHeight="1" x14ac:dyDescent="0.2"/>
    <row r="4857" ht="12.75" customHeight="1" x14ac:dyDescent="0.2"/>
    <row r="4858" ht="12.75" customHeight="1" x14ac:dyDescent="0.2"/>
    <row r="4859" ht="12.75" customHeight="1" x14ac:dyDescent="0.2"/>
    <row r="4860" ht="12.75" customHeight="1" x14ac:dyDescent="0.2"/>
    <row r="4861" ht="12.75" customHeight="1" x14ac:dyDescent="0.2"/>
    <row r="4862" ht="12.75" customHeight="1" x14ac:dyDescent="0.2"/>
    <row r="4863" ht="12.75" customHeight="1" x14ac:dyDescent="0.2"/>
    <row r="4864" ht="12.75" customHeight="1" x14ac:dyDescent="0.2"/>
    <row r="4865" ht="12.75" customHeight="1" x14ac:dyDescent="0.2"/>
    <row r="4866" ht="12.75" customHeight="1" x14ac:dyDescent="0.2"/>
    <row r="4867" ht="12.75" customHeight="1" x14ac:dyDescent="0.2"/>
    <row r="4868" ht="12.75" customHeight="1" x14ac:dyDescent="0.2"/>
    <row r="4869" ht="12.75" customHeight="1" x14ac:dyDescent="0.2"/>
    <row r="4870" ht="12.75" customHeight="1" x14ac:dyDescent="0.2"/>
    <row r="4871" ht="12.75" customHeight="1" x14ac:dyDescent="0.2"/>
    <row r="4872" ht="12.75" customHeight="1" x14ac:dyDescent="0.2"/>
    <row r="4873" ht="12.75" customHeight="1" x14ac:dyDescent="0.2"/>
    <row r="4874" ht="12.75" customHeight="1" x14ac:dyDescent="0.2"/>
    <row r="4875" ht="12.75" customHeight="1" x14ac:dyDescent="0.2"/>
    <row r="4876" ht="12.75" customHeight="1" x14ac:dyDescent="0.2"/>
    <row r="4877" ht="12.75" customHeight="1" x14ac:dyDescent="0.2"/>
    <row r="4878" ht="12.75" customHeight="1" x14ac:dyDescent="0.2"/>
    <row r="4879" ht="12.75" customHeight="1" x14ac:dyDescent="0.2"/>
    <row r="4880" ht="12.75" customHeight="1" x14ac:dyDescent="0.2"/>
    <row r="4881" ht="12.75" customHeight="1" x14ac:dyDescent="0.2"/>
    <row r="4882" ht="12.75" customHeight="1" x14ac:dyDescent="0.2"/>
    <row r="4883" ht="12.75" customHeight="1" x14ac:dyDescent="0.2"/>
    <row r="4884" ht="12.75" customHeight="1" x14ac:dyDescent="0.2"/>
    <row r="4885" ht="12.75" customHeight="1" x14ac:dyDescent="0.2"/>
    <row r="4886" ht="12.75" customHeight="1" x14ac:dyDescent="0.2"/>
    <row r="4887" ht="12.75" customHeight="1" x14ac:dyDescent="0.2"/>
    <row r="4888" ht="12.75" customHeight="1" x14ac:dyDescent="0.2"/>
    <row r="4889" ht="12.75" customHeight="1" x14ac:dyDescent="0.2"/>
    <row r="4890" ht="12.75" customHeight="1" x14ac:dyDescent="0.2"/>
    <row r="4891" ht="12.75" customHeight="1" x14ac:dyDescent="0.2"/>
    <row r="4892" ht="12.75" customHeight="1" x14ac:dyDescent="0.2"/>
    <row r="4893" ht="12.75" customHeight="1" x14ac:dyDescent="0.2"/>
    <row r="4894" ht="12.75" customHeight="1" x14ac:dyDescent="0.2"/>
    <row r="4895" ht="12.75" customHeight="1" x14ac:dyDescent="0.2"/>
    <row r="4896" ht="12.75" customHeight="1" x14ac:dyDescent="0.2"/>
    <row r="4897" ht="12.75" customHeight="1" x14ac:dyDescent="0.2"/>
    <row r="4898" ht="12.75" customHeight="1" x14ac:dyDescent="0.2"/>
    <row r="4899" ht="12.75" customHeight="1" x14ac:dyDescent="0.2"/>
    <row r="4900" ht="12.75" customHeight="1" x14ac:dyDescent="0.2"/>
    <row r="4901" ht="12.75" customHeight="1" x14ac:dyDescent="0.2"/>
    <row r="4902" ht="12.75" customHeight="1" x14ac:dyDescent="0.2"/>
    <row r="4903" ht="12.75" customHeight="1" x14ac:dyDescent="0.2"/>
    <row r="4904" ht="12.75" customHeight="1" x14ac:dyDescent="0.2"/>
    <row r="4905" ht="12.75" customHeight="1" x14ac:dyDescent="0.2"/>
    <row r="4906" ht="12.75" customHeight="1" x14ac:dyDescent="0.2"/>
    <row r="4907" ht="12.75" customHeight="1" x14ac:dyDescent="0.2"/>
    <row r="4908" ht="12.75" customHeight="1" x14ac:dyDescent="0.2"/>
    <row r="4909" ht="12.75" customHeight="1" x14ac:dyDescent="0.2"/>
    <row r="4910" ht="12.75" customHeight="1" x14ac:dyDescent="0.2"/>
    <row r="4911" ht="12.75" customHeight="1" x14ac:dyDescent="0.2"/>
    <row r="4912" ht="12.75" customHeight="1" x14ac:dyDescent="0.2"/>
    <row r="4913" ht="12.75" customHeight="1" x14ac:dyDescent="0.2"/>
    <row r="4914" ht="12.75" customHeight="1" x14ac:dyDescent="0.2"/>
    <row r="4915" ht="12.75" customHeight="1" x14ac:dyDescent="0.2"/>
    <row r="4916" ht="12.75" customHeight="1" x14ac:dyDescent="0.2"/>
    <row r="4917" ht="12.75" customHeight="1" x14ac:dyDescent="0.2"/>
    <row r="4918" ht="12.75" customHeight="1" x14ac:dyDescent="0.2"/>
    <row r="4919" ht="12.75" customHeight="1" x14ac:dyDescent="0.2"/>
    <row r="4920" ht="12.75" customHeight="1" x14ac:dyDescent="0.2"/>
    <row r="4921" ht="12.75" customHeight="1" x14ac:dyDescent="0.2"/>
    <row r="4922" ht="12.75" customHeight="1" x14ac:dyDescent="0.2"/>
    <row r="4923" ht="12.75" customHeight="1" x14ac:dyDescent="0.2"/>
    <row r="4924" ht="12.75" customHeight="1" x14ac:dyDescent="0.2"/>
    <row r="4925" ht="12.75" customHeight="1" x14ac:dyDescent="0.2"/>
    <row r="4926" ht="12.75" customHeight="1" x14ac:dyDescent="0.2"/>
    <row r="4927" ht="12.75" customHeight="1" x14ac:dyDescent="0.2"/>
    <row r="4928" ht="12.75" customHeight="1" x14ac:dyDescent="0.2"/>
    <row r="4929" ht="12.75" customHeight="1" x14ac:dyDescent="0.2"/>
    <row r="4930" ht="12.75" customHeight="1" x14ac:dyDescent="0.2"/>
    <row r="4931" ht="12.75" customHeight="1" x14ac:dyDescent="0.2"/>
    <row r="4932" ht="12.75" customHeight="1" x14ac:dyDescent="0.2"/>
    <row r="4933" ht="12.75" customHeight="1" x14ac:dyDescent="0.2"/>
    <row r="4934" ht="12.75" customHeight="1" x14ac:dyDescent="0.2"/>
    <row r="4935" ht="12.75" customHeight="1" x14ac:dyDescent="0.2"/>
    <row r="4936" ht="12.75" customHeight="1" x14ac:dyDescent="0.2"/>
    <row r="4937" ht="12.75" customHeight="1" x14ac:dyDescent="0.2"/>
    <row r="4938" ht="12.75" customHeight="1" x14ac:dyDescent="0.2"/>
    <row r="4939" ht="12.75" customHeight="1" x14ac:dyDescent="0.2"/>
    <row r="4940" ht="12.75" customHeight="1" x14ac:dyDescent="0.2"/>
    <row r="4941" ht="12.75" customHeight="1" x14ac:dyDescent="0.2"/>
    <row r="4942" ht="12.75" customHeight="1" x14ac:dyDescent="0.2"/>
    <row r="4943" ht="12.75" customHeight="1" x14ac:dyDescent="0.2"/>
    <row r="4944" ht="12.75" customHeight="1" x14ac:dyDescent="0.2"/>
    <row r="4945" ht="12.75" customHeight="1" x14ac:dyDescent="0.2"/>
    <row r="4946" ht="12.75" customHeight="1" x14ac:dyDescent="0.2"/>
    <row r="4947" ht="12.75" customHeight="1" x14ac:dyDescent="0.2"/>
    <row r="4948" ht="12.75" customHeight="1" x14ac:dyDescent="0.2"/>
    <row r="4949" ht="12.75" customHeight="1" x14ac:dyDescent="0.2"/>
    <row r="4950" ht="12.75" customHeight="1" x14ac:dyDescent="0.2"/>
    <row r="4951" ht="12.75" customHeight="1" x14ac:dyDescent="0.2"/>
    <row r="4952" ht="12.75" customHeight="1" x14ac:dyDescent="0.2"/>
    <row r="4953" ht="12.75" customHeight="1" x14ac:dyDescent="0.2"/>
    <row r="4954" ht="12.75" customHeight="1" x14ac:dyDescent="0.2"/>
    <row r="4955" ht="12.75" customHeight="1" x14ac:dyDescent="0.2"/>
    <row r="4956" ht="12.75" customHeight="1" x14ac:dyDescent="0.2"/>
    <row r="4957" ht="12.75" customHeight="1" x14ac:dyDescent="0.2"/>
    <row r="4958" ht="12.75" customHeight="1" x14ac:dyDescent="0.2"/>
    <row r="4959" ht="12.75" customHeight="1" x14ac:dyDescent="0.2"/>
    <row r="4960" ht="12.75" customHeight="1" x14ac:dyDescent="0.2"/>
    <row r="4961" ht="12.75" customHeight="1" x14ac:dyDescent="0.2"/>
    <row r="4962" ht="12.75" customHeight="1" x14ac:dyDescent="0.2"/>
    <row r="4963" ht="12.75" customHeight="1" x14ac:dyDescent="0.2"/>
    <row r="4964" ht="12.75" customHeight="1" x14ac:dyDescent="0.2"/>
    <row r="4965" ht="12.75" customHeight="1" x14ac:dyDescent="0.2"/>
    <row r="4966" ht="12.75" customHeight="1" x14ac:dyDescent="0.2"/>
    <row r="4967" ht="12.75" customHeight="1" x14ac:dyDescent="0.2"/>
    <row r="4968" ht="12.75" customHeight="1" x14ac:dyDescent="0.2"/>
    <row r="4969" ht="12.75" customHeight="1" x14ac:dyDescent="0.2"/>
    <row r="4970" ht="12.75" customHeight="1" x14ac:dyDescent="0.2"/>
    <row r="4971" ht="12.75" customHeight="1" x14ac:dyDescent="0.2"/>
    <row r="4972" ht="12.75" customHeight="1" x14ac:dyDescent="0.2"/>
    <row r="4973" ht="12.75" customHeight="1" x14ac:dyDescent="0.2"/>
    <row r="4974" ht="12.75" customHeight="1" x14ac:dyDescent="0.2"/>
    <row r="4975" ht="12.75" customHeight="1" x14ac:dyDescent="0.2"/>
    <row r="4976" ht="12.75" customHeight="1" x14ac:dyDescent="0.2"/>
    <row r="4977" ht="12.75" customHeight="1" x14ac:dyDescent="0.2"/>
    <row r="4978" ht="12.75" customHeight="1" x14ac:dyDescent="0.2"/>
    <row r="4979" ht="12.75" customHeight="1" x14ac:dyDescent="0.2"/>
    <row r="4980" ht="12.75" customHeight="1" x14ac:dyDescent="0.2"/>
    <row r="4981" ht="12.75" customHeight="1" x14ac:dyDescent="0.2"/>
    <row r="4982" ht="12.75" customHeight="1" x14ac:dyDescent="0.2"/>
    <row r="4983" ht="12.75" customHeight="1" x14ac:dyDescent="0.2"/>
    <row r="4984" ht="12.75" customHeight="1" x14ac:dyDescent="0.2"/>
    <row r="4985" ht="12.75" customHeight="1" x14ac:dyDescent="0.2"/>
    <row r="4986" ht="12.75" customHeight="1" x14ac:dyDescent="0.2"/>
    <row r="4987" ht="12.75" customHeight="1" x14ac:dyDescent="0.2"/>
    <row r="4988" ht="12.75" customHeight="1" x14ac:dyDescent="0.2"/>
    <row r="4989" ht="12.75" customHeight="1" x14ac:dyDescent="0.2"/>
    <row r="4990" ht="12.75" customHeight="1" x14ac:dyDescent="0.2"/>
    <row r="4991" ht="12.75" customHeight="1" x14ac:dyDescent="0.2"/>
    <row r="4992" ht="12.75" customHeight="1" x14ac:dyDescent="0.2"/>
    <row r="4993" ht="12.75" customHeight="1" x14ac:dyDescent="0.2"/>
    <row r="4994" ht="12.75" customHeight="1" x14ac:dyDescent="0.2"/>
    <row r="4995" ht="12.75" customHeight="1" x14ac:dyDescent="0.2"/>
    <row r="4996" ht="12.75" customHeight="1" x14ac:dyDescent="0.2"/>
    <row r="4997" ht="12.75" customHeight="1" x14ac:dyDescent="0.2"/>
    <row r="4998" ht="12.75" customHeight="1" x14ac:dyDescent="0.2"/>
    <row r="4999" ht="12.75" customHeight="1" x14ac:dyDescent="0.2"/>
    <row r="5000" ht="12.75" customHeight="1" x14ac:dyDescent="0.2"/>
    <row r="5001" ht="12.75" customHeight="1" x14ac:dyDescent="0.2"/>
    <row r="5002" ht="12.75" customHeight="1" x14ac:dyDescent="0.2"/>
    <row r="5003" ht="12.75" customHeight="1" x14ac:dyDescent="0.2"/>
    <row r="5004" ht="12.75" customHeight="1" x14ac:dyDescent="0.2"/>
    <row r="5005" ht="12.75" customHeight="1" x14ac:dyDescent="0.2"/>
    <row r="5006" ht="12.75" customHeight="1" x14ac:dyDescent="0.2"/>
    <row r="5007" ht="12.75" customHeight="1" x14ac:dyDescent="0.2"/>
    <row r="5008" ht="12.75" customHeight="1" x14ac:dyDescent="0.2"/>
    <row r="5009" ht="12.75" customHeight="1" x14ac:dyDescent="0.2"/>
    <row r="5010" ht="12.75" customHeight="1" x14ac:dyDescent="0.2"/>
    <row r="5011" ht="12.75" customHeight="1" x14ac:dyDescent="0.2"/>
    <row r="5012" ht="12.75" customHeight="1" x14ac:dyDescent="0.2"/>
    <row r="5013" ht="12.75" customHeight="1" x14ac:dyDescent="0.2"/>
    <row r="5014" ht="12.75" customHeight="1" x14ac:dyDescent="0.2"/>
    <row r="5015" ht="12.75" customHeight="1" x14ac:dyDescent="0.2"/>
    <row r="5016" ht="12.75" customHeight="1" x14ac:dyDescent="0.2"/>
    <row r="5017" ht="12.75" customHeight="1" x14ac:dyDescent="0.2"/>
    <row r="5018" ht="12.75" customHeight="1" x14ac:dyDescent="0.2"/>
    <row r="5019" ht="12.75" customHeight="1" x14ac:dyDescent="0.2"/>
    <row r="5020" ht="12.75" customHeight="1" x14ac:dyDescent="0.2"/>
    <row r="5021" ht="12.75" customHeight="1" x14ac:dyDescent="0.2"/>
    <row r="5022" ht="12.75" customHeight="1" x14ac:dyDescent="0.2"/>
    <row r="5023" ht="12.75" customHeight="1" x14ac:dyDescent="0.2"/>
    <row r="5024" ht="12.75" customHeight="1" x14ac:dyDescent="0.2"/>
    <row r="5025" ht="12.75" customHeight="1" x14ac:dyDescent="0.2"/>
    <row r="5026" ht="12.75" customHeight="1" x14ac:dyDescent="0.2"/>
    <row r="5027" ht="12.75" customHeight="1" x14ac:dyDescent="0.2"/>
    <row r="5028" ht="12.75" customHeight="1" x14ac:dyDescent="0.2"/>
    <row r="5029" ht="12.75" customHeight="1" x14ac:dyDescent="0.2"/>
    <row r="5030" ht="12.75" customHeight="1" x14ac:dyDescent="0.2"/>
    <row r="5031" ht="12.75" customHeight="1" x14ac:dyDescent="0.2"/>
    <row r="5032" ht="12.75" customHeight="1" x14ac:dyDescent="0.2"/>
    <row r="5033" ht="12.75" customHeight="1" x14ac:dyDescent="0.2"/>
    <row r="5034" ht="12.75" customHeight="1" x14ac:dyDescent="0.2"/>
    <row r="5035" ht="12.75" customHeight="1" x14ac:dyDescent="0.2"/>
    <row r="5036" ht="12.75" customHeight="1" x14ac:dyDescent="0.2"/>
    <row r="5037" ht="12.75" customHeight="1" x14ac:dyDescent="0.2"/>
    <row r="5038" ht="12.75" customHeight="1" x14ac:dyDescent="0.2"/>
    <row r="5039" ht="12.75" customHeight="1" x14ac:dyDescent="0.2"/>
    <row r="5040" ht="12.75" customHeight="1" x14ac:dyDescent="0.2"/>
    <row r="5041" ht="12.75" customHeight="1" x14ac:dyDescent="0.2"/>
    <row r="5042" ht="12.75" customHeight="1" x14ac:dyDescent="0.2"/>
    <row r="5043" ht="12.75" customHeight="1" x14ac:dyDescent="0.2"/>
    <row r="5044" ht="12.75" customHeight="1" x14ac:dyDescent="0.2"/>
    <row r="5045" ht="12.75" customHeight="1" x14ac:dyDescent="0.2"/>
    <row r="5046" ht="12.75" customHeight="1" x14ac:dyDescent="0.2"/>
    <row r="5047" ht="12.75" customHeight="1" x14ac:dyDescent="0.2"/>
    <row r="5048" ht="12.75" customHeight="1" x14ac:dyDescent="0.2"/>
    <row r="5049" ht="12.75" customHeight="1" x14ac:dyDescent="0.2"/>
    <row r="5050" ht="12.75" customHeight="1" x14ac:dyDescent="0.2"/>
    <row r="5051" ht="12.75" customHeight="1" x14ac:dyDescent="0.2"/>
    <row r="5052" ht="12.75" customHeight="1" x14ac:dyDescent="0.2"/>
    <row r="5053" ht="12.75" customHeight="1" x14ac:dyDescent="0.2"/>
    <row r="5054" ht="12.75" customHeight="1" x14ac:dyDescent="0.2"/>
    <row r="5055" ht="12.75" customHeight="1" x14ac:dyDescent="0.2"/>
    <row r="5056" ht="12.75" customHeight="1" x14ac:dyDescent="0.2"/>
    <row r="5057" ht="12.75" customHeight="1" x14ac:dyDescent="0.2"/>
    <row r="5058" ht="12.75" customHeight="1" x14ac:dyDescent="0.2"/>
    <row r="5059" ht="12.75" customHeight="1" x14ac:dyDescent="0.2"/>
    <row r="5060" ht="12.75" customHeight="1" x14ac:dyDescent="0.2"/>
    <row r="5061" ht="12.75" customHeight="1" x14ac:dyDescent="0.2"/>
    <row r="5062" ht="12.75" customHeight="1" x14ac:dyDescent="0.2"/>
    <row r="5063" ht="12.75" customHeight="1" x14ac:dyDescent="0.2"/>
    <row r="5064" ht="12.75" customHeight="1" x14ac:dyDescent="0.2"/>
    <row r="5065" ht="12.75" customHeight="1" x14ac:dyDescent="0.2"/>
    <row r="5066" ht="12.75" customHeight="1" x14ac:dyDescent="0.2"/>
    <row r="5067" ht="12.75" customHeight="1" x14ac:dyDescent="0.2"/>
    <row r="5068" ht="12.75" customHeight="1" x14ac:dyDescent="0.2"/>
    <row r="5069" ht="12.75" customHeight="1" x14ac:dyDescent="0.2"/>
    <row r="5070" ht="12.75" customHeight="1" x14ac:dyDescent="0.2"/>
    <row r="5071" ht="12.75" customHeight="1" x14ac:dyDescent="0.2"/>
    <row r="5072" ht="12.75" customHeight="1" x14ac:dyDescent="0.2"/>
    <row r="5073" ht="12.75" customHeight="1" x14ac:dyDescent="0.2"/>
    <row r="5074" ht="12.75" customHeight="1" x14ac:dyDescent="0.2"/>
    <row r="5075" ht="12.75" customHeight="1" x14ac:dyDescent="0.2"/>
    <row r="5076" ht="12.75" customHeight="1" x14ac:dyDescent="0.2"/>
    <row r="5077" ht="12.75" customHeight="1" x14ac:dyDescent="0.2"/>
    <row r="5078" ht="12.75" customHeight="1" x14ac:dyDescent="0.2"/>
    <row r="5079" ht="12.75" customHeight="1" x14ac:dyDescent="0.2"/>
    <row r="5080" ht="12.75" customHeight="1" x14ac:dyDescent="0.2"/>
    <row r="5081" ht="12.75" customHeight="1" x14ac:dyDescent="0.2"/>
    <row r="5082" ht="12.75" customHeight="1" x14ac:dyDescent="0.2"/>
    <row r="5083" ht="12.75" customHeight="1" x14ac:dyDescent="0.2"/>
    <row r="5084" ht="12.75" customHeight="1" x14ac:dyDescent="0.2"/>
    <row r="5085" ht="12.75" customHeight="1" x14ac:dyDescent="0.2"/>
    <row r="5086" ht="12.75" customHeight="1" x14ac:dyDescent="0.2"/>
    <row r="5087" ht="12.75" customHeight="1" x14ac:dyDescent="0.2"/>
    <row r="5088" ht="12.75" customHeight="1" x14ac:dyDescent="0.2"/>
    <row r="5089" ht="12.75" customHeight="1" x14ac:dyDescent="0.2"/>
    <row r="5090" ht="12.75" customHeight="1" x14ac:dyDescent="0.2"/>
    <row r="5091" ht="12.75" customHeight="1" x14ac:dyDescent="0.2"/>
    <row r="5092" ht="12.75" customHeight="1" x14ac:dyDescent="0.2"/>
    <row r="5093" ht="12.75" customHeight="1" x14ac:dyDescent="0.2"/>
    <row r="5094" ht="12.75" customHeight="1" x14ac:dyDescent="0.2"/>
    <row r="5095" ht="12.75" customHeight="1" x14ac:dyDescent="0.2"/>
    <row r="5096" ht="12.75" customHeight="1" x14ac:dyDescent="0.2"/>
    <row r="5097" ht="12.75" customHeight="1" x14ac:dyDescent="0.2"/>
    <row r="5098" ht="12.75" customHeight="1" x14ac:dyDescent="0.2"/>
    <row r="5099" ht="12.75" customHeight="1" x14ac:dyDescent="0.2"/>
    <row r="5100" ht="12.75" customHeight="1" x14ac:dyDescent="0.2"/>
    <row r="5101" ht="12.75" customHeight="1" x14ac:dyDescent="0.2"/>
    <row r="5102" ht="12.75" customHeight="1" x14ac:dyDescent="0.2"/>
    <row r="5103" ht="12.75" customHeight="1" x14ac:dyDescent="0.2"/>
    <row r="5104" ht="12.75" customHeight="1" x14ac:dyDescent="0.2"/>
    <row r="5105" ht="12.75" customHeight="1" x14ac:dyDescent="0.2"/>
    <row r="5106" ht="12.75" customHeight="1" x14ac:dyDescent="0.2"/>
    <row r="5107" ht="12.75" customHeight="1" x14ac:dyDescent="0.2"/>
    <row r="5108" ht="12.75" customHeight="1" x14ac:dyDescent="0.2"/>
    <row r="5109" ht="12.75" customHeight="1" x14ac:dyDescent="0.2"/>
    <row r="5110" ht="12.75" customHeight="1" x14ac:dyDescent="0.2"/>
    <row r="5111" ht="12.75" customHeight="1" x14ac:dyDescent="0.2"/>
    <row r="5112" ht="12.75" customHeight="1" x14ac:dyDescent="0.2"/>
    <row r="5113" ht="12.75" customHeight="1" x14ac:dyDescent="0.2"/>
    <row r="5114" ht="12.75" customHeight="1" x14ac:dyDescent="0.2"/>
    <row r="5115" ht="12.75" customHeight="1" x14ac:dyDescent="0.2"/>
    <row r="5116" ht="12.75" customHeight="1" x14ac:dyDescent="0.2"/>
    <row r="5117" ht="12.75" customHeight="1" x14ac:dyDescent="0.2"/>
    <row r="5118" ht="12.75" customHeight="1" x14ac:dyDescent="0.2"/>
    <row r="5119" ht="12.75" customHeight="1" x14ac:dyDescent="0.2"/>
    <row r="5120" ht="12.75" customHeight="1" x14ac:dyDescent="0.2"/>
    <row r="5121" ht="12.75" customHeight="1" x14ac:dyDescent="0.2"/>
    <row r="5122" ht="12.75" customHeight="1" x14ac:dyDescent="0.2"/>
    <row r="5123" ht="12.75" customHeight="1" x14ac:dyDescent="0.2"/>
    <row r="5124" ht="12.75" customHeight="1" x14ac:dyDescent="0.2"/>
    <row r="5125" ht="12.75" customHeight="1" x14ac:dyDescent="0.2"/>
    <row r="5126" ht="12.75" customHeight="1" x14ac:dyDescent="0.2"/>
    <row r="5127" ht="12.75" customHeight="1" x14ac:dyDescent="0.2"/>
    <row r="5128" ht="12.75" customHeight="1" x14ac:dyDescent="0.2"/>
    <row r="5129" ht="12.75" customHeight="1" x14ac:dyDescent="0.2"/>
    <row r="5130" ht="12.75" customHeight="1" x14ac:dyDescent="0.2"/>
    <row r="5131" ht="12.75" customHeight="1" x14ac:dyDescent="0.2"/>
    <row r="5132" ht="12.75" customHeight="1" x14ac:dyDescent="0.2"/>
    <row r="5133" ht="12.75" customHeight="1" x14ac:dyDescent="0.2"/>
    <row r="5134" ht="12.75" customHeight="1" x14ac:dyDescent="0.2"/>
    <row r="5135" ht="12.75" customHeight="1" x14ac:dyDescent="0.2"/>
    <row r="5136" ht="12.75" customHeight="1" x14ac:dyDescent="0.2"/>
    <row r="5137" ht="12.75" customHeight="1" x14ac:dyDescent="0.2"/>
    <row r="5138" ht="12.75" customHeight="1" x14ac:dyDescent="0.2"/>
    <row r="5139" ht="12.75" customHeight="1" x14ac:dyDescent="0.2"/>
    <row r="5140" ht="12.75" customHeight="1" x14ac:dyDescent="0.2"/>
    <row r="5141" ht="12.75" customHeight="1" x14ac:dyDescent="0.2"/>
    <row r="5142" ht="12.75" customHeight="1" x14ac:dyDescent="0.2"/>
    <row r="5143" ht="12.75" customHeight="1" x14ac:dyDescent="0.2"/>
    <row r="5144" ht="12.75" customHeight="1" x14ac:dyDescent="0.2"/>
    <row r="5145" ht="12.75" customHeight="1" x14ac:dyDescent="0.2"/>
    <row r="5146" ht="12.75" customHeight="1" x14ac:dyDescent="0.2"/>
    <row r="5147" ht="12.75" customHeight="1" x14ac:dyDescent="0.2"/>
    <row r="5148" ht="12.75" customHeight="1" x14ac:dyDescent="0.2"/>
    <row r="5149" ht="12.75" customHeight="1" x14ac:dyDescent="0.2"/>
    <row r="5150" ht="12.75" customHeight="1" x14ac:dyDescent="0.2"/>
    <row r="5151" ht="12.75" customHeight="1" x14ac:dyDescent="0.2"/>
    <row r="5152" ht="12.75" customHeight="1" x14ac:dyDescent="0.2"/>
    <row r="5153" ht="12.75" customHeight="1" x14ac:dyDescent="0.2"/>
    <row r="5154" ht="12.75" customHeight="1" x14ac:dyDescent="0.2"/>
    <row r="5155" ht="12.75" customHeight="1" x14ac:dyDescent="0.2"/>
    <row r="5156" ht="12.75" customHeight="1" x14ac:dyDescent="0.2"/>
    <row r="5157" ht="12.75" customHeight="1" x14ac:dyDescent="0.2"/>
    <row r="5158" ht="12.75" customHeight="1" x14ac:dyDescent="0.2"/>
    <row r="5159" ht="12.75" customHeight="1" x14ac:dyDescent="0.2"/>
    <row r="5160" ht="12.75" customHeight="1" x14ac:dyDescent="0.2"/>
    <row r="5161" ht="12.75" customHeight="1" x14ac:dyDescent="0.2"/>
    <row r="5162" ht="12.75" customHeight="1" x14ac:dyDescent="0.2"/>
    <row r="5163" ht="12.75" customHeight="1" x14ac:dyDescent="0.2"/>
    <row r="5164" ht="12.75" customHeight="1" x14ac:dyDescent="0.2"/>
    <row r="5165" ht="12.75" customHeight="1" x14ac:dyDescent="0.2"/>
    <row r="5166" ht="12.75" customHeight="1" x14ac:dyDescent="0.2"/>
    <row r="5167" ht="12.75" customHeight="1" x14ac:dyDescent="0.2"/>
    <row r="5168" ht="12.75" customHeight="1" x14ac:dyDescent="0.2"/>
    <row r="5169" ht="12.75" customHeight="1" x14ac:dyDescent="0.2"/>
    <row r="5170" ht="12.75" customHeight="1" x14ac:dyDescent="0.2"/>
    <row r="5171" ht="12.75" customHeight="1" x14ac:dyDescent="0.2"/>
    <row r="5172" ht="12.75" customHeight="1" x14ac:dyDescent="0.2"/>
    <row r="5173" ht="12.75" customHeight="1" x14ac:dyDescent="0.2"/>
    <row r="5174" ht="12.75" customHeight="1" x14ac:dyDescent="0.2"/>
    <row r="5175" ht="12.75" customHeight="1" x14ac:dyDescent="0.2"/>
    <row r="5176" ht="12.75" customHeight="1" x14ac:dyDescent="0.2"/>
    <row r="5177" ht="12.75" customHeight="1" x14ac:dyDescent="0.2"/>
    <row r="5178" ht="12.75" customHeight="1" x14ac:dyDescent="0.2"/>
    <row r="5179" ht="12.75" customHeight="1" x14ac:dyDescent="0.2"/>
    <row r="5180" ht="12.75" customHeight="1" x14ac:dyDescent="0.2"/>
    <row r="5181" ht="12.75" customHeight="1" x14ac:dyDescent="0.2"/>
    <row r="5182" ht="12.75" customHeight="1" x14ac:dyDescent="0.2"/>
    <row r="5183" ht="12.75" customHeight="1" x14ac:dyDescent="0.2"/>
    <row r="5184" ht="12.75" customHeight="1" x14ac:dyDescent="0.2"/>
    <row r="5185" ht="12.75" customHeight="1" x14ac:dyDescent="0.2"/>
    <row r="5186" ht="12.75" customHeight="1" x14ac:dyDescent="0.2"/>
    <row r="5187" ht="12.75" customHeight="1" x14ac:dyDescent="0.2"/>
    <row r="5188" ht="12.75" customHeight="1" x14ac:dyDescent="0.2"/>
    <row r="5189" ht="12.75" customHeight="1" x14ac:dyDescent="0.2"/>
    <row r="5190" ht="12.75" customHeight="1" x14ac:dyDescent="0.2"/>
    <row r="5191" ht="12.75" customHeight="1" x14ac:dyDescent="0.2"/>
    <row r="5192" ht="12.75" customHeight="1" x14ac:dyDescent="0.2"/>
    <row r="5193" ht="12.75" customHeight="1" x14ac:dyDescent="0.2"/>
    <row r="5194" ht="12.75" customHeight="1" x14ac:dyDescent="0.2"/>
    <row r="5195" ht="12.75" customHeight="1" x14ac:dyDescent="0.2"/>
    <row r="5196" ht="12.75" customHeight="1" x14ac:dyDescent="0.2"/>
    <row r="5197" ht="12.75" customHeight="1" x14ac:dyDescent="0.2"/>
    <row r="5198" ht="12.75" customHeight="1" x14ac:dyDescent="0.2"/>
    <row r="5199" ht="12.75" customHeight="1" x14ac:dyDescent="0.2"/>
    <row r="5200" ht="12.75" customHeight="1" x14ac:dyDescent="0.2"/>
    <row r="5201" ht="12.75" customHeight="1" x14ac:dyDescent="0.2"/>
    <row r="5202" ht="12.75" customHeight="1" x14ac:dyDescent="0.2"/>
    <row r="5203" ht="12.75" customHeight="1" x14ac:dyDescent="0.2"/>
    <row r="5204" ht="12.75" customHeight="1" x14ac:dyDescent="0.2"/>
    <row r="5205" ht="12.75" customHeight="1" x14ac:dyDescent="0.2"/>
    <row r="5206" ht="12.75" customHeight="1" x14ac:dyDescent="0.2"/>
    <row r="5207" ht="12.75" customHeight="1" x14ac:dyDescent="0.2"/>
    <row r="5208" ht="12.75" customHeight="1" x14ac:dyDescent="0.2"/>
    <row r="5209" ht="12.75" customHeight="1" x14ac:dyDescent="0.2"/>
    <row r="5210" ht="12.75" customHeight="1" x14ac:dyDescent="0.2"/>
    <row r="5211" ht="12.75" customHeight="1" x14ac:dyDescent="0.2"/>
    <row r="5212" ht="12.75" customHeight="1" x14ac:dyDescent="0.2"/>
    <row r="5213" ht="12.75" customHeight="1" x14ac:dyDescent="0.2"/>
    <row r="5214" ht="12.75" customHeight="1" x14ac:dyDescent="0.2"/>
    <row r="5215" ht="12.75" customHeight="1" x14ac:dyDescent="0.2"/>
    <row r="5216" ht="12.75" customHeight="1" x14ac:dyDescent="0.2"/>
    <row r="5217" ht="12.75" customHeight="1" x14ac:dyDescent="0.2"/>
    <row r="5218" ht="12.75" customHeight="1" x14ac:dyDescent="0.2"/>
    <row r="5219" ht="12.75" customHeight="1" x14ac:dyDescent="0.2"/>
    <row r="5220" ht="12.75" customHeight="1" x14ac:dyDescent="0.2"/>
    <row r="5221" ht="12.75" customHeight="1" x14ac:dyDescent="0.2"/>
    <row r="5222" ht="12.75" customHeight="1" x14ac:dyDescent="0.2"/>
    <row r="5223" ht="12.75" customHeight="1" x14ac:dyDescent="0.2"/>
    <row r="5224" ht="12.75" customHeight="1" x14ac:dyDescent="0.2"/>
    <row r="5225" ht="12.75" customHeight="1" x14ac:dyDescent="0.2"/>
    <row r="5226" ht="12.75" customHeight="1" x14ac:dyDescent="0.2"/>
    <row r="5227" ht="12.75" customHeight="1" x14ac:dyDescent="0.2"/>
    <row r="5228" ht="12.75" customHeight="1" x14ac:dyDescent="0.2"/>
    <row r="5229" ht="12.75" customHeight="1" x14ac:dyDescent="0.2"/>
    <row r="5230" ht="12.75" customHeight="1" x14ac:dyDescent="0.2"/>
    <row r="5231" ht="12.75" customHeight="1" x14ac:dyDescent="0.2"/>
    <row r="5232" ht="12.75" customHeight="1" x14ac:dyDescent="0.2"/>
    <row r="5233" ht="12.75" customHeight="1" x14ac:dyDescent="0.2"/>
    <row r="5234" ht="12.75" customHeight="1" x14ac:dyDescent="0.2"/>
    <row r="5235" ht="12.75" customHeight="1" x14ac:dyDescent="0.2"/>
    <row r="5236" ht="12.75" customHeight="1" x14ac:dyDescent="0.2"/>
    <row r="5237" ht="12.75" customHeight="1" x14ac:dyDescent="0.2"/>
    <row r="5238" ht="12.75" customHeight="1" x14ac:dyDescent="0.2"/>
    <row r="5239" ht="12.75" customHeight="1" x14ac:dyDescent="0.2"/>
    <row r="5240" ht="12.75" customHeight="1" x14ac:dyDescent="0.2"/>
    <row r="5241" ht="12.75" customHeight="1" x14ac:dyDescent="0.2"/>
    <row r="5242" ht="12.75" customHeight="1" x14ac:dyDescent="0.2"/>
    <row r="5243" ht="12.75" customHeight="1" x14ac:dyDescent="0.2"/>
    <row r="5244" ht="12.75" customHeight="1" x14ac:dyDescent="0.2"/>
    <row r="5245" ht="12.75" customHeight="1" x14ac:dyDescent="0.2"/>
    <row r="5246" ht="12.75" customHeight="1" x14ac:dyDescent="0.2"/>
    <row r="5247" ht="12.75" customHeight="1" x14ac:dyDescent="0.2"/>
    <row r="5248" ht="12.75" customHeight="1" x14ac:dyDescent="0.2"/>
    <row r="5249" ht="12.75" customHeight="1" x14ac:dyDescent="0.2"/>
    <row r="5250" ht="12.75" customHeight="1" x14ac:dyDescent="0.2"/>
    <row r="5251" ht="12.75" customHeight="1" x14ac:dyDescent="0.2"/>
    <row r="5252" ht="12.75" customHeight="1" x14ac:dyDescent="0.2"/>
    <row r="5253" ht="12.75" customHeight="1" x14ac:dyDescent="0.2"/>
    <row r="5254" ht="12.75" customHeight="1" x14ac:dyDescent="0.2"/>
    <row r="5255" ht="12.75" customHeight="1" x14ac:dyDescent="0.2"/>
    <row r="5256" ht="12.75" customHeight="1" x14ac:dyDescent="0.2"/>
    <row r="5257" ht="12.75" customHeight="1" x14ac:dyDescent="0.2"/>
    <row r="5258" ht="12.75" customHeight="1" x14ac:dyDescent="0.2"/>
    <row r="5259" ht="12.75" customHeight="1" x14ac:dyDescent="0.2"/>
    <row r="5260" ht="12.75" customHeight="1" x14ac:dyDescent="0.2"/>
    <row r="5261" ht="12.75" customHeight="1" x14ac:dyDescent="0.2"/>
    <row r="5262" ht="12.75" customHeight="1" x14ac:dyDescent="0.2"/>
    <row r="5263" ht="12.75" customHeight="1" x14ac:dyDescent="0.2"/>
    <row r="5264" ht="12.75" customHeight="1" x14ac:dyDescent="0.2"/>
    <row r="5265" ht="12.75" customHeight="1" x14ac:dyDescent="0.2"/>
    <row r="5266" ht="12.75" customHeight="1" x14ac:dyDescent="0.2"/>
    <row r="5267" ht="12.75" customHeight="1" x14ac:dyDescent="0.2"/>
    <row r="5268" ht="12.75" customHeight="1" x14ac:dyDescent="0.2"/>
    <row r="5269" ht="12.75" customHeight="1" x14ac:dyDescent="0.2"/>
    <row r="5270" ht="12.75" customHeight="1" x14ac:dyDescent="0.2"/>
    <row r="5271" ht="12.75" customHeight="1" x14ac:dyDescent="0.2"/>
    <row r="5272" ht="12.75" customHeight="1" x14ac:dyDescent="0.2"/>
    <row r="5273" ht="12.75" customHeight="1" x14ac:dyDescent="0.2"/>
    <row r="5274" ht="12.75" customHeight="1" x14ac:dyDescent="0.2"/>
    <row r="5275" ht="12.75" customHeight="1" x14ac:dyDescent="0.2"/>
    <row r="5276" ht="12.75" customHeight="1" x14ac:dyDescent="0.2"/>
    <row r="5277" ht="12.75" customHeight="1" x14ac:dyDescent="0.2"/>
    <row r="5278" ht="12.75" customHeight="1" x14ac:dyDescent="0.2"/>
    <row r="5279" ht="12.75" customHeight="1" x14ac:dyDescent="0.2"/>
    <row r="5280" ht="12.75" customHeight="1" x14ac:dyDescent="0.2"/>
    <row r="5281" ht="12.75" customHeight="1" x14ac:dyDescent="0.2"/>
    <row r="5282" ht="12.75" customHeight="1" x14ac:dyDescent="0.2"/>
    <row r="5283" ht="12.75" customHeight="1" x14ac:dyDescent="0.2"/>
    <row r="5284" ht="12.75" customHeight="1" x14ac:dyDescent="0.2"/>
    <row r="5285" ht="12.75" customHeight="1" x14ac:dyDescent="0.2"/>
    <row r="5286" ht="12.75" customHeight="1" x14ac:dyDescent="0.2"/>
    <row r="5287" ht="12.75" customHeight="1" x14ac:dyDescent="0.2"/>
    <row r="5288" ht="12.75" customHeight="1" x14ac:dyDescent="0.2"/>
    <row r="5289" ht="12.75" customHeight="1" x14ac:dyDescent="0.2"/>
    <row r="5290" ht="12.75" customHeight="1" x14ac:dyDescent="0.2"/>
    <row r="5291" ht="12.75" customHeight="1" x14ac:dyDescent="0.2"/>
    <row r="5292" ht="12.75" customHeight="1" x14ac:dyDescent="0.2"/>
    <row r="5293" ht="12.75" customHeight="1" x14ac:dyDescent="0.2"/>
    <row r="5294" ht="12.75" customHeight="1" x14ac:dyDescent="0.2"/>
    <row r="5295" ht="12.75" customHeight="1" x14ac:dyDescent="0.2"/>
    <row r="5296" ht="12.75" customHeight="1" x14ac:dyDescent="0.2"/>
    <row r="5297" ht="12.75" customHeight="1" x14ac:dyDescent="0.2"/>
    <row r="5298" ht="12.75" customHeight="1" x14ac:dyDescent="0.2"/>
    <row r="5299" ht="12.75" customHeight="1" x14ac:dyDescent="0.2"/>
    <row r="5300" ht="12.75" customHeight="1" x14ac:dyDescent="0.2"/>
    <row r="5301" ht="12.75" customHeight="1" x14ac:dyDescent="0.2"/>
    <row r="5302" ht="12.75" customHeight="1" x14ac:dyDescent="0.2"/>
    <row r="5303" ht="12.75" customHeight="1" x14ac:dyDescent="0.2"/>
    <row r="5304" ht="12.75" customHeight="1" x14ac:dyDescent="0.2"/>
    <row r="5305" ht="12.75" customHeight="1" x14ac:dyDescent="0.2"/>
    <row r="5306" ht="12.75" customHeight="1" x14ac:dyDescent="0.2"/>
    <row r="5307" ht="12.75" customHeight="1" x14ac:dyDescent="0.2"/>
    <row r="5308" ht="12.75" customHeight="1" x14ac:dyDescent="0.2"/>
    <row r="5309" ht="12.75" customHeight="1" x14ac:dyDescent="0.2"/>
    <row r="5310" ht="12.75" customHeight="1" x14ac:dyDescent="0.2"/>
    <row r="5311" ht="12.75" customHeight="1" x14ac:dyDescent="0.2"/>
    <row r="5312" ht="12.75" customHeight="1" x14ac:dyDescent="0.2"/>
    <row r="5313" ht="12.75" customHeight="1" x14ac:dyDescent="0.2"/>
    <row r="5314" ht="12.75" customHeight="1" x14ac:dyDescent="0.2"/>
    <row r="5315" ht="12.75" customHeight="1" x14ac:dyDescent="0.2"/>
    <row r="5316" ht="12.75" customHeight="1" x14ac:dyDescent="0.2"/>
    <row r="5317" ht="12.75" customHeight="1" x14ac:dyDescent="0.2"/>
    <row r="5318" ht="12.75" customHeight="1" x14ac:dyDescent="0.2"/>
    <row r="5319" ht="12.75" customHeight="1" x14ac:dyDescent="0.2"/>
    <row r="5320" ht="12.75" customHeight="1" x14ac:dyDescent="0.2"/>
    <row r="5321" ht="12.75" customHeight="1" x14ac:dyDescent="0.2"/>
    <row r="5322" ht="12.75" customHeight="1" x14ac:dyDescent="0.2"/>
    <row r="5323" ht="12.75" customHeight="1" x14ac:dyDescent="0.2"/>
    <row r="5324" ht="12.75" customHeight="1" x14ac:dyDescent="0.2"/>
    <row r="5325" ht="12.75" customHeight="1" x14ac:dyDescent="0.2"/>
    <row r="5326" ht="12.75" customHeight="1" x14ac:dyDescent="0.2"/>
    <row r="5327" ht="12.75" customHeight="1" x14ac:dyDescent="0.2"/>
    <row r="5328" ht="12.75" customHeight="1" x14ac:dyDescent="0.2"/>
    <row r="5329" ht="12.75" customHeight="1" x14ac:dyDescent="0.2"/>
    <row r="5330" ht="12.75" customHeight="1" x14ac:dyDescent="0.2"/>
    <row r="5331" ht="12.75" customHeight="1" x14ac:dyDescent="0.2"/>
    <row r="5332" ht="12.75" customHeight="1" x14ac:dyDescent="0.2"/>
    <row r="5333" ht="12.75" customHeight="1" x14ac:dyDescent="0.2"/>
    <row r="5334" ht="12.75" customHeight="1" x14ac:dyDescent="0.2"/>
    <row r="5335" ht="12.75" customHeight="1" x14ac:dyDescent="0.2"/>
    <row r="5336" ht="12.75" customHeight="1" x14ac:dyDescent="0.2"/>
    <row r="5337" ht="12.75" customHeight="1" x14ac:dyDescent="0.2"/>
    <row r="5338" ht="12.75" customHeight="1" x14ac:dyDescent="0.2"/>
    <row r="5339" ht="12.75" customHeight="1" x14ac:dyDescent="0.2"/>
    <row r="5340" ht="12.75" customHeight="1" x14ac:dyDescent="0.2"/>
    <row r="5341" ht="12.75" customHeight="1" x14ac:dyDescent="0.2"/>
    <row r="5342" ht="12.75" customHeight="1" x14ac:dyDescent="0.2"/>
    <row r="5343" ht="12.75" customHeight="1" x14ac:dyDescent="0.2"/>
    <row r="5344" ht="12.75" customHeight="1" x14ac:dyDescent="0.2"/>
    <row r="5345" ht="12.75" customHeight="1" x14ac:dyDescent="0.2"/>
    <row r="5346" ht="12.75" customHeight="1" x14ac:dyDescent="0.2"/>
    <row r="5347" ht="12.75" customHeight="1" x14ac:dyDescent="0.2"/>
    <row r="5348" ht="12.75" customHeight="1" x14ac:dyDescent="0.2"/>
    <row r="5349" ht="12.75" customHeight="1" x14ac:dyDescent="0.2"/>
    <row r="5350" ht="12.75" customHeight="1" x14ac:dyDescent="0.2"/>
    <row r="5351" ht="12.75" customHeight="1" x14ac:dyDescent="0.2"/>
    <row r="5352" ht="12.75" customHeight="1" x14ac:dyDescent="0.2"/>
    <row r="5353" ht="12.75" customHeight="1" x14ac:dyDescent="0.2"/>
    <row r="5354" ht="12.75" customHeight="1" x14ac:dyDescent="0.2"/>
    <row r="5355" ht="12.75" customHeight="1" x14ac:dyDescent="0.2"/>
    <row r="5356" ht="12.75" customHeight="1" x14ac:dyDescent="0.2"/>
    <row r="5357" ht="12.75" customHeight="1" x14ac:dyDescent="0.2"/>
    <row r="5358" ht="12.75" customHeight="1" x14ac:dyDescent="0.2"/>
    <row r="5359" ht="12.75" customHeight="1" x14ac:dyDescent="0.2"/>
    <row r="5360" ht="12.75" customHeight="1" x14ac:dyDescent="0.2"/>
    <row r="5361" ht="12.75" customHeight="1" x14ac:dyDescent="0.2"/>
    <row r="5362" ht="12.75" customHeight="1" x14ac:dyDescent="0.2"/>
    <row r="5363" ht="12.75" customHeight="1" x14ac:dyDescent="0.2"/>
    <row r="5364" ht="12.75" customHeight="1" x14ac:dyDescent="0.2"/>
    <row r="5365" ht="12.75" customHeight="1" x14ac:dyDescent="0.2"/>
    <row r="5366" ht="12.75" customHeight="1" x14ac:dyDescent="0.2"/>
    <row r="5367" ht="12.75" customHeight="1" x14ac:dyDescent="0.2"/>
    <row r="5368" ht="12.75" customHeight="1" x14ac:dyDescent="0.2"/>
    <row r="5369" ht="12.75" customHeight="1" x14ac:dyDescent="0.2"/>
    <row r="5370" ht="12.75" customHeight="1" x14ac:dyDescent="0.2"/>
    <row r="5371" ht="12.75" customHeight="1" x14ac:dyDescent="0.2"/>
    <row r="5372" ht="12.75" customHeight="1" x14ac:dyDescent="0.2"/>
    <row r="5373" ht="12.75" customHeight="1" x14ac:dyDescent="0.2"/>
    <row r="5374" ht="12.75" customHeight="1" x14ac:dyDescent="0.2"/>
    <row r="5375" ht="12.75" customHeight="1" x14ac:dyDescent="0.2"/>
    <row r="5376" ht="12.75" customHeight="1" x14ac:dyDescent="0.2"/>
    <row r="5377" ht="12.75" customHeight="1" x14ac:dyDescent="0.2"/>
    <row r="5378" ht="12.75" customHeight="1" x14ac:dyDescent="0.2"/>
    <row r="5379" ht="12.75" customHeight="1" x14ac:dyDescent="0.2"/>
    <row r="5380" ht="12.75" customHeight="1" x14ac:dyDescent="0.2"/>
    <row r="5381" ht="12.75" customHeight="1" x14ac:dyDescent="0.2"/>
    <row r="5382" ht="12.75" customHeight="1" x14ac:dyDescent="0.2"/>
    <row r="5383" ht="12.75" customHeight="1" x14ac:dyDescent="0.2"/>
    <row r="5384" ht="12.75" customHeight="1" x14ac:dyDescent="0.2"/>
    <row r="5385" ht="12.75" customHeight="1" x14ac:dyDescent="0.2"/>
    <row r="5386" ht="12.75" customHeight="1" x14ac:dyDescent="0.2"/>
    <row r="5387" ht="12.75" customHeight="1" x14ac:dyDescent="0.2"/>
    <row r="5388" ht="12.75" customHeight="1" x14ac:dyDescent="0.2"/>
    <row r="5389" ht="12.75" customHeight="1" x14ac:dyDescent="0.2"/>
    <row r="5390" ht="12.75" customHeight="1" x14ac:dyDescent="0.2"/>
    <row r="5391" ht="12.75" customHeight="1" x14ac:dyDescent="0.2"/>
    <row r="5392" ht="12.75" customHeight="1" x14ac:dyDescent="0.2"/>
    <row r="5393" ht="12.75" customHeight="1" x14ac:dyDescent="0.2"/>
    <row r="5394" ht="12.75" customHeight="1" x14ac:dyDescent="0.2"/>
    <row r="5395" ht="12.75" customHeight="1" x14ac:dyDescent="0.2"/>
    <row r="5396" ht="12.75" customHeight="1" x14ac:dyDescent="0.2"/>
    <row r="5397" ht="12.75" customHeight="1" x14ac:dyDescent="0.2"/>
    <row r="5398" ht="12.75" customHeight="1" x14ac:dyDescent="0.2"/>
    <row r="5399" ht="12.75" customHeight="1" x14ac:dyDescent="0.2"/>
    <row r="5400" ht="12.75" customHeight="1" x14ac:dyDescent="0.2"/>
    <row r="5401" ht="12.75" customHeight="1" x14ac:dyDescent="0.2"/>
    <row r="5402" ht="12.75" customHeight="1" x14ac:dyDescent="0.2"/>
    <row r="5403" ht="12.75" customHeight="1" x14ac:dyDescent="0.2"/>
    <row r="5404" ht="12.75" customHeight="1" x14ac:dyDescent="0.2"/>
    <row r="5405" ht="12.75" customHeight="1" x14ac:dyDescent="0.2"/>
    <row r="5406" ht="12.75" customHeight="1" x14ac:dyDescent="0.2"/>
    <row r="5407" ht="12.75" customHeight="1" x14ac:dyDescent="0.2"/>
    <row r="5408" ht="12.75" customHeight="1" x14ac:dyDescent="0.2"/>
    <row r="5409" ht="12.75" customHeight="1" x14ac:dyDescent="0.2"/>
    <row r="5410" ht="12.75" customHeight="1" x14ac:dyDescent="0.2"/>
    <row r="5411" ht="12.75" customHeight="1" x14ac:dyDescent="0.2"/>
    <row r="5412" ht="12.75" customHeight="1" x14ac:dyDescent="0.2"/>
    <row r="5413" ht="12.75" customHeight="1" x14ac:dyDescent="0.2"/>
    <row r="5414" ht="12.75" customHeight="1" x14ac:dyDescent="0.2"/>
    <row r="5415" ht="12.75" customHeight="1" x14ac:dyDescent="0.2"/>
    <row r="5416" ht="12.75" customHeight="1" x14ac:dyDescent="0.2"/>
    <row r="5417" ht="12.75" customHeight="1" x14ac:dyDescent="0.2"/>
    <row r="5418" ht="12.75" customHeight="1" x14ac:dyDescent="0.2"/>
    <row r="5419" ht="12.75" customHeight="1" x14ac:dyDescent="0.2"/>
    <row r="5420" ht="12.75" customHeight="1" x14ac:dyDescent="0.2"/>
    <row r="5421" ht="12.75" customHeight="1" x14ac:dyDescent="0.2"/>
    <row r="5422" ht="12.75" customHeight="1" x14ac:dyDescent="0.2"/>
    <row r="5423" ht="12.75" customHeight="1" x14ac:dyDescent="0.2"/>
    <row r="5424" ht="12.75" customHeight="1" x14ac:dyDescent="0.2"/>
    <row r="5425" ht="12.75" customHeight="1" x14ac:dyDescent="0.2"/>
    <row r="5426" ht="12.75" customHeight="1" x14ac:dyDescent="0.2"/>
    <row r="5427" ht="12.75" customHeight="1" x14ac:dyDescent="0.2"/>
    <row r="5428" ht="12.75" customHeight="1" x14ac:dyDescent="0.2"/>
    <row r="5429" ht="12.75" customHeight="1" x14ac:dyDescent="0.2"/>
    <row r="5430" ht="12.75" customHeight="1" x14ac:dyDescent="0.2"/>
    <row r="5431" ht="12.75" customHeight="1" x14ac:dyDescent="0.2"/>
    <row r="5432" ht="12.75" customHeight="1" x14ac:dyDescent="0.2"/>
    <row r="5433" ht="12.75" customHeight="1" x14ac:dyDescent="0.2"/>
    <row r="5434" ht="12.75" customHeight="1" x14ac:dyDescent="0.2"/>
    <row r="5435" ht="12.75" customHeight="1" x14ac:dyDescent="0.2"/>
    <row r="5436" ht="12.75" customHeight="1" x14ac:dyDescent="0.2"/>
    <row r="5437" ht="12.75" customHeight="1" x14ac:dyDescent="0.2"/>
    <row r="5438" ht="12.75" customHeight="1" x14ac:dyDescent="0.2"/>
    <row r="5439" ht="12.75" customHeight="1" x14ac:dyDescent="0.2"/>
    <row r="5440" ht="12.75" customHeight="1" x14ac:dyDescent="0.2"/>
    <row r="5441" ht="12.75" customHeight="1" x14ac:dyDescent="0.2"/>
    <row r="5442" ht="12.75" customHeight="1" x14ac:dyDescent="0.2"/>
    <row r="5443" ht="12.75" customHeight="1" x14ac:dyDescent="0.2"/>
    <row r="5444" ht="12.75" customHeight="1" x14ac:dyDescent="0.2"/>
    <row r="5445" ht="12.75" customHeight="1" x14ac:dyDescent="0.2"/>
    <row r="5446" ht="12.75" customHeight="1" x14ac:dyDescent="0.2"/>
    <row r="5447" ht="12.75" customHeight="1" x14ac:dyDescent="0.2"/>
    <row r="5448" ht="12.75" customHeight="1" x14ac:dyDescent="0.2"/>
    <row r="5449" ht="12.75" customHeight="1" x14ac:dyDescent="0.2"/>
    <row r="5450" ht="12.75" customHeight="1" x14ac:dyDescent="0.2"/>
    <row r="5451" ht="12.75" customHeight="1" x14ac:dyDescent="0.2"/>
    <row r="5452" ht="12.75" customHeight="1" x14ac:dyDescent="0.2"/>
    <row r="5453" ht="12.75" customHeight="1" x14ac:dyDescent="0.2"/>
    <row r="5454" ht="12.75" customHeight="1" x14ac:dyDescent="0.2"/>
    <row r="5455" ht="12.75" customHeight="1" x14ac:dyDescent="0.2"/>
    <row r="5456" ht="12.75" customHeight="1" x14ac:dyDescent="0.2"/>
    <row r="5457" ht="12.75" customHeight="1" x14ac:dyDescent="0.2"/>
    <row r="5458" ht="12.75" customHeight="1" x14ac:dyDescent="0.2"/>
    <row r="5459" ht="12.75" customHeight="1" x14ac:dyDescent="0.2"/>
    <row r="5460" ht="12.75" customHeight="1" x14ac:dyDescent="0.2"/>
    <row r="5461" ht="12.75" customHeight="1" x14ac:dyDescent="0.2"/>
    <row r="5462" ht="12.75" customHeight="1" x14ac:dyDescent="0.2"/>
    <row r="5463" ht="12.75" customHeight="1" x14ac:dyDescent="0.2"/>
    <row r="5464" ht="12.75" customHeight="1" x14ac:dyDescent="0.2"/>
    <row r="5465" ht="12.75" customHeight="1" x14ac:dyDescent="0.2"/>
    <row r="5466" ht="12.75" customHeight="1" x14ac:dyDescent="0.2"/>
    <row r="5467" ht="12.75" customHeight="1" x14ac:dyDescent="0.2"/>
    <row r="5468" ht="12.75" customHeight="1" x14ac:dyDescent="0.2"/>
    <row r="5469" ht="12.75" customHeight="1" x14ac:dyDescent="0.2"/>
    <row r="5470" ht="12.75" customHeight="1" x14ac:dyDescent="0.2"/>
    <row r="5471" ht="12.75" customHeight="1" x14ac:dyDescent="0.2"/>
    <row r="5472" ht="12.75" customHeight="1" x14ac:dyDescent="0.2"/>
    <row r="5473" ht="12.75" customHeight="1" x14ac:dyDescent="0.2"/>
    <row r="5474" ht="12.75" customHeight="1" x14ac:dyDescent="0.2"/>
    <row r="5475" ht="12.75" customHeight="1" x14ac:dyDescent="0.2"/>
    <row r="5476" ht="12.75" customHeight="1" x14ac:dyDescent="0.2"/>
    <row r="5477" ht="12.75" customHeight="1" x14ac:dyDescent="0.2"/>
    <row r="5478" ht="12.75" customHeight="1" x14ac:dyDescent="0.2"/>
    <row r="5479" ht="12.75" customHeight="1" x14ac:dyDescent="0.2"/>
    <row r="5480" ht="12.75" customHeight="1" x14ac:dyDescent="0.2"/>
    <row r="5481" ht="12.75" customHeight="1" x14ac:dyDescent="0.2"/>
    <row r="5482" ht="12.75" customHeight="1" x14ac:dyDescent="0.2"/>
    <row r="5483" ht="12.75" customHeight="1" x14ac:dyDescent="0.2"/>
    <row r="5484" ht="12.75" customHeight="1" x14ac:dyDescent="0.2"/>
    <row r="5485" ht="12.75" customHeight="1" x14ac:dyDescent="0.2"/>
    <row r="5486" ht="12.75" customHeight="1" x14ac:dyDescent="0.2"/>
    <row r="5487" ht="12.75" customHeight="1" x14ac:dyDescent="0.2"/>
    <row r="5488" ht="12.75" customHeight="1" x14ac:dyDescent="0.2"/>
    <row r="5489" ht="12.75" customHeight="1" x14ac:dyDescent="0.2"/>
    <row r="5490" ht="12.75" customHeight="1" x14ac:dyDescent="0.2"/>
    <row r="5491" ht="12.75" customHeight="1" x14ac:dyDescent="0.2"/>
    <row r="5492" ht="12.75" customHeight="1" x14ac:dyDescent="0.2"/>
    <row r="5493" ht="12.75" customHeight="1" x14ac:dyDescent="0.2"/>
    <row r="5494" ht="12.75" customHeight="1" x14ac:dyDescent="0.2"/>
    <row r="5495" ht="12.75" customHeight="1" x14ac:dyDescent="0.2"/>
    <row r="5496" ht="12.75" customHeight="1" x14ac:dyDescent="0.2"/>
    <row r="5497" ht="12.75" customHeight="1" x14ac:dyDescent="0.2"/>
    <row r="5498" ht="12.75" customHeight="1" x14ac:dyDescent="0.2"/>
    <row r="5499" ht="12.75" customHeight="1" x14ac:dyDescent="0.2"/>
    <row r="5500" ht="12.75" customHeight="1" x14ac:dyDescent="0.2"/>
    <row r="5501" ht="12.75" customHeight="1" x14ac:dyDescent="0.2"/>
    <row r="5502" ht="12.75" customHeight="1" x14ac:dyDescent="0.2"/>
    <row r="5503" ht="12.75" customHeight="1" x14ac:dyDescent="0.2"/>
    <row r="5504" ht="12.75" customHeight="1" x14ac:dyDescent="0.2"/>
    <row r="5505" ht="12.75" customHeight="1" x14ac:dyDescent="0.2"/>
    <row r="5506" ht="12.75" customHeight="1" x14ac:dyDescent="0.2"/>
    <row r="5507" ht="12.75" customHeight="1" x14ac:dyDescent="0.2"/>
    <row r="5508" ht="12.75" customHeight="1" x14ac:dyDescent="0.2"/>
    <row r="5509" ht="12.75" customHeight="1" x14ac:dyDescent="0.2"/>
    <row r="5510" ht="12.75" customHeight="1" x14ac:dyDescent="0.2"/>
    <row r="5511" ht="12.75" customHeight="1" x14ac:dyDescent="0.2"/>
    <row r="5512" ht="12.75" customHeight="1" x14ac:dyDescent="0.2"/>
    <row r="5513" ht="12.75" customHeight="1" x14ac:dyDescent="0.2"/>
    <row r="5514" ht="12.75" customHeight="1" x14ac:dyDescent="0.2"/>
    <row r="5515" ht="12.75" customHeight="1" x14ac:dyDescent="0.2"/>
    <row r="5516" ht="12.75" customHeight="1" x14ac:dyDescent="0.2"/>
    <row r="5517" ht="12.75" customHeight="1" x14ac:dyDescent="0.2"/>
    <row r="5518" ht="12.75" customHeight="1" x14ac:dyDescent="0.2"/>
    <row r="5519" ht="12.75" customHeight="1" x14ac:dyDescent="0.2"/>
    <row r="5520" ht="12.75" customHeight="1" x14ac:dyDescent="0.2"/>
    <row r="5521" ht="12.75" customHeight="1" x14ac:dyDescent="0.2"/>
    <row r="5522" ht="12.75" customHeight="1" x14ac:dyDescent="0.2"/>
    <row r="5523" ht="12.75" customHeight="1" x14ac:dyDescent="0.2"/>
    <row r="5524" ht="12.75" customHeight="1" x14ac:dyDescent="0.2"/>
    <row r="5525" ht="12.75" customHeight="1" x14ac:dyDescent="0.2"/>
    <row r="5526" ht="12.75" customHeight="1" x14ac:dyDescent="0.2"/>
    <row r="5527" ht="12.75" customHeight="1" x14ac:dyDescent="0.2"/>
    <row r="5528" ht="12.75" customHeight="1" x14ac:dyDescent="0.2"/>
    <row r="5529" ht="12.75" customHeight="1" x14ac:dyDescent="0.2"/>
    <row r="5530" ht="12.75" customHeight="1" x14ac:dyDescent="0.2"/>
    <row r="5531" ht="12.75" customHeight="1" x14ac:dyDescent="0.2"/>
    <row r="5532" ht="12.75" customHeight="1" x14ac:dyDescent="0.2"/>
    <row r="5533" ht="12.75" customHeight="1" x14ac:dyDescent="0.2"/>
    <row r="5534" ht="12.75" customHeight="1" x14ac:dyDescent="0.2"/>
    <row r="5535" ht="12.75" customHeight="1" x14ac:dyDescent="0.2"/>
    <row r="5536" ht="12.75" customHeight="1" x14ac:dyDescent="0.2"/>
    <row r="5537" ht="12.75" customHeight="1" x14ac:dyDescent="0.2"/>
    <row r="5538" ht="12.75" customHeight="1" x14ac:dyDescent="0.2"/>
    <row r="5539" ht="12.75" customHeight="1" x14ac:dyDescent="0.2"/>
    <row r="5540" ht="12.75" customHeight="1" x14ac:dyDescent="0.2"/>
    <row r="5541" ht="12.75" customHeight="1" x14ac:dyDescent="0.2"/>
    <row r="5542" ht="12.75" customHeight="1" x14ac:dyDescent="0.2"/>
    <row r="5543" ht="12.75" customHeight="1" x14ac:dyDescent="0.2"/>
    <row r="5544" ht="12.75" customHeight="1" x14ac:dyDescent="0.2"/>
    <row r="5545" ht="12.75" customHeight="1" x14ac:dyDescent="0.2"/>
    <row r="5546" ht="12.75" customHeight="1" x14ac:dyDescent="0.2"/>
    <row r="5547" ht="12.75" customHeight="1" x14ac:dyDescent="0.2"/>
    <row r="5548" ht="12.75" customHeight="1" x14ac:dyDescent="0.2"/>
    <row r="5549" ht="12.75" customHeight="1" x14ac:dyDescent="0.2"/>
    <row r="5550" ht="12.75" customHeight="1" x14ac:dyDescent="0.2"/>
    <row r="5551" ht="12.75" customHeight="1" x14ac:dyDescent="0.2"/>
    <row r="5552" ht="12.75" customHeight="1" x14ac:dyDescent="0.2"/>
    <row r="5553" ht="12.75" customHeight="1" x14ac:dyDescent="0.2"/>
    <row r="5554" ht="12.75" customHeight="1" x14ac:dyDescent="0.2"/>
    <row r="5555" ht="12.75" customHeight="1" x14ac:dyDescent="0.2"/>
    <row r="5556" ht="12.75" customHeight="1" x14ac:dyDescent="0.2"/>
    <row r="5557" ht="12.75" customHeight="1" x14ac:dyDescent="0.2"/>
    <row r="5558" ht="12.75" customHeight="1" x14ac:dyDescent="0.2"/>
    <row r="5559" ht="12.75" customHeight="1" x14ac:dyDescent="0.2"/>
    <row r="5560" ht="12.75" customHeight="1" x14ac:dyDescent="0.2"/>
    <row r="5561" ht="12.75" customHeight="1" x14ac:dyDescent="0.2"/>
    <row r="5562" ht="12.75" customHeight="1" x14ac:dyDescent="0.2"/>
    <row r="5563" ht="12.75" customHeight="1" x14ac:dyDescent="0.2"/>
    <row r="5564" ht="12.75" customHeight="1" x14ac:dyDescent="0.2"/>
    <row r="5565" ht="12.75" customHeight="1" x14ac:dyDescent="0.2"/>
    <row r="5566" ht="12.75" customHeight="1" x14ac:dyDescent="0.2"/>
    <row r="5567" ht="12.75" customHeight="1" x14ac:dyDescent="0.2"/>
    <row r="5568" ht="12.75" customHeight="1" x14ac:dyDescent="0.2"/>
    <row r="5569" ht="12.75" customHeight="1" x14ac:dyDescent="0.2"/>
    <row r="5570" ht="12.75" customHeight="1" x14ac:dyDescent="0.2"/>
    <row r="5571" ht="12.75" customHeight="1" x14ac:dyDescent="0.2"/>
    <row r="5572" ht="12.75" customHeight="1" x14ac:dyDescent="0.2"/>
    <row r="5573" ht="12.75" customHeight="1" x14ac:dyDescent="0.2"/>
    <row r="5574" ht="12.75" customHeight="1" x14ac:dyDescent="0.2"/>
    <row r="5575" ht="12.75" customHeight="1" x14ac:dyDescent="0.2"/>
    <row r="5576" ht="12.75" customHeight="1" x14ac:dyDescent="0.2"/>
    <row r="5577" ht="12.75" customHeight="1" x14ac:dyDescent="0.2"/>
    <row r="5578" ht="12.75" customHeight="1" x14ac:dyDescent="0.2"/>
    <row r="5579" ht="12.75" customHeight="1" x14ac:dyDescent="0.2"/>
    <row r="5580" ht="12.75" customHeight="1" x14ac:dyDescent="0.2"/>
    <row r="5581" ht="12.75" customHeight="1" x14ac:dyDescent="0.2"/>
    <row r="5582" ht="12.75" customHeight="1" x14ac:dyDescent="0.2"/>
    <row r="5583" ht="12.75" customHeight="1" x14ac:dyDescent="0.2"/>
    <row r="5584" ht="12.75" customHeight="1" x14ac:dyDescent="0.2"/>
    <row r="5585" ht="12.75" customHeight="1" x14ac:dyDescent="0.2"/>
    <row r="5586" ht="12.75" customHeight="1" x14ac:dyDescent="0.2"/>
    <row r="5587" ht="12.75" customHeight="1" x14ac:dyDescent="0.2"/>
    <row r="5588" ht="12.75" customHeight="1" x14ac:dyDescent="0.2"/>
    <row r="5589" ht="12.75" customHeight="1" x14ac:dyDescent="0.2"/>
    <row r="5590" ht="12.75" customHeight="1" x14ac:dyDescent="0.2"/>
    <row r="5591" ht="12.75" customHeight="1" x14ac:dyDescent="0.2"/>
    <row r="5592" ht="12.75" customHeight="1" x14ac:dyDescent="0.2"/>
    <row r="5593" ht="12.75" customHeight="1" x14ac:dyDescent="0.2"/>
    <row r="5594" ht="12.75" customHeight="1" x14ac:dyDescent="0.2"/>
    <row r="5595" ht="12.75" customHeight="1" x14ac:dyDescent="0.2"/>
    <row r="5596" ht="12.75" customHeight="1" x14ac:dyDescent="0.2"/>
    <row r="5597" ht="12.75" customHeight="1" x14ac:dyDescent="0.2"/>
    <row r="5598" ht="12.75" customHeight="1" x14ac:dyDescent="0.2"/>
    <row r="5599" ht="12.75" customHeight="1" x14ac:dyDescent="0.2"/>
    <row r="5600" ht="12.75" customHeight="1" x14ac:dyDescent="0.2"/>
    <row r="5601" ht="12.75" customHeight="1" x14ac:dyDescent="0.2"/>
    <row r="5602" ht="12.75" customHeight="1" x14ac:dyDescent="0.2"/>
    <row r="5603" ht="12.75" customHeight="1" x14ac:dyDescent="0.2"/>
    <row r="5604" ht="12.75" customHeight="1" x14ac:dyDescent="0.2"/>
    <row r="5605" ht="12.75" customHeight="1" x14ac:dyDescent="0.2"/>
    <row r="5606" ht="12.75" customHeight="1" x14ac:dyDescent="0.2"/>
    <row r="5607" ht="12.75" customHeight="1" x14ac:dyDescent="0.2"/>
    <row r="5608" ht="12.75" customHeight="1" x14ac:dyDescent="0.2"/>
    <row r="5609" ht="12.75" customHeight="1" x14ac:dyDescent="0.2"/>
    <row r="5610" ht="12.75" customHeight="1" x14ac:dyDescent="0.2"/>
    <row r="5611" ht="12.75" customHeight="1" x14ac:dyDescent="0.2"/>
    <row r="5612" ht="12.75" customHeight="1" x14ac:dyDescent="0.2"/>
    <row r="5613" ht="12.75" customHeight="1" x14ac:dyDescent="0.2"/>
    <row r="5614" ht="12.75" customHeight="1" x14ac:dyDescent="0.2"/>
    <row r="5615" ht="12.75" customHeight="1" x14ac:dyDescent="0.2"/>
    <row r="5616" ht="12.75" customHeight="1" x14ac:dyDescent="0.2"/>
    <row r="5617" ht="12.75" customHeight="1" x14ac:dyDescent="0.2"/>
    <row r="5618" ht="12.75" customHeight="1" x14ac:dyDescent="0.2"/>
    <row r="5619" ht="12.75" customHeight="1" x14ac:dyDescent="0.2"/>
    <row r="5620" ht="12.75" customHeight="1" x14ac:dyDescent="0.2"/>
    <row r="5621" ht="12.75" customHeight="1" x14ac:dyDescent="0.2"/>
    <row r="5622" ht="12.75" customHeight="1" x14ac:dyDescent="0.2"/>
    <row r="5623" ht="12.75" customHeight="1" x14ac:dyDescent="0.2"/>
    <row r="5624" ht="12.75" customHeight="1" x14ac:dyDescent="0.2"/>
    <row r="5625" ht="12.75" customHeight="1" x14ac:dyDescent="0.2"/>
    <row r="5626" ht="12.75" customHeight="1" x14ac:dyDescent="0.2"/>
    <row r="5627" ht="12.75" customHeight="1" x14ac:dyDescent="0.2"/>
    <row r="5628" ht="12.75" customHeight="1" x14ac:dyDescent="0.2"/>
    <row r="5629" ht="12.75" customHeight="1" x14ac:dyDescent="0.2"/>
    <row r="5630" ht="12.75" customHeight="1" x14ac:dyDescent="0.2"/>
    <row r="5631" ht="12.75" customHeight="1" x14ac:dyDescent="0.2"/>
    <row r="5632" ht="12.75" customHeight="1" x14ac:dyDescent="0.2"/>
    <row r="5633" ht="12.75" customHeight="1" x14ac:dyDescent="0.2"/>
    <row r="5634" ht="12.75" customHeight="1" x14ac:dyDescent="0.2"/>
    <row r="5635" ht="12.75" customHeight="1" x14ac:dyDescent="0.2"/>
    <row r="5636" ht="12.75" customHeight="1" x14ac:dyDescent="0.2"/>
    <row r="5637" ht="12.75" customHeight="1" x14ac:dyDescent="0.2"/>
    <row r="5638" ht="12.75" customHeight="1" x14ac:dyDescent="0.2"/>
    <row r="5639" ht="12.75" customHeight="1" x14ac:dyDescent="0.2"/>
    <row r="5640" ht="12.75" customHeight="1" x14ac:dyDescent="0.2"/>
    <row r="5641" ht="12.75" customHeight="1" x14ac:dyDescent="0.2"/>
    <row r="5642" ht="12.75" customHeight="1" x14ac:dyDescent="0.2"/>
    <row r="5643" ht="12.75" customHeight="1" x14ac:dyDescent="0.2"/>
    <row r="5644" ht="12.75" customHeight="1" x14ac:dyDescent="0.2"/>
    <row r="5645" ht="12.75" customHeight="1" x14ac:dyDescent="0.2"/>
    <row r="5646" ht="12.75" customHeight="1" x14ac:dyDescent="0.2"/>
    <row r="5647" ht="12.75" customHeight="1" x14ac:dyDescent="0.2"/>
    <row r="5648" ht="12.75" customHeight="1" x14ac:dyDescent="0.2"/>
    <row r="5649" ht="12.75" customHeight="1" x14ac:dyDescent="0.2"/>
    <row r="5650" ht="12.75" customHeight="1" x14ac:dyDescent="0.2"/>
    <row r="5651" ht="12.75" customHeight="1" x14ac:dyDescent="0.2"/>
    <row r="5652" ht="12.75" customHeight="1" x14ac:dyDescent="0.2"/>
    <row r="5653" ht="12.75" customHeight="1" x14ac:dyDescent="0.2"/>
    <row r="5654" ht="12.75" customHeight="1" x14ac:dyDescent="0.2"/>
    <row r="5655" ht="12.75" customHeight="1" x14ac:dyDescent="0.2"/>
    <row r="5656" ht="12.75" customHeight="1" x14ac:dyDescent="0.2"/>
    <row r="5657" ht="12.75" customHeight="1" x14ac:dyDescent="0.2"/>
    <row r="5658" ht="12.75" customHeight="1" x14ac:dyDescent="0.2"/>
    <row r="5659" ht="12.75" customHeight="1" x14ac:dyDescent="0.2"/>
    <row r="5660" ht="12.75" customHeight="1" x14ac:dyDescent="0.2"/>
    <row r="5661" ht="12.75" customHeight="1" x14ac:dyDescent="0.2"/>
    <row r="5662" ht="12.75" customHeight="1" x14ac:dyDescent="0.2"/>
    <row r="5663" ht="12.75" customHeight="1" x14ac:dyDescent="0.2"/>
    <row r="5664" ht="12.75" customHeight="1" x14ac:dyDescent="0.2"/>
    <row r="5665" ht="12.75" customHeight="1" x14ac:dyDescent="0.2"/>
    <row r="5666" ht="12.75" customHeight="1" x14ac:dyDescent="0.2"/>
    <row r="5667" ht="12.75" customHeight="1" x14ac:dyDescent="0.2"/>
    <row r="5668" ht="12.75" customHeight="1" x14ac:dyDescent="0.2"/>
    <row r="5669" ht="12.75" customHeight="1" x14ac:dyDescent="0.2"/>
    <row r="5670" ht="12.75" customHeight="1" x14ac:dyDescent="0.2"/>
    <row r="5671" ht="12.75" customHeight="1" x14ac:dyDescent="0.2"/>
    <row r="5672" ht="12.75" customHeight="1" x14ac:dyDescent="0.2"/>
    <row r="5673" ht="12.75" customHeight="1" x14ac:dyDescent="0.2"/>
    <row r="5674" ht="12.75" customHeight="1" x14ac:dyDescent="0.2"/>
    <row r="5675" ht="12.75" customHeight="1" x14ac:dyDescent="0.2"/>
    <row r="5676" ht="12.75" customHeight="1" x14ac:dyDescent="0.2"/>
    <row r="5677" ht="12.75" customHeight="1" x14ac:dyDescent="0.2"/>
    <row r="5678" ht="12.75" customHeight="1" x14ac:dyDescent="0.2"/>
    <row r="5679" ht="12.75" customHeight="1" x14ac:dyDescent="0.2"/>
    <row r="5680" ht="12.75" customHeight="1" x14ac:dyDescent="0.2"/>
    <row r="5681" ht="12.75" customHeight="1" x14ac:dyDescent="0.2"/>
    <row r="5682" ht="12.75" customHeight="1" x14ac:dyDescent="0.2"/>
    <row r="5683" ht="12.75" customHeight="1" x14ac:dyDescent="0.2"/>
    <row r="5684" ht="12.75" customHeight="1" x14ac:dyDescent="0.2"/>
    <row r="5685" ht="12.75" customHeight="1" x14ac:dyDescent="0.2"/>
    <row r="5686" ht="12.75" customHeight="1" x14ac:dyDescent="0.2"/>
    <row r="5687" ht="12.75" customHeight="1" x14ac:dyDescent="0.2"/>
    <row r="5688" ht="12.75" customHeight="1" x14ac:dyDescent="0.2"/>
    <row r="5689" ht="12.75" customHeight="1" x14ac:dyDescent="0.2"/>
    <row r="5690" ht="12.75" customHeight="1" x14ac:dyDescent="0.2"/>
    <row r="5691" ht="12.75" customHeight="1" x14ac:dyDescent="0.2"/>
    <row r="5692" ht="12.75" customHeight="1" x14ac:dyDescent="0.2"/>
    <row r="5693" ht="12.75" customHeight="1" x14ac:dyDescent="0.2"/>
    <row r="5694" ht="12.75" customHeight="1" x14ac:dyDescent="0.2"/>
    <row r="5695" ht="12.75" customHeight="1" x14ac:dyDescent="0.2"/>
    <row r="5696" ht="12.75" customHeight="1" x14ac:dyDescent="0.2"/>
    <row r="5697" ht="12.75" customHeight="1" x14ac:dyDescent="0.2"/>
    <row r="5698" ht="12.75" customHeight="1" x14ac:dyDescent="0.2"/>
    <row r="5699" ht="12.75" customHeight="1" x14ac:dyDescent="0.2"/>
    <row r="5700" ht="12.75" customHeight="1" x14ac:dyDescent="0.2"/>
    <row r="5701" ht="12.75" customHeight="1" x14ac:dyDescent="0.2"/>
    <row r="5702" ht="12.75" customHeight="1" x14ac:dyDescent="0.2"/>
    <row r="5703" ht="12.75" customHeight="1" x14ac:dyDescent="0.2"/>
    <row r="5704" ht="12.75" customHeight="1" x14ac:dyDescent="0.2"/>
    <row r="5705" ht="12.75" customHeight="1" x14ac:dyDescent="0.2"/>
    <row r="5706" ht="12.75" customHeight="1" x14ac:dyDescent="0.2"/>
    <row r="5707" ht="12.75" customHeight="1" x14ac:dyDescent="0.2"/>
    <row r="5708" ht="12.75" customHeight="1" x14ac:dyDescent="0.2"/>
    <row r="5709" ht="12.75" customHeight="1" x14ac:dyDescent="0.2"/>
    <row r="5710" ht="12.75" customHeight="1" x14ac:dyDescent="0.2"/>
    <row r="5711" ht="12.75" customHeight="1" x14ac:dyDescent="0.2"/>
    <row r="5712" ht="12.75" customHeight="1" x14ac:dyDescent="0.2"/>
    <row r="5713" ht="12.75" customHeight="1" x14ac:dyDescent="0.2"/>
    <row r="5714" ht="12.75" customHeight="1" x14ac:dyDescent="0.2"/>
    <row r="5715" ht="12.75" customHeight="1" x14ac:dyDescent="0.2"/>
    <row r="5716" ht="12.75" customHeight="1" x14ac:dyDescent="0.2"/>
    <row r="5717" ht="12.75" customHeight="1" x14ac:dyDescent="0.2"/>
    <row r="5718" ht="12.75" customHeight="1" x14ac:dyDescent="0.2"/>
    <row r="5719" ht="12.75" customHeight="1" x14ac:dyDescent="0.2"/>
    <row r="5720" ht="12.75" customHeight="1" x14ac:dyDescent="0.2"/>
    <row r="5721" ht="12.75" customHeight="1" x14ac:dyDescent="0.2"/>
    <row r="5722" ht="12.75" customHeight="1" x14ac:dyDescent="0.2"/>
    <row r="5723" ht="12.75" customHeight="1" x14ac:dyDescent="0.2"/>
    <row r="5724" ht="12.75" customHeight="1" x14ac:dyDescent="0.2"/>
    <row r="5725" ht="12.75" customHeight="1" x14ac:dyDescent="0.2"/>
    <row r="5726" ht="12.75" customHeight="1" x14ac:dyDescent="0.2"/>
    <row r="5727" ht="12.75" customHeight="1" x14ac:dyDescent="0.2"/>
    <row r="5728" ht="12.75" customHeight="1" x14ac:dyDescent="0.2"/>
    <row r="5729" ht="12.75" customHeight="1" x14ac:dyDescent="0.2"/>
    <row r="5730" ht="12.75" customHeight="1" x14ac:dyDescent="0.2"/>
    <row r="5731" ht="12.75" customHeight="1" x14ac:dyDescent="0.2"/>
    <row r="5732" ht="12.75" customHeight="1" x14ac:dyDescent="0.2"/>
    <row r="5733" ht="12.75" customHeight="1" x14ac:dyDescent="0.2"/>
    <row r="5734" ht="12.75" customHeight="1" x14ac:dyDescent="0.2"/>
    <row r="5735" ht="12.75" customHeight="1" x14ac:dyDescent="0.2"/>
    <row r="5736" ht="12.75" customHeight="1" x14ac:dyDescent="0.2"/>
    <row r="5737" ht="12.75" customHeight="1" x14ac:dyDescent="0.2"/>
    <row r="5738" ht="12.75" customHeight="1" x14ac:dyDescent="0.2"/>
    <row r="5739" ht="12.75" customHeight="1" x14ac:dyDescent="0.2"/>
    <row r="5740" ht="12.75" customHeight="1" x14ac:dyDescent="0.2"/>
    <row r="5741" ht="12.75" customHeight="1" x14ac:dyDescent="0.2"/>
    <row r="5742" ht="12.75" customHeight="1" x14ac:dyDescent="0.2"/>
    <row r="5743" ht="12.75" customHeight="1" x14ac:dyDescent="0.2"/>
    <row r="5744" ht="12.75" customHeight="1" x14ac:dyDescent="0.2"/>
    <row r="5745" ht="12.75" customHeight="1" x14ac:dyDescent="0.2"/>
    <row r="5746" ht="12.75" customHeight="1" x14ac:dyDescent="0.2"/>
    <row r="5747" ht="12.75" customHeight="1" x14ac:dyDescent="0.2"/>
    <row r="5748" ht="12.75" customHeight="1" x14ac:dyDescent="0.2"/>
    <row r="5749" ht="12.75" customHeight="1" x14ac:dyDescent="0.2"/>
    <row r="5750" ht="12.75" customHeight="1" x14ac:dyDescent="0.2"/>
    <row r="5751" ht="12.75" customHeight="1" x14ac:dyDescent="0.2"/>
    <row r="5752" ht="12.75" customHeight="1" x14ac:dyDescent="0.2"/>
    <row r="5753" ht="12.75" customHeight="1" x14ac:dyDescent="0.2"/>
    <row r="5754" ht="12.75" customHeight="1" x14ac:dyDescent="0.2"/>
    <row r="5755" ht="12.75" customHeight="1" x14ac:dyDescent="0.2"/>
    <row r="5756" ht="12.75" customHeight="1" x14ac:dyDescent="0.2"/>
    <row r="5757" ht="12.75" customHeight="1" x14ac:dyDescent="0.2"/>
    <row r="5758" ht="12.75" customHeight="1" x14ac:dyDescent="0.2"/>
    <row r="5759" ht="12.75" customHeight="1" x14ac:dyDescent="0.2"/>
    <row r="5760" ht="12.75" customHeight="1" x14ac:dyDescent="0.2"/>
    <row r="5761" ht="12.75" customHeight="1" x14ac:dyDescent="0.2"/>
    <row r="5762" ht="12.75" customHeight="1" x14ac:dyDescent="0.2"/>
    <row r="5763" ht="12.75" customHeight="1" x14ac:dyDescent="0.2"/>
    <row r="5764" ht="12.75" customHeight="1" x14ac:dyDescent="0.2"/>
    <row r="5765" ht="12.75" customHeight="1" x14ac:dyDescent="0.2"/>
    <row r="5766" ht="12.75" customHeight="1" x14ac:dyDescent="0.2"/>
    <row r="5767" ht="12.75" customHeight="1" x14ac:dyDescent="0.2"/>
    <row r="5768" ht="12.75" customHeight="1" x14ac:dyDescent="0.2"/>
    <row r="5769" ht="12.75" customHeight="1" x14ac:dyDescent="0.2"/>
    <row r="5770" ht="12.75" customHeight="1" x14ac:dyDescent="0.2"/>
    <row r="5771" ht="12.75" customHeight="1" x14ac:dyDescent="0.2"/>
    <row r="5772" ht="12.75" customHeight="1" x14ac:dyDescent="0.2"/>
    <row r="5773" ht="12.75" customHeight="1" x14ac:dyDescent="0.2"/>
    <row r="5774" ht="12.75" customHeight="1" x14ac:dyDescent="0.2"/>
    <row r="5775" ht="12.75" customHeight="1" x14ac:dyDescent="0.2"/>
    <row r="5776" ht="12.75" customHeight="1" x14ac:dyDescent="0.2"/>
    <row r="5777" ht="12.75" customHeight="1" x14ac:dyDescent="0.2"/>
    <row r="5778" ht="12.75" customHeight="1" x14ac:dyDescent="0.2"/>
    <row r="5779" ht="12.75" customHeight="1" x14ac:dyDescent="0.2"/>
    <row r="5780" ht="12.75" customHeight="1" x14ac:dyDescent="0.2"/>
    <row r="5781" ht="12.75" customHeight="1" x14ac:dyDescent="0.2"/>
    <row r="5782" ht="12.75" customHeight="1" x14ac:dyDescent="0.2"/>
    <row r="5783" ht="12.75" customHeight="1" x14ac:dyDescent="0.2"/>
    <row r="5784" ht="12.75" customHeight="1" x14ac:dyDescent="0.2"/>
    <row r="5785" ht="12.75" customHeight="1" x14ac:dyDescent="0.2"/>
    <row r="5786" ht="12.75" customHeight="1" x14ac:dyDescent="0.2"/>
    <row r="5787" ht="12.75" customHeight="1" x14ac:dyDescent="0.2"/>
    <row r="5788" ht="12.75" customHeight="1" x14ac:dyDescent="0.2"/>
    <row r="5789" ht="12.75" customHeight="1" x14ac:dyDescent="0.2"/>
    <row r="5790" ht="12.75" customHeight="1" x14ac:dyDescent="0.2"/>
    <row r="5791" ht="12.75" customHeight="1" x14ac:dyDescent="0.2"/>
    <row r="5792" ht="12.75" customHeight="1" x14ac:dyDescent="0.2"/>
    <row r="5793" ht="12.75" customHeight="1" x14ac:dyDescent="0.2"/>
    <row r="5794" ht="12.75" customHeight="1" x14ac:dyDescent="0.2"/>
    <row r="5795" ht="12.75" customHeight="1" x14ac:dyDescent="0.2"/>
    <row r="5796" ht="12.75" customHeight="1" x14ac:dyDescent="0.2"/>
    <row r="5797" ht="12.75" customHeight="1" x14ac:dyDescent="0.2"/>
    <row r="5798" ht="12.75" customHeight="1" x14ac:dyDescent="0.2"/>
    <row r="5799" ht="12.75" customHeight="1" x14ac:dyDescent="0.2"/>
    <row r="5800" ht="12.75" customHeight="1" x14ac:dyDescent="0.2"/>
    <row r="5801" ht="12.75" customHeight="1" x14ac:dyDescent="0.2"/>
    <row r="5802" ht="12.75" customHeight="1" x14ac:dyDescent="0.2"/>
    <row r="5803" ht="12.75" customHeight="1" x14ac:dyDescent="0.2"/>
    <row r="5804" ht="12.75" customHeight="1" x14ac:dyDescent="0.2"/>
    <row r="5805" ht="12.75" customHeight="1" x14ac:dyDescent="0.2"/>
    <row r="5806" ht="12.75" customHeight="1" x14ac:dyDescent="0.2"/>
    <row r="5807" ht="12.75" customHeight="1" x14ac:dyDescent="0.2"/>
    <row r="5808" ht="12.75" customHeight="1" x14ac:dyDescent="0.2"/>
    <row r="5809" ht="12.75" customHeight="1" x14ac:dyDescent="0.2"/>
    <row r="5810" ht="12.75" customHeight="1" x14ac:dyDescent="0.2"/>
    <row r="5811" ht="12.75" customHeight="1" x14ac:dyDescent="0.2"/>
    <row r="5812" ht="12.75" customHeight="1" x14ac:dyDescent="0.2"/>
    <row r="5813" ht="12.75" customHeight="1" x14ac:dyDescent="0.2"/>
    <row r="5814" ht="12.75" customHeight="1" x14ac:dyDescent="0.2"/>
    <row r="5815" ht="12.75" customHeight="1" x14ac:dyDescent="0.2"/>
    <row r="5816" ht="12.75" customHeight="1" x14ac:dyDescent="0.2"/>
    <row r="5817" ht="12.75" customHeight="1" x14ac:dyDescent="0.2"/>
    <row r="5818" ht="12.75" customHeight="1" x14ac:dyDescent="0.2"/>
    <row r="5819" ht="12.75" customHeight="1" x14ac:dyDescent="0.2"/>
    <row r="5820" ht="12.75" customHeight="1" x14ac:dyDescent="0.2"/>
    <row r="5821" ht="12.75" customHeight="1" x14ac:dyDescent="0.2"/>
    <row r="5822" ht="12.75" customHeight="1" x14ac:dyDescent="0.2"/>
    <row r="5823" ht="12.75" customHeight="1" x14ac:dyDescent="0.2"/>
    <row r="5824" ht="12.75" customHeight="1" x14ac:dyDescent="0.2"/>
    <row r="5825" ht="12.75" customHeight="1" x14ac:dyDescent="0.2"/>
    <row r="5826" ht="12.75" customHeight="1" x14ac:dyDescent="0.2"/>
    <row r="5827" ht="12.75" customHeight="1" x14ac:dyDescent="0.2"/>
    <row r="5828" ht="12.75" customHeight="1" x14ac:dyDescent="0.2"/>
    <row r="5829" ht="12.75" customHeight="1" x14ac:dyDescent="0.2"/>
    <row r="5830" ht="12.75" customHeight="1" x14ac:dyDescent="0.2"/>
    <row r="5831" ht="12.75" customHeight="1" x14ac:dyDescent="0.2"/>
    <row r="5832" ht="12.75" customHeight="1" x14ac:dyDescent="0.2"/>
    <row r="5833" ht="12.75" customHeight="1" x14ac:dyDescent="0.2"/>
    <row r="5834" ht="12.75" customHeight="1" x14ac:dyDescent="0.2"/>
    <row r="5835" ht="12.75" customHeight="1" x14ac:dyDescent="0.2"/>
    <row r="5836" ht="12.75" customHeight="1" x14ac:dyDescent="0.2"/>
    <row r="5837" ht="12.75" customHeight="1" x14ac:dyDescent="0.2"/>
    <row r="5838" ht="12.75" customHeight="1" x14ac:dyDescent="0.2"/>
    <row r="5839" ht="12.75" customHeight="1" x14ac:dyDescent="0.2"/>
    <row r="5840" ht="12.75" customHeight="1" x14ac:dyDescent="0.2"/>
    <row r="5841" ht="12.75" customHeight="1" x14ac:dyDescent="0.2"/>
    <row r="5842" ht="12.75" customHeight="1" x14ac:dyDescent="0.2"/>
    <row r="5843" ht="12.75" customHeight="1" x14ac:dyDescent="0.2"/>
    <row r="5844" ht="12.75" customHeight="1" x14ac:dyDescent="0.2"/>
    <row r="5845" ht="12.75" customHeight="1" x14ac:dyDescent="0.2"/>
    <row r="5846" ht="12.75" customHeight="1" x14ac:dyDescent="0.2"/>
    <row r="5847" ht="12.75" customHeight="1" x14ac:dyDescent="0.2"/>
    <row r="5848" ht="12.75" customHeight="1" x14ac:dyDescent="0.2"/>
    <row r="5849" ht="12.75" customHeight="1" x14ac:dyDescent="0.2"/>
    <row r="5850" ht="12.75" customHeight="1" x14ac:dyDescent="0.2"/>
    <row r="5851" ht="12.75" customHeight="1" x14ac:dyDescent="0.2"/>
    <row r="5852" ht="12.75" customHeight="1" x14ac:dyDescent="0.2"/>
    <row r="5853" ht="12.75" customHeight="1" x14ac:dyDescent="0.2"/>
    <row r="5854" ht="12.75" customHeight="1" x14ac:dyDescent="0.2"/>
    <row r="5855" ht="12.75" customHeight="1" x14ac:dyDescent="0.2"/>
    <row r="5856" ht="12.75" customHeight="1" x14ac:dyDescent="0.2"/>
    <row r="5857" ht="12.75" customHeight="1" x14ac:dyDescent="0.2"/>
    <row r="5858" ht="12.75" customHeight="1" x14ac:dyDescent="0.2"/>
    <row r="5859" ht="12.75" customHeight="1" x14ac:dyDescent="0.2"/>
    <row r="5860" ht="12.75" customHeight="1" x14ac:dyDescent="0.2"/>
    <row r="5861" ht="12.75" customHeight="1" x14ac:dyDescent="0.2"/>
    <row r="5862" ht="12.75" customHeight="1" x14ac:dyDescent="0.2"/>
    <row r="5863" ht="12.75" customHeight="1" x14ac:dyDescent="0.2"/>
    <row r="5864" ht="12.75" customHeight="1" x14ac:dyDescent="0.2"/>
    <row r="5865" ht="12.75" customHeight="1" x14ac:dyDescent="0.2"/>
    <row r="5866" ht="12.75" customHeight="1" x14ac:dyDescent="0.2"/>
    <row r="5867" ht="12.75" customHeight="1" x14ac:dyDescent="0.2"/>
    <row r="5868" ht="12.75" customHeight="1" x14ac:dyDescent="0.2"/>
    <row r="5869" ht="12.75" customHeight="1" x14ac:dyDescent="0.2"/>
    <row r="5870" ht="12.75" customHeight="1" x14ac:dyDescent="0.2"/>
    <row r="5871" ht="12.75" customHeight="1" x14ac:dyDescent="0.2"/>
    <row r="5872" ht="12.75" customHeight="1" x14ac:dyDescent="0.2"/>
    <row r="5873" ht="12.75" customHeight="1" x14ac:dyDescent="0.2"/>
    <row r="5874" ht="12.75" customHeight="1" x14ac:dyDescent="0.2"/>
    <row r="5875" ht="12.75" customHeight="1" x14ac:dyDescent="0.2"/>
    <row r="5876" ht="12.75" customHeight="1" x14ac:dyDescent="0.2"/>
    <row r="5877" ht="12.75" customHeight="1" x14ac:dyDescent="0.2"/>
    <row r="5878" ht="12.75" customHeight="1" x14ac:dyDescent="0.2"/>
    <row r="5879" ht="12.75" customHeight="1" x14ac:dyDescent="0.2"/>
    <row r="5880" ht="12.75" customHeight="1" x14ac:dyDescent="0.2"/>
    <row r="5881" ht="12.75" customHeight="1" x14ac:dyDescent="0.2"/>
    <row r="5882" ht="12.75" customHeight="1" x14ac:dyDescent="0.2"/>
    <row r="5883" ht="12.75" customHeight="1" x14ac:dyDescent="0.2"/>
    <row r="5884" ht="12.75" customHeight="1" x14ac:dyDescent="0.2"/>
    <row r="5885" ht="12.75" customHeight="1" x14ac:dyDescent="0.2"/>
    <row r="5886" ht="12.75" customHeight="1" x14ac:dyDescent="0.2"/>
    <row r="5887" ht="12.75" customHeight="1" x14ac:dyDescent="0.2"/>
    <row r="5888" ht="12.75" customHeight="1" x14ac:dyDescent="0.2"/>
    <row r="5889" ht="12.75" customHeight="1" x14ac:dyDescent="0.2"/>
    <row r="5890" ht="12.75" customHeight="1" x14ac:dyDescent="0.2"/>
    <row r="5891" ht="12.75" customHeight="1" x14ac:dyDescent="0.2"/>
    <row r="5892" ht="12.75" customHeight="1" x14ac:dyDescent="0.2"/>
    <row r="5893" ht="12.75" customHeight="1" x14ac:dyDescent="0.2"/>
    <row r="5894" ht="12.75" customHeight="1" x14ac:dyDescent="0.2"/>
    <row r="5895" ht="12.75" customHeight="1" x14ac:dyDescent="0.2"/>
    <row r="5896" ht="12.75" customHeight="1" x14ac:dyDescent="0.2"/>
    <row r="5897" ht="12.75" customHeight="1" x14ac:dyDescent="0.2"/>
    <row r="5898" ht="12.75" customHeight="1" x14ac:dyDescent="0.2"/>
    <row r="5899" ht="12.75" customHeight="1" x14ac:dyDescent="0.2"/>
    <row r="5900" ht="12.75" customHeight="1" x14ac:dyDescent="0.2"/>
    <row r="5901" ht="12.75" customHeight="1" x14ac:dyDescent="0.2"/>
    <row r="5902" ht="12.75" customHeight="1" x14ac:dyDescent="0.2"/>
    <row r="5903" ht="12.75" customHeight="1" x14ac:dyDescent="0.2"/>
    <row r="5904" ht="12.75" customHeight="1" x14ac:dyDescent="0.2"/>
    <row r="5905" ht="12.75" customHeight="1" x14ac:dyDescent="0.2"/>
    <row r="5906" ht="12.75" customHeight="1" x14ac:dyDescent="0.2"/>
    <row r="5907" ht="12.75" customHeight="1" x14ac:dyDescent="0.2"/>
    <row r="5908" ht="12.75" customHeight="1" x14ac:dyDescent="0.2"/>
    <row r="5909" ht="12.75" customHeight="1" x14ac:dyDescent="0.2"/>
    <row r="5910" ht="12.75" customHeight="1" x14ac:dyDescent="0.2"/>
    <row r="5911" ht="12.75" customHeight="1" x14ac:dyDescent="0.2"/>
    <row r="5912" ht="12.75" customHeight="1" x14ac:dyDescent="0.2"/>
    <row r="5913" ht="12.75" customHeight="1" x14ac:dyDescent="0.2"/>
    <row r="5914" ht="12.75" customHeight="1" x14ac:dyDescent="0.2"/>
    <row r="5915" ht="12.75" customHeight="1" x14ac:dyDescent="0.2"/>
    <row r="5916" ht="12.75" customHeight="1" x14ac:dyDescent="0.2"/>
    <row r="5917" ht="12.75" customHeight="1" x14ac:dyDescent="0.2"/>
    <row r="5918" ht="12.75" customHeight="1" x14ac:dyDescent="0.2"/>
    <row r="5919" ht="12.75" customHeight="1" x14ac:dyDescent="0.2"/>
    <row r="5920" ht="12.75" customHeight="1" x14ac:dyDescent="0.2"/>
    <row r="5921" ht="12.75" customHeight="1" x14ac:dyDescent="0.2"/>
    <row r="5922" ht="12.75" customHeight="1" x14ac:dyDescent="0.2"/>
    <row r="5923" ht="12.75" customHeight="1" x14ac:dyDescent="0.2"/>
    <row r="5924" ht="12.75" customHeight="1" x14ac:dyDescent="0.2"/>
    <row r="5925" ht="12.75" customHeight="1" x14ac:dyDescent="0.2"/>
    <row r="5926" ht="12.75" customHeight="1" x14ac:dyDescent="0.2"/>
    <row r="5927" ht="12.75" customHeight="1" x14ac:dyDescent="0.2"/>
    <row r="5928" ht="12.75" customHeight="1" x14ac:dyDescent="0.2"/>
    <row r="5929" ht="12.75" customHeight="1" x14ac:dyDescent="0.2"/>
    <row r="5930" ht="12.75" customHeight="1" x14ac:dyDescent="0.2"/>
    <row r="5931" ht="12.75" customHeight="1" x14ac:dyDescent="0.2"/>
    <row r="5932" ht="12.75" customHeight="1" x14ac:dyDescent="0.2"/>
    <row r="5933" ht="12.75" customHeight="1" x14ac:dyDescent="0.2"/>
    <row r="5934" ht="12.75" customHeight="1" x14ac:dyDescent="0.2"/>
    <row r="5935" ht="12.75" customHeight="1" x14ac:dyDescent="0.2"/>
    <row r="5936" ht="12.75" customHeight="1" x14ac:dyDescent="0.2"/>
    <row r="5937" ht="12.75" customHeight="1" x14ac:dyDescent="0.2"/>
    <row r="5938" ht="12.75" customHeight="1" x14ac:dyDescent="0.2"/>
    <row r="5939" ht="12.75" customHeight="1" x14ac:dyDescent="0.2"/>
    <row r="5940" ht="12.75" customHeight="1" x14ac:dyDescent="0.2"/>
    <row r="5941" ht="12.75" customHeight="1" x14ac:dyDescent="0.2"/>
    <row r="5942" ht="12.75" customHeight="1" x14ac:dyDescent="0.2"/>
    <row r="5943" ht="12.75" customHeight="1" x14ac:dyDescent="0.2"/>
    <row r="5944" ht="12.75" customHeight="1" x14ac:dyDescent="0.2"/>
    <row r="5945" ht="12.75" customHeight="1" x14ac:dyDescent="0.2"/>
    <row r="5946" ht="12.75" customHeight="1" x14ac:dyDescent="0.2"/>
    <row r="5947" ht="12.75" customHeight="1" x14ac:dyDescent="0.2"/>
    <row r="5948" ht="12.75" customHeight="1" x14ac:dyDescent="0.2"/>
    <row r="5949" ht="12.75" customHeight="1" x14ac:dyDescent="0.2"/>
    <row r="5950" ht="12.75" customHeight="1" x14ac:dyDescent="0.2"/>
    <row r="5951" ht="12.75" customHeight="1" x14ac:dyDescent="0.2"/>
    <row r="5952" ht="12.75" customHeight="1" x14ac:dyDescent="0.2"/>
    <row r="5953" ht="12.75" customHeight="1" x14ac:dyDescent="0.2"/>
    <row r="5954" ht="12.75" customHeight="1" x14ac:dyDescent="0.2"/>
    <row r="5955" ht="12.75" customHeight="1" x14ac:dyDescent="0.2"/>
    <row r="5956" ht="12.75" customHeight="1" x14ac:dyDescent="0.2"/>
    <row r="5957" ht="12.75" customHeight="1" x14ac:dyDescent="0.2"/>
    <row r="5958" ht="12.75" customHeight="1" x14ac:dyDescent="0.2"/>
    <row r="5959" ht="12.75" customHeight="1" x14ac:dyDescent="0.2"/>
    <row r="5960" ht="12.75" customHeight="1" x14ac:dyDescent="0.2"/>
    <row r="5961" ht="12.75" customHeight="1" x14ac:dyDescent="0.2"/>
    <row r="5962" ht="12.75" customHeight="1" x14ac:dyDescent="0.2"/>
    <row r="5963" ht="12.75" customHeight="1" x14ac:dyDescent="0.2"/>
    <row r="5964" ht="12.75" customHeight="1" x14ac:dyDescent="0.2"/>
    <row r="5965" ht="12.75" customHeight="1" x14ac:dyDescent="0.2"/>
    <row r="5966" ht="12.75" customHeight="1" x14ac:dyDescent="0.2"/>
    <row r="5967" ht="12.75" customHeight="1" x14ac:dyDescent="0.2"/>
    <row r="5968" ht="12.75" customHeight="1" x14ac:dyDescent="0.2"/>
    <row r="5969" ht="12.75" customHeight="1" x14ac:dyDescent="0.2"/>
    <row r="5970" ht="12.75" customHeight="1" x14ac:dyDescent="0.2"/>
    <row r="5971" ht="12.75" customHeight="1" x14ac:dyDescent="0.2"/>
    <row r="5972" ht="12.75" customHeight="1" x14ac:dyDescent="0.2"/>
    <row r="5973" ht="12.75" customHeight="1" x14ac:dyDescent="0.2"/>
    <row r="5974" ht="12.75" customHeight="1" x14ac:dyDescent="0.2"/>
    <row r="5975" ht="12.75" customHeight="1" x14ac:dyDescent="0.2"/>
    <row r="5976" ht="12.75" customHeight="1" x14ac:dyDescent="0.2"/>
    <row r="5977" ht="12.75" customHeight="1" x14ac:dyDescent="0.2"/>
    <row r="5978" ht="12.75" customHeight="1" x14ac:dyDescent="0.2"/>
    <row r="5979" ht="12.75" customHeight="1" x14ac:dyDescent="0.2"/>
    <row r="5980" ht="12.75" customHeight="1" x14ac:dyDescent="0.2"/>
    <row r="5981" ht="12.75" customHeight="1" x14ac:dyDescent="0.2"/>
    <row r="5982" ht="12.75" customHeight="1" x14ac:dyDescent="0.2"/>
    <row r="5983" ht="12.75" customHeight="1" x14ac:dyDescent="0.2"/>
    <row r="5984" ht="12.75" customHeight="1" x14ac:dyDescent="0.2"/>
    <row r="5985" ht="12.75" customHeight="1" x14ac:dyDescent="0.2"/>
    <row r="5986" ht="12.75" customHeight="1" x14ac:dyDescent="0.2"/>
    <row r="5987" ht="12.75" customHeight="1" x14ac:dyDescent="0.2"/>
    <row r="5988" ht="12.75" customHeight="1" x14ac:dyDescent="0.2"/>
    <row r="5989" ht="12.75" customHeight="1" x14ac:dyDescent="0.2"/>
    <row r="5990" ht="12.75" customHeight="1" x14ac:dyDescent="0.2"/>
    <row r="5991" ht="12.75" customHeight="1" x14ac:dyDescent="0.2"/>
    <row r="5992" ht="12.75" customHeight="1" x14ac:dyDescent="0.2"/>
    <row r="5993" ht="12.75" customHeight="1" x14ac:dyDescent="0.2"/>
    <row r="5994" ht="12.75" customHeight="1" x14ac:dyDescent="0.2"/>
    <row r="5995" ht="12.75" customHeight="1" x14ac:dyDescent="0.2"/>
    <row r="5996" ht="12.75" customHeight="1" x14ac:dyDescent="0.2"/>
    <row r="5997" ht="12.75" customHeight="1" x14ac:dyDescent="0.2"/>
    <row r="5998" ht="12.75" customHeight="1" x14ac:dyDescent="0.2"/>
    <row r="5999" ht="12.75" customHeight="1" x14ac:dyDescent="0.2"/>
    <row r="6000" ht="12.75" customHeight="1" x14ac:dyDescent="0.2"/>
    <row r="6001" ht="12.75" customHeight="1" x14ac:dyDescent="0.2"/>
    <row r="6002" ht="12.75" customHeight="1" x14ac:dyDescent="0.2"/>
    <row r="6003" ht="12.75" customHeight="1" x14ac:dyDescent="0.2"/>
    <row r="6004" ht="12.75" customHeight="1" x14ac:dyDescent="0.2"/>
    <row r="6005" ht="12.75" customHeight="1" x14ac:dyDescent="0.2"/>
    <row r="6006" ht="12.75" customHeight="1" x14ac:dyDescent="0.2"/>
    <row r="6007" ht="12.75" customHeight="1" x14ac:dyDescent="0.2"/>
    <row r="6008" ht="12.75" customHeight="1" x14ac:dyDescent="0.2"/>
    <row r="6009" ht="12.75" customHeight="1" x14ac:dyDescent="0.2"/>
    <row r="6010" ht="12.75" customHeight="1" x14ac:dyDescent="0.2"/>
    <row r="6011" ht="12.75" customHeight="1" x14ac:dyDescent="0.2"/>
    <row r="6012" ht="12.75" customHeight="1" x14ac:dyDescent="0.2"/>
    <row r="6013" ht="12.75" customHeight="1" x14ac:dyDescent="0.2"/>
    <row r="6014" ht="12.75" customHeight="1" x14ac:dyDescent="0.2"/>
    <row r="6015" ht="12.75" customHeight="1" x14ac:dyDescent="0.2"/>
    <row r="6016" ht="12.75" customHeight="1" x14ac:dyDescent="0.2"/>
    <row r="6017" ht="12.75" customHeight="1" x14ac:dyDescent="0.2"/>
    <row r="6018" ht="12.75" customHeight="1" x14ac:dyDescent="0.2"/>
    <row r="6019" ht="12.75" customHeight="1" x14ac:dyDescent="0.2"/>
    <row r="6020" ht="12.75" customHeight="1" x14ac:dyDescent="0.2"/>
    <row r="6021" ht="12.75" customHeight="1" x14ac:dyDescent="0.2"/>
    <row r="6022" ht="12.75" customHeight="1" x14ac:dyDescent="0.2"/>
    <row r="6023" ht="12.75" customHeight="1" x14ac:dyDescent="0.2"/>
    <row r="6024" ht="12.75" customHeight="1" x14ac:dyDescent="0.2"/>
    <row r="6025" ht="12.75" customHeight="1" x14ac:dyDescent="0.2"/>
    <row r="6026" ht="12.75" customHeight="1" x14ac:dyDescent="0.2"/>
    <row r="6027" ht="12.75" customHeight="1" x14ac:dyDescent="0.2"/>
    <row r="6028" ht="12.75" customHeight="1" x14ac:dyDescent="0.2"/>
    <row r="6029" ht="12.75" customHeight="1" x14ac:dyDescent="0.2"/>
    <row r="6030" ht="12.75" customHeight="1" x14ac:dyDescent="0.2"/>
    <row r="6031" ht="12.75" customHeight="1" x14ac:dyDescent="0.2"/>
    <row r="6032" ht="12.75" customHeight="1" x14ac:dyDescent="0.2"/>
    <row r="6033" ht="12.75" customHeight="1" x14ac:dyDescent="0.2"/>
    <row r="6034" ht="12.75" customHeight="1" x14ac:dyDescent="0.2"/>
    <row r="6035" ht="12.75" customHeight="1" x14ac:dyDescent="0.2"/>
    <row r="6036" ht="12.75" customHeight="1" x14ac:dyDescent="0.2"/>
    <row r="6037" ht="12.75" customHeight="1" x14ac:dyDescent="0.2"/>
    <row r="6038" ht="12.75" customHeight="1" x14ac:dyDescent="0.2"/>
    <row r="6039" ht="12.75" customHeight="1" x14ac:dyDescent="0.2"/>
    <row r="6040" ht="12.75" customHeight="1" x14ac:dyDescent="0.2"/>
    <row r="6041" ht="12.75" customHeight="1" x14ac:dyDescent="0.2"/>
    <row r="6042" ht="12.75" customHeight="1" x14ac:dyDescent="0.2"/>
    <row r="6043" ht="12.75" customHeight="1" x14ac:dyDescent="0.2"/>
    <row r="6044" ht="12.75" customHeight="1" x14ac:dyDescent="0.2"/>
    <row r="6045" ht="12.75" customHeight="1" x14ac:dyDescent="0.2"/>
    <row r="6046" ht="12.75" customHeight="1" x14ac:dyDescent="0.2"/>
    <row r="6047" ht="12.75" customHeight="1" x14ac:dyDescent="0.2"/>
    <row r="6048" ht="12.75" customHeight="1" x14ac:dyDescent="0.2"/>
    <row r="6049" ht="12.75" customHeight="1" x14ac:dyDescent="0.2"/>
    <row r="6050" ht="12.75" customHeight="1" x14ac:dyDescent="0.2"/>
    <row r="6051" ht="12.75" customHeight="1" x14ac:dyDescent="0.2"/>
    <row r="6052" ht="12.75" customHeight="1" x14ac:dyDescent="0.2"/>
    <row r="6053" ht="12.75" customHeight="1" x14ac:dyDescent="0.2"/>
    <row r="6054" ht="12.75" customHeight="1" x14ac:dyDescent="0.2"/>
    <row r="6055" ht="12.75" customHeight="1" x14ac:dyDescent="0.2"/>
    <row r="6056" ht="12.75" customHeight="1" x14ac:dyDescent="0.2"/>
    <row r="6057" ht="12.75" customHeight="1" x14ac:dyDescent="0.2"/>
    <row r="6058" ht="12.75" customHeight="1" x14ac:dyDescent="0.2"/>
    <row r="6059" ht="12.75" customHeight="1" x14ac:dyDescent="0.2"/>
    <row r="6060" ht="12.75" customHeight="1" x14ac:dyDescent="0.2"/>
    <row r="6061" ht="12.75" customHeight="1" x14ac:dyDescent="0.2"/>
    <row r="6062" ht="12.75" customHeight="1" x14ac:dyDescent="0.2"/>
    <row r="6063" ht="12.75" customHeight="1" x14ac:dyDescent="0.2"/>
    <row r="6064" ht="12.75" customHeight="1" x14ac:dyDescent="0.2"/>
    <row r="6065" ht="12.75" customHeight="1" x14ac:dyDescent="0.2"/>
    <row r="6066" ht="12.75" customHeight="1" x14ac:dyDescent="0.2"/>
    <row r="6067" ht="12.75" customHeight="1" x14ac:dyDescent="0.2"/>
    <row r="6068" ht="12.75" customHeight="1" x14ac:dyDescent="0.2"/>
    <row r="6069" ht="12.75" customHeight="1" x14ac:dyDescent="0.2"/>
    <row r="6070" ht="12.75" customHeight="1" x14ac:dyDescent="0.2"/>
    <row r="6071" ht="12.75" customHeight="1" x14ac:dyDescent="0.2"/>
    <row r="6072" ht="12.75" customHeight="1" x14ac:dyDescent="0.2"/>
    <row r="6073" ht="12.75" customHeight="1" x14ac:dyDescent="0.2"/>
    <row r="6074" ht="12.75" customHeight="1" x14ac:dyDescent="0.2"/>
    <row r="6075" ht="12.75" customHeight="1" x14ac:dyDescent="0.2"/>
    <row r="6076" ht="12.75" customHeight="1" x14ac:dyDescent="0.2"/>
    <row r="6077" ht="12.75" customHeight="1" x14ac:dyDescent="0.2"/>
    <row r="6078" ht="12.75" customHeight="1" x14ac:dyDescent="0.2"/>
    <row r="6079" ht="12.75" customHeight="1" x14ac:dyDescent="0.2"/>
    <row r="6080" ht="12.75" customHeight="1" x14ac:dyDescent="0.2"/>
    <row r="6081" ht="12.75" customHeight="1" x14ac:dyDescent="0.2"/>
    <row r="6082" ht="12.75" customHeight="1" x14ac:dyDescent="0.2"/>
    <row r="6083" ht="12.75" customHeight="1" x14ac:dyDescent="0.2"/>
    <row r="6084" ht="12.75" customHeight="1" x14ac:dyDescent="0.2"/>
    <row r="6085" ht="12.75" customHeight="1" x14ac:dyDescent="0.2"/>
    <row r="6086" ht="12.75" customHeight="1" x14ac:dyDescent="0.2"/>
    <row r="6087" ht="12.75" customHeight="1" x14ac:dyDescent="0.2"/>
    <row r="6088" ht="12.75" customHeight="1" x14ac:dyDescent="0.2"/>
    <row r="6089" ht="12.75" customHeight="1" x14ac:dyDescent="0.2"/>
    <row r="6090" ht="12.75" customHeight="1" x14ac:dyDescent="0.2"/>
    <row r="6091" ht="12.75" customHeight="1" x14ac:dyDescent="0.2"/>
    <row r="6092" ht="12.75" customHeight="1" x14ac:dyDescent="0.2"/>
    <row r="6093" ht="12.75" customHeight="1" x14ac:dyDescent="0.2"/>
    <row r="6094" ht="12.75" customHeight="1" x14ac:dyDescent="0.2"/>
    <row r="6095" ht="12.75" customHeight="1" x14ac:dyDescent="0.2"/>
    <row r="6096" ht="12.75" customHeight="1" x14ac:dyDescent="0.2"/>
    <row r="6097" ht="12.75" customHeight="1" x14ac:dyDescent="0.2"/>
    <row r="6098" ht="12.75" customHeight="1" x14ac:dyDescent="0.2"/>
    <row r="6099" ht="12.75" customHeight="1" x14ac:dyDescent="0.2"/>
    <row r="6100" ht="12.75" customHeight="1" x14ac:dyDescent="0.2"/>
    <row r="6101" ht="12.75" customHeight="1" x14ac:dyDescent="0.2"/>
    <row r="6102" ht="12.75" customHeight="1" x14ac:dyDescent="0.2"/>
    <row r="6103" ht="12.75" customHeight="1" x14ac:dyDescent="0.2"/>
    <row r="6104" ht="12.75" customHeight="1" x14ac:dyDescent="0.2"/>
    <row r="6105" ht="12.75" customHeight="1" x14ac:dyDescent="0.2"/>
    <row r="6106" ht="12.75" customHeight="1" x14ac:dyDescent="0.2"/>
    <row r="6107" ht="12.75" customHeight="1" x14ac:dyDescent="0.2"/>
    <row r="6108" ht="12.75" customHeight="1" x14ac:dyDescent="0.2"/>
    <row r="6109" ht="12.75" customHeight="1" x14ac:dyDescent="0.2"/>
    <row r="6110" ht="12.75" customHeight="1" x14ac:dyDescent="0.2"/>
    <row r="6111" ht="12.75" customHeight="1" x14ac:dyDescent="0.2"/>
    <row r="6112" ht="12.75" customHeight="1" x14ac:dyDescent="0.2"/>
    <row r="6113" ht="12.75" customHeight="1" x14ac:dyDescent="0.2"/>
    <row r="6114" ht="12.75" customHeight="1" x14ac:dyDescent="0.2"/>
    <row r="6115" ht="12.75" customHeight="1" x14ac:dyDescent="0.2"/>
    <row r="6116" ht="12.75" customHeight="1" x14ac:dyDescent="0.2"/>
    <row r="6117" ht="12.75" customHeight="1" x14ac:dyDescent="0.2"/>
    <row r="6118" ht="12.75" customHeight="1" x14ac:dyDescent="0.2"/>
    <row r="6119" ht="12.75" customHeight="1" x14ac:dyDescent="0.2"/>
    <row r="6120" ht="12.75" customHeight="1" x14ac:dyDescent="0.2"/>
    <row r="6121" ht="12.75" customHeight="1" x14ac:dyDescent="0.2"/>
    <row r="6122" ht="12.75" customHeight="1" x14ac:dyDescent="0.2"/>
    <row r="6123" ht="12.75" customHeight="1" x14ac:dyDescent="0.2"/>
    <row r="6124" ht="12.75" customHeight="1" x14ac:dyDescent="0.2"/>
    <row r="6125" ht="12.75" customHeight="1" x14ac:dyDescent="0.2"/>
    <row r="6126" ht="12.75" customHeight="1" x14ac:dyDescent="0.2"/>
    <row r="6127" ht="12.75" customHeight="1" x14ac:dyDescent="0.2"/>
    <row r="6128" ht="12.75" customHeight="1" x14ac:dyDescent="0.2"/>
    <row r="6129" ht="12.75" customHeight="1" x14ac:dyDescent="0.2"/>
    <row r="6130" ht="12.75" customHeight="1" x14ac:dyDescent="0.2"/>
    <row r="6131" ht="12.75" customHeight="1" x14ac:dyDescent="0.2"/>
    <row r="6132" ht="12.75" customHeight="1" x14ac:dyDescent="0.2"/>
    <row r="6133" ht="12.75" customHeight="1" x14ac:dyDescent="0.2"/>
    <row r="6134" ht="12.75" customHeight="1" x14ac:dyDescent="0.2"/>
    <row r="6135" ht="12.75" customHeight="1" x14ac:dyDescent="0.2"/>
    <row r="6136" ht="12.75" customHeight="1" x14ac:dyDescent="0.2"/>
    <row r="6137" ht="12.75" customHeight="1" x14ac:dyDescent="0.2"/>
    <row r="6138" ht="12.75" customHeight="1" x14ac:dyDescent="0.2"/>
    <row r="6139" ht="12.75" customHeight="1" x14ac:dyDescent="0.2"/>
    <row r="6140" ht="12.75" customHeight="1" x14ac:dyDescent="0.2"/>
    <row r="6141" ht="12.75" customHeight="1" x14ac:dyDescent="0.2"/>
    <row r="6142" ht="12.75" customHeight="1" x14ac:dyDescent="0.2"/>
    <row r="6143" ht="12.75" customHeight="1" x14ac:dyDescent="0.2"/>
    <row r="6144" ht="12.75" customHeight="1" x14ac:dyDescent="0.2"/>
    <row r="6145" ht="12.75" customHeight="1" x14ac:dyDescent="0.2"/>
    <row r="6146" ht="12.75" customHeight="1" x14ac:dyDescent="0.2"/>
    <row r="6147" ht="12.75" customHeight="1" x14ac:dyDescent="0.2"/>
    <row r="6148" ht="12.75" customHeight="1" x14ac:dyDescent="0.2"/>
    <row r="6149" ht="12.75" customHeight="1" x14ac:dyDescent="0.2"/>
    <row r="6150" ht="12.75" customHeight="1" x14ac:dyDescent="0.2"/>
    <row r="6151" ht="12.75" customHeight="1" x14ac:dyDescent="0.2"/>
    <row r="6152" ht="12.75" customHeight="1" x14ac:dyDescent="0.2"/>
    <row r="6153" ht="12.75" customHeight="1" x14ac:dyDescent="0.2"/>
    <row r="6154" ht="12.75" customHeight="1" x14ac:dyDescent="0.2"/>
    <row r="6155" ht="12.75" customHeight="1" x14ac:dyDescent="0.2"/>
    <row r="6156" ht="12.75" customHeight="1" x14ac:dyDescent="0.2"/>
    <row r="6157" ht="12.75" customHeight="1" x14ac:dyDescent="0.2"/>
    <row r="6158" ht="12.75" customHeight="1" x14ac:dyDescent="0.2"/>
    <row r="6159" ht="12.75" customHeight="1" x14ac:dyDescent="0.2"/>
    <row r="6160" ht="12.75" customHeight="1" x14ac:dyDescent="0.2"/>
    <row r="6161" ht="12.75" customHeight="1" x14ac:dyDescent="0.2"/>
    <row r="6162" ht="12.75" customHeight="1" x14ac:dyDescent="0.2"/>
    <row r="6163" ht="12.75" customHeight="1" x14ac:dyDescent="0.2"/>
    <row r="6164" ht="12.75" customHeight="1" x14ac:dyDescent="0.2"/>
    <row r="6165" ht="12.75" customHeight="1" x14ac:dyDescent="0.2"/>
    <row r="6166" ht="12.75" customHeight="1" x14ac:dyDescent="0.2"/>
    <row r="6167" ht="12.75" customHeight="1" x14ac:dyDescent="0.2"/>
    <row r="6168" ht="12.75" customHeight="1" x14ac:dyDescent="0.2"/>
    <row r="6169" ht="12.75" customHeight="1" x14ac:dyDescent="0.2"/>
    <row r="6170" ht="12.75" customHeight="1" x14ac:dyDescent="0.2"/>
    <row r="6171" ht="12.75" customHeight="1" x14ac:dyDescent="0.2"/>
    <row r="6172" ht="12.75" customHeight="1" x14ac:dyDescent="0.2"/>
    <row r="6173" ht="12.75" customHeight="1" x14ac:dyDescent="0.2"/>
    <row r="6174" ht="12.75" customHeight="1" x14ac:dyDescent="0.2"/>
    <row r="6175" ht="12.75" customHeight="1" x14ac:dyDescent="0.2"/>
    <row r="6176" ht="12.75" customHeight="1" x14ac:dyDescent="0.2"/>
    <row r="6177" ht="12.75" customHeight="1" x14ac:dyDescent="0.2"/>
    <row r="6178" ht="12.75" customHeight="1" x14ac:dyDescent="0.2"/>
    <row r="6179" ht="12.75" customHeight="1" x14ac:dyDescent="0.2"/>
    <row r="6180" ht="12.75" customHeight="1" x14ac:dyDescent="0.2"/>
    <row r="6181" ht="12.75" customHeight="1" x14ac:dyDescent="0.2"/>
    <row r="6182" ht="12.75" customHeight="1" x14ac:dyDescent="0.2"/>
    <row r="6183" ht="12.75" customHeight="1" x14ac:dyDescent="0.2"/>
    <row r="6184" ht="12.75" customHeight="1" x14ac:dyDescent="0.2"/>
    <row r="6185" ht="12.75" customHeight="1" x14ac:dyDescent="0.2"/>
    <row r="6186" ht="12.75" customHeight="1" x14ac:dyDescent="0.2"/>
    <row r="6187" ht="12.75" customHeight="1" x14ac:dyDescent="0.2"/>
    <row r="6188" ht="12.75" customHeight="1" x14ac:dyDescent="0.2"/>
    <row r="6189" ht="12.75" customHeight="1" x14ac:dyDescent="0.2"/>
    <row r="6190" ht="12.75" customHeight="1" x14ac:dyDescent="0.2"/>
    <row r="6191" ht="12.75" customHeight="1" x14ac:dyDescent="0.2"/>
    <row r="6192" ht="12.75" customHeight="1" x14ac:dyDescent="0.2"/>
    <row r="6193" ht="12.75" customHeight="1" x14ac:dyDescent="0.2"/>
    <row r="6194" ht="12.75" customHeight="1" x14ac:dyDescent="0.2"/>
    <row r="6195" ht="12.75" customHeight="1" x14ac:dyDescent="0.2"/>
    <row r="6196" ht="12.75" customHeight="1" x14ac:dyDescent="0.2"/>
    <row r="6197" ht="12.75" customHeight="1" x14ac:dyDescent="0.2"/>
    <row r="6198" ht="12.75" customHeight="1" x14ac:dyDescent="0.2"/>
    <row r="6199" ht="12.75" customHeight="1" x14ac:dyDescent="0.2"/>
    <row r="6200" ht="12.75" customHeight="1" x14ac:dyDescent="0.2"/>
    <row r="6201" ht="12.75" customHeight="1" x14ac:dyDescent="0.2"/>
    <row r="6202" ht="12.75" customHeight="1" x14ac:dyDescent="0.2"/>
    <row r="6203" ht="12.75" customHeight="1" x14ac:dyDescent="0.2"/>
    <row r="6204" ht="12.75" customHeight="1" x14ac:dyDescent="0.2"/>
    <row r="6205" ht="12.75" customHeight="1" x14ac:dyDescent="0.2"/>
    <row r="6206" ht="12.75" customHeight="1" x14ac:dyDescent="0.2"/>
    <row r="6207" ht="12.75" customHeight="1" x14ac:dyDescent="0.2"/>
    <row r="6208" ht="12.75" customHeight="1" x14ac:dyDescent="0.2"/>
    <row r="6209" ht="12.75" customHeight="1" x14ac:dyDescent="0.2"/>
    <row r="6210" ht="12.75" customHeight="1" x14ac:dyDescent="0.2"/>
    <row r="6211" ht="12.75" customHeight="1" x14ac:dyDescent="0.2"/>
    <row r="6212" ht="12.75" customHeight="1" x14ac:dyDescent="0.2"/>
    <row r="6213" ht="12.75" customHeight="1" x14ac:dyDescent="0.2"/>
    <row r="6214" ht="12.75" customHeight="1" x14ac:dyDescent="0.2"/>
    <row r="6215" ht="12.75" customHeight="1" x14ac:dyDescent="0.2"/>
    <row r="6216" ht="12.75" customHeight="1" x14ac:dyDescent="0.2"/>
    <row r="6217" ht="12.75" customHeight="1" x14ac:dyDescent="0.2"/>
    <row r="6218" ht="12.75" customHeight="1" x14ac:dyDescent="0.2"/>
    <row r="6219" ht="12.75" customHeight="1" x14ac:dyDescent="0.2"/>
    <row r="6220" ht="12.75" customHeight="1" x14ac:dyDescent="0.2"/>
    <row r="6221" ht="12.75" customHeight="1" x14ac:dyDescent="0.2"/>
    <row r="6222" ht="12.75" customHeight="1" x14ac:dyDescent="0.2"/>
    <row r="6223" ht="12.75" customHeight="1" x14ac:dyDescent="0.2"/>
    <row r="6224" ht="12.75" customHeight="1" x14ac:dyDescent="0.2"/>
    <row r="6225" ht="12.75" customHeight="1" x14ac:dyDescent="0.2"/>
    <row r="6226" ht="12.75" customHeight="1" x14ac:dyDescent="0.2"/>
    <row r="6227" ht="12.75" customHeight="1" x14ac:dyDescent="0.2"/>
    <row r="6228" ht="12.75" customHeight="1" x14ac:dyDescent="0.2"/>
    <row r="6229" ht="12.75" customHeight="1" x14ac:dyDescent="0.2"/>
    <row r="6230" ht="12.75" customHeight="1" x14ac:dyDescent="0.2"/>
    <row r="6231" ht="12.75" customHeight="1" x14ac:dyDescent="0.2"/>
    <row r="6232" ht="12.75" customHeight="1" x14ac:dyDescent="0.2"/>
    <row r="6233" ht="12.75" customHeight="1" x14ac:dyDescent="0.2"/>
    <row r="6234" ht="12.75" customHeight="1" x14ac:dyDescent="0.2"/>
    <row r="6235" ht="12.75" customHeight="1" x14ac:dyDescent="0.2"/>
    <row r="6236" ht="12.75" customHeight="1" x14ac:dyDescent="0.2"/>
    <row r="6237" ht="12.75" customHeight="1" x14ac:dyDescent="0.2"/>
    <row r="6238" ht="12.75" customHeight="1" x14ac:dyDescent="0.2"/>
    <row r="6239" ht="12.75" customHeight="1" x14ac:dyDescent="0.2"/>
    <row r="6240" ht="12.75" customHeight="1" x14ac:dyDescent="0.2"/>
    <row r="6241" ht="12.75" customHeight="1" x14ac:dyDescent="0.2"/>
    <row r="6242" ht="12.75" customHeight="1" x14ac:dyDescent="0.2"/>
    <row r="6243" ht="12.75" customHeight="1" x14ac:dyDescent="0.2"/>
    <row r="6244" ht="12.75" customHeight="1" x14ac:dyDescent="0.2"/>
    <row r="6245" ht="12.75" customHeight="1" x14ac:dyDescent="0.2"/>
    <row r="6246" ht="12.75" customHeight="1" x14ac:dyDescent="0.2"/>
    <row r="6247" ht="12.75" customHeight="1" x14ac:dyDescent="0.2"/>
    <row r="6248" ht="12.75" customHeight="1" x14ac:dyDescent="0.2"/>
    <row r="6249" ht="12.75" customHeight="1" x14ac:dyDescent="0.2"/>
    <row r="6250" ht="12.75" customHeight="1" x14ac:dyDescent="0.2"/>
    <row r="6251" ht="12.75" customHeight="1" x14ac:dyDescent="0.2"/>
    <row r="6252" ht="12.75" customHeight="1" x14ac:dyDescent="0.2"/>
    <row r="6253" ht="12.75" customHeight="1" x14ac:dyDescent="0.2"/>
    <row r="6254" ht="12.75" customHeight="1" x14ac:dyDescent="0.2"/>
    <row r="6255" ht="12.75" customHeight="1" x14ac:dyDescent="0.2"/>
    <row r="6256" ht="12.75" customHeight="1" x14ac:dyDescent="0.2"/>
    <row r="6257" ht="12.75" customHeight="1" x14ac:dyDescent="0.2"/>
    <row r="6258" ht="12.75" customHeight="1" x14ac:dyDescent="0.2"/>
    <row r="6259" ht="12.75" customHeight="1" x14ac:dyDescent="0.2"/>
    <row r="6260" ht="12.75" customHeight="1" x14ac:dyDescent="0.2"/>
    <row r="6261" ht="12.75" customHeight="1" x14ac:dyDescent="0.2"/>
    <row r="6262" ht="12.75" customHeight="1" x14ac:dyDescent="0.2"/>
    <row r="6263" ht="12.75" customHeight="1" x14ac:dyDescent="0.2"/>
    <row r="6264" ht="12.75" customHeight="1" x14ac:dyDescent="0.2"/>
    <row r="6265" ht="12.75" customHeight="1" x14ac:dyDescent="0.2"/>
    <row r="6266" ht="12.75" customHeight="1" x14ac:dyDescent="0.2"/>
    <row r="6267" ht="12.75" customHeight="1" x14ac:dyDescent="0.2"/>
    <row r="6268" ht="12.75" customHeight="1" x14ac:dyDescent="0.2"/>
    <row r="6269" ht="12.75" customHeight="1" x14ac:dyDescent="0.2"/>
    <row r="6270" ht="12.75" customHeight="1" x14ac:dyDescent="0.2"/>
    <row r="6271" ht="12.75" customHeight="1" x14ac:dyDescent="0.2"/>
    <row r="6272" ht="12.75" customHeight="1" x14ac:dyDescent="0.2"/>
    <row r="6273" ht="12.75" customHeight="1" x14ac:dyDescent="0.2"/>
    <row r="6274" ht="12.75" customHeight="1" x14ac:dyDescent="0.2"/>
    <row r="6275" ht="12.75" customHeight="1" x14ac:dyDescent="0.2"/>
    <row r="6276" ht="12.75" customHeight="1" x14ac:dyDescent="0.2"/>
    <row r="6277" ht="12.75" customHeight="1" x14ac:dyDescent="0.2"/>
    <row r="6278" ht="12.75" customHeight="1" x14ac:dyDescent="0.2"/>
    <row r="6279" ht="12.75" customHeight="1" x14ac:dyDescent="0.2"/>
    <row r="6280" ht="12.75" customHeight="1" x14ac:dyDescent="0.2"/>
    <row r="6281" ht="12.75" customHeight="1" x14ac:dyDescent="0.2"/>
    <row r="6282" ht="12.75" customHeight="1" x14ac:dyDescent="0.2"/>
    <row r="6283" ht="12.75" customHeight="1" x14ac:dyDescent="0.2"/>
    <row r="6284" ht="12.75" customHeight="1" x14ac:dyDescent="0.2"/>
    <row r="6285" ht="12.75" customHeight="1" x14ac:dyDescent="0.2"/>
    <row r="6286" ht="12.75" customHeight="1" x14ac:dyDescent="0.2"/>
    <row r="6287" ht="12.75" customHeight="1" x14ac:dyDescent="0.2"/>
    <row r="6288" ht="12.75" customHeight="1" x14ac:dyDescent="0.2"/>
    <row r="6289" ht="12.75" customHeight="1" x14ac:dyDescent="0.2"/>
    <row r="6290" ht="12.75" customHeight="1" x14ac:dyDescent="0.2"/>
    <row r="6291" ht="12.75" customHeight="1" x14ac:dyDescent="0.2"/>
    <row r="6292" ht="12.75" customHeight="1" x14ac:dyDescent="0.2"/>
    <row r="6293" ht="12.75" customHeight="1" x14ac:dyDescent="0.2"/>
    <row r="6294" ht="12.75" customHeight="1" x14ac:dyDescent="0.2"/>
    <row r="6295" ht="12.75" customHeight="1" x14ac:dyDescent="0.2"/>
    <row r="6296" ht="12.75" customHeight="1" x14ac:dyDescent="0.2"/>
    <row r="6297" ht="12.75" customHeight="1" x14ac:dyDescent="0.2"/>
    <row r="6298" ht="12.75" customHeight="1" x14ac:dyDescent="0.2"/>
    <row r="6299" ht="12.75" customHeight="1" x14ac:dyDescent="0.2"/>
    <row r="6300" ht="12.75" customHeight="1" x14ac:dyDescent="0.2"/>
    <row r="6301" ht="12.75" customHeight="1" x14ac:dyDescent="0.2"/>
    <row r="6302" ht="12.75" customHeight="1" x14ac:dyDescent="0.2"/>
    <row r="6303" ht="12.75" customHeight="1" x14ac:dyDescent="0.2"/>
    <row r="6304" ht="12.75" customHeight="1" x14ac:dyDescent="0.2"/>
    <row r="6305" ht="12.75" customHeight="1" x14ac:dyDescent="0.2"/>
    <row r="6306" ht="12.75" customHeight="1" x14ac:dyDescent="0.2"/>
    <row r="6307" ht="12.75" customHeight="1" x14ac:dyDescent="0.2"/>
    <row r="6308" ht="12.75" customHeight="1" x14ac:dyDescent="0.2"/>
    <row r="6309" ht="12.75" customHeight="1" x14ac:dyDescent="0.2"/>
    <row r="6310" ht="12.75" customHeight="1" x14ac:dyDescent="0.2"/>
    <row r="6311" ht="12.75" customHeight="1" x14ac:dyDescent="0.2"/>
    <row r="6312" ht="12.75" customHeight="1" x14ac:dyDescent="0.2"/>
    <row r="6313" ht="12.75" customHeight="1" x14ac:dyDescent="0.2"/>
    <row r="6314" ht="12.75" customHeight="1" x14ac:dyDescent="0.2"/>
    <row r="6315" ht="12.75" customHeight="1" x14ac:dyDescent="0.2"/>
    <row r="6316" ht="12.75" customHeight="1" x14ac:dyDescent="0.2"/>
    <row r="6317" ht="12.75" customHeight="1" x14ac:dyDescent="0.2"/>
    <row r="6318" ht="12.75" customHeight="1" x14ac:dyDescent="0.2"/>
    <row r="6319" ht="12.75" customHeight="1" x14ac:dyDescent="0.2"/>
    <row r="6320" ht="12.75" customHeight="1" x14ac:dyDescent="0.2"/>
    <row r="6321" ht="12.75" customHeight="1" x14ac:dyDescent="0.2"/>
    <row r="6322" ht="12.75" customHeight="1" x14ac:dyDescent="0.2"/>
    <row r="6323" ht="12.75" customHeight="1" x14ac:dyDescent="0.2"/>
    <row r="6324" ht="12.75" customHeight="1" x14ac:dyDescent="0.2"/>
    <row r="6325" ht="12.75" customHeight="1" x14ac:dyDescent="0.2"/>
    <row r="6326" ht="12.75" customHeight="1" x14ac:dyDescent="0.2"/>
    <row r="6327" ht="12.75" customHeight="1" x14ac:dyDescent="0.2"/>
    <row r="6328" ht="12.75" customHeight="1" x14ac:dyDescent="0.2"/>
    <row r="6329" ht="12.75" customHeight="1" x14ac:dyDescent="0.2"/>
    <row r="6330" ht="12.75" customHeight="1" x14ac:dyDescent="0.2"/>
    <row r="6331" ht="12.75" customHeight="1" x14ac:dyDescent="0.2"/>
    <row r="6332" ht="12.75" customHeight="1" x14ac:dyDescent="0.2"/>
    <row r="6333" ht="12.75" customHeight="1" x14ac:dyDescent="0.2"/>
    <row r="6334" ht="12.75" customHeight="1" x14ac:dyDescent="0.2"/>
    <row r="6335" ht="12.75" customHeight="1" x14ac:dyDescent="0.2"/>
    <row r="6336" ht="12.75" customHeight="1" x14ac:dyDescent="0.2"/>
    <row r="6337" ht="12.75" customHeight="1" x14ac:dyDescent="0.2"/>
    <row r="6338" ht="12.75" customHeight="1" x14ac:dyDescent="0.2"/>
    <row r="6339" ht="12.75" customHeight="1" x14ac:dyDescent="0.2"/>
    <row r="6340" ht="12.75" customHeight="1" x14ac:dyDescent="0.2"/>
    <row r="6341" ht="12.75" customHeight="1" x14ac:dyDescent="0.2"/>
    <row r="6342" ht="12.75" customHeight="1" x14ac:dyDescent="0.2"/>
    <row r="6343" ht="12.75" customHeight="1" x14ac:dyDescent="0.2"/>
    <row r="6344" ht="12.75" customHeight="1" x14ac:dyDescent="0.2"/>
    <row r="6345" ht="12.75" customHeight="1" x14ac:dyDescent="0.2"/>
    <row r="6346" ht="12.75" customHeight="1" x14ac:dyDescent="0.2"/>
    <row r="6347" ht="12.75" customHeight="1" x14ac:dyDescent="0.2"/>
    <row r="6348" ht="12.75" customHeight="1" x14ac:dyDescent="0.2"/>
    <row r="6349" ht="12.75" customHeight="1" x14ac:dyDescent="0.2"/>
    <row r="6350" ht="12.75" customHeight="1" x14ac:dyDescent="0.2"/>
    <row r="6351" ht="12.75" customHeight="1" x14ac:dyDescent="0.2"/>
    <row r="6352" ht="12.75" customHeight="1" x14ac:dyDescent="0.2"/>
    <row r="6353" ht="12.75" customHeight="1" x14ac:dyDescent="0.2"/>
    <row r="6354" ht="12.75" customHeight="1" x14ac:dyDescent="0.2"/>
    <row r="6355" ht="12.75" customHeight="1" x14ac:dyDescent="0.2"/>
    <row r="6356" ht="12.75" customHeight="1" x14ac:dyDescent="0.2"/>
    <row r="6357" ht="12.75" customHeight="1" x14ac:dyDescent="0.2"/>
    <row r="6358" ht="12.75" customHeight="1" x14ac:dyDescent="0.2"/>
    <row r="6359" ht="12.75" customHeight="1" x14ac:dyDescent="0.2"/>
    <row r="6360" ht="12.75" customHeight="1" x14ac:dyDescent="0.2"/>
    <row r="6361" ht="12.75" customHeight="1" x14ac:dyDescent="0.2"/>
    <row r="6362" ht="12.75" customHeight="1" x14ac:dyDescent="0.2"/>
    <row r="6363" ht="12.75" customHeight="1" x14ac:dyDescent="0.2"/>
    <row r="6364" ht="12.75" customHeight="1" x14ac:dyDescent="0.2"/>
    <row r="6365" ht="12.75" customHeight="1" x14ac:dyDescent="0.2"/>
    <row r="6366" ht="12.75" customHeight="1" x14ac:dyDescent="0.2"/>
    <row r="6367" ht="12.75" customHeight="1" x14ac:dyDescent="0.2"/>
    <row r="6368" ht="12.75" customHeight="1" x14ac:dyDescent="0.2"/>
    <row r="6369" ht="12.75" customHeight="1" x14ac:dyDescent="0.2"/>
    <row r="6370" ht="12.75" customHeight="1" x14ac:dyDescent="0.2"/>
    <row r="6371" ht="12.75" customHeight="1" x14ac:dyDescent="0.2"/>
    <row r="6372" ht="12.75" customHeight="1" x14ac:dyDescent="0.2"/>
    <row r="6373" ht="12.75" customHeight="1" x14ac:dyDescent="0.2"/>
    <row r="6374" ht="12.75" customHeight="1" x14ac:dyDescent="0.2"/>
    <row r="6375" ht="12.75" customHeight="1" x14ac:dyDescent="0.2"/>
    <row r="6376" ht="12.75" customHeight="1" x14ac:dyDescent="0.2"/>
    <row r="6377" ht="12.75" customHeight="1" x14ac:dyDescent="0.2"/>
    <row r="6378" ht="12.75" customHeight="1" x14ac:dyDescent="0.2"/>
    <row r="6379" ht="12.75" customHeight="1" x14ac:dyDescent="0.2"/>
    <row r="6380" ht="12.75" customHeight="1" x14ac:dyDescent="0.2"/>
    <row r="6381" ht="12.75" customHeight="1" x14ac:dyDescent="0.2"/>
    <row r="6382" ht="12.75" customHeight="1" x14ac:dyDescent="0.2"/>
    <row r="6383" ht="12.75" customHeight="1" x14ac:dyDescent="0.2"/>
    <row r="6384" ht="12.75" customHeight="1" x14ac:dyDescent="0.2"/>
    <row r="6385" ht="12.75" customHeight="1" x14ac:dyDescent="0.2"/>
    <row r="6386" ht="12.75" customHeight="1" x14ac:dyDescent="0.2"/>
    <row r="6387" ht="12.75" customHeight="1" x14ac:dyDescent="0.2"/>
    <row r="6388" ht="12.75" customHeight="1" x14ac:dyDescent="0.2"/>
    <row r="6389" ht="12.75" customHeight="1" x14ac:dyDescent="0.2"/>
    <row r="6390" ht="12.75" customHeight="1" x14ac:dyDescent="0.2"/>
    <row r="6391" ht="12.75" customHeight="1" x14ac:dyDescent="0.2"/>
    <row r="6392" ht="12.75" customHeight="1" x14ac:dyDescent="0.2"/>
    <row r="6393" ht="12.75" customHeight="1" x14ac:dyDescent="0.2"/>
    <row r="6394" ht="12.75" customHeight="1" x14ac:dyDescent="0.2"/>
    <row r="6395" ht="12.75" customHeight="1" x14ac:dyDescent="0.2"/>
    <row r="6396" ht="12.75" customHeight="1" x14ac:dyDescent="0.2"/>
    <row r="6397" ht="12.75" customHeight="1" x14ac:dyDescent="0.2"/>
    <row r="6398" ht="12.75" customHeight="1" x14ac:dyDescent="0.2"/>
    <row r="6399" ht="12.75" customHeight="1" x14ac:dyDescent="0.2"/>
    <row r="6400" ht="12.75" customHeight="1" x14ac:dyDescent="0.2"/>
    <row r="6401" ht="12.75" customHeight="1" x14ac:dyDescent="0.2"/>
    <row r="6402" ht="12.75" customHeight="1" x14ac:dyDescent="0.2"/>
    <row r="6403" ht="12.75" customHeight="1" x14ac:dyDescent="0.2"/>
    <row r="6404" ht="12.75" customHeight="1" x14ac:dyDescent="0.2"/>
    <row r="6405" ht="12.75" customHeight="1" x14ac:dyDescent="0.2"/>
    <row r="6406" ht="12.75" customHeight="1" x14ac:dyDescent="0.2"/>
    <row r="6407" ht="12.75" customHeight="1" x14ac:dyDescent="0.2"/>
    <row r="6408" ht="12.75" customHeight="1" x14ac:dyDescent="0.2"/>
    <row r="6409" ht="12.75" customHeight="1" x14ac:dyDescent="0.2"/>
    <row r="6410" ht="12.75" customHeight="1" x14ac:dyDescent="0.2"/>
    <row r="6411" ht="12.75" customHeight="1" x14ac:dyDescent="0.2"/>
    <row r="6412" ht="12.75" customHeight="1" x14ac:dyDescent="0.2"/>
    <row r="6413" ht="12.75" customHeight="1" x14ac:dyDescent="0.2"/>
    <row r="6414" ht="12.75" customHeight="1" x14ac:dyDescent="0.2"/>
    <row r="6415" ht="12.75" customHeight="1" x14ac:dyDescent="0.2"/>
    <row r="6416" ht="12.75" customHeight="1" x14ac:dyDescent="0.2"/>
    <row r="6417" ht="12.75" customHeight="1" x14ac:dyDescent="0.2"/>
    <row r="6418" ht="12.75" customHeight="1" x14ac:dyDescent="0.2"/>
    <row r="6419" ht="12.75" customHeight="1" x14ac:dyDescent="0.2"/>
    <row r="6420" ht="12.75" customHeight="1" x14ac:dyDescent="0.2"/>
    <row r="6421" ht="12.75" customHeight="1" x14ac:dyDescent="0.2"/>
    <row r="6422" ht="12.75" customHeight="1" x14ac:dyDescent="0.2"/>
    <row r="6423" ht="12.75" customHeight="1" x14ac:dyDescent="0.2"/>
    <row r="6424" ht="12.75" customHeight="1" x14ac:dyDescent="0.2"/>
    <row r="6425" ht="12.75" customHeight="1" x14ac:dyDescent="0.2"/>
    <row r="6426" ht="12.75" customHeight="1" x14ac:dyDescent="0.2"/>
    <row r="6427" ht="12.75" customHeight="1" x14ac:dyDescent="0.2"/>
    <row r="6428" ht="12.75" customHeight="1" x14ac:dyDescent="0.2"/>
    <row r="6429" ht="12.75" customHeight="1" x14ac:dyDescent="0.2"/>
    <row r="6430" ht="12.75" customHeight="1" x14ac:dyDescent="0.2"/>
    <row r="6431" ht="12.75" customHeight="1" x14ac:dyDescent="0.2"/>
    <row r="6432" ht="12.75" customHeight="1" x14ac:dyDescent="0.2"/>
    <row r="6433" ht="12.75" customHeight="1" x14ac:dyDescent="0.2"/>
    <row r="6434" ht="12.75" customHeight="1" x14ac:dyDescent="0.2"/>
    <row r="6435" ht="12.75" customHeight="1" x14ac:dyDescent="0.2"/>
    <row r="6436" ht="12.75" customHeight="1" x14ac:dyDescent="0.2"/>
    <row r="6437" ht="12.75" customHeight="1" x14ac:dyDescent="0.2"/>
    <row r="6438" ht="12.75" customHeight="1" x14ac:dyDescent="0.2"/>
    <row r="6439" ht="12.75" customHeight="1" x14ac:dyDescent="0.2"/>
    <row r="6440" ht="12.75" customHeight="1" x14ac:dyDescent="0.2"/>
    <row r="6441" ht="12.75" customHeight="1" x14ac:dyDescent="0.2"/>
    <row r="6442" ht="12.75" customHeight="1" x14ac:dyDescent="0.2"/>
    <row r="6443" ht="12.75" customHeight="1" x14ac:dyDescent="0.2"/>
    <row r="6444" ht="12.75" customHeight="1" x14ac:dyDescent="0.2"/>
    <row r="6445" ht="12.75" customHeight="1" x14ac:dyDescent="0.2"/>
    <row r="6446" ht="12.75" customHeight="1" x14ac:dyDescent="0.2"/>
    <row r="6447" ht="12.75" customHeight="1" x14ac:dyDescent="0.2"/>
    <row r="6448" ht="12.75" customHeight="1" x14ac:dyDescent="0.2"/>
    <row r="6449" ht="12.75" customHeight="1" x14ac:dyDescent="0.2"/>
    <row r="6450" ht="12.75" customHeight="1" x14ac:dyDescent="0.2"/>
    <row r="6451" ht="12.75" customHeight="1" x14ac:dyDescent="0.2"/>
    <row r="6452" ht="12.75" customHeight="1" x14ac:dyDescent="0.2"/>
    <row r="6453" ht="12.75" customHeight="1" x14ac:dyDescent="0.2"/>
    <row r="6454" ht="12.75" customHeight="1" x14ac:dyDescent="0.2"/>
    <row r="6455" ht="12.75" customHeight="1" x14ac:dyDescent="0.2"/>
    <row r="6456" ht="12.75" customHeight="1" x14ac:dyDescent="0.2"/>
    <row r="6457" ht="12.75" customHeight="1" x14ac:dyDescent="0.2"/>
    <row r="6458" ht="12.75" customHeight="1" x14ac:dyDescent="0.2"/>
    <row r="6459" ht="12.75" customHeight="1" x14ac:dyDescent="0.2"/>
    <row r="6460" ht="12.75" customHeight="1" x14ac:dyDescent="0.2"/>
    <row r="6461" ht="12.75" customHeight="1" x14ac:dyDescent="0.2"/>
    <row r="6462" ht="12.75" customHeight="1" x14ac:dyDescent="0.2"/>
    <row r="6463" ht="12.75" customHeight="1" x14ac:dyDescent="0.2"/>
    <row r="6464" ht="12.75" customHeight="1" x14ac:dyDescent="0.2"/>
    <row r="6465" ht="12.75" customHeight="1" x14ac:dyDescent="0.2"/>
    <row r="6466" ht="12.75" customHeight="1" x14ac:dyDescent="0.2"/>
    <row r="6467" ht="12.75" customHeight="1" x14ac:dyDescent="0.2"/>
    <row r="6468" ht="12.75" customHeight="1" x14ac:dyDescent="0.2"/>
    <row r="6469" ht="12.75" customHeight="1" x14ac:dyDescent="0.2"/>
    <row r="6470" ht="12.75" customHeight="1" x14ac:dyDescent="0.2"/>
    <row r="6471" ht="12.75" customHeight="1" x14ac:dyDescent="0.2"/>
    <row r="6472" ht="12.75" customHeight="1" x14ac:dyDescent="0.2"/>
    <row r="6473" ht="12.75" customHeight="1" x14ac:dyDescent="0.2"/>
    <row r="6474" ht="12.75" customHeight="1" x14ac:dyDescent="0.2"/>
    <row r="6475" ht="12.75" customHeight="1" x14ac:dyDescent="0.2"/>
    <row r="6476" ht="12.75" customHeight="1" x14ac:dyDescent="0.2"/>
    <row r="6477" ht="12.75" customHeight="1" x14ac:dyDescent="0.2"/>
    <row r="6478" ht="12.75" customHeight="1" x14ac:dyDescent="0.2"/>
    <row r="6479" ht="12.75" customHeight="1" x14ac:dyDescent="0.2"/>
    <row r="6480" ht="12.75" customHeight="1" x14ac:dyDescent="0.2"/>
    <row r="6481" ht="12.75" customHeight="1" x14ac:dyDescent="0.2"/>
    <row r="6482" ht="12.75" customHeight="1" x14ac:dyDescent="0.2"/>
    <row r="6483" ht="12.75" customHeight="1" x14ac:dyDescent="0.2"/>
    <row r="6484" ht="12.75" customHeight="1" x14ac:dyDescent="0.2"/>
    <row r="6485" ht="12.75" customHeight="1" x14ac:dyDescent="0.2"/>
    <row r="6486" ht="12.75" customHeight="1" x14ac:dyDescent="0.2"/>
    <row r="6487" ht="12.75" customHeight="1" x14ac:dyDescent="0.2"/>
    <row r="6488" ht="12.75" customHeight="1" x14ac:dyDescent="0.2"/>
    <row r="6489" ht="12.75" customHeight="1" x14ac:dyDescent="0.2"/>
    <row r="6490" ht="12.75" customHeight="1" x14ac:dyDescent="0.2"/>
    <row r="6491" ht="12.75" customHeight="1" x14ac:dyDescent="0.2"/>
    <row r="6492" ht="12.75" customHeight="1" x14ac:dyDescent="0.2"/>
    <row r="6493" ht="12.75" customHeight="1" x14ac:dyDescent="0.2"/>
    <row r="6494" ht="12.75" customHeight="1" x14ac:dyDescent="0.2"/>
    <row r="6495" ht="12.75" customHeight="1" x14ac:dyDescent="0.2"/>
    <row r="6496" ht="12.75" customHeight="1" x14ac:dyDescent="0.2"/>
    <row r="6497" ht="12.75" customHeight="1" x14ac:dyDescent="0.2"/>
    <row r="6498" ht="12.75" customHeight="1" x14ac:dyDescent="0.2"/>
    <row r="6499" ht="12.75" customHeight="1" x14ac:dyDescent="0.2"/>
    <row r="6500" ht="12.75" customHeight="1" x14ac:dyDescent="0.2"/>
    <row r="6501" ht="12.75" customHeight="1" x14ac:dyDescent="0.2"/>
    <row r="6502" ht="12.75" customHeight="1" x14ac:dyDescent="0.2"/>
    <row r="6503" ht="12.75" customHeight="1" x14ac:dyDescent="0.2"/>
    <row r="6504" ht="12.75" customHeight="1" x14ac:dyDescent="0.2"/>
    <row r="6505" ht="12.75" customHeight="1" x14ac:dyDescent="0.2"/>
    <row r="6506" ht="12.75" customHeight="1" x14ac:dyDescent="0.2"/>
    <row r="6507" ht="12.75" customHeight="1" x14ac:dyDescent="0.2"/>
    <row r="6508" ht="12.75" customHeight="1" x14ac:dyDescent="0.2"/>
    <row r="6509" ht="12.75" customHeight="1" x14ac:dyDescent="0.2"/>
    <row r="6510" ht="12.75" customHeight="1" x14ac:dyDescent="0.2"/>
    <row r="6511" ht="12.75" customHeight="1" x14ac:dyDescent="0.2"/>
    <row r="6512" ht="12.75" customHeight="1" x14ac:dyDescent="0.2"/>
    <row r="6513" ht="12.75" customHeight="1" x14ac:dyDescent="0.2"/>
    <row r="6514" ht="12.75" customHeight="1" x14ac:dyDescent="0.2"/>
    <row r="6515" ht="12.75" customHeight="1" x14ac:dyDescent="0.2"/>
    <row r="6516" ht="12.75" customHeight="1" x14ac:dyDescent="0.2"/>
    <row r="6517" ht="12.75" customHeight="1" x14ac:dyDescent="0.2"/>
    <row r="6518" ht="12.75" customHeight="1" x14ac:dyDescent="0.2"/>
    <row r="6519" ht="12.75" customHeight="1" x14ac:dyDescent="0.2"/>
    <row r="6520" ht="12.75" customHeight="1" x14ac:dyDescent="0.2"/>
    <row r="6521" ht="12.75" customHeight="1" x14ac:dyDescent="0.2"/>
    <row r="6522" ht="12.75" customHeight="1" x14ac:dyDescent="0.2"/>
    <row r="6523" ht="12.75" customHeight="1" x14ac:dyDescent="0.2"/>
    <row r="6524" ht="12.75" customHeight="1" x14ac:dyDescent="0.2"/>
    <row r="6525" ht="12.75" customHeight="1" x14ac:dyDescent="0.2"/>
    <row r="6526" ht="12.75" customHeight="1" x14ac:dyDescent="0.2"/>
    <row r="6527" ht="12.75" customHeight="1" x14ac:dyDescent="0.2"/>
    <row r="6528" ht="12.75" customHeight="1" x14ac:dyDescent="0.2"/>
    <row r="6529" ht="12.75" customHeight="1" x14ac:dyDescent="0.2"/>
    <row r="6530" ht="12.75" customHeight="1" x14ac:dyDescent="0.2"/>
    <row r="6531" ht="12.75" customHeight="1" x14ac:dyDescent="0.2"/>
    <row r="6532" ht="12.75" customHeight="1" x14ac:dyDescent="0.2"/>
    <row r="6533" ht="12.75" customHeight="1" x14ac:dyDescent="0.2"/>
    <row r="6534" ht="12.75" customHeight="1" x14ac:dyDescent="0.2"/>
    <row r="6535" ht="12.75" customHeight="1" x14ac:dyDescent="0.2"/>
    <row r="6536" ht="12.75" customHeight="1" x14ac:dyDescent="0.2"/>
    <row r="6537" ht="12.75" customHeight="1" x14ac:dyDescent="0.2"/>
    <row r="6538" ht="12.75" customHeight="1" x14ac:dyDescent="0.2"/>
    <row r="6539" ht="12.75" customHeight="1" x14ac:dyDescent="0.2"/>
    <row r="6540" ht="12.75" customHeight="1" x14ac:dyDescent="0.2"/>
    <row r="6541" ht="12.75" customHeight="1" x14ac:dyDescent="0.2"/>
    <row r="6542" ht="12.75" customHeight="1" x14ac:dyDescent="0.2"/>
    <row r="6543" ht="12.75" customHeight="1" x14ac:dyDescent="0.2"/>
    <row r="6544" ht="12.75" customHeight="1" x14ac:dyDescent="0.2"/>
    <row r="6545" ht="12.75" customHeight="1" x14ac:dyDescent="0.2"/>
    <row r="6546" ht="12.75" customHeight="1" x14ac:dyDescent="0.2"/>
    <row r="6547" ht="12.75" customHeight="1" x14ac:dyDescent="0.2"/>
    <row r="6548" ht="12.75" customHeight="1" x14ac:dyDescent="0.2"/>
    <row r="6549" ht="12.75" customHeight="1" x14ac:dyDescent="0.2"/>
    <row r="6550" ht="12.75" customHeight="1" x14ac:dyDescent="0.2"/>
    <row r="6551" ht="12.75" customHeight="1" x14ac:dyDescent="0.2"/>
    <row r="6552" ht="12.75" customHeight="1" x14ac:dyDescent="0.2"/>
    <row r="6553" ht="12.75" customHeight="1" x14ac:dyDescent="0.2"/>
    <row r="6554" ht="12.75" customHeight="1" x14ac:dyDescent="0.2"/>
    <row r="6555" ht="12.75" customHeight="1" x14ac:dyDescent="0.2"/>
    <row r="6556" ht="12.75" customHeight="1" x14ac:dyDescent="0.2"/>
    <row r="6557" ht="12.75" customHeight="1" x14ac:dyDescent="0.2"/>
    <row r="6558" ht="12.75" customHeight="1" x14ac:dyDescent="0.2"/>
    <row r="6559" ht="12.75" customHeight="1" x14ac:dyDescent="0.2"/>
    <row r="6560" ht="12.75" customHeight="1" x14ac:dyDescent="0.2"/>
    <row r="6561" ht="12.75" customHeight="1" x14ac:dyDescent="0.2"/>
    <row r="6562" ht="12.75" customHeight="1" x14ac:dyDescent="0.2"/>
    <row r="6563" ht="12.75" customHeight="1" x14ac:dyDescent="0.2"/>
    <row r="6564" ht="12.75" customHeight="1" x14ac:dyDescent="0.2"/>
    <row r="6565" ht="12.75" customHeight="1" x14ac:dyDescent="0.2"/>
    <row r="6566" ht="12.75" customHeight="1" x14ac:dyDescent="0.2"/>
    <row r="6567" ht="12.75" customHeight="1" x14ac:dyDescent="0.2"/>
    <row r="6568" ht="12.75" customHeight="1" x14ac:dyDescent="0.2"/>
    <row r="6569" ht="12.75" customHeight="1" x14ac:dyDescent="0.2"/>
    <row r="6570" ht="12.75" customHeight="1" x14ac:dyDescent="0.2"/>
    <row r="6571" ht="12.75" customHeight="1" x14ac:dyDescent="0.2"/>
    <row r="6572" ht="12.75" customHeight="1" x14ac:dyDescent="0.2"/>
    <row r="6573" ht="12.75" customHeight="1" x14ac:dyDescent="0.2"/>
    <row r="6574" ht="12.75" customHeight="1" x14ac:dyDescent="0.2"/>
    <row r="6575" ht="12.75" customHeight="1" x14ac:dyDescent="0.2"/>
    <row r="6576" ht="12.75" customHeight="1" x14ac:dyDescent="0.2"/>
    <row r="6577" ht="12.75" customHeight="1" x14ac:dyDescent="0.2"/>
    <row r="6578" ht="12.75" customHeight="1" x14ac:dyDescent="0.2"/>
    <row r="6579" ht="12.75" customHeight="1" x14ac:dyDescent="0.2"/>
    <row r="6580" ht="12.75" customHeight="1" x14ac:dyDescent="0.2"/>
    <row r="6581" ht="12.75" customHeight="1" x14ac:dyDescent="0.2"/>
    <row r="6582" ht="12.75" customHeight="1" x14ac:dyDescent="0.2"/>
    <row r="6583" ht="12.75" customHeight="1" x14ac:dyDescent="0.2"/>
    <row r="6584" ht="12.75" customHeight="1" x14ac:dyDescent="0.2"/>
    <row r="6585" ht="12.75" customHeight="1" x14ac:dyDescent="0.2"/>
    <row r="6586" ht="12.75" customHeight="1" x14ac:dyDescent="0.2"/>
    <row r="6587" ht="12.75" customHeight="1" x14ac:dyDescent="0.2"/>
    <row r="6588" ht="12.75" customHeight="1" x14ac:dyDescent="0.2"/>
    <row r="6589" ht="12.75" customHeight="1" x14ac:dyDescent="0.2"/>
    <row r="6590" ht="12.75" customHeight="1" x14ac:dyDescent="0.2"/>
    <row r="6591" ht="12.75" customHeight="1" x14ac:dyDescent="0.2"/>
    <row r="6592" ht="12.75" customHeight="1" x14ac:dyDescent="0.2"/>
    <row r="6593" ht="12.75" customHeight="1" x14ac:dyDescent="0.2"/>
    <row r="6594" ht="12.75" customHeight="1" x14ac:dyDescent="0.2"/>
    <row r="6595" ht="12.75" customHeight="1" x14ac:dyDescent="0.2"/>
    <row r="6596" ht="12.75" customHeight="1" x14ac:dyDescent="0.2"/>
    <row r="6597" ht="12.75" customHeight="1" x14ac:dyDescent="0.2"/>
    <row r="6598" ht="12.75" customHeight="1" x14ac:dyDescent="0.2"/>
    <row r="6599" ht="12.75" customHeight="1" x14ac:dyDescent="0.2"/>
    <row r="6600" ht="12.75" customHeight="1" x14ac:dyDescent="0.2"/>
    <row r="6601" ht="12.75" customHeight="1" x14ac:dyDescent="0.2"/>
    <row r="6602" ht="12.75" customHeight="1" x14ac:dyDescent="0.2"/>
    <row r="6603" ht="12.75" customHeight="1" x14ac:dyDescent="0.2"/>
    <row r="6604" ht="12.75" customHeight="1" x14ac:dyDescent="0.2"/>
    <row r="6605" ht="12.75" customHeight="1" x14ac:dyDescent="0.2"/>
    <row r="6606" ht="12.75" customHeight="1" x14ac:dyDescent="0.2"/>
    <row r="6607" ht="12.75" customHeight="1" x14ac:dyDescent="0.2"/>
    <row r="6608" ht="12.75" customHeight="1" x14ac:dyDescent="0.2"/>
    <row r="6609" ht="12.75" customHeight="1" x14ac:dyDescent="0.2"/>
    <row r="6610" ht="12.75" customHeight="1" x14ac:dyDescent="0.2"/>
    <row r="6611" ht="12.75" customHeight="1" x14ac:dyDescent="0.2"/>
    <row r="6612" ht="12.75" customHeight="1" x14ac:dyDescent="0.2"/>
    <row r="6613" ht="12.75" customHeight="1" x14ac:dyDescent="0.2"/>
    <row r="6614" ht="12.75" customHeight="1" x14ac:dyDescent="0.2"/>
    <row r="6615" ht="12.75" customHeight="1" x14ac:dyDescent="0.2"/>
    <row r="6616" ht="12.75" customHeight="1" x14ac:dyDescent="0.2"/>
    <row r="6617" ht="12.75" customHeight="1" x14ac:dyDescent="0.2"/>
    <row r="6618" ht="12.75" customHeight="1" x14ac:dyDescent="0.2"/>
    <row r="6619" ht="12.75" customHeight="1" x14ac:dyDescent="0.2"/>
    <row r="6620" ht="12.75" customHeight="1" x14ac:dyDescent="0.2"/>
    <row r="6621" ht="12.75" customHeight="1" x14ac:dyDescent="0.2"/>
    <row r="6622" ht="12.75" customHeight="1" x14ac:dyDescent="0.2"/>
    <row r="6623" ht="12.75" customHeight="1" x14ac:dyDescent="0.2"/>
    <row r="6624" ht="12.75" customHeight="1" x14ac:dyDescent="0.2"/>
    <row r="6625" ht="12.75" customHeight="1" x14ac:dyDescent="0.2"/>
    <row r="6626" ht="12.75" customHeight="1" x14ac:dyDescent="0.2"/>
    <row r="6627" ht="12.75" customHeight="1" x14ac:dyDescent="0.2"/>
    <row r="6628" ht="12.75" customHeight="1" x14ac:dyDescent="0.2"/>
    <row r="6629" ht="12.75" customHeight="1" x14ac:dyDescent="0.2"/>
    <row r="6630" ht="12.75" customHeight="1" x14ac:dyDescent="0.2"/>
    <row r="6631" ht="12.75" customHeight="1" x14ac:dyDescent="0.2"/>
    <row r="6632" ht="12.75" customHeight="1" x14ac:dyDescent="0.2"/>
    <row r="6633" ht="12.75" customHeight="1" x14ac:dyDescent="0.2"/>
    <row r="6634" ht="12.75" customHeight="1" x14ac:dyDescent="0.2"/>
    <row r="6635" ht="12.75" customHeight="1" x14ac:dyDescent="0.2"/>
    <row r="6636" ht="12.75" customHeight="1" x14ac:dyDescent="0.2"/>
    <row r="6637" ht="12.75" customHeight="1" x14ac:dyDescent="0.2"/>
    <row r="6638" ht="12.75" customHeight="1" x14ac:dyDescent="0.2"/>
    <row r="6639" ht="12.75" customHeight="1" x14ac:dyDescent="0.2"/>
    <row r="6640" ht="12.75" customHeight="1" x14ac:dyDescent="0.2"/>
    <row r="6641" ht="12.75" customHeight="1" x14ac:dyDescent="0.2"/>
    <row r="6642" ht="12.75" customHeight="1" x14ac:dyDescent="0.2"/>
    <row r="6643" ht="12.75" customHeight="1" x14ac:dyDescent="0.2"/>
    <row r="6644" ht="12.75" customHeight="1" x14ac:dyDescent="0.2"/>
    <row r="6645" ht="12.75" customHeight="1" x14ac:dyDescent="0.2"/>
    <row r="6646" ht="12.75" customHeight="1" x14ac:dyDescent="0.2"/>
    <row r="6647" ht="12.75" customHeight="1" x14ac:dyDescent="0.2"/>
    <row r="6648" ht="12.75" customHeight="1" x14ac:dyDescent="0.2"/>
    <row r="6649" ht="12.75" customHeight="1" x14ac:dyDescent="0.2"/>
    <row r="6650" ht="12.75" customHeight="1" x14ac:dyDescent="0.2"/>
    <row r="6651" ht="12.75" customHeight="1" x14ac:dyDescent="0.2"/>
    <row r="6652" ht="12.75" customHeight="1" x14ac:dyDescent="0.2"/>
    <row r="6653" ht="12.75" customHeight="1" x14ac:dyDescent="0.2"/>
    <row r="6654" ht="12.75" customHeight="1" x14ac:dyDescent="0.2"/>
    <row r="6655" ht="12.75" customHeight="1" x14ac:dyDescent="0.2"/>
    <row r="6656" ht="12.75" customHeight="1" x14ac:dyDescent="0.2"/>
    <row r="6657" ht="12.75" customHeight="1" x14ac:dyDescent="0.2"/>
    <row r="6658" ht="12.75" customHeight="1" x14ac:dyDescent="0.2"/>
    <row r="6659" ht="12.75" customHeight="1" x14ac:dyDescent="0.2"/>
    <row r="6660" ht="12.75" customHeight="1" x14ac:dyDescent="0.2"/>
    <row r="6661" ht="12.75" customHeight="1" x14ac:dyDescent="0.2"/>
    <row r="6662" ht="12.75" customHeight="1" x14ac:dyDescent="0.2"/>
    <row r="6663" ht="12.75" customHeight="1" x14ac:dyDescent="0.2"/>
    <row r="6664" ht="12.75" customHeight="1" x14ac:dyDescent="0.2"/>
    <row r="6665" ht="12.75" customHeight="1" x14ac:dyDescent="0.2"/>
    <row r="6666" ht="12.75" customHeight="1" x14ac:dyDescent="0.2"/>
    <row r="6667" ht="12.75" customHeight="1" x14ac:dyDescent="0.2"/>
    <row r="6668" ht="12.75" customHeight="1" x14ac:dyDescent="0.2"/>
    <row r="6669" ht="12.75" customHeight="1" x14ac:dyDescent="0.2"/>
    <row r="6670" ht="12.75" customHeight="1" x14ac:dyDescent="0.2"/>
    <row r="6671" ht="12.75" customHeight="1" x14ac:dyDescent="0.2"/>
    <row r="6672" ht="12.75" customHeight="1" x14ac:dyDescent="0.2"/>
    <row r="6673" ht="12.75" customHeight="1" x14ac:dyDescent="0.2"/>
    <row r="6674" ht="12.75" customHeight="1" x14ac:dyDescent="0.2"/>
    <row r="6675" ht="12.75" customHeight="1" x14ac:dyDescent="0.2"/>
    <row r="6676" ht="12.75" customHeight="1" x14ac:dyDescent="0.2"/>
    <row r="6677" ht="12.75" customHeight="1" x14ac:dyDescent="0.2"/>
    <row r="6678" ht="12.75" customHeight="1" x14ac:dyDescent="0.2"/>
    <row r="6679" ht="12.75" customHeight="1" x14ac:dyDescent="0.2"/>
    <row r="6680" ht="12.75" customHeight="1" x14ac:dyDescent="0.2"/>
    <row r="6681" ht="12.75" customHeight="1" x14ac:dyDescent="0.2"/>
    <row r="6682" ht="12.75" customHeight="1" x14ac:dyDescent="0.2"/>
    <row r="6683" ht="12.75" customHeight="1" x14ac:dyDescent="0.2"/>
    <row r="6684" ht="12.75" customHeight="1" x14ac:dyDescent="0.2"/>
    <row r="6685" ht="12.75" customHeight="1" x14ac:dyDescent="0.2"/>
    <row r="6686" ht="12.75" customHeight="1" x14ac:dyDescent="0.2"/>
    <row r="6687" ht="12.75" customHeight="1" x14ac:dyDescent="0.2"/>
    <row r="6688" ht="12.75" customHeight="1" x14ac:dyDescent="0.2"/>
    <row r="6689" ht="12.75" customHeight="1" x14ac:dyDescent="0.2"/>
    <row r="6690" ht="12.75" customHeight="1" x14ac:dyDescent="0.2"/>
    <row r="6691" ht="12.75" customHeight="1" x14ac:dyDescent="0.2"/>
    <row r="6692" ht="12.75" customHeight="1" x14ac:dyDescent="0.2"/>
    <row r="6693" ht="12.75" customHeight="1" x14ac:dyDescent="0.2"/>
    <row r="6694" ht="12.75" customHeight="1" x14ac:dyDescent="0.2"/>
    <row r="6695" ht="12.75" customHeight="1" x14ac:dyDescent="0.2"/>
    <row r="6696" ht="12.75" customHeight="1" x14ac:dyDescent="0.2"/>
    <row r="6697" ht="12.75" customHeight="1" x14ac:dyDescent="0.2"/>
    <row r="6698" ht="12.75" customHeight="1" x14ac:dyDescent="0.2"/>
    <row r="6699" ht="12.75" customHeight="1" x14ac:dyDescent="0.2"/>
    <row r="6700" ht="12.75" customHeight="1" x14ac:dyDescent="0.2"/>
    <row r="6701" ht="12.75" customHeight="1" x14ac:dyDescent="0.2"/>
    <row r="6702" ht="12.75" customHeight="1" x14ac:dyDescent="0.2"/>
    <row r="6703" ht="12.75" customHeight="1" x14ac:dyDescent="0.2"/>
    <row r="6704" ht="12.75" customHeight="1" x14ac:dyDescent="0.2"/>
    <row r="6705" ht="12.75" customHeight="1" x14ac:dyDescent="0.2"/>
    <row r="6706" ht="12.75" customHeight="1" x14ac:dyDescent="0.2"/>
    <row r="6707" ht="12.75" customHeight="1" x14ac:dyDescent="0.2"/>
    <row r="6708" ht="12.75" customHeight="1" x14ac:dyDescent="0.2"/>
    <row r="6709" ht="12.75" customHeight="1" x14ac:dyDescent="0.2"/>
    <row r="6710" ht="12.75" customHeight="1" x14ac:dyDescent="0.2"/>
    <row r="6711" ht="12.75" customHeight="1" x14ac:dyDescent="0.2"/>
    <row r="6712" ht="12.75" customHeight="1" x14ac:dyDescent="0.2"/>
    <row r="6713" ht="12.75" customHeight="1" x14ac:dyDescent="0.2"/>
    <row r="6714" ht="12.75" customHeight="1" x14ac:dyDescent="0.2"/>
    <row r="6715" ht="12.75" customHeight="1" x14ac:dyDescent="0.2"/>
    <row r="6716" ht="12.75" customHeight="1" x14ac:dyDescent="0.2"/>
    <row r="6717" ht="12.75" customHeight="1" x14ac:dyDescent="0.2"/>
    <row r="6718" ht="12.75" customHeight="1" x14ac:dyDescent="0.2"/>
    <row r="6719" ht="12.75" customHeight="1" x14ac:dyDescent="0.2"/>
    <row r="6720" ht="12.75" customHeight="1" x14ac:dyDescent="0.2"/>
    <row r="6721" ht="12.75" customHeight="1" x14ac:dyDescent="0.2"/>
    <row r="6722" ht="12.75" customHeight="1" x14ac:dyDescent="0.2"/>
    <row r="6723" ht="12.75" customHeight="1" x14ac:dyDescent="0.2"/>
    <row r="6724" ht="12.75" customHeight="1" x14ac:dyDescent="0.2"/>
    <row r="6725" ht="12.75" customHeight="1" x14ac:dyDescent="0.2"/>
    <row r="6726" ht="12.75" customHeight="1" x14ac:dyDescent="0.2"/>
    <row r="6727" ht="12.75" customHeight="1" x14ac:dyDescent="0.2"/>
    <row r="6728" ht="12.75" customHeight="1" x14ac:dyDescent="0.2"/>
    <row r="6729" ht="12.75" customHeight="1" x14ac:dyDescent="0.2"/>
    <row r="6730" ht="12.75" customHeight="1" x14ac:dyDescent="0.2"/>
    <row r="6731" ht="12.75" customHeight="1" x14ac:dyDescent="0.2"/>
    <row r="6732" ht="12.75" customHeight="1" x14ac:dyDescent="0.2"/>
    <row r="6733" ht="12.75" customHeight="1" x14ac:dyDescent="0.2"/>
    <row r="6734" ht="12.75" customHeight="1" x14ac:dyDescent="0.2"/>
    <row r="6735" ht="12.75" customHeight="1" x14ac:dyDescent="0.2"/>
    <row r="6736" ht="12.75" customHeight="1" x14ac:dyDescent="0.2"/>
    <row r="6737" ht="12.75" customHeight="1" x14ac:dyDescent="0.2"/>
    <row r="6738" ht="12.75" customHeight="1" x14ac:dyDescent="0.2"/>
    <row r="6739" ht="12.75" customHeight="1" x14ac:dyDescent="0.2"/>
    <row r="6740" ht="12.75" customHeight="1" x14ac:dyDescent="0.2"/>
    <row r="6741" ht="12.75" customHeight="1" x14ac:dyDescent="0.2"/>
    <row r="6742" ht="12.75" customHeight="1" x14ac:dyDescent="0.2"/>
    <row r="6743" ht="12.75" customHeight="1" x14ac:dyDescent="0.2"/>
    <row r="6744" ht="12.75" customHeight="1" x14ac:dyDescent="0.2"/>
    <row r="6745" ht="12.75" customHeight="1" x14ac:dyDescent="0.2"/>
    <row r="6746" ht="12.75" customHeight="1" x14ac:dyDescent="0.2"/>
    <row r="6747" ht="12.75" customHeight="1" x14ac:dyDescent="0.2"/>
    <row r="6748" ht="12.75" customHeight="1" x14ac:dyDescent="0.2"/>
    <row r="6749" ht="12.75" customHeight="1" x14ac:dyDescent="0.2"/>
    <row r="6750" ht="12.75" customHeight="1" x14ac:dyDescent="0.2"/>
    <row r="6751" ht="12.75" customHeight="1" x14ac:dyDescent="0.2"/>
    <row r="6752" ht="12.75" customHeight="1" x14ac:dyDescent="0.2"/>
    <row r="6753" ht="12.75" customHeight="1" x14ac:dyDescent="0.2"/>
    <row r="6754" ht="12.75" customHeight="1" x14ac:dyDescent="0.2"/>
    <row r="6755" ht="12.75" customHeight="1" x14ac:dyDescent="0.2"/>
    <row r="6756" ht="12.75" customHeight="1" x14ac:dyDescent="0.2"/>
    <row r="6757" ht="12.75" customHeight="1" x14ac:dyDescent="0.2"/>
    <row r="6758" ht="12.75" customHeight="1" x14ac:dyDescent="0.2"/>
    <row r="6759" ht="12.75" customHeight="1" x14ac:dyDescent="0.2"/>
    <row r="6760" ht="12.75" customHeight="1" x14ac:dyDescent="0.2"/>
    <row r="6761" ht="12.75" customHeight="1" x14ac:dyDescent="0.2"/>
    <row r="6762" ht="12.75" customHeight="1" x14ac:dyDescent="0.2"/>
    <row r="6763" ht="12.75" customHeight="1" x14ac:dyDescent="0.2"/>
    <row r="6764" ht="12.75" customHeight="1" x14ac:dyDescent="0.2"/>
    <row r="6765" ht="12.75" customHeight="1" x14ac:dyDescent="0.2"/>
    <row r="6766" ht="12.75" customHeight="1" x14ac:dyDescent="0.2"/>
    <row r="6767" ht="12.75" customHeight="1" x14ac:dyDescent="0.2"/>
    <row r="6768" ht="12.75" customHeight="1" x14ac:dyDescent="0.2"/>
    <row r="6769" ht="12.75" customHeight="1" x14ac:dyDescent="0.2"/>
    <row r="6770" ht="12.75" customHeight="1" x14ac:dyDescent="0.2"/>
    <row r="6771" ht="12.75" customHeight="1" x14ac:dyDescent="0.2"/>
    <row r="6772" ht="12.75" customHeight="1" x14ac:dyDescent="0.2"/>
    <row r="6773" ht="12.75" customHeight="1" x14ac:dyDescent="0.2"/>
    <row r="6774" ht="12.75" customHeight="1" x14ac:dyDescent="0.2"/>
    <row r="6775" ht="12.75" customHeight="1" x14ac:dyDescent="0.2"/>
    <row r="6776" ht="12.75" customHeight="1" x14ac:dyDescent="0.2"/>
    <row r="6777" ht="12.75" customHeight="1" x14ac:dyDescent="0.2"/>
    <row r="6778" ht="12.75" customHeight="1" x14ac:dyDescent="0.2"/>
    <row r="6779" ht="12.75" customHeight="1" x14ac:dyDescent="0.2"/>
    <row r="6780" ht="12.75" customHeight="1" x14ac:dyDescent="0.2"/>
    <row r="6781" ht="12.75" customHeight="1" x14ac:dyDescent="0.2"/>
    <row r="6782" ht="12.75" customHeight="1" x14ac:dyDescent="0.2"/>
    <row r="6783" ht="12.75" customHeight="1" x14ac:dyDescent="0.2"/>
    <row r="6784" ht="12.75" customHeight="1" x14ac:dyDescent="0.2"/>
    <row r="6785" ht="12.75" customHeight="1" x14ac:dyDescent="0.2"/>
    <row r="6786" ht="12.75" customHeight="1" x14ac:dyDescent="0.2"/>
    <row r="6787" ht="12.75" customHeight="1" x14ac:dyDescent="0.2"/>
    <row r="6788" ht="12.75" customHeight="1" x14ac:dyDescent="0.2"/>
    <row r="6789" ht="12.75" customHeight="1" x14ac:dyDescent="0.2"/>
    <row r="6790" ht="12.75" customHeight="1" x14ac:dyDescent="0.2"/>
    <row r="6791" ht="12.75" customHeight="1" x14ac:dyDescent="0.2"/>
    <row r="6792" ht="12.75" customHeight="1" x14ac:dyDescent="0.2"/>
    <row r="6793" ht="12.75" customHeight="1" x14ac:dyDescent="0.2"/>
    <row r="6794" ht="12.75" customHeight="1" x14ac:dyDescent="0.2"/>
    <row r="6795" ht="12.75" customHeight="1" x14ac:dyDescent="0.2"/>
    <row r="6796" ht="12.75" customHeight="1" x14ac:dyDescent="0.2"/>
    <row r="6797" ht="12.75" customHeight="1" x14ac:dyDescent="0.2"/>
    <row r="6798" ht="12.75" customHeight="1" x14ac:dyDescent="0.2"/>
    <row r="6799" ht="12.75" customHeight="1" x14ac:dyDescent="0.2"/>
    <row r="6800" ht="12.75" customHeight="1" x14ac:dyDescent="0.2"/>
    <row r="6801" ht="12.75" customHeight="1" x14ac:dyDescent="0.2"/>
    <row r="6802" ht="12.75" customHeight="1" x14ac:dyDescent="0.2"/>
    <row r="6803" ht="12.75" customHeight="1" x14ac:dyDescent="0.2"/>
    <row r="6804" ht="12.75" customHeight="1" x14ac:dyDescent="0.2"/>
    <row r="6805" ht="12.75" customHeight="1" x14ac:dyDescent="0.2"/>
    <row r="6806" ht="12.75" customHeight="1" x14ac:dyDescent="0.2"/>
    <row r="6807" ht="12.75" customHeight="1" x14ac:dyDescent="0.2"/>
    <row r="6808" ht="12.75" customHeight="1" x14ac:dyDescent="0.2"/>
    <row r="6809" ht="12.75" customHeight="1" x14ac:dyDescent="0.2"/>
    <row r="6810" ht="12.75" customHeight="1" x14ac:dyDescent="0.2"/>
    <row r="6811" ht="12.75" customHeight="1" x14ac:dyDescent="0.2"/>
    <row r="6812" ht="12.75" customHeight="1" x14ac:dyDescent="0.2"/>
    <row r="6813" ht="12.75" customHeight="1" x14ac:dyDescent="0.2"/>
    <row r="6814" ht="12.75" customHeight="1" x14ac:dyDescent="0.2"/>
    <row r="6815" ht="12.75" customHeight="1" x14ac:dyDescent="0.2"/>
    <row r="6816" ht="12.75" customHeight="1" x14ac:dyDescent="0.2"/>
    <row r="6817" ht="12.75" customHeight="1" x14ac:dyDescent="0.2"/>
    <row r="6818" ht="12.75" customHeight="1" x14ac:dyDescent="0.2"/>
    <row r="6819" ht="12.75" customHeight="1" x14ac:dyDescent="0.2"/>
    <row r="6820" ht="12.75" customHeight="1" x14ac:dyDescent="0.2"/>
    <row r="6821" ht="12.75" customHeight="1" x14ac:dyDescent="0.2"/>
    <row r="6822" ht="12.75" customHeight="1" x14ac:dyDescent="0.2"/>
    <row r="6823" ht="12.75" customHeight="1" x14ac:dyDescent="0.2"/>
    <row r="6824" ht="12.75" customHeight="1" x14ac:dyDescent="0.2"/>
    <row r="6825" ht="12.75" customHeight="1" x14ac:dyDescent="0.2"/>
    <row r="6826" ht="12.75" customHeight="1" x14ac:dyDescent="0.2"/>
    <row r="6827" ht="12.75" customHeight="1" x14ac:dyDescent="0.2"/>
    <row r="6828" ht="12.75" customHeight="1" x14ac:dyDescent="0.2"/>
    <row r="6829" ht="12.75" customHeight="1" x14ac:dyDescent="0.2"/>
    <row r="6830" ht="12.75" customHeight="1" x14ac:dyDescent="0.2"/>
    <row r="6831" ht="12.75" customHeight="1" x14ac:dyDescent="0.2"/>
    <row r="6832" ht="12.75" customHeight="1" x14ac:dyDescent="0.2"/>
    <row r="6833" ht="12.75" customHeight="1" x14ac:dyDescent="0.2"/>
    <row r="6834" ht="12.75" customHeight="1" x14ac:dyDescent="0.2"/>
    <row r="6835" ht="12.75" customHeight="1" x14ac:dyDescent="0.2"/>
    <row r="6836" ht="12.75" customHeight="1" x14ac:dyDescent="0.2"/>
    <row r="6837" ht="12.75" customHeight="1" x14ac:dyDescent="0.2"/>
    <row r="6838" ht="12.75" customHeight="1" x14ac:dyDescent="0.2"/>
    <row r="6839" ht="12.75" customHeight="1" x14ac:dyDescent="0.2"/>
    <row r="6840" ht="12.75" customHeight="1" x14ac:dyDescent="0.2"/>
    <row r="6841" ht="12.75" customHeight="1" x14ac:dyDescent="0.2"/>
    <row r="6842" ht="12.75" customHeight="1" x14ac:dyDescent="0.2"/>
    <row r="6843" ht="12.75" customHeight="1" x14ac:dyDescent="0.2"/>
    <row r="6844" ht="12.75" customHeight="1" x14ac:dyDescent="0.2"/>
    <row r="6845" ht="12.75" customHeight="1" x14ac:dyDescent="0.2"/>
    <row r="6846" ht="12.75" customHeight="1" x14ac:dyDescent="0.2"/>
    <row r="6847" ht="12.75" customHeight="1" x14ac:dyDescent="0.2"/>
    <row r="6848" ht="12.75" customHeight="1" x14ac:dyDescent="0.2"/>
    <row r="6849" ht="12.75" customHeight="1" x14ac:dyDescent="0.2"/>
    <row r="6850" ht="12.75" customHeight="1" x14ac:dyDescent="0.2"/>
    <row r="6851" ht="12.75" customHeight="1" x14ac:dyDescent="0.2"/>
    <row r="6852" ht="12.75" customHeight="1" x14ac:dyDescent="0.2"/>
    <row r="6853" ht="12.75" customHeight="1" x14ac:dyDescent="0.2"/>
    <row r="6854" ht="12.75" customHeight="1" x14ac:dyDescent="0.2"/>
    <row r="6855" ht="12.75" customHeight="1" x14ac:dyDescent="0.2"/>
    <row r="6856" ht="12.75" customHeight="1" x14ac:dyDescent="0.2"/>
    <row r="6857" ht="12.75" customHeight="1" x14ac:dyDescent="0.2"/>
    <row r="6858" ht="12.75" customHeight="1" x14ac:dyDescent="0.2"/>
    <row r="6859" ht="12.75" customHeight="1" x14ac:dyDescent="0.2"/>
    <row r="6860" ht="12.75" customHeight="1" x14ac:dyDescent="0.2"/>
    <row r="6861" ht="12.75" customHeight="1" x14ac:dyDescent="0.2"/>
    <row r="6862" ht="12.75" customHeight="1" x14ac:dyDescent="0.2"/>
    <row r="6863" ht="12.75" customHeight="1" x14ac:dyDescent="0.2"/>
    <row r="6864" ht="12.75" customHeight="1" x14ac:dyDescent="0.2"/>
    <row r="6865" ht="12.75" customHeight="1" x14ac:dyDescent="0.2"/>
    <row r="6866" ht="12.75" customHeight="1" x14ac:dyDescent="0.2"/>
    <row r="6867" ht="12.75" customHeight="1" x14ac:dyDescent="0.2"/>
    <row r="6868" ht="12.75" customHeight="1" x14ac:dyDescent="0.2"/>
    <row r="6869" ht="12.75" customHeight="1" x14ac:dyDescent="0.2"/>
    <row r="6870" ht="12.75" customHeight="1" x14ac:dyDescent="0.2"/>
    <row r="6871" ht="12.75" customHeight="1" x14ac:dyDescent="0.2"/>
    <row r="6872" ht="12.75" customHeight="1" x14ac:dyDescent="0.2"/>
    <row r="6873" ht="12.75" customHeight="1" x14ac:dyDescent="0.2"/>
    <row r="6874" ht="12.75" customHeight="1" x14ac:dyDescent="0.2"/>
    <row r="6875" ht="12.75" customHeight="1" x14ac:dyDescent="0.2"/>
    <row r="6876" ht="12.75" customHeight="1" x14ac:dyDescent="0.2"/>
    <row r="6877" ht="12.75" customHeight="1" x14ac:dyDescent="0.2"/>
    <row r="6878" ht="12.75" customHeight="1" x14ac:dyDescent="0.2"/>
    <row r="6879" ht="12.75" customHeight="1" x14ac:dyDescent="0.2"/>
    <row r="6880" ht="12.75" customHeight="1" x14ac:dyDescent="0.2"/>
    <row r="6881" ht="12.75" customHeight="1" x14ac:dyDescent="0.2"/>
    <row r="6882" ht="12.75" customHeight="1" x14ac:dyDescent="0.2"/>
    <row r="6883" ht="12.75" customHeight="1" x14ac:dyDescent="0.2"/>
    <row r="6884" ht="12.75" customHeight="1" x14ac:dyDescent="0.2"/>
    <row r="6885" ht="12.75" customHeight="1" x14ac:dyDescent="0.2"/>
    <row r="6886" ht="12.75" customHeight="1" x14ac:dyDescent="0.2"/>
    <row r="6887" ht="12.75" customHeight="1" x14ac:dyDescent="0.2"/>
    <row r="6888" ht="12.75" customHeight="1" x14ac:dyDescent="0.2"/>
    <row r="6889" ht="12.75" customHeight="1" x14ac:dyDescent="0.2"/>
    <row r="6890" ht="12.75" customHeight="1" x14ac:dyDescent="0.2"/>
    <row r="6891" ht="12.75" customHeight="1" x14ac:dyDescent="0.2"/>
    <row r="6892" ht="12.75" customHeight="1" x14ac:dyDescent="0.2"/>
    <row r="6893" ht="12.75" customHeight="1" x14ac:dyDescent="0.2"/>
    <row r="6894" ht="12.75" customHeight="1" x14ac:dyDescent="0.2"/>
    <row r="6895" ht="12.75" customHeight="1" x14ac:dyDescent="0.2"/>
    <row r="6896" ht="12.75" customHeight="1" x14ac:dyDescent="0.2"/>
    <row r="6897" ht="12.75" customHeight="1" x14ac:dyDescent="0.2"/>
    <row r="6898" ht="12.75" customHeight="1" x14ac:dyDescent="0.2"/>
    <row r="6899" ht="12.75" customHeight="1" x14ac:dyDescent="0.2"/>
    <row r="6900" ht="12.75" customHeight="1" x14ac:dyDescent="0.2"/>
    <row r="6901" ht="12.75" customHeight="1" x14ac:dyDescent="0.2"/>
    <row r="6902" ht="12.75" customHeight="1" x14ac:dyDescent="0.2"/>
    <row r="6903" ht="12.75" customHeight="1" x14ac:dyDescent="0.2"/>
    <row r="6904" ht="12.75" customHeight="1" x14ac:dyDescent="0.2"/>
    <row r="6905" ht="12.75" customHeight="1" x14ac:dyDescent="0.2"/>
    <row r="6906" ht="12.75" customHeight="1" x14ac:dyDescent="0.2"/>
    <row r="6907" ht="12.75" customHeight="1" x14ac:dyDescent="0.2"/>
    <row r="6908" ht="12.75" customHeight="1" x14ac:dyDescent="0.2"/>
    <row r="6909" ht="12.75" customHeight="1" x14ac:dyDescent="0.2"/>
    <row r="6910" ht="12.75" customHeight="1" x14ac:dyDescent="0.2"/>
    <row r="6911" ht="12.75" customHeight="1" x14ac:dyDescent="0.2"/>
    <row r="6912" ht="12.75" customHeight="1" x14ac:dyDescent="0.2"/>
    <row r="6913" ht="12.75" customHeight="1" x14ac:dyDescent="0.2"/>
    <row r="6914" ht="12.75" customHeight="1" x14ac:dyDescent="0.2"/>
    <row r="6915" ht="12.75" customHeight="1" x14ac:dyDescent="0.2"/>
    <row r="6916" ht="12.75" customHeight="1" x14ac:dyDescent="0.2"/>
    <row r="6917" ht="12.75" customHeight="1" x14ac:dyDescent="0.2"/>
    <row r="6918" ht="12.75" customHeight="1" x14ac:dyDescent="0.2"/>
    <row r="6919" ht="12.75" customHeight="1" x14ac:dyDescent="0.2"/>
    <row r="6920" ht="12.75" customHeight="1" x14ac:dyDescent="0.2"/>
    <row r="6921" ht="12.75" customHeight="1" x14ac:dyDescent="0.2"/>
    <row r="6922" ht="12.75" customHeight="1" x14ac:dyDescent="0.2"/>
    <row r="6923" ht="12.75" customHeight="1" x14ac:dyDescent="0.2"/>
    <row r="6924" ht="12.75" customHeight="1" x14ac:dyDescent="0.2"/>
    <row r="6925" ht="12.75" customHeight="1" x14ac:dyDescent="0.2"/>
    <row r="6926" ht="12.75" customHeight="1" x14ac:dyDescent="0.2"/>
    <row r="6927" ht="12.75" customHeight="1" x14ac:dyDescent="0.2"/>
    <row r="6928" ht="12.75" customHeight="1" x14ac:dyDescent="0.2"/>
    <row r="6929" ht="12.75" customHeight="1" x14ac:dyDescent="0.2"/>
    <row r="6930" ht="12.75" customHeight="1" x14ac:dyDescent="0.2"/>
    <row r="6931" ht="12.75" customHeight="1" x14ac:dyDescent="0.2"/>
    <row r="6932" ht="12.75" customHeight="1" x14ac:dyDescent="0.2"/>
    <row r="6933" ht="12.75" customHeight="1" x14ac:dyDescent="0.2"/>
    <row r="6934" ht="12.75" customHeight="1" x14ac:dyDescent="0.2"/>
    <row r="6935" ht="12.75" customHeight="1" x14ac:dyDescent="0.2"/>
    <row r="6936" ht="12.75" customHeight="1" x14ac:dyDescent="0.2"/>
    <row r="6937" ht="12.75" customHeight="1" x14ac:dyDescent="0.2"/>
    <row r="6938" ht="12.75" customHeight="1" x14ac:dyDescent="0.2"/>
    <row r="6939" ht="12.75" customHeight="1" x14ac:dyDescent="0.2"/>
    <row r="6940" ht="12.75" customHeight="1" x14ac:dyDescent="0.2"/>
    <row r="6941" ht="12.75" customHeight="1" x14ac:dyDescent="0.2"/>
    <row r="6942" ht="12.75" customHeight="1" x14ac:dyDescent="0.2"/>
    <row r="6943" ht="12.75" customHeight="1" x14ac:dyDescent="0.2"/>
    <row r="6944" ht="12.75" customHeight="1" x14ac:dyDescent="0.2"/>
    <row r="6945" ht="12.75" customHeight="1" x14ac:dyDescent="0.2"/>
    <row r="6946" ht="12.75" customHeight="1" x14ac:dyDescent="0.2"/>
    <row r="6947" ht="12.75" customHeight="1" x14ac:dyDescent="0.2"/>
    <row r="6948" ht="12.75" customHeight="1" x14ac:dyDescent="0.2"/>
    <row r="6949" ht="12.75" customHeight="1" x14ac:dyDescent="0.2"/>
    <row r="6950" ht="12.75" customHeight="1" x14ac:dyDescent="0.2"/>
    <row r="6951" ht="12.75" customHeight="1" x14ac:dyDescent="0.2"/>
    <row r="6952" ht="12.75" customHeight="1" x14ac:dyDescent="0.2"/>
    <row r="6953" ht="12.75" customHeight="1" x14ac:dyDescent="0.2"/>
    <row r="6954" ht="12.75" customHeight="1" x14ac:dyDescent="0.2"/>
    <row r="6955" ht="12.75" customHeight="1" x14ac:dyDescent="0.2"/>
    <row r="6956" ht="12.75" customHeight="1" x14ac:dyDescent="0.2"/>
    <row r="6957" ht="12.75" customHeight="1" x14ac:dyDescent="0.2"/>
    <row r="6958" ht="12.75" customHeight="1" x14ac:dyDescent="0.2"/>
    <row r="6959" ht="12.75" customHeight="1" x14ac:dyDescent="0.2"/>
    <row r="6960" ht="12.75" customHeight="1" x14ac:dyDescent="0.2"/>
    <row r="6961" ht="12.75" customHeight="1" x14ac:dyDescent="0.2"/>
    <row r="6962" ht="12.75" customHeight="1" x14ac:dyDescent="0.2"/>
    <row r="6963" ht="12.75" customHeight="1" x14ac:dyDescent="0.2"/>
    <row r="6964" ht="12.75" customHeight="1" x14ac:dyDescent="0.2"/>
    <row r="6965" ht="12.75" customHeight="1" x14ac:dyDescent="0.2"/>
    <row r="6966" ht="12.75" customHeight="1" x14ac:dyDescent="0.2"/>
    <row r="6967" ht="12.75" customHeight="1" x14ac:dyDescent="0.2"/>
    <row r="6968" ht="12.75" customHeight="1" x14ac:dyDescent="0.2"/>
    <row r="6969" ht="12.75" customHeight="1" x14ac:dyDescent="0.2"/>
    <row r="6970" ht="12.75" customHeight="1" x14ac:dyDescent="0.2"/>
    <row r="6971" ht="12.75" customHeight="1" x14ac:dyDescent="0.2"/>
    <row r="6972" ht="12.75" customHeight="1" x14ac:dyDescent="0.2"/>
    <row r="6973" ht="12.75" customHeight="1" x14ac:dyDescent="0.2"/>
    <row r="6974" ht="12.75" customHeight="1" x14ac:dyDescent="0.2"/>
    <row r="6975" ht="12.75" customHeight="1" x14ac:dyDescent="0.2"/>
    <row r="6976" ht="12.75" customHeight="1" x14ac:dyDescent="0.2"/>
    <row r="6977" ht="12.75" customHeight="1" x14ac:dyDescent="0.2"/>
    <row r="6978" ht="12.75" customHeight="1" x14ac:dyDescent="0.2"/>
    <row r="6979" ht="12.75" customHeight="1" x14ac:dyDescent="0.2"/>
    <row r="6980" ht="12.75" customHeight="1" x14ac:dyDescent="0.2"/>
    <row r="6981" ht="12.75" customHeight="1" x14ac:dyDescent="0.2"/>
    <row r="6982" ht="12.75" customHeight="1" x14ac:dyDescent="0.2"/>
    <row r="6983" ht="12.75" customHeight="1" x14ac:dyDescent="0.2"/>
    <row r="6984" ht="12.75" customHeight="1" x14ac:dyDescent="0.2"/>
    <row r="6985" ht="12.75" customHeight="1" x14ac:dyDescent="0.2"/>
    <row r="6986" ht="12.75" customHeight="1" x14ac:dyDescent="0.2"/>
    <row r="6987" ht="12.75" customHeight="1" x14ac:dyDescent="0.2"/>
    <row r="6988" ht="12.75" customHeight="1" x14ac:dyDescent="0.2"/>
    <row r="6989" ht="12.75" customHeight="1" x14ac:dyDescent="0.2"/>
    <row r="6990" ht="12.75" customHeight="1" x14ac:dyDescent="0.2"/>
    <row r="6991" ht="12.75" customHeight="1" x14ac:dyDescent="0.2"/>
    <row r="6992" ht="12.75" customHeight="1" x14ac:dyDescent="0.2"/>
    <row r="6993" ht="12.75" customHeight="1" x14ac:dyDescent="0.2"/>
    <row r="6994" ht="12.75" customHeight="1" x14ac:dyDescent="0.2"/>
    <row r="6995" ht="12.75" customHeight="1" x14ac:dyDescent="0.2"/>
    <row r="6996" ht="12.75" customHeight="1" x14ac:dyDescent="0.2"/>
    <row r="6997" ht="12.75" customHeight="1" x14ac:dyDescent="0.2"/>
    <row r="6998" ht="12.75" customHeight="1" x14ac:dyDescent="0.2"/>
    <row r="6999" ht="12.75" customHeight="1" x14ac:dyDescent="0.2"/>
    <row r="7000" ht="12.75" customHeight="1" x14ac:dyDescent="0.2"/>
    <row r="7001" ht="12.75" customHeight="1" x14ac:dyDescent="0.2"/>
    <row r="7002" ht="12.75" customHeight="1" x14ac:dyDescent="0.2"/>
    <row r="7003" ht="12.75" customHeight="1" x14ac:dyDescent="0.2"/>
    <row r="7004" ht="12.75" customHeight="1" x14ac:dyDescent="0.2"/>
    <row r="7005" ht="12.75" customHeight="1" x14ac:dyDescent="0.2"/>
    <row r="7006" ht="12.75" customHeight="1" x14ac:dyDescent="0.2"/>
    <row r="7007" ht="12.75" customHeight="1" x14ac:dyDescent="0.2"/>
    <row r="7008" ht="12.75" customHeight="1" x14ac:dyDescent="0.2"/>
    <row r="7009" ht="12.75" customHeight="1" x14ac:dyDescent="0.2"/>
    <row r="7010" ht="12.75" customHeight="1" x14ac:dyDescent="0.2"/>
    <row r="7011" ht="12.75" customHeight="1" x14ac:dyDescent="0.2"/>
    <row r="7012" ht="12.75" customHeight="1" x14ac:dyDescent="0.2"/>
    <row r="7013" ht="12.75" customHeight="1" x14ac:dyDescent="0.2"/>
    <row r="7014" ht="12.75" customHeight="1" x14ac:dyDescent="0.2"/>
    <row r="7015" ht="12.75" customHeight="1" x14ac:dyDescent="0.2"/>
    <row r="7016" ht="12.75" customHeight="1" x14ac:dyDescent="0.2"/>
    <row r="7017" ht="12.75" customHeight="1" x14ac:dyDescent="0.2"/>
    <row r="7018" ht="12.75" customHeight="1" x14ac:dyDescent="0.2"/>
    <row r="7019" ht="12.75" customHeight="1" x14ac:dyDescent="0.2"/>
    <row r="7020" ht="12.75" customHeight="1" x14ac:dyDescent="0.2"/>
    <row r="7021" ht="12.75" customHeight="1" x14ac:dyDescent="0.2"/>
    <row r="7022" ht="12.75" customHeight="1" x14ac:dyDescent="0.2"/>
    <row r="7023" ht="12.75" customHeight="1" x14ac:dyDescent="0.2"/>
    <row r="7024" ht="12.75" customHeight="1" x14ac:dyDescent="0.2"/>
    <row r="7025" ht="12.75" customHeight="1" x14ac:dyDescent="0.2"/>
    <row r="7026" ht="12.75" customHeight="1" x14ac:dyDescent="0.2"/>
    <row r="7027" ht="12.75" customHeight="1" x14ac:dyDescent="0.2"/>
    <row r="7028" ht="12.75" customHeight="1" x14ac:dyDescent="0.2"/>
    <row r="7029" ht="12.75" customHeight="1" x14ac:dyDescent="0.2"/>
    <row r="7030" ht="12.75" customHeight="1" x14ac:dyDescent="0.2"/>
    <row r="7031" ht="12.75" customHeight="1" x14ac:dyDescent="0.2"/>
    <row r="7032" ht="12.75" customHeight="1" x14ac:dyDescent="0.2"/>
    <row r="7033" ht="12.75" customHeight="1" x14ac:dyDescent="0.2"/>
    <row r="7034" ht="12.75" customHeight="1" x14ac:dyDescent="0.2"/>
    <row r="7035" ht="12.75" customHeight="1" x14ac:dyDescent="0.2"/>
    <row r="7036" ht="12.75" customHeight="1" x14ac:dyDescent="0.2"/>
    <row r="7037" ht="12.75" customHeight="1" x14ac:dyDescent="0.2"/>
    <row r="7038" ht="12.75" customHeight="1" x14ac:dyDescent="0.2"/>
    <row r="7039" ht="12.75" customHeight="1" x14ac:dyDescent="0.2"/>
    <row r="7040" ht="12.75" customHeight="1" x14ac:dyDescent="0.2"/>
    <row r="7041" ht="12.75" customHeight="1" x14ac:dyDescent="0.2"/>
    <row r="7042" ht="12.75" customHeight="1" x14ac:dyDescent="0.2"/>
    <row r="7043" ht="12.75" customHeight="1" x14ac:dyDescent="0.2"/>
    <row r="7044" ht="12.75" customHeight="1" x14ac:dyDescent="0.2"/>
    <row r="7045" ht="12.75" customHeight="1" x14ac:dyDescent="0.2"/>
    <row r="7046" ht="12.75" customHeight="1" x14ac:dyDescent="0.2"/>
    <row r="7047" ht="12.75" customHeight="1" x14ac:dyDescent="0.2"/>
    <row r="7048" ht="12.75" customHeight="1" x14ac:dyDescent="0.2"/>
    <row r="7049" ht="12.75" customHeight="1" x14ac:dyDescent="0.2"/>
    <row r="7050" ht="12.75" customHeight="1" x14ac:dyDescent="0.2"/>
    <row r="7051" ht="12.75" customHeight="1" x14ac:dyDescent="0.2"/>
    <row r="7052" ht="12.75" customHeight="1" x14ac:dyDescent="0.2"/>
    <row r="7053" ht="12.75" customHeight="1" x14ac:dyDescent="0.2"/>
    <row r="7054" ht="12.75" customHeight="1" x14ac:dyDescent="0.2"/>
    <row r="7055" ht="12.75" customHeight="1" x14ac:dyDescent="0.2"/>
    <row r="7056" ht="12.75" customHeight="1" x14ac:dyDescent="0.2"/>
    <row r="7057" ht="12.75" customHeight="1" x14ac:dyDescent="0.2"/>
    <row r="7058" ht="12.75" customHeight="1" x14ac:dyDescent="0.2"/>
    <row r="7059" ht="12.75" customHeight="1" x14ac:dyDescent="0.2"/>
    <row r="7060" ht="12.75" customHeight="1" x14ac:dyDescent="0.2"/>
    <row r="7061" ht="12.75" customHeight="1" x14ac:dyDescent="0.2"/>
    <row r="7062" ht="12.75" customHeight="1" x14ac:dyDescent="0.2"/>
    <row r="7063" ht="12.75" customHeight="1" x14ac:dyDescent="0.2"/>
    <row r="7064" ht="12.75" customHeight="1" x14ac:dyDescent="0.2"/>
    <row r="7065" ht="12.75" customHeight="1" x14ac:dyDescent="0.2"/>
    <row r="7066" ht="12.75" customHeight="1" x14ac:dyDescent="0.2"/>
    <row r="7067" ht="12.75" customHeight="1" x14ac:dyDescent="0.2"/>
    <row r="7068" ht="12.75" customHeight="1" x14ac:dyDescent="0.2"/>
    <row r="7069" ht="12.75" customHeight="1" x14ac:dyDescent="0.2"/>
    <row r="7070" ht="12.75" customHeight="1" x14ac:dyDescent="0.2"/>
    <row r="7071" ht="12.75" customHeight="1" x14ac:dyDescent="0.2"/>
    <row r="7072" ht="12.75" customHeight="1" x14ac:dyDescent="0.2"/>
    <row r="7073" ht="12.75" customHeight="1" x14ac:dyDescent="0.2"/>
    <row r="7074" ht="12.75" customHeight="1" x14ac:dyDescent="0.2"/>
    <row r="7075" ht="12.75" customHeight="1" x14ac:dyDescent="0.2"/>
    <row r="7076" ht="12.75" customHeight="1" x14ac:dyDescent="0.2"/>
    <row r="7077" ht="12.75" customHeight="1" x14ac:dyDescent="0.2"/>
    <row r="7078" ht="12.75" customHeight="1" x14ac:dyDescent="0.2"/>
    <row r="7079" ht="12.75" customHeight="1" x14ac:dyDescent="0.2"/>
    <row r="7080" ht="12.75" customHeight="1" x14ac:dyDescent="0.2"/>
    <row r="7081" ht="12.75" customHeight="1" x14ac:dyDescent="0.2"/>
    <row r="7082" ht="12.75" customHeight="1" x14ac:dyDescent="0.2"/>
    <row r="7083" ht="12.75" customHeight="1" x14ac:dyDescent="0.2"/>
    <row r="7084" ht="12.75" customHeight="1" x14ac:dyDescent="0.2"/>
    <row r="7085" ht="12.75" customHeight="1" x14ac:dyDescent="0.2"/>
    <row r="7086" ht="12.75" customHeight="1" x14ac:dyDescent="0.2"/>
    <row r="7087" ht="12.75" customHeight="1" x14ac:dyDescent="0.2"/>
    <row r="7088" ht="12.75" customHeight="1" x14ac:dyDescent="0.2"/>
    <row r="7089" ht="12.75" customHeight="1" x14ac:dyDescent="0.2"/>
    <row r="7090" ht="12.75" customHeight="1" x14ac:dyDescent="0.2"/>
    <row r="7091" ht="12.75" customHeight="1" x14ac:dyDescent="0.2"/>
    <row r="7092" ht="12.75" customHeight="1" x14ac:dyDescent="0.2"/>
    <row r="7093" ht="12.75" customHeight="1" x14ac:dyDescent="0.2"/>
    <row r="7094" ht="12.75" customHeight="1" x14ac:dyDescent="0.2"/>
    <row r="7095" ht="12.75" customHeight="1" x14ac:dyDescent="0.2"/>
    <row r="7096" ht="12.75" customHeight="1" x14ac:dyDescent="0.2"/>
    <row r="7097" ht="12.75" customHeight="1" x14ac:dyDescent="0.2"/>
    <row r="7098" ht="12.75" customHeight="1" x14ac:dyDescent="0.2"/>
    <row r="7099" ht="12.75" customHeight="1" x14ac:dyDescent="0.2"/>
    <row r="7100" ht="12.75" customHeight="1" x14ac:dyDescent="0.2"/>
    <row r="7101" ht="12.75" customHeight="1" x14ac:dyDescent="0.2"/>
    <row r="7102" ht="12.75" customHeight="1" x14ac:dyDescent="0.2"/>
    <row r="7103" ht="12.75" customHeight="1" x14ac:dyDescent="0.2"/>
    <row r="7104" ht="12.75" customHeight="1" x14ac:dyDescent="0.2"/>
    <row r="7105" ht="12.75" customHeight="1" x14ac:dyDescent="0.2"/>
    <row r="7106" ht="12.75" customHeight="1" x14ac:dyDescent="0.2"/>
    <row r="7107" ht="12.75" customHeight="1" x14ac:dyDescent="0.2"/>
    <row r="7108" ht="12.75" customHeight="1" x14ac:dyDescent="0.2"/>
    <row r="7109" ht="12.75" customHeight="1" x14ac:dyDescent="0.2"/>
    <row r="7110" ht="12.75" customHeight="1" x14ac:dyDescent="0.2"/>
    <row r="7111" ht="12.75" customHeight="1" x14ac:dyDescent="0.2"/>
    <row r="7112" ht="12.75" customHeight="1" x14ac:dyDescent="0.2"/>
    <row r="7113" ht="12.75" customHeight="1" x14ac:dyDescent="0.2"/>
    <row r="7114" ht="12.75" customHeight="1" x14ac:dyDescent="0.2"/>
    <row r="7115" ht="12.75" customHeight="1" x14ac:dyDescent="0.2"/>
    <row r="7116" ht="12.75" customHeight="1" x14ac:dyDescent="0.2"/>
    <row r="7117" ht="12.75" customHeight="1" x14ac:dyDescent="0.2"/>
    <row r="7118" ht="12.75" customHeight="1" x14ac:dyDescent="0.2"/>
    <row r="7119" ht="12.75" customHeight="1" x14ac:dyDescent="0.2"/>
    <row r="7120" ht="12.75" customHeight="1" x14ac:dyDescent="0.2"/>
    <row r="7121" ht="12.75" customHeight="1" x14ac:dyDescent="0.2"/>
    <row r="7122" ht="12.75" customHeight="1" x14ac:dyDescent="0.2"/>
    <row r="7123" ht="12.75" customHeight="1" x14ac:dyDescent="0.2"/>
    <row r="7124" ht="12.75" customHeight="1" x14ac:dyDescent="0.2"/>
    <row r="7125" ht="12.75" customHeight="1" x14ac:dyDescent="0.2"/>
    <row r="7126" ht="12.75" customHeight="1" x14ac:dyDescent="0.2"/>
    <row r="7127" ht="12.75" customHeight="1" x14ac:dyDescent="0.2"/>
    <row r="7128" ht="12.75" customHeight="1" x14ac:dyDescent="0.2"/>
    <row r="7129" ht="12.75" customHeight="1" x14ac:dyDescent="0.2"/>
    <row r="7130" ht="12.75" customHeight="1" x14ac:dyDescent="0.2"/>
    <row r="7131" ht="12.75" customHeight="1" x14ac:dyDescent="0.2"/>
    <row r="7132" ht="12.75" customHeight="1" x14ac:dyDescent="0.2"/>
    <row r="7133" ht="12.75" customHeight="1" x14ac:dyDescent="0.2"/>
    <row r="7134" ht="12.75" customHeight="1" x14ac:dyDescent="0.2"/>
    <row r="7135" ht="12.75" customHeight="1" x14ac:dyDescent="0.2"/>
    <row r="7136" ht="12.75" customHeight="1" x14ac:dyDescent="0.2"/>
    <row r="7137" ht="12.75" customHeight="1" x14ac:dyDescent="0.2"/>
    <row r="7138" ht="12.75" customHeight="1" x14ac:dyDescent="0.2"/>
    <row r="7139" ht="12.75" customHeight="1" x14ac:dyDescent="0.2"/>
    <row r="7140" ht="12.75" customHeight="1" x14ac:dyDescent="0.2"/>
    <row r="7141" ht="12.75" customHeight="1" x14ac:dyDescent="0.2"/>
    <row r="7142" ht="12.75" customHeight="1" x14ac:dyDescent="0.2"/>
    <row r="7143" ht="12.75" customHeight="1" x14ac:dyDescent="0.2"/>
    <row r="7144" ht="12.75" customHeight="1" x14ac:dyDescent="0.2"/>
    <row r="7145" ht="12.75" customHeight="1" x14ac:dyDescent="0.2"/>
    <row r="7146" ht="12.75" customHeight="1" x14ac:dyDescent="0.2"/>
    <row r="7147" ht="12.75" customHeight="1" x14ac:dyDescent="0.2"/>
    <row r="7148" ht="12.75" customHeight="1" x14ac:dyDescent="0.2"/>
    <row r="7149" ht="12.75" customHeight="1" x14ac:dyDescent="0.2"/>
    <row r="7150" ht="12.75" customHeight="1" x14ac:dyDescent="0.2"/>
    <row r="7151" ht="12.75" customHeight="1" x14ac:dyDescent="0.2"/>
    <row r="7152" ht="12.75" customHeight="1" x14ac:dyDescent="0.2"/>
    <row r="7153" ht="12.75" customHeight="1" x14ac:dyDescent="0.2"/>
    <row r="7154" ht="12.75" customHeight="1" x14ac:dyDescent="0.2"/>
    <row r="7155" ht="12.75" customHeight="1" x14ac:dyDescent="0.2"/>
    <row r="7156" ht="12.75" customHeight="1" x14ac:dyDescent="0.2"/>
    <row r="7157" ht="12.75" customHeight="1" x14ac:dyDescent="0.2"/>
    <row r="7158" ht="12.75" customHeight="1" x14ac:dyDescent="0.2"/>
    <row r="7159" ht="12.75" customHeight="1" x14ac:dyDescent="0.2"/>
    <row r="7160" ht="12.75" customHeight="1" x14ac:dyDescent="0.2"/>
    <row r="7161" ht="12.75" customHeight="1" x14ac:dyDescent="0.2"/>
    <row r="7162" ht="12.75" customHeight="1" x14ac:dyDescent="0.2"/>
    <row r="7163" ht="12.75" customHeight="1" x14ac:dyDescent="0.2"/>
    <row r="7164" ht="12.75" customHeight="1" x14ac:dyDescent="0.2"/>
    <row r="7165" ht="12.75" customHeight="1" x14ac:dyDescent="0.2"/>
    <row r="7166" ht="12.75" customHeight="1" x14ac:dyDescent="0.2"/>
    <row r="7167" ht="12.75" customHeight="1" x14ac:dyDescent="0.2"/>
    <row r="7168" ht="12.75" customHeight="1" x14ac:dyDescent="0.2"/>
    <row r="7169" ht="12.75" customHeight="1" x14ac:dyDescent="0.2"/>
    <row r="7170" ht="12.75" customHeight="1" x14ac:dyDescent="0.2"/>
    <row r="7171" ht="12.75" customHeight="1" x14ac:dyDescent="0.2"/>
    <row r="7172" ht="12.75" customHeight="1" x14ac:dyDescent="0.2"/>
    <row r="7173" ht="12.75" customHeight="1" x14ac:dyDescent="0.2"/>
    <row r="7174" ht="12.75" customHeight="1" x14ac:dyDescent="0.2"/>
    <row r="7175" ht="12.75" customHeight="1" x14ac:dyDescent="0.2"/>
    <row r="7176" ht="12.75" customHeight="1" x14ac:dyDescent="0.2"/>
    <row r="7177" ht="12.75" customHeight="1" x14ac:dyDescent="0.2"/>
    <row r="7178" ht="12.75" customHeight="1" x14ac:dyDescent="0.2"/>
    <row r="7179" ht="12.75" customHeight="1" x14ac:dyDescent="0.2"/>
    <row r="7180" ht="12.75" customHeight="1" x14ac:dyDescent="0.2"/>
    <row r="7181" ht="12.75" customHeight="1" x14ac:dyDescent="0.2"/>
    <row r="7182" ht="12.75" customHeight="1" x14ac:dyDescent="0.2"/>
    <row r="7183" ht="12.75" customHeight="1" x14ac:dyDescent="0.2"/>
    <row r="7184" ht="12.75" customHeight="1" x14ac:dyDescent="0.2"/>
    <row r="7185" ht="12.75" customHeight="1" x14ac:dyDescent="0.2"/>
    <row r="7186" ht="12.75" customHeight="1" x14ac:dyDescent="0.2"/>
    <row r="7187" ht="12.75" customHeight="1" x14ac:dyDescent="0.2"/>
    <row r="7188" ht="12.75" customHeight="1" x14ac:dyDescent="0.2"/>
    <row r="7189" ht="12.75" customHeight="1" x14ac:dyDescent="0.2"/>
    <row r="7190" ht="12.75" customHeight="1" x14ac:dyDescent="0.2"/>
    <row r="7191" ht="12.75" customHeight="1" x14ac:dyDescent="0.2"/>
    <row r="7192" ht="12.75" customHeight="1" x14ac:dyDescent="0.2"/>
    <row r="7193" ht="12.75" customHeight="1" x14ac:dyDescent="0.2"/>
    <row r="7194" ht="12.75" customHeight="1" x14ac:dyDescent="0.2"/>
    <row r="7195" ht="12.75" customHeight="1" x14ac:dyDescent="0.2"/>
    <row r="7196" ht="12.75" customHeight="1" x14ac:dyDescent="0.2"/>
    <row r="7197" ht="12.75" customHeight="1" x14ac:dyDescent="0.2"/>
    <row r="7198" ht="12.75" customHeight="1" x14ac:dyDescent="0.2"/>
    <row r="7199" ht="12.75" customHeight="1" x14ac:dyDescent="0.2"/>
    <row r="7200" ht="12.75" customHeight="1" x14ac:dyDescent="0.2"/>
    <row r="7201" ht="12.75" customHeight="1" x14ac:dyDescent="0.2"/>
    <row r="7202" ht="12.75" customHeight="1" x14ac:dyDescent="0.2"/>
    <row r="7203" ht="12.75" customHeight="1" x14ac:dyDescent="0.2"/>
    <row r="7204" ht="12.75" customHeight="1" x14ac:dyDescent="0.2"/>
    <row r="7205" ht="12.75" customHeight="1" x14ac:dyDescent="0.2"/>
    <row r="7206" ht="12.75" customHeight="1" x14ac:dyDescent="0.2"/>
    <row r="7207" ht="12.75" customHeight="1" x14ac:dyDescent="0.2"/>
    <row r="7208" ht="12.75" customHeight="1" x14ac:dyDescent="0.2"/>
    <row r="7209" ht="12.75" customHeight="1" x14ac:dyDescent="0.2"/>
    <row r="7210" ht="12.75" customHeight="1" x14ac:dyDescent="0.2"/>
    <row r="7211" ht="12.75" customHeight="1" x14ac:dyDescent="0.2"/>
    <row r="7212" ht="12.75" customHeight="1" x14ac:dyDescent="0.2"/>
    <row r="7213" ht="12.75" customHeight="1" x14ac:dyDescent="0.2"/>
    <row r="7214" ht="12.75" customHeight="1" x14ac:dyDescent="0.2"/>
    <row r="7215" ht="12.75" customHeight="1" x14ac:dyDescent="0.2"/>
    <row r="7216" ht="12.75" customHeight="1" x14ac:dyDescent="0.2"/>
    <row r="7217" ht="12.75" customHeight="1" x14ac:dyDescent="0.2"/>
    <row r="7218" ht="12.75" customHeight="1" x14ac:dyDescent="0.2"/>
    <row r="7219" ht="12.75" customHeight="1" x14ac:dyDescent="0.2"/>
    <row r="7220" ht="12.75" customHeight="1" x14ac:dyDescent="0.2"/>
    <row r="7221" ht="12.75" customHeight="1" x14ac:dyDescent="0.2"/>
    <row r="7222" ht="12.75" customHeight="1" x14ac:dyDescent="0.2"/>
    <row r="7223" ht="12.75" customHeight="1" x14ac:dyDescent="0.2"/>
    <row r="7224" ht="12.75" customHeight="1" x14ac:dyDescent="0.2"/>
    <row r="7225" ht="12.75" customHeight="1" x14ac:dyDescent="0.2"/>
    <row r="7226" ht="12.75" customHeight="1" x14ac:dyDescent="0.2"/>
    <row r="7227" ht="12.75" customHeight="1" x14ac:dyDescent="0.2"/>
    <row r="7228" ht="12.75" customHeight="1" x14ac:dyDescent="0.2"/>
    <row r="7229" ht="12.75" customHeight="1" x14ac:dyDescent="0.2"/>
    <row r="7230" ht="12.75" customHeight="1" x14ac:dyDescent="0.2"/>
    <row r="7231" ht="12.75" customHeight="1" x14ac:dyDescent="0.2"/>
    <row r="7232" ht="12.75" customHeight="1" x14ac:dyDescent="0.2"/>
    <row r="7233" ht="12.75" customHeight="1" x14ac:dyDescent="0.2"/>
    <row r="7234" ht="12.75" customHeight="1" x14ac:dyDescent="0.2"/>
    <row r="7235" ht="12.75" customHeight="1" x14ac:dyDescent="0.2"/>
    <row r="7236" ht="12.75" customHeight="1" x14ac:dyDescent="0.2"/>
    <row r="7237" ht="12.75" customHeight="1" x14ac:dyDescent="0.2"/>
    <row r="7238" ht="12.75" customHeight="1" x14ac:dyDescent="0.2"/>
    <row r="7239" ht="12.75" customHeight="1" x14ac:dyDescent="0.2"/>
    <row r="7240" ht="12.75" customHeight="1" x14ac:dyDescent="0.2"/>
    <row r="7241" ht="12.75" customHeight="1" x14ac:dyDescent="0.2"/>
    <row r="7242" ht="12.75" customHeight="1" x14ac:dyDescent="0.2"/>
    <row r="7243" ht="12.75" customHeight="1" x14ac:dyDescent="0.2"/>
    <row r="7244" ht="12.75" customHeight="1" x14ac:dyDescent="0.2"/>
    <row r="7245" ht="12.75" customHeight="1" x14ac:dyDescent="0.2"/>
    <row r="7246" ht="12.75" customHeight="1" x14ac:dyDescent="0.2"/>
    <row r="7247" ht="12.75" customHeight="1" x14ac:dyDescent="0.2"/>
    <row r="7248" ht="12.75" customHeight="1" x14ac:dyDescent="0.2"/>
    <row r="7249" ht="12.75" customHeight="1" x14ac:dyDescent="0.2"/>
    <row r="7250" ht="12.75" customHeight="1" x14ac:dyDescent="0.2"/>
    <row r="7251" ht="12.75" customHeight="1" x14ac:dyDescent="0.2"/>
    <row r="7252" ht="12.75" customHeight="1" x14ac:dyDescent="0.2"/>
    <row r="7253" ht="12.75" customHeight="1" x14ac:dyDescent="0.2"/>
    <row r="7254" ht="12.75" customHeight="1" x14ac:dyDescent="0.2"/>
    <row r="7255" ht="12.75" customHeight="1" x14ac:dyDescent="0.2"/>
    <row r="7256" ht="12.75" customHeight="1" x14ac:dyDescent="0.2"/>
    <row r="7257" ht="12.75" customHeight="1" x14ac:dyDescent="0.2"/>
    <row r="7258" ht="12.75" customHeight="1" x14ac:dyDescent="0.2"/>
    <row r="7259" ht="12.75" customHeight="1" x14ac:dyDescent="0.2"/>
    <row r="7260" ht="12.75" customHeight="1" x14ac:dyDescent="0.2"/>
    <row r="7261" ht="12.75" customHeight="1" x14ac:dyDescent="0.2"/>
    <row r="7262" ht="12.75" customHeight="1" x14ac:dyDescent="0.2"/>
    <row r="7263" ht="12.75" customHeight="1" x14ac:dyDescent="0.2"/>
    <row r="7264" ht="12.75" customHeight="1" x14ac:dyDescent="0.2"/>
    <row r="7265" ht="12.75" customHeight="1" x14ac:dyDescent="0.2"/>
    <row r="7266" ht="12.75" customHeight="1" x14ac:dyDescent="0.2"/>
    <row r="7267" ht="12.75" customHeight="1" x14ac:dyDescent="0.2"/>
    <row r="7268" ht="12.75" customHeight="1" x14ac:dyDescent="0.2"/>
    <row r="7269" ht="12.75" customHeight="1" x14ac:dyDescent="0.2"/>
    <row r="7270" ht="12.75" customHeight="1" x14ac:dyDescent="0.2"/>
    <row r="7271" ht="12.75" customHeight="1" x14ac:dyDescent="0.2"/>
    <row r="7272" ht="12.75" customHeight="1" x14ac:dyDescent="0.2"/>
    <row r="7273" ht="12.75" customHeight="1" x14ac:dyDescent="0.2"/>
    <row r="7274" ht="12.75" customHeight="1" x14ac:dyDescent="0.2"/>
    <row r="7275" ht="12.75" customHeight="1" x14ac:dyDescent="0.2"/>
    <row r="7276" ht="12.75" customHeight="1" x14ac:dyDescent="0.2"/>
    <row r="7277" ht="12.75" customHeight="1" x14ac:dyDescent="0.2"/>
    <row r="7278" ht="12.75" customHeight="1" x14ac:dyDescent="0.2"/>
    <row r="7279" ht="12.75" customHeight="1" x14ac:dyDescent="0.2"/>
    <row r="7280" ht="12.75" customHeight="1" x14ac:dyDescent="0.2"/>
    <row r="7281" ht="12.75" customHeight="1" x14ac:dyDescent="0.2"/>
    <row r="7282" ht="12.75" customHeight="1" x14ac:dyDescent="0.2"/>
    <row r="7283" ht="12.75" customHeight="1" x14ac:dyDescent="0.2"/>
    <row r="7284" ht="12.75" customHeight="1" x14ac:dyDescent="0.2"/>
    <row r="7285" ht="12.75" customHeight="1" x14ac:dyDescent="0.2"/>
    <row r="7286" ht="12.75" customHeight="1" x14ac:dyDescent="0.2"/>
    <row r="7287" ht="12.75" customHeight="1" x14ac:dyDescent="0.2"/>
    <row r="7288" ht="12.75" customHeight="1" x14ac:dyDescent="0.2"/>
    <row r="7289" ht="12.75" customHeight="1" x14ac:dyDescent="0.2"/>
    <row r="7290" ht="12.75" customHeight="1" x14ac:dyDescent="0.2"/>
    <row r="7291" ht="12.75" customHeight="1" x14ac:dyDescent="0.2"/>
    <row r="7292" ht="12.75" customHeight="1" x14ac:dyDescent="0.2"/>
    <row r="7293" ht="12.75" customHeight="1" x14ac:dyDescent="0.2"/>
    <row r="7294" ht="12.75" customHeight="1" x14ac:dyDescent="0.2"/>
    <row r="7295" ht="12.75" customHeight="1" x14ac:dyDescent="0.2"/>
    <row r="7296" ht="12.75" customHeight="1" x14ac:dyDescent="0.2"/>
    <row r="7297" ht="12.75" customHeight="1" x14ac:dyDescent="0.2"/>
    <row r="7298" ht="12.75" customHeight="1" x14ac:dyDescent="0.2"/>
    <row r="7299" ht="12.75" customHeight="1" x14ac:dyDescent="0.2"/>
    <row r="7300" ht="12.75" customHeight="1" x14ac:dyDescent="0.2"/>
    <row r="7301" ht="12.75" customHeight="1" x14ac:dyDescent="0.2"/>
    <row r="7302" ht="12.75" customHeight="1" x14ac:dyDescent="0.2"/>
    <row r="7303" ht="12.75" customHeight="1" x14ac:dyDescent="0.2"/>
    <row r="7304" ht="12.75" customHeight="1" x14ac:dyDescent="0.2"/>
    <row r="7305" ht="12.75" customHeight="1" x14ac:dyDescent="0.2"/>
    <row r="7306" ht="12.75" customHeight="1" x14ac:dyDescent="0.2"/>
    <row r="7307" ht="12.75" customHeight="1" x14ac:dyDescent="0.2"/>
    <row r="7308" ht="12.75" customHeight="1" x14ac:dyDescent="0.2"/>
    <row r="7309" ht="12.75" customHeight="1" x14ac:dyDescent="0.2"/>
    <row r="7310" ht="12.75" customHeight="1" x14ac:dyDescent="0.2"/>
    <row r="7311" ht="12.75" customHeight="1" x14ac:dyDescent="0.2"/>
    <row r="7312" ht="12.75" customHeight="1" x14ac:dyDescent="0.2"/>
    <row r="7313" ht="12.75" customHeight="1" x14ac:dyDescent="0.2"/>
    <row r="7314" ht="12.75" customHeight="1" x14ac:dyDescent="0.2"/>
    <row r="7315" ht="12.75" customHeight="1" x14ac:dyDescent="0.2"/>
    <row r="7316" ht="12.75" customHeight="1" x14ac:dyDescent="0.2"/>
    <row r="7317" ht="12.75" customHeight="1" x14ac:dyDescent="0.2"/>
    <row r="7318" ht="12.75" customHeight="1" x14ac:dyDescent="0.2"/>
    <row r="7319" ht="12.75" customHeight="1" x14ac:dyDescent="0.2"/>
    <row r="7320" ht="12.75" customHeight="1" x14ac:dyDescent="0.2"/>
    <row r="7321" ht="12.75" customHeight="1" x14ac:dyDescent="0.2"/>
    <row r="7322" ht="12.75" customHeight="1" x14ac:dyDescent="0.2"/>
    <row r="7323" ht="12.75" customHeight="1" x14ac:dyDescent="0.2"/>
    <row r="7324" ht="12.75" customHeight="1" x14ac:dyDescent="0.2"/>
    <row r="7325" ht="12.75" customHeight="1" x14ac:dyDescent="0.2"/>
    <row r="7326" ht="12.75" customHeight="1" x14ac:dyDescent="0.2"/>
    <row r="7327" ht="12.75" customHeight="1" x14ac:dyDescent="0.2"/>
    <row r="7328" ht="12.75" customHeight="1" x14ac:dyDescent="0.2"/>
    <row r="7329" ht="12.75" customHeight="1" x14ac:dyDescent="0.2"/>
    <row r="7330" ht="12.75" customHeight="1" x14ac:dyDescent="0.2"/>
    <row r="7331" ht="12.75" customHeight="1" x14ac:dyDescent="0.2"/>
    <row r="7332" ht="12.75" customHeight="1" x14ac:dyDescent="0.2"/>
    <row r="7333" ht="12.75" customHeight="1" x14ac:dyDescent="0.2"/>
    <row r="7334" ht="12.75" customHeight="1" x14ac:dyDescent="0.2"/>
    <row r="7335" ht="12.75" customHeight="1" x14ac:dyDescent="0.2"/>
    <row r="7336" ht="12.75" customHeight="1" x14ac:dyDescent="0.2"/>
    <row r="7337" ht="12.75" customHeight="1" x14ac:dyDescent="0.2"/>
    <row r="7338" ht="12.75" customHeight="1" x14ac:dyDescent="0.2"/>
    <row r="7339" ht="12.75" customHeight="1" x14ac:dyDescent="0.2"/>
    <row r="7340" ht="12.75" customHeight="1" x14ac:dyDescent="0.2"/>
    <row r="7341" ht="12.75" customHeight="1" x14ac:dyDescent="0.2"/>
    <row r="7342" ht="12.75" customHeight="1" x14ac:dyDescent="0.2"/>
    <row r="7343" ht="12.75" customHeight="1" x14ac:dyDescent="0.2"/>
    <row r="7344" ht="12.75" customHeight="1" x14ac:dyDescent="0.2"/>
    <row r="7345" ht="12.75" customHeight="1" x14ac:dyDescent="0.2"/>
    <row r="7346" ht="12.75" customHeight="1" x14ac:dyDescent="0.2"/>
    <row r="7347" ht="12.75" customHeight="1" x14ac:dyDescent="0.2"/>
    <row r="7348" ht="12.75" customHeight="1" x14ac:dyDescent="0.2"/>
    <row r="7349" ht="12.75" customHeight="1" x14ac:dyDescent="0.2"/>
    <row r="7350" ht="12.75" customHeight="1" x14ac:dyDescent="0.2"/>
    <row r="7351" ht="12.75" customHeight="1" x14ac:dyDescent="0.2"/>
    <row r="7352" ht="12.75" customHeight="1" x14ac:dyDescent="0.2"/>
    <row r="7353" ht="12.75" customHeight="1" x14ac:dyDescent="0.2"/>
    <row r="7354" ht="12.75" customHeight="1" x14ac:dyDescent="0.2"/>
    <row r="7355" ht="12.75" customHeight="1" x14ac:dyDescent="0.2"/>
    <row r="7356" ht="12.75" customHeight="1" x14ac:dyDescent="0.2"/>
    <row r="7357" ht="12.75" customHeight="1" x14ac:dyDescent="0.2"/>
    <row r="7358" ht="12.75" customHeight="1" x14ac:dyDescent="0.2"/>
    <row r="7359" ht="12.75" customHeight="1" x14ac:dyDescent="0.2"/>
    <row r="7360" ht="12.75" customHeight="1" x14ac:dyDescent="0.2"/>
    <row r="7361" ht="12.75" customHeight="1" x14ac:dyDescent="0.2"/>
    <row r="7362" ht="12.75" customHeight="1" x14ac:dyDescent="0.2"/>
    <row r="7363" ht="12.75" customHeight="1" x14ac:dyDescent="0.2"/>
    <row r="7364" ht="12.75" customHeight="1" x14ac:dyDescent="0.2"/>
    <row r="7365" ht="12.75" customHeight="1" x14ac:dyDescent="0.2"/>
    <row r="7366" ht="12.75" customHeight="1" x14ac:dyDescent="0.2"/>
    <row r="7367" ht="12.75" customHeight="1" x14ac:dyDescent="0.2"/>
    <row r="7368" ht="12.75" customHeight="1" x14ac:dyDescent="0.2"/>
    <row r="7369" ht="12.75" customHeight="1" x14ac:dyDescent="0.2"/>
    <row r="7370" ht="12.75" customHeight="1" x14ac:dyDescent="0.2"/>
    <row r="7371" ht="12.75" customHeight="1" x14ac:dyDescent="0.2"/>
    <row r="7372" ht="12.75" customHeight="1" x14ac:dyDescent="0.2"/>
    <row r="7373" ht="12.75" customHeight="1" x14ac:dyDescent="0.2"/>
    <row r="7374" ht="12.75" customHeight="1" x14ac:dyDescent="0.2"/>
    <row r="7375" ht="12.75" customHeight="1" x14ac:dyDescent="0.2"/>
    <row r="7376" ht="12.75" customHeight="1" x14ac:dyDescent="0.2"/>
    <row r="7377" ht="12.75" customHeight="1" x14ac:dyDescent="0.2"/>
    <row r="7378" ht="12.75" customHeight="1" x14ac:dyDescent="0.2"/>
    <row r="7379" ht="12.75" customHeight="1" x14ac:dyDescent="0.2"/>
    <row r="7380" ht="12.75" customHeight="1" x14ac:dyDescent="0.2"/>
    <row r="7381" ht="12.75" customHeight="1" x14ac:dyDescent="0.2"/>
    <row r="7382" ht="12.75" customHeight="1" x14ac:dyDescent="0.2"/>
    <row r="7383" ht="12.75" customHeight="1" x14ac:dyDescent="0.2"/>
    <row r="7384" ht="12.75" customHeight="1" x14ac:dyDescent="0.2"/>
    <row r="7385" ht="12.75" customHeight="1" x14ac:dyDescent="0.2"/>
    <row r="7386" ht="12.75" customHeight="1" x14ac:dyDescent="0.2"/>
    <row r="7387" ht="12.75" customHeight="1" x14ac:dyDescent="0.2"/>
    <row r="7388" ht="12.75" customHeight="1" x14ac:dyDescent="0.2"/>
    <row r="7389" ht="12.75" customHeight="1" x14ac:dyDescent="0.2"/>
    <row r="7390" ht="12.75" customHeight="1" x14ac:dyDescent="0.2"/>
    <row r="7391" ht="12.75" customHeight="1" x14ac:dyDescent="0.2"/>
    <row r="7392" ht="12.75" customHeight="1" x14ac:dyDescent="0.2"/>
    <row r="7393" ht="12.75" customHeight="1" x14ac:dyDescent="0.2"/>
    <row r="7394" ht="12.75" customHeight="1" x14ac:dyDescent="0.2"/>
    <row r="7395" ht="12.75" customHeight="1" x14ac:dyDescent="0.2"/>
    <row r="7396" ht="12.75" customHeight="1" x14ac:dyDescent="0.2"/>
    <row r="7397" ht="12.75" customHeight="1" x14ac:dyDescent="0.2"/>
    <row r="7398" ht="12.75" customHeight="1" x14ac:dyDescent="0.2"/>
    <row r="7399" ht="12.75" customHeight="1" x14ac:dyDescent="0.2"/>
    <row r="7400" ht="12.75" customHeight="1" x14ac:dyDescent="0.2"/>
    <row r="7401" ht="12.75" customHeight="1" x14ac:dyDescent="0.2"/>
    <row r="7402" ht="12.75" customHeight="1" x14ac:dyDescent="0.2"/>
    <row r="7403" ht="12.75" customHeight="1" x14ac:dyDescent="0.2"/>
    <row r="7404" ht="12.75" customHeight="1" x14ac:dyDescent="0.2"/>
    <row r="7405" ht="12.75" customHeight="1" x14ac:dyDescent="0.2"/>
    <row r="7406" ht="12.75" customHeight="1" x14ac:dyDescent="0.2"/>
    <row r="7407" ht="12.75" customHeight="1" x14ac:dyDescent="0.2"/>
    <row r="7408" ht="12.75" customHeight="1" x14ac:dyDescent="0.2"/>
    <row r="7409" ht="12.75" customHeight="1" x14ac:dyDescent="0.2"/>
    <row r="7410" ht="12.75" customHeight="1" x14ac:dyDescent="0.2"/>
    <row r="7411" ht="12.75" customHeight="1" x14ac:dyDescent="0.2"/>
    <row r="7412" ht="12.75" customHeight="1" x14ac:dyDescent="0.2"/>
    <row r="7413" ht="12.75" customHeight="1" x14ac:dyDescent="0.2"/>
    <row r="7414" ht="12.75" customHeight="1" x14ac:dyDescent="0.2"/>
    <row r="7415" ht="12.75" customHeight="1" x14ac:dyDescent="0.2"/>
    <row r="7416" ht="12.75" customHeight="1" x14ac:dyDescent="0.2"/>
    <row r="7417" ht="12.75" customHeight="1" x14ac:dyDescent="0.2"/>
    <row r="7418" ht="12.75" customHeight="1" x14ac:dyDescent="0.2"/>
    <row r="7419" ht="12.75" customHeight="1" x14ac:dyDescent="0.2"/>
    <row r="7420" ht="12.75" customHeight="1" x14ac:dyDescent="0.2"/>
    <row r="7421" ht="12.75" customHeight="1" x14ac:dyDescent="0.2"/>
    <row r="7422" ht="12.75" customHeight="1" x14ac:dyDescent="0.2"/>
    <row r="7423" ht="12.75" customHeight="1" x14ac:dyDescent="0.2"/>
    <row r="7424" ht="12.75" customHeight="1" x14ac:dyDescent="0.2"/>
    <row r="7425" ht="12.75" customHeight="1" x14ac:dyDescent="0.2"/>
    <row r="7426" ht="12.75" customHeight="1" x14ac:dyDescent="0.2"/>
    <row r="7427" ht="12.75" customHeight="1" x14ac:dyDescent="0.2"/>
    <row r="7428" ht="12.75" customHeight="1" x14ac:dyDescent="0.2"/>
    <row r="7429" ht="12.75" customHeight="1" x14ac:dyDescent="0.2"/>
    <row r="7430" ht="12.75" customHeight="1" x14ac:dyDescent="0.2"/>
    <row r="7431" ht="12.75" customHeight="1" x14ac:dyDescent="0.2"/>
    <row r="7432" ht="12.75" customHeight="1" x14ac:dyDescent="0.2"/>
    <row r="7433" ht="12.75" customHeight="1" x14ac:dyDescent="0.2"/>
    <row r="7434" ht="12.75" customHeight="1" x14ac:dyDescent="0.2"/>
    <row r="7435" ht="12.75" customHeight="1" x14ac:dyDescent="0.2"/>
    <row r="7436" ht="12.75" customHeight="1" x14ac:dyDescent="0.2"/>
    <row r="7437" ht="12.75" customHeight="1" x14ac:dyDescent="0.2"/>
    <row r="7438" ht="12.75" customHeight="1" x14ac:dyDescent="0.2"/>
    <row r="7439" ht="12.75" customHeight="1" x14ac:dyDescent="0.2"/>
    <row r="7440" ht="12.75" customHeight="1" x14ac:dyDescent="0.2"/>
    <row r="7441" ht="12.75" customHeight="1" x14ac:dyDescent="0.2"/>
    <row r="7442" ht="12.75" customHeight="1" x14ac:dyDescent="0.2"/>
    <row r="7443" ht="12.75" customHeight="1" x14ac:dyDescent="0.2"/>
    <row r="7444" ht="12.75" customHeight="1" x14ac:dyDescent="0.2"/>
    <row r="7445" ht="12.75" customHeight="1" x14ac:dyDescent="0.2"/>
    <row r="7446" ht="12.75" customHeight="1" x14ac:dyDescent="0.2"/>
    <row r="7447" ht="12.75" customHeight="1" x14ac:dyDescent="0.2"/>
    <row r="7448" ht="12.75" customHeight="1" x14ac:dyDescent="0.2"/>
    <row r="7449" ht="12.75" customHeight="1" x14ac:dyDescent="0.2"/>
    <row r="7450" ht="12.75" customHeight="1" x14ac:dyDescent="0.2"/>
    <row r="7451" ht="12.75" customHeight="1" x14ac:dyDescent="0.2"/>
    <row r="7452" ht="12.75" customHeight="1" x14ac:dyDescent="0.2"/>
    <row r="7453" ht="12.75" customHeight="1" x14ac:dyDescent="0.2"/>
    <row r="7454" ht="12.75" customHeight="1" x14ac:dyDescent="0.2"/>
    <row r="7455" ht="12.75" customHeight="1" x14ac:dyDescent="0.2"/>
    <row r="7456" ht="12.75" customHeight="1" x14ac:dyDescent="0.2"/>
    <row r="7457" ht="12.75" customHeight="1" x14ac:dyDescent="0.2"/>
    <row r="7458" ht="12.75" customHeight="1" x14ac:dyDescent="0.2"/>
    <row r="7459" ht="12.75" customHeight="1" x14ac:dyDescent="0.2"/>
    <row r="7460" ht="12.75" customHeight="1" x14ac:dyDescent="0.2"/>
    <row r="7461" ht="12.75" customHeight="1" x14ac:dyDescent="0.2"/>
    <row r="7462" ht="12.75" customHeight="1" x14ac:dyDescent="0.2"/>
    <row r="7463" ht="12.75" customHeight="1" x14ac:dyDescent="0.2"/>
    <row r="7464" ht="12.75" customHeight="1" x14ac:dyDescent="0.2"/>
    <row r="7465" ht="12.75" customHeight="1" x14ac:dyDescent="0.2"/>
    <row r="7466" ht="12.75" customHeight="1" x14ac:dyDescent="0.2"/>
    <row r="7467" ht="12.75" customHeight="1" x14ac:dyDescent="0.2"/>
    <row r="7468" ht="12.75" customHeight="1" x14ac:dyDescent="0.2"/>
    <row r="7469" ht="12.75" customHeight="1" x14ac:dyDescent="0.2"/>
    <row r="7470" ht="12.75" customHeight="1" x14ac:dyDescent="0.2"/>
    <row r="7471" ht="12.75" customHeight="1" x14ac:dyDescent="0.2"/>
    <row r="7472" ht="12.75" customHeight="1" x14ac:dyDescent="0.2"/>
    <row r="7473" ht="12.75" customHeight="1" x14ac:dyDescent="0.2"/>
    <row r="7474" ht="12.75" customHeight="1" x14ac:dyDescent="0.2"/>
    <row r="7475" ht="12.75" customHeight="1" x14ac:dyDescent="0.2"/>
    <row r="7476" ht="12.75" customHeight="1" x14ac:dyDescent="0.2"/>
    <row r="7477" ht="12.75" customHeight="1" x14ac:dyDescent="0.2"/>
    <row r="7478" ht="12.75" customHeight="1" x14ac:dyDescent="0.2"/>
    <row r="7479" ht="12.75" customHeight="1" x14ac:dyDescent="0.2"/>
    <row r="7480" ht="12.75" customHeight="1" x14ac:dyDescent="0.2"/>
    <row r="7481" ht="12.75" customHeight="1" x14ac:dyDescent="0.2"/>
    <row r="7482" ht="12.75" customHeight="1" x14ac:dyDescent="0.2"/>
    <row r="7483" ht="12.75" customHeight="1" x14ac:dyDescent="0.2"/>
    <row r="7484" ht="12.75" customHeight="1" x14ac:dyDescent="0.2"/>
    <row r="7485" ht="12.75" customHeight="1" x14ac:dyDescent="0.2"/>
    <row r="7486" ht="12.75" customHeight="1" x14ac:dyDescent="0.2"/>
    <row r="7487" ht="12.75" customHeight="1" x14ac:dyDescent="0.2"/>
    <row r="7488" ht="12.75" customHeight="1" x14ac:dyDescent="0.2"/>
    <row r="7489" ht="12.75" customHeight="1" x14ac:dyDescent="0.2"/>
    <row r="7490" ht="12.75" customHeight="1" x14ac:dyDescent="0.2"/>
    <row r="7491" ht="12.75" customHeight="1" x14ac:dyDescent="0.2"/>
    <row r="7492" ht="12.75" customHeight="1" x14ac:dyDescent="0.2"/>
    <row r="7493" ht="12.75" customHeight="1" x14ac:dyDescent="0.2"/>
    <row r="7494" ht="12.75" customHeight="1" x14ac:dyDescent="0.2"/>
    <row r="7495" ht="12.75" customHeight="1" x14ac:dyDescent="0.2"/>
    <row r="7496" ht="12.75" customHeight="1" x14ac:dyDescent="0.2"/>
    <row r="7497" ht="12.75" customHeight="1" x14ac:dyDescent="0.2"/>
    <row r="7498" ht="12.75" customHeight="1" x14ac:dyDescent="0.2"/>
    <row r="7499" ht="12.75" customHeight="1" x14ac:dyDescent="0.2"/>
    <row r="7500" ht="12.75" customHeight="1" x14ac:dyDescent="0.2"/>
    <row r="7501" ht="12.75" customHeight="1" x14ac:dyDescent="0.2"/>
    <row r="7502" ht="12.75" customHeight="1" x14ac:dyDescent="0.2"/>
    <row r="7503" ht="12.75" customHeight="1" x14ac:dyDescent="0.2"/>
    <row r="7504" ht="12.75" customHeight="1" x14ac:dyDescent="0.2"/>
    <row r="7505" ht="12.75" customHeight="1" x14ac:dyDescent="0.2"/>
    <row r="7506" ht="12.75" customHeight="1" x14ac:dyDescent="0.2"/>
    <row r="7507" ht="12.75" customHeight="1" x14ac:dyDescent="0.2"/>
    <row r="7508" ht="12.75" customHeight="1" x14ac:dyDescent="0.2"/>
    <row r="7509" ht="12.75" customHeight="1" x14ac:dyDescent="0.2"/>
    <row r="7510" ht="12.75" customHeight="1" x14ac:dyDescent="0.2"/>
    <row r="7511" ht="12.75" customHeight="1" x14ac:dyDescent="0.2"/>
    <row r="7512" ht="12.75" customHeight="1" x14ac:dyDescent="0.2"/>
    <row r="7513" ht="12.75" customHeight="1" x14ac:dyDescent="0.2"/>
    <row r="7514" ht="12.75" customHeight="1" x14ac:dyDescent="0.2"/>
    <row r="7515" ht="12.75" customHeight="1" x14ac:dyDescent="0.2"/>
    <row r="7516" ht="12.75" customHeight="1" x14ac:dyDescent="0.2"/>
    <row r="7517" ht="12.75" customHeight="1" x14ac:dyDescent="0.2"/>
    <row r="7518" ht="12.75" customHeight="1" x14ac:dyDescent="0.2"/>
    <row r="7519" ht="12.75" customHeight="1" x14ac:dyDescent="0.2"/>
    <row r="7520" ht="12.75" customHeight="1" x14ac:dyDescent="0.2"/>
    <row r="7521" ht="12.75" customHeight="1" x14ac:dyDescent="0.2"/>
    <row r="7522" ht="12.75" customHeight="1" x14ac:dyDescent="0.2"/>
    <row r="7523" ht="12.75" customHeight="1" x14ac:dyDescent="0.2"/>
    <row r="7524" ht="12.75" customHeight="1" x14ac:dyDescent="0.2"/>
    <row r="7525" ht="12.75" customHeight="1" x14ac:dyDescent="0.2"/>
    <row r="7526" ht="12.75" customHeight="1" x14ac:dyDescent="0.2"/>
    <row r="7527" ht="12.75" customHeight="1" x14ac:dyDescent="0.2"/>
    <row r="7528" ht="12.75" customHeight="1" x14ac:dyDescent="0.2"/>
    <row r="7529" ht="12.75" customHeight="1" x14ac:dyDescent="0.2"/>
    <row r="7530" ht="12.75" customHeight="1" x14ac:dyDescent="0.2"/>
    <row r="7531" ht="12.75" customHeight="1" x14ac:dyDescent="0.2"/>
    <row r="7532" ht="12.75" customHeight="1" x14ac:dyDescent="0.2"/>
    <row r="7533" ht="12.75" customHeight="1" x14ac:dyDescent="0.2"/>
    <row r="7534" ht="12.75" customHeight="1" x14ac:dyDescent="0.2"/>
    <row r="7535" ht="12.75" customHeight="1" x14ac:dyDescent="0.2"/>
    <row r="7536" ht="12.75" customHeight="1" x14ac:dyDescent="0.2"/>
    <row r="7537" ht="12.75" customHeight="1" x14ac:dyDescent="0.2"/>
    <row r="7538" ht="12.75" customHeight="1" x14ac:dyDescent="0.2"/>
    <row r="7539" ht="12.75" customHeight="1" x14ac:dyDescent="0.2"/>
    <row r="7540" ht="12.75" customHeight="1" x14ac:dyDescent="0.2"/>
    <row r="7541" ht="12.75" customHeight="1" x14ac:dyDescent="0.2"/>
    <row r="7542" ht="12.75" customHeight="1" x14ac:dyDescent="0.2"/>
    <row r="7543" ht="12.75" customHeight="1" x14ac:dyDescent="0.2"/>
    <row r="7544" ht="12.75" customHeight="1" x14ac:dyDescent="0.2"/>
    <row r="7545" ht="12.75" customHeight="1" x14ac:dyDescent="0.2"/>
    <row r="7546" ht="12.75" customHeight="1" x14ac:dyDescent="0.2"/>
    <row r="7547" ht="12.75" customHeight="1" x14ac:dyDescent="0.2"/>
    <row r="7548" ht="12.75" customHeight="1" x14ac:dyDescent="0.2"/>
    <row r="7549" ht="12.75" customHeight="1" x14ac:dyDescent="0.2"/>
    <row r="7550" ht="12.75" customHeight="1" x14ac:dyDescent="0.2"/>
    <row r="7551" ht="12.75" customHeight="1" x14ac:dyDescent="0.2"/>
    <row r="7552" ht="12.75" customHeight="1" x14ac:dyDescent="0.2"/>
    <row r="7553" ht="12.75" customHeight="1" x14ac:dyDescent="0.2"/>
    <row r="7554" ht="12.75" customHeight="1" x14ac:dyDescent="0.2"/>
    <row r="7555" ht="12.75" customHeight="1" x14ac:dyDescent="0.2"/>
    <row r="7556" ht="12.75" customHeight="1" x14ac:dyDescent="0.2"/>
    <row r="7557" ht="12.75" customHeight="1" x14ac:dyDescent="0.2"/>
    <row r="7558" ht="12.75" customHeight="1" x14ac:dyDescent="0.2"/>
    <row r="7559" ht="12.75" customHeight="1" x14ac:dyDescent="0.2"/>
    <row r="7560" ht="12.75" customHeight="1" x14ac:dyDescent="0.2"/>
    <row r="7561" ht="12.75" customHeight="1" x14ac:dyDescent="0.2"/>
    <row r="7562" ht="12.75" customHeight="1" x14ac:dyDescent="0.2"/>
    <row r="7563" ht="12.75" customHeight="1" x14ac:dyDescent="0.2"/>
    <row r="7564" ht="12.75" customHeight="1" x14ac:dyDescent="0.2"/>
    <row r="7565" ht="12.75" customHeight="1" x14ac:dyDescent="0.2"/>
    <row r="7566" ht="12.75" customHeight="1" x14ac:dyDescent="0.2"/>
    <row r="7567" ht="12.75" customHeight="1" x14ac:dyDescent="0.2"/>
    <row r="7568" ht="12.75" customHeight="1" x14ac:dyDescent="0.2"/>
    <row r="7569" ht="12.75" customHeight="1" x14ac:dyDescent="0.2"/>
    <row r="7570" ht="12.75" customHeight="1" x14ac:dyDescent="0.2"/>
    <row r="7571" ht="12.75" customHeight="1" x14ac:dyDescent="0.2"/>
    <row r="7572" ht="12.75" customHeight="1" x14ac:dyDescent="0.2"/>
    <row r="7573" ht="12.75" customHeight="1" x14ac:dyDescent="0.2"/>
    <row r="7574" ht="12.75" customHeight="1" x14ac:dyDescent="0.2"/>
    <row r="7575" ht="12.75" customHeight="1" x14ac:dyDescent="0.2"/>
    <row r="7576" ht="12.75" customHeight="1" x14ac:dyDescent="0.2"/>
    <row r="7577" ht="12.75" customHeight="1" x14ac:dyDescent="0.2"/>
    <row r="7578" ht="12.75" customHeight="1" x14ac:dyDescent="0.2"/>
    <row r="7579" ht="12.75" customHeight="1" x14ac:dyDescent="0.2"/>
    <row r="7580" ht="12.75" customHeight="1" x14ac:dyDescent="0.2"/>
    <row r="7581" ht="12.75" customHeight="1" x14ac:dyDescent="0.2"/>
    <row r="7582" ht="12.75" customHeight="1" x14ac:dyDescent="0.2"/>
    <row r="7583" ht="12.75" customHeight="1" x14ac:dyDescent="0.2"/>
    <row r="7584" ht="12.75" customHeight="1" x14ac:dyDescent="0.2"/>
    <row r="7585" ht="12.75" customHeight="1" x14ac:dyDescent="0.2"/>
    <row r="7586" ht="12.75" customHeight="1" x14ac:dyDescent="0.2"/>
    <row r="7587" ht="12.75" customHeight="1" x14ac:dyDescent="0.2"/>
    <row r="7588" ht="12.75" customHeight="1" x14ac:dyDescent="0.2"/>
    <row r="7589" ht="12.75" customHeight="1" x14ac:dyDescent="0.2"/>
    <row r="7590" ht="12.75" customHeight="1" x14ac:dyDescent="0.2"/>
    <row r="7591" ht="12.75" customHeight="1" x14ac:dyDescent="0.2"/>
    <row r="7592" ht="12.75" customHeight="1" x14ac:dyDescent="0.2"/>
    <row r="7593" ht="12.75" customHeight="1" x14ac:dyDescent="0.2"/>
    <row r="7594" ht="12.75" customHeight="1" x14ac:dyDescent="0.2"/>
    <row r="7595" ht="12.75" customHeight="1" x14ac:dyDescent="0.2"/>
    <row r="7596" ht="12.75" customHeight="1" x14ac:dyDescent="0.2"/>
    <row r="7597" ht="12.75" customHeight="1" x14ac:dyDescent="0.2"/>
    <row r="7598" ht="12.75" customHeight="1" x14ac:dyDescent="0.2"/>
    <row r="7599" ht="12.75" customHeight="1" x14ac:dyDescent="0.2"/>
    <row r="7600" ht="12.75" customHeight="1" x14ac:dyDescent="0.2"/>
    <row r="7601" ht="12.75" customHeight="1" x14ac:dyDescent="0.2"/>
    <row r="7602" ht="12.75" customHeight="1" x14ac:dyDescent="0.2"/>
    <row r="7603" ht="12.75" customHeight="1" x14ac:dyDescent="0.2"/>
    <row r="7604" ht="12.75" customHeight="1" x14ac:dyDescent="0.2"/>
    <row r="7605" ht="12.75" customHeight="1" x14ac:dyDescent="0.2"/>
    <row r="7606" ht="12.75" customHeight="1" x14ac:dyDescent="0.2"/>
    <row r="7607" ht="12.75" customHeight="1" x14ac:dyDescent="0.2"/>
    <row r="7608" ht="12.75" customHeight="1" x14ac:dyDescent="0.2"/>
    <row r="7609" ht="12.75" customHeight="1" x14ac:dyDescent="0.2"/>
    <row r="7610" ht="12.75" customHeight="1" x14ac:dyDescent="0.2"/>
    <row r="7611" ht="12.75" customHeight="1" x14ac:dyDescent="0.2"/>
    <row r="7612" ht="12.75" customHeight="1" x14ac:dyDescent="0.2"/>
    <row r="7613" ht="12.75" customHeight="1" x14ac:dyDescent="0.2"/>
    <row r="7614" ht="12.75" customHeight="1" x14ac:dyDescent="0.2"/>
    <row r="7615" ht="12.75" customHeight="1" x14ac:dyDescent="0.2"/>
    <row r="7616" ht="12.75" customHeight="1" x14ac:dyDescent="0.2"/>
    <row r="7617" ht="12.75" customHeight="1" x14ac:dyDescent="0.2"/>
    <row r="7618" ht="12.75" customHeight="1" x14ac:dyDescent="0.2"/>
    <row r="7619" ht="12.75" customHeight="1" x14ac:dyDescent="0.2"/>
    <row r="7620" ht="12.75" customHeight="1" x14ac:dyDescent="0.2"/>
    <row r="7621" ht="12.75" customHeight="1" x14ac:dyDescent="0.2"/>
    <row r="7622" ht="12.75" customHeight="1" x14ac:dyDescent="0.2"/>
    <row r="7623" ht="12.75" customHeight="1" x14ac:dyDescent="0.2"/>
    <row r="7624" ht="12.75" customHeight="1" x14ac:dyDescent="0.2"/>
    <row r="7625" ht="12.75" customHeight="1" x14ac:dyDescent="0.2"/>
    <row r="7626" ht="12.75" customHeight="1" x14ac:dyDescent="0.2"/>
    <row r="7627" ht="12.75" customHeight="1" x14ac:dyDescent="0.2"/>
    <row r="7628" ht="12.75" customHeight="1" x14ac:dyDescent="0.2"/>
    <row r="7629" ht="12.75" customHeight="1" x14ac:dyDescent="0.2"/>
    <row r="7630" ht="12.75" customHeight="1" x14ac:dyDescent="0.2"/>
    <row r="7631" ht="12.75" customHeight="1" x14ac:dyDescent="0.2"/>
    <row r="7632" ht="12.75" customHeight="1" x14ac:dyDescent="0.2"/>
    <row r="7633" ht="12.75" customHeight="1" x14ac:dyDescent="0.2"/>
    <row r="7634" ht="12.75" customHeight="1" x14ac:dyDescent="0.2"/>
    <row r="7635" ht="12.75" customHeight="1" x14ac:dyDescent="0.2"/>
    <row r="7636" ht="12.75" customHeight="1" x14ac:dyDescent="0.2"/>
    <row r="7637" ht="12.75" customHeight="1" x14ac:dyDescent="0.2"/>
    <row r="7638" ht="12.75" customHeight="1" x14ac:dyDescent="0.2"/>
    <row r="7639" ht="12.75" customHeight="1" x14ac:dyDescent="0.2"/>
    <row r="7640" ht="12.75" customHeight="1" x14ac:dyDescent="0.2"/>
    <row r="7641" ht="12.75" customHeight="1" x14ac:dyDescent="0.2"/>
    <row r="7642" ht="12.75" customHeight="1" x14ac:dyDescent="0.2"/>
    <row r="7643" ht="12.75" customHeight="1" x14ac:dyDescent="0.2"/>
    <row r="7644" ht="12.75" customHeight="1" x14ac:dyDescent="0.2"/>
    <row r="7645" ht="12.75" customHeight="1" x14ac:dyDescent="0.2"/>
    <row r="7646" ht="12.75" customHeight="1" x14ac:dyDescent="0.2"/>
    <row r="7647" ht="12.75" customHeight="1" x14ac:dyDescent="0.2"/>
    <row r="7648" ht="12.75" customHeight="1" x14ac:dyDescent="0.2"/>
    <row r="7649" ht="12.75" customHeight="1" x14ac:dyDescent="0.2"/>
    <row r="7650" ht="12.75" customHeight="1" x14ac:dyDescent="0.2"/>
    <row r="7651" ht="12.75" customHeight="1" x14ac:dyDescent="0.2"/>
    <row r="7652" ht="12.75" customHeight="1" x14ac:dyDescent="0.2"/>
    <row r="7653" ht="12.75" customHeight="1" x14ac:dyDescent="0.2"/>
    <row r="7654" ht="12.75" customHeight="1" x14ac:dyDescent="0.2"/>
    <row r="7655" ht="12.75" customHeight="1" x14ac:dyDescent="0.2"/>
    <row r="7656" ht="12.75" customHeight="1" x14ac:dyDescent="0.2"/>
    <row r="7657" ht="12.75" customHeight="1" x14ac:dyDescent="0.2"/>
    <row r="7658" ht="12.75" customHeight="1" x14ac:dyDescent="0.2"/>
    <row r="7659" ht="12.75" customHeight="1" x14ac:dyDescent="0.2"/>
    <row r="7660" ht="12.75" customHeight="1" x14ac:dyDescent="0.2"/>
    <row r="7661" ht="12.75" customHeight="1" x14ac:dyDescent="0.2"/>
    <row r="7662" ht="12.75" customHeight="1" x14ac:dyDescent="0.2"/>
    <row r="7663" ht="12.75" customHeight="1" x14ac:dyDescent="0.2"/>
    <row r="7664" ht="12.75" customHeight="1" x14ac:dyDescent="0.2"/>
    <row r="7665" ht="12.75" customHeight="1" x14ac:dyDescent="0.2"/>
    <row r="7666" ht="12.75" customHeight="1" x14ac:dyDescent="0.2"/>
    <row r="7667" ht="12.75" customHeight="1" x14ac:dyDescent="0.2"/>
    <row r="7668" ht="12.75" customHeight="1" x14ac:dyDescent="0.2"/>
    <row r="7669" ht="12.75" customHeight="1" x14ac:dyDescent="0.2"/>
    <row r="7670" ht="12.75" customHeight="1" x14ac:dyDescent="0.2"/>
    <row r="7671" ht="12.75" customHeight="1" x14ac:dyDescent="0.2"/>
    <row r="7672" ht="12.75" customHeight="1" x14ac:dyDescent="0.2"/>
    <row r="7673" ht="12.75" customHeight="1" x14ac:dyDescent="0.2"/>
    <row r="7674" ht="12.75" customHeight="1" x14ac:dyDescent="0.2"/>
    <row r="7675" ht="12.75" customHeight="1" x14ac:dyDescent="0.2"/>
    <row r="7676" ht="12.75" customHeight="1" x14ac:dyDescent="0.2"/>
    <row r="7677" ht="12.75" customHeight="1" x14ac:dyDescent="0.2"/>
    <row r="7678" ht="12.75" customHeight="1" x14ac:dyDescent="0.2"/>
    <row r="7679" ht="12.75" customHeight="1" x14ac:dyDescent="0.2"/>
    <row r="7680" ht="12.75" customHeight="1" x14ac:dyDescent="0.2"/>
    <row r="7681" ht="12.75" customHeight="1" x14ac:dyDescent="0.2"/>
    <row r="7682" ht="12.75" customHeight="1" x14ac:dyDescent="0.2"/>
    <row r="7683" ht="12.75" customHeight="1" x14ac:dyDescent="0.2"/>
    <row r="7684" ht="12.75" customHeight="1" x14ac:dyDescent="0.2"/>
    <row r="7685" ht="12.75" customHeight="1" x14ac:dyDescent="0.2"/>
    <row r="7686" ht="12.75" customHeight="1" x14ac:dyDescent="0.2"/>
    <row r="7687" ht="12.75" customHeight="1" x14ac:dyDescent="0.2"/>
    <row r="7688" ht="12.75" customHeight="1" x14ac:dyDescent="0.2"/>
    <row r="7689" ht="12.75" customHeight="1" x14ac:dyDescent="0.2"/>
    <row r="7690" ht="12.75" customHeight="1" x14ac:dyDescent="0.2"/>
    <row r="7691" ht="12.75" customHeight="1" x14ac:dyDescent="0.2"/>
    <row r="7692" ht="12.75" customHeight="1" x14ac:dyDescent="0.2"/>
    <row r="7693" ht="12.75" customHeight="1" x14ac:dyDescent="0.2"/>
    <row r="7694" ht="12.75" customHeight="1" x14ac:dyDescent="0.2"/>
    <row r="7695" ht="12.75" customHeight="1" x14ac:dyDescent="0.2"/>
    <row r="7696" ht="12.75" customHeight="1" x14ac:dyDescent="0.2"/>
    <row r="7697" ht="12.75" customHeight="1" x14ac:dyDescent="0.2"/>
    <row r="7698" ht="12.75" customHeight="1" x14ac:dyDescent="0.2"/>
    <row r="7699" ht="12.75" customHeight="1" x14ac:dyDescent="0.2"/>
    <row r="7700" ht="12.75" customHeight="1" x14ac:dyDescent="0.2"/>
    <row r="7701" ht="12.75" customHeight="1" x14ac:dyDescent="0.2"/>
    <row r="7702" ht="12.75" customHeight="1" x14ac:dyDescent="0.2"/>
    <row r="7703" ht="12.75" customHeight="1" x14ac:dyDescent="0.2"/>
    <row r="7704" ht="12.75" customHeight="1" x14ac:dyDescent="0.2"/>
    <row r="7705" ht="12.75" customHeight="1" x14ac:dyDescent="0.2"/>
    <row r="7706" ht="12.75" customHeight="1" x14ac:dyDescent="0.2"/>
    <row r="7707" ht="12.75" customHeight="1" x14ac:dyDescent="0.2"/>
    <row r="7708" ht="12.75" customHeight="1" x14ac:dyDescent="0.2"/>
    <row r="7709" ht="12.75" customHeight="1" x14ac:dyDescent="0.2"/>
    <row r="7710" ht="12.75" customHeight="1" x14ac:dyDescent="0.2"/>
    <row r="7711" ht="12.75" customHeight="1" x14ac:dyDescent="0.2"/>
    <row r="7712" ht="12.75" customHeight="1" x14ac:dyDescent="0.2"/>
    <row r="7713" ht="12.75" customHeight="1" x14ac:dyDescent="0.2"/>
    <row r="7714" ht="12.75" customHeight="1" x14ac:dyDescent="0.2"/>
    <row r="7715" ht="12.75" customHeight="1" x14ac:dyDescent="0.2"/>
    <row r="7716" ht="12.75" customHeight="1" x14ac:dyDescent="0.2"/>
    <row r="7717" ht="12.75" customHeight="1" x14ac:dyDescent="0.2"/>
    <row r="7718" ht="12.75" customHeight="1" x14ac:dyDescent="0.2"/>
    <row r="7719" ht="12.75" customHeight="1" x14ac:dyDescent="0.2"/>
    <row r="7720" ht="12.75" customHeight="1" x14ac:dyDescent="0.2"/>
    <row r="7721" ht="12.75" customHeight="1" x14ac:dyDescent="0.2"/>
    <row r="7722" ht="12.75" customHeight="1" x14ac:dyDescent="0.2"/>
    <row r="7723" ht="12.75" customHeight="1" x14ac:dyDescent="0.2"/>
    <row r="7724" ht="12.75" customHeight="1" x14ac:dyDescent="0.2"/>
    <row r="7725" ht="12.75" customHeight="1" x14ac:dyDescent="0.2"/>
    <row r="7726" ht="12.75" customHeight="1" x14ac:dyDescent="0.2"/>
    <row r="7727" ht="12.75" customHeight="1" x14ac:dyDescent="0.2"/>
    <row r="7728" ht="12.75" customHeight="1" x14ac:dyDescent="0.2"/>
    <row r="7729" ht="12.75" customHeight="1" x14ac:dyDescent="0.2"/>
    <row r="7730" ht="12.75" customHeight="1" x14ac:dyDescent="0.2"/>
    <row r="7731" ht="12.75" customHeight="1" x14ac:dyDescent="0.2"/>
    <row r="7732" ht="12.75" customHeight="1" x14ac:dyDescent="0.2"/>
    <row r="7733" ht="12.75" customHeight="1" x14ac:dyDescent="0.2"/>
    <row r="7734" ht="12.75" customHeight="1" x14ac:dyDescent="0.2"/>
    <row r="7735" ht="12.75" customHeight="1" x14ac:dyDescent="0.2"/>
    <row r="7736" ht="12.75" customHeight="1" x14ac:dyDescent="0.2"/>
    <row r="7737" ht="12.75" customHeight="1" x14ac:dyDescent="0.2"/>
    <row r="7738" ht="12.75" customHeight="1" x14ac:dyDescent="0.2"/>
    <row r="7739" ht="12.75" customHeight="1" x14ac:dyDescent="0.2"/>
    <row r="7740" ht="12.75" customHeight="1" x14ac:dyDescent="0.2"/>
    <row r="7741" ht="12.75" customHeight="1" x14ac:dyDescent="0.2"/>
    <row r="7742" ht="12.75" customHeight="1" x14ac:dyDescent="0.2"/>
    <row r="7743" ht="12.75" customHeight="1" x14ac:dyDescent="0.2"/>
    <row r="7744" ht="12.75" customHeight="1" x14ac:dyDescent="0.2"/>
    <row r="7745" ht="12.75" customHeight="1" x14ac:dyDescent="0.2"/>
    <row r="7746" ht="12.75" customHeight="1" x14ac:dyDescent="0.2"/>
    <row r="7747" ht="12.75" customHeight="1" x14ac:dyDescent="0.2"/>
    <row r="7748" ht="12.75" customHeight="1" x14ac:dyDescent="0.2"/>
    <row r="7749" ht="12.75" customHeight="1" x14ac:dyDescent="0.2"/>
    <row r="7750" ht="12.75" customHeight="1" x14ac:dyDescent="0.2"/>
    <row r="7751" ht="12.75" customHeight="1" x14ac:dyDescent="0.2"/>
    <row r="7752" ht="12.75" customHeight="1" x14ac:dyDescent="0.2"/>
    <row r="7753" ht="12.75" customHeight="1" x14ac:dyDescent="0.2"/>
    <row r="7754" ht="12.75" customHeight="1" x14ac:dyDescent="0.2"/>
    <row r="7755" ht="12.75" customHeight="1" x14ac:dyDescent="0.2"/>
    <row r="7756" ht="12.75" customHeight="1" x14ac:dyDescent="0.2"/>
    <row r="7757" ht="12.75" customHeight="1" x14ac:dyDescent="0.2"/>
    <row r="7758" ht="12.75" customHeight="1" x14ac:dyDescent="0.2"/>
    <row r="7759" ht="12.75" customHeight="1" x14ac:dyDescent="0.2"/>
    <row r="7760" ht="12.75" customHeight="1" x14ac:dyDescent="0.2"/>
    <row r="7761" ht="12.75" customHeight="1" x14ac:dyDescent="0.2"/>
    <row r="7762" ht="12.75" customHeight="1" x14ac:dyDescent="0.2"/>
    <row r="7763" ht="12.75" customHeight="1" x14ac:dyDescent="0.2"/>
    <row r="7764" ht="12.75" customHeight="1" x14ac:dyDescent="0.2"/>
    <row r="7765" ht="12.75" customHeight="1" x14ac:dyDescent="0.2"/>
    <row r="7766" ht="12.75" customHeight="1" x14ac:dyDescent="0.2"/>
    <row r="7767" ht="12.75" customHeight="1" x14ac:dyDescent="0.2"/>
    <row r="7768" ht="12.75" customHeight="1" x14ac:dyDescent="0.2"/>
    <row r="7769" ht="12.75" customHeight="1" x14ac:dyDescent="0.2"/>
    <row r="7770" ht="12.75" customHeight="1" x14ac:dyDescent="0.2"/>
    <row r="7771" ht="12.75" customHeight="1" x14ac:dyDescent="0.2"/>
    <row r="7772" ht="12.75" customHeight="1" x14ac:dyDescent="0.2"/>
    <row r="7773" ht="12.75" customHeight="1" x14ac:dyDescent="0.2"/>
    <row r="7774" ht="12.75" customHeight="1" x14ac:dyDescent="0.2"/>
    <row r="7775" ht="12.75" customHeight="1" x14ac:dyDescent="0.2"/>
    <row r="7776" ht="12.75" customHeight="1" x14ac:dyDescent="0.2"/>
    <row r="7777" ht="12.75" customHeight="1" x14ac:dyDescent="0.2"/>
    <row r="7778" ht="12.75" customHeight="1" x14ac:dyDescent="0.2"/>
    <row r="7779" ht="12.75" customHeight="1" x14ac:dyDescent="0.2"/>
    <row r="7780" ht="12.75" customHeight="1" x14ac:dyDescent="0.2"/>
    <row r="7781" ht="12.75" customHeight="1" x14ac:dyDescent="0.2"/>
    <row r="7782" ht="12.75" customHeight="1" x14ac:dyDescent="0.2"/>
    <row r="7783" ht="12.75" customHeight="1" x14ac:dyDescent="0.2"/>
    <row r="7784" ht="12.75" customHeight="1" x14ac:dyDescent="0.2"/>
    <row r="7785" ht="12.75" customHeight="1" x14ac:dyDescent="0.2"/>
    <row r="7786" ht="12.75" customHeight="1" x14ac:dyDescent="0.2"/>
    <row r="7787" ht="12.75" customHeight="1" x14ac:dyDescent="0.2"/>
    <row r="7788" ht="12.75" customHeight="1" x14ac:dyDescent="0.2"/>
    <row r="7789" ht="12.75" customHeight="1" x14ac:dyDescent="0.2"/>
    <row r="7790" ht="12.75" customHeight="1" x14ac:dyDescent="0.2"/>
    <row r="7791" ht="12.75" customHeight="1" x14ac:dyDescent="0.2"/>
    <row r="7792" ht="12.75" customHeight="1" x14ac:dyDescent="0.2"/>
    <row r="7793" ht="12.75" customHeight="1" x14ac:dyDescent="0.2"/>
    <row r="7794" ht="12.75" customHeight="1" x14ac:dyDescent="0.2"/>
    <row r="7795" ht="12.75" customHeight="1" x14ac:dyDescent="0.2"/>
    <row r="7796" ht="12.75" customHeight="1" x14ac:dyDescent="0.2"/>
    <row r="7797" ht="12.75" customHeight="1" x14ac:dyDescent="0.2"/>
    <row r="7798" ht="12.75" customHeight="1" x14ac:dyDescent="0.2"/>
    <row r="7799" ht="12.75" customHeight="1" x14ac:dyDescent="0.2"/>
    <row r="7800" ht="12.75" customHeight="1" x14ac:dyDescent="0.2"/>
    <row r="7801" ht="12.75" customHeight="1" x14ac:dyDescent="0.2"/>
    <row r="7802" ht="12.75" customHeight="1" x14ac:dyDescent="0.2"/>
    <row r="7803" ht="12.75" customHeight="1" x14ac:dyDescent="0.2"/>
    <row r="7804" ht="12.75" customHeight="1" x14ac:dyDescent="0.2"/>
    <row r="7805" ht="12.75" customHeight="1" x14ac:dyDescent="0.2"/>
    <row r="7806" ht="12.75" customHeight="1" x14ac:dyDescent="0.2"/>
    <row r="7807" ht="12.75" customHeight="1" x14ac:dyDescent="0.2"/>
    <row r="7808" ht="12.75" customHeight="1" x14ac:dyDescent="0.2"/>
    <row r="7809" ht="12.75" customHeight="1" x14ac:dyDescent="0.2"/>
    <row r="7810" ht="12.75" customHeight="1" x14ac:dyDescent="0.2"/>
    <row r="7811" ht="12.75" customHeight="1" x14ac:dyDescent="0.2"/>
    <row r="7812" ht="12.75" customHeight="1" x14ac:dyDescent="0.2"/>
    <row r="7813" ht="12.75" customHeight="1" x14ac:dyDescent="0.2"/>
    <row r="7814" ht="12.75" customHeight="1" x14ac:dyDescent="0.2"/>
    <row r="7815" ht="12.75" customHeight="1" x14ac:dyDescent="0.2"/>
    <row r="7816" ht="12.75" customHeight="1" x14ac:dyDescent="0.2"/>
    <row r="7817" ht="12.75" customHeight="1" x14ac:dyDescent="0.2"/>
    <row r="7818" ht="12.75" customHeight="1" x14ac:dyDescent="0.2"/>
    <row r="7819" ht="12.75" customHeight="1" x14ac:dyDescent="0.2"/>
    <row r="7820" ht="12.75" customHeight="1" x14ac:dyDescent="0.2"/>
    <row r="7821" ht="12.75" customHeight="1" x14ac:dyDescent="0.2"/>
    <row r="7822" ht="12.75" customHeight="1" x14ac:dyDescent="0.2"/>
    <row r="7823" ht="12.75" customHeight="1" x14ac:dyDescent="0.2"/>
    <row r="7824" ht="12.75" customHeight="1" x14ac:dyDescent="0.2"/>
    <row r="7825" ht="12.75" customHeight="1" x14ac:dyDescent="0.2"/>
    <row r="7826" ht="12.75" customHeight="1" x14ac:dyDescent="0.2"/>
    <row r="7827" ht="12.75" customHeight="1" x14ac:dyDescent="0.2"/>
    <row r="7828" ht="12.75" customHeight="1" x14ac:dyDescent="0.2"/>
    <row r="7829" ht="12.75" customHeight="1" x14ac:dyDescent="0.2"/>
    <row r="7830" ht="12.75" customHeight="1" x14ac:dyDescent="0.2"/>
    <row r="7831" ht="12.75" customHeight="1" x14ac:dyDescent="0.2"/>
    <row r="7832" ht="12.75" customHeight="1" x14ac:dyDescent="0.2"/>
    <row r="7833" ht="12.75" customHeight="1" x14ac:dyDescent="0.2"/>
    <row r="7834" ht="12.75" customHeight="1" x14ac:dyDescent="0.2"/>
    <row r="7835" ht="12.75" customHeight="1" x14ac:dyDescent="0.2"/>
    <row r="7836" ht="12.75" customHeight="1" x14ac:dyDescent="0.2"/>
    <row r="7837" ht="12.75" customHeight="1" x14ac:dyDescent="0.2"/>
    <row r="7838" ht="12.75" customHeight="1" x14ac:dyDescent="0.2"/>
    <row r="7839" ht="12.75" customHeight="1" x14ac:dyDescent="0.2"/>
    <row r="7840" ht="12.75" customHeight="1" x14ac:dyDescent="0.2"/>
    <row r="7841" ht="12.75" customHeight="1" x14ac:dyDescent="0.2"/>
    <row r="7842" ht="12.75" customHeight="1" x14ac:dyDescent="0.2"/>
    <row r="7843" ht="12.75" customHeight="1" x14ac:dyDescent="0.2"/>
    <row r="7844" ht="12.75" customHeight="1" x14ac:dyDescent="0.2"/>
    <row r="7845" ht="12.75" customHeight="1" x14ac:dyDescent="0.2"/>
    <row r="7846" ht="12.75" customHeight="1" x14ac:dyDescent="0.2"/>
    <row r="7847" ht="12.75" customHeight="1" x14ac:dyDescent="0.2"/>
    <row r="7848" ht="12.75" customHeight="1" x14ac:dyDescent="0.2"/>
    <row r="7849" ht="12.75" customHeight="1" x14ac:dyDescent="0.2"/>
    <row r="7850" ht="12.75" customHeight="1" x14ac:dyDescent="0.2"/>
    <row r="7851" ht="12.75" customHeight="1" x14ac:dyDescent="0.2"/>
    <row r="7852" ht="12.75" customHeight="1" x14ac:dyDescent="0.2"/>
    <row r="7853" ht="12.75" customHeight="1" x14ac:dyDescent="0.2"/>
    <row r="7854" ht="12.75" customHeight="1" x14ac:dyDescent="0.2"/>
    <row r="7855" ht="12.75" customHeight="1" x14ac:dyDescent="0.2"/>
    <row r="7856" ht="12.75" customHeight="1" x14ac:dyDescent="0.2"/>
    <row r="7857" ht="12.75" customHeight="1" x14ac:dyDescent="0.2"/>
    <row r="7858" ht="12.75" customHeight="1" x14ac:dyDescent="0.2"/>
    <row r="7859" ht="12.75" customHeight="1" x14ac:dyDescent="0.2"/>
    <row r="7860" ht="12.75" customHeight="1" x14ac:dyDescent="0.2"/>
    <row r="7861" ht="12.75" customHeight="1" x14ac:dyDescent="0.2"/>
    <row r="7862" ht="12.75" customHeight="1" x14ac:dyDescent="0.2"/>
    <row r="7863" ht="12.75" customHeight="1" x14ac:dyDescent="0.2"/>
    <row r="7864" ht="12.75" customHeight="1" x14ac:dyDescent="0.2"/>
    <row r="7865" ht="12.75" customHeight="1" x14ac:dyDescent="0.2"/>
    <row r="7866" ht="12.75" customHeight="1" x14ac:dyDescent="0.2"/>
    <row r="7867" ht="12.75" customHeight="1" x14ac:dyDescent="0.2"/>
    <row r="7868" ht="12.75" customHeight="1" x14ac:dyDescent="0.2"/>
    <row r="7869" ht="12.75" customHeight="1" x14ac:dyDescent="0.2"/>
    <row r="7870" ht="12.75" customHeight="1" x14ac:dyDescent="0.2"/>
    <row r="7871" ht="12.75" customHeight="1" x14ac:dyDescent="0.2"/>
    <row r="7872" ht="12.75" customHeight="1" x14ac:dyDescent="0.2"/>
    <row r="7873" ht="12.75" customHeight="1" x14ac:dyDescent="0.2"/>
    <row r="7874" ht="12.75" customHeight="1" x14ac:dyDescent="0.2"/>
    <row r="7875" ht="12.75" customHeight="1" x14ac:dyDescent="0.2"/>
    <row r="7876" ht="12.75" customHeight="1" x14ac:dyDescent="0.2"/>
    <row r="7877" ht="12.75" customHeight="1" x14ac:dyDescent="0.2"/>
    <row r="7878" ht="12.75" customHeight="1" x14ac:dyDescent="0.2"/>
    <row r="7879" ht="12.75" customHeight="1" x14ac:dyDescent="0.2"/>
    <row r="7880" ht="12.75" customHeight="1" x14ac:dyDescent="0.2"/>
    <row r="7881" ht="12.75" customHeight="1" x14ac:dyDescent="0.2"/>
    <row r="7882" ht="12.75" customHeight="1" x14ac:dyDescent="0.2"/>
    <row r="7883" ht="12.75" customHeight="1" x14ac:dyDescent="0.2"/>
    <row r="7884" ht="12.75" customHeight="1" x14ac:dyDescent="0.2"/>
    <row r="7885" ht="12.75" customHeight="1" x14ac:dyDescent="0.2"/>
    <row r="7886" ht="12.75" customHeight="1" x14ac:dyDescent="0.2"/>
    <row r="7887" ht="12.75" customHeight="1" x14ac:dyDescent="0.2"/>
    <row r="7888" ht="12.75" customHeight="1" x14ac:dyDescent="0.2"/>
    <row r="7889" ht="12.75" customHeight="1" x14ac:dyDescent="0.2"/>
    <row r="7890" ht="12.75" customHeight="1" x14ac:dyDescent="0.2"/>
    <row r="7891" ht="12.75" customHeight="1" x14ac:dyDescent="0.2"/>
    <row r="7892" ht="12.75" customHeight="1" x14ac:dyDescent="0.2"/>
    <row r="7893" ht="12.75" customHeight="1" x14ac:dyDescent="0.2"/>
    <row r="7894" ht="12.75" customHeight="1" x14ac:dyDescent="0.2"/>
    <row r="7895" ht="12.75" customHeight="1" x14ac:dyDescent="0.2"/>
    <row r="7896" ht="12.75" customHeight="1" x14ac:dyDescent="0.2"/>
    <row r="7897" ht="12.75" customHeight="1" x14ac:dyDescent="0.2"/>
    <row r="7898" ht="12.75" customHeight="1" x14ac:dyDescent="0.2"/>
    <row r="7899" ht="12.75" customHeight="1" x14ac:dyDescent="0.2"/>
    <row r="7900" ht="12.75" customHeight="1" x14ac:dyDescent="0.2"/>
    <row r="7901" ht="12.75" customHeight="1" x14ac:dyDescent="0.2"/>
    <row r="7902" ht="12.75" customHeight="1" x14ac:dyDescent="0.2"/>
    <row r="7903" ht="12.75" customHeight="1" x14ac:dyDescent="0.2"/>
    <row r="7904" ht="12.75" customHeight="1" x14ac:dyDescent="0.2"/>
    <row r="7905" ht="12.75" customHeight="1" x14ac:dyDescent="0.2"/>
    <row r="7906" ht="12.75" customHeight="1" x14ac:dyDescent="0.2"/>
    <row r="7907" ht="12.75" customHeight="1" x14ac:dyDescent="0.2"/>
    <row r="7908" ht="12.75" customHeight="1" x14ac:dyDescent="0.2"/>
    <row r="7909" ht="12.75" customHeight="1" x14ac:dyDescent="0.2"/>
    <row r="7910" ht="12.75" customHeight="1" x14ac:dyDescent="0.2"/>
    <row r="7911" ht="12.75" customHeight="1" x14ac:dyDescent="0.2"/>
    <row r="7912" ht="12.75" customHeight="1" x14ac:dyDescent="0.2"/>
    <row r="7913" ht="12.75" customHeight="1" x14ac:dyDescent="0.2"/>
    <row r="7914" ht="12.75" customHeight="1" x14ac:dyDescent="0.2"/>
    <row r="7915" ht="12.75" customHeight="1" x14ac:dyDescent="0.2"/>
    <row r="7916" ht="12.75" customHeight="1" x14ac:dyDescent="0.2"/>
    <row r="7917" ht="12.75" customHeight="1" x14ac:dyDescent="0.2"/>
    <row r="7918" ht="12.75" customHeight="1" x14ac:dyDescent="0.2"/>
    <row r="7919" ht="12.75" customHeight="1" x14ac:dyDescent="0.2"/>
    <row r="7920" ht="12.75" customHeight="1" x14ac:dyDescent="0.2"/>
    <row r="7921" ht="12.75" customHeight="1" x14ac:dyDescent="0.2"/>
    <row r="7922" ht="12.75" customHeight="1" x14ac:dyDescent="0.2"/>
    <row r="7923" ht="12.75" customHeight="1" x14ac:dyDescent="0.2"/>
    <row r="7924" ht="12.75" customHeight="1" x14ac:dyDescent="0.2"/>
    <row r="7925" ht="12.75" customHeight="1" x14ac:dyDescent="0.2"/>
    <row r="7926" ht="12.75" customHeight="1" x14ac:dyDescent="0.2"/>
    <row r="7927" ht="12.75" customHeight="1" x14ac:dyDescent="0.2"/>
    <row r="7928" ht="12.75" customHeight="1" x14ac:dyDescent="0.2"/>
    <row r="7929" ht="12.75" customHeight="1" x14ac:dyDescent="0.2"/>
    <row r="7930" ht="12.75" customHeight="1" x14ac:dyDescent="0.2"/>
    <row r="7931" ht="12.75" customHeight="1" x14ac:dyDescent="0.2"/>
    <row r="7932" ht="12.75" customHeight="1" x14ac:dyDescent="0.2"/>
    <row r="7933" ht="12.75" customHeight="1" x14ac:dyDescent="0.2"/>
    <row r="7934" ht="12.75" customHeight="1" x14ac:dyDescent="0.2"/>
    <row r="7935" ht="12.75" customHeight="1" x14ac:dyDescent="0.2"/>
    <row r="7936" ht="12.75" customHeight="1" x14ac:dyDescent="0.2"/>
    <row r="7937" ht="12.75" customHeight="1" x14ac:dyDescent="0.2"/>
    <row r="7938" ht="12.75" customHeight="1" x14ac:dyDescent="0.2"/>
    <row r="7939" ht="12.75" customHeight="1" x14ac:dyDescent="0.2"/>
    <row r="7940" ht="12.75" customHeight="1" x14ac:dyDescent="0.2"/>
    <row r="7941" ht="12.75" customHeight="1" x14ac:dyDescent="0.2"/>
    <row r="7942" ht="12.75" customHeight="1" x14ac:dyDescent="0.2"/>
    <row r="7943" ht="12.75" customHeight="1" x14ac:dyDescent="0.2"/>
    <row r="7944" ht="12.75" customHeight="1" x14ac:dyDescent="0.2"/>
    <row r="7945" ht="12.75" customHeight="1" x14ac:dyDescent="0.2"/>
    <row r="7946" ht="12.75" customHeight="1" x14ac:dyDescent="0.2"/>
    <row r="7947" ht="12.75" customHeight="1" x14ac:dyDescent="0.2"/>
    <row r="7948" ht="12.75" customHeight="1" x14ac:dyDescent="0.2"/>
    <row r="7949" ht="12.75" customHeight="1" x14ac:dyDescent="0.2"/>
    <row r="7950" ht="12.75" customHeight="1" x14ac:dyDescent="0.2"/>
    <row r="7951" ht="12.75" customHeight="1" x14ac:dyDescent="0.2"/>
    <row r="7952" ht="12.75" customHeight="1" x14ac:dyDescent="0.2"/>
    <row r="7953" ht="12.75" customHeight="1" x14ac:dyDescent="0.2"/>
    <row r="7954" ht="12.75" customHeight="1" x14ac:dyDescent="0.2"/>
    <row r="7955" ht="12.75" customHeight="1" x14ac:dyDescent="0.2"/>
    <row r="7956" ht="12.75" customHeight="1" x14ac:dyDescent="0.2"/>
    <row r="7957" ht="12.75" customHeight="1" x14ac:dyDescent="0.2"/>
    <row r="7958" ht="12.75" customHeight="1" x14ac:dyDescent="0.2"/>
    <row r="7959" ht="12.75" customHeight="1" x14ac:dyDescent="0.2"/>
    <row r="7960" ht="12.75" customHeight="1" x14ac:dyDescent="0.2"/>
    <row r="7961" ht="12.75" customHeight="1" x14ac:dyDescent="0.2"/>
    <row r="7962" ht="12.75" customHeight="1" x14ac:dyDescent="0.2"/>
    <row r="7963" ht="12.75" customHeight="1" x14ac:dyDescent="0.2"/>
    <row r="7964" ht="12.75" customHeight="1" x14ac:dyDescent="0.2"/>
    <row r="7965" ht="12.75" customHeight="1" x14ac:dyDescent="0.2"/>
    <row r="7966" ht="12.75" customHeight="1" x14ac:dyDescent="0.2"/>
    <row r="7967" ht="12.75" customHeight="1" x14ac:dyDescent="0.2"/>
    <row r="7968" ht="12.75" customHeight="1" x14ac:dyDescent="0.2"/>
    <row r="7969" ht="12.75" customHeight="1" x14ac:dyDescent="0.2"/>
    <row r="7970" ht="12.75" customHeight="1" x14ac:dyDescent="0.2"/>
    <row r="7971" ht="12.75" customHeight="1" x14ac:dyDescent="0.2"/>
    <row r="7972" ht="12.75" customHeight="1" x14ac:dyDescent="0.2"/>
    <row r="7973" ht="12.75" customHeight="1" x14ac:dyDescent="0.2"/>
    <row r="7974" ht="12.75" customHeight="1" x14ac:dyDescent="0.2"/>
    <row r="7975" ht="12.75" customHeight="1" x14ac:dyDescent="0.2"/>
    <row r="7976" ht="12.75" customHeight="1" x14ac:dyDescent="0.2"/>
    <row r="7977" ht="12.75" customHeight="1" x14ac:dyDescent="0.2"/>
    <row r="7978" ht="12.75" customHeight="1" x14ac:dyDescent="0.2"/>
    <row r="7979" ht="12.75" customHeight="1" x14ac:dyDescent="0.2"/>
    <row r="7980" ht="12.75" customHeight="1" x14ac:dyDescent="0.2"/>
    <row r="7981" ht="12.75" customHeight="1" x14ac:dyDescent="0.2"/>
    <row r="7982" ht="12.75" customHeight="1" x14ac:dyDescent="0.2"/>
    <row r="7983" ht="12.75" customHeight="1" x14ac:dyDescent="0.2"/>
    <row r="7984" ht="12.75" customHeight="1" x14ac:dyDescent="0.2"/>
    <row r="7985" ht="12.75" customHeight="1" x14ac:dyDescent="0.2"/>
    <row r="7986" ht="12.75" customHeight="1" x14ac:dyDescent="0.2"/>
    <row r="7987" ht="12.75" customHeight="1" x14ac:dyDescent="0.2"/>
    <row r="7988" ht="12.75" customHeight="1" x14ac:dyDescent="0.2"/>
    <row r="7989" ht="12.75" customHeight="1" x14ac:dyDescent="0.2"/>
    <row r="7990" ht="12.75" customHeight="1" x14ac:dyDescent="0.2"/>
    <row r="7991" ht="12.75" customHeight="1" x14ac:dyDescent="0.2"/>
    <row r="7992" ht="12.75" customHeight="1" x14ac:dyDescent="0.2"/>
    <row r="7993" ht="12.75" customHeight="1" x14ac:dyDescent="0.2"/>
    <row r="7994" ht="12.75" customHeight="1" x14ac:dyDescent="0.2"/>
    <row r="7995" ht="12.75" customHeight="1" x14ac:dyDescent="0.2"/>
    <row r="7996" ht="12.75" customHeight="1" x14ac:dyDescent="0.2"/>
    <row r="7997" ht="12.75" customHeight="1" x14ac:dyDescent="0.2"/>
    <row r="7998" ht="12.75" customHeight="1" x14ac:dyDescent="0.2"/>
    <row r="7999" ht="12.75" customHeight="1" x14ac:dyDescent="0.2"/>
    <row r="8000" ht="12.75" customHeight="1" x14ac:dyDescent="0.2"/>
    <row r="8001" ht="12.75" customHeight="1" x14ac:dyDescent="0.2"/>
    <row r="8002" ht="12.75" customHeight="1" x14ac:dyDescent="0.2"/>
    <row r="8003" ht="12.75" customHeight="1" x14ac:dyDescent="0.2"/>
    <row r="8004" ht="12.75" customHeight="1" x14ac:dyDescent="0.2"/>
    <row r="8005" ht="12.75" customHeight="1" x14ac:dyDescent="0.2"/>
    <row r="8006" ht="12.75" customHeight="1" x14ac:dyDescent="0.2"/>
    <row r="8007" ht="12.75" customHeight="1" x14ac:dyDescent="0.2"/>
    <row r="8008" ht="12.75" customHeight="1" x14ac:dyDescent="0.2"/>
    <row r="8009" ht="12.75" customHeight="1" x14ac:dyDescent="0.2"/>
    <row r="8010" ht="12.75" customHeight="1" x14ac:dyDescent="0.2"/>
    <row r="8011" ht="12.75" customHeight="1" x14ac:dyDescent="0.2"/>
    <row r="8012" ht="12.75" customHeight="1" x14ac:dyDescent="0.2"/>
    <row r="8013" ht="12.75" customHeight="1" x14ac:dyDescent="0.2"/>
    <row r="8014" ht="12.75" customHeight="1" x14ac:dyDescent="0.2"/>
    <row r="8015" ht="12.75" customHeight="1" x14ac:dyDescent="0.2"/>
    <row r="8016" ht="12.75" customHeight="1" x14ac:dyDescent="0.2"/>
    <row r="8017" ht="12.75" customHeight="1" x14ac:dyDescent="0.2"/>
    <row r="8018" ht="12.75" customHeight="1" x14ac:dyDescent="0.2"/>
    <row r="8019" ht="12.75" customHeight="1" x14ac:dyDescent="0.2"/>
    <row r="8020" ht="12.75" customHeight="1" x14ac:dyDescent="0.2"/>
    <row r="8021" ht="12.75" customHeight="1" x14ac:dyDescent="0.2"/>
    <row r="8022" ht="12.75" customHeight="1" x14ac:dyDescent="0.2"/>
    <row r="8023" ht="12.75" customHeight="1" x14ac:dyDescent="0.2"/>
    <row r="8024" ht="12.75" customHeight="1" x14ac:dyDescent="0.2"/>
    <row r="8025" ht="12.75" customHeight="1" x14ac:dyDescent="0.2"/>
    <row r="8026" ht="12.75" customHeight="1" x14ac:dyDescent="0.2"/>
    <row r="8027" ht="12.75" customHeight="1" x14ac:dyDescent="0.2"/>
    <row r="8028" ht="12.75" customHeight="1" x14ac:dyDescent="0.2"/>
    <row r="8029" ht="12.75" customHeight="1" x14ac:dyDescent="0.2"/>
    <row r="8030" ht="12.75" customHeight="1" x14ac:dyDescent="0.2"/>
    <row r="8031" ht="12.75" customHeight="1" x14ac:dyDescent="0.2"/>
    <row r="8032" ht="12.75" customHeight="1" x14ac:dyDescent="0.2"/>
    <row r="8033" ht="12.75" customHeight="1" x14ac:dyDescent="0.2"/>
    <row r="8034" ht="12.75" customHeight="1" x14ac:dyDescent="0.2"/>
    <row r="8035" ht="12.75" customHeight="1" x14ac:dyDescent="0.2"/>
    <row r="8036" ht="12.75" customHeight="1" x14ac:dyDescent="0.2"/>
    <row r="8037" ht="12.75" customHeight="1" x14ac:dyDescent="0.2"/>
    <row r="8038" ht="12.75" customHeight="1" x14ac:dyDescent="0.2"/>
    <row r="8039" ht="12.75" customHeight="1" x14ac:dyDescent="0.2"/>
    <row r="8040" ht="12.75" customHeight="1" x14ac:dyDescent="0.2"/>
    <row r="8041" ht="12.75" customHeight="1" x14ac:dyDescent="0.2"/>
    <row r="8042" ht="12.75" customHeight="1" x14ac:dyDescent="0.2"/>
    <row r="8043" ht="12.75" customHeight="1" x14ac:dyDescent="0.2"/>
    <row r="8044" ht="12.75" customHeight="1" x14ac:dyDescent="0.2"/>
    <row r="8045" ht="12.75" customHeight="1" x14ac:dyDescent="0.2"/>
    <row r="8046" ht="12.75" customHeight="1" x14ac:dyDescent="0.2"/>
    <row r="8047" ht="12.75" customHeight="1" x14ac:dyDescent="0.2"/>
    <row r="8048" ht="12.75" customHeight="1" x14ac:dyDescent="0.2"/>
    <row r="8049" ht="12.75" customHeight="1" x14ac:dyDescent="0.2"/>
    <row r="8050" ht="12.75" customHeight="1" x14ac:dyDescent="0.2"/>
    <row r="8051" ht="12.75" customHeight="1" x14ac:dyDescent="0.2"/>
    <row r="8052" ht="12.75" customHeight="1" x14ac:dyDescent="0.2"/>
    <row r="8053" ht="12.75" customHeight="1" x14ac:dyDescent="0.2"/>
    <row r="8054" ht="12.75" customHeight="1" x14ac:dyDescent="0.2"/>
    <row r="8055" ht="12.75" customHeight="1" x14ac:dyDescent="0.2"/>
    <row r="8056" ht="12.75" customHeight="1" x14ac:dyDescent="0.2"/>
    <row r="8057" ht="12.75" customHeight="1" x14ac:dyDescent="0.2"/>
    <row r="8058" ht="12.75" customHeight="1" x14ac:dyDescent="0.2"/>
    <row r="8059" ht="12.75" customHeight="1" x14ac:dyDescent="0.2"/>
    <row r="8060" ht="12.75" customHeight="1" x14ac:dyDescent="0.2"/>
    <row r="8061" ht="12.75" customHeight="1" x14ac:dyDescent="0.2"/>
    <row r="8062" ht="12.75" customHeight="1" x14ac:dyDescent="0.2"/>
    <row r="8063" ht="12.75" customHeight="1" x14ac:dyDescent="0.2"/>
    <row r="8064" ht="12.75" customHeight="1" x14ac:dyDescent="0.2"/>
    <row r="8065" ht="12.75" customHeight="1" x14ac:dyDescent="0.2"/>
    <row r="8066" ht="12.75" customHeight="1" x14ac:dyDescent="0.2"/>
    <row r="8067" ht="12.75" customHeight="1" x14ac:dyDescent="0.2"/>
    <row r="8068" ht="12.75" customHeight="1" x14ac:dyDescent="0.2"/>
    <row r="8069" ht="12.75" customHeight="1" x14ac:dyDescent="0.2"/>
    <row r="8070" ht="12.75" customHeight="1" x14ac:dyDescent="0.2"/>
    <row r="8071" ht="12.75" customHeight="1" x14ac:dyDescent="0.2"/>
    <row r="8072" ht="12.75" customHeight="1" x14ac:dyDescent="0.2"/>
    <row r="8073" ht="12.75" customHeight="1" x14ac:dyDescent="0.2"/>
    <row r="8074" ht="12.75" customHeight="1" x14ac:dyDescent="0.2"/>
    <row r="8075" ht="12.75" customHeight="1" x14ac:dyDescent="0.2"/>
    <row r="8076" ht="12.75" customHeight="1" x14ac:dyDescent="0.2"/>
    <row r="8077" ht="12.75" customHeight="1" x14ac:dyDescent="0.2"/>
    <row r="8078" ht="12.75" customHeight="1" x14ac:dyDescent="0.2"/>
    <row r="8079" ht="12.75" customHeight="1" x14ac:dyDescent="0.2"/>
    <row r="8080" ht="12.75" customHeight="1" x14ac:dyDescent="0.2"/>
    <row r="8081" ht="12.75" customHeight="1" x14ac:dyDescent="0.2"/>
    <row r="8082" ht="12.75" customHeight="1" x14ac:dyDescent="0.2"/>
    <row r="8083" ht="12.75" customHeight="1" x14ac:dyDescent="0.2"/>
    <row r="8084" ht="12.75" customHeight="1" x14ac:dyDescent="0.2"/>
    <row r="8085" ht="12.75" customHeight="1" x14ac:dyDescent="0.2"/>
    <row r="8086" ht="12.75" customHeight="1" x14ac:dyDescent="0.2"/>
    <row r="8087" ht="12.75" customHeight="1" x14ac:dyDescent="0.2"/>
    <row r="8088" ht="12.75" customHeight="1" x14ac:dyDescent="0.2"/>
    <row r="8089" ht="12.75" customHeight="1" x14ac:dyDescent="0.2"/>
    <row r="8090" ht="12.75" customHeight="1" x14ac:dyDescent="0.2"/>
    <row r="8091" ht="12.75" customHeight="1" x14ac:dyDescent="0.2"/>
    <row r="8092" ht="12.75" customHeight="1" x14ac:dyDescent="0.2"/>
    <row r="8093" ht="12.75" customHeight="1" x14ac:dyDescent="0.2"/>
    <row r="8094" ht="12.75" customHeight="1" x14ac:dyDescent="0.2"/>
    <row r="8095" ht="12.75" customHeight="1" x14ac:dyDescent="0.2"/>
    <row r="8096" ht="12.75" customHeight="1" x14ac:dyDescent="0.2"/>
    <row r="8097" ht="12.75" customHeight="1" x14ac:dyDescent="0.2"/>
    <row r="8098" ht="12.75" customHeight="1" x14ac:dyDescent="0.2"/>
    <row r="8099" ht="12.75" customHeight="1" x14ac:dyDescent="0.2"/>
    <row r="8100" ht="12.75" customHeight="1" x14ac:dyDescent="0.2"/>
    <row r="8101" ht="12.75" customHeight="1" x14ac:dyDescent="0.2"/>
    <row r="8102" ht="12.75" customHeight="1" x14ac:dyDescent="0.2"/>
    <row r="8103" ht="12.75" customHeight="1" x14ac:dyDescent="0.2"/>
    <row r="8104" ht="12.75" customHeight="1" x14ac:dyDescent="0.2"/>
    <row r="8105" ht="12.75" customHeight="1" x14ac:dyDescent="0.2"/>
    <row r="8106" ht="12.75" customHeight="1" x14ac:dyDescent="0.2"/>
    <row r="8107" ht="12.75" customHeight="1" x14ac:dyDescent="0.2"/>
    <row r="8108" ht="12.75" customHeight="1" x14ac:dyDescent="0.2"/>
    <row r="8109" ht="12.75" customHeight="1" x14ac:dyDescent="0.2"/>
    <row r="8110" ht="12.75" customHeight="1" x14ac:dyDescent="0.2"/>
    <row r="8111" ht="12.75" customHeight="1" x14ac:dyDescent="0.2"/>
    <row r="8112" ht="12.75" customHeight="1" x14ac:dyDescent="0.2"/>
    <row r="8113" ht="12.75" customHeight="1" x14ac:dyDescent="0.2"/>
    <row r="8114" ht="12.75" customHeight="1" x14ac:dyDescent="0.2"/>
    <row r="8115" ht="12.75" customHeight="1" x14ac:dyDescent="0.2"/>
    <row r="8116" ht="12.75" customHeight="1" x14ac:dyDescent="0.2"/>
    <row r="8117" ht="12.75" customHeight="1" x14ac:dyDescent="0.2"/>
    <row r="8118" ht="12.75" customHeight="1" x14ac:dyDescent="0.2"/>
    <row r="8119" ht="12.75" customHeight="1" x14ac:dyDescent="0.2"/>
    <row r="8120" ht="12.75" customHeight="1" x14ac:dyDescent="0.2"/>
    <row r="8121" ht="12.75" customHeight="1" x14ac:dyDescent="0.2"/>
    <row r="8122" ht="12.75" customHeight="1" x14ac:dyDescent="0.2"/>
    <row r="8123" ht="12.75" customHeight="1" x14ac:dyDescent="0.2"/>
    <row r="8124" ht="12.75" customHeight="1" x14ac:dyDescent="0.2"/>
    <row r="8125" ht="12.75" customHeight="1" x14ac:dyDescent="0.2"/>
    <row r="8126" ht="12.75" customHeight="1" x14ac:dyDescent="0.2"/>
    <row r="8127" ht="12.75" customHeight="1" x14ac:dyDescent="0.2"/>
    <row r="8128" ht="12.75" customHeight="1" x14ac:dyDescent="0.2"/>
    <row r="8129" ht="12.75" customHeight="1" x14ac:dyDescent="0.2"/>
    <row r="8130" ht="12.75" customHeight="1" x14ac:dyDescent="0.2"/>
    <row r="8131" ht="12.75" customHeight="1" x14ac:dyDescent="0.2"/>
    <row r="8132" ht="12.75" customHeight="1" x14ac:dyDescent="0.2"/>
    <row r="8133" ht="12.75" customHeight="1" x14ac:dyDescent="0.2"/>
    <row r="8134" ht="12.75" customHeight="1" x14ac:dyDescent="0.2"/>
    <row r="8135" ht="12.75" customHeight="1" x14ac:dyDescent="0.2"/>
    <row r="8136" ht="12.75" customHeight="1" x14ac:dyDescent="0.2"/>
    <row r="8137" ht="12.75" customHeight="1" x14ac:dyDescent="0.2"/>
    <row r="8138" ht="12.75" customHeight="1" x14ac:dyDescent="0.2"/>
    <row r="8139" ht="12.75" customHeight="1" x14ac:dyDescent="0.2"/>
    <row r="8140" ht="12.75" customHeight="1" x14ac:dyDescent="0.2"/>
    <row r="8141" ht="12.75" customHeight="1" x14ac:dyDescent="0.2"/>
    <row r="8142" ht="12.75" customHeight="1" x14ac:dyDescent="0.2"/>
    <row r="8143" ht="12.75" customHeight="1" x14ac:dyDescent="0.2"/>
    <row r="8144" ht="12.75" customHeight="1" x14ac:dyDescent="0.2"/>
    <row r="8145" ht="12.75" customHeight="1" x14ac:dyDescent="0.2"/>
    <row r="8146" ht="12.75" customHeight="1" x14ac:dyDescent="0.2"/>
    <row r="8147" ht="12.75" customHeight="1" x14ac:dyDescent="0.2"/>
    <row r="8148" ht="12.75" customHeight="1" x14ac:dyDescent="0.2"/>
    <row r="8149" ht="12.75" customHeight="1" x14ac:dyDescent="0.2"/>
    <row r="8150" ht="12.75" customHeight="1" x14ac:dyDescent="0.2"/>
    <row r="8151" ht="12.75" customHeight="1" x14ac:dyDescent="0.2"/>
    <row r="8152" ht="12.75" customHeight="1" x14ac:dyDescent="0.2"/>
    <row r="8153" ht="12.75" customHeight="1" x14ac:dyDescent="0.2"/>
    <row r="8154" ht="12.75" customHeight="1" x14ac:dyDescent="0.2"/>
    <row r="8155" ht="12.75" customHeight="1" x14ac:dyDescent="0.2"/>
    <row r="8156" ht="12.75" customHeight="1" x14ac:dyDescent="0.2"/>
    <row r="8157" ht="12.75" customHeight="1" x14ac:dyDescent="0.2"/>
    <row r="8158" ht="12.75" customHeight="1" x14ac:dyDescent="0.2"/>
    <row r="8159" ht="12.75" customHeight="1" x14ac:dyDescent="0.2"/>
    <row r="8160" ht="12.75" customHeight="1" x14ac:dyDescent="0.2"/>
    <row r="8161" ht="12.75" customHeight="1" x14ac:dyDescent="0.2"/>
    <row r="8162" ht="12.75" customHeight="1" x14ac:dyDescent="0.2"/>
    <row r="8163" ht="12.75" customHeight="1" x14ac:dyDescent="0.2"/>
    <row r="8164" ht="12.75" customHeight="1" x14ac:dyDescent="0.2"/>
    <row r="8165" ht="12.75" customHeight="1" x14ac:dyDescent="0.2"/>
    <row r="8166" ht="12.75" customHeight="1" x14ac:dyDescent="0.2"/>
    <row r="8167" ht="12.75" customHeight="1" x14ac:dyDescent="0.2"/>
    <row r="8168" ht="12.75" customHeight="1" x14ac:dyDescent="0.2"/>
    <row r="8169" ht="12.75" customHeight="1" x14ac:dyDescent="0.2"/>
    <row r="8170" ht="12.75" customHeight="1" x14ac:dyDescent="0.2"/>
    <row r="8171" ht="12.75" customHeight="1" x14ac:dyDescent="0.2"/>
    <row r="8172" ht="12.75" customHeight="1" x14ac:dyDescent="0.2"/>
    <row r="8173" ht="12.75" customHeight="1" x14ac:dyDescent="0.2"/>
    <row r="8174" ht="12.75" customHeight="1" x14ac:dyDescent="0.2"/>
    <row r="8175" ht="12.75" customHeight="1" x14ac:dyDescent="0.2"/>
    <row r="8176" ht="12.75" customHeight="1" x14ac:dyDescent="0.2"/>
    <row r="8177" ht="12.75" customHeight="1" x14ac:dyDescent="0.2"/>
    <row r="8178" ht="12.75" customHeight="1" x14ac:dyDescent="0.2"/>
    <row r="8179" ht="12.75" customHeight="1" x14ac:dyDescent="0.2"/>
    <row r="8180" ht="12.75" customHeight="1" x14ac:dyDescent="0.2"/>
    <row r="8181" ht="12.75" customHeight="1" x14ac:dyDescent="0.2"/>
    <row r="8182" ht="12.75" customHeight="1" x14ac:dyDescent="0.2"/>
    <row r="8183" ht="12.75" customHeight="1" x14ac:dyDescent="0.2"/>
    <row r="8184" ht="12.75" customHeight="1" x14ac:dyDescent="0.2"/>
    <row r="8185" ht="12.75" customHeight="1" x14ac:dyDescent="0.2"/>
    <row r="8186" ht="12.75" customHeight="1" x14ac:dyDescent="0.2"/>
    <row r="8187" ht="12.75" customHeight="1" x14ac:dyDescent="0.2"/>
    <row r="8188" ht="12.75" customHeight="1" x14ac:dyDescent="0.2"/>
    <row r="8189" ht="12.75" customHeight="1" x14ac:dyDescent="0.2"/>
    <row r="8190" ht="12.75" customHeight="1" x14ac:dyDescent="0.2"/>
    <row r="8191" ht="12.75" customHeight="1" x14ac:dyDescent="0.2"/>
    <row r="8192" ht="12.75" customHeight="1" x14ac:dyDescent="0.2"/>
    <row r="8193" ht="12.75" customHeight="1" x14ac:dyDescent="0.2"/>
    <row r="8194" ht="12.75" customHeight="1" x14ac:dyDescent="0.2"/>
    <row r="8195" ht="12.75" customHeight="1" x14ac:dyDescent="0.2"/>
    <row r="8196" ht="12.75" customHeight="1" x14ac:dyDescent="0.2"/>
    <row r="8197" ht="12.75" customHeight="1" x14ac:dyDescent="0.2"/>
    <row r="8198" ht="12.75" customHeight="1" x14ac:dyDescent="0.2"/>
    <row r="8199" ht="12.75" customHeight="1" x14ac:dyDescent="0.2"/>
    <row r="8200" ht="12.75" customHeight="1" x14ac:dyDescent="0.2"/>
    <row r="8201" ht="12.75" customHeight="1" x14ac:dyDescent="0.2"/>
    <row r="8202" ht="12.75" customHeight="1" x14ac:dyDescent="0.2"/>
    <row r="8203" ht="12.75" customHeight="1" x14ac:dyDescent="0.2"/>
    <row r="8204" ht="12.75" customHeight="1" x14ac:dyDescent="0.2"/>
    <row r="8205" ht="12.75" customHeight="1" x14ac:dyDescent="0.2"/>
    <row r="8206" ht="12.75" customHeight="1" x14ac:dyDescent="0.2"/>
    <row r="8207" ht="12.75" customHeight="1" x14ac:dyDescent="0.2"/>
    <row r="8208" ht="12.75" customHeight="1" x14ac:dyDescent="0.2"/>
    <row r="8209" ht="12.75" customHeight="1" x14ac:dyDescent="0.2"/>
    <row r="8210" ht="12.75" customHeight="1" x14ac:dyDescent="0.2"/>
    <row r="8211" ht="12.75" customHeight="1" x14ac:dyDescent="0.2"/>
    <row r="8212" ht="12.75" customHeight="1" x14ac:dyDescent="0.2"/>
    <row r="8213" ht="12.75" customHeight="1" x14ac:dyDescent="0.2"/>
    <row r="8214" ht="12.75" customHeight="1" x14ac:dyDescent="0.2"/>
    <row r="8215" ht="12.75" customHeight="1" x14ac:dyDescent="0.2"/>
    <row r="8216" ht="12.75" customHeight="1" x14ac:dyDescent="0.2"/>
    <row r="8217" ht="12.75" customHeight="1" x14ac:dyDescent="0.2"/>
    <row r="8218" ht="12.75" customHeight="1" x14ac:dyDescent="0.2"/>
    <row r="8219" ht="12.75" customHeight="1" x14ac:dyDescent="0.2"/>
    <row r="8220" ht="12.75" customHeight="1" x14ac:dyDescent="0.2"/>
    <row r="8221" ht="12.75" customHeight="1" x14ac:dyDescent="0.2"/>
    <row r="8222" ht="12.75" customHeight="1" x14ac:dyDescent="0.2"/>
    <row r="8223" ht="12.75" customHeight="1" x14ac:dyDescent="0.2"/>
    <row r="8224" ht="12.75" customHeight="1" x14ac:dyDescent="0.2"/>
    <row r="8225" ht="12.75" customHeight="1" x14ac:dyDescent="0.2"/>
    <row r="8226" ht="12.75" customHeight="1" x14ac:dyDescent="0.2"/>
    <row r="8227" ht="12.75" customHeight="1" x14ac:dyDescent="0.2"/>
    <row r="8228" ht="12.75" customHeight="1" x14ac:dyDescent="0.2"/>
    <row r="8229" ht="12.75" customHeight="1" x14ac:dyDescent="0.2"/>
    <row r="8230" ht="12.75" customHeight="1" x14ac:dyDescent="0.2"/>
    <row r="8231" ht="12.75" customHeight="1" x14ac:dyDescent="0.2"/>
    <row r="8232" ht="12.75" customHeight="1" x14ac:dyDescent="0.2"/>
    <row r="8233" ht="12.75" customHeight="1" x14ac:dyDescent="0.2"/>
    <row r="8234" ht="12.75" customHeight="1" x14ac:dyDescent="0.2"/>
    <row r="8235" ht="12.75" customHeight="1" x14ac:dyDescent="0.2"/>
    <row r="8236" ht="12.75" customHeight="1" x14ac:dyDescent="0.2"/>
    <row r="8237" ht="12.75" customHeight="1" x14ac:dyDescent="0.2"/>
    <row r="8238" ht="12.75" customHeight="1" x14ac:dyDescent="0.2"/>
    <row r="8239" ht="12.75" customHeight="1" x14ac:dyDescent="0.2"/>
    <row r="8240" ht="12.75" customHeight="1" x14ac:dyDescent="0.2"/>
    <row r="8241" ht="12.75" customHeight="1" x14ac:dyDescent="0.2"/>
    <row r="8242" ht="12.75" customHeight="1" x14ac:dyDescent="0.2"/>
    <row r="8243" ht="12.75" customHeight="1" x14ac:dyDescent="0.2"/>
    <row r="8244" ht="12.75" customHeight="1" x14ac:dyDescent="0.2"/>
    <row r="8245" ht="12.75" customHeight="1" x14ac:dyDescent="0.2"/>
    <row r="8246" ht="12.75" customHeight="1" x14ac:dyDescent="0.2"/>
    <row r="8247" ht="12.75" customHeight="1" x14ac:dyDescent="0.2"/>
    <row r="8248" ht="12.75" customHeight="1" x14ac:dyDescent="0.2"/>
    <row r="8249" ht="12.75" customHeight="1" x14ac:dyDescent="0.2"/>
    <row r="8250" ht="12.75" customHeight="1" x14ac:dyDescent="0.2"/>
    <row r="8251" ht="12.75" customHeight="1" x14ac:dyDescent="0.2"/>
    <row r="8252" ht="12.75" customHeight="1" x14ac:dyDescent="0.2"/>
    <row r="8253" ht="12.75" customHeight="1" x14ac:dyDescent="0.2"/>
    <row r="8254" ht="12.75" customHeight="1" x14ac:dyDescent="0.2"/>
    <row r="8255" ht="12.75" customHeight="1" x14ac:dyDescent="0.2"/>
    <row r="8256" ht="12.75" customHeight="1" x14ac:dyDescent="0.2"/>
    <row r="8257" ht="12.75" customHeight="1" x14ac:dyDescent="0.2"/>
    <row r="8258" ht="12.75" customHeight="1" x14ac:dyDescent="0.2"/>
    <row r="8259" ht="12.75" customHeight="1" x14ac:dyDescent="0.2"/>
    <row r="8260" ht="12.75" customHeight="1" x14ac:dyDescent="0.2"/>
    <row r="8261" ht="12.75" customHeight="1" x14ac:dyDescent="0.2"/>
    <row r="8262" ht="12.75" customHeight="1" x14ac:dyDescent="0.2"/>
    <row r="8263" ht="12.75" customHeight="1" x14ac:dyDescent="0.2"/>
    <row r="8264" ht="12.75" customHeight="1" x14ac:dyDescent="0.2"/>
    <row r="8265" ht="12.75" customHeight="1" x14ac:dyDescent="0.2"/>
    <row r="8266" ht="12.75" customHeight="1" x14ac:dyDescent="0.2"/>
    <row r="8267" ht="12.75" customHeight="1" x14ac:dyDescent="0.2"/>
    <row r="8268" ht="12.75" customHeight="1" x14ac:dyDescent="0.2"/>
    <row r="8269" ht="12.75" customHeight="1" x14ac:dyDescent="0.2"/>
    <row r="8270" ht="12.75" customHeight="1" x14ac:dyDescent="0.2"/>
    <row r="8271" ht="12.75" customHeight="1" x14ac:dyDescent="0.2"/>
    <row r="8272" ht="12.75" customHeight="1" x14ac:dyDescent="0.2"/>
    <row r="8273" ht="12.75" customHeight="1" x14ac:dyDescent="0.2"/>
    <row r="8274" ht="12.75" customHeight="1" x14ac:dyDescent="0.2"/>
    <row r="8275" ht="12.75" customHeight="1" x14ac:dyDescent="0.2"/>
    <row r="8276" ht="12.75" customHeight="1" x14ac:dyDescent="0.2"/>
    <row r="8277" ht="12.75" customHeight="1" x14ac:dyDescent="0.2"/>
    <row r="8278" ht="12.75" customHeight="1" x14ac:dyDescent="0.2"/>
    <row r="8279" ht="12.75" customHeight="1" x14ac:dyDescent="0.2"/>
    <row r="8280" ht="12.75" customHeight="1" x14ac:dyDescent="0.2"/>
    <row r="8281" ht="12.75" customHeight="1" x14ac:dyDescent="0.2"/>
    <row r="8282" ht="12.75" customHeight="1" x14ac:dyDescent="0.2"/>
    <row r="8283" ht="12.75" customHeight="1" x14ac:dyDescent="0.2"/>
    <row r="8284" ht="12.75" customHeight="1" x14ac:dyDescent="0.2"/>
    <row r="8285" ht="12.75" customHeight="1" x14ac:dyDescent="0.2"/>
    <row r="8286" ht="12.75" customHeight="1" x14ac:dyDescent="0.2"/>
    <row r="8287" ht="12.75" customHeight="1" x14ac:dyDescent="0.2"/>
    <row r="8288" ht="12.75" customHeight="1" x14ac:dyDescent="0.2"/>
    <row r="8289" ht="12.75" customHeight="1" x14ac:dyDescent="0.2"/>
    <row r="8290" ht="12.75" customHeight="1" x14ac:dyDescent="0.2"/>
    <row r="8291" ht="12.75" customHeight="1" x14ac:dyDescent="0.2"/>
    <row r="8292" ht="12.75" customHeight="1" x14ac:dyDescent="0.2"/>
    <row r="8293" ht="12.75" customHeight="1" x14ac:dyDescent="0.2"/>
    <row r="8294" ht="12.75" customHeight="1" x14ac:dyDescent="0.2"/>
    <row r="8295" ht="12.75" customHeight="1" x14ac:dyDescent="0.2"/>
    <row r="8296" ht="12.75" customHeight="1" x14ac:dyDescent="0.2"/>
    <row r="8297" ht="12.75" customHeight="1" x14ac:dyDescent="0.2"/>
    <row r="8298" ht="12.75" customHeight="1" x14ac:dyDescent="0.2"/>
    <row r="8299" ht="12.75" customHeight="1" x14ac:dyDescent="0.2"/>
    <row r="8300" ht="12.75" customHeight="1" x14ac:dyDescent="0.2"/>
    <row r="8301" ht="12.75" customHeight="1" x14ac:dyDescent="0.2"/>
    <row r="8302" ht="12.75" customHeight="1" x14ac:dyDescent="0.2"/>
    <row r="8303" ht="12.75" customHeight="1" x14ac:dyDescent="0.2"/>
    <row r="8304" ht="12.75" customHeight="1" x14ac:dyDescent="0.2"/>
    <row r="8305" ht="12.75" customHeight="1" x14ac:dyDescent="0.2"/>
    <row r="8306" ht="12.75" customHeight="1" x14ac:dyDescent="0.2"/>
    <row r="8307" ht="12.75" customHeight="1" x14ac:dyDescent="0.2"/>
    <row r="8308" ht="12.75" customHeight="1" x14ac:dyDescent="0.2"/>
    <row r="8309" ht="12.75" customHeight="1" x14ac:dyDescent="0.2"/>
    <row r="8310" ht="12.75" customHeight="1" x14ac:dyDescent="0.2"/>
    <row r="8311" ht="12.75" customHeight="1" x14ac:dyDescent="0.2"/>
    <row r="8312" ht="12.75" customHeight="1" x14ac:dyDescent="0.2"/>
    <row r="8313" ht="12.75" customHeight="1" x14ac:dyDescent="0.2"/>
    <row r="8314" ht="12.75" customHeight="1" x14ac:dyDescent="0.2"/>
    <row r="8315" ht="12.75" customHeight="1" x14ac:dyDescent="0.2"/>
    <row r="8316" ht="12.75" customHeight="1" x14ac:dyDescent="0.2"/>
    <row r="8317" ht="12.75" customHeight="1" x14ac:dyDescent="0.2"/>
    <row r="8318" ht="12.75" customHeight="1" x14ac:dyDescent="0.2"/>
    <row r="8319" ht="12.75" customHeight="1" x14ac:dyDescent="0.2"/>
    <row r="8320" ht="12.75" customHeight="1" x14ac:dyDescent="0.2"/>
    <row r="8321" ht="12.75" customHeight="1" x14ac:dyDescent="0.2"/>
    <row r="8322" ht="12.75" customHeight="1" x14ac:dyDescent="0.2"/>
    <row r="8323" ht="12.75" customHeight="1" x14ac:dyDescent="0.2"/>
    <row r="8324" ht="12.75" customHeight="1" x14ac:dyDescent="0.2"/>
    <row r="8325" ht="12.75" customHeight="1" x14ac:dyDescent="0.2"/>
    <row r="8326" ht="12.75" customHeight="1" x14ac:dyDescent="0.2"/>
    <row r="8327" ht="12.75" customHeight="1" x14ac:dyDescent="0.2"/>
    <row r="8328" ht="12.75" customHeight="1" x14ac:dyDescent="0.2"/>
    <row r="8329" ht="12.75" customHeight="1" x14ac:dyDescent="0.2"/>
    <row r="8330" ht="12.75" customHeight="1" x14ac:dyDescent="0.2"/>
    <row r="8331" ht="12.75" customHeight="1" x14ac:dyDescent="0.2"/>
    <row r="8332" ht="12.75" customHeight="1" x14ac:dyDescent="0.2"/>
    <row r="8333" ht="12.75" customHeight="1" x14ac:dyDescent="0.2"/>
    <row r="8334" ht="12.75" customHeight="1" x14ac:dyDescent="0.2"/>
    <row r="8335" ht="12.75" customHeight="1" x14ac:dyDescent="0.2"/>
    <row r="8336" ht="12.75" customHeight="1" x14ac:dyDescent="0.2"/>
    <row r="8337" ht="12.75" customHeight="1" x14ac:dyDescent="0.2"/>
    <row r="8338" ht="12.75" customHeight="1" x14ac:dyDescent="0.2"/>
    <row r="8339" ht="12.75" customHeight="1" x14ac:dyDescent="0.2"/>
    <row r="8340" ht="12.75" customHeight="1" x14ac:dyDescent="0.2"/>
    <row r="8341" ht="12.75" customHeight="1" x14ac:dyDescent="0.2"/>
    <row r="8342" ht="12.75" customHeight="1" x14ac:dyDescent="0.2"/>
    <row r="8343" ht="12.75" customHeight="1" x14ac:dyDescent="0.2"/>
    <row r="8344" ht="12.75" customHeight="1" x14ac:dyDescent="0.2"/>
    <row r="8345" ht="12.75" customHeight="1" x14ac:dyDescent="0.2"/>
    <row r="8346" ht="12.75" customHeight="1" x14ac:dyDescent="0.2"/>
    <row r="8347" ht="12.75" customHeight="1" x14ac:dyDescent="0.2"/>
    <row r="8348" ht="12.75" customHeight="1" x14ac:dyDescent="0.2"/>
    <row r="8349" ht="12.75" customHeight="1" x14ac:dyDescent="0.2"/>
    <row r="8350" ht="12.75" customHeight="1" x14ac:dyDescent="0.2"/>
    <row r="8351" ht="12.75" customHeight="1" x14ac:dyDescent="0.2"/>
    <row r="8352" ht="12.75" customHeight="1" x14ac:dyDescent="0.2"/>
    <row r="8353" ht="12.75" customHeight="1" x14ac:dyDescent="0.2"/>
    <row r="8354" ht="12.75" customHeight="1" x14ac:dyDescent="0.2"/>
    <row r="8355" ht="12.75" customHeight="1" x14ac:dyDescent="0.2"/>
    <row r="8356" ht="12.75" customHeight="1" x14ac:dyDescent="0.2"/>
    <row r="8357" ht="12.75" customHeight="1" x14ac:dyDescent="0.2"/>
    <row r="8358" ht="12.75" customHeight="1" x14ac:dyDescent="0.2"/>
    <row r="8359" ht="12.75" customHeight="1" x14ac:dyDescent="0.2"/>
    <row r="8360" ht="12.75" customHeight="1" x14ac:dyDescent="0.2"/>
    <row r="8361" ht="12.75" customHeight="1" x14ac:dyDescent="0.2"/>
    <row r="8362" ht="12.75" customHeight="1" x14ac:dyDescent="0.2"/>
    <row r="8363" ht="12.75" customHeight="1" x14ac:dyDescent="0.2"/>
    <row r="8364" ht="12.75" customHeight="1" x14ac:dyDescent="0.2"/>
    <row r="8365" ht="12.75" customHeight="1" x14ac:dyDescent="0.2"/>
    <row r="8366" ht="12.75" customHeight="1" x14ac:dyDescent="0.2"/>
    <row r="8367" ht="12.75" customHeight="1" x14ac:dyDescent="0.2"/>
    <row r="8368" ht="12.75" customHeight="1" x14ac:dyDescent="0.2"/>
    <row r="8369" ht="12.75" customHeight="1" x14ac:dyDescent="0.2"/>
    <row r="8370" ht="12.75" customHeight="1" x14ac:dyDescent="0.2"/>
    <row r="8371" ht="12.75" customHeight="1" x14ac:dyDescent="0.2"/>
    <row r="8372" ht="12.75" customHeight="1" x14ac:dyDescent="0.2"/>
    <row r="8373" ht="12.75" customHeight="1" x14ac:dyDescent="0.2"/>
    <row r="8374" ht="12.75" customHeight="1" x14ac:dyDescent="0.2"/>
    <row r="8375" ht="12.75" customHeight="1" x14ac:dyDescent="0.2"/>
    <row r="8376" ht="12.75" customHeight="1" x14ac:dyDescent="0.2"/>
    <row r="8377" ht="12.75" customHeight="1" x14ac:dyDescent="0.2"/>
    <row r="8378" ht="12.75" customHeight="1" x14ac:dyDescent="0.2"/>
    <row r="8379" ht="12.75" customHeight="1" x14ac:dyDescent="0.2"/>
    <row r="8380" ht="12.75" customHeight="1" x14ac:dyDescent="0.2"/>
    <row r="8381" ht="12.75" customHeight="1" x14ac:dyDescent="0.2"/>
    <row r="8382" ht="12.75" customHeight="1" x14ac:dyDescent="0.2"/>
    <row r="8383" ht="12.75" customHeight="1" x14ac:dyDescent="0.2"/>
    <row r="8384" ht="12.75" customHeight="1" x14ac:dyDescent="0.2"/>
    <row r="8385" ht="12.75" customHeight="1" x14ac:dyDescent="0.2"/>
    <row r="8386" ht="12.75" customHeight="1" x14ac:dyDescent="0.2"/>
    <row r="8387" ht="12.75" customHeight="1" x14ac:dyDescent="0.2"/>
    <row r="8388" ht="12.75" customHeight="1" x14ac:dyDescent="0.2"/>
    <row r="8389" ht="12.75" customHeight="1" x14ac:dyDescent="0.2"/>
    <row r="8390" ht="12.75" customHeight="1" x14ac:dyDescent="0.2"/>
    <row r="8391" ht="12.75" customHeight="1" x14ac:dyDescent="0.2"/>
    <row r="8392" ht="12.75" customHeight="1" x14ac:dyDescent="0.2"/>
    <row r="8393" ht="12.75" customHeight="1" x14ac:dyDescent="0.2"/>
    <row r="8394" ht="12.75" customHeight="1" x14ac:dyDescent="0.2"/>
    <row r="8395" ht="12.75" customHeight="1" x14ac:dyDescent="0.2"/>
    <row r="8396" ht="12.75" customHeight="1" x14ac:dyDescent="0.2"/>
    <row r="8397" ht="12.75" customHeight="1" x14ac:dyDescent="0.2"/>
    <row r="8398" ht="12.75" customHeight="1" x14ac:dyDescent="0.2"/>
    <row r="8399" ht="12.75" customHeight="1" x14ac:dyDescent="0.2"/>
    <row r="8400" ht="12.75" customHeight="1" x14ac:dyDescent="0.2"/>
    <row r="8401" ht="12.75" customHeight="1" x14ac:dyDescent="0.2"/>
    <row r="8402" ht="12.75" customHeight="1" x14ac:dyDescent="0.2"/>
    <row r="8403" ht="12.75" customHeight="1" x14ac:dyDescent="0.2"/>
    <row r="8404" ht="12.75" customHeight="1" x14ac:dyDescent="0.2"/>
    <row r="8405" ht="12.75" customHeight="1" x14ac:dyDescent="0.2"/>
    <row r="8406" ht="12.75" customHeight="1" x14ac:dyDescent="0.2"/>
    <row r="8407" ht="12.75" customHeight="1" x14ac:dyDescent="0.2"/>
    <row r="8408" ht="12.75" customHeight="1" x14ac:dyDescent="0.2"/>
    <row r="8409" ht="12.75" customHeight="1" x14ac:dyDescent="0.2"/>
    <row r="8410" ht="12.75" customHeight="1" x14ac:dyDescent="0.2"/>
    <row r="8411" ht="12.75" customHeight="1" x14ac:dyDescent="0.2"/>
    <row r="8412" ht="12.75" customHeight="1" x14ac:dyDescent="0.2"/>
    <row r="8413" ht="12.75" customHeight="1" x14ac:dyDescent="0.2"/>
    <row r="8414" ht="12.75" customHeight="1" x14ac:dyDescent="0.2"/>
    <row r="8415" ht="12.75" customHeight="1" x14ac:dyDescent="0.2"/>
    <row r="8416" ht="12.75" customHeight="1" x14ac:dyDescent="0.2"/>
    <row r="8417" ht="12.75" customHeight="1" x14ac:dyDescent="0.2"/>
    <row r="8418" ht="12.75" customHeight="1" x14ac:dyDescent="0.2"/>
    <row r="8419" ht="12.75" customHeight="1" x14ac:dyDescent="0.2"/>
    <row r="8420" ht="12.75" customHeight="1" x14ac:dyDescent="0.2"/>
    <row r="8421" ht="12.75" customHeight="1" x14ac:dyDescent="0.2"/>
    <row r="8422" ht="12.75" customHeight="1" x14ac:dyDescent="0.2"/>
    <row r="8423" ht="12.75" customHeight="1" x14ac:dyDescent="0.2"/>
    <row r="8424" ht="12.75" customHeight="1" x14ac:dyDescent="0.2"/>
    <row r="8425" ht="12.75" customHeight="1" x14ac:dyDescent="0.2"/>
    <row r="8426" ht="12.75" customHeight="1" x14ac:dyDescent="0.2"/>
    <row r="8427" ht="12.75" customHeight="1" x14ac:dyDescent="0.2"/>
    <row r="8428" ht="12.75" customHeight="1" x14ac:dyDescent="0.2"/>
    <row r="8429" ht="12.75" customHeight="1" x14ac:dyDescent="0.2"/>
    <row r="8430" ht="12.75" customHeight="1" x14ac:dyDescent="0.2"/>
    <row r="8431" ht="12.75" customHeight="1" x14ac:dyDescent="0.2"/>
    <row r="8432" ht="12.75" customHeight="1" x14ac:dyDescent="0.2"/>
    <row r="8433" ht="12.75" customHeight="1" x14ac:dyDescent="0.2"/>
    <row r="8434" ht="12.75" customHeight="1" x14ac:dyDescent="0.2"/>
    <row r="8435" ht="12.75" customHeight="1" x14ac:dyDescent="0.2"/>
    <row r="8436" ht="12.75" customHeight="1" x14ac:dyDescent="0.2"/>
    <row r="8437" ht="12.75" customHeight="1" x14ac:dyDescent="0.2"/>
    <row r="8438" ht="12.75" customHeight="1" x14ac:dyDescent="0.2"/>
    <row r="8439" ht="12.75" customHeight="1" x14ac:dyDescent="0.2"/>
    <row r="8440" ht="12.75" customHeight="1" x14ac:dyDescent="0.2"/>
    <row r="8441" ht="12.75" customHeight="1" x14ac:dyDescent="0.2"/>
    <row r="8442" ht="12.75" customHeight="1" x14ac:dyDescent="0.2"/>
    <row r="8443" ht="12.75" customHeight="1" x14ac:dyDescent="0.2"/>
    <row r="8444" ht="12.75" customHeight="1" x14ac:dyDescent="0.2"/>
    <row r="8445" ht="12.75" customHeight="1" x14ac:dyDescent="0.2"/>
    <row r="8446" ht="12.75" customHeight="1" x14ac:dyDescent="0.2"/>
    <row r="8447" ht="12.75" customHeight="1" x14ac:dyDescent="0.2"/>
    <row r="8448" ht="12.75" customHeight="1" x14ac:dyDescent="0.2"/>
    <row r="8449" ht="12.75" customHeight="1" x14ac:dyDescent="0.2"/>
    <row r="8450" ht="12.75" customHeight="1" x14ac:dyDescent="0.2"/>
    <row r="8451" ht="12.75" customHeight="1" x14ac:dyDescent="0.2"/>
    <row r="8452" ht="12.75" customHeight="1" x14ac:dyDescent="0.2"/>
    <row r="8453" ht="12.75" customHeight="1" x14ac:dyDescent="0.2"/>
    <row r="8454" ht="12.75" customHeight="1" x14ac:dyDescent="0.2"/>
    <row r="8455" ht="12.75" customHeight="1" x14ac:dyDescent="0.2"/>
    <row r="8456" ht="12.75" customHeight="1" x14ac:dyDescent="0.2"/>
    <row r="8457" ht="12.75" customHeight="1" x14ac:dyDescent="0.2"/>
    <row r="8458" ht="12.75" customHeight="1" x14ac:dyDescent="0.2"/>
    <row r="8459" ht="12.75" customHeight="1" x14ac:dyDescent="0.2"/>
    <row r="8460" ht="12.75" customHeight="1" x14ac:dyDescent="0.2"/>
    <row r="8461" ht="12.75" customHeight="1" x14ac:dyDescent="0.2"/>
    <row r="8462" ht="12.75" customHeight="1" x14ac:dyDescent="0.2"/>
    <row r="8463" ht="12.75" customHeight="1" x14ac:dyDescent="0.2"/>
    <row r="8464" ht="12.75" customHeight="1" x14ac:dyDescent="0.2"/>
    <row r="8465" ht="12.75" customHeight="1" x14ac:dyDescent="0.2"/>
    <row r="8466" ht="12.75" customHeight="1" x14ac:dyDescent="0.2"/>
    <row r="8467" ht="12.75" customHeight="1" x14ac:dyDescent="0.2"/>
    <row r="8468" ht="12.75" customHeight="1" x14ac:dyDescent="0.2"/>
    <row r="8469" ht="12.75" customHeight="1" x14ac:dyDescent="0.2"/>
    <row r="8470" ht="12.75" customHeight="1" x14ac:dyDescent="0.2"/>
    <row r="8471" ht="12.75" customHeight="1" x14ac:dyDescent="0.2"/>
    <row r="8472" ht="12.75" customHeight="1" x14ac:dyDescent="0.2"/>
    <row r="8473" ht="12.75" customHeight="1" x14ac:dyDescent="0.2"/>
    <row r="8474" ht="12.75" customHeight="1" x14ac:dyDescent="0.2"/>
    <row r="8475" ht="12.75" customHeight="1" x14ac:dyDescent="0.2"/>
    <row r="8476" ht="12.75" customHeight="1" x14ac:dyDescent="0.2"/>
    <row r="8477" ht="12.75" customHeight="1" x14ac:dyDescent="0.2"/>
    <row r="8478" ht="12.75" customHeight="1" x14ac:dyDescent="0.2"/>
    <row r="8479" ht="12.75" customHeight="1" x14ac:dyDescent="0.2"/>
    <row r="8480" ht="12.75" customHeight="1" x14ac:dyDescent="0.2"/>
    <row r="8481" ht="12.75" customHeight="1" x14ac:dyDescent="0.2"/>
    <row r="8482" ht="12.75" customHeight="1" x14ac:dyDescent="0.2"/>
    <row r="8483" ht="12.75" customHeight="1" x14ac:dyDescent="0.2"/>
    <row r="8484" ht="12.75" customHeight="1" x14ac:dyDescent="0.2"/>
    <row r="8485" ht="12.75" customHeight="1" x14ac:dyDescent="0.2"/>
    <row r="8486" ht="12.75" customHeight="1" x14ac:dyDescent="0.2"/>
    <row r="8487" ht="12.75" customHeight="1" x14ac:dyDescent="0.2"/>
    <row r="8488" ht="12.75" customHeight="1" x14ac:dyDescent="0.2"/>
    <row r="8489" ht="12.75" customHeight="1" x14ac:dyDescent="0.2"/>
    <row r="8490" ht="12.75" customHeight="1" x14ac:dyDescent="0.2"/>
    <row r="8491" ht="12.75" customHeight="1" x14ac:dyDescent="0.2"/>
    <row r="8492" ht="12.75" customHeight="1" x14ac:dyDescent="0.2"/>
    <row r="8493" ht="12.75" customHeight="1" x14ac:dyDescent="0.2"/>
    <row r="8494" ht="12.75" customHeight="1" x14ac:dyDescent="0.2"/>
    <row r="8495" ht="12.75" customHeight="1" x14ac:dyDescent="0.2"/>
    <row r="8496" ht="12.75" customHeight="1" x14ac:dyDescent="0.2"/>
    <row r="8497" ht="12.75" customHeight="1" x14ac:dyDescent="0.2"/>
    <row r="8498" ht="12.75" customHeight="1" x14ac:dyDescent="0.2"/>
    <row r="8499" ht="12.75" customHeight="1" x14ac:dyDescent="0.2"/>
    <row r="8500" ht="12.75" customHeight="1" x14ac:dyDescent="0.2"/>
    <row r="8501" ht="12.75" customHeight="1" x14ac:dyDescent="0.2"/>
    <row r="8502" ht="12.75" customHeight="1" x14ac:dyDescent="0.2"/>
    <row r="8503" ht="12.75" customHeight="1" x14ac:dyDescent="0.2"/>
    <row r="8504" ht="12.75" customHeight="1" x14ac:dyDescent="0.2"/>
    <row r="8505" ht="12.75" customHeight="1" x14ac:dyDescent="0.2"/>
    <row r="8506" ht="12.75" customHeight="1" x14ac:dyDescent="0.2"/>
    <row r="8507" ht="12.75" customHeight="1" x14ac:dyDescent="0.2"/>
    <row r="8508" ht="12.75" customHeight="1" x14ac:dyDescent="0.2"/>
    <row r="8509" ht="12.75" customHeight="1" x14ac:dyDescent="0.2"/>
    <row r="8510" ht="12.75" customHeight="1" x14ac:dyDescent="0.2"/>
    <row r="8511" ht="12.75" customHeight="1" x14ac:dyDescent="0.2"/>
    <row r="8512" ht="12.75" customHeight="1" x14ac:dyDescent="0.2"/>
    <row r="8513" ht="12.75" customHeight="1" x14ac:dyDescent="0.2"/>
    <row r="8514" ht="12.75" customHeight="1" x14ac:dyDescent="0.2"/>
    <row r="8515" ht="12.75" customHeight="1" x14ac:dyDescent="0.2"/>
    <row r="8516" ht="12.75" customHeight="1" x14ac:dyDescent="0.2"/>
    <row r="8517" ht="12.75" customHeight="1" x14ac:dyDescent="0.2"/>
    <row r="8518" ht="12.75" customHeight="1" x14ac:dyDescent="0.2"/>
    <row r="8519" ht="12.75" customHeight="1" x14ac:dyDescent="0.2"/>
    <row r="8520" ht="12.75" customHeight="1" x14ac:dyDescent="0.2"/>
    <row r="8521" ht="12.75" customHeight="1" x14ac:dyDescent="0.2"/>
    <row r="8522" ht="12.75" customHeight="1" x14ac:dyDescent="0.2"/>
    <row r="8523" ht="12.75" customHeight="1" x14ac:dyDescent="0.2"/>
    <row r="8524" ht="12.75" customHeight="1" x14ac:dyDescent="0.2"/>
    <row r="8525" ht="12.75" customHeight="1" x14ac:dyDescent="0.2"/>
    <row r="8526" ht="12.75" customHeight="1" x14ac:dyDescent="0.2"/>
    <row r="8527" ht="12.75" customHeight="1" x14ac:dyDescent="0.2"/>
    <row r="8528" ht="12.75" customHeight="1" x14ac:dyDescent="0.2"/>
    <row r="8529" ht="12.75" customHeight="1" x14ac:dyDescent="0.2"/>
    <row r="8530" ht="12.75" customHeight="1" x14ac:dyDescent="0.2"/>
    <row r="8531" ht="12.75" customHeight="1" x14ac:dyDescent="0.2"/>
    <row r="8532" ht="12.75" customHeight="1" x14ac:dyDescent="0.2"/>
    <row r="8533" ht="12.75" customHeight="1" x14ac:dyDescent="0.2"/>
    <row r="8534" ht="12.75" customHeight="1" x14ac:dyDescent="0.2"/>
    <row r="8535" ht="12.75" customHeight="1" x14ac:dyDescent="0.2"/>
    <row r="8536" ht="12.75" customHeight="1" x14ac:dyDescent="0.2"/>
    <row r="8537" ht="12.75" customHeight="1" x14ac:dyDescent="0.2"/>
    <row r="8538" ht="12.75" customHeight="1" x14ac:dyDescent="0.2"/>
    <row r="8539" ht="12.75" customHeight="1" x14ac:dyDescent="0.2"/>
    <row r="8540" ht="12.75" customHeight="1" x14ac:dyDescent="0.2"/>
    <row r="8541" ht="12.75" customHeight="1" x14ac:dyDescent="0.2"/>
    <row r="8542" ht="12.75" customHeight="1" x14ac:dyDescent="0.2"/>
    <row r="8543" ht="12.75" customHeight="1" x14ac:dyDescent="0.2"/>
    <row r="8544" ht="12.75" customHeight="1" x14ac:dyDescent="0.2"/>
    <row r="8545" ht="12.75" customHeight="1" x14ac:dyDescent="0.2"/>
    <row r="8546" ht="12.75" customHeight="1" x14ac:dyDescent="0.2"/>
    <row r="8547" ht="12.75" customHeight="1" x14ac:dyDescent="0.2"/>
    <row r="8548" ht="12.75" customHeight="1" x14ac:dyDescent="0.2"/>
    <row r="8549" ht="12.75" customHeight="1" x14ac:dyDescent="0.2"/>
    <row r="8550" ht="12.75" customHeight="1" x14ac:dyDescent="0.2"/>
    <row r="8551" ht="12.75" customHeight="1" x14ac:dyDescent="0.2"/>
    <row r="8552" ht="12.75" customHeight="1" x14ac:dyDescent="0.2"/>
    <row r="8553" ht="12.75" customHeight="1" x14ac:dyDescent="0.2"/>
    <row r="8554" ht="12.75" customHeight="1" x14ac:dyDescent="0.2"/>
    <row r="8555" ht="12.75" customHeight="1" x14ac:dyDescent="0.2"/>
    <row r="8556" ht="12.75" customHeight="1" x14ac:dyDescent="0.2"/>
    <row r="8557" ht="12.75" customHeight="1" x14ac:dyDescent="0.2"/>
    <row r="8558" ht="12.75" customHeight="1" x14ac:dyDescent="0.2"/>
    <row r="8559" ht="12.75" customHeight="1" x14ac:dyDescent="0.2"/>
    <row r="8560" ht="12.75" customHeight="1" x14ac:dyDescent="0.2"/>
    <row r="8561" ht="12.75" customHeight="1" x14ac:dyDescent="0.2"/>
    <row r="8562" ht="12.75" customHeight="1" x14ac:dyDescent="0.2"/>
    <row r="8563" ht="12.75" customHeight="1" x14ac:dyDescent="0.2"/>
    <row r="8564" ht="12.75" customHeight="1" x14ac:dyDescent="0.2"/>
    <row r="8565" ht="12.75" customHeight="1" x14ac:dyDescent="0.2"/>
    <row r="8566" ht="12.75" customHeight="1" x14ac:dyDescent="0.2"/>
    <row r="8567" ht="12.75" customHeight="1" x14ac:dyDescent="0.2"/>
    <row r="8568" ht="12.75" customHeight="1" x14ac:dyDescent="0.2"/>
    <row r="8569" ht="12.75" customHeight="1" x14ac:dyDescent="0.2"/>
    <row r="8570" ht="12.75" customHeight="1" x14ac:dyDescent="0.2"/>
    <row r="8571" ht="12.75" customHeight="1" x14ac:dyDescent="0.2"/>
    <row r="8572" ht="12.75" customHeight="1" x14ac:dyDescent="0.2"/>
    <row r="8573" ht="12.75" customHeight="1" x14ac:dyDescent="0.2"/>
    <row r="8574" ht="12.75" customHeight="1" x14ac:dyDescent="0.2"/>
    <row r="8575" ht="12.75" customHeight="1" x14ac:dyDescent="0.2"/>
    <row r="8576" ht="12.75" customHeight="1" x14ac:dyDescent="0.2"/>
    <row r="8577" ht="12.75" customHeight="1" x14ac:dyDescent="0.2"/>
    <row r="8578" ht="12.75" customHeight="1" x14ac:dyDescent="0.2"/>
    <row r="8579" ht="12.75" customHeight="1" x14ac:dyDescent="0.2"/>
    <row r="8580" ht="12.75" customHeight="1" x14ac:dyDescent="0.2"/>
    <row r="8581" ht="12.75" customHeight="1" x14ac:dyDescent="0.2"/>
    <row r="8582" ht="12.75" customHeight="1" x14ac:dyDescent="0.2"/>
    <row r="8583" ht="12.75" customHeight="1" x14ac:dyDescent="0.2"/>
    <row r="8584" ht="12.75" customHeight="1" x14ac:dyDescent="0.2"/>
    <row r="8585" ht="12.75" customHeight="1" x14ac:dyDescent="0.2"/>
    <row r="8586" ht="12.75" customHeight="1" x14ac:dyDescent="0.2"/>
    <row r="8587" ht="12.75" customHeight="1" x14ac:dyDescent="0.2"/>
    <row r="8588" ht="12.75" customHeight="1" x14ac:dyDescent="0.2"/>
    <row r="8589" ht="12.75" customHeight="1" x14ac:dyDescent="0.2"/>
    <row r="8590" ht="12.75" customHeight="1" x14ac:dyDescent="0.2"/>
    <row r="8591" ht="12.75" customHeight="1" x14ac:dyDescent="0.2"/>
    <row r="8592" ht="12.75" customHeight="1" x14ac:dyDescent="0.2"/>
    <row r="8593" ht="12.75" customHeight="1" x14ac:dyDescent="0.2"/>
    <row r="8594" ht="12.75" customHeight="1" x14ac:dyDescent="0.2"/>
    <row r="8595" ht="12.75" customHeight="1" x14ac:dyDescent="0.2"/>
    <row r="8596" ht="12.75" customHeight="1" x14ac:dyDescent="0.2"/>
    <row r="8597" ht="12.75" customHeight="1" x14ac:dyDescent="0.2"/>
    <row r="8598" ht="12.75" customHeight="1" x14ac:dyDescent="0.2"/>
    <row r="8599" ht="12.75" customHeight="1" x14ac:dyDescent="0.2"/>
    <row r="8600" ht="12.75" customHeight="1" x14ac:dyDescent="0.2"/>
    <row r="8601" ht="12.75" customHeight="1" x14ac:dyDescent="0.2"/>
    <row r="8602" ht="12.75" customHeight="1" x14ac:dyDescent="0.2"/>
    <row r="8603" ht="12.75" customHeight="1" x14ac:dyDescent="0.2"/>
    <row r="8604" ht="12.75" customHeight="1" x14ac:dyDescent="0.2"/>
    <row r="8605" ht="12.75" customHeight="1" x14ac:dyDescent="0.2"/>
    <row r="8606" ht="12.75" customHeight="1" x14ac:dyDescent="0.2"/>
    <row r="8607" ht="12.75" customHeight="1" x14ac:dyDescent="0.2"/>
    <row r="8608" ht="12.75" customHeight="1" x14ac:dyDescent="0.2"/>
    <row r="8609" ht="12.75" customHeight="1" x14ac:dyDescent="0.2"/>
    <row r="8610" ht="12.75" customHeight="1" x14ac:dyDescent="0.2"/>
    <row r="8611" ht="12.75" customHeight="1" x14ac:dyDescent="0.2"/>
    <row r="8612" ht="12.75" customHeight="1" x14ac:dyDescent="0.2"/>
    <row r="8613" ht="12.75" customHeight="1" x14ac:dyDescent="0.2"/>
    <row r="8614" ht="12.75" customHeight="1" x14ac:dyDescent="0.2"/>
    <row r="8615" ht="12.75" customHeight="1" x14ac:dyDescent="0.2"/>
    <row r="8616" ht="12.75" customHeight="1" x14ac:dyDescent="0.2"/>
    <row r="8617" ht="12.75" customHeight="1" x14ac:dyDescent="0.2"/>
    <row r="8618" ht="12.75" customHeight="1" x14ac:dyDescent="0.2"/>
    <row r="8619" ht="12.75" customHeight="1" x14ac:dyDescent="0.2"/>
    <row r="8620" ht="12.75" customHeight="1" x14ac:dyDescent="0.2"/>
    <row r="8621" ht="12.75" customHeight="1" x14ac:dyDescent="0.2"/>
    <row r="8622" ht="12.75" customHeight="1" x14ac:dyDescent="0.2"/>
    <row r="8623" ht="12.75" customHeight="1" x14ac:dyDescent="0.2"/>
    <row r="8624" ht="12.75" customHeight="1" x14ac:dyDescent="0.2"/>
    <row r="8625" ht="12.75" customHeight="1" x14ac:dyDescent="0.2"/>
    <row r="8626" ht="12.75" customHeight="1" x14ac:dyDescent="0.2"/>
    <row r="8627" ht="12.75" customHeight="1" x14ac:dyDescent="0.2"/>
    <row r="8628" ht="12.75" customHeight="1" x14ac:dyDescent="0.2"/>
    <row r="8629" ht="12.75" customHeight="1" x14ac:dyDescent="0.2"/>
    <row r="8630" ht="12.75" customHeight="1" x14ac:dyDescent="0.2"/>
    <row r="8631" ht="12.75" customHeight="1" x14ac:dyDescent="0.2"/>
    <row r="8632" ht="12.75" customHeight="1" x14ac:dyDescent="0.2"/>
    <row r="8633" ht="12.75" customHeight="1" x14ac:dyDescent="0.2"/>
    <row r="8634" ht="12.75" customHeight="1" x14ac:dyDescent="0.2"/>
    <row r="8635" ht="12.75" customHeight="1" x14ac:dyDescent="0.2"/>
    <row r="8636" ht="12.75" customHeight="1" x14ac:dyDescent="0.2"/>
    <row r="8637" ht="12.75" customHeight="1" x14ac:dyDescent="0.2"/>
    <row r="8638" ht="12.75" customHeight="1" x14ac:dyDescent="0.2"/>
    <row r="8639" ht="12.75" customHeight="1" x14ac:dyDescent="0.2"/>
    <row r="8640" ht="12.75" customHeight="1" x14ac:dyDescent="0.2"/>
    <row r="8641" ht="12.75" customHeight="1" x14ac:dyDescent="0.2"/>
    <row r="8642" ht="12.75" customHeight="1" x14ac:dyDescent="0.2"/>
    <row r="8643" ht="12.75" customHeight="1" x14ac:dyDescent="0.2"/>
    <row r="8644" ht="12.75" customHeight="1" x14ac:dyDescent="0.2"/>
    <row r="8645" ht="12.75" customHeight="1" x14ac:dyDescent="0.2"/>
    <row r="8646" ht="12.75" customHeight="1" x14ac:dyDescent="0.2"/>
    <row r="8647" ht="12.75" customHeight="1" x14ac:dyDescent="0.2"/>
    <row r="8648" ht="12.75" customHeight="1" x14ac:dyDescent="0.2"/>
    <row r="8649" ht="12.75" customHeight="1" x14ac:dyDescent="0.2"/>
    <row r="8650" ht="12.75" customHeight="1" x14ac:dyDescent="0.2"/>
    <row r="8651" ht="12.75" customHeight="1" x14ac:dyDescent="0.2"/>
    <row r="8652" ht="12.75" customHeight="1" x14ac:dyDescent="0.2"/>
    <row r="8653" ht="12.75" customHeight="1" x14ac:dyDescent="0.2"/>
    <row r="8654" ht="12.75" customHeight="1" x14ac:dyDescent="0.2"/>
    <row r="8655" ht="12.75" customHeight="1" x14ac:dyDescent="0.2"/>
    <row r="8656" ht="12.75" customHeight="1" x14ac:dyDescent="0.2"/>
    <row r="8657" ht="12.75" customHeight="1" x14ac:dyDescent="0.2"/>
    <row r="8658" ht="12.75" customHeight="1" x14ac:dyDescent="0.2"/>
    <row r="8659" ht="12.75" customHeight="1" x14ac:dyDescent="0.2"/>
    <row r="8660" ht="12.75" customHeight="1" x14ac:dyDescent="0.2"/>
    <row r="8661" ht="12.75" customHeight="1" x14ac:dyDescent="0.2"/>
    <row r="8662" ht="12.75" customHeight="1" x14ac:dyDescent="0.2"/>
    <row r="8663" ht="12.75" customHeight="1" x14ac:dyDescent="0.2"/>
    <row r="8664" ht="12.75" customHeight="1" x14ac:dyDescent="0.2"/>
    <row r="8665" ht="12.75" customHeight="1" x14ac:dyDescent="0.2"/>
    <row r="8666" ht="12.75" customHeight="1" x14ac:dyDescent="0.2"/>
    <row r="8667" ht="12.75" customHeight="1" x14ac:dyDescent="0.2"/>
    <row r="8668" ht="12.75" customHeight="1" x14ac:dyDescent="0.2"/>
    <row r="8669" ht="12.75" customHeight="1" x14ac:dyDescent="0.2"/>
    <row r="8670" ht="12.75" customHeight="1" x14ac:dyDescent="0.2"/>
    <row r="8671" ht="12.75" customHeight="1" x14ac:dyDescent="0.2"/>
    <row r="8672" ht="12.75" customHeight="1" x14ac:dyDescent="0.2"/>
    <row r="8673" ht="12.75" customHeight="1" x14ac:dyDescent="0.2"/>
    <row r="8674" ht="12.75" customHeight="1" x14ac:dyDescent="0.2"/>
    <row r="8675" ht="12.75" customHeight="1" x14ac:dyDescent="0.2"/>
    <row r="8676" ht="12.75" customHeight="1" x14ac:dyDescent="0.2"/>
    <row r="8677" ht="12.75" customHeight="1" x14ac:dyDescent="0.2"/>
    <row r="8678" ht="12.75" customHeight="1" x14ac:dyDescent="0.2"/>
    <row r="8679" ht="12.75" customHeight="1" x14ac:dyDescent="0.2"/>
    <row r="8680" ht="12.75" customHeight="1" x14ac:dyDescent="0.2"/>
    <row r="8681" ht="12.75" customHeight="1" x14ac:dyDescent="0.2"/>
    <row r="8682" ht="12.75" customHeight="1" x14ac:dyDescent="0.2"/>
    <row r="8683" ht="12.75" customHeight="1" x14ac:dyDescent="0.2"/>
    <row r="8684" ht="12.75" customHeight="1" x14ac:dyDescent="0.2"/>
    <row r="8685" ht="12.75" customHeight="1" x14ac:dyDescent="0.2"/>
    <row r="8686" ht="12.75" customHeight="1" x14ac:dyDescent="0.2"/>
    <row r="8687" ht="12.75" customHeight="1" x14ac:dyDescent="0.2"/>
    <row r="8688" ht="12.75" customHeight="1" x14ac:dyDescent="0.2"/>
    <row r="8689" ht="12.75" customHeight="1" x14ac:dyDescent="0.2"/>
    <row r="8690" ht="12.75" customHeight="1" x14ac:dyDescent="0.2"/>
    <row r="8691" ht="12.75" customHeight="1" x14ac:dyDescent="0.2"/>
    <row r="8692" ht="12.75" customHeight="1" x14ac:dyDescent="0.2"/>
    <row r="8693" ht="12.75" customHeight="1" x14ac:dyDescent="0.2"/>
    <row r="8694" ht="12.75" customHeight="1" x14ac:dyDescent="0.2"/>
    <row r="8695" ht="12.75" customHeight="1" x14ac:dyDescent="0.2"/>
    <row r="8696" ht="12.75" customHeight="1" x14ac:dyDescent="0.2"/>
    <row r="8697" ht="12.75" customHeight="1" x14ac:dyDescent="0.2"/>
    <row r="8698" ht="12.75" customHeight="1" x14ac:dyDescent="0.2"/>
    <row r="8699" ht="12.75" customHeight="1" x14ac:dyDescent="0.2"/>
    <row r="8700" ht="12.75" customHeight="1" x14ac:dyDescent="0.2"/>
    <row r="8701" ht="12.75" customHeight="1" x14ac:dyDescent="0.2"/>
    <row r="8702" ht="12.75" customHeight="1" x14ac:dyDescent="0.2"/>
    <row r="8703" ht="12.75" customHeight="1" x14ac:dyDescent="0.2"/>
    <row r="8704" ht="12.75" customHeight="1" x14ac:dyDescent="0.2"/>
    <row r="8705" ht="12.75" customHeight="1" x14ac:dyDescent="0.2"/>
    <row r="8706" ht="12.75" customHeight="1" x14ac:dyDescent="0.2"/>
    <row r="8707" ht="12.75" customHeight="1" x14ac:dyDescent="0.2"/>
    <row r="8708" ht="12.75" customHeight="1" x14ac:dyDescent="0.2"/>
    <row r="8709" ht="12.75" customHeight="1" x14ac:dyDescent="0.2"/>
    <row r="8710" ht="12.75" customHeight="1" x14ac:dyDescent="0.2"/>
    <row r="8711" ht="12.75" customHeight="1" x14ac:dyDescent="0.2"/>
    <row r="8712" ht="12.75" customHeight="1" x14ac:dyDescent="0.2"/>
    <row r="8713" ht="12.75" customHeight="1" x14ac:dyDescent="0.2"/>
    <row r="8714" ht="12.75" customHeight="1" x14ac:dyDescent="0.2"/>
    <row r="8715" ht="12.75" customHeight="1" x14ac:dyDescent="0.2"/>
    <row r="8716" ht="12.75" customHeight="1" x14ac:dyDescent="0.2"/>
    <row r="8717" ht="12.75" customHeight="1" x14ac:dyDescent="0.2"/>
    <row r="8718" ht="12.75" customHeight="1" x14ac:dyDescent="0.2"/>
    <row r="8719" ht="12.75" customHeight="1" x14ac:dyDescent="0.2"/>
    <row r="8720" ht="12.75" customHeight="1" x14ac:dyDescent="0.2"/>
    <row r="8721" ht="12.75" customHeight="1" x14ac:dyDescent="0.2"/>
    <row r="8722" ht="12.75" customHeight="1" x14ac:dyDescent="0.2"/>
    <row r="8723" ht="12.75" customHeight="1" x14ac:dyDescent="0.2"/>
    <row r="8724" ht="12.75" customHeight="1" x14ac:dyDescent="0.2"/>
    <row r="8725" ht="12.75" customHeight="1" x14ac:dyDescent="0.2"/>
    <row r="8726" ht="12.75" customHeight="1" x14ac:dyDescent="0.2"/>
    <row r="8727" ht="12.75" customHeight="1" x14ac:dyDescent="0.2"/>
    <row r="8728" ht="12.75" customHeight="1" x14ac:dyDescent="0.2"/>
    <row r="8729" ht="12.75" customHeight="1" x14ac:dyDescent="0.2"/>
    <row r="8730" ht="12.75" customHeight="1" x14ac:dyDescent="0.2"/>
    <row r="8731" ht="12.75" customHeight="1" x14ac:dyDescent="0.2"/>
    <row r="8732" ht="12.75" customHeight="1" x14ac:dyDescent="0.2"/>
    <row r="8733" ht="12.75" customHeight="1" x14ac:dyDescent="0.2"/>
    <row r="8734" ht="12.75" customHeight="1" x14ac:dyDescent="0.2"/>
    <row r="8735" ht="12.75" customHeight="1" x14ac:dyDescent="0.2"/>
    <row r="8736" ht="12.75" customHeight="1" x14ac:dyDescent="0.2"/>
    <row r="8737" ht="12.75" customHeight="1" x14ac:dyDescent="0.2"/>
    <row r="8738" ht="12.75" customHeight="1" x14ac:dyDescent="0.2"/>
    <row r="8739" ht="12.75" customHeight="1" x14ac:dyDescent="0.2"/>
    <row r="8740" ht="12.75" customHeight="1" x14ac:dyDescent="0.2"/>
    <row r="8741" ht="12.75" customHeight="1" x14ac:dyDescent="0.2"/>
    <row r="8742" ht="12.75" customHeight="1" x14ac:dyDescent="0.2"/>
    <row r="8743" ht="12.75" customHeight="1" x14ac:dyDescent="0.2"/>
    <row r="8744" ht="12.75" customHeight="1" x14ac:dyDescent="0.2"/>
    <row r="8745" ht="12.75" customHeight="1" x14ac:dyDescent="0.2"/>
    <row r="8746" ht="12.75" customHeight="1" x14ac:dyDescent="0.2"/>
    <row r="8747" ht="12.75" customHeight="1" x14ac:dyDescent="0.2"/>
    <row r="8748" ht="12.75" customHeight="1" x14ac:dyDescent="0.2"/>
    <row r="8749" ht="12.75" customHeight="1" x14ac:dyDescent="0.2"/>
    <row r="8750" ht="12.75" customHeight="1" x14ac:dyDescent="0.2"/>
    <row r="8751" ht="12.75" customHeight="1" x14ac:dyDescent="0.2"/>
    <row r="8752" ht="12.75" customHeight="1" x14ac:dyDescent="0.2"/>
    <row r="8753" ht="12.75" customHeight="1" x14ac:dyDescent="0.2"/>
    <row r="8754" ht="12.75" customHeight="1" x14ac:dyDescent="0.2"/>
    <row r="8755" ht="12.75" customHeight="1" x14ac:dyDescent="0.2"/>
    <row r="8756" ht="12.75" customHeight="1" x14ac:dyDescent="0.2"/>
    <row r="8757" ht="12.75" customHeight="1" x14ac:dyDescent="0.2"/>
    <row r="8758" ht="12.75" customHeight="1" x14ac:dyDescent="0.2"/>
    <row r="8759" ht="12.75" customHeight="1" x14ac:dyDescent="0.2"/>
    <row r="8760" ht="12.75" customHeight="1" x14ac:dyDescent="0.2"/>
    <row r="8761" ht="12.75" customHeight="1" x14ac:dyDescent="0.2"/>
    <row r="8762" ht="12.75" customHeight="1" x14ac:dyDescent="0.2"/>
    <row r="8763" ht="12.75" customHeight="1" x14ac:dyDescent="0.2"/>
    <row r="8764" ht="12.75" customHeight="1" x14ac:dyDescent="0.2"/>
    <row r="8765" ht="12.75" customHeight="1" x14ac:dyDescent="0.2"/>
    <row r="8766" ht="12.75" customHeight="1" x14ac:dyDescent="0.2"/>
    <row r="8767" ht="12.75" customHeight="1" x14ac:dyDescent="0.2"/>
    <row r="8768" ht="12.75" customHeight="1" x14ac:dyDescent="0.2"/>
    <row r="8769" ht="12.75" customHeight="1" x14ac:dyDescent="0.2"/>
    <row r="8770" ht="12.75" customHeight="1" x14ac:dyDescent="0.2"/>
    <row r="8771" ht="12.75" customHeight="1" x14ac:dyDescent="0.2"/>
    <row r="8772" ht="12.75" customHeight="1" x14ac:dyDescent="0.2"/>
    <row r="8773" ht="12.75" customHeight="1" x14ac:dyDescent="0.2"/>
    <row r="8774" ht="12.75" customHeight="1" x14ac:dyDescent="0.2"/>
    <row r="8775" ht="12.75" customHeight="1" x14ac:dyDescent="0.2"/>
    <row r="8776" ht="12.75" customHeight="1" x14ac:dyDescent="0.2"/>
    <row r="8777" ht="12.75" customHeight="1" x14ac:dyDescent="0.2"/>
    <row r="8778" ht="12.75" customHeight="1" x14ac:dyDescent="0.2"/>
    <row r="8779" ht="12.75" customHeight="1" x14ac:dyDescent="0.2"/>
    <row r="8780" ht="12.75" customHeight="1" x14ac:dyDescent="0.2"/>
    <row r="8781" ht="12.75" customHeight="1" x14ac:dyDescent="0.2"/>
    <row r="8782" ht="12.75" customHeight="1" x14ac:dyDescent="0.2"/>
    <row r="8783" ht="12.75" customHeight="1" x14ac:dyDescent="0.2"/>
    <row r="8784" ht="12.75" customHeight="1" x14ac:dyDescent="0.2"/>
    <row r="8785" ht="12.75" customHeight="1" x14ac:dyDescent="0.2"/>
    <row r="8786" ht="12.75" customHeight="1" x14ac:dyDescent="0.2"/>
    <row r="8787" ht="12.75" customHeight="1" x14ac:dyDescent="0.2"/>
    <row r="8788" ht="12.75" customHeight="1" x14ac:dyDescent="0.2"/>
    <row r="8789" ht="12.75" customHeight="1" x14ac:dyDescent="0.2"/>
    <row r="8790" ht="12.75" customHeight="1" x14ac:dyDescent="0.2"/>
    <row r="8791" ht="12.75" customHeight="1" x14ac:dyDescent="0.2"/>
    <row r="8792" ht="12.75" customHeight="1" x14ac:dyDescent="0.2"/>
    <row r="8793" ht="12.75" customHeight="1" x14ac:dyDescent="0.2"/>
    <row r="8794" ht="12.75" customHeight="1" x14ac:dyDescent="0.2"/>
    <row r="8795" ht="12.75" customHeight="1" x14ac:dyDescent="0.2"/>
    <row r="8796" ht="12.75" customHeight="1" x14ac:dyDescent="0.2"/>
    <row r="8797" ht="12.75" customHeight="1" x14ac:dyDescent="0.2"/>
    <row r="8798" ht="12.75" customHeight="1" x14ac:dyDescent="0.2"/>
    <row r="8799" ht="12.75" customHeight="1" x14ac:dyDescent="0.2"/>
    <row r="8800" ht="12.75" customHeight="1" x14ac:dyDescent="0.2"/>
    <row r="8801" ht="12.75" customHeight="1" x14ac:dyDescent="0.2"/>
    <row r="8802" ht="12.75" customHeight="1" x14ac:dyDescent="0.2"/>
    <row r="8803" ht="12.75" customHeight="1" x14ac:dyDescent="0.2"/>
    <row r="8804" ht="12.75" customHeight="1" x14ac:dyDescent="0.2"/>
    <row r="8805" ht="12.75" customHeight="1" x14ac:dyDescent="0.2"/>
    <row r="8806" ht="12.75" customHeight="1" x14ac:dyDescent="0.2"/>
    <row r="8807" ht="12.75" customHeight="1" x14ac:dyDescent="0.2"/>
    <row r="8808" ht="12.75" customHeight="1" x14ac:dyDescent="0.2"/>
    <row r="8809" ht="12.75" customHeight="1" x14ac:dyDescent="0.2"/>
    <row r="8810" ht="12.75" customHeight="1" x14ac:dyDescent="0.2"/>
    <row r="8811" ht="12.75" customHeight="1" x14ac:dyDescent="0.2"/>
    <row r="8812" ht="12.75" customHeight="1" x14ac:dyDescent="0.2"/>
    <row r="8813" ht="12.75" customHeight="1" x14ac:dyDescent="0.2"/>
    <row r="8814" ht="12.75" customHeight="1" x14ac:dyDescent="0.2"/>
    <row r="8815" ht="12.75" customHeight="1" x14ac:dyDescent="0.2"/>
    <row r="8816" ht="12.75" customHeight="1" x14ac:dyDescent="0.2"/>
    <row r="8817" ht="12.75" customHeight="1" x14ac:dyDescent="0.2"/>
    <row r="8818" ht="12.75" customHeight="1" x14ac:dyDescent="0.2"/>
    <row r="8819" ht="12.75" customHeight="1" x14ac:dyDescent="0.2"/>
    <row r="8820" ht="12.75" customHeight="1" x14ac:dyDescent="0.2"/>
    <row r="8821" ht="12.75" customHeight="1" x14ac:dyDescent="0.2"/>
    <row r="8822" ht="12.75" customHeight="1" x14ac:dyDescent="0.2"/>
    <row r="8823" ht="12.75" customHeight="1" x14ac:dyDescent="0.2"/>
    <row r="8824" ht="12.75" customHeight="1" x14ac:dyDescent="0.2"/>
    <row r="8825" ht="12.75" customHeight="1" x14ac:dyDescent="0.2"/>
    <row r="8826" ht="12.75" customHeight="1" x14ac:dyDescent="0.2"/>
    <row r="8827" ht="12.75" customHeight="1" x14ac:dyDescent="0.2"/>
    <row r="8828" ht="12.75" customHeight="1" x14ac:dyDescent="0.2"/>
    <row r="8829" ht="12.75" customHeight="1" x14ac:dyDescent="0.2"/>
    <row r="8830" ht="12.75" customHeight="1" x14ac:dyDescent="0.2"/>
    <row r="8831" ht="12.75" customHeight="1" x14ac:dyDescent="0.2"/>
    <row r="8832" ht="12.75" customHeight="1" x14ac:dyDescent="0.2"/>
    <row r="8833" ht="12.75" customHeight="1" x14ac:dyDescent="0.2"/>
    <row r="8834" ht="12.75" customHeight="1" x14ac:dyDescent="0.2"/>
    <row r="8835" ht="12.75" customHeight="1" x14ac:dyDescent="0.2"/>
    <row r="8836" ht="12.75" customHeight="1" x14ac:dyDescent="0.2"/>
    <row r="8837" ht="12.75" customHeight="1" x14ac:dyDescent="0.2"/>
    <row r="8838" ht="12.75" customHeight="1" x14ac:dyDescent="0.2"/>
    <row r="8839" ht="12.75" customHeight="1" x14ac:dyDescent="0.2"/>
    <row r="8840" ht="12.75" customHeight="1" x14ac:dyDescent="0.2"/>
    <row r="8841" ht="12.75" customHeight="1" x14ac:dyDescent="0.2"/>
    <row r="8842" ht="12.75" customHeight="1" x14ac:dyDescent="0.2"/>
    <row r="8843" ht="12.75" customHeight="1" x14ac:dyDescent="0.2"/>
    <row r="8844" ht="12.75" customHeight="1" x14ac:dyDescent="0.2"/>
    <row r="8845" ht="12.75" customHeight="1" x14ac:dyDescent="0.2"/>
    <row r="8846" ht="12.75" customHeight="1" x14ac:dyDescent="0.2"/>
    <row r="8847" ht="12.75" customHeight="1" x14ac:dyDescent="0.2"/>
    <row r="8848" ht="12.75" customHeight="1" x14ac:dyDescent="0.2"/>
    <row r="8849" ht="12.75" customHeight="1" x14ac:dyDescent="0.2"/>
    <row r="8850" ht="12.75" customHeight="1" x14ac:dyDescent="0.2"/>
    <row r="8851" ht="12.75" customHeight="1" x14ac:dyDescent="0.2"/>
    <row r="8852" ht="12.75" customHeight="1" x14ac:dyDescent="0.2"/>
    <row r="8853" ht="12.75" customHeight="1" x14ac:dyDescent="0.2"/>
    <row r="8854" ht="12.75" customHeight="1" x14ac:dyDescent="0.2"/>
    <row r="8855" ht="12.75" customHeight="1" x14ac:dyDescent="0.2"/>
    <row r="8856" ht="12.75" customHeight="1" x14ac:dyDescent="0.2"/>
    <row r="8857" ht="12.75" customHeight="1" x14ac:dyDescent="0.2"/>
    <row r="8858" ht="12.75" customHeight="1" x14ac:dyDescent="0.2"/>
    <row r="8859" ht="12.75" customHeight="1" x14ac:dyDescent="0.2"/>
    <row r="8860" ht="12.75" customHeight="1" x14ac:dyDescent="0.2"/>
    <row r="8861" ht="12.75" customHeight="1" x14ac:dyDescent="0.2"/>
    <row r="8862" ht="12.75" customHeight="1" x14ac:dyDescent="0.2"/>
    <row r="8863" ht="12.75" customHeight="1" x14ac:dyDescent="0.2"/>
    <row r="8864" ht="12.75" customHeight="1" x14ac:dyDescent="0.2"/>
    <row r="8865" ht="12.75" customHeight="1" x14ac:dyDescent="0.2"/>
    <row r="8866" ht="12.75" customHeight="1" x14ac:dyDescent="0.2"/>
    <row r="8867" ht="12.75" customHeight="1" x14ac:dyDescent="0.2"/>
    <row r="8868" ht="12.75" customHeight="1" x14ac:dyDescent="0.2"/>
    <row r="8869" ht="12.75" customHeight="1" x14ac:dyDescent="0.2"/>
    <row r="8870" ht="12.75" customHeight="1" x14ac:dyDescent="0.2"/>
    <row r="8871" ht="12.75" customHeight="1" x14ac:dyDescent="0.2"/>
    <row r="8872" ht="12.75" customHeight="1" x14ac:dyDescent="0.2"/>
    <row r="8873" ht="12.75" customHeight="1" x14ac:dyDescent="0.2"/>
    <row r="8874" ht="12.75" customHeight="1" x14ac:dyDescent="0.2"/>
    <row r="8875" ht="12.75" customHeight="1" x14ac:dyDescent="0.2"/>
    <row r="8876" ht="12.75" customHeight="1" x14ac:dyDescent="0.2"/>
    <row r="8877" ht="12.75" customHeight="1" x14ac:dyDescent="0.2"/>
    <row r="8878" ht="12.75" customHeight="1" x14ac:dyDescent="0.2"/>
    <row r="8879" ht="12.75" customHeight="1" x14ac:dyDescent="0.2"/>
    <row r="8880" ht="12.75" customHeight="1" x14ac:dyDescent="0.2"/>
    <row r="8881" ht="12.75" customHeight="1" x14ac:dyDescent="0.2"/>
    <row r="8882" ht="12.75" customHeight="1" x14ac:dyDescent="0.2"/>
    <row r="8883" ht="12.75" customHeight="1" x14ac:dyDescent="0.2"/>
    <row r="8884" ht="12.75" customHeight="1" x14ac:dyDescent="0.2"/>
    <row r="8885" ht="12.75" customHeight="1" x14ac:dyDescent="0.2"/>
    <row r="8886" ht="12.75" customHeight="1" x14ac:dyDescent="0.2"/>
    <row r="8887" ht="12.75" customHeight="1" x14ac:dyDescent="0.2"/>
    <row r="8888" ht="12.75" customHeight="1" x14ac:dyDescent="0.2"/>
    <row r="8889" ht="12.75" customHeight="1" x14ac:dyDescent="0.2"/>
    <row r="8890" ht="12.75" customHeight="1" x14ac:dyDescent="0.2"/>
    <row r="8891" ht="12.75" customHeight="1" x14ac:dyDescent="0.2"/>
    <row r="8892" ht="12.75" customHeight="1" x14ac:dyDescent="0.2"/>
    <row r="8893" ht="12.75" customHeight="1" x14ac:dyDescent="0.2"/>
    <row r="8894" ht="12.75" customHeight="1" x14ac:dyDescent="0.2"/>
    <row r="8895" ht="12.75" customHeight="1" x14ac:dyDescent="0.2"/>
    <row r="8896" ht="12.75" customHeight="1" x14ac:dyDescent="0.2"/>
    <row r="8897" ht="12.75" customHeight="1" x14ac:dyDescent="0.2"/>
    <row r="8898" ht="12.75" customHeight="1" x14ac:dyDescent="0.2"/>
    <row r="8899" ht="12.75" customHeight="1" x14ac:dyDescent="0.2"/>
    <row r="8900" ht="12.75" customHeight="1" x14ac:dyDescent="0.2"/>
    <row r="8901" ht="12.75" customHeight="1" x14ac:dyDescent="0.2"/>
    <row r="8902" ht="12.75" customHeight="1" x14ac:dyDescent="0.2"/>
    <row r="8903" ht="12.75" customHeight="1" x14ac:dyDescent="0.2"/>
    <row r="8904" ht="12.75" customHeight="1" x14ac:dyDescent="0.2"/>
    <row r="8905" ht="12.75" customHeight="1" x14ac:dyDescent="0.2"/>
    <row r="8906" ht="12.75" customHeight="1" x14ac:dyDescent="0.2"/>
    <row r="8907" ht="12.75" customHeight="1" x14ac:dyDescent="0.2"/>
    <row r="8908" ht="12.75" customHeight="1" x14ac:dyDescent="0.2"/>
    <row r="8909" ht="12.75" customHeight="1" x14ac:dyDescent="0.2"/>
    <row r="8910" ht="12.75" customHeight="1" x14ac:dyDescent="0.2"/>
    <row r="8911" ht="12.75" customHeight="1" x14ac:dyDescent="0.2"/>
    <row r="8912" ht="12.75" customHeight="1" x14ac:dyDescent="0.2"/>
    <row r="8913" ht="12.75" customHeight="1" x14ac:dyDescent="0.2"/>
    <row r="8914" ht="12.75" customHeight="1" x14ac:dyDescent="0.2"/>
    <row r="8915" ht="12.75" customHeight="1" x14ac:dyDescent="0.2"/>
    <row r="8916" ht="12.75" customHeight="1" x14ac:dyDescent="0.2"/>
    <row r="8917" ht="12.75" customHeight="1" x14ac:dyDescent="0.2"/>
    <row r="8918" ht="12.75" customHeight="1" x14ac:dyDescent="0.2"/>
    <row r="8919" ht="12.75" customHeight="1" x14ac:dyDescent="0.2"/>
    <row r="8920" ht="12.75" customHeight="1" x14ac:dyDescent="0.2"/>
    <row r="8921" ht="12.75" customHeight="1" x14ac:dyDescent="0.2"/>
    <row r="8922" ht="12.75" customHeight="1" x14ac:dyDescent="0.2"/>
    <row r="8923" ht="12.75" customHeight="1" x14ac:dyDescent="0.2"/>
    <row r="8924" ht="12.75" customHeight="1" x14ac:dyDescent="0.2"/>
    <row r="8925" ht="12.75" customHeight="1" x14ac:dyDescent="0.2"/>
    <row r="8926" ht="12.75" customHeight="1" x14ac:dyDescent="0.2"/>
    <row r="8927" ht="12.75" customHeight="1" x14ac:dyDescent="0.2"/>
    <row r="8928" ht="12.75" customHeight="1" x14ac:dyDescent="0.2"/>
    <row r="8929" ht="12.75" customHeight="1" x14ac:dyDescent="0.2"/>
    <row r="8930" ht="12.75" customHeight="1" x14ac:dyDescent="0.2"/>
    <row r="8931" ht="12.75" customHeight="1" x14ac:dyDescent="0.2"/>
    <row r="8932" ht="12.75" customHeight="1" x14ac:dyDescent="0.2"/>
    <row r="8933" ht="12.75" customHeight="1" x14ac:dyDescent="0.2"/>
    <row r="8934" ht="12.75" customHeight="1" x14ac:dyDescent="0.2"/>
    <row r="8935" ht="12.75" customHeight="1" x14ac:dyDescent="0.2"/>
    <row r="8936" ht="12.75" customHeight="1" x14ac:dyDescent="0.2"/>
    <row r="8937" ht="12.75" customHeight="1" x14ac:dyDescent="0.2"/>
    <row r="8938" ht="12.75" customHeight="1" x14ac:dyDescent="0.2"/>
    <row r="8939" ht="12.75" customHeight="1" x14ac:dyDescent="0.2"/>
    <row r="8940" ht="12.75" customHeight="1" x14ac:dyDescent="0.2"/>
    <row r="8941" ht="12.75" customHeight="1" x14ac:dyDescent="0.2"/>
    <row r="8942" ht="12.75" customHeight="1" x14ac:dyDescent="0.2"/>
    <row r="8943" ht="12.75" customHeight="1" x14ac:dyDescent="0.2"/>
    <row r="8944" ht="12.75" customHeight="1" x14ac:dyDescent="0.2"/>
    <row r="8945" ht="12.75" customHeight="1" x14ac:dyDescent="0.2"/>
    <row r="8946" ht="12.75" customHeight="1" x14ac:dyDescent="0.2"/>
    <row r="8947" ht="12.75" customHeight="1" x14ac:dyDescent="0.2"/>
    <row r="8948" ht="12.75" customHeight="1" x14ac:dyDescent="0.2"/>
    <row r="8949" ht="12.75" customHeight="1" x14ac:dyDescent="0.2"/>
    <row r="8950" ht="12.75" customHeight="1" x14ac:dyDescent="0.2"/>
    <row r="8951" ht="12.75" customHeight="1" x14ac:dyDescent="0.2"/>
    <row r="8952" ht="12.75" customHeight="1" x14ac:dyDescent="0.2"/>
    <row r="8953" ht="12.75" customHeight="1" x14ac:dyDescent="0.2"/>
    <row r="8954" ht="12.75" customHeight="1" x14ac:dyDescent="0.2"/>
    <row r="8955" ht="12.75" customHeight="1" x14ac:dyDescent="0.2"/>
    <row r="8956" ht="12.75" customHeight="1" x14ac:dyDescent="0.2"/>
    <row r="8957" ht="12.75" customHeight="1" x14ac:dyDescent="0.2"/>
    <row r="8958" ht="12.75" customHeight="1" x14ac:dyDescent="0.2"/>
    <row r="8959" ht="12.75" customHeight="1" x14ac:dyDescent="0.2"/>
    <row r="8960" ht="12.75" customHeight="1" x14ac:dyDescent="0.2"/>
    <row r="8961" ht="12.75" customHeight="1" x14ac:dyDescent="0.2"/>
    <row r="8962" ht="12.75" customHeight="1" x14ac:dyDescent="0.2"/>
    <row r="8963" ht="12.75" customHeight="1" x14ac:dyDescent="0.2"/>
    <row r="8964" ht="12.75" customHeight="1" x14ac:dyDescent="0.2"/>
    <row r="8965" ht="12.75" customHeight="1" x14ac:dyDescent="0.2"/>
    <row r="8966" ht="12.75" customHeight="1" x14ac:dyDescent="0.2"/>
    <row r="8967" ht="12.75" customHeight="1" x14ac:dyDescent="0.2"/>
    <row r="8968" ht="12.75" customHeight="1" x14ac:dyDescent="0.2"/>
    <row r="8969" ht="12.75" customHeight="1" x14ac:dyDescent="0.2"/>
    <row r="8970" ht="12.75" customHeight="1" x14ac:dyDescent="0.2"/>
    <row r="8971" ht="12.75" customHeight="1" x14ac:dyDescent="0.2"/>
    <row r="8972" ht="12.75" customHeight="1" x14ac:dyDescent="0.2"/>
    <row r="8973" ht="12.75" customHeight="1" x14ac:dyDescent="0.2"/>
    <row r="8974" ht="12.75" customHeight="1" x14ac:dyDescent="0.2"/>
    <row r="8975" ht="12.75" customHeight="1" x14ac:dyDescent="0.2"/>
    <row r="8976" ht="12.75" customHeight="1" x14ac:dyDescent="0.2"/>
    <row r="8977" ht="12.75" customHeight="1" x14ac:dyDescent="0.2"/>
    <row r="8978" ht="12.75" customHeight="1" x14ac:dyDescent="0.2"/>
    <row r="8979" ht="12.75" customHeight="1" x14ac:dyDescent="0.2"/>
    <row r="8980" ht="12.75" customHeight="1" x14ac:dyDescent="0.2"/>
    <row r="8981" ht="12.75" customHeight="1" x14ac:dyDescent="0.2"/>
    <row r="8982" ht="12.75" customHeight="1" x14ac:dyDescent="0.2"/>
    <row r="8983" ht="12.75" customHeight="1" x14ac:dyDescent="0.2"/>
    <row r="8984" ht="12.75" customHeight="1" x14ac:dyDescent="0.2"/>
    <row r="8985" ht="12.75" customHeight="1" x14ac:dyDescent="0.2"/>
    <row r="8986" ht="12.75" customHeight="1" x14ac:dyDescent="0.2"/>
    <row r="8987" ht="12.75" customHeight="1" x14ac:dyDescent="0.2"/>
    <row r="8988" ht="12.75" customHeight="1" x14ac:dyDescent="0.2"/>
    <row r="8989" ht="12.75" customHeight="1" x14ac:dyDescent="0.2"/>
    <row r="8990" ht="12.75" customHeight="1" x14ac:dyDescent="0.2"/>
    <row r="8991" ht="12.75" customHeight="1" x14ac:dyDescent="0.2"/>
    <row r="8992" ht="12.75" customHeight="1" x14ac:dyDescent="0.2"/>
    <row r="8993" ht="12.75" customHeight="1" x14ac:dyDescent="0.2"/>
    <row r="8994" ht="12.75" customHeight="1" x14ac:dyDescent="0.2"/>
    <row r="8995" ht="12.75" customHeight="1" x14ac:dyDescent="0.2"/>
    <row r="8996" ht="12.75" customHeight="1" x14ac:dyDescent="0.2"/>
    <row r="8997" ht="12.75" customHeight="1" x14ac:dyDescent="0.2"/>
    <row r="8998" ht="12.75" customHeight="1" x14ac:dyDescent="0.2"/>
    <row r="8999" ht="12.75" customHeight="1" x14ac:dyDescent="0.2"/>
    <row r="9000" ht="12.75" customHeight="1" x14ac:dyDescent="0.2"/>
    <row r="9001" ht="12.75" customHeight="1" x14ac:dyDescent="0.2"/>
    <row r="9002" ht="12.75" customHeight="1" x14ac:dyDescent="0.2"/>
    <row r="9003" ht="12.75" customHeight="1" x14ac:dyDescent="0.2"/>
    <row r="9004" ht="12.75" customHeight="1" x14ac:dyDescent="0.2"/>
    <row r="9005" ht="12.75" customHeight="1" x14ac:dyDescent="0.2"/>
    <row r="9006" ht="12.75" customHeight="1" x14ac:dyDescent="0.2"/>
    <row r="9007" ht="12.75" customHeight="1" x14ac:dyDescent="0.2"/>
    <row r="9008" ht="12.75" customHeight="1" x14ac:dyDescent="0.2"/>
    <row r="9009" ht="12.75" customHeight="1" x14ac:dyDescent="0.2"/>
    <row r="9010" ht="12.75" customHeight="1" x14ac:dyDescent="0.2"/>
    <row r="9011" ht="12.75" customHeight="1" x14ac:dyDescent="0.2"/>
    <row r="9012" ht="12.75" customHeight="1" x14ac:dyDescent="0.2"/>
    <row r="9013" ht="12.75" customHeight="1" x14ac:dyDescent="0.2"/>
    <row r="9014" ht="12.75" customHeight="1" x14ac:dyDescent="0.2"/>
    <row r="9015" ht="12.75" customHeight="1" x14ac:dyDescent="0.2"/>
    <row r="9016" ht="12.75" customHeight="1" x14ac:dyDescent="0.2"/>
    <row r="9017" ht="12.75" customHeight="1" x14ac:dyDescent="0.2"/>
    <row r="9018" ht="12.75" customHeight="1" x14ac:dyDescent="0.2"/>
    <row r="9019" ht="12.75" customHeight="1" x14ac:dyDescent="0.2"/>
    <row r="9020" ht="12.75" customHeight="1" x14ac:dyDescent="0.2"/>
    <row r="9021" ht="12.75" customHeight="1" x14ac:dyDescent="0.2"/>
    <row r="9022" ht="12.75" customHeight="1" x14ac:dyDescent="0.2"/>
    <row r="9023" ht="12.75" customHeight="1" x14ac:dyDescent="0.2"/>
    <row r="9024" ht="12.75" customHeight="1" x14ac:dyDescent="0.2"/>
    <row r="9025" ht="12.75" customHeight="1" x14ac:dyDescent="0.2"/>
    <row r="9026" ht="12.75" customHeight="1" x14ac:dyDescent="0.2"/>
    <row r="9027" ht="12.75" customHeight="1" x14ac:dyDescent="0.2"/>
    <row r="9028" ht="12.75" customHeight="1" x14ac:dyDescent="0.2"/>
    <row r="9029" ht="12.75" customHeight="1" x14ac:dyDescent="0.2"/>
    <row r="9030" ht="12.75" customHeight="1" x14ac:dyDescent="0.2"/>
    <row r="9031" ht="12.75" customHeight="1" x14ac:dyDescent="0.2"/>
    <row r="9032" ht="12.75" customHeight="1" x14ac:dyDescent="0.2"/>
    <row r="9033" ht="12.75" customHeight="1" x14ac:dyDescent="0.2"/>
    <row r="9034" ht="12.75" customHeight="1" x14ac:dyDescent="0.2"/>
    <row r="9035" ht="12.75" customHeight="1" x14ac:dyDescent="0.2"/>
    <row r="9036" ht="12.75" customHeight="1" x14ac:dyDescent="0.2"/>
    <row r="9037" ht="12.75" customHeight="1" x14ac:dyDescent="0.2"/>
    <row r="9038" ht="12.75" customHeight="1" x14ac:dyDescent="0.2"/>
    <row r="9039" ht="12.75" customHeight="1" x14ac:dyDescent="0.2"/>
    <row r="9040" ht="12.75" customHeight="1" x14ac:dyDescent="0.2"/>
    <row r="9041" ht="12.75" customHeight="1" x14ac:dyDescent="0.2"/>
    <row r="9042" ht="12.75" customHeight="1" x14ac:dyDescent="0.2"/>
    <row r="9043" ht="12.75" customHeight="1" x14ac:dyDescent="0.2"/>
    <row r="9044" ht="12.75" customHeight="1" x14ac:dyDescent="0.2"/>
    <row r="9045" ht="12.75" customHeight="1" x14ac:dyDescent="0.2"/>
    <row r="9046" ht="12.75" customHeight="1" x14ac:dyDescent="0.2"/>
    <row r="9047" ht="12.75" customHeight="1" x14ac:dyDescent="0.2"/>
    <row r="9048" ht="12.75" customHeight="1" x14ac:dyDescent="0.2"/>
    <row r="9049" ht="12.75" customHeight="1" x14ac:dyDescent="0.2"/>
    <row r="9050" ht="12.75" customHeight="1" x14ac:dyDescent="0.2"/>
    <row r="9051" ht="12.75" customHeight="1" x14ac:dyDescent="0.2"/>
    <row r="9052" ht="12.75" customHeight="1" x14ac:dyDescent="0.2"/>
    <row r="9053" ht="12.75" customHeight="1" x14ac:dyDescent="0.2"/>
    <row r="9054" ht="12.75" customHeight="1" x14ac:dyDescent="0.2"/>
    <row r="9055" ht="12.75" customHeight="1" x14ac:dyDescent="0.2"/>
    <row r="9056" ht="12.75" customHeight="1" x14ac:dyDescent="0.2"/>
    <row r="9057" ht="12.75" customHeight="1" x14ac:dyDescent="0.2"/>
    <row r="9058" ht="12.75" customHeight="1" x14ac:dyDescent="0.2"/>
    <row r="9059" ht="12.75" customHeight="1" x14ac:dyDescent="0.2"/>
    <row r="9060" ht="12.75" customHeight="1" x14ac:dyDescent="0.2"/>
    <row r="9061" ht="12.75" customHeight="1" x14ac:dyDescent="0.2"/>
    <row r="9062" ht="12.75" customHeight="1" x14ac:dyDescent="0.2"/>
    <row r="9063" ht="12.75" customHeight="1" x14ac:dyDescent="0.2"/>
    <row r="9064" ht="12.75" customHeight="1" x14ac:dyDescent="0.2"/>
    <row r="9065" ht="12.75" customHeight="1" x14ac:dyDescent="0.2"/>
    <row r="9066" ht="12.75" customHeight="1" x14ac:dyDescent="0.2"/>
    <row r="9067" ht="12.75" customHeight="1" x14ac:dyDescent="0.2"/>
    <row r="9068" ht="12.75" customHeight="1" x14ac:dyDescent="0.2"/>
    <row r="9069" ht="12.75" customHeight="1" x14ac:dyDescent="0.2"/>
    <row r="9070" ht="12.75" customHeight="1" x14ac:dyDescent="0.2"/>
    <row r="9071" ht="12.75" customHeight="1" x14ac:dyDescent="0.2"/>
    <row r="9072" ht="12.75" customHeight="1" x14ac:dyDescent="0.2"/>
    <row r="9073" ht="12.75" customHeight="1" x14ac:dyDescent="0.2"/>
    <row r="9074" ht="12.75" customHeight="1" x14ac:dyDescent="0.2"/>
    <row r="9075" ht="12.75" customHeight="1" x14ac:dyDescent="0.2"/>
    <row r="9076" ht="12.75" customHeight="1" x14ac:dyDescent="0.2"/>
    <row r="9077" ht="12.75" customHeight="1" x14ac:dyDescent="0.2"/>
    <row r="9078" ht="12.75" customHeight="1" x14ac:dyDescent="0.2"/>
    <row r="9079" ht="12.75" customHeight="1" x14ac:dyDescent="0.2"/>
    <row r="9080" ht="12.75" customHeight="1" x14ac:dyDescent="0.2"/>
    <row r="9081" ht="12.75" customHeight="1" x14ac:dyDescent="0.2"/>
    <row r="9082" ht="12.75" customHeight="1" x14ac:dyDescent="0.2"/>
    <row r="9083" ht="12.75" customHeight="1" x14ac:dyDescent="0.2"/>
    <row r="9084" ht="12.75" customHeight="1" x14ac:dyDescent="0.2"/>
    <row r="9085" ht="12.75" customHeight="1" x14ac:dyDescent="0.2"/>
    <row r="9086" ht="12.75" customHeight="1" x14ac:dyDescent="0.2"/>
    <row r="9087" ht="12.75" customHeight="1" x14ac:dyDescent="0.2"/>
    <row r="9088" ht="12.75" customHeight="1" x14ac:dyDescent="0.2"/>
    <row r="9089" ht="12.75" customHeight="1" x14ac:dyDescent="0.2"/>
    <row r="9090" ht="12.75" customHeight="1" x14ac:dyDescent="0.2"/>
    <row r="9091" ht="12.75" customHeight="1" x14ac:dyDescent="0.2"/>
    <row r="9092" ht="12.75" customHeight="1" x14ac:dyDescent="0.2"/>
    <row r="9093" ht="12.75" customHeight="1" x14ac:dyDescent="0.2"/>
    <row r="9094" ht="12.75" customHeight="1" x14ac:dyDescent="0.2"/>
    <row r="9095" ht="12.75" customHeight="1" x14ac:dyDescent="0.2"/>
    <row r="9096" ht="12.75" customHeight="1" x14ac:dyDescent="0.2"/>
    <row r="9097" ht="12.75" customHeight="1" x14ac:dyDescent="0.2"/>
    <row r="9098" ht="12.75" customHeight="1" x14ac:dyDescent="0.2"/>
    <row r="9099" ht="12.75" customHeight="1" x14ac:dyDescent="0.2"/>
    <row r="9100" ht="12.75" customHeight="1" x14ac:dyDescent="0.2"/>
    <row r="9101" ht="12.75" customHeight="1" x14ac:dyDescent="0.2"/>
    <row r="9102" ht="12.75" customHeight="1" x14ac:dyDescent="0.2"/>
    <row r="9103" ht="12.75" customHeight="1" x14ac:dyDescent="0.2"/>
    <row r="9104" ht="12.75" customHeight="1" x14ac:dyDescent="0.2"/>
    <row r="9105" ht="12.75" customHeight="1" x14ac:dyDescent="0.2"/>
    <row r="9106" ht="12.75" customHeight="1" x14ac:dyDescent="0.2"/>
    <row r="9107" ht="12.75" customHeight="1" x14ac:dyDescent="0.2"/>
    <row r="9108" ht="12.75" customHeight="1" x14ac:dyDescent="0.2"/>
    <row r="9109" ht="12.75" customHeight="1" x14ac:dyDescent="0.2"/>
    <row r="9110" ht="12.75" customHeight="1" x14ac:dyDescent="0.2"/>
    <row r="9111" ht="12.75" customHeight="1" x14ac:dyDescent="0.2"/>
    <row r="9112" ht="12.75" customHeight="1" x14ac:dyDescent="0.2"/>
    <row r="9113" ht="12.75" customHeight="1" x14ac:dyDescent="0.2"/>
    <row r="9114" ht="12.75" customHeight="1" x14ac:dyDescent="0.2"/>
    <row r="9115" ht="12.75" customHeight="1" x14ac:dyDescent="0.2"/>
    <row r="9116" ht="12.75" customHeight="1" x14ac:dyDescent="0.2"/>
    <row r="9117" ht="12.75" customHeight="1" x14ac:dyDescent="0.2"/>
    <row r="9118" ht="12.75" customHeight="1" x14ac:dyDescent="0.2"/>
    <row r="9119" ht="12.75" customHeight="1" x14ac:dyDescent="0.2"/>
    <row r="9120" ht="12.75" customHeight="1" x14ac:dyDescent="0.2"/>
    <row r="9121" ht="12.75" customHeight="1" x14ac:dyDescent="0.2"/>
    <row r="9122" ht="12.75" customHeight="1" x14ac:dyDescent="0.2"/>
    <row r="9123" ht="12.75" customHeight="1" x14ac:dyDescent="0.2"/>
    <row r="9124" ht="12.75" customHeight="1" x14ac:dyDescent="0.2"/>
    <row r="9125" ht="12.75" customHeight="1" x14ac:dyDescent="0.2"/>
    <row r="9126" ht="12.75" customHeight="1" x14ac:dyDescent="0.2"/>
    <row r="9127" ht="12.75" customHeight="1" x14ac:dyDescent="0.2"/>
    <row r="9128" ht="12.75" customHeight="1" x14ac:dyDescent="0.2"/>
    <row r="9129" ht="12.75" customHeight="1" x14ac:dyDescent="0.2"/>
    <row r="9130" ht="12.75" customHeight="1" x14ac:dyDescent="0.2"/>
    <row r="9131" ht="12.75" customHeight="1" x14ac:dyDescent="0.2"/>
    <row r="9132" ht="12.75" customHeight="1" x14ac:dyDescent="0.2"/>
    <row r="9133" ht="12.75" customHeight="1" x14ac:dyDescent="0.2"/>
    <row r="9134" ht="12.75" customHeight="1" x14ac:dyDescent="0.2"/>
    <row r="9135" ht="12.75" customHeight="1" x14ac:dyDescent="0.2"/>
    <row r="9136" ht="12.75" customHeight="1" x14ac:dyDescent="0.2"/>
    <row r="9137" ht="12.75" customHeight="1" x14ac:dyDescent="0.2"/>
    <row r="9138" ht="12.75" customHeight="1" x14ac:dyDescent="0.2"/>
    <row r="9139" ht="12.75" customHeight="1" x14ac:dyDescent="0.2"/>
    <row r="9140" ht="12.75" customHeight="1" x14ac:dyDescent="0.2"/>
    <row r="9141" ht="12.75" customHeight="1" x14ac:dyDescent="0.2"/>
    <row r="9142" ht="12.75" customHeight="1" x14ac:dyDescent="0.2"/>
    <row r="9143" ht="12.75" customHeight="1" x14ac:dyDescent="0.2"/>
    <row r="9144" ht="12.75" customHeight="1" x14ac:dyDescent="0.2"/>
    <row r="9145" ht="12.75" customHeight="1" x14ac:dyDescent="0.2"/>
    <row r="9146" ht="12.75" customHeight="1" x14ac:dyDescent="0.2"/>
    <row r="9147" ht="12.75" customHeight="1" x14ac:dyDescent="0.2"/>
    <row r="9148" ht="12.75" customHeight="1" x14ac:dyDescent="0.2"/>
    <row r="9149" ht="12.75" customHeight="1" x14ac:dyDescent="0.2"/>
    <row r="9150" ht="12.75" customHeight="1" x14ac:dyDescent="0.2"/>
    <row r="9151" ht="12.75" customHeight="1" x14ac:dyDescent="0.2"/>
    <row r="9152" ht="12.75" customHeight="1" x14ac:dyDescent="0.2"/>
    <row r="9153" ht="12.75" customHeight="1" x14ac:dyDescent="0.2"/>
    <row r="9154" ht="12.75" customHeight="1" x14ac:dyDescent="0.2"/>
    <row r="9155" ht="12.75" customHeight="1" x14ac:dyDescent="0.2"/>
    <row r="9156" ht="12.75" customHeight="1" x14ac:dyDescent="0.2"/>
    <row r="9157" ht="12.75" customHeight="1" x14ac:dyDescent="0.2"/>
    <row r="9158" ht="12.75" customHeight="1" x14ac:dyDescent="0.2"/>
    <row r="9159" ht="12.75" customHeight="1" x14ac:dyDescent="0.2"/>
    <row r="9160" ht="12.75" customHeight="1" x14ac:dyDescent="0.2"/>
    <row r="9161" ht="12.75" customHeight="1" x14ac:dyDescent="0.2"/>
    <row r="9162" ht="12.75" customHeight="1" x14ac:dyDescent="0.2"/>
    <row r="9163" ht="12.75" customHeight="1" x14ac:dyDescent="0.2"/>
    <row r="9164" ht="12.75" customHeight="1" x14ac:dyDescent="0.2"/>
    <row r="9165" ht="12.75" customHeight="1" x14ac:dyDescent="0.2"/>
    <row r="9166" ht="12.75" customHeight="1" x14ac:dyDescent="0.2"/>
    <row r="9167" ht="12.75" customHeight="1" x14ac:dyDescent="0.2"/>
    <row r="9168" ht="12.75" customHeight="1" x14ac:dyDescent="0.2"/>
    <row r="9169" ht="12.75" customHeight="1" x14ac:dyDescent="0.2"/>
    <row r="9170" ht="12.75" customHeight="1" x14ac:dyDescent="0.2"/>
    <row r="9171" ht="12.75" customHeight="1" x14ac:dyDescent="0.2"/>
    <row r="9172" ht="12.75" customHeight="1" x14ac:dyDescent="0.2"/>
    <row r="9173" ht="12.75" customHeight="1" x14ac:dyDescent="0.2"/>
    <row r="9174" ht="12.75" customHeight="1" x14ac:dyDescent="0.2"/>
    <row r="9175" ht="12.75" customHeight="1" x14ac:dyDescent="0.2"/>
    <row r="9176" ht="12.75" customHeight="1" x14ac:dyDescent="0.2"/>
    <row r="9177" ht="12.75" customHeight="1" x14ac:dyDescent="0.2"/>
    <row r="9178" ht="12.75" customHeight="1" x14ac:dyDescent="0.2"/>
    <row r="9179" ht="12.75" customHeight="1" x14ac:dyDescent="0.2"/>
    <row r="9180" ht="12.75" customHeight="1" x14ac:dyDescent="0.2"/>
    <row r="9181" ht="12.75" customHeight="1" x14ac:dyDescent="0.2"/>
    <row r="9182" ht="12.75" customHeight="1" x14ac:dyDescent="0.2"/>
    <row r="9183" ht="12.75" customHeight="1" x14ac:dyDescent="0.2"/>
    <row r="9184" ht="12.75" customHeight="1" x14ac:dyDescent="0.2"/>
    <row r="9185" ht="12.75" customHeight="1" x14ac:dyDescent="0.2"/>
    <row r="9186" ht="12.75" customHeight="1" x14ac:dyDescent="0.2"/>
    <row r="9187" ht="12.75" customHeight="1" x14ac:dyDescent="0.2"/>
    <row r="9188" ht="12.75" customHeight="1" x14ac:dyDescent="0.2"/>
    <row r="9189" ht="12.75" customHeight="1" x14ac:dyDescent="0.2"/>
    <row r="9190" ht="12.75" customHeight="1" x14ac:dyDescent="0.2"/>
    <row r="9191" ht="12.75" customHeight="1" x14ac:dyDescent="0.2"/>
    <row r="9192" ht="12.75" customHeight="1" x14ac:dyDescent="0.2"/>
    <row r="9193" ht="12.75" customHeight="1" x14ac:dyDescent="0.2"/>
    <row r="9194" ht="12.75" customHeight="1" x14ac:dyDescent="0.2"/>
    <row r="9195" ht="12.75" customHeight="1" x14ac:dyDescent="0.2"/>
    <row r="9196" ht="12.75" customHeight="1" x14ac:dyDescent="0.2"/>
    <row r="9197" ht="12.75" customHeight="1" x14ac:dyDescent="0.2"/>
    <row r="9198" ht="12.75" customHeight="1" x14ac:dyDescent="0.2"/>
    <row r="9199" ht="12.75" customHeight="1" x14ac:dyDescent="0.2"/>
    <row r="9200" ht="12.75" customHeight="1" x14ac:dyDescent="0.2"/>
    <row r="9201" ht="12.75" customHeight="1" x14ac:dyDescent="0.2"/>
    <row r="9202" ht="12.75" customHeight="1" x14ac:dyDescent="0.2"/>
    <row r="9203" ht="12.75" customHeight="1" x14ac:dyDescent="0.2"/>
    <row r="9204" ht="12.75" customHeight="1" x14ac:dyDescent="0.2"/>
    <row r="9205" ht="12.75" customHeight="1" x14ac:dyDescent="0.2"/>
    <row r="9206" ht="12.75" customHeight="1" x14ac:dyDescent="0.2"/>
    <row r="9207" ht="12.75" customHeight="1" x14ac:dyDescent="0.2"/>
    <row r="9208" ht="12.75" customHeight="1" x14ac:dyDescent="0.2"/>
    <row r="9209" ht="12.75" customHeight="1" x14ac:dyDescent="0.2"/>
    <row r="9210" ht="12.75" customHeight="1" x14ac:dyDescent="0.2"/>
    <row r="9211" ht="12.75" customHeight="1" x14ac:dyDescent="0.2"/>
    <row r="9212" ht="12.75" customHeight="1" x14ac:dyDescent="0.2"/>
    <row r="9213" ht="12.75" customHeight="1" x14ac:dyDescent="0.2"/>
    <row r="9214" ht="12.75" customHeight="1" x14ac:dyDescent="0.2"/>
    <row r="9215" ht="12.75" customHeight="1" x14ac:dyDescent="0.2"/>
    <row r="9216" ht="12.75" customHeight="1" x14ac:dyDescent="0.2"/>
    <row r="9217" ht="12.75" customHeight="1" x14ac:dyDescent="0.2"/>
    <row r="9218" ht="12.75" customHeight="1" x14ac:dyDescent="0.2"/>
    <row r="9219" ht="12.75" customHeight="1" x14ac:dyDescent="0.2"/>
    <row r="9220" ht="12.75" customHeight="1" x14ac:dyDescent="0.2"/>
    <row r="9221" ht="12.75" customHeight="1" x14ac:dyDescent="0.2"/>
    <row r="9222" ht="12.75" customHeight="1" x14ac:dyDescent="0.2"/>
    <row r="9223" ht="12.75" customHeight="1" x14ac:dyDescent="0.2"/>
    <row r="9224" ht="12.75" customHeight="1" x14ac:dyDescent="0.2"/>
    <row r="9225" ht="12.75" customHeight="1" x14ac:dyDescent="0.2"/>
    <row r="9226" ht="12.75" customHeight="1" x14ac:dyDescent="0.2"/>
    <row r="9227" ht="12.75" customHeight="1" x14ac:dyDescent="0.2"/>
    <row r="9228" ht="12.75" customHeight="1" x14ac:dyDescent="0.2"/>
    <row r="9229" ht="12.75" customHeight="1" x14ac:dyDescent="0.2"/>
    <row r="9230" ht="12.75" customHeight="1" x14ac:dyDescent="0.2"/>
    <row r="9231" ht="12.75" customHeight="1" x14ac:dyDescent="0.2"/>
    <row r="9232" ht="12.75" customHeight="1" x14ac:dyDescent="0.2"/>
    <row r="9233" ht="12.75" customHeight="1" x14ac:dyDescent="0.2"/>
    <row r="9234" ht="12.75" customHeight="1" x14ac:dyDescent="0.2"/>
    <row r="9235" ht="12.75" customHeight="1" x14ac:dyDescent="0.2"/>
    <row r="9236" ht="12.75" customHeight="1" x14ac:dyDescent="0.2"/>
    <row r="9237" ht="12.75" customHeight="1" x14ac:dyDescent="0.2"/>
    <row r="9238" ht="12.75" customHeight="1" x14ac:dyDescent="0.2"/>
    <row r="9239" ht="12.75" customHeight="1" x14ac:dyDescent="0.2"/>
    <row r="9240" ht="12.75" customHeight="1" x14ac:dyDescent="0.2"/>
    <row r="9241" ht="12.75" customHeight="1" x14ac:dyDescent="0.2"/>
    <row r="9242" ht="12.75" customHeight="1" x14ac:dyDescent="0.2"/>
    <row r="9243" ht="12.75" customHeight="1" x14ac:dyDescent="0.2"/>
    <row r="9244" ht="12.75" customHeight="1" x14ac:dyDescent="0.2"/>
    <row r="9245" ht="12.75" customHeight="1" x14ac:dyDescent="0.2"/>
    <row r="9246" ht="12.75" customHeight="1" x14ac:dyDescent="0.2"/>
    <row r="9247" ht="12.75" customHeight="1" x14ac:dyDescent="0.2"/>
    <row r="9248" ht="12.75" customHeight="1" x14ac:dyDescent="0.2"/>
    <row r="9249" ht="12.75" customHeight="1" x14ac:dyDescent="0.2"/>
    <row r="9250" ht="12.75" customHeight="1" x14ac:dyDescent="0.2"/>
    <row r="9251" ht="12.75" customHeight="1" x14ac:dyDescent="0.2"/>
    <row r="9252" ht="12.75" customHeight="1" x14ac:dyDescent="0.2"/>
    <row r="9253" ht="12.75" customHeight="1" x14ac:dyDescent="0.2"/>
    <row r="9254" ht="12.75" customHeight="1" x14ac:dyDescent="0.2"/>
    <row r="9255" ht="12.75" customHeight="1" x14ac:dyDescent="0.2"/>
    <row r="9256" ht="12.75" customHeight="1" x14ac:dyDescent="0.2"/>
    <row r="9257" ht="12.75" customHeight="1" x14ac:dyDescent="0.2"/>
    <row r="9258" ht="12.75" customHeight="1" x14ac:dyDescent="0.2"/>
    <row r="9259" ht="12.75" customHeight="1" x14ac:dyDescent="0.2"/>
    <row r="9260" ht="12.75" customHeight="1" x14ac:dyDescent="0.2"/>
    <row r="9261" ht="12.75" customHeight="1" x14ac:dyDescent="0.2"/>
    <row r="9262" ht="12.75" customHeight="1" x14ac:dyDescent="0.2"/>
    <row r="9263" ht="12.75" customHeight="1" x14ac:dyDescent="0.2"/>
    <row r="9264" ht="12.75" customHeight="1" x14ac:dyDescent="0.2"/>
    <row r="9265" ht="12.75" customHeight="1" x14ac:dyDescent="0.2"/>
    <row r="9266" ht="12.75" customHeight="1" x14ac:dyDescent="0.2"/>
    <row r="9267" ht="12.75" customHeight="1" x14ac:dyDescent="0.2"/>
    <row r="9268" ht="12.75" customHeight="1" x14ac:dyDescent="0.2"/>
    <row r="9269" ht="12.75" customHeight="1" x14ac:dyDescent="0.2"/>
    <row r="9270" ht="12.75" customHeight="1" x14ac:dyDescent="0.2"/>
    <row r="9271" ht="12.75" customHeight="1" x14ac:dyDescent="0.2"/>
    <row r="9272" ht="12.75" customHeight="1" x14ac:dyDescent="0.2"/>
    <row r="9273" ht="12.75" customHeight="1" x14ac:dyDescent="0.2"/>
    <row r="9274" ht="12.75" customHeight="1" x14ac:dyDescent="0.2"/>
    <row r="9275" ht="12.75" customHeight="1" x14ac:dyDescent="0.2"/>
    <row r="9276" ht="12.75" customHeight="1" x14ac:dyDescent="0.2"/>
    <row r="9277" ht="12.75" customHeight="1" x14ac:dyDescent="0.2"/>
    <row r="9278" ht="12.75" customHeight="1" x14ac:dyDescent="0.2"/>
    <row r="9279" ht="12.75" customHeight="1" x14ac:dyDescent="0.2"/>
    <row r="9280" ht="12.75" customHeight="1" x14ac:dyDescent="0.2"/>
    <row r="9281" ht="12.75" customHeight="1" x14ac:dyDescent="0.2"/>
    <row r="9282" ht="12.75" customHeight="1" x14ac:dyDescent="0.2"/>
    <row r="9283" ht="12.75" customHeight="1" x14ac:dyDescent="0.2"/>
    <row r="9284" ht="12.75" customHeight="1" x14ac:dyDescent="0.2"/>
    <row r="9285" ht="12.75" customHeight="1" x14ac:dyDescent="0.2"/>
    <row r="9286" ht="12.75" customHeight="1" x14ac:dyDescent="0.2"/>
    <row r="9287" ht="12.75" customHeight="1" x14ac:dyDescent="0.2"/>
    <row r="9288" ht="12.75" customHeight="1" x14ac:dyDescent="0.2"/>
    <row r="9289" ht="12.75" customHeight="1" x14ac:dyDescent="0.2"/>
    <row r="9290" ht="12.75" customHeight="1" x14ac:dyDescent="0.2"/>
    <row r="9291" ht="12.75" customHeight="1" x14ac:dyDescent="0.2"/>
    <row r="9292" ht="12.75" customHeight="1" x14ac:dyDescent="0.2"/>
    <row r="9293" ht="12.75" customHeight="1" x14ac:dyDescent="0.2"/>
    <row r="9294" ht="12.75" customHeight="1" x14ac:dyDescent="0.2"/>
    <row r="9295" ht="12.75" customHeight="1" x14ac:dyDescent="0.2"/>
    <row r="9296" ht="12.75" customHeight="1" x14ac:dyDescent="0.2"/>
    <row r="9297" ht="12.75" customHeight="1" x14ac:dyDescent="0.2"/>
    <row r="9298" ht="12.75" customHeight="1" x14ac:dyDescent="0.2"/>
    <row r="9299" ht="12.75" customHeight="1" x14ac:dyDescent="0.2"/>
    <row r="9300" ht="12.75" customHeight="1" x14ac:dyDescent="0.2"/>
    <row r="9301" ht="12.75" customHeight="1" x14ac:dyDescent="0.2"/>
    <row r="9302" ht="12.75" customHeight="1" x14ac:dyDescent="0.2"/>
    <row r="9303" ht="12.75" customHeight="1" x14ac:dyDescent="0.2"/>
    <row r="9304" ht="12.75" customHeight="1" x14ac:dyDescent="0.2"/>
    <row r="9305" ht="12.75" customHeight="1" x14ac:dyDescent="0.2"/>
    <row r="9306" ht="12.75" customHeight="1" x14ac:dyDescent="0.2"/>
    <row r="9307" ht="12.75" customHeight="1" x14ac:dyDescent="0.2"/>
    <row r="9308" ht="12.75" customHeight="1" x14ac:dyDescent="0.2"/>
    <row r="9309" ht="12.75" customHeight="1" x14ac:dyDescent="0.2"/>
    <row r="9310" ht="12.75" customHeight="1" x14ac:dyDescent="0.2"/>
    <row r="9311" ht="12.75" customHeight="1" x14ac:dyDescent="0.2"/>
    <row r="9312" ht="12.75" customHeight="1" x14ac:dyDescent="0.2"/>
    <row r="9313" ht="12.75" customHeight="1" x14ac:dyDescent="0.2"/>
    <row r="9314" ht="12.75" customHeight="1" x14ac:dyDescent="0.2"/>
    <row r="9315" ht="12.75" customHeight="1" x14ac:dyDescent="0.2"/>
    <row r="9316" ht="12.75" customHeight="1" x14ac:dyDescent="0.2"/>
    <row r="9317" ht="12.75" customHeight="1" x14ac:dyDescent="0.2"/>
    <row r="9318" ht="12.75" customHeight="1" x14ac:dyDescent="0.2"/>
    <row r="9319" ht="12.75" customHeight="1" x14ac:dyDescent="0.2"/>
    <row r="9320" ht="12.75" customHeight="1" x14ac:dyDescent="0.2"/>
    <row r="9321" ht="12.75" customHeight="1" x14ac:dyDescent="0.2"/>
    <row r="9322" ht="12.75" customHeight="1" x14ac:dyDescent="0.2"/>
    <row r="9323" ht="12.75" customHeight="1" x14ac:dyDescent="0.2"/>
    <row r="9324" ht="12.75" customHeight="1" x14ac:dyDescent="0.2"/>
    <row r="9325" ht="12.75" customHeight="1" x14ac:dyDescent="0.2"/>
    <row r="9326" ht="12.75" customHeight="1" x14ac:dyDescent="0.2"/>
    <row r="9327" ht="12.75" customHeight="1" x14ac:dyDescent="0.2"/>
    <row r="9328" ht="12.75" customHeight="1" x14ac:dyDescent="0.2"/>
    <row r="9329" ht="12.75" customHeight="1" x14ac:dyDescent="0.2"/>
    <row r="9330" ht="12.75" customHeight="1" x14ac:dyDescent="0.2"/>
    <row r="9331" ht="12.75" customHeight="1" x14ac:dyDescent="0.2"/>
    <row r="9332" ht="12.75" customHeight="1" x14ac:dyDescent="0.2"/>
    <row r="9333" ht="12.75" customHeight="1" x14ac:dyDescent="0.2"/>
    <row r="9334" ht="12.75" customHeight="1" x14ac:dyDescent="0.2"/>
    <row r="9335" ht="12.75" customHeight="1" x14ac:dyDescent="0.2"/>
    <row r="9336" ht="12.75" customHeight="1" x14ac:dyDescent="0.2"/>
    <row r="9337" ht="12.75" customHeight="1" x14ac:dyDescent="0.2"/>
    <row r="9338" ht="12.75" customHeight="1" x14ac:dyDescent="0.2"/>
    <row r="9339" ht="12.75" customHeight="1" x14ac:dyDescent="0.2"/>
    <row r="9340" ht="12.75" customHeight="1" x14ac:dyDescent="0.2"/>
    <row r="9341" ht="12.75" customHeight="1" x14ac:dyDescent="0.2"/>
    <row r="9342" ht="12.75" customHeight="1" x14ac:dyDescent="0.2"/>
    <row r="9343" ht="12.75" customHeight="1" x14ac:dyDescent="0.2"/>
    <row r="9344" ht="12.75" customHeight="1" x14ac:dyDescent="0.2"/>
    <row r="9345" ht="12.75" customHeight="1" x14ac:dyDescent="0.2"/>
    <row r="9346" ht="12.75" customHeight="1" x14ac:dyDescent="0.2"/>
    <row r="9347" ht="12.75" customHeight="1" x14ac:dyDescent="0.2"/>
    <row r="9348" ht="12.75" customHeight="1" x14ac:dyDescent="0.2"/>
    <row r="9349" ht="12.75" customHeight="1" x14ac:dyDescent="0.2"/>
    <row r="9350" ht="12.75" customHeight="1" x14ac:dyDescent="0.2"/>
    <row r="9351" ht="12.75" customHeight="1" x14ac:dyDescent="0.2"/>
    <row r="9352" ht="12.75" customHeight="1" x14ac:dyDescent="0.2"/>
    <row r="9353" ht="12.75" customHeight="1" x14ac:dyDescent="0.2"/>
    <row r="9354" ht="12.75" customHeight="1" x14ac:dyDescent="0.2"/>
    <row r="9355" ht="12.75" customHeight="1" x14ac:dyDescent="0.2"/>
    <row r="9356" ht="12.75" customHeight="1" x14ac:dyDescent="0.2"/>
    <row r="9357" ht="12.75" customHeight="1" x14ac:dyDescent="0.2"/>
    <row r="9358" ht="12.75" customHeight="1" x14ac:dyDescent="0.2"/>
    <row r="9359" ht="12.75" customHeight="1" x14ac:dyDescent="0.2"/>
    <row r="9360" ht="12.75" customHeight="1" x14ac:dyDescent="0.2"/>
    <row r="9361" ht="12.75" customHeight="1" x14ac:dyDescent="0.2"/>
    <row r="9362" ht="12.75" customHeight="1" x14ac:dyDescent="0.2"/>
    <row r="9363" ht="12.75" customHeight="1" x14ac:dyDescent="0.2"/>
    <row r="9364" ht="12.75" customHeight="1" x14ac:dyDescent="0.2"/>
    <row r="9365" ht="12.75" customHeight="1" x14ac:dyDescent="0.2"/>
    <row r="9366" ht="12.75" customHeight="1" x14ac:dyDescent="0.2"/>
    <row r="9367" ht="12.75" customHeight="1" x14ac:dyDescent="0.2"/>
    <row r="9368" ht="12.75" customHeight="1" x14ac:dyDescent="0.2"/>
    <row r="9369" ht="12.75" customHeight="1" x14ac:dyDescent="0.2"/>
    <row r="9370" ht="12.75" customHeight="1" x14ac:dyDescent="0.2"/>
    <row r="9371" ht="12.75" customHeight="1" x14ac:dyDescent="0.2"/>
    <row r="9372" ht="12.75" customHeight="1" x14ac:dyDescent="0.2"/>
    <row r="9373" ht="12.75" customHeight="1" x14ac:dyDescent="0.2"/>
    <row r="9374" ht="12.75" customHeight="1" x14ac:dyDescent="0.2"/>
    <row r="9375" ht="12.75" customHeight="1" x14ac:dyDescent="0.2"/>
    <row r="9376" ht="12.75" customHeight="1" x14ac:dyDescent="0.2"/>
    <row r="9377" ht="12.75" customHeight="1" x14ac:dyDescent="0.2"/>
    <row r="9378" ht="12.75" customHeight="1" x14ac:dyDescent="0.2"/>
    <row r="9379" ht="12.75" customHeight="1" x14ac:dyDescent="0.2"/>
    <row r="9380" ht="12.75" customHeight="1" x14ac:dyDescent="0.2"/>
    <row r="9381" ht="12.75" customHeight="1" x14ac:dyDescent="0.2"/>
    <row r="9382" ht="12.75" customHeight="1" x14ac:dyDescent="0.2"/>
    <row r="9383" ht="12.75" customHeight="1" x14ac:dyDescent="0.2"/>
    <row r="9384" ht="12.75" customHeight="1" x14ac:dyDescent="0.2"/>
    <row r="9385" ht="12.75" customHeight="1" x14ac:dyDescent="0.2"/>
    <row r="9386" ht="12.75" customHeight="1" x14ac:dyDescent="0.2"/>
    <row r="9387" ht="12.75" customHeight="1" x14ac:dyDescent="0.2"/>
    <row r="9388" ht="12.75" customHeight="1" x14ac:dyDescent="0.2"/>
    <row r="9389" ht="12.75" customHeight="1" x14ac:dyDescent="0.2"/>
    <row r="9390" ht="12.75" customHeight="1" x14ac:dyDescent="0.2"/>
    <row r="9391" ht="12.75" customHeight="1" x14ac:dyDescent="0.2"/>
    <row r="9392" ht="12.75" customHeight="1" x14ac:dyDescent="0.2"/>
    <row r="9393" ht="12.75" customHeight="1" x14ac:dyDescent="0.2"/>
    <row r="9394" ht="12.75" customHeight="1" x14ac:dyDescent="0.2"/>
    <row r="9395" ht="12.75" customHeight="1" x14ac:dyDescent="0.2"/>
    <row r="9396" ht="12.75" customHeight="1" x14ac:dyDescent="0.2"/>
    <row r="9397" ht="12.75" customHeight="1" x14ac:dyDescent="0.2"/>
    <row r="9398" ht="12.75" customHeight="1" x14ac:dyDescent="0.2"/>
    <row r="9399" ht="12.75" customHeight="1" x14ac:dyDescent="0.2"/>
    <row r="9400" ht="12.75" customHeight="1" x14ac:dyDescent="0.2"/>
    <row r="9401" ht="12.75" customHeight="1" x14ac:dyDescent="0.2"/>
    <row r="9402" ht="12.75" customHeight="1" x14ac:dyDescent="0.2"/>
    <row r="9403" ht="12.75" customHeight="1" x14ac:dyDescent="0.2"/>
    <row r="9404" ht="12.75" customHeight="1" x14ac:dyDescent="0.2"/>
    <row r="9405" ht="12.75" customHeight="1" x14ac:dyDescent="0.2"/>
    <row r="9406" ht="12.75" customHeight="1" x14ac:dyDescent="0.2"/>
    <row r="9407" ht="12.75" customHeight="1" x14ac:dyDescent="0.2"/>
    <row r="9408" ht="12.75" customHeight="1" x14ac:dyDescent="0.2"/>
    <row r="9409" ht="12.75" customHeight="1" x14ac:dyDescent="0.2"/>
    <row r="9410" ht="12.75" customHeight="1" x14ac:dyDescent="0.2"/>
    <row r="9411" ht="12.75" customHeight="1" x14ac:dyDescent="0.2"/>
    <row r="9412" ht="12.75" customHeight="1" x14ac:dyDescent="0.2"/>
    <row r="9413" ht="12.75" customHeight="1" x14ac:dyDescent="0.2"/>
    <row r="9414" ht="12.75" customHeight="1" x14ac:dyDescent="0.2"/>
    <row r="9415" ht="12.75" customHeight="1" x14ac:dyDescent="0.2"/>
    <row r="9416" ht="12.75" customHeight="1" x14ac:dyDescent="0.2"/>
    <row r="9417" ht="12.75" customHeight="1" x14ac:dyDescent="0.2"/>
    <row r="9418" ht="12.75" customHeight="1" x14ac:dyDescent="0.2"/>
    <row r="9419" ht="12.75" customHeight="1" x14ac:dyDescent="0.2"/>
    <row r="9420" ht="12.75" customHeight="1" x14ac:dyDescent="0.2"/>
    <row r="9421" ht="12.75" customHeight="1" x14ac:dyDescent="0.2"/>
    <row r="9422" ht="12.75" customHeight="1" x14ac:dyDescent="0.2"/>
    <row r="9423" ht="12.75" customHeight="1" x14ac:dyDescent="0.2"/>
    <row r="9424" ht="12.75" customHeight="1" x14ac:dyDescent="0.2"/>
    <row r="9425" ht="12.75" customHeight="1" x14ac:dyDescent="0.2"/>
    <row r="9426" ht="12.75" customHeight="1" x14ac:dyDescent="0.2"/>
    <row r="9427" ht="12.75" customHeight="1" x14ac:dyDescent="0.2"/>
    <row r="9428" ht="12.75" customHeight="1" x14ac:dyDescent="0.2"/>
    <row r="9429" ht="12.75" customHeight="1" x14ac:dyDescent="0.2"/>
    <row r="9430" ht="12.75" customHeight="1" x14ac:dyDescent="0.2"/>
    <row r="9431" ht="12.75" customHeight="1" x14ac:dyDescent="0.2"/>
    <row r="9432" ht="12.75" customHeight="1" x14ac:dyDescent="0.2"/>
    <row r="9433" ht="12.75" customHeight="1" x14ac:dyDescent="0.2"/>
    <row r="9434" ht="12.75" customHeight="1" x14ac:dyDescent="0.2"/>
    <row r="9435" ht="12.75" customHeight="1" x14ac:dyDescent="0.2"/>
    <row r="9436" ht="12.75" customHeight="1" x14ac:dyDescent="0.2"/>
    <row r="9437" ht="12.75" customHeight="1" x14ac:dyDescent="0.2"/>
    <row r="9438" ht="12.75" customHeight="1" x14ac:dyDescent="0.2"/>
    <row r="9439" ht="12.75" customHeight="1" x14ac:dyDescent="0.2"/>
    <row r="9440" ht="12.75" customHeight="1" x14ac:dyDescent="0.2"/>
    <row r="9441" ht="12.75" customHeight="1" x14ac:dyDescent="0.2"/>
    <row r="9442" ht="12.75" customHeight="1" x14ac:dyDescent="0.2"/>
    <row r="9443" ht="12.75" customHeight="1" x14ac:dyDescent="0.2"/>
    <row r="9444" ht="12.75" customHeight="1" x14ac:dyDescent="0.2"/>
    <row r="9445" ht="12.75" customHeight="1" x14ac:dyDescent="0.2"/>
    <row r="9446" ht="12.75" customHeight="1" x14ac:dyDescent="0.2"/>
    <row r="9447" ht="12.75" customHeight="1" x14ac:dyDescent="0.2"/>
    <row r="9448" ht="12.75" customHeight="1" x14ac:dyDescent="0.2"/>
    <row r="9449" ht="12.75" customHeight="1" x14ac:dyDescent="0.2"/>
    <row r="9450" ht="12.75" customHeight="1" x14ac:dyDescent="0.2"/>
    <row r="9451" ht="12.75" customHeight="1" x14ac:dyDescent="0.2"/>
    <row r="9452" ht="12.75" customHeight="1" x14ac:dyDescent="0.2"/>
    <row r="9453" ht="12.75" customHeight="1" x14ac:dyDescent="0.2"/>
    <row r="9454" ht="12.75" customHeight="1" x14ac:dyDescent="0.2"/>
    <row r="9455" ht="12.75" customHeight="1" x14ac:dyDescent="0.2"/>
    <row r="9456" ht="12.75" customHeight="1" x14ac:dyDescent="0.2"/>
    <row r="9457" ht="12.75" customHeight="1" x14ac:dyDescent="0.2"/>
    <row r="9458" ht="12.75" customHeight="1" x14ac:dyDescent="0.2"/>
    <row r="9459" ht="12.75" customHeight="1" x14ac:dyDescent="0.2"/>
    <row r="9460" ht="12.75" customHeight="1" x14ac:dyDescent="0.2"/>
    <row r="9461" ht="12.75" customHeight="1" x14ac:dyDescent="0.2"/>
    <row r="9462" ht="12.75" customHeight="1" x14ac:dyDescent="0.2"/>
    <row r="9463" ht="12.75" customHeight="1" x14ac:dyDescent="0.2"/>
    <row r="9464" ht="12.75" customHeight="1" x14ac:dyDescent="0.2"/>
    <row r="9465" ht="12.75" customHeight="1" x14ac:dyDescent="0.2"/>
    <row r="9466" ht="12.75" customHeight="1" x14ac:dyDescent="0.2"/>
    <row r="9467" ht="12.75" customHeight="1" x14ac:dyDescent="0.2"/>
    <row r="9468" ht="12.75" customHeight="1" x14ac:dyDescent="0.2"/>
    <row r="9469" ht="12.75" customHeight="1" x14ac:dyDescent="0.2"/>
    <row r="9470" ht="12.75" customHeight="1" x14ac:dyDescent="0.2"/>
    <row r="9471" ht="12.75" customHeight="1" x14ac:dyDescent="0.2"/>
    <row r="9472" ht="12.75" customHeight="1" x14ac:dyDescent="0.2"/>
    <row r="9473" ht="12.75" customHeight="1" x14ac:dyDescent="0.2"/>
    <row r="9474" ht="12.75" customHeight="1" x14ac:dyDescent="0.2"/>
    <row r="9475" ht="12.75" customHeight="1" x14ac:dyDescent="0.2"/>
    <row r="9476" ht="12.75" customHeight="1" x14ac:dyDescent="0.2"/>
    <row r="9477" ht="12.75" customHeight="1" x14ac:dyDescent="0.2"/>
    <row r="9478" ht="12.75" customHeight="1" x14ac:dyDescent="0.2"/>
    <row r="9479" ht="12.75" customHeight="1" x14ac:dyDescent="0.2"/>
    <row r="9480" ht="12.75" customHeight="1" x14ac:dyDescent="0.2"/>
    <row r="9481" ht="12.75" customHeight="1" x14ac:dyDescent="0.2"/>
    <row r="9482" ht="12.75" customHeight="1" x14ac:dyDescent="0.2"/>
    <row r="9483" ht="12.75" customHeight="1" x14ac:dyDescent="0.2"/>
    <row r="9484" ht="12.75" customHeight="1" x14ac:dyDescent="0.2"/>
    <row r="9485" ht="12.75" customHeight="1" x14ac:dyDescent="0.2"/>
    <row r="9486" ht="12.75" customHeight="1" x14ac:dyDescent="0.2"/>
    <row r="9487" ht="12.75" customHeight="1" x14ac:dyDescent="0.2"/>
    <row r="9488" ht="12.75" customHeight="1" x14ac:dyDescent="0.2"/>
    <row r="9489" ht="12.75" customHeight="1" x14ac:dyDescent="0.2"/>
    <row r="9490" ht="12.75" customHeight="1" x14ac:dyDescent="0.2"/>
    <row r="9491" ht="12.75" customHeight="1" x14ac:dyDescent="0.2"/>
    <row r="9492" ht="12.75" customHeight="1" x14ac:dyDescent="0.2"/>
    <row r="9493" ht="12.75" customHeight="1" x14ac:dyDescent="0.2"/>
    <row r="9494" ht="12.75" customHeight="1" x14ac:dyDescent="0.2"/>
    <row r="9495" ht="12.75" customHeight="1" x14ac:dyDescent="0.2"/>
    <row r="9496" ht="12.75" customHeight="1" x14ac:dyDescent="0.2"/>
    <row r="9497" ht="12.75" customHeight="1" x14ac:dyDescent="0.2"/>
    <row r="9498" ht="12.75" customHeight="1" x14ac:dyDescent="0.2"/>
    <row r="9499" ht="12.75" customHeight="1" x14ac:dyDescent="0.2"/>
    <row r="9500" ht="12.75" customHeight="1" x14ac:dyDescent="0.2"/>
    <row r="9501" ht="12.75" customHeight="1" x14ac:dyDescent="0.2"/>
    <row r="9502" ht="12.75" customHeight="1" x14ac:dyDescent="0.2"/>
    <row r="9503" ht="12.75" customHeight="1" x14ac:dyDescent="0.2"/>
    <row r="9504" ht="12.75" customHeight="1" x14ac:dyDescent="0.2"/>
    <row r="9505" ht="12.75" customHeight="1" x14ac:dyDescent="0.2"/>
    <row r="9506" ht="12.75" customHeight="1" x14ac:dyDescent="0.2"/>
    <row r="9507" ht="12.75" customHeight="1" x14ac:dyDescent="0.2"/>
    <row r="9508" ht="12.75" customHeight="1" x14ac:dyDescent="0.2"/>
    <row r="9509" ht="12.75" customHeight="1" x14ac:dyDescent="0.2"/>
    <row r="9510" ht="12.75" customHeight="1" x14ac:dyDescent="0.2"/>
    <row r="9511" ht="12.75" customHeight="1" x14ac:dyDescent="0.2"/>
    <row r="9512" ht="12.75" customHeight="1" x14ac:dyDescent="0.2"/>
    <row r="9513" ht="12.75" customHeight="1" x14ac:dyDescent="0.2"/>
    <row r="9514" ht="12.75" customHeight="1" x14ac:dyDescent="0.2"/>
    <row r="9515" ht="12.75" customHeight="1" x14ac:dyDescent="0.2"/>
    <row r="9516" ht="12.75" customHeight="1" x14ac:dyDescent="0.2"/>
    <row r="9517" ht="12.75" customHeight="1" x14ac:dyDescent="0.2"/>
    <row r="9518" ht="12.75" customHeight="1" x14ac:dyDescent="0.2"/>
    <row r="9519" ht="12.75" customHeight="1" x14ac:dyDescent="0.2"/>
    <row r="9520" ht="12.75" customHeight="1" x14ac:dyDescent="0.2"/>
    <row r="9521" ht="12.75" customHeight="1" x14ac:dyDescent="0.2"/>
    <row r="9522" ht="12.75" customHeight="1" x14ac:dyDescent="0.2"/>
    <row r="9523" ht="12.75" customHeight="1" x14ac:dyDescent="0.2"/>
    <row r="9524" ht="12.75" customHeight="1" x14ac:dyDescent="0.2"/>
    <row r="9525" ht="12.75" customHeight="1" x14ac:dyDescent="0.2"/>
    <row r="9526" ht="12.75" customHeight="1" x14ac:dyDescent="0.2"/>
    <row r="9527" ht="12.75" customHeight="1" x14ac:dyDescent="0.2"/>
    <row r="9528" ht="12.75" customHeight="1" x14ac:dyDescent="0.2"/>
    <row r="9529" ht="12.75" customHeight="1" x14ac:dyDescent="0.2"/>
    <row r="9530" ht="12.75" customHeight="1" x14ac:dyDescent="0.2"/>
    <row r="9531" ht="12.75" customHeight="1" x14ac:dyDescent="0.2"/>
    <row r="9532" ht="12.75" customHeight="1" x14ac:dyDescent="0.2"/>
    <row r="9533" ht="12.75" customHeight="1" x14ac:dyDescent="0.2"/>
    <row r="9534" ht="12.75" customHeight="1" x14ac:dyDescent="0.2"/>
    <row r="9535" ht="12.75" customHeight="1" x14ac:dyDescent="0.2"/>
    <row r="9536" ht="12.75" customHeight="1" x14ac:dyDescent="0.2"/>
    <row r="9537" ht="12.75" customHeight="1" x14ac:dyDescent="0.2"/>
    <row r="9538" ht="12.75" customHeight="1" x14ac:dyDescent="0.2"/>
    <row r="9539" ht="12.75" customHeight="1" x14ac:dyDescent="0.2"/>
    <row r="9540" ht="12.75" customHeight="1" x14ac:dyDescent="0.2"/>
    <row r="9541" ht="12.75" customHeight="1" x14ac:dyDescent="0.2"/>
    <row r="9542" ht="12.75" customHeight="1" x14ac:dyDescent="0.2"/>
    <row r="9543" ht="12.75" customHeight="1" x14ac:dyDescent="0.2"/>
    <row r="9544" ht="12.75" customHeight="1" x14ac:dyDescent="0.2"/>
    <row r="9545" ht="12.75" customHeight="1" x14ac:dyDescent="0.2"/>
    <row r="9546" ht="12.75" customHeight="1" x14ac:dyDescent="0.2"/>
    <row r="9547" ht="12.75" customHeight="1" x14ac:dyDescent="0.2"/>
    <row r="9548" ht="12.75" customHeight="1" x14ac:dyDescent="0.2"/>
    <row r="9549" ht="12.75" customHeight="1" x14ac:dyDescent="0.2"/>
    <row r="9550" ht="12.75" customHeight="1" x14ac:dyDescent="0.2"/>
    <row r="9551" ht="12.75" customHeight="1" x14ac:dyDescent="0.2"/>
    <row r="9552" ht="12.75" customHeight="1" x14ac:dyDescent="0.2"/>
    <row r="9553" ht="12.75" customHeight="1" x14ac:dyDescent="0.2"/>
    <row r="9554" ht="12.75" customHeight="1" x14ac:dyDescent="0.2"/>
    <row r="9555" ht="12.75" customHeight="1" x14ac:dyDescent="0.2"/>
    <row r="9556" ht="12.75" customHeight="1" x14ac:dyDescent="0.2"/>
    <row r="9557" ht="12.75" customHeight="1" x14ac:dyDescent="0.2"/>
    <row r="9558" ht="12.75" customHeight="1" x14ac:dyDescent="0.2"/>
    <row r="9559" ht="12.75" customHeight="1" x14ac:dyDescent="0.2"/>
    <row r="9560" ht="12.75" customHeight="1" x14ac:dyDescent="0.2"/>
    <row r="9561" ht="12.75" customHeight="1" x14ac:dyDescent="0.2"/>
    <row r="9562" ht="12.75" customHeight="1" x14ac:dyDescent="0.2"/>
    <row r="9563" ht="12.75" customHeight="1" x14ac:dyDescent="0.2"/>
    <row r="9564" ht="12.75" customHeight="1" x14ac:dyDescent="0.2"/>
    <row r="9565" ht="12.75" customHeight="1" x14ac:dyDescent="0.2"/>
    <row r="9566" ht="12.75" customHeight="1" x14ac:dyDescent="0.2"/>
    <row r="9567" ht="12.75" customHeight="1" x14ac:dyDescent="0.2"/>
    <row r="9568" ht="12.75" customHeight="1" x14ac:dyDescent="0.2"/>
    <row r="9569" ht="12.75" customHeight="1" x14ac:dyDescent="0.2"/>
    <row r="9570" ht="12.75" customHeight="1" x14ac:dyDescent="0.2"/>
    <row r="9571" ht="12.75" customHeight="1" x14ac:dyDescent="0.2"/>
    <row r="9572" ht="12.75" customHeight="1" x14ac:dyDescent="0.2"/>
    <row r="9573" ht="12.75" customHeight="1" x14ac:dyDescent="0.2"/>
    <row r="9574" ht="12.75" customHeight="1" x14ac:dyDescent="0.2"/>
    <row r="9575" ht="12.75" customHeight="1" x14ac:dyDescent="0.2"/>
    <row r="9576" ht="12.75" customHeight="1" x14ac:dyDescent="0.2"/>
    <row r="9577" ht="12.75" customHeight="1" x14ac:dyDescent="0.2"/>
    <row r="9578" ht="12.75" customHeight="1" x14ac:dyDescent="0.2"/>
    <row r="9579" ht="12.75" customHeight="1" x14ac:dyDescent="0.2"/>
    <row r="9580" ht="12.75" customHeight="1" x14ac:dyDescent="0.2"/>
    <row r="9581" ht="12.75" customHeight="1" x14ac:dyDescent="0.2"/>
    <row r="9582" ht="12.75" customHeight="1" x14ac:dyDescent="0.2"/>
    <row r="9583" ht="12.75" customHeight="1" x14ac:dyDescent="0.2"/>
    <row r="9584" ht="12.75" customHeight="1" x14ac:dyDescent="0.2"/>
    <row r="9585" ht="12.75" customHeight="1" x14ac:dyDescent="0.2"/>
    <row r="9586" ht="12.75" customHeight="1" x14ac:dyDescent="0.2"/>
    <row r="9587" ht="12.75" customHeight="1" x14ac:dyDescent="0.2"/>
    <row r="9588" ht="12.75" customHeight="1" x14ac:dyDescent="0.2"/>
    <row r="9589" ht="12.75" customHeight="1" x14ac:dyDescent="0.2"/>
    <row r="9590" ht="12.75" customHeight="1" x14ac:dyDescent="0.2"/>
    <row r="9591" ht="12.75" customHeight="1" x14ac:dyDescent="0.2"/>
    <row r="9592" ht="12.75" customHeight="1" x14ac:dyDescent="0.2"/>
    <row r="9593" ht="12.75" customHeight="1" x14ac:dyDescent="0.2"/>
    <row r="9594" ht="12.75" customHeight="1" x14ac:dyDescent="0.2"/>
    <row r="9595" ht="12.75" customHeight="1" x14ac:dyDescent="0.2"/>
    <row r="9596" ht="12.75" customHeight="1" x14ac:dyDescent="0.2"/>
    <row r="9597" ht="12.75" customHeight="1" x14ac:dyDescent="0.2"/>
    <row r="9598" ht="12.75" customHeight="1" x14ac:dyDescent="0.2"/>
    <row r="9599" ht="12.75" customHeight="1" x14ac:dyDescent="0.2"/>
    <row r="9600" ht="12.75" customHeight="1" x14ac:dyDescent="0.2"/>
    <row r="9601" ht="12.75" customHeight="1" x14ac:dyDescent="0.2"/>
    <row r="9602" ht="12.75" customHeight="1" x14ac:dyDescent="0.2"/>
    <row r="9603" ht="12.75" customHeight="1" x14ac:dyDescent="0.2"/>
    <row r="9604" ht="12.75" customHeight="1" x14ac:dyDescent="0.2"/>
    <row r="9605" ht="12.75" customHeight="1" x14ac:dyDescent="0.2"/>
    <row r="9606" ht="12.75" customHeight="1" x14ac:dyDescent="0.2"/>
    <row r="9607" ht="12.75" customHeight="1" x14ac:dyDescent="0.2"/>
    <row r="9608" ht="12.75" customHeight="1" x14ac:dyDescent="0.2"/>
    <row r="9609" ht="12.75" customHeight="1" x14ac:dyDescent="0.2"/>
    <row r="9610" ht="12.75" customHeight="1" x14ac:dyDescent="0.2"/>
    <row r="9611" ht="12.75" customHeight="1" x14ac:dyDescent="0.2"/>
    <row r="9612" ht="12.75" customHeight="1" x14ac:dyDescent="0.2"/>
    <row r="9613" ht="12.75" customHeight="1" x14ac:dyDescent="0.2"/>
    <row r="9614" ht="12.75" customHeight="1" x14ac:dyDescent="0.2"/>
    <row r="9615" ht="12.75" customHeight="1" x14ac:dyDescent="0.2"/>
    <row r="9616" ht="12.75" customHeight="1" x14ac:dyDescent="0.2"/>
    <row r="9617" ht="12.75" customHeight="1" x14ac:dyDescent="0.2"/>
    <row r="9618" ht="12.75" customHeight="1" x14ac:dyDescent="0.2"/>
    <row r="9619" ht="12.75" customHeight="1" x14ac:dyDescent="0.2"/>
    <row r="9620" ht="12.75" customHeight="1" x14ac:dyDescent="0.2"/>
    <row r="9621" ht="12.75" customHeight="1" x14ac:dyDescent="0.2"/>
    <row r="9622" ht="12.75" customHeight="1" x14ac:dyDescent="0.2"/>
    <row r="9623" ht="12.75" customHeight="1" x14ac:dyDescent="0.2"/>
    <row r="9624" ht="12.75" customHeight="1" x14ac:dyDescent="0.2"/>
    <row r="9625" ht="12.75" customHeight="1" x14ac:dyDescent="0.2"/>
    <row r="9626" ht="12.75" customHeight="1" x14ac:dyDescent="0.2"/>
    <row r="9627" ht="12.75" customHeight="1" x14ac:dyDescent="0.2"/>
    <row r="9628" ht="12.75" customHeight="1" x14ac:dyDescent="0.2"/>
    <row r="9629" ht="12.75" customHeight="1" x14ac:dyDescent="0.2"/>
    <row r="9630" ht="12.75" customHeight="1" x14ac:dyDescent="0.2"/>
    <row r="9631" ht="12.75" customHeight="1" x14ac:dyDescent="0.2"/>
    <row r="9632" ht="12.75" customHeight="1" x14ac:dyDescent="0.2"/>
    <row r="9633" ht="12.75" customHeight="1" x14ac:dyDescent="0.2"/>
    <row r="9634" ht="12.75" customHeight="1" x14ac:dyDescent="0.2"/>
    <row r="9635" ht="12.75" customHeight="1" x14ac:dyDescent="0.2"/>
    <row r="9636" ht="12.75" customHeight="1" x14ac:dyDescent="0.2"/>
    <row r="9637" ht="12.75" customHeight="1" x14ac:dyDescent="0.2"/>
    <row r="9638" ht="12.75" customHeight="1" x14ac:dyDescent="0.2"/>
    <row r="9639" ht="12.75" customHeight="1" x14ac:dyDescent="0.2"/>
    <row r="9640" ht="12.75" customHeight="1" x14ac:dyDescent="0.2"/>
    <row r="9641" ht="12.75" customHeight="1" x14ac:dyDescent="0.2"/>
    <row r="9642" ht="12.75" customHeight="1" x14ac:dyDescent="0.2"/>
    <row r="9643" ht="12.75" customHeight="1" x14ac:dyDescent="0.2"/>
    <row r="9644" ht="12.75" customHeight="1" x14ac:dyDescent="0.2"/>
    <row r="9645" ht="12.75" customHeight="1" x14ac:dyDescent="0.2"/>
    <row r="9646" ht="12.75" customHeight="1" x14ac:dyDescent="0.2"/>
    <row r="9647" ht="12.75" customHeight="1" x14ac:dyDescent="0.2"/>
    <row r="9648" ht="12.75" customHeight="1" x14ac:dyDescent="0.2"/>
    <row r="9649" ht="12.75" customHeight="1" x14ac:dyDescent="0.2"/>
    <row r="9650" ht="12.75" customHeight="1" x14ac:dyDescent="0.2"/>
    <row r="9651" ht="12.75" customHeight="1" x14ac:dyDescent="0.2"/>
    <row r="9652" ht="12.75" customHeight="1" x14ac:dyDescent="0.2"/>
    <row r="9653" ht="12.75" customHeight="1" x14ac:dyDescent="0.2"/>
    <row r="9654" ht="12.75" customHeight="1" x14ac:dyDescent="0.2"/>
    <row r="9655" ht="12.75" customHeight="1" x14ac:dyDescent="0.2"/>
    <row r="9656" ht="12.75" customHeight="1" x14ac:dyDescent="0.2"/>
    <row r="9657" ht="12.75" customHeight="1" x14ac:dyDescent="0.2"/>
    <row r="9658" ht="12.75" customHeight="1" x14ac:dyDescent="0.2"/>
    <row r="9659" ht="12.75" customHeight="1" x14ac:dyDescent="0.2"/>
    <row r="9660" ht="12.75" customHeight="1" x14ac:dyDescent="0.2"/>
    <row r="9661" ht="12.75" customHeight="1" x14ac:dyDescent="0.2"/>
    <row r="9662" ht="12.75" customHeight="1" x14ac:dyDescent="0.2"/>
    <row r="9663" ht="12.75" customHeight="1" x14ac:dyDescent="0.2"/>
    <row r="9664" ht="12.75" customHeight="1" x14ac:dyDescent="0.2"/>
    <row r="9665" ht="12.75" customHeight="1" x14ac:dyDescent="0.2"/>
    <row r="9666" ht="12.75" customHeight="1" x14ac:dyDescent="0.2"/>
    <row r="9667" ht="12.75" customHeight="1" x14ac:dyDescent="0.2"/>
    <row r="9668" ht="12.75" customHeight="1" x14ac:dyDescent="0.2"/>
    <row r="9669" ht="12.75" customHeight="1" x14ac:dyDescent="0.2"/>
    <row r="9670" ht="12.75" customHeight="1" x14ac:dyDescent="0.2"/>
    <row r="9671" ht="12.75" customHeight="1" x14ac:dyDescent="0.2"/>
    <row r="9672" ht="12.75" customHeight="1" x14ac:dyDescent="0.2"/>
    <row r="9673" ht="12.75" customHeight="1" x14ac:dyDescent="0.2"/>
    <row r="9674" ht="12.75" customHeight="1" x14ac:dyDescent="0.2"/>
    <row r="9675" ht="12.75" customHeight="1" x14ac:dyDescent="0.2"/>
    <row r="9676" ht="12.75" customHeight="1" x14ac:dyDescent="0.2"/>
    <row r="9677" ht="12.75" customHeight="1" x14ac:dyDescent="0.2"/>
    <row r="9678" ht="12.75" customHeight="1" x14ac:dyDescent="0.2"/>
    <row r="9679" ht="12.75" customHeight="1" x14ac:dyDescent="0.2"/>
    <row r="9680" ht="12.75" customHeight="1" x14ac:dyDescent="0.2"/>
    <row r="9681" ht="12.75" customHeight="1" x14ac:dyDescent="0.2"/>
    <row r="9682" ht="12.75" customHeight="1" x14ac:dyDescent="0.2"/>
    <row r="9683" ht="12.75" customHeight="1" x14ac:dyDescent="0.2"/>
    <row r="9684" ht="12.75" customHeight="1" x14ac:dyDescent="0.2"/>
    <row r="9685" ht="12.75" customHeight="1" x14ac:dyDescent="0.2"/>
    <row r="9686" ht="12.75" customHeight="1" x14ac:dyDescent="0.2"/>
    <row r="9687" ht="12.75" customHeight="1" x14ac:dyDescent="0.2"/>
    <row r="9688" ht="12.75" customHeight="1" x14ac:dyDescent="0.2"/>
    <row r="9689" ht="12.75" customHeight="1" x14ac:dyDescent="0.2"/>
    <row r="9690" ht="12.75" customHeight="1" x14ac:dyDescent="0.2"/>
    <row r="9691" ht="12.75" customHeight="1" x14ac:dyDescent="0.2"/>
    <row r="9692" ht="12.75" customHeight="1" x14ac:dyDescent="0.2"/>
    <row r="9693" ht="12.75" customHeight="1" x14ac:dyDescent="0.2"/>
    <row r="9694" ht="12.75" customHeight="1" x14ac:dyDescent="0.2"/>
    <row r="9695" ht="12.75" customHeight="1" x14ac:dyDescent="0.2"/>
    <row r="9696" ht="12.75" customHeight="1" x14ac:dyDescent="0.2"/>
    <row r="9697" ht="12.75" customHeight="1" x14ac:dyDescent="0.2"/>
    <row r="9698" ht="12.75" customHeight="1" x14ac:dyDescent="0.2"/>
    <row r="9699" ht="12.75" customHeight="1" x14ac:dyDescent="0.2"/>
    <row r="9700" ht="12.75" customHeight="1" x14ac:dyDescent="0.2"/>
    <row r="9701" ht="12.75" customHeight="1" x14ac:dyDescent="0.2"/>
    <row r="9702" ht="12.75" customHeight="1" x14ac:dyDescent="0.2"/>
    <row r="9703" ht="12.75" customHeight="1" x14ac:dyDescent="0.2"/>
    <row r="9704" ht="12.75" customHeight="1" x14ac:dyDescent="0.2"/>
    <row r="9705" ht="12.75" customHeight="1" x14ac:dyDescent="0.2"/>
    <row r="9706" ht="12.75" customHeight="1" x14ac:dyDescent="0.2"/>
    <row r="9707" ht="12.75" customHeight="1" x14ac:dyDescent="0.2"/>
    <row r="9708" ht="12.75" customHeight="1" x14ac:dyDescent="0.2"/>
    <row r="9709" ht="12.75" customHeight="1" x14ac:dyDescent="0.2"/>
    <row r="9710" ht="12.75" customHeight="1" x14ac:dyDescent="0.2"/>
    <row r="9711" ht="12.75" customHeight="1" x14ac:dyDescent="0.2"/>
    <row r="9712" ht="12.75" customHeight="1" x14ac:dyDescent="0.2"/>
    <row r="9713" ht="12.75" customHeight="1" x14ac:dyDescent="0.2"/>
    <row r="9714" ht="12.75" customHeight="1" x14ac:dyDescent="0.2"/>
    <row r="9715" ht="12.75" customHeight="1" x14ac:dyDescent="0.2"/>
    <row r="9716" ht="12.75" customHeight="1" x14ac:dyDescent="0.2"/>
    <row r="9717" ht="12.75" customHeight="1" x14ac:dyDescent="0.2"/>
    <row r="9718" ht="12.75" customHeight="1" x14ac:dyDescent="0.2"/>
    <row r="9719" ht="12.75" customHeight="1" x14ac:dyDescent="0.2"/>
    <row r="9720" ht="12.75" customHeight="1" x14ac:dyDescent="0.2"/>
    <row r="9721" ht="12.75" customHeight="1" x14ac:dyDescent="0.2"/>
    <row r="9722" ht="12.75" customHeight="1" x14ac:dyDescent="0.2"/>
    <row r="9723" ht="12.75" customHeight="1" x14ac:dyDescent="0.2"/>
    <row r="9724" ht="12.75" customHeight="1" x14ac:dyDescent="0.2"/>
    <row r="9725" ht="12.75" customHeight="1" x14ac:dyDescent="0.2"/>
    <row r="9726" ht="12.75" customHeight="1" x14ac:dyDescent="0.2"/>
    <row r="9727" ht="12.75" customHeight="1" x14ac:dyDescent="0.2"/>
    <row r="9728" ht="12.75" customHeight="1" x14ac:dyDescent="0.2"/>
    <row r="9729" ht="12.75" customHeight="1" x14ac:dyDescent="0.2"/>
    <row r="9730" ht="12.75" customHeight="1" x14ac:dyDescent="0.2"/>
    <row r="9731" ht="12.75" customHeight="1" x14ac:dyDescent="0.2"/>
    <row r="9732" ht="12.75" customHeight="1" x14ac:dyDescent="0.2"/>
    <row r="9733" ht="12.75" customHeight="1" x14ac:dyDescent="0.2"/>
    <row r="9734" ht="12.75" customHeight="1" x14ac:dyDescent="0.2"/>
    <row r="9735" ht="12.75" customHeight="1" x14ac:dyDescent="0.2"/>
    <row r="9736" ht="12.75" customHeight="1" x14ac:dyDescent="0.2"/>
    <row r="9737" ht="12.75" customHeight="1" x14ac:dyDescent="0.2"/>
    <row r="9738" ht="12.75" customHeight="1" x14ac:dyDescent="0.2"/>
    <row r="9739" ht="12.75" customHeight="1" x14ac:dyDescent="0.2"/>
    <row r="9740" ht="12.75" customHeight="1" x14ac:dyDescent="0.2"/>
    <row r="9741" ht="12.75" customHeight="1" x14ac:dyDescent="0.2"/>
    <row r="9742" ht="12.75" customHeight="1" x14ac:dyDescent="0.2"/>
    <row r="9743" ht="12.75" customHeight="1" x14ac:dyDescent="0.2"/>
    <row r="9744" ht="12.75" customHeight="1" x14ac:dyDescent="0.2"/>
    <row r="9745" ht="12.75" customHeight="1" x14ac:dyDescent="0.2"/>
    <row r="9746" ht="12.75" customHeight="1" x14ac:dyDescent="0.2"/>
    <row r="9747" ht="12.75" customHeight="1" x14ac:dyDescent="0.2"/>
    <row r="9748" ht="12.75" customHeight="1" x14ac:dyDescent="0.2"/>
    <row r="9749" ht="12.75" customHeight="1" x14ac:dyDescent="0.2"/>
    <row r="9750" ht="12.75" customHeight="1" x14ac:dyDescent="0.2"/>
    <row r="9751" ht="12.75" customHeight="1" x14ac:dyDescent="0.2"/>
    <row r="9752" ht="12.75" customHeight="1" x14ac:dyDescent="0.2"/>
    <row r="9753" ht="12.75" customHeight="1" x14ac:dyDescent="0.2"/>
    <row r="9754" ht="12.75" customHeight="1" x14ac:dyDescent="0.2"/>
    <row r="9755" ht="12.75" customHeight="1" x14ac:dyDescent="0.2"/>
    <row r="9756" ht="12.75" customHeight="1" x14ac:dyDescent="0.2"/>
    <row r="9757" ht="12.75" customHeight="1" x14ac:dyDescent="0.2"/>
    <row r="9758" ht="12.75" customHeight="1" x14ac:dyDescent="0.2"/>
    <row r="9759" ht="12.75" customHeight="1" x14ac:dyDescent="0.2"/>
    <row r="9760" ht="12.75" customHeight="1" x14ac:dyDescent="0.2"/>
    <row r="9761" ht="12.75" customHeight="1" x14ac:dyDescent="0.2"/>
    <row r="9762" ht="12.75" customHeight="1" x14ac:dyDescent="0.2"/>
    <row r="9763" ht="12.75" customHeight="1" x14ac:dyDescent="0.2"/>
    <row r="9764" ht="12.75" customHeight="1" x14ac:dyDescent="0.2"/>
    <row r="9765" ht="12.75" customHeight="1" x14ac:dyDescent="0.2"/>
    <row r="9766" ht="12.75" customHeight="1" x14ac:dyDescent="0.2"/>
    <row r="9767" ht="12.75" customHeight="1" x14ac:dyDescent="0.2"/>
    <row r="9768" ht="12.75" customHeight="1" x14ac:dyDescent="0.2"/>
    <row r="9769" ht="12.75" customHeight="1" x14ac:dyDescent="0.2"/>
    <row r="9770" ht="12.75" customHeight="1" x14ac:dyDescent="0.2"/>
    <row r="9771" ht="12.75" customHeight="1" x14ac:dyDescent="0.2"/>
    <row r="9772" ht="12.75" customHeight="1" x14ac:dyDescent="0.2"/>
    <row r="9773" ht="12.75" customHeight="1" x14ac:dyDescent="0.2"/>
    <row r="9774" ht="12.75" customHeight="1" x14ac:dyDescent="0.2"/>
    <row r="9775" ht="12.75" customHeight="1" x14ac:dyDescent="0.2"/>
    <row r="9776" ht="12.75" customHeight="1" x14ac:dyDescent="0.2"/>
    <row r="9777" ht="12.75" customHeight="1" x14ac:dyDescent="0.2"/>
    <row r="9778" ht="12.75" customHeight="1" x14ac:dyDescent="0.2"/>
    <row r="9779" ht="12.75" customHeight="1" x14ac:dyDescent="0.2"/>
    <row r="9780" ht="12.75" customHeight="1" x14ac:dyDescent="0.2"/>
    <row r="9781" ht="12.75" customHeight="1" x14ac:dyDescent="0.2"/>
    <row r="9782" ht="12.75" customHeight="1" x14ac:dyDescent="0.2"/>
    <row r="9783" ht="12.75" customHeight="1" x14ac:dyDescent="0.2"/>
    <row r="9784" ht="12.75" customHeight="1" x14ac:dyDescent="0.2"/>
    <row r="9785" ht="12.75" customHeight="1" x14ac:dyDescent="0.2"/>
    <row r="9786" ht="12.75" customHeight="1" x14ac:dyDescent="0.2"/>
    <row r="9787" ht="12.75" customHeight="1" x14ac:dyDescent="0.2"/>
    <row r="9788" ht="12.75" customHeight="1" x14ac:dyDescent="0.2"/>
    <row r="9789" ht="12.75" customHeight="1" x14ac:dyDescent="0.2"/>
    <row r="9790" ht="12.75" customHeight="1" x14ac:dyDescent="0.2"/>
    <row r="9791" ht="12.75" customHeight="1" x14ac:dyDescent="0.2"/>
    <row r="9792" ht="12.75" customHeight="1" x14ac:dyDescent="0.2"/>
    <row r="9793" ht="12.75" customHeight="1" x14ac:dyDescent="0.2"/>
    <row r="9794" ht="12.75" customHeight="1" x14ac:dyDescent="0.2"/>
    <row r="9795" ht="12.75" customHeight="1" x14ac:dyDescent="0.2"/>
    <row r="9796" ht="12.75" customHeight="1" x14ac:dyDescent="0.2"/>
    <row r="9797" ht="12.75" customHeight="1" x14ac:dyDescent="0.2"/>
    <row r="9798" ht="12.75" customHeight="1" x14ac:dyDescent="0.2"/>
    <row r="9799" ht="12.75" customHeight="1" x14ac:dyDescent="0.2"/>
    <row r="9800" ht="12.75" customHeight="1" x14ac:dyDescent="0.2"/>
    <row r="9801" ht="12.75" customHeight="1" x14ac:dyDescent="0.2"/>
    <row r="9802" ht="12.75" customHeight="1" x14ac:dyDescent="0.2"/>
    <row r="9803" ht="12.75" customHeight="1" x14ac:dyDescent="0.2"/>
    <row r="9804" ht="12.75" customHeight="1" x14ac:dyDescent="0.2"/>
    <row r="9805" ht="12.75" customHeight="1" x14ac:dyDescent="0.2"/>
    <row r="9806" ht="12.75" customHeight="1" x14ac:dyDescent="0.2"/>
    <row r="9807" ht="12.75" customHeight="1" x14ac:dyDescent="0.2"/>
    <row r="9808" ht="12.75" customHeight="1" x14ac:dyDescent="0.2"/>
    <row r="9809" ht="12.75" customHeight="1" x14ac:dyDescent="0.2"/>
    <row r="9810" ht="12.75" customHeight="1" x14ac:dyDescent="0.2"/>
    <row r="9811" ht="12.75" customHeight="1" x14ac:dyDescent="0.2"/>
    <row r="9812" ht="12.75" customHeight="1" x14ac:dyDescent="0.2"/>
    <row r="9813" ht="12.75" customHeight="1" x14ac:dyDescent="0.2"/>
    <row r="9814" ht="12.75" customHeight="1" x14ac:dyDescent="0.2"/>
    <row r="9815" ht="12.75" customHeight="1" x14ac:dyDescent="0.2"/>
    <row r="9816" ht="12.75" customHeight="1" x14ac:dyDescent="0.2"/>
    <row r="9817" ht="12.75" customHeight="1" x14ac:dyDescent="0.2"/>
    <row r="9818" ht="12.75" customHeight="1" x14ac:dyDescent="0.2"/>
    <row r="9819" ht="12.75" customHeight="1" x14ac:dyDescent="0.2"/>
    <row r="9820" ht="12.75" customHeight="1" x14ac:dyDescent="0.2"/>
    <row r="9821" ht="12.75" customHeight="1" x14ac:dyDescent="0.2"/>
    <row r="9822" ht="12.75" customHeight="1" x14ac:dyDescent="0.2"/>
    <row r="9823" ht="12.75" customHeight="1" x14ac:dyDescent="0.2"/>
    <row r="9824" ht="12.75" customHeight="1" x14ac:dyDescent="0.2"/>
    <row r="9825" ht="12.75" customHeight="1" x14ac:dyDescent="0.2"/>
    <row r="9826" ht="12.75" customHeight="1" x14ac:dyDescent="0.2"/>
    <row r="9827" ht="12.75" customHeight="1" x14ac:dyDescent="0.2"/>
    <row r="9828" ht="12.75" customHeight="1" x14ac:dyDescent="0.2"/>
    <row r="9829" ht="12.75" customHeight="1" x14ac:dyDescent="0.2"/>
    <row r="9830" ht="12.75" customHeight="1" x14ac:dyDescent="0.2"/>
    <row r="9831" ht="12.75" customHeight="1" x14ac:dyDescent="0.2"/>
    <row r="9832" ht="12.75" customHeight="1" x14ac:dyDescent="0.2"/>
    <row r="9833" ht="12.75" customHeight="1" x14ac:dyDescent="0.2"/>
    <row r="9834" ht="12.75" customHeight="1" x14ac:dyDescent="0.2"/>
    <row r="9835" ht="12.75" customHeight="1" x14ac:dyDescent="0.2"/>
    <row r="9836" ht="12.75" customHeight="1" x14ac:dyDescent="0.2"/>
    <row r="9837" ht="12.75" customHeight="1" x14ac:dyDescent="0.2"/>
    <row r="9838" ht="12.75" customHeight="1" x14ac:dyDescent="0.2"/>
    <row r="9839" ht="12.75" customHeight="1" x14ac:dyDescent="0.2"/>
    <row r="9840" ht="12.75" customHeight="1" x14ac:dyDescent="0.2"/>
    <row r="9841" ht="12.75" customHeight="1" x14ac:dyDescent="0.2"/>
    <row r="9842" ht="12.75" customHeight="1" x14ac:dyDescent="0.2"/>
    <row r="9843" ht="12.75" customHeight="1" x14ac:dyDescent="0.2"/>
    <row r="9844" ht="12.75" customHeight="1" x14ac:dyDescent="0.2"/>
    <row r="9845" ht="12.75" customHeight="1" x14ac:dyDescent="0.2"/>
    <row r="9846" ht="12.75" customHeight="1" x14ac:dyDescent="0.2"/>
    <row r="9847" ht="12.75" customHeight="1" x14ac:dyDescent="0.2"/>
    <row r="9848" ht="12.75" customHeight="1" x14ac:dyDescent="0.2"/>
    <row r="9849" ht="12.75" customHeight="1" x14ac:dyDescent="0.2"/>
    <row r="9850" ht="12.75" customHeight="1" x14ac:dyDescent="0.2"/>
    <row r="9851" ht="12.75" customHeight="1" x14ac:dyDescent="0.2"/>
    <row r="9852" ht="12.75" customHeight="1" x14ac:dyDescent="0.2"/>
    <row r="9853" ht="12.75" customHeight="1" x14ac:dyDescent="0.2"/>
    <row r="9854" ht="12.75" customHeight="1" x14ac:dyDescent="0.2"/>
    <row r="9855" ht="12.75" customHeight="1" x14ac:dyDescent="0.2"/>
    <row r="9856" ht="12.75" customHeight="1" x14ac:dyDescent="0.2"/>
    <row r="9857" ht="12.75" customHeight="1" x14ac:dyDescent="0.2"/>
    <row r="9858" ht="12.75" customHeight="1" x14ac:dyDescent="0.2"/>
    <row r="9859" ht="12.75" customHeight="1" x14ac:dyDescent="0.2"/>
    <row r="9860" ht="12.75" customHeight="1" x14ac:dyDescent="0.2"/>
    <row r="9861" ht="12.75" customHeight="1" x14ac:dyDescent="0.2"/>
    <row r="9862" ht="12.75" customHeight="1" x14ac:dyDescent="0.2"/>
    <row r="9863" ht="12.75" customHeight="1" x14ac:dyDescent="0.2"/>
    <row r="9864" ht="12.75" customHeight="1" x14ac:dyDescent="0.2"/>
    <row r="9865" ht="12.75" customHeight="1" x14ac:dyDescent="0.2"/>
    <row r="9866" ht="12.75" customHeight="1" x14ac:dyDescent="0.2"/>
    <row r="9867" ht="12.75" customHeight="1" x14ac:dyDescent="0.2"/>
    <row r="9868" ht="12.75" customHeight="1" x14ac:dyDescent="0.2"/>
    <row r="9869" ht="12.75" customHeight="1" x14ac:dyDescent="0.2"/>
    <row r="9870" ht="12.75" customHeight="1" x14ac:dyDescent="0.2"/>
    <row r="9871" ht="12.75" customHeight="1" x14ac:dyDescent="0.2"/>
    <row r="9872" ht="12.75" customHeight="1" x14ac:dyDescent="0.2"/>
    <row r="9873" ht="12.75" customHeight="1" x14ac:dyDescent="0.2"/>
    <row r="9874" ht="12.75" customHeight="1" x14ac:dyDescent="0.2"/>
    <row r="9875" ht="12.75" customHeight="1" x14ac:dyDescent="0.2"/>
    <row r="9876" ht="12.75" customHeight="1" x14ac:dyDescent="0.2"/>
    <row r="9877" ht="12.75" customHeight="1" x14ac:dyDescent="0.2"/>
    <row r="9878" ht="12.75" customHeight="1" x14ac:dyDescent="0.2"/>
    <row r="9879" ht="12.75" customHeight="1" x14ac:dyDescent="0.2"/>
    <row r="9880" ht="12.75" customHeight="1" x14ac:dyDescent="0.2"/>
    <row r="9881" ht="12.75" customHeight="1" x14ac:dyDescent="0.2"/>
    <row r="9882" ht="12.75" customHeight="1" x14ac:dyDescent="0.2"/>
    <row r="9883" ht="12.75" customHeight="1" x14ac:dyDescent="0.2"/>
    <row r="9884" ht="12.75" customHeight="1" x14ac:dyDescent="0.2"/>
    <row r="9885" ht="12.75" customHeight="1" x14ac:dyDescent="0.2"/>
    <row r="9886" ht="12.75" customHeight="1" x14ac:dyDescent="0.2"/>
    <row r="9887" ht="12.75" customHeight="1" x14ac:dyDescent="0.2"/>
    <row r="9888" ht="12.75" customHeight="1" x14ac:dyDescent="0.2"/>
    <row r="9889" ht="12.75" customHeight="1" x14ac:dyDescent="0.2"/>
    <row r="9890" ht="12.75" customHeight="1" x14ac:dyDescent="0.2"/>
    <row r="9891" ht="12.75" customHeight="1" x14ac:dyDescent="0.2"/>
    <row r="9892" ht="12.75" customHeight="1" x14ac:dyDescent="0.2"/>
    <row r="9893" ht="12.75" customHeight="1" x14ac:dyDescent="0.2"/>
    <row r="9894" ht="12.75" customHeight="1" x14ac:dyDescent="0.2"/>
    <row r="9895" ht="12.75" customHeight="1" x14ac:dyDescent="0.2"/>
    <row r="9896" ht="12.75" customHeight="1" x14ac:dyDescent="0.2"/>
    <row r="9897" ht="12.75" customHeight="1" x14ac:dyDescent="0.2"/>
    <row r="9898" ht="12.75" customHeight="1" x14ac:dyDescent="0.2"/>
    <row r="9899" ht="12.75" customHeight="1" x14ac:dyDescent="0.2"/>
    <row r="9900" ht="12.75" customHeight="1" x14ac:dyDescent="0.2"/>
    <row r="9901" ht="12.75" customHeight="1" x14ac:dyDescent="0.2"/>
    <row r="9902" ht="12.75" customHeight="1" x14ac:dyDescent="0.2"/>
    <row r="9903" ht="12.75" customHeight="1" x14ac:dyDescent="0.2"/>
    <row r="9904" ht="12.75" customHeight="1" x14ac:dyDescent="0.2"/>
    <row r="9905" ht="12.75" customHeight="1" x14ac:dyDescent="0.2"/>
    <row r="9906" ht="12.75" customHeight="1" x14ac:dyDescent="0.2"/>
    <row r="9907" ht="12.75" customHeight="1" x14ac:dyDescent="0.2"/>
    <row r="9908" ht="12.75" customHeight="1" x14ac:dyDescent="0.2"/>
    <row r="9909" ht="12.75" customHeight="1" x14ac:dyDescent="0.2"/>
    <row r="9910" ht="12.75" customHeight="1" x14ac:dyDescent="0.2"/>
    <row r="9911" ht="12.75" customHeight="1" x14ac:dyDescent="0.2"/>
    <row r="9912" ht="12.75" customHeight="1" x14ac:dyDescent="0.2"/>
    <row r="9913" ht="12.75" customHeight="1" x14ac:dyDescent="0.2"/>
    <row r="9914" ht="12.75" customHeight="1" x14ac:dyDescent="0.2"/>
    <row r="9915" ht="12.75" customHeight="1" x14ac:dyDescent="0.2"/>
    <row r="9916" ht="12.75" customHeight="1" x14ac:dyDescent="0.2"/>
    <row r="9917" ht="12.75" customHeight="1" x14ac:dyDescent="0.2"/>
    <row r="9918" ht="12.75" customHeight="1" x14ac:dyDescent="0.2"/>
    <row r="9919" ht="12.75" customHeight="1" x14ac:dyDescent="0.2"/>
    <row r="9920" ht="12.75" customHeight="1" x14ac:dyDescent="0.2"/>
    <row r="9921" ht="12.75" customHeight="1" x14ac:dyDescent="0.2"/>
    <row r="9922" ht="12.75" customHeight="1" x14ac:dyDescent="0.2"/>
    <row r="9923" ht="12.75" customHeight="1" x14ac:dyDescent="0.2"/>
    <row r="9924" ht="12.75" customHeight="1" x14ac:dyDescent="0.2"/>
    <row r="9925" ht="12.75" customHeight="1" x14ac:dyDescent="0.2"/>
    <row r="9926" ht="12.75" customHeight="1" x14ac:dyDescent="0.2"/>
    <row r="9927" ht="12.75" customHeight="1" x14ac:dyDescent="0.2"/>
    <row r="9928" ht="12.75" customHeight="1" x14ac:dyDescent="0.2"/>
    <row r="9929" ht="12.75" customHeight="1" x14ac:dyDescent="0.2"/>
    <row r="9930" ht="12.75" customHeight="1" x14ac:dyDescent="0.2"/>
    <row r="9931" ht="12.75" customHeight="1" x14ac:dyDescent="0.2"/>
    <row r="9932" ht="12.75" customHeight="1" x14ac:dyDescent="0.2"/>
    <row r="9933" ht="12.75" customHeight="1" x14ac:dyDescent="0.2"/>
    <row r="9934" ht="12.75" customHeight="1" x14ac:dyDescent="0.2"/>
    <row r="9935" ht="12.75" customHeight="1" x14ac:dyDescent="0.2"/>
    <row r="9936" ht="12.75" customHeight="1" x14ac:dyDescent="0.2"/>
    <row r="9937" ht="12.75" customHeight="1" x14ac:dyDescent="0.2"/>
    <row r="9938" ht="12.75" customHeight="1" x14ac:dyDescent="0.2"/>
    <row r="9939" ht="12.75" customHeight="1" x14ac:dyDescent="0.2"/>
    <row r="9940" ht="12.75" customHeight="1" x14ac:dyDescent="0.2"/>
    <row r="9941" ht="12.75" customHeight="1" x14ac:dyDescent="0.2"/>
    <row r="9942" ht="12.75" customHeight="1" x14ac:dyDescent="0.2"/>
    <row r="9943" ht="12.75" customHeight="1" x14ac:dyDescent="0.2"/>
    <row r="9944" ht="12.75" customHeight="1" x14ac:dyDescent="0.2"/>
    <row r="9945" ht="12.75" customHeight="1" x14ac:dyDescent="0.2"/>
    <row r="9946" ht="12.75" customHeight="1" x14ac:dyDescent="0.2"/>
    <row r="9947" ht="12.75" customHeight="1" x14ac:dyDescent="0.2"/>
    <row r="9948" ht="12.75" customHeight="1" x14ac:dyDescent="0.2"/>
    <row r="9949" ht="12.75" customHeight="1" x14ac:dyDescent="0.2"/>
    <row r="9950" ht="12.75" customHeight="1" x14ac:dyDescent="0.2"/>
    <row r="9951" ht="12.75" customHeight="1" x14ac:dyDescent="0.2"/>
    <row r="9952" ht="12.75" customHeight="1" x14ac:dyDescent="0.2"/>
    <row r="9953" ht="12.75" customHeight="1" x14ac:dyDescent="0.2"/>
    <row r="9954" ht="12.75" customHeight="1" x14ac:dyDescent="0.2"/>
    <row r="9955" ht="12.75" customHeight="1" x14ac:dyDescent="0.2"/>
    <row r="9956" ht="12.75" customHeight="1" x14ac:dyDescent="0.2"/>
    <row r="9957" ht="12.75" customHeight="1" x14ac:dyDescent="0.2"/>
    <row r="9958" ht="12.75" customHeight="1" x14ac:dyDescent="0.2"/>
    <row r="9959" ht="12.75" customHeight="1" x14ac:dyDescent="0.2"/>
    <row r="9960" ht="12.75" customHeight="1" x14ac:dyDescent="0.2"/>
    <row r="9961" ht="12.75" customHeight="1" x14ac:dyDescent="0.2"/>
    <row r="9962" ht="12.75" customHeight="1" x14ac:dyDescent="0.2"/>
    <row r="9963" ht="12.75" customHeight="1" x14ac:dyDescent="0.2"/>
    <row r="9964" ht="12.75" customHeight="1" x14ac:dyDescent="0.2"/>
    <row r="9965" ht="12.75" customHeight="1" x14ac:dyDescent="0.2"/>
    <row r="9966" ht="12.75" customHeight="1" x14ac:dyDescent="0.2"/>
    <row r="9967" ht="12.75" customHeight="1" x14ac:dyDescent="0.2"/>
    <row r="9968" ht="12.75" customHeight="1" x14ac:dyDescent="0.2"/>
    <row r="9969" ht="12.75" customHeight="1" x14ac:dyDescent="0.2"/>
    <row r="9970" ht="12.75" customHeight="1" x14ac:dyDescent="0.2"/>
    <row r="9971" ht="12.75" customHeight="1" x14ac:dyDescent="0.2"/>
    <row r="9972" ht="12.75" customHeight="1" x14ac:dyDescent="0.2"/>
    <row r="9973" ht="12.75" customHeight="1" x14ac:dyDescent="0.2"/>
    <row r="9974" ht="12.75" customHeight="1" x14ac:dyDescent="0.2"/>
    <row r="9975" ht="12.75" customHeight="1" x14ac:dyDescent="0.2"/>
    <row r="9976" ht="12.75" customHeight="1" x14ac:dyDescent="0.2"/>
    <row r="9977" ht="12.75" customHeight="1" x14ac:dyDescent="0.2"/>
    <row r="9978" ht="12.75" customHeight="1" x14ac:dyDescent="0.2"/>
    <row r="9979" ht="12.75" customHeight="1" x14ac:dyDescent="0.2"/>
    <row r="9980" ht="12.75" customHeight="1" x14ac:dyDescent="0.2"/>
    <row r="9981" ht="12.75" customHeight="1" x14ac:dyDescent="0.2"/>
    <row r="9982" ht="12.75" customHeight="1" x14ac:dyDescent="0.2"/>
    <row r="9983" ht="12.75" customHeight="1" x14ac:dyDescent="0.2"/>
    <row r="9984" ht="12.75" customHeight="1" x14ac:dyDescent="0.2"/>
    <row r="9985" ht="12.75" customHeight="1" x14ac:dyDescent="0.2"/>
    <row r="9986" ht="12.75" customHeight="1" x14ac:dyDescent="0.2"/>
    <row r="9987" ht="12.75" customHeight="1" x14ac:dyDescent="0.2"/>
    <row r="9988" ht="12.75" customHeight="1" x14ac:dyDescent="0.2"/>
    <row r="9989" ht="12.75" customHeight="1" x14ac:dyDescent="0.2"/>
    <row r="9990" ht="12.75" customHeight="1" x14ac:dyDescent="0.2"/>
    <row r="9991" ht="12.75" customHeight="1" x14ac:dyDescent="0.2"/>
    <row r="9992" ht="12.75" customHeight="1" x14ac:dyDescent="0.2"/>
    <row r="9993" ht="12.75" customHeight="1" x14ac:dyDescent="0.2"/>
    <row r="9994" ht="12.75" customHeight="1" x14ac:dyDescent="0.2"/>
    <row r="9995" ht="12.75" customHeight="1" x14ac:dyDescent="0.2"/>
    <row r="9996" ht="12.75" customHeight="1" x14ac:dyDescent="0.2"/>
    <row r="9997" ht="12.75" customHeight="1" x14ac:dyDescent="0.2"/>
    <row r="9998" ht="12.75" customHeight="1" x14ac:dyDescent="0.2"/>
    <row r="9999" ht="12.75" customHeight="1" x14ac:dyDescent="0.2"/>
    <row r="10000" ht="12.75" customHeight="1" x14ac:dyDescent="0.2"/>
    <row r="10001" ht="12.75" customHeight="1" x14ac:dyDescent="0.2"/>
    <row r="10002" ht="12.75" customHeight="1" x14ac:dyDescent="0.2"/>
    <row r="10003" ht="12.75" customHeight="1" x14ac:dyDescent="0.2"/>
    <row r="10004" ht="12.75" customHeight="1" x14ac:dyDescent="0.2"/>
    <row r="10005" ht="12.75" customHeight="1" x14ac:dyDescent="0.2"/>
    <row r="10006" ht="12.75" customHeight="1" x14ac:dyDescent="0.2"/>
    <row r="10007" ht="12.75" customHeight="1" x14ac:dyDescent="0.2"/>
    <row r="10008" ht="12.75" customHeight="1" x14ac:dyDescent="0.2"/>
    <row r="10009" ht="12.75" customHeight="1" x14ac:dyDescent="0.2"/>
    <row r="10010" ht="12.75" customHeight="1" x14ac:dyDescent="0.2"/>
    <row r="10011" ht="12.75" customHeight="1" x14ac:dyDescent="0.2"/>
    <row r="10012" ht="12.75" customHeight="1" x14ac:dyDescent="0.2"/>
    <row r="10013" ht="12.75" customHeight="1" x14ac:dyDescent="0.2"/>
    <row r="10014" ht="12.75" customHeight="1" x14ac:dyDescent="0.2"/>
    <row r="10015" ht="12.75" customHeight="1" x14ac:dyDescent="0.2"/>
    <row r="10016" ht="12.75" customHeight="1" x14ac:dyDescent="0.2"/>
    <row r="10017" ht="12.75" customHeight="1" x14ac:dyDescent="0.2"/>
    <row r="10018" ht="12.75" customHeight="1" x14ac:dyDescent="0.2"/>
    <row r="10019" ht="12.75" customHeight="1" x14ac:dyDescent="0.2"/>
    <row r="10020" ht="12.75" customHeight="1" x14ac:dyDescent="0.2"/>
    <row r="10021" ht="12.75" customHeight="1" x14ac:dyDescent="0.2"/>
    <row r="10022" ht="12.75" customHeight="1" x14ac:dyDescent="0.2"/>
    <row r="10023" ht="12.75" customHeight="1" x14ac:dyDescent="0.2"/>
    <row r="10024" ht="12.75" customHeight="1" x14ac:dyDescent="0.2"/>
    <row r="10025" ht="12.75" customHeight="1" x14ac:dyDescent="0.2"/>
    <row r="10026" ht="12.75" customHeight="1" x14ac:dyDescent="0.2"/>
    <row r="10027" ht="12.75" customHeight="1" x14ac:dyDescent="0.2"/>
    <row r="10028" ht="12.75" customHeight="1" x14ac:dyDescent="0.2"/>
    <row r="10029" ht="12.75" customHeight="1" x14ac:dyDescent="0.2"/>
    <row r="10030" ht="12.75" customHeight="1" x14ac:dyDescent="0.2"/>
    <row r="10031" ht="12.75" customHeight="1" x14ac:dyDescent="0.2"/>
    <row r="10032" ht="12.75" customHeight="1" x14ac:dyDescent="0.2"/>
    <row r="10033" ht="12.75" customHeight="1" x14ac:dyDescent="0.2"/>
    <row r="10034" ht="12.75" customHeight="1" x14ac:dyDescent="0.2"/>
    <row r="10035" ht="12.75" customHeight="1" x14ac:dyDescent="0.2"/>
    <row r="10036" ht="12.75" customHeight="1" x14ac:dyDescent="0.2"/>
    <row r="10037" ht="12.75" customHeight="1" x14ac:dyDescent="0.2"/>
    <row r="10038" ht="12.75" customHeight="1" x14ac:dyDescent="0.2"/>
    <row r="10039" ht="12.75" customHeight="1" x14ac:dyDescent="0.2"/>
    <row r="10040" ht="12.75" customHeight="1" x14ac:dyDescent="0.2"/>
    <row r="10041" ht="12.75" customHeight="1" x14ac:dyDescent="0.2"/>
    <row r="10042" ht="12.75" customHeight="1" x14ac:dyDescent="0.2"/>
    <row r="10043" ht="12.75" customHeight="1" x14ac:dyDescent="0.2"/>
    <row r="10044" ht="12.75" customHeight="1" x14ac:dyDescent="0.2"/>
    <row r="10045" ht="12.75" customHeight="1" x14ac:dyDescent="0.2"/>
    <row r="10046" ht="12.75" customHeight="1" x14ac:dyDescent="0.2"/>
    <row r="10047" ht="12.75" customHeight="1" x14ac:dyDescent="0.2"/>
    <row r="10048" ht="12.75" customHeight="1" x14ac:dyDescent="0.2"/>
    <row r="10049" ht="12.75" customHeight="1" x14ac:dyDescent="0.2"/>
    <row r="10050" ht="12.75" customHeight="1" x14ac:dyDescent="0.2"/>
    <row r="10051" ht="12.75" customHeight="1" x14ac:dyDescent="0.2"/>
    <row r="10052" ht="12.75" customHeight="1" x14ac:dyDescent="0.2"/>
    <row r="10053" ht="12.75" customHeight="1" x14ac:dyDescent="0.2"/>
    <row r="10054" ht="12.75" customHeight="1" x14ac:dyDescent="0.2"/>
    <row r="10055" ht="12.75" customHeight="1" x14ac:dyDescent="0.2"/>
    <row r="10056" ht="12.75" customHeight="1" x14ac:dyDescent="0.2"/>
    <row r="10057" ht="12.75" customHeight="1" x14ac:dyDescent="0.2"/>
    <row r="10058" ht="12.75" customHeight="1" x14ac:dyDescent="0.2"/>
    <row r="10059" ht="12.75" customHeight="1" x14ac:dyDescent="0.2"/>
    <row r="10060" ht="12.75" customHeight="1" x14ac:dyDescent="0.2"/>
    <row r="10061" ht="12.75" customHeight="1" x14ac:dyDescent="0.2"/>
    <row r="10062" ht="12.75" customHeight="1" x14ac:dyDescent="0.2"/>
    <row r="10063" ht="12.75" customHeight="1" x14ac:dyDescent="0.2"/>
    <row r="10064" ht="12.75" customHeight="1" x14ac:dyDescent="0.2"/>
    <row r="10065" ht="12.75" customHeight="1" x14ac:dyDescent="0.2"/>
    <row r="10066" ht="12.75" customHeight="1" x14ac:dyDescent="0.2"/>
    <row r="10067" ht="12.75" customHeight="1" x14ac:dyDescent="0.2"/>
    <row r="10068" ht="12.75" customHeight="1" x14ac:dyDescent="0.2"/>
    <row r="10069" ht="12.75" customHeight="1" x14ac:dyDescent="0.2"/>
    <row r="10070" ht="12.75" customHeight="1" x14ac:dyDescent="0.2"/>
    <row r="10071" ht="12.75" customHeight="1" x14ac:dyDescent="0.2"/>
    <row r="10072" ht="12.75" customHeight="1" x14ac:dyDescent="0.2"/>
    <row r="10073" ht="12.75" customHeight="1" x14ac:dyDescent="0.2"/>
    <row r="10074" ht="12.75" customHeight="1" x14ac:dyDescent="0.2"/>
    <row r="10075" ht="12.75" customHeight="1" x14ac:dyDescent="0.2"/>
    <row r="10076" ht="12.75" customHeight="1" x14ac:dyDescent="0.2"/>
    <row r="10077" ht="12.75" customHeight="1" x14ac:dyDescent="0.2"/>
    <row r="10078" ht="12.75" customHeight="1" x14ac:dyDescent="0.2"/>
    <row r="10079" ht="12.75" customHeight="1" x14ac:dyDescent="0.2"/>
    <row r="10080" ht="12.75" customHeight="1" x14ac:dyDescent="0.2"/>
    <row r="10081" ht="12.75" customHeight="1" x14ac:dyDescent="0.2"/>
    <row r="10082" ht="12.75" customHeight="1" x14ac:dyDescent="0.2"/>
    <row r="10083" ht="12.75" customHeight="1" x14ac:dyDescent="0.2"/>
    <row r="10084" ht="12.75" customHeight="1" x14ac:dyDescent="0.2"/>
    <row r="10085" ht="12.75" customHeight="1" x14ac:dyDescent="0.2"/>
    <row r="10086" ht="12.75" customHeight="1" x14ac:dyDescent="0.2"/>
    <row r="10087" ht="12.75" customHeight="1" x14ac:dyDescent="0.2"/>
    <row r="10088" ht="12.75" customHeight="1" x14ac:dyDescent="0.2"/>
    <row r="10089" ht="12.75" customHeight="1" x14ac:dyDescent="0.2"/>
    <row r="10090" ht="12.75" customHeight="1" x14ac:dyDescent="0.2"/>
    <row r="10091" ht="12.75" customHeight="1" x14ac:dyDescent="0.2"/>
    <row r="10092" ht="12.75" customHeight="1" x14ac:dyDescent="0.2"/>
    <row r="10093" ht="12.75" customHeight="1" x14ac:dyDescent="0.2"/>
    <row r="10094" ht="12.75" customHeight="1" x14ac:dyDescent="0.2"/>
    <row r="10095" ht="12.75" customHeight="1" x14ac:dyDescent="0.2"/>
    <row r="10096" ht="12.75" customHeight="1" x14ac:dyDescent="0.2"/>
    <row r="10097" ht="12.75" customHeight="1" x14ac:dyDescent="0.2"/>
    <row r="10098" ht="12.75" customHeight="1" x14ac:dyDescent="0.2"/>
    <row r="10099" ht="12.75" customHeight="1" x14ac:dyDescent="0.2"/>
    <row r="10100" ht="12.75" customHeight="1" x14ac:dyDescent="0.2"/>
    <row r="10101" ht="12.75" customHeight="1" x14ac:dyDescent="0.2"/>
    <row r="10102" ht="12.75" customHeight="1" x14ac:dyDescent="0.2"/>
    <row r="10103" ht="12.75" customHeight="1" x14ac:dyDescent="0.2"/>
    <row r="10104" ht="12.75" customHeight="1" x14ac:dyDescent="0.2"/>
    <row r="10105" ht="12.75" customHeight="1" x14ac:dyDescent="0.2"/>
    <row r="10106" ht="12.75" customHeight="1" x14ac:dyDescent="0.2"/>
    <row r="10107" ht="12.75" customHeight="1" x14ac:dyDescent="0.2"/>
    <row r="10108" ht="12.75" customHeight="1" x14ac:dyDescent="0.2"/>
    <row r="10109" ht="12.75" customHeight="1" x14ac:dyDescent="0.2"/>
    <row r="10110" ht="12.75" customHeight="1" x14ac:dyDescent="0.2"/>
    <row r="10111" ht="12.75" customHeight="1" x14ac:dyDescent="0.2"/>
    <row r="10112" ht="12.75" customHeight="1" x14ac:dyDescent="0.2"/>
    <row r="10113" ht="12.75" customHeight="1" x14ac:dyDescent="0.2"/>
    <row r="10114" ht="12.75" customHeight="1" x14ac:dyDescent="0.2"/>
    <row r="10115" ht="12.75" customHeight="1" x14ac:dyDescent="0.2"/>
    <row r="10116" ht="12.75" customHeight="1" x14ac:dyDescent="0.2"/>
    <row r="10117" ht="12.75" customHeight="1" x14ac:dyDescent="0.2"/>
    <row r="10118" ht="12.75" customHeight="1" x14ac:dyDescent="0.2"/>
    <row r="10119" ht="12.75" customHeight="1" x14ac:dyDescent="0.2"/>
    <row r="10120" ht="12.75" customHeight="1" x14ac:dyDescent="0.2"/>
    <row r="10121" ht="12.75" customHeight="1" x14ac:dyDescent="0.2"/>
    <row r="10122" ht="12.75" customHeight="1" x14ac:dyDescent="0.2"/>
    <row r="10123" ht="12.75" customHeight="1" x14ac:dyDescent="0.2"/>
    <row r="10124" ht="12.75" customHeight="1" x14ac:dyDescent="0.2"/>
    <row r="10125" ht="12.75" customHeight="1" x14ac:dyDescent="0.2"/>
    <row r="10126" ht="12.75" customHeight="1" x14ac:dyDescent="0.2"/>
    <row r="10127" ht="12.75" customHeight="1" x14ac:dyDescent="0.2"/>
    <row r="10128" ht="12.75" customHeight="1" x14ac:dyDescent="0.2"/>
    <row r="10129" spans="1:2" ht="12.75" customHeight="1" x14ac:dyDescent="0.2"/>
    <row r="10130" spans="1:2" ht="12.75" customHeight="1" x14ac:dyDescent="0.2"/>
    <row r="10131" spans="1:2" ht="12.75" customHeight="1" x14ac:dyDescent="0.2"/>
    <row r="10132" spans="1:2" ht="12.75" customHeight="1" x14ac:dyDescent="0.2"/>
    <row r="10133" spans="1:2" ht="12.75" customHeight="1" x14ac:dyDescent="0.2"/>
    <row r="10134" spans="1:2" ht="12.75" customHeight="1" x14ac:dyDescent="0.2"/>
    <row r="10135" spans="1:2" ht="12.75" customHeight="1" x14ac:dyDescent="0.2">
      <c r="B10135" s="14"/>
    </row>
    <row r="10136" spans="1:2" ht="12.75" customHeight="1" x14ac:dyDescent="0.2"/>
    <row r="10137" spans="1:2" ht="12.75" customHeight="1" x14ac:dyDescent="0.2">
      <c r="A10137" s="14" t="b">
        <v>0</v>
      </c>
    </row>
    <row r="10138" spans="1:2" ht="12.75" customHeight="1" x14ac:dyDescent="0.2"/>
    <row r="10139" spans="1:2" ht="12.75" customHeight="1" x14ac:dyDescent="0.2"/>
    <row r="10140" spans="1:2" ht="12.75" customHeight="1" x14ac:dyDescent="0.2"/>
    <row r="10141" spans="1:2" ht="12.75" customHeight="1" x14ac:dyDescent="0.2"/>
    <row r="10142" spans="1:2" ht="12.75" customHeight="1" x14ac:dyDescent="0.2"/>
    <row r="10143" spans="1:2" ht="12.75" customHeight="1" x14ac:dyDescent="0.2"/>
    <row r="10144" spans="1:2" ht="12.75" customHeight="1" x14ac:dyDescent="0.2"/>
    <row r="10145" spans="2:2" ht="12.75" customHeight="1" x14ac:dyDescent="0.2">
      <c r="B10145" s="14" t="b">
        <v>1</v>
      </c>
    </row>
    <row r="10146" spans="2:2" ht="12.75" customHeight="1" x14ac:dyDescent="0.2"/>
    <row r="10147" spans="2:2" ht="12.75" customHeight="1" x14ac:dyDescent="0.2"/>
    <row r="10148" spans="2:2" ht="12.75" customHeight="1" x14ac:dyDescent="0.2"/>
    <row r="10149" spans="2:2" ht="12.75" customHeight="1" x14ac:dyDescent="0.2"/>
    <row r="10150" spans="2:2" ht="12.75" customHeight="1" x14ac:dyDescent="0.2"/>
    <row r="10151" spans="2:2" ht="12.75" customHeight="1" x14ac:dyDescent="0.2"/>
    <row r="10152" spans="2:2" ht="12.75" customHeight="1" x14ac:dyDescent="0.2"/>
    <row r="10153" spans="2:2" ht="12.75" customHeight="1" x14ac:dyDescent="0.2"/>
    <row r="10154" spans="2:2" ht="12.75" customHeight="1" x14ac:dyDescent="0.2"/>
    <row r="10155" spans="2:2" ht="12.75" customHeight="1" x14ac:dyDescent="0.2"/>
    <row r="10156" spans="2:2" ht="12.75" customHeight="1" x14ac:dyDescent="0.2"/>
    <row r="10157" spans="2:2" ht="12.75" customHeight="1" x14ac:dyDescent="0.2"/>
    <row r="10158" spans="2:2" ht="12.75" customHeight="1" x14ac:dyDescent="0.2"/>
    <row r="10159" spans="2:2" ht="12.75" customHeight="1" x14ac:dyDescent="0.2"/>
    <row r="10160" spans="2:2" ht="12.75" customHeight="1" x14ac:dyDescent="0.2"/>
  </sheetData>
  <sheetProtection formatColumns="0" formatRows="0"/>
  <mergeCells count="4">
    <mergeCell ref="B1:M1"/>
    <mergeCell ref="B2:M2"/>
    <mergeCell ref="A9:A16"/>
    <mergeCell ref="A23:A244"/>
  </mergeCells>
  <phoneticPr fontId="21" type="noConversion"/>
  <printOptions horizontalCentered="1"/>
  <pageMargins left="0" right="0" top="0" bottom="0" header="0" footer="0"/>
  <pageSetup scale="60" orientation="landscape" r:id="rId1"/>
  <headerFooter alignWithMargins="0">
    <oddFooter>&amp;L&amp;D &amp;T&amp;C&amp;Z&amp;F&amp;R&amp;P of &amp;N</oddFooter>
  </headerFooter>
  <rowBreaks count="1" manualBreakCount="1">
    <brk id="255" max="1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Q10160"/>
  <sheetViews>
    <sheetView showGridLines="0" zoomScaleNormal="100" zoomScaleSheetLayoutView="100" workbookViewId="0">
      <pane xSplit="3" ySplit="9" topLeftCell="D10" activePane="bottomRight" state="frozen"/>
      <selection sqref="A1:L1"/>
      <selection pane="topRight" sqref="A1:L1"/>
      <selection pane="bottomLeft" sqref="A1:L1"/>
      <selection pane="bottomRight" activeCell="D10" sqref="D10"/>
    </sheetView>
  </sheetViews>
  <sheetFormatPr defaultRowHeight="12.75" x14ac:dyDescent="0.2"/>
  <cols>
    <col min="1" max="1" width="3.7109375" customWidth="1"/>
    <col min="2" max="2" width="8.7109375" customWidth="1"/>
    <col min="3" max="3" width="41.7109375" style="20" bestFit="1" customWidth="1"/>
    <col min="4" max="4" width="15.140625" bestFit="1" customWidth="1"/>
    <col min="5" max="6" width="10.28515625" bestFit="1" customWidth="1"/>
    <col min="7" max="8" width="12.140625" bestFit="1" customWidth="1"/>
    <col min="9" max="15" width="12.85546875" bestFit="1" customWidth="1"/>
    <col min="16" max="16" width="13.5703125" bestFit="1" customWidth="1"/>
    <col min="17" max="17" width="10.28515625" bestFit="1" customWidth="1"/>
  </cols>
  <sheetData>
    <row r="1" spans="1:17" ht="18" customHeight="1" x14ac:dyDescent="0.25">
      <c r="B1" s="241" t="str">
        <f>Assumptions!D5&amp;" - Reserve &amp; Special Assessment Analysis Option 4"</f>
        <v>Dana Point - Reserve &amp; Special Assessment Analysis Option 4</v>
      </c>
      <c r="C1" s="241"/>
      <c r="D1" s="241"/>
      <c r="E1" s="241"/>
      <c r="F1" s="241"/>
      <c r="G1" s="241"/>
      <c r="H1" s="241"/>
      <c r="I1" s="241"/>
      <c r="J1" s="241"/>
      <c r="K1" s="241"/>
      <c r="L1" s="241"/>
      <c r="M1" s="241"/>
      <c r="N1" s="155"/>
      <c r="O1" s="155"/>
    </row>
    <row r="2" spans="1:17" ht="18" customHeight="1" x14ac:dyDescent="0.25">
      <c r="B2" s="241" t="str">
        <f>+Assumptions!D7&amp;" Reserve Study 10-Year Projection"</f>
        <v>2013 Reserve Study 10-Year Projection</v>
      </c>
      <c r="C2" s="241"/>
      <c r="D2" s="241"/>
      <c r="E2" s="241"/>
      <c r="F2" s="241"/>
      <c r="G2" s="241"/>
      <c r="H2" s="241"/>
      <c r="I2" s="241"/>
      <c r="J2" s="241"/>
      <c r="K2" s="241"/>
      <c r="L2" s="241"/>
      <c r="M2" s="241"/>
      <c r="N2" s="155"/>
      <c r="O2" s="155"/>
    </row>
    <row r="3" spans="1:17" ht="12.75" customHeight="1" x14ac:dyDescent="0.2"/>
    <row r="4" spans="1:17" ht="12.75" customHeight="1" x14ac:dyDescent="0.2">
      <c r="C4" s="20" t="s">
        <v>8</v>
      </c>
      <c r="D4" s="39">
        <f>Assumptions!E21</f>
        <v>5000000</v>
      </c>
    </row>
    <row r="5" spans="1:17" ht="12.75" hidden="1" customHeight="1" x14ac:dyDescent="0.2">
      <c r="D5" s="20"/>
      <c r="E5">
        <f>IF(YEAR(Assumptions!$D8)&lt;YEAR(Assumptions!E22),0,1)</f>
        <v>0</v>
      </c>
      <c r="F5">
        <f>+E5+1</f>
        <v>1</v>
      </c>
      <c r="G5">
        <f t="shared" ref="G5:O9" si="0">+F5+1</f>
        <v>2</v>
      </c>
      <c r="H5">
        <f t="shared" si="0"/>
        <v>3</v>
      </c>
      <c r="I5">
        <f t="shared" si="0"/>
        <v>4</v>
      </c>
      <c r="J5">
        <f t="shared" si="0"/>
        <v>5</v>
      </c>
      <c r="K5">
        <f t="shared" si="0"/>
        <v>6</v>
      </c>
      <c r="L5">
        <f t="shared" si="0"/>
        <v>7</v>
      </c>
      <c r="M5">
        <f t="shared" si="0"/>
        <v>8</v>
      </c>
      <c r="N5">
        <f t="shared" si="0"/>
        <v>9</v>
      </c>
      <c r="O5">
        <f t="shared" si="0"/>
        <v>10</v>
      </c>
    </row>
    <row r="6" spans="1:17" ht="12.75" hidden="1" customHeight="1" x14ac:dyDescent="0.2">
      <c r="D6" s="20">
        <f>IF(YEAR(Assumptions!E22)&gt;LEFT(D9,4)*1,0,1)</f>
        <v>0</v>
      </c>
      <c r="E6">
        <f>+D7+1</f>
        <v>1</v>
      </c>
      <c r="F6">
        <f t="shared" ref="F6:O6" si="1">+E7+1</f>
        <v>13</v>
      </c>
      <c r="G6">
        <f t="shared" si="1"/>
        <v>25</v>
      </c>
      <c r="H6">
        <f t="shared" si="1"/>
        <v>37</v>
      </c>
      <c r="I6">
        <f t="shared" si="1"/>
        <v>49</v>
      </c>
      <c r="J6">
        <f t="shared" si="1"/>
        <v>61</v>
      </c>
      <c r="K6">
        <f t="shared" si="1"/>
        <v>73</v>
      </c>
      <c r="L6">
        <f t="shared" si="1"/>
        <v>85</v>
      </c>
      <c r="M6">
        <f t="shared" si="1"/>
        <v>97</v>
      </c>
      <c r="N6">
        <f t="shared" si="1"/>
        <v>109</v>
      </c>
      <c r="O6">
        <f t="shared" si="1"/>
        <v>121</v>
      </c>
    </row>
    <row r="7" spans="1:17" ht="12.75" hidden="1" customHeight="1" x14ac:dyDescent="0.2">
      <c r="D7" s="20">
        <f>IF(D6=0,0,ROUND(((IF(YEAR(Assumptions!D8)&lt;YEAR(Assumptions!E22),(Assumptions!D8+365)-Assumptions!E22,Assumptions!D8-Assumptions!E22))/30),0))</f>
        <v>0</v>
      </c>
      <c r="E7">
        <f>IF(D7=0,ROUND(((IF(YEAR(Assumptions!D8)&lt;YEAR(Assumptions!E22),(Assumptions!D8+365)-Assumptions!E22,Assumptions!D8-Assumptions!E22))/30),0),IF(Assumptions!$E$24*12&gt;D7+12,D7+12,Assumptions!$E$24*12))</f>
        <v>12</v>
      </c>
      <c r="F7">
        <f>IF(Assumptions!$E$24*12&gt;E7+12,E7+12,Assumptions!$E$24*12)</f>
        <v>24</v>
      </c>
      <c r="G7">
        <f>IF(Assumptions!$E$24*12&gt;F7+12,F7+12,Assumptions!$E$24*12)</f>
        <v>36</v>
      </c>
      <c r="H7">
        <f>IF(Assumptions!$E$24*12&gt;G7+12,G7+12,Assumptions!$E$24*12)</f>
        <v>48</v>
      </c>
      <c r="I7">
        <f>IF(Assumptions!$E$24*12&gt;H7+12,H7+12,Assumptions!$E$24*12)</f>
        <v>60</v>
      </c>
      <c r="J7">
        <f>IF(Assumptions!$E$24*12&gt;I7+12,I7+12,Assumptions!$E$24*12)</f>
        <v>72</v>
      </c>
      <c r="K7">
        <f>IF(Assumptions!$E$24*12&gt;J7+12,J7+12,Assumptions!$E$24*12)</f>
        <v>84</v>
      </c>
      <c r="L7">
        <f>IF(Assumptions!$E$24*12&gt;K7+12,K7+12,Assumptions!$E$24*12)</f>
        <v>96</v>
      </c>
      <c r="M7">
        <f>IF(Assumptions!$E$24*12&gt;L7+12,L7+12,Assumptions!$E$24*12)</f>
        <v>108</v>
      </c>
      <c r="N7">
        <f>IF(Assumptions!$E$24*12&gt;M7+12,M7+12,Assumptions!$E$24*12)</f>
        <v>120</v>
      </c>
      <c r="O7">
        <f>IF(Assumptions!$E$24*12&gt;N7+12,N7+12,Assumptions!$E$24*12)</f>
        <v>120</v>
      </c>
    </row>
    <row r="8" spans="1:17" ht="12.75" customHeight="1" x14ac:dyDescent="0.2">
      <c r="D8" s="20"/>
      <c r="E8" s="11">
        <f>+E10-'Option 5'!E10</f>
        <v>-369729.22000000003</v>
      </c>
      <c r="F8" s="11">
        <f>+F10-'Option 5'!F10</f>
        <v>-380821.09660000005</v>
      </c>
      <c r="G8" s="11">
        <f>+G10-'Option 5'!G10</f>
        <v>-392245.72949800012</v>
      </c>
      <c r="H8" s="11">
        <f>+H10-'Option 5'!H10</f>
        <v>-404013.10138294008</v>
      </c>
      <c r="I8" s="11">
        <f>+I10-'Option 5'!I10</f>
        <v>-416133.49442442833</v>
      </c>
      <c r="J8" s="11">
        <f>+J10-'Option 5'!J10</f>
        <v>-428617.49925716117</v>
      </c>
      <c r="K8" s="11">
        <f>+K10-'Option 5'!K10</f>
        <v>-441476.02423487592</v>
      </c>
      <c r="L8" s="11">
        <f>+L10-'Option 5'!L10</f>
        <v>-454720.30496192223</v>
      </c>
      <c r="M8" s="11">
        <f>+M10-'Option 5'!M10</f>
        <v>-468361.91411078</v>
      </c>
      <c r="N8" s="11">
        <f>+N10-'Option 5'!N10</f>
        <v>-482412.77153410332</v>
      </c>
      <c r="O8" s="11">
        <f>+O10-'Option 5'!O10</f>
        <v>-496885.15468012646</v>
      </c>
      <c r="P8" s="11">
        <f>+P10-'Option 5'!P10</f>
        <v>-4735416.3106843382</v>
      </c>
    </row>
    <row r="9" spans="1:17" ht="15.75" customHeight="1" x14ac:dyDescent="0.25">
      <c r="A9" s="237" t="s">
        <v>1</v>
      </c>
      <c r="B9" s="2" t="s">
        <v>2</v>
      </c>
      <c r="C9" s="23" t="s">
        <v>3</v>
      </c>
      <c r="D9" s="3" t="str">
        <f>Assumptions!D7&amp;" Budget"</f>
        <v>2013 Budget</v>
      </c>
      <c r="E9" s="3">
        <f>+Assumptions!D7+1</f>
        <v>2014</v>
      </c>
      <c r="F9" s="3">
        <f>+E9+1</f>
        <v>2015</v>
      </c>
      <c r="G9" s="3">
        <f t="shared" si="0"/>
        <v>2016</v>
      </c>
      <c r="H9" s="3">
        <f t="shared" si="0"/>
        <v>2017</v>
      </c>
      <c r="I9" s="3">
        <f t="shared" si="0"/>
        <v>2018</v>
      </c>
      <c r="J9" s="3">
        <f t="shared" si="0"/>
        <v>2019</v>
      </c>
      <c r="K9" s="3">
        <f t="shared" si="0"/>
        <v>2020</v>
      </c>
      <c r="L9" s="3">
        <f t="shared" si="0"/>
        <v>2021</v>
      </c>
      <c r="M9" s="3">
        <f t="shared" si="0"/>
        <v>2022</v>
      </c>
      <c r="N9" s="3">
        <f t="shared" si="0"/>
        <v>2023</v>
      </c>
      <c r="O9" s="3">
        <f t="shared" si="0"/>
        <v>2024</v>
      </c>
      <c r="P9" s="3" t="s">
        <v>77</v>
      </c>
    </row>
    <row r="10" spans="1:17" ht="15.75" customHeight="1" x14ac:dyDescent="0.25">
      <c r="A10" s="237"/>
      <c r="B10" s="4" t="s">
        <v>4</v>
      </c>
      <c r="C10" s="24" t="s">
        <v>5</v>
      </c>
      <c r="D10" s="125">
        <f>ROUND((+Assumptions!D10/12*Calc!$G$9),0)</f>
        <v>202156</v>
      </c>
      <c r="E10" s="222">
        <v>130000</v>
      </c>
      <c r="F10" s="125">
        <f>+E10*(1+Assumptions!K27)</f>
        <v>133900</v>
      </c>
      <c r="G10" s="125">
        <f>+F10*(1+Assumptions!K28)</f>
        <v>137917</v>
      </c>
      <c r="H10" s="125">
        <f>+G10*(1+Assumptions!K29)</f>
        <v>142054.51</v>
      </c>
      <c r="I10" s="125">
        <f>+H10*(1+Assumptions!K30)</f>
        <v>146316.1453</v>
      </c>
      <c r="J10" s="125">
        <f>+I10*(1+Assumptions!K31)</f>
        <v>150705.629659</v>
      </c>
      <c r="K10" s="125">
        <f>+J10*(1+Assumptions!K32)</f>
        <v>155226.79854876999</v>
      </c>
      <c r="L10" s="125">
        <f>+K10*(1+Assumptions!K33)</f>
        <v>159883.60250523311</v>
      </c>
      <c r="M10" s="125">
        <f>+L10*(1+Assumptions!K34)</f>
        <v>164680.11058039012</v>
      </c>
      <c r="N10" s="125">
        <f>+M10*(1+Assumptions!K35)</f>
        <v>169620.51389780184</v>
      </c>
      <c r="O10" s="125">
        <f>+N10*(1+Assumptions!K36)</f>
        <v>174709.12931473591</v>
      </c>
      <c r="P10" s="123">
        <f>SUM(D10:O10)</f>
        <v>1867169.4398059309</v>
      </c>
      <c r="Q10" s="11"/>
    </row>
    <row r="11" spans="1:17" ht="15.75" customHeight="1" x14ac:dyDescent="0.25">
      <c r="A11" s="237"/>
      <c r="B11" s="29" t="s">
        <v>823</v>
      </c>
      <c r="C11" s="24" t="s">
        <v>5</v>
      </c>
      <c r="D11" s="125">
        <f>+'Option 1'!D11</f>
        <v>58604.166666666672</v>
      </c>
      <c r="E11" s="125">
        <f>+'Option 1'!E11</f>
        <v>152001</v>
      </c>
      <c r="F11" s="125">
        <f>+'Option 1'!F11</f>
        <v>156561.03</v>
      </c>
      <c r="G11" s="125">
        <f>+'Option 1'!G11</f>
        <v>161257.8609</v>
      </c>
      <c r="H11" s="125">
        <f>+'Option 1'!H11</f>
        <v>166095.596727</v>
      </c>
      <c r="I11" s="125">
        <f>+'Option 1'!I11</f>
        <v>171078.46462881</v>
      </c>
      <c r="J11" s="125">
        <f>+'Option 1'!J11</f>
        <v>176210.81856767432</v>
      </c>
      <c r="K11" s="125">
        <f>+'Option 1'!K11</f>
        <v>181497.14312470454</v>
      </c>
      <c r="L11" s="125">
        <f>+'Option 1'!L11</f>
        <v>186942.05741844568</v>
      </c>
      <c r="M11" s="125">
        <f>+'Option 1'!M11</f>
        <v>192550.31914099905</v>
      </c>
      <c r="N11" s="125">
        <f>+'Option 1'!N11</f>
        <v>198326.82871522903</v>
      </c>
      <c r="O11" s="125">
        <f>+'Option 1'!O11</f>
        <v>204276.63357668591</v>
      </c>
      <c r="P11" s="123">
        <f t="shared" ref="P11:P17" si="2">SUM(D11:O11)</f>
        <v>2005401.9194662152</v>
      </c>
    </row>
    <row r="12" spans="1:17" ht="15.75" customHeight="1" x14ac:dyDescent="0.25">
      <c r="A12" s="237"/>
      <c r="B12" s="4" t="s">
        <v>7</v>
      </c>
      <c r="C12" s="24" t="s">
        <v>82</v>
      </c>
      <c r="D12" s="125">
        <f>IF(Assumptions!$E$25=0,IF(ISERROR(-CUMPRINC(0.00000000001/12,Assumptions!$E$24*12,$D$4,D6,D7,0)),0,(-CUMPRINC(0.00000000001/12,Assumptions!$E$24*12,$D$4,D6,D7,0))),IF(ISERROR(-CUMPRINC(Assumptions!$E$25/12,Assumptions!$E$24*12,$D$4,D6,D7,0)),0,(-CUMPRINC(Assumptions!$E$25/12,Assumptions!$E$24*12,$D$4,D6,D7,0))))</f>
        <v>0</v>
      </c>
      <c r="E12" s="125">
        <f>IF(Assumptions!$E$25=0,IF(ISERROR(-CUMPRINC(0.00000000001/12,Assumptions!$E$24*12,$D$4,E6,E7,0)),0,(-CUMPRINC(0.00000000001/12,Assumptions!$E$24*12,$D$4,E6,E7,0))),IF(ISERROR(-CUMPRINC(Assumptions!$E$25/12,Assumptions!$E$24*12,$D$4,E6,E7,0)),0,(-CUMPRINC(Assumptions!$E$25/12,Assumptions!$E$24*12,$D$4,E6,E7,0))))</f>
        <v>395372.07772353193</v>
      </c>
      <c r="F12" s="125">
        <f>IF(Assumptions!$E$25=0,IF(ISERROR(-CUMPRINC(0.00000000001/12,Assumptions!$E$24*12,$D$4,F6,F7,0)),0,(-CUMPRINC(0.00000000001/12,Assumptions!$E$24*12,$D$4,F6,F7,0))),IF(ISERROR(-CUMPRINC(Assumptions!$E$25/12,Assumptions!$E$24*12,$D$4,F6,F7,0)),0,(-CUMPRINC(Assumptions!$E$25/12,Assumptions!$E$24*12,$D$4,F6,F7,0))))</f>
        <v>415600.0635893119</v>
      </c>
      <c r="G12" s="125">
        <f>IF(Assumptions!$E$25=0,IF(ISERROR(-CUMPRINC(0.00000000001/12,Assumptions!$E$24*12,$D$4,G6,G7,0)),0,(-CUMPRINC(0.00000000001/12,Assumptions!$E$24*12,$D$4,G6,G7,0))),IF(ISERROR(-CUMPRINC(Assumptions!$E$25/12,Assumptions!$E$24*12,$D$4,G6,G7,0)),0,(-CUMPRINC(Assumptions!$E$25/12,Assumptions!$E$24*12,$D$4,G6,G7,0))))</f>
        <v>436862.95160231012</v>
      </c>
      <c r="H12" s="125">
        <f>IF(Assumptions!$E$25=0,IF(ISERROR(-CUMPRINC(0.00000000001/12,Assumptions!$E$24*12,$D$4,H6,H7,0)),0,(-CUMPRINC(0.00000000001/12,Assumptions!$E$24*12,$D$4,H6,H7,0))),IF(ISERROR(-CUMPRINC(Assumptions!$E$25/12,Assumptions!$E$24*12,$D$4,H6,H7,0)),0,(-CUMPRINC(Assumptions!$E$25/12,Assumptions!$E$24*12,$D$4,H6,H7,0))))</f>
        <v>459213.68932050007</v>
      </c>
      <c r="I12" s="125">
        <f>IF(Assumptions!$E$25=0,IF(ISERROR(-CUMPRINC(0.00000000001/12,Assumptions!$E$24*12,$D$4,I6,I7,0)),0,(-CUMPRINC(0.00000000001/12,Assumptions!$E$24*12,$D$4,I6,I7,0))),IF(ISERROR(-CUMPRINC(Assumptions!$E$25/12,Assumptions!$E$24*12,$D$4,I6,I7,0)),0,(-CUMPRINC(Assumptions!$E$25/12,Assumptions!$E$24*12,$D$4,I6,I7,0))))</f>
        <v>482707.9331994094</v>
      </c>
      <c r="J12" s="125">
        <f>IF(Assumptions!$E$25=0,IF(ISERROR(-CUMPRINC(0.00000000001/12,Assumptions!$E$24*12,$D$4,J6,J7,0)),0,(-CUMPRINC(0.00000000001/12,Assumptions!$E$24*12,$D$4,J6,J7,0))),IF(ISERROR(-CUMPRINC(Assumptions!$E$25/12,Assumptions!$E$24*12,$D$4,J6,J7,0)),0,(-CUMPRINC(Assumptions!$E$25/12,Assumptions!$E$24*12,$D$4,J6,J7,0))))</f>
        <v>507404.18718446017</v>
      </c>
      <c r="K12" s="125">
        <f>IF(Assumptions!$E$25=0,IF(ISERROR(-CUMPRINC(0.00000000001/12,Assumptions!$E$24*12,$D$4,K6,K7,0)),0,(-CUMPRINC(0.00000000001/12,Assumptions!$E$24*12,$D$4,K6,K7,0))),IF(ISERROR(-CUMPRINC(Assumptions!$E$25/12,Assumptions!$E$24*12,$D$4,K6,K7,0)),0,(-CUMPRINC(Assumptions!$E$25/12,Assumptions!$E$24*12,$D$4,K6,K7,0))))</f>
        <v>533363.94839395524</v>
      </c>
      <c r="L12" s="125">
        <f>IF(Assumptions!$E$25=0,IF(ISERROR(-CUMPRINC(0.00000000001/12,Assumptions!$E$24*12,$D$4,L6,L7,0)),0,(-CUMPRINC(0.00000000001/12,Assumptions!$E$24*12,$D$4,L6,L7,0))),IF(ISERROR(-CUMPRINC(Assumptions!$E$25/12,Assumptions!$E$24*12,$D$4,L6,L7,0)),0,(-CUMPRINC(Assumptions!$E$25/12,Assumptions!$E$24*12,$D$4,L6,L7,0))))</f>
        <v>560651.86025548482</v>
      </c>
      <c r="M12" s="125">
        <f>IF(Assumptions!$E$25=0,IF(ISERROR(-CUMPRINC(0.00000000001/12,Assumptions!$E$24*12,$D$4,M6,M7,0)),0,(-CUMPRINC(0.00000000001/12,Assumptions!$E$24*12,$D$4,M6,M7,0))),IF(ISERROR(-CUMPRINC(Assumptions!$E$25/12,Assumptions!$E$24*12,$D$4,M6,M7,0)),0,(-CUMPRINC(Assumptions!$E$25/12,Assumptions!$E$24*12,$D$4,M6,M7,0))))</f>
        <v>589335.87347707979</v>
      </c>
      <c r="N12" s="125">
        <f>IF(Assumptions!$E$25=0,IF(ISERROR(-CUMPRINC(0.00000000001/12,Assumptions!$E$24*12,$D$4,N6,N7,0)),0,(-CUMPRINC(0.00000000001/12,Assumptions!$E$24*12,$D$4,N6,N7,0))),IF(ISERROR(-CUMPRINC(Assumptions!$E$25/12,Assumptions!$E$24*12,$D$4,N6,N7,0)),0,(-CUMPRINC(Assumptions!$E$25/12,Assumptions!$E$24*12,$D$4,N6,N7,0))))</f>
        <v>619487.41525395599</v>
      </c>
      <c r="O12" s="125">
        <f>IF(Assumptions!$E$25=0,IF(ISERROR(-CUMPRINC(0.00000000001/12,Assumptions!$E$24*12,$D$4,O6,O7,0)),0,(-CUMPRINC(0.00000000001/12,Assumptions!$E$24*12,$D$4,O6,O7,0))),IF(ISERROR(-CUMPRINC(Assumptions!$E$25/12,Assumptions!$E$24*12,$D$4,O6,O7,0)),0,(-CUMPRINC(Assumptions!$E$25/12,Assumptions!$E$24*12,$D$4,O6,O7,0))))</f>
        <v>0</v>
      </c>
      <c r="P12" s="123">
        <f t="shared" si="2"/>
        <v>4999999.9999999991</v>
      </c>
    </row>
    <row r="13" spans="1:17" ht="15.75" customHeight="1" x14ac:dyDescent="0.25">
      <c r="A13" s="237"/>
      <c r="B13" s="4" t="s">
        <v>27</v>
      </c>
      <c r="C13" s="24" t="s">
        <v>31</v>
      </c>
      <c r="D13" s="125">
        <f>IF(Assumptions!$E$25=0,IF(ISERROR(-CUMIPMT(0.00000000001/12,Assumptions!$E$24*12,$D$4,D6,D7,0)),0,-CUMIPMT(0.00000000001/12,Assumptions!$E$24*12,$D$4,D6,D7,0)),IF(ISERROR(-CUMIPMT(Assumptions!$E$25/12,Assumptions!$E$24*12,$D$4,D6,D7,0)),0,-CUMIPMT(Assumptions!$E$25/12,Assumptions!$E$24*12,$D$4,D6,D7,0)))</f>
        <v>0</v>
      </c>
      <c r="E13" s="125">
        <f>IF(Assumptions!$E$25=0,IF(ISERROR(-CUMIPMT(0.00000000001/12,Assumptions!$E$24*12,$D$4,E6,E7,0)),0,-CUMIPMT(0.00000000001/12,Assumptions!$E$24*12,$D$4,E6,E7,0)),IF(ISERROR(-CUMIPMT(Assumptions!$E$25/12,Assumptions!$E$24*12,$D$4,E6,E7,0)),0,-CUMIPMT(Assumptions!$E$25/12,Assumptions!$E$24*12,$D$4,E6,E7,0)))</f>
        <v>241021.01371091948</v>
      </c>
      <c r="F13" s="125">
        <f>IF(Assumptions!$E$25=0,IF(ISERROR(-CUMIPMT(0.00000000001/12,Assumptions!$E$24*12,$D$4,F6,F7,0)),0,-CUMIPMT(0.00000000001/12,Assumptions!$E$24*12,$D$4,F6,F7,0)),IF(ISERROR(-CUMIPMT(Assumptions!$E$25/12,Assumptions!$E$24*12,$D$4,F6,F7,0)),0,-CUMIPMT(Assumptions!$E$25/12,Assumptions!$E$24*12,$D$4,F6,F7,0)))</f>
        <v>220793.0278451395</v>
      </c>
      <c r="G13" s="125">
        <f>IF(Assumptions!$E$25=0,IF(ISERROR(-CUMIPMT(0.00000000001/12,Assumptions!$E$24*12,$D$4,G6,G7,0)),0,-CUMIPMT(0.00000000001/12,Assumptions!$E$24*12,$D$4,G6,G7,0)),IF(ISERROR(-CUMIPMT(Assumptions!$E$25/12,Assumptions!$E$24*12,$D$4,G6,G7,0)),0,-CUMIPMT(Assumptions!$E$25/12,Assumptions!$E$24*12,$D$4,G6,G7,0)))</f>
        <v>199530.13983214129</v>
      </c>
      <c r="H13" s="125">
        <f>IF(Assumptions!$E$25=0,IF(ISERROR(-CUMIPMT(0.00000000001/12,Assumptions!$E$24*12,$D$4,H6,H7,0)),0,-CUMIPMT(0.00000000001/12,Assumptions!$E$24*12,$D$4,H6,H7,0)),IF(ISERROR(-CUMIPMT(Assumptions!$E$25/12,Assumptions!$E$24*12,$D$4,H6,H7,0)),0,-CUMIPMT(Assumptions!$E$25/12,Assumptions!$E$24*12,$D$4,H6,H7,0)))</f>
        <v>177179.40211395134</v>
      </c>
      <c r="I13" s="125">
        <f>IF(Assumptions!$E$25=0,IF(ISERROR(-CUMIPMT(0.00000000001/12,Assumptions!$E$24*12,$D$4,I6,I7,0)),0,-CUMIPMT(0.00000000001/12,Assumptions!$E$24*12,$D$4,I6,I7,0)),IF(ISERROR(-CUMIPMT(Assumptions!$E$25/12,Assumptions!$E$24*12,$D$4,I6,I7,0)),0,-CUMIPMT(Assumptions!$E$25/12,Assumptions!$E$24*12,$D$4,I6,I7,0)))</f>
        <v>153685.15823504201</v>
      </c>
      <c r="J13" s="125">
        <f>IF(Assumptions!$E$25=0,IF(ISERROR(-CUMIPMT(0.00000000001/12,Assumptions!$E$24*12,$D$4,J6,J7,0)),0,-CUMIPMT(0.00000000001/12,Assumptions!$E$24*12,$D$4,J6,J7,0)),IF(ISERROR(-CUMIPMT(Assumptions!$E$25/12,Assumptions!$E$24*12,$D$4,J6,J7,0)),0,-CUMIPMT(Assumptions!$E$25/12,Assumptions!$E$24*12,$D$4,J6,J7,0)))</f>
        <v>128988.90424999123</v>
      </c>
      <c r="K13" s="125">
        <f>IF(Assumptions!$E$25=0,IF(ISERROR(-CUMIPMT(0.00000000001/12,Assumptions!$E$24*12,$D$4,K6,K7,0)),0,-CUMIPMT(0.00000000001/12,Assumptions!$E$24*12,$D$4,K6,K7,0)),IF(ISERROR(-CUMIPMT(Assumptions!$E$25/12,Assumptions!$E$24*12,$D$4,K6,K7,0)),0,-CUMIPMT(Assumptions!$E$25/12,Assumptions!$E$24*12,$D$4,K6,K7,0)))</f>
        <v>103029.14304049616</v>
      </c>
      <c r="L13" s="125">
        <f>IF(Assumptions!$E$25=0,IF(ISERROR(-CUMIPMT(0.00000000001/12,Assumptions!$E$24*12,$D$4,L6,L7,0)),0,-CUMIPMT(0.00000000001/12,Assumptions!$E$24*12,$D$4,L6,L7,0)),IF(ISERROR(-CUMIPMT(Assumptions!$E$25/12,Assumptions!$E$24*12,$D$4,L6,L7,0)),0,-CUMIPMT(Assumptions!$E$25/12,Assumptions!$E$24*12,$D$4,L6,L7,0)))</f>
        <v>75741.231178966584</v>
      </c>
      <c r="M13" s="125">
        <f>IF(Assumptions!$E$25=0,IF(ISERROR(-CUMIPMT(0.00000000001/12,Assumptions!$E$24*12,$D$4,M6,M7,0)),0,-CUMIPMT(0.00000000001/12,Assumptions!$E$24*12,$D$4,M6,M7,0)),IF(ISERROR(-CUMIPMT(Assumptions!$E$25/12,Assumptions!$E$24*12,$D$4,M6,M7,0)),0,-CUMIPMT(Assumptions!$E$25/12,Assumptions!$E$24*12,$D$4,M6,M7,0)))</f>
        <v>47057.217957371613</v>
      </c>
      <c r="N13" s="125">
        <f>IF(Assumptions!$E$25=0,IF(ISERROR(-CUMIPMT(0.00000000001/12,Assumptions!$E$24*12,$D$4,N6,N7,0)),0,-CUMIPMT(0.00000000001/12,Assumptions!$E$24*12,$D$4,N6,N7,0)),IF(ISERROR(-CUMIPMT(Assumptions!$E$25/12,Assumptions!$E$24*12,$D$4,N6,N7,0)),0,-CUMIPMT(Assumptions!$E$25/12,Assumptions!$E$24*12,$D$4,N6,N7,0)))</f>
        <v>16905.676180495415</v>
      </c>
      <c r="O13" s="125">
        <f>IF(Assumptions!$E$25=0,IF(ISERROR(-CUMIPMT(0.00000000001/12,Assumptions!$E$24*12,$D$4,O6,O7,0)),0,-CUMIPMT(0.00000000001/12,Assumptions!$E$24*12,$D$4,O6,O7,0)),IF(ISERROR(-CUMIPMT(Assumptions!$E$25/12,Assumptions!$E$24*12,$D$4,O6,O7,0)),0,-CUMIPMT(Assumptions!$E$25/12,Assumptions!$E$24*12,$D$4,O6,O7,0)))</f>
        <v>0</v>
      </c>
      <c r="P13" s="123">
        <f t="shared" si="2"/>
        <v>1363930.9143445145</v>
      </c>
    </row>
    <row r="14" spans="1:17" ht="15.75" x14ac:dyDescent="0.25">
      <c r="A14" s="237"/>
      <c r="B14" s="29" t="s">
        <v>0</v>
      </c>
      <c r="C14" s="24" t="s">
        <v>32</v>
      </c>
      <c r="D14" s="125">
        <f>-SUM(D12:D13)*Assumptions!L25</f>
        <v>0</v>
      </c>
      <c r="E14" s="125">
        <f>-SUM(E12:E13)*Assumptions!L26</f>
        <v>-63639.309143445142</v>
      </c>
      <c r="F14" s="125">
        <f>-SUM(F12:F13)*Assumptions!L27</f>
        <v>-63639.309143445142</v>
      </c>
      <c r="G14" s="125">
        <f>-SUM(G12:G13)*Assumptions!L28</f>
        <v>-63639.309143445142</v>
      </c>
      <c r="H14" s="125">
        <f>-SUM(H12:H13)*Assumptions!L29</f>
        <v>-63639.309143445142</v>
      </c>
      <c r="I14" s="125">
        <f>-SUM(I12:I13)*Assumptions!L30</f>
        <v>-63639.309143445142</v>
      </c>
      <c r="J14" s="125">
        <f>-SUM(J12:J13)*Assumptions!L31</f>
        <v>-63639.309143445142</v>
      </c>
      <c r="K14" s="125">
        <f>-SUM(K12:K13)*Assumptions!L32</f>
        <v>-63639.309143445142</v>
      </c>
      <c r="L14" s="125">
        <f>-SUM(L12:L13)*Assumptions!L33</f>
        <v>-63639.309143445142</v>
      </c>
      <c r="M14" s="125">
        <f>-SUM(M12:M13)*Assumptions!L34</f>
        <v>-63639.309143445142</v>
      </c>
      <c r="N14" s="125">
        <f>-SUM(N12:N13)*Assumptions!L35</f>
        <v>-63639.309143445142</v>
      </c>
      <c r="O14" s="125">
        <f>-SUM(O12:O13)*Assumptions!L36</f>
        <v>0</v>
      </c>
      <c r="P14" s="123">
        <f t="shared" si="2"/>
        <v>-636393.0914344514</v>
      </c>
    </row>
    <row r="15" spans="1:17" ht="15.75" customHeight="1" x14ac:dyDescent="0.25">
      <c r="A15" s="237"/>
      <c r="B15" s="4" t="s">
        <v>9</v>
      </c>
      <c r="C15" s="24" t="s">
        <v>10</v>
      </c>
      <c r="D15" s="127">
        <f>IF(ISERROR(Assumptions!$E$30*Calc!B$90),0,Assumptions!$E$30*Calc!B$90)</f>
        <v>0</v>
      </c>
      <c r="E15" s="127">
        <f>IF(ISERROR(Assumptions!$E$30*Calc!C$90),0,Assumptions!$E$30*Calc!C$90)</f>
        <v>0</v>
      </c>
      <c r="F15" s="127">
        <f>IF(ISERROR(Assumptions!$E$30*Calc!D$90),0,Assumptions!$E$30*Calc!D$90)</f>
        <v>0</v>
      </c>
      <c r="G15" s="127">
        <f>IF(ISERROR(Assumptions!$E$30*Calc!E$90),0,Assumptions!$E$30*Calc!E$90)</f>
        <v>0</v>
      </c>
      <c r="H15" s="127">
        <f>IF(ISERROR(Assumptions!$E$30*Calc!F$90),0,Assumptions!$E$30*Calc!F$90)</f>
        <v>0</v>
      </c>
      <c r="I15" s="127">
        <f>IF(ISERROR(Assumptions!$E$30*Calc!G$90),0,Assumptions!$E$30*Calc!G$90)</f>
        <v>1000000</v>
      </c>
      <c r="J15" s="127">
        <f>IF(ISERROR(Assumptions!$E$30*Calc!H$90),0,Assumptions!$E$30*Calc!H$90)</f>
        <v>0</v>
      </c>
      <c r="K15" s="127">
        <f>IF(ISERROR(Assumptions!$E$30*Calc!I$90),0,Assumptions!$E$30*Calc!I$90)</f>
        <v>0</v>
      </c>
      <c r="L15" s="127">
        <f>IF(ISERROR(Assumptions!$E$30*Calc!J$90),0,Assumptions!$E$30*Calc!J$90)</f>
        <v>0</v>
      </c>
      <c r="M15" s="127">
        <f>IF(ISERROR(Assumptions!$E$30*Calc!K$90),0,Assumptions!$E$30*Calc!K$90)</f>
        <v>0</v>
      </c>
      <c r="N15" s="127">
        <f>IF(ISERROR(Assumptions!$E$30*Calc!L$90),0,Assumptions!$E$30*Calc!L$90)</f>
        <v>0</v>
      </c>
      <c r="O15" s="127">
        <f>IF(ISERROR(Assumptions!$E$30*Calc!M$90),0,Assumptions!$E$30*Calc!M$90)</f>
        <v>0</v>
      </c>
      <c r="P15" s="123">
        <f t="shared" si="2"/>
        <v>1000000</v>
      </c>
    </row>
    <row r="16" spans="1:17" ht="15.75" customHeight="1" x14ac:dyDescent="0.25">
      <c r="A16" s="237"/>
      <c r="B16" s="4" t="s">
        <v>11</v>
      </c>
      <c r="C16" s="24" t="s">
        <v>6</v>
      </c>
      <c r="D16" s="127">
        <f>+D247*Assumptions!J25</f>
        <v>1559.3625</v>
      </c>
      <c r="E16" s="125">
        <f>+D252*Assumptions!J26</f>
        <v>1454.0876458333335</v>
      </c>
      <c r="F16" s="125">
        <f>+E252*Assumptions!J27</f>
        <v>6082.9489910350649</v>
      </c>
      <c r="G16" s="125">
        <f>+F252*Assumptions!J28</f>
        <v>14282.237405783218</v>
      </c>
      <c r="H16" s="125">
        <f>+G252*Assumptions!J29</f>
        <v>1451.070819646751</v>
      </c>
      <c r="I16" s="125">
        <f>+H252*Assumptions!J30</f>
        <v>-21734.899979500238</v>
      </c>
      <c r="J16" s="125">
        <f>+I252*Assumptions!J31</f>
        <v>-36120.210208190801</v>
      </c>
      <c r="K16" s="125">
        <f>+J252*Assumptions!J32</f>
        <v>-48378.162633190877</v>
      </c>
      <c r="L16" s="125">
        <f>+K252*Assumptions!J33</f>
        <v>-92310.035528833687</v>
      </c>
      <c r="M16" s="125">
        <f>+L252*Assumptions!J34</f>
        <v>-106418.95708481796</v>
      </c>
      <c r="N16" s="125">
        <f>+M252*Assumptions!J35</f>
        <v>-148367.83447646708</v>
      </c>
      <c r="O16" s="125">
        <f>+N252*Assumptions!J36</f>
        <v>-135678.71466950927</v>
      </c>
      <c r="P16" s="123">
        <f t="shared" si="2"/>
        <v>-564179.10721821152</v>
      </c>
    </row>
    <row r="17" spans="1:16" ht="15.75" customHeight="1" x14ac:dyDescent="0.25">
      <c r="B17" s="5"/>
      <c r="C17" s="24" t="s">
        <v>28</v>
      </c>
      <c r="D17" s="125">
        <f t="shared" ref="D17:O17" si="3">SUM(D10:D16)</f>
        <v>262319.52916666667</v>
      </c>
      <c r="E17" s="126">
        <f t="shared" si="3"/>
        <v>856208.86993683979</v>
      </c>
      <c r="F17" s="126">
        <f t="shared" si="3"/>
        <v>869297.76128204144</v>
      </c>
      <c r="G17" s="126">
        <f t="shared" si="3"/>
        <v>886210.88059678965</v>
      </c>
      <c r="H17" s="126">
        <f t="shared" si="3"/>
        <v>882354.95983765298</v>
      </c>
      <c r="I17" s="126">
        <f t="shared" si="3"/>
        <v>1868413.492240316</v>
      </c>
      <c r="J17" s="126">
        <f t="shared" si="3"/>
        <v>863550.0203094898</v>
      </c>
      <c r="K17" s="126">
        <f t="shared" si="3"/>
        <v>861099.56133128994</v>
      </c>
      <c r="L17" s="126">
        <f t="shared" si="3"/>
        <v>827269.40668585151</v>
      </c>
      <c r="M17" s="126">
        <f t="shared" si="3"/>
        <v>823565.25492757757</v>
      </c>
      <c r="N17" s="126">
        <f t="shared" si="3"/>
        <v>792333.29042757</v>
      </c>
      <c r="O17" s="126">
        <f t="shared" si="3"/>
        <v>243307.04822191253</v>
      </c>
      <c r="P17" s="123">
        <f t="shared" si="2"/>
        <v>10035930.074963998</v>
      </c>
    </row>
    <row r="18" spans="1:16" ht="15" customHeight="1" x14ac:dyDescent="0.2">
      <c r="B18" s="8"/>
      <c r="C18" s="25"/>
      <c r="D18" s="6"/>
      <c r="E18" s="6"/>
      <c r="F18" s="6"/>
      <c r="G18" s="6"/>
      <c r="H18" s="6"/>
      <c r="I18" s="6"/>
      <c r="J18" s="6"/>
      <c r="K18" s="6"/>
      <c r="L18" s="6"/>
      <c r="M18" s="6"/>
      <c r="N18" s="6"/>
      <c r="O18" s="6"/>
      <c r="P18" s="6"/>
    </row>
    <row r="19" spans="1:16" ht="15" hidden="1" customHeight="1" x14ac:dyDescent="0.2">
      <c r="B19" s="8"/>
      <c r="C19" s="25"/>
      <c r="D19" s="6">
        <f>+D5</f>
        <v>0</v>
      </c>
      <c r="E19" s="6">
        <f t="shared" ref="E19:O19" si="4">+E5</f>
        <v>0</v>
      </c>
      <c r="F19" s="6">
        <f t="shared" si="4"/>
        <v>1</v>
      </c>
      <c r="G19" s="6">
        <f t="shared" si="4"/>
        <v>2</v>
      </c>
      <c r="H19" s="6">
        <f t="shared" si="4"/>
        <v>3</v>
      </c>
      <c r="I19" s="6">
        <f t="shared" si="4"/>
        <v>4</v>
      </c>
      <c r="J19" s="6">
        <f t="shared" si="4"/>
        <v>5</v>
      </c>
      <c r="K19" s="6">
        <f t="shared" si="4"/>
        <v>6</v>
      </c>
      <c r="L19" s="6">
        <f t="shared" si="4"/>
        <v>7</v>
      </c>
      <c r="M19" s="6">
        <f t="shared" si="4"/>
        <v>8</v>
      </c>
      <c r="N19" s="6">
        <f t="shared" si="4"/>
        <v>9</v>
      </c>
      <c r="O19" s="6">
        <f t="shared" si="4"/>
        <v>10</v>
      </c>
      <c r="P19" s="6"/>
    </row>
    <row r="20" spans="1:16" ht="15" hidden="1" customHeight="1" x14ac:dyDescent="0.2">
      <c r="B20" s="8"/>
      <c r="C20" s="25"/>
      <c r="D20" s="6">
        <f>IF(YEAR(Assumptions!E32)&gt;LEFT(D9,4)*1,0,1)</f>
        <v>0</v>
      </c>
      <c r="E20" s="6">
        <f>+D21+1</f>
        <v>1</v>
      </c>
      <c r="F20" s="6">
        <f t="shared" ref="F20:O20" si="5">+E21+1</f>
        <v>-36</v>
      </c>
      <c r="G20" s="6">
        <f t="shared" si="5"/>
        <v>-24</v>
      </c>
      <c r="H20" s="6">
        <f t="shared" si="5"/>
        <v>-12</v>
      </c>
      <c r="I20" s="6">
        <f t="shared" si="5"/>
        <v>0</v>
      </c>
      <c r="J20" s="6">
        <f t="shared" si="5"/>
        <v>12</v>
      </c>
      <c r="K20" s="6">
        <f t="shared" si="5"/>
        <v>24</v>
      </c>
      <c r="L20" s="6">
        <f t="shared" si="5"/>
        <v>36</v>
      </c>
      <c r="M20" s="6">
        <f t="shared" si="5"/>
        <v>48</v>
      </c>
      <c r="N20" s="6">
        <f t="shared" si="5"/>
        <v>60</v>
      </c>
      <c r="O20" s="6">
        <f t="shared" si="5"/>
        <v>61</v>
      </c>
      <c r="P20" s="6"/>
    </row>
    <row r="21" spans="1:16" ht="15" hidden="1" customHeight="1" x14ac:dyDescent="0.2">
      <c r="B21" s="8"/>
      <c r="C21" s="25"/>
      <c r="D21" s="6">
        <f>IF(D20=0,0,ROUND(((IF(YEAR(Assumptions!D8)&lt;YEAR(Assumptions!E32),(Assumptions!D8+365)-Assumptions!E32,Assumptions!D8-Assumptions!E32))/30),0))</f>
        <v>0</v>
      </c>
      <c r="E21" s="6">
        <f>IF(D21=0,ROUND(((IF(YEAR(Assumptions!D8)&lt;YEAR(Assumptions!E32),(Assumptions!D8+365)-Assumptions!E32,Assumptions!D8-Assumptions!E32))/30),0),IF(Assumptions!$E$36*12&gt;D21+12,D21+12,Assumptions!$E$36*12))</f>
        <v>-37</v>
      </c>
      <c r="F21" s="6">
        <f>IF(Assumptions!$E$36*12&gt;E21+12,E21+12,Assumptions!$E$36*12)</f>
        <v>-25</v>
      </c>
      <c r="G21" s="6">
        <f>IF(Assumptions!$E$36*12&gt;F21+12,F21+12,Assumptions!$E$36*12)</f>
        <v>-13</v>
      </c>
      <c r="H21" s="6">
        <f>IF(Assumptions!$E$36*12&gt;G21+12,G21+12,Assumptions!$E$36*12)</f>
        <v>-1</v>
      </c>
      <c r="I21" s="6">
        <f>IF(Assumptions!$E$36*12&gt;H21+12,H21+12,Assumptions!$E$36*12)</f>
        <v>11</v>
      </c>
      <c r="J21" s="6">
        <f>IF(Assumptions!$E$36*12&gt;I21+12,I21+12,Assumptions!$E$36*12)</f>
        <v>23</v>
      </c>
      <c r="K21" s="6">
        <f>IF(Assumptions!$E$36*12&gt;J21+12,J21+12,Assumptions!$E$36*12)</f>
        <v>35</v>
      </c>
      <c r="L21" s="6">
        <f>IF(Assumptions!$E$36*12&gt;K21+12,K21+12,Assumptions!$E$36*12)</f>
        <v>47</v>
      </c>
      <c r="M21" s="6">
        <f>IF(Assumptions!$E$36*12&gt;L21+12,L21+12,Assumptions!$E$36*12)</f>
        <v>59</v>
      </c>
      <c r="N21" s="6">
        <f>IF(Assumptions!$E$36*12&gt;M21+12,M21+12,Assumptions!$E$36*12)</f>
        <v>60</v>
      </c>
      <c r="O21" s="6">
        <f>IF(Assumptions!$E$36*12&gt;N21+12,N21+12,Assumptions!$E$36*12)</f>
        <v>60</v>
      </c>
      <c r="P21" s="6"/>
    </row>
    <row r="22" spans="1:16" ht="18" customHeight="1" x14ac:dyDescent="0.25">
      <c r="B22" s="155"/>
      <c r="C22" s="26"/>
      <c r="D22" s="155"/>
      <c r="E22" s="155"/>
      <c r="F22" s="155"/>
      <c r="G22" s="155"/>
      <c r="H22" s="155"/>
      <c r="I22" s="155"/>
      <c r="J22" s="155"/>
      <c r="K22" s="155"/>
      <c r="L22" s="155"/>
      <c r="M22" s="155"/>
      <c r="N22" s="155"/>
      <c r="O22" s="155"/>
      <c r="P22" s="155"/>
    </row>
    <row r="23" spans="1:16" ht="15.75" customHeight="1" x14ac:dyDescent="0.25">
      <c r="A23" s="238" t="s">
        <v>12</v>
      </c>
      <c r="B23" s="2" t="s">
        <v>2</v>
      </c>
      <c r="C23" s="23" t="s">
        <v>3</v>
      </c>
      <c r="D23" s="3" t="str">
        <f>+D9</f>
        <v>2013 Budget</v>
      </c>
      <c r="E23" s="3">
        <f t="shared" ref="E23:M23" si="6">+E9</f>
        <v>2014</v>
      </c>
      <c r="F23" s="3">
        <f t="shared" si="6"/>
        <v>2015</v>
      </c>
      <c r="G23" s="3">
        <f t="shared" si="6"/>
        <v>2016</v>
      </c>
      <c r="H23" s="3">
        <f t="shared" si="6"/>
        <v>2017</v>
      </c>
      <c r="I23" s="3">
        <f t="shared" si="6"/>
        <v>2018</v>
      </c>
      <c r="J23" s="3">
        <f t="shared" si="6"/>
        <v>2019</v>
      </c>
      <c r="K23" s="3">
        <f t="shared" si="6"/>
        <v>2020</v>
      </c>
      <c r="L23" s="3">
        <f t="shared" si="6"/>
        <v>2021</v>
      </c>
      <c r="M23" s="3">
        <f t="shared" si="6"/>
        <v>2022</v>
      </c>
      <c r="N23" s="3">
        <f>+M23+1</f>
        <v>2023</v>
      </c>
      <c r="O23" s="3">
        <f>+N23+1</f>
        <v>2024</v>
      </c>
      <c r="P23" s="3" t="s">
        <v>23</v>
      </c>
    </row>
    <row r="24" spans="1:16" ht="15.75" customHeight="1" x14ac:dyDescent="0.25">
      <c r="A24" s="239"/>
      <c r="B24" s="4" t="str">
        <f>IF('Option 1'!B24="","",'Option 1'!B24)</f>
        <v/>
      </c>
      <c r="C24" s="3" t="str">
        <f>IF('Option 1'!C24="","",'Option 1'!C24)</f>
        <v>Sitework Elements</v>
      </c>
      <c r="D24" s="183" t="str">
        <f>IF('Option 1'!D24="","",'Option 1'!D24)</f>
        <v/>
      </c>
      <c r="E24" s="184" t="str">
        <f>IF('Option 1'!E24="","",'Option 1'!E24)</f>
        <v/>
      </c>
      <c r="F24" s="184" t="str">
        <f>IF('Option 1'!F24="","",'Option 1'!F24)</f>
        <v/>
      </c>
      <c r="G24" s="184" t="str">
        <f>IF('Option 1'!G24="","",'Option 1'!G24)</f>
        <v/>
      </c>
      <c r="H24" s="184" t="str">
        <f>IF('Option 1'!H24="","",'Option 1'!H24)</f>
        <v/>
      </c>
      <c r="I24" s="184" t="str">
        <f>IF('Option 1'!I24="","",'Option 1'!I24)</f>
        <v/>
      </c>
      <c r="J24" s="184" t="str">
        <f>IF('Option 1'!J24="","",'Option 1'!J24)</f>
        <v/>
      </c>
      <c r="K24" s="184" t="str">
        <f>IF('Option 1'!K24="","",'Option 1'!K24)</f>
        <v/>
      </c>
      <c r="L24" s="184" t="str">
        <f>IF('Option 1'!L24="","",'Option 1'!L24)</f>
        <v/>
      </c>
      <c r="M24" s="184" t="str">
        <f>IF('Option 1'!M24="","",'Option 1'!M24)</f>
        <v/>
      </c>
      <c r="N24" s="184" t="str">
        <f>IF('Option 1'!N24="","",'Option 1'!N24)</f>
        <v/>
      </c>
      <c r="O24" s="184" t="str">
        <f>IF('Option 1'!O24="","",'Option 1'!O24)</f>
        <v/>
      </c>
      <c r="P24" s="124">
        <f t="shared" ref="P24" si="7">IF(SUM(D24:O24)=0,0,SUM(D24:O24))</f>
        <v>0</v>
      </c>
    </row>
    <row r="25" spans="1:16" ht="15.75" customHeight="1" x14ac:dyDescent="0.25">
      <c r="A25" s="239"/>
      <c r="B25" s="4" t="str">
        <f>IF('Option 1'!B25="","",'Option 1'!B25)</f>
        <v/>
      </c>
      <c r="C25" s="182" t="str">
        <f>IF('Option 1'!C25="","",'Option 1'!C25)</f>
        <v>East Entry Street Asphalt Pavement</v>
      </c>
      <c r="D25" s="183" t="str">
        <f>IF('Option 1'!D25="","",'Option 1'!D25)</f>
        <v/>
      </c>
      <c r="E25" s="184" t="str">
        <f>IF('Option 1'!E25="","",'Option 1'!E25)</f>
        <v/>
      </c>
      <c r="F25" s="184" t="str">
        <f>IF('Option 1'!F25="","",'Option 1'!F25)</f>
        <v/>
      </c>
      <c r="G25" s="184" t="str">
        <f>IF('Option 1'!G25="","",'Option 1'!G25)</f>
        <v/>
      </c>
      <c r="H25" s="184" t="str">
        <f>IF('Option 1'!H25="","",'Option 1'!H25)</f>
        <v/>
      </c>
      <c r="I25" s="184" t="str">
        <f>IF('Option 1'!I25="","",'Option 1'!I25)</f>
        <v/>
      </c>
      <c r="J25" s="184" t="str">
        <f>IF('Option 1'!J25="","",'Option 1'!J25)</f>
        <v/>
      </c>
      <c r="K25" s="184" t="str">
        <f>IF('Option 1'!K25="","",'Option 1'!K25)</f>
        <v/>
      </c>
      <c r="L25" s="184" t="str">
        <f>IF('Option 1'!L25="","",'Option 1'!L25)</f>
        <v/>
      </c>
      <c r="M25" s="184" t="str">
        <f>IF('Option 1'!M25="","",'Option 1'!M25)</f>
        <v/>
      </c>
      <c r="N25" s="184" t="str">
        <f>IF('Option 1'!N25="","",'Option 1'!N25)</f>
        <v/>
      </c>
      <c r="O25" s="184" t="str">
        <f>IF('Option 1'!O25="","",'Option 1'!O25)</f>
        <v/>
      </c>
      <c r="P25" s="124">
        <f t="shared" ref="P25:P88" si="8">IF(SUM(D25:O25)=0,0,SUM(D25:O25))</f>
        <v>0</v>
      </c>
    </row>
    <row r="26" spans="1:16" ht="15.75" customHeight="1" x14ac:dyDescent="0.25">
      <c r="A26" s="239"/>
      <c r="B26" s="4" t="str">
        <f>IF('Option 1'!B26="","",'Option 1'!B26)</f>
        <v/>
      </c>
      <c r="C26" s="182" t="str">
        <f>IF('Option 1'!C26="","",'Option 1'!C26)</f>
        <v>East Entry Street Asphalt Sealcoating</v>
      </c>
      <c r="D26" s="185" t="str">
        <f>IF('Option 1'!D26="","",'Option 1'!D26)</f>
        <v/>
      </c>
      <c r="E26" s="184" t="str">
        <f>IF('Option 1'!E26="","",'Option 1'!E26)</f>
        <v/>
      </c>
      <c r="F26" s="184" t="str">
        <f>IF('Option 1'!F26="","",'Option 1'!F26)</f>
        <v/>
      </c>
      <c r="G26" s="184" t="str">
        <f>IF('Option 1'!G26="","",'Option 1'!G26)</f>
        <v/>
      </c>
      <c r="H26" s="184" t="str">
        <f>IF('Option 1'!H26="","",'Option 1'!H26)</f>
        <v/>
      </c>
      <c r="I26" s="184" t="str">
        <f>IF('Option 1'!I26="","",'Option 1'!I26)</f>
        <v/>
      </c>
      <c r="J26" s="184" t="str">
        <f>IF('Option 1'!J26="","",'Option 1'!J26)</f>
        <v/>
      </c>
      <c r="K26" s="184" t="str">
        <f>IF('Option 1'!K26="","",'Option 1'!K26)</f>
        <v/>
      </c>
      <c r="L26" s="184" t="str">
        <f>IF('Option 1'!L26="","",'Option 1'!L26)</f>
        <v/>
      </c>
      <c r="M26" s="184" t="str">
        <f>IF('Option 1'!M26="","",'Option 1'!M26)</f>
        <v/>
      </c>
      <c r="N26" s="184" t="str">
        <f>IF('Option 1'!N26="","",'Option 1'!N26)</f>
        <v/>
      </c>
      <c r="O26" s="184" t="str">
        <f>IF('Option 1'!O26="","",'Option 1'!O26)</f>
        <v/>
      </c>
      <c r="P26" s="124">
        <f t="shared" si="8"/>
        <v>0</v>
      </c>
    </row>
    <row r="27" spans="1:16" ht="15.75" customHeight="1" x14ac:dyDescent="0.25">
      <c r="A27" s="239"/>
      <c r="B27" s="4" t="str">
        <f>IF('Option 1'!B27="","",'Option 1'!B27)</f>
        <v/>
      </c>
      <c r="C27" s="182" t="str">
        <f>IF('Option 1'!C27="","",'Option 1'!C27)</f>
        <v>West Entry Street Asphalt Pavement</v>
      </c>
      <c r="D27" s="185" t="str">
        <f>IF('Option 1'!D27="","",'Option 1'!D27)</f>
        <v/>
      </c>
      <c r="E27" s="184" t="str">
        <f>IF('Option 1'!E27="","",'Option 1'!E27)</f>
        <v/>
      </c>
      <c r="F27" s="184" t="str">
        <f>IF('Option 1'!F27="","",'Option 1'!F27)</f>
        <v/>
      </c>
      <c r="G27" s="184" t="str">
        <f>IF('Option 1'!G27="","",'Option 1'!G27)</f>
        <v/>
      </c>
      <c r="H27" s="184" t="str">
        <f>IF('Option 1'!H27="","",'Option 1'!H27)</f>
        <v/>
      </c>
      <c r="I27" s="184" t="str">
        <f>IF('Option 1'!I27="","",'Option 1'!I27)</f>
        <v/>
      </c>
      <c r="J27" s="184" t="str">
        <f>IF('Option 1'!J27="","",'Option 1'!J27)</f>
        <v/>
      </c>
      <c r="K27" s="184" t="str">
        <f>IF('Option 1'!K27="","",'Option 1'!K27)</f>
        <v/>
      </c>
      <c r="L27" s="184" t="str">
        <f>IF('Option 1'!L27="","",'Option 1'!L27)</f>
        <v/>
      </c>
      <c r="M27" s="184" t="str">
        <f>IF('Option 1'!M27="","",'Option 1'!M27)</f>
        <v/>
      </c>
      <c r="N27" s="184" t="str">
        <f>IF('Option 1'!N27="","",'Option 1'!N27)</f>
        <v/>
      </c>
      <c r="O27" s="184" t="str">
        <f>IF('Option 1'!O27="","",'Option 1'!O27)</f>
        <v/>
      </c>
      <c r="P27" s="124">
        <f t="shared" si="8"/>
        <v>0</v>
      </c>
    </row>
    <row r="28" spans="1:16" ht="15.75" customHeight="1" x14ac:dyDescent="0.25">
      <c r="A28" s="239"/>
      <c r="B28" s="4" t="str">
        <f>IF('Option 1'!B28="","",'Option 1'!B28)</f>
        <v/>
      </c>
      <c r="C28" s="182" t="str">
        <f>IF('Option 1'!C28="","",'Option 1'!C28)</f>
        <v>West Entry Street Asphalt Sealcoating</v>
      </c>
      <c r="D28" s="185" t="str">
        <f>IF('Option 1'!D28="","",'Option 1'!D28)</f>
        <v/>
      </c>
      <c r="E28" s="184" t="str">
        <f>IF('Option 1'!E28="","",'Option 1'!E28)</f>
        <v/>
      </c>
      <c r="F28" s="184" t="str">
        <f>IF('Option 1'!F28="","",'Option 1'!F28)</f>
        <v/>
      </c>
      <c r="G28" s="184" t="str">
        <f>IF('Option 1'!G28="","",'Option 1'!G28)</f>
        <v/>
      </c>
      <c r="H28" s="184" t="str">
        <f>IF('Option 1'!H28="","",'Option 1'!H28)</f>
        <v/>
      </c>
      <c r="I28" s="184" t="str">
        <f>IF('Option 1'!I28="","",'Option 1'!I28)</f>
        <v/>
      </c>
      <c r="J28" s="184" t="str">
        <f>IF('Option 1'!J28="","",'Option 1'!J28)</f>
        <v/>
      </c>
      <c r="K28" s="184" t="str">
        <f>IF('Option 1'!K28="","",'Option 1'!K28)</f>
        <v/>
      </c>
      <c r="L28" s="184" t="str">
        <f>IF('Option 1'!L28="","",'Option 1'!L28)</f>
        <v/>
      </c>
      <c r="M28" s="184" t="str">
        <f>IF('Option 1'!M28="","",'Option 1'!M28)</f>
        <v/>
      </c>
      <c r="N28" s="184" t="str">
        <f>IF('Option 1'!N28="","",'Option 1'!N28)</f>
        <v/>
      </c>
      <c r="O28" s="184" t="str">
        <f>IF('Option 1'!O28="","",'Option 1'!O28)</f>
        <v/>
      </c>
      <c r="P28" s="124">
        <f t="shared" si="8"/>
        <v>0</v>
      </c>
    </row>
    <row r="29" spans="1:16" ht="15.75" customHeight="1" x14ac:dyDescent="0.25">
      <c r="A29" s="239"/>
      <c r="B29" s="4" t="str">
        <f>IF('Option 1'!B29="","",'Option 1'!B29)</f>
        <v/>
      </c>
      <c r="C29" s="182" t="str">
        <f>IF('Option 1'!C29="","",'Option 1'!C29)</f>
        <v>East, South, &amp; West Central Road Pavement</v>
      </c>
      <c r="D29" s="185" t="str">
        <f>IF('Option 1'!D29="","",'Option 1'!D29)</f>
        <v/>
      </c>
      <c r="E29" s="184" t="str">
        <f>IF('Option 1'!E29="","",'Option 1'!E29)</f>
        <v/>
      </c>
      <c r="F29" s="184" t="str">
        <f>IF('Option 1'!F29="","",'Option 1'!F29)</f>
        <v/>
      </c>
      <c r="G29" s="184" t="str">
        <f>IF('Option 1'!G29="","",'Option 1'!G29)</f>
        <v/>
      </c>
      <c r="H29" s="184" t="str">
        <f>IF('Option 1'!H29="","",'Option 1'!H29)</f>
        <v/>
      </c>
      <c r="I29" s="184" t="str">
        <f>IF('Option 1'!I29="","",'Option 1'!I29)</f>
        <v/>
      </c>
      <c r="J29" s="184" t="str">
        <f>IF('Option 1'!J29="","",'Option 1'!J29)</f>
        <v/>
      </c>
      <c r="K29" s="184" t="str">
        <f>IF('Option 1'!K29="","",'Option 1'!K29)</f>
        <v/>
      </c>
      <c r="L29" s="184" t="str">
        <f>IF('Option 1'!L29="","",'Option 1'!L29)</f>
        <v/>
      </c>
      <c r="M29" s="184" t="str">
        <f>IF('Option 1'!M29="","",'Option 1'!M29)</f>
        <v/>
      </c>
      <c r="N29" s="184" t="str">
        <f>IF('Option 1'!N29="","",'Option 1'!N29)</f>
        <v/>
      </c>
      <c r="O29" s="184" t="str">
        <f>IF('Option 1'!O29="","",'Option 1'!O29)</f>
        <v/>
      </c>
      <c r="P29" s="124">
        <f t="shared" si="8"/>
        <v>0</v>
      </c>
    </row>
    <row r="30" spans="1:16" ht="15.75" customHeight="1" x14ac:dyDescent="0.25">
      <c r="A30" s="239"/>
      <c r="B30" s="4" t="str">
        <f>IF('Option 1'!B30="","",'Option 1'!B30)</f>
        <v/>
      </c>
      <c r="C30" s="182" t="str">
        <f>IF('Option 1'!C30="","",'Option 1'!C30)</f>
        <v>East, South, &amp; West Central Road Sealcoating</v>
      </c>
      <c r="D30" s="185" t="str">
        <f>IF('Option 1'!D30="","",'Option 1'!D30)</f>
        <v/>
      </c>
      <c r="E30" s="184" t="str">
        <f>IF('Option 1'!E30="","",'Option 1'!E30)</f>
        <v/>
      </c>
      <c r="F30" s="184" t="str">
        <f>IF('Option 1'!F30="","",'Option 1'!F30)</f>
        <v/>
      </c>
      <c r="G30" s="184" t="str">
        <f>IF('Option 1'!G30="","",'Option 1'!G30)</f>
        <v/>
      </c>
      <c r="H30" s="184" t="str">
        <f>IF('Option 1'!H30="","",'Option 1'!H30)</f>
        <v/>
      </c>
      <c r="I30" s="184" t="str">
        <f>IF('Option 1'!I30="","",'Option 1'!I30)</f>
        <v/>
      </c>
      <c r="J30" s="184" t="str">
        <f>IF('Option 1'!J30="","",'Option 1'!J30)</f>
        <v/>
      </c>
      <c r="K30" s="184" t="str">
        <f>IF('Option 1'!K30="","",'Option 1'!K30)</f>
        <v/>
      </c>
      <c r="L30" s="184" t="str">
        <f>IF('Option 1'!L30="","",'Option 1'!L30)</f>
        <v/>
      </c>
      <c r="M30" s="184" t="str">
        <f>IF('Option 1'!M30="","",'Option 1'!M30)</f>
        <v/>
      </c>
      <c r="N30" s="184" t="str">
        <f>IF('Option 1'!N30="","",'Option 1'!N30)</f>
        <v/>
      </c>
      <c r="O30" s="184" t="str">
        <f>IF('Option 1'!O30="","",'Option 1'!O30)</f>
        <v/>
      </c>
      <c r="P30" s="124">
        <f t="shared" si="8"/>
        <v>0</v>
      </c>
    </row>
    <row r="31" spans="1:16" ht="15.75" customHeight="1" x14ac:dyDescent="0.25">
      <c r="A31" s="239"/>
      <c r="B31" s="4" t="str">
        <f>IF('Option 1'!B31="","",'Option 1'!B31)</f>
        <v/>
      </c>
      <c r="C31" s="182" t="str">
        <f>IF('Option 1'!C31="","",'Option 1'!C31)</f>
        <v>Asphalt Fire Lane Pavement (Grind and Resurface)</v>
      </c>
      <c r="D31" s="185" t="str">
        <f>IF('Option 1'!D31="","",'Option 1'!D31)</f>
        <v/>
      </c>
      <c r="E31" s="184" t="str">
        <f>IF('Option 1'!E31="","",'Option 1'!E31)</f>
        <v/>
      </c>
      <c r="F31" s="184" t="str">
        <f>IF('Option 1'!F31="","",'Option 1'!F31)</f>
        <v/>
      </c>
      <c r="G31" s="184" t="str">
        <f>IF('Option 1'!G31="","",'Option 1'!G31)</f>
        <v/>
      </c>
      <c r="H31" s="184" t="str">
        <f>IF('Option 1'!H31="","",'Option 1'!H31)</f>
        <v/>
      </c>
      <c r="I31" s="184">
        <f>IF('Option 1'!I31="","",'Option 1'!I31)</f>
        <v>1023820</v>
      </c>
      <c r="J31" s="184" t="str">
        <f>IF('Option 1'!J31="","",'Option 1'!J31)</f>
        <v/>
      </c>
      <c r="K31" s="184" t="str">
        <f>IF('Option 1'!K31="","",'Option 1'!K31)</f>
        <v/>
      </c>
      <c r="L31" s="184" t="str">
        <f>IF('Option 1'!L31="","",'Option 1'!L31)</f>
        <v/>
      </c>
      <c r="M31" s="184" t="str">
        <f>IF('Option 1'!M31="","",'Option 1'!M31)</f>
        <v/>
      </c>
      <c r="N31" s="184" t="str">
        <f>IF('Option 1'!N31="","",'Option 1'!N31)</f>
        <v/>
      </c>
      <c r="O31" s="184" t="str">
        <f>IF('Option 1'!O31="","",'Option 1'!O31)</f>
        <v/>
      </c>
      <c r="P31" s="124">
        <f t="shared" si="8"/>
        <v>1023820</v>
      </c>
    </row>
    <row r="32" spans="1:16" ht="15.75" customHeight="1" x14ac:dyDescent="0.25">
      <c r="A32" s="239"/>
      <c r="B32" s="4" t="str">
        <f>IF('Option 1'!B32="","",'Option 1'!B32)</f>
        <v/>
      </c>
      <c r="C32" s="182" t="str">
        <f>IF('Option 1'!C32="","",'Option 1'!C32)</f>
        <v>Asphalt Fire Lane Pavement Sealcoating</v>
      </c>
      <c r="D32" s="185" t="str">
        <f>IF('Option 1'!D32="","",'Option 1'!D32)</f>
        <v/>
      </c>
      <c r="E32" s="184" t="str">
        <f>IF('Option 1'!E32="","",'Option 1'!E32)</f>
        <v/>
      </c>
      <c r="F32" s="184" t="str">
        <f>IF('Option 1'!F32="","",'Option 1'!F32)</f>
        <v/>
      </c>
      <c r="G32" s="184" t="str">
        <f>IF('Option 1'!G32="","",'Option 1'!G32)</f>
        <v/>
      </c>
      <c r="H32" s="184" t="str">
        <f>IF('Option 1'!H32="","",'Option 1'!H32)</f>
        <v/>
      </c>
      <c r="I32" s="184" t="str">
        <f>IF('Option 1'!I32="","",'Option 1'!I32)</f>
        <v/>
      </c>
      <c r="J32" s="184" t="str">
        <f>IF('Option 1'!J32="","",'Option 1'!J32)</f>
        <v/>
      </c>
      <c r="K32" s="184">
        <f>IF('Option 1'!K32="","",'Option 1'!K32)</f>
        <v>46150</v>
      </c>
      <c r="L32" s="184" t="str">
        <f>IF('Option 1'!L32="","",'Option 1'!L32)</f>
        <v/>
      </c>
      <c r="M32" s="184" t="str">
        <f>IF('Option 1'!M32="","",'Option 1'!M32)</f>
        <v/>
      </c>
      <c r="N32" s="184" t="str">
        <f>IF('Option 1'!N32="","",'Option 1'!N32)</f>
        <v/>
      </c>
      <c r="O32" s="184" t="str">
        <f>IF('Option 1'!O32="","",'Option 1'!O32)</f>
        <v/>
      </c>
      <c r="P32" s="124">
        <f t="shared" si="8"/>
        <v>46150</v>
      </c>
    </row>
    <row r="33" spans="1:16" ht="15.75" customHeight="1" x14ac:dyDescent="0.25">
      <c r="A33" s="239"/>
      <c r="B33" s="4" t="str">
        <f>IF('Option 1'!B33="","",'Option 1'!B33)</f>
        <v/>
      </c>
      <c r="C33" s="182" t="str">
        <f>IF('Option 1'!C33="","",'Option 1'!C33)</f>
        <v>Asphalt Parking Lot Pavement</v>
      </c>
      <c r="D33" s="185" t="str">
        <f>IF('Option 1'!D33="","",'Option 1'!D33)</f>
        <v/>
      </c>
      <c r="E33" s="184">
        <f>IF('Option 1'!E33="","",'Option 1'!E33)</f>
        <v>120000</v>
      </c>
      <c r="F33" s="184" t="str">
        <f>IF('Option 1'!F33="","",'Option 1'!F33)</f>
        <v/>
      </c>
      <c r="G33" s="184" t="str">
        <f>IF('Option 1'!G33="","",'Option 1'!G33)</f>
        <v/>
      </c>
      <c r="H33" s="184" t="str">
        <f>IF('Option 1'!H33="","",'Option 1'!H33)</f>
        <v/>
      </c>
      <c r="I33" s="184" t="str">
        <f>IF('Option 1'!I33="","",'Option 1'!I33)</f>
        <v/>
      </c>
      <c r="J33" s="184">
        <f>IF('Option 1'!J33="","",'Option 1'!J33)</f>
        <v>384660</v>
      </c>
      <c r="K33" s="184">
        <f>IF('Option 1'!K33="","",'Option 1'!K33)</f>
        <v>571410</v>
      </c>
      <c r="L33" s="184">
        <f>IF('Option 1'!L33="","",'Option 1'!L33)</f>
        <v>134413</v>
      </c>
      <c r="M33" s="184">
        <f>IF('Option 1'!M33="","",'Option 1'!M33)</f>
        <v>457398</v>
      </c>
      <c r="N33" s="184">
        <f>IF('Option 1'!N33="","",'Option 1'!N33)</f>
        <v>0</v>
      </c>
      <c r="O33" s="184" t="str">
        <f>IF('Option 1'!O33="","",'Option 1'!O33)</f>
        <v/>
      </c>
      <c r="P33" s="124">
        <f t="shared" si="8"/>
        <v>1667881</v>
      </c>
    </row>
    <row r="34" spans="1:16" ht="15.75" customHeight="1" x14ac:dyDescent="0.25">
      <c r="A34" s="239"/>
      <c r="B34" s="4" t="str">
        <f>IF('Option 1'!B34="","",'Option 1'!B34)</f>
        <v/>
      </c>
      <c r="C34" s="182" t="str">
        <f>IF('Option 1'!C34="","",'Option 1'!C34)</f>
        <v>Asphalt Parking Lot Sealcoating</v>
      </c>
      <c r="D34" s="185" t="str">
        <f>IF('Option 1'!D34="","",'Option 1'!D34)</f>
        <v/>
      </c>
      <c r="E34" s="184" t="str">
        <f>IF('Option 1'!E34="","",'Option 1'!E34)</f>
        <v/>
      </c>
      <c r="F34" s="184" t="str">
        <f>IF('Option 1'!F34="","",'Option 1'!F34)</f>
        <v/>
      </c>
      <c r="G34" s="184" t="str">
        <f>IF('Option 1'!G34="","",'Option 1'!G34)</f>
        <v/>
      </c>
      <c r="H34" s="184" t="str">
        <f>IF('Option 1'!H34="","",'Option 1'!H34)</f>
        <v/>
      </c>
      <c r="I34" s="184" t="str">
        <f>IF('Option 1'!I34="","",'Option 1'!I34)</f>
        <v/>
      </c>
      <c r="J34" s="184" t="str">
        <f>IF('Option 1'!J34="","",'Option 1'!J34)</f>
        <v/>
      </c>
      <c r="K34" s="184" t="str">
        <f>IF('Option 1'!K34="","",'Option 1'!K34)</f>
        <v/>
      </c>
      <c r="L34" s="184" t="str">
        <f>IF('Option 1'!L34="","",'Option 1'!L34)</f>
        <v/>
      </c>
      <c r="M34" s="184" t="str">
        <f>IF('Option 1'!M34="","",'Option 1'!M34)</f>
        <v/>
      </c>
      <c r="N34" s="184" t="str">
        <f>IF('Option 1'!N34="","",'Option 1'!N34)</f>
        <v/>
      </c>
      <c r="O34" s="184" t="str">
        <f>IF('Option 1'!O34="","",'Option 1'!O34)</f>
        <v/>
      </c>
      <c r="P34" s="124">
        <f t="shared" si="8"/>
        <v>0</v>
      </c>
    </row>
    <row r="35" spans="1:16" ht="15.75" customHeight="1" x14ac:dyDescent="0.25">
      <c r="A35" s="239"/>
      <c r="B35" s="4" t="str">
        <f>IF('Option 1'!B35="","",'Option 1'!B35)</f>
        <v/>
      </c>
      <c r="C35" s="182" t="str">
        <f>IF('Option 1'!C35="","",'Option 1'!C35)</f>
        <v>Ramp Asphalt Pavement (Grind and Resurface)</v>
      </c>
      <c r="D35" s="183" t="str">
        <f>IF('Option 1'!D35="","",'Option 1'!D35)</f>
        <v/>
      </c>
      <c r="E35" s="184" t="str">
        <f>IF('Option 1'!E35="","",'Option 1'!E35)</f>
        <v/>
      </c>
      <c r="F35" s="184" t="str">
        <f>IF('Option 1'!F35="","",'Option 1'!F35)</f>
        <v/>
      </c>
      <c r="G35" s="184" t="str">
        <f>IF('Option 1'!G35="","",'Option 1'!G35)</f>
        <v/>
      </c>
      <c r="H35" s="184" t="str">
        <f>IF('Option 1'!H35="","",'Option 1'!H35)</f>
        <v/>
      </c>
      <c r="I35" s="184" t="str">
        <f>IF('Option 1'!I35="","",'Option 1'!I35)</f>
        <v/>
      </c>
      <c r="J35" s="184">
        <f>IF('Option 1'!J35="","",'Option 1'!J35)</f>
        <v>50460</v>
      </c>
      <c r="K35" s="184" t="str">
        <f>IF('Option 1'!K35="","",'Option 1'!K35)</f>
        <v/>
      </c>
      <c r="L35" s="184" t="str">
        <f>IF('Option 1'!L35="","",'Option 1'!L35)</f>
        <v/>
      </c>
      <c r="M35" s="184" t="str">
        <f>IF('Option 1'!M35="","",'Option 1'!M35)</f>
        <v/>
      </c>
      <c r="N35" s="184" t="str">
        <f>IF('Option 1'!N35="","",'Option 1'!N35)</f>
        <v/>
      </c>
      <c r="O35" s="184" t="str">
        <f>IF('Option 1'!O35="","",'Option 1'!O35)</f>
        <v/>
      </c>
      <c r="P35" s="124">
        <f t="shared" si="8"/>
        <v>50460</v>
      </c>
    </row>
    <row r="36" spans="1:16" ht="15.75" customHeight="1" x14ac:dyDescent="0.25">
      <c r="A36" s="239"/>
      <c r="B36" s="4" t="str">
        <f>IF('Option 1'!B36="","",'Option 1'!B36)</f>
        <v/>
      </c>
      <c r="C36" s="182" t="str">
        <f>IF('Option 1'!C36="","",'Option 1'!C36)</f>
        <v>Ramp Asphalt Sealcoating</v>
      </c>
      <c r="D36" s="183" t="str">
        <f>IF('Option 1'!D36="","",'Option 1'!D36)</f>
        <v/>
      </c>
      <c r="E36" s="184" t="str">
        <f>IF('Option 1'!E36="","",'Option 1'!E36)</f>
        <v/>
      </c>
      <c r="F36" s="184" t="str">
        <f>IF('Option 1'!F36="","",'Option 1'!F36)</f>
        <v/>
      </c>
      <c r="G36" s="184" t="str">
        <f>IF('Option 1'!G36="","",'Option 1'!G36)</f>
        <v/>
      </c>
      <c r="H36" s="184" t="str">
        <f>IF('Option 1'!H36="","",'Option 1'!H36)</f>
        <v/>
      </c>
      <c r="I36" s="184" t="str">
        <f>IF('Option 1'!I36="","",'Option 1'!I36)</f>
        <v/>
      </c>
      <c r="J36" s="184" t="str">
        <f>IF('Option 1'!J36="","",'Option 1'!J36)</f>
        <v/>
      </c>
      <c r="K36" s="184" t="str">
        <f>IF('Option 1'!K36="","",'Option 1'!K36)</f>
        <v/>
      </c>
      <c r="L36" s="184" t="str">
        <f>IF('Option 1'!L36="","",'Option 1'!L36)</f>
        <v/>
      </c>
      <c r="M36" s="184" t="str">
        <f>IF('Option 1'!M36="","",'Option 1'!M36)</f>
        <v/>
      </c>
      <c r="N36" s="184" t="str">
        <f>IF('Option 1'!N36="","",'Option 1'!N36)</f>
        <v/>
      </c>
      <c r="O36" s="184" t="str">
        <f>IF('Option 1'!O36="","",'Option 1'!O36)</f>
        <v/>
      </c>
      <c r="P36" s="124">
        <f t="shared" si="8"/>
        <v>0</v>
      </c>
    </row>
    <row r="37" spans="1:16" ht="15.75" customHeight="1" x14ac:dyDescent="0.25">
      <c r="A37" s="239"/>
      <c r="B37" s="4" t="str">
        <f>IF('Option 1'!B37="","",'Option 1'!B37)</f>
        <v/>
      </c>
      <c r="C37" s="182" t="str">
        <f>IF('Option 1'!C37="","",'Option 1'!C37)</f>
        <v>Street Concrete Curbs</v>
      </c>
      <c r="D37" s="183" t="str">
        <f>IF('Option 1'!D37="","",'Option 1'!D37)</f>
        <v/>
      </c>
      <c r="E37" s="184" t="str">
        <f>IF('Option 1'!E37="","",'Option 1'!E37)</f>
        <v/>
      </c>
      <c r="F37" s="184" t="str">
        <f>IF('Option 1'!F37="","",'Option 1'!F37)</f>
        <v/>
      </c>
      <c r="G37" s="184" t="str">
        <f>IF('Option 1'!G37="","",'Option 1'!G37)</f>
        <v/>
      </c>
      <c r="H37" s="184" t="str">
        <f>IF('Option 1'!H37="","",'Option 1'!H37)</f>
        <v/>
      </c>
      <c r="I37" s="184" t="str">
        <f>IF('Option 1'!I37="","",'Option 1'!I37)</f>
        <v/>
      </c>
      <c r="J37" s="184" t="str">
        <f>IF('Option 1'!J37="","",'Option 1'!J37)</f>
        <v/>
      </c>
      <c r="K37" s="184" t="str">
        <f>IF('Option 1'!K37="","",'Option 1'!K37)</f>
        <v/>
      </c>
      <c r="L37" s="184" t="str">
        <f>IF('Option 1'!L37="","",'Option 1'!L37)</f>
        <v/>
      </c>
      <c r="M37" s="184" t="str">
        <f>IF('Option 1'!M37="","",'Option 1'!M37)</f>
        <v/>
      </c>
      <c r="N37" s="184" t="str">
        <f>IF('Option 1'!N37="","",'Option 1'!N37)</f>
        <v/>
      </c>
      <c r="O37" s="184" t="str">
        <f>IF('Option 1'!O37="","",'Option 1'!O37)</f>
        <v/>
      </c>
      <c r="P37" s="124">
        <f t="shared" si="8"/>
        <v>0</v>
      </c>
    </row>
    <row r="38" spans="1:16" ht="15.75" customHeight="1" x14ac:dyDescent="0.25">
      <c r="A38" s="239"/>
      <c r="B38" s="4" t="str">
        <f>IF('Option 1'!B38="","",'Option 1'!B38)</f>
        <v/>
      </c>
      <c r="C38" s="182" t="str">
        <f>IF('Option 1'!C38="","",'Option 1'!C38)</f>
        <v>Parking Lot Concrete Curbs</v>
      </c>
      <c r="D38" s="183" t="str">
        <f>IF('Option 1'!D38="","",'Option 1'!D38)</f>
        <v/>
      </c>
      <c r="E38" s="184" t="str">
        <f>IF('Option 1'!E38="","",'Option 1'!E38)</f>
        <v/>
      </c>
      <c r="F38" s="184" t="str">
        <f>IF('Option 1'!F38="","",'Option 1'!F38)</f>
        <v/>
      </c>
      <c r="G38" s="184" t="str">
        <f>IF('Option 1'!G38="","",'Option 1'!G38)</f>
        <v/>
      </c>
      <c r="H38" s="184" t="str">
        <f>IF('Option 1'!H38="","",'Option 1'!H38)</f>
        <v/>
      </c>
      <c r="I38" s="184" t="str">
        <f>IF('Option 1'!I38="","",'Option 1'!I38)</f>
        <v/>
      </c>
      <c r="J38" s="184" t="str">
        <f>IF('Option 1'!J38="","",'Option 1'!J38)</f>
        <v/>
      </c>
      <c r="K38" s="184" t="str">
        <f>IF('Option 1'!K38="","",'Option 1'!K38)</f>
        <v/>
      </c>
      <c r="L38" s="184" t="str">
        <f>IF('Option 1'!L38="","",'Option 1'!L38)</f>
        <v/>
      </c>
      <c r="M38" s="184" t="str">
        <f>IF('Option 1'!M38="","",'Option 1'!M38)</f>
        <v/>
      </c>
      <c r="N38" s="184" t="str">
        <f>IF('Option 1'!N38="","",'Option 1'!N38)</f>
        <v/>
      </c>
      <c r="O38" s="184" t="str">
        <f>IF('Option 1'!O38="","",'Option 1'!O38)</f>
        <v/>
      </c>
      <c r="P38" s="124">
        <f t="shared" si="8"/>
        <v>0</v>
      </c>
    </row>
    <row r="39" spans="1:16" ht="15.75" customHeight="1" x14ac:dyDescent="0.25">
      <c r="A39" s="239"/>
      <c r="B39" s="4" t="str">
        <f>IF('Option 1'!B39="","",'Option 1'!B39)</f>
        <v/>
      </c>
      <c r="C39" s="182" t="str">
        <f>IF('Option 1'!C39="","",'Option 1'!C39)</f>
        <v>Ramp Concrete Curbs</v>
      </c>
      <c r="D39" s="183" t="str">
        <f>IF('Option 1'!D39="","",'Option 1'!D39)</f>
        <v/>
      </c>
      <c r="E39" s="184" t="str">
        <f>IF('Option 1'!E39="","",'Option 1'!E39)</f>
        <v/>
      </c>
      <c r="F39" s="184" t="str">
        <f>IF('Option 1'!F39="","",'Option 1'!F39)</f>
        <v/>
      </c>
      <c r="G39" s="184" t="str">
        <f>IF('Option 1'!G39="","",'Option 1'!G39)</f>
        <v/>
      </c>
      <c r="H39" s="184" t="str">
        <f>IF('Option 1'!H39="","",'Option 1'!H39)</f>
        <v/>
      </c>
      <c r="I39" s="184" t="str">
        <f>IF('Option 1'!I39="","",'Option 1'!I39)</f>
        <v/>
      </c>
      <c r="J39" s="184" t="str">
        <f>IF('Option 1'!J39="","",'Option 1'!J39)</f>
        <v/>
      </c>
      <c r="K39" s="184" t="str">
        <f>IF('Option 1'!K39="","",'Option 1'!K39)</f>
        <v/>
      </c>
      <c r="L39" s="184" t="str">
        <f>IF('Option 1'!L39="","",'Option 1'!L39)</f>
        <v/>
      </c>
      <c r="M39" s="184" t="str">
        <f>IF('Option 1'!M39="","",'Option 1'!M39)</f>
        <v/>
      </c>
      <c r="N39" s="184" t="str">
        <f>IF('Option 1'!N39="","",'Option 1'!N39)</f>
        <v/>
      </c>
      <c r="O39" s="184" t="str">
        <f>IF('Option 1'!O39="","",'Option 1'!O39)</f>
        <v/>
      </c>
      <c r="P39" s="124">
        <f t="shared" si="8"/>
        <v>0</v>
      </c>
    </row>
    <row r="40" spans="1:16" ht="15.75" customHeight="1" x14ac:dyDescent="0.25">
      <c r="A40" s="239"/>
      <c r="B40" s="4" t="str">
        <f>IF('Option 1'!B40="","",'Option 1'!B40)</f>
        <v/>
      </c>
      <c r="C40" s="182" t="str">
        <f>IF('Option 1'!C40="","",'Option 1'!C40)</f>
        <v>Aggregate 5'-0" Walkway</v>
      </c>
      <c r="D40" s="183" t="str">
        <f>IF('Option 1'!D40="","",'Option 1'!D40)</f>
        <v/>
      </c>
      <c r="E40" s="184" t="str">
        <f>IF('Option 1'!E40="","",'Option 1'!E40)</f>
        <v/>
      </c>
      <c r="F40" s="184" t="str">
        <f>IF('Option 1'!F40="","",'Option 1'!F40)</f>
        <v/>
      </c>
      <c r="G40" s="184" t="str">
        <f>IF('Option 1'!G40="","",'Option 1'!G40)</f>
        <v/>
      </c>
      <c r="H40" s="184" t="str">
        <f>IF('Option 1'!H40="","",'Option 1'!H40)</f>
        <v/>
      </c>
      <c r="I40" s="184" t="str">
        <f>IF('Option 1'!I40="","",'Option 1'!I40)</f>
        <v/>
      </c>
      <c r="J40" s="184" t="str">
        <f>IF('Option 1'!J40="","",'Option 1'!J40)</f>
        <v/>
      </c>
      <c r="K40" s="184" t="str">
        <f>IF('Option 1'!K40="","",'Option 1'!K40)</f>
        <v/>
      </c>
      <c r="L40" s="184" t="str">
        <f>IF('Option 1'!L40="","",'Option 1'!L40)</f>
        <v/>
      </c>
      <c r="M40" s="184" t="str">
        <f>IF('Option 1'!M40="","",'Option 1'!M40)</f>
        <v/>
      </c>
      <c r="N40" s="184" t="str">
        <f>IF('Option 1'!N40="","",'Option 1'!N40)</f>
        <v/>
      </c>
      <c r="O40" s="184" t="str">
        <f>IF('Option 1'!O40="","",'Option 1'!O40)</f>
        <v/>
      </c>
      <c r="P40" s="124">
        <f t="shared" si="8"/>
        <v>0</v>
      </c>
    </row>
    <row r="41" spans="1:16" ht="15.75" customHeight="1" x14ac:dyDescent="0.25">
      <c r="A41" s="239"/>
      <c r="B41" s="4" t="str">
        <f>IF('Option 1'!B41="","",'Option 1'!B41)</f>
        <v/>
      </c>
      <c r="C41" s="182" t="str">
        <f>IF('Option 1'!C41="","",'Option 1'!C41)</f>
        <v>Storm Sewer System</v>
      </c>
      <c r="D41" s="183" t="str">
        <f>IF('Option 1'!D41="","",'Option 1'!D41)</f>
        <v/>
      </c>
      <c r="E41" s="184" t="str">
        <f>IF('Option 1'!E41="","",'Option 1'!E41)</f>
        <v/>
      </c>
      <c r="F41" s="184" t="str">
        <f>IF('Option 1'!F41="","",'Option 1'!F41)</f>
        <v/>
      </c>
      <c r="G41" s="184" t="str">
        <f>IF('Option 1'!G41="","",'Option 1'!G41)</f>
        <v/>
      </c>
      <c r="H41" s="184" t="str">
        <f>IF('Option 1'!H41="","",'Option 1'!H41)</f>
        <v/>
      </c>
      <c r="I41" s="184" t="str">
        <f>IF('Option 1'!I41="","",'Option 1'!I41)</f>
        <v/>
      </c>
      <c r="J41" s="184" t="str">
        <f>IF('Option 1'!J41="","",'Option 1'!J41)</f>
        <v/>
      </c>
      <c r="K41" s="184" t="str">
        <f>IF('Option 1'!K41="","",'Option 1'!K41)</f>
        <v/>
      </c>
      <c r="L41" s="184" t="str">
        <f>IF('Option 1'!L41="","",'Option 1'!L41)</f>
        <v/>
      </c>
      <c r="M41" s="184">
        <f>IF('Option 1'!M41="","",'Option 1'!M41)</f>
        <v>30445</v>
      </c>
      <c r="N41" s="184" t="str">
        <f>IF('Option 1'!N41="","",'Option 1'!N41)</f>
        <v/>
      </c>
      <c r="O41" s="184" t="str">
        <f>IF('Option 1'!O41="","",'Option 1'!O41)</f>
        <v/>
      </c>
      <c r="P41" s="124">
        <f t="shared" si="8"/>
        <v>30445</v>
      </c>
    </row>
    <row r="42" spans="1:16" ht="15.75" customHeight="1" x14ac:dyDescent="0.25">
      <c r="A42" s="239"/>
      <c r="B42" s="4" t="str">
        <f>IF('Option 1'!B42="","",'Option 1'!B42)</f>
        <v/>
      </c>
      <c r="C42" s="182" t="str">
        <f>IF('Option 1'!C42="","",'Option 1'!C42)</f>
        <v>Concrete Entry Walk (Clubhouse)</v>
      </c>
      <c r="D42" s="183" t="str">
        <f>IF('Option 1'!D42="","",'Option 1'!D42)</f>
        <v/>
      </c>
      <c r="E42" s="184" t="str">
        <f>IF('Option 1'!E42="","",'Option 1'!E42)</f>
        <v/>
      </c>
      <c r="F42" s="184" t="str">
        <f>IF('Option 1'!F42="","",'Option 1'!F42)</f>
        <v/>
      </c>
      <c r="G42" s="184" t="str">
        <f>IF('Option 1'!G42="","",'Option 1'!G42)</f>
        <v/>
      </c>
      <c r="H42" s="184" t="str">
        <f>IF('Option 1'!H42="","",'Option 1'!H42)</f>
        <v/>
      </c>
      <c r="I42" s="184" t="str">
        <f>IF('Option 1'!I42="","",'Option 1'!I42)</f>
        <v/>
      </c>
      <c r="J42" s="184" t="str">
        <f>IF('Option 1'!J42="","",'Option 1'!J42)</f>
        <v/>
      </c>
      <c r="K42" s="184" t="str">
        <f>IF('Option 1'!K42="","",'Option 1'!K42)</f>
        <v/>
      </c>
      <c r="L42" s="184" t="str">
        <f>IF('Option 1'!L42="","",'Option 1'!L42)</f>
        <v/>
      </c>
      <c r="M42" s="184" t="str">
        <f>IF('Option 1'!M42="","",'Option 1'!M42)</f>
        <v/>
      </c>
      <c r="N42" s="184" t="str">
        <f>IF('Option 1'!N42="","",'Option 1'!N42)</f>
        <v/>
      </c>
      <c r="O42" s="184" t="str">
        <f>IF('Option 1'!O42="","",'Option 1'!O42)</f>
        <v/>
      </c>
      <c r="P42" s="124">
        <f t="shared" si="8"/>
        <v>0</v>
      </c>
    </row>
    <row r="43" spans="1:16" ht="15.75" customHeight="1" x14ac:dyDescent="0.25">
      <c r="A43" s="239"/>
      <c r="B43" s="4" t="str">
        <f>IF('Option 1'!B43="","",'Option 1'!B43)</f>
        <v/>
      </c>
      <c r="C43" s="182" t="str">
        <f>IF('Option 1'!C43="","",'Option 1'!C43)</f>
        <v>Rear Concrete Walks</v>
      </c>
      <c r="D43" s="183" t="str">
        <f>IF('Option 1'!D43="","",'Option 1'!D43)</f>
        <v/>
      </c>
      <c r="E43" s="184">
        <f>IF('Option 1'!E43="","",'Option 1'!E43)</f>
        <v>27835</v>
      </c>
      <c r="F43" s="184" t="str">
        <f>IF('Option 1'!F43="","",'Option 1'!F43)</f>
        <v/>
      </c>
      <c r="G43" s="184" t="str">
        <f>IF('Option 1'!G43="","",'Option 1'!G43)</f>
        <v/>
      </c>
      <c r="H43" s="184" t="str">
        <f>IF('Option 1'!H43="","",'Option 1'!H43)</f>
        <v/>
      </c>
      <c r="I43" s="184" t="str">
        <f>IF('Option 1'!I43="","",'Option 1'!I43)</f>
        <v/>
      </c>
      <c r="J43" s="184" t="str">
        <f>IF('Option 1'!J43="","",'Option 1'!J43)</f>
        <v/>
      </c>
      <c r="K43" s="184" t="str">
        <f>IF('Option 1'!K43="","",'Option 1'!K43)</f>
        <v/>
      </c>
      <c r="L43" s="184" t="str">
        <f>IF('Option 1'!L43="","",'Option 1'!L43)</f>
        <v/>
      </c>
      <c r="M43" s="184" t="str">
        <f>IF('Option 1'!M43="","",'Option 1'!M43)</f>
        <v/>
      </c>
      <c r="N43" s="184" t="str">
        <f>IF('Option 1'!N43="","",'Option 1'!N43)</f>
        <v/>
      </c>
      <c r="O43" s="184" t="str">
        <f>IF('Option 1'!O43="","",'Option 1'!O43)</f>
        <v/>
      </c>
      <c r="P43" s="124">
        <f t="shared" si="8"/>
        <v>27835</v>
      </c>
    </row>
    <row r="44" spans="1:16" ht="15.75" customHeight="1" x14ac:dyDescent="0.25">
      <c r="A44" s="239"/>
      <c r="B44" s="4" t="str">
        <f>IF('Option 1'!B44="","",'Option 1'!B44)</f>
        <v/>
      </c>
      <c r="C44" s="182" t="str">
        <f>IF('Option 1'!C44="","",'Option 1'!C44)</f>
        <v>Brick Paver Entry Walks (Bldgs. 1405, 1515, 1605, &amp; 1615)</v>
      </c>
      <c r="D44" s="183" t="str">
        <f>IF('Option 1'!D44="","",'Option 1'!D44)</f>
        <v/>
      </c>
      <c r="E44" s="184" t="str">
        <f>IF('Option 1'!E44="","",'Option 1'!E44)</f>
        <v/>
      </c>
      <c r="F44" s="184" t="str">
        <f>IF('Option 1'!F44="","",'Option 1'!F44)</f>
        <v/>
      </c>
      <c r="G44" s="184" t="str">
        <f>IF('Option 1'!G44="","",'Option 1'!G44)</f>
        <v/>
      </c>
      <c r="H44" s="184" t="str">
        <f>IF('Option 1'!H44="","",'Option 1'!H44)</f>
        <v/>
      </c>
      <c r="I44" s="184" t="str">
        <f>IF('Option 1'!I44="","",'Option 1'!I44)</f>
        <v/>
      </c>
      <c r="J44" s="184" t="str">
        <f>IF('Option 1'!J44="","",'Option 1'!J44)</f>
        <v/>
      </c>
      <c r="K44" s="184" t="str">
        <f>IF('Option 1'!K44="","",'Option 1'!K44)</f>
        <v/>
      </c>
      <c r="L44" s="184" t="str">
        <f>IF('Option 1'!L44="","",'Option 1'!L44)</f>
        <v/>
      </c>
      <c r="M44" s="184" t="str">
        <f>IF('Option 1'!M44="","",'Option 1'!M44)</f>
        <v/>
      </c>
      <c r="N44" s="184" t="str">
        <f>IF('Option 1'!N44="","",'Option 1'!N44)</f>
        <v/>
      </c>
      <c r="O44" s="184" t="str">
        <f>IF('Option 1'!O44="","",'Option 1'!O44)</f>
        <v/>
      </c>
      <c r="P44" s="124">
        <f t="shared" si="8"/>
        <v>0</v>
      </c>
    </row>
    <row r="45" spans="1:16" ht="15.75" customHeight="1" x14ac:dyDescent="0.25">
      <c r="A45" s="239"/>
      <c r="B45" s="4" t="str">
        <f>IF('Option 1'!B45="","",'Option 1'!B45)</f>
        <v/>
      </c>
      <c r="C45" s="182" t="str">
        <f>IF('Option 1'!C45="","",'Option 1'!C45)</f>
        <v>Brick Paver Entry Walks (Bldgs. 1415 &amp; 1505)</v>
      </c>
      <c r="D45" s="183" t="str">
        <f>IF('Option 1'!D45="","",'Option 1'!D45)</f>
        <v/>
      </c>
      <c r="E45" s="184" t="str">
        <f>IF('Option 1'!E45="","",'Option 1'!E45)</f>
        <v/>
      </c>
      <c r="F45" s="184" t="str">
        <f>IF('Option 1'!F45="","",'Option 1'!F45)</f>
        <v/>
      </c>
      <c r="G45" s="184" t="str">
        <f>IF('Option 1'!G45="","",'Option 1'!G45)</f>
        <v/>
      </c>
      <c r="H45" s="184" t="str">
        <f>IF('Option 1'!H45="","",'Option 1'!H45)</f>
        <v/>
      </c>
      <c r="I45" s="184" t="str">
        <f>IF('Option 1'!I45="","",'Option 1'!I45)</f>
        <v/>
      </c>
      <c r="J45" s="184" t="str">
        <f>IF('Option 1'!J45="","",'Option 1'!J45)</f>
        <v/>
      </c>
      <c r="K45" s="184" t="str">
        <f>IF('Option 1'!K45="","",'Option 1'!K45)</f>
        <v/>
      </c>
      <c r="L45" s="184" t="str">
        <f>IF('Option 1'!L45="","",'Option 1'!L45)</f>
        <v/>
      </c>
      <c r="M45" s="184" t="str">
        <f>IF('Option 1'!M45="","",'Option 1'!M45)</f>
        <v/>
      </c>
      <c r="N45" s="184" t="str">
        <f>IF('Option 1'!N45="","",'Option 1'!N45)</f>
        <v/>
      </c>
      <c r="O45" s="184" t="str">
        <f>IF('Option 1'!O45="","",'Option 1'!O45)</f>
        <v/>
      </c>
      <c r="P45" s="124">
        <f t="shared" si="8"/>
        <v>0</v>
      </c>
    </row>
    <row r="46" spans="1:16" ht="15.75" customHeight="1" x14ac:dyDescent="0.25">
      <c r="A46" s="239"/>
      <c r="B46" s="4" t="str">
        <f>IF('Option 1'!B46="","",'Option 1'!B46)</f>
        <v/>
      </c>
      <c r="C46" s="182" t="str">
        <f>IF('Option 1'!C46="","",'Option 1'!C46)</f>
        <v>Stone Paver Walks (Concrete)</v>
      </c>
      <c r="D46" s="183" t="str">
        <f>IF('Option 1'!D46="","",'Option 1'!D46)</f>
        <v/>
      </c>
      <c r="E46" s="184" t="str">
        <f>IF('Option 1'!E46="","",'Option 1'!E46)</f>
        <v/>
      </c>
      <c r="F46" s="184" t="str">
        <f>IF('Option 1'!F46="","",'Option 1'!F46)</f>
        <v/>
      </c>
      <c r="G46" s="184" t="str">
        <f>IF('Option 1'!G46="","",'Option 1'!G46)</f>
        <v/>
      </c>
      <c r="H46" s="184" t="str">
        <f>IF('Option 1'!H46="","",'Option 1'!H46)</f>
        <v/>
      </c>
      <c r="I46" s="184" t="str">
        <f>IF('Option 1'!I46="","",'Option 1'!I46)</f>
        <v/>
      </c>
      <c r="J46" s="184" t="str">
        <f>IF('Option 1'!J46="","",'Option 1'!J46)</f>
        <v/>
      </c>
      <c r="K46" s="184" t="str">
        <f>IF('Option 1'!K46="","",'Option 1'!K46)</f>
        <v/>
      </c>
      <c r="L46" s="184" t="str">
        <f>IF('Option 1'!L46="","",'Option 1'!L46)</f>
        <v/>
      </c>
      <c r="M46" s="184" t="str">
        <f>IF('Option 1'!M46="","",'Option 1'!M46)</f>
        <v/>
      </c>
      <c r="N46" s="184" t="str">
        <f>IF('Option 1'!N46="","",'Option 1'!N46)</f>
        <v/>
      </c>
      <c r="O46" s="184" t="str">
        <f>IF('Option 1'!O46="","",'Option 1'!O46)</f>
        <v/>
      </c>
      <c r="P46" s="124">
        <f t="shared" si="8"/>
        <v>0</v>
      </c>
    </row>
    <row r="47" spans="1:16" ht="15.75" customHeight="1" x14ac:dyDescent="0.25">
      <c r="A47" s="239"/>
      <c r="B47" s="4" t="str">
        <f>IF('Option 1'!B47="","",'Option 1'!B47)</f>
        <v/>
      </c>
      <c r="C47" s="182" t="str">
        <f>IF('Option 1'!C47="","",'Option 1'!C47)</f>
        <v>Concrete Trash Pads</v>
      </c>
      <c r="D47" s="183" t="str">
        <f>IF('Option 1'!D47="","",'Option 1'!D47)</f>
        <v/>
      </c>
      <c r="E47" s="184" t="str">
        <f>IF('Option 1'!E47="","",'Option 1'!E47)</f>
        <v/>
      </c>
      <c r="F47" s="184" t="str">
        <f>IF('Option 1'!F47="","",'Option 1'!F47)</f>
        <v/>
      </c>
      <c r="G47" s="184" t="str">
        <f>IF('Option 1'!G47="","",'Option 1'!G47)</f>
        <v/>
      </c>
      <c r="H47" s="184" t="str">
        <f>IF('Option 1'!H47="","",'Option 1'!H47)</f>
        <v/>
      </c>
      <c r="I47" s="184" t="str">
        <f>IF('Option 1'!I47="","",'Option 1'!I47)</f>
        <v/>
      </c>
      <c r="J47" s="184" t="str">
        <f>IF('Option 1'!J47="","",'Option 1'!J47)</f>
        <v/>
      </c>
      <c r="K47" s="184" t="str">
        <f>IF('Option 1'!K47="","",'Option 1'!K47)</f>
        <v/>
      </c>
      <c r="L47" s="184" t="str">
        <f>IF('Option 1'!L47="","",'Option 1'!L47)</f>
        <v/>
      </c>
      <c r="M47" s="184" t="str">
        <f>IF('Option 1'!M47="","",'Option 1'!M47)</f>
        <v/>
      </c>
      <c r="N47" s="184">
        <f>IF('Option 1'!N47="","",'Option 1'!N47)</f>
        <v>30456</v>
      </c>
      <c r="O47" s="184" t="str">
        <f>IF('Option 1'!O47="","",'Option 1'!O47)</f>
        <v/>
      </c>
      <c r="P47" s="124">
        <f t="shared" si="8"/>
        <v>30456</v>
      </c>
    </row>
    <row r="48" spans="1:16" ht="15.75" customHeight="1" x14ac:dyDescent="0.25">
      <c r="A48" s="239"/>
      <c r="B48" s="4" t="str">
        <f>IF('Option 1'!B48="","",'Option 1'!B48)</f>
        <v/>
      </c>
      <c r="C48" s="182" t="str">
        <f>IF('Option 1'!C48="","",'Option 1'!C48)</f>
        <v>Split Rail Fence</v>
      </c>
      <c r="D48" s="183" t="str">
        <f>IF('Option 1'!D48="","",'Option 1'!D48)</f>
        <v/>
      </c>
      <c r="E48" s="184" t="str">
        <f>IF('Option 1'!E48="","",'Option 1'!E48)</f>
        <v/>
      </c>
      <c r="F48" s="184" t="str">
        <f>IF('Option 1'!F48="","",'Option 1'!F48)</f>
        <v/>
      </c>
      <c r="G48" s="184" t="str">
        <f>IF('Option 1'!G48="","",'Option 1'!G48)</f>
        <v/>
      </c>
      <c r="H48" s="184" t="str">
        <f>IF('Option 1'!H48="","",'Option 1'!H48)</f>
        <v/>
      </c>
      <c r="I48" s="184" t="str">
        <f>IF('Option 1'!I48="","",'Option 1'!I48)</f>
        <v/>
      </c>
      <c r="J48" s="184" t="str">
        <f>IF('Option 1'!J48="","",'Option 1'!J48)</f>
        <v/>
      </c>
      <c r="K48" s="184" t="str">
        <f>IF('Option 1'!K48="","",'Option 1'!K48)</f>
        <v/>
      </c>
      <c r="L48" s="184" t="str">
        <f>IF('Option 1'!L48="","",'Option 1'!L48)</f>
        <v/>
      </c>
      <c r="M48" s="184" t="str">
        <f>IF('Option 1'!M48="","",'Option 1'!M48)</f>
        <v/>
      </c>
      <c r="N48" s="184" t="str">
        <f>IF('Option 1'!N48="","",'Option 1'!N48)</f>
        <v/>
      </c>
      <c r="O48" s="184" t="str">
        <f>IF('Option 1'!O48="","",'Option 1'!O48)</f>
        <v/>
      </c>
      <c r="P48" s="124">
        <f t="shared" si="8"/>
        <v>0</v>
      </c>
    </row>
    <row r="49" spans="1:16" ht="15.75" customHeight="1" x14ac:dyDescent="0.25">
      <c r="A49" s="239"/>
      <c r="B49" s="4" t="str">
        <f>IF('Option 1'!B49="","",'Option 1'!B49)</f>
        <v/>
      </c>
      <c r="C49" s="182" t="str">
        <f>IF('Option 1'!C49="","",'Option 1'!C49)</f>
        <v>Chain Link Fence at SW (5')</v>
      </c>
      <c r="D49" s="183" t="str">
        <f>IF('Option 1'!D49="","",'Option 1'!D49)</f>
        <v/>
      </c>
      <c r="E49" s="184" t="str">
        <f>IF('Option 1'!E49="","",'Option 1'!E49)</f>
        <v/>
      </c>
      <c r="F49" s="184" t="str">
        <f>IF('Option 1'!F49="","",'Option 1'!F49)</f>
        <v/>
      </c>
      <c r="G49" s="184" t="str">
        <f>IF('Option 1'!G49="","",'Option 1'!G49)</f>
        <v/>
      </c>
      <c r="H49" s="184" t="str">
        <f>IF('Option 1'!H49="","",'Option 1'!H49)</f>
        <v/>
      </c>
      <c r="I49" s="184" t="str">
        <f>IF('Option 1'!I49="","",'Option 1'!I49)</f>
        <v/>
      </c>
      <c r="J49" s="184" t="str">
        <f>IF('Option 1'!J49="","",'Option 1'!J49)</f>
        <v/>
      </c>
      <c r="K49" s="184" t="str">
        <f>IF('Option 1'!K49="","",'Option 1'!K49)</f>
        <v/>
      </c>
      <c r="L49" s="184" t="str">
        <f>IF('Option 1'!L49="","",'Option 1'!L49)</f>
        <v/>
      </c>
      <c r="M49" s="184" t="str">
        <f>IF('Option 1'!M49="","",'Option 1'!M49)</f>
        <v/>
      </c>
      <c r="N49" s="184" t="str">
        <f>IF('Option 1'!N49="","",'Option 1'!N49)</f>
        <v/>
      </c>
      <c r="O49" s="184" t="str">
        <f>IF('Option 1'!O49="","",'Option 1'!O49)</f>
        <v/>
      </c>
      <c r="P49" s="124">
        <f t="shared" si="8"/>
        <v>0</v>
      </c>
    </row>
    <row r="50" spans="1:16" ht="15.75" customHeight="1" x14ac:dyDescent="0.25">
      <c r="A50" s="239"/>
      <c r="B50" s="4" t="str">
        <f>IF('Option 1'!B50="","",'Option 1'!B50)</f>
        <v/>
      </c>
      <c r="C50" s="182" t="str">
        <f>IF('Option 1'!C50="","",'Option 1'!C50)</f>
        <v>Chain Link Fence (6')</v>
      </c>
      <c r="D50" s="183" t="str">
        <f>IF('Option 1'!D50="","",'Option 1'!D50)</f>
        <v/>
      </c>
      <c r="E50" s="184" t="str">
        <f>IF('Option 1'!E50="","",'Option 1'!E50)</f>
        <v/>
      </c>
      <c r="F50" s="184" t="str">
        <f>IF('Option 1'!F50="","",'Option 1'!F50)</f>
        <v/>
      </c>
      <c r="G50" s="184" t="str">
        <f>IF('Option 1'!G50="","",'Option 1'!G50)</f>
        <v/>
      </c>
      <c r="H50" s="184" t="str">
        <f>IF('Option 1'!H50="","",'Option 1'!H50)</f>
        <v/>
      </c>
      <c r="I50" s="184" t="str">
        <f>IF('Option 1'!I50="","",'Option 1'!I50)</f>
        <v/>
      </c>
      <c r="J50" s="184" t="str">
        <f>IF('Option 1'!J50="","",'Option 1'!J50)</f>
        <v/>
      </c>
      <c r="K50" s="184" t="str">
        <f>IF('Option 1'!K50="","",'Option 1'!K50)</f>
        <v/>
      </c>
      <c r="L50" s="184" t="str">
        <f>IF('Option 1'!L50="","",'Option 1'!L50)</f>
        <v/>
      </c>
      <c r="M50" s="184" t="str">
        <f>IF('Option 1'!M50="","",'Option 1'!M50)</f>
        <v/>
      </c>
      <c r="N50" s="184" t="str">
        <f>IF('Option 1'!N50="","",'Option 1'!N50)</f>
        <v/>
      </c>
      <c r="O50" s="184" t="str">
        <f>IF('Option 1'!O50="","",'Option 1'!O50)</f>
        <v/>
      </c>
      <c r="P50" s="124">
        <f t="shared" si="8"/>
        <v>0</v>
      </c>
    </row>
    <row r="51" spans="1:16" ht="15.75" customHeight="1" x14ac:dyDescent="0.25">
      <c r="A51" s="239"/>
      <c r="B51" s="4" t="str">
        <f>IF('Option 1'!B51="","",'Option 1'!B51)</f>
        <v/>
      </c>
      <c r="C51" s="182" t="str">
        <f>IF('Option 1'!C51="","",'Option 1'!C51)</f>
        <v>Patio Aluminum Fence</v>
      </c>
      <c r="D51" s="183" t="str">
        <f>IF('Option 1'!D51="","",'Option 1'!D51)</f>
        <v/>
      </c>
      <c r="E51" s="184" t="str">
        <f>IF('Option 1'!E51="","",'Option 1'!E51)</f>
        <v/>
      </c>
      <c r="F51" s="184" t="str">
        <f>IF('Option 1'!F51="","",'Option 1'!F51)</f>
        <v/>
      </c>
      <c r="G51" s="184" t="str">
        <f>IF('Option 1'!G51="","",'Option 1'!G51)</f>
        <v/>
      </c>
      <c r="H51" s="184" t="str">
        <f>IF('Option 1'!H51="","",'Option 1'!H51)</f>
        <v/>
      </c>
      <c r="I51" s="184" t="str">
        <f>IF('Option 1'!I51="","",'Option 1'!I51)</f>
        <v/>
      </c>
      <c r="J51" s="184" t="str">
        <f>IF('Option 1'!J51="","",'Option 1'!J51)</f>
        <v/>
      </c>
      <c r="K51" s="184" t="str">
        <f>IF('Option 1'!K51="","",'Option 1'!K51)</f>
        <v/>
      </c>
      <c r="L51" s="184" t="str">
        <f>IF('Option 1'!L51="","",'Option 1'!L51)</f>
        <v/>
      </c>
      <c r="M51" s="184" t="str">
        <f>IF('Option 1'!M51="","",'Option 1'!M51)</f>
        <v/>
      </c>
      <c r="N51" s="184" t="str">
        <f>IF('Option 1'!N51="","",'Option 1'!N51)</f>
        <v/>
      </c>
      <c r="O51" s="184" t="str">
        <f>IF('Option 1'!O51="","",'Option 1'!O51)</f>
        <v/>
      </c>
      <c r="P51" s="124">
        <f t="shared" si="8"/>
        <v>0</v>
      </c>
    </row>
    <row r="52" spans="1:16" ht="15.75" customHeight="1" x14ac:dyDescent="0.25">
      <c r="A52" s="239"/>
      <c r="B52" s="4" t="str">
        <f>IF('Option 1'!B52="","",'Option 1'!B52)</f>
        <v/>
      </c>
      <c r="C52" s="182" t="str">
        <f>IF('Option 1'!C52="","",'Option 1'!C52)</f>
        <v>Concrete Retaining Walls</v>
      </c>
      <c r="D52" s="186" t="str">
        <f>IF('Option 1'!D52="","",'Option 1'!D52)</f>
        <v/>
      </c>
      <c r="E52" s="184" t="str">
        <f>IF('Option 1'!E52="","",'Option 1'!E52)</f>
        <v/>
      </c>
      <c r="F52" s="184" t="str">
        <f>IF('Option 1'!F52="","",'Option 1'!F52)</f>
        <v/>
      </c>
      <c r="G52" s="184" t="str">
        <f>IF('Option 1'!G52="","",'Option 1'!G52)</f>
        <v/>
      </c>
      <c r="H52" s="184" t="str">
        <f>IF('Option 1'!H52="","",'Option 1'!H52)</f>
        <v/>
      </c>
      <c r="I52" s="184" t="str">
        <f>IF('Option 1'!I52="","",'Option 1'!I52)</f>
        <v/>
      </c>
      <c r="J52" s="184" t="str">
        <f>IF('Option 1'!J52="","",'Option 1'!J52)</f>
        <v/>
      </c>
      <c r="K52" s="184" t="str">
        <f>IF('Option 1'!K52="","",'Option 1'!K52)</f>
        <v/>
      </c>
      <c r="L52" s="184" t="str">
        <f>IF('Option 1'!L52="","",'Option 1'!L52)</f>
        <v/>
      </c>
      <c r="M52" s="184" t="str">
        <f>IF('Option 1'!M52="","",'Option 1'!M52)</f>
        <v/>
      </c>
      <c r="N52" s="184" t="str">
        <f>IF('Option 1'!N52="","",'Option 1'!N52)</f>
        <v/>
      </c>
      <c r="O52" s="184" t="str">
        <f>IF('Option 1'!O52="","",'Option 1'!O52)</f>
        <v/>
      </c>
      <c r="P52" s="124">
        <f t="shared" si="8"/>
        <v>0</v>
      </c>
    </row>
    <row r="53" spans="1:16" ht="15.75" customHeight="1" x14ac:dyDescent="0.25">
      <c r="A53" s="239"/>
      <c r="B53" s="4" t="str">
        <f>IF('Option 1'!B53="","",'Option 1'!B53)</f>
        <v/>
      </c>
      <c r="C53" s="182" t="str">
        <f>IF('Option 1'!C53="","",'Option 1'!C53)</f>
        <v>Ramp Trench Drains</v>
      </c>
      <c r="D53" s="186" t="str">
        <f>IF('Option 1'!D53="","",'Option 1'!D53)</f>
        <v/>
      </c>
      <c r="E53" s="184" t="str">
        <f>IF('Option 1'!E53="","",'Option 1'!E53)</f>
        <v/>
      </c>
      <c r="F53" s="184" t="str">
        <f>IF('Option 1'!F53="","",'Option 1'!F53)</f>
        <v/>
      </c>
      <c r="G53" s="184" t="str">
        <f>IF('Option 1'!G53="","",'Option 1'!G53)</f>
        <v/>
      </c>
      <c r="H53" s="184" t="str">
        <f>IF('Option 1'!H53="","",'Option 1'!H53)</f>
        <v/>
      </c>
      <c r="I53" s="184" t="str">
        <f>IF('Option 1'!I53="","",'Option 1'!I53)</f>
        <v/>
      </c>
      <c r="J53" s="184" t="str">
        <f>IF('Option 1'!J53="","",'Option 1'!J53)</f>
        <v/>
      </c>
      <c r="K53" s="184" t="str">
        <f>IF('Option 1'!K53="","",'Option 1'!K53)</f>
        <v/>
      </c>
      <c r="L53" s="184" t="str">
        <f>IF('Option 1'!L53="","",'Option 1'!L53)</f>
        <v/>
      </c>
      <c r="M53" s="184" t="str">
        <f>IF('Option 1'!M53="","",'Option 1'!M53)</f>
        <v/>
      </c>
      <c r="N53" s="184">
        <f>IF('Option 1'!N53="","",'Option 1'!N53)</f>
        <v>41516</v>
      </c>
      <c r="O53" s="184" t="str">
        <f>IF('Option 1'!O53="","",'Option 1'!O53)</f>
        <v/>
      </c>
      <c r="P53" s="124">
        <f t="shared" si="8"/>
        <v>41516</v>
      </c>
    </row>
    <row r="54" spans="1:16" ht="15.75" customHeight="1" x14ac:dyDescent="0.25">
      <c r="A54" s="239"/>
      <c r="B54" s="4" t="str">
        <f>IF('Option 1'!B54="","",'Option 1'!B54)</f>
        <v/>
      </c>
      <c r="C54" s="182" t="str">
        <f>IF('Option 1'!C54="","",'Option 1'!C54)</f>
        <v xml:space="preserve">Patios </v>
      </c>
      <c r="D54" s="187" t="str">
        <f>IF('Option 1'!D54="","",'Option 1'!D54)</f>
        <v/>
      </c>
      <c r="E54" s="184" t="str">
        <f>IF('Option 1'!E54="","",'Option 1'!E54)</f>
        <v/>
      </c>
      <c r="F54" s="184" t="str">
        <f>IF('Option 1'!F54="","",'Option 1'!F54)</f>
        <v/>
      </c>
      <c r="G54" s="184" t="str">
        <f>IF('Option 1'!G54="","",'Option 1'!G54)</f>
        <v/>
      </c>
      <c r="H54" s="184" t="str">
        <f>IF('Option 1'!H54="","",'Option 1'!H54)</f>
        <v/>
      </c>
      <c r="I54" s="184" t="str">
        <f>IF('Option 1'!I54="","",'Option 1'!I54)</f>
        <v/>
      </c>
      <c r="J54" s="184" t="str">
        <f>IF('Option 1'!J54="","",'Option 1'!J54)</f>
        <v/>
      </c>
      <c r="K54" s="184" t="str">
        <f>IF('Option 1'!K54="","",'Option 1'!K54)</f>
        <v/>
      </c>
      <c r="L54" s="184" t="str">
        <f>IF('Option 1'!L54="","",'Option 1'!L54)</f>
        <v/>
      </c>
      <c r="M54" s="184" t="str">
        <f>IF('Option 1'!M54="","",'Option 1'!M54)</f>
        <v/>
      </c>
      <c r="N54" s="184" t="str">
        <f>IF('Option 1'!N54="","",'Option 1'!N54)</f>
        <v/>
      </c>
      <c r="O54" s="184" t="str">
        <f>IF('Option 1'!O54="","",'Option 1'!O54)</f>
        <v/>
      </c>
      <c r="P54" s="124">
        <f t="shared" si="8"/>
        <v>0</v>
      </c>
    </row>
    <row r="55" spans="1:16" ht="15.75" customHeight="1" x14ac:dyDescent="0.25">
      <c r="A55" s="239"/>
      <c r="B55" s="4" t="str">
        <f>IF('Option 1'!B55="","",'Option 1'!B55)</f>
        <v/>
      </c>
      <c r="C55" s="182" t="str">
        <f>IF('Option 1'!C55="","",'Option 1'!C55)</f>
        <v>Entry Monuments</v>
      </c>
      <c r="D55" s="186" t="str">
        <f>IF('Option 1'!D55="","",'Option 1'!D55)</f>
        <v/>
      </c>
      <c r="E55" s="184" t="str">
        <f>IF('Option 1'!E55="","",'Option 1'!E55)</f>
        <v/>
      </c>
      <c r="F55" s="184" t="str">
        <f>IF('Option 1'!F55="","",'Option 1'!F55)</f>
        <v/>
      </c>
      <c r="G55" s="184" t="str">
        <f>IF('Option 1'!G55="","",'Option 1'!G55)</f>
        <v/>
      </c>
      <c r="H55" s="184">
        <f>IF('Option 1'!H55="","",'Option 1'!H55)</f>
        <v>2076</v>
      </c>
      <c r="I55" s="184" t="str">
        <f>IF('Option 1'!I55="","",'Option 1'!I55)</f>
        <v/>
      </c>
      <c r="J55" s="184" t="str">
        <f>IF('Option 1'!J55="","",'Option 1'!J55)</f>
        <v/>
      </c>
      <c r="K55" s="184" t="str">
        <f>IF('Option 1'!K55="","",'Option 1'!K55)</f>
        <v/>
      </c>
      <c r="L55" s="184" t="str">
        <f>IF('Option 1'!L55="","",'Option 1'!L55)</f>
        <v/>
      </c>
      <c r="M55" s="184" t="str">
        <f>IF('Option 1'!M55="","",'Option 1'!M55)</f>
        <v/>
      </c>
      <c r="N55" s="184" t="str">
        <f>IF('Option 1'!N55="","",'Option 1'!N55)</f>
        <v/>
      </c>
      <c r="O55" s="184" t="str">
        <f>IF('Option 1'!O55="","",'Option 1'!O55)</f>
        <v/>
      </c>
      <c r="P55" s="124">
        <f t="shared" si="8"/>
        <v>2076</v>
      </c>
    </row>
    <row r="56" spans="1:16" ht="15.75" customHeight="1" x14ac:dyDescent="0.25">
      <c r="A56" s="239"/>
      <c r="B56" s="4" t="str">
        <f>IF('Option 1'!B56="","",'Option 1'!B56)</f>
        <v/>
      </c>
      <c r="C56" s="182" t="str">
        <f>IF('Option 1'!C56="","",'Option 1'!C56)</f>
        <v>Chain Link Fence (6' at 1605 S Line)</v>
      </c>
      <c r="D56" s="186" t="str">
        <f>IF('Option 1'!D56="","",'Option 1'!D56)</f>
        <v/>
      </c>
      <c r="E56" s="184" t="str">
        <f>IF('Option 1'!E56="","",'Option 1'!E56)</f>
        <v/>
      </c>
      <c r="F56" s="184" t="str">
        <f>IF('Option 1'!F56="","",'Option 1'!F56)</f>
        <v/>
      </c>
      <c r="G56" s="184" t="str">
        <f>IF('Option 1'!G56="","",'Option 1'!G56)</f>
        <v/>
      </c>
      <c r="H56" s="184" t="str">
        <f>IF('Option 1'!H56="","",'Option 1'!H56)</f>
        <v/>
      </c>
      <c r="I56" s="184" t="str">
        <f>IF('Option 1'!I56="","",'Option 1'!I56)</f>
        <v/>
      </c>
      <c r="J56" s="184" t="str">
        <f>IF('Option 1'!J56="","",'Option 1'!J56)</f>
        <v/>
      </c>
      <c r="K56" s="184" t="str">
        <f>IF('Option 1'!K56="","",'Option 1'!K56)</f>
        <v/>
      </c>
      <c r="L56" s="184" t="str">
        <f>IF('Option 1'!L56="","",'Option 1'!L56)</f>
        <v/>
      </c>
      <c r="M56" s="184" t="str">
        <f>IF('Option 1'!M56="","",'Option 1'!M56)</f>
        <v/>
      </c>
      <c r="N56" s="184" t="str">
        <f>IF('Option 1'!N56="","",'Option 1'!N56)</f>
        <v/>
      </c>
      <c r="O56" s="184" t="str">
        <f>IF('Option 1'!O56="","",'Option 1'!O56)</f>
        <v/>
      </c>
      <c r="P56" s="124">
        <f t="shared" si="8"/>
        <v>0</v>
      </c>
    </row>
    <row r="57" spans="1:16" ht="15.75" customHeight="1" x14ac:dyDescent="0.25">
      <c r="A57" s="239"/>
      <c r="B57" s="4" t="str">
        <f>IF('Option 1'!B57="","",'Option 1'!B57)</f>
        <v/>
      </c>
      <c r="C57" s="3" t="str">
        <f>IF('Option 1'!C57="","",'Option 1'!C57)</f>
        <v>Waterproofing Elements</v>
      </c>
      <c r="D57" s="186" t="str">
        <f>IF('Option 1'!D57="","",'Option 1'!D57)</f>
        <v/>
      </c>
      <c r="E57" s="184" t="str">
        <f>IF('Option 1'!E57="","",'Option 1'!E57)</f>
        <v/>
      </c>
      <c r="F57" s="184" t="str">
        <f>IF('Option 1'!F57="","",'Option 1'!F57)</f>
        <v/>
      </c>
      <c r="G57" s="184" t="str">
        <f>IF('Option 1'!G57="","",'Option 1'!G57)</f>
        <v/>
      </c>
      <c r="H57" s="184" t="str">
        <f>IF('Option 1'!H57="","",'Option 1'!H57)</f>
        <v/>
      </c>
      <c r="I57" s="184" t="str">
        <f>IF('Option 1'!I57="","",'Option 1'!I57)</f>
        <v/>
      </c>
      <c r="J57" s="184" t="str">
        <f>IF('Option 1'!J57="","",'Option 1'!J57)</f>
        <v/>
      </c>
      <c r="K57" s="184" t="str">
        <f>IF('Option 1'!K57="","",'Option 1'!K57)</f>
        <v/>
      </c>
      <c r="L57" s="184" t="str">
        <f>IF('Option 1'!L57="","",'Option 1'!L57)</f>
        <v/>
      </c>
      <c r="M57" s="184" t="str">
        <f>IF('Option 1'!M57="","",'Option 1'!M57)</f>
        <v/>
      </c>
      <c r="N57" s="184" t="str">
        <f>IF('Option 1'!N57="","",'Option 1'!N57)</f>
        <v/>
      </c>
      <c r="O57" s="184" t="str">
        <f>IF('Option 1'!O57="","",'Option 1'!O57)</f>
        <v/>
      </c>
      <c r="P57" s="124">
        <f t="shared" si="8"/>
        <v>0</v>
      </c>
    </row>
    <row r="58" spans="1:16" ht="15.75" customHeight="1" x14ac:dyDescent="0.25">
      <c r="A58" s="239"/>
      <c r="B58" s="4" t="str">
        <f>IF('Option 1'!B58="","",'Option 1'!B58)</f>
        <v/>
      </c>
      <c r="C58" s="182" t="str">
        <f>IF('Option 1'!C58="","",'Option 1'!C58)</f>
        <v>Metal Fascia (1505 A &amp; B Wings)</v>
      </c>
      <c r="D58" s="186" t="str">
        <f>IF('Option 1'!D58="","",'Option 1'!D58)</f>
        <v/>
      </c>
      <c r="E58" s="184" t="str">
        <f>IF('Option 1'!E58="","",'Option 1'!E58)</f>
        <v/>
      </c>
      <c r="F58" s="184" t="str">
        <f>IF('Option 1'!F58="","",'Option 1'!F58)</f>
        <v/>
      </c>
      <c r="G58" s="184" t="str">
        <f>IF('Option 1'!G58="","",'Option 1'!G58)</f>
        <v/>
      </c>
      <c r="H58" s="184" t="str">
        <f>IF('Option 1'!H58="","",'Option 1'!H58)</f>
        <v/>
      </c>
      <c r="I58" s="184" t="str">
        <f>IF('Option 1'!I58="","",'Option 1'!I58)</f>
        <v/>
      </c>
      <c r="J58" s="184" t="str">
        <f>IF('Option 1'!J58="","",'Option 1'!J58)</f>
        <v/>
      </c>
      <c r="K58" s="184" t="str">
        <f>IF('Option 1'!K58="","",'Option 1'!K58)</f>
        <v/>
      </c>
      <c r="L58" s="184" t="str">
        <f>IF('Option 1'!L58="","",'Option 1'!L58)</f>
        <v/>
      </c>
      <c r="M58" s="184" t="str">
        <f>IF('Option 1'!M58="","",'Option 1'!M58)</f>
        <v/>
      </c>
      <c r="N58" s="184" t="str">
        <f>IF('Option 1'!N58="","",'Option 1'!N58)</f>
        <v/>
      </c>
      <c r="O58" s="184" t="str">
        <f>IF('Option 1'!O58="","",'Option 1'!O58)</f>
        <v/>
      </c>
      <c r="P58" s="124">
        <f t="shared" si="8"/>
        <v>0</v>
      </c>
    </row>
    <row r="59" spans="1:16" ht="15.75" customHeight="1" x14ac:dyDescent="0.25">
      <c r="A59" s="239"/>
      <c r="B59" s="4" t="str">
        <f>IF('Option 1'!B59="","",'Option 1'!B59)</f>
        <v/>
      </c>
      <c r="C59" s="182" t="str">
        <f>IF('Option 1'!C59="","",'Option 1'!C59)</f>
        <v>Shingle Roofing (Clubhouse)</v>
      </c>
      <c r="D59" s="186" t="str">
        <f>IF('Option 1'!D59="","",'Option 1'!D59)</f>
        <v/>
      </c>
      <c r="E59" s="184">
        <f>IF('Option 1'!E59="","",'Option 1'!E59)</f>
        <v>5175</v>
      </c>
      <c r="F59" s="184" t="str">
        <f>IF('Option 1'!F59="","",'Option 1'!F59)</f>
        <v/>
      </c>
      <c r="G59" s="184" t="str">
        <f>IF('Option 1'!G59="","",'Option 1'!G59)</f>
        <v/>
      </c>
      <c r="H59" s="184" t="str">
        <f>IF('Option 1'!H59="","",'Option 1'!H59)</f>
        <v/>
      </c>
      <c r="I59" s="184" t="str">
        <f>IF('Option 1'!I59="","",'Option 1'!I59)</f>
        <v/>
      </c>
      <c r="J59" s="184" t="str">
        <f>IF('Option 1'!J59="","",'Option 1'!J59)</f>
        <v/>
      </c>
      <c r="K59" s="184" t="str">
        <f>IF('Option 1'!K59="","",'Option 1'!K59)</f>
        <v/>
      </c>
      <c r="L59" s="184" t="str">
        <f>IF('Option 1'!L59="","",'Option 1'!L59)</f>
        <v/>
      </c>
      <c r="M59" s="184" t="str">
        <f>IF('Option 1'!M59="","",'Option 1'!M59)</f>
        <v/>
      </c>
      <c r="N59" s="184" t="str">
        <f>IF('Option 1'!N59="","",'Option 1'!N59)</f>
        <v/>
      </c>
      <c r="O59" s="184" t="str">
        <f>IF('Option 1'!O59="","",'Option 1'!O59)</f>
        <v/>
      </c>
      <c r="P59" s="124">
        <f t="shared" si="8"/>
        <v>5175</v>
      </c>
    </row>
    <row r="60" spans="1:16" ht="15.75" customHeight="1" x14ac:dyDescent="0.25">
      <c r="A60" s="239"/>
      <c r="B60" s="4" t="str">
        <f>IF('Option 1'!B60="","",'Option 1'!B60)</f>
        <v/>
      </c>
      <c r="C60" s="182" t="str">
        <f>IF('Option 1'!C60="","",'Option 1'!C60)</f>
        <v>Flat Roofing (Clubhouse)</v>
      </c>
      <c r="D60" s="183" t="str">
        <f>IF('Option 1'!D60="","",'Option 1'!D60)</f>
        <v/>
      </c>
      <c r="E60" s="184" t="str">
        <f>IF('Option 1'!E60="","",'Option 1'!E60)</f>
        <v/>
      </c>
      <c r="F60" s="184" t="str">
        <f>IF('Option 1'!F60="","",'Option 1'!F60)</f>
        <v/>
      </c>
      <c r="G60" s="184" t="str">
        <f>IF('Option 1'!G60="","",'Option 1'!G60)</f>
        <v/>
      </c>
      <c r="H60" s="184" t="str">
        <f>IF('Option 1'!H60="","",'Option 1'!H60)</f>
        <v/>
      </c>
      <c r="I60" s="184" t="str">
        <f>IF('Option 1'!I60="","",'Option 1'!I60)</f>
        <v/>
      </c>
      <c r="J60" s="184" t="str">
        <f>IF('Option 1'!J60="","",'Option 1'!J60)</f>
        <v/>
      </c>
      <c r="K60" s="184" t="str">
        <f>IF('Option 1'!K60="","",'Option 1'!K60)</f>
        <v/>
      </c>
      <c r="L60" s="184" t="str">
        <f>IF('Option 1'!L60="","",'Option 1'!L60)</f>
        <v/>
      </c>
      <c r="M60" s="184" t="str">
        <f>IF('Option 1'!M60="","",'Option 1'!M60)</f>
        <v/>
      </c>
      <c r="N60" s="184" t="str">
        <f>IF('Option 1'!N60="","",'Option 1'!N60)</f>
        <v/>
      </c>
      <c r="O60" s="184" t="str">
        <f>IF('Option 1'!O60="","",'Option 1'!O60)</f>
        <v/>
      </c>
      <c r="P60" s="124">
        <f t="shared" si="8"/>
        <v>0</v>
      </c>
    </row>
    <row r="61" spans="1:16" ht="15.75" customHeight="1" x14ac:dyDescent="0.25">
      <c r="A61" s="239"/>
      <c r="B61" s="4" t="str">
        <f>IF('Option 1'!B61="","",'Option 1'!B61)</f>
        <v/>
      </c>
      <c r="C61" s="182" t="str">
        <f>IF('Option 1'!C61="","",'Option 1'!C61)</f>
        <v>Roofing (1415 A Wing)</v>
      </c>
      <c r="D61" s="183" t="str">
        <f>IF('Option 1'!D61="","",'Option 1'!D61)</f>
        <v/>
      </c>
      <c r="E61" s="184" t="str">
        <f>IF('Option 1'!E61="","",'Option 1'!E61)</f>
        <v/>
      </c>
      <c r="F61" s="184" t="str">
        <f>IF('Option 1'!F61="","",'Option 1'!F61)</f>
        <v/>
      </c>
      <c r="G61" s="184" t="str">
        <f>IF('Option 1'!G61="","",'Option 1'!G61)</f>
        <v/>
      </c>
      <c r="H61" s="184" t="str">
        <f>IF('Option 1'!H61="","",'Option 1'!H61)</f>
        <v/>
      </c>
      <c r="I61" s="184" t="str">
        <f>IF('Option 1'!I61="","",'Option 1'!I61)</f>
        <v/>
      </c>
      <c r="J61" s="184" t="str">
        <f>IF('Option 1'!J61="","",'Option 1'!J61)</f>
        <v/>
      </c>
      <c r="K61" s="184" t="str">
        <f>IF('Option 1'!K61="","",'Option 1'!K61)</f>
        <v/>
      </c>
      <c r="L61" s="184" t="str">
        <f>IF('Option 1'!L61="","",'Option 1'!L61)</f>
        <v/>
      </c>
      <c r="M61" s="184" t="str">
        <f>IF('Option 1'!M61="","",'Option 1'!M61)</f>
        <v/>
      </c>
      <c r="N61" s="184" t="str">
        <f>IF('Option 1'!N61="","",'Option 1'!N61)</f>
        <v/>
      </c>
      <c r="O61" s="184" t="str">
        <f>IF('Option 1'!O61="","",'Option 1'!O61)</f>
        <v/>
      </c>
      <c r="P61" s="124">
        <f t="shared" si="8"/>
        <v>0</v>
      </c>
    </row>
    <row r="62" spans="1:16" ht="15.75" customHeight="1" x14ac:dyDescent="0.25">
      <c r="A62" s="239"/>
      <c r="B62" s="4" t="str">
        <f>IF('Option 1'!B62="","",'Option 1'!B62)</f>
        <v/>
      </c>
      <c r="C62" s="182" t="str">
        <f>IF('Option 1'!C62="","",'Option 1'!C62)</f>
        <v>Roofing (1405, 1415, 1505, 1515, 1605 &amp; 1605 Core Bldgs.)</v>
      </c>
      <c r="D62" s="183">
        <f>IF('Option 1'!D62="","",'Option 1'!D62)</f>
        <v>26826</v>
      </c>
      <c r="E62" s="184" t="str">
        <f>IF('Option 1'!E62="","",'Option 1'!E62)</f>
        <v/>
      </c>
      <c r="F62" s="184" t="str">
        <f>IF('Option 1'!F62="","",'Option 1'!F62)</f>
        <v/>
      </c>
      <c r="G62" s="184" t="str">
        <f>IF('Option 1'!G62="","",'Option 1'!G62)</f>
        <v/>
      </c>
      <c r="H62" s="184" t="str">
        <f>IF('Option 1'!H62="","",'Option 1'!H62)</f>
        <v/>
      </c>
      <c r="I62" s="184" t="str">
        <f>IF('Option 1'!I62="","",'Option 1'!I62)</f>
        <v/>
      </c>
      <c r="J62" s="184" t="str">
        <f>IF('Option 1'!J62="","",'Option 1'!J62)</f>
        <v/>
      </c>
      <c r="K62" s="184" t="str">
        <f>IF('Option 1'!K62="","",'Option 1'!K62)</f>
        <v/>
      </c>
      <c r="L62" s="184" t="str">
        <f>IF('Option 1'!L62="","",'Option 1'!L62)</f>
        <v/>
      </c>
      <c r="M62" s="184" t="str">
        <f>IF('Option 1'!M62="","",'Option 1'!M62)</f>
        <v/>
      </c>
      <c r="N62" s="184" t="str">
        <f>IF('Option 1'!N62="","",'Option 1'!N62)</f>
        <v/>
      </c>
      <c r="O62" s="184" t="str">
        <f>IF('Option 1'!O62="","",'Option 1'!O62)</f>
        <v/>
      </c>
      <c r="P62" s="124">
        <f t="shared" si="8"/>
        <v>26826</v>
      </c>
    </row>
    <row r="63" spans="1:16" ht="15.75" customHeight="1" x14ac:dyDescent="0.25">
      <c r="A63" s="239"/>
      <c r="B63" s="4" t="str">
        <f>IF('Option 1'!B63="","",'Option 1'!B63)</f>
        <v/>
      </c>
      <c r="C63" s="182" t="str">
        <f>IF('Option 1'!C63="","",'Option 1'!C63)</f>
        <v>Roofing (1605 B Wing)</v>
      </c>
      <c r="D63" s="183" t="str">
        <f>IF('Option 1'!D63="","",'Option 1'!D63)</f>
        <v/>
      </c>
      <c r="E63" s="184" t="str">
        <f>IF('Option 1'!E63="","",'Option 1'!E63)</f>
        <v/>
      </c>
      <c r="F63" s="184" t="str">
        <f>IF('Option 1'!F63="","",'Option 1'!F63)</f>
        <v/>
      </c>
      <c r="G63" s="184" t="str">
        <f>IF('Option 1'!G63="","",'Option 1'!G63)</f>
        <v/>
      </c>
      <c r="H63" s="184">
        <f>IF('Option 1'!H63="","",'Option 1'!H63)</f>
        <v>14465</v>
      </c>
      <c r="I63" s="184" t="str">
        <f>IF('Option 1'!I63="","",'Option 1'!I63)</f>
        <v/>
      </c>
      <c r="J63" s="184" t="str">
        <f>IF('Option 1'!J63="","",'Option 1'!J63)</f>
        <v/>
      </c>
      <c r="K63" s="184" t="str">
        <f>IF('Option 1'!K63="","",'Option 1'!K63)</f>
        <v/>
      </c>
      <c r="L63" s="184" t="str">
        <f>IF('Option 1'!L63="","",'Option 1'!L63)</f>
        <v/>
      </c>
      <c r="M63" s="184" t="str">
        <f>IF('Option 1'!M63="","",'Option 1'!M63)</f>
        <v/>
      </c>
      <c r="N63" s="184" t="str">
        <f>IF('Option 1'!N63="","",'Option 1'!N63)</f>
        <v/>
      </c>
      <c r="O63" s="184" t="str">
        <f>IF('Option 1'!O63="","",'Option 1'!O63)</f>
        <v/>
      </c>
      <c r="P63" s="124">
        <f t="shared" si="8"/>
        <v>14465</v>
      </c>
    </row>
    <row r="64" spans="1:16" ht="15.75" customHeight="1" x14ac:dyDescent="0.25">
      <c r="A64" s="239"/>
      <c r="B64" s="4" t="str">
        <f>IF('Option 1'!B64="","",'Option 1'!B64)</f>
        <v/>
      </c>
      <c r="C64" s="182" t="str">
        <f>IF('Option 1'!C64="","",'Option 1'!C64)</f>
        <v>Roofing (1415 C &amp; 1605 A Wings)</v>
      </c>
      <c r="D64" s="183" t="str">
        <f>IF('Option 1'!D64="","",'Option 1'!D64)</f>
        <v/>
      </c>
      <c r="E64" s="184" t="str">
        <f>IF('Option 1'!E64="","",'Option 1'!E64)</f>
        <v/>
      </c>
      <c r="F64" s="184" t="str">
        <f>IF('Option 1'!F64="","",'Option 1'!F64)</f>
        <v/>
      </c>
      <c r="G64" s="184">
        <f>IF('Option 1'!G64="","",'Option 1'!G64)</f>
        <v>28930</v>
      </c>
      <c r="H64" s="184" t="str">
        <f>IF('Option 1'!H64="","",'Option 1'!H64)</f>
        <v/>
      </c>
      <c r="I64" s="184" t="str">
        <f>IF('Option 1'!I64="","",'Option 1'!I64)</f>
        <v/>
      </c>
      <c r="J64" s="184" t="str">
        <f>IF('Option 1'!J64="","",'Option 1'!J64)</f>
        <v/>
      </c>
      <c r="K64" s="184" t="str">
        <f>IF('Option 1'!K64="","",'Option 1'!K64)</f>
        <v/>
      </c>
      <c r="L64" s="184" t="str">
        <f>IF('Option 1'!L64="","",'Option 1'!L64)</f>
        <v/>
      </c>
      <c r="M64" s="184" t="str">
        <f>IF('Option 1'!M64="","",'Option 1'!M64)</f>
        <v/>
      </c>
      <c r="N64" s="184" t="str">
        <f>IF('Option 1'!N64="","",'Option 1'!N64)</f>
        <v/>
      </c>
      <c r="O64" s="184" t="str">
        <f>IF('Option 1'!O64="","",'Option 1'!O64)</f>
        <v/>
      </c>
      <c r="P64" s="124">
        <f t="shared" si="8"/>
        <v>28930</v>
      </c>
    </row>
    <row r="65" spans="1:16" ht="15.75" customHeight="1" x14ac:dyDescent="0.25">
      <c r="A65" s="239"/>
      <c r="B65" s="4" t="str">
        <f>IF('Option 1'!B65="","",'Option 1'!B65)</f>
        <v/>
      </c>
      <c r="C65" s="182" t="str">
        <f>IF('Option 1'!C65="","",'Option 1'!C65)</f>
        <v>Roofing (1405 A &amp; B, &amp; 1405 C Wings)</v>
      </c>
      <c r="D65" s="183" t="str">
        <f>IF('Option 1'!D65="","",'Option 1'!D65)</f>
        <v/>
      </c>
      <c r="E65" s="184" t="str">
        <f>IF('Option 1'!E65="","",'Option 1'!E65)</f>
        <v/>
      </c>
      <c r="F65" s="184" t="str">
        <f>IF('Option 1'!F65="","",'Option 1'!F65)</f>
        <v/>
      </c>
      <c r="G65" s="184" t="str">
        <f>IF('Option 1'!G65="","",'Option 1'!G65)</f>
        <v/>
      </c>
      <c r="H65" s="184" t="str">
        <f>IF('Option 1'!H65="","",'Option 1'!H65)</f>
        <v/>
      </c>
      <c r="I65" s="184">
        <f>IF('Option 1'!I65="","",'Option 1'!I65)</f>
        <v>43395</v>
      </c>
      <c r="J65" s="184" t="str">
        <f>IF('Option 1'!J65="","",'Option 1'!J65)</f>
        <v/>
      </c>
      <c r="K65" s="184" t="str">
        <f>IF('Option 1'!K65="","",'Option 1'!K65)</f>
        <v/>
      </c>
      <c r="L65" s="184" t="str">
        <f>IF('Option 1'!L65="","",'Option 1'!L65)</f>
        <v/>
      </c>
      <c r="M65" s="184" t="str">
        <f>IF('Option 1'!M65="","",'Option 1'!M65)</f>
        <v/>
      </c>
      <c r="N65" s="184" t="str">
        <f>IF('Option 1'!N65="","",'Option 1'!N65)</f>
        <v/>
      </c>
      <c r="O65" s="184" t="str">
        <f>IF('Option 1'!O65="","",'Option 1'!O65)</f>
        <v/>
      </c>
      <c r="P65" s="124">
        <f t="shared" si="8"/>
        <v>43395</v>
      </c>
    </row>
    <row r="66" spans="1:16" ht="15.75" customHeight="1" x14ac:dyDescent="0.25">
      <c r="A66" s="239"/>
      <c r="B66" s="4" t="str">
        <f>IF('Option 1'!B66="","",'Option 1'!B66)</f>
        <v/>
      </c>
      <c r="C66" s="182" t="str">
        <f>IF('Option 1'!C66="","",'Option 1'!C66)</f>
        <v>Roofing (1515 B, 1515 A &amp; C Wings)</v>
      </c>
      <c r="D66" s="183" t="str">
        <f>IF('Option 1'!D66="","",'Option 1'!D66)</f>
        <v/>
      </c>
      <c r="E66" s="184" t="str">
        <f>IF('Option 1'!E66="","",'Option 1'!E66)</f>
        <v/>
      </c>
      <c r="F66" s="184" t="str">
        <f>IF('Option 1'!F66="","",'Option 1'!F66)</f>
        <v/>
      </c>
      <c r="G66" s="184" t="str">
        <f>IF('Option 1'!G66="","",'Option 1'!G66)</f>
        <v/>
      </c>
      <c r="H66" s="184" t="str">
        <f>IF('Option 1'!H66="","",'Option 1'!H66)</f>
        <v/>
      </c>
      <c r="I66" s="184" t="str">
        <f>IF('Option 1'!I66="","",'Option 1'!I66)</f>
        <v/>
      </c>
      <c r="J66" s="184">
        <f>IF('Option 1'!J66="","",'Option 1'!J66)</f>
        <v>43395</v>
      </c>
      <c r="K66" s="184" t="str">
        <f>IF('Option 1'!K66="","",'Option 1'!K66)</f>
        <v/>
      </c>
      <c r="L66" s="184" t="str">
        <f>IF('Option 1'!L66="","",'Option 1'!L66)</f>
        <v/>
      </c>
      <c r="M66" s="184" t="str">
        <f>IF('Option 1'!M66="","",'Option 1'!M66)</f>
        <v/>
      </c>
      <c r="N66" s="184" t="str">
        <f>IF('Option 1'!N66="","",'Option 1'!N66)</f>
        <v/>
      </c>
      <c r="O66" s="184" t="str">
        <f>IF('Option 1'!O66="","",'Option 1'!O66)</f>
        <v/>
      </c>
      <c r="P66" s="124">
        <f t="shared" si="8"/>
        <v>43395</v>
      </c>
    </row>
    <row r="67" spans="1:16" ht="15.75" customHeight="1" x14ac:dyDescent="0.25">
      <c r="A67" s="239"/>
      <c r="B67" s="4" t="str">
        <f>IF('Option 1'!B67="","",'Option 1'!B67)</f>
        <v/>
      </c>
      <c r="C67" s="182" t="str">
        <f>IF('Option 1'!C67="","",'Option 1'!C67)</f>
        <v>Roofing (1515 A &amp; C, 1615 B Wings)</v>
      </c>
      <c r="D67" s="183" t="str">
        <f>IF('Option 1'!D67="","",'Option 1'!D67)</f>
        <v/>
      </c>
      <c r="E67" s="184" t="str">
        <f>IF('Option 1'!E67="","",'Option 1'!E67)</f>
        <v/>
      </c>
      <c r="F67" s="184" t="str">
        <f>IF('Option 1'!F67="","",'Option 1'!F67)</f>
        <v/>
      </c>
      <c r="G67" s="184" t="str">
        <f>IF('Option 1'!G67="","",'Option 1'!G67)</f>
        <v/>
      </c>
      <c r="H67" s="184" t="str">
        <f>IF('Option 1'!H67="","",'Option 1'!H67)</f>
        <v/>
      </c>
      <c r="I67" s="184" t="str">
        <f>IF('Option 1'!I67="","",'Option 1'!I67)</f>
        <v/>
      </c>
      <c r="J67" s="184" t="str">
        <f>IF('Option 1'!J67="","",'Option 1'!J67)</f>
        <v/>
      </c>
      <c r="K67" s="184">
        <f>IF('Option 1'!K67="","",'Option 1'!K67)</f>
        <v>43395</v>
      </c>
      <c r="L67" s="184" t="str">
        <f>IF('Option 1'!L67="","",'Option 1'!L67)</f>
        <v/>
      </c>
      <c r="M67" s="184" t="str">
        <f>IF('Option 1'!M67="","",'Option 1'!M67)</f>
        <v/>
      </c>
      <c r="N67" s="184" t="str">
        <f>IF('Option 1'!N67="","",'Option 1'!N67)</f>
        <v/>
      </c>
      <c r="O67" s="184" t="str">
        <f>IF('Option 1'!O67="","",'Option 1'!O67)</f>
        <v/>
      </c>
      <c r="P67" s="124">
        <f t="shared" si="8"/>
        <v>43395</v>
      </c>
    </row>
    <row r="68" spans="1:16" ht="15.75" customHeight="1" x14ac:dyDescent="0.25">
      <c r="A68" s="239"/>
      <c r="B68" s="4" t="str">
        <f>IF('Option 1'!B68="","",'Option 1'!B68)</f>
        <v/>
      </c>
      <c r="C68" s="182" t="str">
        <f>IF('Option 1'!C68="","",'Option 1'!C68)</f>
        <v>Roofing (1505 A &amp; B Wings)</v>
      </c>
      <c r="D68" s="183" t="str">
        <f>IF('Option 1'!D68="","",'Option 1'!D68)</f>
        <v/>
      </c>
      <c r="E68" s="184" t="str">
        <f>IF('Option 1'!E68="","",'Option 1'!E68)</f>
        <v/>
      </c>
      <c r="F68" s="184" t="str">
        <f>IF('Option 1'!F68="","",'Option 1'!F68)</f>
        <v/>
      </c>
      <c r="G68" s="184" t="str">
        <f>IF('Option 1'!G68="","",'Option 1'!G68)</f>
        <v/>
      </c>
      <c r="H68" s="184" t="str">
        <f>IF('Option 1'!H68="","",'Option 1'!H68)</f>
        <v/>
      </c>
      <c r="I68" s="184" t="str">
        <f>IF('Option 1'!I68="","",'Option 1'!I68)</f>
        <v/>
      </c>
      <c r="J68" s="184" t="str">
        <f>IF('Option 1'!J68="","",'Option 1'!J68)</f>
        <v/>
      </c>
      <c r="K68" s="184" t="str">
        <f>IF('Option 1'!K68="","",'Option 1'!K68)</f>
        <v/>
      </c>
      <c r="L68" s="184">
        <f>IF('Option 1'!L68="","",'Option 1'!L68)</f>
        <v>28930</v>
      </c>
      <c r="M68" s="184" t="str">
        <f>IF('Option 1'!M68="","",'Option 1'!M68)</f>
        <v/>
      </c>
      <c r="N68" s="184" t="str">
        <f>IF('Option 1'!N68="","",'Option 1'!N68)</f>
        <v/>
      </c>
      <c r="O68" s="184" t="str">
        <f>IF('Option 1'!O68="","",'Option 1'!O68)</f>
        <v/>
      </c>
      <c r="P68" s="124">
        <f t="shared" si="8"/>
        <v>28930</v>
      </c>
    </row>
    <row r="69" spans="1:16" ht="15.75" customHeight="1" x14ac:dyDescent="0.25">
      <c r="A69" s="239"/>
      <c r="B69" s="4" t="str">
        <f>IF('Option 1'!B69="","",'Option 1'!B69)</f>
        <v/>
      </c>
      <c r="C69" s="182" t="str">
        <f>IF('Option 1'!C69="","",'Option 1'!C69)</f>
        <v>Roofing (1415 B &amp; 1605 C Wings)</v>
      </c>
      <c r="D69" s="183" t="str">
        <f>IF('Option 1'!D69="","",'Option 1'!D69)</f>
        <v/>
      </c>
      <c r="E69" s="184" t="str">
        <f>IF('Option 1'!E69="","",'Option 1'!E69)</f>
        <v/>
      </c>
      <c r="F69" s="184" t="str">
        <f>IF('Option 1'!F69="","",'Option 1'!F69)</f>
        <v/>
      </c>
      <c r="G69" s="184" t="str">
        <f>IF('Option 1'!G69="","",'Option 1'!G69)</f>
        <v/>
      </c>
      <c r="H69" s="184" t="str">
        <f>IF('Option 1'!H69="","",'Option 1'!H69)</f>
        <v/>
      </c>
      <c r="I69" s="184" t="str">
        <f>IF('Option 1'!I69="","",'Option 1'!I69)</f>
        <v/>
      </c>
      <c r="J69" s="184" t="str">
        <f>IF('Option 1'!J69="","",'Option 1'!J69)</f>
        <v/>
      </c>
      <c r="K69" s="184" t="str">
        <f>IF('Option 1'!K69="","",'Option 1'!K69)</f>
        <v/>
      </c>
      <c r="L69" s="184" t="str">
        <f>IF('Option 1'!L69="","",'Option 1'!L69)</f>
        <v/>
      </c>
      <c r="M69" s="184" t="str">
        <f>IF('Option 1'!M69="","",'Option 1'!M69)</f>
        <v/>
      </c>
      <c r="N69" s="184" t="str">
        <f>IF('Option 1'!N69="","",'Option 1'!N69)</f>
        <v/>
      </c>
      <c r="O69" s="184" t="str">
        <f>IF('Option 1'!O69="","",'Option 1'!O69)</f>
        <v/>
      </c>
      <c r="P69" s="124">
        <f t="shared" si="8"/>
        <v>0</v>
      </c>
    </row>
    <row r="70" spans="1:16" ht="15.75" customHeight="1" x14ac:dyDescent="0.25">
      <c r="A70" s="239"/>
      <c r="B70" s="4" t="str">
        <f>IF('Option 1'!B70="","",'Option 1'!B70)</f>
        <v/>
      </c>
      <c r="C70" s="182" t="str">
        <f>IF('Option 1'!C70="","",'Option 1'!C70)</f>
        <v>Gutters and Downspouts (Clubhouse)</v>
      </c>
      <c r="D70" s="183" t="str">
        <f>IF('Option 1'!D70="","",'Option 1'!D70)</f>
        <v/>
      </c>
      <c r="E70" s="184" t="str">
        <f>IF('Option 1'!E70="","",'Option 1'!E70)</f>
        <v/>
      </c>
      <c r="F70" s="184" t="str">
        <f>IF('Option 1'!F70="","",'Option 1'!F70)</f>
        <v/>
      </c>
      <c r="G70" s="184" t="str">
        <f>IF('Option 1'!G70="","",'Option 1'!G70)</f>
        <v/>
      </c>
      <c r="H70" s="184" t="str">
        <f>IF('Option 1'!H70="","",'Option 1'!H70)</f>
        <v/>
      </c>
      <c r="I70" s="184" t="str">
        <f>IF('Option 1'!I70="","",'Option 1'!I70)</f>
        <v/>
      </c>
      <c r="J70" s="184" t="str">
        <f>IF('Option 1'!J70="","",'Option 1'!J70)</f>
        <v/>
      </c>
      <c r="K70" s="184" t="str">
        <f>IF('Option 1'!K70="","",'Option 1'!K70)</f>
        <v/>
      </c>
      <c r="L70" s="184" t="str">
        <f>IF('Option 1'!L70="","",'Option 1'!L70)</f>
        <v/>
      </c>
      <c r="M70" s="184" t="str">
        <f>IF('Option 1'!M70="","",'Option 1'!M70)</f>
        <v/>
      </c>
      <c r="N70" s="184" t="str">
        <f>IF('Option 1'!N70="","",'Option 1'!N70)</f>
        <v/>
      </c>
      <c r="O70" s="184" t="str">
        <f>IF('Option 1'!O70="","",'Option 1'!O70)</f>
        <v/>
      </c>
      <c r="P70" s="124">
        <f t="shared" si="8"/>
        <v>0</v>
      </c>
    </row>
    <row r="71" spans="1:16" ht="15.75" customHeight="1" x14ac:dyDescent="0.25">
      <c r="A71" s="239"/>
      <c r="B71" s="4" t="str">
        <f>IF('Option 1'!B71="","",'Option 1'!B71)</f>
        <v/>
      </c>
      <c r="C71" s="182" t="str">
        <f>IF('Option 1'!C71="","",'Option 1'!C71)</f>
        <v>Gutters and Downspouts (Bldg. 1505)</v>
      </c>
      <c r="D71" s="183" t="str">
        <f>IF('Option 1'!D71="","",'Option 1'!D71)</f>
        <v/>
      </c>
      <c r="E71" s="184" t="str">
        <f>IF('Option 1'!E71="","",'Option 1'!E71)</f>
        <v/>
      </c>
      <c r="F71" s="184" t="str">
        <f>IF('Option 1'!F71="","",'Option 1'!F71)</f>
        <v/>
      </c>
      <c r="G71" s="184" t="str">
        <f>IF('Option 1'!G71="","",'Option 1'!G71)</f>
        <v/>
      </c>
      <c r="H71" s="184" t="str">
        <f>IF('Option 1'!H71="","",'Option 1'!H71)</f>
        <v/>
      </c>
      <c r="I71" s="184" t="str">
        <f>IF('Option 1'!I71="","",'Option 1'!I71)</f>
        <v/>
      </c>
      <c r="J71" s="184" t="str">
        <f>IF('Option 1'!J71="","",'Option 1'!J71)</f>
        <v/>
      </c>
      <c r="K71" s="184" t="str">
        <f>IF('Option 1'!K71="","",'Option 1'!K71)</f>
        <v/>
      </c>
      <c r="L71" s="184" t="str">
        <f>IF('Option 1'!L71="","",'Option 1'!L71)</f>
        <v/>
      </c>
      <c r="M71" s="184" t="str">
        <f>IF('Option 1'!M71="","",'Option 1'!M71)</f>
        <v/>
      </c>
      <c r="N71" s="184" t="str">
        <f>IF('Option 1'!N71="","",'Option 1'!N71)</f>
        <v/>
      </c>
      <c r="O71" s="184" t="str">
        <f>IF('Option 1'!O71="","",'Option 1'!O71)</f>
        <v/>
      </c>
      <c r="P71" s="124">
        <f t="shared" si="8"/>
        <v>0</v>
      </c>
    </row>
    <row r="72" spans="1:16" ht="15.75" customHeight="1" x14ac:dyDescent="0.25">
      <c r="A72" s="239"/>
      <c r="B72" s="4" t="str">
        <f>IF('Option 1'!B72="","",'Option 1'!B72)</f>
        <v/>
      </c>
      <c r="C72" s="182" t="str">
        <f>IF('Option 1'!C72="","",'Option 1'!C72)</f>
        <v>Gutters and Downspouts (Bldg. 1405)</v>
      </c>
      <c r="D72" s="183" t="str">
        <f>IF('Option 1'!D72="","",'Option 1'!D72)</f>
        <v/>
      </c>
      <c r="E72" s="184" t="str">
        <f>IF('Option 1'!E72="","",'Option 1'!E72)</f>
        <v/>
      </c>
      <c r="F72" s="184" t="str">
        <f>IF('Option 1'!F72="","",'Option 1'!F72)</f>
        <v/>
      </c>
      <c r="G72" s="184" t="str">
        <f>IF('Option 1'!G72="","",'Option 1'!G72)</f>
        <v/>
      </c>
      <c r="H72" s="184" t="str">
        <f>IF('Option 1'!H72="","",'Option 1'!H72)</f>
        <v/>
      </c>
      <c r="I72" s="184" t="str">
        <f>IF('Option 1'!I72="","",'Option 1'!I72)</f>
        <v/>
      </c>
      <c r="J72" s="184" t="str">
        <f>IF('Option 1'!J72="","",'Option 1'!J72)</f>
        <v/>
      </c>
      <c r="K72" s="184" t="str">
        <f>IF('Option 1'!K72="","",'Option 1'!K72)</f>
        <v/>
      </c>
      <c r="L72" s="184" t="str">
        <f>IF('Option 1'!L72="","",'Option 1'!L72)</f>
        <v/>
      </c>
      <c r="M72" s="184" t="str">
        <f>IF('Option 1'!M72="","",'Option 1'!M72)</f>
        <v/>
      </c>
      <c r="N72" s="184" t="str">
        <f>IF('Option 1'!N72="","",'Option 1'!N72)</f>
        <v/>
      </c>
      <c r="O72" s="184" t="str">
        <f>IF('Option 1'!O72="","",'Option 1'!O72)</f>
        <v/>
      </c>
      <c r="P72" s="124">
        <f t="shared" si="8"/>
        <v>0</v>
      </c>
    </row>
    <row r="73" spans="1:16" ht="15.75" customHeight="1" x14ac:dyDescent="0.25">
      <c r="A73" s="239"/>
      <c r="B73" s="4" t="str">
        <f>IF('Option 1'!B73="","",'Option 1'!B73)</f>
        <v/>
      </c>
      <c r="C73" s="182" t="str">
        <f>IF('Option 1'!C73="","",'Option 1'!C73)</f>
        <v>Gutters and Downspouts (Bldgs. 1415, 1515, 1605, &amp; 1615)</v>
      </c>
      <c r="D73" s="183" t="str">
        <f>IF('Option 1'!D73="","",'Option 1'!D73)</f>
        <v/>
      </c>
      <c r="E73" s="184" t="str">
        <f>IF('Option 1'!E73="","",'Option 1'!E73)</f>
        <v/>
      </c>
      <c r="F73" s="184" t="str">
        <f>IF('Option 1'!F73="","",'Option 1'!F73)</f>
        <v/>
      </c>
      <c r="G73" s="184" t="str">
        <f>IF('Option 1'!G73="","",'Option 1'!G73)</f>
        <v/>
      </c>
      <c r="H73" s="184" t="str">
        <f>IF('Option 1'!H73="","",'Option 1'!H73)</f>
        <v/>
      </c>
      <c r="I73" s="184" t="str">
        <f>IF('Option 1'!I73="","",'Option 1'!I73)</f>
        <v/>
      </c>
      <c r="J73" s="184" t="str">
        <f>IF('Option 1'!J73="","",'Option 1'!J73)</f>
        <v/>
      </c>
      <c r="K73" s="184" t="str">
        <f>IF('Option 1'!K73="","",'Option 1'!K73)</f>
        <v/>
      </c>
      <c r="L73" s="184" t="str">
        <f>IF('Option 1'!L73="","",'Option 1'!L73)</f>
        <v/>
      </c>
      <c r="M73" s="184" t="str">
        <f>IF('Option 1'!M73="","",'Option 1'!M73)</f>
        <v/>
      </c>
      <c r="N73" s="184" t="str">
        <f>IF('Option 1'!N73="","",'Option 1'!N73)</f>
        <v/>
      </c>
      <c r="O73" s="184" t="str">
        <f>IF('Option 1'!O73="","",'Option 1'!O73)</f>
        <v/>
      </c>
      <c r="P73" s="124">
        <f t="shared" si="8"/>
        <v>0</v>
      </c>
    </row>
    <row r="74" spans="1:16" ht="15.75" customHeight="1" x14ac:dyDescent="0.25">
      <c r="A74" s="239"/>
      <c r="B74" s="4" t="str">
        <f>IF('Option 1'!B74="","",'Option 1'!B74)</f>
        <v/>
      </c>
      <c r="C74" s="182" t="str">
        <f>IF('Option 1'!C74="","",'Option 1'!C74)</f>
        <v>Skylights (Clubhouse)</v>
      </c>
      <c r="D74" s="183" t="str">
        <f>IF('Option 1'!D74="","",'Option 1'!D74)</f>
        <v/>
      </c>
      <c r="E74" s="184" t="str">
        <f>IF('Option 1'!E74="","",'Option 1'!E74)</f>
        <v/>
      </c>
      <c r="F74" s="184" t="str">
        <f>IF('Option 1'!F74="","",'Option 1'!F74)</f>
        <v/>
      </c>
      <c r="G74" s="184" t="str">
        <f>IF('Option 1'!G74="","",'Option 1'!G74)</f>
        <v/>
      </c>
      <c r="H74" s="184">
        <f>IF('Option 1'!H74="","",'Option 1'!H74)</f>
        <v>1910</v>
      </c>
      <c r="I74" s="184" t="str">
        <f>IF('Option 1'!I74="","",'Option 1'!I74)</f>
        <v/>
      </c>
      <c r="J74" s="184" t="str">
        <f>IF('Option 1'!J74="","",'Option 1'!J74)</f>
        <v/>
      </c>
      <c r="K74" s="184" t="str">
        <f>IF('Option 1'!K74="","",'Option 1'!K74)</f>
        <v/>
      </c>
      <c r="L74" s="184" t="str">
        <f>IF('Option 1'!L74="","",'Option 1'!L74)</f>
        <v/>
      </c>
      <c r="M74" s="184" t="str">
        <f>IF('Option 1'!M74="","",'Option 1'!M74)</f>
        <v/>
      </c>
      <c r="N74" s="184" t="str">
        <f>IF('Option 1'!N74="","",'Option 1'!N74)</f>
        <v/>
      </c>
      <c r="O74" s="184" t="str">
        <f>IF('Option 1'!O74="","",'Option 1'!O74)</f>
        <v/>
      </c>
      <c r="P74" s="124">
        <f t="shared" si="8"/>
        <v>1910</v>
      </c>
    </row>
    <row r="75" spans="1:16" ht="15.75" customHeight="1" x14ac:dyDescent="0.25">
      <c r="A75" s="239"/>
      <c r="B75" s="4" t="str">
        <f>IF('Option 1'!B75="","",'Option 1'!B75)</f>
        <v/>
      </c>
      <c r="C75" s="182" t="str">
        <f>IF('Option 1'!C75="","",'Option 1'!C75)</f>
        <v>Metal Fascia (1515 A &amp; C, &amp; 1615 B Wings)</v>
      </c>
      <c r="D75" s="183" t="str">
        <f>IF('Option 1'!D75="","",'Option 1'!D75)</f>
        <v/>
      </c>
      <c r="E75" s="184" t="str">
        <f>IF('Option 1'!E75="","",'Option 1'!E75)</f>
        <v/>
      </c>
      <c r="F75" s="184" t="str">
        <f>IF('Option 1'!F75="","",'Option 1'!F75)</f>
        <v/>
      </c>
      <c r="G75" s="184" t="str">
        <f>IF('Option 1'!G75="","",'Option 1'!G75)</f>
        <v/>
      </c>
      <c r="H75" s="184" t="str">
        <f>IF('Option 1'!H75="","",'Option 1'!H75)</f>
        <v/>
      </c>
      <c r="I75" s="184" t="str">
        <f>IF('Option 1'!I75="","",'Option 1'!I75)</f>
        <v/>
      </c>
      <c r="J75" s="184" t="str">
        <f>IF('Option 1'!J75="","",'Option 1'!J75)</f>
        <v/>
      </c>
      <c r="K75" s="184" t="str">
        <f>IF('Option 1'!K75="","",'Option 1'!K75)</f>
        <v/>
      </c>
      <c r="L75" s="184" t="str">
        <f>IF('Option 1'!L75="","",'Option 1'!L75)</f>
        <v/>
      </c>
      <c r="M75" s="184" t="str">
        <f>IF('Option 1'!M75="","",'Option 1'!M75)</f>
        <v/>
      </c>
      <c r="N75" s="184" t="str">
        <f>IF('Option 1'!N75="","",'Option 1'!N75)</f>
        <v/>
      </c>
      <c r="O75" s="184" t="str">
        <f>IF('Option 1'!O75="","",'Option 1'!O75)</f>
        <v/>
      </c>
      <c r="P75" s="124">
        <f t="shared" si="8"/>
        <v>0</v>
      </c>
    </row>
    <row r="76" spans="1:16" ht="15.75" customHeight="1" x14ac:dyDescent="0.25">
      <c r="A76" s="239"/>
      <c r="B76" s="4" t="str">
        <f>IF('Option 1'!B76="","",'Option 1'!B76)</f>
        <v/>
      </c>
      <c r="C76" s="182" t="str">
        <f>IF('Option 1'!C76="","",'Option 1'!C76)</f>
        <v>Metal Fascia (1515 B, &amp; 1615 A &amp; C Wings)</v>
      </c>
      <c r="D76" s="183" t="str">
        <f>IF('Option 1'!D76="","",'Option 1'!D76)</f>
        <v/>
      </c>
      <c r="E76" s="184" t="str">
        <f>IF('Option 1'!E76="","",'Option 1'!E76)</f>
        <v/>
      </c>
      <c r="F76" s="184" t="str">
        <f>IF('Option 1'!F76="","",'Option 1'!F76)</f>
        <v/>
      </c>
      <c r="G76" s="184" t="str">
        <f>IF('Option 1'!G76="","",'Option 1'!G76)</f>
        <v/>
      </c>
      <c r="H76" s="184" t="str">
        <f>IF('Option 1'!H76="","",'Option 1'!H76)</f>
        <v/>
      </c>
      <c r="I76" s="184" t="str">
        <f>IF('Option 1'!I76="","",'Option 1'!I76)</f>
        <v/>
      </c>
      <c r="J76" s="184" t="str">
        <f>IF('Option 1'!J76="","",'Option 1'!J76)</f>
        <v/>
      </c>
      <c r="K76" s="184" t="str">
        <f>IF('Option 1'!K76="","",'Option 1'!K76)</f>
        <v/>
      </c>
      <c r="L76" s="184" t="str">
        <f>IF('Option 1'!L76="","",'Option 1'!L76)</f>
        <v/>
      </c>
      <c r="M76" s="184" t="str">
        <f>IF('Option 1'!M76="","",'Option 1'!M76)</f>
        <v/>
      </c>
      <c r="N76" s="184" t="str">
        <f>IF('Option 1'!N76="","",'Option 1'!N76)</f>
        <v/>
      </c>
      <c r="O76" s="184">
        <f>IF('Option 1'!O76="","",'Option 1'!O76)</f>
        <v>7326</v>
      </c>
      <c r="P76" s="124">
        <f t="shared" si="8"/>
        <v>7326</v>
      </c>
    </row>
    <row r="77" spans="1:16" ht="15.75" customHeight="1" x14ac:dyDescent="0.25">
      <c r="A77" s="239"/>
      <c r="B77" s="4" t="str">
        <f>IF('Option 1'!B77="","",'Option 1'!B77)</f>
        <v/>
      </c>
      <c r="C77" s="182" t="str">
        <f>IF('Option 1'!C77="","",'Option 1'!C77)</f>
        <v>Metal Fascia (1405 A, B &amp; C Wings)</v>
      </c>
      <c r="D77" s="183" t="str">
        <f>IF('Option 1'!D77="","",'Option 1'!D77)</f>
        <v/>
      </c>
      <c r="E77" s="184" t="str">
        <f>IF('Option 1'!E77="","",'Option 1'!E77)</f>
        <v/>
      </c>
      <c r="F77" s="184" t="str">
        <f>IF('Option 1'!F77="","",'Option 1'!F77)</f>
        <v/>
      </c>
      <c r="G77" s="184" t="str">
        <f>IF('Option 1'!G77="","",'Option 1'!G77)</f>
        <v/>
      </c>
      <c r="H77" s="184" t="str">
        <f>IF('Option 1'!H77="","",'Option 1'!H77)</f>
        <v/>
      </c>
      <c r="I77" s="184" t="str">
        <f>IF('Option 1'!I77="","",'Option 1'!I77)</f>
        <v/>
      </c>
      <c r="J77" s="184" t="str">
        <f>IF('Option 1'!J77="","",'Option 1'!J77)</f>
        <v/>
      </c>
      <c r="K77" s="184" t="str">
        <f>IF('Option 1'!K77="","",'Option 1'!K77)</f>
        <v/>
      </c>
      <c r="L77" s="184" t="str">
        <f>IF('Option 1'!L77="","",'Option 1'!L77)</f>
        <v/>
      </c>
      <c r="M77" s="184" t="str">
        <f>IF('Option 1'!M77="","",'Option 1'!M77)</f>
        <v/>
      </c>
      <c r="N77" s="184">
        <f>IF('Option 1'!N77="","",'Option 1'!N77)</f>
        <v>7326</v>
      </c>
      <c r="O77" s="184" t="str">
        <f>IF('Option 1'!O77="","",'Option 1'!O77)</f>
        <v/>
      </c>
      <c r="P77" s="124">
        <f t="shared" si="8"/>
        <v>7326</v>
      </c>
    </row>
    <row r="78" spans="1:16" ht="15.75" customHeight="1" x14ac:dyDescent="0.25">
      <c r="A78" s="239"/>
      <c r="B78" s="4" t="str">
        <f>IF('Option 1'!B78="","",'Option 1'!B78)</f>
        <v/>
      </c>
      <c r="C78" s="182" t="str">
        <f>IF('Option 1'!C78="","",'Option 1'!C78)</f>
        <v>Metal Fascia (1605 B Wing)</v>
      </c>
      <c r="D78" s="183" t="str">
        <f>IF('Option 1'!D78="","",'Option 1'!D78)</f>
        <v/>
      </c>
      <c r="E78" s="184" t="str">
        <f>IF('Option 1'!E78="","",'Option 1'!E78)</f>
        <v/>
      </c>
      <c r="F78" s="184" t="str">
        <f>IF('Option 1'!F78="","",'Option 1'!F78)</f>
        <v/>
      </c>
      <c r="G78" s="184" t="str">
        <f>IF('Option 1'!G78="","",'Option 1'!G78)</f>
        <v/>
      </c>
      <c r="H78" s="184" t="str">
        <f>IF('Option 1'!H78="","",'Option 1'!H78)</f>
        <v/>
      </c>
      <c r="I78" s="184" t="str">
        <f>IF('Option 1'!I78="","",'Option 1'!I78)</f>
        <v/>
      </c>
      <c r="J78" s="184" t="str">
        <f>IF('Option 1'!J78="","",'Option 1'!J78)</f>
        <v/>
      </c>
      <c r="K78" s="184" t="str">
        <f>IF('Option 1'!K78="","",'Option 1'!K78)</f>
        <v/>
      </c>
      <c r="L78" s="184" t="str">
        <f>IF('Option 1'!L78="","",'Option 1'!L78)</f>
        <v/>
      </c>
      <c r="M78" s="184">
        <f>IF('Option 1'!M78="","",'Option 1'!M78)</f>
        <v>2442</v>
      </c>
      <c r="N78" s="184" t="str">
        <f>IF('Option 1'!N78="","",'Option 1'!N78)</f>
        <v/>
      </c>
      <c r="O78" s="184" t="str">
        <f>IF('Option 1'!O78="","",'Option 1'!O78)</f>
        <v/>
      </c>
      <c r="P78" s="124">
        <f t="shared" si="8"/>
        <v>2442</v>
      </c>
    </row>
    <row r="79" spans="1:16" ht="15.75" customHeight="1" x14ac:dyDescent="0.25">
      <c r="A79" s="239"/>
      <c r="B79" s="4" t="str">
        <f>IF('Option 1'!B79="","",'Option 1'!B79)</f>
        <v/>
      </c>
      <c r="C79" s="182" t="str">
        <f>IF('Option 1'!C79="","",'Option 1'!C79)</f>
        <v>Metal Fascia (1415 C &amp; 1605 A Wings)</v>
      </c>
      <c r="D79" s="183" t="str">
        <f>IF('Option 1'!D79="","",'Option 1'!D79)</f>
        <v/>
      </c>
      <c r="E79" s="184" t="str">
        <f>IF('Option 1'!E79="","",'Option 1'!E79)</f>
        <v/>
      </c>
      <c r="F79" s="184" t="str">
        <f>IF('Option 1'!F79="","",'Option 1'!F79)</f>
        <v/>
      </c>
      <c r="G79" s="184" t="str">
        <f>IF('Option 1'!G79="","",'Option 1'!G79)</f>
        <v/>
      </c>
      <c r="H79" s="184" t="str">
        <f>IF('Option 1'!H79="","",'Option 1'!H79)</f>
        <v/>
      </c>
      <c r="I79" s="184" t="str">
        <f>IF('Option 1'!I79="","",'Option 1'!I79)</f>
        <v/>
      </c>
      <c r="J79" s="184" t="str">
        <f>IF('Option 1'!J79="","",'Option 1'!J79)</f>
        <v/>
      </c>
      <c r="K79" s="184" t="str">
        <f>IF('Option 1'!K79="","",'Option 1'!K79)</f>
        <v/>
      </c>
      <c r="L79" s="184">
        <f>IF('Option 1'!L79="","",'Option 1'!L79)</f>
        <v>4884</v>
      </c>
      <c r="M79" s="184" t="str">
        <f>IF('Option 1'!M79="","",'Option 1'!M79)</f>
        <v/>
      </c>
      <c r="N79" s="184" t="str">
        <f>IF('Option 1'!N79="","",'Option 1'!N79)</f>
        <v/>
      </c>
      <c r="O79" s="184" t="str">
        <f>IF('Option 1'!O79="","",'Option 1'!O79)</f>
        <v/>
      </c>
      <c r="P79" s="124">
        <f t="shared" si="8"/>
        <v>4884</v>
      </c>
    </row>
    <row r="80" spans="1:16" ht="15.75" customHeight="1" x14ac:dyDescent="0.25">
      <c r="A80" s="239"/>
      <c r="B80" s="4" t="str">
        <f>IF('Option 1'!B80="","",'Option 1'!B80)</f>
        <v/>
      </c>
      <c r="C80" s="182" t="str">
        <f>IF('Option 1'!C80="","",'Option 1'!C80)</f>
        <v>Metal Fascia (1415 A Wing)</v>
      </c>
      <c r="D80" s="183" t="str">
        <f>IF('Option 1'!D80="","",'Option 1'!D80)</f>
        <v/>
      </c>
      <c r="E80" s="184" t="str">
        <f>IF('Option 1'!E80="","",'Option 1'!E80)</f>
        <v/>
      </c>
      <c r="F80" s="184" t="str">
        <f>IF('Option 1'!F80="","",'Option 1'!F80)</f>
        <v/>
      </c>
      <c r="G80" s="184" t="str">
        <f>IF('Option 1'!G80="","",'Option 1'!G80)</f>
        <v/>
      </c>
      <c r="H80" s="184">
        <f>IF('Option 1'!H80="","",'Option 1'!H80)</f>
        <v>2442</v>
      </c>
      <c r="I80" s="184" t="str">
        <f>IF('Option 1'!I80="","",'Option 1'!I80)</f>
        <v/>
      </c>
      <c r="J80" s="184" t="str">
        <f>IF('Option 1'!J80="","",'Option 1'!J80)</f>
        <v/>
      </c>
      <c r="K80" s="184" t="str">
        <f>IF('Option 1'!K80="","",'Option 1'!K80)</f>
        <v/>
      </c>
      <c r="L80" s="184" t="str">
        <f>IF('Option 1'!L80="","",'Option 1'!L80)</f>
        <v/>
      </c>
      <c r="M80" s="184" t="str">
        <f>IF('Option 1'!M80="","",'Option 1'!M80)</f>
        <v/>
      </c>
      <c r="N80" s="184" t="str">
        <f>IF('Option 1'!N80="","",'Option 1'!N80)</f>
        <v/>
      </c>
      <c r="O80" s="184" t="str">
        <f>IF('Option 1'!O80="","",'Option 1'!O80)</f>
        <v/>
      </c>
      <c r="P80" s="124">
        <f t="shared" si="8"/>
        <v>2442</v>
      </c>
    </row>
    <row r="81" spans="1:16" ht="15.75" customHeight="1" x14ac:dyDescent="0.25">
      <c r="A81" s="239"/>
      <c r="B81" s="4" t="str">
        <f>IF('Option 1'!B81="","",'Option 1'!B81)</f>
        <v/>
      </c>
      <c r="C81" s="182" t="str">
        <f>IF('Option 1'!C81="","",'Option 1'!C81)</f>
        <v>Metal Fascia (1415 B &amp; 1605 C Wings)</v>
      </c>
      <c r="D81" s="183" t="str">
        <f>IF('Option 1'!D81="","",'Option 1'!D81)</f>
        <v/>
      </c>
      <c r="E81" s="184" t="str">
        <f>IF('Option 1'!E81="","",'Option 1'!E81)</f>
        <v/>
      </c>
      <c r="F81" s="184" t="str">
        <f>IF('Option 1'!F81="","",'Option 1'!F81)</f>
        <v/>
      </c>
      <c r="G81" s="184" t="str">
        <f>IF('Option 1'!G81="","",'Option 1'!G81)</f>
        <v/>
      </c>
      <c r="H81" s="184" t="str">
        <f>IF('Option 1'!H81="","",'Option 1'!H81)</f>
        <v/>
      </c>
      <c r="I81" s="184" t="str">
        <f>IF('Option 1'!I81="","",'Option 1'!I81)</f>
        <v/>
      </c>
      <c r="J81" s="184" t="str">
        <f>IF('Option 1'!J81="","",'Option 1'!J81)</f>
        <v/>
      </c>
      <c r="K81" s="184" t="str">
        <f>IF('Option 1'!K81="","",'Option 1'!K81)</f>
        <v/>
      </c>
      <c r="L81" s="184" t="str">
        <f>IF('Option 1'!L81="","",'Option 1'!L81)</f>
        <v/>
      </c>
      <c r="M81" s="184" t="str">
        <f>IF('Option 1'!M81="","",'Option 1'!M81)</f>
        <v/>
      </c>
      <c r="N81" s="184" t="str">
        <f>IF('Option 1'!N81="","",'Option 1'!N81)</f>
        <v/>
      </c>
      <c r="O81" s="184" t="str">
        <f>IF('Option 1'!O81="","",'Option 1'!O81)</f>
        <v/>
      </c>
      <c r="P81" s="124">
        <f t="shared" si="8"/>
        <v>0</v>
      </c>
    </row>
    <row r="82" spans="1:16" ht="15.75" customHeight="1" x14ac:dyDescent="0.25">
      <c r="A82" s="239"/>
      <c r="B82" s="4" t="str">
        <f>IF('Option 1'!B82="","",'Option 1'!B82)</f>
        <v/>
      </c>
      <c r="C82" s="182" t="str">
        <f>IF('Option 1'!C82="","",'Option 1'!C82)</f>
        <v>Brick Waterproofing (Bldgs. 1405, 1415, 1505, &amp; 1515)</v>
      </c>
      <c r="D82" s="183" t="str">
        <f>IF('Option 1'!D82="","",'Option 1'!D82)</f>
        <v/>
      </c>
      <c r="E82" s="184" t="str">
        <f>IF('Option 1'!E82="","",'Option 1'!E82)</f>
        <v/>
      </c>
      <c r="F82" s="184" t="str">
        <f>IF('Option 1'!F82="","",'Option 1'!F82)</f>
        <v/>
      </c>
      <c r="G82" s="184" t="str">
        <f>IF('Option 1'!G82="","",'Option 1'!G82)</f>
        <v/>
      </c>
      <c r="H82" s="184" t="str">
        <f>IF('Option 1'!H82="","",'Option 1'!H82)</f>
        <v/>
      </c>
      <c r="I82" s="184">
        <f>IF('Option 1'!I82="","",'Option 1'!I82)</f>
        <v>251600</v>
      </c>
      <c r="J82" s="184" t="str">
        <f>IF('Option 1'!J82="","",'Option 1'!J82)</f>
        <v/>
      </c>
      <c r="K82" s="184" t="str">
        <f>IF('Option 1'!K82="","",'Option 1'!K82)</f>
        <v/>
      </c>
      <c r="L82" s="184" t="str">
        <f>IF('Option 1'!L82="","",'Option 1'!L82)</f>
        <v/>
      </c>
      <c r="M82" s="184" t="str">
        <f>IF('Option 1'!M82="","",'Option 1'!M82)</f>
        <v/>
      </c>
      <c r="N82" s="184" t="str">
        <f>IF('Option 1'!N82="","",'Option 1'!N82)</f>
        <v/>
      </c>
      <c r="O82" s="184" t="str">
        <f>IF('Option 1'!O82="","",'Option 1'!O82)</f>
        <v/>
      </c>
      <c r="P82" s="124">
        <f t="shared" si="8"/>
        <v>251600</v>
      </c>
    </row>
    <row r="83" spans="1:16" ht="15.75" customHeight="1" x14ac:dyDescent="0.25">
      <c r="A83" s="239"/>
      <c r="B83" s="4" t="str">
        <f>IF('Option 1'!B83="","",'Option 1'!B83)</f>
        <v/>
      </c>
      <c r="C83" s="182" t="str">
        <f>IF('Option 1'!C83="","",'Option 1'!C83)</f>
        <v>Brick Waterproofing (Bldg. 1605)</v>
      </c>
      <c r="D83" s="183" t="str">
        <f>IF('Option 1'!D83="","",'Option 1'!D83)</f>
        <v/>
      </c>
      <c r="E83" s="184" t="str">
        <f>IF('Option 1'!E83="","",'Option 1'!E83)</f>
        <v/>
      </c>
      <c r="F83" s="184" t="str">
        <f>IF('Option 1'!F83="","",'Option 1'!F83)</f>
        <v/>
      </c>
      <c r="G83" s="184" t="str">
        <f>IF('Option 1'!G83="","",'Option 1'!G83)</f>
        <v/>
      </c>
      <c r="H83" s="184" t="str">
        <f>IF('Option 1'!H83="","",'Option 1'!H83)</f>
        <v/>
      </c>
      <c r="I83" s="184" t="str">
        <f>IF('Option 1'!I83="","",'Option 1'!I83)</f>
        <v/>
      </c>
      <c r="J83" s="184" t="str">
        <f>IF('Option 1'!J83="","",'Option 1'!J83)</f>
        <v/>
      </c>
      <c r="K83" s="184" t="str">
        <f>IF('Option 1'!K83="","",'Option 1'!K83)</f>
        <v/>
      </c>
      <c r="L83" s="184">
        <f>IF('Option 1'!L83="","",'Option 1'!L83)</f>
        <v>56240</v>
      </c>
      <c r="M83" s="184" t="str">
        <f>IF('Option 1'!M83="","",'Option 1'!M83)</f>
        <v/>
      </c>
      <c r="N83" s="184" t="str">
        <f>IF('Option 1'!N83="","",'Option 1'!N83)</f>
        <v/>
      </c>
      <c r="O83" s="184" t="str">
        <f>IF('Option 1'!O83="","",'Option 1'!O83)</f>
        <v/>
      </c>
      <c r="P83" s="124">
        <f t="shared" si="8"/>
        <v>56240</v>
      </c>
    </row>
    <row r="84" spans="1:16" ht="15.75" customHeight="1" x14ac:dyDescent="0.25">
      <c r="A84" s="239"/>
      <c r="B84" s="4" t="str">
        <f>IF('Option 1'!B84="","",'Option 1'!B84)</f>
        <v/>
      </c>
      <c r="C84" s="182" t="str">
        <f>IF('Option 1'!C84="","",'Option 1'!C84)</f>
        <v>Brick Waterproofing (Bldg. 1615)</v>
      </c>
      <c r="D84" s="183" t="str">
        <f>IF('Option 1'!D84="","",'Option 1'!D84)</f>
        <v/>
      </c>
      <c r="E84" s="184" t="str">
        <f>IF('Option 1'!E84="","",'Option 1'!E84)</f>
        <v/>
      </c>
      <c r="F84" s="184" t="str">
        <f>IF('Option 1'!F84="","",'Option 1'!F84)</f>
        <v/>
      </c>
      <c r="G84" s="184" t="str">
        <f>IF('Option 1'!G84="","",'Option 1'!G84)</f>
        <v/>
      </c>
      <c r="H84" s="184" t="str">
        <f>IF('Option 1'!H84="","",'Option 1'!H84)</f>
        <v/>
      </c>
      <c r="I84" s="184" t="str">
        <f>IF('Option 1'!I84="","",'Option 1'!I84)</f>
        <v/>
      </c>
      <c r="J84" s="184" t="str">
        <f>IF('Option 1'!J84="","",'Option 1'!J84)</f>
        <v/>
      </c>
      <c r="K84" s="184" t="str">
        <f>IF('Option 1'!K84="","",'Option 1'!K84)</f>
        <v/>
      </c>
      <c r="L84" s="184" t="str">
        <f>IF('Option 1'!L84="","",'Option 1'!L84)</f>
        <v/>
      </c>
      <c r="M84" s="184" t="str">
        <f>IF('Option 1'!M84="","",'Option 1'!M84)</f>
        <v/>
      </c>
      <c r="N84" s="184">
        <f>IF('Option 1'!N84="","",'Option 1'!N84)</f>
        <v>56240</v>
      </c>
      <c r="O84" s="184" t="str">
        <f>IF('Option 1'!O84="","",'Option 1'!O84)</f>
        <v/>
      </c>
      <c r="P84" s="124">
        <f t="shared" si="8"/>
        <v>56240</v>
      </c>
    </row>
    <row r="85" spans="1:16" ht="15.75" customHeight="1" x14ac:dyDescent="0.25">
      <c r="A85" s="239"/>
      <c r="B85" s="4" t="str">
        <f>IF('Option 1'!B85="","",'Option 1'!B85)</f>
        <v/>
      </c>
      <c r="C85" s="3" t="str">
        <f>IF('Option 1'!C85="","",'Option 1'!C85)</f>
        <v>Interior Finishes Elements</v>
      </c>
      <c r="D85" s="183" t="str">
        <f>IF('Option 1'!D85="","",'Option 1'!D85)</f>
        <v/>
      </c>
      <c r="E85" s="184" t="str">
        <f>IF('Option 1'!E85="","",'Option 1'!E85)</f>
        <v/>
      </c>
      <c r="F85" s="184" t="str">
        <f>IF('Option 1'!F85="","",'Option 1'!F85)</f>
        <v/>
      </c>
      <c r="G85" s="184" t="str">
        <f>IF('Option 1'!G85="","",'Option 1'!G85)</f>
        <v/>
      </c>
      <c r="H85" s="184" t="str">
        <f>IF('Option 1'!H85="","",'Option 1'!H85)</f>
        <v/>
      </c>
      <c r="I85" s="184" t="str">
        <f>IF('Option 1'!I85="","",'Option 1'!I85)</f>
        <v/>
      </c>
      <c r="J85" s="184" t="str">
        <f>IF('Option 1'!J85="","",'Option 1'!J85)</f>
        <v/>
      </c>
      <c r="K85" s="184" t="str">
        <f>IF('Option 1'!K85="","",'Option 1'!K85)</f>
        <v/>
      </c>
      <c r="L85" s="184" t="str">
        <f>IF('Option 1'!L85="","",'Option 1'!L85)</f>
        <v/>
      </c>
      <c r="M85" s="184" t="str">
        <f>IF('Option 1'!M85="","",'Option 1'!M85)</f>
        <v/>
      </c>
      <c r="N85" s="184" t="str">
        <f>IF('Option 1'!N85="","",'Option 1'!N85)</f>
        <v/>
      </c>
      <c r="O85" s="184" t="str">
        <f>IF('Option 1'!O85="","",'Option 1'!O85)</f>
        <v/>
      </c>
      <c r="P85" s="124">
        <f t="shared" si="8"/>
        <v>0</v>
      </c>
    </row>
    <row r="86" spans="1:16" ht="15.75" customHeight="1" x14ac:dyDescent="0.25">
      <c r="A86" s="239"/>
      <c r="B86" s="4" t="str">
        <f>IF('Option 1'!B86="","",'Option 1'!B86)</f>
        <v/>
      </c>
      <c r="C86" s="182" t="str">
        <f>IF('Option 1'!C86="","",'Option 1'!C86)</f>
        <v>Wing and Lobby Carpet</v>
      </c>
      <c r="D86" s="183" t="str">
        <f>IF('Option 1'!D86="","",'Option 1'!D86)</f>
        <v/>
      </c>
      <c r="E86" s="184" t="str">
        <f>IF('Option 1'!E86="","",'Option 1'!E86)</f>
        <v/>
      </c>
      <c r="F86" s="184" t="str">
        <f>IF('Option 1'!F86="","",'Option 1'!F86)</f>
        <v/>
      </c>
      <c r="G86" s="184">
        <f>IF('Option 1'!G86="","",'Option 1'!G86)</f>
        <v>284095</v>
      </c>
      <c r="H86" s="184" t="str">
        <f>IF('Option 1'!H86="","",'Option 1'!H86)</f>
        <v/>
      </c>
      <c r="I86" s="184" t="str">
        <f>IF('Option 1'!I86="","",'Option 1'!I86)</f>
        <v/>
      </c>
      <c r="J86" s="184" t="str">
        <f>IF('Option 1'!J86="","",'Option 1'!J86)</f>
        <v/>
      </c>
      <c r="K86" s="184" t="str">
        <f>IF('Option 1'!K86="","",'Option 1'!K86)</f>
        <v/>
      </c>
      <c r="L86" s="184" t="str">
        <f>IF('Option 1'!L86="","",'Option 1'!L86)</f>
        <v/>
      </c>
      <c r="M86" s="184" t="str">
        <f>IF('Option 1'!M86="","",'Option 1'!M86)</f>
        <v/>
      </c>
      <c r="N86" s="184" t="str">
        <f>IF('Option 1'!N86="","",'Option 1'!N86)</f>
        <v/>
      </c>
      <c r="O86" s="184" t="str">
        <f>IF('Option 1'!O86="","",'Option 1'!O86)</f>
        <v/>
      </c>
      <c r="P86" s="124">
        <f t="shared" si="8"/>
        <v>284095</v>
      </c>
    </row>
    <row r="87" spans="1:16" ht="15.75" customHeight="1" x14ac:dyDescent="0.25">
      <c r="A87" s="239"/>
      <c r="B87" s="4" t="str">
        <f>IF('Option 1'!B87="","",'Option 1'!B87)</f>
        <v/>
      </c>
      <c r="C87" s="182" t="str">
        <f>IF('Option 1'!C87="","",'Option 1'!C87)</f>
        <v>Core Ceramic Tile</v>
      </c>
      <c r="D87" s="183" t="str">
        <f>IF('Option 1'!D87="","",'Option 1'!D87)</f>
        <v/>
      </c>
      <c r="E87" s="184" t="str">
        <f>IF('Option 1'!E87="","",'Option 1'!E87)</f>
        <v/>
      </c>
      <c r="F87" s="184" t="str">
        <f>IF('Option 1'!F87="","",'Option 1'!F87)</f>
        <v/>
      </c>
      <c r="G87" s="184" t="str">
        <f>IF('Option 1'!G87="","",'Option 1'!G87)</f>
        <v/>
      </c>
      <c r="H87" s="184" t="str">
        <f>IF('Option 1'!H87="","",'Option 1'!H87)</f>
        <v/>
      </c>
      <c r="I87" s="184" t="str">
        <f>IF('Option 1'!I87="","",'Option 1'!I87)</f>
        <v/>
      </c>
      <c r="J87" s="184" t="str">
        <f>IF('Option 1'!J87="","",'Option 1'!J87)</f>
        <v/>
      </c>
      <c r="K87" s="184" t="str">
        <f>IF('Option 1'!K87="","",'Option 1'!K87)</f>
        <v/>
      </c>
      <c r="L87" s="184">
        <f>IF('Option 1'!L87="","",'Option 1'!L87)</f>
        <v>186440</v>
      </c>
      <c r="M87" s="184" t="str">
        <f>IF('Option 1'!M87="","",'Option 1'!M87)</f>
        <v/>
      </c>
      <c r="N87" s="184" t="str">
        <f>IF('Option 1'!N87="","",'Option 1'!N87)</f>
        <v/>
      </c>
      <c r="O87" s="184" t="str">
        <f>IF('Option 1'!O87="","",'Option 1'!O87)</f>
        <v/>
      </c>
      <c r="P87" s="124">
        <f t="shared" si="8"/>
        <v>186440</v>
      </c>
    </row>
    <row r="88" spans="1:16" ht="15.75" customHeight="1" x14ac:dyDescent="0.25">
      <c r="A88" s="239"/>
      <c r="B88" s="4" t="str">
        <f>IF('Option 1'!B88="","",'Option 1'!B88)</f>
        <v/>
      </c>
      <c r="C88" s="182" t="str">
        <f>IF('Option 1'!C88="","",'Option 1'!C88)</f>
        <v>Core Wallcovering</v>
      </c>
      <c r="D88" s="183" t="str">
        <f>IF('Option 1'!D88="","",'Option 1'!D88)</f>
        <v/>
      </c>
      <c r="E88" s="184" t="str">
        <f>IF('Option 1'!E88="","",'Option 1'!E88)</f>
        <v/>
      </c>
      <c r="F88" s="184" t="str">
        <f>IF('Option 1'!F88="","",'Option 1'!F88)</f>
        <v/>
      </c>
      <c r="G88" s="184">
        <f>IF('Option 1'!G88="","",'Option 1'!G88)</f>
        <v>87561</v>
      </c>
      <c r="H88" s="184" t="str">
        <f>IF('Option 1'!H88="","",'Option 1'!H88)</f>
        <v/>
      </c>
      <c r="I88" s="184" t="str">
        <f>IF('Option 1'!I88="","",'Option 1'!I88)</f>
        <v/>
      </c>
      <c r="J88" s="184" t="str">
        <f>IF('Option 1'!J88="","",'Option 1'!J88)</f>
        <v/>
      </c>
      <c r="K88" s="184" t="str">
        <f>IF('Option 1'!K88="","",'Option 1'!K88)</f>
        <v/>
      </c>
      <c r="L88" s="184" t="str">
        <f>IF('Option 1'!L88="","",'Option 1'!L88)</f>
        <v/>
      </c>
      <c r="M88" s="184" t="str">
        <f>IF('Option 1'!M88="","",'Option 1'!M88)</f>
        <v/>
      </c>
      <c r="N88" s="184" t="str">
        <f>IF('Option 1'!N88="","",'Option 1'!N88)</f>
        <v/>
      </c>
      <c r="O88" s="184" t="str">
        <f>IF('Option 1'!O88="","",'Option 1'!O88)</f>
        <v/>
      </c>
      <c r="P88" s="124">
        <f t="shared" si="8"/>
        <v>87561</v>
      </c>
    </row>
    <row r="89" spans="1:16" ht="15.75" customHeight="1" x14ac:dyDescent="0.25">
      <c r="A89" s="239"/>
      <c r="B89" s="4" t="str">
        <f>IF('Option 1'!B89="","",'Option 1'!B89)</f>
        <v/>
      </c>
      <c r="C89" s="182" t="str">
        <f>IF('Option 1'!C89="","",'Option 1'!C89)</f>
        <v>Interior Window Wall</v>
      </c>
      <c r="D89" s="183" t="str">
        <f>IF('Option 1'!D89="","",'Option 1'!D89)</f>
        <v/>
      </c>
      <c r="E89" s="184" t="str">
        <f>IF('Option 1'!E89="","",'Option 1'!E89)</f>
        <v/>
      </c>
      <c r="F89" s="184" t="str">
        <f>IF('Option 1'!F89="","",'Option 1'!F89)</f>
        <v/>
      </c>
      <c r="G89" s="184" t="str">
        <f>IF('Option 1'!G89="","",'Option 1'!G89)</f>
        <v/>
      </c>
      <c r="H89" s="184" t="str">
        <f>IF('Option 1'!H89="","",'Option 1'!H89)</f>
        <v/>
      </c>
      <c r="I89" s="184" t="str">
        <f>IF('Option 1'!I89="","",'Option 1'!I89)</f>
        <v/>
      </c>
      <c r="J89" s="184" t="str">
        <f>IF('Option 1'!J89="","",'Option 1'!J89)</f>
        <v/>
      </c>
      <c r="K89" s="184" t="str">
        <f>IF('Option 1'!K89="","",'Option 1'!K89)</f>
        <v/>
      </c>
      <c r="L89" s="184" t="str">
        <f>IF('Option 1'!L89="","",'Option 1'!L89)</f>
        <v/>
      </c>
      <c r="M89" s="184">
        <f>IF('Option 1'!M89="","",'Option 1'!M89)</f>
        <v>69190</v>
      </c>
      <c r="N89" s="184" t="str">
        <f>IF('Option 1'!N89="","",'Option 1'!N89)</f>
        <v/>
      </c>
      <c r="O89" s="184" t="str">
        <f>IF('Option 1'!O89="","",'Option 1'!O89)</f>
        <v/>
      </c>
      <c r="P89" s="124">
        <f t="shared" ref="P89:P152" si="9">IF(SUM(D89:O89)=0,0,SUM(D89:O89))</f>
        <v>69190</v>
      </c>
    </row>
    <row r="90" spans="1:16" ht="15.75" customHeight="1" x14ac:dyDescent="0.25">
      <c r="A90" s="239"/>
      <c r="B90" s="4" t="str">
        <f>IF('Option 1'!B90="","",'Option 1'!B90)</f>
        <v/>
      </c>
      <c r="C90" s="188" t="str">
        <f>IF('Option 1'!C90="","",'Option 1'!C90)</f>
        <v>Mirrors</v>
      </c>
      <c r="D90" s="183" t="str">
        <f>IF('Option 1'!D90="","",'Option 1'!D90)</f>
        <v/>
      </c>
      <c r="E90" s="184" t="str">
        <f>IF('Option 1'!E90="","",'Option 1'!E90)</f>
        <v/>
      </c>
      <c r="F90" s="184" t="str">
        <f>IF('Option 1'!F90="","",'Option 1'!F90)</f>
        <v/>
      </c>
      <c r="G90" s="184" t="str">
        <f>IF('Option 1'!G90="","",'Option 1'!G90)</f>
        <v/>
      </c>
      <c r="H90" s="184" t="str">
        <f>IF('Option 1'!H90="","",'Option 1'!H90)</f>
        <v/>
      </c>
      <c r="I90" s="184" t="str">
        <f>IF('Option 1'!I90="","",'Option 1'!I90)</f>
        <v/>
      </c>
      <c r="J90" s="184" t="str">
        <f>IF('Option 1'!J90="","",'Option 1'!J90)</f>
        <v/>
      </c>
      <c r="K90" s="184" t="str">
        <f>IF('Option 1'!K90="","",'Option 1'!K90)</f>
        <v/>
      </c>
      <c r="L90" s="184" t="str">
        <f>IF('Option 1'!L90="","",'Option 1'!L90)</f>
        <v/>
      </c>
      <c r="M90" s="184">
        <f>IF('Option 1'!M90="","",'Option 1'!M90)</f>
        <v>24907</v>
      </c>
      <c r="N90" s="184" t="str">
        <f>IF('Option 1'!N90="","",'Option 1'!N90)</f>
        <v/>
      </c>
      <c r="O90" s="184" t="str">
        <f>IF('Option 1'!O90="","",'Option 1'!O90)</f>
        <v/>
      </c>
      <c r="P90" s="124">
        <f t="shared" si="9"/>
        <v>24907</v>
      </c>
    </row>
    <row r="91" spans="1:16" ht="15.75" customHeight="1" x14ac:dyDescent="0.25">
      <c r="A91" s="239"/>
      <c r="B91" s="4" t="str">
        <f>IF('Option 1'!B91="","",'Option 1'!B91)</f>
        <v/>
      </c>
      <c r="C91" s="188" t="str">
        <f>IF('Option 1'!C91="","",'Option 1'!C91)</f>
        <v>Lobby Furniture</v>
      </c>
      <c r="D91" s="183" t="str">
        <f>IF('Option 1'!D91="","",'Option 1'!D91)</f>
        <v/>
      </c>
      <c r="E91" s="184" t="str">
        <f>IF('Option 1'!E91="","",'Option 1'!E91)</f>
        <v/>
      </c>
      <c r="F91" s="184" t="str">
        <f>IF('Option 1'!F91="","",'Option 1'!F91)</f>
        <v/>
      </c>
      <c r="G91" s="184" t="str">
        <f>IF('Option 1'!G91="","",'Option 1'!G91)</f>
        <v/>
      </c>
      <c r="H91" s="184" t="str">
        <f>IF('Option 1'!H91="","",'Option 1'!H91)</f>
        <v/>
      </c>
      <c r="I91" s="184" t="str">
        <f>IF('Option 1'!I91="","",'Option 1'!I91)</f>
        <v/>
      </c>
      <c r="J91" s="184" t="str">
        <f>IF('Option 1'!J91="","",'Option 1'!J91)</f>
        <v/>
      </c>
      <c r="K91" s="184" t="str">
        <f>IF('Option 1'!K91="","",'Option 1'!K91)</f>
        <v/>
      </c>
      <c r="L91" s="184" t="str">
        <f>IF('Option 1'!L91="","",'Option 1'!L91)</f>
        <v/>
      </c>
      <c r="M91" s="184" t="str">
        <f>IF('Option 1'!M91="","",'Option 1'!M91)</f>
        <v/>
      </c>
      <c r="N91" s="184" t="str">
        <f>IF('Option 1'!N91="","",'Option 1'!N91)</f>
        <v/>
      </c>
      <c r="O91" s="184" t="str">
        <f>IF('Option 1'!O91="","",'Option 1'!O91)</f>
        <v/>
      </c>
      <c r="P91" s="124">
        <f t="shared" si="9"/>
        <v>0</v>
      </c>
    </row>
    <row r="92" spans="1:16" ht="15.75" customHeight="1" x14ac:dyDescent="0.25">
      <c r="A92" s="239"/>
      <c r="B92" s="4" t="str">
        <f>IF('Option 1'!B92="","",'Option 1'!B92)</f>
        <v/>
      </c>
      <c r="C92" s="182" t="str">
        <f>IF('Option 1'!C92="","",'Option 1'!C92)</f>
        <v>Artwork</v>
      </c>
      <c r="D92" s="183" t="str">
        <f>IF('Option 1'!D92="","",'Option 1'!D92)</f>
        <v/>
      </c>
      <c r="E92" s="184" t="str">
        <f>IF('Option 1'!E92="","",'Option 1'!E92)</f>
        <v/>
      </c>
      <c r="F92" s="184" t="str">
        <f>IF('Option 1'!F92="","",'Option 1'!F92)</f>
        <v/>
      </c>
      <c r="G92" s="184" t="str">
        <f>IF('Option 1'!G92="","",'Option 1'!G92)</f>
        <v/>
      </c>
      <c r="H92" s="184" t="str">
        <f>IF('Option 1'!H92="","",'Option 1'!H92)</f>
        <v/>
      </c>
      <c r="I92" s="184" t="str">
        <f>IF('Option 1'!I92="","",'Option 1'!I92)</f>
        <v/>
      </c>
      <c r="J92" s="184" t="str">
        <f>IF('Option 1'!J92="","",'Option 1'!J92)</f>
        <v/>
      </c>
      <c r="K92" s="184" t="str">
        <f>IF('Option 1'!K92="","",'Option 1'!K92)</f>
        <v/>
      </c>
      <c r="L92" s="184" t="str">
        <f>IF('Option 1'!L92="","",'Option 1'!L92)</f>
        <v/>
      </c>
      <c r="M92" s="184" t="str">
        <f>IF('Option 1'!M92="","",'Option 1'!M92)</f>
        <v/>
      </c>
      <c r="N92" s="184" t="str">
        <f>IF('Option 1'!N92="","",'Option 1'!N92)</f>
        <v/>
      </c>
      <c r="O92" s="184" t="str">
        <f>IF('Option 1'!O92="","",'Option 1'!O92)</f>
        <v/>
      </c>
      <c r="P92" s="124">
        <f t="shared" si="9"/>
        <v>0</v>
      </c>
    </row>
    <row r="93" spans="1:16" ht="15.75" customHeight="1" x14ac:dyDescent="0.25">
      <c r="A93" s="239"/>
      <c r="B93" s="4" t="str">
        <f>IF('Option 1'!B93="","",'Option 1'!B93)</f>
        <v/>
      </c>
      <c r="C93" s="188" t="str">
        <f>IF('Option 1'!C93="","",'Option 1'!C93)</f>
        <v>Vestibule Flooring</v>
      </c>
      <c r="D93" s="183" t="str">
        <f>IF('Option 1'!D93="","",'Option 1'!D93)</f>
        <v/>
      </c>
      <c r="E93" s="184" t="str">
        <f>IF('Option 1'!E93="","",'Option 1'!E93)</f>
        <v/>
      </c>
      <c r="F93" s="184" t="str">
        <f>IF('Option 1'!F93="","",'Option 1'!F93)</f>
        <v/>
      </c>
      <c r="G93" s="184" t="str">
        <f>IF('Option 1'!G93="","",'Option 1'!G93)</f>
        <v/>
      </c>
      <c r="H93" s="184" t="str">
        <f>IF('Option 1'!H93="","",'Option 1'!H93)</f>
        <v/>
      </c>
      <c r="I93" s="184" t="str">
        <f>IF('Option 1'!I93="","",'Option 1'!I93)</f>
        <v/>
      </c>
      <c r="J93" s="184" t="str">
        <f>IF('Option 1'!J93="","",'Option 1'!J93)</f>
        <v/>
      </c>
      <c r="K93" s="184">
        <f>IF('Option 1'!K93="","",'Option 1'!K93)</f>
        <v>8303</v>
      </c>
      <c r="L93" s="184" t="str">
        <f>IF('Option 1'!L93="","",'Option 1'!L93)</f>
        <v/>
      </c>
      <c r="M93" s="184" t="str">
        <f>IF('Option 1'!M93="","",'Option 1'!M93)</f>
        <v/>
      </c>
      <c r="N93" s="184" t="str">
        <f>IF('Option 1'!N93="","",'Option 1'!N93)</f>
        <v/>
      </c>
      <c r="O93" s="184" t="str">
        <f>IF('Option 1'!O93="","",'Option 1'!O93)</f>
        <v/>
      </c>
      <c r="P93" s="124">
        <f t="shared" si="9"/>
        <v>8303</v>
      </c>
    </row>
    <row r="94" spans="1:16" ht="15.75" customHeight="1" x14ac:dyDescent="0.25">
      <c r="A94" s="239"/>
      <c r="B94" s="4" t="str">
        <f>IF('Option 1'!B94="","",'Option 1'!B94)</f>
        <v/>
      </c>
      <c r="C94" s="188" t="str">
        <f>IF('Option 1'!C94="","",'Option 1'!C94)</f>
        <v>Acoustical Tile Ceilings</v>
      </c>
      <c r="D94" s="183" t="str">
        <f>IF('Option 1'!D94="","",'Option 1'!D94)</f>
        <v/>
      </c>
      <c r="E94" s="184" t="str">
        <f>IF('Option 1'!E94="","",'Option 1'!E94)</f>
        <v/>
      </c>
      <c r="F94" s="184">
        <f>IF('Option 1'!F94="","",'Option 1'!F94)</f>
        <v>57222</v>
      </c>
      <c r="G94" s="184" t="str">
        <f>IF('Option 1'!G94="","",'Option 1'!G94)</f>
        <v/>
      </c>
      <c r="H94" s="184" t="str">
        <f>IF('Option 1'!H94="","",'Option 1'!H94)</f>
        <v/>
      </c>
      <c r="I94" s="184" t="str">
        <f>IF('Option 1'!I94="","",'Option 1'!I94)</f>
        <v/>
      </c>
      <c r="J94" s="184" t="str">
        <f>IF('Option 1'!J94="","",'Option 1'!J94)</f>
        <v/>
      </c>
      <c r="K94" s="184" t="str">
        <f>IF('Option 1'!K94="","",'Option 1'!K94)</f>
        <v/>
      </c>
      <c r="L94" s="184" t="str">
        <f>IF('Option 1'!L94="","",'Option 1'!L94)</f>
        <v/>
      </c>
      <c r="M94" s="184" t="str">
        <f>IF('Option 1'!M94="","",'Option 1'!M94)</f>
        <v/>
      </c>
      <c r="N94" s="184" t="str">
        <f>IF('Option 1'!N94="","",'Option 1'!N94)</f>
        <v/>
      </c>
      <c r="O94" s="184" t="str">
        <f>IF('Option 1'!O94="","",'Option 1'!O94)</f>
        <v/>
      </c>
      <c r="P94" s="124">
        <f t="shared" si="9"/>
        <v>57222</v>
      </c>
    </row>
    <row r="95" spans="1:16" ht="15.75" customHeight="1" x14ac:dyDescent="0.25">
      <c r="A95" s="239"/>
      <c r="B95" s="4" t="str">
        <f>IF('Option 1'!B95="","",'Option 1'!B95)</f>
        <v/>
      </c>
      <c r="C95" s="188" t="str">
        <f>IF('Option 1'!C95="","",'Option 1'!C95)</f>
        <v>Laundry Room Flooring</v>
      </c>
      <c r="D95" s="183">
        <f>IF('Option 1'!D95="","",'Option 1'!D95)</f>
        <v>17305</v>
      </c>
      <c r="E95" s="184" t="str">
        <f>IF('Option 1'!E95="","",'Option 1'!E95)</f>
        <v/>
      </c>
      <c r="F95" s="184" t="str">
        <f>IF('Option 1'!F95="","",'Option 1'!F95)</f>
        <v/>
      </c>
      <c r="G95" s="184" t="str">
        <f>IF('Option 1'!G95="","",'Option 1'!G95)</f>
        <v/>
      </c>
      <c r="H95" s="184" t="str">
        <f>IF('Option 1'!H95="","",'Option 1'!H95)</f>
        <v/>
      </c>
      <c r="I95" s="184" t="str">
        <f>IF('Option 1'!I95="","",'Option 1'!I95)</f>
        <v/>
      </c>
      <c r="J95" s="184" t="str">
        <f>IF('Option 1'!J95="","",'Option 1'!J95)</f>
        <v/>
      </c>
      <c r="K95" s="184" t="str">
        <f>IF('Option 1'!K95="","",'Option 1'!K95)</f>
        <v/>
      </c>
      <c r="L95" s="184" t="str">
        <f>IF('Option 1'!L95="","",'Option 1'!L95)</f>
        <v/>
      </c>
      <c r="M95" s="184" t="str">
        <f>IF('Option 1'!M95="","",'Option 1'!M95)</f>
        <v/>
      </c>
      <c r="N95" s="184">
        <f>IF('Option 1'!N95="","",'Option 1'!N95)</f>
        <v>17305</v>
      </c>
      <c r="O95" s="184" t="str">
        <f>IF('Option 1'!O95="","",'Option 1'!O95)</f>
        <v/>
      </c>
      <c r="P95" s="124">
        <f t="shared" si="9"/>
        <v>34610</v>
      </c>
    </row>
    <row r="96" spans="1:16" ht="15.75" customHeight="1" x14ac:dyDescent="0.25">
      <c r="A96" s="239"/>
      <c r="B96" s="4" t="str">
        <f>IF('Option 1'!B96="","",'Option 1'!B96)</f>
        <v/>
      </c>
      <c r="C96" s="188" t="str">
        <f>IF('Option 1'!C96="","",'Option 1'!C96)</f>
        <v>Social Room Carpet</v>
      </c>
      <c r="D96" s="183" t="str">
        <f>IF('Option 1'!D96="","",'Option 1'!D96)</f>
        <v/>
      </c>
      <c r="E96" s="184" t="str">
        <f>IF('Option 1'!E96="","",'Option 1'!E96)</f>
        <v/>
      </c>
      <c r="F96" s="184" t="str">
        <f>IF('Option 1'!F96="","",'Option 1'!F96)</f>
        <v/>
      </c>
      <c r="G96" s="184" t="str">
        <f>IF('Option 1'!G96="","",'Option 1'!G96)</f>
        <v/>
      </c>
      <c r="H96" s="184" t="str">
        <f>IF('Option 1'!H96="","",'Option 1'!H96)</f>
        <v/>
      </c>
      <c r="I96" s="184" t="str">
        <f>IF('Option 1'!I96="","",'Option 1'!I96)</f>
        <v/>
      </c>
      <c r="J96" s="184" t="str">
        <f>IF('Option 1'!J96="","",'Option 1'!J96)</f>
        <v/>
      </c>
      <c r="K96" s="184">
        <f>IF('Option 1'!K96="","",'Option 1'!K96)</f>
        <v>21075</v>
      </c>
      <c r="L96" s="184" t="str">
        <f>IF('Option 1'!L96="","",'Option 1'!L96)</f>
        <v/>
      </c>
      <c r="M96" s="184" t="str">
        <f>IF('Option 1'!M96="","",'Option 1'!M96)</f>
        <v/>
      </c>
      <c r="N96" s="184" t="str">
        <f>IF('Option 1'!N96="","",'Option 1'!N96)</f>
        <v/>
      </c>
      <c r="O96" s="184" t="str">
        <f>IF('Option 1'!O96="","",'Option 1'!O96)</f>
        <v/>
      </c>
      <c r="P96" s="124">
        <f t="shared" si="9"/>
        <v>21075</v>
      </c>
    </row>
    <row r="97" spans="1:16" ht="15.75" customHeight="1" x14ac:dyDescent="0.25">
      <c r="A97" s="239"/>
      <c r="B97" s="4" t="str">
        <f>IF('Option 1'!B97="","",'Option 1'!B97)</f>
        <v/>
      </c>
      <c r="C97" s="188" t="str">
        <f>IF('Option 1'!C97="","",'Option 1'!C97)</f>
        <v>Social Room Sliding Doors</v>
      </c>
      <c r="D97" s="183" t="str">
        <f>IF('Option 1'!D97="","",'Option 1'!D97)</f>
        <v/>
      </c>
      <c r="E97" s="184" t="str">
        <f>IF('Option 1'!E97="","",'Option 1'!E97)</f>
        <v/>
      </c>
      <c r="F97" s="184" t="str">
        <f>IF('Option 1'!F97="","",'Option 1'!F97)</f>
        <v/>
      </c>
      <c r="G97" s="184" t="str">
        <f>IF('Option 1'!G97="","",'Option 1'!G97)</f>
        <v/>
      </c>
      <c r="H97" s="184" t="str">
        <f>IF('Option 1'!H97="","",'Option 1'!H97)</f>
        <v/>
      </c>
      <c r="I97" s="184" t="str">
        <f>IF('Option 1'!I97="","",'Option 1'!I97)</f>
        <v/>
      </c>
      <c r="J97" s="184" t="str">
        <f>IF('Option 1'!J97="","",'Option 1'!J97)</f>
        <v/>
      </c>
      <c r="K97" s="184" t="str">
        <f>IF('Option 1'!K97="","",'Option 1'!K97)</f>
        <v/>
      </c>
      <c r="L97" s="184" t="str">
        <f>IF('Option 1'!L97="","",'Option 1'!L97)</f>
        <v/>
      </c>
      <c r="M97" s="184" t="str">
        <f>IF('Option 1'!M97="","",'Option 1'!M97)</f>
        <v/>
      </c>
      <c r="N97" s="184" t="str">
        <f>IF('Option 1'!N97="","",'Option 1'!N97)</f>
        <v/>
      </c>
      <c r="O97" s="184" t="str">
        <f>IF('Option 1'!O97="","",'Option 1'!O97)</f>
        <v/>
      </c>
      <c r="P97" s="124">
        <f t="shared" si="9"/>
        <v>0</v>
      </c>
    </row>
    <row r="98" spans="1:16" ht="15.75" customHeight="1" x14ac:dyDescent="0.25">
      <c r="A98" s="239"/>
      <c r="B98" s="4" t="str">
        <f>IF('Option 1'!B98="","",'Option 1'!B98)</f>
        <v/>
      </c>
      <c r="C98" s="188" t="str">
        <f>IF('Option 1'!C98="","",'Option 1'!C98)</f>
        <v>Social Room Furniture</v>
      </c>
      <c r="D98" s="183" t="str">
        <f>IF('Option 1'!D98="","",'Option 1'!D98)</f>
        <v/>
      </c>
      <c r="E98" s="184" t="str">
        <f>IF('Option 1'!E98="","",'Option 1'!E98)</f>
        <v/>
      </c>
      <c r="F98" s="184" t="str">
        <f>IF('Option 1'!F98="","",'Option 1'!F98)</f>
        <v/>
      </c>
      <c r="G98" s="184" t="str">
        <f>IF('Option 1'!G98="","",'Option 1'!G98)</f>
        <v/>
      </c>
      <c r="H98" s="184" t="str">
        <f>IF('Option 1'!H98="","",'Option 1'!H98)</f>
        <v/>
      </c>
      <c r="I98" s="184" t="str">
        <f>IF('Option 1'!I98="","",'Option 1'!I98)</f>
        <v/>
      </c>
      <c r="J98" s="184" t="str">
        <f>IF('Option 1'!J98="","",'Option 1'!J98)</f>
        <v/>
      </c>
      <c r="K98" s="184" t="str">
        <f>IF('Option 1'!K98="","",'Option 1'!K98)</f>
        <v/>
      </c>
      <c r="L98" s="184" t="str">
        <f>IF('Option 1'!L98="","",'Option 1'!L98)</f>
        <v/>
      </c>
      <c r="M98" s="184" t="str">
        <f>IF('Option 1'!M98="","",'Option 1'!M98)</f>
        <v/>
      </c>
      <c r="N98" s="184" t="str">
        <f>IF('Option 1'!N98="","",'Option 1'!N98)</f>
        <v/>
      </c>
      <c r="O98" s="184" t="str">
        <f>IF('Option 1'!O98="","",'Option 1'!O98)</f>
        <v/>
      </c>
      <c r="P98" s="124">
        <f t="shared" si="9"/>
        <v>0</v>
      </c>
    </row>
    <row r="99" spans="1:16" ht="15.75" customHeight="1" x14ac:dyDescent="0.25">
      <c r="A99" s="239"/>
      <c r="B99" s="4" t="str">
        <f>IF('Option 1'!B99="","",'Option 1'!B99)</f>
        <v/>
      </c>
      <c r="C99" s="182" t="str">
        <f>IF('Option 1'!C99="","",'Option 1'!C99)</f>
        <v>Carpet (Clubhouse)</v>
      </c>
      <c r="D99" s="183" t="str">
        <f>IF('Option 1'!D99="","",'Option 1'!D99)</f>
        <v/>
      </c>
      <c r="E99" s="184" t="str">
        <f>IF('Option 1'!E99="","",'Option 1'!E99)</f>
        <v/>
      </c>
      <c r="F99" s="184" t="str">
        <f>IF('Option 1'!F99="","",'Option 1'!F99)</f>
        <v/>
      </c>
      <c r="G99" s="184" t="str">
        <f>IF('Option 1'!G99="","",'Option 1'!G99)</f>
        <v/>
      </c>
      <c r="H99" s="184" t="str">
        <f>IF('Option 1'!H99="","",'Option 1'!H99)</f>
        <v/>
      </c>
      <c r="I99" s="184" t="str">
        <f>IF('Option 1'!I99="","",'Option 1'!I99)</f>
        <v/>
      </c>
      <c r="J99" s="184">
        <f>IF('Option 1'!J99="","",'Option 1'!J99)</f>
        <v>6326</v>
      </c>
      <c r="K99" s="184" t="str">
        <f>IF('Option 1'!K99="","",'Option 1'!K99)</f>
        <v/>
      </c>
      <c r="L99" s="184" t="str">
        <f>IF('Option 1'!L99="","",'Option 1'!L99)</f>
        <v/>
      </c>
      <c r="M99" s="184" t="str">
        <f>IF('Option 1'!M99="","",'Option 1'!M99)</f>
        <v/>
      </c>
      <c r="N99" s="184" t="str">
        <f>IF('Option 1'!N99="","",'Option 1'!N99)</f>
        <v/>
      </c>
      <c r="O99" s="184" t="str">
        <f>IF('Option 1'!O99="","",'Option 1'!O99)</f>
        <v/>
      </c>
      <c r="P99" s="124">
        <f t="shared" si="9"/>
        <v>6326</v>
      </c>
    </row>
    <row r="100" spans="1:16" ht="15.75" customHeight="1" x14ac:dyDescent="0.25">
      <c r="A100" s="239"/>
      <c r="B100" s="4" t="str">
        <f>IF('Option 1'!B100="","",'Option 1'!B100)</f>
        <v/>
      </c>
      <c r="C100" s="188" t="str">
        <f>IF('Option 1'!C100="","",'Option 1'!C100)</f>
        <v>Ceramic Tile (Clubhouse)</v>
      </c>
      <c r="D100" s="183" t="str">
        <f>IF('Option 1'!D100="","",'Option 1'!D100)</f>
        <v/>
      </c>
      <c r="E100" s="184" t="str">
        <f>IF('Option 1'!E100="","",'Option 1'!E100)</f>
        <v/>
      </c>
      <c r="F100" s="184" t="str">
        <f>IF('Option 1'!F100="","",'Option 1'!F100)</f>
        <v/>
      </c>
      <c r="G100" s="184" t="str">
        <f>IF('Option 1'!G100="","",'Option 1'!G100)</f>
        <v/>
      </c>
      <c r="H100" s="184" t="str">
        <f>IF('Option 1'!H100="","",'Option 1'!H100)</f>
        <v/>
      </c>
      <c r="I100" s="184" t="str">
        <f>IF('Option 1'!I100="","",'Option 1'!I100)</f>
        <v/>
      </c>
      <c r="J100" s="184" t="str">
        <f>IF('Option 1'!J100="","",'Option 1'!J100)</f>
        <v/>
      </c>
      <c r="K100" s="184" t="str">
        <f>IF('Option 1'!K100="","",'Option 1'!K100)</f>
        <v/>
      </c>
      <c r="L100" s="184" t="str">
        <f>IF('Option 1'!L100="","",'Option 1'!L100)</f>
        <v/>
      </c>
      <c r="M100" s="184" t="str">
        <f>IF('Option 1'!M100="","",'Option 1'!M100)</f>
        <v/>
      </c>
      <c r="N100" s="184" t="str">
        <f>IF('Option 1'!N100="","",'Option 1'!N100)</f>
        <v/>
      </c>
      <c r="O100" s="184" t="str">
        <f>IF('Option 1'!O100="","",'Option 1'!O100)</f>
        <v/>
      </c>
      <c r="P100" s="124">
        <f t="shared" si="9"/>
        <v>0</v>
      </c>
    </row>
    <row r="101" spans="1:16" ht="15.75" customHeight="1" x14ac:dyDescent="0.25">
      <c r="A101" s="239"/>
      <c r="B101" s="4" t="str">
        <f>IF('Option 1'!B101="","",'Option 1'!B101)</f>
        <v/>
      </c>
      <c r="C101" s="188" t="str">
        <f>IF('Option 1'!C101="","",'Option 1'!C101)</f>
        <v>Toilet Partitions</v>
      </c>
      <c r="D101" s="183" t="str">
        <f>IF('Option 1'!D101="","",'Option 1'!D101)</f>
        <v/>
      </c>
      <c r="E101" s="184" t="str">
        <f>IF('Option 1'!E101="","",'Option 1'!E101)</f>
        <v/>
      </c>
      <c r="F101" s="184" t="str">
        <f>IF('Option 1'!F101="","",'Option 1'!F101)</f>
        <v/>
      </c>
      <c r="G101" s="184" t="str">
        <f>IF('Option 1'!G101="","",'Option 1'!G101)</f>
        <v/>
      </c>
      <c r="H101" s="184" t="str">
        <f>IF('Option 1'!H101="","",'Option 1'!H101)</f>
        <v/>
      </c>
      <c r="I101" s="184">
        <f>IF('Option 1'!I101="","",'Option 1'!I101)</f>
        <v>2491</v>
      </c>
      <c r="J101" s="184" t="str">
        <f>IF('Option 1'!J101="","",'Option 1'!J101)</f>
        <v/>
      </c>
      <c r="K101" s="184" t="str">
        <f>IF('Option 1'!K101="","",'Option 1'!K101)</f>
        <v/>
      </c>
      <c r="L101" s="184" t="str">
        <f>IF('Option 1'!L101="","",'Option 1'!L101)</f>
        <v/>
      </c>
      <c r="M101" s="184" t="str">
        <f>IF('Option 1'!M101="","",'Option 1'!M101)</f>
        <v/>
      </c>
      <c r="N101" s="184" t="str">
        <f>IF('Option 1'!N101="","",'Option 1'!N101)</f>
        <v/>
      </c>
      <c r="O101" s="184" t="str">
        <f>IF('Option 1'!O101="","",'Option 1'!O101)</f>
        <v/>
      </c>
      <c r="P101" s="124">
        <f t="shared" si="9"/>
        <v>2491</v>
      </c>
    </row>
    <row r="102" spans="1:16" ht="15.75" customHeight="1" x14ac:dyDescent="0.25">
      <c r="A102" s="239"/>
      <c r="B102" s="4" t="str">
        <f>IF('Option 1'!B102="","",'Option 1'!B102)</f>
        <v/>
      </c>
      <c r="C102" s="188" t="str">
        <f>IF('Option 1'!C102="","",'Option 1'!C102)</f>
        <v>Showers</v>
      </c>
      <c r="D102" s="183">
        <f>IF('Option 1'!D102="","",'Option 1'!D102)</f>
        <v>5536</v>
      </c>
      <c r="E102" s="184" t="str">
        <f>IF('Option 1'!E102="","",'Option 1'!E102)</f>
        <v/>
      </c>
      <c r="F102" s="184" t="str">
        <f>IF('Option 1'!F102="","",'Option 1'!F102)</f>
        <v/>
      </c>
      <c r="G102" s="184" t="str">
        <f>IF('Option 1'!G102="","",'Option 1'!G102)</f>
        <v/>
      </c>
      <c r="H102" s="184" t="str">
        <f>IF('Option 1'!H102="","",'Option 1'!H102)</f>
        <v/>
      </c>
      <c r="I102" s="184" t="str">
        <f>IF('Option 1'!I102="","",'Option 1'!I102)</f>
        <v/>
      </c>
      <c r="J102" s="184" t="str">
        <f>IF('Option 1'!J102="","",'Option 1'!J102)</f>
        <v/>
      </c>
      <c r="K102" s="184" t="str">
        <f>IF('Option 1'!K102="","",'Option 1'!K102)</f>
        <v/>
      </c>
      <c r="L102" s="184" t="str">
        <f>IF('Option 1'!L102="","",'Option 1'!L102)</f>
        <v/>
      </c>
      <c r="M102" s="184" t="str">
        <f>IF('Option 1'!M102="","",'Option 1'!M102)</f>
        <v/>
      </c>
      <c r="N102" s="184" t="str">
        <f>IF('Option 1'!N102="","",'Option 1'!N102)</f>
        <v/>
      </c>
      <c r="O102" s="184" t="str">
        <f>IF('Option 1'!O102="","",'Option 1'!O102)</f>
        <v/>
      </c>
      <c r="P102" s="124">
        <f t="shared" si="9"/>
        <v>5536</v>
      </c>
    </row>
    <row r="103" spans="1:16" ht="15.75" customHeight="1" x14ac:dyDescent="0.25">
      <c r="A103" s="239"/>
      <c r="B103" s="4" t="str">
        <f>IF('Option 1'!B103="","",'Option 1'!B103)</f>
        <v/>
      </c>
      <c r="C103" s="188" t="str">
        <f>IF('Option 1'!C103="","",'Option 1'!C103)</f>
        <v>Saunas</v>
      </c>
      <c r="D103" s="183" t="str">
        <f>IF('Option 1'!D103="","",'Option 1'!D103)</f>
        <v/>
      </c>
      <c r="E103" s="184" t="str">
        <f>IF('Option 1'!E103="","",'Option 1'!E103)</f>
        <v/>
      </c>
      <c r="F103" s="184" t="str">
        <f>IF('Option 1'!F103="","",'Option 1'!F103)</f>
        <v/>
      </c>
      <c r="G103" s="184" t="str">
        <f>IF('Option 1'!G103="","",'Option 1'!G103)</f>
        <v/>
      </c>
      <c r="H103" s="184">
        <f>IF('Option 1'!H103="","",'Option 1'!H103)</f>
        <v>30445</v>
      </c>
      <c r="I103" s="184" t="str">
        <f>IF('Option 1'!I103="","",'Option 1'!I103)</f>
        <v/>
      </c>
      <c r="J103" s="184" t="str">
        <f>IF('Option 1'!J103="","",'Option 1'!J103)</f>
        <v/>
      </c>
      <c r="K103" s="184" t="str">
        <f>IF('Option 1'!K103="","",'Option 1'!K103)</f>
        <v/>
      </c>
      <c r="L103" s="184" t="str">
        <f>IF('Option 1'!L103="","",'Option 1'!L103)</f>
        <v/>
      </c>
      <c r="M103" s="184" t="str">
        <f>IF('Option 1'!M103="","",'Option 1'!M103)</f>
        <v/>
      </c>
      <c r="N103" s="184" t="str">
        <f>IF('Option 1'!N103="","",'Option 1'!N103)</f>
        <v/>
      </c>
      <c r="O103" s="184" t="str">
        <f>IF('Option 1'!O103="","",'Option 1'!O103)</f>
        <v/>
      </c>
      <c r="P103" s="124">
        <f t="shared" si="9"/>
        <v>30445</v>
      </c>
    </row>
    <row r="104" spans="1:16" ht="15.75" customHeight="1" x14ac:dyDescent="0.25">
      <c r="A104" s="239"/>
      <c r="B104" s="4" t="str">
        <f>IF('Option 1'!B104="","",'Option 1'!B104)</f>
        <v/>
      </c>
      <c r="C104" s="188" t="str">
        <f>IF('Option 1'!C104="","",'Option 1'!C104)</f>
        <v>Plumbing Fixtures</v>
      </c>
      <c r="D104" s="186">
        <f>IF('Option 1'!D104="","",'Option 1'!D104)</f>
        <v>19500</v>
      </c>
      <c r="E104" s="184" t="str">
        <f>IF('Option 1'!E104="","",'Option 1'!E104)</f>
        <v/>
      </c>
      <c r="F104" s="184">
        <f>IF('Option 1'!F104="","",'Option 1'!F104)</f>
        <v>3875</v>
      </c>
      <c r="G104" s="184" t="str">
        <f>IF('Option 1'!G104="","",'Option 1'!G104)</f>
        <v/>
      </c>
      <c r="H104" s="184" t="str">
        <f>IF('Option 1'!H104="","",'Option 1'!H104)</f>
        <v/>
      </c>
      <c r="I104" s="184" t="str">
        <f>IF('Option 1'!I104="","",'Option 1'!I104)</f>
        <v/>
      </c>
      <c r="J104" s="184" t="str">
        <f>IF('Option 1'!J104="","",'Option 1'!J104)</f>
        <v/>
      </c>
      <c r="K104" s="184" t="str">
        <f>IF('Option 1'!K104="","",'Option 1'!K104)</f>
        <v/>
      </c>
      <c r="L104" s="184" t="str">
        <f>IF('Option 1'!L104="","",'Option 1'!L104)</f>
        <v/>
      </c>
      <c r="M104" s="184" t="str">
        <f>IF('Option 1'!M104="","",'Option 1'!M104)</f>
        <v/>
      </c>
      <c r="N104" s="184" t="str">
        <f>IF('Option 1'!N104="","",'Option 1'!N104)</f>
        <v/>
      </c>
      <c r="O104" s="184" t="str">
        <f>IF('Option 1'!O104="","",'Option 1'!O104)</f>
        <v/>
      </c>
      <c r="P104" s="124">
        <f t="shared" si="9"/>
        <v>23375</v>
      </c>
    </row>
    <row r="105" spans="1:16" ht="15.75" customHeight="1" x14ac:dyDescent="0.25">
      <c r="A105" s="239"/>
      <c r="B105" s="4" t="str">
        <f>IF('Option 1'!B105="","",'Option 1'!B105)</f>
        <v/>
      </c>
      <c r="C105" s="188" t="str">
        <f>IF('Option 1'!C105="","",'Option 1'!C105)</f>
        <v>Interior Passage Doors</v>
      </c>
      <c r="D105" s="186" t="str">
        <f>IF('Option 1'!D105="","",'Option 1'!D105)</f>
        <v/>
      </c>
      <c r="E105" s="184" t="str">
        <f>IF('Option 1'!E105="","",'Option 1'!E105)</f>
        <v/>
      </c>
      <c r="F105" s="184" t="str">
        <f>IF('Option 1'!F105="","",'Option 1'!F105)</f>
        <v/>
      </c>
      <c r="G105" s="184" t="str">
        <f>IF('Option 1'!G105="","",'Option 1'!G105)</f>
        <v/>
      </c>
      <c r="H105" s="184">
        <f>IF('Option 1'!H105="","",'Option 1'!H105)</f>
        <v>3321</v>
      </c>
      <c r="I105" s="184" t="str">
        <f>IF('Option 1'!I105="","",'Option 1'!I105)</f>
        <v/>
      </c>
      <c r="J105" s="184" t="str">
        <f>IF('Option 1'!J105="","",'Option 1'!J105)</f>
        <v/>
      </c>
      <c r="K105" s="184" t="str">
        <f>IF('Option 1'!K105="","",'Option 1'!K105)</f>
        <v/>
      </c>
      <c r="L105" s="184" t="str">
        <f>IF('Option 1'!L105="","",'Option 1'!L105)</f>
        <v/>
      </c>
      <c r="M105" s="184" t="str">
        <f>IF('Option 1'!M105="","",'Option 1'!M105)</f>
        <v/>
      </c>
      <c r="N105" s="184" t="str">
        <f>IF('Option 1'!N105="","",'Option 1'!N105)</f>
        <v/>
      </c>
      <c r="O105" s="184" t="str">
        <f>IF('Option 1'!O105="","",'Option 1'!O105)</f>
        <v/>
      </c>
      <c r="P105" s="124">
        <f t="shared" si="9"/>
        <v>3321</v>
      </c>
    </row>
    <row r="106" spans="1:16" ht="15.75" customHeight="1" x14ac:dyDescent="0.25">
      <c r="A106" s="239"/>
      <c r="B106" s="4" t="str">
        <f>IF('Option 1'!B106="","",'Option 1'!B106)</f>
        <v/>
      </c>
      <c r="C106" s="188" t="str">
        <f>IF('Option 1'!C106="","",'Option 1'!C106)</f>
        <v>Closet Doors</v>
      </c>
      <c r="D106" s="186" t="str">
        <f>IF('Option 1'!D106="","",'Option 1'!D106)</f>
        <v/>
      </c>
      <c r="E106" s="184" t="str">
        <f>IF('Option 1'!E106="","",'Option 1'!E106)</f>
        <v/>
      </c>
      <c r="F106" s="184" t="str">
        <f>IF('Option 1'!F106="","",'Option 1'!F106)</f>
        <v/>
      </c>
      <c r="G106" s="184" t="str">
        <f>IF('Option 1'!G106="","",'Option 1'!G106)</f>
        <v/>
      </c>
      <c r="H106" s="184">
        <f>IF('Option 1'!H106="","",'Option 1'!H106)</f>
        <v>1245</v>
      </c>
      <c r="I106" s="184" t="str">
        <f>IF('Option 1'!I106="","",'Option 1'!I106)</f>
        <v/>
      </c>
      <c r="J106" s="184" t="str">
        <f>IF('Option 1'!J106="","",'Option 1'!J106)</f>
        <v/>
      </c>
      <c r="K106" s="184" t="str">
        <f>IF('Option 1'!K106="","",'Option 1'!K106)</f>
        <v/>
      </c>
      <c r="L106" s="184" t="str">
        <f>IF('Option 1'!L106="","",'Option 1'!L106)</f>
        <v/>
      </c>
      <c r="M106" s="184" t="str">
        <f>IF('Option 1'!M106="","",'Option 1'!M106)</f>
        <v/>
      </c>
      <c r="N106" s="184" t="str">
        <f>IF('Option 1'!N106="","",'Option 1'!N106)</f>
        <v/>
      </c>
      <c r="O106" s="184" t="str">
        <f>IF('Option 1'!O106="","",'Option 1'!O106)</f>
        <v/>
      </c>
      <c r="P106" s="124">
        <f t="shared" si="9"/>
        <v>1245</v>
      </c>
    </row>
    <row r="107" spans="1:16" ht="15.75" customHeight="1" x14ac:dyDescent="0.25">
      <c r="A107" s="239"/>
      <c r="B107" s="4" t="str">
        <f>IF('Option 1'!B107="","",'Option 1'!B107)</f>
        <v/>
      </c>
      <c r="C107" s="188" t="str">
        <f>IF('Option 1'!C107="","",'Option 1'!C107)</f>
        <v>Appliances</v>
      </c>
      <c r="D107" s="186" t="str">
        <f>IF('Option 1'!D107="","",'Option 1'!D107)</f>
        <v/>
      </c>
      <c r="E107" s="184" t="str">
        <f>IF('Option 1'!E107="","",'Option 1'!E107)</f>
        <v/>
      </c>
      <c r="F107" s="184" t="str">
        <f>IF('Option 1'!F107="","",'Option 1'!F107)</f>
        <v/>
      </c>
      <c r="G107" s="184" t="str">
        <f>IF('Option 1'!G107="","",'Option 1'!G107)</f>
        <v/>
      </c>
      <c r="H107" s="184" t="str">
        <f>IF('Option 1'!H107="","",'Option 1'!H107)</f>
        <v/>
      </c>
      <c r="I107" s="184" t="str">
        <f>IF('Option 1'!I107="","",'Option 1'!I107)</f>
        <v/>
      </c>
      <c r="J107" s="184" t="str">
        <f>IF('Option 1'!J107="","",'Option 1'!J107)</f>
        <v/>
      </c>
      <c r="K107" s="184" t="str">
        <f>IF('Option 1'!K107="","",'Option 1'!K107)</f>
        <v/>
      </c>
      <c r="L107" s="184" t="str">
        <f>IF('Option 1'!L107="","",'Option 1'!L107)</f>
        <v/>
      </c>
      <c r="M107" s="184" t="str">
        <f>IF('Option 1'!M107="","",'Option 1'!M107)</f>
        <v/>
      </c>
      <c r="N107" s="184" t="str">
        <f>IF('Option 1'!N107="","",'Option 1'!N107)</f>
        <v/>
      </c>
      <c r="O107" s="184" t="str">
        <f>IF('Option 1'!O107="","",'Option 1'!O107)</f>
        <v/>
      </c>
      <c r="P107" s="124">
        <f t="shared" si="9"/>
        <v>0</v>
      </c>
    </row>
    <row r="108" spans="1:16" ht="15.75" customHeight="1" x14ac:dyDescent="0.25">
      <c r="A108" s="239"/>
      <c r="B108" s="4" t="str">
        <f>IF('Option 1'!B108="","",'Option 1'!B108)</f>
        <v/>
      </c>
      <c r="C108" s="188" t="str">
        <f>IF('Option 1'!C108="","",'Option 1'!C108)</f>
        <v>Exercise Equipment</v>
      </c>
      <c r="D108" s="186">
        <f>IF('Option 1'!D108="","",'Option 1'!D108)</f>
        <v>167</v>
      </c>
      <c r="E108" s="184" t="str">
        <f>IF('Option 1'!E108="","",'Option 1'!E108)</f>
        <v/>
      </c>
      <c r="F108" s="184" t="str">
        <f>IF('Option 1'!F108="","",'Option 1'!F108)</f>
        <v/>
      </c>
      <c r="G108" s="184" t="str">
        <f>IF('Option 1'!G108="","",'Option 1'!G108)</f>
        <v/>
      </c>
      <c r="H108" s="184" t="str">
        <f>IF('Option 1'!H108="","",'Option 1'!H108)</f>
        <v/>
      </c>
      <c r="I108" s="184" t="str">
        <f>IF('Option 1'!I108="","",'Option 1'!I108)</f>
        <v/>
      </c>
      <c r="J108" s="184" t="str">
        <f>IF('Option 1'!J108="","",'Option 1'!J108)</f>
        <v/>
      </c>
      <c r="K108" s="184" t="str">
        <f>IF('Option 1'!K108="","",'Option 1'!K108)</f>
        <v/>
      </c>
      <c r="L108" s="184" t="str">
        <f>IF('Option 1'!L108="","",'Option 1'!L108)</f>
        <v/>
      </c>
      <c r="M108" s="184" t="str">
        <f>IF('Option 1'!M108="","",'Option 1'!M108)</f>
        <v/>
      </c>
      <c r="N108" s="184" t="str">
        <f>IF('Option 1'!N108="","",'Option 1'!N108)</f>
        <v/>
      </c>
      <c r="O108" s="184" t="str">
        <f>IF('Option 1'!O108="","",'Option 1'!O108)</f>
        <v/>
      </c>
      <c r="P108" s="124">
        <f t="shared" si="9"/>
        <v>167</v>
      </c>
    </row>
    <row r="109" spans="1:16" ht="15.75" customHeight="1" x14ac:dyDescent="0.25">
      <c r="A109" s="239"/>
      <c r="B109" s="4" t="str">
        <f>IF('Option 1'!B109="","",'Option 1'!B109)</f>
        <v/>
      </c>
      <c r="C109" s="188" t="str">
        <f>IF('Option 1'!C109="","",'Option 1'!C109)</f>
        <v>Office Furniture and Equipment</v>
      </c>
      <c r="D109" s="186" t="str">
        <f>IF('Option 1'!D109="","",'Option 1'!D109)</f>
        <v/>
      </c>
      <c r="E109" s="184" t="str">
        <f>IF('Option 1'!E109="","",'Option 1'!E109)</f>
        <v/>
      </c>
      <c r="F109" s="184" t="str">
        <f>IF('Option 1'!F109="","",'Option 1'!F109)</f>
        <v/>
      </c>
      <c r="G109" s="184" t="str">
        <f>IF('Option 1'!G109="","",'Option 1'!G109)</f>
        <v/>
      </c>
      <c r="H109" s="184" t="str">
        <f>IF('Option 1'!H109="","",'Option 1'!H109)</f>
        <v/>
      </c>
      <c r="I109" s="184" t="str">
        <f>IF('Option 1'!I109="","",'Option 1'!I109)</f>
        <v/>
      </c>
      <c r="J109" s="184" t="str">
        <f>IF('Option 1'!J109="","",'Option 1'!J109)</f>
        <v/>
      </c>
      <c r="K109" s="184" t="str">
        <f>IF('Option 1'!K109="","",'Option 1'!K109)</f>
        <v/>
      </c>
      <c r="L109" s="184" t="str">
        <f>IF('Option 1'!L109="","",'Option 1'!L109)</f>
        <v/>
      </c>
      <c r="M109" s="184" t="str">
        <f>IF('Option 1'!M109="","",'Option 1'!M109)</f>
        <v/>
      </c>
      <c r="N109" s="184" t="str">
        <f>IF('Option 1'!N109="","",'Option 1'!N109)</f>
        <v/>
      </c>
      <c r="O109" s="184" t="str">
        <f>IF('Option 1'!O109="","",'Option 1'!O109)</f>
        <v/>
      </c>
      <c r="P109" s="124">
        <f t="shared" si="9"/>
        <v>0</v>
      </c>
    </row>
    <row r="110" spans="1:16" ht="15.75" customHeight="1" x14ac:dyDescent="0.25">
      <c r="A110" s="239"/>
      <c r="B110" s="4" t="str">
        <f>IF('Option 1'!B110="","",'Option 1'!B110)</f>
        <v/>
      </c>
      <c r="C110" s="188" t="str">
        <f>IF('Option 1'!C110="","",'Option 1'!C110)</f>
        <v>Common Double Doors</v>
      </c>
      <c r="D110" s="186" t="str">
        <f>IF('Option 1'!D110="","",'Option 1'!D110)</f>
        <v/>
      </c>
      <c r="E110" s="184" t="str">
        <f>IF('Option 1'!E110="","",'Option 1'!E110)</f>
        <v/>
      </c>
      <c r="F110" s="184" t="str">
        <f>IF('Option 1'!F110="","",'Option 1'!F110)</f>
        <v/>
      </c>
      <c r="G110" s="184" t="str">
        <f>IF('Option 1'!G110="","",'Option 1'!G110)</f>
        <v/>
      </c>
      <c r="H110" s="184">
        <f>IF('Option 1'!H110="","",'Option 1'!H110)</f>
        <v>92028</v>
      </c>
      <c r="I110" s="184" t="str">
        <f>IF('Option 1'!I110="","",'Option 1'!I110)</f>
        <v/>
      </c>
      <c r="J110" s="184" t="str">
        <f>IF('Option 1'!J110="","",'Option 1'!J110)</f>
        <v/>
      </c>
      <c r="K110" s="184" t="str">
        <f>IF('Option 1'!K110="","",'Option 1'!K110)</f>
        <v/>
      </c>
      <c r="L110" s="184" t="str">
        <f>IF('Option 1'!L110="","",'Option 1'!L110)</f>
        <v/>
      </c>
      <c r="M110" s="184" t="str">
        <f>IF('Option 1'!M110="","",'Option 1'!M110)</f>
        <v/>
      </c>
      <c r="N110" s="184" t="str">
        <f>IF('Option 1'!N110="","",'Option 1'!N110)</f>
        <v/>
      </c>
      <c r="O110" s="184" t="str">
        <f>IF('Option 1'!O110="","",'Option 1'!O110)</f>
        <v/>
      </c>
      <c r="P110" s="124">
        <f t="shared" si="9"/>
        <v>92028</v>
      </c>
    </row>
    <row r="111" spans="1:16" ht="15.75" customHeight="1" x14ac:dyDescent="0.25">
      <c r="A111" s="239"/>
      <c r="B111" s="4" t="str">
        <f>IF('Option 1'!B111="","",'Option 1'!B111)</f>
        <v/>
      </c>
      <c r="C111" s="188" t="str">
        <f>IF('Option 1'!C111="","",'Option 1'!C111)</f>
        <v>Common Single Doors</v>
      </c>
      <c r="D111" s="186" t="str">
        <f>IF('Option 1'!D111="","",'Option 1'!D111)</f>
        <v/>
      </c>
      <c r="E111" s="184" t="str">
        <f>IF('Option 1'!E111="","",'Option 1'!E111)</f>
        <v/>
      </c>
      <c r="F111" s="184" t="str">
        <f>IF('Option 1'!F111="","",'Option 1'!F111)</f>
        <v/>
      </c>
      <c r="G111" s="184" t="str">
        <f>IF('Option 1'!G111="","",'Option 1'!G111)</f>
        <v/>
      </c>
      <c r="H111" s="184">
        <f>IF('Option 1'!H111="","",'Option 1'!H111)</f>
        <v>345969</v>
      </c>
      <c r="I111" s="184" t="str">
        <f>IF('Option 1'!I111="","",'Option 1'!I111)</f>
        <v/>
      </c>
      <c r="J111" s="184" t="str">
        <f>IF('Option 1'!J111="","",'Option 1'!J111)</f>
        <v/>
      </c>
      <c r="K111" s="184" t="str">
        <f>IF('Option 1'!K111="","",'Option 1'!K111)</f>
        <v/>
      </c>
      <c r="L111" s="184" t="str">
        <f>IF('Option 1'!L111="","",'Option 1'!L111)</f>
        <v/>
      </c>
      <c r="M111" s="184" t="str">
        <f>IF('Option 1'!M111="","",'Option 1'!M111)</f>
        <v/>
      </c>
      <c r="N111" s="184" t="str">
        <f>IF('Option 1'!N111="","",'Option 1'!N111)</f>
        <v/>
      </c>
      <c r="O111" s="184" t="str">
        <f>IF('Option 1'!O111="","",'Option 1'!O111)</f>
        <v/>
      </c>
      <c r="P111" s="124">
        <f t="shared" si="9"/>
        <v>345969</v>
      </c>
    </row>
    <row r="112" spans="1:16" ht="15.75" customHeight="1" x14ac:dyDescent="0.25">
      <c r="A112" s="239"/>
      <c r="B112" s="4" t="str">
        <f>IF('Option 1'!B112="","",'Option 1'!B112)</f>
        <v/>
      </c>
      <c r="C112" s="3" t="str">
        <f>IF('Option 1'!C112="","",'Option 1'!C112)</f>
        <v>Exterior Finishes Elements</v>
      </c>
      <c r="D112" s="186" t="str">
        <f>IF('Option 1'!D112="","",'Option 1'!D112)</f>
        <v/>
      </c>
      <c r="E112" s="184" t="str">
        <f>IF('Option 1'!E112="","",'Option 1'!E112)</f>
        <v/>
      </c>
      <c r="F112" s="184" t="str">
        <f>IF('Option 1'!F112="","",'Option 1'!F112)</f>
        <v/>
      </c>
      <c r="G112" s="184" t="str">
        <f>IF('Option 1'!G112="","",'Option 1'!G112)</f>
        <v/>
      </c>
      <c r="H112" s="184" t="str">
        <f>IF('Option 1'!H112="","",'Option 1'!H112)</f>
        <v/>
      </c>
      <c r="I112" s="184" t="str">
        <f>IF('Option 1'!I112="","",'Option 1'!I112)</f>
        <v/>
      </c>
      <c r="J112" s="184" t="str">
        <f>IF('Option 1'!J112="","",'Option 1'!J112)</f>
        <v/>
      </c>
      <c r="K112" s="184" t="str">
        <f>IF('Option 1'!K112="","",'Option 1'!K112)</f>
        <v/>
      </c>
      <c r="L112" s="184" t="str">
        <f>IF('Option 1'!L112="","",'Option 1'!L112)</f>
        <v/>
      </c>
      <c r="M112" s="184" t="str">
        <f>IF('Option 1'!M112="","",'Option 1'!M112)</f>
        <v/>
      </c>
      <c r="N112" s="184" t="str">
        <f>IF('Option 1'!N112="","",'Option 1'!N112)</f>
        <v/>
      </c>
      <c r="O112" s="184" t="str">
        <f>IF('Option 1'!O112="","",'Option 1'!O112)</f>
        <v/>
      </c>
      <c r="P112" s="124">
        <f t="shared" si="9"/>
        <v>0</v>
      </c>
    </row>
    <row r="113" spans="1:16" ht="15.75" customHeight="1" x14ac:dyDescent="0.25">
      <c r="A113" s="239"/>
      <c r="B113" s="4" t="str">
        <f>IF('Option 1'!B113="","",'Option 1'!B113)</f>
        <v/>
      </c>
      <c r="C113" s="188" t="str">
        <f>IF('Option 1'!C113="","",'Option 1'!C113)</f>
        <v>Concrete Garage Door Headers (1405 A &amp; B, 1615 B, 1505 A &amp; B, 1515 A &amp; B, &amp; 1605 A &amp; B Wings)</v>
      </c>
      <c r="D113" s="186" t="str">
        <f>IF('Option 1'!D113="","",'Option 1'!D113)</f>
        <v/>
      </c>
      <c r="E113" s="184">
        <f>IF('Option 1'!E113="","",'Option 1'!E113)</f>
        <v>85000</v>
      </c>
      <c r="F113" s="184">
        <f>IF('Option 1'!F113="","",'Option 1'!F113)</f>
        <v>85000</v>
      </c>
      <c r="G113" s="184">
        <f>IF('Option 1'!G113="","",'Option 1'!G113)</f>
        <v>85000</v>
      </c>
      <c r="H113" s="184" t="str">
        <f>IF('Option 1'!H113="","",'Option 1'!H113)</f>
        <v/>
      </c>
      <c r="I113" s="184" t="str">
        <f>IF('Option 1'!I113="","",'Option 1'!I113)</f>
        <v/>
      </c>
      <c r="J113" s="184" t="str">
        <f>IF('Option 1'!J113="","",'Option 1'!J113)</f>
        <v/>
      </c>
      <c r="K113" s="184" t="str">
        <f>IF('Option 1'!K113="","",'Option 1'!K113)</f>
        <v/>
      </c>
      <c r="L113" s="184" t="str">
        <f>IF('Option 1'!L113="","",'Option 1'!L113)</f>
        <v/>
      </c>
      <c r="M113" s="184">
        <f>IF('Option 1'!M113="","",'Option 1'!M113)</f>
        <v>418500</v>
      </c>
      <c r="N113" s="184" t="str">
        <f>IF('Option 1'!N113="","",'Option 1'!N113)</f>
        <v/>
      </c>
      <c r="O113" s="184" t="str">
        <f>IF('Option 1'!O113="","",'Option 1'!O113)</f>
        <v/>
      </c>
      <c r="P113" s="124">
        <f t="shared" si="9"/>
        <v>673500</v>
      </c>
    </row>
    <row r="114" spans="1:16" ht="15.75" customHeight="1" x14ac:dyDescent="0.25">
      <c r="A114" s="239"/>
      <c r="B114" s="4" t="str">
        <f>IF('Option 1'!B114="","",'Option 1'!B114)</f>
        <v/>
      </c>
      <c r="C114" s="188" t="str">
        <f>IF('Option 1'!C114="","",'Option 1'!C114)</f>
        <v>Concrete Garage Door Headers (1415 A &amp; 1615 A Wings)</v>
      </c>
      <c r="D114" s="186" t="str">
        <f>IF('Option 1'!D114="","",'Option 1'!D114)</f>
        <v/>
      </c>
      <c r="E114" s="184" t="str">
        <f>IF('Option 1'!E114="","",'Option 1'!E114)</f>
        <v/>
      </c>
      <c r="F114" s="184" t="str">
        <f>IF('Option 1'!F114="","",'Option 1'!F114)</f>
        <v/>
      </c>
      <c r="G114" s="184" t="str">
        <f>IF('Option 1'!G114="","",'Option 1'!G114)</f>
        <v/>
      </c>
      <c r="H114" s="184" t="str">
        <f>IF('Option 1'!H114="","",'Option 1'!H114)</f>
        <v/>
      </c>
      <c r="I114" s="184" t="str">
        <f>IF('Option 1'!I114="","",'Option 1'!I114)</f>
        <v/>
      </c>
      <c r="J114" s="184" t="str">
        <f>IF('Option 1'!J114="","",'Option 1'!J114)</f>
        <v/>
      </c>
      <c r="K114" s="184" t="str">
        <f>IF('Option 1'!K114="","",'Option 1'!K114)</f>
        <v/>
      </c>
      <c r="L114" s="184" t="str">
        <f>IF('Option 1'!L114="","",'Option 1'!L114)</f>
        <v/>
      </c>
      <c r="M114" s="184" t="str">
        <f>IF('Option 1'!M114="","",'Option 1'!M114)</f>
        <v/>
      </c>
      <c r="N114" s="184" t="str">
        <f>IF('Option 1'!N114="","",'Option 1'!N114)</f>
        <v/>
      </c>
      <c r="O114" s="184" t="str">
        <f>IF('Option 1'!O114="","",'Option 1'!O114)</f>
        <v/>
      </c>
      <c r="P114" s="124">
        <f t="shared" si="9"/>
        <v>0</v>
      </c>
    </row>
    <row r="115" spans="1:16" ht="15.75" customHeight="1" x14ac:dyDescent="0.25">
      <c r="A115" s="239"/>
      <c r="B115" s="4" t="str">
        <f>IF('Option 1'!B115="","",'Option 1'!B115)</f>
        <v/>
      </c>
      <c r="C115" s="188" t="str">
        <f>IF('Option 1'!C115="","",'Option 1'!C115)</f>
        <v>Concrete Garage Door Header (1415 B Wing)</v>
      </c>
      <c r="D115" s="186" t="str">
        <f>IF('Option 1'!D115="","",'Option 1'!D115)</f>
        <v/>
      </c>
      <c r="E115" s="184" t="str">
        <f>IF('Option 1'!E115="","",'Option 1'!E115)</f>
        <v/>
      </c>
      <c r="F115" s="184" t="str">
        <f>IF('Option 1'!F115="","",'Option 1'!F115)</f>
        <v/>
      </c>
      <c r="G115" s="184" t="str">
        <f>IF('Option 1'!G115="","",'Option 1'!G115)</f>
        <v/>
      </c>
      <c r="H115" s="184" t="str">
        <f>IF('Option 1'!H115="","",'Option 1'!H115)</f>
        <v/>
      </c>
      <c r="I115" s="184" t="str">
        <f>IF('Option 1'!I115="","",'Option 1'!I115)</f>
        <v/>
      </c>
      <c r="J115" s="184" t="str">
        <f>IF('Option 1'!J115="","",'Option 1'!J115)</f>
        <v/>
      </c>
      <c r="K115" s="184" t="str">
        <f>IF('Option 1'!K115="","",'Option 1'!K115)</f>
        <v/>
      </c>
      <c r="L115" s="184" t="str">
        <f>IF('Option 1'!L115="","",'Option 1'!L115)</f>
        <v/>
      </c>
      <c r="M115" s="184" t="str">
        <f>IF('Option 1'!M115="","",'Option 1'!M115)</f>
        <v/>
      </c>
      <c r="N115" s="184" t="str">
        <f>IF('Option 1'!N115="","",'Option 1'!N115)</f>
        <v/>
      </c>
      <c r="O115" s="184" t="str">
        <f>IF('Option 1'!O115="","",'Option 1'!O115)</f>
        <v/>
      </c>
      <c r="P115" s="124">
        <f t="shared" si="9"/>
        <v>0</v>
      </c>
    </row>
    <row r="116" spans="1:16" ht="15.75" customHeight="1" x14ac:dyDescent="0.25">
      <c r="A116" s="239"/>
      <c r="B116" s="4" t="str">
        <f>IF('Option 1'!B116="","",'Option 1'!B116)</f>
        <v/>
      </c>
      <c r="C116" s="188" t="str">
        <f>IF('Option 1'!C116="","",'Option 1'!C116)</f>
        <v>Front Entry Railings (Bldgs. 1405, 1505, 1515, 1605, &amp; 1615)</v>
      </c>
      <c r="D116" s="186" t="str">
        <f>IF('Option 1'!D116="","",'Option 1'!D116)</f>
        <v/>
      </c>
      <c r="E116" s="184" t="str">
        <f>IF('Option 1'!E116="","",'Option 1'!E116)</f>
        <v/>
      </c>
      <c r="F116" s="184" t="str">
        <f>IF('Option 1'!F116="","",'Option 1'!F116)</f>
        <v/>
      </c>
      <c r="G116" s="184" t="str">
        <f>IF('Option 1'!G116="","",'Option 1'!G116)</f>
        <v/>
      </c>
      <c r="H116" s="184" t="str">
        <f>IF('Option 1'!H116="","",'Option 1'!H116)</f>
        <v/>
      </c>
      <c r="I116" s="184" t="str">
        <f>IF('Option 1'!I116="","",'Option 1'!I116)</f>
        <v/>
      </c>
      <c r="J116" s="184" t="str">
        <f>IF('Option 1'!J116="","",'Option 1'!J116)</f>
        <v/>
      </c>
      <c r="K116" s="184" t="str">
        <f>IF('Option 1'!K116="","",'Option 1'!K116)</f>
        <v/>
      </c>
      <c r="L116" s="184" t="str">
        <f>IF('Option 1'!L116="","",'Option 1'!L116)</f>
        <v/>
      </c>
      <c r="M116" s="184" t="str">
        <f>IF('Option 1'!M116="","",'Option 1'!M116)</f>
        <v/>
      </c>
      <c r="N116" s="184" t="str">
        <f>IF('Option 1'!N116="","",'Option 1'!N116)</f>
        <v/>
      </c>
      <c r="O116" s="184" t="str">
        <f>IF('Option 1'!O116="","",'Option 1'!O116)</f>
        <v/>
      </c>
      <c r="P116" s="124">
        <f t="shared" si="9"/>
        <v>0</v>
      </c>
    </row>
    <row r="117" spans="1:16" ht="15.75" customHeight="1" x14ac:dyDescent="0.25">
      <c r="A117" s="239"/>
      <c r="B117" s="4" t="str">
        <f>IF('Option 1'!B117="","",'Option 1'!B117)</f>
        <v/>
      </c>
      <c r="C117" s="188" t="str">
        <f>IF('Option 1'!C117="","",'Option 1'!C117)</f>
        <v>Front Entry Railings (Bldg. 1415)</v>
      </c>
      <c r="D117" s="186" t="str">
        <f>IF('Option 1'!D117="","",'Option 1'!D117)</f>
        <v/>
      </c>
      <c r="E117" s="184" t="str">
        <f>IF('Option 1'!E117="","",'Option 1'!E117)</f>
        <v/>
      </c>
      <c r="F117" s="184" t="str">
        <f>IF('Option 1'!F117="","",'Option 1'!F117)</f>
        <v/>
      </c>
      <c r="G117" s="184" t="str">
        <f>IF('Option 1'!G117="","",'Option 1'!G117)</f>
        <v/>
      </c>
      <c r="H117" s="184" t="str">
        <f>IF('Option 1'!H117="","",'Option 1'!H117)</f>
        <v/>
      </c>
      <c r="I117" s="184" t="str">
        <f>IF('Option 1'!I117="","",'Option 1'!I117)</f>
        <v/>
      </c>
      <c r="J117" s="184" t="str">
        <f>IF('Option 1'!J117="","",'Option 1'!J117)</f>
        <v/>
      </c>
      <c r="K117" s="184" t="str">
        <f>IF('Option 1'!K117="","",'Option 1'!K117)</f>
        <v/>
      </c>
      <c r="L117" s="184" t="str">
        <f>IF('Option 1'!L117="","",'Option 1'!L117)</f>
        <v/>
      </c>
      <c r="M117" s="184" t="str">
        <f>IF('Option 1'!M117="","",'Option 1'!M117)</f>
        <v/>
      </c>
      <c r="N117" s="184" t="str">
        <f>IF('Option 1'!N117="","",'Option 1'!N117)</f>
        <v/>
      </c>
      <c r="O117" s="184" t="str">
        <f>IF('Option 1'!O117="","",'Option 1'!O117)</f>
        <v/>
      </c>
      <c r="P117" s="124">
        <f t="shared" si="9"/>
        <v>0</v>
      </c>
    </row>
    <row r="118" spans="1:16" ht="15.75" customHeight="1" x14ac:dyDescent="0.25">
      <c r="A118" s="239"/>
      <c r="B118" s="4" t="str">
        <f>IF('Option 1'!B118="","",'Option 1'!B118)</f>
        <v/>
      </c>
      <c r="C118" s="188" t="str">
        <f>IF('Option 1'!C118="","",'Option 1'!C118)</f>
        <v>Sidewalk Hand Railings</v>
      </c>
      <c r="D118" s="186" t="str">
        <f>IF('Option 1'!D118="","",'Option 1'!D118)</f>
        <v/>
      </c>
      <c r="E118" s="184" t="str">
        <f>IF('Option 1'!E118="","",'Option 1'!E118)</f>
        <v/>
      </c>
      <c r="F118" s="184" t="str">
        <f>IF('Option 1'!F118="","",'Option 1'!F118)</f>
        <v/>
      </c>
      <c r="G118" s="184" t="str">
        <f>IF('Option 1'!G118="","",'Option 1'!G118)</f>
        <v/>
      </c>
      <c r="H118" s="184">
        <f>IF('Option 1'!H118="","",'Option 1'!H118)</f>
        <v>23339</v>
      </c>
      <c r="I118" s="184" t="str">
        <f>IF('Option 1'!I118="","",'Option 1'!I118)</f>
        <v/>
      </c>
      <c r="J118" s="184" t="str">
        <f>IF('Option 1'!J118="","",'Option 1'!J118)</f>
        <v/>
      </c>
      <c r="K118" s="184" t="str">
        <f>IF('Option 1'!K118="","",'Option 1'!K118)</f>
        <v/>
      </c>
      <c r="L118" s="184" t="str">
        <f>IF('Option 1'!L118="","",'Option 1'!L118)</f>
        <v/>
      </c>
      <c r="M118" s="184" t="str">
        <f>IF('Option 1'!M118="","",'Option 1'!M118)</f>
        <v/>
      </c>
      <c r="N118" s="184" t="str">
        <f>IF('Option 1'!N118="","",'Option 1'!N118)</f>
        <v/>
      </c>
      <c r="O118" s="184" t="str">
        <f>IF('Option 1'!O118="","",'Option 1'!O118)</f>
        <v/>
      </c>
      <c r="P118" s="124">
        <f t="shared" si="9"/>
        <v>23339</v>
      </c>
    </row>
    <row r="119" spans="1:16" ht="15.75" customHeight="1" x14ac:dyDescent="0.25">
      <c r="A119" s="239"/>
      <c r="B119" s="4" t="str">
        <f>IF('Option 1'!B119="","",'Option 1'!B119)</f>
        <v/>
      </c>
      <c r="C119" s="188" t="str">
        <f>IF('Option 1'!C119="","",'Option 1'!C119)</f>
        <v>Brick Tuckpointing (Bldg. 1405)</v>
      </c>
      <c r="D119" s="186" t="str">
        <f>IF('Option 1'!D119="","",'Option 1'!D119)</f>
        <v/>
      </c>
      <c r="E119" s="184" t="str">
        <f>IF('Option 1'!E119="","",'Option 1'!E119)</f>
        <v/>
      </c>
      <c r="F119" s="184" t="str">
        <f>IF('Option 1'!F119="","",'Option 1'!F119)</f>
        <v/>
      </c>
      <c r="G119" s="184" t="str">
        <f>IF('Option 1'!G119="","",'Option 1'!G119)</f>
        <v/>
      </c>
      <c r="H119" s="184" t="str">
        <f>IF('Option 1'!H119="","",'Option 1'!H119)</f>
        <v/>
      </c>
      <c r="I119" s="184" t="str">
        <f>IF('Option 1'!I119="","",'Option 1'!I119)</f>
        <v/>
      </c>
      <c r="J119" s="184" t="str">
        <f>IF('Option 1'!J119="","",'Option 1'!J119)</f>
        <v/>
      </c>
      <c r="K119" s="184" t="str">
        <f>IF('Option 1'!K119="","",'Option 1'!K119)</f>
        <v/>
      </c>
      <c r="L119" s="184">
        <f>IF('Option 1'!L119="","",'Option 1'!L119)</f>
        <v>132825</v>
      </c>
      <c r="M119" s="184" t="str">
        <f>IF('Option 1'!M119="","",'Option 1'!M119)</f>
        <v/>
      </c>
      <c r="N119" s="184" t="str">
        <f>IF('Option 1'!N119="","",'Option 1'!N119)</f>
        <v/>
      </c>
      <c r="O119" s="184" t="str">
        <f>IF('Option 1'!O119="","",'Option 1'!O119)</f>
        <v/>
      </c>
      <c r="P119" s="124">
        <f t="shared" si="9"/>
        <v>132825</v>
      </c>
    </row>
    <row r="120" spans="1:16" ht="15.75" customHeight="1" x14ac:dyDescent="0.25">
      <c r="A120" s="239"/>
      <c r="B120" s="4" t="str">
        <f>IF('Option 1'!B120="","",'Option 1'!B120)</f>
        <v/>
      </c>
      <c r="C120" s="188" t="str">
        <f>IF('Option 1'!C120="","",'Option 1'!C120)</f>
        <v>Brick Tuckpointing (Bldg. 1415)</v>
      </c>
      <c r="D120" s="186" t="str">
        <f>IF('Option 1'!D120="","",'Option 1'!D120)</f>
        <v/>
      </c>
      <c r="E120" s="184" t="str">
        <f>IF('Option 1'!E120="","",'Option 1'!E120)</f>
        <v/>
      </c>
      <c r="F120" s="184" t="str">
        <f>IF('Option 1'!F120="","",'Option 1'!F120)</f>
        <v/>
      </c>
      <c r="G120" s="184" t="str">
        <f>IF('Option 1'!G120="","",'Option 1'!G120)</f>
        <v/>
      </c>
      <c r="H120" s="184" t="str">
        <f>IF('Option 1'!H120="","",'Option 1'!H120)</f>
        <v/>
      </c>
      <c r="I120" s="184" t="str">
        <f>IF('Option 1'!I120="","",'Option 1'!I120)</f>
        <v/>
      </c>
      <c r="J120" s="184" t="str">
        <f>IF('Option 1'!J120="","",'Option 1'!J120)</f>
        <v/>
      </c>
      <c r="K120" s="184" t="str">
        <f>IF('Option 1'!K120="","",'Option 1'!K120)</f>
        <v/>
      </c>
      <c r="L120" s="184" t="str">
        <f>IF('Option 1'!L120="","",'Option 1'!L120)</f>
        <v/>
      </c>
      <c r="M120" s="184">
        <f>IF('Option 1'!M120="","",'Option 1'!M120)</f>
        <v>132825</v>
      </c>
      <c r="N120" s="184" t="str">
        <f>IF('Option 1'!N120="","",'Option 1'!N120)</f>
        <v/>
      </c>
      <c r="O120" s="184" t="str">
        <f>IF('Option 1'!O120="","",'Option 1'!O120)</f>
        <v/>
      </c>
      <c r="P120" s="124">
        <f t="shared" si="9"/>
        <v>132825</v>
      </c>
    </row>
    <row r="121" spans="1:16" ht="15.75" customHeight="1" x14ac:dyDescent="0.25">
      <c r="A121" s="239"/>
      <c r="B121" s="4" t="str">
        <f>IF('Option 1'!B121="","",'Option 1'!B121)</f>
        <v/>
      </c>
      <c r="C121" s="188" t="str">
        <f>IF('Option 1'!C121="","",'Option 1'!C121)</f>
        <v>Brick Tuckpointing (Bldg. 1505)</v>
      </c>
      <c r="D121" s="186" t="str">
        <f>IF('Option 1'!D121="","",'Option 1'!D121)</f>
        <v/>
      </c>
      <c r="E121" s="184" t="str">
        <f>IF('Option 1'!E121="","",'Option 1'!E121)</f>
        <v/>
      </c>
      <c r="F121" s="184" t="str">
        <f>IF('Option 1'!F121="","",'Option 1'!F121)</f>
        <v/>
      </c>
      <c r="G121" s="184" t="str">
        <f>IF('Option 1'!G121="","",'Option 1'!G121)</f>
        <v/>
      </c>
      <c r="H121" s="184" t="str">
        <f>IF('Option 1'!H121="","",'Option 1'!H121)</f>
        <v/>
      </c>
      <c r="I121" s="184" t="str">
        <f>IF('Option 1'!I121="","",'Option 1'!I121)</f>
        <v/>
      </c>
      <c r="J121" s="184" t="str">
        <f>IF('Option 1'!J121="","",'Option 1'!J121)</f>
        <v/>
      </c>
      <c r="K121" s="184" t="str">
        <f>IF('Option 1'!K121="","",'Option 1'!K121)</f>
        <v/>
      </c>
      <c r="L121" s="184" t="str">
        <f>IF('Option 1'!L121="","",'Option 1'!L121)</f>
        <v/>
      </c>
      <c r="M121" s="184" t="str">
        <f>IF('Option 1'!M121="","",'Option 1'!M121)</f>
        <v/>
      </c>
      <c r="N121" s="184">
        <f>IF('Option 1'!N121="","",'Option 1'!N121)</f>
        <v>132825</v>
      </c>
      <c r="O121" s="184" t="str">
        <f>IF('Option 1'!O121="","",'Option 1'!O121)</f>
        <v/>
      </c>
      <c r="P121" s="124">
        <f t="shared" si="9"/>
        <v>132825</v>
      </c>
    </row>
    <row r="122" spans="1:16" ht="15.75" customHeight="1" x14ac:dyDescent="0.25">
      <c r="A122" s="239"/>
      <c r="B122" s="4" t="str">
        <f>IF('Option 1'!B122="","",'Option 1'!B122)</f>
        <v/>
      </c>
      <c r="C122" s="188" t="str">
        <f>IF('Option 1'!C122="","",'Option 1'!C122)</f>
        <v>Brick Tuckpointing (Bldg. 1515)</v>
      </c>
      <c r="D122" s="186" t="str">
        <f>IF('Option 1'!D122="","",'Option 1'!D122)</f>
        <v/>
      </c>
      <c r="E122" s="184" t="str">
        <f>IF('Option 1'!E122="","",'Option 1'!E122)</f>
        <v/>
      </c>
      <c r="F122" s="184" t="str">
        <f>IF('Option 1'!F122="","",'Option 1'!F122)</f>
        <v/>
      </c>
      <c r="G122" s="184" t="str">
        <f>IF('Option 1'!G122="","",'Option 1'!G122)</f>
        <v/>
      </c>
      <c r="H122" s="184" t="str">
        <f>IF('Option 1'!H122="","",'Option 1'!H122)</f>
        <v/>
      </c>
      <c r="I122" s="184" t="str">
        <f>IF('Option 1'!I122="","",'Option 1'!I122)</f>
        <v/>
      </c>
      <c r="J122" s="184" t="str">
        <f>IF('Option 1'!J122="","",'Option 1'!J122)</f>
        <v/>
      </c>
      <c r="K122" s="184" t="str">
        <f>IF('Option 1'!K122="","",'Option 1'!K122)</f>
        <v/>
      </c>
      <c r="L122" s="184" t="str">
        <f>IF('Option 1'!L122="","",'Option 1'!L122)</f>
        <v/>
      </c>
      <c r="M122" s="184" t="str">
        <f>IF('Option 1'!M122="","",'Option 1'!M122)</f>
        <v/>
      </c>
      <c r="N122" s="184" t="str">
        <f>IF('Option 1'!N122="","",'Option 1'!N122)</f>
        <v/>
      </c>
      <c r="O122" s="184">
        <f>IF('Option 1'!O122="","",'Option 1'!O122)</f>
        <v>132825</v>
      </c>
      <c r="P122" s="124">
        <f t="shared" si="9"/>
        <v>132825</v>
      </c>
    </row>
    <row r="123" spans="1:16" ht="15.75" customHeight="1" x14ac:dyDescent="0.25">
      <c r="A123" s="239"/>
      <c r="B123" s="4" t="str">
        <f>IF('Option 1'!B123="","",'Option 1'!B123)</f>
        <v/>
      </c>
      <c r="C123" s="188" t="str">
        <f>IF('Option 1'!C123="","",'Option 1'!C123)</f>
        <v>Brick Tuckpointing (Bldg. 1605)</v>
      </c>
      <c r="D123" s="186" t="str">
        <f>IF('Option 1'!D123="","",'Option 1'!D123)</f>
        <v/>
      </c>
      <c r="E123" s="184" t="str">
        <f>IF('Option 1'!E123="","",'Option 1'!E123)</f>
        <v/>
      </c>
      <c r="F123" s="184" t="str">
        <f>IF('Option 1'!F123="","",'Option 1'!F123)</f>
        <v/>
      </c>
      <c r="G123" s="184" t="str">
        <f>IF('Option 1'!G123="","",'Option 1'!G123)</f>
        <v/>
      </c>
      <c r="H123" s="184" t="str">
        <f>IF('Option 1'!H123="","",'Option 1'!H123)</f>
        <v/>
      </c>
      <c r="I123" s="184" t="str">
        <f>IF('Option 1'!I123="","",'Option 1'!I123)</f>
        <v/>
      </c>
      <c r="J123" s="184" t="str">
        <f>IF('Option 1'!J123="","",'Option 1'!J123)</f>
        <v/>
      </c>
      <c r="K123" s="184" t="str">
        <f>IF('Option 1'!K123="","",'Option 1'!K123)</f>
        <v/>
      </c>
      <c r="L123" s="184" t="str">
        <f>IF('Option 1'!L123="","",'Option 1'!L123)</f>
        <v/>
      </c>
      <c r="M123" s="184" t="str">
        <f>IF('Option 1'!M123="","",'Option 1'!M123)</f>
        <v/>
      </c>
      <c r="N123" s="184" t="str">
        <f>IF('Option 1'!N123="","",'Option 1'!N123)</f>
        <v/>
      </c>
      <c r="O123" s="184" t="str">
        <f>IF('Option 1'!O123="","",'Option 1'!O123)</f>
        <v/>
      </c>
      <c r="P123" s="124">
        <f t="shared" si="9"/>
        <v>0</v>
      </c>
    </row>
    <row r="124" spans="1:16" ht="15.75" customHeight="1" x14ac:dyDescent="0.25">
      <c r="A124" s="239"/>
      <c r="B124" s="4" t="str">
        <f>IF('Option 1'!B124="","",'Option 1'!B124)</f>
        <v/>
      </c>
      <c r="C124" s="188" t="str">
        <f>IF('Option 1'!C124="","",'Option 1'!C124)</f>
        <v>Brick Tuckpointing (Bldg. 1615)</v>
      </c>
      <c r="D124" s="186" t="str">
        <f>IF('Option 1'!D124="","",'Option 1'!D124)</f>
        <v/>
      </c>
      <c r="E124" s="184" t="str">
        <f>IF('Option 1'!E124="","",'Option 1'!E124)</f>
        <v/>
      </c>
      <c r="F124" s="184" t="str">
        <f>IF('Option 1'!F124="","",'Option 1'!F124)</f>
        <v/>
      </c>
      <c r="G124" s="184" t="str">
        <f>IF('Option 1'!G124="","",'Option 1'!G124)</f>
        <v/>
      </c>
      <c r="H124" s="184" t="str">
        <f>IF('Option 1'!H124="","",'Option 1'!H124)</f>
        <v/>
      </c>
      <c r="I124" s="184" t="str">
        <f>IF('Option 1'!I124="","",'Option 1'!I124)</f>
        <v/>
      </c>
      <c r="J124" s="184" t="str">
        <f>IF('Option 1'!J124="","",'Option 1'!J124)</f>
        <v/>
      </c>
      <c r="K124" s="184" t="str">
        <f>IF('Option 1'!K124="","",'Option 1'!K124)</f>
        <v/>
      </c>
      <c r="L124" s="184" t="str">
        <f>IF('Option 1'!L124="","",'Option 1'!L124)</f>
        <v/>
      </c>
      <c r="M124" s="184" t="str">
        <f>IF('Option 1'!M124="","",'Option 1'!M124)</f>
        <v/>
      </c>
      <c r="N124" s="184" t="str">
        <f>IF('Option 1'!N124="","",'Option 1'!N124)</f>
        <v/>
      </c>
      <c r="O124" s="184" t="str">
        <f>IF('Option 1'!O124="","",'Option 1'!O124)</f>
        <v/>
      </c>
      <c r="P124" s="124">
        <f t="shared" si="9"/>
        <v>0</v>
      </c>
    </row>
    <row r="125" spans="1:16" ht="15.75" customHeight="1" x14ac:dyDescent="0.25">
      <c r="A125" s="239"/>
      <c r="B125" s="4" t="str">
        <f>IF('Option 1'!B125="","",'Option 1'!B125)</f>
        <v/>
      </c>
      <c r="C125" s="188" t="str">
        <f>IF('Option 1'!C125="","",'Option 1'!C125)</f>
        <v>Window Caulking</v>
      </c>
      <c r="D125" s="186" t="str">
        <f>IF('Option 1'!D125="","",'Option 1'!D125)</f>
        <v/>
      </c>
      <c r="E125" s="184" t="str">
        <f>IF('Option 1'!E125="","",'Option 1'!E125)</f>
        <v/>
      </c>
      <c r="F125" s="184" t="str">
        <f>IF('Option 1'!F125="","",'Option 1'!F125)</f>
        <v/>
      </c>
      <c r="G125" s="184" t="str">
        <f>IF('Option 1'!G125="","",'Option 1'!G125)</f>
        <v/>
      </c>
      <c r="H125" s="184" t="str">
        <f>IF('Option 1'!H125="","",'Option 1'!H125)</f>
        <v/>
      </c>
      <c r="I125" s="184" t="str">
        <f>IF('Option 1'!I125="","",'Option 1'!I125)</f>
        <v/>
      </c>
      <c r="J125" s="184" t="str">
        <f>IF('Option 1'!J125="","",'Option 1'!J125)</f>
        <v/>
      </c>
      <c r="K125" s="184" t="str">
        <f>IF('Option 1'!K125="","",'Option 1'!K125)</f>
        <v/>
      </c>
      <c r="L125" s="184" t="str">
        <f>IF('Option 1'!L125="","",'Option 1'!L125)</f>
        <v/>
      </c>
      <c r="M125" s="184" t="str">
        <f>IF('Option 1'!M125="","",'Option 1'!M125)</f>
        <v/>
      </c>
      <c r="N125" s="184" t="str">
        <f>IF('Option 1'!N125="","",'Option 1'!N125)</f>
        <v/>
      </c>
      <c r="O125" s="184">
        <f>IF('Option 1'!O125="","",'Option 1'!O125)</f>
        <v>101092</v>
      </c>
      <c r="P125" s="124">
        <f t="shared" si="9"/>
        <v>101092</v>
      </c>
    </row>
    <row r="126" spans="1:16" ht="15.75" customHeight="1" x14ac:dyDescent="0.25">
      <c r="A126" s="239"/>
      <c r="B126" s="4" t="str">
        <f>IF('Option 1'!B126="","",'Option 1'!B126)</f>
        <v/>
      </c>
      <c r="C126" s="188" t="str">
        <f>IF('Option 1'!C126="","",'Option 1'!C126)</f>
        <v>Dryvent (Clubhouse)</v>
      </c>
      <c r="D126" s="186" t="str">
        <f>IF('Option 1'!D126="","",'Option 1'!D126)</f>
        <v/>
      </c>
      <c r="E126" s="184" t="str">
        <f>IF('Option 1'!E126="","",'Option 1'!E126)</f>
        <v/>
      </c>
      <c r="F126" s="184" t="str">
        <f>IF('Option 1'!F126="","",'Option 1'!F126)</f>
        <v/>
      </c>
      <c r="G126" s="184" t="str">
        <f>IF('Option 1'!G126="","",'Option 1'!G126)</f>
        <v/>
      </c>
      <c r="H126" s="184" t="str">
        <f>IF('Option 1'!H126="","",'Option 1'!H126)</f>
        <v/>
      </c>
      <c r="I126" s="184" t="str">
        <f>IF('Option 1'!I126="","",'Option 1'!I126)</f>
        <v/>
      </c>
      <c r="J126" s="184" t="str">
        <f>IF('Option 1'!J126="","",'Option 1'!J126)</f>
        <v/>
      </c>
      <c r="K126" s="184" t="str">
        <f>IF('Option 1'!K126="","",'Option 1'!K126)</f>
        <v/>
      </c>
      <c r="L126" s="184" t="str">
        <f>IF('Option 1'!L126="","",'Option 1'!L126)</f>
        <v/>
      </c>
      <c r="M126" s="184" t="str">
        <f>IF('Option 1'!M126="","",'Option 1'!M126)</f>
        <v/>
      </c>
      <c r="N126" s="184" t="str">
        <f>IF('Option 1'!N126="","",'Option 1'!N126)</f>
        <v/>
      </c>
      <c r="O126" s="184" t="str">
        <f>IF('Option 1'!O126="","",'Option 1'!O126)</f>
        <v/>
      </c>
      <c r="P126" s="124">
        <f t="shared" si="9"/>
        <v>0</v>
      </c>
    </row>
    <row r="127" spans="1:16" ht="15.75" customHeight="1" x14ac:dyDescent="0.25">
      <c r="A127" s="239"/>
      <c r="B127" s="4" t="str">
        <f>IF('Option 1'!B127="","",'Option 1'!B127)</f>
        <v/>
      </c>
      <c r="C127" s="188" t="str">
        <f>IF('Option 1'!C127="","",'Option 1'!C127)</f>
        <v>Windows (Clubhouse)</v>
      </c>
      <c r="D127" s="186" t="str">
        <f>IF('Option 1'!D127="","",'Option 1'!D127)</f>
        <v/>
      </c>
      <c r="E127" s="184" t="str">
        <f>IF('Option 1'!E127="","",'Option 1'!E127)</f>
        <v/>
      </c>
      <c r="F127" s="184" t="str">
        <f>IF('Option 1'!F127="","",'Option 1'!F127)</f>
        <v/>
      </c>
      <c r="G127" s="184" t="str">
        <f>IF('Option 1'!G127="","",'Option 1'!G127)</f>
        <v/>
      </c>
      <c r="H127" s="184" t="str">
        <f>IF('Option 1'!H127="","",'Option 1'!H127)</f>
        <v/>
      </c>
      <c r="I127" s="184" t="str">
        <f>IF('Option 1'!I127="","",'Option 1'!I127)</f>
        <v/>
      </c>
      <c r="J127" s="184" t="str">
        <f>IF('Option 1'!J127="","",'Option 1'!J127)</f>
        <v/>
      </c>
      <c r="K127" s="184" t="str">
        <f>IF('Option 1'!K127="","",'Option 1'!K127)</f>
        <v/>
      </c>
      <c r="L127" s="184" t="str">
        <f>IF('Option 1'!L127="","",'Option 1'!L127)</f>
        <v/>
      </c>
      <c r="M127" s="184" t="str">
        <f>IF('Option 1'!M127="","",'Option 1'!M127)</f>
        <v/>
      </c>
      <c r="N127" s="184" t="str">
        <f>IF('Option 1'!N127="","",'Option 1'!N127)</f>
        <v/>
      </c>
      <c r="O127" s="184" t="str">
        <f>IF('Option 1'!O127="","",'Option 1'!O127)</f>
        <v/>
      </c>
      <c r="P127" s="124">
        <f t="shared" si="9"/>
        <v>0</v>
      </c>
    </row>
    <row r="128" spans="1:16" ht="15.75" customHeight="1" x14ac:dyDescent="0.25">
      <c r="A128" s="239"/>
      <c r="B128" s="4" t="str">
        <f>IF('Option 1'!B128="","",'Option 1'!B128)</f>
        <v/>
      </c>
      <c r="C128" s="188" t="str">
        <f>IF('Option 1'!C128="","",'Option 1'!C128)</f>
        <v>Patio Doors (Clubhouse)</v>
      </c>
      <c r="D128" s="186" t="str">
        <f>IF('Option 1'!D128="","",'Option 1'!D128)</f>
        <v/>
      </c>
      <c r="E128" s="184" t="str">
        <f>IF('Option 1'!E128="","",'Option 1'!E128)</f>
        <v/>
      </c>
      <c r="F128" s="184" t="str">
        <f>IF('Option 1'!F128="","",'Option 1'!F128)</f>
        <v/>
      </c>
      <c r="G128" s="184" t="str">
        <f>IF('Option 1'!G128="","",'Option 1'!G128)</f>
        <v/>
      </c>
      <c r="H128" s="184" t="str">
        <f>IF('Option 1'!H128="","",'Option 1'!H128)</f>
        <v/>
      </c>
      <c r="I128" s="184" t="str">
        <f>IF('Option 1'!I128="","",'Option 1'!I128)</f>
        <v/>
      </c>
      <c r="J128" s="184" t="str">
        <f>IF('Option 1'!J128="","",'Option 1'!J128)</f>
        <v/>
      </c>
      <c r="K128" s="184">
        <f>IF('Option 1'!K128="","",'Option 1'!K128)</f>
        <v>17298</v>
      </c>
      <c r="L128" s="184" t="str">
        <f>IF('Option 1'!L128="","",'Option 1'!L128)</f>
        <v/>
      </c>
      <c r="M128" s="184" t="str">
        <f>IF('Option 1'!M128="","",'Option 1'!M128)</f>
        <v/>
      </c>
      <c r="N128" s="184" t="str">
        <f>IF('Option 1'!N128="","",'Option 1'!N128)</f>
        <v/>
      </c>
      <c r="O128" s="184" t="str">
        <f>IF('Option 1'!O128="","",'Option 1'!O128)</f>
        <v/>
      </c>
      <c r="P128" s="124">
        <f t="shared" si="9"/>
        <v>17298</v>
      </c>
    </row>
    <row r="129" spans="1:16" ht="15.75" customHeight="1" x14ac:dyDescent="0.25">
      <c r="A129" s="239"/>
      <c r="B129" s="4" t="str">
        <f>IF('Option 1'!B129="","",'Option 1'!B129)</f>
        <v/>
      </c>
      <c r="C129" s="188" t="str">
        <f>IF('Option 1'!C129="","",'Option 1'!C129)</f>
        <v>Window Wall (Clubhouse)</v>
      </c>
      <c r="D129" s="186" t="str">
        <f>IF('Option 1'!D129="","",'Option 1'!D129)</f>
        <v/>
      </c>
      <c r="E129" s="184" t="str">
        <f>IF('Option 1'!E129="","",'Option 1'!E129)</f>
        <v/>
      </c>
      <c r="F129" s="184" t="str">
        <f>IF('Option 1'!F129="","",'Option 1'!F129)</f>
        <v/>
      </c>
      <c r="G129" s="184" t="str">
        <f>IF('Option 1'!G129="","",'Option 1'!G129)</f>
        <v/>
      </c>
      <c r="H129" s="184" t="str">
        <f>IF('Option 1'!H129="","",'Option 1'!H129)</f>
        <v/>
      </c>
      <c r="I129" s="184" t="str">
        <f>IF('Option 1'!I129="","",'Option 1'!I129)</f>
        <v/>
      </c>
      <c r="J129" s="184" t="str">
        <f>IF('Option 1'!J129="","",'Option 1'!J129)</f>
        <v/>
      </c>
      <c r="K129" s="184" t="str">
        <f>IF('Option 1'!K129="","",'Option 1'!K129)</f>
        <v/>
      </c>
      <c r="L129" s="184">
        <f>IF('Option 1'!L129="","",'Option 1'!L129)</f>
        <v>11071</v>
      </c>
      <c r="M129" s="184" t="str">
        <f>IF('Option 1'!M129="","",'Option 1'!M129)</f>
        <v/>
      </c>
      <c r="N129" s="184" t="str">
        <f>IF('Option 1'!N129="","",'Option 1'!N129)</f>
        <v/>
      </c>
      <c r="O129" s="184" t="str">
        <f>IF('Option 1'!O129="","",'Option 1'!O129)</f>
        <v/>
      </c>
      <c r="P129" s="124">
        <f t="shared" si="9"/>
        <v>11071</v>
      </c>
    </row>
    <row r="130" spans="1:16" ht="15.75" customHeight="1" x14ac:dyDescent="0.25">
      <c r="A130" s="239"/>
      <c r="B130" s="4" t="str">
        <f>IF('Option 1'!B130="","",'Option 1'!B130)</f>
        <v/>
      </c>
      <c r="C130" s="188" t="str">
        <f>IF('Option 1'!C130="","",'Option 1'!C130)</f>
        <v>Window Wall (Bldgs. 1415, 1515, 1605, 1615)</v>
      </c>
      <c r="D130" s="186" t="str">
        <f>IF('Option 1'!D130="","",'Option 1'!D130)</f>
        <v/>
      </c>
      <c r="E130" s="184" t="str">
        <f>IF('Option 1'!E130="","",'Option 1'!E130)</f>
        <v/>
      </c>
      <c r="F130" s="184" t="str">
        <f>IF('Option 1'!F130="","",'Option 1'!F130)</f>
        <v/>
      </c>
      <c r="G130" s="184" t="str">
        <f>IF('Option 1'!G130="","",'Option 1'!G130)</f>
        <v/>
      </c>
      <c r="H130" s="184" t="str">
        <f>IF('Option 1'!H130="","",'Option 1'!H130)</f>
        <v/>
      </c>
      <c r="I130" s="184" t="str">
        <f>IF('Option 1'!I130="","",'Option 1'!I130)</f>
        <v/>
      </c>
      <c r="J130" s="184" t="str">
        <f>IF('Option 1'!J130="","",'Option 1'!J130)</f>
        <v/>
      </c>
      <c r="K130" s="184" t="str">
        <f>IF('Option 1'!K130="","",'Option 1'!K130)</f>
        <v/>
      </c>
      <c r="L130" s="184" t="str">
        <f>IF('Option 1'!L130="","",'Option 1'!L130)</f>
        <v/>
      </c>
      <c r="M130" s="184" t="str">
        <f>IF('Option 1'!M130="","",'Option 1'!M130)</f>
        <v/>
      </c>
      <c r="N130" s="184" t="str">
        <f>IF('Option 1'!N130="","",'Option 1'!N130)</f>
        <v/>
      </c>
      <c r="O130" s="184" t="str">
        <f>IF('Option 1'!O130="","",'Option 1'!O130)</f>
        <v/>
      </c>
      <c r="P130" s="124">
        <f t="shared" si="9"/>
        <v>0</v>
      </c>
    </row>
    <row r="131" spans="1:16" ht="15.75" customHeight="1" x14ac:dyDescent="0.25">
      <c r="A131" s="239"/>
      <c r="B131" s="4" t="str">
        <f>IF('Option 1'!B131="","",'Option 1'!B131)</f>
        <v/>
      </c>
      <c r="C131" s="188" t="str">
        <f>IF('Option 1'!C131="","",'Option 1'!C131)</f>
        <v>Window Wall (Bldg. 1505)</v>
      </c>
      <c r="D131" s="186" t="str">
        <f>IF('Option 1'!D131="","",'Option 1'!D131)</f>
        <v/>
      </c>
      <c r="E131" s="184" t="str">
        <f>IF('Option 1'!E131="","",'Option 1'!E131)</f>
        <v/>
      </c>
      <c r="F131" s="184" t="str">
        <f>IF('Option 1'!F131="","",'Option 1'!F131)</f>
        <v/>
      </c>
      <c r="G131" s="184" t="str">
        <f>IF('Option 1'!G131="","",'Option 1'!G131)</f>
        <v/>
      </c>
      <c r="H131" s="184" t="str">
        <f>IF('Option 1'!H131="","",'Option 1'!H131)</f>
        <v/>
      </c>
      <c r="I131" s="184" t="str">
        <f>IF('Option 1'!I131="","",'Option 1'!I131)</f>
        <v/>
      </c>
      <c r="J131" s="184" t="str">
        <f>IF('Option 1'!J131="","",'Option 1'!J131)</f>
        <v/>
      </c>
      <c r="K131" s="184" t="str">
        <f>IF('Option 1'!K131="","",'Option 1'!K131)</f>
        <v/>
      </c>
      <c r="L131" s="184" t="str">
        <f>IF('Option 1'!L131="","",'Option 1'!L131)</f>
        <v/>
      </c>
      <c r="M131" s="184" t="str">
        <f>IF('Option 1'!M131="","",'Option 1'!M131)</f>
        <v/>
      </c>
      <c r="N131" s="184" t="str">
        <f>IF('Option 1'!N131="","",'Option 1'!N131)</f>
        <v/>
      </c>
      <c r="O131" s="184" t="str">
        <f>IF('Option 1'!O131="","",'Option 1'!O131)</f>
        <v/>
      </c>
      <c r="P131" s="124">
        <f t="shared" si="9"/>
        <v>0</v>
      </c>
    </row>
    <row r="132" spans="1:16" ht="15.75" customHeight="1" x14ac:dyDescent="0.25">
      <c r="A132" s="239"/>
      <c r="B132" s="4" t="str">
        <f>IF('Option 1'!B132="","",'Option 1'!B132)</f>
        <v/>
      </c>
      <c r="C132" s="188" t="str">
        <f>IF('Option 1'!C132="","",'Option 1'!C132)</f>
        <v>Window Wall (Bldg. 1405)</v>
      </c>
      <c r="D132" s="186" t="str">
        <f>IF('Option 1'!D132="","",'Option 1'!D132)</f>
        <v/>
      </c>
      <c r="E132" s="184" t="str">
        <f>IF('Option 1'!E132="","",'Option 1'!E132)</f>
        <v/>
      </c>
      <c r="F132" s="184" t="str">
        <f>IF('Option 1'!F132="","",'Option 1'!F132)</f>
        <v/>
      </c>
      <c r="G132" s="184" t="str">
        <f>IF('Option 1'!G132="","",'Option 1'!G132)</f>
        <v/>
      </c>
      <c r="H132" s="184" t="str">
        <f>IF('Option 1'!H132="","",'Option 1'!H132)</f>
        <v/>
      </c>
      <c r="I132" s="184" t="str">
        <f>IF('Option 1'!I132="","",'Option 1'!I132)</f>
        <v/>
      </c>
      <c r="J132" s="184" t="str">
        <f>IF('Option 1'!J132="","",'Option 1'!J132)</f>
        <v/>
      </c>
      <c r="K132" s="184" t="str">
        <f>IF('Option 1'!K132="","",'Option 1'!K132)</f>
        <v/>
      </c>
      <c r="L132" s="184" t="str">
        <f>IF('Option 1'!L132="","",'Option 1'!L132)</f>
        <v/>
      </c>
      <c r="M132" s="184" t="str">
        <f>IF('Option 1'!M132="","",'Option 1'!M132)</f>
        <v/>
      </c>
      <c r="N132" s="184" t="str">
        <f>IF('Option 1'!N132="","",'Option 1'!N132)</f>
        <v/>
      </c>
      <c r="O132" s="184" t="str">
        <f>IF('Option 1'!O132="","",'Option 1'!O132)</f>
        <v/>
      </c>
      <c r="P132" s="124">
        <f t="shared" si="9"/>
        <v>0</v>
      </c>
    </row>
    <row r="133" spans="1:16" ht="15.75" customHeight="1" x14ac:dyDescent="0.25">
      <c r="A133" s="239"/>
      <c r="B133" s="4" t="str">
        <f>IF('Option 1'!B133="","",'Option 1'!B133)</f>
        <v/>
      </c>
      <c r="C133" s="188" t="str">
        <f>IF('Option 1'!C133="","",'Option 1'!C133)</f>
        <v>Exterior Metal Doors (Clubhouse)</v>
      </c>
      <c r="D133" s="186" t="str">
        <f>IF('Option 1'!D133="","",'Option 1'!D133)</f>
        <v/>
      </c>
      <c r="E133" s="184" t="str">
        <f>IF('Option 1'!E133="","",'Option 1'!E133)</f>
        <v/>
      </c>
      <c r="F133" s="184">
        <f>IF('Option 1'!F133="","",'Option 1'!F133)</f>
        <v>4152</v>
      </c>
      <c r="G133" s="184" t="str">
        <f>IF('Option 1'!G133="","",'Option 1'!G133)</f>
        <v/>
      </c>
      <c r="H133" s="184" t="str">
        <f>IF('Option 1'!H133="","",'Option 1'!H133)</f>
        <v/>
      </c>
      <c r="I133" s="184" t="str">
        <f>IF('Option 1'!I133="","",'Option 1'!I133)</f>
        <v/>
      </c>
      <c r="J133" s="184" t="str">
        <f>IF('Option 1'!J133="","",'Option 1'!J133)</f>
        <v/>
      </c>
      <c r="K133" s="184" t="str">
        <f>IF('Option 1'!K133="","",'Option 1'!K133)</f>
        <v/>
      </c>
      <c r="L133" s="184" t="str">
        <f>IF('Option 1'!L133="","",'Option 1'!L133)</f>
        <v/>
      </c>
      <c r="M133" s="184" t="str">
        <f>IF('Option 1'!M133="","",'Option 1'!M133)</f>
        <v/>
      </c>
      <c r="N133" s="184" t="str">
        <f>IF('Option 1'!N133="","",'Option 1'!N133)</f>
        <v/>
      </c>
      <c r="O133" s="184" t="str">
        <f>IF('Option 1'!O133="","",'Option 1'!O133)</f>
        <v/>
      </c>
      <c r="P133" s="124">
        <f t="shared" si="9"/>
        <v>4152</v>
      </c>
    </row>
    <row r="134" spans="1:16" ht="15.75" customHeight="1" x14ac:dyDescent="0.25">
      <c r="A134" s="239"/>
      <c r="B134" s="4" t="str">
        <f>IF('Option 1'!B134="","",'Option 1'!B134)</f>
        <v/>
      </c>
      <c r="C134" s="188" t="str">
        <f>IF('Option 1'!C134="","",'Option 1'!C134)</f>
        <v>Patio Fence Gate (Clubhouse)</v>
      </c>
      <c r="D134" s="186" t="str">
        <f>IF('Option 1'!D134="","",'Option 1'!D134)</f>
        <v/>
      </c>
      <c r="E134" s="184" t="str">
        <f>IF('Option 1'!E134="","",'Option 1'!E134)</f>
        <v/>
      </c>
      <c r="F134" s="184" t="str">
        <f>IF('Option 1'!F134="","",'Option 1'!F134)</f>
        <v/>
      </c>
      <c r="G134" s="184" t="str">
        <f>IF('Option 1'!G134="","",'Option 1'!G134)</f>
        <v/>
      </c>
      <c r="H134" s="184" t="str">
        <f>IF('Option 1'!H134="","",'Option 1'!H134)</f>
        <v/>
      </c>
      <c r="I134" s="184" t="str">
        <f>IF('Option 1'!I134="","",'Option 1'!I134)</f>
        <v/>
      </c>
      <c r="J134" s="184" t="str">
        <f>IF('Option 1'!J134="","",'Option 1'!J134)</f>
        <v/>
      </c>
      <c r="K134" s="184" t="str">
        <f>IF('Option 1'!K134="","",'Option 1'!K134)</f>
        <v/>
      </c>
      <c r="L134" s="184" t="str">
        <f>IF('Option 1'!L134="","",'Option 1'!L134)</f>
        <v/>
      </c>
      <c r="M134" s="184" t="str">
        <f>IF('Option 1'!M134="","",'Option 1'!M134)</f>
        <v/>
      </c>
      <c r="N134" s="184" t="str">
        <f>IF('Option 1'!N134="","",'Option 1'!N134)</f>
        <v/>
      </c>
      <c r="O134" s="184" t="str">
        <f>IF('Option 1'!O134="","",'Option 1'!O134)</f>
        <v/>
      </c>
      <c r="P134" s="124">
        <f t="shared" si="9"/>
        <v>0</v>
      </c>
    </row>
    <row r="135" spans="1:16" ht="15.75" customHeight="1" x14ac:dyDescent="0.25">
      <c r="A135" s="239"/>
      <c r="B135" s="4" t="str">
        <f>IF('Option 1'!B135="","",'Option 1'!B135)</f>
        <v/>
      </c>
      <c r="C135" s="188" t="str">
        <f>IF('Option 1'!C135="","",'Option 1'!C135)</f>
        <v>Trellis and Columns</v>
      </c>
      <c r="D135" s="186" t="str">
        <f>IF('Option 1'!D135="","",'Option 1'!D135)</f>
        <v/>
      </c>
      <c r="E135" s="184" t="str">
        <f>IF('Option 1'!E135="","",'Option 1'!E135)</f>
        <v/>
      </c>
      <c r="F135" s="184" t="str">
        <f>IF('Option 1'!F135="","",'Option 1'!F135)</f>
        <v/>
      </c>
      <c r="G135" s="184" t="str">
        <f>IF('Option 1'!G135="","",'Option 1'!G135)</f>
        <v/>
      </c>
      <c r="H135" s="184" t="str">
        <f>IF('Option 1'!H135="","",'Option 1'!H135)</f>
        <v/>
      </c>
      <c r="I135" s="184" t="str">
        <f>IF('Option 1'!I135="","",'Option 1'!I135)</f>
        <v/>
      </c>
      <c r="J135" s="184" t="str">
        <f>IF('Option 1'!J135="","",'Option 1'!J135)</f>
        <v/>
      </c>
      <c r="K135" s="184" t="str">
        <f>IF('Option 1'!K135="","",'Option 1'!K135)</f>
        <v/>
      </c>
      <c r="L135" s="184" t="str">
        <f>IF('Option 1'!L135="","",'Option 1'!L135)</f>
        <v/>
      </c>
      <c r="M135" s="184" t="str">
        <f>IF('Option 1'!M135="","",'Option 1'!M135)</f>
        <v/>
      </c>
      <c r="N135" s="184" t="str">
        <f>IF('Option 1'!N135="","",'Option 1'!N135)</f>
        <v/>
      </c>
      <c r="O135" s="184" t="str">
        <f>IF('Option 1'!O135="","",'Option 1'!O135)</f>
        <v/>
      </c>
      <c r="P135" s="124">
        <f t="shared" si="9"/>
        <v>0</v>
      </c>
    </row>
    <row r="136" spans="1:16" ht="15.75" customHeight="1" x14ac:dyDescent="0.25">
      <c r="A136" s="239"/>
      <c r="B136" s="4" t="str">
        <f>IF('Option 1'!B136="","",'Option 1'!B136)</f>
        <v/>
      </c>
      <c r="C136" s="188" t="str">
        <f>IF('Option 1'!C136="","",'Option 1'!C136)</f>
        <v>Precast Concrete Planters</v>
      </c>
      <c r="D136" s="186" t="str">
        <f>IF('Option 1'!D136="","",'Option 1'!D136)</f>
        <v/>
      </c>
      <c r="E136" s="184">
        <f>IF('Option 1'!E136="","",'Option 1'!E136)</f>
        <v>3875</v>
      </c>
      <c r="F136" s="184" t="str">
        <f>IF('Option 1'!F136="","",'Option 1'!F136)</f>
        <v/>
      </c>
      <c r="G136" s="184" t="str">
        <f>IF('Option 1'!G136="","",'Option 1'!G136)</f>
        <v/>
      </c>
      <c r="H136" s="184" t="str">
        <f>IF('Option 1'!H136="","",'Option 1'!H136)</f>
        <v/>
      </c>
      <c r="I136" s="184" t="str">
        <f>IF('Option 1'!I136="","",'Option 1'!I136)</f>
        <v/>
      </c>
      <c r="J136" s="184" t="str">
        <f>IF('Option 1'!J136="","",'Option 1'!J136)</f>
        <v/>
      </c>
      <c r="K136" s="184" t="str">
        <f>IF('Option 1'!K136="","",'Option 1'!K136)</f>
        <v/>
      </c>
      <c r="L136" s="184" t="str">
        <f>IF('Option 1'!L136="","",'Option 1'!L136)</f>
        <v/>
      </c>
      <c r="M136" s="184" t="str">
        <f>IF('Option 1'!M136="","",'Option 1'!M136)</f>
        <v/>
      </c>
      <c r="N136" s="184" t="str">
        <f>IF('Option 1'!N136="","",'Option 1'!N136)</f>
        <v/>
      </c>
      <c r="O136" s="184" t="str">
        <f>IF('Option 1'!O136="","",'Option 1'!O136)</f>
        <v/>
      </c>
      <c r="P136" s="124">
        <f t="shared" si="9"/>
        <v>3875</v>
      </c>
    </row>
    <row r="137" spans="1:16" ht="15.75" customHeight="1" x14ac:dyDescent="0.25">
      <c r="A137" s="239"/>
      <c r="B137" s="4" t="str">
        <f>IF('Option 1'!B137="","",'Option 1'!B137)</f>
        <v/>
      </c>
      <c r="C137" s="188" t="str">
        <f>IF('Option 1'!C137="","",'Option 1'!C137)</f>
        <v>Precast Concrete Catwalks</v>
      </c>
      <c r="D137" s="186" t="str">
        <f>IF('Option 1'!D137="","",'Option 1'!D137)</f>
        <v/>
      </c>
      <c r="E137" s="184" t="str">
        <f>IF('Option 1'!E137="","",'Option 1'!E137)</f>
        <v/>
      </c>
      <c r="F137" s="184" t="str">
        <f>IF('Option 1'!F137="","",'Option 1'!F137)</f>
        <v/>
      </c>
      <c r="G137" s="184" t="str">
        <f>IF('Option 1'!G137="","",'Option 1'!G137)</f>
        <v/>
      </c>
      <c r="H137" s="184" t="str">
        <f>IF('Option 1'!H137="","",'Option 1'!H137)</f>
        <v/>
      </c>
      <c r="I137" s="184" t="str">
        <f>IF('Option 1'!I137="","",'Option 1'!I137)</f>
        <v/>
      </c>
      <c r="J137" s="184" t="str">
        <f>IF('Option 1'!J137="","",'Option 1'!J137)</f>
        <v/>
      </c>
      <c r="K137" s="184" t="str">
        <f>IF('Option 1'!K137="","",'Option 1'!K137)</f>
        <v/>
      </c>
      <c r="L137" s="184" t="str">
        <f>IF('Option 1'!L137="","",'Option 1'!L137)</f>
        <v/>
      </c>
      <c r="M137" s="184" t="str">
        <f>IF('Option 1'!M137="","",'Option 1'!M137)</f>
        <v/>
      </c>
      <c r="N137" s="184" t="str">
        <f>IF('Option 1'!N137="","",'Option 1'!N137)</f>
        <v/>
      </c>
      <c r="O137" s="184" t="str">
        <f>IF('Option 1'!O137="","",'Option 1'!O137)</f>
        <v/>
      </c>
      <c r="P137" s="124">
        <f t="shared" si="9"/>
        <v>0</v>
      </c>
    </row>
    <row r="138" spans="1:16" ht="15.75" customHeight="1" x14ac:dyDescent="0.25">
      <c r="A138" s="239"/>
      <c r="B138" s="4" t="str">
        <f>IF('Option 1'!B138="","",'Option 1'!B138)</f>
        <v/>
      </c>
      <c r="C138" s="188" t="str">
        <f>IF('Option 1'!C138="","",'Option 1'!C138)</f>
        <v>Catwalk Railings</v>
      </c>
      <c r="D138" s="186" t="str">
        <f>IF('Option 1'!D138="","",'Option 1'!D138)</f>
        <v/>
      </c>
      <c r="E138" s="184" t="str">
        <f>IF('Option 1'!E138="","",'Option 1'!E138)</f>
        <v/>
      </c>
      <c r="F138" s="184" t="str">
        <f>IF('Option 1'!F138="","",'Option 1'!F138)</f>
        <v/>
      </c>
      <c r="G138" s="184" t="str">
        <f>IF('Option 1'!G138="","",'Option 1'!G138)</f>
        <v/>
      </c>
      <c r="H138" s="184" t="str">
        <f>IF('Option 1'!H138="","",'Option 1'!H138)</f>
        <v/>
      </c>
      <c r="I138" s="184" t="str">
        <f>IF('Option 1'!I138="","",'Option 1'!I138)</f>
        <v/>
      </c>
      <c r="J138" s="184" t="str">
        <f>IF('Option 1'!J138="","",'Option 1'!J138)</f>
        <v/>
      </c>
      <c r="K138" s="184" t="str">
        <f>IF('Option 1'!K138="","",'Option 1'!K138)</f>
        <v/>
      </c>
      <c r="L138" s="184" t="str">
        <f>IF('Option 1'!L138="","",'Option 1'!L138)</f>
        <v/>
      </c>
      <c r="M138" s="184" t="str">
        <f>IF('Option 1'!M138="","",'Option 1'!M138)</f>
        <v/>
      </c>
      <c r="N138" s="184" t="str">
        <f>IF('Option 1'!N138="","",'Option 1'!N138)</f>
        <v/>
      </c>
      <c r="O138" s="184" t="str">
        <f>IF('Option 1'!O138="","",'Option 1'!O138)</f>
        <v/>
      </c>
      <c r="P138" s="124">
        <f t="shared" si="9"/>
        <v>0</v>
      </c>
    </row>
    <row r="139" spans="1:16" ht="15.75" customHeight="1" x14ac:dyDescent="0.25">
      <c r="A139" s="239"/>
      <c r="B139" s="4" t="str">
        <f>IF('Option 1'!B139="","",'Option 1'!B139)</f>
        <v/>
      </c>
      <c r="C139" s="188" t="str">
        <f>IF('Option 1'!C139="","",'Option 1'!C139)</f>
        <v>Replaced Balconies</v>
      </c>
      <c r="D139" s="186" t="str">
        <f>IF('Option 1'!D139="","",'Option 1'!D139)</f>
        <v/>
      </c>
      <c r="E139" s="184" t="str">
        <f>IF('Option 1'!E139="","",'Option 1'!E139)</f>
        <v/>
      </c>
      <c r="F139" s="184" t="str">
        <f>IF('Option 1'!F139="","",'Option 1'!F139)</f>
        <v/>
      </c>
      <c r="G139" s="184" t="str">
        <f>IF('Option 1'!G139="","",'Option 1'!G139)</f>
        <v/>
      </c>
      <c r="H139" s="184" t="str">
        <f>IF('Option 1'!H139="","",'Option 1'!H139)</f>
        <v/>
      </c>
      <c r="I139" s="184" t="str">
        <f>IF('Option 1'!I139="","",'Option 1'!I139)</f>
        <v/>
      </c>
      <c r="J139" s="184" t="str">
        <f>IF('Option 1'!J139="","",'Option 1'!J139)</f>
        <v/>
      </c>
      <c r="K139" s="184" t="str">
        <f>IF('Option 1'!K139="","",'Option 1'!K139)</f>
        <v/>
      </c>
      <c r="L139" s="184" t="str">
        <f>IF('Option 1'!L139="","",'Option 1'!L139)</f>
        <v/>
      </c>
      <c r="M139" s="184" t="str">
        <f>IF('Option 1'!M139="","",'Option 1'!M139)</f>
        <v/>
      </c>
      <c r="N139" s="184" t="str">
        <f>IF('Option 1'!N139="","",'Option 1'!N139)</f>
        <v/>
      </c>
      <c r="O139" s="184" t="str">
        <f>IF('Option 1'!O139="","",'Option 1'!O139)</f>
        <v/>
      </c>
      <c r="P139" s="124">
        <f t="shared" si="9"/>
        <v>0</v>
      </c>
    </row>
    <row r="140" spans="1:16" ht="15.75" customHeight="1" x14ac:dyDescent="0.25">
      <c r="A140" s="239"/>
      <c r="B140" s="4" t="str">
        <f>IF('Option 1'!B140="","",'Option 1'!B140)</f>
        <v/>
      </c>
      <c r="C140" s="188" t="str">
        <f>IF('Option 1'!C140="","",'Option 1'!C140)</f>
        <v>Balconies (Year 1)</v>
      </c>
      <c r="D140" s="186">
        <f>IF('Option 1'!D140="","",'Option 1'!D140)</f>
        <v>29100</v>
      </c>
      <c r="E140" s="184" t="str">
        <f>IF('Option 1'!E140="","",'Option 1'!E140)</f>
        <v/>
      </c>
      <c r="F140" s="184" t="str">
        <f>IF('Option 1'!F140="","",'Option 1'!F140)</f>
        <v/>
      </c>
      <c r="G140" s="184" t="str">
        <f>IF('Option 1'!G140="","",'Option 1'!G140)</f>
        <v/>
      </c>
      <c r="H140" s="184" t="str">
        <f>IF('Option 1'!H140="","",'Option 1'!H140)</f>
        <v/>
      </c>
      <c r="I140" s="184" t="str">
        <f>IF('Option 1'!I140="","",'Option 1'!I140)</f>
        <v/>
      </c>
      <c r="J140" s="184" t="str">
        <f>IF('Option 1'!J140="","",'Option 1'!J140)</f>
        <v/>
      </c>
      <c r="K140" s="184" t="str">
        <f>IF('Option 1'!K140="","",'Option 1'!K140)</f>
        <v/>
      </c>
      <c r="L140" s="184" t="str">
        <f>IF('Option 1'!L140="","",'Option 1'!L140)</f>
        <v/>
      </c>
      <c r="M140" s="184" t="str">
        <f>IF('Option 1'!M140="","",'Option 1'!M140)</f>
        <v/>
      </c>
      <c r="N140" s="184" t="str">
        <f>IF('Option 1'!N140="","",'Option 1'!N140)</f>
        <v/>
      </c>
      <c r="O140" s="184" t="str">
        <f>IF('Option 1'!O140="","",'Option 1'!O140)</f>
        <v/>
      </c>
      <c r="P140" s="124">
        <f t="shared" si="9"/>
        <v>29100</v>
      </c>
    </row>
    <row r="141" spans="1:16" ht="15.75" customHeight="1" x14ac:dyDescent="0.25">
      <c r="A141" s="239"/>
      <c r="B141" s="4" t="str">
        <f>IF('Option 1'!B141="","",'Option 1'!B141)</f>
        <v/>
      </c>
      <c r="C141" s="188" t="str">
        <f>IF('Option 1'!C141="","",'Option 1'!C141)</f>
        <v>Balconies (Year 2)</v>
      </c>
      <c r="D141" s="186" t="str">
        <f>IF('Option 1'!D141="","",'Option 1'!D141)</f>
        <v/>
      </c>
      <c r="E141" s="184">
        <f>IF('Option 1'!E141="","",'Option 1'!E141)</f>
        <v>175000</v>
      </c>
      <c r="F141" s="184">
        <f>IF('Option 1'!F141="","",'Option 1'!F141)</f>
        <v>225000</v>
      </c>
      <c r="G141" s="184" t="str">
        <f>IF('Option 1'!G141="","",'Option 1'!G141)</f>
        <v/>
      </c>
      <c r="H141" s="184" t="str">
        <f>IF('Option 1'!H141="","",'Option 1'!H141)</f>
        <v/>
      </c>
      <c r="I141" s="184" t="str">
        <f>IF('Option 1'!I141="","",'Option 1'!I141)</f>
        <v/>
      </c>
      <c r="J141" s="184" t="str">
        <f>IF('Option 1'!J141="","",'Option 1'!J141)</f>
        <v/>
      </c>
      <c r="K141" s="184" t="str">
        <f>IF('Option 1'!K141="","",'Option 1'!K141)</f>
        <v/>
      </c>
      <c r="L141" s="184" t="str">
        <f>IF('Option 1'!L141="","",'Option 1'!L141)</f>
        <v/>
      </c>
      <c r="M141" s="184" t="str">
        <f>IF('Option 1'!M141="","",'Option 1'!M141)</f>
        <v/>
      </c>
      <c r="N141" s="184" t="str">
        <f>IF('Option 1'!N141="","",'Option 1'!N141)</f>
        <v/>
      </c>
      <c r="O141" s="184" t="str">
        <f>IF('Option 1'!O141="","",'Option 1'!O141)</f>
        <v/>
      </c>
      <c r="P141" s="124">
        <f t="shared" si="9"/>
        <v>400000</v>
      </c>
    </row>
    <row r="142" spans="1:16" ht="15.75" customHeight="1" x14ac:dyDescent="0.25">
      <c r="A142" s="239"/>
      <c r="B142" s="4" t="str">
        <f>IF('Option 1'!B142="","",'Option 1'!B142)</f>
        <v/>
      </c>
      <c r="C142" s="188" t="str">
        <f>IF('Option 1'!C142="","",'Option 1'!C142)</f>
        <v>Balconies (Year 3)</v>
      </c>
      <c r="D142" s="186" t="str">
        <f>IF('Option 1'!D142="","",'Option 1'!D142)</f>
        <v/>
      </c>
      <c r="E142" s="184" t="str">
        <f>IF('Option 1'!E142="","",'Option 1'!E142)</f>
        <v/>
      </c>
      <c r="F142" s="184" t="str">
        <f>IF('Option 1'!F142="","",'Option 1'!F142)</f>
        <v/>
      </c>
      <c r="G142" s="184">
        <f>IF('Option 1'!G142="","",'Option 1'!G142)</f>
        <v>900000</v>
      </c>
      <c r="H142" s="184">
        <f>IF('Option 1'!H142="","",'Option 1'!H142)</f>
        <v>900000</v>
      </c>
      <c r="I142" s="184" t="str">
        <f>IF('Option 1'!I142="","",'Option 1'!I142)</f>
        <v/>
      </c>
      <c r="J142" s="184" t="str">
        <f>IF('Option 1'!J142="","",'Option 1'!J142)</f>
        <v/>
      </c>
      <c r="K142" s="184" t="str">
        <f>IF('Option 1'!K142="","",'Option 1'!K142)</f>
        <v/>
      </c>
      <c r="L142" s="184" t="str">
        <f>IF('Option 1'!L142="","",'Option 1'!L142)</f>
        <v/>
      </c>
      <c r="M142" s="184" t="str">
        <f>IF('Option 1'!M142="","",'Option 1'!M142)</f>
        <v/>
      </c>
      <c r="N142" s="184" t="str">
        <f>IF('Option 1'!N142="","",'Option 1'!N142)</f>
        <v/>
      </c>
      <c r="O142" s="184" t="str">
        <f>IF('Option 1'!O142="","",'Option 1'!O142)</f>
        <v/>
      </c>
      <c r="P142" s="124">
        <f t="shared" si="9"/>
        <v>1800000</v>
      </c>
    </row>
    <row r="143" spans="1:16" ht="15.75" customHeight="1" x14ac:dyDescent="0.25">
      <c r="A143" s="239"/>
      <c r="B143" s="4" t="str">
        <f>IF('Option 1'!B143="","",'Option 1'!B143)</f>
        <v/>
      </c>
      <c r="C143" s="188" t="str">
        <f>IF('Option 1'!C143="","",'Option 1'!C143)</f>
        <v>Balconies (Year 4)</v>
      </c>
      <c r="D143" s="186" t="str">
        <f>IF('Option 1'!D143="","",'Option 1'!D143)</f>
        <v/>
      </c>
      <c r="E143" s="184" t="str">
        <f>IF('Option 1'!E143="","",'Option 1'!E143)</f>
        <v/>
      </c>
      <c r="F143" s="184" t="str">
        <f>IF('Option 1'!F143="","",'Option 1'!F143)</f>
        <v/>
      </c>
      <c r="G143" s="184" t="str">
        <f>IF('Option 1'!G143="","",'Option 1'!G143)</f>
        <v/>
      </c>
      <c r="H143" s="184" t="str">
        <f>IF('Option 1'!H143="","",'Option 1'!H143)</f>
        <v/>
      </c>
      <c r="I143" s="184">
        <f>IF('Option 1'!I143="","",'Option 1'!I143)</f>
        <v>500000</v>
      </c>
      <c r="J143" s="184" t="str">
        <f>IF('Option 1'!J143="","",'Option 1'!J143)</f>
        <v/>
      </c>
      <c r="K143" s="184" t="str">
        <f>IF('Option 1'!K143="","",'Option 1'!K143)</f>
        <v/>
      </c>
      <c r="L143" s="184" t="str">
        <f>IF('Option 1'!L143="","",'Option 1'!L143)</f>
        <v/>
      </c>
      <c r="M143" s="184" t="str">
        <f>IF('Option 1'!M143="","",'Option 1'!M143)</f>
        <v/>
      </c>
      <c r="N143" s="184" t="str">
        <f>IF('Option 1'!N143="","",'Option 1'!N143)</f>
        <v/>
      </c>
      <c r="O143" s="184" t="str">
        <f>IF('Option 1'!O143="","",'Option 1'!O143)</f>
        <v/>
      </c>
      <c r="P143" s="124">
        <f t="shared" si="9"/>
        <v>500000</v>
      </c>
    </row>
    <row r="144" spans="1:16" ht="15.75" customHeight="1" x14ac:dyDescent="0.25">
      <c r="A144" s="239"/>
      <c r="B144" s="4" t="str">
        <f>IF('Option 1'!B144="","",'Option 1'!B144)</f>
        <v/>
      </c>
      <c r="C144" s="188" t="str">
        <f>IF('Option 1'!C144="","",'Option 1'!C144)</f>
        <v>Balconies (Year 5)</v>
      </c>
      <c r="D144" s="186">
        <f>IF('Option 1'!D144="","",'Option 1'!D144)</f>
        <v>50878</v>
      </c>
      <c r="E144" s="184" t="str">
        <f>IF('Option 1'!E144="","",'Option 1'!E144)</f>
        <v/>
      </c>
      <c r="F144" s="184" t="str">
        <f>IF('Option 1'!F144="","",'Option 1'!F144)</f>
        <v/>
      </c>
      <c r="G144" s="184" t="str">
        <f>IF('Option 1'!G144="","",'Option 1'!G144)</f>
        <v/>
      </c>
      <c r="H144" s="184" t="str">
        <f>IF('Option 1'!H144="","",'Option 1'!H144)</f>
        <v/>
      </c>
      <c r="I144" s="184" t="str">
        <f>IF('Option 1'!I144="","",'Option 1'!I144)</f>
        <v/>
      </c>
      <c r="J144" s="184" t="str">
        <f>IF('Option 1'!J144="","",'Option 1'!J144)</f>
        <v/>
      </c>
      <c r="K144" s="184" t="str">
        <f>IF('Option 1'!K144="","",'Option 1'!K144)</f>
        <v/>
      </c>
      <c r="L144" s="184" t="str">
        <f>IF('Option 1'!L144="","",'Option 1'!L144)</f>
        <v/>
      </c>
      <c r="M144" s="184" t="str">
        <f>IF('Option 1'!M144="","",'Option 1'!M144)</f>
        <v/>
      </c>
      <c r="N144" s="184" t="str">
        <f>IF('Option 1'!N144="","",'Option 1'!N144)</f>
        <v/>
      </c>
      <c r="O144" s="184" t="str">
        <f>IF('Option 1'!O144="","",'Option 1'!O144)</f>
        <v/>
      </c>
      <c r="P144" s="124">
        <f t="shared" si="9"/>
        <v>50878</v>
      </c>
    </row>
    <row r="145" spans="1:16" ht="15.75" customHeight="1" x14ac:dyDescent="0.25">
      <c r="A145" s="239"/>
      <c r="B145" s="4" t="str">
        <f>IF('Option 1'!B145="","",'Option 1'!B145)</f>
        <v/>
      </c>
      <c r="C145" s="188" t="str">
        <f>IF('Option 1'!C145="","",'Option 1'!C145)</f>
        <v>Remaining Balconies</v>
      </c>
      <c r="D145" s="186" t="str">
        <f>IF('Option 1'!D145="","",'Option 1'!D145)</f>
        <v/>
      </c>
      <c r="E145" s="184" t="str">
        <f>IF('Option 1'!E145="","",'Option 1'!E145)</f>
        <v/>
      </c>
      <c r="F145" s="184" t="str">
        <f>IF('Option 1'!F145="","",'Option 1'!F145)</f>
        <v/>
      </c>
      <c r="G145" s="184" t="str">
        <f>IF('Option 1'!G145="","",'Option 1'!G145)</f>
        <v/>
      </c>
      <c r="H145" s="184" t="str">
        <f>IF('Option 1'!H145="","",'Option 1'!H145)</f>
        <v/>
      </c>
      <c r="I145" s="184" t="str">
        <f>IF('Option 1'!I145="","",'Option 1'!I145)</f>
        <v/>
      </c>
      <c r="J145" s="184" t="str">
        <f>IF('Option 1'!J145="","",'Option 1'!J145)</f>
        <v/>
      </c>
      <c r="K145" s="184" t="str">
        <f>IF('Option 1'!K145="","",'Option 1'!K145)</f>
        <v/>
      </c>
      <c r="L145" s="184" t="str">
        <f>IF('Option 1'!L145="","",'Option 1'!L145)</f>
        <v/>
      </c>
      <c r="M145" s="184" t="str">
        <f>IF('Option 1'!M145="","",'Option 1'!M145)</f>
        <v/>
      </c>
      <c r="N145" s="184" t="str">
        <f>IF('Option 1'!N145="","",'Option 1'!N145)</f>
        <v/>
      </c>
      <c r="O145" s="184" t="str">
        <f>IF('Option 1'!O145="","",'Option 1'!O145)</f>
        <v/>
      </c>
      <c r="P145" s="124">
        <f t="shared" si="9"/>
        <v>0</v>
      </c>
    </row>
    <row r="146" spans="1:16" ht="15.75" customHeight="1" x14ac:dyDescent="0.25">
      <c r="A146" s="239"/>
      <c r="B146" s="4" t="str">
        <f>IF('Option 1'!B146="","",'Option 1'!B146)</f>
        <v/>
      </c>
      <c r="C146" s="188" t="str">
        <f>IF('Option 1'!C146="","",'Option 1'!C146)</f>
        <v>Balcony Deck Coating</v>
      </c>
      <c r="D146" s="186" t="str">
        <f>IF('Option 1'!D146="","",'Option 1'!D146)</f>
        <v/>
      </c>
      <c r="E146" s="184" t="str">
        <f>IF('Option 1'!E146="","",'Option 1'!E146)</f>
        <v/>
      </c>
      <c r="F146" s="184" t="str">
        <f>IF('Option 1'!F146="","",'Option 1'!F146)</f>
        <v/>
      </c>
      <c r="G146" s="184" t="str">
        <f>IF('Option 1'!G146="","",'Option 1'!G146)</f>
        <v/>
      </c>
      <c r="H146" s="184" t="str">
        <f>IF('Option 1'!H146="","",'Option 1'!H146)</f>
        <v/>
      </c>
      <c r="I146" s="184" t="str">
        <f>IF('Option 1'!I146="","",'Option 1'!I146)</f>
        <v/>
      </c>
      <c r="J146" s="184" t="str">
        <f>IF('Option 1'!J146="","",'Option 1'!J146)</f>
        <v/>
      </c>
      <c r="K146" s="184">
        <f>IF('Option 1'!K146="","",'Option 1'!K146)</f>
        <v>612000</v>
      </c>
      <c r="L146" s="184" t="str">
        <f>IF('Option 1'!L146="","",'Option 1'!L146)</f>
        <v/>
      </c>
      <c r="M146" s="184" t="str">
        <f>IF('Option 1'!M146="","",'Option 1'!M146)</f>
        <v/>
      </c>
      <c r="N146" s="184" t="str">
        <f>IF('Option 1'!N146="","",'Option 1'!N146)</f>
        <v/>
      </c>
      <c r="O146" s="184" t="str">
        <f>IF('Option 1'!O146="","",'Option 1'!O146)</f>
        <v/>
      </c>
      <c r="P146" s="124">
        <f t="shared" si="9"/>
        <v>612000</v>
      </c>
    </row>
    <row r="147" spans="1:16" ht="15.75" customHeight="1" x14ac:dyDescent="0.25">
      <c r="A147" s="239"/>
      <c r="B147" s="4" t="str">
        <f>IF('Option 1'!B147="","",'Option 1'!B147)</f>
        <v/>
      </c>
      <c r="C147" s="188" t="str">
        <f>IF('Option 1'!C147="","",'Option 1'!C147)</f>
        <v>Balcony Railings</v>
      </c>
      <c r="D147" s="186" t="str">
        <f>IF('Option 1'!D147="","",'Option 1'!D147)</f>
        <v/>
      </c>
      <c r="E147" s="184" t="str">
        <f>IF('Option 1'!E147="","",'Option 1'!E147)</f>
        <v/>
      </c>
      <c r="F147" s="184" t="str">
        <f>IF('Option 1'!F147="","",'Option 1'!F147)</f>
        <v/>
      </c>
      <c r="G147" s="184" t="str">
        <f>IF('Option 1'!G147="","",'Option 1'!G147)</f>
        <v/>
      </c>
      <c r="H147" s="184" t="str">
        <f>IF('Option 1'!H147="","",'Option 1'!H147)</f>
        <v/>
      </c>
      <c r="I147" s="184" t="str">
        <f>IF('Option 1'!I147="","",'Option 1'!I147)</f>
        <v/>
      </c>
      <c r="J147" s="184" t="str">
        <f>IF('Option 1'!J147="","",'Option 1'!J147)</f>
        <v/>
      </c>
      <c r="K147" s="184" t="str">
        <f>IF('Option 1'!K147="","",'Option 1'!K147)</f>
        <v/>
      </c>
      <c r="L147" s="184" t="str">
        <f>IF('Option 1'!L147="","",'Option 1'!L147)</f>
        <v/>
      </c>
      <c r="M147" s="184" t="str">
        <f>IF('Option 1'!M147="","",'Option 1'!M147)</f>
        <v/>
      </c>
      <c r="N147" s="184" t="str">
        <f>IF('Option 1'!N147="","",'Option 1'!N147)</f>
        <v/>
      </c>
      <c r="O147" s="184" t="str">
        <f>IF('Option 1'!O147="","",'Option 1'!O147)</f>
        <v/>
      </c>
      <c r="P147" s="124">
        <f t="shared" si="9"/>
        <v>0</v>
      </c>
    </row>
    <row r="148" spans="1:16" ht="15.75" customHeight="1" x14ac:dyDescent="0.25">
      <c r="A148" s="239"/>
      <c r="B148" s="4" t="str">
        <f>IF('Option 1'!B148="","",'Option 1'!B148)</f>
        <v/>
      </c>
      <c r="C148" s="188" t="str">
        <f>IF('Option 1'!C148="","",'Option 1'!C148)</f>
        <v>Garage Doors</v>
      </c>
      <c r="D148" s="186" t="str">
        <f>IF('Option 1'!D148="","",'Option 1'!D148)</f>
        <v/>
      </c>
      <c r="E148" s="184" t="str">
        <f>IF('Option 1'!E148="","",'Option 1'!E148)</f>
        <v/>
      </c>
      <c r="F148" s="184" t="str">
        <f>IF('Option 1'!F148="","",'Option 1'!F148)</f>
        <v/>
      </c>
      <c r="G148" s="184" t="str">
        <f>IF('Option 1'!G148="","",'Option 1'!G148)</f>
        <v/>
      </c>
      <c r="H148" s="184" t="str">
        <f>IF('Option 1'!H148="","",'Option 1'!H148)</f>
        <v/>
      </c>
      <c r="I148" s="184" t="str">
        <f>IF('Option 1'!I148="","",'Option 1'!I148)</f>
        <v/>
      </c>
      <c r="J148" s="184">
        <f>IF('Option 1'!J148="","",'Option 1'!J148)</f>
        <v>66426</v>
      </c>
      <c r="K148" s="184" t="str">
        <f>IF('Option 1'!K148="","",'Option 1'!K148)</f>
        <v/>
      </c>
      <c r="L148" s="184" t="str">
        <f>IF('Option 1'!L148="","",'Option 1'!L148)</f>
        <v/>
      </c>
      <c r="M148" s="184" t="str">
        <f>IF('Option 1'!M148="","",'Option 1'!M148)</f>
        <v/>
      </c>
      <c r="N148" s="184" t="str">
        <f>IF('Option 1'!N148="","",'Option 1'!N148)</f>
        <v/>
      </c>
      <c r="O148" s="184" t="str">
        <f>IF('Option 1'!O148="","",'Option 1'!O148)</f>
        <v/>
      </c>
      <c r="P148" s="124">
        <f t="shared" si="9"/>
        <v>66426</v>
      </c>
    </row>
    <row r="149" spans="1:16" ht="15.75" customHeight="1" x14ac:dyDescent="0.25">
      <c r="A149" s="239"/>
      <c r="B149" s="4" t="str">
        <f>IF('Option 1'!B149="","",'Option 1'!B149)</f>
        <v/>
      </c>
      <c r="C149" s="188" t="str">
        <f>IF('Option 1'!C149="","",'Option 1'!C149)</f>
        <v>Glazed Entry Doors</v>
      </c>
      <c r="D149" s="186" t="str">
        <f>IF('Option 1'!D149="","",'Option 1'!D149)</f>
        <v/>
      </c>
      <c r="E149" s="184" t="str">
        <f>IF('Option 1'!E149="","",'Option 1'!E149)</f>
        <v/>
      </c>
      <c r="F149" s="184" t="str">
        <f>IF('Option 1'!F149="","",'Option 1'!F149)</f>
        <v/>
      </c>
      <c r="G149" s="184" t="str">
        <f>IF('Option 1'!G149="","",'Option 1'!G149)</f>
        <v/>
      </c>
      <c r="H149" s="184" t="str">
        <f>IF('Option 1'!H149="","",'Option 1'!H149)</f>
        <v/>
      </c>
      <c r="I149" s="184" t="str">
        <f>IF('Option 1'!I149="","",'Option 1'!I149)</f>
        <v/>
      </c>
      <c r="J149" s="184" t="str">
        <f>IF('Option 1'!J149="","",'Option 1'!J149)</f>
        <v/>
      </c>
      <c r="K149" s="184">
        <f>IF('Option 1'!K149="","",'Option 1'!K149)</f>
        <v>33213</v>
      </c>
      <c r="L149" s="184" t="str">
        <f>IF('Option 1'!L149="","",'Option 1'!L149)</f>
        <v/>
      </c>
      <c r="M149" s="184" t="str">
        <f>IF('Option 1'!M149="","",'Option 1'!M149)</f>
        <v/>
      </c>
      <c r="N149" s="184" t="str">
        <f>IF('Option 1'!N149="","",'Option 1'!N149)</f>
        <v/>
      </c>
      <c r="O149" s="184" t="str">
        <f>IF('Option 1'!O149="","",'Option 1'!O149)</f>
        <v/>
      </c>
      <c r="P149" s="124">
        <f t="shared" si="9"/>
        <v>33213</v>
      </c>
    </row>
    <row r="150" spans="1:16" ht="15.75" customHeight="1" x14ac:dyDescent="0.25">
      <c r="A150" s="239"/>
      <c r="B150" s="4" t="str">
        <f>IF('Option 1'!B150="","",'Option 1'!B150)</f>
        <v/>
      </c>
      <c r="C150" s="188" t="str">
        <f>IF('Option 1'!C150="","",'Option 1'!C150)</f>
        <v>Single Metal Doors</v>
      </c>
      <c r="D150" s="186" t="str">
        <f>IF('Option 1'!D150="","",'Option 1'!D150)</f>
        <v/>
      </c>
      <c r="E150" s="184" t="str">
        <f>IF('Option 1'!E150="","",'Option 1'!E150)</f>
        <v/>
      </c>
      <c r="F150" s="184" t="str">
        <f>IF('Option 1'!F150="","",'Option 1'!F150)</f>
        <v/>
      </c>
      <c r="G150" s="184" t="str">
        <f>IF('Option 1'!G150="","",'Option 1'!G150)</f>
        <v/>
      </c>
      <c r="H150" s="184">
        <f>IF('Option 1'!H150="","",'Option 1'!H150)</f>
        <v>38749</v>
      </c>
      <c r="I150" s="184" t="str">
        <f>IF('Option 1'!I150="","",'Option 1'!I150)</f>
        <v/>
      </c>
      <c r="J150" s="184" t="str">
        <f>IF('Option 1'!J150="","",'Option 1'!J150)</f>
        <v/>
      </c>
      <c r="K150" s="184" t="str">
        <f>IF('Option 1'!K150="","",'Option 1'!K150)</f>
        <v/>
      </c>
      <c r="L150" s="184" t="str">
        <f>IF('Option 1'!L150="","",'Option 1'!L150)</f>
        <v/>
      </c>
      <c r="M150" s="184" t="str">
        <f>IF('Option 1'!M150="","",'Option 1'!M150)</f>
        <v/>
      </c>
      <c r="N150" s="184" t="str">
        <f>IF('Option 1'!N150="","",'Option 1'!N150)</f>
        <v/>
      </c>
      <c r="O150" s="184" t="str">
        <f>IF('Option 1'!O150="","",'Option 1'!O150)</f>
        <v/>
      </c>
      <c r="P150" s="124">
        <f t="shared" si="9"/>
        <v>38749</v>
      </c>
    </row>
    <row r="151" spans="1:16" ht="15.75" customHeight="1" x14ac:dyDescent="0.25">
      <c r="A151" s="239"/>
      <c r="B151" s="4" t="str">
        <f>IF('Option 1'!B151="","",'Option 1'!B151)</f>
        <v/>
      </c>
      <c r="C151" s="188" t="str">
        <f>IF('Option 1'!C151="","",'Option 1'!C151)</f>
        <v>Double Metal Doors</v>
      </c>
      <c r="D151" s="186" t="str">
        <f>IF('Option 1'!D151="","",'Option 1'!D151)</f>
        <v/>
      </c>
      <c r="E151" s="184" t="str">
        <f>IF('Option 1'!E151="","",'Option 1'!E151)</f>
        <v/>
      </c>
      <c r="F151" s="184" t="str">
        <f>IF('Option 1'!F151="","",'Option 1'!F151)</f>
        <v/>
      </c>
      <c r="G151" s="184">
        <f>IF('Option 1'!G151="","",'Option 1'!G151)</f>
        <v>17664</v>
      </c>
      <c r="H151" s="184" t="str">
        <f>IF('Option 1'!H151="","",'Option 1'!H151)</f>
        <v/>
      </c>
      <c r="I151" s="184" t="str">
        <f>IF('Option 1'!I151="","",'Option 1'!I151)</f>
        <v/>
      </c>
      <c r="J151" s="184" t="str">
        <f>IF('Option 1'!J151="","",'Option 1'!J151)</f>
        <v/>
      </c>
      <c r="K151" s="184" t="str">
        <f>IF('Option 1'!K151="","",'Option 1'!K151)</f>
        <v/>
      </c>
      <c r="L151" s="184" t="str">
        <f>IF('Option 1'!L151="","",'Option 1'!L151)</f>
        <v/>
      </c>
      <c r="M151" s="184" t="str">
        <f>IF('Option 1'!M151="","",'Option 1'!M151)</f>
        <v/>
      </c>
      <c r="N151" s="184" t="str">
        <f>IF('Option 1'!N151="","",'Option 1'!N151)</f>
        <v/>
      </c>
      <c r="O151" s="184" t="str">
        <f>IF('Option 1'!O151="","",'Option 1'!O151)</f>
        <v/>
      </c>
      <c r="P151" s="124">
        <f t="shared" si="9"/>
        <v>17664</v>
      </c>
    </row>
    <row r="152" spans="1:16" ht="15.75" customHeight="1" x14ac:dyDescent="0.25">
      <c r="A152" s="239"/>
      <c r="B152" s="4" t="str">
        <f>IF('Option 1'!B152="","",'Option 1'!B152)</f>
        <v/>
      </c>
      <c r="C152" s="188" t="str">
        <f>IF('Option 1'!C152="","",'Option 1'!C152)</f>
        <v>Mailboxes</v>
      </c>
      <c r="D152" s="186" t="str">
        <f>IF('Option 1'!D152="","",'Option 1'!D152)</f>
        <v/>
      </c>
      <c r="E152" s="184" t="str">
        <f>IF('Option 1'!E152="","",'Option 1'!E152)</f>
        <v/>
      </c>
      <c r="F152" s="184" t="str">
        <f>IF('Option 1'!F152="","",'Option 1'!F152)</f>
        <v/>
      </c>
      <c r="G152" s="184" t="str">
        <f>IF('Option 1'!G152="","",'Option 1'!G152)</f>
        <v/>
      </c>
      <c r="H152" s="184" t="str">
        <f>IF('Option 1'!H152="","",'Option 1'!H152)</f>
        <v/>
      </c>
      <c r="I152" s="184" t="str">
        <f>IF('Option 1'!I152="","",'Option 1'!I152)</f>
        <v/>
      </c>
      <c r="J152" s="184" t="str">
        <f>IF('Option 1'!J152="","",'Option 1'!J152)</f>
        <v/>
      </c>
      <c r="K152" s="184" t="str">
        <f>IF('Option 1'!K152="","",'Option 1'!K152)</f>
        <v/>
      </c>
      <c r="L152" s="184" t="str">
        <f>IF('Option 1'!L152="","",'Option 1'!L152)</f>
        <v/>
      </c>
      <c r="M152" s="184" t="str">
        <f>IF('Option 1'!M152="","",'Option 1'!M152)</f>
        <v/>
      </c>
      <c r="N152" s="184" t="str">
        <f>IF('Option 1'!N152="","",'Option 1'!N152)</f>
        <v/>
      </c>
      <c r="O152" s="184">
        <f>IF('Option 1'!O152="","",'Option 1'!O152)</f>
        <v>23000</v>
      </c>
      <c r="P152" s="124">
        <f t="shared" si="9"/>
        <v>23000</v>
      </c>
    </row>
    <row r="153" spans="1:16" ht="15.75" customHeight="1" x14ac:dyDescent="0.25">
      <c r="A153" s="239"/>
      <c r="B153" s="4" t="str">
        <f>IF('Option 1'!B153="","",'Option 1'!B153)</f>
        <v/>
      </c>
      <c r="C153" s="3" t="str">
        <f>IF('Option 1'!C153="","",'Option 1'!C153)</f>
        <v>Electrical Elements</v>
      </c>
      <c r="D153" s="186" t="str">
        <f>IF('Option 1'!D153="","",'Option 1'!D153)</f>
        <v/>
      </c>
      <c r="E153" s="184" t="str">
        <f>IF('Option 1'!E153="","",'Option 1'!E153)</f>
        <v/>
      </c>
      <c r="F153" s="184" t="str">
        <f>IF('Option 1'!F153="","",'Option 1'!F153)</f>
        <v/>
      </c>
      <c r="G153" s="184" t="str">
        <f>IF('Option 1'!G153="","",'Option 1'!G153)</f>
        <v/>
      </c>
      <c r="H153" s="184" t="str">
        <f>IF('Option 1'!H153="","",'Option 1'!H153)</f>
        <v/>
      </c>
      <c r="I153" s="184" t="str">
        <f>IF('Option 1'!I153="","",'Option 1'!I153)</f>
        <v/>
      </c>
      <c r="J153" s="184" t="str">
        <f>IF('Option 1'!J153="","",'Option 1'!J153)</f>
        <v/>
      </c>
      <c r="K153" s="184" t="str">
        <f>IF('Option 1'!K153="","",'Option 1'!K153)</f>
        <v/>
      </c>
      <c r="L153" s="184" t="str">
        <f>IF('Option 1'!L153="","",'Option 1'!L153)</f>
        <v/>
      </c>
      <c r="M153" s="184" t="str">
        <f>IF('Option 1'!M153="","",'Option 1'!M153)</f>
        <v/>
      </c>
      <c r="N153" s="184" t="str">
        <f>IF('Option 1'!N153="","",'Option 1'!N153)</f>
        <v/>
      </c>
      <c r="O153" s="184" t="str">
        <f>IF('Option 1'!O153="","",'Option 1'!O153)</f>
        <v/>
      </c>
      <c r="P153" s="124">
        <f t="shared" ref="P153:P216" si="10">IF(SUM(D153:O153)=0,0,SUM(D153:O153))</f>
        <v>0</v>
      </c>
    </row>
    <row r="154" spans="1:16" ht="15.75" customHeight="1" x14ac:dyDescent="0.25">
      <c r="A154" s="239"/>
      <c r="B154" s="4" t="str">
        <f>IF('Option 1'!B154="","",'Option 1'!B154)</f>
        <v/>
      </c>
      <c r="C154" s="188" t="str">
        <f>IF('Option 1'!C154="","",'Option 1'!C154)</f>
        <v>Street Light Poles</v>
      </c>
      <c r="D154" s="186" t="str">
        <f>IF('Option 1'!D154="","",'Option 1'!D154)</f>
        <v/>
      </c>
      <c r="E154" s="184" t="str">
        <f>IF('Option 1'!E154="","",'Option 1'!E154)</f>
        <v/>
      </c>
      <c r="F154" s="184" t="str">
        <f>IF('Option 1'!F154="","",'Option 1'!F154)</f>
        <v/>
      </c>
      <c r="G154" s="184" t="str">
        <f>IF('Option 1'!G154="","",'Option 1'!G154)</f>
        <v/>
      </c>
      <c r="H154" s="184" t="str">
        <f>IF('Option 1'!H154="","",'Option 1'!H154)</f>
        <v/>
      </c>
      <c r="I154" s="184">
        <f>IF('Option 1'!I154="","",'Option 1'!I154)</f>
        <v>69069</v>
      </c>
      <c r="J154" s="184" t="str">
        <f>IF('Option 1'!J154="","",'Option 1'!J154)</f>
        <v/>
      </c>
      <c r="K154" s="184" t="str">
        <f>IF('Option 1'!K154="","",'Option 1'!K154)</f>
        <v/>
      </c>
      <c r="L154" s="184" t="str">
        <f>IF('Option 1'!L154="","",'Option 1'!L154)</f>
        <v/>
      </c>
      <c r="M154" s="184" t="str">
        <f>IF('Option 1'!M154="","",'Option 1'!M154)</f>
        <v/>
      </c>
      <c r="N154" s="184" t="str">
        <f>IF('Option 1'!N154="","",'Option 1'!N154)</f>
        <v/>
      </c>
      <c r="O154" s="184" t="str">
        <f>IF('Option 1'!O154="","",'Option 1'!O154)</f>
        <v/>
      </c>
      <c r="P154" s="124">
        <f t="shared" si="10"/>
        <v>69069</v>
      </c>
    </row>
    <row r="155" spans="1:16" ht="15.75" customHeight="1" x14ac:dyDescent="0.25">
      <c r="A155" s="239"/>
      <c r="B155" s="4" t="str">
        <f>IF('Option 1'!B155="","",'Option 1'!B155)</f>
        <v/>
      </c>
      <c r="C155" s="188" t="str">
        <f>IF('Option 1'!C155="","",'Option 1'!C155)</f>
        <v>Entry Light Poles</v>
      </c>
      <c r="D155" s="186" t="str">
        <f>IF('Option 1'!D155="","",'Option 1'!D155)</f>
        <v/>
      </c>
      <c r="E155" s="184" t="str">
        <f>IF('Option 1'!E155="","",'Option 1'!E155)</f>
        <v/>
      </c>
      <c r="F155" s="184" t="str">
        <f>IF('Option 1'!F155="","",'Option 1'!F155)</f>
        <v/>
      </c>
      <c r="G155" s="184" t="str">
        <f>IF('Option 1'!G155="","",'Option 1'!G155)</f>
        <v/>
      </c>
      <c r="H155" s="184" t="str">
        <f>IF('Option 1'!H155="","",'Option 1'!H155)</f>
        <v/>
      </c>
      <c r="I155" s="184" t="str">
        <f>IF('Option 1'!I155="","",'Option 1'!I155)</f>
        <v/>
      </c>
      <c r="J155" s="184">
        <f>IF('Option 1'!J155="","",'Option 1'!J155)</f>
        <v>9591</v>
      </c>
      <c r="K155" s="184" t="str">
        <f>IF('Option 1'!K155="","",'Option 1'!K155)</f>
        <v/>
      </c>
      <c r="L155" s="184" t="str">
        <f>IF('Option 1'!L155="","",'Option 1'!L155)</f>
        <v/>
      </c>
      <c r="M155" s="184" t="str">
        <f>IF('Option 1'!M155="","",'Option 1'!M155)</f>
        <v/>
      </c>
      <c r="N155" s="184" t="str">
        <f>IF('Option 1'!N155="","",'Option 1'!N155)</f>
        <v/>
      </c>
      <c r="O155" s="184" t="str">
        <f>IF('Option 1'!O155="","",'Option 1'!O155)</f>
        <v/>
      </c>
      <c r="P155" s="124">
        <f t="shared" si="10"/>
        <v>9591</v>
      </c>
    </row>
    <row r="156" spans="1:16" ht="15.75" customHeight="1" x14ac:dyDescent="0.25">
      <c r="A156" s="239"/>
      <c r="B156" s="4" t="str">
        <f>IF('Option 1'!B156="","",'Option 1'!B156)</f>
        <v/>
      </c>
      <c r="C156" s="188" t="str">
        <f>IF('Option 1'!C156="","",'Option 1'!C156)</f>
        <v>Parking Lot Poles</v>
      </c>
      <c r="D156" s="186" t="str">
        <f>IF('Option 1'!D156="","",'Option 1'!D156)</f>
        <v/>
      </c>
      <c r="E156" s="184" t="str">
        <f>IF('Option 1'!E156="","",'Option 1'!E156)</f>
        <v/>
      </c>
      <c r="F156" s="184" t="str">
        <f>IF('Option 1'!F156="","",'Option 1'!F156)</f>
        <v/>
      </c>
      <c r="G156" s="184" t="str">
        <f>IF('Option 1'!G156="","",'Option 1'!G156)</f>
        <v/>
      </c>
      <c r="H156" s="184" t="str">
        <f>IF('Option 1'!H156="","",'Option 1'!H156)</f>
        <v/>
      </c>
      <c r="I156" s="184" t="str">
        <f>IF('Option 1'!I156="","",'Option 1'!I156)</f>
        <v/>
      </c>
      <c r="J156" s="184" t="str">
        <f>IF('Option 1'!J156="","",'Option 1'!J156)</f>
        <v/>
      </c>
      <c r="K156" s="184" t="str">
        <f>IF('Option 1'!K156="","",'Option 1'!K156)</f>
        <v/>
      </c>
      <c r="L156" s="184">
        <f>IF('Option 1'!L156="","",'Option 1'!L156)</f>
        <v>28883</v>
      </c>
      <c r="M156" s="184" t="str">
        <f>IF('Option 1'!M156="","",'Option 1'!M156)</f>
        <v/>
      </c>
      <c r="N156" s="184" t="str">
        <f>IF('Option 1'!N156="","",'Option 1'!N156)</f>
        <v/>
      </c>
      <c r="O156" s="184" t="str">
        <f>IF('Option 1'!O156="","",'Option 1'!O156)</f>
        <v/>
      </c>
      <c r="P156" s="124">
        <f t="shared" si="10"/>
        <v>28883</v>
      </c>
    </row>
    <row r="157" spans="1:16" ht="15.75" customHeight="1" x14ac:dyDescent="0.25">
      <c r="A157" s="239"/>
      <c r="B157" s="4" t="str">
        <f>IF('Option 1'!B157="","",'Option 1'!B157)</f>
        <v/>
      </c>
      <c r="C157" s="188" t="str">
        <f>IF('Option 1'!C157="","",'Option 1'!C157)</f>
        <v>Light Fixtures and Fans</v>
      </c>
      <c r="D157" s="186" t="str">
        <f>IF('Option 1'!D157="","",'Option 1'!D157)</f>
        <v/>
      </c>
      <c r="E157" s="184" t="str">
        <f>IF('Option 1'!E157="","",'Option 1'!E157)</f>
        <v/>
      </c>
      <c r="F157" s="184" t="str">
        <f>IF('Option 1'!F157="","",'Option 1'!F157)</f>
        <v/>
      </c>
      <c r="G157" s="184">
        <f>IF('Option 1'!G157="","",'Option 1'!G157)</f>
        <v>4152</v>
      </c>
      <c r="H157" s="184" t="str">
        <f>IF('Option 1'!H157="","",'Option 1'!H157)</f>
        <v/>
      </c>
      <c r="I157" s="184" t="str">
        <f>IF('Option 1'!I157="","",'Option 1'!I157)</f>
        <v/>
      </c>
      <c r="J157" s="184" t="str">
        <f>IF('Option 1'!J157="","",'Option 1'!J157)</f>
        <v/>
      </c>
      <c r="K157" s="184" t="str">
        <f>IF('Option 1'!K157="","",'Option 1'!K157)</f>
        <v/>
      </c>
      <c r="L157" s="184" t="str">
        <f>IF('Option 1'!L157="","",'Option 1'!L157)</f>
        <v/>
      </c>
      <c r="M157" s="184" t="str">
        <f>IF('Option 1'!M157="","",'Option 1'!M157)</f>
        <v/>
      </c>
      <c r="N157" s="184" t="str">
        <f>IF('Option 1'!N157="","",'Option 1'!N157)</f>
        <v/>
      </c>
      <c r="O157" s="184" t="str">
        <f>IF('Option 1'!O157="","",'Option 1'!O157)</f>
        <v/>
      </c>
      <c r="P157" s="124">
        <f t="shared" si="10"/>
        <v>4152</v>
      </c>
    </row>
    <row r="158" spans="1:16" ht="15.75" customHeight="1" x14ac:dyDescent="0.25">
      <c r="A158" s="239"/>
      <c r="B158" s="4" t="str">
        <f>IF('Option 1'!B158="","",'Option 1'!B158)</f>
        <v/>
      </c>
      <c r="C158" s="188" t="str">
        <f>IF('Option 1'!C158="","",'Option 1'!C158)</f>
        <v>Floodlights</v>
      </c>
      <c r="D158" s="186" t="str">
        <f>IF('Option 1'!D158="","",'Option 1'!D158)</f>
        <v/>
      </c>
      <c r="E158" s="184" t="str">
        <f>IF('Option 1'!E158="","",'Option 1'!E158)</f>
        <v/>
      </c>
      <c r="F158" s="184" t="str">
        <f>IF('Option 1'!F158="","",'Option 1'!F158)</f>
        <v/>
      </c>
      <c r="G158" s="184" t="str">
        <f>IF('Option 1'!G158="","",'Option 1'!G158)</f>
        <v/>
      </c>
      <c r="H158" s="184" t="str">
        <f>IF('Option 1'!H158="","",'Option 1'!H158)</f>
        <v/>
      </c>
      <c r="I158" s="184">
        <f>IF('Option 1'!I158="","",'Option 1'!I158)</f>
        <v>13839</v>
      </c>
      <c r="J158" s="184" t="str">
        <f>IF('Option 1'!J158="","",'Option 1'!J158)</f>
        <v/>
      </c>
      <c r="K158" s="184" t="str">
        <f>IF('Option 1'!K158="","",'Option 1'!K158)</f>
        <v/>
      </c>
      <c r="L158" s="184" t="str">
        <f>IF('Option 1'!L158="","",'Option 1'!L158)</f>
        <v/>
      </c>
      <c r="M158" s="184" t="str">
        <f>IF('Option 1'!M158="","",'Option 1'!M158)</f>
        <v/>
      </c>
      <c r="N158" s="184" t="str">
        <f>IF('Option 1'!N158="","",'Option 1'!N158)</f>
        <v/>
      </c>
      <c r="O158" s="184" t="str">
        <f>IF('Option 1'!O158="","",'Option 1'!O158)</f>
        <v/>
      </c>
      <c r="P158" s="124">
        <f t="shared" si="10"/>
        <v>13839</v>
      </c>
    </row>
    <row r="159" spans="1:16" ht="15.75" customHeight="1" x14ac:dyDescent="0.25">
      <c r="A159" s="239"/>
      <c r="B159" s="4" t="str">
        <f>IF('Option 1'!B159="","",'Option 1'!B159)</f>
        <v/>
      </c>
      <c r="C159" s="188" t="str">
        <f>IF('Option 1'!C159="","",'Option 1'!C159)</f>
        <v>Canopy Lights</v>
      </c>
      <c r="D159" s="186" t="str">
        <f>IF('Option 1'!D159="","",'Option 1'!D159)</f>
        <v/>
      </c>
      <c r="E159" s="184">
        <f>IF('Option 1'!E159="","",'Option 1'!E159)</f>
        <v>7473</v>
      </c>
      <c r="F159" s="184" t="str">
        <f>IF('Option 1'!F159="","",'Option 1'!F159)</f>
        <v/>
      </c>
      <c r="G159" s="184" t="str">
        <f>IF('Option 1'!G159="","",'Option 1'!G159)</f>
        <v/>
      </c>
      <c r="H159" s="184" t="str">
        <f>IF('Option 1'!H159="","",'Option 1'!H159)</f>
        <v/>
      </c>
      <c r="I159" s="184" t="str">
        <f>IF('Option 1'!I159="","",'Option 1'!I159)</f>
        <v/>
      </c>
      <c r="J159" s="184" t="str">
        <f>IF('Option 1'!J159="","",'Option 1'!J159)</f>
        <v/>
      </c>
      <c r="K159" s="184" t="str">
        <f>IF('Option 1'!K159="","",'Option 1'!K159)</f>
        <v/>
      </c>
      <c r="L159" s="184" t="str">
        <f>IF('Option 1'!L159="","",'Option 1'!L159)</f>
        <v/>
      </c>
      <c r="M159" s="184" t="str">
        <f>IF('Option 1'!M159="","",'Option 1'!M159)</f>
        <v/>
      </c>
      <c r="N159" s="184" t="str">
        <f>IF('Option 1'!N159="","",'Option 1'!N159)</f>
        <v/>
      </c>
      <c r="O159" s="184" t="str">
        <f>IF('Option 1'!O159="","",'Option 1'!O159)</f>
        <v/>
      </c>
      <c r="P159" s="124">
        <f t="shared" si="10"/>
        <v>7473</v>
      </c>
    </row>
    <row r="160" spans="1:16" ht="15.75" customHeight="1" x14ac:dyDescent="0.25">
      <c r="A160" s="239"/>
      <c r="B160" s="4" t="str">
        <f>IF('Option 1'!B160="","",'Option 1'!B160)</f>
        <v/>
      </c>
      <c r="C160" s="188" t="str">
        <f>IF('Option 1'!C160="","",'Option 1'!C160)</f>
        <v>Intercom Panels</v>
      </c>
      <c r="D160" s="186" t="str">
        <f>IF('Option 1'!D160="","",'Option 1'!D160)</f>
        <v/>
      </c>
      <c r="E160" s="184" t="str">
        <f>IF('Option 1'!E160="","",'Option 1'!E160)</f>
        <v/>
      </c>
      <c r="F160" s="184" t="str">
        <f>IF('Option 1'!F160="","",'Option 1'!F160)</f>
        <v/>
      </c>
      <c r="G160" s="184" t="str">
        <f>IF('Option 1'!G160="","",'Option 1'!G160)</f>
        <v/>
      </c>
      <c r="H160" s="184" t="str">
        <f>IF('Option 1'!H160="","",'Option 1'!H160)</f>
        <v/>
      </c>
      <c r="I160" s="184" t="str">
        <f>IF('Option 1'!I160="","",'Option 1'!I160)</f>
        <v/>
      </c>
      <c r="J160" s="184" t="str">
        <f>IF('Option 1'!J160="","",'Option 1'!J160)</f>
        <v/>
      </c>
      <c r="K160" s="184" t="str">
        <f>IF('Option 1'!K160="","",'Option 1'!K160)</f>
        <v/>
      </c>
      <c r="L160" s="184" t="str">
        <f>IF('Option 1'!L160="","",'Option 1'!L160)</f>
        <v/>
      </c>
      <c r="M160" s="184" t="str">
        <f>IF('Option 1'!M160="","",'Option 1'!M160)</f>
        <v/>
      </c>
      <c r="N160" s="184">
        <f>IF('Option 1'!N160="","",'Option 1'!N160)</f>
        <v>83032</v>
      </c>
      <c r="O160" s="184" t="str">
        <f>IF('Option 1'!O160="","",'Option 1'!O160)</f>
        <v/>
      </c>
      <c r="P160" s="124">
        <f t="shared" si="10"/>
        <v>83032</v>
      </c>
    </row>
    <row r="161" spans="1:16" ht="15.75" customHeight="1" x14ac:dyDescent="0.25">
      <c r="A161" s="239"/>
      <c r="B161" s="4" t="str">
        <f>IF('Option 1'!B161="","",'Option 1'!B161)</f>
        <v/>
      </c>
      <c r="C161" s="188" t="str">
        <f>IF('Option 1'!C161="","",'Option 1'!C161)</f>
        <v>Security Cameras</v>
      </c>
      <c r="D161" s="186" t="str">
        <f>IF('Option 1'!D161="","",'Option 1'!D161)</f>
        <v/>
      </c>
      <c r="E161" s="184">
        <f>IF('Option 1'!E161="","",'Option 1'!E161)</f>
        <v>12455</v>
      </c>
      <c r="F161" s="184" t="str">
        <f>IF('Option 1'!F161="","",'Option 1'!F161)</f>
        <v/>
      </c>
      <c r="G161" s="184" t="str">
        <f>IF('Option 1'!G161="","",'Option 1'!G161)</f>
        <v/>
      </c>
      <c r="H161" s="184" t="str">
        <f>IF('Option 1'!H161="","",'Option 1'!H161)</f>
        <v/>
      </c>
      <c r="I161" s="184" t="str">
        <f>IF('Option 1'!I161="","",'Option 1'!I161)</f>
        <v/>
      </c>
      <c r="J161" s="184" t="str">
        <f>IF('Option 1'!J161="","",'Option 1'!J161)</f>
        <v/>
      </c>
      <c r="K161" s="184" t="str">
        <f>IF('Option 1'!K161="","",'Option 1'!K161)</f>
        <v/>
      </c>
      <c r="L161" s="184" t="str">
        <f>IF('Option 1'!L161="","",'Option 1'!L161)</f>
        <v/>
      </c>
      <c r="M161" s="184" t="str">
        <f>IF('Option 1'!M161="","",'Option 1'!M161)</f>
        <v/>
      </c>
      <c r="N161" s="184" t="str">
        <f>IF('Option 1'!N161="","",'Option 1'!N161)</f>
        <v/>
      </c>
      <c r="O161" s="184" t="str">
        <f>IF('Option 1'!O161="","",'Option 1'!O161)</f>
        <v/>
      </c>
      <c r="P161" s="124">
        <f t="shared" si="10"/>
        <v>12455</v>
      </c>
    </row>
    <row r="162" spans="1:16" ht="15.75" customHeight="1" x14ac:dyDescent="0.25">
      <c r="A162" s="239"/>
      <c r="B162" s="4" t="str">
        <f>IF('Option 1'!B162="","",'Option 1'!B162)</f>
        <v/>
      </c>
      <c r="C162" s="188" t="str">
        <f>IF('Option 1'!C162="","",'Option 1'!C162)</f>
        <v>Garage Light Fixtures</v>
      </c>
      <c r="D162" s="186">
        <f>IF('Option 1'!D162="","",'Option 1'!D162)</f>
        <v>16606</v>
      </c>
      <c r="E162" s="184" t="str">
        <f>IF('Option 1'!E162="","",'Option 1'!E162)</f>
        <v/>
      </c>
      <c r="F162" s="184" t="str">
        <f>IF('Option 1'!F162="","",'Option 1'!F162)</f>
        <v/>
      </c>
      <c r="G162" s="184" t="str">
        <f>IF('Option 1'!G162="","",'Option 1'!G162)</f>
        <v/>
      </c>
      <c r="H162" s="184" t="str">
        <f>IF('Option 1'!H162="","",'Option 1'!H162)</f>
        <v/>
      </c>
      <c r="I162" s="184" t="str">
        <f>IF('Option 1'!I162="","",'Option 1'!I162)</f>
        <v/>
      </c>
      <c r="J162" s="184" t="str">
        <f>IF('Option 1'!J162="","",'Option 1'!J162)</f>
        <v/>
      </c>
      <c r="K162" s="184" t="str">
        <f>IF('Option 1'!K162="","",'Option 1'!K162)</f>
        <v/>
      </c>
      <c r="L162" s="184" t="str">
        <f>IF('Option 1'!L162="","",'Option 1'!L162)</f>
        <v/>
      </c>
      <c r="M162" s="184" t="str">
        <f>IF('Option 1'!M162="","",'Option 1'!M162)</f>
        <v/>
      </c>
      <c r="N162" s="184" t="str">
        <f>IF('Option 1'!N162="","",'Option 1'!N162)</f>
        <v/>
      </c>
      <c r="O162" s="184" t="str">
        <f>IF('Option 1'!O162="","",'Option 1'!O162)</f>
        <v/>
      </c>
      <c r="P162" s="124">
        <f t="shared" si="10"/>
        <v>16606</v>
      </c>
    </row>
    <row r="163" spans="1:16" ht="15.75" customHeight="1" x14ac:dyDescent="0.25">
      <c r="A163" s="239"/>
      <c r="B163" s="4" t="str">
        <f>IF('Option 1'!B163="","",'Option 1'!B163)</f>
        <v/>
      </c>
      <c r="C163" s="188" t="str">
        <f>IF('Option 1'!C163="","",'Option 1'!C163)</f>
        <v>Sconce Light Fixtures</v>
      </c>
      <c r="D163" s="186" t="str">
        <f>IF('Option 1'!D163="","",'Option 1'!D163)</f>
        <v/>
      </c>
      <c r="E163" s="184" t="str">
        <f>IF('Option 1'!E163="","",'Option 1'!E163)</f>
        <v/>
      </c>
      <c r="F163" s="184" t="str">
        <f>IF('Option 1'!F163="","",'Option 1'!F163)</f>
        <v/>
      </c>
      <c r="G163" s="184" t="str">
        <f>IF('Option 1'!G163="","",'Option 1'!G163)</f>
        <v/>
      </c>
      <c r="H163" s="184">
        <f>IF('Option 1'!H163="","",'Option 1'!H163)</f>
        <v>77495</v>
      </c>
      <c r="I163" s="184" t="str">
        <f>IF('Option 1'!I163="","",'Option 1'!I163)</f>
        <v/>
      </c>
      <c r="J163" s="184" t="str">
        <f>IF('Option 1'!J163="","",'Option 1'!J163)</f>
        <v/>
      </c>
      <c r="K163" s="184" t="str">
        <f>IF('Option 1'!K163="","",'Option 1'!K163)</f>
        <v/>
      </c>
      <c r="L163" s="184" t="str">
        <f>IF('Option 1'!L163="","",'Option 1'!L163)</f>
        <v/>
      </c>
      <c r="M163" s="184" t="str">
        <f>IF('Option 1'!M163="","",'Option 1'!M163)</f>
        <v/>
      </c>
      <c r="N163" s="184" t="str">
        <f>IF('Option 1'!N163="","",'Option 1'!N163)</f>
        <v/>
      </c>
      <c r="O163" s="184" t="str">
        <f>IF('Option 1'!O163="","",'Option 1'!O163)</f>
        <v/>
      </c>
      <c r="P163" s="124">
        <f t="shared" si="10"/>
        <v>77495</v>
      </c>
    </row>
    <row r="164" spans="1:16" ht="15.75" customHeight="1" x14ac:dyDescent="0.25">
      <c r="A164" s="239"/>
      <c r="B164" s="4" t="str">
        <f>IF('Option 1'!B164="","",'Option 1'!B164)</f>
        <v/>
      </c>
      <c r="C164" s="188" t="str">
        <f>IF('Option 1'!C164="","",'Option 1'!C164)</f>
        <v>Lobby Ceiling Light Fixtures</v>
      </c>
      <c r="D164" s="186" t="str">
        <f>IF('Option 1'!D164="","",'Option 1'!D164)</f>
        <v/>
      </c>
      <c r="E164" s="184" t="str">
        <f>IF('Option 1'!E164="","",'Option 1'!E164)</f>
        <v/>
      </c>
      <c r="F164" s="184" t="str">
        <f>IF('Option 1'!F164="","",'Option 1'!F164)</f>
        <v/>
      </c>
      <c r="G164" s="184" t="str">
        <f>IF('Option 1'!G164="","",'Option 1'!G164)</f>
        <v/>
      </c>
      <c r="H164" s="184" t="str">
        <f>IF('Option 1'!H164="","",'Option 1'!H164)</f>
        <v/>
      </c>
      <c r="I164" s="184" t="str">
        <f>IF('Option 1'!I164="","",'Option 1'!I164)</f>
        <v/>
      </c>
      <c r="J164" s="184">
        <f>IF('Option 1'!J164="","",'Option 1'!J164)</f>
        <v>11071</v>
      </c>
      <c r="K164" s="184" t="str">
        <f>IF('Option 1'!K164="","",'Option 1'!K164)</f>
        <v/>
      </c>
      <c r="L164" s="184" t="str">
        <f>IF('Option 1'!L164="","",'Option 1'!L164)</f>
        <v/>
      </c>
      <c r="M164" s="184" t="str">
        <f>IF('Option 1'!M164="","",'Option 1'!M164)</f>
        <v/>
      </c>
      <c r="N164" s="184" t="str">
        <f>IF('Option 1'!N164="","",'Option 1'!N164)</f>
        <v/>
      </c>
      <c r="O164" s="184" t="str">
        <f>IF('Option 1'!O164="","",'Option 1'!O164)</f>
        <v/>
      </c>
      <c r="P164" s="124">
        <f t="shared" si="10"/>
        <v>11071</v>
      </c>
    </row>
    <row r="165" spans="1:16" ht="15.75" customHeight="1" x14ac:dyDescent="0.25">
      <c r="A165" s="239"/>
      <c r="B165" s="4" t="str">
        <f>IF('Option 1'!B165="","",'Option 1'!B165)</f>
        <v/>
      </c>
      <c r="C165" s="188" t="str">
        <f>IF('Option 1'!C165="","",'Option 1'!C165)</f>
        <v>Stair Light Fixtures</v>
      </c>
      <c r="D165" s="186" t="str">
        <f>IF('Option 1'!D165="","",'Option 1'!D165)</f>
        <v/>
      </c>
      <c r="E165" s="184" t="str">
        <f>IF('Option 1'!E165="","",'Option 1'!E165)</f>
        <v/>
      </c>
      <c r="F165" s="184" t="str">
        <f>IF('Option 1'!F165="","",'Option 1'!F165)</f>
        <v/>
      </c>
      <c r="G165" s="184" t="str">
        <f>IF('Option 1'!G165="","",'Option 1'!G165)</f>
        <v/>
      </c>
      <c r="H165" s="184">
        <f>IF('Option 1'!H165="","",'Option 1'!H165)</f>
        <v>19373</v>
      </c>
      <c r="I165" s="184" t="str">
        <f>IF('Option 1'!I165="","",'Option 1'!I165)</f>
        <v/>
      </c>
      <c r="J165" s="184" t="str">
        <f>IF('Option 1'!J165="","",'Option 1'!J165)</f>
        <v/>
      </c>
      <c r="K165" s="184" t="str">
        <f>IF('Option 1'!K165="","",'Option 1'!K165)</f>
        <v/>
      </c>
      <c r="L165" s="184" t="str">
        <f>IF('Option 1'!L165="","",'Option 1'!L165)</f>
        <v/>
      </c>
      <c r="M165" s="184" t="str">
        <f>IF('Option 1'!M165="","",'Option 1'!M165)</f>
        <v/>
      </c>
      <c r="N165" s="184" t="str">
        <f>IF('Option 1'!N165="","",'Option 1'!N165)</f>
        <v/>
      </c>
      <c r="O165" s="184" t="str">
        <f>IF('Option 1'!O165="","",'Option 1'!O165)</f>
        <v/>
      </c>
      <c r="P165" s="124">
        <f t="shared" si="10"/>
        <v>19373</v>
      </c>
    </row>
    <row r="166" spans="1:16" ht="15.75" customHeight="1" x14ac:dyDescent="0.25">
      <c r="A166" s="239"/>
      <c r="B166" s="4" t="str">
        <f>IF('Option 1'!B166="","",'Option 1'!B166)</f>
        <v/>
      </c>
      <c r="C166" s="188" t="str">
        <f>IF('Option 1'!C166="","",'Option 1'!C166)</f>
        <v>Lobby Chandeliers</v>
      </c>
      <c r="D166" s="186" t="str">
        <f>IF('Option 1'!D166="","",'Option 1'!D166)</f>
        <v/>
      </c>
      <c r="E166" s="184" t="str">
        <f>IF('Option 1'!E166="","",'Option 1'!E166)</f>
        <v/>
      </c>
      <c r="F166" s="184" t="str">
        <f>IF('Option 1'!F166="","",'Option 1'!F166)</f>
        <v/>
      </c>
      <c r="G166" s="184" t="str">
        <f>IF('Option 1'!G166="","",'Option 1'!G166)</f>
        <v/>
      </c>
      <c r="H166" s="184" t="str">
        <f>IF('Option 1'!H166="","",'Option 1'!H166)</f>
        <v/>
      </c>
      <c r="I166" s="184" t="str">
        <f>IF('Option 1'!I166="","",'Option 1'!I166)</f>
        <v/>
      </c>
      <c r="J166" s="184" t="str">
        <f>IF('Option 1'!J166="","",'Option 1'!J166)</f>
        <v/>
      </c>
      <c r="K166" s="184" t="str">
        <f>IF('Option 1'!K166="","",'Option 1'!K166)</f>
        <v/>
      </c>
      <c r="L166" s="184" t="str">
        <f>IF('Option 1'!L166="","",'Option 1'!L166)</f>
        <v/>
      </c>
      <c r="M166" s="184">
        <f>IF('Option 1'!M166="","",'Option 1'!M166)</f>
        <v>9964</v>
      </c>
      <c r="N166" s="184" t="str">
        <f>IF('Option 1'!N166="","",'Option 1'!N166)</f>
        <v/>
      </c>
      <c r="O166" s="184" t="str">
        <f>IF('Option 1'!O166="","",'Option 1'!O166)</f>
        <v/>
      </c>
      <c r="P166" s="124">
        <f t="shared" si="10"/>
        <v>9964</v>
      </c>
    </row>
    <row r="167" spans="1:16" ht="15.75" customHeight="1" x14ac:dyDescent="0.25">
      <c r="A167" s="239"/>
      <c r="B167" s="4" t="str">
        <f>IF('Option 1'!B167="","",'Option 1'!B167)</f>
        <v/>
      </c>
      <c r="C167" s="188" t="str">
        <f>IF('Option 1'!C167="","",'Option 1'!C167)</f>
        <v>Surface Light Fixtures</v>
      </c>
      <c r="D167" s="186" t="str">
        <f>IF('Option 1'!D167="","",'Option 1'!D167)</f>
        <v/>
      </c>
      <c r="E167" s="184" t="str">
        <f>IF('Option 1'!E167="","",'Option 1'!E167)</f>
        <v/>
      </c>
      <c r="F167" s="184" t="str">
        <f>IF('Option 1'!F167="","",'Option 1'!F167)</f>
        <v/>
      </c>
      <c r="G167" s="184" t="str">
        <f>IF('Option 1'!G167="","",'Option 1'!G167)</f>
        <v/>
      </c>
      <c r="H167" s="184" t="str">
        <f>IF('Option 1'!H167="","",'Option 1'!H167)</f>
        <v/>
      </c>
      <c r="I167" s="184" t="str">
        <f>IF('Option 1'!I167="","",'Option 1'!I167)</f>
        <v/>
      </c>
      <c r="J167" s="184" t="str">
        <f>IF('Option 1'!J167="","",'Option 1'!J167)</f>
        <v/>
      </c>
      <c r="K167" s="184" t="str">
        <f>IF('Option 1'!K167="","",'Option 1'!K167)</f>
        <v/>
      </c>
      <c r="L167" s="184" t="str">
        <f>IF('Option 1'!L167="","",'Option 1'!L167)</f>
        <v/>
      </c>
      <c r="M167" s="184" t="str">
        <f>IF('Option 1'!M167="","",'Option 1'!M167)</f>
        <v/>
      </c>
      <c r="N167" s="184" t="str">
        <f>IF('Option 1'!N167="","",'Option 1'!N167)</f>
        <v/>
      </c>
      <c r="O167" s="184" t="str">
        <f>IF('Option 1'!O167="","",'Option 1'!O167)</f>
        <v/>
      </c>
      <c r="P167" s="124">
        <f t="shared" si="10"/>
        <v>0</v>
      </c>
    </row>
    <row r="168" spans="1:16" ht="15.75" customHeight="1" x14ac:dyDescent="0.25">
      <c r="A168" s="239"/>
      <c r="B168" s="4" t="str">
        <f>IF('Option 1'!B168="","",'Option 1'!B168)</f>
        <v/>
      </c>
      <c r="C168" s="188" t="str">
        <f>IF('Option 1'!C168="","",'Option 1'!C168)</f>
        <v>Downlights</v>
      </c>
      <c r="D168" s="186" t="str">
        <f>IF('Option 1'!D168="","",'Option 1'!D168)</f>
        <v/>
      </c>
      <c r="E168" s="184" t="str">
        <f>IF('Option 1'!E168="","",'Option 1'!E168)</f>
        <v/>
      </c>
      <c r="F168" s="184" t="str">
        <f>IF('Option 1'!F168="","",'Option 1'!F168)</f>
        <v/>
      </c>
      <c r="G168" s="184" t="str">
        <f>IF('Option 1'!G168="","",'Option 1'!G168)</f>
        <v/>
      </c>
      <c r="H168" s="184">
        <f>IF('Option 1'!H168="","",'Option 1'!H168)</f>
        <v>3321</v>
      </c>
      <c r="I168" s="184" t="str">
        <f>IF('Option 1'!I168="","",'Option 1'!I168)</f>
        <v/>
      </c>
      <c r="J168" s="184" t="str">
        <f>IF('Option 1'!J168="","",'Option 1'!J168)</f>
        <v/>
      </c>
      <c r="K168" s="184" t="str">
        <f>IF('Option 1'!K168="","",'Option 1'!K168)</f>
        <v/>
      </c>
      <c r="L168" s="184" t="str">
        <f>IF('Option 1'!L168="","",'Option 1'!L168)</f>
        <v/>
      </c>
      <c r="M168" s="184" t="str">
        <f>IF('Option 1'!M168="","",'Option 1'!M168)</f>
        <v/>
      </c>
      <c r="N168" s="184" t="str">
        <f>IF('Option 1'!N168="","",'Option 1'!N168)</f>
        <v/>
      </c>
      <c r="O168" s="184" t="str">
        <f>IF('Option 1'!O168="","",'Option 1'!O168)</f>
        <v/>
      </c>
      <c r="P168" s="124">
        <f t="shared" si="10"/>
        <v>3321</v>
      </c>
    </row>
    <row r="169" spans="1:16" ht="15.75" customHeight="1" x14ac:dyDescent="0.25">
      <c r="A169" s="239"/>
      <c r="B169" s="4" t="str">
        <f>IF('Option 1'!B169="","",'Option 1'!B169)</f>
        <v/>
      </c>
      <c r="C169" s="188" t="str">
        <f>IF('Option 1'!C169="","",'Option 1'!C169)</f>
        <v>Fire Alarm Systems</v>
      </c>
      <c r="D169" s="186" t="str">
        <f>IF('Option 1'!D169="","",'Option 1'!D169)</f>
        <v/>
      </c>
      <c r="E169" s="184" t="str">
        <f>IF('Option 1'!E169="","",'Option 1'!E169)</f>
        <v/>
      </c>
      <c r="F169" s="184" t="str">
        <f>IF('Option 1'!F169="","",'Option 1'!F169)</f>
        <v/>
      </c>
      <c r="G169" s="184" t="str">
        <f>IF('Option 1'!G169="","",'Option 1'!G169)</f>
        <v/>
      </c>
      <c r="H169" s="184" t="str">
        <f>IF('Option 1'!H169="","",'Option 1'!H169)</f>
        <v/>
      </c>
      <c r="I169" s="184" t="str">
        <f>IF('Option 1'!I169="","",'Option 1'!I169)</f>
        <v/>
      </c>
      <c r="J169" s="184" t="str">
        <f>IF('Option 1'!J169="","",'Option 1'!J169)</f>
        <v/>
      </c>
      <c r="K169" s="184" t="str">
        <f>IF('Option 1'!K169="","",'Option 1'!K169)</f>
        <v/>
      </c>
      <c r="L169" s="184" t="str">
        <f>IF('Option 1'!L169="","",'Option 1'!L169)</f>
        <v/>
      </c>
      <c r="M169" s="184" t="str">
        <f>IF('Option 1'!M169="","",'Option 1'!M169)</f>
        <v/>
      </c>
      <c r="N169" s="184" t="str">
        <f>IF('Option 1'!N169="","",'Option 1'!N169)</f>
        <v/>
      </c>
      <c r="O169" s="184" t="str">
        <f>IF('Option 1'!O169="","",'Option 1'!O169)</f>
        <v/>
      </c>
      <c r="P169" s="124">
        <f t="shared" si="10"/>
        <v>0</v>
      </c>
    </row>
    <row r="170" spans="1:16" ht="15.75" customHeight="1" x14ac:dyDescent="0.25">
      <c r="A170" s="239"/>
      <c r="B170" s="4" t="str">
        <f>IF('Option 1'!B170="","",'Option 1'!B170)</f>
        <v/>
      </c>
      <c r="C170" s="188" t="str">
        <f>IF('Option 1'!C170="","",'Option 1'!C170)</f>
        <v>Automatic Garage Doors</v>
      </c>
      <c r="D170" s="186" t="str">
        <f>IF('Option 1'!D170="","",'Option 1'!D170)</f>
        <v/>
      </c>
      <c r="E170" s="184" t="str">
        <f>IF('Option 1'!E170="","",'Option 1'!E170)</f>
        <v/>
      </c>
      <c r="F170" s="184" t="str">
        <f>IF('Option 1'!F170="","",'Option 1'!F170)</f>
        <v/>
      </c>
      <c r="G170" s="184" t="str">
        <f>IF('Option 1'!G170="","",'Option 1'!G170)</f>
        <v/>
      </c>
      <c r="H170" s="184">
        <f>IF('Option 1'!H170="","",'Option 1'!H170)</f>
        <v>39675</v>
      </c>
      <c r="I170" s="184" t="str">
        <f>IF('Option 1'!I170="","",'Option 1'!I170)</f>
        <v/>
      </c>
      <c r="J170" s="184" t="str">
        <f>IF('Option 1'!J170="","",'Option 1'!J170)</f>
        <v/>
      </c>
      <c r="K170" s="184" t="str">
        <f>IF('Option 1'!K170="","",'Option 1'!K170)</f>
        <v/>
      </c>
      <c r="L170" s="184" t="str">
        <f>IF('Option 1'!L170="","",'Option 1'!L170)</f>
        <v/>
      </c>
      <c r="M170" s="184" t="str">
        <f>IF('Option 1'!M170="","",'Option 1'!M170)</f>
        <v/>
      </c>
      <c r="N170" s="184" t="str">
        <f>IF('Option 1'!N170="","",'Option 1'!N170)</f>
        <v/>
      </c>
      <c r="O170" s="184" t="str">
        <f>IF('Option 1'!O170="","",'Option 1'!O170)</f>
        <v/>
      </c>
      <c r="P170" s="124">
        <f t="shared" si="10"/>
        <v>39675</v>
      </c>
    </row>
    <row r="171" spans="1:16" ht="15.75" customHeight="1" x14ac:dyDescent="0.25">
      <c r="A171" s="239"/>
      <c r="B171" s="4" t="str">
        <f>IF('Option 1'!B171="","",'Option 1'!B171)</f>
        <v/>
      </c>
      <c r="C171" s="188" t="str">
        <f>IF('Option 1'!C171="","",'Option 1'!C171)</f>
        <v>Electrical System</v>
      </c>
      <c r="D171" s="186" t="str">
        <f>IF('Option 1'!D171="","",'Option 1'!D171)</f>
        <v/>
      </c>
      <c r="E171" s="184" t="str">
        <f>IF('Option 1'!E171="","",'Option 1'!E171)</f>
        <v/>
      </c>
      <c r="F171" s="184" t="str">
        <f>IF('Option 1'!F171="","",'Option 1'!F171)</f>
        <v/>
      </c>
      <c r="G171" s="184" t="str">
        <f>IF('Option 1'!G171="","",'Option 1'!G171)</f>
        <v/>
      </c>
      <c r="H171" s="184" t="str">
        <f>IF('Option 1'!H171="","",'Option 1'!H171)</f>
        <v/>
      </c>
      <c r="I171" s="184" t="str">
        <f>IF('Option 1'!I171="","",'Option 1'!I171)</f>
        <v/>
      </c>
      <c r="J171" s="184" t="str">
        <f>IF('Option 1'!J171="","",'Option 1'!J171)</f>
        <v/>
      </c>
      <c r="K171" s="184" t="str">
        <f>IF('Option 1'!K171="","",'Option 1'!K171)</f>
        <v/>
      </c>
      <c r="L171" s="184" t="str">
        <f>IF('Option 1'!L171="","",'Option 1'!L171)</f>
        <v/>
      </c>
      <c r="M171" s="184" t="str">
        <f>IF('Option 1'!M171="","",'Option 1'!M171)</f>
        <v/>
      </c>
      <c r="N171" s="184" t="str">
        <f>IF('Option 1'!N171="","",'Option 1'!N171)</f>
        <v/>
      </c>
      <c r="O171" s="184" t="str">
        <f>IF('Option 1'!O171="","",'Option 1'!O171)</f>
        <v/>
      </c>
      <c r="P171" s="124">
        <f t="shared" si="10"/>
        <v>0</v>
      </c>
    </row>
    <row r="172" spans="1:16" ht="15.75" customHeight="1" x14ac:dyDescent="0.25">
      <c r="A172" s="239"/>
      <c r="B172" s="4" t="str">
        <f>IF('Option 1'!B172="","",'Option 1'!B172)</f>
        <v/>
      </c>
      <c r="C172" s="188" t="str">
        <f>IF('Option 1'!C172="","",'Option 1'!C172)</f>
        <v>Exterior Light Fixtures</v>
      </c>
      <c r="D172" s="186" t="str">
        <f>IF('Option 1'!D172="","",'Option 1'!D172)</f>
        <v/>
      </c>
      <c r="E172" s="184" t="str">
        <f>IF('Option 1'!E172="","",'Option 1'!E172)</f>
        <v/>
      </c>
      <c r="F172" s="184" t="str">
        <f>IF('Option 1'!F172="","",'Option 1'!F172)</f>
        <v/>
      </c>
      <c r="G172" s="184" t="str">
        <f>IF('Option 1'!G172="","",'Option 1'!G172)</f>
        <v/>
      </c>
      <c r="H172" s="184" t="str">
        <f>IF('Option 1'!H172="","",'Option 1'!H172)</f>
        <v/>
      </c>
      <c r="I172" s="184" t="str">
        <f>IF('Option 1'!I172="","",'Option 1'!I172)</f>
        <v/>
      </c>
      <c r="J172" s="184" t="str">
        <f>IF('Option 1'!J172="","",'Option 1'!J172)</f>
        <v/>
      </c>
      <c r="K172" s="184" t="str">
        <f>IF('Option 1'!K172="","",'Option 1'!K172)</f>
        <v/>
      </c>
      <c r="L172" s="184" t="str">
        <f>IF('Option 1'!L172="","",'Option 1'!L172)</f>
        <v/>
      </c>
      <c r="M172" s="184" t="str">
        <f>IF('Option 1'!M172="","",'Option 1'!M172)</f>
        <v/>
      </c>
      <c r="N172" s="184" t="str">
        <f>IF('Option 1'!N172="","",'Option 1'!N172)</f>
        <v/>
      </c>
      <c r="O172" s="184" t="str">
        <f>IF('Option 1'!O172="","",'Option 1'!O172)</f>
        <v/>
      </c>
      <c r="P172" s="124">
        <f t="shared" si="10"/>
        <v>0</v>
      </c>
    </row>
    <row r="173" spans="1:16" ht="15.75" customHeight="1" x14ac:dyDescent="0.25">
      <c r="A173" s="239"/>
      <c r="B173" s="4" t="str">
        <f>IF('Option 1'!B173="","",'Option 1'!B173)</f>
        <v/>
      </c>
      <c r="C173" s="3" t="str">
        <f>IF('Option 1'!C173="","",'Option 1'!C173)</f>
        <v>Special Construction Elements</v>
      </c>
      <c r="D173" s="186" t="str">
        <f>IF('Option 1'!D173="","",'Option 1'!D173)</f>
        <v/>
      </c>
      <c r="E173" s="184" t="str">
        <f>IF('Option 1'!E173="","",'Option 1'!E173)</f>
        <v/>
      </c>
      <c r="F173" s="184" t="str">
        <f>IF('Option 1'!F173="","",'Option 1'!F173)</f>
        <v/>
      </c>
      <c r="G173" s="184" t="str">
        <f>IF('Option 1'!G173="","",'Option 1'!G173)</f>
        <v/>
      </c>
      <c r="H173" s="184" t="str">
        <f>IF('Option 1'!H173="","",'Option 1'!H173)</f>
        <v/>
      </c>
      <c r="I173" s="184" t="str">
        <f>IF('Option 1'!I173="","",'Option 1'!I173)</f>
        <v/>
      </c>
      <c r="J173" s="184" t="str">
        <f>IF('Option 1'!J173="","",'Option 1'!J173)</f>
        <v/>
      </c>
      <c r="K173" s="184" t="str">
        <f>IF('Option 1'!K173="","",'Option 1'!K173)</f>
        <v/>
      </c>
      <c r="L173" s="184" t="str">
        <f>IF('Option 1'!L173="","",'Option 1'!L173)</f>
        <v/>
      </c>
      <c r="M173" s="184" t="str">
        <f>IF('Option 1'!M173="","",'Option 1'!M173)</f>
        <v/>
      </c>
      <c r="N173" s="184" t="str">
        <f>IF('Option 1'!N173="","",'Option 1'!N173)</f>
        <v/>
      </c>
      <c r="O173" s="184" t="str">
        <f>IF('Option 1'!O173="","",'Option 1'!O173)</f>
        <v/>
      </c>
      <c r="P173" s="124">
        <f t="shared" si="10"/>
        <v>0</v>
      </c>
    </row>
    <row r="174" spans="1:16" ht="15.75" customHeight="1" x14ac:dyDescent="0.25">
      <c r="A174" s="239"/>
      <c r="B174" s="4" t="str">
        <f>IF('Option 1'!B174="","",'Option 1'!B174)</f>
        <v/>
      </c>
      <c r="C174" s="188" t="str">
        <f>IF('Option 1'!C174="","",'Option 1'!C174)</f>
        <v>Pool Heater</v>
      </c>
      <c r="D174" s="186" t="str">
        <f>IF('Option 1'!D174="","",'Option 1'!D174)</f>
        <v/>
      </c>
      <c r="E174" s="184" t="str">
        <f>IF('Option 1'!E174="","",'Option 1'!E174)</f>
        <v/>
      </c>
      <c r="F174" s="184" t="str">
        <f>IF('Option 1'!F174="","",'Option 1'!F174)</f>
        <v/>
      </c>
      <c r="G174" s="184" t="str">
        <f>IF('Option 1'!G174="","",'Option 1'!G174)</f>
        <v/>
      </c>
      <c r="H174" s="184" t="str">
        <f>IF('Option 1'!H174="","",'Option 1'!H174)</f>
        <v/>
      </c>
      <c r="I174" s="184" t="str">
        <f>IF('Option 1'!I174="","",'Option 1'!I174)</f>
        <v/>
      </c>
      <c r="J174" s="184" t="str">
        <f>IF('Option 1'!J174="","",'Option 1'!J174)</f>
        <v/>
      </c>
      <c r="K174" s="184">
        <f>IF('Option 1'!K174="","",'Option 1'!K174)</f>
        <v>8303</v>
      </c>
      <c r="L174" s="184" t="str">
        <f>IF('Option 1'!L174="","",'Option 1'!L174)</f>
        <v/>
      </c>
      <c r="M174" s="184" t="str">
        <f>IF('Option 1'!M174="","",'Option 1'!M174)</f>
        <v/>
      </c>
      <c r="N174" s="184" t="str">
        <f>IF('Option 1'!N174="","",'Option 1'!N174)</f>
        <v/>
      </c>
      <c r="O174" s="184" t="str">
        <f>IF('Option 1'!O174="","",'Option 1'!O174)</f>
        <v/>
      </c>
      <c r="P174" s="124">
        <f t="shared" si="10"/>
        <v>8303</v>
      </c>
    </row>
    <row r="175" spans="1:16" ht="15.75" customHeight="1" x14ac:dyDescent="0.25">
      <c r="A175" s="239"/>
      <c r="B175" s="4" t="str">
        <f>IF('Option 1'!B175="","",'Option 1'!B175)</f>
        <v/>
      </c>
      <c r="C175" s="188" t="str">
        <f>IF('Option 1'!C175="","",'Option 1'!C175)</f>
        <v>Sand Filters</v>
      </c>
      <c r="D175" s="186" t="str">
        <f>IF('Option 1'!D175="","",'Option 1'!D175)</f>
        <v/>
      </c>
      <c r="E175" s="184" t="str">
        <f>IF('Option 1'!E175="","",'Option 1'!E175)</f>
        <v/>
      </c>
      <c r="F175" s="184" t="str">
        <f>IF('Option 1'!F175="","",'Option 1'!F175)</f>
        <v/>
      </c>
      <c r="G175" s="184" t="str">
        <f>IF('Option 1'!G175="","",'Option 1'!G175)</f>
        <v/>
      </c>
      <c r="H175" s="184" t="str">
        <f>IF('Option 1'!H175="","",'Option 1'!H175)</f>
        <v/>
      </c>
      <c r="I175" s="184" t="str">
        <f>IF('Option 1'!I175="","",'Option 1'!I175)</f>
        <v/>
      </c>
      <c r="J175" s="184" t="str">
        <f>IF('Option 1'!J175="","",'Option 1'!J175)</f>
        <v/>
      </c>
      <c r="K175" s="184" t="str">
        <f>IF('Option 1'!K175="","",'Option 1'!K175)</f>
        <v/>
      </c>
      <c r="L175" s="184" t="str">
        <f>IF('Option 1'!L175="","",'Option 1'!L175)</f>
        <v/>
      </c>
      <c r="M175" s="184" t="str">
        <f>IF('Option 1'!M175="","",'Option 1'!M175)</f>
        <v/>
      </c>
      <c r="N175" s="184" t="str">
        <f>IF('Option 1'!N175="","",'Option 1'!N175)</f>
        <v/>
      </c>
      <c r="O175" s="184" t="str">
        <f>IF('Option 1'!O175="","",'Option 1'!O175)</f>
        <v/>
      </c>
      <c r="P175" s="124">
        <f t="shared" si="10"/>
        <v>0</v>
      </c>
    </row>
    <row r="176" spans="1:16" ht="15.75" customHeight="1" x14ac:dyDescent="0.25">
      <c r="A176" s="239"/>
      <c r="B176" s="4" t="str">
        <f>IF('Option 1'!B176="","",'Option 1'!B176)</f>
        <v/>
      </c>
      <c r="C176" s="188" t="str">
        <f>IF('Option 1'!C176="","",'Option 1'!C176)</f>
        <v xml:space="preserve">Pump </v>
      </c>
      <c r="D176" s="186" t="str">
        <f>IF('Option 1'!D176="","",'Option 1'!D176)</f>
        <v/>
      </c>
      <c r="E176" s="184" t="str">
        <f>IF('Option 1'!E176="","",'Option 1'!E176)</f>
        <v/>
      </c>
      <c r="F176" s="184" t="str">
        <f>IF('Option 1'!F176="","",'Option 1'!F176)</f>
        <v/>
      </c>
      <c r="G176" s="184" t="str">
        <f>IF('Option 1'!G176="","",'Option 1'!G176)</f>
        <v/>
      </c>
      <c r="H176" s="184">
        <f>IF('Option 1'!H176="","",'Option 1'!H176)</f>
        <v>6919</v>
      </c>
      <c r="I176" s="184" t="str">
        <f>IF('Option 1'!I176="","",'Option 1'!I176)</f>
        <v/>
      </c>
      <c r="J176" s="184" t="str">
        <f>IF('Option 1'!J176="","",'Option 1'!J176)</f>
        <v/>
      </c>
      <c r="K176" s="184" t="str">
        <f>IF('Option 1'!K176="","",'Option 1'!K176)</f>
        <v/>
      </c>
      <c r="L176" s="184" t="str">
        <f>IF('Option 1'!L176="","",'Option 1'!L176)</f>
        <v/>
      </c>
      <c r="M176" s="184" t="str">
        <f>IF('Option 1'!M176="","",'Option 1'!M176)</f>
        <v/>
      </c>
      <c r="N176" s="184" t="str">
        <f>IF('Option 1'!N176="","",'Option 1'!N176)</f>
        <v/>
      </c>
      <c r="O176" s="184" t="str">
        <f>IF('Option 1'!O176="","",'Option 1'!O176)</f>
        <v/>
      </c>
      <c r="P176" s="124">
        <f t="shared" si="10"/>
        <v>6919</v>
      </c>
    </row>
    <row r="177" spans="1:16" ht="15.75" customHeight="1" x14ac:dyDescent="0.25">
      <c r="A177" s="239"/>
      <c r="B177" s="4" t="str">
        <f>IF('Option 1'!B177="","",'Option 1'!B177)</f>
        <v/>
      </c>
      <c r="C177" s="188" t="str">
        <f>IF('Option 1'!C177="","",'Option 1'!C177)</f>
        <v>Pool Room Piping</v>
      </c>
      <c r="D177" s="186" t="str">
        <f>IF('Option 1'!D177="","",'Option 1'!D177)</f>
        <v/>
      </c>
      <c r="E177" s="184" t="str">
        <f>IF('Option 1'!E177="","",'Option 1'!E177)</f>
        <v/>
      </c>
      <c r="F177" s="184" t="str">
        <f>IF('Option 1'!F177="","",'Option 1'!F177)</f>
        <v/>
      </c>
      <c r="G177" s="184" t="str">
        <f>IF('Option 1'!G177="","",'Option 1'!G177)</f>
        <v/>
      </c>
      <c r="H177" s="184" t="str">
        <f>IF('Option 1'!H177="","",'Option 1'!H177)</f>
        <v/>
      </c>
      <c r="I177" s="184" t="str">
        <f>IF('Option 1'!I177="","",'Option 1'!I177)</f>
        <v/>
      </c>
      <c r="J177" s="184">
        <f>IF('Option 1'!J177="","",'Option 1'!J177)</f>
        <v>20758</v>
      </c>
      <c r="K177" s="184" t="str">
        <f>IF('Option 1'!K177="","",'Option 1'!K177)</f>
        <v/>
      </c>
      <c r="L177" s="184" t="str">
        <f>IF('Option 1'!L177="","",'Option 1'!L177)</f>
        <v/>
      </c>
      <c r="M177" s="184" t="str">
        <f>IF('Option 1'!M177="","",'Option 1'!M177)</f>
        <v/>
      </c>
      <c r="N177" s="184" t="str">
        <f>IF('Option 1'!N177="","",'Option 1'!N177)</f>
        <v/>
      </c>
      <c r="O177" s="184" t="str">
        <f>IF('Option 1'!O177="","",'Option 1'!O177)</f>
        <v/>
      </c>
      <c r="P177" s="124">
        <f t="shared" si="10"/>
        <v>20758</v>
      </c>
    </row>
    <row r="178" spans="1:16" ht="15.75" customHeight="1" x14ac:dyDescent="0.25">
      <c r="A178" s="239"/>
      <c r="B178" s="4" t="str">
        <f>IF('Option 1'!B178="","",'Option 1'!B178)</f>
        <v/>
      </c>
      <c r="C178" s="188" t="str">
        <f>IF('Option 1'!C178="","",'Option 1'!C178)</f>
        <v>Swimming Pool</v>
      </c>
      <c r="D178" s="186" t="str">
        <f>IF('Option 1'!D178="","",'Option 1'!D178)</f>
        <v/>
      </c>
      <c r="E178" s="184" t="str">
        <f>IF('Option 1'!E178="","",'Option 1'!E178)</f>
        <v/>
      </c>
      <c r="F178" s="184" t="str">
        <f>IF('Option 1'!F178="","",'Option 1'!F178)</f>
        <v/>
      </c>
      <c r="G178" s="184" t="str">
        <f>IF('Option 1'!G178="","",'Option 1'!G178)</f>
        <v/>
      </c>
      <c r="H178" s="184" t="str">
        <f>IF('Option 1'!H178="","",'Option 1'!H178)</f>
        <v/>
      </c>
      <c r="I178" s="184" t="str">
        <f>IF('Option 1'!I178="","",'Option 1'!I178)</f>
        <v/>
      </c>
      <c r="J178" s="184" t="str">
        <f>IF('Option 1'!J178="","",'Option 1'!J178)</f>
        <v/>
      </c>
      <c r="K178" s="184" t="str">
        <f>IF('Option 1'!K178="","",'Option 1'!K178)</f>
        <v/>
      </c>
      <c r="L178" s="184" t="str">
        <f>IF('Option 1'!L178="","",'Option 1'!L178)</f>
        <v/>
      </c>
      <c r="M178" s="184" t="str">
        <f>IF('Option 1'!M178="","",'Option 1'!M178)</f>
        <v/>
      </c>
      <c r="N178" s="184" t="str">
        <f>IF('Option 1'!N178="","",'Option 1'!N178)</f>
        <v/>
      </c>
      <c r="O178" s="184" t="str">
        <f>IF('Option 1'!O178="","",'Option 1'!O178)</f>
        <v/>
      </c>
      <c r="P178" s="124">
        <f t="shared" si="10"/>
        <v>0</v>
      </c>
    </row>
    <row r="179" spans="1:16" ht="15.75" customHeight="1" x14ac:dyDescent="0.25">
      <c r="A179" s="239"/>
      <c r="B179" s="4" t="str">
        <f>IF('Option 1'!B179="","",'Option 1'!B179)</f>
        <v/>
      </c>
      <c r="C179" s="188" t="str">
        <f>IF('Option 1'!C179="","",'Option 1'!C179)</f>
        <v>Concrete Pool Deck</v>
      </c>
      <c r="D179" s="186" t="str">
        <f>IF('Option 1'!D179="","",'Option 1'!D179)</f>
        <v/>
      </c>
      <c r="E179" s="184" t="str">
        <f>IF('Option 1'!E179="","",'Option 1'!E179)</f>
        <v/>
      </c>
      <c r="F179" s="184" t="str">
        <f>IF('Option 1'!F179="","",'Option 1'!F179)</f>
        <v/>
      </c>
      <c r="G179" s="184" t="str">
        <f>IF('Option 1'!G179="","",'Option 1'!G179)</f>
        <v/>
      </c>
      <c r="H179" s="184" t="str">
        <f>IF('Option 1'!H179="","",'Option 1'!H179)</f>
        <v/>
      </c>
      <c r="I179" s="184" t="str">
        <f>IF('Option 1'!I179="","",'Option 1'!I179)</f>
        <v/>
      </c>
      <c r="J179" s="184" t="str">
        <f>IF('Option 1'!J179="","",'Option 1'!J179)</f>
        <v/>
      </c>
      <c r="K179" s="184" t="str">
        <f>IF('Option 1'!K179="","",'Option 1'!K179)</f>
        <v/>
      </c>
      <c r="L179" s="184" t="str">
        <f>IF('Option 1'!L179="","",'Option 1'!L179)</f>
        <v/>
      </c>
      <c r="M179" s="184" t="str">
        <f>IF('Option 1'!M179="","",'Option 1'!M179)</f>
        <v/>
      </c>
      <c r="N179" s="184">
        <f>IF('Option 1'!N179="","",'Option 1'!N179)</f>
        <v>78025</v>
      </c>
      <c r="O179" s="184" t="str">
        <f>IF('Option 1'!O179="","",'Option 1'!O179)</f>
        <v/>
      </c>
      <c r="P179" s="124">
        <f t="shared" si="10"/>
        <v>78025</v>
      </c>
    </row>
    <row r="180" spans="1:16" ht="15.75" customHeight="1" x14ac:dyDescent="0.25">
      <c r="A180" s="239"/>
      <c r="B180" s="4" t="str">
        <f>IF('Option 1'!B180="","",'Option 1'!B180)</f>
        <v/>
      </c>
      <c r="C180" s="188" t="str">
        <f>IF('Option 1'!C180="","",'Option 1'!C180)</f>
        <v>Brick Picnic Deck</v>
      </c>
      <c r="D180" s="186" t="str">
        <f>IF('Option 1'!D180="","",'Option 1'!D180)</f>
        <v/>
      </c>
      <c r="E180" s="184" t="str">
        <f>IF('Option 1'!E180="","",'Option 1'!E180)</f>
        <v/>
      </c>
      <c r="F180" s="184" t="str">
        <f>IF('Option 1'!F180="","",'Option 1'!F180)</f>
        <v/>
      </c>
      <c r="G180" s="184" t="str">
        <f>IF('Option 1'!G180="","",'Option 1'!G180)</f>
        <v/>
      </c>
      <c r="H180" s="184" t="str">
        <f>IF('Option 1'!H180="","",'Option 1'!H180)</f>
        <v/>
      </c>
      <c r="I180" s="184" t="str">
        <f>IF('Option 1'!I180="","",'Option 1'!I180)</f>
        <v/>
      </c>
      <c r="J180" s="184" t="str">
        <f>IF('Option 1'!J180="","",'Option 1'!J180)</f>
        <v/>
      </c>
      <c r="K180" s="184" t="str">
        <f>IF('Option 1'!K180="","",'Option 1'!K180)</f>
        <v/>
      </c>
      <c r="L180" s="184" t="str">
        <f>IF('Option 1'!L180="","",'Option 1'!L180)</f>
        <v/>
      </c>
      <c r="M180" s="184" t="str">
        <f>IF('Option 1'!M180="","",'Option 1'!M180)</f>
        <v/>
      </c>
      <c r="N180" s="184" t="str">
        <f>IF('Option 1'!N180="","",'Option 1'!N180)</f>
        <v/>
      </c>
      <c r="O180" s="184" t="str">
        <f>IF('Option 1'!O180="","",'Option 1'!O180)</f>
        <v/>
      </c>
      <c r="P180" s="124">
        <f t="shared" si="10"/>
        <v>0</v>
      </c>
    </row>
    <row r="181" spans="1:16" ht="15.75" customHeight="1" x14ac:dyDescent="0.25">
      <c r="A181" s="239"/>
      <c r="B181" s="4" t="str">
        <f>IF('Option 1'!B181="","",'Option 1'!B181)</f>
        <v/>
      </c>
      <c r="C181" s="188" t="str">
        <f>IF('Option 1'!C181="","",'Option 1'!C181)</f>
        <v>Tennis Court Net and Posts</v>
      </c>
      <c r="D181" s="186">
        <f>IF('Option 1'!D181="","",'Option 1'!D181)</f>
        <v>4000</v>
      </c>
      <c r="E181" s="184" t="str">
        <f>IF('Option 1'!E181="","",'Option 1'!E181)</f>
        <v/>
      </c>
      <c r="F181" s="184" t="str">
        <f>IF('Option 1'!F181="","",'Option 1'!F181)</f>
        <v/>
      </c>
      <c r="G181" s="184" t="str">
        <f>IF('Option 1'!G181="","",'Option 1'!G181)</f>
        <v/>
      </c>
      <c r="H181" s="184" t="str">
        <f>IF('Option 1'!H181="","",'Option 1'!H181)</f>
        <v/>
      </c>
      <c r="I181" s="184" t="str">
        <f>IF('Option 1'!I181="","",'Option 1'!I181)</f>
        <v/>
      </c>
      <c r="J181" s="184" t="str">
        <f>IF('Option 1'!J181="","",'Option 1'!J181)</f>
        <v/>
      </c>
      <c r="K181" s="184" t="str">
        <f>IF('Option 1'!K181="","",'Option 1'!K181)</f>
        <v/>
      </c>
      <c r="L181" s="184" t="str">
        <f>IF('Option 1'!L181="","",'Option 1'!L181)</f>
        <v/>
      </c>
      <c r="M181" s="184" t="str">
        <f>IF('Option 1'!M181="","",'Option 1'!M181)</f>
        <v/>
      </c>
      <c r="N181" s="184" t="str">
        <f>IF('Option 1'!N181="","",'Option 1'!N181)</f>
        <v/>
      </c>
      <c r="O181" s="184" t="str">
        <f>IF('Option 1'!O181="","",'Option 1'!O181)</f>
        <v/>
      </c>
      <c r="P181" s="124">
        <f t="shared" si="10"/>
        <v>4000</v>
      </c>
    </row>
    <row r="182" spans="1:16" ht="15.75" customHeight="1" x14ac:dyDescent="0.25">
      <c r="A182" s="239"/>
      <c r="B182" s="4" t="str">
        <f>IF('Option 1'!B182="","",'Option 1'!B182)</f>
        <v/>
      </c>
      <c r="C182" s="188" t="str">
        <f>IF('Option 1'!C182="","",'Option 1'!C182)</f>
        <v>Tennis Court - Overlay</v>
      </c>
      <c r="D182" s="186" t="str">
        <f>IF('Option 1'!D182="","",'Option 1'!D182)</f>
        <v/>
      </c>
      <c r="E182" s="184" t="str">
        <f>IF('Option 1'!E182="","",'Option 1'!E182)</f>
        <v/>
      </c>
      <c r="F182" s="184" t="str">
        <f>IF('Option 1'!F182="","",'Option 1'!F182)</f>
        <v/>
      </c>
      <c r="G182" s="184" t="str">
        <f>IF('Option 1'!G182="","",'Option 1'!G182)</f>
        <v/>
      </c>
      <c r="H182" s="184" t="str">
        <f>IF('Option 1'!H182="","",'Option 1'!H182)</f>
        <v/>
      </c>
      <c r="I182" s="184">
        <f>IF('Option 1'!I182="","",'Option 1'!I182)</f>
        <v>165000</v>
      </c>
      <c r="J182" s="184" t="str">
        <f>IF('Option 1'!J182="","",'Option 1'!J182)</f>
        <v/>
      </c>
      <c r="K182" s="184" t="str">
        <f>IF('Option 1'!K182="","",'Option 1'!K182)</f>
        <v/>
      </c>
      <c r="L182" s="184" t="str">
        <f>IF('Option 1'!L182="","",'Option 1'!L182)</f>
        <v/>
      </c>
      <c r="M182" s="184" t="str">
        <f>IF('Option 1'!M182="","",'Option 1'!M182)</f>
        <v/>
      </c>
      <c r="N182" s="184" t="str">
        <f>IF('Option 1'!N182="","",'Option 1'!N182)</f>
        <v/>
      </c>
      <c r="O182" s="184" t="str">
        <f>IF('Option 1'!O182="","",'Option 1'!O182)</f>
        <v/>
      </c>
      <c r="P182" s="124">
        <f t="shared" si="10"/>
        <v>165000</v>
      </c>
    </row>
    <row r="183" spans="1:16" ht="15.75" customHeight="1" x14ac:dyDescent="0.25">
      <c r="A183" s="239"/>
      <c r="B183" s="4" t="str">
        <f>IF('Option 1'!B183="","",'Option 1'!B183)</f>
        <v/>
      </c>
      <c r="C183" s="188" t="str">
        <f>IF('Option 1'!C183="","",'Option 1'!C183)</f>
        <v>Tennis Court Fence (10')</v>
      </c>
      <c r="D183" s="186" t="str">
        <f>IF('Option 1'!D183="","",'Option 1'!D183)</f>
        <v/>
      </c>
      <c r="E183" s="184" t="str">
        <f>IF('Option 1'!E183="","",'Option 1'!E183)</f>
        <v/>
      </c>
      <c r="F183" s="184" t="str">
        <f>IF('Option 1'!F183="","",'Option 1'!F183)</f>
        <v/>
      </c>
      <c r="G183" s="184" t="str">
        <f>IF('Option 1'!G183="","",'Option 1'!G183)</f>
        <v/>
      </c>
      <c r="H183" s="184" t="str">
        <f>IF('Option 1'!H183="","",'Option 1'!H183)</f>
        <v/>
      </c>
      <c r="I183" s="184" t="str">
        <f>IF('Option 1'!I183="","",'Option 1'!I183)</f>
        <v/>
      </c>
      <c r="J183" s="184" t="str">
        <f>IF('Option 1'!J183="","",'Option 1'!J183)</f>
        <v/>
      </c>
      <c r="K183" s="184" t="str">
        <f>IF('Option 1'!K183="","",'Option 1'!K183)</f>
        <v/>
      </c>
      <c r="L183" s="184" t="str">
        <f>IF('Option 1'!L183="","",'Option 1'!L183)</f>
        <v/>
      </c>
      <c r="M183" s="184" t="str">
        <f>IF('Option 1'!M183="","",'Option 1'!M183)</f>
        <v/>
      </c>
      <c r="N183" s="184" t="str">
        <f>IF('Option 1'!N183="","",'Option 1'!N183)</f>
        <v/>
      </c>
      <c r="O183" s="184" t="str">
        <f>IF('Option 1'!O183="","",'Option 1'!O183)</f>
        <v/>
      </c>
      <c r="P183" s="124">
        <f t="shared" si="10"/>
        <v>0</v>
      </c>
    </row>
    <row r="184" spans="1:16" ht="15.75" customHeight="1" x14ac:dyDescent="0.25">
      <c r="A184" s="239"/>
      <c r="B184" s="4" t="str">
        <f>IF('Option 1'!B184="","",'Option 1'!B184)</f>
        <v/>
      </c>
      <c r="C184" s="188" t="str">
        <f>IF('Option 1'!C184="","",'Option 1'!C184)</f>
        <v>Pool Furniture</v>
      </c>
      <c r="D184" s="186" t="str">
        <f>IF('Option 1'!D184="","",'Option 1'!D184)</f>
        <v/>
      </c>
      <c r="E184" s="184" t="str">
        <f>IF('Option 1'!E184="","",'Option 1'!E184)</f>
        <v/>
      </c>
      <c r="F184" s="184" t="str">
        <f>IF('Option 1'!F184="","",'Option 1'!F184)</f>
        <v/>
      </c>
      <c r="G184" s="184" t="str">
        <f>IF('Option 1'!G184="","",'Option 1'!G184)</f>
        <v/>
      </c>
      <c r="H184" s="184">
        <f>IF('Option 1'!H184="","",'Option 1'!H184)</f>
        <v>20758</v>
      </c>
      <c r="I184" s="184" t="str">
        <f>IF('Option 1'!I184="","",'Option 1'!I184)</f>
        <v/>
      </c>
      <c r="J184" s="184" t="str">
        <f>IF('Option 1'!J184="","",'Option 1'!J184)</f>
        <v/>
      </c>
      <c r="K184" s="184" t="str">
        <f>IF('Option 1'!K184="","",'Option 1'!K184)</f>
        <v/>
      </c>
      <c r="L184" s="184" t="str">
        <f>IF('Option 1'!L184="","",'Option 1'!L184)</f>
        <v/>
      </c>
      <c r="M184" s="184">
        <f>IF('Option 1'!M184="","",'Option 1'!M184)</f>
        <v>20758</v>
      </c>
      <c r="N184" s="184" t="str">
        <f>IF('Option 1'!N184="","",'Option 1'!N184)</f>
        <v/>
      </c>
      <c r="O184" s="184" t="str">
        <f>IF('Option 1'!O184="","",'Option 1'!O184)</f>
        <v/>
      </c>
      <c r="P184" s="124">
        <f t="shared" si="10"/>
        <v>41516</v>
      </c>
    </row>
    <row r="185" spans="1:16" ht="15.75" customHeight="1" x14ac:dyDescent="0.25">
      <c r="A185" s="239"/>
      <c r="B185" s="4" t="str">
        <f>IF('Option 1'!B185="","",'Option 1'!B185)</f>
        <v/>
      </c>
      <c r="C185" s="188" t="str">
        <f>IF('Option 1'!C185="","",'Option 1'!C185)</f>
        <v>Pool Chainlink Fence</v>
      </c>
      <c r="D185" s="186" t="str">
        <f>IF('Option 1'!D185="","",'Option 1'!D185)</f>
        <v/>
      </c>
      <c r="E185" s="184" t="str">
        <f>IF('Option 1'!E185="","",'Option 1'!E185)</f>
        <v/>
      </c>
      <c r="F185" s="184" t="str">
        <f>IF('Option 1'!F185="","",'Option 1'!F185)</f>
        <v/>
      </c>
      <c r="G185" s="184" t="str">
        <f>IF('Option 1'!G185="","",'Option 1'!G185)</f>
        <v/>
      </c>
      <c r="H185" s="184">
        <f>IF('Option 1'!H185="","",'Option 1'!H185)</f>
        <v>5928</v>
      </c>
      <c r="I185" s="184" t="str">
        <f>IF('Option 1'!I185="","",'Option 1'!I185)</f>
        <v/>
      </c>
      <c r="J185" s="184" t="str">
        <f>IF('Option 1'!J185="","",'Option 1'!J185)</f>
        <v/>
      </c>
      <c r="K185" s="184" t="str">
        <f>IF('Option 1'!K185="","",'Option 1'!K185)</f>
        <v/>
      </c>
      <c r="L185" s="184" t="str">
        <f>IF('Option 1'!L185="","",'Option 1'!L185)</f>
        <v/>
      </c>
      <c r="M185" s="184" t="str">
        <f>IF('Option 1'!M185="","",'Option 1'!M185)</f>
        <v/>
      </c>
      <c r="N185" s="184" t="str">
        <f>IF('Option 1'!N185="","",'Option 1'!N185)</f>
        <v/>
      </c>
      <c r="O185" s="184" t="str">
        <f>IF('Option 1'!O185="","",'Option 1'!O185)</f>
        <v/>
      </c>
      <c r="P185" s="124">
        <f t="shared" si="10"/>
        <v>5928</v>
      </c>
    </row>
    <row r="186" spans="1:16" ht="15.75" customHeight="1" x14ac:dyDescent="0.25">
      <c r="A186" s="239"/>
      <c r="B186" s="4" t="str">
        <f>IF('Option 1'!B186="","",'Option 1'!B186)</f>
        <v/>
      </c>
      <c r="C186" s="188" t="str">
        <f>IF('Option 1'!C186="","",'Option 1'!C186)</f>
        <v>Pool Gutters</v>
      </c>
      <c r="D186" s="186" t="str">
        <f>IF('Option 1'!D186="","",'Option 1'!D186)</f>
        <v/>
      </c>
      <c r="E186" s="184" t="str">
        <f>IF('Option 1'!E186="","",'Option 1'!E186)</f>
        <v/>
      </c>
      <c r="F186" s="184" t="str">
        <f>IF('Option 1'!F186="","",'Option 1'!F186)</f>
        <v/>
      </c>
      <c r="G186" s="184" t="str">
        <f>IF('Option 1'!G186="","",'Option 1'!G186)</f>
        <v/>
      </c>
      <c r="H186" s="184" t="str">
        <f>IF('Option 1'!H186="","",'Option 1'!H186)</f>
        <v/>
      </c>
      <c r="I186" s="184" t="str">
        <f>IF('Option 1'!I186="","",'Option 1'!I186)</f>
        <v/>
      </c>
      <c r="J186" s="184" t="str">
        <f>IF('Option 1'!J186="","",'Option 1'!J186)</f>
        <v/>
      </c>
      <c r="K186" s="184" t="str">
        <f>IF('Option 1'!K186="","",'Option 1'!K186)</f>
        <v/>
      </c>
      <c r="L186" s="184" t="str">
        <f>IF('Option 1'!L186="","",'Option 1'!L186)</f>
        <v/>
      </c>
      <c r="M186" s="184" t="str">
        <f>IF('Option 1'!M186="","",'Option 1'!M186)</f>
        <v/>
      </c>
      <c r="N186" s="184" t="str">
        <f>IF('Option 1'!N186="","",'Option 1'!N186)</f>
        <v/>
      </c>
      <c r="O186" s="184" t="str">
        <f>IF('Option 1'!O186="","",'Option 1'!O186)</f>
        <v/>
      </c>
      <c r="P186" s="124">
        <f t="shared" si="10"/>
        <v>0</v>
      </c>
    </row>
    <row r="187" spans="1:16" ht="15.75" customHeight="1" x14ac:dyDescent="0.25">
      <c r="A187" s="239"/>
      <c r="B187" s="4" t="str">
        <f>IF('Option 1'!B187="","",'Option 1'!B187)</f>
        <v/>
      </c>
      <c r="C187" s="188" t="str">
        <f>IF('Option 1'!C187="","",'Option 1'!C187)</f>
        <v>Pool Resurfacing</v>
      </c>
      <c r="D187" s="186" t="str">
        <f>IF('Option 1'!D187="","",'Option 1'!D187)</f>
        <v/>
      </c>
      <c r="E187" s="184" t="str">
        <f>IF('Option 1'!E187="","",'Option 1'!E187)</f>
        <v/>
      </c>
      <c r="F187" s="184" t="str">
        <f>IF('Option 1'!F187="","",'Option 1'!F187)</f>
        <v/>
      </c>
      <c r="G187" s="184" t="str">
        <f>IF('Option 1'!G187="","",'Option 1'!G187)</f>
        <v/>
      </c>
      <c r="H187" s="184" t="str">
        <f>IF('Option 1'!H187="","",'Option 1'!H187)</f>
        <v/>
      </c>
      <c r="I187" s="184" t="str">
        <f>IF('Option 1'!I187="","",'Option 1'!I187)</f>
        <v/>
      </c>
      <c r="J187" s="184" t="str">
        <f>IF('Option 1'!J187="","",'Option 1'!J187)</f>
        <v/>
      </c>
      <c r="K187" s="184" t="str">
        <f>IF('Option 1'!K187="","",'Option 1'!K187)</f>
        <v/>
      </c>
      <c r="L187" s="184" t="str">
        <f>IF('Option 1'!L187="","",'Option 1'!L187)</f>
        <v/>
      </c>
      <c r="M187" s="184" t="str">
        <f>IF('Option 1'!M187="","",'Option 1'!M187)</f>
        <v/>
      </c>
      <c r="N187" s="184">
        <f>IF('Option 1'!N187="","",'Option 1'!N187)</f>
        <v>20000</v>
      </c>
      <c r="O187" s="184" t="str">
        <f>IF('Option 1'!O187="","",'Option 1'!O187)</f>
        <v/>
      </c>
      <c r="P187" s="124">
        <f t="shared" si="10"/>
        <v>20000</v>
      </c>
    </row>
    <row r="188" spans="1:16" ht="15.75" customHeight="1" x14ac:dyDescent="0.25">
      <c r="A188" s="239"/>
      <c r="B188" s="4" t="str">
        <f>IF('Option 1'!B188="","",'Option 1'!B188)</f>
        <v/>
      </c>
      <c r="C188" s="188" t="str">
        <f>IF('Option 1'!C188="","",'Option 1'!C188)</f>
        <v>Landscape - Crab Trees</v>
      </c>
      <c r="D188" s="186" t="str">
        <f>IF('Option 1'!D188="","",'Option 1'!D188)</f>
        <v/>
      </c>
      <c r="E188" s="184" t="str">
        <f>IF('Option 1'!E188="","",'Option 1'!E188)</f>
        <v/>
      </c>
      <c r="F188" s="184" t="str">
        <f>IF('Option 1'!F188="","",'Option 1'!F188)</f>
        <v/>
      </c>
      <c r="G188" s="184" t="str">
        <f>IF('Option 1'!G188="","",'Option 1'!G188)</f>
        <v/>
      </c>
      <c r="H188" s="184">
        <f>IF('Option 1'!H188="","",'Option 1'!H188)</f>
        <v>7000</v>
      </c>
      <c r="I188" s="184" t="str">
        <f>IF('Option 1'!I188="","",'Option 1'!I188)</f>
        <v/>
      </c>
      <c r="J188" s="184" t="str">
        <f>IF('Option 1'!J188="","",'Option 1'!J188)</f>
        <v/>
      </c>
      <c r="K188" s="184" t="str">
        <f>IF('Option 1'!K188="","",'Option 1'!K188)</f>
        <v/>
      </c>
      <c r="L188" s="184" t="str">
        <f>IF('Option 1'!L188="","",'Option 1'!L188)</f>
        <v/>
      </c>
      <c r="M188" s="184" t="str">
        <f>IF('Option 1'!M188="","",'Option 1'!M188)</f>
        <v/>
      </c>
      <c r="N188" s="184" t="str">
        <f>IF('Option 1'!N188="","",'Option 1'!N188)</f>
        <v/>
      </c>
      <c r="O188" s="184" t="str">
        <f>IF('Option 1'!O188="","",'Option 1'!O188)</f>
        <v/>
      </c>
      <c r="P188" s="124">
        <f t="shared" si="10"/>
        <v>7000</v>
      </c>
    </row>
    <row r="189" spans="1:16" ht="15.75" customHeight="1" x14ac:dyDescent="0.25">
      <c r="A189" s="239"/>
      <c r="B189" s="4" t="str">
        <f>IF('Option 1'!B189="","",'Option 1'!B189)</f>
        <v/>
      </c>
      <c r="C189" s="188" t="str">
        <f>IF('Option 1'!C189="","",'Option 1'!C189)</f>
        <v>Landscape - Tree Removal</v>
      </c>
      <c r="D189" s="186" t="str">
        <f>IF('Option 1'!D189="","",'Option 1'!D189)</f>
        <v/>
      </c>
      <c r="E189" s="184" t="str">
        <f>IF('Option 1'!E189="","",'Option 1'!E189)</f>
        <v/>
      </c>
      <c r="F189" s="184" t="str">
        <f>IF('Option 1'!F189="","",'Option 1'!F189)</f>
        <v/>
      </c>
      <c r="G189" s="184" t="str">
        <f>IF('Option 1'!G189="","",'Option 1'!G189)</f>
        <v/>
      </c>
      <c r="H189" s="184">
        <f>IF('Option 1'!H189="","",'Option 1'!H189)</f>
        <v>3000</v>
      </c>
      <c r="I189" s="184" t="str">
        <f>IF('Option 1'!I189="","",'Option 1'!I189)</f>
        <v/>
      </c>
      <c r="J189" s="184" t="str">
        <f>IF('Option 1'!J189="","",'Option 1'!J189)</f>
        <v/>
      </c>
      <c r="K189" s="184" t="str">
        <f>IF('Option 1'!K189="","",'Option 1'!K189)</f>
        <v/>
      </c>
      <c r="L189" s="184" t="str">
        <f>IF('Option 1'!L189="","",'Option 1'!L189)</f>
        <v/>
      </c>
      <c r="M189" s="184" t="str">
        <f>IF('Option 1'!M189="","",'Option 1'!M189)</f>
        <v/>
      </c>
      <c r="N189" s="184" t="str">
        <f>IF('Option 1'!N189="","",'Option 1'!N189)</f>
        <v/>
      </c>
      <c r="O189" s="184" t="str">
        <f>IF('Option 1'!O189="","",'Option 1'!O189)</f>
        <v/>
      </c>
      <c r="P189" s="124">
        <f t="shared" si="10"/>
        <v>3000</v>
      </c>
    </row>
    <row r="190" spans="1:16" ht="15.75" customHeight="1" x14ac:dyDescent="0.25">
      <c r="A190" s="239"/>
      <c r="B190" s="4" t="str">
        <f>IF('Option 1'!B190="","",'Option 1'!B190)</f>
        <v/>
      </c>
      <c r="C190" s="188" t="str">
        <f>IF('Option 1'!C190="","",'Option 1'!C190)</f>
        <v>Landscape - Other Tree Removal</v>
      </c>
      <c r="D190" s="186" t="str">
        <f>IF('Option 1'!D190="","",'Option 1'!D190)</f>
        <v/>
      </c>
      <c r="E190" s="184" t="str">
        <f>IF('Option 1'!E190="","",'Option 1'!E190)</f>
        <v/>
      </c>
      <c r="F190" s="184" t="str">
        <f>IF('Option 1'!F190="","",'Option 1'!F190)</f>
        <v/>
      </c>
      <c r="G190" s="184" t="str">
        <f>IF('Option 1'!G190="","",'Option 1'!G190)</f>
        <v/>
      </c>
      <c r="H190" s="184">
        <f>IF('Option 1'!H190="","",'Option 1'!H190)</f>
        <v>2100</v>
      </c>
      <c r="I190" s="184" t="str">
        <f>IF('Option 1'!I190="","",'Option 1'!I190)</f>
        <v/>
      </c>
      <c r="J190" s="184" t="str">
        <f>IF('Option 1'!J190="","",'Option 1'!J190)</f>
        <v/>
      </c>
      <c r="K190" s="184" t="str">
        <f>IF('Option 1'!K190="","",'Option 1'!K190)</f>
        <v/>
      </c>
      <c r="L190" s="184" t="str">
        <f>IF('Option 1'!L190="","",'Option 1'!L190)</f>
        <v/>
      </c>
      <c r="M190" s="184" t="str">
        <f>IF('Option 1'!M190="","",'Option 1'!M190)</f>
        <v/>
      </c>
      <c r="N190" s="184" t="str">
        <f>IF('Option 1'!N190="","",'Option 1'!N190)</f>
        <v/>
      </c>
      <c r="O190" s="184" t="str">
        <f>IF('Option 1'!O190="","",'Option 1'!O190)</f>
        <v/>
      </c>
      <c r="P190" s="124">
        <f t="shared" si="10"/>
        <v>2100</v>
      </c>
    </row>
    <row r="191" spans="1:16" ht="15.75" customHeight="1" x14ac:dyDescent="0.25">
      <c r="A191" s="239"/>
      <c r="B191" s="4" t="str">
        <f>IF('Option 1'!B191="","",'Option 1'!B191)</f>
        <v/>
      </c>
      <c r="C191" s="188" t="str">
        <f>IF('Option 1'!C191="","",'Option 1'!C191)</f>
        <v>Landscape - Ash Tree Removal</v>
      </c>
      <c r="D191" s="186" t="str">
        <f>IF('Option 1'!D191="","",'Option 1'!D191)</f>
        <v/>
      </c>
      <c r="E191" s="184" t="str">
        <f>IF('Option 1'!E191="","",'Option 1'!E191)</f>
        <v/>
      </c>
      <c r="F191" s="184" t="str">
        <f>IF('Option 1'!F191="","",'Option 1'!F191)</f>
        <v/>
      </c>
      <c r="G191" s="184" t="str">
        <f>IF('Option 1'!G191="","",'Option 1'!G191)</f>
        <v/>
      </c>
      <c r="H191" s="184">
        <f>IF('Option 1'!H191="","",'Option 1'!H191)</f>
        <v>8000</v>
      </c>
      <c r="I191" s="184" t="str">
        <f>IF('Option 1'!I191="","",'Option 1'!I191)</f>
        <v/>
      </c>
      <c r="J191" s="184" t="str">
        <f>IF('Option 1'!J191="","",'Option 1'!J191)</f>
        <v/>
      </c>
      <c r="K191" s="184" t="str">
        <f>IF('Option 1'!K191="","",'Option 1'!K191)</f>
        <v/>
      </c>
      <c r="L191" s="184" t="str">
        <f>IF('Option 1'!L191="","",'Option 1'!L191)</f>
        <v/>
      </c>
      <c r="M191" s="184" t="str">
        <f>IF('Option 1'!M191="","",'Option 1'!M191)</f>
        <v/>
      </c>
      <c r="N191" s="184" t="str">
        <f>IF('Option 1'!N191="","",'Option 1'!N191)</f>
        <v/>
      </c>
      <c r="O191" s="184" t="str">
        <f>IF('Option 1'!O191="","",'Option 1'!O191)</f>
        <v/>
      </c>
      <c r="P191" s="124">
        <f t="shared" si="10"/>
        <v>8000</v>
      </c>
    </row>
    <row r="192" spans="1:16" ht="15.75" customHeight="1" x14ac:dyDescent="0.25">
      <c r="A192" s="239"/>
      <c r="B192" s="4" t="str">
        <f>IF('Option 1'!B192="","",'Option 1'!B192)</f>
        <v/>
      </c>
      <c r="C192" s="3" t="str">
        <f>IF('Option 1'!C192="","",'Option 1'!C192)</f>
        <v>Mechanical Elements</v>
      </c>
      <c r="D192" s="186" t="str">
        <f>IF('Option 1'!D192="","",'Option 1'!D192)</f>
        <v/>
      </c>
      <c r="E192" s="184" t="str">
        <f>IF('Option 1'!E192="","",'Option 1'!E192)</f>
        <v/>
      </c>
      <c r="F192" s="184" t="str">
        <f>IF('Option 1'!F192="","",'Option 1'!F192)</f>
        <v/>
      </c>
      <c r="G192" s="184" t="str">
        <f>IF('Option 1'!G192="","",'Option 1'!G192)</f>
        <v/>
      </c>
      <c r="H192" s="184" t="str">
        <f>IF('Option 1'!H192="","",'Option 1'!H192)</f>
        <v/>
      </c>
      <c r="I192" s="184" t="str">
        <f>IF('Option 1'!I192="","",'Option 1'!I192)</f>
        <v/>
      </c>
      <c r="J192" s="184" t="str">
        <f>IF('Option 1'!J192="","",'Option 1'!J192)</f>
        <v/>
      </c>
      <c r="K192" s="184" t="str">
        <f>IF('Option 1'!K192="","",'Option 1'!K192)</f>
        <v/>
      </c>
      <c r="L192" s="184" t="str">
        <f>IF('Option 1'!L192="","",'Option 1'!L192)</f>
        <v/>
      </c>
      <c r="M192" s="184" t="str">
        <f>IF('Option 1'!M192="","",'Option 1'!M192)</f>
        <v/>
      </c>
      <c r="N192" s="184" t="str">
        <f>IF('Option 1'!N192="","",'Option 1'!N192)</f>
        <v/>
      </c>
      <c r="O192" s="184" t="str">
        <f>IF('Option 1'!O192="","",'Option 1'!O192)</f>
        <v/>
      </c>
      <c r="P192" s="124">
        <f t="shared" si="10"/>
        <v>0</v>
      </c>
    </row>
    <row r="193" spans="1:16" ht="15.75" customHeight="1" x14ac:dyDescent="0.25">
      <c r="A193" s="239"/>
      <c r="B193" s="4" t="str">
        <f>IF('Option 1'!B193="","",'Option 1'!B193)</f>
        <v/>
      </c>
      <c r="C193" s="188" t="str">
        <f>IF('Option 1'!C193="","",'Option 1'!C193)</f>
        <v>Furnace</v>
      </c>
      <c r="D193" s="186" t="str">
        <f>IF('Option 1'!D193="","",'Option 1'!D193)</f>
        <v/>
      </c>
      <c r="E193" s="184" t="str">
        <f>IF('Option 1'!E193="","",'Option 1'!E193)</f>
        <v/>
      </c>
      <c r="F193" s="184" t="str">
        <f>IF('Option 1'!F193="","",'Option 1'!F193)</f>
        <v/>
      </c>
      <c r="G193" s="184">
        <f>IF('Option 1'!G193="","",'Option 1'!G193)</f>
        <v>3460</v>
      </c>
      <c r="H193" s="184" t="str">
        <f>IF('Option 1'!H193="","",'Option 1'!H193)</f>
        <v/>
      </c>
      <c r="I193" s="184" t="str">
        <f>IF('Option 1'!I193="","",'Option 1'!I193)</f>
        <v/>
      </c>
      <c r="J193" s="184" t="str">
        <f>IF('Option 1'!J193="","",'Option 1'!J193)</f>
        <v/>
      </c>
      <c r="K193" s="184" t="str">
        <f>IF('Option 1'!K193="","",'Option 1'!K193)</f>
        <v/>
      </c>
      <c r="L193" s="184" t="str">
        <f>IF('Option 1'!L193="","",'Option 1'!L193)</f>
        <v/>
      </c>
      <c r="M193" s="184" t="str">
        <f>IF('Option 1'!M193="","",'Option 1'!M193)</f>
        <v/>
      </c>
      <c r="N193" s="184" t="str">
        <f>IF('Option 1'!N193="","",'Option 1'!N193)</f>
        <v/>
      </c>
      <c r="O193" s="184" t="str">
        <f>IF('Option 1'!O193="","",'Option 1'!O193)</f>
        <v/>
      </c>
      <c r="P193" s="124">
        <f t="shared" si="10"/>
        <v>3460</v>
      </c>
    </row>
    <row r="194" spans="1:16" ht="15.75" customHeight="1" x14ac:dyDescent="0.25">
      <c r="A194" s="239"/>
      <c r="B194" s="4" t="str">
        <f>IF('Option 1'!B194="","",'Option 1'!B194)</f>
        <v/>
      </c>
      <c r="C194" s="188" t="str">
        <f>IF('Option 1'!C194="","",'Option 1'!C194)</f>
        <v>Rooftop HVAC Units - 1519 Clubhouse</v>
      </c>
      <c r="D194" s="186" t="str">
        <f>IF('Option 1'!D194="","",'Option 1'!D194)</f>
        <v/>
      </c>
      <c r="E194" s="184" t="str">
        <f>IF('Option 1'!E194="","",'Option 1'!E194)</f>
        <v/>
      </c>
      <c r="F194" s="184" t="str">
        <f>IF('Option 1'!F194="","",'Option 1'!F194)</f>
        <v/>
      </c>
      <c r="G194" s="184" t="str">
        <f>IF('Option 1'!G194="","",'Option 1'!G194)</f>
        <v/>
      </c>
      <c r="H194" s="184" t="str">
        <f>IF('Option 1'!H194="","",'Option 1'!H194)</f>
        <v/>
      </c>
      <c r="I194" s="184" t="str">
        <f>IF('Option 1'!I194="","",'Option 1'!I194)</f>
        <v/>
      </c>
      <c r="J194" s="184" t="str">
        <f>IF('Option 1'!J194="","",'Option 1'!J194)</f>
        <v/>
      </c>
      <c r="K194" s="184" t="str">
        <f>IF('Option 1'!K194="","",'Option 1'!K194)</f>
        <v/>
      </c>
      <c r="L194" s="184" t="str">
        <f>IF('Option 1'!L194="","",'Option 1'!L194)</f>
        <v/>
      </c>
      <c r="M194" s="184" t="str">
        <f>IF('Option 1'!M194="","",'Option 1'!M194)</f>
        <v/>
      </c>
      <c r="N194" s="184" t="str">
        <f>IF('Option 1'!N194="","",'Option 1'!N194)</f>
        <v/>
      </c>
      <c r="O194" s="184" t="str">
        <f>IF('Option 1'!O194="","",'Option 1'!O194)</f>
        <v/>
      </c>
      <c r="P194" s="124">
        <f t="shared" si="10"/>
        <v>0</v>
      </c>
    </row>
    <row r="195" spans="1:16" ht="15.75" customHeight="1" x14ac:dyDescent="0.25">
      <c r="A195" s="239"/>
      <c r="B195" s="4" t="str">
        <f>IF('Option 1'!B195="","",'Option 1'!B195)</f>
        <v/>
      </c>
      <c r="C195" s="188" t="str">
        <f>IF('Option 1'!C195="","",'Option 1'!C195)</f>
        <v>Hot Water Heater</v>
      </c>
      <c r="D195" s="186" t="str">
        <f>IF('Option 1'!D195="","",'Option 1'!D195)</f>
        <v/>
      </c>
      <c r="E195" s="184" t="str">
        <f>IF('Option 1'!E195="","",'Option 1'!E195)</f>
        <v/>
      </c>
      <c r="F195" s="184">
        <f>IF('Option 1'!F195="","",'Option 1'!F195)</f>
        <v>1384</v>
      </c>
      <c r="G195" s="184" t="str">
        <f>IF('Option 1'!G195="","",'Option 1'!G195)</f>
        <v/>
      </c>
      <c r="H195" s="184" t="str">
        <f>IF('Option 1'!H195="","",'Option 1'!H195)</f>
        <v/>
      </c>
      <c r="I195" s="184" t="str">
        <f>IF('Option 1'!I195="","",'Option 1'!I195)</f>
        <v/>
      </c>
      <c r="J195" s="184" t="str">
        <f>IF('Option 1'!J195="","",'Option 1'!J195)</f>
        <v/>
      </c>
      <c r="K195" s="184" t="str">
        <f>IF('Option 1'!K195="","",'Option 1'!K195)</f>
        <v/>
      </c>
      <c r="L195" s="184" t="str">
        <f>IF('Option 1'!L195="","",'Option 1'!L195)</f>
        <v/>
      </c>
      <c r="M195" s="184" t="str">
        <f>IF('Option 1'!M195="","",'Option 1'!M195)</f>
        <v/>
      </c>
      <c r="N195" s="184" t="str">
        <f>IF('Option 1'!N195="","",'Option 1'!N195)</f>
        <v/>
      </c>
      <c r="O195" s="184" t="str">
        <f>IF('Option 1'!O195="","",'Option 1'!O195)</f>
        <v/>
      </c>
      <c r="P195" s="124">
        <f t="shared" si="10"/>
        <v>1384</v>
      </c>
    </row>
    <row r="196" spans="1:16" ht="15.75" customHeight="1" x14ac:dyDescent="0.25">
      <c r="A196" s="239"/>
      <c r="B196" s="4" t="str">
        <f>IF('Option 1'!B196="","",'Option 1'!B196)</f>
        <v/>
      </c>
      <c r="C196" s="188" t="str">
        <f>IF('Option 1'!C196="","",'Option 1'!C196)</f>
        <v>Vestibule Heaters</v>
      </c>
      <c r="D196" s="186" t="str">
        <f>IF('Option 1'!D196="","",'Option 1'!D196)</f>
        <v/>
      </c>
      <c r="E196" s="184" t="str">
        <f>IF('Option 1'!E196="","",'Option 1'!E196)</f>
        <v/>
      </c>
      <c r="F196" s="184" t="str">
        <f>IF('Option 1'!F196="","",'Option 1'!F196)</f>
        <v/>
      </c>
      <c r="G196" s="184" t="str">
        <f>IF('Option 1'!G196="","",'Option 1'!G196)</f>
        <v/>
      </c>
      <c r="H196" s="184" t="str">
        <f>IF('Option 1'!H196="","",'Option 1'!H196)</f>
        <v/>
      </c>
      <c r="I196" s="184" t="str">
        <f>IF('Option 1'!I196="","",'Option 1'!I196)</f>
        <v/>
      </c>
      <c r="J196" s="184" t="str">
        <f>IF('Option 1'!J196="","",'Option 1'!J196)</f>
        <v/>
      </c>
      <c r="K196" s="184">
        <f>IF('Option 1'!K196="","",'Option 1'!K196)</f>
        <v>2768</v>
      </c>
      <c r="L196" s="184" t="str">
        <f>IF('Option 1'!L196="","",'Option 1'!L196)</f>
        <v/>
      </c>
      <c r="M196" s="184" t="str">
        <f>IF('Option 1'!M196="","",'Option 1'!M196)</f>
        <v/>
      </c>
      <c r="N196" s="184" t="str">
        <f>IF('Option 1'!N196="","",'Option 1'!N196)</f>
        <v/>
      </c>
      <c r="O196" s="184" t="str">
        <f>IF('Option 1'!O196="","",'Option 1'!O196)</f>
        <v/>
      </c>
      <c r="P196" s="124">
        <f t="shared" si="10"/>
        <v>2768</v>
      </c>
    </row>
    <row r="197" spans="1:16" ht="15.75" customHeight="1" x14ac:dyDescent="0.25">
      <c r="A197" s="239"/>
      <c r="B197" s="4" t="str">
        <f>IF('Option 1'!B197="","",'Option 1'!B197)</f>
        <v/>
      </c>
      <c r="C197" s="188" t="str">
        <f>IF('Option 1'!C197="","",'Option 1'!C197)</f>
        <v>Stair Electric Heaters</v>
      </c>
      <c r="D197" s="186" t="str">
        <f>IF('Option 1'!D197="","",'Option 1'!D197)</f>
        <v/>
      </c>
      <c r="E197" s="184" t="str">
        <f>IF('Option 1'!E197="","",'Option 1'!E197)</f>
        <v/>
      </c>
      <c r="F197" s="184" t="str">
        <f>IF('Option 1'!F197="","",'Option 1'!F197)</f>
        <v/>
      </c>
      <c r="G197" s="184">
        <f>IF('Option 1'!G197="","",'Option 1'!G197)</f>
        <v>4705</v>
      </c>
      <c r="H197" s="184" t="str">
        <f>IF('Option 1'!H197="","",'Option 1'!H197)</f>
        <v/>
      </c>
      <c r="I197" s="184" t="str">
        <f>IF('Option 1'!I197="","",'Option 1'!I197)</f>
        <v/>
      </c>
      <c r="J197" s="184" t="str">
        <f>IF('Option 1'!J197="","",'Option 1'!J197)</f>
        <v/>
      </c>
      <c r="K197" s="184" t="str">
        <f>IF('Option 1'!K197="","",'Option 1'!K197)</f>
        <v/>
      </c>
      <c r="L197" s="184" t="str">
        <f>IF('Option 1'!L197="","",'Option 1'!L197)</f>
        <v/>
      </c>
      <c r="M197" s="184" t="str">
        <f>IF('Option 1'!M197="","",'Option 1'!M197)</f>
        <v/>
      </c>
      <c r="N197" s="184" t="str">
        <f>IF('Option 1'!N197="","",'Option 1'!N197)</f>
        <v/>
      </c>
      <c r="O197" s="184" t="str">
        <f>IF('Option 1'!O197="","",'Option 1'!O197)</f>
        <v/>
      </c>
      <c r="P197" s="124">
        <f t="shared" si="10"/>
        <v>4705</v>
      </c>
    </row>
    <row r="198" spans="1:16" ht="15.75" customHeight="1" x14ac:dyDescent="0.25">
      <c r="A198" s="239"/>
      <c r="B198" s="4" t="str">
        <f>IF('Option 1'!B198="","",'Option 1'!B198)</f>
        <v/>
      </c>
      <c r="C198" s="188" t="str">
        <f>IF('Option 1'!C198="","",'Option 1'!C198)</f>
        <v>Fire Hoses</v>
      </c>
      <c r="D198" s="186" t="str">
        <f>IF('Option 1'!D198="","",'Option 1'!D198)</f>
        <v/>
      </c>
      <c r="E198" s="184" t="str">
        <f>IF('Option 1'!E198="","",'Option 1'!E198)</f>
        <v/>
      </c>
      <c r="F198" s="184" t="str">
        <f>IF('Option 1'!F198="","",'Option 1'!F198)</f>
        <v/>
      </c>
      <c r="G198" s="184" t="str">
        <f>IF('Option 1'!G198="","",'Option 1'!G198)</f>
        <v/>
      </c>
      <c r="H198" s="184" t="str">
        <f>IF('Option 1'!H198="","",'Option 1'!H198)</f>
        <v/>
      </c>
      <c r="I198" s="184" t="str">
        <f>IF('Option 1'!I198="","",'Option 1'!I198)</f>
        <v/>
      </c>
      <c r="J198" s="184" t="str">
        <f>IF('Option 1'!J198="","",'Option 1'!J198)</f>
        <v/>
      </c>
      <c r="K198" s="184" t="str">
        <f>IF('Option 1'!K198="","",'Option 1'!K198)</f>
        <v/>
      </c>
      <c r="L198" s="184" t="str">
        <f>IF('Option 1'!L198="","",'Option 1'!L198)</f>
        <v/>
      </c>
      <c r="M198" s="184" t="str">
        <f>IF('Option 1'!M198="","",'Option 1'!M198)</f>
        <v/>
      </c>
      <c r="N198" s="184">
        <f>IF('Option 1'!N198="","",'Option 1'!N198)</f>
        <v>17249</v>
      </c>
      <c r="O198" s="184" t="str">
        <f>IF('Option 1'!O198="","",'Option 1'!O198)</f>
        <v/>
      </c>
      <c r="P198" s="124">
        <f t="shared" si="10"/>
        <v>17249</v>
      </c>
    </row>
    <row r="199" spans="1:16" ht="15.75" customHeight="1" x14ac:dyDescent="0.25">
      <c r="A199" s="239"/>
      <c r="B199" s="4" t="str">
        <f>IF('Option 1'!B199="","",'Option 1'!B199)</f>
        <v/>
      </c>
      <c r="C199" s="188" t="str">
        <f>IF('Option 1'!C199="","",'Option 1'!C199)</f>
        <v>Trash Compactors</v>
      </c>
      <c r="D199" s="186" t="str">
        <f>IF('Option 1'!D199="","",'Option 1'!D199)</f>
        <v/>
      </c>
      <c r="E199" s="184" t="str">
        <f>IF('Option 1'!E199="","",'Option 1'!E199)</f>
        <v/>
      </c>
      <c r="F199" s="184" t="str">
        <f>IF('Option 1'!F199="","",'Option 1'!F199)</f>
        <v/>
      </c>
      <c r="G199" s="184" t="str">
        <f>IF('Option 1'!G199="","",'Option 1'!G199)</f>
        <v/>
      </c>
      <c r="H199" s="184" t="str">
        <f>IF('Option 1'!H199="","",'Option 1'!H199)</f>
        <v/>
      </c>
      <c r="I199" s="184" t="str">
        <f>IF('Option 1'!I199="","",'Option 1'!I199)</f>
        <v/>
      </c>
      <c r="J199" s="184" t="str">
        <f>IF('Option 1'!J199="","",'Option 1'!J199)</f>
        <v/>
      </c>
      <c r="K199" s="184" t="str">
        <f>IF('Option 1'!K199="","",'Option 1'!K199)</f>
        <v/>
      </c>
      <c r="L199" s="184" t="str">
        <f>IF('Option 1'!L199="","",'Option 1'!L199)</f>
        <v/>
      </c>
      <c r="M199" s="184" t="str">
        <f>IF('Option 1'!M199="","",'Option 1'!M199)</f>
        <v/>
      </c>
      <c r="N199" s="184" t="str">
        <f>IF('Option 1'!N199="","",'Option 1'!N199)</f>
        <v/>
      </c>
      <c r="O199" s="184" t="str">
        <f>IF('Option 1'!O199="","",'Option 1'!O199)</f>
        <v/>
      </c>
      <c r="P199" s="124">
        <f t="shared" si="10"/>
        <v>0</v>
      </c>
    </row>
    <row r="200" spans="1:16" ht="15.75" customHeight="1" x14ac:dyDescent="0.25">
      <c r="A200" s="239"/>
      <c r="B200" s="4" t="str">
        <f>IF('Option 1'!B200="","",'Option 1'!B200)</f>
        <v/>
      </c>
      <c r="C200" s="188" t="str">
        <f>IF('Option 1'!C200="","",'Option 1'!C200)</f>
        <v>Trash Chutes</v>
      </c>
      <c r="D200" s="186" t="str">
        <f>IF('Option 1'!D200="","",'Option 1'!D200)</f>
        <v/>
      </c>
      <c r="E200" s="184" t="str">
        <f>IF('Option 1'!E200="","",'Option 1'!E200)</f>
        <v/>
      </c>
      <c r="F200" s="184" t="str">
        <f>IF('Option 1'!F200="","",'Option 1'!F200)</f>
        <v/>
      </c>
      <c r="G200" s="184" t="str">
        <f>IF('Option 1'!G200="","",'Option 1'!G200)</f>
        <v/>
      </c>
      <c r="H200" s="184" t="str">
        <f>IF('Option 1'!H200="","",'Option 1'!H200)</f>
        <v/>
      </c>
      <c r="I200" s="184" t="str">
        <f>IF('Option 1'!I200="","",'Option 1'!I200)</f>
        <v/>
      </c>
      <c r="J200" s="184" t="str">
        <f>IF('Option 1'!J200="","",'Option 1'!J200)</f>
        <v/>
      </c>
      <c r="K200" s="184" t="str">
        <f>IF('Option 1'!K200="","",'Option 1'!K200)</f>
        <v/>
      </c>
      <c r="L200" s="184" t="str">
        <f>IF('Option 1'!L200="","",'Option 1'!L200)</f>
        <v/>
      </c>
      <c r="M200" s="184" t="str">
        <f>IF('Option 1'!M200="","",'Option 1'!M200)</f>
        <v/>
      </c>
      <c r="N200" s="184" t="str">
        <f>IF('Option 1'!N200="","",'Option 1'!N200)</f>
        <v/>
      </c>
      <c r="O200" s="184" t="str">
        <f>IF('Option 1'!O200="","",'Option 1'!O200)</f>
        <v/>
      </c>
      <c r="P200" s="124">
        <f t="shared" si="10"/>
        <v>0</v>
      </c>
    </row>
    <row r="201" spans="1:16" ht="15.75" customHeight="1" x14ac:dyDescent="0.25">
      <c r="A201" s="239"/>
      <c r="B201" s="4" t="str">
        <f>IF('Option 1'!B201="","",'Option 1'!B201)</f>
        <v/>
      </c>
      <c r="C201" s="188" t="str">
        <f>IF('Option 1'!C201="","",'Option 1'!C201)</f>
        <v>Elevators</v>
      </c>
      <c r="D201" s="186" t="str">
        <f>IF('Option 1'!D201="","",'Option 1'!D201)</f>
        <v/>
      </c>
      <c r="E201" s="184" t="str">
        <f>IF('Option 1'!E201="","",'Option 1'!E201)</f>
        <v/>
      </c>
      <c r="F201" s="184" t="str">
        <f>IF('Option 1'!F201="","",'Option 1'!F201)</f>
        <v/>
      </c>
      <c r="G201" s="184" t="str">
        <f>IF('Option 1'!G201="","",'Option 1'!G201)</f>
        <v/>
      </c>
      <c r="H201" s="184" t="str">
        <f>IF('Option 1'!H201="","",'Option 1'!H201)</f>
        <v/>
      </c>
      <c r="I201" s="184" t="str">
        <f>IF('Option 1'!I201="","",'Option 1'!I201)</f>
        <v/>
      </c>
      <c r="J201" s="184" t="str">
        <f>IF('Option 1'!J201="","",'Option 1'!J201)</f>
        <v/>
      </c>
      <c r="K201" s="184" t="str">
        <f>IF('Option 1'!K201="","",'Option 1'!K201)</f>
        <v/>
      </c>
      <c r="L201" s="184" t="str">
        <f>IF('Option 1'!L201="","",'Option 1'!L201)</f>
        <v/>
      </c>
      <c r="M201" s="184" t="str">
        <f>IF('Option 1'!M201="","",'Option 1'!M201)</f>
        <v/>
      </c>
      <c r="N201" s="184" t="str">
        <f>IF('Option 1'!N201="","",'Option 1'!N201)</f>
        <v/>
      </c>
      <c r="O201" s="184" t="str">
        <f>IF('Option 1'!O201="","",'Option 1'!O201)</f>
        <v/>
      </c>
      <c r="P201" s="124">
        <f t="shared" si="10"/>
        <v>0</v>
      </c>
    </row>
    <row r="202" spans="1:16" ht="15.75" customHeight="1" x14ac:dyDescent="0.25">
      <c r="A202" s="239"/>
      <c r="B202" s="4" t="str">
        <f>IF('Option 1'!B202="","",'Option 1'!B202)</f>
        <v/>
      </c>
      <c r="C202" s="188" t="str">
        <f>IF('Option 1'!C202="","",'Option 1'!C202)</f>
        <v>Elevator Safety Collars &amp; Engineering</v>
      </c>
      <c r="D202" s="186" t="str">
        <f>IF('Option 1'!D202="","",'Option 1'!D202)</f>
        <v/>
      </c>
      <c r="E202" s="184" t="str">
        <f>IF('Option 1'!E202="","",'Option 1'!E202)</f>
        <v/>
      </c>
      <c r="F202" s="184" t="str">
        <f>IF('Option 1'!F202="","",'Option 1'!F202)</f>
        <v/>
      </c>
      <c r="G202" s="184" t="str">
        <f>IF('Option 1'!G202="","",'Option 1'!G202)</f>
        <v/>
      </c>
      <c r="H202" s="184" t="str">
        <f>IF('Option 1'!H202="","",'Option 1'!H202)</f>
        <v/>
      </c>
      <c r="I202" s="184" t="str">
        <f>IF('Option 1'!I202="","",'Option 1'!I202)</f>
        <v/>
      </c>
      <c r="J202" s="184" t="str">
        <f>IF('Option 1'!J202="","",'Option 1'!J202)</f>
        <v/>
      </c>
      <c r="K202" s="184" t="str">
        <f>IF('Option 1'!K202="","",'Option 1'!K202)</f>
        <v/>
      </c>
      <c r="L202" s="184" t="str">
        <f>IF('Option 1'!L202="","",'Option 1'!L202)</f>
        <v/>
      </c>
      <c r="M202" s="184" t="str">
        <f>IF('Option 1'!M202="","",'Option 1'!M202)</f>
        <v/>
      </c>
      <c r="N202" s="184" t="str">
        <f>IF('Option 1'!N202="","",'Option 1'!N202)</f>
        <v/>
      </c>
      <c r="O202" s="184" t="str">
        <f>IF('Option 1'!O202="","",'Option 1'!O202)</f>
        <v/>
      </c>
      <c r="P202" s="124">
        <f t="shared" si="10"/>
        <v>0</v>
      </c>
    </row>
    <row r="203" spans="1:16" ht="15.75" customHeight="1" x14ac:dyDescent="0.25">
      <c r="A203" s="239"/>
      <c r="B203" s="4" t="str">
        <f>IF('Option 1'!B203="","",'Option 1'!B203)</f>
        <v/>
      </c>
      <c r="C203" s="188" t="str">
        <f>IF('Option 1'!C203="","",'Option 1'!C203)</f>
        <v>Elevator Replacement Cylinders (Bldg. 1405)</v>
      </c>
      <c r="D203" s="186" t="str">
        <f>IF('Option 1'!D203="","",'Option 1'!D203)</f>
        <v/>
      </c>
      <c r="E203" s="184">
        <f>IF('Option 1'!E203="","",'Option 1'!E203)</f>
        <v>0</v>
      </c>
      <c r="F203" s="184">
        <f>IF('Option 1'!F203="","",'Option 1'!F203)</f>
        <v>110000</v>
      </c>
      <c r="G203" s="184" t="str">
        <f>IF('Option 1'!G203="","",'Option 1'!G203)</f>
        <v/>
      </c>
      <c r="H203" s="184" t="str">
        <f>IF('Option 1'!H203="","",'Option 1'!H203)</f>
        <v/>
      </c>
      <c r="I203" s="184" t="str">
        <f>IF('Option 1'!I203="","",'Option 1'!I203)</f>
        <v/>
      </c>
      <c r="J203" s="184" t="str">
        <f>IF('Option 1'!J203="","",'Option 1'!J203)</f>
        <v/>
      </c>
      <c r="K203" s="184" t="str">
        <f>IF('Option 1'!K203="","",'Option 1'!K203)</f>
        <v/>
      </c>
      <c r="L203" s="184" t="str">
        <f>IF('Option 1'!L203="","",'Option 1'!L203)</f>
        <v/>
      </c>
      <c r="M203" s="184" t="str">
        <f>IF('Option 1'!M203="","",'Option 1'!M203)</f>
        <v/>
      </c>
      <c r="N203" s="184" t="str">
        <f>IF('Option 1'!N203="","",'Option 1'!N203)</f>
        <v/>
      </c>
      <c r="O203" s="184" t="str">
        <f>IF('Option 1'!O203="","",'Option 1'!O203)</f>
        <v/>
      </c>
      <c r="P203" s="124">
        <f t="shared" si="10"/>
        <v>110000</v>
      </c>
    </row>
    <row r="204" spans="1:16" ht="15.75" customHeight="1" x14ac:dyDescent="0.25">
      <c r="A204" s="239"/>
      <c r="B204" s="4" t="str">
        <f>IF('Option 1'!B204="","",'Option 1'!B204)</f>
        <v/>
      </c>
      <c r="C204" s="188" t="str">
        <f>IF('Option 1'!C204="","",'Option 1'!C204)</f>
        <v>Elevator Replacement Cylinders (Bldgs. 1505 &amp; 1515)</v>
      </c>
      <c r="D204" s="186" t="str">
        <f>IF('Option 1'!D204="","",'Option 1'!D204)</f>
        <v/>
      </c>
      <c r="E204" s="184" t="str">
        <f>IF('Option 1'!E204="","",'Option 1'!E204)</f>
        <v/>
      </c>
      <c r="F204" s="184">
        <f>IF('Option 1'!F204="","",'Option 1'!F204)</f>
        <v>0</v>
      </c>
      <c r="G204" s="184">
        <f>IF('Option 1'!G204="","",'Option 1'!G204)</f>
        <v>330000</v>
      </c>
      <c r="H204" s="184" t="str">
        <f>IF('Option 1'!H204="","",'Option 1'!H204)</f>
        <v/>
      </c>
      <c r="I204" s="184" t="str">
        <f>IF('Option 1'!I204="","",'Option 1'!I204)</f>
        <v/>
      </c>
      <c r="J204" s="184" t="str">
        <f>IF('Option 1'!J204="","",'Option 1'!J204)</f>
        <v/>
      </c>
      <c r="K204" s="184" t="str">
        <f>IF('Option 1'!K204="","",'Option 1'!K204)</f>
        <v/>
      </c>
      <c r="L204" s="184" t="str">
        <f>IF('Option 1'!L204="","",'Option 1'!L204)</f>
        <v/>
      </c>
      <c r="M204" s="184" t="str">
        <f>IF('Option 1'!M204="","",'Option 1'!M204)</f>
        <v/>
      </c>
      <c r="N204" s="184" t="str">
        <f>IF('Option 1'!N204="","",'Option 1'!N204)</f>
        <v/>
      </c>
      <c r="O204" s="184" t="str">
        <f>IF('Option 1'!O204="","",'Option 1'!O204)</f>
        <v/>
      </c>
      <c r="P204" s="124">
        <f t="shared" si="10"/>
        <v>330000</v>
      </c>
    </row>
    <row r="205" spans="1:16" ht="15.75" customHeight="1" x14ac:dyDescent="0.25">
      <c r="A205" s="239"/>
      <c r="B205" s="4" t="str">
        <f>IF('Option 1'!B205="","",'Option 1'!B205)</f>
        <v/>
      </c>
      <c r="C205" s="188" t="str">
        <f>IF('Option 1'!C205="","",'Option 1'!C205)</f>
        <v>Elevator Replacement Cylinders (Bldg. 1415)</v>
      </c>
      <c r="D205" s="186" t="str">
        <f>IF('Option 1'!D205="","",'Option 1'!D205)</f>
        <v/>
      </c>
      <c r="E205" s="184" t="str">
        <f>IF('Option 1'!E205="","",'Option 1'!E205)</f>
        <v/>
      </c>
      <c r="F205" s="184" t="str">
        <f>IF('Option 1'!F205="","",'Option 1'!F205)</f>
        <v/>
      </c>
      <c r="G205" s="184">
        <f>IF('Option 1'!G205="","",'Option 1'!G205)</f>
        <v>0</v>
      </c>
      <c r="H205" s="184">
        <f>IF('Option 1'!H205="","",'Option 1'!H205)</f>
        <v>110000</v>
      </c>
      <c r="I205" s="184" t="str">
        <f>IF('Option 1'!I205="","",'Option 1'!I205)</f>
        <v/>
      </c>
      <c r="J205" s="184" t="str">
        <f>IF('Option 1'!J205="","",'Option 1'!J205)</f>
        <v/>
      </c>
      <c r="K205" s="184" t="str">
        <f>IF('Option 1'!K205="","",'Option 1'!K205)</f>
        <v/>
      </c>
      <c r="L205" s="184" t="str">
        <f>IF('Option 1'!L205="","",'Option 1'!L205)</f>
        <v/>
      </c>
      <c r="M205" s="184" t="str">
        <f>IF('Option 1'!M205="","",'Option 1'!M205)</f>
        <v/>
      </c>
      <c r="N205" s="184" t="str">
        <f>IF('Option 1'!N205="","",'Option 1'!N205)</f>
        <v/>
      </c>
      <c r="O205" s="184" t="str">
        <f>IF('Option 1'!O205="","",'Option 1'!O205)</f>
        <v/>
      </c>
      <c r="P205" s="124">
        <f t="shared" si="10"/>
        <v>110000</v>
      </c>
    </row>
    <row r="206" spans="1:16" ht="15.75" customHeight="1" x14ac:dyDescent="0.25">
      <c r="A206" s="239"/>
      <c r="B206" s="4" t="str">
        <f>IF('Option 1'!B206="","",'Option 1'!B206)</f>
        <v/>
      </c>
      <c r="C206" s="188" t="str">
        <f>IF('Option 1'!C206="","",'Option 1'!C206)</f>
        <v>Elevator Replacement Cylinders (Bldg. 1605)</v>
      </c>
      <c r="D206" s="186" t="str">
        <f>IF('Option 1'!D206="","",'Option 1'!D206)</f>
        <v/>
      </c>
      <c r="E206" s="184" t="str">
        <f>IF('Option 1'!E206="","",'Option 1'!E206)</f>
        <v/>
      </c>
      <c r="F206" s="184" t="str">
        <f>IF('Option 1'!F206="","",'Option 1'!F206)</f>
        <v/>
      </c>
      <c r="G206" s="184" t="str">
        <f>IF('Option 1'!G206="","",'Option 1'!G206)</f>
        <v/>
      </c>
      <c r="H206" s="184">
        <f>IF('Option 1'!H206="","",'Option 1'!H206)</f>
        <v>0</v>
      </c>
      <c r="I206" s="184">
        <f>IF('Option 1'!I206="","",'Option 1'!I206)</f>
        <v>110000</v>
      </c>
      <c r="J206" s="184" t="str">
        <f>IF('Option 1'!J206="","",'Option 1'!J206)</f>
        <v/>
      </c>
      <c r="K206" s="184" t="str">
        <f>IF('Option 1'!K206="","",'Option 1'!K206)</f>
        <v/>
      </c>
      <c r="L206" s="184" t="str">
        <f>IF('Option 1'!L206="","",'Option 1'!L206)</f>
        <v/>
      </c>
      <c r="M206" s="184" t="str">
        <f>IF('Option 1'!M206="","",'Option 1'!M206)</f>
        <v/>
      </c>
      <c r="N206" s="184" t="str">
        <f>IF('Option 1'!N206="","",'Option 1'!N206)</f>
        <v/>
      </c>
      <c r="O206" s="184" t="str">
        <f>IF('Option 1'!O206="","",'Option 1'!O206)</f>
        <v/>
      </c>
      <c r="P206" s="124">
        <f t="shared" si="10"/>
        <v>110000</v>
      </c>
    </row>
    <row r="207" spans="1:16" ht="15.75" customHeight="1" x14ac:dyDescent="0.25">
      <c r="A207" s="239"/>
      <c r="B207" s="4" t="str">
        <f>IF('Option 1'!B207="","",'Option 1'!B207)</f>
        <v/>
      </c>
      <c r="C207" s="188" t="str">
        <f>IF('Option 1'!C207="","",'Option 1'!C207)</f>
        <v>Elevator Replacement Cylinders (Bldg. 1615)</v>
      </c>
      <c r="D207" s="186" t="str">
        <f>IF('Option 1'!D207="","",'Option 1'!D207)</f>
        <v/>
      </c>
      <c r="E207" s="184" t="str">
        <f>IF('Option 1'!E207="","",'Option 1'!E207)</f>
        <v/>
      </c>
      <c r="F207" s="184" t="str">
        <f>IF('Option 1'!F207="","",'Option 1'!F207)</f>
        <v/>
      </c>
      <c r="G207" s="184" t="str">
        <f>IF('Option 1'!G207="","",'Option 1'!G207)</f>
        <v/>
      </c>
      <c r="H207" s="184" t="str">
        <f>IF('Option 1'!H207="","",'Option 1'!H207)</f>
        <v/>
      </c>
      <c r="I207" s="184">
        <f>IF('Option 1'!I207="","",'Option 1'!I207)</f>
        <v>0</v>
      </c>
      <c r="J207" s="184">
        <f>IF('Option 1'!J207="","",'Option 1'!J207)</f>
        <v>110000</v>
      </c>
      <c r="K207" s="184" t="str">
        <f>IF('Option 1'!K207="","",'Option 1'!K207)</f>
        <v/>
      </c>
      <c r="L207" s="184" t="str">
        <f>IF('Option 1'!L207="","",'Option 1'!L207)</f>
        <v/>
      </c>
      <c r="M207" s="184" t="str">
        <f>IF('Option 1'!M207="","",'Option 1'!M207)</f>
        <v/>
      </c>
      <c r="N207" s="184" t="str">
        <f>IF('Option 1'!N207="","",'Option 1'!N207)</f>
        <v/>
      </c>
      <c r="O207" s="184" t="str">
        <f>IF('Option 1'!O207="","",'Option 1'!O207)</f>
        <v/>
      </c>
      <c r="P207" s="124">
        <f t="shared" si="10"/>
        <v>110000</v>
      </c>
    </row>
    <row r="208" spans="1:16" ht="15.75" customHeight="1" x14ac:dyDescent="0.25">
      <c r="A208" s="239"/>
      <c r="B208" s="4" t="str">
        <f>IF('Option 1'!B208="","",'Option 1'!B208)</f>
        <v/>
      </c>
      <c r="C208" s="188" t="str">
        <f>IF('Option 1'!C208="","",'Option 1'!C208)</f>
        <v>Core HVAC Units - 1515 &amp; 1615 East, 1415 &amp; 1615 West</v>
      </c>
      <c r="D208" s="186" t="str">
        <f>IF('Option 1'!D208="","",'Option 1'!D208)</f>
        <v/>
      </c>
      <c r="E208" s="184">
        <f>IF('Option 1'!E208="","",'Option 1'!E208)</f>
        <v>44284</v>
      </c>
      <c r="F208" s="184" t="str">
        <f>IF('Option 1'!F208="","",'Option 1'!F208)</f>
        <v/>
      </c>
      <c r="G208" s="184" t="str">
        <f>IF('Option 1'!G208="","",'Option 1'!G208)</f>
        <v/>
      </c>
      <c r="H208" s="184" t="str">
        <f>IF('Option 1'!H208="","",'Option 1'!H208)</f>
        <v/>
      </c>
      <c r="I208" s="184" t="str">
        <f>IF('Option 1'!I208="","",'Option 1'!I208)</f>
        <v/>
      </c>
      <c r="J208" s="184" t="str">
        <f>IF('Option 1'!J208="","",'Option 1'!J208)</f>
        <v/>
      </c>
      <c r="K208" s="184" t="str">
        <f>IF('Option 1'!K208="","",'Option 1'!K208)</f>
        <v/>
      </c>
      <c r="L208" s="184" t="str">
        <f>IF('Option 1'!L208="","",'Option 1'!L208)</f>
        <v/>
      </c>
      <c r="M208" s="184" t="str">
        <f>IF('Option 1'!M208="","",'Option 1'!M208)</f>
        <v/>
      </c>
      <c r="N208" s="184" t="str">
        <f>IF('Option 1'!N208="","",'Option 1'!N208)</f>
        <v/>
      </c>
      <c r="O208" s="184" t="str">
        <f>IF('Option 1'!O208="","",'Option 1'!O208)</f>
        <v/>
      </c>
      <c r="P208" s="124">
        <f t="shared" si="10"/>
        <v>44284</v>
      </c>
    </row>
    <row r="209" spans="1:16" ht="15.75" customHeight="1" x14ac:dyDescent="0.25">
      <c r="A209" s="239"/>
      <c r="B209" s="4" t="str">
        <f>IF('Option 1'!B209="","",'Option 1'!B209)</f>
        <v/>
      </c>
      <c r="C209" s="188" t="str">
        <f>IF('Option 1'!C209="","",'Option 1'!C209)</f>
        <v>Core HVAC Unit - 1515 West</v>
      </c>
      <c r="D209" s="186" t="str">
        <f>IF('Option 1'!D209="","",'Option 1'!D209)</f>
        <v/>
      </c>
      <c r="E209" s="184" t="str">
        <f>IF('Option 1'!E209="","",'Option 1'!E209)</f>
        <v/>
      </c>
      <c r="F209" s="184">
        <f>IF('Option 1'!F209="","",'Option 1'!F209)</f>
        <v>11071</v>
      </c>
      <c r="G209" s="184" t="str">
        <f>IF('Option 1'!G209="","",'Option 1'!G209)</f>
        <v/>
      </c>
      <c r="H209" s="184" t="str">
        <f>IF('Option 1'!H209="","",'Option 1'!H209)</f>
        <v/>
      </c>
      <c r="I209" s="184" t="str">
        <f>IF('Option 1'!I209="","",'Option 1'!I209)</f>
        <v/>
      </c>
      <c r="J209" s="184" t="str">
        <f>IF('Option 1'!J209="","",'Option 1'!J209)</f>
        <v/>
      </c>
      <c r="K209" s="184" t="str">
        <f>IF('Option 1'!K209="","",'Option 1'!K209)</f>
        <v/>
      </c>
      <c r="L209" s="184" t="str">
        <f>IF('Option 1'!L209="","",'Option 1'!L209)</f>
        <v/>
      </c>
      <c r="M209" s="184" t="str">
        <f>IF('Option 1'!M209="","",'Option 1'!M209)</f>
        <v/>
      </c>
      <c r="N209" s="184" t="str">
        <f>IF('Option 1'!N209="","",'Option 1'!N209)</f>
        <v/>
      </c>
      <c r="O209" s="184" t="str">
        <f>IF('Option 1'!O209="","",'Option 1'!O209)</f>
        <v/>
      </c>
      <c r="P209" s="124">
        <f t="shared" si="10"/>
        <v>11071</v>
      </c>
    </row>
    <row r="210" spans="1:16" ht="15.75" customHeight="1" x14ac:dyDescent="0.25">
      <c r="A210" s="239"/>
      <c r="B210" s="4" t="str">
        <f>IF('Option 1'!B210="","",'Option 1'!B210)</f>
        <v/>
      </c>
      <c r="C210" s="188" t="str">
        <f>IF('Option 1'!C210="","",'Option 1'!C210)</f>
        <v>Core HVAC Unit - 1415 East</v>
      </c>
      <c r="D210" s="186" t="str">
        <f>IF('Option 1'!D210="","",'Option 1'!D210)</f>
        <v/>
      </c>
      <c r="E210" s="184" t="str">
        <f>IF('Option 1'!E210="","",'Option 1'!E210)</f>
        <v/>
      </c>
      <c r="F210" s="184" t="str">
        <f>IF('Option 1'!F210="","",'Option 1'!F210)</f>
        <v/>
      </c>
      <c r="G210" s="184" t="str">
        <f>IF('Option 1'!G210="","",'Option 1'!G210)</f>
        <v/>
      </c>
      <c r="H210" s="184" t="str">
        <f>IF('Option 1'!H210="","",'Option 1'!H210)</f>
        <v/>
      </c>
      <c r="I210" s="184">
        <f>IF('Option 1'!I210="","",'Option 1'!I210)</f>
        <v>11071</v>
      </c>
      <c r="J210" s="184" t="str">
        <f>IF('Option 1'!J210="","",'Option 1'!J210)</f>
        <v/>
      </c>
      <c r="K210" s="184" t="str">
        <f>IF('Option 1'!K210="","",'Option 1'!K210)</f>
        <v/>
      </c>
      <c r="L210" s="184" t="str">
        <f>IF('Option 1'!L210="","",'Option 1'!L210)</f>
        <v/>
      </c>
      <c r="M210" s="184" t="str">
        <f>IF('Option 1'!M210="","",'Option 1'!M210)</f>
        <v/>
      </c>
      <c r="N210" s="184" t="str">
        <f>IF('Option 1'!N210="","",'Option 1'!N210)</f>
        <v/>
      </c>
      <c r="O210" s="184" t="str">
        <f>IF('Option 1'!O210="","",'Option 1'!O210)</f>
        <v/>
      </c>
      <c r="P210" s="124">
        <f t="shared" si="10"/>
        <v>11071</v>
      </c>
    </row>
    <row r="211" spans="1:16" ht="15.75" customHeight="1" x14ac:dyDescent="0.25">
      <c r="A211" s="239"/>
      <c r="B211" s="4" t="str">
        <f>IF('Option 1'!B211="","",'Option 1'!B211)</f>
        <v/>
      </c>
      <c r="C211" s="188" t="str">
        <f>IF('Option 1'!C211="","",'Option 1'!C211)</f>
        <v>Core HVAC Units - 1605 East &amp; West</v>
      </c>
      <c r="D211" s="186" t="str">
        <f>IF('Option 1'!D211="","",'Option 1'!D211)</f>
        <v/>
      </c>
      <c r="E211" s="184" t="str">
        <f>IF('Option 1'!E211="","",'Option 1'!E211)</f>
        <v/>
      </c>
      <c r="F211" s="184" t="str">
        <f>IF('Option 1'!F211="","",'Option 1'!F211)</f>
        <v/>
      </c>
      <c r="G211" s="184" t="str">
        <f>IF('Option 1'!G211="","",'Option 1'!G211)</f>
        <v/>
      </c>
      <c r="H211" s="184" t="str">
        <f>IF('Option 1'!H211="","",'Option 1'!H211)</f>
        <v/>
      </c>
      <c r="I211" s="184" t="str">
        <f>IF('Option 1'!I211="","",'Option 1'!I211)</f>
        <v/>
      </c>
      <c r="J211" s="184">
        <f>IF('Option 1'!J211="","",'Option 1'!J211)</f>
        <v>22142</v>
      </c>
      <c r="K211" s="184" t="str">
        <f>IF('Option 1'!K211="","",'Option 1'!K211)</f>
        <v/>
      </c>
      <c r="L211" s="184" t="str">
        <f>IF('Option 1'!L211="","",'Option 1'!L211)</f>
        <v/>
      </c>
      <c r="M211" s="184" t="str">
        <f>IF('Option 1'!M211="","",'Option 1'!M211)</f>
        <v/>
      </c>
      <c r="N211" s="184" t="str">
        <f>IF('Option 1'!N211="","",'Option 1'!N211)</f>
        <v/>
      </c>
      <c r="O211" s="184" t="str">
        <f>IF('Option 1'!O211="","",'Option 1'!O211)</f>
        <v/>
      </c>
      <c r="P211" s="124">
        <f t="shared" si="10"/>
        <v>22142</v>
      </c>
    </row>
    <row r="212" spans="1:16" ht="15.75" customHeight="1" x14ac:dyDescent="0.25">
      <c r="A212" s="239"/>
      <c r="B212" s="4" t="str">
        <f>IF('Option 1'!B212="","",'Option 1'!B212)</f>
        <v/>
      </c>
      <c r="C212" s="188" t="str">
        <f>IF('Option 1'!C212="","",'Option 1'!C212)</f>
        <v>Core HVAC Unit - 1405 East</v>
      </c>
      <c r="D212" s="186" t="str">
        <f>IF('Option 1'!D212="","",'Option 1'!D212)</f>
        <v/>
      </c>
      <c r="E212" s="184" t="str">
        <f>IF('Option 1'!E212="","",'Option 1'!E212)</f>
        <v/>
      </c>
      <c r="F212" s="184" t="str">
        <f>IF('Option 1'!F212="","",'Option 1'!F212)</f>
        <v/>
      </c>
      <c r="G212" s="184" t="str">
        <f>IF('Option 1'!G212="","",'Option 1'!G212)</f>
        <v/>
      </c>
      <c r="H212" s="184" t="str">
        <f>IF('Option 1'!H212="","",'Option 1'!H212)</f>
        <v/>
      </c>
      <c r="I212" s="184" t="str">
        <f>IF('Option 1'!I212="","",'Option 1'!I212)</f>
        <v/>
      </c>
      <c r="J212" s="184" t="str">
        <f>IF('Option 1'!J212="","",'Option 1'!J212)</f>
        <v/>
      </c>
      <c r="K212" s="184">
        <f>IF('Option 1'!K212="","",'Option 1'!K212)</f>
        <v>11071</v>
      </c>
      <c r="L212" s="184" t="str">
        <f>IF('Option 1'!L212="","",'Option 1'!L212)</f>
        <v/>
      </c>
      <c r="M212" s="184" t="str">
        <f>IF('Option 1'!M212="","",'Option 1'!M212)</f>
        <v/>
      </c>
      <c r="N212" s="184" t="str">
        <f>IF('Option 1'!N212="","",'Option 1'!N212)</f>
        <v/>
      </c>
      <c r="O212" s="184" t="str">
        <f>IF('Option 1'!O212="","",'Option 1'!O212)</f>
        <v/>
      </c>
      <c r="P212" s="124">
        <f t="shared" si="10"/>
        <v>11071</v>
      </c>
    </row>
    <row r="213" spans="1:16" ht="15.75" customHeight="1" x14ac:dyDescent="0.25">
      <c r="A213" s="239"/>
      <c r="B213" s="4" t="str">
        <f>IF('Option 1'!B213="","",'Option 1'!B213)</f>
        <v/>
      </c>
      <c r="C213" s="188" t="str">
        <f>IF('Option 1'!C213="","",'Option 1'!C213)</f>
        <v>Core HVAC Units - 1505 East &amp; West</v>
      </c>
      <c r="D213" s="186" t="str">
        <f>IF('Option 1'!D213="","",'Option 1'!D213)</f>
        <v/>
      </c>
      <c r="E213" s="184" t="str">
        <f>IF('Option 1'!E213="","",'Option 1'!E213)</f>
        <v/>
      </c>
      <c r="F213" s="184" t="str">
        <f>IF('Option 1'!F213="","",'Option 1'!F213)</f>
        <v/>
      </c>
      <c r="G213" s="184" t="str">
        <f>IF('Option 1'!G213="","",'Option 1'!G213)</f>
        <v/>
      </c>
      <c r="H213" s="184" t="str">
        <f>IF('Option 1'!H213="","",'Option 1'!H213)</f>
        <v/>
      </c>
      <c r="I213" s="184" t="str">
        <f>IF('Option 1'!I213="","",'Option 1'!I213)</f>
        <v/>
      </c>
      <c r="J213" s="184" t="str">
        <f>IF('Option 1'!J213="","",'Option 1'!J213)</f>
        <v/>
      </c>
      <c r="K213" s="184" t="str">
        <f>IF('Option 1'!K213="","",'Option 1'!K213)</f>
        <v/>
      </c>
      <c r="L213" s="184">
        <f>IF('Option 1'!L213="","",'Option 1'!L213)</f>
        <v>22142</v>
      </c>
      <c r="M213" s="184" t="str">
        <f>IF('Option 1'!M213="","",'Option 1'!M213)</f>
        <v/>
      </c>
      <c r="N213" s="184" t="str">
        <f>IF('Option 1'!N213="","",'Option 1'!N213)</f>
        <v/>
      </c>
      <c r="O213" s="184" t="str">
        <f>IF('Option 1'!O213="","",'Option 1'!O213)</f>
        <v/>
      </c>
      <c r="P213" s="124">
        <f t="shared" si="10"/>
        <v>22142</v>
      </c>
    </row>
    <row r="214" spans="1:16" ht="15.75" customHeight="1" x14ac:dyDescent="0.25">
      <c r="A214" s="239"/>
      <c r="B214" s="4" t="str">
        <f>IF('Option 1'!B214="","",'Option 1'!B214)</f>
        <v/>
      </c>
      <c r="C214" s="188" t="str">
        <f>IF('Option 1'!C214="","",'Option 1'!C214)</f>
        <v>Core HVAC Unit - 1405 West</v>
      </c>
      <c r="D214" s="186" t="str">
        <f>IF('Option 1'!D214="","",'Option 1'!D214)</f>
        <v/>
      </c>
      <c r="E214" s="184" t="str">
        <f>IF('Option 1'!E214="","",'Option 1'!E214)</f>
        <v/>
      </c>
      <c r="F214" s="184" t="str">
        <f>IF('Option 1'!F214="","",'Option 1'!F214)</f>
        <v/>
      </c>
      <c r="G214" s="184" t="str">
        <f>IF('Option 1'!G214="","",'Option 1'!G214)</f>
        <v/>
      </c>
      <c r="H214" s="184" t="str">
        <f>IF('Option 1'!H214="","",'Option 1'!H214)</f>
        <v/>
      </c>
      <c r="I214" s="184" t="str">
        <f>IF('Option 1'!I214="","",'Option 1'!I214)</f>
        <v/>
      </c>
      <c r="J214" s="184" t="str">
        <f>IF('Option 1'!J214="","",'Option 1'!J214)</f>
        <v/>
      </c>
      <c r="K214" s="184" t="str">
        <f>IF('Option 1'!K214="","",'Option 1'!K214)</f>
        <v/>
      </c>
      <c r="L214" s="184" t="str">
        <f>IF('Option 1'!L214="","",'Option 1'!L214)</f>
        <v/>
      </c>
      <c r="M214" s="184">
        <f>IF('Option 1'!M214="","",'Option 1'!M214)</f>
        <v>11071</v>
      </c>
      <c r="N214" s="184" t="str">
        <f>IF('Option 1'!N214="","",'Option 1'!N214)</f>
        <v/>
      </c>
      <c r="O214" s="184" t="str">
        <f>IF('Option 1'!O214="","",'Option 1'!O214)</f>
        <v/>
      </c>
      <c r="P214" s="124">
        <f t="shared" si="10"/>
        <v>11071</v>
      </c>
    </row>
    <row r="215" spans="1:16" ht="15.75" customHeight="1" x14ac:dyDescent="0.25">
      <c r="A215" s="239"/>
      <c r="B215" s="4" t="str">
        <f>IF('Option 1'!B215="","",'Option 1'!B215)</f>
        <v/>
      </c>
      <c r="C215" s="188" t="str">
        <f>IF('Option 1'!C215="","",'Option 1'!C215)</f>
        <v>HVAC Units - 1605 B &amp; C, &amp; 1515 A &amp; B Wings</v>
      </c>
      <c r="D215" s="186">
        <f>IF('Option 1'!D215="","",'Option 1'!D215)</f>
        <v>43643</v>
      </c>
      <c r="E215" s="184" t="str">
        <f>IF('Option 1'!E215="","",'Option 1'!E215)</f>
        <v/>
      </c>
      <c r="F215" s="184" t="str">
        <f>IF('Option 1'!F215="","",'Option 1'!F215)</f>
        <v/>
      </c>
      <c r="G215" s="184" t="str">
        <f>IF('Option 1'!G215="","",'Option 1'!G215)</f>
        <v/>
      </c>
      <c r="H215" s="184" t="str">
        <f>IF('Option 1'!H215="","",'Option 1'!H215)</f>
        <v/>
      </c>
      <c r="I215" s="184" t="str">
        <f>IF('Option 1'!I215="","",'Option 1'!I215)</f>
        <v/>
      </c>
      <c r="J215" s="184" t="str">
        <f>IF('Option 1'!J215="","",'Option 1'!J215)</f>
        <v/>
      </c>
      <c r="K215" s="184" t="str">
        <f>IF('Option 1'!K215="","",'Option 1'!K215)</f>
        <v/>
      </c>
      <c r="L215" s="184" t="str">
        <f>IF('Option 1'!L215="","",'Option 1'!L215)</f>
        <v/>
      </c>
      <c r="M215" s="184" t="str">
        <f>IF('Option 1'!M215="","",'Option 1'!M215)</f>
        <v/>
      </c>
      <c r="N215" s="184" t="str">
        <f>IF('Option 1'!N215="","",'Option 1'!N215)</f>
        <v/>
      </c>
      <c r="O215" s="184" t="str">
        <f>IF('Option 1'!O215="","",'Option 1'!O215)</f>
        <v/>
      </c>
      <c r="P215" s="124">
        <f t="shared" si="10"/>
        <v>43643</v>
      </c>
    </row>
    <row r="216" spans="1:16" ht="15.75" customHeight="1" x14ac:dyDescent="0.25">
      <c r="A216" s="239"/>
      <c r="B216" s="4" t="str">
        <f>IF('Option 1'!B216="","",'Option 1'!B216)</f>
        <v/>
      </c>
      <c r="C216" s="188" t="str">
        <f>IF('Option 1'!C216="","",'Option 1'!C216)</f>
        <v>HVAC Units - 1615 B, 1515 C &amp; 1415 C Wings</v>
      </c>
      <c r="D216" s="186" t="str">
        <f>IF('Option 1'!D216="","",'Option 1'!D216)</f>
        <v/>
      </c>
      <c r="E216" s="184" t="str">
        <f>IF('Option 1'!E216="","",'Option 1'!E216)</f>
        <v/>
      </c>
      <c r="F216" s="184">
        <f>IF('Option 1'!F216="","",'Option 1'!F216)</f>
        <v>22500</v>
      </c>
      <c r="G216" s="184" t="str">
        <f>IF('Option 1'!G216="","",'Option 1'!G216)</f>
        <v/>
      </c>
      <c r="H216" s="184" t="str">
        <f>IF('Option 1'!H216="","",'Option 1'!H216)</f>
        <v/>
      </c>
      <c r="I216" s="184" t="str">
        <f>IF('Option 1'!I216="","",'Option 1'!I216)</f>
        <v/>
      </c>
      <c r="J216" s="184" t="str">
        <f>IF('Option 1'!J216="","",'Option 1'!J216)</f>
        <v/>
      </c>
      <c r="K216" s="184" t="str">
        <f>IF('Option 1'!K216="","",'Option 1'!K216)</f>
        <v/>
      </c>
      <c r="L216" s="184" t="str">
        <f>IF('Option 1'!L216="","",'Option 1'!L216)</f>
        <v/>
      </c>
      <c r="M216" s="184" t="str">
        <f>IF('Option 1'!M216="","",'Option 1'!M216)</f>
        <v/>
      </c>
      <c r="N216" s="184" t="str">
        <f>IF('Option 1'!N216="","",'Option 1'!N216)</f>
        <v/>
      </c>
      <c r="O216" s="184" t="str">
        <f>IF('Option 1'!O216="","",'Option 1'!O216)</f>
        <v/>
      </c>
      <c r="P216" s="124">
        <f t="shared" si="10"/>
        <v>22500</v>
      </c>
    </row>
    <row r="217" spans="1:16" ht="15.75" customHeight="1" x14ac:dyDescent="0.25">
      <c r="A217" s="239"/>
      <c r="B217" s="4" t="str">
        <f>IF('Option 1'!B217="","",'Option 1'!B217)</f>
        <v/>
      </c>
      <c r="C217" s="188" t="str">
        <f>IF('Option 1'!C217="","",'Option 1'!C217)</f>
        <v>HVAC Units - 1615 A &amp; 1605 A Wing</v>
      </c>
      <c r="D217" s="186" t="str">
        <f>IF('Option 1'!D217="","",'Option 1'!D217)</f>
        <v/>
      </c>
      <c r="E217" s="184" t="str">
        <f>IF('Option 1'!E217="","",'Option 1'!E217)</f>
        <v/>
      </c>
      <c r="F217" s="184" t="str">
        <f>IF('Option 1'!F217="","",'Option 1'!F217)</f>
        <v/>
      </c>
      <c r="G217" s="184">
        <f>IF('Option 1'!G217="","",'Option 1'!G217)</f>
        <v>15000</v>
      </c>
      <c r="H217" s="184" t="str">
        <f>IF('Option 1'!H217="","",'Option 1'!H217)</f>
        <v/>
      </c>
      <c r="I217" s="184" t="str">
        <f>IF('Option 1'!I217="","",'Option 1'!I217)</f>
        <v/>
      </c>
      <c r="J217" s="184" t="str">
        <f>IF('Option 1'!J217="","",'Option 1'!J217)</f>
        <v/>
      </c>
      <c r="K217" s="184" t="str">
        <f>IF('Option 1'!K217="","",'Option 1'!K217)</f>
        <v/>
      </c>
      <c r="L217" s="184" t="str">
        <f>IF('Option 1'!L217="","",'Option 1'!L217)</f>
        <v/>
      </c>
      <c r="M217" s="184" t="str">
        <f>IF('Option 1'!M217="","",'Option 1'!M217)</f>
        <v/>
      </c>
      <c r="N217" s="184" t="str">
        <f>IF('Option 1'!N217="","",'Option 1'!N217)</f>
        <v/>
      </c>
      <c r="O217" s="184" t="str">
        <f>IF('Option 1'!O217="","",'Option 1'!O217)</f>
        <v/>
      </c>
      <c r="P217" s="124">
        <f t="shared" ref="P217:P234" si="11">IF(SUM(D217:O217)=0,0,SUM(D217:O217))</f>
        <v>15000</v>
      </c>
    </row>
    <row r="218" spans="1:16" ht="15.75" customHeight="1" x14ac:dyDescent="0.25">
      <c r="A218" s="239"/>
      <c r="B218" s="4" t="str">
        <f>IF('Option 1'!B218="","",'Option 1'!B218)</f>
        <v/>
      </c>
      <c r="C218" s="188" t="str">
        <f>IF('Option 1'!C218="","",'Option 1'!C218)</f>
        <v>HVAC Unit - 1415 B Wing</v>
      </c>
      <c r="D218" s="186" t="str">
        <f>IF('Option 1'!D218="","",'Option 1'!D218)</f>
        <v/>
      </c>
      <c r="E218" s="184" t="str">
        <f>IF('Option 1'!E218="","",'Option 1'!E218)</f>
        <v/>
      </c>
      <c r="F218" s="184" t="str">
        <f>IF('Option 1'!F218="","",'Option 1'!F218)</f>
        <v/>
      </c>
      <c r="G218" s="184" t="str">
        <f>IF('Option 1'!G218="","",'Option 1'!G218)</f>
        <v/>
      </c>
      <c r="H218" s="184" t="str">
        <f>IF('Option 1'!H218="","",'Option 1'!H218)</f>
        <v/>
      </c>
      <c r="I218" s="184">
        <f>IF('Option 1'!I218="","",'Option 1'!I218)</f>
        <v>7500</v>
      </c>
      <c r="J218" s="184" t="str">
        <f>IF('Option 1'!J218="","",'Option 1'!J218)</f>
        <v/>
      </c>
      <c r="K218" s="184" t="str">
        <f>IF('Option 1'!K218="","",'Option 1'!K218)</f>
        <v/>
      </c>
      <c r="L218" s="184" t="str">
        <f>IF('Option 1'!L218="","",'Option 1'!L218)</f>
        <v/>
      </c>
      <c r="M218" s="184" t="str">
        <f>IF('Option 1'!M218="","",'Option 1'!M218)</f>
        <v/>
      </c>
      <c r="N218" s="184" t="str">
        <f>IF('Option 1'!N218="","",'Option 1'!N218)</f>
        <v/>
      </c>
      <c r="O218" s="184" t="str">
        <f>IF('Option 1'!O218="","",'Option 1'!O218)</f>
        <v/>
      </c>
      <c r="P218" s="124">
        <f t="shared" si="11"/>
        <v>7500</v>
      </c>
    </row>
    <row r="219" spans="1:16" ht="15.75" customHeight="1" x14ac:dyDescent="0.25">
      <c r="A219" s="239"/>
      <c r="B219" s="4" t="str">
        <f>IF('Option 1'!B219="","",'Option 1'!B219)</f>
        <v/>
      </c>
      <c r="C219" s="188" t="str">
        <f>IF('Option 1'!C219="","",'Option 1'!C219)</f>
        <v>HVAC Unit - 1615 C Wing</v>
      </c>
      <c r="D219" s="186" t="str">
        <f>IF('Option 1'!D219="","",'Option 1'!D219)</f>
        <v/>
      </c>
      <c r="E219" s="184" t="str">
        <f>IF('Option 1'!E219="","",'Option 1'!E219)</f>
        <v/>
      </c>
      <c r="F219" s="184" t="str">
        <f>IF('Option 1'!F219="","",'Option 1'!F219)</f>
        <v/>
      </c>
      <c r="G219" s="184" t="str">
        <f>IF('Option 1'!G219="","",'Option 1'!G219)</f>
        <v/>
      </c>
      <c r="H219" s="184" t="str">
        <f>IF('Option 1'!H219="","",'Option 1'!H219)</f>
        <v/>
      </c>
      <c r="I219" s="184" t="str">
        <f>IF('Option 1'!I219="","",'Option 1'!I219)</f>
        <v/>
      </c>
      <c r="J219" s="184">
        <f>IF('Option 1'!J219="","",'Option 1'!J219)</f>
        <v>7500</v>
      </c>
      <c r="K219" s="184" t="str">
        <f>IF('Option 1'!K219="","",'Option 1'!K219)</f>
        <v/>
      </c>
      <c r="L219" s="184" t="str">
        <f>IF('Option 1'!L219="","",'Option 1'!L219)</f>
        <v/>
      </c>
      <c r="M219" s="184" t="str">
        <f>IF('Option 1'!M219="","",'Option 1'!M219)</f>
        <v/>
      </c>
      <c r="N219" s="184" t="str">
        <f>IF('Option 1'!N219="","",'Option 1'!N219)</f>
        <v/>
      </c>
      <c r="O219" s="184" t="str">
        <f>IF('Option 1'!O219="","",'Option 1'!O219)</f>
        <v/>
      </c>
      <c r="P219" s="124">
        <f t="shared" si="11"/>
        <v>7500</v>
      </c>
    </row>
    <row r="220" spans="1:16" ht="15.75" customHeight="1" x14ac:dyDescent="0.25">
      <c r="A220" s="239"/>
      <c r="B220" s="4" t="str">
        <f>IF('Option 1'!B220="","",'Option 1'!B220)</f>
        <v/>
      </c>
      <c r="C220" s="188" t="str">
        <f>IF('Option 1'!C220="","",'Option 1'!C220)</f>
        <v>HVAC Units - 1405 B &amp; C Wings</v>
      </c>
      <c r="D220" s="186" t="str">
        <f>IF('Option 1'!D220="","",'Option 1'!D220)</f>
        <v/>
      </c>
      <c r="E220" s="184" t="str">
        <f>IF('Option 1'!E220="","",'Option 1'!E220)</f>
        <v/>
      </c>
      <c r="F220" s="184" t="str">
        <f>IF('Option 1'!F220="","",'Option 1'!F220)</f>
        <v/>
      </c>
      <c r="G220" s="184" t="str">
        <f>IF('Option 1'!G220="","",'Option 1'!G220)</f>
        <v/>
      </c>
      <c r="H220" s="184" t="str">
        <f>IF('Option 1'!H220="","",'Option 1'!H220)</f>
        <v/>
      </c>
      <c r="I220" s="184" t="str">
        <f>IF('Option 1'!I220="","",'Option 1'!I220)</f>
        <v/>
      </c>
      <c r="J220" s="184" t="str">
        <f>IF('Option 1'!J220="","",'Option 1'!J220)</f>
        <v/>
      </c>
      <c r="K220" s="184">
        <f>IF('Option 1'!K220="","",'Option 1'!K220)</f>
        <v>15000</v>
      </c>
      <c r="L220" s="184" t="str">
        <f>IF('Option 1'!L220="","",'Option 1'!L220)</f>
        <v/>
      </c>
      <c r="M220" s="184" t="str">
        <f>IF('Option 1'!M220="","",'Option 1'!M220)</f>
        <v/>
      </c>
      <c r="N220" s="184" t="str">
        <f>IF('Option 1'!N220="","",'Option 1'!N220)</f>
        <v/>
      </c>
      <c r="O220" s="184" t="str">
        <f>IF('Option 1'!O220="","",'Option 1'!O220)</f>
        <v/>
      </c>
      <c r="P220" s="124">
        <f t="shared" si="11"/>
        <v>15000</v>
      </c>
    </row>
    <row r="221" spans="1:16" ht="15.75" customHeight="1" x14ac:dyDescent="0.25">
      <c r="A221" s="239"/>
      <c r="B221" s="4" t="str">
        <f>IF('Option 1'!B221="","",'Option 1'!B221)</f>
        <v/>
      </c>
      <c r="C221" s="188" t="str">
        <f>IF('Option 1'!C221="","",'Option 1'!C221)</f>
        <v>HVAC Units - 1505 A &amp; B, 1415 A, &amp; 1405 A Wings</v>
      </c>
      <c r="D221" s="186" t="str">
        <f>IF('Option 1'!D221="","",'Option 1'!D221)</f>
        <v/>
      </c>
      <c r="E221" s="184" t="str">
        <f>IF('Option 1'!E221="","",'Option 1'!E221)</f>
        <v/>
      </c>
      <c r="F221" s="184" t="str">
        <f>IF('Option 1'!F221="","",'Option 1'!F221)</f>
        <v/>
      </c>
      <c r="G221" s="184" t="str">
        <f>IF('Option 1'!G221="","",'Option 1'!G221)</f>
        <v/>
      </c>
      <c r="H221" s="184" t="str">
        <f>IF('Option 1'!H221="","",'Option 1'!H221)</f>
        <v/>
      </c>
      <c r="I221" s="184" t="str">
        <f>IF('Option 1'!I221="","",'Option 1'!I221)</f>
        <v/>
      </c>
      <c r="J221" s="184" t="str">
        <f>IF('Option 1'!J221="","",'Option 1'!J221)</f>
        <v/>
      </c>
      <c r="K221" s="184" t="str">
        <f>IF('Option 1'!K221="","",'Option 1'!K221)</f>
        <v/>
      </c>
      <c r="L221" s="184">
        <f>IF('Option 1'!L221="","",'Option 1'!L221)</f>
        <v>30000</v>
      </c>
      <c r="M221" s="184" t="str">
        <f>IF('Option 1'!M221="","",'Option 1'!M221)</f>
        <v/>
      </c>
      <c r="N221" s="184" t="str">
        <f>IF('Option 1'!N221="","",'Option 1'!N221)</f>
        <v/>
      </c>
      <c r="O221" s="184" t="str">
        <f>IF('Option 1'!O221="","",'Option 1'!O221)</f>
        <v/>
      </c>
      <c r="P221" s="124">
        <f t="shared" si="11"/>
        <v>30000</v>
      </c>
    </row>
    <row r="222" spans="1:16" ht="15.75" customHeight="1" x14ac:dyDescent="0.25">
      <c r="A222" s="239"/>
      <c r="B222" s="4" t="str">
        <f>IF('Option 1'!B222="","",'Option 1'!B222)</f>
        <v/>
      </c>
      <c r="C222" s="188" t="str">
        <f>IF('Option 1'!C222="","",'Option 1'!C222)</f>
        <v>Boiler Stacks</v>
      </c>
      <c r="D222" s="186">
        <f>IF('Option 1'!D222="","",'Option 1'!D222)</f>
        <v>31480</v>
      </c>
      <c r="E222" s="184" t="str">
        <f>IF('Option 1'!E222="","",'Option 1'!E222)</f>
        <v/>
      </c>
      <c r="F222" s="184" t="str">
        <f>IF('Option 1'!F222="","",'Option 1'!F222)</f>
        <v/>
      </c>
      <c r="G222" s="184" t="str">
        <f>IF('Option 1'!G222="","",'Option 1'!G222)</f>
        <v/>
      </c>
      <c r="H222" s="184" t="str">
        <f>IF('Option 1'!H222="","",'Option 1'!H222)</f>
        <v/>
      </c>
      <c r="I222" s="184" t="str">
        <f>IF('Option 1'!I222="","",'Option 1'!I222)</f>
        <v/>
      </c>
      <c r="J222" s="184" t="str">
        <f>IF('Option 1'!J222="","",'Option 1'!J222)</f>
        <v/>
      </c>
      <c r="K222" s="184" t="str">
        <f>IF('Option 1'!K222="","",'Option 1'!K222)</f>
        <v/>
      </c>
      <c r="L222" s="184" t="str">
        <f>IF('Option 1'!L222="","",'Option 1'!L222)</f>
        <v/>
      </c>
      <c r="M222" s="184" t="str">
        <f>IF('Option 1'!M222="","",'Option 1'!M222)</f>
        <v/>
      </c>
      <c r="N222" s="184" t="str">
        <f>IF('Option 1'!N222="","",'Option 1'!N222)</f>
        <v/>
      </c>
      <c r="O222" s="184" t="str">
        <f>IF('Option 1'!O222="","",'Option 1'!O222)</f>
        <v/>
      </c>
      <c r="P222" s="124">
        <f t="shared" si="11"/>
        <v>31480</v>
      </c>
    </row>
    <row r="223" spans="1:16" ht="15.75" customHeight="1" x14ac:dyDescent="0.25">
      <c r="A223" s="239"/>
      <c r="B223" s="4" t="str">
        <f>IF('Option 1'!B223="","",'Option 1'!B223)</f>
        <v/>
      </c>
      <c r="C223" s="188" t="str">
        <f>IF('Option 1'!C223="","",'Option 1'!C223)</f>
        <v>Boiler Stacks (Bldg. 1415)</v>
      </c>
      <c r="D223" s="186" t="str">
        <f>IF('Option 1'!D223="","",'Option 1'!D223)</f>
        <v/>
      </c>
      <c r="E223" s="184" t="str">
        <f>IF('Option 1'!E223="","",'Option 1'!E223)</f>
        <v/>
      </c>
      <c r="F223" s="184" t="str">
        <f>IF('Option 1'!F223="","",'Option 1'!F223)</f>
        <v/>
      </c>
      <c r="G223" s="184" t="str">
        <f>IF('Option 1'!G223="","",'Option 1'!G223)</f>
        <v/>
      </c>
      <c r="H223" s="184" t="str">
        <f>IF('Option 1'!H223="","",'Option 1'!H223)</f>
        <v/>
      </c>
      <c r="I223" s="184" t="str">
        <f>IF('Option 1'!I223="","",'Option 1'!I223)</f>
        <v/>
      </c>
      <c r="J223" s="184" t="str">
        <f>IF('Option 1'!J223="","",'Option 1'!J223)</f>
        <v/>
      </c>
      <c r="K223" s="184" t="str">
        <f>IF('Option 1'!K223="","",'Option 1'!K223)</f>
        <v/>
      </c>
      <c r="L223" s="184" t="str">
        <f>IF('Option 1'!L223="","",'Option 1'!L223)</f>
        <v/>
      </c>
      <c r="M223" s="184" t="str">
        <f>IF('Option 1'!M223="","",'Option 1'!M223)</f>
        <v/>
      </c>
      <c r="N223" s="184" t="str">
        <f>IF('Option 1'!N223="","",'Option 1'!N223)</f>
        <v/>
      </c>
      <c r="O223" s="184" t="str">
        <f>IF('Option 1'!O223="","",'Option 1'!O223)</f>
        <v/>
      </c>
      <c r="P223" s="124">
        <f t="shared" si="11"/>
        <v>0</v>
      </c>
    </row>
    <row r="224" spans="1:16" ht="15.75" customHeight="1" x14ac:dyDescent="0.25">
      <c r="A224" s="239"/>
      <c r="B224" s="4" t="str">
        <f>IF('Option 1'!B224="","",'Option 1'!B224)</f>
        <v/>
      </c>
      <c r="C224" s="188" t="str">
        <f>IF('Option 1'!C224="","",'Option 1'!C224)</f>
        <v>Hot Water Storage Tanks</v>
      </c>
      <c r="D224" s="186" t="str">
        <f>IF('Option 1'!D224="","",'Option 1'!D224)</f>
        <v/>
      </c>
      <c r="E224" s="184" t="str">
        <f>IF('Option 1'!E224="","",'Option 1'!E224)</f>
        <v/>
      </c>
      <c r="F224" s="184" t="str">
        <f>IF('Option 1'!F224="","",'Option 1'!F224)</f>
        <v/>
      </c>
      <c r="G224" s="184" t="str">
        <f>IF('Option 1'!G224="","",'Option 1'!G224)</f>
        <v/>
      </c>
      <c r="H224" s="184" t="str">
        <f>IF('Option 1'!H224="","",'Option 1'!H224)</f>
        <v/>
      </c>
      <c r="I224" s="184" t="str">
        <f>IF('Option 1'!I224="","",'Option 1'!I224)</f>
        <v/>
      </c>
      <c r="J224" s="184" t="str">
        <f>IF('Option 1'!J224="","",'Option 1'!J224)</f>
        <v/>
      </c>
      <c r="K224" s="184">
        <f>IF('Option 1'!K224="","",'Option 1'!K224)</f>
        <v>148075</v>
      </c>
      <c r="L224" s="184" t="str">
        <f>IF('Option 1'!L224="","",'Option 1'!L224)</f>
        <v/>
      </c>
      <c r="M224" s="184" t="str">
        <f>IF('Option 1'!M224="","",'Option 1'!M224)</f>
        <v/>
      </c>
      <c r="N224" s="184" t="str">
        <f>IF('Option 1'!N224="","",'Option 1'!N224)</f>
        <v/>
      </c>
      <c r="O224" s="184" t="str">
        <f>IF('Option 1'!O224="","",'Option 1'!O224)</f>
        <v/>
      </c>
      <c r="P224" s="124">
        <f t="shared" si="11"/>
        <v>148075</v>
      </c>
    </row>
    <row r="225" spans="1:16" ht="15.75" customHeight="1" x14ac:dyDescent="0.25">
      <c r="A225" s="239"/>
      <c r="B225" s="4" t="str">
        <f>IF('Option 1'!B225="","",'Option 1'!B225)</f>
        <v/>
      </c>
      <c r="C225" s="188" t="str">
        <f>IF('Option 1'!C225="","",'Option 1'!C225)</f>
        <v>Circulating Pumps</v>
      </c>
      <c r="D225" s="186">
        <f>IF('Option 1'!D225="","",'Option 1'!D225)</f>
        <v>29061</v>
      </c>
      <c r="E225" s="184" t="str">
        <f>IF('Option 1'!E225="","",'Option 1'!E225)</f>
        <v/>
      </c>
      <c r="F225" s="184" t="str">
        <f>IF('Option 1'!F225="","",'Option 1'!F225)</f>
        <v/>
      </c>
      <c r="G225" s="184" t="str">
        <f>IF('Option 1'!G225="","",'Option 1'!G225)</f>
        <v/>
      </c>
      <c r="H225" s="184" t="str">
        <f>IF('Option 1'!H225="","",'Option 1'!H225)</f>
        <v/>
      </c>
      <c r="I225" s="184" t="str">
        <f>IF('Option 1'!I225="","",'Option 1'!I225)</f>
        <v/>
      </c>
      <c r="J225" s="184" t="str">
        <f>IF('Option 1'!J225="","",'Option 1'!J225)</f>
        <v/>
      </c>
      <c r="K225" s="184" t="str">
        <f>IF('Option 1'!K225="","",'Option 1'!K225)</f>
        <v/>
      </c>
      <c r="L225" s="184" t="str">
        <f>IF('Option 1'!L225="","",'Option 1'!L225)</f>
        <v/>
      </c>
      <c r="M225" s="184" t="str">
        <f>IF('Option 1'!M225="","",'Option 1'!M225)</f>
        <v/>
      </c>
      <c r="N225" s="184">
        <f>IF('Option 1'!N225="","",'Option 1'!N225)</f>
        <v>29061</v>
      </c>
      <c r="O225" s="184" t="str">
        <f>IF('Option 1'!O225="","",'Option 1'!O225)</f>
        <v/>
      </c>
      <c r="P225" s="124">
        <f t="shared" si="11"/>
        <v>58122</v>
      </c>
    </row>
    <row r="226" spans="1:16" ht="15.75" customHeight="1" x14ac:dyDescent="0.25">
      <c r="A226" s="239"/>
      <c r="B226" s="4" t="str">
        <f>IF('Option 1'!B226="","",'Option 1'!B226)</f>
        <v/>
      </c>
      <c r="C226" s="188" t="str">
        <f>IF('Option 1'!C226="","",'Option 1'!C226)</f>
        <v>Sump Pumps</v>
      </c>
      <c r="D226" s="186" t="str">
        <f>IF('Option 1'!D226="","",'Option 1'!D226)</f>
        <v/>
      </c>
      <c r="E226" s="184" t="str">
        <f>IF('Option 1'!E226="","",'Option 1'!E226)</f>
        <v/>
      </c>
      <c r="F226" s="184" t="str">
        <f>IF('Option 1'!F226="","",'Option 1'!F226)</f>
        <v/>
      </c>
      <c r="G226" s="184" t="str">
        <f>IF('Option 1'!G226="","",'Option 1'!G226)</f>
        <v/>
      </c>
      <c r="H226" s="184">
        <f>IF('Option 1'!H226="","",'Option 1'!H226)</f>
        <v>59507</v>
      </c>
      <c r="I226" s="184" t="str">
        <f>IF('Option 1'!I226="","",'Option 1'!I226)</f>
        <v/>
      </c>
      <c r="J226" s="184" t="str">
        <f>IF('Option 1'!J226="","",'Option 1'!J226)</f>
        <v/>
      </c>
      <c r="K226" s="184" t="str">
        <f>IF('Option 1'!K226="","",'Option 1'!K226)</f>
        <v/>
      </c>
      <c r="L226" s="184" t="str">
        <f>IF('Option 1'!L226="","",'Option 1'!L226)</f>
        <v/>
      </c>
      <c r="M226" s="184" t="str">
        <f>IF('Option 1'!M226="","",'Option 1'!M226)</f>
        <v/>
      </c>
      <c r="N226" s="184" t="str">
        <f>IF('Option 1'!N226="","",'Option 1'!N226)</f>
        <v/>
      </c>
      <c r="O226" s="184" t="str">
        <f>IF('Option 1'!O226="","",'Option 1'!O226)</f>
        <v/>
      </c>
      <c r="P226" s="124">
        <f t="shared" si="11"/>
        <v>59507</v>
      </c>
    </row>
    <row r="227" spans="1:16" ht="15.75" customHeight="1" x14ac:dyDescent="0.25">
      <c r="A227" s="239"/>
      <c r="B227" s="4" t="str">
        <f>IF('Option 1'!B227="","",'Option 1'!B227)</f>
        <v/>
      </c>
      <c r="C227" s="188" t="str">
        <f>IF('Option 1'!C227="","",'Option 1'!C227)</f>
        <v>Garage Exhaust Fans</v>
      </c>
      <c r="D227" s="186" t="str">
        <f>IF('Option 1'!D227="","",'Option 1'!D227)</f>
        <v/>
      </c>
      <c r="E227" s="184" t="str">
        <f>IF('Option 1'!E227="","",'Option 1'!E227)</f>
        <v/>
      </c>
      <c r="F227" s="184" t="str">
        <f>IF('Option 1'!F227="","",'Option 1'!F227)</f>
        <v/>
      </c>
      <c r="G227" s="184" t="str">
        <f>IF('Option 1'!G227="","",'Option 1'!G227)</f>
        <v/>
      </c>
      <c r="H227" s="184" t="str">
        <f>IF('Option 1'!H227="","",'Option 1'!H227)</f>
        <v/>
      </c>
      <c r="I227" s="184" t="str">
        <f>IF('Option 1'!I227="","",'Option 1'!I227)</f>
        <v/>
      </c>
      <c r="J227" s="184">
        <f>IF('Option 1'!J227="","",'Option 1'!J227)</f>
        <v>60891</v>
      </c>
      <c r="K227" s="184" t="str">
        <f>IF('Option 1'!K227="","",'Option 1'!K227)</f>
        <v/>
      </c>
      <c r="L227" s="184" t="str">
        <f>IF('Option 1'!L227="","",'Option 1'!L227)</f>
        <v/>
      </c>
      <c r="M227" s="184" t="str">
        <f>IF('Option 1'!M227="","",'Option 1'!M227)</f>
        <v/>
      </c>
      <c r="N227" s="184" t="str">
        <f>IF('Option 1'!N227="","",'Option 1'!N227)</f>
        <v/>
      </c>
      <c r="O227" s="184" t="str">
        <f>IF('Option 1'!O227="","",'Option 1'!O227)</f>
        <v/>
      </c>
      <c r="P227" s="124">
        <f t="shared" si="11"/>
        <v>60891</v>
      </c>
    </row>
    <row r="228" spans="1:16" ht="15.75" customHeight="1" x14ac:dyDescent="0.25">
      <c r="A228" s="239"/>
      <c r="B228" s="4" t="str">
        <f>IF('Option 1'!B228="","",'Option 1'!B228)</f>
        <v/>
      </c>
      <c r="C228" s="188" t="str">
        <f>IF('Option 1'!C228="","",'Option 1'!C228)</f>
        <v>Emergency Generators</v>
      </c>
      <c r="D228" s="186" t="str">
        <f>IF('Option 1'!D228="","",'Option 1'!D228)</f>
        <v/>
      </c>
      <c r="E228" s="184" t="str">
        <f>IF('Option 1'!E228="","",'Option 1'!E228)</f>
        <v/>
      </c>
      <c r="F228" s="184" t="str">
        <f>IF('Option 1'!F228="","",'Option 1'!F228)</f>
        <v/>
      </c>
      <c r="G228" s="184" t="str">
        <f>IF('Option 1'!G228="","",'Option 1'!G228)</f>
        <v/>
      </c>
      <c r="H228" s="184" t="str">
        <f>IF('Option 1'!H228="","",'Option 1'!H228)</f>
        <v/>
      </c>
      <c r="I228" s="184" t="str">
        <f>IF('Option 1'!I228="","",'Option 1'!I228)</f>
        <v/>
      </c>
      <c r="J228" s="184" t="str">
        <f>IF('Option 1'!J228="","",'Option 1'!J228)</f>
        <v/>
      </c>
      <c r="K228" s="184" t="str">
        <f>IF('Option 1'!K228="","",'Option 1'!K228)</f>
        <v/>
      </c>
      <c r="L228" s="184" t="str">
        <f>IF('Option 1'!L228="","",'Option 1'!L228)</f>
        <v/>
      </c>
      <c r="M228" s="184" t="str">
        <f>IF('Option 1'!M228="","",'Option 1'!M228)</f>
        <v/>
      </c>
      <c r="N228" s="184" t="str">
        <f>IF('Option 1'!N228="","",'Option 1'!N228)</f>
        <v/>
      </c>
      <c r="O228" s="184" t="str">
        <f>IF('Option 1'!O228="","",'Option 1'!O228)</f>
        <v/>
      </c>
      <c r="P228" s="124">
        <f t="shared" si="11"/>
        <v>0</v>
      </c>
    </row>
    <row r="229" spans="1:16" ht="15.75" customHeight="1" x14ac:dyDescent="0.25">
      <c r="A229" s="239"/>
      <c r="B229" s="4" t="str">
        <f>IF('Option 1'!B229="","",'Option 1'!B229)</f>
        <v/>
      </c>
      <c r="C229" s="188" t="str">
        <f>IF('Option 1'!C229="","",'Option 1'!C229)</f>
        <v>Fire Pumps/Fire Protection</v>
      </c>
      <c r="D229" s="186" t="str">
        <f>IF('Option 1'!D229="","",'Option 1'!D229)</f>
        <v/>
      </c>
      <c r="E229" s="184" t="str">
        <f>IF('Option 1'!E229="","",'Option 1'!E229)</f>
        <v/>
      </c>
      <c r="F229" s="184" t="str">
        <f>IF('Option 1'!F229="","",'Option 1'!F229)</f>
        <v/>
      </c>
      <c r="G229" s="184" t="str">
        <f>IF('Option 1'!G229="","",'Option 1'!G229)</f>
        <v/>
      </c>
      <c r="H229" s="184" t="str">
        <f>IF('Option 1'!H229="","",'Option 1'!H229)</f>
        <v/>
      </c>
      <c r="I229" s="184" t="str">
        <f>IF('Option 1'!I229="","",'Option 1'!I229)</f>
        <v/>
      </c>
      <c r="J229" s="184" t="str">
        <f>IF('Option 1'!J229="","",'Option 1'!J229)</f>
        <v/>
      </c>
      <c r="K229" s="184" t="str">
        <f>IF('Option 1'!K229="","",'Option 1'!K229)</f>
        <v/>
      </c>
      <c r="L229" s="184" t="str">
        <f>IF('Option 1'!L229="","",'Option 1'!L229)</f>
        <v/>
      </c>
      <c r="M229" s="184" t="str">
        <f>IF('Option 1'!M229="","",'Option 1'!M229)</f>
        <v/>
      </c>
      <c r="N229" s="184" t="str">
        <f>IF('Option 1'!N229="","",'Option 1'!N229)</f>
        <v/>
      </c>
      <c r="O229" s="184" t="str">
        <f>IF('Option 1'!O229="","",'Option 1'!O229)</f>
        <v/>
      </c>
      <c r="P229" s="124">
        <f t="shared" si="11"/>
        <v>0</v>
      </c>
    </row>
    <row r="230" spans="1:16" ht="15.75" customHeight="1" x14ac:dyDescent="0.25">
      <c r="A230" s="239"/>
      <c r="B230" s="4" t="str">
        <f>IF('Option 1'!B230="","",'Option 1'!B230)</f>
        <v/>
      </c>
      <c r="C230" s="188" t="str">
        <f>IF('Option 1'!C230="","",'Option 1'!C230)</f>
        <v/>
      </c>
      <c r="D230" s="186" t="str">
        <f>IF('Option 1'!D230="","",'Option 1'!D230)</f>
        <v/>
      </c>
      <c r="E230" s="184" t="str">
        <f>IF('Option 1'!E230="","",'Option 1'!E230)</f>
        <v/>
      </c>
      <c r="F230" s="184" t="str">
        <f>IF('Option 1'!F230="","",'Option 1'!F230)</f>
        <v/>
      </c>
      <c r="G230" s="184" t="str">
        <f>IF('Option 1'!G230="","",'Option 1'!G230)</f>
        <v/>
      </c>
      <c r="H230" s="184" t="str">
        <f>IF('Option 1'!H230="","",'Option 1'!H230)</f>
        <v/>
      </c>
      <c r="I230" s="184" t="str">
        <f>IF('Option 1'!I230="","",'Option 1'!I230)</f>
        <v/>
      </c>
      <c r="J230" s="184" t="str">
        <f>IF('Option 1'!J230="","",'Option 1'!J230)</f>
        <v/>
      </c>
      <c r="K230" s="184" t="str">
        <f>IF('Option 1'!K230="","",'Option 1'!K230)</f>
        <v/>
      </c>
      <c r="L230" s="184" t="str">
        <f>IF('Option 1'!L230="","",'Option 1'!L230)</f>
        <v/>
      </c>
      <c r="M230" s="184" t="str">
        <f>IF('Option 1'!M230="","",'Option 1'!M230)</f>
        <v/>
      </c>
      <c r="N230" s="184" t="str">
        <f>IF('Option 1'!N230="","",'Option 1'!N230)</f>
        <v/>
      </c>
      <c r="O230" s="184" t="str">
        <f>IF('Option 1'!O230="","",'Option 1'!O230)</f>
        <v/>
      </c>
      <c r="P230" s="124">
        <f t="shared" ref="P230:P233" si="12">IF(SUM(D230:O230)=0,0,SUM(D230:O230))</f>
        <v>0</v>
      </c>
    </row>
    <row r="231" spans="1:16" ht="15.75" customHeight="1" x14ac:dyDescent="0.25">
      <c r="A231" s="239"/>
      <c r="B231" s="4" t="str">
        <f>IF('Option 1'!B231="","",'Option 1'!B231)</f>
        <v/>
      </c>
      <c r="C231" s="213" t="str">
        <f>IF('Option 1'!C231="","",'Option 1'!C231)</f>
        <v>Existing Loan Payoff - 274925</v>
      </c>
      <c r="D231" s="186">
        <f>IF('Option 1'!D231="","",'Option 1'!D231)</f>
        <v>274925</v>
      </c>
      <c r="E231" s="184" t="str">
        <f>IF('Option 1'!E231="","",'Option 1'!E231)</f>
        <v/>
      </c>
      <c r="F231" s="184" t="str">
        <f>IF('Option 1'!F231="","",'Option 1'!F231)</f>
        <v/>
      </c>
      <c r="G231" s="184" t="str">
        <f>IF('Option 1'!G231="","",'Option 1'!G231)</f>
        <v/>
      </c>
      <c r="H231" s="184" t="str">
        <f>IF('Option 1'!H231="","",'Option 1'!H231)</f>
        <v/>
      </c>
      <c r="I231" s="184" t="str">
        <f>IF('Option 1'!I231="","",'Option 1'!I231)</f>
        <v/>
      </c>
      <c r="J231" s="184" t="str">
        <f>IF('Option 1'!J231="","",'Option 1'!J231)</f>
        <v/>
      </c>
      <c r="K231" s="184" t="str">
        <f>IF('Option 1'!K231="","",'Option 1'!K231)</f>
        <v/>
      </c>
      <c r="L231" s="184" t="str">
        <f>IF('Option 1'!L231="","",'Option 1'!L231)</f>
        <v/>
      </c>
      <c r="M231" s="184" t="str">
        <f>IF('Option 1'!M231="","",'Option 1'!M231)</f>
        <v/>
      </c>
      <c r="N231" s="184" t="str">
        <f>IF('Option 1'!N231="","",'Option 1'!N231)</f>
        <v/>
      </c>
      <c r="O231" s="184" t="str">
        <f>IF('Option 1'!O231="","",'Option 1'!O231)</f>
        <v/>
      </c>
      <c r="P231" s="124">
        <f t="shared" si="12"/>
        <v>274925</v>
      </c>
    </row>
    <row r="232" spans="1:16" ht="15.75" customHeight="1" x14ac:dyDescent="0.25">
      <c r="A232" s="239"/>
      <c r="B232" s="4" t="str">
        <f>IF('Option 1'!B232="","",'Option 1'!B232)</f>
        <v/>
      </c>
      <c r="C232" s="4" t="str">
        <f>IF('Option 1'!C232="","",'Option 1'!C232)</f>
        <v>Existing Loan</v>
      </c>
      <c r="D232" s="58">
        <f>IF('Option 1'!D232="","",'Option 1'!D232)</f>
        <v>46220</v>
      </c>
      <c r="E232" s="184" t="str">
        <f>IF('Option 1'!E232="","",'Option 1'!E232)</f>
        <v/>
      </c>
      <c r="F232" s="184" t="str">
        <f>IF('Option 1'!F232="","",'Option 1'!F232)</f>
        <v/>
      </c>
      <c r="G232" s="184" t="str">
        <f>IF('Option 1'!G232="","",'Option 1'!G232)</f>
        <v/>
      </c>
      <c r="H232" s="184" t="str">
        <f>IF('Option 1'!H232="","",'Option 1'!H232)</f>
        <v/>
      </c>
      <c r="I232" s="184" t="str">
        <f>IF('Option 1'!I232="","",'Option 1'!I232)</f>
        <v/>
      </c>
      <c r="J232" s="184" t="str">
        <f>IF('Option 1'!J232="","",'Option 1'!J232)</f>
        <v/>
      </c>
      <c r="K232" s="184" t="str">
        <f>IF('Option 1'!K232="","",'Option 1'!K232)</f>
        <v/>
      </c>
      <c r="L232" s="184" t="str">
        <f>IF('Option 1'!L232="","",'Option 1'!L232)</f>
        <v/>
      </c>
      <c r="M232" s="184" t="str">
        <f>IF('Option 1'!M232="","",'Option 1'!M232)</f>
        <v/>
      </c>
      <c r="N232" s="184" t="str">
        <f>IF('Option 1'!N232="","",'Option 1'!N232)</f>
        <v/>
      </c>
      <c r="O232" s="184" t="str">
        <f>IF('Option 1'!O232="","",'Option 1'!O232)</f>
        <v/>
      </c>
      <c r="P232" s="124">
        <f t="shared" si="12"/>
        <v>46220</v>
      </c>
    </row>
    <row r="233" spans="1:16" ht="15.75" customHeight="1" x14ac:dyDescent="0.25">
      <c r="A233" s="239"/>
      <c r="B233" s="4" t="str">
        <f>IF('Option 1'!B233="","",'Option 1'!B233)</f>
        <v/>
      </c>
      <c r="C233" s="188" t="str">
        <f>IF('Option 1'!C233="","",'Option 1'!C233)</f>
        <v/>
      </c>
      <c r="D233" s="186" t="str">
        <f>IF('Option 1'!D233="","",'Option 1'!D233)</f>
        <v/>
      </c>
      <c r="E233" s="184" t="str">
        <f>IF('Option 1'!E233="","",'Option 1'!E233)</f>
        <v/>
      </c>
      <c r="F233" s="184" t="str">
        <f>IF('Option 1'!F233="","",'Option 1'!F233)</f>
        <v/>
      </c>
      <c r="G233" s="184" t="str">
        <f>IF('Option 1'!G233="","",'Option 1'!G233)</f>
        <v/>
      </c>
      <c r="H233" s="184" t="str">
        <f>IF('Option 1'!H233="","",'Option 1'!H233)</f>
        <v/>
      </c>
      <c r="I233" s="184" t="str">
        <f>IF('Option 1'!I233="","",'Option 1'!I233)</f>
        <v/>
      </c>
      <c r="J233" s="184" t="str">
        <f>IF('Option 1'!J233="","",'Option 1'!J233)</f>
        <v/>
      </c>
      <c r="K233" s="184" t="str">
        <f>IF('Option 1'!K233="","",'Option 1'!K233)</f>
        <v/>
      </c>
      <c r="L233" s="184" t="str">
        <f>IF('Option 1'!L233="","",'Option 1'!L233)</f>
        <v/>
      </c>
      <c r="M233" s="184" t="str">
        <f>IF('Option 1'!M233="","",'Option 1'!M233)</f>
        <v/>
      </c>
      <c r="N233" s="184" t="str">
        <f>IF('Option 1'!N233="","",'Option 1'!N233)</f>
        <v/>
      </c>
      <c r="O233" s="184" t="str">
        <f>IF('Option 1'!O233="","",'Option 1'!O233)</f>
        <v/>
      </c>
      <c r="P233" s="124">
        <f t="shared" si="12"/>
        <v>0</v>
      </c>
    </row>
    <row r="234" spans="1:16" ht="15.75" customHeight="1" x14ac:dyDescent="0.25">
      <c r="A234" s="239"/>
      <c r="B234" s="4" t="str">
        <f>IF('Option 1'!B234="","",'Option 1'!B234)</f>
        <v/>
      </c>
      <c r="C234" s="209" t="str">
        <f>IF('Option 1'!C234="","",'Option 1'!C234)</f>
        <v/>
      </c>
      <c r="D234" s="159" t="str">
        <f>IF('Option 1'!D234="","",'Option 1'!D234)</f>
        <v/>
      </c>
      <c r="E234" s="175" t="str">
        <f>IF('Option 1'!E234="","",'Option 1'!E234)</f>
        <v/>
      </c>
      <c r="F234" s="59" t="str">
        <f>IF('Option 1'!F234="","",'Option 1'!F234)</f>
        <v/>
      </c>
      <c r="G234" s="59" t="str">
        <f>IF('Option 1'!G234="","",'Option 1'!G234)</f>
        <v/>
      </c>
      <c r="H234" s="59" t="str">
        <f>IF('Option 1'!H234="","",'Option 1'!H234)</f>
        <v/>
      </c>
      <c r="I234" s="59" t="str">
        <f>IF('Option 1'!I234="","",'Option 1'!I234)</f>
        <v/>
      </c>
      <c r="J234" s="59" t="str">
        <f>IF('Option 1'!J234="","",'Option 1'!J234)</f>
        <v/>
      </c>
      <c r="K234" s="59" t="str">
        <f>IF('Option 1'!K234="","",'Option 1'!K234)</f>
        <v/>
      </c>
      <c r="L234" s="59" t="str">
        <f>IF('Option 1'!L234="","",'Option 1'!L234)</f>
        <v/>
      </c>
      <c r="M234" s="59" t="str">
        <f>IF('Option 1'!M234="","",'Option 1'!M234)</f>
        <v/>
      </c>
      <c r="N234" s="59" t="str">
        <f>IF('Option 1'!N234="","",'Option 1'!N234)</f>
        <v/>
      </c>
      <c r="O234" s="59" t="str">
        <f>IF('Option 1'!O234="","",'Option 1'!O234)</f>
        <v/>
      </c>
      <c r="P234" s="124">
        <f t="shared" si="11"/>
        <v>0</v>
      </c>
    </row>
    <row r="235" spans="1:16" ht="15.75" customHeight="1" x14ac:dyDescent="0.25">
      <c r="A235" s="239"/>
      <c r="B235" s="4"/>
      <c r="C235" s="4"/>
      <c r="D235" s="159"/>
      <c r="E235" s="176"/>
      <c r="F235" s="59"/>
      <c r="G235" s="59"/>
      <c r="H235" s="59"/>
      <c r="I235" s="59"/>
      <c r="J235" s="59"/>
      <c r="K235" s="59"/>
      <c r="L235" s="59"/>
      <c r="M235" s="59"/>
      <c r="N235" s="59"/>
      <c r="O235" s="59"/>
      <c r="P235" s="124">
        <f t="shared" ref="P235:P244" si="13">IF(SUM(D235:O235)=0,0,SUM(D235:O235))</f>
        <v>0</v>
      </c>
    </row>
    <row r="236" spans="1:16" ht="15.75" customHeight="1" x14ac:dyDescent="0.25">
      <c r="A236" s="239"/>
      <c r="B236" s="4"/>
      <c r="C236" s="4" t="s">
        <v>33</v>
      </c>
      <c r="D236" s="58">
        <f>IF(Assumptions!$E$21=0,0,IF(YEAR(Assumptions!E22)&gt;Assumptions!D7,0,IF(ISERROR(IF((Assumptions!$D$13*1.75*Assumptions!$E$24*12)&gt;1000,(Assumptions!$D$13*1.75*Assumptions!$E$24*12)/2+((((Assumptions!$D$13*1.75*Assumptions!$E$24*12)/2)/(Assumptions!$E$24*12))*Calc!$B$87),1000)),0,IF((Assumptions!$D$13*1.75*Assumptions!$E$24*12)&gt;1000,(Assumptions!$D$13*1.75*Assumptions!$E$24*12)/2+((((Assumptions!$D$13*1.75*Assumptions!$E$24*12)/2)/(Assumptions!$E$24*12))*Calc!$B$87),1000))))</f>
        <v>0</v>
      </c>
      <c r="E236" s="58">
        <f>IF(Assumptions!$E$21=0,0,IF(D236=0,IF(ISERROR(IF((Assumptions!$D$13*1.75*Assumptions!$E$24*12)&gt;1000,(Assumptions!$D$13*1.75*Assumptions!$E$24*12)/2+((((Assumptions!$D$13*1.75*Assumptions!$E$24*12)/2)/(Assumptions!$E$24*12))*Calc!$B$87),1000)),0,IF((Assumptions!$D$13*1.75*Assumptions!$E$24*12)&gt;1000,(Assumptions!$D$13*1.75*Assumptions!$E$24*12)/2+((((Assumptions!$D$13*1.75*Assumptions!$E$24*12)/2)/(Assumptions!$E$24*12))*Calc!$B$87),1000))+IF(ISERROR(((((Assumptions!$D$13*1.75*Assumptions!$E$24*12)/2)/(Assumptions!$E$24*12))*Calc!C87)),0,((((Assumptions!$D$13*1.75*Assumptions!$E$24*12)/2)/(Assumptions!$E$24*12))*Calc!C87)),IF(ISERROR(((((Assumptions!$D$13*1.75*Assumptions!$E$24*12)/2)/(Assumptions!$E$24*12))*Calc!C87)),0,((((Assumptions!$D$13*1.75*Assumptions!$E$24*12)/2)/(Assumptions!$E$24*12))*Calc!C87))))</f>
        <v>57634.5</v>
      </c>
      <c r="F236" s="58">
        <f>IF(Assumptions!$E$21=0,0,IF(ISERROR(((((Assumptions!$D$13*1.75*Assumptions!$E$24*12)/2)/(Assumptions!$E$24*12))*Calc!D87)),0,((((Assumptions!$D$13*1.75*Assumptions!$E$24*12)/2)/(Assumptions!$E$24*12))*Calc!D87)))</f>
        <v>5239.5</v>
      </c>
      <c r="G236" s="58">
        <f>IF(Assumptions!$E$21=0,0,IF(ISERROR(((((Assumptions!$D$13*1.75*Assumptions!$E$24*12)/2)/(Assumptions!$E$24*12))*Calc!E87)),0,((((Assumptions!$D$13*1.75*Assumptions!$E$24*12)/2)/(Assumptions!$E$24*12))*Calc!E87)))</f>
        <v>5239.5</v>
      </c>
      <c r="H236" s="58">
        <f>IF(Assumptions!$E$21=0,0,IF(ISERROR(((((Assumptions!$D$13*1.75*Assumptions!$E$24*12)/2)/(Assumptions!$E$24*12))*Calc!F87)),0,((((Assumptions!$D$13*1.75*Assumptions!$E$24*12)/2)/(Assumptions!$E$24*12))*Calc!F87)))</f>
        <v>5239.5</v>
      </c>
      <c r="I236" s="58">
        <f>IF(Assumptions!$E$21=0,0,IF(ISERROR(((((Assumptions!$D$13*1.75*Assumptions!$E$24*12)/2)/(Assumptions!$E$24*12))*Calc!G87)),0,((((Assumptions!$D$13*1.75*Assumptions!$E$24*12)/2)/(Assumptions!$E$24*12))*Calc!G87)))</f>
        <v>5239.5</v>
      </c>
      <c r="J236" s="58">
        <f>IF(Assumptions!$E$21=0,0,IF(ISERROR(((((Assumptions!$D$13*1.75*Assumptions!$E$24*12)/2)/(Assumptions!$E$24*12))*Calc!H87)),0,((((Assumptions!$D$13*1.75*Assumptions!$E$24*12)/2)/(Assumptions!$E$24*12))*Calc!H87)))</f>
        <v>5239.5</v>
      </c>
      <c r="K236" s="58">
        <f>IF(Assumptions!$E$21=0,0,IF(ISERROR(((((Assumptions!$D$13*1.75*Assumptions!$E$24*12)/2)/(Assumptions!$E$24*12))*Calc!I87)),0,((((Assumptions!$D$13*1.75*Assumptions!$E$24*12)/2)/(Assumptions!$E$24*12))*Calc!I87)))</f>
        <v>5239.5</v>
      </c>
      <c r="L236" s="58">
        <f>IF(Assumptions!$E$21=0,0,IF(ISERROR(((((Assumptions!$D$13*1.75*Assumptions!$E$24*12)/2)/(Assumptions!$E$24*12))*Calc!J87)),0,((((Assumptions!$D$13*1.75*Assumptions!$E$24*12)/2)/(Assumptions!$E$24*12))*Calc!J87)))</f>
        <v>5239.5</v>
      </c>
      <c r="M236" s="58">
        <f>IF(Assumptions!$E$21=0,0,IF(ISERROR(((((Assumptions!$D$13*1.75*Assumptions!$E$24*12)/2)/(Assumptions!$E$24*12))*Calc!K87)),0,((((Assumptions!$D$13*1.75*Assumptions!$E$24*12)/2)/(Assumptions!$E$24*12))*Calc!K87)))</f>
        <v>5239.5</v>
      </c>
      <c r="N236" s="58">
        <f>IF(Assumptions!$E$21=0,0,IF(ISERROR(((((Assumptions!$D$13*1.75*Assumptions!$E$24*12)/2)/(Assumptions!$E$24*12))*Calc!L87)),0,((((Assumptions!$D$13*1.75*Assumptions!$E$24*12)/2)/(Assumptions!$E$24*12))*Calc!L87)))</f>
        <v>5239.5</v>
      </c>
      <c r="O236" s="58">
        <f>IF(Assumptions!$E$21=0,0,IF(ISERROR(((((Assumptions!$D$13*1.75*Assumptions!$E$24*12)/2)/(Assumptions!$E$24*12))*Calc!M87)),0,((((Assumptions!$D$13*1.75*Assumptions!$E$24*12)/2)/(Assumptions!$E$24*12))*Calc!M87)))</f>
        <v>0</v>
      </c>
      <c r="P236" s="124">
        <f t="shared" si="13"/>
        <v>104790</v>
      </c>
    </row>
    <row r="237" spans="1:16" ht="15.75" customHeight="1" x14ac:dyDescent="0.25">
      <c r="A237" s="239"/>
      <c r="B237" s="4"/>
      <c r="C237" s="4"/>
      <c r="D237" s="58"/>
      <c r="E237" s="59"/>
      <c r="F237" s="59"/>
      <c r="G237" s="59"/>
      <c r="H237" s="59"/>
      <c r="I237" s="59"/>
      <c r="J237" s="59"/>
      <c r="K237" s="59"/>
      <c r="L237" s="59"/>
      <c r="M237" s="59"/>
      <c r="N237" s="59"/>
      <c r="O237" s="59"/>
      <c r="P237" s="124">
        <f t="shared" si="13"/>
        <v>0</v>
      </c>
    </row>
    <row r="238" spans="1:16" ht="15.75" x14ac:dyDescent="0.25">
      <c r="A238" s="239"/>
      <c r="B238" s="4"/>
      <c r="C238" s="4"/>
      <c r="D238" s="58"/>
      <c r="E238" s="58"/>
      <c r="F238" s="59"/>
      <c r="G238" s="59"/>
      <c r="H238" s="59"/>
      <c r="I238" s="59"/>
      <c r="J238" s="59"/>
      <c r="K238" s="59"/>
      <c r="L238" s="59"/>
      <c r="M238" s="59"/>
      <c r="N238" s="59"/>
      <c r="O238" s="59"/>
      <c r="P238" s="124">
        <f t="shared" ref="P238" si="14">IF(SUM(D238:O238)=0,0,SUM(D238:O238))</f>
        <v>0</v>
      </c>
    </row>
    <row r="239" spans="1:16" ht="15.75" customHeight="1" x14ac:dyDescent="0.25">
      <c r="A239" s="239"/>
      <c r="B239" s="4" t="s">
        <v>13</v>
      </c>
      <c r="C239" s="4" t="s">
        <v>30</v>
      </c>
      <c r="D239" s="58">
        <f>IF(Assumptions!$E$30=0,IF(ISERROR(-CUMIPMT(0.00000000001/12,Assumptions!$E$36*12,Assumptions!$E$30,D20,D21,0)),0,-CUMIPMT(0.00000000001/12,Assumptions!$E$36*12,Assumptions!$E$30,D20,D21,0)),IF(ISERROR(-CUMIPMT(Assumptions!$E$33/12,Assumptions!$E$36*12,Assumptions!$E$30,D20,D21,0)),0,-CUMIPMT(Assumptions!$E$33/12,Assumptions!$E$36*12,Assumptions!$E$30,D20,D21,0)))</f>
        <v>0</v>
      </c>
      <c r="E239" s="58">
        <f>IF(Assumptions!$E$30=0,IF(ISERROR(-CUMIPMT(0.00000000001/12,Assumptions!$E$36*12,Assumptions!$E$30,E20,E21,0)),0,-CUMIPMT(0.00000000001/12,Assumptions!$E$36*12,Assumptions!$E$30,E20,E21,0)),IF(ISERROR(-CUMIPMT(Assumptions!$E$33/12,Assumptions!$E$36*12,Assumptions!$E$30,E20,E21,0)),0,-CUMIPMT(Assumptions!$E$33/12,Assumptions!$E$36*12,Assumptions!$E$30,E20,E21,0)))</f>
        <v>0</v>
      </c>
      <c r="F239" s="58">
        <f>IF(Assumptions!$E$30=0,IF(ISERROR(-CUMIPMT(0.00000000001/12,Assumptions!$E$36*12,Assumptions!$E$30,F20,F21,0)),0,-CUMIPMT(0.00000000001/12,Assumptions!$E$36*12,Assumptions!$E$30,F20,F21,0)),IF(ISERROR(-CUMIPMT(Assumptions!$E$33/12,Assumptions!$E$36*12,Assumptions!$E$30,F20,F21,0)),0,-CUMIPMT(Assumptions!$E$33/12,Assumptions!$E$36*12,Assumptions!$E$30,F20,F21,0)))</f>
        <v>0</v>
      </c>
      <c r="G239" s="58">
        <f>IF(Assumptions!$E$30=0,IF(ISERROR(-CUMIPMT(0.00000000001/12,Assumptions!$E$36*12,Assumptions!$E$30,G20,G21,0)),0,-CUMIPMT(0.00000000001/12,Assumptions!$E$36*12,Assumptions!$E$30,G20,G21,0)),IF(ISERROR(-CUMIPMT(Assumptions!$E$33/12,Assumptions!$E$36*12,Assumptions!$E$30,G20,G21,0)),0,-CUMIPMT(Assumptions!$E$33/12,Assumptions!$E$36*12,Assumptions!$E$30,G20,G21,0)))</f>
        <v>0</v>
      </c>
      <c r="H239" s="58">
        <f>IF(Assumptions!$E$30=0,IF(ISERROR(-CUMIPMT(0.00000000001/12,Assumptions!$E$36*12,Assumptions!$E$30,H20,H21,0)),0,-CUMIPMT(0.00000000001/12,Assumptions!$E$36*12,Assumptions!$E$30,H20,H21,0)),IF(ISERROR(-CUMIPMT(Assumptions!$E$33/12,Assumptions!$E$36*12,Assumptions!$E$30,H20,H21,0)),0,-CUMIPMT(Assumptions!$E$33/12,Assumptions!$E$36*12,Assumptions!$E$30,H20,H21,0)))</f>
        <v>0</v>
      </c>
      <c r="I239" s="58">
        <f>IF(Assumptions!$E$30=0,IF(ISERROR(-CUMIPMT(0.00000000001/12,Assumptions!$E$36*12,Assumptions!$E$30,I20,I21,0)),0,-CUMIPMT(0.00000000001/12,Assumptions!$E$36*12,Assumptions!$E$30,I20,I21,0)),IF(ISERROR(-CUMIPMT(Assumptions!$E$33/12,Assumptions!$E$36*12,Assumptions!$E$30,I20,I21,0)),0,-CUMIPMT(Assumptions!$E$33/12,Assumptions!$E$36*12,Assumptions!$E$30,I20,I21,0)))</f>
        <v>0</v>
      </c>
      <c r="J239" s="58">
        <f>IF(Assumptions!$E$30=0,IF(ISERROR(-CUMIPMT(0.00000000001/12,Assumptions!$E$36*12,Assumptions!$E$30,J20,J21,0)),0,-CUMIPMT(0.00000000001/12,Assumptions!$E$36*12,Assumptions!$E$30,J20,J21,0)),IF(ISERROR(-CUMIPMT(Assumptions!$E$33/12,Assumptions!$E$36*12,Assumptions!$E$30,J20,J21,0)),0,-CUMIPMT(Assumptions!$E$33/12,Assumptions!$E$36*12,Assumptions!$E$30,J20,J21,0)))</f>
        <v>61028.439776164829</v>
      </c>
      <c r="K239" s="58">
        <f>IF(Assumptions!$E$30=0,IF(ISERROR(-CUMIPMT(0.00000000001/12,Assumptions!$E$36*12,Assumptions!$E$30,K20,K21,0)),0,-CUMIPMT(0.00000000001/12,Assumptions!$E$36*12,Assumptions!$E$30,K20,K21,0)),IF(ISERROR(-CUMIPMT(Assumptions!$E$33/12,Assumptions!$E$36*12,Assumptions!$E$30,K20,K21,0)),0,-CUMIPMT(Assumptions!$E$33/12,Assumptions!$E$36*12,Assumptions!$E$30,K20,K21,0)))</f>
        <v>45898.601469542802</v>
      </c>
      <c r="L239" s="58">
        <f>IF(Assumptions!$E$30=0,IF(ISERROR(-CUMIPMT(0.00000000001/12,Assumptions!$E$36*12,Assumptions!$E$30,L20,L21,0)),0,-CUMIPMT(0.00000000001/12,Assumptions!$E$36*12,Assumptions!$E$30,L20,L21,0)),IF(ISERROR(-CUMIPMT(Assumptions!$E$33/12,Assumptions!$E$36*12,Assumptions!$E$30,L20,L21,0)),0,-CUMIPMT(Assumptions!$E$33/12,Assumptions!$E$36*12,Assumptions!$E$30,L20,L21,0)))</f>
        <v>29512.994045393774</v>
      </c>
      <c r="M239" s="58">
        <f>IF(Assumptions!$E$30=0,IF(ISERROR(-CUMIPMT(0.00000000001/12,Assumptions!$E$36*12,Assumptions!$E$30,M20,M21,0)),0,-CUMIPMT(0.00000000001/12,Assumptions!$E$36*12,Assumptions!$E$30,M20,M21,0)),IF(ISERROR(-CUMIPMT(Assumptions!$E$33/12,Assumptions!$E$36*12,Assumptions!$E$30,M20,M21,0)),0,-CUMIPMT(Assumptions!$E$33/12,Assumptions!$E$36*12,Assumptions!$E$30,M20,M21,0)))</f>
        <v>11767.389286298916</v>
      </c>
      <c r="N239" s="58">
        <f>IF(Assumptions!$E$30=0,IF(ISERROR(-CUMIPMT(0.00000000001/12,Assumptions!$E$36*12,Assumptions!$E$30,N20,N21,0)),0,-CUMIPMT(0.00000000001/12,Assumptions!$E$36*12,Assumptions!$E$30,N20,N21,0)),IF(ISERROR(-CUMIPMT(Assumptions!$E$33/12,Assumptions!$E$36*12,Assumptions!$E$30,N20,N21,0)),0,-CUMIPMT(Assumptions!$E$33/12,Assumptions!$E$36*12,Assumptions!$E$30,N20,N21,0)))</f>
        <v>134.28075687691307</v>
      </c>
      <c r="O239" s="58">
        <f>IF(Assumptions!$E$30=0,IF(ISERROR(-CUMIPMT(0.00000000001/12,Assumptions!$E$36*12,Assumptions!$E$30,O20,O21,0)),0,-CUMIPMT(0.00000000001/12,Assumptions!$E$36*12,Assumptions!$E$30,O20,O21,0)),IF(ISERROR(-CUMIPMT(Assumptions!$E$33/12,Assumptions!$E$36*12,Assumptions!$E$30,O20,O21,0)),0,-CUMIPMT(Assumptions!$E$33/12,Assumptions!$E$36*12,Assumptions!$E$30,O20,O21,0)))</f>
        <v>0</v>
      </c>
      <c r="P239" s="124">
        <f t="shared" si="13"/>
        <v>148341.70533427724</v>
      </c>
    </row>
    <row r="240" spans="1:16" ht="15.75" customHeight="1" x14ac:dyDescent="0.25">
      <c r="A240" s="239"/>
      <c r="B240" s="4"/>
      <c r="C240" s="4" t="s">
        <v>83</v>
      </c>
      <c r="D240" s="58">
        <f>IF(Assumptions!$E$30=0,IF(ISERROR(-CUMPRINC(0.00000000001/12,Assumptions!$E$36*12,Assumptions!$E$30,D20,D21,0)),0,(-CUMPRINC(0.00000000001/12,Assumptions!$E$36*12,Assumptions!$E$30,D20,D21,0))),IF(ISERROR(-CUMPRINC(Assumptions!$E$33/12,Assumptions!$E$36*12,Assumptions!$E$30,D20,D21,0)),0,(-CUMPRINC(Assumptions!$E$33/12,Assumptions!$E$36*12,Assumptions!$E$30,D20,D21,0))))</f>
        <v>0</v>
      </c>
      <c r="E240" s="58">
        <f>IF(Assumptions!$E$30=0,IF(ISERROR(-CUMPRINC(0.00000000001/12,Assumptions!$E$36*12,Assumptions!$E$30,E20,E21,0)),0,(-CUMPRINC(0.00000000001/12,Assumptions!$E$36*12,Assumptions!$E$30,E20,E21,0))),IF(ISERROR(-CUMPRINC(Assumptions!$E$33/12,Assumptions!$E$36*12,Assumptions!$E$30,E20,E21,0)),0,(-CUMPRINC(Assumptions!$E$33/12,Assumptions!$E$36*12,Assumptions!$E$30,E20,E21,0))))</f>
        <v>0</v>
      </c>
      <c r="F240" s="58">
        <f>IF(Assumptions!$E$30=0,IF(ISERROR(-CUMPRINC(0.00000000001/12,Assumptions!$E$36*12,Assumptions!$E$30,F20,F21,0)),0,(-CUMPRINC(0.00000000001/12,Assumptions!$E$36*12,Assumptions!$E$30,F20,F21,0))),IF(ISERROR(-CUMPRINC(Assumptions!$E$33/12,Assumptions!$E$36*12,Assumptions!$E$30,F20,F21,0)),0,(-CUMPRINC(Assumptions!$E$33/12,Assumptions!$E$36*12,Assumptions!$E$30,F20,F21,0))))</f>
        <v>0</v>
      </c>
      <c r="G240" s="58">
        <f>IF(Assumptions!$E$30=0,IF(ISERROR(-CUMPRINC(0.00000000001/12,Assumptions!$E$36*12,Assumptions!$E$30,G20,G21,0)),0,(-CUMPRINC(0.00000000001/12,Assumptions!$E$36*12,Assumptions!$E$30,G20,G21,0))),IF(ISERROR(-CUMPRINC(Assumptions!$E$33/12,Assumptions!$E$36*12,Assumptions!$E$30,G20,G21,0)),0,(-CUMPRINC(Assumptions!$E$33/12,Assumptions!$E$36*12,Assumptions!$E$30,G20,G21,0))))</f>
        <v>0</v>
      </c>
      <c r="H240" s="58">
        <f>IF(Assumptions!$E$30=0,IF(ISERROR(-CUMPRINC(0.00000000001/12,Assumptions!$E$36*12,Assumptions!$E$30,H20,H21,0)),0,(-CUMPRINC(0.00000000001/12,Assumptions!$E$36*12,Assumptions!$E$30,H20,H21,0))),IF(ISERROR(-CUMPRINC(Assumptions!$E$33/12,Assumptions!$E$36*12,Assumptions!$E$30,H20,H21,0)),0,(-CUMPRINC(Assumptions!$E$33/12,Assumptions!$E$36*12,Assumptions!$E$30,H20,H21,0))))</f>
        <v>0</v>
      </c>
      <c r="I240" s="58">
        <f>IF(Assumptions!$E$30=0,IF(ISERROR(-CUMPRINC(0.00000000001/12,Assumptions!$E$36*12,Assumptions!$E$30,I20,I21,0)),0,(-CUMPRINC(0.00000000001/12,Assumptions!$E$36*12,Assumptions!$E$30,I20,I21,0))),IF(ISERROR(-CUMPRINC(Assumptions!$E$33/12,Assumptions!$E$36*12,Assumptions!$E$30,I20,I21,0)),0,(-CUMPRINC(Assumptions!$E$33/12,Assumptions!$E$36*12,Assumptions!$E$30,I20,I21,0))))</f>
        <v>0</v>
      </c>
      <c r="J240" s="58">
        <f>IF(Assumptions!$E$30=0,IF(ISERROR(-CUMPRINC(0.00000000001/12,Assumptions!$E$36*12,Assumptions!$E$30,J20,J21,0)),0,(-CUMPRINC(0.00000000001/12,Assumptions!$E$36*12,Assumptions!$E$30,J20,J21,0))),IF(ISERROR(-CUMPRINC(Assumptions!$E$33/12,Assumptions!$E$36*12,Assumptions!$E$30,J20,J21,0)),0,(-CUMPRINC(Assumptions!$E$33/12,Assumptions!$E$36*12,Assumptions!$E$30,J20,J21,0))))</f>
        <v>182288.29168479936</v>
      </c>
      <c r="K240" s="58">
        <f>IF(Assumptions!$E$30=0,IF(ISERROR(-CUMPRINC(0.00000000001/12,Assumptions!$E$36*12,Assumptions!$E$30,K20,K21,0)),0,(-CUMPRINC(0.00000000001/12,Assumptions!$E$36*12,Assumptions!$E$30,K20,K21,0))),IF(ISERROR(-CUMPRINC(Assumptions!$E$33/12,Assumptions!$E$36*12,Assumptions!$E$30,K20,K21,0)),0,(-CUMPRINC(Assumptions!$E$33/12,Assumptions!$E$36*12,Assumptions!$E$30,K20,K21,0))))</f>
        <v>197418.12999142139</v>
      </c>
      <c r="L240" s="58">
        <f>IF(Assumptions!$E$30=0,IF(ISERROR(-CUMPRINC(0.00000000001/12,Assumptions!$E$36*12,Assumptions!$E$30,L20,L21,0)),0,(-CUMPRINC(0.00000000001/12,Assumptions!$E$36*12,Assumptions!$E$30,L20,L21,0))),IF(ISERROR(-CUMPRINC(Assumptions!$E$33/12,Assumptions!$E$36*12,Assumptions!$E$30,L20,L21,0)),0,(-CUMPRINC(Assumptions!$E$33/12,Assumptions!$E$36*12,Assumptions!$E$30,L20,L21,0))))</f>
        <v>213803.73741557042</v>
      </c>
      <c r="M240" s="58">
        <f>IF(Assumptions!$E$30=0,IF(ISERROR(-CUMPRINC(0.00000000001/12,Assumptions!$E$36*12,Assumptions!$E$30,M20,M21,0)),0,(-CUMPRINC(0.00000000001/12,Assumptions!$E$36*12,Assumptions!$E$30,M20,M21,0))),IF(ISERROR(-CUMPRINC(Assumptions!$E$33/12,Assumptions!$E$36*12,Assumptions!$E$30,M20,M21,0)),0,(-CUMPRINC(Assumptions!$E$33/12,Assumptions!$E$36*12,Assumptions!$E$30,M20,M21,0))))</f>
        <v>231549.34217466527</v>
      </c>
      <c r="N240" s="58">
        <f>IF(Assumptions!$E$30=0,IF(ISERROR(-CUMPRINC(0.00000000001/12,Assumptions!$E$36*12,Assumptions!$E$30,N20,N21,0)),0,(-CUMPRINC(0.00000000001/12,Assumptions!$E$36*12,Assumptions!$E$30,N20,N21,0))),IF(ISERROR(-CUMPRINC(Assumptions!$E$33/12,Assumptions!$E$36*12,Assumptions!$E$30,N20,N21,0)),0,(-CUMPRINC(Assumptions!$E$33/12,Assumptions!$E$36*12,Assumptions!$E$30,N20,N21,0))))</f>
        <v>20142.113531536768</v>
      </c>
      <c r="O240" s="58">
        <f>IF(Assumptions!$E$30=0,IF(ISERROR(-CUMPRINC(0.00000000001/12,Assumptions!$E$36*12,Assumptions!$E$30,O20,O21,0)),0,(-CUMPRINC(0.00000000001/12,Assumptions!$E$36*12,Assumptions!$E$30,O20,O21,0))),IF(ISERROR(-CUMPRINC(Assumptions!$E$33/12,Assumptions!$E$36*12,Assumptions!$E$30,O20,O21,0)),0,(-CUMPRINC(Assumptions!$E$33/12,Assumptions!$E$36*12,Assumptions!$E$30,O20,O21,0))))</f>
        <v>0</v>
      </c>
      <c r="P240" s="124">
        <f t="shared" si="13"/>
        <v>845201.61479799321</v>
      </c>
    </row>
    <row r="241" spans="1:16" ht="15.75" customHeight="1" x14ac:dyDescent="0.25">
      <c r="A241" s="239"/>
      <c r="B241" s="4" t="s">
        <v>14</v>
      </c>
      <c r="C241" s="4" t="s">
        <v>15</v>
      </c>
      <c r="D241" s="58">
        <v>0</v>
      </c>
      <c r="E241" s="59"/>
      <c r="F241" s="59"/>
      <c r="G241" s="59"/>
      <c r="H241" s="59"/>
      <c r="I241" s="59"/>
      <c r="J241" s="59"/>
      <c r="K241" s="59"/>
      <c r="L241" s="59"/>
      <c r="M241" s="59"/>
      <c r="N241" s="59"/>
      <c r="O241" s="59"/>
      <c r="P241" s="124">
        <f t="shared" si="13"/>
        <v>0</v>
      </c>
    </row>
    <row r="242" spans="1:16" ht="15.75" customHeight="1" x14ac:dyDescent="0.25">
      <c r="A242" s="239"/>
      <c r="B242" s="4"/>
      <c r="C242" s="24"/>
      <c r="D242" s="58"/>
      <c r="E242" s="59"/>
      <c r="F242" s="59"/>
      <c r="G242" s="59"/>
      <c r="H242" s="59"/>
      <c r="I242" s="59"/>
      <c r="J242" s="59"/>
      <c r="K242" s="59"/>
      <c r="L242" s="59"/>
      <c r="M242" s="59"/>
      <c r="N242" s="59"/>
      <c r="O242" s="59"/>
      <c r="P242" s="124">
        <f t="shared" si="13"/>
        <v>0</v>
      </c>
    </row>
    <row r="243" spans="1:16" ht="15.75" customHeight="1" x14ac:dyDescent="0.25">
      <c r="A243" s="239"/>
      <c r="B243" s="4"/>
      <c r="C243" s="24"/>
      <c r="D243" s="58"/>
      <c r="E243" s="59"/>
      <c r="F243" s="59"/>
      <c r="G243" s="59"/>
      <c r="H243" s="59"/>
      <c r="I243" s="59"/>
      <c r="J243" s="59"/>
      <c r="K243" s="59"/>
      <c r="L243" s="59"/>
      <c r="M243" s="59"/>
      <c r="N243" s="59"/>
      <c r="O243" s="59"/>
      <c r="P243" s="124">
        <f t="shared" si="13"/>
        <v>0</v>
      </c>
    </row>
    <row r="244" spans="1:16" ht="15.75" customHeight="1" x14ac:dyDescent="0.25">
      <c r="A244" s="240"/>
      <c r="B244" s="4"/>
      <c r="C244" s="24"/>
      <c r="D244" s="9"/>
      <c r="E244" s="10"/>
      <c r="F244" s="10"/>
      <c r="G244" s="10"/>
      <c r="H244" s="10"/>
      <c r="I244" s="10"/>
      <c r="J244" s="10"/>
      <c r="K244" s="10"/>
      <c r="L244" s="10"/>
      <c r="M244" s="10"/>
      <c r="N244" s="10"/>
      <c r="O244" s="10"/>
      <c r="P244" s="124">
        <f t="shared" si="13"/>
        <v>0</v>
      </c>
    </row>
    <row r="245" spans="1:16" ht="15.75" customHeight="1" x14ac:dyDescent="0.25">
      <c r="B245" s="8"/>
      <c r="C245" s="24" t="s">
        <v>29</v>
      </c>
      <c r="D245" s="9">
        <f t="shared" ref="D245:O245" si="15">SUM(D24:D244)</f>
        <v>595247</v>
      </c>
      <c r="E245" s="10">
        <f t="shared" si="15"/>
        <v>538731.5</v>
      </c>
      <c r="F245" s="10">
        <f t="shared" si="15"/>
        <v>525443.5</v>
      </c>
      <c r="G245" s="10">
        <f t="shared" si="15"/>
        <v>1765806.5</v>
      </c>
      <c r="H245" s="10">
        <f t="shared" si="15"/>
        <v>1824304.5</v>
      </c>
      <c r="I245" s="10">
        <f t="shared" si="15"/>
        <v>2203024.5</v>
      </c>
      <c r="J245" s="10">
        <f t="shared" si="15"/>
        <v>1041776.2314609642</v>
      </c>
      <c r="K245" s="10">
        <f t="shared" si="15"/>
        <v>1786617.2314609643</v>
      </c>
      <c r="L245" s="10">
        <f t="shared" si="15"/>
        <v>884384.23146096419</v>
      </c>
      <c r="M245" s="10">
        <f t="shared" si="15"/>
        <v>1426056.2314609643</v>
      </c>
      <c r="N245" s="10">
        <f t="shared" si="15"/>
        <v>538550.89428841369</v>
      </c>
      <c r="O245" s="10">
        <f t="shared" si="15"/>
        <v>264243</v>
      </c>
      <c r="P245" s="124">
        <f>IF(SUM(D245:O245)=0,0,SUM(D245:O245))</f>
        <v>13394185.32013227</v>
      </c>
    </row>
    <row r="246" spans="1:16" ht="15" customHeight="1" x14ac:dyDescent="0.2">
      <c r="B246" s="8"/>
      <c r="C246" s="25"/>
      <c r="D246" s="6"/>
      <c r="E246" s="6"/>
      <c r="F246" s="6"/>
      <c r="G246" s="6"/>
      <c r="H246" s="6"/>
      <c r="I246" s="6"/>
      <c r="J246" s="6"/>
      <c r="K246" s="6"/>
      <c r="L246" s="6"/>
      <c r="M246" s="6"/>
      <c r="N246" s="6"/>
      <c r="O246" s="6"/>
      <c r="P246" s="6"/>
    </row>
    <row r="247" spans="1:16" ht="15.75" customHeight="1" x14ac:dyDescent="0.25">
      <c r="B247" s="12" t="s">
        <v>18</v>
      </c>
      <c r="C247" s="25"/>
      <c r="D247" s="7">
        <f>+Assumptions!D15</f>
        <v>623745</v>
      </c>
      <c r="E247" s="6">
        <f>+D252</f>
        <v>290817.52916666667</v>
      </c>
      <c r="F247" s="6">
        <f>+E252</f>
        <v>608294.89910350647</v>
      </c>
      <c r="G247" s="6">
        <f t="shared" ref="G247:O247" si="16">+F252</f>
        <v>952149.1603855479</v>
      </c>
      <c r="H247" s="6">
        <f t="shared" si="16"/>
        <v>72553.540982337552</v>
      </c>
      <c r="I247" s="6">
        <f t="shared" si="16"/>
        <v>-869395.99918000947</v>
      </c>
      <c r="J247" s="6">
        <f t="shared" si="16"/>
        <v>-1204007.0069396934</v>
      </c>
      <c r="K247" s="6">
        <f t="shared" si="16"/>
        <v>-1382233.2180911677</v>
      </c>
      <c r="L247" s="6">
        <f t="shared" si="16"/>
        <v>-2307750.888220842</v>
      </c>
      <c r="M247" s="6">
        <f t="shared" si="16"/>
        <v>-2364865.7129959548</v>
      </c>
      <c r="N247" s="6">
        <f t="shared" si="16"/>
        <v>-2967356.6895293416</v>
      </c>
      <c r="O247" s="6">
        <f t="shared" si="16"/>
        <v>-2713574.2933901856</v>
      </c>
      <c r="P247" s="6"/>
    </row>
    <row r="248" spans="1:16" ht="15" customHeight="1" x14ac:dyDescent="0.2">
      <c r="B248" s="8"/>
      <c r="C248" s="25"/>
      <c r="D248" s="6"/>
      <c r="E248" s="6"/>
      <c r="F248" s="6"/>
      <c r="G248" s="6"/>
      <c r="H248" s="6"/>
      <c r="I248" s="6"/>
      <c r="J248" s="6"/>
      <c r="K248" s="6"/>
      <c r="L248" s="6"/>
      <c r="M248" s="6"/>
      <c r="N248" s="6"/>
      <c r="O248" s="6"/>
      <c r="P248" s="6"/>
    </row>
    <row r="249" spans="1:16" ht="12.75" hidden="1" customHeight="1" x14ac:dyDescent="0.2">
      <c r="D249" s="11">
        <f t="shared" ref="D249:O249" si="17">SUM(D24:D244)</f>
        <v>595247</v>
      </c>
      <c r="E249" s="11">
        <f t="shared" si="17"/>
        <v>538731.5</v>
      </c>
      <c r="F249" s="11">
        <f t="shared" si="17"/>
        <v>525443.5</v>
      </c>
      <c r="G249" s="11">
        <f t="shared" si="17"/>
        <v>1765806.5</v>
      </c>
      <c r="H249" s="11">
        <f t="shared" si="17"/>
        <v>1824304.5</v>
      </c>
      <c r="I249" s="11">
        <f t="shared" si="17"/>
        <v>2203024.5</v>
      </c>
      <c r="J249" s="11">
        <f t="shared" si="17"/>
        <v>1041776.2314609642</v>
      </c>
      <c r="K249" s="11">
        <f t="shared" si="17"/>
        <v>1786617.2314609643</v>
      </c>
      <c r="L249" s="11">
        <f t="shared" si="17"/>
        <v>884384.23146096419</v>
      </c>
      <c r="M249" s="11">
        <f t="shared" si="17"/>
        <v>1426056.2314609643</v>
      </c>
      <c r="N249" s="11">
        <f t="shared" si="17"/>
        <v>538550.89428841369</v>
      </c>
      <c r="O249" s="11">
        <f t="shared" si="17"/>
        <v>264243</v>
      </c>
      <c r="P249" s="11"/>
    </row>
    <row r="250" spans="1:16" ht="15.75" customHeight="1" x14ac:dyDescent="0.25">
      <c r="B250" s="12" t="s">
        <v>16</v>
      </c>
      <c r="C250" s="27"/>
      <c r="D250" s="13">
        <f t="shared" ref="D250:O250" si="18">+D17-D249</f>
        <v>-332927.47083333333</v>
      </c>
      <c r="E250" s="13">
        <f t="shared" si="18"/>
        <v>317477.36993683979</v>
      </c>
      <c r="F250" s="13">
        <f t="shared" si="18"/>
        <v>343854.26128204144</v>
      </c>
      <c r="G250" s="13">
        <f t="shared" si="18"/>
        <v>-879595.61940321035</v>
      </c>
      <c r="H250" s="13">
        <f t="shared" si="18"/>
        <v>-941949.54016234702</v>
      </c>
      <c r="I250" s="13">
        <f t="shared" si="18"/>
        <v>-334611.007759684</v>
      </c>
      <c r="J250" s="13">
        <f t="shared" si="18"/>
        <v>-178226.21115147439</v>
      </c>
      <c r="K250" s="13">
        <f t="shared" si="18"/>
        <v>-925517.67012967437</v>
      </c>
      <c r="L250" s="13">
        <f t="shared" si="18"/>
        <v>-57114.824775112676</v>
      </c>
      <c r="M250" s="13">
        <f t="shared" si="18"/>
        <v>-602490.97653338674</v>
      </c>
      <c r="N250" s="13">
        <f t="shared" si="18"/>
        <v>253782.39613915631</v>
      </c>
      <c r="O250" s="13">
        <f t="shared" si="18"/>
        <v>-20935.951778087474</v>
      </c>
      <c r="P250" s="13"/>
    </row>
    <row r="251" spans="1:16" ht="16.5" customHeight="1" thickBot="1" x14ac:dyDescent="0.3">
      <c r="B251" s="12"/>
      <c r="C251" s="27"/>
    </row>
    <row r="252" spans="1:16" ht="16.5" customHeight="1" thickBot="1" x14ac:dyDescent="0.3">
      <c r="B252" s="15" t="s">
        <v>17</v>
      </c>
      <c r="C252" s="28"/>
      <c r="D252" s="16">
        <f>+D247+D250</f>
        <v>290817.52916666667</v>
      </c>
      <c r="E252" s="16">
        <f>+E247+E250</f>
        <v>608294.89910350647</v>
      </c>
      <c r="F252" s="16">
        <f t="shared" ref="F252:O252" si="19">+F247+F250</f>
        <v>952149.1603855479</v>
      </c>
      <c r="G252" s="16">
        <f t="shared" si="19"/>
        <v>72553.540982337552</v>
      </c>
      <c r="H252" s="16">
        <f t="shared" si="19"/>
        <v>-869395.99918000947</v>
      </c>
      <c r="I252" s="16">
        <f t="shared" si="19"/>
        <v>-1204007.0069396934</v>
      </c>
      <c r="J252" s="16">
        <f t="shared" si="19"/>
        <v>-1382233.2180911677</v>
      </c>
      <c r="K252" s="16">
        <f t="shared" si="19"/>
        <v>-2307750.888220842</v>
      </c>
      <c r="L252" s="16">
        <f t="shared" si="19"/>
        <v>-2364865.7129959548</v>
      </c>
      <c r="M252" s="16">
        <f t="shared" si="19"/>
        <v>-2967356.6895293416</v>
      </c>
      <c r="N252" s="16">
        <f t="shared" si="19"/>
        <v>-2713574.2933901856</v>
      </c>
      <c r="O252" s="17">
        <f t="shared" si="19"/>
        <v>-2734510.2451682729</v>
      </c>
      <c r="P252" s="17"/>
    </row>
    <row r="253" spans="1:16" ht="15.75" customHeight="1" x14ac:dyDescent="0.25">
      <c r="B253" s="12"/>
    </row>
    <row r="254" spans="1:16" ht="15.75" customHeight="1" x14ac:dyDescent="0.25">
      <c r="B254" s="12" t="s">
        <v>22</v>
      </c>
      <c r="D254" s="6">
        <f>IF(ISERROR(+D15-D240),0,+D15-D240)</f>
        <v>0</v>
      </c>
      <c r="E254" s="6">
        <f>IF(ISERROR(IF(D254=0,E15-E240,D254-E240)),0,IF(D254=0,E15-E240,D254+E15-E234-E240))</f>
        <v>0</v>
      </c>
      <c r="F254" s="6">
        <f t="shared" ref="F254:O254" si="20">IF(ISERROR(IF(E254=0,F15-F240,E254-F240)),0,IF(E254=0,F15-F240,E254-F240))</f>
        <v>0</v>
      </c>
      <c r="G254" s="6">
        <f t="shared" si="20"/>
        <v>0</v>
      </c>
      <c r="H254" s="6">
        <f t="shared" si="20"/>
        <v>0</v>
      </c>
      <c r="I254" s="6">
        <f t="shared" si="20"/>
        <v>1000000</v>
      </c>
      <c r="J254" s="6">
        <f t="shared" si="20"/>
        <v>817711.70831520064</v>
      </c>
      <c r="K254" s="6">
        <f t="shared" si="20"/>
        <v>620293.57832377928</v>
      </c>
      <c r="L254" s="6">
        <f t="shared" si="20"/>
        <v>406489.84090820886</v>
      </c>
      <c r="M254" s="6">
        <f t="shared" si="20"/>
        <v>174940.49873354359</v>
      </c>
      <c r="N254" s="6">
        <f t="shared" si="20"/>
        <v>154798.38520200682</v>
      </c>
      <c r="O254" s="6">
        <f t="shared" si="20"/>
        <v>154798.38520200682</v>
      </c>
      <c r="P254" s="6"/>
    </row>
    <row r="255" spans="1:16" ht="15.75" customHeight="1" x14ac:dyDescent="0.25">
      <c r="B255" s="12"/>
      <c r="D255" s="6"/>
    </row>
    <row r="256" spans="1:16" ht="15.75" customHeight="1" x14ac:dyDescent="0.25">
      <c r="B256" s="12"/>
      <c r="D256" s="6"/>
      <c r="E256" s="6"/>
      <c r="F256" s="6"/>
      <c r="G256" s="6"/>
      <c r="H256" s="6"/>
      <c r="I256" s="6"/>
      <c r="J256" s="6"/>
      <c r="K256" s="6"/>
      <c r="L256" s="6"/>
      <c r="M256" s="6"/>
      <c r="N256" s="6"/>
      <c r="O256" s="6"/>
    </row>
    <row r="257" spans="2:4" ht="15.75" customHeight="1" x14ac:dyDescent="0.25">
      <c r="B257" s="12"/>
      <c r="D257" s="6"/>
    </row>
    <row r="258" spans="2:4" ht="15.75" customHeight="1" x14ac:dyDescent="0.25">
      <c r="B258" s="12"/>
      <c r="D258" s="6"/>
    </row>
    <row r="259" spans="2:4" ht="15.75" customHeight="1" x14ac:dyDescent="0.25">
      <c r="B259" s="12"/>
      <c r="D259" s="6"/>
    </row>
    <row r="260" spans="2:4" ht="15.75" customHeight="1" x14ac:dyDescent="0.25">
      <c r="B260" s="12"/>
      <c r="D260" s="6"/>
    </row>
    <row r="261" spans="2:4" ht="15.75" customHeight="1" x14ac:dyDescent="0.25">
      <c r="B261" s="12"/>
      <c r="D261" s="6"/>
    </row>
    <row r="262" spans="2:4" ht="15.75" customHeight="1" x14ac:dyDescent="0.25">
      <c r="B262" s="12"/>
      <c r="D262" s="6"/>
    </row>
    <row r="263" spans="2:4" ht="15.75" customHeight="1" x14ac:dyDescent="0.25">
      <c r="B263" s="12"/>
      <c r="D263" s="6"/>
    </row>
    <row r="264" spans="2:4" ht="15.75" customHeight="1" x14ac:dyDescent="0.25">
      <c r="B264" s="12"/>
      <c r="D264" s="6"/>
    </row>
    <row r="265" spans="2:4" ht="15.75" customHeight="1" x14ac:dyDescent="0.25">
      <c r="B265" s="12"/>
      <c r="D265" s="6"/>
    </row>
    <row r="266" spans="2:4" ht="15" customHeight="1" x14ac:dyDescent="0.2">
      <c r="D266" s="6"/>
    </row>
    <row r="267" spans="2:4" ht="15" customHeight="1" x14ac:dyDescent="0.2">
      <c r="D267" s="6"/>
    </row>
    <row r="268" spans="2:4" ht="15" customHeight="1" x14ac:dyDescent="0.2">
      <c r="D268" s="6"/>
    </row>
    <row r="269" spans="2:4" ht="15" customHeight="1" x14ac:dyDescent="0.2">
      <c r="D269" s="6"/>
    </row>
    <row r="270" spans="2:4" ht="15" customHeight="1" x14ac:dyDescent="0.2">
      <c r="D270" s="6"/>
    </row>
    <row r="271" spans="2:4" ht="15" customHeight="1" x14ac:dyDescent="0.2">
      <c r="D271" s="6"/>
    </row>
    <row r="272" spans="2:4" ht="15" customHeight="1" x14ac:dyDescent="0.2">
      <c r="D272" s="6"/>
    </row>
    <row r="273" spans="4:4" ht="15" customHeight="1" x14ac:dyDescent="0.2">
      <c r="D273" s="6"/>
    </row>
    <row r="274" spans="4:4" ht="15" customHeight="1" x14ac:dyDescent="0.2">
      <c r="D274" s="6"/>
    </row>
    <row r="275" spans="4:4" ht="15" customHeight="1" x14ac:dyDescent="0.2">
      <c r="D275" s="6"/>
    </row>
    <row r="276" spans="4:4" ht="15" customHeight="1" x14ac:dyDescent="0.2">
      <c r="D276" s="6"/>
    </row>
    <row r="277" spans="4:4" ht="15" customHeight="1" x14ac:dyDescent="0.2">
      <c r="D277" s="6"/>
    </row>
    <row r="278" spans="4:4" ht="15" customHeight="1" x14ac:dyDescent="0.2">
      <c r="D278" s="6"/>
    </row>
    <row r="279" spans="4:4" ht="15" customHeight="1" x14ac:dyDescent="0.2">
      <c r="D279" s="6"/>
    </row>
    <row r="280" spans="4:4" ht="15" customHeight="1" x14ac:dyDescent="0.2">
      <c r="D280" s="6"/>
    </row>
    <row r="281" spans="4:4" ht="15" customHeight="1" x14ac:dyDescent="0.2">
      <c r="D281" s="6"/>
    </row>
    <row r="282" spans="4:4" ht="15" customHeight="1" x14ac:dyDescent="0.2">
      <c r="D282" s="6"/>
    </row>
    <row r="283" spans="4:4" ht="15" customHeight="1" x14ac:dyDescent="0.2">
      <c r="D283" s="6"/>
    </row>
    <row r="284" spans="4:4" ht="15" customHeight="1" x14ac:dyDescent="0.2">
      <c r="D284" s="6"/>
    </row>
    <row r="285" spans="4:4" ht="15" customHeight="1" x14ac:dyDescent="0.2">
      <c r="D285" s="6"/>
    </row>
    <row r="286" spans="4:4" ht="15" customHeight="1" x14ac:dyDescent="0.2">
      <c r="D286" s="6"/>
    </row>
    <row r="287" spans="4:4" ht="15" customHeight="1" x14ac:dyDescent="0.2">
      <c r="D287" s="6"/>
    </row>
    <row r="288" spans="4:4" ht="15" customHeight="1" x14ac:dyDescent="0.2">
      <c r="D288" s="6"/>
    </row>
    <row r="289" spans="4:4" ht="15" customHeight="1" x14ac:dyDescent="0.2">
      <c r="D289" s="6"/>
    </row>
    <row r="290" spans="4:4" ht="15" customHeight="1" x14ac:dyDescent="0.2">
      <c r="D290" s="6"/>
    </row>
    <row r="291" spans="4:4" ht="15" customHeight="1" x14ac:dyDescent="0.2">
      <c r="D291" s="6"/>
    </row>
    <row r="292" spans="4:4" ht="15" customHeight="1" x14ac:dyDescent="0.2">
      <c r="D292" s="6"/>
    </row>
    <row r="293" spans="4:4" ht="15" customHeight="1" x14ac:dyDescent="0.2">
      <c r="D293" s="6"/>
    </row>
    <row r="294" spans="4:4" ht="15" customHeight="1" x14ac:dyDescent="0.2">
      <c r="D294" s="6"/>
    </row>
    <row r="295" spans="4:4" ht="15" customHeight="1" x14ac:dyDescent="0.2">
      <c r="D295" s="6"/>
    </row>
    <row r="296" spans="4:4" ht="15" customHeight="1" x14ac:dyDescent="0.2">
      <c r="D296" s="6"/>
    </row>
    <row r="297" spans="4:4" ht="15" customHeight="1" x14ac:dyDescent="0.2">
      <c r="D297" s="6"/>
    </row>
    <row r="298" spans="4:4" ht="15" customHeight="1" x14ac:dyDescent="0.2">
      <c r="D298" s="6"/>
    </row>
    <row r="299" spans="4:4" ht="15" customHeight="1" x14ac:dyDescent="0.2">
      <c r="D299" s="6"/>
    </row>
    <row r="300" spans="4:4" ht="15" customHeight="1" x14ac:dyDescent="0.2">
      <c r="D300" s="6"/>
    </row>
    <row r="301" spans="4:4" ht="15" customHeight="1" x14ac:dyDescent="0.2">
      <c r="D301" s="6"/>
    </row>
    <row r="302" spans="4:4" ht="15" customHeight="1" x14ac:dyDescent="0.2">
      <c r="D302" s="6"/>
    </row>
    <row r="303" spans="4:4" ht="15" customHeight="1" x14ac:dyDescent="0.2">
      <c r="D303" s="6"/>
    </row>
    <row r="304" spans="4:4" ht="15" customHeight="1" x14ac:dyDescent="0.2">
      <c r="D304" s="6"/>
    </row>
    <row r="305" spans="4:4" ht="15" customHeight="1" x14ac:dyDescent="0.2">
      <c r="D305" s="6"/>
    </row>
    <row r="306" spans="4:4" ht="15" customHeight="1" x14ac:dyDescent="0.2">
      <c r="D306" s="6"/>
    </row>
    <row r="307" spans="4:4" ht="15" customHeight="1" x14ac:dyDescent="0.2">
      <c r="D307" s="6"/>
    </row>
    <row r="308" spans="4:4" ht="15" customHeight="1" x14ac:dyDescent="0.2">
      <c r="D308" s="6"/>
    </row>
    <row r="309" spans="4:4" ht="15" customHeight="1" x14ac:dyDescent="0.2">
      <c r="D309" s="6"/>
    </row>
    <row r="310" spans="4:4" ht="15" customHeight="1" x14ac:dyDescent="0.2">
      <c r="D310" s="6"/>
    </row>
    <row r="311" spans="4:4" ht="15" customHeight="1" x14ac:dyDescent="0.2">
      <c r="D311" s="6"/>
    </row>
    <row r="312" spans="4:4" ht="15" customHeight="1" x14ac:dyDescent="0.2">
      <c r="D312" s="6"/>
    </row>
    <row r="313" spans="4:4" ht="15" customHeight="1" x14ac:dyDescent="0.2">
      <c r="D313" s="6"/>
    </row>
    <row r="314" spans="4:4" ht="15" customHeight="1" x14ac:dyDescent="0.2">
      <c r="D314" s="6"/>
    </row>
    <row r="315" spans="4:4" ht="15" customHeight="1" x14ac:dyDescent="0.2">
      <c r="D315" s="6"/>
    </row>
    <row r="316" spans="4:4" ht="15" customHeight="1" x14ac:dyDescent="0.2">
      <c r="D316" s="6"/>
    </row>
    <row r="317" spans="4:4" ht="15" customHeight="1" x14ac:dyDescent="0.2">
      <c r="D317" s="6"/>
    </row>
    <row r="318" spans="4:4" ht="15" customHeight="1" x14ac:dyDescent="0.2">
      <c r="D318" s="6"/>
    </row>
    <row r="319" spans="4:4" ht="15" customHeight="1" x14ac:dyDescent="0.2">
      <c r="D319" s="6"/>
    </row>
    <row r="320" spans="4:4" ht="15" customHeight="1" x14ac:dyDescent="0.2">
      <c r="D320" s="6"/>
    </row>
    <row r="321" spans="4:4" ht="15" customHeight="1" x14ac:dyDescent="0.2">
      <c r="D321" s="6"/>
    </row>
    <row r="322" spans="4:4" ht="15" customHeight="1" x14ac:dyDescent="0.2">
      <c r="D322" s="6"/>
    </row>
    <row r="323" spans="4:4" ht="15" customHeight="1" x14ac:dyDescent="0.2">
      <c r="D323" s="6"/>
    </row>
    <row r="324" spans="4:4" ht="15" customHeight="1" x14ac:dyDescent="0.2">
      <c r="D324" s="6"/>
    </row>
    <row r="325" spans="4:4" ht="15" customHeight="1" x14ac:dyDescent="0.2">
      <c r="D325" s="6"/>
    </row>
    <row r="326" spans="4:4" ht="15" customHeight="1" x14ac:dyDescent="0.2">
      <c r="D326" s="6"/>
    </row>
    <row r="327" spans="4:4" ht="15" customHeight="1" x14ac:dyDescent="0.2">
      <c r="D327" s="6"/>
    </row>
    <row r="328" spans="4:4" ht="15" customHeight="1" x14ac:dyDescent="0.2">
      <c r="D328" s="6"/>
    </row>
    <row r="329" spans="4:4" ht="15" customHeight="1" x14ac:dyDescent="0.2">
      <c r="D329" s="6"/>
    </row>
    <row r="330" spans="4:4" ht="15" customHeight="1" x14ac:dyDescent="0.2">
      <c r="D330" s="6"/>
    </row>
    <row r="331" spans="4:4" ht="15" customHeight="1" x14ac:dyDescent="0.2">
      <c r="D331" s="6"/>
    </row>
    <row r="332" spans="4:4" ht="15" customHeight="1" x14ac:dyDescent="0.2">
      <c r="D332" s="6"/>
    </row>
    <row r="333" spans="4:4" ht="15" customHeight="1" x14ac:dyDescent="0.2">
      <c r="D333" s="6"/>
    </row>
    <row r="334" spans="4:4" ht="15" customHeight="1" x14ac:dyDescent="0.2">
      <c r="D334" s="6"/>
    </row>
    <row r="335" spans="4:4" ht="15" customHeight="1" x14ac:dyDescent="0.2">
      <c r="D335" s="6"/>
    </row>
    <row r="336" spans="4:4" ht="15" customHeight="1" x14ac:dyDescent="0.2">
      <c r="D336" s="6"/>
    </row>
    <row r="337" spans="4:4" ht="15" customHeight="1" x14ac:dyDescent="0.2">
      <c r="D337" s="6"/>
    </row>
    <row r="338" spans="4:4" ht="15" customHeight="1" x14ac:dyDescent="0.2">
      <c r="D338" s="6"/>
    </row>
    <row r="339" spans="4:4" ht="15" customHeight="1" x14ac:dyDescent="0.2">
      <c r="D339" s="6"/>
    </row>
    <row r="340" spans="4:4" ht="15" customHeight="1" x14ac:dyDescent="0.2">
      <c r="D340" s="6"/>
    </row>
    <row r="341" spans="4:4" ht="15" customHeight="1" x14ac:dyDescent="0.2">
      <c r="D341" s="6"/>
    </row>
    <row r="342" spans="4:4" ht="15" customHeight="1" x14ac:dyDescent="0.2">
      <c r="D342" s="6"/>
    </row>
    <row r="343" spans="4:4" ht="15" customHeight="1" x14ac:dyDescent="0.2">
      <c r="D343" s="6"/>
    </row>
    <row r="344" spans="4:4" ht="15" customHeight="1" x14ac:dyDescent="0.2">
      <c r="D344" s="6"/>
    </row>
    <row r="345" spans="4:4" ht="15" customHeight="1" x14ac:dyDescent="0.2">
      <c r="D345" s="6"/>
    </row>
    <row r="346" spans="4:4" ht="15" customHeight="1" x14ac:dyDescent="0.2">
      <c r="D346" s="6"/>
    </row>
    <row r="347" spans="4:4" ht="15" customHeight="1" x14ac:dyDescent="0.2">
      <c r="D347" s="6"/>
    </row>
    <row r="348" spans="4:4" ht="15" customHeight="1" x14ac:dyDescent="0.2">
      <c r="D348" s="6"/>
    </row>
    <row r="349" spans="4:4" ht="15" customHeight="1" x14ac:dyDescent="0.2">
      <c r="D349" s="6"/>
    </row>
    <row r="350" spans="4:4" ht="15" customHeight="1" x14ac:dyDescent="0.2">
      <c r="D350" s="6"/>
    </row>
    <row r="351" spans="4:4" ht="15" customHeight="1" x14ac:dyDescent="0.2">
      <c r="D351" s="6"/>
    </row>
    <row r="352" spans="4:4" ht="15" customHeight="1" x14ac:dyDescent="0.2">
      <c r="D352" s="6"/>
    </row>
    <row r="353" spans="4:4" ht="15" customHeight="1" x14ac:dyDescent="0.2">
      <c r="D353" s="6"/>
    </row>
    <row r="354" spans="4:4" ht="15" customHeight="1" x14ac:dyDescent="0.2">
      <c r="D354" s="6"/>
    </row>
    <row r="355" spans="4:4" ht="15" customHeight="1" x14ac:dyDescent="0.2">
      <c r="D355" s="6"/>
    </row>
    <row r="356" spans="4:4" ht="15" customHeight="1" x14ac:dyDescent="0.2">
      <c r="D356" s="6"/>
    </row>
    <row r="357" spans="4:4" ht="15" customHeight="1" x14ac:dyDescent="0.2">
      <c r="D357" s="6"/>
    </row>
    <row r="358" spans="4:4" ht="15" customHeight="1" x14ac:dyDescent="0.2">
      <c r="D358" s="6"/>
    </row>
    <row r="359" spans="4:4" ht="15" customHeight="1" x14ac:dyDescent="0.2">
      <c r="D359" s="6"/>
    </row>
    <row r="360" spans="4:4" ht="15" customHeight="1" x14ac:dyDescent="0.2">
      <c r="D360" s="6"/>
    </row>
    <row r="361" spans="4:4" ht="15" customHeight="1" x14ac:dyDescent="0.2">
      <c r="D361" s="6"/>
    </row>
    <row r="362" spans="4:4" ht="15" customHeight="1" x14ac:dyDescent="0.2">
      <c r="D362" s="6"/>
    </row>
    <row r="363" spans="4:4" ht="15" customHeight="1" x14ac:dyDescent="0.2">
      <c r="D363" s="6"/>
    </row>
    <row r="364" spans="4:4" ht="15" customHeight="1" x14ac:dyDescent="0.2">
      <c r="D364" s="6"/>
    </row>
    <row r="365" spans="4:4" ht="15" customHeight="1" x14ac:dyDescent="0.2">
      <c r="D365" s="6"/>
    </row>
    <row r="366" spans="4:4" ht="15" customHeight="1" x14ac:dyDescent="0.2">
      <c r="D366" s="6"/>
    </row>
    <row r="367" spans="4:4" ht="15" customHeight="1" x14ac:dyDescent="0.2">
      <c r="D367" s="6"/>
    </row>
    <row r="368" spans="4:4" ht="15" customHeight="1" x14ac:dyDescent="0.2">
      <c r="D368" s="6"/>
    </row>
    <row r="369" spans="4:4" ht="15" customHeight="1" x14ac:dyDescent="0.2">
      <c r="D369" s="6"/>
    </row>
    <row r="370" spans="4:4" ht="15" customHeight="1" x14ac:dyDescent="0.2">
      <c r="D370" s="6"/>
    </row>
    <row r="371" spans="4:4" ht="15" customHeight="1" x14ac:dyDescent="0.2">
      <c r="D371" s="6"/>
    </row>
    <row r="372" spans="4:4" ht="15" customHeight="1" x14ac:dyDescent="0.2">
      <c r="D372" s="6"/>
    </row>
    <row r="373" spans="4:4" ht="15" customHeight="1" x14ac:dyDescent="0.2">
      <c r="D373" s="6"/>
    </row>
    <row r="374" spans="4:4" ht="15" customHeight="1" x14ac:dyDescent="0.2">
      <c r="D374" s="6"/>
    </row>
    <row r="375" spans="4:4" ht="15" customHeight="1" x14ac:dyDescent="0.2">
      <c r="D375" s="6"/>
    </row>
    <row r="376" spans="4:4" ht="15" customHeight="1" x14ac:dyDescent="0.2">
      <c r="D376" s="6"/>
    </row>
    <row r="377" spans="4:4" ht="15" customHeight="1" x14ac:dyDescent="0.2">
      <c r="D377" s="6"/>
    </row>
    <row r="378" spans="4:4" ht="15" customHeight="1" x14ac:dyDescent="0.2">
      <c r="D378" s="6"/>
    </row>
    <row r="379" spans="4:4" ht="15" customHeight="1" x14ac:dyDescent="0.2">
      <c r="D379" s="6"/>
    </row>
    <row r="380" spans="4:4" ht="15" customHeight="1" x14ac:dyDescent="0.2">
      <c r="D380" s="6"/>
    </row>
    <row r="381" spans="4:4" ht="15" customHeight="1" x14ac:dyDescent="0.2">
      <c r="D381" s="6"/>
    </row>
    <row r="382" spans="4:4" ht="15" customHeight="1" x14ac:dyDescent="0.2">
      <c r="D382" s="6"/>
    </row>
    <row r="383" spans="4:4" ht="15" customHeight="1" x14ac:dyDescent="0.2">
      <c r="D383" s="6"/>
    </row>
    <row r="384" spans="4:4" ht="15" customHeight="1" x14ac:dyDescent="0.2">
      <c r="D384" s="6"/>
    </row>
    <row r="385" spans="4:4" ht="15" customHeight="1" x14ac:dyDescent="0.2">
      <c r="D385" s="6"/>
    </row>
    <row r="386" spans="4:4" ht="15" customHeight="1" x14ac:dyDescent="0.2">
      <c r="D386" s="6"/>
    </row>
    <row r="387" spans="4:4" ht="15" customHeight="1" x14ac:dyDescent="0.2">
      <c r="D387" s="6"/>
    </row>
    <row r="388" spans="4:4" ht="15" customHeight="1" x14ac:dyDescent="0.2">
      <c r="D388" s="6"/>
    </row>
    <row r="389" spans="4:4" ht="15" customHeight="1" x14ac:dyDescent="0.2">
      <c r="D389" s="6"/>
    </row>
    <row r="390" spans="4:4" ht="12.75" customHeight="1" x14ac:dyDescent="0.2"/>
    <row r="391" spans="4:4" ht="12.75" customHeight="1" x14ac:dyDescent="0.2"/>
    <row r="392" spans="4:4" ht="12.75" customHeight="1" x14ac:dyDescent="0.2"/>
    <row r="393" spans="4:4" ht="12.75" customHeight="1" x14ac:dyDescent="0.2"/>
    <row r="394" spans="4:4" ht="12.75" customHeight="1" x14ac:dyDescent="0.2"/>
    <row r="395" spans="4:4" ht="12.75" customHeight="1" x14ac:dyDescent="0.2"/>
    <row r="396" spans="4:4" ht="12.75" customHeight="1" x14ac:dyDescent="0.2"/>
    <row r="397" spans="4:4" ht="12.75" customHeight="1" x14ac:dyDescent="0.2"/>
    <row r="398" spans="4:4" ht="12.75" customHeight="1" x14ac:dyDescent="0.2"/>
    <row r="399" spans="4:4" ht="12.75" customHeight="1" x14ac:dyDescent="0.2"/>
    <row r="400" spans="4:4"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row r="1007" ht="12.75" customHeight="1" x14ac:dyDescent="0.2"/>
    <row r="1008" ht="12.75" customHeight="1" x14ac:dyDescent="0.2"/>
    <row r="1009" ht="12.75" customHeight="1" x14ac:dyDescent="0.2"/>
    <row r="1010" ht="12.75" customHeight="1" x14ac:dyDescent="0.2"/>
    <row r="1011" ht="12.75" customHeight="1" x14ac:dyDescent="0.2"/>
    <row r="1012" ht="12.75" customHeight="1" x14ac:dyDescent="0.2"/>
    <row r="1013" ht="12.75" customHeight="1" x14ac:dyDescent="0.2"/>
    <row r="1014" ht="12.75" customHeight="1" x14ac:dyDescent="0.2"/>
    <row r="1015" ht="12.75" customHeight="1" x14ac:dyDescent="0.2"/>
    <row r="1016" ht="12.75" customHeight="1" x14ac:dyDescent="0.2"/>
    <row r="1017" ht="12.75" customHeight="1" x14ac:dyDescent="0.2"/>
    <row r="1018" ht="12.75" customHeight="1" x14ac:dyDescent="0.2"/>
    <row r="1019" ht="12.75" customHeight="1" x14ac:dyDescent="0.2"/>
    <row r="1020" ht="12.75" customHeight="1" x14ac:dyDescent="0.2"/>
    <row r="1021" ht="12.75" customHeight="1" x14ac:dyDescent="0.2"/>
    <row r="1022" ht="12.75" customHeight="1" x14ac:dyDescent="0.2"/>
    <row r="1023" ht="12.75" customHeight="1" x14ac:dyDescent="0.2"/>
    <row r="1024" ht="12.75" customHeight="1" x14ac:dyDescent="0.2"/>
    <row r="1025" ht="12.75" customHeight="1" x14ac:dyDescent="0.2"/>
    <row r="1026" ht="12.75" customHeight="1" x14ac:dyDescent="0.2"/>
    <row r="1027" ht="12.75" customHeight="1" x14ac:dyDescent="0.2"/>
    <row r="1028" ht="12.75" customHeight="1" x14ac:dyDescent="0.2"/>
    <row r="1029" ht="12.75" customHeight="1" x14ac:dyDescent="0.2"/>
    <row r="1030" ht="12.75" customHeight="1" x14ac:dyDescent="0.2"/>
    <row r="1031" ht="12.75" customHeight="1" x14ac:dyDescent="0.2"/>
    <row r="1032" ht="12.75" customHeight="1" x14ac:dyDescent="0.2"/>
    <row r="1033" ht="12.75" customHeight="1" x14ac:dyDescent="0.2"/>
    <row r="1034" ht="12.75" customHeight="1" x14ac:dyDescent="0.2"/>
    <row r="1035" ht="12.75" customHeight="1" x14ac:dyDescent="0.2"/>
    <row r="1036" ht="12.75" customHeight="1" x14ac:dyDescent="0.2"/>
    <row r="1037" ht="12.75" customHeight="1" x14ac:dyDescent="0.2"/>
    <row r="1038" ht="12.75" customHeight="1" x14ac:dyDescent="0.2"/>
    <row r="1039" ht="12.75" customHeight="1" x14ac:dyDescent="0.2"/>
    <row r="1040" ht="12.75" customHeight="1" x14ac:dyDescent="0.2"/>
    <row r="1041" ht="12.75" customHeight="1" x14ac:dyDescent="0.2"/>
    <row r="1042" ht="12.75" customHeight="1" x14ac:dyDescent="0.2"/>
    <row r="1043" ht="12.75" customHeight="1" x14ac:dyDescent="0.2"/>
    <row r="1044" ht="12.75" customHeight="1" x14ac:dyDescent="0.2"/>
    <row r="1045" ht="12.75" customHeight="1" x14ac:dyDescent="0.2"/>
    <row r="1046" ht="12.75" customHeight="1" x14ac:dyDescent="0.2"/>
    <row r="1047" ht="12.75" customHeight="1" x14ac:dyDescent="0.2"/>
    <row r="1048" ht="12.75" customHeight="1" x14ac:dyDescent="0.2"/>
    <row r="1049" ht="12.75" customHeight="1" x14ac:dyDescent="0.2"/>
    <row r="1050" ht="12.75" customHeight="1" x14ac:dyDescent="0.2"/>
    <row r="1051" ht="12.75" customHeight="1" x14ac:dyDescent="0.2"/>
    <row r="1052" ht="12.75" customHeight="1" x14ac:dyDescent="0.2"/>
    <row r="1053" ht="12.75" customHeight="1" x14ac:dyDescent="0.2"/>
    <row r="1054" ht="12.75" customHeight="1" x14ac:dyDescent="0.2"/>
    <row r="1055" ht="12.75" customHeight="1" x14ac:dyDescent="0.2"/>
    <row r="1056" ht="12.75" customHeight="1" x14ac:dyDescent="0.2"/>
    <row r="1057" ht="12.75" customHeight="1" x14ac:dyDescent="0.2"/>
    <row r="1058" ht="12.75" customHeight="1" x14ac:dyDescent="0.2"/>
    <row r="1059" ht="12.75" customHeight="1" x14ac:dyDescent="0.2"/>
    <row r="1060" ht="12.75" customHeight="1" x14ac:dyDescent="0.2"/>
    <row r="1061" ht="12.75" customHeight="1" x14ac:dyDescent="0.2"/>
    <row r="1062" ht="12.75" customHeight="1" x14ac:dyDescent="0.2"/>
    <row r="1063" ht="12.75" customHeight="1" x14ac:dyDescent="0.2"/>
    <row r="1064" ht="12.75" customHeight="1" x14ac:dyDescent="0.2"/>
    <row r="1065" ht="12.75" customHeight="1" x14ac:dyDescent="0.2"/>
    <row r="1066" ht="12.75" customHeight="1" x14ac:dyDescent="0.2"/>
    <row r="1067" ht="12.75" customHeight="1" x14ac:dyDescent="0.2"/>
    <row r="1068" ht="12.75" customHeight="1" x14ac:dyDescent="0.2"/>
    <row r="1069" ht="12.75" customHeight="1" x14ac:dyDescent="0.2"/>
    <row r="1070" ht="12.75" customHeight="1" x14ac:dyDescent="0.2"/>
    <row r="1071" ht="12.75" customHeight="1" x14ac:dyDescent="0.2"/>
    <row r="1072" ht="12.75" customHeight="1" x14ac:dyDescent="0.2"/>
    <row r="1073" ht="12.75" customHeight="1" x14ac:dyDescent="0.2"/>
    <row r="1074" ht="12.75" customHeight="1" x14ac:dyDescent="0.2"/>
    <row r="1075" ht="12.75" customHeight="1" x14ac:dyDescent="0.2"/>
    <row r="1076" ht="12.75" customHeight="1" x14ac:dyDescent="0.2"/>
    <row r="1077" ht="12.75" customHeight="1" x14ac:dyDescent="0.2"/>
    <row r="1078" ht="12.75" customHeight="1" x14ac:dyDescent="0.2"/>
    <row r="1079" ht="12.75" customHeight="1" x14ac:dyDescent="0.2"/>
    <row r="1080" ht="12.75" customHeight="1" x14ac:dyDescent="0.2"/>
    <row r="1081" ht="12.75" customHeight="1" x14ac:dyDescent="0.2"/>
    <row r="1082" ht="12.75" customHeight="1" x14ac:dyDescent="0.2"/>
    <row r="1083" ht="12.75" customHeight="1" x14ac:dyDescent="0.2"/>
    <row r="1084" ht="12.75" customHeight="1" x14ac:dyDescent="0.2"/>
    <row r="1085" ht="12.75" customHeight="1" x14ac:dyDescent="0.2"/>
    <row r="1086" ht="12.75" customHeight="1" x14ac:dyDescent="0.2"/>
    <row r="1087" ht="12.75" customHeight="1" x14ac:dyDescent="0.2"/>
    <row r="1088" ht="12.75" customHeight="1" x14ac:dyDescent="0.2"/>
    <row r="1089" ht="12.75" customHeight="1" x14ac:dyDescent="0.2"/>
    <row r="1090" ht="12.75" customHeight="1" x14ac:dyDescent="0.2"/>
    <row r="1091" ht="12.75" customHeight="1" x14ac:dyDescent="0.2"/>
    <row r="1092" ht="12.75" customHeight="1" x14ac:dyDescent="0.2"/>
    <row r="1093" ht="12.75" customHeight="1" x14ac:dyDescent="0.2"/>
    <row r="1094" ht="12.75" customHeight="1" x14ac:dyDescent="0.2"/>
    <row r="1095" ht="12.75" customHeight="1" x14ac:dyDescent="0.2"/>
    <row r="1096" ht="12.75" customHeight="1" x14ac:dyDescent="0.2"/>
    <row r="1097" ht="12.75" customHeight="1" x14ac:dyDescent="0.2"/>
    <row r="1098" ht="12.75" customHeight="1" x14ac:dyDescent="0.2"/>
    <row r="1099" ht="12.75" customHeight="1" x14ac:dyDescent="0.2"/>
    <row r="1100" ht="12.75" customHeight="1" x14ac:dyDescent="0.2"/>
    <row r="1101" ht="12.75" customHeight="1" x14ac:dyDescent="0.2"/>
    <row r="1102" ht="12.75" customHeight="1" x14ac:dyDescent="0.2"/>
    <row r="1103" ht="12.75" customHeight="1" x14ac:dyDescent="0.2"/>
    <row r="1104" ht="12.75" customHeight="1" x14ac:dyDescent="0.2"/>
    <row r="1105" ht="12.75" customHeight="1" x14ac:dyDescent="0.2"/>
    <row r="1106" ht="12.75" customHeight="1" x14ac:dyDescent="0.2"/>
    <row r="1107" ht="12.75" customHeight="1" x14ac:dyDescent="0.2"/>
    <row r="1108" ht="12.75" customHeight="1" x14ac:dyDescent="0.2"/>
    <row r="1109" ht="12.75" customHeight="1" x14ac:dyDescent="0.2"/>
    <row r="1110" ht="12.75" customHeight="1" x14ac:dyDescent="0.2"/>
    <row r="1111" ht="12.75" customHeight="1" x14ac:dyDescent="0.2"/>
    <row r="1112" ht="12.75" customHeight="1" x14ac:dyDescent="0.2"/>
    <row r="1113" ht="12.75" customHeight="1" x14ac:dyDescent="0.2"/>
    <row r="1114" ht="12.75" customHeight="1" x14ac:dyDescent="0.2"/>
    <row r="1115" ht="12.75" customHeight="1" x14ac:dyDescent="0.2"/>
    <row r="1116" ht="12.75" customHeight="1" x14ac:dyDescent="0.2"/>
    <row r="1117" ht="12.75" customHeight="1" x14ac:dyDescent="0.2"/>
    <row r="1118" ht="12.75" customHeight="1" x14ac:dyDescent="0.2"/>
    <row r="1119" ht="12.75" customHeight="1" x14ac:dyDescent="0.2"/>
    <row r="1120" ht="12.75" customHeight="1" x14ac:dyDescent="0.2"/>
    <row r="1121" ht="12.75" customHeight="1" x14ac:dyDescent="0.2"/>
    <row r="1122" ht="12.75" customHeight="1" x14ac:dyDescent="0.2"/>
    <row r="1123" ht="12.75" customHeight="1" x14ac:dyDescent="0.2"/>
    <row r="1124" ht="12.75" customHeight="1" x14ac:dyDescent="0.2"/>
    <row r="1125" ht="12.75" customHeight="1" x14ac:dyDescent="0.2"/>
    <row r="1126" ht="12.75" customHeight="1" x14ac:dyDescent="0.2"/>
    <row r="1127" ht="12.75" customHeight="1" x14ac:dyDescent="0.2"/>
    <row r="1128" ht="12.75" customHeight="1" x14ac:dyDescent="0.2"/>
    <row r="1129" ht="12.75" customHeight="1" x14ac:dyDescent="0.2"/>
    <row r="1130" ht="12.75" customHeight="1" x14ac:dyDescent="0.2"/>
    <row r="1131" ht="12.75" customHeight="1" x14ac:dyDescent="0.2"/>
    <row r="1132" ht="12.75" customHeight="1" x14ac:dyDescent="0.2"/>
    <row r="1133" ht="12.75" customHeight="1" x14ac:dyDescent="0.2"/>
    <row r="1134" ht="12.75" customHeight="1" x14ac:dyDescent="0.2"/>
    <row r="1135" ht="12.75" customHeight="1" x14ac:dyDescent="0.2"/>
    <row r="1136" ht="12.75" customHeight="1" x14ac:dyDescent="0.2"/>
    <row r="1137" ht="12.75" customHeight="1" x14ac:dyDescent="0.2"/>
    <row r="1138" ht="12.75" customHeight="1" x14ac:dyDescent="0.2"/>
    <row r="1139" ht="12.75" customHeight="1" x14ac:dyDescent="0.2"/>
    <row r="1140" ht="12.75" customHeight="1" x14ac:dyDescent="0.2"/>
    <row r="1141" ht="12.75" customHeight="1" x14ac:dyDescent="0.2"/>
    <row r="1142" ht="12.75" customHeight="1" x14ac:dyDescent="0.2"/>
    <row r="1143" ht="12.75" customHeight="1" x14ac:dyDescent="0.2"/>
    <row r="1144" ht="12.75" customHeight="1" x14ac:dyDescent="0.2"/>
    <row r="1145" ht="12.75" customHeight="1" x14ac:dyDescent="0.2"/>
    <row r="1146" ht="12.75" customHeight="1" x14ac:dyDescent="0.2"/>
    <row r="1147" ht="12.75" customHeight="1" x14ac:dyDescent="0.2"/>
    <row r="1148" ht="12.75" customHeight="1" x14ac:dyDescent="0.2"/>
    <row r="1149" ht="12.75" customHeight="1" x14ac:dyDescent="0.2"/>
    <row r="1150" ht="12.75" customHeight="1" x14ac:dyDescent="0.2"/>
    <row r="1151" ht="12.75" customHeight="1" x14ac:dyDescent="0.2"/>
    <row r="1152" ht="12.75" customHeight="1" x14ac:dyDescent="0.2"/>
    <row r="1153" ht="12.75" customHeight="1" x14ac:dyDescent="0.2"/>
    <row r="1154" ht="12.75" customHeight="1" x14ac:dyDescent="0.2"/>
    <row r="1155" ht="12.75" customHeight="1" x14ac:dyDescent="0.2"/>
    <row r="1156" ht="12.75" customHeight="1" x14ac:dyDescent="0.2"/>
    <row r="1157" ht="12.75" customHeight="1" x14ac:dyDescent="0.2"/>
    <row r="1158" ht="12.75" customHeight="1" x14ac:dyDescent="0.2"/>
    <row r="1159" ht="12.75" customHeight="1" x14ac:dyDescent="0.2"/>
    <row r="1160" ht="12.75" customHeight="1" x14ac:dyDescent="0.2"/>
    <row r="1161" ht="12.75" customHeight="1" x14ac:dyDescent="0.2"/>
    <row r="1162" ht="12.75" customHeight="1" x14ac:dyDescent="0.2"/>
    <row r="1163" ht="12.75" customHeight="1" x14ac:dyDescent="0.2"/>
    <row r="1164" ht="12.75" customHeight="1" x14ac:dyDescent="0.2"/>
    <row r="1165" ht="12.75" customHeight="1" x14ac:dyDescent="0.2"/>
    <row r="1166" ht="12.75" customHeight="1" x14ac:dyDescent="0.2"/>
    <row r="1167" ht="12.75" customHeight="1" x14ac:dyDescent="0.2"/>
    <row r="1168" ht="12.75" customHeight="1" x14ac:dyDescent="0.2"/>
    <row r="1169" ht="12.75" customHeight="1" x14ac:dyDescent="0.2"/>
    <row r="1170" ht="12.75" customHeight="1" x14ac:dyDescent="0.2"/>
    <row r="1171" ht="12.75" customHeight="1" x14ac:dyDescent="0.2"/>
    <row r="1172" ht="12.75" customHeight="1" x14ac:dyDescent="0.2"/>
    <row r="1173" ht="12.75" customHeight="1" x14ac:dyDescent="0.2"/>
    <row r="1174" ht="12.75" customHeight="1" x14ac:dyDescent="0.2"/>
    <row r="1175" ht="12.75" customHeight="1" x14ac:dyDescent="0.2"/>
    <row r="1176" ht="12.75" customHeight="1" x14ac:dyDescent="0.2"/>
    <row r="1177" ht="12.75" customHeight="1" x14ac:dyDescent="0.2"/>
    <row r="1178" ht="12.75" customHeight="1" x14ac:dyDescent="0.2"/>
    <row r="1179" ht="12.75" customHeight="1" x14ac:dyDescent="0.2"/>
    <row r="1180" ht="12.75" customHeight="1" x14ac:dyDescent="0.2"/>
    <row r="1181" ht="12.75" customHeight="1" x14ac:dyDescent="0.2"/>
    <row r="1182" ht="12.75" customHeight="1" x14ac:dyDescent="0.2"/>
    <row r="1183" ht="12.75" customHeight="1" x14ac:dyDescent="0.2"/>
    <row r="1184" ht="12.75" customHeight="1" x14ac:dyDescent="0.2"/>
    <row r="1185" ht="12.75" customHeight="1" x14ac:dyDescent="0.2"/>
    <row r="1186" ht="12.75" customHeight="1" x14ac:dyDescent="0.2"/>
    <row r="1187" ht="12.75" customHeight="1" x14ac:dyDescent="0.2"/>
    <row r="1188" ht="12.75" customHeight="1" x14ac:dyDescent="0.2"/>
    <row r="1189" ht="12.75" customHeight="1" x14ac:dyDescent="0.2"/>
    <row r="1190" ht="12.75" customHeight="1" x14ac:dyDescent="0.2"/>
    <row r="1191" ht="12.75" customHeight="1" x14ac:dyDescent="0.2"/>
    <row r="1192" ht="12.75" customHeight="1" x14ac:dyDescent="0.2"/>
    <row r="1193" ht="12.75" customHeight="1" x14ac:dyDescent="0.2"/>
    <row r="1194" ht="12.75" customHeight="1" x14ac:dyDescent="0.2"/>
    <row r="1195" ht="12.75" customHeight="1" x14ac:dyDescent="0.2"/>
    <row r="1196" ht="12.75" customHeight="1" x14ac:dyDescent="0.2"/>
    <row r="1197" ht="12.75" customHeight="1" x14ac:dyDescent="0.2"/>
    <row r="1198" ht="12.75" customHeight="1" x14ac:dyDescent="0.2"/>
    <row r="1199" ht="12.75" customHeight="1" x14ac:dyDescent="0.2"/>
    <row r="1200" ht="12.75" customHeight="1" x14ac:dyDescent="0.2"/>
    <row r="1201" ht="12.75" customHeight="1" x14ac:dyDescent="0.2"/>
    <row r="1202" ht="12.75" customHeight="1" x14ac:dyDescent="0.2"/>
    <row r="1203" ht="12.75" customHeight="1" x14ac:dyDescent="0.2"/>
    <row r="1204" ht="12.75" customHeight="1" x14ac:dyDescent="0.2"/>
    <row r="1205" ht="12.75" customHeight="1" x14ac:dyDescent="0.2"/>
    <row r="1206" ht="12.75" customHeight="1" x14ac:dyDescent="0.2"/>
    <row r="1207" ht="12.75" customHeight="1" x14ac:dyDescent="0.2"/>
    <row r="1208" ht="12.75" customHeight="1" x14ac:dyDescent="0.2"/>
    <row r="1209" ht="12.75" customHeight="1" x14ac:dyDescent="0.2"/>
    <row r="1210" ht="12.75" customHeight="1" x14ac:dyDescent="0.2"/>
    <row r="1211" ht="12.75" customHeight="1" x14ac:dyDescent="0.2"/>
    <row r="1212" ht="12.75" customHeight="1" x14ac:dyDescent="0.2"/>
    <row r="1213" ht="12.75" customHeight="1" x14ac:dyDescent="0.2"/>
    <row r="1214" ht="12.75" customHeight="1" x14ac:dyDescent="0.2"/>
    <row r="1215" ht="12.75" customHeight="1" x14ac:dyDescent="0.2"/>
    <row r="1216" ht="12.75" customHeight="1" x14ac:dyDescent="0.2"/>
    <row r="1217" ht="12.75" customHeight="1" x14ac:dyDescent="0.2"/>
    <row r="1218" ht="12.75" customHeight="1" x14ac:dyDescent="0.2"/>
    <row r="1219" ht="12.75" customHeight="1" x14ac:dyDescent="0.2"/>
    <row r="1220" ht="12.75" customHeight="1" x14ac:dyDescent="0.2"/>
    <row r="1221" ht="12.75" customHeight="1" x14ac:dyDescent="0.2"/>
    <row r="1222" ht="12.75" customHeight="1" x14ac:dyDescent="0.2"/>
    <row r="1223" ht="12.75" customHeight="1" x14ac:dyDescent="0.2"/>
    <row r="1224" ht="12.75" customHeight="1" x14ac:dyDescent="0.2"/>
    <row r="1225" ht="12.75" customHeight="1" x14ac:dyDescent="0.2"/>
    <row r="1226" ht="12.75" customHeight="1" x14ac:dyDescent="0.2"/>
    <row r="1227" ht="12.75" customHeight="1" x14ac:dyDescent="0.2"/>
    <row r="1228" ht="12.75" customHeight="1" x14ac:dyDescent="0.2"/>
    <row r="1229" ht="12.75" customHeight="1" x14ac:dyDescent="0.2"/>
    <row r="1230" ht="12.75" customHeight="1" x14ac:dyDescent="0.2"/>
    <row r="1231" ht="12.75" customHeight="1" x14ac:dyDescent="0.2"/>
    <row r="1232" ht="12.75" customHeight="1" x14ac:dyDescent="0.2"/>
    <row r="1233" ht="12.75" customHeight="1" x14ac:dyDescent="0.2"/>
    <row r="1234" ht="12.75" customHeight="1" x14ac:dyDescent="0.2"/>
    <row r="1235" ht="12.75" customHeight="1" x14ac:dyDescent="0.2"/>
    <row r="1236" ht="12.75" customHeight="1" x14ac:dyDescent="0.2"/>
    <row r="1237" ht="12.75" customHeight="1" x14ac:dyDescent="0.2"/>
    <row r="1238" ht="12.75" customHeight="1" x14ac:dyDescent="0.2"/>
    <row r="1239" ht="12.75" customHeight="1" x14ac:dyDescent="0.2"/>
    <row r="1240" ht="12.75" customHeight="1" x14ac:dyDescent="0.2"/>
    <row r="1241" ht="12.75" customHeight="1" x14ac:dyDescent="0.2"/>
    <row r="1242" ht="12.75" customHeight="1" x14ac:dyDescent="0.2"/>
    <row r="1243" ht="12.75" customHeight="1" x14ac:dyDescent="0.2"/>
    <row r="1244" ht="12.75" customHeight="1" x14ac:dyDescent="0.2"/>
    <row r="1245" ht="12.75" customHeight="1" x14ac:dyDescent="0.2"/>
    <row r="1246" ht="12.75" customHeight="1" x14ac:dyDescent="0.2"/>
    <row r="1247" ht="12.75" customHeight="1" x14ac:dyDescent="0.2"/>
    <row r="1248" ht="12.75" customHeight="1" x14ac:dyDescent="0.2"/>
    <row r="1249" ht="12.75" customHeight="1" x14ac:dyDescent="0.2"/>
    <row r="1250" ht="12.75" customHeight="1" x14ac:dyDescent="0.2"/>
    <row r="1251" ht="12.75" customHeight="1" x14ac:dyDescent="0.2"/>
    <row r="1252" ht="12.75" customHeight="1" x14ac:dyDescent="0.2"/>
    <row r="1253" ht="12.75" customHeight="1" x14ac:dyDescent="0.2"/>
    <row r="1254" ht="12.75" customHeight="1" x14ac:dyDescent="0.2"/>
    <row r="1255" ht="12.75" customHeight="1" x14ac:dyDescent="0.2"/>
    <row r="1256" ht="12.75" customHeight="1" x14ac:dyDescent="0.2"/>
    <row r="1257" ht="12.75" customHeight="1" x14ac:dyDescent="0.2"/>
    <row r="1258" ht="12.75" customHeight="1" x14ac:dyDescent="0.2"/>
    <row r="1259" ht="12.75" customHeight="1" x14ac:dyDescent="0.2"/>
    <row r="1260" ht="12.75" customHeight="1" x14ac:dyDescent="0.2"/>
    <row r="1261" ht="12.75" customHeight="1" x14ac:dyDescent="0.2"/>
    <row r="1262" ht="12.75" customHeight="1" x14ac:dyDescent="0.2"/>
    <row r="1263" ht="12.75" customHeight="1" x14ac:dyDescent="0.2"/>
    <row r="1264" ht="12.75" customHeight="1" x14ac:dyDescent="0.2"/>
    <row r="1265" ht="12.75" customHeight="1" x14ac:dyDescent="0.2"/>
    <row r="1266" ht="12.75" customHeight="1" x14ac:dyDescent="0.2"/>
    <row r="1267" ht="12.75" customHeight="1" x14ac:dyDescent="0.2"/>
    <row r="1268" ht="12.75" customHeight="1" x14ac:dyDescent="0.2"/>
    <row r="1269" ht="12.75" customHeight="1" x14ac:dyDescent="0.2"/>
    <row r="1270" ht="12.75" customHeight="1" x14ac:dyDescent="0.2"/>
    <row r="1271" ht="12.75" customHeight="1" x14ac:dyDescent="0.2"/>
    <row r="1272" ht="12.75" customHeight="1" x14ac:dyDescent="0.2"/>
    <row r="1273" ht="12.75" customHeight="1" x14ac:dyDescent="0.2"/>
    <row r="1274" ht="12.75" customHeight="1" x14ac:dyDescent="0.2"/>
    <row r="1275" ht="12.75" customHeight="1" x14ac:dyDescent="0.2"/>
    <row r="1276" ht="12.75" customHeight="1" x14ac:dyDescent="0.2"/>
    <row r="1277" ht="12.75" customHeight="1" x14ac:dyDescent="0.2"/>
    <row r="1278" ht="12.75" customHeight="1" x14ac:dyDescent="0.2"/>
    <row r="1279" ht="12.75" customHeight="1" x14ac:dyDescent="0.2"/>
    <row r="1280" ht="12.75" customHeight="1" x14ac:dyDescent="0.2"/>
    <row r="1281" ht="12.75" customHeight="1" x14ac:dyDescent="0.2"/>
    <row r="1282" ht="12.75" customHeight="1" x14ac:dyDescent="0.2"/>
    <row r="1283" ht="12.75" customHeight="1" x14ac:dyDescent="0.2"/>
    <row r="1284" ht="12.75" customHeight="1" x14ac:dyDescent="0.2"/>
    <row r="1285" ht="12.75" customHeight="1" x14ac:dyDescent="0.2"/>
    <row r="1286" ht="12.75" customHeight="1" x14ac:dyDescent="0.2"/>
    <row r="1287" ht="12.75" customHeight="1" x14ac:dyDescent="0.2"/>
    <row r="1288" ht="12.75" customHeight="1" x14ac:dyDescent="0.2"/>
    <row r="1289" ht="12.75" customHeight="1" x14ac:dyDescent="0.2"/>
    <row r="1290" ht="12.75" customHeight="1" x14ac:dyDescent="0.2"/>
    <row r="1291" ht="12.75" customHeight="1" x14ac:dyDescent="0.2"/>
    <row r="1292" ht="12.75" customHeight="1" x14ac:dyDescent="0.2"/>
    <row r="1293" ht="12.75" customHeight="1" x14ac:dyDescent="0.2"/>
    <row r="1294" ht="12.75" customHeight="1" x14ac:dyDescent="0.2"/>
    <row r="1295" ht="12.75" customHeight="1" x14ac:dyDescent="0.2"/>
    <row r="1296" ht="12.75" customHeight="1" x14ac:dyDescent="0.2"/>
    <row r="1297" ht="12.75" customHeight="1" x14ac:dyDescent="0.2"/>
    <row r="1298" ht="12.75" customHeight="1" x14ac:dyDescent="0.2"/>
    <row r="1299" ht="12.75" customHeight="1" x14ac:dyDescent="0.2"/>
    <row r="1300" ht="12.75" customHeight="1" x14ac:dyDescent="0.2"/>
    <row r="1301" ht="12.75" customHeight="1" x14ac:dyDescent="0.2"/>
    <row r="1302" ht="12.75" customHeight="1" x14ac:dyDescent="0.2"/>
    <row r="1303" ht="12.75" customHeight="1" x14ac:dyDescent="0.2"/>
    <row r="1304" ht="12.75" customHeight="1" x14ac:dyDescent="0.2"/>
    <row r="1305" ht="12.75" customHeight="1" x14ac:dyDescent="0.2"/>
    <row r="1306" ht="12.75" customHeight="1" x14ac:dyDescent="0.2"/>
    <row r="1307" ht="12.75" customHeight="1" x14ac:dyDescent="0.2"/>
    <row r="1308" ht="12.75" customHeight="1" x14ac:dyDescent="0.2"/>
    <row r="1309" ht="12.75" customHeight="1" x14ac:dyDescent="0.2"/>
    <row r="1310" ht="12.75" customHeight="1" x14ac:dyDescent="0.2"/>
    <row r="1311" ht="12.75" customHeight="1" x14ac:dyDescent="0.2"/>
    <row r="1312" ht="12.75" customHeight="1" x14ac:dyDescent="0.2"/>
    <row r="1313" ht="12.75" customHeight="1" x14ac:dyDescent="0.2"/>
    <row r="1314" ht="12.75" customHeight="1" x14ac:dyDescent="0.2"/>
    <row r="1315" ht="12.75" customHeight="1" x14ac:dyDescent="0.2"/>
    <row r="1316" ht="12.75" customHeight="1" x14ac:dyDescent="0.2"/>
    <row r="1317" ht="12.75" customHeight="1" x14ac:dyDescent="0.2"/>
    <row r="1318" ht="12.75" customHeight="1" x14ac:dyDescent="0.2"/>
    <row r="1319" ht="12.75" customHeight="1" x14ac:dyDescent="0.2"/>
    <row r="1320" ht="12.75" customHeight="1" x14ac:dyDescent="0.2"/>
    <row r="1321" ht="12.75" customHeight="1" x14ac:dyDescent="0.2"/>
    <row r="1322" ht="12.75" customHeight="1" x14ac:dyDescent="0.2"/>
    <row r="1323" ht="12.75" customHeight="1" x14ac:dyDescent="0.2"/>
    <row r="1324" ht="12.75" customHeight="1" x14ac:dyDescent="0.2"/>
    <row r="1325" ht="12.75" customHeight="1" x14ac:dyDescent="0.2"/>
    <row r="1326" ht="12.75" customHeight="1" x14ac:dyDescent="0.2"/>
    <row r="1327" ht="12.75" customHeight="1" x14ac:dyDescent="0.2"/>
    <row r="1328" ht="12.75" customHeight="1" x14ac:dyDescent="0.2"/>
    <row r="1329" ht="12.75" customHeight="1" x14ac:dyDescent="0.2"/>
    <row r="1330" ht="12.75" customHeight="1" x14ac:dyDescent="0.2"/>
    <row r="1331" ht="12.75" customHeight="1" x14ac:dyDescent="0.2"/>
    <row r="1332" ht="12.75" customHeight="1" x14ac:dyDescent="0.2"/>
    <row r="1333" ht="12.75" customHeight="1" x14ac:dyDescent="0.2"/>
    <row r="1334" ht="12.75" customHeight="1" x14ac:dyDescent="0.2"/>
    <row r="1335" ht="12.75" customHeight="1" x14ac:dyDescent="0.2"/>
    <row r="1336" ht="12.75" customHeight="1" x14ac:dyDescent="0.2"/>
    <row r="1337" ht="12.75" customHeight="1" x14ac:dyDescent="0.2"/>
    <row r="1338" ht="12.75" customHeight="1" x14ac:dyDescent="0.2"/>
    <row r="1339" ht="12.75" customHeight="1" x14ac:dyDescent="0.2"/>
    <row r="1340" ht="12.75" customHeight="1" x14ac:dyDescent="0.2"/>
    <row r="1341" ht="12.75" customHeight="1" x14ac:dyDescent="0.2"/>
    <row r="1342" ht="12.75" customHeight="1" x14ac:dyDescent="0.2"/>
    <row r="1343" ht="12.75" customHeight="1" x14ac:dyDescent="0.2"/>
    <row r="1344" ht="12.75" customHeight="1" x14ac:dyDescent="0.2"/>
    <row r="1345" ht="12.75" customHeight="1" x14ac:dyDescent="0.2"/>
    <row r="1346" ht="12.75" customHeight="1" x14ac:dyDescent="0.2"/>
    <row r="1347" ht="12.75" customHeight="1" x14ac:dyDescent="0.2"/>
    <row r="1348" ht="12.75" customHeight="1" x14ac:dyDescent="0.2"/>
    <row r="1349" ht="12.75" customHeight="1" x14ac:dyDescent="0.2"/>
    <row r="1350" ht="12.75" customHeight="1" x14ac:dyDescent="0.2"/>
    <row r="1351" ht="12.75" customHeight="1" x14ac:dyDescent="0.2"/>
    <row r="1352" ht="12.75" customHeight="1" x14ac:dyDescent="0.2"/>
    <row r="1353" ht="12.75" customHeight="1" x14ac:dyDescent="0.2"/>
    <row r="1354" ht="12.75" customHeight="1" x14ac:dyDescent="0.2"/>
    <row r="1355" ht="12.75" customHeight="1" x14ac:dyDescent="0.2"/>
    <row r="1356" ht="12.75" customHeight="1" x14ac:dyDescent="0.2"/>
    <row r="1357" ht="12.75" customHeight="1" x14ac:dyDescent="0.2"/>
    <row r="1358" ht="12.75" customHeight="1" x14ac:dyDescent="0.2"/>
    <row r="1359" ht="12.75" customHeight="1" x14ac:dyDescent="0.2"/>
    <row r="1360" ht="12.75" customHeight="1" x14ac:dyDescent="0.2"/>
    <row r="1361" ht="12.75" customHeight="1" x14ac:dyDescent="0.2"/>
    <row r="1362" ht="12.75" customHeight="1" x14ac:dyDescent="0.2"/>
    <row r="1363" ht="12.75" customHeight="1" x14ac:dyDescent="0.2"/>
    <row r="1364" ht="12.75" customHeight="1" x14ac:dyDescent="0.2"/>
    <row r="1365" ht="12.75" customHeight="1" x14ac:dyDescent="0.2"/>
    <row r="1366" ht="12.75" customHeight="1" x14ac:dyDescent="0.2"/>
    <row r="1367" ht="12.75" customHeight="1" x14ac:dyDescent="0.2"/>
    <row r="1368" ht="12.75" customHeight="1" x14ac:dyDescent="0.2"/>
    <row r="1369" ht="12.75" customHeight="1" x14ac:dyDescent="0.2"/>
    <row r="1370" ht="12.75" customHeight="1" x14ac:dyDescent="0.2"/>
    <row r="1371" ht="12.75" customHeight="1" x14ac:dyDescent="0.2"/>
    <row r="1372" ht="12.75" customHeight="1" x14ac:dyDescent="0.2"/>
    <row r="1373" ht="12.75" customHeight="1" x14ac:dyDescent="0.2"/>
    <row r="1374" ht="12.75" customHeight="1" x14ac:dyDescent="0.2"/>
    <row r="1375" ht="12.75" customHeight="1" x14ac:dyDescent="0.2"/>
    <row r="1376" ht="12.75" customHeight="1" x14ac:dyDescent="0.2"/>
    <row r="1377" ht="12.75" customHeight="1" x14ac:dyDescent="0.2"/>
    <row r="1378" ht="12.75" customHeight="1" x14ac:dyDescent="0.2"/>
    <row r="1379" ht="12.75" customHeight="1" x14ac:dyDescent="0.2"/>
    <row r="1380" ht="12.75" customHeight="1" x14ac:dyDescent="0.2"/>
    <row r="1381" ht="12.75" customHeight="1" x14ac:dyDescent="0.2"/>
    <row r="1382" ht="12.75" customHeight="1" x14ac:dyDescent="0.2"/>
    <row r="1383" ht="12.75" customHeight="1" x14ac:dyDescent="0.2"/>
    <row r="1384" ht="12.75" customHeight="1" x14ac:dyDescent="0.2"/>
    <row r="1385" ht="12.75" customHeight="1" x14ac:dyDescent="0.2"/>
    <row r="1386" ht="12.75" customHeight="1" x14ac:dyDescent="0.2"/>
    <row r="1387" ht="12.75" customHeight="1" x14ac:dyDescent="0.2"/>
    <row r="1388" ht="12.75" customHeight="1" x14ac:dyDescent="0.2"/>
    <row r="1389" ht="12.75" customHeight="1" x14ac:dyDescent="0.2"/>
    <row r="1390" ht="12.75" customHeight="1" x14ac:dyDescent="0.2"/>
    <row r="1391" ht="12.75" customHeight="1" x14ac:dyDescent="0.2"/>
    <row r="1392" ht="12.75" customHeight="1" x14ac:dyDescent="0.2"/>
    <row r="1393" ht="12.75" customHeight="1" x14ac:dyDescent="0.2"/>
    <row r="1394" ht="12.75" customHeight="1" x14ac:dyDescent="0.2"/>
    <row r="1395" ht="12.75" customHeight="1" x14ac:dyDescent="0.2"/>
    <row r="1396" ht="12.75" customHeight="1" x14ac:dyDescent="0.2"/>
    <row r="1397" ht="12.75" customHeight="1" x14ac:dyDescent="0.2"/>
    <row r="1398" ht="12.75" customHeight="1" x14ac:dyDescent="0.2"/>
    <row r="1399" ht="12.75" customHeight="1" x14ac:dyDescent="0.2"/>
    <row r="1400" ht="12.75" customHeight="1" x14ac:dyDescent="0.2"/>
    <row r="1401" ht="12.75" customHeight="1" x14ac:dyDescent="0.2"/>
    <row r="1402" ht="12.75" customHeight="1" x14ac:dyDescent="0.2"/>
    <row r="1403" ht="12.75" customHeight="1" x14ac:dyDescent="0.2"/>
    <row r="1404" ht="12.75" customHeight="1" x14ac:dyDescent="0.2"/>
    <row r="1405" ht="12.75" customHeight="1" x14ac:dyDescent="0.2"/>
    <row r="1406" ht="12.75" customHeight="1" x14ac:dyDescent="0.2"/>
    <row r="1407" ht="12.75" customHeight="1" x14ac:dyDescent="0.2"/>
    <row r="1408" ht="12.75" customHeight="1" x14ac:dyDescent="0.2"/>
    <row r="1409" ht="12.75" customHeight="1" x14ac:dyDescent="0.2"/>
    <row r="1410" ht="12.75" customHeight="1" x14ac:dyDescent="0.2"/>
    <row r="1411" ht="12.75" customHeight="1" x14ac:dyDescent="0.2"/>
    <row r="1412" ht="12.75" customHeight="1" x14ac:dyDescent="0.2"/>
    <row r="1413" ht="12.75" customHeight="1" x14ac:dyDescent="0.2"/>
    <row r="1414" ht="12.75" customHeight="1" x14ac:dyDescent="0.2"/>
    <row r="1415" ht="12.75" customHeight="1" x14ac:dyDescent="0.2"/>
    <row r="1416" ht="12.75" customHeight="1" x14ac:dyDescent="0.2"/>
    <row r="1417" ht="12.75" customHeight="1" x14ac:dyDescent="0.2"/>
    <row r="1418" ht="12.75" customHeight="1" x14ac:dyDescent="0.2"/>
    <row r="1419" ht="12.75" customHeight="1" x14ac:dyDescent="0.2"/>
    <row r="1420" ht="12.75" customHeight="1" x14ac:dyDescent="0.2"/>
    <row r="1421" ht="12.75" customHeight="1" x14ac:dyDescent="0.2"/>
    <row r="1422" ht="12.75" customHeight="1" x14ac:dyDescent="0.2"/>
    <row r="1423" ht="12.75" customHeight="1" x14ac:dyDescent="0.2"/>
    <row r="1424" ht="12.75" customHeight="1" x14ac:dyDescent="0.2"/>
    <row r="1425" ht="12.75" customHeight="1" x14ac:dyDescent="0.2"/>
    <row r="1426" ht="12.75" customHeight="1" x14ac:dyDescent="0.2"/>
    <row r="1427" ht="12.75" customHeight="1" x14ac:dyDescent="0.2"/>
    <row r="1428" ht="12.75" customHeight="1" x14ac:dyDescent="0.2"/>
    <row r="1429" ht="12.75" customHeight="1" x14ac:dyDescent="0.2"/>
    <row r="1430" ht="12.75" customHeight="1" x14ac:dyDescent="0.2"/>
    <row r="1431" ht="12.75" customHeight="1" x14ac:dyDescent="0.2"/>
    <row r="1432" ht="12.75" customHeight="1" x14ac:dyDescent="0.2"/>
    <row r="1433" ht="12.75" customHeight="1" x14ac:dyDescent="0.2"/>
    <row r="1434" ht="12.75" customHeight="1" x14ac:dyDescent="0.2"/>
    <row r="1435" ht="12.75" customHeight="1" x14ac:dyDescent="0.2"/>
    <row r="1436" ht="12.75" customHeight="1" x14ac:dyDescent="0.2"/>
    <row r="1437" ht="12.75" customHeight="1" x14ac:dyDescent="0.2"/>
    <row r="1438" ht="12.75" customHeight="1" x14ac:dyDescent="0.2"/>
    <row r="1439" ht="12.75" customHeight="1" x14ac:dyDescent="0.2"/>
    <row r="1440" ht="12.75" customHeight="1" x14ac:dyDescent="0.2"/>
    <row r="1441" ht="12.75" customHeight="1" x14ac:dyDescent="0.2"/>
    <row r="1442" ht="12.75" customHeight="1" x14ac:dyDescent="0.2"/>
    <row r="1443" ht="12.75" customHeight="1" x14ac:dyDescent="0.2"/>
    <row r="1444" ht="12.75" customHeight="1" x14ac:dyDescent="0.2"/>
    <row r="1445" ht="12.75" customHeight="1" x14ac:dyDescent="0.2"/>
    <row r="1446" ht="12.75" customHeight="1" x14ac:dyDescent="0.2"/>
    <row r="1447" ht="12.75" customHeight="1" x14ac:dyDescent="0.2"/>
    <row r="1448" ht="12.75" customHeight="1" x14ac:dyDescent="0.2"/>
    <row r="1449" ht="12.75" customHeight="1" x14ac:dyDescent="0.2"/>
    <row r="1450" ht="12.75" customHeight="1" x14ac:dyDescent="0.2"/>
    <row r="1451" ht="12.75" customHeight="1" x14ac:dyDescent="0.2"/>
    <row r="1452" ht="12.75" customHeight="1" x14ac:dyDescent="0.2"/>
    <row r="1453" ht="12.75" customHeight="1" x14ac:dyDescent="0.2"/>
    <row r="1454" ht="12.75" customHeight="1" x14ac:dyDescent="0.2"/>
    <row r="1455" ht="12.75" customHeight="1" x14ac:dyDescent="0.2"/>
    <row r="1456" ht="12.75" customHeight="1" x14ac:dyDescent="0.2"/>
    <row r="1457" ht="12.75" customHeight="1" x14ac:dyDescent="0.2"/>
    <row r="1458" ht="12.75" customHeight="1" x14ac:dyDescent="0.2"/>
    <row r="1459" ht="12.75" customHeight="1" x14ac:dyDescent="0.2"/>
    <row r="1460" ht="12.75" customHeight="1" x14ac:dyDescent="0.2"/>
    <row r="1461" ht="12.75" customHeight="1" x14ac:dyDescent="0.2"/>
    <row r="1462" ht="12.75" customHeight="1" x14ac:dyDescent="0.2"/>
    <row r="1463" ht="12.75" customHeight="1" x14ac:dyDescent="0.2"/>
    <row r="1464" ht="12.75" customHeight="1" x14ac:dyDescent="0.2"/>
    <row r="1465" ht="12.75" customHeight="1" x14ac:dyDescent="0.2"/>
    <row r="1466" ht="12.75" customHeight="1" x14ac:dyDescent="0.2"/>
    <row r="1467" ht="12.75" customHeight="1" x14ac:dyDescent="0.2"/>
    <row r="1468" ht="12.75" customHeight="1" x14ac:dyDescent="0.2"/>
    <row r="1469" ht="12.75" customHeight="1" x14ac:dyDescent="0.2"/>
    <row r="1470" ht="12.75" customHeight="1" x14ac:dyDescent="0.2"/>
    <row r="1471" ht="12.75" customHeight="1" x14ac:dyDescent="0.2"/>
    <row r="1472" ht="12.75" customHeight="1" x14ac:dyDescent="0.2"/>
    <row r="1473" ht="12.75" customHeight="1" x14ac:dyDescent="0.2"/>
    <row r="1474" ht="12.75" customHeight="1" x14ac:dyDescent="0.2"/>
    <row r="1475" ht="12.75" customHeight="1" x14ac:dyDescent="0.2"/>
    <row r="1476" ht="12.75" customHeight="1" x14ac:dyDescent="0.2"/>
    <row r="1477" ht="12.75" customHeight="1" x14ac:dyDescent="0.2"/>
    <row r="1478" ht="12.75" customHeight="1" x14ac:dyDescent="0.2"/>
    <row r="1479" ht="12.75" customHeight="1" x14ac:dyDescent="0.2"/>
    <row r="1480" ht="12.75" customHeight="1" x14ac:dyDescent="0.2"/>
    <row r="1481" ht="12.75" customHeight="1" x14ac:dyDescent="0.2"/>
    <row r="1482" ht="12.75" customHeight="1" x14ac:dyDescent="0.2"/>
    <row r="1483" ht="12.75" customHeight="1" x14ac:dyDescent="0.2"/>
    <row r="1484" ht="12.75" customHeight="1" x14ac:dyDescent="0.2"/>
    <row r="1485" ht="12.75" customHeight="1" x14ac:dyDescent="0.2"/>
    <row r="1486" ht="12.75" customHeight="1" x14ac:dyDescent="0.2"/>
    <row r="1487" ht="12.75" customHeight="1" x14ac:dyDescent="0.2"/>
    <row r="1488" ht="12.75" customHeight="1" x14ac:dyDescent="0.2"/>
    <row r="1489" ht="12.75" customHeight="1" x14ac:dyDescent="0.2"/>
    <row r="1490" ht="12.75" customHeight="1" x14ac:dyDescent="0.2"/>
    <row r="1491" ht="12.75" customHeight="1" x14ac:dyDescent="0.2"/>
    <row r="1492" ht="12.75" customHeight="1" x14ac:dyDescent="0.2"/>
    <row r="1493" ht="12.75" customHeight="1" x14ac:dyDescent="0.2"/>
    <row r="1494" ht="12.75" customHeight="1" x14ac:dyDescent="0.2"/>
    <row r="1495" ht="12.75" customHeight="1" x14ac:dyDescent="0.2"/>
    <row r="1496" ht="12.75" customHeight="1" x14ac:dyDescent="0.2"/>
    <row r="1497" ht="12.75" customHeight="1" x14ac:dyDescent="0.2"/>
    <row r="1498" ht="12.75" customHeight="1" x14ac:dyDescent="0.2"/>
    <row r="1499" ht="12.75" customHeight="1" x14ac:dyDescent="0.2"/>
    <row r="1500" ht="12.75" customHeight="1" x14ac:dyDescent="0.2"/>
    <row r="1501" ht="12.75" customHeight="1" x14ac:dyDescent="0.2"/>
    <row r="1502" ht="12.75" customHeight="1" x14ac:dyDescent="0.2"/>
    <row r="1503" ht="12.75" customHeight="1" x14ac:dyDescent="0.2"/>
    <row r="1504" ht="12.75" customHeight="1" x14ac:dyDescent="0.2"/>
    <row r="1505" ht="12.75" customHeight="1" x14ac:dyDescent="0.2"/>
    <row r="1506" ht="12.75" customHeight="1" x14ac:dyDescent="0.2"/>
    <row r="1507" ht="12.75" customHeight="1" x14ac:dyDescent="0.2"/>
    <row r="1508" ht="12.75" customHeight="1" x14ac:dyDescent="0.2"/>
    <row r="1509" ht="12.75" customHeight="1" x14ac:dyDescent="0.2"/>
    <row r="1510" ht="12.75" customHeight="1" x14ac:dyDescent="0.2"/>
    <row r="1511" ht="12.75" customHeight="1" x14ac:dyDescent="0.2"/>
    <row r="1512" ht="12.75" customHeight="1" x14ac:dyDescent="0.2"/>
    <row r="1513" ht="12.75" customHeight="1" x14ac:dyDescent="0.2"/>
    <row r="1514" ht="12.75" customHeight="1" x14ac:dyDescent="0.2"/>
    <row r="1515" ht="12.75" customHeight="1" x14ac:dyDescent="0.2"/>
    <row r="1516" ht="12.75" customHeight="1" x14ac:dyDescent="0.2"/>
    <row r="1517" ht="12.75" customHeight="1" x14ac:dyDescent="0.2"/>
    <row r="1518" ht="12.75" customHeight="1" x14ac:dyDescent="0.2"/>
    <row r="1519" ht="12.75" customHeight="1" x14ac:dyDescent="0.2"/>
    <row r="1520" ht="12.75" customHeight="1" x14ac:dyDescent="0.2"/>
    <row r="1521" ht="12.75" customHeight="1" x14ac:dyDescent="0.2"/>
    <row r="1522" ht="12.75" customHeight="1" x14ac:dyDescent="0.2"/>
    <row r="1523" ht="12.75" customHeight="1" x14ac:dyDescent="0.2"/>
    <row r="1524" ht="12.75" customHeight="1" x14ac:dyDescent="0.2"/>
    <row r="1525" ht="12.75" customHeight="1" x14ac:dyDescent="0.2"/>
    <row r="1526" ht="12.75" customHeight="1" x14ac:dyDescent="0.2"/>
    <row r="1527" ht="12.75" customHeight="1" x14ac:dyDescent="0.2"/>
    <row r="1528" ht="12.75" customHeight="1" x14ac:dyDescent="0.2"/>
    <row r="1529" ht="12.75" customHeight="1" x14ac:dyDescent="0.2"/>
    <row r="1530" ht="12.75" customHeight="1" x14ac:dyDescent="0.2"/>
    <row r="1531" ht="12.75" customHeight="1" x14ac:dyDescent="0.2"/>
    <row r="1532" ht="12.75" customHeight="1" x14ac:dyDescent="0.2"/>
    <row r="1533" ht="12.75" customHeight="1" x14ac:dyDescent="0.2"/>
    <row r="1534" ht="12.75" customHeight="1" x14ac:dyDescent="0.2"/>
    <row r="1535" ht="12.75" customHeight="1" x14ac:dyDescent="0.2"/>
    <row r="1536" ht="12.75" customHeight="1" x14ac:dyDescent="0.2"/>
    <row r="1537" ht="12.75" customHeight="1" x14ac:dyDescent="0.2"/>
    <row r="1538" ht="12.75" customHeight="1" x14ac:dyDescent="0.2"/>
    <row r="1539" ht="12.75" customHeight="1" x14ac:dyDescent="0.2"/>
    <row r="1540" ht="12.75" customHeight="1" x14ac:dyDescent="0.2"/>
    <row r="1541" ht="12.75" customHeight="1" x14ac:dyDescent="0.2"/>
    <row r="1542" ht="12.75" customHeight="1" x14ac:dyDescent="0.2"/>
    <row r="1543" ht="12.75" customHeight="1" x14ac:dyDescent="0.2"/>
    <row r="1544" ht="12.75" customHeight="1" x14ac:dyDescent="0.2"/>
    <row r="1545" ht="12.75" customHeight="1" x14ac:dyDescent="0.2"/>
    <row r="1546" ht="12.75" customHeight="1" x14ac:dyDescent="0.2"/>
    <row r="1547" ht="12.75" customHeight="1" x14ac:dyDescent="0.2"/>
    <row r="1548" ht="12.75" customHeight="1" x14ac:dyDescent="0.2"/>
    <row r="1549" ht="12.75" customHeight="1" x14ac:dyDescent="0.2"/>
    <row r="1550" ht="12.75" customHeight="1" x14ac:dyDescent="0.2"/>
    <row r="1551" ht="12.75" customHeight="1" x14ac:dyDescent="0.2"/>
    <row r="1552" ht="12.75" customHeight="1" x14ac:dyDescent="0.2"/>
    <row r="1553" ht="12.75" customHeight="1" x14ac:dyDescent="0.2"/>
    <row r="1554" ht="12.75" customHeight="1" x14ac:dyDescent="0.2"/>
    <row r="1555" ht="12.75" customHeight="1" x14ac:dyDescent="0.2"/>
    <row r="1556" ht="12.75" customHeight="1" x14ac:dyDescent="0.2"/>
    <row r="1557" ht="12.75" customHeight="1" x14ac:dyDescent="0.2"/>
    <row r="1558" ht="12.75" customHeight="1" x14ac:dyDescent="0.2"/>
    <row r="1559" ht="12.75" customHeight="1" x14ac:dyDescent="0.2"/>
    <row r="1560" ht="12.75" customHeight="1" x14ac:dyDescent="0.2"/>
    <row r="1561" ht="12.75" customHeight="1" x14ac:dyDescent="0.2"/>
    <row r="1562" ht="12.75" customHeight="1" x14ac:dyDescent="0.2"/>
    <row r="1563" ht="12.75" customHeight="1" x14ac:dyDescent="0.2"/>
    <row r="1564" ht="12.75" customHeight="1" x14ac:dyDescent="0.2"/>
    <row r="1565" ht="12.75" customHeight="1" x14ac:dyDescent="0.2"/>
    <row r="1566" ht="12.75" customHeight="1" x14ac:dyDescent="0.2"/>
    <row r="1567" ht="12.75" customHeight="1" x14ac:dyDescent="0.2"/>
    <row r="1568" ht="12.75" customHeight="1" x14ac:dyDescent="0.2"/>
    <row r="1569" ht="12.75" customHeight="1" x14ac:dyDescent="0.2"/>
    <row r="1570" ht="12.75" customHeight="1" x14ac:dyDescent="0.2"/>
    <row r="1571" ht="12.75" customHeight="1" x14ac:dyDescent="0.2"/>
    <row r="1572" ht="12.75" customHeight="1" x14ac:dyDescent="0.2"/>
    <row r="1573" ht="12.75" customHeight="1" x14ac:dyDescent="0.2"/>
    <row r="1574" ht="12.75" customHeight="1" x14ac:dyDescent="0.2"/>
    <row r="1575" ht="12.75" customHeight="1" x14ac:dyDescent="0.2"/>
    <row r="1576" ht="12.75" customHeight="1" x14ac:dyDescent="0.2"/>
    <row r="1577" ht="12.75" customHeight="1" x14ac:dyDescent="0.2"/>
    <row r="1578" ht="12.75" customHeight="1" x14ac:dyDescent="0.2"/>
    <row r="1579" ht="12.75" customHeight="1" x14ac:dyDescent="0.2"/>
    <row r="1580" ht="12.75" customHeight="1" x14ac:dyDescent="0.2"/>
    <row r="1581" ht="12.75" customHeight="1" x14ac:dyDescent="0.2"/>
    <row r="1582" ht="12.75" customHeight="1" x14ac:dyDescent="0.2"/>
    <row r="1583" ht="12.75" customHeight="1" x14ac:dyDescent="0.2"/>
    <row r="1584" ht="12.75" customHeight="1" x14ac:dyDescent="0.2"/>
    <row r="1585" ht="12.75" customHeight="1" x14ac:dyDescent="0.2"/>
    <row r="1586" ht="12.75" customHeight="1" x14ac:dyDescent="0.2"/>
    <row r="1587" ht="12.75" customHeight="1" x14ac:dyDescent="0.2"/>
    <row r="1588" ht="12.75" customHeight="1" x14ac:dyDescent="0.2"/>
    <row r="1589" ht="12.75" customHeight="1" x14ac:dyDescent="0.2"/>
    <row r="1590" ht="12.75" customHeight="1" x14ac:dyDescent="0.2"/>
    <row r="1591" ht="12.75" customHeight="1" x14ac:dyDescent="0.2"/>
    <row r="1592" ht="12.75" customHeight="1" x14ac:dyDescent="0.2"/>
    <row r="1593" ht="12.75" customHeight="1" x14ac:dyDescent="0.2"/>
    <row r="1594" ht="12.75" customHeight="1" x14ac:dyDescent="0.2"/>
    <row r="1595" ht="12.75" customHeight="1" x14ac:dyDescent="0.2"/>
    <row r="1596" ht="12.75" customHeight="1" x14ac:dyDescent="0.2"/>
    <row r="1597" ht="12.75" customHeight="1" x14ac:dyDescent="0.2"/>
    <row r="1598" ht="12.75" customHeight="1" x14ac:dyDescent="0.2"/>
    <row r="1599" ht="12.75" customHeight="1" x14ac:dyDescent="0.2"/>
    <row r="1600" ht="12.75" customHeight="1" x14ac:dyDescent="0.2"/>
    <row r="1601" ht="12.75" customHeight="1" x14ac:dyDescent="0.2"/>
    <row r="1602" ht="12.75" customHeight="1" x14ac:dyDescent="0.2"/>
    <row r="1603" ht="12.75" customHeight="1" x14ac:dyDescent="0.2"/>
    <row r="1604" ht="12.75" customHeight="1" x14ac:dyDescent="0.2"/>
    <row r="1605" ht="12.75" customHeight="1" x14ac:dyDescent="0.2"/>
    <row r="1606" ht="12.75" customHeight="1" x14ac:dyDescent="0.2"/>
    <row r="1607" ht="12.75" customHeight="1" x14ac:dyDescent="0.2"/>
    <row r="1608" ht="12.75" customHeight="1" x14ac:dyDescent="0.2"/>
    <row r="1609" ht="12.75" customHeight="1" x14ac:dyDescent="0.2"/>
    <row r="1610" ht="12.75" customHeight="1" x14ac:dyDescent="0.2"/>
    <row r="1611" ht="12.75" customHeight="1" x14ac:dyDescent="0.2"/>
    <row r="1612" ht="12.75" customHeight="1" x14ac:dyDescent="0.2"/>
    <row r="1613" ht="12.75" customHeight="1" x14ac:dyDescent="0.2"/>
    <row r="1614" ht="12.75" customHeight="1" x14ac:dyDescent="0.2"/>
    <row r="1615" ht="12.75" customHeight="1" x14ac:dyDescent="0.2"/>
    <row r="1616" ht="12.75" customHeight="1" x14ac:dyDescent="0.2"/>
    <row r="1617" ht="12.75" customHeight="1" x14ac:dyDescent="0.2"/>
    <row r="1618" ht="12.75" customHeight="1" x14ac:dyDescent="0.2"/>
    <row r="1619" ht="12.75" customHeight="1" x14ac:dyDescent="0.2"/>
    <row r="1620" ht="12.75" customHeight="1" x14ac:dyDescent="0.2"/>
    <row r="1621" ht="12.75" customHeight="1" x14ac:dyDescent="0.2"/>
    <row r="1622" ht="12.75" customHeight="1" x14ac:dyDescent="0.2"/>
    <row r="1623" ht="12.75" customHeight="1" x14ac:dyDescent="0.2"/>
    <row r="1624" ht="12.75" customHeight="1" x14ac:dyDescent="0.2"/>
    <row r="1625" ht="12.75" customHeight="1" x14ac:dyDescent="0.2"/>
    <row r="1626" ht="12.75" customHeight="1" x14ac:dyDescent="0.2"/>
    <row r="1627" ht="12.75" customHeight="1" x14ac:dyDescent="0.2"/>
    <row r="1628" ht="12.75" customHeight="1" x14ac:dyDescent="0.2"/>
    <row r="1629" ht="12.75" customHeight="1" x14ac:dyDescent="0.2"/>
    <row r="1630" ht="12.75" customHeight="1" x14ac:dyDescent="0.2"/>
    <row r="1631" ht="12.75" customHeight="1" x14ac:dyDescent="0.2"/>
    <row r="1632" ht="12.75" customHeight="1" x14ac:dyDescent="0.2"/>
    <row r="1633" ht="12.75" customHeight="1" x14ac:dyDescent="0.2"/>
    <row r="1634" ht="12.75" customHeight="1" x14ac:dyDescent="0.2"/>
    <row r="1635" ht="12.75" customHeight="1" x14ac:dyDescent="0.2"/>
    <row r="1636" ht="12.75" customHeight="1" x14ac:dyDescent="0.2"/>
    <row r="1637" ht="12.75" customHeight="1" x14ac:dyDescent="0.2"/>
    <row r="1638" ht="12.75" customHeight="1" x14ac:dyDescent="0.2"/>
    <row r="1639" ht="12.75" customHeight="1" x14ac:dyDescent="0.2"/>
    <row r="1640" ht="12.75" customHeight="1" x14ac:dyDescent="0.2"/>
    <row r="1641" ht="12.75" customHeight="1" x14ac:dyDescent="0.2"/>
    <row r="1642" ht="12.75" customHeight="1" x14ac:dyDescent="0.2"/>
    <row r="1643" ht="12.75" customHeight="1" x14ac:dyDescent="0.2"/>
    <row r="1644" ht="12.75" customHeight="1" x14ac:dyDescent="0.2"/>
    <row r="1645" ht="12.75" customHeight="1" x14ac:dyDescent="0.2"/>
    <row r="1646" ht="12.75" customHeight="1" x14ac:dyDescent="0.2"/>
    <row r="1647" ht="12.75" customHeight="1" x14ac:dyDescent="0.2"/>
    <row r="1648" ht="12.75" customHeight="1" x14ac:dyDescent="0.2"/>
    <row r="1649" ht="12.75" customHeight="1" x14ac:dyDescent="0.2"/>
    <row r="1650" ht="12.75" customHeight="1" x14ac:dyDescent="0.2"/>
    <row r="1651" ht="12.75" customHeight="1" x14ac:dyDescent="0.2"/>
    <row r="1652" ht="12.75" customHeight="1" x14ac:dyDescent="0.2"/>
    <row r="1653" ht="12.75" customHeight="1" x14ac:dyDescent="0.2"/>
    <row r="1654" ht="12.75" customHeight="1" x14ac:dyDescent="0.2"/>
    <row r="1655" ht="12.75" customHeight="1" x14ac:dyDescent="0.2"/>
    <row r="1656" ht="12.75" customHeight="1" x14ac:dyDescent="0.2"/>
    <row r="1657" ht="12.75" customHeight="1" x14ac:dyDescent="0.2"/>
    <row r="1658" ht="12.75" customHeight="1" x14ac:dyDescent="0.2"/>
    <row r="1659" ht="12.75" customHeight="1" x14ac:dyDescent="0.2"/>
    <row r="1660" ht="12.75" customHeight="1" x14ac:dyDescent="0.2"/>
    <row r="1661" ht="12.75" customHeight="1" x14ac:dyDescent="0.2"/>
    <row r="1662" ht="12.75" customHeight="1" x14ac:dyDescent="0.2"/>
    <row r="1663" ht="12.75" customHeight="1" x14ac:dyDescent="0.2"/>
    <row r="1664" ht="12.75" customHeight="1" x14ac:dyDescent="0.2"/>
    <row r="1665" ht="12.75" customHeight="1" x14ac:dyDescent="0.2"/>
    <row r="1666" ht="12.75" customHeight="1" x14ac:dyDescent="0.2"/>
    <row r="1667" ht="12.75" customHeight="1" x14ac:dyDescent="0.2"/>
    <row r="1668" ht="12.75" customHeight="1" x14ac:dyDescent="0.2"/>
    <row r="1669" ht="12.75" customHeight="1" x14ac:dyDescent="0.2"/>
    <row r="1670" ht="12.75" customHeight="1" x14ac:dyDescent="0.2"/>
    <row r="1671" ht="12.75" customHeight="1" x14ac:dyDescent="0.2"/>
    <row r="1672" ht="12.75" customHeight="1" x14ac:dyDescent="0.2"/>
    <row r="1673" ht="12.75" customHeight="1" x14ac:dyDescent="0.2"/>
    <row r="1674" ht="12.75" customHeight="1" x14ac:dyDescent="0.2"/>
    <row r="1675" ht="12.75" customHeight="1" x14ac:dyDescent="0.2"/>
    <row r="1676" ht="12.75" customHeight="1" x14ac:dyDescent="0.2"/>
    <row r="1677" ht="12.75" customHeight="1" x14ac:dyDescent="0.2"/>
    <row r="1678" ht="12.75" customHeight="1" x14ac:dyDescent="0.2"/>
    <row r="1679" ht="12.75" customHeight="1" x14ac:dyDescent="0.2"/>
    <row r="1680" ht="12.75" customHeight="1" x14ac:dyDescent="0.2"/>
    <row r="1681" ht="12.75" customHeight="1" x14ac:dyDescent="0.2"/>
    <row r="1682" ht="12.75" customHeight="1" x14ac:dyDescent="0.2"/>
    <row r="1683" ht="12.75" customHeight="1" x14ac:dyDescent="0.2"/>
    <row r="1684" ht="12.75" customHeight="1" x14ac:dyDescent="0.2"/>
    <row r="1685" ht="12.75" customHeight="1" x14ac:dyDescent="0.2"/>
    <row r="1686" ht="12.75" customHeight="1" x14ac:dyDescent="0.2"/>
    <row r="1687" ht="12.75" customHeight="1" x14ac:dyDescent="0.2"/>
    <row r="1688" ht="12.75" customHeight="1" x14ac:dyDescent="0.2"/>
    <row r="1689" ht="12.75" customHeight="1" x14ac:dyDescent="0.2"/>
    <row r="1690" ht="12.75" customHeight="1" x14ac:dyDescent="0.2"/>
    <row r="1691" ht="12.75" customHeight="1" x14ac:dyDescent="0.2"/>
    <row r="1692" ht="12.75" customHeight="1" x14ac:dyDescent="0.2"/>
    <row r="1693" ht="12.75" customHeight="1" x14ac:dyDescent="0.2"/>
    <row r="1694" ht="12.75" customHeight="1" x14ac:dyDescent="0.2"/>
    <row r="1695" ht="12.75" customHeight="1" x14ac:dyDescent="0.2"/>
    <row r="1696" ht="12.75" customHeight="1" x14ac:dyDescent="0.2"/>
    <row r="1697" ht="12.75" customHeight="1" x14ac:dyDescent="0.2"/>
    <row r="1698" ht="12.75" customHeight="1" x14ac:dyDescent="0.2"/>
    <row r="1699" ht="12.75" customHeight="1" x14ac:dyDescent="0.2"/>
    <row r="1700" ht="12.75" customHeight="1" x14ac:dyDescent="0.2"/>
    <row r="1701" ht="12.75" customHeight="1" x14ac:dyDescent="0.2"/>
    <row r="1702" ht="12.75" customHeight="1" x14ac:dyDescent="0.2"/>
    <row r="1703" ht="12.75" customHeight="1" x14ac:dyDescent="0.2"/>
    <row r="1704" ht="12.75" customHeight="1" x14ac:dyDescent="0.2"/>
    <row r="1705" ht="12.75" customHeight="1" x14ac:dyDescent="0.2"/>
    <row r="1706" ht="12.75" customHeight="1" x14ac:dyDescent="0.2"/>
    <row r="1707" ht="12.75" customHeight="1" x14ac:dyDescent="0.2"/>
    <row r="1708" ht="12.75" customHeight="1" x14ac:dyDescent="0.2"/>
    <row r="1709" ht="12.75" customHeight="1" x14ac:dyDescent="0.2"/>
    <row r="1710" ht="12.75" customHeight="1" x14ac:dyDescent="0.2"/>
    <row r="1711" ht="12.75" customHeight="1" x14ac:dyDescent="0.2"/>
    <row r="1712" ht="12.75" customHeight="1" x14ac:dyDescent="0.2"/>
    <row r="1713" ht="12.75" customHeight="1" x14ac:dyDescent="0.2"/>
    <row r="1714" ht="12.75" customHeight="1" x14ac:dyDescent="0.2"/>
    <row r="1715" ht="12.75" customHeight="1" x14ac:dyDescent="0.2"/>
    <row r="1716" ht="12.75" customHeight="1" x14ac:dyDescent="0.2"/>
    <row r="1717" ht="12.75" customHeight="1" x14ac:dyDescent="0.2"/>
    <row r="1718" ht="12.75" customHeight="1" x14ac:dyDescent="0.2"/>
    <row r="1719" ht="12.75" customHeight="1" x14ac:dyDescent="0.2"/>
    <row r="1720" ht="12.75" customHeight="1" x14ac:dyDescent="0.2"/>
    <row r="1721" ht="12.75" customHeight="1" x14ac:dyDescent="0.2"/>
    <row r="1722" ht="12.75" customHeight="1" x14ac:dyDescent="0.2"/>
    <row r="1723" ht="12.75" customHeight="1" x14ac:dyDescent="0.2"/>
    <row r="1724" ht="12.75" customHeight="1" x14ac:dyDescent="0.2"/>
    <row r="1725" ht="12.75" customHeight="1" x14ac:dyDescent="0.2"/>
    <row r="1726" ht="12.75" customHeight="1" x14ac:dyDescent="0.2"/>
    <row r="1727" ht="12.75" customHeight="1" x14ac:dyDescent="0.2"/>
    <row r="1728" ht="12.75" customHeight="1" x14ac:dyDescent="0.2"/>
    <row r="1729" ht="12.75" customHeight="1" x14ac:dyDescent="0.2"/>
    <row r="1730" ht="12.75" customHeight="1" x14ac:dyDescent="0.2"/>
    <row r="1731" ht="12.75" customHeight="1" x14ac:dyDescent="0.2"/>
    <row r="1732" ht="12.75" customHeight="1" x14ac:dyDescent="0.2"/>
    <row r="1733" ht="12.75" customHeight="1" x14ac:dyDescent="0.2"/>
    <row r="1734" ht="12.75" customHeight="1" x14ac:dyDescent="0.2"/>
    <row r="1735" ht="12.75" customHeight="1" x14ac:dyDescent="0.2"/>
    <row r="1736" ht="12.75" customHeight="1" x14ac:dyDescent="0.2"/>
    <row r="1737" ht="12.75" customHeight="1" x14ac:dyDescent="0.2"/>
    <row r="1738" ht="12.75" customHeight="1" x14ac:dyDescent="0.2"/>
    <row r="1739" ht="12.75" customHeight="1" x14ac:dyDescent="0.2"/>
    <row r="1740" ht="12.75" customHeight="1" x14ac:dyDescent="0.2"/>
    <row r="1741" ht="12.75" customHeight="1" x14ac:dyDescent="0.2"/>
    <row r="1742" ht="12.75" customHeight="1" x14ac:dyDescent="0.2"/>
    <row r="1743" ht="12.75" customHeight="1" x14ac:dyDescent="0.2"/>
    <row r="1744" ht="12.75" customHeight="1" x14ac:dyDescent="0.2"/>
    <row r="1745" ht="12.75" customHeight="1" x14ac:dyDescent="0.2"/>
    <row r="1746" ht="12.75" customHeight="1" x14ac:dyDescent="0.2"/>
    <row r="1747" ht="12.75" customHeight="1" x14ac:dyDescent="0.2"/>
    <row r="1748" ht="12.75" customHeight="1" x14ac:dyDescent="0.2"/>
    <row r="1749" ht="12.75" customHeight="1" x14ac:dyDescent="0.2"/>
    <row r="1750" ht="12.75" customHeight="1" x14ac:dyDescent="0.2"/>
    <row r="1751" ht="12.75" customHeight="1" x14ac:dyDescent="0.2"/>
    <row r="1752" ht="12.75" customHeight="1" x14ac:dyDescent="0.2"/>
    <row r="1753" ht="12.75" customHeight="1" x14ac:dyDescent="0.2"/>
    <row r="1754" ht="12.75" customHeight="1" x14ac:dyDescent="0.2"/>
    <row r="1755" ht="12.75" customHeight="1" x14ac:dyDescent="0.2"/>
    <row r="1756" ht="12.75" customHeight="1" x14ac:dyDescent="0.2"/>
    <row r="1757" ht="12.75" customHeight="1" x14ac:dyDescent="0.2"/>
    <row r="1758" ht="12.75" customHeight="1" x14ac:dyDescent="0.2"/>
    <row r="1759" ht="12.75" customHeight="1" x14ac:dyDescent="0.2"/>
    <row r="1760" ht="12.75" customHeight="1" x14ac:dyDescent="0.2"/>
    <row r="1761" ht="12.75" customHeight="1" x14ac:dyDescent="0.2"/>
    <row r="1762" ht="12.75" customHeight="1" x14ac:dyDescent="0.2"/>
    <row r="1763" ht="12.75" customHeight="1" x14ac:dyDescent="0.2"/>
    <row r="1764" ht="12.75" customHeight="1" x14ac:dyDescent="0.2"/>
    <row r="1765" ht="12.75" customHeight="1" x14ac:dyDescent="0.2"/>
    <row r="1766" ht="12.75" customHeight="1" x14ac:dyDescent="0.2"/>
    <row r="1767" ht="12.75" customHeight="1" x14ac:dyDescent="0.2"/>
    <row r="1768" ht="12.75" customHeight="1" x14ac:dyDescent="0.2"/>
    <row r="1769" ht="12.75" customHeight="1" x14ac:dyDescent="0.2"/>
    <row r="1770" ht="12.75" customHeight="1" x14ac:dyDescent="0.2"/>
    <row r="1771" ht="12.75" customHeight="1" x14ac:dyDescent="0.2"/>
    <row r="1772" ht="12.75" customHeight="1" x14ac:dyDescent="0.2"/>
    <row r="1773" ht="12.75" customHeight="1" x14ac:dyDescent="0.2"/>
    <row r="1774" ht="12.75" customHeight="1" x14ac:dyDescent="0.2"/>
    <row r="1775" ht="12.75" customHeight="1" x14ac:dyDescent="0.2"/>
    <row r="1776" ht="12.75" customHeight="1" x14ac:dyDescent="0.2"/>
    <row r="1777" ht="12.75" customHeight="1" x14ac:dyDescent="0.2"/>
    <row r="1778" ht="12.75" customHeight="1" x14ac:dyDescent="0.2"/>
    <row r="1779" ht="12.75" customHeight="1" x14ac:dyDescent="0.2"/>
    <row r="1780" ht="12.75" customHeight="1" x14ac:dyDescent="0.2"/>
    <row r="1781" ht="12.75" customHeight="1" x14ac:dyDescent="0.2"/>
    <row r="1782" ht="12.75" customHeight="1" x14ac:dyDescent="0.2"/>
    <row r="1783" ht="12.75" customHeight="1" x14ac:dyDescent="0.2"/>
    <row r="1784" ht="12.75" customHeight="1" x14ac:dyDescent="0.2"/>
    <row r="1785" ht="12.75" customHeight="1" x14ac:dyDescent="0.2"/>
    <row r="1786" ht="12.75" customHeight="1" x14ac:dyDescent="0.2"/>
    <row r="1787" ht="12.75" customHeight="1" x14ac:dyDescent="0.2"/>
    <row r="1788" ht="12.75" customHeight="1" x14ac:dyDescent="0.2"/>
    <row r="1789" ht="12.75" customHeight="1" x14ac:dyDescent="0.2"/>
    <row r="1790" ht="12.75" customHeight="1" x14ac:dyDescent="0.2"/>
    <row r="1791" ht="12.75" customHeight="1" x14ac:dyDescent="0.2"/>
    <row r="1792" ht="12.75" customHeight="1" x14ac:dyDescent="0.2"/>
    <row r="1793" ht="12.75" customHeight="1" x14ac:dyDescent="0.2"/>
    <row r="1794" ht="12.75" customHeight="1" x14ac:dyDescent="0.2"/>
    <row r="1795" ht="12.75" customHeight="1" x14ac:dyDescent="0.2"/>
    <row r="1796" ht="12.75" customHeight="1" x14ac:dyDescent="0.2"/>
    <row r="1797" ht="12.75" customHeight="1" x14ac:dyDescent="0.2"/>
    <row r="1798" ht="12.75" customHeight="1" x14ac:dyDescent="0.2"/>
    <row r="1799" ht="12.75" customHeight="1" x14ac:dyDescent="0.2"/>
    <row r="1800" ht="12.75" customHeight="1" x14ac:dyDescent="0.2"/>
    <row r="1801" ht="12.75" customHeight="1" x14ac:dyDescent="0.2"/>
    <row r="1802" ht="12.75" customHeight="1" x14ac:dyDescent="0.2"/>
    <row r="1803" ht="12.75" customHeight="1" x14ac:dyDescent="0.2"/>
    <row r="1804" ht="12.75" customHeight="1" x14ac:dyDescent="0.2"/>
    <row r="1805" ht="12.75" customHeight="1" x14ac:dyDescent="0.2"/>
    <row r="1806" ht="12.75" customHeight="1" x14ac:dyDescent="0.2"/>
    <row r="1807" ht="12.75" customHeight="1" x14ac:dyDescent="0.2"/>
    <row r="1808" ht="12.75" customHeight="1" x14ac:dyDescent="0.2"/>
    <row r="1809" ht="12.75" customHeight="1" x14ac:dyDescent="0.2"/>
    <row r="1810" ht="12.75" customHeight="1" x14ac:dyDescent="0.2"/>
    <row r="1811" ht="12.75" customHeight="1" x14ac:dyDescent="0.2"/>
    <row r="1812" ht="12.75" customHeight="1" x14ac:dyDescent="0.2"/>
    <row r="1813" ht="12.75" customHeight="1" x14ac:dyDescent="0.2"/>
    <row r="1814" ht="12.75" customHeight="1" x14ac:dyDescent="0.2"/>
    <row r="1815" ht="12.75" customHeight="1" x14ac:dyDescent="0.2"/>
    <row r="1816" ht="12.75" customHeight="1" x14ac:dyDescent="0.2"/>
    <row r="1817" ht="12.75" customHeight="1" x14ac:dyDescent="0.2"/>
    <row r="1818" ht="12.75" customHeight="1" x14ac:dyDescent="0.2"/>
    <row r="1819" ht="12.75" customHeight="1" x14ac:dyDescent="0.2"/>
    <row r="1820" ht="12.75" customHeight="1" x14ac:dyDescent="0.2"/>
    <row r="1821" ht="12.75" customHeight="1" x14ac:dyDescent="0.2"/>
    <row r="1822" ht="12.75" customHeight="1" x14ac:dyDescent="0.2"/>
    <row r="1823" ht="12.75" customHeight="1" x14ac:dyDescent="0.2"/>
    <row r="1824" ht="12.75" customHeight="1" x14ac:dyDescent="0.2"/>
    <row r="1825" ht="12.75" customHeight="1" x14ac:dyDescent="0.2"/>
    <row r="1826" ht="12.75" customHeight="1" x14ac:dyDescent="0.2"/>
    <row r="1827" ht="12.75" customHeight="1" x14ac:dyDescent="0.2"/>
    <row r="1828" ht="12.75" customHeight="1" x14ac:dyDescent="0.2"/>
    <row r="1829" ht="12.75" customHeight="1" x14ac:dyDescent="0.2"/>
    <row r="1830" ht="12.75" customHeight="1" x14ac:dyDescent="0.2"/>
    <row r="1831" ht="12.75" customHeight="1" x14ac:dyDescent="0.2"/>
    <row r="1832" ht="12.75" customHeight="1" x14ac:dyDescent="0.2"/>
    <row r="1833" ht="12.75" customHeight="1" x14ac:dyDescent="0.2"/>
    <row r="1834" ht="12.75" customHeight="1" x14ac:dyDescent="0.2"/>
    <row r="1835" ht="12.75" customHeight="1" x14ac:dyDescent="0.2"/>
    <row r="1836" ht="12.75" customHeight="1" x14ac:dyDescent="0.2"/>
    <row r="1837" ht="12.75" customHeight="1" x14ac:dyDescent="0.2"/>
    <row r="1838" ht="12.75" customHeight="1" x14ac:dyDescent="0.2"/>
    <row r="1839" ht="12.75" customHeight="1" x14ac:dyDescent="0.2"/>
    <row r="1840" ht="12.75" customHeight="1" x14ac:dyDescent="0.2"/>
    <row r="1841" ht="12.75" customHeight="1" x14ac:dyDescent="0.2"/>
    <row r="1842" ht="12.75" customHeight="1" x14ac:dyDescent="0.2"/>
    <row r="1843" ht="12.75" customHeight="1" x14ac:dyDescent="0.2"/>
    <row r="1844" ht="12.75" customHeight="1" x14ac:dyDescent="0.2"/>
    <row r="1845" ht="12.75" customHeight="1" x14ac:dyDescent="0.2"/>
    <row r="1846" ht="12.75" customHeight="1" x14ac:dyDescent="0.2"/>
    <row r="1847" ht="12.75" customHeight="1" x14ac:dyDescent="0.2"/>
    <row r="1848" ht="12.75" customHeight="1" x14ac:dyDescent="0.2"/>
    <row r="1849" ht="12.75" customHeight="1" x14ac:dyDescent="0.2"/>
    <row r="1850" ht="12.75" customHeight="1" x14ac:dyDescent="0.2"/>
    <row r="1851" ht="12.75" customHeight="1" x14ac:dyDescent="0.2"/>
    <row r="1852" ht="12.75" customHeight="1" x14ac:dyDescent="0.2"/>
    <row r="1853" ht="12.75" customHeight="1" x14ac:dyDescent="0.2"/>
    <row r="1854" ht="12.75" customHeight="1" x14ac:dyDescent="0.2"/>
    <row r="1855" ht="12.75" customHeight="1" x14ac:dyDescent="0.2"/>
    <row r="1856" ht="12.75" customHeight="1" x14ac:dyDescent="0.2"/>
    <row r="1857" ht="12.75" customHeight="1" x14ac:dyDescent="0.2"/>
    <row r="1858" ht="12.75" customHeight="1" x14ac:dyDescent="0.2"/>
    <row r="1859" ht="12.75" customHeight="1" x14ac:dyDescent="0.2"/>
    <row r="1860" ht="12.75" customHeight="1" x14ac:dyDescent="0.2"/>
    <row r="1861" ht="12.75" customHeight="1" x14ac:dyDescent="0.2"/>
    <row r="1862" ht="12.75" customHeight="1" x14ac:dyDescent="0.2"/>
    <row r="1863" ht="12.75" customHeight="1" x14ac:dyDescent="0.2"/>
    <row r="1864" ht="12.75" customHeight="1" x14ac:dyDescent="0.2"/>
    <row r="1865" ht="12.75" customHeight="1" x14ac:dyDescent="0.2"/>
    <row r="1866" ht="12.75" customHeight="1" x14ac:dyDescent="0.2"/>
    <row r="1867" ht="12.75" customHeight="1" x14ac:dyDescent="0.2"/>
    <row r="1868" ht="12.75" customHeight="1" x14ac:dyDescent="0.2"/>
    <row r="1869" ht="12.75" customHeight="1" x14ac:dyDescent="0.2"/>
    <row r="1870" ht="12.75" customHeight="1" x14ac:dyDescent="0.2"/>
    <row r="1871" ht="12.75" customHeight="1" x14ac:dyDescent="0.2"/>
    <row r="1872" ht="12.75" customHeight="1" x14ac:dyDescent="0.2"/>
    <row r="1873" ht="12.75" customHeight="1" x14ac:dyDescent="0.2"/>
    <row r="1874" ht="12.75" customHeight="1" x14ac:dyDescent="0.2"/>
    <row r="1875" ht="12.75" customHeight="1" x14ac:dyDescent="0.2"/>
    <row r="1876" ht="12.75" customHeight="1" x14ac:dyDescent="0.2"/>
    <row r="1877" ht="12.75" customHeight="1" x14ac:dyDescent="0.2"/>
    <row r="1878" ht="12.75" customHeight="1" x14ac:dyDescent="0.2"/>
    <row r="1879" ht="12.75" customHeight="1" x14ac:dyDescent="0.2"/>
    <row r="1880" ht="12.75" customHeight="1" x14ac:dyDescent="0.2"/>
    <row r="1881" ht="12.75" customHeight="1" x14ac:dyDescent="0.2"/>
    <row r="1882" ht="12.75" customHeight="1" x14ac:dyDescent="0.2"/>
    <row r="1883" ht="12.75" customHeight="1" x14ac:dyDescent="0.2"/>
    <row r="1884" ht="12.75" customHeight="1" x14ac:dyDescent="0.2"/>
    <row r="1885" ht="12.75" customHeight="1" x14ac:dyDescent="0.2"/>
    <row r="1886" ht="12.75" customHeight="1" x14ac:dyDescent="0.2"/>
    <row r="1887" ht="12.75" customHeight="1" x14ac:dyDescent="0.2"/>
    <row r="1888" ht="12.75" customHeight="1" x14ac:dyDescent="0.2"/>
    <row r="1889" ht="12.75" customHeight="1" x14ac:dyDescent="0.2"/>
    <row r="1890" ht="12.75" customHeight="1" x14ac:dyDescent="0.2"/>
    <row r="1891" ht="12.75" customHeight="1" x14ac:dyDescent="0.2"/>
    <row r="1892" ht="12.75" customHeight="1" x14ac:dyDescent="0.2"/>
    <row r="1893" ht="12.75" customHeight="1" x14ac:dyDescent="0.2"/>
    <row r="1894" ht="12.75" customHeight="1" x14ac:dyDescent="0.2"/>
    <row r="1895" ht="12.75" customHeight="1" x14ac:dyDescent="0.2"/>
    <row r="1896" ht="12.75" customHeight="1" x14ac:dyDescent="0.2"/>
    <row r="1897" ht="12.75" customHeight="1" x14ac:dyDescent="0.2"/>
    <row r="1898" ht="12.75" customHeight="1" x14ac:dyDescent="0.2"/>
    <row r="1899" ht="12.75" customHeight="1" x14ac:dyDescent="0.2"/>
    <row r="1900" ht="12.75" customHeight="1" x14ac:dyDescent="0.2"/>
    <row r="1901" ht="12.75" customHeight="1" x14ac:dyDescent="0.2"/>
    <row r="1902" ht="12.75" customHeight="1" x14ac:dyDescent="0.2"/>
    <row r="1903" ht="12.75" customHeight="1" x14ac:dyDescent="0.2"/>
    <row r="1904" ht="12.75" customHeight="1" x14ac:dyDescent="0.2"/>
    <row r="1905" ht="12.75" customHeight="1" x14ac:dyDescent="0.2"/>
    <row r="1906" ht="12.75" customHeight="1" x14ac:dyDescent="0.2"/>
    <row r="1907" ht="12.75" customHeight="1" x14ac:dyDescent="0.2"/>
    <row r="1908" ht="12.75" customHeight="1" x14ac:dyDescent="0.2"/>
    <row r="1909" ht="12.75" customHeight="1" x14ac:dyDescent="0.2"/>
    <row r="1910" ht="12.75" customHeight="1" x14ac:dyDescent="0.2"/>
    <row r="1911" ht="12.75" customHeight="1" x14ac:dyDescent="0.2"/>
    <row r="1912" ht="12.75" customHeight="1" x14ac:dyDescent="0.2"/>
    <row r="1913" ht="12.75" customHeight="1" x14ac:dyDescent="0.2"/>
    <row r="1914" ht="12.75" customHeight="1" x14ac:dyDescent="0.2"/>
    <row r="1915" ht="12.75" customHeight="1" x14ac:dyDescent="0.2"/>
    <row r="1916" ht="12.75" customHeight="1" x14ac:dyDescent="0.2"/>
    <row r="1917" ht="12.75" customHeight="1" x14ac:dyDescent="0.2"/>
    <row r="1918" ht="12.75" customHeight="1" x14ac:dyDescent="0.2"/>
    <row r="1919" ht="12.75" customHeight="1" x14ac:dyDescent="0.2"/>
    <row r="1920" ht="12.75" customHeight="1" x14ac:dyDescent="0.2"/>
    <row r="1921" ht="12.75" customHeight="1" x14ac:dyDescent="0.2"/>
    <row r="1922" ht="12.75" customHeight="1" x14ac:dyDescent="0.2"/>
    <row r="1923" ht="12.75" customHeight="1" x14ac:dyDescent="0.2"/>
    <row r="1924" ht="12.75" customHeight="1" x14ac:dyDescent="0.2"/>
    <row r="1925" ht="12.75" customHeight="1" x14ac:dyDescent="0.2"/>
    <row r="1926" ht="12.75" customHeight="1" x14ac:dyDescent="0.2"/>
    <row r="1927" ht="12.75" customHeight="1" x14ac:dyDescent="0.2"/>
    <row r="1928" ht="12.75" customHeight="1" x14ac:dyDescent="0.2"/>
    <row r="1929" ht="12.75" customHeight="1" x14ac:dyDescent="0.2"/>
    <row r="1930" ht="12.75" customHeight="1" x14ac:dyDescent="0.2"/>
    <row r="1931" ht="12.75" customHeight="1" x14ac:dyDescent="0.2"/>
    <row r="1932" ht="12.75" customHeight="1" x14ac:dyDescent="0.2"/>
    <row r="1933" ht="12.75" customHeight="1" x14ac:dyDescent="0.2"/>
    <row r="1934" ht="12.75" customHeight="1" x14ac:dyDescent="0.2"/>
    <row r="1935" ht="12.75" customHeight="1" x14ac:dyDescent="0.2"/>
    <row r="1936" ht="12.75" customHeight="1" x14ac:dyDescent="0.2"/>
    <row r="1937" ht="12.75" customHeight="1" x14ac:dyDescent="0.2"/>
    <row r="1938" ht="12.75" customHeight="1" x14ac:dyDescent="0.2"/>
    <row r="1939" ht="12.75" customHeight="1" x14ac:dyDescent="0.2"/>
    <row r="1940" ht="12.75" customHeight="1" x14ac:dyDescent="0.2"/>
    <row r="1941" ht="12.75" customHeight="1" x14ac:dyDescent="0.2"/>
    <row r="1942" ht="12.75" customHeight="1" x14ac:dyDescent="0.2"/>
    <row r="1943" ht="12.75" customHeight="1" x14ac:dyDescent="0.2"/>
    <row r="1944" ht="12.75" customHeight="1" x14ac:dyDescent="0.2"/>
    <row r="1945" ht="12.75" customHeight="1" x14ac:dyDescent="0.2"/>
    <row r="1946" ht="12.75" customHeight="1" x14ac:dyDescent="0.2"/>
    <row r="1947" ht="12.75" customHeight="1" x14ac:dyDescent="0.2"/>
    <row r="1948" ht="12.75" customHeight="1" x14ac:dyDescent="0.2"/>
    <row r="1949" ht="12.75" customHeight="1" x14ac:dyDescent="0.2"/>
    <row r="1950" ht="12.75" customHeight="1" x14ac:dyDescent="0.2"/>
    <row r="1951" ht="12.75" customHeight="1" x14ac:dyDescent="0.2"/>
    <row r="1952" ht="12.75" customHeight="1" x14ac:dyDescent="0.2"/>
    <row r="1953" ht="12.75" customHeight="1" x14ac:dyDescent="0.2"/>
    <row r="1954" ht="12.75" customHeight="1" x14ac:dyDescent="0.2"/>
    <row r="1955" ht="12.75" customHeight="1" x14ac:dyDescent="0.2"/>
    <row r="1956" ht="12.75" customHeight="1" x14ac:dyDescent="0.2"/>
    <row r="1957" ht="12.75" customHeight="1" x14ac:dyDescent="0.2"/>
    <row r="1958" ht="12.75" customHeight="1" x14ac:dyDescent="0.2"/>
    <row r="1959" ht="12.75" customHeight="1" x14ac:dyDescent="0.2"/>
    <row r="1960" ht="12.75" customHeight="1" x14ac:dyDescent="0.2"/>
    <row r="1961" ht="12.75" customHeight="1" x14ac:dyDescent="0.2"/>
    <row r="1962" ht="12.75" customHeight="1" x14ac:dyDescent="0.2"/>
    <row r="1963" ht="12.75" customHeight="1" x14ac:dyDescent="0.2"/>
    <row r="1964" ht="12.75" customHeight="1" x14ac:dyDescent="0.2"/>
    <row r="1965" ht="12.75" customHeight="1" x14ac:dyDescent="0.2"/>
    <row r="1966" ht="12.75" customHeight="1" x14ac:dyDescent="0.2"/>
    <row r="1967" ht="12.75" customHeight="1" x14ac:dyDescent="0.2"/>
    <row r="1968" ht="12.75" customHeight="1" x14ac:dyDescent="0.2"/>
    <row r="1969" ht="12.75" customHeight="1" x14ac:dyDescent="0.2"/>
    <row r="1970" ht="12.75" customHeight="1" x14ac:dyDescent="0.2"/>
    <row r="1971" ht="12.75" customHeight="1" x14ac:dyDescent="0.2"/>
    <row r="1972" ht="12.75" customHeight="1" x14ac:dyDescent="0.2"/>
    <row r="1973" ht="12.75" customHeight="1" x14ac:dyDescent="0.2"/>
    <row r="1974" ht="12.75" customHeight="1" x14ac:dyDescent="0.2"/>
    <row r="1975" ht="12.75" customHeight="1" x14ac:dyDescent="0.2"/>
    <row r="1976" ht="12.75" customHeight="1" x14ac:dyDescent="0.2"/>
    <row r="1977" ht="12.75" customHeight="1" x14ac:dyDescent="0.2"/>
    <row r="1978" ht="12.75" customHeight="1" x14ac:dyDescent="0.2"/>
    <row r="1979" ht="12.75" customHeight="1" x14ac:dyDescent="0.2"/>
    <row r="1980" ht="12.75" customHeight="1" x14ac:dyDescent="0.2"/>
    <row r="1981" ht="12.75" customHeight="1" x14ac:dyDescent="0.2"/>
    <row r="1982" ht="12.75" customHeight="1" x14ac:dyDescent="0.2"/>
    <row r="1983" ht="12.75" customHeight="1" x14ac:dyDescent="0.2"/>
    <row r="1984" ht="12.75" customHeight="1" x14ac:dyDescent="0.2"/>
    <row r="1985" ht="12.75" customHeight="1" x14ac:dyDescent="0.2"/>
    <row r="1986" ht="12.75" customHeight="1" x14ac:dyDescent="0.2"/>
    <row r="1987" ht="12.75" customHeight="1" x14ac:dyDescent="0.2"/>
    <row r="1988" ht="12.75" customHeight="1" x14ac:dyDescent="0.2"/>
    <row r="1989" ht="12.75" customHeight="1" x14ac:dyDescent="0.2"/>
    <row r="1990" ht="12.75" customHeight="1" x14ac:dyDescent="0.2"/>
    <row r="1991" ht="12.75" customHeight="1" x14ac:dyDescent="0.2"/>
    <row r="1992" ht="12.75" customHeight="1" x14ac:dyDescent="0.2"/>
    <row r="1993" ht="12.75" customHeight="1" x14ac:dyDescent="0.2"/>
    <row r="1994" ht="12.75" customHeight="1" x14ac:dyDescent="0.2"/>
    <row r="1995" ht="12.75" customHeight="1" x14ac:dyDescent="0.2"/>
    <row r="1996" ht="12.75" customHeight="1" x14ac:dyDescent="0.2"/>
    <row r="1997" ht="12.75" customHeight="1" x14ac:dyDescent="0.2"/>
    <row r="1998" ht="12.75" customHeight="1" x14ac:dyDescent="0.2"/>
    <row r="1999" ht="12.75" customHeight="1" x14ac:dyDescent="0.2"/>
    <row r="2000" ht="12.75" customHeight="1" x14ac:dyDescent="0.2"/>
    <row r="2001" ht="12.75" customHeight="1" x14ac:dyDescent="0.2"/>
    <row r="2002" ht="12.75" customHeight="1" x14ac:dyDescent="0.2"/>
    <row r="2003" ht="12.75" customHeight="1" x14ac:dyDescent="0.2"/>
    <row r="2004" ht="12.75" customHeight="1" x14ac:dyDescent="0.2"/>
    <row r="2005" ht="12.75" customHeight="1" x14ac:dyDescent="0.2"/>
    <row r="2006" ht="12.75" customHeight="1" x14ac:dyDescent="0.2"/>
    <row r="2007" ht="12.75" customHeight="1" x14ac:dyDescent="0.2"/>
    <row r="2008" ht="12.75" customHeight="1" x14ac:dyDescent="0.2"/>
    <row r="2009" ht="12.75" customHeight="1" x14ac:dyDescent="0.2"/>
    <row r="2010" ht="12.75" customHeight="1" x14ac:dyDescent="0.2"/>
    <row r="2011" ht="12.75" customHeight="1" x14ac:dyDescent="0.2"/>
    <row r="2012" ht="12.75" customHeight="1" x14ac:dyDescent="0.2"/>
    <row r="2013" ht="12.75" customHeight="1" x14ac:dyDescent="0.2"/>
    <row r="2014" ht="12.75" customHeight="1" x14ac:dyDescent="0.2"/>
    <row r="2015" ht="12.75" customHeight="1" x14ac:dyDescent="0.2"/>
    <row r="2016" ht="12.75" customHeight="1" x14ac:dyDescent="0.2"/>
    <row r="2017" ht="12.75" customHeight="1" x14ac:dyDescent="0.2"/>
    <row r="2018" ht="12.75" customHeight="1" x14ac:dyDescent="0.2"/>
    <row r="2019" ht="12.75" customHeight="1" x14ac:dyDescent="0.2"/>
    <row r="2020" ht="12.75" customHeight="1" x14ac:dyDescent="0.2"/>
    <row r="2021" ht="12.75" customHeight="1" x14ac:dyDescent="0.2"/>
    <row r="2022" ht="12.75" customHeight="1" x14ac:dyDescent="0.2"/>
    <row r="2023" ht="12.75" customHeight="1" x14ac:dyDescent="0.2"/>
    <row r="2024" ht="12.75" customHeight="1" x14ac:dyDescent="0.2"/>
    <row r="2025" ht="12.75" customHeight="1" x14ac:dyDescent="0.2"/>
    <row r="2026" ht="12.75" customHeight="1" x14ac:dyDescent="0.2"/>
    <row r="2027" ht="12.75" customHeight="1" x14ac:dyDescent="0.2"/>
    <row r="2028" ht="12.75" customHeight="1" x14ac:dyDescent="0.2"/>
    <row r="2029" ht="12.75" customHeight="1" x14ac:dyDescent="0.2"/>
    <row r="2030" ht="12.75" customHeight="1" x14ac:dyDescent="0.2"/>
    <row r="2031" ht="12.75" customHeight="1" x14ac:dyDescent="0.2"/>
    <row r="2032" ht="12.75" customHeight="1" x14ac:dyDescent="0.2"/>
    <row r="2033" ht="12.75" customHeight="1" x14ac:dyDescent="0.2"/>
    <row r="2034" ht="12.75" customHeight="1" x14ac:dyDescent="0.2"/>
    <row r="2035" ht="12.75" customHeight="1" x14ac:dyDescent="0.2"/>
    <row r="2036" ht="12.75" customHeight="1" x14ac:dyDescent="0.2"/>
    <row r="2037" ht="12.75" customHeight="1" x14ac:dyDescent="0.2"/>
    <row r="2038" ht="12.75" customHeight="1" x14ac:dyDescent="0.2"/>
    <row r="2039" ht="12.75" customHeight="1" x14ac:dyDescent="0.2"/>
    <row r="2040" ht="12.75" customHeight="1" x14ac:dyDescent="0.2"/>
    <row r="2041" ht="12.75" customHeight="1" x14ac:dyDescent="0.2"/>
    <row r="2042" ht="12.75" customHeight="1" x14ac:dyDescent="0.2"/>
    <row r="2043" ht="12.75" customHeight="1" x14ac:dyDescent="0.2"/>
    <row r="2044" ht="12.75" customHeight="1" x14ac:dyDescent="0.2"/>
    <row r="2045" ht="12.75" customHeight="1" x14ac:dyDescent="0.2"/>
    <row r="2046" ht="12.75" customHeight="1" x14ac:dyDescent="0.2"/>
    <row r="2047" ht="12.75" customHeight="1" x14ac:dyDescent="0.2"/>
    <row r="2048" ht="12.75" customHeight="1" x14ac:dyDescent="0.2"/>
    <row r="2049" ht="12.75" customHeight="1" x14ac:dyDescent="0.2"/>
    <row r="2050" ht="12.75" customHeight="1" x14ac:dyDescent="0.2"/>
    <row r="2051" ht="12.75" customHeight="1" x14ac:dyDescent="0.2"/>
    <row r="2052" ht="12.75" customHeight="1" x14ac:dyDescent="0.2"/>
    <row r="2053" ht="12.75" customHeight="1" x14ac:dyDescent="0.2"/>
    <row r="2054" ht="12.75" customHeight="1" x14ac:dyDescent="0.2"/>
    <row r="2055" ht="12.75" customHeight="1" x14ac:dyDescent="0.2"/>
    <row r="2056" ht="12.75" customHeight="1" x14ac:dyDescent="0.2"/>
    <row r="2057" ht="12.75" customHeight="1" x14ac:dyDescent="0.2"/>
    <row r="2058" ht="12.75" customHeight="1" x14ac:dyDescent="0.2"/>
    <row r="2059" ht="12.75" customHeight="1" x14ac:dyDescent="0.2"/>
    <row r="2060" ht="12.75" customHeight="1" x14ac:dyDescent="0.2"/>
    <row r="2061" ht="12.75" customHeight="1" x14ac:dyDescent="0.2"/>
    <row r="2062" ht="12.75" customHeight="1" x14ac:dyDescent="0.2"/>
    <row r="2063" ht="12.75" customHeight="1" x14ac:dyDescent="0.2"/>
    <row r="2064" ht="12.75" customHeight="1" x14ac:dyDescent="0.2"/>
    <row r="2065" ht="12.75" customHeight="1" x14ac:dyDescent="0.2"/>
    <row r="2066" ht="12.75" customHeight="1" x14ac:dyDescent="0.2"/>
    <row r="2067" ht="12.75" customHeight="1" x14ac:dyDescent="0.2"/>
    <row r="2068" ht="12.75" customHeight="1" x14ac:dyDescent="0.2"/>
    <row r="2069" ht="12.75" customHeight="1" x14ac:dyDescent="0.2"/>
    <row r="2070" ht="12.75" customHeight="1" x14ac:dyDescent="0.2"/>
    <row r="2071" ht="12.75" customHeight="1" x14ac:dyDescent="0.2"/>
    <row r="2072" ht="12.75" customHeight="1" x14ac:dyDescent="0.2"/>
    <row r="2073" ht="12.75" customHeight="1" x14ac:dyDescent="0.2"/>
    <row r="2074" ht="12.75" customHeight="1" x14ac:dyDescent="0.2"/>
    <row r="2075" ht="12.75" customHeight="1" x14ac:dyDescent="0.2"/>
    <row r="2076" ht="12.75" customHeight="1" x14ac:dyDescent="0.2"/>
    <row r="2077" ht="12.75" customHeight="1" x14ac:dyDescent="0.2"/>
    <row r="2078" ht="12.75" customHeight="1" x14ac:dyDescent="0.2"/>
    <row r="2079" ht="12.75" customHeight="1" x14ac:dyDescent="0.2"/>
    <row r="2080" ht="12.75" customHeight="1" x14ac:dyDescent="0.2"/>
    <row r="2081" ht="12.75" customHeight="1" x14ac:dyDescent="0.2"/>
    <row r="2082" ht="12.75" customHeight="1" x14ac:dyDescent="0.2"/>
    <row r="2083" ht="12.75" customHeight="1" x14ac:dyDescent="0.2"/>
    <row r="2084" ht="12.75" customHeight="1" x14ac:dyDescent="0.2"/>
    <row r="2085" ht="12.75" customHeight="1" x14ac:dyDescent="0.2"/>
    <row r="2086" ht="12.75" customHeight="1" x14ac:dyDescent="0.2"/>
    <row r="2087" ht="12.75" customHeight="1" x14ac:dyDescent="0.2"/>
    <row r="2088" ht="12.75" customHeight="1" x14ac:dyDescent="0.2"/>
    <row r="2089" ht="12.75" customHeight="1" x14ac:dyDescent="0.2"/>
    <row r="2090" ht="12.75" customHeight="1" x14ac:dyDescent="0.2"/>
    <row r="2091" ht="12.75" customHeight="1" x14ac:dyDescent="0.2"/>
    <row r="2092" ht="12.75" customHeight="1" x14ac:dyDescent="0.2"/>
    <row r="2093" ht="12.75" customHeight="1" x14ac:dyDescent="0.2"/>
    <row r="2094" ht="12.75" customHeight="1" x14ac:dyDescent="0.2"/>
    <row r="2095" ht="12.75" customHeight="1" x14ac:dyDescent="0.2"/>
    <row r="2096" ht="12.75" customHeight="1" x14ac:dyDescent="0.2"/>
    <row r="2097" ht="12.75" customHeight="1" x14ac:dyDescent="0.2"/>
    <row r="2098" ht="12.75" customHeight="1" x14ac:dyDescent="0.2"/>
    <row r="2099" ht="12.75" customHeight="1" x14ac:dyDescent="0.2"/>
    <row r="2100" ht="12.75" customHeight="1" x14ac:dyDescent="0.2"/>
    <row r="2101" ht="12.75" customHeight="1" x14ac:dyDescent="0.2"/>
    <row r="2102" ht="12.75" customHeight="1" x14ac:dyDescent="0.2"/>
    <row r="2103" ht="12.75" customHeight="1" x14ac:dyDescent="0.2"/>
    <row r="2104" ht="12.75" customHeight="1" x14ac:dyDescent="0.2"/>
    <row r="2105" ht="12.75" customHeight="1" x14ac:dyDescent="0.2"/>
    <row r="2106" ht="12.75" customHeight="1" x14ac:dyDescent="0.2"/>
    <row r="2107" ht="12.75" customHeight="1" x14ac:dyDescent="0.2"/>
    <row r="2108" ht="12.75" customHeight="1" x14ac:dyDescent="0.2"/>
    <row r="2109" ht="12.75" customHeight="1" x14ac:dyDescent="0.2"/>
    <row r="2110" ht="12.75" customHeight="1" x14ac:dyDescent="0.2"/>
    <row r="2111" ht="12.75" customHeight="1" x14ac:dyDescent="0.2"/>
    <row r="2112" ht="12.75" customHeight="1" x14ac:dyDescent="0.2"/>
    <row r="2113" ht="12.75" customHeight="1" x14ac:dyDescent="0.2"/>
    <row r="2114" ht="12.75" customHeight="1" x14ac:dyDescent="0.2"/>
    <row r="2115" ht="12.75" customHeight="1" x14ac:dyDescent="0.2"/>
    <row r="2116" ht="12.75" customHeight="1" x14ac:dyDescent="0.2"/>
    <row r="2117" ht="12.75" customHeight="1" x14ac:dyDescent="0.2"/>
    <row r="2118" ht="12.75" customHeight="1" x14ac:dyDescent="0.2"/>
    <row r="2119" ht="12.75" customHeight="1" x14ac:dyDescent="0.2"/>
    <row r="2120" ht="12.75" customHeight="1" x14ac:dyDescent="0.2"/>
    <row r="2121" ht="12.75" customHeight="1" x14ac:dyDescent="0.2"/>
    <row r="2122" ht="12.75" customHeight="1" x14ac:dyDescent="0.2"/>
    <row r="2123" ht="12.75" customHeight="1" x14ac:dyDescent="0.2"/>
    <row r="2124" ht="12.75" customHeight="1" x14ac:dyDescent="0.2"/>
    <row r="2125" ht="12.75" customHeight="1" x14ac:dyDescent="0.2"/>
    <row r="2126" ht="12.75" customHeight="1" x14ac:dyDescent="0.2"/>
    <row r="2127" ht="12.75" customHeight="1" x14ac:dyDescent="0.2"/>
    <row r="2128" ht="12.75" customHeight="1" x14ac:dyDescent="0.2"/>
    <row r="2129" ht="12.75" customHeight="1" x14ac:dyDescent="0.2"/>
    <row r="2130" ht="12.75" customHeight="1" x14ac:dyDescent="0.2"/>
    <row r="2131" ht="12.75" customHeight="1" x14ac:dyDescent="0.2"/>
    <row r="2132" ht="12.75" customHeight="1" x14ac:dyDescent="0.2"/>
    <row r="2133" ht="12.75" customHeight="1" x14ac:dyDescent="0.2"/>
    <row r="2134" ht="12.75" customHeight="1" x14ac:dyDescent="0.2"/>
    <row r="2135" ht="12.75" customHeight="1" x14ac:dyDescent="0.2"/>
    <row r="2136" ht="12.75" customHeight="1" x14ac:dyDescent="0.2"/>
    <row r="2137" ht="12.75" customHeight="1" x14ac:dyDescent="0.2"/>
    <row r="2138" ht="12.75" customHeight="1" x14ac:dyDescent="0.2"/>
    <row r="2139" ht="12.75" customHeight="1" x14ac:dyDescent="0.2"/>
    <row r="2140" ht="12.75" customHeight="1" x14ac:dyDescent="0.2"/>
    <row r="2141" ht="12.75" customHeight="1" x14ac:dyDescent="0.2"/>
    <row r="2142" ht="12.75" customHeight="1" x14ac:dyDescent="0.2"/>
    <row r="2143" ht="12.75" customHeight="1" x14ac:dyDescent="0.2"/>
    <row r="2144" ht="12.75" customHeight="1" x14ac:dyDescent="0.2"/>
    <row r="2145" ht="12.75" customHeight="1" x14ac:dyDescent="0.2"/>
    <row r="2146" ht="12.75" customHeight="1" x14ac:dyDescent="0.2"/>
    <row r="2147" ht="12.75" customHeight="1" x14ac:dyDescent="0.2"/>
    <row r="2148" ht="12.75" customHeight="1" x14ac:dyDescent="0.2"/>
    <row r="2149" ht="12.75" customHeight="1" x14ac:dyDescent="0.2"/>
    <row r="2150" ht="12.75" customHeight="1" x14ac:dyDescent="0.2"/>
    <row r="2151" ht="12.75" customHeight="1" x14ac:dyDescent="0.2"/>
    <row r="2152" ht="12.75" customHeight="1" x14ac:dyDescent="0.2"/>
    <row r="2153" ht="12.75" customHeight="1" x14ac:dyDescent="0.2"/>
    <row r="2154" ht="12.75" customHeight="1" x14ac:dyDescent="0.2"/>
    <row r="2155" ht="12.75" customHeight="1" x14ac:dyDescent="0.2"/>
    <row r="2156" ht="12.75" customHeight="1" x14ac:dyDescent="0.2"/>
    <row r="2157" ht="12.75" customHeight="1" x14ac:dyDescent="0.2"/>
    <row r="2158" ht="12.75" customHeight="1" x14ac:dyDescent="0.2"/>
    <row r="2159" ht="12.75" customHeight="1" x14ac:dyDescent="0.2"/>
    <row r="2160" ht="12.75" customHeight="1" x14ac:dyDescent="0.2"/>
    <row r="2161" ht="12.75" customHeight="1" x14ac:dyDescent="0.2"/>
    <row r="2162" ht="12.75" customHeight="1" x14ac:dyDescent="0.2"/>
    <row r="2163" ht="12.75" customHeight="1" x14ac:dyDescent="0.2"/>
    <row r="2164" ht="12.75" customHeight="1" x14ac:dyDescent="0.2"/>
    <row r="2165" ht="12.75" customHeight="1" x14ac:dyDescent="0.2"/>
    <row r="2166" ht="12.75" customHeight="1" x14ac:dyDescent="0.2"/>
    <row r="2167" ht="12.75" customHeight="1" x14ac:dyDescent="0.2"/>
    <row r="2168" ht="12.75" customHeight="1" x14ac:dyDescent="0.2"/>
    <row r="2169" ht="12.75" customHeight="1" x14ac:dyDescent="0.2"/>
    <row r="2170" ht="12.75" customHeight="1" x14ac:dyDescent="0.2"/>
    <row r="2171" ht="12.75" customHeight="1" x14ac:dyDescent="0.2"/>
    <row r="2172" ht="12.75" customHeight="1" x14ac:dyDescent="0.2"/>
    <row r="2173" ht="12.75" customHeight="1" x14ac:dyDescent="0.2"/>
    <row r="2174" ht="12.75" customHeight="1" x14ac:dyDescent="0.2"/>
    <row r="2175" ht="12.75" customHeight="1" x14ac:dyDescent="0.2"/>
    <row r="2176" ht="12.75" customHeight="1" x14ac:dyDescent="0.2"/>
    <row r="2177" ht="12.75" customHeight="1" x14ac:dyDescent="0.2"/>
    <row r="2178" ht="12.75" customHeight="1" x14ac:dyDescent="0.2"/>
    <row r="2179" ht="12.75" customHeight="1" x14ac:dyDescent="0.2"/>
    <row r="2180" ht="12.75" customHeight="1" x14ac:dyDescent="0.2"/>
    <row r="2181" ht="12.75" customHeight="1" x14ac:dyDescent="0.2"/>
    <row r="2182" ht="12.75" customHeight="1" x14ac:dyDescent="0.2"/>
    <row r="2183" ht="12.75" customHeight="1" x14ac:dyDescent="0.2"/>
    <row r="2184" ht="12.75" customHeight="1" x14ac:dyDescent="0.2"/>
    <row r="2185" ht="12.75" customHeight="1" x14ac:dyDescent="0.2"/>
    <row r="2186" ht="12.75" customHeight="1" x14ac:dyDescent="0.2"/>
    <row r="2187" ht="12.75" customHeight="1" x14ac:dyDescent="0.2"/>
    <row r="2188" ht="12.75" customHeight="1" x14ac:dyDescent="0.2"/>
    <row r="2189" ht="12.75" customHeight="1" x14ac:dyDescent="0.2"/>
    <row r="2190" ht="12.75" customHeight="1" x14ac:dyDescent="0.2"/>
    <row r="2191" ht="12.75" customHeight="1" x14ac:dyDescent="0.2"/>
    <row r="2192" ht="12.75" customHeight="1" x14ac:dyDescent="0.2"/>
    <row r="2193" ht="12.75" customHeight="1" x14ac:dyDescent="0.2"/>
    <row r="2194" ht="12.75" customHeight="1" x14ac:dyDescent="0.2"/>
    <row r="2195" ht="12.75" customHeight="1" x14ac:dyDescent="0.2"/>
    <row r="2196" ht="12.75" customHeight="1" x14ac:dyDescent="0.2"/>
    <row r="2197" ht="12.75" customHeight="1" x14ac:dyDescent="0.2"/>
    <row r="2198" ht="12.75" customHeight="1" x14ac:dyDescent="0.2"/>
    <row r="2199" ht="12.75" customHeight="1" x14ac:dyDescent="0.2"/>
    <row r="2200" ht="12.75" customHeight="1" x14ac:dyDescent="0.2"/>
    <row r="2201" ht="12.75" customHeight="1" x14ac:dyDescent="0.2"/>
    <row r="2202" ht="12.75" customHeight="1" x14ac:dyDescent="0.2"/>
    <row r="2203" ht="12.75" customHeight="1" x14ac:dyDescent="0.2"/>
    <row r="2204" ht="12.75" customHeight="1" x14ac:dyDescent="0.2"/>
    <row r="2205" ht="12.75" customHeight="1" x14ac:dyDescent="0.2"/>
    <row r="2206" ht="12.75" customHeight="1" x14ac:dyDescent="0.2"/>
    <row r="2207" ht="12.75" customHeight="1" x14ac:dyDescent="0.2"/>
    <row r="2208" ht="12.75" customHeight="1" x14ac:dyDescent="0.2"/>
    <row r="2209" ht="12.75" customHeight="1" x14ac:dyDescent="0.2"/>
    <row r="2210" ht="12.75" customHeight="1" x14ac:dyDescent="0.2"/>
    <row r="2211" ht="12.75" customHeight="1" x14ac:dyDescent="0.2"/>
    <row r="2212" ht="12.75" customHeight="1" x14ac:dyDescent="0.2"/>
    <row r="2213" ht="12.75" customHeight="1" x14ac:dyDescent="0.2"/>
    <row r="2214" ht="12.75" customHeight="1" x14ac:dyDescent="0.2"/>
    <row r="2215" ht="12.75" customHeight="1" x14ac:dyDescent="0.2"/>
    <row r="2216" ht="12.75" customHeight="1" x14ac:dyDescent="0.2"/>
    <row r="2217" ht="12.75" customHeight="1" x14ac:dyDescent="0.2"/>
    <row r="2218" ht="12.75" customHeight="1" x14ac:dyDescent="0.2"/>
    <row r="2219" ht="12.75" customHeight="1" x14ac:dyDescent="0.2"/>
    <row r="2220" ht="12.75" customHeight="1" x14ac:dyDescent="0.2"/>
    <row r="2221" ht="12.75" customHeight="1" x14ac:dyDescent="0.2"/>
    <row r="2222" ht="12.75" customHeight="1" x14ac:dyDescent="0.2"/>
    <row r="2223" ht="12.75" customHeight="1" x14ac:dyDescent="0.2"/>
    <row r="2224" ht="12.75" customHeight="1" x14ac:dyDescent="0.2"/>
    <row r="2225" ht="12.75" customHeight="1" x14ac:dyDescent="0.2"/>
    <row r="2226" ht="12.75" customHeight="1" x14ac:dyDescent="0.2"/>
    <row r="2227" ht="12.75" customHeight="1" x14ac:dyDescent="0.2"/>
    <row r="2228" ht="12.75" customHeight="1" x14ac:dyDescent="0.2"/>
    <row r="2229" ht="12.75" customHeight="1" x14ac:dyDescent="0.2"/>
    <row r="2230" ht="12.75" customHeight="1" x14ac:dyDescent="0.2"/>
    <row r="2231" ht="12.75" customHeight="1" x14ac:dyDescent="0.2"/>
    <row r="2232" ht="12.75" customHeight="1" x14ac:dyDescent="0.2"/>
    <row r="2233" ht="12.75" customHeight="1" x14ac:dyDescent="0.2"/>
    <row r="2234" ht="12.75" customHeight="1" x14ac:dyDescent="0.2"/>
    <row r="2235" ht="12.75" customHeight="1" x14ac:dyDescent="0.2"/>
    <row r="2236" ht="12.75" customHeight="1" x14ac:dyDescent="0.2"/>
    <row r="2237" ht="12.75" customHeight="1" x14ac:dyDescent="0.2"/>
    <row r="2238" ht="12.75" customHeight="1" x14ac:dyDescent="0.2"/>
    <row r="2239" ht="12.75" customHeight="1" x14ac:dyDescent="0.2"/>
    <row r="2240" ht="12.75" customHeight="1" x14ac:dyDescent="0.2"/>
    <row r="2241" ht="12.75" customHeight="1" x14ac:dyDescent="0.2"/>
    <row r="2242" ht="12.75" customHeight="1" x14ac:dyDescent="0.2"/>
    <row r="2243" ht="12.75" customHeight="1" x14ac:dyDescent="0.2"/>
    <row r="2244" ht="12.75" customHeight="1" x14ac:dyDescent="0.2"/>
    <row r="2245" ht="12.75" customHeight="1" x14ac:dyDescent="0.2"/>
    <row r="2246" ht="12.75" customHeight="1" x14ac:dyDescent="0.2"/>
    <row r="2247" ht="12.75" customHeight="1" x14ac:dyDescent="0.2"/>
    <row r="2248" ht="12.75" customHeight="1" x14ac:dyDescent="0.2"/>
    <row r="2249" ht="12.75" customHeight="1" x14ac:dyDescent="0.2"/>
    <row r="2250" ht="12.75" customHeight="1" x14ac:dyDescent="0.2"/>
    <row r="2251" ht="12.75" customHeight="1" x14ac:dyDescent="0.2"/>
    <row r="2252" ht="12.75" customHeight="1" x14ac:dyDescent="0.2"/>
    <row r="2253" ht="12.75" customHeight="1" x14ac:dyDescent="0.2"/>
    <row r="2254" ht="12.75" customHeight="1" x14ac:dyDescent="0.2"/>
    <row r="2255" ht="12.75" customHeight="1" x14ac:dyDescent="0.2"/>
    <row r="2256" ht="12.75" customHeight="1" x14ac:dyDescent="0.2"/>
    <row r="2257" ht="12.75" customHeight="1" x14ac:dyDescent="0.2"/>
    <row r="2258" ht="12.75" customHeight="1" x14ac:dyDescent="0.2"/>
    <row r="2259" ht="12.75" customHeight="1" x14ac:dyDescent="0.2"/>
    <row r="2260" ht="12.75" customHeight="1" x14ac:dyDescent="0.2"/>
    <row r="2261" ht="12.75" customHeight="1" x14ac:dyDescent="0.2"/>
    <row r="2262" ht="12.75" customHeight="1" x14ac:dyDescent="0.2"/>
    <row r="2263" ht="12.75" customHeight="1" x14ac:dyDescent="0.2"/>
    <row r="2264" ht="12.75" customHeight="1" x14ac:dyDescent="0.2"/>
    <row r="2265" ht="12.75" customHeight="1" x14ac:dyDescent="0.2"/>
    <row r="2266" ht="12.75" customHeight="1" x14ac:dyDescent="0.2"/>
    <row r="2267" ht="12.75" customHeight="1" x14ac:dyDescent="0.2"/>
    <row r="2268" ht="12.75" customHeight="1" x14ac:dyDescent="0.2"/>
    <row r="2269" ht="12.75" customHeight="1" x14ac:dyDescent="0.2"/>
    <row r="2270" ht="12.75" customHeight="1" x14ac:dyDescent="0.2"/>
    <row r="2271" ht="12.75" customHeight="1" x14ac:dyDescent="0.2"/>
    <row r="2272" ht="12.75" customHeight="1" x14ac:dyDescent="0.2"/>
    <row r="2273" ht="12.75" customHeight="1" x14ac:dyDescent="0.2"/>
    <row r="2274" ht="12.75" customHeight="1" x14ac:dyDescent="0.2"/>
    <row r="2275" ht="12.75" customHeight="1" x14ac:dyDescent="0.2"/>
    <row r="2276" ht="12.75" customHeight="1" x14ac:dyDescent="0.2"/>
    <row r="2277" ht="12.75" customHeight="1" x14ac:dyDescent="0.2"/>
    <row r="2278" ht="12.75" customHeight="1" x14ac:dyDescent="0.2"/>
    <row r="2279" ht="12.75" customHeight="1" x14ac:dyDescent="0.2"/>
    <row r="2280" ht="12.75" customHeight="1" x14ac:dyDescent="0.2"/>
    <row r="2281" ht="12.75" customHeight="1" x14ac:dyDescent="0.2"/>
    <row r="2282" ht="12.75" customHeight="1" x14ac:dyDescent="0.2"/>
    <row r="2283" ht="12.75" customHeight="1" x14ac:dyDescent="0.2"/>
    <row r="2284" ht="12.75" customHeight="1" x14ac:dyDescent="0.2"/>
    <row r="2285" ht="12.75" customHeight="1" x14ac:dyDescent="0.2"/>
    <row r="2286" ht="12.75" customHeight="1" x14ac:dyDescent="0.2"/>
    <row r="2287" ht="12.75" customHeight="1" x14ac:dyDescent="0.2"/>
    <row r="2288" ht="12.75" customHeight="1" x14ac:dyDescent="0.2"/>
    <row r="2289" ht="12.75" customHeight="1" x14ac:dyDescent="0.2"/>
    <row r="2290" ht="12.75" customHeight="1" x14ac:dyDescent="0.2"/>
    <row r="2291" ht="12.75" customHeight="1" x14ac:dyDescent="0.2"/>
    <row r="2292" ht="12.75" customHeight="1" x14ac:dyDescent="0.2"/>
    <row r="2293" ht="12.75" customHeight="1" x14ac:dyDescent="0.2"/>
    <row r="2294" ht="12.75" customHeight="1" x14ac:dyDescent="0.2"/>
    <row r="2295" ht="12.75" customHeight="1" x14ac:dyDescent="0.2"/>
    <row r="2296" ht="12.75" customHeight="1" x14ac:dyDescent="0.2"/>
    <row r="2297" ht="12.75" customHeight="1" x14ac:dyDescent="0.2"/>
    <row r="2298" ht="12.75" customHeight="1" x14ac:dyDescent="0.2"/>
    <row r="2299" ht="12.75" customHeight="1" x14ac:dyDescent="0.2"/>
    <row r="2300" ht="12.75" customHeight="1" x14ac:dyDescent="0.2"/>
    <row r="2301" ht="12.75" customHeight="1" x14ac:dyDescent="0.2"/>
    <row r="2302" ht="12.75" customHeight="1" x14ac:dyDescent="0.2"/>
    <row r="2303" ht="12.75" customHeight="1" x14ac:dyDescent="0.2"/>
    <row r="2304" ht="12.75" customHeight="1" x14ac:dyDescent="0.2"/>
    <row r="2305" ht="12.75" customHeight="1" x14ac:dyDescent="0.2"/>
    <row r="2306" ht="12.75" customHeight="1" x14ac:dyDescent="0.2"/>
    <row r="2307" ht="12.75" customHeight="1" x14ac:dyDescent="0.2"/>
    <row r="2308" ht="12.75" customHeight="1" x14ac:dyDescent="0.2"/>
    <row r="2309" ht="12.75" customHeight="1" x14ac:dyDescent="0.2"/>
    <row r="2310" ht="12.75" customHeight="1" x14ac:dyDescent="0.2"/>
    <row r="2311" ht="12.75" customHeight="1" x14ac:dyDescent="0.2"/>
    <row r="2312" ht="12.75" customHeight="1" x14ac:dyDescent="0.2"/>
    <row r="2313" ht="12.75" customHeight="1" x14ac:dyDescent="0.2"/>
    <row r="2314" ht="12.75" customHeight="1" x14ac:dyDescent="0.2"/>
    <row r="2315" ht="12.75" customHeight="1" x14ac:dyDescent="0.2"/>
    <row r="2316" ht="12.75" customHeight="1" x14ac:dyDescent="0.2"/>
    <row r="2317" ht="12.75" customHeight="1" x14ac:dyDescent="0.2"/>
    <row r="2318" ht="12.75" customHeight="1" x14ac:dyDescent="0.2"/>
    <row r="2319" ht="12.75" customHeight="1" x14ac:dyDescent="0.2"/>
    <row r="2320" ht="12.75" customHeight="1" x14ac:dyDescent="0.2"/>
    <row r="2321" ht="12.75" customHeight="1" x14ac:dyDescent="0.2"/>
    <row r="2322" ht="12.75" customHeight="1" x14ac:dyDescent="0.2"/>
    <row r="2323" ht="12.75" customHeight="1" x14ac:dyDescent="0.2"/>
    <row r="2324" ht="12.75" customHeight="1" x14ac:dyDescent="0.2"/>
    <row r="2325" ht="12.75" customHeight="1" x14ac:dyDescent="0.2"/>
    <row r="2326" ht="12.75" customHeight="1" x14ac:dyDescent="0.2"/>
    <row r="2327" ht="12.75" customHeight="1" x14ac:dyDescent="0.2"/>
    <row r="2328" ht="12.75" customHeight="1" x14ac:dyDescent="0.2"/>
    <row r="2329" ht="12.75" customHeight="1" x14ac:dyDescent="0.2"/>
    <row r="2330" ht="12.75" customHeight="1" x14ac:dyDescent="0.2"/>
    <row r="2331" ht="12.75" customHeight="1" x14ac:dyDescent="0.2"/>
    <row r="2332" ht="12.75" customHeight="1" x14ac:dyDescent="0.2"/>
    <row r="2333" ht="12.75" customHeight="1" x14ac:dyDescent="0.2"/>
    <row r="2334" ht="12.75" customHeight="1" x14ac:dyDescent="0.2"/>
    <row r="2335" ht="12.75" customHeight="1" x14ac:dyDescent="0.2"/>
    <row r="2336" ht="12.75" customHeight="1" x14ac:dyDescent="0.2"/>
    <row r="2337" ht="12.75" customHeight="1" x14ac:dyDescent="0.2"/>
    <row r="2338" ht="12.75" customHeight="1" x14ac:dyDescent="0.2"/>
    <row r="2339" ht="12.75" customHeight="1" x14ac:dyDescent="0.2"/>
    <row r="2340" ht="12.75" customHeight="1" x14ac:dyDescent="0.2"/>
    <row r="2341" ht="12.75" customHeight="1" x14ac:dyDescent="0.2"/>
    <row r="2342" ht="12.75" customHeight="1" x14ac:dyDescent="0.2"/>
    <row r="2343" ht="12.75" customHeight="1" x14ac:dyDescent="0.2"/>
    <row r="2344" ht="12.75" customHeight="1" x14ac:dyDescent="0.2"/>
    <row r="2345" ht="12.75" customHeight="1" x14ac:dyDescent="0.2"/>
    <row r="2346" ht="12.75" customHeight="1" x14ac:dyDescent="0.2"/>
    <row r="2347" ht="12.75" customHeight="1" x14ac:dyDescent="0.2"/>
    <row r="2348" ht="12.75" customHeight="1" x14ac:dyDescent="0.2"/>
    <row r="2349" ht="12.75" customHeight="1" x14ac:dyDescent="0.2"/>
    <row r="2350" ht="12.75" customHeight="1" x14ac:dyDescent="0.2"/>
    <row r="2351" ht="12.75" customHeight="1" x14ac:dyDescent="0.2"/>
    <row r="2352" ht="12.75" customHeight="1" x14ac:dyDescent="0.2"/>
    <row r="2353" ht="12.75" customHeight="1" x14ac:dyDescent="0.2"/>
    <row r="2354" ht="12.75" customHeight="1" x14ac:dyDescent="0.2"/>
    <row r="2355" ht="12.75" customHeight="1" x14ac:dyDescent="0.2"/>
    <row r="2356" ht="12.75" customHeight="1" x14ac:dyDescent="0.2"/>
    <row r="2357" ht="12.75" customHeight="1" x14ac:dyDescent="0.2"/>
    <row r="2358" ht="12.75" customHeight="1" x14ac:dyDescent="0.2"/>
    <row r="2359" ht="12.75" customHeight="1" x14ac:dyDescent="0.2"/>
    <row r="2360" ht="12.75" customHeight="1" x14ac:dyDescent="0.2"/>
    <row r="2361" ht="12.75" customHeight="1" x14ac:dyDescent="0.2"/>
    <row r="2362" ht="12.75" customHeight="1" x14ac:dyDescent="0.2"/>
    <row r="2363" ht="12.75" customHeight="1" x14ac:dyDescent="0.2"/>
    <row r="2364" ht="12.75" customHeight="1" x14ac:dyDescent="0.2"/>
    <row r="2365" ht="12.75" customHeight="1" x14ac:dyDescent="0.2"/>
    <row r="2366" ht="12.75" customHeight="1" x14ac:dyDescent="0.2"/>
    <row r="2367" ht="12.75" customHeight="1" x14ac:dyDescent="0.2"/>
    <row r="2368" ht="12.75" customHeight="1" x14ac:dyDescent="0.2"/>
    <row r="2369" ht="12.75" customHeight="1" x14ac:dyDescent="0.2"/>
    <row r="2370" ht="12.75" customHeight="1" x14ac:dyDescent="0.2"/>
    <row r="2371" ht="12.75" customHeight="1" x14ac:dyDescent="0.2"/>
    <row r="2372" ht="12.75" customHeight="1" x14ac:dyDescent="0.2"/>
    <row r="2373" ht="12.75" customHeight="1" x14ac:dyDescent="0.2"/>
    <row r="2374" ht="12.75" customHeight="1" x14ac:dyDescent="0.2"/>
    <row r="2375" ht="12.75" customHeight="1" x14ac:dyDescent="0.2"/>
    <row r="2376" ht="12.75" customHeight="1" x14ac:dyDescent="0.2"/>
    <row r="2377" ht="12.75" customHeight="1" x14ac:dyDescent="0.2"/>
    <row r="2378" ht="12.75" customHeight="1" x14ac:dyDescent="0.2"/>
    <row r="2379" ht="12.75" customHeight="1" x14ac:dyDescent="0.2"/>
    <row r="2380" ht="12.75" customHeight="1" x14ac:dyDescent="0.2"/>
    <row r="2381" ht="12.75" customHeight="1" x14ac:dyDescent="0.2"/>
    <row r="2382" ht="12.75" customHeight="1" x14ac:dyDescent="0.2"/>
    <row r="2383" ht="12.75" customHeight="1" x14ac:dyDescent="0.2"/>
    <row r="2384" ht="12.75" customHeight="1" x14ac:dyDescent="0.2"/>
    <row r="2385" ht="12.75" customHeight="1" x14ac:dyDescent="0.2"/>
    <row r="2386" ht="12.75" customHeight="1" x14ac:dyDescent="0.2"/>
    <row r="2387" ht="12.75" customHeight="1" x14ac:dyDescent="0.2"/>
    <row r="2388" ht="12.75" customHeight="1" x14ac:dyDescent="0.2"/>
    <row r="2389" ht="12.75" customHeight="1" x14ac:dyDescent="0.2"/>
    <row r="2390" ht="12.75" customHeight="1" x14ac:dyDescent="0.2"/>
    <row r="2391" ht="12.75" customHeight="1" x14ac:dyDescent="0.2"/>
    <row r="2392" ht="12.75" customHeight="1" x14ac:dyDescent="0.2"/>
    <row r="2393" ht="12.75" customHeight="1" x14ac:dyDescent="0.2"/>
    <row r="2394" ht="12.75" customHeight="1" x14ac:dyDescent="0.2"/>
    <row r="2395" ht="12.75" customHeight="1" x14ac:dyDescent="0.2"/>
    <row r="2396" ht="12.75" customHeight="1" x14ac:dyDescent="0.2"/>
    <row r="2397" ht="12.75" customHeight="1" x14ac:dyDescent="0.2"/>
    <row r="2398" ht="12.75" customHeight="1" x14ac:dyDescent="0.2"/>
    <row r="2399" ht="12.75" customHeight="1" x14ac:dyDescent="0.2"/>
    <row r="2400" ht="12.75" customHeight="1" x14ac:dyDescent="0.2"/>
    <row r="2401" ht="12.75" customHeight="1" x14ac:dyDescent="0.2"/>
    <row r="2402" ht="12.75" customHeight="1" x14ac:dyDescent="0.2"/>
    <row r="2403" ht="12.75" customHeight="1" x14ac:dyDescent="0.2"/>
    <row r="2404" ht="12.75" customHeight="1" x14ac:dyDescent="0.2"/>
    <row r="2405" ht="12.75" customHeight="1" x14ac:dyDescent="0.2"/>
    <row r="2406" ht="12.75" customHeight="1" x14ac:dyDescent="0.2"/>
    <row r="2407" ht="12.75" customHeight="1" x14ac:dyDescent="0.2"/>
    <row r="2408" ht="12.75" customHeight="1" x14ac:dyDescent="0.2"/>
    <row r="2409" ht="12.75" customHeight="1" x14ac:dyDescent="0.2"/>
    <row r="2410" ht="12.75" customHeight="1" x14ac:dyDescent="0.2"/>
    <row r="2411" ht="12.75" customHeight="1" x14ac:dyDescent="0.2"/>
    <row r="2412" ht="12.75" customHeight="1" x14ac:dyDescent="0.2"/>
    <row r="2413" ht="12.75" customHeight="1" x14ac:dyDescent="0.2"/>
    <row r="2414" ht="12.75" customHeight="1" x14ac:dyDescent="0.2"/>
    <row r="2415" ht="12.75" customHeight="1" x14ac:dyDescent="0.2"/>
    <row r="2416" ht="12.75" customHeight="1" x14ac:dyDescent="0.2"/>
    <row r="2417" ht="12.75" customHeight="1" x14ac:dyDescent="0.2"/>
    <row r="2418" ht="12.75" customHeight="1" x14ac:dyDescent="0.2"/>
    <row r="2419" ht="12.75" customHeight="1" x14ac:dyDescent="0.2"/>
    <row r="2420" ht="12.75" customHeight="1" x14ac:dyDescent="0.2"/>
    <row r="2421" ht="12.75" customHeight="1" x14ac:dyDescent="0.2"/>
    <row r="2422" ht="12.75" customHeight="1" x14ac:dyDescent="0.2"/>
    <row r="2423" ht="12.75" customHeight="1" x14ac:dyDescent="0.2"/>
    <row r="2424" ht="12.75" customHeight="1" x14ac:dyDescent="0.2"/>
    <row r="2425" ht="12.75" customHeight="1" x14ac:dyDescent="0.2"/>
    <row r="2426" ht="12.75" customHeight="1" x14ac:dyDescent="0.2"/>
    <row r="2427" ht="12.75" customHeight="1" x14ac:dyDescent="0.2"/>
    <row r="2428" ht="12.75" customHeight="1" x14ac:dyDescent="0.2"/>
    <row r="2429" ht="12.75" customHeight="1" x14ac:dyDescent="0.2"/>
    <row r="2430" ht="12.75" customHeight="1" x14ac:dyDescent="0.2"/>
    <row r="2431" ht="12.75" customHeight="1" x14ac:dyDescent="0.2"/>
    <row r="2432" ht="12.75" customHeight="1" x14ac:dyDescent="0.2"/>
    <row r="2433" ht="12.75" customHeight="1" x14ac:dyDescent="0.2"/>
    <row r="2434" ht="12.75" customHeight="1" x14ac:dyDescent="0.2"/>
    <row r="2435" ht="12.75" customHeight="1" x14ac:dyDescent="0.2"/>
    <row r="2436" ht="12.75" customHeight="1" x14ac:dyDescent="0.2"/>
    <row r="2437" ht="12.75" customHeight="1" x14ac:dyDescent="0.2"/>
    <row r="2438" ht="12.75" customHeight="1" x14ac:dyDescent="0.2"/>
    <row r="2439" ht="12.75" customHeight="1" x14ac:dyDescent="0.2"/>
    <row r="2440" ht="12.75" customHeight="1" x14ac:dyDescent="0.2"/>
    <row r="2441" ht="12.75" customHeight="1" x14ac:dyDescent="0.2"/>
    <row r="2442" ht="12.75" customHeight="1" x14ac:dyDescent="0.2"/>
    <row r="2443" ht="12.75" customHeight="1" x14ac:dyDescent="0.2"/>
    <row r="2444" ht="12.75" customHeight="1" x14ac:dyDescent="0.2"/>
    <row r="2445" ht="12.75" customHeight="1" x14ac:dyDescent="0.2"/>
    <row r="2446" ht="12.75" customHeight="1" x14ac:dyDescent="0.2"/>
    <row r="2447" ht="12.75" customHeight="1" x14ac:dyDescent="0.2"/>
    <row r="2448" ht="12.75" customHeight="1" x14ac:dyDescent="0.2"/>
    <row r="2449" ht="12.75" customHeight="1" x14ac:dyDescent="0.2"/>
    <row r="2450" ht="12.75" customHeight="1" x14ac:dyDescent="0.2"/>
    <row r="2451" ht="12.75" customHeight="1" x14ac:dyDescent="0.2"/>
    <row r="2452" ht="12.75" customHeight="1" x14ac:dyDescent="0.2"/>
    <row r="2453" ht="12.75" customHeight="1" x14ac:dyDescent="0.2"/>
    <row r="2454" ht="12.75" customHeight="1" x14ac:dyDescent="0.2"/>
    <row r="2455" ht="12.75" customHeight="1" x14ac:dyDescent="0.2"/>
    <row r="2456" ht="12.75" customHeight="1" x14ac:dyDescent="0.2"/>
    <row r="2457" ht="12.75" customHeight="1" x14ac:dyDescent="0.2"/>
    <row r="2458" ht="12.75" customHeight="1" x14ac:dyDescent="0.2"/>
    <row r="2459" ht="12.75" customHeight="1" x14ac:dyDescent="0.2"/>
    <row r="2460" ht="12.75" customHeight="1" x14ac:dyDescent="0.2"/>
    <row r="2461" ht="12.75" customHeight="1" x14ac:dyDescent="0.2"/>
    <row r="2462" ht="12.75" customHeight="1" x14ac:dyDescent="0.2"/>
    <row r="2463" ht="12.75" customHeight="1" x14ac:dyDescent="0.2"/>
    <row r="2464" ht="12.75" customHeight="1" x14ac:dyDescent="0.2"/>
    <row r="2465" ht="12.75" customHeight="1" x14ac:dyDescent="0.2"/>
    <row r="2466" ht="12.75" customHeight="1" x14ac:dyDescent="0.2"/>
    <row r="2467" ht="12.75" customHeight="1" x14ac:dyDescent="0.2"/>
    <row r="2468" ht="12.75" customHeight="1" x14ac:dyDescent="0.2"/>
    <row r="2469" ht="12.75" customHeight="1" x14ac:dyDescent="0.2"/>
    <row r="2470" ht="12.75" customHeight="1" x14ac:dyDescent="0.2"/>
    <row r="2471" ht="12.75" customHeight="1" x14ac:dyDescent="0.2"/>
    <row r="2472" ht="12.75" customHeight="1" x14ac:dyDescent="0.2"/>
    <row r="2473" ht="12.75" customHeight="1" x14ac:dyDescent="0.2"/>
    <row r="2474" ht="12.75" customHeight="1" x14ac:dyDescent="0.2"/>
    <row r="2475" ht="12.75" customHeight="1" x14ac:dyDescent="0.2"/>
    <row r="2476" ht="12.75" customHeight="1" x14ac:dyDescent="0.2"/>
    <row r="2477" ht="12.75" customHeight="1" x14ac:dyDescent="0.2"/>
    <row r="2478" ht="12.75" customHeight="1" x14ac:dyDescent="0.2"/>
    <row r="2479" ht="12.75" customHeight="1" x14ac:dyDescent="0.2"/>
    <row r="2480" ht="12.75" customHeight="1" x14ac:dyDescent="0.2"/>
    <row r="2481" ht="12.75" customHeight="1" x14ac:dyDescent="0.2"/>
    <row r="2482" ht="12.75" customHeight="1" x14ac:dyDescent="0.2"/>
    <row r="2483" ht="12.75" customHeight="1" x14ac:dyDescent="0.2"/>
    <row r="2484" ht="12.75" customHeight="1" x14ac:dyDescent="0.2"/>
    <row r="2485" ht="12.75" customHeight="1" x14ac:dyDescent="0.2"/>
    <row r="2486" ht="12.75" customHeight="1" x14ac:dyDescent="0.2"/>
    <row r="2487" ht="12.75" customHeight="1" x14ac:dyDescent="0.2"/>
    <row r="2488" ht="12.75" customHeight="1" x14ac:dyDescent="0.2"/>
    <row r="2489" ht="12.75" customHeight="1" x14ac:dyDescent="0.2"/>
    <row r="2490" ht="12.75" customHeight="1" x14ac:dyDescent="0.2"/>
    <row r="2491" ht="12.75" customHeight="1" x14ac:dyDescent="0.2"/>
    <row r="2492" ht="12.75" customHeight="1" x14ac:dyDescent="0.2"/>
    <row r="2493" ht="12.75" customHeight="1" x14ac:dyDescent="0.2"/>
    <row r="2494" ht="12.75" customHeight="1" x14ac:dyDescent="0.2"/>
    <row r="2495" ht="12.75" customHeight="1" x14ac:dyDescent="0.2"/>
    <row r="2496" ht="12.75" customHeight="1" x14ac:dyDescent="0.2"/>
    <row r="2497" ht="12.75" customHeight="1" x14ac:dyDescent="0.2"/>
    <row r="2498" ht="12.75" customHeight="1" x14ac:dyDescent="0.2"/>
    <row r="2499" ht="12.75" customHeight="1" x14ac:dyDescent="0.2"/>
    <row r="2500" ht="12.75" customHeight="1" x14ac:dyDescent="0.2"/>
    <row r="2501" ht="12.75" customHeight="1" x14ac:dyDescent="0.2"/>
    <row r="2502" ht="12.75" customHeight="1" x14ac:dyDescent="0.2"/>
    <row r="2503" ht="12.75" customHeight="1" x14ac:dyDescent="0.2"/>
    <row r="2504" ht="12.75" customHeight="1" x14ac:dyDescent="0.2"/>
    <row r="2505" ht="12.75" customHeight="1" x14ac:dyDescent="0.2"/>
    <row r="2506" ht="12.75" customHeight="1" x14ac:dyDescent="0.2"/>
    <row r="2507" ht="12.75" customHeight="1" x14ac:dyDescent="0.2"/>
    <row r="2508" ht="12.75" customHeight="1" x14ac:dyDescent="0.2"/>
    <row r="2509" ht="12.75" customHeight="1" x14ac:dyDescent="0.2"/>
    <row r="2510" ht="12.75" customHeight="1" x14ac:dyDescent="0.2"/>
    <row r="2511" ht="12.75" customHeight="1" x14ac:dyDescent="0.2"/>
    <row r="2512" ht="12.75" customHeight="1" x14ac:dyDescent="0.2"/>
    <row r="2513" ht="12.75" customHeight="1" x14ac:dyDescent="0.2"/>
    <row r="2514" ht="12.75" customHeight="1" x14ac:dyDescent="0.2"/>
    <row r="2515" ht="12.75" customHeight="1" x14ac:dyDescent="0.2"/>
    <row r="2516" ht="12.75" customHeight="1" x14ac:dyDescent="0.2"/>
    <row r="2517" ht="12.75" customHeight="1" x14ac:dyDescent="0.2"/>
    <row r="2518" ht="12.75" customHeight="1" x14ac:dyDescent="0.2"/>
    <row r="2519" ht="12.75" customHeight="1" x14ac:dyDescent="0.2"/>
    <row r="2520" ht="12.75" customHeight="1" x14ac:dyDescent="0.2"/>
    <row r="2521" ht="12.75" customHeight="1" x14ac:dyDescent="0.2"/>
    <row r="2522" ht="12.75" customHeight="1" x14ac:dyDescent="0.2"/>
    <row r="2523" ht="12.75" customHeight="1" x14ac:dyDescent="0.2"/>
    <row r="2524" ht="12.75" customHeight="1" x14ac:dyDescent="0.2"/>
    <row r="2525" ht="12.75" customHeight="1" x14ac:dyDescent="0.2"/>
    <row r="2526" ht="12.75" customHeight="1" x14ac:dyDescent="0.2"/>
    <row r="2527" ht="12.75" customHeight="1" x14ac:dyDescent="0.2"/>
    <row r="2528" ht="12.75" customHeight="1" x14ac:dyDescent="0.2"/>
    <row r="2529" ht="12.75" customHeight="1" x14ac:dyDescent="0.2"/>
    <row r="2530" ht="12.75" customHeight="1" x14ac:dyDescent="0.2"/>
    <row r="2531" ht="12.75" customHeight="1" x14ac:dyDescent="0.2"/>
    <row r="2532" ht="12.75" customHeight="1" x14ac:dyDescent="0.2"/>
    <row r="2533" ht="12.75" customHeight="1" x14ac:dyDescent="0.2"/>
    <row r="2534" ht="12.75" customHeight="1" x14ac:dyDescent="0.2"/>
    <row r="2535" ht="12.75" customHeight="1" x14ac:dyDescent="0.2"/>
    <row r="2536" ht="12.75" customHeight="1" x14ac:dyDescent="0.2"/>
    <row r="2537" ht="12.75" customHeight="1" x14ac:dyDescent="0.2"/>
    <row r="2538" ht="12.75" customHeight="1" x14ac:dyDescent="0.2"/>
    <row r="2539" ht="12.75" customHeight="1" x14ac:dyDescent="0.2"/>
    <row r="2540" ht="12.75" customHeight="1" x14ac:dyDescent="0.2"/>
    <row r="2541" ht="12.75" customHeight="1" x14ac:dyDescent="0.2"/>
    <row r="2542" ht="12.75" customHeight="1" x14ac:dyDescent="0.2"/>
    <row r="2543" ht="12.75" customHeight="1" x14ac:dyDescent="0.2"/>
    <row r="2544" ht="12.75" customHeight="1" x14ac:dyDescent="0.2"/>
    <row r="2545" ht="12.75" customHeight="1" x14ac:dyDescent="0.2"/>
    <row r="2546" ht="12.75" customHeight="1" x14ac:dyDescent="0.2"/>
    <row r="2547" ht="12.75" customHeight="1" x14ac:dyDescent="0.2"/>
    <row r="2548" ht="12.75" customHeight="1" x14ac:dyDescent="0.2"/>
    <row r="2549" ht="12.75" customHeight="1" x14ac:dyDescent="0.2"/>
    <row r="2550" ht="12.75" customHeight="1" x14ac:dyDescent="0.2"/>
    <row r="2551" ht="12.75" customHeight="1" x14ac:dyDescent="0.2"/>
    <row r="2552" ht="12.75" customHeight="1" x14ac:dyDescent="0.2"/>
    <row r="2553" ht="12.75" customHeight="1" x14ac:dyDescent="0.2"/>
    <row r="2554" ht="12.75" customHeight="1" x14ac:dyDescent="0.2"/>
    <row r="2555" ht="12.75" customHeight="1" x14ac:dyDescent="0.2"/>
    <row r="2556" ht="12.75" customHeight="1" x14ac:dyDescent="0.2"/>
    <row r="2557" ht="12.75" customHeight="1" x14ac:dyDescent="0.2"/>
    <row r="2558" ht="12.75" customHeight="1" x14ac:dyDescent="0.2"/>
    <row r="2559" ht="12.75" customHeight="1" x14ac:dyDescent="0.2"/>
    <row r="2560" ht="12.75" customHeight="1" x14ac:dyDescent="0.2"/>
    <row r="2561" ht="12.75" customHeight="1" x14ac:dyDescent="0.2"/>
    <row r="2562" ht="12.75" customHeight="1" x14ac:dyDescent="0.2"/>
    <row r="2563" ht="12.75" customHeight="1" x14ac:dyDescent="0.2"/>
    <row r="2564" ht="12.75" customHeight="1" x14ac:dyDescent="0.2"/>
    <row r="2565" ht="12.75" customHeight="1" x14ac:dyDescent="0.2"/>
    <row r="2566" ht="12.75" customHeight="1" x14ac:dyDescent="0.2"/>
    <row r="2567" ht="12.75" customHeight="1" x14ac:dyDescent="0.2"/>
    <row r="2568" ht="12.75" customHeight="1" x14ac:dyDescent="0.2"/>
    <row r="2569" ht="12.75" customHeight="1" x14ac:dyDescent="0.2"/>
    <row r="2570" ht="12.75" customHeight="1" x14ac:dyDescent="0.2"/>
    <row r="2571" ht="12.75" customHeight="1" x14ac:dyDescent="0.2"/>
    <row r="2572" ht="12.75" customHeight="1" x14ac:dyDescent="0.2"/>
    <row r="2573" ht="12.75" customHeight="1" x14ac:dyDescent="0.2"/>
    <row r="2574" ht="12.75" customHeight="1" x14ac:dyDescent="0.2"/>
    <row r="2575" ht="12.75" customHeight="1" x14ac:dyDescent="0.2"/>
    <row r="2576" ht="12.75" customHeight="1" x14ac:dyDescent="0.2"/>
    <row r="2577" ht="12.75" customHeight="1" x14ac:dyDescent="0.2"/>
    <row r="2578" ht="12.75" customHeight="1" x14ac:dyDescent="0.2"/>
    <row r="2579" ht="12.75" customHeight="1" x14ac:dyDescent="0.2"/>
    <row r="2580" ht="12.75" customHeight="1" x14ac:dyDescent="0.2"/>
    <row r="2581" ht="12.75" customHeight="1" x14ac:dyDescent="0.2"/>
    <row r="2582" ht="12.75" customHeight="1" x14ac:dyDescent="0.2"/>
    <row r="2583" ht="12.75" customHeight="1" x14ac:dyDescent="0.2"/>
    <row r="2584" ht="12.75" customHeight="1" x14ac:dyDescent="0.2"/>
    <row r="2585" ht="12.75" customHeight="1" x14ac:dyDescent="0.2"/>
    <row r="2586" ht="12.75" customHeight="1" x14ac:dyDescent="0.2"/>
    <row r="2587" ht="12.75" customHeight="1" x14ac:dyDescent="0.2"/>
    <row r="2588" ht="12.75" customHeight="1" x14ac:dyDescent="0.2"/>
    <row r="2589" ht="12.75" customHeight="1" x14ac:dyDescent="0.2"/>
    <row r="2590" ht="12.75" customHeight="1" x14ac:dyDescent="0.2"/>
    <row r="2591" ht="12.75" customHeight="1" x14ac:dyDescent="0.2"/>
    <row r="2592" ht="12.75" customHeight="1" x14ac:dyDescent="0.2"/>
    <row r="2593" ht="12.75" customHeight="1" x14ac:dyDescent="0.2"/>
    <row r="2594" ht="12.75" customHeight="1" x14ac:dyDescent="0.2"/>
    <row r="2595" ht="12.75" customHeight="1" x14ac:dyDescent="0.2"/>
    <row r="2596" ht="12.75" customHeight="1" x14ac:dyDescent="0.2"/>
    <row r="2597" ht="12.75" customHeight="1" x14ac:dyDescent="0.2"/>
    <row r="2598" ht="12.75" customHeight="1" x14ac:dyDescent="0.2"/>
    <row r="2599" ht="12.75" customHeight="1" x14ac:dyDescent="0.2"/>
    <row r="2600" ht="12.75" customHeight="1" x14ac:dyDescent="0.2"/>
    <row r="2601" ht="12.75" customHeight="1" x14ac:dyDescent="0.2"/>
    <row r="2602" ht="12.75" customHeight="1" x14ac:dyDescent="0.2"/>
    <row r="2603" ht="12.75" customHeight="1" x14ac:dyDescent="0.2"/>
    <row r="2604" ht="12.75" customHeight="1" x14ac:dyDescent="0.2"/>
    <row r="2605" ht="12.75" customHeight="1" x14ac:dyDescent="0.2"/>
    <row r="2606" ht="12.75" customHeight="1" x14ac:dyDescent="0.2"/>
    <row r="2607" ht="12.75" customHeight="1" x14ac:dyDescent="0.2"/>
    <row r="2608" ht="12.75" customHeight="1" x14ac:dyDescent="0.2"/>
    <row r="2609" ht="12.75" customHeight="1" x14ac:dyDescent="0.2"/>
    <row r="2610" ht="12.75" customHeight="1" x14ac:dyDescent="0.2"/>
    <row r="2611" ht="12.75" customHeight="1" x14ac:dyDescent="0.2"/>
    <row r="2612" ht="12.75" customHeight="1" x14ac:dyDescent="0.2"/>
    <row r="2613" ht="12.75" customHeight="1" x14ac:dyDescent="0.2"/>
    <row r="2614" ht="12.75" customHeight="1" x14ac:dyDescent="0.2"/>
    <row r="2615" ht="12.75" customHeight="1" x14ac:dyDescent="0.2"/>
    <row r="2616" ht="12.75" customHeight="1" x14ac:dyDescent="0.2"/>
    <row r="2617" ht="12.75" customHeight="1" x14ac:dyDescent="0.2"/>
    <row r="2618" ht="12.75" customHeight="1" x14ac:dyDescent="0.2"/>
    <row r="2619" ht="12.75" customHeight="1" x14ac:dyDescent="0.2"/>
    <row r="2620" ht="12.75" customHeight="1" x14ac:dyDescent="0.2"/>
    <row r="2621" ht="12.75" customHeight="1" x14ac:dyDescent="0.2"/>
    <row r="2622" ht="12.75" customHeight="1" x14ac:dyDescent="0.2"/>
    <row r="2623" ht="12.75" customHeight="1" x14ac:dyDescent="0.2"/>
    <row r="2624" ht="12.75" customHeight="1" x14ac:dyDescent="0.2"/>
    <row r="2625" ht="12.75" customHeight="1" x14ac:dyDescent="0.2"/>
    <row r="2626" ht="12.75" customHeight="1" x14ac:dyDescent="0.2"/>
    <row r="2627" ht="12.75" customHeight="1" x14ac:dyDescent="0.2"/>
    <row r="2628" ht="12.75" customHeight="1" x14ac:dyDescent="0.2"/>
    <row r="2629" ht="12.75" customHeight="1" x14ac:dyDescent="0.2"/>
    <row r="2630" ht="12.75" customHeight="1" x14ac:dyDescent="0.2"/>
    <row r="2631" ht="12.75" customHeight="1" x14ac:dyDescent="0.2"/>
    <row r="2632" ht="12.75" customHeight="1" x14ac:dyDescent="0.2"/>
    <row r="2633" ht="12.75" customHeight="1" x14ac:dyDescent="0.2"/>
    <row r="2634" ht="12.75" customHeight="1" x14ac:dyDescent="0.2"/>
    <row r="2635" ht="12.75" customHeight="1" x14ac:dyDescent="0.2"/>
    <row r="2636" ht="12.75" customHeight="1" x14ac:dyDescent="0.2"/>
    <row r="2637" ht="12.75" customHeight="1" x14ac:dyDescent="0.2"/>
    <row r="2638" ht="12.75" customHeight="1" x14ac:dyDescent="0.2"/>
    <row r="2639" ht="12.75" customHeight="1" x14ac:dyDescent="0.2"/>
    <row r="2640" ht="12.75" customHeight="1" x14ac:dyDescent="0.2"/>
    <row r="2641" ht="12.75" customHeight="1" x14ac:dyDescent="0.2"/>
    <row r="2642" ht="12.75" customHeight="1" x14ac:dyDescent="0.2"/>
    <row r="2643" ht="12.75" customHeight="1" x14ac:dyDescent="0.2"/>
    <row r="2644" ht="12.75" customHeight="1" x14ac:dyDescent="0.2"/>
    <row r="2645" ht="12.75" customHeight="1" x14ac:dyDescent="0.2"/>
    <row r="2646" ht="12.75" customHeight="1" x14ac:dyDescent="0.2"/>
    <row r="2647" ht="12.75" customHeight="1" x14ac:dyDescent="0.2"/>
    <row r="2648" ht="12.75" customHeight="1" x14ac:dyDescent="0.2"/>
    <row r="2649" ht="12.75" customHeight="1" x14ac:dyDescent="0.2"/>
    <row r="2650" ht="12.75" customHeight="1" x14ac:dyDescent="0.2"/>
    <row r="2651" ht="12.75" customHeight="1" x14ac:dyDescent="0.2"/>
    <row r="2652" ht="12.75" customHeight="1" x14ac:dyDescent="0.2"/>
    <row r="2653" ht="12.75" customHeight="1" x14ac:dyDescent="0.2"/>
    <row r="2654" ht="12.75" customHeight="1" x14ac:dyDescent="0.2"/>
    <row r="2655" ht="12.75" customHeight="1" x14ac:dyDescent="0.2"/>
    <row r="2656" ht="12.75" customHeight="1" x14ac:dyDescent="0.2"/>
    <row r="2657" ht="12.75" customHeight="1" x14ac:dyDescent="0.2"/>
    <row r="2658" ht="12.75" customHeight="1" x14ac:dyDescent="0.2"/>
    <row r="2659" ht="12.75" customHeight="1" x14ac:dyDescent="0.2"/>
    <row r="2660" ht="12.75" customHeight="1" x14ac:dyDescent="0.2"/>
    <row r="2661" ht="12.75" customHeight="1" x14ac:dyDescent="0.2"/>
    <row r="2662" ht="12.75" customHeight="1" x14ac:dyDescent="0.2"/>
    <row r="2663" ht="12.75" customHeight="1" x14ac:dyDescent="0.2"/>
    <row r="2664" ht="12.75" customHeight="1" x14ac:dyDescent="0.2"/>
    <row r="2665" ht="12.75" customHeight="1" x14ac:dyDescent="0.2"/>
    <row r="2666" ht="12.75" customHeight="1" x14ac:dyDescent="0.2"/>
    <row r="2667" ht="12.75" customHeight="1" x14ac:dyDescent="0.2"/>
    <row r="2668" ht="12.75" customHeight="1" x14ac:dyDescent="0.2"/>
    <row r="2669" ht="12.75" customHeight="1" x14ac:dyDescent="0.2"/>
    <row r="2670" ht="12.75" customHeight="1" x14ac:dyDescent="0.2"/>
    <row r="2671" ht="12.75" customHeight="1" x14ac:dyDescent="0.2"/>
    <row r="2672" ht="12.75" customHeight="1" x14ac:dyDescent="0.2"/>
    <row r="2673" ht="12.75" customHeight="1" x14ac:dyDescent="0.2"/>
    <row r="2674" ht="12.75" customHeight="1" x14ac:dyDescent="0.2"/>
    <row r="2675" ht="12.75" customHeight="1" x14ac:dyDescent="0.2"/>
    <row r="2676" ht="12.75" customHeight="1" x14ac:dyDescent="0.2"/>
    <row r="2677" ht="12.75" customHeight="1" x14ac:dyDescent="0.2"/>
    <row r="2678" ht="12.75" customHeight="1" x14ac:dyDescent="0.2"/>
    <row r="2679" ht="12.75" customHeight="1" x14ac:dyDescent="0.2"/>
    <row r="2680" ht="12.75" customHeight="1" x14ac:dyDescent="0.2"/>
    <row r="2681" ht="12.75" customHeight="1" x14ac:dyDescent="0.2"/>
    <row r="2682" ht="12.75" customHeight="1" x14ac:dyDescent="0.2"/>
    <row r="2683" ht="12.75" customHeight="1" x14ac:dyDescent="0.2"/>
    <row r="2684" ht="12.75" customHeight="1" x14ac:dyDescent="0.2"/>
    <row r="2685" ht="12.75" customHeight="1" x14ac:dyDescent="0.2"/>
    <row r="2686" ht="12.75" customHeight="1" x14ac:dyDescent="0.2"/>
    <row r="2687" ht="12.75" customHeight="1" x14ac:dyDescent="0.2"/>
    <row r="2688" ht="12.75" customHeight="1" x14ac:dyDescent="0.2"/>
    <row r="2689" ht="12.75" customHeight="1" x14ac:dyDescent="0.2"/>
    <row r="2690" ht="12.75" customHeight="1" x14ac:dyDescent="0.2"/>
    <row r="2691" ht="12.75" customHeight="1" x14ac:dyDescent="0.2"/>
    <row r="2692" ht="12.75" customHeight="1" x14ac:dyDescent="0.2"/>
    <row r="2693" ht="12.75" customHeight="1" x14ac:dyDescent="0.2"/>
    <row r="2694" ht="12.75" customHeight="1" x14ac:dyDescent="0.2"/>
    <row r="2695" ht="12.75" customHeight="1" x14ac:dyDescent="0.2"/>
    <row r="2696" ht="12.75" customHeight="1" x14ac:dyDescent="0.2"/>
    <row r="2697" ht="12.75" customHeight="1" x14ac:dyDescent="0.2"/>
    <row r="2698" ht="12.75" customHeight="1" x14ac:dyDescent="0.2"/>
    <row r="2699" ht="12.75" customHeight="1" x14ac:dyDescent="0.2"/>
    <row r="2700" ht="12.75" customHeight="1" x14ac:dyDescent="0.2"/>
    <row r="2701" ht="12.75" customHeight="1" x14ac:dyDescent="0.2"/>
    <row r="2702" ht="12.75" customHeight="1" x14ac:dyDescent="0.2"/>
    <row r="2703" ht="12.75" customHeight="1" x14ac:dyDescent="0.2"/>
    <row r="2704" ht="12.75" customHeight="1" x14ac:dyDescent="0.2"/>
    <row r="2705" ht="12.75" customHeight="1" x14ac:dyDescent="0.2"/>
    <row r="2706" ht="12.75" customHeight="1" x14ac:dyDescent="0.2"/>
    <row r="2707" ht="12.75" customHeight="1" x14ac:dyDescent="0.2"/>
    <row r="2708" ht="12.75" customHeight="1" x14ac:dyDescent="0.2"/>
    <row r="2709" ht="12.75" customHeight="1" x14ac:dyDescent="0.2"/>
    <row r="2710" ht="12.75" customHeight="1" x14ac:dyDescent="0.2"/>
    <row r="2711" ht="12.75" customHeight="1" x14ac:dyDescent="0.2"/>
    <row r="2712" ht="12.75" customHeight="1" x14ac:dyDescent="0.2"/>
    <row r="2713" ht="12.75" customHeight="1" x14ac:dyDescent="0.2"/>
    <row r="2714" ht="12.75" customHeight="1" x14ac:dyDescent="0.2"/>
    <row r="2715" ht="12.75" customHeight="1" x14ac:dyDescent="0.2"/>
    <row r="2716" ht="12.75" customHeight="1" x14ac:dyDescent="0.2"/>
    <row r="2717" ht="12.75" customHeight="1" x14ac:dyDescent="0.2"/>
    <row r="2718" ht="12.75" customHeight="1" x14ac:dyDescent="0.2"/>
    <row r="2719" ht="12.75" customHeight="1" x14ac:dyDescent="0.2"/>
    <row r="2720" ht="12.75" customHeight="1" x14ac:dyDescent="0.2"/>
    <row r="2721" ht="12.75" customHeight="1" x14ac:dyDescent="0.2"/>
    <row r="2722" ht="12.75" customHeight="1" x14ac:dyDescent="0.2"/>
    <row r="2723" ht="12.75" customHeight="1" x14ac:dyDescent="0.2"/>
    <row r="2724" ht="12.75" customHeight="1" x14ac:dyDescent="0.2"/>
    <row r="2725" ht="12.75" customHeight="1" x14ac:dyDescent="0.2"/>
    <row r="2726" ht="12.75" customHeight="1" x14ac:dyDescent="0.2"/>
    <row r="2727" ht="12.75" customHeight="1" x14ac:dyDescent="0.2"/>
    <row r="2728" ht="12.75" customHeight="1" x14ac:dyDescent="0.2"/>
    <row r="2729" ht="12.75" customHeight="1" x14ac:dyDescent="0.2"/>
    <row r="2730" ht="12.75" customHeight="1" x14ac:dyDescent="0.2"/>
    <row r="2731" ht="12.75" customHeight="1" x14ac:dyDescent="0.2"/>
    <row r="2732" ht="12.75" customHeight="1" x14ac:dyDescent="0.2"/>
    <row r="2733" ht="12.75" customHeight="1" x14ac:dyDescent="0.2"/>
    <row r="2734" ht="12.75" customHeight="1" x14ac:dyDescent="0.2"/>
    <row r="2735" ht="12.75" customHeight="1" x14ac:dyDescent="0.2"/>
    <row r="2736" ht="12.75" customHeight="1" x14ac:dyDescent="0.2"/>
    <row r="2737" ht="12.75" customHeight="1" x14ac:dyDescent="0.2"/>
    <row r="2738" ht="12.75" customHeight="1" x14ac:dyDescent="0.2"/>
    <row r="2739" ht="12.75" customHeight="1" x14ac:dyDescent="0.2"/>
    <row r="2740" ht="12.75" customHeight="1" x14ac:dyDescent="0.2"/>
    <row r="2741" ht="12.75" customHeight="1" x14ac:dyDescent="0.2"/>
    <row r="2742" ht="12.75" customHeight="1" x14ac:dyDescent="0.2"/>
    <row r="2743" ht="12.75" customHeight="1" x14ac:dyDescent="0.2"/>
    <row r="2744" ht="12.75" customHeight="1" x14ac:dyDescent="0.2"/>
    <row r="2745" ht="12.75" customHeight="1" x14ac:dyDescent="0.2"/>
    <row r="2746" ht="12.75" customHeight="1" x14ac:dyDescent="0.2"/>
    <row r="2747" ht="12.75" customHeight="1" x14ac:dyDescent="0.2"/>
    <row r="2748" ht="12.75" customHeight="1" x14ac:dyDescent="0.2"/>
    <row r="2749" ht="12.75" customHeight="1" x14ac:dyDescent="0.2"/>
    <row r="2750" ht="12.75" customHeight="1" x14ac:dyDescent="0.2"/>
    <row r="2751" ht="12.75" customHeight="1" x14ac:dyDescent="0.2"/>
    <row r="2752" ht="12.75" customHeight="1" x14ac:dyDescent="0.2"/>
    <row r="2753" ht="12.75" customHeight="1" x14ac:dyDescent="0.2"/>
    <row r="2754" ht="12.75" customHeight="1" x14ac:dyDescent="0.2"/>
    <row r="2755" ht="12.75" customHeight="1" x14ac:dyDescent="0.2"/>
    <row r="2756" ht="12.75" customHeight="1" x14ac:dyDescent="0.2"/>
    <row r="2757" ht="12.75" customHeight="1" x14ac:dyDescent="0.2"/>
    <row r="2758" ht="12.75" customHeight="1" x14ac:dyDescent="0.2"/>
    <row r="2759" ht="12.75" customHeight="1" x14ac:dyDescent="0.2"/>
    <row r="2760" ht="12.75" customHeight="1" x14ac:dyDescent="0.2"/>
    <row r="2761" ht="12.75" customHeight="1" x14ac:dyDescent="0.2"/>
    <row r="2762" ht="12.75" customHeight="1" x14ac:dyDescent="0.2"/>
    <row r="2763" ht="12.75" customHeight="1" x14ac:dyDescent="0.2"/>
    <row r="2764" ht="12.75" customHeight="1" x14ac:dyDescent="0.2"/>
    <row r="2765" ht="12.75" customHeight="1" x14ac:dyDescent="0.2"/>
    <row r="2766" ht="12.75" customHeight="1" x14ac:dyDescent="0.2"/>
    <row r="2767" ht="12.75" customHeight="1" x14ac:dyDescent="0.2"/>
    <row r="2768" ht="12.75" customHeight="1" x14ac:dyDescent="0.2"/>
    <row r="2769" ht="12.75" customHeight="1" x14ac:dyDescent="0.2"/>
    <row r="2770" ht="12.75" customHeight="1" x14ac:dyDescent="0.2"/>
    <row r="2771" ht="12.75" customHeight="1" x14ac:dyDescent="0.2"/>
    <row r="2772" ht="12.75" customHeight="1" x14ac:dyDescent="0.2"/>
    <row r="2773" ht="12.75" customHeight="1" x14ac:dyDescent="0.2"/>
    <row r="2774" ht="12.75" customHeight="1" x14ac:dyDescent="0.2"/>
    <row r="2775" ht="12.75" customHeight="1" x14ac:dyDescent="0.2"/>
    <row r="2776" ht="12.75" customHeight="1" x14ac:dyDescent="0.2"/>
    <row r="2777" ht="12.75" customHeight="1" x14ac:dyDescent="0.2"/>
    <row r="2778" ht="12.75" customHeight="1" x14ac:dyDescent="0.2"/>
    <row r="2779" ht="12.75" customHeight="1" x14ac:dyDescent="0.2"/>
    <row r="2780" ht="12.75" customHeight="1" x14ac:dyDescent="0.2"/>
    <row r="2781" ht="12.75" customHeight="1" x14ac:dyDescent="0.2"/>
    <row r="2782" ht="12.75" customHeight="1" x14ac:dyDescent="0.2"/>
    <row r="2783" ht="12.75" customHeight="1" x14ac:dyDescent="0.2"/>
    <row r="2784" ht="12.75" customHeight="1" x14ac:dyDescent="0.2"/>
    <row r="2785" ht="12.75" customHeight="1" x14ac:dyDescent="0.2"/>
    <row r="2786" ht="12.75" customHeight="1" x14ac:dyDescent="0.2"/>
    <row r="2787" ht="12.75" customHeight="1" x14ac:dyDescent="0.2"/>
    <row r="2788" ht="12.75" customHeight="1" x14ac:dyDescent="0.2"/>
    <row r="2789" ht="12.75" customHeight="1" x14ac:dyDescent="0.2"/>
    <row r="2790" ht="12.75" customHeight="1" x14ac:dyDescent="0.2"/>
    <row r="2791" ht="12.75" customHeight="1" x14ac:dyDescent="0.2"/>
    <row r="2792" ht="12.75" customHeight="1" x14ac:dyDescent="0.2"/>
    <row r="2793" ht="12.75" customHeight="1" x14ac:dyDescent="0.2"/>
    <row r="2794" ht="12.75" customHeight="1" x14ac:dyDescent="0.2"/>
    <row r="2795" ht="12.75" customHeight="1" x14ac:dyDescent="0.2"/>
    <row r="2796" ht="12.75" customHeight="1" x14ac:dyDescent="0.2"/>
    <row r="2797" ht="12.75" customHeight="1" x14ac:dyDescent="0.2"/>
    <row r="2798" ht="12.75" customHeight="1" x14ac:dyDescent="0.2"/>
    <row r="2799" ht="12.75" customHeight="1" x14ac:dyDescent="0.2"/>
    <row r="2800" ht="12.75" customHeight="1" x14ac:dyDescent="0.2"/>
    <row r="2801" ht="12.75" customHeight="1" x14ac:dyDescent="0.2"/>
    <row r="2802" ht="12.75" customHeight="1" x14ac:dyDescent="0.2"/>
    <row r="2803" ht="12.75" customHeight="1" x14ac:dyDescent="0.2"/>
    <row r="2804" ht="12.75" customHeight="1" x14ac:dyDescent="0.2"/>
    <row r="2805" ht="12.75" customHeight="1" x14ac:dyDescent="0.2"/>
    <row r="2806" ht="12.75" customHeight="1" x14ac:dyDescent="0.2"/>
    <row r="2807" ht="12.75" customHeight="1" x14ac:dyDescent="0.2"/>
    <row r="2808" ht="12.75" customHeight="1" x14ac:dyDescent="0.2"/>
    <row r="2809" ht="12.75" customHeight="1" x14ac:dyDescent="0.2"/>
    <row r="2810" ht="12.75" customHeight="1" x14ac:dyDescent="0.2"/>
    <row r="2811" ht="12.75" customHeight="1" x14ac:dyDescent="0.2"/>
    <row r="2812" ht="12.75" customHeight="1" x14ac:dyDescent="0.2"/>
    <row r="2813" ht="12.75" customHeight="1" x14ac:dyDescent="0.2"/>
    <row r="2814" ht="12.75" customHeight="1" x14ac:dyDescent="0.2"/>
    <row r="2815" ht="12.75" customHeight="1" x14ac:dyDescent="0.2"/>
    <row r="2816" ht="12.75" customHeight="1" x14ac:dyDescent="0.2"/>
    <row r="2817" ht="12.75" customHeight="1" x14ac:dyDescent="0.2"/>
    <row r="2818" ht="12.75" customHeight="1" x14ac:dyDescent="0.2"/>
    <row r="2819" ht="12.75" customHeight="1" x14ac:dyDescent="0.2"/>
    <row r="2820" ht="12.75" customHeight="1" x14ac:dyDescent="0.2"/>
    <row r="2821" ht="12.75" customHeight="1" x14ac:dyDescent="0.2"/>
    <row r="2822" ht="12.75" customHeight="1" x14ac:dyDescent="0.2"/>
    <row r="2823" ht="12.75" customHeight="1" x14ac:dyDescent="0.2"/>
    <row r="2824" ht="12.75" customHeight="1" x14ac:dyDescent="0.2"/>
    <row r="2825" ht="12.75" customHeight="1" x14ac:dyDescent="0.2"/>
    <row r="2826" ht="12.75" customHeight="1" x14ac:dyDescent="0.2"/>
    <row r="2827" ht="12.75" customHeight="1" x14ac:dyDescent="0.2"/>
    <row r="2828" ht="12.75" customHeight="1" x14ac:dyDescent="0.2"/>
    <row r="2829" ht="12.75" customHeight="1" x14ac:dyDescent="0.2"/>
    <row r="2830" ht="12.75" customHeight="1" x14ac:dyDescent="0.2"/>
    <row r="2831" ht="12.75" customHeight="1" x14ac:dyDescent="0.2"/>
    <row r="2832" ht="12.75" customHeight="1" x14ac:dyDescent="0.2"/>
    <row r="2833" ht="12.75" customHeight="1" x14ac:dyDescent="0.2"/>
    <row r="2834" ht="12.75" customHeight="1" x14ac:dyDescent="0.2"/>
    <row r="2835" ht="12.75" customHeight="1" x14ac:dyDescent="0.2"/>
    <row r="2836" ht="12.75" customHeight="1" x14ac:dyDescent="0.2"/>
    <row r="2837" ht="12.75" customHeight="1" x14ac:dyDescent="0.2"/>
    <row r="2838" ht="12.75" customHeight="1" x14ac:dyDescent="0.2"/>
    <row r="2839" ht="12.75" customHeight="1" x14ac:dyDescent="0.2"/>
    <row r="2840" ht="12.75" customHeight="1" x14ac:dyDescent="0.2"/>
    <row r="2841" ht="12.75" customHeight="1" x14ac:dyDescent="0.2"/>
    <row r="2842" ht="12.75" customHeight="1" x14ac:dyDescent="0.2"/>
    <row r="2843" ht="12.75" customHeight="1" x14ac:dyDescent="0.2"/>
    <row r="2844" ht="12.75" customHeight="1" x14ac:dyDescent="0.2"/>
    <row r="2845" ht="12.75" customHeight="1" x14ac:dyDescent="0.2"/>
    <row r="2846" ht="12.75" customHeight="1" x14ac:dyDescent="0.2"/>
    <row r="2847" ht="12.75" customHeight="1" x14ac:dyDescent="0.2"/>
    <row r="2848" ht="12.75" customHeight="1" x14ac:dyDescent="0.2"/>
    <row r="2849" ht="12.75" customHeight="1" x14ac:dyDescent="0.2"/>
    <row r="2850" ht="12.75" customHeight="1" x14ac:dyDescent="0.2"/>
    <row r="2851" ht="12.75" customHeight="1" x14ac:dyDescent="0.2"/>
    <row r="2852" ht="12.75" customHeight="1" x14ac:dyDescent="0.2"/>
    <row r="2853" ht="12.75" customHeight="1" x14ac:dyDescent="0.2"/>
    <row r="2854" ht="12.75" customHeight="1" x14ac:dyDescent="0.2"/>
    <row r="2855" ht="12.75" customHeight="1" x14ac:dyDescent="0.2"/>
    <row r="2856" ht="12.75" customHeight="1" x14ac:dyDescent="0.2"/>
    <row r="2857" ht="12.75" customHeight="1" x14ac:dyDescent="0.2"/>
    <row r="2858" ht="12.75" customHeight="1" x14ac:dyDescent="0.2"/>
    <row r="2859" ht="12.75" customHeight="1" x14ac:dyDescent="0.2"/>
    <row r="2860" ht="12.75" customHeight="1" x14ac:dyDescent="0.2"/>
    <row r="2861" ht="12.75" customHeight="1" x14ac:dyDescent="0.2"/>
    <row r="2862" ht="12.75" customHeight="1" x14ac:dyDescent="0.2"/>
    <row r="2863" ht="12.75" customHeight="1" x14ac:dyDescent="0.2"/>
    <row r="2864" ht="12.75" customHeight="1" x14ac:dyDescent="0.2"/>
    <row r="2865" ht="12.75" customHeight="1" x14ac:dyDescent="0.2"/>
    <row r="2866" ht="12.75" customHeight="1" x14ac:dyDescent="0.2"/>
    <row r="2867" ht="12.75" customHeight="1" x14ac:dyDescent="0.2"/>
    <row r="2868" ht="12.75" customHeight="1" x14ac:dyDescent="0.2"/>
    <row r="2869" ht="12.75" customHeight="1" x14ac:dyDescent="0.2"/>
    <row r="2870" ht="12.75" customHeight="1" x14ac:dyDescent="0.2"/>
    <row r="2871" ht="12.75" customHeight="1" x14ac:dyDescent="0.2"/>
    <row r="2872" ht="12.75" customHeight="1" x14ac:dyDescent="0.2"/>
    <row r="2873" ht="12.75" customHeight="1" x14ac:dyDescent="0.2"/>
    <row r="2874" ht="12.75" customHeight="1" x14ac:dyDescent="0.2"/>
    <row r="2875" ht="12.75" customHeight="1" x14ac:dyDescent="0.2"/>
    <row r="2876" ht="12.75" customHeight="1" x14ac:dyDescent="0.2"/>
    <row r="2877" ht="12.75" customHeight="1" x14ac:dyDescent="0.2"/>
    <row r="2878" ht="12.75" customHeight="1" x14ac:dyDescent="0.2"/>
    <row r="2879" ht="12.75" customHeight="1" x14ac:dyDescent="0.2"/>
    <row r="2880" ht="12.75" customHeight="1" x14ac:dyDescent="0.2"/>
    <row r="2881" ht="12.75" customHeight="1" x14ac:dyDescent="0.2"/>
    <row r="2882" ht="12.75" customHeight="1" x14ac:dyDescent="0.2"/>
    <row r="2883" ht="12.75" customHeight="1" x14ac:dyDescent="0.2"/>
    <row r="2884" ht="12.75" customHeight="1" x14ac:dyDescent="0.2"/>
    <row r="2885" ht="12.75" customHeight="1" x14ac:dyDescent="0.2"/>
    <row r="2886" ht="12.75" customHeight="1" x14ac:dyDescent="0.2"/>
    <row r="2887" ht="12.75" customHeight="1" x14ac:dyDescent="0.2"/>
    <row r="2888" ht="12.75" customHeight="1" x14ac:dyDescent="0.2"/>
    <row r="2889" ht="12.75" customHeight="1" x14ac:dyDescent="0.2"/>
    <row r="2890" ht="12.75" customHeight="1" x14ac:dyDescent="0.2"/>
    <row r="2891" ht="12.75" customHeight="1" x14ac:dyDescent="0.2"/>
    <row r="2892" ht="12.75" customHeight="1" x14ac:dyDescent="0.2"/>
    <row r="2893" ht="12.75" customHeight="1" x14ac:dyDescent="0.2"/>
    <row r="2894" ht="12.75" customHeight="1" x14ac:dyDescent="0.2"/>
    <row r="2895" ht="12.75" customHeight="1" x14ac:dyDescent="0.2"/>
    <row r="2896" ht="12.75" customHeight="1" x14ac:dyDescent="0.2"/>
    <row r="2897" ht="12.75" customHeight="1" x14ac:dyDescent="0.2"/>
    <row r="2898" ht="12.75" customHeight="1" x14ac:dyDescent="0.2"/>
    <row r="2899" ht="12.75" customHeight="1" x14ac:dyDescent="0.2"/>
    <row r="2900" ht="12.75" customHeight="1" x14ac:dyDescent="0.2"/>
    <row r="2901" ht="12.75" customHeight="1" x14ac:dyDescent="0.2"/>
    <row r="2902" ht="12.75" customHeight="1" x14ac:dyDescent="0.2"/>
    <row r="2903" ht="12.75" customHeight="1" x14ac:dyDescent="0.2"/>
    <row r="2904" ht="12.75" customHeight="1" x14ac:dyDescent="0.2"/>
    <row r="2905" ht="12.75" customHeight="1" x14ac:dyDescent="0.2"/>
    <row r="2906" ht="12.75" customHeight="1" x14ac:dyDescent="0.2"/>
    <row r="2907" ht="12.75" customHeight="1" x14ac:dyDescent="0.2"/>
    <row r="2908" ht="12.75" customHeight="1" x14ac:dyDescent="0.2"/>
    <row r="2909" ht="12.75" customHeight="1" x14ac:dyDescent="0.2"/>
    <row r="2910" ht="12.75" customHeight="1" x14ac:dyDescent="0.2"/>
    <row r="2911" ht="12.75" customHeight="1" x14ac:dyDescent="0.2"/>
    <row r="2912" ht="12.75" customHeight="1" x14ac:dyDescent="0.2"/>
    <row r="2913" ht="12.75" customHeight="1" x14ac:dyDescent="0.2"/>
    <row r="2914" ht="12.75" customHeight="1" x14ac:dyDescent="0.2"/>
    <row r="2915" ht="12.75" customHeight="1" x14ac:dyDescent="0.2"/>
    <row r="2916" ht="12.75" customHeight="1" x14ac:dyDescent="0.2"/>
    <row r="2917" ht="12.75" customHeight="1" x14ac:dyDescent="0.2"/>
    <row r="2918" ht="12.75" customHeight="1" x14ac:dyDescent="0.2"/>
    <row r="2919" ht="12.75" customHeight="1" x14ac:dyDescent="0.2"/>
    <row r="2920" ht="12.75" customHeight="1" x14ac:dyDescent="0.2"/>
    <row r="2921" ht="12.75" customHeight="1" x14ac:dyDescent="0.2"/>
    <row r="2922" ht="12.75" customHeight="1" x14ac:dyDescent="0.2"/>
    <row r="2923" ht="12.75" customHeight="1" x14ac:dyDescent="0.2"/>
    <row r="2924" ht="12.75" customHeight="1" x14ac:dyDescent="0.2"/>
    <row r="2925" ht="12.75" customHeight="1" x14ac:dyDescent="0.2"/>
    <row r="2926" ht="12.75" customHeight="1" x14ac:dyDescent="0.2"/>
    <row r="2927" ht="12.75" customHeight="1" x14ac:dyDescent="0.2"/>
    <row r="2928" ht="12.75" customHeight="1" x14ac:dyDescent="0.2"/>
    <row r="2929" ht="12.75" customHeight="1" x14ac:dyDescent="0.2"/>
    <row r="2930" ht="12.75" customHeight="1" x14ac:dyDescent="0.2"/>
    <row r="2931" ht="12.75" customHeight="1" x14ac:dyDescent="0.2"/>
    <row r="2932" ht="12.75" customHeight="1" x14ac:dyDescent="0.2"/>
    <row r="2933" ht="12.75" customHeight="1" x14ac:dyDescent="0.2"/>
    <row r="2934" ht="12.75" customHeight="1" x14ac:dyDescent="0.2"/>
    <row r="2935" ht="12.75" customHeight="1" x14ac:dyDescent="0.2"/>
    <row r="2936" ht="12.75" customHeight="1" x14ac:dyDescent="0.2"/>
    <row r="2937" ht="12.75" customHeight="1" x14ac:dyDescent="0.2"/>
    <row r="2938" ht="12.75" customHeight="1" x14ac:dyDescent="0.2"/>
    <row r="2939" ht="12.75" customHeight="1" x14ac:dyDescent="0.2"/>
    <row r="2940" ht="12.75" customHeight="1" x14ac:dyDescent="0.2"/>
    <row r="2941" ht="12.75" customHeight="1" x14ac:dyDescent="0.2"/>
    <row r="2942" ht="12.75" customHeight="1" x14ac:dyDescent="0.2"/>
    <row r="2943" ht="12.75" customHeight="1" x14ac:dyDescent="0.2"/>
    <row r="2944" ht="12.75" customHeight="1" x14ac:dyDescent="0.2"/>
    <row r="2945" ht="12.75" customHeight="1" x14ac:dyDescent="0.2"/>
    <row r="2946" ht="12.75" customHeight="1" x14ac:dyDescent="0.2"/>
    <row r="2947" ht="12.75" customHeight="1" x14ac:dyDescent="0.2"/>
    <row r="2948" ht="12.75" customHeight="1" x14ac:dyDescent="0.2"/>
    <row r="2949" ht="12.75" customHeight="1" x14ac:dyDescent="0.2"/>
    <row r="2950" ht="12.75" customHeight="1" x14ac:dyDescent="0.2"/>
    <row r="2951" ht="12.75" customHeight="1" x14ac:dyDescent="0.2"/>
    <row r="2952" ht="12.75" customHeight="1" x14ac:dyDescent="0.2"/>
    <row r="2953" ht="12.75" customHeight="1" x14ac:dyDescent="0.2"/>
    <row r="2954" ht="12.75" customHeight="1" x14ac:dyDescent="0.2"/>
    <row r="2955" ht="12.75" customHeight="1" x14ac:dyDescent="0.2"/>
    <row r="2956" ht="12.75" customHeight="1" x14ac:dyDescent="0.2"/>
    <row r="2957" ht="12.75" customHeight="1" x14ac:dyDescent="0.2"/>
    <row r="2958" ht="12.75" customHeight="1" x14ac:dyDescent="0.2"/>
    <row r="2959" ht="12.75" customHeight="1" x14ac:dyDescent="0.2"/>
    <row r="2960" ht="12.75" customHeight="1" x14ac:dyDescent="0.2"/>
    <row r="2961" ht="12.75" customHeight="1" x14ac:dyDescent="0.2"/>
    <row r="2962" ht="12.75" customHeight="1" x14ac:dyDescent="0.2"/>
    <row r="2963" ht="12.75" customHeight="1" x14ac:dyDescent="0.2"/>
    <row r="2964" ht="12.75" customHeight="1" x14ac:dyDescent="0.2"/>
    <row r="2965" ht="12.75" customHeight="1" x14ac:dyDescent="0.2"/>
    <row r="2966" ht="12.75" customHeight="1" x14ac:dyDescent="0.2"/>
    <row r="2967" ht="12.75" customHeight="1" x14ac:dyDescent="0.2"/>
    <row r="2968" ht="12.75" customHeight="1" x14ac:dyDescent="0.2"/>
    <row r="2969" ht="12.75" customHeight="1" x14ac:dyDescent="0.2"/>
    <row r="2970" ht="12.75" customHeight="1" x14ac:dyDescent="0.2"/>
    <row r="2971" ht="12.75" customHeight="1" x14ac:dyDescent="0.2"/>
    <row r="2972" ht="12.75" customHeight="1" x14ac:dyDescent="0.2"/>
    <row r="2973" ht="12.75" customHeight="1" x14ac:dyDescent="0.2"/>
    <row r="2974" ht="12.75" customHeight="1" x14ac:dyDescent="0.2"/>
    <row r="2975" ht="12.75" customHeight="1" x14ac:dyDescent="0.2"/>
    <row r="2976" ht="12.75" customHeight="1" x14ac:dyDescent="0.2"/>
    <row r="2977" ht="12.75" customHeight="1" x14ac:dyDescent="0.2"/>
    <row r="2978" ht="12.75" customHeight="1" x14ac:dyDescent="0.2"/>
    <row r="2979" ht="12.75" customHeight="1" x14ac:dyDescent="0.2"/>
    <row r="2980" ht="12.75" customHeight="1" x14ac:dyDescent="0.2"/>
    <row r="2981" ht="12.75" customHeight="1" x14ac:dyDescent="0.2"/>
    <row r="2982" ht="12.75" customHeight="1" x14ac:dyDescent="0.2"/>
    <row r="2983" ht="12.75" customHeight="1" x14ac:dyDescent="0.2"/>
    <row r="2984" ht="12.75" customHeight="1" x14ac:dyDescent="0.2"/>
    <row r="2985" ht="12.75" customHeight="1" x14ac:dyDescent="0.2"/>
    <row r="2986" ht="12.75" customHeight="1" x14ac:dyDescent="0.2"/>
    <row r="2987" ht="12.75" customHeight="1" x14ac:dyDescent="0.2"/>
    <row r="2988" ht="12.75" customHeight="1" x14ac:dyDescent="0.2"/>
    <row r="2989" ht="12.75" customHeight="1" x14ac:dyDescent="0.2"/>
    <row r="2990" ht="12.75" customHeight="1" x14ac:dyDescent="0.2"/>
    <row r="2991" ht="12.75" customHeight="1" x14ac:dyDescent="0.2"/>
    <row r="2992" ht="12.75" customHeight="1" x14ac:dyDescent="0.2"/>
    <row r="2993" ht="12.75" customHeight="1" x14ac:dyDescent="0.2"/>
    <row r="2994" ht="12.75" customHeight="1" x14ac:dyDescent="0.2"/>
    <row r="2995" ht="12.75" customHeight="1" x14ac:dyDescent="0.2"/>
    <row r="2996" ht="12.75" customHeight="1" x14ac:dyDescent="0.2"/>
    <row r="2997" ht="12.75" customHeight="1" x14ac:dyDescent="0.2"/>
    <row r="2998" ht="12.75" customHeight="1" x14ac:dyDescent="0.2"/>
    <row r="2999" ht="12.75" customHeight="1" x14ac:dyDescent="0.2"/>
    <row r="3000" ht="12.75" customHeight="1" x14ac:dyDescent="0.2"/>
    <row r="3001" ht="12.75" customHeight="1" x14ac:dyDescent="0.2"/>
    <row r="3002" ht="12.75" customHeight="1" x14ac:dyDescent="0.2"/>
    <row r="3003" ht="12.75" customHeight="1" x14ac:dyDescent="0.2"/>
    <row r="3004" ht="12.75" customHeight="1" x14ac:dyDescent="0.2"/>
    <row r="3005" ht="12.75" customHeight="1" x14ac:dyDescent="0.2"/>
    <row r="3006" ht="12.75" customHeight="1" x14ac:dyDescent="0.2"/>
    <row r="3007" ht="12.75" customHeight="1" x14ac:dyDescent="0.2"/>
    <row r="3008" ht="12.75" customHeight="1" x14ac:dyDescent="0.2"/>
    <row r="3009" ht="12.75" customHeight="1" x14ac:dyDescent="0.2"/>
    <row r="3010" ht="12.75" customHeight="1" x14ac:dyDescent="0.2"/>
    <row r="3011" ht="12.75" customHeight="1" x14ac:dyDescent="0.2"/>
    <row r="3012" ht="12.75" customHeight="1" x14ac:dyDescent="0.2"/>
    <row r="3013" ht="12.75" customHeight="1" x14ac:dyDescent="0.2"/>
    <row r="3014" ht="12.75" customHeight="1" x14ac:dyDescent="0.2"/>
    <row r="3015" ht="12.75" customHeight="1" x14ac:dyDescent="0.2"/>
    <row r="3016" ht="12.75" customHeight="1" x14ac:dyDescent="0.2"/>
    <row r="3017" ht="12.75" customHeight="1" x14ac:dyDescent="0.2"/>
    <row r="3018" ht="12.75" customHeight="1" x14ac:dyDescent="0.2"/>
    <row r="3019" ht="12.75" customHeight="1" x14ac:dyDescent="0.2"/>
    <row r="3020" ht="12.75" customHeight="1" x14ac:dyDescent="0.2"/>
    <row r="3021" ht="12.75" customHeight="1" x14ac:dyDescent="0.2"/>
    <row r="3022" ht="12.75" customHeight="1" x14ac:dyDescent="0.2"/>
    <row r="3023" ht="12.75" customHeight="1" x14ac:dyDescent="0.2"/>
    <row r="3024" ht="12.75" customHeight="1" x14ac:dyDescent="0.2"/>
    <row r="3025" ht="12.75" customHeight="1" x14ac:dyDescent="0.2"/>
    <row r="3026" ht="12.75" customHeight="1" x14ac:dyDescent="0.2"/>
    <row r="3027" ht="12.75" customHeight="1" x14ac:dyDescent="0.2"/>
    <row r="3028" ht="12.75" customHeight="1" x14ac:dyDescent="0.2"/>
    <row r="3029" ht="12.75" customHeight="1" x14ac:dyDescent="0.2"/>
    <row r="3030" ht="12.75" customHeight="1" x14ac:dyDescent="0.2"/>
    <row r="3031" ht="12.75" customHeight="1" x14ac:dyDescent="0.2"/>
    <row r="3032" ht="12.75" customHeight="1" x14ac:dyDescent="0.2"/>
    <row r="3033" ht="12.75" customHeight="1" x14ac:dyDescent="0.2"/>
    <row r="3034" ht="12.75" customHeight="1" x14ac:dyDescent="0.2"/>
    <row r="3035" ht="12.75" customHeight="1" x14ac:dyDescent="0.2"/>
    <row r="3036" ht="12.75" customHeight="1" x14ac:dyDescent="0.2"/>
    <row r="3037" ht="12.75" customHeight="1" x14ac:dyDescent="0.2"/>
    <row r="3038" ht="12.75" customHeight="1" x14ac:dyDescent="0.2"/>
    <row r="3039" ht="12.75" customHeight="1" x14ac:dyDescent="0.2"/>
    <row r="3040" ht="12.75" customHeight="1" x14ac:dyDescent="0.2"/>
    <row r="3041" ht="12.75" customHeight="1" x14ac:dyDescent="0.2"/>
    <row r="3042" ht="12.75" customHeight="1" x14ac:dyDescent="0.2"/>
    <row r="3043" ht="12.75" customHeight="1" x14ac:dyDescent="0.2"/>
    <row r="3044" ht="12.75" customHeight="1" x14ac:dyDescent="0.2"/>
    <row r="3045" ht="12.75" customHeight="1" x14ac:dyDescent="0.2"/>
    <row r="3046" ht="12.75" customHeight="1" x14ac:dyDescent="0.2"/>
    <row r="3047" ht="12.75" customHeight="1" x14ac:dyDescent="0.2"/>
    <row r="3048" ht="12.75" customHeight="1" x14ac:dyDescent="0.2"/>
    <row r="3049" ht="12.75" customHeight="1" x14ac:dyDescent="0.2"/>
    <row r="3050" ht="12.75" customHeight="1" x14ac:dyDescent="0.2"/>
    <row r="3051" ht="12.75" customHeight="1" x14ac:dyDescent="0.2"/>
    <row r="3052" ht="12.75" customHeight="1" x14ac:dyDescent="0.2"/>
    <row r="3053" ht="12.75" customHeight="1" x14ac:dyDescent="0.2"/>
    <row r="3054" ht="12.75" customHeight="1" x14ac:dyDescent="0.2"/>
    <row r="3055" ht="12.75" customHeight="1" x14ac:dyDescent="0.2"/>
    <row r="3056" ht="12.75" customHeight="1" x14ac:dyDescent="0.2"/>
    <row r="3057" ht="12.75" customHeight="1" x14ac:dyDescent="0.2"/>
    <row r="3058" ht="12.75" customHeight="1" x14ac:dyDescent="0.2"/>
    <row r="3059" ht="12.75" customHeight="1" x14ac:dyDescent="0.2"/>
    <row r="3060" ht="12.75" customHeight="1" x14ac:dyDescent="0.2"/>
    <row r="3061" ht="12.75" customHeight="1" x14ac:dyDescent="0.2"/>
    <row r="3062" ht="12.75" customHeight="1" x14ac:dyDescent="0.2"/>
    <row r="3063" ht="12.75" customHeight="1" x14ac:dyDescent="0.2"/>
    <row r="3064" ht="12.75" customHeight="1" x14ac:dyDescent="0.2"/>
    <row r="3065" ht="12.75" customHeight="1" x14ac:dyDescent="0.2"/>
    <row r="3066" ht="12.75" customHeight="1" x14ac:dyDescent="0.2"/>
    <row r="3067" ht="12.75" customHeight="1" x14ac:dyDescent="0.2"/>
    <row r="3068" ht="12.75" customHeight="1" x14ac:dyDescent="0.2"/>
    <row r="3069" ht="12.75" customHeight="1" x14ac:dyDescent="0.2"/>
    <row r="3070" ht="12.75" customHeight="1" x14ac:dyDescent="0.2"/>
    <row r="3071" ht="12.75" customHeight="1" x14ac:dyDescent="0.2"/>
    <row r="3072" ht="12.75" customHeight="1" x14ac:dyDescent="0.2"/>
    <row r="3073" ht="12.75" customHeight="1" x14ac:dyDescent="0.2"/>
    <row r="3074" ht="12.75" customHeight="1" x14ac:dyDescent="0.2"/>
    <row r="3075" ht="12.75" customHeight="1" x14ac:dyDescent="0.2"/>
    <row r="3076" ht="12.75" customHeight="1" x14ac:dyDescent="0.2"/>
    <row r="3077" ht="12.75" customHeight="1" x14ac:dyDescent="0.2"/>
    <row r="3078" ht="12.75" customHeight="1" x14ac:dyDescent="0.2"/>
    <row r="3079" ht="12.75" customHeight="1" x14ac:dyDescent="0.2"/>
    <row r="3080" ht="12.75" customHeight="1" x14ac:dyDescent="0.2"/>
    <row r="3081" ht="12.75" customHeight="1" x14ac:dyDescent="0.2"/>
    <row r="3082" ht="12.75" customHeight="1" x14ac:dyDescent="0.2"/>
    <row r="3083" ht="12.75" customHeight="1" x14ac:dyDescent="0.2"/>
    <row r="3084" ht="12.75" customHeight="1" x14ac:dyDescent="0.2"/>
    <row r="3085" ht="12.75" customHeight="1" x14ac:dyDescent="0.2"/>
    <row r="3086" ht="12.75" customHeight="1" x14ac:dyDescent="0.2"/>
    <row r="3087" ht="12.75" customHeight="1" x14ac:dyDescent="0.2"/>
    <row r="3088" ht="12.75" customHeight="1" x14ac:dyDescent="0.2"/>
    <row r="3089" ht="12.75" customHeight="1" x14ac:dyDescent="0.2"/>
    <row r="3090" ht="12.75" customHeight="1" x14ac:dyDescent="0.2"/>
    <row r="3091" ht="12.75" customHeight="1" x14ac:dyDescent="0.2"/>
    <row r="3092" ht="12.75" customHeight="1" x14ac:dyDescent="0.2"/>
    <row r="3093" ht="12.75" customHeight="1" x14ac:dyDescent="0.2"/>
    <row r="3094" ht="12.75" customHeight="1" x14ac:dyDescent="0.2"/>
    <row r="3095" ht="12.75" customHeight="1" x14ac:dyDescent="0.2"/>
    <row r="3096" ht="12.75" customHeight="1" x14ac:dyDescent="0.2"/>
    <row r="3097" ht="12.75" customHeight="1" x14ac:dyDescent="0.2"/>
    <row r="3098" ht="12.75" customHeight="1" x14ac:dyDescent="0.2"/>
    <row r="3099" ht="12.75" customHeight="1" x14ac:dyDescent="0.2"/>
    <row r="3100" ht="12.75" customHeight="1" x14ac:dyDescent="0.2"/>
    <row r="3101" ht="12.75" customHeight="1" x14ac:dyDescent="0.2"/>
    <row r="3102" ht="12.75" customHeight="1" x14ac:dyDescent="0.2"/>
    <row r="3103" ht="12.75" customHeight="1" x14ac:dyDescent="0.2"/>
    <row r="3104" ht="12.75" customHeight="1" x14ac:dyDescent="0.2"/>
    <row r="3105" ht="12.75" customHeight="1" x14ac:dyDescent="0.2"/>
    <row r="3106" ht="12.75" customHeight="1" x14ac:dyDescent="0.2"/>
    <row r="3107" ht="12.75" customHeight="1" x14ac:dyDescent="0.2"/>
    <row r="3108" ht="12.75" customHeight="1" x14ac:dyDescent="0.2"/>
    <row r="3109" ht="12.75" customHeight="1" x14ac:dyDescent="0.2"/>
    <row r="3110" ht="12.75" customHeight="1" x14ac:dyDescent="0.2"/>
    <row r="3111" ht="12.75" customHeight="1" x14ac:dyDescent="0.2"/>
    <row r="3112" ht="12.75" customHeight="1" x14ac:dyDescent="0.2"/>
    <row r="3113" ht="12.75" customHeight="1" x14ac:dyDescent="0.2"/>
    <row r="3114" ht="12.75" customHeight="1" x14ac:dyDescent="0.2"/>
    <row r="3115" ht="12.75" customHeight="1" x14ac:dyDescent="0.2"/>
    <row r="3116" ht="12.75" customHeight="1" x14ac:dyDescent="0.2"/>
    <row r="3117" ht="12.75" customHeight="1" x14ac:dyDescent="0.2"/>
    <row r="3118" ht="12.75" customHeight="1" x14ac:dyDescent="0.2"/>
    <row r="3119" ht="12.75" customHeight="1" x14ac:dyDescent="0.2"/>
    <row r="3120" ht="12.75" customHeight="1" x14ac:dyDescent="0.2"/>
    <row r="3121" ht="12.75" customHeight="1" x14ac:dyDescent="0.2"/>
    <row r="3122" ht="12.75" customHeight="1" x14ac:dyDescent="0.2"/>
    <row r="3123" ht="12.75" customHeight="1" x14ac:dyDescent="0.2"/>
    <row r="3124" ht="12.75" customHeight="1" x14ac:dyDescent="0.2"/>
    <row r="3125" ht="12.75" customHeight="1" x14ac:dyDescent="0.2"/>
    <row r="3126" ht="12.75" customHeight="1" x14ac:dyDescent="0.2"/>
    <row r="3127" ht="12.75" customHeight="1" x14ac:dyDescent="0.2"/>
    <row r="3128" ht="12.75" customHeight="1" x14ac:dyDescent="0.2"/>
    <row r="3129" ht="12.75" customHeight="1" x14ac:dyDescent="0.2"/>
    <row r="3130" ht="12.75" customHeight="1" x14ac:dyDescent="0.2"/>
    <row r="3131" ht="12.75" customHeight="1" x14ac:dyDescent="0.2"/>
    <row r="3132" ht="12.75" customHeight="1" x14ac:dyDescent="0.2"/>
    <row r="3133" ht="12.75" customHeight="1" x14ac:dyDescent="0.2"/>
    <row r="3134" ht="12.75" customHeight="1" x14ac:dyDescent="0.2"/>
    <row r="3135" ht="12.75" customHeight="1" x14ac:dyDescent="0.2"/>
    <row r="3136" ht="12.75" customHeight="1" x14ac:dyDescent="0.2"/>
    <row r="3137" ht="12.75" customHeight="1" x14ac:dyDescent="0.2"/>
    <row r="3138" ht="12.75" customHeight="1" x14ac:dyDescent="0.2"/>
    <row r="3139" ht="12.75" customHeight="1" x14ac:dyDescent="0.2"/>
    <row r="3140" ht="12.75" customHeight="1" x14ac:dyDescent="0.2"/>
    <row r="3141" ht="12.75" customHeight="1" x14ac:dyDescent="0.2"/>
    <row r="3142" ht="12.75" customHeight="1" x14ac:dyDescent="0.2"/>
    <row r="3143" ht="12.75" customHeight="1" x14ac:dyDescent="0.2"/>
    <row r="3144" ht="12.75" customHeight="1" x14ac:dyDescent="0.2"/>
    <row r="3145" ht="12.75" customHeight="1" x14ac:dyDescent="0.2"/>
    <row r="3146" ht="12.75" customHeight="1" x14ac:dyDescent="0.2"/>
    <row r="3147" ht="12.75" customHeight="1" x14ac:dyDescent="0.2"/>
    <row r="3148" ht="12.75" customHeight="1" x14ac:dyDescent="0.2"/>
    <row r="3149" ht="12.75" customHeight="1" x14ac:dyDescent="0.2"/>
    <row r="3150" ht="12.75" customHeight="1" x14ac:dyDescent="0.2"/>
    <row r="3151" ht="12.75" customHeight="1" x14ac:dyDescent="0.2"/>
    <row r="3152" ht="12.75" customHeight="1" x14ac:dyDescent="0.2"/>
    <row r="3153" ht="12.75" customHeight="1" x14ac:dyDescent="0.2"/>
    <row r="3154" ht="12.75" customHeight="1" x14ac:dyDescent="0.2"/>
    <row r="3155" ht="12.75" customHeight="1" x14ac:dyDescent="0.2"/>
    <row r="3156" ht="12.75" customHeight="1" x14ac:dyDescent="0.2"/>
    <row r="3157" ht="12.75" customHeight="1" x14ac:dyDescent="0.2"/>
    <row r="3158" ht="12.75" customHeight="1" x14ac:dyDescent="0.2"/>
    <row r="3159" ht="12.75" customHeight="1" x14ac:dyDescent="0.2"/>
    <row r="3160" ht="12.75" customHeight="1" x14ac:dyDescent="0.2"/>
    <row r="3161" ht="12.75" customHeight="1" x14ac:dyDescent="0.2"/>
    <row r="3162" ht="12.75" customHeight="1" x14ac:dyDescent="0.2"/>
    <row r="3163" ht="12.75" customHeight="1" x14ac:dyDescent="0.2"/>
    <row r="3164" ht="12.75" customHeight="1" x14ac:dyDescent="0.2"/>
    <row r="3165" ht="12.75" customHeight="1" x14ac:dyDescent="0.2"/>
    <row r="3166" ht="12.75" customHeight="1" x14ac:dyDescent="0.2"/>
    <row r="3167" ht="12.75" customHeight="1" x14ac:dyDescent="0.2"/>
    <row r="3168" ht="12.75" customHeight="1" x14ac:dyDescent="0.2"/>
    <row r="3169" ht="12.75" customHeight="1" x14ac:dyDescent="0.2"/>
    <row r="3170" ht="12.75" customHeight="1" x14ac:dyDescent="0.2"/>
    <row r="3171" ht="12.75" customHeight="1" x14ac:dyDescent="0.2"/>
    <row r="3172" ht="12.75" customHeight="1" x14ac:dyDescent="0.2"/>
    <row r="3173" ht="12.75" customHeight="1" x14ac:dyDescent="0.2"/>
    <row r="3174" ht="12.75" customHeight="1" x14ac:dyDescent="0.2"/>
    <row r="3175" ht="12.75" customHeight="1" x14ac:dyDescent="0.2"/>
    <row r="3176" ht="12.75" customHeight="1" x14ac:dyDescent="0.2"/>
    <row r="3177" ht="12.75" customHeight="1" x14ac:dyDescent="0.2"/>
    <row r="3178" ht="12.75" customHeight="1" x14ac:dyDescent="0.2"/>
    <row r="3179" ht="12.75" customHeight="1" x14ac:dyDescent="0.2"/>
    <row r="3180" ht="12.75" customHeight="1" x14ac:dyDescent="0.2"/>
    <row r="3181" ht="12.75" customHeight="1" x14ac:dyDescent="0.2"/>
    <row r="3182" ht="12.75" customHeight="1" x14ac:dyDescent="0.2"/>
    <row r="3183" ht="12.75" customHeight="1" x14ac:dyDescent="0.2"/>
    <row r="3184" ht="12.75" customHeight="1" x14ac:dyDescent="0.2"/>
    <row r="3185" ht="12.75" customHeight="1" x14ac:dyDescent="0.2"/>
    <row r="3186" ht="12.75" customHeight="1" x14ac:dyDescent="0.2"/>
    <row r="3187" ht="12.75" customHeight="1" x14ac:dyDescent="0.2"/>
    <row r="3188" ht="12.75" customHeight="1" x14ac:dyDescent="0.2"/>
    <row r="3189" ht="12.75" customHeight="1" x14ac:dyDescent="0.2"/>
    <row r="3190" ht="12.75" customHeight="1" x14ac:dyDescent="0.2"/>
    <row r="3191" ht="12.75" customHeight="1" x14ac:dyDescent="0.2"/>
    <row r="3192" ht="12.75" customHeight="1" x14ac:dyDescent="0.2"/>
    <row r="3193" ht="12.75" customHeight="1" x14ac:dyDescent="0.2"/>
    <row r="3194" ht="12.75" customHeight="1" x14ac:dyDescent="0.2"/>
    <row r="3195" ht="12.75" customHeight="1" x14ac:dyDescent="0.2"/>
    <row r="3196" ht="12.75" customHeight="1" x14ac:dyDescent="0.2"/>
    <row r="3197" ht="12.75" customHeight="1" x14ac:dyDescent="0.2"/>
    <row r="3198" ht="12.75" customHeight="1" x14ac:dyDescent="0.2"/>
    <row r="3199" ht="12.75" customHeight="1" x14ac:dyDescent="0.2"/>
    <row r="3200" ht="12.75" customHeight="1" x14ac:dyDescent="0.2"/>
    <row r="3201" ht="12.75" customHeight="1" x14ac:dyDescent="0.2"/>
    <row r="3202" ht="12.75" customHeight="1" x14ac:dyDescent="0.2"/>
    <row r="3203" ht="12.75" customHeight="1" x14ac:dyDescent="0.2"/>
    <row r="3204" ht="12.75" customHeight="1" x14ac:dyDescent="0.2"/>
    <row r="3205" ht="12.75" customHeight="1" x14ac:dyDescent="0.2"/>
    <row r="3206" ht="12.75" customHeight="1" x14ac:dyDescent="0.2"/>
    <row r="3207" ht="12.75" customHeight="1" x14ac:dyDescent="0.2"/>
    <row r="3208" ht="12.75" customHeight="1" x14ac:dyDescent="0.2"/>
    <row r="3209" ht="12.75" customHeight="1" x14ac:dyDescent="0.2"/>
    <row r="3210" ht="12.75" customHeight="1" x14ac:dyDescent="0.2"/>
    <row r="3211" ht="12.75" customHeight="1" x14ac:dyDescent="0.2"/>
    <row r="3212" ht="12.75" customHeight="1" x14ac:dyDescent="0.2"/>
    <row r="3213" ht="12.75" customHeight="1" x14ac:dyDescent="0.2"/>
    <row r="3214" ht="12.75" customHeight="1" x14ac:dyDescent="0.2"/>
    <row r="3215" ht="12.75" customHeight="1" x14ac:dyDescent="0.2"/>
    <row r="3216" ht="12.75" customHeight="1" x14ac:dyDescent="0.2"/>
    <row r="3217" ht="12.75" customHeight="1" x14ac:dyDescent="0.2"/>
    <row r="3218" ht="12.75" customHeight="1" x14ac:dyDescent="0.2"/>
    <row r="3219" ht="12.75" customHeight="1" x14ac:dyDescent="0.2"/>
    <row r="3220" ht="12.75" customHeight="1" x14ac:dyDescent="0.2"/>
    <row r="3221" ht="12.75" customHeight="1" x14ac:dyDescent="0.2"/>
    <row r="3222" ht="12.75" customHeight="1" x14ac:dyDescent="0.2"/>
    <row r="3223" ht="12.75" customHeight="1" x14ac:dyDescent="0.2"/>
    <row r="3224" ht="12.75" customHeight="1" x14ac:dyDescent="0.2"/>
    <row r="3225" ht="12.75" customHeight="1" x14ac:dyDescent="0.2"/>
    <row r="3226" ht="12.75" customHeight="1" x14ac:dyDescent="0.2"/>
    <row r="3227" ht="12.75" customHeight="1" x14ac:dyDescent="0.2"/>
    <row r="3228" ht="12.75" customHeight="1" x14ac:dyDescent="0.2"/>
    <row r="3229" ht="12.75" customHeight="1" x14ac:dyDescent="0.2"/>
    <row r="3230" ht="12.75" customHeight="1" x14ac:dyDescent="0.2"/>
    <row r="3231" ht="12.75" customHeight="1" x14ac:dyDescent="0.2"/>
    <row r="3232" ht="12.75" customHeight="1" x14ac:dyDescent="0.2"/>
    <row r="3233" ht="12.75" customHeight="1" x14ac:dyDescent="0.2"/>
    <row r="3234" ht="12.75" customHeight="1" x14ac:dyDescent="0.2"/>
    <row r="3235" ht="12.75" customHeight="1" x14ac:dyDescent="0.2"/>
    <row r="3236" ht="12.75" customHeight="1" x14ac:dyDescent="0.2"/>
    <row r="3237" ht="12.75" customHeight="1" x14ac:dyDescent="0.2"/>
    <row r="3238" ht="12.75" customHeight="1" x14ac:dyDescent="0.2"/>
    <row r="3239" ht="12.75" customHeight="1" x14ac:dyDescent="0.2"/>
    <row r="3240" ht="12.75" customHeight="1" x14ac:dyDescent="0.2"/>
    <row r="3241" ht="12.75" customHeight="1" x14ac:dyDescent="0.2"/>
    <row r="3242" ht="12.75" customHeight="1" x14ac:dyDescent="0.2"/>
    <row r="3243" ht="12.75" customHeight="1" x14ac:dyDescent="0.2"/>
    <row r="3244" ht="12.75" customHeight="1" x14ac:dyDescent="0.2"/>
    <row r="3245" ht="12.75" customHeight="1" x14ac:dyDescent="0.2"/>
    <row r="3246" ht="12.75" customHeight="1" x14ac:dyDescent="0.2"/>
    <row r="3247" ht="12.75" customHeight="1" x14ac:dyDescent="0.2"/>
    <row r="3248" ht="12.75" customHeight="1" x14ac:dyDescent="0.2"/>
    <row r="3249" ht="12.75" customHeight="1" x14ac:dyDescent="0.2"/>
    <row r="3250" ht="12.75" customHeight="1" x14ac:dyDescent="0.2"/>
    <row r="3251" ht="12.75" customHeight="1" x14ac:dyDescent="0.2"/>
    <row r="3252" ht="12.75" customHeight="1" x14ac:dyDescent="0.2"/>
    <row r="3253" ht="12.75" customHeight="1" x14ac:dyDescent="0.2"/>
    <row r="3254" ht="12.75" customHeight="1" x14ac:dyDescent="0.2"/>
    <row r="3255" ht="12.75" customHeight="1" x14ac:dyDescent="0.2"/>
    <row r="3256" ht="12.75" customHeight="1" x14ac:dyDescent="0.2"/>
    <row r="3257" ht="12.75" customHeight="1" x14ac:dyDescent="0.2"/>
    <row r="3258" ht="12.75" customHeight="1" x14ac:dyDescent="0.2"/>
    <row r="3259" ht="12.75" customHeight="1" x14ac:dyDescent="0.2"/>
    <row r="3260" ht="12.75" customHeight="1" x14ac:dyDescent="0.2"/>
    <row r="3261" ht="12.75" customHeight="1" x14ac:dyDescent="0.2"/>
    <row r="3262" ht="12.75" customHeight="1" x14ac:dyDescent="0.2"/>
    <row r="3263" ht="12.75" customHeight="1" x14ac:dyDescent="0.2"/>
    <row r="3264" ht="12.75" customHeight="1" x14ac:dyDescent="0.2"/>
    <row r="3265" ht="12.75" customHeight="1" x14ac:dyDescent="0.2"/>
    <row r="3266" ht="12.75" customHeight="1" x14ac:dyDescent="0.2"/>
    <row r="3267" ht="12.75" customHeight="1" x14ac:dyDescent="0.2"/>
    <row r="3268" ht="12.75" customHeight="1" x14ac:dyDescent="0.2"/>
    <row r="3269" ht="12.75" customHeight="1" x14ac:dyDescent="0.2"/>
    <row r="3270" ht="12.75" customHeight="1" x14ac:dyDescent="0.2"/>
    <row r="3271" ht="12.75" customHeight="1" x14ac:dyDescent="0.2"/>
    <row r="3272" ht="12.75" customHeight="1" x14ac:dyDescent="0.2"/>
    <row r="3273" ht="12.75" customHeight="1" x14ac:dyDescent="0.2"/>
    <row r="3274" ht="12.75" customHeight="1" x14ac:dyDescent="0.2"/>
    <row r="3275" ht="12.75" customHeight="1" x14ac:dyDescent="0.2"/>
    <row r="3276" ht="12.75" customHeight="1" x14ac:dyDescent="0.2"/>
    <row r="3277" ht="12.75" customHeight="1" x14ac:dyDescent="0.2"/>
    <row r="3278" ht="12.75" customHeight="1" x14ac:dyDescent="0.2"/>
    <row r="3279" ht="12.75" customHeight="1" x14ac:dyDescent="0.2"/>
    <row r="3280" ht="12.75" customHeight="1" x14ac:dyDescent="0.2"/>
    <row r="3281" ht="12.75" customHeight="1" x14ac:dyDescent="0.2"/>
    <row r="3282" ht="12.75" customHeight="1" x14ac:dyDescent="0.2"/>
    <row r="3283" ht="12.75" customHeight="1" x14ac:dyDescent="0.2"/>
    <row r="3284" ht="12.75" customHeight="1" x14ac:dyDescent="0.2"/>
    <row r="3285" ht="12.75" customHeight="1" x14ac:dyDescent="0.2"/>
    <row r="3286" ht="12.75" customHeight="1" x14ac:dyDescent="0.2"/>
    <row r="3287" ht="12.75" customHeight="1" x14ac:dyDescent="0.2"/>
    <row r="3288" ht="12.75" customHeight="1" x14ac:dyDescent="0.2"/>
    <row r="3289" ht="12.75" customHeight="1" x14ac:dyDescent="0.2"/>
    <row r="3290" ht="12.75" customHeight="1" x14ac:dyDescent="0.2"/>
    <row r="3291" ht="12.75" customHeight="1" x14ac:dyDescent="0.2"/>
    <row r="3292" ht="12.75" customHeight="1" x14ac:dyDescent="0.2"/>
    <row r="3293" ht="12.75" customHeight="1" x14ac:dyDescent="0.2"/>
    <row r="3294" ht="12.75" customHeight="1" x14ac:dyDescent="0.2"/>
    <row r="3295" ht="12.75" customHeight="1" x14ac:dyDescent="0.2"/>
    <row r="3296" ht="12.75" customHeight="1" x14ac:dyDescent="0.2"/>
    <row r="3297" ht="12.75" customHeight="1" x14ac:dyDescent="0.2"/>
    <row r="3298" ht="12.75" customHeight="1" x14ac:dyDescent="0.2"/>
    <row r="3299" ht="12.75" customHeight="1" x14ac:dyDescent="0.2"/>
    <row r="3300" ht="12.75" customHeight="1" x14ac:dyDescent="0.2"/>
    <row r="3301" ht="12.75" customHeight="1" x14ac:dyDescent="0.2"/>
    <row r="3302" ht="12.75" customHeight="1" x14ac:dyDescent="0.2"/>
    <row r="3303" ht="12.75" customHeight="1" x14ac:dyDescent="0.2"/>
    <row r="3304" ht="12.75" customHeight="1" x14ac:dyDescent="0.2"/>
    <row r="3305" ht="12.75" customHeight="1" x14ac:dyDescent="0.2"/>
    <row r="3306" ht="12.75" customHeight="1" x14ac:dyDescent="0.2"/>
    <row r="3307" ht="12.75" customHeight="1" x14ac:dyDescent="0.2"/>
    <row r="3308" ht="12.75" customHeight="1" x14ac:dyDescent="0.2"/>
    <row r="3309" ht="12.75" customHeight="1" x14ac:dyDescent="0.2"/>
    <row r="3310" ht="12.75" customHeight="1" x14ac:dyDescent="0.2"/>
    <row r="3311" ht="12.75" customHeight="1" x14ac:dyDescent="0.2"/>
    <row r="3312" ht="12.75" customHeight="1" x14ac:dyDescent="0.2"/>
    <row r="3313" ht="12.75" customHeight="1" x14ac:dyDescent="0.2"/>
    <row r="3314" ht="12.75" customHeight="1" x14ac:dyDescent="0.2"/>
    <row r="3315" ht="12.75" customHeight="1" x14ac:dyDescent="0.2"/>
    <row r="3316" ht="12.75" customHeight="1" x14ac:dyDescent="0.2"/>
    <row r="3317" ht="12.75" customHeight="1" x14ac:dyDescent="0.2"/>
    <row r="3318" ht="12.75" customHeight="1" x14ac:dyDescent="0.2"/>
    <row r="3319" ht="12.75" customHeight="1" x14ac:dyDescent="0.2"/>
    <row r="3320" ht="12.75" customHeight="1" x14ac:dyDescent="0.2"/>
    <row r="3321" ht="12.75" customHeight="1" x14ac:dyDescent="0.2"/>
    <row r="3322" ht="12.75" customHeight="1" x14ac:dyDescent="0.2"/>
    <row r="3323" ht="12.75" customHeight="1" x14ac:dyDescent="0.2"/>
    <row r="3324" ht="12.75" customHeight="1" x14ac:dyDescent="0.2"/>
    <row r="3325" ht="12.75" customHeight="1" x14ac:dyDescent="0.2"/>
    <row r="3326" ht="12.75" customHeight="1" x14ac:dyDescent="0.2"/>
    <row r="3327" ht="12.75" customHeight="1" x14ac:dyDescent="0.2"/>
    <row r="3328" ht="12.75" customHeight="1" x14ac:dyDescent="0.2"/>
    <row r="3329" ht="12.75" customHeight="1" x14ac:dyDescent="0.2"/>
    <row r="3330" ht="12.75" customHeight="1" x14ac:dyDescent="0.2"/>
    <row r="3331" ht="12.75" customHeight="1" x14ac:dyDescent="0.2"/>
    <row r="3332" ht="12.75" customHeight="1" x14ac:dyDescent="0.2"/>
    <row r="3333" ht="12.75" customHeight="1" x14ac:dyDescent="0.2"/>
    <row r="3334" ht="12.75" customHeight="1" x14ac:dyDescent="0.2"/>
    <row r="3335" ht="12.75" customHeight="1" x14ac:dyDescent="0.2"/>
    <row r="3336" ht="12.75" customHeight="1" x14ac:dyDescent="0.2"/>
    <row r="3337" ht="12.75" customHeight="1" x14ac:dyDescent="0.2"/>
    <row r="3338" ht="12.75" customHeight="1" x14ac:dyDescent="0.2"/>
    <row r="3339" ht="12.75" customHeight="1" x14ac:dyDescent="0.2"/>
    <row r="3340" ht="12.75" customHeight="1" x14ac:dyDescent="0.2"/>
    <row r="3341" ht="12.75" customHeight="1" x14ac:dyDescent="0.2"/>
    <row r="3342" ht="12.75" customHeight="1" x14ac:dyDescent="0.2"/>
    <row r="3343" ht="12.75" customHeight="1" x14ac:dyDescent="0.2"/>
    <row r="3344" ht="12.75" customHeight="1" x14ac:dyDescent="0.2"/>
    <row r="3345" ht="12.75" customHeight="1" x14ac:dyDescent="0.2"/>
    <row r="3346" ht="12.75" customHeight="1" x14ac:dyDescent="0.2"/>
    <row r="3347" ht="12.75" customHeight="1" x14ac:dyDescent="0.2"/>
    <row r="3348" ht="12.75" customHeight="1" x14ac:dyDescent="0.2"/>
    <row r="3349" ht="12.75" customHeight="1" x14ac:dyDescent="0.2"/>
    <row r="3350" ht="12.75" customHeight="1" x14ac:dyDescent="0.2"/>
    <row r="3351" ht="12.75" customHeight="1" x14ac:dyDescent="0.2"/>
    <row r="3352" ht="12.75" customHeight="1" x14ac:dyDescent="0.2"/>
    <row r="3353" ht="12.75" customHeight="1" x14ac:dyDescent="0.2"/>
    <row r="3354" ht="12.75" customHeight="1" x14ac:dyDescent="0.2"/>
    <row r="3355" ht="12.75" customHeight="1" x14ac:dyDescent="0.2"/>
    <row r="3356" ht="12.75" customHeight="1" x14ac:dyDescent="0.2"/>
    <row r="3357" ht="12.75" customHeight="1" x14ac:dyDescent="0.2"/>
    <row r="3358" ht="12.75" customHeight="1" x14ac:dyDescent="0.2"/>
    <row r="3359" ht="12.75" customHeight="1" x14ac:dyDescent="0.2"/>
    <row r="3360" ht="12.75" customHeight="1" x14ac:dyDescent="0.2"/>
    <row r="3361" ht="12.75" customHeight="1" x14ac:dyDescent="0.2"/>
    <row r="3362" ht="12.75" customHeight="1" x14ac:dyDescent="0.2"/>
    <row r="3363" ht="12.75" customHeight="1" x14ac:dyDescent="0.2"/>
    <row r="3364" ht="12.75" customHeight="1" x14ac:dyDescent="0.2"/>
    <row r="3365" ht="12.75" customHeight="1" x14ac:dyDescent="0.2"/>
    <row r="3366" ht="12.75" customHeight="1" x14ac:dyDescent="0.2"/>
    <row r="3367" ht="12.75" customHeight="1" x14ac:dyDescent="0.2"/>
    <row r="3368" ht="12.75" customHeight="1" x14ac:dyDescent="0.2"/>
    <row r="3369" ht="12.75" customHeight="1" x14ac:dyDescent="0.2"/>
    <row r="3370" ht="12.75" customHeight="1" x14ac:dyDescent="0.2"/>
    <row r="3371" ht="12.75" customHeight="1" x14ac:dyDescent="0.2"/>
    <row r="3372" ht="12.75" customHeight="1" x14ac:dyDescent="0.2"/>
    <row r="3373" ht="12.75" customHeight="1" x14ac:dyDescent="0.2"/>
    <row r="3374" ht="12.75" customHeight="1" x14ac:dyDescent="0.2"/>
    <row r="3375" ht="12.75" customHeight="1" x14ac:dyDescent="0.2"/>
    <row r="3376" ht="12.75" customHeight="1" x14ac:dyDescent="0.2"/>
    <row r="3377" ht="12.75" customHeight="1" x14ac:dyDescent="0.2"/>
    <row r="3378" ht="12.75" customHeight="1" x14ac:dyDescent="0.2"/>
    <row r="3379" ht="12.75" customHeight="1" x14ac:dyDescent="0.2"/>
    <row r="3380" ht="12.75" customHeight="1" x14ac:dyDescent="0.2"/>
    <row r="3381" ht="12.75" customHeight="1" x14ac:dyDescent="0.2"/>
    <row r="3382" ht="12.75" customHeight="1" x14ac:dyDescent="0.2"/>
    <row r="3383" ht="12.75" customHeight="1" x14ac:dyDescent="0.2"/>
    <row r="3384" ht="12.75" customHeight="1" x14ac:dyDescent="0.2"/>
    <row r="3385" ht="12.75" customHeight="1" x14ac:dyDescent="0.2"/>
    <row r="3386" ht="12.75" customHeight="1" x14ac:dyDescent="0.2"/>
    <row r="3387" ht="12.75" customHeight="1" x14ac:dyDescent="0.2"/>
    <row r="3388" ht="12.75" customHeight="1" x14ac:dyDescent="0.2"/>
    <row r="3389" ht="12.75" customHeight="1" x14ac:dyDescent="0.2"/>
    <row r="3390" ht="12.75" customHeight="1" x14ac:dyDescent="0.2"/>
    <row r="3391" ht="12.75" customHeight="1" x14ac:dyDescent="0.2"/>
    <row r="3392" ht="12.75" customHeight="1" x14ac:dyDescent="0.2"/>
    <row r="3393" ht="12.75" customHeight="1" x14ac:dyDescent="0.2"/>
    <row r="3394" ht="12.75" customHeight="1" x14ac:dyDescent="0.2"/>
    <row r="3395" ht="12.75" customHeight="1" x14ac:dyDescent="0.2"/>
    <row r="3396" ht="12.75" customHeight="1" x14ac:dyDescent="0.2"/>
    <row r="3397" ht="12.75" customHeight="1" x14ac:dyDescent="0.2"/>
    <row r="3398" ht="12.75" customHeight="1" x14ac:dyDescent="0.2"/>
    <row r="3399" ht="12.75" customHeight="1" x14ac:dyDescent="0.2"/>
    <row r="3400" ht="12.75" customHeight="1" x14ac:dyDescent="0.2"/>
    <row r="3401" ht="12.75" customHeight="1" x14ac:dyDescent="0.2"/>
    <row r="3402" ht="12.75" customHeight="1" x14ac:dyDescent="0.2"/>
    <row r="3403" ht="12.75" customHeight="1" x14ac:dyDescent="0.2"/>
    <row r="3404" ht="12.75" customHeight="1" x14ac:dyDescent="0.2"/>
    <row r="3405" ht="12.75" customHeight="1" x14ac:dyDescent="0.2"/>
    <row r="3406" ht="12.75" customHeight="1" x14ac:dyDescent="0.2"/>
    <row r="3407" ht="12.75" customHeight="1" x14ac:dyDescent="0.2"/>
    <row r="3408" ht="12.75" customHeight="1" x14ac:dyDescent="0.2"/>
    <row r="3409" ht="12.75" customHeight="1" x14ac:dyDescent="0.2"/>
    <row r="3410" ht="12.75" customHeight="1" x14ac:dyDescent="0.2"/>
    <row r="3411" ht="12.75" customHeight="1" x14ac:dyDescent="0.2"/>
    <row r="3412" ht="12.75" customHeight="1" x14ac:dyDescent="0.2"/>
    <row r="3413" ht="12.75" customHeight="1" x14ac:dyDescent="0.2"/>
    <row r="3414" ht="12.75" customHeight="1" x14ac:dyDescent="0.2"/>
    <row r="3415" ht="12.75" customHeight="1" x14ac:dyDescent="0.2"/>
    <row r="3416" ht="12.75" customHeight="1" x14ac:dyDescent="0.2"/>
    <row r="3417" ht="12.75" customHeight="1" x14ac:dyDescent="0.2"/>
    <row r="3418" ht="12.75" customHeight="1" x14ac:dyDescent="0.2"/>
    <row r="3419" ht="12.75" customHeight="1" x14ac:dyDescent="0.2"/>
    <row r="3420" ht="12.75" customHeight="1" x14ac:dyDescent="0.2"/>
    <row r="3421" ht="12.75" customHeight="1" x14ac:dyDescent="0.2"/>
    <row r="3422" ht="12.75" customHeight="1" x14ac:dyDescent="0.2"/>
    <row r="3423" ht="12.75" customHeight="1" x14ac:dyDescent="0.2"/>
    <row r="3424" ht="12.75" customHeight="1" x14ac:dyDescent="0.2"/>
    <row r="3425" ht="12.75" customHeight="1" x14ac:dyDescent="0.2"/>
    <row r="3426" ht="12.75" customHeight="1" x14ac:dyDescent="0.2"/>
    <row r="3427" ht="12.75" customHeight="1" x14ac:dyDescent="0.2"/>
    <row r="3428" ht="12.75" customHeight="1" x14ac:dyDescent="0.2"/>
    <row r="3429" ht="12.75" customHeight="1" x14ac:dyDescent="0.2"/>
    <row r="3430" ht="12.75" customHeight="1" x14ac:dyDescent="0.2"/>
    <row r="3431" ht="12.75" customHeight="1" x14ac:dyDescent="0.2"/>
    <row r="3432" ht="12.75" customHeight="1" x14ac:dyDescent="0.2"/>
    <row r="3433" ht="12.75" customHeight="1" x14ac:dyDescent="0.2"/>
    <row r="3434" ht="12.75" customHeight="1" x14ac:dyDescent="0.2"/>
    <row r="3435" ht="12.75" customHeight="1" x14ac:dyDescent="0.2"/>
    <row r="3436" ht="12.75" customHeight="1" x14ac:dyDescent="0.2"/>
    <row r="3437" ht="12.75" customHeight="1" x14ac:dyDescent="0.2"/>
    <row r="3438" ht="12.75" customHeight="1" x14ac:dyDescent="0.2"/>
    <row r="3439" ht="12.75" customHeight="1" x14ac:dyDescent="0.2"/>
    <row r="3440" ht="12.75" customHeight="1" x14ac:dyDescent="0.2"/>
    <row r="3441" ht="12.75" customHeight="1" x14ac:dyDescent="0.2"/>
    <row r="3442" ht="12.75" customHeight="1" x14ac:dyDescent="0.2"/>
    <row r="3443" ht="12.75" customHeight="1" x14ac:dyDescent="0.2"/>
    <row r="3444" ht="12.75" customHeight="1" x14ac:dyDescent="0.2"/>
    <row r="3445" ht="12.75" customHeight="1" x14ac:dyDescent="0.2"/>
    <row r="3446" ht="12.75" customHeight="1" x14ac:dyDescent="0.2"/>
    <row r="3447" ht="12.75" customHeight="1" x14ac:dyDescent="0.2"/>
    <row r="3448" ht="12.75" customHeight="1" x14ac:dyDescent="0.2"/>
    <row r="3449" ht="12.75" customHeight="1" x14ac:dyDescent="0.2"/>
    <row r="3450" ht="12.75" customHeight="1" x14ac:dyDescent="0.2"/>
    <row r="3451" ht="12.75" customHeight="1" x14ac:dyDescent="0.2"/>
    <row r="3452" ht="12.75" customHeight="1" x14ac:dyDescent="0.2"/>
    <row r="3453" ht="12.75" customHeight="1" x14ac:dyDescent="0.2"/>
    <row r="3454" ht="12.75" customHeight="1" x14ac:dyDescent="0.2"/>
    <row r="3455" ht="12.75" customHeight="1" x14ac:dyDescent="0.2"/>
    <row r="3456" ht="12.75" customHeight="1" x14ac:dyDescent="0.2"/>
    <row r="3457" ht="12.75" customHeight="1" x14ac:dyDescent="0.2"/>
    <row r="3458" ht="12.75" customHeight="1" x14ac:dyDescent="0.2"/>
    <row r="3459" ht="12.75" customHeight="1" x14ac:dyDescent="0.2"/>
    <row r="3460" ht="12.75" customHeight="1" x14ac:dyDescent="0.2"/>
    <row r="3461" ht="12.75" customHeight="1" x14ac:dyDescent="0.2"/>
    <row r="3462" ht="12.75" customHeight="1" x14ac:dyDescent="0.2"/>
    <row r="3463" ht="12.75" customHeight="1" x14ac:dyDescent="0.2"/>
    <row r="3464" ht="12.75" customHeight="1" x14ac:dyDescent="0.2"/>
    <row r="3465" ht="12.75" customHeight="1" x14ac:dyDescent="0.2"/>
    <row r="3466" ht="12.75" customHeight="1" x14ac:dyDescent="0.2"/>
    <row r="3467" ht="12.75" customHeight="1" x14ac:dyDescent="0.2"/>
    <row r="3468" ht="12.75" customHeight="1" x14ac:dyDescent="0.2"/>
    <row r="3469" ht="12.75" customHeight="1" x14ac:dyDescent="0.2"/>
    <row r="3470" ht="12.75" customHeight="1" x14ac:dyDescent="0.2"/>
    <row r="3471" ht="12.75" customHeight="1" x14ac:dyDescent="0.2"/>
    <row r="3472" ht="12.75" customHeight="1" x14ac:dyDescent="0.2"/>
    <row r="3473" ht="12.75" customHeight="1" x14ac:dyDescent="0.2"/>
    <row r="3474" ht="12.75" customHeight="1" x14ac:dyDescent="0.2"/>
    <row r="3475" ht="12.75" customHeight="1" x14ac:dyDescent="0.2"/>
    <row r="3476" ht="12.75" customHeight="1" x14ac:dyDescent="0.2"/>
    <row r="3477" ht="12.75" customHeight="1" x14ac:dyDescent="0.2"/>
    <row r="3478" ht="12.75" customHeight="1" x14ac:dyDescent="0.2"/>
    <row r="3479" ht="12.75" customHeight="1" x14ac:dyDescent="0.2"/>
    <row r="3480" ht="12.75" customHeight="1" x14ac:dyDescent="0.2"/>
    <row r="3481" ht="12.75" customHeight="1" x14ac:dyDescent="0.2"/>
    <row r="3482" ht="12.75" customHeight="1" x14ac:dyDescent="0.2"/>
    <row r="3483" ht="12.75" customHeight="1" x14ac:dyDescent="0.2"/>
    <row r="3484" ht="12.75" customHeight="1" x14ac:dyDescent="0.2"/>
    <row r="3485" ht="12.75" customHeight="1" x14ac:dyDescent="0.2"/>
    <row r="3486" ht="12.75" customHeight="1" x14ac:dyDescent="0.2"/>
    <row r="3487" ht="12.75" customHeight="1" x14ac:dyDescent="0.2"/>
    <row r="3488" ht="12.75" customHeight="1" x14ac:dyDescent="0.2"/>
    <row r="3489" ht="12.75" customHeight="1" x14ac:dyDescent="0.2"/>
    <row r="3490" ht="12.75" customHeight="1" x14ac:dyDescent="0.2"/>
    <row r="3491" ht="12.75" customHeight="1" x14ac:dyDescent="0.2"/>
    <row r="3492" ht="12.75" customHeight="1" x14ac:dyDescent="0.2"/>
    <row r="3493" ht="12.75" customHeight="1" x14ac:dyDescent="0.2"/>
    <row r="3494" ht="12.75" customHeight="1" x14ac:dyDescent="0.2"/>
    <row r="3495" ht="12.75" customHeight="1" x14ac:dyDescent="0.2"/>
    <row r="3496" ht="12.75" customHeight="1" x14ac:dyDescent="0.2"/>
    <row r="3497" ht="12.75" customHeight="1" x14ac:dyDescent="0.2"/>
    <row r="3498" ht="12.75" customHeight="1" x14ac:dyDescent="0.2"/>
    <row r="3499" ht="12.75" customHeight="1" x14ac:dyDescent="0.2"/>
    <row r="3500" ht="12.75" customHeight="1" x14ac:dyDescent="0.2"/>
    <row r="3501" ht="12.75" customHeight="1" x14ac:dyDescent="0.2"/>
    <row r="3502" ht="12.75" customHeight="1" x14ac:dyDescent="0.2"/>
    <row r="3503" ht="12.75" customHeight="1" x14ac:dyDescent="0.2"/>
    <row r="3504" ht="12.75" customHeight="1" x14ac:dyDescent="0.2"/>
    <row r="3505" ht="12.75" customHeight="1" x14ac:dyDescent="0.2"/>
    <row r="3506" ht="12.75" customHeight="1" x14ac:dyDescent="0.2"/>
    <row r="3507" ht="12.75" customHeight="1" x14ac:dyDescent="0.2"/>
    <row r="3508" ht="12.75" customHeight="1" x14ac:dyDescent="0.2"/>
    <row r="3509" ht="12.75" customHeight="1" x14ac:dyDescent="0.2"/>
    <row r="3510" ht="12.75" customHeight="1" x14ac:dyDescent="0.2"/>
    <row r="3511" ht="12.75" customHeight="1" x14ac:dyDescent="0.2"/>
    <row r="3512" ht="12.75" customHeight="1" x14ac:dyDescent="0.2"/>
    <row r="3513" ht="12.75" customHeight="1" x14ac:dyDescent="0.2"/>
    <row r="3514" ht="12.75" customHeight="1" x14ac:dyDescent="0.2"/>
    <row r="3515" ht="12.75" customHeight="1" x14ac:dyDescent="0.2"/>
    <row r="3516" ht="12.75" customHeight="1" x14ac:dyDescent="0.2"/>
    <row r="3517" ht="12.75" customHeight="1" x14ac:dyDescent="0.2"/>
    <row r="3518" ht="12.75" customHeight="1" x14ac:dyDescent="0.2"/>
    <row r="3519" ht="12.75" customHeight="1" x14ac:dyDescent="0.2"/>
    <row r="3520" ht="12.75" customHeight="1" x14ac:dyDescent="0.2"/>
    <row r="3521" ht="12.75" customHeight="1" x14ac:dyDescent="0.2"/>
    <row r="3522" ht="12.75" customHeight="1" x14ac:dyDescent="0.2"/>
    <row r="3523" ht="12.75" customHeight="1" x14ac:dyDescent="0.2"/>
    <row r="3524" ht="12.75" customHeight="1" x14ac:dyDescent="0.2"/>
    <row r="3525" ht="12.75" customHeight="1" x14ac:dyDescent="0.2"/>
    <row r="3526" ht="12.75" customHeight="1" x14ac:dyDescent="0.2"/>
    <row r="3527" ht="12.75" customHeight="1" x14ac:dyDescent="0.2"/>
    <row r="3528" ht="12.75" customHeight="1" x14ac:dyDescent="0.2"/>
    <row r="3529" ht="12.75" customHeight="1" x14ac:dyDescent="0.2"/>
    <row r="3530" ht="12.75" customHeight="1" x14ac:dyDescent="0.2"/>
    <row r="3531" ht="12.75" customHeight="1" x14ac:dyDescent="0.2"/>
    <row r="3532" ht="12.75" customHeight="1" x14ac:dyDescent="0.2"/>
    <row r="3533" ht="12.75" customHeight="1" x14ac:dyDescent="0.2"/>
    <row r="3534" ht="12.75" customHeight="1" x14ac:dyDescent="0.2"/>
    <row r="3535" ht="12.75" customHeight="1" x14ac:dyDescent="0.2"/>
    <row r="3536" ht="12.75" customHeight="1" x14ac:dyDescent="0.2"/>
    <row r="3537" ht="12.75" customHeight="1" x14ac:dyDescent="0.2"/>
    <row r="3538" ht="12.75" customHeight="1" x14ac:dyDescent="0.2"/>
    <row r="3539" ht="12.75" customHeight="1" x14ac:dyDescent="0.2"/>
    <row r="3540" ht="12.75" customHeight="1" x14ac:dyDescent="0.2"/>
    <row r="3541" ht="12.75" customHeight="1" x14ac:dyDescent="0.2"/>
    <row r="3542" ht="12.75" customHeight="1" x14ac:dyDescent="0.2"/>
    <row r="3543" ht="12.75" customHeight="1" x14ac:dyDescent="0.2"/>
    <row r="3544" ht="12.75" customHeight="1" x14ac:dyDescent="0.2"/>
    <row r="3545" ht="12.75" customHeight="1" x14ac:dyDescent="0.2"/>
    <row r="3546" ht="12.75" customHeight="1" x14ac:dyDescent="0.2"/>
    <row r="3547" ht="12.75" customHeight="1" x14ac:dyDescent="0.2"/>
    <row r="3548" ht="12.75" customHeight="1" x14ac:dyDescent="0.2"/>
    <row r="3549" ht="12.75" customHeight="1" x14ac:dyDescent="0.2"/>
    <row r="3550" ht="12.75" customHeight="1" x14ac:dyDescent="0.2"/>
    <row r="3551" ht="12.75" customHeight="1" x14ac:dyDescent="0.2"/>
    <row r="3552" ht="12.75" customHeight="1" x14ac:dyDescent="0.2"/>
    <row r="3553" ht="12.75" customHeight="1" x14ac:dyDescent="0.2"/>
    <row r="3554" ht="12.75" customHeight="1" x14ac:dyDescent="0.2"/>
    <row r="3555" ht="12.75" customHeight="1" x14ac:dyDescent="0.2"/>
    <row r="3556" ht="12.75" customHeight="1" x14ac:dyDescent="0.2"/>
    <row r="3557" ht="12.75" customHeight="1" x14ac:dyDescent="0.2"/>
    <row r="3558" ht="12.75" customHeight="1" x14ac:dyDescent="0.2"/>
    <row r="3559" ht="12.75" customHeight="1" x14ac:dyDescent="0.2"/>
    <row r="3560" ht="12.75" customHeight="1" x14ac:dyDescent="0.2"/>
    <row r="3561" ht="12.75" customHeight="1" x14ac:dyDescent="0.2"/>
    <row r="3562" ht="12.75" customHeight="1" x14ac:dyDescent="0.2"/>
    <row r="3563" ht="12.75" customHeight="1" x14ac:dyDescent="0.2"/>
    <row r="3564" ht="12.75" customHeight="1" x14ac:dyDescent="0.2"/>
    <row r="3565" ht="12.75" customHeight="1" x14ac:dyDescent="0.2"/>
    <row r="3566" ht="12.75" customHeight="1" x14ac:dyDescent="0.2"/>
    <row r="3567" ht="12.75" customHeight="1" x14ac:dyDescent="0.2"/>
    <row r="3568" ht="12.75" customHeight="1" x14ac:dyDescent="0.2"/>
    <row r="3569" ht="12.75" customHeight="1" x14ac:dyDescent="0.2"/>
    <row r="3570" ht="12.75" customHeight="1" x14ac:dyDescent="0.2"/>
    <row r="3571" ht="12.75" customHeight="1" x14ac:dyDescent="0.2"/>
    <row r="3572" ht="12.75" customHeight="1" x14ac:dyDescent="0.2"/>
    <row r="3573" ht="12.75" customHeight="1" x14ac:dyDescent="0.2"/>
    <row r="3574" ht="12.75" customHeight="1" x14ac:dyDescent="0.2"/>
    <row r="3575" ht="12.75" customHeight="1" x14ac:dyDescent="0.2"/>
    <row r="3576" ht="12.75" customHeight="1" x14ac:dyDescent="0.2"/>
    <row r="3577" ht="12.75" customHeight="1" x14ac:dyDescent="0.2"/>
    <row r="3578" ht="12.75" customHeight="1" x14ac:dyDescent="0.2"/>
    <row r="3579" ht="12.75" customHeight="1" x14ac:dyDescent="0.2"/>
    <row r="3580" ht="12.75" customHeight="1" x14ac:dyDescent="0.2"/>
    <row r="3581" ht="12.75" customHeight="1" x14ac:dyDescent="0.2"/>
    <row r="3582" ht="12.75" customHeight="1" x14ac:dyDescent="0.2"/>
    <row r="3583" ht="12.75" customHeight="1" x14ac:dyDescent="0.2"/>
    <row r="3584" ht="12.75" customHeight="1" x14ac:dyDescent="0.2"/>
    <row r="3585" ht="12.75" customHeight="1" x14ac:dyDescent="0.2"/>
    <row r="3586" ht="12.75" customHeight="1" x14ac:dyDescent="0.2"/>
    <row r="3587" ht="12.75" customHeight="1" x14ac:dyDescent="0.2"/>
    <row r="3588" ht="12.75" customHeight="1" x14ac:dyDescent="0.2"/>
    <row r="3589" ht="12.75" customHeight="1" x14ac:dyDescent="0.2"/>
    <row r="3590" ht="12.75" customHeight="1" x14ac:dyDescent="0.2"/>
    <row r="3591" ht="12.75" customHeight="1" x14ac:dyDescent="0.2"/>
    <row r="3592" ht="12.75" customHeight="1" x14ac:dyDescent="0.2"/>
    <row r="3593" ht="12.75" customHeight="1" x14ac:dyDescent="0.2"/>
    <row r="3594" ht="12.75" customHeight="1" x14ac:dyDescent="0.2"/>
    <row r="3595" ht="12.75" customHeight="1" x14ac:dyDescent="0.2"/>
    <row r="3596" ht="12.75" customHeight="1" x14ac:dyDescent="0.2"/>
    <row r="3597" ht="12.75" customHeight="1" x14ac:dyDescent="0.2"/>
    <row r="3598" ht="12.75" customHeight="1" x14ac:dyDescent="0.2"/>
    <row r="3599" ht="12.75" customHeight="1" x14ac:dyDescent="0.2"/>
    <row r="3600" ht="12.75" customHeight="1" x14ac:dyDescent="0.2"/>
    <row r="3601" ht="12.75" customHeight="1" x14ac:dyDescent="0.2"/>
    <row r="3602" ht="12.75" customHeight="1" x14ac:dyDescent="0.2"/>
    <row r="3603" ht="12.75" customHeight="1" x14ac:dyDescent="0.2"/>
    <row r="3604" ht="12.75" customHeight="1" x14ac:dyDescent="0.2"/>
    <row r="3605" ht="12.75" customHeight="1" x14ac:dyDescent="0.2"/>
    <row r="3606" ht="12.75" customHeight="1" x14ac:dyDescent="0.2"/>
    <row r="3607" ht="12.75" customHeight="1" x14ac:dyDescent="0.2"/>
    <row r="3608" ht="12.75" customHeight="1" x14ac:dyDescent="0.2"/>
    <row r="3609" ht="12.75" customHeight="1" x14ac:dyDescent="0.2"/>
    <row r="3610" ht="12.75" customHeight="1" x14ac:dyDescent="0.2"/>
    <row r="3611" ht="12.75" customHeight="1" x14ac:dyDescent="0.2"/>
    <row r="3612" ht="12.75" customHeight="1" x14ac:dyDescent="0.2"/>
    <row r="3613" ht="12.75" customHeight="1" x14ac:dyDescent="0.2"/>
    <row r="3614" ht="12.75" customHeight="1" x14ac:dyDescent="0.2"/>
    <row r="3615" ht="12.75" customHeight="1" x14ac:dyDescent="0.2"/>
    <row r="3616" ht="12.75" customHeight="1" x14ac:dyDescent="0.2"/>
    <row r="3617" ht="12.75" customHeight="1" x14ac:dyDescent="0.2"/>
    <row r="3618" ht="12.75" customHeight="1" x14ac:dyDescent="0.2"/>
    <row r="3619" ht="12.75" customHeight="1" x14ac:dyDescent="0.2"/>
    <row r="3620" ht="12.75" customHeight="1" x14ac:dyDescent="0.2"/>
    <row r="3621" ht="12.75" customHeight="1" x14ac:dyDescent="0.2"/>
    <row r="3622" ht="12.75" customHeight="1" x14ac:dyDescent="0.2"/>
    <row r="3623" ht="12.75" customHeight="1" x14ac:dyDescent="0.2"/>
    <row r="3624" ht="12.75" customHeight="1" x14ac:dyDescent="0.2"/>
    <row r="3625" ht="12.75" customHeight="1" x14ac:dyDescent="0.2"/>
    <row r="3626" ht="12.75" customHeight="1" x14ac:dyDescent="0.2"/>
    <row r="3627" ht="12.75" customHeight="1" x14ac:dyDescent="0.2"/>
    <row r="3628" ht="12.75" customHeight="1" x14ac:dyDescent="0.2"/>
    <row r="3629" ht="12.75" customHeight="1" x14ac:dyDescent="0.2"/>
    <row r="3630" ht="12.75" customHeight="1" x14ac:dyDescent="0.2"/>
    <row r="3631" ht="12.75" customHeight="1" x14ac:dyDescent="0.2"/>
    <row r="3632" ht="12.75" customHeight="1" x14ac:dyDescent="0.2"/>
    <row r="3633" ht="12.75" customHeight="1" x14ac:dyDescent="0.2"/>
    <row r="3634" ht="12.75" customHeight="1" x14ac:dyDescent="0.2"/>
    <row r="3635" ht="12.75" customHeight="1" x14ac:dyDescent="0.2"/>
    <row r="3636" ht="12.75" customHeight="1" x14ac:dyDescent="0.2"/>
    <row r="3637" ht="12.75" customHeight="1" x14ac:dyDescent="0.2"/>
    <row r="3638" ht="12.75" customHeight="1" x14ac:dyDescent="0.2"/>
    <row r="3639" ht="12.75" customHeight="1" x14ac:dyDescent="0.2"/>
    <row r="3640" ht="12.75" customHeight="1" x14ac:dyDescent="0.2"/>
    <row r="3641" ht="12.75" customHeight="1" x14ac:dyDescent="0.2"/>
    <row r="3642" ht="12.75" customHeight="1" x14ac:dyDescent="0.2"/>
    <row r="3643" ht="12.75" customHeight="1" x14ac:dyDescent="0.2"/>
    <row r="3644" ht="12.75" customHeight="1" x14ac:dyDescent="0.2"/>
    <row r="3645" ht="12.75" customHeight="1" x14ac:dyDescent="0.2"/>
    <row r="3646" ht="12.75" customHeight="1" x14ac:dyDescent="0.2"/>
    <row r="3647" ht="12.75" customHeight="1" x14ac:dyDescent="0.2"/>
    <row r="3648" ht="12.75" customHeight="1" x14ac:dyDescent="0.2"/>
    <row r="3649" ht="12.75" customHeight="1" x14ac:dyDescent="0.2"/>
    <row r="3650" ht="12.75" customHeight="1" x14ac:dyDescent="0.2"/>
    <row r="3651" ht="12.75" customHeight="1" x14ac:dyDescent="0.2"/>
    <row r="3652" ht="12.75" customHeight="1" x14ac:dyDescent="0.2"/>
    <row r="3653" ht="12.75" customHeight="1" x14ac:dyDescent="0.2"/>
    <row r="3654" ht="12.75" customHeight="1" x14ac:dyDescent="0.2"/>
    <row r="3655" ht="12.75" customHeight="1" x14ac:dyDescent="0.2"/>
    <row r="3656" ht="12.75" customHeight="1" x14ac:dyDescent="0.2"/>
    <row r="3657" ht="12.75" customHeight="1" x14ac:dyDescent="0.2"/>
    <row r="3658" ht="12.75" customHeight="1" x14ac:dyDescent="0.2"/>
    <row r="3659" ht="12.75" customHeight="1" x14ac:dyDescent="0.2"/>
    <row r="3660" ht="12.75" customHeight="1" x14ac:dyDescent="0.2"/>
    <row r="3661" ht="12.75" customHeight="1" x14ac:dyDescent="0.2"/>
    <row r="3662" ht="12.75" customHeight="1" x14ac:dyDescent="0.2"/>
    <row r="3663" ht="12.75" customHeight="1" x14ac:dyDescent="0.2"/>
    <row r="3664" ht="12.75" customHeight="1" x14ac:dyDescent="0.2"/>
    <row r="3665" ht="12.75" customHeight="1" x14ac:dyDescent="0.2"/>
    <row r="3666" ht="12.75" customHeight="1" x14ac:dyDescent="0.2"/>
    <row r="3667" ht="12.75" customHeight="1" x14ac:dyDescent="0.2"/>
    <row r="3668" ht="12.75" customHeight="1" x14ac:dyDescent="0.2"/>
    <row r="3669" ht="12.75" customHeight="1" x14ac:dyDescent="0.2"/>
    <row r="3670" ht="12.75" customHeight="1" x14ac:dyDescent="0.2"/>
    <row r="3671" ht="12.75" customHeight="1" x14ac:dyDescent="0.2"/>
    <row r="3672" ht="12.75" customHeight="1" x14ac:dyDescent="0.2"/>
    <row r="3673" ht="12.75" customHeight="1" x14ac:dyDescent="0.2"/>
    <row r="3674" ht="12.75" customHeight="1" x14ac:dyDescent="0.2"/>
    <row r="3675" ht="12.75" customHeight="1" x14ac:dyDescent="0.2"/>
    <row r="3676" ht="12.75" customHeight="1" x14ac:dyDescent="0.2"/>
    <row r="3677" ht="12.75" customHeight="1" x14ac:dyDescent="0.2"/>
    <row r="3678" ht="12.75" customHeight="1" x14ac:dyDescent="0.2"/>
    <row r="3679" ht="12.75" customHeight="1" x14ac:dyDescent="0.2"/>
    <row r="3680" ht="12.75" customHeight="1" x14ac:dyDescent="0.2"/>
    <row r="3681" ht="12.75" customHeight="1" x14ac:dyDescent="0.2"/>
    <row r="3682" ht="12.75" customHeight="1" x14ac:dyDescent="0.2"/>
    <row r="3683" ht="12.75" customHeight="1" x14ac:dyDescent="0.2"/>
    <row r="3684" ht="12.75" customHeight="1" x14ac:dyDescent="0.2"/>
    <row r="3685" ht="12.75" customHeight="1" x14ac:dyDescent="0.2"/>
    <row r="3686" ht="12.75" customHeight="1" x14ac:dyDescent="0.2"/>
    <row r="3687" ht="12.75" customHeight="1" x14ac:dyDescent="0.2"/>
    <row r="3688" ht="12.75" customHeight="1" x14ac:dyDescent="0.2"/>
    <row r="3689" ht="12.75" customHeight="1" x14ac:dyDescent="0.2"/>
    <row r="3690" ht="12.75" customHeight="1" x14ac:dyDescent="0.2"/>
    <row r="3691" ht="12.75" customHeight="1" x14ac:dyDescent="0.2"/>
    <row r="3692" ht="12.75" customHeight="1" x14ac:dyDescent="0.2"/>
    <row r="3693" ht="12.75" customHeight="1" x14ac:dyDescent="0.2"/>
    <row r="3694" ht="12.75" customHeight="1" x14ac:dyDescent="0.2"/>
    <row r="3695" ht="12.75" customHeight="1" x14ac:dyDescent="0.2"/>
    <row r="3696" ht="12.75" customHeight="1" x14ac:dyDescent="0.2"/>
    <row r="3697" ht="12.75" customHeight="1" x14ac:dyDescent="0.2"/>
    <row r="3698" ht="12.75" customHeight="1" x14ac:dyDescent="0.2"/>
    <row r="3699" ht="12.75" customHeight="1" x14ac:dyDescent="0.2"/>
    <row r="3700" ht="12.75" customHeight="1" x14ac:dyDescent="0.2"/>
    <row r="3701" ht="12.75" customHeight="1" x14ac:dyDescent="0.2"/>
    <row r="3702" ht="12.75" customHeight="1" x14ac:dyDescent="0.2"/>
    <row r="3703" ht="12.75" customHeight="1" x14ac:dyDescent="0.2"/>
    <row r="3704" ht="12.75" customHeight="1" x14ac:dyDescent="0.2"/>
    <row r="3705" ht="12.75" customHeight="1" x14ac:dyDescent="0.2"/>
    <row r="3706" ht="12.75" customHeight="1" x14ac:dyDescent="0.2"/>
    <row r="3707" ht="12.75" customHeight="1" x14ac:dyDescent="0.2"/>
    <row r="3708" ht="12.75" customHeight="1" x14ac:dyDescent="0.2"/>
    <row r="3709" ht="12.75" customHeight="1" x14ac:dyDescent="0.2"/>
    <row r="3710" ht="12.75" customHeight="1" x14ac:dyDescent="0.2"/>
    <row r="3711" ht="12.75" customHeight="1" x14ac:dyDescent="0.2"/>
    <row r="3712" ht="12.75" customHeight="1" x14ac:dyDescent="0.2"/>
    <row r="3713" ht="12.75" customHeight="1" x14ac:dyDescent="0.2"/>
    <row r="3714" ht="12.75" customHeight="1" x14ac:dyDescent="0.2"/>
    <row r="3715" ht="12.75" customHeight="1" x14ac:dyDescent="0.2"/>
    <row r="3716" ht="12.75" customHeight="1" x14ac:dyDescent="0.2"/>
    <row r="3717" ht="12.75" customHeight="1" x14ac:dyDescent="0.2"/>
    <row r="3718" ht="12.75" customHeight="1" x14ac:dyDescent="0.2"/>
    <row r="3719" ht="12.75" customHeight="1" x14ac:dyDescent="0.2"/>
    <row r="3720" ht="12.75" customHeight="1" x14ac:dyDescent="0.2"/>
    <row r="3721" ht="12.75" customHeight="1" x14ac:dyDescent="0.2"/>
    <row r="3722" ht="12.75" customHeight="1" x14ac:dyDescent="0.2"/>
    <row r="3723" ht="12.75" customHeight="1" x14ac:dyDescent="0.2"/>
    <row r="3724" ht="12.75" customHeight="1" x14ac:dyDescent="0.2"/>
    <row r="3725" ht="12.75" customHeight="1" x14ac:dyDescent="0.2"/>
    <row r="3726" ht="12.75" customHeight="1" x14ac:dyDescent="0.2"/>
    <row r="3727" ht="12.75" customHeight="1" x14ac:dyDescent="0.2"/>
    <row r="3728" ht="12.75" customHeight="1" x14ac:dyDescent="0.2"/>
    <row r="3729" ht="12.75" customHeight="1" x14ac:dyDescent="0.2"/>
    <row r="3730" ht="12.75" customHeight="1" x14ac:dyDescent="0.2"/>
    <row r="3731" ht="12.75" customHeight="1" x14ac:dyDescent="0.2"/>
    <row r="3732" ht="12.75" customHeight="1" x14ac:dyDescent="0.2"/>
    <row r="3733" ht="12.75" customHeight="1" x14ac:dyDescent="0.2"/>
    <row r="3734" ht="12.75" customHeight="1" x14ac:dyDescent="0.2"/>
    <row r="3735" ht="12.75" customHeight="1" x14ac:dyDescent="0.2"/>
    <row r="3736" ht="12.75" customHeight="1" x14ac:dyDescent="0.2"/>
    <row r="3737" ht="12.75" customHeight="1" x14ac:dyDescent="0.2"/>
    <row r="3738" ht="12.75" customHeight="1" x14ac:dyDescent="0.2"/>
    <row r="3739" ht="12.75" customHeight="1" x14ac:dyDescent="0.2"/>
    <row r="3740" ht="12.75" customHeight="1" x14ac:dyDescent="0.2"/>
    <row r="3741" ht="12.75" customHeight="1" x14ac:dyDescent="0.2"/>
    <row r="3742" ht="12.75" customHeight="1" x14ac:dyDescent="0.2"/>
    <row r="3743" ht="12.75" customHeight="1" x14ac:dyDescent="0.2"/>
    <row r="3744" ht="12.75" customHeight="1" x14ac:dyDescent="0.2"/>
    <row r="3745" ht="12.75" customHeight="1" x14ac:dyDescent="0.2"/>
    <row r="3746" ht="12.75" customHeight="1" x14ac:dyDescent="0.2"/>
    <row r="3747" ht="12.75" customHeight="1" x14ac:dyDescent="0.2"/>
    <row r="3748" ht="12.75" customHeight="1" x14ac:dyDescent="0.2"/>
    <row r="3749" ht="12.75" customHeight="1" x14ac:dyDescent="0.2"/>
    <row r="3750" ht="12.75" customHeight="1" x14ac:dyDescent="0.2"/>
    <row r="3751" ht="12.75" customHeight="1" x14ac:dyDescent="0.2"/>
    <row r="3752" ht="12.75" customHeight="1" x14ac:dyDescent="0.2"/>
    <row r="3753" ht="12.75" customHeight="1" x14ac:dyDescent="0.2"/>
    <row r="3754" ht="12.75" customHeight="1" x14ac:dyDescent="0.2"/>
    <row r="3755" ht="12.75" customHeight="1" x14ac:dyDescent="0.2"/>
    <row r="3756" ht="12.75" customHeight="1" x14ac:dyDescent="0.2"/>
    <row r="3757" ht="12.75" customHeight="1" x14ac:dyDescent="0.2"/>
    <row r="3758" ht="12.75" customHeight="1" x14ac:dyDescent="0.2"/>
    <row r="3759" ht="12.75" customHeight="1" x14ac:dyDescent="0.2"/>
    <row r="3760" ht="12.75" customHeight="1" x14ac:dyDescent="0.2"/>
    <row r="3761" ht="12.75" customHeight="1" x14ac:dyDescent="0.2"/>
    <row r="3762" ht="12.75" customHeight="1" x14ac:dyDescent="0.2"/>
    <row r="3763" ht="12.75" customHeight="1" x14ac:dyDescent="0.2"/>
    <row r="3764" ht="12.75" customHeight="1" x14ac:dyDescent="0.2"/>
    <row r="3765" ht="12.75" customHeight="1" x14ac:dyDescent="0.2"/>
    <row r="3766" ht="12.75" customHeight="1" x14ac:dyDescent="0.2"/>
    <row r="3767" ht="12.75" customHeight="1" x14ac:dyDescent="0.2"/>
    <row r="3768" ht="12.75" customHeight="1" x14ac:dyDescent="0.2"/>
    <row r="3769" ht="12.75" customHeight="1" x14ac:dyDescent="0.2"/>
    <row r="3770" ht="12.75" customHeight="1" x14ac:dyDescent="0.2"/>
    <row r="3771" ht="12.75" customHeight="1" x14ac:dyDescent="0.2"/>
    <row r="3772" ht="12.75" customHeight="1" x14ac:dyDescent="0.2"/>
    <row r="3773" ht="12.75" customHeight="1" x14ac:dyDescent="0.2"/>
    <row r="3774" ht="12.75" customHeight="1" x14ac:dyDescent="0.2"/>
    <row r="3775" ht="12.75" customHeight="1" x14ac:dyDescent="0.2"/>
    <row r="3776" ht="12.75" customHeight="1" x14ac:dyDescent="0.2"/>
    <row r="3777" ht="12.75" customHeight="1" x14ac:dyDescent="0.2"/>
    <row r="3778" ht="12.75" customHeight="1" x14ac:dyDescent="0.2"/>
    <row r="3779" ht="12.75" customHeight="1" x14ac:dyDescent="0.2"/>
    <row r="3780" ht="12.75" customHeight="1" x14ac:dyDescent="0.2"/>
    <row r="3781" ht="12.75" customHeight="1" x14ac:dyDescent="0.2"/>
    <row r="3782" ht="12.75" customHeight="1" x14ac:dyDescent="0.2"/>
    <row r="3783" ht="12.75" customHeight="1" x14ac:dyDescent="0.2"/>
    <row r="3784" ht="12.75" customHeight="1" x14ac:dyDescent="0.2"/>
    <row r="3785" ht="12.75" customHeight="1" x14ac:dyDescent="0.2"/>
    <row r="3786" ht="12.75" customHeight="1" x14ac:dyDescent="0.2"/>
    <row r="3787" ht="12.75" customHeight="1" x14ac:dyDescent="0.2"/>
    <row r="3788" ht="12.75" customHeight="1" x14ac:dyDescent="0.2"/>
    <row r="3789" ht="12.75" customHeight="1" x14ac:dyDescent="0.2"/>
    <row r="3790" ht="12.75" customHeight="1" x14ac:dyDescent="0.2"/>
    <row r="3791" ht="12.75" customHeight="1" x14ac:dyDescent="0.2"/>
    <row r="3792" ht="12.75" customHeight="1" x14ac:dyDescent="0.2"/>
    <row r="3793" ht="12.75" customHeight="1" x14ac:dyDescent="0.2"/>
    <row r="3794" ht="12.75" customHeight="1" x14ac:dyDescent="0.2"/>
    <row r="3795" ht="12.75" customHeight="1" x14ac:dyDescent="0.2"/>
    <row r="3796" ht="12.75" customHeight="1" x14ac:dyDescent="0.2"/>
    <row r="3797" ht="12.75" customHeight="1" x14ac:dyDescent="0.2"/>
    <row r="3798" ht="12.75" customHeight="1" x14ac:dyDescent="0.2"/>
    <row r="3799" ht="12.75" customHeight="1" x14ac:dyDescent="0.2"/>
    <row r="3800" ht="12.75" customHeight="1" x14ac:dyDescent="0.2"/>
    <row r="3801" ht="12.75" customHeight="1" x14ac:dyDescent="0.2"/>
    <row r="3802" ht="12.75" customHeight="1" x14ac:dyDescent="0.2"/>
    <row r="3803" ht="12.75" customHeight="1" x14ac:dyDescent="0.2"/>
    <row r="3804" ht="12.75" customHeight="1" x14ac:dyDescent="0.2"/>
    <row r="3805" ht="12.75" customHeight="1" x14ac:dyDescent="0.2"/>
    <row r="3806" ht="12.75" customHeight="1" x14ac:dyDescent="0.2"/>
    <row r="3807" ht="12.75" customHeight="1" x14ac:dyDescent="0.2"/>
    <row r="3808" ht="12.75" customHeight="1" x14ac:dyDescent="0.2"/>
    <row r="3809" ht="12.75" customHeight="1" x14ac:dyDescent="0.2"/>
    <row r="3810" ht="12.75" customHeight="1" x14ac:dyDescent="0.2"/>
    <row r="3811" ht="12.75" customHeight="1" x14ac:dyDescent="0.2"/>
    <row r="3812" ht="12.75" customHeight="1" x14ac:dyDescent="0.2"/>
    <row r="3813" ht="12.75" customHeight="1" x14ac:dyDescent="0.2"/>
    <row r="3814" ht="12.75" customHeight="1" x14ac:dyDescent="0.2"/>
    <row r="3815" ht="12.75" customHeight="1" x14ac:dyDescent="0.2"/>
    <row r="3816" ht="12.75" customHeight="1" x14ac:dyDescent="0.2"/>
    <row r="3817" ht="12.75" customHeight="1" x14ac:dyDescent="0.2"/>
    <row r="3818" ht="12.75" customHeight="1" x14ac:dyDescent="0.2"/>
    <row r="3819" ht="12.75" customHeight="1" x14ac:dyDescent="0.2"/>
    <row r="3820" ht="12.75" customHeight="1" x14ac:dyDescent="0.2"/>
    <row r="3821" ht="12.75" customHeight="1" x14ac:dyDescent="0.2"/>
    <row r="3822" ht="12.75" customHeight="1" x14ac:dyDescent="0.2"/>
    <row r="3823" ht="12.75" customHeight="1" x14ac:dyDescent="0.2"/>
    <row r="3824" ht="12.75" customHeight="1" x14ac:dyDescent="0.2"/>
    <row r="3825" ht="12.75" customHeight="1" x14ac:dyDescent="0.2"/>
    <row r="3826" ht="12.75" customHeight="1" x14ac:dyDescent="0.2"/>
    <row r="3827" ht="12.75" customHeight="1" x14ac:dyDescent="0.2"/>
    <row r="3828" ht="12.75" customHeight="1" x14ac:dyDescent="0.2"/>
    <row r="3829" ht="12.75" customHeight="1" x14ac:dyDescent="0.2"/>
    <row r="3830" ht="12.75" customHeight="1" x14ac:dyDescent="0.2"/>
    <row r="3831" ht="12.75" customHeight="1" x14ac:dyDescent="0.2"/>
    <row r="3832" ht="12.75" customHeight="1" x14ac:dyDescent="0.2"/>
    <row r="3833" ht="12.75" customHeight="1" x14ac:dyDescent="0.2"/>
    <row r="3834" ht="12.75" customHeight="1" x14ac:dyDescent="0.2"/>
    <row r="3835" ht="12.75" customHeight="1" x14ac:dyDescent="0.2"/>
    <row r="3836" ht="12.75" customHeight="1" x14ac:dyDescent="0.2"/>
    <row r="3837" ht="12.75" customHeight="1" x14ac:dyDescent="0.2"/>
    <row r="3838" ht="12.75" customHeight="1" x14ac:dyDescent="0.2"/>
    <row r="3839" ht="12.75" customHeight="1" x14ac:dyDescent="0.2"/>
    <row r="3840" ht="12.75" customHeight="1" x14ac:dyDescent="0.2"/>
    <row r="3841" ht="12.75" customHeight="1" x14ac:dyDescent="0.2"/>
    <row r="3842" ht="12.75" customHeight="1" x14ac:dyDescent="0.2"/>
    <row r="3843" ht="12.75" customHeight="1" x14ac:dyDescent="0.2"/>
    <row r="3844" ht="12.75" customHeight="1" x14ac:dyDescent="0.2"/>
    <row r="3845" ht="12.75" customHeight="1" x14ac:dyDescent="0.2"/>
    <row r="3846" ht="12.75" customHeight="1" x14ac:dyDescent="0.2"/>
    <row r="3847" ht="12.75" customHeight="1" x14ac:dyDescent="0.2"/>
    <row r="3848" ht="12.75" customHeight="1" x14ac:dyDescent="0.2"/>
    <row r="3849" ht="12.75" customHeight="1" x14ac:dyDescent="0.2"/>
    <row r="3850" ht="12.75" customHeight="1" x14ac:dyDescent="0.2"/>
    <row r="3851" ht="12.75" customHeight="1" x14ac:dyDescent="0.2"/>
    <row r="3852" ht="12.75" customHeight="1" x14ac:dyDescent="0.2"/>
    <row r="3853" ht="12.75" customHeight="1" x14ac:dyDescent="0.2"/>
    <row r="3854" ht="12.75" customHeight="1" x14ac:dyDescent="0.2"/>
    <row r="3855" ht="12.75" customHeight="1" x14ac:dyDescent="0.2"/>
    <row r="3856" ht="12.75" customHeight="1" x14ac:dyDescent="0.2"/>
    <row r="3857" ht="12.75" customHeight="1" x14ac:dyDescent="0.2"/>
    <row r="3858" ht="12.75" customHeight="1" x14ac:dyDescent="0.2"/>
    <row r="3859" ht="12.75" customHeight="1" x14ac:dyDescent="0.2"/>
    <row r="3860" ht="12.75" customHeight="1" x14ac:dyDescent="0.2"/>
    <row r="3861" ht="12.75" customHeight="1" x14ac:dyDescent="0.2"/>
    <row r="3862" ht="12.75" customHeight="1" x14ac:dyDescent="0.2"/>
    <row r="3863" ht="12.75" customHeight="1" x14ac:dyDescent="0.2"/>
    <row r="3864" ht="12.75" customHeight="1" x14ac:dyDescent="0.2"/>
    <row r="3865" ht="12.75" customHeight="1" x14ac:dyDescent="0.2"/>
    <row r="3866" ht="12.75" customHeight="1" x14ac:dyDescent="0.2"/>
    <row r="3867" ht="12.75" customHeight="1" x14ac:dyDescent="0.2"/>
    <row r="3868" ht="12.75" customHeight="1" x14ac:dyDescent="0.2"/>
    <row r="3869" ht="12.75" customHeight="1" x14ac:dyDescent="0.2"/>
    <row r="3870" ht="12.75" customHeight="1" x14ac:dyDescent="0.2"/>
    <row r="3871" ht="12.75" customHeight="1" x14ac:dyDescent="0.2"/>
    <row r="3872" ht="12.75" customHeight="1" x14ac:dyDescent="0.2"/>
    <row r="3873" ht="12.75" customHeight="1" x14ac:dyDescent="0.2"/>
    <row r="3874" ht="12.75" customHeight="1" x14ac:dyDescent="0.2"/>
    <row r="3875" ht="12.75" customHeight="1" x14ac:dyDescent="0.2"/>
    <row r="3876" ht="12.75" customHeight="1" x14ac:dyDescent="0.2"/>
    <row r="3877" ht="12.75" customHeight="1" x14ac:dyDescent="0.2"/>
    <row r="3878" ht="12.75" customHeight="1" x14ac:dyDescent="0.2"/>
    <row r="3879" ht="12.75" customHeight="1" x14ac:dyDescent="0.2"/>
    <row r="3880" ht="12.75" customHeight="1" x14ac:dyDescent="0.2"/>
    <row r="3881" ht="12.75" customHeight="1" x14ac:dyDescent="0.2"/>
    <row r="3882" ht="12.75" customHeight="1" x14ac:dyDescent="0.2"/>
    <row r="3883" ht="12.75" customHeight="1" x14ac:dyDescent="0.2"/>
    <row r="3884" ht="12.75" customHeight="1" x14ac:dyDescent="0.2"/>
    <row r="3885" ht="12.75" customHeight="1" x14ac:dyDescent="0.2"/>
    <row r="3886" ht="12.75" customHeight="1" x14ac:dyDescent="0.2"/>
    <row r="3887" ht="12.75" customHeight="1" x14ac:dyDescent="0.2"/>
    <row r="3888" ht="12.75" customHeight="1" x14ac:dyDescent="0.2"/>
    <row r="3889" ht="12.75" customHeight="1" x14ac:dyDescent="0.2"/>
    <row r="3890" ht="12.75" customHeight="1" x14ac:dyDescent="0.2"/>
    <row r="3891" ht="12.75" customHeight="1" x14ac:dyDescent="0.2"/>
    <row r="3892" ht="12.75" customHeight="1" x14ac:dyDescent="0.2"/>
    <row r="3893" ht="12.75" customHeight="1" x14ac:dyDescent="0.2"/>
    <row r="3894" ht="12.75" customHeight="1" x14ac:dyDescent="0.2"/>
    <row r="3895" ht="12.75" customHeight="1" x14ac:dyDescent="0.2"/>
    <row r="3896" ht="12.75" customHeight="1" x14ac:dyDescent="0.2"/>
    <row r="3897" ht="12.75" customHeight="1" x14ac:dyDescent="0.2"/>
    <row r="3898" ht="12.75" customHeight="1" x14ac:dyDescent="0.2"/>
    <row r="3899" ht="12.75" customHeight="1" x14ac:dyDescent="0.2"/>
    <row r="3900" ht="12.75" customHeight="1" x14ac:dyDescent="0.2"/>
    <row r="3901" ht="12.75" customHeight="1" x14ac:dyDescent="0.2"/>
    <row r="3902" ht="12.75" customHeight="1" x14ac:dyDescent="0.2"/>
    <row r="3903" ht="12.75" customHeight="1" x14ac:dyDescent="0.2"/>
    <row r="3904" ht="12.75" customHeight="1" x14ac:dyDescent="0.2"/>
    <row r="3905" ht="12.75" customHeight="1" x14ac:dyDescent="0.2"/>
    <row r="3906" ht="12.75" customHeight="1" x14ac:dyDescent="0.2"/>
    <row r="3907" ht="12.75" customHeight="1" x14ac:dyDescent="0.2"/>
    <row r="3908" ht="12.75" customHeight="1" x14ac:dyDescent="0.2"/>
    <row r="3909" ht="12.75" customHeight="1" x14ac:dyDescent="0.2"/>
    <row r="3910" ht="12.75" customHeight="1" x14ac:dyDescent="0.2"/>
    <row r="3911" ht="12.75" customHeight="1" x14ac:dyDescent="0.2"/>
    <row r="3912" ht="12.75" customHeight="1" x14ac:dyDescent="0.2"/>
    <row r="3913" ht="12.75" customHeight="1" x14ac:dyDescent="0.2"/>
    <row r="3914" ht="12.75" customHeight="1" x14ac:dyDescent="0.2"/>
    <row r="3915" ht="12.75" customHeight="1" x14ac:dyDescent="0.2"/>
    <row r="3916" ht="12.75" customHeight="1" x14ac:dyDescent="0.2"/>
    <row r="3917" ht="12.75" customHeight="1" x14ac:dyDescent="0.2"/>
    <row r="3918" ht="12.75" customHeight="1" x14ac:dyDescent="0.2"/>
    <row r="3919" ht="12.75" customHeight="1" x14ac:dyDescent="0.2"/>
    <row r="3920" ht="12.75" customHeight="1" x14ac:dyDescent="0.2"/>
    <row r="3921" ht="12.75" customHeight="1" x14ac:dyDescent="0.2"/>
    <row r="3922" ht="12.75" customHeight="1" x14ac:dyDescent="0.2"/>
    <row r="3923" ht="12.75" customHeight="1" x14ac:dyDescent="0.2"/>
    <row r="3924" ht="12.75" customHeight="1" x14ac:dyDescent="0.2"/>
    <row r="3925" ht="12.75" customHeight="1" x14ac:dyDescent="0.2"/>
    <row r="3926" ht="12.75" customHeight="1" x14ac:dyDescent="0.2"/>
    <row r="3927" ht="12.75" customHeight="1" x14ac:dyDescent="0.2"/>
    <row r="3928" ht="12.75" customHeight="1" x14ac:dyDescent="0.2"/>
    <row r="3929" ht="12.75" customHeight="1" x14ac:dyDescent="0.2"/>
    <row r="3930" ht="12.75" customHeight="1" x14ac:dyDescent="0.2"/>
    <row r="3931" ht="12.75" customHeight="1" x14ac:dyDescent="0.2"/>
    <row r="3932" ht="12.75" customHeight="1" x14ac:dyDescent="0.2"/>
    <row r="3933" ht="12.75" customHeight="1" x14ac:dyDescent="0.2"/>
    <row r="3934" ht="12.75" customHeight="1" x14ac:dyDescent="0.2"/>
    <row r="3935" ht="12.75" customHeight="1" x14ac:dyDescent="0.2"/>
    <row r="3936" ht="12.75" customHeight="1" x14ac:dyDescent="0.2"/>
    <row r="3937" ht="12.75" customHeight="1" x14ac:dyDescent="0.2"/>
    <row r="3938" ht="12.75" customHeight="1" x14ac:dyDescent="0.2"/>
    <row r="3939" ht="12.75" customHeight="1" x14ac:dyDescent="0.2"/>
    <row r="3940" ht="12.75" customHeight="1" x14ac:dyDescent="0.2"/>
    <row r="3941" ht="12.75" customHeight="1" x14ac:dyDescent="0.2"/>
    <row r="3942" ht="12.75" customHeight="1" x14ac:dyDescent="0.2"/>
    <row r="3943" ht="12.75" customHeight="1" x14ac:dyDescent="0.2"/>
    <row r="3944" ht="12.75" customHeight="1" x14ac:dyDescent="0.2"/>
    <row r="3945" ht="12.75" customHeight="1" x14ac:dyDescent="0.2"/>
    <row r="3946" ht="12.75" customHeight="1" x14ac:dyDescent="0.2"/>
    <row r="3947" ht="12.75" customHeight="1" x14ac:dyDescent="0.2"/>
    <row r="3948" ht="12.75" customHeight="1" x14ac:dyDescent="0.2"/>
    <row r="3949" ht="12.75" customHeight="1" x14ac:dyDescent="0.2"/>
    <row r="3950" ht="12.75" customHeight="1" x14ac:dyDescent="0.2"/>
    <row r="3951" ht="12.75" customHeight="1" x14ac:dyDescent="0.2"/>
    <row r="3952" ht="12.75" customHeight="1" x14ac:dyDescent="0.2"/>
    <row r="3953" ht="12.75" customHeight="1" x14ac:dyDescent="0.2"/>
    <row r="3954" ht="12.75" customHeight="1" x14ac:dyDescent="0.2"/>
    <row r="3955" ht="12.75" customHeight="1" x14ac:dyDescent="0.2"/>
    <row r="3956" ht="12.75" customHeight="1" x14ac:dyDescent="0.2"/>
    <row r="3957" ht="12.75" customHeight="1" x14ac:dyDescent="0.2"/>
    <row r="3958" ht="12.75" customHeight="1" x14ac:dyDescent="0.2"/>
    <row r="3959" ht="12.75" customHeight="1" x14ac:dyDescent="0.2"/>
    <row r="3960" ht="12.75" customHeight="1" x14ac:dyDescent="0.2"/>
    <row r="3961" ht="12.75" customHeight="1" x14ac:dyDescent="0.2"/>
    <row r="3962" ht="12.75" customHeight="1" x14ac:dyDescent="0.2"/>
    <row r="3963" ht="12.75" customHeight="1" x14ac:dyDescent="0.2"/>
    <row r="3964" ht="12.75" customHeight="1" x14ac:dyDescent="0.2"/>
    <row r="3965" ht="12.75" customHeight="1" x14ac:dyDescent="0.2"/>
    <row r="3966" ht="12.75" customHeight="1" x14ac:dyDescent="0.2"/>
    <row r="3967" ht="12.75" customHeight="1" x14ac:dyDescent="0.2"/>
    <row r="3968" ht="12.75" customHeight="1" x14ac:dyDescent="0.2"/>
    <row r="3969" ht="12.75" customHeight="1" x14ac:dyDescent="0.2"/>
    <row r="3970" ht="12.75" customHeight="1" x14ac:dyDescent="0.2"/>
    <row r="3971" ht="12.75" customHeight="1" x14ac:dyDescent="0.2"/>
    <row r="3972" ht="12.75" customHeight="1" x14ac:dyDescent="0.2"/>
    <row r="3973" ht="12.75" customHeight="1" x14ac:dyDescent="0.2"/>
    <row r="3974" ht="12.75" customHeight="1" x14ac:dyDescent="0.2"/>
    <row r="3975" ht="12.75" customHeight="1" x14ac:dyDescent="0.2"/>
    <row r="3976" ht="12.75" customHeight="1" x14ac:dyDescent="0.2"/>
    <row r="3977" ht="12.75" customHeight="1" x14ac:dyDescent="0.2"/>
    <row r="3978" ht="12.75" customHeight="1" x14ac:dyDescent="0.2"/>
    <row r="3979" ht="12.75" customHeight="1" x14ac:dyDescent="0.2"/>
    <row r="3980" ht="12.75" customHeight="1" x14ac:dyDescent="0.2"/>
    <row r="3981" ht="12.75" customHeight="1" x14ac:dyDescent="0.2"/>
    <row r="3982" ht="12.75" customHeight="1" x14ac:dyDescent="0.2"/>
    <row r="3983" ht="12.75" customHeight="1" x14ac:dyDescent="0.2"/>
    <row r="3984" ht="12.75" customHeight="1" x14ac:dyDescent="0.2"/>
    <row r="3985" ht="12.75" customHeight="1" x14ac:dyDescent="0.2"/>
    <row r="3986" ht="12.75" customHeight="1" x14ac:dyDescent="0.2"/>
    <row r="3987" ht="12.75" customHeight="1" x14ac:dyDescent="0.2"/>
    <row r="3988" ht="12.75" customHeight="1" x14ac:dyDescent="0.2"/>
    <row r="3989" ht="12.75" customHeight="1" x14ac:dyDescent="0.2"/>
    <row r="3990" ht="12.75" customHeight="1" x14ac:dyDescent="0.2"/>
    <row r="3991" ht="12.75" customHeight="1" x14ac:dyDescent="0.2"/>
    <row r="3992" ht="12.75" customHeight="1" x14ac:dyDescent="0.2"/>
    <row r="3993" ht="12.75" customHeight="1" x14ac:dyDescent="0.2"/>
    <row r="3994" ht="12.75" customHeight="1" x14ac:dyDescent="0.2"/>
    <row r="3995" ht="12.75" customHeight="1" x14ac:dyDescent="0.2"/>
    <row r="3996" ht="12.75" customHeight="1" x14ac:dyDescent="0.2"/>
    <row r="3997" ht="12.75" customHeight="1" x14ac:dyDescent="0.2"/>
    <row r="3998" ht="12.75" customHeight="1" x14ac:dyDescent="0.2"/>
    <row r="3999" ht="12.75" customHeight="1" x14ac:dyDescent="0.2"/>
    <row r="4000" ht="12.75" customHeight="1" x14ac:dyDescent="0.2"/>
    <row r="4001" ht="12.75" customHeight="1" x14ac:dyDescent="0.2"/>
    <row r="4002" ht="12.75" customHeight="1" x14ac:dyDescent="0.2"/>
    <row r="4003" ht="12.75" customHeight="1" x14ac:dyDescent="0.2"/>
    <row r="4004" ht="12.75" customHeight="1" x14ac:dyDescent="0.2"/>
    <row r="4005" ht="12.75" customHeight="1" x14ac:dyDescent="0.2"/>
    <row r="4006" ht="12.75" customHeight="1" x14ac:dyDescent="0.2"/>
    <row r="4007" ht="12.75" customHeight="1" x14ac:dyDescent="0.2"/>
    <row r="4008" ht="12.75" customHeight="1" x14ac:dyDescent="0.2"/>
    <row r="4009" ht="12.75" customHeight="1" x14ac:dyDescent="0.2"/>
    <row r="4010" ht="12.75" customHeight="1" x14ac:dyDescent="0.2"/>
    <row r="4011" ht="12.75" customHeight="1" x14ac:dyDescent="0.2"/>
    <row r="4012" ht="12.75" customHeight="1" x14ac:dyDescent="0.2"/>
    <row r="4013" ht="12.75" customHeight="1" x14ac:dyDescent="0.2"/>
    <row r="4014" ht="12.75" customHeight="1" x14ac:dyDescent="0.2"/>
    <row r="4015" ht="12.75" customHeight="1" x14ac:dyDescent="0.2"/>
    <row r="4016" ht="12.75" customHeight="1" x14ac:dyDescent="0.2"/>
    <row r="4017" ht="12.75" customHeight="1" x14ac:dyDescent="0.2"/>
    <row r="4018" ht="12.75" customHeight="1" x14ac:dyDescent="0.2"/>
    <row r="4019" ht="12.75" customHeight="1" x14ac:dyDescent="0.2"/>
    <row r="4020" ht="12.75" customHeight="1" x14ac:dyDescent="0.2"/>
    <row r="4021" ht="12.75" customHeight="1" x14ac:dyDescent="0.2"/>
    <row r="4022" ht="12.75" customHeight="1" x14ac:dyDescent="0.2"/>
    <row r="4023" ht="12.75" customHeight="1" x14ac:dyDescent="0.2"/>
    <row r="4024" ht="12.75" customHeight="1" x14ac:dyDescent="0.2"/>
    <row r="4025" ht="12.75" customHeight="1" x14ac:dyDescent="0.2"/>
    <row r="4026" ht="12.75" customHeight="1" x14ac:dyDescent="0.2"/>
    <row r="4027" ht="12.75" customHeight="1" x14ac:dyDescent="0.2"/>
    <row r="4028" ht="12.75" customHeight="1" x14ac:dyDescent="0.2"/>
    <row r="4029" ht="12.75" customHeight="1" x14ac:dyDescent="0.2"/>
    <row r="4030" ht="12.75" customHeight="1" x14ac:dyDescent="0.2"/>
    <row r="4031" ht="12.75" customHeight="1" x14ac:dyDescent="0.2"/>
    <row r="4032" ht="12.75" customHeight="1" x14ac:dyDescent="0.2"/>
    <row r="4033" ht="12.75" customHeight="1" x14ac:dyDescent="0.2"/>
    <row r="4034" ht="12.75" customHeight="1" x14ac:dyDescent="0.2"/>
    <row r="4035" ht="12.75" customHeight="1" x14ac:dyDescent="0.2"/>
    <row r="4036" ht="12.75" customHeight="1" x14ac:dyDescent="0.2"/>
    <row r="4037" ht="12.75" customHeight="1" x14ac:dyDescent="0.2"/>
    <row r="4038" ht="12.75" customHeight="1" x14ac:dyDescent="0.2"/>
    <row r="4039" ht="12.75" customHeight="1" x14ac:dyDescent="0.2"/>
    <row r="4040" ht="12.75" customHeight="1" x14ac:dyDescent="0.2"/>
    <row r="4041" ht="12.75" customHeight="1" x14ac:dyDescent="0.2"/>
    <row r="4042" ht="12.75" customHeight="1" x14ac:dyDescent="0.2"/>
    <row r="4043" ht="12.75" customHeight="1" x14ac:dyDescent="0.2"/>
    <row r="4044" ht="12.75" customHeight="1" x14ac:dyDescent="0.2"/>
    <row r="4045" ht="12.75" customHeight="1" x14ac:dyDescent="0.2"/>
    <row r="4046" ht="12.75" customHeight="1" x14ac:dyDescent="0.2"/>
    <row r="4047" ht="12.75" customHeight="1" x14ac:dyDescent="0.2"/>
    <row r="4048" ht="12.75" customHeight="1" x14ac:dyDescent="0.2"/>
    <row r="4049" ht="12.75" customHeight="1" x14ac:dyDescent="0.2"/>
    <row r="4050" ht="12.75" customHeight="1" x14ac:dyDescent="0.2"/>
    <row r="4051" ht="12.75" customHeight="1" x14ac:dyDescent="0.2"/>
    <row r="4052" ht="12.75" customHeight="1" x14ac:dyDescent="0.2"/>
    <row r="4053" ht="12.75" customHeight="1" x14ac:dyDescent="0.2"/>
    <row r="4054" ht="12.75" customHeight="1" x14ac:dyDescent="0.2"/>
    <row r="4055" ht="12.75" customHeight="1" x14ac:dyDescent="0.2"/>
    <row r="4056" ht="12.75" customHeight="1" x14ac:dyDescent="0.2"/>
    <row r="4057" ht="12.75" customHeight="1" x14ac:dyDescent="0.2"/>
    <row r="4058" ht="12.75" customHeight="1" x14ac:dyDescent="0.2"/>
    <row r="4059" ht="12.75" customHeight="1" x14ac:dyDescent="0.2"/>
    <row r="4060" ht="12.75" customHeight="1" x14ac:dyDescent="0.2"/>
    <row r="4061" ht="12.75" customHeight="1" x14ac:dyDescent="0.2"/>
    <row r="4062" ht="12.75" customHeight="1" x14ac:dyDescent="0.2"/>
    <row r="4063" ht="12.75" customHeight="1" x14ac:dyDescent="0.2"/>
    <row r="4064" ht="12.75" customHeight="1" x14ac:dyDescent="0.2"/>
    <row r="4065" ht="12.75" customHeight="1" x14ac:dyDescent="0.2"/>
    <row r="4066" ht="12.75" customHeight="1" x14ac:dyDescent="0.2"/>
    <row r="4067" ht="12.75" customHeight="1" x14ac:dyDescent="0.2"/>
    <row r="4068" ht="12.75" customHeight="1" x14ac:dyDescent="0.2"/>
    <row r="4069" ht="12.75" customHeight="1" x14ac:dyDescent="0.2"/>
    <row r="4070" ht="12.75" customHeight="1" x14ac:dyDescent="0.2"/>
    <row r="4071" ht="12.75" customHeight="1" x14ac:dyDescent="0.2"/>
    <row r="4072" ht="12.75" customHeight="1" x14ac:dyDescent="0.2"/>
    <row r="4073" ht="12.75" customHeight="1" x14ac:dyDescent="0.2"/>
    <row r="4074" ht="12.75" customHeight="1" x14ac:dyDescent="0.2"/>
    <row r="4075" ht="12.75" customHeight="1" x14ac:dyDescent="0.2"/>
    <row r="4076" ht="12.75" customHeight="1" x14ac:dyDescent="0.2"/>
    <row r="4077" ht="12.75" customHeight="1" x14ac:dyDescent="0.2"/>
    <row r="4078" ht="12.75" customHeight="1" x14ac:dyDescent="0.2"/>
    <row r="4079" ht="12.75" customHeight="1" x14ac:dyDescent="0.2"/>
    <row r="4080" ht="12.75" customHeight="1" x14ac:dyDescent="0.2"/>
    <row r="4081" ht="12.75" customHeight="1" x14ac:dyDescent="0.2"/>
    <row r="4082" ht="12.75" customHeight="1" x14ac:dyDescent="0.2"/>
    <row r="4083" ht="12.75" customHeight="1" x14ac:dyDescent="0.2"/>
    <row r="4084" ht="12.75" customHeight="1" x14ac:dyDescent="0.2"/>
    <row r="4085" ht="12.75" customHeight="1" x14ac:dyDescent="0.2"/>
    <row r="4086" ht="12.75" customHeight="1" x14ac:dyDescent="0.2"/>
    <row r="4087" ht="12.75" customHeight="1" x14ac:dyDescent="0.2"/>
    <row r="4088" ht="12.75" customHeight="1" x14ac:dyDescent="0.2"/>
    <row r="4089" ht="12.75" customHeight="1" x14ac:dyDescent="0.2"/>
    <row r="4090" ht="12.75" customHeight="1" x14ac:dyDescent="0.2"/>
    <row r="4091" ht="12.75" customHeight="1" x14ac:dyDescent="0.2"/>
    <row r="4092" ht="12.75" customHeight="1" x14ac:dyDescent="0.2"/>
    <row r="4093" ht="12.75" customHeight="1" x14ac:dyDescent="0.2"/>
    <row r="4094" ht="12.75" customHeight="1" x14ac:dyDescent="0.2"/>
    <row r="4095" ht="12.75" customHeight="1" x14ac:dyDescent="0.2"/>
    <row r="4096" ht="12.75" customHeight="1" x14ac:dyDescent="0.2"/>
    <row r="4097" ht="12.75" customHeight="1" x14ac:dyDescent="0.2"/>
    <row r="4098" ht="12.75" customHeight="1" x14ac:dyDescent="0.2"/>
    <row r="4099" ht="12.75" customHeight="1" x14ac:dyDescent="0.2"/>
    <row r="4100" ht="12.75" customHeight="1" x14ac:dyDescent="0.2"/>
    <row r="4101" ht="12.75" customHeight="1" x14ac:dyDescent="0.2"/>
    <row r="4102" ht="12.75" customHeight="1" x14ac:dyDescent="0.2"/>
    <row r="4103" ht="12.75" customHeight="1" x14ac:dyDescent="0.2"/>
    <row r="4104" ht="12.75" customHeight="1" x14ac:dyDescent="0.2"/>
    <row r="4105" ht="12.75" customHeight="1" x14ac:dyDescent="0.2"/>
    <row r="4106" ht="12.75" customHeight="1" x14ac:dyDescent="0.2"/>
    <row r="4107" ht="12.75" customHeight="1" x14ac:dyDescent="0.2"/>
    <row r="4108" ht="12.75" customHeight="1" x14ac:dyDescent="0.2"/>
    <row r="4109" ht="12.75" customHeight="1" x14ac:dyDescent="0.2"/>
    <row r="4110" ht="12.75" customHeight="1" x14ac:dyDescent="0.2"/>
    <row r="4111" ht="12.75" customHeight="1" x14ac:dyDescent="0.2"/>
    <row r="4112" ht="12.75" customHeight="1" x14ac:dyDescent="0.2"/>
    <row r="4113" ht="12.75" customHeight="1" x14ac:dyDescent="0.2"/>
    <row r="4114" ht="12.75" customHeight="1" x14ac:dyDescent="0.2"/>
    <row r="4115" ht="12.75" customHeight="1" x14ac:dyDescent="0.2"/>
    <row r="4116" ht="12.75" customHeight="1" x14ac:dyDescent="0.2"/>
    <row r="4117" ht="12.75" customHeight="1" x14ac:dyDescent="0.2"/>
    <row r="4118" ht="12.75" customHeight="1" x14ac:dyDescent="0.2"/>
    <row r="4119" ht="12.75" customHeight="1" x14ac:dyDescent="0.2"/>
    <row r="4120" ht="12.75" customHeight="1" x14ac:dyDescent="0.2"/>
    <row r="4121" ht="12.75" customHeight="1" x14ac:dyDescent="0.2"/>
    <row r="4122" ht="12.75" customHeight="1" x14ac:dyDescent="0.2"/>
    <row r="4123" ht="12.75" customHeight="1" x14ac:dyDescent="0.2"/>
    <row r="4124" ht="12.75" customHeight="1" x14ac:dyDescent="0.2"/>
    <row r="4125" ht="12.75" customHeight="1" x14ac:dyDescent="0.2"/>
    <row r="4126" ht="12.75" customHeight="1" x14ac:dyDescent="0.2"/>
    <row r="4127" ht="12.75" customHeight="1" x14ac:dyDescent="0.2"/>
    <row r="4128" ht="12.75" customHeight="1" x14ac:dyDescent="0.2"/>
    <row r="4129" ht="12.75" customHeight="1" x14ac:dyDescent="0.2"/>
    <row r="4130" ht="12.75" customHeight="1" x14ac:dyDescent="0.2"/>
    <row r="4131" ht="12.75" customHeight="1" x14ac:dyDescent="0.2"/>
    <row r="4132" ht="12.75" customHeight="1" x14ac:dyDescent="0.2"/>
    <row r="4133" ht="12.75" customHeight="1" x14ac:dyDescent="0.2"/>
    <row r="4134" ht="12.75" customHeight="1" x14ac:dyDescent="0.2"/>
    <row r="4135" ht="12.75" customHeight="1" x14ac:dyDescent="0.2"/>
    <row r="4136" ht="12.75" customHeight="1" x14ac:dyDescent="0.2"/>
    <row r="4137" ht="12.75" customHeight="1" x14ac:dyDescent="0.2"/>
    <row r="4138" ht="12.75" customHeight="1" x14ac:dyDescent="0.2"/>
    <row r="4139" ht="12.75" customHeight="1" x14ac:dyDescent="0.2"/>
    <row r="4140" ht="12.75" customHeight="1" x14ac:dyDescent="0.2"/>
    <row r="4141" ht="12.75" customHeight="1" x14ac:dyDescent="0.2"/>
    <row r="4142" ht="12.75" customHeight="1" x14ac:dyDescent="0.2"/>
    <row r="4143" ht="12.75" customHeight="1" x14ac:dyDescent="0.2"/>
    <row r="4144" ht="12.75" customHeight="1" x14ac:dyDescent="0.2"/>
    <row r="4145" ht="12.75" customHeight="1" x14ac:dyDescent="0.2"/>
    <row r="4146" ht="12.75" customHeight="1" x14ac:dyDescent="0.2"/>
    <row r="4147" ht="12.75" customHeight="1" x14ac:dyDescent="0.2"/>
    <row r="4148" ht="12.75" customHeight="1" x14ac:dyDescent="0.2"/>
    <row r="4149" ht="12.75" customHeight="1" x14ac:dyDescent="0.2"/>
    <row r="4150" ht="12.75" customHeight="1" x14ac:dyDescent="0.2"/>
    <row r="4151" ht="12.75" customHeight="1" x14ac:dyDescent="0.2"/>
    <row r="4152" ht="12.75" customHeight="1" x14ac:dyDescent="0.2"/>
    <row r="4153" ht="12.75" customHeight="1" x14ac:dyDescent="0.2"/>
    <row r="4154" ht="12.75" customHeight="1" x14ac:dyDescent="0.2"/>
    <row r="4155" ht="12.75" customHeight="1" x14ac:dyDescent="0.2"/>
    <row r="4156" ht="12.75" customHeight="1" x14ac:dyDescent="0.2"/>
    <row r="4157" ht="12.75" customHeight="1" x14ac:dyDescent="0.2"/>
    <row r="4158" ht="12.75" customHeight="1" x14ac:dyDescent="0.2"/>
    <row r="4159" ht="12.75" customHeight="1" x14ac:dyDescent="0.2"/>
    <row r="4160" ht="12.75" customHeight="1" x14ac:dyDescent="0.2"/>
    <row r="4161" ht="12.75" customHeight="1" x14ac:dyDescent="0.2"/>
    <row r="4162" ht="12.75" customHeight="1" x14ac:dyDescent="0.2"/>
    <row r="4163" ht="12.75" customHeight="1" x14ac:dyDescent="0.2"/>
    <row r="4164" ht="12.75" customHeight="1" x14ac:dyDescent="0.2"/>
    <row r="4165" ht="12.75" customHeight="1" x14ac:dyDescent="0.2"/>
    <row r="4166" ht="12.75" customHeight="1" x14ac:dyDescent="0.2"/>
    <row r="4167" ht="12.75" customHeight="1" x14ac:dyDescent="0.2"/>
    <row r="4168" ht="12.75" customHeight="1" x14ac:dyDescent="0.2"/>
    <row r="4169" ht="12.75" customHeight="1" x14ac:dyDescent="0.2"/>
    <row r="4170" ht="12.75" customHeight="1" x14ac:dyDescent="0.2"/>
    <row r="4171" ht="12.75" customHeight="1" x14ac:dyDescent="0.2"/>
    <row r="4172" ht="12.75" customHeight="1" x14ac:dyDescent="0.2"/>
    <row r="4173" ht="12.75" customHeight="1" x14ac:dyDescent="0.2"/>
    <row r="4174" ht="12.75" customHeight="1" x14ac:dyDescent="0.2"/>
    <row r="4175" ht="12.75" customHeight="1" x14ac:dyDescent="0.2"/>
    <row r="4176" ht="12.75" customHeight="1" x14ac:dyDescent="0.2"/>
    <row r="4177" ht="12.75" customHeight="1" x14ac:dyDescent="0.2"/>
    <row r="4178" ht="12.75" customHeight="1" x14ac:dyDescent="0.2"/>
    <row r="4179" ht="12.75" customHeight="1" x14ac:dyDescent="0.2"/>
    <row r="4180" ht="12.75" customHeight="1" x14ac:dyDescent="0.2"/>
    <row r="4181" ht="12.75" customHeight="1" x14ac:dyDescent="0.2"/>
    <row r="4182" ht="12.75" customHeight="1" x14ac:dyDescent="0.2"/>
    <row r="4183" ht="12.75" customHeight="1" x14ac:dyDescent="0.2"/>
    <row r="4184" ht="12.75" customHeight="1" x14ac:dyDescent="0.2"/>
    <row r="4185" ht="12.75" customHeight="1" x14ac:dyDescent="0.2"/>
    <row r="4186" ht="12.75" customHeight="1" x14ac:dyDescent="0.2"/>
    <row r="4187" ht="12.75" customHeight="1" x14ac:dyDescent="0.2"/>
    <row r="4188" ht="12.75" customHeight="1" x14ac:dyDescent="0.2"/>
    <row r="4189" ht="12.75" customHeight="1" x14ac:dyDescent="0.2"/>
    <row r="4190" ht="12.75" customHeight="1" x14ac:dyDescent="0.2"/>
    <row r="4191" ht="12.75" customHeight="1" x14ac:dyDescent="0.2"/>
    <row r="4192" ht="12.75" customHeight="1" x14ac:dyDescent="0.2"/>
    <row r="4193" ht="12.75" customHeight="1" x14ac:dyDescent="0.2"/>
    <row r="4194" ht="12.75" customHeight="1" x14ac:dyDescent="0.2"/>
    <row r="4195" ht="12.75" customHeight="1" x14ac:dyDescent="0.2"/>
    <row r="4196" ht="12.75" customHeight="1" x14ac:dyDescent="0.2"/>
    <row r="4197" ht="12.75" customHeight="1" x14ac:dyDescent="0.2"/>
    <row r="4198" ht="12.75" customHeight="1" x14ac:dyDescent="0.2"/>
    <row r="4199" ht="12.75" customHeight="1" x14ac:dyDescent="0.2"/>
    <row r="4200" ht="12.75" customHeight="1" x14ac:dyDescent="0.2"/>
    <row r="4201" ht="12.75" customHeight="1" x14ac:dyDescent="0.2"/>
    <row r="4202" ht="12.75" customHeight="1" x14ac:dyDescent="0.2"/>
    <row r="4203" ht="12.75" customHeight="1" x14ac:dyDescent="0.2"/>
    <row r="4204" ht="12.75" customHeight="1" x14ac:dyDescent="0.2"/>
    <row r="4205" ht="12.75" customHeight="1" x14ac:dyDescent="0.2"/>
    <row r="4206" ht="12.75" customHeight="1" x14ac:dyDescent="0.2"/>
    <row r="4207" ht="12.75" customHeight="1" x14ac:dyDescent="0.2"/>
    <row r="4208" ht="12.75" customHeight="1" x14ac:dyDescent="0.2"/>
    <row r="4209" ht="12.75" customHeight="1" x14ac:dyDescent="0.2"/>
    <row r="4210" ht="12.75" customHeight="1" x14ac:dyDescent="0.2"/>
    <row r="4211" ht="12.75" customHeight="1" x14ac:dyDescent="0.2"/>
    <row r="4212" ht="12.75" customHeight="1" x14ac:dyDescent="0.2"/>
    <row r="4213" ht="12.75" customHeight="1" x14ac:dyDescent="0.2"/>
    <row r="4214" ht="12.75" customHeight="1" x14ac:dyDescent="0.2"/>
    <row r="4215" ht="12.75" customHeight="1" x14ac:dyDescent="0.2"/>
    <row r="4216" ht="12.75" customHeight="1" x14ac:dyDescent="0.2"/>
    <row r="4217" ht="12.75" customHeight="1" x14ac:dyDescent="0.2"/>
    <row r="4218" ht="12.75" customHeight="1" x14ac:dyDescent="0.2"/>
    <row r="4219" ht="12.75" customHeight="1" x14ac:dyDescent="0.2"/>
    <row r="4220" ht="12.75" customHeight="1" x14ac:dyDescent="0.2"/>
    <row r="4221" ht="12.75" customHeight="1" x14ac:dyDescent="0.2"/>
    <row r="4222" ht="12.75" customHeight="1" x14ac:dyDescent="0.2"/>
    <row r="4223" ht="12.75" customHeight="1" x14ac:dyDescent="0.2"/>
    <row r="4224" ht="12.75" customHeight="1" x14ac:dyDescent="0.2"/>
    <row r="4225" ht="12.75" customHeight="1" x14ac:dyDescent="0.2"/>
    <row r="4226" ht="12.75" customHeight="1" x14ac:dyDescent="0.2"/>
    <row r="4227" ht="12.75" customHeight="1" x14ac:dyDescent="0.2"/>
    <row r="4228" ht="12.75" customHeight="1" x14ac:dyDescent="0.2"/>
    <row r="4229" ht="12.75" customHeight="1" x14ac:dyDescent="0.2"/>
    <row r="4230" ht="12.75" customHeight="1" x14ac:dyDescent="0.2"/>
    <row r="4231" ht="12.75" customHeight="1" x14ac:dyDescent="0.2"/>
    <row r="4232" ht="12.75" customHeight="1" x14ac:dyDescent="0.2"/>
    <row r="4233" ht="12.75" customHeight="1" x14ac:dyDescent="0.2"/>
    <row r="4234" ht="12.75" customHeight="1" x14ac:dyDescent="0.2"/>
    <row r="4235" ht="12.75" customHeight="1" x14ac:dyDescent="0.2"/>
    <row r="4236" ht="12.75" customHeight="1" x14ac:dyDescent="0.2"/>
    <row r="4237" ht="12.75" customHeight="1" x14ac:dyDescent="0.2"/>
    <row r="4238" ht="12.75" customHeight="1" x14ac:dyDescent="0.2"/>
    <row r="4239" ht="12.75" customHeight="1" x14ac:dyDescent="0.2"/>
    <row r="4240" ht="12.75" customHeight="1" x14ac:dyDescent="0.2"/>
    <row r="4241" ht="12.75" customHeight="1" x14ac:dyDescent="0.2"/>
    <row r="4242" ht="12.75" customHeight="1" x14ac:dyDescent="0.2"/>
    <row r="4243" ht="12.75" customHeight="1" x14ac:dyDescent="0.2"/>
    <row r="4244" ht="12.75" customHeight="1" x14ac:dyDescent="0.2"/>
    <row r="4245" ht="12.75" customHeight="1" x14ac:dyDescent="0.2"/>
    <row r="4246" ht="12.75" customHeight="1" x14ac:dyDescent="0.2"/>
    <row r="4247" ht="12.75" customHeight="1" x14ac:dyDescent="0.2"/>
    <row r="4248" ht="12.75" customHeight="1" x14ac:dyDescent="0.2"/>
    <row r="4249" ht="12.75" customHeight="1" x14ac:dyDescent="0.2"/>
    <row r="4250" ht="12.75" customHeight="1" x14ac:dyDescent="0.2"/>
    <row r="4251" ht="12.75" customHeight="1" x14ac:dyDescent="0.2"/>
    <row r="4252" ht="12.75" customHeight="1" x14ac:dyDescent="0.2"/>
    <row r="4253" ht="12.75" customHeight="1" x14ac:dyDescent="0.2"/>
    <row r="4254" ht="12.75" customHeight="1" x14ac:dyDescent="0.2"/>
    <row r="4255" ht="12.75" customHeight="1" x14ac:dyDescent="0.2"/>
    <row r="4256" ht="12.75" customHeight="1" x14ac:dyDescent="0.2"/>
    <row r="4257" ht="12.75" customHeight="1" x14ac:dyDescent="0.2"/>
    <row r="4258" ht="12.75" customHeight="1" x14ac:dyDescent="0.2"/>
    <row r="4259" ht="12.75" customHeight="1" x14ac:dyDescent="0.2"/>
    <row r="4260" ht="12.75" customHeight="1" x14ac:dyDescent="0.2"/>
    <row r="4261" ht="12.75" customHeight="1" x14ac:dyDescent="0.2"/>
    <row r="4262" ht="12.75" customHeight="1" x14ac:dyDescent="0.2"/>
    <row r="4263" ht="12.75" customHeight="1" x14ac:dyDescent="0.2"/>
    <row r="4264" ht="12.75" customHeight="1" x14ac:dyDescent="0.2"/>
    <row r="4265" ht="12.75" customHeight="1" x14ac:dyDescent="0.2"/>
    <row r="4266" ht="12.75" customHeight="1" x14ac:dyDescent="0.2"/>
    <row r="4267" ht="12.75" customHeight="1" x14ac:dyDescent="0.2"/>
    <row r="4268" ht="12.75" customHeight="1" x14ac:dyDescent="0.2"/>
    <row r="4269" ht="12.75" customHeight="1" x14ac:dyDescent="0.2"/>
    <row r="4270" ht="12.75" customHeight="1" x14ac:dyDescent="0.2"/>
    <row r="4271" ht="12.75" customHeight="1" x14ac:dyDescent="0.2"/>
    <row r="4272" ht="12.75" customHeight="1" x14ac:dyDescent="0.2"/>
    <row r="4273" ht="12.75" customHeight="1" x14ac:dyDescent="0.2"/>
    <row r="4274" ht="12.75" customHeight="1" x14ac:dyDescent="0.2"/>
    <row r="4275" ht="12.75" customHeight="1" x14ac:dyDescent="0.2"/>
    <row r="4276" ht="12.75" customHeight="1" x14ac:dyDescent="0.2"/>
    <row r="4277" ht="12.75" customHeight="1" x14ac:dyDescent="0.2"/>
    <row r="4278" ht="12.75" customHeight="1" x14ac:dyDescent="0.2"/>
    <row r="4279" ht="12.75" customHeight="1" x14ac:dyDescent="0.2"/>
    <row r="4280" ht="12.75" customHeight="1" x14ac:dyDescent="0.2"/>
    <row r="4281" ht="12.75" customHeight="1" x14ac:dyDescent="0.2"/>
    <row r="4282" ht="12.75" customHeight="1" x14ac:dyDescent="0.2"/>
    <row r="4283" ht="12.75" customHeight="1" x14ac:dyDescent="0.2"/>
    <row r="4284" ht="12.75" customHeight="1" x14ac:dyDescent="0.2"/>
    <row r="4285" ht="12.75" customHeight="1" x14ac:dyDescent="0.2"/>
    <row r="4286" ht="12.75" customHeight="1" x14ac:dyDescent="0.2"/>
    <row r="4287" ht="12.75" customHeight="1" x14ac:dyDescent="0.2"/>
    <row r="4288" ht="12.75" customHeight="1" x14ac:dyDescent="0.2"/>
    <row r="4289" ht="12.75" customHeight="1" x14ac:dyDescent="0.2"/>
    <row r="4290" ht="12.75" customHeight="1" x14ac:dyDescent="0.2"/>
    <row r="4291" ht="12.75" customHeight="1" x14ac:dyDescent="0.2"/>
    <row r="4292" ht="12.75" customHeight="1" x14ac:dyDescent="0.2"/>
    <row r="4293" ht="12.75" customHeight="1" x14ac:dyDescent="0.2"/>
    <row r="4294" ht="12.75" customHeight="1" x14ac:dyDescent="0.2"/>
    <row r="4295" ht="12.75" customHeight="1" x14ac:dyDescent="0.2"/>
    <row r="4296" ht="12.75" customHeight="1" x14ac:dyDescent="0.2"/>
    <row r="4297" ht="12.75" customHeight="1" x14ac:dyDescent="0.2"/>
    <row r="4298" ht="12.75" customHeight="1" x14ac:dyDescent="0.2"/>
    <row r="4299" ht="12.75" customHeight="1" x14ac:dyDescent="0.2"/>
    <row r="4300" ht="12.75" customHeight="1" x14ac:dyDescent="0.2"/>
    <row r="4301" ht="12.75" customHeight="1" x14ac:dyDescent="0.2"/>
    <row r="4302" ht="12.75" customHeight="1" x14ac:dyDescent="0.2"/>
    <row r="4303" ht="12.75" customHeight="1" x14ac:dyDescent="0.2"/>
    <row r="4304" ht="12.75" customHeight="1" x14ac:dyDescent="0.2"/>
    <row r="4305" ht="12.75" customHeight="1" x14ac:dyDescent="0.2"/>
    <row r="4306" ht="12.75" customHeight="1" x14ac:dyDescent="0.2"/>
    <row r="4307" ht="12.75" customHeight="1" x14ac:dyDescent="0.2"/>
    <row r="4308" ht="12.75" customHeight="1" x14ac:dyDescent="0.2"/>
    <row r="4309" ht="12.75" customHeight="1" x14ac:dyDescent="0.2"/>
    <row r="4310" ht="12.75" customHeight="1" x14ac:dyDescent="0.2"/>
    <row r="4311" ht="12.75" customHeight="1" x14ac:dyDescent="0.2"/>
    <row r="4312" ht="12.75" customHeight="1" x14ac:dyDescent="0.2"/>
    <row r="4313" ht="12.75" customHeight="1" x14ac:dyDescent="0.2"/>
    <row r="4314" ht="12.75" customHeight="1" x14ac:dyDescent="0.2"/>
    <row r="4315" ht="12.75" customHeight="1" x14ac:dyDescent="0.2"/>
    <row r="4316" ht="12.75" customHeight="1" x14ac:dyDescent="0.2"/>
    <row r="4317" ht="12.75" customHeight="1" x14ac:dyDescent="0.2"/>
    <row r="4318" ht="12.75" customHeight="1" x14ac:dyDescent="0.2"/>
    <row r="4319" ht="12.75" customHeight="1" x14ac:dyDescent="0.2"/>
    <row r="4320" ht="12.75" customHeight="1" x14ac:dyDescent="0.2"/>
    <row r="4321" ht="12.75" customHeight="1" x14ac:dyDescent="0.2"/>
    <row r="4322" ht="12.75" customHeight="1" x14ac:dyDescent="0.2"/>
    <row r="4323" ht="12.75" customHeight="1" x14ac:dyDescent="0.2"/>
    <row r="4324" ht="12.75" customHeight="1" x14ac:dyDescent="0.2"/>
    <row r="4325" ht="12.75" customHeight="1" x14ac:dyDescent="0.2"/>
    <row r="4326" ht="12.75" customHeight="1" x14ac:dyDescent="0.2"/>
    <row r="4327" ht="12.75" customHeight="1" x14ac:dyDescent="0.2"/>
    <row r="4328" ht="12.75" customHeight="1" x14ac:dyDescent="0.2"/>
    <row r="4329" ht="12.75" customHeight="1" x14ac:dyDescent="0.2"/>
    <row r="4330" ht="12.75" customHeight="1" x14ac:dyDescent="0.2"/>
    <row r="4331" ht="12.75" customHeight="1" x14ac:dyDescent="0.2"/>
    <row r="4332" ht="12.75" customHeight="1" x14ac:dyDescent="0.2"/>
    <row r="4333" ht="12.75" customHeight="1" x14ac:dyDescent="0.2"/>
    <row r="4334" ht="12.75" customHeight="1" x14ac:dyDescent="0.2"/>
    <row r="4335" ht="12.75" customHeight="1" x14ac:dyDescent="0.2"/>
    <row r="4336" ht="12.75" customHeight="1" x14ac:dyDescent="0.2"/>
    <row r="4337" ht="12.75" customHeight="1" x14ac:dyDescent="0.2"/>
    <row r="4338" ht="12.75" customHeight="1" x14ac:dyDescent="0.2"/>
    <row r="4339" ht="12.75" customHeight="1" x14ac:dyDescent="0.2"/>
    <row r="4340" ht="12.75" customHeight="1" x14ac:dyDescent="0.2"/>
    <row r="4341" ht="12.75" customHeight="1" x14ac:dyDescent="0.2"/>
    <row r="4342" ht="12.75" customHeight="1" x14ac:dyDescent="0.2"/>
    <row r="4343" ht="12.75" customHeight="1" x14ac:dyDescent="0.2"/>
    <row r="4344" ht="12.75" customHeight="1" x14ac:dyDescent="0.2"/>
    <row r="4345" ht="12.75" customHeight="1" x14ac:dyDescent="0.2"/>
    <row r="4346" ht="12.75" customHeight="1" x14ac:dyDescent="0.2"/>
    <row r="4347" ht="12.75" customHeight="1" x14ac:dyDescent="0.2"/>
    <row r="4348" ht="12.75" customHeight="1" x14ac:dyDescent="0.2"/>
    <row r="4349" ht="12.75" customHeight="1" x14ac:dyDescent="0.2"/>
    <row r="4350" ht="12.75" customHeight="1" x14ac:dyDescent="0.2"/>
    <row r="4351" ht="12.75" customHeight="1" x14ac:dyDescent="0.2"/>
    <row r="4352" ht="12.75" customHeight="1" x14ac:dyDescent="0.2"/>
    <row r="4353" ht="12.75" customHeight="1" x14ac:dyDescent="0.2"/>
    <row r="4354" ht="12.75" customHeight="1" x14ac:dyDescent="0.2"/>
    <row r="4355" ht="12.75" customHeight="1" x14ac:dyDescent="0.2"/>
    <row r="4356" ht="12.75" customHeight="1" x14ac:dyDescent="0.2"/>
    <row r="4357" ht="12.75" customHeight="1" x14ac:dyDescent="0.2"/>
    <row r="4358" ht="12.75" customHeight="1" x14ac:dyDescent="0.2"/>
    <row r="4359" ht="12.75" customHeight="1" x14ac:dyDescent="0.2"/>
    <row r="4360" ht="12.75" customHeight="1" x14ac:dyDescent="0.2"/>
    <row r="4361" ht="12.75" customHeight="1" x14ac:dyDescent="0.2"/>
    <row r="4362" ht="12.75" customHeight="1" x14ac:dyDescent="0.2"/>
    <row r="4363" ht="12.75" customHeight="1" x14ac:dyDescent="0.2"/>
    <row r="4364" ht="12.75" customHeight="1" x14ac:dyDescent="0.2"/>
    <row r="4365" ht="12.75" customHeight="1" x14ac:dyDescent="0.2"/>
    <row r="4366" ht="12.75" customHeight="1" x14ac:dyDescent="0.2"/>
    <row r="4367" ht="12.75" customHeight="1" x14ac:dyDescent="0.2"/>
    <row r="4368" ht="12.75" customHeight="1" x14ac:dyDescent="0.2"/>
    <row r="4369" ht="12.75" customHeight="1" x14ac:dyDescent="0.2"/>
    <row r="4370" ht="12.75" customHeight="1" x14ac:dyDescent="0.2"/>
    <row r="4371" ht="12.75" customHeight="1" x14ac:dyDescent="0.2"/>
    <row r="4372" ht="12.75" customHeight="1" x14ac:dyDescent="0.2"/>
    <row r="4373" ht="12.75" customHeight="1" x14ac:dyDescent="0.2"/>
    <row r="4374" ht="12.75" customHeight="1" x14ac:dyDescent="0.2"/>
    <row r="4375" ht="12.75" customHeight="1" x14ac:dyDescent="0.2"/>
    <row r="4376" ht="12.75" customHeight="1" x14ac:dyDescent="0.2"/>
    <row r="4377" ht="12.75" customHeight="1" x14ac:dyDescent="0.2"/>
    <row r="4378" ht="12.75" customHeight="1" x14ac:dyDescent="0.2"/>
    <row r="4379" ht="12.75" customHeight="1" x14ac:dyDescent="0.2"/>
    <row r="4380" ht="12.75" customHeight="1" x14ac:dyDescent="0.2"/>
    <row r="4381" ht="12.75" customHeight="1" x14ac:dyDescent="0.2"/>
    <row r="4382" ht="12.75" customHeight="1" x14ac:dyDescent="0.2"/>
    <row r="4383" ht="12.75" customHeight="1" x14ac:dyDescent="0.2"/>
    <row r="4384" ht="12.75" customHeight="1" x14ac:dyDescent="0.2"/>
    <row r="4385" ht="12.75" customHeight="1" x14ac:dyDescent="0.2"/>
    <row r="4386" ht="12.75" customHeight="1" x14ac:dyDescent="0.2"/>
    <row r="4387" ht="12.75" customHeight="1" x14ac:dyDescent="0.2"/>
    <row r="4388" ht="12.75" customHeight="1" x14ac:dyDescent="0.2"/>
    <row r="4389" ht="12.75" customHeight="1" x14ac:dyDescent="0.2"/>
    <row r="4390" ht="12.75" customHeight="1" x14ac:dyDescent="0.2"/>
    <row r="4391" ht="12.75" customHeight="1" x14ac:dyDescent="0.2"/>
    <row r="4392" ht="12.75" customHeight="1" x14ac:dyDescent="0.2"/>
    <row r="4393" ht="12.75" customHeight="1" x14ac:dyDescent="0.2"/>
    <row r="4394" ht="12.75" customHeight="1" x14ac:dyDescent="0.2"/>
    <row r="4395" ht="12.75" customHeight="1" x14ac:dyDescent="0.2"/>
    <row r="4396" ht="12.75" customHeight="1" x14ac:dyDescent="0.2"/>
    <row r="4397" ht="12.75" customHeight="1" x14ac:dyDescent="0.2"/>
    <row r="4398" ht="12.75" customHeight="1" x14ac:dyDescent="0.2"/>
    <row r="4399" ht="12.75" customHeight="1" x14ac:dyDescent="0.2"/>
    <row r="4400" ht="12.75" customHeight="1" x14ac:dyDescent="0.2"/>
    <row r="4401" ht="12.75" customHeight="1" x14ac:dyDescent="0.2"/>
    <row r="4402" ht="12.75" customHeight="1" x14ac:dyDescent="0.2"/>
    <row r="4403" ht="12.75" customHeight="1" x14ac:dyDescent="0.2"/>
    <row r="4404" ht="12.75" customHeight="1" x14ac:dyDescent="0.2"/>
    <row r="4405" ht="12.75" customHeight="1" x14ac:dyDescent="0.2"/>
    <row r="4406" ht="12.75" customHeight="1" x14ac:dyDescent="0.2"/>
    <row r="4407" ht="12.75" customHeight="1" x14ac:dyDescent="0.2"/>
    <row r="4408" ht="12.75" customHeight="1" x14ac:dyDescent="0.2"/>
    <row r="4409" ht="12.75" customHeight="1" x14ac:dyDescent="0.2"/>
    <row r="4410" ht="12.75" customHeight="1" x14ac:dyDescent="0.2"/>
    <row r="4411" ht="12.75" customHeight="1" x14ac:dyDescent="0.2"/>
    <row r="4412" ht="12.75" customHeight="1" x14ac:dyDescent="0.2"/>
    <row r="4413" ht="12.75" customHeight="1" x14ac:dyDescent="0.2"/>
    <row r="4414" ht="12.75" customHeight="1" x14ac:dyDescent="0.2"/>
    <row r="4415" ht="12.75" customHeight="1" x14ac:dyDescent="0.2"/>
    <row r="4416" ht="12.75" customHeight="1" x14ac:dyDescent="0.2"/>
    <row r="4417" ht="12.75" customHeight="1" x14ac:dyDescent="0.2"/>
    <row r="4418" ht="12.75" customHeight="1" x14ac:dyDescent="0.2"/>
    <row r="4419" ht="12.75" customHeight="1" x14ac:dyDescent="0.2"/>
    <row r="4420" ht="12.75" customHeight="1" x14ac:dyDescent="0.2"/>
    <row r="4421" ht="12.75" customHeight="1" x14ac:dyDescent="0.2"/>
    <row r="4422" ht="12.75" customHeight="1" x14ac:dyDescent="0.2"/>
    <row r="4423" ht="12.75" customHeight="1" x14ac:dyDescent="0.2"/>
    <row r="4424" ht="12.75" customHeight="1" x14ac:dyDescent="0.2"/>
    <row r="4425" ht="12.75" customHeight="1" x14ac:dyDescent="0.2"/>
    <row r="4426" ht="12.75" customHeight="1" x14ac:dyDescent="0.2"/>
    <row r="4427" ht="12.75" customHeight="1" x14ac:dyDescent="0.2"/>
    <row r="4428" ht="12.75" customHeight="1" x14ac:dyDescent="0.2"/>
    <row r="4429" ht="12.75" customHeight="1" x14ac:dyDescent="0.2"/>
    <row r="4430" ht="12.75" customHeight="1" x14ac:dyDescent="0.2"/>
    <row r="4431" ht="12.75" customHeight="1" x14ac:dyDescent="0.2"/>
    <row r="4432" ht="12.75" customHeight="1" x14ac:dyDescent="0.2"/>
    <row r="4433" ht="12.75" customHeight="1" x14ac:dyDescent="0.2"/>
    <row r="4434" ht="12.75" customHeight="1" x14ac:dyDescent="0.2"/>
    <row r="4435" ht="12.75" customHeight="1" x14ac:dyDescent="0.2"/>
    <row r="4436" ht="12.75" customHeight="1" x14ac:dyDescent="0.2"/>
    <row r="4437" ht="12.75" customHeight="1" x14ac:dyDescent="0.2"/>
    <row r="4438" ht="12.75" customHeight="1" x14ac:dyDescent="0.2"/>
    <row r="4439" ht="12.75" customHeight="1" x14ac:dyDescent="0.2"/>
    <row r="4440" ht="12.75" customHeight="1" x14ac:dyDescent="0.2"/>
    <row r="4441" ht="12.75" customHeight="1" x14ac:dyDescent="0.2"/>
    <row r="4442" ht="12.75" customHeight="1" x14ac:dyDescent="0.2"/>
    <row r="4443" ht="12.75" customHeight="1" x14ac:dyDescent="0.2"/>
    <row r="4444" ht="12.75" customHeight="1" x14ac:dyDescent="0.2"/>
    <row r="4445" ht="12.75" customHeight="1" x14ac:dyDescent="0.2"/>
    <row r="4446" ht="12.75" customHeight="1" x14ac:dyDescent="0.2"/>
    <row r="4447" ht="12.75" customHeight="1" x14ac:dyDescent="0.2"/>
    <row r="4448" ht="12.75" customHeight="1" x14ac:dyDescent="0.2"/>
    <row r="4449" ht="12.75" customHeight="1" x14ac:dyDescent="0.2"/>
    <row r="4450" ht="12.75" customHeight="1" x14ac:dyDescent="0.2"/>
    <row r="4451" ht="12.75" customHeight="1" x14ac:dyDescent="0.2"/>
    <row r="4452" ht="12.75" customHeight="1" x14ac:dyDescent="0.2"/>
    <row r="4453" ht="12.75" customHeight="1" x14ac:dyDescent="0.2"/>
    <row r="4454" ht="12.75" customHeight="1" x14ac:dyDescent="0.2"/>
    <row r="4455" ht="12.75" customHeight="1" x14ac:dyDescent="0.2"/>
    <row r="4456" ht="12.75" customHeight="1" x14ac:dyDescent="0.2"/>
    <row r="4457" ht="12.75" customHeight="1" x14ac:dyDescent="0.2"/>
    <row r="4458" ht="12.75" customHeight="1" x14ac:dyDescent="0.2"/>
    <row r="4459" ht="12.75" customHeight="1" x14ac:dyDescent="0.2"/>
    <row r="4460" ht="12.75" customHeight="1" x14ac:dyDescent="0.2"/>
    <row r="4461" ht="12.75" customHeight="1" x14ac:dyDescent="0.2"/>
    <row r="4462" ht="12.75" customHeight="1" x14ac:dyDescent="0.2"/>
    <row r="4463" ht="12.75" customHeight="1" x14ac:dyDescent="0.2"/>
    <row r="4464" ht="12.75" customHeight="1" x14ac:dyDescent="0.2"/>
    <row r="4465" ht="12.75" customHeight="1" x14ac:dyDescent="0.2"/>
    <row r="4466" ht="12.75" customHeight="1" x14ac:dyDescent="0.2"/>
    <row r="4467" ht="12.75" customHeight="1" x14ac:dyDescent="0.2"/>
    <row r="4468" ht="12.75" customHeight="1" x14ac:dyDescent="0.2"/>
    <row r="4469" ht="12.75" customHeight="1" x14ac:dyDescent="0.2"/>
    <row r="4470" ht="12.75" customHeight="1" x14ac:dyDescent="0.2"/>
    <row r="4471" ht="12.75" customHeight="1" x14ac:dyDescent="0.2"/>
    <row r="4472" ht="12.75" customHeight="1" x14ac:dyDescent="0.2"/>
    <row r="4473" ht="12.75" customHeight="1" x14ac:dyDescent="0.2"/>
    <row r="4474" ht="12.75" customHeight="1" x14ac:dyDescent="0.2"/>
    <row r="4475" ht="12.75" customHeight="1" x14ac:dyDescent="0.2"/>
    <row r="4476" ht="12.75" customHeight="1" x14ac:dyDescent="0.2"/>
    <row r="4477" ht="12.75" customHeight="1" x14ac:dyDescent="0.2"/>
    <row r="4478" ht="12.75" customHeight="1" x14ac:dyDescent="0.2"/>
    <row r="4479" ht="12.75" customHeight="1" x14ac:dyDescent="0.2"/>
    <row r="4480" ht="12.75" customHeight="1" x14ac:dyDescent="0.2"/>
    <row r="4481" ht="12.75" customHeight="1" x14ac:dyDescent="0.2"/>
    <row r="4482" ht="12.75" customHeight="1" x14ac:dyDescent="0.2"/>
    <row r="4483" ht="12.75" customHeight="1" x14ac:dyDescent="0.2"/>
    <row r="4484" ht="12.75" customHeight="1" x14ac:dyDescent="0.2"/>
    <row r="4485" ht="12.75" customHeight="1" x14ac:dyDescent="0.2"/>
    <row r="4486" ht="12.75" customHeight="1" x14ac:dyDescent="0.2"/>
    <row r="4487" ht="12.75" customHeight="1" x14ac:dyDescent="0.2"/>
    <row r="4488" ht="12.75" customHeight="1" x14ac:dyDescent="0.2"/>
    <row r="4489" ht="12.75" customHeight="1" x14ac:dyDescent="0.2"/>
    <row r="4490" ht="12.75" customHeight="1" x14ac:dyDescent="0.2"/>
    <row r="4491" ht="12.75" customHeight="1" x14ac:dyDescent="0.2"/>
    <row r="4492" ht="12.75" customHeight="1" x14ac:dyDescent="0.2"/>
    <row r="4493" ht="12.75" customHeight="1" x14ac:dyDescent="0.2"/>
    <row r="4494" ht="12.75" customHeight="1" x14ac:dyDescent="0.2"/>
    <row r="4495" ht="12.75" customHeight="1" x14ac:dyDescent="0.2"/>
    <row r="4496" ht="12.75" customHeight="1" x14ac:dyDescent="0.2"/>
    <row r="4497" ht="12.75" customHeight="1" x14ac:dyDescent="0.2"/>
    <row r="4498" ht="12.75" customHeight="1" x14ac:dyDescent="0.2"/>
    <row r="4499" ht="12.75" customHeight="1" x14ac:dyDescent="0.2"/>
    <row r="4500" ht="12.75" customHeight="1" x14ac:dyDescent="0.2"/>
    <row r="4501" ht="12.75" customHeight="1" x14ac:dyDescent="0.2"/>
    <row r="4502" ht="12.75" customHeight="1" x14ac:dyDescent="0.2"/>
    <row r="4503" ht="12.75" customHeight="1" x14ac:dyDescent="0.2"/>
    <row r="4504" ht="12.75" customHeight="1" x14ac:dyDescent="0.2"/>
    <row r="4505" ht="12.75" customHeight="1" x14ac:dyDescent="0.2"/>
    <row r="4506" ht="12.75" customHeight="1" x14ac:dyDescent="0.2"/>
    <row r="4507" ht="12.75" customHeight="1" x14ac:dyDescent="0.2"/>
    <row r="4508" ht="12.75" customHeight="1" x14ac:dyDescent="0.2"/>
    <row r="4509" ht="12.75" customHeight="1" x14ac:dyDescent="0.2"/>
    <row r="4510" ht="12.75" customHeight="1" x14ac:dyDescent="0.2"/>
    <row r="4511" ht="12.75" customHeight="1" x14ac:dyDescent="0.2"/>
    <row r="4512" ht="12.75" customHeight="1" x14ac:dyDescent="0.2"/>
    <row r="4513" ht="12.75" customHeight="1" x14ac:dyDescent="0.2"/>
    <row r="4514" ht="12.75" customHeight="1" x14ac:dyDescent="0.2"/>
    <row r="4515" ht="12.75" customHeight="1" x14ac:dyDescent="0.2"/>
    <row r="4516" ht="12.75" customHeight="1" x14ac:dyDescent="0.2"/>
    <row r="4517" ht="12.75" customHeight="1" x14ac:dyDescent="0.2"/>
    <row r="4518" ht="12.75" customHeight="1" x14ac:dyDescent="0.2"/>
    <row r="4519" ht="12.75" customHeight="1" x14ac:dyDescent="0.2"/>
    <row r="4520" ht="12.75" customHeight="1" x14ac:dyDescent="0.2"/>
    <row r="4521" ht="12.75" customHeight="1" x14ac:dyDescent="0.2"/>
    <row r="4522" ht="12.75" customHeight="1" x14ac:dyDescent="0.2"/>
    <row r="4523" ht="12.75" customHeight="1" x14ac:dyDescent="0.2"/>
    <row r="4524" ht="12.75" customHeight="1" x14ac:dyDescent="0.2"/>
    <row r="4525" ht="12.75" customHeight="1" x14ac:dyDescent="0.2"/>
    <row r="4526" ht="12.75" customHeight="1" x14ac:dyDescent="0.2"/>
    <row r="4527" ht="12.75" customHeight="1" x14ac:dyDescent="0.2"/>
    <row r="4528" ht="12.75" customHeight="1" x14ac:dyDescent="0.2"/>
    <row r="4529" ht="12.75" customHeight="1" x14ac:dyDescent="0.2"/>
    <row r="4530" ht="12.75" customHeight="1" x14ac:dyDescent="0.2"/>
    <row r="4531" ht="12.75" customHeight="1" x14ac:dyDescent="0.2"/>
    <row r="4532" ht="12.75" customHeight="1" x14ac:dyDescent="0.2"/>
    <row r="4533" ht="12.75" customHeight="1" x14ac:dyDescent="0.2"/>
    <row r="4534" ht="12.75" customHeight="1" x14ac:dyDescent="0.2"/>
    <row r="4535" ht="12.75" customHeight="1" x14ac:dyDescent="0.2"/>
    <row r="4536" ht="12.75" customHeight="1" x14ac:dyDescent="0.2"/>
    <row r="4537" ht="12.75" customHeight="1" x14ac:dyDescent="0.2"/>
    <row r="4538" ht="12.75" customHeight="1" x14ac:dyDescent="0.2"/>
    <row r="4539" ht="12.75" customHeight="1" x14ac:dyDescent="0.2"/>
    <row r="4540" ht="12.75" customHeight="1" x14ac:dyDescent="0.2"/>
    <row r="4541" ht="12.75" customHeight="1" x14ac:dyDescent="0.2"/>
    <row r="4542" ht="12.75" customHeight="1" x14ac:dyDescent="0.2"/>
    <row r="4543" ht="12.75" customHeight="1" x14ac:dyDescent="0.2"/>
    <row r="4544" ht="12.75" customHeight="1" x14ac:dyDescent="0.2"/>
    <row r="4545" ht="12.75" customHeight="1" x14ac:dyDescent="0.2"/>
    <row r="4546" ht="12.75" customHeight="1" x14ac:dyDescent="0.2"/>
    <row r="4547" ht="12.75" customHeight="1" x14ac:dyDescent="0.2"/>
    <row r="4548" ht="12.75" customHeight="1" x14ac:dyDescent="0.2"/>
    <row r="4549" ht="12.75" customHeight="1" x14ac:dyDescent="0.2"/>
    <row r="4550" ht="12.75" customHeight="1" x14ac:dyDescent="0.2"/>
    <row r="4551" ht="12.75" customHeight="1" x14ac:dyDescent="0.2"/>
    <row r="4552" ht="12.75" customHeight="1" x14ac:dyDescent="0.2"/>
    <row r="4553" ht="12.75" customHeight="1" x14ac:dyDescent="0.2"/>
    <row r="4554" ht="12.75" customHeight="1" x14ac:dyDescent="0.2"/>
    <row r="4555" ht="12.75" customHeight="1" x14ac:dyDescent="0.2"/>
    <row r="4556" ht="12.75" customHeight="1" x14ac:dyDescent="0.2"/>
    <row r="4557" ht="12.75" customHeight="1" x14ac:dyDescent="0.2"/>
    <row r="4558" ht="12.75" customHeight="1" x14ac:dyDescent="0.2"/>
    <row r="4559" ht="12.75" customHeight="1" x14ac:dyDescent="0.2"/>
    <row r="4560" ht="12.75" customHeight="1" x14ac:dyDescent="0.2"/>
    <row r="4561" ht="12.75" customHeight="1" x14ac:dyDescent="0.2"/>
    <row r="4562" ht="12.75" customHeight="1" x14ac:dyDescent="0.2"/>
    <row r="4563" ht="12.75" customHeight="1" x14ac:dyDescent="0.2"/>
    <row r="4564" ht="12.75" customHeight="1" x14ac:dyDescent="0.2"/>
    <row r="4565" ht="12.75" customHeight="1" x14ac:dyDescent="0.2"/>
    <row r="4566" ht="12.75" customHeight="1" x14ac:dyDescent="0.2"/>
    <row r="4567" ht="12.75" customHeight="1" x14ac:dyDescent="0.2"/>
    <row r="4568" ht="12.75" customHeight="1" x14ac:dyDescent="0.2"/>
    <row r="4569" ht="12.75" customHeight="1" x14ac:dyDescent="0.2"/>
    <row r="4570" ht="12.75" customHeight="1" x14ac:dyDescent="0.2"/>
    <row r="4571" ht="12.75" customHeight="1" x14ac:dyDescent="0.2"/>
    <row r="4572" ht="12.75" customHeight="1" x14ac:dyDescent="0.2"/>
    <row r="4573" ht="12.75" customHeight="1" x14ac:dyDescent="0.2"/>
    <row r="4574" ht="12.75" customHeight="1" x14ac:dyDescent="0.2"/>
    <row r="4575" ht="12.75" customHeight="1" x14ac:dyDescent="0.2"/>
    <row r="4576" ht="12.75" customHeight="1" x14ac:dyDescent="0.2"/>
    <row r="4577" ht="12.75" customHeight="1" x14ac:dyDescent="0.2"/>
    <row r="4578" ht="12.75" customHeight="1" x14ac:dyDescent="0.2"/>
    <row r="4579" ht="12.75" customHeight="1" x14ac:dyDescent="0.2"/>
    <row r="4580" ht="12.75" customHeight="1" x14ac:dyDescent="0.2"/>
    <row r="4581" ht="12.75" customHeight="1" x14ac:dyDescent="0.2"/>
    <row r="4582" ht="12.75" customHeight="1" x14ac:dyDescent="0.2"/>
    <row r="4583" ht="12.75" customHeight="1" x14ac:dyDescent="0.2"/>
    <row r="4584" ht="12.75" customHeight="1" x14ac:dyDescent="0.2"/>
    <row r="4585" ht="12.75" customHeight="1" x14ac:dyDescent="0.2"/>
    <row r="4586" ht="12.75" customHeight="1" x14ac:dyDescent="0.2"/>
    <row r="4587" ht="12.75" customHeight="1" x14ac:dyDescent="0.2"/>
    <row r="4588" ht="12.75" customHeight="1" x14ac:dyDescent="0.2"/>
    <row r="4589" ht="12.75" customHeight="1" x14ac:dyDescent="0.2"/>
    <row r="4590" ht="12.75" customHeight="1" x14ac:dyDescent="0.2"/>
    <row r="4591" ht="12.75" customHeight="1" x14ac:dyDescent="0.2"/>
    <row r="4592" ht="12.75" customHeight="1" x14ac:dyDescent="0.2"/>
    <row r="4593" ht="12.75" customHeight="1" x14ac:dyDescent="0.2"/>
    <row r="4594" ht="12.75" customHeight="1" x14ac:dyDescent="0.2"/>
    <row r="4595" ht="12.75" customHeight="1" x14ac:dyDescent="0.2"/>
    <row r="4596" ht="12.75" customHeight="1" x14ac:dyDescent="0.2"/>
    <row r="4597" ht="12.75" customHeight="1" x14ac:dyDescent="0.2"/>
    <row r="4598" ht="12.75" customHeight="1" x14ac:dyDescent="0.2"/>
    <row r="4599" ht="12.75" customHeight="1" x14ac:dyDescent="0.2"/>
    <row r="4600" ht="12.75" customHeight="1" x14ac:dyDescent="0.2"/>
    <row r="4601" ht="12.75" customHeight="1" x14ac:dyDescent="0.2"/>
    <row r="4602" ht="12.75" customHeight="1" x14ac:dyDescent="0.2"/>
    <row r="4603" ht="12.75" customHeight="1" x14ac:dyDescent="0.2"/>
    <row r="4604" ht="12.75" customHeight="1" x14ac:dyDescent="0.2"/>
    <row r="4605" ht="12.75" customHeight="1" x14ac:dyDescent="0.2"/>
    <row r="4606" ht="12.75" customHeight="1" x14ac:dyDescent="0.2"/>
    <row r="4607" ht="12.75" customHeight="1" x14ac:dyDescent="0.2"/>
    <row r="4608" ht="12.75" customHeight="1" x14ac:dyDescent="0.2"/>
    <row r="4609" ht="12.75" customHeight="1" x14ac:dyDescent="0.2"/>
    <row r="4610" ht="12.75" customHeight="1" x14ac:dyDescent="0.2"/>
    <row r="4611" ht="12.75" customHeight="1" x14ac:dyDescent="0.2"/>
    <row r="4612" ht="12.75" customHeight="1" x14ac:dyDescent="0.2"/>
    <row r="4613" ht="12.75" customHeight="1" x14ac:dyDescent="0.2"/>
    <row r="4614" ht="12.75" customHeight="1" x14ac:dyDescent="0.2"/>
    <row r="4615" ht="12.75" customHeight="1" x14ac:dyDescent="0.2"/>
    <row r="4616" ht="12.75" customHeight="1" x14ac:dyDescent="0.2"/>
    <row r="4617" ht="12.75" customHeight="1" x14ac:dyDescent="0.2"/>
    <row r="4618" ht="12.75" customHeight="1" x14ac:dyDescent="0.2"/>
    <row r="4619" ht="12.75" customHeight="1" x14ac:dyDescent="0.2"/>
    <row r="4620" ht="12.75" customHeight="1" x14ac:dyDescent="0.2"/>
    <row r="4621" ht="12.75" customHeight="1" x14ac:dyDescent="0.2"/>
    <row r="4622" ht="12.75" customHeight="1" x14ac:dyDescent="0.2"/>
    <row r="4623" ht="12.75" customHeight="1" x14ac:dyDescent="0.2"/>
    <row r="4624" ht="12.75" customHeight="1" x14ac:dyDescent="0.2"/>
    <row r="4625" ht="12.75" customHeight="1" x14ac:dyDescent="0.2"/>
    <row r="4626" ht="12.75" customHeight="1" x14ac:dyDescent="0.2"/>
    <row r="4627" ht="12.75" customHeight="1" x14ac:dyDescent="0.2"/>
    <row r="4628" ht="12.75" customHeight="1" x14ac:dyDescent="0.2"/>
    <row r="4629" ht="12.75" customHeight="1" x14ac:dyDescent="0.2"/>
    <row r="4630" ht="12.75" customHeight="1" x14ac:dyDescent="0.2"/>
    <row r="4631" ht="12.75" customHeight="1" x14ac:dyDescent="0.2"/>
    <row r="4632" ht="12.75" customHeight="1" x14ac:dyDescent="0.2"/>
    <row r="4633" ht="12.75" customHeight="1" x14ac:dyDescent="0.2"/>
    <row r="4634" ht="12.75" customHeight="1" x14ac:dyDescent="0.2"/>
    <row r="4635" ht="12.75" customHeight="1" x14ac:dyDescent="0.2"/>
    <row r="4636" ht="12.75" customHeight="1" x14ac:dyDescent="0.2"/>
    <row r="4637" ht="12.75" customHeight="1" x14ac:dyDescent="0.2"/>
    <row r="4638" ht="12.75" customHeight="1" x14ac:dyDescent="0.2"/>
    <row r="4639" ht="12.75" customHeight="1" x14ac:dyDescent="0.2"/>
    <row r="4640" ht="12.75" customHeight="1" x14ac:dyDescent="0.2"/>
    <row r="4641" ht="12.75" customHeight="1" x14ac:dyDescent="0.2"/>
    <row r="4642" ht="12.75" customHeight="1" x14ac:dyDescent="0.2"/>
    <row r="4643" ht="12.75" customHeight="1" x14ac:dyDescent="0.2"/>
    <row r="4644" ht="12.75" customHeight="1" x14ac:dyDescent="0.2"/>
    <row r="4645" ht="12.75" customHeight="1" x14ac:dyDescent="0.2"/>
    <row r="4646" ht="12.75" customHeight="1" x14ac:dyDescent="0.2"/>
    <row r="4647" ht="12.75" customHeight="1" x14ac:dyDescent="0.2"/>
    <row r="4648" ht="12.75" customHeight="1" x14ac:dyDescent="0.2"/>
    <row r="4649" ht="12.75" customHeight="1" x14ac:dyDescent="0.2"/>
    <row r="4650" ht="12.75" customHeight="1" x14ac:dyDescent="0.2"/>
    <row r="4651" ht="12.75" customHeight="1" x14ac:dyDescent="0.2"/>
    <row r="4652" ht="12.75" customHeight="1" x14ac:dyDescent="0.2"/>
    <row r="4653" ht="12.75" customHeight="1" x14ac:dyDescent="0.2"/>
    <row r="4654" ht="12.75" customHeight="1" x14ac:dyDescent="0.2"/>
    <row r="4655" ht="12.75" customHeight="1" x14ac:dyDescent="0.2"/>
    <row r="4656" ht="12.75" customHeight="1" x14ac:dyDescent="0.2"/>
    <row r="4657" ht="12.75" customHeight="1" x14ac:dyDescent="0.2"/>
    <row r="4658" ht="12.75" customHeight="1" x14ac:dyDescent="0.2"/>
    <row r="4659" ht="12.75" customHeight="1" x14ac:dyDescent="0.2"/>
    <row r="4660" ht="12.75" customHeight="1" x14ac:dyDescent="0.2"/>
    <row r="4661" ht="12.75" customHeight="1" x14ac:dyDescent="0.2"/>
    <row r="4662" ht="12.75" customHeight="1" x14ac:dyDescent="0.2"/>
    <row r="4663" ht="12.75" customHeight="1" x14ac:dyDescent="0.2"/>
    <row r="4664" ht="12.75" customHeight="1" x14ac:dyDescent="0.2"/>
    <row r="4665" ht="12.75" customHeight="1" x14ac:dyDescent="0.2"/>
    <row r="4666" ht="12.75" customHeight="1" x14ac:dyDescent="0.2"/>
    <row r="4667" ht="12.75" customHeight="1" x14ac:dyDescent="0.2"/>
    <row r="4668" ht="12.75" customHeight="1" x14ac:dyDescent="0.2"/>
    <row r="4669" ht="12.75" customHeight="1" x14ac:dyDescent="0.2"/>
    <row r="4670" ht="12.75" customHeight="1" x14ac:dyDescent="0.2"/>
    <row r="4671" ht="12.75" customHeight="1" x14ac:dyDescent="0.2"/>
    <row r="4672" ht="12.75" customHeight="1" x14ac:dyDescent="0.2"/>
    <row r="4673" ht="12.75" customHeight="1" x14ac:dyDescent="0.2"/>
    <row r="4674" ht="12.75" customHeight="1" x14ac:dyDescent="0.2"/>
    <row r="4675" ht="12.75" customHeight="1" x14ac:dyDescent="0.2"/>
    <row r="4676" ht="12.75" customHeight="1" x14ac:dyDescent="0.2"/>
    <row r="4677" ht="12.75" customHeight="1" x14ac:dyDescent="0.2"/>
    <row r="4678" ht="12.75" customHeight="1" x14ac:dyDescent="0.2"/>
    <row r="4679" ht="12.75" customHeight="1" x14ac:dyDescent="0.2"/>
    <row r="4680" ht="12.75" customHeight="1" x14ac:dyDescent="0.2"/>
    <row r="4681" ht="12.75" customHeight="1" x14ac:dyDescent="0.2"/>
    <row r="4682" ht="12.75" customHeight="1" x14ac:dyDescent="0.2"/>
    <row r="4683" ht="12.75" customHeight="1" x14ac:dyDescent="0.2"/>
    <row r="4684" ht="12.75" customHeight="1" x14ac:dyDescent="0.2"/>
    <row r="4685" ht="12.75" customHeight="1" x14ac:dyDescent="0.2"/>
    <row r="4686" ht="12.75" customHeight="1" x14ac:dyDescent="0.2"/>
    <row r="4687" ht="12.75" customHeight="1" x14ac:dyDescent="0.2"/>
    <row r="4688" ht="12.75" customHeight="1" x14ac:dyDescent="0.2"/>
    <row r="4689" ht="12.75" customHeight="1" x14ac:dyDescent="0.2"/>
    <row r="4690" ht="12.75" customHeight="1" x14ac:dyDescent="0.2"/>
    <row r="4691" ht="12.75" customHeight="1" x14ac:dyDescent="0.2"/>
    <row r="4692" ht="12.75" customHeight="1" x14ac:dyDescent="0.2"/>
    <row r="4693" ht="12.75" customHeight="1" x14ac:dyDescent="0.2"/>
    <row r="4694" ht="12.75" customHeight="1" x14ac:dyDescent="0.2"/>
    <row r="4695" ht="12.75" customHeight="1" x14ac:dyDescent="0.2"/>
    <row r="4696" ht="12.75" customHeight="1" x14ac:dyDescent="0.2"/>
    <row r="4697" ht="12.75" customHeight="1" x14ac:dyDescent="0.2"/>
    <row r="4698" ht="12.75" customHeight="1" x14ac:dyDescent="0.2"/>
    <row r="4699" ht="12.75" customHeight="1" x14ac:dyDescent="0.2"/>
    <row r="4700" ht="12.75" customHeight="1" x14ac:dyDescent="0.2"/>
    <row r="4701" ht="12.75" customHeight="1" x14ac:dyDescent="0.2"/>
    <row r="4702" ht="12.75" customHeight="1" x14ac:dyDescent="0.2"/>
    <row r="4703" ht="12.75" customHeight="1" x14ac:dyDescent="0.2"/>
    <row r="4704" ht="12.75" customHeight="1" x14ac:dyDescent="0.2"/>
    <row r="4705" ht="12.75" customHeight="1" x14ac:dyDescent="0.2"/>
    <row r="4706" ht="12.75" customHeight="1" x14ac:dyDescent="0.2"/>
    <row r="4707" ht="12.75" customHeight="1" x14ac:dyDescent="0.2"/>
    <row r="4708" ht="12.75" customHeight="1" x14ac:dyDescent="0.2"/>
    <row r="4709" ht="12.75" customHeight="1" x14ac:dyDescent="0.2"/>
    <row r="4710" ht="12.75" customHeight="1" x14ac:dyDescent="0.2"/>
    <row r="4711" ht="12.75" customHeight="1" x14ac:dyDescent="0.2"/>
    <row r="4712" ht="12.75" customHeight="1" x14ac:dyDescent="0.2"/>
    <row r="4713" ht="12.75" customHeight="1" x14ac:dyDescent="0.2"/>
    <row r="4714" ht="12.75" customHeight="1" x14ac:dyDescent="0.2"/>
    <row r="4715" ht="12.75" customHeight="1" x14ac:dyDescent="0.2"/>
    <row r="4716" ht="12.75" customHeight="1" x14ac:dyDescent="0.2"/>
    <row r="4717" ht="12.75" customHeight="1" x14ac:dyDescent="0.2"/>
    <row r="4718" ht="12.75" customHeight="1" x14ac:dyDescent="0.2"/>
    <row r="4719" ht="12.75" customHeight="1" x14ac:dyDescent="0.2"/>
    <row r="4720" ht="12.75" customHeight="1" x14ac:dyDescent="0.2"/>
    <row r="4721" ht="12.75" customHeight="1" x14ac:dyDescent="0.2"/>
    <row r="4722" ht="12.75" customHeight="1" x14ac:dyDescent="0.2"/>
    <row r="4723" ht="12.75" customHeight="1" x14ac:dyDescent="0.2"/>
    <row r="4724" ht="12.75" customHeight="1" x14ac:dyDescent="0.2"/>
    <row r="4725" ht="12.75" customHeight="1" x14ac:dyDescent="0.2"/>
    <row r="4726" ht="12.75" customHeight="1" x14ac:dyDescent="0.2"/>
    <row r="4727" ht="12.75" customHeight="1" x14ac:dyDescent="0.2"/>
    <row r="4728" ht="12.75" customHeight="1" x14ac:dyDescent="0.2"/>
    <row r="4729" ht="12.75" customHeight="1" x14ac:dyDescent="0.2"/>
    <row r="4730" ht="12.75" customHeight="1" x14ac:dyDescent="0.2"/>
    <row r="4731" ht="12.75" customHeight="1" x14ac:dyDescent="0.2"/>
    <row r="4732" ht="12.75" customHeight="1" x14ac:dyDescent="0.2"/>
    <row r="4733" ht="12.75" customHeight="1" x14ac:dyDescent="0.2"/>
    <row r="4734" ht="12.75" customHeight="1" x14ac:dyDescent="0.2"/>
    <row r="4735" ht="12.75" customHeight="1" x14ac:dyDescent="0.2"/>
    <row r="4736" ht="12.75" customHeight="1" x14ac:dyDescent="0.2"/>
    <row r="4737" ht="12.75" customHeight="1" x14ac:dyDescent="0.2"/>
    <row r="4738" ht="12.75" customHeight="1" x14ac:dyDescent="0.2"/>
    <row r="4739" ht="12.75" customHeight="1" x14ac:dyDescent="0.2"/>
    <row r="4740" ht="12.75" customHeight="1" x14ac:dyDescent="0.2"/>
    <row r="4741" ht="12.75" customHeight="1" x14ac:dyDescent="0.2"/>
    <row r="4742" ht="12.75" customHeight="1" x14ac:dyDescent="0.2"/>
    <row r="4743" ht="12.75" customHeight="1" x14ac:dyDescent="0.2"/>
    <row r="4744" ht="12.75" customHeight="1" x14ac:dyDescent="0.2"/>
    <row r="4745" ht="12.75" customHeight="1" x14ac:dyDescent="0.2"/>
    <row r="4746" ht="12.75" customHeight="1" x14ac:dyDescent="0.2"/>
    <row r="4747" ht="12.75" customHeight="1" x14ac:dyDescent="0.2"/>
    <row r="4748" ht="12.75" customHeight="1" x14ac:dyDescent="0.2"/>
    <row r="4749" ht="12.75" customHeight="1" x14ac:dyDescent="0.2"/>
    <row r="4750" ht="12.75" customHeight="1" x14ac:dyDescent="0.2"/>
    <row r="4751" ht="12.75" customHeight="1" x14ac:dyDescent="0.2"/>
    <row r="4752" ht="12.75" customHeight="1" x14ac:dyDescent="0.2"/>
    <row r="4753" ht="12.75" customHeight="1" x14ac:dyDescent="0.2"/>
    <row r="4754" ht="12.75" customHeight="1" x14ac:dyDescent="0.2"/>
    <row r="4755" ht="12.75" customHeight="1" x14ac:dyDescent="0.2"/>
    <row r="4756" ht="12.75" customHeight="1" x14ac:dyDescent="0.2"/>
    <row r="4757" ht="12.75" customHeight="1" x14ac:dyDescent="0.2"/>
    <row r="4758" ht="12.75" customHeight="1" x14ac:dyDescent="0.2"/>
    <row r="4759" ht="12.75" customHeight="1" x14ac:dyDescent="0.2"/>
    <row r="4760" ht="12.75" customHeight="1" x14ac:dyDescent="0.2"/>
    <row r="4761" ht="12.75" customHeight="1" x14ac:dyDescent="0.2"/>
    <row r="4762" ht="12.75" customHeight="1" x14ac:dyDescent="0.2"/>
    <row r="4763" ht="12.75" customHeight="1" x14ac:dyDescent="0.2"/>
    <row r="4764" ht="12.75" customHeight="1" x14ac:dyDescent="0.2"/>
    <row r="4765" ht="12.75" customHeight="1" x14ac:dyDescent="0.2"/>
    <row r="4766" ht="12.75" customHeight="1" x14ac:dyDescent="0.2"/>
    <row r="4767" ht="12.75" customHeight="1" x14ac:dyDescent="0.2"/>
    <row r="4768" ht="12.75" customHeight="1" x14ac:dyDescent="0.2"/>
    <row r="4769" ht="12.75" customHeight="1" x14ac:dyDescent="0.2"/>
    <row r="4770" ht="12.75" customHeight="1" x14ac:dyDescent="0.2"/>
    <row r="4771" ht="12.75" customHeight="1" x14ac:dyDescent="0.2"/>
    <row r="4772" ht="12.75" customHeight="1" x14ac:dyDescent="0.2"/>
    <row r="4773" ht="12.75" customHeight="1" x14ac:dyDescent="0.2"/>
    <row r="4774" ht="12.75" customHeight="1" x14ac:dyDescent="0.2"/>
    <row r="4775" ht="12.75" customHeight="1" x14ac:dyDescent="0.2"/>
    <row r="4776" ht="12.75" customHeight="1" x14ac:dyDescent="0.2"/>
    <row r="4777" ht="12.75" customHeight="1" x14ac:dyDescent="0.2"/>
    <row r="4778" ht="12.75" customHeight="1" x14ac:dyDescent="0.2"/>
    <row r="4779" ht="12.75" customHeight="1" x14ac:dyDescent="0.2"/>
    <row r="4780" ht="12.75" customHeight="1" x14ac:dyDescent="0.2"/>
    <row r="4781" ht="12.75" customHeight="1" x14ac:dyDescent="0.2"/>
    <row r="4782" ht="12.75" customHeight="1" x14ac:dyDescent="0.2"/>
    <row r="4783" ht="12.75" customHeight="1" x14ac:dyDescent="0.2"/>
    <row r="4784" ht="12.75" customHeight="1" x14ac:dyDescent="0.2"/>
    <row r="4785" ht="12.75" customHeight="1" x14ac:dyDescent="0.2"/>
    <row r="4786" ht="12.75" customHeight="1" x14ac:dyDescent="0.2"/>
    <row r="4787" ht="12.75" customHeight="1" x14ac:dyDescent="0.2"/>
    <row r="4788" ht="12.75" customHeight="1" x14ac:dyDescent="0.2"/>
    <row r="4789" ht="12.75" customHeight="1" x14ac:dyDescent="0.2"/>
    <row r="4790" ht="12.75" customHeight="1" x14ac:dyDescent="0.2"/>
    <row r="4791" ht="12.75" customHeight="1" x14ac:dyDescent="0.2"/>
    <row r="4792" ht="12.75" customHeight="1" x14ac:dyDescent="0.2"/>
    <row r="4793" ht="12.75" customHeight="1" x14ac:dyDescent="0.2"/>
    <row r="4794" ht="12.75" customHeight="1" x14ac:dyDescent="0.2"/>
    <row r="4795" ht="12.75" customHeight="1" x14ac:dyDescent="0.2"/>
    <row r="4796" ht="12.75" customHeight="1" x14ac:dyDescent="0.2"/>
    <row r="4797" ht="12.75" customHeight="1" x14ac:dyDescent="0.2"/>
    <row r="4798" ht="12.75" customHeight="1" x14ac:dyDescent="0.2"/>
    <row r="4799" ht="12.75" customHeight="1" x14ac:dyDescent="0.2"/>
    <row r="4800" ht="12.75" customHeight="1" x14ac:dyDescent="0.2"/>
    <row r="4801" ht="12.75" customHeight="1" x14ac:dyDescent="0.2"/>
    <row r="4802" ht="12.75" customHeight="1" x14ac:dyDescent="0.2"/>
    <row r="4803" ht="12.75" customHeight="1" x14ac:dyDescent="0.2"/>
    <row r="4804" ht="12.75" customHeight="1" x14ac:dyDescent="0.2"/>
    <row r="4805" ht="12.75" customHeight="1" x14ac:dyDescent="0.2"/>
    <row r="4806" ht="12.75" customHeight="1" x14ac:dyDescent="0.2"/>
    <row r="4807" ht="12.75" customHeight="1" x14ac:dyDescent="0.2"/>
    <row r="4808" ht="12.75" customHeight="1" x14ac:dyDescent="0.2"/>
    <row r="4809" ht="12.75" customHeight="1" x14ac:dyDescent="0.2"/>
    <row r="4810" ht="12.75" customHeight="1" x14ac:dyDescent="0.2"/>
    <row r="4811" ht="12.75" customHeight="1" x14ac:dyDescent="0.2"/>
    <row r="4812" ht="12.75" customHeight="1" x14ac:dyDescent="0.2"/>
    <row r="4813" ht="12.75" customHeight="1" x14ac:dyDescent="0.2"/>
    <row r="4814" ht="12.75" customHeight="1" x14ac:dyDescent="0.2"/>
    <row r="4815" ht="12.75" customHeight="1" x14ac:dyDescent="0.2"/>
    <row r="4816" ht="12.75" customHeight="1" x14ac:dyDescent="0.2"/>
    <row r="4817" ht="12.75" customHeight="1" x14ac:dyDescent="0.2"/>
    <row r="4818" ht="12.75" customHeight="1" x14ac:dyDescent="0.2"/>
    <row r="4819" ht="12.75" customHeight="1" x14ac:dyDescent="0.2"/>
    <row r="4820" ht="12.75" customHeight="1" x14ac:dyDescent="0.2"/>
    <row r="4821" ht="12.75" customHeight="1" x14ac:dyDescent="0.2"/>
    <row r="4822" ht="12.75" customHeight="1" x14ac:dyDescent="0.2"/>
    <row r="4823" ht="12.75" customHeight="1" x14ac:dyDescent="0.2"/>
    <row r="4824" ht="12.75" customHeight="1" x14ac:dyDescent="0.2"/>
    <row r="4825" ht="12.75" customHeight="1" x14ac:dyDescent="0.2"/>
    <row r="4826" ht="12.75" customHeight="1" x14ac:dyDescent="0.2"/>
    <row r="4827" ht="12.75" customHeight="1" x14ac:dyDescent="0.2"/>
    <row r="4828" ht="12.75" customHeight="1" x14ac:dyDescent="0.2"/>
    <row r="4829" ht="12.75" customHeight="1" x14ac:dyDescent="0.2"/>
    <row r="4830" ht="12.75" customHeight="1" x14ac:dyDescent="0.2"/>
    <row r="4831" ht="12.75" customHeight="1" x14ac:dyDescent="0.2"/>
    <row r="4832" ht="12.75" customHeight="1" x14ac:dyDescent="0.2"/>
    <row r="4833" ht="12.75" customHeight="1" x14ac:dyDescent="0.2"/>
    <row r="4834" ht="12.75" customHeight="1" x14ac:dyDescent="0.2"/>
    <row r="4835" ht="12.75" customHeight="1" x14ac:dyDescent="0.2"/>
    <row r="4836" ht="12.75" customHeight="1" x14ac:dyDescent="0.2"/>
    <row r="4837" ht="12.75" customHeight="1" x14ac:dyDescent="0.2"/>
    <row r="4838" ht="12.75" customHeight="1" x14ac:dyDescent="0.2"/>
    <row r="4839" ht="12.75" customHeight="1" x14ac:dyDescent="0.2"/>
    <row r="4840" ht="12.75" customHeight="1" x14ac:dyDescent="0.2"/>
    <row r="4841" ht="12.75" customHeight="1" x14ac:dyDescent="0.2"/>
    <row r="4842" ht="12.75" customHeight="1" x14ac:dyDescent="0.2"/>
    <row r="4843" ht="12.75" customHeight="1" x14ac:dyDescent="0.2"/>
    <row r="4844" ht="12.75" customHeight="1" x14ac:dyDescent="0.2"/>
    <row r="4845" ht="12.75" customHeight="1" x14ac:dyDescent="0.2"/>
    <row r="4846" ht="12.75" customHeight="1" x14ac:dyDescent="0.2"/>
    <row r="4847" ht="12.75" customHeight="1" x14ac:dyDescent="0.2"/>
    <row r="4848" ht="12.75" customHeight="1" x14ac:dyDescent="0.2"/>
    <row r="4849" ht="12.75" customHeight="1" x14ac:dyDescent="0.2"/>
    <row r="4850" ht="12.75" customHeight="1" x14ac:dyDescent="0.2"/>
    <row r="4851" ht="12.75" customHeight="1" x14ac:dyDescent="0.2"/>
    <row r="4852" ht="12.75" customHeight="1" x14ac:dyDescent="0.2"/>
    <row r="4853" ht="12.75" customHeight="1" x14ac:dyDescent="0.2"/>
    <row r="4854" ht="12.75" customHeight="1" x14ac:dyDescent="0.2"/>
    <row r="4855" ht="12.75" customHeight="1" x14ac:dyDescent="0.2"/>
    <row r="4856" ht="12.75" customHeight="1" x14ac:dyDescent="0.2"/>
    <row r="4857" ht="12.75" customHeight="1" x14ac:dyDescent="0.2"/>
    <row r="4858" ht="12.75" customHeight="1" x14ac:dyDescent="0.2"/>
    <row r="4859" ht="12.75" customHeight="1" x14ac:dyDescent="0.2"/>
    <row r="4860" ht="12.75" customHeight="1" x14ac:dyDescent="0.2"/>
    <row r="4861" ht="12.75" customHeight="1" x14ac:dyDescent="0.2"/>
    <row r="4862" ht="12.75" customHeight="1" x14ac:dyDescent="0.2"/>
    <row r="4863" ht="12.75" customHeight="1" x14ac:dyDescent="0.2"/>
    <row r="4864" ht="12.75" customHeight="1" x14ac:dyDescent="0.2"/>
    <row r="4865" ht="12.75" customHeight="1" x14ac:dyDescent="0.2"/>
    <row r="4866" ht="12.75" customHeight="1" x14ac:dyDescent="0.2"/>
    <row r="4867" ht="12.75" customHeight="1" x14ac:dyDescent="0.2"/>
    <row r="4868" ht="12.75" customHeight="1" x14ac:dyDescent="0.2"/>
    <row r="4869" ht="12.75" customHeight="1" x14ac:dyDescent="0.2"/>
    <row r="4870" ht="12.75" customHeight="1" x14ac:dyDescent="0.2"/>
    <row r="4871" ht="12.75" customHeight="1" x14ac:dyDescent="0.2"/>
    <row r="4872" ht="12.75" customHeight="1" x14ac:dyDescent="0.2"/>
    <row r="4873" ht="12.75" customHeight="1" x14ac:dyDescent="0.2"/>
    <row r="4874" ht="12.75" customHeight="1" x14ac:dyDescent="0.2"/>
    <row r="4875" ht="12.75" customHeight="1" x14ac:dyDescent="0.2"/>
    <row r="4876" ht="12.75" customHeight="1" x14ac:dyDescent="0.2"/>
    <row r="4877" ht="12.75" customHeight="1" x14ac:dyDescent="0.2"/>
    <row r="4878" ht="12.75" customHeight="1" x14ac:dyDescent="0.2"/>
    <row r="4879" ht="12.75" customHeight="1" x14ac:dyDescent="0.2"/>
    <row r="4880" ht="12.75" customHeight="1" x14ac:dyDescent="0.2"/>
    <row r="4881" ht="12.75" customHeight="1" x14ac:dyDescent="0.2"/>
    <row r="4882" ht="12.75" customHeight="1" x14ac:dyDescent="0.2"/>
    <row r="4883" ht="12.75" customHeight="1" x14ac:dyDescent="0.2"/>
    <row r="4884" ht="12.75" customHeight="1" x14ac:dyDescent="0.2"/>
    <row r="4885" ht="12.75" customHeight="1" x14ac:dyDescent="0.2"/>
    <row r="4886" ht="12.75" customHeight="1" x14ac:dyDescent="0.2"/>
    <row r="4887" ht="12.75" customHeight="1" x14ac:dyDescent="0.2"/>
    <row r="4888" ht="12.75" customHeight="1" x14ac:dyDescent="0.2"/>
    <row r="4889" ht="12.75" customHeight="1" x14ac:dyDescent="0.2"/>
    <row r="4890" ht="12.75" customHeight="1" x14ac:dyDescent="0.2"/>
    <row r="4891" ht="12.75" customHeight="1" x14ac:dyDescent="0.2"/>
    <row r="4892" ht="12.75" customHeight="1" x14ac:dyDescent="0.2"/>
    <row r="4893" ht="12.75" customHeight="1" x14ac:dyDescent="0.2"/>
    <row r="4894" ht="12.75" customHeight="1" x14ac:dyDescent="0.2"/>
    <row r="4895" ht="12.75" customHeight="1" x14ac:dyDescent="0.2"/>
    <row r="4896" ht="12.75" customHeight="1" x14ac:dyDescent="0.2"/>
    <row r="4897" ht="12.75" customHeight="1" x14ac:dyDescent="0.2"/>
    <row r="4898" ht="12.75" customHeight="1" x14ac:dyDescent="0.2"/>
    <row r="4899" ht="12.75" customHeight="1" x14ac:dyDescent="0.2"/>
    <row r="4900" ht="12.75" customHeight="1" x14ac:dyDescent="0.2"/>
    <row r="4901" ht="12.75" customHeight="1" x14ac:dyDescent="0.2"/>
    <row r="4902" ht="12.75" customHeight="1" x14ac:dyDescent="0.2"/>
    <row r="4903" ht="12.75" customHeight="1" x14ac:dyDescent="0.2"/>
    <row r="4904" ht="12.75" customHeight="1" x14ac:dyDescent="0.2"/>
    <row r="4905" ht="12.75" customHeight="1" x14ac:dyDescent="0.2"/>
    <row r="4906" ht="12.75" customHeight="1" x14ac:dyDescent="0.2"/>
    <row r="4907" ht="12.75" customHeight="1" x14ac:dyDescent="0.2"/>
    <row r="4908" ht="12.75" customHeight="1" x14ac:dyDescent="0.2"/>
    <row r="4909" ht="12.75" customHeight="1" x14ac:dyDescent="0.2"/>
    <row r="4910" ht="12.75" customHeight="1" x14ac:dyDescent="0.2"/>
    <row r="4911" ht="12.75" customHeight="1" x14ac:dyDescent="0.2"/>
    <row r="4912" ht="12.75" customHeight="1" x14ac:dyDescent="0.2"/>
    <row r="4913" ht="12.75" customHeight="1" x14ac:dyDescent="0.2"/>
    <row r="4914" ht="12.75" customHeight="1" x14ac:dyDescent="0.2"/>
    <row r="4915" ht="12.75" customHeight="1" x14ac:dyDescent="0.2"/>
    <row r="4916" ht="12.75" customHeight="1" x14ac:dyDescent="0.2"/>
    <row r="4917" ht="12.75" customHeight="1" x14ac:dyDescent="0.2"/>
    <row r="4918" ht="12.75" customHeight="1" x14ac:dyDescent="0.2"/>
    <row r="4919" ht="12.75" customHeight="1" x14ac:dyDescent="0.2"/>
    <row r="4920" ht="12.75" customHeight="1" x14ac:dyDescent="0.2"/>
    <row r="4921" ht="12.75" customHeight="1" x14ac:dyDescent="0.2"/>
    <row r="4922" ht="12.75" customHeight="1" x14ac:dyDescent="0.2"/>
    <row r="4923" ht="12.75" customHeight="1" x14ac:dyDescent="0.2"/>
    <row r="4924" ht="12.75" customHeight="1" x14ac:dyDescent="0.2"/>
    <row r="4925" ht="12.75" customHeight="1" x14ac:dyDescent="0.2"/>
    <row r="4926" ht="12.75" customHeight="1" x14ac:dyDescent="0.2"/>
    <row r="4927" ht="12.75" customHeight="1" x14ac:dyDescent="0.2"/>
    <row r="4928" ht="12.75" customHeight="1" x14ac:dyDescent="0.2"/>
    <row r="4929" ht="12.75" customHeight="1" x14ac:dyDescent="0.2"/>
    <row r="4930" ht="12.75" customHeight="1" x14ac:dyDescent="0.2"/>
    <row r="4931" ht="12.75" customHeight="1" x14ac:dyDescent="0.2"/>
    <row r="4932" ht="12.75" customHeight="1" x14ac:dyDescent="0.2"/>
    <row r="4933" ht="12.75" customHeight="1" x14ac:dyDescent="0.2"/>
    <row r="4934" ht="12.75" customHeight="1" x14ac:dyDescent="0.2"/>
    <row r="4935" ht="12.75" customHeight="1" x14ac:dyDescent="0.2"/>
    <row r="4936" ht="12.75" customHeight="1" x14ac:dyDescent="0.2"/>
    <row r="4937" ht="12.75" customHeight="1" x14ac:dyDescent="0.2"/>
    <row r="4938" ht="12.75" customHeight="1" x14ac:dyDescent="0.2"/>
    <row r="4939" ht="12.75" customHeight="1" x14ac:dyDescent="0.2"/>
    <row r="4940" ht="12.75" customHeight="1" x14ac:dyDescent="0.2"/>
    <row r="4941" ht="12.75" customHeight="1" x14ac:dyDescent="0.2"/>
    <row r="4942" ht="12.75" customHeight="1" x14ac:dyDescent="0.2"/>
    <row r="4943" ht="12.75" customHeight="1" x14ac:dyDescent="0.2"/>
    <row r="4944" ht="12.75" customHeight="1" x14ac:dyDescent="0.2"/>
    <row r="4945" ht="12.75" customHeight="1" x14ac:dyDescent="0.2"/>
    <row r="4946" ht="12.75" customHeight="1" x14ac:dyDescent="0.2"/>
    <row r="4947" ht="12.75" customHeight="1" x14ac:dyDescent="0.2"/>
    <row r="4948" ht="12.75" customHeight="1" x14ac:dyDescent="0.2"/>
    <row r="4949" ht="12.75" customHeight="1" x14ac:dyDescent="0.2"/>
    <row r="4950" ht="12.75" customHeight="1" x14ac:dyDescent="0.2"/>
    <row r="4951" ht="12.75" customHeight="1" x14ac:dyDescent="0.2"/>
    <row r="4952" ht="12.75" customHeight="1" x14ac:dyDescent="0.2"/>
    <row r="4953" ht="12.75" customHeight="1" x14ac:dyDescent="0.2"/>
    <row r="4954" ht="12.75" customHeight="1" x14ac:dyDescent="0.2"/>
    <row r="4955" ht="12.75" customHeight="1" x14ac:dyDescent="0.2"/>
    <row r="4956" ht="12.75" customHeight="1" x14ac:dyDescent="0.2"/>
    <row r="4957" ht="12.75" customHeight="1" x14ac:dyDescent="0.2"/>
    <row r="4958" ht="12.75" customHeight="1" x14ac:dyDescent="0.2"/>
    <row r="4959" ht="12.75" customHeight="1" x14ac:dyDescent="0.2"/>
    <row r="4960" ht="12.75" customHeight="1" x14ac:dyDescent="0.2"/>
    <row r="4961" ht="12.75" customHeight="1" x14ac:dyDescent="0.2"/>
    <row r="4962" ht="12.75" customHeight="1" x14ac:dyDescent="0.2"/>
    <row r="4963" ht="12.75" customHeight="1" x14ac:dyDescent="0.2"/>
    <row r="4964" ht="12.75" customHeight="1" x14ac:dyDescent="0.2"/>
    <row r="4965" ht="12.75" customHeight="1" x14ac:dyDescent="0.2"/>
    <row r="4966" ht="12.75" customHeight="1" x14ac:dyDescent="0.2"/>
    <row r="4967" ht="12.75" customHeight="1" x14ac:dyDescent="0.2"/>
    <row r="4968" ht="12.75" customHeight="1" x14ac:dyDescent="0.2"/>
    <row r="4969" ht="12.75" customHeight="1" x14ac:dyDescent="0.2"/>
    <row r="4970" ht="12.75" customHeight="1" x14ac:dyDescent="0.2"/>
    <row r="4971" ht="12.75" customHeight="1" x14ac:dyDescent="0.2"/>
    <row r="4972" ht="12.75" customHeight="1" x14ac:dyDescent="0.2"/>
    <row r="4973" ht="12.75" customHeight="1" x14ac:dyDescent="0.2"/>
    <row r="4974" ht="12.75" customHeight="1" x14ac:dyDescent="0.2"/>
    <row r="4975" ht="12.75" customHeight="1" x14ac:dyDescent="0.2"/>
    <row r="4976" ht="12.75" customHeight="1" x14ac:dyDescent="0.2"/>
    <row r="4977" ht="12.75" customHeight="1" x14ac:dyDescent="0.2"/>
    <row r="4978" ht="12.75" customHeight="1" x14ac:dyDescent="0.2"/>
    <row r="4979" ht="12.75" customHeight="1" x14ac:dyDescent="0.2"/>
    <row r="4980" ht="12.75" customHeight="1" x14ac:dyDescent="0.2"/>
    <row r="4981" ht="12.75" customHeight="1" x14ac:dyDescent="0.2"/>
    <row r="4982" ht="12.75" customHeight="1" x14ac:dyDescent="0.2"/>
    <row r="4983" ht="12.75" customHeight="1" x14ac:dyDescent="0.2"/>
    <row r="4984" ht="12.75" customHeight="1" x14ac:dyDescent="0.2"/>
    <row r="4985" ht="12.75" customHeight="1" x14ac:dyDescent="0.2"/>
    <row r="4986" ht="12.75" customHeight="1" x14ac:dyDescent="0.2"/>
    <row r="4987" ht="12.75" customHeight="1" x14ac:dyDescent="0.2"/>
    <row r="4988" ht="12.75" customHeight="1" x14ac:dyDescent="0.2"/>
    <row r="4989" ht="12.75" customHeight="1" x14ac:dyDescent="0.2"/>
    <row r="4990" ht="12.75" customHeight="1" x14ac:dyDescent="0.2"/>
    <row r="4991" ht="12.75" customHeight="1" x14ac:dyDescent="0.2"/>
    <row r="4992" ht="12.75" customHeight="1" x14ac:dyDescent="0.2"/>
    <row r="4993" ht="12.75" customHeight="1" x14ac:dyDescent="0.2"/>
    <row r="4994" ht="12.75" customHeight="1" x14ac:dyDescent="0.2"/>
    <row r="4995" ht="12.75" customHeight="1" x14ac:dyDescent="0.2"/>
    <row r="4996" ht="12.75" customHeight="1" x14ac:dyDescent="0.2"/>
    <row r="4997" ht="12.75" customHeight="1" x14ac:dyDescent="0.2"/>
    <row r="4998" ht="12.75" customHeight="1" x14ac:dyDescent="0.2"/>
    <row r="4999" ht="12.75" customHeight="1" x14ac:dyDescent="0.2"/>
    <row r="5000" ht="12.75" customHeight="1" x14ac:dyDescent="0.2"/>
    <row r="5001" ht="12.75" customHeight="1" x14ac:dyDescent="0.2"/>
    <row r="5002" ht="12.75" customHeight="1" x14ac:dyDescent="0.2"/>
    <row r="5003" ht="12.75" customHeight="1" x14ac:dyDescent="0.2"/>
    <row r="5004" ht="12.75" customHeight="1" x14ac:dyDescent="0.2"/>
    <row r="5005" ht="12.75" customHeight="1" x14ac:dyDescent="0.2"/>
    <row r="5006" ht="12.75" customHeight="1" x14ac:dyDescent="0.2"/>
    <row r="5007" ht="12.75" customHeight="1" x14ac:dyDescent="0.2"/>
    <row r="5008" ht="12.75" customHeight="1" x14ac:dyDescent="0.2"/>
    <row r="5009" ht="12.75" customHeight="1" x14ac:dyDescent="0.2"/>
    <row r="5010" ht="12.75" customHeight="1" x14ac:dyDescent="0.2"/>
    <row r="5011" ht="12.75" customHeight="1" x14ac:dyDescent="0.2"/>
    <row r="5012" ht="12.75" customHeight="1" x14ac:dyDescent="0.2"/>
    <row r="5013" ht="12.75" customHeight="1" x14ac:dyDescent="0.2"/>
    <row r="5014" ht="12.75" customHeight="1" x14ac:dyDescent="0.2"/>
    <row r="5015" ht="12.75" customHeight="1" x14ac:dyDescent="0.2"/>
    <row r="5016" ht="12.75" customHeight="1" x14ac:dyDescent="0.2"/>
    <row r="5017" ht="12.75" customHeight="1" x14ac:dyDescent="0.2"/>
    <row r="5018" ht="12.75" customHeight="1" x14ac:dyDescent="0.2"/>
    <row r="5019" ht="12.75" customHeight="1" x14ac:dyDescent="0.2"/>
    <row r="5020" ht="12.75" customHeight="1" x14ac:dyDescent="0.2"/>
    <row r="5021" ht="12.75" customHeight="1" x14ac:dyDescent="0.2"/>
    <row r="5022" ht="12.75" customHeight="1" x14ac:dyDescent="0.2"/>
    <row r="5023" ht="12.75" customHeight="1" x14ac:dyDescent="0.2"/>
    <row r="5024" ht="12.75" customHeight="1" x14ac:dyDescent="0.2"/>
    <row r="5025" ht="12.75" customHeight="1" x14ac:dyDescent="0.2"/>
    <row r="5026" ht="12.75" customHeight="1" x14ac:dyDescent="0.2"/>
    <row r="5027" ht="12.75" customHeight="1" x14ac:dyDescent="0.2"/>
    <row r="5028" ht="12.75" customHeight="1" x14ac:dyDescent="0.2"/>
    <row r="5029" ht="12.75" customHeight="1" x14ac:dyDescent="0.2"/>
    <row r="5030" ht="12.75" customHeight="1" x14ac:dyDescent="0.2"/>
    <row r="5031" ht="12.75" customHeight="1" x14ac:dyDescent="0.2"/>
    <row r="5032" ht="12.75" customHeight="1" x14ac:dyDescent="0.2"/>
    <row r="5033" ht="12.75" customHeight="1" x14ac:dyDescent="0.2"/>
    <row r="5034" ht="12.75" customHeight="1" x14ac:dyDescent="0.2"/>
    <row r="5035" ht="12.75" customHeight="1" x14ac:dyDescent="0.2"/>
    <row r="5036" ht="12.75" customHeight="1" x14ac:dyDescent="0.2"/>
    <row r="5037" ht="12.75" customHeight="1" x14ac:dyDescent="0.2"/>
    <row r="5038" ht="12.75" customHeight="1" x14ac:dyDescent="0.2"/>
    <row r="5039" ht="12.75" customHeight="1" x14ac:dyDescent="0.2"/>
    <row r="5040" ht="12.75" customHeight="1" x14ac:dyDescent="0.2"/>
    <row r="5041" ht="12.75" customHeight="1" x14ac:dyDescent="0.2"/>
    <row r="5042" ht="12.75" customHeight="1" x14ac:dyDescent="0.2"/>
    <row r="5043" ht="12.75" customHeight="1" x14ac:dyDescent="0.2"/>
    <row r="5044" ht="12.75" customHeight="1" x14ac:dyDescent="0.2"/>
    <row r="5045" ht="12.75" customHeight="1" x14ac:dyDescent="0.2"/>
    <row r="5046" ht="12.75" customHeight="1" x14ac:dyDescent="0.2"/>
    <row r="5047" ht="12.75" customHeight="1" x14ac:dyDescent="0.2"/>
    <row r="5048" ht="12.75" customHeight="1" x14ac:dyDescent="0.2"/>
    <row r="5049" ht="12.75" customHeight="1" x14ac:dyDescent="0.2"/>
    <row r="5050" ht="12.75" customHeight="1" x14ac:dyDescent="0.2"/>
    <row r="5051" ht="12.75" customHeight="1" x14ac:dyDescent="0.2"/>
    <row r="5052" ht="12.75" customHeight="1" x14ac:dyDescent="0.2"/>
    <row r="5053" ht="12.75" customHeight="1" x14ac:dyDescent="0.2"/>
    <row r="5054" ht="12.75" customHeight="1" x14ac:dyDescent="0.2"/>
    <row r="5055" ht="12.75" customHeight="1" x14ac:dyDescent="0.2"/>
    <row r="5056" ht="12.75" customHeight="1" x14ac:dyDescent="0.2"/>
    <row r="5057" ht="12.75" customHeight="1" x14ac:dyDescent="0.2"/>
    <row r="5058" ht="12.75" customHeight="1" x14ac:dyDescent="0.2"/>
    <row r="5059" ht="12.75" customHeight="1" x14ac:dyDescent="0.2"/>
    <row r="5060" ht="12.75" customHeight="1" x14ac:dyDescent="0.2"/>
    <row r="5061" ht="12.75" customHeight="1" x14ac:dyDescent="0.2"/>
    <row r="5062" ht="12.75" customHeight="1" x14ac:dyDescent="0.2"/>
    <row r="5063" ht="12.75" customHeight="1" x14ac:dyDescent="0.2"/>
    <row r="5064" ht="12.75" customHeight="1" x14ac:dyDescent="0.2"/>
    <row r="5065" ht="12.75" customHeight="1" x14ac:dyDescent="0.2"/>
    <row r="5066" ht="12.75" customHeight="1" x14ac:dyDescent="0.2"/>
    <row r="5067" ht="12.75" customHeight="1" x14ac:dyDescent="0.2"/>
    <row r="5068" ht="12.75" customHeight="1" x14ac:dyDescent="0.2"/>
    <row r="5069" ht="12.75" customHeight="1" x14ac:dyDescent="0.2"/>
    <row r="5070" ht="12.75" customHeight="1" x14ac:dyDescent="0.2"/>
    <row r="5071" ht="12.75" customHeight="1" x14ac:dyDescent="0.2"/>
    <row r="5072" ht="12.75" customHeight="1" x14ac:dyDescent="0.2"/>
    <row r="5073" ht="12.75" customHeight="1" x14ac:dyDescent="0.2"/>
    <row r="5074" ht="12.75" customHeight="1" x14ac:dyDescent="0.2"/>
    <row r="5075" ht="12.75" customHeight="1" x14ac:dyDescent="0.2"/>
    <row r="5076" ht="12.75" customHeight="1" x14ac:dyDescent="0.2"/>
    <row r="5077" ht="12.75" customHeight="1" x14ac:dyDescent="0.2"/>
    <row r="5078" ht="12.75" customHeight="1" x14ac:dyDescent="0.2"/>
    <row r="5079" ht="12.75" customHeight="1" x14ac:dyDescent="0.2"/>
    <row r="5080" ht="12.75" customHeight="1" x14ac:dyDescent="0.2"/>
    <row r="5081" ht="12.75" customHeight="1" x14ac:dyDescent="0.2"/>
    <row r="5082" ht="12.75" customHeight="1" x14ac:dyDescent="0.2"/>
    <row r="5083" ht="12.75" customHeight="1" x14ac:dyDescent="0.2"/>
    <row r="5084" ht="12.75" customHeight="1" x14ac:dyDescent="0.2"/>
    <row r="5085" ht="12.75" customHeight="1" x14ac:dyDescent="0.2"/>
    <row r="5086" ht="12.75" customHeight="1" x14ac:dyDescent="0.2"/>
    <row r="5087" ht="12.75" customHeight="1" x14ac:dyDescent="0.2"/>
    <row r="5088" ht="12.75" customHeight="1" x14ac:dyDescent="0.2"/>
    <row r="5089" ht="12.75" customHeight="1" x14ac:dyDescent="0.2"/>
    <row r="5090" ht="12.75" customHeight="1" x14ac:dyDescent="0.2"/>
    <row r="5091" ht="12.75" customHeight="1" x14ac:dyDescent="0.2"/>
    <row r="5092" ht="12.75" customHeight="1" x14ac:dyDescent="0.2"/>
    <row r="5093" ht="12.75" customHeight="1" x14ac:dyDescent="0.2"/>
    <row r="5094" ht="12.75" customHeight="1" x14ac:dyDescent="0.2"/>
    <row r="5095" ht="12.75" customHeight="1" x14ac:dyDescent="0.2"/>
    <row r="5096" ht="12.75" customHeight="1" x14ac:dyDescent="0.2"/>
    <row r="5097" ht="12.75" customHeight="1" x14ac:dyDescent="0.2"/>
    <row r="5098" ht="12.75" customHeight="1" x14ac:dyDescent="0.2"/>
    <row r="5099" ht="12.75" customHeight="1" x14ac:dyDescent="0.2"/>
    <row r="5100" ht="12.75" customHeight="1" x14ac:dyDescent="0.2"/>
    <row r="5101" ht="12.75" customHeight="1" x14ac:dyDescent="0.2"/>
    <row r="5102" ht="12.75" customHeight="1" x14ac:dyDescent="0.2"/>
    <row r="5103" ht="12.75" customHeight="1" x14ac:dyDescent="0.2"/>
    <row r="5104" ht="12.75" customHeight="1" x14ac:dyDescent="0.2"/>
    <row r="5105" ht="12.75" customHeight="1" x14ac:dyDescent="0.2"/>
    <row r="5106" ht="12.75" customHeight="1" x14ac:dyDescent="0.2"/>
    <row r="5107" ht="12.75" customHeight="1" x14ac:dyDescent="0.2"/>
    <row r="5108" ht="12.75" customHeight="1" x14ac:dyDescent="0.2"/>
    <row r="5109" ht="12.75" customHeight="1" x14ac:dyDescent="0.2"/>
    <row r="5110" ht="12.75" customHeight="1" x14ac:dyDescent="0.2"/>
    <row r="5111" ht="12.75" customHeight="1" x14ac:dyDescent="0.2"/>
    <row r="5112" ht="12.75" customHeight="1" x14ac:dyDescent="0.2"/>
    <row r="5113" ht="12.75" customHeight="1" x14ac:dyDescent="0.2"/>
    <row r="5114" ht="12.75" customHeight="1" x14ac:dyDescent="0.2"/>
    <row r="5115" ht="12.75" customHeight="1" x14ac:dyDescent="0.2"/>
    <row r="5116" ht="12.75" customHeight="1" x14ac:dyDescent="0.2"/>
    <row r="5117" ht="12.75" customHeight="1" x14ac:dyDescent="0.2"/>
    <row r="5118" ht="12.75" customHeight="1" x14ac:dyDescent="0.2"/>
    <row r="5119" ht="12.75" customHeight="1" x14ac:dyDescent="0.2"/>
    <row r="5120" ht="12.75" customHeight="1" x14ac:dyDescent="0.2"/>
    <row r="5121" ht="12.75" customHeight="1" x14ac:dyDescent="0.2"/>
    <row r="5122" ht="12.75" customHeight="1" x14ac:dyDescent="0.2"/>
    <row r="5123" ht="12.75" customHeight="1" x14ac:dyDescent="0.2"/>
    <row r="5124" ht="12.75" customHeight="1" x14ac:dyDescent="0.2"/>
    <row r="5125" ht="12.75" customHeight="1" x14ac:dyDescent="0.2"/>
    <row r="5126" ht="12.75" customHeight="1" x14ac:dyDescent="0.2"/>
    <row r="5127" ht="12.75" customHeight="1" x14ac:dyDescent="0.2"/>
    <row r="5128" ht="12.75" customHeight="1" x14ac:dyDescent="0.2"/>
    <row r="5129" ht="12.75" customHeight="1" x14ac:dyDescent="0.2"/>
    <row r="5130" ht="12.75" customHeight="1" x14ac:dyDescent="0.2"/>
    <row r="5131" ht="12.75" customHeight="1" x14ac:dyDescent="0.2"/>
    <row r="5132" ht="12.75" customHeight="1" x14ac:dyDescent="0.2"/>
    <row r="5133" ht="12.75" customHeight="1" x14ac:dyDescent="0.2"/>
    <row r="5134" ht="12.75" customHeight="1" x14ac:dyDescent="0.2"/>
    <row r="5135" ht="12.75" customHeight="1" x14ac:dyDescent="0.2"/>
    <row r="5136" ht="12.75" customHeight="1" x14ac:dyDescent="0.2"/>
    <row r="5137" ht="12.75" customHeight="1" x14ac:dyDescent="0.2"/>
    <row r="5138" ht="12.75" customHeight="1" x14ac:dyDescent="0.2"/>
    <row r="5139" ht="12.75" customHeight="1" x14ac:dyDescent="0.2"/>
    <row r="5140" ht="12.75" customHeight="1" x14ac:dyDescent="0.2"/>
    <row r="5141" ht="12.75" customHeight="1" x14ac:dyDescent="0.2"/>
    <row r="5142" ht="12.75" customHeight="1" x14ac:dyDescent="0.2"/>
    <row r="5143" ht="12.75" customHeight="1" x14ac:dyDescent="0.2"/>
    <row r="5144" ht="12.75" customHeight="1" x14ac:dyDescent="0.2"/>
    <row r="5145" ht="12.75" customHeight="1" x14ac:dyDescent="0.2"/>
    <row r="5146" ht="12.75" customHeight="1" x14ac:dyDescent="0.2"/>
    <row r="5147" ht="12.75" customHeight="1" x14ac:dyDescent="0.2"/>
    <row r="5148" ht="12.75" customHeight="1" x14ac:dyDescent="0.2"/>
    <row r="5149" ht="12.75" customHeight="1" x14ac:dyDescent="0.2"/>
    <row r="5150" ht="12.75" customHeight="1" x14ac:dyDescent="0.2"/>
    <row r="5151" ht="12.75" customHeight="1" x14ac:dyDescent="0.2"/>
    <row r="5152" ht="12.75" customHeight="1" x14ac:dyDescent="0.2"/>
    <row r="5153" ht="12.75" customHeight="1" x14ac:dyDescent="0.2"/>
    <row r="5154" ht="12.75" customHeight="1" x14ac:dyDescent="0.2"/>
    <row r="5155" ht="12.75" customHeight="1" x14ac:dyDescent="0.2"/>
    <row r="5156" ht="12.75" customHeight="1" x14ac:dyDescent="0.2"/>
    <row r="5157" ht="12.75" customHeight="1" x14ac:dyDescent="0.2"/>
    <row r="5158" ht="12.75" customHeight="1" x14ac:dyDescent="0.2"/>
    <row r="5159" ht="12.75" customHeight="1" x14ac:dyDescent="0.2"/>
    <row r="5160" ht="12.75" customHeight="1" x14ac:dyDescent="0.2"/>
    <row r="5161" ht="12.75" customHeight="1" x14ac:dyDescent="0.2"/>
    <row r="5162" ht="12.75" customHeight="1" x14ac:dyDescent="0.2"/>
    <row r="5163" ht="12.75" customHeight="1" x14ac:dyDescent="0.2"/>
    <row r="5164" ht="12.75" customHeight="1" x14ac:dyDescent="0.2"/>
    <row r="5165" ht="12.75" customHeight="1" x14ac:dyDescent="0.2"/>
    <row r="5166" ht="12.75" customHeight="1" x14ac:dyDescent="0.2"/>
    <row r="5167" ht="12.75" customHeight="1" x14ac:dyDescent="0.2"/>
    <row r="5168" ht="12.75" customHeight="1" x14ac:dyDescent="0.2"/>
    <row r="5169" ht="12.75" customHeight="1" x14ac:dyDescent="0.2"/>
    <row r="5170" ht="12.75" customHeight="1" x14ac:dyDescent="0.2"/>
    <row r="5171" ht="12.75" customHeight="1" x14ac:dyDescent="0.2"/>
    <row r="5172" ht="12.75" customHeight="1" x14ac:dyDescent="0.2"/>
    <row r="5173" ht="12.75" customHeight="1" x14ac:dyDescent="0.2"/>
    <row r="5174" ht="12.75" customHeight="1" x14ac:dyDescent="0.2"/>
    <row r="5175" ht="12.75" customHeight="1" x14ac:dyDescent="0.2"/>
    <row r="5176" ht="12.75" customHeight="1" x14ac:dyDescent="0.2"/>
    <row r="5177" ht="12.75" customHeight="1" x14ac:dyDescent="0.2"/>
    <row r="5178" ht="12.75" customHeight="1" x14ac:dyDescent="0.2"/>
    <row r="5179" ht="12.75" customHeight="1" x14ac:dyDescent="0.2"/>
    <row r="5180" ht="12.75" customHeight="1" x14ac:dyDescent="0.2"/>
    <row r="5181" ht="12.75" customHeight="1" x14ac:dyDescent="0.2"/>
    <row r="5182" ht="12.75" customHeight="1" x14ac:dyDescent="0.2"/>
    <row r="5183" ht="12.75" customHeight="1" x14ac:dyDescent="0.2"/>
    <row r="5184" ht="12.75" customHeight="1" x14ac:dyDescent="0.2"/>
    <row r="5185" ht="12.75" customHeight="1" x14ac:dyDescent="0.2"/>
    <row r="5186" ht="12.75" customHeight="1" x14ac:dyDescent="0.2"/>
    <row r="5187" ht="12.75" customHeight="1" x14ac:dyDescent="0.2"/>
    <row r="5188" ht="12.75" customHeight="1" x14ac:dyDescent="0.2"/>
    <row r="5189" ht="12.75" customHeight="1" x14ac:dyDescent="0.2"/>
    <row r="5190" ht="12.75" customHeight="1" x14ac:dyDescent="0.2"/>
    <row r="5191" ht="12.75" customHeight="1" x14ac:dyDescent="0.2"/>
    <row r="5192" ht="12.75" customHeight="1" x14ac:dyDescent="0.2"/>
    <row r="5193" ht="12.75" customHeight="1" x14ac:dyDescent="0.2"/>
    <row r="5194" ht="12.75" customHeight="1" x14ac:dyDescent="0.2"/>
    <row r="5195" ht="12.75" customHeight="1" x14ac:dyDescent="0.2"/>
    <row r="5196" ht="12.75" customHeight="1" x14ac:dyDescent="0.2"/>
    <row r="5197" ht="12.75" customHeight="1" x14ac:dyDescent="0.2"/>
    <row r="5198" ht="12.75" customHeight="1" x14ac:dyDescent="0.2"/>
    <row r="5199" ht="12.75" customHeight="1" x14ac:dyDescent="0.2"/>
    <row r="5200" ht="12.75" customHeight="1" x14ac:dyDescent="0.2"/>
    <row r="5201" ht="12.75" customHeight="1" x14ac:dyDescent="0.2"/>
    <row r="5202" ht="12.75" customHeight="1" x14ac:dyDescent="0.2"/>
    <row r="5203" ht="12.75" customHeight="1" x14ac:dyDescent="0.2"/>
    <row r="5204" ht="12.75" customHeight="1" x14ac:dyDescent="0.2"/>
    <row r="5205" ht="12.75" customHeight="1" x14ac:dyDescent="0.2"/>
    <row r="5206" ht="12.75" customHeight="1" x14ac:dyDescent="0.2"/>
    <row r="5207" ht="12.75" customHeight="1" x14ac:dyDescent="0.2"/>
    <row r="5208" ht="12.75" customHeight="1" x14ac:dyDescent="0.2"/>
    <row r="5209" ht="12.75" customHeight="1" x14ac:dyDescent="0.2"/>
    <row r="5210" ht="12.75" customHeight="1" x14ac:dyDescent="0.2"/>
    <row r="5211" ht="12.75" customHeight="1" x14ac:dyDescent="0.2"/>
    <row r="5212" ht="12.75" customHeight="1" x14ac:dyDescent="0.2"/>
    <row r="5213" ht="12.75" customHeight="1" x14ac:dyDescent="0.2"/>
    <row r="5214" ht="12.75" customHeight="1" x14ac:dyDescent="0.2"/>
    <row r="5215" ht="12.75" customHeight="1" x14ac:dyDescent="0.2"/>
    <row r="5216" ht="12.75" customHeight="1" x14ac:dyDescent="0.2"/>
    <row r="5217" ht="12.75" customHeight="1" x14ac:dyDescent="0.2"/>
    <row r="5218" ht="12.75" customHeight="1" x14ac:dyDescent="0.2"/>
    <row r="5219" ht="12.75" customHeight="1" x14ac:dyDescent="0.2"/>
    <row r="5220" ht="12.75" customHeight="1" x14ac:dyDescent="0.2"/>
    <row r="5221" ht="12.75" customHeight="1" x14ac:dyDescent="0.2"/>
    <row r="5222" ht="12.75" customHeight="1" x14ac:dyDescent="0.2"/>
    <row r="5223" ht="12.75" customHeight="1" x14ac:dyDescent="0.2"/>
    <row r="5224" ht="12.75" customHeight="1" x14ac:dyDescent="0.2"/>
    <row r="5225" ht="12.75" customHeight="1" x14ac:dyDescent="0.2"/>
    <row r="5226" ht="12.75" customHeight="1" x14ac:dyDescent="0.2"/>
    <row r="5227" ht="12.75" customHeight="1" x14ac:dyDescent="0.2"/>
    <row r="5228" ht="12.75" customHeight="1" x14ac:dyDescent="0.2"/>
    <row r="5229" ht="12.75" customHeight="1" x14ac:dyDescent="0.2"/>
    <row r="5230" ht="12.75" customHeight="1" x14ac:dyDescent="0.2"/>
    <row r="5231" ht="12.75" customHeight="1" x14ac:dyDescent="0.2"/>
    <row r="5232" ht="12.75" customHeight="1" x14ac:dyDescent="0.2"/>
    <row r="5233" ht="12.75" customHeight="1" x14ac:dyDescent="0.2"/>
    <row r="5234" ht="12.75" customHeight="1" x14ac:dyDescent="0.2"/>
    <row r="5235" ht="12.75" customHeight="1" x14ac:dyDescent="0.2"/>
    <row r="5236" ht="12.75" customHeight="1" x14ac:dyDescent="0.2"/>
    <row r="5237" ht="12.75" customHeight="1" x14ac:dyDescent="0.2"/>
    <row r="5238" ht="12.75" customHeight="1" x14ac:dyDescent="0.2"/>
    <row r="5239" ht="12.75" customHeight="1" x14ac:dyDescent="0.2"/>
    <row r="5240" ht="12.75" customHeight="1" x14ac:dyDescent="0.2"/>
    <row r="5241" ht="12.75" customHeight="1" x14ac:dyDescent="0.2"/>
    <row r="5242" ht="12.75" customHeight="1" x14ac:dyDescent="0.2"/>
    <row r="5243" ht="12.75" customHeight="1" x14ac:dyDescent="0.2"/>
    <row r="5244" ht="12.75" customHeight="1" x14ac:dyDescent="0.2"/>
    <row r="5245" ht="12.75" customHeight="1" x14ac:dyDescent="0.2"/>
    <row r="5246" ht="12.75" customHeight="1" x14ac:dyDescent="0.2"/>
    <row r="5247" ht="12.75" customHeight="1" x14ac:dyDescent="0.2"/>
    <row r="5248" ht="12.75" customHeight="1" x14ac:dyDescent="0.2"/>
    <row r="5249" ht="12.75" customHeight="1" x14ac:dyDescent="0.2"/>
    <row r="5250" ht="12.75" customHeight="1" x14ac:dyDescent="0.2"/>
    <row r="5251" ht="12.75" customHeight="1" x14ac:dyDescent="0.2"/>
    <row r="5252" ht="12.75" customHeight="1" x14ac:dyDescent="0.2"/>
    <row r="5253" ht="12.75" customHeight="1" x14ac:dyDescent="0.2"/>
    <row r="5254" ht="12.75" customHeight="1" x14ac:dyDescent="0.2"/>
    <row r="5255" ht="12.75" customHeight="1" x14ac:dyDescent="0.2"/>
    <row r="5256" ht="12.75" customHeight="1" x14ac:dyDescent="0.2"/>
    <row r="5257" ht="12.75" customHeight="1" x14ac:dyDescent="0.2"/>
    <row r="5258" ht="12.75" customHeight="1" x14ac:dyDescent="0.2"/>
    <row r="5259" ht="12.75" customHeight="1" x14ac:dyDescent="0.2"/>
    <row r="5260" ht="12.75" customHeight="1" x14ac:dyDescent="0.2"/>
    <row r="5261" ht="12.75" customHeight="1" x14ac:dyDescent="0.2"/>
    <row r="5262" ht="12.75" customHeight="1" x14ac:dyDescent="0.2"/>
    <row r="5263" ht="12.75" customHeight="1" x14ac:dyDescent="0.2"/>
    <row r="5264" ht="12.75" customHeight="1" x14ac:dyDescent="0.2"/>
    <row r="5265" ht="12.75" customHeight="1" x14ac:dyDescent="0.2"/>
    <row r="5266" ht="12.75" customHeight="1" x14ac:dyDescent="0.2"/>
    <row r="5267" ht="12.75" customHeight="1" x14ac:dyDescent="0.2"/>
    <row r="5268" ht="12.75" customHeight="1" x14ac:dyDescent="0.2"/>
    <row r="5269" ht="12.75" customHeight="1" x14ac:dyDescent="0.2"/>
    <row r="5270" ht="12.75" customHeight="1" x14ac:dyDescent="0.2"/>
    <row r="5271" ht="12.75" customHeight="1" x14ac:dyDescent="0.2"/>
    <row r="5272" ht="12.75" customHeight="1" x14ac:dyDescent="0.2"/>
    <row r="5273" ht="12.75" customHeight="1" x14ac:dyDescent="0.2"/>
    <row r="5274" ht="12.75" customHeight="1" x14ac:dyDescent="0.2"/>
    <row r="5275" ht="12.75" customHeight="1" x14ac:dyDescent="0.2"/>
    <row r="5276" ht="12.75" customHeight="1" x14ac:dyDescent="0.2"/>
    <row r="5277" ht="12.75" customHeight="1" x14ac:dyDescent="0.2"/>
    <row r="5278" ht="12.75" customHeight="1" x14ac:dyDescent="0.2"/>
    <row r="5279" ht="12.75" customHeight="1" x14ac:dyDescent="0.2"/>
    <row r="5280" ht="12.75" customHeight="1" x14ac:dyDescent="0.2"/>
    <row r="5281" ht="12.75" customHeight="1" x14ac:dyDescent="0.2"/>
    <row r="5282" ht="12.75" customHeight="1" x14ac:dyDescent="0.2"/>
    <row r="5283" ht="12.75" customHeight="1" x14ac:dyDescent="0.2"/>
    <row r="5284" ht="12.75" customHeight="1" x14ac:dyDescent="0.2"/>
    <row r="5285" ht="12.75" customHeight="1" x14ac:dyDescent="0.2"/>
    <row r="5286" ht="12.75" customHeight="1" x14ac:dyDescent="0.2"/>
    <row r="5287" ht="12.75" customHeight="1" x14ac:dyDescent="0.2"/>
    <row r="5288" ht="12.75" customHeight="1" x14ac:dyDescent="0.2"/>
    <row r="5289" ht="12.75" customHeight="1" x14ac:dyDescent="0.2"/>
    <row r="5290" ht="12.75" customHeight="1" x14ac:dyDescent="0.2"/>
    <row r="5291" ht="12.75" customHeight="1" x14ac:dyDescent="0.2"/>
    <row r="5292" ht="12.75" customHeight="1" x14ac:dyDescent="0.2"/>
    <row r="5293" ht="12.75" customHeight="1" x14ac:dyDescent="0.2"/>
    <row r="5294" ht="12.75" customHeight="1" x14ac:dyDescent="0.2"/>
    <row r="5295" ht="12.75" customHeight="1" x14ac:dyDescent="0.2"/>
    <row r="5296" ht="12.75" customHeight="1" x14ac:dyDescent="0.2"/>
    <row r="5297" ht="12.75" customHeight="1" x14ac:dyDescent="0.2"/>
    <row r="5298" ht="12.75" customHeight="1" x14ac:dyDescent="0.2"/>
    <row r="5299" ht="12.75" customHeight="1" x14ac:dyDescent="0.2"/>
    <row r="5300" ht="12.75" customHeight="1" x14ac:dyDescent="0.2"/>
    <row r="5301" ht="12.75" customHeight="1" x14ac:dyDescent="0.2"/>
    <row r="5302" ht="12.75" customHeight="1" x14ac:dyDescent="0.2"/>
    <row r="5303" ht="12.75" customHeight="1" x14ac:dyDescent="0.2"/>
    <row r="5304" ht="12.75" customHeight="1" x14ac:dyDescent="0.2"/>
    <row r="5305" ht="12.75" customHeight="1" x14ac:dyDescent="0.2"/>
    <row r="5306" ht="12.75" customHeight="1" x14ac:dyDescent="0.2"/>
    <row r="5307" ht="12.75" customHeight="1" x14ac:dyDescent="0.2"/>
    <row r="5308" ht="12.75" customHeight="1" x14ac:dyDescent="0.2"/>
    <row r="5309" ht="12.75" customHeight="1" x14ac:dyDescent="0.2"/>
    <row r="5310" ht="12.75" customHeight="1" x14ac:dyDescent="0.2"/>
    <row r="5311" ht="12.75" customHeight="1" x14ac:dyDescent="0.2"/>
    <row r="5312" ht="12.75" customHeight="1" x14ac:dyDescent="0.2"/>
    <row r="5313" ht="12.75" customHeight="1" x14ac:dyDescent="0.2"/>
    <row r="5314" ht="12.75" customHeight="1" x14ac:dyDescent="0.2"/>
    <row r="5315" ht="12.75" customHeight="1" x14ac:dyDescent="0.2"/>
    <row r="5316" ht="12.75" customHeight="1" x14ac:dyDescent="0.2"/>
    <row r="5317" ht="12.75" customHeight="1" x14ac:dyDescent="0.2"/>
    <row r="5318" ht="12.75" customHeight="1" x14ac:dyDescent="0.2"/>
    <row r="5319" ht="12.75" customHeight="1" x14ac:dyDescent="0.2"/>
    <row r="5320" ht="12.75" customHeight="1" x14ac:dyDescent="0.2"/>
    <row r="5321" ht="12.75" customHeight="1" x14ac:dyDescent="0.2"/>
    <row r="5322" ht="12.75" customHeight="1" x14ac:dyDescent="0.2"/>
    <row r="5323" ht="12.75" customHeight="1" x14ac:dyDescent="0.2"/>
    <row r="5324" ht="12.75" customHeight="1" x14ac:dyDescent="0.2"/>
    <row r="5325" ht="12.75" customHeight="1" x14ac:dyDescent="0.2"/>
    <row r="5326" ht="12.75" customHeight="1" x14ac:dyDescent="0.2"/>
    <row r="5327" ht="12.75" customHeight="1" x14ac:dyDescent="0.2"/>
    <row r="5328" ht="12.75" customHeight="1" x14ac:dyDescent="0.2"/>
    <row r="5329" ht="12.75" customHeight="1" x14ac:dyDescent="0.2"/>
    <row r="5330" ht="12.75" customHeight="1" x14ac:dyDescent="0.2"/>
    <row r="5331" ht="12.75" customHeight="1" x14ac:dyDescent="0.2"/>
    <row r="5332" ht="12.75" customHeight="1" x14ac:dyDescent="0.2"/>
    <row r="5333" ht="12.75" customHeight="1" x14ac:dyDescent="0.2"/>
    <row r="5334" ht="12.75" customHeight="1" x14ac:dyDescent="0.2"/>
    <row r="5335" ht="12.75" customHeight="1" x14ac:dyDescent="0.2"/>
    <row r="5336" ht="12.75" customHeight="1" x14ac:dyDescent="0.2"/>
    <row r="5337" ht="12.75" customHeight="1" x14ac:dyDescent="0.2"/>
    <row r="5338" ht="12.75" customHeight="1" x14ac:dyDescent="0.2"/>
    <row r="5339" ht="12.75" customHeight="1" x14ac:dyDescent="0.2"/>
    <row r="5340" ht="12.75" customHeight="1" x14ac:dyDescent="0.2"/>
    <row r="5341" ht="12.75" customHeight="1" x14ac:dyDescent="0.2"/>
    <row r="5342" ht="12.75" customHeight="1" x14ac:dyDescent="0.2"/>
    <row r="5343" ht="12.75" customHeight="1" x14ac:dyDescent="0.2"/>
    <row r="5344" ht="12.75" customHeight="1" x14ac:dyDescent="0.2"/>
    <row r="5345" ht="12.75" customHeight="1" x14ac:dyDescent="0.2"/>
    <row r="5346" ht="12.75" customHeight="1" x14ac:dyDescent="0.2"/>
    <row r="5347" ht="12.75" customHeight="1" x14ac:dyDescent="0.2"/>
    <row r="5348" ht="12.75" customHeight="1" x14ac:dyDescent="0.2"/>
    <row r="5349" ht="12.75" customHeight="1" x14ac:dyDescent="0.2"/>
    <row r="5350" ht="12.75" customHeight="1" x14ac:dyDescent="0.2"/>
    <row r="5351" ht="12.75" customHeight="1" x14ac:dyDescent="0.2"/>
    <row r="5352" ht="12.75" customHeight="1" x14ac:dyDescent="0.2"/>
    <row r="5353" ht="12.75" customHeight="1" x14ac:dyDescent="0.2"/>
    <row r="5354" ht="12.75" customHeight="1" x14ac:dyDescent="0.2"/>
    <row r="5355" ht="12.75" customHeight="1" x14ac:dyDescent="0.2"/>
    <row r="5356" ht="12.75" customHeight="1" x14ac:dyDescent="0.2"/>
    <row r="5357" ht="12.75" customHeight="1" x14ac:dyDescent="0.2"/>
    <row r="5358" ht="12.75" customHeight="1" x14ac:dyDescent="0.2"/>
    <row r="5359" ht="12.75" customHeight="1" x14ac:dyDescent="0.2"/>
    <row r="5360" ht="12.75" customHeight="1" x14ac:dyDescent="0.2"/>
    <row r="5361" ht="12.75" customHeight="1" x14ac:dyDescent="0.2"/>
    <row r="5362" ht="12.75" customHeight="1" x14ac:dyDescent="0.2"/>
    <row r="5363" ht="12.75" customHeight="1" x14ac:dyDescent="0.2"/>
    <row r="5364" ht="12.75" customHeight="1" x14ac:dyDescent="0.2"/>
    <row r="5365" ht="12.75" customHeight="1" x14ac:dyDescent="0.2"/>
    <row r="5366" ht="12.75" customHeight="1" x14ac:dyDescent="0.2"/>
    <row r="5367" ht="12.75" customHeight="1" x14ac:dyDescent="0.2"/>
    <row r="5368" ht="12.75" customHeight="1" x14ac:dyDescent="0.2"/>
    <row r="5369" ht="12.75" customHeight="1" x14ac:dyDescent="0.2"/>
    <row r="5370" ht="12.75" customHeight="1" x14ac:dyDescent="0.2"/>
    <row r="5371" ht="12.75" customHeight="1" x14ac:dyDescent="0.2"/>
    <row r="5372" ht="12.75" customHeight="1" x14ac:dyDescent="0.2"/>
    <row r="5373" ht="12.75" customHeight="1" x14ac:dyDescent="0.2"/>
    <row r="5374" ht="12.75" customHeight="1" x14ac:dyDescent="0.2"/>
    <row r="5375" ht="12.75" customHeight="1" x14ac:dyDescent="0.2"/>
    <row r="5376" ht="12.75" customHeight="1" x14ac:dyDescent="0.2"/>
    <row r="5377" ht="12.75" customHeight="1" x14ac:dyDescent="0.2"/>
    <row r="5378" ht="12.75" customHeight="1" x14ac:dyDescent="0.2"/>
    <row r="5379" ht="12.75" customHeight="1" x14ac:dyDescent="0.2"/>
    <row r="5380" ht="12.75" customHeight="1" x14ac:dyDescent="0.2"/>
    <row r="5381" ht="12.75" customHeight="1" x14ac:dyDescent="0.2"/>
    <row r="5382" ht="12.75" customHeight="1" x14ac:dyDescent="0.2"/>
    <row r="5383" ht="12.75" customHeight="1" x14ac:dyDescent="0.2"/>
    <row r="5384" ht="12.75" customHeight="1" x14ac:dyDescent="0.2"/>
    <row r="5385" ht="12.75" customHeight="1" x14ac:dyDescent="0.2"/>
    <row r="5386" ht="12.75" customHeight="1" x14ac:dyDescent="0.2"/>
    <row r="5387" ht="12.75" customHeight="1" x14ac:dyDescent="0.2"/>
    <row r="5388" ht="12.75" customHeight="1" x14ac:dyDescent="0.2"/>
    <row r="5389" ht="12.75" customHeight="1" x14ac:dyDescent="0.2"/>
    <row r="5390" ht="12.75" customHeight="1" x14ac:dyDescent="0.2"/>
    <row r="5391" ht="12.75" customHeight="1" x14ac:dyDescent="0.2"/>
    <row r="5392" ht="12.75" customHeight="1" x14ac:dyDescent="0.2"/>
    <row r="5393" ht="12.75" customHeight="1" x14ac:dyDescent="0.2"/>
    <row r="5394" ht="12.75" customHeight="1" x14ac:dyDescent="0.2"/>
    <row r="5395" ht="12.75" customHeight="1" x14ac:dyDescent="0.2"/>
    <row r="5396" ht="12.75" customHeight="1" x14ac:dyDescent="0.2"/>
    <row r="5397" ht="12.75" customHeight="1" x14ac:dyDescent="0.2"/>
    <row r="5398" ht="12.75" customHeight="1" x14ac:dyDescent="0.2"/>
    <row r="5399" ht="12.75" customHeight="1" x14ac:dyDescent="0.2"/>
    <row r="5400" ht="12.75" customHeight="1" x14ac:dyDescent="0.2"/>
    <row r="5401" ht="12.75" customHeight="1" x14ac:dyDescent="0.2"/>
    <row r="5402" ht="12.75" customHeight="1" x14ac:dyDescent="0.2"/>
    <row r="5403" ht="12.75" customHeight="1" x14ac:dyDescent="0.2"/>
    <row r="5404" ht="12.75" customHeight="1" x14ac:dyDescent="0.2"/>
    <row r="5405" ht="12.75" customHeight="1" x14ac:dyDescent="0.2"/>
    <row r="5406" ht="12.75" customHeight="1" x14ac:dyDescent="0.2"/>
    <row r="5407" ht="12.75" customHeight="1" x14ac:dyDescent="0.2"/>
    <row r="5408" ht="12.75" customHeight="1" x14ac:dyDescent="0.2"/>
    <row r="5409" ht="12.75" customHeight="1" x14ac:dyDescent="0.2"/>
    <row r="5410" ht="12.75" customHeight="1" x14ac:dyDescent="0.2"/>
    <row r="5411" ht="12.75" customHeight="1" x14ac:dyDescent="0.2"/>
    <row r="5412" ht="12.75" customHeight="1" x14ac:dyDescent="0.2"/>
    <row r="5413" ht="12.75" customHeight="1" x14ac:dyDescent="0.2"/>
    <row r="5414" ht="12.75" customHeight="1" x14ac:dyDescent="0.2"/>
    <row r="5415" ht="12.75" customHeight="1" x14ac:dyDescent="0.2"/>
    <row r="5416" ht="12.75" customHeight="1" x14ac:dyDescent="0.2"/>
    <row r="5417" ht="12.75" customHeight="1" x14ac:dyDescent="0.2"/>
    <row r="5418" ht="12.75" customHeight="1" x14ac:dyDescent="0.2"/>
    <row r="5419" ht="12.75" customHeight="1" x14ac:dyDescent="0.2"/>
    <row r="5420" ht="12.75" customHeight="1" x14ac:dyDescent="0.2"/>
    <row r="5421" ht="12.75" customHeight="1" x14ac:dyDescent="0.2"/>
    <row r="5422" ht="12.75" customHeight="1" x14ac:dyDescent="0.2"/>
    <row r="5423" ht="12.75" customHeight="1" x14ac:dyDescent="0.2"/>
    <row r="5424" ht="12.75" customHeight="1" x14ac:dyDescent="0.2"/>
    <row r="5425" ht="12.75" customHeight="1" x14ac:dyDescent="0.2"/>
    <row r="5426" ht="12.75" customHeight="1" x14ac:dyDescent="0.2"/>
    <row r="5427" ht="12.75" customHeight="1" x14ac:dyDescent="0.2"/>
    <row r="5428" ht="12.75" customHeight="1" x14ac:dyDescent="0.2"/>
    <row r="5429" ht="12.75" customHeight="1" x14ac:dyDescent="0.2"/>
    <row r="5430" ht="12.75" customHeight="1" x14ac:dyDescent="0.2"/>
    <row r="5431" ht="12.75" customHeight="1" x14ac:dyDescent="0.2"/>
    <row r="5432" ht="12.75" customHeight="1" x14ac:dyDescent="0.2"/>
    <row r="5433" ht="12.75" customHeight="1" x14ac:dyDescent="0.2"/>
    <row r="5434" ht="12.75" customHeight="1" x14ac:dyDescent="0.2"/>
    <row r="5435" ht="12.75" customHeight="1" x14ac:dyDescent="0.2"/>
    <row r="5436" ht="12.75" customHeight="1" x14ac:dyDescent="0.2"/>
    <row r="5437" ht="12.75" customHeight="1" x14ac:dyDescent="0.2"/>
    <row r="5438" ht="12.75" customHeight="1" x14ac:dyDescent="0.2"/>
    <row r="5439" ht="12.75" customHeight="1" x14ac:dyDescent="0.2"/>
    <row r="5440" ht="12.75" customHeight="1" x14ac:dyDescent="0.2"/>
    <row r="5441" ht="12.75" customHeight="1" x14ac:dyDescent="0.2"/>
    <row r="5442" ht="12.75" customHeight="1" x14ac:dyDescent="0.2"/>
    <row r="5443" ht="12.75" customHeight="1" x14ac:dyDescent="0.2"/>
    <row r="5444" ht="12.75" customHeight="1" x14ac:dyDescent="0.2"/>
    <row r="5445" ht="12.75" customHeight="1" x14ac:dyDescent="0.2"/>
    <row r="5446" ht="12.75" customHeight="1" x14ac:dyDescent="0.2"/>
    <row r="5447" ht="12.75" customHeight="1" x14ac:dyDescent="0.2"/>
    <row r="5448" ht="12.75" customHeight="1" x14ac:dyDescent="0.2"/>
    <row r="5449" ht="12.75" customHeight="1" x14ac:dyDescent="0.2"/>
    <row r="5450" ht="12.75" customHeight="1" x14ac:dyDescent="0.2"/>
    <row r="5451" ht="12.75" customHeight="1" x14ac:dyDescent="0.2"/>
    <row r="5452" ht="12.75" customHeight="1" x14ac:dyDescent="0.2"/>
    <row r="5453" ht="12.75" customHeight="1" x14ac:dyDescent="0.2"/>
    <row r="5454" ht="12.75" customHeight="1" x14ac:dyDescent="0.2"/>
    <row r="5455" ht="12.75" customHeight="1" x14ac:dyDescent="0.2"/>
    <row r="5456" ht="12.75" customHeight="1" x14ac:dyDescent="0.2"/>
    <row r="5457" ht="12.75" customHeight="1" x14ac:dyDescent="0.2"/>
    <row r="5458" ht="12.75" customHeight="1" x14ac:dyDescent="0.2"/>
    <row r="5459" ht="12.75" customHeight="1" x14ac:dyDescent="0.2"/>
    <row r="5460" ht="12.75" customHeight="1" x14ac:dyDescent="0.2"/>
    <row r="5461" ht="12.75" customHeight="1" x14ac:dyDescent="0.2"/>
    <row r="5462" ht="12.75" customHeight="1" x14ac:dyDescent="0.2"/>
    <row r="5463" ht="12.75" customHeight="1" x14ac:dyDescent="0.2"/>
    <row r="5464" ht="12.75" customHeight="1" x14ac:dyDescent="0.2"/>
    <row r="5465" ht="12.75" customHeight="1" x14ac:dyDescent="0.2"/>
    <row r="5466" ht="12.75" customHeight="1" x14ac:dyDescent="0.2"/>
    <row r="5467" ht="12.75" customHeight="1" x14ac:dyDescent="0.2"/>
    <row r="5468" ht="12.75" customHeight="1" x14ac:dyDescent="0.2"/>
    <row r="5469" ht="12.75" customHeight="1" x14ac:dyDescent="0.2"/>
    <row r="5470" ht="12.75" customHeight="1" x14ac:dyDescent="0.2"/>
    <row r="5471" ht="12.75" customHeight="1" x14ac:dyDescent="0.2"/>
    <row r="5472" ht="12.75" customHeight="1" x14ac:dyDescent="0.2"/>
    <row r="5473" ht="12.75" customHeight="1" x14ac:dyDescent="0.2"/>
    <row r="5474" ht="12.75" customHeight="1" x14ac:dyDescent="0.2"/>
    <row r="5475" ht="12.75" customHeight="1" x14ac:dyDescent="0.2"/>
    <row r="5476" ht="12.75" customHeight="1" x14ac:dyDescent="0.2"/>
    <row r="5477" ht="12.75" customHeight="1" x14ac:dyDescent="0.2"/>
    <row r="5478" ht="12.75" customHeight="1" x14ac:dyDescent="0.2"/>
    <row r="5479" ht="12.75" customHeight="1" x14ac:dyDescent="0.2"/>
    <row r="5480" ht="12.75" customHeight="1" x14ac:dyDescent="0.2"/>
    <row r="5481" ht="12.75" customHeight="1" x14ac:dyDescent="0.2"/>
    <row r="5482" ht="12.75" customHeight="1" x14ac:dyDescent="0.2"/>
    <row r="5483" ht="12.75" customHeight="1" x14ac:dyDescent="0.2"/>
    <row r="5484" ht="12.75" customHeight="1" x14ac:dyDescent="0.2"/>
    <row r="5485" ht="12.75" customHeight="1" x14ac:dyDescent="0.2"/>
    <row r="5486" ht="12.75" customHeight="1" x14ac:dyDescent="0.2"/>
    <row r="5487" ht="12.75" customHeight="1" x14ac:dyDescent="0.2"/>
    <row r="5488" ht="12.75" customHeight="1" x14ac:dyDescent="0.2"/>
    <row r="5489" ht="12.75" customHeight="1" x14ac:dyDescent="0.2"/>
    <row r="5490" ht="12.75" customHeight="1" x14ac:dyDescent="0.2"/>
    <row r="5491" ht="12.75" customHeight="1" x14ac:dyDescent="0.2"/>
    <row r="5492" ht="12.75" customHeight="1" x14ac:dyDescent="0.2"/>
    <row r="5493" ht="12.75" customHeight="1" x14ac:dyDescent="0.2"/>
    <row r="5494" ht="12.75" customHeight="1" x14ac:dyDescent="0.2"/>
    <row r="5495" ht="12.75" customHeight="1" x14ac:dyDescent="0.2"/>
    <row r="5496" ht="12.75" customHeight="1" x14ac:dyDescent="0.2"/>
    <row r="5497" ht="12.75" customHeight="1" x14ac:dyDescent="0.2"/>
    <row r="5498" ht="12.75" customHeight="1" x14ac:dyDescent="0.2"/>
    <row r="5499" ht="12.75" customHeight="1" x14ac:dyDescent="0.2"/>
    <row r="5500" ht="12.75" customHeight="1" x14ac:dyDescent="0.2"/>
    <row r="5501" ht="12.75" customHeight="1" x14ac:dyDescent="0.2"/>
    <row r="5502" ht="12.75" customHeight="1" x14ac:dyDescent="0.2"/>
    <row r="5503" ht="12.75" customHeight="1" x14ac:dyDescent="0.2"/>
    <row r="5504" ht="12.75" customHeight="1" x14ac:dyDescent="0.2"/>
    <row r="5505" ht="12.75" customHeight="1" x14ac:dyDescent="0.2"/>
    <row r="5506" ht="12.75" customHeight="1" x14ac:dyDescent="0.2"/>
    <row r="5507" ht="12.75" customHeight="1" x14ac:dyDescent="0.2"/>
    <row r="5508" ht="12.75" customHeight="1" x14ac:dyDescent="0.2"/>
    <row r="5509" ht="12.75" customHeight="1" x14ac:dyDescent="0.2"/>
    <row r="5510" ht="12.75" customHeight="1" x14ac:dyDescent="0.2"/>
    <row r="5511" ht="12.75" customHeight="1" x14ac:dyDescent="0.2"/>
    <row r="5512" ht="12.75" customHeight="1" x14ac:dyDescent="0.2"/>
    <row r="5513" ht="12.75" customHeight="1" x14ac:dyDescent="0.2"/>
    <row r="5514" ht="12.75" customHeight="1" x14ac:dyDescent="0.2"/>
    <row r="5515" ht="12.75" customHeight="1" x14ac:dyDescent="0.2"/>
    <row r="5516" ht="12.75" customHeight="1" x14ac:dyDescent="0.2"/>
    <row r="5517" ht="12.75" customHeight="1" x14ac:dyDescent="0.2"/>
    <row r="5518" ht="12.75" customHeight="1" x14ac:dyDescent="0.2"/>
    <row r="5519" ht="12.75" customHeight="1" x14ac:dyDescent="0.2"/>
    <row r="5520" ht="12.75" customHeight="1" x14ac:dyDescent="0.2"/>
    <row r="5521" ht="12.75" customHeight="1" x14ac:dyDescent="0.2"/>
    <row r="5522" ht="12.75" customHeight="1" x14ac:dyDescent="0.2"/>
    <row r="5523" ht="12.75" customHeight="1" x14ac:dyDescent="0.2"/>
    <row r="5524" ht="12.75" customHeight="1" x14ac:dyDescent="0.2"/>
    <row r="5525" ht="12.75" customHeight="1" x14ac:dyDescent="0.2"/>
    <row r="5526" ht="12.75" customHeight="1" x14ac:dyDescent="0.2"/>
    <row r="5527" ht="12.75" customHeight="1" x14ac:dyDescent="0.2"/>
    <row r="5528" ht="12.75" customHeight="1" x14ac:dyDescent="0.2"/>
    <row r="5529" ht="12.75" customHeight="1" x14ac:dyDescent="0.2"/>
    <row r="5530" ht="12.75" customHeight="1" x14ac:dyDescent="0.2"/>
    <row r="5531" ht="12.75" customHeight="1" x14ac:dyDescent="0.2"/>
    <row r="5532" ht="12.75" customHeight="1" x14ac:dyDescent="0.2"/>
    <row r="5533" ht="12.75" customHeight="1" x14ac:dyDescent="0.2"/>
    <row r="5534" ht="12.75" customHeight="1" x14ac:dyDescent="0.2"/>
    <row r="5535" ht="12.75" customHeight="1" x14ac:dyDescent="0.2"/>
    <row r="5536" ht="12.75" customHeight="1" x14ac:dyDescent="0.2"/>
    <row r="5537" ht="12.75" customHeight="1" x14ac:dyDescent="0.2"/>
    <row r="5538" ht="12.75" customHeight="1" x14ac:dyDescent="0.2"/>
    <row r="5539" ht="12.75" customHeight="1" x14ac:dyDescent="0.2"/>
    <row r="5540" ht="12.75" customHeight="1" x14ac:dyDescent="0.2"/>
    <row r="5541" ht="12.75" customHeight="1" x14ac:dyDescent="0.2"/>
    <row r="5542" ht="12.75" customHeight="1" x14ac:dyDescent="0.2"/>
    <row r="5543" ht="12.75" customHeight="1" x14ac:dyDescent="0.2"/>
    <row r="5544" ht="12.75" customHeight="1" x14ac:dyDescent="0.2"/>
    <row r="5545" ht="12.75" customHeight="1" x14ac:dyDescent="0.2"/>
    <row r="5546" ht="12.75" customHeight="1" x14ac:dyDescent="0.2"/>
    <row r="5547" ht="12.75" customHeight="1" x14ac:dyDescent="0.2"/>
    <row r="5548" ht="12.75" customHeight="1" x14ac:dyDescent="0.2"/>
    <row r="5549" ht="12.75" customHeight="1" x14ac:dyDescent="0.2"/>
    <row r="5550" ht="12.75" customHeight="1" x14ac:dyDescent="0.2"/>
    <row r="5551" ht="12.75" customHeight="1" x14ac:dyDescent="0.2"/>
    <row r="5552" ht="12.75" customHeight="1" x14ac:dyDescent="0.2"/>
    <row r="5553" ht="12.75" customHeight="1" x14ac:dyDescent="0.2"/>
    <row r="5554" ht="12.75" customHeight="1" x14ac:dyDescent="0.2"/>
    <row r="5555" ht="12.75" customHeight="1" x14ac:dyDescent="0.2"/>
    <row r="5556" ht="12.75" customHeight="1" x14ac:dyDescent="0.2"/>
    <row r="5557" ht="12.75" customHeight="1" x14ac:dyDescent="0.2"/>
    <row r="5558" ht="12.75" customHeight="1" x14ac:dyDescent="0.2"/>
    <row r="5559" ht="12.75" customHeight="1" x14ac:dyDescent="0.2"/>
    <row r="5560" ht="12.75" customHeight="1" x14ac:dyDescent="0.2"/>
    <row r="5561" ht="12.75" customHeight="1" x14ac:dyDescent="0.2"/>
    <row r="5562" ht="12.75" customHeight="1" x14ac:dyDescent="0.2"/>
    <row r="5563" ht="12.75" customHeight="1" x14ac:dyDescent="0.2"/>
    <row r="5564" ht="12.75" customHeight="1" x14ac:dyDescent="0.2"/>
    <row r="5565" ht="12.75" customHeight="1" x14ac:dyDescent="0.2"/>
    <row r="5566" ht="12.75" customHeight="1" x14ac:dyDescent="0.2"/>
    <row r="5567" ht="12.75" customHeight="1" x14ac:dyDescent="0.2"/>
    <row r="5568" ht="12.75" customHeight="1" x14ac:dyDescent="0.2"/>
    <row r="5569" ht="12.75" customHeight="1" x14ac:dyDescent="0.2"/>
    <row r="5570" ht="12.75" customHeight="1" x14ac:dyDescent="0.2"/>
    <row r="5571" ht="12.75" customHeight="1" x14ac:dyDescent="0.2"/>
    <row r="5572" ht="12.75" customHeight="1" x14ac:dyDescent="0.2"/>
    <row r="5573" ht="12.75" customHeight="1" x14ac:dyDescent="0.2"/>
    <row r="5574" ht="12.75" customHeight="1" x14ac:dyDescent="0.2"/>
    <row r="5575" ht="12.75" customHeight="1" x14ac:dyDescent="0.2"/>
    <row r="5576" ht="12.75" customHeight="1" x14ac:dyDescent="0.2"/>
    <row r="5577" ht="12.75" customHeight="1" x14ac:dyDescent="0.2"/>
    <row r="5578" ht="12.75" customHeight="1" x14ac:dyDescent="0.2"/>
    <row r="5579" ht="12.75" customHeight="1" x14ac:dyDescent="0.2"/>
    <row r="5580" ht="12.75" customHeight="1" x14ac:dyDescent="0.2"/>
    <row r="5581" ht="12.75" customHeight="1" x14ac:dyDescent="0.2"/>
    <row r="5582" ht="12.75" customHeight="1" x14ac:dyDescent="0.2"/>
    <row r="5583" ht="12.75" customHeight="1" x14ac:dyDescent="0.2"/>
    <row r="5584" ht="12.75" customHeight="1" x14ac:dyDescent="0.2"/>
    <row r="5585" ht="12.75" customHeight="1" x14ac:dyDescent="0.2"/>
    <row r="5586" ht="12.75" customHeight="1" x14ac:dyDescent="0.2"/>
    <row r="5587" ht="12.75" customHeight="1" x14ac:dyDescent="0.2"/>
    <row r="5588" ht="12.75" customHeight="1" x14ac:dyDescent="0.2"/>
    <row r="5589" ht="12.75" customHeight="1" x14ac:dyDescent="0.2"/>
    <row r="5590" ht="12.75" customHeight="1" x14ac:dyDescent="0.2"/>
    <row r="5591" ht="12.75" customHeight="1" x14ac:dyDescent="0.2"/>
    <row r="5592" ht="12.75" customHeight="1" x14ac:dyDescent="0.2"/>
    <row r="5593" ht="12.75" customHeight="1" x14ac:dyDescent="0.2"/>
    <row r="5594" ht="12.75" customHeight="1" x14ac:dyDescent="0.2"/>
    <row r="5595" ht="12.75" customHeight="1" x14ac:dyDescent="0.2"/>
    <row r="5596" ht="12.75" customHeight="1" x14ac:dyDescent="0.2"/>
    <row r="5597" ht="12.75" customHeight="1" x14ac:dyDescent="0.2"/>
    <row r="5598" ht="12.75" customHeight="1" x14ac:dyDescent="0.2"/>
    <row r="5599" ht="12.75" customHeight="1" x14ac:dyDescent="0.2"/>
    <row r="5600" ht="12.75" customHeight="1" x14ac:dyDescent="0.2"/>
    <row r="5601" ht="12.75" customHeight="1" x14ac:dyDescent="0.2"/>
    <row r="5602" ht="12.75" customHeight="1" x14ac:dyDescent="0.2"/>
    <row r="5603" ht="12.75" customHeight="1" x14ac:dyDescent="0.2"/>
    <row r="5604" ht="12.75" customHeight="1" x14ac:dyDescent="0.2"/>
    <row r="5605" ht="12.75" customHeight="1" x14ac:dyDescent="0.2"/>
    <row r="5606" ht="12.75" customHeight="1" x14ac:dyDescent="0.2"/>
    <row r="5607" ht="12.75" customHeight="1" x14ac:dyDescent="0.2"/>
    <row r="5608" ht="12.75" customHeight="1" x14ac:dyDescent="0.2"/>
    <row r="5609" ht="12.75" customHeight="1" x14ac:dyDescent="0.2"/>
    <row r="5610" ht="12.75" customHeight="1" x14ac:dyDescent="0.2"/>
    <row r="5611" ht="12.75" customHeight="1" x14ac:dyDescent="0.2"/>
    <row r="5612" ht="12.75" customHeight="1" x14ac:dyDescent="0.2"/>
    <row r="5613" ht="12.75" customHeight="1" x14ac:dyDescent="0.2"/>
    <row r="5614" ht="12.75" customHeight="1" x14ac:dyDescent="0.2"/>
    <row r="5615" ht="12.75" customHeight="1" x14ac:dyDescent="0.2"/>
    <row r="5616" ht="12.75" customHeight="1" x14ac:dyDescent="0.2"/>
    <row r="5617" ht="12.75" customHeight="1" x14ac:dyDescent="0.2"/>
    <row r="5618" ht="12.75" customHeight="1" x14ac:dyDescent="0.2"/>
    <row r="5619" ht="12.75" customHeight="1" x14ac:dyDescent="0.2"/>
    <row r="5620" ht="12.75" customHeight="1" x14ac:dyDescent="0.2"/>
    <row r="5621" ht="12.75" customHeight="1" x14ac:dyDescent="0.2"/>
    <row r="5622" ht="12.75" customHeight="1" x14ac:dyDescent="0.2"/>
    <row r="5623" ht="12.75" customHeight="1" x14ac:dyDescent="0.2"/>
    <row r="5624" ht="12.75" customHeight="1" x14ac:dyDescent="0.2"/>
    <row r="5625" ht="12.75" customHeight="1" x14ac:dyDescent="0.2"/>
    <row r="5626" ht="12.75" customHeight="1" x14ac:dyDescent="0.2"/>
    <row r="5627" ht="12.75" customHeight="1" x14ac:dyDescent="0.2"/>
    <row r="5628" ht="12.75" customHeight="1" x14ac:dyDescent="0.2"/>
    <row r="5629" ht="12.75" customHeight="1" x14ac:dyDescent="0.2"/>
    <row r="5630" ht="12.75" customHeight="1" x14ac:dyDescent="0.2"/>
    <row r="5631" ht="12.75" customHeight="1" x14ac:dyDescent="0.2"/>
    <row r="5632" ht="12.75" customHeight="1" x14ac:dyDescent="0.2"/>
    <row r="5633" ht="12.75" customHeight="1" x14ac:dyDescent="0.2"/>
    <row r="5634" ht="12.75" customHeight="1" x14ac:dyDescent="0.2"/>
    <row r="5635" ht="12.75" customHeight="1" x14ac:dyDescent="0.2"/>
    <row r="5636" ht="12.75" customHeight="1" x14ac:dyDescent="0.2"/>
    <row r="5637" ht="12.75" customHeight="1" x14ac:dyDescent="0.2"/>
    <row r="5638" ht="12.75" customHeight="1" x14ac:dyDescent="0.2"/>
    <row r="5639" ht="12.75" customHeight="1" x14ac:dyDescent="0.2"/>
    <row r="5640" ht="12.75" customHeight="1" x14ac:dyDescent="0.2"/>
    <row r="5641" ht="12.75" customHeight="1" x14ac:dyDescent="0.2"/>
    <row r="5642" ht="12.75" customHeight="1" x14ac:dyDescent="0.2"/>
    <row r="5643" ht="12.75" customHeight="1" x14ac:dyDescent="0.2"/>
    <row r="5644" ht="12.75" customHeight="1" x14ac:dyDescent="0.2"/>
    <row r="5645" ht="12.75" customHeight="1" x14ac:dyDescent="0.2"/>
    <row r="5646" ht="12.75" customHeight="1" x14ac:dyDescent="0.2"/>
    <row r="5647" ht="12.75" customHeight="1" x14ac:dyDescent="0.2"/>
    <row r="5648" ht="12.75" customHeight="1" x14ac:dyDescent="0.2"/>
    <row r="5649" ht="12.75" customHeight="1" x14ac:dyDescent="0.2"/>
    <row r="5650" ht="12.75" customHeight="1" x14ac:dyDescent="0.2"/>
    <row r="5651" ht="12.75" customHeight="1" x14ac:dyDescent="0.2"/>
    <row r="5652" ht="12.75" customHeight="1" x14ac:dyDescent="0.2"/>
    <row r="5653" ht="12.75" customHeight="1" x14ac:dyDescent="0.2"/>
    <row r="5654" ht="12.75" customHeight="1" x14ac:dyDescent="0.2"/>
    <row r="5655" ht="12.75" customHeight="1" x14ac:dyDescent="0.2"/>
    <row r="5656" ht="12.75" customHeight="1" x14ac:dyDescent="0.2"/>
    <row r="5657" ht="12.75" customHeight="1" x14ac:dyDescent="0.2"/>
    <row r="5658" ht="12.75" customHeight="1" x14ac:dyDescent="0.2"/>
    <row r="5659" ht="12.75" customHeight="1" x14ac:dyDescent="0.2"/>
    <row r="5660" ht="12.75" customHeight="1" x14ac:dyDescent="0.2"/>
    <row r="5661" ht="12.75" customHeight="1" x14ac:dyDescent="0.2"/>
    <row r="5662" ht="12.75" customHeight="1" x14ac:dyDescent="0.2"/>
    <row r="5663" ht="12.75" customHeight="1" x14ac:dyDescent="0.2"/>
    <row r="5664" ht="12.75" customHeight="1" x14ac:dyDescent="0.2"/>
    <row r="5665" ht="12.75" customHeight="1" x14ac:dyDescent="0.2"/>
    <row r="5666" ht="12.75" customHeight="1" x14ac:dyDescent="0.2"/>
    <row r="5667" ht="12.75" customHeight="1" x14ac:dyDescent="0.2"/>
    <row r="5668" ht="12.75" customHeight="1" x14ac:dyDescent="0.2"/>
    <row r="5669" ht="12.75" customHeight="1" x14ac:dyDescent="0.2"/>
    <row r="5670" ht="12.75" customHeight="1" x14ac:dyDescent="0.2"/>
    <row r="5671" ht="12.75" customHeight="1" x14ac:dyDescent="0.2"/>
    <row r="5672" ht="12.75" customHeight="1" x14ac:dyDescent="0.2"/>
    <row r="5673" ht="12.75" customHeight="1" x14ac:dyDescent="0.2"/>
    <row r="5674" ht="12.75" customHeight="1" x14ac:dyDescent="0.2"/>
    <row r="5675" ht="12.75" customHeight="1" x14ac:dyDescent="0.2"/>
    <row r="5676" ht="12.75" customHeight="1" x14ac:dyDescent="0.2"/>
    <row r="5677" ht="12.75" customHeight="1" x14ac:dyDescent="0.2"/>
    <row r="5678" ht="12.75" customHeight="1" x14ac:dyDescent="0.2"/>
    <row r="5679" ht="12.75" customHeight="1" x14ac:dyDescent="0.2"/>
    <row r="5680" ht="12.75" customHeight="1" x14ac:dyDescent="0.2"/>
    <row r="5681" ht="12.75" customHeight="1" x14ac:dyDescent="0.2"/>
    <row r="5682" ht="12.75" customHeight="1" x14ac:dyDescent="0.2"/>
    <row r="5683" ht="12.75" customHeight="1" x14ac:dyDescent="0.2"/>
    <row r="5684" ht="12.75" customHeight="1" x14ac:dyDescent="0.2"/>
    <row r="5685" ht="12.75" customHeight="1" x14ac:dyDescent="0.2"/>
    <row r="5686" ht="12.75" customHeight="1" x14ac:dyDescent="0.2"/>
    <row r="5687" ht="12.75" customHeight="1" x14ac:dyDescent="0.2"/>
    <row r="5688" ht="12.75" customHeight="1" x14ac:dyDescent="0.2"/>
    <row r="5689" ht="12.75" customHeight="1" x14ac:dyDescent="0.2"/>
    <row r="5690" ht="12.75" customHeight="1" x14ac:dyDescent="0.2"/>
    <row r="5691" ht="12.75" customHeight="1" x14ac:dyDescent="0.2"/>
    <row r="5692" ht="12.75" customHeight="1" x14ac:dyDescent="0.2"/>
    <row r="5693" ht="12.75" customHeight="1" x14ac:dyDescent="0.2"/>
    <row r="5694" ht="12.75" customHeight="1" x14ac:dyDescent="0.2"/>
    <row r="5695" ht="12.75" customHeight="1" x14ac:dyDescent="0.2"/>
    <row r="5696" ht="12.75" customHeight="1" x14ac:dyDescent="0.2"/>
    <row r="5697" ht="12.75" customHeight="1" x14ac:dyDescent="0.2"/>
    <row r="5698" ht="12.75" customHeight="1" x14ac:dyDescent="0.2"/>
    <row r="5699" ht="12.75" customHeight="1" x14ac:dyDescent="0.2"/>
    <row r="5700" ht="12.75" customHeight="1" x14ac:dyDescent="0.2"/>
    <row r="5701" ht="12.75" customHeight="1" x14ac:dyDescent="0.2"/>
    <row r="5702" ht="12.75" customHeight="1" x14ac:dyDescent="0.2"/>
    <row r="5703" ht="12.75" customHeight="1" x14ac:dyDescent="0.2"/>
    <row r="5704" ht="12.75" customHeight="1" x14ac:dyDescent="0.2"/>
    <row r="5705" ht="12.75" customHeight="1" x14ac:dyDescent="0.2"/>
    <row r="5706" ht="12.75" customHeight="1" x14ac:dyDescent="0.2"/>
    <row r="5707" ht="12.75" customHeight="1" x14ac:dyDescent="0.2"/>
    <row r="5708" ht="12.75" customHeight="1" x14ac:dyDescent="0.2"/>
    <row r="5709" ht="12.75" customHeight="1" x14ac:dyDescent="0.2"/>
    <row r="5710" ht="12.75" customHeight="1" x14ac:dyDescent="0.2"/>
    <row r="5711" ht="12.75" customHeight="1" x14ac:dyDescent="0.2"/>
    <row r="5712" ht="12.75" customHeight="1" x14ac:dyDescent="0.2"/>
    <row r="5713" ht="12.75" customHeight="1" x14ac:dyDescent="0.2"/>
    <row r="5714" ht="12.75" customHeight="1" x14ac:dyDescent="0.2"/>
    <row r="5715" ht="12.75" customHeight="1" x14ac:dyDescent="0.2"/>
    <row r="5716" ht="12.75" customHeight="1" x14ac:dyDescent="0.2"/>
    <row r="5717" ht="12.75" customHeight="1" x14ac:dyDescent="0.2"/>
    <row r="5718" ht="12.75" customHeight="1" x14ac:dyDescent="0.2"/>
    <row r="5719" ht="12.75" customHeight="1" x14ac:dyDescent="0.2"/>
    <row r="5720" ht="12.75" customHeight="1" x14ac:dyDescent="0.2"/>
    <row r="5721" ht="12.75" customHeight="1" x14ac:dyDescent="0.2"/>
    <row r="5722" ht="12.75" customHeight="1" x14ac:dyDescent="0.2"/>
    <row r="5723" ht="12.75" customHeight="1" x14ac:dyDescent="0.2"/>
    <row r="5724" ht="12.75" customHeight="1" x14ac:dyDescent="0.2"/>
    <row r="5725" ht="12.75" customHeight="1" x14ac:dyDescent="0.2"/>
    <row r="5726" ht="12.75" customHeight="1" x14ac:dyDescent="0.2"/>
    <row r="5727" ht="12.75" customHeight="1" x14ac:dyDescent="0.2"/>
    <row r="5728" ht="12.75" customHeight="1" x14ac:dyDescent="0.2"/>
    <row r="5729" ht="12.75" customHeight="1" x14ac:dyDescent="0.2"/>
    <row r="5730" ht="12.75" customHeight="1" x14ac:dyDescent="0.2"/>
    <row r="5731" ht="12.75" customHeight="1" x14ac:dyDescent="0.2"/>
    <row r="5732" ht="12.75" customHeight="1" x14ac:dyDescent="0.2"/>
    <row r="5733" ht="12.75" customHeight="1" x14ac:dyDescent="0.2"/>
    <row r="5734" ht="12.75" customHeight="1" x14ac:dyDescent="0.2"/>
    <row r="5735" ht="12.75" customHeight="1" x14ac:dyDescent="0.2"/>
    <row r="5736" ht="12.75" customHeight="1" x14ac:dyDescent="0.2"/>
    <row r="5737" ht="12.75" customHeight="1" x14ac:dyDescent="0.2"/>
    <row r="5738" ht="12.75" customHeight="1" x14ac:dyDescent="0.2"/>
    <row r="5739" ht="12.75" customHeight="1" x14ac:dyDescent="0.2"/>
    <row r="5740" ht="12.75" customHeight="1" x14ac:dyDescent="0.2"/>
    <row r="5741" ht="12.75" customHeight="1" x14ac:dyDescent="0.2"/>
    <row r="5742" ht="12.75" customHeight="1" x14ac:dyDescent="0.2"/>
    <row r="5743" ht="12.75" customHeight="1" x14ac:dyDescent="0.2"/>
    <row r="5744" ht="12.75" customHeight="1" x14ac:dyDescent="0.2"/>
    <row r="5745" ht="12.75" customHeight="1" x14ac:dyDescent="0.2"/>
    <row r="5746" ht="12.75" customHeight="1" x14ac:dyDescent="0.2"/>
    <row r="5747" ht="12.75" customHeight="1" x14ac:dyDescent="0.2"/>
    <row r="5748" ht="12.75" customHeight="1" x14ac:dyDescent="0.2"/>
    <row r="5749" ht="12.75" customHeight="1" x14ac:dyDescent="0.2"/>
    <row r="5750" ht="12.75" customHeight="1" x14ac:dyDescent="0.2"/>
    <row r="5751" ht="12.75" customHeight="1" x14ac:dyDescent="0.2"/>
    <row r="5752" ht="12.75" customHeight="1" x14ac:dyDescent="0.2"/>
    <row r="5753" ht="12.75" customHeight="1" x14ac:dyDescent="0.2"/>
    <row r="5754" ht="12.75" customHeight="1" x14ac:dyDescent="0.2"/>
    <row r="5755" ht="12.75" customHeight="1" x14ac:dyDescent="0.2"/>
    <row r="5756" ht="12.75" customHeight="1" x14ac:dyDescent="0.2"/>
    <row r="5757" ht="12.75" customHeight="1" x14ac:dyDescent="0.2"/>
    <row r="5758" ht="12.75" customHeight="1" x14ac:dyDescent="0.2"/>
    <row r="5759" ht="12.75" customHeight="1" x14ac:dyDescent="0.2"/>
    <row r="5760" ht="12.75" customHeight="1" x14ac:dyDescent="0.2"/>
    <row r="5761" ht="12.75" customHeight="1" x14ac:dyDescent="0.2"/>
    <row r="5762" ht="12.75" customHeight="1" x14ac:dyDescent="0.2"/>
    <row r="5763" ht="12.75" customHeight="1" x14ac:dyDescent="0.2"/>
    <row r="5764" ht="12.75" customHeight="1" x14ac:dyDescent="0.2"/>
    <row r="5765" ht="12.75" customHeight="1" x14ac:dyDescent="0.2"/>
    <row r="5766" ht="12.75" customHeight="1" x14ac:dyDescent="0.2"/>
    <row r="5767" ht="12.75" customHeight="1" x14ac:dyDescent="0.2"/>
    <row r="5768" ht="12.75" customHeight="1" x14ac:dyDescent="0.2"/>
    <row r="5769" ht="12.75" customHeight="1" x14ac:dyDescent="0.2"/>
    <row r="5770" ht="12.75" customHeight="1" x14ac:dyDescent="0.2"/>
    <row r="5771" ht="12.75" customHeight="1" x14ac:dyDescent="0.2"/>
    <row r="5772" ht="12.75" customHeight="1" x14ac:dyDescent="0.2"/>
    <row r="5773" ht="12.75" customHeight="1" x14ac:dyDescent="0.2"/>
    <row r="5774" ht="12.75" customHeight="1" x14ac:dyDescent="0.2"/>
    <row r="5775" ht="12.75" customHeight="1" x14ac:dyDescent="0.2"/>
    <row r="5776" ht="12.75" customHeight="1" x14ac:dyDescent="0.2"/>
    <row r="5777" ht="12.75" customHeight="1" x14ac:dyDescent="0.2"/>
    <row r="5778" ht="12.75" customHeight="1" x14ac:dyDescent="0.2"/>
    <row r="5779" ht="12.75" customHeight="1" x14ac:dyDescent="0.2"/>
    <row r="5780" ht="12.75" customHeight="1" x14ac:dyDescent="0.2"/>
    <row r="5781" ht="12.75" customHeight="1" x14ac:dyDescent="0.2"/>
    <row r="5782" ht="12.75" customHeight="1" x14ac:dyDescent="0.2"/>
    <row r="5783" ht="12.75" customHeight="1" x14ac:dyDescent="0.2"/>
    <row r="5784" ht="12.75" customHeight="1" x14ac:dyDescent="0.2"/>
    <row r="5785" ht="12.75" customHeight="1" x14ac:dyDescent="0.2"/>
    <row r="5786" ht="12.75" customHeight="1" x14ac:dyDescent="0.2"/>
    <row r="5787" ht="12.75" customHeight="1" x14ac:dyDescent="0.2"/>
    <row r="5788" ht="12.75" customHeight="1" x14ac:dyDescent="0.2"/>
    <row r="5789" ht="12.75" customHeight="1" x14ac:dyDescent="0.2"/>
    <row r="5790" ht="12.75" customHeight="1" x14ac:dyDescent="0.2"/>
    <row r="5791" ht="12.75" customHeight="1" x14ac:dyDescent="0.2"/>
    <row r="5792" ht="12.75" customHeight="1" x14ac:dyDescent="0.2"/>
    <row r="5793" ht="12.75" customHeight="1" x14ac:dyDescent="0.2"/>
    <row r="5794" ht="12.75" customHeight="1" x14ac:dyDescent="0.2"/>
    <row r="5795" ht="12.75" customHeight="1" x14ac:dyDescent="0.2"/>
    <row r="5796" ht="12.75" customHeight="1" x14ac:dyDescent="0.2"/>
    <row r="5797" ht="12.75" customHeight="1" x14ac:dyDescent="0.2"/>
    <row r="5798" ht="12.75" customHeight="1" x14ac:dyDescent="0.2"/>
    <row r="5799" ht="12.75" customHeight="1" x14ac:dyDescent="0.2"/>
    <row r="5800" ht="12.75" customHeight="1" x14ac:dyDescent="0.2"/>
    <row r="5801" ht="12.75" customHeight="1" x14ac:dyDescent="0.2"/>
    <row r="5802" ht="12.75" customHeight="1" x14ac:dyDescent="0.2"/>
    <row r="5803" ht="12.75" customHeight="1" x14ac:dyDescent="0.2"/>
    <row r="5804" ht="12.75" customHeight="1" x14ac:dyDescent="0.2"/>
    <row r="5805" ht="12.75" customHeight="1" x14ac:dyDescent="0.2"/>
    <row r="5806" ht="12.75" customHeight="1" x14ac:dyDescent="0.2"/>
    <row r="5807" ht="12.75" customHeight="1" x14ac:dyDescent="0.2"/>
    <row r="5808" ht="12.75" customHeight="1" x14ac:dyDescent="0.2"/>
    <row r="5809" ht="12.75" customHeight="1" x14ac:dyDescent="0.2"/>
    <row r="5810" ht="12.75" customHeight="1" x14ac:dyDescent="0.2"/>
    <row r="5811" ht="12.75" customHeight="1" x14ac:dyDescent="0.2"/>
    <row r="5812" ht="12.75" customHeight="1" x14ac:dyDescent="0.2"/>
    <row r="5813" ht="12.75" customHeight="1" x14ac:dyDescent="0.2"/>
    <row r="5814" ht="12.75" customHeight="1" x14ac:dyDescent="0.2"/>
    <row r="5815" ht="12.75" customHeight="1" x14ac:dyDescent="0.2"/>
    <row r="5816" ht="12.75" customHeight="1" x14ac:dyDescent="0.2"/>
    <row r="5817" ht="12.75" customHeight="1" x14ac:dyDescent="0.2"/>
    <row r="5818" ht="12.75" customHeight="1" x14ac:dyDescent="0.2"/>
    <row r="5819" ht="12.75" customHeight="1" x14ac:dyDescent="0.2"/>
    <row r="5820" ht="12.75" customHeight="1" x14ac:dyDescent="0.2"/>
    <row r="5821" ht="12.75" customHeight="1" x14ac:dyDescent="0.2"/>
    <row r="5822" ht="12.75" customHeight="1" x14ac:dyDescent="0.2"/>
    <row r="5823" ht="12.75" customHeight="1" x14ac:dyDescent="0.2"/>
    <row r="5824" ht="12.75" customHeight="1" x14ac:dyDescent="0.2"/>
    <row r="5825" ht="12.75" customHeight="1" x14ac:dyDescent="0.2"/>
    <row r="5826" ht="12.75" customHeight="1" x14ac:dyDescent="0.2"/>
    <row r="5827" ht="12.75" customHeight="1" x14ac:dyDescent="0.2"/>
    <row r="5828" ht="12.75" customHeight="1" x14ac:dyDescent="0.2"/>
    <row r="5829" ht="12.75" customHeight="1" x14ac:dyDescent="0.2"/>
    <row r="5830" ht="12.75" customHeight="1" x14ac:dyDescent="0.2"/>
    <row r="5831" ht="12.75" customHeight="1" x14ac:dyDescent="0.2"/>
    <row r="5832" ht="12.75" customHeight="1" x14ac:dyDescent="0.2"/>
    <row r="5833" ht="12.75" customHeight="1" x14ac:dyDescent="0.2"/>
    <row r="5834" ht="12.75" customHeight="1" x14ac:dyDescent="0.2"/>
    <row r="5835" ht="12.75" customHeight="1" x14ac:dyDescent="0.2"/>
    <row r="5836" ht="12.75" customHeight="1" x14ac:dyDescent="0.2"/>
    <row r="5837" ht="12.75" customHeight="1" x14ac:dyDescent="0.2"/>
    <row r="5838" ht="12.75" customHeight="1" x14ac:dyDescent="0.2"/>
    <row r="5839" ht="12.75" customHeight="1" x14ac:dyDescent="0.2"/>
    <row r="5840" ht="12.75" customHeight="1" x14ac:dyDescent="0.2"/>
    <row r="5841" ht="12.75" customHeight="1" x14ac:dyDescent="0.2"/>
    <row r="5842" ht="12.75" customHeight="1" x14ac:dyDescent="0.2"/>
    <row r="5843" ht="12.75" customHeight="1" x14ac:dyDescent="0.2"/>
    <row r="5844" ht="12.75" customHeight="1" x14ac:dyDescent="0.2"/>
    <row r="5845" ht="12.75" customHeight="1" x14ac:dyDescent="0.2"/>
    <row r="5846" ht="12.75" customHeight="1" x14ac:dyDescent="0.2"/>
    <row r="5847" ht="12.75" customHeight="1" x14ac:dyDescent="0.2"/>
    <row r="5848" ht="12.75" customHeight="1" x14ac:dyDescent="0.2"/>
    <row r="5849" ht="12.75" customHeight="1" x14ac:dyDescent="0.2"/>
    <row r="5850" ht="12.75" customHeight="1" x14ac:dyDescent="0.2"/>
    <row r="5851" ht="12.75" customHeight="1" x14ac:dyDescent="0.2"/>
    <row r="5852" ht="12.75" customHeight="1" x14ac:dyDescent="0.2"/>
    <row r="5853" ht="12.75" customHeight="1" x14ac:dyDescent="0.2"/>
    <row r="5854" ht="12.75" customHeight="1" x14ac:dyDescent="0.2"/>
    <row r="5855" ht="12.75" customHeight="1" x14ac:dyDescent="0.2"/>
    <row r="5856" ht="12.75" customHeight="1" x14ac:dyDescent="0.2"/>
    <row r="5857" ht="12.75" customHeight="1" x14ac:dyDescent="0.2"/>
    <row r="5858" ht="12.75" customHeight="1" x14ac:dyDescent="0.2"/>
    <row r="5859" ht="12.75" customHeight="1" x14ac:dyDescent="0.2"/>
    <row r="5860" ht="12.75" customHeight="1" x14ac:dyDescent="0.2"/>
    <row r="5861" ht="12.75" customHeight="1" x14ac:dyDescent="0.2"/>
    <row r="5862" ht="12.75" customHeight="1" x14ac:dyDescent="0.2"/>
    <row r="5863" ht="12.75" customHeight="1" x14ac:dyDescent="0.2"/>
    <row r="5864" ht="12.75" customHeight="1" x14ac:dyDescent="0.2"/>
    <row r="5865" ht="12.75" customHeight="1" x14ac:dyDescent="0.2"/>
    <row r="5866" ht="12.75" customHeight="1" x14ac:dyDescent="0.2"/>
    <row r="5867" ht="12.75" customHeight="1" x14ac:dyDescent="0.2"/>
    <row r="5868" ht="12.75" customHeight="1" x14ac:dyDescent="0.2"/>
    <row r="5869" ht="12.75" customHeight="1" x14ac:dyDescent="0.2"/>
    <row r="5870" ht="12.75" customHeight="1" x14ac:dyDescent="0.2"/>
    <row r="5871" ht="12.75" customHeight="1" x14ac:dyDescent="0.2"/>
    <row r="5872" ht="12.75" customHeight="1" x14ac:dyDescent="0.2"/>
    <row r="5873" ht="12.75" customHeight="1" x14ac:dyDescent="0.2"/>
    <row r="5874" ht="12.75" customHeight="1" x14ac:dyDescent="0.2"/>
    <row r="5875" ht="12.75" customHeight="1" x14ac:dyDescent="0.2"/>
    <row r="5876" ht="12.75" customHeight="1" x14ac:dyDescent="0.2"/>
    <row r="5877" ht="12.75" customHeight="1" x14ac:dyDescent="0.2"/>
    <row r="5878" ht="12.75" customHeight="1" x14ac:dyDescent="0.2"/>
    <row r="5879" ht="12.75" customHeight="1" x14ac:dyDescent="0.2"/>
    <row r="5880" ht="12.75" customHeight="1" x14ac:dyDescent="0.2"/>
    <row r="5881" ht="12.75" customHeight="1" x14ac:dyDescent="0.2"/>
    <row r="5882" ht="12.75" customHeight="1" x14ac:dyDescent="0.2"/>
    <row r="5883" ht="12.75" customHeight="1" x14ac:dyDescent="0.2"/>
    <row r="5884" ht="12.75" customHeight="1" x14ac:dyDescent="0.2"/>
    <row r="5885" ht="12.75" customHeight="1" x14ac:dyDescent="0.2"/>
    <row r="5886" ht="12.75" customHeight="1" x14ac:dyDescent="0.2"/>
    <row r="5887" ht="12.75" customHeight="1" x14ac:dyDescent="0.2"/>
    <row r="5888" ht="12.75" customHeight="1" x14ac:dyDescent="0.2"/>
    <row r="5889" ht="12.75" customHeight="1" x14ac:dyDescent="0.2"/>
    <row r="5890" ht="12.75" customHeight="1" x14ac:dyDescent="0.2"/>
    <row r="5891" ht="12.75" customHeight="1" x14ac:dyDescent="0.2"/>
    <row r="5892" ht="12.75" customHeight="1" x14ac:dyDescent="0.2"/>
    <row r="5893" ht="12.75" customHeight="1" x14ac:dyDescent="0.2"/>
    <row r="5894" ht="12.75" customHeight="1" x14ac:dyDescent="0.2"/>
    <row r="5895" ht="12.75" customHeight="1" x14ac:dyDescent="0.2"/>
    <row r="5896" ht="12.75" customHeight="1" x14ac:dyDescent="0.2"/>
    <row r="5897" ht="12.75" customHeight="1" x14ac:dyDescent="0.2"/>
    <row r="5898" ht="12.75" customHeight="1" x14ac:dyDescent="0.2"/>
    <row r="5899" ht="12.75" customHeight="1" x14ac:dyDescent="0.2"/>
    <row r="5900" ht="12.75" customHeight="1" x14ac:dyDescent="0.2"/>
    <row r="5901" ht="12.75" customHeight="1" x14ac:dyDescent="0.2"/>
    <row r="5902" ht="12.75" customHeight="1" x14ac:dyDescent="0.2"/>
    <row r="5903" ht="12.75" customHeight="1" x14ac:dyDescent="0.2"/>
    <row r="5904" ht="12.75" customHeight="1" x14ac:dyDescent="0.2"/>
    <row r="5905" ht="12.75" customHeight="1" x14ac:dyDescent="0.2"/>
    <row r="5906" ht="12.75" customHeight="1" x14ac:dyDescent="0.2"/>
    <row r="5907" ht="12.75" customHeight="1" x14ac:dyDescent="0.2"/>
    <row r="5908" ht="12.75" customHeight="1" x14ac:dyDescent="0.2"/>
    <row r="5909" ht="12.75" customHeight="1" x14ac:dyDescent="0.2"/>
    <row r="5910" ht="12.75" customHeight="1" x14ac:dyDescent="0.2"/>
    <row r="5911" ht="12.75" customHeight="1" x14ac:dyDescent="0.2"/>
    <row r="5912" ht="12.75" customHeight="1" x14ac:dyDescent="0.2"/>
    <row r="5913" ht="12.75" customHeight="1" x14ac:dyDescent="0.2"/>
    <row r="5914" ht="12.75" customHeight="1" x14ac:dyDescent="0.2"/>
    <row r="5915" ht="12.75" customHeight="1" x14ac:dyDescent="0.2"/>
    <row r="5916" ht="12.75" customHeight="1" x14ac:dyDescent="0.2"/>
    <row r="5917" ht="12.75" customHeight="1" x14ac:dyDescent="0.2"/>
    <row r="5918" ht="12.75" customHeight="1" x14ac:dyDescent="0.2"/>
    <row r="5919" ht="12.75" customHeight="1" x14ac:dyDescent="0.2"/>
    <row r="5920" ht="12.75" customHeight="1" x14ac:dyDescent="0.2"/>
    <row r="5921" ht="12.75" customHeight="1" x14ac:dyDescent="0.2"/>
    <row r="5922" ht="12.75" customHeight="1" x14ac:dyDescent="0.2"/>
    <row r="5923" ht="12.75" customHeight="1" x14ac:dyDescent="0.2"/>
    <row r="5924" ht="12.75" customHeight="1" x14ac:dyDescent="0.2"/>
    <row r="5925" ht="12.75" customHeight="1" x14ac:dyDescent="0.2"/>
    <row r="5926" ht="12.75" customHeight="1" x14ac:dyDescent="0.2"/>
    <row r="5927" ht="12.75" customHeight="1" x14ac:dyDescent="0.2"/>
    <row r="5928" ht="12.75" customHeight="1" x14ac:dyDescent="0.2"/>
    <row r="5929" ht="12.75" customHeight="1" x14ac:dyDescent="0.2"/>
    <row r="5930" ht="12.75" customHeight="1" x14ac:dyDescent="0.2"/>
    <row r="5931" ht="12.75" customHeight="1" x14ac:dyDescent="0.2"/>
    <row r="5932" ht="12.75" customHeight="1" x14ac:dyDescent="0.2"/>
    <row r="5933" ht="12.75" customHeight="1" x14ac:dyDescent="0.2"/>
    <row r="5934" ht="12.75" customHeight="1" x14ac:dyDescent="0.2"/>
    <row r="5935" ht="12.75" customHeight="1" x14ac:dyDescent="0.2"/>
    <row r="5936" ht="12.75" customHeight="1" x14ac:dyDescent="0.2"/>
    <row r="5937" ht="12.75" customHeight="1" x14ac:dyDescent="0.2"/>
    <row r="5938" ht="12.75" customHeight="1" x14ac:dyDescent="0.2"/>
    <row r="5939" ht="12.75" customHeight="1" x14ac:dyDescent="0.2"/>
    <row r="5940" ht="12.75" customHeight="1" x14ac:dyDescent="0.2"/>
    <row r="5941" ht="12.75" customHeight="1" x14ac:dyDescent="0.2"/>
    <row r="5942" ht="12.75" customHeight="1" x14ac:dyDescent="0.2"/>
    <row r="5943" ht="12.75" customHeight="1" x14ac:dyDescent="0.2"/>
    <row r="5944" ht="12.75" customHeight="1" x14ac:dyDescent="0.2"/>
    <row r="5945" ht="12.75" customHeight="1" x14ac:dyDescent="0.2"/>
    <row r="5946" ht="12.75" customHeight="1" x14ac:dyDescent="0.2"/>
    <row r="5947" ht="12.75" customHeight="1" x14ac:dyDescent="0.2"/>
    <row r="5948" ht="12.75" customHeight="1" x14ac:dyDescent="0.2"/>
    <row r="5949" ht="12.75" customHeight="1" x14ac:dyDescent="0.2"/>
    <row r="5950" ht="12.75" customHeight="1" x14ac:dyDescent="0.2"/>
    <row r="5951" ht="12.75" customHeight="1" x14ac:dyDescent="0.2"/>
    <row r="5952" ht="12.75" customHeight="1" x14ac:dyDescent="0.2"/>
    <row r="5953" ht="12.75" customHeight="1" x14ac:dyDescent="0.2"/>
    <row r="5954" ht="12.75" customHeight="1" x14ac:dyDescent="0.2"/>
    <row r="5955" ht="12.75" customHeight="1" x14ac:dyDescent="0.2"/>
    <row r="5956" ht="12.75" customHeight="1" x14ac:dyDescent="0.2"/>
    <row r="5957" ht="12.75" customHeight="1" x14ac:dyDescent="0.2"/>
    <row r="5958" ht="12.75" customHeight="1" x14ac:dyDescent="0.2"/>
    <row r="5959" ht="12.75" customHeight="1" x14ac:dyDescent="0.2"/>
    <row r="5960" ht="12.75" customHeight="1" x14ac:dyDescent="0.2"/>
    <row r="5961" ht="12.75" customHeight="1" x14ac:dyDescent="0.2"/>
    <row r="5962" ht="12.75" customHeight="1" x14ac:dyDescent="0.2"/>
    <row r="5963" ht="12.75" customHeight="1" x14ac:dyDescent="0.2"/>
    <row r="5964" ht="12.75" customHeight="1" x14ac:dyDescent="0.2"/>
    <row r="5965" ht="12.75" customHeight="1" x14ac:dyDescent="0.2"/>
    <row r="5966" ht="12.75" customHeight="1" x14ac:dyDescent="0.2"/>
    <row r="5967" ht="12.75" customHeight="1" x14ac:dyDescent="0.2"/>
    <row r="5968" ht="12.75" customHeight="1" x14ac:dyDescent="0.2"/>
    <row r="5969" ht="12.75" customHeight="1" x14ac:dyDescent="0.2"/>
    <row r="5970" ht="12.75" customHeight="1" x14ac:dyDescent="0.2"/>
    <row r="5971" ht="12.75" customHeight="1" x14ac:dyDescent="0.2"/>
    <row r="5972" ht="12.75" customHeight="1" x14ac:dyDescent="0.2"/>
    <row r="5973" ht="12.75" customHeight="1" x14ac:dyDescent="0.2"/>
    <row r="5974" ht="12.75" customHeight="1" x14ac:dyDescent="0.2"/>
    <row r="5975" ht="12.75" customHeight="1" x14ac:dyDescent="0.2"/>
    <row r="5976" ht="12.75" customHeight="1" x14ac:dyDescent="0.2"/>
    <row r="5977" ht="12.75" customHeight="1" x14ac:dyDescent="0.2"/>
    <row r="5978" ht="12.75" customHeight="1" x14ac:dyDescent="0.2"/>
    <row r="5979" ht="12.75" customHeight="1" x14ac:dyDescent="0.2"/>
    <row r="5980" ht="12.75" customHeight="1" x14ac:dyDescent="0.2"/>
    <row r="5981" ht="12.75" customHeight="1" x14ac:dyDescent="0.2"/>
    <row r="5982" ht="12.75" customHeight="1" x14ac:dyDescent="0.2"/>
    <row r="5983" ht="12.75" customHeight="1" x14ac:dyDescent="0.2"/>
    <row r="5984" ht="12.75" customHeight="1" x14ac:dyDescent="0.2"/>
    <row r="5985" ht="12.75" customHeight="1" x14ac:dyDescent="0.2"/>
    <row r="5986" ht="12.75" customHeight="1" x14ac:dyDescent="0.2"/>
    <row r="5987" ht="12.75" customHeight="1" x14ac:dyDescent="0.2"/>
    <row r="5988" ht="12.75" customHeight="1" x14ac:dyDescent="0.2"/>
    <row r="5989" ht="12.75" customHeight="1" x14ac:dyDescent="0.2"/>
    <row r="5990" ht="12.75" customHeight="1" x14ac:dyDescent="0.2"/>
    <row r="5991" ht="12.75" customHeight="1" x14ac:dyDescent="0.2"/>
    <row r="5992" ht="12.75" customHeight="1" x14ac:dyDescent="0.2"/>
    <row r="5993" ht="12.75" customHeight="1" x14ac:dyDescent="0.2"/>
    <row r="5994" ht="12.75" customHeight="1" x14ac:dyDescent="0.2"/>
    <row r="5995" ht="12.75" customHeight="1" x14ac:dyDescent="0.2"/>
    <row r="5996" ht="12.75" customHeight="1" x14ac:dyDescent="0.2"/>
    <row r="5997" ht="12.75" customHeight="1" x14ac:dyDescent="0.2"/>
    <row r="5998" ht="12.75" customHeight="1" x14ac:dyDescent="0.2"/>
    <row r="5999" ht="12.75" customHeight="1" x14ac:dyDescent="0.2"/>
    <row r="6000" ht="12.75" customHeight="1" x14ac:dyDescent="0.2"/>
    <row r="6001" ht="12.75" customHeight="1" x14ac:dyDescent="0.2"/>
    <row r="6002" ht="12.75" customHeight="1" x14ac:dyDescent="0.2"/>
    <row r="6003" ht="12.75" customHeight="1" x14ac:dyDescent="0.2"/>
    <row r="6004" ht="12.75" customHeight="1" x14ac:dyDescent="0.2"/>
    <row r="6005" ht="12.75" customHeight="1" x14ac:dyDescent="0.2"/>
    <row r="6006" ht="12.75" customHeight="1" x14ac:dyDescent="0.2"/>
    <row r="6007" ht="12.75" customHeight="1" x14ac:dyDescent="0.2"/>
    <row r="6008" ht="12.75" customHeight="1" x14ac:dyDescent="0.2"/>
    <row r="6009" ht="12.75" customHeight="1" x14ac:dyDescent="0.2"/>
    <row r="6010" ht="12.75" customHeight="1" x14ac:dyDescent="0.2"/>
    <row r="6011" ht="12.75" customHeight="1" x14ac:dyDescent="0.2"/>
    <row r="6012" ht="12.75" customHeight="1" x14ac:dyDescent="0.2"/>
    <row r="6013" ht="12.75" customHeight="1" x14ac:dyDescent="0.2"/>
    <row r="6014" ht="12.75" customHeight="1" x14ac:dyDescent="0.2"/>
    <row r="6015" ht="12.75" customHeight="1" x14ac:dyDescent="0.2"/>
    <row r="6016" ht="12.75" customHeight="1" x14ac:dyDescent="0.2"/>
    <row r="6017" ht="12.75" customHeight="1" x14ac:dyDescent="0.2"/>
    <row r="6018" ht="12.75" customHeight="1" x14ac:dyDescent="0.2"/>
    <row r="6019" ht="12.75" customHeight="1" x14ac:dyDescent="0.2"/>
    <row r="6020" ht="12.75" customHeight="1" x14ac:dyDescent="0.2"/>
    <row r="6021" ht="12.75" customHeight="1" x14ac:dyDescent="0.2"/>
    <row r="6022" ht="12.75" customHeight="1" x14ac:dyDescent="0.2"/>
    <row r="6023" ht="12.75" customHeight="1" x14ac:dyDescent="0.2"/>
    <row r="6024" ht="12.75" customHeight="1" x14ac:dyDescent="0.2"/>
    <row r="6025" ht="12.75" customHeight="1" x14ac:dyDescent="0.2"/>
    <row r="6026" ht="12.75" customHeight="1" x14ac:dyDescent="0.2"/>
    <row r="6027" ht="12.75" customHeight="1" x14ac:dyDescent="0.2"/>
    <row r="6028" ht="12.75" customHeight="1" x14ac:dyDescent="0.2"/>
    <row r="6029" ht="12.75" customHeight="1" x14ac:dyDescent="0.2"/>
    <row r="6030" ht="12.75" customHeight="1" x14ac:dyDescent="0.2"/>
    <row r="6031" ht="12.75" customHeight="1" x14ac:dyDescent="0.2"/>
    <row r="6032" ht="12.75" customHeight="1" x14ac:dyDescent="0.2"/>
    <row r="6033" ht="12.75" customHeight="1" x14ac:dyDescent="0.2"/>
    <row r="6034" ht="12.75" customHeight="1" x14ac:dyDescent="0.2"/>
    <row r="6035" ht="12.75" customHeight="1" x14ac:dyDescent="0.2"/>
    <row r="6036" ht="12.75" customHeight="1" x14ac:dyDescent="0.2"/>
    <row r="6037" ht="12.75" customHeight="1" x14ac:dyDescent="0.2"/>
    <row r="6038" ht="12.75" customHeight="1" x14ac:dyDescent="0.2"/>
    <row r="6039" ht="12.75" customHeight="1" x14ac:dyDescent="0.2"/>
    <row r="6040" ht="12.75" customHeight="1" x14ac:dyDescent="0.2"/>
    <row r="6041" ht="12.75" customHeight="1" x14ac:dyDescent="0.2"/>
    <row r="6042" ht="12.75" customHeight="1" x14ac:dyDescent="0.2"/>
    <row r="6043" ht="12.75" customHeight="1" x14ac:dyDescent="0.2"/>
    <row r="6044" ht="12.75" customHeight="1" x14ac:dyDescent="0.2"/>
    <row r="6045" ht="12.75" customHeight="1" x14ac:dyDescent="0.2"/>
    <row r="6046" ht="12.75" customHeight="1" x14ac:dyDescent="0.2"/>
    <row r="6047" ht="12.75" customHeight="1" x14ac:dyDescent="0.2"/>
    <row r="6048" ht="12.75" customHeight="1" x14ac:dyDescent="0.2"/>
    <row r="6049" ht="12.75" customHeight="1" x14ac:dyDescent="0.2"/>
    <row r="6050" ht="12.75" customHeight="1" x14ac:dyDescent="0.2"/>
    <row r="6051" ht="12.75" customHeight="1" x14ac:dyDescent="0.2"/>
    <row r="6052" ht="12.75" customHeight="1" x14ac:dyDescent="0.2"/>
    <row r="6053" ht="12.75" customHeight="1" x14ac:dyDescent="0.2"/>
    <row r="6054" ht="12.75" customHeight="1" x14ac:dyDescent="0.2"/>
    <row r="6055" ht="12.75" customHeight="1" x14ac:dyDescent="0.2"/>
    <row r="6056" ht="12.75" customHeight="1" x14ac:dyDescent="0.2"/>
    <row r="6057" ht="12.75" customHeight="1" x14ac:dyDescent="0.2"/>
    <row r="6058" ht="12.75" customHeight="1" x14ac:dyDescent="0.2"/>
    <row r="6059" ht="12.75" customHeight="1" x14ac:dyDescent="0.2"/>
    <row r="6060" ht="12.75" customHeight="1" x14ac:dyDescent="0.2"/>
    <row r="6061" ht="12.75" customHeight="1" x14ac:dyDescent="0.2"/>
    <row r="6062" ht="12.75" customHeight="1" x14ac:dyDescent="0.2"/>
    <row r="6063" ht="12.75" customHeight="1" x14ac:dyDescent="0.2"/>
    <row r="6064" ht="12.75" customHeight="1" x14ac:dyDescent="0.2"/>
    <row r="6065" ht="12.75" customHeight="1" x14ac:dyDescent="0.2"/>
    <row r="6066" ht="12.75" customHeight="1" x14ac:dyDescent="0.2"/>
    <row r="6067" ht="12.75" customHeight="1" x14ac:dyDescent="0.2"/>
    <row r="6068" ht="12.75" customHeight="1" x14ac:dyDescent="0.2"/>
    <row r="6069" ht="12.75" customHeight="1" x14ac:dyDescent="0.2"/>
    <row r="6070" ht="12.75" customHeight="1" x14ac:dyDescent="0.2"/>
    <row r="6071" ht="12.75" customHeight="1" x14ac:dyDescent="0.2"/>
    <row r="6072" ht="12.75" customHeight="1" x14ac:dyDescent="0.2"/>
    <row r="6073" ht="12.75" customHeight="1" x14ac:dyDescent="0.2"/>
    <row r="6074" ht="12.75" customHeight="1" x14ac:dyDescent="0.2"/>
    <row r="6075" ht="12.75" customHeight="1" x14ac:dyDescent="0.2"/>
    <row r="6076" ht="12.75" customHeight="1" x14ac:dyDescent="0.2"/>
    <row r="6077" ht="12.75" customHeight="1" x14ac:dyDescent="0.2"/>
    <row r="6078" ht="12.75" customHeight="1" x14ac:dyDescent="0.2"/>
    <row r="6079" ht="12.75" customHeight="1" x14ac:dyDescent="0.2"/>
    <row r="6080" ht="12.75" customHeight="1" x14ac:dyDescent="0.2"/>
    <row r="6081" ht="12.75" customHeight="1" x14ac:dyDescent="0.2"/>
    <row r="6082" ht="12.75" customHeight="1" x14ac:dyDescent="0.2"/>
    <row r="6083" ht="12.75" customHeight="1" x14ac:dyDescent="0.2"/>
    <row r="6084" ht="12.75" customHeight="1" x14ac:dyDescent="0.2"/>
    <row r="6085" ht="12.75" customHeight="1" x14ac:dyDescent="0.2"/>
    <row r="6086" ht="12.75" customHeight="1" x14ac:dyDescent="0.2"/>
    <row r="6087" ht="12.75" customHeight="1" x14ac:dyDescent="0.2"/>
    <row r="6088" ht="12.75" customHeight="1" x14ac:dyDescent="0.2"/>
    <row r="6089" ht="12.75" customHeight="1" x14ac:dyDescent="0.2"/>
    <row r="6090" ht="12.75" customHeight="1" x14ac:dyDescent="0.2"/>
    <row r="6091" ht="12.75" customHeight="1" x14ac:dyDescent="0.2"/>
    <row r="6092" ht="12.75" customHeight="1" x14ac:dyDescent="0.2"/>
    <row r="6093" ht="12.75" customHeight="1" x14ac:dyDescent="0.2"/>
    <row r="6094" ht="12.75" customHeight="1" x14ac:dyDescent="0.2"/>
    <row r="6095" ht="12.75" customHeight="1" x14ac:dyDescent="0.2"/>
    <row r="6096" ht="12.75" customHeight="1" x14ac:dyDescent="0.2"/>
    <row r="6097" ht="12.75" customHeight="1" x14ac:dyDescent="0.2"/>
    <row r="6098" ht="12.75" customHeight="1" x14ac:dyDescent="0.2"/>
    <row r="6099" ht="12.75" customHeight="1" x14ac:dyDescent="0.2"/>
    <row r="6100" ht="12.75" customHeight="1" x14ac:dyDescent="0.2"/>
    <row r="6101" ht="12.75" customHeight="1" x14ac:dyDescent="0.2"/>
    <row r="6102" ht="12.75" customHeight="1" x14ac:dyDescent="0.2"/>
    <row r="6103" ht="12.75" customHeight="1" x14ac:dyDescent="0.2"/>
    <row r="6104" ht="12.75" customHeight="1" x14ac:dyDescent="0.2"/>
    <row r="6105" ht="12.75" customHeight="1" x14ac:dyDescent="0.2"/>
    <row r="6106" ht="12.75" customHeight="1" x14ac:dyDescent="0.2"/>
    <row r="6107" ht="12.75" customHeight="1" x14ac:dyDescent="0.2"/>
    <row r="6108" ht="12.75" customHeight="1" x14ac:dyDescent="0.2"/>
    <row r="6109" ht="12.75" customHeight="1" x14ac:dyDescent="0.2"/>
    <row r="6110" ht="12.75" customHeight="1" x14ac:dyDescent="0.2"/>
    <row r="6111" ht="12.75" customHeight="1" x14ac:dyDescent="0.2"/>
    <row r="6112" ht="12.75" customHeight="1" x14ac:dyDescent="0.2"/>
    <row r="6113" ht="12.75" customHeight="1" x14ac:dyDescent="0.2"/>
    <row r="6114" ht="12.75" customHeight="1" x14ac:dyDescent="0.2"/>
    <row r="6115" ht="12.75" customHeight="1" x14ac:dyDescent="0.2"/>
    <row r="6116" ht="12.75" customHeight="1" x14ac:dyDescent="0.2"/>
    <row r="6117" ht="12.75" customHeight="1" x14ac:dyDescent="0.2"/>
    <row r="6118" ht="12.75" customHeight="1" x14ac:dyDescent="0.2"/>
    <row r="6119" ht="12.75" customHeight="1" x14ac:dyDescent="0.2"/>
    <row r="6120" ht="12.75" customHeight="1" x14ac:dyDescent="0.2"/>
    <row r="6121" ht="12.75" customHeight="1" x14ac:dyDescent="0.2"/>
    <row r="6122" ht="12.75" customHeight="1" x14ac:dyDescent="0.2"/>
    <row r="6123" ht="12.75" customHeight="1" x14ac:dyDescent="0.2"/>
    <row r="6124" ht="12.75" customHeight="1" x14ac:dyDescent="0.2"/>
    <row r="6125" ht="12.75" customHeight="1" x14ac:dyDescent="0.2"/>
    <row r="6126" ht="12.75" customHeight="1" x14ac:dyDescent="0.2"/>
    <row r="6127" ht="12.75" customHeight="1" x14ac:dyDescent="0.2"/>
    <row r="6128" ht="12.75" customHeight="1" x14ac:dyDescent="0.2"/>
    <row r="6129" ht="12.75" customHeight="1" x14ac:dyDescent="0.2"/>
    <row r="6130" ht="12.75" customHeight="1" x14ac:dyDescent="0.2"/>
    <row r="6131" ht="12.75" customHeight="1" x14ac:dyDescent="0.2"/>
    <row r="6132" ht="12.75" customHeight="1" x14ac:dyDescent="0.2"/>
    <row r="6133" ht="12.75" customHeight="1" x14ac:dyDescent="0.2"/>
    <row r="6134" ht="12.75" customHeight="1" x14ac:dyDescent="0.2"/>
    <row r="6135" ht="12.75" customHeight="1" x14ac:dyDescent="0.2"/>
    <row r="6136" ht="12.75" customHeight="1" x14ac:dyDescent="0.2"/>
    <row r="6137" ht="12.75" customHeight="1" x14ac:dyDescent="0.2"/>
    <row r="6138" ht="12.75" customHeight="1" x14ac:dyDescent="0.2"/>
    <row r="6139" ht="12.75" customHeight="1" x14ac:dyDescent="0.2"/>
    <row r="6140" ht="12.75" customHeight="1" x14ac:dyDescent="0.2"/>
    <row r="6141" ht="12.75" customHeight="1" x14ac:dyDescent="0.2"/>
    <row r="6142" ht="12.75" customHeight="1" x14ac:dyDescent="0.2"/>
    <row r="6143" ht="12.75" customHeight="1" x14ac:dyDescent="0.2"/>
    <row r="6144" ht="12.75" customHeight="1" x14ac:dyDescent="0.2"/>
    <row r="6145" ht="12.75" customHeight="1" x14ac:dyDescent="0.2"/>
    <row r="6146" ht="12.75" customHeight="1" x14ac:dyDescent="0.2"/>
    <row r="6147" ht="12.75" customHeight="1" x14ac:dyDescent="0.2"/>
    <row r="6148" ht="12.75" customHeight="1" x14ac:dyDescent="0.2"/>
    <row r="6149" ht="12.75" customHeight="1" x14ac:dyDescent="0.2"/>
    <row r="6150" ht="12.75" customHeight="1" x14ac:dyDescent="0.2"/>
    <row r="6151" ht="12.75" customHeight="1" x14ac:dyDescent="0.2"/>
    <row r="6152" ht="12.75" customHeight="1" x14ac:dyDescent="0.2"/>
    <row r="6153" ht="12.75" customHeight="1" x14ac:dyDescent="0.2"/>
    <row r="6154" ht="12.75" customHeight="1" x14ac:dyDescent="0.2"/>
    <row r="6155" ht="12.75" customHeight="1" x14ac:dyDescent="0.2"/>
    <row r="6156" ht="12.75" customHeight="1" x14ac:dyDescent="0.2"/>
    <row r="6157" ht="12.75" customHeight="1" x14ac:dyDescent="0.2"/>
    <row r="6158" ht="12.75" customHeight="1" x14ac:dyDescent="0.2"/>
    <row r="6159" ht="12.75" customHeight="1" x14ac:dyDescent="0.2"/>
    <row r="6160" ht="12.75" customHeight="1" x14ac:dyDescent="0.2"/>
    <row r="6161" ht="12.75" customHeight="1" x14ac:dyDescent="0.2"/>
    <row r="6162" ht="12.75" customHeight="1" x14ac:dyDescent="0.2"/>
    <row r="6163" ht="12.75" customHeight="1" x14ac:dyDescent="0.2"/>
    <row r="6164" ht="12.75" customHeight="1" x14ac:dyDescent="0.2"/>
    <row r="6165" ht="12.75" customHeight="1" x14ac:dyDescent="0.2"/>
    <row r="6166" ht="12.75" customHeight="1" x14ac:dyDescent="0.2"/>
    <row r="6167" ht="12.75" customHeight="1" x14ac:dyDescent="0.2"/>
    <row r="6168" ht="12.75" customHeight="1" x14ac:dyDescent="0.2"/>
    <row r="6169" ht="12.75" customHeight="1" x14ac:dyDescent="0.2"/>
    <row r="6170" ht="12.75" customHeight="1" x14ac:dyDescent="0.2"/>
    <row r="6171" ht="12.75" customHeight="1" x14ac:dyDescent="0.2"/>
    <row r="6172" ht="12.75" customHeight="1" x14ac:dyDescent="0.2"/>
    <row r="6173" ht="12.75" customHeight="1" x14ac:dyDescent="0.2"/>
    <row r="6174" ht="12.75" customHeight="1" x14ac:dyDescent="0.2"/>
    <row r="6175" ht="12.75" customHeight="1" x14ac:dyDescent="0.2"/>
    <row r="6176" ht="12.75" customHeight="1" x14ac:dyDescent="0.2"/>
    <row r="6177" ht="12.75" customHeight="1" x14ac:dyDescent="0.2"/>
    <row r="6178" ht="12.75" customHeight="1" x14ac:dyDescent="0.2"/>
    <row r="6179" ht="12.75" customHeight="1" x14ac:dyDescent="0.2"/>
    <row r="6180" ht="12.75" customHeight="1" x14ac:dyDescent="0.2"/>
    <row r="6181" ht="12.75" customHeight="1" x14ac:dyDescent="0.2"/>
    <row r="6182" ht="12.75" customHeight="1" x14ac:dyDescent="0.2"/>
    <row r="6183" ht="12.75" customHeight="1" x14ac:dyDescent="0.2"/>
    <row r="6184" ht="12.75" customHeight="1" x14ac:dyDescent="0.2"/>
    <row r="6185" ht="12.75" customHeight="1" x14ac:dyDescent="0.2"/>
    <row r="6186" ht="12.75" customHeight="1" x14ac:dyDescent="0.2"/>
    <row r="6187" ht="12.75" customHeight="1" x14ac:dyDescent="0.2"/>
    <row r="6188" ht="12.75" customHeight="1" x14ac:dyDescent="0.2"/>
    <row r="6189" ht="12.75" customHeight="1" x14ac:dyDescent="0.2"/>
    <row r="6190" ht="12.75" customHeight="1" x14ac:dyDescent="0.2"/>
    <row r="6191" ht="12.75" customHeight="1" x14ac:dyDescent="0.2"/>
    <row r="6192" ht="12.75" customHeight="1" x14ac:dyDescent="0.2"/>
    <row r="6193" ht="12.75" customHeight="1" x14ac:dyDescent="0.2"/>
    <row r="6194" ht="12.75" customHeight="1" x14ac:dyDescent="0.2"/>
    <row r="6195" ht="12.75" customHeight="1" x14ac:dyDescent="0.2"/>
    <row r="6196" ht="12.75" customHeight="1" x14ac:dyDescent="0.2"/>
    <row r="6197" ht="12.75" customHeight="1" x14ac:dyDescent="0.2"/>
    <row r="6198" ht="12.75" customHeight="1" x14ac:dyDescent="0.2"/>
    <row r="6199" ht="12.75" customHeight="1" x14ac:dyDescent="0.2"/>
    <row r="6200" ht="12.75" customHeight="1" x14ac:dyDescent="0.2"/>
    <row r="6201" ht="12.75" customHeight="1" x14ac:dyDescent="0.2"/>
    <row r="6202" ht="12.75" customHeight="1" x14ac:dyDescent="0.2"/>
    <row r="6203" ht="12.75" customHeight="1" x14ac:dyDescent="0.2"/>
    <row r="6204" ht="12.75" customHeight="1" x14ac:dyDescent="0.2"/>
    <row r="6205" ht="12.75" customHeight="1" x14ac:dyDescent="0.2"/>
    <row r="6206" ht="12.75" customHeight="1" x14ac:dyDescent="0.2"/>
    <row r="6207" ht="12.75" customHeight="1" x14ac:dyDescent="0.2"/>
    <row r="6208" ht="12.75" customHeight="1" x14ac:dyDescent="0.2"/>
    <row r="6209" ht="12.75" customHeight="1" x14ac:dyDescent="0.2"/>
    <row r="6210" ht="12.75" customHeight="1" x14ac:dyDescent="0.2"/>
    <row r="6211" ht="12.75" customHeight="1" x14ac:dyDescent="0.2"/>
    <row r="6212" ht="12.75" customHeight="1" x14ac:dyDescent="0.2"/>
    <row r="6213" ht="12.75" customHeight="1" x14ac:dyDescent="0.2"/>
    <row r="6214" ht="12.75" customHeight="1" x14ac:dyDescent="0.2"/>
    <row r="6215" ht="12.75" customHeight="1" x14ac:dyDescent="0.2"/>
    <row r="6216" ht="12.75" customHeight="1" x14ac:dyDescent="0.2"/>
    <row r="6217" ht="12.75" customHeight="1" x14ac:dyDescent="0.2"/>
    <row r="6218" ht="12.75" customHeight="1" x14ac:dyDescent="0.2"/>
    <row r="6219" ht="12.75" customHeight="1" x14ac:dyDescent="0.2"/>
    <row r="6220" ht="12.75" customHeight="1" x14ac:dyDescent="0.2"/>
    <row r="6221" ht="12.75" customHeight="1" x14ac:dyDescent="0.2"/>
    <row r="6222" ht="12.75" customHeight="1" x14ac:dyDescent="0.2"/>
    <row r="6223" ht="12.75" customHeight="1" x14ac:dyDescent="0.2"/>
    <row r="6224" ht="12.75" customHeight="1" x14ac:dyDescent="0.2"/>
    <row r="6225" ht="12.75" customHeight="1" x14ac:dyDescent="0.2"/>
    <row r="6226" ht="12.75" customHeight="1" x14ac:dyDescent="0.2"/>
    <row r="6227" ht="12.75" customHeight="1" x14ac:dyDescent="0.2"/>
    <row r="6228" ht="12.75" customHeight="1" x14ac:dyDescent="0.2"/>
    <row r="6229" ht="12.75" customHeight="1" x14ac:dyDescent="0.2"/>
    <row r="6230" ht="12.75" customHeight="1" x14ac:dyDescent="0.2"/>
    <row r="6231" ht="12.75" customHeight="1" x14ac:dyDescent="0.2"/>
    <row r="6232" ht="12.75" customHeight="1" x14ac:dyDescent="0.2"/>
    <row r="6233" ht="12.75" customHeight="1" x14ac:dyDescent="0.2"/>
    <row r="6234" ht="12.75" customHeight="1" x14ac:dyDescent="0.2"/>
    <row r="6235" ht="12.75" customHeight="1" x14ac:dyDescent="0.2"/>
    <row r="6236" ht="12.75" customHeight="1" x14ac:dyDescent="0.2"/>
    <row r="6237" ht="12.75" customHeight="1" x14ac:dyDescent="0.2"/>
    <row r="6238" ht="12.75" customHeight="1" x14ac:dyDescent="0.2"/>
    <row r="6239" ht="12.75" customHeight="1" x14ac:dyDescent="0.2"/>
    <row r="6240" ht="12.75" customHeight="1" x14ac:dyDescent="0.2"/>
    <row r="6241" ht="12.75" customHeight="1" x14ac:dyDescent="0.2"/>
    <row r="6242" ht="12.75" customHeight="1" x14ac:dyDescent="0.2"/>
    <row r="6243" ht="12.75" customHeight="1" x14ac:dyDescent="0.2"/>
    <row r="6244" ht="12.75" customHeight="1" x14ac:dyDescent="0.2"/>
    <row r="6245" ht="12.75" customHeight="1" x14ac:dyDescent="0.2"/>
    <row r="6246" ht="12.75" customHeight="1" x14ac:dyDescent="0.2"/>
    <row r="6247" ht="12.75" customHeight="1" x14ac:dyDescent="0.2"/>
    <row r="6248" ht="12.75" customHeight="1" x14ac:dyDescent="0.2"/>
    <row r="6249" ht="12.75" customHeight="1" x14ac:dyDescent="0.2"/>
    <row r="6250" ht="12.75" customHeight="1" x14ac:dyDescent="0.2"/>
    <row r="6251" ht="12.75" customHeight="1" x14ac:dyDescent="0.2"/>
    <row r="6252" ht="12.75" customHeight="1" x14ac:dyDescent="0.2"/>
    <row r="6253" ht="12.75" customHeight="1" x14ac:dyDescent="0.2"/>
    <row r="6254" ht="12.75" customHeight="1" x14ac:dyDescent="0.2"/>
    <row r="6255" ht="12.75" customHeight="1" x14ac:dyDescent="0.2"/>
    <row r="6256" ht="12.75" customHeight="1" x14ac:dyDescent="0.2"/>
    <row r="6257" ht="12.75" customHeight="1" x14ac:dyDescent="0.2"/>
    <row r="6258" ht="12.75" customHeight="1" x14ac:dyDescent="0.2"/>
    <row r="6259" ht="12.75" customHeight="1" x14ac:dyDescent="0.2"/>
    <row r="6260" ht="12.75" customHeight="1" x14ac:dyDescent="0.2"/>
    <row r="6261" ht="12.75" customHeight="1" x14ac:dyDescent="0.2"/>
    <row r="6262" ht="12.75" customHeight="1" x14ac:dyDescent="0.2"/>
    <row r="6263" ht="12.75" customHeight="1" x14ac:dyDescent="0.2"/>
    <row r="6264" ht="12.75" customHeight="1" x14ac:dyDescent="0.2"/>
    <row r="6265" ht="12.75" customHeight="1" x14ac:dyDescent="0.2"/>
    <row r="6266" ht="12.75" customHeight="1" x14ac:dyDescent="0.2"/>
    <row r="6267" ht="12.75" customHeight="1" x14ac:dyDescent="0.2"/>
    <row r="6268" ht="12.75" customHeight="1" x14ac:dyDescent="0.2"/>
    <row r="6269" ht="12.75" customHeight="1" x14ac:dyDescent="0.2"/>
    <row r="6270" ht="12.75" customHeight="1" x14ac:dyDescent="0.2"/>
    <row r="6271" ht="12.75" customHeight="1" x14ac:dyDescent="0.2"/>
    <row r="6272" ht="12.75" customHeight="1" x14ac:dyDescent="0.2"/>
    <row r="6273" ht="12.75" customHeight="1" x14ac:dyDescent="0.2"/>
    <row r="6274" ht="12.75" customHeight="1" x14ac:dyDescent="0.2"/>
    <row r="6275" ht="12.75" customHeight="1" x14ac:dyDescent="0.2"/>
    <row r="6276" ht="12.75" customHeight="1" x14ac:dyDescent="0.2"/>
    <row r="6277" ht="12.75" customHeight="1" x14ac:dyDescent="0.2"/>
    <row r="6278" ht="12.75" customHeight="1" x14ac:dyDescent="0.2"/>
    <row r="6279" ht="12.75" customHeight="1" x14ac:dyDescent="0.2"/>
    <row r="6280" ht="12.75" customHeight="1" x14ac:dyDescent="0.2"/>
    <row r="6281" ht="12.75" customHeight="1" x14ac:dyDescent="0.2"/>
    <row r="6282" ht="12.75" customHeight="1" x14ac:dyDescent="0.2"/>
    <row r="6283" ht="12.75" customHeight="1" x14ac:dyDescent="0.2"/>
    <row r="6284" ht="12.75" customHeight="1" x14ac:dyDescent="0.2"/>
    <row r="6285" ht="12.75" customHeight="1" x14ac:dyDescent="0.2"/>
    <row r="6286" ht="12.75" customHeight="1" x14ac:dyDescent="0.2"/>
    <row r="6287" ht="12.75" customHeight="1" x14ac:dyDescent="0.2"/>
    <row r="6288" ht="12.75" customHeight="1" x14ac:dyDescent="0.2"/>
    <row r="6289" ht="12.75" customHeight="1" x14ac:dyDescent="0.2"/>
    <row r="6290" ht="12.75" customHeight="1" x14ac:dyDescent="0.2"/>
    <row r="6291" ht="12.75" customHeight="1" x14ac:dyDescent="0.2"/>
    <row r="6292" ht="12.75" customHeight="1" x14ac:dyDescent="0.2"/>
    <row r="6293" ht="12.75" customHeight="1" x14ac:dyDescent="0.2"/>
    <row r="6294" ht="12.75" customHeight="1" x14ac:dyDescent="0.2"/>
    <row r="6295" ht="12.75" customHeight="1" x14ac:dyDescent="0.2"/>
    <row r="6296" ht="12.75" customHeight="1" x14ac:dyDescent="0.2"/>
    <row r="6297" ht="12.75" customHeight="1" x14ac:dyDescent="0.2"/>
    <row r="6298" ht="12.75" customHeight="1" x14ac:dyDescent="0.2"/>
    <row r="6299" ht="12.75" customHeight="1" x14ac:dyDescent="0.2"/>
    <row r="6300" ht="12.75" customHeight="1" x14ac:dyDescent="0.2"/>
    <row r="6301" ht="12.75" customHeight="1" x14ac:dyDescent="0.2"/>
    <row r="6302" ht="12.75" customHeight="1" x14ac:dyDescent="0.2"/>
    <row r="6303" ht="12.75" customHeight="1" x14ac:dyDescent="0.2"/>
    <row r="6304" ht="12.75" customHeight="1" x14ac:dyDescent="0.2"/>
    <row r="6305" ht="12.75" customHeight="1" x14ac:dyDescent="0.2"/>
    <row r="6306" ht="12.75" customHeight="1" x14ac:dyDescent="0.2"/>
    <row r="6307" ht="12.75" customHeight="1" x14ac:dyDescent="0.2"/>
    <row r="6308" ht="12.75" customHeight="1" x14ac:dyDescent="0.2"/>
    <row r="6309" ht="12.75" customHeight="1" x14ac:dyDescent="0.2"/>
    <row r="6310" ht="12.75" customHeight="1" x14ac:dyDescent="0.2"/>
    <row r="6311" ht="12.75" customHeight="1" x14ac:dyDescent="0.2"/>
    <row r="6312" ht="12.75" customHeight="1" x14ac:dyDescent="0.2"/>
    <row r="6313" ht="12.75" customHeight="1" x14ac:dyDescent="0.2"/>
    <row r="6314" ht="12.75" customHeight="1" x14ac:dyDescent="0.2"/>
    <row r="6315" ht="12.75" customHeight="1" x14ac:dyDescent="0.2"/>
    <row r="6316" ht="12.75" customHeight="1" x14ac:dyDescent="0.2"/>
    <row r="6317" ht="12.75" customHeight="1" x14ac:dyDescent="0.2"/>
    <row r="6318" ht="12.75" customHeight="1" x14ac:dyDescent="0.2"/>
    <row r="6319" ht="12.75" customHeight="1" x14ac:dyDescent="0.2"/>
    <row r="6320" ht="12.75" customHeight="1" x14ac:dyDescent="0.2"/>
    <row r="6321" ht="12.75" customHeight="1" x14ac:dyDescent="0.2"/>
    <row r="6322" ht="12.75" customHeight="1" x14ac:dyDescent="0.2"/>
    <row r="6323" ht="12.75" customHeight="1" x14ac:dyDescent="0.2"/>
    <row r="6324" ht="12.75" customHeight="1" x14ac:dyDescent="0.2"/>
    <row r="6325" ht="12.75" customHeight="1" x14ac:dyDescent="0.2"/>
    <row r="6326" ht="12.75" customHeight="1" x14ac:dyDescent="0.2"/>
    <row r="6327" ht="12.75" customHeight="1" x14ac:dyDescent="0.2"/>
    <row r="6328" ht="12.75" customHeight="1" x14ac:dyDescent="0.2"/>
    <row r="6329" ht="12.75" customHeight="1" x14ac:dyDescent="0.2"/>
    <row r="6330" ht="12.75" customHeight="1" x14ac:dyDescent="0.2"/>
    <row r="6331" ht="12.75" customHeight="1" x14ac:dyDescent="0.2"/>
    <row r="6332" ht="12.75" customHeight="1" x14ac:dyDescent="0.2"/>
    <row r="6333" ht="12.75" customHeight="1" x14ac:dyDescent="0.2"/>
    <row r="6334" ht="12.75" customHeight="1" x14ac:dyDescent="0.2"/>
    <row r="6335" ht="12.75" customHeight="1" x14ac:dyDescent="0.2"/>
    <row r="6336" ht="12.75" customHeight="1" x14ac:dyDescent="0.2"/>
    <row r="6337" ht="12.75" customHeight="1" x14ac:dyDescent="0.2"/>
    <row r="6338" ht="12.75" customHeight="1" x14ac:dyDescent="0.2"/>
    <row r="6339" ht="12.75" customHeight="1" x14ac:dyDescent="0.2"/>
    <row r="6340" ht="12.75" customHeight="1" x14ac:dyDescent="0.2"/>
    <row r="6341" ht="12.75" customHeight="1" x14ac:dyDescent="0.2"/>
    <row r="6342" ht="12.75" customHeight="1" x14ac:dyDescent="0.2"/>
    <row r="6343" ht="12.75" customHeight="1" x14ac:dyDescent="0.2"/>
    <row r="6344" ht="12.75" customHeight="1" x14ac:dyDescent="0.2"/>
    <row r="6345" ht="12.75" customHeight="1" x14ac:dyDescent="0.2"/>
    <row r="6346" ht="12.75" customHeight="1" x14ac:dyDescent="0.2"/>
    <row r="6347" ht="12.75" customHeight="1" x14ac:dyDescent="0.2"/>
    <row r="6348" ht="12.75" customHeight="1" x14ac:dyDescent="0.2"/>
    <row r="6349" ht="12.75" customHeight="1" x14ac:dyDescent="0.2"/>
    <row r="6350" ht="12.75" customHeight="1" x14ac:dyDescent="0.2"/>
    <row r="6351" ht="12.75" customHeight="1" x14ac:dyDescent="0.2"/>
    <row r="6352" ht="12.75" customHeight="1" x14ac:dyDescent="0.2"/>
    <row r="6353" ht="12.75" customHeight="1" x14ac:dyDescent="0.2"/>
    <row r="6354" ht="12.75" customHeight="1" x14ac:dyDescent="0.2"/>
    <row r="6355" ht="12.75" customHeight="1" x14ac:dyDescent="0.2"/>
    <row r="6356" ht="12.75" customHeight="1" x14ac:dyDescent="0.2"/>
    <row r="6357" ht="12.75" customHeight="1" x14ac:dyDescent="0.2"/>
    <row r="6358" ht="12.75" customHeight="1" x14ac:dyDescent="0.2"/>
    <row r="6359" ht="12.75" customHeight="1" x14ac:dyDescent="0.2"/>
    <row r="6360" ht="12.75" customHeight="1" x14ac:dyDescent="0.2"/>
    <row r="6361" ht="12.75" customHeight="1" x14ac:dyDescent="0.2"/>
    <row r="6362" ht="12.75" customHeight="1" x14ac:dyDescent="0.2"/>
    <row r="6363" ht="12.75" customHeight="1" x14ac:dyDescent="0.2"/>
    <row r="6364" ht="12.75" customHeight="1" x14ac:dyDescent="0.2"/>
    <row r="6365" ht="12.75" customHeight="1" x14ac:dyDescent="0.2"/>
    <row r="6366" ht="12.75" customHeight="1" x14ac:dyDescent="0.2"/>
    <row r="6367" ht="12.75" customHeight="1" x14ac:dyDescent="0.2"/>
    <row r="6368" ht="12.75" customHeight="1" x14ac:dyDescent="0.2"/>
    <row r="6369" ht="12.75" customHeight="1" x14ac:dyDescent="0.2"/>
    <row r="6370" ht="12.75" customHeight="1" x14ac:dyDescent="0.2"/>
    <row r="6371" ht="12.75" customHeight="1" x14ac:dyDescent="0.2"/>
    <row r="6372" ht="12.75" customHeight="1" x14ac:dyDescent="0.2"/>
    <row r="6373" ht="12.75" customHeight="1" x14ac:dyDescent="0.2"/>
    <row r="6374" ht="12.75" customHeight="1" x14ac:dyDescent="0.2"/>
    <row r="6375" ht="12.75" customHeight="1" x14ac:dyDescent="0.2"/>
    <row r="6376" ht="12.75" customHeight="1" x14ac:dyDescent="0.2"/>
    <row r="6377" ht="12.75" customHeight="1" x14ac:dyDescent="0.2"/>
    <row r="6378" ht="12.75" customHeight="1" x14ac:dyDescent="0.2"/>
    <row r="6379" ht="12.75" customHeight="1" x14ac:dyDescent="0.2"/>
    <row r="6380" ht="12.75" customHeight="1" x14ac:dyDescent="0.2"/>
    <row r="6381" ht="12.75" customHeight="1" x14ac:dyDescent="0.2"/>
    <row r="6382" ht="12.75" customHeight="1" x14ac:dyDescent="0.2"/>
    <row r="6383" ht="12.75" customHeight="1" x14ac:dyDescent="0.2"/>
    <row r="6384" ht="12.75" customHeight="1" x14ac:dyDescent="0.2"/>
    <row r="6385" ht="12.75" customHeight="1" x14ac:dyDescent="0.2"/>
    <row r="6386" ht="12.75" customHeight="1" x14ac:dyDescent="0.2"/>
    <row r="6387" ht="12.75" customHeight="1" x14ac:dyDescent="0.2"/>
    <row r="6388" ht="12.75" customHeight="1" x14ac:dyDescent="0.2"/>
    <row r="6389" ht="12.75" customHeight="1" x14ac:dyDescent="0.2"/>
    <row r="6390" ht="12.75" customHeight="1" x14ac:dyDescent="0.2"/>
    <row r="6391" ht="12.75" customHeight="1" x14ac:dyDescent="0.2"/>
    <row r="6392" ht="12.75" customHeight="1" x14ac:dyDescent="0.2"/>
    <row r="6393" ht="12.75" customHeight="1" x14ac:dyDescent="0.2"/>
    <row r="6394" ht="12.75" customHeight="1" x14ac:dyDescent="0.2"/>
    <row r="6395" ht="12.75" customHeight="1" x14ac:dyDescent="0.2"/>
    <row r="6396" ht="12.75" customHeight="1" x14ac:dyDescent="0.2"/>
    <row r="6397" ht="12.75" customHeight="1" x14ac:dyDescent="0.2"/>
    <row r="6398" ht="12.75" customHeight="1" x14ac:dyDescent="0.2"/>
    <row r="6399" ht="12.75" customHeight="1" x14ac:dyDescent="0.2"/>
    <row r="6400" ht="12.75" customHeight="1" x14ac:dyDescent="0.2"/>
    <row r="6401" ht="12.75" customHeight="1" x14ac:dyDescent="0.2"/>
    <row r="6402" ht="12.75" customHeight="1" x14ac:dyDescent="0.2"/>
    <row r="6403" ht="12.75" customHeight="1" x14ac:dyDescent="0.2"/>
    <row r="6404" ht="12.75" customHeight="1" x14ac:dyDescent="0.2"/>
    <row r="6405" ht="12.75" customHeight="1" x14ac:dyDescent="0.2"/>
    <row r="6406" ht="12.75" customHeight="1" x14ac:dyDescent="0.2"/>
    <row r="6407" ht="12.75" customHeight="1" x14ac:dyDescent="0.2"/>
    <row r="6408" ht="12.75" customHeight="1" x14ac:dyDescent="0.2"/>
    <row r="6409" ht="12.75" customHeight="1" x14ac:dyDescent="0.2"/>
    <row r="6410" ht="12.75" customHeight="1" x14ac:dyDescent="0.2"/>
    <row r="6411" ht="12.75" customHeight="1" x14ac:dyDescent="0.2"/>
    <row r="6412" ht="12.75" customHeight="1" x14ac:dyDescent="0.2"/>
    <row r="6413" ht="12.75" customHeight="1" x14ac:dyDescent="0.2"/>
    <row r="6414" ht="12.75" customHeight="1" x14ac:dyDescent="0.2"/>
    <row r="6415" ht="12.75" customHeight="1" x14ac:dyDescent="0.2"/>
    <row r="6416" ht="12.75" customHeight="1" x14ac:dyDescent="0.2"/>
    <row r="6417" ht="12.75" customHeight="1" x14ac:dyDescent="0.2"/>
    <row r="6418" ht="12.75" customHeight="1" x14ac:dyDescent="0.2"/>
    <row r="6419" ht="12.75" customHeight="1" x14ac:dyDescent="0.2"/>
    <row r="6420" ht="12.75" customHeight="1" x14ac:dyDescent="0.2"/>
    <row r="6421" ht="12.75" customHeight="1" x14ac:dyDescent="0.2"/>
    <row r="6422" ht="12.75" customHeight="1" x14ac:dyDescent="0.2"/>
    <row r="6423" ht="12.75" customHeight="1" x14ac:dyDescent="0.2"/>
    <row r="6424" ht="12.75" customHeight="1" x14ac:dyDescent="0.2"/>
    <row r="6425" ht="12.75" customHeight="1" x14ac:dyDescent="0.2"/>
    <row r="6426" ht="12.75" customHeight="1" x14ac:dyDescent="0.2"/>
    <row r="6427" ht="12.75" customHeight="1" x14ac:dyDescent="0.2"/>
    <row r="6428" ht="12.75" customHeight="1" x14ac:dyDescent="0.2"/>
    <row r="6429" ht="12.75" customHeight="1" x14ac:dyDescent="0.2"/>
    <row r="6430" ht="12.75" customHeight="1" x14ac:dyDescent="0.2"/>
    <row r="6431" ht="12.75" customHeight="1" x14ac:dyDescent="0.2"/>
    <row r="6432" ht="12.75" customHeight="1" x14ac:dyDescent="0.2"/>
    <row r="6433" ht="12.75" customHeight="1" x14ac:dyDescent="0.2"/>
    <row r="6434" ht="12.75" customHeight="1" x14ac:dyDescent="0.2"/>
    <row r="6435" ht="12.75" customHeight="1" x14ac:dyDescent="0.2"/>
    <row r="6436" ht="12.75" customHeight="1" x14ac:dyDescent="0.2"/>
    <row r="6437" ht="12.75" customHeight="1" x14ac:dyDescent="0.2"/>
    <row r="6438" ht="12.75" customHeight="1" x14ac:dyDescent="0.2"/>
    <row r="6439" ht="12.75" customHeight="1" x14ac:dyDescent="0.2"/>
    <row r="6440" ht="12.75" customHeight="1" x14ac:dyDescent="0.2"/>
    <row r="6441" ht="12.75" customHeight="1" x14ac:dyDescent="0.2"/>
    <row r="6442" ht="12.75" customHeight="1" x14ac:dyDescent="0.2"/>
    <row r="6443" ht="12.75" customHeight="1" x14ac:dyDescent="0.2"/>
    <row r="6444" ht="12.75" customHeight="1" x14ac:dyDescent="0.2"/>
    <row r="6445" ht="12.75" customHeight="1" x14ac:dyDescent="0.2"/>
    <row r="6446" ht="12.75" customHeight="1" x14ac:dyDescent="0.2"/>
    <row r="6447" ht="12.75" customHeight="1" x14ac:dyDescent="0.2"/>
    <row r="6448" ht="12.75" customHeight="1" x14ac:dyDescent="0.2"/>
    <row r="6449" ht="12.75" customHeight="1" x14ac:dyDescent="0.2"/>
    <row r="6450" ht="12.75" customHeight="1" x14ac:dyDescent="0.2"/>
    <row r="6451" ht="12.75" customHeight="1" x14ac:dyDescent="0.2"/>
    <row r="6452" ht="12.75" customHeight="1" x14ac:dyDescent="0.2"/>
    <row r="6453" ht="12.75" customHeight="1" x14ac:dyDescent="0.2"/>
    <row r="6454" ht="12.75" customHeight="1" x14ac:dyDescent="0.2"/>
    <row r="6455" ht="12.75" customHeight="1" x14ac:dyDescent="0.2"/>
    <row r="6456" ht="12.75" customHeight="1" x14ac:dyDescent="0.2"/>
    <row r="6457" ht="12.75" customHeight="1" x14ac:dyDescent="0.2"/>
    <row r="6458" ht="12.75" customHeight="1" x14ac:dyDescent="0.2"/>
    <row r="6459" ht="12.75" customHeight="1" x14ac:dyDescent="0.2"/>
    <row r="6460" ht="12.75" customHeight="1" x14ac:dyDescent="0.2"/>
    <row r="6461" ht="12.75" customHeight="1" x14ac:dyDescent="0.2"/>
    <row r="6462" ht="12.75" customHeight="1" x14ac:dyDescent="0.2"/>
    <row r="6463" ht="12.75" customHeight="1" x14ac:dyDescent="0.2"/>
    <row r="6464" ht="12.75" customHeight="1" x14ac:dyDescent="0.2"/>
    <row r="6465" ht="12.75" customHeight="1" x14ac:dyDescent="0.2"/>
    <row r="6466" ht="12.75" customHeight="1" x14ac:dyDescent="0.2"/>
    <row r="6467" ht="12.75" customHeight="1" x14ac:dyDescent="0.2"/>
    <row r="6468" ht="12.75" customHeight="1" x14ac:dyDescent="0.2"/>
    <row r="6469" ht="12.75" customHeight="1" x14ac:dyDescent="0.2"/>
    <row r="6470" ht="12.75" customHeight="1" x14ac:dyDescent="0.2"/>
    <row r="6471" ht="12.75" customHeight="1" x14ac:dyDescent="0.2"/>
    <row r="6472" ht="12.75" customHeight="1" x14ac:dyDescent="0.2"/>
    <row r="6473" ht="12.75" customHeight="1" x14ac:dyDescent="0.2"/>
    <row r="6474" ht="12.75" customHeight="1" x14ac:dyDescent="0.2"/>
    <row r="6475" ht="12.75" customHeight="1" x14ac:dyDescent="0.2"/>
    <row r="6476" ht="12.75" customHeight="1" x14ac:dyDescent="0.2"/>
    <row r="6477" ht="12.75" customHeight="1" x14ac:dyDescent="0.2"/>
    <row r="6478" ht="12.75" customHeight="1" x14ac:dyDescent="0.2"/>
    <row r="6479" ht="12.75" customHeight="1" x14ac:dyDescent="0.2"/>
    <row r="6480" ht="12.75" customHeight="1" x14ac:dyDescent="0.2"/>
    <row r="6481" ht="12.75" customHeight="1" x14ac:dyDescent="0.2"/>
    <row r="6482" ht="12.75" customHeight="1" x14ac:dyDescent="0.2"/>
    <row r="6483" ht="12.75" customHeight="1" x14ac:dyDescent="0.2"/>
    <row r="6484" ht="12.75" customHeight="1" x14ac:dyDescent="0.2"/>
    <row r="6485" ht="12.75" customHeight="1" x14ac:dyDescent="0.2"/>
    <row r="6486" ht="12.75" customHeight="1" x14ac:dyDescent="0.2"/>
    <row r="6487" ht="12.75" customHeight="1" x14ac:dyDescent="0.2"/>
    <row r="6488" ht="12.75" customHeight="1" x14ac:dyDescent="0.2"/>
    <row r="6489" ht="12.75" customHeight="1" x14ac:dyDescent="0.2"/>
    <row r="6490" ht="12.75" customHeight="1" x14ac:dyDescent="0.2"/>
    <row r="6491" ht="12.75" customHeight="1" x14ac:dyDescent="0.2"/>
    <row r="6492" ht="12.75" customHeight="1" x14ac:dyDescent="0.2"/>
    <row r="6493" ht="12.75" customHeight="1" x14ac:dyDescent="0.2"/>
    <row r="6494" ht="12.75" customHeight="1" x14ac:dyDescent="0.2"/>
    <row r="6495" ht="12.75" customHeight="1" x14ac:dyDescent="0.2"/>
    <row r="6496" ht="12.75" customHeight="1" x14ac:dyDescent="0.2"/>
    <row r="6497" ht="12.75" customHeight="1" x14ac:dyDescent="0.2"/>
    <row r="6498" ht="12.75" customHeight="1" x14ac:dyDescent="0.2"/>
    <row r="6499" ht="12.75" customHeight="1" x14ac:dyDescent="0.2"/>
    <row r="6500" ht="12.75" customHeight="1" x14ac:dyDescent="0.2"/>
    <row r="6501" ht="12.75" customHeight="1" x14ac:dyDescent="0.2"/>
    <row r="6502" ht="12.75" customHeight="1" x14ac:dyDescent="0.2"/>
    <row r="6503" ht="12.75" customHeight="1" x14ac:dyDescent="0.2"/>
    <row r="6504" ht="12.75" customHeight="1" x14ac:dyDescent="0.2"/>
    <row r="6505" ht="12.75" customHeight="1" x14ac:dyDescent="0.2"/>
    <row r="6506" ht="12.75" customHeight="1" x14ac:dyDescent="0.2"/>
    <row r="6507" ht="12.75" customHeight="1" x14ac:dyDescent="0.2"/>
    <row r="6508" ht="12.75" customHeight="1" x14ac:dyDescent="0.2"/>
    <row r="6509" ht="12.75" customHeight="1" x14ac:dyDescent="0.2"/>
    <row r="6510" ht="12.75" customHeight="1" x14ac:dyDescent="0.2"/>
    <row r="6511" ht="12.75" customHeight="1" x14ac:dyDescent="0.2"/>
    <row r="6512" ht="12.75" customHeight="1" x14ac:dyDescent="0.2"/>
    <row r="6513" ht="12.75" customHeight="1" x14ac:dyDescent="0.2"/>
    <row r="6514" ht="12.75" customHeight="1" x14ac:dyDescent="0.2"/>
    <row r="6515" ht="12.75" customHeight="1" x14ac:dyDescent="0.2"/>
    <row r="6516" ht="12.75" customHeight="1" x14ac:dyDescent="0.2"/>
    <row r="6517" ht="12.75" customHeight="1" x14ac:dyDescent="0.2"/>
    <row r="6518" ht="12.75" customHeight="1" x14ac:dyDescent="0.2"/>
    <row r="6519" ht="12.75" customHeight="1" x14ac:dyDescent="0.2"/>
    <row r="6520" ht="12.75" customHeight="1" x14ac:dyDescent="0.2"/>
    <row r="6521" ht="12.75" customHeight="1" x14ac:dyDescent="0.2"/>
    <row r="6522" ht="12.75" customHeight="1" x14ac:dyDescent="0.2"/>
    <row r="6523" ht="12.75" customHeight="1" x14ac:dyDescent="0.2"/>
    <row r="6524" ht="12.75" customHeight="1" x14ac:dyDescent="0.2"/>
    <row r="6525" ht="12.75" customHeight="1" x14ac:dyDescent="0.2"/>
    <row r="6526" ht="12.75" customHeight="1" x14ac:dyDescent="0.2"/>
    <row r="6527" ht="12.75" customHeight="1" x14ac:dyDescent="0.2"/>
    <row r="6528" ht="12.75" customHeight="1" x14ac:dyDescent="0.2"/>
    <row r="6529" ht="12.75" customHeight="1" x14ac:dyDescent="0.2"/>
    <row r="6530" ht="12.75" customHeight="1" x14ac:dyDescent="0.2"/>
    <row r="6531" ht="12.75" customHeight="1" x14ac:dyDescent="0.2"/>
    <row r="6532" ht="12.75" customHeight="1" x14ac:dyDescent="0.2"/>
    <row r="6533" ht="12.75" customHeight="1" x14ac:dyDescent="0.2"/>
    <row r="6534" ht="12.75" customHeight="1" x14ac:dyDescent="0.2"/>
    <row r="6535" ht="12.75" customHeight="1" x14ac:dyDescent="0.2"/>
    <row r="6536" ht="12.75" customHeight="1" x14ac:dyDescent="0.2"/>
    <row r="6537" ht="12.75" customHeight="1" x14ac:dyDescent="0.2"/>
    <row r="6538" ht="12.75" customHeight="1" x14ac:dyDescent="0.2"/>
    <row r="6539" ht="12.75" customHeight="1" x14ac:dyDescent="0.2"/>
    <row r="6540" ht="12.75" customHeight="1" x14ac:dyDescent="0.2"/>
    <row r="6541" ht="12.75" customHeight="1" x14ac:dyDescent="0.2"/>
    <row r="6542" ht="12.75" customHeight="1" x14ac:dyDescent="0.2"/>
    <row r="6543" ht="12.75" customHeight="1" x14ac:dyDescent="0.2"/>
    <row r="6544" ht="12.75" customHeight="1" x14ac:dyDescent="0.2"/>
    <row r="6545" ht="12.75" customHeight="1" x14ac:dyDescent="0.2"/>
    <row r="6546" ht="12.75" customHeight="1" x14ac:dyDescent="0.2"/>
    <row r="6547" ht="12.75" customHeight="1" x14ac:dyDescent="0.2"/>
    <row r="6548" ht="12.75" customHeight="1" x14ac:dyDescent="0.2"/>
    <row r="6549" ht="12.75" customHeight="1" x14ac:dyDescent="0.2"/>
    <row r="6550" ht="12.75" customHeight="1" x14ac:dyDescent="0.2"/>
    <row r="6551" ht="12.75" customHeight="1" x14ac:dyDescent="0.2"/>
    <row r="6552" ht="12.75" customHeight="1" x14ac:dyDescent="0.2"/>
    <row r="6553" ht="12.75" customHeight="1" x14ac:dyDescent="0.2"/>
    <row r="6554" ht="12.75" customHeight="1" x14ac:dyDescent="0.2"/>
    <row r="6555" ht="12.75" customHeight="1" x14ac:dyDescent="0.2"/>
    <row r="6556" ht="12.75" customHeight="1" x14ac:dyDescent="0.2"/>
    <row r="6557" ht="12.75" customHeight="1" x14ac:dyDescent="0.2"/>
    <row r="6558" ht="12.75" customHeight="1" x14ac:dyDescent="0.2"/>
    <row r="6559" ht="12.75" customHeight="1" x14ac:dyDescent="0.2"/>
    <row r="6560" ht="12.75" customHeight="1" x14ac:dyDescent="0.2"/>
    <row r="6561" ht="12.75" customHeight="1" x14ac:dyDescent="0.2"/>
    <row r="6562" ht="12.75" customHeight="1" x14ac:dyDescent="0.2"/>
    <row r="6563" ht="12.75" customHeight="1" x14ac:dyDescent="0.2"/>
    <row r="6564" ht="12.75" customHeight="1" x14ac:dyDescent="0.2"/>
    <row r="6565" ht="12.75" customHeight="1" x14ac:dyDescent="0.2"/>
    <row r="6566" ht="12.75" customHeight="1" x14ac:dyDescent="0.2"/>
    <row r="6567" ht="12.75" customHeight="1" x14ac:dyDescent="0.2"/>
    <row r="6568" ht="12.75" customHeight="1" x14ac:dyDescent="0.2"/>
    <row r="6569" ht="12.75" customHeight="1" x14ac:dyDescent="0.2"/>
    <row r="6570" ht="12.75" customHeight="1" x14ac:dyDescent="0.2"/>
    <row r="6571" ht="12.75" customHeight="1" x14ac:dyDescent="0.2"/>
    <row r="6572" ht="12.75" customHeight="1" x14ac:dyDescent="0.2"/>
    <row r="6573" ht="12.75" customHeight="1" x14ac:dyDescent="0.2"/>
    <row r="6574" ht="12.75" customHeight="1" x14ac:dyDescent="0.2"/>
    <row r="6575" ht="12.75" customHeight="1" x14ac:dyDescent="0.2"/>
    <row r="6576" ht="12.75" customHeight="1" x14ac:dyDescent="0.2"/>
    <row r="6577" ht="12.75" customHeight="1" x14ac:dyDescent="0.2"/>
    <row r="6578" ht="12.75" customHeight="1" x14ac:dyDescent="0.2"/>
    <row r="6579" ht="12.75" customHeight="1" x14ac:dyDescent="0.2"/>
    <row r="6580" ht="12.75" customHeight="1" x14ac:dyDescent="0.2"/>
    <row r="6581" ht="12.75" customHeight="1" x14ac:dyDescent="0.2"/>
    <row r="6582" ht="12.75" customHeight="1" x14ac:dyDescent="0.2"/>
    <row r="6583" ht="12.75" customHeight="1" x14ac:dyDescent="0.2"/>
    <row r="6584" ht="12.75" customHeight="1" x14ac:dyDescent="0.2"/>
    <row r="6585" ht="12.75" customHeight="1" x14ac:dyDescent="0.2"/>
    <row r="6586" ht="12.75" customHeight="1" x14ac:dyDescent="0.2"/>
    <row r="6587" ht="12.75" customHeight="1" x14ac:dyDescent="0.2"/>
    <row r="6588" ht="12.75" customHeight="1" x14ac:dyDescent="0.2"/>
    <row r="6589" ht="12.75" customHeight="1" x14ac:dyDescent="0.2"/>
    <row r="6590" ht="12.75" customHeight="1" x14ac:dyDescent="0.2"/>
    <row r="6591" ht="12.75" customHeight="1" x14ac:dyDescent="0.2"/>
    <row r="6592" ht="12.75" customHeight="1" x14ac:dyDescent="0.2"/>
    <row r="6593" ht="12.75" customHeight="1" x14ac:dyDescent="0.2"/>
    <row r="6594" ht="12.75" customHeight="1" x14ac:dyDescent="0.2"/>
    <row r="6595" ht="12.75" customHeight="1" x14ac:dyDescent="0.2"/>
    <row r="6596" ht="12.75" customHeight="1" x14ac:dyDescent="0.2"/>
    <row r="6597" ht="12.75" customHeight="1" x14ac:dyDescent="0.2"/>
    <row r="6598" ht="12.75" customHeight="1" x14ac:dyDescent="0.2"/>
    <row r="6599" ht="12.75" customHeight="1" x14ac:dyDescent="0.2"/>
    <row r="6600" ht="12.75" customHeight="1" x14ac:dyDescent="0.2"/>
    <row r="6601" ht="12.75" customHeight="1" x14ac:dyDescent="0.2"/>
    <row r="6602" ht="12.75" customHeight="1" x14ac:dyDescent="0.2"/>
    <row r="6603" ht="12.75" customHeight="1" x14ac:dyDescent="0.2"/>
    <row r="6604" ht="12.75" customHeight="1" x14ac:dyDescent="0.2"/>
    <row r="6605" ht="12.75" customHeight="1" x14ac:dyDescent="0.2"/>
    <row r="6606" ht="12.75" customHeight="1" x14ac:dyDescent="0.2"/>
    <row r="6607" ht="12.75" customHeight="1" x14ac:dyDescent="0.2"/>
    <row r="6608" ht="12.75" customHeight="1" x14ac:dyDescent="0.2"/>
    <row r="6609" ht="12.75" customHeight="1" x14ac:dyDescent="0.2"/>
    <row r="6610" ht="12.75" customHeight="1" x14ac:dyDescent="0.2"/>
    <row r="6611" ht="12.75" customHeight="1" x14ac:dyDescent="0.2"/>
    <row r="6612" ht="12.75" customHeight="1" x14ac:dyDescent="0.2"/>
    <row r="6613" ht="12.75" customHeight="1" x14ac:dyDescent="0.2"/>
    <row r="6614" ht="12.75" customHeight="1" x14ac:dyDescent="0.2"/>
    <row r="6615" ht="12.75" customHeight="1" x14ac:dyDescent="0.2"/>
    <row r="6616" ht="12.75" customHeight="1" x14ac:dyDescent="0.2"/>
    <row r="6617" ht="12.75" customHeight="1" x14ac:dyDescent="0.2"/>
    <row r="6618" ht="12.75" customHeight="1" x14ac:dyDescent="0.2"/>
    <row r="6619" ht="12.75" customHeight="1" x14ac:dyDescent="0.2"/>
    <row r="6620" ht="12.75" customHeight="1" x14ac:dyDescent="0.2"/>
    <row r="6621" ht="12.75" customHeight="1" x14ac:dyDescent="0.2"/>
    <row r="6622" ht="12.75" customHeight="1" x14ac:dyDescent="0.2"/>
    <row r="6623" ht="12.75" customHeight="1" x14ac:dyDescent="0.2"/>
    <row r="6624" ht="12.75" customHeight="1" x14ac:dyDescent="0.2"/>
    <row r="6625" ht="12.75" customHeight="1" x14ac:dyDescent="0.2"/>
    <row r="6626" ht="12.75" customHeight="1" x14ac:dyDescent="0.2"/>
    <row r="6627" ht="12.75" customHeight="1" x14ac:dyDescent="0.2"/>
    <row r="6628" ht="12.75" customHeight="1" x14ac:dyDescent="0.2"/>
    <row r="6629" ht="12.75" customHeight="1" x14ac:dyDescent="0.2"/>
    <row r="6630" ht="12.75" customHeight="1" x14ac:dyDescent="0.2"/>
    <row r="6631" ht="12.75" customHeight="1" x14ac:dyDescent="0.2"/>
    <row r="6632" ht="12.75" customHeight="1" x14ac:dyDescent="0.2"/>
    <row r="6633" ht="12.75" customHeight="1" x14ac:dyDescent="0.2"/>
    <row r="6634" ht="12.75" customHeight="1" x14ac:dyDescent="0.2"/>
    <row r="6635" ht="12.75" customHeight="1" x14ac:dyDescent="0.2"/>
    <row r="6636" ht="12.75" customHeight="1" x14ac:dyDescent="0.2"/>
    <row r="6637" ht="12.75" customHeight="1" x14ac:dyDescent="0.2"/>
    <row r="6638" ht="12.75" customHeight="1" x14ac:dyDescent="0.2"/>
    <row r="6639" ht="12.75" customHeight="1" x14ac:dyDescent="0.2"/>
    <row r="6640" ht="12.75" customHeight="1" x14ac:dyDescent="0.2"/>
    <row r="6641" ht="12.75" customHeight="1" x14ac:dyDescent="0.2"/>
    <row r="6642" ht="12.75" customHeight="1" x14ac:dyDescent="0.2"/>
    <row r="6643" ht="12.75" customHeight="1" x14ac:dyDescent="0.2"/>
    <row r="6644" ht="12.75" customHeight="1" x14ac:dyDescent="0.2"/>
    <row r="6645" ht="12.75" customHeight="1" x14ac:dyDescent="0.2"/>
    <row r="6646" ht="12.75" customHeight="1" x14ac:dyDescent="0.2"/>
    <row r="6647" ht="12.75" customHeight="1" x14ac:dyDescent="0.2"/>
    <row r="6648" ht="12.75" customHeight="1" x14ac:dyDescent="0.2"/>
    <row r="6649" ht="12.75" customHeight="1" x14ac:dyDescent="0.2"/>
    <row r="6650" ht="12.75" customHeight="1" x14ac:dyDescent="0.2"/>
    <row r="6651" ht="12.75" customHeight="1" x14ac:dyDescent="0.2"/>
    <row r="6652" ht="12.75" customHeight="1" x14ac:dyDescent="0.2"/>
    <row r="6653" ht="12.75" customHeight="1" x14ac:dyDescent="0.2"/>
    <row r="6654" ht="12.75" customHeight="1" x14ac:dyDescent="0.2"/>
    <row r="6655" ht="12.75" customHeight="1" x14ac:dyDescent="0.2"/>
    <row r="6656" ht="12.75" customHeight="1" x14ac:dyDescent="0.2"/>
    <row r="6657" ht="12.75" customHeight="1" x14ac:dyDescent="0.2"/>
    <row r="6658" ht="12.75" customHeight="1" x14ac:dyDescent="0.2"/>
    <row r="6659" ht="12.75" customHeight="1" x14ac:dyDescent="0.2"/>
    <row r="6660" ht="12.75" customHeight="1" x14ac:dyDescent="0.2"/>
    <row r="6661" ht="12.75" customHeight="1" x14ac:dyDescent="0.2"/>
    <row r="6662" ht="12.75" customHeight="1" x14ac:dyDescent="0.2"/>
    <row r="6663" ht="12.75" customHeight="1" x14ac:dyDescent="0.2"/>
    <row r="6664" ht="12.75" customHeight="1" x14ac:dyDescent="0.2"/>
    <row r="6665" ht="12.75" customHeight="1" x14ac:dyDescent="0.2"/>
    <row r="6666" ht="12.75" customHeight="1" x14ac:dyDescent="0.2"/>
    <row r="6667" ht="12.75" customHeight="1" x14ac:dyDescent="0.2"/>
    <row r="6668" ht="12.75" customHeight="1" x14ac:dyDescent="0.2"/>
    <row r="6669" ht="12.75" customHeight="1" x14ac:dyDescent="0.2"/>
    <row r="6670" ht="12.75" customHeight="1" x14ac:dyDescent="0.2"/>
    <row r="6671" ht="12.75" customHeight="1" x14ac:dyDescent="0.2"/>
    <row r="6672" ht="12.75" customHeight="1" x14ac:dyDescent="0.2"/>
    <row r="6673" ht="12.75" customHeight="1" x14ac:dyDescent="0.2"/>
    <row r="6674" ht="12.75" customHeight="1" x14ac:dyDescent="0.2"/>
    <row r="6675" ht="12.75" customHeight="1" x14ac:dyDescent="0.2"/>
    <row r="6676" ht="12.75" customHeight="1" x14ac:dyDescent="0.2"/>
    <row r="6677" ht="12.75" customHeight="1" x14ac:dyDescent="0.2"/>
    <row r="6678" ht="12.75" customHeight="1" x14ac:dyDescent="0.2"/>
    <row r="6679" ht="12.75" customHeight="1" x14ac:dyDescent="0.2"/>
    <row r="6680" ht="12.75" customHeight="1" x14ac:dyDescent="0.2"/>
    <row r="6681" ht="12.75" customHeight="1" x14ac:dyDescent="0.2"/>
    <row r="6682" ht="12.75" customHeight="1" x14ac:dyDescent="0.2"/>
    <row r="6683" ht="12.75" customHeight="1" x14ac:dyDescent="0.2"/>
    <row r="6684" ht="12.75" customHeight="1" x14ac:dyDescent="0.2"/>
    <row r="6685" ht="12.75" customHeight="1" x14ac:dyDescent="0.2"/>
    <row r="6686" ht="12.75" customHeight="1" x14ac:dyDescent="0.2"/>
    <row r="6687" ht="12.75" customHeight="1" x14ac:dyDescent="0.2"/>
    <row r="6688" ht="12.75" customHeight="1" x14ac:dyDescent="0.2"/>
    <row r="6689" ht="12.75" customHeight="1" x14ac:dyDescent="0.2"/>
    <row r="6690" ht="12.75" customHeight="1" x14ac:dyDescent="0.2"/>
    <row r="6691" ht="12.75" customHeight="1" x14ac:dyDescent="0.2"/>
    <row r="6692" ht="12.75" customHeight="1" x14ac:dyDescent="0.2"/>
    <row r="6693" ht="12.75" customHeight="1" x14ac:dyDescent="0.2"/>
    <row r="6694" ht="12.75" customHeight="1" x14ac:dyDescent="0.2"/>
    <row r="6695" ht="12.75" customHeight="1" x14ac:dyDescent="0.2"/>
    <row r="6696" ht="12.75" customHeight="1" x14ac:dyDescent="0.2"/>
    <row r="6697" ht="12.75" customHeight="1" x14ac:dyDescent="0.2"/>
    <row r="6698" ht="12.75" customHeight="1" x14ac:dyDescent="0.2"/>
    <row r="6699" ht="12.75" customHeight="1" x14ac:dyDescent="0.2"/>
    <row r="6700" ht="12.75" customHeight="1" x14ac:dyDescent="0.2"/>
    <row r="6701" ht="12.75" customHeight="1" x14ac:dyDescent="0.2"/>
    <row r="6702" ht="12.75" customHeight="1" x14ac:dyDescent="0.2"/>
    <row r="6703" ht="12.75" customHeight="1" x14ac:dyDescent="0.2"/>
    <row r="6704" ht="12.75" customHeight="1" x14ac:dyDescent="0.2"/>
    <row r="6705" ht="12.75" customHeight="1" x14ac:dyDescent="0.2"/>
    <row r="6706" ht="12.75" customHeight="1" x14ac:dyDescent="0.2"/>
    <row r="6707" ht="12.75" customHeight="1" x14ac:dyDescent="0.2"/>
    <row r="6708" ht="12.75" customHeight="1" x14ac:dyDescent="0.2"/>
    <row r="6709" ht="12.75" customHeight="1" x14ac:dyDescent="0.2"/>
    <row r="6710" ht="12.75" customHeight="1" x14ac:dyDescent="0.2"/>
    <row r="6711" ht="12.75" customHeight="1" x14ac:dyDescent="0.2"/>
    <row r="6712" ht="12.75" customHeight="1" x14ac:dyDescent="0.2"/>
    <row r="6713" ht="12.75" customHeight="1" x14ac:dyDescent="0.2"/>
    <row r="6714" ht="12.75" customHeight="1" x14ac:dyDescent="0.2"/>
    <row r="6715" ht="12.75" customHeight="1" x14ac:dyDescent="0.2"/>
    <row r="6716" ht="12.75" customHeight="1" x14ac:dyDescent="0.2"/>
    <row r="6717" ht="12.75" customHeight="1" x14ac:dyDescent="0.2"/>
    <row r="6718" ht="12.75" customHeight="1" x14ac:dyDescent="0.2"/>
    <row r="6719" ht="12.75" customHeight="1" x14ac:dyDescent="0.2"/>
    <row r="6720" ht="12.75" customHeight="1" x14ac:dyDescent="0.2"/>
    <row r="6721" ht="12.75" customHeight="1" x14ac:dyDescent="0.2"/>
    <row r="6722" ht="12.75" customHeight="1" x14ac:dyDescent="0.2"/>
    <row r="6723" ht="12.75" customHeight="1" x14ac:dyDescent="0.2"/>
    <row r="6724" ht="12.75" customHeight="1" x14ac:dyDescent="0.2"/>
    <row r="6725" ht="12.75" customHeight="1" x14ac:dyDescent="0.2"/>
    <row r="6726" ht="12.75" customHeight="1" x14ac:dyDescent="0.2"/>
    <row r="6727" ht="12.75" customHeight="1" x14ac:dyDescent="0.2"/>
    <row r="6728" ht="12.75" customHeight="1" x14ac:dyDescent="0.2"/>
    <row r="6729" ht="12.75" customHeight="1" x14ac:dyDescent="0.2"/>
    <row r="6730" ht="12.75" customHeight="1" x14ac:dyDescent="0.2"/>
    <row r="6731" ht="12.75" customHeight="1" x14ac:dyDescent="0.2"/>
    <row r="6732" ht="12.75" customHeight="1" x14ac:dyDescent="0.2"/>
    <row r="6733" ht="12.75" customHeight="1" x14ac:dyDescent="0.2"/>
    <row r="6734" ht="12.75" customHeight="1" x14ac:dyDescent="0.2"/>
    <row r="6735" ht="12.75" customHeight="1" x14ac:dyDescent="0.2"/>
    <row r="6736" ht="12.75" customHeight="1" x14ac:dyDescent="0.2"/>
    <row r="6737" ht="12.75" customHeight="1" x14ac:dyDescent="0.2"/>
    <row r="6738" ht="12.75" customHeight="1" x14ac:dyDescent="0.2"/>
    <row r="6739" ht="12.75" customHeight="1" x14ac:dyDescent="0.2"/>
    <row r="6740" ht="12.75" customHeight="1" x14ac:dyDescent="0.2"/>
    <row r="6741" ht="12.75" customHeight="1" x14ac:dyDescent="0.2"/>
    <row r="6742" ht="12.75" customHeight="1" x14ac:dyDescent="0.2"/>
    <row r="6743" ht="12.75" customHeight="1" x14ac:dyDescent="0.2"/>
    <row r="6744" ht="12.75" customHeight="1" x14ac:dyDescent="0.2"/>
    <row r="6745" ht="12.75" customHeight="1" x14ac:dyDescent="0.2"/>
    <row r="6746" ht="12.75" customHeight="1" x14ac:dyDescent="0.2"/>
    <row r="6747" ht="12.75" customHeight="1" x14ac:dyDescent="0.2"/>
    <row r="6748" ht="12.75" customHeight="1" x14ac:dyDescent="0.2"/>
    <row r="6749" ht="12.75" customHeight="1" x14ac:dyDescent="0.2"/>
    <row r="6750" ht="12.75" customHeight="1" x14ac:dyDescent="0.2"/>
    <row r="6751" ht="12.75" customHeight="1" x14ac:dyDescent="0.2"/>
    <row r="6752" ht="12.75" customHeight="1" x14ac:dyDescent="0.2"/>
    <row r="6753" ht="12.75" customHeight="1" x14ac:dyDescent="0.2"/>
    <row r="6754" ht="12.75" customHeight="1" x14ac:dyDescent="0.2"/>
    <row r="6755" ht="12.75" customHeight="1" x14ac:dyDescent="0.2"/>
    <row r="6756" ht="12.75" customHeight="1" x14ac:dyDescent="0.2"/>
    <row r="6757" ht="12.75" customHeight="1" x14ac:dyDescent="0.2"/>
    <row r="6758" ht="12.75" customHeight="1" x14ac:dyDescent="0.2"/>
    <row r="6759" ht="12.75" customHeight="1" x14ac:dyDescent="0.2"/>
    <row r="6760" ht="12.75" customHeight="1" x14ac:dyDescent="0.2"/>
    <row r="6761" ht="12.75" customHeight="1" x14ac:dyDescent="0.2"/>
    <row r="6762" ht="12.75" customHeight="1" x14ac:dyDescent="0.2"/>
    <row r="6763" ht="12.75" customHeight="1" x14ac:dyDescent="0.2"/>
    <row r="6764" ht="12.75" customHeight="1" x14ac:dyDescent="0.2"/>
    <row r="6765" ht="12.75" customHeight="1" x14ac:dyDescent="0.2"/>
    <row r="6766" ht="12.75" customHeight="1" x14ac:dyDescent="0.2"/>
    <row r="6767" ht="12.75" customHeight="1" x14ac:dyDescent="0.2"/>
    <row r="6768" ht="12.75" customHeight="1" x14ac:dyDescent="0.2"/>
    <row r="6769" ht="12.75" customHeight="1" x14ac:dyDescent="0.2"/>
    <row r="6770" ht="12.75" customHeight="1" x14ac:dyDescent="0.2"/>
    <row r="6771" ht="12.75" customHeight="1" x14ac:dyDescent="0.2"/>
    <row r="6772" ht="12.75" customHeight="1" x14ac:dyDescent="0.2"/>
    <row r="6773" ht="12.75" customHeight="1" x14ac:dyDescent="0.2"/>
    <row r="6774" ht="12.75" customHeight="1" x14ac:dyDescent="0.2"/>
    <row r="6775" ht="12.75" customHeight="1" x14ac:dyDescent="0.2"/>
    <row r="6776" ht="12.75" customHeight="1" x14ac:dyDescent="0.2"/>
    <row r="6777" ht="12.75" customHeight="1" x14ac:dyDescent="0.2"/>
    <row r="6778" ht="12.75" customHeight="1" x14ac:dyDescent="0.2"/>
    <row r="6779" ht="12.75" customHeight="1" x14ac:dyDescent="0.2"/>
    <row r="6780" ht="12.75" customHeight="1" x14ac:dyDescent="0.2"/>
    <row r="6781" ht="12.75" customHeight="1" x14ac:dyDescent="0.2"/>
    <row r="6782" ht="12.75" customHeight="1" x14ac:dyDescent="0.2"/>
    <row r="6783" ht="12.75" customHeight="1" x14ac:dyDescent="0.2"/>
    <row r="6784" ht="12.75" customHeight="1" x14ac:dyDescent="0.2"/>
    <row r="6785" ht="12.75" customHeight="1" x14ac:dyDescent="0.2"/>
    <row r="6786" ht="12.75" customHeight="1" x14ac:dyDescent="0.2"/>
    <row r="6787" ht="12.75" customHeight="1" x14ac:dyDescent="0.2"/>
    <row r="6788" ht="12.75" customHeight="1" x14ac:dyDescent="0.2"/>
    <row r="6789" ht="12.75" customHeight="1" x14ac:dyDescent="0.2"/>
    <row r="6790" ht="12.75" customHeight="1" x14ac:dyDescent="0.2"/>
    <row r="6791" ht="12.75" customHeight="1" x14ac:dyDescent="0.2"/>
    <row r="6792" ht="12.75" customHeight="1" x14ac:dyDescent="0.2"/>
    <row r="6793" ht="12.75" customHeight="1" x14ac:dyDescent="0.2"/>
    <row r="6794" ht="12.75" customHeight="1" x14ac:dyDescent="0.2"/>
    <row r="6795" ht="12.75" customHeight="1" x14ac:dyDescent="0.2"/>
    <row r="6796" ht="12.75" customHeight="1" x14ac:dyDescent="0.2"/>
    <row r="6797" ht="12.75" customHeight="1" x14ac:dyDescent="0.2"/>
    <row r="6798" ht="12.75" customHeight="1" x14ac:dyDescent="0.2"/>
    <row r="6799" ht="12.75" customHeight="1" x14ac:dyDescent="0.2"/>
    <row r="6800" ht="12.75" customHeight="1" x14ac:dyDescent="0.2"/>
    <row r="6801" ht="12.75" customHeight="1" x14ac:dyDescent="0.2"/>
    <row r="6802" ht="12.75" customHeight="1" x14ac:dyDescent="0.2"/>
    <row r="6803" ht="12.75" customHeight="1" x14ac:dyDescent="0.2"/>
    <row r="6804" ht="12.75" customHeight="1" x14ac:dyDescent="0.2"/>
    <row r="6805" ht="12.75" customHeight="1" x14ac:dyDescent="0.2"/>
    <row r="6806" ht="12.75" customHeight="1" x14ac:dyDescent="0.2"/>
    <row r="6807" ht="12.75" customHeight="1" x14ac:dyDescent="0.2"/>
    <row r="6808" ht="12.75" customHeight="1" x14ac:dyDescent="0.2"/>
    <row r="6809" ht="12.75" customHeight="1" x14ac:dyDescent="0.2"/>
    <row r="6810" ht="12.75" customHeight="1" x14ac:dyDescent="0.2"/>
    <row r="6811" ht="12.75" customHeight="1" x14ac:dyDescent="0.2"/>
    <row r="6812" ht="12.75" customHeight="1" x14ac:dyDescent="0.2"/>
    <row r="6813" ht="12.75" customHeight="1" x14ac:dyDescent="0.2"/>
    <row r="6814" ht="12.75" customHeight="1" x14ac:dyDescent="0.2"/>
    <row r="6815" ht="12.75" customHeight="1" x14ac:dyDescent="0.2"/>
    <row r="6816" ht="12.75" customHeight="1" x14ac:dyDescent="0.2"/>
    <row r="6817" ht="12.75" customHeight="1" x14ac:dyDescent="0.2"/>
    <row r="6818" ht="12.75" customHeight="1" x14ac:dyDescent="0.2"/>
    <row r="6819" ht="12.75" customHeight="1" x14ac:dyDescent="0.2"/>
    <row r="6820" ht="12.75" customHeight="1" x14ac:dyDescent="0.2"/>
    <row r="6821" ht="12.75" customHeight="1" x14ac:dyDescent="0.2"/>
    <row r="6822" ht="12.75" customHeight="1" x14ac:dyDescent="0.2"/>
    <row r="6823" ht="12.75" customHeight="1" x14ac:dyDescent="0.2"/>
    <row r="6824" ht="12.75" customHeight="1" x14ac:dyDescent="0.2"/>
    <row r="6825" ht="12.75" customHeight="1" x14ac:dyDescent="0.2"/>
    <row r="6826" ht="12.75" customHeight="1" x14ac:dyDescent="0.2"/>
    <row r="6827" ht="12.75" customHeight="1" x14ac:dyDescent="0.2"/>
    <row r="6828" ht="12.75" customHeight="1" x14ac:dyDescent="0.2"/>
    <row r="6829" ht="12.75" customHeight="1" x14ac:dyDescent="0.2"/>
    <row r="6830" ht="12.75" customHeight="1" x14ac:dyDescent="0.2"/>
    <row r="6831" ht="12.75" customHeight="1" x14ac:dyDescent="0.2"/>
    <row r="6832" ht="12.75" customHeight="1" x14ac:dyDescent="0.2"/>
    <row r="6833" ht="12.75" customHeight="1" x14ac:dyDescent="0.2"/>
    <row r="6834" ht="12.75" customHeight="1" x14ac:dyDescent="0.2"/>
    <row r="6835" ht="12.75" customHeight="1" x14ac:dyDescent="0.2"/>
    <row r="6836" ht="12.75" customHeight="1" x14ac:dyDescent="0.2"/>
    <row r="6837" ht="12.75" customHeight="1" x14ac:dyDescent="0.2"/>
    <row r="6838" ht="12.75" customHeight="1" x14ac:dyDescent="0.2"/>
    <row r="6839" ht="12.75" customHeight="1" x14ac:dyDescent="0.2"/>
    <row r="6840" ht="12.75" customHeight="1" x14ac:dyDescent="0.2"/>
    <row r="6841" ht="12.75" customHeight="1" x14ac:dyDescent="0.2"/>
    <row r="6842" ht="12.75" customHeight="1" x14ac:dyDescent="0.2"/>
    <row r="6843" ht="12.75" customHeight="1" x14ac:dyDescent="0.2"/>
    <row r="6844" ht="12.75" customHeight="1" x14ac:dyDescent="0.2"/>
    <row r="6845" ht="12.75" customHeight="1" x14ac:dyDescent="0.2"/>
    <row r="6846" ht="12.75" customHeight="1" x14ac:dyDescent="0.2"/>
    <row r="6847" ht="12.75" customHeight="1" x14ac:dyDescent="0.2"/>
    <row r="6848" ht="12.75" customHeight="1" x14ac:dyDescent="0.2"/>
    <row r="6849" ht="12.75" customHeight="1" x14ac:dyDescent="0.2"/>
    <row r="6850" ht="12.75" customHeight="1" x14ac:dyDescent="0.2"/>
    <row r="6851" ht="12.75" customHeight="1" x14ac:dyDescent="0.2"/>
    <row r="6852" ht="12.75" customHeight="1" x14ac:dyDescent="0.2"/>
    <row r="6853" ht="12.75" customHeight="1" x14ac:dyDescent="0.2"/>
    <row r="6854" ht="12.75" customHeight="1" x14ac:dyDescent="0.2"/>
    <row r="6855" ht="12.75" customHeight="1" x14ac:dyDescent="0.2"/>
    <row r="6856" ht="12.75" customHeight="1" x14ac:dyDescent="0.2"/>
    <row r="6857" ht="12.75" customHeight="1" x14ac:dyDescent="0.2"/>
    <row r="6858" ht="12.75" customHeight="1" x14ac:dyDescent="0.2"/>
    <row r="6859" ht="12.75" customHeight="1" x14ac:dyDescent="0.2"/>
    <row r="6860" ht="12.75" customHeight="1" x14ac:dyDescent="0.2"/>
    <row r="6861" ht="12.75" customHeight="1" x14ac:dyDescent="0.2"/>
    <row r="6862" ht="12.75" customHeight="1" x14ac:dyDescent="0.2"/>
    <row r="6863" ht="12.75" customHeight="1" x14ac:dyDescent="0.2"/>
    <row r="6864" ht="12.75" customHeight="1" x14ac:dyDescent="0.2"/>
    <row r="6865" ht="12.75" customHeight="1" x14ac:dyDescent="0.2"/>
    <row r="6866" ht="12.75" customHeight="1" x14ac:dyDescent="0.2"/>
    <row r="6867" ht="12.75" customHeight="1" x14ac:dyDescent="0.2"/>
    <row r="6868" ht="12.75" customHeight="1" x14ac:dyDescent="0.2"/>
    <row r="6869" ht="12.75" customHeight="1" x14ac:dyDescent="0.2"/>
    <row r="6870" ht="12.75" customHeight="1" x14ac:dyDescent="0.2"/>
    <row r="6871" ht="12.75" customHeight="1" x14ac:dyDescent="0.2"/>
    <row r="6872" ht="12.75" customHeight="1" x14ac:dyDescent="0.2"/>
    <row r="6873" ht="12.75" customHeight="1" x14ac:dyDescent="0.2"/>
    <row r="6874" ht="12.75" customHeight="1" x14ac:dyDescent="0.2"/>
    <row r="6875" ht="12.75" customHeight="1" x14ac:dyDescent="0.2"/>
    <row r="6876" ht="12.75" customHeight="1" x14ac:dyDescent="0.2"/>
    <row r="6877" ht="12.75" customHeight="1" x14ac:dyDescent="0.2"/>
    <row r="6878" ht="12.75" customHeight="1" x14ac:dyDescent="0.2"/>
    <row r="6879" ht="12.75" customHeight="1" x14ac:dyDescent="0.2"/>
    <row r="6880" ht="12.75" customHeight="1" x14ac:dyDescent="0.2"/>
    <row r="6881" ht="12.75" customHeight="1" x14ac:dyDescent="0.2"/>
    <row r="6882" ht="12.75" customHeight="1" x14ac:dyDescent="0.2"/>
    <row r="6883" ht="12.75" customHeight="1" x14ac:dyDescent="0.2"/>
    <row r="6884" ht="12.75" customHeight="1" x14ac:dyDescent="0.2"/>
    <row r="6885" ht="12.75" customHeight="1" x14ac:dyDescent="0.2"/>
    <row r="6886" ht="12.75" customHeight="1" x14ac:dyDescent="0.2"/>
    <row r="6887" ht="12.75" customHeight="1" x14ac:dyDescent="0.2"/>
    <row r="6888" ht="12.75" customHeight="1" x14ac:dyDescent="0.2"/>
    <row r="6889" ht="12.75" customHeight="1" x14ac:dyDescent="0.2"/>
    <row r="6890" ht="12.75" customHeight="1" x14ac:dyDescent="0.2"/>
    <row r="6891" ht="12.75" customHeight="1" x14ac:dyDescent="0.2"/>
    <row r="6892" ht="12.75" customHeight="1" x14ac:dyDescent="0.2"/>
    <row r="6893" ht="12.75" customHeight="1" x14ac:dyDescent="0.2"/>
    <row r="6894" ht="12.75" customHeight="1" x14ac:dyDescent="0.2"/>
    <row r="6895" ht="12.75" customHeight="1" x14ac:dyDescent="0.2"/>
    <row r="6896" ht="12.75" customHeight="1" x14ac:dyDescent="0.2"/>
    <row r="6897" ht="12.75" customHeight="1" x14ac:dyDescent="0.2"/>
    <row r="6898" ht="12.75" customHeight="1" x14ac:dyDescent="0.2"/>
    <row r="6899" ht="12.75" customHeight="1" x14ac:dyDescent="0.2"/>
    <row r="6900" ht="12.75" customHeight="1" x14ac:dyDescent="0.2"/>
    <row r="6901" ht="12.75" customHeight="1" x14ac:dyDescent="0.2"/>
    <row r="6902" ht="12.75" customHeight="1" x14ac:dyDescent="0.2"/>
    <row r="6903" ht="12.75" customHeight="1" x14ac:dyDescent="0.2"/>
    <row r="6904" ht="12.75" customHeight="1" x14ac:dyDescent="0.2"/>
    <row r="6905" ht="12.75" customHeight="1" x14ac:dyDescent="0.2"/>
    <row r="6906" ht="12.75" customHeight="1" x14ac:dyDescent="0.2"/>
    <row r="6907" ht="12.75" customHeight="1" x14ac:dyDescent="0.2"/>
    <row r="6908" ht="12.75" customHeight="1" x14ac:dyDescent="0.2"/>
    <row r="6909" ht="12.75" customHeight="1" x14ac:dyDescent="0.2"/>
    <row r="6910" ht="12.75" customHeight="1" x14ac:dyDescent="0.2"/>
    <row r="6911" ht="12.75" customHeight="1" x14ac:dyDescent="0.2"/>
    <row r="6912" ht="12.75" customHeight="1" x14ac:dyDescent="0.2"/>
    <row r="6913" ht="12.75" customHeight="1" x14ac:dyDescent="0.2"/>
    <row r="6914" ht="12.75" customHeight="1" x14ac:dyDescent="0.2"/>
    <row r="6915" ht="12.75" customHeight="1" x14ac:dyDescent="0.2"/>
    <row r="6916" ht="12.75" customHeight="1" x14ac:dyDescent="0.2"/>
    <row r="6917" ht="12.75" customHeight="1" x14ac:dyDescent="0.2"/>
    <row r="6918" ht="12.75" customHeight="1" x14ac:dyDescent="0.2"/>
    <row r="6919" ht="12.75" customHeight="1" x14ac:dyDescent="0.2"/>
    <row r="6920" ht="12.75" customHeight="1" x14ac:dyDescent="0.2"/>
    <row r="6921" ht="12.75" customHeight="1" x14ac:dyDescent="0.2"/>
    <row r="6922" ht="12.75" customHeight="1" x14ac:dyDescent="0.2"/>
    <row r="6923" ht="12.75" customHeight="1" x14ac:dyDescent="0.2"/>
    <row r="6924" ht="12.75" customHeight="1" x14ac:dyDescent="0.2"/>
    <row r="6925" ht="12.75" customHeight="1" x14ac:dyDescent="0.2"/>
    <row r="6926" ht="12.75" customHeight="1" x14ac:dyDescent="0.2"/>
    <row r="6927" ht="12.75" customHeight="1" x14ac:dyDescent="0.2"/>
    <row r="6928" ht="12.75" customHeight="1" x14ac:dyDescent="0.2"/>
    <row r="6929" ht="12.75" customHeight="1" x14ac:dyDescent="0.2"/>
    <row r="6930" ht="12.75" customHeight="1" x14ac:dyDescent="0.2"/>
    <row r="6931" ht="12.75" customHeight="1" x14ac:dyDescent="0.2"/>
    <row r="6932" ht="12.75" customHeight="1" x14ac:dyDescent="0.2"/>
    <row r="6933" ht="12.75" customHeight="1" x14ac:dyDescent="0.2"/>
    <row r="6934" ht="12.75" customHeight="1" x14ac:dyDescent="0.2"/>
    <row r="6935" ht="12.75" customHeight="1" x14ac:dyDescent="0.2"/>
    <row r="6936" ht="12.75" customHeight="1" x14ac:dyDescent="0.2"/>
    <row r="6937" ht="12.75" customHeight="1" x14ac:dyDescent="0.2"/>
    <row r="6938" ht="12.75" customHeight="1" x14ac:dyDescent="0.2"/>
    <row r="6939" ht="12.75" customHeight="1" x14ac:dyDescent="0.2"/>
    <row r="6940" ht="12.75" customHeight="1" x14ac:dyDescent="0.2"/>
    <row r="6941" ht="12.75" customHeight="1" x14ac:dyDescent="0.2"/>
    <row r="6942" ht="12.75" customHeight="1" x14ac:dyDescent="0.2"/>
    <row r="6943" ht="12.75" customHeight="1" x14ac:dyDescent="0.2"/>
    <row r="6944" ht="12.75" customHeight="1" x14ac:dyDescent="0.2"/>
    <row r="6945" ht="12.75" customHeight="1" x14ac:dyDescent="0.2"/>
    <row r="6946" ht="12.75" customHeight="1" x14ac:dyDescent="0.2"/>
    <row r="6947" ht="12.75" customHeight="1" x14ac:dyDescent="0.2"/>
    <row r="6948" ht="12.75" customHeight="1" x14ac:dyDescent="0.2"/>
    <row r="6949" ht="12.75" customHeight="1" x14ac:dyDescent="0.2"/>
    <row r="6950" ht="12.75" customHeight="1" x14ac:dyDescent="0.2"/>
    <row r="6951" ht="12.75" customHeight="1" x14ac:dyDescent="0.2"/>
    <row r="6952" ht="12.75" customHeight="1" x14ac:dyDescent="0.2"/>
    <row r="6953" ht="12.75" customHeight="1" x14ac:dyDescent="0.2"/>
    <row r="6954" ht="12.75" customHeight="1" x14ac:dyDescent="0.2"/>
    <row r="6955" ht="12.75" customHeight="1" x14ac:dyDescent="0.2"/>
    <row r="6956" ht="12.75" customHeight="1" x14ac:dyDescent="0.2"/>
    <row r="6957" ht="12.75" customHeight="1" x14ac:dyDescent="0.2"/>
    <row r="6958" ht="12.75" customHeight="1" x14ac:dyDescent="0.2"/>
    <row r="6959" ht="12.75" customHeight="1" x14ac:dyDescent="0.2"/>
    <row r="6960" ht="12.75" customHeight="1" x14ac:dyDescent="0.2"/>
    <row r="6961" ht="12.75" customHeight="1" x14ac:dyDescent="0.2"/>
    <row r="6962" ht="12.75" customHeight="1" x14ac:dyDescent="0.2"/>
    <row r="6963" ht="12.75" customHeight="1" x14ac:dyDescent="0.2"/>
    <row r="6964" ht="12.75" customHeight="1" x14ac:dyDescent="0.2"/>
    <row r="6965" ht="12.75" customHeight="1" x14ac:dyDescent="0.2"/>
    <row r="6966" ht="12.75" customHeight="1" x14ac:dyDescent="0.2"/>
    <row r="6967" ht="12.75" customHeight="1" x14ac:dyDescent="0.2"/>
    <row r="6968" ht="12.75" customHeight="1" x14ac:dyDescent="0.2"/>
    <row r="6969" ht="12.75" customHeight="1" x14ac:dyDescent="0.2"/>
    <row r="6970" ht="12.75" customHeight="1" x14ac:dyDescent="0.2"/>
    <row r="6971" ht="12.75" customHeight="1" x14ac:dyDescent="0.2"/>
    <row r="6972" ht="12.75" customHeight="1" x14ac:dyDescent="0.2"/>
    <row r="6973" ht="12.75" customHeight="1" x14ac:dyDescent="0.2"/>
    <row r="6974" ht="12.75" customHeight="1" x14ac:dyDescent="0.2"/>
    <row r="6975" ht="12.75" customHeight="1" x14ac:dyDescent="0.2"/>
    <row r="6976" ht="12.75" customHeight="1" x14ac:dyDescent="0.2"/>
    <row r="6977" ht="12.75" customHeight="1" x14ac:dyDescent="0.2"/>
    <row r="6978" ht="12.75" customHeight="1" x14ac:dyDescent="0.2"/>
    <row r="6979" ht="12.75" customHeight="1" x14ac:dyDescent="0.2"/>
    <row r="6980" ht="12.75" customHeight="1" x14ac:dyDescent="0.2"/>
    <row r="6981" ht="12.75" customHeight="1" x14ac:dyDescent="0.2"/>
    <row r="6982" ht="12.75" customHeight="1" x14ac:dyDescent="0.2"/>
    <row r="6983" ht="12.75" customHeight="1" x14ac:dyDescent="0.2"/>
    <row r="6984" ht="12.75" customHeight="1" x14ac:dyDescent="0.2"/>
    <row r="6985" ht="12.75" customHeight="1" x14ac:dyDescent="0.2"/>
    <row r="6986" ht="12.75" customHeight="1" x14ac:dyDescent="0.2"/>
    <row r="6987" ht="12.75" customHeight="1" x14ac:dyDescent="0.2"/>
    <row r="6988" ht="12.75" customHeight="1" x14ac:dyDescent="0.2"/>
    <row r="6989" ht="12.75" customHeight="1" x14ac:dyDescent="0.2"/>
    <row r="6990" ht="12.75" customHeight="1" x14ac:dyDescent="0.2"/>
    <row r="6991" ht="12.75" customHeight="1" x14ac:dyDescent="0.2"/>
    <row r="6992" ht="12.75" customHeight="1" x14ac:dyDescent="0.2"/>
    <row r="6993" ht="12.75" customHeight="1" x14ac:dyDescent="0.2"/>
    <row r="6994" ht="12.75" customHeight="1" x14ac:dyDescent="0.2"/>
    <row r="6995" ht="12.75" customHeight="1" x14ac:dyDescent="0.2"/>
    <row r="6996" ht="12.75" customHeight="1" x14ac:dyDescent="0.2"/>
    <row r="6997" ht="12.75" customHeight="1" x14ac:dyDescent="0.2"/>
    <row r="6998" ht="12.75" customHeight="1" x14ac:dyDescent="0.2"/>
    <row r="6999" ht="12.75" customHeight="1" x14ac:dyDescent="0.2"/>
    <row r="7000" ht="12.75" customHeight="1" x14ac:dyDescent="0.2"/>
    <row r="7001" ht="12.75" customHeight="1" x14ac:dyDescent="0.2"/>
    <row r="7002" ht="12.75" customHeight="1" x14ac:dyDescent="0.2"/>
    <row r="7003" ht="12.75" customHeight="1" x14ac:dyDescent="0.2"/>
    <row r="7004" ht="12.75" customHeight="1" x14ac:dyDescent="0.2"/>
    <row r="7005" ht="12.75" customHeight="1" x14ac:dyDescent="0.2"/>
    <row r="7006" ht="12.75" customHeight="1" x14ac:dyDescent="0.2"/>
    <row r="7007" ht="12.75" customHeight="1" x14ac:dyDescent="0.2"/>
    <row r="7008" ht="12.75" customHeight="1" x14ac:dyDescent="0.2"/>
    <row r="7009" ht="12.75" customHeight="1" x14ac:dyDescent="0.2"/>
    <row r="7010" ht="12.75" customHeight="1" x14ac:dyDescent="0.2"/>
    <row r="7011" ht="12.75" customHeight="1" x14ac:dyDescent="0.2"/>
    <row r="7012" ht="12.75" customHeight="1" x14ac:dyDescent="0.2"/>
    <row r="7013" ht="12.75" customHeight="1" x14ac:dyDescent="0.2"/>
    <row r="7014" ht="12.75" customHeight="1" x14ac:dyDescent="0.2"/>
    <row r="7015" ht="12.75" customHeight="1" x14ac:dyDescent="0.2"/>
    <row r="7016" ht="12.75" customHeight="1" x14ac:dyDescent="0.2"/>
    <row r="7017" ht="12.75" customHeight="1" x14ac:dyDescent="0.2"/>
    <row r="7018" ht="12.75" customHeight="1" x14ac:dyDescent="0.2"/>
    <row r="7019" ht="12.75" customHeight="1" x14ac:dyDescent="0.2"/>
    <row r="7020" ht="12.75" customHeight="1" x14ac:dyDescent="0.2"/>
    <row r="7021" ht="12.75" customHeight="1" x14ac:dyDescent="0.2"/>
    <row r="7022" ht="12.75" customHeight="1" x14ac:dyDescent="0.2"/>
    <row r="7023" ht="12.75" customHeight="1" x14ac:dyDescent="0.2"/>
    <row r="7024" ht="12.75" customHeight="1" x14ac:dyDescent="0.2"/>
    <row r="7025" ht="12.75" customHeight="1" x14ac:dyDescent="0.2"/>
    <row r="7026" ht="12.75" customHeight="1" x14ac:dyDescent="0.2"/>
    <row r="7027" ht="12.75" customHeight="1" x14ac:dyDescent="0.2"/>
    <row r="7028" ht="12.75" customHeight="1" x14ac:dyDescent="0.2"/>
    <row r="7029" ht="12.75" customHeight="1" x14ac:dyDescent="0.2"/>
    <row r="7030" ht="12.75" customHeight="1" x14ac:dyDescent="0.2"/>
    <row r="7031" ht="12.75" customHeight="1" x14ac:dyDescent="0.2"/>
    <row r="7032" ht="12.75" customHeight="1" x14ac:dyDescent="0.2"/>
    <row r="7033" ht="12.75" customHeight="1" x14ac:dyDescent="0.2"/>
    <row r="7034" ht="12.75" customHeight="1" x14ac:dyDescent="0.2"/>
    <row r="7035" ht="12.75" customHeight="1" x14ac:dyDescent="0.2"/>
    <row r="7036" ht="12.75" customHeight="1" x14ac:dyDescent="0.2"/>
    <row r="7037" ht="12.75" customHeight="1" x14ac:dyDescent="0.2"/>
    <row r="7038" ht="12.75" customHeight="1" x14ac:dyDescent="0.2"/>
    <row r="7039" ht="12.75" customHeight="1" x14ac:dyDescent="0.2"/>
    <row r="7040" ht="12.75" customHeight="1" x14ac:dyDescent="0.2"/>
    <row r="7041" ht="12.75" customHeight="1" x14ac:dyDescent="0.2"/>
    <row r="7042" ht="12.75" customHeight="1" x14ac:dyDescent="0.2"/>
    <row r="7043" ht="12.75" customHeight="1" x14ac:dyDescent="0.2"/>
    <row r="7044" ht="12.75" customHeight="1" x14ac:dyDescent="0.2"/>
    <row r="7045" ht="12.75" customHeight="1" x14ac:dyDescent="0.2"/>
    <row r="7046" ht="12.75" customHeight="1" x14ac:dyDescent="0.2"/>
    <row r="7047" ht="12.75" customHeight="1" x14ac:dyDescent="0.2"/>
    <row r="7048" ht="12.75" customHeight="1" x14ac:dyDescent="0.2"/>
    <row r="7049" ht="12.75" customHeight="1" x14ac:dyDescent="0.2"/>
    <row r="7050" ht="12.75" customHeight="1" x14ac:dyDescent="0.2"/>
    <row r="7051" ht="12.75" customHeight="1" x14ac:dyDescent="0.2"/>
    <row r="7052" ht="12.75" customHeight="1" x14ac:dyDescent="0.2"/>
    <row r="7053" ht="12.75" customHeight="1" x14ac:dyDescent="0.2"/>
    <row r="7054" ht="12.75" customHeight="1" x14ac:dyDescent="0.2"/>
    <row r="7055" ht="12.75" customHeight="1" x14ac:dyDescent="0.2"/>
    <row r="7056" ht="12.75" customHeight="1" x14ac:dyDescent="0.2"/>
    <row r="7057" ht="12.75" customHeight="1" x14ac:dyDescent="0.2"/>
    <row r="7058" ht="12.75" customHeight="1" x14ac:dyDescent="0.2"/>
    <row r="7059" ht="12.75" customHeight="1" x14ac:dyDescent="0.2"/>
    <row r="7060" ht="12.75" customHeight="1" x14ac:dyDescent="0.2"/>
    <row r="7061" ht="12.75" customHeight="1" x14ac:dyDescent="0.2"/>
    <row r="7062" ht="12.75" customHeight="1" x14ac:dyDescent="0.2"/>
    <row r="7063" ht="12.75" customHeight="1" x14ac:dyDescent="0.2"/>
    <row r="7064" ht="12.75" customHeight="1" x14ac:dyDescent="0.2"/>
    <row r="7065" ht="12.75" customHeight="1" x14ac:dyDescent="0.2"/>
    <row r="7066" ht="12.75" customHeight="1" x14ac:dyDescent="0.2"/>
    <row r="7067" ht="12.75" customHeight="1" x14ac:dyDescent="0.2"/>
    <row r="7068" ht="12.75" customHeight="1" x14ac:dyDescent="0.2"/>
    <row r="7069" ht="12.75" customHeight="1" x14ac:dyDescent="0.2"/>
    <row r="7070" ht="12.75" customHeight="1" x14ac:dyDescent="0.2"/>
    <row r="7071" ht="12.75" customHeight="1" x14ac:dyDescent="0.2"/>
    <row r="7072" ht="12.75" customHeight="1" x14ac:dyDescent="0.2"/>
    <row r="7073" ht="12.75" customHeight="1" x14ac:dyDescent="0.2"/>
    <row r="7074" ht="12.75" customHeight="1" x14ac:dyDescent="0.2"/>
    <row r="7075" ht="12.75" customHeight="1" x14ac:dyDescent="0.2"/>
    <row r="7076" ht="12.75" customHeight="1" x14ac:dyDescent="0.2"/>
    <row r="7077" ht="12.75" customHeight="1" x14ac:dyDescent="0.2"/>
    <row r="7078" ht="12.75" customHeight="1" x14ac:dyDescent="0.2"/>
    <row r="7079" ht="12.75" customHeight="1" x14ac:dyDescent="0.2"/>
    <row r="7080" ht="12.75" customHeight="1" x14ac:dyDescent="0.2"/>
    <row r="7081" ht="12.75" customHeight="1" x14ac:dyDescent="0.2"/>
    <row r="7082" ht="12.75" customHeight="1" x14ac:dyDescent="0.2"/>
    <row r="7083" ht="12.75" customHeight="1" x14ac:dyDescent="0.2"/>
    <row r="7084" ht="12.75" customHeight="1" x14ac:dyDescent="0.2"/>
    <row r="7085" ht="12.75" customHeight="1" x14ac:dyDescent="0.2"/>
    <row r="7086" ht="12.75" customHeight="1" x14ac:dyDescent="0.2"/>
    <row r="7087" ht="12.75" customHeight="1" x14ac:dyDescent="0.2"/>
    <row r="7088" ht="12.75" customHeight="1" x14ac:dyDescent="0.2"/>
    <row r="7089" ht="12.75" customHeight="1" x14ac:dyDescent="0.2"/>
    <row r="7090" ht="12.75" customHeight="1" x14ac:dyDescent="0.2"/>
    <row r="7091" ht="12.75" customHeight="1" x14ac:dyDescent="0.2"/>
    <row r="7092" ht="12.75" customHeight="1" x14ac:dyDescent="0.2"/>
    <row r="7093" ht="12.75" customHeight="1" x14ac:dyDescent="0.2"/>
    <row r="7094" ht="12.75" customHeight="1" x14ac:dyDescent="0.2"/>
    <row r="7095" ht="12.75" customHeight="1" x14ac:dyDescent="0.2"/>
    <row r="7096" ht="12.75" customHeight="1" x14ac:dyDescent="0.2"/>
    <row r="7097" ht="12.75" customHeight="1" x14ac:dyDescent="0.2"/>
    <row r="7098" ht="12.75" customHeight="1" x14ac:dyDescent="0.2"/>
    <row r="7099" ht="12.75" customHeight="1" x14ac:dyDescent="0.2"/>
    <row r="7100" ht="12.75" customHeight="1" x14ac:dyDescent="0.2"/>
    <row r="7101" ht="12.75" customHeight="1" x14ac:dyDescent="0.2"/>
    <row r="7102" ht="12.75" customHeight="1" x14ac:dyDescent="0.2"/>
    <row r="7103" ht="12.75" customHeight="1" x14ac:dyDescent="0.2"/>
    <row r="7104" ht="12.75" customHeight="1" x14ac:dyDescent="0.2"/>
    <row r="7105" ht="12.75" customHeight="1" x14ac:dyDescent="0.2"/>
    <row r="7106" ht="12.75" customHeight="1" x14ac:dyDescent="0.2"/>
    <row r="7107" ht="12.75" customHeight="1" x14ac:dyDescent="0.2"/>
    <row r="7108" ht="12.75" customHeight="1" x14ac:dyDescent="0.2"/>
    <row r="7109" ht="12.75" customHeight="1" x14ac:dyDescent="0.2"/>
    <row r="7110" ht="12.75" customHeight="1" x14ac:dyDescent="0.2"/>
    <row r="7111" ht="12.75" customHeight="1" x14ac:dyDescent="0.2"/>
    <row r="7112" ht="12.75" customHeight="1" x14ac:dyDescent="0.2"/>
    <row r="7113" ht="12.75" customHeight="1" x14ac:dyDescent="0.2"/>
    <row r="7114" ht="12.75" customHeight="1" x14ac:dyDescent="0.2"/>
    <row r="7115" ht="12.75" customHeight="1" x14ac:dyDescent="0.2"/>
    <row r="7116" ht="12.75" customHeight="1" x14ac:dyDescent="0.2"/>
    <row r="7117" ht="12.75" customHeight="1" x14ac:dyDescent="0.2"/>
    <row r="7118" ht="12.75" customHeight="1" x14ac:dyDescent="0.2"/>
    <row r="7119" ht="12.75" customHeight="1" x14ac:dyDescent="0.2"/>
    <row r="7120" ht="12.75" customHeight="1" x14ac:dyDescent="0.2"/>
    <row r="7121" ht="12.75" customHeight="1" x14ac:dyDescent="0.2"/>
    <row r="7122" ht="12.75" customHeight="1" x14ac:dyDescent="0.2"/>
    <row r="7123" ht="12.75" customHeight="1" x14ac:dyDescent="0.2"/>
    <row r="7124" ht="12.75" customHeight="1" x14ac:dyDescent="0.2"/>
    <row r="7125" ht="12.75" customHeight="1" x14ac:dyDescent="0.2"/>
    <row r="7126" ht="12.75" customHeight="1" x14ac:dyDescent="0.2"/>
    <row r="7127" ht="12.75" customHeight="1" x14ac:dyDescent="0.2"/>
    <row r="7128" ht="12.75" customHeight="1" x14ac:dyDescent="0.2"/>
    <row r="7129" ht="12.75" customHeight="1" x14ac:dyDescent="0.2"/>
    <row r="7130" ht="12.75" customHeight="1" x14ac:dyDescent="0.2"/>
    <row r="7131" ht="12.75" customHeight="1" x14ac:dyDescent="0.2"/>
    <row r="7132" ht="12.75" customHeight="1" x14ac:dyDescent="0.2"/>
    <row r="7133" ht="12.75" customHeight="1" x14ac:dyDescent="0.2"/>
    <row r="7134" ht="12.75" customHeight="1" x14ac:dyDescent="0.2"/>
    <row r="7135" ht="12.75" customHeight="1" x14ac:dyDescent="0.2"/>
    <row r="7136" ht="12.75" customHeight="1" x14ac:dyDescent="0.2"/>
    <row r="7137" ht="12.75" customHeight="1" x14ac:dyDescent="0.2"/>
    <row r="7138" ht="12.75" customHeight="1" x14ac:dyDescent="0.2"/>
    <row r="7139" ht="12.75" customHeight="1" x14ac:dyDescent="0.2"/>
    <row r="7140" ht="12.75" customHeight="1" x14ac:dyDescent="0.2"/>
    <row r="7141" ht="12.75" customHeight="1" x14ac:dyDescent="0.2"/>
    <row r="7142" ht="12.75" customHeight="1" x14ac:dyDescent="0.2"/>
    <row r="7143" ht="12.75" customHeight="1" x14ac:dyDescent="0.2"/>
    <row r="7144" ht="12.75" customHeight="1" x14ac:dyDescent="0.2"/>
    <row r="7145" ht="12.75" customHeight="1" x14ac:dyDescent="0.2"/>
    <row r="7146" ht="12.75" customHeight="1" x14ac:dyDescent="0.2"/>
    <row r="7147" ht="12.75" customHeight="1" x14ac:dyDescent="0.2"/>
    <row r="7148" ht="12.75" customHeight="1" x14ac:dyDescent="0.2"/>
    <row r="7149" ht="12.75" customHeight="1" x14ac:dyDescent="0.2"/>
    <row r="7150" ht="12.75" customHeight="1" x14ac:dyDescent="0.2"/>
    <row r="7151" ht="12.75" customHeight="1" x14ac:dyDescent="0.2"/>
    <row r="7152" ht="12.75" customHeight="1" x14ac:dyDescent="0.2"/>
    <row r="7153" ht="12.75" customHeight="1" x14ac:dyDescent="0.2"/>
    <row r="7154" ht="12.75" customHeight="1" x14ac:dyDescent="0.2"/>
    <row r="7155" ht="12.75" customHeight="1" x14ac:dyDescent="0.2"/>
    <row r="7156" ht="12.75" customHeight="1" x14ac:dyDescent="0.2"/>
    <row r="7157" ht="12.75" customHeight="1" x14ac:dyDescent="0.2"/>
    <row r="7158" ht="12.75" customHeight="1" x14ac:dyDescent="0.2"/>
    <row r="7159" ht="12.75" customHeight="1" x14ac:dyDescent="0.2"/>
    <row r="7160" ht="12.75" customHeight="1" x14ac:dyDescent="0.2"/>
    <row r="7161" ht="12.75" customHeight="1" x14ac:dyDescent="0.2"/>
    <row r="7162" ht="12.75" customHeight="1" x14ac:dyDescent="0.2"/>
    <row r="7163" ht="12.75" customHeight="1" x14ac:dyDescent="0.2"/>
    <row r="7164" ht="12.75" customHeight="1" x14ac:dyDescent="0.2"/>
    <row r="7165" ht="12.75" customHeight="1" x14ac:dyDescent="0.2"/>
    <row r="7166" ht="12.75" customHeight="1" x14ac:dyDescent="0.2"/>
    <row r="7167" ht="12.75" customHeight="1" x14ac:dyDescent="0.2"/>
    <row r="7168" ht="12.75" customHeight="1" x14ac:dyDescent="0.2"/>
    <row r="7169" ht="12.75" customHeight="1" x14ac:dyDescent="0.2"/>
    <row r="7170" ht="12.75" customHeight="1" x14ac:dyDescent="0.2"/>
    <row r="7171" ht="12.75" customHeight="1" x14ac:dyDescent="0.2"/>
    <row r="7172" ht="12.75" customHeight="1" x14ac:dyDescent="0.2"/>
    <row r="7173" ht="12.75" customHeight="1" x14ac:dyDescent="0.2"/>
    <row r="7174" ht="12.75" customHeight="1" x14ac:dyDescent="0.2"/>
    <row r="7175" ht="12.75" customHeight="1" x14ac:dyDescent="0.2"/>
    <row r="7176" ht="12.75" customHeight="1" x14ac:dyDescent="0.2"/>
    <row r="7177" ht="12.75" customHeight="1" x14ac:dyDescent="0.2"/>
    <row r="7178" ht="12.75" customHeight="1" x14ac:dyDescent="0.2"/>
    <row r="7179" ht="12.75" customHeight="1" x14ac:dyDescent="0.2"/>
    <row r="7180" ht="12.75" customHeight="1" x14ac:dyDescent="0.2"/>
    <row r="7181" ht="12.75" customHeight="1" x14ac:dyDescent="0.2"/>
    <row r="7182" ht="12.75" customHeight="1" x14ac:dyDescent="0.2"/>
    <row r="7183" ht="12.75" customHeight="1" x14ac:dyDescent="0.2"/>
    <row r="7184" ht="12.75" customHeight="1" x14ac:dyDescent="0.2"/>
    <row r="7185" ht="12.75" customHeight="1" x14ac:dyDescent="0.2"/>
    <row r="7186" ht="12.75" customHeight="1" x14ac:dyDescent="0.2"/>
    <row r="7187" ht="12.75" customHeight="1" x14ac:dyDescent="0.2"/>
    <row r="7188" ht="12.75" customHeight="1" x14ac:dyDescent="0.2"/>
    <row r="7189" ht="12.75" customHeight="1" x14ac:dyDescent="0.2"/>
    <row r="7190" ht="12.75" customHeight="1" x14ac:dyDescent="0.2"/>
    <row r="7191" ht="12.75" customHeight="1" x14ac:dyDescent="0.2"/>
    <row r="7192" ht="12.75" customHeight="1" x14ac:dyDescent="0.2"/>
    <row r="7193" ht="12.75" customHeight="1" x14ac:dyDescent="0.2"/>
    <row r="7194" ht="12.75" customHeight="1" x14ac:dyDescent="0.2"/>
    <row r="7195" ht="12.75" customHeight="1" x14ac:dyDescent="0.2"/>
    <row r="7196" ht="12.75" customHeight="1" x14ac:dyDescent="0.2"/>
    <row r="7197" ht="12.75" customHeight="1" x14ac:dyDescent="0.2"/>
    <row r="7198" ht="12.75" customHeight="1" x14ac:dyDescent="0.2"/>
    <row r="7199" ht="12.75" customHeight="1" x14ac:dyDescent="0.2"/>
    <row r="7200" ht="12.75" customHeight="1" x14ac:dyDescent="0.2"/>
    <row r="7201" ht="12.75" customHeight="1" x14ac:dyDescent="0.2"/>
    <row r="7202" ht="12.75" customHeight="1" x14ac:dyDescent="0.2"/>
    <row r="7203" ht="12.75" customHeight="1" x14ac:dyDescent="0.2"/>
    <row r="7204" ht="12.75" customHeight="1" x14ac:dyDescent="0.2"/>
    <row r="7205" ht="12.75" customHeight="1" x14ac:dyDescent="0.2"/>
    <row r="7206" ht="12.75" customHeight="1" x14ac:dyDescent="0.2"/>
    <row r="7207" ht="12.75" customHeight="1" x14ac:dyDescent="0.2"/>
    <row r="7208" ht="12.75" customHeight="1" x14ac:dyDescent="0.2"/>
    <row r="7209" ht="12.75" customHeight="1" x14ac:dyDescent="0.2"/>
    <row r="7210" ht="12.75" customHeight="1" x14ac:dyDescent="0.2"/>
    <row r="7211" ht="12.75" customHeight="1" x14ac:dyDescent="0.2"/>
    <row r="7212" ht="12.75" customHeight="1" x14ac:dyDescent="0.2"/>
    <row r="7213" ht="12.75" customHeight="1" x14ac:dyDescent="0.2"/>
    <row r="7214" ht="12.75" customHeight="1" x14ac:dyDescent="0.2"/>
    <row r="7215" ht="12.75" customHeight="1" x14ac:dyDescent="0.2"/>
    <row r="7216" ht="12.75" customHeight="1" x14ac:dyDescent="0.2"/>
    <row r="7217" ht="12.75" customHeight="1" x14ac:dyDescent="0.2"/>
    <row r="7218" ht="12.75" customHeight="1" x14ac:dyDescent="0.2"/>
    <row r="7219" ht="12.75" customHeight="1" x14ac:dyDescent="0.2"/>
    <row r="7220" ht="12.75" customHeight="1" x14ac:dyDescent="0.2"/>
    <row r="7221" ht="12.75" customHeight="1" x14ac:dyDescent="0.2"/>
    <row r="7222" ht="12.75" customHeight="1" x14ac:dyDescent="0.2"/>
    <row r="7223" ht="12.75" customHeight="1" x14ac:dyDescent="0.2"/>
    <row r="7224" ht="12.75" customHeight="1" x14ac:dyDescent="0.2"/>
    <row r="7225" ht="12.75" customHeight="1" x14ac:dyDescent="0.2"/>
    <row r="7226" ht="12.75" customHeight="1" x14ac:dyDescent="0.2"/>
    <row r="7227" ht="12.75" customHeight="1" x14ac:dyDescent="0.2"/>
    <row r="7228" ht="12.75" customHeight="1" x14ac:dyDescent="0.2"/>
    <row r="7229" ht="12.75" customHeight="1" x14ac:dyDescent="0.2"/>
    <row r="7230" ht="12.75" customHeight="1" x14ac:dyDescent="0.2"/>
    <row r="7231" ht="12.75" customHeight="1" x14ac:dyDescent="0.2"/>
    <row r="7232" ht="12.75" customHeight="1" x14ac:dyDescent="0.2"/>
    <row r="7233" ht="12.75" customHeight="1" x14ac:dyDescent="0.2"/>
    <row r="7234" ht="12.75" customHeight="1" x14ac:dyDescent="0.2"/>
    <row r="7235" ht="12.75" customHeight="1" x14ac:dyDescent="0.2"/>
    <row r="7236" ht="12.75" customHeight="1" x14ac:dyDescent="0.2"/>
    <row r="7237" ht="12.75" customHeight="1" x14ac:dyDescent="0.2"/>
    <row r="7238" ht="12.75" customHeight="1" x14ac:dyDescent="0.2"/>
    <row r="7239" ht="12.75" customHeight="1" x14ac:dyDescent="0.2"/>
    <row r="7240" ht="12.75" customHeight="1" x14ac:dyDescent="0.2"/>
    <row r="7241" ht="12.75" customHeight="1" x14ac:dyDescent="0.2"/>
    <row r="7242" ht="12.75" customHeight="1" x14ac:dyDescent="0.2"/>
    <row r="7243" ht="12.75" customHeight="1" x14ac:dyDescent="0.2"/>
    <row r="7244" ht="12.75" customHeight="1" x14ac:dyDescent="0.2"/>
    <row r="7245" ht="12.75" customHeight="1" x14ac:dyDescent="0.2"/>
    <row r="7246" ht="12.75" customHeight="1" x14ac:dyDescent="0.2"/>
    <row r="7247" ht="12.75" customHeight="1" x14ac:dyDescent="0.2"/>
    <row r="7248" ht="12.75" customHeight="1" x14ac:dyDescent="0.2"/>
    <row r="7249" ht="12.75" customHeight="1" x14ac:dyDescent="0.2"/>
    <row r="7250" ht="12.75" customHeight="1" x14ac:dyDescent="0.2"/>
    <row r="7251" ht="12.75" customHeight="1" x14ac:dyDescent="0.2"/>
    <row r="7252" ht="12.75" customHeight="1" x14ac:dyDescent="0.2"/>
    <row r="7253" ht="12.75" customHeight="1" x14ac:dyDescent="0.2"/>
    <row r="7254" ht="12.75" customHeight="1" x14ac:dyDescent="0.2"/>
    <row r="7255" ht="12.75" customHeight="1" x14ac:dyDescent="0.2"/>
    <row r="7256" ht="12.75" customHeight="1" x14ac:dyDescent="0.2"/>
    <row r="7257" ht="12.75" customHeight="1" x14ac:dyDescent="0.2"/>
    <row r="7258" ht="12.75" customHeight="1" x14ac:dyDescent="0.2"/>
    <row r="7259" ht="12.75" customHeight="1" x14ac:dyDescent="0.2"/>
    <row r="7260" ht="12.75" customHeight="1" x14ac:dyDescent="0.2"/>
    <row r="7261" ht="12.75" customHeight="1" x14ac:dyDescent="0.2"/>
    <row r="7262" ht="12.75" customHeight="1" x14ac:dyDescent="0.2"/>
    <row r="7263" ht="12.75" customHeight="1" x14ac:dyDescent="0.2"/>
    <row r="7264" ht="12.75" customHeight="1" x14ac:dyDescent="0.2"/>
    <row r="7265" ht="12.75" customHeight="1" x14ac:dyDescent="0.2"/>
    <row r="7266" ht="12.75" customHeight="1" x14ac:dyDescent="0.2"/>
    <row r="7267" ht="12.75" customHeight="1" x14ac:dyDescent="0.2"/>
    <row r="7268" ht="12.75" customHeight="1" x14ac:dyDescent="0.2"/>
    <row r="7269" ht="12.75" customHeight="1" x14ac:dyDescent="0.2"/>
    <row r="7270" ht="12.75" customHeight="1" x14ac:dyDescent="0.2"/>
    <row r="7271" ht="12.75" customHeight="1" x14ac:dyDescent="0.2"/>
    <row r="7272" ht="12.75" customHeight="1" x14ac:dyDescent="0.2"/>
    <row r="7273" ht="12.75" customHeight="1" x14ac:dyDescent="0.2"/>
    <row r="7274" ht="12.75" customHeight="1" x14ac:dyDescent="0.2"/>
    <row r="7275" ht="12.75" customHeight="1" x14ac:dyDescent="0.2"/>
    <row r="7276" ht="12.75" customHeight="1" x14ac:dyDescent="0.2"/>
    <row r="7277" ht="12.75" customHeight="1" x14ac:dyDescent="0.2"/>
    <row r="7278" ht="12.75" customHeight="1" x14ac:dyDescent="0.2"/>
    <row r="7279" ht="12.75" customHeight="1" x14ac:dyDescent="0.2"/>
    <row r="7280" ht="12.75" customHeight="1" x14ac:dyDescent="0.2"/>
    <row r="7281" ht="12.75" customHeight="1" x14ac:dyDescent="0.2"/>
    <row r="7282" ht="12.75" customHeight="1" x14ac:dyDescent="0.2"/>
    <row r="7283" ht="12.75" customHeight="1" x14ac:dyDescent="0.2"/>
    <row r="7284" ht="12.75" customHeight="1" x14ac:dyDescent="0.2"/>
    <row r="7285" ht="12.75" customHeight="1" x14ac:dyDescent="0.2"/>
    <row r="7286" ht="12.75" customHeight="1" x14ac:dyDescent="0.2"/>
    <row r="7287" ht="12.75" customHeight="1" x14ac:dyDescent="0.2"/>
    <row r="7288" ht="12.75" customHeight="1" x14ac:dyDescent="0.2"/>
    <row r="7289" ht="12.75" customHeight="1" x14ac:dyDescent="0.2"/>
    <row r="7290" ht="12.75" customHeight="1" x14ac:dyDescent="0.2"/>
    <row r="7291" ht="12.75" customHeight="1" x14ac:dyDescent="0.2"/>
    <row r="7292" ht="12.75" customHeight="1" x14ac:dyDescent="0.2"/>
    <row r="7293" ht="12.75" customHeight="1" x14ac:dyDescent="0.2"/>
    <row r="7294" ht="12.75" customHeight="1" x14ac:dyDescent="0.2"/>
    <row r="7295" ht="12.75" customHeight="1" x14ac:dyDescent="0.2"/>
    <row r="7296" ht="12.75" customHeight="1" x14ac:dyDescent="0.2"/>
    <row r="7297" ht="12.75" customHeight="1" x14ac:dyDescent="0.2"/>
    <row r="7298" ht="12.75" customHeight="1" x14ac:dyDescent="0.2"/>
    <row r="7299" ht="12.75" customHeight="1" x14ac:dyDescent="0.2"/>
    <row r="7300" ht="12.75" customHeight="1" x14ac:dyDescent="0.2"/>
    <row r="7301" ht="12.75" customHeight="1" x14ac:dyDescent="0.2"/>
    <row r="7302" ht="12.75" customHeight="1" x14ac:dyDescent="0.2"/>
    <row r="7303" ht="12.75" customHeight="1" x14ac:dyDescent="0.2"/>
    <row r="7304" ht="12.75" customHeight="1" x14ac:dyDescent="0.2"/>
    <row r="7305" ht="12.75" customHeight="1" x14ac:dyDescent="0.2"/>
    <row r="7306" ht="12.75" customHeight="1" x14ac:dyDescent="0.2"/>
    <row r="7307" ht="12.75" customHeight="1" x14ac:dyDescent="0.2"/>
    <row r="7308" ht="12.75" customHeight="1" x14ac:dyDescent="0.2"/>
    <row r="7309" ht="12.75" customHeight="1" x14ac:dyDescent="0.2"/>
    <row r="7310" ht="12.75" customHeight="1" x14ac:dyDescent="0.2"/>
    <row r="7311" ht="12.75" customHeight="1" x14ac:dyDescent="0.2"/>
    <row r="7312" ht="12.75" customHeight="1" x14ac:dyDescent="0.2"/>
    <row r="7313" ht="12.75" customHeight="1" x14ac:dyDescent="0.2"/>
    <row r="7314" ht="12.75" customHeight="1" x14ac:dyDescent="0.2"/>
    <row r="7315" ht="12.75" customHeight="1" x14ac:dyDescent="0.2"/>
    <row r="7316" ht="12.75" customHeight="1" x14ac:dyDescent="0.2"/>
    <row r="7317" ht="12.75" customHeight="1" x14ac:dyDescent="0.2"/>
    <row r="7318" ht="12.75" customHeight="1" x14ac:dyDescent="0.2"/>
    <row r="7319" ht="12.75" customHeight="1" x14ac:dyDescent="0.2"/>
    <row r="7320" ht="12.75" customHeight="1" x14ac:dyDescent="0.2"/>
    <row r="7321" ht="12.75" customHeight="1" x14ac:dyDescent="0.2"/>
    <row r="7322" ht="12.75" customHeight="1" x14ac:dyDescent="0.2"/>
    <row r="7323" ht="12.75" customHeight="1" x14ac:dyDescent="0.2"/>
    <row r="7324" ht="12.75" customHeight="1" x14ac:dyDescent="0.2"/>
    <row r="7325" ht="12.75" customHeight="1" x14ac:dyDescent="0.2"/>
    <row r="7326" ht="12.75" customHeight="1" x14ac:dyDescent="0.2"/>
    <row r="7327" ht="12.75" customHeight="1" x14ac:dyDescent="0.2"/>
    <row r="7328" ht="12.75" customHeight="1" x14ac:dyDescent="0.2"/>
    <row r="7329" ht="12.75" customHeight="1" x14ac:dyDescent="0.2"/>
    <row r="7330" ht="12.75" customHeight="1" x14ac:dyDescent="0.2"/>
    <row r="7331" ht="12.75" customHeight="1" x14ac:dyDescent="0.2"/>
    <row r="7332" ht="12.75" customHeight="1" x14ac:dyDescent="0.2"/>
    <row r="7333" ht="12.75" customHeight="1" x14ac:dyDescent="0.2"/>
    <row r="7334" ht="12.75" customHeight="1" x14ac:dyDescent="0.2"/>
    <row r="7335" ht="12.75" customHeight="1" x14ac:dyDescent="0.2"/>
    <row r="7336" ht="12.75" customHeight="1" x14ac:dyDescent="0.2"/>
    <row r="7337" ht="12.75" customHeight="1" x14ac:dyDescent="0.2"/>
    <row r="7338" ht="12.75" customHeight="1" x14ac:dyDescent="0.2"/>
    <row r="7339" ht="12.75" customHeight="1" x14ac:dyDescent="0.2"/>
    <row r="7340" ht="12.75" customHeight="1" x14ac:dyDescent="0.2"/>
    <row r="7341" ht="12.75" customHeight="1" x14ac:dyDescent="0.2"/>
    <row r="7342" ht="12.75" customHeight="1" x14ac:dyDescent="0.2"/>
    <row r="7343" ht="12.75" customHeight="1" x14ac:dyDescent="0.2"/>
    <row r="7344" ht="12.75" customHeight="1" x14ac:dyDescent="0.2"/>
    <row r="7345" ht="12.75" customHeight="1" x14ac:dyDescent="0.2"/>
    <row r="7346" ht="12.75" customHeight="1" x14ac:dyDescent="0.2"/>
    <row r="7347" ht="12.75" customHeight="1" x14ac:dyDescent="0.2"/>
    <row r="7348" ht="12.75" customHeight="1" x14ac:dyDescent="0.2"/>
    <row r="7349" ht="12.75" customHeight="1" x14ac:dyDescent="0.2"/>
    <row r="7350" ht="12.75" customHeight="1" x14ac:dyDescent="0.2"/>
    <row r="7351" ht="12.75" customHeight="1" x14ac:dyDescent="0.2"/>
    <row r="7352" ht="12.75" customHeight="1" x14ac:dyDescent="0.2"/>
    <row r="7353" ht="12.75" customHeight="1" x14ac:dyDescent="0.2"/>
    <row r="7354" ht="12.75" customHeight="1" x14ac:dyDescent="0.2"/>
    <row r="7355" ht="12.75" customHeight="1" x14ac:dyDescent="0.2"/>
    <row r="7356" ht="12.75" customHeight="1" x14ac:dyDescent="0.2"/>
    <row r="7357" ht="12.75" customHeight="1" x14ac:dyDescent="0.2"/>
    <row r="7358" ht="12.75" customHeight="1" x14ac:dyDescent="0.2"/>
    <row r="7359" ht="12.75" customHeight="1" x14ac:dyDescent="0.2"/>
    <row r="7360" ht="12.75" customHeight="1" x14ac:dyDescent="0.2"/>
    <row r="7361" ht="12.75" customHeight="1" x14ac:dyDescent="0.2"/>
    <row r="7362" ht="12.75" customHeight="1" x14ac:dyDescent="0.2"/>
    <row r="7363" ht="12.75" customHeight="1" x14ac:dyDescent="0.2"/>
    <row r="7364" ht="12.75" customHeight="1" x14ac:dyDescent="0.2"/>
    <row r="7365" ht="12.75" customHeight="1" x14ac:dyDescent="0.2"/>
    <row r="7366" ht="12.75" customHeight="1" x14ac:dyDescent="0.2"/>
    <row r="7367" ht="12.75" customHeight="1" x14ac:dyDescent="0.2"/>
    <row r="7368" ht="12.75" customHeight="1" x14ac:dyDescent="0.2"/>
    <row r="7369" ht="12.75" customHeight="1" x14ac:dyDescent="0.2"/>
    <row r="7370" ht="12.75" customHeight="1" x14ac:dyDescent="0.2"/>
    <row r="7371" ht="12.75" customHeight="1" x14ac:dyDescent="0.2"/>
    <row r="7372" ht="12.75" customHeight="1" x14ac:dyDescent="0.2"/>
    <row r="7373" ht="12.75" customHeight="1" x14ac:dyDescent="0.2"/>
    <row r="7374" ht="12.75" customHeight="1" x14ac:dyDescent="0.2"/>
    <row r="7375" ht="12.75" customHeight="1" x14ac:dyDescent="0.2"/>
    <row r="7376" ht="12.75" customHeight="1" x14ac:dyDescent="0.2"/>
    <row r="7377" ht="12.75" customHeight="1" x14ac:dyDescent="0.2"/>
    <row r="7378" ht="12.75" customHeight="1" x14ac:dyDescent="0.2"/>
    <row r="7379" ht="12.75" customHeight="1" x14ac:dyDescent="0.2"/>
    <row r="7380" ht="12.75" customHeight="1" x14ac:dyDescent="0.2"/>
    <row r="7381" ht="12.75" customHeight="1" x14ac:dyDescent="0.2"/>
    <row r="7382" ht="12.75" customHeight="1" x14ac:dyDescent="0.2"/>
    <row r="7383" ht="12.75" customHeight="1" x14ac:dyDescent="0.2"/>
    <row r="7384" ht="12.75" customHeight="1" x14ac:dyDescent="0.2"/>
    <row r="7385" ht="12.75" customHeight="1" x14ac:dyDescent="0.2"/>
    <row r="7386" ht="12.75" customHeight="1" x14ac:dyDescent="0.2"/>
    <row r="7387" ht="12.75" customHeight="1" x14ac:dyDescent="0.2"/>
    <row r="7388" ht="12.75" customHeight="1" x14ac:dyDescent="0.2"/>
    <row r="7389" ht="12.75" customHeight="1" x14ac:dyDescent="0.2"/>
    <row r="7390" ht="12.75" customHeight="1" x14ac:dyDescent="0.2"/>
    <row r="7391" ht="12.75" customHeight="1" x14ac:dyDescent="0.2"/>
    <row r="7392" ht="12.75" customHeight="1" x14ac:dyDescent="0.2"/>
    <row r="7393" ht="12.75" customHeight="1" x14ac:dyDescent="0.2"/>
    <row r="7394" ht="12.75" customHeight="1" x14ac:dyDescent="0.2"/>
    <row r="7395" ht="12.75" customHeight="1" x14ac:dyDescent="0.2"/>
    <row r="7396" ht="12.75" customHeight="1" x14ac:dyDescent="0.2"/>
    <row r="7397" ht="12.75" customHeight="1" x14ac:dyDescent="0.2"/>
    <row r="7398" ht="12.75" customHeight="1" x14ac:dyDescent="0.2"/>
    <row r="7399" ht="12.75" customHeight="1" x14ac:dyDescent="0.2"/>
    <row r="7400" ht="12.75" customHeight="1" x14ac:dyDescent="0.2"/>
    <row r="7401" ht="12.75" customHeight="1" x14ac:dyDescent="0.2"/>
    <row r="7402" ht="12.75" customHeight="1" x14ac:dyDescent="0.2"/>
    <row r="7403" ht="12.75" customHeight="1" x14ac:dyDescent="0.2"/>
    <row r="7404" ht="12.75" customHeight="1" x14ac:dyDescent="0.2"/>
    <row r="7405" ht="12.75" customHeight="1" x14ac:dyDescent="0.2"/>
    <row r="7406" ht="12.75" customHeight="1" x14ac:dyDescent="0.2"/>
    <row r="7407" ht="12.75" customHeight="1" x14ac:dyDescent="0.2"/>
    <row r="7408" ht="12.75" customHeight="1" x14ac:dyDescent="0.2"/>
    <row r="7409" ht="12.75" customHeight="1" x14ac:dyDescent="0.2"/>
    <row r="7410" ht="12.75" customHeight="1" x14ac:dyDescent="0.2"/>
    <row r="7411" ht="12.75" customHeight="1" x14ac:dyDescent="0.2"/>
    <row r="7412" ht="12.75" customHeight="1" x14ac:dyDescent="0.2"/>
    <row r="7413" ht="12.75" customHeight="1" x14ac:dyDescent="0.2"/>
    <row r="7414" ht="12.75" customHeight="1" x14ac:dyDescent="0.2"/>
    <row r="7415" ht="12.75" customHeight="1" x14ac:dyDescent="0.2"/>
    <row r="7416" ht="12.75" customHeight="1" x14ac:dyDescent="0.2"/>
    <row r="7417" ht="12.75" customHeight="1" x14ac:dyDescent="0.2"/>
    <row r="7418" ht="12.75" customHeight="1" x14ac:dyDescent="0.2"/>
    <row r="7419" ht="12.75" customHeight="1" x14ac:dyDescent="0.2"/>
    <row r="7420" ht="12.75" customHeight="1" x14ac:dyDescent="0.2"/>
    <row r="7421" ht="12.75" customHeight="1" x14ac:dyDescent="0.2"/>
    <row r="7422" ht="12.75" customHeight="1" x14ac:dyDescent="0.2"/>
    <row r="7423" ht="12.75" customHeight="1" x14ac:dyDescent="0.2"/>
    <row r="7424" ht="12.75" customHeight="1" x14ac:dyDescent="0.2"/>
    <row r="7425" ht="12.75" customHeight="1" x14ac:dyDescent="0.2"/>
    <row r="7426" ht="12.75" customHeight="1" x14ac:dyDescent="0.2"/>
    <row r="7427" ht="12.75" customHeight="1" x14ac:dyDescent="0.2"/>
    <row r="7428" ht="12.75" customHeight="1" x14ac:dyDescent="0.2"/>
    <row r="7429" ht="12.75" customHeight="1" x14ac:dyDescent="0.2"/>
    <row r="7430" ht="12.75" customHeight="1" x14ac:dyDescent="0.2"/>
    <row r="7431" ht="12.75" customHeight="1" x14ac:dyDescent="0.2"/>
    <row r="7432" ht="12.75" customHeight="1" x14ac:dyDescent="0.2"/>
    <row r="7433" ht="12.75" customHeight="1" x14ac:dyDescent="0.2"/>
    <row r="7434" ht="12.75" customHeight="1" x14ac:dyDescent="0.2"/>
    <row r="7435" ht="12.75" customHeight="1" x14ac:dyDescent="0.2"/>
    <row r="7436" ht="12.75" customHeight="1" x14ac:dyDescent="0.2"/>
    <row r="7437" ht="12.75" customHeight="1" x14ac:dyDescent="0.2"/>
    <row r="7438" ht="12.75" customHeight="1" x14ac:dyDescent="0.2"/>
    <row r="7439" ht="12.75" customHeight="1" x14ac:dyDescent="0.2"/>
    <row r="7440" ht="12.75" customHeight="1" x14ac:dyDescent="0.2"/>
    <row r="7441" ht="12.75" customHeight="1" x14ac:dyDescent="0.2"/>
    <row r="7442" ht="12.75" customHeight="1" x14ac:dyDescent="0.2"/>
    <row r="7443" ht="12.75" customHeight="1" x14ac:dyDescent="0.2"/>
    <row r="7444" ht="12.75" customHeight="1" x14ac:dyDescent="0.2"/>
    <row r="7445" ht="12.75" customHeight="1" x14ac:dyDescent="0.2"/>
    <row r="7446" ht="12.75" customHeight="1" x14ac:dyDescent="0.2"/>
    <row r="7447" ht="12.75" customHeight="1" x14ac:dyDescent="0.2"/>
    <row r="7448" ht="12.75" customHeight="1" x14ac:dyDescent="0.2"/>
    <row r="7449" ht="12.75" customHeight="1" x14ac:dyDescent="0.2"/>
    <row r="7450" ht="12.75" customHeight="1" x14ac:dyDescent="0.2"/>
    <row r="7451" ht="12.75" customHeight="1" x14ac:dyDescent="0.2"/>
    <row r="7452" ht="12.75" customHeight="1" x14ac:dyDescent="0.2"/>
    <row r="7453" ht="12.75" customHeight="1" x14ac:dyDescent="0.2"/>
    <row r="7454" ht="12.75" customHeight="1" x14ac:dyDescent="0.2"/>
    <row r="7455" ht="12.75" customHeight="1" x14ac:dyDescent="0.2"/>
    <row r="7456" ht="12.75" customHeight="1" x14ac:dyDescent="0.2"/>
    <row r="7457" ht="12.75" customHeight="1" x14ac:dyDescent="0.2"/>
    <row r="7458" ht="12.75" customHeight="1" x14ac:dyDescent="0.2"/>
    <row r="7459" ht="12.75" customHeight="1" x14ac:dyDescent="0.2"/>
    <row r="7460" ht="12.75" customHeight="1" x14ac:dyDescent="0.2"/>
    <row r="7461" ht="12.75" customHeight="1" x14ac:dyDescent="0.2"/>
    <row r="7462" ht="12.75" customHeight="1" x14ac:dyDescent="0.2"/>
    <row r="7463" ht="12.75" customHeight="1" x14ac:dyDescent="0.2"/>
    <row r="7464" ht="12.75" customHeight="1" x14ac:dyDescent="0.2"/>
    <row r="7465" ht="12.75" customHeight="1" x14ac:dyDescent="0.2"/>
    <row r="7466" ht="12.75" customHeight="1" x14ac:dyDescent="0.2"/>
    <row r="7467" ht="12.75" customHeight="1" x14ac:dyDescent="0.2"/>
    <row r="7468" ht="12.75" customHeight="1" x14ac:dyDescent="0.2"/>
    <row r="7469" ht="12.75" customHeight="1" x14ac:dyDescent="0.2"/>
    <row r="7470" ht="12.75" customHeight="1" x14ac:dyDescent="0.2"/>
    <row r="7471" ht="12.75" customHeight="1" x14ac:dyDescent="0.2"/>
    <row r="7472" ht="12.75" customHeight="1" x14ac:dyDescent="0.2"/>
    <row r="7473" ht="12.75" customHeight="1" x14ac:dyDescent="0.2"/>
    <row r="7474" ht="12.75" customHeight="1" x14ac:dyDescent="0.2"/>
    <row r="7475" ht="12.75" customHeight="1" x14ac:dyDescent="0.2"/>
    <row r="7476" ht="12.75" customHeight="1" x14ac:dyDescent="0.2"/>
    <row r="7477" ht="12.75" customHeight="1" x14ac:dyDescent="0.2"/>
    <row r="7478" ht="12.75" customHeight="1" x14ac:dyDescent="0.2"/>
    <row r="7479" ht="12.75" customHeight="1" x14ac:dyDescent="0.2"/>
    <row r="7480" ht="12.75" customHeight="1" x14ac:dyDescent="0.2"/>
    <row r="7481" ht="12.75" customHeight="1" x14ac:dyDescent="0.2"/>
    <row r="7482" ht="12.75" customHeight="1" x14ac:dyDescent="0.2"/>
    <row r="7483" ht="12.75" customHeight="1" x14ac:dyDescent="0.2"/>
    <row r="7484" ht="12.75" customHeight="1" x14ac:dyDescent="0.2"/>
    <row r="7485" ht="12.75" customHeight="1" x14ac:dyDescent="0.2"/>
    <row r="7486" ht="12.75" customHeight="1" x14ac:dyDescent="0.2"/>
    <row r="7487" ht="12.75" customHeight="1" x14ac:dyDescent="0.2"/>
    <row r="7488" ht="12.75" customHeight="1" x14ac:dyDescent="0.2"/>
    <row r="7489" ht="12.75" customHeight="1" x14ac:dyDescent="0.2"/>
    <row r="7490" ht="12.75" customHeight="1" x14ac:dyDescent="0.2"/>
    <row r="7491" ht="12.75" customHeight="1" x14ac:dyDescent="0.2"/>
    <row r="7492" ht="12.75" customHeight="1" x14ac:dyDescent="0.2"/>
    <row r="7493" ht="12.75" customHeight="1" x14ac:dyDescent="0.2"/>
    <row r="7494" ht="12.75" customHeight="1" x14ac:dyDescent="0.2"/>
    <row r="7495" ht="12.75" customHeight="1" x14ac:dyDescent="0.2"/>
    <row r="7496" ht="12.75" customHeight="1" x14ac:dyDescent="0.2"/>
    <row r="7497" ht="12.75" customHeight="1" x14ac:dyDescent="0.2"/>
    <row r="7498" ht="12.75" customHeight="1" x14ac:dyDescent="0.2"/>
    <row r="7499" ht="12.75" customHeight="1" x14ac:dyDescent="0.2"/>
    <row r="7500" ht="12.75" customHeight="1" x14ac:dyDescent="0.2"/>
    <row r="7501" ht="12.75" customHeight="1" x14ac:dyDescent="0.2"/>
    <row r="7502" ht="12.75" customHeight="1" x14ac:dyDescent="0.2"/>
    <row r="7503" ht="12.75" customHeight="1" x14ac:dyDescent="0.2"/>
    <row r="7504" ht="12.75" customHeight="1" x14ac:dyDescent="0.2"/>
    <row r="7505" ht="12.75" customHeight="1" x14ac:dyDescent="0.2"/>
    <row r="7506" ht="12.75" customHeight="1" x14ac:dyDescent="0.2"/>
    <row r="7507" ht="12.75" customHeight="1" x14ac:dyDescent="0.2"/>
    <row r="7508" ht="12.75" customHeight="1" x14ac:dyDescent="0.2"/>
    <row r="7509" ht="12.75" customHeight="1" x14ac:dyDescent="0.2"/>
    <row r="7510" ht="12.75" customHeight="1" x14ac:dyDescent="0.2"/>
    <row r="7511" ht="12.75" customHeight="1" x14ac:dyDescent="0.2"/>
    <row r="7512" ht="12.75" customHeight="1" x14ac:dyDescent="0.2"/>
    <row r="7513" ht="12.75" customHeight="1" x14ac:dyDescent="0.2"/>
    <row r="7514" ht="12.75" customHeight="1" x14ac:dyDescent="0.2"/>
    <row r="7515" ht="12.75" customHeight="1" x14ac:dyDescent="0.2"/>
    <row r="7516" ht="12.75" customHeight="1" x14ac:dyDescent="0.2"/>
    <row r="7517" ht="12.75" customHeight="1" x14ac:dyDescent="0.2"/>
    <row r="7518" ht="12.75" customHeight="1" x14ac:dyDescent="0.2"/>
    <row r="7519" ht="12.75" customHeight="1" x14ac:dyDescent="0.2"/>
    <row r="7520" ht="12.75" customHeight="1" x14ac:dyDescent="0.2"/>
    <row r="7521" ht="12.75" customHeight="1" x14ac:dyDescent="0.2"/>
    <row r="7522" ht="12.75" customHeight="1" x14ac:dyDescent="0.2"/>
    <row r="7523" ht="12.75" customHeight="1" x14ac:dyDescent="0.2"/>
    <row r="7524" ht="12.75" customHeight="1" x14ac:dyDescent="0.2"/>
    <row r="7525" ht="12.75" customHeight="1" x14ac:dyDescent="0.2"/>
    <row r="7526" ht="12.75" customHeight="1" x14ac:dyDescent="0.2"/>
    <row r="7527" ht="12.75" customHeight="1" x14ac:dyDescent="0.2"/>
    <row r="7528" ht="12.75" customHeight="1" x14ac:dyDescent="0.2"/>
    <row r="7529" ht="12.75" customHeight="1" x14ac:dyDescent="0.2"/>
    <row r="7530" ht="12.75" customHeight="1" x14ac:dyDescent="0.2"/>
    <row r="7531" ht="12.75" customHeight="1" x14ac:dyDescent="0.2"/>
    <row r="7532" ht="12.75" customHeight="1" x14ac:dyDescent="0.2"/>
    <row r="7533" ht="12.75" customHeight="1" x14ac:dyDescent="0.2"/>
    <row r="7534" ht="12.75" customHeight="1" x14ac:dyDescent="0.2"/>
    <row r="7535" ht="12.75" customHeight="1" x14ac:dyDescent="0.2"/>
    <row r="7536" ht="12.75" customHeight="1" x14ac:dyDescent="0.2"/>
    <row r="7537" ht="12.75" customHeight="1" x14ac:dyDescent="0.2"/>
    <row r="7538" ht="12.75" customHeight="1" x14ac:dyDescent="0.2"/>
    <row r="7539" ht="12.75" customHeight="1" x14ac:dyDescent="0.2"/>
    <row r="7540" ht="12.75" customHeight="1" x14ac:dyDescent="0.2"/>
    <row r="7541" ht="12.75" customHeight="1" x14ac:dyDescent="0.2"/>
    <row r="7542" ht="12.75" customHeight="1" x14ac:dyDescent="0.2"/>
    <row r="7543" ht="12.75" customHeight="1" x14ac:dyDescent="0.2"/>
    <row r="7544" ht="12.75" customHeight="1" x14ac:dyDescent="0.2"/>
    <row r="7545" ht="12.75" customHeight="1" x14ac:dyDescent="0.2"/>
    <row r="7546" ht="12.75" customHeight="1" x14ac:dyDescent="0.2"/>
    <row r="7547" ht="12.75" customHeight="1" x14ac:dyDescent="0.2"/>
    <row r="7548" ht="12.75" customHeight="1" x14ac:dyDescent="0.2"/>
    <row r="7549" ht="12.75" customHeight="1" x14ac:dyDescent="0.2"/>
    <row r="7550" ht="12.75" customHeight="1" x14ac:dyDescent="0.2"/>
    <row r="7551" ht="12.75" customHeight="1" x14ac:dyDescent="0.2"/>
    <row r="7552" ht="12.75" customHeight="1" x14ac:dyDescent="0.2"/>
    <row r="7553" ht="12.75" customHeight="1" x14ac:dyDescent="0.2"/>
    <row r="7554" ht="12.75" customHeight="1" x14ac:dyDescent="0.2"/>
    <row r="7555" ht="12.75" customHeight="1" x14ac:dyDescent="0.2"/>
    <row r="7556" ht="12.75" customHeight="1" x14ac:dyDescent="0.2"/>
    <row r="7557" ht="12.75" customHeight="1" x14ac:dyDescent="0.2"/>
    <row r="7558" ht="12.75" customHeight="1" x14ac:dyDescent="0.2"/>
    <row r="7559" ht="12.75" customHeight="1" x14ac:dyDescent="0.2"/>
    <row r="7560" ht="12.75" customHeight="1" x14ac:dyDescent="0.2"/>
    <row r="7561" ht="12.75" customHeight="1" x14ac:dyDescent="0.2"/>
    <row r="7562" ht="12.75" customHeight="1" x14ac:dyDescent="0.2"/>
    <row r="7563" ht="12.75" customHeight="1" x14ac:dyDescent="0.2"/>
    <row r="7564" ht="12.75" customHeight="1" x14ac:dyDescent="0.2"/>
    <row r="7565" ht="12.75" customHeight="1" x14ac:dyDescent="0.2"/>
    <row r="7566" ht="12.75" customHeight="1" x14ac:dyDescent="0.2"/>
    <row r="7567" ht="12.75" customHeight="1" x14ac:dyDescent="0.2"/>
    <row r="7568" ht="12.75" customHeight="1" x14ac:dyDescent="0.2"/>
    <row r="7569" ht="12.75" customHeight="1" x14ac:dyDescent="0.2"/>
    <row r="7570" ht="12.75" customHeight="1" x14ac:dyDescent="0.2"/>
    <row r="7571" ht="12.75" customHeight="1" x14ac:dyDescent="0.2"/>
    <row r="7572" ht="12.75" customHeight="1" x14ac:dyDescent="0.2"/>
    <row r="7573" ht="12.75" customHeight="1" x14ac:dyDescent="0.2"/>
    <row r="7574" ht="12.75" customHeight="1" x14ac:dyDescent="0.2"/>
    <row r="7575" ht="12.75" customHeight="1" x14ac:dyDescent="0.2"/>
    <row r="7576" ht="12.75" customHeight="1" x14ac:dyDescent="0.2"/>
    <row r="7577" ht="12.75" customHeight="1" x14ac:dyDescent="0.2"/>
    <row r="7578" ht="12.75" customHeight="1" x14ac:dyDescent="0.2"/>
    <row r="7579" ht="12.75" customHeight="1" x14ac:dyDescent="0.2"/>
    <row r="7580" ht="12.75" customHeight="1" x14ac:dyDescent="0.2"/>
    <row r="7581" ht="12.75" customHeight="1" x14ac:dyDescent="0.2"/>
    <row r="7582" ht="12.75" customHeight="1" x14ac:dyDescent="0.2"/>
    <row r="7583" ht="12.75" customHeight="1" x14ac:dyDescent="0.2"/>
    <row r="7584" ht="12.75" customHeight="1" x14ac:dyDescent="0.2"/>
    <row r="7585" ht="12.75" customHeight="1" x14ac:dyDescent="0.2"/>
    <row r="7586" ht="12.75" customHeight="1" x14ac:dyDescent="0.2"/>
    <row r="7587" ht="12.75" customHeight="1" x14ac:dyDescent="0.2"/>
    <row r="7588" ht="12.75" customHeight="1" x14ac:dyDescent="0.2"/>
    <row r="7589" ht="12.75" customHeight="1" x14ac:dyDescent="0.2"/>
    <row r="7590" ht="12.75" customHeight="1" x14ac:dyDescent="0.2"/>
    <row r="7591" ht="12.75" customHeight="1" x14ac:dyDescent="0.2"/>
    <row r="7592" ht="12.75" customHeight="1" x14ac:dyDescent="0.2"/>
    <row r="7593" ht="12.75" customHeight="1" x14ac:dyDescent="0.2"/>
    <row r="7594" ht="12.75" customHeight="1" x14ac:dyDescent="0.2"/>
    <row r="7595" ht="12.75" customHeight="1" x14ac:dyDescent="0.2"/>
    <row r="7596" ht="12.75" customHeight="1" x14ac:dyDescent="0.2"/>
    <row r="7597" ht="12.75" customHeight="1" x14ac:dyDescent="0.2"/>
    <row r="7598" ht="12.75" customHeight="1" x14ac:dyDescent="0.2"/>
    <row r="7599" ht="12.75" customHeight="1" x14ac:dyDescent="0.2"/>
    <row r="7600" ht="12.75" customHeight="1" x14ac:dyDescent="0.2"/>
    <row r="7601" ht="12.75" customHeight="1" x14ac:dyDescent="0.2"/>
    <row r="7602" ht="12.75" customHeight="1" x14ac:dyDescent="0.2"/>
    <row r="7603" ht="12.75" customHeight="1" x14ac:dyDescent="0.2"/>
    <row r="7604" ht="12.75" customHeight="1" x14ac:dyDescent="0.2"/>
    <row r="7605" ht="12.75" customHeight="1" x14ac:dyDescent="0.2"/>
    <row r="7606" ht="12.75" customHeight="1" x14ac:dyDescent="0.2"/>
    <row r="7607" ht="12.75" customHeight="1" x14ac:dyDescent="0.2"/>
    <row r="7608" ht="12.75" customHeight="1" x14ac:dyDescent="0.2"/>
    <row r="7609" ht="12.75" customHeight="1" x14ac:dyDescent="0.2"/>
    <row r="7610" ht="12.75" customHeight="1" x14ac:dyDescent="0.2"/>
    <row r="7611" ht="12.75" customHeight="1" x14ac:dyDescent="0.2"/>
    <row r="7612" ht="12.75" customHeight="1" x14ac:dyDescent="0.2"/>
    <row r="7613" ht="12.75" customHeight="1" x14ac:dyDescent="0.2"/>
    <row r="7614" ht="12.75" customHeight="1" x14ac:dyDescent="0.2"/>
    <row r="7615" ht="12.75" customHeight="1" x14ac:dyDescent="0.2"/>
    <row r="7616" ht="12.75" customHeight="1" x14ac:dyDescent="0.2"/>
    <row r="7617" ht="12.75" customHeight="1" x14ac:dyDescent="0.2"/>
    <row r="7618" ht="12.75" customHeight="1" x14ac:dyDescent="0.2"/>
    <row r="7619" ht="12.75" customHeight="1" x14ac:dyDescent="0.2"/>
    <row r="7620" ht="12.75" customHeight="1" x14ac:dyDescent="0.2"/>
    <row r="7621" ht="12.75" customHeight="1" x14ac:dyDescent="0.2"/>
    <row r="7622" ht="12.75" customHeight="1" x14ac:dyDescent="0.2"/>
    <row r="7623" ht="12.75" customHeight="1" x14ac:dyDescent="0.2"/>
    <row r="7624" ht="12.75" customHeight="1" x14ac:dyDescent="0.2"/>
    <row r="7625" ht="12.75" customHeight="1" x14ac:dyDescent="0.2"/>
    <row r="7626" ht="12.75" customHeight="1" x14ac:dyDescent="0.2"/>
    <row r="7627" ht="12.75" customHeight="1" x14ac:dyDescent="0.2"/>
    <row r="7628" ht="12.75" customHeight="1" x14ac:dyDescent="0.2"/>
    <row r="7629" ht="12.75" customHeight="1" x14ac:dyDescent="0.2"/>
    <row r="7630" ht="12.75" customHeight="1" x14ac:dyDescent="0.2"/>
    <row r="7631" ht="12.75" customHeight="1" x14ac:dyDescent="0.2"/>
    <row r="7632" ht="12.75" customHeight="1" x14ac:dyDescent="0.2"/>
    <row r="7633" ht="12.75" customHeight="1" x14ac:dyDescent="0.2"/>
    <row r="7634" ht="12.75" customHeight="1" x14ac:dyDescent="0.2"/>
    <row r="7635" ht="12.75" customHeight="1" x14ac:dyDescent="0.2"/>
    <row r="7636" ht="12.75" customHeight="1" x14ac:dyDescent="0.2"/>
    <row r="7637" ht="12.75" customHeight="1" x14ac:dyDescent="0.2"/>
    <row r="7638" ht="12.75" customHeight="1" x14ac:dyDescent="0.2"/>
    <row r="7639" ht="12.75" customHeight="1" x14ac:dyDescent="0.2"/>
    <row r="7640" ht="12.75" customHeight="1" x14ac:dyDescent="0.2"/>
    <row r="7641" ht="12.75" customHeight="1" x14ac:dyDescent="0.2"/>
    <row r="7642" ht="12.75" customHeight="1" x14ac:dyDescent="0.2"/>
    <row r="7643" ht="12.75" customHeight="1" x14ac:dyDescent="0.2"/>
    <row r="7644" ht="12.75" customHeight="1" x14ac:dyDescent="0.2"/>
    <row r="7645" ht="12.75" customHeight="1" x14ac:dyDescent="0.2"/>
    <row r="7646" ht="12.75" customHeight="1" x14ac:dyDescent="0.2"/>
    <row r="7647" ht="12.75" customHeight="1" x14ac:dyDescent="0.2"/>
    <row r="7648" ht="12.75" customHeight="1" x14ac:dyDescent="0.2"/>
    <row r="7649" ht="12.75" customHeight="1" x14ac:dyDescent="0.2"/>
    <row r="7650" ht="12.75" customHeight="1" x14ac:dyDescent="0.2"/>
    <row r="7651" ht="12.75" customHeight="1" x14ac:dyDescent="0.2"/>
    <row r="7652" ht="12.75" customHeight="1" x14ac:dyDescent="0.2"/>
    <row r="7653" ht="12.75" customHeight="1" x14ac:dyDescent="0.2"/>
    <row r="7654" ht="12.75" customHeight="1" x14ac:dyDescent="0.2"/>
    <row r="7655" ht="12.75" customHeight="1" x14ac:dyDescent="0.2"/>
    <row r="7656" ht="12.75" customHeight="1" x14ac:dyDescent="0.2"/>
    <row r="7657" ht="12.75" customHeight="1" x14ac:dyDescent="0.2"/>
    <row r="7658" ht="12.75" customHeight="1" x14ac:dyDescent="0.2"/>
    <row r="7659" ht="12.75" customHeight="1" x14ac:dyDescent="0.2"/>
    <row r="7660" ht="12.75" customHeight="1" x14ac:dyDescent="0.2"/>
    <row r="7661" ht="12.75" customHeight="1" x14ac:dyDescent="0.2"/>
    <row r="7662" ht="12.75" customHeight="1" x14ac:dyDescent="0.2"/>
    <row r="7663" ht="12.75" customHeight="1" x14ac:dyDescent="0.2"/>
    <row r="7664" ht="12.75" customHeight="1" x14ac:dyDescent="0.2"/>
    <row r="7665" ht="12.75" customHeight="1" x14ac:dyDescent="0.2"/>
    <row r="7666" ht="12.75" customHeight="1" x14ac:dyDescent="0.2"/>
    <row r="7667" ht="12.75" customHeight="1" x14ac:dyDescent="0.2"/>
    <row r="7668" ht="12.75" customHeight="1" x14ac:dyDescent="0.2"/>
    <row r="7669" ht="12.75" customHeight="1" x14ac:dyDescent="0.2"/>
    <row r="7670" ht="12.75" customHeight="1" x14ac:dyDescent="0.2"/>
    <row r="7671" ht="12.75" customHeight="1" x14ac:dyDescent="0.2"/>
    <row r="7672" ht="12.75" customHeight="1" x14ac:dyDescent="0.2"/>
    <row r="7673" ht="12.75" customHeight="1" x14ac:dyDescent="0.2"/>
    <row r="7674" ht="12.75" customHeight="1" x14ac:dyDescent="0.2"/>
    <row r="7675" ht="12.75" customHeight="1" x14ac:dyDescent="0.2"/>
    <row r="7676" ht="12.75" customHeight="1" x14ac:dyDescent="0.2"/>
    <row r="7677" ht="12.75" customHeight="1" x14ac:dyDescent="0.2"/>
    <row r="7678" ht="12.75" customHeight="1" x14ac:dyDescent="0.2"/>
    <row r="7679" ht="12.75" customHeight="1" x14ac:dyDescent="0.2"/>
    <row r="7680" ht="12.75" customHeight="1" x14ac:dyDescent="0.2"/>
    <row r="7681" ht="12.75" customHeight="1" x14ac:dyDescent="0.2"/>
    <row r="7682" ht="12.75" customHeight="1" x14ac:dyDescent="0.2"/>
    <row r="7683" ht="12.75" customHeight="1" x14ac:dyDescent="0.2"/>
    <row r="7684" ht="12.75" customHeight="1" x14ac:dyDescent="0.2"/>
    <row r="7685" ht="12.75" customHeight="1" x14ac:dyDescent="0.2"/>
    <row r="7686" ht="12.75" customHeight="1" x14ac:dyDescent="0.2"/>
    <row r="7687" ht="12.75" customHeight="1" x14ac:dyDescent="0.2"/>
    <row r="7688" ht="12.75" customHeight="1" x14ac:dyDescent="0.2"/>
    <row r="7689" ht="12.75" customHeight="1" x14ac:dyDescent="0.2"/>
    <row r="7690" ht="12.75" customHeight="1" x14ac:dyDescent="0.2"/>
    <row r="7691" ht="12.75" customHeight="1" x14ac:dyDescent="0.2"/>
    <row r="7692" ht="12.75" customHeight="1" x14ac:dyDescent="0.2"/>
    <row r="7693" ht="12.75" customHeight="1" x14ac:dyDescent="0.2"/>
    <row r="7694" ht="12.75" customHeight="1" x14ac:dyDescent="0.2"/>
    <row r="7695" ht="12.75" customHeight="1" x14ac:dyDescent="0.2"/>
    <row r="7696" ht="12.75" customHeight="1" x14ac:dyDescent="0.2"/>
    <row r="7697" ht="12.75" customHeight="1" x14ac:dyDescent="0.2"/>
    <row r="7698" ht="12.75" customHeight="1" x14ac:dyDescent="0.2"/>
    <row r="7699" ht="12.75" customHeight="1" x14ac:dyDescent="0.2"/>
    <row r="7700" ht="12.75" customHeight="1" x14ac:dyDescent="0.2"/>
    <row r="7701" ht="12.75" customHeight="1" x14ac:dyDescent="0.2"/>
    <row r="7702" ht="12.75" customHeight="1" x14ac:dyDescent="0.2"/>
    <row r="7703" ht="12.75" customHeight="1" x14ac:dyDescent="0.2"/>
    <row r="7704" ht="12.75" customHeight="1" x14ac:dyDescent="0.2"/>
    <row r="7705" ht="12.75" customHeight="1" x14ac:dyDescent="0.2"/>
    <row r="7706" ht="12.75" customHeight="1" x14ac:dyDescent="0.2"/>
    <row r="7707" ht="12.75" customHeight="1" x14ac:dyDescent="0.2"/>
    <row r="7708" ht="12.75" customHeight="1" x14ac:dyDescent="0.2"/>
    <row r="7709" ht="12.75" customHeight="1" x14ac:dyDescent="0.2"/>
    <row r="7710" ht="12.75" customHeight="1" x14ac:dyDescent="0.2"/>
    <row r="7711" ht="12.75" customHeight="1" x14ac:dyDescent="0.2"/>
    <row r="7712" ht="12.75" customHeight="1" x14ac:dyDescent="0.2"/>
    <row r="7713" ht="12.75" customHeight="1" x14ac:dyDescent="0.2"/>
    <row r="7714" ht="12.75" customHeight="1" x14ac:dyDescent="0.2"/>
    <row r="7715" ht="12.75" customHeight="1" x14ac:dyDescent="0.2"/>
    <row r="7716" ht="12.75" customHeight="1" x14ac:dyDescent="0.2"/>
    <row r="7717" ht="12.75" customHeight="1" x14ac:dyDescent="0.2"/>
    <row r="7718" ht="12.75" customHeight="1" x14ac:dyDescent="0.2"/>
    <row r="7719" ht="12.75" customHeight="1" x14ac:dyDescent="0.2"/>
    <row r="7720" ht="12.75" customHeight="1" x14ac:dyDescent="0.2"/>
    <row r="7721" ht="12.75" customHeight="1" x14ac:dyDescent="0.2"/>
    <row r="7722" ht="12.75" customHeight="1" x14ac:dyDescent="0.2"/>
    <row r="7723" ht="12.75" customHeight="1" x14ac:dyDescent="0.2"/>
    <row r="7724" ht="12.75" customHeight="1" x14ac:dyDescent="0.2"/>
    <row r="7725" ht="12.75" customHeight="1" x14ac:dyDescent="0.2"/>
    <row r="7726" ht="12.75" customHeight="1" x14ac:dyDescent="0.2"/>
    <row r="7727" ht="12.75" customHeight="1" x14ac:dyDescent="0.2"/>
    <row r="7728" ht="12.75" customHeight="1" x14ac:dyDescent="0.2"/>
    <row r="7729" ht="12.75" customHeight="1" x14ac:dyDescent="0.2"/>
    <row r="7730" ht="12.75" customHeight="1" x14ac:dyDescent="0.2"/>
    <row r="7731" ht="12.75" customHeight="1" x14ac:dyDescent="0.2"/>
    <row r="7732" ht="12.75" customHeight="1" x14ac:dyDescent="0.2"/>
    <row r="7733" ht="12.75" customHeight="1" x14ac:dyDescent="0.2"/>
    <row r="7734" ht="12.75" customHeight="1" x14ac:dyDescent="0.2"/>
    <row r="7735" ht="12.75" customHeight="1" x14ac:dyDescent="0.2"/>
    <row r="7736" ht="12.75" customHeight="1" x14ac:dyDescent="0.2"/>
    <row r="7737" ht="12.75" customHeight="1" x14ac:dyDescent="0.2"/>
    <row r="7738" ht="12.75" customHeight="1" x14ac:dyDescent="0.2"/>
    <row r="7739" ht="12.75" customHeight="1" x14ac:dyDescent="0.2"/>
    <row r="7740" ht="12.75" customHeight="1" x14ac:dyDescent="0.2"/>
    <row r="7741" ht="12.75" customHeight="1" x14ac:dyDescent="0.2"/>
    <row r="7742" ht="12.75" customHeight="1" x14ac:dyDescent="0.2"/>
    <row r="7743" ht="12.75" customHeight="1" x14ac:dyDescent="0.2"/>
    <row r="7744" ht="12.75" customHeight="1" x14ac:dyDescent="0.2"/>
    <row r="7745" ht="12.75" customHeight="1" x14ac:dyDescent="0.2"/>
    <row r="7746" ht="12.75" customHeight="1" x14ac:dyDescent="0.2"/>
    <row r="7747" ht="12.75" customHeight="1" x14ac:dyDescent="0.2"/>
    <row r="7748" ht="12.75" customHeight="1" x14ac:dyDescent="0.2"/>
    <row r="7749" ht="12.75" customHeight="1" x14ac:dyDescent="0.2"/>
    <row r="7750" ht="12.75" customHeight="1" x14ac:dyDescent="0.2"/>
    <row r="7751" ht="12.75" customHeight="1" x14ac:dyDescent="0.2"/>
    <row r="7752" ht="12.75" customHeight="1" x14ac:dyDescent="0.2"/>
    <row r="7753" ht="12.75" customHeight="1" x14ac:dyDescent="0.2"/>
    <row r="7754" ht="12.75" customHeight="1" x14ac:dyDescent="0.2"/>
    <row r="7755" ht="12.75" customHeight="1" x14ac:dyDescent="0.2"/>
    <row r="7756" ht="12.75" customHeight="1" x14ac:dyDescent="0.2"/>
    <row r="7757" ht="12.75" customHeight="1" x14ac:dyDescent="0.2"/>
    <row r="7758" ht="12.75" customHeight="1" x14ac:dyDescent="0.2"/>
    <row r="7759" ht="12.75" customHeight="1" x14ac:dyDescent="0.2"/>
    <row r="7760" ht="12.75" customHeight="1" x14ac:dyDescent="0.2"/>
    <row r="7761" ht="12.75" customHeight="1" x14ac:dyDescent="0.2"/>
    <row r="7762" ht="12.75" customHeight="1" x14ac:dyDescent="0.2"/>
    <row r="7763" ht="12.75" customHeight="1" x14ac:dyDescent="0.2"/>
    <row r="7764" ht="12.75" customHeight="1" x14ac:dyDescent="0.2"/>
    <row r="7765" ht="12.75" customHeight="1" x14ac:dyDescent="0.2"/>
    <row r="7766" ht="12.75" customHeight="1" x14ac:dyDescent="0.2"/>
    <row r="7767" ht="12.75" customHeight="1" x14ac:dyDescent="0.2"/>
    <row r="7768" ht="12.75" customHeight="1" x14ac:dyDescent="0.2"/>
    <row r="7769" ht="12.75" customHeight="1" x14ac:dyDescent="0.2"/>
    <row r="7770" ht="12.75" customHeight="1" x14ac:dyDescent="0.2"/>
    <row r="7771" ht="12.75" customHeight="1" x14ac:dyDescent="0.2"/>
    <row r="7772" ht="12.75" customHeight="1" x14ac:dyDescent="0.2"/>
    <row r="7773" ht="12.75" customHeight="1" x14ac:dyDescent="0.2"/>
    <row r="7774" ht="12.75" customHeight="1" x14ac:dyDescent="0.2"/>
    <row r="7775" ht="12.75" customHeight="1" x14ac:dyDescent="0.2"/>
    <row r="7776" ht="12.75" customHeight="1" x14ac:dyDescent="0.2"/>
    <row r="7777" ht="12.75" customHeight="1" x14ac:dyDescent="0.2"/>
    <row r="7778" ht="12.75" customHeight="1" x14ac:dyDescent="0.2"/>
    <row r="7779" ht="12.75" customHeight="1" x14ac:dyDescent="0.2"/>
    <row r="7780" ht="12.75" customHeight="1" x14ac:dyDescent="0.2"/>
    <row r="7781" ht="12.75" customHeight="1" x14ac:dyDescent="0.2"/>
    <row r="7782" ht="12.75" customHeight="1" x14ac:dyDescent="0.2"/>
    <row r="7783" ht="12.75" customHeight="1" x14ac:dyDescent="0.2"/>
    <row r="7784" ht="12.75" customHeight="1" x14ac:dyDescent="0.2"/>
    <row r="7785" ht="12.75" customHeight="1" x14ac:dyDescent="0.2"/>
    <row r="7786" ht="12.75" customHeight="1" x14ac:dyDescent="0.2"/>
    <row r="7787" ht="12.75" customHeight="1" x14ac:dyDescent="0.2"/>
    <row r="7788" ht="12.75" customHeight="1" x14ac:dyDescent="0.2"/>
    <row r="7789" ht="12.75" customHeight="1" x14ac:dyDescent="0.2"/>
    <row r="7790" ht="12.75" customHeight="1" x14ac:dyDescent="0.2"/>
    <row r="7791" ht="12.75" customHeight="1" x14ac:dyDescent="0.2"/>
    <row r="7792" ht="12.75" customHeight="1" x14ac:dyDescent="0.2"/>
    <row r="7793" ht="12.75" customHeight="1" x14ac:dyDescent="0.2"/>
    <row r="7794" ht="12.75" customHeight="1" x14ac:dyDescent="0.2"/>
    <row r="7795" ht="12.75" customHeight="1" x14ac:dyDescent="0.2"/>
    <row r="7796" ht="12.75" customHeight="1" x14ac:dyDescent="0.2"/>
    <row r="7797" ht="12.75" customHeight="1" x14ac:dyDescent="0.2"/>
    <row r="7798" ht="12.75" customHeight="1" x14ac:dyDescent="0.2"/>
    <row r="7799" ht="12.75" customHeight="1" x14ac:dyDescent="0.2"/>
    <row r="7800" ht="12.75" customHeight="1" x14ac:dyDescent="0.2"/>
    <row r="7801" ht="12.75" customHeight="1" x14ac:dyDescent="0.2"/>
    <row r="7802" ht="12.75" customHeight="1" x14ac:dyDescent="0.2"/>
    <row r="7803" ht="12.75" customHeight="1" x14ac:dyDescent="0.2"/>
    <row r="7804" ht="12.75" customHeight="1" x14ac:dyDescent="0.2"/>
    <row r="7805" ht="12.75" customHeight="1" x14ac:dyDescent="0.2"/>
    <row r="7806" ht="12.75" customHeight="1" x14ac:dyDescent="0.2"/>
    <row r="7807" ht="12.75" customHeight="1" x14ac:dyDescent="0.2"/>
    <row r="7808" ht="12.75" customHeight="1" x14ac:dyDescent="0.2"/>
    <row r="7809" ht="12.75" customHeight="1" x14ac:dyDescent="0.2"/>
    <row r="7810" ht="12.75" customHeight="1" x14ac:dyDescent="0.2"/>
    <row r="7811" ht="12.75" customHeight="1" x14ac:dyDescent="0.2"/>
    <row r="7812" ht="12.75" customHeight="1" x14ac:dyDescent="0.2"/>
    <row r="7813" ht="12.75" customHeight="1" x14ac:dyDescent="0.2"/>
    <row r="7814" ht="12.75" customHeight="1" x14ac:dyDescent="0.2"/>
    <row r="7815" ht="12.75" customHeight="1" x14ac:dyDescent="0.2"/>
    <row r="7816" ht="12.75" customHeight="1" x14ac:dyDescent="0.2"/>
    <row r="7817" ht="12.75" customHeight="1" x14ac:dyDescent="0.2"/>
    <row r="7818" ht="12.75" customHeight="1" x14ac:dyDescent="0.2"/>
    <row r="7819" ht="12.75" customHeight="1" x14ac:dyDescent="0.2"/>
    <row r="7820" ht="12.75" customHeight="1" x14ac:dyDescent="0.2"/>
    <row r="7821" ht="12.75" customHeight="1" x14ac:dyDescent="0.2"/>
    <row r="7822" ht="12.75" customHeight="1" x14ac:dyDescent="0.2"/>
    <row r="7823" ht="12.75" customHeight="1" x14ac:dyDescent="0.2"/>
    <row r="7824" ht="12.75" customHeight="1" x14ac:dyDescent="0.2"/>
    <row r="7825" ht="12.75" customHeight="1" x14ac:dyDescent="0.2"/>
    <row r="7826" ht="12.75" customHeight="1" x14ac:dyDescent="0.2"/>
    <row r="7827" ht="12.75" customHeight="1" x14ac:dyDescent="0.2"/>
    <row r="7828" ht="12.75" customHeight="1" x14ac:dyDescent="0.2"/>
    <row r="7829" ht="12.75" customHeight="1" x14ac:dyDescent="0.2"/>
    <row r="7830" ht="12.75" customHeight="1" x14ac:dyDescent="0.2"/>
    <row r="7831" ht="12.75" customHeight="1" x14ac:dyDescent="0.2"/>
    <row r="7832" ht="12.75" customHeight="1" x14ac:dyDescent="0.2"/>
    <row r="7833" ht="12.75" customHeight="1" x14ac:dyDescent="0.2"/>
    <row r="7834" ht="12.75" customHeight="1" x14ac:dyDescent="0.2"/>
    <row r="7835" ht="12.75" customHeight="1" x14ac:dyDescent="0.2"/>
    <row r="7836" ht="12.75" customHeight="1" x14ac:dyDescent="0.2"/>
    <row r="7837" ht="12.75" customHeight="1" x14ac:dyDescent="0.2"/>
    <row r="7838" ht="12.75" customHeight="1" x14ac:dyDescent="0.2"/>
    <row r="7839" ht="12.75" customHeight="1" x14ac:dyDescent="0.2"/>
    <row r="7840" ht="12.75" customHeight="1" x14ac:dyDescent="0.2"/>
    <row r="7841" ht="12.75" customHeight="1" x14ac:dyDescent="0.2"/>
    <row r="7842" ht="12.75" customHeight="1" x14ac:dyDescent="0.2"/>
    <row r="7843" ht="12.75" customHeight="1" x14ac:dyDescent="0.2"/>
    <row r="7844" ht="12.75" customHeight="1" x14ac:dyDescent="0.2"/>
    <row r="7845" ht="12.75" customHeight="1" x14ac:dyDescent="0.2"/>
    <row r="7846" ht="12.75" customHeight="1" x14ac:dyDescent="0.2"/>
    <row r="7847" ht="12.75" customHeight="1" x14ac:dyDescent="0.2"/>
    <row r="7848" ht="12.75" customHeight="1" x14ac:dyDescent="0.2"/>
    <row r="7849" ht="12.75" customHeight="1" x14ac:dyDescent="0.2"/>
    <row r="7850" ht="12.75" customHeight="1" x14ac:dyDescent="0.2"/>
    <row r="7851" ht="12.75" customHeight="1" x14ac:dyDescent="0.2"/>
    <row r="7852" ht="12.75" customHeight="1" x14ac:dyDescent="0.2"/>
    <row r="7853" ht="12.75" customHeight="1" x14ac:dyDescent="0.2"/>
    <row r="7854" ht="12.75" customHeight="1" x14ac:dyDescent="0.2"/>
    <row r="7855" ht="12.75" customHeight="1" x14ac:dyDescent="0.2"/>
    <row r="7856" ht="12.75" customHeight="1" x14ac:dyDescent="0.2"/>
    <row r="7857" ht="12.75" customHeight="1" x14ac:dyDescent="0.2"/>
    <row r="7858" ht="12.75" customHeight="1" x14ac:dyDescent="0.2"/>
    <row r="7859" ht="12.75" customHeight="1" x14ac:dyDescent="0.2"/>
    <row r="7860" ht="12.75" customHeight="1" x14ac:dyDescent="0.2"/>
    <row r="7861" ht="12.75" customHeight="1" x14ac:dyDescent="0.2"/>
    <row r="7862" ht="12.75" customHeight="1" x14ac:dyDescent="0.2"/>
    <row r="7863" ht="12.75" customHeight="1" x14ac:dyDescent="0.2"/>
    <row r="7864" ht="12.75" customHeight="1" x14ac:dyDescent="0.2"/>
    <row r="7865" ht="12.75" customHeight="1" x14ac:dyDescent="0.2"/>
    <row r="7866" ht="12.75" customHeight="1" x14ac:dyDescent="0.2"/>
    <row r="7867" ht="12.75" customHeight="1" x14ac:dyDescent="0.2"/>
    <row r="7868" ht="12.75" customHeight="1" x14ac:dyDescent="0.2"/>
    <row r="7869" ht="12.75" customHeight="1" x14ac:dyDescent="0.2"/>
    <row r="7870" ht="12.75" customHeight="1" x14ac:dyDescent="0.2"/>
    <row r="7871" ht="12.75" customHeight="1" x14ac:dyDescent="0.2"/>
    <row r="7872" ht="12.75" customHeight="1" x14ac:dyDescent="0.2"/>
    <row r="7873" ht="12.75" customHeight="1" x14ac:dyDescent="0.2"/>
    <row r="7874" ht="12.75" customHeight="1" x14ac:dyDescent="0.2"/>
    <row r="7875" ht="12.75" customHeight="1" x14ac:dyDescent="0.2"/>
    <row r="7876" ht="12.75" customHeight="1" x14ac:dyDescent="0.2"/>
    <row r="7877" ht="12.75" customHeight="1" x14ac:dyDescent="0.2"/>
    <row r="7878" ht="12.75" customHeight="1" x14ac:dyDescent="0.2"/>
    <row r="7879" ht="12.75" customHeight="1" x14ac:dyDescent="0.2"/>
    <row r="7880" ht="12.75" customHeight="1" x14ac:dyDescent="0.2"/>
    <row r="7881" ht="12.75" customHeight="1" x14ac:dyDescent="0.2"/>
    <row r="7882" ht="12.75" customHeight="1" x14ac:dyDescent="0.2"/>
    <row r="7883" ht="12.75" customHeight="1" x14ac:dyDescent="0.2"/>
    <row r="7884" ht="12.75" customHeight="1" x14ac:dyDescent="0.2"/>
    <row r="7885" ht="12.75" customHeight="1" x14ac:dyDescent="0.2"/>
    <row r="7886" ht="12.75" customHeight="1" x14ac:dyDescent="0.2"/>
    <row r="7887" ht="12.75" customHeight="1" x14ac:dyDescent="0.2"/>
    <row r="7888" ht="12.75" customHeight="1" x14ac:dyDescent="0.2"/>
    <row r="7889" ht="12.75" customHeight="1" x14ac:dyDescent="0.2"/>
    <row r="7890" ht="12.75" customHeight="1" x14ac:dyDescent="0.2"/>
    <row r="7891" ht="12.75" customHeight="1" x14ac:dyDescent="0.2"/>
    <row r="7892" ht="12.75" customHeight="1" x14ac:dyDescent="0.2"/>
    <row r="7893" ht="12.75" customHeight="1" x14ac:dyDescent="0.2"/>
    <row r="7894" ht="12.75" customHeight="1" x14ac:dyDescent="0.2"/>
    <row r="7895" ht="12.75" customHeight="1" x14ac:dyDescent="0.2"/>
    <row r="7896" ht="12.75" customHeight="1" x14ac:dyDescent="0.2"/>
    <row r="7897" ht="12.75" customHeight="1" x14ac:dyDescent="0.2"/>
    <row r="7898" ht="12.75" customHeight="1" x14ac:dyDescent="0.2"/>
    <row r="7899" ht="12.75" customHeight="1" x14ac:dyDescent="0.2"/>
    <row r="7900" ht="12.75" customHeight="1" x14ac:dyDescent="0.2"/>
    <row r="7901" ht="12.75" customHeight="1" x14ac:dyDescent="0.2"/>
    <row r="7902" ht="12.75" customHeight="1" x14ac:dyDescent="0.2"/>
    <row r="7903" ht="12.75" customHeight="1" x14ac:dyDescent="0.2"/>
    <row r="7904" ht="12.75" customHeight="1" x14ac:dyDescent="0.2"/>
    <row r="7905" ht="12.75" customHeight="1" x14ac:dyDescent="0.2"/>
    <row r="7906" ht="12.75" customHeight="1" x14ac:dyDescent="0.2"/>
    <row r="7907" ht="12.75" customHeight="1" x14ac:dyDescent="0.2"/>
    <row r="7908" ht="12.75" customHeight="1" x14ac:dyDescent="0.2"/>
    <row r="7909" ht="12.75" customHeight="1" x14ac:dyDescent="0.2"/>
    <row r="7910" ht="12.75" customHeight="1" x14ac:dyDescent="0.2"/>
    <row r="7911" ht="12.75" customHeight="1" x14ac:dyDescent="0.2"/>
    <row r="7912" ht="12.75" customHeight="1" x14ac:dyDescent="0.2"/>
    <row r="7913" ht="12.75" customHeight="1" x14ac:dyDescent="0.2"/>
    <row r="7914" ht="12.75" customHeight="1" x14ac:dyDescent="0.2"/>
    <row r="7915" ht="12.75" customHeight="1" x14ac:dyDescent="0.2"/>
    <row r="7916" ht="12.75" customHeight="1" x14ac:dyDescent="0.2"/>
    <row r="7917" ht="12.75" customHeight="1" x14ac:dyDescent="0.2"/>
    <row r="7918" ht="12.75" customHeight="1" x14ac:dyDescent="0.2"/>
    <row r="7919" ht="12.75" customHeight="1" x14ac:dyDescent="0.2"/>
    <row r="7920" ht="12.75" customHeight="1" x14ac:dyDescent="0.2"/>
    <row r="7921" ht="12.75" customHeight="1" x14ac:dyDescent="0.2"/>
    <row r="7922" ht="12.75" customHeight="1" x14ac:dyDescent="0.2"/>
    <row r="7923" ht="12.75" customHeight="1" x14ac:dyDescent="0.2"/>
    <row r="7924" ht="12.75" customHeight="1" x14ac:dyDescent="0.2"/>
    <row r="7925" ht="12.75" customHeight="1" x14ac:dyDescent="0.2"/>
    <row r="7926" ht="12.75" customHeight="1" x14ac:dyDescent="0.2"/>
    <row r="7927" ht="12.75" customHeight="1" x14ac:dyDescent="0.2"/>
    <row r="7928" ht="12.75" customHeight="1" x14ac:dyDescent="0.2"/>
    <row r="7929" ht="12.75" customHeight="1" x14ac:dyDescent="0.2"/>
    <row r="7930" ht="12.75" customHeight="1" x14ac:dyDescent="0.2"/>
    <row r="7931" ht="12.75" customHeight="1" x14ac:dyDescent="0.2"/>
    <row r="7932" ht="12.75" customHeight="1" x14ac:dyDescent="0.2"/>
    <row r="7933" ht="12.75" customHeight="1" x14ac:dyDescent="0.2"/>
    <row r="7934" ht="12.75" customHeight="1" x14ac:dyDescent="0.2"/>
    <row r="7935" ht="12.75" customHeight="1" x14ac:dyDescent="0.2"/>
    <row r="7936" ht="12.75" customHeight="1" x14ac:dyDescent="0.2"/>
    <row r="7937" ht="12.75" customHeight="1" x14ac:dyDescent="0.2"/>
    <row r="7938" ht="12.75" customHeight="1" x14ac:dyDescent="0.2"/>
    <row r="7939" ht="12.75" customHeight="1" x14ac:dyDescent="0.2"/>
    <row r="7940" ht="12.75" customHeight="1" x14ac:dyDescent="0.2"/>
    <row r="7941" ht="12.75" customHeight="1" x14ac:dyDescent="0.2"/>
    <row r="7942" ht="12.75" customHeight="1" x14ac:dyDescent="0.2"/>
    <row r="7943" ht="12.75" customHeight="1" x14ac:dyDescent="0.2"/>
    <row r="7944" ht="12.75" customHeight="1" x14ac:dyDescent="0.2"/>
    <row r="7945" ht="12.75" customHeight="1" x14ac:dyDescent="0.2"/>
    <row r="7946" ht="12.75" customHeight="1" x14ac:dyDescent="0.2"/>
    <row r="7947" ht="12.75" customHeight="1" x14ac:dyDescent="0.2"/>
    <row r="7948" ht="12.75" customHeight="1" x14ac:dyDescent="0.2"/>
    <row r="7949" ht="12.75" customHeight="1" x14ac:dyDescent="0.2"/>
    <row r="7950" ht="12.75" customHeight="1" x14ac:dyDescent="0.2"/>
    <row r="7951" ht="12.75" customHeight="1" x14ac:dyDescent="0.2"/>
    <row r="7952" ht="12.75" customHeight="1" x14ac:dyDescent="0.2"/>
    <row r="7953" ht="12.75" customHeight="1" x14ac:dyDescent="0.2"/>
    <row r="7954" ht="12.75" customHeight="1" x14ac:dyDescent="0.2"/>
    <row r="7955" ht="12.75" customHeight="1" x14ac:dyDescent="0.2"/>
    <row r="7956" ht="12.75" customHeight="1" x14ac:dyDescent="0.2"/>
    <row r="7957" ht="12.75" customHeight="1" x14ac:dyDescent="0.2"/>
    <row r="7958" ht="12.75" customHeight="1" x14ac:dyDescent="0.2"/>
    <row r="7959" ht="12.75" customHeight="1" x14ac:dyDescent="0.2"/>
    <row r="7960" ht="12.75" customHeight="1" x14ac:dyDescent="0.2"/>
    <row r="7961" ht="12.75" customHeight="1" x14ac:dyDescent="0.2"/>
    <row r="7962" ht="12.75" customHeight="1" x14ac:dyDescent="0.2"/>
    <row r="7963" ht="12.75" customHeight="1" x14ac:dyDescent="0.2"/>
    <row r="7964" ht="12.75" customHeight="1" x14ac:dyDescent="0.2"/>
    <row r="7965" ht="12.75" customHeight="1" x14ac:dyDescent="0.2"/>
    <row r="7966" ht="12.75" customHeight="1" x14ac:dyDescent="0.2"/>
    <row r="7967" ht="12.75" customHeight="1" x14ac:dyDescent="0.2"/>
    <row r="7968" ht="12.75" customHeight="1" x14ac:dyDescent="0.2"/>
    <row r="7969" ht="12.75" customHeight="1" x14ac:dyDescent="0.2"/>
    <row r="7970" ht="12.75" customHeight="1" x14ac:dyDescent="0.2"/>
    <row r="7971" ht="12.75" customHeight="1" x14ac:dyDescent="0.2"/>
    <row r="7972" ht="12.75" customHeight="1" x14ac:dyDescent="0.2"/>
    <row r="7973" ht="12.75" customHeight="1" x14ac:dyDescent="0.2"/>
    <row r="7974" ht="12.75" customHeight="1" x14ac:dyDescent="0.2"/>
    <row r="7975" ht="12.75" customHeight="1" x14ac:dyDescent="0.2"/>
    <row r="7976" ht="12.75" customHeight="1" x14ac:dyDescent="0.2"/>
    <row r="7977" ht="12.75" customHeight="1" x14ac:dyDescent="0.2"/>
    <row r="7978" ht="12.75" customHeight="1" x14ac:dyDescent="0.2"/>
    <row r="7979" ht="12.75" customHeight="1" x14ac:dyDescent="0.2"/>
    <row r="7980" ht="12.75" customHeight="1" x14ac:dyDescent="0.2"/>
    <row r="7981" ht="12.75" customHeight="1" x14ac:dyDescent="0.2"/>
    <row r="7982" ht="12.75" customHeight="1" x14ac:dyDescent="0.2"/>
    <row r="7983" ht="12.75" customHeight="1" x14ac:dyDescent="0.2"/>
    <row r="7984" ht="12.75" customHeight="1" x14ac:dyDescent="0.2"/>
    <row r="7985" ht="12.75" customHeight="1" x14ac:dyDescent="0.2"/>
    <row r="7986" ht="12.75" customHeight="1" x14ac:dyDescent="0.2"/>
    <row r="7987" ht="12.75" customHeight="1" x14ac:dyDescent="0.2"/>
    <row r="7988" ht="12.75" customHeight="1" x14ac:dyDescent="0.2"/>
    <row r="7989" ht="12.75" customHeight="1" x14ac:dyDescent="0.2"/>
    <row r="7990" ht="12.75" customHeight="1" x14ac:dyDescent="0.2"/>
    <row r="7991" ht="12.75" customHeight="1" x14ac:dyDescent="0.2"/>
    <row r="7992" ht="12.75" customHeight="1" x14ac:dyDescent="0.2"/>
    <row r="7993" ht="12.75" customHeight="1" x14ac:dyDescent="0.2"/>
    <row r="7994" ht="12.75" customHeight="1" x14ac:dyDescent="0.2"/>
    <row r="7995" ht="12.75" customHeight="1" x14ac:dyDescent="0.2"/>
    <row r="7996" ht="12.75" customHeight="1" x14ac:dyDescent="0.2"/>
    <row r="7997" ht="12.75" customHeight="1" x14ac:dyDescent="0.2"/>
    <row r="7998" ht="12.75" customHeight="1" x14ac:dyDescent="0.2"/>
    <row r="7999" ht="12.75" customHeight="1" x14ac:dyDescent="0.2"/>
    <row r="8000" ht="12.75" customHeight="1" x14ac:dyDescent="0.2"/>
    <row r="8001" ht="12.75" customHeight="1" x14ac:dyDescent="0.2"/>
    <row r="8002" ht="12.75" customHeight="1" x14ac:dyDescent="0.2"/>
    <row r="8003" ht="12.75" customHeight="1" x14ac:dyDescent="0.2"/>
    <row r="8004" ht="12.75" customHeight="1" x14ac:dyDescent="0.2"/>
    <row r="8005" ht="12.75" customHeight="1" x14ac:dyDescent="0.2"/>
    <row r="8006" ht="12.75" customHeight="1" x14ac:dyDescent="0.2"/>
    <row r="8007" ht="12.75" customHeight="1" x14ac:dyDescent="0.2"/>
    <row r="8008" ht="12.75" customHeight="1" x14ac:dyDescent="0.2"/>
    <row r="8009" ht="12.75" customHeight="1" x14ac:dyDescent="0.2"/>
    <row r="8010" ht="12.75" customHeight="1" x14ac:dyDescent="0.2"/>
    <row r="8011" ht="12.75" customHeight="1" x14ac:dyDescent="0.2"/>
    <row r="8012" ht="12.75" customHeight="1" x14ac:dyDescent="0.2"/>
    <row r="8013" ht="12.75" customHeight="1" x14ac:dyDescent="0.2"/>
    <row r="8014" ht="12.75" customHeight="1" x14ac:dyDescent="0.2"/>
    <row r="8015" ht="12.75" customHeight="1" x14ac:dyDescent="0.2"/>
    <row r="8016" ht="12.75" customHeight="1" x14ac:dyDescent="0.2"/>
    <row r="8017" ht="12.75" customHeight="1" x14ac:dyDescent="0.2"/>
    <row r="8018" ht="12.75" customHeight="1" x14ac:dyDescent="0.2"/>
    <row r="8019" ht="12.75" customHeight="1" x14ac:dyDescent="0.2"/>
    <row r="8020" ht="12.75" customHeight="1" x14ac:dyDescent="0.2"/>
    <row r="8021" ht="12.75" customHeight="1" x14ac:dyDescent="0.2"/>
    <row r="8022" ht="12.75" customHeight="1" x14ac:dyDescent="0.2"/>
    <row r="8023" ht="12.75" customHeight="1" x14ac:dyDescent="0.2"/>
    <row r="8024" ht="12.75" customHeight="1" x14ac:dyDescent="0.2"/>
    <row r="8025" ht="12.75" customHeight="1" x14ac:dyDescent="0.2"/>
    <row r="8026" ht="12.75" customHeight="1" x14ac:dyDescent="0.2"/>
    <row r="8027" ht="12.75" customHeight="1" x14ac:dyDescent="0.2"/>
    <row r="8028" ht="12.75" customHeight="1" x14ac:dyDescent="0.2"/>
    <row r="8029" ht="12.75" customHeight="1" x14ac:dyDescent="0.2"/>
    <row r="8030" ht="12.75" customHeight="1" x14ac:dyDescent="0.2"/>
    <row r="8031" ht="12.75" customHeight="1" x14ac:dyDescent="0.2"/>
    <row r="8032" ht="12.75" customHeight="1" x14ac:dyDescent="0.2"/>
    <row r="8033" ht="12.75" customHeight="1" x14ac:dyDescent="0.2"/>
    <row r="8034" ht="12.75" customHeight="1" x14ac:dyDescent="0.2"/>
    <row r="8035" ht="12.75" customHeight="1" x14ac:dyDescent="0.2"/>
    <row r="8036" ht="12.75" customHeight="1" x14ac:dyDescent="0.2"/>
    <row r="8037" ht="12.75" customHeight="1" x14ac:dyDescent="0.2"/>
    <row r="8038" ht="12.75" customHeight="1" x14ac:dyDescent="0.2"/>
    <row r="8039" ht="12.75" customHeight="1" x14ac:dyDescent="0.2"/>
    <row r="8040" ht="12.75" customHeight="1" x14ac:dyDescent="0.2"/>
    <row r="8041" ht="12.75" customHeight="1" x14ac:dyDescent="0.2"/>
    <row r="8042" ht="12.75" customHeight="1" x14ac:dyDescent="0.2"/>
    <row r="8043" ht="12.75" customHeight="1" x14ac:dyDescent="0.2"/>
    <row r="8044" ht="12.75" customHeight="1" x14ac:dyDescent="0.2"/>
    <row r="8045" ht="12.75" customHeight="1" x14ac:dyDescent="0.2"/>
    <row r="8046" ht="12.75" customHeight="1" x14ac:dyDescent="0.2"/>
    <row r="8047" ht="12.75" customHeight="1" x14ac:dyDescent="0.2"/>
    <row r="8048" ht="12.75" customHeight="1" x14ac:dyDescent="0.2"/>
    <row r="8049" ht="12.75" customHeight="1" x14ac:dyDescent="0.2"/>
    <row r="8050" ht="12.75" customHeight="1" x14ac:dyDescent="0.2"/>
    <row r="8051" ht="12.75" customHeight="1" x14ac:dyDescent="0.2"/>
    <row r="8052" ht="12.75" customHeight="1" x14ac:dyDescent="0.2"/>
    <row r="8053" ht="12.75" customHeight="1" x14ac:dyDescent="0.2"/>
    <row r="8054" ht="12.75" customHeight="1" x14ac:dyDescent="0.2"/>
    <row r="8055" ht="12.75" customHeight="1" x14ac:dyDescent="0.2"/>
    <row r="8056" ht="12.75" customHeight="1" x14ac:dyDescent="0.2"/>
    <row r="8057" ht="12.75" customHeight="1" x14ac:dyDescent="0.2"/>
    <row r="8058" ht="12.75" customHeight="1" x14ac:dyDescent="0.2"/>
    <row r="8059" ht="12.75" customHeight="1" x14ac:dyDescent="0.2"/>
    <row r="8060" ht="12.75" customHeight="1" x14ac:dyDescent="0.2"/>
    <row r="8061" ht="12.75" customHeight="1" x14ac:dyDescent="0.2"/>
    <row r="8062" ht="12.75" customHeight="1" x14ac:dyDescent="0.2"/>
    <row r="8063" ht="12.75" customHeight="1" x14ac:dyDescent="0.2"/>
    <row r="8064" ht="12.75" customHeight="1" x14ac:dyDescent="0.2"/>
    <row r="8065" ht="12.75" customHeight="1" x14ac:dyDescent="0.2"/>
    <row r="8066" ht="12.75" customHeight="1" x14ac:dyDescent="0.2"/>
    <row r="8067" ht="12.75" customHeight="1" x14ac:dyDescent="0.2"/>
    <row r="8068" ht="12.75" customHeight="1" x14ac:dyDescent="0.2"/>
    <row r="8069" ht="12.75" customHeight="1" x14ac:dyDescent="0.2"/>
    <row r="8070" ht="12.75" customHeight="1" x14ac:dyDescent="0.2"/>
    <row r="8071" ht="12.75" customHeight="1" x14ac:dyDescent="0.2"/>
    <row r="8072" ht="12.75" customHeight="1" x14ac:dyDescent="0.2"/>
    <row r="8073" ht="12.75" customHeight="1" x14ac:dyDescent="0.2"/>
    <row r="8074" ht="12.75" customHeight="1" x14ac:dyDescent="0.2"/>
    <row r="8075" ht="12.75" customHeight="1" x14ac:dyDescent="0.2"/>
    <row r="8076" ht="12.75" customHeight="1" x14ac:dyDescent="0.2"/>
    <row r="8077" ht="12.75" customHeight="1" x14ac:dyDescent="0.2"/>
    <row r="8078" ht="12.75" customHeight="1" x14ac:dyDescent="0.2"/>
    <row r="8079" ht="12.75" customHeight="1" x14ac:dyDescent="0.2"/>
    <row r="8080" ht="12.75" customHeight="1" x14ac:dyDescent="0.2"/>
    <row r="8081" ht="12.75" customHeight="1" x14ac:dyDescent="0.2"/>
    <row r="8082" ht="12.75" customHeight="1" x14ac:dyDescent="0.2"/>
    <row r="8083" ht="12.75" customHeight="1" x14ac:dyDescent="0.2"/>
    <row r="8084" ht="12.75" customHeight="1" x14ac:dyDescent="0.2"/>
    <row r="8085" ht="12.75" customHeight="1" x14ac:dyDescent="0.2"/>
    <row r="8086" ht="12.75" customHeight="1" x14ac:dyDescent="0.2"/>
    <row r="8087" ht="12.75" customHeight="1" x14ac:dyDescent="0.2"/>
    <row r="8088" ht="12.75" customHeight="1" x14ac:dyDescent="0.2"/>
    <row r="8089" ht="12.75" customHeight="1" x14ac:dyDescent="0.2"/>
    <row r="8090" ht="12.75" customHeight="1" x14ac:dyDescent="0.2"/>
    <row r="8091" ht="12.75" customHeight="1" x14ac:dyDescent="0.2"/>
    <row r="8092" ht="12.75" customHeight="1" x14ac:dyDescent="0.2"/>
    <row r="8093" ht="12.75" customHeight="1" x14ac:dyDescent="0.2"/>
    <row r="8094" ht="12.75" customHeight="1" x14ac:dyDescent="0.2"/>
    <row r="8095" ht="12.75" customHeight="1" x14ac:dyDescent="0.2"/>
    <row r="8096" ht="12.75" customHeight="1" x14ac:dyDescent="0.2"/>
    <row r="8097" ht="12.75" customHeight="1" x14ac:dyDescent="0.2"/>
    <row r="8098" ht="12.75" customHeight="1" x14ac:dyDescent="0.2"/>
    <row r="8099" ht="12.75" customHeight="1" x14ac:dyDescent="0.2"/>
    <row r="8100" ht="12.75" customHeight="1" x14ac:dyDescent="0.2"/>
    <row r="8101" ht="12.75" customHeight="1" x14ac:dyDescent="0.2"/>
    <row r="8102" ht="12.75" customHeight="1" x14ac:dyDescent="0.2"/>
    <row r="8103" ht="12.75" customHeight="1" x14ac:dyDescent="0.2"/>
    <row r="8104" ht="12.75" customHeight="1" x14ac:dyDescent="0.2"/>
    <row r="8105" ht="12.75" customHeight="1" x14ac:dyDescent="0.2"/>
    <row r="8106" ht="12.75" customHeight="1" x14ac:dyDescent="0.2"/>
    <row r="8107" ht="12.75" customHeight="1" x14ac:dyDescent="0.2"/>
    <row r="8108" ht="12.75" customHeight="1" x14ac:dyDescent="0.2"/>
    <row r="8109" ht="12.75" customHeight="1" x14ac:dyDescent="0.2"/>
    <row r="8110" ht="12.75" customHeight="1" x14ac:dyDescent="0.2"/>
    <row r="8111" ht="12.75" customHeight="1" x14ac:dyDescent="0.2"/>
    <row r="8112" ht="12.75" customHeight="1" x14ac:dyDescent="0.2"/>
    <row r="8113" ht="12.75" customHeight="1" x14ac:dyDescent="0.2"/>
    <row r="8114" ht="12.75" customHeight="1" x14ac:dyDescent="0.2"/>
    <row r="8115" ht="12.75" customHeight="1" x14ac:dyDescent="0.2"/>
    <row r="8116" ht="12.75" customHeight="1" x14ac:dyDescent="0.2"/>
    <row r="8117" ht="12.75" customHeight="1" x14ac:dyDescent="0.2"/>
    <row r="8118" ht="12.75" customHeight="1" x14ac:dyDescent="0.2"/>
    <row r="8119" ht="12.75" customHeight="1" x14ac:dyDescent="0.2"/>
    <row r="8120" ht="12.75" customHeight="1" x14ac:dyDescent="0.2"/>
    <row r="8121" ht="12.75" customHeight="1" x14ac:dyDescent="0.2"/>
    <row r="8122" ht="12.75" customHeight="1" x14ac:dyDescent="0.2"/>
    <row r="8123" ht="12.75" customHeight="1" x14ac:dyDescent="0.2"/>
    <row r="8124" ht="12.75" customHeight="1" x14ac:dyDescent="0.2"/>
    <row r="8125" ht="12.75" customHeight="1" x14ac:dyDescent="0.2"/>
    <row r="8126" ht="12.75" customHeight="1" x14ac:dyDescent="0.2"/>
    <row r="8127" ht="12.75" customHeight="1" x14ac:dyDescent="0.2"/>
    <row r="8128" ht="12.75" customHeight="1" x14ac:dyDescent="0.2"/>
    <row r="8129" ht="12.75" customHeight="1" x14ac:dyDescent="0.2"/>
    <row r="8130" ht="12.75" customHeight="1" x14ac:dyDescent="0.2"/>
    <row r="8131" ht="12.75" customHeight="1" x14ac:dyDescent="0.2"/>
    <row r="8132" ht="12.75" customHeight="1" x14ac:dyDescent="0.2"/>
    <row r="8133" ht="12.75" customHeight="1" x14ac:dyDescent="0.2"/>
    <row r="8134" ht="12.75" customHeight="1" x14ac:dyDescent="0.2"/>
    <row r="8135" ht="12.75" customHeight="1" x14ac:dyDescent="0.2"/>
    <row r="8136" ht="12.75" customHeight="1" x14ac:dyDescent="0.2"/>
    <row r="8137" ht="12.75" customHeight="1" x14ac:dyDescent="0.2"/>
    <row r="8138" ht="12.75" customHeight="1" x14ac:dyDescent="0.2"/>
    <row r="8139" ht="12.75" customHeight="1" x14ac:dyDescent="0.2"/>
    <row r="8140" ht="12.75" customHeight="1" x14ac:dyDescent="0.2"/>
    <row r="8141" ht="12.75" customHeight="1" x14ac:dyDescent="0.2"/>
    <row r="8142" ht="12.75" customHeight="1" x14ac:dyDescent="0.2"/>
    <row r="8143" ht="12.75" customHeight="1" x14ac:dyDescent="0.2"/>
    <row r="8144" ht="12.75" customHeight="1" x14ac:dyDescent="0.2"/>
    <row r="8145" ht="12.75" customHeight="1" x14ac:dyDescent="0.2"/>
    <row r="8146" ht="12.75" customHeight="1" x14ac:dyDescent="0.2"/>
    <row r="8147" ht="12.75" customHeight="1" x14ac:dyDescent="0.2"/>
    <row r="8148" ht="12.75" customHeight="1" x14ac:dyDescent="0.2"/>
    <row r="8149" ht="12.75" customHeight="1" x14ac:dyDescent="0.2"/>
    <row r="8150" ht="12.75" customHeight="1" x14ac:dyDescent="0.2"/>
    <row r="8151" ht="12.75" customHeight="1" x14ac:dyDescent="0.2"/>
    <row r="8152" ht="12.75" customHeight="1" x14ac:dyDescent="0.2"/>
    <row r="8153" ht="12.75" customHeight="1" x14ac:dyDescent="0.2"/>
    <row r="8154" ht="12.75" customHeight="1" x14ac:dyDescent="0.2"/>
    <row r="8155" ht="12.75" customHeight="1" x14ac:dyDescent="0.2"/>
    <row r="8156" ht="12.75" customHeight="1" x14ac:dyDescent="0.2"/>
    <row r="8157" ht="12.75" customHeight="1" x14ac:dyDescent="0.2"/>
    <row r="8158" ht="12.75" customHeight="1" x14ac:dyDescent="0.2"/>
    <row r="8159" ht="12.75" customHeight="1" x14ac:dyDescent="0.2"/>
    <row r="8160" ht="12.75" customHeight="1" x14ac:dyDescent="0.2"/>
    <row r="8161" ht="12.75" customHeight="1" x14ac:dyDescent="0.2"/>
    <row r="8162" ht="12.75" customHeight="1" x14ac:dyDescent="0.2"/>
    <row r="8163" ht="12.75" customHeight="1" x14ac:dyDescent="0.2"/>
    <row r="8164" ht="12.75" customHeight="1" x14ac:dyDescent="0.2"/>
    <row r="8165" ht="12.75" customHeight="1" x14ac:dyDescent="0.2"/>
    <row r="8166" ht="12.75" customHeight="1" x14ac:dyDescent="0.2"/>
    <row r="8167" ht="12.75" customHeight="1" x14ac:dyDescent="0.2"/>
    <row r="8168" ht="12.75" customHeight="1" x14ac:dyDescent="0.2"/>
    <row r="8169" ht="12.75" customHeight="1" x14ac:dyDescent="0.2"/>
    <row r="8170" ht="12.75" customHeight="1" x14ac:dyDescent="0.2"/>
    <row r="8171" ht="12.75" customHeight="1" x14ac:dyDescent="0.2"/>
    <row r="8172" ht="12.75" customHeight="1" x14ac:dyDescent="0.2"/>
    <row r="8173" ht="12.75" customHeight="1" x14ac:dyDescent="0.2"/>
    <row r="8174" ht="12.75" customHeight="1" x14ac:dyDescent="0.2"/>
    <row r="8175" ht="12.75" customHeight="1" x14ac:dyDescent="0.2"/>
    <row r="8176" ht="12.75" customHeight="1" x14ac:dyDescent="0.2"/>
    <row r="8177" ht="12.75" customHeight="1" x14ac:dyDescent="0.2"/>
    <row r="8178" ht="12.75" customHeight="1" x14ac:dyDescent="0.2"/>
    <row r="8179" ht="12.75" customHeight="1" x14ac:dyDescent="0.2"/>
    <row r="8180" ht="12.75" customHeight="1" x14ac:dyDescent="0.2"/>
    <row r="8181" ht="12.75" customHeight="1" x14ac:dyDescent="0.2"/>
    <row r="8182" ht="12.75" customHeight="1" x14ac:dyDescent="0.2"/>
    <row r="8183" ht="12.75" customHeight="1" x14ac:dyDescent="0.2"/>
    <row r="8184" ht="12.75" customHeight="1" x14ac:dyDescent="0.2"/>
    <row r="8185" ht="12.75" customHeight="1" x14ac:dyDescent="0.2"/>
    <row r="8186" ht="12.75" customHeight="1" x14ac:dyDescent="0.2"/>
    <row r="8187" ht="12.75" customHeight="1" x14ac:dyDescent="0.2"/>
    <row r="8188" ht="12.75" customHeight="1" x14ac:dyDescent="0.2"/>
    <row r="8189" ht="12.75" customHeight="1" x14ac:dyDescent="0.2"/>
    <row r="8190" ht="12.75" customHeight="1" x14ac:dyDescent="0.2"/>
    <row r="8191" ht="12.75" customHeight="1" x14ac:dyDescent="0.2"/>
    <row r="8192" ht="12.75" customHeight="1" x14ac:dyDescent="0.2"/>
    <row r="8193" ht="12.75" customHeight="1" x14ac:dyDescent="0.2"/>
    <row r="8194" ht="12.75" customHeight="1" x14ac:dyDescent="0.2"/>
    <row r="8195" ht="12.75" customHeight="1" x14ac:dyDescent="0.2"/>
    <row r="8196" ht="12.75" customHeight="1" x14ac:dyDescent="0.2"/>
    <row r="8197" ht="12.75" customHeight="1" x14ac:dyDescent="0.2"/>
    <row r="8198" ht="12.75" customHeight="1" x14ac:dyDescent="0.2"/>
    <row r="8199" ht="12.75" customHeight="1" x14ac:dyDescent="0.2"/>
    <row r="8200" ht="12.75" customHeight="1" x14ac:dyDescent="0.2"/>
    <row r="8201" ht="12.75" customHeight="1" x14ac:dyDescent="0.2"/>
    <row r="8202" ht="12.75" customHeight="1" x14ac:dyDescent="0.2"/>
    <row r="8203" ht="12.75" customHeight="1" x14ac:dyDescent="0.2"/>
    <row r="8204" ht="12.75" customHeight="1" x14ac:dyDescent="0.2"/>
    <row r="8205" ht="12.75" customHeight="1" x14ac:dyDescent="0.2"/>
    <row r="8206" ht="12.75" customHeight="1" x14ac:dyDescent="0.2"/>
    <row r="8207" ht="12.75" customHeight="1" x14ac:dyDescent="0.2"/>
    <row r="8208" ht="12.75" customHeight="1" x14ac:dyDescent="0.2"/>
    <row r="8209" ht="12.75" customHeight="1" x14ac:dyDescent="0.2"/>
    <row r="8210" ht="12.75" customHeight="1" x14ac:dyDescent="0.2"/>
    <row r="8211" ht="12.75" customHeight="1" x14ac:dyDescent="0.2"/>
    <row r="8212" ht="12.75" customHeight="1" x14ac:dyDescent="0.2"/>
    <row r="8213" ht="12.75" customHeight="1" x14ac:dyDescent="0.2"/>
    <row r="8214" ht="12.75" customHeight="1" x14ac:dyDescent="0.2"/>
    <row r="8215" ht="12.75" customHeight="1" x14ac:dyDescent="0.2"/>
    <row r="8216" ht="12.75" customHeight="1" x14ac:dyDescent="0.2"/>
    <row r="8217" ht="12.75" customHeight="1" x14ac:dyDescent="0.2"/>
    <row r="8218" ht="12.75" customHeight="1" x14ac:dyDescent="0.2"/>
    <row r="8219" ht="12.75" customHeight="1" x14ac:dyDescent="0.2"/>
    <row r="8220" ht="12.75" customHeight="1" x14ac:dyDescent="0.2"/>
    <row r="8221" ht="12.75" customHeight="1" x14ac:dyDescent="0.2"/>
    <row r="8222" ht="12.75" customHeight="1" x14ac:dyDescent="0.2"/>
    <row r="8223" ht="12.75" customHeight="1" x14ac:dyDescent="0.2"/>
    <row r="8224" ht="12.75" customHeight="1" x14ac:dyDescent="0.2"/>
    <row r="8225" ht="12.75" customHeight="1" x14ac:dyDescent="0.2"/>
    <row r="8226" ht="12.75" customHeight="1" x14ac:dyDescent="0.2"/>
    <row r="8227" ht="12.75" customHeight="1" x14ac:dyDescent="0.2"/>
    <row r="8228" ht="12.75" customHeight="1" x14ac:dyDescent="0.2"/>
    <row r="8229" ht="12.75" customHeight="1" x14ac:dyDescent="0.2"/>
    <row r="8230" ht="12.75" customHeight="1" x14ac:dyDescent="0.2"/>
    <row r="8231" ht="12.75" customHeight="1" x14ac:dyDescent="0.2"/>
    <row r="8232" ht="12.75" customHeight="1" x14ac:dyDescent="0.2"/>
    <row r="8233" ht="12.75" customHeight="1" x14ac:dyDescent="0.2"/>
    <row r="8234" ht="12.75" customHeight="1" x14ac:dyDescent="0.2"/>
    <row r="8235" ht="12.75" customHeight="1" x14ac:dyDescent="0.2"/>
    <row r="8236" ht="12.75" customHeight="1" x14ac:dyDescent="0.2"/>
    <row r="8237" ht="12.75" customHeight="1" x14ac:dyDescent="0.2"/>
    <row r="8238" ht="12.75" customHeight="1" x14ac:dyDescent="0.2"/>
    <row r="8239" ht="12.75" customHeight="1" x14ac:dyDescent="0.2"/>
    <row r="8240" ht="12.75" customHeight="1" x14ac:dyDescent="0.2"/>
    <row r="8241" ht="12.75" customHeight="1" x14ac:dyDescent="0.2"/>
    <row r="8242" ht="12.75" customHeight="1" x14ac:dyDescent="0.2"/>
    <row r="8243" ht="12.75" customHeight="1" x14ac:dyDescent="0.2"/>
    <row r="8244" ht="12.75" customHeight="1" x14ac:dyDescent="0.2"/>
    <row r="8245" ht="12.75" customHeight="1" x14ac:dyDescent="0.2"/>
    <row r="8246" ht="12.75" customHeight="1" x14ac:dyDescent="0.2"/>
    <row r="8247" ht="12.75" customHeight="1" x14ac:dyDescent="0.2"/>
    <row r="8248" ht="12.75" customHeight="1" x14ac:dyDescent="0.2"/>
    <row r="8249" ht="12.75" customHeight="1" x14ac:dyDescent="0.2"/>
    <row r="8250" ht="12.75" customHeight="1" x14ac:dyDescent="0.2"/>
    <row r="8251" ht="12.75" customHeight="1" x14ac:dyDescent="0.2"/>
    <row r="8252" ht="12.75" customHeight="1" x14ac:dyDescent="0.2"/>
    <row r="8253" ht="12.75" customHeight="1" x14ac:dyDescent="0.2"/>
    <row r="8254" ht="12.75" customHeight="1" x14ac:dyDescent="0.2"/>
    <row r="8255" ht="12.75" customHeight="1" x14ac:dyDescent="0.2"/>
    <row r="8256" ht="12.75" customHeight="1" x14ac:dyDescent="0.2"/>
    <row r="8257" ht="12.75" customHeight="1" x14ac:dyDescent="0.2"/>
    <row r="8258" ht="12.75" customHeight="1" x14ac:dyDescent="0.2"/>
    <row r="8259" ht="12.75" customHeight="1" x14ac:dyDescent="0.2"/>
    <row r="8260" ht="12.75" customHeight="1" x14ac:dyDescent="0.2"/>
    <row r="8261" ht="12.75" customHeight="1" x14ac:dyDescent="0.2"/>
    <row r="8262" ht="12.75" customHeight="1" x14ac:dyDescent="0.2"/>
    <row r="8263" ht="12.75" customHeight="1" x14ac:dyDescent="0.2"/>
    <row r="8264" ht="12.75" customHeight="1" x14ac:dyDescent="0.2"/>
    <row r="8265" ht="12.75" customHeight="1" x14ac:dyDescent="0.2"/>
    <row r="8266" ht="12.75" customHeight="1" x14ac:dyDescent="0.2"/>
    <row r="8267" ht="12.75" customHeight="1" x14ac:dyDescent="0.2"/>
    <row r="8268" ht="12.75" customHeight="1" x14ac:dyDescent="0.2"/>
    <row r="8269" ht="12.75" customHeight="1" x14ac:dyDescent="0.2"/>
    <row r="8270" ht="12.75" customHeight="1" x14ac:dyDescent="0.2"/>
    <row r="8271" ht="12.75" customHeight="1" x14ac:dyDescent="0.2"/>
    <row r="8272" ht="12.75" customHeight="1" x14ac:dyDescent="0.2"/>
    <row r="8273" ht="12.75" customHeight="1" x14ac:dyDescent="0.2"/>
    <row r="8274" ht="12.75" customHeight="1" x14ac:dyDescent="0.2"/>
    <row r="8275" ht="12.75" customHeight="1" x14ac:dyDescent="0.2"/>
    <row r="8276" ht="12.75" customHeight="1" x14ac:dyDescent="0.2"/>
    <row r="8277" ht="12.75" customHeight="1" x14ac:dyDescent="0.2"/>
    <row r="8278" ht="12.75" customHeight="1" x14ac:dyDescent="0.2"/>
    <row r="8279" ht="12.75" customHeight="1" x14ac:dyDescent="0.2"/>
    <row r="8280" ht="12.75" customHeight="1" x14ac:dyDescent="0.2"/>
    <row r="8281" ht="12.75" customHeight="1" x14ac:dyDescent="0.2"/>
    <row r="8282" ht="12.75" customHeight="1" x14ac:dyDescent="0.2"/>
    <row r="8283" ht="12.75" customHeight="1" x14ac:dyDescent="0.2"/>
    <row r="8284" ht="12.75" customHeight="1" x14ac:dyDescent="0.2"/>
    <row r="8285" ht="12.75" customHeight="1" x14ac:dyDescent="0.2"/>
    <row r="8286" ht="12.75" customHeight="1" x14ac:dyDescent="0.2"/>
    <row r="8287" ht="12.75" customHeight="1" x14ac:dyDescent="0.2"/>
    <row r="8288" ht="12.75" customHeight="1" x14ac:dyDescent="0.2"/>
    <row r="8289" ht="12.75" customHeight="1" x14ac:dyDescent="0.2"/>
    <row r="8290" ht="12.75" customHeight="1" x14ac:dyDescent="0.2"/>
    <row r="8291" ht="12.75" customHeight="1" x14ac:dyDescent="0.2"/>
    <row r="8292" ht="12.75" customHeight="1" x14ac:dyDescent="0.2"/>
    <row r="8293" ht="12.75" customHeight="1" x14ac:dyDescent="0.2"/>
    <row r="8294" ht="12.75" customHeight="1" x14ac:dyDescent="0.2"/>
    <row r="8295" ht="12.75" customHeight="1" x14ac:dyDescent="0.2"/>
    <row r="8296" ht="12.75" customHeight="1" x14ac:dyDescent="0.2"/>
    <row r="8297" ht="12.75" customHeight="1" x14ac:dyDescent="0.2"/>
    <row r="8298" ht="12.75" customHeight="1" x14ac:dyDescent="0.2"/>
    <row r="8299" ht="12.75" customHeight="1" x14ac:dyDescent="0.2"/>
    <row r="8300" ht="12.75" customHeight="1" x14ac:dyDescent="0.2"/>
    <row r="8301" ht="12.75" customHeight="1" x14ac:dyDescent="0.2"/>
    <row r="8302" ht="12.75" customHeight="1" x14ac:dyDescent="0.2"/>
    <row r="8303" ht="12.75" customHeight="1" x14ac:dyDescent="0.2"/>
    <row r="8304" ht="12.75" customHeight="1" x14ac:dyDescent="0.2"/>
    <row r="8305" ht="12.75" customHeight="1" x14ac:dyDescent="0.2"/>
    <row r="8306" ht="12.75" customHeight="1" x14ac:dyDescent="0.2"/>
    <row r="8307" ht="12.75" customHeight="1" x14ac:dyDescent="0.2"/>
    <row r="8308" ht="12.75" customHeight="1" x14ac:dyDescent="0.2"/>
    <row r="8309" ht="12.75" customHeight="1" x14ac:dyDescent="0.2"/>
    <row r="8310" ht="12.75" customHeight="1" x14ac:dyDescent="0.2"/>
    <row r="8311" ht="12.75" customHeight="1" x14ac:dyDescent="0.2"/>
    <row r="8312" ht="12.75" customHeight="1" x14ac:dyDescent="0.2"/>
    <row r="8313" ht="12.75" customHeight="1" x14ac:dyDescent="0.2"/>
    <row r="8314" ht="12.75" customHeight="1" x14ac:dyDescent="0.2"/>
    <row r="8315" ht="12.75" customHeight="1" x14ac:dyDescent="0.2"/>
    <row r="8316" ht="12.75" customHeight="1" x14ac:dyDescent="0.2"/>
    <row r="8317" ht="12.75" customHeight="1" x14ac:dyDescent="0.2"/>
    <row r="8318" ht="12.75" customHeight="1" x14ac:dyDescent="0.2"/>
    <row r="8319" ht="12.75" customHeight="1" x14ac:dyDescent="0.2"/>
    <row r="8320" ht="12.75" customHeight="1" x14ac:dyDescent="0.2"/>
    <row r="8321" ht="12.75" customHeight="1" x14ac:dyDescent="0.2"/>
    <row r="8322" ht="12.75" customHeight="1" x14ac:dyDescent="0.2"/>
    <row r="8323" ht="12.75" customHeight="1" x14ac:dyDescent="0.2"/>
    <row r="8324" ht="12.75" customHeight="1" x14ac:dyDescent="0.2"/>
    <row r="8325" ht="12.75" customHeight="1" x14ac:dyDescent="0.2"/>
    <row r="8326" ht="12.75" customHeight="1" x14ac:dyDescent="0.2"/>
    <row r="8327" ht="12.75" customHeight="1" x14ac:dyDescent="0.2"/>
    <row r="8328" ht="12.75" customHeight="1" x14ac:dyDescent="0.2"/>
    <row r="8329" ht="12.75" customHeight="1" x14ac:dyDescent="0.2"/>
    <row r="8330" ht="12.75" customHeight="1" x14ac:dyDescent="0.2"/>
    <row r="8331" ht="12.75" customHeight="1" x14ac:dyDescent="0.2"/>
    <row r="8332" ht="12.75" customHeight="1" x14ac:dyDescent="0.2"/>
    <row r="8333" ht="12.75" customHeight="1" x14ac:dyDescent="0.2"/>
    <row r="8334" ht="12.75" customHeight="1" x14ac:dyDescent="0.2"/>
    <row r="8335" ht="12.75" customHeight="1" x14ac:dyDescent="0.2"/>
    <row r="8336" ht="12.75" customHeight="1" x14ac:dyDescent="0.2"/>
    <row r="8337" ht="12.75" customHeight="1" x14ac:dyDescent="0.2"/>
    <row r="8338" ht="12.75" customHeight="1" x14ac:dyDescent="0.2"/>
    <row r="8339" ht="12.75" customHeight="1" x14ac:dyDescent="0.2"/>
    <row r="8340" ht="12.75" customHeight="1" x14ac:dyDescent="0.2"/>
    <row r="8341" ht="12.75" customHeight="1" x14ac:dyDescent="0.2"/>
    <row r="8342" ht="12.75" customHeight="1" x14ac:dyDescent="0.2"/>
    <row r="8343" ht="12.75" customHeight="1" x14ac:dyDescent="0.2"/>
    <row r="8344" ht="12.75" customHeight="1" x14ac:dyDescent="0.2"/>
    <row r="8345" ht="12.75" customHeight="1" x14ac:dyDescent="0.2"/>
    <row r="8346" ht="12.75" customHeight="1" x14ac:dyDescent="0.2"/>
    <row r="8347" ht="12.75" customHeight="1" x14ac:dyDescent="0.2"/>
    <row r="8348" ht="12.75" customHeight="1" x14ac:dyDescent="0.2"/>
    <row r="8349" ht="12.75" customHeight="1" x14ac:dyDescent="0.2"/>
    <row r="8350" ht="12.75" customHeight="1" x14ac:dyDescent="0.2"/>
    <row r="8351" ht="12.75" customHeight="1" x14ac:dyDescent="0.2"/>
    <row r="8352" ht="12.75" customHeight="1" x14ac:dyDescent="0.2"/>
    <row r="8353" ht="12.75" customHeight="1" x14ac:dyDescent="0.2"/>
    <row r="8354" ht="12.75" customHeight="1" x14ac:dyDescent="0.2"/>
    <row r="8355" ht="12.75" customHeight="1" x14ac:dyDescent="0.2"/>
    <row r="8356" ht="12.75" customHeight="1" x14ac:dyDescent="0.2"/>
    <row r="8357" ht="12.75" customHeight="1" x14ac:dyDescent="0.2"/>
    <row r="8358" ht="12.75" customHeight="1" x14ac:dyDescent="0.2"/>
    <row r="8359" ht="12.75" customHeight="1" x14ac:dyDescent="0.2"/>
    <row r="8360" ht="12.75" customHeight="1" x14ac:dyDescent="0.2"/>
    <row r="8361" ht="12.75" customHeight="1" x14ac:dyDescent="0.2"/>
    <row r="8362" ht="12.75" customHeight="1" x14ac:dyDescent="0.2"/>
    <row r="8363" ht="12.75" customHeight="1" x14ac:dyDescent="0.2"/>
    <row r="8364" ht="12.75" customHeight="1" x14ac:dyDescent="0.2"/>
    <row r="8365" ht="12.75" customHeight="1" x14ac:dyDescent="0.2"/>
    <row r="8366" ht="12.75" customHeight="1" x14ac:dyDescent="0.2"/>
    <row r="8367" ht="12.75" customHeight="1" x14ac:dyDescent="0.2"/>
    <row r="8368" ht="12.75" customHeight="1" x14ac:dyDescent="0.2"/>
    <row r="8369" ht="12.75" customHeight="1" x14ac:dyDescent="0.2"/>
    <row r="8370" ht="12.75" customHeight="1" x14ac:dyDescent="0.2"/>
    <row r="8371" ht="12.75" customHeight="1" x14ac:dyDescent="0.2"/>
    <row r="8372" ht="12.75" customHeight="1" x14ac:dyDescent="0.2"/>
    <row r="8373" ht="12.75" customHeight="1" x14ac:dyDescent="0.2"/>
    <row r="8374" ht="12.75" customHeight="1" x14ac:dyDescent="0.2"/>
    <row r="8375" ht="12.75" customHeight="1" x14ac:dyDescent="0.2"/>
    <row r="8376" ht="12.75" customHeight="1" x14ac:dyDescent="0.2"/>
    <row r="8377" ht="12.75" customHeight="1" x14ac:dyDescent="0.2"/>
    <row r="8378" ht="12.75" customHeight="1" x14ac:dyDescent="0.2"/>
    <row r="8379" ht="12.75" customHeight="1" x14ac:dyDescent="0.2"/>
    <row r="8380" ht="12.75" customHeight="1" x14ac:dyDescent="0.2"/>
    <row r="8381" ht="12.75" customHeight="1" x14ac:dyDescent="0.2"/>
    <row r="8382" ht="12.75" customHeight="1" x14ac:dyDescent="0.2"/>
    <row r="8383" ht="12.75" customHeight="1" x14ac:dyDescent="0.2"/>
    <row r="8384" ht="12.75" customHeight="1" x14ac:dyDescent="0.2"/>
    <row r="8385" ht="12.75" customHeight="1" x14ac:dyDescent="0.2"/>
    <row r="8386" ht="12.75" customHeight="1" x14ac:dyDescent="0.2"/>
    <row r="8387" ht="12.75" customHeight="1" x14ac:dyDescent="0.2"/>
    <row r="8388" ht="12.75" customHeight="1" x14ac:dyDescent="0.2"/>
    <row r="8389" ht="12.75" customHeight="1" x14ac:dyDescent="0.2"/>
    <row r="8390" ht="12.75" customHeight="1" x14ac:dyDescent="0.2"/>
    <row r="8391" ht="12.75" customHeight="1" x14ac:dyDescent="0.2"/>
    <row r="8392" ht="12.75" customHeight="1" x14ac:dyDescent="0.2"/>
    <row r="8393" ht="12.75" customHeight="1" x14ac:dyDescent="0.2"/>
    <row r="8394" ht="12.75" customHeight="1" x14ac:dyDescent="0.2"/>
    <row r="8395" ht="12.75" customHeight="1" x14ac:dyDescent="0.2"/>
    <row r="8396" ht="12.75" customHeight="1" x14ac:dyDescent="0.2"/>
    <row r="8397" ht="12.75" customHeight="1" x14ac:dyDescent="0.2"/>
    <row r="8398" ht="12.75" customHeight="1" x14ac:dyDescent="0.2"/>
    <row r="8399" ht="12.75" customHeight="1" x14ac:dyDescent="0.2"/>
    <row r="8400" ht="12.75" customHeight="1" x14ac:dyDescent="0.2"/>
    <row r="8401" ht="12.75" customHeight="1" x14ac:dyDescent="0.2"/>
    <row r="8402" ht="12.75" customHeight="1" x14ac:dyDescent="0.2"/>
    <row r="8403" ht="12.75" customHeight="1" x14ac:dyDescent="0.2"/>
    <row r="8404" ht="12.75" customHeight="1" x14ac:dyDescent="0.2"/>
    <row r="8405" ht="12.75" customHeight="1" x14ac:dyDescent="0.2"/>
    <row r="8406" ht="12.75" customHeight="1" x14ac:dyDescent="0.2"/>
    <row r="8407" ht="12.75" customHeight="1" x14ac:dyDescent="0.2"/>
    <row r="8408" ht="12.75" customHeight="1" x14ac:dyDescent="0.2"/>
    <row r="8409" ht="12.75" customHeight="1" x14ac:dyDescent="0.2"/>
    <row r="8410" ht="12.75" customHeight="1" x14ac:dyDescent="0.2"/>
    <row r="8411" ht="12.75" customHeight="1" x14ac:dyDescent="0.2"/>
    <row r="8412" ht="12.75" customHeight="1" x14ac:dyDescent="0.2"/>
    <row r="8413" ht="12.75" customHeight="1" x14ac:dyDescent="0.2"/>
    <row r="8414" ht="12.75" customHeight="1" x14ac:dyDescent="0.2"/>
    <row r="8415" ht="12.75" customHeight="1" x14ac:dyDescent="0.2"/>
    <row r="8416" ht="12.75" customHeight="1" x14ac:dyDescent="0.2"/>
    <row r="8417" ht="12.75" customHeight="1" x14ac:dyDescent="0.2"/>
    <row r="8418" ht="12.75" customHeight="1" x14ac:dyDescent="0.2"/>
    <row r="8419" ht="12.75" customHeight="1" x14ac:dyDescent="0.2"/>
    <row r="8420" ht="12.75" customHeight="1" x14ac:dyDescent="0.2"/>
    <row r="8421" ht="12.75" customHeight="1" x14ac:dyDescent="0.2"/>
    <row r="8422" ht="12.75" customHeight="1" x14ac:dyDescent="0.2"/>
    <row r="8423" ht="12.75" customHeight="1" x14ac:dyDescent="0.2"/>
    <row r="8424" ht="12.75" customHeight="1" x14ac:dyDescent="0.2"/>
    <row r="8425" ht="12.75" customHeight="1" x14ac:dyDescent="0.2"/>
    <row r="8426" ht="12.75" customHeight="1" x14ac:dyDescent="0.2"/>
    <row r="8427" ht="12.75" customHeight="1" x14ac:dyDescent="0.2"/>
    <row r="8428" ht="12.75" customHeight="1" x14ac:dyDescent="0.2"/>
    <row r="8429" ht="12.75" customHeight="1" x14ac:dyDescent="0.2"/>
    <row r="8430" ht="12.75" customHeight="1" x14ac:dyDescent="0.2"/>
    <row r="8431" ht="12.75" customHeight="1" x14ac:dyDescent="0.2"/>
    <row r="8432" ht="12.75" customHeight="1" x14ac:dyDescent="0.2"/>
    <row r="8433" ht="12.75" customHeight="1" x14ac:dyDescent="0.2"/>
    <row r="8434" ht="12.75" customHeight="1" x14ac:dyDescent="0.2"/>
    <row r="8435" ht="12.75" customHeight="1" x14ac:dyDescent="0.2"/>
    <row r="8436" ht="12.75" customHeight="1" x14ac:dyDescent="0.2"/>
    <row r="8437" ht="12.75" customHeight="1" x14ac:dyDescent="0.2"/>
    <row r="8438" ht="12.75" customHeight="1" x14ac:dyDescent="0.2"/>
    <row r="8439" ht="12.75" customHeight="1" x14ac:dyDescent="0.2"/>
    <row r="8440" ht="12.75" customHeight="1" x14ac:dyDescent="0.2"/>
    <row r="8441" ht="12.75" customHeight="1" x14ac:dyDescent="0.2"/>
    <row r="8442" ht="12.75" customHeight="1" x14ac:dyDescent="0.2"/>
    <row r="8443" ht="12.75" customHeight="1" x14ac:dyDescent="0.2"/>
    <row r="8444" ht="12.75" customHeight="1" x14ac:dyDescent="0.2"/>
    <row r="8445" ht="12.75" customHeight="1" x14ac:dyDescent="0.2"/>
    <row r="8446" ht="12.75" customHeight="1" x14ac:dyDescent="0.2"/>
    <row r="8447" ht="12.75" customHeight="1" x14ac:dyDescent="0.2"/>
    <row r="8448" ht="12.75" customHeight="1" x14ac:dyDescent="0.2"/>
    <row r="8449" ht="12.75" customHeight="1" x14ac:dyDescent="0.2"/>
    <row r="8450" ht="12.75" customHeight="1" x14ac:dyDescent="0.2"/>
    <row r="8451" ht="12.75" customHeight="1" x14ac:dyDescent="0.2"/>
    <row r="8452" ht="12.75" customHeight="1" x14ac:dyDescent="0.2"/>
    <row r="8453" ht="12.75" customHeight="1" x14ac:dyDescent="0.2"/>
    <row r="8454" ht="12.75" customHeight="1" x14ac:dyDescent="0.2"/>
    <row r="8455" ht="12.75" customHeight="1" x14ac:dyDescent="0.2"/>
    <row r="8456" ht="12.75" customHeight="1" x14ac:dyDescent="0.2"/>
    <row r="8457" ht="12.75" customHeight="1" x14ac:dyDescent="0.2"/>
    <row r="8458" ht="12.75" customHeight="1" x14ac:dyDescent="0.2"/>
    <row r="8459" ht="12.75" customHeight="1" x14ac:dyDescent="0.2"/>
    <row r="8460" ht="12.75" customHeight="1" x14ac:dyDescent="0.2"/>
    <row r="8461" ht="12.75" customHeight="1" x14ac:dyDescent="0.2"/>
    <row r="8462" ht="12.75" customHeight="1" x14ac:dyDescent="0.2"/>
    <row r="8463" ht="12.75" customHeight="1" x14ac:dyDescent="0.2"/>
    <row r="8464" ht="12.75" customHeight="1" x14ac:dyDescent="0.2"/>
    <row r="8465" ht="12.75" customHeight="1" x14ac:dyDescent="0.2"/>
    <row r="8466" ht="12.75" customHeight="1" x14ac:dyDescent="0.2"/>
    <row r="8467" ht="12.75" customHeight="1" x14ac:dyDescent="0.2"/>
    <row r="8468" ht="12.75" customHeight="1" x14ac:dyDescent="0.2"/>
    <row r="8469" ht="12.75" customHeight="1" x14ac:dyDescent="0.2"/>
    <row r="8470" ht="12.75" customHeight="1" x14ac:dyDescent="0.2"/>
    <row r="8471" ht="12.75" customHeight="1" x14ac:dyDescent="0.2"/>
    <row r="8472" ht="12.75" customHeight="1" x14ac:dyDescent="0.2"/>
    <row r="8473" ht="12.75" customHeight="1" x14ac:dyDescent="0.2"/>
    <row r="8474" ht="12.75" customHeight="1" x14ac:dyDescent="0.2"/>
    <row r="8475" ht="12.75" customHeight="1" x14ac:dyDescent="0.2"/>
    <row r="8476" ht="12.75" customHeight="1" x14ac:dyDescent="0.2"/>
    <row r="8477" ht="12.75" customHeight="1" x14ac:dyDescent="0.2"/>
    <row r="8478" ht="12.75" customHeight="1" x14ac:dyDescent="0.2"/>
    <row r="8479" ht="12.75" customHeight="1" x14ac:dyDescent="0.2"/>
    <row r="8480" ht="12.75" customHeight="1" x14ac:dyDescent="0.2"/>
    <row r="8481" ht="12.75" customHeight="1" x14ac:dyDescent="0.2"/>
    <row r="8482" ht="12.75" customHeight="1" x14ac:dyDescent="0.2"/>
    <row r="8483" ht="12.75" customHeight="1" x14ac:dyDescent="0.2"/>
    <row r="8484" ht="12.75" customHeight="1" x14ac:dyDescent="0.2"/>
    <row r="8485" ht="12.75" customHeight="1" x14ac:dyDescent="0.2"/>
    <row r="8486" ht="12.75" customHeight="1" x14ac:dyDescent="0.2"/>
    <row r="8487" ht="12.75" customHeight="1" x14ac:dyDescent="0.2"/>
    <row r="8488" ht="12.75" customHeight="1" x14ac:dyDescent="0.2"/>
    <row r="8489" ht="12.75" customHeight="1" x14ac:dyDescent="0.2"/>
    <row r="8490" ht="12.75" customHeight="1" x14ac:dyDescent="0.2"/>
    <row r="8491" ht="12.75" customHeight="1" x14ac:dyDescent="0.2"/>
    <row r="8492" ht="12.75" customHeight="1" x14ac:dyDescent="0.2"/>
    <row r="8493" ht="12.75" customHeight="1" x14ac:dyDescent="0.2"/>
    <row r="8494" ht="12.75" customHeight="1" x14ac:dyDescent="0.2"/>
    <row r="8495" ht="12.75" customHeight="1" x14ac:dyDescent="0.2"/>
    <row r="8496" ht="12.75" customHeight="1" x14ac:dyDescent="0.2"/>
    <row r="8497" ht="12.75" customHeight="1" x14ac:dyDescent="0.2"/>
    <row r="8498" ht="12.75" customHeight="1" x14ac:dyDescent="0.2"/>
    <row r="8499" ht="12.75" customHeight="1" x14ac:dyDescent="0.2"/>
    <row r="8500" ht="12.75" customHeight="1" x14ac:dyDescent="0.2"/>
    <row r="8501" ht="12.75" customHeight="1" x14ac:dyDescent="0.2"/>
    <row r="8502" ht="12.75" customHeight="1" x14ac:dyDescent="0.2"/>
    <row r="8503" ht="12.75" customHeight="1" x14ac:dyDescent="0.2"/>
    <row r="8504" ht="12.75" customHeight="1" x14ac:dyDescent="0.2"/>
    <row r="8505" ht="12.75" customHeight="1" x14ac:dyDescent="0.2"/>
    <row r="8506" ht="12.75" customHeight="1" x14ac:dyDescent="0.2"/>
    <row r="8507" ht="12.75" customHeight="1" x14ac:dyDescent="0.2"/>
    <row r="8508" ht="12.75" customHeight="1" x14ac:dyDescent="0.2"/>
    <row r="8509" ht="12.75" customHeight="1" x14ac:dyDescent="0.2"/>
    <row r="8510" ht="12.75" customHeight="1" x14ac:dyDescent="0.2"/>
    <row r="8511" ht="12.75" customHeight="1" x14ac:dyDescent="0.2"/>
    <row r="8512" ht="12.75" customHeight="1" x14ac:dyDescent="0.2"/>
    <row r="8513" ht="12.75" customHeight="1" x14ac:dyDescent="0.2"/>
    <row r="8514" ht="12.75" customHeight="1" x14ac:dyDescent="0.2"/>
    <row r="8515" ht="12.75" customHeight="1" x14ac:dyDescent="0.2"/>
    <row r="8516" ht="12.75" customHeight="1" x14ac:dyDescent="0.2"/>
    <row r="8517" ht="12.75" customHeight="1" x14ac:dyDescent="0.2"/>
    <row r="8518" ht="12.75" customHeight="1" x14ac:dyDescent="0.2"/>
    <row r="8519" ht="12.75" customHeight="1" x14ac:dyDescent="0.2"/>
    <row r="8520" ht="12.75" customHeight="1" x14ac:dyDescent="0.2"/>
    <row r="8521" ht="12.75" customHeight="1" x14ac:dyDescent="0.2"/>
    <row r="8522" ht="12.75" customHeight="1" x14ac:dyDescent="0.2"/>
    <row r="8523" ht="12.75" customHeight="1" x14ac:dyDescent="0.2"/>
    <row r="8524" ht="12.75" customHeight="1" x14ac:dyDescent="0.2"/>
    <row r="8525" ht="12.75" customHeight="1" x14ac:dyDescent="0.2"/>
    <row r="8526" ht="12.75" customHeight="1" x14ac:dyDescent="0.2"/>
    <row r="8527" ht="12.75" customHeight="1" x14ac:dyDescent="0.2"/>
    <row r="8528" ht="12.75" customHeight="1" x14ac:dyDescent="0.2"/>
    <row r="8529" ht="12.75" customHeight="1" x14ac:dyDescent="0.2"/>
    <row r="8530" ht="12.75" customHeight="1" x14ac:dyDescent="0.2"/>
    <row r="8531" ht="12.75" customHeight="1" x14ac:dyDescent="0.2"/>
    <row r="8532" ht="12.75" customHeight="1" x14ac:dyDescent="0.2"/>
    <row r="8533" ht="12.75" customHeight="1" x14ac:dyDescent="0.2"/>
    <row r="8534" ht="12.75" customHeight="1" x14ac:dyDescent="0.2"/>
    <row r="8535" ht="12.75" customHeight="1" x14ac:dyDescent="0.2"/>
    <row r="8536" ht="12.75" customHeight="1" x14ac:dyDescent="0.2"/>
    <row r="8537" ht="12.75" customHeight="1" x14ac:dyDescent="0.2"/>
    <row r="8538" ht="12.75" customHeight="1" x14ac:dyDescent="0.2"/>
    <row r="8539" ht="12.75" customHeight="1" x14ac:dyDescent="0.2"/>
    <row r="8540" ht="12.75" customHeight="1" x14ac:dyDescent="0.2"/>
    <row r="8541" ht="12.75" customHeight="1" x14ac:dyDescent="0.2"/>
    <row r="8542" ht="12.75" customHeight="1" x14ac:dyDescent="0.2"/>
    <row r="8543" ht="12.75" customHeight="1" x14ac:dyDescent="0.2"/>
    <row r="8544" ht="12.75" customHeight="1" x14ac:dyDescent="0.2"/>
    <row r="8545" ht="12.75" customHeight="1" x14ac:dyDescent="0.2"/>
    <row r="8546" ht="12.75" customHeight="1" x14ac:dyDescent="0.2"/>
    <row r="8547" ht="12.75" customHeight="1" x14ac:dyDescent="0.2"/>
    <row r="8548" ht="12.75" customHeight="1" x14ac:dyDescent="0.2"/>
    <row r="8549" ht="12.75" customHeight="1" x14ac:dyDescent="0.2"/>
    <row r="8550" ht="12.75" customHeight="1" x14ac:dyDescent="0.2"/>
    <row r="8551" ht="12.75" customHeight="1" x14ac:dyDescent="0.2"/>
    <row r="8552" ht="12.75" customHeight="1" x14ac:dyDescent="0.2"/>
    <row r="8553" ht="12.75" customHeight="1" x14ac:dyDescent="0.2"/>
    <row r="8554" ht="12.75" customHeight="1" x14ac:dyDescent="0.2"/>
    <row r="8555" ht="12.75" customHeight="1" x14ac:dyDescent="0.2"/>
    <row r="8556" ht="12.75" customHeight="1" x14ac:dyDescent="0.2"/>
    <row r="8557" ht="12.75" customHeight="1" x14ac:dyDescent="0.2"/>
    <row r="8558" ht="12.75" customHeight="1" x14ac:dyDescent="0.2"/>
    <row r="8559" ht="12.75" customHeight="1" x14ac:dyDescent="0.2"/>
    <row r="8560" ht="12.75" customHeight="1" x14ac:dyDescent="0.2"/>
    <row r="8561" ht="12.75" customHeight="1" x14ac:dyDescent="0.2"/>
    <row r="8562" ht="12.75" customHeight="1" x14ac:dyDescent="0.2"/>
    <row r="8563" ht="12.75" customHeight="1" x14ac:dyDescent="0.2"/>
    <row r="8564" ht="12.75" customHeight="1" x14ac:dyDescent="0.2"/>
    <row r="8565" ht="12.75" customHeight="1" x14ac:dyDescent="0.2"/>
    <row r="8566" ht="12.75" customHeight="1" x14ac:dyDescent="0.2"/>
    <row r="8567" ht="12.75" customHeight="1" x14ac:dyDescent="0.2"/>
    <row r="8568" ht="12.75" customHeight="1" x14ac:dyDescent="0.2"/>
    <row r="8569" ht="12.75" customHeight="1" x14ac:dyDescent="0.2"/>
    <row r="8570" ht="12.75" customHeight="1" x14ac:dyDescent="0.2"/>
    <row r="8571" ht="12.75" customHeight="1" x14ac:dyDescent="0.2"/>
    <row r="8572" ht="12.75" customHeight="1" x14ac:dyDescent="0.2"/>
    <row r="8573" ht="12.75" customHeight="1" x14ac:dyDescent="0.2"/>
    <row r="8574" ht="12.75" customHeight="1" x14ac:dyDescent="0.2"/>
    <row r="8575" ht="12.75" customHeight="1" x14ac:dyDescent="0.2"/>
    <row r="8576" ht="12.75" customHeight="1" x14ac:dyDescent="0.2"/>
    <row r="8577" ht="12.75" customHeight="1" x14ac:dyDescent="0.2"/>
    <row r="8578" ht="12.75" customHeight="1" x14ac:dyDescent="0.2"/>
    <row r="8579" ht="12.75" customHeight="1" x14ac:dyDescent="0.2"/>
    <row r="8580" ht="12.75" customHeight="1" x14ac:dyDescent="0.2"/>
    <row r="8581" ht="12.75" customHeight="1" x14ac:dyDescent="0.2"/>
    <row r="8582" ht="12.75" customHeight="1" x14ac:dyDescent="0.2"/>
    <row r="8583" ht="12.75" customHeight="1" x14ac:dyDescent="0.2"/>
    <row r="8584" ht="12.75" customHeight="1" x14ac:dyDescent="0.2"/>
    <row r="8585" ht="12.75" customHeight="1" x14ac:dyDescent="0.2"/>
    <row r="8586" ht="12.75" customHeight="1" x14ac:dyDescent="0.2"/>
    <row r="8587" ht="12.75" customHeight="1" x14ac:dyDescent="0.2"/>
    <row r="8588" ht="12.75" customHeight="1" x14ac:dyDescent="0.2"/>
    <row r="8589" ht="12.75" customHeight="1" x14ac:dyDescent="0.2"/>
    <row r="8590" ht="12.75" customHeight="1" x14ac:dyDescent="0.2"/>
    <row r="8591" ht="12.75" customHeight="1" x14ac:dyDescent="0.2"/>
    <row r="8592" ht="12.75" customHeight="1" x14ac:dyDescent="0.2"/>
    <row r="8593" ht="12.75" customHeight="1" x14ac:dyDescent="0.2"/>
    <row r="8594" ht="12.75" customHeight="1" x14ac:dyDescent="0.2"/>
    <row r="8595" ht="12.75" customHeight="1" x14ac:dyDescent="0.2"/>
    <row r="8596" ht="12.75" customHeight="1" x14ac:dyDescent="0.2"/>
    <row r="8597" ht="12.75" customHeight="1" x14ac:dyDescent="0.2"/>
    <row r="8598" ht="12.75" customHeight="1" x14ac:dyDescent="0.2"/>
    <row r="8599" ht="12.75" customHeight="1" x14ac:dyDescent="0.2"/>
    <row r="8600" ht="12.75" customHeight="1" x14ac:dyDescent="0.2"/>
    <row r="8601" ht="12.75" customHeight="1" x14ac:dyDescent="0.2"/>
    <row r="8602" ht="12.75" customHeight="1" x14ac:dyDescent="0.2"/>
    <row r="8603" ht="12.75" customHeight="1" x14ac:dyDescent="0.2"/>
    <row r="8604" ht="12.75" customHeight="1" x14ac:dyDescent="0.2"/>
    <row r="8605" ht="12.75" customHeight="1" x14ac:dyDescent="0.2"/>
    <row r="8606" ht="12.75" customHeight="1" x14ac:dyDescent="0.2"/>
    <row r="8607" ht="12.75" customHeight="1" x14ac:dyDescent="0.2"/>
    <row r="8608" ht="12.75" customHeight="1" x14ac:dyDescent="0.2"/>
    <row r="8609" ht="12.75" customHeight="1" x14ac:dyDescent="0.2"/>
    <row r="8610" ht="12.75" customHeight="1" x14ac:dyDescent="0.2"/>
    <row r="8611" ht="12.75" customHeight="1" x14ac:dyDescent="0.2"/>
    <row r="8612" ht="12.75" customHeight="1" x14ac:dyDescent="0.2"/>
    <row r="8613" ht="12.75" customHeight="1" x14ac:dyDescent="0.2"/>
    <row r="8614" ht="12.75" customHeight="1" x14ac:dyDescent="0.2"/>
    <row r="8615" ht="12.75" customHeight="1" x14ac:dyDescent="0.2"/>
    <row r="8616" ht="12.75" customHeight="1" x14ac:dyDescent="0.2"/>
    <row r="8617" ht="12.75" customHeight="1" x14ac:dyDescent="0.2"/>
    <row r="8618" ht="12.75" customHeight="1" x14ac:dyDescent="0.2"/>
    <row r="8619" ht="12.75" customHeight="1" x14ac:dyDescent="0.2"/>
    <row r="8620" ht="12.75" customHeight="1" x14ac:dyDescent="0.2"/>
    <row r="8621" ht="12.75" customHeight="1" x14ac:dyDescent="0.2"/>
    <row r="8622" ht="12.75" customHeight="1" x14ac:dyDescent="0.2"/>
    <row r="8623" ht="12.75" customHeight="1" x14ac:dyDescent="0.2"/>
    <row r="8624" ht="12.75" customHeight="1" x14ac:dyDescent="0.2"/>
    <row r="8625" ht="12.75" customHeight="1" x14ac:dyDescent="0.2"/>
    <row r="8626" ht="12.75" customHeight="1" x14ac:dyDescent="0.2"/>
    <row r="8627" ht="12.75" customHeight="1" x14ac:dyDescent="0.2"/>
    <row r="8628" ht="12.75" customHeight="1" x14ac:dyDescent="0.2"/>
    <row r="8629" ht="12.75" customHeight="1" x14ac:dyDescent="0.2"/>
    <row r="8630" ht="12.75" customHeight="1" x14ac:dyDescent="0.2"/>
    <row r="8631" ht="12.75" customHeight="1" x14ac:dyDescent="0.2"/>
    <row r="8632" ht="12.75" customHeight="1" x14ac:dyDescent="0.2"/>
    <row r="8633" ht="12.75" customHeight="1" x14ac:dyDescent="0.2"/>
    <row r="8634" ht="12.75" customHeight="1" x14ac:dyDescent="0.2"/>
    <row r="8635" ht="12.75" customHeight="1" x14ac:dyDescent="0.2"/>
    <row r="8636" ht="12.75" customHeight="1" x14ac:dyDescent="0.2"/>
    <row r="8637" ht="12.75" customHeight="1" x14ac:dyDescent="0.2"/>
    <row r="8638" ht="12.75" customHeight="1" x14ac:dyDescent="0.2"/>
    <row r="8639" ht="12.75" customHeight="1" x14ac:dyDescent="0.2"/>
    <row r="8640" ht="12.75" customHeight="1" x14ac:dyDescent="0.2"/>
    <row r="8641" ht="12.75" customHeight="1" x14ac:dyDescent="0.2"/>
    <row r="8642" ht="12.75" customHeight="1" x14ac:dyDescent="0.2"/>
    <row r="8643" ht="12.75" customHeight="1" x14ac:dyDescent="0.2"/>
    <row r="8644" ht="12.75" customHeight="1" x14ac:dyDescent="0.2"/>
    <row r="8645" ht="12.75" customHeight="1" x14ac:dyDescent="0.2"/>
    <row r="8646" ht="12.75" customHeight="1" x14ac:dyDescent="0.2"/>
    <row r="8647" ht="12.75" customHeight="1" x14ac:dyDescent="0.2"/>
    <row r="8648" ht="12.75" customHeight="1" x14ac:dyDescent="0.2"/>
    <row r="8649" ht="12.75" customHeight="1" x14ac:dyDescent="0.2"/>
    <row r="8650" ht="12.75" customHeight="1" x14ac:dyDescent="0.2"/>
    <row r="8651" ht="12.75" customHeight="1" x14ac:dyDescent="0.2"/>
    <row r="8652" ht="12.75" customHeight="1" x14ac:dyDescent="0.2"/>
    <row r="8653" ht="12.75" customHeight="1" x14ac:dyDescent="0.2"/>
    <row r="8654" ht="12.75" customHeight="1" x14ac:dyDescent="0.2"/>
    <row r="8655" ht="12.75" customHeight="1" x14ac:dyDescent="0.2"/>
    <row r="8656" ht="12.75" customHeight="1" x14ac:dyDescent="0.2"/>
    <row r="8657" ht="12.75" customHeight="1" x14ac:dyDescent="0.2"/>
    <row r="8658" ht="12.75" customHeight="1" x14ac:dyDescent="0.2"/>
    <row r="8659" ht="12.75" customHeight="1" x14ac:dyDescent="0.2"/>
    <row r="8660" ht="12.75" customHeight="1" x14ac:dyDescent="0.2"/>
    <row r="8661" ht="12.75" customHeight="1" x14ac:dyDescent="0.2"/>
    <row r="8662" ht="12.75" customHeight="1" x14ac:dyDescent="0.2"/>
    <row r="8663" ht="12.75" customHeight="1" x14ac:dyDescent="0.2"/>
    <row r="8664" ht="12.75" customHeight="1" x14ac:dyDescent="0.2"/>
    <row r="8665" ht="12.75" customHeight="1" x14ac:dyDescent="0.2"/>
    <row r="8666" ht="12.75" customHeight="1" x14ac:dyDescent="0.2"/>
    <row r="8667" ht="12.75" customHeight="1" x14ac:dyDescent="0.2"/>
    <row r="8668" ht="12.75" customHeight="1" x14ac:dyDescent="0.2"/>
    <row r="8669" ht="12.75" customHeight="1" x14ac:dyDescent="0.2"/>
    <row r="8670" ht="12.75" customHeight="1" x14ac:dyDescent="0.2"/>
    <row r="8671" ht="12.75" customHeight="1" x14ac:dyDescent="0.2"/>
    <row r="8672" ht="12.75" customHeight="1" x14ac:dyDescent="0.2"/>
    <row r="8673" ht="12.75" customHeight="1" x14ac:dyDescent="0.2"/>
    <row r="8674" ht="12.75" customHeight="1" x14ac:dyDescent="0.2"/>
    <row r="8675" ht="12.75" customHeight="1" x14ac:dyDescent="0.2"/>
    <row r="8676" ht="12.75" customHeight="1" x14ac:dyDescent="0.2"/>
    <row r="8677" ht="12.75" customHeight="1" x14ac:dyDescent="0.2"/>
    <row r="8678" ht="12.75" customHeight="1" x14ac:dyDescent="0.2"/>
    <row r="8679" ht="12.75" customHeight="1" x14ac:dyDescent="0.2"/>
    <row r="8680" ht="12.75" customHeight="1" x14ac:dyDescent="0.2"/>
    <row r="8681" ht="12.75" customHeight="1" x14ac:dyDescent="0.2"/>
    <row r="8682" ht="12.75" customHeight="1" x14ac:dyDescent="0.2"/>
    <row r="8683" ht="12.75" customHeight="1" x14ac:dyDescent="0.2"/>
    <row r="8684" ht="12.75" customHeight="1" x14ac:dyDescent="0.2"/>
    <row r="8685" ht="12.75" customHeight="1" x14ac:dyDescent="0.2"/>
    <row r="8686" ht="12.75" customHeight="1" x14ac:dyDescent="0.2"/>
    <row r="8687" ht="12.75" customHeight="1" x14ac:dyDescent="0.2"/>
    <row r="8688" ht="12.75" customHeight="1" x14ac:dyDescent="0.2"/>
    <row r="8689" ht="12.75" customHeight="1" x14ac:dyDescent="0.2"/>
    <row r="8690" ht="12.75" customHeight="1" x14ac:dyDescent="0.2"/>
    <row r="8691" ht="12.75" customHeight="1" x14ac:dyDescent="0.2"/>
    <row r="8692" ht="12.75" customHeight="1" x14ac:dyDescent="0.2"/>
    <row r="8693" ht="12.75" customHeight="1" x14ac:dyDescent="0.2"/>
    <row r="8694" ht="12.75" customHeight="1" x14ac:dyDescent="0.2"/>
    <row r="8695" ht="12.75" customHeight="1" x14ac:dyDescent="0.2"/>
    <row r="8696" ht="12.75" customHeight="1" x14ac:dyDescent="0.2"/>
    <row r="8697" ht="12.75" customHeight="1" x14ac:dyDescent="0.2"/>
    <row r="8698" ht="12.75" customHeight="1" x14ac:dyDescent="0.2"/>
    <row r="8699" ht="12.75" customHeight="1" x14ac:dyDescent="0.2"/>
    <row r="8700" ht="12.75" customHeight="1" x14ac:dyDescent="0.2"/>
    <row r="8701" ht="12.75" customHeight="1" x14ac:dyDescent="0.2"/>
    <row r="8702" ht="12.75" customHeight="1" x14ac:dyDescent="0.2"/>
    <row r="8703" ht="12.75" customHeight="1" x14ac:dyDescent="0.2"/>
    <row r="8704" ht="12.75" customHeight="1" x14ac:dyDescent="0.2"/>
    <row r="8705" ht="12.75" customHeight="1" x14ac:dyDescent="0.2"/>
    <row r="8706" ht="12.75" customHeight="1" x14ac:dyDescent="0.2"/>
    <row r="8707" ht="12.75" customHeight="1" x14ac:dyDescent="0.2"/>
    <row r="8708" ht="12.75" customHeight="1" x14ac:dyDescent="0.2"/>
    <row r="8709" ht="12.75" customHeight="1" x14ac:dyDescent="0.2"/>
    <row r="8710" ht="12.75" customHeight="1" x14ac:dyDescent="0.2"/>
    <row r="8711" ht="12.75" customHeight="1" x14ac:dyDescent="0.2"/>
    <row r="8712" ht="12.75" customHeight="1" x14ac:dyDescent="0.2"/>
    <row r="8713" ht="12.75" customHeight="1" x14ac:dyDescent="0.2"/>
    <row r="8714" ht="12.75" customHeight="1" x14ac:dyDescent="0.2"/>
    <row r="8715" ht="12.75" customHeight="1" x14ac:dyDescent="0.2"/>
    <row r="8716" ht="12.75" customHeight="1" x14ac:dyDescent="0.2"/>
    <row r="8717" ht="12.75" customHeight="1" x14ac:dyDescent="0.2"/>
    <row r="8718" ht="12.75" customHeight="1" x14ac:dyDescent="0.2"/>
    <row r="8719" ht="12.75" customHeight="1" x14ac:dyDescent="0.2"/>
    <row r="8720" ht="12.75" customHeight="1" x14ac:dyDescent="0.2"/>
    <row r="8721" ht="12.75" customHeight="1" x14ac:dyDescent="0.2"/>
    <row r="8722" ht="12.75" customHeight="1" x14ac:dyDescent="0.2"/>
    <row r="8723" ht="12.75" customHeight="1" x14ac:dyDescent="0.2"/>
    <row r="8724" ht="12.75" customHeight="1" x14ac:dyDescent="0.2"/>
    <row r="8725" ht="12.75" customHeight="1" x14ac:dyDescent="0.2"/>
    <row r="8726" ht="12.75" customHeight="1" x14ac:dyDescent="0.2"/>
    <row r="8727" ht="12.75" customHeight="1" x14ac:dyDescent="0.2"/>
    <row r="8728" ht="12.75" customHeight="1" x14ac:dyDescent="0.2"/>
    <row r="8729" ht="12.75" customHeight="1" x14ac:dyDescent="0.2"/>
    <row r="8730" ht="12.75" customHeight="1" x14ac:dyDescent="0.2"/>
    <row r="8731" ht="12.75" customHeight="1" x14ac:dyDescent="0.2"/>
    <row r="8732" ht="12.75" customHeight="1" x14ac:dyDescent="0.2"/>
    <row r="8733" ht="12.75" customHeight="1" x14ac:dyDescent="0.2"/>
    <row r="8734" ht="12.75" customHeight="1" x14ac:dyDescent="0.2"/>
    <row r="8735" ht="12.75" customHeight="1" x14ac:dyDescent="0.2"/>
    <row r="8736" ht="12.75" customHeight="1" x14ac:dyDescent="0.2"/>
    <row r="8737" ht="12.75" customHeight="1" x14ac:dyDescent="0.2"/>
    <row r="8738" ht="12.75" customHeight="1" x14ac:dyDescent="0.2"/>
    <row r="8739" ht="12.75" customHeight="1" x14ac:dyDescent="0.2"/>
    <row r="8740" ht="12.75" customHeight="1" x14ac:dyDescent="0.2"/>
    <row r="8741" ht="12.75" customHeight="1" x14ac:dyDescent="0.2"/>
    <row r="8742" ht="12.75" customHeight="1" x14ac:dyDescent="0.2"/>
    <row r="8743" ht="12.75" customHeight="1" x14ac:dyDescent="0.2"/>
    <row r="8744" ht="12.75" customHeight="1" x14ac:dyDescent="0.2"/>
    <row r="8745" ht="12.75" customHeight="1" x14ac:dyDescent="0.2"/>
    <row r="8746" ht="12.75" customHeight="1" x14ac:dyDescent="0.2"/>
    <row r="8747" ht="12.75" customHeight="1" x14ac:dyDescent="0.2"/>
    <row r="8748" ht="12.75" customHeight="1" x14ac:dyDescent="0.2"/>
    <row r="8749" ht="12.75" customHeight="1" x14ac:dyDescent="0.2"/>
    <row r="8750" ht="12.75" customHeight="1" x14ac:dyDescent="0.2"/>
    <row r="8751" ht="12.75" customHeight="1" x14ac:dyDescent="0.2"/>
    <row r="8752" ht="12.75" customHeight="1" x14ac:dyDescent="0.2"/>
    <row r="8753" ht="12.75" customHeight="1" x14ac:dyDescent="0.2"/>
    <row r="8754" ht="12.75" customHeight="1" x14ac:dyDescent="0.2"/>
    <row r="8755" ht="12.75" customHeight="1" x14ac:dyDescent="0.2"/>
    <row r="8756" ht="12.75" customHeight="1" x14ac:dyDescent="0.2"/>
    <row r="8757" ht="12.75" customHeight="1" x14ac:dyDescent="0.2"/>
    <row r="8758" ht="12.75" customHeight="1" x14ac:dyDescent="0.2"/>
    <row r="8759" ht="12.75" customHeight="1" x14ac:dyDescent="0.2"/>
    <row r="8760" ht="12.75" customHeight="1" x14ac:dyDescent="0.2"/>
    <row r="8761" ht="12.75" customHeight="1" x14ac:dyDescent="0.2"/>
    <row r="8762" ht="12.75" customHeight="1" x14ac:dyDescent="0.2"/>
    <row r="8763" ht="12.75" customHeight="1" x14ac:dyDescent="0.2"/>
    <row r="8764" ht="12.75" customHeight="1" x14ac:dyDescent="0.2"/>
    <row r="8765" ht="12.75" customHeight="1" x14ac:dyDescent="0.2"/>
    <row r="8766" ht="12.75" customHeight="1" x14ac:dyDescent="0.2"/>
    <row r="8767" ht="12.75" customHeight="1" x14ac:dyDescent="0.2"/>
    <row r="8768" ht="12.75" customHeight="1" x14ac:dyDescent="0.2"/>
    <row r="8769" ht="12.75" customHeight="1" x14ac:dyDescent="0.2"/>
    <row r="8770" ht="12.75" customHeight="1" x14ac:dyDescent="0.2"/>
    <row r="8771" ht="12.75" customHeight="1" x14ac:dyDescent="0.2"/>
    <row r="8772" ht="12.75" customHeight="1" x14ac:dyDescent="0.2"/>
    <row r="8773" ht="12.75" customHeight="1" x14ac:dyDescent="0.2"/>
    <row r="8774" ht="12.75" customHeight="1" x14ac:dyDescent="0.2"/>
    <row r="8775" ht="12.75" customHeight="1" x14ac:dyDescent="0.2"/>
    <row r="8776" ht="12.75" customHeight="1" x14ac:dyDescent="0.2"/>
    <row r="8777" ht="12.75" customHeight="1" x14ac:dyDescent="0.2"/>
    <row r="8778" ht="12.75" customHeight="1" x14ac:dyDescent="0.2"/>
    <row r="8779" ht="12.75" customHeight="1" x14ac:dyDescent="0.2"/>
    <row r="8780" ht="12.75" customHeight="1" x14ac:dyDescent="0.2"/>
    <row r="8781" ht="12.75" customHeight="1" x14ac:dyDescent="0.2"/>
    <row r="8782" ht="12.75" customHeight="1" x14ac:dyDescent="0.2"/>
    <row r="8783" ht="12.75" customHeight="1" x14ac:dyDescent="0.2"/>
    <row r="8784" ht="12.75" customHeight="1" x14ac:dyDescent="0.2"/>
    <row r="8785" ht="12.75" customHeight="1" x14ac:dyDescent="0.2"/>
    <row r="8786" ht="12.75" customHeight="1" x14ac:dyDescent="0.2"/>
    <row r="8787" ht="12.75" customHeight="1" x14ac:dyDescent="0.2"/>
    <row r="8788" ht="12.75" customHeight="1" x14ac:dyDescent="0.2"/>
    <row r="8789" ht="12.75" customHeight="1" x14ac:dyDescent="0.2"/>
    <row r="8790" ht="12.75" customHeight="1" x14ac:dyDescent="0.2"/>
    <row r="8791" ht="12.75" customHeight="1" x14ac:dyDescent="0.2"/>
    <row r="8792" ht="12.75" customHeight="1" x14ac:dyDescent="0.2"/>
    <row r="8793" ht="12.75" customHeight="1" x14ac:dyDescent="0.2"/>
    <row r="8794" ht="12.75" customHeight="1" x14ac:dyDescent="0.2"/>
    <row r="8795" ht="12.75" customHeight="1" x14ac:dyDescent="0.2"/>
    <row r="8796" ht="12.75" customHeight="1" x14ac:dyDescent="0.2"/>
    <row r="8797" ht="12.75" customHeight="1" x14ac:dyDescent="0.2"/>
    <row r="8798" ht="12.75" customHeight="1" x14ac:dyDescent="0.2"/>
    <row r="8799" ht="12.75" customHeight="1" x14ac:dyDescent="0.2"/>
    <row r="8800" ht="12.75" customHeight="1" x14ac:dyDescent="0.2"/>
    <row r="8801" ht="12.75" customHeight="1" x14ac:dyDescent="0.2"/>
    <row r="8802" ht="12.75" customHeight="1" x14ac:dyDescent="0.2"/>
    <row r="8803" ht="12.75" customHeight="1" x14ac:dyDescent="0.2"/>
    <row r="8804" ht="12.75" customHeight="1" x14ac:dyDescent="0.2"/>
    <row r="8805" ht="12.75" customHeight="1" x14ac:dyDescent="0.2"/>
    <row r="8806" ht="12.75" customHeight="1" x14ac:dyDescent="0.2"/>
    <row r="8807" ht="12.75" customHeight="1" x14ac:dyDescent="0.2"/>
    <row r="8808" ht="12.75" customHeight="1" x14ac:dyDescent="0.2"/>
    <row r="8809" ht="12.75" customHeight="1" x14ac:dyDescent="0.2"/>
    <row r="8810" ht="12.75" customHeight="1" x14ac:dyDescent="0.2"/>
    <row r="8811" ht="12.75" customHeight="1" x14ac:dyDescent="0.2"/>
    <row r="8812" ht="12.75" customHeight="1" x14ac:dyDescent="0.2"/>
    <row r="8813" ht="12.75" customHeight="1" x14ac:dyDescent="0.2"/>
    <row r="8814" ht="12.75" customHeight="1" x14ac:dyDescent="0.2"/>
    <row r="8815" ht="12.75" customHeight="1" x14ac:dyDescent="0.2"/>
    <row r="8816" ht="12.75" customHeight="1" x14ac:dyDescent="0.2"/>
    <row r="8817" ht="12.75" customHeight="1" x14ac:dyDescent="0.2"/>
    <row r="8818" ht="12.75" customHeight="1" x14ac:dyDescent="0.2"/>
    <row r="8819" ht="12.75" customHeight="1" x14ac:dyDescent="0.2"/>
    <row r="8820" ht="12.75" customHeight="1" x14ac:dyDescent="0.2"/>
    <row r="8821" ht="12.75" customHeight="1" x14ac:dyDescent="0.2"/>
    <row r="8822" ht="12.75" customHeight="1" x14ac:dyDescent="0.2"/>
    <row r="8823" ht="12.75" customHeight="1" x14ac:dyDescent="0.2"/>
    <row r="8824" ht="12.75" customHeight="1" x14ac:dyDescent="0.2"/>
    <row r="8825" ht="12.75" customHeight="1" x14ac:dyDescent="0.2"/>
    <row r="8826" ht="12.75" customHeight="1" x14ac:dyDescent="0.2"/>
    <row r="8827" ht="12.75" customHeight="1" x14ac:dyDescent="0.2"/>
    <row r="8828" ht="12.75" customHeight="1" x14ac:dyDescent="0.2"/>
    <row r="8829" ht="12.75" customHeight="1" x14ac:dyDescent="0.2"/>
    <row r="8830" ht="12.75" customHeight="1" x14ac:dyDescent="0.2"/>
    <row r="8831" ht="12.75" customHeight="1" x14ac:dyDescent="0.2"/>
    <row r="8832" ht="12.75" customHeight="1" x14ac:dyDescent="0.2"/>
    <row r="8833" ht="12.75" customHeight="1" x14ac:dyDescent="0.2"/>
    <row r="8834" ht="12.75" customHeight="1" x14ac:dyDescent="0.2"/>
    <row r="8835" ht="12.75" customHeight="1" x14ac:dyDescent="0.2"/>
    <row r="8836" ht="12.75" customHeight="1" x14ac:dyDescent="0.2"/>
    <row r="8837" ht="12.75" customHeight="1" x14ac:dyDescent="0.2"/>
    <row r="8838" ht="12.75" customHeight="1" x14ac:dyDescent="0.2"/>
    <row r="8839" ht="12.75" customHeight="1" x14ac:dyDescent="0.2"/>
    <row r="8840" ht="12.75" customHeight="1" x14ac:dyDescent="0.2"/>
    <row r="8841" ht="12.75" customHeight="1" x14ac:dyDescent="0.2"/>
    <row r="8842" ht="12.75" customHeight="1" x14ac:dyDescent="0.2"/>
    <row r="8843" ht="12.75" customHeight="1" x14ac:dyDescent="0.2"/>
    <row r="8844" ht="12.75" customHeight="1" x14ac:dyDescent="0.2"/>
    <row r="8845" ht="12.75" customHeight="1" x14ac:dyDescent="0.2"/>
    <row r="8846" ht="12.75" customHeight="1" x14ac:dyDescent="0.2"/>
    <row r="8847" ht="12.75" customHeight="1" x14ac:dyDescent="0.2"/>
    <row r="8848" ht="12.75" customHeight="1" x14ac:dyDescent="0.2"/>
    <row r="8849" ht="12.75" customHeight="1" x14ac:dyDescent="0.2"/>
    <row r="8850" ht="12.75" customHeight="1" x14ac:dyDescent="0.2"/>
    <row r="8851" ht="12.75" customHeight="1" x14ac:dyDescent="0.2"/>
    <row r="8852" ht="12.75" customHeight="1" x14ac:dyDescent="0.2"/>
    <row r="8853" ht="12.75" customHeight="1" x14ac:dyDescent="0.2"/>
    <row r="8854" ht="12.75" customHeight="1" x14ac:dyDescent="0.2"/>
    <row r="8855" ht="12.75" customHeight="1" x14ac:dyDescent="0.2"/>
    <row r="8856" ht="12.75" customHeight="1" x14ac:dyDescent="0.2"/>
    <row r="8857" ht="12.75" customHeight="1" x14ac:dyDescent="0.2"/>
    <row r="8858" ht="12.75" customHeight="1" x14ac:dyDescent="0.2"/>
    <row r="8859" ht="12.75" customHeight="1" x14ac:dyDescent="0.2"/>
    <row r="8860" ht="12.75" customHeight="1" x14ac:dyDescent="0.2"/>
    <row r="8861" ht="12.75" customHeight="1" x14ac:dyDescent="0.2"/>
    <row r="8862" ht="12.75" customHeight="1" x14ac:dyDescent="0.2"/>
    <row r="8863" ht="12.75" customHeight="1" x14ac:dyDescent="0.2"/>
    <row r="8864" ht="12.75" customHeight="1" x14ac:dyDescent="0.2"/>
    <row r="8865" ht="12.75" customHeight="1" x14ac:dyDescent="0.2"/>
    <row r="8866" ht="12.75" customHeight="1" x14ac:dyDescent="0.2"/>
    <row r="8867" ht="12.75" customHeight="1" x14ac:dyDescent="0.2"/>
    <row r="8868" ht="12.75" customHeight="1" x14ac:dyDescent="0.2"/>
    <row r="8869" ht="12.75" customHeight="1" x14ac:dyDescent="0.2"/>
    <row r="8870" ht="12.75" customHeight="1" x14ac:dyDescent="0.2"/>
    <row r="8871" ht="12.75" customHeight="1" x14ac:dyDescent="0.2"/>
    <row r="8872" ht="12.75" customHeight="1" x14ac:dyDescent="0.2"/>
    <row r="8873" ht="12.75" customHeight="1" x14ac:dyDescent="0.2"/>
    <row r="8874" ht="12.75" customHeight="1" x14ac:dyDescent="0.2"/>
    <row r="8875" ht="12.75" customHeight="1" x14ac:dyDescent="0.2"/>
    <row r="8876" ht="12.75" customHeight="1" x14ac:dyDescent="0.2"/>
    <row r="8877" ht="12.75" customHeight="1" x14ac:dyDescent="0.2"/>
    <row r="8878" ht="12.75" customHeight="1" x14ac:dyDescent="0.2"/>
    <row r="8879" ht="12.75" customHeight="1" x14ac:dyDescent="0.2"/>
    <row r="8880" ht="12.75" customHeight="1" x14ac:dyDescent="0.2"/>
    <row r="8881" ht="12.75" customHeight="1" x14ac:dyDescent="0.2"/>
    <row r="8882" ht="12.75" customHeight="1" x14ac:dyDescent="0.2"/>
    <row r="8883" ht="12.75" customHeight="1" x14ac:dyDescent="0.2"/>
    <row r="8884" ht="12.75" customHeight="1" x14ac:dyDescent="0.2"/>
    <row r="8885" ht="12.75" customHeight="1" x14ac:dyDescent="0.2"/>
    <row r="8886" ht="12.75" customHeight="1" x14ac:dyDescent="0.2"/>
    <row r="8887" ht="12.75" customHeight="1" x14ac:dyDescent="0.2"/>
    <row r="8888" ht="12.75" customHeight="1" x14ac:dyDescent="0.2"/>
    <row r="8889" ht="12.75" customHeight="1" x14ac:dyDescent="0.2"/>
    <row r="8890" ht="12.75" customHeight="1" x14ac:dyDescent="0.2"/>
    <row r="8891" ht="12.75" customHeight="1" x14ac:dyDescent="0.2"/>
    <row r="8892" ht="12.75" customHeight="1" x14ac:dyDescent="0.2"/>
    <row r="8893" ht="12.75" customHeight="1" x14ac:dyDescent="0.2"/>
    <row r="8894" ht="12.75" customHeight="1" x14ac:dyDescent="0.2"/>
    <row r="8895" ht="12.75" customHeight="1" x14ac:dyDescent="0.2"/>
    <row r="8896" ht="12.75" customHeight="1" x14ac:dyDescent="0.2"/>
    <row r="8897" ht="12.75" customHeight="1" x14ac:dyDescent="0.2"/>
    <row r="8898" ht="12.75" customHeight="1" x14ac:dyDescent="0.2"/>
    <row r="8899" ht="12.75" customHeight="1" x14ac:dyDescent="0.2"/>
    <row r="8900" ht="12.75" customHeight="1" x14ac:dyDescent="0.2"/>
    <row r="8901" ht="12.75" customHeight="1" x14ac:dyDescent="0.2"/>
    <row r="8902" ht="12.75" customHeight="1" x14ac:dyDescent="0.2"/>
    <row r="8903" ht="12.75" customHeight="1" x14ac:dyDescent="0.2"/>
    <row r="8904" ht="12.75" customHeight="1" x14ac:dyDescent="0.2"/>
    <row r="8905" ht="12.75" customHeight="1" x14ac:dyDescent="0.2"/>
    <row r="8906" ht="12.75" customHeight="1" x14ac:dyDescent="0.2"/>
    <row r="8907" ht="12.75" customHeight="1" x14ac:dyDescent="0.2"/>
    <row r="8908" ht="12.75" customHeight="1" x14ac:dyDescent="0.2"/>
    <row r="8909" ht="12.75" customHeight="1" x14ac:dyDescent="0.2"/>
    <row r="8910" ht="12.75" customHeight="1" x14ac:dyDescent="0.2"/>
    <row r="8911" ht="12.75" customHeight="1" x14ac:dyDescent="0.2"/>
    <row r="8912" ht="12.75" customHeight="1" x14ac:dyDescent="0.2"/>
    <row r="8913" ht="12.75" customHeight="1" x14ac:dyDescent="0.2"/>
    <row r="8914" ht="12.75" customHeight="1" x14ac:dyDescent="0.2"/>
    <row r="8915" ht="12.75" customHeight="1" x14ac:dyDescent="0.2"/>
    <row r="8916" ht="12.75" customHeight="1" x14ac:dyDescent="0.2"/>
    <row r="8917" ht="12.75" customHeight="1" x14ac:dyDescent="0.2"/>
    <row r="8918" ht="12.75" customHeight="1" x14ac:dyDescent="0.2"/>
    <row r="8919" ht="12.75" customHeight="1" x14ac:dyDescent="0.2"/>
    <row r="8920" ht="12.75" customHeight="1" x14ac:dyDescent="0.2"/>
    <row r="8921" ht="12.75" customHeight="1" x14ac:dyDescent="0.2"/>
    <row r="8922" ht="12.75" customHeight="1" x14ac:dyDescent="0.2"/>
    <row r="8923" ht="12.75" customHeight="1" x14ac:dyDescent="0.2"/>
    <row r="8924" ht="12.75" customHeight="1" x14ac:dyDescent="0.2"/>
    <row r="8925" ht="12.75" customHeight="1" x14ac:dyDescent="0.2"/>
    <row r="8926" ht="12.75" customHeight="1" x14ac:dyDescent="0.2"/>
    <row r="8927" ht="12.75" customHeight="1" x14ac:dyDescent="0.2"/>
    <row r="8928" ht="12.75" customHeight="1" x14ac:dyDescent="0.2"/>
    <row r="8929" ht="12.75" customHeight="1" x14ac:dyDescent="0.2"/>
    <row r="8930" ht="12.75" customHeight="1" x14ac:dyDescent="0.2"/>
    <row r="8931" ht="12.75" customHeight="1" x14ac:dyDescent="0.2"/>
    <row r="8932" ht="12.75" customHeight="1" x14ac:dyDescent="0.2"/>
    <row r="8933" ht="12.75" customHeight="1" x14ac:dyDescent="0.2"/>
    <row r="8934" ht="12.75" customHeight="1" x14ac:dyDescent="0.2"/>
    <row r="8935" ht="12.75" customHeight="1" x14ac:dyDescent="0.2"/>
    <row r="8936" ht="12.75" customHeight="1" x14ac:dyDescent="0.2"/>
    <row r="8937" ht="12.75" customHeight="1" x14ac:dyDescent="0.2"/>
    <row r="8938" ht="12.75" customHeight="1" x14ac:dyDescent="0.2"/>
    <row r="8939" ht="12.75" customHeight="1" x14ac:dyDescent="0.2"/>
    <row r="8940" ht="12.75" customHeight="1" x14ac:dyDescent="0.2"/>
    <row r="8941" ht="12.75" customHeight="1" x14ac:dyDescent="0.2"/>
    <row r="8942" ht="12.75" customHeight="1" x14ac:dyDescent="0.2"/>
    <row r="8943" ht="12.75" customHeight="1" x14ac:dyDescent="0.2"/>
    <row r="8944" ht="12.75" customHeight="1" x14ac:dyDescent="0.2"/>
    <row r="8945" ht="12.75" customHeight="1" x14ac:dyDescent="0.2"/>
    <row r="8946" ht="12.75" customHeight="1" x14ac:dyDescent="0.2"/>
    <row r="8947" ht="12.75" customHeight="1" x14ac:dyDescent="0.2"/>
    <row r="8948" ht="12.75" customHeight="1" x14ac:dyDescent="0.2"/>
    <row r="8949" ht="12.75" customHeight="1" x14ac:dyDescent="0.2"/>
    <row r="8950" ht="12.75" customHeight="1" x14ac:dyDescent="0.2"/>
    <row r="8951" ht="12.75" customHeight="1" x14ac:dyDescent="0.2"/>
    <row r="8952" ht="12.75" customHeight="1" x14ac:dyDescent="0.2"/>
    <row r="8953" ht="12.75" customHeight="1" x14ac:dyDescent="0.2"/>
    <row r="8954" ht="12.75" customHeight="1" x14ac:dyDescent="0.2"/>
    <row r="8955" ht="12.75" customHeight="1" x14ac:dyDescent="0.2"/>
    <row r="8956" ht="12.75" customHeight="1" x14ac:dyDescent="0.2"/>
    <row r="8957" ht="12.75" customHeight="1" x14ac:dyDescent="0.2"/>
    <row r="8958" ht="12.75" customHeight="1" x14ac:dyDescent="0.2"/>
    <row r="8959" ht="12.75" customHeight="1" x14ac:dyDescent="0.2"/>
    <row r="8960" ht="12.75" customHeight="1" x14ac:dyDescent="0.2"/>
    <row r="8961" ht="12.75" customHeight="1" x14ac:dyDescent="0.2"/>
    <row r="8962" ht="12.75" customHeight="1" x14ac:dyDescent="0.2"/>
    <row r="8963" ht="12.75" customHeight="1" x14ac:dyDescent="0.2"/>
    <row r="8964" ht="12.75" customHeight="1" x14ac:dyDescent="0.2"/>
    <row r="8965" ht="12.75" customHeight="1" x14ac:dyDescent="0.2"/>
    <row r="8966" ht="12.75" customHeight="1" x14ac:dyDescent="0.2"/>
    <row r="8967" ht="12.75" customHeight="1" x14ac:dyDescent="0.2"/>
    <row r="8968" ht="12.75" customHeight="1" x14ac:dyDescent="0.2"/>
    <row r="8969" ht="12.75" customHeight="1" x14ac:dyDescent="0.2"/>
    <row r="8970" ht="12.75" customHeight="1" x14ac:dyDescent="0.2"/>
    <row r="8971" ht="12.75" customHeight="1" x14ac:dyDescent="0.2"/>
    <row r="8972" ht="12.75" customHeight="1" x14ac:dyDescent="0.2"/>
    <row r="8973" ht="12.75" customHeight="1" x14ac:dyDescent="0.2"/>
    <row r="8974" ht="12.75" customHeight="1" x14ac:dyDescent="0.2"/>
    <row r="8975" ht="12.75" customHeight="1" x14ac:dyDescent="0.2"/>
    <row r="8976" ht="12.75" customHeight="1" x14ac:dyDescent="0.2"/>
    <row r="8977" ht="12.75" customHeight="1" x14ac:dyDescent="0.2"/>
    <row r="8978" ht="12.75" customHeight="1" x14ac:dyDescent="0.2"/>
    <row r="8979" ht="12.75" customHeight="1" x14ac:dyDescent="0.2"/>
    <row r="8980" ht="12.75" customHeight="1" x14ac:dyDescent="0.2"/>
    <row r="8981" ht="12.75" customHeight="1" x14ac:dyDescent="0.2"/>
    <row r="8982" ht="12.75" customHeight="1" x14ac:dyDescent="0.2"/>
    <row r="8983" ht="12.75" customHeight="1" x14ac:dyDescent="0.2"/>
    <row r="8984" ht="12.75" customHeight="1" x14ac:dyDescent="0.2"/>
    <row r="8985" ht="12.75" customHeight="1" x14ac:dyDescent="0.2"/>
    <row r="8986" ht="12.75" customHeight="1" x14ac:dyDescent="0.2"/>
    <row r="8987" ht="12.75" customHeight="1" x14ac:dyDescent="0.2"/>
    <row r="8988" ht="12.75" customHeight="1" x14ac:dyDescent="0.2"/>
    <row r="8989" ht="12.75" customHeight="1" x14ac:dyDescent="0.2"/>
    <row r="8990" ht="12.75" customHeight="1" x14ac:dyDescent="0.2"/>
    <row r="8991" ht="12.75" customHeight="1" x14ac:dyDescent="0.2"/>
    <row r="8992" ht="12.75" customHeight="1" x14ac:dyDescent="0.2"/>
    <row r="8993" ht="12.75" customHeight="1" x14ac:dyDescent="0.2"/>
    <row r="8994" ht="12.75" customHeight="1" x14ac:dyDescent="0.2"/>
    <row r="8995" ht="12.75" customHeight="1" x14ac:dyDescent="0.2"/>
    <row r="8996" ht="12.75" customHeight="1" x14ac:dyDescent="0.2"/>
    <row r="8997" ht="12.75" customHeight="1" x14ac:dyDescent="0.2"/>
    <row r="8998" ht="12.75" customHeight="1" x14ac:dyDescent="0.2"/>
    <row r="8999" ht="12.75" customHeight="1" x14ac:dyDescent="0.2"/>
    <row r="9000" ht="12.75" customHeight="1" x14ac:dyDescent="0.2"/>
    <row r="9001" ht="12.75" customHeight="1" x14ac:dyDescent="0.2"/>
    <row r="9002" ht="12.75" customHeight="1" x14ac:dyDescent="0.2"/>
    <row r="9003" ht="12.75" customHeight="1" x14ac:dyDescent="0.2"/>
    <row r="9004" ht="12.75" customHeight="1" x14ac:dyDescent="0.2"/>
    <row r="9005" ht="12.75" customHeight="1" x14ac:dyDescent="0.2"/>
    <row r="9006" ht="12.75" customHeight="1" x14ac:dyDescent="0.2"/>
    <row r="9007" ht="12.75" customHeight="1" x14ac:dyDescent="0.2"/>
    <row r="9008" ht="12.75" customHeight="1" x14ac:dyDescent="0.2"/>
    <row r="9009" ht="12.75" customHeight="1" x14ac:dyDescent="0.2"/>
    <row r="9010" ht="12.75" customHeight="1" x14ac:dyDescent="0.2"/>
    <row r="9011" ht="12.75" customHeight="1" x14ac:dyDescent="0.2"/>
    <row r="9012" ht="12.75" customHeight="1" x14ac:dyDescent="0.2"/>
    <row r="9013" ht="12.75" customHeight="1" x14ac:dyDescent="0.2"/>
    <row r="9014" ht="12.75" customHeight="1" x14ac:dyDescent="0.2"/>
    <row r="9015" ht="12.75" customHeight="1" x14ac:dyDescent="0.2"/>
    <row r="9016" ht="12.75" customHeight="1" x14ac:dyDescent="0.2"/>
    <row r="9017" ht="12.75" customHeight="1" x14ac:dyDescent="0.2"/>
    <row r="9018" ht="12.75" customHeight="1" x14ac:dyDescent="0.2"/>
    <row r="9019" ht="12.75" customHeight="1" x14ac:dyDescent="0.2"/>
    <row r="9020" ht="12.75" customHeight="1" x14ac:dyDescent="0.2"/>
    <row r="9021" ht="12.75" customHeight="1" x14ac:dyDescent="0.2"/>
    <row r="9022" ht="12.75" customHeight="1" x14ac:dyDescent="0.2"/>
    <row r="9023" ht="12.75" customHeight="1" x14ac:dyDescent="0.2"/>
    <row r="9024" ht="12.75" customHeight="1" x14ac:dyDescent="0.2"/>
    <row r="9025" ht="12.75" customHeight="1" x14ac:dyDescent="0.2"/>
    <row r="9026" ht="12.75" customHeight="1" x14ac:dyDescent="0.2"/>
    <row r="9027" ht="12.75" customHeight="1" x14ac:dyDescent="0.2"/>
    <row r="9028" ht="12.75" customHeight="1" x14ac:dyDescent="0.2"/>
    <row r="9029" ht="12.75" customHeight="1" x14ac:dyDescent="0.2"/>
    <row r="9030" ht="12.75" customHeight="1" x14ac:dyDescent="0.2"/>
    <row r="9031" ht="12.75" customHeight="1" x14ac:dyDescent="0.2"/>
    <row r="9032" ht="12.75" customHeight="1" x14ac:dyDescent="0.2"/>
    <row r="9033" ht="12.75" customHeight="1" x14ac:dyDescent="0.2"/>
    <row r="9034" ht="12.75" customHeight="1" x14ac:dyDescent="0.2"/>
    <row r="9035" ht="12.75" customHeight="1" x14ac:dyDescent="0.2"/>
    <row r="9036" ht="12.75" customHeight="1" x14ac:dyDescent="0.2"/>
    <row r="9037" ht="12.75" customHeight="1" x14ac:dyDescent="0.2"/>
    <row r="9038" ht="12.75" customHeight="1" x14ac:dyDescent="0.2"/>
    <row r="9039" ht="12.75" customHeight="1" x14ac:dyDescent="0.2"/>
    <row r="9040" ht="12.75" customHeight="1" x14ac:dyDescent="0.2"/>
    <row r="9041" ht="12.75" customHeight="1" x14ac:dyDescent="0.2"/>
    <row r="9042" ht="12.75" customHeight="1" x14ac:dyDescent="0.2"/>
    <row r="9043" ht="12.75" customHeight="1" x14ac:dyDescent="0.2"/>
    <row r="9044" ht="12.75" customHeight="1" x14ac:dyDescent="0.2"/>
    <row r="9045" ht="12.75" customHeight="1" x14ac:dyDescent="0.2"/>
    <row r="9046" ht="12.75" customHeight="1" x14ac:dyDescent="0.2"/>
    <row r="9047" ht="12.75" customHeight="1" x14ac:dyDescent="0.2"/>
    <row r="9048" ht="12.75" customHeight="1" x14ac:dyDescent="0.2"/>
    <row r="9049" ht="12.75" customHeight="1" x14ac:dyDescent="0.2"/>
    <row r="9050" ht="12.75" customHeight="1" x14ac:dyDescent="0.2"/>
    <row r="9051" ht="12.75" customHeight="1" x14ac:dyDescent="0.2"/>
    <row r="9052" ht="12.75" customHeight="1" x14ac:dyDescent="0.2"/>
    <row r="9053" ht="12.75" customHeight="1" x14ac:dyDescent="0.2"/>
    <row r="9054" ht="12.75" customHeight="1" x14ac:dyDescent="0.2"/>
    <row r="9055" ht="12.75" customHeight="1" x14ac:dyDescent="0.2"/>
    <row r="9056" ht="12.75" customHeight="1" x14ac:dyDescent="0.2"/>
    <row r="9057" ht="12.75" customHeight="1" x14ac:dyDescent="0.2"/>
    <row r="9058" ht="12.75" customHeight="1" x14ac:dyDescent="0.2"/>
    <row r="9059" ht="12.75" customHeight="1" x14ac:dyDescent="0.2"/>
    <row r="9060" ht="12.75" customHeight="1" x14ac:dyDescent="0.2"/>
    <row r="9061" ht="12.75" customHeight="1" x14ac:dyDescent="0.2"/>
    <row r="9062" ht="12.75" customHeight="1" x14ac:dyDescent="0.2"/>
    <row r="9063" ht="12.75" customHeight="1" x14ac:dyDescent="0.2"/>
    <row r="9064" ht="12.75" customHeight="1" x14ac:dyDescent="0.2"/>
    <row r="9065" ht="12.75" customHeight="1" x14ac:dyDescent="0.2"/>
    <row r="9066" ht="12.75" customHeight="1" x14ac:dyDescent="0.2"/>
    <row r="9067" ht="12.75" customHeight="1" x14ac:dyDescent="0.2"/>
    <row r="9068" ht="12.75" customHeight="1" x14ac:dyDescent="0.2"/>
    <row r="9069" ht="12.75" customHeight="1" x14ac:dyDescent="0.2"/>
    <row r="9070" ht="12.75" customHeight="1" x14ac:dyDescent="0.2"/>
    <row r="9071" ht="12.75" customHeight="1" x14ac:dyDescent="0.2"/>
    <row r="9072" ht="12.75" customHeight="1" x14ac:dyDescent="0.2"/>
    <row r="9073" ht="12.75" customHeight="1" x14ac:dyDescent="0.2"/>
    <row r="9074" ht="12.75" customHeight="1" x14ac:dyDescent="0.2"/>
    <row r="9075" ht="12.75" customHeight="1" x14ac:dyDescent="0.2"/>
    <row r="9076" ht="12.75" customHeight="1" x14ac:dyDescent="0.2"/>
    <row r="9077" ht="12.75" customHeight="1" x14ac:dyDescent="0.2"/>
    <row r="9078" ht="12.75" customHeight="1" x14ac:dyDescent="0.2"/>
    <row r="9079" ht="12.75" customHeight="1" x14ac:dyDescent="0.2"/>
    <row r="9080" ht="12.75" customHeight="1" x14ac:dyDescent="0.2"/>
    <row r="9081" ht="12.75" customHeight="1" x14ac:dyDescent="0.2"/>
    <row r="9082" ht="12.75" customHeight="1" x14ac:dyDescent="0.2"/>
    <row r="9083" ht="12.75" customHeight="1" x14ac:dyDescent="0.2"/>
    <row r="9084" ht="12.75" customHeight="1" x14ac:dyDescent="0.2"/>
    <row r="9085" ht="12.75" customHeight="1" x14ac:dyDescent="0.2"/>
    <row r="9086" ht="12.75" customHeight="1" x14ac:dyDescent="0.2"/>
    <row r="9087" ht="12.75" customHeight="1" x14ac:dyDescent="0.2"/>
    <row r="9088" ht="12.75" customHeight="1" x14ac:dyDescent="0.2"/>
    <row r="9089" ht="12.75" customHeight="1" x14ac:dyDescent="0.2"/>
    <row r="9090" ht="12.75" customHeight="1" x14ac:dyDescent="0.2"/>
    <row r="9091" ht="12.75" customHeight="1" x14ac:dyDescent="0.2"/>
    <row r="9092" ht="12.75" customHeight="1" x14ac:dyDescent="0.2"/>
    <row r="9093" ht="12.75" customHeight="1" x14ac:dyDescent="0.2"/>
    <row r="9094" ht="12.75" customHeight="1" x14ac:dyDescent="0.2"/>
    <row r="9095" ht="12.75" customHeight="1" x14ac:dyDescent="0.2"/>
    <row r="9096" ht="12.75" customHeight="1" x14ac:dyDescent="0.2"/>
    <row r="9097" ht="12.75" customHeight="1" x14ac:dyDescent="0.2"/>
    <row r="9098" ht="12.75" customHeight="1" x14ac:dyDescent="0.2"/>
    <row r="9099" ht="12.75" customHeight="1" x14ac:dyDescent="0.2"/>
    <row r="9100" ht="12.75" customHeight="1" x14ac:dyDescent="0.2"/>
    <row r="9101" ht="12.75" customHeight="1" x14ac:dyDescent="0.2"/>
    <row r="9102" ht="12.75" customHeight="1" x14ac:dyDescent="0.2"/>
    <row r="9103" ht="12.75" customHeight="1" x14ac:dyDescent="0.2"/>
    <row r="9104" ht="12.75" customHeight="1" x14ac:dyDescent="0.2"/>
    <row r="9105" ht="12.75" customHeight="1" x14ac:dyDescent="0.2"/>
    <row r="9106" ht="12.75" customHeight="1" x14ac:dyDescent="0.2"/>
    <row r="9107" ht="12.75" customHeight="1" x14ac:dyDescent="0.2"/>
    <row r="9108" ht="12.75" customHeight="1" x14ac:dyDescent="0.2"/>
    <row r="9109" ht="12.75" customHeight="1" x14ac:dyDescent="0.2"/>
    <row r="9110" ht="12.75" customHeight="1" x14ac:dyDescent="0.2"/>
    <row r="9111" ht="12.75" customHeight="1" x14ac:dyDescent="0.2"/>
    <row r="9112" ht="12.75" customHeight="1" x14ac:dyDescent="0.2"/>
    <row r="9113" ht="12.75" customHeight="1" x14ac:dyDescent="0.2"/>
    <row r="9114" ht="12.75" customHeight="1" x14ac:dyDescent="0.2"/>
    <row r="9115" ht="12.75" customHeight="1" x14ac:dyDescent="0.2"/>
    <row r="9116" ht="12.75" customHeight="1" x14ac:dyDescent="0.2"/>
    <row r="9117" ht="12.75" customHeight="1" x14ac:dyDescent="0.2"/>
    <row r="9118" ht="12.75" customHeight="1" x14ac:dyDescent="0.2"/>
    <row r="9119" ht="12.75" customHeight="1" x14ac:dyDescent="0.2"/>
    <row r="9120" ht="12.75" customHeight="1" x14ac:dyDescent="0.2"/>
    <row r="9121" ht="12.75" customHeight="1" x14ac:dyDescent="0.2"/>
    <row r="9122" ht="12.75" customHeight="1" x14ac:dyDescent="0.2"/>
    <row r="9123" ht="12.75" customHeight="1" x14ac:dyDescent="0.2"/>
    <row r="9124" ht="12.75" customHeight="1" x14ac:dyDescent="0.2"/>
    <row r="9125" ht="12.75" customHeight="1" x14ac:dyDescent="0.2"/>
    <row r="9126" ht="12.75" customHeight="1" x14ac:dyDescent="0.2"/>
    <row r="9127" ht="12.75" customHeight="1" x14ac:dyDescent="0.2"/>
    <row r="9128" ht="12.75" customHeight="1" x14ac:dyDescent="0.2"/>
    <row r="9129" ht="12.75" customHeight="1" x14ac:dyDescent="0.2"/>
    <row r="9130" ht="12.75" customHeight="1" x14ac:dyDescent="0.2"/>
    <row r="9131" ht="12.75" customHeight="1" x14ac:dyDescent="0.2"/>
    <row r="9132" ht="12.75" customHeight="1" x14ac:dyDescent="0.2"/>
    <row r="9133" ht="12.75" customHeight="1" x14ac:dyDescent="0.2"/>
    <row r="9134" ht="12.75" customHeight="1" x14ac:dyDescent="0.2"/>
    <row r="9135" ht="12.75" customHeight="1" x14ac:dyDescent="0.2"/>
    <row r="9136" ht="12.75" customHeight="1" x14ac:dyDescent="0.2"/>
    <row r="9137" ht="12.75" customHeight="1" x14ac:dyDescent="0.2"/>
    <row r="9138" ht="12.75" customHeight="1" x14ac:dyDescent="0.2"/>
    <row r="9139" ht="12.75" customHeight="1" x14ac:dyDescent="0.2"/>
    <row r="9140" ht="12.75" customHeight="1" x14ac:dyDescent="0.2"/>
    <row r="9141" ht="12.75" customHeight="1" x14ac:dyDescent="0.2"/>
    <row r="9142" ht="12.75" customHeight="1" x14ac:dyDescent="0.2"/>
    <row r="9143" ht="12.75" customHeight="1" x14ac:dyDescent="0.2"/>
    <row r="9144" ht="12.75" customHeight="1" x14ac:dyDescent="0.2"/>
    <row r="9145" ht="12.75" customHeight="1" x14ac:dyDescent="0.2"/>
    <row r="9146" ht="12.75" customHeight="1" x14ac:dyDescent="0.2"/>
    <row r="9147" ht="12.75" customHeight="1" x14ac:dyDescent="0.2"/>
    <row r="9148" ht="12.75" customHeight="1" x14ac:dyDescent="0.2"/>
    <row r="9149" ht="12.75" customHeight="1" x14ac:dyDescent="0.2"/>
    <row r="9150" ht="12.75" customHeight="1" x14ac:dyDescent="0.2"/>
    <row r="9151" ht="12.75" customHeight="1" x14ac:dyDescent="0.2"/>
    <row r="9152" ht="12.75" customHeight="1" x14ac:dyDescent="0.2"/>
    <row r="9153" ht="12.75" customHeight="1" x14ac:dyDescent="0.2"/>
    <row r="9154" ht="12.75" customHeight="1" x14ac:dyDescent="0.2"/>
    <row r="9155" ht="12.75" customHeight="1" x14ac:dyDescent="0.2"/>
    <row r="9156" ht="12.75" customHeight="1" x14ac:dyDescent="0.2"/>
    <row r="9157" ht="12.75" customHeight="1" x14ac:dyDescent="0.2"/>
    <row r="9158" ht="12.75" customHeight="1" x14ac:dyDescent="0.2"/>
    <row r="9159" ht="12.75" customHeight="1" x14ac:dyDescent="0.2"/>
    <row r="9160" ht="12.75" customHeight="1" x14ac:dyDescent="0.2"/>
    <row r="9161" ht="12.75" customHeight="1" x14ac:dyDescent="0.2"/>
    <row r="9162" ht="12.75" customHeight="1" x14ac:dyDescent="0.2"/>
    <row r="9163" ht="12.75" customHeight="1" x14ac:dyDescent="0.2"/>
    <row r="9164" ht="12.75" customHeight="1" x14ac:dyDescent="0.2"/>
    <row r="9165" ht="12.75" customHeight="1" x14ac:dyDescent="0.2"/>
    <row r="9166" ht="12.75" customHeight="1" x14ac:dyDescent="0.2"/>
    <row r="9167" ht="12.75" customHeight="1" x14ac:dyDescent="0.2"/>
    <row r="9168" ht="12.75" customHeight="1" x14ac:dyDescent="0.2"/>
    <row r="9169" ht="12.75" customHeight="1" x14ac:dyDescent="0.2"/>
    <row r="9170" ht="12.75" customHeight="1" x14ac:dyDescent="0.2"/>
    <row r="9171" ht="12.75" customHeight="1" x14ac:dyDescent="0.2"/>
    <row r="9172" ht="12.75" customHeight="1" x14ac:dyDescent="0.2"/>
    <row r="9173" ht="12.75" customHeight="1" x14ac:dyDescent="0.2"/>
    <row r="9174" ht="12.75" customHeight="1" x14ac:dyDescent="0.2"/>
    <row r="9175" ht="12.75" customHeight="1" x14ac:dyDescent="0.2"/>
    <row r="9176" ht="12.75" customHeight="1" x14ac:dyDescent="0.2"/>
    <row r="9177" ht="12.75" customHeight="1" x14ac:dyDescent="0.2"/>
    <row r="9178" ht="12.75" customHeight="1" x14ac:dyDescent="0.2"/>
    <row r="9179" ht="12.75" customHeight="1" x14ac:dyDescent="0.2"/>
    <row r="9180" ht="12.75" customHeight="1" x14ac:dyDescent="0.2"/>
    <row r="9181" ht="12.75" customHeight="1" x14ac:dyDescent="0.2"/>
    <row r="9182" ht="12.75" customHeight="1" x14ac:dyDescent="0.2"/>
    <row r="9183" ht="12.75" customHeight="1" x14ac:dyDescent="0.2"/>
    <row r="9184" ht="12.75" customHeight="1" x14ac:dyDescent="0.2"/>
    <row r="9185" ht="12.75" customHeight="1" x14ac:dyDescent="0.2"/>
    <row r="9186" ht="12.75" customHeight="1" x14ac:dyDescent="0.2"/>
    <row r="9187" ht="12.75" customHeight="1" x14ac:dyDescent="0.2"/>
    <row r="9188" ht="12.75" customHeight="1" x14ac:dyDescent="0.2"/>
    <row r="9189" ht="12.75" customHeight="1" x14ac:dyDescent="0.2"/>
    <row r="9190" ht="12.75" customHeight="1" x14ac:dyDescent="0.2"/>
    <row r="9191" ht="12.75" customHeight="1" x14ac:dyDescent="0.2"/>
    <row r="9192" ht="12.75" customHeight="1" x14ac:dyDescent="0.2"/>
    <row r="9193" ht="12.75" customHeight="1" x14ac:dyDescent="0.2"/>
    <row r="9194" ht="12.75" customHeight="1" x14ac:dyDescent="0.2"/>
    <row r="9195" ht="12.75" customHeight="1" x14ac:dyDescent="0.2"/>
    <row r="9196" ht="12.75" customHeight="1" x14ac:dyDescent="0.2"/>
    <row r="9197" ht="12.75" customHeight="1" x14ac:dyDescent="0.2"/>
    <row r="9198" ht="12.75" customHeight="1" x14ac:dyDescent="0.2"/>
    <row r="9199" ht="12.75" customHeight="1" x14ac:dyDescent="0.2"/>
    <row r="9200" ht="12.75" customHeight="1" x14ac:dyDescent="0.2"/>
    <row r="9201" ht="12.75" customHeight="1" x14ac:dyDescent="0.2"/>
    <row r="9202" ht="12.75" customHeight="1" x14ac:dyDescent="0.2"/>
    <row r="9203" ht="12.75" customHeight="1" x14ac:dyDescent="0.2"/>
    <row r="9204" ht="12.75" customHeight="1" x14ac:dyDescent="0.2"/>
    <row r="9205" ht="12.75" customHeight="1" x14ac:dyDescent="0.2"/>
    <row r="9206" ht="12.75" customHeight="1" x14ac:dyDescent="0.2"/>
    <row r="9207" ht="12.75" customHeight="1" x14ac:dyDescent="0.2"/>
    <row r="9208" ht="12.75" customHeight="1" x14ac:dyDescent="0.2"/>
    <row r="9209" ht="12.75" customHeight="1" x14ac:dyDescent="0.2"/>
    <row r="9210" ht="12.75" customHeight="1" x14ac:dyDescent="0.2"/>
    <row r="9211" ht="12.75" customHeight="1" x14ac:dyDescent="0.2"/>
    <row r="9212" ht="12.75" customHeight="1" x14ac:dyDescent="0.2"/>
    <row r="9213" ht="12.75" customHeight="1" x14ac:dyDescent="0.2"/>
    <row r="9214" ht="12.75" customHeight="1" x14ac:dyDescent="0.2"/>
    <row r="9215" ht="12.75" customHeight="1" x14ac:dyDescent="0.2"/>
    <row r="9216" ht="12.75" customHeight="1" x14ac:dyDescent="0.2"/>
    <row r="9217" ht="12.75" customHeight="1" x14ac:dyDescent="0.2"/>
    <row r="9218" ht="12.75" customHeight="1" x14ac:dyDescent="0.2"/>
    <row r="9219" ht="12.75" customHeight="1" x14ac:dyDescent="0.2"/>
    <row r="9220" ht="12.75" customHeight="1" x14ac:dyDescent="0.2"/>
    <row r="9221" ht="12.75" customHeight="1" x14ac:dyDescent="0.2"/>
    <row r="9222" ht="12.75" customHeight="1" x14ac:dyDescent="0.2"/>
    <row r="9223" ht="12.75" customHeight="1" x14ac:dyDescent="0.2"/>
    <row r="9224" ht="12.75" customHeight="1" x14ac:dyDescent="0.2"/>
    <row r="9225" ht="12.75" customHeight="1" x14ac:dyDescent="0.2"/>
    <row r="9226" ht="12.75" customHeight="1" x14ac:dyDescent="0.2"/>
    <row r="9227" ht="12.75" customHeight="1" x14ac:dyDescent="0.2"/>
    <row r="9228" ht="12.75" customHeight="1" x14ac:dyDescent="0.2"/>
    <row r="9229" ht="12.75" customHeight="1" x14ac:dyDescent="0.2"/>
    <row r="9230" ht="12.75" customHeight="1" x14ac:dyDescent="0.2"/>
    <row r="9231" ht="12.75" customHeight="1" x14ac:dyDescent="0.2"/>
    <row r="9232" ht="12.75" customHeight="1" x14ac:dyDescent="0.2"/>
    <row r="9233" ht="12.75" customHeight="1" x14ac:dyDescent="0.2"/>
    <row r="9234" ht="12.75" customHeight="1" x14ac:dyDescent="0.2"/>
    <row r="9235" ht="12.75" customHeight="1" x14ac:dyDescent="0.2"/>
    <row r="9236" ht="12.75" customHeight="1" x14ac:dyDescent="0.2"/>
    <row r="9237" ht="12.75" customHeight="1" x14ac:dyDescent="0.2"/>
    <row r="9238" ht="12.75" customHeight="1" x14ac:dyDescent="0.2"/>
    <row r="9239" ht="12.75" customHeight="1" x14ac:dyDescent="0.2"/>
    <row r="9240" ht="12.75" customHeight="1" x14ac:dyDescent="0.2"/>
    <row r="9241" ht="12.75" customHeight="1" x14ac:dyDescent="0.2"/>
    <row r="9242" ht="12.75" customHeight="1" x14ac:dyDescent="0.2"/>
    <row r="9243" ht="12.75" customHeight="1" x14ac:dyDescent="0.2"/>
    <row r="9244" ht="12.75" customHeight="1" x14ac:dyDescent="0.2"/>
    <row r="9245" ht="12.75" customHeight="1" x14ac:dyDescent="0.2"/>
    <row r="9246" ht="12.75" customHeight="1" x14ac:dyDescent="0.2"/>
    <row r="9247" ht="12.75" customHeight="1" x14ac:dyDescent="0.2"/>
    <row r="9248" ht="12.75" customHeight="1" x14ac:dyDescent="0.2"/>
    <row r="9249" ht="12.75" customHeight="1" x14ac:dyDescent="0.2"/>
    <row r="9250" ht="12.75" customHeight="1" x14ac:dyDescent="0.2"/>
    <row r="9251" ht="12.75" customHeight="1" x14ac:dyDescent="0.2"/>
    <row r="9252" ht="12.75" customHeight="1" x14ac:dyDescent="0.2"/>
    <row r="9253" ht="12.75" customHeight="1" x14ac:dyDescent="0.2"/>
    <row r="9254" ht="12.75" customHeight="1" x14ac:dyDescent="0.2"/>
    <row r="9255" ht="12.75" customHeight="1" x14ac:dyDescent="0.2"/>
    <row r="9256" ht="12.75" customHeight="1" x14ac:dyDescent="0.2"/>
    <row r="9257" ht="12.75" customHeight="1" x14ac:dyDescent="0.2"/>
    <row r="9258" ht="12.75" customHeight="1" x14ac:dyDescent="0.2"/>
    <row r="9259" ht="12.75" customHeight="1" x14ac:dyDescent="0.2"/>
    <row r="9260" ht="12.75" customHeight="1" x14ac:dyDescent="0.2"/>
    <row r="9261" ht="12.75" customHeight="1" x14ac:dyDescent="0.2"/>
    <row r="9262" ht="12.75" customHeight="1" x14ac:dyDescent="0.2"/>
    <row r="9263" ht="12.75" customHeight="1" x14ac:dyDescent="0.2"/>
    <row r="9264" ht="12.75" customHeight="1" x14ac:dyDescent="0.2"/>
    <row r="9265" ht="12.75" customHeight="1" x14ac:dyDescent="0.2"/>
    <row r="9266" ht="12.75" customHeight="1" x14ac:dyDescent="0.2"/>
    <row r="9267" ht="12.75" customHeight="1" x14ac:dyDescent="0.2"/>
    <row r="9268" ht="12.75" customHeight="1" x14ac:dyDescent="0.2"/>
    <row r="9269" ht="12.75" customHeight="1" x14ac:dyDescent="0.2"/>
    <row r="9270" ht="12.75" customHeight="1" x14ac:dyDescent="0.2"/>
    <row r="9271" ht="12.75" customHeight="1" x14ac:dyDescent="0.2"/>
    <row r="9272" ht="12.75" customHeight="1" x14ac:dyDescent="0.2"/>
    <row r="9273" ht="12.75" customHeight="1" x14ac:dyDescent="0.2"/>
    <row r="9274" ht="12.75" customHeight="1" x14ac:dyDescent="0.2"/>
    <row r="9275" ht="12.75" customHeight="1" x14ac:dyDescent="0.2"/>
    <row r="9276" ht="12.75" customHeight="1" x14ac:dyDescent="0.2"/>
    <row r="9277" ht="12.75" customHeight="1" x14ac:dyDescent="0.2"/>
    <row r="9278" ht="12.75" customHeight="1" x14ac:dyDescent="0.2"/>
    <row r="9279" ht="12.75" customHeight="1" x14ac:dyDescent="0.2"/>
    <row r="9280" ht="12.75" customHeight="1" x14ac:dyDescent="0.2"/>
    <row r="9281" ht="12.75" customHeight="1" x14ac:dyDescent="0.2"/>
    <row r="9282" ht="12.75" customHeight="1" x14ac:dyDescent="0.2"/>
    <row r="9283" ht="12.75" customHeight="1" x14ac:dyDescent="0.2"/>
    <row r="9284" ht="12.75" customHeight="1" x14ac:dyDescent="0.2"/>
    <row r="9285" ht="12.75" customHeight="1" x14ac:dyDescent="0.2"/>
    <row r="9286" ht="12.75" customHeight="1" x14ac:dyDescent="0.2"/>
    <row r="9287" ht="12.75" customHeight="1" x14ac:dyDescent="0.2"/>
    <row r="9288" ht="12.75" customHeight="1" x14ac:dyDescent="0.2"/>
    <row r="9289" ht="12.75" customHeight="1" x14ac:dyDescent="0.2"/>
    <row r="9290" ht="12.75" customHeight="1" x14ac:dyDescent="0.2"/>
    <row r="9291" ht="12.75" customHeight="1" x14ac:dyDescent="0.2"/>
    <row r="9292" ht="12.75" customHeight="1" x14ac:dyDescent="0.2"/>
    <row r="9293" ht="12.75" customHeight="1" x14ac:dyDescent="0.2"/>
    <row r="9294" ht="12.75" customHeight="1" x14ac:dyDescent="0.2"/>
    <row r="9295" ht="12.75" customHeight="1" x14ac:dyDescent="0.2"/>
    <row r="9296" ht="12.75" customHeight="1" x14ac:dyDescent="0.2"/>
    <row r="9297" ht="12.75" customHeight="1" x14ac:dyDescent="0.2"/>
    <row r="9298" ht="12.75" customHeight="1" x14ac:dyDescent="0.2"/>
    <row r="9299" ht="12.75" customHeight="1" x14ac:dyDescent="0.2"/>
    <row r="9300" ht="12.75" customHeight="1" x14ac:dyDescent="0.2"/>
    <row r="9301" ht="12.75" customHeight="1" x14ac:dyDescent="0.2"/>
    <row r="9302" ht="12.75" customHeight="1" x14ac:dyDescent="0.2"/>
    <row r="9303" ht="12.75" customHeight="1" x14ac:dyDescent="0.2"/>
    <row r="9304" ht="12.75" customHeight="1" x14ac:dyDescent="0.2"/>
    <row r="9305" ht="12.75" customHeight="1" x14ac:dyDescent="0.2"/>
    <row r="9306" ht="12.75" customHeight="1" x14ac:dyDescent="0.2"/>
    <row r="9307" ht="12.75" customHeight="1" x14ac:dyDescent="0.2"/>
    <row r="9308" ht="12.75" customHeight="1" x14ac:dyDescent="0.2"/>
    <row r="9309" ht="12.75" customHeight="1" x14ac:dyDescent="0.2"/>
    <row r="9310" ht="12.75" customHeight="1" x14ac:dyDescent="0.2"/>
    <row r="9311" ht="12.75" customHeight="1" x14ac:dyDescent="0.2"/>
    <row r="9312" ht="12.75" customHeight="1" x14ac:dyDescent="0.2"/>
    <row r="9313" ht="12.75" customHeight="1" x14ac:dyDescent="0.2"/>
    <row r="9314" ht="12.75" customHeight="1" x14ac:dyDescent="0.2"/>
    <row r="9315" ht="12.75" customHeight="1" x14ac:dyDescent="0.2"/>
    <row r="9316" ht="12.75" customHeight="1" x14ac:dyDescent="0.2"/>
    <row r="9317" ht="12.75" customHeight="1" x14ac:dyDescent="0.2"/>
    <row r="9318" ht="12.75" customHeight="1" x14ac:dyDescent="0.2"/>
    <row r="9319" ht="12.75" customHeight="1" x14ac:dyDescent="0.2"/>
    <row r="9320" ht="12.75" customHeight="1" x14ac:dyDescent="0.2"/>
    <row r="9321" ht="12.75" customHeight="1" x14ac:dyDescent="0.2"/>
    <row r="9322" ht="12.75" customHeight="1" x14ac:dyDescent="0.2"/>
    <row r="9323" ht="12.75" customHeight="1" x14ac:dyDescent="0.2"/>
    <row r="9324" ht="12.75" customHeight="1" x14ac:dyDescent="0.2"/>
    <row r="9325" ht="12.75" customHeight="1" x14ac:dyDescent="0.2"/>
    <row r="9326" ht="12.75" customHeight="1" x14ac:dyDescent="0.2"/>
    <row r="9327" ht="12.75" customHeight="1" x14ac:dyDescent="0.2"/>
    <row r="9328" ht="12.75" customHeight="1" x14ac:dyDescent="0.2"/>
    <row r="9329" ht="12.75" customHeight="1" x14ac:dyDescent="0.2"/>
    <row r="9330" ht="12.75" customHeight="1" x14ac:dyDescent="0.2"/>
    <row r="9331" ht="12.75" customHeight="1" x14ac:dyDescent="0.2"/>
    <row r="9332" ht="12.75" customHeight="1" x14ac:dyDescent="0.2"/>
    <row r="9333" ht="12.75" customHeight="1" x14ac:dyDescent="0.2"/>
    <row r="9334" ht="12.75" customHeight="1" x14ac:dyDescent="0.2"/>
    <row r="9335" ht="12.75" customHeight="1" x14ac:dyDescent="0.2"/>
    <row r="9336" ht="12.75" customHeight="1" x14ac:dyDescent="0.2"/>
    <row r="9337" ht="12.75" customHeight="1" x14ac:dyDescent="0.2"/>
    <row r="9338" ht="12.75" customHeight="1" x14ac:dyDescent="0.2"/>
    <row r="9339" ht="12.75" customHeight="1" x14ac:dyDescent="0.2"/>
    <row r="9340" ht="12.75" customHeight="1" x14ac:dyDescent="0.2"/>
    <row r="9341" ht="12.75" customHeight="1" x14ac:dyDescent="0.2"/>
    <row r="9342" ht="12.75" customHeight="1" x14ac:dyDescent="0.2"/>
    <row r="9343" ht="12.75" customHeight="1" x14ac:dyDescent="0.2"/>
    <row r="9344" ht="12.75" customHeight="1" x14ac:dyDescent="0.2"/>
    <row r="9345" ht="12.75" customHeight="1" x14ac:dyDescent="0.2"/>
    <row r="9346" ht="12.75" customHeight="1" x14ac:dyDescent="0.2"/>
    <row r="9347" ht="12.75" customHeight="1" x14ac:dyDescent="0.2"/>
    <row r="9348" ht="12.75" customHeight="1" x14ac:dyDescent="0.2"/>
    <row r="9349" ht="12.75" customHeight="1" x14ac:dyDescent="0.2"/>
    <row r="9350" ht="12.75" customHeight="1" x14ac:dyDescent="0.2"/>
    <row r="9351" ht="12.75" customHeight="1" x14ac:dyDescent="0.2"/>
    <row r="9352" ht="12.75" customHeight="1" x14ac:dyDescent="0.2"/>
    <row r="9353" ht="12.75" customHeight="1" x14ac:dyDescent="0.2"/>
    <row r="9354" ht="12.75" customHeight="1" x14ac:dyDescent="0.2"/>
    <row r="9355" ht="12.75" customHeight="1" x14ac:dyDescent="0.2"/>
    <row r="9356" ht="12.75" customHeight="1" x14ac:dyDescent="0.2"/>
    <row r="9357" ht="12.75" customHeight="1" x14ac:dyDescent="0.2"/>
    <row r="9358" ht="12.75" customHeight="1" x14ac:dyDescent="0.2"/>
    <row r="9359" ht="12.75" customHeight="1" x14ac:dyDescent="0.2"/>
    <row r="9360" ht="12.75" customHeight="1" x14ac:dyDescent="0.2"/>
    <row r="9361" ht="12.75" customHeight="1" x14ac:dyDescent="0.2"/>
    <row r="9362" ht="12.75" customHeight="1" x14ac:dyDescent="0.2"/>
    <row r="9363" ht="12.75" customHeight="1" x14ac:dyDescent="0.2"/>
    <row r="9364" ht="12.75" customHeight="1" x14ac:dyDescent="0.2"/>
    <row r="9365" ht="12.75" customHeight="1" x14ac:dyDescent="0.2"/>
    <row r="9366" ht="12.75" customHeight="1" x14ac:dyDescent="0.2"/>
    <row r="9367" ht="12.75" customHeight="1" x14ac:dyDescent="0.2"/>
    <row r="9368" ht="12.75" customHeight="1" x14ac:dyDescent="0.2"/>
    <row r="9369" ht="12.75" customHeight="1" x14ac:dyDescent="0.2"/>
    <row r="9370" ht="12.75" customHeight="1" x14ac:dyDescent="0.2"/>
    <row r="9371" ht="12.75" customHeight="1" x14ac:dyDescent="0.2"/>
    <row r="9372" ht="12.75" customHeight="1" x14ac:dyDescent="0.2"/>
    <row r="9373" ht="12.75" customHeight="1" x14ac:dyDescent="0.2"/>
    <row r="9374" ht="12.75" customHeight="1" x14ac:dyDescent="0.2"/>
    <row r="9375" ht="12.75" customHeight="1" x14ac:dyDescent="0.2"/>
    <row r="9376" ht="12.75" customHeight="1" x14ac:dyDescent="0.2"/>
    <row r="9377" ht="12.75" customHeight="1" x14ac:dyDescent="0.2"/>
    <row r="9378" ht="12.75" customHeight="1" x14ac:dyDescent="0.2"/>
    <row r="9379" ht="12.75" customHeight="1" x14ac:dyDescent="0.2"/>
    <row r="9380" ht="12.75" customHeight="1" x14ac:dyDescent="0.2"/>
    <row r="9381" ht="12.75" customHeight="1" x14ac:dyDescent="0.2"/>
    <row r="9382" ht="12.75" customHeight="1" x14ac:dyDescent="0.2"/>
    <row r="9383" ht="12.75" customHeight="1" x14ac:dyDescent="0.2"/>
    <row r="9384" ht="12.75" customHeight="1" x14ac:dyDescent="0.2"/>
    <row r="9385" ht="12.75" customHeight="1" x14ac:dyDescent="0.2"/>
    <row r="9386" ht="12.75" customHeight="1" x14ac:dyDescent="0.2"/>
    <row r="9387" ht="12.75" customHeight="1" x14ac:dyDescent="0.2"/>
    <row r="9388" ht="12.75" customHeight="1" x14ac:dyDescent="0.2"/>
    <row r="9389" ht="12.75" customHeight="1" x14ac:dyDescent="0.2"/>
    <row r="9390" ht="12.75" customHeight="1" x14ac:dyDescent="0.2"/>
    <row r="9391" ht="12.75" customHeight="1" x14ac:dyDescent="0.2"/>
    <row r="9392" ht="12.75" customHeight="1" x14ac:dyDescent="0.2"/>
    <row r="9393" ht="12.75" customHeight="1" x14ac:dyDescent="0.2"/>
    <row r="9394" ht="12.75" customHeight="1" x14ac:dyDescent="0.2"/>
    <row r="9395" ht="12.75" customHeight="1" x14ac:dyDescent="0.2"/>
    <row r="9396" ht="12.75" customHeight="1" x14ac:dyDescent="0.2"/>
    <row r="9397" ht="12.75" customHeight="1" x14ac:dyDescent="0.2"/>
    <row r="9398" ht="12.75" customHeight="1" x14ac:dyDescent="0.2"/>
    <row r="9399" ht="12.75" customHeight="1" x14ac:dyDescent="0.2"/>
    <row r="9400" ht="12.75" customHeight="1" x14ac:dyDescent="0.2"/>
    <row r="9401" ht="12.75" customHeight="1" x14ac:dyDescent="0.2"/>
    <row r="9402" ht="12.75" customHeight="1" x14ac:dyDescent="0.2"/>
    <row r="9403" ht="12.75" customHeight="1" x14ac:dyDescent="0.2"/>
    <row r="9404" ht="12.75" customHeight="1" x14ac:dyDescent="0.2"/>
    <row r="9405" ht="12.75" customHeight="1" x14ac:dyDescent="0.2"/>
    <row r="9406" ht="12.75" customHeight="1" x14ac:dyDescent="0.2"/>
    <row r="9407" ht="12.75" customHeight="1" x14ac:dyDescent="0.2"/>
    <row r="9408" ht="12.75" customHeight="1" x14ac:dyDescent="0.2"/>
    <row r="9409" ht="12.75" customHeight="1" x14ac:dyDescent="0.2"/>
    <row r="9410" ht="12.75" customHeight="1" x14ac:dyDescent="0.2"/>
    <row r="9411" ht="12.75" customHeight="1" x14ac:dyDescent="0.2"/>
    <row r="9412" ht="12.75" customHeight="1" x14ac:dyDescent="0.2"/>
    <row r="9413" ht="12.75" customHeight="1" x14ac:dyDescent="0.2"/>
    <row r="9414" ht="12.75" customHeight="1" x14ac:dyDescent="0.2"/>
    <row r="9415" ht="12.75" customHeight="1" x14ac:dyDescent="0.2"/>
    <row r="9416" ht="12.75" customHeight="1" x14ac:dyDescent="0.2"/>
    <row r="9417" ht="12.75" customHeight="1" x14ac:dyDescent="0.2"/>
    <row r="9418" ht="12.75" customHeight="1" x14ac:dyDescent="0.2"/>
    <row r="9419" ht="12.75" customHeight="1" x14ac:dyDescent="0.2"/>
    <row r="9420" ht="12.75" customHeight="1" x14ac:dyDescent="0.2"/>
    <row r="9421" ht="12.75" customHeight="1" x14ac:dyDescent="0.2"/>
    <row r="9422" ht="12.75" customHeight="1" x14ac:dyDescent="0.2"/>
    <row r="9423" ht="12.75" customHeight="1" x14ac:dyDescent="0.2"/>
    <row r="9424" ht="12.75" customHeight="1" x14ac:dyDescent="0.2"/>
    <row r="9425" ht="12.75" customHeight="1" x14ac:dyDescent="0.2"/>
    <row r="9426" ht="12.75" customHeight="1" x14ac:dyDescent="0.2"/>
    <row r="9427" ht="12.75" customHeight="1" x14ac:dyDescent="0.2"/>
    <row r="9428" ht="12.75" customHeight="1" x14ac:dyDescent="0.2"/>
    <row r="9429" ht="12.75" customHeight="1" x14ac:dyDescent="0.2"/>
    <row r="9430" ht="12.75" customHeight="1" x14ac:dyDescent="0.2"/>
    <row r="9431" ht="12.75" customHeight="1" x14ac:dyDescent="0.2"/>
    <row r="9432" ht="12.75" customHeight="1" x14ac:dyDescent="0.2"/>
    <row r="9433" ht="12.75" customHeight="1" x14ac:dyDescent="0.2"/>
    <row r="9434" ht="12.75" customHeight="1" x14ac:dyDescent="0.2"/>
    <row r="9435" ht="12.75" customHeight="1" x14ac:dyDescent="0.2"/>
    <row r="9436" ht="12.75" customHeight="1" x14ac:dyDescent="0.2"/>
    <row r="9437" ht="12.75" customHeight="1" x14ac:dyDescent="0.2"/>
    <row r="9438" ht="12.75" customHeight="1" x14ac:dyDescent="0.2"/>
    <row r="9439" ht="12.75" customHeight="1" x14ac:dyDescent="0.2"/>
    <row r="9440" ht="12.75" customHeight="1" x14ac:dyDescent="0.2"/>
    <row r="9441" ht="12.75" customHeight="1" x14ac:dyDescent="0.2"/>
    <row r="9442" ht="12.75" customHeight="1" x14ac:dyDescent="0.2"/>
    <row r="9443" ht="12.75" customHeight="1" x14ac:dyDescent="0.2"/>
    <row r="9444" ht="12.75" customHeight="1" x14ac:dyDescent="0.2"/>
    <row r="9445" ht="12.75" customHeight="1" x14ac:dyDescent="0.2"/>
    <row r="9446" ht="12.75" customHeight="1" x14ac:dyDescent="0.2"/>
    <row r="9447" ht="12.75" customHeight="1" x14ac:dyDescent="0.2"/>
    <row r="9448" ht="12.75" customHeight="1" x14ac:dyDescent="0.2"/>
    <row r="9449" ht="12.75" customHeight="1" x14ac:dyDescent="0.2"/>
    <row r="9450" ht="12.75" customHeight="1" x14ac:dyDescent="0.2"/>
    <row r="9451" ht="12.75" customHeight="1" x14ac:dyDescent="0.2"/>
    <row r="9452" ht="12.75" customHeight="1" x14ac:dyDescent="0.2"/>
    <row r="9453" ht="12.75" customHeight="1" x14ac:dyDescent="0.2"/>
    <row r="9454" ht="12.75" customHeight="1" x14ac:dyDescent="0.2"/>
    <row r="9455" ht="12.75" customHeight="1" x14ac:dyDescent="0.2"/>
    <row r="9456" ht="12.75" customHeight="1" x14ac:dyDescent="0.2"/>
    <row r="9457" ht="12.75" customHeight="1" x14ac:dyDescent="0.2"/>
    <row r="9458" ht="12.75" customHeight="1" x14ac:dyDescent="0.2"/>
    <row r="9459" ht="12.75" customHeight="1" x14ac:dyDescent="0.2"/>
    <row r="9460" ht="12.75" customHeight="1" x14ac:dyDescent="0.2"/>
    <row r="9461" ht="12.75" customHeight="1" x14ac:dyDescent="0.2"/>
    <row r="9462" ht="12.75" customHeight="1" x14ac:dyDescent="0.2"/>
    <row r="9463" ht="12.75" customHeight="1" x14ac:dyDescent="0.2"/>
    <row r="9464" ht="12.75" customHeight="1" x14ac:dyDescent="0.2"/>
    <row r="9465" ht="12.75" customHeight="1" x14ac:dyDescent="0.2"/>
    <row r="9466" ht="12.75" customHeight="1" x14ac:dyDescent="0.2"/>
    <row r="9467" ht="12.75" customHeight="1" x14ac:dyDescent="0.2"/>
    <row r="9468" ht="12.75" customHeight="1" x14ac:dyDescent="0.2"/>
    <row r="9469" ht="12.75" customHeight="1" x14ac:dyDescent="0.2"/>
    <row r="9470" ht="12.75" customHeight="1" x14ac:dyDescent="0.2"/>
    <row r="9471" ht="12.75" customHeight="1" x14ac:dyDescent="0.2"/>
    <row r="9472" ht="12.75" customHeight="1" x14ac:dyDescent="0.2"/>
    <row r="9473" ht="12.75" customHeight="1" x14ac:dyDescent="0.2"/>
    <row r="9474" ht="12.75" customHeight="1" x14ac:dyDescent="0.2"/>
    <row r="9475" ht="12.75" customHeight="1" x14ac:dyDescent="0.2"/>
    <row r="9476" ht="12.75" customHeight="1" x14ac:dyDescent="0.2"/>
    <row r="9477" ht="12.75" customHeight="1" x14ac:dyDescent="0.2"/>
    <row r="9478" ht="12.75" customHeight="1" x14ac:dyDescent="0.2"/>
    <row r="9479" ht="12.75" customHeight="1" x14ac:dyDescent="0.2"/>
    <row r="9480" ht="12.75" customHeight="1" x14ac:dyDescent="0.2"/>
    <row r="9481" ht="12.75" customHeight="1" x14ac:dyDescent="0.2"/>
    <row r="9482" ht="12.75" customHeight="1" x14ac:dyDescent="0.2"/>
    <row r="9483" ht="12.75" customHeight="1" x14ac:dyDescent="0.2"/>
    <row r="9484" ht="12.75" customHeight="1" x14ac:dyDescent="0.2"/>
    <row r="9485" ht="12.75" customHeight="1" x14ac:dyDescent="0.2"/>
    <row r="9486" ht="12.75" customHeight="1" x14ac:dyDescent="0.2"/>
    <row r="9487" ht="12.75" customHeight="1" x14ac:dyDescent="0.2"/>
    <row r="9488" ht="12.75" customHeight="1" x14ac:dyDescent="0.2"/>
    <row r="9489" ht="12.75" customHeight="1" x14ac:dyDescent="0.2"/>
    <row r="9490" ht="12.75" customHeight="1" x14ac:dyDescent="0.2"/>
    <row r="9491" ht="12.75" customHeight="1" x14ac:dyDescent="0.2"/>
    <row r="9492" ht="12.75" customHeight="1" x14ac:dyDescent="0.2"/>
    <row r="9493" ht="12.75" customHeight="1" x14ac:dyDescent="0.2"/>
    <row r="9494" ht="12.75" customHeight="1" x14ac:dyDescent="0.2"/>
    <row r="9495" ht="12.75" customHeight="1" x14ac:dyDescent="0.2"/>
    <row r="9496" ht="12.75" customHeight="1" x14ac:dyDescent="0.2"/>
    <row r="9497" ht="12.75" customHeight="1" x14ac:dyDescent="0.2"/>
    <row r="9498" ht="12.75" customHeight="1" x14ac:dyDescent="0.2"/>
    <row r="9499" ht="12.75" customHeight="1" x14ac:dyDescent="0.2"/>
    <row r="9500" ht="12.75" customHeight="1" x14ac:dyDescent="0.2"/>
    <row r="9501" ht="12.75" customHeight="1" x14ac:dyDescent="0.2"/>
    <row r="9502" ht="12.75" customHeight="1" x14ac:dyDescent="0.2"/>
    <row r="9503" ht="12.75" customHeight="1" x14ac:dyDescent="0.2"/>
    <row r="9504" ht="12.75" customHeight="1" x14ac:dyDescent="0.2"/>
    <row r="9505" ht="12.75" customHeight="1" x14ac:dyDescent="0.2"/>
    <row r="9506" ht="12.75" customHeight="1" x14ac:dyDescent="0.2"/>
    <row r="9507" ht="12.75" customHeight="1" x14ac:dyDescent="0.2"/>
    <row r="9508" ht="12.75" customHeight="1" x14ac:dyDescent="0.2"/>
    <row r="9509" ht="12.75" customHeight="1" x14ac:dyDescent="0.2"/>
    <row r="9510" ht="12.75" customHeight="1" x14ac:dyDescent="0.2"/>
    <row r="9511" ht="12.75" customHeight="1" x14ac:dyDescent="0.2"/>
    <row r="9512" ht="12.75" customHeight="1" x14ac:dyDescent="0.2"/>
    <row r="9513" ht="12.75" customHeight="1" x14ac:dyDescent="0.2"/>
    <row r="9514" ht="12.75" customHeight="1" x14ac:dyDescent="0.2"/>
    <row r="9515" ht="12.75" customHeight="1" x14ac:dyDescent="0.2"/>
    <row r="9516" ht="12.75" customHeight="1" x14ac:dyDescent="0.2"/>
    <row r="9517" ht="12.75" customHeight="1" x14ac:dyDescent="0.2"/>
    <row r="9518" ht="12.75" customHeight="1" x14ac:dyDescent="0.2"/>
    <row r="9519" ht="12.75" customHeight="1" x14ac:dyDescent="0.2"/>
    <row r="9520" ht="12.75" customHeight="1" x14ac:dyDescent="0.2"/>
    <row r="9521" ht="12.75" customHeight="1" x14ac:dyDescent="0.2"/>
    <row r="9522" ht="12.75" customHeight="1" x14ac:dyDescent="0.2"/>
    <row r="9523" ht="12.75" customHeight="1" x14ac:dyDescent="0.2"/>
    <row r="9524" ht="12.75" customHeight="1" x14ac:dyDescent="0.2"/>
    <row r="9525" ht="12.75" customHeight="1" x14ac:dyDescent="0.2"/>
    <row r="9526" ht="12.75" customHeight="1" x14ac:dyDescent="0.2"/>
    <row r="9527" ht="12.75" customHeight="1" x14ac:dyDescent="0.2"/>
    <row r="9528" ht="12.75" customHeight="1" x14ac:dyDescent="0.2"/>
    <row r="9529" ht="12.75" customHeight="1" x14ac:dyDescent="0.2"/>
    <row r="9530" ht="12.75" customHeight="1" x14ac:dyDescent="0.2"/>
    <row r="9531" ht="12.75" customHeight="1" x14ac:dyDescent="0.2"/>
    <row r="9532" ht="12.75" customHeight="1" x14ac:dyDescent="0.2"/>
    <row r="9533" ht="12.75" customHeight="1" x14ac:dyDescent="0.2"/>
    <row r="9534" ht="12.75" customHeight="1" x14ac:dyDescent="0.2"/>
    <row r="9535" ht="12.75" customHeight="1" x14ac:dyDescent="0.2"/>
    <row r="9536" ht="12.75" customHeight="1" x14ac:dyDescent="0.2"/>
    <row r="9537" ht="12.75" customHeight="1" x14ac:dyDescent="0.2"/>
    <row r="9538" ht="12.75" customHeight="1" x14ac:dyDescent="0.2"/>
    <row r="9539" ht="12.75" customHeight="1" x14ac:dyDescent="0.2"/>
    <row r="9540" ht="12.75" customHeight="1" x14ac:dyDescent="0.2"/>
    <row r="9541" ht="12.75" customHeight="1" x14ac:dyDescent="0.2"/>
    <row r="9542" ht="12.75" customHeight="1" x14ac:dyDescent="0.2"/>
    <row r="9543" ht="12.75" customHeight="1" x14ac:dyDescent="0.2"/>
    <row r="9544" ht="12.75" customHeight="1" x14ac:dyDescent="0.2"/>
    <row r="9545" ht="12.75" customHeight="1" x14ac:dyDescent="0.2"/>
    <row r="9546" ht="12.75" customHeight="1" x14ac:dyDescent="0.2"/>
    <row r="9547" ht="12.75" customHeight="1" x14ac:dyDescent="0.2"/>
    <row r="9548" ht="12.75" customHeight="1" x14ac:dyDescent="0.2"/>
    <row r="9549" ht="12.75" customHeight="1" x14ac:dyDescent="0.2"/>
    <row r="9550" ht="12.75" customHeight="1" x14ac:dyDescent="0.2"/>
    <row r="9551" ht="12.75" customHeight="1" x14ac:dyDescent="0.2"/>
    <row r="9552" ht="12.75" customHeight="1" x14ac:dyDescent="0.2"/>
    <row r="9553" ht="12.75" customHeight="1" x14ac:dyDescent="0.2"/>
    <row r="9554" ht="12.75" customHeight="1" x14ac:dyDescent="0.2"/>
    <row r="9555" ht="12.75" customHeight="1" x14ac:dyDescent="0.2"/>
    <row r="9556" ht="12.75" customHeight="1" x14ac:dyDescent="0.2"/>
    <row r="9557" ht="12.75" customHeight="1" x14ac:dyDescent="0.2"/>
    <row r="9558" ht="12.75" customHeight="1" x14ac:dyDescent="0.2"/>
    <row r="9559" ht="12.75" customHeight="1" x14ac:dyDescent="0.2"/>
    <row r="9560" ht="12.75" customHeight="1" x14ac:dyDescent="0.2"/>
    <row r="9561" ht="12.75" customHeight="1" x14ac:dyDescent="0.2"/>
    <row r="9562" ht="12.75" customHeight="1" x14ac:dyDescent="0.2"/>
    <row r="9563" ht="12.75" customHeight="1" x14ac:dyDescent="0.2"/>
    <row r="9564" ht="12.75" customHeight="1" x14ac:dyDescent="0.2"/>
    <row r="9565" ht="12.75" customHeight="1" x14ac:dyDescent="0.2"/>
    <row r="9566" ht="12.75" customHeight="1" x14ac:dyDescent="0.2"/>
    <row r="9567" ht="12.75" customHeight="1" x14ac:dyDescent="0.2"/>
    <row r="9568" ht="12.75" customHeight="1" x14ac:dyDescent="0.2"/>
    <row r="9569" ht="12.75" customHeight="1" x14ac:dyDescent="0.2"/>
    <row r="9570" ht="12.75" customHeight="1" x14ac:dyDescent="0.2"/>
    <row r="9571" ht="12.75" customHeight="1" x14ac:dyDescent="0.2"/>
    <row r="9572" ht="12.75" customHeight="1" x14ac:dyDescent="0.2"/>
    <row r="9573" ht="12.75" customHeight="1" x14ac:dyDescent="0.2"/>
    <row r="9574" ht="12.75" customHeight="1" x14ac:dyDescent="0.2"/>
    <row r="9575" ht="12.75" customHeight="1" x14ac:dyDescent="0.2"/>
    <row r="9576" ht="12.75" customHeight="1" x14ac:dyDescent="0.2"/>
    <row r="9577" ht="12.75" customHeight="1" x14ac:dyDescent="0.2"/>
    <row r="9578" ht="12.75" customHeight="1" x14ac:dyDescent="0.2"/>
    <row r="9579" ht="12.75" customHeight="1" x14ac:dyDescent="0.2"/>
    <row r="9580" ht="12.75" customHeight="1" x14ac:dyDescent="0.2"/>
    <row r="9581" ht="12.75" customHeight="1" x14ac:dyDescent="0.2"/>
    <row r="9582" ht="12.75" customHeight="1" x14ac:dyDescent="0.2"/>
    <row r="9583" ht="12.75" customHeight="1" x14ac:dyDescent="0.2"/>
    <row r="9584" ht="12.75" customHeight="1" x14ac:dyDescent="0.2"/>
    <row r="9585" ht="12.75" customHeight="1" x14ac:dyDescent="0.2"/>
    <row r="9586" ht="12.75" customHeight="1" x14ac:dyDescent="0.2"/>
    <row r="9587" ht="12.75" customHeight="1" x14ac:dyDescent="0.2"/>
    <row r="9588" ht="12.75" customHeight="1" x14ac:dyDescent="0.2"/>
    <row r="9589" ht="12.75" customHeight="1" x14ac:dyDescent="0.2"/>
    <row r="9590" ht="12.75" customHeight="1" x14ac:dyDescent="0.2"/>
    <row r="9591" ht="12.75" customHeight="1" x14ac:dyDescent="0.2"/>
    <row r="9592" ht="12.75" customHeight="1" x14ac:dyDescent="0.2"/>
    <row r="9593" ht="12.75" customHeight="1" x14ac:dyDescent="0.2"/>
    <row r="9594" ht="12.75" customHeight="1" x14ac:dyDescent="0.2"/>
    <row r="9595" ht="12.75" customHeight="1" x14ac:dyDescent="0.2"/>
    <row r="9596" ht="12.75" customHeight="1" x14ac:dyDescent="0.2"/>
    <row r="9597" ht="12.75" customHeight="1" x14ac:dyDescent="0.2"/>
    <row r="9598" ht="12.75" customHeight="1" x14ac:dyDescent="0.2"/>
    <row r="9599" ht="12.75" customHeight="1" x14ac:dyDescent="0.2"/>
    <row r="9600" ht="12.75" customHeight="1" x14ac:dyDescent="0.2"/>
    <row r="9601" ht="12.75" customHeight="1" x14ac:dyDescent="0.2"/>
    <row r="9602" ht="12.75" customHeight="1" x14ac:dyDescent="0.2"/>
    <row r="9603" ht="12.75" customHeight="1" x14ac:dyDescent="0.2"/>
    <row r="9604" ht="12.75" customHeight="1" x14ac:dyDescent="0.2"/>
    <row r="9605" ht="12.75" customHeight="1" x14ac:dyDescent="0.2"/>
    <row r="9606" ht="12.75" customHeight="1" x14ac:dyDescent="0.2"/>
    <row r="9607" ht="12.75" customHeight="1" x14ac:dyDescent="0.2"/>
    <row r="9608" ht="12.75" customHeight="1" x14ac:dyDescent="0.2"/>
    <row r="9609" ht="12.75" customHeight="1" x14ac:dyDescent="0.2"/>
    <row r="9610" ht="12.75" customHeight="1" x14ac:dyDescent="0.2"/>
    <row r="9611" ht="12.75" customHeight="1" x14ac:dyDescent="0.2"/>
    <row r="9612" ht="12.75" customHeight="1" x14ac:dyDescent="0.2"/>
    <row r="9613" ht="12.75" customHeight="1" x14ac:dyDescent="0.2"/>
    <row r="9614" ht="12.75" customHeight="1" x14ac:dyDescent="0.2"/>
    <row r="9615" ht="12.75" customHeight="1" x14ac:dyDescent="0.2"/>
    <row r="9616" ht="12.75" customHeight="1" x14ac:dyDescent="0.2"/>
    <row r="9617" ht="12.75" customHeight="1" x14ac:dyDescent="0.2"/>
    <row r="9618" ht="12.75" customHeight="1" x14ac:dyDescent="0.2"/>
    <row r="9619" ht="12.75" customHeight="1" x14ac:dyDescent="0.2"/>
    <row r="9620" ht="12.75" customHeight="1" x14ac:dyDescent="0.2"/>
    <row r="9621" ht="12.75" customHeight="1" x14ac:dyDescent="0.2"/>
    <row r="9622" ht="12.75" customHeight="1" x14ac:dyDescent="0.2"/>
    <row r="9623" ht="12.75" customHeight="1" x14ac:dyDescent="0.2"/>
    <row r="9624" ht="12.75" customHeight="1" x14ac:dyDescent="0.2"/>
    <row r="9625" ht="12.75" customHeight="1" x14ac:dyDescent="0.2"/>
    <row r="9626" ht="12.75" customHeight="1" x14ac:dyDescent="0.2"/>
    <row r="9627" ht="12.75" customHeight="1" x14ac:dyDescent="0.2"/>
    <row r="9628" ht="12.75" customHeight="1" x14ac:dyDescent="0.2"/>
    <row r="9629" ht="12.75" customHeight="1" x14ac:dyDescent="0.2"/>
    <row r="9630" ht="12.75" customHeight="1" x14ac:dyDescent="0.2"/>
    <row r="9631" ht="12.75" customHeight="1" x14ac:dyDescent="0.2"/>
    <row r="9632" ht="12.75" customHeight="1" x14ac:dyDescent="0.2"/>
    <row r="9633" ht="12.75" customHeight="1" x14ac:dyDescent="0.2"/>
    <row r="9634" ht="12.75" customHeight="1" x14ac:dyDescent="0.2"/>
    <row r="9635" ht="12.75" customHeight="1" x14ac:dyDescent="0.2"/>
    <row r="9636" ht="12.75" customHeight="1" x14ac:dyDescent="0.2"/>
    <row r="9637" ht="12.75" customHeight="1" x14ac:dyDescent="0.2"/>
    <row r="9638" ht="12.75" customHeight="1" x14ac:dyDescent="0.2"/>
    <row r="9639" ht="12.75" customHeight="1" x14ac:dyDescent="0.2"/>
    <row r="9640" ht="12.75" customHeight="1" x14ac:dyDescent="0.2"/>
    <row r="9641" ht="12.75" customHeight="1" x14ac:dyDescent="0.2"/>
    <row r="9642" ht="12.75" customHeight="1" x14ac:dyDescent="0.2"/>
    <row r="9643" ht="12.75" customHeight="1" x14ac:dyDescent="0.2"/>
    <row r="9644" ht="12.75" customHeight="1" x14ac:dyDescent="0.2"/>
    <row r="9645" ht="12.75" customHeight="1" x14ac:dyDescent="0.2"/>
    <row r="9646" ht="12.75" customHeight="1" x14ac:dyDescent="0.2"/>
    <row r="9647" ht="12.75" customHeight="1" x14ac:dyDescent="0.2"/>
    <row r="9648" ht="12.75" customHeight="1" x14ac:dyDescent="0.2"/>
    <row r="9649" ht="12.75" customHeight="1" x14ac:dyDescent="0.2"/>
    <row r="9650" ht="12.75" customHeight="1" x14ac:dyDescent="0.2"/>
    <row r="9651" ht="12.75" customHeight="1" x14ac:dyDescent="0.2"/>
    <row r="9652" ht="12.75" customHeight="1" x14ac:dyDescent="0.2"/>
    <row r="9653" ht="12.75" customHeight="1" x14ac:dyDescent="0.2"/>
    <row r="9654" ht="12.75" customHeight="1" x14ac:dyDescent="0.2"/>
    <row r="9655" ht="12.75" customHeight="1" x14ac:dyDescent="0.2"/>
    <row r="9656" ht="12.75" customHeight="1" x14ac:dyDescent="0.2"/>
    <row r="9657" ht="12.75" customHeight="1" x14ac:dyDescent="0.2"/>
    <row r="9658" ht="12.75" customHeight="1" x14ac:dyDescent="0.2"/>
    <row r="9659" ht="12.75" customHeight="1" x14ac:dyDescent="0.2"/>
    <row r="9660" ht="12.75" customHeight="1" x14ac:dyDescent="0.2"/>
    <row r="9661" ht="12.75" customHeight="1" x14ac:dyDescent="0.2"/>
    <row r="9662" ht="12.75" customHeight="1" x14ac:dyDescent="0.2"/>
    <row r="9663" ht="12.75" customHeight="1" x14ac:dyDescent="0.2"/>
    <row r="9664" ht="12.75" customHeight="1" x14ac:dyDescent="0.2"/>
    <row r="9665" ht="12.75" customHeight="1" x14ac:dyDescent="0.2"/>
    <row r="9666" ht="12.75" customHeight="1" x14ac:dyDescent="0.2"/>
    <row r="9667" ht="12.75" customHeight="1" x14ac:dyDescent="0.2"/>
    <row r="9668" ht="12.75" customHeight="1" x14ac:dyDescent="0.2"/>
    <row r="9669" ht="12.75" customHeight="1" x14ac:dyDescent="0.2"/>
    <row r="9670" ht="12.75" customHeight="1" x14ac:dyDescent="0.2"/>
    <row r="9671" ht="12.75" customHeight="1" x14ac:dyDescent="0.2"/>
    <row r="9672" ht="12.75" customHeight="1" x14ac:dyDescent="0.2"/>
    <row r="9673" ht="12.75" customHeight="1" x14ac:dyDescent="0.2"/>
    <row r="9674" ht="12.75" customHeight="1" x14ac:dyDescent="0.2"/>
    <row r="9675" ht="12.75" customHeight="1" x14ac:dyDescent="0.2"/>
    <row r="9676" ht="12.75" customHeight="1" x14ac:dyDescent="0.2"/>
    <row r="9677" ht="12.75" customHeight="1" x14ac:dyDescent="0.2"/>
    <row r="9678" ht="12.75" customHeight="1" x14ac:dyDescent="0.2"/>
    <row r="9679" ht="12.75" customHeight="1" x14ac:dyDescent="0.2"/>
    <row r="9680" ht="12.75" customHeight="1" x14ac:dyDescent="0.2"/>
    <row r="9681" ht="12.75" customHeight="1" x14ac:dyDescent="0.2"/>
    <row r="9682" ht="12.75" customHeight="1" x14ac:dyDescent="0.2"/>
    <row r="9683" ht="12.75" customHeight="1" x14ac:dyDescent="0.2"/>
    <row r="9684" ht="12.75" customHeight="1" x14ac:dyDescent="0.2"/>
    <row r="9685" ht="12.75" customHeight="1" x14ac:dyDescent="0.2"/>
    <row r="9686" ht="12.75" customHeight="1" x14ac:dyDescent="0.2"/>
    <row r="9687" ht="12.75" customHeight="1" x14ac:dyDescent="0.2"/>
    <row r="9688" ht="12.75" customHeight="1" x14ac:dyDescent="0.2"/>
    <row r="9689" ht="12.75" customHeight="1" x14ac:dyDescent="0.2"/>
    <row r="9690" ht="12.75" customHeight="1" x14ac:dyDescent="0.2"/>
    <row r="9691" ht="12.75" customHeight="1" x14ac:dyDescent="0.2"/>
    <row r="9692" ht="12.75" customHeight="1" x14ac:dyDescent="0.2"/>
    <row r="9693" ht="12.75" customHeight="1" x14ac:dyDescent="0.2"/>
    <row r="9694" ht="12.75" customHeight="1" x14ac:dyDescent="0.2"/>
    <row r="9695" ht="12.75" customHeight="1" x14ac:dyDescent="0.2"/>
    <row r="9696" ht="12.75" customHeight="1" x14ac:dyDescent="0.2"/>
    <row r="9697" ht="12.75" customHeight="1" x14ac:dyDescent="0.2"/>
    <row r="9698" ht="12.75" customHeight="1" x14ac:dyDescent="0.2"/>
    <row r="9699" ht="12.75" customHeight="1" x14ac:dyDescent="0.2"/>
    <row r="9700" ht="12.75" customHeight="1" x14ac:dyDescent="0.2"/>
    <row r="9701" ht="12.75" customHeight="1" x14ac:dyDescent="0.2"/>
    <row r="9702" ht="12.75" customHeight="1" x14ac:dyDescent="0.2"/>
    <row r="9703" ht="12.75" customHeight="1" x14ac:dyDescent="0.2"/>
    <row r="9704" ht="12.75" customHeight="1" x14ac:dyDescent="0.2"/>
    <row r="9705" ht="12.75" customHeight="1" x14ac:dyDescent="0.2"/>
    <row r="9706" ht="12.75" customHeight="1" x14ac:dyDescent="0.2"/>
    <row r="9707" ht="12.75" customHeight="1" x14ac:dyDescent="0.2"/>
    <row r="9708" ht="12.75" customHeight="1" x14ac:dyDescent="0.2"/>
    <row r="9709" ht="12.75" customHeight="1" x14ac:dyDescent="0.2"/>
    <row r="9710" ht="12.75" customHeight="1" x14ac:dyDescent="0.2"/>
    <row r="9711" ht="12.75" customHeight="1" x14ac:dyDescent="0.2"/>
    <row r="9712" ht="12.75" customHeight="1" x14ac:dyDescent="0.2"/>
    <row r="9713" ht="12.75" customHeight="1" x14ac:dyDescent="0.2"/>
    <row r="9714" ht="12.75" customHeight="1" x14ac:dyDescent="0.2"/>
    <row r="9715" ht="12.75" customHeight="1" x14ac:dyDescent="0.2"/>
    <row r="9716" ht="12.75" customHeight="1" x14ac:dyDescent="0.2"/>
    <row r="9717" ht="12.75" customHeight="1" x14ac:dyDescent="0.2"/>
    <row r="9718" ht="12.75" customHeight="1" x14ac:dyDescent="0.2"/>
    <row r="9719" ht="12.75" customHeight="1" x14ac:dyDescent="0.2"/>
    <row r="9720" ht="12.75" customHeight="1" x14ac:dyDescent="0.2"/>
    <row r="9721" ht="12.75" customHeight="1" x14ac:dyDescent="0.2"/>
    <row r="9722" ht="12.75" customHeight="1" x14ac:dyDescent="0.2"/>
    <row r="9723" ht="12.75" customHeight="1" x14ac:dyDescent="0.2"/>
    <row r="9724" ht="12.75" customHeight="1" x14ac:dyDescent="0.2"/>
    <row r="9725" ht="12.75" customHeight="1" x14ac:dyDescent="0.2"/>
    <row r="9726" ht="12.75" customHeight="1" x14ac:dyDescent="0.2"/>
    <row r="9727" ht="12.75" customHeight="1" x14ac:dyDescent="0.2"/>
    <row r="9728" ht="12.75" customHeight="1" x14ac:dyDescent="0.2"/>
    <row r="9729" ht="12.75" customHeight="1" x14ac:dyDescent="0.2"/>
    <row r="9730" ht="12.75" customHeight="1" x14ac:dyDescent="0.2"/>
    <row r="9731" ht="12.75" customHeight="1" x14ac:dyDescent="0.2"/>
    <row r="9732" ht="12.75" customHeight="1" x14ac:dyDescent="0.2"/>
    <row r="9733" ht="12.75" customHeight="1" x14ac:dyDescent="0.2"/>
    <row r="9734" ht="12.75" customHeight="1" x14ac:dyDescent="0.2"/>
    <row r="9735" ht="12.75" customHeight="1" x14ac:dyDescent="0.2"/>
    <row r="9736" ht="12.75" customHeight="1" x14ac:dyDescent="0.2"/>
    <row r="9737" ht="12.75" customHeight="1" x14ac:dyDescent="0.2"/>
    <row r="9738" ht="12.75" customHeight="1" x14ac:dyDescent="0.2"/>
    <row r="9739" ht="12.75" customHeight="1" x14ac:dyDescent="0.2"/>
    <row r="9740" ht="12.75" customHeight="1" x14ac:dyDescent="0.2"/>
    <row r="9741" ht="12.75" customHeight="1" x14ac:dyDescent="0.2"/>
    <row r="9742" ht="12.75" customHeight="1" x14ac:dyDescent="0.2"/>
    <row r="9743" ht="12.75" customHeight="1" x14ac:dyDescent="0.2"/>
    <row r="9744" ht="12.75" customHeight="1" x14ac:dyDescent="0.2"/>
    <row r="9745" ht="12.75" customHeight="1" x14ac:dyDescent="0.2"/>
    <row r="9746" ht="12.75" customHeight="1" x14ac:dyDescent="0.2"/>
    <row r="9747" ht="12.75" customHeight="1" x14ac:dyDescent="0.2"/>
    <row r="9748" ht="12.75" customHeight="1" x14ac:dyDescent="0.2"/>
    <row r="9749" ht="12.75" customHeight="1" x14ac:dyDescent="0.2"/>
    <row r="9750" ht="12.75" customHeight="1" x14ac:dyDescent="0.2"/>
    <row r="9751" ht="12.75" customHeight="1" x14ac:dyDescent="0.2"/>
    <row r="9752" ht="12.75" customHeight="1" x14ac:dyDescent="0.2"/>
    <row r="9753" ht="12.75" customHeight="1" x14ac:dyDescent="0.2"/>
    <row r="9754" ht="12.75" customHeight="1" x14ac:dyDescent="0.2"/>
    <row r="9755" ht="12.75" customHeight="1" x14ac:dyDescent="0.2"/>
    <row r="9756" ht="12.75" customHeight="1" x14ac:dyDescent="0.2"/>
    <row r="9757" ht="12.75" customHeight="1" x14ac:dyDescent="0.2"/>
    <row r="9758" ht="12.75" customHeight="1" x14ac:dyDescent="0.2"/>
    <row r="9759" ht="12.75" customHeight="1" x14ac:dyDescent="0.2"/>
    <row r="9760" ht="12.75" customHeight="1" x14ac:dyDescent="0.2"/>
    <row r="9761" ht="12.75" customHeight="1" x14ac:dyDescent="0.2"/>
    <row r="9762" ht="12.75" customHeight="1" x14ac:dyDescent="0.2"/>
    <row r="9763" ht="12.75" customHeight="1" x14ac:dyDescent="0.2"/>
    <row r="9764" ht="12.75" customHeight="1" x14ac:dyDescent="0.2"/>
    <row r="9765" ht="12.75" customHeight="1" x14ac:dyDescent="0.2"/>
    <row r="9766" ht="12.75" customHeight="1" x14ac:dyDescent="0.2"/>
    <row r="9767" ht="12.75" customHeight="1" x14ac:dyDescent="0.2"/>
    <row r="9768" ht="12.75" customHeight="1" x14ac:dyDescent="0.2"/>
    <row r="9769" ht="12.75" customHeight="1" x14ac:dyDescent="0.2"/>
    <row r="9770" ht="12.75" customHeight="1" x14ac:dyDescent="0.2"/>
    <row r="9771" ht="12.75" customHeight="1" x14ac:dyDescent="0.2"/>
    <row r="9772" ht="12.75" customHeight="1" x14ac:dyDescent="0.2"/>
    <row r="9773" ht="12.75" customHeight="1" x14ac:dyDescent="0.2"/>
    <row r="9774" ht="12.75" customHeight="1" x14ac:dyDescent="0.2"/>
    <row r="9775" ht="12.75" customHeight="1" x14ac:dyDescent="0.2"/>
    <row r="9776" ht="12.75" customHeight="1" x14ac:dyDescent="0.2"/>
    <row r="9777" ht="12.75" customHeight="1" x14ac:dyDescent="0.2"/>
    <row r="9778" ht="12.75" customHeight="1" x14ac:dyDescent="0.2"/>
    <row r="9779" ht="12.75" customHeight="1" x14ac:dyDescent="0.2"/>
    <row r="9780" ht="12.75" customHeight="1" x14ac:dyDescent="0.2"/>
    <row r="9781" ht="12.75" customHeight="1" x14ac:dyDescent="0.2"/>
    <row r="9782" ht="12.75" customHeight="1" x14ac:dyDescent="0.2"/>
    <row r="9783" ht="12.75" customHeight="1" x14ac:dyDescent="0.2"/>
    <row r="9784" ht="12.75" customHeight="1" x14ac:dyDescent="0.2"/>
    <row r="9785" ht="12.75" customHeight="1" x14ac:dyDescent="0.2"/>
    <row r="9786" ht="12.75" customHeight="1" x14ac:dyDescent="0.2"/>
    <row r="9787" ht="12.75" customHeight="1" x14ac:dyDescent="0.2"/>
    <row r="9788" ht="12.75" customHeight="1" x14ac:dyDescent="0.2"/>
    <row r="9789" ht="12.75" customHeight="1" x14ac:dyDescent="0.2"/>
    <row r="9790" ht="12.75" customHeight="1" x14ac:dyDescent="0.2"/>
    <row r="9791" ht="12.75" customHeight="1" x14ac:dyDescent="0.2"/>
    <row r="9792" ht="12.75" customHeight="1" x14ac:dyDescent="0.2"/>
    <row r="9793" ht="12.75" customHeight="1" x14ac:dyDescent="0.2"/>
    <row r="9794" ht="12.75" customHeight="1" x14ac:dyDescent="0.2"/>
    <row r="9795" ht="12.75" customHeight="1" x14ac:dyDescent="0.2"/>
    <row r="9796" ht="12.75" customHeight="1" x14ac:dyDescent="0.2"/>
    <row r="9797" ht="12.75" customHeight="1" x14ac:dyDescent="0.2"/>
    <row r="9798" ht="12.75" customHeight="1" x14ac:dyDescent="0.2"/>
    <row r="9799" ht="12.75" customHeight="1" x14ac:dyDescent="0.2"/>
    <row r="9800" ht="12.75" customHeight="1" x14ac:dyDescent="0.2"/>
    <row r="9801" ht="12.75" customHeight="1" x14ac:dyDescent="0.2"/>
    <row r="9802" ht="12.75" customHeight="1" x14ac:dyDescent="0.2"/>
    <row r="9803" ht="12.75" customHeight="1" x14ac:dyDescent="0.2"/>
    <row r="9804" ht="12.75" customHeight="1" x14ac:dyDescent="0.2"/>
    <row r="9805" ht="12.75" customHeight="1" x14ac:dyDescent="0.2"/>
    <row r="9806" ht="12.75" customHeight="1" x14ac:dyDescent="0.2"/>
    <row r="9807" ht="12.75" customHeight="1" x14ac:dyDescent="0.2"/>
    <row r="9808" ht="12.75" customHeight="1" x14ac:dyDescent="0.2"/>
    <row r="9809" ht="12.75" customHeight="1" x14ac:dyDescent="0.2"/>
    <row r="9810" ht="12.75" customHeight="1" x14ac:dyDescent="0.2"/>
    <row r="9811" ht="12.75" customHeight="1" x14ac:dyDescent="0.2"/>
    <row r="9812" ht="12.75" customHeight="1" x14ac:dyDescent="0.2"/>
    <row r="9813" ht="12.75" customHeight="1" x14ac:dyDescent="0.2"/>
    <row r="9814" ht="12.75" customHeight="1" x14ac:dyDescent="0.2"/>
    <row r="9815" ht="12.75" customHeight="1" x14ac:dyDescent="0.2"/>
    <row r="9816" ht="12.75" customHeight="1" x14ac:dyDescent="0.2"/>
    <row r="9817" ht="12.75" customHeight="1" x14ac:dyDescent="0.2"/>
    <row r="9818" ht="12.75" customHeight="1" x14ac:dyDescent="0.2"/>
    <row r="9819" ht="12.75" customHeight="1" x14ac:dyDescent="0.2"/>
    <row r="9820" ht="12.75" customHeight="1" x14ac:dyDescent="0.2"/>
    <row r="9821" ht="12.75" customHeight="1" x14ac:dyDescent="0.2"/>
    <row r="9822" ht="12.75" customHeight="1" x14ac:dyDescent="0.2"/>
    <row r="9823" ht="12.75" customHeight="1" x14ac:dyDescent="0.2"/>
    <row r="9824" ht="12.75" customHeight="1" x14ac:dyDescent="0.2"/>
    <row r="9825" ht="12.75" customHeight="1" x14ac:dyDescent="0.2"/>
    <row r="9826" ht="12.75" customHeight="1" x14ac:dyDescent="0.2"/>
    <row r="9827" ht="12.75" customHeight="1" x14ac:dyDescent="0.2"/>
    <row r="9828" ht="12.75" customHeight="1" x14ac:dyDescent="0.2"/>
    <row r="9829" ht="12.75" customHeight="1" x14ac:dyDescent="0.2"/>
    <row r="9830" ht="12.75" customHeight="1" x14ac:dyDescent="0.2"/>
    <row r="9831" ht="12.75" customHeight="1" x14ac:dyDescent="0.2"/>
    <row r="9832" ht="12.75" customHeight="1" x14ac:dyDescent="0.2"/>
    <row r="9833" ht="12.75" customHeight="1" x14ac:dyDescent="0.2"/>
    <row r="9834" ht="12.75" customHeight="1" x14ac:dyDescent="0.2"/>
    <row r="9835" ht="12.75" customHeight="1" x14ac:dyDescent="0.2"/>
    <row r="9836" ht="12.75" customHeight="1" x14ac:dyDescent="0.2"/>
    <row r="9837" ht="12.75" customHeight="1" x14ac:dyDescent="0.2"/>
    <row r="9838" ht="12.75" customHeight="1" x14ac:dyDescent="0.2"/>
    <row r="9839" ht="12.75" customHeight="1" x14ac:dyDescent="0.2"/>
    <row r="9840" ht="12.75" customHeight="1" x14ac:dyDescent="0.2"/>
    <row r="9841" ht="12.75" customHeight="1" x14ac:dyDescent="0.2"/>
    <row r="9842" ht="12.75" customHeight="1" x14ac:dyDescent="0.2"/>
    <row r="9843" ht="12.75" customHeight="1" x14ac:dyDescent="0.2"/>
    <row r="9844" ht="12.75" customHeight="1" x14ac:dyDescent="0.2"/>
    <row r="9845" ht="12.75" customHeight="1" x14ac:dyDescent="0.2"/>
    <row r="9846" ht="12.75" customHeight="1" x14ac:dyDescent="0.2"/>
    <row r="9847" ht="12.75" customHeight="1" x14ac:dyDescent="0.2"/>
    <row r="9848" ht="12.75" customHeight="1" x14ac:dyDescent="0.2"/>
    <row r="9849" ht="12.75" customHeight="1" x14ac:dyDescent="0.2"/>
    <row r="9850" ht="12.75" customHeight="1" x14ac:dyDescent="0.2"/>
    <row r="9851" ht="12.75" customHeight="1" x14ac:dyDescent="0.2"/>
    <row r="9852" ht="12.75" customHeight="1" x14ac:dyDescent="0.2"/>
    <row r="9853" ht="12.75" customHeight="1" x14ac:dyDescent="0.2"/>
    <row r="9854" ht="12.75" customHeight="1" x14ac:dyDescent="0.2"/>
    <row r="9855" ht="12.75" customHeight="1" x14ac:dyDescent="0.2"/>
    <row r="9856" ht="12.75" customHeight="1" x14ac:dyDescent="0.2"/>
    <row r="9857" ht="12.75" customHeight="1" x14ac:dyDescent="0.2"/>
    <row r="9858" ht="12.75" customHeight="1" x14ac:dyDescent="0.2"/>
    <row r="9859" ht="12.75" customHeight="1" x14ac:dyDescent="0.2"/>
    <row r="9860" ht="12.75" customHeight="1" x14ac:dyDescent="0.2"/>
    <row r="9861" ht="12.75" customHeight="1" x14ac:dyDescent="0.2"/>
    <row r="9862" ht="12.75" customHeight="1" x14ac:dyDescent="0.2"/>
    <row r="9863" ht="12.75" customHeight="1" x14ac:dyDescent="0.2"/>
    <row r="9864" ht="12.75" customHeight="1" x14ac:dyDescent="0.2"/>
    <row r="9865" ht="12.75" customHeight="1" x14ac:dyDescent="0.2"/>
    <row r="9866" ht="12.75" customHeight="1" x14ac:dyDescent="0.2"/>
    <row r="9867" ht="12.75" customHeight="1" x14ac:dyDescent="0.2"/>
    <row r="9868" ht="12.75" customHeight="1" x14ac:dyDescent="0.2"/>
    <row r="9869" ht="12.75" customHeight="1" x14ac:dyDescent="0.2"/>
    <row r="9870" ht="12.75" customHeight="1" x14ac:dyDescent="0.2"/>
    <row r="9871" ht="12.75" customHeight="1" x14ac:dyDescent="0.2"/>
    <row r="9872" ht="12.75" customHeight="1" x14ac:dyDescent="0.2"/>
    <row r="9873" ht="12.75" customHeight="1" x14ac:dyDescent="0.2"/>
    <row r="9874" ht="12.75" customHeight="1" x14ac:dyDescent="0.2"/>
    <row r="9875" ht="12.75" customHeight="1" x14ac:dyDescent="0.2"/>
    <row r="9876" ht="12.75" customHeight="1" x14ac:dyDescent="0.2"/>
    <row r="9877" ht="12.75" customHeight="1" x14ac:dyDescent="0.2"/>
    <row r="9878" ht="12.75" customHeight="1" x14ac:dyDescent="0.2"/>
    <row r="9879" ht="12.75" customHeight="1" x14ac:dyDescent="0.2"/>
    <row r="9880" ht="12.75" customHeight="1" x14ac:dyDescent="0.2"/>
    <row r="9881" ht="12.75" customHeight="1" x14ac:dyDescent="0.2"/>
    <row r="9882" ht="12.75" customHeight="1" x14ac:dyDescent="0.2"/>
    <row r="9883" ht="12.75" customHeight="1" x14ac:dyDescent="0.2"/>
    <row r="9884" ht="12.75" customHeight="1" x14ac:dyDescent="0.2"/>
    <row r="9885" ht="12.75" customHeight="1" x14ac:dyDescent="0.2"/>
    <row r="9886" ht="12.75" customHeight="1" x14ac:dyDescent="0.2"/>
    <row r="9887" ht="12.75" customHeight="1" x14ac:dyDescent="0.2"/>
    <row r="9888" ht="12.75" customHeight="1" x14ac:dyDescent="0.2"/>
    <row r="9889" ht="12.75" customHeight="1" x14ac:dyDescent="0.2"/>
    <row r="9890" ht="12.75" customHeight="1" x14ac:dyDescent="0.2"/>
    <row r="9891" ht="12.75" customHeight="1" x14ac:dyDescent="0.2"/>
    <row r="9892" ht="12.75" customHeight="1" x14ac:dyDescent="0.2"/>
    <row r="9893" ht="12.75" customHeight="1" x14ac:dyDescent="0.2"/>
    <row r="9894" ht="12.75" customHeight="1" x14ac:dyDescent="0.2"/>
    <row r="9895" ht="12.75" customHeight="1" x14ac:dyDescent="0.2"/>
    <row r="9896" ht="12.75" customHeight="1" x14ac:dyDescent="0.2"/>
    <row r="9897" ht="12.75" customHeight="1" x14ac:dyDescent="0.2"/>
    <row r="9898" ht="12.75" customHeight="1" x14ac:dyDescent="0.2"/>
    <row r="9899" ht="12.75" customHeight="1" x14ac:dyDescent="0.2"/>
    <row r="9900" ht="12.75" customHeight="1" x14ac:dyDescent="0.2"/>
    <row r="9901" ht="12.75" customHeight="1" x14ac:dyDescent="0.2"/>
    <row r="9902" ht="12.75" customHeight="1" x14ac:dyDescent="0.2"/>
    <row r="9903" ht="12.75" customHeight="1" x14ac:dyDescent="0.2"/>
    <row r="9904" ht="12.75" customHeight="1" x14ac:dyDescent="0.2"/>
    <row r="9905" ht="12.75" customHeight="1" x14ac:dyDescent="0.2"/>
    <row r="9906" ht="12.75" customHeight="1" x14ac:dyDescent="0.2"/>
    <row r="9907" ht="12.75" customHeight="1" x14ac:dyDescent="0.2"/>
    <row r="9908" ht="12.75" customHeight="1" x14ac:dyDescent="0.2"/>
    <row r="9909" ht="12.75" customHeight="1" x14ac:dyDescent="0.2"/>
    <row r="9910" ht="12.75" customHeight="1" x14ac:dyDescent="0.2"/>
    <row r="9911" ht="12.75" customHeight="1" x14ac:dyDescent="0.2"/>
    <row r="9912" ht="12.75" customHeight="1" x14ac:dyDescent="0.2"/>
    <row r="9913" ht="12.75" customHeight="1" x14ac:dyDescent="0.2"/>
    <row r="9914" ht="12.75" customHeight="1" x14ac:dyDescent="0.2"/>
    <row r="9915" ht="12.75" customHeight="1" x14ac:dyDescent="0.2"/>
    <row r="9916" ht="12.75" customHeight="1" x14ac:dyDescent="0.2"/>
    <row r="9917" ht="12.75" customHeight="1" x14ac:dyDescent="0.2"/>
    <row r="9918" ht="12.75" customHeight="1" x14ac:dyDescent="0.2"/>
    <row r="9919" ht="12.75" customHeight="1" x14ac:dyDescent="0.2"/>
    <row r="9920" ht="12.75" customHeight="1" x14ac:dyDescent="0.2"/>
    <row r="9921" ht="12.75" customHeight="1" x14ac:dyDescent="0.2"/>
    <row r="9922" ht="12.75" customHeight="1" x14ac:dyDescent="0.2"/>
    <row r="9923" ht="12.75" customHeight="1" x14ac:dyDescent="0.2"/>
    <row r="9924" ht="12.75" customHeight="1" x14ac:dyDescent="0.2"/>
    <row r="9925" ht="12.75" customHeight="1" x14ac:dyDescent="0.2"/>
    <row r="9926" ht="12.75" customHeight="1" x14ac:dyDescent="0.2"/>
    <row r="9927" ht="12.75" customHeight="1" x14ac:dyDescent="0.2"/>
    <row r="9928" ht="12.75" customHeight="1" x14ac:dyDescent="0.2"/>
    <row r="9929" ht="12.75" customHeight="1" x14ac:dyDescent="0.2"/>
    <row r="9930" ht="12.75" customHeight="1" x14ac:dyDescent="0.2"/>
    <row r="9931" ht="12.75" customHeight="1" x14ac:dyDescent="0.2"/>
    <row r="9932" ht="12.75" customHeight="1" x14ac:dyDescent="0.2"/>
    <row r="9933" ht="12.75" customHeight="1" x14ac:dyDescent="0.2"/>
    <row r="9934" ht="12.75" customHeight="1" x14ac:dyDescent="0.2"/>
    <row r="9935" ht="12.75" customHeight="1" x14ac:dyDescent="0.2"/>
    <row r="9936" ht="12.75" customHeight="1" x14ac:dyDescent="0.2"/>
    <row r="9937" ht="12.75" customHeight="1" x14ac:dyDescent="0.2"/>
    <row r="9938" ht="12.75" customHeight="1" x14ac:dyDescent="0.2"/>
    <row r="9939" ht="12.75" customHeight="1" x14ac:dyDescent="0.2"/>
    <row r="9940" ht="12.75" customHeight="1" x14ac:dyDescent="0.2"/>
    <row r="9941" ht="12.75" customHeight="1" x14ac:dyDescent="0.2"/>
    <row r="9942" ht="12.75" customHeight="1" x14ac:dyDescent="0.2"/>
    <row r="9943" ht="12.75" customHeight="1" x14ac:dyDescent="0.2"/>
    <row r="9944" ht="12.75" customHeight="1" x14ac:dyDescent="0.2"/>
    <row r="9945" ht="12.75" customHeight="1" x14ac:dyDescent="0.2"/>
    <row r="9946" ht="12.75" customHeight="1" x14ac:dyDescent="0.2"/>
    <row r="9947" ht="12.75" customHeight="1" x14ac:dyDescent="0.2"/>
    <row r="9948" ht="12.75" customHeight="1" x14ac:dyDescent="0.2"/>
    <row r="9949" ht="12.75" customHeight="1" x14ac:dyDescent="0.2"/>
    <row r="9950" ht="12.75" customHeight="1" x14ac:dyDescent="0.2"/>
    <row r="9951" ht="12.75" customHeight="1" x14ac:dyDescent="0.2"/>
    <row r="9952" ht="12.75" customHeight="1" x14ac:dyDescent="0.2"/>
    <row r="9953" ht="12.75" customHeight="1" x14ac:dyDescent="0.2"/>
    <row r="9954" ht="12.75" customHeight="1" x14ac:dyDescent="0.2"/>
    <row r="9955" ht="12.75" customHeight="1" x14ac:dyDescent="0.2"/>
    <row r="9956" ht="12.75" customHeight="1" x14ac:dyDescent="0.2"/>
    <row r="9957" ht="12.75" customHeight="1" x14ac:dyDescent="0.2"/>
    <row r="9958" ht="12.75" customHeight="1" x14ac:dyDescent="0.2"/>
    <row r="9959" ht="12.75" customHeight="1" x14ac:dyDescent="0.2"/>
    <row r="9960" ht="12.75" customHeight="1" x14ac:dyDescent="0.2"/>
    <row r="9961" ht="12.75" customHeight="1" x14ac:dyDescent="0.2"/>
    <row r="9962" ht="12.75" customHeight="1" x14ac:dyDescent="0.2"/>
    <row r="9963" ht="12.75" customHeight="1" x14ac:dyDescent="0.2"/>
    <row r="9964" ht="12.75" customHeight="1" x14ac:dyDescent="0.2"/>
    <row r="9965" ht="12.75" customHeight="1" x14ac:dyDescent="0.2"/>
    <row r="9966" ht="12.75" customHeight="1" x14ac:dyDescent="0.2"/>
    <row r="9967" ht="12.75" customHeight="1" x14ac:dyDescent="0.2"/>
    <row r="9968" ht="12.75" customHeight="1" x14ac:dyDescent="0.2"/>
    <row r="9969" ht="12.75" customHeight="1" x14ac:dyDescent="0.2"/>
    <row r="9970" ht="12.75" customHeight="1" x14ac:dyDescent="0.2"/>
    <row r="9971" ht="12.75" customHeight="1" x14ac:dyDescent="0.2"/>
    <row r="9972" ht="12.75" customHeight="1" x14ac:dyDescent="0.2"/>
    <row r="9973" ht="12.75" customHeight="1" x14ac:dyDescent="0.2"/>
    <row r="9974" ht="12.75" customHeight="1" x14ac:dyDescent="0.2"/>
    <row r="9975" ht="12.75" customHeight="1" x14ac:dyDescent="0.2"/>
    <row r="9976" ht="12.75" customHeight="1" x14ac:dyDescent="0.2"/>
    <row r="9977" ht="12.75" customHeight="1" x14ac:dyDescent="0.2"/>
    <row r="9978" ht="12.75" customHeight="1" x14ac:dyDescent="0.2"/>
    <row r="9979" ht="12.75" customHeight="1" x14ac:dyDescent="0.2"/>
    <row r="9980" ht="12.75" customHeight="1" x14ac:dyDescent="0.2"/>
    <row r="9981" ht="12.75" customHeight="1" x14ac:dyDescent="0.2"/>
    <row r="9982" ht="12.75" customHeight="1" x14ac:dyDescent="0.2"/>
    <row r="9983" ht="12.75" customHeight="1" x14ac:dyDescent="0.2"/>
    <row r="9984" ht="12.75" customHeight="1" x14ac:dyDescent="0.2"/>
    <row r="9985" ht="12.75" customHeight="1" x14ac:dyDescent="0.2"/>
    <row r="9986" ht="12.75" customHeight="1" x14ac:dyDescent="0.2"/>
    <row r="9987" ht="12.75" customHeight="1" x14ac:dyDescent="0.2"/>
    <row r="9988" ht="12.75" customHeight="1" x14ac:dyDescent="0.2"/>
    <row r="9989" ht="12.75" customHeight="1" x14ac:dyDescent="0.2"/>
    <row r="9990" ht="12.75" customHeight="1" x14ac:dyDescent="0.2"/>
    <row r="9991" ht="12.75" customHeight="1" x14ac:dyDescent="0.2"/>
    <row r="9992" ht="12.75" customHeight="1" x14ac:dyDescent="0.2"/>
    <row r="9993" ht="12.75" customHeight="1" x14ac:dyDescent="0.2"/>
    <row r="9994" ht="12.75" customHeight="1" x14ac:dyDescent="0.2"/>
    <row r="9995" ht="12.75" customHeight="1" x14ac:dyDescent="0.2"/>
    <row r="9996" ht="12.75" customHeight="1" x14ac:dyDescent="0.2"/>
    <row r="9997" ht="12.75" customHeight="1" x14ac:dyDescent="0.2"/>
    <row r="9998" ht="12.75" customHeight="1" x14ac:dyDescent="0.2"/>
    <row r="9999" ht="12.75" customHeight="1" x14ac:dyDescent="0.2"/>
    <row r="10000" ht="12.75" customHeight="1" x14ac:dyDescent="0.2"/>
    <row r="10001" ht="12.75" customHeight="1" x14ac:dyDescent="0.2"/>
    <row r="10002" ht="12.75" customHeight="1" x14ac:dyDescent="0.2"/>
    <row r="10003" ht="12.75" customHeight="1" x14ac:dyDescent="0.2"/>
    <row r="10004" ht="12.75" customHeight="1" x14ac:dyDescent="0.2"/>
    <row r="10005" ht="12.75" customHeight="1" x14ac:dyDescent="0.2"/>
    <row r="10006" ht="12.75" customHeight="1" x14ac:dyDescent="0.2"/>
    <row r="10007" ht="12.75" customHeight="1" x14ac:dyDescent="0.2"/>
    <row r="10008" ht="12.75" customHeight="1" x14ac:dyDescent="0.2"/>
    <row r="10009" ht="12.75" customHeight="1" x14ac:dyDescent="0.2"/>
    <row r="10010" ht="12.75" customHeight="1" x14ac:dyDescent="0.2"/>
    <row r="10011" ht="12.75" customHeight="1" x14ac:dyDescent="0.2"/>
    <row r="10012" ht="12.75" customHeight="1" x14ac:dyDescent="0.2"/>
    <row r="10013" ht="12.75" customHeight="1" x14ac:dyDescent="0.2"/>
    <row r="10014" ht="12.75" customHeight="1" x14ac:dyDescent="0.2"/>
    <row r="10015" ht="12.75" customHeight="1" x14ac:dyDescent="0.2"/>
    <row r="10016" ht="12.75" customHeight="1" x14ac:dyDescent="0.2"/>
    <row r="10017" ht="12.75" customHeight="1" x14ac:dyDescent="0.2"/>
    <row r="10018" ht="12.75" customHeight="1" x14ac:dyDescent="0.2"/>
    <row r="10019" ht="12.75" customHeight="1" x14ac:dyDescent="0.2"/>
    <row r="10020" ht="12.75" customHeight="1" x14ac:dyDescent="0.2"/>
    <row r="10021" ht="12.75" customHeight="1" x14ac:dyDescent="0.2"/>
    <row r="10022" ht="12.75" customHeight="1" x14ac:dyDescent="0.2"/>
    <row r="10023" ht="12.75" customHeight="1" x14ac:dyDescent="0.2"/>
    <row r="10024" ht="12.75" customHeight="1" x14ac:dyDescent="0.2"/>
    <row r="10025" ht="12.75" customHeight="1" x14ac:dyDescent="0.2"/>
    <row r="10026" ht="12.75" customHeight="1" x14ac:dyDescent="0.2"/>
    <row r="10027" ht="12.75" customHeight="1" x14ac:dyDescent="0.2"/>
    <row r="10028" ht="12.75" customHeight="1" x14ac:dyDescent="0.2"/>
    <row r="10029" ht="12.75" customHeight="1" x14ac:dyDescent="0.2"/>
    <row r="10030" ht="12.75" customHeight="1" x14ac:dyDescent="0.2"/>
    <row r="10031" ht="12.75" customHeight="1" x14ac:dyDescent="0.2"/>
    <row r="10032" ht="12.75" customHeight="1" x14ac:dyDescent="0.2"/>
    <row r="10033" ht="12.75" customHeight="1" x14ac:dyDescent="0.2"/>
    <row r="10034" ht="12.75" customHeight="1" x14ac:dyDescent="0.2"/>
    <row r="10035" ht="12.75" customHeight="1" x14ac:dyDescent="0.2"/>
    <row r="10036" ht="12.75" customHeight="1" x14ac:dyDescent="0.2"/>
    <row r="10037" ht="12.75" customHeight="1" x14ac:dyDescent="0.2"/>
    <row r="10038" ht="12.75" customHeight="1" x14ac:dyDescent="0.2"/>
    <row r="10039" ht="12.75" customHeight="1" x14ac:dyDescent="0.2"/>
    <row r="10040" ht="12.75" customHeight="1" x14ac:dyDescent="0.2"/>
    <row r="10041" ht="12.75" customHeight="1" x14ac:dyDescent="0.2"/>
    <row r="10042" ht="12.75" customHeight="1" x14ac:dyDescent="0.2"/>
    <row r="10043" ht="12.75" customHeight="1" x14ac:dyDescent="0.2"/>
    <row r="10044" ht="12.75" customHeight="1" x14ac:dyDescent="0.2"/>
    <row r="10045" ht="12.75" customHeight="1" x14ac:dyDescent="0.2"/>
    <row r="10046" ht="12.75" customHeight="1" x14ac:dyDescent="0.2"/>
    <row r="10047" ht="12.75" customHeight="1" x14ac:dyDescent="0.2"/>
    <row r="10048" ht="12.75" customHeight="1" x14ac:dyDescent="0.2"/>
    <row r="10049" ht="12.75" customHeight="1" x14ac:dyDescent="0.2"/>
    <row r="10050" ht="12.75" customHeight="1" x14ac:dyDescent="0.2"/>
    <row r="10051" ht="12.75" customHeight="1" x14ac:dyDescent="0.2"/>
    <row r="10052" ht="12.75" customHeight="1" x14ac:dyDescent="0.2"/>
    <row r="10053" ht="12.75" customHeight="1" x14ac:dyDescent="0.2"/>
    <row r="10054" ht="12.75" customHeight="1" x14ac:dyDescent="0.2"/>
    <row r="10055" ht="12.75" customHeight="1" x14ac:dyDescent="0.2"/>
    <row r="10056" ht="12.75" customHeight="1" x14ac:dyDescent="0.2"/>
    <row r="10057" ht="12.75" customHeight="1" x14ac:dyDescent="0.2"/>
    <row r="10058" ht="12.75" customHeight="1" x14ac:dyDescent="0.2"/>
    <row r="10059" ht="12.75" customHeight="1" x14ac:dyDescent="0.2"/>
    <row r="10060" ht="12.75" customHeight="1" x14ac:dyDescent="0.2"/>
    <row r="10061" ht="12.75" customHeight="1" x14ac:dyDescent="0.2"/>
    <row r="10062" ht="12.75" customHeight="1" x14ac:dyDescent="0.2"/>
    <row r="10063" ht="12.75" customHeight="1" x14ac:dyDescent="0.2"/>
    <row r="10064" ht="12.75" customHeight="1" x14ac:dyDescent="0.2"/>
    <row r="10065" ht="12.75" customHeight="1" x14ac:dyDescent="0.2"/>
    <row r="10066" ht="12.75" customHeight="1" x14ac:dyDescent="0.2"/>
    <row r="10067" ht="12.75" customHeight="1" x14ac:dyDescent="0.2"/>
    <row r="10068" ht="12.75" customHeight="1" x14ac:dyDescent="0.2"/>
    <row r="10069" ht="12.75" customHeight="1" x14ac:dyDescent="0.2"/>
    <row r="10070" ht="12.75" customHeight="1" x14ac:dyDescent="0.2"/>
    <row r="10071" ht="12.75" customHeight="1" x14ac:dyDescent="0.2"/>
    <row r="10072" ht="12.75" customHeight="1" x14ac:dyDescent="0.2"/>
    <row r="10073" ht="12.75" customHeight="1" x14ac:dyDescent="0.2"/>
    <row r="10074" ht="12.75" customHeight="1" x14ac:dyDescent="0.2"/>
    <row r="10075" ht="12.75" customHeight="1" x14ac:dyDescent="0.2"/>
    <row r="10076" ht="12.75" customHeight="1" x14ac:dyDescent="0.2"/>
    <row r="10077" ht="12.75" customHeight="1" x14ac:dyDescent="0.2"/>
    <row r="10078" ht="12.75" customHeight="1" x14ac:dyDescent="0.2"/>
    <row r="10079" ht="12.75" customHeight="1" x14ac:dyDescent="0.2"/>
    <row r="10080" ht="12.75" customHeight="1" x14ac:dyDescent="0.2"/>
    <row r="10081" ht="12.75" customHeight="1" x14ac:dyDescent="0.2"/>
    <row r="10082" ht="12.75" customHeight="1" x14ac:dyDescent="0.2"/>
    <row r="10083" ht="12.75" customHeight="1" x14ac:dyDescent="0.2"/>
    <row r="10084" ht="12.75" customHeight="1" x14ac:dyDescent="0.2"/>
    <row r="10085" ht="12.75" customHeight="1" x14ac:dyDescent="0.2"/>
    <row r="10086" ht="12.75" customHeight="1" x14ac:dyDescent="0.2"/>
    <row r="10087" ht="12.75" customHeight="1" x14ac:dyDescent="0.2"/>
    <row r="10088" ht="12.75" customHeight="1" x14ac:dyDescent="0.2"/>
    <row r="10089" ht="12.75" customHeight="1" x14ac:dyDescent="0.2"/>
    <row r="10090" ht="12.75" customHeight="1" x14ac:dyDescent="0.2"/>
    <row r="10091" ht="12.75" customHeight="1" x14ac:dyDescent="0.2"/>
    <row r="10092" ht="12.75" customHeight="1" x14ac:dyDescent="0.2"/>
    <row r="10093" ht="12.75" customHeight="1" x14ac:dyDescent="0.2"/>
    <row r="10094" ht="12.75" customHeight="1" x14ac:dyDescent="0.2"/>
    <row r="10095" ht="12.75" customHeight="1" x14ac:dyDescent="0.2"/>
    <row r="10096" ht="12.75" customHeight="1" x14ac:dyDescent="0.2"/>
    <row r="10097" ht="12.75" customHeight="1" x14ac:dyDescent="0.2"/>
    <row r="10098" ht="12.75" customHeight="1" x14ac:dyDescent="0.2"/>
    <row r="10099" ht="12.75" customHeight="1" x14ac:dyDescent="0.2"/>
    <row r="10100" ht="12.75" customHeight="1" x14ac:dyDescent="0.2"/>
    <row r="10101" ht="12.75" customHeight="1" x14ac:dyDescent="0.2"/>
    <row r="10102" ht="12.75" customHeight="1" x14ac:dyDescent="0.2"/>
    <row r="10103" ht="12.75" customHeight="1" x14ac:dyDescent="0.2"/>
    <row r="10104" ht="12.75" customHeight="1" x14ac:dyDescent="0.2"/>
    <row r="10105" ht="12.75" customHeight="1" x14ac:dyDescent="0.2"/>
    <row r="10106" ht="12.75" customHeight="1" x14ac:dyDescent="0.2"/>
    <row r="10107" ht="12.75" customHeight="1" x14ac:dyDescent="0.2"/>
    <row r="10108" ht="12.75" customHeight="1" x14ac:dyDescent="0.2"/>
    <row r="10109" ht="12.75" customHeight="1" x14ac:dyDescent="0.2"/>
    <row r="10110" ht="12.75" customHeight="1" x14ac:dyDescent="0.2"/>
    <row r="10111" ht="12.75" customHeight="1" x14ac:dyDescent="0.2"/>
    <row r="10112" ht="12.75" customHeight="1" x14ac:dyDescent="0.2"/>
    <row r="10113" ht="12.75" customHeight="1" x14ac:dyDescent="0.2"/>
    <row r="10114" ht="12.75" customHeight="1" x14ac:dyDescent="0.2"/>
    <row r="10115" ht="12.75" customHeight="1" x14ac:dyDescent="0.2"/>
    <row r="10116" ht="12.75" customHeight="1" x14ac:dyDescent="0.2"/>
    <row r="10117" ht="12.75" customHeight="1" x14ac:dyDescent="0.2"/>
    <row r="10118" ht="12.75" customHeight="1" x14ac:dyDescent="0.2"/>
    <row r="10119" ht="12.75" customHeight="1" x14ac:dyDescent="0.2"/>
    <row r="10120" ht="12.75" customHeight="1" x14ac:dyDescent="0.2"/>
    <row r="10121" ht="12.75" customHeight="1" x14ac:dyDescent="0.2"/>
    <row r="10122" ht="12.75" customHeight="1" x14ac:dyDescent="0.2"/>
    <row r="10123" ht="12.75" customHeight="1" x14ac:dyDescent="0.2"/>
    <row r="10124" ht="12.75" customHeight="1" x14ac:dyDescent="0.2"/>
    <row r="10125" ht="12.75" customHeight="1" x14ac:dyDescent="0.2"/>
    <row r="10126" ht="12.75" customHeight="1" x14ac:dyDescent="0.2"/>
    <row r="10127" ht="12.75" customHeight="1" x14ac:dyDescent="0.2"/>
    <row r="10128" ht="12.75" customHeight="1" x14ac:dyDescent="0.2"/>
    <row r="10129" spans="1:2" ht="12.75" customHeight="1" x14ac:dyDescent="0.2"/>
    <row r="10130" spans="1:2" ht="12.75" customHeight="1" x14ac:dyDescent="0.2"/>
    <row r="10131" spans="1:2" ht="12.75" customHeight="1" x14ac:dyDescent="0.2"/>
    <row r="10132" spans="1:2" ht="12.75" customHeight="1" x14ac:dyDescent="0.2"/>
    <row r="10133" spans="1:2" ht="12.75" customHeight="1" x14ac:dyDescent="0.2"/>
    <row r="10134" spans="1:2" ht="12.75" customHeight="1" x14ac:dyDescent="0.2"/>
    <row r="10135" spans="1:2" ht="12.75" customHeight="1" x14ac:dyDescent="0.2">
      <c r="B10135" s="14"/>
    </row>
    <row r="10136" spans="1:2" ht="12.75" customHeight="1" x14ac:dyDescent="0.2"/>
    <row r="10137" spans="1:2" ht="12.75" customHeight="1" x14ac:dyDescent="0.2">
      <c r="A10137" s="14" t="b">
        <v>0</v>
      </c>
    </row>
    <row r="10138" spans="1:2" ht="12.75" customHeight="1" x14ac:dyDescent="0.2"/>
    <row r="10139" spans="1:2" ht="12.75" customHeight="1" x14ac:dyDescent="0.2"/>
    <row r="10140" spans="1:2" ht="12.75" customHeight="1" x14ac:dyDescent="0.2"/>
    <row r="10141" spans="1:2" ht="12.75" customHeight="1" x14ac:dyDescent="0.2"/>
    <row r="10142" spans="1:2" ht="12.75" customHeight="1" x14ac:dyDescent="0.2"/>
    <row r="10143" spans="1:2" ht="12.75" customHeight="1" x14ac:dyDescent="0.2"/>
    <row r="10144" spans="1:2" ht="12.75" customHeight="1" x14ac:dyDescent="0.2"/>
    <row r="10145" spans="2:2" ht="12.75" customHeight="1" x14ac:dyDescent="0.2">
      <c r="B10145" s="14" t="b">
        <v>1</v>
      </c>
    </row>
    <row r="10146" spans="2:2" ht="12.75" customHeight="1" x14ac:dyDescent="0.2"/>
    <row r="10147" spans="2:2" ht="12.75" customHeight="1" x14ac:dyDescent="0.2"/>
    <row r="10148" spans="2:2" ht="12.75" customHeight="1" x14ac:dyDescent="0.2"/>
    <row r="10149" spans="2:2" ht="12.75" customHeight="1" x14ac:dyDescent="0.2"/>
    <row r="10150" spans="2:2" ht="12.75" customHeight="1" x14ac:dyDescent="0.2"/>
    <row r="10151" spans="2:2" ht="12.75" customHeight="1" x14ac:dyDescent="0.2"/>
    <row r="10152" spans="2:2" ht="12.75" customHeight="1" x14ac:dyDescent="0.2"/>
    <row r="10153" spans="2:2" ht="12.75" customHeight="1" x14ac:dyDescent="0.2"/>
    <row r="10154" spans="2:2" ht="12.75" customHeight="1" x14ac:dyDescent="0.2"/>
    <row r="10155" spans="2:2" ht="12.75" customHeight="1" x14ac:dyDescent="0.2"/>
    <row r="10156" spans="2:2" ht="12.75" customHeight="1" x14ac:dyDescent="0.2"/>
    <row r="10157" spans="2:2" ht="12.75" customHeight="1" x14ac:dyDescent="0.2"/>
    <row r="10158" spans="2:2" ht="12.75" customHeight="1" x14ac:dyDescent="0.2"/>
    <row r="10159" spans="2:2" ht="12.75" customHeight="1" x14ac:dyDescent="0.2"/>
    <row r="10160" spans="2:2" ht="12.75" customHeight="1" x14ac:dyDescent="0.2"/>
  </sheetData>
  <sheetProtection formatColumns="0" formatRows="0"/>
  <mergeCells count="4">
    <mergeCell ref="B1:M1"/>
    <mergeCell ref="B2:M2"/>
    <mergeCell ref="A9:A16"/>
    <mergeCell ref="A23:A244"/>
  </mergeCells>
  <printOptions horizontalCentered="1"/>
  <pageMargins left="0" right="0" top="0" bottom="0" header="0" footer="0"/>
  <pageSetup scale="60" orientation="landscape" r:id="rId1"/>
  <headerFooter alignWithMargins="0">
    <oddFooter>&amp;L&amp;D &amp;T&amp;C&amp;Z&amp;F&amp;R&amp;P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P10160"/>
  <sheetViews>
    <sheetView showGridLines="0" zoomScaleNormal="100" workbookViewId="0">
      <pane xSplit="3" ySplit="9" topLeftCell="D10" activePane="bottomRight" state="frozen"/>
      <selection sqref="A1:L1"/>
      <selection pane="topRight" sqref="A1:L1"/>
      <selection pane="bottomLeft" sqref="A1:L1"/>
      <selection pane="bottomRight" activeCell="D10" sqref="D10"/>
    </sheetView>
  </sheetViews>
  <sheetFormatPr defaultRowHeight="12.75" x14ac:dyDescent="0.2"/>
  <cols>
    <col min="1" max="1" width="3.7109375" customWidth="1"/>
    <col min="2" max="2" width="8.7109375" customWidth="1"/>
    <col min="3" max="3" width="41.7109375" style="20" bestFit="1" customWidth="1"/>
    <col min="4" max="4" width="15.140625" bestFit="1" customWidth="1"/>
    <col min="5" max="6" width="10.28515625" bestFit="1" customWidth="1"/>
    <col min="7" max="7" width="12.140625" bestFit="1" customWidth="1"/>
    <col min="8" max="15" width="12.85546875" bestFit="1" customWidth="1"/>
    <col min="16" max="16" width="13.5703125" bestFit="1" customWidth="1"/>
  </cols>
  <sheetData>
    <row r="1" spans="1:16" ht="18" customHeight="1" x14ac:dyDescent="0.25">
      <c r="B1" s="241" t="str">
        <f>Assumptions!D5&amp;" - Reserve &amp; Special Assessment Analysis Option 5"</f>
        <v>Dana Point - Reserve &amp; Special Assessment Analysis Option 5</v>
      </c>
      <c r="C1" s="241"/>
      <c r="D1" s="241"/>
      <c r="E1" s="241"/>
      <c r="F1" s="241"/>
      <c r="G1" s="241"/>
      <c r="H1" s="241"/>
      <c r="I1" s="241"/>
      <c r="J1" s="241"/>
      <c r="K1" s="241"/>
      <c r="L1" s="241"/>
      <c r="M1" s="241"/>
      <c r="N1" s="155"/>
      <c r="O1" s="155"/>
    </row>
    <row r="2" spans="1:16" ht="18" customHeight="1" x14ac:dyDescent="0.25">
      <c r="B2" s="241" t="str">
        <f>+Assumptions!D7&amp;" Reserve Study 10-Year Projection"</f>
        <v>2013 Reserve Study 10-Year Projection</v>
      </c>
      <c r="C2" s="241"/>
      <c r="D2" s="241"/>
      <c r="E2" s="241"/>
      <c r="F2" s="241"/>
      <c r="G2" s="241"/>
      <c r="H2" s="241"/>
      <c r="I2" s="241"/>
      <c r="J2" s="241"/>
      <c r="K2" s="241"/>
      <c r="L2" s="241"/>
      <c r="M2" s="241"/>
      <c r="N2" s="155"/>
      <c r="O2" s="155"/>
    </row>
    <row r="3" spans="1:16" ht="12.75" customHeight="1" x14ac:dyDescent="0.2"/>
    <row r="4" spans="1:16" ht="12.75" customHeight="1" x14ac:dyDescent="0.2">
      <c r="C4" s="20" t="s">
        <v>8</v>
      </c>
      <c r="D4" s="39">
        <f>Assumptions!F21</f>
        <v>0</v>
      </c>
    </row>
    <row r="5" spans="1:16" ht="12.75" hidden="1" customHeight="1" x14ac:dyDescent="0.2">
      <c r="D5" s="20"/>
      <c r="E5">
        <f>IF(YEAR(Assumptions!$D8)&lt;YEAR(Assumptions!F22),0,1)</f>
        <v>1</v>
      </c>
      <c r="F5">
        <f t="shared" ref="F5:O9" si="0">+E5+1</f>
        <v>2</v>
      </c>
      <c r="G5">
        <f t="shared" si="0"/>
        <v>3</v>
      </c>
      <c r="H5">
        <f t="shared" si="0"/>
        <v>4</v>
      </c>
      <c r="I5">
        <f t="shared" si="0"/>
        <v>5</v>
      </c>
      <c r="J5">
        <f t="shared" si="0"/>
        <v>6</v>
      </c>
      <c r="K5">
        <f t="shared" si="0"/>
        <v>7</v>
      </c>
      <c r="L5">
        <f t="shared" si="0"/>
        <v>8</v>
      </c>
      <c r="M5">
        <f t="shared" si="0"/>
        <v>9</v>
      </c>
      <c r="N5">
        <f t="shared" si="0"/>
        <v>10</v>
      </c>
      <c r="O5">
        <f t="shared" si="0"/>
        <v>11</v>
      </c>
    </row>
    <row r="6" spans="1:16" ht="12.75" hidden="1" customHeight="1" x14ac:dyDescent="0.2">
      <c r="D6" s="20">
        <f>IF(YEAR(Assumptions!F22)&gt;LEFT(D9,4)*1,0,1)</f>
        <v>1</v>
      </c>
      <c r="E6">
        <f>+D7+1</f>
        <v>1389</v>
      </c>
      <c r="F6">
        <f t="shared" ref="F6:O6" si="1">+E7+1</f>
        <v>1</v>
      </c>
      <c r="G6">
        <f t="shared" si="1"/>
        <v>1</v>
      </c>
      <c r="H6">
        <f t="shared" si="1"/>
        <v>1</v>
      </c>
      <c r="I6">
        <f t="shared" si="1"/>
        <v>1</v>
      </c>
      <c r="J6">
        <f t="shared" si="1"/>
        <v>1</v>
      </c>
      <c r="K6">
        <f t="shared" si="1"/>
        <v>1</v>
      </c>
      <c r="L6">
        <f t="shared" si="1"/>
        <v>1</v>
      </c>
      <c r="M6">
        <f t="shared" si="1"/>
        <v>1</v>
      </c>
      <c r="N6">
        <f t="shared" si="1"/>
        <v>1</v>
      </c>
      <c r="O6">
        <f t="shared" si="1"/>
        <v>1</v>
      </c>
    </row>
    <row r="7" spans="1:16" ht="12.75" hidden="1" customHeight="1" x14ac:dyDescent="0.2">
      <c r="D7" s="20">
        <f>IF(D6=0,0,ROUND(((IF(YEAR(Assumptions!D8)&lt;YEAR(Assumptions!F22),(Assumptions!D8+365)-Assumptions!F22,Assumptions!D8-Assumptions!F22))/30),0))</f>
        <v>1388</v>
      </c>
      <c r="E7">
        <f>IF(D7=0,ROUND(((IF(YEAR(Assumptions!D8)&lt;YEAR(Assumptions!F22),(Assumptions!D8+365)-Assumptions!F22,Assumptions!D8-Assumptions!F22))/30),0),IF(Assumptions!$F$24*12&gt;D7+12,D7+12,Assumptions!$F$24*12))</f>
        <v>0</v>
      </c>
      <c r="F7">
        <f>IF(Assumptions!$F$24*12&gt;E7+12,E7+12,Assumptions!$F$24*12)</f>
        <v>0</v>
      </c>
      <c r="G7">
        <f>IF(Assumptions!$F$24*12&gt;F7+12,F7+12,Assumptions!$F$24*12)</f>
        <v>0</v>
      </c>
      <c r="H7">
        <f>IF(Assumptions!$F$24*12&gt;G7+12,G7+12,Assumptions!$F$24*12)</f>
        <v>0</v>
      </c>
      <c r="I7">
        <f>IF(Assumptions!$F$24*12&gt;H7+12,H7+12,Assumptions!$F$24*12)</f>
        <v>0</v>
      </c>
      <c r="J7">
        <f>IF(Assumptions!$F$24*12&gt;I7+12,I7+12,Assumptions!$F$24*12)</f>
        <v>0</v>
      </c>
      <c r="K7">
        <f>IF(Assumptions!$F$24*12&gt;J7+12,J7+12,Assumptions!$F$24*12)</f>
        <v>0</v>
      </c>
      <c r="L7">
        <f>IF(Assumptions!$F$24*12&gt;K7+12,K7+12,Assumptions!$F$24*12)</f>
        <v>0</v>
      </c>
      <c r="M7">
        <f>IF(Assumptions!$F$24*12&gt;L7+12,L7+12,Assumptions!$F$24*12)</f>
        <v>0</v>
      </c>
      <c r="N7">
        <f>IF(Assumptions!$F$24*12&gt;M7+12,M7+12,Assumptions!$F$24*12)</f>
        <v>0</v>
      </c>
      <c r="O7">
        <f>IF(Assumptions!$F$24*12&gt;N7+12,N7+12,Assumptions!$F$24*12)</f>
        <v>0</v>
      </c>
    </row>
    <row r="8" spans="1:16" ht="12.75" customHeight="1" x14ac:dyDescent="0.2">
      <c r="D8" s="20"/>
    </row>
    <row r="9" spans="1:16" ht="15.75" customHeight="1" x14ac:dyDescent="0.25">
      <c r="A9" s="237" t="s">
        <v>1</v>
      </c>
      <c r="B9" s="2" t="s">
        <v>2</v>
      </c>
      <c r="C9" s="23" t="s">
        <v>3</v>
      </c>
      <c r="D9" s="3" t="str">
        <f>Assumptions!D7&amp;" Budget"</f>
        <v>2013 Budget</v>
      </c>
      <c r="E9" s="3">
        <f>+Assumptions!D7+1</f>
        <v>2014</v>
      </c>
      <c r="F9" s="3">
        <f>+E9+1</f>
        <v>2015</v>
      </c>
      <c r="G9" s="3">
        <f t="shared" si="0"/>
        <v>2016</v>
      </c>
      <c r="H9" s="3">
        <f t="shared" si="0"/>
        <v>2017</v>
      </c>
      <c r="I9" s="3">
        <f t="shared" si="0"/>
        <v>2018</v>
      </c>
      <c r="J9" s="3">
        <f t="shared" si="0"/>
        <v>2019</v>
      </c>
      <c r="K9" s="3">
        <f t="shared" si="0"/>
        <v>2020</v>
      </c>
      <c r="L9" s="3">
        <f t="shared" si="0"/>
        <v>2021</v>
      </c>
      <c r="M9" s="3">
        <f t="shared" si="0"/>
        <v>2022</v>
      </c>
      <c r="N9" s="3">
        <f t="shared" si="0"/>
        <v>2023</v>
      </c>
      <c r="O9" s="3">
        <f t="shared" si="0"/>
        <v>2024</v>
      </c>
      <c r="P9" s="3" t="s">
        <v>77</v>
      </c>
    </row>
    <row r="10" spans="1:16" ht="15.75" customHeight="1" x14ac:dyDescent="0.25">
      <c r="A10" s="237"/>
      <c r="B10" s="4" t="s">
        <v>4</v>
      </c>
      <c r="C10" s="24" t="s">
        <v>5</v>
      </c>
      <c r="D10" s="125">
        <f>ROUND((+Assumptions!D10/12*Calc!$G$9),0)</f>
        <v>202156</v>
      </c>
      <c r="E10" s="125">
        <f>+(Assumptions!D10)*(1+Assumptions!K26)</f>
        <v>499729.22000000003</v>
      </c>
      <c r="F10" s="125">
        <f>+E10*(1+Assumptions!K27)</f>
        <v>514721.09660000005</v>
      </c>
      <c r="G10" s="125">
        <f>+F10*(1+Assumptions!K28)</f>
        <v>530162.72949800012</v>
      </c>
      <c r="H10" s="125">
        <f>+G10*(1+Assumptions!K29)</f>
        <v>546067.61138294009</v>
      </c>
      <c r="I10" s="125">
        <f>+H10*(1+Assumptions!K30)</f>
        <v>562449.6397244283</v>
      </c>
      <c r="J10" s="125">
        <f>+I10*(1+Assumptions!K31)</f>
        <v>579323.12891616113</v>
      </c>
      <c r="K10" s="125">
        <f>+J10*(1+Assumptions!K32)</f>
        <v>596702.82278364594</v>
      </c>
      <c r="L10" s="125">
        <f>+K10*(1+Assumptions!K33)</f>
        <v>614603.90746715537</v>
      </c>
      <c r="M10" s="125">
        <f>+L10*(1+Assumptions!K34)</f>
        <v>633042.02469117008</v>
      </c>
      <c r="N10" s="125">
        <f>+M10*(1+Assumptions!K35)</f>
        <v>652033.28543190518</v>
      </c>
      <c r="O10" s="125">
        <f>+N10*(1+Assumptions!K36)</f>
        <v>671594.28399486234</v>
      </c>
      <c r="P10" s="123">
        <f>SUM(D10:O10)</f>
        <v>6602585.7504902687</v>
      </c>
    </row>
    <row r="11" spans="1:16" ht="15.75" customHeight="1" x14ac:dyDescent="0.25">
      <c r="A11" s="237"/>
      <c r="B11" s="29" t="s">
        <v>823</v>
      </c>
      <c r="C11" s="24" t="s">
        <v>5</v>
      </c>
      <c r="D11" s="125">
        <f>+'Option 1'!D11</f>
        <v>58604.166666666672</v>
      </c>
      <c r="E11" s="125">
        <f>+'Option 1'!E11</f>
        <v>152001</v>
      </c>
      <c r="F11" s="125">
        <f>+'Option 1'!F11</f>
        <v>156561.03</v>
      </c>
      <c r="G11" s="125">
        <f>+'Option 1'!G11</f>
        <v>161257.8609</v>
      </c>
      <c r="H11" s="125">
        <f>+'Option 1'!H11</f>
        <v>166095.596727</v>
      </c>
      <c r="I11" s="125">
        <f>+'Option 1'!I11</f>
        <v>171078.46462881</v>
      </c>
      <c r="J11" s="125">
        <f>+'Option 1'!J11</f>
        <v>176210.81856767432</v>
      </c>
      <c r="K11" s="125">
        <f>+'Option 1'!K11</f>
        <v>181497.14312470454</v>
      </c>
      <c r="L11" s="125">
        <f>+'Option 1'!L11</f>
        <v>186942.05741844568</v>
      </c>
      <c r="M11" s="125">
        <f>+'Option 1'!M11</f>
        <v>192550.31914099905</v>
      </c>
      <c r="N11" s="125">
        <f>+'Option 1'!N11</f>
        <v>198326.82871522903</v>
      </c>
      <c r="O11" s="125">
        <f>+'Option 1'!O11</f>
        <v>204276.63357668591</v>
      </c>
      <c r="P11" s="123">
        <f t="shared" ref="P11:P17" si="2">SUM(D11:O11)</f>
        <v>2005401.9194662152</v>
      </c>
    </row>
    <row r="12" spans="1:16" ht="15.75" customHeight="1" x14ac:dyDescent="0.25">
      <c r="A12" s="237"/>
      <c r="B12" s="4" t="s">
        <v>7</v>
      </c>
      <c r="C12" s="24" t="s">
        <v>82</v>
      </c>
      <c r="D12" s="125">
        <f>IF(Assumptions!$F$25=0,IF(ISERROR(-CUMPRINC(0.00000000001/12,Assumptions!$F$24*12,$D$4,D6,D7,0)),0,(-CUMPRINC(0.00000000001/12,Assumptions!$F$24*12,$D$4,D6,D7,0))),IF(ISERROR(-CUMPRINC(Assumptions!$F$25/12,Assumptions!$F$24*12,$D$4,D6,D7,0)),0,(-CUMPRINC(Assumptions!$F$25/12,Assumptions!$F$24*12,$D$4,D6,D7,0))))</f>
        <v>0</v>
      </c>
      <c r="E12" s="125">
        <f>IF(Assumptions!$F$25=0,IF(ISERROR(-CUMPRINC(0.00000000001/12,Assumptions!$F$24*12,$D$4,E6,E7,0)),0,(-CUMPRINC(0.00000000001/12,Assumptions!$F$24*12,$D$4,E6,E7,0))),IF(ISERROR(-CUMPRINC(Assumptions!$F$25/12,Assumptions!$F$24*12,$D$4,E6,E7,0)),0,(-CUMPRINC(Assumptions!$F$25/12,Assumptions!$F$24*12,$D$4,E6,E7,0))))</f>
        <v>0</v>
      </c>
      <c r="F12" s="125">
        <f>IF(Assumptions!$F$25=0,IF(ISERROR(-CUMPRINC(0.00000000001/12,Assumptions!$F$24*12,$D$4,F6,F7,0)),0,(-CUMPRINC(0.00000000001/12,Assumptions!$F$24*12,$D$4,F6,F7,0))),IF(ISERROR(-CUMPRINC(Assumptions!$F$25/12,Assumptions!$F$24*12,$D$4,F6,F7,0)),0,(-CUMPRINC(Assumptions!$F$25/12,Assumptions!$F$24*12,$D$4,F6,F7,0))))</f>
        <v>0</v>
      </c>
      <c r="G12" s="125">
        <f>IF(Assumptions!$F$25=0,IF(ISERROR(-CUMPRINC(0.00000000001/12,Assumptions!$F$24*12,$D$4,G6,G7,0)),0,(-CUMPRINC(0.00000000001/12,Assumptions!$F$24*12,$D$4,G6,G7,0))),IF(ISERROR(-CUMPRINC(Assumptions!$F$25/12,Assumptions!$F$24*12,$D$4,G6,G7,0)),0,(-CUMPRINC(Assumptions!$F$25/12,Assumptions!$F$24*12,$D$4,G6,G7,0))))</f>
        <v>0</v>
      </c>
      <c r="H12" s="125">
        <f>IF(Assumptions!$F$25=0,IF(ISERROR(-CUMPRINC(0.00000000001/12,Assumptions!$F$24*12,$D$4,H6,H7,0)),0,(-CUMPRINC(0.00000000001/12,Assumptions!$F$24*12,$D$4,H6,H7,0))),IF(ISERROR(-CUMPRINC(Assumptions!$F$25/12,Assumptions!$F$24*12,$D$4,H6,H7,0)),0,(-CUMPRINC(Assumptions!$F$25/12,Assumptions!$F$24*12,$D$4,H6,H7,0))))</f>
        <v>0</v>
      </c>
      <c r="I12" s="125">
        <f>IF(Assumptions!$F$25=0,IF(ISERROR(-CUMPRINC(0.00000000001/12,Assumptions!$F$24*12,$D$4,I6,I7,0)),0,(-CUMPRINC(0.00000000001/12,Assumptions!$F$24*12,$D$4,I6,I7,0))),IF(ISERROR(-CUMPRINC(Assumptions!$F$25/12,Assumptions!$F$24*12,$D$4,I6,I7,0)),0,(-CUMPRINC(Assumptions!$F$25/12,Assumptions!$F$24*12,$D$4,I6,I7,0))))</f>
        <v>0</v>
      </c>
      <c r="J12" s="125">
        <f>IF(Assumptions!$F$25=0,IF(ISERROR(-CUMPRINC(0.00000000001/12,Assumptions!$F$24*12,$D$4,J6,J7,0)),0,(-CUMPRINC(0.00000000001/12,Assumptions!$F$24*12,$D$4,J6,J7,0))),IF(ISERROR(-CUMPRINC(Assumptions!$F$25/12,Assumptions!$F$24*12,$D$4,J6,J7,0)),0,(-CUMPRINC(Assumptions!$F$25/12,Assumptions!$F$24*12,$D$4,J6,J7,0))))</f>
        <v>0</v>
      </c>
      <c r="K12" s="125">
        <f>IF(Assumptions!$F$25=0,IF(ISERROR(-CUMPRINC(0.00000000001/12,Assumptions!$F$24*12,$D$4,K6,K7,0)),0,(-CUMPRINC(0.00000000001/12,Assumptions!$F$24*12,$D$4,K6,K7,0))),IF(ISERROR(-CUMPRINC(Assumptions!$F$25/12,Assumptions!$F$24*12,$D$4,K6,K7,0)),0,(-CUMPRINC(Assumptions!$F$25/12,Assumptions!$F$24*12,$D$4,K6,K7,0))))</f>
        <v>0</v>
      </c>
      <c r="L12" s="125">
        <f>IF(Assumptions!$F$25=0,IF(ISERROR(-CUMPRINC(0.00000000001/12,Assumptions!$F$24*12,$D$4,L6,L7,0)),0,(-CUMPRINC(0.00000000001/12,Assumptions!$F$24*12,$D$4,L6,L7,0))),IF(ISERROR(-CUMPRINC(Assumptions!$F$25/12,Assumptions!$F$24*12,$D$4,L6,L7,0)),0,(-CUMPRINC(Assumptions!$F$25/12,Assumptions!$F$24*12,$D$4,L6,L7,0))))</f>
        <v>0</v>
      </c>
      <c r="M12" s="125">
        <f>IF(Assumptions!$F$25=0,IF(ISERROR(-CUMPRINC(0.00000000001/12,Assumptions!$F$24*12,$D$4,M6,M7,0)),0,(-CUMPRINC(0.00000000001/12,Assumptions!$F$24*12,$D$4,M6,M7,0))),IF(ISERROR(-CUMPRINC(Assumptions!$F$25/12,Assumptions!$F$24*12,$D$4,M6,M7,0)),0,(-CUMPRINC(Assumptions!$F$25/12,Assumptions!$F$24*12,$D$4,M6,M7,0))))</f>
        <v>0</v>
      </c>
      <c r="N12" s="125">
        <f>IF(Assumptions!$F$25=0,IF(ISERROR(-CUMPRINC(0.00000000001/12,Assumptions!$F$24*12,$D$4,N6,N7,0)),0,(-CUMPRINC(0.00000000001/12,Assumptions!$F$24*12,$D$4,N6,N7,0))),IF(ISERROR(-CUMPRINC(Assumptions!$F$25/12,Assumptions!$F$24*12,$D$4,N6,N7,0)),0,(-CUMPRINC(Assumptions!$F$25/12,Assumptions!$F$24*12,$D$4,N6,N7,0))))</f>
        <v>0</v>
      </c>
      <c r="O12" s="125">
        <f>IF(Assumptions!$F$25=0,IF(ISERROR(-CUMPRINC(0.00000000001/12,Assumptions!$F$24*12,$D$4,O6,O7,0)),0,(-CUMPRINC(0.00000000001/12,Assumptions!$F$24*12,$D$4,O6,O7,0))),IF(ISERROR(-CUMPRINC(Assumptions!$F$25/12,Assumptions!$F$24*12,$D$4,O6,O7,0)),0,(-CUMPRINC(Assumptions!$F$25/12,Assumptions!$F$24*12,$D$4,O6,O7,0))))</f>
        <v>0</v>
      </c>
      <c r="P12" s="123">
        <f t="shared" si="2"/>
        <v>0</v>
      </c>
    </row>
    <row r="13" spans="1:16" ht="15.75" customHeight="1" x14ac:dyDescent="0.25">
      <c r="A13" s="237"/>
      <c r="B13" s="4" t="s">
        <v>27</v>
      </c>
      <c r="C13" s="24" t="s">
        <v>31</v>
      </c>
      <c r="D13" s="125">
        <f>IF(Assumptions!$F$25=0,IF(ISERROR(-CUMIPMT(0.00000000001/12,Assumptions!$F$24*12,$D$4,D6,D7,0)),0,-CUMIPMT(0.00000000001/12,Assumptions!$F$24*12,$D$4,D6,D7,0)),IF(ISERROR(-CUMIPMT(Assumptions!$F$25/12,Assumptions!$F$24*12,$D$4,D6,D7,0)),0,-CUMIPMT(Assumptions!$F$25/12,Assumptions!$F$24*12,$D$4,D6,D7,0)))</f>
        <v>0</v>
      </c>
      <c r="E13" s="125">
        <f>IF(Assumptions!$F$25=0,IF(ISERROR(-CUMIPMT(0.00000000001/12,Assumptions!$F$24*12,$D$4,E6,E7,0)),0,-CUMIPMT(0.00000000001/12,Assumptions!$F$24*12,$D$4,E6,E7,0)),IF(ISERROR(-CUMIPMT(Assumptions!$F$25/12,Assumptions!$F$24*12,$D$4,E6,E7,0)),0,-CUMIPMT(Assumptions!$F$25/12,Assumptions!$F$24*12,$D$4,E6,E7,0)))</f>
        <v>0</v>
      </c>
      <c r="F13" s="125">
        <f>IF(Assumptions!$F$25=0,IF(ISERROR(-CUMIPMT(0.00000000001/12,Assumptions!$F$24*12,$D$4,F6,F7,0)),0,-CUMIPMT(0.00000000001/12,Assumptions!$F$24*12,$D$4,F6,F7,0)),IF(ISERROR(-CUMIPMT(Assumptions!$F$25/12,Assumptions!$F$24*12,$D$4,F6,F7,0)),0,-CUMIPMT(Assumptions!$F$25/12,Assumptions!$F$24*12,$D$4,F6,F7,0)))</f>
        <v>0</v>
      </c>
      <c r="G13" s="125">
        <f>IF(Assumptions!$F$25=0,IF(ISERROR(-CUMIPMT(0.00000000001/12,Assumptions!$F$24*12,$D$4,G6,G7,0)),0,-CUMIPMT(0.00000000001/12,Assumptions!$F$24*12,$D$4,G6,G7,0)),IF(ISERROR(-CUMIPMT(Assumptions!$F$25/12,Assumptions!$F$24*12,$D$4,G6,G7,0)),0,-CUMIPMT(Assumptions!$F$25/12,Assumptions!$F$24*12,$D$4,G6,G7,0)))</f>
        <v>0</v>
      </c>
      <c r="H13" s="125">
        <f>IF(Assumptions!$F$25=0,IF(ISERROR(-CUMIPMT(0.00000000001/12,Assumptions!$F$24*12,$D$4,H6,H7,0)),0,-CUMIPMT(0.00000000001/12,Assumptions!$F$24*12,$D$4,H6,H7,0)),IF(ISERROR(-CUMIPMT(Assumptions!$F$25/12,Assumptions!$F$24*12,$D$4,H6,H7,0)),0,-CUMIPMT(Assumptions!$F$25/12,Assumptions!$F$24*12,$D$4,H6,H7,0)))</f>
        <v>0</v>
      </c>
      <c r="I13" s="125">
        <f>IF(Assumptions!$F$25=0,IF(ISERROR(-CUMIPMT(0.00000000001/12,Assumptions!$F$24*12,$D$4,I6,I7,0)),0,-CUMIPMT(0.00000000001/12,Assumptions!$F$24*12,$D$4,I6,I7,0)),IF(ISERROR(-CUMIPMT(Assumptions!$F$25/12,Assumptions!$F$24*12,$D$4,I6,I7,0)),0,-CUMIPMT(Assumptions!$F$25/12,Assumptions!$F$24*12,$D$4,I6,I7,0)))</f>
        <v>0</v>
      </c>
      <c r="J13" s="125">
        <f>IF(Assumptions!$F$25=0,IF(ISERROR(-CUMIPMT(0.00000000001/12,Assumptions!$F$24*12,$D$4,J6,J7,0)),0,-CUMIPMT(0.00000000001/12,Assumptions!$F$24*12,$D$4,J6,J7,0)),IF(ISERROR(-CUMIPMT(Assumptions!$F$25/12,Assumptions!$F$24*12,$D$4,J6,J7,0)),0,-CUMIPMT(Assumptions!$F$25/12,Assumptions!$F$24*12,$D$4,J6,J7,0)))</f>
        <v>0</v>
      </c>
      <c r="K13" s="125">
        <f>IF(Assumptions!$F$25=0,IF(ISERROR(-CUMIPMT(0.00000000001/12,Assumptions!$F$24*12,$D$4,K6,K7,0)),0,-CUMIPMT(0.00000000001/12,Assumptions!$F$24*12,$D$4,K6,K7,0)),IF(ISERROR(-CUMIPMT(Assumptions!$F$25/12,Assumptions!$F$24*12,$D$4,K6,K7,0)),0,-CUMIPMT(Assumptions!$F$25/12,Assumptions!$F$24*12,$D$4,K6,K7,0)))</f>
        <v>0</v>
      </c>
      <c r="L13" s="125">
        <f>IF(Assumptions!$F$25=0,IF(ISERROR(-CUMIPMT(0.00000000001/12,Assumptions!$F$24*12,$D$4,L6,L7,0)),0,-CUMIPMT(0.00000000001/12,Assumptions!$F$24*12,$D$4,L6,L7,0)),IF(ISERROR(-CUMIPMT(Assumptions!$F$25/12,Assumptions!$F$24*12,$D$4,L6,L7,0)),0,-CUMIPMT(Assumptions!$F$25/12,Assumptions!$F$24*12,$D$4,L6,L7,0)))</f>
        <v>0</v>
      </c>
      <c r="M13" s="125">
        <f>IF(Assumptions!$F$25=0,IF(ISERROR(-CUMIPMT(0.00000000001/12,Assumptions!$F$24*12,$D$4,M6,M7,0)),0,-CUMIPMT(0.00000000001/12,Assumptions!$F$24*12,$D$4,M6,M7,0)),IF(ISERROR(-CUMIPMT(Assumptions!$F$25/12,Assumptions!$F$24*12,$D$4,M6,M7,0)),0,-CUMIPMT(Assumptions!$F$25/12,Assumptions!$F$24*12,$D$4,M6,M7,0)))</f>
        <v>0</v>
      </c>
      <c r="N13" s="125">
        <f>IF(Assumptions!$F$25=0,IF(ISERROR(-CUMIPMT(0.00000000001/12,Assumptions!$F$24*12,$D$4,N6,N7,0)),0,-CUMIPMT(0.00000000001/12,Assumptions!$F$24*12,$D$4,N6,N7,0)),IF(ISERROR(-CUMIPMT(Assumptions!$F$25/12,Assumptions!$F$24*12,$D$4,N6,N7,0)),0,-CUMIPMT(Assumptions!$F$25/12,Assumptions!$F$24*12,$D$4,N6,N7,0)))</f>
        <v>0</v>
      </c>
      <c r="O13" s="125">
        <f>IF(Assumptions!$F$25=0,IF(ISERROR(-CUMIPMT(0.00000000001/12,Assumptions!$F$24*12,$D$4,O6,O7,0)),0,-CUMIPMT(0.00000000001/12,Assumptions!$F$24*12,$D$4,O6,O7,0)),IF(ISERROR(-CUMIPMT(Assumptions!$F$25/12,Assumptions!$F$24*12,$D$4,O6,O7,0)),0,-CUMIPMT(Assumptions!$F$25/12,Assumptions!$F$24*12,$D$4,O6,O7,0)))</f>
        <v>0</v>
      </c>
      <c r="P13" s="123">
        <f t="shared" si="2"/>
        <v>0</v>
      </c>
    </row>
    <row r="14" spans="1:16" ht="15.75" x14ac:dyDescent="0.25">
      <c r="A14" s="237"/>
      <c r="B14" s="29" t="s">
        <v>0</v>
      </c>
      <c r="C14" s="24" t="s">
        <v>32</v>
      </c>
      <c r="D14" s="125">
        <f>-SUM(D12:D13)*Assumptions!L25</f>
        <v>0</v>
      </c>
      <c r="E14" s="125">
        <f>-SUM(E12:E13)*Assumptions!L26</f>
        <v>0</v>
      </c>
      <c r="F14" s="125">
        <f>-SUM(F12:F13)*Assumptions!L27</f>
        <v>0</v>
      </c>
      <c r="G14" s="125">
        <f>-SUM(G12:G13)*Assumptions!L28</f>
        <v>0</v>
      </c>
      <c r="H14" s="125">
        <f>-SUM(H12:H13)*Assumptions!L29</f>
        <v>0</v>
      </c>
      <c r="I14" s="125">
        <f>-SUM(I12:I13)*Assumptions!L30</f>
        <v>0</v>
      </c>
      <c r="J14" s="125">
        <f>-SUM(J12:J13)*Assumptions!L31</f>
        <v>0</v>
      </c>
      <c r="K14" s="125">
        <f>-SUM(K12:K13)*Assumptions!L32</f>
        <v>0</v>
      </c>
      <c r="L14" s="125">
        <f>-SUM(L12:L13)*Assumptions!L33</f>
        <v>0</v>
      </c>
      <c r="M14" s="125">
        <f>-SUM(M12:M13)*Assumptions!L34</f>
        <v>0</v>
      </c>
      <c r="N14" s="125">
        <f>-SUM(N12:N13)*Assumptions!L35</f>
        <v>0</v>
      </c>
      <c r="O14" s="125">
        <f>-SUM(O12:O13)*Assumptions!L36</f>
        <v>0</v>
      </c>
      <c r="P14" s="123">
        <f t="shared" si="2"/>
        <v>0</v>
      </c>
    </row>
    <row r="15" spans="1:16" ht="15.75" customHeight="1" x14ac:dyDescent="0.25">
      <c r="A15" s="237"/>
      <c r="B15" s="4" t="s">
        <v>9</v>
      </c>
      <c r="C15" s="24" t="s">
        <v>10</v>
      </c>
      <c r="D15" s="127">
        <f>IF(ISERROR(Assumptions!$F$30*Calc!B$112),0,Assumptions!$F$30*Calc!B$112)</f>
        <v>0</v>
      </c>
      <c r="E15" s="127">
        <f>IF(ISERROR(Assumptions!$F$30*Calc!C$112),0,Assumptions!$F$30*Calc!C$112)</f>
        <v>0</v>
      </c>
      <c r="F15" s="127">
        <f>IF(ISERROR(Assumptions!$F$30*Calc!D$112),0,Assumptions!$F$30*Calc!D$112)</f>
        <v>0</v>
      </c>
      <c r="G15" s="127">
        <f>IF(ISERROR(Assumptions!$F$30*Calc!E$112),0,Assumptions!$F$30*Calc!E$112)</f>
        <v>0</v>
      </c>
      <c r="H15" s="127">
        <f>IF(ISERROR(Assumptions!$F$30*Calc!F$112),0,Assumptions!$F$30*Calc!F$112)</f>
        <v>0</v>
      </c>
      <c r="I15" s="127">
        <f>IF(ISERROR(Assumptions!$F$30*Calc!G$112),0,Assumptions!$F$30*Calc!G$112)</f>
        <v>0</v>
      </c>
      <c r="J15" s="127">
        <f>IF(ISERROR(Assumptions!$F$30*Calc!H$112),0,Assumptions!$F$30*Calc!H$112)</f>
        <v>0</v>
      </c>
      <c r="K15" s="127">
        <f>IF(ISERROR(Assumptions!$F$30*Calc!I$112),0,Assumptions!$F$30*Calc!I$112)</f>
        <v>0</v>
      </c>
      <c r="L15" s="127">
        <f>IF(ISERROR(Assumptions!$F$30*Calc!J$112),0,Assumptions!$F$30*Calc!J$112)</f>
        <v>0</v>
      </c>
      <c r="M15" s="127">
        <f>IF(ISERROR(Assumptions!$F$30*Calc!K$112),0,Assumptions!$F$30*Calc!K$112)</f>
        <v>0</v>
      </c>
      <c r="N15" s="127">
        <f>IF(ISERROR(Assumptions!$F$30*Calc!L$112),0,Assumptions!$F$30*Calc!L$112)</f>
        <v>0</v>
      </c>
      <c r="O15" s="127">
        <f>IF(ISERROR(Assumptions!$F$30*Calc!M$112),0,Assumptions!$F$30*Calc!M$112)</f>
        <v>0</v>
      </c>
      <c r="P15" s="123">
        <f t="shared" si="2"/>
        <v>0</v>
      </c>
    </row>
    <row r="16" spans="1:16" ht="15.75" customHeight="1" x14ac:dyDescent="0.25">
      <c r="A16" s="237"/>
      <c r="B16" s="4" t="s">
        <v>11</v>
      </c>
      <c r="C16" s="24" t="s">
        <v>6</v>
      </c>
      <c r="D16" s="127">
        <f>+D247*Assumptions!J25</f>
        <v>1559.3625</v>
      </c>
      <c r="E16" s="125">
        <f>+D252*Assumptions!J26</f>
        <v>1454.0876458333335</v>
      </c>
      <c r="F16" s="125">
        <f>+E252*Assumptions!J27</f>
        <v>4629.0483681250007</v>
      </c>
      <c r="G16" s="125">
        <f>+F252*Assumptions!J28</f>
        <v>9279.1801767093766</v>
      </c>
      <c r="H16" s="125">
        <f>+G252*Assumptions!J29</f>
        <v>-8825.1043528933096</v>
      </c>
      <c r="I16" s="125">
        <f>+H252*Assumptions!J30</f>
        <v>-38924.552847190469</v>
      </c>
      <c r="J16" s="125">
        <f>+I252*Assumptions!J31</f>
        <v>-91804.906871447136</v>
      </c>
      <c r="K16" s="125">
        <f>+J252*Assumptions!J32</f>
        <v>-111637.9082619214</v>
      </c>
      <c r="L16" s="125">
        <f>+K252*Assumptions!J33</f>
        <v>-162446.13856491016</v>
      </c>
      <c r="M16" s="125">
        <f>+L252*Assumptions!J34</f>
        <v>-182604.6737010928</v>
      </c>
      <c r="N16" s="125">
        <f>+M252*Assumptions!J35</f>
        <v>-229619.69838354932</v>
      </c>
      <c r="O16" s="125">
        <f>+N252*Assumptions!J36</f>
        <v>-224234.42759537007</v>
      </c>
      <c r="P16" s="123">
        <f t="shared" si="2"/>
        <v>-1033175.731887707</v>
      </c>
    </row>
    <row r="17" spans="1:16" ht="15.75" customHeight="1" x14ac:dyDescent="0.25">
      <c r="B17" s="5"/>
      <c r="C17" s="24" t="s">
        <v>28</v>
      </c>
      <c r="D17" s="125">
        <f t="shared" ref="D17:O17" si="3">SUM(D10:D16)</f>
        <v>262319.52916666667</v>
      </c>
      <c r="E17" s="126">
        <f t="shared" si="3"/>
        <v>653184.30764583335</v>
      </c>
      <c r="F17" s="126">
        <f t="shared" si="3"/>
        <v>675911.17496812507</v>
      </c>
      <c r="G17" s="126">
        <f t="shared" si="3"/>
        <v>700699.77057470952</v>
      </c>
      <c r="H17" s="126">
        <f t="shared" si="3"/>
        <v>703338.10375704675</v>
      </c>
      <c r="I17" s="126">
        <f t="shared" si="3"/>
        <v>694603.55150604784</v>
      </c>
      <c r="J17" s="126">
        <f t="shared" si="3"/>
        <v>663729.0406123884</v>
      </c>
      <c r="K17" s="126">
        <f t="shared" si="3"/>
        <v>666562.05764642905</v>
      </c>
      <c r="L17" s="126">
        <f t="shared" si="3"/>
        <v>639099.82632069092</v>
      </c>
      <c r="M17" s="126">
        <f t="shared" si="3"/>
        <v>642987.67013107636</v>
      </c>
      <c r="N17" s="126">
        <f t="shared" si="3"/>
        <v>620740.4157635849</v>
      </c>
      <c r="O17" s="126">
        <f t="shared" si="3"/>
        <v>651636.48997617816</v>
      </c>
      <c r="P17" s="123">
        <f t="shared" si="2"/>
        <v>7574811.9380687764</v>
      </c>
    </row>
    <row r="18" spans="1:16" ht="15" customHeight="1" x14ac:dyDescent="0.2">
      <c r="B18" s="8"/>
      <c r="C18" s="25"/>
      <c r="D18" s="6"/>
      <c r="E18" s="6"/>
      <c r="F18" s="6"/>
      <c r="G18" s="6"/>
      <c r="H18" s="6"/>
      <c r="I18" s="6"/>
      <c r="J18" s="6"/>
      <c r="K18" s="6"/>
      <c r="L18" s="6"/>
      <c r="M18" s="6"/>
      <c r="N18" s="6"/>
      <c r="O18" s="6"/>
      <c r="P18" s="6"/>
    </row>
    <row r="19" spans="1:16" ht="15" hidden="1" customHeight="1" x14ac:dyDescent="0.2">
      <c r="B19" s="8"/>
      <c r="C19" s="25"/>
      <c r="D19" s="6">
        <f>+D5</f>
        <v>0</v>
      </c>
      <c r="E19" s="6">
        <f t="shared" ref="E19:O19" si="4">+E5</f>
        <v>1</v>
      </c>
      <c r="F19" s="6">
        <f t="shared" si="4"/>
        <v>2</v>
      </c>
      <c r="G19" s="6">
        <f t="shared" si="4"/>
        <v>3</v>
      </c>
      <c r="H19" s="6">
        <f t="shared" si="4"/>
        <v>4</v>
      </c>
      <c r="I19" s="6">
        <f t="shared" si="4"/>
        <v>5</v>
      </c>
      <c r="J19" s="6">
        <f t="shared" si="4"/>
        <v>6</v>
      </c>
      <c r="K19" s="6">
        <f t="shared" si="4"/>
        <v>7</v>
      </c>
      <c r="L19" s="6">
        <f t="shared" si="4"/>
        <v>8</v>
      </c>
      <c r="M19" s="6">
        <f t="shared" si="4"/>
        <v>9</v>
      </c>
      <c r="N19" s="6">
        <f t="shared" si="4"/>
        <v>10</v>
      </c>
      <c r="O19" s="6">
        <f t="shared" si="4"/>
        <v>11</v>
      </c>
      <c r="P19" s="6"/>
    </row>
    <row r="20" spans="1:16" ht="15" hidden="1" customHeight="1" x14ac:dyDescent="0.2">
      <c r="B20" s="8"/>
      <c r="C20" s="25"/>
      <c r="D20" s="6">
        <f>IF(YEAR(Assumptions!F32)&gt;LEFT(D9,4)*1,0,1)</f>
        <v>1</v>
      </c>
      <c r="E20" s="6">
        <f>+D21+1</f>
        <v>1389</v>
      </c>
      <c r="F20" s="6">
        <f t="shared" ref="F20:O20" si="5">+E21+1</f>
        <v>1</v>
      </c>
      <c r="G20" s="6">
        <f t="shared" si="5"/>
        <v>1</v>
      </c>
      <c r="H20" s="6">
        <f t="shared" si="5"/>
        <v>1</v>
      </c>
      <c r="I20" s="6">
        <f t="shared" si="5"/>
        <v>1</v>
      </c>
      <c r="J20" s="6">
        <f t="shared" si="5"/>
        <v>1</v>
      </c>
      <c r="K20" s="6">
        <f t="shared" si="5"/>
        <v>1</v>
      </c>
      <c r="L20" s="6">
        <f t="shared" si="5"/>
        <v>1</v>
      </c>
      <c r="M20" s="6">
        <f t="shared" si="5"/>
        <v>1</v>
      </c>
      <c r="N20" s="6">
        <f t="shared" si="5"/>
        <v>1</v>
      </c>
      <c r="O20" s="6">
        <f t="shared" si="5"/>
        <v>1</v>
      </c>
      <c r="P20" s="6"/>
    </row>
    <row r="21" spans="1:16" ht="15" hidden="1" customHeight="1" x14ac:dyDescent="0.2">
      <c r="B21" s="8"/>
      <c r="C21" s="25"/>
      <c r="D21" s="6">
        <f>IF(D20=0,0,ROUND(((IF(YEAR(Assumptions!D8)&lt;YEAR(Assumptions!F32),(Assumptions!D8+365)-Assumptions!F32,Assumptions!D8-Assumptions!F32))/30),0))</f>
        <v>1388</v>
      </c>
      <c r="E21" s="6">
        <f>IF(D21=0,ROUND(((IF(YEAR(Assumptions!D8)&lt;YEAR(Assumptions!F32),(Assumptions!D8+365)-Assumptions!F32,Assumptions!D8-Assumptions!F32))/30),0),IF(Assumptions!$F$36*12&gt;D21+12,D21+12,Assumptions!$F$36*12))</f>
        <v>0</v>
      </c>
      <c r="F21" s="6">
        <f>IF(Assumptions!$F$36*12&gt;E21+12,E21+12,Assumptions!$F$36*12)</f>
        <v>0</v>
      </c>
      <c r="G21" s="6">
        <f>IF(Assumptions!$F$36*12&gt;F21+12,F21+12,Assumptions!$F$36*12)</f>
        <v>0</v>
      </c>
      <c r="H21" s="6">
        <f>IF(Assumptions!$F$36*12&gt;G21+12,G21+12,Assumptions!$F$36*12)</f>
        <v>0</v>
      </c>
      <c r="I21" s="6">
        <f>IF(Assumptions!$F$36*12&gt;H21+12,H21+12,Assumptions!$F$36*12)</f>
        <v>0</v>
      </c>
      <c r="J21" s="6">
        <f>IF(Assumptions!$F$36*12&gt;I21+12,I21+12,Assumptions!$F$36*12)</f>
        <v>0</v>
      </c>
      <c r="K21" s="6">
        <f>IF(Assumptions!$F$36*12&gt;J21+12,J21+12,Assumptions!$F$36*12)</f>
        <v>0</v>
      </c>
      <c r="L21" s="6">
        <f>IF(Assumptions!$F$36*12&gt;K21+12,K21+12,Assumptions!$F$36*12)</f>
        <v>0</v>
      </c>
      <c r="M21" s="6">
        <f>IF(Assumptions!$F$36*12&gt;L21+12,L21+12,Assumptions!$F$36*12)</f>
        <v>0</v>
      </c>
      <c r="N21" s="6">
        <f>IF(Assumptions!$F$36*12&gt;M21+12,M21+12,Assumptions!$F$36*12)</f>
        <v>0</v>
      </c>
      <c r="O21" s="6">
        <f>IF(Assumptions!$F$36*12&gt;N21+12,N21+12,Assumptions!$F$36*12)</f>
        <v>0</v>
      </c>
      <c r="P21" s="6"/>
    </row>
    <row r="22" spans="1:16" ht="18" customHeight="1" x14ac:dyDescent="0.25">
      <c r="B22" s="155"/>
      <c r="C22" s="26"/>
      <c r="D22" s="155"/>
      <c r="E22" s="155"/>
      <c r="F22" s="155"/>
      <c r="G22" s="155"/>
      <c r="H22" s="155"/>
      <c r="I22" s="155"/>
      <c r="J22" s="155"/>
      <c r="K22" s="155"/>
      <c r="L22" s="155"/>
      <c r="M22" s="155"/>
      <c r="N22" s="155"/>
      <c r="O22" s="155"/>
      <c r="P22" s="155"/>
    </row>
    <row r="23" spans="1:16" ht="15.75" customHeight="1" x14ac:dyDescent="0.25">
      <c r="A23" s="238" t="s">
        <v>12</v>
      </c>
      <c r="B23" s="2" t="s">
        <v>2</v>
      </c>
      <c r="C23" s="23" t="s">
        <v>3</v>
      </c>
      <c r="D23" s="3" t="str">
        <f>+D9</f>
        <v>2013 Budget</v>
      </c>
      <c r="E23" s="3">
        <f t="shared" ref="E23:M23" si="6">+E9</f>
        <v>2014</v>
      </c>
      <c r="F23" s="3">
        <f t="shared" si="6"/>
        <v>2015</v>
      </c>
      <c r="G23" s="3">
        <f t="shared" si="6"/>
        <v>2016</v>
      </c>
      <c r="H23" s="3">
        <f t="shared" si="6"/>
        <v>2017</v>
      </c>
      <c r="I23" s="3">
        <f t="shared" si="6"/>
        <v>2018</v>
      </c>
      <c r="J23" s="3">
        <f t="shared" si="6"/>
        <v>2019</v>
      </c>
      <c r="K23" s="3">
        <f t="shared" si="6"/>
        <v>2020</v>
      </c>
      <c r="L23" s="3">
        <f t="shared" si="6"/>
        <v>2021</v>
      </c>
      <c r="M23" s="3">
        <f t="shared" si="6"/>
        <v>2022</v>
      </c>
      <c r="N23" s="3">
        <f>+M23+1</f>
        <v>2023</v>
      </c>
      <c r="O23" s="3">
        <f>+N23+1</f>
        <v>2024</v>
      </c>
      <c r="P23" s="3" t="s">
        <v>23</v>
      </c>
    </row>
    <row r="24" spans="1:16" ht="15.75" customHeight="1" x14ac:dyDescent="0.25">
      <c r="A24" s="239"/>
      <c r="B24" s="4" t="str">
        <f>IF('Option 1'!B24="","",'Option 1'!B24)</f>
        <v/>
      </c>
      <c r="C24" s="3" t="str">
        <f>IF('Option 1'!C24="","",'Option 1'!C24)</f>
        <v>Sitework Elements</v>
      </c>
      <c r="D24" s="183" t="str">
        <f>IF('Option 1'!D24="","",'Option 1'!D24)</f>
        <v/>
      </c>
      <c r="E24" s="184" t="str">
        <f>IF('Option 1'!E24="","",'Option 1'!E24)</f>
        <v/>
      </c>
      <c r="F24" s="184" t="str">
        <f>IF('Option 1'!F24="","",'Option 1'!F24)</f>
        <v/>
      </c>
      <c r="G24" s="184" t="str">
        <f>IF('Option 1'!G24="","",'Option 1'!G24)</f>
        <v/>
      </c>
      <c r="H24" s="184" t="str">
        <f>IF('Option 1'!H24="","",'Option 1'!H24)</f>
        <v/>
      </c>
      <c r="I24" s="184" t="str">
        <f>IF('Option 1'!I24="","",'Option 1'!I24)</f>
        <v/>
      </c>
      <c r="J24" s="184" t="str">
        <f>IF('Option 1'!J24="","",'Option 1'!J24)</f>
        <v/>
      </c>
      <c r="K24" s="184" t="str">
        <f>IF('Option 1'!K24="","",'Option 1'!K24)</f>
        <v/>
      </c>
      <c r="L24" s="184" t="str">
        <f>IF('Option 1'!L24="","",'Option 1'!L24)</f>
        <v/>
      </c>
      <c r="M24" s="184" t="str">
        <f>IF('Option 1'!M24="","",'Option 1'!M24)</f>
        <v/>
      </c>
      <c r="N24" s="184" t="str">
        <f>IF('Option 1'!N24="","",'Option 1'!N24)</f>
        <v/>
      </c>
      <c r="O24" s="184" t="str">
        <f>IF('Option 1'!O24="","",'Option 1'!O24)</f>
        <v/>
      </c>
      <c r="P24" s="124">
        <f t="shared" ref="P24" si="7">IF(SUM(D24:O24)=0,0,SUM(D24:O24))</f>
        <v>0</v>
      </c>
    </row>
    <row r="25" spans="1:16" ht="15.75" customHeight="1" x14ac:dyDescent="0.25">
      <c r="A25" s="239"/>
      <c r="B25" s="4" t="str">
        <f>IF('Option 1'!B25="","",'Option 1'!B25)</f>
        <v/>
      </c>
      <c r="C25" s="182" t="str">
        <f>IF('Option 1'!C25="","",'Option 1'!C25)</f>
        <v>East Entry Street Asphalt Pavement</v>
      </c>
      <c r="D25" s="183" t="str">
        <f>IF('Option 1'!D25="","",'Option 1'!D25)</f>
        <v/>
      </c>
      <c r="E25" s="184" t="str">
        <f>IF('Option 1'!E25="","",'Option 1'!E25)</f>
        <v/>
      </c>
      <c r="F25" s="184" t="str">
        <f>IF('Option 1'!F25="","",'Option 1'!F25)</f>
        <v/>
      </c>
      <c r="G25" s="184" t="str">
        <f>IF('Option 1'!G25="","",'Option 1'!G25)</f>
        <v/>
      </c>
      <c r="H25" s="184" t="str">
        <f>IF('Option 1'!H25="","",'Option 1'!H25)</f>
        <v/>
      </c>
      <c r="I25" s="184" t="str">
        <f>IF('Option 1'!I25="","",'Option 1'!I25)</f>
        <v/>
      </c>
      <c r="J25" s="184" t="str">
        <f>IF('Option 1'!J25="","",'Option 1'!J25)</f>
        <v/>
      </c>
      <c r="K25" s="184" t="str">
        <f>IF('Option 1'!K25="","",'Option 1'!K25)</f>
        <v/>
      </c>
      <c r="L25" s="184" t="str">
        <f>IF('Option 1'!L25="","",'Option 1'!L25)</f>
        <v/>
      </c>
      <c r="M25" s="184" t="str">
        <f>IF('Option 1'!M25="","",'Option 1'!M25)</f>
        <v/>
      </c>
      <c r="N25" s="184" t="str">
        <f>IF('Option 1'!N25="","",'Option 1'!N25)</f>
        <v/>
      </c>
      <c r="O25" s="184" t="str">
        <f>IF('Option 1'!O25="","",'Option 1'!O25)</f>
        <v/>
      </c>
      <c r="P25" s="124">
        <f t="shared" ref="P25:P88" si="8">IF(SUM(D25:O25)=0,0,SUM(D25:O25))</f>
        <v>0</v>
      </c>
    </row>
    <row r="26" spans="1:16" ht="15.75" customHeight="1" x14ac:dyDescent="0.25">
      <c r="A26" s="239"/>
      <c r="B26" s="4" t="str">
        <f>IF('Option 1'!B26="","",'Option 1'!B26)</f>
        <v/>
      </c>
      <c r="C26" s="182" t="str">
        <f>IF('Option 1'!C26="","",'Option 1'!C26)</f>
        <v>East Entry Street Asphalt Sealcoating</v>
      </c>
      <c r="D26" s="185" t="str">
        <f>IF('Option 1'!D26="","",'Option 1'!D26)</f>
        <v/>
      </c>
      <c r="E26" s="184" t="str">
        <f>IF('Option 1'!E26="","",'Option 1'!E26)</f>
        <v/>
      </c>
      <c r="F26" s="184" t="str">
        <f>IF('Option 1'!F26="","",'Option 1'!F26)</f>
        <v/>
      </c>
      <c r="G26" s="184" t="str">
        <f>IF('Option 1'!G26="","",'Option 1'!G26)</f>
        <v/>
      </c>
      <c r="H26" s="184" t="str">
        <f>IF('Option 1'!H26="","",'Option 1'!H26)</f>
        <v/>
      </c>
      <c r="I26" s="184" t="str">
        <f>IF('Option 1'!I26="","",'Option 1'!I26)</f>
        <v/>
      </c>
      <c r="J26" s="184" t="str">
        <f>IF('Option 1'!J26="","",'Option 1'!J26)</f>
        <v/>
      </c>
      <c r="K26" s="184" t="str">
        <f>IF('Option 1'!K26="","",'Option 1'!K26)</f>
        <v/>
      </c>
      <c r="L26" s="184" t="str">
        <f>IF('Option 1'!L26="","",'Option 1'!L26)</f>
        <v/>
      </c>
      <c r="M26" s="184" t="str">
        <f>IF('Option 1'!M26="","",'Option 1'!M26)</f>
        <v/>
      </c>
      <c r="N26" s="184" t="str">
        <f>IF('Option 1'!N26="","",'Option 1'!N26)</f>
        <v/>
      </c>
      <c r="O26" s="184" t="str">
        <f>IF('Option 1'!O26="","",'Option 1'!O26)</f>
        <v/>
      </c>
      <c r="P26" s="124">
        <f t="shared" si="8"/>
        <v>0</v>
      </c>
    </row>
    <row r="27" spans="1:16" ht="15.75" customHeight="1" x14ac:dyDescent="0.25">
      <c r="A27" s="239"/>
      <c r="B27" s="4" t="str">
        <f>IF('Option 1'!B27="","",'Option 1'!B27)</f>
        <v/>
      </c>
      <c r="C27" s="182" t="str">
        <f>IF('Option 1'!C27="","",'Option 1'!C27)</f>
        <v>West Entry Street Asphalt Pavement</v>
      </c>
      <c r="D27" s="185" t="str">
        <f>IF('Option 1'!D27="","",'Option 1'!D27)</f>
        <v/>
      </c>
      <c r="E27" s="184" t="str">
        <f>IF('Option 1'!E27="","",'Option 1'!E27)</f>
        <v/>
      </c>
      <c r="F27" s="184" t="str">
        <f>IF('Option 1'!F27="","",'Option 1'!F27)</f>
        <v/>
      </c>
      <c r="G27" s="184" t="str">
        <f>IF('Option 1'!G27="","",'Option 1'!G27)</f>
        <v/>
      </c>
      <c r="H27" s="184" t="str">
        <f>IF('Option 1'!H27="","",'Option 1'!H27)</f>
        <v/>
      </c>
      <c r="I27" s="184" t="str">
        <f>IF('Option 1'!I27="","",'Option 1'!I27)</f>
        <v/>
      </c>
      <c r="J27" s="184" t="str">
        <f>IF('Option 1'!J27="","",'Option 1'!J27)</f>
        <v/>
      </c>
      <c r="K27" s="184" t="str">
        <f>IF('Option 1'!K27="","",'Option 1'!K27)</f>
        <v/>
      </c>
      <c r="L27" s="184" t="str">
        <f>IF('Option 1'!L27="","",'Option 1'!L27)</f>
        <v/>
      </c>
      <c r="M27" s="184" t="str">
        <f>IF('Option 1'!M27="","",'Option 1'!M27)</f>
        <v/>
      </c>
      <c r="N27" s="184" t="str">
        <f>IF('Option 1'!N27="","",'Option 1'!N27)</f>
        <v/>
      </c>
      <c r="O27" s="184" t="str">
        <f>IF('Option 1'!O27="","",'Option 1'!O27)</f>
        <v/>
      </c>
      <c r="P27" s="124">
        <f t="shared" si="8"/>
        <v>0</v>
      </c>
    </row>
    <row r="28" spans="1:16" ht="15.75" customHeight="1" x14ac:dyDescent="0.25">
      <c r="A28" s="239"/>
      <c r="B28" s="4" t="str">
        <f>IF('Option 1'!B28="","",'Option 1'!B28)</f>
        <v/>
      </c>
      <c r="C28" s="182" t="str">
        <f>IF('Option 1'!C28="","",'Option 1'!C28)</f>
        <v>West Entry Street Asphalt Sealcoating</v>
      </c>
      <c r="D28" s="185" t="str">
        <f>IF('Option 1'!D28="","",'Option 1'!D28)</f>
        <v/>
      </c>
      <c r="E28" s="184" t="str">
        <f>IF('Option 1'!E28="","",'Option 1'!E28)</f>
        <v/>
      </c>
      <c r="F28" s="184" t="str">
        <f>IF('Option 1'!F28="","",'Option 1'!F28)</f>
        <v/>
      </c>
      <c r="G28" s="184" t="str">
        <f>IF('Option 1'!G28="","",'Option 1'!G28)</f>
        <v/>
      </c>
      <c r="H28" s="184" t="str">
        <f>IF('Option 1'!H28="","",'Option 1'!H28)</f>
        <v/>
      </c>
      <c r="I28" s="184" t="str">
        <f>IF('Option 1'!I28="","",'Option 1'!I28)</f>
        <v/>
      </c>
      <c r="J28" s="184" t="str">
        <f>IF('Option 1'!J28="","",'Option 1'!J28)</f>
        <v/>
      </c>
      <c r="K28" s="184" t="str">
        <f>IF('Option 1'!K28="","",'Option 1'!K28)</f>
        <v/>
      </c>
      <c r="L28" s="184" t="str">
        <f>IF('Option 1'!L28="","",'Option 1'!L28)</f>
        <v/>
      </c>
      <c r="M28" s="184" t="str">
        <f>IF('Option 1'!M28="","",'Option 1'!M28)</f>
        <v/>
      </c>
      <c r="N28" s="184" t="str">
        <f>IF('Option 1'!N28="","",'Option 1'!N28)</f>
        <v/>
      </c>
      <c r="O28" s="184" t="str">
        <f>IF('Option 1'!O28="","",'Option 1'!O28)</f>
        <v/>
      </c>
      <c r="P28" s="124">
        <f t="shared" si="8"/>
        <v>0</v>
      </c>
    </row>
    <row r="29" spans="1:16" ht="15.75" customHeight="1" x14ac:dyDescent="0.25">
      <c r="A29" s="239"/>
      <c r="B29" s="4" t="str">
        <f>IF('Option 1'!B29="","",'Option 1'!B29)</f>
        <v/>
      </c>
      <c r="C29" s="182" t="str">
        <f>IF('Option 1'!C29="","",'Option 1'!C29)</f>
        <v>East, South, &amp; West Central Road Pavement</v>
      </c>
      <c r="D29" s="185" t="str">
        <f>IF('Option 1'!D29="","",'Option 1'!D29)</f>
        <v/>
      </c>
      <c r="E29" s="184" t="str">
        <f>IF('Option 1'!E29="","",'Option 1'!E29)</f>
        <v/>
      </c>
      <c r="F29" s="184" t="str">
        <f>IF('Option 1'!F29="","",'Option 1'!F29)</f>
        <v/>
      </c>
      <c r="G29" s="184" t="str">
        <f>IF('Option 1'!G29="","",'Option 1'!G29)</f>
        <v/>
      </c>
      <c r="H29" s="184" t="str">
        <f>IF('Option 1'!H29="","",'Option 1'!H29)</f>
        <v/>
      </c>
      <c r="I29" s="184" t="str">
        <f>IF('Option 1'!I29="","",'Option 1'!I29)</f>
        <v/>
      </c>
      <c r="J29" s="184" t="str">
        <f>IF('Option 1'!J29="","",'Option 1'!J29)</f>
        <v/>
      </c>
      <c r="K29" s="184" t="str">
        <f>IF('Option 1'!K29="","",'Option 1'!K29)</f>
        <v/>
      </c>
      <c r="L29" s="184" t="str">
        <f>IF('Option 1'!L29="","",'Option 1'!L29)</f>
        <v/>
      </c>
      <c r="M29" s="184" t="str">
        <f>IF('Option 1'!M29="","",'Option 1'!M29)</f>
        <v/>
      </c>
      <c r="N29" s="184" t="str">
        <f>IF('Option 1'!N29="","",'Option 1'!N29)</f>
        <v/>
      </c>
      <c r="O29" s="184" t="str">
        <f>IF('Option 1'!O29="","",'Option 1'!O29)</f>
        <v/>
      </c>
      <c r="P29" s="124">
        <f t="shared" si="8"/>
        <v>0</v>
      </c>
    </row>
    <row r="30" spans="1:16" ht="15.75" customHeight="1" x14ac:dyDescent="0.25">
      <c r="A30" s="239"/>
      <c r="B30" s="4" t="str">
        <f>IF('Option 1'!B30="","",'Option 1'!B30)</f>
        <v/>
      </c>
      <c r="C30" s="182" t="str">
        <f>IF('Option 1'!C30="","",'Option 1'!C30)</f>
        <v>East, South, &amp; West Central Road Sealcoating</v>
      </c>
      <c r="D30" s="185" t="str">
        <f>IF('Option 1'!D30="","",'Option 1'!D30)</f>
        <v/>
      </c>
      <c r="E30" s="184" t="str">
        <f>IF('Option 1'!E30="","",'Option 1'!E30)</f>
        <v/>
      </c>
      <c r="F30" s="184" t="str">
        <f>IF('Option 1'!F30="","",'Option 1'!F30)</f>
        <v/>
      </c>
      <c r="G30" s="184" t="str">
        <f>IF('Option 1'!G30="","",'Option 1'!G30)</f>
        <v/>
      </c>
      <c r="H30" s="184" t="str">
        <f>IF('Option 1'!H30="","",'Option 1'!H30)</f>
        <v/>
      </c>
      <c r="I30" s="184" t="str">
        <f>IF('Option 1'!I30="","",'Option 1'!I30)</f>
        <v/>
      </c>
      <c r="J30" s="184" t="str">
        <f>IF('Option 1'!J30="","",'Option 1'!J30)</f>
        <v/>
      </c>
      <c r="K30" s="184" t="str">
        <f>IF('Option 1'!K30="","",'Option 1'!K30)</f>
        <v/>
      </c>
      <c r="L30" s="184" t="str">
        <f>IF('Option 1'!L30="","",'Option 1'!L30)</f>
        <v/>
      </c>
      <c r="M30" s="184" t="str">
        <f>IF('Option 1'!M30="","",'Option 1'!M30)</f>
        <v/>
      </c>
      <c r="N30" s="184" t="str">
        <f>IF('Option 1'!N30="","",'Option 1'!N30)</f>
        <v/>
      </c>
      <c r="O30" s="184" t="str">
        <f>IF('Option 1'!O30="","",'Option 1'!O30)</f>
        <v/>
      </c>
      <c r="P30" s="124">
        <f t="shared" si="8"/>
        <v>0</v>
      </c>
    </row>
    <row r="31" spans="1:16" ht="15.75" customHeight="1" x14ac:dyDescent="0.25">
      <c r="A31" s="239"/>
      <c r="B31" s="4" t="str">
        <f>IF('Option 1'!B31="","",'Option 1'!B31)</f>
        <v/>
      </c>
      <c r="C31" s="182" t="str">
        <f>IF('Option 1'!C31="","",'Option 1'!C31)</f>
        <v>Asphalt Fire Lane Pavement (Grind and Resurface)</v>
      </c>
      <c r="D31" s="185" t="str">
        <f>IF('Option 1'!D31="","",'Option 1'!D31)</f>
        <v/>
      </c>
      <c r="E31" s="184" t="str">
        <f>IF('Option 1'!E31="","",'Option 1'!E31)</f>
        <v/>
      </c>
      <c r="F31" s="184" t="str">
        <f>IF('Option 1'!F31="","",'Option 1'!F31)</f>
        <v/>
      </c>
      <c r="G31" s="184" t="str">
        <f>IF('Option 1'!G31="","",'Option 1'!G31)</f>
        <v/>
      </c>
      <c r="H31" s="184" t="str">
        <f>IF('Option 1'!H31="","",'Option 1'!H31)</f>
        <v/>
      </c>
      <c r="I31" s="184">
        <f>IF('Option 1'!I31="","",'Option 1'!I31)</f>
        <v>1023820</v>
      </c>
      <c r="J31" s="184" t="str">
        <f>IF('Option 1'!J31="","",'Option 1'!J31)</f>
        <v/>
      </c>
      <c r="K31" s="184" t="str">
        <f>IF('Option 1'!K31="","",'Option 1'!K31)</f>
        <v/>
      </c>
      <c r="L31" s="184" t="str">
        <f>IF('Option 1'!L31="","",'Option 1'!L31)</f>
        <v/>
      </c>
      <c r="M31" s="184" t="str">
        <f>IF('Option 1'!M31="","",'Option 1'!M31)</f>
        <v/>
      </c>
      <c r="N31" s="184" t="str">
        <f>IF('Option 1'!N31="","",'Option 1'!N31)</f>
        <v/>
      </c>
      <c r="O31" s="184" t="str">
        <f>IF('Option 1'!O31="","",'Option 1'!O31)</f>
        <v/>
      </c>
      <c r="P31" s="124">
        <f t="shared" si="8"/>
        <v>1023820</v>
      </c>
    </row>
    <row r="32" spans="1:16" ht="15.75" customHeight="1" x14ac:dyDescent="0.25">
      <c r="A32" s="239"/>
      <c r="B32" s="4" t="str">
        <f>IF('Option 1'!B32="","",'Option 1'!B32)</f>
        <v/>
      </c>
      <c r="C32" s="182" t="str">
        <f>IF('Option 1'!C32="","",'Option 1'!C32)</f>
        <v>Asphalt Fire Lane Pavement Sealcoating</v>
      </c>
      <c r="D32" s="185" t="str">
        <f>IF('Option 1'!D32="","",'Option 1'!D32)</f>
        <v/>
      </c>
      <c r="E32" s="184" t="str">
        <f>IF('Option 1'!E32="","",'Option 1'!E32)</f>
        <v/>
      </c>
      <c r="F32" s="184" t="str">
        <f>IF('Option 1'!F32="","",'Option 1'!F32)</f>
        <v/>
      </c>
      <c r="G32" s="184" t="str">
        <f>IF('Option 1'!G32="","",'Option 1'!G32)</f>
        <v/>
      </c>
      <c r="H32" s="184" t="str">
        <f>IF('Option 1'!H32="","",'Option 1'!H32)</f>
        <v/>
      </c>
      <c r="I32" s="184" t="str">
        <f>IF('Option 1'!I32="","",'Option 1'!I32)</f>
        <v/>
      </c>
      <c r="J32" s="184" t="str">
        <f>IF('Option 1'!J32="","",'Option 1'!J32)</f>
        <v/>
      </c>
      <c r="K32" s="184">
        <f>IF('Option 1'!K32="","",'Option 1'!K32)</f>
        <v>46150</v>
      </c>
      <c r="L32" s="184" t="str">
        <f>IF('Option 1'!L32="","",'Option 1'!L32)</f>
        <v/>
      </c>
      <c r="M32" s="184" t="str">
        <f>IF('Option 1'!M32="","",'Option 1'!M32)</f>
        <v/>
      </c>
      <c r="N32" s="184" t="str">
        <f>IF('Option 1'!N32="","",'Option 1'!N32)</f>
        <v/>
      </c>
      <c r="O32" s="184" t="str">
        <f>IF('Option 1'!O32="","",'Option 1'!O32)</f>
        <v/>
      </c>
      <c r="P32" s="124">
        <f t="shared" si="8"/>
        <v>46150</v>
      </c>
    </row>
    <row r="33" spans="1:16" ht="15.75" customHeight="1" x14ac:dyDescent="0.25">
      <c r="A33" s="239"/>
      <c r="B33" s="4" t="str">
        <f>IF('Option 1'!B33="","",'Option 1'!B33)</f>
        <v/>
      </c>
      <c r="C33" s="182" t="str">
        <f>IF('Option 1'!C33="","",'Option 1'!C33)</f>
        <v>Asphalt Parking Lot Pavement</v>
      </c>
      <c r="D33" s="185" t="str">
        <f>IF('Option 1'!D33="","",'Option 1'!D33)</f>
        <v/>
      </c>
      <c r="E33" s="184">
        <f>IF('Option 1'!E33="","",'Option 1'!E33)</f>
        <v>120000</v>
      </c>
      <c r="F33" s="184" t="str">
        <f>IF('Option 1'!F33="","",'Option 1'!F33)</f>
        <v/>
      </c>
      <c r="G33" s="184" t="str">
        <f>IF('Option 1'!G33="","",'Option 1'!G33)</f>
        <v/>
      </c>
      <c r="H33" s="184" t="str">
        <f>IF('Option 1'!H33="","",'Option 1'!H33)</f>
        <v/>
      </c>
      <c r="I33" s="184" t="str">
        <f>IF('Option 1'!I33="","",'Option 1'!I33)</f>
        <v/>
      </c>
      <c r="J33" s="184">
        <f>IF('Option 1'!J33="","",'Option 1'!J33)</f>
        <v>384660</v>
      </c>
      <c r="K33" s="184">
        <f>IF('Option 1'!K33="","",'Option 1'!K33)</f>
        <v>571410</v>
      </c>
      <c r="L33" s="184">
        <f>IF('Option 1'!L33="","",'Option 1'!L33)</f>
        <v>134413</v>
      </c>
      <c r="M33" s="184">
        <f>IF('Option 1'!M33="","",'Option 1'!M33)</f>
        <v>457398</v>
      </c>
      <c r="N33" s="184">
        <f>IF('Option 1'!N33="","",'Option 1'!N33)</f>
        <v>0</v>
      </c>
      <c r="O33" s="184" t="str">
        <f>IF('Option 1'!O33="","",'Option 1'!O33)</f>
        <v/>
      </c>
      <c r="P33" s="124">
        <f t="shared" si="8"/>
        <v>1667881</v>
      </c>
    </row>
    <row r="34" spans="1:16" ht="15.75" customHeight="1" x14ac:dyDescent="0.25">
      <c r="A34" s="239"/>
      <c r="B34" s="4" t="str">
        <f>IF('Option 1'!B34="","",'Option 1'!B34)</f>
        <v/>
      </c>
      <c r="C34" s="182" t="str">
        <f>IF('Option 1'!C34="","",'Option 1'!C34)</f>
        <v>Asphalt Parking Lot Sealcoating</v>
      </c>
      <c r="D34" s="185" t="str">
        <f>IF('Option 1'!D34="","",'Option 1'!D34)</f>
        <v/>
      </c>
      <c r="E34" s="184" t="str">
        <f>IF('Option 1'!E34="","",'Option 1'!E34)</f>
        <v/>
      </c>
      <c r="F34" s="184" t="str">
        <f>IF('Option 1'!F34="","",'Option 1'!F34)</f>
        <v/>
      </c>
      <c r="G34" s="184" t="str">
        <f>IF('Option 1'!G34="","",'Option 1'!G34)</f>
        <v/>
      </c>
      <c r="H34" s="184" t="str">
        <f>IF('Option 1'!H34="","",'Option 1'!H34)</f>
        <v/>
      </c>
      <c r="I34" s="184" t="str">
        <f>IF('Option 1'!I34="","",'Option 1'!I34)</f>
        <v/>
      </c>
      <c r="J34" s="184" t="str">
        <f>IF('Option 1'!J34="","",'Option 1'!J34)</f>
        <v/>
      </c>
      <c r="K34" s="184" t="str">
        <f>IF('Option 1'!K34="","",'Option 1'!K34)</f>
        <v/>
      </c>
      <c r="L34" s="184" t="str">
        <f>IF('Option 1'!L34="","",'Option 1'!L34)</f>
        <v/>
      </c>
      <c r="M34" s="184" t="str">
        <f>IF('Option 1'!M34="","",'Option 1'!M34)</f>
        <v/>
      </c>
      <c r="N34" s="184" t="str">
        <f>IF('Option 1'!N34="","",'Option 1'!N34)</f>
        <v/>
      </c>
      <c r="O34" s="184" t="str">
        <f>IF('Option 1'!O34="","",'Option 1'!O34)</f>
        <v/>
      </c>
      <c r="P34" s="124">
        <f t="shared" si="8"/>
        <v>0</v>
      </c>
    </row>
    <row r="35" spans="1:16" ht="15.75" customHeight="1" x14ac:dyDescent="0.25">
      <c r="A35" s="239"/>
      <c r="B35" s="4" t="str">
        <f>IF('Option 1'!B35="","",'Option 1'!B35)</f>
        <v/>
      </c>
      <c r="C35" s="182" t="str">
        <f>IF('Option 1'!C35="","",'Option 1'!C35)</f>
        <v>Ramp Asphalt Pavement (Grind and Resurface)</v>
      </c>
      <c r="D35" s="183" t="str">
        <f>IF('Option 1'!D35="","",'Option 1'!D35)</f>
        <v/>
      </c>
      <c r="E35" s="184" t="str">
        <f>IF('Option 1'!E35="","",'Option 1'!E35)</f>
        <v/>
      </c>
      <c r="F35" s="184" t="str">
        <f>IF('Option 1'!F35="","",'Option 1'!F35)</f>
        <v/>
      </c>
      <c r="G35" s="184" t="str">
        <f>IF('Option 1'!G35="","",'Option 1'!G35)</f>
        <v/>
      </c>
      <c r="H35" s="184" t="str">
        <f>IF('Option 1'!H35="","",'Option 1'!H35)</f>
        <v/>
      </c>
      <c r="I35" s="184" t="str">
        <f>IF('Option 1'!I35="","",'Option 1'!I35)</f>
        <v/>
      </c>
      <c r="J35" s="184">
        <f>IF('Option 1'!J35="","",'Option 1'!J35)</f>
        <v>50460</v>
      </c>
      <c r="K35" s="184" t="str">
        <f>IF('Option 1'!K35="","",'Option 1'!K35)</f>
        <v/>
      </c>
      <c r="L35" s="184" t="str">
        <f>IF('Option 1'!L35="","",'Option 1'!L35)</f>
        <v/>
      </c>
      <c r="M35" s="184" t="str">
        <f>IF('Option 1'!M35="","",'Option 1'!M35)</f>
        <v/>
      </c>
      <c r="N35" s="184" t="str">
        <f>IF('Option 1'!N35="","",'Option 1'!N35)</f>
        <v/>
      </c>
      <c r="O35" s="184" t="str">
        <f>IF('Option 1'!O35="","",'Option 1'!O35)</f>
        <v/>
      </c>
      <c r="P35" s="124">
        <f t="shared" si="8"/>
        <v>50460</v>
      </c>
    </row>
    <row r="36" spans="1:16" ht="15.75" customHeight="1" x14ac:dyDescent="0.25">
      <c r="A36" s="239"/>
      <c r="B36" s="4" t="str">
        <f>IF('Option 1'!B36="","",'Option 1'!B36)</f>
        <v/>
      </c>
      <c r="C36" s="182" t="str">
        <f>IF('Option 1'!C36="","",'Option 1'!C36)</f>
        <v>Ramp Asphalt Sealcoating</v>
      </c>
      <c r="D36" s="183" t="str">
        <f>IF('Option 1'!D36="","",'Option 1'!D36)</f>
        <v/>
      </c>
      <c r="E36" s="184" t="str">
        <f>IF('Option 1'!E36="","",'Option 1'!E36)</f>
        <v/>
      </c>
      <c r="F36" s="184" t="str">
        <f>IF('Option 1'!F36="","",'Option 1'!F36)</f>
        <v/>
      </c>
      <c r="G36" s="184" t="str">
        <f>IF('Option 1'!G36="","",'Option 1'!G36)</f>
        <v/>
      </c>
      <c r="H36" s="184" t="str">
        <f>IF('Option 1'!H36="","",'Option 1'!H36)</f>
        <v/>
      </c>
      <c r="I36" s="184" t="str">
        <f>IF('Option 1'!I36="","",'Option 1'!I36)</f>
        <v/>
      </c>
      <c r="J36" s="184" t="str">
        <f>IF('Option 1'!J36="","",'Option 1'!J36)</f>
        <v/>
      </c>
      <c r="K36" s="184" t="str">
        <f>IF('Option 1'!K36="","",'Option 1'!K36)</f>
        <v/>
      </c>
      <c r="L36" s="184" t="str">
        <f>IF('Option 1'!L36="","",'Option 1'!L36)</f>
        <v/>
      </c>
      <c r="M36" s="184" t="str">
        <f>IF('Option 1'!M36="","",'Option 1'!M36)</f>
        <v/>
      </c>
      <c r="N36" s="184" t="str">
        <f>IF('Option 1'!N36="","",'Option 1'!N36)</f>
        <v/>
      </c>
      <c r="O36" s="184" t="str">
        <f>IF('Option 1'!O36="","",'Option 1'!O36)</f>
        <v/>
      </c>
      <c r="P36" s="124">
        <f t="shared" si="8"/>
        <v>0</v>
      </c>
    </row>
    <row r="37" spans="1:16" ht="15.75" customHeight="1" x14ac:dyDescent="0.25">
      <c r="A37" s="239"/>
      <c r="B37" s="4" t="str">
        <f>IF('Option 1'!B37="","",'Option 1'!B37)</f>
        <v/>
      </c>
      <c r="C37" s="182" t="str">
        <f>IF('Option 1'!C37="","",'Option 1'!C37)</f>
        <v>Street Concrete Curbs</v>
      </c>
      <c r="D37" s="183" t="str">
        <f>IF('Option 1'!D37="","",'Option 1'!D37)</f>
        <v/>
      </c>
      <c r="E37" s="184" t="str">
        <f>IF('Option 1'!E37="","",'Option 1'!E37)</f>
        <v/>
      </c>
      <c r="F37" s="184" t="str">
        <f>IF('Option 1'!F37="","",'Option 1'!F37)</f>
        <v/>
      </c>
      <c r="G37" s="184" t="str">
        <f>IF('Option 1'!G37="","",'Option 1'!G37)</f>
        <v/>
      </c>
      <c r="H37" s="184" t="str">
        <f>IF('Option 1'!H37="","",'Option 1'!H37)</f>
        <v/>
      </c>
      <c r="I37" s="184" t="str">
        <f>IF('Option 1'!I37="","",'Option 1'!I37)</f>
        <v/>
      </c>
      <c r="J37" s="184" t="str">
        <f>IF('Option 1'!J37="","",'Option 1'!J37)</f>
        <v/>
      </c>
      <c r="K37" s="184" t="str">
        <f>IF('Option 1'!K37="","",'Option 1'!K37)</f>
        <v/>
      </c>
      <c r="L37" s="184" t="str">
        <f>IF('Option 1'!L37="","",'Option 1'!L37)</f>
        <v/>
      </c>
      <c r="M37" s="184" t="str">
        <f>IF('Option 1'!M37="","",'Option 1'!M37)</f>
        <v/>
      </c>
      <c r="N37" s="184" t="str">
        <f>IF('Option 1'!N37="","",'Option 1'!N37)</f>
        <v/>
      </c>
      <c r="O37" s="184" t="str">
        <f>IF('Option 1'!O37="","",'Option 1'!O37)</f>
        <v/>
      </c>
      <c r="P37" s="124">
        <f t="shared" si="8"/>
        <v>0</v>
      </c>
    </row>
    <row r="38" spans="1:16" ht="15.75" customHeight="1" x14ac:dyDescent="0.25">
      <c r="A38" s="239"/>
      <c r="B38" s="4" t="str">
        <f>IF('Option 1'!B38="","",'Option 1'!B38)</f>
        <v/>
      </c>
      <c r="C38" s="182" t="str">
        <f>IF('Option 1'!C38="","",'Option 1'!C38)</f>
        <v>Parking Lot Concrete Curbs</v>
      </c>
      <c r="D38" s="183" t="str">
        <f>IF('Option 1'!D38="","",'Option 1'!D38)</f>
        <v/>
      </c>
      <c r="E38" s="184" t="str">
        <f>IF('Option 1'!E38="","",'Option 1'!E38)</f>
        <v/>
      </c>
      <c r="F38" s="184" t="str">
        <f>IF('Option 1'!F38="","",'Option 1'!F38)</f>
        <v/>
      </c>
      <c r="G38" s="184" t="str">
        <f>IF('Option 1'!G38="","",'Option 1'!G38)</f>
        <v/>
      </c>
      <c r="H38" s="184" t="str">
        <f>IF('Option 1'!H38="","",'Option 1'!H38)</f>
        <v/>
      </c>
      <c r="I38" s="184" t="str">
        <f>IF('Option 1'!I38="","",'Option 1'!I38)</f>
        <v/>
      </c>
      <c r="J38" s="184" t="str">
        <f>IF('Option 1'!J38="","",'Option 1'!J38)</f>
        <v/>
      </c>
      <c r="K38" s="184" t="str">
        <f>IF('Option 1'!K38="","",'Option 1'!K38)</f>
        <v/>
      </c>
      <c r="L38" s="184" t="str">
        <f>IF('Option 1'!L38="","",'Option 1'!L38)</f>
        <v/>
      </c>
      <c r="M38" s="184" t="str">
        <f>IF('Option 1'!M38="","",'Option 1'!M38)</f>
        <v/>
      </c>
      <c r="N38" s="184" t="str">
        <f>IF('Option 1'!N38="","",'Option 1'!N38)</f>
        <v/>
      </c>
      <c r="O38" s="184" t="str">
        <f>IF('Option 1'!O38="","",'Option 1'!O38)</f>
        <v/>
      </c>
      <c r="P38" s="124">
        <f t="shared" si="8"/>
        <v>0</v>
      </c>
    </row>
    <row r="39" spans="1:16" ht="15.75" customHeight="1" x14ac:dyDescent="0.25">
      <c r="A39" s="239"/>
      <c r="B39" s="4" t="str">
        <f>IF('Option 1'!B39="","",'Option 1'!B39)</f>
        <v/>
      </c>
      <c r="C39" s="182" t="str">
        <f>IF('Option 1'!C39="","",'Option 1'!C39)</f>
        <v>Ramp Concrete Curbs</v>
      </c>
      <c r="D39" s="183" t="str">
        <f>IF('Option 1'!D39="","",'Option 1'!D39)</f>
        <v/>
      </c>
      <c r="E39" s="184" t="str">
        <f>IF('Option 1'!E39="","",'Option 1'!E39)</f>
        <v/>
      </c>
      <c r="F39" s="184" t="str">
        <f>IF('Option 1'!F39="","",'Option 1'!F39)</f>
        <v/>
      </c>
      <c r="G39" s="184" t="str">
        <f>IF('Option 1'!G39="","",'Option 1'!G39)</f>
        <v/>
      </c>
      <c r="H39" s="184" t="str">
        <f>IF('Option 1'!H39="","",'Option 1'!H39)</f>
        <v/>
      </c>
      <c r="I39" s="184" t="str">
        <f>IF('Option 1'!I39="","",'Option 1'!I39)</f>
        <v/>
      </c>
      <c r="J39" s="184" t="str">
        <f>IF('Option 1'!J39="","",'Option 1'!J39)</f>
        <v/>
      </c>
      <c r="K39" s="184" t="str">
        <f>IF('Option 1'!K39="","",'Option 1'!K39)</f>
        <v/>
      </c>
      <c r="L39" s="184" t="str">
        <f>IF('Option 1'!L39="","",'Option 1'!L39)</f>
        <v/>
      </c>
      <c r="M39" s="184" t="str">
        <f>IF('Option 1'!M39="","",'Option 1'!M39)</f>
        <v/>
      </c>
      <c r="N39" s="184" t="str">
        <f>IF('Option 1'!N39="","",'Option 1'!N39)</f>
        <v/>
      </c>
      <c r="O39" s="184" t="str">
        <f>IF('Option 1'!O39="","",'Option 1'!O39)</f>
        <v/>
      </c>
      <c r="P39" s="124">
        <f t="shared" si="8"/>
        <v>0</v>
      </c>
    </row>
    <row r="40" spans="1:16" ht="15.75" customHeight="1" x14ac:dyDescent="0.25">
      <c r="A40" s="239"/>
      <c r="B40" s="4" t="str">
        <f>IF('Option 1'!B40="","",'Option 1'!B40)</f>
        <v/>
      </c>
      <c r="C40" s="182" t="str">
        <f>IF('Option 1'!C40="","",'Option 1'!C40)</f>
        <v>Aggregate 5'-0" Walkway</v>
      </c>
      <c r="D40" s="183" t="str">
        <f>IF('Option 1'!D40="","",'Option 1'!D40)</f>
        <v/>
      </c>
      <c r="E40" s="184" t="str">
        <f>IF('Option 1'!E40="","",'Option 1'!E40)</f>
        <v/>
      </c>
      <c r="F40" s="184" t="str">
        <f>IF('Option 1'!F40="","",'Option 1'!F40)</f>
        <v/>
      </c>
      <c r="G40" s="184" t="str">
        <f>IF('Option 1'!G40="","",'Option 1'!G40)</f>
        <v/>
      </c>
      <c r="H40" s="184" t="str">
        <f>IF('Option 1'!H40="","",'Option 1'!H40)</f>
        <v/>
      </c>
      <c r="I40" s="184" t="str">
        <f>IF('Option 1'!I40="","",'Option 1'!I40)</f>
        <v/>
      </c>
      <c r="J40" s="184" t="str">
        <f>IF('Option 1'!J40="","",'Option 1'!J40)</f>
        <v/>
      </c>
      <c r="K40" s="184" t="str">
        <f>IF('Option 1'!K40="","",'Option 1'!K40)</f>
        <v/>
      </c>
      <c r="L40" s="184" t="str">
        <f>IF('Option 1'!L40="","",'Option 1'!L40)</f>
        <v/>
      </c>
      <c r="M40" s="184" t="str">
        <f>IF('Option 1'!M40="","",'Option 1'!M40)</f>
        <v/>
      </c>
      <c r="N40" s="184" t="str">
        <f>IF('Option 1'!N40="","",'Option 1'!N40)</f>
        <v/>
      </c>
      <c r="O40" s="184" t="str">
        <f>IF('Option 1'!O40="","",'Option 1'!O40)</f>
        <v/>
      </c>
      <c r="P40" s="124">
        <f t="shared" si="8"/>
        <v>0</v>
      </c>
    </row>
    <row r="41" spans="1:16" ht="15.75" customHeight="1" x14ac:dyDescent="0.25">
      <c r="A41" s="239"/>
      <c r="B41" s="4" t="str">
        <f>IF('Option 1'!B41="","",'Option 1'!B41)</f>
        <v/>
      </c>
      <c r="C41" s="182" t="str">
        <f>IF('Option 1'!C41="","",'Option 1'!C41)</f>
        <v>Storm Sewer System</v>
      </c>
      <c r="D41" s="183" t="str">
        <f>IF('Option 1'!D41="","",'Option 1'!D41)</f>
        <v/>
      </c>
      <c r="E41" s="184" t="str">
        <f>IF('Option 1'!E41="","",'Option 1'!E41)</f>
        <v/>
      </c>
      <c r="F41" s="184" t="str">
        <f>IF('Option 1'!F41="","",'Option 1'!F41)</f>
        <v/>
      </c>
      <c r="G41" s="184" t="str">
        <f>IF('Option 1'!G41="","",'Option 1'!G41)</f>
        <v/>
      </c>
      <c r="H41" s="184" t="str">
        <f>IF('Option 1'!H41="","",'Option 1'!H41)</f>
        <v/>
      </c>
      <c r="I41" s="184" t="str">
        <f>IF('Option 1'!I41="","",'Option 1'!I41)</f>
        <v/>
      </c>
      <c r="J41" s="184" t="str">
        <f>IF('Option 1'!J41="","",'Option 1'!J41)</f>
        <v/>
      </c>
      <c r="K41" s="184" t="str">
        <f>IF('Option 1'!K41="","",'Option 1'!K41)</f>
        <v/>
      </c>
      <c r="L41" s="184" t="str">
        <f>IF('Option 1'!L41="","",'Option 1'!L41)</f>
        <v/>
      </c>
      <c r="M41" s="184">
        <f>IF('Option 1'!M41="","",'Option 1'!M41)</f>
        <v>30445</v>
      </c>
      <c r="N41" s="184" t="str">
        <f>IF('Option 1'!N41="","",'Option 1'!N41)</f>
        <v/>
      </c>
      <c r="O41" s="184" t="str">
        <f>IF('Option 1'!O41="","",'Option 1'!O41)</f>
        <v/>
      </c>
      <c r="P41" s="124">
        <f t="shared" si="8"/>
        <v>30445</v>
      </c>
    </row>
    <row r="42" spans="1:16" ht="15.75" customHeight="1" x14ac:dyDescent="0.25">
      <c r="A42" s="239"/>
      <c r="B42" s="4" t="str">
        <f>IF('Option 1'!B42="","",'Option 1'!B42)</f>
        <v/>
      </c>
      <c r="C42" s="182" t="str">
        <f>IF('Option 1'!C42="","",'Option 1'!C42)</f>
        <v>Concrete Entry Walk (Clubhouse)</v>
      </c>
      <c r="D42" s="183" t="str">
        <f>IF('Option 1'!D42="","",'Option 1'!D42)</f>
        <v/>
      </c>
      <c r="E42" s="184" t="str">
        <f>IF('Option 1'!E42="","",'Option 1'!E42)</f>
        <v/>
      </c>
      <c r="F42" s="184" t="str">
        <f>IF('Option 1'!F42="","",'Option 1'!F42)</f>
        <v/>
      </c>
      <c r="G42" s="184" t="str">
        <f>IF('Option 1'!G42="","",'Option 1'!G42)</f>
        <v/>
      </c>
      <c r="H42" s="184" t="str">
        <f>IF('Option 1'!H42="","",'Option 1'!H42)</f>
        <v/>
      </c>
      <c r="I42" s="184" t="str">
        <f>IF('Option 1'!I42="","",'Option 1'!I42)</f>
        <v/>
      </c>
      <c r="J42" s="184" t="str">
        <f>IF('Option 1'!J42="","",'Option 1'!J42)</f>
        <v/>
      </c>
      <c r="K42" s="184" t="str">
        <f>IF('Option 1'!K42="","",'Option 1'!K42)</f>
        <v/>
      </c>
      <c r="L42" s="184" t="str">
        <f>IF('Option 1'!L42="","",'Option 1'!L42)</f>
        <v/>
      </c>
      <c r="M42" s="184" t="str">
        <f>IF('Option 1'!M42="","",'Option 1'!M42)</f>
        <v/>
      </c>
      <c r="N42" s="184" t="str">
        <f>IF('Option 1'!N42="","",'Option 1'!N42)</f>
        <v/>
      </c>
      <c r="O42" s="184" t="str">
        <f>IF('Option 1'!O42="","",'Option 1'!O42)</f>
        <v/>
      </c>
      <c r="P42" s="124">
        <f t="shared" si="8"/>
        <v>0</v>
      </c>
    </row>
    <row r="43" spans="1:16" ht="15.75" customHeight="1" x14ac:dyDescent="0.25">
      <c r="A43" s="239"/>
      <c r="B43" s="4" t="str">
        <f>IF('Option 1'!B43="","",'Option 1'!B43)</f>
        <v/>
      </c>
      <c r="C43" s="182" t="str">
        <f>IF('Option 1'!C43="","",'Option 1'!C43)</f>
        <v>Rear Concrete Walks</v>
      </c>
      <c r="D43" s="183" t="str">
        <f>IF('Option 1'!D43="","",'Option 1'!D43)</f>
        <v/>
      </c>
      <c r="E43" s="184">
        <f>IF('Option 1'!E43="","",'Option 1'!E43)</f>
        <v>27835</v>
      </c>
      <c r="F43" s="184" t="str">
        <f>IF('Option 1'!F43="","",'Option 1'!F43)</f>
        <v/>
      </c>
      <c r="G43" s="184" t="str">
        <f>IF('Option 1'!G43="","",'Option 1'!G43)</f>
        <v/>
      </c>
      <c r="H43" s="184" t="str">
        <f>IF('Option 1'!H43="","",'Option 1'!H43)</f>
        <v/>
      </c>
      <c r="I43" s="184" t="str">
        <f>IF('Option 1'!I43="","",'Option 1'!I43)</f>
        <v/>
      </c>
      <c r="J43" s="184" t="str">
        <f>IF('Option 1'!J43="","",'Option 1'!J43)</f>
        <v/>
      </c>
      <c r="K43" s="184" t="str">
        <f>IF('Option 1'!K43="","",'Option 1'!K43)</f>
        <v/>
      </c>
      <c r="L43" s="184" t="str">
        <f>IF('Option 1'!L43="","",'Option 1'!L43)</f>
        <v/>
      </c>
      <c r="M43" s="184" t="str">
        <f>IF('Option 1'!M43="","",'Option 1'!M43)</f>
        <v/>
      </c>
      <c r="N43" s="184" t="str">
        <f>IF('Option 1'!N43="","",'Option 1'!N43)</f>
        <v/>
      </c>
      <c r="O43" s="184" t="str">
        <f>IF('Option 1'!O43="","",'Option 1'!O43)</f>
        <v/>
      </c>
      <c r="P43" s="124">
        <f t="shared" si="8"/>
        <v>27835</v>
      </c>
    </row>
    <row r="44" spans="1:16" ht="15.75" customHeight="1" x14ac:dyDescent="0.25">
      <c r="A44" s="239"/>
      <c r="B44" s="4" t="str">
        <f>IF('Option 1'!B44="","",'Option 1'!B44)</f>
        <v/>
      </c>
      <c r="C44" s="182" t="str">
        <f>IF('Option 1'!C44="","",'Option 1'!C44)</f>
        <v>Brick Paver Entry Walks (Bldgs. 1405, 1515, 1605, &amp; 1615)</v>
      </c>
      <c r="D44" s="183" t="str">
        <f>IF('Option 1'!D44="","",'Option 1'!D44)</f>
        <v/>
      </c>
      <c r="E44" s="184" t="str">
        <f>IF('Option 1'!E44="","",'Option 1'!E44)</f>
        <v/>
      </c>
      <c r="F44" s="184" t="str">
        <f>IF('Option 1'!F44="","",'Option 1'!F44)</f>
        <v/>
      </c>
      <c r="G44" s="184" t="str">
        <f>IF('Option 1'!G44="","",'Option 1'!G44)</f>
        <v/>
      </c>
      <c r="H44" s="184" t="str">
        <f>IF('Option 1'!H44="","",'Option 1'!H44)</f>
        <v/>
      </c>
      <c r="I44" s="184" t="str">
        <f>IF('Option 1'!I44="","",'Option 1'!I44)</f>
        <v/>
      </c>
      <c r="J44" s="184" t="str">
        <f>IF('Option 1'!J44="","",'Option 1'!J44)</f>
        <v/>
      </c>
      <c r="K44" s="184" t="str">
        <f>IF('Option 1'!K44="","",'Option 1'!K44)</f>
        <v/>
      </c>
      <c r="L44" s="184" t="str">
        <f>IF('Option 1'!L44="","",'Option 1'!L44)</f>
        <v/>
      </c>
      <c r="M44" s="184" t="str">
        <f>IF('Option 1'!M44="","",'Option 1'!M44)</f>
        <v/>
      </c>
      <c r="N44" s="184" t="str">
        <f>IF('Option 1'!N44="","",'Option 1'!N44)</f>
        <v/>
      </c>
      <c r="O44" s="184" t="str">
        <f>IF('Option 1'!O44="","",'Option 1'!O44)</f>
        <v/>
      </c>
      <c r="P44" s="124">
        <f t="shared" si="8"/>
        <v>0</v>
      </c>
    </row>
    <row r="45" spans="1:16" ht="15.75" customHeight="1" x14ac:dyDescent="0.25">
      <c r="A45" s="239"/>
      <c r="B45" s="4" t="str">
        <f>IF('Option 1'!B45="","",'Option 1'!B45)</f>
        <v/>
      </c>
      <c r="C45" s="182" t="str">
        <f>IF('Option 1'!C45="","",'Option 1'!C45)</f>
        <v>Brick Paver Entry Walks (Bldgs. 1415 &amp; 1505)</v>
      </c>
      <c r="D45" s="183" t="str">
        <f>IF('Option 1'!D45="","",'Option 1'!D45)</f>
        <v/>
      </c>
      <c r="E45" s="184" t="str">
        <f>IF('Option 1'!E45="","",'Option 1'!E45)</f>
        <v/>
      </c>
      <c r="F45" s="184" t="str">
        <f>IF('Option 1'!F45="","",'Option 1'!F45)</f>
        <v/>
      </c>
      <c r="G45" s="184" t="str">
        <f>IF('Option 1'!G45="","",'Option 1'!G45)</f>
        <v/>
      </c>
      <c r="H45" s="184" t="str">
        <f>IF('Option 1'!H45="","",'Option 1'!H45)</f>
        <v/>
      </c>
      <c r="I45" s="184" t="str">
        <f>IF('Option 1'!I45="","",'Option 1'!I45)</f>
        <v/>
      </c>
      <c r="J45" s="184" t="str">
        <f>IF('Option 1'!J45="","",'Option 1'!J45)</f>
        <v/>
      </c>
      <c r="K45" s="184" t="str">
        <f>IF('Option 1'!K45="","",'Option 1'!K45)</f>
        <v/>
      </c>
      <c r="L45" s="184" t="str">
        <f>IF('Option 1'!L45="","",'Option 1'!L45)</f>
        <v/>
      </c>
      <c r="M45" s="184" t="str">
        <f>IF('Option 1'!M45="","",'Option 1'!M45)</f>
        <v/>
      </c>
      <c r="N45" s="184" t="str">
        <f>IF('Option 1'!N45="","",'Option 1'!N45)</f>
        <v/>
      </c>
      <c r="O45" s="184" t="str">
        <f>IF('Option 1'!O45="","",'Option 1'!O45)</f>
        <v/>
      </c>
      <c r="P45" s="124">
        <f t="shared" si="8"/>
        <v>0</v>
      </c>
    </row>
    <row r="46" spans="1:16" ht="15.75" customHeight="1" x14ac:dyDescent="0.25">
      <c r="A46" s="239"/>
      <c r="B46" s="4" t="str">
        <f>IF('Option 1'!B46="","",'Option 1'!B46)</f>
        <v/>
      </c>
      <c r="C46" s="182" t="str">
        <f>IF('Option 1'!C46="","",'Option 1'!C46)</f>
        <v>Stone Paver Walks (Concrete)</v>
      </c>
      <c r="D46" s="183" t="str">
        <f>IF('Option 1'!D46="","",'Option 1'!D46)</f>
        <v/>
      </c>
      <c r="E46" s="184" t="str">
        <f>IF('Option 1'!E46="","",'Option 1'!E46)</f>
        <v/>
      </c>
      <c r="F46" s="184" t="str">
        <f>IF('Option 1'!F46="","",'Option 1'!F46)</f>
        <v/>
      </c>
      <c r="G46" s="184" t="str">
        <f>IF('Option 1'!G46="","",'Option 1'!G46)</f>
        <v/>
      </c>
      <c r="H46" s="184" t="str">
        <f>IF('Option 1'!H46="","",'Option 1'!H46)</f>
        <v/>
      </c>
      <c r="I46" s="184" t="str">
        <f>IF('Option 1'!I46="","",'Option 1'!I46)</f>
        <v/>
      </c>
      <c r="J46" s="184" t="str">
        <f>IF('Option 1'!J46="","",'Option 1'!J46)</f>
        <v/>
      </c>
      <c r="K46" s="184" t="str">
        <f>IF('Option 1'!K46="","",'Option 1'!K46)</f>
        <v/>
      </c>
      <c r="L46" s="184" t="str">
        <f>IF('Option 1'!L46="","",'Option 1'!L46)</f>
        <v/>
      </c>
      <c r="M46" s="184" t="str">
        <f>IF('Option 1'!M46="","",'Option 1'!M46)</f>
        <v/>
      </c>
      <c r="N46" s="184" t="str">
        <f>IF('Option 1'!N46="","",'Option 1'!N46)</f>
        <v/>
      </c>
      <c r="O46" s="184" t="str">
        <f>IF('Option 1'!O46="","",'Option 1'!O46)</f>
        <v/>
      </c>
      <c r="P46" s="124">
        <f t="shared" si="8"/>
        <v>0</v>
      </c>
    </row>
    <row r="47" spans="1:16" ht="15.75" customHeight="1" x14ac:dyDescent="0.25">
      <c r="A47" s="239"/>
      <c r="B47" s="4" t="str">
        <f>IF('Option 1'!B47="","",'Option 1'!B47)</f>
        <v/>
      </c>
      <c r="C47" s="182" t="str">
        <f>IF('Option 1'!C47="","",'Option 1'!C47)</f>
        <v>Concrete Trash Pads</v>
      </c>
      <c r="D47" s="183" t="str">
        <f>IF('Option 1'!D47="","",'Option 1'!D47)</f>
        <v/>
      </c>
      <c r="E47" s="184" t="str">
        <f>IF('Option 1'!E47="","",'Option 1'!E47)</f>
        <v/>
      </c>
      <c r="F47" s="184" t="str">
        <f>IF('Option 1'!F47="","",'Option 1'!F47)</f>
        <v/>
      </c>
      <c r="G47" s="184" t="str">
        <f>IF('Option 1'!G47="","",'Option 1'!G47)</f>
        <v/>
      </c>
      <c r="H47" s="184" t="str">
        <f>IF('Option 1'!H47="","",'Option 1'!H47)</f>
        <v/>
      </c>
      <c r="I47" s="184" t="str">
        <f>IF('Option 1'!I47="","",'Option 1'!I47)</f>
        <v/>
      </c>
      <c r="J47" s="184" t="str">
        <f>IF('Option 1'!J47="","",'Option 1'!J47)</f>
        <v/>
      </c>
      <c r="K47" s="184" t="str">
        <f>IF('Option 1'!K47="","",'Option 1'!K47)</f>
        <v/>
      </c>
      <c r="L47" s="184" t="str">
        <f>IF('Option 1'!L47="","",'Option 1'!L47)</f>
        <v/>
      </c>
      <c r="M47" s="184" t="str">
        <f>IF('Option 1'!M47="","",'Option 1'!M47)</f>
        <v/>
      </c>
      <c r="N47" s="184">
        <f>IF('Option 1'!N47="","",'Option 1'!N47)</f>
        <v>30456</v>
      </c>
      <c r="O47" s="184" t="str">
        <f>IF('Option 1'!O47="","",'Option 1'!O47)</f>
        <v/>
      </c>
      <c r="P47" s="124">
        <f t="shared" si="8"/>
        <v>30456</v>
      </c>
    </row>
    <row r="48" spans="1:16" ht="15.75" customHeight="1" x14ac:dyDescent="0.25">
      <c r="A48" s="239"/>
      <c r="B48" s="4" t="str">
        <f>IF('Option 1'!B48="","",'Option 1'!B48)</f>
        <v/>
      </c>
      <c r="C48" s="182" t="str">
        <f>IF('Option 1'!C48="","",'Option 1'!C48)</f>
        <v>Split Rail Fence</v>
      </c>
      <c r="D48" s="183" t="str">
        <f>IF('Option 1'!D48="","",'Option 1'!D48)</f>
        <v/>
      </c>
      <c r="E48" s="184" t="str">
        <f>IF('Option 1'!E48="","",'Option 1'!E48)</f>
        <v/>
      </c>
      <c r="F48" s="184" t="str">
        <f>IF('Option 1'!F48="","",'Option 1'!F48)</f>
        <v/>
      </c>
      <c r="G48" s="184" t="str">
        <f>IF('Option 1'!G48="","",'Option 1'!G48)</f>
        <v/>
      </c>
      <c r="H48" s="184" t="str">
        <f>IF('Option 1'!H48="","",'Option 1'!H48)</f>
        <v/>
      </c>
      <c r="I48" s="184" t="str">
        <f>IF('Option 1'!I48="","",'Option 1'!I48)</f>
        <v/>
      </c>
      <c r="J48" s="184" t="str">
        <f>IF('Option 1'!J48="","",'Option 1'!J48)</f>
        <v/>
      </c>
      <c r="K48" s="184" t="str">
        <f>IF('Option 1'!K48="","",'Option 1'!K48)</f>
        <v/>
      </c>
      <c r="L48" s="184" t="str">
        <f>IF('Option 1'!L48="","",'Option 1'!L48)</f>
        <v/>
      </c>
      <c r="M48" s="184" t="str">
        <f>IF('Option 1'!M48="","",'Option 1'!M48)</f>
        <v/>
      </c>
      <c r="N48" s="184" t="str">
        <f>IF('Option 1'!N48="","",'Option 1'!N48)</f>
        <v/>
      </c>
      <c r="O48" s="184" t="str">
        <f>IF('Option 1'!O48="","",'Option 1'!O48)</f>
        <v/>
      </c>
      <c r="P48" s="124">
        <f t="shared" si="8"/>
        <v>0</v>
      </c>
    </row>
    <row r="49" spans="1:16" ht="15.75" customHeight="1" x14ac:dyDescent="0.25">
      <c r="A49" s="239"/>
      <c r="B49" s="4" t="str">
        <f>IF('Option 1'!B49="","",'Option 1'!B49)</f>
        <v/>
      </c>
      <c r="C49" s="182" t="str">
        <f>IF('Option 1'!C49="","",'Option 1'!C49)</f>
        <v>Chain Link Fence at SW (5')</v>
      </c>
      <c r="D49" s="183" t="str">
        <f>IF('Option 1'!D49="","",'Option 1'!D49)</f>
        <v/>
      </c>
      <c r="E49" s="184" t="str">
        <f>IF('Option 1'!E49="","",'Option 1'!E49)</f>
        <v/>
      </c>
      <c r="F49" s="184" t="str">
        <f>IF('Option 1'!F49="","",'Option 1'!F49)</f>
        <v/>
      </c>
      <c r="G49" s="184" t="str">
        <f>IF('Option 1'!G49="","",'Option 1'!G49)</f>
        <v/>
      </c>
      <c r="H49" s="184" t="str">
        <f>IF('Option 1'!H49="","",'Option 1'!H49)</f>
        <v/>
      </c>
      <c r="I49" s="184" t="str">
        <f>IF('Option 1'!I49="","",'Option 1'!I49)</f>
        <v/>
      </c>
      <c r="J49" s="184" t="str">
        <f>IF('Option 1'!J49="","",'Option 1'!J49)</f>
        <v/>
      </c>
      <c r="K49" s="184" t="str">
        <f>IF('Option 1'!K49="","",'Option 1'!K49)</f>
        <v/>
      </c>
      <c r="L49" s="184" t="str">
        <f>IF('Option 1'!L49="","",'Option 1'!L49)</f>
        <v/>
      </c>
      <c r="M49" s="184" t="str">
        <f>IF('Option 1'!M49="","",'Option 1'!M49)</f>
        <v/>
      </c>
      <c r="N49" s="184" t="str">
        <f>IF('Option 1'!N49="","",'Option 1'!N49)</f>
        <v/>
      </c>
      <c r="O49" s="184" t="str">
        <f>IF('Option 1'!O49="","",'Option 1'!O49)</f>
        <v/>
      </c>
      <c r="P49" s="124">
        <f t="shared" si="8"/>
        <v>0</v>
      </c>
    </row>
    <row r="50" spans="1:16" ht="15.75" customHeight="1" x14ac:dyDescent="0.25">
      <c r="A50" s="239"/>
      <c r="B50" s="4" t="str">
        <f>IF('Option 1'!B50="","",'Option 1'!B50)</f>
        <v/>
      </c>
      <c r="C50" s="182" t="str">
        <f>IF('Option 1'!C50="","",'Option 1'!C50)</f>
        <v>Chain Link Fence (6')</v>
      </c>
      <c r="D50" s="183" t="str">
        <f>IF('Option 1'!D50="","",'Option 1'!D50)</f>
        <v/>
      </c>
      <c r="E50" s="184" t="str">
        <f>IF('Option 1'!E50="","",'Option 1'!E50)</f>
        <v/>
      </c>
      <c r="F50" s="184" t="str">
        <f>IF('Option 1'!F50="","",'Option 1'!F50)</f>
        <v/>
      </c>
      <c r="G50" s="184" t="str">
        <f>IF('Option 1'!G50="","",'Option 1'!G50)</f>
        <v/>
      </c>
      <c r="H50" s="184" t="str">
        <f>IF('Option 1'!H50="","",'Option 1'!H50)</f>
        <v/>
      </c>
      <c r="I50" s="184" t="str">
        <f>IF('Option 1'!I50="","",'Option 1'!I50)</f>
        <v/>
      </c>
      <c r="J50" s="184" t="str">
        <f>IF('Option 1'!J50="","",'Option 1'!J50)</f>
        <v/>
      </c>
      <c r="K50" s="184" t="str">
        <f>IF('Option 1'!K50="","",'Option 1'!K50)</f>
        <v/>
      </c>
      <c r="L50" s="184" t="str">
        <f>IF('Option 1'!L50="","",'Option 1'!L50)</f>
        <v/>
      </c>
      <c r="M50" s="184" t="str">
        <f>IF('Option 1'!M50="","",'Option 1'!M50)</f>
        <v/>
      </c>
      <c r="N50" s="184" t="str">
        <f>IF('Option 1'!N50="","",'Option 1'!N50)</f>
        <v/>
      </c>
      <c r="O50" s="184" t="str">
        <f>IF('Option 1'!O50="","",'Option 1'!O50)</f>
        <v/>
      </c>
      <c r="P50" s="124">
        <f t="shared" si="8"/>
        <v>0</v>
      </c>
    </row>
    <row r="51" spans="1:16" ht="15.75" customHeight="1" x14ac:dyDescent="0.25">
      <c r="A51" s="239"/>
      <c r="B51" s="4" t="str">
        <f>IF('Option 1'!B51="","",'Option 1'!B51)</f>
        <v/>
      </c>
      <c r="C51" s="182" t="str">
        <f>IF('Option 1'!C51="","",'Option 1'!C51)</f>
        <v>Patio Aluminum Fence</v>
      </c>
      <c r="D51" s="183" t="str">
        <f>IF('Option 1'!D51="","",'Option 1'!D51)</f>
        <v/>
      </c>
      <c r="E51" s="184" t="str">
        <f>IF('Option 1'!E51="","",'Option 1'!E51)</f>
        <v/>
      </c>
      <c r="F51" s="184" t="str">
        <f>IF('Option 1'!F51="","",'Option 1'!F51)</f>
        <v/>
      </c>
      <c r="G51" s="184" t="str">
        <f>IF('Option 1'!G51="","",'Option 1'!G51)</f>
        <v/>
      </c>
      <c r="H51" s="184" t="str">
        <f>IF('Option 1'!H51="","",'Option 1'!H51)</f>
        <v/>
      </c>
      <c r="I51" s="184" t="str">
        <f>IF('Option 1'!I51="","",'Option 1'!I51)</f>
        <v/>
      </c>
      <c r="J51" s="184" t="str">
        <f>IF('Option 1'!J51="","",'Option 1'!J51)</f>
        <v/>
      </c>
      <c r="K51" s="184" t="str">
        <f>IF('Option 1'!K51="","",'Option 1'!K51)</f>
        <v/>
      </c>
      <c r="L51" s="184" t="str">
        <f>IF('Option 1'!L51="","",'Option 1'!L51)</f>
        <v/>
      </c>
      <c r="M51" s="184" t="str">
        <f>IF('Option 1'!M51="","",'Option 1'!M51)</f>
        <v/>
      </c>
      <c r="N51" s="184" t="str">
        <f>IF('Option 1'!N51="","",'Option 1'!N51)</f>
        <v/>
      </c>
      <c r="O51" s="184" t="str">
        <f>IF('Option 1'!O51="","",'Option 1'!O51)</f>
        <v/>
      </c>
      <c r="P51" s="124">
        <f t="shared" si="8"/>
        <v>0</v>
      </c>
    </row>
    <row r="52" spans="1:16" ht="15.75" customHeight="1" x14ac:dyDescent="0.25">
      <c r="A52" s="239"/>
      <c r="B52" s="4" t="str">
        <f>IF('Option 1'!B52="","",'Option 1'!B52)</f>
        <v/>
      </c>
      <c r="C52" s="182" t="str">
        <f>IF('Option 1'!C52="","",'Option 1'!C52)</f>
        <v>Concrete Retaining Walls</v>
      </c>
      <c r="D52" s="186" t="str">
        <f>IF('Option 1'!D52="","",'Option 1'!D52)</f>
        <v/>
      </c>
      <c r="E52" s="184" t="str">
        <f>IF('Option 1'!E52="","",'Option 1'!E52)</f>
        <v/>
      </c>
      <c r="F52" s="184" t="str">
        <f>IF('Option 1'!F52="","",'Option 1'!F52)</f>
        <v/>
      </c>
      <c r="G52" s="184" t="str">
        <f>IF('Option 1'!G52="","",'Option 1'!G52)</f>
        <v/>
      </c>
      <c r="H52" s="184" t="str">
        <f>IF('Option 1'!H52="","",'Option 1'!H52)</f>
        <v/>
      </c>
      <c r="I52" s="184" t="str">
        <f>IF('Option 1'!I52="","",'Option 1'!I52)</f>
        <v/>
      </c>
      <c r="J52" s="184" t="str">
        <f>IF('Option 1'!J52="","",'Option 1'!J52)</f>
        <v/>
      </c>
      <c r="K52" s="184" t="str">
        <f>IF('Option 1'!K52="","",'Option 1'!K52)</f>
        <v/>
      </c>
      <c r="L52" s="184" t="str">
        <f>IF('Option 1'!L52="","",'Option 1'!L52)</f>
        <v/>
      </c>
      <c r="M52" s="184" t="str">
        <f>IF('Option 1'!M52="","",'Option 1'!M52)</f>
        <v/>
      </c>
      <c r="N52" s="184" t="str">
        <f>IF('Option 1'!N52="","",'Option 1'!N52)</f>
        <v/>
      </c>
      <c r="O52" s="184" t="str">
        <f>IF('Option 1'!O52="","",'Option 1'!O52)</f>
        <v/>
      </c>
      <c r="P52" s="124">
        <f t="shared" si="8"/>
        <v>0</v>
      </c>
    </row>
    <row r="53" spans="1:16" ht="15.75" customHeight="1" x14ac:dyDescent="0.25">
      <c r="A53" s="239"/>
      <c r="B53" s="4" t="str">
        <f>IF('Option 1'!B53="","",'Option 1'!B53)</f>
        <v/>
      </c>
      <c r="C53" s="182" t="str">
        <f>IF('Option 1'!C53="","",'Option 1'!C53)</f>
        <v>Ramp Trench Drains</v>
      </c>
      <c r="D53" s="186" t="str">
        <f>IF('Option 1'!D53="","",'Option 1'!D53)</f>
        <v/>
      </c>
      <c r="E53" s="184" t="str">
        <f>IF('Option 1'!E53="","",'Option 1'!E53)</f>
        <v/>
      </c>
      <c r="F53" s="184" t="str">
        <f>IF('Option 1'!F53="","",'Option 1'!F53)</f>
        <v/>
      </c>
      <c r="G53" s="184" t="str">
        <f>IF('Option 1'!G53="","",'Option 1'!G53)</f>
        <v/>
      </c>
      <c r="H53" s="184" t="str">
        <f>IF('Option 1'!H53="","",'Option 1'!H53)</f>
        <v/>
      </c>
      <c r="I53" s="184" t="str">
        <f>IF('Option 1'!I53="","",'Option 1'!I53)</f>
        <v/>
      </c>
      <c r="J53" s="184" t="str">
        <f>IF('Option 1'!J53="","",'Option 1'!J53)</f>
        <v/>
      </c>
      <c r="K53" s="184" t="str">
        <f>IF('Option 1'!K53="","",'Option 1'!K53)</f>
        <v/>
      </c>
      <c r="L53" s="184" t="str">
        <f>IF('Option 1'!L53="","",'Option 1'!L53)</f>
        <v/>
      </c>
      <c r="M53" s="184" t="str">
        <f>IF('Option 1'!M53="","",'Option 1'!M53)</f>
        <v/>
      </c>
      <c r="N53" s="184">
        <f>IF('Option 1'!N53="","",'Option 1'!N53)</f>
        <v>41516</v>
      </c>
      <c r="O53" s="184" t="str">
        <f>IF('Option 1'!O53="","",'Option 1'!O53)</f>
        <v/>
      </c>
      <c r="P53" s="124">
        <f t="shared" si="8"/>
        <v>41516</v>
      </c>
    </row>
    <row r="54" spans="1:16" ht="15.75" customHeight="1" x14ac:dyDescent="0.25">
      <c r="A54" s="239"/>
      <c r="B54" s="4" t="str">
        <f>IF('Option 1'!B54="","",'Option 1'!B54)</f>
        <v/>
      </c>
      <c r="C54" s="182" t="str">
        <f>IF('Option 1'!C54="","",'Option 1'!C54)</f>
        <v xml:space="preserve">Patios </v>
      </c>
      <c r="D54" s="187" t="str">
        <f>IF('Option 1'!D54="","",'Option 1'!D54)</f>
        <v/>
      </c>
      <c r="E54" s="184" t="str">
        <f>IF('Option 1'!E54="","",'Option 1'!E54)</f>
        <v/>
      </c>
      <c r="F54" s="184" t="str">
        <f>IF('Option 1'!F54="","",'Option 1'!F54)</f>
        <v/>
      </c>
      <c r="G54" s="184" t="str">
        <f>IF('Option 1'!G54="","",'Option 1'!G54)</f>
        <v/>
      </c>
      <c r="H54" s="184" t="str">
        <f>IF('Option 1'!H54="","",'Option 1'!H54)</f>
        <v/>
      </c>
      <c r="I54" s="184" t="str">
        <f>IF('Option 1'!I54="","",'Option 1'!I54)</f>
        <v/>
      </c>
      <c r="J54" s="184" t="str">
        <f>IF('Option 1'!J54="","",'Option 1'!J54)</f>
        <v/>
      </c>
      <c r="K54" s="184" t="str">
        <f>IF('Option 1'!K54="","",'Option 1'!K54)</f>
        <v/>
      </c>
      <c r="L54" s="184" t="str">
        <f>IF('Option 1'!L54="","",'Option 1'!L54)</f>
        <v/>
      </c>
      <c r="M54" s="184" t="str">
        <f>IF('Option 1'!M54="","",'Option 1'!M54)</f>
        <v/>
      </c>
      <c r="N54" s="184" t="str">
        <f>IF('Option 1'!N54="","",'Option 1'!N54)</f>
        <v/>
      </c>
      <c r="O54" s="184" t="str">
        <f>IF('Option 1'!O54="","",'Option 1'!O54)</f>
        <v/>
      </c>
      <c r="P54" s="124">
        <f t="shared" si="8"/>
        <v>0</v>
      </c>
    </row>
    <row r="55" spans="1:16" ht="15.75" customHeight="1" x14ac:dyDescent="0.25">
      <c r="A55" s="239"/>
      <c r="B55" s="4" t="str">
        <f>IF('Option 1'!B55="","",'Option 1'!B55)</f>
        <v/>
      </c>
      <c r="C55" s="182" t="str">
        <f>IF('Option 1'!C55="","",'Option 1'!C55)</f>
        <v>Entry Monuments</v>
      </c>
      <c r="D55" s="186" t="str">
        <f>IF('Option 1'!D55="","",'Option 1'!D55)</f>
        <v/>
      </c>
      <c r="E55" s="184" t="str">
        <f>IF('Option 1'!E55="","",'Option 1'!E55)</f>
        <v/>
      </c>
      <c r="F55" s="184" t="str">
        <f>IF('Option 1'!F55="","",'Option 1'!F55)</f>
        <v/>
      </c>
      <c r="G55" s="184" t="str">
        <f>IF('Option 1'!G55="","",'Option 1'!G55)</f>
        <v/>
      </c>
      <c r="H55" s="184">
        <f>IF('Option 1'!H55="","",'Option 1'!H55)</f>
        <v>2076</v>
      </c>
      <c r="I55" s="184" t="str">
        <f>IF('Option 1'!I55="","",'Option 1'!I55)</f>
        <v/>
      </c>
      <c r="J55" s="184" t="str">
        <f>IF('Option 1'!J55="","",'Option 1'!J55)</f>
        <v/>
      </c>
      <c r="K55" s="184" t="str">
        <f>IF('Option 1'!K55="","",'Option 1'!K55)</f>
        <v/>
      </c>
      <c r="L55" s="184" t="str">
        <f>IF('Option 1'!L55="","",'Option 1'!L55)</f>
        <v/>
      </c>
      <c r="M55" s="184" t="str">
        <f>IF('Option 1'!M55="","",'Option 1'!M55)</f>
        <v/>
      </c>
      <c r="N55" s="184" t="str">
        <f>IF('Option 1'!N55="","",'Option 1'!N55)</f>
        <v/>
      </c>
      <c r="O55" s="184" t="str">
        <f>IF('Option 1'!O55="","",'Option 1'!O55)</f>
        <v/>
      </c>
      <c r="P55" s="124">
        <f t="shared" si="8"/>
        <v>2076</v>
      </c>
    </row>
    <row r="56" spans="1:16" ht="15.75" customHeight="1" x14ac:dyDescent="0.25">
      <c r="A56" s="239"/>
      <c r="B56" s="4" t="str">
        <f>IF('Option 1'!B56="","",'Option 1'!B56)</f>
        <v/>
      </c>
      <c r="C56" s="182" t="str">
        <f>IF('Option 1'!C56="","",'Option 1'!C56)</f>
        <v>Chain Link Fence (6' at 1605 S Line)</v>
      </c>
      <c r="D56" s="186" t="str">
        <f>IF('Option 1'!D56="","",'Option 1'!D56)</f>
        <v/>
      </c>
      <c r="E56" s="184" t="str">
        <f>IF('Option 1'!E56="","",'Option 1'!E56)</f>
        <v/>
      </c>
      <c r="F56" s="184" t="str">
        <f>IF('Option 1'!F56="","",'Option 1'!F56)</f>
        <v/>
      </c>
      <c r="G56" s="184" t="str">
        <f>IF('Option 1'!G56="","",'Option 1'!G56)</f>
        <v/>
      </c>
      <c r="H56" s="184" t="str">
        <f>IF('Option 1'!H56="","",'Option 1'!H56)</f>
        <v/>
      </c>
      <c r="I56" s="184" t="str">
        <f>IF('Option 1'!I56="","",'Option 1'!I56)</f>
        <v/>
      </c>
      <c r="J56" s="184" t="str">
        <f>IF('Option 1'!J56="","",'Option 1'!J56)</f>
        <v/>
      </c>
      <c r="K56" s="184" t="str">
        <f>IF('Option 1'!K56="","",'Option 1'!K56)</f>
        <v/>
      </c>
      <c r="L56" s="184" t="str">
        <f>IF('Option 1'!L56="","",'Option 1'!L56)</f>
        <v/>
      </c>
      <c r="M56" s="184" t="str">
        <f>IF('Option 1'!M56="","",'Option 1'!M56)</f>
        <v/>
      </c>
      <c r="N56" s="184" t="str">
        <f>IF('Option 1'!N56="","",'Option 1'!N56)</f>
        <v/>
      </c>
      <c r="O56" s="184" t="str">
        <f>IF('Option 1'!O56="","",'Option 1'!O56)</f>
        <v/>
      </c>
      <c r="P56" s="124">
        <f t="shared" si="8"/>
        <v>0</v>
      </c>
    </row>
    <row r="57" spans="1:16" ht="15.75" customHeight="1" x14ac:dyDescent="0.25">
      <c r="A57" s="239"/>
      <c r="B57" s="4" t="str">
        <f>IF('Option 1'!B57="","",'Option 1'!B57)</f>
        <v/>
      </c>
      <c r="C57" s="3" t="str">
        <f>IF('Option 1'!C57="","",'Option 1'!C57)</f>
        <v>Waterproofing Elements</v>
      </c>
      <c r="D57" s="186" t="str">
        <f>IF('Option 1'!D57="","",'Option 1'!D57)</f>
        <v/>
      </c>
      <c r="E57" s="184" t="str">
        <f>IF('Option 1'!E57="","",'Option 1'!E57)</f>
        <v/>
      </c>
      <c r="F57" s="184" t="str">
        <f>IF('Option 1'!F57="","",'Option 1'!F57)</f>
        <v/>
      </c>
      <c r="G57" s="184" t="str">
        <f>IF('Option 1'!G57="","",'Option 1'!G57)</f>
        <v/>
      </c>
      <c r="H57" s="184" t="str">
        <f>IF('Option 1'!H57="","",'Option 1'!H57)</f>
        <v/>
      </c>
      <c r="I57" s="184" t="str">
        <f>IF('Option 1'!I57="","",'Option 1'!I57)</f>
        <v/>
      </c>
      <c r="J57" s="184" t="str">
        <f>IF('Option 1'!J57="","",'Option 1'!J57)</f>
        <v/>
      </c>
      <c r="K57" s="184" t="str">
        <f>IF('Option 1'!K57="","",'Option 1'!K57)</f>
        <v/>
      </c>
      <c r="L57" s="184" t="str">
        <f>IF('Option 1'!L57="","",'Option 1'!L57)</f>
        <v/>
      </c>
      <c r="M57" s="184" t="str">
        <f>IF('Option 1'!M57="","",'Option 1'!M57)</f>
        <v/>
      </c>
      <c r="N57" s="184" t="str">
        <f>IF('Option 1'!N57="","",'Option 1'!N57)</f>
        <v/>
      </c>
      <c r="O57" s="184" t="str">
        <f>IF('Option 1'!O57="","",'Option 1'!O57)</f>
        <v/>
      </c>
      <c r="P57" s="124">
        <f t="shared" si="8"/>
        <v>0</v>
      </c>
    </row>
    <row r="58" spans="1:16" ht="15.75" customHeight="1" x14ac:dyDescent="0.25">
      <c r="A58" s="239"/>
      <c r="B58" s="4" t="str">
        <f>IF('Option 1'!B58="","",'Option 1'!B58)</f>
        <v/>
      </c>
      <c r="C58" s="182" t="str">
        <f>IF('Option 1'!C58="","",'Option 1'!C58)</f>
        <v>Metal Fascia (1505 A &amp; B Wings)</v>
      </c>
      <c r="D58" s="186" t="str">
        <f>IF('Option 1'!D58="","",'Option 1'!D58)</f>
        <v/>
      </c>
      <c r="E58" s="184" t="str">
        <f>IF('Option 1'!E58="","",'Option 1'!E58)</f>
        <v/>
      </c>
      <c r="F58" s="184" t="str">
        <f>IF('Option 1'!F58="","",'Option 1'!F58)</f>
        <v/>
      </c>
      <c r="G58" s="184" t="str">
        <f>IF('Option 1'!G58="","",'Option 1'!G58)</f>
        <v/>
      </c>
      <c r="H58" s="184" t="str">
        <f>IF('Option 1'!H58="","",'Option 1'!H58)</f>
        <v/>
      </c>
      <c r="I58" s="184" t="str">
        <f>IF('Option 1'!I58="","",'Option 1'!I58)</f>
        <v/>
      </c>
      <c r="J58" s="184" t="str">
        <f>IF('Option 1'!J58="","",'Option 1'!J58)</f>
        <v/>
      </c>
      <c r="K58" s="184" t="str">
        <f>IF('Option 1'!K58="","",'Option 1'!K58)</f>
        <v/>
      </c>
      <c r="L58" s="184" t="str">
        <f>IF('Option 1'!L58="","",'Option 1'!L58)</f>
        <v/>
      </c>
      <c r="M58" s="184" t="str">
        <f>IF('Option 1'!M58="","",'Option 1'!M58)</f>
        <v/>
      </c>
      <c r="N58" s="184" t="str">
        <f>IF('Option 1'!N58="","",'Option 1'!N58)</f>
        <v/>
      </c>
      <c r="O58" s="184" t="str">
        <f>IF('Option 1'!O58="","",'Option 1'!O58)</f>
        <v/>
      </c>
      <c r="P58" s="124">
        <f t="shared" si="8"/>
        <v>0</v>
      </c>
    </row>
    <row r="59" spans="1:16" ht="15.75" customHeight="1" x14ac:dyDescent="0.25">
      <c r="A59" s="239"/>
      <c r="B59" s="4" t="str">
        <f>IF('Option 1'!B59="","",'Option 1'!B59)</f>
        <v/>
      </c>
      <c r="C59" s="182" t="str">
        <f>IF('Option 1'!C59="","",'Option 1'!C59)</f>
        <v>Shingle Roofing (Clubhouse)</v>
      </c>
      <c r="D59" s="186" t="str">
        <f>IF('Option 1'!D59="","",'Option 1'!D59)</f>
        <v/>
      </c>
      <c r="E59" s="184">
        <f>IF('Option 1'!E59="","",'Option 1'!E59)</f>
        <v>5175</v>
      </c>
      <c r="F59" s="184" t="str">
        <f>IF('Option 1'!F59="","",'Option 1'!F59)</f>
        <v/>
      </c>
      <c r="G59" s="184" t="str">
        <f>IF('Option 1'!G59="","",'Option 1'!G59)</f>
        <v/>
      </c>
      <c r="H59" s="184" t="str">
        <f>IF('Option 1'!H59="","",'Option 1'!H59)</f>
        <v/>
      </c>
      <c r="I59" s="184" t="str">
        <f>IF('Option 1'!I59="","",'Option 1'!I59)</f>
        <v/>
      </c>
      <c r="J59" s="184" t="str">
        <f>IF('Option 1'!J59="","",'Option 1'!J59)</f>
        <v/>
      </c>
      <c r="K59" s="184" t="str">
        <f>IF('Option 1'!K59="","",'Option 1'!K59)</f>
        <v/>
      </c>
      <c r="L59" s="184" t="str">
        <f>IF('Option 1'!L59="","",'Option 1'!L59)</f>
        <v/>
      </c>
      <c r="M59" s="184" t="str">
        <f>IF('Option 1'!M59="","",'Option 1'!M59)</f>
        <v/>
      </c>
      <c r="N59" s="184" t="str">
        <f>IF('Option 1'!N59="","",'Option 1'!N59)</f>
        <v/>
      </c>
      <c r="O59" s="184" t="str">
        <f>IF('Option 1'!O59="","",'Option 1'!O59)</f>
        <v/>
      </c>
      <c r="P59" s="124">
        <f t="shared" si="8"/>
        <v>5175</v>
      </c>
    </row>
    <row r="60" spans="1:16" ht="15.75" customHeight="1" x14ac:dyDescent="0.25">
      <c r="A60" s="239"/>
      <c r="B60" s="4" t="str">
        <f>IF('Option 1'!B60="","",'Option 1'!B60)</f>
        <v/>
      </c>
      <c r="C60" s="182" t="str">
        <f>IF('Option 1'!C60="","",'Option 1'!C60)</f>
        <v>Flat Roofing (Clubhouse)</v>
      </c>
      <c r="D60" s="183" t="str">
        <f>IF('Option 1'!D60="","",'Option 1'!D60)</f>
        <v/>
      </c>
      <c r="E60" s="184" t="str">
        <f>IF('Option 1'!E60="","",'Option 1'!E60)</f>
        <v/>
      </c>
      <c r="F60" s="184" t="str">
        <f>IF('Option 1'!F60="","",'Option 1'!F60)</f>
        <v/>
      </c>
      <c r="G60" s="184" t="str">
        <f>IF('Option 1'!G60="","",'Option 1'!G60)</f>
        <v/>
      </c>
      <c r="H60" s="184" t="str">
        <f>IF('Option 1'!H60="","",'Option 1'!H60)</f>
        <v/>
      </c>
      <c r="I60" s="184" t="str">
        <f>IF('Option 1'!I60="","",'Option 1'!I60)</f>
        <v/>
      </c>
      <c r="J60" s="184" t="str">
        <f>IF('Option 1'!J60="","",'Option 1'!J60)</f>
        <v/>
      </c>
      <c r="K60" s="184" t="str">
        <f>IF('Option 1'!K60="","",'Option 1'!K60)</f>
        <v/>
      </c>
      <c r="L60" s="184" t="str">
        <f>IF('Option 1'!L60="","",'Option 1'!L60)</f>
        <v/>
      </c>
      <c r="M60" s="184" t="str">
        <f>IF('Option 1'!M60="","",'Option 1'!M60)</f>
        <v/>
      </c>
      <c r="N60" s="184" t="str">
        <f>IF('Option 1'!N60="","",'Option 1'!N60)</f>
        <v/>
      </c>
      <c r="O60" s="184" t="str">
        <f>IF('Option 1'!O60="","",'Option 1'!O60)</f>
        <v/>
      </c>
      <c r="P60" s="124">
        <f t="shared" si="8"/>
        <v>0</v>
      </c>
    </row>
    <row r="61" spans="1:16" ht="15.75" customHeight="1" x14ac:dyDescent="0.25">
      <c r="A61" s="239"/>
      <c r="B61" s="4" t="str">
        <f>IF('Option 1'!B61="","",'Option 1'!B61)</f>
        <v/>
      </c>
      <c r="C61" s="182" t="str">
        <f>IF('Option 1'!C61="","",'Option 1'!C61)</f>
        <v>Roofing (1415 A Wing)</v>
      </c>
      <c r="D61" s="183" t="str">
        <f>IF('Option 1'!D61="","",'Option 1'!D61)</f>
        <v/>
      </c>
      <c r="E61" s="184" t="str">
        <f>IF('Option 1'!E61="","",'Option 1'!E61)</f>
        <v/>
      </c>
      <c r="F61" s="184" t="str">
        <f>IF('Option 1'!F61="","",'Option 1'!F61)</f>
        <v/>
      </c>
      <c r="G61" s="184" t="str">
        <f>IF('Option 1'!G61="","",'Option 1'!G61)</f>
        <v/>
      </c>
      <c r="H61" s="184" t="str">
        <f>IF('Option 1'!H61="","",'Option 1'!H61)</f>
        <v/>
      </c>
      <c r="I61" s="184" t="str">
        <f>IF('Option 1'!I61="","",'Option 1'!I61)</f>
        <v/>
      </c>
      <c r="J61" s="184" t="str">
        <f>IF('Option 1'!J61="","",'Option 1'!J61)</f>
        <v/>
      </c>
      <c r="K61" s="184" t="str">
        <f>IF('Option 1'!K61="","",'Option 1'!K61)</f>
        <v/>
      </c>
      <c r="L61" s="184" t="str">
        <f>IF('Option 1'!L61="","",'Option 1'!L61)</f>
        <v/>
      </c>
      <c r="M61" s="184" t="str">
        <f>IF('Option 1'!M61="","",'Option 1'!M61)</f>
        <v/>
      </c>
      <c r="N61" s="184" t="str">
        <f>IF('Option 1'!N61="","",'Option 1'!N61)</f>
        <v/>
      </c>
      <c r="O61" s="184" t="str">
        <f>IF('Option 1'!O61="","",'Option 1'!O61)</f>
        <v/>
      </c>
      <c r="P61" s="124">
        <f t="shared" si="8"/>
        <v>0</v>
      </c>
    </row>
    <row r="62" spans="1:16" ht="15.75" customHeight="1" x14ac:dyDescent="0.25">
      <c r="A62" s="239"/>
      <c r="B62" s="4" t="str">
        <f>IF('Option 1'!B62="","",'Option 1'!B62)</f>
        <v/>
      </c>
      <c r="C62" s="182" t="str">
        <f>IF('Option 1'!C62="","",'Option 1'!C62)</f>
        <v>Roofing (1405, 1415, 1505, 1515, 1605 &amp; 1605 Core Bldgs.)</v>
      </c>
      <c r="D62" s="183">
        <f>IF('Option 1'!D62="","",'Option 1'!D62)</f>
        <v>26826</v>
      </c>
      <c r="E62" s="184" t="str">
        <f>IF('Option 1'!E62="","",'Option 1'!E62)</f>
        <v/>
      </c>
      <c r="F62" s="184" t="str">
        <f>IF('Option 1'!F62="","",'Option 1'!F62)</f>
        <v/>
      </c>
      <c r="G62" s="184" t="str">
        <f>IF('Option 1'!G62="","",'Option 1'!G62)</f>
        <v/>
      </c>
      <c r="H62" s="184" t="str">
        <f>IF('Option 1'!H62="","",'Option 1'!H62)</f>
        <v/>
      </c>
      <c r="I62" s="184" t="str">
        <f>IF('Option 1'!I62="","",'Option 1'!I62)</f>
        <v/>
      </c>
      <c r="J62" s="184" t="str">
        <f>IF('Option 1'!J62="","",'Option 1'!J62)</f>
        <v/>
      </c>
      <c r="K62" s="184" t="str">
        <f>IF('Option 1'!K62="","",'Option 1'!K62)</f>
        <v/>
      </c>
      <c r="L62" s="184" t="str">
        <f>IF('Option 1'!L62="","",'Option 1'!L62)</f>
        <v/>
      </c>
      <c r="M62" s="184" t="str">
        <f>IF('Option 1'!M62="","",'Option 1'!M62)</f>
        <v/>
      </c>
      <c r="N62" s="184" t="str">
        <f>IF('Option 1'!N62="","",'Option 1'!N62)</f>
        <v/>
      </c>
      <c r="O62" s="184" t="str">
        <f>IF('Option 1'!O62="","",'Option 1'!O62)</f>
        <v/>
      </c>
      <c r="P62" s="124">
        <f t="shared" si="8"/>
        <v>26826</v>
      </c>
    </row>
    <row r="63" spans="1:16" ht="15.75" customHeight="1" x14ac:dyDescent="0.25">
      <c r="A63" s="239"/>
      <c r="B63" s="4" t="str">
        <f>IF('Option 1'!B63="","",'Option 1'!B63)</f>
        <v/>
      </c>
      <c r="C63" s="182" t="str">
        <f>IF('Option 1'!C63="","",'Option 1'!C63)</f>
        <v>Roofing (1605 B Wing)</v>
      </c>
      <c r="D63" s="183" t="str">
        <f>IF('Option 1'!D63="","",'Option 1'!D63)</f>
        <v/>
      </c>
      <c r="E63" s="184" t="str">
        <f>IF('Option 1'!E63="","",'Option 1'!E63)</f>
        <v/>
      </c>
      <c r="F63" s="184" t="str">
        <f>IF('Option 1'!F63="","",'Option 1'!F63)</f>
        <v/>
      </c>
      <c r="G63" s="184" t="str">
        <f>IF('Option 1'!G63="","",'Option 1'!G63)</f>
        <v/>
      </c>
      <c r="H63" s="184">
        <f>IF('Option 1'!H63="","",'Option 1'!H63)</f>
        <v>14465</v>
      </c>
      <c r="I63" s="184" t="str">
        <f>IF('Option 1'!I63="","",'Option 1'!I63)</f>
        <v/>
      </c>
      <c r="J63" s="184" t="str">
        <f>IF('Option 1'!J63="","",'Option 1'!J63)</f>
        <v/>
      </c>
      <c r="K63" s="184" t="str">
        <f>IF('Option 1'!K63="","",'Option 1'!K63)</f>
        <v/>
      </c>
      <c r="L63" s="184" t="str">
        <f>IF('Option 1'!L63="","",'Option 1'!L63)</f>
        <v/>
      </c>
      <c r="M63" s="184" t="str">
        <f>IF('Option 1'!M63="","",'Option 1'!M63)</f>
        <v/>
      </c>
      <c r="N63" s="184" t="str">
        <f>IF('Option 1'!N63="","",'Option 1'!N63)</f>
        <v/>
      </c>
      <c r="O63" s="184" t="str">
        <f>IF('Option 1'!O63="","",'Option 1'!O63)</f>
        <v/>
      </c>
      <c r="P63" s="124">
        <f t="shared" si="8"/>
        <v>14465</v>
      </c>
    </row>
    <row r="64" spans="1:16" ht="15.75" customHeight="1" x14ac:dyDescent="0.25">
      <c r="A64" s="239"/>
      <c r="B64" s="4" t="str">
        <f>IF('Option 1'!B64="","",'Option 1'!B64)</f>
        <v/>
      </c>
      <c r="C64" s="182" t="str">
        <f>IF('Option 1'!C64="","",'Option 1'!C64)</f>
        <v>Roofing (1415 C &amp; 1605 A Wings)</v>
      </c>
      <c r="D64" s="183" t="str">
        <f>IF('Option 1'!D64="","",'Option 1'!D64)</f>
        <v/>
      </c>
      <c r="E64" s="184" t="str">
        <f>IF('Option 1'!E64="","",'Option 1'!E64)</f>
        <v/>
      </c>
      <c r="F64" s="184" t="str">
        <f>IF('Option 1'!F64="","",'Option 1'!F64)</f>
        <v/>
      </c>
      <c r="G64" s="184">
        <f>IF('Option 1'!G64="","",'Option 1'!G64)</f>
        <v>28930</v>
      </c>
      <c r="H64" s="184" t="str">
        <f>IF('Option 1'!H64="","",'Option 1'!H64)</f>
        <v/>
      </c>
      <c r="I64" s="184" t="str">
        <f>IF('Option 1'!I64="","",'Option 1'!I64)</f>
        <v/>
      </c>
      <c r="J64" s="184" t="str">
        <f>IF('Option 1'!J64="","",'Option 1'!J64)</f>
        <v/>
      </c>
      <c r="K64" s="184" t="str">
        <f>IF('Option 1'!K64="","",'Option 1'!K64)</f>
        <v/>
      </c>
      <c r="L64" s="184" t="str">
        <f>IF('Option 1'!L64="","",'Option 1'!L64)</f>
        <v/>
      </c>
      <c r="M64" s="184" t="str">
        <f>IF('Option 1'!M64="","",'Option 1'!M64)</f>
        <v/>
      </c>
      <c r="N64" s="184" t="str">
        <f>IF('Option 1'!N64="","",'Option 1'!N64)</f>
        <v/>
      </c>
      <c r="O64" s="184" t="str">
        <f>IF('Option 1'!O64="","",'Option 1'!O64)</f>
        <v/>
      </c>
      <c r="P64" s="124">
        <f t="shared" si="8"/>
        <v>28930</v>
      </c>
    </row>
    <row r="65" spans="1:16" ht="15.75" customHeight="1" x14ac:dyDescent="0.25">
      <c r="A65" s="239"/>
      <c r="B65" s="4" t="str">
        <f>IF('Option 1'!B65="","",'Option 1'!B65)</f>
        <v/>
      </c>
      <c r="C65" s="182" t="str">
        <f>IF('Option 1'!C65="","",'Option 1'!C65)</f>
        <v>Roofing (1405 A &amp; B, &amp; 1405 C Wings)</v>
      </c>
      <c r="D65" s="183" t="str">
        <f>IF('Option 1'!D65="","",'Option 1'!D65)</f>
        <v/>
      </c>
      <c r="E65" s="184" t="str">
        <f>IF('Option 1'!E65="","",'Option 1'!E65)</f>
        <v/>
      </c>
      <c r="F65" s="184" t="str">
        <f>IF('Option 1'!F65="","",'Option 1'!F65)</f>
        <v/>
      </c>
      <c r="G65" s="184" t="str">
        <f>IF('Option 1'!G65="","",'Option 1'!G65)</f>
        <v/>
      </c>
      <c r="H65" s="184" t="str">
        <f>IF('Option 1'!H65="","",'Option 1'!H65)</f>
        <v/>
      </c>
      <c r="I65" s="184">
        <f>IF('Option 1'!I65="","",'Option 1'!I65)</f>
        <v>43395</v>
      </c>
      <c r="J65" s="184" t="str">
        <f>IF('Option 1'!J65="","",'Option 1'!J65)</f>
        <v/>
      </c>
      <c r="K65" s="184" t="str">
        <f>IF('Option 1'!K65="","",'Option 1'!K65)</f>
        <v/>
      </c>
      <c r="L65" s="184" t="str">
        <f>IF('Option 1'!L65="","",'Option 1'!L65)</f>
        <v/>
      </c>
      <c r="M65" s="184" t="str">
        <f>IF('Option 1'!M65="","",'Option 1'!M65)</f>
        <v/>
      </c>
      <c r="N65" s="184" t="str">
        <f>IF('Option 1'!N65="","",'Option 1'!N65)</f>
        <v/>
      </c>
      <c r="O65" s="184" t="str">
        <f>IF('Option 1'!O65="","",'Option 1'!O65)</f>
        <v/>
      </c>
      <c r="P65" s="124">
        <f t="shared" si="8"/>
        <v>43395</v>
      </c>
    </row>
    <row r="66" spans="1:16" ht="15.75" customHeight="1" x14ac:dyDescent="0.25">
      <c r="A66" s="239"/>
      <c r="B66" s="4" t="str">
        <f>IF('Option 1'!B66="","",'Option 1'!B66)</f>
        <v/>
      </c>
      <c r="C66" s="182" t="str">
        <f>IF('Option 1'!C66="","",'Option 1'!C66)</f>
        <v>Roofing (1515 B, 1515 A &amp; C Wings)</v>
      </c>
      <c r="D66" s="183" t="str">
        <f>IF('Option 1'!D66="","",'Option 1'!D66)</f>
        <v/>
      </c>
      <c r="E66" s="184" t="str">
        <f>IF('Option 1'!E66="","",'Option 1'!E66)</f>
        <v/>
      </c>
      <c r="F66" s="184" t="str">
        <f>IF('Option 1'!F66="","",'Option 1'!F66)</f>
        <v/>
      </c>
      <c r="G66" s="184" t="str">
        <f>IF('Option 1'!G66="","",'Option 1'!G66)</f>
        <v/>
      </c>
      <c r="H66" s="184" t="str">
        <f>IF('Option 1'!H66="","",'Option 1'!H66)</f>
        <v/>
      </c>
      <c r="I66" s="184" t="str">
        <f>IF('Option 1'!I66="","",'Option 1'!I66)</f>
        <v/>
      </c>
      <c r="J66" s="184">
        <f>IF('Option 1'!J66="","",'Option 1'!J66)</f>
        <v>43395</v>
      </c>
      <c r="K66" s="184" t="str">
        <f>IF('Option 1'!K66="","",'Option 1'!K66)</f>
        <v/>
      </c>
      <c r="L66" s="184" t="str">
        <f>IF('Option 1'!L66="","",'Option 1'!L66)</f>
        <v/>
      </c>
      <c r="M66" s="184" t="str">
        <f>IF('Option 1'!M66="","",'Option 1'!M66)</f>
        <v/>
      </c>
      <c r="N66" s="184" t="str">
        <f>IF('Option 1'!N66="","",'Option 1'!N66)</f>
        <v/>
      </c>
      <c r="O66" s="184" t="str">
        <f>IF('Option 1'!O66="","",'Option 1'!O66)</f>
        <v/>
      </c>
      <c r="P66" s="124">
        <f t="shared" si="8"/>
        <v>43395</v>
      </c>
    </row>
    <row r="67" spans="1:16" ht="15.75" customHeight="1" x14ac:dyDescent="0.25">
      <c r="A67" s="239"/>
      <c r="B67" s="4" t="str">
        <f>IF('Option 1'!B67="","",'Option 1'!B67)</f>
        <v/>
      </c>
      <c r="C67" s="182" t="str">
        <f>IF('Option 1'!C67="","",'Option 1'!C67)</f>
        <v>Roofing (1515 A &amp; C, 1615 B Wings)</v>
      </c>
      <c r="D67" s="183" t="str">
        <f>IF('Option 1'!D67="","",'Option 1'!D67)</f>
        <v/>
      </c>
      <c r="E67" s="184" t="str">
        <f>IF('Option 1'!E67="","",'Option 1'!E67)</f>
        <v/>
      </c>
      <c r="F67" s="184" t="str">
        <f>IF('Option 1'!F67="","",'Option 1'!F67)</f>
        <v/>
      </c>
      <c r="G67" s="184" t="str">
        <f>IF('Option 1'!G67="","",'Option 1'!G67)</f>
        <v/>
      </c>
      <c r="H67" s="184" t="str">
        <f>IF('Option 1'!H67="","",'Option 1'!H67)</f>
        <v/>
      </c>
      <c r="I67" s="184" t="str">
        <f>IF('Option 1'!I67="","",'Option 1'!I67)</f>
        <v/>
      </c>
      <c r="J67" s="184" t="str">
        <f>IF('Option 1'!J67="","",'Option 1'!J67)</f>
        <v/>
      </c>
      <c r="K67" s="184">
        <f>IF('Option 1'!K67="","",'Option 1'!K67)</f>
        <v>43395</v>
      </c>
      <c r="L67" s="184" t="str">
        <f>IF('Option 1'!L67="","",'Option 1'!L67)</f>
        <v/>
      </c>
      <c r="M67" s="184" t="str">
        <f>IF('Option 1'!M67="","",'Option 1'!M67)</f>
        <v/>
      </c>
      <c r="N67" s="184" t="str">
        <f>IF('Option 1'!N67="","",'Option 1'!N67)</f>
        <v/>
      </c>
      <c r="O67" s="184" t="str">
        <f>IF('Option 1'!O67="","",'Option 1'!O67)</f>
        <v/>
      </c>
      <c r="P67" s="124">
        <f t="shared" si="8"/>
        <v>43395</v>
      </c>
    </row>
    <row r="68" spans="1:16" ht="15.75" customHeight="1" x14ac:dyDescent="0.25">
      <c r="A68" s="239"/>
      <c r="B68" s="4" t="str">
        <f>IF('Option 1'!B68="","",'Option 1'!B68)</f>
        <v/>
      </c>
      <c r="C68" s="182" t="str">
        <f>IF('Option 1'!C68="","",'Option 1'!C68)</f>
        <v>Roofing (1505 A &amp; B Wings)</v>
      </c>
      <c r="D68" s="183" t="str">
        <f>IF('Option 1'!D68="","",'Option 1'!D68)</f>
        <v/>
      </c>
      <c r="E68" s="184" t="str">
        <f>IF('Option 1'!E68="","",'Option 1'!E68)</f>
        <v/>
      </c>
      <c r="F68" s="184" t="str">
        <f>IF('Option 1'!F68="","",'Option 1'!F68)</f>
        <v/>
      </c>
      <c r="G68" s="184" t="str">
        <f>IF('Option 1'!G68="","",'Option 1'!G68)</f>
        <v/>
      </c>
      <c r="H68" s="184" t="str">
        <f>IF('Option 1'!H68="","",'Option 1'!H68)</f>
        <v/>
      </c>
      <c r="I68" s="184" t="str">
        <f>IF('Option 1'!I68="","",'Option 1'!I68)</f>
        <v/>
      </c>
      <c r="J68" s="184" t="str">
        <f>IF('Option 1'!J68="","",'Option 1'!J68)</f>
        <v/>
      </c>
      <c r="K68" s="184" t="str">
        <f>IF('Option 1'!K68="","",'Option 1'!K68)</f>
        <v/>
      </c>
      <c r="L68" s="184">
        <f>IF('Option 1'!L68="","",'Option 1'!L68)</f>
        <v>28930</v>
      </c>
      <c r="M68" s="184" t="str">
        <f>IF('Option 1'!M68="","",'Option 1'!M68)</f>
        <v/>
      </c>
      <c r="N68" s="184" t="str">
        <f>IF('Option 1'!N68="","",'Option 1'!N68)</f>
        <v/>
      </c>
      <c r="O68" s="184" t="str">
        <f>IF('Option 1'!O68="","",'Option 1'!O68)</f>
        <v/>
      </c>
      <c r="P68" s="124">
        <f t="shared" si="8"/>
        <v>28930</v>
      </c>
    </row>
    <row r="69" spans="1:16" ht="15.75" customHeight="1" x14ac:dyDescent="0.25">
      <c r="A69" s="239"/>
      <c r="B69" s="4" t="str">
        <f>IF('Option 1'!B69="","",'Option 1'!B69)</f>
        <v/>
      </c>
      <c r="C69" s="182" t="str">
        <f>IF('Option 1'!C69="","",'Option 1'!C69)</f>
        <v>Roofing (1415 B &amp; 1605 C Wings)</v>
      </c>
      <c r="D69" s="183" t="str">
        <f>IF('Option 1'!D69="","",'Option 1'!D69)</f>
        <v/>
      </c>
      <c r="E69" s="184" t="str">
        <f>IF('Option 1'!E69="","",'Option 1'!E69)</f>
        <v/>
      </c>
      <c r="F69" s="184" t="str">
        <f>IF('Option 1'!F69="","",'Option 1'!F69)</f>
        <v/>
      </c>
      <c r="G69" s="184" t="str">
        <f>IF('Option 1'!G69="","",'Option 1'!G69)</f>
        <v/>
      </c>
      <c r="H69" s="184" t="str">
        <f>IF('Option 1'!H69="","",'Option 1'!H69)</f>
        <v/>
      </c>
      <c r="I69" s="184" t="str">
        <f>IF('Option 1'!I69="","",'Option 1'!I69)</f>
        <v/>
      </c>
      <c r="J69" s="184" t="str">
        <f>IF('Option 1'!J69="","",'Option 1'!J69)</f>
        <v/>
      </c>
      <c r="K69" s="184" t="str">
        <f>IF('Option 1'!K69="","",'Option 1'!K69)</f>
        <v/>
      </c>
      <c r="L69" s="184" t="str">
        <f>IF('Option 1'!L69="","",'Option 1'!L69)</f>
        <v/>
      </c>
      <c r="M69" s="184" t="str">
        <f>IF('Option 1'!M69="","",'Option 1'!M69)</f>
        <v/>
      </c>
      <c r="N69" s="184" t="str">
        <f>IF('Option 1'!N69="","",'Option 1'!N69)</f>
        <v/>
      </c>
      <c r="O69" s="184" t="str">
        <f>IF('Option 1'!O69="","",'Option 1'!O69)</f>
        <v/>
      </c>
      <c r="P69" s="124">
        <f t="shared" si="8"/>
        <v>0</v>
      </c>
    </row>
    <row r="70" spans="1:16" ht="15.75" customHeight="1" x14ac:dyDescent="0.25">
      <c r="A70" s="239"/>
      <c r="B70" s="4" t="str">
        <f>IF('Option 1'!B70="","",'Option 1'!B70)</f>
        <v/>
      </c>
      <c r="C70" s="182" t="str">
        <f>IF('Option 1'!C70="","",'Option 1'!C70)</f>
        <v>Gutters and Downspouts (Clubhouse)</v>
      </c>
      <c r="D70" s="183" t="str">
        <f>IF('Option 1'!D70="","",'Option 1'!D70)</f>
        <v/>
      </c>
      <c r="E70" s="184" t="str">
        <f>IF('Option 1'!E70="","",'Option 1'!E70)</f>
        <v/>
      </c>
      <c r="F70" s="184" t="str">
        <f>IF('Option 1'!F70="","",'Option 1'!F70)</f>
        <v/>
      </c>
      <c r="G70" s="184" t="str">
        <f>IF('Option 1'!G70="","",'Option 1'!G70)</f>
        <v/>
      </c>
      <c r="H70" s="184" t="str">
        <f>IF('Option 1'!H70="","",'Option 1'!H70)</f>
        <v/>
      </c>
      <c r="I70" s="184" t="str">
        <f>IF('Option 1'!I70="","",'Option 1'!I70)</f>
        <v/>
      </c>
      <c r="J70" s="184" t="str">
        <f>IF('Option 1'!J70="","",'Option 1'!J70)</f>
        <v/>
      </c>
      <c r="K70" s="184" t="str">
        <f>IF('Option 1'!K70="","",'Option 1'!K70)</f>
        <v/>
      </c>
      <c r="L70" s="184" t="str">
        <f>IF('Option 1'!L70="","",'Option 1'!L70)</f>
        <v/>
      </c>
      <c r="M70" s="184" t="str">
        <f>IF('Option 1'!M70="","",'Option 1'!M70)</f>
        <v/>
      </c>
      <c r="N70" s="184" t="str">
        <f>IF('Option 1'!N70="","",'Option 1'!N70)</f>
        <v/>
      </c>
      <c r="O70" s="184" t="str">
        <f>IF('Option 1'!O70="","",'Option 1'!O70)</f>
        <v/>
      </c>
      <c r="P70" s="124">
        <f t="shared" si="8"/>
        <v>0</v>
      </c>
    </row>
    <row r="71" spans="1:16" ht="15.75" customHeight="1" x14ac:dyDescent="0.25">
      <c r="A71" s="239"/>
      <c r="B71" s="4" t="str">
        <f>IF('Option 1'!B71="","",'Option 1'!B71)</f>
        <v/>
      </c>
      <c r="C71" s="182" t="str">
        <f>IF('Option 1'!C71="","",'Option 1'!C71)</f>
        <v>Gutters and Downspouts (Bldg. 1505)</v>
      </c>
      <c r="D71" s="183" t="str">
        <f>IF('Option 1'!D71="","",'Option 1'!D71)</f>
        <v/>
      </c>
      <c r="E71" s="184" t="str">
        <f>IF('Option 1'!E71="","",'Option 1'!E71)</f>
        <v/>
      </c>
      <c r="F71" s="184" t="str">
        <f>IF('Option 1'!F71="","",'Option 1'!F71)</f>
        <v/>
      </c>
      <c r="G71" s="184" t="str">
        <f>IF('Option 1'!G71="","",'Option 1'!G71)</f>
        <v/>
      </c>
      <c r="H71" s="184" t="str">
        <f>IF('Option 1'!H71="","",'Option 1'!H71)</f>
        <v/>
      </c>
      <c r="I71" s="184" t="str">
        <f>IF('Option 1'!I71="","",'Option 1'!I71)</f>
        <v/>
      </c>
      <c r="J71" s="184" t="str">
        <f>IF('Option 1'!J71="","",'Option 1'!J71)</f>
        <v/>
      </c>
      <c r="K71" s="184" t="str">
        <f>IF('Option 1'!K71="","",'Option 1'!K71)</f>
        <v/>
      </c>
      <c r="L71" s="184" t="str">
        <f>IF('Option 1'!L71="","",'Option 1'!L71)</f>
        <v/>
      </c>
      <c r="M71" s="184" t="str">
        <f>IF('Option 1'!M71="","",'Option 1'!M71)</f>
        <v/>
      </c>
      <c r="N71" s="184" t="str">
        <f>IF('Option 1'!N71="","",'Option 1'!N71)</f>
        <v/>
      </c>
      <c r="O71" s="184" t="str">
        <f>IF('Option 1'!O71="","",'Option 1'!O71)</f>
        <v/>
      </c>
      <c r="P71" s="124">
        <f t="shared" si="8"/>
        <v>0</v>
      </c>
    </row>
    <row r="72" spans="1:16" ht="15.75" customHeight="1" x14ac:dyDescent="0.25">
      <c r="A72" s="239"/>
      <c r="B72" s="4" t="str">
        <f>IF('Option 1'!B72="","",'Option 1'!B72)</f>
        <v/>
      </c>
      <c r="C72" s="182" t="str">
        <f>IF('Option 1'!C72="","",'Option 1'!C72)</f>
        <v>Gutters and Downspouts (Bldg. 1405)</v>
      </c>
      <c r="D72" s="183" t="str">
        <f>IF('Option 1'!D72="","",'Option 1'!D72)</f>
        <v/>
      </c>
      <c r="E72" s="184" t="str">
        <f>IF('Option 1'!E72="","",'Option 1'!E72)</f>
        <v/>
      </c>
      <c r="F72" s="184" t="str">
        <f>IF('Option 1'!F72="","",'Option 1'!F72)</f>
        <v/>
      </c>
      <c r="G72" s="184" t="str">
        <f>IF('Option 1'!G72="","",'Option 1'!G72)</f>
        <v/>
      </c>
      <c r="H72" s="184" t="str">
        <f>IF('Option 1'!H72="","",'Option 1'!H72)</f>
        <v/>
      </c>
      <c r="I72" s="184" t="str">
        <f>IF('Option 1'!I72="","",'Option 1'!I72)</f>
        <v/>
      </c>
      <c r="J72" s="184" t="str">
        <f>IF('Option 1'!J72="","",'Option 1'!J72)</f>
        <v/>
      </c>
      <c r="K72" s="184" t="str">
        <f>IF('Option 1'!K72="","",'Option 1'!K72)</f>
        <v/>
      </c>
      <c r="L72" s="184" t="str">
        <f>IF('Option 1'!L72="","",'Option 1'!L72)</f>
        <v/>
      </c>
      <c r="M72" s="184" t="str">
        <f>IF('Option 1'!M72="","",'Option 1'!M72)</f>
        <v/>
      </c>
      <c r="N72" s="184" t="str">
        <f>IF('Option 1'!N72="","",'Option 1'!N72)</f>
        <v/>
      </c>
      <c r="O72" s="184" t="str">
        <f>IF('Option 1'!O72="","",'Option 1'!O72)</f>
        <v/>
      </c>
      <c r="P72" s="124">
        <f t="shared" si="8"/>
        <v>0</v>
      </c>
    </row>
    <row r="73" spans="1:16" ht="15.75" customHeight="1" x14ac:dyDescent="0.25">
      <c r="A73" s="239"/>
      <c r="B73" s="4" t="str">
        <f>IF('Option 1'!B73="","",'Option 1'!B73)</f>
        <v/>
      </c>
      <c r="C73" s="182" t="str">
        <f>IF('Option 1'!C73="","",'Option 1'!C73)</f>
        <v>Gutters and Downspouts (Bldgs. 1415, 1515, 1605, &amp; 1615)</v>
      </c>
      <c r="D73" s="183" t="str">
        <f>IF('Option 1'!D73="","",'Option 1'!D73)</f>
        <v/>
      </c>
      <c r="E73" s="184" t="str">
        <f>IF('Option 1'!E73="","",'Option 1'!E73)</f>
        <v/>
      </c>
      <c r="F73" s="184" t="str">
        <f>IF('Option 1'!F73="","",'Option 1'!F73)</f>
        <v/>
      </c>
      <c r="G73" s="184" t="str">
        <f>IF('Option 1'!G73="","",'Option 1'!G73)</f>
        <v/>
      </c>
      <c r="H73" s="184" t="str">
        <f>IF('Option 1'!H73="","",'Option 1'!H73)</f>
        <v/>
      </c>
      <c r="I73" s="184" t="str">
        <f>IF('Option 1'!I73="","",'Option 1'!I73)</f>
        <v/>
      </c>
      <c r="J73" s="184" t="str">
        <f>IF('Option 1'!J73="","",'Option 1'!J73)</f>
        <v/>
      </c>
      <c r="K73" s="184" t="str">
        <f>IF('Option 1'!K73="","",'Option 1'!K73)</f>
        <v/>
      </c>
      <c r="L73" s="184" t="str">
        <f>IF('Option 1'!L73="","",'Option 1'!L73)</f>
        <v/>
      </c>
      <c r="M73" s="184" t="str">
        <f>IF('Option 1'!M73="","",'Option 1'!M73)</f>
        <v/>
      </c>
      <c r="N73" s="184" t="str">
        <f>IF('Option 1'!N73="","",'Option 1'!N73)</f>
        <v/>
      </c>
      <c r="O73" s="184" t="str">
        <f>IF('Option 1'!O73="","",'Option 1'!O73)</f>
        <v/>
      </c>
      <c r="P73" s="124">
        <f t="shared" si="8"/>
        <v>0</v>
      </c>
    </row>
    <row r="74" spans="1:16" ht="15.75" customHeight="1" x14ac:dyDescent="0.25">
      <c r="A74" s="239"/>
      <c r="B74" s="4" t="str">
        <f>IF('Option 1'!B74="","",'Option 1'!B74)</f>
        <v/>
      </c>
      <c r="C74" s="182" t="str">
        <f>IF('Option 1'!C74="","",'Option 1'!C74)</f>
        <v>Skylights (Clubhouse)</v>
      </c>
      <c r="D74" s="183" t="str">
        <f>IF('Option 1'!D74="","",'Option 1'!D74)</f>
        <v/>
      </c>
      <c r="E74" s="184" t="str">
        <f>IF('Option 1'!E74="","",'Option 1'!E74)</f>
        <v/>
      </c>
      <c r="F74" s="184" t="str">
        <f>IF('Option 1'!F74="","",'Option 1'!F74)</f>
        <v/>
      </c>
      <c r="G74" s="184" t="str">
        <f>IF('Option 1'!G74="","",'Option 1'!G74)</f>
        <v/>
      </c>
      <c r="H74" s="184">
        <f>IF('Option 1'!H74="","",'Option 1'!H74)</f>
        <v>1910</v>
      </c>
      <c r="I74" s="184" t="str">
        <f>IF('Option 1'!I74="","",'Option 1'!I74)</f>
        <v/>
      </c>
      <c r="J74" s="184" t="str">
        <f>IF('Option 1'!J74="","",'Option 1'!J74)</f>
        <v/>
      </c>
      <c r="K74" s="184" t="str">
        <f>IF('Option 1'!K74="","",'Option 1'!K74)</f>
        <v/>
      </c>
      <c r="L74" s="184" t="str">
        <f>IF('Option 1'!L74="","",'Option 1'!L74)</f>
        <v/>
      </c>
      <c r="M74" s="184" t="str">
        <f>IF('Option 1'!M74="","",'Option 1'!M74)</f>
        <v/>
      </c>
      <c r="N74" s="184" t="str">
        <f>IF('Option 1'!N74="","",'Option 1'!N74)</f>
        <v/>
      </c>
      <c r="O74" s="184" t="str">
        <f>IF('Option 1'!O74="","",'Option 1'!O74)</f>
        <v/>
      </c>
      <c r="P74" s="124">
        <f t="shared" si="8"/>
        <v>1910</v>
      </c>
    </row>
    <row r="75" spans="1:16" ht="15.75" customHeight="1" x14ac:dyDescent="0.25">
      <c r="A75" s="239"/>
      <c r="B75" s="4" t="str">
        <f>IF('Option 1'!B75="","",'Option 1'!B75)</f>
        <v/>
      </c>
      <c r="C75" s="182" t="str">
        <f>IF('Option 1'!C75="","",'Option 1'!C75)</f>
        <v>Metal Fascia (1515 A &amp; C, &amp; 1615 B Wings)</v>
      </c>
      <c r="D75" s="183" t="str">
        <f>IF('Option 1'!D75="","",'Option 1'!D75)</f>
        <v/>
      </c>
      <c r="E75" s="184" t="str">
        <f>IF('Option 1'!E75="","",'Option 1'!E75)</f>
        <v/>
      </c>
      <c r="F75" s="184" t="str">
        <f>IF('Option 1'!F75="","",'Option 1'!F75)</f>
        <v/>
      </c>
      <c r="G75" s="184" t="str">
        <f>IF('Option 1'!G75="","",'Option 1'!G75)</f>
        <v/>
      </c>
      <c r="H75" s="184" t="str">
        <f>IF('Option 1'!H75="","",'Option 1'!H75)</f>
        <v/>
      </c>
      <c r="I75" s="184" t="str">
        <f>IF('Option 1'!I75="","",'Option 1'!I75)</f>
        <v/>
      </c>
      <c r="J75" s="184" t="str">
        <f>IF('Option 1'!J75="","",'Option 1'!J75)</f>
        <v/>
      </c>
      <c r="K75" s="184" t="str">
        <f>IF('Option 1'!K75="","",'Option 1'!K75)</f>
        <v/>
      </c>
      <c r="L75" s="184" t="str">
        <f>IF('Option 1'!L75="","",'Option 1'!L75)</f>
        <v/>
      </c>
      <c r="M75" s="184" t="str">
        <f>IF('Option 1'!M75="","",'Option 1'!M75)</f>
        <v/>
      </c>
      <c r="N75" s="184" t="str">
        <f>IF('Option 1'!N75="","",'Option 1'!N75)</f>
        <v/>
      </c>
      <c r="O75" s="184" t="str">
        <f>IF('Option 1'!O75="","",'Option 1'!O75)</f>
        <v/>
      </c>
      <c r="P75" s="124">
        <f t="shared" si="8"/>
        <v>0</v>
      </c>
    </row>
    <row r="76" spans="1:16" ht="15.75" customHeight="1" x14ac:dyDescent="0.25">
      <c r="A76" s="239"/>
      <c r="B76" s="4" t="str">
        <f>IF('Option 1'!B76="","",'Option 1'!B76)</f>
        <v/>
      </c>
      <c r="C76" s="182" t="str">
        <f>IF('Option 1'!C76="","",'Option 1'!C76)</f>
        <v>Metal Fascia (1515 B, &amp; 1615 A &amp; C Wings)</v>
      </c>
      <c r="D76" s="183" t="str">
        <f>IF('Option 1'!D76="","",'Option 1'!D76)</f>
        <v/>
      </c>
      <c r="E76" s="184" t="str">
        <f>IF('Option 1'!E76="","",'Option 1'!E76)</f>
        <v/>
      </c>
      <c r="F76" s="184" t="str">
        <f>IF('Option 1'!F76="","",'Option 1'!F76)</f>
        <v/>
      </c>
      <c r="G76" s="184" t="str">
        <f>IF('Option 1'!G76="","",'Option 1'!G76)</f>
        <v/>
      </c>
      <c r="H76" s="184" t="str">
        <f>IF('Option 1'!H76="","",'Option 1'!H76)</f>
        <v/>
      </c>
      <c r="I76" s="184" t="str">
        <f>IF('Option 1'!I76="","",'Option 1'!I76)</f>
        <v/>
      </c>
      <c r="J76" s="184" t="str">
        <f>IF('Option 1'!J76="","",'Option 1'!J76)</f>
        <v/>
      </c>
      <c r="K76" s="184" t="str">
        <f>IF('Option 1'!K76="","",'Option 1'!K76)</f>
        <v/>
      </c>
      <c r="L76" s="184" t="str">
        <f>IF('Option 1'!L76="","",'Option 1'!L76)</f>
        <v/>
      </c>
      <c r="M76" s="184" t="str">
        <f>IF('Option 1'!M76="","",'Option 1'!M76)</f>
        <v/>
      </c>
      <c r="N76" s="184" t="str">
        <f>IF('Option 1'!N76="","",'Option 1'!N76)</f>
        <v/>
      </c>
      <c r="O76" s="184">
        <f>IF('Option 1'!O76="","",'Option 1'!O76)</f>
        <v>7326</v>
      </c>
      <c r="P76" s="124">
        <f t="shared" si="8"/>
        <v>7326</v>
      </c>
    </row>
    <row r="77" spans="1:16" ht="15.75" customHeight="1" x14ac:dyDescent="0.25">
      <c r="A77" s="239"/>
      <c r="B77" s="4" t="str">
        <f>IF('Option 1'!B77="","",'Option 1'!B77)</f>
        <v/>
      </c>
      <c r="C77" s="182" t="str">
        <f>IF('Option 1'!C77="","",'Option 1'!C77)</f>
        <v>Metal Fascia (1405 A, B &amp; C Wings)</v>
      </c>
      <c r="D77" s="183" t="str">
        <f>IF('Option 1'!D77="","",'Option 1'!D77)</f>
        <v/>
      </c>
      <c r="E77" s="184" t="str">
        <f>IF('Option 1'!E77="","",'Option 1'!E77)</f>
        <v/>
      </c>
      <c r="F77" s="184" t="str">
        <f>IF('Option 1'!F77="","",'Option 1'!F77)</f>
        <v/>
      </c>
      <c r="G77" s="184" t="str">
        <f>IF('Option 1'!G77="","",'Option 1'!G77)</f>
        <v/>
      </c>
      <c r="H77" s="184" t="str">
        <f>IF('Option 1'!H77="","",'Option 1'!H77)</f>
        <v/>
      </c>
      <c r="I77" s="184" t="str">
        <f>IF('Option 1'!I77="","",'Option 1'!I77)</f>
        <v/>
      </c>
      <c r="J77" s="184" t="str">
        <f>IF('Option 1'!J77="","",'Option 1'!J77)</f>
        <v/>
      </c>
      <c r="K77" s="184" t="str">
        <f>IF('Option 1'!K77="","",'Option 1'!K77)</f>
        <v/>
      </c>
      <c r="L77" s="184" t="str">
        <f>IF('Option 1'!L77="","",'Option 1'!L77)</f>
        <v/>
      </c>
      <c r="M77" s="184" t="str">
        <f>IF('Option 1'!M77="","",'Option 1'!M77)</f>
        <v/>
      </c>
      <c r="N77" s="184">
        <f>IF('Option 1'!N77="","",'Option 1'!N77)</f>
        <v>7326</v>
      </c>
      <c r="O77" s="184" t="str">
        <f>IF('Option 1'!O77="","",'Option 1'!O77)</f>
        <v/>
      </c>
      <c r="P77" s="124">
        <f t="shared" si="8"/>
        <v>7326</v>
      </c>
    </row>
    <row r="78" spans="1:16" ht="15.75" customHeight="1" x14ac:dyDescent="0.25">
      <c r="A78" s="239"/>
      <c r="B78" s="4" t="str">
        <f>IF('Option 1'!B78="","",'Option 1'!B78)</f>
        <v/>
      </c>
      <c r="C78" s="182" t="str">
        <f>IF('Option 1'!C78="","",'Option 1'!C78)</f>
        <v>Metal Fascia (1605 B Wing)</v>
      </c>
      <c r="D78" s="183" t="str">
        <f>IF('Option 1'!D78="","",'Option 1'!D78)</f>
        <v/>
      </c>
      <c r="E78" s="184" t="str">
        <f>IF('Option 1'!E78="","",'Option 1'!E78)</f>
        <v/>
      </c>
      <c r="F78" s="184" t="str">
        <f>IF('Option 1'!F78="","",'Option 1'!F78)</f>
        <v/>
      </c>
      <c r="G78" s="184" t="str">
        <f>IF('Option 1'!G78="","",'Option 1'!G78)</f>
        <v/>
      </c>
      <c r="H78" s="184" t="str">
        <f>IF('Option 1'!H78="","",'Option 1'!H78)</f>
        <v/>
      </c>
      <c r="I78" s="184" t="str">
        <f>IF('Option 1'!I78="","",'Option 1'!I78)</f>
        <v/>
      </c>
      <c r="J78" s="184" t="str">
        <f>IF('Option 1'!J78="","",'Option 1'!J78)</f>
        <v/>
      </c>
      <c r="K78" s="184" t="str">
        <f>IF('Option 1'!K78="","",'Option 1'!K78)</f>
        <v/>
      </c>
      <c r="L78" s="184" t="str">
        <f>IF('Option 1'!L78="","",'Option 1'!L78)</f>
        <v/>
      </c>
      <c r="M78" s="184">
        <f>IF('Option 1'!M78="","",'Option 1'!M78)</f>
        <v>2442</v>
      </c>
      <c r="N78" s="184" t="str">
        <f>IF('Option 1'!N78="","",'Option 1'!N78)</f>
        <v/>
      </c>
      <c r="O78" s="184" t="str">
        <f>IF('Option 1'!O78="","",'Option 1'!O78)</f>
        <v/>
      </c>
      <c r="P78" s="124">
        <f t="shared" si="8"/>
        <v>2442</v>
      </c>
    </row>
    <row r="79" spans="1:16" ht="15.75" customHeight="1" x14ac:dyDescent="0.25">
      <c r="A79" s="239"/>
      <c r="B79" s="4" t="str">
        <f>IF('Option 1'!B79="","",'Option 1'!B79)</f>
        <v/>
      </c>
      <c r="C79" s="182" t="str">
        <f>IF('Option 1'!C79="","",'Option 1'!C79)</f>
        <v>Metal Fascia (1415 C &amp; 1605 A Wings)</v>
      </c>
      <c r="D79" s="183" t="str">
        <f>IF('Option 1'!D79="","",'Option 1'!D79)</f>
        <v/>
      </c>
      <c r="E79" s="184" t="str">
        <f>IF('Option 1'!E79="","",'Option 1'!E79)</f>
        <v/>
      </c>
      <c r="F79" s="184" t="str">
        <f>IF('Option 1'!F79="","",'Option 1'!F79)</f>
        <v/>
      </c>
      <c r="G79" s="184" t="str">
        <f>IF('Option 1'!G79="","",'Option 1'!G79)</f>
        <v/>
      </c>
      <c r="H79" s="184" t="str">
        <f>IF('Option 1'!H79="","",'Option 1'!H79)</f>
        <v/>
      </c>
      <c r="I79" s="184" t="str">
        <f>IF('Option 1'!I79="","",'Option 1'!I79)</f>
        <v/>
      </c>
      <c r="J79" s="184" t="str">
        <f>IF('Option 1'!J79="","",'Option 1'!J79)</f>
        <v/>
      </c>
      <c r="K79" s="184" t="str">
        <f>IF('Option 1'!K79="","",'Option 1'!K79)</f>
        <v/>
      </c>
      <c r="L79" s="184">
        <f>IF('Option 1'!L79="","",'Option 1'!L79)</f>
        <v>4884</v>
      </c>
      <c r="M79" s="184" t="str">
        <f>IF('Option 1'!M79="","",'Option 1'!M79)</f>
        <v/>
      </c>
      <c r="N79" s="184" t="str">
        <f>IF('Option 1'!N79="","",'Option 1'!N79)</f>
        <v/>
      </c>
      <c r="O79" s="184" t="str">
        <f>IF('Option 1'!O79="","",'Option 1'!O79)</f>
        <v/>
      </c>
      <c r="P79" s="124">
        <f t="shared" si="8"/>
        <v>4884</v>
      </c>
    </row>
    <row r="80" spans="1:16" ht="15.75" customHeight="1" x14ac:dyDescent="0.25">
      <c r="A80" s="239"/>
      <c r="B80" s="4" t="str">
        <f>IF('Option 1'!B80="","",'Option 1'!B80)</f>
        <v/>
      </c>
      <c r="C80" s="182" t="str">
        <f>IF('Option 1'!C80="","",'Option 1'!C80)</f>
        <v>Metal Fascia (1415 A Wing)</v>
      </c>
      <c r="D80" s="183" t="str">
        <f>IF('Option 1'!D80="","",'Option 1'!D80)</f>
        <v/>
      </c>
      <c r="E80" s="184" t="str">
        <f>IF('Option 1'!E80="","",'Option 1'!E80)</f>
        <v/>
      </c>
      <c r="F80" s="184" t="str">
        <f>IF('Option 1'!F80="","",'Option 1'!F80)</f>
        <v/>
      </c>
      <c r="G80" s="184" t="str">
        <f>IF('Option 1'!G80="","",'Option 1'!G80)</f>
        <v/>
      </c>
      <c r="H80" s="184">
        <f>IF('Option 1'!H80="","",'Option 1'!H80)</f>
        <v>2442</v>
      </c>
      <c r="I80" s="184" t="str">
        <f>IF('Option 1'!I80="","",'Option 1'!I80)</f>
        <v/>
      </c>
      <c r="J80" s="184" t="str">
        <f>IF('Option 1'!J80="","",'Option 1'!J80)</f>
        <v/>
      </c>
      <c r="K80" s="184" t="str">
        <f>IF('Option 1'!K80="","",'Option 1'!K80)</f>
        <v/>
      </c>
      <c r="L80" s="184" t="str">
        <f>IF('Option 1'!L80="","",'Option 1'!L80)</f>
        <v/>
      </c>
      <c r="M80" s="184" t="str">
        <f>IF('Option 1'!M80="","",'Option 1'!M80)</f>
        <v/>
      </c>
      <c r="N80" s="184" t="str">
        <f>IF('Option 1'!N80="","",'Option 1'!N80)</f>
        <v/>
      </c>
      <c r="O80" s="184" t="str">
        <f>IF('Option 1'!O80="","",'Option 1'!O80)</f>
        <v/>
      </c>
      <c r="P80" s="124">
        <f t="shared" si="8"/>
        <v>2442</v>
      </c>
    </row>
    <row r="81" spans="1:16" ht="15.75" customHeight="1" x14ac:dyDescent="0.25">
      <c r="A81" s="239"/>
      <c r="B81" s="4" t="str">
        <f>IF('Option 1'!B81="","",'Option 1'!B81)</f>
        <v/>
      </c>
      <c r="C81" s="182" t="str">
        <f>IF('Option 1'!C81="","",'Option 1'!C81)</f>
        <v>Metal Fascia (1415 B &amp; 1605 C Wings)</v>
      </c>
      <c r="D81" s="183" t="str">
        <f>IF('Option 1'!D81="","",'Option 1'!D81)</f>
        <v/>
      </c>
      <c r="E81" s="184" t="str">
        <f>IF('Option 1'!E81="","",'Option 1'!E81)</f>
        <v/>
      </c>
      <c r="F81" s="184" t="str">
        <f>IF('Option 1'!F81="","",'Option 1'!F81)</f>
        <v/>
      </c>
      <c r="G81" s="184" t="str">
        <f>IF('Option 1'!G81="","",'Option 1'!G81)</f>
        <v/>
      </c>
      <c r="H81" s="184" t="str">
        <f>IF('Option 1'!H81="","",'Option 1'!H81)</f>
        <v/>
      </c>
      <c r="I81" s="184" t="str">
        <f>IF('Option 1'!I81="","",'Option 1'!I81)</f>
        <v/>
      </c>
      <c r="J81" s="184" t="str">
        <f>IF('Option 1'!J81="","",'Option 1'!J81)</f>
        <v/>
      </c>
      <c r="K81" s="184" t="str">
        <f>IF('Option 1'!K81="","",'Option 1'!K81)</f>
        <v/>
      </c>
      <c r="L81" s="184" t="str">
        <f>IF('Option 1'!L81="","",'Option 1'!L81)</f>
        <v/>
      </c>
      <c r="M81" s="184" t="str">
        <f>IF('Option 1'!M81="","",'Option 1'!M81)</f>
        <v/>
      </c>
      <c r="N81" s="184" t="str">
        <f>IF('Option 1'!N81="","",'Option 1'!N81)</f>
        <v/>
      </c>
      <c r="O81" s="184" t="str">
        <f>IF('Option 1'!O81="","",'Option 1'!O81)</f>
        <v/>
      </c>
      <c r="P81" s="124">
        <f t="shared" si="8"/>
        <v>0</v>
      </c>
    </row>
    <row r="82" spans="1:16" ht="15.75" customHeight="1" x14ac:dyDescent="0.25">
      <c r="A82" s="239"/>
      <c r="B82" s="4" t="str">
        <f>IF('Option 1'!B82="","",'Option 1'!B82)</f>
        <v/>
      </c>
      <c r="C82" s="182" t="str">
        <f>IF('Option 1'!C82="","",'Option 1'!C82)</f>
        <v>Brick Waterproofing (Bldgs. 1405, 1415, 1505, &amp; 1515)</v>
      </c>
      <c r="D82" s="183" t="str">
        <f>IF('Option 1'!D82="","",'Option 1'!D82)</f>
        <v/>
      </c>
      <c r="E82" s="184" t="str">
        <f>IF('Option 1'!E82="","",'Option 1'!E82)</f>
        <v/>
      </c>
      <c r="F82" s="184" t="str">
        <f>IF('Option 1'!F82="","",'Option 1'!F82)</f>
        <v/>
      </c>
      <c r="G82" s="184" t="str">
        <f>IF('Option 1'!G82="","",'Option 1'!G82)</f>
        <v/>
      </c>
      <c r="H82" s="184" t="str">
        <f>IF('Option 1'!H82="","",'Option 1'!H82)</f>
        <v/>
      </c>
      <c r="I82" s="184">
        <f>IF('Option 1'!I82="","",'Option 1'!I82)</f>
        <v>251600</v>
      </c>
      <c r="J82" s="184" t="str">
        <f>IF('Option 1'!J82="","",'Option 1'!J82)</f>
        <v/>
      </c>
      <c r="K82" s="184" t="str">
        <f>IF('Option 1'!K82="","",'Option 1'!K82)</f>
        <v/>
      </c>
      <c r="L82" s="184" t="str">
        <f>IF('Option 1'!L82="","",'Option 1'!L82)</f>
        <v/>
      </c>
      <c r="M82" s="184" t="str">
        <f>IF('Option 1'!M82="","",'Option 1'!M82)</f>
        <v/>
      </c>
      <c r="N82" s="184" t="str">
        <f>IF('Option 1'!N82="","",'Option 1'!N82)</f>
        <v/>
      </c>
      <c r="O82" s="184" t="str">
        <f>IF('Option 1'!O82="","",'Option 1'!O82)</f>
        <v/>
      </c>
      <c r="P82" s="124">
        <f t="shared" si="8"/>
        <v>251600</v>
      </c>
    </row>
    <row r="83" spans="1:16" ht="15.75" customHeight="1" x14ac:dyDescent="0.25">
      <c r="A83" s="239"/>
      <c r="B83" s="4" t="str">
        <f>IF('Option 1'!B83="","",'Option 1'!B83)</f>
        <v/>
      </c>
      <c r="C83" s="182" t="str">
        <f>IF('Option 1'!C83="","",'Option 1'!C83)</f>
        <v>Brick Waterproofing (Bldg. 1605)</v>
      </c>
      <c r="D83" s="183" t="str">
        <f>IF('Option 1'!D83="","",'Option 1'!D83)</f>
        <v/>
      </c>
      <c r="E83" s="184" t="str">
        <f>IF('Option 1'!E83="","",'Option 1'!E83)</f>
        <v/>
      </c>
      <c r="F83" s="184" t="str">
        <f>IF('Option 1'!F83="","",'Option 1'!F83)</f>
        <v/>
      </c>
      <c r="G83" s="184" t="str">
        <f>IF('Option 1'!G83="","",'Option 1'!G83)</f>
        <v/>
      </c>
      <c r="H83" s="184" t="str">
        <f>IF('Option 1'!H83="","",'Option 1'!H83)</f>
        <v/>
      </c>
      <c r="I83" s="184" t="str">
        <f>IF('Option 1'!I83="","",'Option 1'!I83)</f>
        <v/>
      </c>
      <c r="J83" s="184" t="str">
        <f>IF('Option 1'!J83="","",'Option 1'!J83)</f>
        <v/>
      </c>
      <c r="K83" s="184" t="str">
        <f>IF('Option 1'!K83="","",'Option 1'!K83)</f>
        <v/>
      </c>
      <c r="L83" s="184">
        <f>IF('Option 1'!L83="","",'Option 1'!L83)</f>
        <v>56240</v>
      </c>
      <c r="M83" s="184" t="str">
        <f>IF('Option 1'!M83="","",'Option 1'!M83)</f>
        <v/>
      </c>
      <c r="N83" s="184" t="str">
        <f>IF('Option 1'!N83="","",'Option 1'!N83)</f>
        <v/>
      </c>
      <c r="O83" s="184" t="str">
        <f>IF('Option 1'!O83="","",'Option 1'!O83)</f>
        <v/>
      </c>
      <c r="P83" s="124">
        <f t="shared" si="8"/>
        <v>56240</v>
      </c>
    </row>
    <row r="84" spans="1:16" ht="15.75" customHeight="1" x14ac:dyDescent="0.25">
      <c r="A84" s="239"/>
      <c r="B84" s="4" t="str">
        <f>IF('Option 1'!B84="","",'Option 1'!B84)</f>
        <v/>
      </c>
      <c r="C84" s="182" t="str">
        <f>IF('Option 1'!C84="","",'Option 1'!C84)</f>
        <v>Brick Waterproofing (Bldg. 1615)</v>
      </c>
      <c r="D84" s="183" t="str">
        <f>IF('Option 1'!D84="","",'Option 1'!D84)</f>
        <v/>
      </c>
      <c r="E84" s="184" t="str">
        <f>IF('Option 1'!E84="","",'Option 1'!E84)</f>
        <v/>
      </c>
      <c r="F84" s="184" t="str">
        <f>IF('Option 1'!F84="","",'Option 1'!F84)</f>
        <v/>
      </c>
      <c r="G84" s="184" t="str">
        <f>IF('Option 1'!G84="","",'Option 1'!G84)</f>
        <v/>
      </c>
      <c r="H84" s="184" t="str">
        <f>IF('Option 1'!H84="","",'Option 1'!H84)</f>
        <v/>
      </c>
      <c r="I84" s="184" t="str">
        <f>IF('Option 1'!I84="","",'Option 1'!I84)</f>
        <v/>
      </c>
      <c r="J84" s="184" t="str">
        <f>IF('Option 1'!J84="","",'Option 1'!J84)</f>
        <v/>
      </c>
      <c r="K84" s="184" t="str">
        <f>IF('Option 1'!K84="","",'Option 1'!K84)</f>
        <v/>
      </c>
      <c r="L84" s="184" t="str">
        <f>IF('Option 1'!L84="","",'Option 1'!L84)</f>
        <v/>
      </c>
      <c r="M84" s="184" t="str">
        <f>IF('Option 1'!M84="","",'Option 1'!M84)</f>
        <v/>
      </c>
      <c r="N84" s="184">
        <f>IF('Option 1'!N84="","",'Option 1'!N84)</f>
        <v>56240</v>
      </c>
      <c r="O84" s="184" t="str">
        <f>IF('Option 1'!O84="","",'Option 1'!O84)</f>
        <v/>
      </c>
      <c r="P84" s="124">
        <f t="shared" si="8"/>
        <v>56240</v>
      </c>
    </row>
    <row r="85" spans="1:16" ht="15.75" customHeight="1" x14ac:dyDescent="0.25">
      <c r="A85" s="239"/>
      <c r="B85" s="4" t="str">
        <f>IF('Option 1'!B85="","",'Option 1'!B85)</f>
        <v/>
      </c>
      <c r="C85" s="3" t="str">
        <f>IF('Option 1'!C85="","",'Option 1'!C85)</f>
        <v>Interior Finishes Elements</v>
      </c>
      <c r="D85" s="183" t="str">
        <f>IF('Option 1'!D85="","",'Option 1'!D85)</f>
        <v/>
      </c>
      <c r="E85" s="184" t="str">
        <f>IF('Option 1'!E85="","",'Option 1'!E85)</f>
        <v/>
      </c>
      <c r="F85" s="184" t="str">
        <f>IF('Option 1'!F85="","",'Option 1'!F85)</f>
        <v/>
      </c>
      <c r="G85" s="184" t="str">
        <f>IF('Option 1'!G85="","",'Option 1'!G85)</f>
        <v/>
      </c>
      <c r="H85" s="184" t="str">
        <f>IF('Option 1'!H85="","",'Option 1'!H85)</f>
        <v/>
      </c>
      <c r="I85" s="184" t="str">
        <f>IF('Option 1'!I85="","",'Option 1'!I85)</f>
        <v/>
      </c>
      <c r="J85" s="184" t="str">
        <f>IF('Option 1'!J85="","",'Option 1'!J85)</f>
        <v/>
      </c>
      <c r="K85" s="184" t="str">
        <f>IF('Option 1'!K85="","",'Option 1'!K85)</f>
        <v/>
      </c>
      <c r="L85" s="184" t="str">
        <f>IF('Option 1'!L85="","",'Option 1'!L85)</f>
        <v/>
      </c>
      <c r="M85" s="184" t="str">
        <f>IF('Option 1'!M85="","",'Option 1'!M85)</f>
        <v/>
      </c>
      <c r="N85" s="184" t="str">
        <f>IF('Option 1'!N85="","",'Option 1'!N85)</f>
        <v/>
      </c>
      <c r="O85" s="184" t="str">
        <f>IF('Option 1'!O85="","",'Option 1'!O85)</f>
        <v/>
      </c>
      <c r="P85" s="124">
        <f t="shared" si="8"/>
        <v>0</v>
      </c>
    </row>
    <row r="86" spans="1:16" ht="15.75" customHeight="1" x14ac:dyDescent="0.25">
      <c r="A86" s="239"/>
      <c r="B86" s="4" t="str">
        <f>IF('Option 1'!B86="","",'Option 1'!B86)</f>
        <v/>
      </c>
      <c r="C86" s="182" t="str">
        <f>IF('Option 1'!C86="","",'Option 1'!C86)</f>
        <v>Wing and Lobby Carpet</v>
      </c>
      <c r="D86" s="183" t="str">
        <f>IF('Option 1'!D86="","",'Option 1'!D86)</f>
        <v/>
      </c>
      <c r="E86" s="184" t="str">
        <f>IF('Option 1'!E86="","",'Option 1'!E86)</f>
        <v/>
      </c>
      <c r="F86" s="184" t="str">
        <f>IF('Option 1'!F86="","",'Option 1'!F86)</f>
        <v/>
      </c>
      <c r="G86" s="184">
        <f>IF('Option 1'!G86="","",'Option 1'!G86)</f>
        <v>284095</v>
      </c>
      <c r="H86" s="184" t="str">
        <f>IF('Option 1'!H86="","",'Option 1'!H86)</f>
        <v/>
      </c>
      <c r="I86" s="184" t="str">
        <f>IF('Option 1'!I86="","",'Option 1'!I86)</f>
        <v/>
      </c>
      <c r="J86" s="184" t="str">
        <f>IF('Option 1'!J86="","",'Option 1'!J86)</f>
        <v/>
      </c>
      <c r="K86" s="184" t="str">
        <f>IF('Option 1'!K86="","",'Option 1'!K86)</f>
        <v/>
      </c>
      <c r="L86" s="184" t="str">
        <f>IF('Option 1'!L86="","",'Option 1'!L86)</f>
        <v/>
      </c>
      <c r="M86" s="184" t="str">
        <f>IF('Option 1'!M86="","",'Option 1'!M86)</f>
        <v/>
      </c>
      <c r="N86" s="184" t="str">
        <f>IF('Option 1'!N86="","",'Option 1'!N86)</f>
        <v/>
      </c>
      <c r="O86" s="184" t="str">
        <f>IF('Option 1'!O86="","",'Option 1'!O86)</f>
        <v/>
      </c>
      <c r="P86" s="124">
        <f t="shared" si="8"/>
        <v>284095</v>
      </c>
    </row>
    <row r="87" spans="1:16" ht="15.75" customHeight="1" x14ac:dyDescent="0.25">
      <c r="A87" s="239"/>
      <c r="B87" s="4" t="str">
        <f>IF('Option 1'!B87="","",'Option 1'!B87)</f>
        <v/>
      </c>
      <c r="C87" s="182" t="str">
        <f>IF('Option 1'!C87="","",'Option 1'!C87)</f>
        <v>Core Ceramic Tile</v>
      </c>
      <c r="D87" s="183" t="str">
        <f>IF('Option 1'!D87="","",'Option 1'!D87)</f>
        <v/>
      </c>
      <c r="E87" s="184" t="str">
        <f>IF('Option 1'!E87="","",'Option 1'!E87)</f>
        <v/>
      </c>
      <c r="F87" s="184" t="str">
        <f>IF('Option 1'!F87="","",'Option 1'!F87)</f>
        <v/>
      </c>
      <c r="G87" s="184" t="str">
        <f>IF('Option 1'!G87="","",'Option 1'!G87)</f>
        <v/>
      </c>
      <c r="H87" s="184" t="str">
        <f>IF('Option 1'!H87="","",'Option 1'!H87)</f>
        <v/>
      </c>
      <c r="I87" s="184" t="str">
        <f>IF('Option 1'!I87="","",'Option 1'!I87)</f>
        <v/>
      </c>
      <c r="J87" s="184" t="str">
        <f>IF('Option 1'!J87="","",'Option 1'!J87)</f>
        <v/>
      </c>
      <c r="K87" s="184" t="str">
        <f>IF('Option 1'!K87="","",'Option 1'!K87)</f>
        <v/>
      </c>
      <c r="L87" s="184">
        <f>IF('Option 1'!L87="","",'Option 1'!L87)</f>
        <v>186440</v>
      </c>
      <c r="M87" s="184" t="str">
        <f>IF('Option 1'!M87="","",'Option 1'!M87)</f>
        <v/>
      </c>
      <c r="N87" s="184" t="str">
        <f>IF('Option 1'!N87="","",'Option 1'!N87)</f>
        <v/>
      </c>
      <c r="O87" s="184" t="str">
        <f>IF('Option 1'!O87="","",'Option 1'!O87)</f>
        <v/>
      </c>
      <c r="P87" s="124">
        <f t="shared" si="8"/>
        <v>186440</v>
      </c>
    </row>
    <row r="88" spans="1:16" ht="15.75" customHeight="1" x14ac:dyDescent="0.25">
      <c r="A88" s="239"/>
      <c r="B88" s="4" t="str">
        <f>IF('Option 1'!B88="","",'Option 1'!B88)</f>
        <v/>
      </c>
      <c r="C88" s="182" t="str">
        <f>IF('Option 1'!C88="","",'Option 1'!C88)</f>
        <v>Core Wallcovering</v>
      </c>
      <c r="D88" s="183" t="str">
        <f>IF('Option 1'!D88="","",'Option 1'!D88)</f>
        <v/>
      </c>
      <c r="E88" s="184" t="str">
        <f>IF('Option 1'!E88="","",'Option 1'!E88)</f>
        <v/>
      </c>
      <c r="F88" s="184" t="str">
        <f>IF('Option 1'!F88="","",'Option 1'!F88)</f>
        <v/>
      </c>
      <c r="G88" s="184">
        <f>IF('Option 1'!G88="","",'Option 1'!G88)</f>
        <v>87561</v>
      </c>
      <c r="H88" s="184" t="str">
        <f>IF('Option 1'!H88="","",'Option 1'!H88)</f>
        <v/>
      </c>
      <c r="I88" s="184" t="str">
        <f>IF('Option 1'!I88="","",'Option 1'!I88)</f>
        <v/>
      </c>
      <c r="J88" s="184" t="str">
        <f>IF('Option 1'!J88="","",'Option 1'!J88)</f>
        <v/>
      </c>
      <c r="K88" s="184" t="str">
        <f>IF('Option 1'!K88="","",'Option 1'!K88)</f>
        <v/>
      </c>
      <c r="L88" s="184" t="str">
        <f>IF('Option 1'!L88="","",'Option 1'!L88)</f>
        <v/>
      </c>
      <c r="M88" s="184" t="str">
        <f>IF('Option 1'!M88="","",'Option 1'!M88)</f>
        <v/>
      </c>
      <c r="N88" s="184" t="str">
        <f>IF('Option 1'!N88="","",'Option 1'!N88)</f>
        <v/>
      </c>
      <c r="O88" s="184" t="str">
        <f>IF('Option 1'!O88="","",'Option 1'!O88)</f>
        <v/>
      </c>
      <c r="P88" s="124">
        <f t="shared" si="8"/>
        <v>87561</v>
      </c>
    </row>
    <row r="89" spans="1:16" ht="15.75" customHeight="1" x14ac:dyDescent="0.25">
      <c r="A89" s="239"/>
      <c r="B89" s="4" t="str">
        <f>IF('Option 1'!B89="","",'Option 1'!B89)</f>
        <v/>
      </c>
      <c r="C89" s="182" t="str">
        <f>IF('Option 1'!C89="","",'Option 1'!C89)</f>
        <v>Interior Window Wall</v>
      </c>
      <c r="D89" s="183" t="str">
        <f>IF('Option 1'!D89="","",'Option 1'!D89)</f>
        <v/>
      </c>
      <c r="E89" s="184" t="str">
        <f>IF('Option 1'!E89="","",'Option 1'!E89)</f>
        <v/>
      </c>
      <c r="F89" s="184" t="str">
        <f>IF('Option 1'!F89="","",'Option 1'!F89)</f>
        <v/>
      </c>
      <c r="G89" s="184" t="str">
        <f>IF('Option 1'!G89="","",'Option 1'!G89)</f>
        <v/>
      </c>
      <c r="H89" s="184" t="str">
        <f>IF('Option 1'!H89="","",'Option 1'!H89)</f>
        <v/>
      </c>
      <c r="I89" s="184" t="str">
        <f>IF('Option 1'!I89="","",'Option 1'!I89)</f>
        <v/>
      </c>
      <c r="J89" s="184" t="str">
        <f>IF('Option 1'!J89="","",'Option 1'!J89)</f>
        <v/>
      </c>
      <c r="K89" s="184" t="str">
        <f>IF('Option 1'!K89="","",'Option 1'!K89)</f>
        <v/>
      </c>
      <c r="L89" s="184" t="str">
        <f>IF('Option 1'!L89="","",'Option 1'!L89)</f>
        <v/>
      </c>
      <c r="M89" s="184">
        <f>IF('Option 1'!M89="","",'Option 1'!M89)</f>
        <v>69190</v>
      </c>
      <c r="N89" s="184" t="str">
        <f>IF('Option 1'!N89="","",'Option 1'!N89)</f>
        <v/>
      </c>
      <c r="O89" s="184" t="str">
        <f>IF('Option 1'!O89="","",'Option 1'!O89)</f>
        <v/>
      </c>
      <c r="P89" s="124">
        <f t="shared" ref="P89:P152" si="9">IF(SUM(D89:O89)=0,0,SUM(D89:O89))</f>
        <v>69190</v>
      </c>
    </row>
    <row r="90" spans="1:16" ht="15.75" customHeight="1" x14ac:dyDescent="0.25">
      <c r="A90" s="239"/>
      <c r="B90" s="4" t="str">
        <f>IF('Option 1'!B90="","",'Option 1'!B90)</f>
        <v/>
      </c>
      <c r="C90" s="188" t="str">
        <f>IF('Option 1'!C90="","",'Option 1'!C90)</f>
        <v>Mirrors</v>
      </c>
      <c r="D90" s="183" t="str">
        <f>IF('Option 1'!D90="","",'Option 1'!D90)</f>
        <v/>
      </c>
      <c r="E90" s="184" t="str">
        <f>IF('Option 1'!E90="","",'Option 1'!E90)</f>
        <v/>
      </c>
      <c r="F90" s="184" t="str">
        <f>IF('Option 1'!F90="","",'Option 1'!F90)</f>
        <v/>
      </c>
      <c r="G90" s="184" t="str">
        <f>IF('Option 1'!G90="","",'Option 1'!G90)</f>
        <v/>
      </c>
      <c r="H90" s="184" t="str">
        <f>IF('Option 1'!H90="","",'Option 1'!H90)</f>
        <v/>
      </c>
      <c r="I90" s="184" t="str">
        <f>IF('Option 1'!I90="","",'Option 1'!I90)</f>
        <v/>
      </c>
      <c r="J90" s="184" t="str">
        <f>IF('Option 1'!J90="","",'Option 1'!J90)</f>
        <v/>
      </c>
      <c r="K90" s="184" t="str">
        <f>IF('Option 1'!K90="","",'Option 1'!K90)</f>
        <v/>
      </c>
      <c r="L90" s="184" t="str">
        <f>IF('Option 1'!L90="","",'Option 1'!L90)</f>
        <v/>
      </c>
      <c r="M90" s="184">
        <f>IF('Option 1'!M90="","",'Option 1'!M90)</f>
        <v>24907</v>
      </c>
      <c r="N90" s="184" t="str">
        <f>IF('Option 1'!N90="","",'Option 1'!N90)</f>
        <v/>
      </c>
      <c r="O90" s="184" t="str">
        <f>IF('Option 1'!O90="","",'Option 1'!O90)</f>
        <v/>
      </c>
      <c r="P90" s="124">
        <f t="shared" si="9"/>
        <v>24907</v>
      </c>
    </row>
    <row r="91" spans="1:16" ht="15.75" customHeight="1" x14ac:dyDescent="0.25">
      <c r="A91" s="239"/>
      <c r="B91" s="4" t="str">
        <f>IF('Option 1'!B91="","",'Option 1'!B91)</f>
        <v/>
      </c>
      <c r="C91" s="188" t="str">
        <f>IF('Option 1'!C91="","",'Option 1'!C91)</f>
        <v>Lobby Furniture</v>
      </c>
      <c r="D91" s="183" t="str">
        <f>IF('Option 1'!D91="","",'Option 1'!D91)</f>
        <v/>
      </c>
      <c r="E91" s="184" t="str">
        <f>IF('Option 1'!E91="","",'Option 1'!E91)</f>
        <v/>
      </c>
      <c r="F91" s="184" t="str">
        <f>IF('Option 1'!F91="","",'Option 1'!F91)</f>
        <v/>
      </c>
      <c r="G91" s="184" t="str">
        <f>IF('Option 1'!G91="","",'Option 1'!G91)</f>
        <v/>
      </c>
      <c r="H91" s="184" t="str">
        <f>IF('Option 1'!H91="","",'Option 1'!H91)</f>
        <v/>
      </c>
      <c r="I91" s="184" t="str">
        <f>IF('Option 1'!I91="","",'Option 1'!I91)</f>
        <v/>
      </c>
      <c r="J91" s="184" t="str">
        <f>IF('Option 1'!J91="","",'Option 1'!J91)</f>
        <v/>
      </c>
      <c r="K91" s="184" t="str">
        <f>IF('Option 1'!K91="","",'Option 1'!K91)</f>
        <v/>
      </c>
      <c r="L91" s="184" t="str">
        <f>IF('Option 1'!L91="","",'Option 1'!L91)</f>
        <v/>
      </c>
      <c r="M91" s="184" t="str">
        <f>IF('Option 1'!M91="","",'Option 1'!M91)</f>
        <v/>
      </c>
      <c r="N91" s="184" t="str">
        <f>IF('Option 1'!N91="","",'Option 1'!N91)</f>
        <v/>
      </c>
      <c r="O91" s="184" t="str">
        <f>IF('Option 1'!O91="","",'Option 1'!O91)</f>
        <v/>
      </c>
      <c r="P91" s="124">
        <f t="shared" si="9"/>
        <v>0</v>
      </c>
    </row>
    <row r="92" spans="1:16" ht="15.75" customHeight="1" x14ac:dyDescent="0.25">
      <c r="A92" s="239"/>
      <c r="B92" s="4" t="str">
        <f>IF('Option 1'!B92="","",'Option 1'!B92)</f>
        <v/>
      </c>
      <c r="C92" s="182" t="str">
        <f>IF('Option 1'!C92="","",'Option 1'!C92)</f>
        <v>Artwork</v>
      </c>
      <c r="D92" s="183" t="str">
        <f>IF('Option 1'!D92="","",'Option 1'!D92)</f>
        <v/>
      </c>
      <c r="E92" s="184" t="str">
        <f>IF('Option 1'!E92="","",'Option 1'!E92)</f>
        <v/>
      </c>
      <c r="F92" s="184" t="str">
        <f>IF('Option 1'!F92="","",'Option 1'!F92)</f>
        <v/>
      </c>
      <c r="G92" s="184" t="str">
        <f>IF('Option 1'!G92="","",'Option 1'!G92)</f>
        <v/>
      </c>
      <c r="H92" s="184" t="str">
        <f>IF('Option 1'!H92="","",'Option 1'!H92)</f>
        <v/>
      </c>
      <c r="I92" s="184" t="str">
        <f>IF('Option 1'!I92="","",'Option 1'!I92)</f>
        <v/>
      </c>
      <c r="J92" s="184" t="str">
        <f>IF('Option 1'!J92="","",'Option 1'!J92)</f>
        <v/>
      </c>
      <c r="K92" s="184" t="str">
        <f>IF('Option 1'!K92="","",'Option 1'!K92)</f>
        <v/>
      </c>
      <c r="L92" s="184" t="str">
        <f>IF('Option 1'!L92="","",'Option 1'!L92)</f>
        <v/>
      </c>
      <c r="M92" s="184" t="str">
        <f>IF('Option 1'!M92="","",'Option 1'!M92)</f>
        <v/>
      </c>
      <c r="N92" s="184" t="str">
        <f>IF('Option 1'!N92="","",'Option 1'!N92)</f>
        <v/>
      </c>
      <c r="O92" s="184" t="str">
        <f>IF('Option 1'!O92="","",'Option 1'!O92)</f>
        <v/>
      </c>
      <c r="P92" s="124">
        <f t="shared" si="9"/>
        <v>0</v>
      </c>
    </row>
    <row r="93" spans="1:16" ht="15.75" customHeight="1" x14ac:dyDescent="0.25">
      <c r="A93" s="239"/>
      <c r="B93" s="4" t="str">
        <f>IF('Option 1'!B93="","",'Option 1'!B93)</f>
        <v/>
      </c>
      <c r="C93" s="188" t="str">
        <f>IF('Option 1'!C93="","",'Option 1'!C93)</f>
        <v>Vestibule Flooring</v>
      </c>
      <c r="D93" s="183" t="str">
        <f>IF('Option 1'!D93="","",'Option 1'!D93)</f>
        <v/>
      </c>
      <c r="E93" s="184" t="str">
        <f>IF('Option 1'!E93="","",'Option 1'!E93)</f>
        <v/>
      </c>
      <c r="F93" s="184" t="str">
        <f>IF('Option 1'!F93="","",'Option 1'!F93)</f>
        <v/>
      </c>
      <c r="G93" s="184" t="str">
        <f>IF('Option 1'!G93="","",'Option 1'!G93)</f>
        <v/>
      </c>
      <c r="H93" s="184" t="str">
        <f>IF('Option 1'!H93="","",'Option 1'!H93)</f>
        <v/>
      </c>
      <c r="I93" s="184" t="str">
        <f>IF('Option 1'!I93="","",'Option 1'!I93)</f>
        <v/>
      </c>
      <c r="J93" s="184" t="str">
        <f>IF('Option 1'!J93="","",'Option 1'!J93)</f>
        <v/>
      </c>
      <c r="K93" s="184">
        <f>IF('Option 1'!K93="","",'Option 1'!K93)</f>
        <v>8303</v>
      </c>
      <c r="L93" s="184" t="str">
        <f>IF('Option 1'!L93="","",'Option 1'!L93)</f>
        <v/>
      </c>
      <c r="M93" s="184" t="str">
        <f>IF('Option 1'!M93="","",'Option 1'!M93)</f>
        <v/>
      </c>
      <c r="N93" s="184" t="str">
        <f>IF('Option 1'!N93="","",'Option 1'!N93)</f>
        <v/>
      </c>
      <c r="O93" s="184" t="str">
        <f>IF('Option 1'!O93="","",'Option 1'!O93)</f>
        <v/>
      </c>
      <c r="P93" s="124">
        <f t="shared" si="9"/>
        <v>8303</v>
      </c>
    </row>
    <row r="94" spans="1:16" ht="15.75" customHeight="1" x14ac:dyDescent="0.25">
      <c r="A94" s="239"/>
      <c r="B94" s="4" t="str">
        <f>IF('Option 1'!B94="","",'Option 1'!B94)</f>
        <v/>
      </c>
      <c r="C94" s="188" t="str">
        <f>IF('Option 1'!C94="","",'Option 1'!C94)</f>
        <v>Acoustical Tile Ceilings</v>
      </c>
      <c r="D94" s="183" t="str">
        <f>IF('Option 1'!D94="","",'Option 1'!D94)</f>
        <v/>
      </c>
      <c r="E94" s="184" t="str">
        <f>IF('Option 1'!E94="","",'Option 1'!E94)</f>
        <v/>
      </c>
      <c r="F94" s="184">
        <f>IF('Option 1'!F94="","",'Option 1'!F94)</f>
        <v>57222</v>
      </c>
      <c r="G94" s="184" t="str">
        <f>IF('Option 1'!G94="","",'Option 1'!G94)</f>
        <v/>
      </c>
      <c r="H94" s="184" t="str">
        <f>IF('Option 1'!H94="","",'Option 1'!H94)</f>
        <v/>
      </c>
      <c r="I94" s="184" t="str">
        <f>IF('Option 1'!I94="","",'Option 1'!I94)</f>
        <v/>
      </c>
      <c r="J94" s="184" t="str">
        <f>IF('Option 1'!J94="","",'Option 1'!J94)</f>
        <v/>
      </c>
      <c r="K94" s="184" t="str">
        <f>IF('Option 1'!K94="","",'Option 1'!K94)</f>
        <v/>
      </c>
      <c r="L94" s="184" t="str">
        <f>IF('Option 1'!L94="","",'Option 1'!L94)</f>
        <v/>
      </c>
      <c r="M94" s="184" t="str">
        <f>IF('Option 1'!M94="","",'Option 1'!M94)</f>
        <v/>
      </c>
      <c r="N94" s="184" t="str">
        <f>IF('Option 1'!N94="","",'Option 1'!N94)</f>
        <v/>
      </c>
      <c r="O94" s="184" t="str">
        <f>IF('Option 1'!O94="","",'Option 1'!O94)</f>
        <v/>
      </c>
      <c r="P94" s="124">
        <f t="shared" si="9"/>
        <v>57222</v>
      </c>
    </row>
    <row r="95" spans="1:16" ht="15.75" customHeight="1" x14ac:dyDescent="0.25">
      <c r="A95" s="239"/>
      <c r="B95" s="4" t="str">
        <f>IF('Option 1'!B95="","",'Option 1'!B95)</f>
        <v/>
      </c>
      <c r="C95" s="188" t="str">
        <f>IF('Option 1'!C95="","",'Option 1'!C95)</f>
        <v>Laundry Room Flooring</v>
      </c>
      <c r="D95" s="183">
        <f>IF('Option 1'!D95="","",'Option 1'!D95)</f>
        <v>17305</v>
      </c>
      <c r="E95" s="184" t="str">
        <f>IF('Option 1'!E95="","",'Option 1'!E95)</f>
        <v/>
      </c>
      <c r="F95" s="184" t="str">
        <f>IF('Option 1'!F95="","",'Option 1'!F95)</f>
        <v/>
      </c>
      <c r="G95" s="184" t="str">
        <f>IF('Option 1'!G95="","",'Option 1'!G95)</f>
        <v/>
      </c>
      <c r="H95" s="184" t="str">
        <f>IF('Option 1'!H95="","",'Option 1'!H95)</f>
        <v/>
      </c>
      <c r="I95" s="184" t="str">
        <f>IF('Option 1'!I95="","",'Option 1'!I95)</f>
        <v/>
      </c>
      <c r="J95" s="184" t="str">
        <f>IF('Option 1'!J95="","",'Option 1'!J95)</f>
        <v/>
      </c>
      <c r="K95" s="184" t="str">
        <f>IF('Option 1'!K95="","",'Option 1'!K95)</f>
        <v/>
      </c>
      <c r="L95" s="184" t="str">
        <f>IF('Option 1'!L95="","",'Option 1'!L95)</f>
        <v/>
      </c>
      <c r="M95" s="184" t="str">
        <f>IF('Option 1'!M95="","",'Option 1'!M95)</f>
        <v/>
      </c>
      <c r="N95" s="184">
        <f>IF('Option 1'!N95="","",'Option 1'!N95)</f>
        <v>17305</v>
      </c>
      <c r="O95" s="184" t="str">
        <f>IF('Option 1'!O95="","",'Option 1'!O95)</f>
        <v/>
      </c>
      <c r="P95" s="124">
        <f t="shared" si="9"/>
        <v>34610</v>
      </c>
    </row>
    <row r="96" spans="1:16" ht="15.75" customHeight="1" x14ac:dyDescent="0.25">
      <c r="A96" s="239"/>
      <c r="B96" s="4" t="str">
        <f>IF('Option 1'!B96="","",'Option 1'!B96)</f>
        <v/>
      </c>
      <c r="C96" s="188" t="str">
        <f>IF('Option 1'!C96="","",'Option 1'!C96)</f>
        <v>Social Room Carpet</v>
      </c>
      <c r="D96" s="183" t="str">
        <f>IF('Option 1'!D96="","",'Option 1'!D96)</f>
        <v/>
      </c>
      <c r="E96" s="184" t="str">
        <f>IF('Option 1'!E96="","",'Option 1'!E96)</f>
        <v/>
      </c>
      <c r="F96" s="184" t="str">
        <f>IF('Option 1'!F96="","",'Option 1'!F96)</f>
        <v/>
      </c>
      <c r="G96" s="184" t="str">
        <f>IF('Option 1'!G96="","",'Option 1'!G96)</f>
        <v/>
      </c>
      <c r="H96" s="184" t="str">
        <f>IF('Option 1'!H96="","",'Option 1'!H96)</f>
        <v/>
      </c>
      <c r="I96" s="184" t="str">
        <f>IF('Option 1'!I96="","",'Option 1'!I96)</f>
        <v/>
      </c>
      <c r="J96" s="184" t="str">
        <f>IF('Option 1'!J96="","",'Option 1'!J96)</f>
        <v/>
      </c>
      <c r="K96" s="184">
        <f>IF('Option 1'!K96="","",'Option 1'!K96)</f>
        <v>21075</v>
      </c>
      <c r="L96" s="184" t="str">
        <f>IF('Option 1'!L96="","",'Option 1'!L96)</f>
        <v/>
      </c>
      <c r="M96" s="184" t="str">
        <f>IF('Option 1'!M96="","",'Option 1'!M96)</f>
        <v/>
      </c>
      <c r="N96" s="184" t="str">
        <f>IF('Option 1'!N96="","",'Option 1'!N96)</f>
        <v/>
      </c>
      <c r="O96" s="184" t="str">
        <f>IF('Option 1'!O96="","",'Option 1'!O96)</f>
        <v/>
      </c>
      <c r="P96" s="124">
        <f t="shared" si="9"/>
        <v>21075</v>
      </c>
    </row>
    <row r="97" spans="1:16" ht="15.75" customHeight="1" x14ac:dyDescent="0.25">
      <c r="A97" s="239"/>
      <c r="B97" s="4" t="str">
        <f>IF('Option 1'!B97="","",'Option 1'!B97)</f>
        <v/>
      </c>
      <c r="C97" s="188" t="str">
        <f>IF('Option 1'!C97="","",'Option 1'!C97)</f>
        <v>Social Room Sliding Doors</v>
      </c>
      <c r="D97" s="183" t="str">
        <f>IF('Option 1'!D97="","",'Option 1'!D97)</f>
        <v/>
      </c>
      <c r="E97" s="184" t="str">
        <f>IF('Option 1'!E97="","",'Option 1'!E97)</f>
        <v/>
      </c>
      <c r="F97" s="184" t="str">
        <f>IF('Option 1'!F97="","",'Option 1'!F97)</f>
        <v/>
      </c>
      <c r="G97" s="184" t="str">
        <f>IF('Option 1'!G97="","",'Option 1'!G97)</f>
        <v/>
      </c>
      <c r="H97" s="184" t="str">
        <f>IF('Option 1'!H97="","",'Option 1'!H97)</f>
        <v/>
      </c>
      <c r="I97" s="184" t="str">
        <f>IF('Option 1'!I97="","",'Option 1'!I97)</f>
        <v/>
      </c>
      <c r="J97" s="184" t="str">
        <f>IF('Option 1'!J97="","",'Option 1'!J97)</f>
        <v/>
      </c>
      <c r="K97" s="184" t="str">
        <f>IF('Option 1'!K97="","",'Option 1'!K97)</f>
        <v/>
      </c>
      <c r="L97" s="184" t="str">
        <f>IF('Option 1'!L97="","",'Option 1'!L97)</f>
        <v/>
      </c>
      <c r="M97" s="184" t="str">
        <f>IF('Option 1'!M97="","",'Option 1'!M97)</f>
        <v/>
      </c>
      <c r="N97" s="184" t="str">
        <f>IF('Option 1'!N97="","",'Option 1'!N97)</f>
        <v/>
      </c>
      <c r="O97" s="184" t="str">
        <f>IF('Option 1'!O97="","",'Option 1'!O97)</f>
        <v/>
      </c>
      <c r="P97" s="124">
        <f t="shared" si="9"/>
        <v>0</v>
      </c>
    </row>
    <row r="98" spans="1:16" ht="15.75" customHeight="1" x14ac:dyDescent="0.25">
      <c r="A98" s="239"/>
      <c r="B98" s="4" t="str">
        <f>IF('Option 1'!B98="","",'Option 1'!B98)</f>
        <v/>
      </c>
      <c r="C98" s="188" t="str">
        <f>IF('Option 1'!C98="","",'Option 1'!C98)</f>
        <v>Social Room Furniture</v>
      </c>
      <c r="D98" s="183" t="str">
        <f>IF('Option 1'!D98="","",'Option 1'!D98)</f>
        <v/>
      </c>
      <c r="E98" s="184" t="str">
        <f>IF('Option 1'!E98="","",'Option 1'!E98)</f>
        <v/>
      </c>
      <c r="F98" s="184" t="str">
        <f>IF('Option 1'!F98="","",'Option 1'!F98)</f>
        <v/>
      </c>
      <c r="G98" s="184" t="str">
        <f>IF('Option 1'!G98="","",'Option 1'!G98)</f>
        <v/>
      </c>
      <c r="H98" s="184" t="str">
        <f>IF('Option 1'!H98="","",'Option 1'!H98)</f>
        <v/>
      </c>
      <c r="I98" s="184" t="str">
        <f>IF('Option 1'!I98="","",'Option 1'!I98)</f>
        <v/>
      </c>
      <c r="J98" s="184" t="str">
        <f>IF('Option 1'!J98="","",'Option 1'!J98)</f>
        <v/>
      </c>
      <c r="K98" s="184" t="str">
        <f>IF('Option 1'!K98="","",'Option 1'!K98)</f>
        <v/>
      </c>
      <c r="L98" s="184" t="str">
        <f>IF('Option 1'!L98="","",'Option 1'!L98)</f>
        <v/>
      </c>
      <c r="M98" s="184" t="str">
        <f>IF('Option 1'!M98="","",'Option 1'!M98)</f>
        <v/>
      </c>
      <c r="N98" s="184" t="str">
        <f>IF('Option 1'!N98="","",'Option 1'!N98)</f>
        <v/>
      </c>
      <c r="O98" s="184" t="str">
        <f>IF('Option 1'!O98="","",'Option 1'!O98)</f>
        <v/>
      </c>
      <c r="P98" s="124">
        <f t="shared" si="9"/>
        <v>0</v>
      </c>
    </row>
    <row r="99" spans="1:16" ht="15.75" customHeight="1" x14ac:dyDescent="0.25">
      <c r="A99" s="239"/>
      <c r="B99" s="4" t="str">
        <f>IF('Option 1'!B99="","",'Option 1'!B99)</f>
        <v/>
      </c>
      <c r="C99" s="182" t="str">
        <f>IF('Option 1'!C99="","",'Option 1'!C99)</f>
        <v>Carpet (Clubhouse)</v>
      </c>
      <c r="D99" s="183" t="str">
        <f>IF('Option 1'!D99="","",'Option 1'!D99)</f>
        <v/>
      </c>
      <c r="E99" s="184" t="str">
        <f>IF('Option 1'!E99="","",'Option 1'!E99)</f>
        <v/>
      </c>
      <c r="F99" s="184" t="str">
        <f>IF('Option 1'!F99="","",'Option 1'!F99)</f>
        <v/>
      </c>
      <c r="G99" s="184" t="str">
        <f>IF('Option 1'!G99="","",'Option 1'!G99)</f>
        <v/>
      </c>
      <c r="H99" s="184" t="str">
        <f>IF('Option 1'!H99="","",'Option 1'!H99)</f>
        <v/>
      </c>
      <c r="I99" s="184" t="str">
        <f>IF('Option 1'!I99="","",'Option 1'!I99)</f>
        <v/>
      </c>
      <c r="J99" s="184">
        <f>IF('Option 1'!J99="","",'Option 1'!J99)</f>
        <v>6326</v>
      </c>
      <c r="K99" s="184" t="str">
        <f>IF('Option 1'!K99="","",'Option 1'!K99)</f>
        <v/>
      </c>
      <c r="L99" s="184" t="str">
        <f>IF('Option 1'!L99="","",'Option 1'!L99)</f>
        <v/>
      </c>
      <c r="M99" s="184" t="str">
        <f>IF('Option 1'!M99="","",'Option 1'!M99)</f>
        <v/>
      </c>
      <c r="N99" s="184" t="str">
        <f>IF('Option 1'!N99="","",'Option 1'!N99)</f>
        <v/>
      </c>
      <c r="O99" s="184" t="str">
        <f>IF('Option 1'!O99="","",'Option 1'!O99)</f>
        <v/>
      </c>
      <c r="P99" s="124">
        <f t="shared" si="9"/>
        <v>6326</v>
      </c>
    </row>
    <row r="100" spans="1:16" ht="15.75" customHeight="1" x14ac:dyDescent="0.25">
      <c r="A100" s="239"/>
      <c r="B100" s="4" t="str">
        <f>IF('Option 1'!B100="","",'Option 1'!B100)</f>
        <v/>
      </c>
      <c r="C100" s="188" t="str">
        <f>IF('Option 1'!C100="","",'Option 1'!C100)</f>
        <v>Ceramic Tile (Clubhouse)</v>
      </c>
      <c r="D100" s="183" t="str">
        <f>IF('Option 1'!D100="","",'Option 1'!D100)</f>
        <v/>
      </c>
      <c r="E100" s="184" t="str">
        <f>IF('Option 1'!E100="","",'Option 1'!E100)</f>
        <v/>
      </c>
      <c r="F100" s="184" t="str">
        <f>IF('Option 1'!F100="","",'Option 1'!F100)</f>
        <v/>
      </c>
      <c r="G100" s="184" t="str">
        <f>IF('Option 1'!G100="","",'Option 1'!G100)</f>
        <v/>
      </c>
      <c r="H100" s="184" t="str">
        <f>IF('Option 1'!H100="","",'Option 1'!H100)</f>
        <v/>
      </c>
      <c r="I100" s="184" t="str">
        <f>IF('Option 1'!I100="","",'Option 1'!I100)</f>
        <v/>
      </c>
      <c r="J100" s="184" t="str">
        <f>IF('Option 1'!J100="","",'Option 1'!J100)</f>
        <v/>
      </c>
      <c r="K100" s="184" t="str">
        <f>IF('Option 1'!K100="","",'Option 1'!K100)</f>
        <v/>
      </c>
      <c r="L100" s="184" t="str">
        <f>IF('Option 1'!L100="","",'Option 1'!L100)</f>
        <v/>
      </c>
      <c r="M100" s="184" t="str">
        <f>IF('Option 1'!M100="","",'Option 1'!M100)</f>
        <v/>
      </c>
      <c r="N100" s="184" t="str">
        <f>IF('Option 1'!N100="","",'Option 1'!N100)</f>
        <v/>
      </c>
      <c r="O100" s="184" t="str">
        <f>IF('Option 1'!O100="","",'Option 1'!O100)</f>
        <v/>
      </c>
      <c r="P100" s="124">
        <f t="shared" si="9"/>
        <v>0</v>
      </c>
    </row>
    <row r="101" spans="1:16" ht="15.75" customHeight="1" x14ac:dyDescent="0.25">
      <c r="A101" s="239"/>
      <c r="B101" s="4" t="str">
        <f>IF('Option 1'!B101="","",'Option 1'!B101)</f>
        <v/>
      </c>
      <c r="C101" s="188" t="str">
        <f>IF('Option 1'!C101="","",'Option 1'!C101)</f>
        <v>Toilet Partitions</v>
      </c>
      <c r="D101" s="183" t="str">
        <f>IF('Option 1'!D101="","",'Option 1'!D101)</f>
        <v/>
      </c>
      <c r="E101" s="184" t="str">
        <f>IF('Option 1'!E101="","",'Option 1'!E101)</f>
        <v/>
      </c>
      <c r="F101" s="184" t="str">
        <f>IF('Option 1'!F101="","",'Option 1'!F101)</f>
        <v/>
      </c>
      <c r="G101" s="184" t="str">
        <f>IF('Option 1'!G101="","",'Option 1'!G101)</f>
        <v/>
      </c>
      <c r="H101" s="184" t="str">
        <f>IF('Option 1'!H101="","",'Option 1'!H101)</f>
        <v/>
      </c>
      <c r="I101" s="184">
        <f>IF('Option 1'!I101="","",'Option 1'!I101)</f>
        <v>2491</v>
      </c>
      <c r="J101" s="184" t="str">
        <f>IF('Option 1'!J101="","",'Option 1'!J101)</f>
        <v/>
      </c>
      <c r="K101" s="184" t="str">
        <f>IF('Option 1'!K101="","",'Option 1'!K101)</f>
        <v/>
      </c>
      <c r="L101" s="184" t="str">
        <f>IF('Option 1'!L101="","",'Option 1'!L101)</f>
        <v/>
      </c>
      <c r="M101" s="184" t="str">
        <f>IF('Option 1'!M101="","",'Option 1'!M101)</f>
        <v/>
      </c>
      <c r="N101" s="184" t="str">
        <f>IF('Option 1'!N101="","",'Option 1'!N101)</f>
        <v/>
      </c>
      <c r="O101" s="184" t="str">
        <f>IF('Option 1'!O101="","",'Option 1'!O101)</f>
        <v/>
      </c>
      <c r="P101" s="124">
        <f t="shared" si="9"/>
        <v>2491</v>
      </c>
    </row>
    <row r="102" spans="1:16" ht="15.75" customHeight="1" x14ac:dyDescent="0.25">
      <c r="A102" s="239"/>
      <c r="B102" s="4" t="str">
        <f>IF('Option 1'!B102="","",'Option 1'!B102)</f>
        <v/>
      </c>
      <c r="C102" s="188" t="str">
        <f>IF('Option 1'!C102="","",'Option 1'!C102)</f>
        <v>Showers</v>
      </c>
      <c r="D102" s="183">
        <f>IF('Option 1'!D102="","",'Option 1'!D102)</f>
        <v>5536</v>
      </c>
      <c r="E102" s="184" t="str">
        <f>IF('Option 1'!E102="","",'Option 1'!E102)</f>
        <v/>
      </c>
      <c r="F102" s="184" t="str">
        <f>IF('Option 1'!F102="","",'Option 1'!F102)</f>
        <v/>
      </c>
      <c r="G102" s="184" t="str">
        <f>IF('Option 1'!G102="","",'Option 1'!G102)</f>
        <v/>
      </c>
      <c r="H102" s="184" t="str">
        <f>IF('Option 1'!H102="","",'Option 1'!H102)</f>
        <v/>
      </c>
      <c r="I102" s="184" t="str">
        <f>IF('Option 1'!I102="","",'Option 1'!I102)</f>
        <v/>
      </c>
      <c r="J102" s="184" t="str">
        <f>IF('Option 1'!J102="","",'Option 1'!J102)</f>
        <v/>
      </c>
      <c r="K102" s="184" t="str">
        <f>IF('Option 1'!K102="","",'Option 1'!K102)</f>
        <v/>
      </c>
      <c r="L102" s="184" t="str">
        <f>IF('Option 1'!L102="","",'Option 1'!L102)</f>
        <v/>
      </c>
      <c r="M102" s="184" t="str">
        <f>IF('Option 1'!M102="","",'Option 1'!M102)</f>
        <v/>
      </c>
      <c r="N102" s="184" t="str">
        <f>IF('Option 1'!N102="","",'Option 1'!N102)</f>
        <v/>
      </c>
      <c r="O102" s="184" t="str">
        <f>IF('Option 1'!O102="","",'Option 1'!O102)</f>
        <v/>
      </c>
      <c r="P102" s="124">
        <f t="shared" si="9"/>
        <v>5536</v>
      </c>
    </row>
    <row r="103" spans="1:16" ht="15.75" customHeight="1" x14ac:dyDescent="0.25">
      <c r="A103" s="239"/>
      <c r="B103" s="4" t="str">
        <f>IF('Option 1'!B103="","",'Option 1'!B103)</f>
        <v/>
      </c>
      <c r="C103" s="188" t="str">
        <f>IF('Option 1'!C103="","",'Option 1'!C103)</f>
        <v>Saunas</v>
      </c>
      <c r="D103" s="183" t="str">
        <f>IF('Option 1'!D103="","",'Option 1'!D103)</f>
        <v/>
      </c>
      <c r="E103" s="184" t="str">
        <f>IF('Option 1'!E103="","",'Option 1'!E103)</f>
        <v/>
      </c>
      <c r="F103" s="184" t="str">
        <f>IF('Option 1'!F103="","",'Option 1'!F103)</f>
        <v/>
      </c>
      <c r="G103" s="184" t="str">
        <f>IF('Option 1'!G103="","",'Option 1'!G103)</f>
        <v/>
      </c>
      <c r="H103" s="184">
        <f>IF('Option 1'!H103="","",'Option 1'!H103)</f>
        <v>30445</v>
      </c>
      <c r="I103" s="184" t="str">
        <f>IF('Option 1'!I103="","",'Option 1'!I103)</f>
        <v/>
      </c>
      <c r="J103" s="184" t="str">
        <f>IF('Option 1'!J103="","",'Option 1'!J103)</f>
        <v/>
      </c>
      <c r="K103" s="184" t="str">
        <f>IF('Option 1'!K103="","",'Option 1'!K103)</f>
        <v/>
      </c>
      <c r="L103" s="184" t="str">
        <f>IF('Option 1'!L103="","",'Option 1'!L103)</f>
        <v/>
      </c>
      <c r="M103" s="184" t="str">
        <f>IF('Option 1'!M103="","",'Option 1'!M103)</f>
        <v/>
      </c>
      <c r="N103" s="184" t="str">
        <f>IF('Option 1'!N103="","",'Option 1'!N103)</f>
        <v/>
      </c>
      <c r="O103" s="184" t="str">
        <f>IF('Option 1'!O103="","",'Option 1'!O103)</f>
        <v/>
      </c>
      <c r="P103" s="124">
        <f t="shared" si="9"/>
        <v>30445</v>
      </c>
    </row>
    <row r="104" spans="1:16" ht="15.75" customHeight="1" x14ac:dyDescent="0.25">
      <c r="A104" s="239"/>
      <c r="B104" s="4" t="str">
        <f>IF('Option 1'!B104="","",'Option 1'!B104)</f>
        <v/>
      </c>
      <c r="C104" s="188" t="str">
        <f>IF('Option 1'!C104="","",'Option 1'!C104)</f>
        <v>Plumbing Fixtures</v>
      </c>
      <c r="D104" s="186">
        <f>IF('Option 1'!D104="","",'Option 1'!D104)</f>
        <v>19500</v>
      </c>
      <c r="E104" s="184" t="str">
        <f>IF('Option 1'!E104="","",'Option 1'!E104)</f>
        <v/>
      </c>
      <c r="F104" s="184">
        <f>IF('Option 1'!F104="","",'Option 1'!F104)</f>
        <v>3875</v>
      </c>
      <c r="G104" s="184" t="str">
        <f>IF('Option 1'!G104="","",'Option 1'!G104)</f>
        <v/>
      </c>
      <c r="H104" s="184" t="str">
        <f>IF('Option 1'!H104="","",'Option 1'!H104)</f>
        <v/>
      </c>
      <c r="I104" s="184" t="str">
        <f>IF('Option 1'!I104="","",'Option 1'!I104)</f>
        <v/>
      </c>
      <c r="J104" s="184" t="str">
        <f>IF('Option 1'!J104="","",'Option 1'!J104)</f>
        <v/>
      </c>
      <c r="K104" s="184" t="str">
        <f>IF('Option 1'!K104="","",'Option 1'!K104)</f>
        <v/>
      </c>
      <c r="L104" s="184" t="str">
        <f>IF('Option 1'!L104="","",'Option 1'!L104)</f>
        <v/>
      </c>
      <c r="M104" s="184" t="str">
        <f>IF('Option 1'!M104="","",'Option 1'!M104)</f>
        <v/>
      </c>
      <c r="N104" s="184" t="str">
        <f>IF('Option 1'!N104="","",'Option 1'!N104)</f>
        <v/>
      </c>
      <c r="O104" s="184" t="str">
        <f>IF('Option 1'!O104="","",'Option 1'!O104)</f>
        <v/>
      </c>
      <c r="P104" s="124">
        <f t="shared" si="9"/>
        <v>23375</v>
      </c>
    </row>
    <row r="105" spans="1:16" ht="15.75" customHeight="1" x14ac:dyDescent="0.25">
      <c r="A105" s="239"/>
      <c r="B105" s="4" t="str">
        <f>IF('Option 1'!B105="","",'Option 1'!B105)</f>
        <v/>
      </c>
      <c r="C105" s="188" t="str">
        <f>IF('Option 1'!C105="","",'Option 1'!C105)</f>
        <v>Interior Passage Doors</v>
      </c>
      <c r="D105" s="186" t="str">
        <f>IF('Option 1'!D105="","",'Option 1'!D105)</f>
        <v/>
      </c>
      <c r="E105" s="184" t="str">
        <f>IF('Option 1'!E105="","",'Option 1'!E105)</f>
        <v/>
      </c>
      <c r="F105" s="184" t="str">
        <f>IF('Option 1'!F105="","",'Option 1'!F105)</f>
        <v/>
      </c>
      <c r="G105" s="184" t="str">
        <f>IF('Option 1'!G105="","",'Option 1'!G105)</f>
        <v/>
      </c>
      <c r="H105" s="184">
        <f>IF('Option 1'!H105="","",'Option 1'!H105)</f>
        <v>3321</v>
      </c>
      <c r="I105" s="184" t="str">
        <f>IF('Option 1'!I105="","",'Option 1'!I105)</f>
        <v/>
      </c>
      <c r="J105" s="184" t="str">
        <f>IF('Option 1'!J105="","",'Option 1'!J105)</f>
        <v/>
      </c>
      <c r="K105" s="184" t="str">
        <f>IF('Option 1'!K105="","",'Option 1'!K105)</f>
        <v/>
      </c>
      <c r="L105" s="184" t="str">
        <f>IF('Option 1'!L105="","",'Option 1'!L105)</f>
        <v/>
      </c>
      <c r="M105" s="184" t="str">
        <f>IF('Option 1'!M105="","",'Option 1'!M105)</f>
        <v/>
      </c>
      <c r="N105" s="184" t="str">
        <f>IF('Option 1'!N105="","",'Option 1'!N105)</f>
        <v/>
      </c>
      <c r="O105" s="184" t="str">
        <f>IF('Option 1'!O105="","",'Option 1'!O105)</f>
        <v/>
      </c>
      <c r="P105" s="124">
        <f t="shared" si="9"/>
        <v>3321</v>
      </c>
    </row>
    <row r="106" spans="1:16" ht="15.75" customHeight="1" x14ac:dyDescent="0.25">
      <c r="A106" s="239"/>
      <c r="B106" s="4" t="str">
        <f>IF('Option 1'!B106="","",'Option 1'!B106)</f>
        <v/>
      </c>
      <c r="C106" s="188" t="str">
        <f>IF('Option 1'!C106="","",'Option 1'!C106)</f>
        <v>Closet Doors</v>
      </c>
      <c r="D106" s="186" t="str">
        <f>IF('Option 1'!D106="","",'Option 1'!D106)</f>
        <v/>
      </c>
      <c r="E106" s="184" t="str">
        <f>IF('Option 1'!E106="","",'Option 1'!E106)</f>
        <v/>
      </c>
      <c r="F106" s="184" t="str">
        <f>IF('Option 1'!F106="","",'Option 1'!F106)</f>
        <v/>
      </c>
      <c r="G106" s="184" t="str">
        <f>IF('Option 1'!G106="","",'Option 1'!G106)</f>
        <v/>
      </c>
      <c r="H106" s="184">
        <f>IF('Option 1'!H106="","",'Option 1'!H106)</f>
        <v>1245</v>
      </c>
      <c r="I106" s="184" t="str">
        <f>IF('Option 1'!I106="","",'Option 1'!I106)</f>
        <v/>
      </c>
      <c r="J106" s="184" t="str">
        <f>IF('Option 1'!J106="","",'Option 1'!J106)</f>
        <v/>
      </c>
      <c r="K106" s="184" t="str">
        <f>IF('Option 1'!K106="","",'Option 1'!K106)</f>
        <v/>
      </c>
      <c r="L106" s="184" t="str">
        <f>IF('Option 1'!L106="","",'Option 1'!L106)</f>
        <v/>
      </c>
      <c r="M106" s="184" t="str">
        <f>IF('Option 1'!M106="","",'Option 1'!M106)</f>
        <v/>
      </c>
      <c r="N106" s="184" t="str">
        <f>IF('Option 1'!N106="","",'Option 1'!N106)</f>
        <v/>
      </c>
      <c r="O106" s="184" t="str">
        <f>IF('Option 1'!O106="","",'Option 1'!O106)</f>
        <v/>
      </c>
      <c r="P106" s="124">
        <f t="shared" si="9"/>
        <v>1245</v>
      </c>
    </row>
    <row r="107" spans="1:16" ht="15.75" customHeight="1" x14ac:dyDescent="0.25">
      <c r="A107" s="239"/>
      <c r="B107" s="4" t="str">
        <f>IF('Option 1'!B107="","",'Option 1'!B107)</f>
        <v/>
      </c>
      <c r="C107" s="188" t="str">
        <f>IF('Option 1'!C107="","",'Option 1'!C107)</f>
        <v>Appliances</v>
      </c>
      <c r="D107" s="186" t="str">
        <f>IF('Option 1'!D107="","",'Option 1'!D107)</f>
        <v/>
      </c>
      <c r="E107" s="184" t="str">
        <f>IF('Option 1'!E107="","",'Option 1'!E107)</f>
        <v/>
      </c>
      <c r="F107" s="184" t="str">
        <f>IF('Option 1'!F107="","",'Option 1'!F107)</f>
        <v/>
      </c>
      <c r="G107" s="184" t="str">
        <f>IF('Option 1'!G107="","",'Option 1'!G107)</f>
        <v/>
      </c>
      <c r="H107" s="184" t="str">
        <f>IF('Option 1'!H107="","",'Option 1'!H107)</f>
        <v/>
      </c>
      <c r="I107" s="184" t="str">
        <f>IF('Option 1'!I107="","",'Option 1'!I107)</f>
        <v/>
      </c>
      <c r="J107" s="184" t="str">
        <f>IF('Option 1'!J107="","",'Option 1'!J107)</f>
        <v/>
      </c>
      <c r="K107" s="184" t="str">
        <f>IF('Option 1'!K107="","",'Option 1'!K107)</f>
        <v/>
      </c>
      <c r="L107" s="184" t="str">
        <f>IF('Option 1'!L107="","",'Option 1'!L107)</f>
        <v/>
      </c>
      <c r="M107" s="184" t="str">
        <f>IF('Option 1'!M107="","",'Option 1'!M107)</f>
        <v/>
      </c>
      <c r="N107" s="184" t="str">
        <f>IF('Option 1'!N107="","",'Option 1'!N107)</f>
        <v/>
      </c>
      <c r="O107" s="184" t="str">
        <f>IF('Option 1'!O107="","",'Option 1'!O107)</f>
        <v/>
      </c>
      <c r="P107" s="124">
        <f t="shared" si="9"/>
        <v>0</v>
      </c>
    </row>
    <row r="108" spans="1:16" ht="15.75" customHeight="1" x14ac:dyDescent="0.25">
      <c r="A108" s="239"/>
      <c r="B108" s="4" t="str">
        <f>IF('Option 1'!B108="","",'Option 1'!B108)</f>
        <v/>
      </c>
      <c r="C108" s="188" t="str">
        <f>IF('Option 1'!C108="","",'Option 1'!C108)</f>
        <v>Exercise Equipment</v>
      </c>
      <c r="D108" s="186">
        <f>IF('Option 1'!D108="","",'Option 1'!D108)</f>
        <v>167</v>
      </c>
      <c r="E108" s="184" t="str">
        <f>IF('Option 1'!E108="","",'Option 1'!E108)</f>
        <v/>
      </c>
      <c r="F108" s="184" t="str">
        <f>IF('Option 1'!F108="","",'Option 1'!F108)</f>
        <v/>
      </c>
      <c r="G108" s="184" t="str">
        <f>IF('Option 1'!G108="","",'Option 1'!G108)</f>
        <v/>
      </c>
      <c r="H108" s="184" t="str">
        <f>IF('Option 1'!H108="","",'Option 1'!H108)</f>
        <v/>
      </c>
      <c r="I108" s="184" t="str">
        <f>IF('Option 1'!I108="","",'Option 1'!I108)</f>
        <v/>
      </c>
      <c r="J108" s="184" t="str">
        <f>IF('Option 1'!J108="","",'Option 1'!J108)</f>
        <v/>
      </c>
      <c r="K108" s="184" t="str">
        <f>IF('Option 1'!K108="","",'Option 1'!K108)</f>
        <v/>
      </c>
      <c r="L108" s="184" t="str">
        <f>IF('Option 1'!L108="","",'Option 1'!L108)</f>
        <v/>
      </c>
      <c r="M108" s="184" t="str">
        <f>IF('Option 1'!M108="","",'Option 1'!M108)</f>
        <v/>
      </c>
      <c r="N108" s="184" t="str">
        <f>IF('Option 1'!N108="","",'Option 1'!N108)</f>
        <v/>
      </c>
      <c r="O108" s="184" t="str">
        <f>IF('Option 1'!O108="","",'Option 1'!O108)</f>
        <v/>
      </c>
      <c r="P108" s="124">
        <f t="shared" si="9"/>
        <v>167</v>
      </c>
    </row>
    <row r="109" spans="1:16" ht="15.75" customHeight="1" x14ac:dyDescent="0.25">
      <c r="A109" s="239"/>
      <c r="B109" s="4" t="str">
        <f>IF('Option 1'!B109="","",'Option 1'!B109)</f>
        <v/>
      </c>
      <c r="C109" s="188" t="str">
        <f>IF('Option 1'!C109="","",'Option 1'!C109)</f>
        <v>Office Furniture and Equipment</v>
      </c>
      <c r="D109" s="186" t="str">
        <f>IF('Option 1'!D109="","",'Option 1'!D109)</f>
        <v/>
      </c>
      <c r="E109" s="184" t="str">
        <f>IF('Option 1'!E109="","",'Option 1'!E109)</f>
        <v/>
      </c>
      <c r="F109" s="184" t="str">
        <f>IF('Option 1'!F109="","",'Option 1'!F109)</f>
        <v/>
      </c>
      <c r="G109" s="184" t="str">
        <f>IF('Option 1'!G109="","",'Option 1'!G109)</f>
        <v/>
      </c>
      <c r="H109" s="184" t="str">
        <f>IF('Option 1'!H109="","",'Option 1'!H109)</f>
        <v/>
      </c>
      <c r="I109" s="184" t="str">
        <f>IF('Option 1'!I109="","",'Option 1'!I109)</f>
        <v/>
      </c>
      <c r="J109" s="184" t="str">
        <f>IF('Option 1'!J109="","",'Option 1'!J109)</f>
        <v/>
      </c>
      <c r="K109" s="184" t="str">
        <f>IF('Option 1'!K109="","",'Option 1'!K109)</f>
        <v/>
      </c>
      <c r="L109" s="184" t="str">
        <f>IF('Option 1'!L109="","",'Option 1'!L109)</f>
        <v/>
      </c>
      <c r="M109" s="184" t="str">
        <f>IF('Option 1'!M109="","",'Option 1'!M109)</f>
        <v/>
      </c>
      <c r="N109" s="184" t="str">
        <f>IF('Option 1'!N109="","",'Option 1'!N109)</f>
        <v/>
      </c>
      <c r="O109" s="184" t="str">
        <f>IF('Option 1'!O109="","",'Option 1'!O109)</f>
        <v/>
      </c>
      <c r="P109" s="124">
        <f t="shared" si="9"/>
        <v>0</v>
      </c>
    </row>
    <row r="110" spans="1:16" ht="15.75" customHeight="1" x14ac:dyDescent="0.25">
      <c r="A110" s="239"/>
      <c r="B110" s="4" t="str">
        <f>IF('Option 1'!B110="","",'Option 1'!B110)</f>
        <v/>
      </c>
      <c r="C110" s="188" t="str">
        <f>IF('Option 1'!C110="","",'Option 1'!C110)</f>
        <v>Common Double Doors</v>
      </c>
      <c r="D110" s="186" t="str">
        <f>IF('Option 1'!D110="","",'Option 1'!D110)</f>
        <v/>
      </c>
      <c r="E110" s="184" t="str">
        <f>IF('Option 1'!E110="","",'Option 1'!E110)</f>
        <v/>
      </c>
      <c r="F110" s="184" t="str">
        <f>IF('Option 1'!F110="","",'Option 1'!F110)</f>
        <v/>
      </c>
      <c r="G110" s="184" t="str">
        <f>IF('Option 1'!G110="","",'Option 1'!G110)</f>
        <v/>
      </c>
      <c r="H110" s="184">
        <f>IF('Option 1'!H110="","",'Option 1'!H110)</f>
        <v>92028</v>
      </c>
      <c r="I110" s="184" t="str">
        <f>IF('Option 1'!I110="","",'Option 1'!I110)</f>
        <v/>
      </c>
      <c r="J110" s="184" t="str">
        <f>IF('Option 1'!J110="","",'Option 1'!J110)</f>
        <v/>
      </c>
      <c r="K110" s="184" t="str">
        <f>IF('Option 1'!K110="","",'Option 1'!K110)</f>
        <v/>
      </c>
      <c r="L110" s="184" t="str">
        <f>IF('Option 1'!L110="","",'Option 1'!L110)</f>
        <v/>
      </c>
      <c r="M110" s="184" t="str">
        <f>IF('Option 1'!M110="","",'Option 1'!M110)</f>
        <v/>
      </c>
      <c r="N110" s="184" t="str">
        <f>IF('Option 1'!N110="","",'Option 1'!N110)</f>
        <v/>
      </c>
      <c r="O110" s="184" t="str">
        <f>IF('Option 1'!O110="","",'Option 1'!O110)</f>
        <v/>
      </c>
      <c r="P110" s="124">
        <f t="shared" si="9"/>
        <v>92028</v>
      </c>
    </row>
    <row r="111" spans="1:16" ht="15.75" customHeight="1" x14ac:dyDescent="0.25">
      <c r="A111" s="239"/>
      <c r="B111" s="4" t="str">
        <f>IF('Option 1'!B111="","",'Option 1'!B111)</f>
        <v/>
      </c>
      <c r="C111" s="188" t="str">
        <f>IF('Option 1'!C111="","",'Option 1'!C111)</f>
        <v>Common Single Doors</v>
      </c>
      <c r="D111" s="186" t="str">
        <f>IF('Option 1'!D111="","",'Option 1'!D111)</f>
        <v/>
      </c>
      <c r="E111" s="184" t="str">
        <f>IF('Option 1'!E111="","",'Option 1'!E111)</f>
        <v/>
      </c>
      <c r="F111" s="184" t="str">
        <f>IF('Option 1'!F111="","",'Option 1'!F111)</f>
        <v/>
      </c>
      <c r="G111" s="184" t="str">
        <f>IF('Option 1'!G111="","",'Option 1'!G111)</f>
        <v/>
      </c>
      <c r="H111" s="184">
        <f>IF('Option 1'!H111="","",'Option 1'!H111)</f>
        <v>345969</v>
      </c>
      <c r="I111" s="184" t="str">
        <f>IF('Option 1'!I111="","",'Option 1'!I111)</f>
        <v/>
      </c>
      <c r="J111" s="184" t="str">
        <f>IF('Option 1'!J111="","",'Option 1'!J111)</f>
        <v/>
      </c>
      <c r="K111" s="184" t="str">
        <f>IF('Option 1'!K111="","",'Option 1'!K111)</f>
        <v/>
      </c>
      <c r="L111" s="184" t="str">
        <f>IF('Option 1'!L111="","",'Option 1'!L111)</f>
        <v/>
      </c>
      <c r="M111" s="184" t="str">
        <f>IF('Option 1'!M111="","",'Option 1'!M111)</f>
        <v/>
      </c>
      <c r="N111" s="184" t="str">
        <f>IF('Option 1'!N111="","",'Option 1'!N111)</f>
        <v/>
      </c>
      <c r="O111" s="184" t="str">
        <f>IF('Option 1'!O111="","",'Option 1'!O111)</f>
        <v/>
      </c>
      <c r="P111" s="124">
        <f t="shared" si="9"/>
        <v>345969</v>
      </c>
    </row>
    <row r="112" spans="1:16" ht="15.75" customHeight="1" x14ac:dyDescent="0.25">
      <c r="A112" s="239"/>
      <c r="B112" s="4" t="str">
        <f>IF('Option 1'!B112="","",'Option 1'!B112)</f>
        <v/>
      </c>
      <c r="C112" s="3" t="str">
        <f>IF('Option 1'!C112="","",'Option 1'!C112)</f>
        <v>Exterior Finishes Elements</v>
      </c>
      <c r="D112" s="186" t="str">
        <f>IF('Option 1'!D112="","",'Option 1'!D112)</f>
        <v/>
      </c>
      <c r="E112" s="184" t="str">
        <f>IF('Option 1'!E112="","",'Option 1'!E112)</f>
        <v/>
      </c>
      <c r="F112" s="184" t="str">
        <f>IF('Option 1'!F112="","",'Option 1'!F112)</f>
        <v/>
      </c>
      <c r="G112" s="184" t="str">
        <f>IF('Option 1'!G112="","",'Option 1'!G112)</f>
        <v/>
      </c>
      <c r="H112" s="184" t="str">
        <f>IF('Option 1'!H112="","",'Option 1'!H112)</f>
        <v/>
      </c>
      <c r="I112" s="184" t="str">
        <f>IF('Option 1'!I112="","",'Option 1'!I112)</f>
        <v/>
      </c>
      <c r="J112" s="184" t="str">
        <f>IF('Option 1'!J112="","",'Option 1'!J112)</f>
        <v/>
      </c>
      <c r="K112" s="184" t="str">
        <f>IF('Option 1'!K112="","",'Option 1'!K112)</f>
        <v/>
      </c>
      <c r="L112" s="184" t="str">
        <f>IF('Option 1'!L112="","",'Option 1'!L112)</f>
        <v/>
      </c>
      <c r="M112" s="184" t="str">
        <f>IF('Option 1'!M112="","",'Option 1'!M112)</f>
        <v/>
      </c>
      <c r="N112" s="184" t="str">
        <f>IF('Option 1'!N112="","",'Option 1'!N112)</f>
        <v/>
      </c>
      <c r="O112" s="184" t="str">
        <f>IF('Option 1'!O112="","",'Option 1'!O112)</f>
        <v/>
      </c>
      <c r="P112" s="124">
        <f t="shared" si="9"/>
        <v>0</v>
      </c>
    </row>
    <row r="113" spans="1:16" ht="15.75" customHeight="1" x14ac:dyDescent="0.25">
      <c r="A113" s="239"/>
      <c r="B113" s="4" t="str">
        <f>IF('Option 1'!B113="","",'Option 1'!B113)</f>
        <v/>
      </c>
      <c r="C113" s="188" t="str">
        <f>IF('Option 1'!C113="","",'Option 1'!C113)</f>
        <v>Concrete Garage Door Headers (1405 A &amp; B, 1615 B, 1505 A &amp; B, 1515 A &amp; B, &amp; 1605 A &amp; B Wings)</v>
      </c>
      <c r="D113" s="186" t="str">
        <f>IF('Option 1'!D113="","",'Option 1'!D113)</f>
        <v/>
      </c>
      <c r="E113" s="184">
        <f>IF('Option 1'!E113="","",'Option 1'!E113)</f>
        <v>85000</v>
      </c>
      <c r="F113" s="184">
        <f>IF('Option 1'!F113="","",'Option 1'!F113)</f>
        <v>85000</v>
      </c>
      <c r="G113" s="184">
        <f>IF('Option 1'!G113="","",'Option 1'!G113)</f>
        <v>85000</v>
      </c>
      <c r="H113" s="184" t="str">
        <f>IF('Option 1'!H113="","",'Option 1'!H113)</f>
        <v/>
      </c>
      <c r="I113" s="184" t="str">
        <f>IF('Option 1'!I113="","",'Option 1'!I113)</f>
        <v/>
      </c>
      <c r="J113" s="184" t="str">
        <f>IF('Option 1'!J113="","",'Option 1'!J113)</f>
        <v/>
      </c>
      <c r="K113" s="184" t="str">
        <f>IF('Option 1'!K113="","",'Option 1'!K113)</f>
        <v/>
      </c>
      <c r="L113" s="184" t="str">
        <f>IF('Option 1'!L113="","",'Option 1'!L113)</f>
        <v/>
      </c>
      <c r="M113" s="184">
        <f>IF('Option 1'!M113="","",'Option 1'!M113)</f>
        <v>418500</v>
      </c>
      <c r="N113" s="184" t="str">
        <f>IF('Option 1'!N113="","",'Option 1'!N113)</f>
        <v/>
      </c>
      <c r="O113" s="184" t="str">
        <f>IF('Option 1'!O113="","",'Option 1'!O113)</f>
        <v/>
      </c>
      <c r="P113" s="124">
        <f t="shared" si="9"/>
        <v>673500</v>
      </c>
    </row>
    <row r="114" spans="1:16" ht="15.75" customHeight="1" x14ac:dyDescent="0.25">
      <c r="A114" s="239"/>
      <c r="B114" s="4" t="str">
        <f>IF('Option 1'!B114="","",'Option 1'!B114)</f>
        <v/>
      </c>
      <c r="C114" s="188" t="str">
        <f>IF('Option 1'!C114="","",'Option 1'!C114)</f>
        <v>Concrete Garage Door Headers (1415 A &amp; 1615 A Wings)</v>
      </c>
      <c r="D114" s="186" t="str">
        <f>IF('Option 1'!D114="","",'Option 1'!D114)</f>
        <v/>
      </c>
      <c r="E114" s="184" t="str">
        <f>IF('Option 1'!E114="","",'Option 1'!E114)</f>
        <v/>
      </c>
      <c r="F114" s="184" t="str">
        <f>IF('Option 1'!F114="","",'Option 1'!F114)</f>
        <v/>
      </c>
      <c r="G114" s="184" t="str">
        <f>IF('Option 1'!G114="","",'Option 1'!G114)</f>
        <v/>
      </c>
      <c r="H114" s="184" t="str">
        <f>IF('Option 1'!H114="","",'Option 1'!H114)</f>
        <v/>
      </c>
      <c r="I114" s="184" t="str">
        <f>IF('Option 1'!I114="","",'Option 1'!I114)</f>
        <v/>
      </c>
      <c r="J114" s="184" t="str">
        <f>IF('Option 1'!J114="","",'Option 1'!J114)</f>
        <v/>
      </c>
      <c r="K114" s="184" t="str">
        <f>IF('Option 1'!K114="","",'Option 1'!K114)</f>
        <v/>
      </c>
      <c r="L114" s="184" t="str">
        <f>IF('Option 1'!L114="","",'Option 1'!L114)</f>
        <v/>
      </c>
      <c r="M114" s="184" t="str">
        <f>IF('Option 1'!M114="","",'Option 1'!M114)</f>
        <v/>
      </c>
      <c r="N114" s="184" t="str">
        <f>IF('Option 1'!N114="","",'Option 1'!N114)</f>
        <v/>
      </c>
      <c r="O114" s="184" t="str">
        <f>IF('Option 1'!O114="","",'Option 1'!O114)</f>
        <v/>
      </c>
      <c r="P114" s="124">
        <f t="shared" si="9"/>
        <v>0</v>
      </c>
    </row>
    <row r="115" spans="1:16" ht="15.75" customHeight="1" x14ac:dyDescent="0.25">
      <c r="A115" s="239"/>
      <c r="B115" s="4" t="str">
        <f>IF('Option 1'!B115="","",'Option 1'!B115)</f>
        <v/>
      </c>
      <c r="C115" s="188" t="str">
        <f>IF('Option 1'!C115="","",'Option 1'!C115)</f>
        <v>Concrete Garage Door Header (1415 B Wing)</v>
      </c>
      <c r="D115" s="186" t="str">
        <f>IF('Option 1'!D115="","",'Option 1'!D115)</f>
        <v/>
      </c>
      <c r="E115" s="184" t="str">
        <f>IF('Option 1'!E115="","",'Option 1'!E115)</f>
        <v/>
      </c>
      <c r="F115" s="184" t="str">
        <f>IF('Option 1'!F115="","",'Option 1'!F115)</f>
        <v/>
      </c>
      <c r="G115" s="184" t="str">
        <f>IF('Option 1'!G115="","",'Option 1'!G115)</f>
        <v/>
      </c>
      <c r="H115" s="184" t="str">
        <f>IF('Option 1'!H115="","",'Option 1'!H115)</f>
        <v/>
      </c>
      <c r="I115" s="184" t="str">
        <f>IF('Option 1'!I115="","",'Option 1'!I115)</f>
        <v/>
      </c>
      <c r="J115" s="184" t="str">
        <f>IF('Option 1'!J115="","",'Option 1'!J115)</f>
        <v/>
      </c>
      <c r="K115" s="184" t="str">
        <f>IF('Option 1'!K115="","",'Option 1'!K115)</f>
        <v/>
      </c>
      <c r="L115" s="184" t="str">
        <f>IF('Option 1'!L115="","",'Option 1'!L115)</f>
        <v/>
      </c>
      <c r="M115" s="184" t="str">
        <f>IF('Option 1'!M115="","",'Option 1'!M115)</f>
        <v/>
      </c>
      <c r="N115" s="184" t="str">
        <f>IF('Option 1'!N115="","",'Option 1'!N115)</f>
        <v/>
      </c>
      <c r="O115" s="184" t="str">
        <f>IF('Option 1'!O115="","",'Option 1'!O115)</f>
        <v/>
      </c>
      <c r="P115" s="124">
        <f t="shared" si="9"/>
        <v>0</v>
      </c>
    </row>
    <row r="116" spans="1:16" ht="15.75" customHeight="1" x14ac:dyDescent="0.25">
      <c r="A116" s="239"/>
      <c r="B116" s="4" t="str">
        <f>IF('Option 1'!B116="","",'Option 1'!B116)</f>
        <v/>
      </c>
      <c r="C116" s="188" t="str">
        <f>IF('Option 1'!C116="","",'Option 1'!C116)</f>
        <v>Front Entry Railings (Bldgs. 1405, 1505, 1515, 1605, &amp; 1615)</v>
      </c>
      <c r="D116" s="186" t="str">
        <f>IF('Option 1'!D116="","",'Option 1'!D116)</f>
        <v/>
      </c>
      <c r="E116" s="184" t="str">
        <f>IF('Option 1'!E116="","",'Option 1'!E116)</f>
        <v/>
      </c>
      <c r="F116" s="184" t="str">
        <f>IF('Option 1'!F116="","",'Option 1'!F116)</f>
        <v/>
      </c>
      <c r="G116" s="184" t="str">
        <f>IF('Option 1'!G116="","",'Option 1'!G116)</f>
        <v/>
      </c>
      <c r="H116" s="184" t="str">
        <f>IF('Option 1'!H116="","",'Option 1'!H116)</f>
        <v/>
      </c>
      <c r="I116" s="184" t="str">
        <f>IF('Option 1'!I116="","",'Option 1'!I116)</f>
        <v/>
      </c>
      <c r="J116" s="184" t="str">
        <f>IF('Option 1'!J116="","",'Option 1'!J116)</f>
        <v/>
      </c>
      <c r="K116" s="184" t="str">
        <f>IF('Option 1'!K116="","",'Option 1'!K116)</f>
        <v/>
      </c>
      <c r="L116" s="184" t="str">
        <f>IF('Option 1'!L116="","",'Option 1'!L116)</f>
        <v/>
      </c>
      <c r="M116" s="184" t="str">
        <f>IF('Option 1'!M116="","",'Option 1'!M116)</f>
        <v/>
      </c>
      <c r="N116" s="184" t="str">
        <f>IF('Option 1'!N116="","",'Option 1'!N116)</f>
        <v/>
      </c>
      <c r="O116" s="184" t="str">
        <f>IF('Option 1'!O116="","",'Option 1'!O116)</f>
        <v/>
      </c>
      <c r="P116" s="124">
        <f t="shared" si="9"/>
        <v>0</v>
      </c>
    </row>
    <row r="117" spans="1:16" ht="15.75" customHeight="1" x14ac:dyDescent="0.25">
      <c r="A117" s="239"/>
      <c r="B117" s="4" t="str">
        <f>IF('Option 1'!B117="","",'Option 1'!B117)</f>
        <v/>
      </c>
      <c r="C117" s="188" t="str">
        <f>IF('Option 1'!C117="","",'Option 1'!C117)</f>
        <v>Front Entry Railings (Bldg. 1415)</v>
      </c>
      <c r="D117" s="186" t="str">
        <f>IF('Option 1'!D117="","",'Option 1'!D117)</f>
        <v/>
      </c>
      <c r="E117" s="184" t="str">
        <f>IF('Option 1'!E117="","",'Option 1'!E117)</f>
        <v/>
      </c>
      <c r="F117" s="184" t="str">
        <f>IF('Option 1'!F117="","",'Option 1'!F117)</f>
        <v/>
      </c>
      <c r="G117" s="184" t="str">
        <f>IF('Option 1'!G117="","",'Option 1'!G117)</f>
        <v/>
      </c>
      <c r="H117" s="184" t="str">
        <f>IF('Option 1'!H117="","",'Option 1'!H117)</f>
        <v/>
      </c>
      <c r="I117" s="184" t="str">
        <f>IF('Option 1'!I117="","",'Option 1'!I117)</f>
        <v/>
      </c>
      <c r="J117" s="184" t="str">
        <f>IF('Option 1'!J117="","",'Option 1'!J117)</f>
        <v/>
      </c>
      <c r="K117" s="184" t="str">
        <f>IF('Option 1'!K117="","",'Option 1'!K117)</f>
        <v/>
      </c>
      <c r="L117" s="184" t="str">
        <f>IF('Option 1'!L117="","",'Option 1'!L117)</f>
        <v/>
      </c>
      <c r="M117" s="184" t="str">
        <f>IF('Option 1'!M117="","",'Option 1'!M117)</f>
        <v/>
      </c>
      <c r="N117" s="184" t="str">
        <f>IF('Option 1'!N117="","",'Option 1'!N117)</f>
        <v/>
      </c>
      <c r="O117" s="184" t="str">
        <f>IF('Option 1'!O117="","",'Option 1'!O117)</f>
        <v/>
      </c>
      <c r="P117" s="124">
        <f t="shared" si="9"/>
        <v>0</v>
      </c>
    </row>
    <row r="118" spans="1:16" ht="15.75" customHeight="1" x14ac:dyDescent="0.25">
      <c r="A118" s="239"/>
      <c r="B118" s="4" t="str">
        <f>IF('Option 1'!B118="","",'Option 1'!B118)</f>
        <v/>
      </c>
      <c r="C118" s="188" t="str">
        <f>IF('Option 1'!C118="","",'Option 1'!C118)</f>
        <v>Sidewalk Hand Railings</v>
      </c>
      <c r="D118" s="186" t="str">
        <f>IF('Option 1'!D118="","",'Option 1'!D118)</f>
        <v/>
      </c>
      <c r="E118" s="184" t="str">
        <f>IF('Option 1'!E118="","",'Option 1'!E118)</f>
        <v/>
      </c>
      <c r="F118" s="184" t="str">
        <f>IF('Option 1'!F118="","",'Option 1'!F118)</f>
        <v/>
      </c>
      <c r="G118" s="184" t="str">
        <f>IF('Option 1'!G118="","",'Option 1'!G118)</f>
        <v/>
      </c>
      <c r="H118" s="184">
        <f>IF('Option 1'!H118="","",'Option 1'!H118)</f>
        <v>23339</v>
      </c>
      <c r="I118" s="184" t="str">
        <f>IF('Option 1'!I118="","",'Option 1'!I118)</f>
        <v/>
      </c>
      <c r="J118" s="184" t="str">
        <f>IF('Option 1'!J118="","",'Option 1'!J118)</f>
        <v/>
      </c>
      <c r="K118" s="184" t="str">
        <f>IF('Option 1'!K118="","",'Option 1'!K118)</f>
        <v/>
      </c>
      <c r="L118" s="184" t="str">
        <f>IF('Option 1'!L118="","",'Option 1'!L118)</f>
        <v/>
      </c>
      <c r="M118" s="184" t="str">
        <f>IF('Option 1'!M118="","",'Option 1'!M118)</f>
        <v/>
      </c>
      <c r="N118" s="184" t="str">
        <f>IF('Option 1'!N118="","",'Option 1'!N118)</f>
        <v/>
      </c>
      <c r="O118" s="184" t="str">
        <f>IF('Option 1'!O118="","",'Option 1'!O118)</f>
        <v/>
      </c>
      <c r="P118" s="124">
        <f t="shared" si="9"/>
        <v>23339</v>
      </c>
    </row>
    <row r="119" spans="1:16" ht="15.75" customHeight="1" x14ac:dyDescent="0.25">
      <c r="A119" s="239"/>
      <c r="B119" s="4" t="str">
        <f>IF('Option 1'!B119="","",'Option 1'!B119)</f>
        <v/>
      </c>
      <c r="C119" s="188" t="str">
        <f>IF('Option 1'!C119="","",'Option 1'!C119)</f>
        <v>Brick Tuckpointing (Bldg. 1405)</v>
      </c>
      <c r="D119" s="186" t="str">
        <f>IF('Option 1'!D119="","",'Option 1'!D119)</f>
        <v/>
      </c>
      <c r="E119" s="184" t="str">
        <f>IF('Option 1'!E119="","",'Option 1'!E119)</f>
        <v/>
      </c>
      <c r="F119" s="184" t="str">
        <f>IF('Option 1'!F119="","",'Option 1'!F119)</f>
        <v/>
      </c>
      <c r="G119" s="184" t="str">
        <f>IF('Option 1'!G119="","",'Option 1'!G119)</f>
        <v/>
      </c>
      <c r="H119" s="184" t="str">
        <f>IF('Option 1'!H119="","",'Option 1'!H119)</f>
        <v/>
      </c>
      <c r="I119" s="184" t="str">
        <f>IF('Option 1'!I119="","",'Option 1'!I119)</f>
        <v/>
      </c>
      <c r="J119" s="184" t="str">
        <f>IF('Option 1'!J119="","",'Option 1'!J119)</f>
        <v/>
      </c>
      <c r="K119" s="184" t="str">
        <f>IF('Option 1'!K119="","",'Option 1'!K119)</f>
        <v/>
      </c>
      <c r="L119" s="184">
        <f>IF('Option 1'!L119="","",'Option 1'!L119)</f>
        <v>132825</v>
      </c>
      <c r="M119" s="184" t="str">
        <f>IF('Option 1'!M119="","",'Option 1'!M119)</f>
        <v/>
      </c>
      <c r="N119" s="184" t="str">
        <f>IF('Option 1'!N119="","",'Option 1'!N119)</f>
        <v/>
      </c>
      <c r="O119" s="184" t="str">
        <f>IF('Option 1'!O119="","",'Option 1'!O119)</f>
        <v/>
      </c>
      <c r="P119" s="124">
        <f t="shared" si="9"/>
        <v>132825</v>
      </c>
    </row>
    <row r="120" spans="1:16" ht="15.75" customHeight="1" x14ac:dyDescent="0.25">
      <c r="A120" s="239"/>
      <c r="B120" s="4" t="str">
        <f>IF('Option 1'!B120="","",'Option 1'!B120)</f>
        <v/>
      </c>
      <c r="C120" s="188" t="str">
        <f>IF('Option 1'!C120="","",'Option 1'!C120)</f>
        <v>Brick Tuckpointing (Bldg. 1415)</v>
      </c>
      <c r="D120" s="186" t="str">
        <f>IF('Option 1'!D120="","",'Option 1'!D120)</f>
        <v/>
      </c>
      <c r="E120" s="184" t="str">
        <f>IF('Option 1'!E120="","",'Option 1'!E120)</f>
        <v/>
      </c>
      <c r="F120" s="184" t="str">
        <f>IF('Option 1'!F120="","",'Option 1'!F120)</f>
        <v/>
      </c>
      <c r="G120" s="184" t="str">
        <f>IF('Option 1'!G120="","",'Option 1'!G120)</f>
        <v/>
      </c>
      <c r="H120" s="184" t="str">
        <f>IF('Option 1'!H120="","",'Option 1'!H120)</f>
        <v/>
      </c>
      <c r="I120" s="184" t="str">
        <f>IF('Option 1'!I120="","",'Option 1'!I120)</f>
        <v/>
      </c>
      <c r="J120" s="184" t="str">
        <f>IF('Option 1'!J120="","",'Option 1'!J120)</f>
        <v/>
      </c>
      <c r="K120" s="184" t="str">
        <f>IF('Option 1'!K120="","",'Option 1'!K120)</f>
        <v/>
      </c>
      <c r="L120" s="184" t="str">
        <f>IF('Option 1'!L120="","",'Option 1'!L120)</f>
        <v/>
      </c>
      <c r="M120" s="184">
        <f>IF('Option 1'!M120="","",'Option 1'!M120)</f>
        <v>132825</v>
      </c>
      <c r="N120" s="184" t="str">
        <f>IF('Option 1'!N120="","",'Option 1'!N120)</f>
        <v/>
      </c>
      <c r="O120" s="184" t="str">
        <f>IF('Option 1'!O120="","",'Option 1'!O120)</f>
        <v/>
      </c>
      <c r="P120" s="124">
        <f t="shared" si="9"/>
        <v>132825</v>
      </c>
    </row>
    <row r="121" spans="1:16" ht="15.75" customHeight="1" x14ac:dyDescent="0.25">
      <c r="A121" s="239"/>
      <c r="B121" s="4" t="str">
        <f>IF('Option 1'!B121="","",'Option 1'!B121)</f>
        <v/>
      </c>
      <c r="C121" s="188" t="str">
        <f>IF('Option 1'!C121="","",'Option 1'!C121)</f>
        <v>Brick Tuckpointing (Bldg. 1505)</v>
      </c>
      <c r="D121" s="186" t="str">
        <f>IF('Option 1'!D121="","",'Option 1'!D121)</f>
        <v/>
      </c>
      <c r="E121" s="184" t="str">
        <f>IF('Option 1'!E121="","",'Option 1'!E121)</f>
        <v/>
      </c>
      <c r="F121" s="184" t="str">
        <f>IF('Option 1'!F121="","",'Option 1'!F121)</f>
        <v/>
      </c>
      <c r="G121" s="184" t="str">
        <f>IF('Option 1'!G121="","",'Option 1'!G121)</f>
        <v/>
      </c>
      <c r="H121" s="184" t="str">
        <f>IF('Option 1'!H121="","",'Option 1'!H121)</f>
        <v/>
      </c>
      <c r="I121" s="184" t="str">
        <f>IF('Option 1'!I121="","",'Option 1'!I121)</f>
        <v/>
      </c>
      <c r="J121" s="184" t="str">
        <f>IF('Option 1'!J121="","",'Option 1'!J121)</f>
        <v/>
      </c>
      <c r="K121" s="184" t="str">
        <f>IF('Option 1'!K121="","",'Option 1'!K121)</f>
        <v/>
      </c>
      <c r="L121" s="184" t="str">
        <f>IF('Option 1'!L121="","",'Option 1'!L121)</f>
        <v/>
      </c>
      <c r="M121" s="184" t="str">
        <f>IF('Option 1'!M121="","",'Option 1'!M121)</f>
        <v/>
      </c>
      <c r="N121" s="184">
        <f>IF('Option 1'!N121="","",'Option 1'!N121)</f>
        <v>132825</v>
      </c>
      <c r="O121" s="184" t="str">
        <f>IF('Option 1'!O121="","",'Option 1'!O121)</f>
        <v/>
      </c>
      <c r="P121" s="124">
        <f t="shared" si="9"/>
        <v>132825</v>
      </c>
    </row>
    <row r="122" spans="1:16" ht="15.75" customHeight="1" x14ac:dyDescent="0.25">
      <c r="A122" s="239"/>
      <c r="B122" s="4" t="str">
        <f>IF('Option 1'!B122="","",'Option 1'!B122)</f>
        <v/>
      </c>
      <c r="C122" s="188" t="str">
        <f>IF('Option 1'!C122="","",'Option 1'!C122)</f>
        <v>Brick Tuckpointing (Bldg. 1515)</v>
      </c>
      <c r="D122" s="186" t="str">
        <f>IF('Option 1'!D122="","",'Option 1'!D122)</f>
        <v/>
      </c>
      <c r="E122" s="184" t="str">
        <f>IF('Option 1'!E122="","",'Option 1'!E122)</f>
        <v/>
      </c>
      <c r="F122" s="184" t="str">
        <f>IF('Option 1'!F122="","",'Option 1'!F122)</f>
        <v/>
      </c>
      <c r="G122" s="184" t="str">
        <f>IF('Option 1'!G122="","",'Option 1'!G122)</f>
        <v/>
      </c>
      <c r="H122" s="184" t="str">
        <f>IF('Option 1'!H122="","",'Option 1'!H122)</f>
        <v/>
      </c>
      <c r="I122" s="184" t="str">
        <f>IF('Option 1'!I122="","",'Option 1'!I122)</f>
        <v/>
      </c>
      <c r="J122" s="184" t="str">
        <f>IF('Option 1'!J122="","",'Option 1'!J122)</f>
        <v/>
      </c>
      <c r="K122" s="184" t="str">
        <f>IF('Option 1'!K122="","",'Option 1'!K122)</f>
        <v/>
      </c>
      <c r="L122" s="184" t="str">
        <f>IF('Option 1'!L122="","",'Option 1'!L122)</f>
        <v/>
      </c>
      <c r="M122" s="184" t="str">
        <f>IF('Option 1'!M122="","",'Option 1'!M122)</f>
        <v/>
      </c>
      <c r="N122" s="184" t="str">
        <f>IF('Option 1'!N122="","",'Option 1'!N122)</f>
        <v/>
      </c>
      <c r="O122" s="184">
        <f>IF('Option 1'!O122="","",'Option 1'!O122)</f>
        <v>132825</v>
      </c>
      <c r="P122" s="124">
        <f t="shared" si="9"/>
        <v>132825</v>
      </c>
    </row>
    <row r="123" spans="1:16" ht="15.75" customHeight="1" x14ac:dyDescent="0.25">
      <c r="A123" s="239"/>
      <c r="B123" s="4" t="str">
        <f>IF('Option 1'!B123="","",'Option 1'!B123)</f>
        <v/>
      </c>
      <c r="C123" s="188" t="str">
        <f>IF('Option 1'!C123="","",'Option 1'!C123)</f>
        <v>Brick Tuckpointing (Bldg. 1605)</v>
      </c>
      <c r="D123" s="186" t="str">
        <f>IF('Option 1'!D123="","",'Option 1'!D123)</f>
        <v/>
      </c>
      <c r="E123" s="184" t="str">
        <f>IF('Option 1'!E123="","",'Option 1'!E123)</f>
        <v/>
      </c>
      <c r="F123" s="184" t="str">
        <f>IF('Option 1'!F123="","",'Option 1'!F123)</f>
        <v/>
      </c>
      <c r="G123" s="184" t="str">
        <f>IF('Option 1'!G123="","",'Option 1'!G123)</f>
        <v/>
      </c>
      <c r="H123" s="184" t="str">
        <f>IF('Option 1'!H123="","",'Option 1'!H123)</f>
        <v/>
      </c>
      <c r="I123" s="184" t="str">
        <f>IF('Option 1'!I123="","",'Option 1'!I123)</f>
        <v/>
      </c>
      <c r="J123" s="184" t="str">
        <f>IF('Option 1'!J123="","",'Option 1'!J123)</f>
        <v/>
      </c>
      <c r="K123" s="184" t="str">
        <f>IF('Option 1'!K123="","",'Option 1'!K123)</f>
        <v/>
      </c>
      <c r="L123" s="184" t="str">
        <f>IF('Option 1'!L123="","",'Option 1'!L123)</f>
        <v/>
      </c>
      <c r="M123" s="184" t="str">
        <f>IF('Option 1'!M123="","",'Option 1'!M123)</f>
        <v/>
      </c>
      <c r="N123" s="184" t="str">
        <f>IF('Option 1'!N123="","",'Option 1'!N123)</f>
        <v/>
      </c>
      <c r="O123" s="184" t="str">
        <f>IF('Option 1'!O123="","",'Option 1'!O123)</f>
        <v/>
      </c>
      <c r="P123" s="124">
        <f t="shared" si="9"/>
        <v>0</v>
      </c>
    </row>
    <row r="124" spans="1:16" ht="15.75" customHeight="1" x14ac:dyDescent="0.25">
      <c r="A124" s="239"/>
      <c r="B124" s="4" t="str">
        <f>IF('Option 1'!B124="","",'Option 1'!B124)</f>
        <v/>
      </c>
      <c r="C124" s="188" t="str">
        <f>IF('Option 1'!C124="","",'Option 1'!C124)</f>
        <v>Brick Tuckpointing (Bldg. 1615)</v>
      </c>
      <c r="D124" s="186" t="str">
        <f>IF('Option 1'!D124="","",'Option 1'!D124)</f>
        <v/>
      </c>
      <c r="E124" s="184" t="str">
        <f>IF('Option 1'!E124="","",'Option 1'!E124)</f>
        <v/>
      </c>
      <c r="F124" s="184" t="str">
        <f>IF('Option 1'!F124="","",'Option 1'!F124)</f>
        <v/>
      </c>
      <c r="G124" s="184" t="str">
        <f>IF('Option 1'!G124="","",'Option 1'!G124)</f>
        <v/>
      </c>
      <c r="H124" s="184" t="str">
        <f>IF('Option 1'!H124="","",'Option 1'!H124)</f>
        <v/>
      </c>
      <c r="I124" s="184" t="str">
        <f>IF('Option 1'!I124="","",'Option 1'!I124)</f>
        <v/>
      </c>
      <c r="J124" s="184" t="str">
        <f>IF('Option 1'!J124="","",'Option 1'!J124)</f>
        <v/>
      </c>
      <c r="K124" s="184" t="str">
        <f>IF('Option 1'!K124="","",'Option 1'!K124)</f>
        <v/>
      </c>
      <c r="L124" s="184" t="str">
        <f>IF('Option 1'!L124="","",'Option 1'!L124)</f>
        <v/>
      </c>
      <c r="M124" s="184" t="str">
        <f>IF('Option 1'!M124="","",'Option 1'!M124)</f>
        <v/>
      </c>
      <c r="N124" s="184" t="str">
        <f>IF('Option 1'!N124="","",'Option 1'!N124)</f>
        <v/>
      </c>
      <c r="O124" s="184" t="str">
        <f>IF('Option 1'!O124="","",'Option 1'!O124)</f>
        <v/>
      </c>
      <c r="P124" s="124">
        <f t="shared" si="9"/>
        <v>0</v>
      </c>
    </row>
    <row r="125" spans="1:16" ht="15.75" customHeight="1" x14ac:dyDescent="0.25">
      <c r="A125" s="239"/>
      <c r="B125" s="4" t="str">
        <f>IF('Option 1'!B125="","",'Option 1'!B125)</f>
        <v/>
      </c>
      <c r="C125" s="188" t="str">
        <f>IF('Option 1'!C125="","",'Option 1'!C125)</f>
        <v>Window Caulking</v>
      </c>
      <c r="D125" s="186" t="str">
        <f>IF('Option 1'!D125="","",'Option 1'!D125)</f>
        <v/>
      </c>
      <c r="E125" s="184" t="str">
        <f>IF('Option 1'!E125="","",'Option 1'!E125)</f>
        <v/>
      </c>
      <c r="F125" s="184" t="str">
        <f>IF('Option 1'!F125="","",'Option 1'!F125)</f>
        <v/>
      </c>
      <c r="G125" s="184" t="str">
        <f>IF('Option 1'!G125="","",'Option 1'!G125)</f>
        <v/>
      </c>
      <c r="H125" s="184" t="str">
        <f>IF('Option 1'!H125="","",'Option 1'!H125)</f>
        <v/>
      </c>
      <c r="I125" s="184" t="str">
        <f>IF('Option 1'!I125="","",'Option 1'!I125)</f>
        <v/>
      </c>
      <c r="J125" s="184" t="str">
        <f>IF('Option 1'!J125="","",'Option 1'!J125)</f>
        <v/>
      </c>
      <c r="K125" s="184" t="str">
        <f>IF('Option 1'!K125="","",'Option 1'!K125)</f>
        <v/>
      </c>
      <c r="L125" s="184" t="str">
        <f>IF('Option 1'!L125="","",'Option 1'!L125)</f>
        <v/>
      </c>
      <c r="M125" s="184" t="str">
        <f>IF('Option 1'!M125="","",'Option 1'!M125)</f>
        <v/>
      </c>
      <c r="N125" s="184" t="str">
        <f>IF('Option 1'!N125="","",'Option 1'!N125)</f>
        <v/>
      </c>
      <c r="O125" s="184">
        <f>IF('Option 1'!O125="","",'Option 1'!O125)</f>
        <v>101092</v>
      </c>
      <c r="P125" s="124">
        <f t="shared" si="9"/>
        <v>101092</v>
      </c>
    </row>
    <row r="126" spans="1:16" ht="15.75" customHeight="1" x14ac:dyDescent="0.25">
      <c r="A126" s="239"/>
      <c r="B126" s="4" t="str">
        <f>IF('Option 1'!B126="","",'Option 1'!B126)</f>
        <v/>
      </c>
      <c r="C126" s="188" t="str">
        <f>IF('Option 1'!C126="","",'Option 1'!C126)</f>
        <v>Dryvent (Clubhouse)</v>
      </c>
      <c r="D126" s="186" t="str">
        <f>IF('Option 1'!D126="","",'Option 1'!D126)</f>
        <v/>
      </c>
      <c r="E126" s="184" t="str">
        <f>IF('Option 1'!E126="","",'Option 1'!E126)</f>
        <v/>
      </c>
      <c r="F126" s="184" t="str">
        <f>IF('Option 1'!F126="","",'Option 1'!F126)</f>
        <v/>
      </c>
      <c r="G126" s="184" t="str">
        <f>IF('Option 1'!G126="","",'Option 1'!G126)</f>
        <v/>
      </c>
      <c r="H126" s="184" t="str">
        <f>IF('Option 1'!H126="","",'Option 1'!H126)</f>
        <v/>
      </c>
      <c r="I126" s="184" t="str">
        <f>IF('Option 1'!I126="","",'Option 1'!I126)</f>
        <v/>
      </c>
      <c r="J126" s="184" t="str">
        <f>IF('Option 1'!J126="","",'Option 1'!J126)</f>
        <v/>
      </c>
      <c r="K126" s="184" t="str">
        <f>IF('Option 1'!K126="","",'Option 1'!K126)</f>
        <v/>
      </c>
      <c r="L126" s="184" t="str">
        <f>IF('Option 1'!L126="","",'Option 1'!L126)</f>
        <v/>
      </c>
      <c r="M126" s="184" t="str">
        <f>IF('Option 1'!M126="","",'Option 1'!M126)</f>
        <v/>
      </c>
      <c r="N126" s="184" t="str">
        <f>IF('Option 1'!N126="","",'Option 1'!N126)</f>
        <v/>
      </c>
      <c r="O126" s="184" t="str">
        <f>IF('Option 1'!O126="","",'Option 1'!O126)</f>
        <v/>
      </c>
      <c r="P126" s="124">
        <f t="shared" si="9"/>
        <v>0</v>
      </c>
    </row>
    <row r="127" spans="1:16" ht="15.75" customHeight="1" x14ac:dyDescent="0.25">
      <c r="A127" s="239"/>
      <c r="B127" s="4" t="str">
        <f>IF('Option 1'!B127="","",'Option 1'!B127)</f>
        <v/>
      </c>
      <c r="C127" s="188" t="str">
        <f>IF('Option 1'!C127="","",'Option 1'!C127)</f>
        <v>Windows (Clubhouse)</v>
      </c>
      <c r="D127" s="186" t="str">
        <f>IF('Option 1'!D127="","",'Option 1'!D127)</f>
        <v/>
      </c>
      <c r="E127" s="184" t="str">
        <f>IF('Option 1'!E127="","",'Option 1'!E127)</f>
        <v/>
      </c>
      <c r="F127" s="184" t="str">
        <f>IF('Option 1'!F127="","",'Option 1'!F127)</f>
        <v/>
      </c>
      <c r="G127" s="184" t="str">
        <f>IF('Option 1'!G127="","",'Option 1'!G127)</f>
        <v/>
      </c>
      <c r="H127" s="184" t="str">
        <f>IF('Option 1'!H127="","",'Option 1'!H127)</f>
        <v/>
      </c>
      <c r="I127" s="184" t="str">
        <f>IF('Option 1'!I127="","",'Option 1'!I127)</f>
        <v/>
      </c>
      <c r="J127" s="184" t="str">
        <f>IF('Option 1'!J127="","",'Option 1'!J127)</f>
        <v/>
      </c>
      <c r="K127" s="184" t="str">
        <f>IF('Option 1'!K127="","",'Option 1'!K127)</f>
        <v/>
      </c>
      <c r="L127" s="184" t="str">
        <f>IF('Option 1'!L127="","",'Option 1'!L127)</f>
        <v/>
      </c>
      <c r="M127" s="184" t="str">
        <f>IF('Option 1'!M127="","",'Option 1'!M127)</f>
        <v/>
      </c>
      <c r="N127" s="184" t="str">
        <f>IF('Option 1'!N127="","",'Option 1'!N127)</f>
        <v/>
      </c>
      <c r="O127" s="184" t="str">
        <f>IF('Option 1'!O127="","",'Option 1'!O127)</f>
        <v/>
      </c>
      <c r="P127" s="124">
        <f t="shared" si="9"/>
        <v>0</v>
      </c>
    </row>
    <row r="128" spans="1:16" ht="15.75" customHeight="1" x14ac:dyDescent="0.25">
      <c r="A128" s="239"/>
      <c r="B128" s="4" t="str">
        <f>IF('Option 1'!B128="","",'Option 1'!B128)</f>
        <v/>
      </c>
      <c r="C128" s="188" t="str">
        <f>IF('Option 1'!C128="","",'Option 1'!C128)</f>
        <v>Patio Doors (Clubhouse)</v>
      </c>
      <c r="D128" s="186" t="str">
        <f>IF('Option 1'!D128="","",'Option 1'!D128)</f>
        <v/>
      </c>
      <c r="E128" s="184" t="str">
        <f>IF('Option 1'!E128="","",'Option 1'!E128)</f>
        <v/>
      </c>
      <c r="F128" s="184" t="str">
        <f>IF('Option 1'!F128="","",'Option 1'!F128)</f>
        <v/>
      </c>
      <c r="G128" s="184" t="str">
        <f>IF('Option 1'!G128="","",'Option 1'!G128)</f>
        <v/>
      </c>
      <c r="H128" s="184" t="str">
        <f>IF('Option 1'!H128="","",'Option 1'!H128)</f>
        <v/>
      </c>
      <c r="I128" s="184" t="str">
        <f>IF('Option 1'!I128="","",'Option 1'!I128)</f>
        <v/>
      </c>
      <c r="J128" s="184" t="str">
        <f>IF('Option 1'!J128="","",'Option 1'!J128)</f>
        <v/>
      </c>
      <c r="K128" s="184">
        <f>IF('Option 1'!K128="","",'Option 1'!K128)</f>
        <v>17298</v>
      </c>
      <c r="L128" s="184" t="str">
        <f>IF('Option 1'!L128="","",'Option 1'!L128)</f>
        <v/>
      </c>
      <c r="M128" s="184" t="str">
        <f>IF('Option 1'!M128="","",'Option 1'!M128)</f>
        <v/>
      </c>
      <c r="N128" s="184" t="str">
        <f>IF('Option 1'!N128="","",'Option 1'!N128)</f>
        <v/>
      </c>
      <c r="O128" s="184" t="str">
        <f>IF('Option 1'!O128="","",'Option 1'!O128)</f>
        <v/>
      </c>
      <c r="P128" s="124">
        <f t="shared" si="9"/>
        <v>17298</v>
      </c>
    </row>
    <row r="129" spans="1:16" ht="15.75" customHeight="1" x14ac:dyDescent="0.25">
      <c r="A129" s="239"/>
      <c r="B129" s="4" t="str">
        <f>IF('Option 1'!B129="","",'Option 1'!B129)</f>
        <v/>
      </c>
      <c r="C129" s="188" t="str">
        <f>IF('Option 1'!C129="","",'Option 1'!C129)</f>
        <v>Window Wall (Clubhouse)</v>
      </c>
      <c r="D129" s="186" t="str">
        <f>IF('Option 1'!D129="","",'Option 1'!D129)</f>
        <v/>
      </c>
      <c r="E129" s="184" t="str">
        <f>IF('Option 1'!E129="","",'Option 1'!E129)</f>
        <v/>
      </c>
      <c r="F129" s="184" t="str">
        <f>IF('Option 1'!F129="","",'Option 1'!F129)</f>
        <v/>
      </c>
      <c r="G129" s="184" t="str">
        <f>IF('Option 1'!G129="","",'Option 1'!G129)</f>
        <v/>
      </c>
      <c r="H129" s="184" t="str">
        <f>IF('Option 1'!H129="","",'Option 1'!H129)</f>
        <v/>
      </c>
      <c r="I129" s="184" t="str">
        <f>IF('Option 1'!I129="","",'Option 1'!I129)</f>
        <v/>
      </c>
      <c r="J129" s="184" t="str">
        <f>IF('Option 1'!J129="","",'Option 1'!J129)</f>
        <v/>
      </c>
      <c r="K129" s="184" t="str">
        <f>IF('Option 1'!K129="","",'Option 1'!K129)</f>
        <v/>
      </c>
      <c r="L129" s="184">
        <f>IF('Option 1'!L129="","",'Option 1'!L129)</f>
        <v>11071</v>
      </c>
      <c r="M129" s="184" t="str">
        <f>IF('Option 1'!M129="","",'Option 1'!M129)</f>
        <v/>
      </c>
      <c r="N129" s="184" t="str">
        <f>IF('Option 1'!N129="","",'Option 1'!N129)</f>
        <v/>
      </c>
      <c r="O129" s="184" t="str">
        <f>IF('Option 1'!O129="","",'Option 1'!O129)</f>
        <v/>
      </c>
      <c r="P129" s="124">
        <f t="shared" si="9"/>
        <v>11071</v>
      </c>
    </row>
    <row r="130" spans="1:16" ht="15.75" customHeight="1" x14ac:dyDescent="0.25">
      <c r="A130" s="239"/>
      <c r="B130" s="4" t="str">
        <f>IF('Option 1'!B130="","",'Option 1'!B130)</f>
        <v/>
      </c>
      <c r="C130" s="188" t="str">
        <f>IF('Option 1'!C130="","",'Option 1'!C130)</f>
        <v>Window Wall (Bldgs. 1415, 1515, 1605, 1615)</v>
      </c>
      <c r="D130" s="186" t="str">
        <f>IF('Option 1'!D130="","",'Option 1'!D130)</f>
        <v/>
      </c>
      <c r="E130" s="184" t="str">
        <f>IF('Option 1'!E130="","",'Option 1'!E130)</f>
        <v/>
      </c>
      <c r="F130" s="184" t="str">
        <f>IF('Option 1'!F130="","",'Option 1'!F130)</f>
        <v/>
      </c>
      <c r="G130" s="184" t="str">
        <f>IF('Option 1'!G130="","",'Option 1'!G130)</f>
        <v/>
      </c>
      <c r="H130" s="184" t="str">
        <f>IF('Option 1'!H130="","",'Option 1'!H130)</f>
        <v/>
      </c>
      <c r="I130" s="184" t="str">
        <f>IF('Option 1'!I130="","",'Option 1'!I130)</f>
        <v/>
      </c>
      <c r="J130" s="184" t="str">
        <f>IF('Option 1'!J130="","",'Option 1'!J130)</f>
        <v/>
      </c>
      <c r="K130" s="184" t="str">
        <f>IF('Option 1'!K130="","",'Option 1'!K130)</f>
        <v/>
      </c>
      <c r="L130" s="184" t="str">
        <f>IF('Option 1'!L130="","",'Option 1'!L130)</f>
        <v/>
      </c>
      <c r="M130" s="184" t="str">
        <f>IF('Option 1'!M130="","",'Option 1'!M130)</f>
        <v/>
      </c>
      <c r="N130" s="184" t="str">
        <f>IF('Option 1'!N130="","",'Option 1'!N130)</f>
        <v/>
      </c>
      <c r="O130" s="184" t="str">
        <f>IF('Option 1'!O130="","",'Option 1'!O130)</f>
        <v/>
      </c>
      <c r="P130" s="124">
        <f t="shared" si="9"/>
        <v>0</v>
      </c>
    </row>
    <row r="131" spans="1:16" ht="15.75" customHeight="1" x14ac:dyDescent="0.25">
      <c r="A131" s="239"/>
      <c r="B131" s="4" t="str">
        <f>IF('Option 1'!B131="","",'Option 1'!B131)</f>
        <v/>
      </c>
      <c r="C131" s="188" t="str">
        <f>IF('Option 1'!C131="","",'Option 1'!C131)</f>
        <v>Window Wall (Bldg. 1505)</v>
      </c>
      <c r="D131" s="186" t="str">
        <f>IF('Option 1'!D131="","",'Option 1'!D131)</f>
        <v/>
      </c>
      <c r="E131" s="184" t="str">
        <f>IF('Option 1'!E131="","",'Option 1'!E131)</f>
        <v/>
      </c>
      <c r="F131" s="184" t="str">
        <f>IF('Option 1'!F131="","",'Option 1'!F131)</f>
        <v/>
      </c>
      <c r="G131" s="184" t="str">
        <f>IF('Option 1'!G131="","",'Option 1'!G131)</f>
        <v/>
      </c>
      <c r="H131" s="184" t="str">
        <f>IF('Option 1'!H131="","",'Option 1'!H131)</f>
        <v/>
      </c>
      <c r="I131" s="184" t="str">
        <f>IF('Option 1'!I131="","",'Option 1'!I131)</f>
        <v/>
      </c>
      <c r="J131" s="184" t="str">
        <f>IF('Option 1'!J131="","",'Option 1'!J131)</f>
        <v/>
      </c>
      <c r="K131" s="184" t="str">
        <f>IF('Option 1'!K131="","",'Option 1'!K131)</f>
        <v/>
      </c>
      <c r="L131" s="184" t="str">
        <f>IF('Option 1'!L131="","",'Option 1'!L131)</f>
        <v/>
      </c>
      <c r="M131" s="184" t="str">
        <f>IF('Option 1'!M131="","",'Option 1'!M131)</f>
        <v/>
      </c>
      <c r="N131" s="184" t="str">
        <f>IF('Option 1'!N131="","",'Option 1'!N131)</f>
        <v/>
      </c>
      <c r="O131" s="184" t="str">
        <f>IF('Option 1'!O131="","",'Option 1'!O131)</f>
        <v/>
      </c>
      <c r="P131" s="124">
        <f t="shared" si="9"/>
        <v>0</v>
      </c>
    </row>
    <row r="132" spans="1:16" ht="15.75" customHeight="1" x14ac:dyDescent="0.25">
      <c r="A132" s="239"/>
      <c r="B132" s="4" t="str">
        <f>IF('Option 1'!B132="","",'Option 1'!B132)</f>
        <v/>
      </c>
      <c r="C132" s="188" t="str">
        <f>IF('Option 1'!C132="","",'Option 1'!C132)</f>
        <v>Window Wall (Bldg. 1405)</v>
      </c>
      <c r="D132" s="186" t="str">
        <f>IF('Option 1'!D132="","",'Option 1'!D132)</f>
        <v/>
      </c>
      <c r="E132" s="184" t="str">
        <f>IF('Option 1'!E132="","",'Option 1'!E132)</f>
        <v/>
      </c>
      <c r="F132" s="184" t="str">
        <f>IF('Option 1'!F132="","",'Option 1'!F132)</f>
        <v/>
      </c>
      <c r="G132" s="184" t="str">
        <f>IF('Option 1'!G132="","",'Option 1'!G132)</f>
        <v/>
      </c>
      <c r="H132" s="184" t="str">
        <f>IF('Option 1'!H132="","",'Option 1'!H132)</f>
        <v/>
      </c>
      <c r="I132" s="184" t="str">
        <f>IF('Option 1'!I132="","",'Option 1'!I132)</f>
        <v/>
      </c>
      <c r="J132" s="184" t="str">
        <f>IF('Option 1'!J132="","",'Option 1'!J132)</f>
        <v/>
      </c>
      <c r="K132" s="184" t="str">
        <f>IF('Option 1'!K132="","",'Option 1'!K132)</f>
        <v/>
      </c>
      <c r="L132" s="184" t="str">
        <f>IF('Option 1'!L132="","",'Option 1'!L132)</f>
        <v/>
      </c>
      <c r="M132" s="184" t="str">
        <f>IF('Option 1'!M132="","",'Option 1'!M132)</f>
        <v/>
      </c>
      <c r="N132" s="184" t="str">
        <f>IF('Option 1'!N132="","",'Option 1'!N132)</f>
        <v/>
      </c>
      <c r="O132" s="184" t="str">
        <f>IF('Option 1'!O132="","",'Option 1'!O132)</f>
        <v/>
      </c>
      <c r="P132" s="124">
        <f t="shared" si="9"/>
        <v>0</v>
      </c>
    </row>
    <row r="133" spans="1:16" ht="15.75" customHeight="1" x14ac:dyDescent="0.25">
      <c r="A133" s="239"/>
      <c r="B133" s="4" t="str">
        <f>IF('Option 1'!B133="","",'Option 1'!B133)</f>
        <v/>
      </c>
      <c r="C133" s="188" t="str">
        <f>IF('Option 1'!C133="","",'Option 1'!C133)</f>
        <v>Exterior Metal Doors (Clubhouse)</v>
      </c>
      <c r="D133" s="186" t="str">
        <f>IF('Option 1'!D133="","",'Option 1'!D133)</f>
        <v/>
      </c>
      <c r="E133" s="184" t="str">
        <f>IF('Option 1'!E133="","",'Option 1'!E133)</f>
        <v/>
      </c>
      <c r="F133" s="184">
        <f>IF('Option 1'!F133="","",'Option 1'!F133)</f>
        <v>4152</v>
      </c>
      <c r="G133" s="184" t="str">
        <f>IF('Option 1'!G133="","",'Option 1'!G133)</f>
        <v/>
      </c>
      <c r="H133" s="184" t="str">
        <f>IF('Option 1'!H133="","",'Option 1'!H133)</f>
        <v/>
      </c>
      <c r="I133" s="184" t="str">
        <f>IF('Option 1'!I133="","",'Option 1'!I133)</f>
        <v/>
      </c>
      <c r="J133" s="184" t="str">
        <f>IF('Option 1'!J133="","",'Option 1'!J133)</f>
        <v/>
      </c>
      <c r="K133" s="184" t="str">
        <f>IF('Option 1'!K133="","",'Option 1'!K133)</f>
        <v/>
      </c>
      <c r="L133" s="184" t="str">
        <f>IF('Option 1'!L133="","",'Option 1'!L133)</f>
        <v/>
      </c>
      <c r="M133" s="184" t="str">
        <f>IF('Option 1'!M133="","",'Option 1'!M133)</f>
        <v/>
      </c>
      <c r="N133" s="184" t="str">
        <f>IF('Option 1'!N133="","",'Option 1'!N133)</f>
        <v/>
      </c>
      <c r="O133" s="184" t="str">
        <f>IF('Option 1'!O133="","",'Option 1'!O133)</f>
        <v/>
      </c>
      <c r="P133" s="124">
        <f t="shared" si="9"/>
        <v>4152</v>
      </c>
    </row>
    <row r="134" spans="1:16" ht="15.75" customHeight="1" x14ac:dyDescent="0.25">
      <c r="A134" s="239"/>
      <c r="B134" s="4" t="str">
        <f>IF('Option 1'!B134="","",'Option 1'!B134)</f>
        <v/>
      </c>
      <c r="C134" s="188" t="str">
        <f>IF('Option 1'!C134="","",'Option 1'!C134)</f>
        <v>Patio Fence Gate (Clubhouse)</v>
      </c>
      <c r="D134" s="186" t="str">
        <f>IF('Option 1'!D134="","",'Option 1'!D134)</f>
        <v/>
      </c>
      <c r="E134" s="184" t="str">
        <f>IF('Option 1'!E134="","",'Option 1'!E134)</f>
        <v/>
      </c>
      <c r="F134" s="184" t="str">
        <f>IF('Option 1'!F134="","",'Option 1'!F134)</f>
        <v/>
      </c>
      <c r="G134" s="184" t="str">
        <f>IF('Option 1'!G134="","",'Option 1'!G134)</f>
        <v/>
      </c>
      <c r="H134" s="184" t="str">
        <f>IF('Option 1'!H134="","",'Option 1'!H134)</f>
        <v/>
      </c>
      <c r="I134" s="184" t="str">
        <f>IF('Option 1'!I134="","",'Option 1'!I134)</f>
        <v/>
      </c>
      <c r="J134" s="184" t="str">
        <f>IF('Option 1'!J134="","",'Option 1'!J134)</f>
        <v/>
      </c>
      <c r="K134" s="184" t="str">
        <f>IF('Option 1'!K134="","",'Option 1'!K134)</f>
        <v/>
      </c>
      <c r="L134" s="184" t="str">
        <f>IF('Option 1'!L134="","",'Option 1'!L134)</f>
        <v/>
      </c>
      <c r="M134" s="184" t="str">
        <f>IF('Option 1'!M134="","",'Option 1'!M134)</f>
        <v/>
      </c>
      <c r="N134" s="184" t="str">
        <f>IF('Option 1'!N134="","",'Option 1'!N134)</f>
        <v/>
      </c>
      <c r="O134" s="184" t="str">
        <f>IF('Option 1'!O134="","",'Option 1'!O134)</f>
        <v/>
      </c>
      <c r="P134" s="124">
        <f t="shared" si="9"/>
        <v>0</v>
      </c>
    </row>
    <row r="135" spans="1:16" ht="15.75" customHeight="1" x14ac:dyDescent="0.25">
      <c r="A135" s="239"/>
      <c r="B135" s="4" t="str">
        <f>IF('Option 1'!B135="","",'Option 1'!B135)</f>
        <v/>
      </c>
      <c r="C135" s="188" t="str">
        <f>IF('Option 1'!C135="","",'Option 1'!C135)</f>
        <v>Trellis and Columns</v>
      </c>
      <c r="D135" s="186" t="str">
        <f>IF('Option 1'!D135="","",'Option 1'!D135)</f>
        <v/>
      </c>
      <c r="E135" s="184" t="str">
        <f>IF('Option 1'!E135="","",'Option 1'!E135)</f>
        <v/>
      </c>
      <c r="F135" s="184" t="str">
        <f>IF('Option 1'!F135="","",'Option 1'!F135)</f>
        <v/>
      </c>
      <c r="G135" s="184" t="str">
        <f>IF('Option 1'!G135="","",'Option 1'!G135)</f>
        <v/>
      </c>
      <c r="H135" s="184" t="str">
        <f>IF('Option 1'!H135="","",'Option 1'!H135)</f>
        <v/>
      </c>
      <c r="I135" s="184" t="str">
        <f>IF('Option 1'!I135="","",'Option 1'!I135)</f>
        <v/>
      </c>
      <c r="J135" s="184" t="str">
        <f>IF('Option 1'!J135="","",'Option 1'!J135)</f>
        <v/>
      </c>
      <c r="K135" s="184" t="str">
        <f>IF('Option 1'!K135="","",'Option 1'!K135)</f>
        <v/>
      </c>
      <c r="L135" s="184" t="str">
        <f>IF('Option 1'!L135="","",'Option 1'!L135)</f>
        <v/>
      </c>
      <c r="M135" s="184" t="str">
        <f>IF('Option 1'!M135="","",'Option 1'!M135)</f>
        <v/>
      </c>
      <c r="N135" s="184" t="str">
        <f>IF('Option 1'!N135="","",'Option 1'!N135)</f>
        <v/>
      </c>
      <c r="O135" s="184" t="str">
        <f>IF('Option 1'!O135="","",'Option 1'!O135)</f>
        <v/>
      </c>
      <c r="P135" s="124">
        <f t="shared" si="9"/>
        <v>0</v>
      </c>
    </row>
    <row r="136" spans="1:16" ht="15.75" customHeight="1" x14ac:dyDescent="0.25">
      <c r="A136" s="239"/>
      <c r="B136" s="4" t="str">
        <f>IF('Option 1'!B136="","",'Option 1'!B136)</f>
        <v/>
      </c>
      <c r="C136" s="188" t="str">
        <f>IF('Option 1'!C136="","",'Option 1'!C136)</f>
        <v>Precast Concrete Planters</v>
      </c>
      <c r="D136" s="186" t="str">
        <f>IF('Option 1'!D136="","",'Option 1'!D136)</f>
        <v/>
      </c>
      <c r="E136" s="184">
        <f>IF('Option 1'!E136="","",'Option 1'!E136)</f>
        <v>3875</v>
      </c>
      <c r="F136" s="184" t="str">
        <f>IF('Option 1'!F136="","",'Option 1'!F136)</f>
        <v/>
      </c>
      <c r="G136" s="184" t="str">
        <f>IF('Option 1'!G136="","",'Option 1'!G136)</f>
        <v/>
      </c>
      <c r="H136" s="184" t="str">
        <f>IF('Option 1'!H136="","",'Option 1'!H136)</f>
        <v/>
      </c>
      <c r="I136" s="184" t="str">
        <f>IF('Option 1'!I136="","",'Option 1'!I136)</f>
        <v/>
      </c>
      <c r="J136" s="184" t="str">
        <f>IF('Option 1'!J136="","",'Option 1'!J136)</f>
        <v/>
      </c>
      <c r="K136" s="184" t="str">
        <f>IF('Option 1'!K136="","",'Option 1'!K136)</f>
        <v/>
      </c>
      <c r="L136" s="184" t="str">
        <f>IF('Option 1'!L136="","",'Option 1'!L136)</f>
        <v/>
      </c>
      <c r="M136" s="184" t="str">
        <f>IF('Option 1'!M136="","",'Option 1'!M136)</f>
        <v/>
      </c>
      <c r="N136" s="184" t="str">
        <f>IF('Option 1'!N136="","",'Option 1'!N136)</f>
        <v/>
      </c>
      <c r="O136" s="184" t="str">
        <f>IF('Option 1'!O136="","",'Option 1'!O136)</f>
        <v/>
      </c>
      <c r="P136" s="124">
        <f t="shared" si="9"/>
        <v>3875</v>
      </c>
    </row>
    <row r="137" spans="1:16" ht="15.75" customHeight="1" x14ac:dyDescent="0.25">
      <c r="A137" s="239"/>
      <c r="B137" s="4" t="str">
        <f>IF('Option 1'!B137="","",'Option 1'!B137)</f>
        <v/>
      </c>
      <c r="C137" s="188" t="str">
        <f>IF('Option 1'!C137="","",'Option 1'!C137)</f>
        <v>Precast Concrete Catwalks</v>
      </c>
      <c r="D137" s="186" t="str">
        <f>IF('Option 1'!D137="","",'Option 1'!D137)</f>
        <v/>
      </c>
      <c r="E137" s="184" t="str">
        <f>IF('Option 1'!E137="","",'Option 1'!E137)</f>
        <v/>
      </c>
      <c r="F137" s="184" t="str">
        <f>IF('Option 1'!F137="","",'Option 1'!F137)</f>
        <v/>
      </c>
      <c r="G137" s="184" t="str">
        <f>IF('Option 1'!G137="","",'Option 1'!G137)</f>
        <v/>
      </c>
      <c r="H137" s="184" t="str">
        <f>IF('Option 1'!H137="","",'Option 1'!H137)</f>
        <v/>
      </c>
      <c r="I137" s="184" t="str">
        <f>IF('Option 1'!I137="","",'Option 1'!I137)</f>
        <v/>
      </c>
      <c r="J137" s="184" t="str">
        <f>IF('Option 1'!J137="","",'Option 1'!J137)</f>
        <v/>
      </c>
      <c r="K137" s="184" t="str">
        <f>IF('Option 1'!K137="","",'Option 1'!K137)</f>
        <v/>
      </c>
      <c r="L137" s="184" t="str">
        <f>IF('Option 1'!L137="","",'Option 1'!L137)</f>
        <v/>
      </c>
      <c r="M137" s="184" t="str">
        <f>IF('Option 1'!M137="","",'Option 1'!M137)</f>
        <v/>
      </c>
      <c r="N137" s="184" t="str">
        <f>IF('Option 1'!N137="","",'Option 1'!N137)</f>
        <v/>
      </c>
      <c r="O137" s="184" t="str">
        <f>IF('Option 1'!O137="","",'Option 1'!O137)</f>
        <v/>
      </c>
      <c r="P137" s="124">
        <f t="shared" si="9"/>
        <v>0</v>
      </c>
    </row>
    <row r="138" spans="1:16" ht="15.75" customHeight="1" x14ac:dyDescent="0.25">
      <c r="A138" s="239"/>
      <c r="B138" s="4" t="str">
        <f>IF('Option 1'!B138="","",'Option 1'!B138)</f>
        <v/>
      </c>
      <c r="C138" s="188" t="str">
        <f>IF('Option 1'!C138="","",'Option 1'!C138)</f>
        <v>Catwalk Railings</v>
      </c>
      <c r="D138" s="186" t="str">
        <f>IF('Option 1'!D138="","",'Option 1'!D138)</f>
        <v/>
      </c>
      <c r="E138" s="184" t="str">
        <f>IF('Option 1'!E138="","",'Option 1'!E138)</f>
        <v/>
      </c>
      <c r="F138" s="184" t="str">
        <f>IF('Option 1'!F138="","",'Option 1'!F138)</f>
        <v/>
      </c>
      <c r="G138" s="184" t="str">
        <f>IF('Option 1'!G138="","",'Option 1'!G138)</f>
        <v/>
      </c>
      <c r="H138" s="184" t="str">
        <f>IF('Option 1'!H138="","",'Option 1'!H138)</f>
        <v/>
      </c>
      <c r="I138" s="184" t="str">
        <f>IF('Option 1'!I138="","",'Option 1'!I138)</f>
        <v/>
      </c>
      <c r="J138" s="184" t="str">
        <f>IF('Option 1'!J138="","",'Option 1'!J138)</f>
        <v/>
      </c>
      <c r="K138" s="184" t="str">
        <f>IF('Option 1'!K138="","",'Option 1'!K138)</f>
        <v/>
      </c>
      <c r="L138" s="184" t="str">
        <f>IF('Option 1'!L138="","",'Option 1'!L138)</f>
        <v/>
      </c>
      <c r="M138" s="184" t="str">
        <f>IF('Option 1'!M138="","",'Option 1'!M138)</f>
        <v/>
      </c>
      <c r="N138" s="184" t="str">
        <f>IF('Option 1'!N138="","",'Option 1'!N138)</f>
        <v/>
      </c>
      <c r="O138" s="184" t="str">
        <f>IF('Option 1'!O138="","",'Option 1'!O138)</f>
        <v/>
      </c>
      <c r="P138" s="124">
        <f t="shared" si="9"/>
        <v>0</v>
      </c>
    </row>
    <row r="139" spans="1:16" ht="15.75" customHeight="1" x14ac:dyDescent="0.25">
      <c r="A139" s="239"/>
      <c r="B139" s="4" t="str">
        <f>IF('Option 1'!B139="","",'Option 1'!B139)</f>
        <v/>
      </c>
      <c r="C139" s="188" t="str">
        <f>IF('Option 1'!C139="","",'Option 1'!C139)</f>
        <v>Replaced Balconies</v>
      </c>
      <c r="D139" s="186" t="str">
        <f>IF('Option 1'!D139="","",'Option 1'!D139)</f>
        <v/>
      </c>
      <c r="E139" s="184" t="str">
        <f>IF('Option 1'!E139="","",'Option 1'!E139)</f>
        <v/>
      </c>
      <c r="F139" s="184" t="str">
        <f>IF('Option 1'!F139="","",'Option 1'!F139)</f>
        <v/>
      </c>
      <c r="G139" s="184" t="str">
        <f>IF('Option 1'!G139="","",'Option 1'!G139)</f>
        <v/>
      </c>
      <c r="H139" s="184" t="str">
        <f>IF('Option 1'!H139="","",'Option 1'!H139)</f>
        <v/>
      </c>
      <c r="I139" s="184" t="str">
        <f>IF('Option 1'!I139="","",'Option 1'!I139)</f>
        <v/>
      </c>
      <c r="J139" s="184" t="str">
        <f>IF('Option 1'!J139="","",'Option 1'!J139)</f>
        <v/>
      </c>
      <c r="K139" s="184" t="str">
        <f>IF('Option 1'!K139="","",'Option 1'!K139)</f>
        <v/>
      </c>
      <c r="L139" s="184" t="str">
        <f>IF('Option 1'!L139="","",'Option 1'!L139)</f>
        <v/>
      </c>
      <c r="M139" s="184" t="str">
        <f>IF('Option 1'!M139="","",'Option 1'!M139)</f>
        <v/>
      </c>
      <c r="N139" s="184" t="str">
        <f>IF('Option 1'!N139="","",'Option 1'!N139)</f>
        <v/>
      </c>
      <c r="O139" s="184" t="str">
        <f>IF('Option 1'!O139="","",'Option 1'!O139)</f>
        <v/>
      </c>
      <c r="P139" s="124">
        <f t="shared" si="9"/>
        <v>0</v>
      </c>
    </row>
    <row r="140" spans="1:16" ht="15.75" customHeight="1" x14ac:dyDescent="0.25">
      <c r="A140" s="239"/>
      <c r="B140" s="4" t="str">
        <f>IF('Option 1'!B140="","",'Option 1'!B140)</f>
        <v/>
      </c>
      <c r="C140" s="188" t="str">
        <f>IF('Option 1'!C140="","",'Option 1'!C140)</f>
        <v>Balconies (Year 1)</v>
      </c>
      <c r="D140" s="186">
        <f>IF('Option 1'!D140="","",'Option 1'!D140)</f>
        <v>29100</v>
      </c>
      <c r="E140" s="184" t="str">
        <f>IF('Option 1'!E140="","",'Option 1'!E140)</f>
        <v/>
      </c>
      <c r="F140" s="184" t="str">
        <f>IF('Option 1'!F140="","",'Option 1'!F140)</f>
        <v/>
      </c>
      <c r="G140" s="184" t="str">
        <f>IF('Option 1'!G140="","",'Option 1'!G140)</f>
        <v/>
      </c>
      <c r="H140" s="184" t="str">
        <f>IF('Option 1'!H140="","",'Option 1'!H140)</f>
        <v/>
      </c>
      <c r="I140" s="184" t="str">
        <f>IF('Option 1'!I140="","",'Option 1'!I140)</f>
        <v/>
      </c>
      <c r="J140" s="184" t="str">
        <f>IF('Option 1'!J140="","",'Option 1'!J140)</f>
        <v/>
      </c>
      <c r="K140" s="184" t="str">
        <f>IF('Option 1'!K140="","",'Option 1'!K140)</f>
        <v/>
      </c>
      <c r="L140" s="184" t="str">
        <f>IF('Option 1'!L140="","",'Option 1'!L140)</f>
        <v/>
      </c>
      <c r="M140" s="184" t="str">
        <f>IF('Option 1'!M140="","",'Option 1'!M140)</f>
        <v/>
      </c>
      <c r="N140" s="184" t="str">
        <f>IF('Option 1'!N140="","",'Option 1'!N140)</f>
        <v/>
      </c>
      <c r="O140" s="184" t="str">
        <f>IF('Option 1'!O140="","",'Option 1'!O140)</f>
        <v/>
      </c>
      <c r="P140" s="124">
        <f t="shared" si="9"/>
        <v>29100</v>
      </c>
    </row>
    <row r="141" spans="1:16" ht="15.75" customHeight="1" x14ac:dyDescent="0.25">
      <c r="A141" s="239"/>
      <c r="B141" s="4" t="str">
        <f>IF('Option 1'!B141="","",'Option 1'!B141)</f>
        <v/>
      </c>
      <c r="C141" s="188" t="str">
        <f>IF('Option 1'!C141="","",'Option 1'!C141)</f>
        <v>Balconies (Year 2)</v>
      </c>
      <c r="D141" s="186" t="str">
        <f>IF('Option 1'!D141="","",'Option 1'!D141)</f>
        <v/>
      </c>
      <c r="E141" s="184">
        <f>IF('Option 1'!E141="","",'Option 1'!E141)</f>
        <v>175000</v>
      </c>
      <c r="F141" s="184">
        <f>IF('Option 1'!F141="","",'Option 1'!F141)</f>
        <v>225000</v>
      </c>
      <c r="G141" s="184" t="str">
        <f>IF('Option 1'!G141="","",'Option 1'!G141)</f>
        <v/>
      </c>
      <c r="H141" s="184" t="str">
        <f>IF('Option 1'!H141="","",'Option 1'!H141)</f>
        <v/>
      </c>
      <c r="I141" s="184" t="str">
        <f>IF('Option 1'!I141="","",'Option 1'!I141)</f>
        <v/>
      </c>
      <c r="J141" s="184" t="str">
        <f>IF('Option 1'!J141="","",'Option 1'!J141)</f>
        <v/>
      </c>
      <c r="K141" s="184" t="str">
        <f>IF('Option 1'!K141="","",'Option 1'!K141)</f>
        <v/>
      </c>
      <c r="L141" s="184" t="str">
        <f>IF('Option 1'!L141="","",'Option 1'!L141)</f>
        <v/>
      </c>
      <c r="M141" s="184" t="str">
        <f>IF('Option 1'!M141="","",'Option 1'!M141)</f>
        <v/>
      </c>
      <c r="N141" s="184" t="str">
        <f>IF('Option 1'!N141="","",'Option 1'!N141)</f>
        <v/>
      </c>
      <c r="O141" s="184" t="str">
        <f>IF('Option 1'!O141="","",'Option 1'!O141)</f>
        <v/>
      </c>
      <c r="P141" s="124">
        <f t="shared" si="9"/>
        <v>400000</v>
      </c>
    </row>
    <row r="142" spans="1:16" ht="15.75" customHeight="1" x14ac:dyDescent="0.25">
      <c r="A142" s="239"/>
      <c r="B142" s="4" t="str">
        <f>IF('Option 1'!B142="","",'Option 1'!B142)</f>
        <v/>
      </c>
      <c r="C142" s="188" t="str">
        <f>IF('Option 1'!C142="","",'Option 1'!C142)</f>
        <v>Balconies (Year 3)</v>
      </c>
      <c r="D142" s="186" t="str">
        <f>IF('Option 1'!D142="","",'Option 1'!D142)</f>
        <v/>
      </c>
      <c r="E142" s="184" t="str">
        <f>IF('Option 1'!E142="","",'Option 1'!E142)</f>
        <v/>
      </c>
      <c r="F142" s="184" t="str">
        <f>IF('Option 1'!F142="","",'Option 1'!F142)</f>
        <v/>
      </c>
      <c r="G142" s="184">
        <f>IF('Option 1'!G142="","",'Option 1'!G142)</f>
        <v>900000</v>
      </c>
      <c r="H142" s="184">
        <f>IF('Option 1'!H142="","",'Option 1'!H142)</f>
        <v>900000</v>
      </c>
      <c r="I142" s="184" t="str">
        <f>IF('Option 1'!I142="","",'Option 1'!I142)</f>
        <v/>
      </c>
      <c r="J142" s="184" t="str">
        <f>IF('Option 1'!J142="","",'Option 1'!J142)</f>
        <v/>
      </c>
      <c r="K142" s="184" t="str">
        <f>IF('Option 1'!K142="","",'Option 1'!K142)</f>
        <v/>
      </c>
      <c r="L142" s="184" t="str">
        <f>IF('Option 1'!L142="","",'Option 1'!L142)</f>
        <v/>
      </c>
      <c r="M142" s="184" t="str">
        <f>IF('Option 1'!M142="","",'Option 1'!M142)</f>
        <v/>
      </c>
      <c r="N142" s="184" t="str">
        <f>IF('Option 1'!N142="","",'Option 1'!N142)</f>
        <v/>
      </c>
      <c r="O142" s="184" t="str">
        <f>IF('Option 1'!O142="","",'Option 1'!O142)</f>
        <v/>
      </c>
      <c r="P142" s="124">
        <f t="shared" si="9"/>
        <v>1800000</v>
      </c>
    </row>
    <row r="143" spans="1:16" ht="15.75" customHeight="1" x14ac:dyDescent="0.25">
      <c r="A143" s="239"/>
      <c r="B143" s="4" t="str">
        <f>IF('Option 1'!B143="","",'Option 1'!B143)</f>
        <v/>
      </c>
      <c r="C143" s="188" t="str">
        <f>IF('Option 1'!C143="","",'Option 1'!C143)</f>
        <v>Balconies (Year 4)</v>
      </c>
      <c r="D143" s="186" t="str">
        <f>IF('Option 1'!D143="","",'Option 1'!D143)</f>
        <v/>
      </c>
      <c r="E143" s="184" t="str">
        <f>IF('Option 1'!E143="","",'Option 1'!E143)</f>
        <v/>
      </c>
      <c r="F143" s="184" t="str">
        <f>IF('Option 1'!F143="","",'Option 1'!F143)</f>
        <v/>
      </c>
      <c r="G143" s="184" t="str">
        <f>IF('Option 1'!G143="","",'Option 1'!G143)</f>
        <v/>
      </c>
      <c r="H143" s="184" t="str">
        <f>IF('Option 1'!H143="","",'Option 1'!H143)</f>
        <v/>
      </c>
      <c r="I143" s="184">
        <f>IF('Option 1'!I143="","",'Option 1'!I143)</f>
        <v>500000</v>
      </c>
      <c r="J143" s="184" t="str">
        <f>IF('Option 1'!J143="","",'Option 1'!J143)</f>
        <v/>
      </c>
      <c r="K143" s="184" t="str">
        <f>IF('Option 1'!K143="","",'Option 1'!K143)</f>
        <v/>
      </c>
      <c r="L143" s="184" t="str">
        <f>IF('Option 1'!L143="","",'Option 1'!L143)</f>
        <v/>
      </c>
      <c r="M143" s="184" t="str">
        <f>IF('Option 1'!M143="","",'Option 1'!M143)</f>
        <v/>
      </c>
      <c r="N143" s="184" t="str">
        <f>IF('Option 1'!N143="","",'Option 1'!N143)</f>
        <v/>
      </c>
      <c r="O143" s="184" t="str">
        <f>IF('Option 1'!O143="","",'Option 1'!O143)</f>
        <v/>
      </c>
      <c r="P143" s="124">
        <f t="shared" si="9"/>
        <v>500000</v>
      </c>
    </row>
    <row r="144" spans="1:16" ht="15.75" customHeight="1" x14ac:dyDescent="0.25">
      <c r="A144" s="239"/>
      <c r="B144" s="4" t="str">
        <f>IF('Option 1'!B144="","",'Option 1'!B144)</f>
        <v/>
      </c>
      <c r="C144" s="188" t="str">
        <f>IF('Option 1'!C144="","",'Option 1'!C144)</f>
        <v>Balconies (Year 5)</v>
      </c>
      <c r="D144" s="186">
        <f>IF('Option 1'!D144="","",'Option 1'!D144)</f>
        <v>50878</v>
      </c>
      <c r="E144" s="184" t="str">
        <f>IF('Option 1'!E144="","",'Option 1'!E144)</f>
        <v/>
      </c>
      <c r="F144" s="184" t="str">
        <f>IF('Option 1'!F144="","",'Option 1'!F144)</f>
        <v/>
      </c>
      <c r="G144" s="184" t="str">
        <f>IF('Option 1'!G144="","",'Option 1'!G144)</f>
        <v/>
      </c>
      <c r="H144" s="184" t="str">
        <f>IF('Option 1'!H144="","",'Option 1'!H144)</f>
        <v/>
      </c>
      <c r="I144" s="184" t="str">
        <f>IF('Option 1'!I144="","",'Option 1'!I144)</f>
        <v/>
      </c>
      <c r="J144" s="184" t="str">
        <f>IF('Option 1'!J144="","",'Option 1'!J144)</f>
        <v/>
      </c>
      <c r="K144" s="184" t="str">
        <f>IF('Option 1'!K144="","",'Option 1'!K144)</f>
        <v/>
      </c>
      <c r="L144" s="184" t="str">
        <f>IF('Option 1'!L144="","",'Option 1'!L144)</f>
        <v/>
      </c>
      <c r="M144" s="184" t="str">
        <f>IF('Option 1'!M144="","",'Option 1'!M144)</f>
        <v/>
      </c>
      <c r="N144" s="184" t="str">
        <f>IF('Option 1'!N144="","",'Option 1'!N144)</f>
        <v/>
      </c>
      <c r="O144" s="184" t="str">
        <f>IF('Option 1'!O144="","",'Option 1'!O144)</f>
        <v/>
      </c>
      <c r="P144" s="124">
        <f t="shared" si="9"/>
        <v>50878</v>
      </c>
    </row>
    <row r="145" spans="1:16" ht="15.75" customHeight="1" x14ac:dyDescent="0.25">
      <c r="A145" s="239"/>
      <c r="B145" s="4" t="str">
        <f>IF('Option 1'!B145="","",'Option 1'!B145)</f>
        <v/>
      </c>
      <c r="C145" s="188" t="str">
        <f>IF('Option 1'!C145="","",'Option 1'!C145)</f>
        <v>Remaining Balconies</v>
      </c>
      <c r="D145" s="186" t="str">
        <f>IF('Option 1'!D145="","",'Option 1'!D145)</f>
        <v/>
      </c>
      <c r="E145" s="184" t="str">
        <f>IF('Option 1'!E145="","",'Option 1'!E145)</f>
        <v/>
      </c>
      <c r="F145" s="184" t="str">
        <f>IF('Option 1'!F145="","",'Option 1'!F145)</f>
        <v/>
      </c>
      <c r="G145" s="184" t="str">
        <f>IF('Option 1'!G145="","",'Option 1'!G145)</f>
        <v/>
      </c>
      <c r="H145" s="184" t="str">
        <f>IF('Option 1'!H145="","",'Option 1'!H145)</f>
        <v/>
      </c>
      <c r="I145" s="184" t="str">
        <f>IF('Option 1'!I145="","",'Option 1'!I145)</f>
        <v/>
      </c>
      <c r="J145" s="184" t="str">
        <f>IF('Option 1'!J145="","",'Option 1'!J145)</f>
        <v/>
      </c>
      <c r="K145" s="184" t="str">
        <f>IF('Option 1'!K145="","",'Option 1'!K145)</f>
        <v/>
      </c>
      <c r="L145" s="184" t="str">
        <f>IF('Option 1'!L145="","",'Option 1'!L145)</f>
        <v/>
      </c>
      <c r="M145" s="184" t="str">
        <f>IF('Option 1'!M145="","",'Option 1'!M145)</f>
        <v/>
      </c>
      <c r="N145" s="184" t="str">
        <f>IF('Option 1'!N145="","",'Option 1'!N145)</f>
        <v/>
      </c>
      <c r="O145" s="184" t="str">
        <f>IF('Option 1'!O145="","",'Option 1'!O145)</f>
        <v/>
      </c>
      <c r="P145" s="124">
        <f t="shared" si="9"/>
        <v>0</v>
      </c>
    </row>
    <row r="146" spans="1:16" ht="15.75" customHeight="1" x14ac:dyDescent="0.25">
      <c r="A146" s="239"/>
      <c r="B146" s="4" t="str">
        <f>IF('Option 1'!B146="","",'Option 1'!B146)</f>
        <v/>
      </c>
      <c r="C146" s="188" t="str">
        <f>IF('Option 1'!C146="","",'Option 1'!C146)</f>
        <v>Balcony Deck Coating</v>
      </c>
      <c r="D146" s="186" t="str">
        <f>IF('Option 1'!D146="","",'Option 1'!D146)</f>
        <v/>
      </c>
      <c r="E146" s="184" t="str">
        <f>IF('Option 1'!E146="","",'Option 1'!E146)</f>
        <v/>
      </c>
      <c r="F146" s="184" t="str">
        <f>IF('Option 1'!F146="","",'Option 1'!F146)</f>
        <v/>
      </c>
      <c r="G146" s="184" t="str">
        <f>IF('Option 1'!G146="","",'Option 1'!G146)</f>
        <v/>
      </c>
      <c r="H146" s="184" t="str">
        <f>IF('Option 1'!H146="","",'Option 1'!H146)</f>
        <v/>
      </c>
      <c r="I146" s="184" t="str">
        <f>IF('Option 1'!I146="","",'Option 1'!I146)</f>
        <v/>
      </c>
      <c r="J146" s="184" t="str">
        <f>IF('Option 1'!J146="","",'Option 1'!J146)</f>
        <v/>
      </c>
      <c r="K146" s="184">
        <f>IF('Option 1'!K146="","",'Option 1'!K146)</f>
        <v>612000</v>
      </c>
      <c r="L146" s="184" t="str">
        <f>IF('Option 1'!L146="","",'Option 1'!L146)</f>
        <v/>
      </c>
      <c r="M146" s="184" t="str">
        <f>IF('Option 1'!M146="","",'Option 1'!M146)</f>
        <v/>
      </c>
      <c r="N146" s="184" t="str">
        <f>IF('Option 1'!N146="","",'Option 1'!N146)</f>
        <v/>
      </c>
      <c r="O146" s="184" t="str">
        <f>IF('Option 1'!O146="","",'Option 1'!O146)</f>
        <v/>
      </c>
      <c r="P146" s="124">
        <f t="shared" si="9"/>
        <v>612000</v>
      </c>
    </row>
    <row r="147" spans="1:16" ht="15.75" customHeight="1" x14ac:dyDescent="0.25">
      <c r="A147" s="239"/>
      <c r="B147" s="4" t="str">
        <f>IF('Option 1'!B147="","",'Option 1'!B147)</f>
        <v/>
      </c>
      <c r="C147" s="188" t="str">
        <f>IF('Option 1'!C147="","",'Option 1'!C147)</f>
        <v>Balcony Railings</v>
      </c>
      <c r="D147" s="186" t="str">
        <f>IF('Option 1'!D147="","",'Option 1'!D147)</f>
        <v/>
      </c>
      <c r="E147" s="184" t="str">
        <f>IF('Option 1'!E147="","",'Option 1'!E147)</f>
        <v/>
      </c>
      <c r="F147" s="184" t="str">
        <f>IF('Option 1'!F147="","",'Option 1'!F147)</f>
        <v/>
      </c>
      <c r="G147" s="184" t="str">
        <f>IF('Option 1'!G147="","",'Option 1'!G147)</f>
        <v/>
      </c>
      <c r="H147" s="184" t="str">
        <f>IF('Option 1'!H147="","",'Option 1'!H147)</f>
        <v/>
      </c>
      <c r="I147" s="184" t="str">
        <f>IF('Option 1'!I147="","",'Option 1'!I147)</f>
        <v/>
      </c>
      <c r="J147" s="184" t="str">
        <f>IF('Option 1'!J147="","",'Option 1'!J147)</f>
        <v/>
      </c>
      <c r="K147" s="184" t="str">
        <f>IF('Option 1'!K147="","",'Option 1'!K147)</f>
        <v/>
      </c>
      <c r="L147" s="184" t="str">
        <f>IF('Option 1'!L147="","",'Option 1'!L147)</f>
        <v/>
      </c>
      <c r="M147" s="184" t="str">
        <f>IF('Option 1'!M147="","",'Option 1'!M147)</f>
        <v/>
      </c>
      <c r="N147" s="184" t="str">
        <f>IF('Option 1'!N147="","",'Option 1'!N147)</f>
        <v/>
      </c>
      <c r="O147" s="184" t="str">
        <f>IF('Option 1'!O147="","",'Option 1'!O147)</f>
        <v/>
      </c>
      <c r="P147" s="124">
        <f t="shared" si="9"/>
        <v>0</v>
      </c>
    </row>
    <row r="148" spans="1:16" ht="15.75" customHeight="1" x14ac:dyDescent="0.25">
      <c r="A148" s="239"/>
      <c r="B148" s="4" t="str">
        <f>IF('Option 1'!B148="","",'Option 1'!B148)</f>
        <v/>
      </c>
      <c r="C148" s="188" t="str">
        <f>IF('Option 1'!C148="","",'Option 1'!C148)</f>
        <v>Garage Doors</v>
      </c>
      <c r="D148" s="186" t="str">
        <f>IF('Option 1'!D148="","",'Option 1'!D148)</f>
        <v/>
      </c>
      <c r="E148" s="184" t="str">
        <f>IF('Option 1'!E148="","",'Option 1'!E148)</f>
        <v/>
      </c>
      <c r="F148" s="184" t="str">
        <f>IF('Option 1'!F148="","",'Option 1'!F148)</f>
        <v/>
      </c>
      <c r="G148" s="184" t="str">
        <f>IF('Option 1'!G148="","",'Option 1'!G148)</f>
        <v/>
      </c>
      <c r="H148" s="184" t="str">
        <f>IF('Option 1'!H148="","",'Option 1'!H148)</f>
        <v/>
      </c>
      <c r="I148" s="184" t="str">
        <f>IF('Option 1'!I148="","",'Option 1'!I148)</f>
        <v/>
      </c>
      <c r="J148" s="184">
        <f>IF('Option 1'!J148="","",'Option 1'!J148)</f>
        <v>66426</v>
      </c>
      <c r="K148" s="184" t="str">
        <f>IF('Option 1'!K148="","",'Option 1'!K148)</f>
        <v/>
      </c>
      <c r="L148" s="184" t="str">
        <f>IF('Option 1'!L148="","",'Option 1'!L148)</f>
        <v/>
      </c>
      <c r="M148" s="184" t="str">
        <f>IF('Option 1'!M148="","",'Option 1'!M148)</f>
        <v/>
      </c>
      <c r="N148" s="184" t="str">
        <f>IF('Option 1'!N148="","",'Option 1'!N148)</f>
        <v/>
      </c>
      <c r="O148" s="184" t="str">
        <f>IF('Option 1'!O148="","",'Option 1'!O148)</f>
        <v/>
      </c>
      <c r="P148" s="124">
        <f t="shared" si="9"/>
        <v>66426</v>
      </c>
    </row>
    <row r="149" spans="1:16" ht="15.75" customHeight="1" x14ac:dyDescent="0.25">
      <c r="A149" s="239"/>
      <c r="B149" s="4" t="str">
        <f>IF('Option 1'!B149="","",'Option 1'!B149)</f>
        <v/>
      </c>
      <c r="C149" s="188" t="str">
        <f>IF('Option 1'!C149="","",'Option 1'!C149)</f>
        <v>Glazed Entry Doors</v>
      </c>
      <c r="D149" s="186" t="str">
        <f>IF('Option 1'!D149="","",'Option 1'!D149)</f>
        <v/>
      </c>
      <c r="E149" s="184" t="str">
        <f>IF('Option 1'!E149="","",'Option 1'!E149)</f>
        <v/>
      </c>
      <c r="F149" s="184" t="str">
        <f>IF('Option 1'!F149="","",'Option 1'!F149)</f>
        <v/>
      </c>
      <c r="G149" s="184" t="str">
        <f>IF('Option 1'!G149="","",'Option 1'!G149)</f>
        <v/>
      </c>
      <c r="H149" s="184" t="str">
        <f>IF('Option 1'!H149="","",'Option 1'!H149)</f>
        <v/>
      </c>
      <c r="I149" s="184" t="str">
        <f>IF('Option 1'!I149="","",'Option 1'!I149)</f>
        <v/>
      </c>
      <c r="J149" s="184" t="str">
        <f>IF('Option 1'!J149="","",'Option 1'!J149)</f>
        <v/>
      </c>
      <c r="K149" s="184">
        <f>IF('Option 1'!K149="","",'Option 1'!K149)</f>
        <v>33213</v>
      </c>
      <c r="L149" s="184" t="str">
        <f>IF('Option 1'!L149="","",'Option 1'!L149)</f>
        <v/>
      </c>
      <c r="M149" s="184" t="str">
        <f>IF('Option 1'!M149="","",'Option 1'!M149)</f>
        <v/>
      </c>
      <c r="N149" s="184" t="str">
        <f>IF('Option 1'!N149="","",'Option 1'!N149)</f>
        <v/>
      </c>
      <c r="O149" s="184" t="str">
        <f>IF('Option 1'!O149="","",'Option 1'!O149)</f>
        <v/>
      </c>
      <c r="P149" s="124">
        <f t="shared" si="9"/>
        <v>33213</v>
      </c>
    </row>
    <row r="150" spans="1:16" ht="15.75" customHeight="1" x14ac:dyDescent="0.25">
      <c r="A150" s="239"/>
      <c r="B150" s="4" t="str">
        <f>IF('Option 1'!B150="","",'Option 1'!B150)</f>
        <v/>
      </c>
      <c r="C150" s="188" t="str">
        <f>IF('Option 1'!C150="","",'Option 1'!C150)</f>
        <v>Single Metal Doors</v>
      </c>
      <c r="D150" s="186" t="str">
        <f>IF('Option 1'!D150="","",'Option 1'!D150)</f>
        <v/>
      </c>
      <c r="E150" s="184" t="str">
        <f>IF('Option 1'!E150="","",'Option 1'!E150)</f>
        <v/>
      </c>
      <c r="F150" s="184" t="str">
        <f>IF('Option 1'!F150="","",'Option 1'!F150)</f>
        <v/>
      </c>
      <c r="G150" s="184" t="str">
        <f>IF('Option 1'!G150="","",'Option 1'!G150)</f>
        <v/>
      </c>
      <c r="H150" s="184">
        <f>IF('Option 1'!H150="","",'Option 1'!H150)</f>
        <v>38749</v>
      </c>
      <c r="I150" s="184" t="str">
        <f>IF('Option 1'!I150="","",'Option 1'!I150)</f>
        <v/>
      </c>
      <c r="J150" s="184" t="str">
        <f>IF('Option 1'!J150="","",'Option 1'!J150)</f>
        <v/>
      </c>
      <c r="K150" s="184" t="str">
        <f>IF('Option 1'!K150="","",'Option 1'!K150)</f>
        <v/>
      </c>
      <c r="L150" s="184" t="str">
        <f>IF('Option 1'!L150="","",'Option 1'!L150)</f>
        <v/>
      </c>
      <c r="M150" s="184" t="str">
        <f>IF('Option 1'!M150="","",'Option 1'!M150)</f>
        <v/>
      </c>
      <c r="N150" s="184" t="str">
        <f>IF('Option 1'!N150="","",'Option 1'!N150)</f>
        <v/>
      </c>
      <c r="O150" s="184" t="str">
        <f>IF('Option 1'!O150="","",'Option 1'!O150)</f>
        <v/>
      </c>
      <c r="P150" s="124">
        <f t="shared" si="9"/>
        <v>38749</v>
      </c>
    </row>
    <row r="151" spans="1:16" ht="15.75" customHeight="1" x14ac:dyDescent="0.25">
      <c r="A151" s="239"/>
      <c r="B151" s="4" t="str">
        <f>IF('Option 1'!B151="","",'Option 1'!B151)</f>
        <v/>
      </c>
      <c r="C151" s="188" t="str">
        <f>IF('Option 1'!C151="","",'Option 1'!C151)</f>
        <v>Double Metal Doors</v>
      </c>
      <c r="D151" s="186" t="str">
        <f>IF('Option 1'!D151="","",'Option 1'!D151)</f>
        <v/>
      </c>
      <c r="E151" s="184" t="str">
        <f>IF('Option 1'!E151="","",'Option 1'!E151)</f>
        <v/>
      </c>
      <c r="F151" s="184" t="str">
        <f>IF('Option 1'!F151="","",'Option 1'!F151)</f>
        <v/>
      </c>
      <c r="G151" s="184">
        <f>IF('Option 1'!G151="","",'Option 1'!G151)</f>
        <v>17664</v>
      </c>
      <c r="H151" s="184" t="str">
        <f>IF('Option 1'!H151="","",'Option 1'!H151)</f>
        <v/>
      </c>
      <c r="I151" s="184" t="str">
        <f>IF('Option 1'!I151="","",'Option 1'!I151)</f>
        <v/>
      </c>
      <c r="J151" s="184" t="str">
        <f>IF('Option 1'!J151="","",'Option 1'!J151)</f>
        <v/>
      </c>
      <c r="K151" s="184" t="str">
        <f>IF('Option 1'!K151="","",'Option 1'!K151)</f>
        <v/>
      </c>
      <c r="L151" s="184" t="str">
        <f>IF('Option 1'!L151="","",'Option 1'!L151)</f>
        <v/>
      </c>
      <c r="M151" s="184" t="str">
        <f>IF('Option 1'!M151="","",'Option 1'!M151)</f>
        <v/>
      </c>
      <c r="N151" s="184" t="str">
        <f>IF('Option 1'!N151="","",'Option 1'!N151)</f>
        <v/>
      </c>
      <c r="O151" s="184" t="str">
        <f>IF('Option 1'!O151="","",'Option 1'!O151)</f>
        <v/>
      </c>
      <c r="P151" s="124">
        <f t="shared" si="9"/>
        <v>17664</v>
      </c>
    </row>
    <row r="152" spans="1:16" ht="15.75" customHeight="1" x14ac:dyDescent="0.25">
      <c r="A152" s="239"/>
      <c r="B152" s="4" t="str">
        <f>IF('Option 1'!B152="","",'Option 1'!B152)</f>
        <v/>
      </c>
      <c r="C152" s="188" t="str">
        <f>IF('Option 1'!C152="","",'Option 1'!C152)</f>
        <v>Mailboxes</v>
      </c>
      <c r="D152" s="186" t="str">
        <f>IF('Option 1'!D152="","",'Option 1'!D152)</f>
        <v/>
      </c>
      <c r="E152" s="184" t="str">
        <f>IF('Option 1'!E152="","",'Option 1'!E152)</f>
        <v/>
      </c>
      <c r="F152" s="184" t="str">
        <f>IF('Option 1'!F152="","",'Option 1'!F152)</f>
        <v/>
      </c>
      <c r="G152" s="184" t="str">
        <f>IF('Option 1'!G152="","",'Option 1'!G152)</f>
        <v/>
      </c>
      <c r="H152" s="184" t="str">
        <f>IF('Option 1'!H152="","",'Option 1'!H152)</f>
        <v/>
      </c>
      <c r="I152" s="184" t="str">
        <f>IF('Option 1'!I152="","",'Option 1'!I152)</f>
        <v/>
      </c>
      <c r="J152" s="184" t="str">
        <f>IF('Option 1'!J152="","",'Option 1'!J152)</f>
        <v/>
      </c>
      <c r="K152" s="184" t="str">
        <f>IF('Option 1'!K152="","",'Option 1'!K152)</f>
        <v/>
      </c>
      <c r="L152" s="184" t="str">
        <f>IF('Option 1'!L152="","",'Option 1'!L152)</f>
        <v/>
      </c>
      <c r="M152" s="184" t="str">
        <f>IF('Option 1'!M152="","",'Option 1'!M152)</f>
        <v/>
      </c>
      <c r="N152" s="184" t="str">
        <f>IF('Option 1'!N152="","",'Option 1'!N152)</f>
        <v/>
      </c>
      <c r="O152" s="184">
        <f>IF('Option 1'!O152="","",'Option 1'!O152)</f>
        <v>23000</v>
      </c>
      <c r="P152" s="124">
        <f t="shared" si="9"/>
        <v>23000</v>
      </c>
    </row>
    <row r="153" spans="1:16" ht="15.75" customHeight="1" x14ac:dyDescent="0.25">
      <c r="A153" s="239"/>
      <c r="B153" s="4" t="str">
        <f>IF('Option 1'!B153="","",'Option 1'!B153)</f>
        <v/>
      </c>
      <c r="C153" s="3" t="str">
        <f>IF('Option 1'!C153="","",'Option 1'!C153)</f>
        <v>Electrical Elements</v>
      </c>
      <c r="D153" s="186" t="str">
        <f>IF('Option 1'!D153="","",'Option 1'!D153)</f>
        <v/>
      </c>
      <c r="E153" s="184" t="str">
        <f>IF('Option 1'!E153="","",'Option 1'!E153)</f>
        <v/>
      </c>
      <c r="F153" s="184" t="str">
        <f>IF('Option 1'!F153="","",'Option 1'!F153)</f>
        <v/>
      </c>
      <c r="G153" s="184" t="str">
        <f>IF('Option 1'!G153="","",'Option 1'!G153)</f>
        <v/>
      </c>
      <c r="H153" s="184" t="str">
        <f>IF('Option 1'!H153="","",'Option 1'!H153)</f>
        <v/>
      </c>
      <c r="I153" s="184" t="str">
        <f>IF('Option 1'!I153="","",'Option 1'!I153)</f>
        <v/>
      </c>
      <c r="J153" s="184" t="str">
        <f>IF('Option 1'!J153="","",'Option 1'!J153)</f>
        <v/>
      </c>
      <c r="K153" s="184" t="str">
        <f>IF('Option 1'!K153="","",'Option 1'!K153)</f>
        <v/>
      </c>
      <c r="L153" s="184" t="str">
        <f>IF('Option 1'!L153="","",'Option 1'!L153)</f>
        <v/>
      </c>
      <c r="M153" s="184" t="str">
        <f>IF('Option 1'!M153="","",'Option 1'!M153)</f>
        <v/>
      </c>
      <c r="N153" s="184" t="str">
        <f>IF('Option 1'!N153="","",'Option 1'!N153)</f>
        <v/>
      </c>
      <c r="O153" s="184" t="str">
        <f>IF('Option 1'!O153="","",'Option 1'!O153)</f>
        <v/>
      </c>
      <c r="P153" s="124">
        <f t="shared" ref="P153:P216" si="10">IF(SUM(D153:O153)=0,0,SUM(D153:O153))</f>
        <v>0</v>
      </c>
    </row>
    <row r="154" spans="1:16" ht="15.75" customHeight="1" x14ac:dyDescent="0.25">
      <c r="A154" s="239"/>
      <c r="B154" s="4" t="str">
        <f>IF('Option 1'!B154="","",'Option 1'!B154)</f>
        <v/>
      </c>
      <c r="C154" s="188" t="str">
        <f>IF('Option 1'!C154="","",'Option 1'!C154)</f>
        <v>Street Light Poles</v>
      </c>
      <c r="D154" s="186" t="str">
        <f>IF('Option 1'!D154="","",'Option 1'!D154)</f>
        <v/>
      </c>
      <c r="E154" s="184" t="str">
        <f>IF('Option 1'!E154="","",'Option 1'!E154)</f>
        <v/>
      </c>
      <c r="F154" s="184" t="str">
        <f>IF('Option 1'!F154="","",'Option 1'!F154)</f>
        <v/>
      </c>
      <c r="G154" s="184" t="str">
        <f>IF('Option 1'!G154="","",'Option 1'!G154)</f>
        <v/>
      </c>
      <c r="H154" s="184" t="str">
        <f>IF('Option 1'!H154="","",'Option 1'!H154)</f>
        <v/>
      </c>
      <c r="I154" s="184">
        <f>IF('Option 1'!I154="","",'Option 1'!I154)</f>
        <v>69069</v>
      </c>
      <c r="J154" s="184" t="str">
        <f>IF('Option 1'!J154="","",'Option 1'!J154)</f>
        <v/>
      </c>
      <c r="K154" s="184" t="str">
        <f>IF('Option 1'!K154="","",'Option 1'!K154)</f>
        <v/>
      </c>
      <c r="L154" s="184" t="str">
        <f>IF('Option 1'!L154="","",'Option 1'!L154)</f>
        <v/>
      </c>
      <c r="M154" s="184" t="str">
        <f>IF('Option 1'!M154="","",'Option 1'!M154)</f>
        <v/>
      </c>
      <c r="N154" s="184" t="str">
        <f>IF('Option 1'!N154="","",'Option 1'!N154)</f>
        <v/>
      </c>
      <c r="O154" s="184" t="str">
        <f>IF('Option 1'!O154="","",'Option 1'!O154)</f>
        <v/>
      </c>
      <c r="P154" s="124">
        <f t="shared" si="10"/>
        <v>69069</v>
      </c>
    </row>
    <row r="155" spans="1:16" ht="15.75" customHeight="1" x14ac:dyDescent="0.25">
      <c r="A155" s="239"/>
      <c r="B155" s="4" t="str">
        <f>IF('Option 1'!B155="","",'Option 1'!B155)</f>
        <v/>
      </c>
      <c r="C155" s="188" t="str">
        <f>IF('Option 1'!C155="","",'Option 1'!C155)</f>
        <v>Entry Light Poles</v>
      </c>
      <c r="D155" s="186" t="str">
        <f>IF('Option 1'!D155="","",'Option 1'!D155)</f>
        <v/>
      </c>
      <c r="E155" s="184" t="str">
        <f>IF('Option 1'!E155="","",'Option 1'!E155)</f>
        <v/>
      </c>
      <c r="F155" s="184" t="str">
        <f>IF('Option 1'!F155="","",'Option 1'!F155)</f>
        <v/>
      </c>
      <c r="G155" s="184" t="str">
        <f>IF('Option 1'!G155="","",'Option 1'!G155)</f>
        <v/>
      </c>
      <c r="H155" s="184" t="str">
        <f>IF('Option 1'!H155="","",'Option 1'!H155)</f>
        <v/>
      </c>
      <c r="I155" s="184" t="str">
        <f>IF('Option 1'!I155="","",'Option 1'!I155)</f>
        <v/>
      </c>
      <c r="J155" s="184">
        <f>IF('Option 1'!J155="","",'Option 1'!J155)</f>
        <v>9591</v>
      </c>
      <c r="K155" s="184" t="str">
        <f>IF('Option 1'!K155="","",'Option 1'!K155)</f>
        <v/>
      </c>
      <c r="L155" s="184" t="str">
        <f>IF('Option 1'!L155="","",'Option 1'!L155)</f>
        <v/>
      </c>
      <c r="M155" s="184" t="str">
        <f>IF('Option 1'!M155="","",'Option 1'!M155)</f>
        <v/>
      </c>
      <c r="N155" s="184" t="str">
        <f>IF('Option 1'!N155="","",'Option 1'!N155)</f>
        <v/>
      </c>
      <c r="O155" s="184" t="str">
        <f>IF('Option 1'!O155="","",'Option 1'!O155)</f>
        <v/>
      </c>
      <c r="P155" s="124">
        <f t="shared" si="10"/>
        <v>9591</v>
      </c>
    </row>
    <row r="156" spans="1:16" ht="15.75" customHeight="1" x14ac:dyDescent="0.25">
      <c r="A156" s="239"/>
      <c r="B156" s="4" t="str">
        <f>IF('Option 1'!B156="","",'Option 1'!B156)</f>
        <v/>
      </c>
      <c r="C156" s="188" t="str">
        <f>IF('Option 1'!C156="","",'Option 1'!C156)</f>
        <v>Parking Lot Poles</v>
      </c>
      <c r="D156" s="186" t="str">
        <f>IF('Option 1'!D156="","",'Option 1'!D156)</f>
        <v/>
      </c>
      <c r="E156" s="184" t="str">
        <f>IF('Option 1'!E156="","",'Option 1'!E156)</f>
        <v/>
      </c>
      <c r="F156" s="184" t="str">
        <f>IF('Option 1'!F156="","",'Option 1'!F156)</f>
        <v/>
      </c>
      <c r="G156" s="184" t="str">
        <f>IF('Option 1'!G156="","",'Option 1'!G156)</f>
        <v/>
      </c>
      <c r="H156" s="184" t="str">
        <f>IF('Option 1'!H156="","",'Option 1'!H156)</f>
        <v/>
      </c>
      <c r="I156" s="184" t="str">
        <f>IF('Option 1'!I156="","",'Option 1'!I156)</f>
        <v/>
      </c>
      <c r="J156" s="184" t="str">
        <f>IF('Option 1'!J156="","",'Option 1'!J156)</f>
        <v/>
      </c>
      <c r="K156" s="184" t="str">
        <f>IF('Option 1'!K156="","",'Option 1'!K156)</f>
        <v/>
      </c>
      <c r="L156" s="184">
        <f>IF('Option 1'!L156="","",'Option 1'!L156)</f>
        <v>28883</v>
      </c>
      <c r="M156" s="184" t="str">
        <f>IF('Option 1'!M156="","",'Option 1'!M156)</f>
        <v/>
      </c>
      <c r="N156" s="184" t="str">
        <f>IF('Option 1'!N156="","",'Option 1'!N156)</f>
        <v/>
      </c>
      <c r="O156" s="184" t="str">
        <f>IF('Option 1'!O156="","",'Option 1'!O156)</f>
        <v/>
      </c>
      <c r="P156" s="124">
        <f t="shared" si="10"/>
        <v>28883</v>
      </c>
    </row>
    <row r="157" spans="1:16" ht="15.75" customHeight="1" x14ac:dyDescent="0.25">
      <c r="A157" s="239"/>
      <c r="B157" s="4" t="str">
        <f>IF('Option 1'!B157="","",'Option 1'!B157)</f>
        <v/>
      </c>
      <c r="C157" s="188" t="str">
        <f>IF('Option 1'!C157="","",'Option 1'!C157)</f>
        <v>Light Fixtures and Fans</v>
      </c>
      <c r="D157" s="186" t="str">
        <f>IF('Option 1'!D157="","",'Option 1'!D157)</f>
        <v/>
      </c>
      <c r="E157" s="184" t="str">
        <f>IF('Option 1'!E157="","",'Option 1'!E157)</f>
        <v/>
      </c>
      <c r="F157" s="184" t="str">
        <f>IF('Option 1'!F157="","",'Option 1'!F157)</f>
        <v/>
      </c>
      <c r="G157" s="184">
        <f>IF('Option 1'!G157="","",'Option 1'!G157)</f>
        <v>4152</v>
      </c>
      <c r="H157" s="184" t="str">
        <f>IF('Option 1'!H157="","",'Option 1'!H157)</f>
        <v/>
      </c>
      <c r="I157" s="184" t="str">
        <f>IF('Option 1'!I157="","",'Option 1'!I157)</f>
        <v/>
      </c>
      <c r="J157" s="184" t="str">
        <f>IF('Option 1'!J157="","",'Option 1'!J157)</f>
        <v/>
      </c>
      <c r="K157" s="184" t="str">
        <f>IF('Option 1'!K157="","",'Option 1'!K157)</f>
        <v/>
      </c>
      <c r="L157" s="184" t="str">
        <f>IF('Option 1'!L157="","",'Option 1'!L157)</f>
        <v/>
      </c>
      <c r="M157" s="184" t="str">
        <f>IF('Option 1'!M157="","",'Option 1'!M157)</f>
        <v/>
      </c>
      <c r="N157" s="184" t="str">
        <f>IF('Option 1'!N157="","",'Option 1'!N157)</f>
        <v/>
      </c>
      <c r="O157" s="184" t="str">
        <f>IF('Option 1'!O157="","",'Option 1'!O157)</f>
        <v/>
      </c>
      <c r="P157" s="124">
        <f t="shared" si="10"/>
        <v>4152</v>
      </c>
    </row>
    <row r="158" spans="1:16" ht="15.75" customHeight="1" x14ac:dyDescent="0.25">
      <c r="A158" s="239"/>
      <c r="B158" s="4" t="str">
        <f>IF('Option 1'!B158="","",'Option 1'!B158)</f>
        <v/>
      </c>
      <c r="C158" s="188" t="str">
        <f>IF('Option 1'!C158="","",'Option 1'!C158)</f>
        <v>Floodlights</v>
      </c>
      <c r="D158" s="186" t="str">
        <f>IF('Option 1'!D158="","",'Option 1'!D158)</f>
        <v/>
      </c>
      <c r="E158" s="184" t="str">
        <f>IF('Option 1'!E158="","",'Option 1'!E158)</f>
        <v/>
      </c>
      <c r="F158" s="184" t="str">
        <f>IF('Option 1'!F158="","",'Option 1'!F158)</f>
        <v/>
      </c>
      <c r="G158" s="184" t="str">
        <f>IF('Option 1'!G158="","",'Option 1'!G158)</f>
        <v/>
      </c>
      <c r="H158" s="184" t="str">
        <f>IF('Option 1'!H158="","",'Option 1'!H158)</f>
        <v/>
      </c>
      <c r="I158" s="184">
        <f>IF('Option 1'!I158="","",'Option 1'!I158)</f>
        <v>13839</v>
      </c>
      <c r="J158" s="184" t="str">
        <f>IF('Option 1'!J158="","",'Option 1'!J158)</f>
        <v/>
      </c>
      <c r="K158" s="184" t="str">
        <f>IF('Option 1'!K158="","",'Option 1'!K158)</f>
        <v/>
      </c>
      <c r="L158" s="184" t="str">
        <f>IF('Option 1'!L158="","",'Option 1'!L158)</f>
        <v/>
      </c>
      <c r="M158" s="184" t="str">
        <f>IF('Option 1'!M158="","",'Option 1'!M158)</f>
        <v/>
      </c>
      <c r="N158" s="184" t="str">
        <f>IF('Option 1'!N158="","",'Option 1'!N158)</f>
        <v/>
      </c>
      <c r="O158" s="184" t="str">
        <f>IF('Option 1'!O158="","",'Option 1'!O158)</f>
        <v/>
      </c>
      <c r="P158" s="124">
        <f t="shared" si="10"/>
        <v>13839</v>
      </c>
    </row>
    <row r="159" spans="1:16" ht="15.75" customHeight="1" x14ac:dyDescent="0.25">
      <c r="A159" s="239"/>
      <c r="B159" s="4" t="str">
        <f>IF('Option 1'!B159="","",'Option 1'!B159)</f>
        <v/>
      </c>
      <c r="C159" s="188" t="str">
        <f>IF('Option 1'!C159="","",'Option 1'!C159)</f>
        <v>Canopy Lights</v>
      </c>
      <c r="D159" s="186" t="str">
        <f>IF('Option 1'!D159="","",'Option 1'!D159)</f>
        <v/>
      </c>
      <c r="E159" s="184">
        <f>IF('Option 1'!E159="","",'Option 1'!E159)</f>
        <v>7473</v>
      </c>
      <c r="F159" s="184" t="str">
        <f>IF('Option 1'!F159="","",'Option 1'!F159)</f>
        <v/>
      </c>
      <c r="G159" s="184" t="str">
        <f>IF('Option 1'!G159="","",'Option 1'!G159)</f>
        <v/>
      </c>
      <c r="H159" s="184" t="str">
        <f>IF('Option 1'!H159="","",'Option 1'!H159)</f>
        <v/>
      </c>
      <c r="I159" s="184" t="str">
        <f>IF('Option 1'!I159="","",'Option 1'!I159)</f>
        <v/>
      </c>
      <c r="J159" s="184" t="str">
        <f>IF('Option 1'!J159="","",'Option 1'!J159)</f>
        <v/>
      </c>
      <c r="K159" s="184" t="str">
        <f>IF('Option 1'!K159="","",'Option 1'!K159)</f>
        <v/>
      </c>
      <c r="L159" s="184" t="str">
        <f>IF('Option 1'!L159="","",'Option 1'!L159)</f>
        <v/>
      </c>
      <c r="M159" s="184" t="str">
        <f>IF('Option 1'!M159="","",'Option 1'!M159)</f>
        <v/>
      </c>
      <c r="N159" s="184" t="str">
        <f>IF('Option 1'!N159="","",'Option 1'!N159)</f>
        <v/>
      </c>
      <c r="O159" s="184" t="str">
        <f>IF('Option 1'!O159="","",'Option 1'!O159)</f>
        <v/>
      </c>
      <c r="P159" s="124">
        <f t="shared" si="10"/>
        <v>7473</v>
      </c>
    </row>
    <row r="160" spans="1:16" ht="15.75" customHeight="1" x14ac:dyDescent="0.25">
      <c r="A160" s="239"/>
      <c r="B160" s="4" t="str">
        <f>IF('Option 1'!B160="","",'Option 1'!B160)</f>
        <v/>
      </c>
      <c r="C160" s="188" t="str">
        <f>IF('Option 1'!C160="","",'Option 1'!C160)</f>
        <v>Intercom Panels</v>
      </c>
      <c r="D160" s="186" t="str">
        <f>IF('Option 1'!D160="","",'Option 1'!D160)</f>
        <v/>
      </c>
      <c r="E160" s="184" t="str">
        <f>IF('Option 1'!E160="","",'Option 1'!E160)</f>
        <v/>
      </c>
      <c r="F160" s="184" t="str">
        <f>IF('Option 1'!F160="","",'Option 1'!F160)</f>
        <v/>
      </c>
      <c r="G160" s="184" t="str">
        <f>IF('Option 1'!G160="","",'Option 1'!G160)</f>
        <v/>
      </c>
      <c r="H160" s="184" t="str">
        <f>IF('Option 1'!H160="","",'Option 1'!H160)</f>
        <v/>
      </c>
      <c r="I160" s="184" t="str">
        <f>IF('Option 1'!I160="","",'Option 1'!I160)</f>
        <v/>
      </c>
      <c r="J160" s="184" t="str">
        <f>IF('Option 1'!J160="","",'Option 1'!J160)</f>
        <v/>
      </c>
      <c r="K160" s="184" t="str">
        <f>IF('Option 1'!K160="","",'Option 1'!K160)</f>
        <v/>
      </c>
      <c r="L160" s="184" t="str">
        <f>IF('Option 1'!L160="","",'Option 1'!L160)</f>
        <v/>
      </c>
      <c r="M160" s="184" t="str">
        <f>IF('Option 1'!M160="","",'Option 1'!M160)</f>
        <v/>
      </c>
      <c r="N160" s="184">
        <f>IF('Option 1'!N160="","",'Option 1'!N160)</f>
        <v>83032</v>
      </c>
      <c r="O160" s="184" t="str">
        <f>IF('Option 1'!O160="","",'Option 1'!O160)</f>
        <v/>
      </c>
      <c r="P160" s="124">
        <f t="shared" si="10"/>
        <v>83032</v>
      </c>
    </row>
    <row r="161" spans="1:16" ht="15.75" customHeight="1" x14ac:dyDescent="0.25">
      <c r="A161" s="239"/>
      <c r="B161" s="4" t="str">
        <f>IF('Option 1'!B161="","",'Option 1'!B161)</f>
        <v/>
      </c>
      <c r="C161" s="188" t="str">
        <f>IF('Option 1'!C161="","",'Option 1'!C161)</f>
        <v>Security Cameras</v>
      </c>
      <c r="D161" s="186" t="str">
        <f>IF('Option 1'!D161="","",'Option 1'!D161)</f>
        <v/>
      </c>
      <c r="E161" s="184">
        <f>IF('Option 1'!E161="","",'Option 1'!E161)</f>
        <v>12455</v>
      </c>
      <c r="F161" s="184" t="str">
        <f>IF('Option 1'!F161="","",'Option 1'!F161)</f>
        <v/>
      </c>
      <c r="G161" s="184" t="str">
        <f>IF('Option 1'!G161="","",'Option 1'!G161)</f>
        <v/>
      </c>
      <c r="H161" s="184" t="str">
        <f>IF('Option 1'!H161="","",'Option 1'!H161)</f>
        <v/>
      </c>
      <c r="I161" s="184" t="str">
        <f>IF('Option 1'!I161="","",'Option 1'!I161)</f>
        <v/>
      </c>
      <c r="J161" s="184" t="str">
        <f>IF('Option 1'!J161="","",'Option 1'!J161)</f>
        <v/>
      </c>
      <c r="K161" s="184" t="str">
        <f>IF('Option 1'!K161="","",'Option 1'!K161)</f>
        <v/>
      </c>
      <c r="L161" s="184" t="str">
        <f>IF('Option 1'!L161="","",'Option 1'!L161)</f>
        <v/>
      </c>
      <c r="M161" s="184" t="str">
        <f>IF('Option 1'!M161="","",'Option 1'!M161)</f>
        <v/>
      </c>
      <c r="N161" s="184" t="str">
        <f>IF('Option 1'!N161="","",'Option 1'!N161)</f>
        <v/>
      </c>
      <c r="O161" s="184" t="str">
        <f>IF('Option 1'!O161="","",'Option 1'!O161)</f>
        <v/>
      </c>
      <c r="P161" s="124">
        <f t="shared" si="10"/>
        <v>12455</v>
      </c>
    </row>
    <row r="162" spans="1:16" ht="15.75" customHeight="1" x14ac:dyDescent="0.25">
      <c r="A162" s="239"/>
      <c r="B162" s="4" t="str">
        <f>IF('Option 1'!B162="","",'Option 1'!B162)</f>
        <v/>
      </c>
      <c r="C162" s="188" t="str">
        <f>IF('Option 1'!C162="","",'Option 1'!C162)</f>
        <v>Garage Light Fixtures</v>
      </c>
      <c r="D162" s="186">
        <f>IF('Option 1'!D162="","",'Option 1'!D162)</f>
        <v>16606</v>
      </c>
      <c r="E162" s="184" t="str">
        <f>IF('Option 1'!E162="","",'Option 1'!E162)</f>
        <v/>
      </c>
      <c r="F162" s="184" t="str">
        <f>IF('Option 1'!F162="","",'Option 1'!F162)</f>
        <v/>
      </c>
      <c r="G162" s="184" t="str">
        <f>IF('Option 1'!G162="","",'Option 1'!G162)</f>
        <v/>
      </c>
      <c r="H162" s="184" t="str">
        <f>IF('Option 1'!H162="","",'Option 1'!H162)</f>
        <v/>
      </c>
      <c r="I162" s="184" t="str">
        <f>IF('Option 1'!I162="","",'Option 1'!I162)</f>
        <v/>
      </c>
      <c r="J162" s="184" t="str">
        <f>IF('Option 1'!J162="","",'Option 1'!J162)</f>
        <v/>
      </c>
      <c r="K162" s="184" t="str">
        <f>IF('Option 1'!K162="","",'Option 1'!K162)</f>
        <v/>
      </c>
      <c r="L162" s="184" t="str">
        <f>IF('Option 1'!L162="","",'Option 1'!L162)</f>
        <v/>
      </c>
      <c r="M162" s="184" t="str">
        <f>IF('Option 1'!M162="","",'Option 1'!M162)</f>
        <v/>
      </c>
      <c r="N162" s="184" t="str">
        <f>IF('Option 1'!N162="","",'Option 1'!N162)</f>
        <v/>
      </c>
      <c r="O162" s="184" t="str">
        <f>IF('Option 1'!O162="","",'Option 1'!O162)</f>
        <v/>
      </c>
      <c r="P162" s="124">
        <f t="shared" si="10"/>
        <v>16606</v>
      </c>
    </row>
    <row r="163" spans="1:16" ht="15.75" customHeight="1" x14ac:dyDescent="0.25">
      <c r="A163" s="239"/>
      <c r="B163" s="4" t="str">
        <f>IF('Option 1'!B163="","",'Option 1'!B163)</f>
        <v/>
      </c>
      <c r="C163" s="188" t="str">
        <f>IF('Option 1'!C163="","",'Option 1'!C163)</f>
        <v>Sconce Light Fixtures</v>
      </c>
      <c r="D163" s="186" t="str">
        <f>IF('Option 1'!D163="","",'Option 1'!D163)</f>
        <v/>
      </c>
      <c r="E163" s="184" t="str">
        <f>IF('Option 1'!E163="","",'Option 1'!E163)</f>
        <v/>
      </c>
      <c r="F163" s="184" t="str">
        <f>IF('Option 1'!F163="","",'Option 1'!F163)</f>
        <v/>
      </c>
      <c r="G163" s="184" t="str">
        <f>IF('Option 1'!G163="","",'Option 1'!G163)</f>
        <v/>
      </c>
      <c r="H163" s="184">
        <f>IF('Option 1'!H163="","",'Option 1'!H163)</f>
        <v>77495</v>
      </c>
      <c r="I163" s="184" t="str">
        <f>IF('Option 1'!I163="","",'Option 1'!I163)</f>
        <v/>
      </c>
      <c r="J163" s="184" t="str">
        <f>IF('Option 1'!J163="","",'Option 1'!J163)</f>
        <v/>
      </c>
      <c r="K163" s="184" t="str">
        <f>IF('Option 1'!K163="","",'Option 1'!K163)</f>
        <v/>
      </c>
      <c r="L163" s="184" t="str">
        <f>IF('Option 1'!L163="","",'Option 1'!L163)</f>
        <v/>
      </c>
      <c r="M163" s="184" t="str">
        <f>IF('Option 1'!M163="","",'Option 1'!M163)</f>
        <v/>
      </c>
      <c r="N163" s="184" t="str">
        <f>IF('Option 1'!N163="","",'Option 1'!N163)</f>
        <v/>
      </c>
      <c r="O163" s="184" t="str">
        <f>IF('Option 1'!O163="","",'Option 1'!O163)</f>
        <v/>
      </c>
      <c r="P163" s="124">
        <f t="shared" si="10"/>
        <v>77495</v>
      </c>
    </row>
    <row r="164" spans="1:16" ht="15.75" customHeight="1" x14ac:dyDescent="0.25">
      <c r="A164" s="239"/>
      <c r="B164" s="4" t="str">
        <f>IF('Option 1'!B164="","",'Option 1'!B164)</f>
        <v/>
      </c>
      <c r="C164" s="188" t="str">
        <f>IF('Option 1'!C164="","",'Option 1'!C164)</f>
        <v>Lobby Ceiling Light Fixtures</v>
      </c>
      <c r="D164" s="186" t="str">
        <f>IF('Option 1'!D164="","",'Option 1'!D164)</f>
        <v/>
      </c>
      <c r="E164" s="184" t="str">
        <f>IF('Option 1'!E164="","",'Option 1'!E164)</f>
        <v/>
      </c>
      <c r="F164" s="184" t="str">
        <f>IF('Option 1'!F164="","",'Option 1'!F164)</f>
        <v/>
      </c>
      <c r="G164" s="184" t="str">
        <f>IF('Option 1'!G164="","",'Option 1'!G164)</f>
        <v/>
      </c>
      <c r="H164" s="184" t="str">
        <f>IF('Option 1'!H164="","",'Option 1'!H164)</f>
        <v/>
      </c>
      <c r="I164" s="184" t="str">
        <f>IF('Option 1'!I164="","",'Option 1'!I164)</f>
        <v/>
      </c>
      <c r="J164" s="184">
        <f>IF('Option 1'!J164="","",'Option 1'!J164)</f>
        <v>11071</v>
      </c>
      <c r="K164" s="184" t="str">
        <f>IF('Option 1'!K164="","",'Option 1'!K164)</f>
        <v/>
      </c>
      <c r="L164" s="184" t="str">
        <f>IF('Option 1'!L164="","",'Option 1'!L164)</f>
        <v/>
      </c>
      <c r="M164" s="184" t="str">
        <f>IF('Option 1'!M164="","",'Option 1'!M164)</f>
        <v/>
      </c>
      <c r="N164" s="184" t="str">
        <f>IF('Option 1'!N164="","",'Option 1'!N164)</f>
        <v/>
      </c>
      <c r="O164" s="184" t="str">
        <f>IF('Option 1'!O164="","",'Option 1'!O164)</f>
        <v/>
      </c>
      <c r="P164" s="124">
        <f t="shared" si="10"/>
        <v>11071</v>
      </c>
    </row>
    <row r="165" spans="1:16" ht="15.75" customHeight="1" x14ac:dyDescent="0.25">
      <c r="A165" s="239"/>
      <c r="B165" s="4" t="str">
        <f>IF('Option 1'!B165="","",'Option 1'!B165)</f>
        <v/>
      </c>
      <c r="C165" s="188" t="str">
        <f>IF('Option 1'!C165="","",'Option 1'!C165)</f>
        <v>Stair Light Fixtures</v>
      </c>
      <c r="D165" s="186" t="str">
        <f>IF('Option 1'!D165="","",'Option 1'!D165)</f>
        <v/>
      </c>
      <c r="E165" s="184" t="str">
        <f>IF('Option 1'!E165="","",'Option 1'!E165)</f>
        <v/>
      </c>
      <c r="F165" s="184" t="str">
        <f>IF('Option 1'!F165="","",'Option 1'!F165)</f>
        <v/>
      </c>
      <c r="G165" s="184" t="str">
        <f>IF('Option 1'!G165="","",'Option 1'!G165)</f>
        <v/>
      </c>
      <c r="H165" s="184">
        <f>IF('Option 1'!H165="","",'Option 1'!H165)</f>
        <v>19373</v>
      </c>
      <c r="I165" s="184" t="str">
        <f>IF('Option 1'!I165="","",'Option 1'!I165)</f>
        <v/>
      </c>
      <c r="J165" s="184" t="str">
        <f>IF('Option 1'!J165="","",'Option 1'!J165)</f>
        <v/>
      </c>
      <c r="K165" s="184" t="str">
        <f>IF('Option 1'!K165="","",'Option 1'!K165)</f>
        <v/>
      </c>
      <c r="L165" s="184" t="str">
        <f>IF('Option 1'!L165="","",'Option 1'!L165)</f>
        <v/>
      </c>
      <c r="M165" s="184" t="str">
        <f>IF('Option 1'!M165="","",'Option 1'!M165)</f>
        <v/>
      </c>
      <c r="N165" s="184" t="str">
        <f>IF('Option 1'!N165="","",'Option 1'!N165)</f>
        <v/>
      </c>
      <c r="O165" s="184" t="str">
        <f>IF('Option 1'!O165="","",'Option 1'!O165)</f>
        <v/>
      </c>
      <c r="P165" s="124">
        <f t="shared" si="10"/>
        <v>19373</v>
      </c>
    </row>
    <row r="166" spans="1:16" ht="15.75" customHeight="1" x14ac:dyDescent="0.25">
      <c r="A166" s="239"/>
      <c r="B166" s="4" t="str">
        <f>IF('Option 1'!B166="","",'Option 1'!B166)</f>
        <v/>
      </c>
      <c r="C166" s="188" t="str">
        <f>IF('Option 1'!C166="","",'Option 1'!C166)</f>
        <v>Lobby Chandeliers</v>
      </c>
      <c r="D166" s="186" t="str">
        <f>IF('Option 1'!D166="","",'Option 1'!D166)</f>
        <v/>
      </c>
      <c r="E166" s="184" t="str">
        <f>IF('Option 1'!E166="","",'Option 1'!E166)</f>
        <v/>
      </c>
      <c r="F166" s="184" t="str">
        <f>IF('Option 1'!F166="","",'Option 1'!F166)</f>
        <v/>
      </c>
      <c r="G166" s="184" t="str">
        <f>IF('Option 1'!G166="","",'Option 1'!G166)</f>
        <v/>
      </c>
      <c r="H166" s="184" t="str">
        <f>IF('Option 1'!H166="","",'Option 1'!H166)</f>
        <v/>
      </c>
      <c r="I166" s="184" t="str">
        <f>IF('Option 1'!I166="","",'Option 1'!I166)</f>
        <v/>
      </c>
      <c r="J166" s="184" t="str">
        <f>IF('Option 1'!J166="","",'Option 1'!J166)</f>
        <v/>
      </c>
      <c r="K166" s="184" t="str">
        <f>IF('Option 1'!K166="","",'Option 1'!K166)</f>
        <v/>
      </c>
      <c r="L166" s="184" t="str">
        <f>IF('Option 1'!L166="","",'Option 1'!L166)</f>
        <v/>
      </c>
      <c r="M166" s="184">
        <f>IF('Option 1'!M166="","",'Option 1'!M166)</f>
        <v>9964</v>
      </c>
      <c r="N166" s="184" t="str">
        <f>IF('Option 1'!N166="","",'Option 1'!N166)</f>
        <v/>
      </c>
      <c r="O166" s="184" t="str">
        <f>IF('Option 1'!O166="","",'Option 1'!O166)</f>
        <v/>
      </c>
      <c r="P166" s="124">
        <f t="shared" si="10"/>
        <v>9964</v>
      </c>
    </row>
    <row r="167" spans="1:16" ht="15.75" customHeight="1" x14ac:dyDescent="0.25">
      <c r="A167" s="239"/>
      <c r="B167" s="4" t="str">
        <f>IF('Option 1'!B167="","",'Option 1'!B167)</f>
        <v/>
      </c>
      <c r="C167" s="188" t="str">
        <f>IF('Option 1'!C167="","",'Option 1'!C167)</f>
        <v>Surface Light Fixtures</v>
      </c>
      <c r="D167" s="186" t="str">
        <f>IF('Option 1'!D167="","",'Option 1'!D167)</f>
        <v/>
      </c>
      <c r="E167" s="184" t="str">
        <f>IF('Option 1'!E167="","",'Option 1'!E167)</f>
        <v/>
      </c>
      <c r="F167" s="184" t="str">
        <f>IF('Option 1'!F167="","",'Option 1'!F167)</f>
        <v/>
      </c>
      <c r="G167" s="184" t="str">
        <f>IF('Option 1'!G167="","",'Option 1'!G167)</f>
        <v/>
      </c>
      <c r="H167" s="184" t="str">
        <f>IF('Option 1'!H167="","",'Option 1'!H167)</f>
        <v/>
      </c>
      <c r="I167" s="184" t="str">
        <f>IF('Option 1'!I167="","",'Option 1'!I167)</f>
        <v/>
      </c>
      <c r="J167" s="184" t="str">
        <f>IF('Option 1'!J167="","",'Option 1'!J167)</f>
        <v/>
      </c>
      <c r="K167" s="184" t="str">
        <f>IF('Option 1'!K167="","",'Option 1'!K167)</f>
        <v/>
      </c>
      <c r="L167" s="184" t="str">
        <f>IF('Option 1'!L167="","",'Option 1'!L167)</f>
        <v/>
      </c>
      <c r="M167" s="184" t="str">
        <f>IF('Option 1'!M167="","",'Option 1'!M167)</f>
        <v/>
      </c>
      <c r="N167" s="184" t="str">
        <f>IF('Option 1'!N167="","",'Option 1'!N167)</f>
        <v/>
      </c>
      <c r="O167" s="184" t="str">
        <f>IF('Option 1'!O167="","",'Option 1'!O167)</f>
        <v/>
      </c>
      <c r="P167" s="124">
        <f t="shared" si="10"/>
        <v>0</v>
      </c>
    </row>
    <row r="168" spans="1:16" ht="15.75" customHeight="1" x14ac:dyDescent="0.25">
      <c r="A168" s="239"/>
      <c r="B168" s="4" t="str">
        <f>IF('Option 1'!B168="","",'Option 1'!B168)</f>
        <v/>
      </c>
      <c r="C168" s="188" t="str">
        <f>IF('Option 1'!C168="","",'Option 1'!C168)</f>
        <v>Downlights</v>
      </c>
      <c r="D168" s="186" t="str">
        <f>IF('Option 1'!D168="","",'Option 1'!D168)</f>
        <v/>
      </c>
      <c r="E168" s="184" t="str">
        <f>IF('Option 1'!E168="","",'Option 1'!E168)</f>
        <v/>
      </c>
      <c r="F168" s="184" t="str">
        <f>IF('Option 1'!F168="","",'Option 1'!F168)</f>
        <v/>
      </c>
      <c r="G168" s="184" t="str">
        <f>IF('Option 1'!G168="","",'Option 1'!G168)</f>
        <v/>
      </c>
      <c r="H168" s="184">
        <f>IF('Option 1'!H168="","",'Option 1'!H168)</f>
        <v>3321</v>
      </c>
      <c r="I168" s="184" t="str">
        <f>IF('Option 1'!I168="","",'Option 1'!I168)</f>
        <v/>
      </c>
      <c r="J168" s="184" t="str">
        <f>IF('Option 1'!J168="","",'Option 1'!J168)</f>
        <v/>
      </c>
      <c r="K168" s="184" t="str">
        <f>IF('Option 1'!K168="","",'Option 1'!K168)</f>
        <v/>
      </c>
      <c r="L168" s="184" t="str">
        <f>IF('Option 1'!L168="","",'Option 1'!L168)</f>
        <v/>
      </c>
      <c r="M168" s="184" t="str">
        <f>IF('Option 1'!M168="","",'Option 1'!M168)</f>
        <v/>
      </c>
      <c r="N168" s="184" t="str">
        <f>IF('Option 1'!N168="","",'Option 1'!N168)</f>
        <v/>
      </c>
      <c r="O168" s="184" t="str">
        <f>IF('Option 1'!O168="","",'Option 1'!O168)</f>
        <v/>
      </c>
      <c r="P168" s="124">
        <f t="shared" si="10"/>
        <v>3321</v>
      </c>
    </row>
    <row r="169" spans="1:16" ht="15.75" customHeight="1" x14ac:dyDescent="0.25">
      <c r="A169" s="239"/>
      <c r="B169" s="4" t="str">
        <f>IF('Option 1'!B169="","",'Option 1'!B169)</f>
        <v/>
      </c>
      <c r="C169" s="188" t="str">
        <f>IF('Option 1'!C169="","",'Option 1'!C169)</f>
        <v>Fire Alarm Systems</v>
      </c>
      <c r="D169" s="186" t="str">
        <f>IF('Option 1'!D169="","",'Option 1'!D169)</f>
        <v/>
      </c>
      <c r="E169" s="184" t="str">
        <f>IF('Option 1'!E169="","",'Option 1'!E169)</f>
        <v/>
      </c>
      <c r="F169" s="184" t="str">
        <f>IF('Option 1'!F169="","",'Option 1'!F169)</f>
        <v/>
      </c>
      <c r="G169" s="184" t="str">
        <f>IF('Option 1'!G169="","",'Option 1'!G169)</f>
        <v/>
      </c>
      <c r="H169" s="184" t="str">
        <f>IF('Option 1'!H169="","",'Option 1'!H169)</f>
        <v/>
      </c>
      <c r="I169" s="184" t="str">
        <f>IF('Option 1'!I169="","",'Option 1'!I169)</f>
        <v/>
      </c>
      <c r="J169" s="184" t="str">
        <f>IF('Option 1'!J169="","",'Option 1'!J169)</f>
        <v/>
      </c>
      <c r="K169" s="184" t="str">
        <f>IF('Option 1'!K169="","",'Option 1'!K169)</f>
        <v/>
      </c>
      <c r="L169" s="184" t="str">
        <f>IF('Option 1'!L169="","",'Option 1'!L169)</f>
        <v/>
      </c>
      <c r="M169" s="184" t="str">
        <f>IF('Option 1'!M169="","",'Option 1'!M169)</f>
        <v/>
      </c>
      <c r="N169" s="184" t="str">
        <f>IF('Option 1'!N169="","",'Option 1'!N169)</f>
        <v/>
      </c>
      <c r="O169" s="184" t="str">
        <f>IF('Option 1'!O169="","",'Option 1'!O169)</f>
        <v/>
      </c>
      <c r="P169" s="124">
        <f t="shared" si="10"/>
        <v>0</v>
      </c>
    </row>
    <row r="170" spans="1:16" ht="15.75" customHeight="1" x14ac:dyDescent="0.25">
      <c r="A170" s="239"/>
      <c r="B170" s="4" t="str">
        <f>IF('Option 1'!B170="","",'Option 1'!B170)</f>
        <v/>
      </c>
      <c r="C170" s="188" t="str">
        <f>IF('Option 1'!C170="","",'Option 1'!C170)</f>
        <v>Automatic Garage Doors</v>
      </c>
      <c r="D170" s="186" t="str">
        <f>IF('Option 1'!D170="","",'Option 1'!D170)</f>
        <v/>
      </c>
      <c r="E170" s="184" t="str">
        <f>IF('Option 1'!E170="","",'Option 1'!E170)</f>
        <v/>
      </c>
      <c r="F170" s="184" t="str">
        <f>IF('Option 1'!F170="","",'Option 1'!F170)</f>
        <v/>
      </c>
      <c r="G170" s="184" t="str">
        <f>IF('Option 1'!G170="","",'Option 1'!G170)</f>
        <v/>
      </c>
      <c r="H170" s="184">
        <f>IF('Option 1'!H170="","",'Option 1'!H170)</f>
        <v>39675</v>
      </c>
      <c r="I170" s="184" t="str">
        <f>IF('Option 1'!I170="","",'Option 1'!I170)</f>
        <v/>
      </c>
      <c r="J170" s="184" t="str">
        <f>IF('Option 1'!J170="","",'Option 1'!J170)</f>
        <v/>
      </c>
      <c r="K170" s="184" t="str">
        <f>IF('Option 1'!K170="","",'Option 1'!K170)</f>
        <v/>
      </c>
      <c r="L170" s="184" t="str">
        <f>IF('Option 1'!L170="","",'Option 1'!L170)</f>
        <v/>
      </c>
      <c r="M170" s="184" t="str">
        <f>IF('Option 1'!M170="","",'Option 1'!M170)</f>
        <v/>
      </c>
      <c r="N170" s="184" t="str">
        <f>IF('Option 1'!N170="","",'Option 1'!N170)</f>
        <v/>
      </c>
      <c r="O170" s="184" t="str">
        <f>IF('Option 1'!O170="","",'Option 1'!O170)</f>
        <v/>
      </c>
      <c r="P170" s="124">
        <f t="shared" si="10"/>
        <v>39675</v>
      </c>
    </row>
    <row r="171" spans="1:16" ht="15.75" customHeight="1" x14ac:dyDescent="0.25">
      <c r="A171" s="239"/>
      <c r="B171" s="4" t="str">
        <f>IF('Option 1'!B171="","",'Option 1'!B171)</f>
        <v/>
      </c>
      <c r="C171" s="188" t="str">
        <f>IF('Option 1'!C171="","",'Option 1'!C171)</f>
        <v>Electrical System</v>
      </c>
      <c r="D171" s="186" t="str">
        <f>IF('Option 1'!D171="","",'Option 1'!D171)</f>
        <v/>
      </c>
      <c r="E171" s="184" t="str">
        <f>IF('Option 1'!E171="","",'Option 1'!E171)</f>
        <v/>
      </c>
      <c r="F171" s="184" t="str">
        <f>IF('Option 1'!F171="","",'Option 1'!F171)</f>
        <v/>
      </c>
      <c r="G171" s="184" t="str">
        <f>IF('Option 1'!G171="","",'Option 1'!G171)</f>
        <v/>
      </c>
      <c r="H171" s="184" t="str">
        <f>IF('Option 1'!H171="","",'Option 1'!H171)</f>
        <v/>
      </c>
      <c r="I171" s="184" t="str">
        <f>IF('Option 1'!I171="","",'Option 1'!I171)</f>
        <v/>
      </c>
      <c r="J171" s="184" t="str">
        <f>IF('Option 1'!J171="","",'Option 1'!J171)</f>
        <v/>
      </c>
      <c r="K171" s="184" t="str">
        <f>IF('Option 1'!K171="","",'Option 1'!K171)</f>
        <v/>
      </c>
      <c r="L171" s="184" t="str">
        <f>IF('Option 1'!L171="","",'Option 1'!L171)</f>
        <v/>
      </c>
      <c r="M171" s="184" t="str">
        <f>IF('Option 1'!M171="","",'Option 1'!M171)</f>
        <v/>
      </c>
      <c r="N171" s="184" t="str">
        <f>IF('Option 1'!N171="","",'Option 1'!N171)</f>
        <v/>
      </c>
      <c r="O171" s="184" t="str">
        <f>IF('Option 1'!O171="","",'Option 1'!O171)</f>
        <v/>
      </c>
      <c r="P171" s="124">
        <f t="shared" si="10"/>
        <v>0</v>
      </c>
    </row>
    <row r="172" spans="1:16" ht="15.75" customHeight="1" x14ac:dyDescent="0.25">
      <c r="A172" s="239"/>
      <c r="B172" s="4" t="str">
        <f>IF('Option 1'!B172="","",'Option 1'!B172)</f>
        <v/>
      </c>
      <c r="C172" s="188" t="str">
        <f>IF('Option 1'!C172="","",'Option 1'!C172)</f>
        <v>Exterior Light Fixtures</v>
      </c>
      <c r="D172" s="186" t="str">
        <f>IF('Option 1'!D172="","",'Option 1'!D172)</f>
        <v/>
      </c>
      <c r="E172" s="184" t="str">
        <f>IF('Option 1'!E172="","",'Option 1'!E172)</f>
        <v/>
      </c>
      <c r="F172" s="184" t="str">
        <f>IF('Option 1'!F172="","",'Option 1'!F172)</f>
        <v/>
      </c>
      <c r="G172" s="184" t="str">
        <f>IF('Option 1'!G172="","",'Option 1'!G172)</f>
        <v/>
      </c>
      <c r="H172" s="184" t="str">
        <f>IF('Option 1'!H172="","",'Option 1'!H172)</f>
        <v/>
      </c>
      <c r="I172" s="184" t="str">
        <f>IF('Option 1'!I172="","",'Option 1'!I172)</f>
        <v/>
      </c>
      <c r="J172" s="184" t="str">
        <f>IF('Option 1'!J172="","",'Option 1'!J172)</f>
        <v/>
      </c>
      <c r="K172" s="184" t="str">
        <f>IF('Option 1'!K172="","",'Option 1'!K172)</f>
        <v/>
      </c>
      <c r="L172" s="184" t="str">
        <f>IF('Option 1'!L172="","",'Option 1'!L172)</f>
        <v/>
      </c>
      <c r="M172" s="184" t="str">
        <f>IF('Option 1'!M172="","",'Option 1'!M172)</f>
        <v/>
      </c>
      <c r="N172" s="184" t="str">
        <f>IF('Option 1'!N172="","",'Option 1'!N172)</f>
        <v/>
      </c>
      <c r="O172" s="184" t="str">
        <f>IF('Option 1'!O172="","",'Option 1'!O172)</f>
        <v/>
      </c>
      <c r="P172" s="124">
        <f t="shared" si="10"/>
        <v>0</v>
      </c>
    </row>
    <row r="173" spans="1:16" ht="15.75" customHeight="1" x14ac:dyDescent="0.25">
      <c r="A173" s="239"/>
      <c r="B173" s="4" t="str">
        <f>IF('Option 1'!B173="","",'Option 1'!B173)</f>
        <v/>
      </c>
      <c r="C173" s="3" t="str">
        <f>IF('Option 1'!C173="","",'Option 1'!C173)</f>
        <v>Special Construction Elements</v>
      </c>
      <c r="D173" s="186" t="str">
        <f>IF('Option 1'!D173="","",'Option 1'!D173)</f>
        <v/>
      </c>
      <c r="E173" s="184" t="str">
        <f>IF('Option 1'!E173="","",'Option 1'!E173)</f>
        <v/>
      </c>
      <c r="F173" s="184" t="str">
        <f>IF('Option 1'!F173="","",'Option 1'!F173)</f>
        <v/>
      </c>
      <c r="G173" s="184" t="str">
        <f>IF('Option 1'!G173="","",'Option 1'!G173)</f>
        <v/>
      </c>
      <c r="H173" s="184" t="str">
        <f>IF('Option 1'!H173="","",'Option 1'!H173)</f>
        <v/>
      </c>
      <c r="I173" s="184" t="str">
        <f>IF('Option 1'!I173="","",'Option 1'!I173)</f>
        <v/>
      </c>
      <c r="J173" s="184" t="str">
        <f>IF('Option 1'!J173="","",'Option 1'!J173)</f>
        <v/>
      </c>
      <c r="K173" s="184" t="str">
        <f>IF('Option 1'!K173="","",'Option 1'!K173)</f>
        <v/>
      </c>
      <c r="L173" s="184" t="str">
        <f>IF('Option 1'!L173="","",'Option 1'!L173)</f>
        <v/>
      </c>
      <c r="M173" s="184" t="str">
        <f>IF('Option 1'!M173="","",'Option 1'!M173)</f>
        <v/>
      </c>
      <c r="N173" s="184" t="str">
        <f>IF('Option 1'!N173="","",'Option 1'!N173)</f>
        <v/>
      </c>
      <c r="O173" s="184" t="str">
        <f>IF('Option 1'!O173="","",'Option 1'!O173)</f>
        <v/>
      </c>
      <c r="P173" s="124">
        <f t="shared" si="10"/>
        <v>0</v>
      </c>
    </row>
    <row r="174" spans="1:16" ht="15.75" customHeight="1" x14ac:dyDescent="0.25">
      <c r="A174" s="239"/>
      <c r="B174" s="4" t="str">
        <f>IF('Option 1'!B174="","",'Option 1'!B174)</f>
        <v/>
      </c>
      <c r="C174" s="188" t="str">
        <f>IF('Option 1'!C174="","",'Option 1'!C174)</f>
        <v>Pool Heater</v>
      </c>
      <c r="D174" s="186" t="str">
        <f>IF('Option 1'!D174="","",'Option 1'!D174)</f>
        <v/>
      </c>
      <c r="E174" s="184" t="str">
        <f>IF('Option 1'!E174="","",'Option 1'!E174)</f>
        <v/>
      </c>
      <c r="F174" s="184" t="str">
        <f>IF('Option 1'!F174="","",'Option 1'!F174)</f>
        <v/>
      </c>
      <c r="G174" s="184" t="str">
        <f>IF('Option 1'!G174="","",'Option 1'!G174)</f>
        <v/>
      </c>
      <c r="H174" s="184" t="str">
        <f>IF('Option 1'!H174="","",'Option 1'!H174)</f>
        <v/>
      </c>
      <c r="I174" s="184" t="str">
        <f>IF('Option 1'!I174="","",'Option 1'!I174)</f>
        <v/>
      </c>
      <c r="J174" s="184" t="str">
        <f>IF('Option 1'!J174="","",'Option 1'!J174)</f>
        <v/>
      </c>
      <c r="K174" s="184">
        <f>IF('Option 1'!K174="","",'Option 1'!K174)</f>
        <v>8303</v>
      </c>
      <c r="L174" s="184" t="str">
        <f>IF('Option 1'!L174="","",'Option 1'!L174)</f>
        <v/>
      </c>
      <c r="M174" s="184" t="str">
        <f>IF('Option 1'!M174="","",'Option 1'!M174)</f>
        <v/>
      </c>
      <c r="N174" s="184" t="str">
        <f>IF('Option 1'!N174="","",'Option 1'!N174)</f>
        <v/>
      </c>
      <c r="O174" s="184" t="str">
        <f>IF('Option 1'!O174="","",'Option 1'!O174)</f>
        <v/>
      </c>
      <c r="P174" s="124">
        <f t="shared" si="10"/>
        <v>8303</v>
      </c>
    </row>
    <row r="175" spans="1:16" ht="15.75" customHeight="1" x14ac:dyDescent="0.25">
      <c r="A175" s="239"/>
      <c r="B175" s="4" t="str">
        <f>IF('Option 1'!B175="","",'Option 1'!B175)</f>
        <v/>
      </c>
      <c r="C175" s="188" t="str">
        <f>IF('Option 1'!C175="","",'Option 1'!C175)</f>
        <v>Sand Filters</v>
      </c>
      <c r="D175" s="186" t="str">
        <f>IF('Option 1'!D175="","",'Option 1'!D175)</f>
        <v/>
      </c>
      <c r="E175" s="184" t="str">
        <f>IF('Option 1'!E175="","",'Option 1'!E175)</f>
        <v/>
      </c>
      <c r="F175" s="184" t="str">
        <f>IF('Option 1'!F175="","",'Option 1'!F175)</f>
        <v/>
      </c>
      <c r="G175" s="184" t="str">
        <f>IF('Option 1'!G175="","",'Option 1'!G175)</f>
        <v/>
      </c>
      <c r="H175" s="184" t="str">
        <f>IF('Option 1'!H175="","",'Option 1'!H175)</f>
        <v/>
      </c>
      <c r="I175" s="184" t="str">
        <f>IF('Option 1'!I175="","",'Option 1'!I175)</f>
        <v/>
      </c>
      <c r="J175" s="184" t="str">
        <f>IF('Option 1'!J175="","",'Option 1'!J175)</f>
        <v/>
      </c>
      <c r="K175" s="184" t="str">
        <f>IF('Option 1'!K175="","",'Option 1'!K175)</f>
        <v/>
      </c>
      <c r="L175" s="184" t="str">
        <f>IF('Option 1'!L175="","",'Option 1'!L175)</f>
        <v/>
      </c>
      <c r="M175" s="184" t="str">
        <f>IF('Option 1'!M175="","",'Option 1'!M175)</f>
        <v/>
      </c>
      <c r="N175" s="184" t="str">
        <f>IF('Option 1'!N175="","",'Option 1'!N175)</f>
        <v/>
      </c>
      <c r="O175" s="184" t="str">
        <f>IF('Option 1'!O175="","",'Option 1'!O175)</f>
        <v/>
      </c>
      <c r="P175" s="124">
        <f t="shared" si="10"/>
        <v>0</v>
      </c>
    </row>
    <row r="176" spans="1:16" ht="15.75" customHeight="1" x14ac:dyDescent="0.25">
      <c r="A176" s="239"/>
      <c r="B176" s="4" t="str">
        <f>IF('Option 1'!B176="","",'Option 1'!B176)</f>
        <v/>
      </c>
      <c r="C176" s="188" t="str">
        <f>IF('Option 1'!C176="","",'Option 1'!C176)</f>
        <v xml:space="preserve">Pump </v>
      </c>
      <c r="D176" s="186" t="str">
        <f>IF('Option 1'!D176="","",'Option 1'!D176)</f>
        <v/>
      </c>
      <c r="E176" s="184" t="str">
        <f>IF('Option 1'!E176="","",'Option 1'!E176)</f>
        <v/>
      </c>
      <c r="F176" s="184" t="str">
        <f>IF('Option 1'!F176="","",'Option 1'!F176)</f>
        <v/>
      </c>
      <c r="G176" s="184" t="str">
        <f>IF('Option 1'!G176="","",'Option 1'!G176)</f>
        <v/>
      </c>
      <c r="H176" s="184">
        <f>IF('Option 1'!H176="","",'Option 1'!H176)</f>
        <v>6919</v>
      </c>
      <c r="I176" s="184" t="str">
        <f>IF('Option 1'!I176="","",'Option 1'!I176)</f>
        <v/>
      </c>
      <c r="J176" s="184" t="str">
        <f>IF('Option 1'!J176="","",'Option 1'!J176)</f>
        <v/>
      </c>
      <c r="K176" s="184" t="str">
        <f>IF('Option 1'!K176="","",'Option 1'!K176)</f>
        <v/>
      </c>
      <c r="L176" s="184" t="str">
        <f>IF('Option 1'!L176="","",'Option 1'!L176)</f>
        <v/>
      </c>
      <c r="M176" s="184" t="str">
        <f>IF('Option 1'!M176="","",'Option 1'!M176)</f>
        <v/>
      </c>
      <c r="N176" s="184" t="str">
        <f>IF('Option 1'!N176="","",'Option 1'!N176)</f>
        <v/>
      </c>
      <c r="O176" s="184" t="str">
        <f>IF('Option 1'!O176="","",'Option 1'!O176)</f>
        <v/>
      </c>
      <c r="P176" s="124">
        <f t="shared" si="10"/>
        <v>6919</v>
      </c>
    </row>
    <row r="177" spans="1:16" ht="15.75" customHeight="1" x14ac:dyDescent="0.25">
      <c r="A177" s="239"/>
      <c r="B177" s="4" t="str">
        <f>IF('Option 1'!B177="","",'Option 1'!B177)</f>
        <v/>
      </c>
      <c r="C177" s="188" t="str">
        <f>IF('Option 1'!C177="","",'Option 1'!C177)</f>
        <v>Pool Room Piping</v>
      </c>
      <c r="D177" s="186" t="str">
        <f>IF('Option 1'!D177="","",'Option 1'!D177)</f>
        <v/>
      </c>
      <c r="E177" s="184" t="str">
        <f>IF('Option 1'!E177="","",'Option 1'!E177)</f>
        <v/>
      </c>
      <c r="F177" s="184" t="str">
        <f>IF('Option 1'!F177="","",'Option 1'!F177)</f>
        <v/>
      </c>
      <c r="G177" s="184" t="str">
        <f>IF('Option 1'!G177="","",'Option 1'!G177)</f>
        <v/>
      </c>
      <c r="H177" s="184" t="str">
        <f>IF('Option 1'!H177="","",'Option 1'!H177)</f>
        <v/>
      </c>
      <c r="I177" s="184" t="str">
        <f>IF('Option 1'!I177="","",'Option 1'!I177)</f>
        <v/>
      </c>
      <c r="J177" s="184">
        <f>IF('Option 1'!J177="","",'Option 1'!J177)</f>
        <v>20758</v>
      </c>
      <c r="K177" s="184" t="str">
        <f>IF('Option 1'!K177="","",'Option 1'!K177)</f>
        <v/>
      </c>
      <c r="L177" s="184" t="str">
        <f>IF('Option 1'!L177="","",'Option 1'!L177)</f>
        <v/>
      </c>
      <c r="M177" s="184" t="str">
        <f>IF('Option 1'!M177="","",'Option 1'!M177)</f>
        <v/>
      </c>
      <c r="N177" s="184" t="str">
        <f>IF('Option 1'!N177="","",'Option 1'!N177)</f>
        <v/>
      </c>
      <c r="O177" s="184" t="str">
        <f>IF('Option 1'!O177="","",'Option 1'!O177)</f>
        <v/>
      </c>
      <c r="P177" s="124">
        <f t="shared" si="10"/>
        <v>20758</v>
      </c>
    </row>
    <row r="178" spans="1:16" ht="15.75" customHeight="1" x14ac:dyDescent="0.25">
      <c r="A178" s="239"/>
      <c r="B178" s="4" t="str">
        <f>IF('Option 1'!B178="","",'Option 1'!B178)</f>
        <v/>
      </c>
      <c r="C178" s="188" t="str">
        <f>IF('Option 1'!C178="","",'Option 1'!C178)</f>
        <v>Swimming Pool</v>
      </c>
      <c r="D178" s="186" t="str">
        <f>IF('Option 1'!D178="","",'Option 1'!D178)</f>
        <v/>
      </c>
      <c r="E178" s="184" t="str">
        <f>IF('Option 1'!E178="","",'Option 1'!E178)</f>
        <v/>
      </c>
      <c r="F178" s="184" t="str">
        <f>IF('Option 1'!F178="","",'Option 1'!F178)</f>
        <v/>
      </c>
      <c r="G178" s="184" t="str">
        <f>IF('Option 1'!G178="","",'Option 1'!G178)</f>
        <v/>
      </c>
      <c r="H178" s="184" t="str">
        <f>IF('Option 1'!H178="","",'Option 1'!H178)</f>
        <v/>
      </c>
      <c r="I178" s="184" t="str">
        <f>IF('Option 1'!I178="","",'Option 1'!I178)</f>
        <v/>
      </c>
      <c r="J178" s="184" t="str">
        <f>IF('Option 1'!J178="","",'Option 1'!J178)</f>
        <v/>
      </c>
      <c r="K178" s="184" t="str">
        <f>IF('Option 1'!K178="","",'Option 1'!K178)</f>
        <v/>
      </c>
      <c r="L178" s="184" t="str">
        <f>IF('Option 1'!L178="","",'Option 1'!L178)</f>
        <v/>
      </c>
      <c r="M178" s="184" t="str">
        <f>IF('Option 1'!M178="","",'Option 1'!M178)</f>
        <v/>
      </c>
      <c r="N178" s="184" t="str">
        <f>IF('Option 1'!N178="","",'Option 1'!N178)</f>
        <v/>
      </c>
      <c r="O178" s="184" t="str">
        <f>IF('Option 1'!O178="","",'Option 1'!O178)</f>
        <v/>
      </c>
      <c r="P178" s="124">
        <f t="shared" si="10"/>
        <v>0</v>
      </c>
    </row>
    <row r="179" spans="1:16" ht="15.75" customHeight="1" x14ac:dyDescent="0.25">
      <c r="A179" s="239"/>
      <c r="B179" s="4" t="str">
        <f>IF('Option 1'!B179="","",'Option 1'!B179)</f>
        <v/>
      </c>
      <c r="C179" s="188" t="str">
        <f>IF('Option 1'!C179="","",'Option 1'!C179)</f>
        <v>Concrete Pool Deck</v>
      </c>
      <c r="D179" s="186" t="str">
        <f>IF('Option 1'!D179="","",'Option 1'!D179)</f>
        <v/>
      </c>
      <c r="E179" s="184" t="str">
        <f>IF('Option 1'!E179="","",'Option 1'!E179)</f>
        <v/>
      </c>
      <c r="F179" s="184" t="str">
        <f>IF('Option 1'!F179="","",'Option 1'!F179)</f>
        <v/>
      </c>
      <c r="G179" s="184" t="str">
        <f>IF('Option 1'!G179="","",'Option 1'!G179)</f>
        <v/>
      </c>
      <c r="H179" s="184" t="str">
        <f>IF('Option 1'!H179="","",'Option 1'!H179)</f>
        <v/>
      </c>
      <c r="I179" s="184" t="str">
        <f>IF('Option 1'!I179="","",'Option 1'!I179)</f>
        <v/>
      </c>
      <c r="J179" s="184" t="str">
        <f>IF('Option 1'!J179="","",'Option 1'!J179)</f>
        <v/>
      </c>
      <c r="K179" s="184" t="str">
        <f>IF('Option 1'!K179="","",'Option 1'!K179)</f>
        <v/>
      </c>
      <c r="L179" s="184" t="str">
        <f>IF('Option 1'!L179="","",'Option 1'!L179)</f>
        <v/>
      </c>
      <c r="M179" s="184" t="str">
        <f>IF('Option 1'!M179="","",'Option 1'!M179)</f>
        <v/>
      </c>
      <c r="N179" s="184">
        <f>IF('Option 1'!N179="","",'Option 1'!N179)</f>
        <v>78025</v>
      </c>
      <c r="O179" s="184" t="str">
        <f>IF('Option 1'!O179="","",'Option 1'!O179)</f>
        <v/>
      </c>
      <c r="P179" s="124">
        <f t="shared" si="10"/>
        <v>78025</v>
      </c>
    </row>
    <row r="180" spans="1:16" ht="15.75" customHeight="1" x14ac:dyDescent="0.25">
      <c r="A180" s="239"/>
      <c r="B180" s="4" t="str">
        <f>IF('Option 1'!B180="","",'Option 1'!B180)</f>
        <v/>
      </c>
      <c r="C180" s="188" t="str">
        <f>IF('Option 1'!C180="","",'Option 1'!C180)</f>
        <v>Brick Picnic Deck</v>
      </c>
      <c r="D180" s="186" t="str">
        <f>IF('Option 1'!D180="","",'Option 1'!D180)</f>
        <v/>
      </c>
      <c r="E180" s="184" t="str">
        <f>IF('Option 1'!E180="","",'Option 1'!E180)</f>
        <v/>
      </c>
      <c r="F180" s="184" t="str">
        <f>IF('Option 1'!F180="","",'Option 1'!F180)</f>
        <v/>
      </c>
      <c r="G180" s="184" t="str">
        <f>IF('Option 1'!G180="","",'Option 1'!G180)</f>
        <v/>
      </c>
      <c r="H180" s="184" t="str">
        <f>IF('Option 1'!H180="","",'Option 1'!H180)</f>
        <v/>
      </c>
      <c r="I180" s="184" t="str">
        <f>IF('Option 1'!I180="","",'Option 1'!I180)</f>
        <v/>
      </c>
      <c r="J180" s="184" t="str">
        <f>IF('Option 1'!J180="","",'Option 1'!J180)</f>
        <v/>
      </c>
      <c r="K180" s="184" t="str">
        <f>IF('Option 1'!K180="","",'Option 1'!K180)</f>
        <v/>
      </c>
      <c r="L180" s="184" t="str">
        <f>IF('Option 1'!L180="","",'Option 1'!L180)</f>
        <v/>
      </c>
      <c r="M180" s="184" t="str">
        <f>IF('Option 1'!M180="","",'Option 1'!M180)</f>
        <v/>
      </c>
      <c r="N180" s="184" t="str">
        <f>IF('Option 1'!N180="","",'Option 1'!N180)</f>
        <v/>
      </c>
      <c r="O180" s="184" t="str">
        <f>IF('Option 1'!O180="","",'Option 1'!O180)</f>
        <v/>
      </c>
      <c r="P180" s="124">
        <f t="shared" si="10"/>
        <v>0</v>
      </c>
    </row>
    <row r="181" spans="1:16" ht="15.75" customHeight="1" x14ac:dyDescent="0.25">
      <c r="A181" s="239"/>
      <c r="B181" s="4" t="str">
        <f>IF('Option 1'!B181="","",'Option 1'!B181)</f>
        <v/>
      </c>
      <c r="C181" s="188" t="str">
        <f>IF('Option 1'!C181="","",'Option 1'!C181)</f>
        <v>Tennis Court Net and Posts</v>
      </c>
      <c r="D181" s="186">
        <f>IF('Option 1'!D181="","",'Option 1'!D181)</f>
        <v>4000</v>
      </c>
      <c r="E181" s="184" t="str">
        <f>IF('Option 1'!E181="","",'Option 1'!E181)</f>
        <v/>
      </c>
      <c r="F181" s="184" t="str">
        <f>IF('Option 1'!F181="","",'Option 1'!F181)</f>
        <v/>
      </c>
      <c r="G181" s="184" t="str">
        <f>IF('Option 1'!G181="","",'Option 1'!G181)</f>
        <v/>
      </c>
      <c r="H181" s="184" t="str">
        <f>IF('Option 1'!H181="","",'Option 1'!H181)</f>
        <v/>
      </c>
      <c r="I181" s="184" t="str">
        <f>IF('Option 1'!I181="","",'Option 1'!I181)</f>
        <v/>
      </c>
      <c r="J181" s="184" t="str">
        <f>IF('Option 1'!J181="","",'Option 1'!J181)</f>
        <v/>
      </c>
      <c r="K181" s="184" t="str">
        <f>IF('Option 1'!K181="","",'Option 1'!K181)</f>
        <v/>
      </c>
      <c r="L181" s="184" t="str">
        <f>IF('Option 1'!L181="","",'Option 1'!L181)</f>
        <v/>
      </c>
      <c r="M181" s="184" t="str">
        <f>IF('Option 1'!M181="","",'Option 1'!M181)</f>
        <v/>
      </c>
      <c r="N181" s="184" t="str">
        <f>IF('Option 1'!N181="","",'Option 1'!N181)</f>
        <v/>
      </c>
      <c r="O181" s="184" t="str">
        <f>IF('Option 1'!O181="","",'Option 1'!O181)</f>
        <v/>
      </c>
      <c r="P181" s="124">
        <f t="shared" si="10"/>
        <v>4000</v>
      </c>
    </row>
    <row r="182" spans="1:16" ht="15.75" customHeight="1" x14ac:dyDescent="0.25">
      <c r="A182" s="239"/>
      <c r="B182" s="4" t="str">
        <f>IF('Option 1'!B182="","",'Option 1'!B182)</f>
        <v/>
      </c>
      <c r="C182" s="188" t="str">
        <f>IF('Option 1'!C182="","",'Option 1'!C182)</f>
        <v>Tennis Court - Overlay</v>
      </c>
      <c r="D182" s="186" t="str">
        <f>IF('Option 1'!D182="","",'Option 1'!D182)</f>
        <v/>
      </c>
      <c r="E182" s="184" t="str">
        <f>IF('Option 1'!E182="","",'Option 1'!E182)</f>
        <v/>
      </c>
      <c r="F182" s="184" t="str">
        <f>IF('Option 1'!F182="","",'Option 1'!F182)</f>
        <v/>
      </c>
      <c r="G182" s="184" t="str">
        <f>IF('Option 1'!G182="","",'Option 1'!G182)</f>
        <v/>
      </c>
      <c r="H182" s="184" t="str">
        <f>IF('Option 1'!H182="","",'Option 1'!H182)</f>
        <v/>
      </c>
      <c r="I182" s="184">
        <f>IF('Option 1'!I182="","",'Option 1'!I182)</f>
        <v>165000</v>
      </c>
      <c r="J182" s="184" t="str">
        <f>IF('Option 1'!J182="","",'Option 1'!J182)</f>
        <v/>
      </c>
      <c r="K182" s="184" t="str">
        <f>IF('Option 1'!K182="","",'Option 1'!K182)</f>
        <v/>
      </c>
      <c r="L182" s="184" t="str">
        <f>IF('Option 1'!L182="","",'Option 1'!L182)</f>
        <v/>
      </c>
      <c r="M182" s="184" t="str">
        <f>IF('Option 1'!M182="","",'Option 1'!M182)</f>
        <v/>
      </c>
      <c r="N182" s="184" t="str">
        <f>IF('Option 1'!N182="","",'Option 1'!N182)</f>
        <v/>
      </c>
      <c r="O182" s="184" t="str">
        <f>IF('Option 1'!O182="","",'Option 1'!O182)</f>
        <v/>
      </c>
      <c r="P182" s="124">
        <f t="shared" si="10"/>
        <v>165000</v>
      </c>
    </row>
    <row r="183" spans="1:16" ht="15.75" customHeight="1" x14ac:dyDescent="0.25">
      <c r="A183" s="239"/>
      <c r="B183" s="4" t="str">
        <f>IF('Option 1'!B183="","",'Option 1'!B183)</f>
        <v/>
      </c>
      <c r="C183" s="188" t="str">
        <f>IF('Option 1'!C183="","",'Option 1'!C183)</f>
        <v>Tennis Court Fence (10')</v>
      </c>
      <c r="D183" s="186" t="str">
        <f>IF('Option 1'!D183="","",'Option 1'!D183)</f>
        <v/>
      </c>
      <c r="E183" s="184" t="str">
        <f>IF('Option 1'!E183="","",'Option 1'!E183)</f>
        <v/>
      </c>
      <c r="F183" s="184" t="str">
        <f>IF('Option 1'!F183="","",'Option 1'!F183)</f>
        <v/>
      </c>
      <c r="G183" s="184" t="str">
        <f>IF('Option 1'!G183="","",'Option 1'!G183)</f>
        <v/>
      </c>
      <c r="H183" s="184" t="str">
        <f>IF('Option 1'!H183="","",'Option 1'!H183)</f>
        <v/>
      </c>
      <c r="I183" s="184" t="str">
        <f>IF('Option 1'!I183="","",'Option 1'!I183)</f>
        <v/>
      </c>
      <c r="J183" s="184" t="str">
        <f>IF('Option 1'!J183="","",'Option 1'!J183)</f>
        <v/>
      </c>
      <c r="K183" s="184" t="str">
        <f>IF('Option 1'!K183="","",'Option 1'!K183)</f>
        <v/>
      </c>
      <c r="L183" s="184" t="str">
        <f>IF('Option 1'!L183="","",'Option 1'!L183)</f>
        <v/>
      </c>
      <c r="M183" s="184" t="str">
        <f>IF('Option 1'!M183="","",'Option 1'!M183)</f>
        <v/>
      </c>
      <c r="N183" s="184" t="str">
        <f>IF('Option 1'!N183="","",'Option 1'!N183)</f>
        <v/>
      </c>
      <c r="O183" s="184" t="str">
        <f>IF('Option 1'!O183="","",'Option 1'!O183)</f>
        <v/>
      </c>
      <c r="P183" s="124">
        <f t="shared" si="10"/>
        <v>0</v>
      </c>
    </row>
    <row r="184" spans="1:16" ht="15.75" customHeight="1" x14ac:dyDescent="0.25">
      <c r="A184" s="239"/>
      <c r="B184" s="4" t="str">
        <f>IF('Option 1'!B184="","",'Option 1'!B184)</f>
        <v/>
      </c>
      <c r="C184" s="188" t="str">
        <f>IF('Option 1'!C184="","",'Option 1'!C184)</f>
        <v>Pool Furniture</v>
      </c>
      <c r="D184" s="186" t="str">
        <f>IF('Option 1'!D184="","",'Option 1'!D184)</f>
        <v/>
      </c>
      <c r="E184" s="184" t="str">
        <f>IF('Option 1'!E184="","",'Option 1'!E184)</f>
        <v/>
      </c>
      <c r="F184" s="184" t="str">
        <f>IF('Option 1'!F184="","",'Option 1'!F184)</f>
        <v/>
      </c>
      <c r="G184" s="184" t="str">
        <f>IF('Option 1'!G184="","",'Option 1'!G184)</f>
        <v/>
      </c>
      <c r="H184" s="184">
        <f>IF('Option 1'!H184="","",'Option 1'!H184)</f>
        <v>20758</v>
      </c>
      <c r="I184" s="184" t="str">
        <f>IF('Option 1'!I184="","",'Option 1'!I184)</f>
        <v/>
      </c>
      <c r="J184" s="184" t="str">
        <f>IF('Option 1'!J184="","",'Option 1'!J184)</f>
        <v/>
      </c>
      <c r="K184" s="184" t="str">
        <f>IF('Option 1'!K184="","",'Option 1'!K184)</f>
        <v/>
      </c>
      <c r="L184" s="184" t="str">
        <f>IF('Option 1'!L184="","",'Option 1'!L184)</f>
        <v/>
      </c>
      <c r="M184" s="184">
        <f>IF('Option 1'!M184="","",'Option 1'!M184)</f>
        <v>20758</v>
      </c>
      <c r="N184" s="184" t="str">
        <f>IF('Option 1'!N184="","",'Option 1'!N184)</f>
        <v/>
      </c>
      <c r="O184" s="184" t="str">
        <f>IF('Option 1'!O184="","",'Option 1'!O184)</f>
        <v/>
      </c>
      <c r="P184" s="124">
        <f t="shared" si="10"/>
        <v>41516</v>
      </c>
    </row>
    <row r="185" spans="1:16" ht="15.75" customHeight="1" x14ac:dyDescent="0.25">
      <c r="A185" s="239"/>
      <c r="B185" s="4" t="str">
        <f>IF('Option 1'!B185="","",'Option 1'!B185)</f>
        <v/>
      </c>
      <c r="C185" s="188" t="str">
        <f>IF('Option 1'!C185="","",'Option 1'!C185)</f>
        <v>Pool Chainlink Fence</v>
      </c>
      <c r="D185" s="186" t="str">
        <f>IF('Option 1'!D185="","",'Option 1'!D185)</f>
        <v/>
      </c>
      <c r="E185" s="184" t="str">
        <f>IF('Option 1'!E185="","",'Option 1'!E185)</f>
        <v/>
      </c>
      <c r="F185" s="184" t="str">
        <f>IF('Option 1'!F185="","",'Option 1'!F185)</f>
        <v/>
      </c>
      <c r="G185" s="184" t="str">
        <f>IF('Option 1'!G185="","",'Option 1'!G185)</f>
        <v/>
      </c>
      <c r="H185" s="184">
        <f>IF('Option 1'!H185="","",'Option 1'!H185)</f>
        <v>5928</v>
      </c>
      <c r="I185" s="184" t="str">
        <f>IF('Option 1'!I185="","",'Option 1'!I185)</f>
        <v/>
      </c>
      <c r="J185" s="184" t="str">
        <f>IF('Option 1'!J185="","",'Option 1'!J185)</f>
        <v/>
      </c>
      <c r="K185" s="184" t="str">
        <f>IF('Option 1'!K185="","",'Option 1'!K185)</f>
        <v/>
      </c>
      <c r="L185" s="184" t="str">
        <f>IF('Option 1'!L185="","",'Option 1'!L185)</f>
        <v/>
      </c>
      <c r="M185" s="184" t="str">
        <f>IF('Option 1'!M185="","",'Option 1'!M185)</f>
        <v/>
      </c>
      <c r="N185" s="184" t="str">
        <f>IF('Option 1'!N185="","",'Option 1'!N185)</f>
        <v/>
      </c>
      <c r="O185" s="184" t="str">
        <f>IF('Option 1'!O185="","",'Option 1'!O185)</f>
        <v/>
      </c>
      <c r="P185" s="124">
        <f t="shared" si="10"/>
        <v>5928</v>
      </c>
    </row>
    <row r="186" spans="1:16" ht="15.75" customHeight="1" x14ac:dyDescent="0.25">
      <c r="A186" s="239"/>
      <c r="B186" s="4" t="str">
        <f>IF('Option 1'!B186="","",'Option 1'!B186)</f>
        <v/>
      </c>
      <c r="C186" s="188" t="str">
        <f>IF('Option 1'!C186="","",'Option 1'!C186)</f>
        <v>Pool Gutters</v>
      </c>
      <c r="D186" s="186" t="str">
        <f>IF('Option 1'!D186="","",'Option 1'!D186)</f>
        <v/>
      </c>
      <c r="E186" s="184" t="str">
        <f>IF('Option 1'!E186="","",'Option 1'!E186)</f>
        <v/>
      </c>
      <c r="F186" s="184" t="str">
        <f>IF('Option 1'!F186="","",'Option 1'!F186)</f>
        <v/>
      </c>
      <c r="G186" s="184" t="str">
        <f>IF('Option 1'!G186="","",'Option 1'!G186)</f>
        <v/>
      </c>
      <c r="H186" s="184" t="str">
        <f>IF('Option 1'!H186="","",'Option 1'!H186)</f>
        <v/>
      </c>
      <c r="I186" s="184" t="str">
        <f>IF('Option 1'!I186="","",'Option 1'!I186)</f>
        <v/>
      </c>
      <c r="J186" s="184" t="str">
        <f>IF('Option 1'!J186="","",'Option 1'!J186)</f>
        <v/>
      </c>
      <c r="K186" s="184" t="str">
        <f>IF('Option 1'!K186="","",'Option 1'!K186)</f>
        <v/>
      </c>
      <c r="L186" s="184" t="str">
        <f>IF('Option 1'!L186="","",'Option 1'!L186)</f>
        <v/>
      </c>
      <c r="M186" s="184" t="str">
        <f>IF('Option 1'!M186="","",'Option 1'!M186)</f>
        <v/>
      </c>
      <c r="N186" s="184" t="str">
        <f>IF('Option 1'!N186="","",'Option 1'!N186)</f>
        <v/>
      </c>
      <c r="O186" s="184" t="str">
        <f>IF('Option 1'!O186="","",'Option 1'!O186)</f>
        <v/>
      </c>
      <c r="P186" s="124">
        <f t="shared" si="10"/>
        <v>0</v>
      </c>
    </row>
    <row r="187" spans="1:16" ht="15.75" customHeight="1" x14ac:dyDescent="0.25">
      <c r="A187" s="239"/>
      <c r="B187" s="4" t="str">
        <f>IF('Option 1'!B187="","",'Option 1'!B187)</f>
        <v/>
      </c>
      <c r="C187" s="188" t="str">
        <f>IF('Option 1'!C187="","",'Option 1'!C187)</f>
        <v>Pool Resurfacing</v>
      </c>
      <c r="D187" s="186" t="str">
        <f>IF('Option 1'!D187="","",'Option 1'!D187)</f>
        <v/>
      </c>
      <c r="E187" s="184" t="str">
        <f>IF('Option 1'!E187="","",'Option 1'!E187)</f>
        <v/>
      </c>
      <c r="F187" s="184" t="str">
        <f>IF('Option 1'!F187="","",'Option 1'!F187)</f>
        <v/>
      </c>
      <c r="G187" s="184" t="str">
        <f>IF('Option 1'!G187="","",'Option 1'!G187)</f>
        <v/>
      </c>
      <c r="H187" s="184" t="str">
        <f>IF('Option 1'!H187="","",'Option 1'!H187)</f>
        <v/>
      </c>
      <c r="I187" s="184" t="str">
        <f>IF('Option 1'!I187="","",'Option 1'!I187)</f>
        <v/>
      </c>
      <c r="J187" s="184" t="str">
        <f>IF('Option 1'!J187="","",'Option 1'!J187)</f>
        <v/>
      </c>
      <c r="K187" s="184" t="str">
        <f>IF('Option 1'!K187="","",'Option 1'!K187)</f>
        <v/>
      </c>
      <c r="L187" s="184" t="str">
        <f>IF('Option 1'!L187="","",'Option 1'!L187)</f>
        <v/>
      </c>
      <c r="M187" s="184" t="str">
        <f>IF('Option 1'!M187="","",'Option 1'!M187)</f>
        <v/>
      </c>
      <c r="N187" s="184">
        <f>IF('Option 1'!N187="","",'Option 1'!N187)</f>
        <v>20000</v>
      </c>
      <c r="O187" s="184" t="str">
        <f>IF('Option 1'!O187="","",'Option 1'!O187)</f>
        <v/>
      </c>
      <c r="P187" s="124">
        <f t="shared" si="10"/>
        <v>20000</v>
      </c>
    </row>
    <row r="188" spans="1:16" ht="15.75" customHeight="1" x14ac:dyDescent="0.25">
      <c r="A188" s="239"/>
      <c r="B188" s="4" t="str">
        <f>IF('Option 1'!B188="","",'Option 1'!B188)</f>
        <v/>
      </c>
      <c r="C188" s="188" t="str">
        <f>IF('Option 1'!C188="","",'Option 1'!C188)</f>
        <v>Landscape - Crab Trees</v>
      </c>
      <c r="D188" s="186" t="str">
        <f>IF('Option 1'!D188="","",'Option 1'!D188)</f>
        <v/>
      </c>
      <c r="E188" s="184" t="str">
        <f>IF('Option 1'!E188="","",'Option 1'!E188)</f>
        <v/>
      </c>
      <c r="F188" s="184" t="str">
        <f>IF('Option 1'!F188="","",'Option 1'!F188)</f>
        <v/>
      </c>
      <c r="G188" s="184" t="str">
        <f>IF('Option 1'!G188="","",'Option 1'!G188)</f>
        <v/>
      </c>
      <c r="H188" s="184">
        <f>IF('Option 1'!H188="","",'Option 1'!H188)</f>
        <v>7000</v>
      </c>
      <c r="I188" s="184" t="str">
        <f>IF('Option 1'!I188="","",'Option 1'!I188)</f>
        <v/>
      </c>
      <c r="J188" s="184" t="str">
        <f>IF('Option 1'!J188="","",'Option 1'!J188)</f>
        <v/>
      </c>
      <c r="K188" s="184" t="str">
        <f>IF('Option 1'!K188="","",'Option 1'!K188)</f>
        <v/>
      </c>
      <c r="L188" s="184" t="str">
        <f>IF('Option 1'!L188="","",'Option 1'!L188)</f>
        <v/>
      </c>
      <c r="M188" s="184" t="str">
        <f>IF('Option 1'!M188="","",'Option 1'!M188)</f>
        <v/>
      </c>
      <c r="N188" s="184" t="str">
        <f>IF('Option 1'!N188="","",'Option 1'!N188)</f>
        <v/>
      </c>
      <c r="O188" s="184" t="str">
        <f>IF('Option 1'!O188="","",'Option 1'!O188)</f>
        <v/>
      </c>
      <c r="P188" s="124">
        <f t="shared" si="10"/>
        <v>7000</v>
      </c>
    </row>
    <row r="189" spans="1:16" ht="15.75" customHeight="1" x14ac:dyDescent="0.25">
      <c r="A189" s="239"/>
      <c r="B189" s="4" t="str">
        <f>IF('Option 1'!B189="","",'Option 1'!B189)</f>
        <v/>
      </c>
      <c r="C189" s="188" t="str">
        <f>IF('Option 1'!C189="","",'Option 1'!C189)</f>
        <v>Landscape - Tree Removal</v>
      </c>
      <c r="D189" s="186" t="str">
        <f>IF('Option 1'!D189="","",'Option 1'!D189)</f>
        <v/>
      </c>
      <c r="E189" s="184" t="str">
        <f>IF('Option 1'!E189="","",'Option 1'!E189)</f>
        <v/>
      </c>
      <c r="F189" s="184" t="str">
        <f>IF('Option 1'!F189="","",'Option 1'!F189)</f>
        <v/>
      </c>
      <c r="G189" s="184" t="str">
        <f>IF('Option 1'!G189="","",'Option 1'!G189)</f>
        <v/>
      </c>
      <c r="H189" s="184">
        <f>IF('Option 1'!H189="","",'Option 1'!H189)</f>
        <v>3000</v>
      </c>
      <c r="I189" s="184" t="str">
        <f>IF('Option 1'!I189="","",'Option 1'!I189)</f>
        <v/>
      </c>
      <c r="J189" s="184" t="str">
        <f>IF('Option 1'!J189="","",'Option 1'!J189)</f>
        <v/>
      </c>
      <c r="K189" s="184" t="str">
        <f>IF('Option 1'!K189="","",'Option 1'!K189)</f>
        <v/>
      </c>
      <c r="L189" s="184" t="str">
        <f>IF('Option 1'!L189="","",'Option 1'!L189)</f>
        <v/>
      </c>
      <c r="M189" s="184" t="str">
        <f>IF('Option 1'!M189="","",'Option 1'!M189)</f>
        <v/>
      </c>
      <c r="N189" s="184" t="str">
        <f>IF('Option 1'!N189="","",'Option 1'!N189)</f>
        <v/>
      </c>
      <c r="O189" s="184" t="str">
        <f>IF('Option 1'!O189="","",'Option 1'!O189)</f>
        <v/>
      </c>
      <c r="P189" s="124">
        <f t="shared" si="10"/>
        <v>3000</v>
      </c>
    </row>
    <row r="190" spans="1:16" ht="15.75" customHeight="1" x14ac:dyDescent="0.25">
      <c r="A190" s="239"/>
      <c r="B190" s="4" t="str">
        <f>IF('Option 1'!B190="","",'Option 1'!B190)</f>
        <v/>
      </c>
      <c r="C190" s="188" t="str">
        <f>IF('Option 1'!C190="","",'Option 1'!C190)</f>
        <v>Landscape - Other Tree Removal</v>
      </c>
      <c r="D190" s="186" t="str">
        <f>IF('Option 1'!D190="","",'Option 1'!D190)</f>
        <v/>
      </c>
      <c r="E190" s="184" t="str">
        <f>IF('Option 1'!E190="","",'Option 1'!E190)</f>
        <v/>
      </c>
      <c r="F190" s="184" t="str">
        <f>IF('Option 1'!F190="","",'Option 1'!F190)</f>
        <v/>
      </c>
      <c r="G190" s="184" t="str">
        <f>IF('Option 1'!G190="","",'Option 1'!G190)</f>
        <v/>
      </c>
      <c r="H190" s="184">
        <f>IF('Option 1'!H190="","",'Option 1'!H190)</f>
        <v>2100</v>
      </c>
      <c r="I190" s="184" t="str">
        <f>IF('Option 1'!I190="","",'Option 1'!I190)</f>
        <v/>
      </c>
      <c r="J190" s="184" t="str">
        <f>IF('Option 1'!J190="","",'Option 1'!J190)</f>
        <v/>
      </c>
      <c r="K190" s="184" t="str">
        <f>IF('Option 1'!K190="","",'Option 1'!K190)</f>
        <v/>
      </c>
      <c r="L190" s="184" t="str">
        <f>IF('Option 1'!L190="","",'Option 1'!L190)</f>
        <v/>
      </c>
      <c r="M190" s="184" t="str">
        <f>IF('Option 1'!M190="","",'Option 1'!M190)</f>
        <v/>
      </c>
      <c r="N190" s="184" t="str">
        <f>IF('Option 1'!N190="","",'Option 1'!N190)</f>
        <v/>
      </c>
      <c r="O190" s="184" t="str">
        <f>IF('Option 1'!O190="","",'Option 1'!O190)</f>
        <v/>
      </c>
      <c r="P190" s="124">
        <f t="shared" si="10"/>
        <v>2100</v>
      </c>
    </row>
    <row r="191" spans="1:16" ht="15.75" customHeight="1" x14ac:dyDescent="0.25">
      <c r="A191" s="239"/>
      <c r="B191" s="4" t="str">
        <f>IF('Option 1'!B191="","",'Option 1'!B191)</f>
        <v/>
      </c>
      <c r="C191" s="188" t="str">
        <f>IF('Option 1'!C191="","",'Option 1'!C191)</f>
        <v>Landscape - Ash Tree Removal</v>
      </c>
      <c r="D191" s="186" t="str">
        <f>IF('Option 1'!D191="","",'Option 1'!D191)</f>
        <v/>
      </c>
      <c r="E191" s="184" t="str">
        <f>IF('Option 1'!E191="","",'Option 1'!E191)</f>
        <v/>
      </c>
      <c r="F191" s="184" t="str">
        <f>IF('Option 1'!F191="","",'Option 1'!F191)</f>
        <v/>
      </c>
      <c r="G191" s="184" t="str">
        <f>IF('Option 1'!G191="","",'Option 1'!G191)</f>
        <v/>
      </c>
      <c r="H191" s="184">
        <f>IF('Option 1'!H191="","",'Option 1'!H191)</f>
        <v>8000</v>
      </c>
      <c r="I191" s="184" t="str">
        <f>IF('Option 1'!I191="","",'Option 1'!I191)</f>
        <v/>
      </c>
      <c r="J191" s="184" t="str">
        <f>IF('Option 1'!J191="","",'Option 1'!J191)</f>
        <v/>
      </c>
      <c r="K191" s="184" t="str">
        <f>IF('Option 1'!K191="","",'Option 1'!K191)</f>
        <v/>
      </c>
      <c r="L191" s="184" t="str">
        <f>IF('Option 1'!L191="","",'Option 1'!L191)</f>
        <v/>
      </c>
      <c r="M191" s="184" t="str">
        <f>IF('Option 1'!M191="","",'Option 1'!M191)</f>
        <v/>
      </c>
      <c r="N191" s="184" t="str">
        <f>IF('Option 1'!N191="","",'Option 1'!N191)</f>
        <v/>
      </c>
      <c r="O191" s="184" t="str">
        <f>IF('Option 1'!O191="","",'Option 1'!O191)</f>
        <v/>
      </c>
      <c r="P191" s="124">
        <f t="shared" si="10"/>
        <v>8000</v>
      </c>
    </row>
    <row r="192" spans="1:16" ht="15.75" customHeight="1" x14ac:dyDescent="0.25">
      <c r="A192" s="239"/>
      <c r="B192" s="4" t="str">
        <f>IF('Option 1'!B192="","",'Option 1'!B192)</f>
        <v/>
      </c>
      <c r="C192" s="3" t="str">
        <f>IF('Option 1'!C192="","",'Option 1'!C192)</f>
        <v>Mechanical Elements</v>
      </c>
      <c r="D192" s="186" t="str">
        <f>IF('Option 1'!D192="","",'Option 1'!D192)</f>
        <v/>
      </c>
      <c r="E192" s="184" t="str">
        <f>IF('Option 1'!E192="","",'Option 1'!E192)</f>
        <v/>
      </c>
      <c r="F192" s="184" t="str">
        <f>IF('Option 1'!F192="","",'Option 1'!F192)</f>
        <v/>
      </c>
      <c r="G192" s="184" t="str">
        <f>IF('Option 1'!G192="","",'Option 1'!G192)</f>
        <v/>
      </c>
      <c r="H192" s="184" t="str">
        <f>IF('Option 1'!H192="","",'Option 1'!H192)</f>
        <v/>
      </c>
      <c r="I192" s="184" t="str">
        <f>IF('Option 1'!I192="","",'Option 1'!I192)</f>
        <v/>
      </c>
      <c r="J192" s="184" t="str">
        <f>IF('Option 1'!J192="","",'Option 1'!J192)</f>
        <v/>
      </c>
      <c r="K192" s="184" t="str">
        <f>IF('Option 1'!K192="","",'Option 1'!K192)</f>
        <v/>
      </c>
      <c r="L192" s="184" t="str">
        <f>IF('Option 1'!L192="","",'Option 1'!L192)</f>
        <v/>
      </c>
      <c r="M192" s="184" t="str">
        <f>IF('Option 1'!M192="","",'Option 1'!M192)</f>
        <v/>
      </c>
      <c r="N192" s="184" t="str">
        <f>IF('Option 1'!N192="","",'Option 1'!N192)</f>
        <v/>
      </c>
      <c r="O192" s="184" t="str">
        <f>IF('Option 1'!O192="","",'Option 1'!O192)</f>
        <v/>
      </c>
      <c r="P192" s="124">
        <f t="shared" si="10"/>
        <v>0</v>
      </c>
    </row>
    <row r="193" spans="1:16" ht="15.75" customHeight="1" x14ac:dyDescent="0.25">
      <c r="A193" s="239"/>
      <c r="B193" s="4" t="str">
        <f>IF('Option 1'!B193="","",'Option 1'!B193)</f>
        <v/>
      </c>
      <c r="C193" s="188" t="str">
        <f>IF('Option 1'!C193="","",'Option 1'!C193)</f>
        <v>Furnace</v>
      </c>
      <c r="D193" s="186" t="str">
        <f>IF('Option 1'!D193="","",'Option 1'!D193)</f>
        <v/>
      </c>
      <c r="E193" s="184" t="str">
        <f>IF('Option 1'!E193="","",'Option 1'!E193)</f>
        <v/>
      </c>
      <c r="F193" s="184" t="str">
        <f>IF('Option 1'!F193="","",'Option 1'!F193)</f>
        <v/>
      </c>
      <c r="G193" s="184">
        <f>IF('Option 1'!G193="","",'Option 1'!G193)</f>
        <v>3460</v>
      </c>
      <c r="H193" s="184" t="str">
        <f>IF('Option 1'!H193="","",'Option 1'!H193)</f>
        <v/>
      </c>
      <c r="I193" s="184" t="str">
        <f>IF('Option 1'!I193="","",'Option 1'!I193)</f>
        <v/>
      </c>
      <c r="J193" s="184" t="str">
        <f>IF('Option 1'!J193="","",'Option 1'!J193)</f>
        <v/>
      </c>
      <c r="K193" s="184" t="str">
        <f>IF('Option 1'!K193="","",'Option 1'!K193)</f>
        <v/>
      </c>
      <c r="L193" s="184" t="str">
        <f>IF('Option 1'!L193="","",'Option 1'!L193)</f>
        <v/>
      </c>
      <c r="M193" s="184" t="str">
        <f>IF('Option 1'!M193="","",'Option 1'!M193)</f>
        <v/>
      </c>
      <c r="N193" s="184" t="str">
        <f>IF('Option 1'!N193="","",'Option 1'!N193)</f>
        <v/>
      </c>
      <c r="O193" s="184" t="str">
        <f>IF('Option 1'!O193="","",'Option 1'!O193)</f>
        <v/>
      </c>
      <c r="P193" s="124">
        <f t="shared" si="10"/>
        <v>3460</v>
      </c>
    </row>
    <row r="194" spans="1:16" ht="15.75" customHeight="1" x14ac:dyDescent="0.25">
      <c r="A194" s="239"/>
      <c r="B194" s="4" t="str">
        <f>IF('Option 1'!B194="","",'Option 1'!B194)</f>
        <v/>
      </c>
      <c r="C194" s="188" t="str">
        <f>IF('Option 1'!C194="","",'Option 1'!C194)</f>
        <v>Rooftop HVAC Units - 1519 Clubhouse</v>
      </c>
      <c r="D194" s="186" t="str">
        <f>IF('Option 1'!D194="","",'Option 1'!D194)</f>
        <v/>
      </c>
      <c r="E194" s="184" t="str">
        <f>IF('Option 1'!E194="","",'Option 1'!E194)</f>
        <v/>
      </c>
      <c r="F194" s="184" t="str">
        <f>IF('Option 1'!F194="","",'Option 1'!F194)</f>
        <v/>
      </c>
      <c r="G194" s="184" t="str">
        <f>IF('Option 1'!G194="","",'Option 1'!G194)</f>
        <v/>
      </c>
      <c r="H194" s="184" t="str">
        <f>IF('Option 1'!H194="","",'Option 1'!H194)</f>
        <v/>
      </c>
      <c r="I194" s="184" t="str">
        <f>IF('Option 1'!I194="","",'Option 1'!I194)</f>
        <v/>
      </c>
      <c r="J194" s="184" t="str">
        <f>IF('Option 1'!J194="","",'Option 1'!J194)</f>
        <v/>
      </c>
      <c r="K194" s="184" t="str">
        <f>IF('Option 1'!K194="","",'Option 1'!K194)</f>
        <v/>
      </c>
      <c r="L194" s="184" t="str">
        <f>IF('Option 1'!L194="","",'Option 1'!L194)</f>
        <v/>
      </c>
      <c r="M194" s="184" t="str">
        <f>IF('Option 1'!M194="","",'Option 1'!M194)</f>
        <v/>
      </c>
      <c r="N194" s="184" t="str">
        <f>IF('Option 1'!N194="","",'Option 1'!N194)</f>
        <v/>
      </c>
      <c r="O194" s="184" t="str">
        <f>IF('Option 1'!O194="","",'Option 1'!O194)</f>
        <v/>
      </c>
      <c r="P194" s="124">
        <f t="shared" si="10"/>
        <v>0</v>
      </c>
    </row>
    <row r="195" spans="1:16" ht="15.75" customHeight="1" x14ac:dyDescent="0.25">
      <c r="A195" s="239"/>
      <c r="B195" s="4" t="str">
        <f>IF('Option 1'!B195="","",'Option 1'!B195)</f>
        <v/>
      </c>
      <c r="C195" s="188" t="str">
        <f>IF('Option 1'!C195="","",'Option 1'!C195)</f>
        <v>Hot Water Heater</v>
      </c>
      <c r="D195" s="186" t="str">
        <f>IF('Option 1'!D195="","",'Option 1'!D195)</f>
        <v/>
      </c>
      <c r="E195" s="184" t="str">
        <f>IF('Option 1'!E195="","",'Option 1'!E195)</f>
        <v/>
      </c>
      <c r="F195" s="184">
        <f>IF('Option 1'!F195="","",'Option 1'!F195)</f>
        <v>1384</v>
      </c>
      <c r="G195" s="184" t="str">
        <f>IF('Option 1'!G195="","",'Option 1'!G195)</f>
        <v/>
      </c>
      <c r="H195" s="184" t="str">
        <f>IF('Option 1'!H195="","",'Option 1'!H195)</f>
        <v/>
      </c>
      <c r="I195" s="184" t="str">
        <f>IF('Option 1'!I195="","",'Option 1'!I195)</f>
        <v/>
      </c>
      <c r="J195" s="184" t="str">
        <f>IF('Option 1'!J195="","",'Option 1'!J195)</f>
        <v/>
      </c>
      <c r="K195" s="184" t="str">
        <f>IF('Option 1'!K195="","",'Option 1'!K195)</f>
        <v/>
      </c>
      <c r="L195" s="184" t="str">
        <f>IF('Option 1'!L195="","",'Option 1'!L195)</f>
        <v/>
      </c>
      <c r="M195" s="184" t="str">
        <f>IF('Option 1'!M195="","",'Option 1'!M195)</f>
        <v/>
      </c>
      <c r="N195" s="184" t="str">
        <f>IF('Option 1'!N195="","",'Option 1'!N195)</f>
        <v/>
      </c>
      <c r="O195" s="184" t="str">
        <f>IF('Option 1'!O195="","",'Option 1'!O195)</f>
        <v/>
      </c>
      <c r="P195" s="124">
        <f t="shared" si="10"/>
        <v>1384</v>
      </c>
    </row>
    <row r="196" spans="1:16" ht="15.75" customHeight="1" x14ac:dyDescent="0.25">
      <c r="A196" s="239"/>
      <c r="B196" s="4" t="str">
        <f>IF('Option 1'!B196="","",'Option 1'!B196)</f>
        <v/>
      </c>
      <c r="C196" s="188" t="str">
        <f>IF('Option 1'!C196="","",'Option 1'!C196)</f>
        <v>Vestibule Heaters</v>
      </c>
      <c r="D196" s="186" t="str">
        <f>IF('Option 1'!D196="","",'Option 1'!D196)</f>
        <v/>
      </c>
      <c r="E196" s="184" t="str">
        <f>IF('Option 1'!E196="","",'Option 1'!E196)</f>
        <v/>
      </c>
      <c r="F196" s="184" t="str">
        <f>IF('Option 1'!F196="","",'Option 1'!F196)</f>
        <v/>
      </c>
      <c r="G196" s="184" t="str">
        <f>IF('Option 1'!G196="","",'Option 1'!G196)</f>
        <v/>
      </c>
      <c r="H196" s="184" t="str">
        <f>IF('Option 1'!H196="","",'Option 1'!H196)</f>
        <v/>
      </c>
      <c r="I196" s="184" t="str">
        <f>IF('Option 1'!I196="","",'Option 1'!I196)</f>
        <v/>
      </c>
      <c r="J196" s="184" t="str">
        <f>IF('Option 1'!J196="","",'Option 1'!J196)</f>
        <v/>
      </c>
      <c r="K196" s="184">
        <f>IF('Option 1'!K196="","",'Option 1'!K196)</f>
        <v>2768</v>
      </c>
      <c r="L196" s="184" t="str">
        <f>IF('Option 1'!L196="","",'Option 1'!L196)</f>
        <v/>
      </c>
      <c r="M196" s="184" t="str">
        <f>IF('Option 1'!M196="","",'Option 1'!M196)</f>
        <v/>
      </c>
      <c r="N196" s="184" t="str">
        <f>IF('Option 1'!N196="","",'Option 1'!N196)</f>
        <v/>
      </c>
      <c r="O196" s="184" t="str">
        <f>IF('Option 1'!O196="","",'Option 1'!O196)</f>
        <v/>
      </c>
      <c r="P196" s="124">
        <f t="shared" si="10"/>
        <v>2768</v>
      </c>
    </row>
    <row r="197" spans="1:16" ht="15.75" customHeight="1" x14ac:dyDescent="0.25">
      <c r="A197" s="239"/>
      <c r="B197" s="4" t="str">
        <f>IF('Option 1'!B197="","",'Option 1'!B197)</f>
        <v/>
      </c>
      <c r="C197" s="188" t="str">
        <f>IF('Option 1'!C197="","",'Option 1'!C197)</f>
        <v>Stair Electric Heaters</v>
      </c>
      <c r="D197" s="186" t="str">
        <f>IF('Option 1'!D197="","",'Option 1'!D197)</f>
        <v/>
      </c>
      <c r="E197" s="184" t="str">
        <f>IF('Option 1'!E197="","",'Option 1'!E197)</f>
        <v/>
      </c>
      <c r="F197" s="184" t="str">
        <f>IF('Option 1'!F197="","",'Option 1'!F197)</f>
        <v/>
      </c>
      <c r="G197" s="184">
        <f>IF('Option 1'!G197="","",'Option 1'!G197)</f>
        <v>4705</v>
      </c>
      <c r="H197" s="184" t="str">
        <f>IF('Option 1'!H197="","",'Option 1'!H197)</f>
        <v/>
      </c>
      <c r="I197" s="184" t="str">
        <f>IF('Option 1'!I197="","",'Option 1'!I197)</f>
        <v/>
      </c>
      <c r="J197" s="184" t="str">
        <f>IF('Option 1'!J197="","",'Option 1'!J197)</f>
        <v/>
      </c>
      <c r="K197" s="184" t="str">
        <f>IF('Option 1'!K197="","",'Option 1'!K197)</f>
        <v/>
      </c>
      <c r="L197" s="184" t="str">
        <f>IF('Option 1'!L197="","",'Option 1'!L197)</f>
        <v/>
      </c>
      <c r="M197" s="184" t="str">
        <f>IF('Option 1'!M197="","",'Option 1'!M197)</f>
        <v/>
      </c>
      <c r="N197" s="184" t="str">
        <f>IF('Option 1'!N197="","",'Option 1'!N197)</f>
        <v/>
      </c>
      <c r="O197" s="184" t="str">
        <f>IF('Option 1'!O197="","",'Option 1'!O197)</f>
        <v/>
      </c>
      <c r="P197" s="124">
        <f t="shared" si="10"/>
        <v>4705</v>
      </c>
    </row>
    <row r="198" spans="1:16" ht="15.75" customHeight="1" x14ac:dyDescent="0.25">
      <c r="A198" s="239"/>
      <c r="B198" s="4" t="str">
        <f>IF('Option 1'!B198="","",'Option 1'!B198)</f>
        <v/>
      </c>
      <c r="C198" s="188" t="str">
        <f>IF('Option 1'!C198="","",'Option 1'!C198)</f>
        <v>Fire Hoses</v>
      </c>
      <c r="D198" s="186" t="str">
        <f>IF('Option 1'!D198="","",'Option 1'!D198)</f>
        <v/>
      </c>
      <c r="E198" s="184" t="str">
        <f>IF('Option 1'!E198="","",'Option 1'!E198)</f>
        <v/>
      </c>
      <c r="F198" s="184" t="str">
        <f>IF('Option 1'!F198="","",'Option 1'!F198)</f>
        <v/>
      </c>
      <c r="G198" s="184" t="str">
        <f>IF('Option 1'!G198="","",'Option 1'!G198)</f>
        <v/>
      </c>
      <c r="H198" s="184" t="str">
        <f>IF('Option 1'!H198="","",'Option 1'!H198)</f>
        <v/>
      </c>
      <c r="I198" s="184" t="str">
        <f>IF('Option 1'!I198="","",'Option 1'!I198)</f>
        <v/>
      </c>
      <c r="J198" s="184" t="str">
        <f>IF('Option 1'!J198="","",'Option 1'!J198)</f>
        <v/>
      </c>
      <c r="K198" s="184" t="str">
        <f>IF('Option 1'!K198="","",'Option 1'!K198)</f>
        <v/>
      </c>
      <c r="L198" s="184" t="str">
        <f>IF('Option 1'!L198="","",'Option 1'!L198)</f>
        <v/>
      </c>
      <c r="M198" s="184" t="str">
        <f>IF('Option 1'!M198="","",'Option 1'!M198)</f>
        <v/>
      </c>
      <c r="N198" s="184">
        <f>IF('Option 1'!N198="","",'Option 1'!N198)</f>
        <v>17249</v>
      </c>
      <c r="O198" s="184" t="str">
        <f>IF('Option 1'!O198="","",'Option 1'!O198)</f>
        <v/>
      </c>
      <c r="P198" s="124">
        <f t="shared" si="10"/>
        <v>17249</v>
      </c>
    </row>
    <row r="199" spans="1:16" ht="15.75" customHeight="1" x14ac:dyDescent="0.25">
      <c r="A199" s="239"/>
      <c r="B199" s="4" t="str">
        <f>IF('Option 1'!B199="","",'Option 1'!B199)</f>
        <v/>
      </c>
      <c r="C199" s="188" t="str">
        <f>IF('Option 1'!C199="","",'Option 1'!C199)</f>
        <v>Trash Compactors</v>
      </c>
      <c r="D199" s="186" t="str">
        <f>IF('Option 1'!D199="","",'Option 1'!D199)</f>
        <v/>
      </c>
      <c r="E199" s="184" t="str">
        <f>IF('Option 1'!E199="","",'Option 1'!E199)</f>
        <v/>
      </c>
      <c r="F199" s="184" t="str">
        <f>IF('Option 1'!F199="","",'Option 1'!F199)</f>
        <v/>
      </c>
      <c r="G199" s="184" t="str">
        <f>IF('Option 1'!G199="","",'Option 1'!G199)</f>
        <v/>
      </c>
      <c r="H199" s="184" t="str">
        <f>IF('Option 1'!H199="","",'Option 1'!H199)</f>
        <v/>
      </c>
      <c r="I199" s="184" t="str">
        <f>IF('Option 1'!I199="","",'Option 1'!I199)</f>
        <v/>
      </c>
      <c r="J199" s="184" t="str">
        <f>IF('Option 1'!J199="","",'Option 1'!J199)</f>
        <v/>
      </c>
      <c r="K199" s="184" t="str">
        <f>IF('Option 1'!K199="","",'Option 1'!K199)</f>
        <v/>
      </c>
      <c r="L199" s="184" t="str">
        <f>IF('Option 1'!L199="","",'Option 1'!L199)</f>
        <v/>
      </c>
      <c r="M199" s="184" t="str">
        <f>IF('Option 1'!M199="","",'Option 1'!M199)</f>
        <v/>
      </c>
      <c r="N199" s="184" t="str">
        <f>IF('Option 1'!N199="","",'Option 1'!N199)</f>
        <v/>
      </c>
      <c r="O199" s="184" t="str">
        <f>IF('Option 1'!O199="","",'Option 1'!O199)</f>
        <v/>
      </c>
      <c r="P199" s="124">
        <f t="shared" si="10"/>
        <v>0</v>
      </c>
    </row>
    <row r="200" spans="1:16" ht="15.75" customHeight="1" x14ac:dyDescent="0.25">
      <c r="A200" s="239"/>
      <c r="B200" s="4" t="str">
        <f>IF('Option 1'!B200="","",'Option 1'!B200)</f>
        <v/>
      </c>
      <c r="C200" s="188" t="str">
        <f>IF('Option 1'!C200="","",'Option 1'!C200)</f>
        <v>Trash Chutes</v>
      </c>
      <c r="D200" s="186" t="str">
        <f>IF('Option 1'!D200="","",'Option 1'!D200)</f>
        <v/>
      </c>
      <c r="E200" s="184" t="str">
        <f>IF('Option 1'!E200="","",'Option 1'!E200)</f>
        <v/>
      </c>
      <c r="F200" s="184" t="str">
        <f>IF('Option 1'!F200="","",'Option 1'!F200)</f>
        <v/>
      </c>
      <c r="G200" s="184" t="str">
        <f>IF('Option 1'!G200="","",'Option 1'!G200)</f>
        <v/>
      </c>
      <c r="H200" s="184" t="str">
        <f>IF('Option 1'!H200="","",'Option 1'!H200)</f>
        <v/>
      </c>
      <c r="I200" s="184" t="str">
        <f>IF('Option 1'!I200="","",'Option 1'!I200)</f>
        <v/>
      </c>
      <c r="J200" s="184" t="str">
        <f>IF('Option 1'!J200="","",'Option 1'!J200)</f>
        <v/>
      </c>
      <c r="K200" s="184" t="str">
        <f>IF('Option 1'!K200="","",'Option 1'!K200)</f>
        <v/>
      </c>
      <c r="L200" s="184" t="str">
        <f>IF('Option 1'!L200="","",'Option 1'!L200)</f>
        <v/>
      </c>
      <c r="M200" s="184" t="str">
        <f>IF('Option 1'!M200="","",'Option 1'!M200)</f>
        <v/>
      </c>
      <c r="N200" s="184" t="str">
        <f>IF('Option 1'!N200="","",'Option 1'!N200)</f>
        <v/>
      </c>
      <c r="O200" s="184" t="str">
        <f>IF('Option 1'!O200="","",'Option 1'!O200)</f>
        <v/>
      </c>
      <c r="P200" s="124">
        <f t="shared" si="10"/>
        <v>0</v>
      </c>
    </row>
    <row r="201" spans="1:16" ht="15.75" customHeight="1" x14ac:dyDescent="0.25">
      <c r="A201" s="239"/>
      <c r="B201" s="4" t="str">
        <f>IF('Option 1'!B201="","",'Option 1'!B201)</f>
        <v/>
      </c>
      <c r="C201" s="188" t="str">
        <f>IF('Option 1'!C201="","",'Option 1'!C201)</f>
        <v>Elevators</v>
      </c>
      <c r="D201" s="186" t="str">
        <f>IF('Option 1'!D201="","",'Option 1'!D201)</f>
        <v/>
      </c>
      <c r="E201" s="184" t="str">
        <f>IF('Option 1'!E201="","",'Option 1'!E201)</f>
        <v/>
      </c>
      <c r="F201" s="184" t="str">
        <f>IF('Option 1'!F201="","",'Option 1'!F201)</f>
        <v/>
      </c>
      <c r="G201" s="184" t="str">
        <f>IF('Option 1'!G201="","",'Option 1'!G201)</f>
        <v/>
      </c>
      <c r="H201" s="184" t="str">
        <f>IF('Option 1'!H201="","",'Option 1'!H201)</f>
        <v/>
      </c>
      <c r="I201" s="184" t="str">
        <f>IF('Option 1'!I201="","",'Option 1'!I201)</f>
        <v/>
      </c>
      <c r="J201" s="184" t="str">
        <f>IF('Option 1'!J201="","",'Option 1'!J201)</f>
        <v/>
      </c>
      <c r="K201" s="184" t="str">
        <f>IF('Option 1'!K201="","",'Option 1'!K201)</f>
        <v/>
      </c>
      <c r="L201" s="184" t="str">
        <f>IF('Option 1'!L201="","",'Option 1'!L201)</f>
        <v/>
      </c>
      <c r="M201" s="184" t="str">
        <f>IF('Option 1'!M201="","",'Option 1'!M201)</f>
        <v/>
      </c>
      <c r="N201" s="184" t="str">
        <f>IF('Option 1'!N201="","",'Option 1'!N201)</f>
        <v/>
      </c>
      <c r="O201" s="184" t="str">
        <f>IF('Option 1'!O201="","",'Option 1'!O201)</f>
        <v/>
      </c>
      <c r="P201" s="124">
        <f t="shared" si="10"/>
        <v>0</v>
      </c>
    </row>
    <row r="202" spans="1:16" ht="15.75" customHeight="1" x14ac:dyDescent="0.25">
      <c r="A202" s="239"/>
      <c r="B202" s="4" t="str">
        <f>IF('Option 1'!B202="","",'Option 1'!B202)</f>
        <v/>
      </c>
      <c r="C202" s="188" t="str">
        <f>IF('Option 1'!C202="","",'Option 1'!C202)</f>
        <v>Elevator Safety Collars &amp; Engineering</v>
      </c>
      <c r="D202" s="186" t="str">
        <f>IF('Option 1'!D202="","",'Option 1'!D202)</f>
        <v/>
      </c>
      <c r="E202" s="184" t="str">
        <f>IF('Option 1'!E202="","",'Option 1'!E202)</f>
        <v/>
      </c>
      <c r="F202" s="184" t="str">
        <f>IF('Option 1'!F202="","",'Option 1'!F202)</f>
        <v/>
      </c>
      <c r="G202" s="184" t="str">
        <f>IF('Option 1'!G202="","",'Option 1'!G202)</f>
        <v/>
      </c>
      <c r="H202" s="184" t="str">
        <f>IF('Option 1'!H202="","",'Option 1'!H202)</f>
        <v/>
      </c>
      <c r="I202" s="184" t="str">
        <f>IF('Option 1'!I202="","",'Option 1'!I202)</f>
        <v/>
      </c>
      <c r="J202" s="184" t="str">
        <f>IF('Option 1'!J202="","",'Option 1'!J202)</f>
        <v/>
      </c>
      <c r="K202" s="184" t="str">
        <f>IF('Option 1'!K202="","",'Option 1'!K202)</f>
        <v/>
      </c>
      <c r="L202" s="184" t="str">
        <f>IF('Option 1'!L202="","",'Option 1'!L202)</f>
        <v/>
      </c>
      <c r="M202" s="184" t="str">
        <f>IF('Option 1'!M202="","",'Option 1'!M202)</f>
        <v/>
      </c>
      <c r="N202" s="184" t="str">
        <f>IF('Option 1'!N202="","",'Option 1'!N202)</f>
        <v/>
      </c>
      <c r="O202" s="184" t="str">
        <f>IF('Option 1'!O202="","",'Option 1'!O202)</f>
        <v/>
      </c>
      <c r="P202" s="124">
        <f t="shared" si="10"/>
        <v>0</v>
      </c>
    </row>
    <row r="203" spans="1:16" ht="15.75" customHeight="1" x14ac:dyDescent="0.25">
      <c r="A203" s="239"/>
      <c r="B203" s="4" t="str">
        <f>IF('Option 1'!B203="","",'Option 1'!B203)</f>
        <v/>
      </c>
      <c r="C203" s="188" t="str">
        <f>IF('Option 1'!C203="","",'Option 1'!C203)</f>
        <v>Elevator Replacement Cylinders (Bldg. 1405)</v>
      </c>
      <c r="D203" s="186" t="str">
        <f>IF('Option 1'!D203="","",'Option 1'!D203)</f>
        <v/>
      </c>
      <c r="E203" s="184">
        <f>IF('Option 1'!E203="","",'Option 1'!E203)</f>
        <v>0</v>
      </c>
      <c r="F203" s="184">
        <f>IF('Option 1'!F203="","",'Option 1'!F203)</f>
        <v>110000</v>
      </c>
      <c r="G203" s="184" t="str">
        <f>IF('Option 1'!G203="","",'Option 1'!G203)</f>
        <v/>
      </c>
      <c r="H203" s="184" t="str">
        <f>IF('Option 1'!H203="","",'Option 1'!H203)</f>
        <v/>
      </c>
      <c r="I203" s="184" t="str">
        <f>IF('Option 1'!I203="","",'Option 1'!I203)</f>
        <v/>
      </c>
      <c r="J203" s="184" t="str">
        <f>IF('Option 1'!J203="","",'Option 1'!J203)</f>
        <v/>
      </c>
      <c r="K203" s="184" t="str">
        <f>IF('Option 1'!K203="","",'Option 1'!K203)</f>
        <v/>
      </c>
      <c r="L203" s="184" t="str">
        <f>IF('Option 1'!L203="","",'Option 1'!L203)</f>
        <v/>
      </c>
      <c r="M203" s="184" t="str">
        <f>IF('Option 1'!M203="","",'Option 1'!M203)</f>
        <v/>
      </c>
      <c r="N203" s="184" t="str">
        <f>IF('Option 1'!N203="","",'Option 1'!N203)</f>
        <v/>
      </c>
      <c r="O203" s="184" t="str">
        <f>IF('Option 1'!O203="","",'Option 1'!O203)</f>
        <v/>
      </c>
      <c r="P203" s="124">
        <f t="shared" si="10"/>
        <v>110000</v>
      </c>
    </row>
    <row r="204" spans="1:16" ht="15.75" customHeight="1" x14ac:dyDescent="0.25">
      <c r="A204" s="239"/>
      <c r="B204" s="4" t="str">
        <f>IF('Option 1'!B204="","",'Option 1'!B204)</f>
        <v/>
      </c>
      <c r="C204" s="188" t="str">
        <f>IF('Option 1'!C204="","",'Option 1'!C204)</f>
        <v>Elevator Replacement Cylinders (Bldgs. 1505 &amp; 1515)</v>
      </c>
      <c r="D204" s="186" t="str">
        <f>IF('Option 1'!D204="","",'Option 1'!D204)</f>
        <v/>
      </c>
      <c r="E204" s="184" t="str">
        <f>IF('Option 1'!E204="","",'Option 1'!E204)</f>
        <v/>
      </c>
      <c r="F204" s="184">
        <f>IF('Option 1'!F204="","",'Option 1'!F204)</f>
        <v>0</v>
      </c>
      <c r="G204" s="184">
        <f>IF('Option 1'!G204="","",'Option 1'!G204)</f>
        <v>330000</v>
      </c>
      <c r="H204" s="184" t="str">
        <f>IF('Option 1'!H204="","",'Option 1'!H204)</f>
        <v/>
      </c>
      <c r="I204" s="184" t="str">
        <f>IF('Option 1'!I204="","",'Option 1'!I204)</f>
        <v/>
      </c>
      <c r="J204" s="184" t="str">
        <f>IF('Option 1'!J204="","",'Option 1'!J204)</f>
        <v/>
      </c>
      <c r="K204" s="184" t="str">
        <f>IF('Option 1'!K204="","",'Option 1'!K204)</f>
        <v/>
      </c>
      <c r="L204" s="184" t="str">
        <f>IF('Option 1'!L204="","",'Option 1'!L204)</f>
        <v/>
      </c>
      <c r="M204" s="184" t="str">
        <f>IF('Option 1'!M204="","",'Option 1'!M204)</f>
        <v/>
      </c>
      <c r="N204" s="184" t="str">
        <f>IF('Option 1'!N204="","",'Option 1'!N204)</f>
        <v/>
      </c>
      <c r="O204" s="184" t="str">
        <f>IF('Option 1'!O204="","",'Option 1'!O204)</f>
        <v/>
      </c>
      <c r="P204" s="124">
        <f t="shared" si="10"/>
        <v>330000</v>
      </c>
    </row>
    <row r="205" spans="1:16" ht="15.75" customHeight="1" x14ac:dyDescent="0.25">
      <c r="A205" s="239"/>
      <c r="B205" s="4" t="str">
        <f>IF('Option 1'!B205="","",'Option 1'!B205)</f>
        <v/>
      </c>
      <c r="C205" s="188" t="str">
        <f>IF('Option 1'!C205="","",'Option 1'!C205)</f>
        <v>Elevator Replacement Cylinders (Bldg. 1415)</v>
      </c>
      <c r="D205" s="186" t="str">
        <f>IF('Option 1'!D205="","",'Option 1'!D205)</f>
        <v/>
      </c>
      <c r="E205" s="184" t="str">
        <f>IF('Option 1'!E205="","",'Option 1'!E205)</f>
        <v/>
      </c>
      <c r="F205" s="184" t="str">
        <f>IF('Option 1'!F205="","",'Option 1'!F205)</f>
        <v/>
      </c>
      <c r="G205" s="184">
        <f>IF('Option 1'!G205="","",'Option 1'!G205)</f>
        <v>0</v>
      </c>
      <c r="H205" s="184">
        <f>IF('Option 1'!H205="","",'Option 1'!H205)</f>
        <v>110000</v>
      </c>
      <c r="I205" s="184" t="str">
        <f>IF('Option 1'!I205="","",'Option 1'!I205)</f>
        <v/>
      </c>
      <c r="J205" s="184" t="str">
        <f>IF('Option 1'!J205="","",'Option 1'!J205)</f>
        <v/>
      </c>
      <c r="K205" s="184" t="str">
        <f>IF('Option 1'!K205="","",'Option 1'!K205)</f>
        <v/>
      </c>
      <c r="L205" s="184" t="str">
        <f>IF('Option 1'!L205="","",'Option 1'!L205)</f>
        <v/>
      </c>
      <c r="M205" s="184" t="str">
        <f>IF('Option 1'!M205="","",'Option 1'!M205)</f>
        <v/>
      </c>
      <c r="N205" s="184" t="str">
        <f>IF('Option 1'!N205="","",'Option 1'!N205)</f>
        <v/>
      </c>
      <c r="O205" s="184" t="str">
        <f>IF('Option 1'!O205="","",'Option 1'!O205)</f>
        <v/>
      </c>
      <c r="P205" s="124">
        <f t="shared" si="10"/>
        <v>110000</v>
      </c>
    </row>
    <row r="206" spans="1:16" ht="15.75" customHeight="1" x14ac:dyDescent="0.25">
      <c r="A206" s="239"/>
      <c r="B206" s="4" t="str">
        <f>IF('Option 1'!B206="","",'Option 1'!B206)</f>
        <v/>
      </c>
      <c r="C206" s="188" t="str">
        <f>IF('Option 1'!C206="","",'Option 1'!C206)</f>
        <v>Elevator Replacement Cylinders (Bldg. 1605)</v>
      </c>
      <c r="D206" s="186" t="str">
        <f>IF('Option 1'!D206="","",'Option 1'!D206)</f>
        <v/>
      </c>
      <c r="E206" s="184" t="str">
        <f>IF('Option 1'!E206="","",'Option 1'!E206)</f>
        <v/>
      </c>
      <c r="F206" s="184" t="str">
        <f>IF('Option 1'!F206="","",'Option 1'!F206)</f>
        <v/>
      </c>
      <c r="G206" s="184" t="str">
        <f>IF('Option 1'!G206="","",'Option 1'!G206)</f>
        <v/>
      </c>
      <c r="H206" s="184">
        <f>IF('Option 1'!H206="","",'Option 1'!H206)</f>
        <v>0</v>
      </c>
      <c r="I206" s="184">
        <f>IF('Option 1'!I206="","",'Option 1'!I206)</f>
        <v>110000</v>
      </c>
      <c r="J206" s="184" t="str">
        <f>IF('Option 1'!J206="","",'Option 1'!J206)</f>
        <v/>
      </c>
      <c r="K206" s="184" t="str">
        <f>IF('Option 1'!K206="","",'Option 1'!K206)</f>
        <v/>
      </c>
      <c r="L206" s="184" t="str">
        <f>IF('Option 1'!L206="","",'Option 1'!L206)</f>
        <v/>
      </c>
      <c r="M206" s="184" t="str">
        <f>IF('Option 1'!M206="","",'Option 1'!M206)</f>
        <v/>
      </c>
      <c r="N206" s="184" t="str">
        <f>IF('Option 1'!N206="","",'Option 1'!N206)</f>
        <v/>
      </c>
      <c r="O206" s="184" t="str">
        <f>IF('Option 1'!O206="","",'Option 1'!O206)</f>
        <v/>
      </c>
      <c r="P206" s="124">
        <f t="shared" si="10"/>
        <v>110000</v>
      </c>
    </row>
    <row r="207" spans="1:16" ht="15.75" customHeight="1" x14ac:dyDescent="0.25">
      <c r="A207" s="239"/>
      <c r="B207" s="4" t="str">
        <f>IF('Option 1'!B207="","",'Option 1'!B207)</f>
        <v/>
      </c>
      <c r="C207" s="188" t="str">
        <f>IF('Option 1'!C207="","",'Option 1'!C207)</f>
        <v>Elevator Replacement Cylinders (Bldg. 1615)</v>
      </c>
      <c r="D207" s="186" t="str">
        <f>IF('Option 1'!D207="","",'Option 1'!D207)</f>
        <v/>
      </c>
      <c r="E207" s="184" t="str">
        <f>IF('Option 1'!E207="","",'Option 1'!E207)</f>
        <v/>
      </c>
      <c r="F207" s="184" t="str">
        <f>IF('Option 1'!F207="","",'Option 1'!F207)</f>
        <v/>
      </c>
      <c r="G207" s="184" t="str">
        <f>IF('Option 1'!G207="","",'Option 1'!G207)</f>
        <v/>
      </c>
      <c r="H207" s="184" t="str">
        <f>IF('Option 1'!H207="","",'Option 1'!H207)</f>
        <v/>
      </c>
      <c r="I207" s="184">
        <f>IF('Option 1'!I207="","",'Option 1'!I207)</f>
        <v>0</v>
      </c>
      <c r="J207" s="184">
        <f>IF('Option 1'!J207="","",'Option 1'!J207)</f>
        <v>110000</v>
      </c>
      <c r="K207" s="184" t="str">
        <f>IF('Option 1'!K207="","",'Option 1'!K207)</f>
        <v/>
      </c>
      <c r="L207" s="184" t="str">
        <f>IF('Option 1'!L207="","",'Option 1'!L207)</f>
        <v/>
      </c>
      <c r="M207" s="184" t="str">
        <f>IF('Option 1'!M207="","",'Option 1'!M207)</f>
        <v/>
      </c>
      <c r="N207" s="184" t="str">
        <f>IF('Option 1'!N207="","",'Option 1'!N207)</f>
        <v/>
      </c>
      <c r="O207" s="184" t="str">
        <f>IF('Option 1'!O207="","",'Option 1'!O207)</f>
        <v/>
      </c>
      <c r="P207" s="124">
        <f t="shared" si="10"/>
        <v>110000</v>
      </c>
    </row>
    <row r="208" spans="1:16" ht="15.75" customHeight="1" x14ac:dyDescent="0.25">
      <c r="A208" s="239"/>
      <c r="B208" s="4" t="str">
        <f>IF('Option 1'!B208="","",'Option 1'!B208)</f>
        <v/>
      </c>
      <c r="C208" s="188" t="str">
        <f>IF('Option 1'!C208="","",'Option 1'!C208)</f>
        <v>Core HVAC Units - 1515 &amp; 1615 East, 1415 &amp; 1615 West</v>
      </c>
      <c r="D208" s="186" t="str">
        <f>IF('Option 1'!D208="","",'Option 1'!D208)</f>
        <v/>
      </c>
      <c r="E208" s="184">
        <f>IF('Option 1'!E208="","",'Option 1'!E208)</f>
        <v>44284</v>
      </c>
      <c r="F208" s="184" t="str">
        <f>IF('Option 1'!F208="","",'Option 1'!F208)</f>
        <v/>
      </c>
      <c r="G208" s="184" t="str">
        <f>IF('Option 1'!G208="","",'Option 1'!G208)</f>
        <v/>
      </c>
      <c r="H208" s="184" t="str">
        <f>IF('Option 1'!H208="","",'Option 1'!H208)</f>
        <v/>
      </c>
      <c r="I208" s="184" t="str">
        <f>IF('Option 1'!I208="","",'Option 1'!I208)</f>
        <v/>
      </c>
      <c r="J208" s="184" t="str">
        <f>IF('Option 1'!J208="","",'Option 1'!J208)</f>
        <v/>
      </c>
      <c r="K208" s="184" t="str">
        <f>IF('Option 1'!K208="","",'Option 1'!K208)</f>
        <v/>
      </c>
      <c r="L208" s="184" t="str">
        <f>IF('Option 1'!L208="","",'Option 1'!L208)</f>
        <v/>
      </c>
      <c r="M208" s="184" t="str">
        <f>IF('Option 1'!M208="","",'Option 1'!M208)</f>
        <v/>
      </c>
      <c r="N208" s="184" t="str">
        <f>IF('Option 1'!N208="","",'Option 1'!N208)</f>
        <v/>
      </c>
      <c r="O208" s="184" t="str">
        <f>IF('Option 1'!O208="","",'Option 1'!O208)</f>
        <v/>
      </c>
      <c r="P208" s="124">
        <f t="shared" si="10"/>
        <v>44284</v>
      </c>
    </row>
    <row r="209" spans="1:16" ht="15.75" customHeight="1" x14ac:dyDescent="0.25">
      <c r="A209" s="239"/>
      <c r="B209" s="4" t="str">
        <f>IF('Option 1'!B209="","",'Option 1'!B209)</f>
        <v/>
      </c>
      <c r="C209" s="188" t="str">
        <f>IF('Option 1'!C209="","",'Option 1'!C209)</f>
        <v>Core HVAC Unit - 1515 West</v>
      </c>
      <c r="D209" s="186" t="str">
        <f>IF('Option 1'!D209="","",'Option 1'!D209)</f>
        <v/>
      </c>
      <c r="E209" s="184" t="str">
        <f>IF('Option 1'!E209="","",'Option 1'!E209)</f>
        <v/>
      </c>
      <c r="F209" s="184">
        <f>IF('Option 1'!F209="","",'Option 1'!F209)</f>
        <v>11071</v>
      </c>
      <c r="G209" s="184" t="str">
        <f>IF('Option 1'!G209="","",'Option 1'!G209)</f>
        <v/>
      </c>
      <c r="H209" s="184" t="str">
        <f>IF('Option 1'!H209="","",'Option 1'!H209)</f>
        <v/>
      </c>
      <c r="I209" s="184" t="str">
        <f>IF('Option 1'!I209="","",'Option 1'!I209)</f>
        <v/>
      </c>
      <c r="J209" s="184" t="str">
        <f>IF('Option 1'!J209="","",'Option 1'!J209)</f>
        <v/>
      </c>
      <c r="K209" s="184" t="str">
        <f>IF('Option 1'!K209="","",'Option 1'!K209)</f>
        <v/>
      </c>
      <c r="L209" s="184" t="str">
        <f>IF('Option 1'!L209="","",'Option 1'!L209)</f>
        <v/>
      </c>
      <c r="M209" s="184" t="str">
        <f>IF('Option 1'!M209="","",'Option 1'!M209)</f>
        <v/>
      </c>
      <c r="N209" s="184" t="str">
        <f>IF('Option 1'!N209="","",'Option 1'!N209)</f>
        <v/>
      </c>
      <c r="O209" s="184" t="str">
        <f>IF('Option 1'!O209="","",'Option 1'!O209)</f>
        <v/>
      </c>
      <c r="P209" s="124">
        <f t="shared" si="10"/>
        <v>11071</v>
      </c>
    </row>
    <row r="210" spans="1:16" ht="15.75" customHeight="1" x14ac:dyDescent="0.25">
      <c r="A210" s="239"/>
      <c r="B210" s="4" t="str">
        <f>IF('Option 1'!B210="","",'Option 1'!B210)</f>
        <v/>
      </c>
      <c r="C210" s="188" t="str">
        <f>IF('Option 1'!C210="","",'Option 1'!C210)</f>
        <v>Core HVAC Unit - 1415 East</v>
      </c>
      <c r="D210" s="186" t="str">
        <f>IF('Option 1'!D210="","",'Option 1'!D210)</f>
        <v/>
      </c>
      <c r="E210" s="184" t="str">
        <f>IF('Option 1'!E210="","",'Option 1'!E210)</f>
        <v/>
      </c>
      <c r="F210" s="184" t="str">
        <f>IF('Option 1'!F210="","",'Option 1'!F210)</f>
        <v/>
      </c>
      <c r="G210" s="184" t="str">
        <f>IF('Option 1'!G210="","",'Option 1'!G210)</f>
        <v/>
      </c>
      <c r="H210" s="184" t="str">
        <f>IF('Option 1'!H210="","",'Option 1'!H210)</f>
        <v/>
      </c>
      <c r="I210" s="184">
        <f>IF('Option 1'!I210="","",'Option 1'!I210)</f>
        <v>11071</v>
      </c>
      <c r="J210" s="184" t="str">
        <f>IF('Option 1'!J210="","",'Option 1'!J210)</f>
        <v/>
      </c>
      <c r="K210" s="184" t="str">
        <f>IF('Option 1'!K210="","",'Option 1'!K210)</f>
        <v/>
      </c>
      <c r="L210" s="184" t="str">
        <f>IF('Option 1'!L210="","",'Option 1'!L210)</f>
        <v/>
      </c>
      <c r="M210" s="184" t="str">
        <f>IF('Option 1'!M210="","",'Option 1'!M210)</f>
        <v/>
      </c>
      <c r="N210" s="184" t="str">
        <f>IF('Option 1'!N210="","",'Option 1'!N210)</f>
        <v/>
      </c>
      <c r="O210" s="184" t="str">
        <f>IF('Option 1'!O210="","",'Option 1'!O210)</f>
        <v/>
      </c>
      <c r="P210" s="124">
        <f t="shared" si="10"/>
        <v>11071</v>
      </c>
    </row>
    <row r="211" spans="1:16" ht="15.75" customHeight="1" x14ac:dyDescent="0.25">
      <c r="A211" s="239"/>
      <c r="B211" s="4" t="str">
        <f>IF('Option 1'!B211="","",'Option 1'!B211)</f>
        <v/>
      </c>
      <c r="C211" s="188" t="str">
        <f>IF('Option 1'!C211="","",'Option 1'!C211)</f>
        <v>Core HVAC Units - 1605 East &amp; West</v>
      </c>
      <c r="D211" s="186" t="str">
        <f>IF('Option 1'!D211="","",'Option 1'!D211)</f>
        <v/>
      </c>
      <c r="E211" s="184" t="str">
        <f>IF('Option 1'!E211="","",'Option 1'!E211)</f>
        <v/>
      </c>
      <c r="F211" s="184" t="str">
        <f>IF('Option 1'!F211="","",'Option 1'!F211)</f>
        <v/>
      </c>
      <c r="G211" s="184" t="str">
        <f>IF('Option 1'!G211="","",'Option 1'!G211)</f>
        <v/>
      </c>
      <c r="H211" s="184" t="str">
        <f>IF('Option 1'!H211="","",'Option 1'!H211)</f>
        <v/>
      </c>
      <c r="I211" s="184" t="str">
        <f>IF('Option 1'!I211="","",'Option 1'!I211)</f>
        <v/>
      </c>
      <c r="J211" s="184">
        <f>IF('Option 1'!J211="","",'Option 1'!J211)</f>
        <v>22142</v>
      </c>
      <c r="K211" s="184" t="str">
        <f>IF('Option 1'!K211="","",'Option 1'!K211)</f>
        <v/>
      </c>
      <c r="L211" s="184" t="str">
        <f>IF('Option 1'!L211="","",'Option 1'!L211)</f>
        <v/>
      </c>
      <c r="M211" s="184" t="str">
        <f>IF('Option 1'!M211="","",'Option 1'!M211)</f>
        <v/>
      </c>
      <c r="N211" s="184" t="str">
        <f>IF('Option 1'!N211="","",'Option 1'!N211)</f>
        <v/>
      </c>
      <c r="O211" s="184" t="str">
        <f>IF('Option 1'!O211="","",'Option 1'!O211)</f>
        <v/>
      </c>
      <c r="P211" s="124">
        <f t="shared" si="10"/>
        <v>22142</v>
      </c>
    </row>
    <row r="212" spans="1:16" ht="15.75" customHeight="1" x14ac:dyDescent="0.25">
      <c r="A212" s="239"/>
      <c r="B212" s="4" t="str">
        <f>IF('Option 1'!B212="","",'Option 1'!B212)</f>
        <v/>
      </c>
      <c r="C212" s="188" t="str">
        <f>IF('Option 1'!C212="","",'Option 1'!C212)</f>
        <v>Core HVAC Unit - 1405 East</v>
      </c>
      <c r="D212" s="186" t="str">
        <f>IF('Option 1'!D212="","",'Option 1'!D212)</f>
        <v/>
      </c>
      <c r="E212" s="184" t="str">
        <f>IF('Option 1'!E212="","",'Option 1'!E212)</f>
        <v/>
      </c>
      <c r="F212" s="184" t="str">
        <f>IF('Option 1'!F212="","",'Option 1'!F212)</f>
        <v/>
      </c>
      <c r="G212" s="184" t="str">
        <f>IF('Option 1'!G212="","",'Option 1'!G212)</f>
        <v/>
      </c>
      <c r="H212" s="184" t="str">
        <f>IF('Option 1'!H212="","",'Option 1'!H212)</f>
        <v/>
      </c>
      <c r="I212" s="184" t="str">
        <f>IF('Option 1'!I212="","",'Option 1'!I212)</f>
        <v/>
      </c>
      <c r="J212" s="184" t="str">
        <f>IF('Option 1'!J212="","",'Option 1'!J212)</f>
        <v/>
      </c>
      <c r="K212" s="184">
        <f>IF('Option 1'!K212="","",'Option 1'!K212)</f>
        <v>11071</v>
      </c>
      <c r="L212" s="184" t="str">
        <f>IF('Option 1'!L212="","",'Option 1'!L212)</f>
        <v/>
      </c>
      <c r="M212" s="184" t="str">
        <f>IF('Option 1'!M212="","",'Option 1'!M212)</f>
        <v/>
      </c>
      <c r="N212" s="184" t="str">
        <f>IF('Option 1'!N212="","",'Option 1'!N212)</f>
        <v/>
      </c>
      <c r="O212" s="184" t="str">
        <f>IF('Option 1'!O212="","",'Option 1'!O212)</f>
        <v/>
      </c>
      <c r="P212" s="124">
        <f t="shared" si="10"/>
        <v>11071</v>
      </c>
    </row>
    <row r="213" spans="1:16" ht="15.75" customHeight="1" x14ac:dyDescent="0.25">
      <c r="A213" s="239"/>
      <c r="B213" s="4" t="str">
        <f>IF('Option 1'!B213="","",'Option 1'!B213)</f>
        <v/>
      </c>
      <c r="C213" s="188" t="str">
        <f>IF('Option 1'!C213="","",'Option 1'!C213)</f>
        <v>Core HVAC Units - 1505 East &amp; West</v>
      </c>
      <c r="D213" s="186" t="str">
        <f>IF('Option 1'!D213="","",'Option 1'!D213)</f>
        <v/>
      </c>
      <c r="E213" s="184" t="str">
        <f>IF('Option 1'!E213="","",'Option 1'!E213)</f>
        <v/>
      </c>
      <c r="F213" s="184" t="str">
        <f>IF('Option 1'!F213="","",'Option 1'!F213)</f>
        <v/>
      </c>
      <c r="G213" s="184" t="str">
        <f>IF('Option 1'!G213="","",'Option 1'!G213)</f>
        <v/>
      </c>
      <c r="H213" s="184" t="str">
        <f>IF('Option 1'!H213="","",'Option 1'!H213)</f>
        <v/>
      </c>
      <c r="I213" s="184" t="str">
        <f>IF('Option 1'!I213="","",'Option 1'!I213)</f>
        <v/>
      </c>
      <c r="J213" s="184" t="str">
        <f>IF('Option 1'!J213="","",'Option 1'!J213)</f>
        <v/>
      </c>
      <c r="K213" s="184" t="str">
        <f>IF('Option 1'!K213="","",'Option 1'!K213)</f>
        <v/>
      </c>
      <c r="L213" s="184">
        <f>IF('Option 1'!L213="","",'Option 1'!L213)</f>
        <v>22142</v>
      </c>
      <c r="M213" s="184" t="str">
        <f>IF('Option 1'!M213="","",'Option 1'!M213)</f>
        <v/>
      </c>
      <c r="N213" s="184" t="str">
        <f>IF('Option 1'!N213="","",'Option 1'!N213)</f>
        <v/>
      </c>
      <c r="O213" s="184" t="str">
        <f>IF('Option 1'!O213="","",'Option 1'!O213)</f>
        <v/>
      </c>
      <c r="P213" s="124">
        <f t="shared" si="10"/>
        <v>22142</v>
      </c>
    </row>
    <row r="214" spans="1:16" ht="15.75" customHeight="1" x14ac:dyDescent="0.25">
      <c r="A214" s="239"/>
      <c r="B214" s="4" t="str">
        <f>IF('Option 1'!B214="","",'Option 1'!B214)</f>
        <v/>
      </c>
      <c r="C214" s="188" t="str">
        <f>IF('Option 1'!C214="","",'Option 1'!C214)</f>
        <v>Core HVAC Unit - 1405 West</v>
      </c>
      <c r="D214" s="186" t="str">
        <f>IF('Option 1'!D214="","",'Option 1'!D214)</f>
        <v/>
      </c>
      <c r="E214" s="184" t="str">
        <f>IF('Option 1'!E214="","",'Option 1'!E214)</f>
        <v/>
      </c>
      <c r="F214" s="184" t="str">
        <f>IF('Option 1'!F214="","",'Option 1'!F214)</f>
        <v/>
      </c>
      <c r="G214" s="184" t="str">
        <f>IF('Option 1'!G214="","",'Option 1'!G214)</f>
        <v/>
      </c>
      <c r="H214" s="184" t="str">
        <f>IF('Option 1'!H214="","",'Option 1'!H214)</f>
        <v/>
      </c>
      <c r="I214" s="184" t="str">
        <f>IF('Option 1'!I214="","",'Option 1'!I214)</f>
        <v/>
      </c>
      <c r="J214" s="184" t="str">
        <f>IF('Option 1'!J214="","",'Option 1'!J214)</f>
        <v/>
      </c>
      <c r="K214" s="184" t="str">
        <f>IF('Option 1'!K214="","",'Option 1'!K214)</f>
        <v/>
      </c>
      <c r="L214" s="184" t="str">
        <f>IF('Option 1'!L214="","",'Option 1'!L214)</f>
        <v/>
      </c>
      <c r="M214" s="184">
        <f>IF('Option 1'!M214="","",'Option 1'!M214)</f>
        <v>11071</v>
      </c>
      <c r="N214" s="184" t="str">
        <f>IF('Option 1'!N214="","",'Option 1'!N214)</f>
        <v/>
      </c>
      <c r="O214" s="184" t="str">
        <f>IF('Option 1'!O214="","",'Option 1'!O214)</f>
        <v/>
      </c>
      <c r="P214" s="124">
        <f t="shared" si="10"/>
        <v>11071</v>
      </c>
    </row>
    <row r="215" spans="1:16" ht="15.75" customHeight="1" x14ac:dyDescent="0.25">
      <c r="A215" s="239"/>
      <c r="B215" s="4" t="str">
        <f>IF('Option 1'!B215="","",'Option 1'!B215)</f>
        <v/>
      </c>
      <c r="C215" s="188" t="str">
        <f>IF('Option 1'!C215="","",'Option 1'!C215)</f>
        <v>HVAC Units - 1605 B &amp; C, &amp; 1515 A &amp; B Wings</v>
      </c>
      <c r="D215" s="186">
        <f>IF('Option 1'!D215="","",'Option 1'!D215)</f>
        <v>43643</v>
      </c>
      <c r="E215" s="184" t="str">
        <f>IF('Option 1'!E215="","",'Option 1'!E215)</f>
        <v/>
      </c>
      <c r="F215" s="184" t="str">
        <f>IF('Option 1'!F215="","",'Option 1'!F215)</f>
        <v/>
      </c>
      <c r="G215" s="184" t="str">
        <f>IF('Option 1'!G215="","",'Option 1'!G215)</f>
        <v/>
      </c>
      <c r="H215" s="184" t="str">
        <f>IF('Option 1'!H215="","",'Option 1'!H215)</f>
        <v/>
      </c>
      <c r="I215" s="184" t="str">
        <f>IF('Option 1'!I215="","",'Option 1'!I215)</f>
        <v/>
      </c>
      <c r="J215" s="184" t="str">
        <f>IF('Option 1'!J215="","",'Option 1'!J215)</f>
        <v/>
      </c>
      <c r="K215" s="184" t="str">
        <f>IF('Option 1'!K215="","",'Option 1'!K215)</f>
        <v/>
      </c>
      <c r="L215" s="184" t="str">
        <f>IF('Option 1'!L215="","",'Option 1'!L215)</f>
        <v/>
      </c>
      <c r="M215" s="184" t="str">
        <f>IF('Option 1'!M215="","",'Option 1'!M215)</f>
        <v/>
      </c>
      <c r="N215" s="184" t="str">
        <f>IF('Option 1'!N215="","",'Option 1'!N215)</f>
        <v/>
      </c>
      <c r="O215" s="184" t="str">
        <f>IF('Option 1'!O215="","",'Option 1'!O215)</f>
        <v/>
      </c>
      <c r="P215" s="124">
        <f t="shared" si="10"/>
        <v>43643</v>
      </c>
    </row>
    <row r="216" spans="1:16" ht="15.75" customHeight="1" x14ac:dyDescent="0.25">
      <c r="A216" s="239"/>
      <c r="B216" s="4" t="str">
        <f>IF('Option 1'!B216="","",'Option 1'!B216)</f>
        <v/>
      </c>
      <c r="C216" s="188" t="str">
        <f>IF('Option 1'!C216="","",'Option 1'!C216)</f>
        <v>HVAC Units - 1615 B, 1515 C &amp; 1415 C Wings</v>
      </c>
      <c r="D216" s="186" t="str">
        <f>IF('Option 1'!D216="","",'Option 1'!D216)</f>
        <v/>
      </c>
      <c r="E216" s="184" t="str">
        <f>IF('Option 1'!E216="","",'Option 1'!E216)</f>
        <v/>
      </c>
      <c r="F216" s="184">
        <f>IF('Option 1'!F216="","",'Option 1'!F216)</f>
        <v>22500</v>
      </c>
      <c r="G216" s="184" t="str">
        <f>IF('Option 1'!G216="","",'Option 1'!G216)</f>
        <v/>
      </c>
      <c r="H216" s="184" t="str">
        <f>IF('Option 1'!H216="","",'Option 1'!H216)</f>
        <v/>
      </c>
      <c r="I216" s="184" t="str">
        <f>IF('Option 1'!I216="","",'Option 1'!I216)</f>
        <v/>
      </c>
      <c r="J216" s="184" t="str">
        <f>IF('Option 1'!J216="","",'Option 1'!J216)</f>
        <v/>
      </c>
      <c r="K216" s="184" t="str">
        <f>IF('Option 1'!K216="","",'Option 1'!K216)</f>
        <v/>
      </c>
      <c r="L216" s="184" t="str">
        <f>IF('Option 1'!L216="","",'Option 1'!L216)</f>
        <v/>
      </c>
      <c r="M216" s="184" t="str">
        <f>IF('Option 1'!M216="","",'Option 1'!M216)</f>
        <v/>
      </c>
      <c r="N216" s="184" t="str">
        <f>IF('Option 1'!N216="","",'Option 1'!N216)</f>
        <v/>
      </c>
      <c r="O216" s="184" t="str">
        <f>IF('Option 1'!O216="","",'Option 1'!O216)</f>
        <v/>
      </c>
      <c r="P216" s="124">
        <f t="shared" si="10"/>
        <v>22500</v>
      </c>
    </row>
    <row r="217" spans="1:16" ht="15.75" customHeight="1" x14ac:dyDescent="0.25">
      <c r="A217" s="239"/>
      <c r="B217" s="4" t="str">
        <f>IF('Option 1'!B217="","",'Option 1'!B217)</f>
        <v/>
      </c>
      <c r="C217" s="188" t="str">
        <f>IF('Option 1'!C217="","",'Option 1'!C217)</f>
        <v>HVAC Units - 1615 A &amp; 1605 A Wing</v>
      </c>
      <c r="D217" s="186" t="str">
        <f>IF('Option 1'!D217="","",'Option 1'!D217)</f>
        <v/>
      </c>
      <c r="E217" s="184" t="str">
        <f>IF('Option 1'!E217="","",'Option 1'!E217)</f>
        <v/>
      </c>
      <c r="F217" s="184" t="str">
        <f>IF('Option 1'!F217="","",'Option 1'!F217)</f>
        <v/>
      </c>
      <c r="G217" s="184">
        <f>IF('Option 1'!G217="","",'Option 1'!G217)</f>
        <v>15000</v>
      </c>
      <c r="H217" s="184" t="str">
        <f>IF('Option 1'!H217="","",'Option 1'!H217)</f>
        <v/>
      </c>
      <c r="I217" s="184" t="str">
        <f>IF('Option 1'!I217="","",'Option 1'!I217)</f>
        <v/>
      </c>
      <c r="J217" s="184" t="str">
        <f>IF('Option 1'!J217="","",'Option 1'!J217)</f>
        <v/>
      </c>
      <c r="K217" s="184" t="str">
        <f>IF('Option 1'!K217="","",'Option 1'!K217)</f>
        <v/>
      </c>
      <c r="L217" s="184" t="str">
        <f>IF('Option 1'!L217="","",'Option 1'!L217)</f>
        <v/>
      </c>
      <c r="M217" s="184" t="str">
        <f>IF('Option 1'!M217="","",'Option 1'!M217)</f>
        <v/>
      </c>
      <c r="N217" s="184" t="str">
        <f>IF('Option 1'!N217="","",'Option 1'!N217)</f>
        <v/>
      </c>
      <c r="O217" s="184" t="str">
        <f>IF('Option 1'!O217="","",'Option 1'!O217)</f>
        <v/>
      </c>
      <c r="P217" s="124">
        <f t="shared" ref="P217:P234" si="11">IF(SUM(D217:O217)=0,0,SUM(D217:O217))</f>
        <v>15000</v>
      </c>
    </row>
    <row r="218" spans="1:16" ht="15.75" customHeight="1" x14ac:dyDescent="0.25">
      <c r="A218" s="239"/>
      <c r="B218" s="4" t="str">
        <f>IF('Option 1'!B218="","",'Option 1'!B218)</f>
        <v/>
      </c>
      <c r="C218" s="188" t="str">
        <f>IF('Option 1'!C218="","",'Option 1'!C218)</f>
        <v>HVAC Unit - 1415 B Wing</v>
      </c>
      <c r="D218" s="186" t="str">
        <f>IF('Option 1'!D218="","",'Option 1'!D218)</f>
        <v/>
      </c>
      <c r="E218" s="184" t="str">
        <f>IF('Option 1'!E218="","",'Option 1'!E218)</f>
        <v/>
      </c>
      <c r="F218" s="184" t="str">
        <f>IF('Option 1'!F218="","",'Option 1'!F218)</f>
        <v/>
      </c>
      <c r="G218" s="184" t="str">
        <f>IF('Option 1'!G218="","",'Option 1'!G218)</f>
        <v/>
      </c>
      <c r="H218" s="184" t="str">
        <f>IF('Option 1'!H218="","",'Option 1'!H218)</f>
        <v/>
      </c>
      <c r="I218" s="184">
        <f>IF('Option 1'!I218="","",'Option 1'!I218)</f>
        <v>7500</v>
      </c>
      <c r="J218" s="184" t="str">
        <f>IF('Option 1'!J218="","",'Option 1'!J218)</f>
        <v/>
      </c>
      <c r="K218" s="184" t="str">
        <f>IF('Option 1'!K218="","",'Option 1'!K218)</f>
        <v/>
      </c>
      <c r="L218" s="184" t="str">
        <f>IF('Option 1'!L218="","",'Option 1'!L218)</f>
        <v/>
      </c>
      <c r="M218" s="184" t="str">
        <f>IF('Option 1'!M218="","",'Option 1'!M218)</f>
        <v/>
      </c>
      <c r="N218" s="184" t="str">
        <f>IF('Option 1'!N218="","",'Option 1'!N218)</f>
        <v/>
      </c>
      <c r="O218" s="184" t="str">
        <f>IF('Option 1'!O218="","",'Option 1'!O218)</f>
        <v/>
      </c>
      <c r="P218" s="124">
        <f t="shared" si="11"/>
        <v>7500</v>
      </c>
    </row>
    <row r="219" spans="1:16" ht="15.75" customHeight="1" x14ac:dyDescent="0.25">
      <c r="A219" s="239"/>
      <c r="B219" s="4" t="str">
        <f>IF('Option 1'!B219="","",'Option 1'!B219)</f>
        <v/>
      </c>
      <c r="C219" s="188" t="str">
        <f>IF('Option 1'!C219="","",'Option 1'!C219)</f>
        <v>HVAC Unit - 1615 C Wing</v>
      </c>
      <c r="D219" s="186" t="str">
        <f>IF('Option 1'!D219="","",'Option 1'!D219)</f>
        <v/>
      </c>
      <c r="E219" s="184" t="str">
        <f>IF('Option 1'!E219="","",'Option 1'!E219)</f>
        <v/>
      </c>
      <c r="F219" s="184" t="str">
        <f>IF('Option 1'!F219="","",'Option 1'!F219)</f>
        <v/>
      </c>
      <c r="G219" s="184" t="str">
        <f>IF('Option 1'!G219="","",'Option 1'!G219)</f>
        <v/>
      </c>
      <c r="H219" s="184" t="str">
        <f>IF('Option 1'!H219="","",'Option 1'!H219)</f>
        <v/>
      </c>
      <c r="I219" s="184" t="str">
        <f>IF('Option 1'!I219="","",'Option 1'!I219)</f>
        <v/>
      </c>
      <c r="J219" s="184">
        <f>IF('Option 1'!J219="","",'Option 1'!J219)</f>
        <v>7500</v>
      </c>
      <c r="K219" s="184" t="str">
        <f>IF('Option 1'!K219="","",'Option 1'!K219)</f>
        <v/>
      </c>
      <c r="L219" s="184" t="str">
        <f>IF('Option 1'!L219="","",'Option 1'!L219)</f>
        <v/>
      </c>
      <c r="M219" s="184" t="str">
        <f>IF('Option 1'!M219="","",'Option 1'!M219)</f>
        <v/>
      </c>
      <c r="N219" s="184" t="str">
        <f>IF('Option 1'!N219="","",'Option 1'!N219)</f>
        <v/>
      </c>
      <c r="O219" s="184" t="str">
        <f>IF('Option 1'!O219="","",'Option 1'!O219)</f>
        <v/>
      </c>
      <c r="P219" s="124">
        <f t="shared" si="11"/>
        <v>7500</v>
      </c>
    </row>
    <row r="220" spans="1:16" ht="15.75" customHeight="1" x14ac:dyDescent="0.25">
      <c r="A220" s="239"/>
      <c r="B220" s="4" t="str">
        <f>IF('Option 1'!B220="","",'Option 1'!B220)</f>
        <v/>
      </c>
      <c r="C220" s="188" t="str">
        <f>IF('Option 1'!C220="","",'Option 1'!C220)</f>
        <v>HVAC Units - 1405 B &amp; C Wings</v>
      </c>
      <c r="D220" s="186" t="str">
        <f>IF('Option 1'!D220="","",'Option 1'!D220)</f>
        <v/>
      </c>
      <c r="E220" s="184" t="str">
        <f>IF('Option 1'!E220="","",'Option 1'!E220)</f>
        <v/>
      </c>
      <c r="F220" s="184" t="str">
        <f>IF('Option 1'!F220="","",'Option 1'!F220)</f>
        <v/>
      </c>
      <c r="G220" s="184" t="str">
        <f>IF('Option 1'!G220="","",'Option 1'!G220)</f>
        <v/>
      </c>
      <c r="H220" s="184" t="str">
        <f>IF('Option 1'!H220="","",'Option 1'!H220)</f>
        <v/>
      </c>
      <c r="I220" s="184" t="str">
        <f>IF('Option 1'!I220="","",'Option 1'!I220)</f>
        <v/>
      </c>
      <c r="J220" s="184" t="str">
        <f>IF('Option 1'!J220="","",'Option 1'!J220)</f>
        <v/>
      </c>
      <c r="K220" s="184">
        <f>IF('Option 1'!K220="","",'Option 1'!K220)</f>
        <v>15000</v>
      </c>
      <c r="L220" s="184" t="str">
        <f>IF('Option 1'!L220="","",'Option 1'!L220)</f>
        <v/>
      </c>
      <c r="M220" s="184" t="str">
        <f>IF('Option 1'!M220="","",'Option 1'!M220)</f>
        <v/>
      </c>
      <c r="N220" s="184" t="str">
        <f>IF('Option 1'!N220="","",'Option 1'!N220)</f>
        <v/>
      </c>
      <c r="O220" s="184" t="str">
        <f>IF('Option 1'!O220="","",'Option 1'!O220)</f>
        <v/>
      </c>
      <c r="P220" s="124">
        <f t="shared" si="11"/>
        <v>15000</v>
      </c>
    </row>
    <row r="221" spans="1:16" ht="15.75" customHeight="1" x14ac:dyDescent="0.25">
      <c r="A221" s="239"/>
      <c r="B221" s="4" t="str">
        <f>IF('Option 1'!B221="","",'Option 1'!B221)</f>
        <v/>
      </c>
      <c r="C221" s="188" t="str">
        <f>IF('Option 1'!C221="","",'Option 1'!C221)</f>
        <v>HVAC Units - 1505 A &amp; B, 1415 A, &amp; 1405 A Wings</v>
      </c>
      <c r="D221" s="186" t="str">
        <f>IF('Option 1'!D221="","",'Option 1'!D221)</f>
        <v/>
      </c>
      <c r="E221" s="184" t="str">
        <f>IF('Option 1'!E221="","",'Option 1'!E221)</f>
        <v/>
      </c>
      <c r="F221" s="184" t="str">
        <f>IF('Option 1'!F221="","",'Option 1'!F221)</f>
        <v/>
      </c>
      <c r="G221" s="184" t="str">
        <f>IF('Option 1'!G221="","",'Option 1'!G221)</f>
        <v/>
      </c>
      <c r="H221" s="184" t="str">
        <f>IF('Option 1'!H221="","",'Option 1'!H221)</f>
        <v/>
      </c>
      <c r="I221" s="184" t="str">
        <f>IF('Option 1'!I221="","",'Option 1'!I221)</f>
        <v/>
      </c>
      <c r="J221" s="184" t="str">
        <f>IF('Option 1'!J221="","",'Option 1'!J221)</f>
        <v/>
      </c>
      <c r="K221" s="184" t="str">
        <f>IF('Option 1'!K221="","",'Option 1'!K221)</f>
        <v/>
      </c>
      <c r="L221" s="184">
        <f>IF('Option 1'!L221="","",'Option 1'!L221)</f>
        <v>30000</v>
      </c>
      <c r="M221" s="184" t="str">
        <f>IF('Option 1'!M221="","",'Option 1'!M221)</f>
        <v/>
      </c>
      <c r="N221" s="184" t="str">
        <f>IF('Option 1'!N221="","",'Option 1'!N221)</f>
        <v/>
      </c>
      <c r="O221" s="184" t="str">
        <f>IF('Option 1'!O221="","",'Option 1'!O221)</f>
        <v/>
      </c>
      <c r="P221" s="124">
        <f t="shared" si="11"/>
        <v>30000</v>
      </c>
    </row>
    <row r="222" spans="1:16" ht="15.75" customHeight="1" x14ac:dyDescent="0.25">
      <c r="A222" s="239"/>
      <c r="B222" s="4" t="str">
        <f>IF('Option 1'!B222="","",'Option 1'!B222)</f>
        <v/>
      </c>
      <c r="C222" s="188" t="str">
        <f>IF('Option 1'!C222="","",'Option 1'!C222)</f>
        <v>Boiler Stacks</v>
      </c>
      <c r="D222" s="186">
        <f>IF('Option 1'!D222="","",'Option 1'!D222)</f>
        <v>31480</v>
      </c>
      <c r="E222" s="184" t="str">
        <f>IF('Option 1'!E222="","",'Option 1'!E222)</f>
        <v/>
      </c>
      <c r="F222" s="184" t="str">
        <f>IF('Option 1'!F222="","",'Option 1'!F222)</f>
        <v/>
      </c>
      <c r="G222" s="184" t="str">
        <f>IF('Option 1'!G222="","",'Option 1'!G222)</f>
        <v/>
      </c>
      <c r="H222" s="184" t="str">
        <f>IF('Option 1'!H222="","",'Option 1'!H222)</f>
        <v/>
      </c>
      <c r="I222" s="184" t="str">
        <f>IF('Option 1'!I222="","",'Option 1'!I222)</f>
        <v/>
      </c>
      <c r="J222" s="184" t="str">
        <f>IF('Option 1'!J222="","",'Option 1'!J222)</f>
        <v/>
      </c>
      <c r="K222" s="184" t="str">
        <f>IF('Option 1'!K222="","",'Option 1'!K222)</f>
        <v/>
      </c>
      <c r="L222" s="184" t="str">
        <f>IF('Option 1'!L222="","",'Option 1'!L222)</f>
        <v/>
      </c>
      <c r="M222" s="184" t="str">
        <f>IF('Option 1'!M222="","",'Option 1'!M222)</f>
        <v/>
      </c>
      <c r="N222" s="184" t="str">
        <f>IF('Option 1'!N222="","",'Option 1'!N222)</f>
        <v/>
      </c>
      <c r="O222" s="184" t="str">
        <f>IF('Option 1'!O222="","",'Option 1'!O222)</f>
        <v/>
      </c>
      <c r="P222" s="124">
        <f t="shared" si="11"/>
        <v>31480</v>
      </c>
    </row>
    <row r="223" spans="1:16" ht="15.75" customHeight="1" x14ac:dyDescent="0.25">
      <c r="A223" s="239"/>
      <c r="B223" s="4" t="str">
        <f>IF('Option 1'!B223="","",'Option 1'!B223)</f>
        <v/>
      </c>
      <c r="C223" s="188" t="str">
        <f>IF('Option 1'!C223="","",'Option 1'!C223)</f>
        <v>Boiler Stacks (Bldg. 1415)</v>
      </c>
      <c r="D223" s="186" t="str">
        <f>IF('Option 1'!D223="","",'Option 1'!D223)</f>
        <v/>
      </c>
      <c r="E223" s="184" t="str">
        <f>IF('Option 1'!E223="","",'Option 1'!E223)</f>
        <v/>
      </c>
      <c r="F223" s="184" t="str">
        <f>IF('Option 1'!F223="","",'Option 1'!F223)</f>
        <v/>
      </c>
      <c r="G223" s="184" t="str">
        <f>IF('Option 1'!G223="","",'Option 1'!G223)</f>
        <v/>
      </c>
      <c r="H223" s="184" t="str">
        <f>IF('Option 1'!H223="","",'Option 1'!H223)</f>
        <v/>
      </c>
      <c r="I223" s="184" t="str">
        <f>IF('Option 1'!I223="","",'Option 1'!I223)</f>
        <v/>
      </c>
      <c r="J223" s="184" t="str">
        <f>IF('Option 1'!J223="","",'Option 1'!J223)</f>
        <v/>
      </c>
      <c r="K223" s="184" t="str">
        <f>IF('Option 1'!K223="","",'Option 1'!K223)</f>
        <v/>
      </c>
      <c r="L223" s="184" t="str">
        <f>IF('Option 1'!L223="","",'Option 1'!L223)</f>
        <v/>
      </c>
      <c r="M223" s="184" t="str">
        <f>IF('Option 1'!M223="","",'Option 1'!M223)</f>
        <v/>
      </c>
      <c r="N223" s="184" t="str">
        <f>IF('Option 1'!N223="","",'Option 1'!N223)</f>
        <v/>
      </c>
      <c r="O223" s="184" t="str">
        <f>IF('Option 1'!O223="","",'Option 1'!O223)</f>
        <v/>
      </c>
      <c r="P223" s="124">
        <f t="shared" si="11"/>
        <v>0</v>
      </c>
    </row>
    <row r="224" spans="1:16" ht="15.75" customHeight="1" x14ac:dyDescent="0.25">
      <c r="A224" s="239"/>
      <c r="B224" s="4" t="str">
        <f>IF('Option 1'!B224="","",'Option 1'!B224)</f>
        <v/>
      </c>
      <c r="C224" s="188" t="str">
        <f>IF('Option 1'!C224="","",'Option 1'!C224)</f>
        <v>Hot Water Storage Tanks</v>
      </c>
      <c r="D224" s="186" t="str">
        <f>IF('Option 1'!D224="","",'Option 1'!D224)</f>
        <v/>
      </c>
      <c r="E224" s="184" t="str">
        <f>IF('Option 1'!E224="","",'Option 1'!E224)</f>
        <v/>
      </c>
      <c r="F224" s="184" t="str">
        <f>IF('Option 1'!F224="","",'Option 1'!F224)</f>
        <v/>
      </c>
      <c r="G224" s="184" t="str">
        <f>IF('Option 1'!G224="","",'Option 1'!G224)</f>
        <v/>
      </c>
      <c r="H224" s="184" t="str">
        <f>IF('Option 1'!H224="","",'Option 1'!H224)</f>
        <v/>
      </c>
      <c r="I224" s="184" t="str">
        <f>IF('Option 1'!I224="","",'Option 1'!I224)</f>
        <v/>
      </c>
      <c r="J224" s="184" t="str">
        <f>IF('Option 1'!J224="","",'Option 1'!J224)</f>
        <v/>
      </c>
      <c r="K224" s="184">
        <f>IF('Option 1'!K224="","",'Option 1'!K224)</f>
        <v>148075</v>
      </c>
      <c r="L224" s="184" t="str">
        <f>IF('Option 1'!L224="","",'Option 1'!L224)</f>
        <v/>
      </c>
      <c r="M224" s="184" t="str">
        <f>IF('Option 1'!M224="","",'Option 1'!M224)</f>
        <v/>
      </c>
      <c r="N224" s="184" t="str">
        <f>IF('Option 1'!N224="","",'Option 1'!N224)</f>
        <v/>
      </c>
      <c r="O224" s="184" t="str">
        <f>IF('Option 1'!O224="","",'Option 1'!O224)</f>
        <v/>
      </c>
      <c r="P224" s="124">
        <f t="shared" si="11"/>
        <v>148075</v>
      </c>
    </row>
    <row r="225" spans="1:16" ht="15.75" customHeight="1" x14ac:dyDescent="0.25">
      <c r="A225" s="239"/>
      <c r="B225" s="4" t="str">
        <f>IF('Option 1'!B225="","",'Option 1'!B225)</f>
        <v/>
      </c>
      <c r="C225" s="188" t="str">
        <f>IF('Option 1'!C225="","",'Option 1'!C225)</f>
        <v>Circulating Pumps</v>
      </c>
      <c r="D225" s="186">
        <f>IF('Option 1'!D225="","",'Option 1'!D225)</f>
        <v>29061</v>
      </c>
      <c r="E225" s="184" t="str">
        <f>IF('Option 1'!E225="","",'Option 1'!E225)</f>
        <v/>
      </c>
      <c r="F225" s="184" t="str">
        <f>IF('Option 1'!F225="","",'Option 1'!F225)</f>
        <v/>
      </c>
      <c r="G225" s="184" t="str">
        <f>IF('Option 1'!G225="","",'Option 1'!G225)</f>
        <v/>
      </c>
      <c r="H225" s="184" t="str">
        <f>IF('Option 1'!H225="","",'Option 1'!H225)</f>
        <v/>
      </c>
      <c r="I225" s="184" t="str">
        <f>IF('Option 1'!I225="","",'Option 1'!I225)</f>
        <v/>
      </c>
      <c r="J225" s="184" t="str">
        <f>IF('Option 1'!J225="","",'Option 1'!J225)</f>
        <v/>
      </c>
      <c r="K225" s="184" t="str">
        <f>IF('Option 1'!K225="","",'Option 1'!K225)</f>
        <v/>
      </c>
      <c r="L225" s="184" t="str">
        <f>IF('Option 1'!L225="","",'Option 1'!L225)</f>
        <v/>
      </c>
      <c r="M225" s="184" t="str">
        <f>IF('Option 1'!M225="","",'Option 1'!M225)</f>
        <v/>
      </c>
      <c r="N225" s="184">
        <f>IF('Option 1'!N225="","",'Option 1'!N225)</f>
        <v>29061</v>
      </c>
      <c r="O225" s="184" t="str">
        <f>IF('Option 1'!O225="","",'Option 1'!O225)</f>
        <v/>
      </c>
      <c r="P225" s="124">
        <f t="shared" si="11"/>
        <v>58122</v>
      </c>
    </row>
    <row r="226" spans="1:16" ht="15.75" customHeight="1" x14ac:dyDescent="0.25">
      <c r="A226" s="239"/>
      <c r="B226" s="4" t="str">
        <f>IF('Option 1'!B226="","",'Option 1'!B226)</f>
        <v/>
      </c>
      <c r="C226" s="188" t="str">
        <f>IF('Option 1'!C226="","",'Option 1'!C226)</f>
        <v>Sump Pumps</v>
      </c>
      <c r="D226" s="186" t="str">
        <f>IF('Option 1'!D226="","",'Option 1'!D226)</f>
        <v/>
      </c>
      <c r="E226" s="184" t="str">
        <f>IF('Option 1'!E226="","",'Option 1'!E226)</f>
        <v/>
      </c>
      <c r="F226" s="184" t="str">
        <f>IF('Option 1'!F226="","",'Option 1'!F226)</f>
        <v/>
      </c>
      <c r="G226" s="184" t="str">
        <f>IF('Option 1'!G226="","",'Option 1'!G226)</f>
        <v/>
      </c>
      <c r="H226" s="184">
        <f>IF('Option 1'!H226="","",'Option 1'!H226)</f>
        <v>59507</v>
      </c>
      <c r="I226" s="184" t="str">
        <f>IF('Option 1'!I226="","",'Option 1'!I226)</f>
        <v/>
      </c>
      <c r="J226" s="184" t="str">
        <f>IF('Option 1'!J226="","",'Option 1'!J226)</f>
        <v/>
      </c>
      <c r="K226" s="184" t="str">
        <f>IF('Option 1'!K226="","",'Option 1'!K226)</f>
        <v/>
      </c>
      <c r="L226" s="184" t="str">
        <f>IF('Option 1'!L226="","",'Option 1'!L226)</f>
        <v/>
      </c>
      <c r="M226" s="184" t="str">
        <f>IF('Option 1'!M226="","",'Option 1'!M226)</f>
        <v/>
      </c>
      <c r="N226" s="184" t="str">
        <f>IF('Option 1'!N226="","",'Option 1'!N226)</f>
        <v/>
      </c>
      <c r="O226" s="184" t="str">
        <f>IF('Option 1'!O226="","",'Option 1'!O226)</f>
        <v/>
      </c>
      <c r="P226" s="124">
        <f t="shared" si="11"/>
        <v>59507</v>
      </c>
    </row>
    <row r="227" spans="1:16" ht="15.75" customHeight="1" x14ac:dyDescent="0.25">
      <c r="A227" s="239"/>
      <c r="B227" s="4" t="str">
        <f>IF('Option 1'!B227="","",'Option 1'!B227)</f>
        <v/>
      </c>
      <c r="C227" s="188" t="str">
        <f>IF('Option 1'!C227="","",'Option 1'!C227)</f>
        <v>Garage Exhaust Fans</v>
      </c>
      <c r="D227" s="186" t="str">
        <f>IF('Option 1'!D227="","",'Option 1'!D227)</f>
        <v/>
      </c>
      <c r="E227" s="184" t="str">
        <f>IF('Option 1'!E227="","",'Option 1'!E227)</f>
        <v/>
      </c>
      <c r="F227" s="184" t="str">
        <f>IF('Option 1'!F227="","",'Option 1'!F227)</f>
        <v/>
      </c>
      <c r="G227" s="184" t="str">
        <f>IF('Option 1'!G227="","",'Option 1'!G227)</f>
        <v/>
      </c>
      <c r="H227" s="184" t="str">
        <f>IF('Option 1'!H227="","",'Option 1'!H227)</f>
        <v/>
      </c>
      <c r="I227" s="184" t="str">
        <f>IF('Option 1'!I227="","",'Option 1'!I227)</f>
        <v/>
      </c>
      <c r="J227" s="184">
        <f>IF('Option 1'!J227="","",'Option 1'!J227)</f>
        <v>60891</v>
      </c>
      <c r="K227" s="184" t="str">
        <f>IF('Option 1'!K227="","",'Option 1'!K227)</f>
        <v/>
      </c>
      <c r="L227" s="184" t="str">
        <f>IF('Option 1'!L227="","",'Option 1'!L227)</f>
        <v/>
      </c>
      <c r="M227" s="184" t="str">
        <f>IF('Option 1'!M227="","",'Option 1'!M227)</f>
        <v/>
      </c>
      <c r="N227" s="184" t="str">
        <f>IF('Option 1'!N227="","",'Option 1'!N227)</f>
        <v/>
      </c>
      <c r="O227" s="184" t="str">
        <f>IF('Option 1'!O227="","",'Option 1'!O227)</f>
        <v/>
      </c>
      <c r="P227" s="124">
        <f t="shared" si="11"/>
        <v>60891</v>
      </c>
    </row>
    <row r="228" spans="1:16" ht="15.75" customHeight="1" x14ac:dyDescent="0.25">
      <c r="A228" s="239"/>
      <c r="B228" s="4" t="str">
        <f>IF('Option 1'!B228="","",'Option 1'!B228)</f>
        <v/>
      </c>
      <c r="C228" s="188" t="str">
        <f>IF('Option 1'!C228="","",'Option 1'!C228)</f>
        <v>Emergency Generators</v>
      </c>
      <c r="D228" s="186" t="str">
        <f>IF('Option 1'!D228="","",'Option 1'!D228)</f>
        <v/>
      </c>
      <c r="E228" s="184" t="str">
        <f>IF('Option 1'!E228="","",'Option 1'!E228)</f>
        <v/>
      </c>
      <c r="F228" s="184" t="str">
        <f>IF('Option 1'!F228="","",'Option 1'!F228)</f>
        <v/>
      </c>
      <c r="G228" s="184" t="str">
        <f>IF('Option 1'!G228="","",'Option 1'!G228)</f>
        <v/>
      </c>
      <c r="H228" s="184" t="str">
        <f>IF('Option 1'!H228="","",'Option 1'!H228)</f>
        <v/>
      </c>
      <c r="I228" s="184" t="str">
        <f>IF('Option 1'!I228="","",'Option 1'!I228)</f>
        <v/>
      </c>
      <c r="J228" s="184" t="str">
        <f>IF('Option 1'!J228="","",'Option 1'!J228)</f>
        <v/>
      </c>
      <c r="K228" s="184" t="str">
        <f>IF('Option 1'!K228="","",'Option 1'!K228)</f>
        <v/>
      </c>
      <c r="L228" s="184" t="str">
        <f>IF('Option 1'!L228="","",'Option 1'!L228)</f>
        <v/>
      </c>
      <c r="M228" s="184" t="str">
        <f>IF('Option 1'!M228="","",'Option 1'!M228)</f>
        <v/>
      </c>
      <c r="N228" s="184" t="str">
        <f>IF('Option 1'!N228="","",'Option 1'!N228)</f>
        <v/>
      </c>
      <c r="O228" s="184" t="str">
        <f>IF('Option 1'!O228="","",'Option 1'!O228)</f>
        <v/>
      </c>
      <c r="P228" s="124">
        <f t="shared" si="11"/>
        <v>0</v>
      </c>
    </row>
    <row r="229" spans="1:16" ht="15.75" customHeight="1" x14ac:dyDescent="0.25">
      <c r="A229" s="239"/>
      <c r="B229" s="4" t="str">
        <f>IF('Option 1'!B229="","",'Option 1'!B229)</f>
        <v/>
      </c>
      <c r="C229" s="188" t="str">
        <f>IF('Option 1'!C229="","",'Option 1'!C229)</f>
        <v>Fire Pumps/Fire Protection</v>
      </c>
      <c r="D229" s="186" t="str">
        <f>IF('Option 1'!D229="","",'Option 1'!D229)</f>
        <v/>
      </c>
      <c r="E229" s="184" t="str">
        <f>IF('Option 1'!E229="","",'Option 1'!E229)</f>
        <v/>
      </c>
      <c r="F229" s="184" t="str">
        <f>IF('Option 1'!F229="","",'Option 1'!F229)</f>
        <v/>
      </c>
      <c r="G229" s="184" t="str">
        <f>IF('Option 1'!G229="","",'Option 1'!G229)</f>
        <v/>
      </c>
      <c r="H229" s="184" t="str">
        <f>IF('Option 1'!H229="","",'Option 1'!H229)</f>
        <v/>
      </c>
      <c r="I229" s="184" t="str">
        <f>IF('Option 1'!I229="","",'Option 1'!I229)</f>
        <v/>
      </c>
      <c r="J229" s="184" t="str">
        <f>IF('Option 1'!J229="","",'Option 1'!J229)</f>
        <v/>
      </c>
      <c r="K229" s="184" t="str">
        <f>IF('Option 1'!K229="","",'Option 1'!K229)</f>
        <v/>
      </c>
      <c r="L229" s="184" t="str">
        <f>IF('Option 1'!L229="","",'Option 1'!L229)</f>
        <v/>
      </c>
      <c r="M229" s="184" t="str">
        <f>IF('Option 1'!M229="","",'Option 1'!M229)</f>
        <v/>
      </c>
      <c r="N229" s="184" t="str">
        <f>IF('Option 1'!N229="","",'Option 1'!N229)</f>
        <v/>
      </c>
      <c r="O229" s="184" t="str">
        <f>IF('Option 1'!O229="","",'Option 1'!O229)</f>
        <v/>
      </c>
      <c r="P229" s="124">
        <f t="shared" si="11"/>
        <v>0</v>
      </c>
    </row>
    <row r="230" spans="1:16" ht="15.75" customHeight="1" x14ac:dyDescent="0.25">
      <c r="A230" s="239"/>
      <c r="B230" s="4" t="str">
        <f>IF('Option 1'!B230="","",'Option 1'!B230)</f>
        <v/>
      </c>
      <c r="C230" s="188" t="str">
        <f>IF('Option 1'!C230="","",'Option 1'!C230)</f>
        <v/>
      </c>
      <c r="D230" s="186" t="str">
        <f>IF('Option 1'!D230="","",'Option 1'!D230)</f>
        <v/>
      </c>
      <c r="E230" s="184" t="str">
        <f>IF('Option 1'!E230="","",'Option 1'!E230)</f>
        <v/>
      </c>
      <c r="F230" s="184" t="str">
        <f>IF('Option 1'!F230="","",'Option 1'!F230)</f>
        <v/>
      </c>
      <c r="G230" s="184" t="str">
        <f>IF('Option 1'!G230="","",'Option 1'!G230)</f>
        <v/>
      </c>
      <c r="H230" s="184" t="str">
        <f>IF('Option 1'!H230="","",'Option 1'!H230)</f>
        <v/>
      </c>
      <c r="I230" s="184" t="str">
        <f>IF('Option 1'!I230="","",'Option 1'!I230)</f>
        <v/>
      </c>
      <c r="J230" s="184" t="str">
        <f>IF('Option 1'!J230="","",'Option 1'!J230)</f>
        <v/>
      </c>
      <c r="K230" s="184" t="str">
        <f>IF('Option 1'!K230="","",'Option 1'!K230)</f>
        <v/>
      </c>
      <c r="L230" s="184" t="str">
        <f>IF('Option 1'!L230="","",'Option 1'!L230)</f>
        <v/>
      </c>
      <c r="M230" s="184" t="str">
        <f>IF('Option 1'!M230="","",'Option 1'!M230)</f>
        <v/>
      </c>
      <c r="N230" s="184" t="str">
        <f>IF('Option 1'!N230="","",'Option 1'!N230)</f>
        <v/>
      </c>
      <c r="O230" s="184" t="str">
        <f>IF('Option 1'!O230="","",'Option 1'!O230)</f>
        <v/>
      </c>
      <c r="P230" s="124">
        <f t="shared" ref="P230:P233" si="12">IF(SUM(D230:O230)=0,0,SUM(D230:O230))</f>
        <v>0</v>
      </c>
    </row>
    <row r="231" spans="1:16" ht="15.75" customHeight="1" x14ac:dyDescent="0.25">
      <c r="A231" s="239"/>
      <c r="B231" s="4" t="str">
        <f>IF('Option 1'!B231="","",'Option 1'!B231)</f>
        <v/>
      </c>
      <c r="C231" s="213" t="str">
        <f>IF('Option 1'!C231="","",'Option 1'!C231)</f>
        <v>Existing Loan Payoff - 274925</v>
      </c>
      <c r="D231" s="186">
        <f>IF('Option 1'!D231="","",'Option 1'!D231)</f>
        <v>274925</v>
      </c>
      <c r="E231" s="184" t="str">
        <f>IF('Option 1'!E231="","",'Option 1'!E231)</f>
        <v/>
      </c>
      <c r="F231" s="184" t="str">
        <f>IF('Option 1'!F231="","",'Option 1'!F231)</f>
        <v/>
      </c>
      <c r="G231" s="184" t="str">
        <f>IF('Option 1'!G231="","",'Option 1'!G231)</f>
        <v/>
      </c>
      <c r="H231" s="184" t="str">
        <f>IF('Option 1'!H231="","",'Option 1'!H231)</f>
        <v/>
      </c>
      <c r="I231" s="184" t="str">
        <f>IF('Option 1'!I231="","",'Option 1'!I231)</f>
        <v/>
      </c>
      <c r="J231" s="184" t="str">
        <f>IF('Option 1'!J231="","",'Option 1'!J231)</f>
        <v/>
      </c>
      <c r="K231" s="184" t="str">
        <f>IF('Option 1'!K231="","",'Option 1'!K231)</f>
        <v/>
      </c>
      <c r="L231" s="184" t="str">
        <f>IF('Option 1'!L231="","",'Option 1'!L231)</f>
        <v/>
      </c>
      <c r="M231" s="184" t="str">
        <f>IF('Option 1'!M231="","",'Option 1'!M231)</f>
        <v/>
      </c>
      <c r="N231" s="184" t="str">
        <f>IF('Option 1'!N231="","",'Option 1'!N231)</f>
        <v/>
      </c>
      <c r="O231" s="184" t="str">
        <f>IF('Option 1'!O231="","",'Option 1'!O231)</f>
        <v/>
      </c>
      <c r="P231" s="124">
        <f t="shared" si="12"/>
        <v>274925</v>
      </c>
    </row>
    <row r="232" spans="1:16" ht="15.75" customHeight="1" x14ac:dyDescent="0.25">
      <c r="A232" s="239"/>
      <c r="B232" s="4" t="str">
        <f>IF('Option 1'!B232="","",'Option 1'!B232)</f>
        <v/>
      </c>
      <c r="C232" s="4" t="str">
        <f>IF('Option 1'!C232="","",'Option 1'!C232)</f>
        <v>Existing Loan</v>
      </c>
      <c r="D232" s="58">
        <f>IF('Option 1'!D232="","",'Option 1'!D232)</f>
        <v>46220</v>
      </c>
      <c r="E232" s="184" t="str">
        <f>IF('Option 1'!E232="","",'Option 1'!E232)</f>
        <v/>
      </c>
      <c r="F232" s="184" t="str">
        <f>IF('Option 1'!F232="","",'Option 1'!F232)</f>
        <v/>
      </c>
      <c r="G232" s="184" t="str">
        <f>IF('Option 1'!G232="","",'Option 1'!G232)</f>
        <v/>
      </c>
      <c r="H232" s="184" t="str">
        <f>IF('Option 1'!H232="","",'Option 1'!H232)</f>
        <v/>
      </c>
      <c r="I232" s="184" t="str">
        <f>IF('Option 1'!I232="","",'Option 1'!I232)</f>
        <v/>
      </c>
      <c r="J232" s="184" t="str">
        <f>IF('Option 1'!J232="","",'Option 1'!J232)</f>
        <v/>
      </c>
      <c r="K232" s="184" t="str">
        <f>IF('Option 1'!K232="","",'Option 1'!K232)</f>
        <v/>
      </c>
      <c r="L232" s="184" t="str">
        <f>IF('Option 1'!L232="","",'Option 1'!L232)</f>
        <v/>
      </c>
      <c r="M232" s="184" t="str">
        <f>IF('Option 1'!M232="","",'Option 1'!M232)</f>
        <v/>
      </c>
      <c r="N232" s="184" t="str">
        <f>IF('Option 1'!N232="","",'Option 1'!N232)</f>
        <v/>
      </c>
      <c r="O232" s="184" t="str">
        <f>IF('Option 1'!O232="","",'Option 1'!O232)</f>
        <v/>
      </c>
      <c r="P232" s="124">
        <f t="shared" si="12"/>
        <v>46220</v>
      </c>
    </row>
    <row r="233" spans="1:16" ht="15.75" customHeight="1" x14ac:dyDescent="0.25">
      <c r="A233" s="239"/>
      <c r="B233" s="4" t="str">
        <f>IF('Option 1'!B233="","",'Option 1'!B233)</f>
        <v/>
      </c>
      <c r="C233" s="188" t="str">
        <f>IF('Option 1'!C233="","",'Option 1'!C233)</f>
        <v/>
      </c>
      <c r="D233" s="186" t="str">
        <f>IF('Option 1'!D233="","",'Option 1'!D233)</f>
        <v/>
      </c>
      <c r="E233" s="184" t="str">
        <f>IF('Option 1'!E233="","",'Option 1'!E233)</f>
        <v/>
      </c>
      <c r="F233" s="184" t="str">
        <f>IF('Option 1'!F233="","",'Option 1'!F233)</f>
        <v/>
      </c>
      <c r="G233" s="184" t="str">
        <f>IF('Option 1'!G233="","",'Option 1'!G233)</f>
        <v/>
      </c>
      <c r="H233" s="184" t="str">
        <f>IF('Option 1'!H233="","",'Option 1'!H233)</f>
        <v/>
      </c>
      <c r="I233" s="184" t="str">
        <f>IF('Option 1'!I233="","",'Option 1'!I233)</f>
        <v/>
      </c>
      <c r="J233" s="184" t="str">
        <f>IF('Option 1'!J233="","",'Option 1'!J233)</f>
        <v/>
      </c>
      <c r="K233" s="184" t="str">
        <f>IF('Option 1'!K233="","",'Option 1'!K233)</f>
        <v/>
      </c>
      <c r="L233" s="184" t="str">
        <f>IF('Option 1'!L233="","",'Option 1'!L233)</f>
        <v/>
      </c>
      <c r="M233" s="184" t="str">
        <f>IF('Option 1'!M233="","",'Option 1'!M233)</f>
        <v/>
      </c>
      <c r="N233" s="184" t="str">
        <f>IF('Option 1'!N233="","",'Option 1'!N233)</f>
        <v/>
      </c>
      <c r="O233" s="184" t="str">
        <f>IF('Option 1'!O233="","",'Option 1'!O233)</f>
        <v/>
      </c>
      <c r="P233" s="124">
        <f t="shared" si="12"/>
        <v>0</v>
      </c>
    </row>
    <row r="234" spans="1:16" ht="15.75" customHeight="1" x14ac:dyDescent="0.25">
      <c r="A234" s="239"/>
      <c r="B234" s="4" t="str">
        <f>IF('Option 1'!B234="","",'Option 1'!B234)</f>
        <v/>
      </c>
      <c r="C234" s="209" t="str">
        <f>IF('Option 1'!C234="","",'Option 1'!C234)</f>
        <v/>
      </c>
      <c r="D234" s="159" t="str">
        <f>IF('Option 1'!D234="","",'Option 1'!D234)</f>
        <v/>
      </c>
      <c r="E234" s="175" t="str">
        <f>IF('Option 1'!E234="","",'Option 1'!E234)</f>
        <v/>
      </c>
      <c r="F234" s="59" t="str">
        <f>IF('Option 1'!F234="","",'Option 1'!F234)</f>
        <v/>
      </c>
      <c r="G234" s="59" t="str">
        <f>IF('Option 1'!G234="","",'Option 1'!G234)</f>
        <v/>
      </c>
      <c r="H234" s="59" t="str">
        <f>IF('Option 1'!H234="","",'Option 1'!H234)</f>
        <v/>
      </c>
      <c r="I234" s="59" t="str">
        <f>IF('Option 1'!I234="","",'Option 1'!I234)</f>
        <v/>
      </c>
      <c r="J234" s="59" t="str">
        <f>IF('Option 1'!J234="","",'Option 1'!J234)</f>
        <v/>
      </c>
      <c r="K234" s="59" t="str">
        <f>IF('Option 1'!K234="","",'Option 1'!K234)</f>
        <v/>
      </c>
      <c r="L234" s="59" t="str">
        <f>IF('Option 1'!L234="","",'Option 1'!L234)</f>
        <v/>
      </c>
      <c r="M234" s="59" t="str">
        <f>IF('Option 1'!M234="","",'Option 1'!M234)</f>
        <v/>
      </c>
      <c r="N234" s="59" t="str">
        <f>IF('Option 1'!N234="","",'Option 1'!N234)</f>
        <v/>
      </c>
      <c r="O234" s="59" t="str">
        <f>IF('Option 1'!O234="","",'Option 1'!O234)</f>
        <v/>
      </c>
      <c r="P234" s="124">
        <f t="shared" si="11"/>
        <v>0</v>
      </c>
    </row>
    <row r="235" spans="1:16" ht="15.75" customHeight="1" x14ac:dyDescent="0.25">
      <c r="A235" s="239"/>
      <c r="B235" s="4"/>
      <c r="C235" s="4"/>
      <c r="D235" s="159"/>
      <c r="E235" s="176"/>
      <c r="F235" s="59"/>
      <c r="G235" s="59"/>
      <c r="H235" s="59"/>
      <c r="I235" s="59"/>
      <c r="J235" s="59"/>
      <c r="K235" s="59"/>
      <c r="L235" s="59"/>
      <c r="M235" s="59"/>
      <c r="N235" s="59"/>
      <c r="O235" s="59"/>
      <c r="P235" s="124">
        <f t="shared" ref="P235:P244" si="13">IF(SUM(D235:O235)=0,0,SUM(D235:O235))</f>
        <v>0</v>
      </c>
    </row>
    <row r="236" spans="1:16" ht="15.75" customHeight="1" x14ac:dyDescent="0.25">
      <c r="A236" s="239"/>
      <c r="B236" s="4"/>
      <c r="C236" s="4" t="s">
        <v>33</v>
      </c>
      <c r="D236" s="58">
        <f>IF(Assumptions!$F$21=0,0,IF(YEAR(Assumptions!F22)&gt;Assumptions!D7,0,IF(ISERROR(IF((Assumptions!$D$13*1.75*Assumptions!$F$24*12)&gt;1000,(Assumptions!$D$13*1.75*Assumptions!$F$24*12)/2+((((Assumptions!$D$13*1.75*Assumptions!$F$24*12)/2)/(Assumptions!$F$24*12))*Calc!$B$109),1000)),0,IF((Assumptions!$D$13*1.75*Assumptions!$F$24*12)&gt;1000,(Assumptions!$D$13*1.75*Assumptions!$F$24*12)/2+((((Assumptions!$D$13*1.75*Assumptions!$F$24*12)/2)/(Assumptions!$F$24*12))*Calc!$B$109),1000))))</f>
        <v>0</v>
      </c>
      <c r="E236" s="58">
        <f>IF(Assumptions!$F$21=0,0,IF(D236=0,IF(ISERROR(IF((Assumptions!$D$13*1.75*Assumptions!$F$24*12)&gt;1000,(Assumptions!$D$13*1.75*Assumptions!$F$24*12)/2+((((Assumptions!$D$13*1.75*Assumptions!$F$24*12)/2)/(Assumptions!$F$24*12))*Calc!$B$109),1000)),0,IF((Assumptions!$D$13*1.75*Assumptions!$F$24*12)&gt;1000,(Assumptions!$D$13*1.75*Assumptions!$F$24*12)/2+((((Assumptions!$D$13*1.75*Assumptions!$F$24*12)/2)/(Assumptions!$F$24*12))*Calc!$B$109),1000))+IF(ISERROR(((((Assumptions!$D$13*1.75*Assumptions!$F$24*12)/2)/(Assumptions!$F$24*12))*Calc!C109)),0,((((Assumptions!$D$13*1.75*Assumptions!$F$24*12)/2)/(Assumptions!$F$24*12))*Calc!C109)),IF(ISERROR(((((Assumptions!$D$13*1.75*Assumptions!$F$24*12)/2)/(Assumptions!$F$24*12))*Calc!C109)),0,((((Assumptions!$D$13*1.75*Assumptions!$F$24*12)/2)/(Assumptions!$F$24*12))*Calc!C109))))</f>
        <v>0</v>
      </c>
      <c r="F236" s="58">
        <f>IF(Assumptions!$F$21=0,0,IF(ISERROR(((((Assumptions!$D$13*1.75*Assumptions!$F$24*12)/2)/(Assumptions!$F$24*12))*Calc!D109)),0,((((Assumptions!$D$13*1.75*Assumptions!$F$24*12)/2)/(Assumptions!$F$24*12))*Calc!D109)))</f>
        <v>0</v>
      </c>
      <c r="G236" s="58">
        <f>IF(Assumptions!$F$21=0,0,IF(ISERROR(((((Assumptions!$D$13*1.75*Assumptions!$F$24*12)/2)/(Assumptions!$F$24*12))*Calc!E109)),0,((((Assumptions!$D$13*1.75*Assumptions!$F$24*12)/2)/(Assumptions!$F$24*12))*Calc!E109)))</f>
        <v>0</v>
      </c>
      <c r="H236" s="58">
        <f>IF(Assumptions!$F$21=0,0,IF(ISERROR(((((Assumptions!$D$13*1.75*Assumptions!$F$24*12)/2)/(Assumptions!$F$24*12))*Calc!F109)),0,((((Assumptions!$D$13*1.75*Assumptions!$F$24*12)/2)/(Assumptions!$F$24*12))*Calc!F109)))</f>
        <v>0</v>
      </c>
      <c r="I236" s="58">
        <f>IF(Assumptions!$F$21=0,0,IF(ISERROR(((((Assumptions!$D$13*1.75*Assumptions!$F$24*12)/2)/(Assumptions!$F$24*12))*Calc!G109)),0,((((Assumptions!$D$13*1.75*Assumptions!$F$24*12)/2)/(Assumptions!$F$24*12))*Calc!G109)))</f>
        <v>0</v>
      </c>
      <c r="J236" s="58">
        <f>IF(Assumptions!$F$21=0,0,IF(ISERROR(((((Assumptions!$D$13*1.75*Assumptions!$F$24*12)/2)/(Assumptions!$F$24*12))*Calc!H109)),0,((((Assumptions!$D$13*1.75*Assumptions!$F$24*12)/2)/(Assumptions!$F$24*12))*Calc!H109)))</f>
        <v>0</v>
      </c>
      <c r="K236" s="58">
        <f>IF(Assumptions!$F$21=0,0,IF(ISERROR(((((Assumptions!$D$13*1.75*Assumptions!$F$24*12)/2)/(Assumptions!$F$24*12))*Calc!I109)),0,((((Assumptions!$D$13*1.75*Assumptions!$F$24*12)/2)/(Assumptions!$F$24*12))*Calc!I109)))</f>
        <v>0</v>
      </c>
      <c r="L236" s="58">
        <f>IF(Assumptions!$F$21=0,0,IF(ISERROR(((((Assumptions!$D$13*1.75*Assumptions!$F$24*12)/2)/(Assumptions!$F$24*12))*Calc!J109)),0,((((Assumptions!$D$13*1.75*Assumptions!$F$24*12)/2)/(Assumptions!$F$24*12))*Calc!J109)))</f>
        <v>0</v>
      </c>
      <c r="M236" s="58">
        <f>IF(Assumptions!$F$21=0,0,IF(ISERROR(((((Assumptions!$D$13*1.75*Assumptions!$F$24*12)/2)/(Assumptions!$F$24*12))*Calc!K109)),0,((((Assumptions!$D$13*1.75*Assumptions!$F$24*12)/2)/(Assumptions!$F$24*12))*Calc!K109)))</f>
        <v>0</v>
      </c>
      <c r="N236" s="58">
        <f>IF(Assumptions!$F$21=0,0,IF(ISERROR(((((Assumptions!$D$13*1.75*Assumptions!$F$24*12)/2)/(Assumptions!$F$24*12))*Calc!L109)),0,((((Assumptions!$D$13*1.75*Assumptions!$F$24*12)/2)/(Assumptions!$F$24*12))*Calc!L109)))</f>
        <v>0</v>
      </c>
      <c r="O236" s="58">
        <f>IF(Assumptions!$F$21=0,0,IF(ISERROR(((((Assumptions!$D$13*1.75*Assumptions!$F$24*12)/2)/(Assumptions!$F$24*12))*Calc!M109)),0,((((Assumptions!$D$13*1.75*Assumptions!$F$24*12)/2)/(Assumptions!$F$24*12))*Calc!M109)))</f>
        <v>0</v>
      </c>
      <c r="P236" s="124">
        <f t="shared" si="13"/>
        <v>0</v>
      </c>
    </row>
    <row r="237" spans="1:16" ht="15.75" customHeight="1" x14ac:dyDescent="0.25">
      <c r="A237" s="239"/>
      <c r="B237" s="4"/>
      <c r="C237" s="4"/>
      <c r="D237" s="58"/>
      <c r="E237" s="59"/>
      <c r="F237" s="59"/>
      <c r="G237" s="59"/>
      <c r="H237" s="59"/>
      <c r="I237" s="59"/>
      <c r="J237" s="59"/>
      <c r="K237" s="59"/>
      <c r="L237" s="59"/>
      <c r="M237" s="59"/>
      <c r="N237" s="59"/>
      <c r="O237" s="59"/>
      <c r="P237" s="124">
        <f t="shared" si="13"/>
        <v>0</v>
      </c>
    </row>
    <row r="238" spans="1:16" ht="15.75" x14ac:dyDescent="0.25">
      <c r="A238" s="239"/>
      <c r="B238" s="4"/>
      <c r="C238" s="4"/>
      <c r="D238" s="58"/>
      <c r="E238" s="58"/>
      <c r="F238" s="59"/>
      <c r="G238" s="59"/>
      <c r="H238" s="59"/>
      <c r="I238" s="59"/>
      <c r="J238" s="59"/>
      <c r="K238" s="59"/>
      <c r="L238" s="59"/>
      <c r="M238" s="59"/>
      <c r="N238" s="59"/>
      <c r="O238" s="59"/>
      <c r="P238" s="124">
        <f t="shared" ref="P238" si="14">IF(SUM(D238:O238)=0,0,SUM(D238:O238))</f>
        <v>0</v>
      </c>
    </row>
    <row r="239" spans="1:16" ht="15.75" customHeight="1" x14ac:dyDescent="0.25">
      <c r="A239" s="239"/>
      <c r="B239" s="4" t="s">
        <v>13</v>
      </c>
      <c r="C239" s="4" t="s">
        <v>30</v>
      </c>
      <c r="D239" s="58">
        <f>IF(Assumptions!$F$30=0,IF(ISERROR(-CUMIPMT(0.00000000001/12,Assumptions!$F$36*12,Assumptions!$F$30,D20,D21,0)),0,-CUMIPMT(0.00000000001/12,Assumptions!$F$36*12,Assumptions!$F$30,D20,D21,0)),IF(ISERROR(-CUMIPMT(Assumptions!$F$33/12,Assumptions!$F$36*12,Assumptions!$F$30,D20,D21,0)),0,-CUMIPMT(Assumptions!$F$33/12,Assumptions!$F$36*12,Assumptions!$F$30,D20,D21,0)))</f>
        <v>0</v>
      </c>
      <c r="E239" s="58">
        <f>IF(Assumptions!$F$30=0,IF(ISERROR(-CUMIPMT(0.00000000001/12,Assumptions!$F$36*12,Assumptions!$F$30,E20,E21,0)),0,-CUMIPMT(0.00000000001/12,Assumptions!$F$36*12,Assumptions!$F$30,E20,E21,0)),IF(ISERROR(-CUMIPMT(Assumptions!$F$33/12,Assumptions!$F$36*12,Assumptions!$F$30,E20,E21,0)),0,-CUMIPMT(Assumptions!$F$33/12,Assumptions!$F$36*12,Assumptions!$F$30,E20,E21,0)))</f>
        <v>0</v>
      </c>
      <c r="F239" s="58">
        <f>IF(Assumptions!$F$30=0,IF(ISERROR(-CUMIPMT(0.00000000001/12,Assumptions!$F$36*12,Assumptions!$F$30,F20,F21,0)),0,-CUMIPMT(0.00000000001/12,Assumptions!$F$36*12,Assumptions!$F$30,F20,F21,0)),IF(ISERROR(-CUMIPMT(Assumptions!$F$33/12,Assumptions!$F$36*12,Assumptions!$F$30,F20,F21,0)),0,-CUMIPMT(Assumptions!$F$33/12,Assumptions!$F$36*12,Assumptions!$F$30,F20,F21,0)))</f>
        <v>0</v>
      </c>
      <c r="G239" s="58">
        <f>IF(Assumptions!$F$30=0,IF(ISERROR(-CUMIPMT(0.00000000001/12,Assumptions!$F$36*12,Assumptions!$F$30,G20,G21,0)),0,-CUMIPMT(0.00000000001/12,Assumptions!$F$36*12,Assumptions!$F$30,G20,G21,0)),IF(ISERROR(-CUMIPMT(Assumptions!$F$33/12,Assumptions!$F$36*12,Assumptions!$F$30,G20,G21,0)),0,-CUMIPMT(Assumptions!$F$33/12,Assumptions!$F$36*12,Assumptions!$F$30,G20,G21,0)))</f>
        <v>0</v>
      </c>
      <c r="H239" s="58">
        <f>IF(Assumptions!$F$30=0,IF(ISERROR(-CUMIPMT(0.00000000001/12,Assumptions!$F$36*12,Assumptions!$F$30,H20,H21,0)),0,-CUMIPMT(0.00000000001/12,Assumptions!$F$36*12,Assumptions!$F$30,H20,H21,0)),IF(ISERROR(-CUMIPMT(Assumptions!$F$33/12,Assumptions!$F$36*12,Assumptions!$F$30,H20,H21,0)),0,-CUMIPMT(Assumptions!$F$33/12,Assumptions!$F$36*12,Assumptions!$F$30,H20,H21,0)))</f>
        <v>0</v>
      </c>
      <c r="I239" s="58">
        <f>IF(Assumptions!$F$30=0,IF(ISERROR(-CUMIPMT(0.00000000001/12,Assumptions!$F$36*12,Assumptions!$F$30,I20,I21,0)),0,-CUMIPMT(0.00000000001/12,Assumptions!$F$36*12,Assumptions!$F$30,I20,I21,0)),IF(ISERROR(-CUMIPMT(Assumptions!$F$33/12,Assumptions!$F$36*12,Assumptions!$F$30,I20,I21,0)),0,-CUMIPMT(Assumptions!$F$33/12,Assumptions!$F$36*12,Assumptions!$F$30,I20,I21,0)))</f>
        <v>0</v>
      </c>
      <c r="J239" s="58">
        <f>IF(Assumptions!$F$30=0,IF(ISERROR(-CUMIPMT(0.00000000001/12,Assumptions!$F$36*12,Assumptions!$F$30,J20,J21,0)),0,-CUMIPMT(0.00000000001/12,Assumptions!$F$36*12,Assumptions!$F$30,J20,J21,0)),IF(ISERROR(-CUMIPMT(Assumptions!$F$33/12,Assumptions!$F$36*12,Assumptions!$F$30,J20,J21,0)),0,-CUMIPMT(Assumptions!$F$33/12,Assumptions!$F$36*12,Assumptions!$F$30,J20,J21,0)))</f>
        <v>0</v>
      </c>
      <c r="K239" s="58">
        <f>IF(Assumptions!$F$30=0,IF(ISERROR(-CUMIPMT(0.00000000001/12,Assumptions!$F$36*12,Assumptions!$F$30,K20,K21,0)),0,-CUMIPMT(0.00000000001/12,Assumptions!$F$36*12,Assumptions!$F$30,K20,K21,0)),IF(ISERROR(-CUMIPMT(Assumptions!$F$33/12,Assumptions!$F$36*12,Assumptions!$F$30,K20,K21,0)),0,-CUMIPMT(Assumptions!$F$33/12,Assumptions!$F$36*12,Assumptions!$F$30,K20,K21,0)))</f>
        <v>0</v>
      </c>
      <c r="L239" s="58">
        <f>IF(Assumptions!$F$30=0,IF(ISERROR(-CUMIPMT(0.00000000001/12,Assumptions!$F$36*12,Assumptions!$F$30,L20,L21,0)),0,-CUMIPMT(0.00000000001/12,Assumptions!$F$36*12,Assumptions!$F$30,L20,L21,0)),IF(ISERROR(-CUMIPMT(Assumptions!$F$33/12,Assumptions!$F$36*12,Assumptions!$F$30,L20,L21,0)),0,-CUMIPMT(Assumptions!$F$33/12,Assumptions!$F$36*12,Assumptions!$F$30,L20,L21,0)))</f>
        <v>0</v>
      </c>
      <c r="M239" s="58">
        <f>IF(Assumptions!$F$30=0,IF(ISERROR(-CUMIPMT(0.00000000001/12,Assumptions!$F$36*12,Assumptions!$F$30,M20,M21,0)),0,-CUMIPMT(0.00000000001/12,Assumptions!$F$36*12,Assumptions!$F$30,M20,M21,0)),IF(ISERROR(-CUMIPMT(Assumptions!$F$33/12,Assumptions!$F$36*12,Assumptions!$F$30,M20,M21,0)),0,-CUMIPMT(Assumptions!$F$33/12,Assumptions!$F$36*12,Assumptions!$F$30,M20,M21,0)))</f>
        <v>0</v>
      </c>
      <c r="N239" s="58">
        <f>IF(Assumptions!$F$30=0,IF(ISERROR(-CUMIPMT(0.00000000001/12,Assumptions!$F$36*12,Assumptions!$F$30,N20,N21,0)),0,-CUMIPMT(0.00000000001/12,Assumptions!$F$36*12,Assumptions!$F$30,N20,N21,0)),IF(ISERROR(-CUMIPMT(Assumptions!$F$33/12,Assumptions!$F$36*12,Assumptions!$F$30,N20,N21,0)),0,-CUMIPMT(Assumptions!$F$33/12,Assumptions!$F$36*12,Assumptions!$F$30,N20,N21,0)))</f>
        <v>0</v>
      </c>
      <c r="O239" s="58">
        <f>IF(Assumptions!$F$30=0,IF(ISERROR(-CUMIPMT(0.00000000001/12,Assumptions!$F$36*12,Assumptions!$F$30,O20,O21,0)),0,-CUMIPMT(0.00000000001/12,Assumptions!$F$36*12,Assumptions!$F$30,O20,O21,0)),IF(ISERROR(-CUMIPMT(Assumptions!$F$33/12,Assumptions!$F$36*12,Assumptions!$F$30,O20,O21,0)),0,-CUMIPMT(Assumptions!$F$33/12,Assumptions!$F$36*12,Assumptions!$F$30,O20,O21,0)))</f>
        <v>0</v>
      </c>
      <c r="P239" s="124">
        <f t="shared" si="13"/>
        <v>0</v>
      </c>
    </row>
    <row r="240" spans="1:16" ht="15.75" customHeight="1" x14ac:dyDescent="0.25">
      <c r="A240" s="239"/>
      <c r="B240" s="4"/>
      <c r="C240" s="4" t="s">
        <v>83</v>
      </c>
      <c r="D240" s="58">
        <f>IF(Assumptions!$F$30=0,IF(ISERROR(-CUMPRINC(0.00000000001/12,Assumptions!$F$36*12,Assumptions!$F$30,D20,D21,0)),0,(-CUMPRINC(0.00000000001/12,Assumptions!$F$36*12,Assumptions!$F$30,D20,D21,0))),IF(ISERROR(-CUMPRINC(Assumptions!$F$33/12,Assumptions!$F$36*12,Assumptions!$F$30,D20,D21,0)),0,(-CUMPRINC(Assumptions!$F$33/12,Assumptions!$F$36*12,Assumptions!$F$30,D20,D21,0))))</f>
        <v>0</v>
      </c>
      <c r="E240" s="58">
        <f>IF(Assumptions!$F$30=0,IF(ISERROR(-CUMPRINC(0.00000000001/12,Assumptions!$F$36*12,Assumptions!$F$30,E20,E21,0)),0,(-CUMPRINC(0.00000000001/12,Assumptions!$F$36*12,Assumptions!$F$30,E20,E21,0))),IF(ISERROR(-CUMPRINC(Assumptions!$F$33/12,Assumptions!$F$36*12,Assumptions!$F$30,E20,E21,0)),0,(-CUMPRINC(Assumptions!$F$33/12,Assumptions!$F$36*12,Assumptions!$F$30,E20,E21,0))))</f>
        <v>0</v>
      </c>
      <c r="F240" s="58">
        <f>IF(Assumptions!$F$30=0,IF(ISERROR(-CUMPRINC(0.00000000001/12,Assumptions!$F$36*12,Assumptions!$F$30,F20,F21,0)),0,(-CUMPRINC(0.00000000001/12,Assumptions!$F$36*12,Assumptions!$F$30,F20,F21,0))),IF(ISERROR(-CUMPRINC(Assumptions!$F$33/12,Assumptions!$F$36*12,Assumptions!$F$30,F20,F21,0)),0,(-CUMPRINC(Assumptions!$F$33/12,Assumptions!$F$36*12,Assumptions!$F$30,F20,F21,0))))</f>
        <v>0</v>
      </c>
      <c r="G240" s="58">
        <f>IF(Assumptions!$F$30=0,IF(ISERROR(-CUMPRINC(0.00000000001/12,Assumptions!$F$36*12,Assumptions!$F$30,G20,G21,0)),0,(-CUMPRINC(0.00000000001/12,Assumptions!$F$36*12,Assumptions!$F$30,G20,G21,0))),IF(ISERROR(-CUMPRINC(Assumptions!$F$33/12,Assumptions!$F$36*12,Assumptions!$F$30,G20,G21,0)),0,(-CUMPRINC(Assumptions!$F$33/12,Assumptions!$F$36*12,Assumptions!$F$30,G20,G21,0))))</f>
        <v>0</v>
      </c>
      <c r="H240" s="58">
        <f>IF(Assumptions!$F$30=0,IF(ISERROR(-CUMPRINC(0.00000000001/12,Assumptions!$F$36*12,Assumptions!$F$30,H20,H21,0)),0,(-CUMPRINC(0.00000000001/12,Assumptions!$F$36*12,Assumptions!$F$30,H20,H21,0))),IF(ISERROR(-CUMPRINC(Assumptions!$F$33/12,Assumptions!$F$36*12,Assumptions!$F$30,H20,H21,0)),0,(-CUMPRINC(Assumptions!$F$33/12,Assumptions!$F$36*12,Assumptions!$F$30,H20,H21,0))))</f>
        <v>0</v>
      </c>
      <c r="I240" s="58">
        <f>IF(Assumptions!$F$30=0,IF(ISERROR(-CUMPRINC(0.00000000001/12,Assumptions!$F$36*12,Assumptions!$F$30,I20,I21,0)),0,(-CUMPRINC(0.00000000001/12,Assumptions!$F$36*12,Assumptions!$F$30,I20,I21,0))),IF(ISERROR(-CUMPRINC(Assumptions!$F$33/12,Assumptions!$F$36*12,Assumptions!$F$30,I20,I21,0)),0,(-CUMPRINC(Assumptions!$F$33/12,Assumptions!$F$36*12,Assumptions!$F$30,I20,I21,0))))</f>
        <v>0</v>
      </c>
      <c r="J240" s="58">
        <f>IF(Assumptions!$F$30=0,IF(ISERROR(-CUMPRINC(0.00000000001/12,Assumptions!$F$36*12,Assumptions!$F$30,J20,J21,0)),0,(-CUMPRINC(0.00000000001/12,Assumptions!$F$36*12,Assumptions!$F$30,J20,J21,0))),IF(ISERROR(-CUMPRINC(Assumptions!$F$33/12,Assumptions!$F$36*12,Assumptions!$F$30,J20,J21,0)),0,(-CUMPRINC(Assumptions!$F$33/12,Assumptions!$F$36*12,Assumptions!$F$30,J20,J21,0))))</f>
        <v>0</v>
      </c>
      <c r="K240" s="58">
        <f>IF(Assumptions!$F$30=0,IF(ISERROR(-CUMPRINC(0.00000000001/12,Assumptions!$F$36*12,Assumptions!$F$30,K20,K21,0)),0,(-CUMPRINC(0.00000000001/12,Assumptions!$F$36*12,Assumptions!$F$30,K20,K21,0))),IF(ISERROR(-CUMPRINC(Assumptions!$F$33/12,Assumptions!$F$36*12,Assumptions!$F$30,K20,K21,0)),0,(-CUMPRINC(Assumptions!$F$33/12,Assumptions!$F$36*12,Assumptions!$F$30,K20,K21,0))))</f>
        <v>0</v>
      </c>
      <c r="L240" s="58">
        <f>IF(Assumptions!$F$30=0,IF(ISERROR(-CUMPRINC(0.00000000001/12,Assumptions!$F$36*12,Assumptions!$F$30,L20,L21,0)),0,(-CUMPRINC(0.00000000001/12,Assumptions!$F$36*12,Assumptions!$F$30,L20,L21,0))),IF(ISERROR(-CUMPRINC(Assumptions!$F$33/12,Assumptions!$F$36*12,Assumptions!$F$30,L20,L21,0)),0,(-CUMPRINC(Assumptions!$F$33/12,Assumptions!$F$36*12,Assumptions!$F$30,L20,L21,0))))</f>
        <v>0</v>
      </c>
      <c r="M240" s="58">
        <f>IF(Assumptions!$F$30=0,IF(ISERROR(-CUMPRINC(0.00000000001/12,Assumptions!$F$36*12,Assumptions!$F$30,M20,M21,0)),0,(-CUMPRINC(0.00000000001/12,Assumptions!$F$36*12,Assumptions!$F$30,M20,M21,0))),IF(ISERROR(-CUMPRINC(Assumptions!$F$33/12,Assumptions!$F$36*12,Assumptions!$F$30,M20,M21,0)),0,(-CUMPRINC(Assumptions!$F$33/12,Assumptions!$F$36*12,Assumptions!$F$30,M20,M21,0))))</f>
        <v>0</v>
      </c>
      <c r="N240" s="58">
        <f>IF(Assumptions!$F$30=0,IF(ISERROR(-CUMPRINC(0.00000000001/12,Assumptions!$F$36*12,Assumptions!$F$30,N20,N21,0)),0,(-CUMPRINC(0.00000000001/12,Assumptions!$F$36*12,Assumptions!$F$30,N20,N21,0))),IF(ISERROR(-CUMPRINC(Assumptions!$F$33/12,Assumptions!$F$36*12,Assumptions!$F$30,N20,N21,0)),0,(-CUMPRINC(Assumptions!$F$33/12,Assumptions!$F$36*12,Assumptions!$F$30,N20,N21,0))))</f>
        <v>0</v>
      </c>
      <c r="O240" s="58">
        <f>IF(Assumptions!$F$30=0,IF(ISERROR(-CUMPRINC(0.00000000001/12,Assumptions!$F$36*12,Assumptions!$F$30,O20,O21,0)),0,(-CUMPRINC(0.00000000001/12,Assumptions!$F$36*12,Assumptions!$F$30,O20,O21,0))),IF(ISERROR(-CUMPRINC(Assumptions!$F$33/12,Assumptions!$F$36*12,Assumptions!$F$30,O20,O21,0)),0,(-CUMPRINC(Assumptions!$F$33/12,Assumptions!$F$36*12,Assumptions!$F$30,O20,O21,0))))</f>
        <v>0</v>
      </c>
      <c r="P240" s="124">
        <f t="shared" si="13"/>
        <v>0</v>
      </c>
    </row>
    <row r="241" spans="1:16" ht="15.75" customHeight="1" x14ac:dyDescent="0.25">
      <c r="A241" s="239"/>
      <c r="B241" s="4" t="s">
        <v>14</v>
      </c>
      <c r="C241" s="4" t="s">
        <v>15</v>
      </c>
      <c r="D241" s="58">
        <v>0</v>
      </c>
      <c r="E241" s="59"/>
      <c r="F241" s="59"/>
      <c r="G241" s="59"/>
      <c r="H241" s="59"/>
      <c r="I241" s="59"/>
      <c r="J241" s="59"/>
      <c r="K241" s="59"/>
      <c r="L241" s="59"/>
      <c r="M241" s="59"/>
      <c r="N241" s="59"/>
      <c r="O241" s="59"/>
      <c r="P241" s="124">
        <f t="shared" si="13"/>
        <v>0</v>
      </c>
    </row>
    <row r="242" spans="1:16" ht="15.75" customHeight="1" x14ac:dyDescent="0.25">
      <c r="A242" s="239"/>
      <c r="B242" s="4"/>
      <c r="C242" s="24"/>
      <c r="D242" s="58"/>
      <c r="E242" s="59"/>
      <c r="F242" s="59"/>
      <c r="G242" s="59"/>
      <c r="H242" s="59"/>
      <c r="I242" s="59"/>
      <c r="J242" s="59"/>
      <c r="K242" s="59"/>
      <c r="L242" s="59"/>
      <c r="M242" s="59"/>
      <c r="N242" s="59"/>
      <c r="O242" s="59"/>
      <c r="P242" s="124">
        <f t="shared" si="13"/>
        <v>0</v>
      </c>
    </row>
    <row r="243" spans="1:16" ht="15.75" customHeight="1" x14ac:dyDescent="0.25">
      <c r="A243" s="239"/>
      <c r="B243" s="4"/>
      <c r="C243" s="24"/>
      <c r="D243" s="58"/>
      <c r="E243" s="59"/>
      <c r="F243" s="59"/>
      <c r="G243" s="59"/>
      <c r="H243" s="59"/>
      <c r="I243" s="59"/>
      <c r="J243" s="59"/>
      <c r="K243" s="59"/>
      <c r="L243" s="59"/>
      <c r="M243" s="59"/>
      <c r="N243" s="59"/>
      <c r="O243" s="59"/>
      <c r="P243" s="124">
        <f t="shared" si="13"/>
        <v>0</v>
      </c>
    </row>
    <row r="244" spans="1:16" ht="15.75" customHeight="1" x14ac:dyDescent="0.25">
      <c r="A244" s="240"/>
      <c r="B244" s="4"/>
      <c r="C244" s="24"/>
      <c r="D244" s="9"/>
      <c r="E244" s="10"/>
      <c r="F244" s="10"/>
      <c r="G244" s="10"/>
      <c r="H244" s="10"/>
      <c r="I244" s="10"/>
      <c r="J244" s="10"/>
      <c r="K244" s="10"/>
      <c r="L244" s="10"/>
      <c r="M244" s="10"/>
      <c r="N244" s="10"/>
      <c r="O244" s="10"/>
      <c r="P244" s="124">
        <f t="shared" si="13"/>
        <v>0</v>
      </c>
    </row>
    <row r="245" spans="1:16" ht="15.75" customHeight="1" x14ac:dyDescent="0.25">
      <c r="B245" s="8"/>
      <c r="C245" s="24" t="s">
        <v>29</v>
      </c>
      <c r="D245" s="9">
        <f t="shared" ref="D245:O245" si="15">SUM(D24:D244)</f>
        <v>595247</v>
      </c>
      <c r="E245" s="10">
        <f t="shared" si="15"/>
        <v>481097</v>
      </c>
      <c r="F245" s="10">
        <f t="shared" si="15"/>
        <v>520204</v>
      </c>
      <c r="G245" s="10">
        <f t="shared" si="15"/>
        <v>1760567</v>
      </c>
      <c r="H245" s="10">
        <f t="shared" si="15"/>
        <v>1819065</v>
      </c>
      <c r="I245" s="10">
        <f t="shared" si="15"/>
        <v>2197785</v>
      </c>
      <c r="J245" s="10">
        <f t="shared" si="15"/>
        <v>793220</v>
      </c>
      <c r="K245" s="10">
        <f t="shared" si="15"/>
        <v>1538061</v>
      </c>
      <c r="L245" s="10">
        <f t="shared" si="15"/>
        <v>635828</v>
      </c>
      <c r="M245" s="10">
        <f t="shared" si="15"/>
        <v>1177500</v>
      </c>
      <c r="N245" s="10">
        <f t="shared" si="15"/>
        <v>513035</v>
      </c>
      <c r="O245" s="10">
        <f t="shared" si="15"/>
        <v>264243</v>
      </c>
      <c r="P245" s="124">
        <f>IF(SUM(D245:O245)=0,0,SUM(D245:O245))</f>
        <v>12295852</v>
      </c>
    </row>
    <row r="246" spans="1:16" ht="15" customHeight="1" x14ac:dyDescent="0.2">
      <c r="B246" s="8"/>
      <c r="C246" s="25"/>
      <c r="D246" s="6"/>
      <c r="E246" s="6"/>
      <c r="F246" s="6"/>
      <c r="G246" s="6"/>
      <c r="H246" s="6"/>
      <c r="I246" s="6"/>
      <c r="J246" s="6"/>
      <c r="K246" s="6"/>
      <c r="L246" s="6"/>
      <c r="M246" s="6"/>
      <c r="N246" s="6"/>
      <c r="O246" s="6"/>
      <c r="P246" s="6"/>
    </row>
    <row r="247" spans="1:16" ht="15.75" customHeight="1" x14ac:dyDescent="0.25">
      <c r="B247" s="12" t="s">
        <v>18</v>
      </c>
      <c r="C247" s="25"/>
      <c r="D247" s="7">
        <f>+Assumptions!D15</f>
        <v>623745</v>
      </c>
      <c r="E247" s="6">
        <f>+D252</f>
        <v>290817.52916666667</v>
      </c>
      <c r="F247" s="6">
        <f t="shared" ref="F247:O247" si="16">+E252</f>
        <v>462904.83681250003</v>
      </c>
      <c r="G247" s="6">
        <f t="shared" si="16"/>
        <v>618612.01178062509</v>
      </c>
      <c r="H247" s="6">
        <f t="shared" si="16"/>
        <v>-441255.21764466551</v>
      </c>
      <c r="I247" s="6">
        <f t="shared" si="16"/>
        <v>-1556982.1138876188</v>
      </c>
      <c r="J247" s="6">
        <f t="shared" si="16"/>
        <v>-3060163.5623815712</v>
      </c>
      <c r="K247" s="6">
        <f t="shared" si="16"/>
        <v>-3189654.5217691828</v>
      </c>
      <c r="L247" s="6">
        <f t="shared" si="16"/>
        <v>-4061153.4641227536</v>
      </c>
      <c r="M247" s="6">
        <f t="shared" si="16"/>
        <v>-4057881.6378020626</v>
      </c>
      <c r="N247" s="6">
        <f t="shared" si="16"/>
        <v>-4592393.9676709864</v>
      </c>
      <c r="O247" s="6">
        <f t="shared" si="16"/>
        <v>-4484688.5519074015</v>
      </c>
      <c r="P247" s="6"/>
    </row>
    <row r="248" spans="1:16" ht="15" customHeight="1" x14ac:dyDescent="0.2">
      <c r="B248" s="8"/>
      <c r="C248" s="25"/>
      <c r="D248" s="6"/>
      <c r="E248" s="6"/>
      <c r="F248" s="6"/>
      <c r="G248" s="6"/>
      <c r="H248" s="6"/>
      <c r="I248" s="6"/>
      <c r="J248" s="6"/>
      <c r="K248" s="6"/>
      <c r="L248" s="6"/>
      <c r="M248" s="6"/>
      <c r="N248" s="6"/>
      <c r="O248" s="6"/>
      <c r="P248" s="6"/>
    </row>
    <row r="249" spans="1:16" ht="12.75" hidden="1" customHeight="1" x14ac:dyDescent="0.2">
      <c r="D249" s="11">
        <f t="shared" ref="D249:O249" si="17">SUM(D24:D244)</f>
        <v>595247</v>
      </c>
      <c r="E249" s="11">
        <f t="shared" si="17"/>
        <v>481097</v>
      </c>
      <c r="F249" s="11">
        <f t="shared" si="17"/>
        <v>520204</v>
      </c>
      <c r="G249" s="11">
        <f t="shared" si="17"/>
        <v>1760567</v>
      </c>
      <c r="H249" s="11">
        <f t="shared" si="17"/>
        <v>1819065</v>
      </c>
      <c r="I249" s="11">
        <f t="shared" si="17"/>
        <v>2197785</v>
      </c>
      <c r="J249" s="11">
        <f t="shared" si="17"/>
        <v>793220</v>
      </c>
      <c r="K249" s="11">
        <f t="shared" si="17"/>
        <v>1538061</v>
      </c>
      <c r="L249" s="11">
        <f t="shared" si="17"/>
        <v>635828</v>
      </c>
      <c r="M249" s="11">
        <f t="shared" si="17"/>
        <v>1177500</v>
      </c>
      <c r="N249" s="11">
        <f t="shared" si="17"/>
        <v>513035</v>
      </c>
      <c r="O249" s="11">
        <f t="shared" si="17"/>
        <v>264243</v>
      </c>
      <c r="P249" s="11"/>
    </row>
    <row r="250" spans="1:16" ht="15.75" customHeight="1" x14ac:dyDescent="0.25">
      <c r="B250" s="12" t="s">
        <v>16</v>
      </c>
      <c r="C250" s="27"/>
      <c r="D250" s="13">
        <f t="shared" ref="D250:O250" si="18">+D17-D249</f>
        <v>-332927.47083333333</v>
      </c>
      <c r="E250" s="13">
        <f t="shared" si="18"/>
        <v>172087.30764583335</v>
      </c>
      <c r="F250" s="13">
        <f t="shared" si="18"/>
        <v>155707.17496812507</v>
      </c>
      <c r="G250" s="13">
        <f t="shared" si="18"/>
        <v>-1059867.2294252906</v>
      </c>
      <c r="H250" s="13">
        <f t="shared" si="18"/>
        <v>-1115726.8962429534</v>
      </c>
      <c r="I250" s="13">
        <f t="shared" si="18"/>
        <v>-1503181.4484939522</v>
      </c>
      <c r="J250" s="13">
        <f t="shared" si="18"/>
        <v>-129490.9593876116</v>
      </c>
      <c r="K250" s="13">
        <f t="shared" si="18"/>
        <v>-871498.94235357095</v>
      </c>
      <c r="L250" s="13">
        <f t="shared" si="18"/>
        <v>3271.8263206909178</v>
      </c>
      <c r="M250" s="13">
        <f t="shared" si="18"/>
        <v>-534512.32986892364</v>
      </c>
      <c r="N250" s="13">
        <f t="shared" si="18"/>
        <v>107705.4157635849</v>
      </c>
      <c r="O250" s="13">
        <f t="shared" si="18"/>
        <v>387393.48997617816</v>
      </c>
      <c r="P250" s="13"/>
    </row>
    <row r="251" spans="1:16" ht="16.5" customHeight="1" thickBot="1" x14ac:dyDescent="0.3">
      <c r="B251" s="12"/>
      <c r="C251" s="27"/>
    </row>
    <row r="252" spans="1:16" ht="16.5" customHeight="1" thickBot="1" x14ac:dyDescent="0.3">
      <c r="B252" s="15" t="s">
        <v>17</v>
      </c>
      <c r="C252" s="28"/>
      <c r="D252" s="16">
        <f>+D247+D250</f>
        <v>290817.52916666667</v>
      </c>
      <c r="E252" s="16">
        <f>+E247+E250</f>
        <v>462904.83681250003</v>
      </c>
      <c r="F252" s="16">
        <f t="shared" ref="F252:O252" si="19">+F247+F250</f>
        <v>618612.01178062509</v>
      </c>
      <c r="G252" s="16">
        <f t="shared" si="19"/>
        <v>-441255.21764466551</v>
      </c>
      <c r="H252" s="16">
        <f t="shared" si="19"/>
        <v>-1556982.1138876188</v>
      </c>
      <c r="I252" s="16">
        <f t="shared" si="19"/>
        <v>-3060163.5623815712</v>
      </c>
      <c r="J252" s="16">
        <f t="shared" si="19"/>
        <v>-3189654.5217691828</v>
      </c>
      <c r="K252" s="16">
        <f t="shared" si="19"/>
        <v>-4061153.4641227536</v>
      </c>
      <c r="L252" s="16">
        <f t="shared" si="19"/>
        <v>-4057881.6378020626</v>
      </c>
      <c r="M252" s="16">
        <f t="shared" si="19"/>
        <v>-4592393.9676709864</v>
      </c>
      <c r="N252" s="16">
        <f t="shared" si="19"/>
        <v>-4484688.5519074015</v>
      </c>
      <c r="O252" s="17">
        <f t="shared" si="19"/>
        <v>-4097295.0619312236</v>
      </c>
      <c r="P252" s="17"/>
    </row>
    <row r="253" spans="1:16" ht="15.75" customHeight="1" x14ac:dyDescent="0.25">
      <c r="B253" s="12"/>
    </row>
    <row r="254" spans="1:16" ht="15.75" customHeight="1" x14ac:dyDescent="0.25">
      <c r="B254" s="12" t="s">
        <v>22</v>
      </c>
      <c r="D254" s="6">
        <f>IF(ISERROR(+D15-D240),0,+D15-D240)</f>
        <v>0</v>
      </c>
      <c r="E254" s="6">
        <f>IF(ISERROR(IF(D254=0,E15-E240,D254-E240)),0,IF(D254=0,E15-E240,D254+E15-E234-E240))</f>
        <v>0</v>
      </c>
      <c r="F254" s="6">
        <f t="shared" ref="F254:O254" si="20">IF(ISERROR(IF(E254=0,F15-F240,E254-F240)),0,IF(E254=0,F15-F240,E254-F240))</f>
        <v>0</v>
      </c>
      <c r="G254" s="6">
        <f t="shared" si="20"/>
        <v>0</v>
      </c>
      <c r="H254" s="6">
        <f t="shared" si="20"/>
        <v>0</v>
      </c>
      <c r="I254" s="6">
        <f t="shared" si="20"/>
        <v>0</v>
      </c>
      <c r="J254" s="6">
        <f t="shared" si="20"/>
        <v>0</v>
      </c>
      <c r="K254" s="6">
        <f t="shared" si="20"/>
        <v>0</v>
      </c>
      <c r="L254" s="6">
        <f t="shared" si="20"/>
        <v>0</v>
      </c>
      <c r="M254" s="6">
        <f t="shared" si="20"/>
        <v>0</v>
      </c>
      <c r="N254" s="6">
        <f t="shared" si="20"/>
        <v>0</v>
      </c>
      <c r="O254" s="6">
        <f t="shared" si="20"/>
        <v>0</v>
      </c>
      <c r="P254" s="6"/>
    </row>
    <row r="255" spans="1:16" ht="15.75" customHeight="1" x14ac:dyDescent="0.25">
      <c r="B255" s="12"/>
      <c r="D255" s="6"/>
    </row>
    <row r="256" spans="1:16" ht="15.75" customHeight="1" x14ac:dyDescent="0.25">
      <c r="B256" s="12"/>
      <c r="D256" s="6"/>
      <c r="E256" s="6"/>
      <c r="F256" s="6"/>
      <c r="G256" s="6"/>
      <c r="H256" s="6"/>
      <c r="I256" s="6"/>
      <c r="J256" s="6"/>
      <c r="K256" s="6"/>
      <c r="L256" s="6"/>
      <c r="M256" s="6"/>
      <c r="N256" s="6"/>
      <c r="O256" s="6"/>
    </row>
    <row r="257" spans="2:15" ht="15.75" customHeight="1" x14ac:dyDescent="0.25">
      <c r="B257" s="12"/>
      <c r="D257" s="6"/>
      <c r="E257" s="6"/>
      <c r="F257" s="6"/>
      <c r="G257" s="6"/>
      <c r="H257" s="6"/>
      <c r="I257" s="6"/>
      <c r="J257" s="6"/>
      <c r="K257" s="6"/>
      <c r="L257" s="6"/>
      <c r="M257" s="6"/>
      <c r="N257" s="6"/>
      <c r="O257" s="6"/>
    </row>
    <row r="258" spans="2:15" ht="15.75" customHeight="1" x14ac:dyDescent="0.25">
      <c r="B258" s="12"/>
      <c r="D258" s="6"/>
    </row>
    <row r="259" spans="2:15" ht="15.75" customHeight="1" x14ac:dyDescent="0.25">
      <c r="B259" s="12"/>
      <c r="D259" s="6"/>
    </row>
    <row r="260" spans="2:15" ht="15.75" customHeight="1" x14ac:dyDescent="0.25">
      <c r="B260" s="12"/>
      <c r="D260" s="6"/>
    </row>
    <row r="261" spans="2:15" ht="15.75" customHeight="1" x14ac:dyDescent="0.25">
      <c r="B261" s="12"/>
      <c r="D261" s="6"/>
    </row>
    <row r="262" spans="2:15" ht="15.75" customHeight="1" x14ac:dyDescent="0.25">
      <c r="B262" s="12"/>
      <c r="D262" s="6"/>
    </row>
    <row r="263" spans="2:15" ht="15.75" customHeight="1" x14ac:dyDescent="0.25">
      <c r="B263" s="12"/>
      <c r="D263" s="6"/>
    </row>
    <row r="264" spans="2:15" ht="15.75" customHeight="1" x14ac:dyDescent="0.25">
      <c r="B264" s="12"/>
      <c r="D264" s="6"/>
    </row>
    <row r="265" spans="2:15" ht="15.75" customHeight="1" x14ac:dyDescent="0.25">
      <c r="B265" s="12"/>
      <c r="D265" s="6"/>
    </row>
    <row r="266" spans="2:15" ht="15" customHeight="1" x14ac:dyDescent="0.2">
      <c r="D266" s="6"/>
    </row>
    <row r="267" spans="2:15" ht="15" customHeight="1" x14ac:dyDescent="0.2">
      <c r="D267" s="6"/>
    </row>
    <row r="268" spans="2:15" ht="15" customHeight="1" x14ac:dyDescent="0.2">
      <c r="D268" s="6"/>
    </row>
    <row r="269" spans="2:15" ht="15" customHeight="1" x14ac:dyDescent="0.2">
      <c r="D269" s="6"/>
    </row>
    <row r="270" spans="2:15" ht="15" customHeight="1" x14ac:dyDescent="0.2">
      <c r="D270" s="6"/>
    </row>
    <row r="271" spans="2:15" ht="15" customHeight="1" x14ac:dyDescent="0.2">
      <c r="D271" s="6"/>
    </row>
    <row r="272" spans="2:15" ht="15" customHeight="1" x14ac:dyDescent="0.2">
      <c r="D272" s="6"/>
    </row>
    <row r="273" spans="4:4" ht="15" customHeight="1" x14ac:dyDescent="0.2">
      <c r="D273" s="6"/>
    </row>
    <row r="274" spans="4:4" ht="15" customHeight="1" x14ac:dyDescent="0.2">
      <c r="D274" s="6"/>
    </row>
    <row r="275" spans="4:4" ht="15" customHeight="1" x14ac:dyDescent="0.2">
      <c r="D275" s="6"/>
    </row>
    <row r="276" spans="4:4" ht="15" customHeight="1" x14ac:dyDescent="0.2">
      <c r="D276" s="6"/>
    </row>
    <row r="277" spans="4:4" ht="15" customHeight="1" x14ac:dyDescent="0.2">
      <c r="D277" s="6"/>
    </row>
    <row r="278" spans="4:4" ht="15" customHeight="1" x14ac:dyDescent="0.2">
      <c r="D278" s="6"/>
    </row>
    <row r="279" spans="4:4" ht="15" customHeight="1" x14ac:dyDescent="0.2">
      <c r="D279" s="6"/>
    </row>
    <row r="280" spans="4:4" ht="15" customHeight="1" x14ac:dyDescent="0.2">
      <c r="D280" s="6"/>
    </row>
    <row r="281" spans="4:4" ht="15" customHeight="1" x14ac:dyDescent="0.2">
      <c r="D281" s="6"/>
    </row>
    <row r="282" spans="4:4" ht="15" customHeight="1" x14ac:dyDescent="0.2">
      <c r="D282" s="6"/>
    </row>
    <row r="283" spans="4:4" ht="15" customHeight="1" x14ac:dyDescent="0.2">
      <c r="D283" s="6"/>
    </row>
    <row r="284" spans="4:4" ht="15" customHeight="1" x14ac:dyDescent="0.2">
      <c r="D284" s="6"/>
    </row>
    <row r="285" spans="4:4" ht="15" customHeight="1" x14ac:dyDescent="0.2">
      <c r="D285" s="6"/>
    </row>
    <row r="286" spans="4:4" ht="15" customHeight="1" x14ac:dyDescent="0.2">
      <c r="D286" s="6"/>
    </row>
    <row r="287" spans="4:4" ht="15" customHeight="1" x14ac:dyDescent="0.2">
      <c r="D287" s="6"/>
    </row>
    <row r="288" spans="4:4" ht="15" customHeight="1" x14ac:dyDescent="0.2">
      <c r="D288" s="6"/>
    </row>
    <row r="289" spans="4:4" ht="15" customHeight="1" x14ac:dyDescent="0.2">
      <c r="D289" s="6"/>
    </row>
    <row r="290" spans="4:4" ht="15" customHeight="1" x14ac:dyDescent="0.2">
      <c r="D290" s="6"/>
    </row>
    <row r="291" spans="4:4" ht="15" customHeight="1" x14ac:dyDescent="0.2">
      <c r="D291" s="6"/>
    </row>
    <row r="292" spans="4:4" ht="15" customHeight="1" x14ac:dyDescent="0.2">
      <c r="D292" s="6"/>
    </row>
    <row r="293" spans="4:4" ht="15" customHeight="1" x14ac:dyDescent="0.2">
      <c r="D293" s="6"/>
    </row>
    <row r="294" spans="4:4" ht="15" customHeight="1" x14ac:dyDescent="0.2">
      <c r="D294" s="6"/>
    </row>
    <row r="295" spans="4:4" ht="15" customHeight="1" x14ac:dyDescent="0.2">
      <c r="D295" s="6"/>
    </row>
    <row r="296" spans="4:4" ht="15" customHeight="1" x14ac:dyDescent="0.2">
      <c r="D296" s="6"/>
    </row>
    <row r="297" spans="4:4" ht="15" customHeight="1" x14ac:dyDescent="0.2">
      <c r="D297" s="6"/>
    </row>
    <row r="298" spans="4:4" ht="15" customHeight="1" x14ac:dyDescent="0.2">
      <c r="D298" s="6"/>
    </row>
    <row r="299" spans="4:4" ht="15" customHeight="1" x14ac:dyDescent="0.2">
      <c r="D299" s="6"/>
    </row>
    <row r="300" spans="4:4" ht="15" customHeight="1" x14ac:dyDescent="0.2">
      <c r="D300" s="6"/>
    </row>
    <row r="301" spans="4:4" ht="15" customHeight="1" x14ac:dyDescent="0.2">
      <c r="D301" s="6"/>
    </row>
    <row r="302" spans="4:4" ht="15" customHeight="1" x14ac:dyDescent="0.2">
      <c r="D302" s="6"/>
    </row>
    <row r="303" spans="4:4" ht="15" customHeight="1" x14ac:dyDescent="0.2">
      <c r="D303" s="6"/>
    </row>
    <row r="304" spans="4:4" ht="15" customHeight="1" x14ac:dyDescent="0.2">
      <c r="D304" s="6"/>
    </row>
    <row r="305" spans="4:4" ht="15" customHeight="1" x14ac:dyDescent="0.2">
      <c r="D305" s="6"/>
    </row>
    <row r="306" spans="4:4" ht="15" customHeight="1" x14ac:dyDescent="0.2">
      <c r="D306" s="6"/>
    </row>
    <row r="307" spans="4:4" ht="15" customHeight="1" x14ac:dyDescent="0.2">
      <c r="D307" s="6"/>
    </row>
    <row r="308" spans="4:4" ht="15" customHeight="1" x14ac:dyDescent="0.2">
      <c r="D308" s="6"/>
    </row>
    <row r="309" spans="4:4" ht="15" customHeight="1" x14ac:dyDescent="0.2">
      <c r="D309" s="6"/>
    </row>
    <row r="310" spans="4:4" ht="15" customHeight="1" x14ac:dyDescent="0.2">
      <c r="D310" s="6"/>
    </row>
    <row r="311" spans="4:4" ht="15" customHeight="1" x14ac:dyDescent="0.2">
      <c r="D311" s="6"/>
    </row>
    <row r="312" spans="4:4" ht="15" customHeight="1" x14ac:dyDescent="0.2">
      <c r="D312" s="6"/>
    </row>
    <row r="313" spans="4:4" ht="15" customHeight="1" x14ac:dyDescent="0.2">
      <c r="D313" s="6"/>
    </row>
    <row r="314" spans="4:4" ht="15" customHeight="1" x14ac:dyDescent="0.2">
      <c r="D314" s="6"/>
    </row>
    <row r="315" spans="4:4" ht="15" customHeight="1" x14ac:dyDescent="0.2">
      <c r="D315" s="6"/>
    </row>
    <row r="316" spans="4:4" ht="15" customHeight="1" x14ac:dyDescent="0.2">
      <c r="D316" s="6"/>
    </row>
    <row r="317" spans="4:4" ht="15" customHeight="1" x14ac:dyDescent="0.2">
      <c r="D317" s="6"/>
    </row>
    <row r="318" spans="4:4" ht="15" customHeight="1" x14ac:dyDescent="0.2">
      <c r="D318" s="6"/>
    </row>
    <row r="319" spans="4:4" ht="15" customHeight="1" x14ac:dyDescent="0.2">
      <c r="D319" s="6"/>
    </row>
    <row r="320" spans="4:4" ht="15" customHeight="1" x14ac:dyDescent="0.2">
      <c r="D320" s="6"/>
    </row>
    <row r="321" spans="4:4" ht="15" customHeight="1" x14ac:dyDescent="0.2">
      <c r="D321" s="6"/>
    </row>
    <row r="322" spans="4:4" ht="15" customHeight="1" x14ac:dyDescent="0.2">
      <c r="D322" s="6"/>
    </row>
    <row r="323" spans="4:4" ht="15" customHeight="1" x14ac:dyDescent="0.2">
      <c r="D323" s="6"/>
    </row>
    <row r="324" spans="4:4" ht="15" customHeight="1" x14ac:dyDescent="0.2">
      <c r="D324" s="6"/>
    </row>
    <row r="325" spans="4:4" ht="15" customHeight="1" x14ac:dyDescent="0.2">
      <c r="D325" s="6"/>
    </row>
    <row r="326" spans="4:4" ht="15" customHeight="1" x14ac:dyDescent="0.2">
      <c r="D326" s="6"/>
    </row>
    <row r="327" spans="4:4" ht="15" customHeight="1" x14ac:dyDescent="0.2">
      <c r="D327" s="6"/>
    </row>
    <row r="328" spans="4:4" ht="15" customHeight="1" x14ac:dyDescent="0.2">
      <c r="D328" s="6"/>
    </row>
    <row r="329" spans="4:4" ht="15" customHeight="1" x14ac:dyDescent="0.2">
      <c r="D329" s="6"/>
    </row>
    <row r="330" spans="4:4" ht="15" customHeight="1" x14ac:dyDescent="0.2">
      <c r="D330" s="6"/>
    </row>
    <row r="331" spans="4:4" ht="15" customHeight="1" x14ac:dyDescent="0.2">
      <c r="D331" s="6"/>
    </row>
    <row r="332" spans="4:4" ht="15" customHeight="1" x14ac:dyDescent="0.2">
      <c r="D332" s="6"/>
    </row>
    <row r="333" spans="4:4" ht="15" customHeight="1" x14ac:dyDescent="0.2">
      <c r="D333" s="6"/>
    </row>
    <row r="334" spans="4:4" ht="15" customHeight="1" x14ac:dyDescent="0.2">
      <c r="D334" s="6"/>
    </row>
    <row r="335" spans="4:4" ht="15" customHeight="1" x14ac:dyDescent="0.2">
      <c r="D335" s="6"/>
    </row>
    <row r="336" spans="4:4" ht="15" customHeight="1" x14ac:dyDescent="0.2">
      <c r="D336" s="6"/>
    </row>
    <row r="337" spans="4:4" ht="15" customHeight="1" x14ac:dyDescent="0.2">
      <c r="D337" s="6"/>
    </row>
    <row r="338" spans="4:4" ht="15" customHeight="1" x14ac:dyDescent="0.2">
      <c r="D338" s="6"/>
    </row>
    <row r="339" spans="4:4" ht="15" customHeight="1" x14ac:dyDescent="0.2">
      <c r="D339" s="6"/>
    </row>
    <row r="340" spans="4:4" ht="15" customHeight="1" x14ac:dyDescent="0.2">
      <c r="D340" s="6"/>
    </row>
    <row r="341" spans="4:4" ht="15" customHeight="1" x14ac:dyDescent="0.2">
      <c r="D341" s="6"/>
    </row>
    <row r="342" spans="4:4" ht="15" customHeight="1" x14ac:dyDescent="0.2">
      <c r="D342" s="6"/>
    </row>
    <row r="343" spans="4:4" ht="15" customHeight="1" x14ac:dyDescent="0.2">
      <c r="D343" s="6"/>
    </row>
    <row r="344" spans="4:4" ht="15" customHeight="1" x14ac:dyDescent="0.2">
      <c r="D344" s="6"/>
    </row>
    <row r="345" spans="4:4" ht="15" customHeight="1" x14ac:dyDescent="0.2">
      <c r="D345" s="6"/>
    </row>
    <row r="346" spans="4:4" ht="15" customHeight="1" x14ac:dyDescent="0.2">
      <c r="D346" s="6"/>
    </row>
    <row r="347" spans="4:4" ht="15" customHeight="1" x14ac:dyDescent="0.2">
      <c r="D347" s="6"/>
    </row>
    <row r="348" spans="4:4" ht="15" customHeight="1" x14ac:dyDescent="0.2">
      <c r="D348" s="6"/>
    </row>
    <row r="349" spans="4:4" ht="15" customHeight="1" x14ac:dyDescent="0.2">
      <c r="D349" s="6"/>
    </row>
    <row r="350" spans="4:4" ht="15" customHeight="1" x14ac:dyDescent="0.2">
      <c r="D350" s="6"/>
    </row>
    <row r="351" spans="4:4" ht="15" customHeight="1" x14ac:dyDescent="0.2">
      <c r="D351" s="6"/>
    </row>
    <row r="352" spans="4:4" ht="15" customHeight="1" x14ac:dyDescent="0.2">
      <c r="D352" s="6"/>
    </row>
    <row r="353" spans="4:4" ht="15" customHeight="1" x14ac:dyDescent="0.2">
      <c r="D353" s="6"/>
    </row>
    <row r="354" spans="4:4" ht="15" customHeight="1" x14ac:dyDescent="0.2">
      <c r="D354" s="6"/>
    </row>
    <row r="355" spans="4:4" ht="15" customHeight="1" x14ac:dyDescent="0.2">
      <c r="D355" s="6"/>
    </row>
    <row r="356" spans="4:4" ht="15" customHeight="1" x14ac:dyDescent="0.2">
      <c r="D356" s="6"/>
    </row>
    <row r="357" spans="4:4" ht="15" customHeight="1" x14ac:dyDescent="0.2">
      <c r="D357" s="6"/>
    </row>
    <row r="358" spans="4:4" ht="15" customHeight="1" x14ac:dyDescent="0.2">
      <c r="D358" s="6"/>
    </row>
    <row r="359" spans="4:4" ht="15" customHeight="1" x14ac:dyDescent="0.2">
      <c r="D359" s="6"/>
    </row>
    <row r="360" spans="4:4" ht="15" customHeight="1" x14ac:dyDescent="0.2">
      <c r="D360" s="6"/>
    </row>
    <row r="361" spans="4:4" ht="15" customHeight="1" x14ac:dyDescent="0.2">
      <c r="D361" s="6"/>
    </row>
    <row r="362" spans="4:4" ht="15" customHeight="1" x14ac:dyDescent="0.2">
      <c r="D362" s="6"/>
    </row>
    <row r="363" spans="4:4" ht="15" customHeight="1" x14ac:dyDescent="0.2">
      <c r="D363" s="6"/>
    </row>
    <row r="364" spans="4:4" ht="15" customHeight="1" x14ac:dyDescent="0.2">
      <c r="D364" s="6"/>
    </row>
    <row r="365" spans="4:4" ht="15" customHeight="1" x14ac:dyDescent="0.2">
      <c r="D365" s="6"/>
    </row>
    <row r="366" spans="4:4" ht="15" customHeight="1" x14ac:dyDescent="0.2">
      <c r="D366" s="6"/>
    </row>
    <row r="367" spans="4:4" ht="15" customHeight="1" x14ac:dyDescent="0.2">
      <c r="D367" s="6"/>
    </row>
    <row r="368" spans="4:4" ht="15" customHeight="1" x14ac:dyDescent="0.2">
      <c r="D368" s="6"/>
    </row>
    <row r="369" spans="4:4" ht="15" customHeight="1" x14ac:dyDescent="0.2">
      <c r="D369" s="6"/>
    </row>
    <row r="370" spans="4:4" ht="15" customHeight="1" x14ac:dyDescent="0.2">
      <c r="D370" s="6"/>
    </row>
    <row r="371" spans="4:4" ht="15" customHeight="1" x14ac:dyDescent="0.2">
      <c r="D371" s="6"/>
    </row>
    <row r="372" spans="4:4" ht="15" customHeight="1" x14ac:dyDescent="0.2">
      <c r="D372" s="6"/>
    </row>
    <row r="373" spans="4:4" ht="15" customHeight="1" x14ac:dyDescent="0.2">
      <c r="D373" s="6"/>
    </row>
    <row r="374" spans="4:4" ht="15" customHeight="1" x14ac:dyDescent="0.2">
      <c r="D374" s="6"/>
    </row>
    <row r="375" spans="4:4" ht="15" customHeight="1" x14ac:dyDescent="0.2">
      <c r="D375" s="6"/>
    </row>
    <row r="376" spans="4:4" ht="15" customHeight="1" x14ac:dyDescent="0.2">
      <c r="D376" s="6"/>
    </row>
    <row r="377" spans="4:4" ht="15" customHeight="1" x14ac:dyDescent="0.2">
      <c r="D377" s="6"/>
    </row>
    <row r="378" spans="4:4" ht="15" customHeight="1" x14ac:dyDescent="0.2">
      <c r="D378" s="6"/>
    </row>
    <row r="379" spans="4:4" ht="15" customHeight="1" x14ac:dyDescent="0.2">
      <c r="D379" s="6"/>
    </row>
    <row r="380" spans="4:4" ht="15" customHeight="1" x14ac:dyDescent="0.2">
      <c r="D380" s="6"/>
    </row>
    <row r="381" spans="4:4" ht="15" customHeight="1" x14ac:dyDescent="0.2">
      <c r="D381" s="6"/>
    </row>
    <row r="382" spans="4:4" ht="15" customHeight="1" x14ac:dyDescent="0.2">
      <c r="D382" s="6"/>
    </row>
    <row r="383" spans="4:4" ht="15" customHeight="1" x14ac:dyDescent="0.2">
      <c r="D383" s="6"/>
    </row>
    <row r="384" spans="4:4" ht="15" customHeight="1" x14ac:dyDescent="0.2">
      <c r="D384" s="6"/>
    </row>
    <row r="385" spans="4:4" ht="15" customHeight="1" x14ac:dyDescent="0.2">
      <c r="D385" s="6"/>
    </row>
    <row r="386" spans="4:4" ht="15" customHeight="1" x14ac:dyDescent="0.2">
      <c r="D386" s="6"/>
    </row>
    <row r="387" spans="4:4" ht="15" customHeight="1" x14ac:dyDescent="0.2">
      <c r="D387" s="6"/>
    </row>
    <row r="388" spans="4:4" ht="15" customHeight="1" x14ac:dyDescent="0.2">
      <c r="D388" s="6"/>
    </row>
    <row r="389" spans="4:4" ht="15" customHeight="1" x14ac:dyDescent="0.2">
      <c r="D389" s="6"/>
    </row>
    <row r="390" spans="4:4" ht="12.75" customHeight="1" x14ac:dyDescent="0.2"/>
    <row r="391" spans="4:4" ht="12.75" customHeight="1" x14ac:dyDescent="0.2"/>
    <row r="392" spans="4:4" ht="12.75" customHeight="1" x14ac:dyDescent="0.2"/>
    <row r="393" spans="4:4" ht="12.75" customHeight="1" x14ac:dyDescent="0.2"/>
    <row r="394" spans="4:4" ht="12.75" customHeight="1" x14ac:dyDescent="0.2"/>
    <row r="395" spans="4:4" ht="12.75" customHeight="1" x14ac:dyDescent="0.2"/>
    <row r="396" spans="4:4" ht="12.75" customHeight="1" x14ac:dyDescent="0.2"/>
    <row r="397" spans="4:4" ht="12.75" customHeight="1" x14ac:dyDescent="0.2"/>
    <row r="398" spans="4:4" ht="12.75" customHeight="1" x14ac:dyDescent="0.2"/>
    <row r="399" spans="4:4" ht="12.75" customHeight="1" x14ac:dyDescent="0.2"/>
    <row r="400" spans="4:4"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row r="1007" ht="12.75" customHeight="1" x14ac:dyDescent="0.2"/>
    <row r="1008" ht="12.75" customHeight="1" x14ac:dyDescent="0.2"/>
    <row r="1009" ht="12.75" customHeight="1" x14ac:dyDescent="0.2"/>
    <row r="1010" ht="12.75" customHeight="1" x14ac:dyDescent="0.2"/>
    <row r="1011" ht="12.75" customHeight="1" x14ac:dyDescent="0.2"/>
    <row r="1012" ht="12.75" customHeight="1" x14ac:dyDescent="0.2"/>
    <row r="1013" ht="12.75" customHeight="1" x14ac:dyDescent="0.2"/>
    <row r="1014" ht="12.75" customHeight="1" x14ac:dyDescent="0.2"/>
    <row r="1015" ht="12.75" customHeight="1" x14ac:dyDescent="0.2"/>
    <row r="1016" ht="12.75" customHeight="1" x14ac:dyDescent="0.2"/>
    <row r="1017" ht="12.75" customHeight="1" x14ac:dyDescent="0.2"/>
    <row r="1018" ht="12.75" customHeight="1" x14ac:dyDescent="0.2"/>
    <row r="1019" ht="12.75" customHeight="1" x14ac:dyDescent="0.2"/>
    <row r="1020" ht="12.75" customHeight="1" x14ac:dyDescent="0.2"/>
    <row r="1021" ht="12.75" customHeight="1" x14ac:dyDescent="0.2"/>
    <row r="1022" ht="12.75" customHeight="1" x14ac:dyDescent="0.2"/>
    <row r="1023" ht="12.75" customHeight="1" x14ac:dyDescent="0.2"/>
    <row r="1024" ht="12.75" customHeight="1" x14ac:dyDescent="0.2"/>
    <row r="1025" ht="12.75" customHeight="1" x14ac:dyDescent="0.2"/>
    <row r="1026" ht="12.75" customHeight="1" x14ac:dyDescent="0.2"/>
    <row r="1027" ht="12.75" customHeight="1" x14ac:dyDescent="0.2"/>
    <row r="1028" ht="12.75" customHeight="1" x14ac:dyDescent="0.2"/>
    <row r="1029" ht="12.75" customHeight="1" x14ac:dyDescent="0.2"/>
    <row r="1030" ht="12.75" customHeight="1" x14ac:dyDescent="0.2"/>
    <row r="1031" ht="12.75" customHeight="1" x14ac:dyDescent="0.2"/>
    <row r="1032" ht="12.75" customHeight="1" x14ac:dyDescent="0.2"/>
    <row r="1033" ht="12.75" customHeight="1" x14ac:dyDescent="0.2"/>
    <row r="1034" ht="12.75" customHeight="1" x14ac:dyDescent="0.2"/>
    <row r="1035" ht="12.75" customHeight="1" x14ac:dyDescent="0.2"/>
    <row r="1036" ht="12.75" customHeight="1" x14ac:dyDescent="0.2"/>
    <row r="1037" ht="12.75" customHeight="1" x14ac:dyDescent="0.2"/>
    <row r="1038" ht="12.75" customHeight="1" x14ac:dyDescent="0.2"/>
    <row r="1039" ht="12.75" customHeight="1" x14ac:dyDescent="0.2"/>
    <row r="1040" ht="12.75" customHeight="1" x14ac:dyDescent="0.2"/>
    <row r="1041" ht="12.75" customHeight="1" x14ac:dyDescent="0.2"/>
    <row r="1042" ht="12.75" customHeight="1" x14ac:dyDescent="0.2"/>
    <row r="1043" ht="12.75" customHeight="1" x14ac:dyDescent="0.2"/>
    <row r="1044" ht="12.75" customHeight="1" x14ac:dyDescent="0.2"/>
    <row r="1045" ht="12.75" customHeight="1" x14ac:dyDescent="0.2"/>
    <row r="1046" ht="12.75" customHeight="1" x14ac:dyDescent="0.2"/>
    <row r="1047" ht="12.75" customHeight="1" x14ac:dyDescent="0.2"/>
    <row r="1048" ht="12.75" customHeight="1" x14ac:dyDescent="0.2"/>
    <row r="1049" ht="12.75" customHeight="1" x14ac:dyDescent="0.2"/>
    <row r="1050" ht="12.75" customHeight="1" x14ac:dyDescent="0.2"/>
    <row r="1051" ht="12.75" customHeight="1" x14ac:dyDescent="0.2"/>
    <row r="1052" ht="12.75" customHeight="1" x14ac:dyDescent="0.2"/>
    <row r="1053" ht="12.75" customHeight="1" x14ac:dyDescent="0.2"/>
    <row r="1054" ht="12.75" customHeight="1" x14ac:dyDescent="0.2"/>
    <row r="1055" ht="12.75" customHeight="1" x14ac:dyDescent="0.2"/>
    <row r="1056" ht="12.75" customHeight="1" x14ac:dyDescent="0.2"/>
    <row r="1057" ht="12.75" customHeight="1" x14ac:dyDescent="0.2"/>
    <row r="1058" ht="12.75" customHeight="1" x14ac:dyDescent="0.2"/>
    <row r="1059" ht="12.75" customHeight="1" x14ac:dyDescent="0.2"/>
    <row r="1060" ht="12.75" customHeight="1" x14ac:dyDescent="0.2"/>
    <row r="1061" ht="12.75" customHeight="1" x14ac:dyDescent="0.2"/>
    <row r="1062" ht="12.75" customHeight="1" x14ac:dyDescent="0.2"/>
    <row r="1063" ht="12.75" customHeight="1" x14ac:dyDescent="0.2"/>
    <row r="1064" ht="12.75" customHeight="1" x14ac:dyDescent="0.2"/>
    <row r="1065" ht="12.75" customHeight="1" x14ac:dyDescent="0.2"/>
    <row r="1066" ht="12.75" customHeight="1" x14ac:dyDescent="0.2"/>
    <row r="1067" ht="12.75" customHeight="1" x14ac:dyDescent="0.2"/>
    <row r="1068" ht="12.75" customHeight="1" x14ac:dyDescent="0.2"/>
    <row r="1069" ht="12.75" customHeight="1" x14ac:dyDescent="0.2"/>
    <row r="1070" ht="12.75" customHeight="1" x14ac:dyDescent="0.2"/>
    <row r="1071" ht="12.75" customHeight="1" x14ac:dyDescent="0.2"/>
    <row r="1072" ht="12.75" customHeight="1" x14ac:dyDescent="0.2"/>
    <row r="1073" ht="12.75" customHeight="1" x14ac:dyDescent="0.2"/>
    <row r="1074" ht="12.75" customHeight="1" x14ac:dyDescent="0.2"/>
    <row r="1075" ht="12.75" customHeight="1" x14ac:dyDescent="0.2"/>
    <row r="1076" ht="12.75" customHeight="1" x14ac:dyDescent="0.2"/>
    <row r="1077" ht="12.75" customHeight="1" x14ac:dyDescent="0.2"/>
    <row r="1078" ht="12.75" customHeight="1" x14ac:dyDescent="0.2"/>
    <row r="1079" ht="12.75" customHeight="1" x14ac:dyDescent="0.2"/>
    <row r="1080" ht="12.75" customHeight="1" x14ac:dyDescent="0.2"/>
    <row r="1081" ht="12.75" customHeight="1" x14ac:dyDescent="0.2"/>
    <row r="1082" ht="12.75" customHeight="1" x14ac:dyDescent="0.2"/>
    <row r="1083" ht="12.75" customHeight="1" x14ac:dyDescent="0.2"/>
    <row r="1084" ht="12.75" customHeight="1" x14ac:dyDescent="0.2"/>
    <row r="1085" ht="12.75" customHeight="1" x14ac:dyDescent="0.2"/>
    <row r="1086" ht="12.75" customHeight="1" x14ac:dyDescent="0.2"/>
    <row r="1087" ht="12.75" customHeight="1" x14ac:dyDescent="0.2"/>
    <row r="1088" ht="12.75" customHeight="1" x14ac:dyDescent="0.2"/>
    <row r="1089" ht="12.75" customHeight="1" x14ac:dyDescent="0.2"/>
    <row r="1090" ht="12.75" customHeight="1" x14ac:dyDescent="0.2"/>
    <row r="1091" ht="12.75" customHeight="1" x14ac:dyDescent="0.2"/>
    <row r="1092" ht="12.75" customHeight="1" x14ac:dyDescent="0.2"/>
    <row r="1093" ht="12.75" customHeight="1" x14ac:dyDescent="0.2"/>
    <row r="1094" ht="12.75" customHeight="1" x14ac:dyDescent="0.2"/>
    <row r="1095" ht="12.75" customHeight="1" x14ac:dyDescent="0.2"/>
    <row r="1096" ht="12.75" customHeight="1" x14ac:dyDescent="0.2"/>
    <row r="1097" ht="12.75" customHeight="1" x14ac:dyDescent="0.2"/>
    <row r="1098" ht="12.75" customHeight="1" x14ac:dyDescent="0.2"/>
    <row r="1099" ht="12.75" customHeight="1" x14ac:dyDescent="0.2"/>
    <row r="1100" ht="12.75" customHeight="1" x14ac:dyDescent="0.2"/>
    <row r="1101" ht="12.75" customHeight="1" x14ac:dyDescent="0.2"/>
    <row r="1102" ht="12.75" customHeight="1" x14ac:dyDescent="0.2"/>
    <row r="1103" ht="12.75" customHeight="1" x14ac:dyDescent="0.2"/>
    <row r="1104" ht="12.75" customHeight="1" x14ac:dyDescent="0.2"/>
    <row r="1105" ht="12.75" customHeight="1" x14ac:dyDescent="0.2"/>
    <row r="1106" ht="12.75" customHeight="1" x14ac:dyDescent="0.2"/>
    <row r="1107" ht="12.75" customHeight="1" x14ac:dyDescent="0.2"/>
    <row r="1108" ht="12.75" customHeight="1" x14ac:dyDescent="0.2"/>
    <row r="1109" ht="12.75" customHeight="1" x14ac:dyDescent="0.2"/>
    <row r="1110" ht="12.75" customHeight="1" x14ac:dyDescent="0.2"/>
    <row r="1111" ht="12.75" customHeight="1" x14ac:dyDescent="0.2"/>
    <row r="1112" ht="12.75" customHeight="1" x14ac:dyDescent="0.2"/>
    <row r="1113" ht="12.75" customHeight="1" x14ac:dyDescent="0.2"/>
    <row r="1114" ht="12.75" customHeight="1" x14ac:dyDescent="0.2"/>
    <row r="1115" ht="12.75" customHeight="1" x14ac:dyDescent="0.2"/>
    <row r="1116" ht="12.75" customHeight="1" x14ac:dyDescent="0.2"/>
    <row r="1117" ht="12.75" customHeight="1" x14ac:dyDescent="0.2"/>
    <row r="1118" ht="12.75" customHeight="1" x14ac:dyDescent="0.2"/>
    <row r="1119" ht="12.75" customHeight="1" x14ac:dyDescent="0.2"/>
    <row r="1120" ht="12.75" customHeight="1" x14ac:dyDescent="0.2"/>
    <row r="1121" ht="12.75" customHeight="1" x14ac:dyDescent="0.2"/>
    <row r="1122" ht="12.75" customHeight="1" x14ac:dyDescent="0.2"/>
    <row r="1123" ht="12.75" customHeight="1" x14ac:dyDescent="0.2"/>
    <row r="1124" ht="12.75" customHeight="1" x14ac:dyDescent="0.2"/>
    <row r="1125" ht="12.75" customHeight="1" x14ac:dyDescent="0.2"/>
    <row r="1126" ht="12.75" customHeight="1" x14ac:dyDescent="0.2"/>
    <row r="1127" ht="12.75" customHeight="1" x14ac:dyDescent="0.2"/>
    <row r="1128" ht="12.75" customHeight="1" x14ac:dyDescent="0.2"/>
    <row r="1129" ht="12.75" customHeight="1" x14ac:dyDescent="0.2"/>
    <row r="1130" ht="12.75" customHeight="1" x14ac:dyDescent="0.2"/>
    <row r="1131" ht="12.75" customHeight="1" x14ac:dyDescent="0.2"/>
    <row r="1132" ht="12.75" customHeight="1" x14ac:dyDescent="0.2"/>
    <row r="1133" ht="12.75" customHeight="1" x14ac:dyDescent="0.2"/>
    <row r="1134" ht="12.75" customHeight="1" x14ac:dyDescent="0.2"/>
    <row r="1135" ht="12.75" customHeight="1" x14ac:dyDescent="0.2"/>
    <row r="1136" ht="12.75" customHeight="1" x14ac:dyDescent="0.2"/>
    <row r="1137" ht="12.75" customHeight="1" x14ac:dyDescent="0.2"/>
    <row r="1138" ht="12.75" customHeight="1" x14ac:dyDescent="0.2"/>
    <row r="1139" ht="12.75" customHeight="1" x14ac:dyDescent="0.2"/>
    <row r="1140" ht="12.75" customHeight="1" x14ac:dyDescent="0.2"/>
    <row r="1141" ht="12.75" customHeight="1" x14ac:dyDescent="0.2"/>
    <row r="1142" ht="12.75" customHeight="1" x14ac:dyDescent="0.2"/>
    <row r="1143" ht="12.75" customHeight="1" x14ac:dyDescent="0.2"/>
    <row r="1144" ht="12.75" customHeight="1" x14ac:dyDescent="0.2"/>
    <row r="1145" ht="12.75" customHeight="1" x14ac:dyDescent="0.2"/>
    <row r="1146" ht="12.75" customHeight="1" x14ac:dyDescent="0.2"/>
    <row r="1147" ht="12.75" customHeight="1" x14ac:dyDescent="0.2"/>
    <row r="1148" ht="12.75" customHeight="1" x14ac:dyDescent="0.2"/>
    <row r="1149" ht="12.75" customHeight="1" x14ac:dyDescent="0.2"/>
    <row r="1150" ht="12.75" customHeight="1" x14ac:dyDescent="0.2"/>
    <row r="1151" ht="12.75" customHeight="1" x14ac:dyDescent="0.2"/>
    <row r="1152" ht="12.75" customHeight="1" x14ac:dyDescent="0.2"/>
    <row r="1153" ht="12.75" customHeight="1" x14ac:dyDescent="0.2"/>
    <row r="1154" ht="12.75" customHeight="1" x14ac:dyDescent="0.2"/>
    <row r="1155" ht="12.75" customHeight="1" x14ac:dyDescent="0.2"/>
    <row r="1156" ht="12.75" customHeight="1" x14ac:dyDescent="0.2"/>
    <row r="1157" ht="12.75" customHeight="1" x14ac:dyDescent="0.2"/>
    <row r="1158" ht="12.75" customHeight="1" x14ac:dyDescent="0.2"/>
    <row r="1159" ht="12.75" customHeight="1" x14ac:dyDescent="0.2"/>
    <row r="1160" ht="12.75" customHeight="1" x14ac:dyDescent="0.2"/>
    <row r="1161" ht="12.75" customHeight="1" x14ac:dyDescent="0.2"/>
    <row r="1162" ht="12.75" customHeight="1" x14ac:dyDescent="0.2"/>
    <row r="1163" ht="12.75" customHeight="1" x14ac:dyDescent="0.2"/>
    <row r="1164" ht="12.75" customHeight="1" x14ac:dyDescent="0.2"/>
    <row r="1165" ht="12.75" customHeight="1" x14ac:dyDescent="0.2"/>
    <row r="1166" ht="12.75" customHeight="1" x14ac:dyDescent="0.2"/>
    <row r="1167" ht="12.75" customHeight="1" x14ac:dyDescent="0.2"/>
    <row r="1168" ht="12.75" customHeight="1" x14ac:dyDescent="0.2"/>
    <row r="1169" ht="12.75" customHeight="1" x14ac:dyDescent="0.2"/>
    <row r="1170" ht="12.75" customHeight="1" x14ac:dyDescent="0.2"/>
    <row r="1171" ht="12.75" customHeight="1" x14ac:dyDescent="0.2"/>
    <row r="1172" ht="12.75" customHeight="1" x14ac:dyDescent="0.2"/>
    <row r="1173" ht="12.75" customHeight="1" x14ac:dyDescent="0.2"/>
    <row r="1174" ht="12.75" customHeight="1" x14ac:dyDescent="0.2"/>
    <row r="1175" ht="12.75" customHeight="1" x14ac:dyDescent="0.2"/>
    <row r="1176" ht="12.75" customHeight="1" x14ac:dyDescent="0.2"/>
    <row r="1177" ht="12.75" customHeight="1" x14ac:dyDescent="0.2"/>
    <row r="1178" ht="12.75" customHeight="1" x14ac:dyDescent="0.2"/>
    <row r="1179" ht="12.75" customHeight="1" x14ac:dyDescent="0.2"/>
    <row r="1180" ht="12.75" customHeight="1" x14ac:dyDescent="0.2"/>
    <row r="1181" ht="12.75" customHeight="1" x14ac:dyDescent="0.2"/>
    <row r="1182" ht="12.75" customHeight="1" x14ac:dyDescent="0.2"/>
    <row r="1183" ht="12.75" customHeight="1" x14ac:dyDescent="0.2"/>
    <row r="1184" ht="12.75" customHeight="1" x14ac:dyDescent="0.2"/>
    <row r="1185" ht="12.75" customHeight="1" x14ac:dyDescent="0.2"/>
    <row r="1186" ht="12.75" customHeight="1" x14ac:dyDescent="0.2"/>
    <row r="1187" ht="12.75" customHeight="1" x14ac:dyDescent="0.2"/>
    <row r="1188" ht="12.75" customHeight="1" x14ac:dyDescent="0.2"/>
    <row r="1189" ht="12.75" customHeight="1" x14ac:dyDescent="0.2"/>
    <row r="1190" ht="12.75" customHeight="1" x14ac:dyDescent="0.2"/>
    <row r="1191" ht="12.75" customHeight="1" x14ac:dyDescent="0.2"/>
    <row r="1192" ht="12.75" customHeight="1" x14ac:dyDescent="0.2"/>
    <row r="1193" ht="12.75" customHeight="1" x14ac:dyDescent="0.2"/>
    <row r="1194" ht="12.75" customHeight="1" x14ac:dyDescent="0.2"/>
    <row r="1195" ht="12.75" customHeight="1" x14ac:dyDescent="0.2"/>
    <row r="1196" ht="12.75" customHeight="1" x14ac:dyDescent="0.2"/>
    <row r="1197" ht="12.75" customHeight="1" x14ac:dyDescent="0.2"/>
    <row r="1198" ht="12.75" customHeight="1" x14ac:dyDescent="0.2"/>
    <row r="1199" ht="12.75" customHeight="1" x14ac:dyDescent="0.2"/>
    <row r="1200" ht="12.75" customHeight="1" x14ac:dyDescent="0.2"/>
    <row r="1201" ht="12.75" customHeight="1" x14ac:dyDescent="0.2"/>
    <row r="1202" ht="12.75" customHeight="1" x14ac:dyDescent="0.2"/>
    <row r="1203" ht="12.75" customHeight="1" x14ac:dyDescent="0.2"/>
    <row r="1204" ht="12.75" customHeight="1" x14ac:dyDescent="0.2"/>
    <row r="1205" ht="12.75" customHeight="1" x14ac:dyDescent="0.2"/>
    <row r="1206" ht="12.75" customHeight="1" x14ac:dyDescent="0.2"/>
    <row r="1207" ht="12.75" customHeight="1" x14ac:dyDescent="0.2"/>
    <row r="1208" ht="12.75" customHeight="1" x14ac:dyDescent="0.2"/>
    <row r="1209" ht="12.75" customHeight="1" x14ac:dyDescent="0.2"/>
    <row r="1210" ht="12.75" customHeight="1" x14ac:dyDescent="0.2"/>
    <row r="1211" ht="12.75" customHeight="1" x14ac:dyDescent="0.2"/>
    <row r="1212" ht="12.75" customHeight="1" x14ac:dyDescent="0.2"/>
    <row r="1213" ht="12.75" customHeight="1" x14ac:dyDescent="0.2"/>
    <row r="1214" ht="12.75" customHeight="1" x14ac:dyDescent="0.2"/>
    <row r="1215" ht="12.75" customHeight="1" x14ac:dyDescent="0.2"/>
    <row r="1216" ht="12.75" customHeight="1" x14ac:dyDescent="0.2"/>
    <row r="1217" ht="12.75" customHeight="1" x14ac:dyDescent="0.2"/>
    <row r="1218" ht="12.75" customHeight="1" x14ac:dyDescent="0.2"/>
    <row r="1219" ht="12.75" customHeight="1" x14ac:dyDescent="0.2"/>
    <row r="1220" ht="12.75" customHeight="1" x14ac:dyDescent="0.2"/>
    <row r="1221" ht="12.75" customHeight="1" x14ac:dyDescent="0.2"/>
    <row r="1222" ht="12.75" customHeight="1" x14ac:dyDescent="0.2"/>
    <row r="1223" ht="12.75" customHeight="1" x14ac:dyDescent="0.2"/>
    <row r="1224" ht="12.75" customHeight="1" x14ac:dyDescent="0.2"/>
    <row r="1225" ht="12.75" customHeight="1" x14ac:dyDescent="0.2"/>
    <row r="1226" ht="12.75" customHeight="1" x14ac:dyDescent="0.2"/>
    <row r="1227" ht="12.75" customHeight="1" x14ac:dyDescent="0.2"/>
    <row r="1228" ht="12.75" customHeight="1" x14ac:dyDescent="0.2"/>
    <row r="1229" ht="12.75" customHeight="1" x14ac:dyDescent="0.2"/>
    <row r="1230" ht="12.75" customHeight="1" x14ac:dyDescent="0.2"/>
    <row r="1231" ht="12.75" customHeight="1" x14ac:dyDescent="0.2"/>
    <row r="1232" ht="12.75" customHeight="1" x14ac:dyDescent="0.2"/>
    <row r="1233" ht="12.75" customHeight="1" x14ac:dyDescent="0.2"/>
    <row r="1234" ht="12.75" customHeight="1" x14ac:dyDescent="0.2"/>
    <row r="1235" ht="12.75" customHeight="1" x14ac:dyDescent="0.2"/>
    <row r="1236" ht="12.75" customHeight="1" x14ac:dyDescent="0.2"/>
    <row r="1237" ht="12.75" customHeight="1" x14ac:dyDescent="0.2"/>
    <row r="1238" ht="12.75" customHeight="1" x14ac:dyDescent="0.2"/>
    <row r="1239" ht="12.75" customHeight="1" x14ac:dyDescent="0.2"/>
    <row r="1240" ht="12.75" customHeight="1" x14ac:dyDescent="0.2"/>
    <row r="1241" ht="12.75" customHeight="1" x14ac:dyDescent="0.2"/>
    <row r="1242" ht="12.75" customHeight="1" x14ac:dyDescent="0.2"/>
    <row r="1243" ht="12.75" customHeight="1" x14ac:dyDescent="0.2"/>
    <row r="1244" ht="12.75" customHeight="1" x14ac:dyDescent="0.2"/>
    <row r="1245" ht="12.75" customHeight="1" x14ac:dyDescent="0.2"/>
    <row r="1246" ht="12.75" customHeight="1" x14ac:dyDescent="0.2"/>
    <row r="1247" ht="12.75" customHeight="1" x14ac:dyDescent="0.2"/>
    <row r="1248" ht="12.75" customHeight="1" x14ac:dyDescent="0.2"/>
    <row r="1249" ht="12.75" customHeight="1" x14ac:dyDescent="0.2"/>
    <row r="1250" ht="12.75" customHeight="1" x14ac:dyDescent="0.2"/>
    <row r="1251" ht="12.75" customHeight="1" x14ac:dyDescent="0.2"/>
    <row r="1252" ht="12.75" customHeight="1" x14ac:dyDescent="0.2"/>
    <row r="1253" ht="12.75" customHeight="1" x14ac:dyDescent="0.2"/>
    <row r="1254" ht="12.75" customHeight="1" x14ac:dyDescent="0.2"/>
    <row r="1255" ht="12.75" customHeight="1" x14ac:dyDescent="0.2"/>
    <row r="1256" ht="12.75" customHeight="1" x14ac:dyDescent="0.2"/>
    <row r="1257" ht="12.75" customHeight="1" x14ac:dyDescent="0.2"/>
    <row r="1258" ht="12.75" customHeight="1" x14ac:dyDescent="0.2"/>
    <row r="1259" ht="12.75" customHeight="1" x14ac:dyDescent="0.2"/>
    <row r="1260" ht="12.75" customHeight="1" x14ac:dyDescent="0.2"/>
    <row r="1261" ht="12.75" customHeight="1" x14ac:dyDescent="0.2"/>
    <row r="1262" ht="12.75" customHeight="1" x14ac:dyDescent="0.2"/>
    <row r="1263" ht="12.75" customHeight="1" x14ac:dyDescent="0.2"/>
    <row r="1264" ht="12.75" customHeight="1" x14ac:dyDescent="0.2"/>
    <row r="1265" ht="12.75" customHeight="1" x14ac:dyDescent="0.2"/>
    <row r="1266" ht="12.75" customHeight="1" x14ac:dyDescent="0.2"/>
    <row r="1267" ht="12.75" customHeight="1" x14ac:dyDescent="0.2"/>
    <row r="1268" ht="12.75" customHeight="1" x14ac:dyDescent="0.2"/>
    <row r="1269" ht="12.75" customHeight="1" x14ac:dyDescent="0.2"/>
    <row r="1270" ht="12.75" customHeight="1" x14ac:dyDescent="0.2"/>
    <row r="1271" ht="12.75" customHeight="1" x14ac:dyDescent="0.2"/>
    <row r="1272" ht="12.75" customHeight="1" x14ac:dyDescent="0.2"/>
    <row r="1273" ht="12.75" customHeight="1" x14ac:dyDescent="0.2"/>
    <row r="1274" ht="12.75" customHeight="1" x14ac:dyDescent="0.2"/>
    <row r="1275" ht="12.75" customHeight="1" x14ac:dyDescent="0.2"/>
    <row r="1276" ht="12.75" customHeight="1" x14ac:dyDescent="0.2"/>
    <row r="1277" ht="12.75" customHeight="1" x14ac:dyDescent="0.2"/>
    <row r="1278" ht="12.75" customHeight="1" x14ac:dyDescent="0.2"/>
    <row r="1279" ht="12.75" customHeight="1" x14ac:dyDescent="0.2"/>
    <row r="1280" ht="12.75" customHeight="1" x14ac:dyDescent="0.2"/>
    <row r="1281" ht="12.75" customHeight="1" x14ac:dyDescent="0.2"/>
    <row r="1282" ht="12.75" customHeight="1" x14ac:dyDescent="0.2"/>
    <row r="1283" ht="12.75" customHeight="1" x14ac:dyDescent="0.2"/>
    <row r="1284" ht="12.75" customHeight="1" x14ac:dyDescent="0.2"/>
    <row r="1285" ht="12.75" customHeight="1" x14ac:dyDescent="0.2"/>
    <row r="1286" ht="12.75" customHeight="1" x14ac:dyDescent="0.2"/>
    <row r="1287" ht="12.75" customHeight="1" x14ac:dyDescent="0.2"/>
    <row r="1288" ht="12.75" customHeight="1" x14ac:dyDescent="0.2"/>
    <row r="1289" ht="12.75" customHeight="1" x14ac:dyDescent="0.2"/>
    <row r="1290" ht="12.75" customHeight="1" x14ac:dyDescent="0.2"/>
    <row r="1291" ht="12.75" customHeight="1" x14ac:dyDescent="0.2"/>
    <row r="1292" ht="12.75" customHeight="1" x14ac:dyDescent="0.2"/>
    <row r="1293" ht="12.75" customHeight="1" x14ac:dyDescent="0.2"/>
    <row r="1294" ht="12.75" customHeight="1" x14ac:dyDescent="0.2"/>
    <row r="1295" ht="12.75" customHeight="1" x14ac:dyDescent="0.2"/>
    <row r="1296" ht="12.75" customHeight="1" x14ac:dyDescent="0.2"/>
    <row r="1297" ht="12.75" customHeight="1" x14ac:dyDescent="0.2"/>
    <row r="1298" ht="12.75" customHeight="1" x14ac:dyDescent="0.2"/>
    <row r="1299" ht="12.75" customHeight="1" x14ac:dyDescent="0.2"/>
    <row r="1300" ht="12.75" customHeight="1" x14ac:dyDescent="0.2"/>
    <row r="1301" ht="12.75" customHeight="1" x14ac:dyDescent="0.2"/>
    <row r="1302" ht="12.75" customHeight="1" x14ac:dyDescent="0.2"/>
    <row r="1303" ht="12.75" customHeight="1" x14ac:dyDescent="0.2"/>
    <row r="1304" ht="12.75" customHeight="1" x14ac:dyDescent="0.2"/>
    <row r="1305" ht="12.75" customHeight="1" x14ac:dyDescent="0.2"/>
    <row r="1306" ht="12.75" customHeight="1" x14ac:dyDescent="0.2"/>
    <row r="1307" ht="12.75" customHeight="1" x14ac:dyDescent="0.2"/>
    <row r="1308" ht="12.75" customHeight="1" x14ac:dyDescent="0.2"/>
    <row r="1309" ht="12.75" customHeight="1" x14ac:dyDescent="0.2"/>
    <row r="1310" ht="12.75" customHeight="1" x14ac:dyDescent="0.2"/>
    <row r="1311" ht="12.75" customHeight="1" x14ac:dyDescent="0.2"/>
    <row r="1312" ht="12.75" customHeight="1" x14ac:dyDescent="0.2"/>
    <row r="1313" ht="12.75" customHeight="1" x14ac:dyDescent="0.2"/>
    <row r="1314" ht="12.75" customHeight="1" x14ac:dyDescent="0.2"/>
    <row r="1315" ht="12.75" customHeight="1" x14ac:dyDescent="0.2"/>
    <row r="1316" ht="12.75" customHeight="1" x14ac:dyDescent="0.2"/>
    <row r="1317" ht="12.75" customHeight="1" x14ac:dyDescent="0.2"/>
    <row r="1318" ht="12.75" customHeight="1" x14ac:dyDescent="0.2"/>
    <row r="1319" ht="12.75" customHeight="1" x14ac:dyDescent="0.2"/>
    <row r="1320" ht="12.75" customHeight="1" x14ac:dyDescent="0.2"/>
    <row r="1321" ht="12.75" customHeight="1" x14ac:dyDescent="0.2"/>
    <row r="1322" ht="12.75" customHeight="1" x14ac:dyDescent="0.2"/>
    <row r="1323" ht="12.75" customHeight="1" x14ac:dyDescent="0.2"/>
    <row r="1324" ht="12.75" customHeight="1" x14ac:dyDescent="0.2"/>
    <row r="1325" ht="12.75" customHeight="1" x14ac:dyDescent="0.2"/>
    <row r="1326" ht="12.75" customHeight="1" x14ac:dyDescent="0.2"/>
    <row r="1327" ht="12.75" customHeight="1" x14ac:dyDescent="0.2"/>
    <row r="1328" ht="12.75" customHeight="1" x14ac:dyDescent="0.2"/>
    <row r="1329" ht="12.75" customHeight="1" x14ac:dyDescent="0.2"/>
    <row r="1330" ht="12.75" customHeight="1" x14ac:dyDescent="0.2"/>
    <row r="1331" ht="12.75" customHeight="1" x14ac:dyDescent="0.2"/>
    <row r="1332" ht="12.75" customHeight="1" x14ac:dyDescent="0.2"/>
    <row r="1333" ht="12.75" customHeight="1" x14ac:dyDescent="0.2"/>
    <row r="1334" ht="12.75" customHeight="1" x14ac:dyDescent="0.2"/>
    <row r="1335" ht="12.75" customHeight="1" x14ac:dyDescent="0.2"/>
    <row r="1336" ht="12.75" customHeight="1" x14ac:dyDescent="0.2"/>
    <row r="1337" ht="12.75" customHeight="1" x14ac:dyDescent="0.2"/>
    <row r="1338" ht="12.75" customHeight="1" x14ac:dyDescent="0.2"/>
    <row r="1339" ht="12.75" customHeight="1" x14ac:dyDescent="0.2"/>
    <row r="1340" ht="12.75" customHeight="1" x14ac:dyDescent="0.2"/>
    <row r="1341" ht="12.75" customHeight="1" x14ac:dyDescent="0.2"/>
    <row r="1342" ht="12.75" customHeight="1" x14ac:dyDescent="0.2"/>
    <row r="1343" ht="12.75" customHeight="1" x14ac:dyDescent="0.2"/>
    <row r="1344" ht="12.75" customHeight="1" x14ac:dyDescent="0.2"/>
    <row r="1345" ht="12.75" customHeight="1" x14ac:dyDescent="0.2"/>
    <row r="1346" ht="12.75" customHeight="1" x14ac:dyDescent="0.2"/>
    <row r="1347" ht="12.75" customHeight="1" x14ac:dyDescent="0.2"/>
    <row r="1348" ht="12.75" customHeight="1" x14ac:dyDescent="0.2"/>
    <row r="1349" ht="12.75" customHeight="1" x14ac:dyDescent="0.2"/>
    <row r="1350" ht="12.75" customHeight="1" x14ac:dyDescent="0.2"/>
    <row r="1351" ht="12.75" customHeight="1" x14ac:dyDescent="0.2"/>
    <row r="1352" ht="12.75" customHeight="1" x14ac:dyDescent="0.2"/>
    <row r="1353" ht="12.75" customHeight="1" x14ac:dyDescent="0.2"/>
    <row r="1354" ht="12.75" customHeight="1" x14ac:dyDescent="0.2"/>
    <row r="1355" ht="12.75" customHeight="1" x14ac:dyDescent="0.2"/>
    <row r="1356" ht="12.75" customHeight="1" x14ac:dyDescent="0.2"/>
    <row r="1357" ht="12.75" customHeight="1" x14ac:dyDescent="0.2"/>
    <row r="1358" ht="12.75" customHeight="1" x14ac:dyDescent="0.2"/>
    <row r="1359" ht="12.75" customHeight="1" x14ac:dyDescent="0.2"/>
    <row r="1360" ht="12.75" customHeight="1" x14ac:dyDescent="0.2"/>
    <row r="1361" ht="12.75" customHeight="1" x14ac:dyDescent="0.2"/>
    <row r="1362" ht="12.75" customHeight="1" x14ac:dyDescent="0.2"/>
    <row r="1363" ht="12.75" customHeight="1" x14ac:dyDescent="0.2"/>
    <row r="1364" ht="12.75" customHeight="1" x14ac:dyDescent="0.2"/>
    <row r="1365" ht="12.75" customHeight="1" x14ac:dyDescent="0.2"/>
    <row r="1366" ht="12.75" customHeight="1" x14ac:dyDescent="0.2"/>
    <row r="1367" ht="12.75" customHeight="1" x14ac:dyDescent="0.2"/>
    <row r="1368" ht="12.75" customHeight="1" x14ac:dyDescent="0.2"/>
    <row r="1369" ht="12.75" customHeight="1" x14ac:dyDescent="0.2"/>
    <row r="1370" ht="12.75" customHeight="1" x14ac:dyDescent="0.2"/>
    <row r="1371" ht="12.75" customHeight="1" x14ac:dyDescent="0.2"/>
    <row r="1372" ht="12.75" customHeight="1" x14ac:dyDescent="0.2"/>
    <row r="1373" ht="12.75" customHeight="1" x14ac:dyDescent="0.2"/>
    <row r="1374" ht="12.75" customHeight="1" x14ac:dyDescent="0.2"/>
    <row r="1375" ht="12.75" customHeight="1" x14ac:dyDescent="0.2"/>
    <row r="1376" ht="12.75" customHeight="1" x14ac:dyDescent="0.2"/>
    <row r="1377" ht="12.75" customHeight="1" x14ac:dyDescent="0.2"/>
    <row r="1378" ht="12.75" customHeight="1" x14ac:dyDescent="0.2"/>
    <row r="1379" ht="12.75" customHeight="1" x14ac:dyDescent="0.2"/>
    <row r="1380" ht="12.75" customHeight="1" x14ac:dyDescent="0.2"/>
    <row r="1381" ht="12.75" customHeight="1" x14ac:dyDescent="0.2"/>
    <row r="1382" ht="12.75" customHeight="1" x14ac:dyDescent="0.2"/>
    <row r="1383" ht="12.75" customHeight="1" x14ac:dyDescent="0.2"/>
    <row r="1384" ht="12.75" customHeight="1" x14ac:dyDescent="0.2"/>
    <row r="1385" ht="12.75" customHeight="1" x14ac:dyDescent="0.2"/>
    <row r="1386" ht="12.75" customHeight="1" x14ac:dyDescent="0.2"/>
    <row r="1387" ht="12.75" customHeight="1" x14ac:dyDescent="0.2"/>
    <row r="1388" ht="12.75" customHeight="1" x14ac:dyDescent="0.2"/>
    <row r="1389" ht="12.75" customHeight="1" x14ac:dyDescent="0.2"/>
    <row r="1390" ht="12.75" customHeight="1" x14ac:dyDescent="0.2"/>
    <row r="1391" ht="12.75" customHeight="1" x14ac:dyDescent="0.2"/>
    <row r="1392" ht="12.75" customHeight="1" x14ac:dyDescent="0.2"/>
    <row r="1393" ht="12.75" customHeight="1" x14ac:dyDescent="0.2"/>
    <row r="1394" ht="12.75" customHeight="1" x14ac:dyDescent="0.2"/>
    <row r="1395" ht="12.75" customHeight="1" x14ac:dyDescent="0.2"/>
    <row r="1396" ht="12.75" customHeight="1" x14ac:dyDescent="0.2"/>
    <row r="1397" ht="12.75" customHeight="1" x14ac:dyDescent="0.2"/>
    <row r="1398" ht="12.75" customHeight="1" x14ac:dyDescent="0.2"/>
    <row r="1399" ht="12.75" customHeight="1" x14ac:dyDescent="0.2"/>
    <row r="1400" ht="12.75" customHeight="1" x14ac:dyDescent="0.2"/>
    <row r="1401" ht="12.75" customHeight="1" x14ac:dyDescent="0.2"/>
    <row r="1402" ht="12.75" customHeight="1" x14ac:dyDescent="0.2"/>
    <row r="1403" ht="12.75" customHeight="1" x14ac:dyDescent="0.2"/>
    <row r="1404" ht="12.75" customHeight="1" x14ac:dyDescent="0.2"/>
    <row r="1405" ht="12.75" customHeight="1" x14ac:dyDescent="0.2"/>
    <row r="1406" ht="12.75" customHeight="1" x14ac:dyDescent="0.2"/>
    <row r="1407" ht="12.75" customHeight="1" x14ac:dyDescent="0.2"/>
    <row r="1408" ht="12.75" customHeight="1" x14ac:dyDescent="0.2"/>
    <row r="1409" ht="12.75" customHeight="1" x14ac:dyDescent="0.2"/>
    <row r="1410" ht="12.75" customHeight="1" x14ac:dyDescent="0.2"/>
    <row r="1411" ht="12.75" customHeight="1" x14ac:dyDescent="0.2"/>
    <row r="1412" ht="12.75" customHeight="1" x14ac:dyDescent="0.2"/>
    <row r="1413" ht="12.75" customHeight="1" x14ac:dyDescent="0.2"/>
    <row r="1414" ht="12.75" customHeight="1" x14ac:dyDescent="0.2"/>
    <row r="1415" ht="12.75" customHeight="1" x14ac:dyDescent="0.2"/>
    <row r="1416" ht="12.75" customHeight="1" x14ac:dyDescent="0.2"/>
    <row r="1417" ht="12.75" customHeight="1" x14ac:dyDescent="0.2"/>
    <row r="1418" ht="12.75" customHeight="1" x14ac:dyDescent="0.2"/>
    <row r="1419" ht="12.75" customHeight="1" x14ac:dyDescent="0.2"/>
    <row r="1420" ht="12.75" customHeight="1" x14ac:dyDescent="0.2"/>
    <row r="1421" ht="12.75" customHeight="1" x14ac:dyDescent="0.2"/>
    <row r="1422" ht="12.75" customHeight="1" x14ac:dyDescent="0.2"/>
    <row r="1423" ht="12.75" customHeight="1" x14ac:dyDescent="0.2"/>
    <row r="1424" ht="12.75" customHeight="1" x14ac:dyDescent="0.2"/>
    <row r="1425" ht="12.75" customHeight="1" x14ac:dyDescent="0.2"/>
    <row r="1426" ht="12.75" customHeight="1" x14ac:dyDescent="0.2"/>
    <row r="1427" ht="12.75" customHeight="1" x14ac:dyDescent="0.2"/>
    <row r="1428" ht="12.75" customHeight="1" x14ac:dyDescent="0.2"/>
    <row r="1429" ht="12.75" customHeight="1" x14ac:dyDescent="0.2"/>
    <row r="1430" ht="12.75" customHeight="1" x14ac:dyDescent="0.2"/>
    <row r="1431" ht="12.75" customHeight="1" x14ac:dyDescent="0.2"/>
    <row r="1432" ht="12.75" customHeight="1" x14ac:dyDescent="0.2"/>
    <row r="1433" ht="12.75" customHeight="1" x14ac:dyDescent="0.2"/>
    <row r="1434" ht="12.75" customHeight="1" x14ac:dyDescent="0.2"/>
    <row r="1435" ht="12.75" customHeight="1" x14ac:dyDescent="0.2"/>
    <row r="1436" ht="12.75" customHeight="1" x14ac:dyDescent="0.2"/>
    <row r="1437" ht="12.75" customHeight="1" x14ac:dyDescent="0.2"/>
    <row r="1438" ht="12.75" customHeight="1" x14ac:dyDescent="0.2"/>
    <row r="1439" ht="12.75" customHeight="1" x14ac:dyDescent="0.2"/>
    <row r="1440" ht="12.75" customHeight="1" x14ac:dyDescent="0.2"/>
    <row r="1441" ht="12.75" customHeight="1" x14ac:dyDescent="0.2"/>
    <row r="1442" ht="12.75" customHeight="1" x14ac:dyDescent="0.2"/>
    <row r="1443" ht="12.75" customHeight="1" x14ac:dyDescent="0.2"/>
    <row r="1444" ht="12.75" customHeight="1" x14ac:dyDescent="0.2"/>
    <row r="1445" ht="12.75" customHeight="1" x14ac:dyDescent="0.2"/>
    <row r="1446" ht="12.75" customHeight="1" x14ac:dyDescent="0.2"/>
    <row r="1447" ht="12.75" customHeight="1" x14ac:dyDescent="0.2"/>
    <row r="1448" ht="12.75" customHeight="1" x14ac:dyDescent="0.2"/>
    <row r="1449" ht="12.75" customHeight="1" x14ac:dyDescent="0.2"/>
    <row r="1450" ht="12.75" customHeight="1" x14ac:dyDescent="0.2"/>
    <row r="1451" ht="12.75" customHeight="1" x14ac:dyDescent="0.2"/>
    <row r="1452" ht="12.75" customHeight="1" x14ac:dyDescent="0.2"/>
    <row r="1453" ht="12.75" customHeight="1" x14ac:dyDescent="0.2"/>
    <row r="1454" ht="12.75" customHeight="1" x14ac:dyDescent="0.2"/>
    <row r="1455" ht="12.75" customHeight="1" x14ac:dyDescent="0.2"/>
    <row r="1456" ht="12.75" customHeight="1" x14ac:dyDescent="0.2"/>
    <row r="1457" ht="12.75" customHeight="1" x14ac:dyDescent="0.2"/>
    <row r="1458" ht="12.75" customHeight="1" x14ac:dyDescent="0.2"/>
    <row r="1459" ht="12.75" customHeight="1" x14ac:dyDescent="0.2"/>
    <row r="1460" ht="12.75" customHeight="1" x14ac:dyDescent="0.2"/>
    <row r="1461" ht="12.75" customHeight="1" x14ac:dyDescent="0.2"/>
    <row r="1462" ht="12.75" customHeight="1" x14ac:dyDescent="0.2"/>
    <row r="1463" ht="12.75" customHeight="1" x14ac:dyDescent="0.2"/>
    <row r="1464" ht="12.75" customHeight="1" x14ac:dyDescent="0.2"/>
    <row r="1465" ht="12.75" customHeight="1" x14ac:dyDescent="0.2"/>
    <row r="1466" ht="12.75" customHeight="1" x14ac:dyDescent="0.2"/>
    <row r="1467" ht="12.75" customHeight="1" x14ac:dyDescent="0.2"/>
    <row r="1468" ht="12.75" customHeight="1" x14ac:dyDescent="0.2"/>
    <row r="1469" ht="12.75" customHeight="1" x14ac:dyDescent="0.2"/>
    <row r="1470" ht="12.75" customHeight="1" x14ac:dyDescent="0.2"/>
    <row r="1471" ht="12.75" customHeight="1" x14ac:dyDescent="0.2"/>
    <row r="1472" ht="12.75" customHeight="1" x14ac:dyDescent="0.2"/>
    <row r="1473" ht="12.75" customHeight="1" x14ac:dyDescent="0.2"/>
    <row r="1474" ht="12.75" customHeight="1" x14ac:dyDescent="0.2"/>
    <row r="1475" ht="12.75" customHeight="1" x14ac:dyDescent="0.2"/>
    <row r="1476" ht="12.75" customHeight="1" x14ac:dyDescent="0.2"/>
    <row r="1477" ht="12.75" customHeight="1" x14ac:dyDescent="0.2"/>
    <row r="1478" ht="12.75" customHeight="1" x14ac:dyDescent="0.2"/>
    <row r="1479" ht="12.75" customHeight="1" x14ac:dyDescent="0.2"/>
    <row r="1480" ht="12.75" customHeight="1" x14ac:dyDescent="0.2"/>
    <row r="1481" ht="12.75" customHeight="1" x14ac:dyDescent="0.2"/>
    <row r="1482" ht="12.75" customHeight="1" x14ac:dyDescent="0.2"/>
    <row r="1483" ht="12.75" customHeight="1" x14ac:dyDescent="0.2"/>
    <row r="1484" ht="12.75" customHeight="1" x14ac:dyDescent="0.2"/>
    <row r="1485" ht="12.75" customHeight="1" x14ac:dyDescent="0.2"/>
    <row r="1486" ht="12.75" customHeight="1" x14ac:dyDescent="0.2"/>
    <row r="1487" ht="12.75" customHeight="1" x14ac:dyDescent="0.2"/>
    <row r="1488" ht="12.75" customHeight="1" x14ac:dyDescent="0.2"/>
    <row r="1489" ht="12.75" customHeight="1" x14ac:dyDescent="0.2"/>
    <row r="1490" ht="12.75" customHeight="1" x14ac:dyDescent="0.2"/>
    <row r="1491" ht="12.75" customHeight="1" x14ac:dyDescent="0.2"/>
    <row r="1492" ht="12.75" customHeight="1" x14ac:dyDescent="0.2"/>
    <row r="1493" ht="12.75" customHeight="1" x14ac:dyDescent="0.2"/>
    <row r="1494" ht="12.75" customHeight="1" x14ac:dyDescent="0.2"/>
    <row r="1495" ht="12.75" customHeight="1" x14ac:dyDescent="0.2"/>
    <row r="1496" ht="12.75" customHeight="1" x14ac:dyDescent="0.2"/>
    <row r="1497" ht="12.75" customHeight="1" x14ac:dyDescent="0.2"/>
    <row r="1498" ht="12.75" customHeight="1" x14ac:dyDescent="0.2"/>
    <row r="1499" ht="12.75" customHeight="1" x14ac:dyDescent="0.2"/>
    <row r="1500" ht="12.75" customHeight="1" x14ac:dyDescent="0.2"/>
    <row r="1501" ht="12.75" customHeight="1" x14ac:dyDescent="0.2"/>
    <row r="1502" ht="12.75" customHeight="1" x14ac:dyDescent="0.2"/>
    <row r="1503" ht="12.75" customHeight="1" x14ac:dyDescent="0.2"/>
    <row r="1504" ht="12.75" customHeight="1" x14ac:dyDescent="0.2"/>
    <row r="1505" ht="12.75" customHeight="1" x14ac:dyDescent="0.2"/>
    <row r="1506" ht="12.75" customHeight="1" x14ac:dyDescent="0.2"/>
    <row r="1507" ht="12.75" customHeight="1" x14ac:dyDescent="0.2"/>
    <row r="1508" ht="12.75" customHeight="1" x14ac:dyDescent="0.2"/>
    <row r="1509" ht="12.75" customHeight="1" x14ac:dyDescent="0.2"/>
    <row r="1510" ht="12.75" customHeight="1" x14ac:dyDescent="0.2"/>
    <row r="1511" ht="12.75" customHeight="1" x14ac:dyDescent="0.2"/>
    <row r="1512" ht="12.75" customHeight="1" x14ac:dyDescent="0.2"/>
    <row r="1513" ht="12.75" customHeight="1" x14ac:dyDescent="0.2"/>
    <row r="1514" ht="12.75" customHeight="1" x14ac:dyDescent="0.2"/>
    <row r="1515" ht="12.75" customHeight="1" x14ac:dyDescent="0.2"/>
    <row r="1516" ht="12.75" customHeight="1" x14ac:dyDescent="0.2"/>
    <row r="1517" ht="12.75" customHeight="1" x14ac:dyDescent="0.2"/>
    <row r="1518" ht="12.75" customHeight="1" x14ac:dyDescent="0.2"/>
    <row r="1519" ht="12.75" customHeight="1" x14ac:dyDescent="0.2"/>
    <row r="1520" ht="12.75" customHeight="1" x14ac:dyDescent="0.2"/>
    <row r="1521" ht="12.75" customHeight="1" x14ac:dyDescent="0.2"/>
    <row r="1522" ht="12.75" customHeight="1" x14ac:dyDescent="0.2"/>
    <row r="1523" ht="12.75" customHeight="1" x14ac:dyDescent="0.2"/>
    <row r="1524" ht="12.75" customHeight="1" x14ac:dyDescent="0.2"/>
    <row r="1525" ht="12.75" customHeight="1" x14ac:dyDescent="0.2"/>
    <row r="1526" ht="12.75" customHeight="1" x14ac:dyDescent="0.2"/>
    <row r="1527" ht="12.75" customHeight="1" x14ac:dyDescent="0.2"/>
    <row r="1528" ht="12.75" customHeight="1" x14ac:dyDescent="0.2"/>
    <row r="1529" ht="12.75" customHeight="1" x14ac:dyDescent="0.2"/>
    <row r="1530" ht="12.75" customHeight="1" x14ac:dyDescent="0.2"/>
    <row r="1531" ht="12.75" customHeight="1" x14ac:dyDescent="0.2"/>
    <row r="1532" ht="12.75" customHeight="1" x14ac:dyDescent="0.2"/>
    <row r="1533" ht="12.75" customHeight="1" x14ac:dyDescent="0.2"/>
    <row r="1534" ht="12.75" customHeight="1" x14ac:dyDescent="0.2"/>
    <row r="1535" ht="12.75" customHeight="1" x14ac:dyDescent="0.2"/>
    <row r="1536" ht="12.75" customHeight="1" x14ac:dyDescent="0.2"/>
    <row r="1537" ht="12.75" customHeight="1" x14ac:dyDescent="0.2"/>
    <row r="1538" ht="12.75" customHeight="1" x14ac:dyDescent="0.2"/>
    <row r="1539" ht="12.75" customHeight="1" x14ac:dyDescent="0.2"/>
    <row r="1540" ht="12.75" customHeight="1" x14ac:dyDescent="0.2"/>
    <row r="1541" ht="12.75" customHeight="1" x14ac:dyDescent="0.2"/>
    <row r="1542" ht="12.75" customHeight="1" x14ac:dyDescent="0.2"/>
    <row r="1543" ht="12.75" customHeight="1" x14ac:dyDescent="0.2"/>
    <row r="1544" ht="12.75" customHeight="1" x14ac:dyDescent="0.2"/>
    <row r="1545" ht="12.75" customHeight="1" x14ac:dyDescent="0.2"/>
    <row r="1546" ht="12.75" customHeight="1" x14ac:dyDescent="0.2"/>
    <row r="1547" ht="12.75" customHeight="1" x14ac:dyDescent="0.2"/>
    <row r="1548" ht="12.75" customHeight="1" x14ac:dyDescent="0.2"/>
    <row r="1549" ht="12.75" customHeight="1" x14ac:dyDescent="0.2"/>
    <row r="1550" ht="12.75" customHeight="1" x14ac:dyDescent="0.2"/>
    <row r="1551" ht="12.75" customHeight="1" x14ac:dyDescent="0.2"/>
    <row r="1552" ht="12.75" customHeight="1" x14ac:dyDescent="0.2"/>
    <row r="1553" ht="12.75" customHeight="1" x14ac:dyDescent="0.2"/>
    <row r="1554" ht="12.75" customHeight="1" x14ac:dyDescent="0.2"/>
    <row r="1555" ht="12.75" customHeight="1" x14ac:dyDescent="0.2"/>
    <row r="1556" ht="12.75" customHeight="1" x14ac:dyDescent="0.2"/>
    <row r="1557" ht="12.75" customHeight="1" x14ac:dyDescent="0.2"/>
    <row r="1558" ht="12.75" customHeight="1" x14ac:dyDescent="0.2"/>
    <row r="1559" ht="12.75" customHeight="1" x14ac:dyDescent="0.2"/>
    <row r="1560" ht="12.75" customHeight="1" x14ac:dyDescent="0.2"/>
    <row r="1561" ht="12.75" customHeight="1" x14ac:dyDescent="0.2"/>
    <row r="1562" ht="12.75" customHeight="1" x14ac:dyDescent="0.2"/>
    <row r="1563" ht="12.75" customHeight="1" x14ac:dyDescent="0.2"/>
    <row r="1564" ht="12.75" customHeight="1" x14ac:dyDescent="0.2"/>
    <row r="1565" ht="12.75" customHeight="1" x14ac:dyDescent="0.2"/>
    <row r="1566" ht="12.75" customHeight="1" x14ac:dyDescent="0.2"/>
    <row r="1567" ht="12.75" customHeight="1" x14ac:dyDescent="0.2"/>
    <row r="1568" ht="12.75" customHeight="1" x14ac:dyDescent="0.2"/>
    <row r="1569" ht="12.75" customHeight="1" x14ac:dyDescent="0.2"/>
    <row r="1570" ht="12.75" customHeight="1" x14ac:dyDescent="0.2"/>
    <row r="1571" ht="12.75" customHeight="1" x14ac:dyDescent="0.2"/>
    <row r="1572" ht="12.75" customHeight="1" x14ac:dyDescent="0.2"/>
    <row r="1573" ht="12.75" customHeight="1" x14ac:dyDescent="0.2"/>
    <row r="1574" ht="12.75" customHeight="1" x14ac:dyDescent="0.2"/>
    <row r="1575" ht="12.75" customHeight="1" x14ac:dyDescent="0.2"/>
    <row r="1576" ht="12.75" customHeight="1" x14ac:dyDescent="0.2"/>
    <row r="1577" ht="12.75" customHeight="1" x14ac:dyDescent="0.2"/>
    <row r="1578" ht="12.75" customHeight="1" x14ac:dyDescent="0.2"/>
    <row r="1579" ht="12.75" customHeight="1" x14ac:dyDescent="0.2"/>
    <row r="1580" ht="12.75" customHeight="1" x14ac:dyDescent="0.2"/>
    <row r="1581" ht="12.75" customHeight="1" x14ac:dyDescent="0.2"/>
    <row r="1582" ht="12.75" customHeight="1" x14ac:dyDescent="0.2"/>
    <row r="1583" ht="12.75" customHeight="1" x14ac:dyDescent="0.2"/>
    <row r="1584" ht="12.75" customHeight="1" x14ac:dyDescent="0.2"/>
    <row r="1585" ht="12.75" customHeight="1" x14ac:dyDescent="0.2"/>
    <row r="1586" ht="12.75" customHeight="1" x14ac:dyDescent="0.2"/>
    <row r="1587" ht="12.75" customHeight="1" x14ac:dyDescent="0.2"/>
    <row r="1588" ht="12.75" customHeight="1" x14ac:dyDescent="0.2"/>
    <row r="1589" ht="12.75" customHeight="1" x14ac:dyDescent="0.2"/>
    <row r="1590" ht="12.75" customHeight="1" x14ac:dyDescent="0.2"/>
    <row r="1591" ht="12.75" customHeight="1" x14ac:dyDescent="0.2"/>
    <row r="1592" ht="12.75" customHeight="1" x14ac:dyDescent="0.2"/>
    <row r="1593" ht="12.75" customHeight="1" x14ac:dyDescent="0.2"/>
    <row r="1594" ht="12.75" customHeight="1" x14ac:dyDescent="0.2"/>
    <row r="1595" ht="12.75" customHeight="1" x14ac:dyDescent="0.2"/>
    <row r="1596" ht="12.75" customHeight="1" x14ac:dyDescent="0.2"/>
    <row r="1597" ht="12.75" customHeight="1" x14ac:dyDescent="0.2"/>
    <row r="1598" ht="12.75" customHeight="1" x14ac:dyDescent="0.2"/>
    <row r="1599" ht="12.75" customHeight="1" x14ac:dyDescent="0.2"/>
    <row r="1600" ht="12.75" customHeight="1" x14ac:dyDescent="0.2"/>
    <row r="1601" ht="12.75" customHeight="1" x14ac:dyDescent="0.2"/>
    <row r="1602" ht="12.75" customHeight="1" x14ac:dyDescent="0.2"/>
    <row r="1603" ht="12.75" customHeight="1" x14ac:dyDescent="0.2"/>
    <row r="1604" ht="12.75" customHeight="1" x14ac:dyDescent="0.2"/>
    <row r="1605" ht="12.75" customHeight="1" x14ac:dyDescent="0.2"/>
    <row r="1606" ht="12.75" customHeight="1" x14ac:dyDescent="0.2"/>
    <row r="1607" ht="12.75" customHeight="1" x14ac:dyDescent="0.2"/>
    <row r="1608" ht="12.75" customHeight="1" x14ac:dyDescent="0.2"/>
    <row r="1609" ht="12.75" customHeight="1" x14ac:dyDescent="0.2"/>
    <row r="1610" ht="12.75" customHeight="1" x14ac:dyDescent="0.2"/>
    <row r="1611" ht="12.75" customHeight="1" x14ac:dyDescent="0.2"/>
    <row r="1612" ht="12.75" customHeight="1" x14ac:dyDescent="0.2"/>
    <row r="1613" ht="12.75" customHeight="1" x14ac:dyDescent="0.2"/>
    <row r="1614" ht="12.75" customHeight="1" x14ac:dyDescent="0.2"/>
    <row r="1615" ht="12.75" customHeight="1" x14ac:dyDescent="0.2"/>
    <row r="1616" ht="12.75" customHeight="1" x14ac:dyDescent="0.2"/>
    <row r="1617" ht="12.75" customHeight="1" x14ac:dyDescent="0.2"/>
    <row r="1618" ht="12.75" customHeight="1" x14ac:dyDescent="0.2"/>
    <row r="1619" ht="12.75" customHeight="1" x14ac:dyDescent="0.2"/>
    <row r="1620" ht="12.75" customHeight="1" x14ac:dyDescent="0.2"/>
    <row r="1621" ht="12.75" customHeight="1" x14ac:dyDescent="0.2"/>
    <row r="1622" ht="12.75" customHeight="1" x14ac:dyDescent="0.2"/>
    <row r="1623" ht="12.75" customHeight="1" x14ac:dyDescent="0.2"/>
    <row r="1624" ht="12.75" customHeight="1" x14ac:dyDescent="0.2"/>
    <row r="1625" ht="12.75" customHeight="1" x14ac:dyDescent="0.2"/>
    <row r="1626" ht="12.75" customHeight="1" x14ac:dyDescent="0.2"/>
    <row r="1627" ht="12.75" customHeight="1" x14ac:dyDescent="0.2"/>
    <row r="1628" ht="12.75" customHeight="1" x14ac:dyDescent="0.2"/>
    <row r="1629" ht="12.75" customHeight="1" x14ac:dyDescent="0.2"/>
    <row r="1630" ht="12.75" customHeight="1" x14ac:dyDescent="0.2"/>
    <row r="1631" ht="12.75" customHeight="1" x14ac:dyDescent="0.2"/>
    <row r="1632" ht="12.75" customHeight="1" x14ac:dyDescent="0.2"/>
    <row r="1633" ht="12.75" customHeight="1" x14ac:dyDescent="0.2"/>
    <row r="1634" ht="12.75" customHeight="1" x14ac:dyDescent="0.2"/>
    <row r="1635" ht="12.75" customHeight="1" x14ac:dyDescent="0.2"/>
    <row r="1636" ht="12.75" customHeight="1" x14ac:dyDescent="0.2"/>
    <row r="1637" ht="12.75" customHeight="1" x14ac:dyDescent="0.2"/>
    <row r="1638" ht="12.75" customHeight="1" x14ac:dyDescent="0.2"/>
    <row r="1639" ht="12.75" customHeight="1" x14ac:dyDescent="0.2"/>
    <row r="1640" ht="12.75" customHeight="1" x14ac:dyDescent="0.2"/>
    <row r="1641" ht="12.75" customHeight="1" x14ac:dyDescent="0.2"/>
    <row r="1642" ht="12.75" customHeight="1" x14ac:dyDescent="0.2"/>
    <row r="1643" ht="12.75" customHeight="1" x14ac:dyDescent="0.2"/>
    <row r="1644" ht="12.75" customHeight="1" x14ac:dyDescent="0.2"/>
    <row r="1645" ht="12.75" customHeight="1" x14ac:dyDescent="0.2"/>
    <row r="1646" ht="12.75" customHeight="1" x14ac:dyDescent="0.2"/>
    <row r="1647" ht="12.75" customHeight="1" x14ac:dyDescent="0.2"/>
    <row r="1648" ht="12.75" customHeight="1" x14ac:dyDescent="0.2"/>
    <row r="1649" ht="12.75" customHeight="1" x14ac:dyDescent="0.2"/>
    <row r="1650" ht="12.75" customHeight="1" x14ac:dyDescent="0.2"/>
    <row r="1651" ht="12.75" customHeight="1" x14ac:dyDescent="0.2"/>
    <row r="1652" ht="12.75" customHeight="1" x14ac:dyDescent="0.2"/>
    <row r="1653" ht="12.75" customHeight="1" x14ac:dyDescent="0.2"/>
    <row r="1654" ht="12.75" customHeight="1" x14ac:dyDescent="0.2"/>
    <row r="1655" ht="12.75" customHeight="1" x14ac:dyDescent="0.2"/>
    <row r="1656" ht="12.75" customHeight="1" x14ac:dyDescent="0.2"/>
    <row r="1657" ht="12.75" customHeight="1" x14ac:dyDescent="0.2"/>
    <row r="1658" ht="12.75" customHeight="1" x14ac:dyDescent="0.2"/>
    <row r="1659" ht="12.75" customHeight="1" x14ac:dyDescent="0.2"/>
    <row r="1660" ht="12.75" customHeight="1" x14ac:dyDescent="0.2"/>
    <row r="1661" ht="12.75" customHeight="1" x14ac:dyDescent="0.2"/>
    <row r="1662" ht="12.75" customHeight="1" x14ac:dyDescent="0.2"/>
    <row r="1663" ht="12.75" customHeight="1" x14ac:dyDescent="0.2"/>
    <row r="1664" ht="12.75" customHeight="1" x14ac:dyDescent="0.2"/>
    <row r="1665" ht="12.75" customHeight="1" x14ac:dyDescent="0.2"/>
    <row r="1666" ht="12.75" customHeight="1" x14ac:dyDescent="0.2"/>
    <row r="1667" ht="12.75" customHeight="1" x14ac:dyDescent="0.2"/>
    <row r="1668" ht="12.75" customHeight="1" x14ac:dyDescent="0.2"/>
    <row r="1669" ht="12.75" customHeight="1" x14ac:dyDescent="0.2"/>
    <row r="1670" ht="12.75" customHeight="1" x14ac:dyDescent="0.2"/>
    <row r="1671" ht="12.75" customHeight="1" x14ac:dyDescent="0.2"/>
    <row r="1672" ht="12.75" customHeight="1" x14ac:dyDescent="0.2"/>
    <row r="1673" ht="12.75" customHeight="1" x14ac:dyDescent="0.2"/>
    <row r="1674" ht="12.75" customHeight="1" x14ac:dyDescent="0.2"/>
    <row r="1675" ht="12.75" customHeight="1" x14ac:dyDescent="0.2"/>
    <row r="1676" ht="12.75" customHeight="1" x14ac:dyDescent="0.2"/>
    <row r="1677" ht="12.75" customHeight="1" x14ac:dyDescent="0.2"/>
    <row r="1678" ht="12.75" customHeight="1" x14ac:dyDescent="0.2"/>
    <row r="1679" ht="12.75" customHeight="1" x14ac:dyDescent="0.2"/>
    <row r="1680" ht="12.75" customHeight="1" x14ac:dyDescent="0.2"/>
    <row r="1681" ht="12.75" customHeight="1" x14ac:dyDescent="0.2"/>
    <row r="1682" ht="12.75" customHeight="1" x14ac:dyDescent="0.2"/>
    <row r="1683" ht="12.75" customHeight="1" x14ac:dyDescent="0.2"/>
    <row r="1684" ht="12.75" customHeight="1" x14ac:dyDescent="0.2"/>
    <row r="1685" ht="12.75" customHeight="1" x14ac:dyDescent="0.2"/>
    <row r="1686" ht="12.75" customHeight="1" x14ac:dyDescent="0.2"/>
    <row r="1687" ht="12.75" customHeight="1" x14ac:dyDescent="0.2"/>
    <row r="1688" ht="12.75" customHeight="1" x14ac:dyDescent="0.2"/>
    <row r="1689" ht="12.75" customHeight="1" x14ac:dyDescent="0.2"/>
    <row r="1690" ht="12.75" customHeight="1" x14ac:dyDescent="0.2"/>
    <row r="1691" ht="12.75" customHeight="1" x14ac:dyDescent="0.2"/>
    <row r="1692" ht="12.75" customHeight="1" x14ac:dyDescent="0.2"/>
    <row r="1693" ht="12.75" customHeight="1" x14ac:dyDescent="0.2"/>
    <row r="1694" ht="12.75" customHeight="1" x14ac:dyDescent="0.2"/>
    <row r="1695" ht="12.75" customHeight="1" x14ac:dyDescent="0.2"/>
    <row r="1696" ht="12.75" customHeight="1" x14ac:dyDescent="0.2"/>
    <row r="1697" ht="12.75" customHeight="1" x14ac:dyDescent="0.2"/>
    <row r="1698" ht="12.75" customHeight="1" x14ac:dyDescent="0.2"/>
    <row r="1699" ht="12.75" customHeight="1" x14ac:dyDescent="0.2"/>
    <row r="1700" ht="12.75" customHeight="1" x14ac:dyDescent="0.2"/>
    <row r="1701" ht="12.75" customHeight="1" x14ac:dyDescent="0.2"/>
    <row r="1702" ht="12.75" customHeight="1" x14ac:dyDescent="0.2"/>
    <row r="1703" ht="12.75" customHeight="1" x14ac:dyDescent="0.2"/>
    <row r="1704" ht="12.75" customHeight="1" x14ac:dyDescent="0.2"/>
    <row r="1705" ht="12.75" customHeight="1" x14ac:dyDescent="0.2"/>
    <row r="1706" ht="12.75" customHeight="1" x14ac:dyDescent="0.2"/>
    <row r="1707" ht="12.75" customHeight="1" x14ac:dyDescent="0.2"/>
    <row r="1708" ht="12.75" customHeight="1" x14ac:dyDescent="0.2"/>
    <row r="1709" ht="12.75" customHeight="1" x14ac:dyDescent="0.2"/>
    <row r="1710" ht="12.75" customHeight="1" x14ac:dyDescent="0.2"/>
    <row r="1711" ht="12.75" customHeight="1" x14ac:dyDescent="0.2"/>
    <row r="1712" ht="12.75" customHeight="1" x14ac:dyDescent="0.2"/>
    <row r="1713" ht="12.75" customHeight="1" x14ac:dyDescent="0.2"/>
    <row r="1714" ht="12.75" customHeight="1" x14ac:dyDescent="0.2"/>
    <row r="1715" ht="12.75" customHeight="1" x14ac:dyDescent="0.2"/>
    <row r="1716" ht="12.75" customHeight="1" x14ac:dyDescent="0.2"/>
    <row r="1717" ht="12.75" customHeight="1" x14ac:dyDescent="0.2"/>
    <row r="1718" ht="12.75" customHeight="1" x14ac:dyDescent="0.2"/>
    <row r="1719" ht="12.75" customHeight="1" x14ac:dyDescent="0.2"/>
    <row r="1720" ht="12.75" customHeight="1" x14ac:dyDescent="0.2"/>
    <row r="1721" ht="12.75" customHeight="1" x14ac:dyDescent="0.2"/>
    <row r="1722" ht="12.75" customHeight="1" x14ac:dyDescent="0.2"/>
    <row r="1723" ht="12.75" customHeight="1" x14ac:dyDescent="0.2"/>
    <row r="1724" ht="12.75" customHeight="1" x14ac:dyDescent="0.2"/>
    <row r="1725" ht="12.75" customHeight="1" x14ac:dyDescent="0.2"/>
    <row r="1726" ht="12.75" customHeight="1" x14ac:dyDescent="0.2"/>
    <row r="1727" ht="12.75" customHeight="1" x14ac:dyDescent="0.2"/>
    <row r="1728" ht="12.75" customHeight="1" x14ac:dyDescent="0.2"/>
    <row r="1729" ht="12.75" customHeight="1" x14ac:dyDescent="0.2"/>
    <row r="1730" ht="12.75" customHeight="1" x14ac:dyDescent="0.2"/>
    <row r="1731" ht="12.75" customHeight="1" x14ac:dyDescent="0.2"/>
    <row r="1732" ht="12.75" customHeight="1" x14ac:dyDescent="0.2"/>
    <row r="1733" ht="12.75" customHeight="1" x14ac:dyDescent="0.2"/>
    <row r="1734" ht="12.75" customHeight="1" x14ac:dyDescent="0.2"/>
    <row r="1735" ht="12.75" customHeight="1" x14ac:dyDescent="0.2"/>
    <row r="1736" ht="12.75" customHeight="1" x14ac:dyDescent="0.2"/>
    <row r="1737" ht="12.75" customHeight="1" x14ac:dyDescent="0.2"/>
    <row r="1738" ht="12.75" customHeight="1" x14ac:dyDescent="0.2"/>
    <row r="1739" ht="12.75" customHeight="1" x14ac:dyDescent="0.2"/>
    <row r="1740" ht="12.75" customHeight="1" x14ac:dyDescent="0.2"/>
    <row r="1741" ht="12.75" customHeight="1" x14ac:dyDescent="0.2"/>
    <row r="1742" ht="12.75" customHeight="1" x14ac:dyDescent="0.2"/>
    <row r="1743" ht="12.75" customHeight="1" x14ac:dyDescent="0.2"/>
    <row r="1744" ht="12.75" customHeight="1" x14ac:dyDescent="0.2"/>
    <row r="1745" ht="12.75" customHeight="1" x14ac:dyDescent="0.2"/>
    <row r="1746" ht="12.75" customHeight="1" x14ac:dyDescent="0.2"/>
    <row r="1747" ht="12.75" customHeight="1" x14ac:dyDescent="0.2"/>
    <row r="1748" ht="12.75" customHeight="1" x14ac:dyDescent="0.2"/>
    <row r="1749" ht="12.75" customHeight="1" x14ac:dyDescent="0.2"/>
    <row r="1750" ht="12.75" customHeight="1" x14ac:dyDescent="0.2"/>
    <row r="1751" ht="12.75" customHeight="1" x14ac:dyDescent="0.2"/>
    <row r="1752" ht="12.75" customHeight="1" x14ac:dyDescent="0.2"/>
    <row r="1753" ht="12.75" customHeight="1" x14ac:dyDescent="0.2"/>
    <row r="1754" ht="12.75" customHeight="1" x14ac:dyDescent="0.2"/>
    <row r="1755" ht="12.75" customHeight="1" x14ac:dyDescent="0.2"/>
    <row r="1756" ht="12.75" customHeight="1" x14ac:dyDescent="0.2"/>
    <row r="1757" ht="12.75" customHeight="1" x14ac:dyDescent="0.2"/>
    <row r="1758" ht="12.75" customHeight="1" x14ac:dyDescent="0.2"/>
    <row r="1759" ht="12.75" customHeight="1" x14ac:dyDescent="0.2"/>
    <row r="1760" ht="12.75" customHeight="1" x14ac:dyDescent="0.2"/>
    <row r="1761" ht="12.75" customHeight="1" x14ac:dyDescent="0.2"/>
    <row r="1762" ht="12.75" customHeight="1" x14ac:dyDescent="0.2"/>
    <row r="1763" ht="12.75" customHeight="1" x14ac:dyDescent="0.2"/>
    <row r="1764" ht="12.75" customHeight="1" x14ac:dyDescent="0.2"/>
    <row r="1765" ht="12.75" customHeight="1" x14ac:dyDescent="0.2"/>
    <row r="1766" ht="12.75" customHeight="1" x14ac:dyDescent="0.2"/>
    <row r="1767" ht="12.75" customHeight="1" x14ac:dyDescent="0.2"/>
    <row r="1768" ht="12.75" customHeight="1" x14ac:dyDescent="0.2"/>
    <row r="1769" ht="12.75" customHeight="1" x14ac:dyDescent="0.2"/>
    <row r="1770" ht="12.75" customHeight="1" x14ac:dyDescent="0.2"/>
    <row r="1771" ht="12.75" customHeight="1" x14ac:dyDescent="0.2"/>
    <row r="1772" ht="12.75" customHeight="1" x14ac:dyDescent="0.2"/>
    <row r="1773" ht="12.75" customHeight="1" x14ac:dyDescent="0.2"/>
    <row r="1774" ht="12.75" customHeight="1" x14ac:dyDescent="0.2"/>
    <row r="1775" ht="12.75" customHeight="1" x14ac:dyDescent="0.2"/>
    <row r="1776" ht="12.75" customHeight="1" x14ac:dyDescent="0.2"/>
    <row r="1777" ht="12.75" customHeight="1" x14ac:dyDescent="0.2"/>
    <row r="1778" ht="12.75" customHeight="1" x14ac:dyDescent="0.2"/>
    <row r="1779" ht="12.75" customHeight="1" x14ac:dyDescent="0.2"/>
    <row r="1780" ht="12.75" customHeight="1" x14ac:dyDescent="0.2"/>
    <row r="1781" ht="12.75" customHeight="1" x14ac:dyDescent="0.2"/>
    <row r="1782" ht="12.75" customHeight="1" x14ac:dyDescent="0.2"/>
    <row r="1783" ht="12.75" customHeight="1" x14ac:dyDescent="0.2"/>
    <row r="1784" ht="12.75" customHeight="1" x14ac:dyDescent="0.2"/>
    <row r="1785" ht="12.75" customHeight="1" x14ac:dyDescent="0.2"/>
    <row r="1786" ht="12.75" customHeight="1" x14ac:dyDescent="0.2"/>
    <row r="1787" ht="12.75" customHeight="1" x14ac:dyDescent="0.2"/>
    <row r="1788" ht="12.75" customHeight="1" x14ac:dyDescent="0.2"/>
    <row r="1789" ht="12.75" customHeight="1" x14ac:dyDescent="0.2"/>
    <row r="1790" ht="12.75" customHeight="1" x14ac:dyDescent="0.2"/>
    <row r="1791" ht="12.75" customHeight="1" x14ac:dyDescent="0.2"/>
    <row r="1792" ht="12.75" customHeight="1" x14ac:dyDescent="0.2"/>
    <row r="1793" ht="12.75" customHeight="1" x14ac:dyDescent="0.2"/>
    <row r="1794" ht="12.75" customHeight="1" x14ac:dyDescent="0.2"/>
    <row r="1795" ht="12.75" customHeight="1" x14ac:dyDescent="0.2"/>
    <row r="1796" ht="12.75" customHeight="1" x14ac:dyDescent="0.2"/>
    <row r="1797" ht="12.75" customHeight="1" x14ac:dyDescent="0.2"/>
    <row r="1798" ht="12.75" customHeight="1" x14ac:dyDescent="0.2"/>
    <row r="1799" ht="12.75" customHeight="1" x14ac:dyDescent="0.2"/>
    <row r="1800" ht="12.75" customHeight="1" x14ac:dyDescent="0.2"/>
    <row r="1801" ht="12.75" customHeight="1" x14ac:dyDescent="0.2"/>
    <row r="1802" ht="12.75" customHeight="1" x14ac:dyDescent="0.2"/>
    <row r="1803" ht="12.75" customHeight="1" x14ac:dyDescent="0.2"/>
    <row r="1804" ht="12.75" customHeight="1" x14ac:dyDescent="0.2"/>
    <row r="1805" ht="12.75" customHeight="1" x14ac:dyDescent="0.2"/>
    <row r="1806" ht="12.75" customHeight="1" x14ac:dyDescent="0.2"/>
    <row r="1807" ht="12.75" customHeight="1" x14ac:dyDescent="0.2"/>
    <row r="1808" ht="12.75" customHeight="1" x14ac:dyDescent="0.2"/>
    <row r="1809" ht="12.75" customHeight="1" x14ac:dyDescent="0.2"/>
    <row r="1810" ht="12.75" customHeight="1" x14ac:dyDescent="0.2"/>
    <row r="1811" ht="12.75" customHeight="1" x14ac:dyDescent="0.2"/>
    <row r="1812" ht="12.75" customHeight="1" x14ac:dyDescent="0.2"/>
    <row r="1813" ht="12.75" customHeight="1" x14ac:dyDescent="0.2"/>
    <row r="1814" ht="12.75" customHeight="1" x14ac:dyDescent="0.2"/>
    <row r="1815" ht="12.75" customHeight="1" x14ac:dyDescent="0.2"/>
    <row r="1816" ht="12.75" customHeight="1" x14ac:dyDescent="0.2"/>
    <row r="1817" ht="12.75" customHeight="1" x14ac:dyDescent="0.2"/>
    <row r="1818" ht="12.75" customHeight="1" x14ac:dyDescent="0.2"/>
    <row r="1819" ht="12.75" customHeight="1" x14ac:dyDescent="0.2"/>
    <row r="1820" ht="12.75" customHeight="1" x14ac:dyDescent="0.2"/>
    <row r="1821" ht="12.75" customHeight="1" x14ac:dyDescent="0.2"/>
    <row r="1822" ht="12.75" customHeight="1" x14ac:dyDescent="0.2"/>
    <row r="1823" ht="12.75" customHeight="1" x14ac:dyDescent="0.2"/>
    <row r="1824" ht="12.75" customHeight="1" x14ac:dyDescent="0.2"/>
    <row r="1825" ht="12.75" customHeight="1" x14ac:dyDescent="0.2"/>
    <row r="1826" ht="12.75" customHeight="1" x14ac:dyDescent="0.2"/>
    <row r="1827" ht="12.75" customHeight="1" x14ac:dyDescent="0.2"/>
    <row r="1828" ht="12.75" customHeight="1" x14ac:dyDescent="0.2"/>
    <row r="1829" ht="12.75" customHeight="1" x14ac:dyDescent="0.2"/>
    <row r="1830" ht="12.75" customHeight="1" x14ac:dyDescent="0.2"/>
    <row r="1831" ht="12.75" customHeight="1" x14ac:dyDescent="0.2"/>
    <row r="1832" ht="12.75" customHeight="1" x14ac:dyDescent="0.2"/>
    <row r="1833" ht="12.75" customHeight="1" x14ac:dyDescent="0.2"/>
    <row r="1834" ht="12.75" customHeight="1" x14ac:dyDescent="0.2"/>
    <row r="1835" ht="12.75" customHeight="1" x14ac:dyDescent="0.2"/>
    <row r="1836" ht="12.75" customHeight="1" x14ac:dyDescent="0.2"/>
    <row r="1837" ht="12.75" customHeight="1" x14ac:dyDescent="0.2"/>
    <row r="1838" ht="12.75" customHeight="1" x14ac:dyDescent="0.2"/>
    <row r="1839" ht="12.75" customHeight="1" x14ac:dyDescent="0.2"/>
    <row r="1840" ht="12.75" customHeight="1" x14ac:dyDescent="0.2"/>
    <row r="1841" ht="12.75" customHeight="1" x14ac:dyDescent="0.2"/>
    <row r="1842" ht="12.75" customHeight="1" x14ac:dyDescent="0.2"/>
    <row r="1843" ht="12.75" customHeight="1" x14ac:dyDescent="0.2"/>
    <row r="1844" ht="12.75" customHeight="1" x14ac:dyDescent="0.2"/>
    <row r="1845" ht="12.75" customHeight="1" x14ac:dyDescent="0.2"/>
    <row r="1846" ht="12.75" customHeight="1" x14ac:dyDescent="0.2"/>
    <row r="1847" ht="12.75" customHeight="1" x14ac:dyDescent="0.2"/>
    <row r="1848" ht="12.75" customHeight="1" x14ac:dyDescent="0.2"/>
    <row r="1849" ht="12.75" customHeight="1" x14ac:dyDescent="0.2"/>
    <row r="1850" ht="12.75" customHeight="1" x14ac:dyDescent="0.2"/>
    <row r="1851" ht="12.75" customHeight="1" x14ac:dyDescent="0.2"/>
    <row r="1852" ht="12.75" customHeight="1" x14ac:dyDescent="0.2"/>
    <row r="1853" ht="12.75" customHeight="1" x14ac:dyDescent="0.2"/>
    <row r="1854" ht="12.75" customHeight="1" x14ac:dyDescent="0.2"/>
    <row r="1855" ht="12.75" customHeight="1" x14ac:dyDescent="0.2"/>
    <row r="1856" ht="12.75" customHeight="1" x14ac:dyDescent="0.2"/>
    <row r="1857" ht="12.75" customHeight="1" x14ac:dyDescent="0.2"/>
    <row r="1858" ht="12.75" customHeight="1" x14ac:dyDescent="0.2"/>
    <row r="1859" ht="12.75" customHeight="1" x14ac:dyDescent="0.2"/>
    <row r="1860" ht="12.75" customHeight="1" x14ac:dyDescent="0.2"/>
    <row r="1861" ht="12.75" customHeight="1" x14ac:dyDescent="0.2"/>
    <row r="1862" ht="12.75" customHeight="1" x14ac:dyDescent="0.2"/>
    <row r="1863" ht="12.75" customHeight="1" x14ac:dyDescent="0.2"/>
    <row r="1864" ht="12.75" customHeight="1" x14ac:dyDescent="0.2"/>
    <row r="1865" ht="12.75" customHeight="1" x14ac:dyDescent="0.2"/>
    <row r="1866" ht="12.75" customHeight="1" x14ac:dyDescent="0.2"/>
    <row r="1867" ht="12.75" customHeight="1" x14ac:dyDescent="0.2"/>
    <row r="1868" ht="12.75" customHeight="1" x14ac:dyDescent="0.2"/>
    <row r="1869" ht="12.75" customHeight="1" x14ac:dyDescent="0.2"/>
    <row r="1870" ht="12.75" customHeight="1" x14ac:dyDescent="0.2"/>
    <row r="1871" ht="12.75" customHeight="1" x14ac:dyDescent="0.2"/>
    <row r="1872" ht="12.75" customHeight="1" x14ac:dyDescent="0.2"/>
    <row r="1873" ht="12.75" customHeight="1" x14ac:dyDescent="0.2"/>
    <row r="1874" ht="12.75" customHeight="1" x14ac:dyDescent="0.2"/>
    <row r="1875" ht="12.75" customHeight="1" x14ac:dyDescent="0.2"/>
    <row r="1876" ht="12.75" customHeight="1" x14ac:dyDescent="0.2"/>
    <row r="1877" ht="12.75" customHeight="1" x14ac:dyDescent="0.2"/>
    <row r="1878" ht="12.75" customHeight="1" x14ac:dyDescent="0.2"/>
    <row r="1879" ht="12.75" customHeight="1" x14ac:dyDescent="0.2"/>
    <row r="1880" ht="12.75" customHeight="1" x14ac:dyDescent="0.2"/>
    <row r="1881" ht="12.75" customHeight="1" x14ac:dyDescent="0.2"/>
    <row r="1882" ht="12.75" customHeight="1" x14ac:dyDescent="0.2"/>
    <row r="1883" ht="12.75" customHeight="1" x14ac:dyDescent="0.2"/>
    <row r="1884" ht="12.75" customHeight="1" x14ac:dyDescent="0.2"/>
    <row r="1885" ht="12.75" customHeight="1" x14ac:dyDescent="0.2"/>
    <row r="1886" ht="12.75" customHeight="1" x14ac:dyDescent="0.2"/>
    <row r="1887" ht="12.75" customHeight="1" x14ac:dyDescent="0.2"/>
    <row r="1888" ht="12.75" customHeight="1" x14ac:dyDescent="0.2"/>
    <row r="1889" ht="12.75" customHeight="1" x14ac:dyDescent="0.2"/>
    <row r="1890" ht="12.75" customHeight="1" x14ac:dyDescent="0.2"/>
    <row r="1891" ht="12.75" customHeight="1" x14ac:dyDescent="0.2"/>
    <row r="1892" ht="12.75" customHeight="1" x14ac:dyDescent="0.2"/>
    <row r="1893" ht="12.75" customHeight="1" x14ac:dyDescent="0.2"/>
    <row r="1894" ht="12.75" customHeight="1" x14ac:dyDescent="0.2"/>
    <row r="1895" ht="12.75" customHeight="1" x14ac:dyDescent="0.2"/>
    <row r="1896" ht="12.75" customHeight="1" x14ac:dyDescent="0.2"/>
    <row r="1897" ht="12.75" customHeight="1" x14ac:dyDescent="0.2"/>
    <row r="1898" ht="12.75" customHeight="1" x14ac:dyDescent="0.2"/>
    <row r="1899" ht="12.75" customHeight="1" x14ac:dyDescent="0.2"/>
    <row r="1900" ht="12.75" customHeight="1" x14ac:dyDescent="0.2"/>
    <row r="1901" ht="12.75" customHeight="1" x14ac:dyDescent="0.2"/>
    <row r="1902" ht="12.75" customHeight="1" x14ac:dyDescent="0.2"/>
    <row r="1903" ht="12.75" customHeight="1" x14ac:dyDescent="0.2"/>
    <row r="1904" ht="12.75" customHeight="1" x14ac:dyDescent="0.2"/>
    <row r="1905" ht="12.75" customHeight="1" x14ac:dyDescent="0.2"/>
    <row r="1906" ht="12.75" customHeight="1" x14ac:dyDescent="0.2"/>
    <row r="1907" ht="12.75" customHeight="1" x14ac:dyDescent="0.2"/>
    <row r="1908" ht="12.75" customHeight="1" x14ac:dyDescent="0.2"/>
    <row r="1909" ht="12.75" customHeight="1" x14ac:dyDescent="0.2"/>
    <row r="1910" ht="12.75" customHeight="1" x14ac:dyDescent="0.2"/>
    <row r="1911" ht="12.75" customHeight="1" x14ac:dyDescent="0.2"/>
    <row r="1912" ht="12.75" customHeight="1" x14ac:dyDescent="0.2"/>
    <row r="1913" ht="12.75" customHeight="1" x14ac:dyDescent="0.2"/>
    <row r="1914" ht="12.75" customHeight="1" x14ac:dyDescent="0.2"/>
    <row r="1915" ht="12.75" customHeight="1" x14ac:dyDescent="0.2"/>
    <row r="1916" ht="12.75" customHeight="1" x14ac:dyDescent="0.2"/>
    <row r="1917" ht="12.75" customHeight="1" x14ac:dyDescent="0.2"/>
    <row r="1918" ht="12.75" customHeight="1" x14ac:dyDescent="0.2"/>
    <row r="1919" ht="12.75" customHeight="1" x14ac:dyDescent="0.2"/>
    <row r="1920" ht="12.75" customHeight="1" x14ac:dyDescent="0.2"/>
    <row r="1921" ht="12.75" customHeight="1" x14ac:dyDescent="0.2"/>
    <row r="1922" ht="12.75" customHeight="1" x14ac:dyDescent="0.2"/>
    <row r="1923" ht="12.75" customHeight="1" x14ac:dyDescent="0.2"/>
    <row r="1924" ht="12.75" customHeight="1" x14ac:dyDescent="0.2"/>
    <row r="1925" ht="12.75" customHeight="1" x14ac:dyDescent="0.2"/>
    <row r="1926" ht="12.75" customHeight="1" x14ac:dyDescent="0.2"/>
    <row r="1927" ht="12.75" customHeight="1" x14ac:dyDescent="0.2"/>
    <row r="1928" ht="12.75" customHeight="1" x14ac:dyDescent="0.2"/>
    <row r="1929" ht="12.75" customHeight="1" x14ac:dyDescent="0.2"/>
    <row r="1930" ht="12.75" customHeight="1" x14ac:dyDescent="0.2"/>
    <row r="1931" ht="12.75" customHeight="1" x14ac:dyDescent="0.2"/>
    <row r="1932" ht="12.75" customHeight="1" x14ac:dyDescent="0.2"/>
    <row r="1933" ht="12.75" customHeight="1" x14ac:dyDescent="0.2"/>
    <row r="1934" ht="12.75" customHeight="1" x14ac:dyDescent="0.2"/>
    <row r="1935" ht="12.75" customHeight="1" x14ac:dyDescent="0.2"/>
    <row r="1936" ht="12.75" customHeight="1" x14ac:dyDescent="0.2"/>
    <row r="1937" ht="12.75" customHeight="1" x14ac:dyDescent="0.2"/>
    <row r="1938" ht="12.75" customHeight="1" x14ac:dyDescent="0.2"/>
    <row r="1939" ht="12.75" customHeight="1" x14ac:dyDescent="0.2"/>
    <row r="1940" ht="12.75" customHeight="1" x14ac:dyDescent="0.2"/>
    <row r="1941" ht="12.75" customHeight="1" x14ac:dyDescent="0.2"/>
    <row r="1942" ht="12.75" customHeight="1" x14ac:dyDescent="0.2"/>
    <row r="1943" ht="12.75" customHeight="1" x14ac:dyDescent="0.2"/>
    <row r="1944" ht="12.75" customHeight="1" x14ac:dyDescent="0.2"/>
    <row r="1945" ht="12.75" customHeight="1" x14ac:dyDescent="0.2"/>
    <row r="1946" ht="12.75" customHeight="1" x14ac:dyDescent="0.2"/>
    <row r="1947" ht="12.75" customHeight="1" x14ac:dyDescent="0.2"/>
    <row r="1948" ht="12.75" customHeight="1" x14ac:dyDescent="0.2"/>
    <row r="1949" ht="12.75" customHeight="1" x14ac:dyDescent="0.2"/>
    <row r="1950" ht="12.75" customHeight="1" x14ac:dyDescent="0.2"/>
    <row r="1951" ht="12.75" customHeight="1" x14ac:dyDescent="0.2"/>
    <row r="1952" ht="12.75" customHeight="1" x14ac:dyDescent="0.2"/>
    <row r="1953" ht="12.75" customHeight="1" x14ac:dyDescent="0.2"/>
    <row r="1954" ht="12.75" customHeight="1" x14ac:dyDescent="0.2"/>
    <row r="1955" ht="12.75" customHeight="1" x14ac:dyDescent="0.2"/>
    <row r="1956" ht="12.75" customHeight="1" x14ac:dyDescent="0.2"/>
    <row r="1957" ht="12.75" customHeight="1" x14ac:dyDescent="0.2"/>
    <row r="1958" ht="12.75" customHeight="1" x14ac:dyDescent="0.2"/>
    <row r="1959" ht="12.75" customHeight="1" x14ac:dyDescent="0.2"/>
    <row r="1960" ht="12.75" customHeight="1" x14ac:dyDescent="0.2"/>
    <row r="1961" ht="12.75" customHeight="1" x14ac:dyDescent="0.2"/>
    <row r="1962" ht="12.75" customHeight="1" x14ac:dyDescent="0.2"/>
    <row r="1963" ht="12.75" customHeight="1" x14ac:dyDescent="0.2"/>
    <row r="1964" ht="12.75" customHeight="1" x14ac:dyDescent="0.2"/>
    <row r="1965" ht="12.75" customHeight="1" x14ac:dyDescent="0.2"/>
    <row r="1966" ht="12.75" customHeight="1" x14ac:dyDescent="0.2"/>
    <row r="1967" ht="12.75" customHeight="1" x14ac:dyDescent="0.2"/>
    <row r="1968" ht="12.75" customHeight="1" x14ac:dyDescent="0.2"/>
    <row r="1969" ht="12.75" customHeight="1" x14ac:dyDescent="0.2"/>
    <row r="1970" ht="12.75" customHeight="1" x14ac:dyDescent="0.2"/>
    <row r="1971" ht="12.75" customHeight="1" x14ac:dyDescent="0.2"/>
    <row r="1972" ht="12.75" customHeight="1" x14ac:dyDescent="0.2"/>
    <row r="1973" ht="12.75" customHeight="1" x14ac:dyDescent="0.2"/>
    <row r="1974" ht="12.75" customHeight="1" x14ac:dyDescent="0.2"/>
    <row r="1975" ht="12.75" customHeight="1" x14ac:dyDescent="0.2"/>
    <row r="1976" ht="12.75" customHeight="1" x14ac:dyDescent="0.2"/>
    <row r="1977" ht="12.75" customHeight="1" x14ac:dyDescent="0.2"/>
    <row r="1978" ht="12.75" customHeight="1" x14ac:dyDescent="0.2"/>
    <row r="1979" ht="12.75" customHeight="1" x14ac:dyDescent="0.2"/>
    <row r="1980" ht="12.75" customHeight="1" x14ac:dyDescent="0.2"/>
    <row r="1981" ht="12.75" customHeight="1" x14ac:dyDescent="0.2"/>
    <row r="1982" ht="12.75" customHeight="1" x14ac:dyDescent="0.2"/>
    <row r="1983" ht="12.75" customHeight="1" x14ac:dyDescent="0.2"/>
    <row r="1984" ht="12.75" customHeight="1" x14ac:dyDescent="0.2"/>
    <row r="1985" ht="12.75" customHeight="1" x14ac:dyDescent="0.2"/>
    <row r="1986" ht="12.75" customHeight="1" x14ac:dyDescent="0.2"/>
    <row r="1987" ht="12.75" customHeight="1" x14ac:dyDescent="0.2"/>
    <row r="1988" ht="12.75" customHeight="1" x14ac:dyDescent="0.2"/>
    <row r="1989" ht="12.75" customHeight="1" x14ac:dyDescent="0.2"/>
    <row r="1990" ht="12.75" customHeight="1" x14ac:dyDescent="0.2"/>
    <row r="1991" ht="12.75" customHeight="1" x14ac:dyDescent="0.2"/>
    <row r="1992" ht="12.75" customHeight="1" x14ac:dyDescent="0.2"/>
    <row r="1993" ht="12.75" customHeight="1" x14ac:dyDescent="0.2"/>
    <row r="1994" ht="12.75" customHeight="1" x14ac:dyDescent="0.2"/>
    <row r="1995" ht="12.75" customHeight="1" x14ac:dyDescent="0.2"/>
    <row r="1996" ht="12.75" customHeight="1" x14ac:dyDescent="0.2"/>
    <row r="1997" ht="12.75" customHeight="1" x14ac:dyDescent="0.2"/>
    <row r="1998" ht="12.75" customHeight="1" x14ac:dyDescent="0.2"/>
    <row r="1999" ht="12.75" customHeight="1" x14ac:dyDescent="0.2"/>
    <row r="2000" ht="12.75" customHeight="1" x14ac:dyDescent="0.2"/>
    <row r="2001" ht="12.75" customHeight="1" x14ac:dyDescent="0.2"/>
    <row r="2002" ht="12.75" customHeight="1" x14ac:dyDescent="0.2"/>
    <row r="2003" ht="12.75" customHeight="1" x14ac:dyDescent="0.2"/>
    <row r="2004" ht="12.75" customHeight="1" x14ac:dyDescent="0.2"/>
    <row r="2005" ht="12.75" customHeight="1" x14ac:dyDescent="0.2"/>
    <row r="2006" ht="12.75" customHeight="1" x14ac:dyDescent="0.2"/>
    <row r="2007" ht="12.75" customHeight="1" x14ac:dyDescent="0.2"/>
    <row r="2008" ht="12.75" customHeight="1" x14ac:dyDescent="0.2"/>
    <row r="2009" ht="12.75" customHeight="1" x14ac:dyDescent="0.2"/>
    <row r="2010" ht="12.75" customHeight="1" x14ac:dyDescent="0.2"/>
    <row r="2011" ht="12.75" customHeight="1" x14ac:dyDescent="0.2"/>
    <row r="2012" ht="12.75" customHeight="1" x14ac:dyDescent="0.2"/>
    <row r="2013" ht="12.75" customHeight="1" x14ac:dyDescent="0.2"/>
    <row r="2014" ht="12.75" customHeight="1" x14ac:dyDescent="0.2"/>
    <row r="2015" ht="12.75" customHeight="1" x14ac:dyDescent="0.2"/>
    <row r="2016" ht="12.75" customHeight="1" x14ac:dyDescent="0.2"/>
    <row r="2017" ht="12.75" customHeight="1" x14ac:dyDescent="0.2"/>
    <row r="2018" ht="12.75" customHeight="1" x14ac:dyDescent="0.2"/>
    <row r="2019" ht="12.75" customHeight="1" x14ac:dyDescent="0.2"/>
    <row r="2020" ht="12.75" customHeight="1" x14ac:dyDescent="0.2"/>
    <row r="2021" ht="12.75" customHeight="1" x14ac:dyDescent="0.2"/>
    <row r="2022" ht="12.75" customHeight="1" x14ac:dyDescent="0.2"/>
    <row r="2023" ht="12.75" customHeight="1" x14ac:dyDescent="0.2"/>
    <row r="2024" ht="12.75" customHeight="1" x14ac:dyDescent="0.2"/>
    <row r="2025" ht="12.75" customHeight="1" x14ac:dyDescent="0.2"/>
    <row r="2026" ht="12.75" customHeight="1" x14ac:dyDescent="0.2"/>
    <row r="2027" ht="12.75" customHeight="1" x14ac:dyDescent="0.2"/>
    <row r="2028" ht="12.75" customHeight="1" x14ac:dyDescent="0.2"/>
    <row r="2029" ht="12.75" customHeight="1" x14ac:dyDescent="0.2"/>
    <row r="2030" ht="12.75" customHeight="1" x14ac:dyDescent="0.2"/>
    <row r="2031" ht="12.75" customHeight="1" x14ac:dyDescent="0.2"/>
    <row r="2032" ht="12.75" customHeight="1" x14ac:dyDescent="0.2"/>
    <row r="2033" ht="12.75" customHeight="1" x14ac:dyDescent="0.2"/>
    <row r="2034" ht="12.75" customHeight="1" x14ac:dyDescent="0.2"/>
    <row r="2035" ht="12.75" customHeight="1" x14ac:dyDescent="0.2"/>
    <row r="2036" ht="12.75" customHeight="1" x14ac:dyDescent="0.2"/>
    <row r="2037" ht="12.75" customHeight="1" x14ac:dyDescent="0.2"/>
    <row r="2038" ht="12.75" customHeight="1" x14ac:dyDescent="0.2"/>
    <row r="2039" ht="12.75" customHeight="1" x14ac:dyDescent="0.2"/>
    <row r="2040" ht="12.75" customHeight="1" x14ac:dyDescent="0.2"/>
    <row r="2041" ht="12.75" customHeight="1" x14ac:dyDescent="0.2"/>
    <row r="2042" ht="12.75" customHeight="1" x14ac:dyDescent="0.2"/>
    <row r="2043" ht="12.75" customHeight="1" x14ac:dyDescent="0.2"/>
    <row r="2044" ht="12.75" customHeight="1" x14ac:dyDescent="0.2"/>
    <row r="2045" ht="12.75" customHeight="1" x14ac:dyDescent="0.2"/>
    <row r="2046" ht="12.75" customHeight="1" x14ac:dyDescent="0.2"/>
    <row r="2047" ht="12.75" customHeight="1" x14ac:dyDescent="0.2"/>
    <row r="2048" ht="12.75" customHeight="1" x14ac:dyDescent="0.2"/>
    <row r="2049" ht="12.75" customHeight="1" x14ac:dyDescent="0.2"/>
    <row r="2050" ht="12.75" customHeight="1" x14ac:dyDescent="0.2"/>
    <row r="2051" ht="12.75" customHeight="1" x14ac:dyDescent="0.2"/>
    <row r="2052" ht="12.75" customHeight="1" x14ac:dyDescent="0.2"/>
    <row r="2053" ht="12.75" customHeight="1" x14ac:dyDescent="0.2"/>
    <row r="2054" ht="12.75" customHeight="1" x14ac:dyDescent="0.2"/>
    <row r="2055" ht="12.75" customHeight="1" x14ac:dyDescent="0.2"/>
    <row r="2056" ht="12.75" customHeight="1" x14ac:dyDescent="0.2"/>
    <row r="2057" ht="12.75" customHeight="1" x14ac:dyDescent="0.2"/>
    <row r="2058" ht="12.75" customHeight="1" x14ac:dyDescent="0.2"/>
    <row r="2059" ht="12.75" customHeight="1" x14ac:dyDescent="0.2"/>
    <row r="2060" ht="12.75" customHeight="1" x14ac:dyDescent="0.2"/>
    <row r="2061" ht="12.75" customHeight="1" x14ac:dyDescent="0.2"/>
    <row r="2062" ht="12.75" customHeight="1" x14ac:dyDescent="0.2"/>
    <row r="2063" ht="12.75" customHeight="1" x14ac:dyDescent="0.2"/>
    <row r="2064" ht="12.75" customHeight="1" x14ac:dyDescent="0.2"/>
    <row r="2065" ht="12.75" customHeight="1" x14ac:dyDescent="0.2"/>
    <row r="2066" ht="12.75" customHeight="1" x14ac:dyDescent="0.2"/>
    <row r="2067" ht="12.75" customHeight="1" x14ac:dyDescent="0.2"/>
    <row r="2068" ht="12.75" customHeight="1" x14ac:dyDescent="0.2"/>
    <row r="2069" ht="12.75" customHeight="1" x14ac:dyDescent="0.2"/>
    <row r="2070" ht="12.75" customHeight="1" x14ac:dyDescent="0.2"/>
    <row r="2071" ht="12.75" customHeight="1" x14ac:dyDescent="0.2"/>
    <row r="2072" ht="12.75" customHeight="1" x14ac:dyDescent="0.2"/>
    <row r="2073" ht="12.75" customHeight="1" x14ac:dyDescent="0.2"/>
    <row r="2074" ht="12.75" customHeight="1" x14ac:dyDescent="0.2"/>
    <row r="2075" ht="12.75" customHeight="1" x14ac:dyDescent="0.2"/>
    <row r="2076" ht="12.75" customHeight="1" x14ac:dyDescent="0.2"/>
    <row r="2077" ht="12.75" customHeight="1" x14ac:dyDescent="0.2"/>
    <row r="2078" ht="12.75" customHeight="1" x14ac:dyDescent="0.2"/>
    <row r="2079" ht="12.75" customHeight="1" x14ac:dyDescent="0.2"/>
    <row r="2080" ht="12.75" customHeight="1" x14ac:dyDescent="0.2"/>
    <row r="2081" ht="12.75" customHeight="1" x14ac:dyDescent="0.2"/>
    <row r="2082" ht="12.75" customHeight="1" x14ac:dyDescent="0.2"/>
    <row r="2083" ht="12.75" customHeight="1" x14ac:dyDescent="0.2"/>
    <row r="2084" ht="12.75" customHeight="1" x14ac:dyDescent="0.2"/>
    <row r="2085" ht="12.75" customHeight="1" x14ac:dyDescent="0.2"/>
    <row r="2086" ht="12.75" customHeight="1" x14ac:dyDescent="0.2"/>
    <row r="2087" ht="12.75" customHeight="1" x14ac:dyDescent="0.2"/>
    <row r="2088" ht="12.75" customHeight="1" x14ac:dyDescent="0.2"/>
    <row r="2089" ht="12.75" customHeight="1" x14ac:dyDescent="0.2"/>
    <row r="2090" ht="12.75" customHeight="1" x14ac:dyDescent="0.2"/>
    <row r="2091" ht="12.75" customHeight="1" x14ac:dyDescent="0.2"/>
    <row r="2092" ht="12.75" customHeight="1" x14ac:dyDescent="0.2"/>
    <row r="2093" ht="12.75" customHeight="1" x14ac:dyDescent="0.2"/>
    <row r="2094" ht="12.75" customHeight="1" x14ac:dyDescent="0.2"/>
    <row r="2095" ht="12.75" customHeight="1" x14ac:dyDescent="0.2"/>
    <row r="2096" ht="12.75" customHeight="1" x14ac:dyDescent="0.2"/>
    <row r="2097" ht="12.75" customHeight="1" x14ac:dyDescent="0.2"/>
    <row r="2098" ht="12.75" customHeight="1" x14ac:dyDescent="0.2"/>
    <row r="2099" ht="12.75" customHeight="1" x14ac:dyDescent="0.2"/>
    <row r="2100" ht="12.75" customHeight="1" x14ac:dyDescent="0.2"/>
    <row r="2101" ht="12.75" customHeight="1" x14ac:dyDescent="0.2"/>
    <row r="2102" ht="12.75" customHeight="1" x14ac:dyDescent="0.2"/>
    <row r="2103" ht="12.75" customHeight="1" x14ac:dyDescent="0.2"/>
    <row r="2104" ht="12.75" customHeight="1" x14ac:dyDescent="0.2"/>
    <row r="2105" ht="12.75" customHeight="1" x14ac:dyDescent="0.2"/>
    <row r="2106" ht="12.75" customHeight="1" x14ac:dyDescent="0.2"/>
    <row r="2107" ht="12.75" customHeight="1" x14ac:dyDescent="0.2"/>
    <row r="2108" ht="12.75" customHeight="1" x14ac:dyDescent="0.2"/>
    <row r="2109" ht="12.75" customHeight="1" x14ac:dyDescent="0.2"/>
    <row r="2110" ht="12.75" customHeight="1" x14ac:dyDescent="0.2"/>
    <row r="2111" ht="12.75" customHeight="1" x14ac:dyDescent="0.2"/>
    <row r="2112" ht="12.75" customHeight="1" x14ac:dyDescent="0.2"/>
    <row r="2113" ht="12.75" customHeight="1" x14ac:dyDescent="0.2"/>
    <row r="2114" ht="12.75" customHeight="1" x14ac:dyDescent="0.2"/>
    <row r="2115" ht="12.75" customHeight="1" x14ac:dyDescent="0.2"/>
    <row r="2116" ht="12.75" customHeight="1" x14ac:dyDescent="0.2"/>
    <row r="2117" ht="12.75" customHeight="1" x14ac:dyDescent="0.2"/>
    <row r="2118" ht="12.75" customHeight="1" x14ac:dyDescent="0.2"/>
    <row r="2119" ht="12.75" customHeight="1" x14ac:dyDescent="0.2"/>
    <row r="2120" ht="12.75" customHeight="1" x14ac:dyDescent="0.2"/>
    <row r="2121" ht="12.75" customHeight="1" x14ac:dyDescent="0.2"/>
    <row r="2122" ht="12.75" customHeight="1" x14ac:dyDescent="0.2"/>
    <row r="2123" ht="12.75" customHeight="1" x14ac:dyDescent="0.2"/>
    <row r="2124" ht="12.75" customHeight="1" x14ac:dyDescent="0.2"/>
    <row r="2125" ht="12.75" customHeight="1" x14ac:dyDescent="0.2"/>
    <row r="2126" ht="12.75" customHeight="1" x14ac:dyDescent="0.2"/>
    <row r="2127" ht="12.75" customHeight="1" x14ac:dyDescent="0.2"/>
    <row r="2128" ht="12.75" customHeight="1" x14ac:dyDescent="0.2"/>
    <row r="2129" ht="12.75" customHeight="1" x14ac:dyDescent="0.2"/>
    <row r="2130" ht="12.75" customHeight="1" x14ac:dyDescent="0.2"/>
    <row r="2131" ht="12.75" customHeight="1" x14ac:dyDescent="0.2"/>
    <row r="2132" ht="12.75" customHeight="1" x14ac:dyDescent="0.2"/>
    <row r="2133" ht="12.75" customHeight="1" x14ac:dyDescent="0.2"/>
    <row r="2134" ht="12.75" customHeight="1" x14ac:dyDescent="0.2"/>
    <row r="2135" ht="12.75" customHeight="1" x14ac:dyDescent="0.2"/>
    <row r="2136" ht="12.75" customHeight="1" x14ac:dyDescent="0.2"/>
    <row r="2137" ht="12.75" customHeight="1" x14ac:dyDescent="0.2"/>
    <row r="2138" ht="12.75" customHeight="1" x14ac:dyDescent="0.2"/>
    <row r="2139" ht="12.75" customHeight="1" x14ac:dyDescent="0.2"/>
    <row r="2140" ht="12.75" customHeight="1" x14ac:dyDescent="0.2"/>
    <row r="2141" ht="12.75" customHeight="1" x14ac:dyDescent="0.2"/>
    <row r="2142" ht="12.75" customHeight="1" x14ac:dyDescent="0.2"/>
    <row r="2143" ht="12.75" customHeight="1" x14ac:dyDescent="0.2"/>
    <row r="2144" ht="12.75" customHeight="1" x14ac:dyDescent="0.2"/>
    <row r="2145" ht="12.75" customHeight="1" x14ac:dyDescent="0.2"/>
    <row r="2146" ht="12.75" customHeight="1" x14ac:dyDescent="0.2"/>
    <row r="2147" ht="12.75" customHeight="1" x14ac:dyDescent="0.2"/>
    <row r="2148" ht="12.75" customHeight="1" x14ac:dyDescent="0.2"/>
    <row r="2149" ht="12.75" customHeight="1" x14ac:dyDescent="0.2"/>
    <row r="2150" ht="12.75" customHeight="1" x14ac:dyDescent="0.2"/>
    <row r="2151" ht="12.75" customHeight="1" x14ac:dyDescent="0.2"/>
    <row r="2152" ht="12.75" customHeight="1" x14ac:dyDescent="0.2"/>
    <row r="2153" ht="12.75" customHeight="1" x14ac:dyDescent="0.2"/>
    <row r="2154" ht="12.75" customHeight="1" x14ac:dyDescent="0.2"/>
    <row r="2155" ht="12.75" customHeight="1" x14ac:dyDescent="0.2"/>
    <row r="2156" ht="12.75" customHeight="1" x14ac:dyDescent="0.2"/>
    <row r="2157" ht="12.75" customHeight="1" x14ac:dyDescent="0.2"/>
    <row r="2158" ht="12.75" customHeight="1" x14ac:dyDescent="0.2"/>
    <row r="2159" ht="12.75" customHeight="1" x14ac:dyDescent="0.2"/>
    <row r="2160" ht="12.75" customHeight="1" x14ac:dyDescent="0.2"/>
    <row r="2161" ht="12.75" customHeight="1" x14ac:dyDescent="0.2"/>
    <row r="2162" ht="12.75" customHeight="1" x14ac:dyDescent="0.2"/>
    <row r="2163" ht="12.75" customHeight="1" x14ac:dyDescent="0.2"/>
    <row r="2164" ht="12.75" customHeight="1" x14ac:dyDescent="0.2"/>
    <row r="2165" ht="12.75" customHeight="1" x14ac:dyDescent="0.2"/>
    <row r="2166" ht="12.75" customHeight="1" x14ac:dyDescent="0.2"/>
    <row r="2167" ht="12.75" customHeight="1" x14ac:dyDescent="0.2"/>
    <row r="2168" ht="12.75" customHeight="1" x14ac:dyDescent="0.2"/>
    <row r="2169" ht="12.75" customHeight="1" x14ac:dyDescent="0.2"/>
    <row r="2170" ht="12.75" customHeight="1" x14ac:dyDescent="0.2"/>
    <row r="2171" ht="12.75" customHeight="1" x14ac:dyDescent="0.2"/>
    <row r="2172" ht="12.75" customHeight="1" x14ac:dyDescent="0.2"/>
    <row r="2173" ht="12.75" customHeight="1" x14ac:dyDescent="0.2"/>
    <row r="2174" ht="12.75" customHeight="1" x14ac:dyDescent="0.2"/>
    <row r="2175" ht="12.75" customHeight="1" x14ac:dyDescent="0.2"/>
    <row r="2176" ht="12.75" customHeight="1" x14ac:dyDescent="0.2"/>
    <row r="2177" ht="12.75" customHeight="1" x14ac:dyDescent="0.2"/>
    <row r="2178" ht="12.75" customHeight="1" x14ac:dyDescent="0.2"/>
    <row r="2179" ht="12.75" customHeight="1" x14ac:dyDescent="0.2"/>
    <row r="2180" ht="12.75" customHeight="1" x14ac:dyDescent="0.2"/>
    <row r="2181" ht="12.75" customHeight="1" x14ac:dyDescent="0.2"/>
    <row r="2182" ht="12.75" customHeight="1" x14ac:dyDescent="0.2"/>
    <row r="2183" ht="12.75" customHeight="1" x14ac:dyDescent="0.2"/>
    <row r="2184" ht="12.75" customHeight="1" x14ac:dyDescent="0.2"/>
    <row r="2185" ht="12.75" customHeight="1" x14ac:dyDescent="0.2"/>
    <row r="2186" ht="12.75" customHeight="1" x14ac:dyDescent="0.2"/>
    <row r="2187" ht="12.75" customHeight="1" x14ac:dyDescent="0.2"/>
    <row r="2188" ht="12.75" customHeight="1" x14ac:dyDescent="0.2"/>
    <row r="2189" ht="12.75" customHeight="1" x14ac:dyDescent="0.2"/>
    <row r="2190" ht="12.75" customHeight="1" x14ac:dyDescent="0.2"/>
    <row r="2191" ht="12.75" customHeight="1" x14ac:dyDescent="0.2"/>
    <row r="2192" ht="12.75" customHeight="1" x14ac:dyDescent="0.2"/>
    <row r="2193" ht="12.75" customHeight="1" x14ac:dyDescent="0.2"/>
    <row r="2194" ht="12.75" customHeight="1" x14ac:dyDescent="0.2"/>
    <row r="2195" ht="12.75" customHeight="1" x14ac:dyDescent="0.2"/>
    <row r="2196" ht="12.75" customHeight="1" x14ac:dyDescent="0.2"/>
    <row r="2197" ht="12.75" customHeight="1" x14ac:dyDescent="0.2"/>
    <row r="2198" ht="12.75" customHeight="1" x14ac:dyDescent="0.2"/>
    <row r="2199" ht="12.75" customHeight="1" x14ac:dyDescent="0.2"/>
    <row r="2200" ht="12.75" customHeight="1" x14ac:dyDescent="0.2"/>
    <row r="2201" ht="12.75" customHeight="1" x14ac:dyDescent="0.2"/>
    <row r="2202" ht="12.75" customHeight="1" x14ac:dyDescent="0.2"/>
    <row r="2203" ht="12.75" customHeight="1" x14ac:dyDescent="0.2"/>
    <row r="2204" ht="12.75" customHeight="1" x14ac:dyDescent="0.2"/>
    <row r="2205" ht="12.75" customHeight="1" x14ac:dyDescent="0.2"/>
    <row r="2206" ht="12.75" customHeight="1" x14ac:dyDescent="0.2"/>
    <row r="2207" ht="12.75" customHeight="1" x14ac:dyDescent="0.2"/>
    <row r="2208" ht="12.75" customHeight="1" x14ac:dyDescent="0.2"/>
    <row r="2209" ht="12.75" customHeight="1" x14ac:dyDescent="0.2"/>
    <row r="2210" ht="12.75" customHeight="1" x14ac:dyDescent="0.2"/>
    <row r="2211" ht="12.75" customHeight="1" x14ac:dyDescent="0.2"/>
    <row r="2212" ht="12.75" customHeight="1" x14ac:dyDescent="0.2"/>
    <row r="2213" ht="12.75" customHeight="1" x14ac:dyDescent="0.2"/>
    <row r="2214" ht="12.75" customHeight="1" x14ac:dyDescent="0.2"/>
    <row r="2215" ht="12.75" customHeight="1" x14ac:dyDescent="0.2"/>
    <row r="2216" ht="12.75" customHeight="1" x14ac:dyDescent="0.2"/>
    <row r="2217" ht="12.75" customHeight="1" x14ac:dyDescent="0.2"/>
    <row r="2218" ht="12.75" customHeight="1" x14ac:dyDescent="0.2"/>
    <row r="2219" ht="12.75" customHeight="1" x14ac:dyDescent="0.2"/>
    <row r="2220" ht="12.75" customHeight="1" x14ac:dyDescent="0.2"/>
    <row r="2221" ht="12.75" customHeight="1" x14ac:dyDescent="0.2"/>
    <row r="2222" ht="12.75" customHeight="1" x14ac:dyDescent="0.2"/>
    <row r="2223" ht="12.75" customHeight="1" x14ac:dyDescent="0.2"/>
    <row r="2224" ht="12.75" customHeight="1" x14ac:dyDescent="0.2"/>
    <row r="2225" ht="12.75" customHeight="1" x14ac:dyDescent="0.2"/>
    <row r="2226" ht="12.75" customHeight="1" x14ac:dyDescent="0.2"/>
    <row r="2227" ht="12.75" customHeight="1" x14ac:dyDescent="0.2"/>
    <row r="2228" ht="12.75" customHeight="1" x14ac:dyDescent="0.2"/>
    <row r="2229" ht="12.75" customHeight="1" x14ac:dyDescent="0.2"/>
    <row r="2230" ht="12.75" customHeight="1" x14ac:dyDescent="0.2"/>
    <row r="2231" ht="12.75" customHeight="1" x14ac:dyDescent="0.2"/>
    <row r="2232" ht="12.75" customHeight="1" x14ac:dyDescent="0.2"/>
    <row r="2233" ht="12.75" customHeight="1" x14ac:dyDescent="0.2"/>
    <row r="2234" ht="12.75" customHeight="1" x14ac:dyDescent="0.2"/>
    <row r="2235" ht="12.75" customHeight="1" x14ac:dyDescent="0.2"/>
    <row r="2236" ht="12.75" customHeight="1" x14ac:dyDescent="0.2"/>
    <row r="2237" ht="12.75" customHeight="1" x14ac:dyDescent="0.2"/>
    <row r="2238" ht="12.75" customHeight="1" x14ac:dyDescent="0.2"/>
    <row r="2239" ht="12.75" customHeight="1" x14ac:dyDescent="0.2"/>
    <row r="2240" ht="12.75" customHeight="1" x14ac:dyDescent="0.2"/>
    <row r="2241" ht="12.75" customHeight="1" x14ac:dyDescent="0.2"/>
    <row r="2242" ht="12.75" customHeight="1" x14ac:dyDescent="0.2"/>
    <row r="2243" ht="12.75" customHeight="1" x14ac:dyDescent="0.2"/>
    <row r="2244" ht="12.75" customHeight="1" x14ac:dyDescent="0.2"/>
    <row r="2245" ht="12.75" customHeight="1" x14ac:dyDescent="0.2"/>
    <row r="2246" ht="12.75" customHeight="1" x14ac:dyDescent="0.2"/>
    <row r="2247" ht="12.75" customHeight="1" x14ac:dyDescent="0.2"/>
    <row r="2248" ht="12.75" customHeight="1" x14ac:dyDescent="0.2"/>
    <row r="2249" ht="12.75" customHeight="1" x14ac:dyDescent="0.2"/>
    <row r="2250" ht="12.75" customHeight="1" x14ac:dyDescent="0.2"/>
    <row r="2251" ht="12.75" customHeight="1" x14ac:dyDescent="0.2"/>
    <row r="2252" ht="12.75" customHeight="1" x14ac:dyDescent="0.2"/>
    <row r="2253" ht="12.75" customHeight="1" x14ac:dyDescent="0.2"/>
    <row r="2254" ht="12.75" customHeight="1" x14ac:dyDescent="0.2"/>
    <row r="2255" ht="12.75" customHeight="1" x14ac:dyDescent="0.2"/>
    <row r="2256" ht="12.75" customHeight="1" x14ac:dyDescent="0.2"/>
    <row r="2257" ht="12.75" customHeight="1" x14ac:dyDescent="0.2"/>
    <row r="2258" ht="12.75" customHeight="1" x14ac:dyDescent="0.2"/>
    <row r="2259" ht="12.75" customHeight="1" x14ac:dyDescent="0.2"/>
    <row r="2260" ht="12.75" customHeight="1" x14ac:dyDescent="0.2"/>
    <row r="2261" ht="12.75" customHeight="1" x14ac:dyDescent="0.2"/>
    <row r="2262" ht="12.75" customHeight="1" x14ac:dyDescent="0.2"/>
    <row r="2263" ht="12.75" customHeight="1" x14ac:dyDescent="0.2"/>
    <row r="2264" ht="12.75" customHeight="1" x14ac:dyDescent="0.2"/>
    <row r="2265" ht="12.75" customHeight="1" x14ac:dyDescent="0.2"/>
    <row r="2266" ht="12.75" customHeight="1" x14ac:dyDescent="0.2"/>
    <row r="2267" ht="12.75" customHeight="1" x14ac:dyDescent="0.2"/>
    <row r="2268" ht="12.75" customHeight="1" x14ac:dyDescent="0.2"/>
    <row r="2269" ht="12.75" customHeight="1" x14ac:dyDescent="0.2"/>
    <row r="2270" ht="12.75" customHeight="1" x14ac:dyDescent="0.2"/>
    <row r="2271" ht="12.75" customHeight="1" x14ac:dyDescent="0.2"/>
    <row r="2272" ht="12.75" customHeight="1" x14ac:dyDescent="0.2"/>
    <row r="2273" ht="12.75" customHeight="1" x14ac:dyDescent="0.2"/>
    <row r="2274" ht="12.75" customHeight="1" x14ac:dyDescent="0.2"/>
    <row r="2275" ht="12.75" customHeight="1" x14ac:dyDescent="0.2"/>
    <row r="2276" ht="12.75" customHeight="1" x14ac:dyDescent="0.2"/>
    <row r="2277" ht="12.75" customHeight="1" x14ac:dyDescent="0.2"/>
    <row r="2278" ht="12.75" customHeight="1" x14ac:dyDescent="0.2"/>
    <row r="2279" ht="12.75" customHeight="1" x14ac:dyDescent="0.2"/>
    <row r="2280" ht="12.75" customHeight="1" x14ac:dyDescent="0.2"/>
    <row r="2281" ht="12.75" customHeight="1" x14ac:dyDescent="0.2"/>
    <row r="2282" ht="12.75" customHeight="1" x14ac:dyDescent="0.2"/>
    <row r="2283" ht="12.75" customHeight="1" x14ac:dyDescent="0.2"/>
    <row r="2284" ht="12.75" customHeight="1" x14ac:dyDescent="0.2"/>
    <row r="2285" ht="12.75" customHeight="1" x14ac:dyDescent="0.2"/>
    <row r="2286" ht="12.75" customHeight="1" x14ac:dyDescent="0.2"/>
    <row r="2287" ht="12.75" customHeight="1" x14ac:dyDescent="0.2"/>
    <row r="2288" ht="12.75" customHeight="1" x14ac:dyDescent="0.2"/>
    <row r="2289" ht="12.75" customHeight="1" x14ac:dyDescent="0.2"/>
    <row r="2290" ht="12.75" customHeight="1" x14ac:dyDescent="0.2"/>
    <row r="2291" ht="12.75" customHeight="1" x14ac:dyDescent="0.2"/>
    <row r="2292" ht="12.75" customHeight="1" x14ac:dyDescent="0.2"/>
    <row r="2293" ht="12.75" customHeight="1" x14ac:dyDescent="0.2"/>
    <row r="2294" ht="12.75" customHeight="1" x14ac:dyDescent="0.2"/>
    <row r="2295" ht="12.75" customHeight="1" x14ac:dyDescent="0.2"/>
    <row r="2296" ht="12.75" customHeight="1" x14ac:dyDescent="0.2"/>
    <row r="2297" ht="12.75" customHeight="1" x14ac:dyDescent="0.2"/>
    <row r="2298" ht="12.75" customHeight="1" x14ac:dyDescent="0.2"/>
    <row r="2299" ht="12.75" customHeight="1" x14ac:dyDescent="0.2"/>
    <row r="2300" ht="12.75" customHeight="1" x14ac:dyDescent="0.2"/>
    <row r="2301" ht="12.75" customHeight="1" x14ac:dyDescent="0.2"/>
    <row r="2302" ht="12.75" customHeight="1" x14ac:dyDescent="0.2"/>
    <row r="2303" ht="12.75" customHeight="1" x14ac:dyDescent="0.2"/>
    <row r="2304" ht="12.75" customHeight="1" x14ac:dyDescent="0.2"/>
    <row r="2305" ht="12.75" customHeight="1" x14ac:dyDescent="0.2"/>
    <row r="2306" ht="12.75" customHeight="1" x14ac:dyDescent="0.2"/>
    <row r="2307" ht="12.75" customHeight="1" x14ac:dyDescent="0.2"/>
    <row r="2308" ht="12.75" customHeight="1" x14ac:dyDescent="0.2"/>
    <row r="2309" ht="12.75" customHeight="1" x14ac:dyDescent="0.2"/>
    <row r="2310" ht="12.75" customHeight="1" x14ac:dyDescent="0.2"/>
    <row r="2311" ht="12.75" customHeight="1" x14ac:dyDescent="0.2"/>
    <row r="2312" ht="12.75" customHeight="1" x14ac:dyDescent="0.2"/>
    <row r="2313" ht="12.75" customHeight="1" x14ac:dyDescent="0.2"/>
    <row r="2314" ht="12.75" customHeight="1" x14ac:dyDescent="0.2"/>
    <row r="2315" ht="12.75" customHeight="1" x14ac:dyDescent="0.2"/>
    <row r="2316" ht="12.75" customHeight="1" x14ac:dyDescent="0.2"/>
    <row r="2317" ht="12.75" customHeight="1" x14ac:dyDescent="0.2"/>
    <row r="2318" ht="12.75" customHeight="1" x14ac:dyDescent="0.2"/>
    <row r="2319" ht="12.75" customHeight="1" x14ac:dyDescent="0.2"/>
    <row r="2320" ht="12.75" customHeight="1" x14ac:dyDescent="0.2"/>
    <row r="2321" ht="12.75" customHeight="1" x14ac:dyDescent="0.2"/>
    <row r="2322" ht="12.75" customHeight="1" x14ac:dyDescent="0.2"/>
    <row r="2323" ht="12.75" customHeight="1" x14ac:dyDescent="0.2"/>
    <row r="2324" ht="12.75" customHeight="1" x14ac:dyDescent="0.2"/>
    <row r="2325" ht="12.75" customHeight="1" x14ac:dyDescent="0.2"/>
    <row r="2326" ht="12.75" customHeight="1" x14ac:dyDescent="0.2"/>
    <row r="2327" ht="12.75" customHeight="1" x14ac:dyDescent="0.2"/>
    <row r="2328" ht="12.75" customHeight="1" x14ac:dyDescent="0.2"/>
    <row r="2329" ht="12.75" customHeight="1" x14ac:dyDescent="0.2"/>
    <row r="2330" ht="12.75" customHeight="1" x14ac:dyDescent="0.2"/>
    <row r="2331" ht="12.75" customHeight="1" x14ac:dyDescent="0.2"/>
    <row r="2332" ht="12.75" customHeight="1" x14ac:dyDescent="0.2"/>
    <row r="2333" ht="12.75" customHeight="1" x14ac:dyDescent="0.2"/>
    <row r="2334" ht="12.75" customHeight="1" x14ac:dyDescent="0.2"/>
    <row r="2335" ht="12.75" customHeight="1" x14ac:dyDescent="0.2"/>
    <row r="2336" ht="12.75" customHeight="1" x14ac:dyDescent="0.2"/>
    <row r="2337" ht="12.75" customHeight="1" x14ac:dyDescent="0.2"/>
    <row r="2338" ht="12.75" customHeight="1" x14ac:dyDescent="0.2"/>
    <row r="2339" ht="12.75" customHeight="1" x14ac:dyDescent="0.2"/>
    <row r="2340" ht="12.75" customHeight="1" x14ac:dyDescent="0.2"/>
    <row r="2341" ht="12.75" customHeight="1" x14ac:dyDescent="0.2"/>
    <row r="2342" ht="12.75" customHeight="1" x14ac:dyDescent="0.2"/>
    <row r="2343" ht="12.75" customHeight="1" x14ac:dyDescent="0.2"/>
    <row r="2344" ht="12.75" customHeight="1" x14ac:dyDescent="0.2"/>
    <row r="2345" ht="12.75" customHeight="1" x14ac:dyDescent="0.2"/>
    <row r="2346" ht="12.75" customHeight="1" x14ac:dyDescent="0.2"/>
    <row r="2347" ht="12.75" customHeight="1" x14ac:dyDescent="0.2"/>
    <row r="2348" ht="12.75" customHeight="1" x14ac:dyDescent="0.2"/>
    <row r="2349" ht="12.75" customHeight="1" x14ac:dyDescent="0.2"/>
    <row r="2350" ht="12.75" customHeight="1" x14ac:dyDescent="0.2"/>
    <row r="2351" ht="12.75" customHeight="1" x14ac:dyDescent="0.2"/>
    <row r="2352" ht="12.75" customHeight="1" x14ac:dyDescent="0.2"/>
    <row r="2353" ht="12.75" customHeight="1" x14ac:dyDescent="0.2"/>
    <row r="2354" ht="12.75" customHeight="1" x14ac:dyDescent="0.2"/>
    <row r="2355" ht="12.75" customHeight="1" x14ac:dyDescent="0.2"/>
    <row r="2356" ht="12.75" customHeight="1" x14ac:dyDescent="0.2"/>
    <row r="2357" ht="12.75" customHeight="1" x14ac:dyDescent="0.2"/>
    <row r="2358" ht="12.75" customHeight="1" x14ac:dyDescent="0.2"/>
    <row r="2359" ht="12.75" customHeight="1" x14ac:dyDescent="0.2"/>
    <row r="2360" ht="12.75" customHeight="1" x14ac:dyDescent="0.2"/>
    <row r="2361" ht="12.75" customHeight="1" x14ac:dyDescent="0.2"/>
    <row r="2362" ht="12.75" customHeight="1" x14ac:dyDescent="0.2"/>
    <row r="2363" ht="12.75" customHeight="1" x14ac:dyDescent="0.2"/>
    <row r="2364" ht="12.75" customHeight="1" x14ac:dyDescent="0.2"/>
    <row r="2365" ht="12.75" customHeight="1" x14ac:dyDescent="0.2"/>
    <row r="2366" ht="12.75" customHeight="1" x14ac:dyDescent="0.2"/>
    <row r="2367" ht="12.75" customHeight="1" x14ac:dyDescent="0.2"/>
    <row r="2368" ht="12.75" customHeight="1" x14ac:dyDescent="0.2"/>
    <row r="2369" ht="12.75" customHeight="1" x14ac:dyDescent="0.2"/>
    <row r="2370" ht="12.75" customHeight="1" x14ac:dyDescent="0.2"/>
    <row r="2371" ht="12.75" customHeight="1" x14ac:dyDescent="0.2"/>
    <row r="2372" ht="12.75" customHeight="1" x14ac:dyDescent="0.2"/>
    <row r="2373" ht="12.75" customHeight="1" x14ac:dyDescent="0.2"/>
    <row r="2374" ht="12.75" customHeight="1" x14ac:dyDescent="0.2"/>
    <row r="2375" ht="12.75" customHeight="1" x14ac:dyDescent="0.2"/>
    <row r="2376" ht="12.75" customHeight="1" x14ac:dyDescent="0.2"/>
    <row r="2377" ht="12.75" customHeight="1" x14ac:dyDescent="0.2"/>
    <row r="2378" ht="12.75" customHeight="1" x14ac:dyDescent="0.2"/>
    <row r="2379" ht="12.75" customHeight="1" x14ac:dyDescent="0.2"/>
    <row r="2380" ht="12.75" customHeight="1" x14ac:dyDescent="0.2"/>
    <row r="2381" ht="12.75" customHeight="1" x14ac:dyDescent="0.2"/>
    <row r="2382" ht="12.75" customHeight="1" x14ac:dyDescent="0.2"/>
    <row r="2383" ht="12.75" customHeight="1" x14ac:dyDescent="0.2"/>
    <row r="2384" ht="12.75" customHeight="1" x14ac:dyDescent="0.2"/>
    <row r="2385" ht="12.75" customHeight="1" x14ac:dyDescent="0.2"/>
    <row r="2386" ht="12.75" customHeight="1" x14ac:dyDescent="0.2"/>
    <row r="2387" ht="12.75" customHeight="1" x14ac:dyDescent="0.2"/>
    <row r="2388" ht="12.75" customHeight="1" x14ac:dyDescent="0.2"/>
    <row r="2389" ht="12.75" customHeight="1" x14ac:dyDescent="0.2"/>
    <row r="2390" ht="12.75" customHeight="1" x14ac:dyDescent="0.2"/>
    <row r="2391" ht="12.75" customHeight="1" x14ac:dyDescent="0.2"/>
    <row r="2392" ht="12.75" customHeight="1" x14ac:dyDescent="0.2"/>
    <row r="2393" ht="12.75" customHeight="1" x14ac:dyDescent="0.2"/>
    <row r="2394" ht="12.75" customHeight="1" x14ac:dyDescent="0.2"/>
    <row r="2395" ht="12.75" customHeight="1" x14ac:dyDescent="0.2"/>
    <row r="2396" ht="12.75" customHeight="1" x14ac:dyDescent="0.2"/>
    <row r="2397" ht="12.75" customHeight="1" x14ac:dyDescent="0.2"/>
    <row r="2398" ht="12.75" customHeight="1" x14ac:dyDescent="0.2"/>
    <row r="2399" ht="12.75" customHeight="1" x14ac:dyDescent="0.2"/>
    <row r="2400" ht="12.75" customHeight="1" x14ac:dyDescent="0.2"/>
    <row r="2401" ht="12.75" customHeight="1" x14ac:dyDescent="0.2"/>
    <row r="2402" ht="12.75" customHeight="1" x14ac:dyDescent="0.2"/>
    <row r="2403" ht="12.75" customHeight="1" x14ac:dyDescent="0.2"/>
    <row r="2404" ht="12.75" customHeight="1" x14ac:dyDescent="0.2"/>
    <row r="2405" ht="12.75" customHeight="1" x14ac:dyDescent="0.2"/>
    <row r="2406" ht="12.75" customHeight="1" x14ac:dyDescent="0.2"/>
    <row r="2407" ht="12.75" customHeight="1" x14ac:dyDescent="0.2"/>
    <row r="2408" ht="12.75" customHeight="1" x14ac:dyDescent="0.2"/>
    <row r="2409" ht="12.75" customHeight="1" x14ac:dyDescent="0.2"/>
    <row r="2410" ht="12.75" customHeight="1" x14ac:dyDescent="0.2"/>
    <row r="2411" ht="12.75" customHeight="1" x14ac:dyDescent="0.2"/>
    <row r="2412" ht="12.75" customHeight="1" x14ac:dyDescent="0.2"/>
    <row r="2413" ht="12.75" customHeight="1" x14ac:dyDescent="0.2"/>
    <row r="2414" ht="12.75" customHeight="1" x14ac:dyDescent="0.2"/>
    <row r="2415" ht="12.75" customHeight="1" x14ac:dyDescent="0.2"/>
    <row r="2416" ht="12.75" customHeight="1" x14ac:dyDescent="0.2"/>
    <row r="2417" ht="12.75" customHeight="1" x14ac:dyDescent="0.2"/>
    <row r="2418" ht="12.75" customHeight="1" x14ac:dyDescent="0.2"/>
    <row r="2419" ht="12.75" customHeight="1" x14ac:dyDescent="0.2"/>
    <row r="2420" ht="12.75" customHeight="1" x14ac:dyDescent="0.2"/>
    <row r="2421" ht="12.75" customHeight="1" x14ac:dyDescent="0.2"/>
    <row r="2422" ht="12.75" customHeight="1" x14ac:dyDescent="0.2"/>
    <row r="2423" ht="12.75" customHeight="1" x14ac:dyDescent="0.2"/>
    <row r="2424" ht="12.75" customHeight="1" x14ac:dyDescent="0.2"/>
    <row r="2425" ht="12.75" customHeight="1" x14ac:dyDescent="0.2"/>
    <row r="2426" ht="12.75" customHeight="1" x14ac:dyDescent="0.2"/>
    <row r="2427" ht="12.75" customHeight="1" x14ac:dyDescent="0.2"/>
    <row r="2428" ht="12.75" customHeight="1" x14ac:dyDescent="0.2"/>
    <row r="2429" ht="12.75" customHeight="1" x14ac:dyDescent="0.2"/>
    <row r="2430" ht="12.75" customHeight="1" x14ac:dyDescent="0.2"/>
    <row r="2431" ht="12.75" customHeight="1" x14ac:dyDescent="0.2"/>
    <row r="2432" ht="12.75" customHeight="1" x14ac:dyDescent="0.2"/>
    <row r="2433" ht="12.75" customHeight="1" x14ac:dyDescent="0.2"/>
    <row r="2434" ht="12.75" customHeight="1" x14ac:dyDescent="0.2"/>
    <row r="2435" ht="12.75" customHeight="1" x14ac:dyDescent="0.2"/>
    <row r="2436" ht="12.75" customHeight="1" x14ac:dyDescent="0.2"/>
    <row r="2437" ht="12.75" customHeight="1" x14ac:dyDescent="0.2"/>
    <row r="2438" ht="12.75" customHeight="1" x14ac:dyDescent="0.2"/>
    <row r="2439" ht="12.75" customHeight="1" x14ac:dyDescent="0.2"/>
    <row r="2440" ht="12.75" customHeight="1" x14ac:dyDescent="0.2"/>
    <row r="2441" ht="12.75" customHeight="1" x14ac:dyDescent="0.2"/>
    <row r="2442" ht="12.75" customHeight="1" x14ac:dyDescent="0.2"/>
    <row r="2443" ht="12.75" customHeight="1" x14ac:dyDescent="0.2"/>
    <row r="2444" ht="12.75" customHeight="1" x14ac:dyDescent="0.2"/>
    <row r="2445" ht="12.75" customHeight="1" x14ac:dyDescent="0.2"/>
    <row r="2446" ht="12.75" customHeight="1" x14ac:dyDescent="0.2"/>
    <row r="2447" ht="12.75" customHeight="1" x14ac:dyDescent="0.2"/>
    <row r="2448" ht="12.75" customHeight="1" x14ac:dyDescent="0.2"/>
    <row r="2449" ht="12.75" customHeight="1" x14ac:dyDescent="0.2"/>
    <row r="2450" ht="12.75" customHeight="1" x14ac:dyDescent="0.2"/>
    <row r="2451" ht="12.75" customHeight="1" x14ac:dyDescent="0.2"/>
    <row r="2452" ht="12.75" customHeight="1" x14ac:dyDescent="0.2"/>
    <row r="2453" ht="12.75" customHeight="1" x14ac:dyDescent="0.2"/>
    <row r="2454" ht="12.75" customHeight="1" x14ac:dyDescent="0.2"/>
    <row r="2455" ht="12.75" customHeight="1" x14ac:dyDescent="0.2"/>
    <row r="2456" ht="12.75" customHeight="1" x14ac:dyDescent="0.2"/>
    <row r="2457" ht="12.75" customHeight="1" x14ac:dyDescent="0.2"/>
    <row r="2458" ht="12.75" customHeight="1" x14ac:dyDescent="0.2"/>
    <row r="2459" ht="12.75" customHeight="1" x14ac:dyDescent="0.2"/>
    <row r="2460" ht="12.75" customHeight="1" x14ac:dyDescent="0.2"/>
    <row r="2461" ht="12.75" customHeight="1" x14ac:dyDescent="0.2"/>
    <row r="2462" ht="12.75" customHeight="1" x14ac:dyDescent="0.2"/>
    <row r="2463" ht="12.75" customHeight="1" x14ac:dyDescent="0.2"/>
    <row r="2464" ht="12.75" customHeight="1" x14ac:dyDescent="0.2"/>
    <row r="2465" ht="12.75" customHeight="1" x14ac:dyDescent="0.2"/>
    <row r="2466" ht="12.75" customHeight="1" x14ac:dyDescent="0.2"/>
    <row r="2467" ht="12.75" customHeight="1" x14ac:dyDescent="0.2"/>
    <row r="2468" ht="12.75" customHeight="1" x14ac:dyDescent="0.2"/>
    <row r="2469" ht="12.75" customHeight="1" x14ac:dyDescent="0.2"/>
    <row r="2470" ht="12.75" customHeight="1" x14ac:dyDescent="0.2"/>
    <row r="2471" ht="12.75" customHeight="1" x14ac:dyDescent="0.2"/>
    <row r="2472" ht="12.75" customHeight="1" x14ac:dyDescent="0.2"/>
    <row r="2473" ht="12.75" customHeight="1" x14ac:dyDescent="0.2"/>
    <row r="2474" ht="12.75" customHeight="1" x14ac:dyDescent="0.2"/>
    <row r="2475" ht="12.75" customHeight="1" x14ac:dyDescent="0.2"/>
    <row r="2476" ht="12.75" customHeight="1" x14ac:dyDescent="0.2"/>
    <row r="2477" ht="12.75" customHeight="1" x14ac:dyDescent="0.2"/>
    <row r="2478" ht="12.75" customHeight="1" x14ac:dyDescent="0.2"/>
    <row r="2479" ht="12.75" customHeight="1" x14ac:dyDescent="0.2"/>
    <row r="2480" ht="12.75" customHeight="1" x14ac:dyDescent="0.2"/>
    <row r="2481" ht="12.75" customHeight="1" x14ac:dyDescent="0.2"/>
    <row r="2482" ht="12.75" customHeight="1" x14ac:dyDescent="0.2"/>
    <row r="2483" ht="12.75" customHeight="1" x14ac:dyDescent="0.2"/>
    <row r="2484" ht="12.75" customHeight="1" x14ac:dyDescent="0.2"/>
    <row r="2485" ht="12.75" customHeight="1" x14ac:dyDescent="0.2"/>
    <row r="2486" ht="12.75" customHeight="1" x14ac:dyDescent="0.2"/>
    <row r="2487" ht="12.75" customHeight="1" x14ac:dyDescent="0.2"/>
    <row r="2488" ht="12.75" customHeight="1" x14ac:dyDescent="0.2"/>
    <row r="2489" ht="12.75" customHeight="1" x14ac:dyDescent="0.2"/>
    <row r="2490" ht="12.75" customHeight="1" x14ac:dyDescent="0.2"/>
    <row r="2491" ht="12.75" customHeight="1" x14ac:dyDescent="0.2"/>
    <row r="2492" ht="12.75" customHeight="1" x14ac:dyDescent="0.2"/>
    <row r="2493" ht="12.75" customHeight="1" x14ac:dyDescent="0.2"/>
    <row r="2494" ht="12.75" customHeight="1" x14ac:dyDescent="0.2"/>
    <row r="2495" ht="12.75" customHeight="1" x14ac:dyDescent="0.2"/>
    <row r="2496" ht="12.75" customHeight="1" x14ac:dyDescent="0.2"/>
    <row r="2497" ht="12.75" customHeight="1" x14ac:dyDescent="0.2"/>
    <row r="2498" ht="12.75" customHeight="1" x14ac:dyDescent="0.2"/>
    <row r="2499" ht="12.75" customHeight="1" x14ac:dyDescent="0.2"/>
    <row r="2500" ht="12.75" customHeight="1" x14ac:dyDescent="0.2"/>
    <row r="2501" ht="12.75" customHeight="1" x14ac:dyDescent="0.2"/>
    <row r="2502" ht="12.75" customHeight="1" x14ac:dyDescent="0.2"/>
    <row r="2503" ht="12.75" customHeight="1" x14ac:dyDescent="0.2"/>
    <row r="2504" ht="12.75" customHeight="1" x14ac:dyDescent="0.2"/>
    <row r="2505" ht="12.75" customHeight="1" x14ac:dyDescent="0.2"/>
    <row r="2506" ht="12.75" customHeight="1" x14ac:dyDescent="0.2"/>
    <row r="2507" ht="12.75" customHeight="1" x14ac:dyDescent="0.2"/>
    <row r="2508" ht="12.75" customHeight="1" x14ac:dyDescent="0.2"/>
    <row r="2509" ht="12.75" customHeight="1" x14ac:dyDescent="0.2"/>
    <row r="2510" ht="12.75" customHeight="1" x14ac:dyDescent="0.2"/>
    <row r="2511" ht="12.75" customHeight="1" x14ac:dyDescent="0.2"/>
    <row r="2512" ht="12.75" customHeight="1" x14ac:dyDescent="0.2"/>
    <row r="2513" ht="12.75" customHeight="1" x14ac:dyDescent="0.2"/>
    <row r="2514" ht="12.75" customHeight="1" x14ac:dyDescent="0.2"/>
    <row r="2515" ht="12.75" customHeight="1" x14ac:dyDescent="0.2"/>
    <row r="2516" ht="12.75" customHeight="1" x14ac:dyDescent="0.2"/>
    <row r="2517" ht="12.75" customHeight="1" x14ac:dyDescent="0.2"/>
    <row r="2518" ht="12.75" customHeight="1" x14ac:dyDescent="0.2"/>
    <row r="2519" ht="12.75" customHeight="1" x14ac:dyDescent="0.2"/>
    <row r="2520" ht="12.75" customHeight="1" x14ac:dyDescent="0.2"/>
    <row r="2521" ht="12.75" customHeight="1" x14ac:dyDescent="0.2"/>
    <row r="2522" ht="12.75" customHeight="1" x14ac:dyDescent="0.2"/>
    <row r="2523" ht="12.75" customHeight="1" x14ac:dyDescent="0.2"/>
    <row r="2524" ht="12.75" customHeight="1" x14ac:dyDescent="0.2"/>
    <row r="2525" ht="12.75" customHeight="1" x14ac:dyDescent="0.2"/>
    <row r="2526" ht="12.75" customHeight="1" x14ac:dyDescent="0.2"/>
    <row r="2527" ht="12.75" customHeight="1" x14ac:dyDescent="0.2"/>
    <row r="2528" ht="12.75" customHeight="1" x14ac:dyDescent="0.2"/>
    <row r="2529" ht="12.75" customHeight="1" x14ac:dyDescent="0.2"/>
    <row r="2530" ht="12.75" customHeight="1" x14ac:dyDescent="0.2"/>
    <row r="2531" ht="12.75" customHeight="1" x14ac:dyDescent="0.2"/>
    <row r="2532" ht="12.75" customHeight="1" x14ac:dyDescent="0.2"/>
    <row r="2533" ht="12.75" customHeight="1" x14ac:dyDescent="0.2"/>
    <row r="2534" ht="12.75" customHeight="1" x14ac:dyDescent="0.2"/>
    <row r="2535" ht="12.75" customHeight="1" x14ac:dyDescent="0.2"/>
    <row r="2536" ht="12.75" customHeight="1" x14ac:dyDescent="0.2"/>
    <row r="2537" ht="12.75" customHeight="1" x14ac:dyDescent="0.2"/>
    <row r="2538" ht="12.75" customHeight="1" x14ac:dyDescent="0.2"/>
    <row r="2539" ht="12.75" customHeight="1" x14ac:dyDescent="0.2"/>
    <row r="2540" ht="12.75" customHeight="1" x14ac:dyDescent="0.2"/>
    <row r="2541" ht="12.75" customHeight="1" x14ac:dyDescent="0.2"/>
    <row r="2542" ht="12.75" customHeight="1" x14ac:dyDescent="0.2"/>
    <row r="2543" ht="12.75" customHeight="1" x14ac:dyDescent="0.2"/>
    <row r="2544" ht="12.75" customHeight="1" x14ac:dyDescent="0.2"/>
    <row r="2545" ht="12.75" customHeight="1" x14ac:dyDescent="0.2"/>
    <row r="2546" ht="12.75" customHeight="1" x14ac:dyDescent="0.2"/>
    <row r="2547" ht="12.75" customHeight="1" x14ac:dyDescent="0.2"/>
    <row r="2548" ht="12.75" customHeight="1" x14ac:dyDescent="0.2"/>
    <row r="2549" ht="12.75" customHeight="1" x14ac:dyDescent="0.2"/>
    <row r="2550" ht="12.75" customHeight="1" x14ac:dyDescent="0.2"/>
    <row r="2551" ht="12.75" customHeight="1" x14ac:dyDescent="0.2"/>
    <row r="2552" ht="12.75" customHeight="1" x14ac:dyDescent="0.2"/>
    <row r="2553" ht="12.75" customHeight="1" x14ac:dyDescent="0.2"/>
    <row r="2554" ht="12.75" customHeight="1" x14ac:dyDescent="0.2"/>
    <row r="2555" ht="12.75" customHeight="1" x14ac:dyDescent="0.2"/>
    <row r="2556" ht="12.75" customHeight="1" x14ac:dyDescent="0.2"/>
    <row r="2557" ht="12.75" customHeight="1" x14ac:dyDescent="0.2"/>
    <row r="2558" ht="12.75" customHeight="1" x14ac:dyDescent="0.2"/>
    <row r="2559" ht="12.75" customHeight="1" x14ac:dyDescent="0.2"/>
    <row r="2560" ht="12.75" customHeight="1" x14ac:dyDescent="0.2"/>
    <row r="2561" ht="12.75" customHeight="1" x14ac:dyDescent="0.2"/>
    <row r="2562" ht="12.75" customHeight="1" x14ac:dyDescent="0.2"/>
    <row r="2563" ht="12.75" customHeight="1" x14ac:dyDescent="0.2"/>
    <row r="2564" ht="12.75" customHeight="1" x14ac:dyDescent="0.2"/>
    <row r="2565" ht="12.75" customHeight="1" x14ac:dyDescent="0.2"/>
    <row r="2566" ht="12.75" customHeight="1" x14ac:dyDescent="0.2"/>
    <row r="2567" ht="12.75" customHeight="1" x14ac:dyDescent="0.2"/>
    <row r="2568" ht="12.75" customHeight="1" x14ac:dyDescent="0.2"/>
    <row r="2569" ht="12.75" customHeight="1" x14ac:dyDescent="0.2"/>
    <row r="2570" ht="12.75" customHeight="1" x14ac:dyDescent="0.2"/>
    <row r="2571" ht="12.75" customHeight="1" x14ac:dyDescent="0.2"/>
    <row r="2572" ht="12.75" customHeight="1" x14ac:dyDescent="0.2"/>
    <row r="2573" ht="12.75" customHeight="1" x14ac:dyDescent="0.2"/>
    <row r="2574" ht="12.75" customHeight="1" x14ac:dyDescent="0.2"/>
    <row r="2575" ht="12.75" customHeight="1" x14ac:dyDescent="0.2"/>
    <row r="2576" ht="12.75" customHeight="1" x14ac:dyDescent="0.2"/>
    <row r="2577" ht="12.75" customHeight="1" x14ac:dyDescent="0.2"/>
    <row r="2578" ht="12.75" customHeight="1" x14ac:dyDescent="0.2"/>
    <row r="2579" ht="12.75" customHeight="1" x14ac:dyDescent="0.2"/>
    <row r="2580" ht="12.75" customHeight="1" x14ac:dyDescent="0.2"/>
    <row r="2581" ht="12.75" customHeight="1" x14ac:dyDescent="0.2"/>
    <row r="2582" ht="12.75" customHeight="1" x14ac:dyDescent="0.2"/>
    <row r="2583" ht="12.75" customHeight="1" x14ac:dyDescent="0.2"/>
    <row r="2584" ht="12.75" customHeight="1" x14ac:dyDescent="0.2"/>
    <row r="2585" ht="12.75" customHeight="1" x14ac:dyDescent="0.2"/>
    <row r="2586" ht="12.75" customHeight="1" x14ac:dyDescent="0.2"/>
    <row r="2587" ht="12.75" customHeight="1" x14ac:dyDescent="0.2"/>
    <row r="2588" ht="12.75" customHeight="1" x14ac:dyDescent="0.2"/>
    <row r="2589" ht="12.75" customHeight="1" x14ac:dyDescent="0.2"/>
    <row r="2590" ht="12.75" customHeight="1" x14ac:dyDescent="0.2"/>
    <row r="2591" ht="12.75" customHeight="1" x14ac:dyDescent="0.2"/>
    <row r="2592" ht="12.75" customHeight="1" x14ac:dyDescent="0.2"/>
    <row r="2593" ht="12.75" customHeight="1" x14ac:dyDescent="0.2"/>
    <row r="2594" ht="12.75" customHeight="1" x14ac:dyDescent="0.2"/>
    <row r="2595" ht="12.75" customHeight="1" x14ac:dyDescent="0.2"/>
    <row r="2596" ht="12.75" customHeight="1" x14ac:dyDescent="0.2"/>
    <row r="2597" ht="12.75" customHeight="1" x14ac:dyDescent="0.2"/>
    <row r="2598" ht="12.75" customHeight="1" x14ac:dyDescent="0.2"/>
    <row r="2599" ht="12.75" customHeight="1" x14ac:dyDescent="0.2"/>
    <row r="2600" ht="12.75" customHeight="1" x14ac:dyDescent="0.2"/>
    <row r="2601" ht="12.75" customHeight="1" x14ac:dyDescent="0.2"/>
    <row r="2602" ht="12.75" customHeight="1" x14ac:dyDescent="0.2"/>
    <row r="2603" ht="12.75" customHeight="1" x14ac:dyDescent="0.2"/>
    <row r="2604" ht="12.75" customHeight="1" x14ac:dyDescent="0.2"/>
    <row r="2605" ht="12.75" customHeight="1" x14ac:dyDescent="0.2"/>
    <row r="2606" ht="12.75" customHeight="1" x14ac:dyDescent="0.2"/>
    <row r="2607" ht="12.75" customHeight="1" x14ac:dyDescent="0.2"/>
    <row r="2608" ht="12.75" customHeight="1" x14ac:dyDescent="0.2"/>
    <row r="2609" ht="12.75" customHeight="1" x14ac:dyDescent="0.2"/>
    <row r="2610" ht="12.75" customHeight="1" x14ac:dyDescent="0.2"/>
    <row r="2611" ht="12.75" customHeight="1" x14ac:dyDescent="0.2"/>
    <row r="2612" ht="12.75" customHeight="1" x14ac:dyDescent="0.2"/>
    <row r="2613" ht="12.75" customHeight="1" x14ac:dyDescent="0.2"/>
    <row r="2614" ht="12.75" customHeight="1" x14ac:dyDescent="0.2"/>
    <row r="2615" ht="12.75" customHeight="1" x14ac:dyDescent="0.2"/>
    <row r="2616" ht="12.75" customHeight="1" x14ac:dyDescent="0.2"/>
    <row r="2617" ht="12.75" customHeight="1" x14ac:dyDescent="0.2"/>
    <row r="2618" ht="12.75" customHeight="1" x14ac:dyDescent="0.2"/>
    <row r="2619" ht="12.75" customHeight="1" x14ac:dyDescent="0.2"/>
    <row r="2620" ht="12.75" customHeight="1" x14ac:dyDescent="0.2"/>
    <row r="2621" ht="12.75" customHeight="1" x14ac:dyDescent="0.2"/>
    <row r="2622" ht="12.75" customHeight="1" x14ac:dyDescent="0.2"/>
    <row r="2623" ht="12.75" customHeight="1" x14ac:dyDescent="0.2"/>
    <row r="2624" ht="12.75" customHeight="1" x14ac:dyDescent="0.2"/>
    <row r="2625" ht="12.75" customHeight="1" x14ac:dyDescent="0.2"/>
    <row r="2626" ht="12.75" customHeight="1" x14ac:dyDescent="0.2"/>
    <row r="2627" ht="12.75" customHeight="1" x14ac:dyDescent="0.2"/>
    <row r="2628" ht="12.75" customHeight="1" x14ac:dyDescent="0.2"/>
    <row r="2629" ht="12.75" customHeight="1" x14ac:dyDescent="0.2"/>
    <row r="2630" ht="12.75" customHeight="1" x14ac:dyDescent="0.2"/>
    <row r="2631" ht="12.75" customHeight="1" x14ac:dyDescent="0.2"/>
    <row r="2632" ht="12.75" customHeight="1" x14ac:dyDescent="0.2"/>
    <row r="2633" ht="12.75" customHeight="1" x14ac:dyDescent="0.2"/>
    <row r="2634" ht="12.75" customHeight="1" x14ac:dyDescent="0.2"/>
    <row r="2635" ht="12.75" customHeight="1" x14ac:dyDescent="0.2"/>
    <row r="2636" ht="12.75" customHeight="1" x14ac:dyDescent="0.2"/>
    <row r="2637" ht="12.75" customHeight="1" x14ac:dyDescent="0.2"/>
    <row r="2638" ht="12.75" customHeight="1" x14ac:dyDescent="0.2"/>
    <row r="2639" ht="12.75" customHeight="1" x14ac:dyDescent="0.2"/>
    <row r="2640" ht="12.75" customHeight="1" x14ac:dyDescent="0.2"/>
    <row r="2641" ht="12.75" customHeight="1" x14ac:dyDescent="0.2"/>
    <row r="2642" ht="12.75" customHeight="1" x14ac:dyDescent="0.2"/>
    <row r="2643" ht="12.75" customHeight="1" x14ac:dyDescent="0.2"/>
    <row r="2644" ht="12.75" customHeight="1" x14ac:dyDescent="0.2"/>
    <row r="2645" ht="12.75" customHeight="1" x14ac:dyDescent="0.2"/>
    <row r="2646" ht="12.75" customHeight="1" x14ac:dyDescent="0.2"/>
    <row r="2647" ht="12.75" customHeight="1" x14ac:dyDescent="0.2"/>
    <row r="2648" ht="12.75" customHeight="1" x14ac:dyDescent="0.2"/>
    <row r="2649" ht="12.75" customHeight="1" x14ac:dyDescent="0.2"/>
    <row r="2650" ht="12.75" customHeight="1" x14ac:dyDescent="0.2"/>
    <row r="2651" ht="12.75" customHeight="1" x14ac:dyDescent="0.2"/>
    <row r="2652" ht="12.75" customHeight="1" x14ac:dyDescent="0.2"/>
    <row r="2653" ht="12.75" customHeight="1" x14ac:dyDescent="0.2"/>
    <row r="2654" ht="12.75" customHeight="1" x14ac:dyDescent="0.2"/>
    <row r="2655" ht="12.75" customHeight="1" x14ac:dyDescent="0.2"/>
    <row r="2656" ht="12.75" customHeight="1" x14ac:dyDescent="0.2"/>
    <row r="2657" ht="12.75" customHeight="1" x14ac:dyDescent="0.2"/>
    <row r="2658" ht="12.75" customHeight="1" x14ac:dyDescent="0.2"/>
    <row r="2659" ht="12.75" customHeight="1" x14ac:dyDescent="0.2"/>
    <row r="2660" ht="12.75" customHeight="1" x14ac:dyDescent="0.2"/>
    <row r="2661" ht="12.75" customHeight="1" x14ac:dyDescent="0.2"/>
    <row r="2662" ht="12.75" customHeight="1" x14ac:dyDescent="0.2"/>
    <row r="2663" ht="12.75" customHeight="1" x14ac:dyDescent="0.2"/>
    <row r="2664" ht="12.75" customHeight="1" x14ac:dyDescent="0.2"/>
    <row r="2665" ht="12.75" customHeight="1" x14ac:dyDescent="0.2"/>
    <row r="2666" ht="12.75" customHeight="1" x14ac:dyDescent="0.2"/>
    <row r="2667" ht="12.75" customHeight="1" x14ac:dyDescent="0.2"/>
    <row r="2668" ht="12.75" customHeight="1" x14ac:dyDescent="0.2"/>
    <row r="2669" ht="12.75" customHeight="1" x14ac:dyDescent="0.2"/>
    <row r="2670" ht="12.75" customHeight="1" x14ac:dyDescent="0.2"/>
    <row r="2671" ht="12.75" customHeight="1" x14ac:dyDescent="0.2"/>
    <row r="2672" ht="12.75" customHeight="1" x14ac:dyDescent="0.2"/>
    <row r="2673" ht="12.75" customHeight="1" x14ac:dyDescent="0.2"/>
    <row r="2674" ht="12.75" customHeight="1" x14ac:dyDescent="0.2"/>
    <row r="2675" ht="12.75" customHeight="1" x14ac:dyDescent="0.2"/>
    <row r="2676" ht="12.75" customHeight="1" x14ac:dyDescent="0.2"/>
    <row r="2677" ht="12.75" customHeight="1" x14ac:dyDescent="0.2"/>
    <row r="2678" ht="12.75" customHeight="1" x14ac:dyDescent="0.2"/>
    <row r="2679" ht="12.75" customHeight="1" x14ac:dyDescent="0.2"/>
    <row r="2680" ht="12.75" customHeight="1" x14ac:dyDescent="0.2"/>
    <row r="2681" ht="12.75" customHeight="1" x14ac:dyDescent="0.2"/>
    <row r="2682" ht="12.75" customHeight="1" x14ac:dyDescent="0.2"/>
    <row r="2683" ht="12.75" customHeight="1" x14ac:dyDescent="0.2"/>
    <row r="2684" ht="12.75" customHeight="1" x14ac:dyDescent="0.2"/>
    <row r="2685" ht="12.75" customHeight="1" x14ac:dyDescent="0.2"/>
    <row r="2686" ht="12.75" customHeight="1" x14ac:dyDescent="0.2"/>
    <row r="2687" ht="12.75" customHeight="1" x14ac:dyDescent="0.2"/>
    <row r="2688" ht="12.75" customHeight="1" x14ac:dyDescent="0.2"/>
    <row r="2689" ht="12.75" customHeight="1" x14ac:dyDescent="0.2"/>
    <row r="2690" ht="12.75" customHeight="1" x14ac:dyDescent="0.2"/>
    <row r="2691" ht="12.75" customHeight="1" x14ac:dyDescent="0.2"/>
    <row r="2692" ht="12.75" customHeight="1" x14ac:dyDescent="0.2"/>
    <row r="2693" ht="12.75" customHeight="1" x14ac:dyDescent="0.2"/>
    <row r="2694" ht="12.75" customHeight="1" x14ac:dyDescent="0.2"/>
    <row r="2695" ht="12.75" customHeight="1" x14ac:dyDescent="0.2"/>
    <row r="2696" ht="12.75" customHeight="1" x14ac:dyDescent="0.2"/>
    <row r="2697" ht="12.75" customHeight="1" x14ac:dyDescent="0.2"/>
    <row r="2698" ht="12.75" customHeight="1" x14ac:dyDescent="0.2"/>
    <row r="2699" ht="12.75" customHeight="1" x14ac:dyDescent="0.2"/>
    <row r="2700" ht="12.75" customHeight="1" x14ac:dyDescent="0.2"/>
    <row r="2701" ht="12.75" customHeight="1" x14ac:dyDescent="0.2"/>
    <row r="2702" ht="12.75" customHeight="1" x14ac:dyDescent="0.2"/>
    <row r="2703" ht="12.75" customHeight="1" x14ac:dyDescent="0.2"/>
    <row r="2704" ht="12.75" customHeight="1" x14ac:dyDescent="0.2"/>
    <row r="2705" ht="12.75" customHeight="1" x14ac:dyDescent="0.2"/>
    <row r="2706" ht="12.75" customHeight="1" x14ac:dyDescent="0.2"/>
    <row r="2707" ht="12.75" customHeight="1" x14ac:dyDescent="0.2"/>
    <row r="2708" ht="12.75" customHeight="1" x14ac:dyDescent="0.2"/>
    <row r="2709" ht="12.75" customHeight="1" x14ac:dyDescent="0.2"/>
    <row r="2710" ht="12.75" customHeight="1" x14ac:dyDescent="0.2"/>
    <row r="2711" ht="12.75" customHeight="1" x14ac:dyDescent="0.2"/>
    <row r="2712" ht="12.75" customHeight="1" x14ac:dyDescent="0.2"/>
    <row r="2713" ht="12.75" customHeight="1" x14ac:dyDescent="0.2"/>
    <row r="2714" ht="12.75" customHeight="1" x14ac:dyDescent="0.2"/>
    <row r="2715" ht="12.75" customHeight="1" x14ac:dyDescent="0.2"/>
    <row r="2716" ht="12.75" customHeight="1" x14ac:dyDescent="0.2"/>
    <row r="2717" ht="12.75" customHeight="1" x14ac:dyDescent="0.2"/>
    <row r="2718" ht="12.75" customHeight="1" x14ac:dyDescent="0.2"/>
    <row r="2719" ht="12.75" customHeight="1" x14ac:dyDescent="0.2"/>
    <row r="2720" ht="12.75" customHeight="1" x14ac:dyDescent="0.2"/>
    <row r="2721" ht="12.75" customHeight="1" x14ac:dyDescent="0.2"/>
    <row r="2722" ht="12.75" customHeight="1" x14ac:dyDescent="0.2"/>
    <row r="2723" ht="12.75" customHeight="1" x14ac:dyDescent="0.2"/>
    <row r="2724" ht="12.75" customHeight="1" x14ac:dyDescent="0.2"/>
    <row r="2725" ht="12.75" customHeight="1" x14ac:dyDescent="0.2"/>
    <row r="2726" ht="12.75" customHeight="1" x14ac:dyDescent="0.2"/>
    <row r="2727" ht="12.75" customHeight="1" x14ac:dyDescent="0.2"/>
    <row r="2728" ht="12.75" customHeight="1" x14ac:dyDescent="0.2"/>
    <row r="2729" ht="12.75" customHeight="1" x14ac:dyDescent="0.2"/>
    <row r="2730" ht="12.75" customHeight="1" x14ac:dyDescent="0.2"/>
    <row r="2731" ht="12.75" customHeight="1" x14ac:dyDescent="0.2"/>
    <row r="2732" ht="12.75" customHeight="1" x14ac:dyDescent="0.2"/>
    <row r="2733" ht="12.75" customHeight="1" x14ac:dyDescent="0.2"/>
    <row r="2734" ht="12.75" customHeight="1" x14ac:dyDescent="0.2"/>
    <row r="2735" ht="12.75" customHeight="1" x14ac:dyDescent="0.2"/>
    <row r="2736" ht="12.75" customHeight="1" x14ac:dyDescent="0.2"/>
    <row r="2737" ht="12.75" customHeight="1" x14ac:dyDescent="0.2"/>
    <row r="2738" ht="12.75" customHeight="1" x14ac:dyDescent="0.2"/>
    <row r="2739" ht="12.75" customHeight="1" x14ac:dyDescent="0.2"/>
    <row r="2740" ht="12.75" customHeight="1" x14ac:dyDescent="0.2"/>
    <row r="2741" ht="12.75" customHeight="1" x14ac:dyDescent="0.2"/>
    <row r="2742" ht="12.75" customHeight="1" x14ac:dyDescent="0.2"/>
    <row r="2743" ht="12.75" customHeight="1" x14ac:dyDescent="0.2"/>
    <row r="2744" ht="12.75" customHeight="1" x14ac:dyDescent="0.2"/>
    <row r="2745" ht="12.75" customHeight="1" x14ac:dyDescent="0.2"/>
    <row r="2746" ht="12.75" customHeight="1" x14ac:dyDescent="0.2"/>
    <row r="2747" ht="12.75" customHeight="1" x14ac:dyDescent="0.2"/>
    <row r="2748" ht="12.75" customHeight="1" x14ac:dyDescent="0.2"/>
    <row r="2749" ht="12.75" customHeight="1" x14ac:dyDescent="0.2"/>
    <row r="2750" ht="12.75" customHeight="1" x14ac:dyDescent="0.2"/>
    <row r="2751" ht="12.75" customHeight="1" x14ac:dyDescent="0.2"/>
    <row r="2752" ht="12.75" customHeight="1" x14ac:dyDescent="0.2"/>
    <row r="2753" ht="12.75" customHeight="1" x14ac:dyDescent="0.2"/>
    <row r="2754" ht="12.75" customHeight="1" x14ac:dyDescent="0.2"/>
    <row r="2755" ht="12.75" customHeight="1" x14ac:dyDescent="0.2"/>
    <row r="2756" ht="12.75" customHeight="1" x14ac:dyDescent="0.2"/>
    <row r="2757" ht="12.75" customHeight="1" x14ac:dyDescent="0.2"/>
    <row r="2758" ht="12.75" customHeight="1" x14ac:dyDescent="0.2"/>
    <row r="2759" ht="12.75" customHeight="1" x14ac:dyDescent="0.2"/>
    <row r="2760" ht="12.75" customHeight="1" x14ac:dyDescent="0.2"/>
    <row r="2761" ht="12.75" customHeight="1" x14ac:dyDescent="0.2"/>
    <row r="2762" ht="12.75" customHeight="1" x14ac:dyDescent="0.2"/>
    <row r="2763" ht="12.75" customHeight="1" x14ac:dyDescent="0.2"/>
    <row r="2764" ht="12.75" customHeight="1" x14ac:dyDescent="0.2"/>
    <row r="2765" ht="12.75" customHeight="1" x14ac:dyDescent="0.2"/>
    <row r="2766" ht="12.75" customHeight="1" x14ac:dyDescent="0.2"/>
    <row r="2767" ht="12.75" customHeight="1" x14ac:dyDescent="0.2"/>
    <row r="2768" ht="12.75" customHeight="1" x14ac:dyDescent="0.2"/>
    <row r="2769" ht="12.75" customHeight="1" x14ac:dyDescent="0.2"/>
    <row r="2770" ht="12.75" customHeight="1" x14ac:dyDescent="0.2"/>
    <row r="2771" ht="12.75" customHeight="1" x14ac:dyDescent="0.2"/>
    <row r="2772" ht="12.75" customHeight="1" x14ac:dyDescent="0.2"/>
    <row r="2773" ht="12.75" customHeight="1" x14ac:dyDescent="0.2"/>
    <row r="2774" ht="12.75" customHeight="1" x14ac:dyDescent="0.2"/>
    <row r="2775" ht="12.75" customHeight="1" x14ac:dyDescent="0.2"/>
    <row r="2776" ht="12.75" customHeight="1" x14ac:dyDescent="0.2"/>
    <row r="2777" ht="12.75" customHeight="1" x14ac:dyDescent="0.2"/>
    <row r="2778" ht="12.75" customHeight="1" x14ac:dyDescent="0.2"/>
    <row r="2779" ht="12.75" customHeight="1" x14ac:dyDescent="0.2"/>
    <row r="2780" ht="12.75" customHeight="1" x14ac:dyDescent="0.2"/>
    <row r="2781" ht="12.75" customHeight="1" x14ac:dyDescent="0.2"/>
    <row r="2782" ht="12.75" customHeight="1" x14ac:dyDescent="0.2"/>
    <row r="2783" ht="12.75" customHeight="1" x14ac:dyDescent="0.2"/>
    <row r="2784" ht="12.75" customHeight="1" x14ac:dyDescent="0.2"/>
    <row r="2785" ht="12.75" customHeight="1" x14ac:dyDescent="0.2"/>
    <row r="2786" ht="12.75" customHeight="1" x14ac:dyDescent="0.2"/>
    <row r="2787" ht="12.75" customHeight="1" x14ac:dyDescent="0.2"/>
    <row r="2788" ht="12.75" customHeight="1" x14ac:dyDescent="0.2"/>
    <row r="2789" ht="12.75" customHeight="1" x14ac:dyDescent="0.2"/>
    <row r="2790" ht="12.75" customHeight="1" x14ac:dyDescent="0.2"/>
    <row r="2791" ht="12.75" customHeight="1" x14ac:dyDescent="0.2"/>
    <row r="2792" ht="12.75" customHeight="1" x14ac:dyDescent="0.2"/>
    <row r="2793" ht="12.75" customHeight="1" x14ac:dyDescent="0.2"/>
    <row r="2794" ht="12.75" customHeight="1" x14ac:dyDescent="0.2"/>
    <row r="2795" ht="12.75" customHeight="1" x14ac:dyDescent="0.2"/>
    <row r="2796" ht="12.75" customHeight="1" x14ac:dyDescent="0.2"/>
    <row r="2797" ht="12.75" customHeight="1" x14ac:dyDescent="0.2"/>
    <row r="2798" ht="12.75" customHeight="1" x14ac:dyDescent="0.2"/>
    <row r="2799" ht="12.75" customHeight="1" x14ac:dyDescent="0.2"/>
    <row r="2800" ht="12.75" customHeight="1" x14ac:dyDescent="0.2"/>
    <row r="2801" ht="12.75" customHeight="1" x14ac:dyDescent="0.2"/>
    <row r="2802" ht="12.75" customHeight="1" x14ac:dyDescent="0.2"/>
    <row r="2803" ht="12.75" customHeight="1" x14ac:dyDescent="0.2"/>
    <row r="2804" ht="12.75" customHeight="1" x14ac:dyDescent="0.2"/>
    <row r="2805" ht="12.75" customHeight="1" x14ac:dyDescent="0.2"/>
    <row r="2806" ht="12.75" customHeight="1" x14ac:dyDescent="0.2"/>
    <row r="2807" ht="12.75" customHeight="1" x14ac:dyDescent="0.2"/>
    <row r="2808" ht="12.75" customHeight="1" x14ac:dyDescent="0.2"/>
    <row r="2809" ht="12.75" customHeight="1" x14ac:dyDescent="0.2"/>
    <row r="2810" ht="12.75" customHeight="1" x14ac:dyDescent="0.2"/>
    <row r="2811" ht="12.75" customHeight="1" x14ac:dyDescent="0.2"/>
    <row r="2812" ht="12.75" customHeight="1" x14ac:dyDescent="0.2"/>
    <row r="2813" ht="12.75" customHeight="1" x14ac:dyDescent="0.2"/>
    <row r="2814" ht="12.75" customHeight="1" x14ac:dyDescent="0.2"/>
    <row r="2815" ht="12.75" customHeight="1" x14ac:dyDescent="0.2"/>
    <row r="2816" ht="12.75" customHeight="1" x14ac:dyDescent="0.2"/>
    <row r="2817" ht="12.75" customHeight="1" x14ac:dyDescent="0.2"/>
    <row r="2818" ht="12.75" customHeight="1" x14ac:dyDescent="0.2"/>
    <row r="2819" ht="12.75" customHeight="1" x14ac:dyDescent="0.2"/>
    <row r="2820" ht="12.75" customHeight="1" x14ac:dyDescent="0.2"/>
    <row r="2821" ht="12.75" customHeight="1" x14ac:dyDescent="0.2"/>
    <row r="2822" ht="12.75" customHeight="1" x14ac:dyDescent="0.2"/>
    <row r="2823" ht="12.75" customHeight="1" x14ac:dyDescent="0.2"/>
    <row r="2824" ht="12.75" customHeight="1" x14ac:dyDescent="0.2"/>
    <row r="2825" ht="12.75" customHeight="1" x14ac:dyDescent="0.2"/>
    <row r="2826" ht="12.75" customHeight="1" x14ac:dyDescent="0.2"/>
    <row r="2827" ht="12.75" customHeight="1" x14ac:dyDescent="0.2"/>
    <row r="2828" ht="12.75" customHeight="1" x14ac:dyDescent="0.2"/>
    <row r="2829" ht="12.75" customHeight="1" x14ac:dyDescent="0.2"/>
    <row r="2830" ht="12.75" customHeight="1" x14ac:dyDescent="0.2"/>
    <row r="2831" ht="12.75" customHeight="1" x14ac:dyDescent="0.2"/>
    <row r="2832" ht="12.75" customHeight="1" x14ac:dyDescent="0.2"/>
    <row r="2833" ht="12.75" customHeight="1" x14ac:dyDescent="0.2"/>
    <row r="2834" ht="12.75" customHeight="1" x14ac:dyDescent="0.2"/>
    <row r="2835" ht="12.75" customHeight="1" x14ac:dyDescent="0.2"/>
    <row r="2836" ht="12.75" customHeight="1" x14ac:dyDescent="0.2"/>
    <row r="2837" ht="12.75" customHeight="1" x14ac:dyDescent="0.2"/>
    <row r="2838" ht="12.75" customHeight="1" x14ac:dyDescent="0.2"/>
    <row r="2839" ht="12.75" customHeight="1" x14ac:dyDescent="0.2"/>
    <row r="2840" ht="12.75" customHeight="1" x14ac:dyDescent="0.2"/>
    <row r="2841" ht="12.75" customHeight="1" x14ac:dyDescent="0.2"/>
    <row r="2842" ht="12.75" customHeight="1" x14ac:dyDescent="0.2"/>
    <row r="2843" ht="12.75" customHeight="1" x14ac:dyDescent="0.2"/>
    <row r="2844" ht="12.75" customHeight="1" x14ac:dyDescent="0.2"/>
    <row r="2845" ht="12.75" customHeight="1" x14ac:dyDescent="0.2"/>
    <row r="2846" ht="12.75" customHeight="1" x14ac:dyDescent="0.2"/>
    <row r="2847" ht="12.75" customHeight="1" x14ac:dyDescent="0.2"/>
    <row r="2848" ht="12.75" customHeight="1" x14ac:dyDescent="0.2"/>
    <row r="2849" ht="12.75" customHeight="1" x14ac:dyDescent="0.2"/>
    <row r="2850" ht="12.75" customHeight="1" x14ac:dyDescent="0.2"/>
    <row r="2851" ht="12.75" customHeight="1" x14ac:dyDescent="0.2"/>
    <row r="2852" ht="12.75" customHeight="1" x14ac:dyDescent="0.2"/>
    <row r="2853" ht="12.75" customHeight="1" x14ac:dyDescent="0.2"/>
    <row r="2854" ht="12.75" customHeight="1" x14ac:dyDescent="0.2"/>
    <row r="2855" ht="12.75" customHeight="1" x14ac:dyDescent="0.2"/>
    <row r="2856" ht="12.75" customHeight="1" x14ac:dyDescent="0.2"/>
    <row r="2857" ht="12.75" customHeight="1" x14ac:dyDescent="0.2"/>
    <row r="2858" ht="12.75" customHeight="1" x14ac:dyDescent="0.2"/>
    <row r="2859" ht="12.75" customHeight="1" x14ac:dyDescent="0.2"/>
    <row r="2860" ht="12.75" customHeight="1" x14ac:dyDescent="0.2"/>
    <row r="2861" ht="12.75" customHeight="1" x14ac:dyDescent="0.2"/>
    <row r="2862" ht="12.75" customHeight="1" x14ac:dyDescent="0.2"/>
    <row r="2863" ht="12.75" customHeight="1" x14ac:dyDescent="0.2"/>
    <row r="2864" ht="12.75" customHeight="1" x14ac:dyDescent="0.2"/>
    <row r="2865" ht="12.75" customHeight="1" x14ac:dyDescent="0.2"/>
    <row r="2866" ht="12.75" customHeight="1" x14ac:dyDescent="0.2"/>
    <row r="2867" ht="12.75" customHeight="1" x14ac:dyDescent="0.2"/>
    <row r="2868" ht="12.75" customHeight="1" x14ac:dyDescent="0.2"/>
    <row r="2869" ht="12.75" customHeight="1" x14ac:dyDescent="0.2"/>
    <row r="2870" ht="12.75" customHeight="1" x14ac:dyDescent="0.2"/>
    <row r="2871" ht="12.75" customHeight="1" x14ac:dyDescent="0.2"/>
    <row r="2872" ht="12.75" customHeight="1" x14ac:dyDescent="0.2"/>
    <row r="2873" ht="12.75" customHeight="1" x14ac:dyDescent="0.2"/>
    <row r="2874" ht="12.75" customHeight="1" x14ac:dyDescent="0.2"/>
    <row r="2875" ht="12.75" customHeight="1" x14ac:dyDescent="0.2"/>
    <row r="2876" ht="12.75" customHeight="1" x14ac:dyDescent="0.2"/>
    <row r="2877" ht="12.75" customHeight="1" x14ac:dyDescent="0.2"/>
    <row r="2878" ht="12.75" customHeight="1" x14ac:dyDescent="0.2"/>
    <row r="2879" ht="12.75" customHeight="1" x14ac:dyDescent="0.2"/>
    <row r="2880" ht="12.75" customHeight="1" x14ac:dyDescent="0.2"/>
    <row r="2881" ht="12.75" customHeight="1" x14ac:dyDescent="0.2"/>
    <row r="2882" ht="12.75" customHeight="1" x14ac:dyDescent="0.2"/>
    <row r="2883" ht="12.75" customHeight="1" x14ac:dyDescent="0.2"/>
    <row r="2884" ht="12.75" customHeight="1" x14ac:dyDescent="0.2"/>
    <row r="2885" ht="12.75" customHeight="1" x14ac:dyDescent="0.2"/>
    <row r="2886" ht="12.75" customHeight="1" x14ac:dyDescent="0.2"/>
    <row r="2887" ht="12.75" customHeight="1" x14ac:dyDescent="0.2"/>
    <row r="2888" ht="12.75" customHeight="1" x14ac:dyDescent="0.2"/>
    <row r="2889" ht="12.75" customHeight="1" x14ac:dyDescent="0.2"/>
    <row r="2890" ht="12.75" customHeight="1" x14ac:dyDescent="0.2"/>
    <row r="2891" ht="12.75" customHeight="1" x14ac:dyDescent="0.2"/>
    <row r="2892" ht="12.75" customHeight="1" x14ac:dyDescent="0.2"/>
    <row r="2893" ht="12.75" customHeight="1" x14ac:dyDescent="0.2"/>
    <row r="2894" ht="12.75" customHeight="1" x14ac:dyDescent="0.2"/>
    <row r="2895" ht="12.75" customHeight="1" x14ac:dyDescent="0.2"/>
    <row r="2896" ht="12.75" customHeight="1" x14ac:dyDescent="0.2"/>
    <row r="2897" ht="12.75" customHeight="1" x14ac:dyDescent="0.2"/>
    <row r="2898" ht="12.75" customHeight="1" x14ac:dyDescent="0.2"/>
    <row r="2899" ht="12.75" customHeight="1" x14ac:dyDescent="0.2"/>
    <row r="2900" ht="12.75" customHeight="1" x14ac:dyDescent="0.2"/>
    <row r="2901" ht="12.75" customHeight="1" x14ac:dyDescent="0.2"/>
    <row r="2902" ht="12.75" customHeight="1" x14ac:dyDescent="0.2"/>
    <row r="2903" ht="12.75" customHeight="1" x14ac:dyDescent="0.2"/>
    <row r="2904" ht="12.75" customHeight="1" x14ac:dyDescent="0.2"/>
    <row r="2905" ht="12.75" customHeight="1" x14ac:dyDescent="0.2"/>
    <row r="2906" ht="12.75" customHeight="1" x14ac:dyDescent="0.2"/>
    <row r="2907" ht="12.75" customHeight="1" x14ac:dyDescent="0.2"/>
    <row r="2908" ht="12.75" customHeight="1" x14ac:dyDescent="0.2"/>
    <row r="2909" ht="12.75" customHeight="1" x14ac:dyDescent="0.2"/>
    <row r="2910" ht="12.75" customHeight="1" x14ac:dyDescent="0.2"/>
    <row r="2911" ht="12.75" customHeight="1" x14ac:dyDescent="0.2"/>
    <row r="2912" ht="12.75" customHeight="1" x14ac:dyDescent="0.2"/>
    <row r="2913" ht="12.75" customHeight="1" x14ac:dyDescent="0.2"/>
    <row r="2914" ht="12.75" customHeight="1" x14ac:dyDescent="0.2"/>
    <row r="2915" ht="12.75" customHeight="1" x14ac:dyDescent="0.2"/>
    <row r="2916" ht="12.75" customHeight="1" x14ac:dyDescent="0.2"/>
    <row r="2917" ht="12.75" customHeight="1" x14ac:dyDescent="0.2"/>
    <row r="2918" ht="12.75" customHeight="1" x14ac:dyDescent="0.2"/>
    <row r="2919" ht="12.75" customHeight="1" x14ac:dyDescent="0.2"/>
    <row r="2920" ht="12.75" customHeight="1" x14ac:dyDescent="0.2"/>
    <row r="2921" ht="12.75" customHeight="1" x14ac:dyDescent="0.2"/>
    <row r="2922" ht="12.75" customHeight="1" x14ac:dyDescent="0.2"/>
    <row r="2923" ht="12.75" customHeight="1" x14ac:dyDescent="0.2"/>
    <row r="2924" ht="12.75" customHeight="1" x14ac:dyDescent="0.2"/>
    <row r="2925" ht="12.75" customHeight="1" x14ac:dyDescent="0.2"/>
    <row r="2926" ht="12.75" customHeight="1" x14ac:dyDescent="0.2"/>
    <row r="2927" ht="12.75" customHeight="1" x14ac:dyDescent="0.2"/>
    <row r="2928" ht="12.75" customHeight="1" x14ac:dyDescent="0.2"/>
    <row r="2929" ht="12.75" customHeight="1" x14ac:dyDescent="0.2"/>
    <row r="2930" ht="12.75" customHeight="1" x14ac:dyDescent="0.2"/>
    <row r="2931" ht="12.75" customHeight="1" x14ac:dyDescent="0.2"/>
    <row r="2932" ht="12.75" customHeight="1" x14ac:dyDescent="0.2"/>
    <row r="2933" ht="12.75" customHeight="1" x14ac:dyDescent="0.2"/>
    <row r="2934" ht="12.75" customHeight="1" x14ac:dyDescent="0.2"/>
    <row r="2935" ht="12.75" customHeight="1" x14ac:dyDescent="0.2"/>
    <row r="2936" ht="12.75" customHeight="1" x14ac:dyDescent="0.2"/>
    <row r="2937" ht="12.75" customHeight="1" x14ac:dyDescent="0.2"/>
    <row r="2938" ht="12.75" customHeight="1" x14ac:dyDescent="0.2"/>
    <row r="2939" ht="12.75" customHeight="1" x14ac:dyDescent="0.2"/>
    <row r="2940" ht="12.75" customHeight="1" x14ac:dyDescent="0.2"/>
    <row r="2941" ht="12.75" customHeight="1" x14ac:dyDescent="0.2"/>
    <row r="2942" ht="12.75" customHeight="1" x14ac:dyDescent="0.2"/>
    <row r="2943" ht="12.75" customHeight="1" x14ac:dyDescent="0.2"/>
    <row r="2944" ht="12.75" customHeight="1" x14ac:dyDescent="0.2"/>
    <row r="2945" ht="12.75" customHeight="1" x14ac:dyDescent="0.2"/>
    <row r="2946" ht="12.75" customHeight="1" x14ac:dyDescent="0.2"/>
    <row r="2947" ht="12.75" customHeight="1" x14ac:dyDescent="0.2"/>
    <row r="2948" ht="12.75" customHeight="1" x14ac:dyDescent="0.2"/>
    <row r="2949" ht="12.75" customHeight="1" x14ac:dyDescent="0.2"/>
    <row r="2950" ht="12.75" customHeight="1" x14ac:dyDescent="0.2"/>
    <row r="2951" ht="12.75" customHeight="1" x14ac:dyDescent="0.2"/>
    <row r="2952" ht="12.75" customHeight="1" x14ac:dyDescent="0.2"/>
    <row r="2953" ht="12.75" customHeight="1" x14ac:dyDescent="0.2"/>
    <row r="2954" ht="12.75" customHeight="1" x14ac:dyDescent="0.2"/>
    <row r="2955" ht="12.75" customHeight="1" x14ac:dyDescent="0.2"/>
    <row r="2956" ht="12.75" customHeight="1" x14ac:dyDescent="0.2"/>
    <row r="2957" ht="12.75" customHeight="1" x14ac:dyDescent="0.2"/>
    <row r="2958" ht="12.75" customHeight="1" x14ac:dyDescent="0.2"/>
    <row r="2959" ht="12.75" customHeight="1" x14ac:dyDescent="0.2"/>
    <row r="2960" ht="12.75" customHeight="1" x14ac:dyDescent="0.2"/>
    <row r="2961" ht="12.75" customHeight="1" x14ac:dyDescent="0.2"/>
    <row r="2962" ht="12.75" customHeight="1" x14ac:dyDescent="0.2"/>
    <row r="2963" ht="12.75" customHeight="1" x14ac:dyDescent="0.2"/>
    <row r="2964" ht="12.75" customHeight="1" x14ac:dyDescent="0.2"/>
    <row r="2965" ht="12.75" customHeight="1" x14ac:dyDescent="0.2"/>
    <row r="2966" ht="12.75" customHeight="1" x14ac:dyDescent="0.2"/>
    <row r="2967" ht="12.75" customHeight="1" x14ac:dyDescent="0.2"/>
    <row r="2968" ht="12.75" customHeight="1" x14ac:dyDescent="0.2"/>
    <row r="2969" ht="12.75" customHeight="1" x14ac:dyDescent="0.2"/>
    <row r="2970" ht="12.75" customHeight="1" x14ac:dyDescent="0.2"/>
    <row r="2971" ht="12.75" customHeight="1" x14ac:dyDescent="0.2"/>
    <row r="2972" ht="12.75" customHeight="1" x14ac:dyDescent="0.2"/>
    <row r="2973" ht="12.75" customHeight="1" x14ac:dyDescent="0.2"/>
    <row r="2974" ht="12.75" customHeight="1" x14ac:dyDescent="0.2"/>
    <row r="2975" ht="12.75" customHeight="1" x14ac:dyDescent="0.2"/>
    <row r="2976" ht="12.75" customHeight="1" x14ac:dyDescent="0.2"/>
    <row r="2977" ht="12.75" customHeight="1" x14ac:dyDescent="0.2"/>
    <row r="2978" ht="12.75" customHeight="1" x14ac:dyDescent="0.2"/>
    <row r="2979" ht="12.75" customHeight="1" x14ac:dyDescent="0.2"/>
    <row r="2980" ht="12.75" customHeight="1" x14ac:dyDescent="0.2"/>
    <row r="2981" ht="12.75" customHeight="1" x14ac:dyDescent="0.2"/>
    <row r="2982" ht="12.75" customHeight="1" x14ac:dyDescent="0.2"/>
    <row r="2983" ht="12.75" customHeight="1" x14ac:dyDescent="0.2"/>
    <row r="2984" ht="12.75" customHeight="1" x14ac:dyDescent="0.2"/>
    <row r="2985" ht="12.75" customHeight="1" x14ac:dyDescent="0.2"/>
    <row r="2986" ht="12.75" customHeight="1" x14ac:dyDescent="0.2"/>
    <row r="2987" ht="12.75" customHeight="1" x14ac:dyDescent="0.2"/>
    <row r="2988" ht="12.75" customHeight="1" x14ac:dyDescent="0.2"/>
    <row r="2989" ht="12.75" customHeight="1" x14ac:dyDescent="0.2"/>
    <row r="2990" ht="12.75" customHeight="1" x14ac:dyDescent="0.2"/>
    <row r="2991" ht="12.75" customHeight="1" x14ac:dyDescent="0.2"/>
    <row r="2992" ht="12.75" customHeight="1" x14ac:dyDescent="0.2"/>
    <row r="2993" ht="12.75" customHeight="1" x14ac:dyDescent="0.2"/>
    <row r="2994" ht="12.75" customHeight="1" x14ac:dyDescent="0.2"/>
    <row r="2995" ht="12.75" customHeight="1" x14ac:dyDescent="0.2"/>
    <row r="2996" ht="12.75" customHeight="1" x14ac:dyDescent="0.2"/>
    <row r="2997" ht="12.75" customHeight="1" x14ac:dyDescent="0.2"/>
    <row r="2998" ht="12.75" customHeight="1" x14ac:dyDescent="0.2"/>
    <row r="2999" ht="12.75" customHeight="1" x14ac:dyDescent="0.2"/>
    <row r="3000" ht="12.75" customHeight="1" x14ac:dyDescent="0.2"/>
    <row r="3001" ht="12.75" customHeight="1" x14ac:dyDescent="0.2"/>
    <row r="3002" ht="12.75" customHeight="1" x14ac:dyDescent="0.2"/>
    <row r="3003" ht="12.75" customHeight="1" x14ac:dyDescent="0.2"/>
    <row r="3004" ht="12.75" customHeight="1" x14ac:dyDescent="0.2"/>
    <row r="3005" ht="12.75" customHeight="1" x14ac:dyDescent="0.2"/>
    <row r="3006" ht="12.75" customHeight="1" x14ac:dyDescent="0.2"/>
    <row r="3007" ht="12.75" customHeight="1" x14ac:dyDescent="0.2"/>
    <row r="3008" ht="12.75" customHeight="1" x14ac:dyDescent="0.2"/>
    <row r="3009" ht="12.75" customHeight="1" x14ac:dyDescent="0.2"/>
    <row r="3010" ht="12.75" customHeight="1" x14ac:dyDescent="0.2"/>
    <row r="3011" ht="12.75" customHeight="1" x14ac:dyDescent="0.2"/>
    <row r="3012" ht="12.75" customHeight="1" x14ac:dyDescent="0.2"/>
    <row r="3013" ht="12.75" customHeight="1" x14ac:dyDescent="0.2"/>
    <row r="3014" ht="12.75" customHeight="1" x14ac:dyDescent="0.2"/>
    <row r="3015" ht="12.75" customHeight="1" x14ac:dyDescent="0.2"/>
    <row r="3016" ht="12.75" customHeight="1" x14ac:dyDescent="0.2"/>
    <row r="3017" ht="12.75" customHeight="1" x14ac:dyDescent="0.2"/>
    <row r="3018" ht="12.75" customHeight="1" x14ac:dyDescent="0.2"/>
    <row r="3019" ht="12.75" customHeight="1" x14ac:dyDescent="0.2"/>
    <row r="3020" ht="12.75" customHeight="1" x14ac:dyDescent="0.2"/>
    <row r="3021" ht="12.75" customHeight="1" x14ac:dyDescent="0.2"/>
    <row r="3022" ht="12.75" customHeight="1" x14ac:dyDescent="0.2"/>
    <row r="3023" ht="12.75" customHeight="1" x14ac:dyDescent="0.2"/>
    <row r="3024" ht="12.75" customHeight="1" x14ac:dyDescent="0.2"/>
    <row r="3025" ht="12.75" customHeight="1" x14ac:dyDescent="0.2"/>
    <row r="3026" ht="12.75" customHeight="1" x14ac:dyDescent="0.2"/>
    <row r="3027" ht="12.75" customHeight="1" x14ac:dyDescent="0.2"/>
    <row r="3028" ht="12.75" customHeight="1" x14ac:dyDescent="0.2"/>
    <row r="3029" ht="12.75" customHeight="1" x14ac:dyDescent="0.2"/>
    <row r="3030" ht="12.75" customHeight="1" x14ac:dyDescent="0.2"/>
    <row r="3031" ht="12.75" customHeight="1" x14ac:dyDescent="0.2"/>
    <row r="3032" ht="12.75" customHeight="1" x14ac:dyDescent="0.2"/>
    <row r="3033" ht="12.75" customHeight="1" x14ac:dyDescent="0.2"/>
    <row r="3034" ht="12.75" customHeight="1" x14ac:dyDescent="0.2"/>
    <row r="3035" ht="12.75" customHeight="1" x14ac:dyDescent="0.2"/>
    <row r="3036" ht="12.75" customHeight="1" x14ac:dyDescent="0.2"/>
    <row r="3037" ht="12.75" customHeight="1" x14ac:dyDescent="0.2"/>
    <row r="3038" ht="12.75" customHeight="1" x14ac:dyDescent="0.2"/>
    <row r="3039" ht="12.75" customHeight="1" x14ac:dyDescent="0.2"/>
    <row r="3040" ht="12.75" customHeight="1" x14ac:dyDescent="0.2"/>
    <row r="3041" ht="12.75" customHeight="1" x14ac:dyDescent="0.2"/>
    <row r="3042" ht="12.75" customHeight="1" x14ac:dyDescent="0.2"/>
    <row r="3043" ht="12.75" customHeight="1" x14ac:dyDescent="0.2"/>
    <row r="3044" ht="12.75" customHeight="1" x14ac:dyDescent="0.2"/>
    <row r="3045" ht="12.75" customHeight="1" x14ac:dyDescent="0.2"/>
    <row r="3046" ht="12.75" customHeight="1" x14ac:dyDescent="0.2"/>
    <row r="3047" ht="12.75" customHeight="1" x14ac:dyDescent="0.2"/>
    <row r="3048" ht="12.75" customHeight="1" x14ac:dyDescent="0.2"/>
    <row r="3049" ht="12.75" customHeight="1" x14ac:dyDescent="0.2"/>
    <row r="3050" ht="12.75" customHeight="1" x14ac:dyDescent="0.2"/>
    <row r="3051" ht="12.75" customHeight="1" x14ac:dyDescent="0.2"/>
    <row r="3052" ht="12.75" customHeight="1" x14ac:dyDescent="0.2"/>
    <row r="3053" ht="12.75" customHeight="1" x14ac:dyDescent="0.2"/>
    <row r="3054" ht="12.75" customHeight="1" x14ac:dyDescent="0.2"/>
    <row r="3055" ht="12.75" customHeight="1" x14ac:dyDescent="0.2"/>
    <row r="3056" ht="12.75" customHeight="1" x14ac:dyDescent="0.2"/>
    <row r="3057" ht="12.75" customHeight="1" x14ac:dyDescent="0.2"/>
    <row r="3058" ht="12.75" customHeight="1" x14ac:dyDescent="0.2"/>
    <row r="3059" ht="12.75" customHeight="1" x14ac:dyDescent="0.2"/>
    <row r="3060" ht="12.75" customHeight="1" x14ac:dyDescent="0.2"/>
    <row r="3061" ht="12.75" customHeight="1" x14ac:dyDescent="0.2"/>
    <row r="3062" ht="12.75" customHeight="1" x14ac:dyDescent="0.2"/>
    <row r="3063" ht="12.75" customHeight="1" x14ac:dyDescent="0.2"/>
    <row r="3064" ht="12.75" customHeight="1" x14ac:dyDescent="0.2"/>
    <row r="3065" ht="12.75" customHeight="1" x14ac:dyDescent="0.2"/>
    <row r="3066" ht="12.75" customHeight="1" x14ac:dyDescent="0.2"/>
    <row r="3067" ht="12.75" customHeight="1" x14ac:dyDescent="0.2"/>
    <row r="3068" ht="12.75" customHeight="1" x14ac:dyDescent="0.2"/>
    <row r="3069" ht="12.75" customHeight="1" x14ac:dyDescent="0.2"/>
    <row r="3070" ht="12.75" customHeight="1" x14ac:dyDescent="0.2"/>
    <row r="3071" ht="12.75" customHeight="1" x14ac:dyDescent="0.2"/>
    <row r="3072" ht="12.75" customHeight="1" x14ac:dyDescent="0.2"/>
    <row r="3073" ht="12.75" customHeight="1" x14ac:dyDescent="0.2"/>
    <row r="3074" ht="12.75" customHeight="1" x14ac:dyDescent="0.2"/>
    <row r="3075" ht="12.75" customHeight="1" x14ac:dyDescent="0.2"/>
    <row r="3076" ht="12.75" customHeight="1" x14ac:dyDescent="0.2"/>
    <row r="3077" ht="12.75" customHeight="1" x14ac:dyDescent="0.2"/>
    <row r="3078" ht="12.75" customHeight="1" x14ac:dyDescent="0.2"/>
    <row r="3079" ht="12.75" customHeight="1" x14ac:dyDescent="0.2"/>
    <row r="3080" ht="12.75" customHeight="1" x14ac:dyDescent="0.2"/>
    <row r="3081" ht="12.75" customHeight="1" x14ac:dyDescent="0.2"/>
    <row r="3082" ht="12.75" customHeight="1" x14ac:dyDescent="0.2"/>
    <row r="3083" ht="12.75" customHeight="1" x14ac:dyDescent="0.2"/>
    <row r="3084" ht="12.75" customHeight="1" x14ac:dyDescent="0.2"/>
    <row r="3085" ht="12.75" customHeight="1" x14ac:dyDescent="0.2"/>
    <row r="3086" ht="12.75" customHeight="1" x14ac:dyDescent="0.2"/>
    <row r="3087" ht="12.75" customHeight="1" x14ac:dyDescent="0.2"/>
    <row r="3088" ht="12.75" customHeight="1" x14ac:dyDescent="0.2"/>
    <row r="3089" ht="12.75" customHeight="1" x14ac:dyDescent="0.2"/>
    <row r="3090" ht="12.75" customHeight="1" x14ac:dyDescent="0.2"/>
    <row r="3091" ht="12.75" customHeight="1" x14ac:dyDescent="0.2"/>
    <row r="3092" ht="12.75" customHeight="1" x14ac:dyDescent="0.2"/>
    <row r="3093" ht="12.75" customHeight="1" x14ac:dyDescent="0.2"/>
    <row r="3094" ht="12.75" customHeight="1" x14ac:dyDescent="0.2"/>
    <row r="3095" ht="12.75" customHeight="1" x14ac:dyDescent="0.2"/>
    <row r="3096" ht="12.75" customHeight="1" x14ac:dyDescent="0.2"/>
    <row r="3097" ht="12.75" customHeight="1" x14ac:dyDescent="0.2"/>
    <row r="3098" ht="12.75" customHeight="1" x14ac:dyDescent="0.2"/>
    <row r="3099" ht="12.75" customHeight="1" x14ac:dyDescent="0.2"/>
    <row r="3100" ht="12.75" customHeight="1" x14ac:dyDescent="0.2"/>
    <row r="3101" ht="12.75" customHeight="1" x14ac:dyDescent="0.2"/>
    <row r="3102" ht="12.75" customHeight="1" x14ac:dyDescent="0.2"/>
    <row r="3103" ht="12.75" customHeight="1" x14ac:dyDescent="0.2"/>
    <row r="3104" ht="12.75" customHeight="1" x14ac:dyDescent="0.2"/>
    <row r="3105" ht="12.75" customHeight="1" x14ac:dyDescent="0.2"/>
    <row r="3106" ht="12.75" customHeight="1" x14ac:dyDescent="0.2"/>
    <row r="3107" ht="12.75" customHeight="1" x14ac:dyDescent="0.2"/>
    <row r="3108" ht="12.75" customHeight="1" x14ac:dyDescent="0.2"/>
    <row r="3109" ht="12.75" customHeight="1" x14ac:dyDescent="0.2"/>
    <row r="3110" ht="12.75" customHeight="1" x14ac:dyDescent="0.2"/>
    <row r="3111" ht="12.75" customHeight="1" x14ac:dyDescent="0.2"/>
    <row r="3112" ht="12.75" customHeight="1" x14ac:dyDescent="0.2"/>
    <row r="3113" ht="12.75" customHeight="1" x14ac:dyDescent="0.2"/>
    <row r="3114" ht="12.75" customHeight="1" x14ac:dyDescent="0.2"/>
    <row r="3115" ht="12.75" customHeight="1" x14ac:dyDescent="0.2"/>
    <row r="3116" ht="12.75" customHeight="1" x14ac:dyDescent="0.2"/>
    <row r="3117" ht="12.75" customHeight="1" x14ac:dyDescent="0.2"/>
    <row r="3118" ht="12.75" customHeight="1" x14ac:dyDescent="0.2"/>
    <row r="3119" ht="12.75" customHeight="1" x14ac:dyDescent="0.2"/>
    <row r="3120" ht="12.75" customHeight="1" x14ac:dyDescent="0.2"/>
    <row r="3121" ht="12.75" customHeight="1" x14ac:dyDescent="0.2"/>
    <row r="3122" ht="12.75" customHeight="1" x14ac:dyDescent="0.2"/>
    <row r="3123" ht="12.75" customHeight="1" x14ac:dyDescent="0.2"/>
    <row r="3124" ht="12.75" customHeight="1" x14ac:dyDescent="0.2"/>
    <row r="3125" ht="12.75" customHeight="1" x14ac:dyDescent="0.2"/>
    <row r="3126" ht="12.75" customHeight="1" x14ac:dyDescent="0.2"/>
    <row r="3127" ht="12.75" customHeight="1" x14ac:dyDescent="0.2"/>
    <row r="3128" ht="12.75" customHeight="1" x14ac:dyDescent="0.2"/>
    <row r="3129" ht="12.75" customHeight="1" x14ac:dyDescent="0.2"/>
    <row r="3130" ht="12.75" customHeight="1" x14ac:dyDescent="0.2"/>
    <row r="3131" ht="12.75" customHeight="1" x14ac:dyDescent="0.2"/>
    <row r="3132" ht="12.75" customHeight="1" x14ac:dyDescent="0.2"/>
    <row r="3133" ht="12.75" customHeight="1" x14ac:dyDescent="0.2"/>
    <row r="3134" ht="12.75" customHeight="1" x14ac:dyDescent="0.2"/>
    <row r="3135" ht="12.75" customHeight="1" x14ac:dyDescent="0.2"/>
    <row r="3136" ht="12.75" customHeight="1" x14ac:dyDescent="0.2"/>
    <row r="3137" ht="12.75" customHeight="1" x14ac:dyDescent="0.2"/>
    <row r="3138" ht="12.75" customHeight="1" x14ac:dyDescent="0.2"/>
    <row r="3139" ht="12.75" customHeight="1" x14ac:dyDescent="0.2"/>
    <row r="3140" ht="12.75" customHeight="1" x14ac:dyDescent="0.2"/>
    <row r="3141" ht="12.75" customHeight="1" x14ac:dyDescent="0.2"/>
    <row r="3142" ht="12.75" customHeight="1" x14ac:dyDescent="0.2"/>
    <row r="3143" ht="12.75" customHeight="1" x14ac:dyDescent="0.2"/>
    <row r="3144" ht="12.75" customHeight="1" x14ac:dyDescent="0.2"/>
    <row r="3145" ht="12.75" customHeight="1" x14ac:dyDescent="0.2"/>
    <row r="3146" ht="12.75" customHeight="1" x14ac:dyDescent="0.2"/>
    <row r="3147" ht="12.75" customHeight="1" x14ac:dyDescent="0.2"/>
    <row r="3148" ht="12.75" customHeight="1" x14ac:dyDescent="0.2"/>
    <row r="3149" ht="12.75" customHeight="1" x14ac:dyDescent="0.2"/>
    <row r="3150" ht="12.75" customHeight="1" x14ac:dyDescent="0.2"/>
    <row r="3151" ht="12.75" customHeight="1" x14ac:dyDescent="0.2"/>
    <row r="3152" ht="12.75" customHeight="1" x14ac:dyDescent="0.2"/>
    <row r="3153" ht="12.75" customHeight="1" x14ac:dyDescent="0.2"/>
    <row r="3154" ht="12.75" customHeight="1" x14ac:dyDescent="0.2"/>
    <row r="3155" ht="12.75" customHeight="1" x14ac:dyDescent="0.2"/>
    <row r="3156" ht="12.75" customHeight="1" x14ac:dyDescent="0.2"/>
    <row r="3157" ht="12.75" customHeight="1" x14ac:dyDescent="0.2"/>
    <row r="3158" ht="12.75" customHeight="1" x14ac:dyDescent="0.2"/>
    <row r="3159" ht="12.75" customHeight="1" x14ac:dyDescent="0.2"/>
    <row r="3160" ht="12.75" customHeight="1" x14ac:dyDescent="0.2"/>
    <row r="3161" ht="12.75" customHeight="1" x14ac:dyDescent="0.2"/>
    <row r="3162" ht="12.75" customHeight="1" x14ac:dyDescent="0.2"/>
    <row r="3163" ht="12.75" customHeight="1" x14ac:dyDescent="0.2"/>
    <row r="3164" ht="12.75" customHeight="1" x14ac:dyDescent="0.2"/>
    <row r="3165" ht="12.75" customHeight="1" x14ac:dyDescent="0.2"/>
    <row r="3166" ht="12.75" customHeight="1" x14ac:dyDescent="0.2"/>
    <row r="3167" ht="12.75" customHeight="1" x14ac:dyDescent="0.2"/>
    <row r="3168" ht="12.75" customHeight="1" x14ac:dyDescent="0.2"/>
    <row r="3169" ht="12.75" customHeight="1" x14ac:dyDescent="0.2"/>
    <row r="3170" ht="12.75" customHeight="1" x14ac:dyDescent="0.2"/>
    <row r="3171" ht="12.75" customHeight="1" x14ac:dyDescent="0.2"/>
    <row r="3172" ht="12.75" customHeight="1" x14ac:dyDescent="0.2"/>
    <row r="3173" ht="12.75" customHeight="1" x14ac:dyDescent="0.2"/>
    <row r="3174" ht="12.75" customHeight="1" x14ac:dyDescent="0.2"/>
    <row r="3175" ht="12.75" customHeight="1" x14ac:dyDescent="0.2"/>
    <row r="3176" ht="12.75" customHeight="1" x14ac:dyDescent="0.2"/>
    <row r="3177" ht="12.75" customHeight="1" x14ac:dyDescent="0.2"/>
    <row r="3178" ht="12.75" customHeight="1" x14ac:dyDescent="0.2"/>
    <row r="3179" ht="12.75" customHeight="1" x14ac:dyDescent="0.2"/>
    <row r="3180" ht="12.75" customHeight="1" x14ac:dyDescent="0.2"/>
    <row r="3181" ht="12.75" customHeight="1" x14ac:dyDescent="0.2"/>
    <row r="3182" ht="12.75" customHeight="1" x14ac:dyDescent="0.2"/>
    <row r="3183" ht="12.75" customHeight="1" x14ac:dyDescent="0.2"/>
    <row r="3184" ht="12.75" customHeight="1" x14ac:dyDescent="0.2"/>
    <row r="3185" ht="12.75" customHeight="1" x14ac:dyDescent="0.2"/>
    <row r="3186" ht="12.75" customHeight="1" x14ac:dyDescent="0.2"/>
    <row r="3187" ht="12.75" customHeight="1" x14ac:dyDescent="0.2"/>
    <row r="3188" ht="12.75" customHeight="1" x14ac:dyDescent="0.2"/>
    <row r="3189" ht="12.75" customHeight="1" x14ac:dyDescent="0.2"/>
    <row r="3190" ht="12.75" customHeight="1" x14ac:dyDescent="0.2"/>
    <row r="3191" ht="12.75" customHeight="1" x14ac:dyDescent="0.2"/>
    <row r="3192" ht="12.75" customHeight="1" x14ac:dyDescent="0.2"/>
    <row r="3193" ht="12.75" customHeight="1" x14ac:dyDescent="0.2"/>
    <row r="3194" ht="12.75" customHeight="1" x14ac:dyDescent="0.2"/>
    <row r="3195" ht="12.75" customHeight="1" x14ac:dyDescent="0.2"/>
    <row r="3196" ht="12.75" customHeight="1" x14ac:dyDescent="0.2"/>
    <row r="3197" ht="12.75" customHeight="1" x14ac:dyDescent="0.2"/>
    <row r="3198" ht="12.75" customHeight="1" x14ac:dyDescent="0.2"/>
    <row r="3199" ht="12.75" customHeight="1" x14ac:dyDescent="0.2"/>
    <row r="3200" ht="12.75" customHeight="1" x14ac:dyDescent="0.2"/>
    <row r="3201" ht="12.75" customHeight="1" x14ac:dyDescent="0.2"/>
    <row r="3202" ht="12.75" customHeight="1" x14ac:dyDescent="0.2"/>
    <row r="3203" ht="12.75" customHeight="1" x14ac:dyDescent="0.2"/>
    <row r="3204" ht="12.75" customHeight="1" x14ac:dyDescent="0.2"/>
    <row r="3205" ht="12.75" customHeight="1" x14ac:dyDescent="0.2"/>
    <row r="3206" ht="12.75" customHeight="1" x14ac:dyDescent="0.2"/>
    <row r="3207" ht="12.75" customHeight="1" x14ac:dyDescent="0.2"/>
    <row r="3208" ht="12.75" customHeight="1" x14ac:dyDescent="0.2"/>
    <row r="3209" ht="12.75" customHeight="1" x14ac:dyDescent="0.2"/>
    <row r="3210" ht="12.75" customHeight="1" x14ac:dyDescent="0.2"/>
    <row r="3211" ht="12.75" customHeight="1" x14ac:dyDescent="0.2"/>
    <row r="3212" ht="12.75" customHeight="1" x14ac:dyDescent="0.2"/>
    <row r="3213" ht="12.75" customHeight="1" x14ac:dyDescent="0.2"/>
    <row r="3214" ht="12.75" customHeight="1" x14ac:dyDescent="0.2"/>
    <row r="3215" ht="12.75" customHeight="1" x14ac:dyDescent="0.2"/>
    <row r="3216" ht="12.75" customHeight="1" x14ac:dyDescent="0.2"/>
    <row r="3217" ht="12.75" customHeight="1" x14ac:dyDescent="0.2"/>
    <row r="3218" ht="12.75" customHeight="1" x14ac:dyDescent="0.2"/>
    <row r="3219" ht="12.75" customHeight="1" x14ac:dyDescent="0.2"/>
    <row r="3220" ht="12.75" customHeight="1" x14ac:dyDescent="0.2"/>
    <row r="3221" ht="12.75" customHeight="1" x14ac:dyDescent="0.2"/>
    <row r="3222" ht="12.75" customHeight="1" x14ac:dyDescent="0.2"/>
    <row r="3223" ht="12.75" customHeight="1" x14ac:dyDescent="0.2"/>
    <row r="3224" ht="12.75" customHeight="1" x14ac:dyDescent="0.2"/>
    <row r="3225" ht="12.75" customHeight="1" x14ac:dyDescent="0.2"/>
    <row r="3226" ht="12.75" customHeight="1" x14ac:dyDescent="0.2"/>
    <row r="3227" ht="12.75" customHeight="1" x14ac:dyDescent="0.2"/>
    <row r="3228" ht="12.75" customHeight="1" x14ac:dyDescent="0.2"/>
    <row r="3229" ht="12.75" customHeight="1" x14ac:dyDescent="0.2"/>
    <row r="3230" ht="12.75" customHeight="1" x14ac:dyDescent="0.2"/>
    <row r="3231" ht="12.75" customHeight="1" x14ac:dyDescent="0.2"/>
    <row r="3232" ht="12.75" customHeight="1" x14ac:dyDescent="0.2"/>
    <row r="3233" ht="12.75" customHeight="1" x14ac:dyDescent="0.2"/>
    <row r="3234" ht="12.75" customHeight="1" x14ac:dyDescent="0.2"/>
    <row r="3235" ht="12.75" customHeight="1" x14ac:dyDescent="0.2"/>
    <row r="3236" ht="12.75" customHeight="1" x14ac:dyDescent="0.2"/>
    <row r="3237" ht="12.75" customHeight="1" x14ac:dyDescent="0.2"/>
    <row r="3238" ht="12.75" customHeight="1" x14ac:dyDescent="0.2"/>
    <row r="3239" ht="12.75" customHeight="1" x14ac:dyDescent="0.2"/>
    <row r="3240" ht="12.75" customHeight="1" x14ac:dyDescent="0.2"/>
    <row r="3241" ht="12.75" customHeight="1" x14ac:dyDescent="0.2"/>
    <row r="3242" ht="12.75" customHeight="1" x14ac:dyDescent="0.2"/>
    <row r="3243" ht="12.75" customHeight="1" x14ac:dyDescent="0.2"/>
    <row r="3244" ht="12.75" customHeight="1" x14ac:dyDescent="0.2"/>
    <row r="3245" ht="12.75" customHeight="1" x14ac:dyDescent="0.2"/>
    <row r="3246" ht="12.75" customHeight="1" x14ac:dyDescent="0.2"/>
    <row r="3247" ht="12.75" customHeight="1" x14ac:dyDescent="0.2"/>
    <row r="3248" ht="12.75" customHeight="1" x14ac:dyDescent="0.2"/>
    <row r="3249" ht="12.75" customHeight="1" x14ac:dyDescent="0.2"/>
    <row r="3250" ht="12.75" customHeight="1" x14ac:dyDescent="0.2"/>
    <row r="3251" ht="12.75" customHeight="1" x14ac:dyDescent="0.2"/>
    <row r="3252" ht="12.75" customHeight="1" x14ac:dyDescent="0.2"/>
    <row r="3253" ht="12.75" customHeight="1" x14ac:dyDescent="0.2"/>
    <row r="3254" ht="12.75" customHeight="1" x14ac:dyDescent="0.2"/>
    <row r="3255" ht="12.75" customHeight="1" x14ac:dyDescent="0.2"/>
    <row r="3256" ht="12.75" customHeight="1" x14ac:dyDescent="0.2"/>
    <row r="3257" ht="12.75" customHeight="1" x14ac:dyDescent="0.2"/>
    <row r="3258" ht="12.75" customHeight="1" x14ac:dyDescent="0.2"/>
    <row r="3259" ht="12.75" customHeight="1" x14ac:dyDescent="0.2"/>
    <row r="3260" ht="12.75" customHeight="1" x14ac:dyDescent="0.2"/>
    <row r="3261" ht="12.75" customHeight="1" x14ac:dyDescent="0.2"/>
    <row r="3262" ht="12.75" customHeight="1" x14ac:dyDescent="0.2"/>
    <row r="3263" ht="12.75" customHeight="1" x14ac:dyDescent="0.2"/>
    <row r="3264" ht="12.75" customHeight="1" x14ac:dyDescent="0.2"/>
    <row r="3265" ht="12.75" customHeight="1" x14ac:dyDescent="0.2"/>
    <row r="3266" ht="12.75" customHeight="1" x14ac:dyDescent="0.2"/>
    <row r="3267" ht="12.75" customHeight="1" x14ac:dyDescent="0.2"/>
    <row r="3268" ht="12.75" customHeight="1" x14ac:dyDescent="0.2"/>
    <row r="3269" ht="12.75" customHeight="1" x14ac:dyDescent="0.2"/>
    <row r="3270" ht="12.75" customHeight="1" x14ac:dyDescent="0.2"/>
    <row r="3271" ht="12.75" customHeight="1" x14ac:dyDescent="0.2"/>
    <row r="3272" ht="12.75" customHeight="1" x14ac:dyDescent="0.2"/>
    <row r="3273" ht="12.75" customHeight="1" x14ac:dyDescent="0.2"/>
    <row r="3274" ht="12.75" customHeight="1" x14ac:dyDescent="0.2"/>
    <row r="3275" ht="12.75" customHeight="1" x14ac:dyDescent="0.2"/>
    <row r="3276" ht="12.75" customHeight="1" x14ac:dyDescent="0.2"/>
    <row r="3277" ht="12.75" customHeight="1" x14ac:dyDescent="0.2"/>
    <row r="3278" ht="12.75" customHeight="1" x14ac:dyDescent="0.2"/>
    <row r="3279" ht="12.75" customHeight="1" x14ac:dyDescent="0.2"/>
    <row r="3280" ht="12.75" customHeight="1" x14ac:dyDescent="0.2"/>
    <row r="3281" ht="12.75" customHeight="1" x14ac:dyDescent="0.2"/>
    <row r="3282" ht="12.75" customHeight="1" x14ac:dyDescent="0.2"/>
    <row r="3283" ht="12.75" customHeight="1" x14ac:dyDescent="0.2"/>
    <row r="3284" ht="12.75" customHeight="1" x14ac:dyDescent="0.2"/>
    <row r="3285" ht="12.75" customHeight="1" x14ac:dyDescent="0.2"/>
    <row r="3286" ht="12.75" customHeight="1" x14ac:dyDescent="0.2"/>
    <row r="3287" ht="12.75" customHeight="1" x14ac:dyDescent="0.2"/>
    <row r="3288" ht="12.75" customHeight="1" x14ac:dyDescent="0.2"/>
    <row r="3289" ht="12.75" customHeight="1" x14ac:dyDescent="0.2"/>
    <row r="3290" ht="12.75" customHeight="1" x14ac:dyDescent="0.2"/>
    <row r="3291" ht="12.75" customHeight="1" x14ac:dyDescent="0.2"/>
    <row r="3292" ht="12.75" customHeight="1" x14ac:dyDescent="0.2"/>
    <row r="3293" ht="12.75" customHeight="1" x14ac:dyDescent="0.2"/>
    <row r="3294" ht="12.75" customHeight="1" x14ac:dyDescent="0.2"/>
    <row r="3295" ht="12.75" customHeight="1" x14ac:dyDescent="0.2"/>
    <row r="3296" ht="12.75" customHeight="1" x14ac:dyDescent="0.2"/>
    <row r="3297" ht="12.75" customHeight="1" x14ac:dyDescent="0.2"/>
    <row r="3298" ht="12.75" customHeight="1" x14ac:dyDescent="0.2"/>
    <row r="3299" ht="12.75" customHeight="1" x14ac:dyDescent="0.2"/>
    <row r="3300" ht="12.75" customHeight="1" x14ac:dyDescent="0.2"/>
    <row r="3301" ht="12.75" customHeight="1" x14ac:dyDescent="0.2"/>
    <row r="3302" ht="12.75" customHeight="1" x14ac:dyDescent="0.2"/>
    <row r="3303" ht="12.75" customHeight="1" x14ac:dyDescent="0.2"/>
    <row r="3304" ht="12.75" customHeight="1" x14ac:dyDescent="0.2"/>
    <row r="3305" ht="12.75" customHeight="1" x14ac:dyDescent="0.2"/>
    <row r="3306" ht="12.75" customHeight="1" x14ac:dyDescent="0.2"/>
    <row r="3307" ht="12.75" customHeight="1" x14ac:dyDescent="0.2"/>
    <row r="3308" ht="12.75" customHeight="1" x14ac:dyDescent="0.2"/>
    <row r="3309" ht="12.75" customHeight="1" x14ac:dyDescent="0.2"/>
    <row r="3310" ht="12.75" customHeight="1" x14ac:dyDescent="0.2"/>
    <row r="3311" ht="12.75" customHeight="1" x14ac:dyDescent="0.2"/>
    <row r="3312" ht="12.75" customHeight="1" x14ac:dyDescent="0.2"/>
    <row r="3313" ht="12.75" customHeight="1" x14ac:dyDescent="0.2"/>
    <row r="3314" ht="12.75" customHeight="1" x14ac:dyDescent="0.2"/>
    <row r="3315" ht="12.75" customHeight="1" x14ac:dyDescent="0.2"/>
    <row r="3316" ht="12.75" customHeight="1" x14ac:dyDescent="0.2"/>
    <row r="3317" ht="12.75" customHeight="1" x14ac:dyDescent="0.2"/>
    <row r="3318" ht="12.75" customHeight="1" x14ac:dyDescent="0.2"/>
    <row r="3319" ht="12.75" customHeight="1" x14ac:dyDescent="0.2"/>
    <row r="3320" ht="12.75" customHeight="1" x14ac:dyDescent="0.2"/>
    <row r="3321" ht="12.75" customHeight="1" x14ac:dyDescent="0.2"/>
    <row r="3322" ht="12.75" customHeight="1" x14ac:dyDescent="0.2"/>
    <row r="3323" ht="12.75" customHeight="1" x14ac:dyDescent="0.2"/>
    <row r="3324" ht="12.75" customHeight="1" x14ac:dyDescent="0.2"/>
    <row r="3325" ht="12.75" customHeight="1" x14ac:dyDescent="0.2"/>
    <row r="3326" ht="12.75" customHeight="1" x14ac:dyDescent="0.2"/>
    <row r="3327" ht="12.75" customHeight="1" x14ac:dyDescent="0.2"/>
    <row r="3328" ht="12.75" customHeight="1" x14ac:dyDescent="0.2"/>
    <row r="3329" ht="12.75" customHeight="1" x14ac:dyDescent="0.2"/>
    <row r="3330" ht="12.75" customHeight="1" x14ac:dyDescent="0.2"/>
    <row r="3331" ht="12.75" customHeight="1" x14ac:dyDescent="0.2"/>
    <row r="3332" ht="12.75" customHeight="1" x14ac:dyDescent="0.2"/>
    <row r="3333" ht="12.75" customHeight="1" x14ac:dyDescent="0.2"/>
    <row r="3334" ht="12.75" customHeight="1" x14ac:dyDescent="0.2"/>
    <row r="3335" ht="12.75" customHeight="1" x14ac:dyDescent="0.2"/>
    <row r="3336" ht="12.75" customHeight="1" x14ac:dyDescent="0.2"/>
    <row r="3337" ht="12.75" customHeight="1" x14ac:dyDescent="0.2"/>
    <row r="3338" ht="12.75" customHeight="1" x14ac:dyDescent="0.2"/>
    <row r="3339" ht="12.75" customHeight="1" x14ac:dyDescent="0.2"/>
    <row r="3340" ht="12.75" customHeight="1" x14ac:dyDescent="0.2"/>
    <row r="3341" ht="12.75" customHeight="1" x14ac:dyDescent="0.2"/>
    <row r="3342" ht="12.75" customHeight="1" x14ac:dyDescent="0.2"/>
    <row r="3343" ht="12.75" customHeight="1" x14ac:dyDescent="0.2"/>
    <row r="3344" ht="12.75" customHeight="1" x14ac:dyDescent="0.2"/>
    <row r="3345" ht="12.75" customHeight="1" x14ac:dyDescent="0.2"/>
    <row r="3346" ht="12.75" customHeight="1" x14ac:dyDescent="0.2"/>
    <row r="3347" ht="12.75" customHeight="1" x14ac:dyDescent="0.2"/>
    <row r="3348" ht="12.75" customHeight="1" x14ac:dyDescent="0.2"/>
    <row r="3349" ht="12.75" customHeight="1" x14ac:dyDescent="0.2"/>
    <row r="3350" ht="12.75" customHeight="1" x14ac:dyDescent="0.2"/>
    <row r="3351" ht="12.75" customHeight="1" x14ac:dyDescent="0.2"/>
    <row r="3352" ht="12.75" customHeight="1" x14ac:dyDescent="0.2"/>
    <row r="3353" ht="12.75" customHeight="1" x14ac:dyDescent="0.2"/>
    <row r="3354" ht="12.75" customHeight="1" x14ac:dyDescent="0.2"/>
    <row r="3355" ht="12.75" customHeight="1" x14ac:dyDescent="0.2"/>
    <row r="3356" ht="12.75" customHeight="1" x14ac:dyDescent="0.2"/>
    <row r="3357" ht="12.75" customHeight="1" x14ac:dyDescent="0.2"/>
    <row r="3358" ht="12.75" customHeight="1" x14ac:dyDescent="0.2"/>
    <row r="3359" ht="12.75" customHeight="1" x14ac:dyDescent="0.2"/>
    <row r="3360" ht="12.75" customHeight="1" x14ac:dyDescent="0.2"/>
    <row r="3361" ht="12.75" customHeight="1" x14ac:dyDescent="0.2"/>
    <row r="3362" ht="12.75" customHeight="1" x14ac:dyDescent="0.2"/>
    <row r="3363" ht="12.75" customHeight="1" x14ac:dyDescent="0.2"/>
    <row r="3364" ht="12.75" customHeight="1" x14ac:dyDescent="0.2"/>
    <row r="3365" ht="12.75" customHeight="1" x14ac:dyDescent="0.2"/>
    <row r="3366" ht="12.75" customHeight="1" x14ac:dyDescent="0.2"/>
    <row r="3367" ht="12.75" customHeight="1" x14ac:dyDescent="0.2"/>
    <row r="3368" ht="12.75" customHeight="1" x14ac:dyDescent="0.2"/>
    <row r="3369" ht="12.75" customHeight="1" x14ac:dyDescent="0.2"/>
    <row r="3370" ht="12.75" customHeight="1" x14ac:dyDescent="0.2"/>
    <row r="3371" ht="12.75" customHeight="1" x14ac:dyDescent="0.2"/>
    <row r="3372" ht="12.75" customHeight="1" x14ac:dyDescent="0.2"/>
    <row r="3373" ht="12.75" customHeight="1" x14ac:dyDescent="0.2"/>
    <row r="3374" ht="12.75" customHeight="1" x14ac:dyDescent="0.2"/>
    <row r="3375" ht="12.75" customHeight="1" x14ac:dyDescent="0.2"/>
    <row r="3376" ht="12.75" customHeight="1" x14ac:dyDescent="0.2"/>
    <row r="3377" ht="12.75" customHeight="1" x14ac:dyDescent="0.2"/>
    <row r="3378" ht="12.75" customHeight="1" x14ac:dyDescent="0.2"/>
    <row r="3379" ht="12.75" customHeight="1" x14ac:dyDescent="0.2"/>
    <row r="3380" ht="12.75" customHeight="1" x14ac:dyDescent="0.2"/>
    <row r="3381" ht="12.75" customHeight="1" x14ac:dyDescent="0.2"/>
    <row r="3382" ht="12.75" customHeight="1" x14ac:dyDescent="0.2"/>
    <row r="3383" ht="12.75" customHeight="1" x14ac:dyDescent="0.2"/>
    <row r="3384" ht="12.75" customHeight="1" x14ac:dyDescent="0.2"/>
    <row r="3385" ht="12.75" customHeight="1" x14ac:dyDescent="0.2"/>
    <row r="3386" ht="12.75" customHeight="1" x14ac:dyDescent="0.2"/>
    <row r="3387" ht="12.75" customHeight="1" x14ac:dyDescent="0.2"/>
    <row r="3388" ht="12.75" customHeight="1" x14ac:dyDescent="0.2"/>
    <row r="3389" ht="12.75" customHeight="1" x14ac:dyDescent="0.2"/>
    <row r="3390" ht="12.75" customHeight="1" x14ac:dyDescent="0.2"/>
    <row r="3391" ht="12.75" customHeight="1" x14ac:dyDescent="0.2"/>
    <row r="3392" ht="12.75" customHeight="1" x14ac:dyDescent="0.2"/>
    <row r="3393" ht="12.75" customHeight="1" x14ac:dyDescent="0.2"/>
    <row r="3394" ht="12.75" customHeight="1" x14ac:dyDescent="0.2"/>
    <row r="3395" ht="12.75" customHeight="1" x14ac:dyDescent="0.2"/>
    <row r="3396" ht="12.75" customHeight="1" x14ac:dyDescent="0.2"/>
    <row r="3397" ht="12.75" customHeight="1" x14ac:dyDescent="0.2"/>
    <row r="3398" ht="12.75" customHeight="1" x14ac:dyDescent="0.2"/>
    <row r="3399" ht="12.75" customHeight="1" x14ac:dyDescent="0.2"/>
    <row r="3400" ht="12.75" customHeight="1" x14ac:dyDescent="0.2"/>
    <row r="3401" ht="12.75" customHeight="1" x14ac:dyDescent="0.2"/>
    <row r="3402" ht="12.75" customHeight="1" x14ac:dyDescent="0.2"/>
    <row r="3403" ht="12.75" customHeight="1" x14ac:dyDescent="0.2"/>
    <row r="3404" ht="12.75" customHeight="1" x14ac:dyDescent="0.2"/>
    <row r="3405" ht="12.75" customHeight="1" x14ac:dyDescent="0.2"/>
    <row r="3406" ht="12.75" customHeight="1" x14ac:dyDescent="0.2"/>
    <row r="3407" ht="12.75" customHeight="1" x14ac:dyDescent="0.2"/>
    <row r="3408" ht="12.75" customHeight="1" x14ac:dyDescent="0.2"/>
    <row r="3409" ht="12.75" customHeight="1" x14ac:dyDescent="0.2"/>
    <row r="3410" ht="12.75" customHeight="1" x14ac:dyDescent="0.2"/>
    <row r="3411" ht="12.75" customHeight="1" x14ac:dyDescent="0.2"/>
    <row r="3412" ht="12.75" customHeight="1" x14ac:dyDescent="0.2"/>
    <row r="3413" ht="12.75" customHeight="1" x14ac:dyDescent="0.2"/>
    <row r="3414" ht="12.75" customHeight="1" x14ac:dyDescent="0.2"/>
    <row r="3415" ht="12.75" customHeight="1" x14ac:dyDescent="0.2"/>
    <row r="3416" ht="12.75" customHeight="1" x14ac:dyDescent="0.2"/>
    <row r="3417" ht="12.75" customHeight="1" x14ac:dyDescent="0.2"/>
    <row r="3418" ht="12.75" customHeight="1" x14ac:dyDescent="0.2"/>
    <row r="3419" ht="12.75" customHeight="1" x14ac:dyDescent="0.2"/>
    <row r="3420" ht="12.75" customHeight="1" x14ac:dyDescent="0.2"/>
    <row r="3421" ht="12.75" customHeight="1" x14ac:dyDescent="0.2"/>
    <row r="3422" ht="12.75" customHeight="1" x14ac:dyDescent="0.2"/>
    <row r="3423" ht="12.75" customHeight="1" x14ac:dyDescent="0.2"/>
    <row r="3424" ht="12.75" customHeight="1" x14ac:dyDescent="0.2"/>
    <row r="3425" ht="12.75" customHeight="1" x14ac:dyDescent="0.2"/>
    <row r="3426" ht="12.75" customHeight="1" x14ac:dyDescent="0.2"/>
    <row r="3427" ht="12.75" customHeight="1" x14ac:dyDescent="0.2"/>
    <row r="3428" ht="12.75" customHeight="1" x14ac:dyDescent="0.2"/>
    <row r="3429" ht="12.75" customHeight="1" x14ac:dyDescent="0.2"/>
    <row r="3430" ht="12.75" customHeight="1" x14ac:dyDescent="0.2"/>
    <row r="3431" ht="12.75" customHeight="1" x14ac:dyDescent="0.2"/>
    <row r="3432" ht="12.75" customHeight="1" x14ac:dyDescent="0.2"/>
    <row r="3433" ht="12.75" customHeight="1" x14ac:dyDescent="0.2"/>
    <row r="3434" ht="12.75" customHeight="1" x14ac:dyDescent="0.2"/>
    <row r="3435" ht="12.75" customHeight="1" x14ac:dyDescent="0.2"/>
    <row r="3436" ht="12.75" customHeight="1" x14ac:dyDescent="0.2"/>
    <row r="3437" ht="12.75" customHeight="1" x14ac:dyDescent="0.2"/>
    <row r="3438" ht="12.75" customHeight="1" x14ac:dyDescent="0.2"/>
    <row r="3439" ht="12.75" customHeight="1" x14ac:dyDescent="0.2"/>
    <row r="3440" ht="12.75" customHeight="1" x14ac:dyDescent="0.2"/>
    <row r="3441" ht="12.75" customHeight="1" x14ac:dyDescent="0.2"/>
    <row r="3442" ht="12.75" customHeight="1" x14ac:dyDescent="0.2"/>
    <row r="3443" ht="12.75" customHeight="1" x14ac:dyDescent="0.2"/>
    <row r="3444" ht="12.75" customHeight="1" x14ac:dyDescent="0.2"/>
    <row r="3445" ht="12.75" customHeight="1" x14ac:dyDescent="0.2"/>
    <row r="3446" ht="12.75" customHeight="1" x14ac:dyDescent="0.2"/>
    <row r="3447" ht="12.75" customHeight="1" x14ac:dyDescent="0.2"/>
    <row r="3448" ht="12.75" customHeight="1" x14ac:dyDescent="0.2"/>
    <row r="3449" ht="12.75" customHeight="1" x14ac:dyDescent="0.2"/>
    <row r="3450" ht="12.75" customHeight="1" x14ac:dyDescent="0.2"/>
    <row r="3451" ht="12.75" customHeight="1" x14ac:dyDescent="0.2"/>
    <row r="3452" ht="12.75" customHeight="1" x14ac:dyDescent="0.2"/>
    <row r="3453" ht="12.75" customHeight="1" x14ac:dyDescent="0.2"/>
    <row r="3454" ht="12.75" customHeight="1" x14ac:dyDescent="0.2"/>
    <row r="3455" ht="12.75" customHeight="1" x14ac:dyDescent="0.2"/>
    <row r="3456" ht="12.75" customHeight="1" x14ac:dyDescent="0.2"/>
    <row r="3457" ht="12.75" customHeight="1" x14ac:dyDescent="0.2"/>
    <row r="3458" ht="12.75" customHeight="1" x14ac:dyDescent="0.2"/>
    <row r="3459" ht="12.75" customHeight="1" x14ac:dyDescent="0.2"/>
    <row r="3460" ht="12.75" customHeight="1" x14ac:dyDescent="0.2"/>
    <row r="3461" ht="12.75" customHeight="1" x14ac:dyDescent="0.2"/>
    <row r="3462" ht="12.75" customHeight="1" x14ac:dyDescent="0.2"/>
    <row r="3463" ht="12.75" customHeight="1" x14ac:dyDescent="0.2"/>
    <row r="3464" ht="12.75" customHeight="1" x14ac:dyDescent="0.2"/>
    <row r="3465" ht="12.75" customHeight="1" x14ac:dyDescent="0.2"/>
    <row r="3466" ht="12.75" customHeight="1" x14ac:dyDescent="0.2"/>
    <row r="3467" ht="12.75" customHeight="1" x14ac:dyDescent="0.2"/>
    <row r="3468" ht="12.75" customHeight="1" x14ac:dyDescent="0.2"/>
    <row r="3469" ht="12.75" customHeight="1" x14ac:dyDescent="0.2"/>
    <row r="3470" ht="12.75" customHeight="1" x14ac:dyDescent="0.2"/>
    <row r="3471" ht="12.75" customHeight="1" x14ac:dyDescent="0.2"/>
    <row r="3472" ht="12.75" customHeight="1" x14ac:dyDescent="0.2"/>
    <row r="3473" ht="12.75" customHeight="1" x14ac:dyDescent="0.2"/>
    <row r="3474" ht="12.75" customHeight="1" x14ac:dyDescent="0.2"/>
    <row r="3475" ht="12.75" customHeight="1" x14ac:dyDescent="0.2"/>
    <row r="3476" ht="12.75" customHeight="1" x14ac:dyDescent="0.2"/>
    <row r="3477" ht="12.75" customHeight="1" x14ac:dyDescent="0.2"/>
    <row r="3478" ht="12.75" customHeight="1" x14ac:dyDescent="0.2"/>
    <row r="3479" ht="12.75" customHeight="1" x14ac:dyDescent="0.2"/>
    <row r="3480" ht="12.75" customHeight="1" x14ac:dyDescent="0.2"/>
    <row r="3481" ht="12.75" customHeight="1" x14ac:dyDescent="0.2"/>
    <row r="3482" ht="12.75" customHeight="1" x14ac:dyDescent="0.2"/>
    <row r="3483" ht="12.75" customHeight="1" x14ac:dyDescent="0.2"/>
    <row r="3484" ht="12.75" customHeight="1" x14ac:dyDescent="0.2"/>
    <row r="3485" ht="12.75" customHeight="1" x14ac:dyDescent="0.2"/>
    <row r="3486" ht="12.75" customHeight="1" x14ac:dyDescent="0.2"/>
    <row r="3487" ht="12.75" customHeight="1" x14ac:dyDescent="0.2"/>
    <row r="3488" ht="12.75" customHeight="1" x14ac:dyDescent="0.2"/>
    <row r="3489" ht="12.75" customHeight="1" x14ac:dyDescent="0.2"/>
    <row r="3490" ht="12.75" customHeight="1" x14ac:dyDescent="0.2"/>
    <row r="3491" ht="12.75" customHeight="1" x14ac:dyDescent="0.2"/>
    <row r="3492" ht="12.75" customHeight="1" x14ac:dyDescent="0.2"/>
    <row r="3493" ht="12.75" customHeight="1" x14ac:dyDescent="0.2"/>
    <row r="3494" ht="12.75" customHeight="1" x14ac:dyDescent="0.2"/>
    <row r="3495" ht="12.75" customHeight="1" x14ac:dyDescent="0.2"/>
    <row r="3496" ht="12.75" customHeight="1" x14ac:dyDescent="0.2"/>
    <row r="3497" ht="12.75" customHeight="1" x14ac:dyDescent="0.2"/>
    <row r="3498" ht="12.75" customHeight="1" x14ac:dyDescent="0.2"/>
    <row r="3499" ht="12.75" customHeight="1" x14ac:dyDescent="0.2"/>
    <row r="3500" ht="12.75" customHeight="1" x14ac:dyDescent="0.2"/>
    <row r="3501" ht="12.75" customHeight="1" x14ac:dyDescent="0.2"/>
    <row r="3502" ht="12.75" customHeight="1" x14ac:dyDescent="0.2"/>
    <row r="3503" ht="12.75" customHeight="1" x14ac:dyDescent="0.2"/>
    <row r="3504" ht="12.75" customHeight="1" x14ac:dyDescent="0.2"/>
    <row r="3505" ht="12.75" customHeight="1" x14ac:dyDescent="0.2"/>
    <row r="3506" ht="12.75" customHeight="1" x14ac:dyDescent="0.2"/>
    <row r="3507" ht="12.75" customHeight="1" x14ac:dyDescent="0.2"/>
    <row r="3508" ht="12.75" customHeight="1" x14ac:dyDescent="0.2"/>
    <row r="3509" ht="12.75" customHeight="1" x14ac:dyDescent="0.2"/>
    <row r="3510" ht="12.75" customHeight="1" x14ac:dyDescent="0.2"/>
    <row r="3511" ht="12.75" customHeight="1" x14ac:dyDescent="0.2"/>
    <row r="3512" ht="12.75" customHeight="1" x14ac:dyDescent="0.2"/>
    <row r="3513" ht="12.75" customHeight="1" x14ac:dyDescent="0.2"/>
    <row r="3514" ht="12.75" customHeight="1" x14ac:dyDescent="0.2"/>
    <row r="3515" ht="12.75" customHeight="1" x14ac:dyDescent="0.2"/>
    <row r="3516" ht="12.75" customHeight="1" x14ac:dyDescent="0.2"/>
    <row r="3517" ht="12.75" customHeight="1" x14ac:dyDescent="0.2"/>
    <row r="3518" ht="12.75" customHeight="1" x14ac:dyDescent="0.2"/>
    <row r="3519" ht="12.75" customHeight="1" x14ac:dyDescent="0.2"/>
    <row r="3520" ht="12.75" customHeight="1" x14ac:dyDescent="0.2"/>
    <row r="3521" ht="12.75" customHeight="1" x14ac:dyDescent="0.2"/>
    <row r="3522" ht="12.75" customHeight="1" x14ac:dyDescent="0.2"/>
    <row r="3523" ht="12.75" customHeight="1" x14ac:dyDescent="0.2"/>
    <row r="3524" ht="12.75" customHeight="1" x14ac:dyDescent="0.2"/>
    <row r="3525" ht="12.75" customHeight="1" x14ac:dyDescent="0.2"/>
    <row r="3526" ht="12.75" customHeight="1" x14ac:dyDescent="0.2"/>
    <row r="3527" ht="12.75" customHeight="1" x14ac:dyDescent="0.2"/>
    <row r="3528" ht="12.75" customHeight="1" x14ac:dyDescent="0.2"/>
    <row r="3529" ht="12.75" customHeight="1" x14ac:dyDescent="0.2"/>
    <row r="3530" ht="12.75" customHeight="1" x14ac:dyDescent="0.2"/>
    <row r="3531" ht="12.75" customHeight="1" x14ac:dyDescent="0.2"/>
    <row r="3532" ht="12.75" customHeight="1" x14ac:dyDescent="0.2"/>
    <row r="3533" ht="12.75" customHeight="1" x14ac:dyDescent="0.2"/>
    <row r="3534" ht="12.75" customHeight="1" x14ac:dyDescent="0.2"/>
    <row r="3535" ht="12.75" customHeight="1" x14ac:dyDescent="0.2"/>
    <row r="3536" ht="12.75" customHeight="1" x14ac:dyDescent="0.2"/>
    <row r="3537" ht="12.75" customHeight="1" x14ac:dyDescent="0.2"/>
    <row r="3538" ht="12.75" customHeight="1" x14ac:dyDescent="0.2"/>
    <row r="3539" ht="12.75" customHeight="1" x14ac:dyDescent="0.2"/>
    <row r="3540" ht="12.75" customHeight="1" x14ac:dyDescent="0.2"/>
    <row r="3541" ht="12.75" customHeight="1" x14ac:dyDescent="0.2"/>
    <row r="3542" ht="12.75" customHeight="1" x14ac:dyDescent="0.2"/>
    <row r="3543" ht="12.75" customHeight="1" x14ac:dyDescent="0.2"/>
    <row r="3544" ht="12.75" customHeight="1" x14ac:dyDescent="0.2"/>
    <row r="3545" ht="12.75" customHeight="1" x14ac:dyDescent="0.2"/>
    <row r="3546" ht="12.75" customHeight="1" x14ac:dyDescent="0.2"/>
    <row r="3547" ht="12.75" customHeight="1" x14ac:dyDescent="0.2"/>
    <row r="3548" ht="12.75" customHeight="1" x14ac:dyDescent="0.2"/>
    <row r="3549" ht="12.75" customHeight="1" x14ac:dyDescent="0.2"/>
    <row r="3550" ht="12.75" customHeight="1" x14ac:dyDescent="0.2"/>
    <row r="3551" ht="12.75" customHeight="1" x14ac:dyDescent="0.2"/>
    <row r="3552" ht="12.75" customHeight="1" x14ac:dyDescent="0.2"/>
    <row r="3553" ht="12.75" customHeight="1" x14ac:dyDescent="0.2"/>
    <row r="3554" ht="12.75" customHeight="1" x14ac:dyDescent="0.2"/>
    <row r="3555" ht="12.75" customHeight="1" x14ac:dyDescent="0.2"/>
    <row r="3556" ht="12.75" customHeight="1" x14ac:dyDescent="0.2"/>
    <row r="3557" ht="12.75" customHeight="1" x14ac:dyDescent="0.2"/>
    <row r="3558" ht="12.75" customHeight="1" x14ac:dyDescent="0.2"/>
    <row r="3559" ht="12.75" customHeight="1" x14ac:dyDescent="0.2"/>
    <row r="3560" ht="12.75" customHeight="1" x14ac:dyDescent="0.2"/>
    <row r="3561" ht="12.75" customHeight="1" x14ac:dyDescent="0.2"/>
    <row r="3562" ht="12.75" customHeight="1" x14ac:dyDescent="0.2"/>
    <row r="3563" ht="12.75" customHeight="1" x14ac:dyDescent="0.2"/>
    <row r="3564" ht="12.75" customHeight="1" x14ac:dyDescent="0.2"/>
    <row r="3565" ht="12.75" customHeight="1" x14ac:dyDescent="0.2"/>
    <row r="3566" ht="12.75" customHeight="1" x14ac:dyDescent="0.2"/>
    <row r="3567" ht="12.75" customHeight="1" x14ac:dyDescent="0.2"/>
    <row r="3568" ht="12.75" customHeight="1" x14ac:dyDescent="0.2"/>
    <row r="3569" ht="12.75" customHeight="1" x14ac:dyDescent="0.2"/>
    <row r="3570" ht="12.75" customHeight="1" x14ac:dyDescent="0.2"/>
    <row r="3571" ht="12.75" customHeight="1" x14ac:dyDescent="0.2"/>
    <row r="3572" ht="12.75" customHeight="1" x14ac:dyDescent="0.2"/>
    <row r="3573" ht="12.75" customHeight="1" x14ac:dyDescent="0.2"/>
    <row r="3574" ht="12.75" customHeight="1" x14ac:dyDescent="0.2"/>
    <row r="3575" ht="12.75" customHeight="1" x14ac:dyDescent="0.2"/>
    <row r="3576" ht="12.75" customHeight="1" x14ac:dyDescent="0.2"/>
    <row r="3577" ht="12.75" customHeight="1" x14ac:dyDescent="0.2"/>
    <row r="3578" ht="12.75" customHeight="1" x14ac:dyDescent="0.2"/>
    <row r="3579" ht="12.75" customHeight="1" x14ac:dyDescent="0.2"/>
    <row r="3580" ht="12.75" customHeight="1" x14ac:dyDescent="0.2"/>
    <row r="3581" ht="12.75" customHeight="1" x14ac:dyDescent="0.2"/>
    <row r="3582" ht="12.75" customHeight="1" x14ac:dyDescent="0.2"/>
    <row r="3583" ht="12.75" customHeight="1" x14ac:dyDescent="0.2"/>
    <row r="3584" ht="12.75" customHeight="1" x14ac:dyDescent="0.2"/>
    <row r="3585" ht="12.75" customHeight="1" x14ac:dyDescent="0.2"/>
    <row r="3586" ht="12.75" customHeight="1" x14ac:dyDescent="0.2"/>
    <row r="3587" ht="12.75" customHeight="1" x14ac:dyDescent="0.2"/>
    <row r="3588" ht="12.75" customHeight="1" x14ac:dyDescent="0.2"/>
    <row r="3589" ht="12.75" customHeight="1" x14ac:dyDescent="0.2"/>
    <row r="3590" ht="12.75" customHeight="1" x14ac:dyDescent="0.2"/>
    <row r="3591" ht="12.75" customHeight="1" x14ac:dyDescent="0.2"/>
    <row r="3592" ht="12.75" customHeight="1" x14ac:dyDescent="0.2"/>
    <row r="3593" ht="12.75" customHeight="1" x14ac:dyDescent="0.2"/>
    <row r="3594" ht="12.75" customHeight="1" x14ac:dyDescent="0.2"/>
    <row r="3595" ht="12.75" customHeight="1" x14ac:dyDescent="0.2"/>
    <row r="3596" ht="12.75" customHeight="1" x14ac:dyDescent="0.2"/>
    <row r="3597" ht="12.75" customHeight="1" x14ac:dyDescent="0.2"/>
    <row r="3598" ht="12.75" customHeight="1" x14ac:dyDescent="0.2"/>
    <row r="3599" ht="12.75" customHeight="1" x14ac:dyDescent="0.2"/>
    <row r="3600" ht="12.75" customHeight="1" x14ac:dyDescent="0.2"/>
    <row r="3601" ht="12.75" customHeight="1" x14ac:dyDescent="0.2"/>
    <row r="3602" ht="12.75" customHeight="1" x14ac:dyDescent="0.2"/>
    <row r="3603" ht="12.75" customHeight="1" x14ac:dyDescent="0.2"/>
    <row r="3604" ht="12.75" customHeight="1" x14ac:dyDescent="0.2"/>
    <row r="3605" ht="12.75" customHeight="1" x14ac:dyDescent="0.2"/>
    <row r="3606" ht="12.75" customHeight="1" x14ac:dyDescent="0.2"/>
    <row r="3607" ht="12.75" customHeight="1" x14ac:dyDescent="0.2"/>
    <row r="3608" ht="12.75" customHeight="1" x14ac:dyDescent="0.2"/>
    <row r="3609" ht="12.75" customHeight="1" x14ac:dyDescent="0.2"/>
    <row r="3610" ht="12.75" customHeight="1" x14ac:dyDescent="0.2"/>
    <row r="3611" ht="12.75" customHeight="1" x14ac:dyDescent="0.2"/>
    <row r="3612" ht="12.75" customHeight="1" x14ac:dyDescent="0.2"/>
    <row r="3613" ht="12.75" customHeight="1" x14ac:dyDescent="0.2"/>
    <row r="3614" ht="12.75" customHeight="1" x14ac:dyDescent="0.2"/>
    <row r="3615" ht="12.75" customHeight="1" x14ac:dyDescent="0.2"/>
    <row r="3616" ht="12.75" customHeight="1" x14ac:dyDescent="0.2"/>
    <row r="3617" ht="12.75" customHeight="1" x14ac:dyDescent="0.2"/>
    <row r="3618" ht="12.75" customHeight="1" x14ac:dyDescent="0.2"/>
    <row r="3619" ht="12.75" customHeight="1" x14ac:dyDescent="0.2"/>
    <row r="3620" ht="12.75" customHeight="1" x14ac:dyDescent="0.2"/>
    <row r="3621" ht="12.75" customHeight="1" x14ac:dyDescent="0.2"/>
    <row r="3622" ht="12.75" customHeight="1" x14ac:dyDescent="0.2"/>
    <row r="3623" ht="12.75" customHeight="1" x14ac:dyDescent="0.2"/>
    <row r="3624" ht="12.75" customHeight="1" x14ac:dyDescent="0.2"/>
    <row r="3625" ht="12.75" customHeight="1" x14ac:dyDescent="0.2"/>
    <row r="3626" ht="12.75" customHeight="1" x14ac:dyDescent="0.2"/>
    <row r="3627" ht="12.75" customHeight="1" x14ac:dyDescent="0.2"/>
    <row r="3628" ht="12.75" customHeight="1" x14ac:dyDescent="0.2"/>
    <row r="3629" ht="12.75" customHeight="1" x14ac:dyDescent="0.2"/>
    <row r="3630" ht="12.75" customHeight="1" x14ac:dyDescent="0.2"/>
    <row r="3631" ht="12.75" customHeight="1" x14ac:dyDescent="0.2"/>
    <row r="3632" ht="12.75" customHeight="1" x14ac:dyDescent="0.2"/>
    <row r="3633" ht="12.75" customHeight="1" x14ac:dyDescent="0.2"/>
    <row r="3634" ht="12.75" customHeight="1" x14ac:dyDescent="0.2"/>
    <row r="3635" ht="12.75" customHeight="1" x14ac:dyDescent="0.2"/>
    <row r="3636" ht="12.75" customHeight="1" x14ac:dyDescent="0.2"/>
    <row r="3637" ht="12.75" customHeight="1" x14ac:dyDescent="0.2"/>
    <row r="3638" ht="12.75" customHeight="1" x14ac:dyDescent="0.2"/>
    <row r="3639" ht="12.75" customHeight="1" x14ac:dyDescent="0.2"/>
    <row r="3640" ht="12.75" customHeight="1" x14ac:dyDescent="0.2"/>
    <row r="3641" ht="12.75" customHeight="1" x14ac:dyDescent="0.2"/>
    <row r="3642" ht="12.75" customHeight="1" x14ac:dyDescent="0.2"/>
    <row r="3643" ht="12.75" customHeight="1" x14ac:dyDescent="0.2"/>
    <row r="3644" ht="12.75" customHeight="1" x14ac:dyDescent="0.2"/>
    <row r="3645" ht="12.75" customHeight="1" x14ac:dyDescent="0.2"/>
    <row r="3646" ht="12.75" customHeight="1" x14ac:dyDescent="0.2"/>
    <row r="3647" ht="12.75" customHeight="1" x14ac:dyDescent="0.2"/>
    <row r="3648" ht="12.75" customHeight="1" x14ac:dyDescent="0.2"/>
    <row r="3649" ht="12.75" customHeight="1" x14ac:dyDescent="0.2"/>
    <row r="3650" ht="12.75" customHeight="1" x14ac:dyDescent="0.2"/>
    <row r="3651" ht="12.75" customHeight="1" x14ac:dyDescent="0.2"/>
    <row r="3652" ht="12.75" customHeight="1" x14ac:dyDescent="0.2"/>
    <row r="3653" ht="12.75" customHeight="1" x14ac:dyDescent="0.2"/>
    <row r="3654" ht="12.75" customHeight="1" x14ac:dyDescent="0.2"/>
    <row r="3655" ht="12.75" customHeight="1" x14ac:dyDescent="0.2"/>
    <row r="3656" ht="12.75" customHeight="1" x14ac:dyDescent="0.2"/>
    <row r="3657" ht="12.75" customHeight="1" x14ac:dyDescent="0.2"/>
    <row r="3658" ht="12.75" customHeight="1" x14ac:dyDescent="0.2"/>
    <row r="3659" ht="12.75" customHeight="1" x14ac:dyDescent="0.2"/>
    <row r="3660" ht="12.75" customHeight="1" x14ac:dyDescent="0.2"/>
    <row r="3661" ht="12.75" customHeight="1" x14ac:dyDescent="0.2"/>
    <row r="3662" ht="12.75" customHeight="1" x14ac:dyDescent="0.2"/>
    <row r="3663" ht="12.75" customHeight="1" x14ac:dyDescent="0.2"/>
    <row r="3664" ht="12.75" customHeight="1" x14ac:dyDescent="0.2"/>
    <row r="3665" ht="12.75" customHeight="1" x14ac:dyDescent="0.2"/>
    <row r="3666" ht="12.75" customHeight="1" x14ac:dyDescent="0.2"/>
    <row r="3667" ht="12.75" customHeight="1" x14ac:dyDescent="0.2"/>
    <row r="3668" ht="12.75" customHeight="1" x14ac:dyDescent="0.2"/>
    <row r="3669" ht="12.75" customHeight="1" x14ac:dyDescent="0.2"/>
    <row r="3670" ht="12.75" customHeight="1" x14ac:dyDescent="0.2"/>
    <row r="3671" ht="12.75" customHeight="1" x14ac:dyDescent="0.2"/>
    <row r="3672" ht="12.75" customHeight="1" x14ac:dyDescent="0.2"/>
    <row r="3673" ht="12.75" customHeight="1" x14ac:dyDescent="0.2"/>
    <row r="3674" ht="12.75" customHeight="1" x14ac:dyDescent="0.2"/>
    <row r="3675" ht="12.75" customHeight="1" x14ac:dyDescent="0.2"/>
    <row r="3676" ht="12.75" customHeight="1" x14ac:dyDescent="0.2"/>
    <row r="3677" ht="12.75" customHeight="1" x14ac:dyDescent="0.2"/>
    <row r="3678" ht="12.75" customHeight="1" x14ac:dyDescent="0.2"/>
    <row r="3679" ht="12.75" customHeight="1" x14ac:dyDescent="0.2"/>
    <row r="3680" ht="12.75" customHeight="1" x14ac:dyDescent="0.2"/>
    <row r="3681" ht="12.75" customHeight="1" x14ac:dyDescent="0.2"/>
    <row r="3682" ht="12.75" customHeight="1" x14ac:dyDescent="0.2"/>
    <row r="3683" ht="12.75" customHeight="1" x14ac:dyDescent="0.2"/>
    <row r="3684" ht="12.75" customHeight="1" x14ac:dyDescent="0.2"/>
    <row r="3685" ht="12.75" customHeight="1" x14ac:dyDescent="0.2"/>
    <row r="3686" ht="12.75" customHeight="1" x14ac:dyDescent="0.2"/>
    <row r="3687" ht="12.75" customHeight="1" x14ac:dyDescent="0.2"/>
    <row r="3688" ht="12.75" customHeight="1" x14ac:dyDescent="0.2"/>
    <row r="3689" ht="12.75" customHeight="1" x14ac:dyDescent="0.2"/>
    <row r="3690" ht="12.75" customHeight="1" x14ac:dyDescent="0.2"/>
    <row r="3691" ht="12.75" customHeight="1" x14ac:dyDescent="0.2"/>
    <row r="3692" ht="12.75" customHeight="1" x14ac:dyDescent="0.2"/>
    <row r="3693" ht="12.75" customHeight="1" x14ac:dyDescent="0.2"/>
    <row r="3694" ht="12.75" customHeight="1" x14ac:dyDescent="0.2"/>
    <row r="3695" ht="12.75" customHeight="1" x14ac:dyDescent="0.2"/>
    <row r="3696" ht="12.75" customHeight="1" x14ac:dyDescent="0.2"/>
    <row r="3697" ht="12.75" customHeight="1" x14ac:dyDescent="0.2"/>
    <row r="3698" ht="12.75" customHeight="1" x14ac:dyDescent="0.2"/>
    <row r="3699" ht="12.75" customHeight="1" x14ac:dyDescent="0.2"/>
    <row r="3700" ht="12.75" customHeight="1" x14ac:dyDescent="0.2"/>
    <row r="3701" ht="12.75" customHeight="1" x14ac:dyDescent="0.2"/>
    <row r="3702" ht="12.75" customHeight="1" x14ac:dyDescent="0.2"/>
    <row r="3703" ht="12.75" customHeight="1" x14ac:dyDescent="0.2"/>
    <row r="3704" ht="12.75" customHeight="1" x14ac:dyDescent="0.2"/>
    <row r="3705" ht="12.75" customHeight="1" x14ac:dyDescent="0.2"/>
    <row r="3706" ht="12.75" customHeight="1" x14ac:dyDescent="0.2"/>
    <row r="3707" ht="12.75" customHeight="1" x14ac:dyDescent="0.2"/>
    <row r="3708" ht="12.75" customHeight="1" x14ac:dyDescent="0.2"/>
    <row r="3709" ht="12.75" customHeight="1" x14ac:dyDescent="0.2"/>
    <row r="3710" ht="12.75" customHeight="1" x14ac:dyDescent="0.2"/>
    <row r="3711" ht="12.75" customHeight="1" x14ac:dyDescent="0.2"/>
    <row r="3712" ht="12.75" customHeight="1" x14ac:dyDescent="0.2"/>
    <row r="3713" ht="12.75" customHeight="1" x14ac:dyDescent="0.2"/>
    <row r="3714" ht="12.75" customHeight="1" x14ac:dyDescent="0.2"/>
    <row r="3715" ht="12.75" customHeight="1" x14ac:dyDescent="0.2"/>
    <row r="3716" ht="12.75" customHeight="1" x14ac:dyDescent="0.2"/>
    <row r="3717" ht="12.75" customHeight="1" x14ac:dyDescent="0.2"/>
    <row r="3718" ht="12.75" customHeight="1" x14ac:dyDescent="0.2"/>
    <row r="3719" ht="12.75" customHeight="1" x14ac:dyDescent="0.2"/>
    <row r="3720" ht="12.75" customHeight="1" x14ac:dyDescent="0.2"/>
    <row r="3721" ht="12.75" customHeight="1" x14ac:dyDescent="0.2"/>
    <row r="3722" ht="12.75" customHeight="1" x14ac:dyDescent="0.2"/>
    <row r="3723" ht="12.75" customHeight="1" x14ac:dyDescent="0.2"/>
    <row r="3724" ht="12.75" customHeight="1" x14ac:dyDescent="0.2"/>
    <row r="3725" ht="12.75" customHeight="1" x14ac:dyDescent="0.2"/>
    <row r="3726" ht="12.75" customHeight="1" x14ac:dyDescent="0.2"/>
    <row r="3727" ht="12.75" customHeight="1" x14ac:dyDescent="0.2"/>
    <row r="3728" ht="12.75" customHeight="1" x14ac:dyDescent="0.2"/>
    <row r="3729" ht="12.75" customHeight="1" x14ac:dyDescent="0.2"/>
    <row r="3730" ht="12.75" customHeight="1" x14ac:dyDescent="0.2"/>
    <row r="3731" ht="12.75" customHeight="1" x14ac:dyDescent="0.2"/>
    <row r="3732" ht="12.75" customHeight="1" x14ac:dyDescent="0.2"/>
    <row r="3733" ht="12.75" customHeight="1" x14ac:dyDescent="0.2"/>
    <row r="3734" ht="12.75" customHeight="1" x14ac:dyDescent="0.2"/>
    <row r="3735" ht="12.75" customHeight="1" x14ac:dyDescent="0.2"/>
    <row r="3736" ht="12.75" customHeight="1" x14ac:dyDescent="0.2"/>
    <row r="3737" ht="12.75" customHeight="1" x14ac:dyDescent="0.2"/>
    <row r="3738" ht="12.75" customHeight="1" x14ac:dyDescent="0.2"/>
    <row r="3739" ht="12.75" customHeight="1" x14ac:dyDescent="0.2"/>
    <row r="3740" ht="12.75" customHeight="1" x14ac:dyDescent="0.2"/>
    <row r="3741" ht="12.75" customHeight="1" x14ac:dyDescent="0.2"/>
    <row r="3742" ht="12.75" customHeight="1" x14ac:dyDescent="0.2"/>
    <row r="3743" ht="12.75" customHeight="1" x14ac:dyDescent="0.2"/>
    <row r="3744" ht="12.75" customHeight="1" x14ac:dyDescent="0.2"/>
    <row r="3745" ht="12.75" customHeight="1" x14ac:dyDescent="0.2"/>
    <row r="3746" ht="12.75" customHeight="1" x14ac:dyDescent="0.2"/>
    <row r="3747" ht="12.75" customHeight="1" x14ac:dyDescent="0.2"/>
    <row r="3748" ht="12.75" customHeight="1" x14ac:dyDescent="0.2"/>
    <row r="3749" ht="12.75" customHeight="1" x14ac:dyDescent="0.2"/>
    <row r="3750" ht="12.75" customHeight="1" x14ac:dyDescent="0.2"/>
    <row r="3751" ht="12.75" customHeight="1" x14ac:dyDescent="0.2"/>
    <row r="3752" ht="12.75" customHeight="1" x14ac:dyDescent="0.2"/>
    <row r="3753" ht="12.75" customHeight="1" x14ac:dyDescent="0.2"/>
    <row r="3754" ht="12.75" customHeight="1" x14ac:dyDescent="0.2"/>
    <row r="3755" ht="12.75" customHeight="1" x14ac:dyDescent="0.2"/>
    <row r="3756" ht="12.75" customHeight="1" x14ac:dyDescent="0.2"/>
    <row r="3757" ht="12.75" customHeight="1" x14ac:dyDescent="0.2"/>
    <row r="3758" ht="12.75" customHeight="1" x14ac:dyDescent="0.2"/>
    <row r="3759" ht="12.75" customHeight="1" x14ac:dyDescent="0.2"/>
    <row r="3760" ht="12.75" customHeight="1" x14ac:dyDescent="0.2"/>
    <row r="3761" ht="12.75" customHeight="1" x14ac:dyDescent="0.2"/>
    <row r="3762" ht="12.75" customHeight="1" x14ac:dyDescent="0.2"/>
    <row r="3763" ht="12.75" customHeight="1" x14ac:dyDescent="0.2"/>
    <row r="3764" ht="12.75" customHeight="1" x14ac:dyDescent="0.2"/>
    <row r="3765" ht="12.75" customHeight="1" x14ac:dyDescent="0.2"/>
    <row r="3766" ht="12.75" customHeight="1" x14ac:dyDescent="0.2"/>
    <row r="3767" ht="12.75" customHeight="1" x14ac:dyDescent="0.2"/>
    <row r="3768" ht="12.75" customHeight="1" x14ac:dyDescent="0.2"/>
    <row r="3769" ht="12.75" customHeight="1" x14ac:dyDescent="0.2"/>
    <row r="3770" ht="12.75" customHeight="1" x14ac:dyDescent="0.2"/>
    <row r="3771" ht="12.75" customHeight="1" x14ac:dyDescent="0.2"/>
    <row r="3772" ht="12.75" customHeight="1" x14ac:dyDescent="0.2"/>
    <row r="3773" ht="12.75" customHeight="1" x14ac:dyDescent="0.2"/>
    <row r="3774" ht="12.75" customHeight="1" x14ac:dyDescent="0.2"/>
    <row r="3775" ht="12.75" customHeight="1" x14ac:dyDescent="0.2"/>
    <row r="3776" ht="12.75" customHeight="1" x14ac:dyDescent="0.2"/>
    <row r="3777" ht="12.75" customHeight="1" x14ac:dyDescent="0.2"/>
    <row r="3778" ht="12.75" customHeight="1" x14ac:dyDescent="0.2"/>
    <row r="3779" ht="12.75" customHeight="1" x14ac:dyDescent="0.2"/>
    <row r="3780" ht="12.75" customHeight="1" x14ac:dyDescent="0.2"/>
    <row r="3781" ht="12.75" customHeight="1" x14ac:dyDescent="0.2"/>
    <row r="3782" ht="12.75" customHeight="1" x14ac:dyDescent="0.2"/>
    <row r="3783" ht="12.75" customHeight="1" x14ac:dyDescent="0.2"/>
    <row r="3784" ht="12.75" customHeight="1" x14ac:dyDescent="0.2"/>
    <row r="3785" ht="12.75" customHeight="1" x14ac:dyDescent="0.2"/>
    <row r="3786" ht="12.75" customHeight="1" x14ac:dyDescent="0.2"/>
    <row r="3787" ht="12.75" customHeight="1" x14ac:dyDescent="0.2"/>
    <row r="3788" ht="12.75" customHeight="1" x14ac:dyDescent="0.2"/>
    <row r="3789" ht="12.75" customHeight="1" x14ac:dyDescent="0.2"/>
    <row r="3790" ht="12.75" customHeight="1" x14ac:dyDescent="0.2"/>
    <row r="3791" ht="12.75" customHeight="1" x14ac:dyDescent="0.2"/>
    <row r="3792" ht="12.75" customHeight="1" x14ac:dyDescent="0.2"/>
    <row r="3793" ht="12.75" customHeight="1" x14ac:dyDescent="0.2"/>
    <row r="3794" ht="12.75" customHeight="1" x14ac:dyDescent="0.2"/>
    <row r="3795" ht="12.75" customHeight="1" x14ac:dyDescent="0.2"/>
    <row r="3796" ht="12.75" customHeight="1" x14ac:dyDescent="0.2"/>
    <row r="3797" ht="12.75" customHeight="1" x14ac:dyDescent="0.2"/>
    <row r="3798" ht="12.75" customHeight="1" x14ac:dyDescent="0.2"/>
    <row r="3799" ht="12.75" customHeight="1" x14ac:dyDescent="0.2"/>
    <row r="3800" ht="12.75" customHeight="1" x14ac:dyDescent="0.2"/>
    <row r="3801" ht="12.75" customHeight="1" x14ac:dyDescent="0.2"/>
    <row r="3802" ht="12.75" customHeight="1" x14ac:dyDescent="0.2"/>
    <row r="3803" ht="12.75" customHeight="1" x14ac:dyDescent="0.2"/>
    <row r="3804" ht="12.75" customHeight="1" x14ac:dyDescent="0.2"/>
    <row r="3805" ht="12.75" customHeight="1" x14ac:dyDescent="0.2"/>
    <row r="3806" ht="12.75" customHeight="1" x14ac:dyDescent="0.2"/>
    <row r="3807" ht="12.75" customHeight="1" x14ac:dyDescent="0.2"/>
    <row r="3808" ht="12.75" customHeight="1" x14ac:dyDescent="0.2"/>
    <row r="3809" ht="12.75" customHeight="1" x14ac:dyDescent="0.2"/>
    <row r="3810" ht="12.75" customHeight="1" x14ac:dyDescent="0.2"/>
    <row r="3811" ht="12.75" customHeight="1" x14ac:dyDescent="0.2"/>
    <row r="3812" ht="12.75" customHeight="1" x14ac:dyDescent="0.2"/>
    <row r="3813" ht="12.75" customHeight="1" x14ac:dyDescent="0.2"/>
    <row r="3814" ht="12.75" customHeight="1" x14ac:dyDescent="0.2"/>
    <row r="3815" ht="12.75" customHeight="1" x14ac:dyDescent="0.2"/>
    <row r="3816" ht="12.75" customHeight="1" x14ac:dyDescent="0.2"/>
    <row r="3817" ht="12.75" customHeight="1" x14ac:dyDescent="0.2"/>
    <row r="3818" ht="12.75" customHeight="1" x14ac:dyDescent="0.2"/>
    <row r="3819" ht="12.75" customHeight="1" x14ac:dyDescent="0.2"/>
    <row r="3820" ht="12.75" customHeight="1" x14ac:dyDescent="0.2"/>
    <row r="3821" ht="12.75" customHeight="1" x14ac:dyDescent="0.2"/>
    <row r="3822" ht="12.75" customHeight="1" x14ac:dyDescent="0.2"/>
    <row r="3823" ht="12.75" customHeight="1" x14ac:dyDescent="0.2"/>
    <row r="3824" ht="12.75" customHeight="1" x14ac:dyDescent="0.2"/>
    <row r="3825" ht="12.75" customHeight="1" x14ac:dyDescent="0.2"/>
    <row r="3826" ht="12.75" customHeight="1" x14ac:dyDescent="0.2"/>
    <row r="3827" ht="12.75" customHeight="1" x14ac:dyDescent="0.2"/>
    <row r="3828" ht="12.75" customHeight="1" x14ac:dyDescent="0.2"/>
    <row r="3829" ht="12.75" customHeight="1" x14ac:dyDescent="0.2"/>
    <row r="3830" ht="12.75" customHeight="1" x14ac:dyDescent="0.2"/>
    <row r="3831" ht="12.75" customHeight="1" x14ac:dyDescent="0.2"/>
    <row r="3832" ht="12.75" customHeight="1" x14ac:dyDescent="0.2"/>
    <row r="3833" ht="12.75" customHeight="1" x14ac:dyDescent="0.2"/>
    <row r="3834" ht="12.75" customHeight="1" x14ac:dyDescent="0.2"/>
    <row r="3835" ht="12.75" customHeight="1" x14ac:dyDescent="0.2"/>
    <row r="3836" ht="12.75" customHeight="1" x14ac:dyDescent="0.2"/>
    <row r="3837" ht="12.75" customHeight="1" x14ac:dyDescent="0.2"/>
    <row r="3838" ht="12.75" customHeight="1" x14ac:dyDescent="0.2"/>
    <row r="3839" ht="12.75" customHeight="1" x14ac:dyDescent="0.2"/>
    <row r="3840" ht="12.75" customHeight="1" x14ac:dyDescent="0.2"/>
    <row r="3841" ht="12.75" customHeight="1" x14ac:dyDescent="0.2"/>
    <row r="3842" ht="12.75" customHeight="1" x14ac:dyDescent="0.2"/>
    <row r="3843" ht="12.75" customHeight="1" x14ac:dyDescent="0.2"/>
    <row r="3844" ht="12.75" customHeight="1" x14ac:dyDescent="0.2"/>
    <row r="3845" ht="12.75" customHeight="1" x14ac:dyDescent="0.2"/>
    <row r="3846" ht="12.75" customHeight="1" x14ac:dyDescent="0.2"/>
    <row r="3847" ht="12.75" customHeight="1" x14ac:dyDescent="0.2"/>
    <row r="3848" ht="12.75" customHeight="1" x14ac:dyDescent="0.2"/>
    <row r="3849" ht="12.75" customHeight="1" x14ac:dyDescent="0.2"/>
    <row r="3850" ht="12.75" customHeight="1" x14ac:dyDescent="0.2"/>
    <row r="3851" ht="12.75" customHeight="1" x14ac:dyDescent="0.2"/>
    <row r="3852" ht="12.75" customHeight="1" x14ac:dyDescent="0.2"/>
    <row r="3853" ht="12.75" customHeight="1" x14ac:dyDescent="0.2"/>
    <row r="3854" ht="12.75" customHeight="1" x14ac:dyDescent="0.2"/>
    <row r="3855" ht="12.75" customHeight="1" x14ac:dyDescent="0.2"/>
    <row r="3856" ht="12.75" customHeight="1" x14ac:dyDescent="0.2"/>
    <row r="3857" ht="12.75" customHeight="1" x14ac:dyDescent="0.2"/>
    <row r="3858" ht="12.75" customHeight="1" x14ac:dyDescent="0.2"/>
    <row r="3859" ht="12.75" customHeight="1" x14ac:dyDescent="0.2"/>
    <row r="3860" ht="12.75" customHeight="1" x14ac:dyDescent="0.2"/>
    <row r="3861" ht="12.75" customHeight="1" x14ac:dyDescent="0.2"/>
    <row r="3862" ht="12.75" customHeight="1" x14ac:dyDescent="0.2"/>
    <row r="3863" ht="12.75" customHeight="1" x14ac:dyDescent="0.2"/>
    <row r="3864" ht="12.75" customHeight="1" x14ac:dyDescent="0.2"/>
    <row r="3865" ht="12.75" customHeight="1" x14ac:dyDescent="0.2"/>
    <row r="3866" ht="12.75" customHeight="1" x14ac:dyDescent="0.2"/>
    <row r="3867" ht="12.75" customHeight="1" x14ac:dyDescent="0.2"/>
    <row r="3868" ht="12.75" customHeight="1" x14ac:dyDescent="0.2"/>
    <row r="3869" ht="12.75" customHeight="1" x14ac:dyDescent="0.2"/>
    <row r="3870" ht="12.75" customHeight="1" x14ac:dyDescent="0.2"/>
    <row r="3871" ht="12.75" customHeight="1" x14ac:dyDescent="0.2"/>
    <row r="3872" ht="12.75" customHeight="1" x14ac:dyDescent="0.2"/>
    <row r="3873" ht="12.75" customHeight="1" x14ac:dyDescent="0.2"/>
    <row r="3874" ht="12.75" customHeight="1" x14ac:dyDescent="0.2"/>
    <row r="3875" ht="12.75" customHeight="1" x14ac:dyDescent="0.2"/>
    <row r="3876" ht="12.75" customHeight="1" x14ac:dyDescent="0.2"/>
    <row r="3877" ht="12.75" customHeight="1" x14ac:dyDescent="0.2"/>
    <row r="3878" ht="12.75" customHeight="1" x14ac:dyDescent="0.2"/>
    <row r="3879" ht="12.75" customHeight="1" x14ac:dyDescent="0.2"/>
    <row r="3880" ht="12.75" customHeight="1" x14ac:dyDescent="0.2"/>
    <row r="3881" ht="12.75" customHeight="1" x14ac:dyDescent="0.2"/>
    <row r="3882" ht="12.75" customHeight="1" x14ac:dyDescent="0.2"/>
    <row r="3883" ht="12.75" customHeight="1" x14ac:dyDescent="0.2"/>
    <row r="3884" ht="12.75" customHeight="1" x14ac:dyDescent="0.2"/>
    <row r="3885" ht="12.75" customHeight="1" x14ac:dyDescent="0.2"/>
    <row r="3886" ht="12.75" customHeight="1" x14ac:dyDescent="0.2"/>
    <row r="3887" ht="12.75" customHeight="1" x14ac:dyDescent="0.2"/>
    <row r="3888" ht="12.75" customHeight="1" x14ac:dyDescent="0.2"/>
    <row r="3889" ht="12.75" customHeight="1" x14ac:dyDescent="0.2"/>
    <row r="3890" ht="12.75" customHeight="1" x14ac:dyDescent="0.2"/>
    <row r="3891" ht="12.75" customHeight="1" x14ac:dyDescent="0.2"/>
    <row r="3892" ht="12.75" customHeight="1" x14ac:dyDescent="0.2"/>
    <row r="3893" ht="12.75" customHeight="1" x14ac:dyDescent="0.2"/>
    <row r="3894" ht="12.75" customHeight="1" x14ac:dyDescent="0.2"/>
    <row r="3895" ht="12.75" customHeight="1" x14ac:dyDescent="0.2"/>
    <row r="3896" ht="12.75" customHeight="1" x14ac:dyDescent="0.2"/>
    <row r="3897" ht="12.75" customHeight="1" x14ac:dyDescent="0.2"/>
    <row r="3898" ht="12.75" customHeight="1" x14ac:dyDescent="0.2"/>
    <row r="3899" ht="12.75" customHeight="1" x14ac:dyDescent="0.2"/>
    <row r="3900" ht="12.75" customHeight="1" x14ac:dyDescent="0.2"/>
    <row r="3901" ht="12.75" customHeight="1" x14ac:dyDescent="0.2"/>
    <row r="3902" ht="12.75" customHeight="1" x14ac:dyDescent="0.2"/>
    <row r="3903" ht="12.75" customHeight="1" x14ac:dyDescent="0.2"/>
    <row r="3904" ht="12.75" customHeight="1" x14ac:dyDescent="0.2"/>
    <row r="3905" ht="12.75" customHeight="1" x14ac:dyDescent="0.2"/>
    <row r="3906" ht="12.75" customHeight="1" x14ac:dyDescent="0.2"/>
    <row r="3907" ht="12.75" customHeight="1" x14ac:dyDescent="0.2"/>
    <row r="3908" ht="12.75" customHeight="1" x14ac:dyDescent="0.2"/>
    <row r="3909" ht="12.75" customHeight="1" x14ac:dyDescent="0.2"/>
    <row r="3910" ht="12.75" customHeight="1" x14ac:dyDescent="0.2"/>
    <row r="3911" ht="12.75" customHeight="1" x14ac:dyDescent="0.2"/>
    <row r="3912" ht="12.75" customHeight="1" x14ac:dyDescent="0.2"/>
    <row r="3913" ht="12.75" customHeight="1" x14ac:dyDescent="0.2"/>
    <row r="3914" ht="12.75" customHeight="1" x14ac:dyDescent="0.2"/>
    <row r="3915" ht="12.75" customHeight="1" x14ac:dyDescent="0.2"/>
    <row r="3916" ht="12.75" customHeight="1" x14ac:dyDescent="0.2"/>
    <row r="3917" ht="12.75" customHeight="1" x14ac:dyDescent="0.2"/>
    <row r="3918" ht="12.75" customHeight="1" x14ac:dyDescent="0.2"/>
    <row r="3919" ht="12.75" customHeight="1" x14ac:dyDescent="0.2"/>
    <row r="3920" ht="12.75" customHeight="1" x14ac:dyDescent="0.2"/>
    <row r="3921" ht="12.75" customHeight="1" x14ac:dyDescent="0.2"/>
    <row r="3922" ht="12.75" customHeight="1" x14ac:dyDescent="0.2"/>
    <row r="3923" ht="12.75" customHeight="1" x14ac:dyDescent="0.2"/>
    <row r="3924" ht="12.75" customHeight="1" x14ac:dyDescent="0.2"/>
    <row r="3925" ht="12.75" customHeight="1" x14ac:dyDescent="0.2"/>
    <row r="3926" ht="12.75" customHeight="1" x14ac:dyDescent="0.2"/>
    <row r="3927" ht="12.75" customHeight="1" x14ac:dyDescent="0.2"/>
    <row r="3928" ht="12.75" customHeight="1" x14ac:dyDescent="0.2"/>
    <row r="3929" ht="12.75" customHeight="1" x14ac:dyDescent="0.2"/>
    <row r="3930" ht="12.75" customHeight="1" x14ac:dyDescent="0.2"/>
    <row r="3931" ht="12.75" customHeight="1" x14ac:dyDescent="0.2"/>
    <row r="3932" ht="12.75" customHeight="1" x14ac:dyDescent="0.2"/>
    <row r="3933" ht="12.75" customHeight="1" x14ac:dyDescent="0.2"/>
    <row r="3934" ht="12.75" customHeight="1" x14ac:dyDescent="0.2"/>
    <row r="3935" ht="12.75" customHeight="1" x14ac:dyDescent="0.2"/>
    <row r="3936" ht="12.75" customHeight="1" x14ac:dyDescent="0.2"/>
    <row r="3937" ht="12.75" customHeight="1" x14ac:dyDescent="0.2"/>
    <row r="3938" ht="12.75" customHeight="1" x14ac:dyDescent="0.2"/>
    <row r="3939" ht="12.75" customHeight="1" x14ac:dyDescent="0.2"/>
    <row r="3940" ht="12.75" customHeight="1" x14ac:dyDescent="0.2"/>
    <row r="3941" ht="12.75" customHeight="1" x14ac:dyDescent="0.2"/>
    <row r="3942" ht="12.75" customHeight="1" x14ac:dyDescent="0.2"/>
    <row r="3943" ht="12.75" customHeight="1" x14ac:dyDescent="0.2"/>
    <row r="3944" ht="12.75" customHeight="1" x14ac:dyDescent="0.2"/>
    <row r="3945" ht="12.75" customHeight="1" x14ac:dyDescent="0.2"/>
    <row r="3946" ht="12.75" customHeight="1" x14ac:dyDescent="0.2"/>
    <row r="3947" ht="12.75" customHeight="1" x14ac:dyDescent="0.2"/>
    <row r="3948" ht="12.75" customHeight="1" x14ac:dyDescent="0.2"/>
    <row r="3949" ht="12.75" customHeight="1" x14ac:dyDescent="0.2"/>
    <row r="3950" ht="12.75" customHeight="1" x14ac:dyDescent="0.2"/>
    <row r="3951" ht="12.75" customHeight="1" x14ac:dyDescent="0.2"/>
    <row r="3952" ht="12.75" customHeight="1" x14ac:dyDescent="0.2"/>
    <row r="3953" ht="12.75" customHeight="1" x14ac:dyDescent="0.2"/>
    <row r="3954" ht="12.75" customHeight="1" x14ac:dyDescent="0.2"/>
    <row r="3955" ht="12.75" customHeight="1" x14ac:dyDescent="0.2"/>
    <row r="3956" ht="12.75" customHeight="1" x14ac:dyDescent="0.2"/>
    <row r="3957" ht="12.75" customHeight="1" x14ac:dyDescent="0.2"/>
    <row r="3958" ht="12.75" customHeight="1" x14ac:dyDescent="0.2"/>
    <row r="3959" ht="12.75" customHeight="1" x14ac:dyDescent="0.2"/>
    <row r="3960" ht="12.75" customHeight="1" x14ac:dyDescent="0.2"/>
    <row r="3961" ht="12.75" customHeight="1" x14ac:dyDescent="0.2"/>
    <row r="3962" ht="12.75" customHeight="1" x14ac:dyDescent="0.2"/>
    <row r="3963" ht="12.75" customHeight="1" x14ac:dyDescent="0.2"/>
    <row r="3964" ht="12.75" customHeight="1" x14ac:dyDescent="0.2"/>
    <row r="3965" ht="12.75" customHeight="1" x14ac:dyDescent="0.2"/>
    <row r="3966" ht="12.75" customHeight="1" x14ac:dyDescent="0.2"/>
    <row r="3967" ht="12.75" customHeight="1" x14ac:dyDescent="0.2"/>
    <row r="3968" ht="12.75" customHeight="1" x14ac:dyDescent="0.2"/>
    <row r="3969" ht="12.75" customHeight="1" x14ac:dyDescent="0.2"/>
    <row r="3970" ht="12.75" customHeight="1" x14ac:dyDescent="0.2"/>
    <row r="3971" ht="12.75" customHeight="1" x14ac:dyDescent="0.2"/>
    <row r="3972" ht="12.75" customHeight="1" x14ac:dyDescent="0.2"/>
    <row r="3973" ht="12.75" customHeight="1" x14ac:dyDescent="0.2"/>
    <row r="3974" ht="12.75" customHeight="1" x14ac:dyDescent="0.2"/>
    <row r="3975" ht="12.75" customHeight="1" x14ac:dyDescent="0.2"/>
    <row r="3976" ht="12.75" customHeight="1" x14ac:dyDescent="0.2"/>
    <row r="3977" ht="12.75" customHeight="1" x14ac:dyDescent="0.2"/>
    <row r="3978" ht="12.75" customHeight="1" x14ac:dyDescent="0.2"/>
    <row r="3979" ht="12.75" customHeight="1" x14ac:dyDescent="0.2"/>
    <row r="3980" ht="12.75" customHeight="1" x14ac:dyDescent="0.2"/>
    <row r="3981" ht="12.75" customHeight="1" x14ac:dyDescent="0.2"/>
    <row r="3982" ht="12.75" customHeight="1" x14ac:dyDescent="0.2"/>
    <row r="3983" ht="12.75" customHeight="1" x14ac:dyDescent="0.2"/>
    <row r="3984" ht="12.75" customHeight="1" x14ac:dyDescent="0.2"/>
    <row r="3985" ht="12.75" customHeight="1" x14ac:dyDescent="0.2"/>
    <row r="3986" ht="12.75" customHeight="1" x14ac:dyDescent="0.2"/>
    <row r="3987" ht="12.75" customHeight="1" x14ac:dyDescent="0.2"/>
    <row r="3988" ht="12.75" customHeight="1" x14ac:dyDescent="0.2"/>
    <row r="3989" ht="12.75" customHeight="1" x14ac:dyDescent="0.2"/>
    <row r="3990" ht="12.75" customHeight="1" x14ac:dyDescent="0.2"/>
    <row r="3991" ht="12.75" customHeight="1" x14ac:dyDescent="0.2"/>
    <row r="3992" ht="12.75" customHeight="1" x14ac:dyDescent="0.2"/>
    <row r="3993" ht="12.75" customHeight="1" x14ac:dyDescent="0.2"/>
    <row r="3994" ht="12.75" customHeight="1" x14ac:dyDescent="0.2"/>
    <row r="3995" ht="12.75" customHeight="1" x14ac:dyDescent="0.2"/>
    <row r="3996" ht="12.75" customHeight="1" x14ac:dyDescent="0.2"/>
    <row r="3997" ht="12.75" customHeight="1" x14ac:dyDescent="0.2"/>
    <row r="3998" ht="12.75" customHeight="1" x14ac:dyDescent="0.2"/>
    <row r="3999" ht="12.75" customHeight="1" x14ac:dyDescent="0.2"/>
    <row r="4000" ht="12.75" customHeight="1" x14ac:dyDescent="0.2"/>
    <row r="4001" ht="12.75" customHeight="1" x14ac:dyDescent="0.2"/>
    <row r="4002" ht="12.75" customHeight="1" x14ac:dyDescent="0.2"/>
    <row r="4003" ht="12.75" customHeight="1" x14ac:dyDescent="0.2"/>
    <row r="4004" ht="12.75" customHeight="1" x14ac:dyDescent="0.2"/>
    <row r="4005" ht="12.75" customHeight="1" x14ac:dyDescent="0.2"/>
    <row r="4006" ht="12.75" customHeight="1" x14ac:dyDescent="0.2"/>
    <row r="4007" ht="12.75" customHeight="1" x14ac:dyDescent="0.2"/>
    <row r="4008" ht="12.75" customHeight="1" x14ac:dyDescent="0.2"/>
    <row r="4009" ht="12.75" customHeight="1" x14ac:dyDescent="0.2"/>
    <row r="4010" ht="12.75" customHeight="1" x14ac:dyDescent="0.2"/>
    <row r="4011" ht="12.75" customHeight="1" x14ac:dyDescent="0.2"/>
    <row r="4012" ht="12.75" customHeight="1" x14ac:dyDescent="0.2"/>
    <row r="4013" ht="12.75" customHeight="1" x14ac:dyDescent="0.2"/>
    <row r="4014" ht="12.75" customHeight="1" x14ac:dyDescent="0.2"/>
    <row r="4015" ht="12.75" customHeight="1" x14ac:dyDescent="0.2"/>
    <row r="4016" ht="12.75" customHeight="1" x14ac:dyDescent="0.2"/>
    <row r="4017" ht="12.75" customHeight="1" x14ac:dyDescent="0.2"/>
    <row r="4018" ht="12.75" customHeight="1" x14ac:dyDescent="0.2"/>
    <row r="4019" ht="12.75" customHeight="1" x14ac:dyDescent="0.2"/>
    <row r="4020" ht="12.75" customHeight="1" x14ac:dyDescent="0.2"/>
    <row r="4021" ht="12.75" customHeight="1" x14ac:dyDescent="0.2"/>
    <row r="4022" ht="12.75" customHeight="1" x14ac:dyDescent="0.2"/>
    <row r="4023" ht="12.75" customHeight="1" x14ac:dyDescent="0.2"/>
    <row r="4024" ht="12.75" customHeight="1" x14ac:dyDescent="0.2"/>
    <row r="4025" ht="12.75" customHeight="1" x14ac:dyDescent="0.2"/>
    <row r="4026" ht="12.75" customHeight="1" x14ac:dyDescent="0.2"/>
    <row r="4027" ht="12.75" customHeight="1" x14ac:dyDescent="0.2"/>
    <row r="4028" ht="12.75" customHeight="1" x14ac:dyDescent="0.2"/>
    <row r="4029" ht="12.75" customHeight="1" x14ac:dyDescent="0.2"/>
    <row r="4030" ht="12.75" customHeight="1" x14ac:dyDescent="0.2"/>
    <row r="4031" ht="12.75" customHeight="1" x14ac:dyDescent="0.2"/>
    <row r="4032" ht="12.75" customHeight="1" x14ac:dyDescent="0.2"/>
    <row r="4033" ht="12.75" customHeight="1" x14ac:dyDescent="0.2"/>
    <row r="4034" ht="12.75" customHeight="1" x14ac:dyDescent="0.2"/>
    <row r="4035" ht="12.75" customHeight="1" x14ac:dyDescent="0.2"/>
    <row r="4036" ht="12.75" customHeight="1" x14ac:dyDescent="0.2"/>
    <row r="4037" ht="12.75" customHeight="1" x14ac:dyDescent="0.2"/>
    <row r="4038" ht="12.75" customHeight="1" x14ac:dyDescent="0.2"/>
    <row r="4039" ht="12.75" customHeight="1" x14ac:dyDescent="0.2"/>
    <row r="4040" ht="12.75" customHeight="1" x14ac:dyDescent="0.2"/>
    <row r="4041" ht="12.75" customHeight="1" x14ac:dyDescent="0.2"/>
    <row r="4042" ht="12.75" customHeight="1" x14ac:dyDescent="0.2"/>
    <row r="4043" ht="12.75" customHeight="1" x14ac:dyDescent="0.2"/>
    <row r="4044" ht="12.75" customHeight="1" x14ac:dyDescent="0.2"/>
    <row r="4045" ht="12.75" customHeight="1" x14ac:dyDescent="0.2"/>
    <row r="4046" ht="12.75" customHeight="1" x14ac:dyDescent="0.2"/>
    <row r="4047" ht="12.75" customHeight="1" x14ac:dyDescent="0.2"/>
    <row r="4048" ht="12.75" customHeight="1" x14ac:dyDescent="0.2"/>
    <row r="4049" ht="12.75" customHeight="1" x14ac:dyDescent="0.2"/>
    <row r="4050" ht="12.75" customHeight="1" x14ac:dyDescent="0.2"/>
    <row r="4051" ht="12.75" customHeight="1" x14ac:dyDescent="0.2"/>
    <row r="4052" ht="12.75" customHeight="1" x14ac:dyDescent="0.2"/>
    <row r="4053" ht="12.75" customHeight="1" x14ac:dyDescent="0.2"/>
    <row r="4054" ht="12.75" customHeight="1" x14ac:dyDescent="0.2"/>
    <row r="4055" ht="12.75" customHeight="1" x14ac:dyDescent="0.2"/>
    <row r="4056" ht="12.75" customHeight="1" x14ac:dyDescent="0.2"/>
    <row r="4057" ht="12.75" customHeight="1" x14ac:dyDescent="0.2"/>
    <row r="4058" ht="12.75" customHeight="1" x14ac:dyDescent="0.2"/>
    <row r="4059" ht="12.75" customHeight="1" x14ac:dyDescent="0.2"/>
    <row r="4060" ht="12.75" customHeight="1" x14ac:dyDescent="0.2"/>
    <row r="4061" ht="12.75" customHeight="1" x14ac:dyDescent="0.2"/>
    <row r="4062" ht="12.75" customHeight="1" x14ac:dyDescent="0.2"/>
    <row r="4063" ht="12.75" customHeight="1" x14ac:dyDescent="0.2"/>
    <row r="4064" ht="12.75" customHeight="1" x14ac:dyDescent="0.2"/>
    <row r="4065" ht="12.75" customHeight="1" x14ac:dyDescent="0.2"/>
    <row r="4066" ht="12.75" customHeight="1" x14ac:dyDescent="0.2"/>
    <row r="4067" ht="12.75" customHeight="1" x14ac:dyDescent="0.2"/>
    <row r="4068" ht="12.75" customHeight="1" x14ac:dyDescent="0.2"/>
    <row r="4069" ht="12.75" customHeight="1" x14ac:dyDescent="0.2"/>
    <row r="4070" ht="12.75" customHeight="1" x14ac:dyDescent="0.2"/>
    <row r="4071" ht="12.75" customHeight="1" x14ac:dyDescent="0.2"/>
    <row r="4072" ht="12.75" customHeight="1" x14ac:dyDescent="0.2"/>
    <row r="4073" ht="12.75" customHeight="1" x14ac:dyDescent="0.2"/>
    <row r="4074" ht="12.75" customHeight="1" x14ac:dyDescent="0.2"/>
    <row r="4075" ht="12.75" customHeight="1" x14ac:dyDescent="0.2"/>
    <row r="4076" ht="12.75" customHeight="1" x14ac:dyDescent="0.2"/>
    <row r="4077" ht="12.75" customHeight="1" x14ac:dyDescent="0.2"/>
    <row r="4078" ht="12.75" customHeight="1" x14ac:dyDescent="0.2"/>
    <row r="4079" ht="12.75" customHeight="1" x14ac:dyDescent="0.2"/>
    <row r="4080" ht="12.75" customHeight="1" x14ac:dyDescent="0.2"/>
    <row r="4081" ht="12.75" customHeight="1" x14ac:dyDescent="0.2"/>
    <row r="4082" ht="12.75" customHeight="1" x14ac:dyDescent="0.2"/>
    <row r="4083" ht="12.75" customHeight="1" x14ac:dyDescent="0.2"/>
    <row r="4084" ht="12.75" customHeight="1" x14ac:dyDescent="0.2"/>
    <row r="4085" ht="12.75" customHeight="1" x14ac:dyDescent="0.2"/>
    <row r="4086" ht="12.75" customHeight="1" x14ac:dyDescent="0.2"/>
    <row r="4087" ht="12.75" customHeight="1" x14ac:dyDescent="0.2"/>
    <row r="4088" ht="12.75" customHeight="1" x14ac:dyDescent="0.2"/>
    <row r="4089" ht="12.75" customHeight="1" x14ac:dyDescent="0.2"/>
    <row r="4090" ht="12.75" customHeight="1" x14ac:dyDescent="0.2"/>
    <row r="4091" ht="12.75" customHeight="1" x14ac:dyDescent="0.2"/>
    <row r="4092" ht="12.75" customHeight="1" x14ac:dyDescent="0.2"/>
    <row r="4093" ht="12.75" customHeight="1" x14ac:dyDescent="0.2"/>
    <row r="4094" ht="12.75" customHeight="1" x14ac:dyDescent="0.2"/>
    <row r="4095" ht="12.75" customHeight="1" x14ac:dyDescent="0.2"/>
    <row r="4096" ht="12.75" customHeight="1" x14ac:dyDescent="0.2"/>
    <row r="4097" ht="12.75" customHeight="1" x14ac:dyDescent="0.2"/>
    <row r="4098" ht="12.75" customHeight="1" x14ac:dyDescent="0.2"/>
    <row r="4099" ht="12.75" customHeight="1" x14ac:dyDescent="0.2"/>
    <row r="4100" ht="12.75" customHeight="1" x14ac:dyDescent="0.2"/>
    <row r="4101" ht="12.75" customHeight="1" x14ac:dyDescent="0.2"/>
    <row r="4102" ht="12.75" customHeight="1" x14ac:dyDescent="0.2"/>
    <row r="4103" ht="12.75" customHeight="1" x14ac:dyDescent="0.2"/>
    <row r="4104" ht="12.75" customHeight="1" x14ac:dyDescent="0.2"/>
    <row r="4105" ht="12.75" customHeight="1" x14ac:dyDescent="0.2"/>
    <row r="4106" ht="12.75" customHeight="1" x14ac:dyDescent="0.2"/>
    <row r="4107" ht="12.75" customHeight="1" x14ac:dyDescent="0.2"/>
    <row r="4108" ht="12.75" customHeight="1" x14ac:dyDescent="0.2"/>
    <row r="4109" ht="12.75" customHeight="1" x14ac:dyDescent="0.2"/>
    <row r="4110" ht="12.75" customHeight="1" x14ac:dyDescent="0.2"/>
    <row r="4111" ht="12.75" customHeight="1" x14ac:dyDescent="0.2"/>
    <row r="4112" ht="12.75" customHeight="1" x14ac:dyDescent="0.2"/>
    <row r="4113" ht="12.75" customHeight="1" x14ac:dyDescent="0.2"/>
    <row r="4114" ht="12.75" customHeight="1" x14ac:dyDescent="0.2"/>
    <row r="4115" ht="12.75" customHeight="1" x14ac:dyDescent="0.2"/>
    <row r="4116" ht="12.75" customHeight="1" x14ac:dyDescent="0.2"/>
    <row r="4117" ht="12.75" customHeight="1" x14ac:dyDescent="0.2"/>
    <row r="4118" ht="12.75" customHeight="1" x14ac:dyDescent="0.2"/>
    <row r="4119" ht="12.75" customHeight="1" x14ac:dyDescent="0.2"/>
    <row r="4120" ht="12.75" customHeight="1" x14ac:dyDescent="0.2"/>
    <row r="4121" ht="12.75" customHeight="1" x14ac:dyDescent="0.2"/>
    <row r="4122" ht="12.75" customHeight="1" x14ac:dyDescent="0.2"/>
    <row r="4123" ht="12.75" customHeight="1" x14ac:dyDescent="0.2"/>
    <row r="4124" ht="12.75" customHeight="1" x14ac:dyDescent="0.2"/>
    <row r="4125" ht="12.75" customHeight="1" x14ac:dyDescent="0.2"/>
    <row r="4126" ht="12.75" customHeight="1" x14ac:dyDescent="0.2"/>
    <row r="4127" ht="12.75" customHeight="1" x14ac:dyDescent="0.2"/>
    <row r="4128" ht="12.75" customHeight="1" x14ac:dyDescent="0.2"/>
    <row r="4129" ht="12.75" customHeight="1" x14ac:dyDescent="0.2"/>
    <row r="4130" ht="12.75" customHeight="1" x14ac:dyDescent="0.2"/>
    <row r="4131" ht="12.75" customHeight="1" x14ac:dyDescent="0.2"/>
    <row r="4132" ht="12.75" customHeight="1" x14ac:dyDescent="0.2"/>
    <row r="4133" ht="12.75" customHeight="1" x14ac:dyDescent="0.2"/>
    <row r="4134" ht="12.75" customHeight="1" x14ac:dyDescent="0.2"/>
    <row r="4135" ht="12.75" customHeight="1" x14ac:dyDescent="0.2"/>
    <row r="4136" ht="12.75" customHeight="1" x14ac:dyDescent="0.2"/>
    <row r="4137" ht="12.75" customHeight="1" x14ac:dyDescent="0.2"/>
    <row r="4138" ht="12.75" customHeight="1" x14ac:dyDescent="0.2"/>
    <row r="4139" ht="12.75" customHeight="1" x14ac:dyDescent="0.2"/>
    <row r="4140" ht="12.75" customHeight="1" x14ac:dyDescent="0.2"/>
    <row r="4141" ht="12.75" customHeight="1" x14ac:dyDescent="0.2"/>
    <row r="4142" ht="12.75" customHeight="1" x14ac:dyDescent="0.2"/>
    <row r="4143" ht="12.75" customHeight="1" x14ac:dyDescent="0.2"/>
    <row r="4144" ht="12.75" customHeight="1" x14ac:dyDescent="0.2"/>
    <row r="4145" ht="12.75" customHeight="1" x14ac:dyDescent="0.2"/>
    <row r="4146" ht="12.75" customHeight="1" x14ac:dyDescent="0.2"/>
    <row r="4147" ht="12.75" customHeight="1" x14ac:dyDescent="0.2"/>
    <row r="4148" ht="12.75" customHeight="1" x14ac:dyDescent="0.2"/>
    <row r="4149" ht="12.75" customHeight="1" x14ac:dyDescent="0.2"/>
    <row r="4150" ht="12.75" customHeight="1" x14ac:dyDescent="0.2"/>
    <row r="4151" ht="12.75" customHeight="1" x14ac:dyDescent="0.2"/>
    <row r="4152" ht="12.75" customHeight="1" x14ac:dyDescent="0.2"/>
    <row r="4153" ht="12.75" customHeight="1" x14ac:dyDescent="0.2"/>
    <row r="4154" ht="12.75" customHeight="1" x14ac:dyDescent="0.2"/>
    <row r="4155" ht="12.75" customHeight="1" x14ac:dyDescent="0.2"/>
    <row r="4156" ht="12.75" customHeight="1" x14ac:dyDescent="0.2"/>
    <row r="4157" ht="12.75" customHeight="1" x14ac:dyDescent="0.2"/>
    <row r="4158" ht="12.75" customHeight="1" x14ac:dyDescent="0.2"/>
    <row r="4159" ht="12.75" customHeight="1" x14ac:dyDescent="0.2"/>
    <row r="4160" ht="12.75" customHeight="1" x14ac:dyDescent="0.2"/>
    <row r="4161" ht="12.75" customHeight="1" x14ac:dyDescent="0.2"/>
    <row r="4162" ht="12.75" customHeight="1" x14ac:dyDescent="0.2"/>
    <row r="4163" ht="12.75" customHeight="1" x14ac:dyDescent="0.2"/>
    <row r="4164" ht="12.75" customHeight="1" x14ac:dyDescent="0.2"/>
    <row r="4165" ht="12.75" customHeight="1" x14ac:dyDescent="0.2"/>
    <row r="4166" ht="12.75" customHeight="1" x14ac:dyDescent="0.2"/>
    <row r="4167" ht="12.75" customHeight="1" x14ac:dyDescent="0.2"/>
    <row r="4168" ht="12.75" customHeight="1" x14ac:dyDescent="0.2"/>
    <row r="4169" ht="12.75" customHeight="1" x14ac:dyDescent="0.2"/>
    <row r="4170" ht="12.75" customHeight="1" x14ac:dyDescent="0.2"/>
    <row r="4171" ht="12.75" customHeight="1" x14ac:dyDescent="0.2"/>
    <row r="4172" ht="12.75" customHeight="1" x14ac:dyDescent="0.2"/>
    <row r="4173" ht="12.75" customHeight="1" x14ac:dyDescent="0.2"/>
    <row r="4174" ht="12.75" customHeight="1" x14ac:dyDescent="0.2"/>
    <row r="4175" ht="12.75" customHeight="1" x14ac:dyDescent="0.2"/>
    <row r="4176" ht="12.75" customHeight="1" x14ac:dyDescent="0.2"/>
    <row r="4177" ht="12.75" customHeight="1" x14ac:dyDescent="0.2"/>
    <row r="4178" ht="12.75" customHeight="1" x14ac:dyDescent="0.2"/>
    <row r="4179" ht="12.75" customHeight="1" x14ac:dyDescent="0.2"/>
    <row r="4180" ht="12.75" customHeight="1" x14ac:dyDescent="0.2"/>
    <row r="4181" ht="12.75" customHeight="1" x14ac:dyDescent="0.2"/>
    <row r="4182" ht="12.75" customHeight="1" x14ac:dyDescent="0.2"/>
    <row r="4183" ht="12.75" customHeight="1" x14ac:dyDescent="0.2"/>
    <row r="4184" ht="12.75" customHeight="1" x14ac:dyDescent="0.2"/>
    <row r="4185" ht="12.75" customHeight="1" x14ac:dyDescent="0.2"/>
    <row r="4186" ht="12.75" customHeight="1" x14ac:dyDescent="0.2"/>
    <row r="4187" ht="12.75" customHeight="1" x14ac:dyDescent="0.2"/>
    <row r="4188" ht="12.75" customHeight="1" x14ac:dyDescent="0.2"/>
    <row r="4189" ht="12.75" customHeight="1" x14ac:dyDescent="0.2"/>
    <row r="4190" ht="12.75" customHeight="1" x14ac:dyDescent="0.2"/>
    <row r="4191" ht="12.75" customHeight="1" x14ac:dyDescent="0.2"/>
    <row r="4192" ht="12.75" customHeight="1" x14ac:dyDescent="0.2"/>
    <row r="4193" ht="12.75" customHeight="1" x14ac:dyDescent="0.2"/>
    <row r="4194" ht="12.75" customHeight="1" x14ac:dyDescent="0.2"/>
    <row r="4195" ht="12.75" customHeight="1" x14ac:dyDescent="0.2"/>
    <row r="4196" ht="12.75" customHeight="1" x14ac:dyDescent="0.2"/>
    <row r="4197" ht="12.75" customHeight="1" x14ac:dyDescent="0.2"/>
    <row r="4198" ht="12.75" customHeight="1" x14ac:dyDescent="0.2"/>
    <row r="4199" ht="12.75" customHeight="1" x14ac:dyDescent="0.2"/>
    <row r="4200" ht="12.75" customHeight="1" x14ac:dyDescent="0.2"/>
    <row r="4201" ht="12.75" customHeight="1" x14ac:dyDescent="0.2"/>
    <row r="4202" ht="12.75" customHeight="1" x14ac:dyDescent="0.2"/>
    <row r="4203" ht="12.75" customHeight="1" x14ac:dyDescent="0.2"/>
    <row r="4204" ht="12.75" customHeight="1" x14ac:dyDescent="0.2"/>
    <row r="4205" ht="12.75" customHeight="1" x14ac:dyDescent="0.2"/>
    <row r="4206" ht="12.75" customHeight="1" x14ac:dyDescent="0.2"/>
    <row r="4207" ht="12.75" customHeight="1" x14ac:dyDescent="0.2"/>
    <row r="4208" ht="12.75" customHeight="1" x14ac:dyDescent="0.2"/>
    <row r="4209" ht="12.75" customHeight="1" x14ac:dyDescent="0.2"/>
    <row r="4210" ht="12.75" customHeight="1" x14ac:dyDescent="0.2"/>
    <row r="4211" ht="12.75" customHeight="1" x14ac:dyDescent="0.2"/>
    <row r="4212" ht="12.75" customHeight="1" x14ac:dyDescent="0.2"/>
    <row r="4213" ht="12.75" customHeight="1" x14ac:dyDescent="0.2"/>
    <row r="4214" ht="12.75" customHeight="1" x14ac:dyDescent="0.2"/>
    <row r="4215" ht="12.75" customHeight="1" x14ac:dyDescent="0.2"/>
    <row r="4216" ht="12.75" customHeight="1" x14ac:dyDescent="0.2"/>
    <row r="4217" ht="12.75" customHeight="1" x14ac:dyDescent="0.2"/>
    <row r="4218" ht="12.75" customHeight="1" x14ac:dyDescent="0.2"/>
    <row r="4219" ht="12.75" customHeight="1" x14ac:dyDescent="0.2"/>
    <row r="4220" ht="12.75" customHeight="1" x14ac:dyDescent="0.2"/>
    <row r="4221" ht="12.75" customHeight="1" x14ac:dyDescent="0.2"/>
    <row r="4222" ht="12.75" customHeight="1" x14ac:dyDescent="0.2"/>
    <row r="4223" ht="12.75" customHeight="1" x14ac:dyDescent="0.2"/>
    <row r="4224" ht="12.75" customHeight="1" x14ac:dyDescent="0.2"/>
    <row r="4225" ht="12.75" customHeight="1" x14ac:dyDescent="0.2"/>
    <row r="4226" ht="12.75" customHeight="1" x14ac:dyDescent="0.2"/>
    <row r="4227" ht="12.75" customHeight="1" x14ac:dyDescent="0.2"/>
    <row r="4228" ht="12.75" customHeight="1" x14ac:dyDescent="0.2"/>
    <row r="4229" ht="12.75" customHeight="1" x14ac:dyDescent="0.2"/>
    <row r="4230" ht="12.75" customHeight="1" x14ac:dyDescent="0.2"/>
    <row r="4231" ht="12.75" customHeight="1" x14ac:dyDescent="0.2"/>
    <row r="4232" ht="12.75" customHeight="1" x14ac:dyDescent="0.2"/>
    <row r="4233" ht="12.75" customHeight="1" x14ac:dyDescent="0.2"/>
    <row r="4234" ht="12.75" customHeight="1" x14ac:dyDescent="0.2"/>
    <row r="4235" ht="12.75" customHeight="1" x14ac:dyDescent="0.2"/>
    <row r="4236" ht="12.75" customHeight="1" x14ac:dyDescent="0.2"/>
    <row r="4237" ht="12.75" customHeight="1" x14ac:dyDescent="0.2"/>
    <row r="4238" ht="12.75" customHeight="1" x14ac:dyDescent="0.2"/>
    <row r="4239" ht="12.75" customHeight="1" x14ac:dyDescent="0.2"/>
    <row r="4240" ht="12.75" customHeight="1" x14ac:dyDescent="0.2"/>
    <row r="4241" ht="12.75" customHeight="1" x14ac:dyDescent="0.2"/>
    <row r="4242" ht="12.75" customHeight="1" x14ac:dyDescent="0.2"/>
    <row r="4243" ht="12.75" customHeight="1" x14ac:dyDescent="0.2"/>
    <row r="4244" ht="12.75" customHeight="1" x14ac:dyDescent="0.2"/>
    <row r="4245" ht="12.75" customHeight="1" x14ac:dyDescent="0.2"/>
    <row r="4246" ht="12.75" customHeight="1" x14ac:dyDescent="0.2"/>
    <row r="4247" ht="12.75" customHeight="1" x14ac:dyDescent="0.2"/>
    <row r="4248" ht="12.75" customHeight="1" x14ac:dyDescent="0.2"/>
    <row r="4249" ht="12.75" customHeight="1" x14ac:dyDescent="0.2"/>
    <row r="4250" ht="12.75" customHeight="1" x14ac:dyDescent="0.2"/>
    <row r="4251" ht="12.75" customHeight="1" x14ac:dyDescent="0.2"/>
    <row r="4252" ht="12.75" customHeight="1" x14ac:dyDescent="0.2"/>
    <row r="4253" ht="12.75" customHeight="1" x14ac:dyDescent="0.2"/>
    <row r="4254" ht="12.75" customHeight="1" x14ac:dyDescent="0.2"/>
    <row r="4255" ht="12.75" customHeight="1" x14ac:dyDescent="0.2"/>
    <row r="4256" ht="12.75" customHeight="1" x14ac:dyDescent="0.2"/>
    <row r="4257" ht="12.75" customHeight="1" x14ac:dyDescent="0.2"/>
    <row r="4258" ht="12.75" customHeight="1" x14ac:dyDescent="0.2"/>
    <row r="4259" ht="12.75" customHeight="1" x14ac:dyDescent="0.2"/>
    <row r="4260" ht="12.75" customHeight="1" x14ac:dyDescent="0.2"/>
    <row r="4261" ht="12.75" customHeight="1" x14ac:dyDescent="0.2"/>
    <row r="4262" ht="12.75" customHeight="1" x14ac:dyDescent="0.2"/>
    <row r="4263" ht="12.75" customHeight="1" x14ac:dyDescent="0.2"/>
    <row r="4264" ht="12.75" customHeight="1" x14ac:dyDescent="0.2"/>
    <row r="4265" ht="12.75" customHeight="1" x14ac:dyDescent="0.2"/>
    <row r="4266" ht="12.75" customHeight="1" x14ac:dyDescent="0.2"/>
    <row r="4267" ht="12.75" customHeight="1" x14ac:dyDescent="0.2"/>
    <row r="4268" ht="12.75" customHeight="1" x14ac:dyDescent="0.2"/>
    <row r="4269" ht="12.75" customHeight="1" x14ac:dyDescent="0.2"/>
    <row r="4270" ht="12.75" customHeight="1" x14ac:dyDescent="0.2"/>
    <row r="4271" ht="12.75" customHeight="1" x14ac:dyDescent="0.2"/>
    <row r="4272" ht="12.75" customHeight="1" x14ac:dyDescent="0.2"/>
    <row r="4273" ht="12.75" customHeight="1" x14ac:dyDescent="0.2"/>
    <row r="4274" ht="12.75" customHeight="1" x14ac:dyDescent="0.2"/>
    <row r="4275" ht="12.75" customHeight="1" x14ac:dyDescent="0.2"/>
    <row r="4276" ht="12.75" customHeight="1" x14ac:dyDescent="0.2"/>
    <row r="4277" ht="12.75" customHeight="1" x14ac:dyDescent="0.2"/>
    <row r="4278" ht="12.75" customHeight="1" x14ac:dyDescent="0.2"/>
    <row r="4279" ht="12.75" customHeight="1" x14ac:dyDescent="0.2"/>
    <row r="4280" ht="12.75" customHeight="1" x14ac:dyDescent="0.2"/>
    <row r="4281" ht="12.75" customHeight="1" x14ac:dyDescent="0.2"/>
    <row r="4282" ht="12.75" customHeight="1" x14ac:dyDescent="0.2"/>
    <row r="4283" ht="12.75" customHeight="1" x14ac:dyDescent="0.2"/>
    <row r="4284" ht="12.75" customHeight="1" x14ac:dyDescent="0.2"/>
    <row r="4285" ht="12.75" customHeight="1" x14ac:dyDescent="0.2"/>
    <row r="4286" ht="12.75" customHeight="1" x14ac:dyDescent="0.2"/>
    <row r="4287" ht="12.75" customHeight="1" x14ac:dyDescent="0.2"/>
    <row r="4288" ht="12.75" customHeight="1" x14ac:dyDescent="0.2"/>
    <row r="4289" ht="12.75" customHeight="1" x14ac:dyDescent="0.2"/>
    <row r="4290" ht="12.75" customHeight="1" x14ac:dyDescent="0.2"/>
    <row r="4291" ht="12.75" customHeight="1" x14ac:dyDescent="0.2"/>
    <row r="4292" ht="12.75" customHeight="1" x14ac:dyDescent="0.2"/>
    <row r="4293" ht="12.75" customHeight="1" x14ac:dyDescent="0.2"/>
    <row r="4294" ht="12.75" customHeight="1" x14ac:dyDescent="0.2"/>
    <row r="4295" ht="12.75" customHeight="1" x14ac:dyDescent="0.2"/>
    <row r="4296" ht="12.75" customHeight="1" x14ac:dyDescent="0.2"/>
    <row r="4297" ht="12.75" customHeight="1" x14ac:dyDescent="0.2"/>
    <row r="4298" ht="12.75" customHeight="1" x14ac:dyDescent="0.2"/>
    <row r="4299" ht="12.75" customHeight="1" x14ac:dyDescent="0.2"/>
    <row r="4300" ht="12.75" customHeight="1" x14ac:dyDescent="0.2"/>
    <row r="4301" ht="12.75" customHeight="1" x14ac:dyDescent="0.2"/>
    <row r="4302" ht="12.75" customHeight="1" x14ac:dyDescent="0.2"/>
    <row r="4303" ht="12.75" customHeight="1" x14ac:dyDescent="0.2"/>
    <row r="4304" ht="12.75" customHeight="1" x14ac:dyDescent="0.2"/>
    <row r="4305" ht="12.75" customHeight="1" x14ac:dyDescent="0.2"/>
    <row r="4306" ht="12.75" customHeight="1" x14ac:dyDescent="0.2"/>
    <row r="4307" ht="12.75" customHeight="1" x14ac:dyDescent="0.2"/>
    <row r="4308" ht="12.75" customHeight="1" x14ac:dyDescent="0.2"/>
    <row r="4309" ht="12.75" customHeight="1" x14ac:dyDescent="0.2"/>
    <row r="4310" ht="12.75" customHeight="1" x14ac:dyDescent="0.2"/>
    <row r="4311" ht="12.75" customHeight="1" x14ac:dyDescent="0.2"/>
    <row r="4312" ht="12.75" customHeight="1" x14ac:dyDescent="0.2"/>
    <row r="4313" ht="12.75" customHeight="1" x14ac:dyDescent="0.2"/>
    <row r="4314" ht="12.75" customHeight="1" x14ac:dyDescent="0.2"/>
    <row r="4315" ht="12.75" customHeight="1" x14ac:dyDescent="0.2"/>
    <row r="4316" ht="12.75" customHeight="1" x14ac:dyDescent="0.2"/>
    <row r="4317" ht="12.75" customHeight="1" x14ac:dyDescent="0.2"/>
    <row r="4318" ht="12.75" customHeight="1" x14ac:dyDescent="0.2"/>
    <row r="4319" ht="12.75" customHeight="1" x14ac:dyDescent="0.2"/>
    <row r="4320" ht="12.75" customHeight="1" x14ac:dyDescent="0.2"/>
    <row r="4321" ht="12.75" customHeight="1" x14ac:dyDescent="0.2"/>
    <row r="4322" ht="12.75" customHeight="1" x14ac:dyDescent="0.2"/>
    <row r="4323" ht="12.75" customHeight="1" x14ac:dyDescent="0.2"/>
    <row r="4324" ht="12.75" customHeight="1" x14ac:dyDescent="0.2"/>
    <row r="4325" ht="12.75" customHeight="1" x14ac:dyDescent="0.2"/>
    <row r="4326" ht="12.75" customHeight="1" x14ac:dyDescent="0.2"/>
    <row r="4327" ht="12.75" customHeight="1" x14ac:dyDescent="0.2"/>
    <row r="4328" ht="12.75" customHeight="1" x14ac:dyDescent="0.2"/>
    <row r="4329" ht="12.75" customHeight="1" x14ac:dyDescent="0.2"/>
    <row r="4330" ht="12.75" customHeight="1" x14ac:dyDescent="0.2"/>
    <row r="4331" ht="12.75" customHeight="1" x14ac:dyDescent="0.2"/>
    <row r="4332" ht="12.75" customHeight="1" x14ac:dyDescent="0.2"/>
    <row r="4333" ht="12.75" customHeight="1" x14ac:dyDescent="0.2"/>
    <row r="4334" ht="12.75" customHeight="1" x14ac:dyDescent="0.2"/>
    <row r="4335" ht="12.75" customHeight="1" x14ac:dyDescent="0.2"/>
    <row r="4336" ht="12.75" customHeight="1" x14ac:dyDescent="0.2"/>
    <row r="4337" ht="12.75" customHeight="1" x14ac:dyDescent="0.2"/>
    <row r="4338" ht="12.75" customHeight="1" x14ac:dyDescent="0.2"/>
    <row r="4339" ht="12.75" customHeight="1" x14ac:dyDescent="0.2"/>
    <row r="4340" ht="12.75" customHeight="1" x14ac:dyDescent="0.2"/>
    <row r="4341" ht="12.75" customHeight="1" x14ac:dyDescent="0.2"/>
    <row r="4342" ht="12.75" customHeight="1" x14ac:dyDescent="0.2"/>
    <row r="4343" ht="12.75" customHeight="1" x14ac:dyDescent="0.2"/>
    <row r="4344" ht="12.75" customHeight="1" x14ac:dyDescent="0.2"/>
    <row r="4345" ht="12.75" customHeight="1" x14ac:dyDescent="0.2"/>
    <row r="4346" ht="12.75" customHeight="1" x14ac:dyDescent="0.2"/>
    <row r="4347" ht="12.75" customHeight="1" x14ac:dyDescent="0.2"/>
    <row r="4348" ht="12.75" customHeight="1" x14ac:dyDescent="0.2"/>
    <row r="4349" ht="12.75" customHeight="1" x14ac:dyDescent="0.2"/>
    <row r="4350" ht="12.75" customHeight="1" x14ac:dyDescent="0.2"/>
    <row r="4351" ht="12.75" customHeight="1" x14ac:dyDescent="0.2"/>
    <row r="4352" ht="12.75" customHeight="1" x14ac:dyDescent="0.2"/>
    <row r="4353" ht="12.75" customHeight="1" x14ac:dyDescent="0.2"/>
    <row r="4354" ht="12.75" customHeight="1" x14ac:dyDescent="0.2"/>
    <row r="4355" ht="12.75" customHeight="1" x14ac:dyDescent="0.2"/>
    <row r="4356" ht="12.75" customHeight="1" x14ac:dyDescent="0.2"/>
    <row r="4357" ht="12.75" customHeight="1" x14ac:dyDescent="0.2"/>
    <row r="4358" ht="12.75" customHeight="1" x14ac:dyDescent="0.2"/>
    <row r="4359" ht="12.75" customHeight="1" x14ac:dyDescent="0.2"/>
    <row r="4360" ht="12.75" customHeight="1" x14ac:dyDescent="0.2"/>
    <row r="4361" ht="12.75" customHeight="1" x14ac:dyDescent="0.2"/>
    <row r="4362" ht="12.75" customHeight="1" x14ac:dyDescent="0.2"/>
    <row r="4363" ht="12.75" customHeight="1" x14ac:dyDescent="0.2"/>
    <row r="4364" ht="12.75" customHeight="1" x14ac:dyDescent="0.2"/>
    <row r="4365" ht="12.75" customHeight="1" x14ac:dyDescent="0.2"/>
    <row r="4366" ht="12.75" customHeight="1" x14ac:dyDescent="0.2"/>
    <row r="4367" ht="12.75" customHeight="1" x14ac:dyDescent="0.2"/>
    <row r="4368" ht="12.75" customHeight="1" x14ac:dyDescent="0.2"/>
    <row r="4369" ht="12.75" customHeight="1" x14ac:dyDescent="0.2"/>
    <row r="4370" ht="12.75" customHeight="1" x14ac:dyDescent="0.2"/>
    <row r="4371" ht="12.75" customHeight="1" x14ac:dyDescent="0.2"/>
    <row r="4372" ht="12.75" customHeight="1" x14ac:dyDescent="0.2"/>
    <row r="4373" ht="12.75" customHeight="1" x14ac:dyDescent="0.2"/>
    <row r="4374" ht="12.75" customHeight="1" x14ac:dyDescent="0.2"/>
    <row r="4375" ht="12.75" customHeight="1" x14ac:dyDescent="0.2"/>
    <row r="4376" ht="12.75" customHeight="1" x14ac:dyDescent="0.2"/>
    <row r="4377" ht="12.75" customHeight="1" x14ac:dyDescent="0.2"/>
    <row r="4378" ht="12.75" customHeight="1" x14ac:dyDescent="0.2"/>
    <row r="4379" ht="12.75" customHeight="1" x14ac:dyDescent="0.2"/>
    <row r="4380" ht="12.75" customHeight="1" x14ac:dyDescent="0.2"/>
    <row r="4381" ht="12.75" customHeight="1" x14ac:dyDescent="0.2"/>
    <row r="4382" ht="12.75" customHeight="1" x14ac:dyDescent="0.2"/>
    <row r="4383" ht="12.75" customHeight="1" x14ac:dyDescent="0.2"/>
    <row r="4384" ht="12.75" customHeight="1" x14ac:dyDescent="0.2"/>
    <row r="4385" ht="12.75" customHeight="1" x14ac:dyDescent="0.2"/>
    <row r="4386" ht="12.75" customHeight="1" x14ac:dyDescent="0.2"/>
    <row r="4387" ht="12.75" customHeight="1" x14ac:dyDescent="0.2"/>
    <row r="4388" ht="12.75" customHeight="1" x14ac:dyDescent="0.2"/>
    <row r="4389" ht="12.75" customHeight="1" x14ac:dyDescent="0.2"/>
    <row r="4390" ht="12.75" customHeight="1" x14ac:dyDescent="0.2"/>
    <row r="4391" ht="12.75" customHeight="1" x14ac:dyDescent="0.2"/>
    <row r="4392" ht="12.75" customHeight="1" x14ac:dyDescent="0.2"/>
    <row r="4393" ht="12.75" customHeight="1" x14ac:dyDescent="0.2"/>
    <row r="4394" ht="12.75" customHeight="1" x14ac:dyDescent="0.2"/>
    <row r="4395" ht="12.75" customHeight="1" x14ac:dyDescent="0.2"/>
    <row r="4396" ht="12.75" customHeight="1" x14ac:dyDescent="0.2"/>
    <row r="4397" ht="12.75" customHeight="1" x14ac:dyDescent="0.2"/>
    <row r="4398" ht="12.75" customHeight="1" x14ac:dyDescent="0.2"/>
    <row r="4399" ht="12.75" customHeight="1" x14ac:dyDescent="0.2"/>
    <row r="4400" ht="12.75" customHeight="1" x14ac:dyDescent="0.2"/>
    <row r="4401" ht="12.75" customHeight="1" x14ac:dyDescent="0.2"/>
    <row r="4402" ht="12.75" customHeight="1" x14ac:dyDescent="0.2"/>
    <row r="4403" ht="12.75" customHeight="1" x14ac:dyDescent="0.2"/>
    <row r="4404" ht="12.75" customHeight="1" x14ac:dyDescent="0.2"/>
    <row r="4405" ht="12.75" customHeight="1" x14ac:dyDescent="0.2"/>
    <row r="4406" ht="12.75" customHeight="1" x14ac:dyDescent="0.2"/>
    <row r="4407" ht="12.75" customHeight="1" x14ac:dyDescent="0.2"/>
    <row r="4408" ht="12.75" customHeight="1" x14ac:dyDescent="0.2"/>
    <row r="4409" ht="12.75" customHeight="1" x14ac:dyDescent="0.2"/>
    <row r="4410" ht="12.75" customHeight="1" x14ac:dyDescent="0.2"/>
    <row r="4411" ht="12.75" customHeight="1" x14ac:dyDescent="0.2"/>
    <row r="4412" ht="12.75" customHeight="1" x14ac:dyDescent="0.2"/>
    <row r="4413" ht="12.75" customHeight="1" x14ac:dyDescent="0.2"/>
    <row r="4414" ht="12.75" customHeight="1" x14ac:dyDescent="0.2"/>
    <row r="4415" ht="12.75" customHeight="1" x14ac:dyDescent="0.2"/>
    <row r="4416" ht="12.75" customHeight="1" x14ac:dyDescent="0.2"/>
    <row r="4417" ht="12.75" customHeight="1" x14ac:dyDescent="0.2"/>
    <row r="4418" ht="12.75" customHeight="1" x14ac:dyDescent="0.2"/>
    <row r="4419" ht="12.75" customHeight="1" x14ac:dyDescent="0.2"/>
    <row r="4420" ht="12.75" customHeight="1" x14ac:dyDescent="0.2"/>
    <row r="4421" ht="12.75" customHeight="1" x14ac:dyDescent="0.2"/>
    <row r="4422" ht="12.75" customHeight="1" x14ac:dyDescent="0.2"/>
    <row r="4423" ht="12.75" customHeight="1" x14ac:dyDescent="0.2"/>
    <row r="4424" ht="12.75" customHeight="1" x14ac:dyDescent="0.2"/>
    <row r="4425" ht="12.75" customHeight="1" x14ac:dyDescent="0.2"/>
    <row r="4426" ht="12.75" customHeight="1" x14ac:dyDescent="0.2"/>
    <row r="4427" ht="12.75" customHeight="1" x14ac:dyDescent="0.2"/>
    <row r="4428" ht="12.75" customHeight="1" x14ac:dyDescent="0.2"/>
    <row r="4429" ht="12.75" customHeight="1" x14ac:dyDescent="0.2"/>
    <row r="4430" ht="12.75" customHeight="1" x14ac:dyDescent="0.2"/>
    <row r="4431" ht="12.75" customHeight="1" x14ac:dyDescent="0.2"/>
    <row r="4432" ht="12.75" customHeight="1" x14ac:dyDescent="0.2"/>
    <row r="4433" ht="12.75" customHeight="1" x14ac:dyDescent="0.2"/>
    <row r="4434" ht="12.75" customHeight="1" x14ac:dyDescent="0.2"/>
    <row r="4435" ht="12.75" customHeight="1" x14ac:dyDescent="0.2"/>
    <row r="4436" ht="12.75" customHeight="1" x14ac:dyDescent="0.2"/>
    <row r="4437" ht="12.75" customHeight="1" x14ac:dyDescent="0.2"/>
    <row r="4438" ht="12.75" customHeight="1" x14ac:dyDescent="0.2"/>
    <row r="4439" ht="12.75" customHeight="1" x14ac:dyDescent="0.2"/>
    <row r="4440" ht="12.75" customHeight="1" x14ac:dyDescent="0.2"/>
    <row r="4441" ht="12.75" customHeight="1" x14ac:dyDescent="0.2"/>
    <row r="4442" ht="12.75" customHeight="1" x14ac:dyDescent="0.2"/>
    <row r="4443" ht="12.75" customHeight="1" x14ac:dyDescent="0.2"/>
    <row r="4444" ht="12.75" customHeight="1" x14ac:dyDescent="0.2"/>
    <row r="4445" ht="12.75" customHeight="1" x14ac:dyDescent="0.2"/>
    <row r="4446" ht="12.75" customHeight="1" x14ac:dyDescent="0.2"/>
    <row r="4447" ht="12.75" customHeight="1" x14ac:dyDescent="0.2"/>
    <row r="4448" ht="12.75" customHeight="1" x14ac:dyDescent="0.2"/>
    <row r="4449" ht="12.75" customHeight="1" x14ac:dyDescent="0.2"/>
    <row r="4450" ht="12.75" customHeight="1" x14ac:dyDescent="0.2"/>
    <row r="4451" ht="12.75" customHeight="1" x14ac:dyDescent="0.2"/>
    <row r="4452" ht="12.75" customHeight="1" x14ac:dyDescent="0.2"/>
    <row r="4453" ht="12.75" customHeight="1" x14ac:dyDescent="0.2"/>
    <row r="4454" ht="12.75" customHeight="1" x14ac:dyDescent="0.2"/>
    <row r="4455" ht="12.75" customHeight="1" x14ac:dyDescent="0.2"/>
    <row r="4456" ht="12.75" customHeight="1" x14ac:dyDescent="0.2"/>
    <row r="4457" ht="12.75" customHeight="1" x14ac:dyDescent="0.2"/>
    <row r="4458" ht="12.75" customHeight="1" x14ac:dyDescent="0.2"/>
    <row r="4459" ht="12.75" customHeight="1" x14ac:dyDescent="0.2"/>
    <row r="4460" ht="12.75" customHeight="1" x14ac:dyDescent="0.2"/>
    <row r="4461" ht="12.75" customHeight="1" x14ac:dyDescent="0.2"/>
    <row r="4462" ht="12.75" customHeight="1" x14ac:dyDescent="0.2"/>
    <row r="4463" ht="12.75" customHeight="1" x14ac:dyDescent="0.2"/>
    <row r="4464" ht="12.75" customHeight="1" x14ac:dyDescent="0.2"/>
    <row r="4465" ht="12.75" customHeight="1" x14ac:dyDescent="0.2"/>
    <row r="4466" ht="12.75" customHeight="1" x14ac:dyDescent="0.2"/>
    <row r="4467" ht="12.75" customHeight="1" x14ac:dyDescent="0.2"/>
    <row r="4468" ht="12.75" customHeight="1" x14ac:dyDescent="0.2"/>
    <row r="4469" ht="12.75" customHeight="1" x14ac:dyDescent="0.2"/>
    <row r="4470" ht="12.75" customHeight="1" x14ac:dyDescent="0.2"/>
    <row r="4471" ht="12.75" customHeight="1" x14ac:dyDescent="0.2"/>
    <row r="4472" ht="12.75" customHeight="1" x14ac:dyDescent="0.2"/>
    <row r="4473" ht="12.75" customHeight="1" x14ac:dyDescent="0.2"/>
    <row r="4474" ht="12.75" customHeight="1" x14ac:dyDescent="0.2"/>
    <row r="4475" ht="12.75" customHeight="1" x14ac:dyDescent="0.2"/>
    <row r="4476" ht="12.75" customHeight="1" x14ac:dyDescent="0.2"/>
    <row r="4477" ht="12.75" customHeight="1" x14ac:dyDescent="0.2"/>
    <row r="4478" ht="12.75" customHeight="1" x14ac:dyDescent="0.2"/>
    <row r="4479" ht="12.75" customHeight="1" x14ac:dyDescent="0.2"/>
    <row r="4480" ht="12.75" customHeight="1" x14ac:dyDescent="0.2"/>
    <row r="4481" ht="12.75" customHeight="1" x14ac:dyDescent="0.2"/>
    <row r="4482" ht="12.75" customHeight="1" x14ac:dyDescent="0.2"/>
    <row r="4483" ht="12.75" customHeight="1" x14ac:dyDescent="0.2"/>
    <row r="4484" ht="12.75" customHeight="1" x14ac:dyDescent="0.2"/>
    <row r="4485" ht="12.75" customHeight="1" x14ac:dyDescent="0.2"/>
    <row r="4486" ht="12.75" customHeight="1" x14ac:dyDescent="0.2"/>
    <row r="4487" ht="12.75" customHeight="1" x14ac:dyDescent="0.2"/>
    <row r="4488" ht="12.75" customHeight="1" x14ac:dyDescent="0.2"/>
    <row r="4489" ht="12.75" customHeight="1" x14ac:dyDescent="0.2"/>
    <row r="4490" ht="12.75" customHeight="1" x14ac:dyDescent="0.2"/>
    <row r="4491" ht="12.75" customHeight="1" x14ac:dyDescent="0.2"/>
    <row r="4492" ht="12.75" customHeight="1" x14ac:dyDescent="0.2"/>
    <row r="4493" ht="12.75" customHeight="1" x14ac:dyDescent="0.2"/>
    <row r="4494" ht="12.75" customHeight="1" x14ac:dyDescent="0.2"/>
    <row r="4495" ht="12.75" customHeight="1" x14ac:dyDescent="0.2"/>
    <row r="4496" ht="12.75" customHeight="1" x14ac:dyDescent="0.2"/>
    <row r="4497" ht="12.75" customHeight="1" x14ac:dyDescent="0.2"/>
    <row r="4498" ht="12.75" customHeight="1" x14ac:dyDescent="0.2"/>
    <row r="4499" ht="12.75" customHeight="1" x14ac:dyDescent="0.2"/>
    <row r="4500" ht="12.75" customHeight="1" x14ac:dyDescent="0.2"/>
    <row r="4501" ht="12.75" customHeight="1" x14ac:dyDescent="0.2"/>
    <row r="4502" ht="12.75" customHeight="1" x14ac:dyDescent="0.2"/>
    <row r="4503" ht="12.75" customHeight="1" x14ac:dyDescent="0.2"/>
    <row r="4504" ht="12.75" customHeight="1" x14ac:dyDescent="0.2"/>
    <row r="4505" ht="12.75" customHeight="1" x14ac:dyDescent="0.2"/>
    <row r="4506" ht="12.75" customHeight="1" x14ac:dyDescent="0.2"/>
    <row r="4507" ht="12.75" customHeight="1" x14ac:dyDescent="0.2"/>
    <row r="4508" ht="12.75" customHeight="1" x14ac:dyDescent="0.2"/>
    <row r="4509" ht="12.75" customHeight="1" x14ac:dyDescent="0.2"/>
    <row r="4510" ht="12.75" customHeight="1" x14ac:dyDescent="0.2"/>
    <row r="4511" ht="12.75" customHeight="1" x14ac:dyDescent="0.2"/>
    <row r="4512" ht="12.75" customHeight="1" x14ac:dyDescent="0.2"/>
    <row r="4513" ht="12.75" customHeight="1" x14ac:dyDescent="0.2"/>
    <row r="4514" ht="12.75" customHeight="1" x14ac:dyDescent="0.2"/>
    <row r="4515" ht="12.75" customHeight="1" x14ac:dyDescent="0.2"/>
    <row r="4516" ht="12.75" customHeight="1" x14ac:dyDescent="0.2"/>
    <row r="4517" ht="12.75" customHeight="1" x14ac:dyDescent="0.2"/>
    <row r="4518" ht="12.75" customHeight="1" x14ac:dyDescent="0.2"/>
    <row r="4519" ht="12.75" customHeight="1" x14ac:dyDescent="0.2"/>
    <row r="4520" ht="12.75" customHeight="1" x14ac:dyDescent="0.2"/>
    <row r="4521" ht="12.75" customHeight="1" x14ac:dyDescent="0.2"/>
    <row r="4522" ht="12.75" customHeight="1" x14ac:dyDescent="0.2"/>
    <row r="4523" ht="12.75" customHeight="1" x14ac:dyDescent="0.2"/>
    <row r="4524" ht="12.75" customHeight="1" x14ac:dyDescent="0.2"/>
    <row r="4525" ht="12.75" customHeight="1" x14ac:dyDescent="0.2"/>
    <row r="4526" ht="12.75" customHeight="1" x14ac:dyDescent="0.2"/>
    <row r="4527" ht="12.75" customHeight="1" x14ac:dyDescent="0.2"/>
    <row r="4528" ht="12.75" customHeight="1" x14ac:dyDescent="0.2"/>
    <row r="4529" ht="12.75" customHeight="1" x14ac:dyDescent="0.2"/>
    <row r="4530" ht="12.75" customHeight="1" x14ac:dyDescent="0.2"/>
    <row r="4531" ht="12.75" customHeight="1" x14ac:dyDescent="0.2"/>
    <row r="4532" ht="12.75" customHeight="1" x14ac:dyDescent="0.2"/>
    <row r="4533" ht="12.75" customHeight="1" x14ac:dyDescent="0.2"/>
    <row r="4534" ht="12.75" customHeight="1" x14ac:dyDescent="0.2"/>
    <row r="4535" ht="12.75" customHeight="1" x14ac:dyDescent="0.2"/>
    <row r="4536" ht="12.75" customHeight="1" x14ac:dyDescent="0.2"/>
    <row r="4537" ht="12.75" customHeight="1" x14ac:dyDescent="0.2"/>
    <row r="4538" ht="12.75" customHeight="1" x14ac:dyDescent="0.2"/>
    <row r="4539" ht="12.75" customHeight="1" x14ac:dyDescent="0.2"/>
    <row r="4540" ht="12.75" customHeight="1" x14ac:dyDescent="0.2"/>
    <row r="4541" ht="12.75" customHeight="1" x14ac:dyDescent="0.2"/>
    <row r="4542" ht="12.75" customHeight="1" x14ac:dyDescent="0.2"/>
    <row r="4543" ht="12.75" customHeight="1" x14ac:dyDescent="0.2"/>
    <row r="4544" ht="12.75" customHeight="1" x14ac:dyDescent="0.2"/>
    <row r="4545" ht="12.75" customHeight="1" x14ac:dyDescent="0.2"/>
    <row r="4546" ht="12.75" customHeight="1" x14ac:dyDescent="0.2"/>
    <row r="4547" ht="12.75" customHeight="1" x14ac:dyDescent="0.2"/>
    <row r="4548" ht="12.75" customHeight="1" x14ac:dyDescent="0.2"/>
    <row r="4549" ht="12.75" customHeight="1" x14ac:dyDescent="0.2"/>
    <row r="4550" ht="12.75" customHeight="1" x14ac:dyDescent="0.2"/>
    <row r="4551" ht="12.75" customHeight="1" x14ac:dyDescent="0.2"/>
    <row r="4552" ht="12.75" customHeight="1" x14ac:dyDescent="0.2"/>
    <row r="4553" ht="12.75" customHeight="1" x14ac:dyDescent="0.2"/>
    <row r="4554" ht="12.75" customHeight="1" x14ac:dyDescent="0.2"/>
    <row r="4555" ht="12.75" customHeight="1" x14ac:dyDescent="0.2"/>
    <row r="4556" ht="12.75" customHeight="1" x14ac:dyDescent="0.2"/>
    <row r="4557" ht="12.75" customHeight="1" x14ac:dyDescent="0.2"/>
    <row r="4558" ht="12.75" customHeight="1" x14ac:dyDescent="0.2"/>
    <row r="4559" ht="12.75" customHeight="1" x14ac:dyDescent="0.2"/>
    <row r="4560" ht="12.75" customHeight="1" x14ac:dyDescent="0.2"/>
    <row r="4561" ht="12.75" customHeight="1" x14ac:dyDescent="0.2"/>
    <row r="4562" ht="12.75" customHeight="1" x14ac:dyDescent="0.2"/>
    <row r="4563" ht="12.75" customHeight="1" x14ac:dyDescent="0.2"/>
    <row r="4564" ht="12.75" customHeight="1" x14ac:dyDescent="0.2"/>
    <row r="4565" ht="12.75" customHeight="1" x14ac:dyDescent="0.2"/>
    <row r="4566" ht="12.75" customHeight="1" x14ac:dyDescent="0.2"/>
    <row r="4567" ht="12.75" customHeight="1" x14ac:dyDescent="0.2"/>
    <row r="4568" ht="12.75" customHeight="1" x14ac:dyDescent="0.2"/>
    <row r="4569" ht="12.75" customHeight="1" x14ac:dyDescent="0.2"/>
    <row r="4570" ht="12.75" customHeight="1" x14ac:dyDescent="0.2"/>
    <row r="4571" ht="12.75" customHeight="1" x14ac:dyDescent="0.2"/>
    <row r="4572" ht="12.75" customHeight="1" x14ac:dyDescent="0.2"/>
    <row r="4573" ht="12.75" customHeight="1" x14ac:dyDescent="0.2"/>
    <row r="4574" ht="12.75" customHeight="1" x14ac:dyDescent="0.2"/>
    <row r="4575" ht="12.75" customHeight="1" x14ac:dyDescent="0.2"/>
    <row r="4576" ht="12.75" customHeight="1" x14ac:dyDescent="0.2"/>
    <row r="4577" ht="12.75" customHeight="1" x14ac:dyDescent="0.2"/>
    <row r="4578" ht="12.75" customHeight="1" x14ac:dyDescent="0.2"/>
    <row r="4579" ht="12.75" customHeight="1" x14ac:dyDescent="0.2"/>
    <row r="4580" ht="12.75" customHeight="1" x14ac:dyDescent="0.2"/>
    <row r="4581" ht="12.75" customHeight="1" x14ac:dyDescent="0.2"/>
    <row r="4582" ht="12.75" customHeight="1" x14ac:dyDescent="0.2"/>
    <row r="4583" ht="12.75" customHeight="1" x14ac:dyDescent="0.2"/>
    <row r="4584" ht="12.75" customHeight="1" x14ac:dyDescent="0.2"/>
    <row r="4585" ht="12.75" customHeight="1" x14ac:dyDescent="0.2"/>
    <row r="4586" ht="12.75" customHeight="1" x14ac:dyDescent="0.2"/>
    <row r="4587" ht="12.75" customHeight="1" x14ac:dyDescent="0.2"/>
    <row r="4588" ht="12.75" customHeight="1" x14ac:dyDescent="0.2"/>
    <row r="4589" ht="12.75" customHeight="1" x14ac:dyDescent="0.2"/>
    <row r="4590" ht="12.75" customHeight="1" x14ac:dyDescent="0.2"/>
    <row r="4591" ht="12.75" customHeight="1" x14ac:dyDescent="0.2"/>
    <row r="4592" ht="12.75" customHeight="1" x14ac:dyDescent="0.2"/>
    <row r="4593" ht="12.75" customHeight="1" x14ac:dyDescent="0.2"/>
    <row r="4594" ht="12.75" customHeight="1" x14ac:dyDescent="0.2"/>
    <row r="4595" ht="12.75" customHeight="1" x14ac:dyDescent="0.2"/>
    <row r="4596" ht="12.75" customHeight="1" x14ac:dyDescent="0.2"/>
    <row r="4597" ht="12.75" customHeight="1" x14ac:dyDescent="0.2"/>
    <row r="4598" ht="12.75" customHeight="1" x14ac:dyDescent="0.2"/>
    <row r="4599" ht="12.75" customHeight="1" x14ac:dyDescent="0.2"/>
    <row r="4600" ht="12.75" customHeight="1" x14ac:dyDescent="0.2"/>
    <row r="4601" ht="12.75" customHeight="1" x14ac:dyDescent="0.2"/>
    <row r="4602" ht="12.75" customHeight="1" x14ac:dyDescent="0.2"/>
    <row r="4603" ht="12.75" customHeight="1" x14ac:dyDescent="0.2"/>
    <row r="4604" ht="12.75" customHeight="1" x14ac:dyDescent="0.2"/>
    <row r="4605" ht="12.75" customHeight="1" x14ac:dyDescent="0.2"/>
    <row r="4606" ht="12.75" customHeight="1" x14ac:dyDescent="0.2"/>
    <row r="4607" ht="12.75" customHeight="1" x14ac:dyDescent="0.2"/>
    <row r="4608" ht="12.75" customHeight="1" x14ac:dyDescent="0.2"/>
    <row r="4609" ht="12.75" customHeight="1" x14ac:dyDescent="0.2"/>
    <row r="4610" ht="12.75" customHeight="1" x14ac:dyDescent="0.2"/>
    <row r="4611" ht="12.75" customHeight="1" x14ac:dyDescent="0.2"/>
    <row r="4612" ht="12.75" customHeight="1" x14ac:dyDescent="0.2"/>
    <row r="4613" ht="12.75" customHeight="1" x14ac:dyDescent="0.2"/>
    <row r="4614" ht="12.75" customHeight="1" x14ac:dyDescent="0.2"/>
    <row r="4615" ht="12.75" customHeight="1" x14ac:dyDescent="0.2"/>
    <row r="4616" ht="12.75" customHeight="1" x14ac:dyDescent="0.2"/>
    <row r="4617" ht="12.75" customHeight="1" x14ac:dyDescent="0.2"/>
    <row r="4618" ht="12.75" customHeight="1" x14ac:dyDescent="0.2"/>
    <row r="4619" ht="12.75" customHeight="1" x14ac:dyDescent="0.2"/>
    <row r="4620" ht="12.75" customHeight="1" x14ac:dyDescent="0.2"/>
    <row r="4621" ht="12.75" customHeight="1" x14ac:dyDescent="0.2"/>
    <row r="4622" ht="12.75" customHeight="1" x14ac:dyDescent="0.2"/>
    <row r="4623" ht="12.75" customHeight="1" x14ac:dyDescent="0.2"/>
    <row r="4624" ht="12.75" customHeight="1" x14ac:dyDescent="0.2"/>
    <row r="4625" ht="12.75" customHeight="1" x14ac:dyDescent="0.2"/>
    <row r="4626" ht="12.75" customHeight="1" x14ac:dyDescent="0.2"/>
    <row r="4627" ht="12.75" customHeight="1" x14ac:dyDescent="0.2"/>
    <row r="4628" ht="12.75" customHeight="1" x14ac:dyDescent="0.2"/>
    <row r="4629" ht="12.75" customHeight="1" x14ac:dyDescent="0.2"/>
    <row r="4630" ht="12.75" customHeight="1" x14ac:dyDescent="0.2"/>
    <row r="4631" ht="12.75" customHeight="1" x14ac:dyDescent="0.2"/>
    <row r="4632" ht="12.75" customHeight="1" x14ac:dyDescent="0.2"/>
    <row r="4633" ht="12.75" customHeight="1" x14ac:dyDescent="0.2"/>
    <row r="4634" ht="12.75" customHeight="1" x14ac:dyDescent="0.2"/>
    <row r="4635" ht="12.75" customHeight="1" x14ac:dyDescent="0.2"/>
    <row r="4636" ht="12.75" customHeight="1" x14ac:dyDescent="0.2"/>
    <row r="4637" ht="12.75" customHeight="1" x14ac:dyDescent="0.2"/>
    <row r="4638" ht="12.75" customHeight="1" x14ac:dyDescent="0.2"/>
    <row r="4639" ht="12.75" customHeight="1" x14ac:dyDescent="0.2"/>
    <row r="4640" ht="12.75" customHeight="1" x14ac:dyDescent="0.2"/>
    <row r="4641" ht="12.75" customHeight="1" x14ac:dyDescent="0.2"/>
    <row r="4642" ht="12.75" customHeight="1" x14ac:dyDescent="0.2"/>
    <row r="4643" ht="12.75" customHeight="1" x14ac:dyDescent="0.2"/>
    <row r="4644" ht="12.75" customHeight="1" x14ac:dyDescent="0.2"/>
    <row r="4645" ht="12.75" customHeight="1" x14ac:dyDescent="0.2"/>
    <row r="4646" ht="12.75" customHeight="1" x14ac:dyDescent="0.2"/>
    <row r="4647" ht="12.75" customHeight="1" x14ac:dyDescent="0.2"/>
    <row r="4648" ht="12.75" customHeight="1" x14ac:dyDescent="0.2"/>
    <row r="4649" ht="12.75" customHeight="1" x14ac:dyDescent="0.2"/>
    <row r="4650" ht="12.75" customHeight="1" x14ac:dyDescent="0.2"/>
    <row r="4651" ht="12.75" customHeight="1" x14ac:dyDescent="0.2"/>
    <row r="4652" ht="12.75" customHeight="1" x14ac:dyDescent="0.2"/>
    <row r="4653" ht="12.75" customHeight="1" x14ac:dyDescent="0.2"/>
    <row r="4654" ht="12.75" customHeight="1" x14ac:dyDescent="0.2"/>
    <row r="4655" ht="12.75" customHeight="1" x14ac:dyDescent="0.2"/>
    <row r="4656" ht="12.75" customHeight="1" x14ac:dyDescent="0.2"/>
    <row r="4657" ht="12.75" customHeight="1" x14ac:dyDescent="0.2"/>
    <row r="4658" ht="12.75" customHeight="1" x14ac:dyDescent="0.2"/>
    <row r="4659" ht="12.75" customHeight="1" x14ac:dyDescent="0.2"/>
    <row r="4660" ht="12.75" customHeight="1" x14ac:dyDescent="0.2"/>
    <row r="4661" ht="12.75" customHeight="1" x14ac:dyDescent="0.2"/>
    <row r="4662" ht="12.75" customHeight="1" x14ac:dyDescent="0.2"/>
    <row r="4663" ht="12.75" customHeight="1" x14ac:dyDescent="0.2"/>
    <row r="4664" ht="12.75" customHeight="1" x14ac:dyDescent="0.2"/>
    <row r="4665" ht="12.75" customHeight="1" x14ac:dyDescent="0.2"/>
    <row r="4666" ht="12.75" customHeight="1" x14ac:dyDescent="0.2"/>
    <row r="4667" ht="12.75" customHeight="1" x14ac:dyDescent="0.2"/>
    <row r="4668" ht="12.75" customHeight="1" x14ac:dyDescent="0.2"/>
    <row r="4669" ht="12.75" customHeight="1" x14ac:dyDescent="0.2"/>
    <row r="4670" ht="12.75" customHeight="1" x14ac:dyDescent="0.2"/>
    <row r="4671" ht="12.75" customHeight="1" x14ac:dyDescent="0.2"/>
    <row r="4672" ht="12.75" customHeight="1" x14ac:dyDescent="0.2"/>
    <row r="4673" ht="12.75" customHeight="1" x14ac:dyDescent="0.2"/>
    <row r="4674" ht="12.75" customHeight="1" x14ac:dyDescent="0.2"/>
    <row r="4675" ht="12.75" customHeight="1" x14ac:dyDescent="0.2"/>
    <row r="4676" ht="12.75" customHeight="1" x14ac:dyDescent="0.2"/>
    <row r="4677" ht="12.75" customHeight="1" x14ac:dyDescent="0.2"/>
    <row r="4678" ht="12.75" customHeight="1" x14ac:dyDescent="0.2"/>
    <row r="4679" ht="12.75" customHeight="1" x14ac:dyDescent="0.2"/>
    <row r="4680" ht="12.75" customHeight="1" x14ac:dyDescent="0.2"/>
    <row r="4681" ht="12.75" customHeight="1" x14ac:dyDescent="0.2"/>
    <row r="4682" ht="12.75" customHeight="1" x14ac:dyDescent="0.2"/>
    <row r="4683" ht="12.75" customHeight="1" x14ac:dyDescent="0.2"/>
    <row r="4684" ht="12.75" customHeight="1" x14ac:dyDescent="0.2"/>
    <row r="4685" ht="12.75" customHeight="1" x14ac:dyDescent="0.2"/>
    <row r="4686" ht="12.75" customHeight="1" x14ac:dyDescent="0.2"/>
    <row r="4687" ht="12.75" customHeight="1" x14ac:dyDescent="0.2"/>
    <row r="4688" ht="12.75" customHeight="1" x14ac:dyDescent="0.2"/>
    <row r="4689" ht="12.75" customHeight="1" x14ac:dyDescent="0.2"/>
    <row r="4690" ht="12.75" customHeight="1" x14ac:dyDescent="0.2"/>
    <row r="4691" ht="12.75" customHeight="1" x14ac:dyDescent="0.2"/>
    <row r="4692" ht="12.75" customHeight="1" x14ac:dyDescent="0.2"/>
    <row r="4693" ht="12.75" customHeight="1" x14ac:dyDescent="0.2"/>
    <row r="4694" ht="12.75" customHeight="1" x14ac:dyDescent="0.2"/>
    <row r="4695" ht="12.75" customHeight="1" x14ac:dyDescent="0.2"/>
    <row r="4696" ht="12.75" customHeight="1" x14ac:dyDescent="0.2"/>
    <row r="4697" ht="12.75" customHeight="1" x14ac:dyDescent="0.2"/>
    <row r="4698" ht="12.75" customHeight="1" x14ac:dyDescent="0.2"/>
    <row r="4699" ht="12.75" customHeight="1" x14ac:dyDescent="0.2"/>
    <row r="4700" ht="12.75" customHeight="1" x14ac:dyDescent="0.2"/>
    <row r="4701" ht="12.75" customHeight="1" x14ac:dyDescent="0.2"/>
    <row r="4702" ht="12.75" customHeight="1" x14ac:dyDescent="0.2"/>
    <row r="4703" ht="12.75" customHeight="1" x14ac:dyDescent="0.2"/>
    <row r="4704" ht="12.75" customHeight="1" x14ac:dyDescent="0.2"/>
    <row r="4705" ht="12.75" customHeight="1" x14ac:dyDescent="0.2"/>
    <row r="4706" ht="12.75" customHeight="1" x14ac:dyDescent="0.2"/>
    <row r="4707" ht="12.75" customHeight="1" x14ac:dyDescent="0.2"/>
    <row r="4708" ht="12.75" customHeight="1" x14ac:dyDescent="0.2"/>
    <row r="4709" ht="12.75" customHeight="1" x14ac:dyDescent="0.2"/>
    <row r="4710" ht="12.75" customHeight="1" x14ac:dyDescent="0.2"/>
    <row r="4711" ht="12.75" customHeight="1" x14ac:dyDescent="0.2"/>
    <row r="4712" ht="12.75" customHeight="1" x14ac:dyDescent="0.2"/>
    <row r="4713" ht="12.75" customHeight="1" x14ac:dyDescent="0.2"/>
    <row r="4714" ht="12.75" customHeight="1" x14ac:dyDescent="0.2"/>
    <row r="4715" ht="12.75" customHeight="1" x14ac:dyDescent="0.2"/>
    <row r="4716" ht="12.75" customHeight="1" x14ac:dyDescent="0.2"/>
    <row r="4717" ht="12.75" customHeight="1" x14ac:dyDescent="0.2"/>
    <row r="4718" ht="12.75" customHeight="1" x14ac:dyDescent="0.2"/>
    <row r="4719" ht="12.75" customHeight="1" x14ac:dyDescent="0.2"/>
    <row r="4720" ht="12.75" customHeight="1" x14ac:dyDescent="0.2"/>
    <row r="4721" ht="12.75" customHeight="1" x14ac:dyDescent="0.2"/>
    <row r="4722" ht="12.75" customHeight="1" x14ac:dyDescent="0.2"/>
    <row r="4723" ht="12.75" customHeight="1" x14ac:dyDescent="0.2"/>
    <row r="4724" ht="12.75" customHeight="1" x14ac:dyDescent="0.2"/>
    <row r="4725" ht="12.75" customHeight="1" x14ac:dyDescent="0.2"/>
    <row r="4726" ht="12.75" customHeight="1" x14ac:dyDescent="0.2"/>
    <row r="4727" ht="12.75" customHeight="1" x14ac:dyDescent="0.2"/>
    <row r="4728" ht="12.75" customHeight="1" x14ac:dyDescent="0.2"/>
    <row r="4729" ht="12.75" customHeight="1" x14ac:dyDescent="0.2"/>
    <row r="4730" ht="12.75" customHeight="1" x14ac:dyDescent="0.2"/>
    <row r="4731" ht="12.75" customHeight="1" x14ac:dyDescent="0.2"/>
    <row r="4732" ht="12.75" customHeight="1" x14ac:dyDescent="0.2"/>
    <row r="4733" ht="12.75" customHeight="1" x14ac:dyDescent="0.2"/>
    <row r="4734" ht="12.75" customHeight="1" x14ac:dyDescent="0.2"/>
    <row r="4735" ht="12.75" customHeight="1" x14ac:dyDescent="0.2"/>
    <row r="4736" ht="12.75" customHeight="1" x14ac:dyDescent="0.2"/>
    <row r="4737" ht="12.75" customHeight="1" x14ac:dyDescent="0.2"/>
    <row r="4738" ht="12.75" customHeight="1" x14ac:dyDescent="0.2"/>
    <row r="4739" ht="12.75" customHeight="1" x14ac:dyDescent="0.2"/>
    <row r="4740" ht="12.75" customHeight="1" x14ac:dyDescent="0.2"/>
    <row r="4741" ht="12.75" customHeight="1" x14ac:dyDescent="0.2"/>
    <row r="4742" ht="12.75" customHeight="1" x14ac:dyDescent="0.2"/>
    <row r="4743" ht="12.75" customHeight="1" x14ac:dyDescent="0.2"/>
    <row r="4744" ht="12.75" customHeight="1" x14ac:dyDescent="0.2"/>
    <row r="4745" ht="12.75" customHeight="1" x14ac:dyDescent="0.2"/>
    <row r="4746" ht="12.75" customHeight="1" x14ac:dyDescent="0.2"/>
    <row r="4747" ht="12.75" customHeight="1" x14ac:dyDescent="0.2"/>
    <row r="4748" ht="12.75" customHeight="1" x14ac:dyDescent="0.2"/>
    <row r="4749" ht="12.75" customHeight="1" x14ac:dyDescent="0.2"/>
    <row r="4750" ht="12.75" customHeight="1" x14ac:dyDescent="0.2"/>
    <row r="4751" ht="12.75" customHeight="1" x14ac:dyDescent="0.2"/>
    <row r="4752" ht="12.75" customHeight="1" x14ac:dyDescent="0.2"/>
    <row r="4753" ht="12.75" customHeight="1" x14ac:dyDescent="0.2"/>
    <row r="4754" ht="12.75" customHeight="1" x14ac:dyDescent="0.2"/>
    <row r="4755" ht="12.75" customHeight="1" x14ac:dyDescent="0.2"/>
    <row r="4756" ht="12.75" customHeight="1" x14ac:dyDescent="0.2"/>
    <row r="4757" ht="12.75" customHeight="1" x14ac:dyDescent="0.2"/>
    <row r="4758" ht="12.75" customHeight="1" x14ac:dyDescent="0.2"/>
    <row r="4759" ht="12.75" customHeight="1" x14ac:dyDescent="0.2"/>
    <row r="4760" ht="12.75" customHeight="1" x14ac:dyDescent="0.2"/>
    <row r="4761" ht="12.75" customHeight="1" x14ac:dyDescent="0.2"/>
    <row r="4762" ht="12.75" customHeight="1" x14ac:dyDescent="0.2"/>
    <row r="4763" ht="12.75" customHeight="1" x14ac:dyDescent="0.2"/>
    <row r="4764" ht="12.75" customHeight="1" x14ac:dyDescent="0.2"/>
    <row r="4765" ht="12.75" customHeight="1" x14ac:dyDescent="0.2"/>
    <row r="4766" ht="12.75" customHeight="1" x14ac:dyDescent="0.2"/>
    <row r="4767" ht="12.75" customHeight="1" x14ac:dyDescent="0.2"/>
    <row r="4768" ht="12.75" customHeight="1" x14ac:dyDescent="0.2"/>
    <row r="4769" ht="12.75" customHeight="1" x14ac:dyDescent="0.2"/>
    <row r="4770" ht="12.75" customHeight="1" x14ac:dyDescent="0.2"/>
    <row r="4771" ht="12.75" customHeight="1" x14ac:dyDescent="0.2"/>
    <row r="4772" ht="12.75" customHeight="1" x14ac:dyDescent="0.2"/>
    <row r="4773" ht="12.75" customHeight="1" x14ac:dyDescent="0.2"/>
    <row r="4774" ht="12.75" customHeight="1" x14ac:dyDescent="0.2"/>
    <row r="4775" ht="12.75" customHeight="1" x14ac:dyDescent="0.2"/>
    <row r="4776" ht="12.75" customHeight="1" x14ac:dyDescent="0.2"/>
    <row r="4777" ht="12.75" customHeight="1" x14ac:dyDescent="0.2"/>
    <row r="4778" ht="12.75" customHeight="1" x14ac:dyDescent="0.2"/>
    <row r="4779" ht="12.75" customHeight="1" x14ac:dyDescent="0.2"/>
    <row r="4780" ht="12.75" customHeight="1" x14ac:dyDescent="0.2"/>
    <row r="4781" ht="12.75" customHeight="1" x14ac:dyDescent="0.2"/>
    <row r="4782" ht="12.75" customHeight="1" x14ac:dyDescent="0.2"/>
    <row r="4783" ht="12.75" customHeight="1" x14ac:dyDescent="0.2"/>
    <row r="4784" ht="12.75" customHeight="1" x14ac:dyDescent="0.2"/>
    <row r="4785" ht="12.75" customHeight="1" x14ac:dyDescent="0.2"/>
    <row r="4786" ht="12.75" customHeight="1" x14ac:dyDescent="0.2"/>
    <row r="4787" ht="12.75" customHeight="1" x14ac:dyDescent="0.2"/>
    <row r="4788" ht="12.75" customHeight="1" x14ac:dyDescent="0.2"/>
    <row r="4789" ht="12.75" customHeight="1" x14ac:dyDescent="0.2"/>
    <row r="4790" ht="12.75" customHeight="1" x14ac:dyDescent="0.2"/>
    <row r="4791" ht="12.75" customHeight="1" x14ac:dyDescent="0.2"/>
    <row r="4792" ht="12.75" customHeight="1" x14ac:dyDescent="0.2"/>
    <row r="4793" ht="12.75" customHeight="1" x14ac:dyDescent="0.2"/>
    <row r="4794" ht="12.75" customHeight="1" x14ac:dyDescent="0.2"/>
    <row r="4795" ht="12.75" customHeight="1" x14ac:dyDescent="0.2"/>
    <row r="4796" ht="12.75" customHeight="1" x14ac:dyDescent="0.2"/>
    <row r="4797" ht="12.75" customHeight="1" x14ac:dyDescent="0.2"/>
    <row r="4798" ht="12.75" customHeight="1" x14ac:dyDescent="0.2"/>
    <row r="4799" ht="12.75" customHeight="1" x14ac:dyDescent="0.2"/>
    <row r="4800" ht="12.75" customHeight="1" x14ac:dyDescent="0.2"/>
    <row r="4801" ht="12.75" customHeight="1" x14ac:dyDescent="0.2"/>
    <row r="4802" ht="12.75" customHeight="1" x14ac:dyDescent="0.2"/>
    <row r="4803" ht="12.75" customHeight="1" x14ac:dyDescent="0.2"/>
    <row r="4804" ht="12.75" customHeight="1" x14ac:dyDescent="0.2"/>
    <row r="4805" ht="12.75" customHeight="1" x14ac:dyDescent="0.2"/>
    <row r="4806" ht="12.75" customHeight="1" x14ac:dyDescent="0.2"/>
    <row r="4807" ht="12.75" customHeight="1" x14ac:dyDescent="0.2"/>
    <row r="4808" ht="12.75" customHeight="1" x14ac:dyDescent="0.2"/>
    <row r="4809" ht="12.75" customHeight="1" x14ac:dyDescent="0.2"/>
    <row r="4810" ht="12.75" customHeight="1" x14ac:dyDescent="0.2"/>
    <row r="4811" ht="12.75" customHeight="1" x14ac:dyDescent="0.2"/>
    <row r="4812" ht="12.75" customHeight="1" x14ac:dyDescent="0.2"/>
    <row r="4813" ht="12.75" customHeight="1" x14ac:dyDescent="0.2"/>
    <row r="4814" ht="12.75" customHeight="1" x14ac:dyDescent="0.2"/>
    <row r="4815" ht="12.75" customHeight="1" x14ac:dyDescent="0.2"/>
    <row r="4816" ht="12.75" customHeight="1" x14ac:dyDescent="0.2"/>
    <row r="4817" ht="12.75" customHeight="1" x14ac:dyDescent="0.2"/>
    <row r="4818" ht="12.75" customHeight="1" x14ac:dyDescent="0.2"/>
    <row r="4819" ht="12.75" customHeight="1" x14ac:dyDescent="0.2"/>
    <row r="4820" ht="12.75" customHeight="1" x14ac:dyDescent="0.2"/>
    <row r="4821" ht="12.75" customHeight="1" x14ac:dyDescent="0.2"/>
    <row r="4822" ht="12.75" customHeight="1" x14ac:dyDescent="0.2"/>
    <row r="4823" ht="12.75" customHeight="1" x14ac:dyDescent="0.2"/>
    <row r="4824" ht="12.75" customHeight="1" x14ac:dyDescent="0.2"/>
    <row r="4825" ht="12.75" customHeight="1" x14ac:dyDescent="0.2"/>
    <row r="4826" ht="12.75" customHeight="1" x14ac:dyDescent="0.2"/>
    <row r="4827" ht="12.75" customHeight="1" x14ac:dyDescent="0.2"/>
    <row r="4828" ht="12.75" customHeight="1" x14ac:dyDescent="0.2"/>
    <row r="4829" ht="12.75" customHeight="1" x14ac:dyDescent="0.2"/>
    <row r="4830" ht="12.75" customHeight="1" x14ac:dyDescent="0.2"/>
    <row r="4831" ht="12.75" customHeight="1" x14ac:dyDescent="0.2"/>
    <row r="4832" ht="12.75" customHeight="1" x14ac:dyDescent="0.2"/>
    <row r="4833" ht="12.75" customHeight="1" x14ac:dyDescent="0.2"/>
    <row r="4834" ht="12.75" customHeight="1" x14ac:dyDescent="0.2"/>
    <row r="4835" ht="12.75" customHeight="1" x14ac:dyDescent="0.2"/>
    <row r="4836" ht="12.75" customHeight="1" x14ac:dyDescent="0.2"/>
    <row r="4837" ht="12.75" customHeight="1" x14ac:dyDescent="0.2"/>
    <row r="4838" ht="12.75" customHeight="1" x14ac:dyDescent="0.2"/>
    <row r="4839" ht="12.75" customHeight="1" x14ac:dyDescent="0.2"/>
    <row r="4840" ht="12.75" customHeight="1" x14ac:dyDescent="0.2"/>
    <row r="4841" ht="12.75" customHeight="1" x14ac:dyDescent="0.2"/>
    <row r="4842" ht="12.75" customHeight="1" x14ac:dyDescent="0.2"/>
    <row r="4843" ht="12.75" customHeight="1" x14ac:dyDescent="0.2"/>
    <row r="4844" ht="12.75" customHeight="1" x14ac:dyDescent="0.2"/>
    <row r="4845" ht="12.75" customHeight="1" x14ac:dyDescent="0.2"/>
    <row r="4846" ht="12.75" customHeight="1" x14ac:dyDescent="0.2"/>
    <row r="4847" ht="12.75" customHeight="1" x14ac:dyDescent="0.2"/>
    <row r="4848" ht="12.75" customHeight="1" x14ac:dyDescent="0.2"/>
    <row r="4849" ht="12.75" customHeight="1" x14ac:dyDescent="0.2"/>
    <row r="4850" ht="12.75" customHeight="1" x14ac:dyDescent="0.2"/>
    <row r="4851" ht="12.75" customHeight="1" x14ac:dyDescent="0.2"/>
    <row r="4852" ht="12.75" customHeight="1" x14ac:dyDescent="0.2"/>
    <row r="4853" ht="12.75" customHeight="1" x14ac:dyDescent="0.2"/>
    <row r="4854" ht="12.75" customHeight="1" x14ac:dyDescent="0.2"/>
    <row r="4855" ht="12.75" customHeight="1" x14ac:dyDescent="0.2"/>
    <row r="4856" ht="12.75" customHeight="1" x14ac:dyDescent="0.2"/>
    <row r="4857" ht="12.75" customHeight="1" x14ac:dyDescent="0.2"/>
    <row r="4858" ht="12.75" customHeight="1" x14ac:dyDescent="0.2"/>
    <row r="4859" ht="12.75" customHeight="1" x14ac:dyDescent="0.2"/>
    <row r="4860" ht="12.75" customHeight="1" x14ac:dyDescent="0.2"/>
    <row r="4861" ht="12.75" customHeight="1" x14ac:dyDescent="0.2"/>
    <row r="4862" ht="12.75" customHeight="1" x14ac:dyDescent="0.2"/>
    <row r="4863" ht="12.75" customHeight="1" x14ac:dyDescent="0.2"/>
    <row r="4864" ht="12.75" customHeight="1" x14ac:dyDescent="0.2"/>
    <row r="4865" ht="12.75" customHeight="1" x14ac:dyDescent="0.2"/>
    <row r="4866" ht="12.75" customHeight="1" x14ac:dyDescent="0.2"/>
    <row r="4867" ht="12.75" customHeight="1" x14ac:dyDescent="0.2"/>
    <row r="4868" ht="12.75" customHeight="1" x14ac:dyDescent="0.2"/>
    <row r="4869" ht="12.75" customHeight="1" x14ac:dyDescent="0.2"/>
    <row r="4870" ht="12.75" customHeight="1" x14ac:dyDescent="0.2"/>
    <row r="4871" ht="12.75" customHeight="1" x14ac:dyDescent="0.2"/>
    <row r="4872" ht="12.75" customHeight="1" x14ac:dyDescent="0.2"/>
    <row r="4873" ht="12.75" customHeight="1" x14ac:dyDescent="0.2"/>
    <row r="4874" ht="12.75" customHeight="1" x14ac:dyDescent="0.2"/>
    <row r="4875" ht="12.75" customHeight="1" x14ac:dyDescent="0.2"/>
    <row r="4876" ht="12.75" customHeight="1" x14ac:dyDescent="0.2"/>
    <row r="4877" ht="12.75" customHeight="1" x14ac:dyDescent="0.2"/>
    <row r="4878" ht="12.75" customHeight="1" x14ac:dyDescent="0.2"/>
    <row r="4879" ht="12.75" customHeight="1" x14ac:dyDescent="0.2"/>
    <row r="4880" ht="12.75" customHeight="1" x14ac:dyDescent="0.2"/>
    <row r="4881" ht="12.75" customHeight="1" x14ac:dyDescent="0.2"/>
    <row r="4882" ht="12.75" customHeight="1" x14ac:dyDescent="0.2"/>
    <row r="4883" ht="12.75" customHeight="1" x14ac:dyDescent="0.2"/>
    <row r="4884" ht="12.75" customHeight="1" x14ac:dyDescent="0.2"/>
    <row r="4885" ht="12.75" customHeight="1" x14ac:dyDescent="0.2"/>
    <row r="4886" ht="12.75" customHeight="1" x14ac:dyDescent="0.2"/>
    <row r="4887" ht="12.75" customHeight="1" x14ac:dyDescent="0.2"/>
    <row r="4888" ht="12.75" customHeight="1" x14ac:dyDescent="0.2"/>
    <row r="4889" ht="12.75" customHeight="1" x14ac:dyDescent="0.2"/>
    <row r="4890" ht="12.75" customHeight="1" x14ac:dyDescent="0.2"/>
    <row r="4891" ht="12.75" customHeight="1" x14ac:dyDescent="0.2"/>
    <row r="4892" ht="12.75" customHeight="1" x14ac:dyDescent="0.2"/>
    <row r="4893" ht="12.75" customHeight="1" x14ac:dyDescent="0.2"/>
    <row r="4894" ht="12.75" customHeight="1" x14ac:dyDescent="0.2"/>
    <row r="4895" ht="12.75" customHeight="1" x14ac:dyDescent="0.2"/>
    <row r="4896" ht="12.75" customHeight="1" x14ac:dyDescent="0.2"/>
    <row r="4897" ht="12.75" customHeight="1" x14ac:dyDescent="0.2"/>
    <row r="4898" ht="12.75" customHeight="1" x14ac:dyDescent="0.2"/>
    <row r="4899" ht="12.75" customHeight="1" x14ac:dyDescent="0.2"/>
    <row r="4900" ht="12.75" customHeight="1" x14ac:dyDescent="0.2"/>
    <row r="4901" ht="12.75" customHeight="1" x14ac:dyDescent="0.2"/>
    <row r="4902" ht="12.75" customHeight="1" x14ac:dyDescent="0.2"/>
    <row r="4903" ht="12.75" customHeight="1" x14ac:dyDescent="0.2"/>
    <row r="4904" ht="12.75" customHeight="1" x14ac:dyDescent="0.2"/>
    <row r="4905" ht="12.75" customHeight="1" x14ac:dyDescent="0.2"/>
    <row r="4906" ht="12.75" customHeight="1" x14ac:dyDescent="0.2"/>
    <row r="4907" ht="12.75" customHeight="1" x14ac:dyDescent="0.2"/>
    <row r="4908" ht="12.75" customHeight="1" x14ac:dyDescent="0.2"/>
    <row r="4909" ht="12.75" customHeight="1" x14ac:dyDescent="0.2"/>
    <row r="4910" ht="12.75" customHeight="1" x14ac:dyDescent="0.2"/>
    <row r="4911" ht="12.75" customHeight="1" x14ac:dyDescent="0.2"/>
    <row r="4912" ht="12.75" customHeight="1" x14ac:dyDescent="0.2"/>
    <row r="4913" ht="12.75" customHeight="1" x14ac:dyDescent="0.2"/>
    <row r="4914" ht="12.75" customHeight="1" x14ac:dyDescent="0.2"/>
    <row r="4915" ht="12.75" customHeight="1" x14ac:dyDescent="0.2"/>
    <row r="4916" ht="12.75" customHeight="1" x14ac:dyDescent="0.2"/>
    <row r="4917" ht="12.75" customHeight="1" x14ac:dyDescent="0.2"/>
    <row r="4918" ht="12.75" customHeight="1" x14ac:dyDescent="0.2"/>
    <row r="4919" ht="12.75" customHeight="1" x14ac:dyDescent="0.2"/>
    <row r="4920" ht="12.75" customHeight="1" x14ac:dyDescent="0.2"/>
    <row r="4921" ht="12.75" customHeight="1" x14ac:dyDescent="0.2"/>
    <row r="4922" ht="12.75" customHeight="1" x14ac:dyDescent="0.2"/>
    <row r="4923" ht="12.75" customHeight="1" x14ac:dyDescent="0.2"/>
    <row r="4924" ht="12.75" customHeight="1" x14ac:dyDescent="0.2"/>
    <row r="4925" ht="12.75" customHeight="1" x14ac:dyDescent="0.2"/>
    <row r="4926" ht="12.75" customHeight="1" x14ac:dyDescent="0.2"/>
    <row r="4927" ht="12.75" customHeight="1" x14ac:dyDescent="0.2"/>
    <row r="4928" ht="12.75" customHeight="1" x14ac:dyDescent="0.2"/>
    <row r="4929" ht="12.75" customHeight="1" x14ac:dyDescent="0.2"/>
    <row r="4930" ht="12.75" customHeight="1" x14ac:dyDescent="0.2"/>
    <row r="4931" ht="12.75" customHeight="1" x14ac:dyDescent="0.2"/>
    <row r="4932" ht="12.75" customHeight="1" x14ac:dyDescent="0.2"/>
    <row r="4933" ht="12.75" customHeight="1" x14ac:dyDescent="0.2"/>
    <row r="4934" ht="12.75" customHeight="1" x14ac:dyDescent="0.2"/>
    <row r="4935" ht="12.75" customHeight="1" x14ac:dyDescent="0.2"/>
    <row r="4936" ht="12.75" customHeight="1" x14ac:dyDescent="0.2"/>
    <row r="4937" ht="12.75" customHeight="1" x14ac:dyDescent="0.2"/>
    <row r="4938" ht="12.75" customHeight="1" x14ac:dyDescent="0.2"/>
    <row r="4939" ht="12.75" customHeight="1" x14ac:dyDescent="0.2"/>
    <row r="4940" ht="12.75" customHeight="1" x14ac:dyDescent="0.2"/>
    <row r="4941" ht="12.75" customHeight="1" x14ac:dyDescent="0.2"/>
    <row r="4942" ht="12.75" customHeight="1" x14ac:dyDescent="0.2"/>
    <row r="4943" ht="12.75" customHeight="1" x14ac:dyDescent="0.2"/>
    <row r="4944" ht="12.75" customHeight="1" x14ac:dyDescent="0.2"/>
    <row r="4945" ht="12.75" customHeight="1" x14ac:dyDescent="0.2"/>
    <row r="4946" ht="12.75" customHeight="1" x14ac:dyDescent="0.2"/>
    <row r="4947" ht="12.75" customHeight="1" x14ac:dyDescent="0.2"/>
    <row r="4948" ht="12.75" customHeight="1" x14ac:dyDescent="0.2"/>
    <row r="4949" ht="12.75" customHeight="1" x14ac:dyDescent="0.2"/>
    <row r="4950" ht="12.75" customHeight="1" x14ac:dyDescent="0.2"/>
    <row r="4951" ht="12.75" customHeight="1" x14ac:dyDescent="0.2"/>
    <row r="4952" ht="12.75" customHeight="1" x14ac:dyDescent="0.2"/>
    <row r="4953" ht="12.75" customHeight="1" x14ac:dyDescent="0.2"/>
    <row r="4954" ht="12.75" customHeight="1" x14ac:dyDescent="0.2"/>
    <row r="4955" ht="12.75" customHeight="1" x14ac:dyDescent="0.2"/>
    <row r="4956" ht="12.75" customHeight="1" x14ac:dyDescent="0.2"/>
    <row r="4957" ht="12.75" customHeight="1" x14ac:dyDescent="0.2"/>
    <row r="4958" ht="12.75" customHeight="1" x14ac:dyDescent="0.2"/>
    <row r="4959" ht="12.75" customHeight="1" x14ac:dyDescent="0.2"/>
    <row r="4960" ht="12.75" customHeight="1" x14ac:dyDescent="0.2"/>
    <row r="4961" ht="12.75" customHeight="1" x14ac:dyDescent="0.2"/>
    <row r="4962" ht="12.75" customHeight="1" x14ac:dyDescent="0.2"/>
    <row r="4963" ht="12.75" customHeight="1" x14ac:dyDescent="0.2"/>
    <row r="4964" ht="12.75" customHeight="1" x14ac:dyDescent="0.2"/>
    <row r="4965" ht="12.75" customHeight="1" x14ac:dyDescent="0.2"/>
    <row r="4966" ht="12.75" customHeight="1" x14ac:dyDescent="0.2"/>
    <row r="4967" ht="12.75" customHeight="1" x14ac:dyDescent="0.2"/>
    <row r="4968" ht="12.75" customHeight="1" x14ac:dyDescent="0.2"/>
    <row r="4969" ht="12.75" customHeight="1" x14ac:dyDescent="0.2"/>
    <row r="4970" ht="12.75" customHeight="1" x14ac:dyDescent="0.2"/>
    <row r="4971" ht="12.75" customHeight="1" x14ac:dyDescent="0.2"/>
    <row r="4972" ht="12.75" customHeight="1" x14ac:dyDescent="0.2"/>
    <row r="4973" ht="12.75" customHeight="1" x14ac:dyDescent="0.2"/>
    <row r="4974" ht="12.75" customHeight="1" x14ac:dyDescent="0.2"/>
    <row r="4975" ht="12.75" customHeight="1" x14ac:dyDescent="0.2"/>
    <row r="4976" ht="12.75" customHeight="1" x14ac:dyDescent="0.2"/>
    <row r="4977" ht="12.75" customHeight="1" x14ac:dyDescent="0.2"/>
    <row r="4978" ht="12.75" customHeight="1" x14ac:dyDescent="0.2"/>
    <row r="4979" ht="12.75" customHeight="1" x14ac:dyDescent="0.2"/>
    <row r="4980" ht="12.75" customHeight="1" x14ac:dyDescent="0.2"/>
    <row r="4981" ht="12.75" customHeight="1" x14ac:dyDescent="0.2"/>
    <row r="4982" ht="12.75" customHeight="1" x14ac:dyDescent="0.2"/>
    <row r="4983" ht="12.75" customHeight="1" x14ac:dyDescent="0.2"/>
    <row r="4984" ht="12.75" customHeight="1" x14ac:dyDescent="0.2"/>
    <row r="4985" ht="12.75" customHeight="1" x14ac:dyDescent="0.2"/>
    <row r="4986" ht="12.75" customHeight="1" x14ac:dyDescent="0.2"/>
    <row r="4987" ht="12.75" customHeight="1" x14ac:dyDescent="0.2"/>
    <row r="4988" ht="12.75" customHeight="1" x14ac:dyDescent="0.2"/>
    <row r="4989" ht="12.75" customHeight="1" x14ac:dyDescent="0.2"/>
    <row r="4990" ht="12.75" customHeight="1" x14ac:dyDescent="0.2"/>
    <row r="4991" ht="12.75" customHeight="1" x14ac:dyDescent="0.2"/>
    <row r="4992" ht="12.75" customHeight="1" x14ac:dyDescent="0.2"/>
    <row r="4993" ht="12.75" customHeight="1" x14ac:dyDescent="0.2"/>
    <row r="4994" ht="12.75" customHeight="1" x14ac:dyDescent="0.2"/>
    <row r="4995" ht="12.75" customHeight="1" x14ac:dyDescent="0.2"/>
    <row r="4996" ht="12.75" customHeight="1" x14ac:dyDescent="0.2"/>
    <row r="4997" ht="12.75" customHeight="1" x14ac:dyDescent="0.2"/>
    <row r="4998" ht="12.75" customHeight="1" x14ac:dyDescent="0.2"/>
    <row r="4999" ht="12.75" customHeight="1" x14ac:dyDescent="0.2"/>
    <row r="5000" ht="12.75" customHeight="1" x14ac:dyDescent="0.2"/>
    <row r="5001" ht="12.75" customHeight="1" x14ac:dyDescent="0.2"/>
    <row r="5002" ht="12.75" customHeight="1" x14ac:dyDescent="0.2"/>
    <row r="5003" ht="12.75" customHeight="1" x14ac:dyDescent="0.2"/>
    <row r="5004" ht="12.75" customHeight="1" x14ac:dyDescent="0.2"/>
    <row r="5005" ht="12.75" customHeight="1" x14ac:dyDescent="0.2"/>
    <row r="5006" ht="12.75" customHeight="1" x14ac:dyDescent="0.2"/>
    <row r="5007" ht="12.75" customHeight="1" x14ac:dyDescent="0.2"/>
    <row r="5008" ht="12.75" customHeight="1" x14ac:dyDescent="0.2"/>
    <row r="5009" ht="12.75" customHeight="1" x14ac:dyDescent="0.2"/>
    <row r="5010" ht="12.75" customHeight="1" x14ac:dyDescent="0.2"/>
    <row r="5011" ht="12.75" customHeight="1" x14ac:dyDescent="0.2"/>
    <row r="5012" ht="12.75" customHeight="1" x14ac:dyDescent="0.2"/>
    <row r="5013" ht="12.75" customHeight="1" x14ac:dyDescent="0.2"/>
    <row r="5014" ht="12.75" customHeight="1" x14ac:dyDescent="0.2"/>
    <row r="5015" ht="12.75" customHeight="1" x14ac:dyDescent="0.2"/>
    <row r="5016" ht="12.75" customHeight="1" x14ac:dyDescent="0.2"/>
    <row r="5017" ht="12.75" customHeight="1" x14ac:dyDescent="0.2"/>
    <row r="5018" ht="12.75" customHeight="1" x14ac:dyDescent="0.2"/>
    <row r="5019" ht="12.75" customHeight="1" x14ac:dyDescent="0.2"/>
    <row r="5020" ht="12.75" customHeight="1" x14ac:dyDescent="0.2"/>
    <row r="5021" ht="12.75" customHeight="1" x14ac:dyDescent="0.2"/>
    <row r="5022" ht="12.75" customHeight="1" x14ac:dyDescent="0.2"/>
    <row r="5023" ht="12.75" customHeight="1" x14ac:dyDescent="0.2"/>
    <row r="5024" ht="12.75" customHeight="1" x14ac:dyDescent="0.2"/>
    <row r="5025" ht="12.75" customHeight="1" x14ac:dyDescent="0.2"/>
    <row r="5026" ht="12.75" customHeight="1" x14ac:dyDescent="0.2"/>
    <row r="5027" ht="12.75" customHeight="1" x14ac:dyDescent="0.2"/>
    <row r="5028" ht="12.75" customHeight="1" x14ac:dyDescent="0.2"/>
    <row r="5029" ht="12.75" customHeight="1" x14ac:dyDescent="0.2"/>
    <row r="5030" ht="12.75" customHeight="1" x14ac:dyDescent="0.2"/>
    <row r="5031" ht="12.75" customHeight="1" x14ac:dyDescent="0.2"/>
    <row r="5032" ht="12.75" customHeight="1" x14ac:dyDescent="0.2"/>
    <row r="5033" ht="12.75" customHeight="1" x14ac:dyDescent="0.2"/>
    <row r="5034" ht="12.75" customHeight="1" x14ac:dyDescent="0.2"/>
    <row r="5035" ht="12.75" customHeight="1" x14ac:dyDescent="0.2"/>
    <row r="5036" ht="12.75" customHeight="1" x14ac:dyDescent="0.2"/>
    <row r="5037" ht="12.75" customHeight="1" x14ac:dyDescent="0.2"/>
    <row r="5038" ht="12.75" customHeight="1" x14ac:dyDescent="0.2"/>
    <row r="5039" ht="12.75" customHeight="1" x14ac:dyDescent="0.2"/>
    <row r="5040" ht="12.75" customHeight="1" x14ac:dyDescent="0.2"/>
    <row r="5041" ht="12.75" customHeight="1" x14ac:dyDescent="0.2"/>
    <row r="5042" ht="12.75" customHeight="1" x14ac:dyDescent="0.2"/>
    <row r="5043" ht="12.75" customHeight="1" x14ac:dyDescent="0.2"/>
    <row r="5044" ht="12.75" customHeight="1" x14ac:dyDescent="0.2"/>
    <row r="5045" ht="12.75" customHeight="1" x14ac:dyDescent="0.2"/>
    <row r="5046" ht="12.75" customHeight="1" x14ac:dyDescent="0.2"/>
    <row r="5047" ht="12.75" customHeight="1" x14ac:dyDescent="0.2"/>
    <row r="5048" ht="12.75" customHeight="1" x14ac:dyDescent="0.2"/>
    <row r="5049" ht="12.75" customHeight="1" x14ac:dyDescent="0.2"/>
    <row r="5050" ht="12.75" customHeight="1" x14ac:dyDescent="0.2"/>
    <row r="5051" ht="12.75" customHeight="1" x14ac:dyDescent="0.2"/>
    <row r="5052" ht="12.75" customHeight="1" x14ac:dyDescent="0.2"/>
    <row r="5053" ht="12.75" customHeight="1" x14ac:dyDescent="0.2"/>
    <row r="5054" ht="12.75" customHeight="1" x14ac:dyDescent="0.2"/>
    <row r="5055" ht="12.75" customHeight="1" x14ac:dyDescent="0.2"/>
    <row r="5056" ht="12.75" customHeight="1" x14ac:dyDescent="0.2"/>
    <row r="5057" ht="12.75" customHeight="1" x14ac:dyDescent="0.2"/>
    <row r="5058" ht="12.75" customHeight="1" x14ac:dyDescent="0.2"/>
    <row r="5059" ht="12.75" customHeight="1" x14ac:dyDescent="0.2"/>
    <row r="5060" ht="12.75" customHeight="1" x14ac:dyDescent="0.2"/>
    <row r="5061" ht="12.75" customHeight="1" x14ac:dyDescent="0.2"/>
    <row r="5062" ht="12.75" customHeight="1" x14ac:dyDescent="0.2"/>
    <row r="5063" ht="12.75" customHeight="1" x14ac:dyDescent="0.2"/>
    <row r="5064" ht="12.75" customHeight="1" x14ac:dyDescent="0.2"/>
    <row r="5065" ht="12.75" customHeight="1" x14ac:dyDescent="0.2"/>
    <row r="5066" ht="12.75" customHeight="1" x14ac:dyDescent="0.2"/>
    <row r="5067" ht="12.75" customHeight="1" x14ac:dyDescent="0.2"/>
    <row r="5068" ht="12.75" customHeight="1" x14ac:dyDescent="0.2"/>
    <row r="5069" ht="12.75" customHeight="1" x14ac:dyDescent="0.2"/>
    <row r="5070" ht="12.75" customHeight="1" x14ac:dyDescent="0.2"/>
    <row r="5071" ht="12.75" customHeight="1" x14ac:dyDescent="0.2"/>
    <row r="5072" ht="12.75" customHeight="1" x14ac:dyDescent="0.2"/>
    <row r="5073" ht="12.75" customHeight="1" x14ac:dyDescent="0.2"/>
    <row r="5074" ht="12.75" customHeight="1" x14ac:dyDescent="0.2"/>
    <row r="5075" ht="12.75" customHeight="1" x14ac:dyDescent="0.2"/>
    <row r="5076" ht="12.75" customHeight="1" x14ac:dyDescent="0.2"/>
    <row r="5077" ht="12.75" customHeight="1" x14ac:dyDescent="0.2"/>
    <row r="5078" ht="12.75" customHeight="1" x14ac:dyDescent="0.2"/>
    <row r="5079" ht="12.75" customHeight="1" x14ac:dyDescent="0.2"/>
    <row r="5080" ht="12.75" customHeight="1" x14ac:dyDescent="0.2"/>
    <row r="5081" ht="12.75" customHeight="1" x14ac:dyDescent="0.2"/>
    <row r="5082" ht="12.75" customHeight="1" x14ac:dyDescent="0.2"/>
    <row r="5083" ht="12.75" customHeight="1" x14ac:dyDescent="0.2"/>
    <row r="5084" ht="12.75" customHeight="1" x14ac:dyDescent="0.2"/>
    <row r="5085" ht="12.75" customHeight="1" x14ac:dyDescent="0.2"/>
    <row r="5086" ht="12.75" customHeight="1" x14ac:dyDescent="0.2"/>
    <row r="5087" ht="12.75" customHeight="1" x14ac:dyDescent="0.2"/>
    <row r="5088" ht="12.75" customHeight="1" x14ac:dyDescent="0.2"/>
    <row r="5089" ht="12.75" customHeight="1" x14ac:dyDescent="0.2"/>
    <row r="5090" ht="12.75" customHeight="1" x14ac:dyDescent="0.2"/>
    <row r="5091" ht="12.75" customHeight="1" x14ac:dyDescent="0.2"/>
    <row r="5092" ht="12.75" customHeight="1" x14ac:dyDescent="0.2"/>
    <row r="5093" ht="12.75" customHeight="1" x14ac:dyDescent="0.2"/>
    <row r="5094" ht="12.75" customHeight="1" x14ac:dyDescent="0.2"/>
    <row r="5095" ht="12.75" customHeight="1" x14ac:dyDescent="0.2"/>
    <row r="5096" ht="12.75" customHeight="1" x14ac:dyDescent="0.2"/>
    <row r="5097" ht="12.75" customHeight="1" x14ac:dyDescent="0.2"/>
    <row r="5098" ht="12.75" customHeight="1" x14ac:dyDescent="0.2"/>
    <row r="5099" ht="12.75" customHeight="1" x14ac:dyDescent="0.2"/>
    <row r="5100" ht="12.75" customHeight="1" x14ac:dyDescent="0.2"/>
    <row r="5101" ht="12.75" customHeight="1" x14ac:dyDescent="0.2"/>
    <row r="5102" ht="12.75" customHeight="1" x14ac:dyDescent="0.2"/>
    <row r="5103" ht="12.75" customHeight="1" x14ac:dyDescent="0.2"/>
    <row r="5104" ht="12.75" customHeight="1" x14ac:dyDescent="0.2"/>
    <row r="5105" ht="12.75" customHeight="1" x14ac:dyDescent="0.2"/>
    <row r="5106" ht="12.75" customHeight="1" x14ac:dyDescent="0.2"/>
    <row r="5107" ht="12.75" customHeight="1" x14ac:dyDescent="0.2"/>
    <row r="5108" ht="12.75" customHeight="1" x14ac:dyDescent="0.2"/>
    <row r="5109" ht="12.75" customHeight="1" x14ac:dyDescent="0.2"/>
    <row r="5110" ht="12.75" customHeight="1" x14ac:dyDescent="0.2"/>
    <row r="5111" ht="12.75" customHeight="1" x14ac:dyDescent="0.2"/>
    <row r="5112" ht="12.75" customHeight="1" x14ac:dyDescent="0.2"/>
    <row r="5113" ht="12.75" customHeight="1" x14ac:dyDescent="0.2"/>
    <row r="5114" ht="12.75" customHeight="1" x14ac:dyDescent="0.2"/>
    <row r="5115" ht="12.75" customHeight="1" x14ac:dyDescent="0.2"/>
    <row r="5116" ht="12.75" customHeight="1" x14ac:dyDescent="0.2"/>
    <row r="5117" ht="12.75" customHeight="1" x14ac:dyDescent="0.2"/>
    <row r="5118" ht="12.75" customHeight="1" x14ac:dyDescent="0.2"/>
    <row r="5119" ht="12.75" customHeight="1" x14ac:dyDescent="0.2"/>
    <row r="5120" ht="12.75" customHeight="1" x14ac:dyDescent="0.2"/>
    <row r="5121" ht="12.75" customHeight="1" x14ac:dyDescent="0.2"/>
    <row r="5122" ht="12.75" customHeight="1" x14ac:dyDescent="0.2"/>
    <row r="5123" ht="12.75" customHeight="1" x14ac:dyDescent="0.2"/>
    <row r="5124" ht="12.75" customHeight="1" x14ac:dyDescent="0.2"/>
    <row r="5125" ht="12.75" customHeight="1" x14ac:dyDescent="0.2"/>
    <row r="5126" ht="12.75" customHeight="1" x14ac:dyDescent="0.2"/>
    <row r="5127" ht="12.75" customHeight="1" x14ac:dyDescent="0.2"/>
    <row r="5128" ht="12.75" customHeight="1" x14ac:dyDescent="0.2"/>
    <row r="5129" ht="12.75" customHeight="1" x14ac:dyDescent="0.2"/>
    <row r="5130" ht="12.75" customHeight="1" x14ac:dyDescent="0.2"/>
    <row r="5131" ht="12.75" customHeight="1" x14ac:dyDescent="0.2"/>
    <row r="5132" ht="12.75" customHeight="1" x14ac:dyDescent="0.2"/>
    <row r="5133" ht="12.75" customHeight="1" x14ac:dyDescent="0.2"/>
    <row r="5134" ht="12.75" customHeight="1" x14ac:dyDescent="0.2"/>
    <row r="5135" ht="12.75" customHeight="1" x14ac:dyDescent="0.2"/>
    <row r="5136" ht="12.75" customHeight="1" x14ac:dyDescent="0.2"/>
    <row r="5137" ht="12.75" customHeight="1" x14ac:dyDescent="0.2"/>
    <row r="5138" ht="12.75" customHeight="1" x14ac:dyDescent="0.2"/>
    <row r="5139" ht="12.75" customHeight="1" x14ac:dyDescent="0.2"/>
    <row r="5140" ht="12.75" customHeight="1" x14ac:dyDescent="0.2"/>
    <row r="5141" ht="12.75" customHeight="1" x14ac:dyDescent="0.2"/>
    <row r="5142" ht="12.75" customHeight="1" x14ac:dyDescent="0.2"/>
    <row r="5143" ht="12.75" customHeight="1" x14ac:dyDescent="0.2"/>
    <row r="5144" ht="12.75" customHeight="1" x14ac:dyDescent="0.2"/>
    <row r="5145" ht="12.75" customHeight="1" x14ac:dyDescent="0.2"/>
    <row r="5146" ht="12.75" customHeight="1" x14ac:dyDescent="0.2"/>
    <row r="5147" ht="12.75" customHeight="1" x14ac:dyDescent="0.2"/>
    <row r="5148" ht="12.75" customHeight="1" x14ac:dyDescent="0.2"/>
    <row r="5149" ht="12.75" customHeight="1" x14ac:dyDescent="0.2"/>
    <row r="5150" ht="12.75" customHeight="1" x14ac:dyDescent="0.2"/>
    <row r="5151" ht="12.75" customHeight="1" x14ac:dyDescent="0.2"/>
    <row r="5152" ht="12.75" customHeight="1" x14ac:dyDescent="0.2"/>
    <row r="5153" ht="12.75" customHeight="1" x14ac:dyDescent="0.2"/>
    <row r="5154" ht="12.75" customHeight="1" x14ac:dyDescent="0.2"/>
    <row r="5155" ht="12.75" customHeight="1" x14ac:dyDescent="0.2"/>
    <row r="5156" ht="12.75" customHeight="1" x14ac:dyDescent="0.2"/>
    <row r="5157" ht="12.75" customHeight="1" x14ac:dyDescent="0.2"/>
    <row r="5158" ht="12.75" customHeight="1" x14ac:dyDescent="0.2"/>
    <row r="5159" ht="12.75" customHeight="1" x14ac:dyDescent="0.2"/>
    <row r="5160" ht="12.75" customHeight="1" x14ac:dyDescent="0.2"/>
    <row r="5161" ht="12.75" customHeight="1" x14ac:dyDescent="0.2"/>
    <row r="5162" ht="12.75" customHeight="1" x14ac:dyDescent="0.2"/>
    <row r="5163" ht="12.75" customHeight="1" x14ac:dyDescent="0.2"/>
    <row r="5164" ht="12.75" customHeight="1" x14ac:dyDescent="0.2"/>
    <row r="5165" ht="12.75" customHeight="1" x14ac:dyDescent="0.2"/>
    <row r="5166" ht="12.75" customHeight="1" x14ac:dyDescent="0.2"/>
    <row r="5167" ht="12.75" customHeight="1" x14ac:dyDescent="0.2"/>
    <row r="5168" ht="12.75" customHeight="1" x14ac:dyDescent="0.2"/>
    <row r="5169" ht="12.75" customHeight="1" x14ac:dyDescent="0.2"/>
    <row r="5170" ht="12.75" customHeight="1" x14ac:dyDescent="0.2"/>
    <row r="5171" ht="12.75" customHeight="1" x14ac:dyDescent="0.2"/>
    <row r="5172" ht="12.75" customHeight="1" x14ac:dyDescent="0.2"/>
    <row r="5173" ht="12.75" customHeight="1" x14ac:dyDescent="0.2"/>
    <row r="5174" ht="12.75" customHeight="1" x14ac:dyDescent="0.2"/>
    <row r="5175" ht="12.75" customHeight="1" x14ac:dyDescent="0.2"/>
    <row r="5176" ht="12.75" customHeight="1" x14ac:dyDescent="0.2"/>
    <row r="5177" ht="12.75" customHeight="1" x14ac:dyDescent="0.2"/>
    <row r="5178" ht="12.75" customHeight="1" x14ac:dyDescent="0.2"/>
    <row r="5179" ht="12.75" customHeight="1" x14ac:dyDescent="0.2"/>
    <row r="5180" ht="12.75" customHeight="1" x14ac:dyDescent="0.2"/>
    <row r="5181" ht="12.75" customHeight="1" x14ac:dyDescent="0.2"/>
    <row r="5182" ht="12.75" customHeight="1" x14ac:dyDescent="0.2"/>
    <row r="5183" ht="12.75" customHeight="1" x14ac:dyDescent="0.2"/>
    <row r="5184" ht="12.75" customHeight="1" x14ac:dyDescent="0.2"/>
    <row r="5185" ht="12.75" customHeight="1" x14ac:dyDescent="0.2"/>
    <row r="5186" ht="12.75" customHeight="1" x14ac:dyDescent="0.2"/>
    <row r="5187" ht="12.75" customHeight="1" x14ac:dyDescent="0.2"/>
    <row r="5188" ht="12.75" customHeight="1" x14ac:dyDescent="0.2"/>
    <row r="5189" ht="12.75" customHeight="1" x14ac:dyDescent="0.2"/>
    <row r="5190" ht="12.75" customHeight="1" x14ac:dyDescent="0.2"/>
    <row r="5191" ht="12.75" customHeight="1" x14ac:dyDescent="0.2"/>
    <row r="5192" ht="12.75" customHeight="1" x14ac:dyDescent="0.2"/>
    <row r="5193" ht="12.75" customHeight="1" x14ac:dyDescent="0.2"/>
    <row r="5194" ht="12.75" customHeight="1" x14ac:dyDescent="0.2"/>
    <row r="5195" ht="12.75" customHeight="1" x14ac:dyDescent="0.2"/>
    <row r="5196" ht="12.75" customHeight="1" x14ac:dyDescent="0.2"/>
    <row r="5197" ht="12.75" customHeight="1" x14ac:dyDescent="0.2"/>
    <row r="5198" ht="12.75" customHeight="1" x14ac:dyDescent="0.2"/>
    <row r="5199" ht="12.75" customHeight="1" x14ac:dyDescent="0.2"/>
    <row r="5200" ht="12.75" customHeight="1" x14ac:dyDescent="0.2"/>
    <row r="5201" ht="12.75" customHeight="1" x14ac:dyDescent="0.2"/>
    <row r="5202" ht="12.75" customHeight="1" x14ac:dyDescent="0.2"/>
    <row r="5203" ht="12.75" customHeight="1" x14ac:dyDescent="0.2"/>
    <row r="5204" ht="12.75" customHeight="1" x14ac:dyDescent="0.2"/>
    <row r="5205" ht="12.75" customHeight="1" x14ac:dyDescent="0.2"/>
    <row r="5206" ht="12.75" customHeight="1" x14ac:dyDescent="0.2"/>
    <row r="5207" ht="12.75" customHeight="1" x14ac:dyDescent="0.2"/>
    <row r="5208" ht="12.75" customHeight="1" x14ac:dyDescent="0.2"/>
    <row r="5209" ht="12.75" customHeight="1" x14ac:dyDescent="0.2"/>
    <row r="5210" ht="12.75" customHeight="1" x14ac:dyDescent="0.2"/>
    <row r="5211" ht="12.75" customHeight="1" x14ac:dyDescent="0.2"/>
    <row r="5212" ht="12.75" customHeight="1" x14ac:dyDescent="0.2"/>
    <row r="5213" ht="12.75" customHeight="1" x14ac:dyDescent="0.2"/>
    <row r="5214" ht="12.75" customHeight="1" x14ac:dyDescent="0.2"/>
    <row r="5215" ht="12.75" customHeight="1" x14ac:dyDescent="0.2"/>
    <row r="5216" ht="12.75" customHeight="1" x14ac:dyDescent="0.2"/>
    <row r="5217" ht="12.75" customHeight="1" x14ac:dyDescent="0.2"/>
    <row r="5218" ht="12.75" customHeight="1" x14ac:dyDescent="0.2"/>
    <row r="5219" ht="12.75" customHeight="1" x14ac:dyDescent="0.2"/>
    <row r="5220" ht="12.75" customHeight="1" x14ac:dyDescent="0.2"/>
    <row r="5221" ht="12.75" customHeight="1" x14ac:dyDescent="0.2"/>
    <row r="5222" ht="12.75" customHeight="1" x14ac:dyDescent="0.2"/>
    <row r="5223" ht="12.75" customHeight="1" x14ac:dyDescent="0.2"/>
    <row r="5224" ht="12.75" customHeight="1" x14ac:dyDescent="0.2"/>
    <row r="5225" ht="12.75" customHeight="1" x14ac:dyDescent="0.2"/>
    <row r="5226" ht="12.75" customHeight="1" x14ac:dyDescent="0.2"/>
    <row r="5227" ht="12.75" customHeight="1" x14ac:dyDescent="0.2"/>
    <row r="5228" ht="12.75" customHeight="1" x14ac:dyDescent="0.2"/>
    <row r="5229" ht="12.75" customHeight="1" x14ac:dyDescent="0.2"/>
    <row r="5230" ht="12.75" customHeight="1" x14ac:dyDescent="0.2"/>
    <row r="5231" ht="12.75" customHeight="1" x14ac:dyDescent="0.2"/>
    <row r="5232" ht="12.75" customHeight="1" x14ac:dyDescent="0.2"/>
    <row r="5233" ht="12.75" customHeight="1" x14ac:dyDescent="0.2"/>
    <row r="5234" ht="12.75" customHeight="1" x14ac:dyDescent="0.2"/>
    <row r="5235" ht="12.75" customHeight="1" x14ac:dyDescent="0.2"/>
    <row r="5236" ht="12.75" customHeight="1" x14ac:dyDescent="0.2"/>
    <row r="5237" ht="12.75" customHeight="1" x14ac:dyDescent="0.2"/>
    <row r="5238" ht="12.75" customHeight="1" x14ac:dyDescent="0.2"/>
    <row r="5239" ht="12.75" customHeight="1" x14ac:dyDescent="0.2"/>
    <row r="5240" ht="12.75" customHeight="1" x14ac:dyDescent="0.2"/>
    <row r="5241" ht="12.75" customHeight="1" x14ac:dyDescent="0.2"/>
    <row r="5242" ht="12.75" customHeight="1" x14ac:dyDescent="0.2"/>
    <row r="5243" ht="12.75" customHeight="1" x14ac:dyDescent="0.2"/>
    <row r="5244" ht="12.75" customHeight="1" x14ac:dyDescent="0.2"/>
    <row r="5245" ht="12.75" customHeight="1" x14ac:dyDescent="0.2"/>
    <row r="5246" ht="12.75" customHeight="1" x14ac:dyDescent="0.2"/>
    <row r="5247" ht="12.75" customHeight="1" x14ac:dyDescent="0.2"/>
    <row r="5248" ht="12.75" customHeight="1" x14ac:dyDescent="0.2"/>
    <row r="5249" ht="12.75" customHeight="1" x14ac:dyDescent="0.2"/>
    <row r="5250" ht="12.75" customHeight="1" x14ac:dyDescent="0.2"/>
    <row r="5251" ht="12.75" customHeight="1" x14ac:dyDescent="0.2"/>
    <row r="5252" ht="12.75" customHeight="1" x14ac:dyDescent="0.2"/>
    <row r="5253" ht="12.75" customHeight="1" x14ac:dyDescent="0.2"/>
    <row r="5254" ht="12.75" customHeight="1" x14ac:dyDescent="0.2"/>
    <row r="5255" ht="12.75" customHeight="1" x14ac:dyDescent="0.2"/>
    <row r="5256" ht="12.75" customHeight="1" x14ac:dyDescent="0.2"/>
    <row r="5257" ht="12.75" customHeight="1" x14ac:dyDescent="0.2"/>
    <row r="5258" ht="12.75" customHeight="1" x14ac:dyDescent="0.2"/>
    <row r="5259" ht="12.75" customHeight="1" x14ac:dyDescent="0.2"/>
    <row r="5260" ht="12.75" customHeight="1" x14ac:dyDescent="0.2"/>
    <row r="5261" ht="12.75" customHeight="1" x14ac:dyDescent="0.2"/>
    <row r="5262" ht="12.75" customHeight="1" x14ac:dyDescent="0.2"/>
    <row r="5263" ht="12.75" customHeight="1" x14ac:dyDescent="0.2"/>
    <row r="5264" ht="12.75" customHeight="1" x14ac:dyDescent="0.2"/>
    <row r="5265" ht="12.75" customHeight="1" x14ac:dyDescent="0.2"/>
    <row r="5266" ht="12.75" customHeight="1" x14ac:dyDescent="0.2"/>
    <row r="5267" ht="12.75" customHeight="1" x14ac:dyDescent="0.2"/>
    <row r="5268" ht="12.75" customHeight="1" x14ac:dyDescent="0.2"/>
    <row r="5269" ht="12.75" customHeight="1" x14ac:dyDescent="0.2"/>
    <row r="5270" ht="12.75" customHeight="1" x14ac:dyDescent="0.2"/>
    <row r="5271" ht="12.75" customHeight="1" x14ac:dyDescent="0.2"/>
    <row r="5272" ht="12.75" customHeight="1" x14ac:dyDescent="0.2"/>
    <row r="5273" ht="12.75" customHeight="1" x14ac:dyDescent="0.2"/>
    <row r="5274" ht="12.75" customHeight="1" x14ac:dyDescent="0.2"/>
    <row r="5275" ht="12.75" customHeight="1" x14ac:dyDescent="0.2"/>
    <row r="5276" ht="12.75" customHeight="1" x14ac:dyDescent="0.2"/>
    <row r="5277" ht="12.75" customHeight="1" x14ac:dyDescent="0.2"/>
    <row r="5278" ht="12.75" customHeight="1" x14ac:dyDescent="0.2"/>
    <row r="5279" ht="12.75" customHeight="1" x14ac:dyDescent="0.2"/>
    <row r="5280" ht="12.75" customHeight="1" x14ac:dyDescent="0.2"/>
    <row r="5281" ht="12.75" customHeight="1" x14ac:dyDescent="0.2"/>
    <row r="5282" ht="12.75" customHeight="1" x14ac:dyDescent="0.2"/>
    <row r="5283" ht="12.75" customHeight="1" x14ac:dyDescent="0.2"/>
    <row r="5284" ht="12.75" customHeight="1" x14ac:dyDescent="0.2"/>
    <row r="5285" ht="12.75" customHeight="1" x14ac:dyDescent="0.2"/>
    <row r="5286" ht="12.75" customHeight="1" x14ac:dyDescent="0.2"/>
    <row r="5287" ht="12.75" customHeight="1" x14ac:dyDescent="0.2"/>
    <row r="5288" ht="12.75" customHeight="1" x14ac:dyDescent="0.2"/>
    <row r="5289" ht="12.75" customHeight="1" x14ac:dyDescent="0.2"/>
    <row r="5290" ht="12.75" customHeight="1" x14ac:dyDescent="0.2"/>
    <row r="5291" ht="12.75" customHeight="1" x14ac:dyDescent="0.2"/>
    <row r="5292" ht="12.75" customHeight="1" x14ac:dyDescent="0.2"/>
    <row r="5293" ht="12.75" customHeight="1" x14ac:dyDescent="0.2"/>
    <row r="5294" ht="12.75" customHeight="1" x14ac:dyDescent="0.2"/>
    <row r="5295" ht="12.75" customHeight="1" x14ac:dyDescent="0.2"/>
    <row r="5296" ht="12.75" customHeight="1" x14ac:dyDescent="0.2"/>
    <row r="5297" ht="12.75" customHeight="1" x14ac:dyDescent="0.2"/>
    <row r="5298" ht="12.75" customHeight="1" x14ac:dyDescent="0.2"/>
    <row r="5299" ht="12.75" customHeight="1" x14ac:dyDescent="0.2"/>
    <row r="5300" ht="12.75" customHeight="1" x14ac:dyDescent="0.2"/>
    <row r="5301" ht="12.75" customHeight="1" x14ac:dyDescent="0.2"/>
    <row r="5302" ht="12.75" customHeight="1" x14ac:dyDescent="0.2"/>
    <row r="5303" ht="12.75" customHeight="1" x14ac:dyDescent="0.2"/>
    <row r="5304" ht="12.75" customHeight="1" x14ac:dyDescent="0.2"/>
    <row r="5305" ht="12.75" customHeight="1" x14ac:dyDescent="0.2"/>
    <row r="5306" ht="12.75" customHeight="1" x14ac:dyDescent="0.2"/>
    <row r="5307" ht="12.75" customHeight="1" x14ac:dyDescent="0.2"/>
    <row r="5308" ht="12.75" customHeight="1" x14ac:dyDescent="0.2"/>
    <row r="5309" ht="12.75" customHeight="1" x14ac:dyDescent="0.2"/>
    <row r="5310" ht="12.75" customHeight="1" x14ac:dyDescent="0.2"/>
    <row r="5311" ht="12.75" customHeight="1" x14ac:dyDescent="0.2"/>
    <row r="5312" ht="12.75" customHeight="1" x14ac:dyDescent="0.2"/>
    <row r="5313" ht="12.75" customHeight="1" x14ac:dyDescent="0.2"/>
    <row r="5314" ht="12.75" customHeight="1" x14ac:dyDescent="0.2"/>
    <row r="5315" ht="12.75" customHeight="1" x14ac:dyDescent="0.2"/>
    <row r="5316" ht="12.75" customHeight="1" x14ac:dyDescent="0.2"/>
    <row r="5317" ht="12.75" customHeight="1" x14ac:dyDescent="0.2"/>
    <row r="5318" ht="12.75" customHeight="1" x14ac:dyDescent="0.2"/>
    <row r="5319" ht="12.75" customHeight="1" x14ac:dyDescent="0.2"/>
    <row r="5320" ht="12.75" customHeight="1" x14ac:dyDescent="0.2"/>
    <row r="5321" ht="12.75" customHeight="1" x14ac:dyDescent="0.2"/>
    <row r="5322" ht="12.75" customHeight="1" x14ac:dyDescent="0.2"/>
    <row r="5323" ht="12.75" customHeight="1" x14ac:dyDescent="0.2"/>
    <row r="5324" ht="12.75" customHeight="1" x14ac:dyDescent="0.2"/>
    <row r="5325" ht="12.75" customHeight="1" x14ac:dyDescent="0.2"/>
    <row r="5326" ht="12.75" customHeight="1" x14ac:dyDescent="0.2"/>
    <row r="5327" ht="12.75" customHeight="1" x14ac:dyDescent="0.2"/>
    <row r="5328" ht="12.75" customHeight="1" x14ac:dyDescent="0.2"/>
    <row r="5329" ht="12.75" customHeight="1" x14ac:dyDescent="0.2"/>
    <row r="5330" ht="12.75" customHeight="1" x14ac:dyDescent="0.2"/>
    <row r="5331" ht="12.75" customHeight="1" x14ac:dyDescent="0.2"/>
    <row r="5332" ht="12.75" customHeight="1" x14ac:dyDescent="0.2"/>
    <row r="5333" ht="12.75" customHeight="1" x14ac:dyDescent="0.2"/>
    <row r="5334" ht="12.75" customHeight="1" x14ac:dyDescent="0.2"/>
    <row r="5335" ht="12.75" customHeight="1" x14ac:dyDescent="0.2"/>
    <row r="5336" ht="12.75" customHeight="1" x14ac:dyDescent="0.2"/>
    <row r="5337" ht="12.75" customHeight="1" x14ac:dyDescent="0.2"/>
    <row r="5338" ht="12.75" customHeight="1" x14ac:dyDescent="0.2"/>
    <row r="5339" ht="12.75" customHeight="1" x14ac:dyDescent="0.2"/>
    <row r="5340" ht="12.75" customHeight="1" x14ac:dyDescent="0.2"/>
    <row r="5341" ht="12.75" customHeight="1" x14ac:dyDescent="0.2"/>
    <row r="5342" ht="12.75" customHeight="1" x14ac:dyDescent="0.2"/>
    <row r="5343" ht="12.75" customHeight="1" x14ac:dyDescent="0.2"/>
    <row r="5344" ht="12.75" customHeight="1" x14ac:dyDescent="0.2"/>
    <row r="5345" ht="12.75" customHeight="1" x14ac:dyDescent="0.2"/>
    <row r="5346" ht="12.75" customHeight="1" x14ac:dyDescent="0.2"/>
    <row r="5347" ht="12.75" customHeight="1" x14ac:dyDescent="0.2"/>
    <row r="5348" ht="12.75" customHeight="1" x14ac:dyDescent="0.2"/>
    <row r="5349" ht="12.75" customHeight="1" x14ac:dyDescent="0.2"/>
    <row r="5350" ht="12.75" customHeight="1" x14ac:dyDescent="0.2"/>
    <row r="5351" ht="12.75" customHeight="1" x14ac:dyDescent="0.2"/>
    <row r="5352" ht="12.75" customHeight="1" x14ac:dyDescent="0.2"/>
    <row r="5353" ht="12.75" customHeight="1" x14ac:dyDescent="0.2"/>
    <row r="5354" ht="12.75" customHeight="1" x14ac:dyDescent="0.2"/>
    <row r="5355" ht="12.75" customHeight="1" x14ac:dyDescent="0.2"/>
    <row r="5356" ht="12.75" customHeight="1" x14ac:dyDescent="0.2"/>
    <row r="5357" ht="12.75" customHeight="1" x14ac:dyDescent="0.2"/>
    <row r="5358" ht="12.75" customHeight="1" x14ac:dyDescent="0.2"/>
    <row r="5359" ht="12.75" customHeight="1" x14ac:dyDescent="0.2"/>
    <row r="5360" ht="12.75" customHeight="1" x14ac:dyDescent="0.2"/>
    <row r="5361" ht="12.75" customHeight="1" x14ac:dyDescent="0.2"/>
    <row r="5362" ht="12.75" customHeight="1" x14ac:dyDescent="0.2"/>
    <row r="5363" ht="12.75" customHeight="1" x14ac:dyDescent="0.2"/>
    <row r="5364" ht="12.75" customHeight="1" x14ac:dyDescent="0.2"/>
    <row r="5365" ht="12.75" customHeight="1" x14ac:dyDescent="0.2"/>
    <row r="5366" ht="12.75" customHeight="1" x14ac:dyDescent="0.2"/>
    <row r="5367" ht="12.75" customHeight="1" x14ac:dyDescent="0.2"/>
    <row r="5368" ht="12.75" customHeight="1" x14ac:dyDescent="0.2"/>
    <row r="5369" ht="12.75" customHeight="1" x14ac:dyDescent="0.2"/>
    <row r="5370" ht="12.75" customHeight="1" x14ac:dyDescent="0.2"/>
    <row r="5371" ht="12.75" customHeight="1" x14ac:dyDescent="0.2"/>
    <row r="5372" ht="12.75" customHeight="1" x14ac:dyDescent="0.2"/>
    <row r="5373" ht="12.75" customHeight="1" x14ac:dyDescent="0.2"/>
    <row r="5374" ht="12.75" customHeight="1" x14ac:dyDescent="0.2"/>
    <row r="5375" ht="12.75" customHeight="1" x14ac:dyDescent="0.2"/>
    <row r="5376" ht="12.75" customHeight="1" x14ac:dyDescent="0.2"/>
    <row r="5377" ht="12.75" customHeight="1" x14ac:dyDescent="0.2"/>
    <row r="5378" ht="12.75" customHeight="1" x14ac:dyDescent="0.2"/>
    <row r="5379" ht="12.75" customHeight="1" x14ac:dyDescent="0.2"/>
    <row r="5380" ht="12.75" customHeight="1" x14ac:dyDescent="0.2"/>
    <row r="5381" ht="12.75" customHeight="1" x14ac:dyDescent="0.2"/>
    <row r="5382" ht="12.75" customHeight="1" x14ac:dyDescent="0.2"/>
    <row r="5383" ht="12.75" customHeight="1" x14ac:dyDescent="0.2"/>
    <row r="5384" ht="12.75" customHeight="1" x14ac:dyDescent="0.2"/>
    <row r="5385" ht="12.75" customHeight="1" x14ac:dyDescent="0.2"/>
    <row r="5386" ht="12.75" customHeight="1" x14ac:dyDescent="0.2"/>
    <row r="5387" ht="12.75" customHeight="1" x14ac:dyDescent="0.2"/>
    <row r="5388" ht="12.75" customHeight="1" x14ac:dyDescent="0.2"/>
    <row r="5389" ht="12.75" customHeight="1" x14ac:dyDescent="0.2"/>
    <row r="5390" ht="12.75" customHeight="1" x14ac:dyDescent="0.2"/>
    <row r="5391" ht="12.75" customHeight="1" x14ac:dyDescent="0.2"/>
    <row r="5392" ht="12.75" customHeight="1" x14ac:dyDescent="0.2"/>
    <row r="5393" ht="12.75" customHeight="1" x14ac:dyDescent="0.2"/>
    <row r="5394" ht="12.75" customHeight="1" x14ac:dyDescent="0.2"/>
    <row r="5395" ht="12.75" customHeight="1" x14ac:dyDescent="0.2"/>
    <row r="5396" ht="12.75" customHeight="1" x14ac:dyDescent="0.2"/>
    <row r="5397" ht="12.75" customHeight="1" x14ac:dyDescent="0.2"/>
    <row r="5398" ht="12.75" customHeight="1" x14ac:dyDescent="0.2"/>
    <row r="5399" ht="12.75" customHeight="1" x14ac:dyDescent="0.2"/>
    <row r="5400" ht="12.75" customHeight="1" x14ac:dyDescent="0.2"/>
    <row r="5401" ht="12.75" customHeight="1" x14ac:dyDescent="0.2"/>
    <row r="5402" ht="12.75" customHeight="1" x14ac:dyDescent="0.2"/>
    <row r="5403" ht="12.75" customHeight="1" x14ac:dyDescent="0.2"/>
    <row r="5404" ht="12.75" customHeight="1" x14ac:dyDescent="0.2"/>
    <row r="5405" ht="12.75" customHeight="1" x14ac:dyDescent="0.2"/>
    <row r="5406" ht="12.75" customHeight="1" x14ac:dyDescent="0.2"/>
    <row r="5407" ht="12.75" customHeight="1" x14ac:dyDescent="0.2"/>
    <row r="5408" ht="12.75" customHeight="1" x14ac:dyDescent="0.2"/>
    <row r="5409" ht="12.75" customHeight="1" x14ac:dyDescent="0.2"/>
    <row r="5410" ht="12.75" customHeight="1" x14ac:dyDescent="0.2"/>
    <row r="5411" ht="12.75" customHeight="1" x14ac:dyDescent="0.2"/>
    <row r="5412" ht="12.75" customHeight="1" x14ac:dyDescent="0.2"/>
    <row r="5413" ht="12.75" customHeight="1" x14ac:dyDescent="0.2"/>
    <row r="5414" ht="12.75" customHeight="1" x14ac:dyDescent="0.2"/>
    <row r="5415" ht="12.75" customHeight="1" x14ac:dyDescent="0.2"/>
    <row r="5416" ht="12.75" customHeight="1" x14ac:dyDescent="0.2"/>
    <row r="5417" ht="12.75" customHeight="1" x14ac:dyDescent="0.2"/>
    <row r="5418" ht="12.75" customHeight="1" x14ac:dyDescent="0.2"/>
    <row r="5419" ht="12.75" customHeight="1" x14ac:dyDescent="0.2"/>
    <row r="5420" ht="12.75" customHeight="1" x14ac:dyDescent="0.2"/>
    <row r="5421" ht="12.75" customHeight="1" x14ac:dyDescent="0.2"/>
    <row r="5422" ht="12.75" customHeight="1" x14ac:dyDescent="0.2"/>
    <row r="5423" ht="12.75" customHeight="1" x14ac:dyDescent="0.2"/>
    <row r="5424" ht="12.75" customHeight="1" x14ac:dyDescent="0.2"/>
    <row r="5425" ht="12.75" customHeight="1" x14ac:dyDescent="0.2"/>
    <row r="5426" ht="12.75" customHeight="1" x14ac:dyDescent="0.2"/>
    <row r="5427" ht="12.75" customHeight="1" x14ac:dyDescent="0.2"/>
    <row r="5428" ht="12.75" customHeight="1" x14ac:dyDescent="0.2"/>
    <row r="5429" ht="12.75" customHeight="1" x14ac:dyDescent="0.2"/>
    <row r="5430" ht="12.75" customHeight="1" x14ac:dyDescent="0.2"/>
    <row r="5431" ht="12.75" customHeight="1" x14ac:dyDescent="0.2"/>
    <row r="5432" ht="12.75" customHeight="1" x14ac:dyDescent="0.2"/>
    <row r="5433" ht="12.75" customHeight="1" x14ac:dyDescent="0.2"/>
    <row r="5434" ht="12.75" customHeight="1" x14ac:dyDescent="0.2"/>
    <row r="5435" ht="12.75" customHeight="1" x14ac:dyDescent="0.2"/>
    <row r="5436" ht="12.75" customHeight="1" x14ac:dyDescent="0.2"/>
    <row r="5437" ht="12.75" customHeight="1" x14ac:dyDescent="0.2"/>
    <row r="5438" ht="12.75" customHeight="1" x14ac:dyDescent="0.2"/>
    <row r="5439" ht="12.75" customHeight="1" x14ac:dyDescent="0.2"/>
    <row r="5440" ht="12.75" customHeight="1" x14ac:dyDescent="0.2"/>
    <row r="5441" ht="12.75" customHeight="1" x14ac:dyDescent="0.2"/>
    <row r="5442" ht="12.75" customHeight="1" x14ac:dyDescent="0.2"/>
    <row r="5443" ht="12.75" customHeight="1" x14ac:dyDescent="0.2"/>
    <row r="5444" ht="12.75" customHeight="1" x14ac:dyDescent="0.2"/>
    <row r="5445" ht="12.75" customHeight="1" x14ac:dyDescent="0.2"/>
    <row r="5446" ht="12.75" customHeight="1" x14ac:dyDescent="0.2"/>
    <row r="5447" ht="12.75" customHeight="1" x14ac:dyDescent="0.2"/>
    <row r="5448" ht="12.75" customHeight="1" x14ac:dyDescent="0.2"/>
    <row r="5449" ht="12.75" customHeight="1" x14ac:dyDescent="0.2"/>
    <row r="5450" ht="12.75" customHeight="1" x14ac:dyDescent="0.2"/>
    <row r="5451" ht="12.75" customHeight="1" x14ac:dyDescent="0.2"/>
    <row r="5452" ht="12.75" customHeight="1" x14ac:dyDescent="0.2"/>
    <row r="5453" ht="12.75" customHeight="1" x14ac:dyDescent="0.2"/>
    <row r="5454" ht="12.75" customHeight="1" x14ac:dyDescent="0.2"/>
    <row r="5455" ht="12.75" customHeight="1" x14ac:dyDescent="0.2"/>
    <row r="5456" ht="12.75" customHeight="1" x14ac:dyDescent="0.2"/>
    <row r="5457" ht="12.75" customHeight="1" x14ac:dyDescent="0.2"/>
    <row r="5458" ht="12.75" customHeight="1" x14ac:dyDescent="0.2"/>
    <row r="5459" ht="12.75" customHeight="1" x14ac:dyDescent="0.2"/>
    <row r="5460" ht="12.75" customHeight="1" x14ac:dyDescent="0.2"/>
    <row r="5461" ht="12.75" customHeight="1" x14ac:dyDescent="0.2"/>
    <row r="5462" ht="12.75" customHeight="1" x14ac:dyDescent="0.2"/>
    <row r="5463" ht="12.75" customHeight="1" x14ac:dyDescent="0.2"/>
    <row r="5464" ht="12.75" customHeight="1" x14ac:dyDescent="0.2"/>
    <row r="5465" ht="12.75" customHeight="1" x14ac:dyDescent="0.2"/>
    <row r="5466" ht="12.75" customHeight="1" x14ac:dyDescent="0.2"/>
    <row r="5467" ht="12.75" customHeight="1" x14ac:dyDescent="0.2"/>
    <row r="5468" ht="12.75" customHeight="1" x14ac:dyDescent="0.2"/>
    <row r="5469" ht="12.75" customHeight="1" x14ac:dyDescent="0.2"/>
    <row r="5470" ht="12.75" customHeight="1" x14ac:dyDescent="0.2"/>
    <row r="5471" ht="12.75" customHeight="1" x14ac:dyDescent="0.2"/>
    <row r="5472" ht="12.75" customHeight="1" x14ac:dyDescent="0.2"/>
    <row r="5473" ht="12.75" customHeight="1" x14ac:dyDescent="0.2"/>
    <row r="5474" ht="12.75" customHeight="1" x14ac:dyDescent="0.2"/>
    <row r="5475" ht="12.75" customHeight="1" x14ac:dyDescent="0.2"/>
    <row r="5476" ht="12.75" customHeight="1" x14ac:dyDescent="0.2"/>
    <row r="5477" ht="12.75" customHeight="1" x14ac:dyDescent="0.2"/>
    <row r="5478" ht="12.75" customHeight="1" x14ac:dyDescent="0.2"/>
    <row r="5479" ht="12.75" customHeight="1" x14ac:dyDescent="0.2"/>
    <row r="5480" ht="12.75" customHeight="1" x14ac:dyDescent="0.2"/>
    <row r="5481" ht="12.75" customHeight="1" x14ac:dyDescent="0.2"/>
    <row r="5482" ht="12.75" customHeight="1" x14ac:dyDescent="0.2"/>
    <row r="5483" ht="12.75" customHeight="1" x14ac:dyDescent="0.2"/>
    <row r="5484" ht="12.75" customHeight="1" x14ac:dyDescent="0.2"/>
    <row r="5485" ht="12.75" customHeight="1" x14ac:dyDescent="0.2"/>
    <row r="5486" ht="12.75" customHeight="1" x14ac:dyDescent="0.2"/>
    <row r="5487" ht="12.75" customHeight="1" x14ac:dyDescent="0.2"/>
    <row r="5488" ht="12.75" customHeight="1" x14ac:dyDescent="0.2"/>
    <row r="5489" ht="12.75" customHeight="1" x14ac:dyDescent="0.2"/>
    <row r="5490" ht="12.75" customHeight="1" x14ac:dyDescent="0.2"/>
    <row r="5491" ht="12.75" customHeight="1" x14ac:dyDescent="0.2"/>
    <row r="5492" ht="12.75" customHeight="1" x14ac:dyDescent="0.2"/>
    <row r="5493" ht="12.75" customHeight="1" x14ac:dyDescent="0.2"/>
    <row r="5494" ht="12.75" customHeight="1" x14ac:dyDescent="0.2"/>
    <row r="5495" ht="12.75" customHeight="1" x14ac:dyDescent="0.2"/>
    <row r="5496" ht="12.75" customHeight="1" x14ac:dyDescent="0.2"/>
    <row r="5497" ht="12.75" customHeight="1" x14ac:dyDescent="0.2"/>
    <row r="5498" ht="12.75" customHeight="1" x14ac:dyDescent="0.2"/>
    <row r="5499" ht="12.75" customHeight="1" x14ac:dyDescent="0.2"/>
    <row r="5500" ht="12.75" customHeight="1" x14ac:dyDescent="0.2"/>
    <row r="5501" ht="12.75" customHeight="1" x14ac:dyDescent="0.2"/>
    <row r="5502" ht="12.75" customHeight="1" x14ac:dyDescent="0.2"/>
    <row r="5503" ht="12.75" customHeight="1" x14ac:dyDescent="0.2"/>
    <row r="5504" ht="12.75" customHeight="1" x14ac:dyDescent="0.2"/>
    <row r="5505" ht="12.75" customHeight="1" x14ac:dyDescent="0.2"/>
    <row r="5506" ht="12.75" customHeight="1" x14ac:dyDescent="0.2"/>
    <row r="5507" ht="12.75" customHeight="1" x14ac:dyDescent="0.2"/>
    <row r="5508" ht="12.75" customHeight="1" x14ac:dyDescent="0.2"/>
    <row r="5509" ht="12.75" customHeight="1" x14ac:dyDescent="0.2"/>
    <row r="5510" ht="12.75" customHeight="1" x14ac:dyDescent="0.2"/>
    <row r="5511" ht="12.75" customHeight="1" x14ac:dyDescent="0.2"/>
    <row r="5512" ht="12.75" customHeight="1" x14ac:dyDescent="0.2"/>
    <row r="5513" ht="12.75" customHeight="1" x14ac:dyDescent="0.2"/>
    <row r="5514" ht="12.75" customHeight="1" x14ac:dyDescent="0.2"/>
    <row r="5515" ht="12.75" customHeight="1" x14ac:dyDescent="0.2"/>
    <row r="5516" ht="12.75" customHeight="1" x14ac:dyDescent="0.2"/>
    <row r="5517" ht="12.75" customHeight="1" x14ac:dyDescent="0.2"/>
    <row r="5518" ht="12.75" customHeight="1" x14ac:dyDescent="0.2"/>
    <row r="5519" ht="12.75" customHeight="1" x14ac:dyDescent="0.2"/>
    <row r="5520" ht="12.75" customHeight="1" x14ac:dyDescent="0.2"/>
    <row r="5521" ht="12.75" customHeight="1" x14ac:dyDescent="0.2"/>
    <row r="5522" ht="12.75" customHeight="1" x14ac:dyDescent="0.2"/>
    <row r="5523" ht="12.75" customHeight="1" x14ac:dyDescent="0.2"/>
    <row r="5524" ht="12.75" customHeight="1" x14ac:dyDescent="0.2"/>
    <row r="5525" ht="12.75" customHeight="1" x14ac:dyDescent="0.2"/>
    <row r="5526" ht="12.75" customHeight="1" x14ac:dyDescent="0.2"/>
    <row r="5527" ht="12.75" customHeight="1" x14ac:dyDescent="0.2"/>
    <row r="5528" ht="12.75" customHeight="1" x14ac:dyDescent="0.2"/>
    <row r="5529" ht="12.75" customHeight="1" x14ac:dyDescent="0.2"/>
    <row r="5530" ht="12.75" customHeight="1" x14ac:dyDescent="0.2"/>
    <row r="5531" ht="12.75" customHeight="1" x14ac:dyDescent="0.2"/>
    <row r="5532" ht="12.75" customHeight="1" x14ac:dyDescent="0.2"/>
    <row r="5533" ht="12.75" customHeight="1" x14ac:dyDescent="0.2"/>
    <row r="5534" ht="12.75" customHeight="1" x14ac:dyDescent="0.2"/>
    <row r="5535" ht="12.75" customHeight="1" x14ac:dyDescent="0.2"/>
    <row r="5536" ht="12.75" customHeight="1" x14ac:dyDescent="0.2"/>
    <row r="5537" ht="12.75" customHeight="1" x14ac:dyDescent="0.2"/>
    <row r="5538" ht="12.75" customHeight="1" x14ac:dyDescent="0.2"/>
    <row r="5539" ht="12.75" customHeight="1" x14ac:dyDescent="0.2"/>
    <row r="5540" ht="12.75" customHeight="1" x14ac:dyDescent="0.2"/>
    <row r="5541" ht="12.75" customHeight="1" x14ac:dyDescent="0.2"/>
    <row r="5542" ht="12.75" customHeight="1" x14ac:dyDescent="0.2"/>
    <row r="5543" ht="12.75" customHeight="1" x14ac:dyDescent="0.2"/>
    <row r="5544" ht="12.75" customHeight="1" x14ac:dyDescent="0.2"/>
    <row r="5545" ht="12.75" customHeight="1" x14ac:dyDescent="0.2"/>
    <row r="5546" ht="12.75" customHeight="1" x14ac:dyDescent="0.2"/>
    <row r="5547" ht="12.75" customHeight="1" x14ac:dyDescent="0.2"/>
    <row r="5548" ht="12.75" customHeight="1" x14ac:dyDescent="0.2"/>
    <row r="5549" ht="12.75" customHeight="1" x14ac:dyDescent="0.2"/>
    <row r="5550" ht="12.75" customHeight="1" x14ac:dyDescent="0.2"/>
    <row r="5551" ht="12.75" customHeight="1" x14ac:dyDescent="0.2"/>
    <row r="5552" ht="12.75" customHeight="1" x14ac:dyDescent="0.2"/>
    <row r="5553" ht="12.75" customHeight="1" x14ac:dyDescent="0.2"/>
    <row r="5554" ht="12.75" customHeight="1" x14ac:dyDescent="0.2"/>
    <row r="5555" ht="12.75" customHeight="1" x14ac:dyDescent="0.2"/>
    <row r="5556" ht="12.75" customHeight="1" x14ac:dyDescent="0.2"/>
    <row r="5557" ht="12.75" customHeight="1" x14ac:dyDescent="0.2"/>
    <row r="5558" ht="12.75" customHeight="1" x14ac:dyDescent="0.2"/>
    <row r="5559" ht="12.75" customHeight="1" x14ac:dyDescent="0.2"/>
    <row r="5560" ht="12.75" customHeight="1" x14ac:dyDescent="0.2"/>
    <row r="5561" ht="12.75" customHeight="1" x14ac:dyDescent="0.2"/>
    <row r="5562" ht="12.75" customHeight="1" x14ac:dyDescent="0.2"/>
    <row r="5563" ht="12.75" customHeight="1" x14ac:dyDescent="0.2"/>
    <row r="5564" ht="12.75" customHeight="1" x14ac:dyDescent="0.2"/>
    <row r="5565" ht="12.75" customHeight="1" x14ac:dyDescent="0.2"/>
    <row r="5566" ht="12.75" customHeight="1" x14ac:dyDescent="0.2"/>
    <row r="5567" ht="12.75" customHeight="1" x14ac:dyDescent="0.2"/>
    <row r="5568" ht="12.75" customHeight="1" x14ac:dyDescent="0.2"/>
    <row r="5569" ht="12.75" customHeight="1" x14ac:dyDescent="0.2"/>
    <row r="5570" ht="12.75" customHeight="1" x14ac:dyDescent="0.2"/>
    <row r="5571" ht="12.75" customHeight="1" x14ac:dyDescent="0.2"/>
    <row r="5572" ht="12.75" customHeight="1" x14ac:dyDescent="0.2"/>
    <row r="5573" ht="12.75" customHeight="1" x14ac:dyDescent="0.2"/>
    <row r="5574" ht="12.75" customHeight="1" x14ac:dyDescent="0.2"/>
    <row r="5575" ht="12.75" customHeight="1" x14ac:dyDescent="0.2"/>
    <row r="5576" ht="12.75" customHeight="1" x14ac:dyDescent="0.2"/>
    <row r="5577" ht="12.75" customHeight="1" x14ac:dyDescent="0.2"/>
    <row r="5578" ht="12.75" customHeight="1" x14ac:dyDescent="0.2"/>
    <row r="5579" ht="12.75" customHeight="1" x14ac:dyDescent="0.2"/>
    <row r="5580" ht="12.75" customHeight="1" x14ac:dyDescent="0.2"/>
    <row r="5581" ht="12.75" customHeight="1" x14ac:dyDescent="0.2"/>
    <row r="5582" ht="12.75" customHeight="1" x14ac:dyDescent="0.2"/>
    <row r="5583" ht="12.75" customHeight="1" x14ac:dyDescent="0.2"/>
    <row r="5584" ht="12.75" customHeight="1" x14ac:dyDescent="0.2"/>
    <row r="5585" ht="12.75" customHeight="1" x14ac:dyDescent="0.2"/>
    <row r="5586" ht="12.75" customHeight="1" x14ac:dyDescent="0.2"/>
    <row r="5587" ht="12.75" customHeight="1" x14ac:dyDescent="0.2"/>
    <row r="5588" ht="12.75" customHeight="1" x14ac:dyDescent="0.2"/>
    <row r="5589" ht="12.75" customHeight="1" x14ac:dyDescent="0.2"/>
    <row r="5590" ht="12.75" customHeight="1" x14ac:dyDescent="0.2"/>
    <row r="5591" ht="12.75" customHeight="1" x14ac:dyDescent="0.2"/>
    <row r="5592" ht="12.75" customHeight="1" x14ac:dyDescent="0.2"/>
    <row r="5593" ht="12.75" customHeight="1" x14ac:dyDescent="0.2"/>
    <row r="5594" ht="12.75" customHeight="1" x14ac:dyDescent="0.2"/>
    <row r="5595" ht="12.75" customHeight="1" x14ac:dyDescent="0.2"/>
    <row r="5596" ht="12.75" customHeight="1" x14ac:dyDescent="0.2"/>
    <row r="5597" ht="12.75" customHeight="1" x14ac:dyDescent="0.2"/>
    <row r="5598" ht="12.75" customHeight="1" x14ac:dyDescent="0.2"/>
    <row r="5599" ht="12.75" customHeight="1" x14ac:dyDescent="0.2"/>
    <row r="5600" ht="12.75" customHeight="1" x14ac:dyDescent="0.2"/>
    <row r="5601" ht="12.75" customHeight="1" x14ac:dyDescent="0.2"/>
    <row r="5602" ht="12.75" customHeight="1" x14ac:dyDescent="0.2"/>
    <row r="5603" ht="12.75" customHeight="1" x14ac:dyDescent="0.2"/>
    <row r="5604" ht="12.75" customHeight="1" x14ac:dyDescent="0.2"/>
    <row r="5605" ht="12.75" customHeight="1" x14ac:dyDescent="0.2"/>
    <row r="5606" ht="12.75" customHeight="1" x14ac:dyDescent="0.2"/>
    <row r="5607" ht="12.75" customHeight="1" x14ac:dyDescent="0.2"/>
    <row r="5608" ht="12.75" customHeight="1" x14ac:dyDescent="0.2"/>
    <row r="5609" ht="12.75" customHeight="1" x14ac:dyDescent="0.2"/>
    <row r="5610" ht="12.75" customHeight="1" x14ac:dyDescent="0.2"/>
    <row r="5611" ht="12.75" customHeight="1" x14ac:dyDescent="0.2"/>
    <row r="5612" ht="12.75" customHeight="1" x14ac:dyDescent="0.2"/>
    <row r="5613" ht="12.75" customHeight="1" x14ac:dyDescent="0.2"/>
    <row r="5614" ht="12.75" customHeight="1" x14ac:dyDescent="0.2"/>
    <row r="5615" ht="12.75" customHeight="1" x14ac:dyDescent="0.2"/>
    <row r="5616" ht="12.75" customHeight="1" x14ac:dyDescent="0.2"/>
    <row r="5617" ht="12.75" customHeight="1" x14ac:dyDescent="0.2"/>
    <row r="5618" ht="12.75" customHeight="1" x14ac:dyDescent="0.2"/>
    <row r="5619" ht="12.75" customHeight="1" x14ac:dyDescent="0.2"/>
    <row r="5620" ht="12.75" customHeight="1" x14ac:dyDescent="0.2"/>
    <row r="5621" ht="12.75" customHeight="1" x14ac:dyDescent="0.2"/>
    <row r="5622" ht="12.75" customHeight="1" x14ac:dyDescent="0.2"/>
    <row r="5623" ht="12.75" customHeight="1" x14ac:dyDescent="0.2"/>
    <row r="5624" ht="12.75" customHeight="1" x14ac:dyDescent="0.2"/>
    <row r="5625" ht="12.75" customHeight="1" x14ac:dyDescent="0.2"/>
    <row r="5626" ht="12.75" customHeight="1" x14ac:dyDescent="0.2"/>
    <row r="5627" ht="12.75" customHeight="1" x14ac:dyDescent="0.2"/>
    <row r="5628" ht="12.75" customHeight="1" x14ac:dyDescent="0.2"/>
    <row r="5629" ht="12.75" customHeight="1" x14ac:dyDescent="0.2"/>
    <row r="5630" ht="12.75" customHeight="1" x14ac:dyDescent="0.2"/>
    <row r="5631" ht="12.75" customHeight="1" x14ac:dyDescent="0.2"/>
    <row r="5632" ht="12.75" customHeight="1" x14ac:dyDescent="0.2"/>
    <row r="5633" ht="12.75" customHeight="1" x14ac:dyDescent="0.2"/>
    <row r="5634" ht="12.75" customHeight="1" x14ac:dyDescent="0.2"/>
    <row r="5635" ht="12.75" customHeight="1" x14ac:dyDescent="0.2"/>
    <row r="5636" ht="12.75" customHeight="1" x14ac:dyDescent="0.2"/>
    <row r="5637" ht="12.75" customHeight="1" x14ac:dyDescent="0.2"/>
    <row r="5638" ht="12.75" customHeight="1" x14ac:dyDescent="0.2"/>
    <row r="5639" ht="12.75" customHeight="1" x14ac:dyDescent="0.2"/>
    <row r="5640" ht="12.75" customHeight="1" x14ac:dyDescent="0.2"/>
    <row r="5641" ht="12.75" customHeight="1" x14ac:dyDescent="0.2"/>
    <row r="5642" ht="12.75" customHeight="1" x14ac:dyDescent="0.2"/>
    <row r="5643" ht="12.75" customHeight="1" x14ac:dyDescent="0.2"/>
    <row r="5644" ht="12.75" customHeight="1" x14ac:dyDescent="0.2"/>
    <row r="5645" ht="12.75" customHeight="1" x14ac:dyDescent="0.2"/>
    <row r="5646" ht="12.75" customHeight="1" x14ac:dyDescent="0.2"/>
    <row r="5647" ht="12.75" customHeight="1" x14ac:dyDescent="0.2"/>
    <row r="5648" ht="12.75" customHeight="1" x14ac:dyDescent="0.2"/>
    <row r="5649" ht="12.75" customHeight="1" x14ac:dyDescent="0.2"/>
    <row r="5650" ht="12.75" customHeight="1" x14ac:dyDescent="0.2"/>
    <row r="5651" ht="12.75" customHeight="1" x14ac:dyDescent="0.2"/>
    <row r="5652" ht="12.75" customHeight="1" x14ac:dyDescent="0.2"/>
    <row r="5653" ht="12.75" customHeight="1" x14ac:dyDescent="0.2"/>
    <row r="5654" ht="12.75" customHeight="1" x14ac:dyDescent="0.2"/>
    <row r="5655" ht="12.75" customHeight="1" x14ac:dyDescent="0.2"/>
    <row r="5656" ht="12.75" customHeight="1" x14ac:dyDescent="0.2"/>
    <row r="5657" ht="12.75" customHeight="1" x14ac:dyDescent="0.2"/>
    <row r="5658" ht="12.75" customHeight="1" x14ac:dyDescent="0.2"/>
    <row r="5659" ht="12.75" customHeight="1" x14ac:dyDescent="0.2"/>
    <row r="5660" ht="12.75" customHeight="1" x14ac:dyDescent="0.2"/>
    <row r="5661" ht="12.75" customHeight="1" x14ac:dyDescent="0.2"/>
    <row r="5662" ht="12.75" customHeight="1" x14ac:dyDescent="0.2"/>
    <row r="5663" ht="12.75" customHeight="1" x14ac:dyDescent="0.2"/>
    <row r="5664" ht="12.75" customHeight="1" x14ac:dyDescent="0.2"/>
    <row r="5665" ht="12.75" customHeight="1" x14ac:dyDescent="0.2"/>
    <row r="5666" ht="12.75" customHeight="1" x14ac:dyDescent="0.2"/>
    <row r="5667" ht="12.75" customHeight="1" x14ac:dyDescent="0.2"/>
    <row r="5668" ht="12.75" customHeight="1" x14ac:dyDescent="0.2"/>
    <row r="5669" ht="12.75" customHeight="1" x14ac:dyDescent="0.2"/>
    <row r="5670" ht="12.75" customHeight="1" x14ac:dyDescent="0.2"/>
    <row r="5671" ht="12.75" customHeight="1" x14ac:dyDescent="0.2"/>
    <row r="5672" ht="12.75" customHeight="1" x14ac:dyDescent="0.2"/>
    <row r="5673" ht="12.75" customHeight="1" x14ac:dyDescent="0.2"/>
    <row r="5674" ht="12.75" customHeight="1" x14ac:dyDescent="0.2"/>
    <row r="5675" ht="12.75" customHeight="1" x14ac:dyDescent="0.2"/>
    <row r="5676" ht="12.75" customHeight="1" x14ac:dyDescent="0.2"/>
    <row r="5677" ht="12.75" customHeight="1" x14ac:dyDescent="0.2"/>
    <row r="5678" ht="12.75" customHeight="1" x14ac:dyDescent="0.2"/>
    <row r="5679" ht="12.75" customHeight="1" x14ac:dyDescent="0.2"/>
    <row r="5680" ht="12.75" customHeight="1" x14ac:dyDescent="0.2"/>
    <row r="5681" ht="12.75" customHeight="1" x14ac:dyDescent="0.2"/>
    <row r="5682" ht="12.75" customHeight="1" x14ac:dyDescent="0.2"/>
    <row r="5683" ht="12.75" customHeight="1" x14ac:dyDescent="0.2"/>
    <row r="5684" ht="12.75" customHeight="1" x14ac:dyDescent="0.2"/>
    <row r="5685" ht="12.75" customHeight="1" x14ac:dyDescent="0.2"/>
    <row r="5686" ht="12.75" customHeight="1" x14ac:dyDescent="0.2"/>
    <row r="5687" ht="12.75" customHeight="1" x14ac:dyDescent="0.2"/>
    <row r="5688" ht="12.75" customHeight="1" x14ac:dyDescent="0.2"/>
    <row r="5689" ht="12.75" customHeight="1" x14ac:dyDescent="0.2"/>
    <row r="5690" ht="12.75" customHeight="1" x14ac:dyDescent="0.2"/>
    <row r="5691" ht="12.75" customHeight="1" x14ac:dyDescent="0.2"/>
    <row r="5692" ht="12.75" customHeight="1" x14ac:dyDescent="0.2"/>
    <row r="5693" ht="12.75" customHeight="1" x14ac:dyDescent="0.2"/>
    <row r="5694" ht="12.75" customHeight="1" x14ac:dyDescent="0.2"/>
    <row r="5695" ht="12.75" customHeight="1" x14ac:dyDescent="0.2"/>
    <row r="5696" ht="12.75" customHeight="1" x14ac:dyDescent="0.2"/>
    <row r="5697" ht="12.75" customHeight="1" x14ac:dyDescent="0.2"/>
    <row r="5698" ht="12.75" customHeight="1" x14ac:dyDescent="0.2"/>
    <row r="5699" ht="12.75" customHeight="1" x14ac:dyDescent="0.2"/>
    <row r="5700" ht="12.75" customHeight="1" x14ac:dyDescent="0.2"/>
    <row r="5701" ht="12.75" customHeight="1" x14ac:dyDescent="0.2"/>
    <row r="5702" ht="12.75" customHeight="1" x14ac:dyDescent="0.2"/>
    <row r="5703" ht="12.75" customHeight="1" x14ac:dyDescent="0.2"/>
    <row r="5704" ht="12.75" customHeight="1" x14ac:dyDescent="0.2"/>
    <row r="5705" ht="12.75" customHeight="1" x14ac:dyDescent="0.2"/>
    <row r="5706" ht="12.75" customHeight="1" x14ac:dyDescent="0.2"/>
    <row r="5707" ht="12.75" customHeight="1" x14ac:dyDescent="0.2"/>
    <row r="5708" ht="12.75" customHeight="1" x14ac:dyDescent="0.2"/>
    <row r="5709" ht="12.75" customHeight="1" x14ac:dyDescent="0.2"/>
    <row r="5710" ht="12.75" customHeight="1" x14ac:dyDescent="0.2"/>
    <row r="5711" ht="12.75" customHeight="1" x14ac:dyDescent="0.2"/>
    <row r="5712" ht="12.75" customHeight="1" x14ac:dyDescent="0.2"/>
    <row r="5713" ht="12.75" customHeight="1" x14ac:dyDescent="0.2"/>
    <row r="5714" ht="12.75" customHeight="1" x14ac:dyDescent="0.2"/>
    <row r="5715" ht="12.75" customHeight="1" x14ac:dyDescent="0.2"/>
    <row r="5716" ht="12.75" customHeight="1" x14ac:dyDescent="0.2"/>
    <row r="5717" ht="12.75" customHeight="1" x14ac:dyDescent="0.2"/>
    <row r="5718" ht="12.75" customHeight="1" x14ac:dyDescent="0.2"/>
    <row r="5719" ht="12.75" customHeight="1" x14ac:dyDescent="0.2"/>
    <row r="5720" ht="12.75" customHeight="1" x14ac:dyDescent="0.2"/>
    <row r="5721" ht="12.75" customHeight="1" x14ac:dyDescent="0.2"/>
    <row r="5722" ht="12.75" customHeight="1" x14ac:dyDescent="0.2"/>
    <row r="5723" ht="12.75" customHeight="1" x14ac:dyDescent="0.2"/>
    <row r="5724" ht="12.75" customHeight="1" x14ac:dyDescent="0.2"/>
    <row r="5725" ht="12.75" customHeight="1" x14ac:dyDescent="0.2"/>
    <row r="5726" ht="12.75" customHeight="1" x14ac:dyDescent="0.2"/>
    <row r="5727" ht="12.75" customHeight="1" x14ac:dyDescent="0.2"/>
    <row r="5728" ht="12.75" customHeight="1" x14ac:dyDescent="0.2"/>
    <row r="5729" ht="12.75" customHeight="1" x14ac:dyDescent="0.2"/>
    <row r="5730" ht="12.75" customHeight="1" x14ac:dyDescent="0.2"/>
    <row r="5731" ht="12.75" customHeight="1" x14ac:dyDescent="0.2"/>
    <row r="5732" ht="12.75" customHeight="1" x14ac:dyDescent="0.2"/>
    <row r="5733" ht="12.75" customHeight="1" x14ac:dyDescent="0.2"/>
    <row r="5734" ht="12.75" customHeight="1" x14ac:dyDescent="0.2"/>
    <row r="5735" ht="12.75" customHeight="1" x14ac:dyDescent="0.2"/>
    <row r="5736" ht="12.75" customHeight="1" x14ac:dyDescent="0.2"/>
    <row r="5737" ht="12.75" customHeight="1" x14ac:dyDescent="0.2"/>
    <row r="5738" ht="12.75" customHeight="1" x14ac:dyDescent="0.2"/>
    <row r="5739" ht="12.75" customHeight="1" x14ac:dyDescent="0.2"/>
    <row r="5740" ht="12.75" customHeight="1" x14ac:dyDescent="0.2"/>
    <row r="5741" ht="12.75" customHeight="1" x14ac:dyDescent="0.2"/>
    <row r="5742" ht="12.75" customHeight="1" x14ac:dyDescent="0.2"/>
    <row r="5743" ht="12.75" customHeight="1" x14ac:dyDescent="0.2"/>
    <row r="5744" ht="12.75" customHeight="1" x14ac:dyDescent="0.2"/>
    <row r="5745" ht="12.75" customHeight="1" x14ac:dyDescent="0.2"/>
    <row r="5746" ht="12.75" customHeight="1" x14ac:dyDescent="0.2"/>
    <row r="5747" ht="12.75" customHeight="1" x14ac:dyDescent="0.2"/>
    <row r="5748" ht="12.75" customHeight="1" x14ac:dyDescent="0.2"/>
    <row r="5749" ht="12.75" customHeight="1" x14ac:dyDescent="0.2"/>
    <row r="5750" ht="12.75" customHeight="1" x14ac:dyDescent="0.2"/>
    <row r="5751" ht="12.75" customHeight="1" x14ac:dyDescent="0.2"/>
    <row r="5752" ht="12.75" customHeight="1" x14ac:dyDescent="0.2"/>
    <row r="5753" ht="12.75" customHeight="1" x14ac:dyDescent="0.2"/>
    <row r="5754" ht="12.75" customHeight="1" x14ac:dyDescent="0.2"/>
    <row r="5755" ht="12.75" customHeight="1" x14ac:dyDescent="0.2"/>
    <row r="5756" ht="12.75" customHeight="1" x14ac:dyDescent="0.2"/>
    <row r="5757" ht="12.75" customHeight="1" x14ac:dyDescent="0.2"/>
    <row r="5758" ht="12.75" customHeight="1" x14ac:dyDescent="0.2"/>
    <row r="5759" ht="12.75" customHeight="1" x14ac:dyDescent="0.2"/>
    <row r="5760" ht="12.75" customHeight="1" x14ac:dyDescent="0.2"/>
    <row r="5761" ht="12.75" customHeight="1" x14ac:dyDescent="0.2"/>
    <row r="5762" ht="12.75" customHeight="1" x14ac:dyDescent="0.2"/>
    <row r="5763" ht="12.75" customHeight="1" x14ac:dyDescent="0.2"/>
    <row r="5764" ht="12.75" customHeight="1" x14ac:dyDescent="0.2"/>
    <row r="5765" ht="12.75" customHeight="1" x14ac:dyDescent="0.2"/>
    <row r="5766" ht="12.75" customHeight="1" x14ac:dyDescent="0.2"/>
    <row r="5767" ht="12.75" customHeight="1" x14ac:dyDescent="0.2"/>
    <row r="5768" ht="12.75" customHeight="1" x14ac:dyDescent="0.2"/>
    <row r="5769" ht="12.75" customHeight="1" x14ac:dyDescent="0.2"/>
    <row r="5770" ht="12.75" customHeight="1" x14ac:dyDescent="0.2"/>
    <row r="5771" ht="12.75" customHeight="1" x14ac:dyDescent="0.2"/>
    <row r="5772" ht="12.75" customHeight="1" x14ac:dyDescent="0.2"/>
    <row r="5773" ht="12.75" customHeight="1" x14ac:dyDescent="0.2"/>
    <row r="5774" ht="12.75" customHeight="1" x14ac:dyDescent="0.2"/>
    <row r="5775" ht="12.75" customHeight="1" x14ac:dyDescent="0.2"/>
    <row r="5776" ht="12.75" customHeight="1" x14ac:dyDescent="0.2"/>
    <row r="5777" ht="12.75" customHeight="1" x14ac:dyDescent="0.2"/>
    <row r="5778" ht="12.75" customHeight="1" x14ac:dyDescent="0.2"/>
    <row r="5779" ht="12.75" customHeight="1" x14ac:dyDescent="0.2"/>
    <row r="5780" ht="12.75" customHeight="1" x14ac:dyDescent="0.2"/>
    <row r="5781" ht="12.75" customHeight="1" x14ac:dyDescent="0.2"/>
    <row r="5782" ht="12.75" customHeight="1" x14ac:dyDescent="0.2"/>
    <row r="5783" ht="12.75" customHeight="1" x14ac:dyDescent="0.2"/>
    <row r="5784" ht="12.75" customHeight="1" x14ac:dyDescent="0.2"/>
    <row r="5785" ht="12.75" customHeight="1" x14ac:dyDescent="0.2"/>
    <row r="5786" ht="12.75" customHeight="1" x14ac:dyDescent="0.2"/>
    <row r="5787" ht="12.75" customHeight="1" x14ac:dyDescent="0.2"/>
    <row r="5788" ht="12.75" customHeight="1" x14ac:dyDescent="0.2"/>
    <row r="5789" ht="12.75" customHeight="1" x14ac:dyDescent="0.2"/>
    <row r="5790" ht="12.75" customHeight="1" x14ac:dyDescent="0.2"/>
    <row r="5791" ht="12.75" customHeight="1" x14ac:dyDescent="0.2"/>
    <row r="5792" ht="12.75" customHeight="1" x14ac:dyDescent="0.2"/>
    <row r="5793" ht="12.75" customHeight="1" x14ac:dyDescent="0.2"/>
    <row r="5794" ht="12.75" customHeight="1" x14ac:dyDescent="0.2"/>
    <row r="5795" ht="12.75" customHeight="1" x14ac:dyDescent="0.2"/>
    <row r="5796" ht="12.75" customHeight="1" x14ac:dyDescent="0.2"/>
    <row r="5797" ht="12.75" customHeight="1" x14ac:dyDescent="0.2"/>
    <row r="5798" ht="12.75" customHeight="1" x14ac:dyDescent="0.2"/>
    <row r="5799" ht="12.75" customHeight="1" x14ac:dyDescent="0.2"/>
    <row r="5800" ht="12.75" customHeight="1" x14ac:dyDescent="0.2"/>
    <row r="5801" ht="12.75" customHeight="1" x14ac:dyDescent="0.2"/>
    <row r="5802" ht="12.75" customHeight="1" x14ac:dyDescent="0.2"/>
    <row r="5803" ht="12.75" customHeight="1" x14ac:dyDescent="0.2"/>
    <row r="5804" ht="12.75" customHeight="1" x14ac:dyDescent="0.2"/>
    <row r="5805" ht="12.75" customHeight="1" x14ac:dyDescent="0.2"/>
    <row r="5806" ht="12.75" customHeight="1" x14ac:dyDescent="0.2"/>
    <row r="5807" ht="12.75" customHeight="1" x14ac:dyDescent="0.2"/>
    <row r="5808" ht="12.75" customHeight="1" x14ac:dyDescent="0.2"/>
    <row r="5809" ht="12.75" customHeight="1" x14ac:dyDescent="0.2"/>
    <row r="5810" ht="12.75" customHeight="1" x14ac:dyDescent="0.2"/>
    <row r="5811" ht="12.75" customHeight="1" x14ac:dyDescent="0.2"/>
    <row r="5812" ht="12.75" customHeight="1" x14ac:dyDescent="0.2"/>
    <row r="5813" ht="12.75" customHeight="1" x14ac:dyDescent="0.2"/>
    <row r="5814" ht="12.75" customHeight="1" x14ac:dyDescent="0.2"/>
    <row r="5815" ht="12.75" customHeight="1" x14ac:dyDescent="0.2"/>
    <row r="5816" ht="12.75" customHeight="1" x14ac:dyDescent="0.2"/>
    <row r="5817" ht="12.75" customHeight="1" x14ac:dyDescent="0.2"/>
    <row r="5818" ht="12.75" customHeight="1" x14ac:dyDescent="0.2"/>
    <row r="5819" ht="12.75" customHeight="1" x14ac:dyDescent="0.2"/>
    <row r="5820" ht="12.75" customHeight="1" x14ac:dyDescent="0.2"/>
    <row r="5821" ht="12.75" customHeight="1" x14ac:dyDescent="0.2"/>
    <row r="5822" ht="12.75" customHeight="1" x14ac:dyDescent="0.2"/>
    <row r="5823" ht="12.75" customHeight="1" x14ac:dyDescent="0.2"/>
    <row r="5824" ht="12.75" customHeight="1" x14ac:dyDescent="0.2"/>
    <row r="5825" ht="12.75" customHeight="1" x14ac:dyDescent="0.2"/>
    <row r="5826" ht="12.75" customHeight="1" x14ac:dyDescent="0.2"/>
    <row r="5827" ht="12.75" customHeight="1" x14ac:dyDescent="0.2"/>
    <row r="5828" ht="12.75" customHeight="1" x14ac:dyDescent="0.2"/>
    <row r="5829" ht="12.75" customHeight="1" x14ac:dyDescent="0.2"/>
    <row r="5830" ht="12.75" customHeight="1" x14ac:dyDescent="0.2"/>
    <row r="5831" ht="12.75" customHeight="1" x14ac:dyDescent="0.2"/>
    <row r="5832" ht="12.75" customHeight="1" x14ac:dyDescent="0.2"/>
    <row r="5833" ht="12.75" customHeight="1" x14ac:dyDescent="0.2"/>
    <row r="5834" ht="12.75" customHeight="1" x14ac:dyDescent="0.2"/>
    <row r="5835" ht="12.75" customHeight="1" x14ac:dyDescent="0.2"/>
    <row r="5836" ht="12.75" customHeight="1" x14ac:dyDescent="0.2"/>
    <row r="5837" ht="12.75" customHeight="1" x14ac:dyDescent="0.2"/>
    <row r="5838" ht="12.75" customHeight="1" x14ac:dyDescent="0.2"/>
    <row r="5839" ht="12.75" customHeight="1" x14ac:dyDescent="0.2"/>
    <row r="5840" ht="12.75" customHeight="1" x14ac:dyDescent="0.2"/>
    <row r="5841" ht="12.75" customHeight="1" x14ac:dyDescent="0.2"/>
    <row r="5842" ht="12.75" customHeight="1" x14ac:dyDescent="0.2"/>
    <row r="5843" ht="12.75" customHeight="1" x14ac:dyDescent="0.2"/>
    <row r="5844" ht="12.75" customHeight="1" x14ac:dyDescent="0.2"/>
    <row r="5845" ht="12.75" customHeight="1" x14ac:dyDescent="0.2"/>
    <row r="5846" ht="12.75" customHeight="1" x14ac:dyDescent="0.2"/>
    <row r="5847" ht="12.75" customHeight="1" x14ac:dyDescent="0.2"/>
    <row r="5848" ht="12.75" customHeight="1" x14ac:dyDescent="0.2"/>
    <row r="5849" ht="12.75" customHeight="1" x14ac:dyDescent="0.2"/>
    <row r="5850" ht="12.75" customHeight="1" x14ac:dyDescent="0.2"/>
    <row r="5851" ht="12.75" customHeight="1" x14ac:dyDescent="0.2"/>
    <row r="5852" ht="12.75" customHeight="1" x14ac:dyDescent="0.2"/>
    <row r="5853" ht="12.75" customHeight="1" x14ac:dyDescent="0.2"/>
    <row r="5854" ht="12.75" customHeight="1" x14ac:dyDescent="0.2"/>
    <row r="5855" ht="12.75" customHeight="1" x14ac:dyDescent="0.2"/>
    <row r="5856" ht="12.75" customHeight="1" x14ac:dyDescent="0.2"/>
    <row r="5857" ht="12.75" customHeight="1" x14ac:dyDescent="0.2"/>
    <row r="5858" ht="12.75" customHeight="1" x14ac:dyDescent="0.2"/>
    <row r="5859" ht="12.75" customHeight="1" x14ac:dyDescent="0.2"/>
    <row r="5860" ht="12.75" customHeight="1" x14ac:dyDescent="0.2"/>
    <row r="5861" ht="12.75" customHeight="1" x14ac:dyDescent="0.2"/>
    <row r="5862" ht="12.75" customHeight="1" x14ac:dyDescent="0.2"/>
    <row r="5863" ht="12.75" customHeight="1" x14ac:dyDescent="0.2"/>
    <row r="5864" ht="12.75" customHeight="1" x14ac:dyDescent="0.2"/>
    <row r="5865" ht="12.75" customHeight="1" x14ac:dyDescent="0.2"/>
    <row r="5866" ht="12.75" customHeight="1" x14ac:dyDescent="0.2"/>
    <row r="5867" ht="12.75" customHeight="1" x14ac:dyDescent="0.2"/>
    <row r="5868" ht="12.75" customHeight="1" x14ac:dyDescent="0.2"/>
    <row r="5869" ht="12.75" customHeight="1" x14ac:dyDescent="0.2"/>
    <row r="5870" ht="12.75" customHeight="1" x14ac:dyDescent="0.2"/>
    <row r="5871" ht="12.75" customHeight="1" x14ac:dyDescent="0.2"/>
    <row r="5872" ht="12.75" customHeight="1" x14ac:dyDescent="0.2"/>
    <row r="5873" ht="12.75" customHeight="1" x14ac:dyDescent="0.2"/>
    <row r="5874" ht="12.75" customHeight="1" x14ac:dyDescent="0.2"/>
    <row r="5875" ht="12.75" customHeight="1" x14ac:dyDescent="0.2"/>
    <row r="5876" ht="12.75" customHeight="1" x14ac:dyDescent="0.2"/>
    <row r="5877" ht="12.75" customHeight="1" x14ac:dyDescent="0.2"/>
    <row r="5878" ht="12.75" customHeight="1" x14ac:dyDescent="0.2"/>
    <row r="5879" ht="12.75" customHeight="1" x14ac:dyDescent="0.2"/>
    <row r="5880" ht="12.75" customHeight="1" x14ac:dyDescent="0.2"/>
    <row r="5881" ht="12.75" customHeight="1" x14ac:dyDescent="0.2"/>
    <row r="5882" ht="12.75" customHeight="1" x14ac:dyDescent="0.2"/>
    <row r="5883" ht="12.75" customHeight="1" x14ac:dyDescent="0.2"/>
    <row r="5884" ht="12.75" customHeight="1" x14ac:dyDescent="0.2"/>
    <row r="5885" ht="12.75" customHeight="1" x14ac:dyDescent="0.2"/>
    <row r="5886" ht="12.75" customHeight="1" x14ac:dyDescent="0.2"/>
    <row r="5887" ht="12.75" customHeight="1" x14ac:dyDescent="0.2"/>
    <row r="5888" ht="12.75" customHeight="1" x14ac:dyDescent="0.2"/>
    <row r="5889" ht="12.75" customHeight="1" x14ac:dyDescent="0.2"/>
    <row r="5890" ht="12.75" customHeight="1" x14ac:dyDescent="0.2"/>
    <row r="5891" ht="12.75" customHeight="1" x14ac:dyDescent="0.2"/>
    <row r="5892" ht="12.75" customHeight="1" x14ac:dyDescent="0.2"/>
    <row r="5893" ht="12.75" customHeight="1" x14ac:dyDescent="0.2"/>
    <row r="5894" ht="12.75" customHeight="1" x14ac:dyDescent="0.2"/>
    <row r="5895" ht="12.75" customHeight="1" x14ac:dyDescent="0.2"/>
    <row r="5896" ht="12.75" customHeight="1" x14ac:dyDescent="0.2"/>
    <row r="5897" ht="12.75" customHeight="1" x14ac:dyDescent="0.2"/>
    <row r="5898" ht="12.75" customHeight="1" x14ac:dyDescent="0.2"/>
    <row r="5899" ht="12.75" customHeight="1" x14ac:dyDescent="0.2"/>
    <row r="5900" ht="12.75" customHeight="1" x14ac:dyDescent="0.2"/>
    <row r="5901" ht="12.75" customHeight="1" x14ac:dyDescent="0.2"/>
    <row r="5902" ht="12.75" customHeight="1" x14ac:dyDescent="0.2"/>
    <row r="5903" ht="12.75" customHeight="1" x14ac:dyDescent="0.2"/>
    <row r="5904" ht="12.75" customHeight="1" x14ac:dyDescent="0.2"/>
    <row r="5905" ht="12.75" customHeight="1" x14ac:dyDescent="0.2"/>
    <row r="5906" ht="12.75" customHeight="1" x14ac:dyDescent="0.2"/>
    <row r="5907" ht="12.75" customHeight="1" x14ac:dyDescent="0.2"/>
    <row r="5908" ht="12.75" customHeight="1" x14ac:dyDescent="0.2"/>
    <row r="5909" ht="12.75" customHeight="1" x14ac:dyDescent="0.2"/>
    <row r="5910" ht="12.75" customHeight="1" x14ac:dyDescent="0.2"/>
    <row r="5911" ht="12.75" customHeight="1" x14ac:dyDescent="0.2"/>
    <row r="5912" ht="12.75" customHeight="1" x14ac:dyDescent="0.2"/>
    <row r="5913" ht="12.75" customHeight="1" x14ac:dyDescent="0.2"/>
    <row r="5914" ht="12.75" customHeight="1" x14ac:dyDescent="0.2"/>
    <row r="5915" ht="12.75" customHeight="1" x14ac:dyDescent="0.2"/>
    <row r="5916" ht="12.75" customHeight="1" x14ac:dyDescent="0.2"/>
    <row r="5917" ht="12.75" customHeight="1" x14ac:dyDescent="0.2"/>
    <row r="5918" ht="12.75" customHeight="1" x14ac:dyDescent="0.2"/>
    <row r="5919" ht="12.75" customHeight="1" x14ac:dyDescent="0.2"/>
    <row r="5920" ht="12.75" customHeight="1" x14ac:dyDescent="0.2"/>
    <row r="5921" ht="12.75" customHeight="1" x14ac:dyDescent="0.2"/>
    <row r="5922" ht="12.75" customHeight="1" x14ac:dyDescent="0.2"/>
    <row r="5923" ht="12.75" customHeight="1" x14ac:dyDescent="0.2"/>
    <row r="5924" ht="12.75" customHeight="1" x14ac:dyDescent="0.2"/>
    <row r="5925" ht="12.75" customHeight="1" x14ac:dyDescent="0.2"/>
    <row r="5926" ht="12.75" customHeight="1" x14ac:dyDescent="0.2"/>
    <row r="5927" ht="12.75" customHeight="1" x14ac:dyDescent="0.2"/>
    <row r="5928" ht="12.75" customHeight="1" x14ac:dyDescent="0.2"/>
    <row r="5929" ht="12.75" customHeight="1" x14ac:dyDescent="0.2"/>
    <row r="5930" ht="12.75" customHeight="1" x14ac:dyDescent="0.2"/>
    <row r="5931" ht="12.75" customHeight="1" x14ac:dyDescent="0.2"/>
    <row r="5932" ht="12.75" customHeight="1" x14ac:dyDescent="0.2"/>
    <row r="5933" ht="12.75" customHeight="1" x14ac:dyDescent="0.2"/>
    <row r="5934" ht="12.75" customHeight="1" x14ac:dyDescent="0.2"/>
    <row r="5935" ht="12.75" customHeight="1" x14ac:dyDescent="0.2"/>
    <row r="5936" ht="12.75" customHeight="1" x14ac:dyDescent="0.2"/>
    <row r="5937" ht="12.75" customHeight="1" x14ac:dyDescent="0.2"/>
    <row r="5938" ht="12.75" customHeight="1" x14ac:dyDescent="0.2"/>
    <row r="5939" ht="12.75" customHeight="1" x14ac:dyDescent="0.2"/>
    <row r="5940" ht="12.75" customHeight="1" x14ac:dyDescent="0.2"/>
    <row r="5941" ht="12.75" customHeight="1" x14ac:dyDescent="0.2"/>
    <row r="5942" ht="12.75" customHeight="1" x14ac:dyDescent="0.2"/>
    <row r="5943" ht="12.75" customHeight="1" x14ac:dyDescent="0.2"/>
    <row r="5944" ht="12.75" customHeight="1" x14ac:dyDescent="0.2"/>
    <row r="5945" ht="12.75" customHeight="1" x14ac:dyDescent="0.2"/>
    <row r="5946" ht="12.75" customHeight="1" x14ac:dyDescent="0.2"/>
    <row r="5947" ht="12.75" customHeight="1" x14ac:dyDescent="0.2"/>
    <row r="5948" ht="12.75" customHeight="1" x14ac:dyDescent="0.2"/>
    <row r="5949" ht="12.75" customHeight="1" x14ac:dyDescent="0.2"/>
    <row r="5950" ht="12.75" customHeight="1" x14ac:dyDescent="0.2"/>
    <row r="5951" ht="12.75" customHeight="1" x14ac:dyDescent="0.2"/>
    <row r="5952" ht="12.75" customHeight="1" x14ac:dyDescent="0.2"/>
    <row r="5953" ht="12.75" customHeight="1" x14ac:dyDescent="0.2"/>
    <row r="5954" ht="12.75" customHeight="1" x14ac:dyDescent="0.2"/>
    <row r="5955" ht="12.75" customHeight="1" x14ac:dyDescent="0.2"/>
    <row r="5956" ht="12.75" customHeight="1" x14ac:dyDescent="0.2"/>
    <row r="5957" ht="12.75" customHeight="1" x14ac:dyDescent="0.2"/>
    <row r="5958" ht="12.75" customHeight="1" x14ac:dyDescent="0.2"/>
    <row r="5959" ht="12.75" customHeight="1" x14ac:dyDescent="0.2"/>
    <row r="5960" ht="12.75" customHeight="1" x14ac:dyDescent="0.2"/>
    <row r="5961" ht="12.75" customHeight="1" x14ac:dyDescent="0.2"/>
    <row r="5962" ht="12.75" customHeight="1" x14ac:dyDescent="0.2"/>
    <row r="5963" ht="12.75" customHeight="1" x14ac:dyDescent="0.2"/>
    <row r="5964" ht="12.75" customHeight="1" x14ac:dyDescent="0.2"/>
    <row r="5965" ht="12.75" customHeight="1" x14ac:dyDescent="0.2"/>
    <row r="5966" ht="12.75" customHeight="1" x14ac:dyDescent="0.2"/>
    <row r="5967" ht="12.75" customHeight="1" x14ac:dyDescent="0.2"/>
    <row r="5968" ht="12.75" customHeight="1" x14ac:dyDescent="0.2"/>
    <row r="5969" ht="12.75" customHeight="1" x14ac:dyDescent="0.2"/>
    <row r="5970" ht="12.75" customHeight="1" x14ac:dyDescent="0.2"/>
    <row r="5971" ht="12.75" customHeight="1" x14ac:dyDescent="0.2"/>
    <row r="5972" ht="12.75" customHeight="1" x14ac:dyDescent="0.2"/>
    <row r="5973" ht="12.75" customHeight="1" x14ac:dyDescent="0.2"/>
    <row r="5974" ht="12.75" customHeight="1" x14ac:dyDescent="0.2"/>
    <row r="5975" ht="12.75" customHeight="1" x14ac:dyDescent="0.2"/>
    <row r="5976" ht="12.75" customHeight="1" x14ac:dyDescent="0.2"/>
    <row r="5977" ht="12.75" customHeight="1" x14ac:dyDescent="0.2"/>
    <row r="5978" ht="12.75" customHeight="1" x14ac:dyDescent="0.2"/>
    <row r="5979" ht="12.75" customHeight="1" x14ac:dyDescent="0.2"/>
    <row r="5980" ht="12.75" customHeight="1" x14ac:dyDescent="0.2"/>
    <row r="5981" ht="12.75" customHeight="1" x14ac:dyDescent="0.2"/>
    <row r="5982" ht="12.75" customHeight="1" x14ac:dyDescent="0.2"/>
    <row r="5983" ht="12.75" customHeight="1" x14ac:dyDescent="0.2"/>
    <row r="5984" ht="12.75" customHeight="1" x14ac:dyDescent="0.2"/>
    <row r="5985" ht="12.75" customHeight="1" x14ac:dyDescent="0.2"/>
    <row r="5986" ht="12.75" customHeight="1" x14ac:dyDescent="0.2"/>
    <row r="5987" ht="12.75" customHeight="1" x14ac:dyDescent="0.2"/>
    <row r="5988" ht="12.75" customHeight="1" x14ac:dyDescent="0.2"/>
    <row r="5989" ht="12.75" customHeight="1" x14ac:dyDescent="0.2"/>
    <row r="5990" ht="12.75" customHeight="1" x14ac:dyDescent="0.2"/>
    <row r="5991" ht="12.75" customHeight="1" x14ac:dyDescent="0.2"/>
    <row r="5992" ht="12.75" customHeight="1" x14ac:dyDescent="0.2"/>
    <row r="5993" ht="12.75" customHeight="1" x14ac:dyDescent="0.2"/>
    <row r="5994" ht="12.75" customHeight="1" x14ac:dyDescent="0.2"/>
    <row r="5995" ht="12.75" customHeight="1" x14ac:dyDescent="0.2"/>
    <row r="5996" ht="12.75" customHeight="1" x14ac:dyDescent="0.2"/>
    <row r="5997" ht="12.75" customHeight="1" x14ac:dyDescent="0.2"/>
    <row r="5998" ht="12.75" customHeight="1" x14ac:dyDescent="0.2"/>
    <row r="5999" ht="12.75" customHeight="1" x14ac:dyDescent="0.2"/>
    <row r="6000" ht="12.75" customHeight="1" x14ac:dyDescent="0.2"/>
    <row r="6001" ht="12.75" customHeight="1" x14ac:dyDescent="0.2"/>
    <row r="6002" ht="12.75" customHeight="1" x14ac:dyDescent="0.2"/>
    <row r="6003" ht="12.75" customHeight="1" x14ac:dyDescent="0.2"/>
    <row r="6004" ht="12.75" customHeight="1" x14ac:dyDescent="0.2"/>
    <row r="6005" ht="12.75" customHeight="1" x14ac:dyDescent="0.2"/>
    <row r="6006" ht="12.75" customHeight="1" x14ac:dyDescent="0.2"/>
    <row r="6007" ht="12.75" customHeight="1" x14ac:dyDescent="0.2"/>
    <row r="6008" ht="12.75" customHeight="1" x14ac:dyDescent="0.2"/>
    <row r="6009" ht="12.75" customHeight="1" x14ac:dyDescent="0.2"/>
    <row r="6010" ht="12.75" customHeight="1" x14ac:dyDescent="0.2"/>
    <row r="6011" ht="12.75" customHeight="1" x14ac:dyDescent="0.2"/>
    <row r="6012" ht="12.75" customHeight="1" x14ac:dyDescent="0.2"/>
    <row r="6013" ht="12.75" customHeight="1" x14ac:dyDescent="0.2"/>
    <row r="6014" ht="12.75" customHeight="1" x14ac:dyDescent="0.2"/>
    <row r="6015" ht="12.75" customHeight="1" x14ac:dyDescent="0.2"/>
    <row r="6016" ht="12.75" customHeight="1" x14ac:dyDescent="0.2"/>
    <row r="6017" ht="12.75" customHeight="1" x14ac:dyDescent="0.2"/>
    <row r="6018" ht="12.75" customHeight="1" x14ac:dyDescent="0.2"/>
    <row r="6019" ht="12.75" customHeight="1" x14ac:dyDescent="0.2"/>
    <row r="6020" ht="12.75" customHeight="1" x14ac:dyDescent="0.2"/>
    <row r="6021" ht="12.75" customHeight="1" x14ac:dyDescent="0.2"/>
    <row r="6022" ht="12.75" customHeight="1" x14ac:dyDescent="0.2"/>
    <row r="6023" ht="12.75" customHeight="1" x14ac:dyDescent="0.2"/>
    <row r="6024" ht="12.75" customHeight="1" x14ac:dyDescent="0.2"/>
    <row r="6025" ht="12.75" customHeight="1" x14ac:dyDescent="0.2"/>
    <row r="6026" ht="12.75" customHeight="1" x14ac:dyDescent="0.2"/>
    <row r="6027" ht="12.75" customHeight="1" x14ac:dyDescent="0.2"/>
    <row r="6028" ht="12.75" customHeight="1" x14ac:dyDescent="0.2"/>
    <row r="6029" ht="12.75" customHeight="1" x14ac:dyDescent="0.2"/>
    <row r="6030" ht="12.75" customHeight="1" x14ac:dyDescent="0.2"/>
    <row r="6031" ht="12.75" customHeight="1" x14ac:dyDescent="0.2"/>
    <row r="6032" ht="12.75" customHeight="1" x14ac:dyDescent="0.2"/>
    <row r="6033" ht="12.75" customHeight="1" x14ac:dyDescent="0.2"/>
    <row r="6034" ht="12.75" customHeight="1" x14ac:dyDescent="0.2"/>
    <row r="6035" ht="12.75" customHeight="1" x14ac:dyDescent="0.2"/>
    <row r="6036" ht="12.75" customHeight="1" x14ac:dyDescent="0.2"/>
    <row r="6037" ht="12.75" customHeight="1" x14ac:dyDescent="0.2"/>
    <row r="6038" ht="12.75" customHeight="1" x14ac:dyDescent="0.2"/>
    <row r="6039" ht="12.75" customHeight="1" x14ac:dyDescent="0.2"/>
    <row r="6040" ht="12.75" customHeight="1" x14ac:dyDescent="0.2"/>
    <row r="6041" ht="12.75" customHeight="1" x14ac:dyDescent="0.2"/>
    <row r="6042" ht="12.75" customHeight="1" x14ac:dyDescent="0.2"/>
    <row r="6043" ht="12.75" customHeight="1" x14ac:dyDescent="0.2"/>
    <row r="6044" ht="12.75" customHeight="1" x14ac:dyDescent="0.2"/>
    <row r="6045" ht="12.75" customHeight="1" x14ac:dyDescent="0.2"/>
    <row r="6046" ht="12.75" customHeight="1" x14ac:dyDescent="0.2"/>
    <row r="6047" ht="12.75" customHeight="1" x14ac:dyDescent="0.2"/>
    <row r="6048" ht="12.75" customHeight="1" x14ac:dyDescent="0.2"/>
    <row r="6049" ht="12.75" customHeight="1" x14ac:dyDescent="0.2"/>
    <row r="6050" ht="12.75" customHeight="1" x14ac:dyDescent="0.2"/>
    <row r="6051" ht="12.75" customHeight="1" x14ac:dyDescent="0.2"/>
    <row r="6052" ht="12.75" customHeight="1" x14ac:dyDescent="0.2"/>
    <row r="6053" ht="12.75" customHeight="1" x14ac:dyDescent="0.2"/>
    <row r="6054" ht="12.75" customHeight="1" x14ac:dyDescent="0.2"/>
    <row r="6055" ht="12.75" customHeight="1" x14ac:dyDescent="0.2"/>
    <row r="6056" ht="12.75" customHeight="1" x14ac:dyDescent="0.2"/>
    <row r="6057" ht="12.75" customHeight="1" x14ac:dyDescent="0.2"/>
    <row r="6058" ht="12.75" customHeight="1" x14ac:dyDescent="0.2"/>
    <row r="6059" ht="12.75" customHeight="1" x14ac:dyDescent="0.2"/>
    <row r="6060" ht="12.75" customHeight="1" x14ac:dyDescent="0.2"/>
    <row r="6061" ht="12.75" customHeight="1" x14ac:dyDescent="0.2"/>
    <row r="6062" ht="12.75" customHeight="1" x14ac:dyDescent="0.2"/>
    <row r="6063" ht="12.75" customHeight="1" x14ac:dyDescent="0.2"/>
    <row r="6064" ht="12.75" customHeight="1" x14ac:dyDescent="0.2"/>
    <row r="6065" ht="12.75" customHeight="1" x14ac:dyDescent="0.2"/>
    <row r="6066" ht="12.75" customHeight="1" x14ac:dyDescent="0.2"/>
    <row r="6067" ht="12.75" customHeight="1" x14ac:dyDescent="0.2"/>
    <row r="6068" ht="12.75" customHeight="1" x14ac:dyDescent="0.2"/>
    <row r="6069" ht="12.75" customHeight="1" x14ac:dyDescent="0.2"/>
    <row r="6070" ht="12.75" customHeight="1" x14ac:dyDescent="0.2"/>
    <row r="6071" ht="12.75" customHeight="1" x14ac:dyDescent="0.2"/>
    <row r="6072" ht="12.75" customHeight="1" x14ac:dyDescent="0.2"/>
    <row r="6073" ht="12.75" customHeight="1" x14ac:dyDescent="0.2"/>
    <row r="6074" ht="12.75" customHeight="1" x14ac:dyDescent="0.2"/>
    <row r="6075" ht="12.75" customHeight="1" x14ac:dyDescent="0.2"/>
    <row r="6076" ht="12.75" customHeight="1" x14ac:dyDescent="0.2"/>
    <row r="6077" ht="12.75" customHeight="1" x14ac:dyDescent="0.2"/>
    <row r="6078" ht="12.75" customHeight="1" x14ac:dyDescent="0.2"/>
    <row r="6079" ht="12.75" customHeight="1" x14ac:dyDescent="0.2"/>
    <row r="6080" ht="12.75" customHeight="1" x14ac:dyDescent="0.2"/>
    <row r="6081" ht="12.75" customHeight="1" x14ac:dyDescent="0.2"/>
    <row r="6082" ht="12.75" customHeight="1" x14ac:dyDescent="0.2"/>
    <row r="6083" ht="12.75" customHeight="1" x14ac:dyDescent="0.2"/>
    <row r="6084" ht="12.75" customHeight="1" x14ac:dyDescent="0.2"/>
    <row r="6085" ht="12.75" customHeight="1" x14ac:dyDescent="0.2"/>
    <row r="6086" ht="12.75" customHeight="1" x14ac:dyDescent="0.2"/>
    <row r="6087" ht="12.75" customHeight="1" x14ac:dyDescent="0.2"/>
    <row r="6088" ht="12.75" customHeight="1" x14ac:dyDescent="0.2"/>
    <row r="6089" ht="12.75" customHeight="1" x14ac:dyDescent="0.2"/>
    <row r="6090" ht="12.75" customHeight="1" x14ac:dyDescent="0.2"/>
    <row r="6091" ht="12.75" customHeight="1" x14ac:dyDescent="0.2"/>
    <row r="6092" ht="12.75" customHeight="1" x14ac:dyDescent="0.2"/>
    <row r="6093" ht="12.75" customHeight="1" x14ac:dyDescent="0.2"/>
    <row r="6094" ht="12.75" customHeight="1" x14ac:dyDescent="0.2"/>
    <row r="6095" ht="12.75" customHeight="1" x14ac:dyDescent="0.2"/>
    <row r="6096" ht="12.75" customHeight="1" x14ac:dyDescent="0.2"/>
    <row r="6097" ht="12.75" customHeight="1" x14ac:dyDescent="0.2"/>
    <row r="6098" ht="12.75" customHeight="1" x14ac:dyDescent="0.2"/>
    <row r="6099" ht="12.75" customHeight="1" x14ac:dyDescent="0.2"/>
    <row r="6100" ht="12.75" customHeight="1" x14ac:dyDescent="0.2"/>
    <row r="6101" ht="12.75" customHeight="1" x14ac:dyDescent="0.2"/>
    <row r="6102" ht="12.75" customHeight="1" x14ac:dyDescent="0.2"/>
    <row r="6103" ht="12.75" customHeight="1" x14ac:dyDescent="0.2"/>
    <row r="6104" ht="12.75" customHeight="1" x14ac:dyDescent="0.2"/>
    <row r="6105" ht="12.75" customHeight="1" x14ac:dyDescent="0.2"/>
    <row r="6106" ht="12.75" customHeight="1" x14ac:dyDescent="0.2"/>
    <row r="6107" ht="12.75" customHeight="1" x14ac:dyDescent="0.2"/>
    <row r="6108" ht="12.75" customHeight="1" x14ac:dyDescent="0.2"/>
    <row r="6109" ht="12.75" customHeight="1" x14ac:dyDescent="0.2"/>
    <row r="6110" ht="12.75" customHeight="1" x14ac:dyDescent="0.2"/>
    <row r="6111" ht="12.75" customHeight="1" x14ac:dyDescent="0.2"/>
    <row r="6112" ht="12.75" customHeight="1" x14ac:dyDescent="0.2"/>
    <row r="6113" ht="12.75" customHeight="1" x14ac:dyDescent="0.2"/>
    <row r="6114" ht="12.75" customHeight="1" x14ac:dyDescent="0.2"/>
    <row r="6115" ht="12.75" customHeight="1" x14ac:dyDescent="0.2"/>
    <row r="6116" ht="12.75" customHeight="1" x14ac:dyDescent="0.2"/>
    <row r="6117" ht="12.75" customHeight="1" x14ac:dyDescent="0.2"/>
    <row r="6118" ht="12.75" customHeight="1" x14ac:dyDescent="0.2"/>
    <row r="6119" ht="12.75" customHeight="1" x14ac:dyDescent="0.2"/>
    <row r="6120" ht="12.75" customHeight="1" x14ac:dyDescent="0.2"/>
    <row r="6121" ht="12.75" customHeight="1" x14ac:dyDescent="0.2"/>
    <row r="6122" ht="12.75" customHeight="1" x14ac:dyDescent="0.2"/>
    <row r="6123" ht="12.75" customHeight="1" x14ac:dyDescent="0.2"/>
    <row r="6124" ht="12.75" customHeight="1" x14ac:dyDescent="0.2"/>
    <row r="6125" ht="12.75" customHeight="1" x14ac:dyDescent="0.2"/>
    <row r="6126" ht="12.75" customHeight="1" x14ac:dyDescent="0.2"/>
    <row r="6127" ht="12.75" customHeight="1" x14ac:dyDescent="0.2"/>
    <row r="6128" ht="12.75" customHeight="1" x14ac:dyDescent="0.2"/>
    <row r="6129" ht="12.75" customHeight="1" x14ac:dyDescent="0.2"/>
    <row r="6130" ht="12.75" customHeight="1" x14ac:dyDescent="0.2"/>
    <row r="6131" ht="12.75" customHeight="1" x14ac:dyDescent="0.2"/>
    <row r="6132" ht="12.75" customHeight="1" x14ac:dyDescent="0.2"/>
    <row r="6133" ht="12.75" customHeight="1" x14ac:dyDescent="0.2"/>
    <row r="6134" ht="12.75" customHeight="1" x14ac:dyDescent="0.2"/>
    <row r="6135" ht="12.75" customHeight="1" x14ac:dyDescent="0.2"/>
    <row r="6136" ht="12.75" customHeight="1" x14ac:dyDescent="0.2"/>
    <row r="6137" ht="12.75" customHeight="1" x14ac:dyDescent="0.2"/>
    <row r="6138" ht="12.75" customHeight="1" x14ac:dyDescent="0.2"/>
    <row r="6139" ht="12.75" customHeight="1" x14ac:dyDescent="0.2"/>
    <row r="6140" ht="12.75" customHeight="1" x14ac:dyDescent="0.2"/>
    <row r="6141" ht="12.75" customHeight="1" x14ac:dyDescent="0.2"/>
    <row r="6142" ht="12.75" customHeight="1" x14ac:dyDescent="0.2"/>
    <row r="6143" ht="12.75" customHeight="1" x14ac:dyDescent="0.2"/>
    <row r="6144" ht="12.75" customHeight="1" x14ac:dyDescent="0.2"/>
    <row r="6145" ht="12.75" customHeight="1" x14ac:dyDescent="0.2"/>
    <row r="6146" ht="12.75" customHeight="1" x14ac:dyDescent="0.2"/>
    <row r="6147" ht="12.75" customHeight="1" x14ac:dyDescent="0.2"/>
    <row r="6148" ht="12.75" customHeight="1" x14ac:dyDescent="0.2"/>
    <row r="6149" ht="12.75" customHeight="1" x14ac:dyDescent="0.2"/>
    <row r="6150" ht="12.75" customHeight="1" x14ac:dyDescent="0.2"/>
    <row r="6151" ht="12.75" customHeight="1" x14ac:dyDescent="0.2"/>
    <row r="6152" ht="12.75" customHeight="1" x14ac:dyDescent="0.2"/>
    <row r="6153" ht="12.75" customHeight="1" x14ac:dyDescent="0.2"/>
    <row r="6154" ht="12.75" customHeight="1" x14ac:dyDescent="0.2"/>
    <row r="6155" ht="12.75" customHeight="1" x14ac:dyDescent="0.2"/>
    <row r="6156" ht="12.75" customHeight="1" x14ac:dyDescent="0.2"/>
    <row r="6157" ht="12.75" customHeight="1" x14ac:dyDescent="0.2"/>
    <row r="6158" ht="12.75" customHeight="1" x14ac:dyDescent="0.2"/>
    <row r="6159" ht="12.75" customHeight="1" x14ac:dyDescent="0.2"/>
    <row r="6160" ht="12.75" customHeight="1" x14ac:dyDescent="0.2"/>
    <row r="6161" ht="12.75" customHeight="1" x14ac:dyDescent="0.2"/>
    <row r="6162" ht="12.75" customHeight="1" x14ac:dyDescent="0.2"/>
    <row r="6163" ht="12.75" customHeight="1" x14ac:dyDescent="0.2"/>
    <row r="6164" ht="12.75" customHeight="1" x14ac:dyDescent="0.2"/>
    <row r="6165" ht="12.75" customHeight="1" x14ac:dyDescent="0.2"/>
    <row r="6166" ht="12.75" customHeight="1" x14ac:dyDescent="0.2"/>
    <row r="6167" ht="12.75" customHeight="1" x14ac:dyDescent="0.2"/>
    <row r="6168" ht="12.75" customHeight="1" x14ac:dyDescent="0.2"/>
    <row r="6169" ht="12.75" customHeight="1" x14ac:dyDescent="0.2"/>
    <row r="6170" ht="12.75" customHeight="1" x14ac:dyDescent="0.2"/>
    <row r="6171" ht="12.75" customHeight="1" x14ac:dyDescent="0.2"/>
    <row r="6172" ht="12.75" customHeight="1" x14ac:dyDescent="0.2"/>
    <row r="6173" ht="12.75" customHeight="1" x14ac:dyDescent="0.2"/>
    <row r="6174" ht="12.75" customHeight="1" x14ac:dyDescent="0.2"/>
    <row r="6175" ht="12.75" customHeight="1" x14ac:dyDescent="0.2"/>
    <row r="6176" ht="12.75" customHeight="1" x14ac:dyDescent="0.2"/>
    <row r="6177" ht="12.75" customHeight="1" x14ac:dyDescent="0.2"/>
    <row r="6178" ht="12.75" customHeight="1" x14ac:dyDescent="0.2"/>
    <row r="6179" ht="12.75" customHeight="1" x14ac:dyDescent="0.2"/>
    <row r="6180" ht="12.75" customHeight="1" x14ac:dyDescent="0.2"/>
    <row r="6181" ht="12.75" customHeight="1" x14ac:dyDescent="0.2"/>
    <row r="6182" ht="12.75" customHeight="1" x14ac:dyDescent="0.2"/>
    <row r="6183" ht="12.75" customHeight="1" x14ac:dyDescent="0.2"/>
    <row r="6184" ht="12.75" customHeight="1" x14ac:dyDescent="0.2"/>
    <row r="6185" ht="12.75" customHeight="1" x14ac:dyDescent="0.2"/>
    <row r="6186" ht="12.75" customHeight="1" x14ac:dyDescent="0.2"/>
    <row r="6187" ht="12.75" customHeight="1" x14ac:dyDescent="0.2"/>
    <row r="6188" ht="12.75" customHeight="1" x14ac:dyDescent="0.2"/>
    <row r="6189" ht="12.75" customHeight="1" x14ac:dyDescent="0.2"/>
    <row r="6190" ht="12.75" customHeight="1" x14ac:dyDescent="0.2"/>
    <row r="6191" ht="12.75" customHeight="1" x14ac:dyDescent="0.2"/>
    <row r="6192" ht="12.75" customHeight="1" x14ac:dyDescent="0.2"/>
    <row r="6193" ht="12.75" customHeight="1" x14ac:dyDescent="0.2"/>
    <row r="6194" ht="12.75" customHeight="1" x14ac:dyDescent="0.2"/>
    <row r="6195" ht="12.75" customHeight="1" x14ac:dyDescent="0.2"/>
    <row r="6196" ht="12.75" customHeight="1" x14ac:dyDescent="0.2"/>
    <row r="6197" ht="12.75" customHeight="1" x14ac:dyDescent="0.2"/>
    <row r="6198" ht="12.75" customHeight="1" x14ac:dyDescent="0.2"/>
    <row r="6199" ht="12.75" customHeight="1" x14ac:dyDescent="0.2"/>
    <row r="6200" ht="12.75" customHeight="1" x14ac:dyDescent="0.2"/>
    <row r="6201" ht="12.75" customHeight="1" x14ac:dyDescent="0.2"/>
    <row r="6202" ht="12.75" customHeight="1" x14ac:dyDescent="0.2"/>
    <row r="6203" ht="12.75" customHeight="1" x14ac:dyDescent="0.2"/>
    <row r="6204" ht="12.75" customHeight="1" x14ac:dyDescent="0.2"/>
    <row r="6205" ht="12.75" customHeight="1" x14ac:dyDescent="0.2"/>
    <row r="6206" ht="12.75" customHeight="1" x14ac:dyDescent="0.2"/>
    <row r="6207" ht="12.75" customHeight="1" x14ac:dyDescent="0.2"/>
    <row r="6208" ht="12.75" customHeight="1" x14ac:dyDescent="0.2"/>
    <row r="6209" ht="12.75" customHeight="1" x14ac:dyDescent="0.2"/>
    <row r="6210" ht="12.75" customHeight="1" x14ac:dyDescent="0.2"/>
    <row r="6211" ht="12.75" customHeight="1" x14ac:dyDescent="0.2"/>
    <row r="6212" ht="12.75" customHeight="1" x14ac:dyDescent="0.2"/>
    <row r="6213" ht="12.75" customHeight="1" x14ac:dyDescent="0.2"/>
    <row r="6214" ht="12.75" customHeight="1" x14ac:dyDescent="0.2"/>
    <row r="6215" ht="12.75" customHeight="1" x14ac:dyDescent="0.2"/>
    <row r="6216" ht="12.75" customHeight="1" x14ac:dyDescent="0.2"/>
    <row r="6217" ht="12.75" customHeight="1" x14ac:dyDescent="0.2"/>
    <row r="6218" ht="12.75" customHeight="1" x14ac:dyDescent="0.2"/>
    <row r="6219" ht="12.75" customHeight="1" x14ac:dyDescent="0.2"/>
    <row r="6220" ht="12.75" customHeight="1" x14ac:dyDescent="0.2"/>
    <row r="6221" ht="12.75" customHeight="1" x14ac:dyDescent="0.2"/>
    <row r="6222" ht="12.75" customHeight="1" x14ac:dyDescent="0.2"/>
    <row r="6223" ht="12.75" customHeight="1" x14ac:dyDescent="0.2"/>
    <row r="6224" ht="12.75" customHeight="1" x14ac:dyDescent="0.2"/>
    <row r="6225" ht="12.75" customHeight="1" x14ac:dyDescent="0.2"/>
    <row r="6226" ht="12.75" customHeight="1" x14ac:dyDescent="0.2"/>
    <row r="6227" ht="12.75" customHeight="1" x14ac:dyDescent="0.2"/>
    <row r="6228" ht="12.75" customHeight="1" x14ac:dyDescent="0.2"/>
    <row r="6229" ht="12.75" customHeight="1" x14ac:dyDescent="0.2"/>
    <row r="6230" ht="12.75" customHeight="1" x14ac:dyDescent="0.2"/>
    <row r="6231" ht="12.75" customHeight="1" x14ac:dyDescent="0.2"/>
    <row r="6232" ht="12.75" customHeight="1" x14ac:dyDescent="0.2"/>
    <row r="6233" ht="12.75" customHeight="1" x14ac:dyDescent="0.2"/>
    <row r="6234" ht="12.75" customHeight="1" x14ac:dyDescent="0.2"/>
    <row r="6235" ht="12.75" customHeight="1" x14ac:dyDescent="0.2"/>
    <row r="6236" ht="12.75" customHeight="1" x14ac:dyDescent="0.2"/>
    <row r="6237" ht="12.75" customHeight="1" x14ac:dyDescent="0.2"/>
    <row r="6238" ht="12.75" customHeight="1" x14ac:dyDescent="0.2"/>
    <row r="6239" ht="12.75" customHeight="1" x14ac:dyDescent="0.2"/>
    <row r="6240" ht="12.75" customHeight="1" x14ac:dyDescent="0.2"/>
    <row r="6241" ht="12.75" customHeight="1" x14ac:dyDescent="0.2"/>
    <row r="6242" ht="12.75" customHeight="1" x14ac:dyDescent="0.2"/>
    <row r="6243" ht="12.75" customHeight="1" x14ac:dyDescent="0.2"/>
    <row r="6244" ht="12.75" customHeight="1" x14ac:dyDescent="0.2"/>
    <row r="6245" ht="12.75" customHeight="1" x14ac:dyDescent="0.2"/>
    <row r="6246" ht="12.75" customHeight="1" x14ac:dyDescent="0.2"/>
    <row r="6247" ht="12.75" customHeight="1" x14ac:dyDescent="0.2"/>
    <row r="6248" ht="12.75" customHeight="1" x14ac:dyDescent="0.2"/>
    <row r="6249" ht="12.75" customHeight="1" x14ac:dyDescent="0.2"/>
    <row r="6250" ht="12.75" customHeight="1" x14ac:dyDescent="0.2"/>
    <row r="6251" ht="12.75" customHeight="1" x14ac:dyDescent="0.2"/>
    <row r="6252" ht="12.75" customHeight="1" x14ac:dyDescent="0.2"/>
    <row r="6253" ht="12.75" customHeight="1" x14ac:dyDescent="0.2"/>
    <row r="6254" ht="12.75" customHeight="1" x14ac:dyDescent="0.2"/>
    <row r="6255" ht="12.75" customHeight="1" x14ac:dyDescent="0.2"/>
    <row r="6256" ht="12.75" customHeight="1" x14ac:dyDescent="0.2"/>
    <row r="6257" ht="12.75" customHeight="1" x14ac:dyDescent="0.2"/>
    <row r="6258" ht="12.75" customHeight="1" x14ac:dyDescent="0.2"/>
    <row r="6259" ht="12.75" customHeight="1" x14ac:dyDescent="0.2"/>
    <row r="6260" ht="12.75" customHeight="1" x14ac:dyDescent="0.2"/>
    <row r="6261" ht="12.75" customHeight="1" x14ac:dyDescent="0.2"/>
    <row r="6262" ht="12.75" customHeight="1" x14ac:dyDescent="0.2"/>
    <row r="6263" ht="12.75" customHeight="1" x14ac:dyDescent="0.2"/>
    <row r="6264" ht="12.75" customHeight="1" x14ac:dyDescent="0.2"/>
    <row r="6265" ht="12.75" customHeight="1" x14ac:dyDescent="0.2"/>
    <row r="6266" ht="12.75" customHeight="1" x14ac:dyDescent="0.2"/>
    <row r="6267" ht="12.75" customHeight="1" x14ac:dyDescent="0.2"/>
    <row r="6268" ht="12.75" customHeight="1" x14ac:dyDescent="0.2"/>
    <row r="6269" ht="12.75" customHeight="1" x14ac:dyDescent="0.2"/>
    <row r="6270" ht="12.75" customHeight="1" x14ac:dyDescent="0.2"/>
    <row r="6271" ht="12.75" customHeight="1" x14ac:dyDescent="0.2"/>
    <row r="6272" ht="12.75" customHeight="1" x14ac:dyDescent="0.2"/>
    <row r="6273" ht="12.75" customHeight="1" x14ac:dyDescent="0.2"/>
    <row r="6274" ht="12.75" customHeight="1" x14ac:dyDescent="0.2"/>
    <row r="6275" ht="12.75" customHeight="1" x14ac:dyDescent="0.2"/>
    <row r="6276" ht="12.75" customHeight="1" x14ac:dyDescent="0.2"/>
    <row r="6277" ht="12.75" customHeight="1" x14ac:dyDescent="0.2"/>
    <row r="6278" ht="12.75" customHeight="1" x14ac:dyDescent="0.2"/>
    <row r="6279" ht="12.75" customHeight="1" x14ac:dyDescent="0.2"/>
    <row r="6280" ht="12.75" customHeight="1" x14ac:dyDescent="0.2"/>
    <row r="6281" ht="12.75" customHeight="1" x14ac:dyDescent="0.2"/>
    <row r="6282" ht="12.75" customHeight="1" x14ac:dyDescent="0.2"/>
    <row r="6283" ht="12.75" customHeight="1" x14ac:dyDescent="0.2"/>
    <row r="6284" ht="12.75" customHeight="1" x14ac:dyDescent="0.2"/>
    <row r="6285" ht="12.75" customHeight="1" x14ac:dyDescent="0.2"/>
    <row r="6286" ht="12.75" customHeight="1" x14ac:dyDescent="0.2"/>
    <row r="6287" ht="12.75" customHeight="1" x14ac:dyDescent="0.2"/>
    <row r="6288" ht="12.75" customHeight="1" x14ac:dyDescent="0.2"/>
    <row r="6289" ht="12.75" customHeight="1" x14ac:dyDescent="0.2"/>
    <row r="6290" ht="12.75" customHeight="1" x14ac:dyDescent="0.2"/>
    <row r="6291" ht="12.75" customHeight="1" x14ac:dyDescent="0.2"/>
    <row r="6292" ht="12.75" customHeight="1" x14ac:dyDescent="0.2"/>
    <row r="6293" ht="12.75" customHeight="1" x14ac:dyDescent="0.2"/>
    <row r="6294" ht="12.75" customHeight="1" x14ac:dyDescent="0.2"/>
    <row r="6295" ht="12.75" customHeight="1" x14ac:dyDescent="0.2"/>
    <row r="6296" ht="12.75" customHeight="1" x14ac:dyDescent="0.2"/>
    <row r="6297" ht="12.75" customHeight="1" x14ac:dyDescent="0.2"/>
    <row r="6298" ht="12.75" customHeight="1" x14ac:dyDescent="0.2"/>
    <row r="6299" ht="12.75" customHeight="1" x14ac:dyDescent="0.2"/>
    <row r="6300" ht="12.75" customHeight="1" x14ac:dyDescent="0.2"/>
    <row r="6301" ht="12.75" customHeight="1" x14ac:dyDescent="0.2"/>
    <row r="6302" ht="12.75" customHeight="1" x14ac:dyDescent="0.2"/>
    <row r="6303" ht="12.75" customHeight="1" x14ac:dyDescent="0.2"/>
    <row r="6304" ht="12.75" customHeight="1" x14ac:dyDescent="0.2"/>
    <row r="6305" ht="12.75" customHeight="1" x14ac:dyDescent="0.2"/>
    <row r="6306" ht="12.75" customHeight="1" x14ac:dyDescent="0.2"/>
    <row r="6307" ht="12.75" customHeight="1" x14ac:dyDescent="0.2"/>
    <row r="6308" ht="12.75" customHeight="1" x14ac:dyDescent="0.2"/>
    <row r="6309" ht="12.75" customHeight="1" x14ac:dyDescent="0.2"/>
    <row r="6310" ht="12.75" customHeight="1" x14ac:dyDescent="0.2"/>
    <row r="6311" ht="12.75" customHeight="1" x14ac:dyDescent="0.2"/>
    <row r="6312" ht="12.75" customHeight="1" x14ac:dyDescent="0.2"/>
    <row r="6313" ht="12.75" customHeight="1" x14ac:dyDescent="0.2"/>
    <row r="6314" ht="12.75" customHeight="1" x14ac:dyDescent="0.2"/>
    <row r="6315" ht="12.75" customHeight="1" x14ac:dyDescent="0.2"/>
    <row r="6316" ht="12.75" customHeight="1" x14ac:dyDescent="0.2"/>
    <row r="6317" ht="12.75" customHeight="1" x14ac:dyDescent="0.2"/>
    <row r="6318" ht="12.75" customHeight="1" x14ac:dyDescent="0.2"/>
    <row r="6319" ht="12.75" customHeight="1" x14ac:dyDescent="0.2"/>
    <row r="6320" ht="12.75" customHeight="1" x14ac:dyDescent="0.2"/>
    <row r="6321" ht="12.75" customHeight="1" x14ac:dyDescent="0.2"/>
    <row r="6322" ht="12.75" customHeight="1" x14ac:dyDescent="0.2"/>
    <row r="6323" ht="12.75" customHeight="1" x14ac:dyDescent="0.2"/>
    <row r="6324" ht="12.75" customHeight="1" x14ac:dyDescent="0.2"/>
    <row r="6325" ht="12.75" customHeight="1" x14ac:dyDescent="0.2"/>
    <row r="6326" ht="12.75" customHeight="1" x14ac:dyDescent="0.2"/>
    <row r="6327" ht="12.75" customHeight="1" x14ac:dyDescent="0.2"/>
    <row r="6328" ht="12.75" customHeight="1" x14ac:dyDescent="0.2"/>
    <row r="6329" ht="12.75" customHeight="1" x14ac:dyDescent="0.2"/>
    <row r="6330" ht="12.75" customHeight="1" x14ac:dyDescent="0.2"/>
    <row r="6331" ht="12.75" customHeight="1" x14ac:dyDescent="0.2"/>
    <row r="6332" ht="12.75" customHeight="1" x14ac:dyDescent="0.2"/>
    <row r="6333" ht="12.75" customHeight="1" x14ac:dyDescent="0.2"/>
    <row r="6334" ht="12.75" customHeight="1" x14ac:dyDescent="0.2"/>
    <row r="6335" ht="12.75" customHeight="1" x14ac:dyDescent="0.2"/>
    <row r="6336" ht="12.75" customHeight="1" x14ac:dyDescent="0.2"/>
    <row r="6337" ht="12.75" customHeight="1" x14ac:dyDescent="0.2"/>
    <row r="6338" ht="12.75" customHeight="1" x14ac:dyDescent="0.2"/>
    <row r="6339" ht="12.75" customHeight="1" x14ac:dyDescent="0.2"/>
    <row r="6340" ht="12.75" customHeight="1" x14ac:dyDescent="0.2"/>
    <row r="6341" ht="12.75" customHeight="1" x14ac:dyDescent="0.2"/>
    <row r="6342" ht="12.75" customHeight="1" x14ac:dyDescent="0.2"/>
    <row r="6343" ht="12.75" customHeight="1" x14ac:dyDescent="0.2"/>
    <row r="6344" ht="12.75" customHeight="1" x14ac:dyDescent="0.2"/>
    <row r="6345" ht="12.75" customHeight="1" x14ac:dyDescent="0.2"/>
    <row r="6346" ht="12.75" customHeight="1" x14ac:dyDescent="0.2"/>
    <row r="6347" ht="12.75" customHeight="1" x14ac:dyDescent="0.2"/>
    <row r="6348" ht="12.75" customHeight="1" x14ac:dyDescent="0.2"/>
    <row r="6349" ht="12.75" customHeight="1" x14ac:dyDescent="0.2"/>
    <row r="6350" ht="12.75" customHeight="1" x14ac:dyDescent="0.2"/>
    <row r="6351" ht="12.75" customHeight="1" x14ac:dyDescent="0.2"/>
    <row r="6352" ht="12.75" customHeight="1" x14ac:dyDescent="0.2"/>
    <row r="6353" ht="12.75" customHeight="1" x14ac:dyDescent="0.2"/>
    <row r="6354" ht="12.75" customHeight="1" x14ac:dyDescent="0.2"/>
    <row r="6355" ht="12.75" customHeight="1" x14ac:dyDescent="0.2"/>
    <row r="6356" ht="12.75" customHeight="1" x14ac:dyDescent="0.2"/>
    <row r="6357" ht="12.75" customHeight="1" x14ac:dyDescent="0.2"/>
    <row r="6358" ht="12.75" customHeight="1" x14ac:dyDescent="0.2"/>
    <row r="6359" ht="12.75" customHeight="1" x14ac:dyDescent="0.2"/>
    <row r="6360" ht="12.75" customHeight="1" x14ac:dyDescent="0.2"/>
    <row r="6361" ht="12.75" customHeight="1" x14ac:dyDescent="0.2"/>
    <row r="6362" ht="12.75" customHeight="1" x14ac:dyDescent="0.2"/>
    <row r="6363" ht="12.75" customHeight="1" x14ac:dyDescent="0.2"/>
    <row r="6364" ht="12.75" customHeight="1" x14ac:dyDescent="0.2"/>
    <row r="6365" ht="12.75" customHeight="1" x14ac:dyDescent="0.2"/>
    <row r="6366" ht="12.75" customHeight="1" x14ac:dyDescent="0.2"/>
    <row r="6367" ht="12.75" customHeight="1" x14ac:dyDescent="0.2"/>
    <row r="6368" ht="12.75" customHeight="1" x14ac:dyDescent="0.2"/>
    <row r="6369" ht="12.75" customHeight="1" x14ac:dyDescent="0.2"/>
    <row r="6370" ht="12.75" customHeight="1" x14ac:dyDescent="0.2"/>
    <row r="6371" ht="12.75" customHeight="1" x14ac:dyDescent="0.2"/>
    <row r="6372" ht="12.75" customHeight="1" x14ac:dyDescent="0.2"/>
    <row r="6373" ht="12.75" customHeight="1" x14ac:dyDescent="0.2"/>
    <row r="6374" ht="12.75" customHeight="1" x14ac:dyDescent="0.2"/>
    <row r="6375" ht="12.75" customHeight="1" x14ac:dyDescent="0.2"/>
    <row r="6376" ht="12.75" customHeight="1" x14ac:dyDescent="0.2"/>
    <row r="6377" ht="12.75" customHeight="1" x14ac:dyDescent="0.2"/>
    <row r="6378" ht="12.75" customHeight="1" x14ac:dyDescent="0.2"/>
    <row r="6379" ht="12.75" customHeight="1" x14ac:dyDescent="0.2"/>
    <row r="6380" ht="12.75" customHeight="1" x14ac:dyDescent="0.2"/>
    <row r="6381" ht="12.75" customHeight="1" x14ac:dyDescent="0.2"/>
    <row r="6382" ht="12.75" customHeight="1" x14ac:dyDescent="0.2"/>
    <row r="6383" ht="12.75" customHeight="1" x14ac:dyDescent="0.2"/>
    <row r="6384" ht="12.75" customHeight="1" x14ac:dyDescent="0.2"/>
    <row r="6385" ht="12.75" customHeight="1" x14ac:dyDescent="0.2"/>
    <row r="6386" ht="12.75" customHeight="1" x14ac:dyDescent="0.2"/>
    <row r="6387" ht="12.75" customHeight="1" x14ac:dyDescent="0.2"/>
    <row r="6388" ht="12.75" customHeight="1" x14ac:dyDescent="0.2"/>
    <row r="6389" ht="12.75" customHeight="1" x14ac:dyDescent="0.2"/>
    <row r="6390" ht="12.75" customHeight="1" x14ac:dyDescent="0.2"/>
    <row r="6391" ht="12.75" customHeight="1" x14ac:dyDescent="0.2"/>
    <row r="6392" ht="12.75" customHeight="1" x14ac:dyDescent="0.2"/>
    <row r="6393" ht="12.75" customHeight="1" x14ac:dyDescent="0.2"/>
    <row r="6394" ht="12.75" customHeight="1" x14ac:dyDescent="0.2"/>
    <row r="6395" ht="12.75" customHeight="1" x14ac:dyDescent="0.2"/>
    <row r="6396" ht="12.75" customHeight="1" x14ac:dyDescent="0.2"/>
    <row r="6397" ht="12.75" customHeight="1" x14ac:dyDescent="0.2"/>
    <row r="6398" ht="12.75" customHeight="1" x14ac:dyDescent="0.2"/>
    <row r="6399" ht="12.75" customHeight="1" x14ac:dyDescent="0.2"/>
    <row r="6400" ht="12.75" customHeight="1" x14ac:dyDescent="0.2"/>
    <row r="6401" ht="12.75" customHeight="1" x14ac:dyDescent="0.2"/>
    <row r="6402" ht="12.75" customHeight="1" x14ac:dyDescent="0.2"/>
    <row r="6403" ht="12.75" customHeight="1" x14ac:dyDescent="0.2"/>
    <row r="6404" ht="12.75" customHeight="1" x14ac:dyDescent="0.2"/>
    <row r="6405" ht="12.75" customHeight="1" x14ac:dyDescent="0.2"/>
    <row r="6406" ht="12.75" customHeight="1" x14ac:dyDescent="0.2"/>
    <row r="6407" ht="12.75" customHeight="1" x14ac:dyDescent="0.2"/>
    <row r="6408" ht="12.75" customHeight="1" x14ac:dyDescent="0.2"/>
    <row r="6409" ht="12.75" customHeight="1" x14ac:dyDescent="0.2"/>
    <row r="6410" ht="12.75" customHeight="1" x14ac:dyDescent="0.2"/>
    <row r="6411" ht="12.75" customHeight="1" x14ac:dyDescent="0.2"/>
    <row r="6412" ht="12.75" customHeight="1" x14ac:dyDescent="0.2"/>
    <row r="6413" ht="12.75" customHeight="1" x14ac:dyDescent="0.2"/>
    <row r="6414" ht="12.75" customHeight="1" x14ac:dyDescent="0.2"/>
    <row r="6415" ht="12.75" customHeight="1" x14ac:dyDescent="0.2"/>
    <row r="6416" ht="12.75" customHeight="1" x14ac:dyDescent="0.2"/>
    <row r="6417" ht="12.75" customHeight="1" x14ac:dyDescent="0.2"/>
    <row r="6418" ht="12.75" customHeight="1" x14ac:dyDescent="0.2"/>
    <row r="6419" ht="12.75" customHeight="1" x14ac:dyDescent="0.2"/>
    <row r="6420" ht="12.75" customHeight="1" x14ac:dyDescent="0.2"/>
    <row r="6421" ht="12.75" customHeight="1" x14ac:dyDescent="0.2"/>
    <row r="6422" ht="12.75" customHeight="1" x14ac:dyDescent="0.2"/>
    <row r="6423" ht="12.75" customHeight="1" x14ac:dyDescent="0.2"/>
    <row r="6424" ht="12.75" customHeight="1" x14ac:dyDescent="0.2"/>
    <row r="6425" ht="12.75" customHeight="1" x14ac:dyDescent="0.2"/>
    <row r="6426" ht="12.75" customHeight="1" x14ac:dyDescent="0.2"/>
    <row r="6427" ht="12.75" customHeight="1" x14ac:dyDescent="0.2"/>
    <row r="6428" ht="12.75" customHeight="1" x14ac:dyDescent="0.2"/>
    <row r="6429" ht="12.75" customHeight="1" x14ac:dyDescent="0.2"/>
    <row r="6430" ht="12.75" customHeight="1" x14ac:dyDescent="0.2"/>
    <row r="6431" ht="12.75" customHeight="1" x14ac:dyDescent="0.2"/>
    <row r="6432" ht="12.75" customHeight="1" x14ac:dyDescent="0.2"/>
    <row r="6433" ht="12.75" customHeight="1" x14ac:dyDescent="0.2"/>
    <row r="6434" ht="12.75" customHeight="1" x14ac:dyDescent="0.2"/>
    <row r="6435" ht="12.75" customHeight="1" x14ac:dyDescent="0.2"/>
    <row r="6436" ht="12.75" customHeight="1" x14ac:dyDescent="0.2"/>
    <row r="6437" ht="12.75" customHeight="1" x14ac:dyDescent="0.2"/>
    <row r="6438" ht="12.75" customHeight="1" x14ac:dyDescent="0.2"/>
    <row r="6439" ht="12.75" customHeight="1" x14ac:dyDescent="0.2"/>
    <row r="6440" ht="12.75" customHeight="1" x14ac:dyDescent="0.2"/>
    <row r="6441" ht="12.75" customHeight="1" x14ac:dyDescent="0.2"/>
    <row r="6442" ht="12.75" customHeight="1" x14ac:dyDescent="0.2"/>
    <row r="6443" ht="12.75" customHeight="1" x14ac:dyDescent="0.2"/>
    <row r="6444" ht="12.75" customHeight="1" x14ac:dyDescent="0.2"/>
    <row r="6445" ht="12.75" customHeight="1" x14ac:dyDescent="0.2"/>
    <row r="6446" ht="12.75" customHeight="1" x14ac:dyDescent="0.2"/>
    <row r="6447" ht="12.75" customHeight="1" x14ac:dyDescent="0.2"/>
    <row r="6448" ht="12.75" customHeight="1" x14ac:dyDescent="0.2"/>
    <row r="6449" ht="12.75" customHeight="1" x14ac:dyDescent="0.2"/>
    <row r="6450" ht="12.75" customHeight="1" x14ac:dyDescent="0.2"/>
    <row r="6451" ht="12.75" customHeight="1" x14ac:dyDescent="0.2"/>
    <row r="6452" ht="12.75" customHeight="1" x14ac:dyDescent="0.2"/>
    <row r="6453" ht="12.75" customHeight="1" x14ac:dyDescent="0.2"/>
    <row r="6454" ht="12.75" customHeight="1" x14ac:dyDescent="0.2"/>
    <row r="6455" ht="12.75" customHeight="1" x14ac:dyDescent="0.2"/>
    <row r="6456" ht="12.75" customHeight="1" x14ac:dyDescent="0.2"/>
    <row r="6457" ht="12.75" customHeight="1" x14ac:dyDescent="0.2"/>
    <row r="6458" ht="12.75" customHeight="1" x14ac:dyDescent="0.2"/>
    <row r="6459" ht="12.75" customHeight="1" x14ac:dyDescent="0.2"/>
    <row r="6460" ht="12.75" customHeight="1" x14ac:dyDescent="0.2"/>
    <row r="6461" ht="12.75" customHeight="1" x14ac:dyDescent="0.2"/>
    <row r="6462" ht="12.75" customHeight="1" x14ac:dyDescent="0.2"/>
    <row r="6463" ht="12.75" customHeight="1" x14ac:dyDescent="0.2"/>
    <row r="6464" ht="12.75" customHeight="1" x14ac:dyDescent="0.2"/>
    <row r="6465" ht="12.75" customHeight="1" x14ac:dyDescent="0.2"/>
    <row r="6466" ht="12.75" customHeight="1" x14ac:dyDescent="0.2"/>
    <row r="6467" ht="12.75" customHeight="1" x14ac:dyDescent="0.2"/>
    <row r="6468" ht="12.75" customHeight="1" x14ac:dyDescent="0.2"/>
    <row r="6469" ht="12.75" customHeight="1" x14ac:dyDescent="0.2"/>
    <row r="6470" ht="12.75" customHeight="1" x14ac:dyDescent="0.2"/>
    <row r="6471" ht="12.75" customHeight="1" x14ac:dyDescent="0.2"/>
    <row r="6472" ht="12.75" customHeight="1" x14ac:dyDescent="0.2"/>
    <row r="6473" ht="12.75" customHeight="1" x14ac:dyDescent="0.2"/>
    <row r="6474" ht="12.75" customHeight="1" x14ac:dyDescent="0.2"/>
    <row r="6475" ht="12.75" customHeight="1" x14ac:dyDescent="0.2"/>
    <row r="6476" ht="12.75" customHeight="1" x14ac:dyDescent="0.2"/>
    <row r="6477" ht="12.75" customHeight="1" x14ac:dyDescent="0.2"/>
    <row r="6478" ht="12.75" customHeight="1" x14ac:dyDescent="0.2"/>
    <row r="6479" ht="12.75" customHeight="1" x14ac:dyDescent="0.2"/>
    <row r="6480" ht="12.75" customHeight="1" x14ac:dyDescent="0.2"/>
    <row r="6481" ht="12.75" customHeight="1" x14ac:dyDescent="0.2"/>
    <row r="6482" ht="12.75" customHeight="1" x14ac:dyDescent="0.2"/>
    <row r="6483" ht="12.75" customHeight="1" x14ac:dyDescent="0.2"/>
    <row r="6484" ht="12.75" customHeight="1" x14ac:dyDescent="0.2"/>
    <row r="6485" ht="12.75" customHeight="1" x14ac:dyDescent="0.2"/>
    <row r="6486" ht="12.75" customHeight="1" x14ac:dyDescent="0.2"/>
    <row r="6487" ht="12.75" customHeight="1" x14ac:dyDescent="0.2"/>
    <row r="6488" ht="12.75" customHeight="1" x14ac:dyDescent="0.2"/>
    <row r="6489" ht="12.75" customHeight="1" x14ac:dyDescent="0.2"/>
    <row r="6490" ht="12.75" customHeight="1" x14ac:dyDescent="0.2"/>
    <row r="6491" ht="12.75" customHeight="1" x14ac:dyDescent="0.2"/>
    <row r="6492" ht="12.75" customHeight="1" x14ac:dyDescent="0.2"/>
    <row r="6493" ht="12.75" customHeight="1" x14ac:dyDescent="0.2"/>
    <row r="6494" ht="12.75" customHeight="1" x14ac:dyDescent="0.2"/>
    <row r="6495" ht="12.75" customHeight="1" x14ac:dyDescent="0.2"/>
    <row r="6496" ht="12.75" customHeight="1" x14ac:dyDescent="0.2"/>
    <row r="6497" ht="12.75" customHeight="1" x14ac:dyDescent="0.2"/>
    <row r="6498" ht="12.75" customHeight="1" x14ac:dyDescent="0.2"/>
    <row r="6499" ht="12.75" customHeight="1" x14ac:dyDescent="0.2"/>
    <row r="6500" ht="12.75" customHeight="1" x14ac:dyDescent="0.2"/>
    <row r="6501" ht="12.75" customHeight="1" x14ac:dyDescent="0.2"/>
    <row r="6502" ht="12.75" customHeight="1" x14ac:dyDescent="0.2"/>
    <row r="6503" ht="12.75" customHeight="1" x14ac:dyDescent="0.2"/>
    <row r="6504" ht="12.75" customHeight="1" x14ac:dyDescent="0.2"/>
    <row r="6505" ht="12.75" customHeight="1" x14ac:dyDescent="0.2"/>
    <row r="6506" ht="12.75" customHeight="1" x14ac:dyDescent="0.2"/>
    <row r="6507" ht="12.75" customHeight="1" x14ac:dyDescent="0.2"/>
    <row r="6508" ht="12.75" customHeight="1" x14ac:dyDescent="0.2"/>
    <row r="6509" ht="12.75" customHeight="1" x14ac:dyDescent="0.2"/>
    <row r="6510" ht="12.75" customHeight="1" x14ac:dyDescent="0.2"/>
    <row r="6511" ht="12.75" customHeight="1" x14ac:dyDescent="0.2"/>
    <row r="6512" ht="12.75" customHeight="1" x14ac:dyDescent="0.2"/>
    <row r="6513" ht="12.75" customHeight="1" x14ac:dyDescent="0.2"/>
    <row r="6514" ht="12.75" customHeight="1" x14ac:dyDescent="0.2"/>
    <row r="6515" ht="12.75" customHeight="1" x14ac:dyDescent="0.2"/>
    <row r="6516" ht="12.75" customHeight="1" x14ac:dyDescent="0.2"/>
    <row r="6517" ht="12.75" customHeight="1" x14ac:dyDescent="0.2"/>
    <row r="6518" ht="12.75" customHeight="1" x14ac:dyDescent="0.2"/>
    <row r="6519" ht="12.75" customHeight="1" x14ac:dyDescent="0.2"/>
    <row r="6520" ht="12.75" customHeight="1" x14ac:dyDescent="0.2"/>
    <row r="6521" ht="12.75" customHeight="1" x14ac:dyDescent="0.2"/>
    <row r="6522" ht="12.75" customHeight="1" x14ac:dyDescent="0.2"/>
    <row r="6523" ht="12.75" customHeight="1" x14ac:dyDescent="0.2"/>
    <row r="6524" ht="12.75" customHeight="1" x14ac:dyDescent="0.2"/>
    <row r="6525" ht="12.75" customHeight="1" x14ac:dyDescent="0.2"/>
    <row r="6526" ht="12.75" customHeight="1" x14ac:dyDescent="0.2"/>
    <row r="6527" ht="12.75" customHeight="1" x14ac:dyDescent="0.2"/>
    <row r="6528" ht="12.75" customHeight="1" x14ac:dyDescent="0.2"/>
    <row r="6529" ht="12.75" customHeight="1" x14ac:dyDescent="0.2"/>
    <row r="6530" ht="12.75" customHeight="1" x14ac:dyDescent="0.2"/>
    <row r="6531" ht="12.75" customHeight="1" x14ac:dyDescent="0.2"/>
    <row r="6532" ht="12.75" customHeight="1" x14ac:dyDescent="0.2"/>
    <row r="6533" ht="12.75" customHeight="1" x14ac:dyDescent="0.2"/>
    <row r="6534" ht="12.75" customHeight="1" x14ac:dyDescent="0.2"/>
    <row r="6535" ht="12.75" customHeight="1" x14ac:dyDescent="0.2"/>
    <row r="6536" ht="12.75" customHeight="1" x14ac:dyDescent="0.2"/>
    <row r="6537" ht="12.75" customHeight="1" x14ac:dyDescent="0.2"/>
    <row r="6538" ht="12.75" customHeight="1" x14ac:dyDescent="0.2"/>
    <row r="6539" ht="12.75" customHeight="1" x14ac:dyDescent="0.2"/>
    <row r="6540" ht="12.75" customHeight="1" x14ac:dyDescent="0.2"/>
    <row r="6541" ht="12.75" customHeight="1" x14ac:dyDescent="0.2"/>
    <row r="6542" ht="12.75" customHeight="1" x14ac:dyDescent="0.2"/>
    <row r="6543" ht="12.75" customHeight="1" x14ac:dyDescent="0.2"/>
    <row r="6544" ht="12.75" customHeight="1" x14ac:dyDescent="0.2"/>
    <row r="6545" ht="12.75" customHeight="1" x14ac:dyDescent="0.2"/>
    <row r="6546" ht="12.75" customHeight="1" x14ac:dyDescent="0.2"/>
    <row r="6547" ht="12.75" customHeight="1" x14ac:dyDescent="0.2"/>
    <row r="6548" ht="12.75" customHeight="1" x14ac:dyDescent="0.2"/>
    <row r="6549" ht="12.75" customHeight="1" x14ac:dyDescent="0.2"/>
    <row r="6550" ht="12.75" customHeight="1" x14ac:dyDescent="0.2"/>
    <row r="6551" ht="12.75" customHeight="1" x14ac:dyDescent="0.2"/>
    <row r="6552" ht="12.75" customHeight="1" x14ac:dyDescent="0.2"/>
    <row r="6553" ht="12.75" customHeight="1" x14ac:dyDescent="0.2"/>
    <row r="6554" ht="12.75" customHeight="1" x14ac:dyDescent="0.2"/>
    <row r="6555" ht="12.75" customHeight="1" x14ac:dyDescent="0.2"/>
    <row r="6556" ht="12.75" customHeight="1" x14ac:dyDescent="0.2"/>
    <row r="6557" ht="12.75" customHeight="1" x14ac:dyDescent="0.2"/>
    <row r="6558" ht="12.75" customHeight="1" x14ac:dyDescent="0.2"/>
    <row r="6559" ht="12.75" customHeight="1" x14ac:dyDescent="0.2"/>
    <row r="6560" ht="12.75" customHeight="1" x14ac:dyDescent="0.2"/>
    <row r="6561" ht="12.75" customHeight="1" x14ac:dyDescent="0.2"/>
    <row r="6562" ht="12.75" customHeight="1" x14ac:dyDescent="0.2"/>
    <row r="6563" ht="12.75" customHeight="1" x14ac:dyDescent="0.2"/>
    <row r="6564" ht="12.75" customHeight="1" x14ac:dyDescent="0.2"/>
    <row r="6565" ht="12.75" customHeight="1" x14ac:dyDescent="0.2"/>
    <row r="6566" ht="12.75" customHeight="1" x14ac:dyDescent="0.2"/>
    <row r="6567" ht="12.75" customHeight="1" x14ac:dyDescent="0.2"/>
    <row r="6568" ht="12.75" customHeight="1" x14ac:dyDescent="0.2"/>
    <row r="6569" ht="12.75" customHeight="1" x14ac:dyDescent="0.2"/>
    <row r="6570" ht="12.75" customHeight="1" x14ac:dyDescent="0.2"/>
    <row r="6571" ht="12.75" customHeight="1" x14ac:dyDescent="0.2"/>
    <row r="6572" ht="12.75" customHeight="1" x14ac:dyDescent="0.2"/>
    <row r="6573" ht="12.75" customHeight="1" x14ac:dyDescent="0.2"/>
    <row r="6574" ht="12.75" customHeight="1" x14ac:dyDescent="0.2"/>
    <row r="6575" ht="12.75" customHeight="1" x14ac:dyDescent="0.2"/>
    <row r="6576" ht="12.75" customHeight="1" x14ac:dyDescent="0.2"/>
    <row r="6577" ht="12.75" customHeight="1" x14ac:dyDescent="0.2"/>
    <row r="6578" ht="12.75" customHeight="1" x14ac:dyDescent="0.2"/>
    <row r="6579" ht="12.75" customHeight="1" x14ac:dyDescent="0.2"/>
    <row r="6580" ht="12.75" customHeight="1" x14ac:dyDescent="0.2"/>
    <row r="6581" ht="12.75" customHeight="1" x14ac:dyDescent="0.2"/>
    <row r="6582" ht="12.75" customHeight="1" x14ac:dyDescent="0.2"/>
    <row r="6583" ht="12.75" customHeight="1" x14ac:dyDescent="0.2"/>
    <row r="6584" ht="12.75" customHeight="1" x14ac:dyDescent="0.2"/>
    <row r="6585" ht="12.75" customHeight="1" x14ac:dyDescent="0.2"/>
    <row r="6586" ht="12.75" customHeight="1" x14ac:dyDescent="0.2"/>
    <row r="6587" ht="12.75" customHeight="1" x14ac:dyDescent="0.2"/>
    <row r="6588" ht="12.75" customHeight="1" x14ac:dyDescent="0.2"/>
    <row r="6589" ht="12.75" customHeight="1" x14ac:dyDescent="0.2"/>
    <row r="6590" ht="12.75" customHeight="1" x14ac:dyDescent="0.2"/>
    <row r="6591" ht="12.75" customHeight="1" x14ac:dyDescent="0.2"/>
    <row r="6592" ht="12.75" customHeight="1" x14ac:dyDescent="0.2"/>
    <row r="6593" ht="12.75" customHeight="1" x14ac:dyDescent="0.2"/>
    <row r="6594" ht="12.75" customHeight="1" x14ac:dyDescent="0.2"/>
    <row r="6595" ht="12.75" customHeight="1" x14ac:dyDescent="0.2"/>
    <row r="6596" ht="12.75" customHeight="1" x14ac:dyDescent="0.2"/>
    <row r="6597" ht="12.75" customHeight="1" x14ac:dyDescent="0.2"/>
    <row r="6598" ht="12.75" customHeight="1" x14ac:dyDescent="0.2"/>
    <row r="6599" ht="12.75" customHeight="1" x14ac:dyDescent="0.2"/>
    <row r="6600" ht="12.75" customHeight="1" x14ac:dyDescent="0.2"/>
    <row r="6601" ht="12.75" customHeight="1" x14ac:dyDescent="0.2"/>
    <row r="6602" ht="12.75" customHeight="1" x14ac:dyDescent="0.2"/>
    <row r="6603" ht="12.75" customHeight="1" x14ac:dyDescent="0.2"/>
    <row r="6604" ht="12.75" customHeight="1" x14ac:dyDescent="0.2"/>
    <row r="6605" ht="12.75" customHeight="1" x14ac:dyDescent="0.2"/>
    <row r="6606" ht="12.75" customHeight="1" x14ac:dyDescent="0.2"/>
    <row r="6607" ht="12.75" customHeight="1" x14ac:dyDescent="0.2"/>
    <row r="6608" ht="12.75" customHeight="1" x14ac:dyDescent="0.2"/>
    <row r="6609" ht="12.75" customHeight="1" x14ac:dyDescent="0.2"/>
    <row r="6610" ht="12.75" customHeight="1" x14ac:dyDescent="0.2"/>
    <row r="6611" ht="12.75" customHeight="1" x14ac:dyDescent="0.2"/>
    <row r="6612" ht="12.75" customHeight="1" x14ac:dyDescent="0.2"/>
    <row r="6613" ht="12.75" customHeight="1" x14ac:dyDescent="0.2"/>
    <row r="6614" ht="12.75" customHeight="1" x14ac:dyDescent="0.2"/>
    <row r="6615" ht="12.75" customHeight="1" x14ac:dyDescent="0.2"/>
    <row r="6616" ht="12.75" customHeight="1" x14ac:dyDescent="0.2"/>
    <row r="6617" ht="12.75" customHeight="1" x14ac:dyDescent="0.2"/>
    <row r="6618" ht="12.75" customHeight="1" x14ac:dyDescent="0.2"/>
    <row r="6619" ht="12.75" customHeight="1" x14ac:dyDescent="0.2"/>
    <row r="6620" ht="12.75" customHeight="1" x14ac:dyDescent="0.2"/>
    <row r="6621" ht="12.75" customHeight="1" x14ac:dyDescent="0.2"/>
    <row r="6622" ht="12.75" customHeight="1" x14ac:dyDescent="0.2"/>
    <row r="6623" ht="12.75" customHeight="1" x14ac:dyDescent="0.2"/>
    <row r="6624" ht="12.75" customHeight="1" x14ac:dyDescent="0.2"/>
    <row r="6625" ht="12.75" customHeight="1" x14ac:dyDescent="0.2"/>
    <row r="6626" ht="12.75" customHeight="1" x14ac:dyDescent="0.2"/>
    <row r="6627" ht="12.75" customHeight="1" x14ac:dyDescent="0.2"/>
    <row r="6628" ht="12.75" customHeight="1" x14ac:dyDescent="0.2"/>
    <row r="6629" ht="12.75" customHeight="1" x14ac:dyDescent="0.2"/>
    <row r="6630" ht="12.75" customHeight="1" x14ac:dyDescent="0.2"/>
    <row r="6631" ht="12.75" customHeight="1" x14ac:dyDescent="0.2"/>
    <row r="6632" ht="12.75" customHeight="1" x14ac:dyDescent="0.2"/>
    <row r="6633" ht="12.75" customHeight="1" x14ac:dyDescent="0.2"/>
    <row r="6634" ht="12.75" customHeight="1" x14ac:dyDescent="0.2"/>
    <row r="6635" ht="12.75" customHeight="1" x14ac:dyDescent="0.2"/>
    <row r="6636" ht="12.75" customHeight="1" x14ac:dyDescent="0.2"/>
    <row r="6637" ht="12.75" customHeight="1" x14ac:dyDescent="0.2"/>
    <row r="6638" ht="12.75" customHeight="1" x14ac:dyDescent="0.2"/>
    <row r="6639" ht="12.75" customHeight="1" x14ac:dyDescent="0.2"/>
    <row r="6640" ht="12.75" customHeight="1" x14ac:dyDescent="0.2"/>
    <row r="6641" ht="12.75" customHeight="1" x14ac:dyDescent="0.2"/>
    <row r="6642" ht="12.75" customHeight="1" x14ac:dyDescent="0.2"/>
    <row r="6643" ht="12.75" customHeight="1" x14ac:dyDescent="0.2"/>
    <row r="6644" ht="12.75" customHeight="1" x14ac:dyDescent="0.2"/>
    <row r="6645" ht="12.75" customHeight="1" x14ac:dyDescent="0.2"/>
    <row r="6646" ht="12.75" customHeight="1" x14ac:dyDescent="0.2"/>
    <row r="6647" ht="12.75" customHeight="1" x14ac:dyDescent="0.2"/>
    <row r="6648" ht="12.75" customHeight="1" x14ac:dyDescent="0.2"/>
    <row r="6649" ht="12.75" customHeight="1" x14ac:dyDescent="0.2"/>
    <row r="6650" ht="12.75" customHeight="1" x14ac:dyDescent="0.2"/>
    <row r="6651" ht="12.75" customHeight="1" x14ac:dyDescent="0.2"/>
    <row r="6652" ht="12.75" customHeight="1" x14ac:dyDescent="0.2"/>
    <row r="6653" ht="12.75" customHeight="1" x14ac:dyDescent="0.2"/>
    <row r="6654" ht="12.75" customHeight="1" x14ac:dyDescent="0.2"/>
    <row r="6655" ht="12.75" customHeight="1" x14ac:dyDescent="0.2"/>
    <row r="6656" ht="12.75" customHeight="1" x14ac:dyDescent="0.2"/>
    <row r="6657" ht="12.75" customHeight="1" x14ac:dyDescent="0.2"/>
    <row r="6658" ht="12.75" customHeight="1" x14ac:dyDescent="0.2"/>
    <row r="6659" ht="12.75" customHeight="1" x14ac:dyDescent="0.2"/>
    <row r="6660" ht="12.75" customHeight="1" x14ac:dyDescent="0.2"/>
    <row r="6661" ht="12.75" customHeight="1" x14ac:dyDescent="0.2"/>
    <row r="6662" ht="12.75" customHeight="1" x14ac:dyDescent="0.2"/>
    <row r="6663" ht="12.75" customHeight="1" x14ac:dyDescent="0.2"/>
    <row r="6664" ht="12.75" customHeight="1" x14ac:dyDescent="0.2"/>
    <row r="6665" ht="12.75" customHeight="1" x14ac:dyDescent="0.2"/>
    <row r="6666" ht="12.75" customHeight="1" x14ac:dyDescent="0.2"/>
    <row r="6667" ht="12.75" customHeight="1" x14ac:dyDescent="0.2"/>
    <row r="6668" ht="12.75" customHeight="1" x14ac:dyDescent="0.2"/>
    <row r="6669" ht="12.75" customHeight="1" x14ac:dyDescent="0.2"/>
    <row r="6670" ht="12.75" customHeight="1" x14ac:dyDescent="0.2"/>
    <row r="6671" ht="12.75" customHeight="1" x14ac:dyDescent="0.2"/>
    <row r="6672" ht="12.75" customHeight="1" x14ac:dyDescent="0.2"/>
    <row r="6673" ht="12.75" customHeight="1" x14ac:dyDescent="0.2"/>
    <row r="6674" ht="12.75" customHeight="1" x14ac:dyDescent="0.2"/>
    <row r="6675" ht="12.75" customHeight="1" x14ac:dyDescent="0.2"/>
    <row r="6676" ht="12.75" customHeight="1" x14ac:dyDescent="0.2"/>
    <row r="6677" ht="12.75" customHeight="1" x14ac:dyDescent="0.2"/>
    <row r="6678" ht="12.75" customHeight="1" x14ac:dyDescent="0.2"/>
    <row r="6679" ht="12.75" customHeight="1" x14ac:dyDescent="0.2"/>
    <row r="6680" ht="12.75" customHeight="1" x14ac:dyDescent="0.2"/>
    <row r="6681" ht="12.75" customHeight="1" x14ac:dyDescent="0.2"/>
    <row r="6682" ht="12.75" customHeight="1" x14ac:dyDescent="0.2"/>
    <row r="6683" ht="12.75" customHeight="1" x14ac:dyDescent="0.2"/>
    <row r="6684" ht="12.75" customHeight="1" x14ac:dyDescent="0.2"/>
    <row r="6685" ht="12.75" customHeight="1" x14ac:dyDescent="0.2"/>
    <row r="6686" ht="12.75" customHeight="1" x14ac:dyDescent="0.2"/>
    <row r="6687" ht="12.75" customHeight="1" x14ac:dyDescent="0.2"/>
    <row r="6688" ht="12.75" customHeight="1" x14ac:dyDescent="0.2"/>
    <row r="6689" ht="12.75" customHeight="1" x14ac:dyDescent="0.2"/>
    <row r="6690" ht="12.75" customHeight="1" x14ac:dyDescent="0.2"/>
    <row r="6691" ht="12.75" customHeight="1" x14ac:dyDescent="0.2"/>
    <row r="6692" ht="12.75" customHeight="1" x14ac:dyDescent="0.2"/>
    <row r="6693" ht="12.75" customHeight="1" x14ac:dyDescent="0.2"/>
    <row r="6694" ht="12.75" customHeight="1" x14ac:dyDescent="0.2"/>
    <row r="6695" ht="12.75" customHeight="1" x14ac:dyDescent="0.2"/>
    <row r="6696" ht="12.75" customHeight="1" x14ac:dyDescent="0.2"/>
    <row r="6697" ht="12.75" customHeight="1" x14ac:dyDescent="0.2"/>
    <row r="6698" ht="12.75" customHeight="1" x14ac:dyDescent="0.2"/>
    <row r="6699" ht="12.75" customHeight="1" x14ac:dyDescent="0.2"/>
    <row r="6700" ht="12.75" customHeight="1" x14ac:dyDescent="0.2"/>
    <row r="6701" ht="12.75" customHeight="1" x14ac:dyDescent="0.2"/>
    <row r="6702" ht="12.75" customHeight="1" x14ac:dyDescent="0.2"/>
    <row r="6703" ht="12.75" customHeight="1" x14ac:dyDescent="0.2"/>
    <row r="6704" ht="12.75" customHeight="1" x14ac:dyDescent="0.2"/>
    <row r="6705" ht="12.75" customHeight="1" x14ac:dyDescent="0.2"/>
    <row r="6706" ht="12.75" customHeight="1" x14ac:dyDescent="0.2"/>
    <row r="6707" ht="12.75" customHeight="1" x14ac:dyDescent="0.2"/>
    <row r="6708" ht="12.75" customHeight="1" x14ac:dyDescent="0.2"/>
    <row r="6709" ht="12.75" customHeight="1" x14ac:dyDescent="0.2"/>
    <row r="6710" ht="12.75" customHeight="1" x14ac:dyDescent="0.2"/>
    <row r="6711" ht="12.75" customHeight="1" x14ac:dyDescent="0.2"/>
    <row r="6712" ht="12.75" customHeight="1" x14ac:dyDescent="0.2"/>
    <row r="6713" ht="12.75" customHeight="1" x14ac:dyDescent="0.2"/>
    <row r="6714" ht="12.75" customHeight="1" x14ac:dyDescent="0.2"/>
    <row r="6715" ht="12.75" customHeight="1" x14ac:dyDescent="0.2"/>
    <row r="6716" ht="12.75" customHeight="1" x14ac:dyDescent="0.2"/>
    <row r="6717" ht="12.75" customHeight="1" x14ac:dyDescent="0.2"/>
    <row r="6718" ht="12.75" customHeight="1" x14ac:dyDescent="0.2"/>
    <row r="6719" ht="12.75" customHeight="1" x14ac:dyDescent="0.2"/>
    <row r="6720" ht="12.75" customHeight="1" x14ac:dyDescent="0.2"/>
    <row r="6721" ht="12.75" customHeight="1" x14ac:dyDescent="0.2"/>
    <row r="6722" ht="12.75" customHeight="1" x14ac:dyDescent="0.2"/>
    <row r="6723" ht="12.75" customHeight="1" x14ac:dyDescent="0.2"/>
    <row r="6724" ht="12.75" customHeight="1" x14ac:dyDescent="0.2"/>
    <row r="6725" ht="12.75" customHeight="1" x14ac:dyDescent="0.2"/>
    <row r="6726" ht="12.75" customHeight="1" x14ac:dyDescent="0.2"/>
    <row r="6727" ht="12.75" customHeight="1" x14ac:dyDescent="0.2"/>
    <row r="6728" ht="12.75" customHeight="1" x14ac:dyDescent="0.2"/>
    <row r="6729" ht="12.75" customHeight="1" x14ac:dyDescent="0.2"/>
    <row r="6730" ht="12.75" customHeight="1" x14ac:dyDescent="0.2"/>
    <row r="6731" ht="12.75" customHeight="1" x14ac:dyDescent="0.2"/>
    <row r="6732" ht="12.75" customHeight="1" x14ac:dyDescent="0.2"/>
    <row r="6733" ht="12.75" customHeight="1" x14ac:dyDescent="0.2"/>
    <row r="6734" ht="12.75" customHeight="1" x14ac:dyDescent="0.2"/>
    <row r="6735" ht="12.75" customHeight="1" x14ac:dyDescent="0.2"/>
    <row r="6736" ht="12.75" customHeight="1" x14ac:dyDescent="0.2"/>
    <row r="6737" ht="12.75" customHeight="1" x14ac:dyDescent="0.2"/>
    <row r="6738" ht="12.75" customHeight="1" x14ac:dyDescent="0.2"/>
    <row r="6739" ht="12.75" customHeight="1" x14ac:dyDescent="0.2"/>
    <row r="6740" ht="12.75" customHeight="1" x14ac:dyDescent="0.2"/>
    <row r="6741" ht="12.75" customHeight="1" x14ac:dyDescent="0.2"/>
    <row r="6742" ht="12.75" customHeight="1" x14ac:dyDescent="0.2"/>
    <row r="6743" ht="12.75" customHeight="1" x14ac:dyDescent="0.2"/>
    <row r="6744" ht="12.75" customHeight="1" x14ac:dyDescent="0.2"/>
    <row r="6745" ht="12.75" customHeight="1" x14ac:dyDescent="0.2"/>
    <row r="6746" ht="12.75" customHeight="1" x14ac:dyDescent="0.2"/>
    <row r="6747" ht="12.75" customHeight="1" x14ac:dyDescent="0.2"/>
    <row r="6748" ht="12.75" customHeight="1" x14ac:dyDescent="0.2"/>
    <row r="6749" ht="12.75" customHeight="1" x14ac:dyDescent="0.2"/>
    <row r="6750" ht="12.75" customHeight="1" x14ac:dyDescent="0.2"/>
    <row r="6751" ht="12.75" customHeight="1" x14ac:dyDescent="0.2"/>
    <row r="6752" ht="12.75" customHeight="1" x14ac:dyDescent="0.2"/>
    <row r="6753" ht="12.75" customHeight="1" x14ac:dyDescent="0.2"/>
    <row r="6754" ht="12.75" customHeight="1" x14ac:dyDescent="0.2"/>
    <row r="6755" ht="12.75" customHeight="1" x14ac:dyDescent="0.2"/>
    <row r="6756" ht="12.75" customHeight="1" x14ac:dyDescent="0.2"/>
    <row r="6757" ht="12.75" customHeight="1" x14ac:dyDescent="0.2"/>
    <row r="6758" ht="12.75" customHeight="1" x14ac:dyDescent="0.2"/>
    <row r="6759" ht="12.75" customHeight="1" x14ac:dyDescent="0.2"/>
    <row r="6760" ht="12.75" customHeight="1" x14ac:dyDescent="0.2"/>
    <row r="6761" ht="12.75" customHeight="1" x14ac:dyDescent="0.2"/>
    <row r="6762" ht="12.75" customHeight="1" x14ac:dyDescent="0.2"/>
    <row r="6763" ht="12.75" customHeight="1" x14ac:dyDescent="0.2"/>
    <row r="6764" ht="12.75" customHeight="1" x14ac:dyDescent="0.2"/>
    <row r="6765" ht="12.75" customHeight="1" x14ac:dyDescent="0.2"/>
    <row r="6766" ht="12.75" customHeight="1" x14ac:dyDescent="0.2"/>
    <row r="6767" ht="12.75" customHeight="1" x14ac:dyDescent="0.2"/>
    <row r="6768" ht="12.75" customHeight="1" x14ac:dyDescent="0.2"/>
    <row r="6769" ht="12.75" customHeight="1" x14ac:dyDescent="0.2"/>
    <row r="6770" ht="12.75" customHeight="1" x14ac:dyDescent="0.2"/>
    <row r="6771" ht="12.75" customHeight="1" x14ac:dyDescent="0.2"/>
    <row r="6772" ht="12.75" customHeight="1" x14ac:dyDescent="0.2"/>
    <row r="6773" ht="12.75" customHeight="1" x14ac:dyDescent="0.2"/>
    <row r="6774" ht="12.75" customHeight="1" x14ac:dyDescent="0.2"/>
    <row r="6775" ht="12.75" customHeight="1" x14ac:dyDescent="0.2"/>
    <row r="6776" ht="12.75" customHeight="1" x14ac:dyDescent="0.2"/>
    <row r="6777" ht="12.75" customHeight="1" x14ac:dyDescent="0.2"/>
    <row r="6778" ht="12.75" customHeight="1" x14ac:dyDescent="0.2"/>
    <row r="6779" ht="12.75" customHeight="1" x14ac:dyDescent="0.2"/>
    <row r="6780" ht="12.75" customHeight="1" x14ac:dyDescent="0.2"/>
    <row r="6781" ht="12.75" customHeight="1" x14ac:dyDescent="0.2"/>
    <row r="6782" ht="12.75" customHeight="1" x14ac:dyDescent="0.2"/>
    <row r="6783" ht="12.75" customHeight="1" x14ac:dyDescent="0.2"/>
    <row r="6784" ht="12.75" customHeight="1" x14ac:dyDescent="0.2"/>
    <row r="6785" ht="12.75" customHeight="1" x14ac:dyDescent="0.2"/>
    <row r="6786" ht="12.75" customHeight="1" x14ac:dyDescent="0.2"/>
    <row r="6787" ht="12.75" customHeight="1" x14ac:dyDescent="0.2"/>
    <row r="6788" ht="12.75" customHeight="1" x14ac:dyDescent="0.2"/>
    <row r="6789" ht="12.75" customHeight="1" x14ac:dyDescent="0.2"/>
    <row r="6790" ht="12.75" customHeight="1" x14ac:dyDescent="0.2"/>
    <row r="6791" ht="12.75" customHeight="1" x14ac:dyDescent="0.2"/>
    <row r="6792" ht="12.75" customHeight="1" x14ac:dyDescent="0.2"/>
    <row r="6793" ht="12.75" customHeight="1" x14ac:dyDescent="0.2"/>
    <row r="6794" ht="12.75" customHeight="1" x14ac:dyDescent="0.2"/>
    <row r="6795" ht="12.75" customHeight="1" x14ac:dyDescent="0.2"/>
    <row r="6796" ht="12.75" customHeight="1" x14ac:dyDescent="0.2"/>
    <row r="6797" ht="12.75" customHeight="1" x14ac:dyDescent="0.2"/>
    <row r="6798" ht="12.75" customHeight="1" x14ac:dyDescent="0.2"/>
    <row r="6799" ht="12.75" customHeight="1" x14ac:dyDescent="0.2"/>
    <row r="6800" ht="12.75" customHeight="1" x14ac:dyDescent="0.2"/>
    <row r="6801" ht="12.75" customHeight="1" x14ac:dyDescent="0.2"/>
    <row r="6802" ht="12.75" customHeight="1" x14ac:dyDescent="0.2"/>
    <row r="6803" ht="12.75" customHeight="1" x14ac:dyDescent="0.2"/>
    <row r="6804" ht="12.75" customHeight="1" x14ac:dyDescent="0.2"/>
    <row r="6805" ht="12.75" customHeight="1" x14ac:dyDescent="0.2"/>
    <row r="6806" ht="12.75" customHeight="1" x14ac:dyDescent="0.2"/>
    <row r="6807" ht="12.75" customHeight="1" x14ac:dyDescent="0.2"/>
    <row r="6808" ht="12.75" customHeight="1" x14ac:dyDescent="0.2"/>
    <row r="6809" ht="12.75" customHeight="1" x14ac:dyDescent="0.2"/>
    <row r="6810" ht="12.75" customHeight="1" x14ac:dyDescent="0.2"/>
    <row r="6811" ht="12.75" customHeight="1" x14ac:dyDescent="0.2"/>
    <row r="6812" ht="12.75" customHeight="1" x14ac:dyDescent="0.2"/>
    <row r="6813" ht="12.75" customHeight="1" x14ac:dyDescent="0.2"/>
    <row r="6814" ht="12.75" customHeight="1" x14ac:dyDescent="0.2"/>
    <row r="6815" ht="12.75" customHeight="1" x14ac:dyDescent="0.2"/>
    <row r="6816" ht="12.75" customHeight="1" x14ac:dyDescent="0.2"/>
    <row r="6817" ht="12.75" customHeight="1" x14ac:dyDescent="0.2"/>
    <row r="6818" ht="12.75" customHeight="1" x14ac:dyDescent="0.2"/>
    <row r="6819" ht="12.75" customHeight="1" x14ac:dyDescent="0.2"/>
    <row r="6820" ht="12.75" customHeight="1" x14ac:dyDescent="0.2"/>
    <row r="6821" ht="12.75" customHeight="1" x14ac:dyDescent="0.2"/>
    <row r="6822" ht="12.75" customHeight="1" x14ac:dyDescent="0.2"/>
    <row r="6823" ht="12.75" customHeight="1" x14ac:dyDescent="0.2"/>
    <row r="6824" ht="12.75" customHeight="1" x14ac:dyDescent="0.2"/>
    <row r="6825" ht="12.75" customHeight="1" x14ac:dyDescent="0.2"/>
    <row r="6826" ht="12.75" customHeight="1" x14ac:dyDescent="0.2"/>
    <row r="6827" ht="12.75" customHeight="1" x14ac:dyDescent="0.2"/>
    <row r="6828" ht="12.75" customHeight="1" x14ac:dyDescent="0.2"/>
    <row r="6829" ht="12.75" customHeight="1" x14ac:dyDescent="0.2"/>
    <row r="6830" ht="12.75" customHeight="1" x14ac:dyDescent="0.2"/>
    <row r="6831" ht="12.75" customHeight="1" x14ac:dyDescent="0.2"/>
    <row r="6832" ht="12.75" customHeight="1" x14ac:dyDescent="0.2"/>
    <row r="6833" ht="12.75" customHeight="1" x14ac:dyDescent="0.2"/>
    <row r="6834" ht="12.75" customHeight="1" x14ac:dyDescent="0.2"/>
    <row r="6835" ht="12.75" customHeight="1" x14ac:dyDescent="0.2"/>
    <row r="6836" ht="12.75" customHeight="1" x14ac:dyDescent="0.2"/>
    <row r="6837" ht="12.75" customHeight="1" x14ac:dyDescent="0.2"/>
    <row r="6838" ht="12.75" customHeight="1" x14ac:dyDescent="0.2"/>
    <row r="6839" ht="12.75" customHeight="1" x14ac:dyDescent="0.2"/>
    <row r="6840" ht="12.75" customHeight="1" x14ac:dyDescent="0.2"/>
    <row r="6841" ht="12.75" customHeight="1" x14ac:dyDescent="0.2"/>
    <row r="6842" ht="12.75" customHeight="1" x14ac:dyDescent="0.2"/>
    <row r="6843" ht="12.75" customHeight="1" x14ac:dyDescent="0.2"/>
    <row r="6844" ht="12.75" customHeight="1" x14ac:dyDescent="0.2"/>
    <row r="6845" ht="12.75" customHeight="1" x14ac:dyDescent="0.2"/>
    <row r="6846" ht="12.75" customHeight="1" x14ac:dyDescent="0.2"/>
    <row r="6847" ht="12.75" customHeight="1" x14ac:dyDescent="0.2"/>
    <row r="6848" ht="12.75" customHeight="1" x14ac:dyDescent="0.2"/>
    <row r="6849" ht="12.75" customHeight="1" x14ac:dyDescent="0.2"/>
    <row r="6850" ht="12.75" customHeight="1" x14ac:dyDescent="0.2"/>
    <row r="6851" ht="12.75" customHeight="1" x14ac:dyDescent="0.2"/>
    <row r="6852" ht="12.75" customHeight="1" x14ac:dyDescent="0.2"/>
    <row r="6853" ht="12.75" customHeight="1" x14ac:dyDescent="0.2"/>
    <row r="6854" ht="12.75" customHeight="1" x14ac:dyDescent="0.2"/>
    <row r="6855" ht="12.75" customHeight="1" x14ac:dyDescent="0.2"/>
    <row r="6856" ht="12.75" customHeight="1" x14ac:dyDescent="0.2"/>
    <row r="6857" ht="12.75" customHeight="1" x14ac:dyDescent="0.2"/>
    <row r="6858" ht="12.75" customHeight="1" x14ac:dyDescent="0.2"/>
    <row r="6859" ht="12.75" customHeight="1" x14ac:dyDescent="0.2"/>
    <row r="6860" ht="12.75" customHeight="1" x14ac:dyDescent="0.2"/>
    <row r="6861" ht="12.75" customHeight="1" x14ac:dyDescent="0.2"/>
    <row r="6862" ht="12.75" customHeight="1" x14ac:dyDescent="0.2"/>
    <row r="6863" ht="12.75" customHeight="1" x14ac:dyDescent="0.2"/>
    <row r="6864" ht="12.75" customHeight="1" x14ac:dyDescent="0.2"/>
    <row r="6865" ht="12.75" customHeight="1" x14ac:dyDescent="0.2"/>
    <row r="6866" ht="12.75" customHeight="1" x14ac:dyDescent="0.2"/>
    <row r="6867" ht="12.75" customHeight="1" x14ac:dyDescent="0.2"/>
    <row r="6868" ht="12.75" customHeight="1" x14ac:dyDescent="0.2"/>
    <row r="6869" ht="12.75" customHeight="1" x14ac:dyDescent="0.2"/>
    <row r="6870" ht="12.75" customHeight="1" x14ac:dyDescent="0.2"/>
    <row r="6871" ht="12.75" customHeight="1" x14ac:dyDescent="0.2"/>
    <row r="6872" ht="12.75" customHeight="1" x14ac:dyDescent="0.2"/>
    <row r="6873" ht="12.75" customHeight="1" x14ac:dyDescent="0.2"/>
    <row r="6874" ht="12.75" customHeight="1" x14ac:dyDescent="0.2"/>
    <row r="6875" ht="12.75" customHeight="1" x14ac:dyDescent="0.2"/>
    <row r="6876" ht="12.75" customHeight="1" x14ac:dyDescent="0.2"/>
    <row r="6877" ht="12.75" customHeight="1" x14ac:dyDescent="0.2"/>
    <row r="6878" ht="12.75" customHeight="1" x14ac:dyDescent="0.2"/>
    <row r="6879" ht="12.75" customHeight="1" x14ac:dyDescent="0.2"/>
    <row r="6880" ht="12.75" customHeight="1" x14ac:dyDescent="0.2"/>
    <row r="6881" ht="12.75" customHeight="1" x14ac:dyDescent="0.2"/>
    <row r="6882" ht="12.75" customHeight="1" x14ac:dyDescent="0.2"/>
    <row r="6883" ht="12.75" customHeight="1" x14ac:dyDescent="0.2"/>
    <row r="6884" ht="12.75" customHeight="1" x14ac:dyDescent="0.2"/>
    <row r="6885" ht="12.75" customHeight="1" x14ac:dyDescent="0.2"/>
    <row r="6886" ht="12.75" customHeight="1" x14ac:dyDescent="0.2"/>
    <row r="6887" ht="12.75" customHeight="1" x14ac:dyDescent="0.2"/>
    <row r="6888" ht="12.75" customHeight="1" x14ac:dyDescent="0.2"/>
    <row r="6889" ht="12.75" customHeight="1" x14ac:dyDescent="0.2"/>
    <row r="6890" ht="12.75" customHeight="1" x14ac:dyDescent="0.2"/>
    <row r="6891" ht="12.75" customHeight="1" x14ac:dyDescent="0.2"/>
    <row r="6892" ht="12.75" customHeight="1" x14ac:dyDescent="0.2"/>
    <row r="6893" ht="12.75" customHeight="1" x14ac:dyDescent="0.2"/>
    <row r="6894" ht="12.75" customHeight="1" x14ac:dyDescent="0.2"/>
    <row r="6895" ht="12.75" customHeight="1" x14ac:dyDescent="0.2"/>
    <row r="6896" ht="12.75" customHeight="1" x14ac:dyDescent="0.2"/>
    <row r="6897" ht="12.75" customHeight="1" x14ac:dyDescent="0.2"/>
    <row r="6898" ht="12.75" customHeight="1" x14ac:dyDescent="0.2"/>
    <row r="6899" ht="12.75" customHeight="1" x14ac:dyDescent="0.2"/>
    <row r="6900" ht="12.75" customHeight="1" x14ac:dyDescent="0.2"/>
    <row r="6901" ht="12.75" customHeight="1" x14ac:dyDescent="0.2"/>
    <row r="6902" ht="12.75" customHeight="1" x14ac:dyDescent="0.2"/>
    <row r="6903" ht="12.75" customHeight="1" x14ac:dyDescent="0.2"/>
    <row r="6904" ht="12.75" customHeight="1" x14ac:dyDescent="0.2"/>
    <row r="6905" ht="12.75" customHeight="1" x14ac:dyDescent="0.2"/>
    <row r="6906" ht="12.75" customHeight="1" x14ac:dyDescent="0.2"/>
    <row r="6907" ht="12.75" customHeight="1" x14ac:dyDescent="0.2"/>
    <row r="6908" ht="12.75" customHeight="1" x14ac:dyDescent="0.2"/>
    <row r="6909" ht="12.75" customHeight="1" x14ac:dyDescent="0.2"/>
    <row r="6910" ht="12.75" customHeight="1" x14ac:dyDescent="0.2"/>
    <row r="6911" ht="12.75" customHeight="1" x14ac:dyDescent="0.2"/>
    <row r="6912" ht="12.75" customHeight="1" x14ac:dyDescent="0.2"/>
    <row r="6913" ht="12.75" customHeight="1" x14ac:dyDescent="0.2"/>
    <row r="6914" ht="12.75" customHeight="1" x14ac:dyDescent="0.2"/>
    <row r="6915" ht="12.75" customHeight="1" x14ac:dyDescent="0.2"/>
    <row r="6916" ht="12.75" customHeight="1" x14ac:dyDescent="0.2"/>
    <row r="6917" ht="12.75" customHeight="1" x14ac:dyDescent="0.2"/>
    <row r="6918" ht="12.75" customHeight="1" x14ac:dyDescent="0.2"/>
    <row r="6919" ht="12.75" customHeight="1" x14ac:dyDescent="0.2"/>
    <row r="6920" ht="12.75" customHeight="1" x14ac:dyDescent="0.2"/>
    <row r="6921" ht="12.75" customHeight="1" x14ac:dyDescent="0.2"/>
    <row r="6922" ht="12.75" customHeight="1" x14ac:dyDescent="0.2"/>
    <row r="6923" ht="12.75" customHeight="1" x14ac:dyDescent="0.2"/>
    <row r="6924" ht="12.75" customHeight="1" x14ac:dyDescent="0.2"/>
    <row r="6925" ht="12.75" customHeight="1" x14ac:dyDescent="0.2"/>
    <row r="6926" ht="12.75" customHeight="1" x14ac:dyDescent="0.2"/>
    <row r="6927" ht="12.75" customHeight="1" x14ac:dyDescent="0.2"/>
    <row r="6928" ht="12.75" customHeight="1" x14ac:dyDescent="0.2"/>
    <row r="6929" ht="12.75" customHeight="1" x14ac:dyDescent="0.2"/>
    <row r="6930" ht="12.75" customHeight="1" x14ac:dyDescent="0.2"/>
    <row r="6931" ht="12.75" customHeight="1" x14ac:dyDescent="0.2"/>
    <row r="6932" ht="12.75" customHeight="1" x14ac:dyDescent="0.2"/>
    <row r="6933" ht="12.75" customHeight="1" x14ac:dyDescent="0.2"/>
    <row r="6934" ht="12.75" customHeight="1" x14ac:dyDescent="0.2"/>
    <row r="6935" ht="12.75" customHeight="1" x14ac:dyDescent="0.2"/>
    <row r="6936" ht="12.75" customHeight="1" x14ac:dyDescent="0.2"/>
    <row r="6937" ht="12.75" customHeight="1" x14ac:dyDescent="0.2"/>
    <row r="6938" ht="12.75" customHeight="1" x14ac:dyDescent="0.2"/>
    <row r="6939" ht="12.75" customHeight="1" x14ac:dyDescent="0.2"/>
    <row r="6940" ht="12.75" customHeight="1" x14ac:dyDescent="0.2"/>
    <row r="6941" ht="12.75" customHeight="1" x14ac:dyDescent="0.2"/>
    <row r="6942" ht="12.75" customHeight="1" x14ac:dyDescent="0.2"/>
    <row r="6943" ht="12.75" customHeight="1" x14ac:dyDescent="0.2"/>
    <row r="6944" ht="12.75" customHeight="1" x14ac:dyDescent="0.2"/>
    <row r="6945" ht="12.75" customHeight="1" x14ac:dyDescent="0.2"/>
    <row r="6946" ht="12.75" customHeight="1" x14ac:dyDescent="0.2"/>
    <row r="6947" ht="12.75" customHeight="1" x14ac:dyDescent="0.2"/>
    <row r="6948" ht="12.75" customHeight="1" x14ac:dyDescent="0.2"/>
    <row r="6949" ht="12.75" customHeight="1" x14ac:dyDescent="0.2"/>
    <row r="6950" ht="12.75" customHeight="1" x14ac:dyDescent="0.2"/>
    <row r="6951" ht="12.75" customHeight="1" x14ac:dyDescent="0.2"/>
    <row r="6952" ht="12.75" customHeight="1" x14ac:dyDescent="0.2"/>
    <row r="6953" ht="12.75" customHeight="1" x14ac:dyDescent="0.2"/>
    <row r="6954" ht="12.75" customHeight="1" x14ac:dyDescent="0.2"/>
    <row r="6955" ht="12.75" customHeight="1" x14ac:dyDescent="0.2"/>
    <row r="6956" ht="12.75" customHeight="1" x14ac:dyDescent="0.2"/>
    <row r="6957" ht="12.75" customHeight="1" x14ac:dyDescent="0.2"/>
    <row r="6958" ht="12.75" customHeight="1" x14ac:dyDescent="0.2"/>
    <row r="6959" ht="12.75" customHeight="1" x14ac:dyDescent="0.2"/>
    <row r="6960" ht="12.75" customHeight="1" x14ac:dyDescent="0.2"/>
    <row r="6961" ht="12.75" customHeight="1" x14ac:dyDescent="0.2"/>
    <row r="6962" ht="12.75" customHeight="1" x14ac:dyDescent="0.2"/>
    <row r="6963" ht="12.75" customHeight="1" x14ac:dyDescent="0.2"/>
    <row r="6964" ht="12.75" customHeight="1" x14ac:dyDescent="0.2"/>
    <row r="6965" ht="12.75" customHeight="1" x14ac:dyDescent="0.2"/>
    <row r="6966" ht="12.75" customHeight="1" x14ac:dyDescent="0.2"/>
    <row r="6967" ht="12.75" customHeight="1" x14ac:dyDescent="0.2"/>
    <row r="6968" ht="12.75" customHeight="1" x14ac:dyDescent="0.2"/>
    <row r="6969" ht="12.75" customHeight="1" x14ac:dyDescent="0.2"/>
    <row r="6970" ht="12.75" customHeight="1" x14ac:dyDescent="0.2"/>
    <row r="6971" ht="12.75" customHeight="1" x14ac:dyDescent="0.2"/>
    <row r="6972" ht="12.75" customHeight="1" x14ac:dyDescent="0.2"/>
    <row r="6973" ht="12.75" customHeight="1" x14ac:dyDescent="0.2"/>
    <row r="6974" ht="12.75" customHeight="1" x14ac:dyDescent="0.2"/>
    <row r="6975" ht="12.75" customHeight="1" x14ac:dyDescent="0.2"/>
    <row r="6976" ht="12.75" customHeight="1" x14ac:dyDescent="0.2"/>
    <row r="6977" ht="12.75" customHeight="1" x14ac:dyDescent="0.2"/>
    <row r="6978" ht="12.75" customHeight="1" x14ac:dyDescent="0.2"/>
    <row r="6979" ht="12.75" customHeight="1" x14ac:dyDescent="0.2"/>
    <row r="6980" ht="12.75" customHeight="1" x14ac:dyDescent="0.2"/>
    <row r="6981" ht="12.75" customHeight="1" x14ac:dyDescent="0.2"/>
    <row r="6982" ht="12.75" customHeight="1" x14ac:dyDescent="0.2"/>
    <row r="6983" ht="12.75" customHeight="1" x14ac:dyDescent="0.2"/>
    <row r="6984" ht="12.75" customHeight="1" x14ac:dyDescent="0.2"/>
    <row r="6985" ht="12.75" customHeight="1" x14ac:dyDescent="0.2"/>
    <row r="6986" ht="12.75" customHeight="1" x14ac:dyDescent="0.2"/>
    <row r="6987" ht="12.75" customHeight="1" x14ac:dyDescent="0.2"/>
    <row r="6988" ht="12.75" customHeight="1" x14ac:dyDescent="0.2"/>
    <row r="6989" ht="12.75" customHeight="1" x14ac:dyDescent="0.2"/>
    <row r="6990" ht="12.75" customHeight="1" x14ac:dyDescent="0.2"/>
    <row r="6991" ht="12.75" customHeight="1" x14ac:dyDescent="0.2"/>
    <row r="6992" ht="12.75" customHeight="1" x14ac:dyDescent="0.2"/>
    <row r="6993" ht="12.75" customHeight="1" x14ac:dyDescent="0.2"/>
    <row r="6994" ht="12.75" customHeight="1" x14ac:dyDescent="0.2"/>
    <row r="6995" ht="12.75" customHeight="1" x14ac:dyDescent="0.2"/>
    <row r="6996" ht="12.75" customHeight="1" x14ac:dyDescent="0.2"/>
    <row r="6997" ht="12.75" customHeight="1" x14ac:dyDescent="0.2"/>
    <row r="6998" ht="12.75" customHeight="1" x14ac:dyDescent="0.2"/>
    <row r="6999" ht="12.75" customHeight="1" x14ac:dyDescent="0.2"/>
    <row r="7000" ht="12.75" customHeight="1" x14ac:dyDescent="0.2"/>
    <row r="7001" ht="12.75" customHeight="1" x14ac:dyDescent="0.2"/>
    <row r="7002" ht="12.75" customHeight="1" x14ac:dyDescent="0.2"/>
    <row r="7003" ht="12.75" customHeight="1" x14ac:dyDescent="0.2"/>
    <row r="7004" ht="12.75" customHeight="1" x14ac:dyDescent="0.2"/>
    <row r="7005" ht="12.75" customHeight="1" x14ac:dyDescent="0.2"/>
    <row r="7006" ht="12.75" customHeight="1" x14ac:dyDescent="0.2"/>
    <row r="7007" ht="12.75" customHeight="1" x14ac:dyDescent="0.2"/>
    <row r="7008" ht="12.75" customHeight="1" x14ac:dyDescent="0.2"/>
    <row r="7009" ht="12.75" customHeight="1" x14ac:dyDescent="0.2"/>
    <row r="7010" ht="12.75" customHeight="1" x14ac:dyDescent="0.2"/>
    <row r="7011" ht="12.75" customHeight="1" x14ac:dyDescent="0.2"/>
    <row r="7012" ht="12.75" customHeight="1" x14ac:dyDescent="0.2"/>
    <row r="7013" ht="12.75" customHeight="1" x14ac:dyDescent="0.2"/>
    <row r="7014" ht="12.75" customHeight="1" x14ac:dyDescent="0.2"/>
    <row r="7015" ht="12.75" customHeight="1" x14ac:dyDescent="0.2"/>
    <row r="7016" ht="12.75" customHeight="1" x14ac:dyDescent="0.2"/>
    <row r="7017" ht="12.75" customHeight="1" x14ac:dyDescent="0.2"/>
    <row r="7018" ht="12.75" customHeight="1" x14ac:dyDescent="0.2"/>
    <row r="7019" ht="12.75" customHeight="1" x14ac:dyDescent="0.2"/>
    <row r="7020" ht="12.75" customHeight="1" x14ac:dyDescent="0.2"/>
    <row r="7021" ht="12.75" customHeight="1" x14ac:dyDescent="0.2"/>
    <row r="7022" ht="12.75" customHeight="1" x14ac:dyDescent="0.2"/>
    <row r="7023" ht="12.75" customHeight="1" x14ac:dyDescent="0.2"/>
    <row r="7024" ht="12.75" customHeight="1" x14ac:dyDescent="0.2"/>
    <row r="7025" ht="12.75" customHeight="1" x14ac:dyDescent="0.2"/>
    <row r="7026" ht="12.75" customHeight="1" x14ac:dyDescent="0.2"/>
    <row r="7027" ht="12.75" customHeight="1" x14ac:dyDescent="0.2"/>
    <row r="7028" ht="12.75" customHeight="1" x14ac:dyDescent="0.2"/>
    <row r="7029" ht="12.75" customHeight="1" x14ac:dyDescent="0.2"/>
    <row r="7030" ht="12.75" customHeight="1" x14ac:dyDescent="0.2"/>
    <row r="7031" ht="12.75" customHeight="1" x14ac:dyDescent="0.2"/>
    <row r="7032" ht="12.75" customHeight="1" x14ac:dyDescent="0.2"/>
    <row r="7033" ht="12.75" customHeight="1" x14ac:dyDescent="0.2"/>
    <row r="7034" ht="12.75" customHeight="1" x14ac:dyDescent="0.2"/>
    <row r="7035" ht="12.75" customHeight="1" x14ac:dyDescent="0.2"/>
    <row r="7036" ht="12.75" customHeight="1" x14ac:dyDescent="0.2"/>
    <row r="7037" ht="12.75" customHeight="1" x14ac:dyDescent="0.2"/>
    <row r="7038" ht="12.75" customHeight="1" x14ac:dyDescent="0.2"/>
    <row r="7039" ht="12.75" customHeight="1" x14ac:dyDescent="0.2"/>
    <row r="7040" ht="12.75" customHeight="1" x14ac:dyDescent="0.2"/>
    <row r="7041" ht="12.75" customHeight="1" x14ac:dyDescent="0.2"/>
    <row r="7042" ht="12.75" customHeight="1" x14ac:dyDescent="0.2"/>
    <row r="7043" ht="12.75" customHeight="1" x14ac:dyDescent="0.2"/>
    <row r="7044" ht="12.75" customHeight="1" x14ac:dyDescent="0.2"/>
    <row r="7045" ht="12.75" customHeight="1" x14ac:dyDescent="0.2"/>
    <row r="7046" ht="12.75" customHeight="1" x14ac:dyDescent="0.2"/>
    <row r="7047" ht="12.75" customHeight="1" x14ac:dyDescent="0.2"/>
    <row r="7048" ht="12.75" customHeight="1" x14ac:dyDescent="0.2"/>
    <row r="7049" ht="12.75" customHeight="1" x14ac:dyDescent="0.2"/>
    <row r="7050" ht="12.75" customHeight="1" x14ac:dyDescent="0.2"/>
    <row r="7051" ht="12.75" customHeight="1" x14ac:dyDescent="0.2"/>
    <row r="7052" ht="12.75" customHeight="1" x14ac:dyDescent="0.2"/>
    <row r="7053" ht="12.75" customHeight="1" x14ac:dyDescent="0.2"/>
    <row r="7054" ht="12.75" customHeight="1" x14ac:dyDescent="0.2"/>
    <row r="7055" ht="12.75" customHeight="1" x14ac:dyDescent="0.2"/>
    <row r="7056" ht="12.75" customHeight="1" x14ac:dyDescent="0.2"/>
    <row r="7057" ht="12.75" customHeight="1" x14ac:dyDescent="0.2"/>
    <row r="7058" ht="12.75" customHeight="1" x14ac:dyDescent="0.2"/>
    <row r="7059" ht="12.75" customHeight="1" x14ac:dyDescent="0.2"/>
    <row r="7060" ht="12.75" customHeight="1" x14ac:dyDescent="0.2"/>
    <row r="7061" ht="12.75" customHeight="1" x14ac:dyDescent="0.2"/>
    <row r="7062" ht="12.75" customHeight="1" x14ac:dyDescent="0.2"/>
    <row r="7063" ht="12.75" customHeight="1" x14ac:dyDescent="0.2"/>
    <row r="7064" ht="12.75" customHeight="1" x14ac:dyDescent="0.2"/>
    <row r="7065" ht="12.75" customHeight="1" x14ac:dyDescent="0.2"/>
    <row r="7066" ht="12.75" customHeight="1" x14ac:dyDescent="0.2"/>
    <row r="7067" ht="12.75" customHeight="1" x14ac:dyDescent="0.2"/>
    <row r="7068" ht="12.75" customHeight="1" x14ac:dyDescent="0.2"/>
    <row r="7069" ht="12.75" customHeight="1" x14ac:dyDescent="0.2"/>
    <row r="7070" ht="12.75" customHeight="1" x14ac:dyDescent="0.2"/>
    <row r="7071" ht="12.75" customHeight="1" x14ac:dyDescent="0.2"/>
    <row r="7072" ht="12.75" customHeight="1" x14ac:dyDescent="0.2"/>
    <row r="7073" ht="12.75" customHeight="1" x14ac:dyDescent="0.2"/>
    <row r="7074" ht="12.75" customHeight="1" x14ac:dyDescent="0.2"/>
    <row r="7075" ht="12.75" customHeight="1" x14ac:dyDescent="0.2"/>
    <row r="7076" ht="12.75" customHeight="1" x14ac:dyDescent="0.2"/>
    <row r="7077" ht="12.75" customHeight="1" x14ac:dyDescent="0.2"/>
    <row r="7078" ht="12.75" customHeight="1" x14ac:dyDescent="0.2"/>
    <row r="7079" ht="12.75" customHeight="1" x14ac:dyDescent="0.2"/>
    <row r="7080" ht="12.75" customHeight="1" x14ac:dyDescent="0.2"/>
    <row r="7081" ht="12.75" customHeight="1" x14ac:dyDescent="0.2"/>
    <row r="7082" ht="12.75" customHeight="1" x14ac:dyDescent="0.2"/>
    <row r="7083" ht="12.75" customHeight="1" x14ac:dyDescent="0.2"/>
    <row r="7084" ht="12.75" customHeight="1" x14ac:dyDescent="0.2"/>
    <row r="7085" ht="12.75" customHeight="1" x14ac:dyDescent="0.2"/>
    <row r="7086" ht="12.75" customHeight="1" x14ac:dyDescent="0.2"/>
    <row r="7087" ht="12.75" customHeight="1" x14ac:dyDescent="0.2"/>
    <row r="7088" ht="12.75" customHeight="1" x14ac:dyDescent="0.2"/>
    <row r="7089" ht="12.75" customHeight="1" x14ac:dyDescent="0.2"/>
    <row r="7090" ht="12.75" customHeight="1" x14ac:dyDescent="0.2"/>
    <row r="7091" ht="12.75" customHeight="1" x14ac:dyDescent="0.2"/>
    <row r="7092" ht="12.75" customHeight="1" x14ac:dyDescent="0.2"/>
    <row r="7093" ht="12.75" customHeight="1" x14ac:dyDescent="0.2"/>
    <row r="7094" ht="12.75" customHeight="1" x14ac:dyDescent="0.2"/>
    <row r="7095" ht="12.75" customHeight="1" x14ac:dyDescent="0.2"/>
    <row r="7096" ht="12.75" customHeight="1" x14ac:dyDescent="0.2"/>
    <row r="7097" ht="12.75" customHeight="1" x14ac:dyDescent="0.2"/>
    <row r="7098" ht="12.75" customHeight="1" x14ac:dyDescent="0.2"/>
    <row r="7099" ht="12.75" customHeight="1" x14ac:dyDescent="0.2"/>
    <row r="7100" ht="12.75" customHeight="1" x14ac:dyDescent="0.2"/>
    <row r="7101" ht="12.75" customHeight="1" x14ac:dyDescent="0.2"/>
    <row r="7102" ht="12.75" customHeight="1" x14ac:dyDescent="0.2"/>
    <row r="7103" ht="12.75" customHeight="1" x14ac:dyDescent="0.2"/>
    <row r="7104" ht="12.75" customHeight="1" x14ac:dyDescent="0.2"/>
    <row r="7105" ht="12.75" customHeight="1" x14ac:dyDescent="0.2"/>
    <row r="7106" ht="12.75" customHeight="1" x14ac:dyDescent="0.2"/>
    <row r="7107" ht="12.75" customHeight="1" x14ac:dyDescent="0.2"/>
    <row r="7108" ht="12.75" customHeight="1" x14ac:dyDescent="0.2"/>
    <row r="7109" ht="12.75" customHeight="1" x14ac:dyDescent="0.2"/>
    <row r="7110" ht="12.75" customHeight="1" x14ac:dyDescent="0.2"/>
    <row r="7111" ht="12.75" customHeight="1" x14ac:dyDescent="0.2"/>
    <row r="7112" ht="12.75" customHeight="1" x14ac:dyDescent="0.2"/>
    <row r="7113" ht="12.75" customHeight="1" x14ac:dyDescent="0.2"/>
    <row r="7114" ht="12.75" customHeight="1" x14ac:dyDescent="0.2"/>
    <row r="7115" ht="12.75" customHeight="1" x14ac:dyDescent="0.2"/>
    <row r="7116" ht="12.75" customHeight="1" x14ac:dyDescent="0.2"/>
    <row r="7117" ht="12.75" customHeight="1" x14ac:dyDescent="0.2"/>
    <row r="7118" ht="12.75" customHeight="1" x14ac:dyDescent="0.2"/>
    <row r="7119" ht="12.75" customHeight="1" x14ac:dyDescent="0.2"/>
    <row r="7120" ht="12.75" customHeight="1" x14ac:dyDescent="0.2"/>
    <row r="7121" ht="12.75" customHeight="1" x14ac:dyDescent="0.2"/>
    <row r="7122" ht="12.75" customHeight="1" x14ac:dyDescent="0.2"/>
    <row r="7123" ht="12.75" customHeight="1" x14ac:dyDescent="0.2"/>
    <row r="7124" ht="12.75" customHeight="1" x14ac:dyDescent="0.2"/>
    <row r="7125" ht="12.75" customHeight="1" x14ac:dyDescent="0.2"/>
    <row r="7126" ht="12.75" customHeight="1" x14ac:dyDescent="0.2"/>
    <row r="7127" ht="12.75" customHeight="1" x14ac:dyDescent="0.2"/>
    <row r="7128" ht="12.75" customHeight="1" x14ac:dyDescent="0.2"/>
    <row r="7129" ht="12.75" customHeight="1" x14ac:dyDescent="0.2"/>
    <row r="7130" ht="12.75" customHeight="1" x14ac:dyDescent="0.2"/>
    <row r="7131" ht="12.75" customHeight="1" x14ac:dyDescent="0.2"/>
    <row r="7132" ht="12.75" customHeight="1" x14ac:dyDescent="0.2"/>
    <row r="7133" ht="12.75" customHeight="1" x14ac:dyDescent="0.2"/>
    <row r="7134" ht="12.75" customHeight="1" x14ac:dyDescent="0.2"/>
    <row r="7135" ht="12.75" customHeight="1" x14ac:dyDescent="0.2"/>
    <row r="7136" ht="12.75" customHeight="1" x14ac:dyDescent="0.2"/>
    <row r="7137" ht="12.75" customHeight="1" x14ac:dyDescent="0.2"/>
    <row r="7138" ht="12.75" customHeight="1" x14ac:dyDescent="0.2"/>
    <row r="7139" ht="12.75" customHeight="1" x14ac:dyDescent="0.2"/>
    <row r="7140" ht="12.75" customHeight="1" x14ac:dyDescent="0.2"/>
    <row r="7141" ht="12.75" customHeight="1" x14ac:dyDescent="0.2"/>
    <row r="7142" ht="12.75" customHeight="1" x14ac:dyDescent="0.2"/>
    <row r="7143" ht="12.75" customHeight="1" x14ac:dyDescent="0.2"/>
    <row r="7144" ht="12.75" customHeight="1" x14ac:dyDescent="0.2"/>
    <row r="7145" ht="12.75" customHeight="1" x14ac:dyDescent="0.2"/>
    <row r="7146" ht="12.75" customHeight="1" x14ac:dyDescent="0.2"/>
    <row r="7147" ht="12.75" customHeight="1" x14ac:dyDescent="0.2"/>
    <row r="7148" ht="12.75" customHeight="1" x14ac:dyDescent="0.2"/>
    <row r="7149" ht="12.75" customHeight="1" x14ac:dyDescent="0.2"/>
    <row r="7150" ht="12.75" customHeight="1" x14ac:dyDescent="0.2"/>
    <row r="7151" ht="12.75" customHeight="1" x14ac:dyDescent="0.2"/>
    <row r="7152" ht="12.75" customHeight="1" x14ac:dyDescent="0.2"/>
    <row r="7153" ht="12.75" customHeight="1" x14ac:dyDescent="0.2"/>
    <row r="7154" ht="12.75" customHeight="1" x14ac:dyDescent="0.2"/>
    <row r="7155" ht="12.75" customHeight="1" x14ac:dyDescent="0.2"/>
    <row r="7156" ht="12.75" customHeight="1" x14ac:dyDescent="0.2"/>
    <row r="7157" ht="12.75" customHeight="1" x14ac:dyDescent="0.2"/>
    <row r="7158" ht="12.75" customHeight="1" x14ac:dyDescent="0.2"/>
    <row r="7159" ht="12.75" customHeight="1" x14ac:dyDescent="0.2"/>
    <row r="7160" ht="12.75" customHeight="1" x14ac:dyDescent="0.2"/>
    <row r="7161" ht="12.75" customHeight="1" x14ac:dyDescent="0.2"/>
    <row r="7162" ht="12.75" customHeight="1" x14ac:dyDescent="0.2"/>
    <row r="7163" ht="12.75" customHeight="1" x14ac:dyDescent="0.2"/>
    <row r="7164" ht="12.75" customHeight="1" x14ac:dyDescent="0.2"/>
    <row r="7165" ht="12.75" customHeight="1" x14ac:dyDescent="0.2"/>
    <row r="7166" ht="12.75" customHeight="1" x14ac:dyDescent="0.2"/>
    <row r="7167" ht="12.75" customHeight="1" x14ac:dyDescent="0.2"/>
    <row r="7168" ht="12.75" customHeight="1" x14ac:dyDescent="0.2"/>
    <row r="7169" ht="12.75" customHeight="1" x14ac:dyDescent="0.2"/>
    <row r="7170" ht="12.75" customHeight="1" x14ac:dyDescent="0.2"/>
    <row r="7171" ht="12.75" customHeight="1" x14ac:dyDescent="0.2"/>
    <row r="7172" ht="12.75" customHeight="1" x14ac:dyDescent="0.2"/>
    <row r="7173" ht="12.75" customHeight="1" x14ac:dyDescent="0.2"/>
    <row r="7174" ht="12.75" customHeight="1" x14ac:dyDescent="0.2"/>
    <row r="7175" ht="12.75" customHeight="1" x14ac:dyDescent="0.2"/>
    <row r="7176" ht="12.75" customHeight="1" x14ac:dyDescent="0.2"/>
    <row r="7177" ht="12.75" customHeight="1" x14ac:dyDescent="0.2"/>
    <row r="7178" ht="12.75" customHeight="1" x14ac:dyDescent="0.2"/>
    <row r="7179" ht="12.75" customHeight="1" x14ac:dyDescent="0.2"/>
    <row r="7180" ht="12.75" customHeight="1" x14ac:dyDescent="0.2"/>
    <row r="7181" ht="12.75" customHeight="1" x14ac:dyDescent="0.2"/>
    <row r="7182" ht="12.75" customHeight="1" x14ac:dyDescent="0.2"/>
    <row r="7183" ht="12.75" customHeight="1" x14ac:dyDescent="0.2"/>
    <row r="7184" ht="12.75" customHeight="1" x14ac:dyDescent="0.2"/>
    <row r="7185" ht="12.75" customHeight="1" x14ac:dyDescent="0.2"/>
    <row r="7186" ht="12.75" customHeight="1" x14ac:dyDescent="0.2"/>
    <row r="7187" ht="12.75" customHeight="1" x14ac:dyDescent="0.2"/>
    <row r="7188" ht="12.75" customHeight="1" x14ac:dyDescent="0.2"/>
    <row r="7189" ht="12.75" customHeight="1" x14ac:dyDescent="0.2"/>
    <row r="7190" ht="12.75" customHeight="1" x14ac:dyDescent="0.2"/>
    <row r="7191" ht="12.75" customHeight="1" x14ac:dyDescent="0.2"/>
    <row r="7192" ht="12.75" customHeight="1" x14ac:dyDescent="0.2"/>
    <row r="7193" ht="12.75" customHeight="1" x14ac:dyDescent="0.2"/>
    <row r="7194" ht="12.75" customHeight="1" x14ac:dyDescent="0.2"/>
    <row r="7195" ht="12.75" customHeight="1" x14ac:dyDescent="0.2"/>
    <row r="7196" ht="12.75" customHeight="1" x14ac:dyDescent="0.2"/>
    <row r="7197" ht="12.75" customHeight="1" x14ac:dyDescent="0.2"/>
    <row r="7198" ht="12.75" customHeight="1" x14ac:dyDescent="0.2"/>
    <row r="7199" ht="12.75" customHeight="1" x14ac:dyDescent="0.2"/>
    <row r="7200" ht="12.75" customHeight="1" x14ac:dyDescent="0.2"/>
    <row r="7201" ht="12.75" customHeight="1" x14ac:dyDescent="0.2"/>
    <row r="7202" ht="12.75" customHeight="1" x14ac:dyDescent="0.2"/>
    <row r="7203" ht="12.75" customHeight="1" x14ac:dyDescent="0.2"/>
    <row r="7204" ht="12.75" customHeight="1" x14ac:dyDescent="0.2"/>
    <row r="7205" ht="12.75" customHeight="1" x14ac:dyDescent="0.2"/>
    <row r="7206" ht="12.75" customHeight="1" x14ac:dyDescent="0.2"/>
    <row r="7207" ht="12.75" customHeight="1" x14ac:dyDescent="0.2"/>
    <row r="7208" ht="12.75" customHeight="1" x14ac:dyDescent="0.2"/>
    <row r="7209" ht="12.75" customHeight="1" x14ac:dyDescent="0.2"/>
    <row r="7210" ht="12.75" customHeight="1" x14ac:dyDescent="0.2"/>
    <row r="7211" ht="12.75" customHeight="1" x14ac:dyDescent="0.2"/>
    <row r="7212" ht="12.75" customHeight="1" x14ac:dyDescent="0.2"/>
    <row r="7213" ht="12.75" customHeight="1" x14ac:dyDescent="0.2"/>
    <row r="7214" ht="12.75" customHeight="1" x14ac:dyDescent="0.2"/>
    <row r="7215" ht="12.75" customHeight="1" x14ac:dyDescent="0.2"/>
    <row r="7216" ht="12.75" customHeight="1" x14ac:dyDescent="0.2"/>
    <row r="7217" ht="12.75" customHeight="1" x14ac:dyDescent="0.2"/>
    <row r="7218" ht="12.75" customHeight="1" x14ac:dyDescent="0.2"/>
    <row r="7219" ht="12.75" customHeight="1" x14ac:dyDescent="0.2"/>
    <row r="7220" ht="12.75" customHeight="1" x14ac:dyDescent="0.2"/>
    <row r="7221" ht="12.75" customHeight="1" x14ac:dyDescent="0.2"/>
    <row r="7222" ht="12.75" customHeight="1" x14ac:dyDescent="0.2"/>
    <row r="7223" ht="12.75" customHeight="1" x14ac:dyDescent="0.2"/>
    <row r="7224" ht="12.75" customHeight="1" x14ac:dyDescent="0.2"/>
    <row r="7225" ht="12.75" customHeight="1" x14ac:dyDescent="0.2"/>
    <row r="7226" ht="12.75" customHeight="1" x14ac:dyDescent="0.2"/>
    <row r="7227" ht="12.75" customHeight="1" x14ac:dyDescent="0.2"/>
    <row r="7228" ht="12.75" customHeight="1" x14ac:dyDescent="0.2"/>
    <row r="7229" ht="12.75" customHeight="1" x14ac:dyDescent="0.2"/>
    <row r="7230" ht="12.75" customHeight="1" x14ac:dyDescent="0.2"/>
    <row r="7231" ht="12.75" customHeight="1" x14ac:dyDescent="0.2"/>
    <row r="7232" ht="12.75" customHeight="1" x14ac:dyDescent="0.2"/>
    <row r="7233" ht="12.75" customHeight="1" x14ac:dyDescent="0.2"/>
    <row r="7234" ht="12.75" customHeight="1" x14ac:dyDescent="0.2"/>
    <row r="7235" ht="12.75" customHeight="1" x14ac:dyDescent="0.2"/>
    <row r="7236" ht="12.75" customHeight="1" x14ac:dyDescent="0.2"/>
    <row r="7237" ht="12.75" customHeight="1" x14ac:dyDescent="0.2"/>
    <row r="7238" ht="12.75" customHeight="1" x14ac:dyDescent="0.2"/>
    <row r="7239" ht="12.75" customHeight="1" x14ac:dyDescent="0.2"/>
    <row r="7240" ht="12.75" customHeight="1" x14ac:dyDescent="0.2"/>
    <row r="7241" ht="12.75" customHeight="1" x14ac:dyDescent="0.2"/>
    <row r="7242" ht="12.75" customHeight="1" x14ac:dyDescent="0.2"/>
    <row r="7243" ht="12.75" customHeight="1" x14ac:dyDescent="0.2"/>
    <row r="7244" ht="12.75" customHeight="1" x14ac:dyDescent="0.2"/>
    <row r="7245" ht="12.75" customHeight="1" x14ac:dyDescent="0.2"/>
    <row r="7246" ht="12.75" customHeight="1" x14ac:dyDescent="0.2"/>
    <row r="7247" ht="12.75" customHeight="1" x14ac:dyDescent="0.2"/>
    <row r="7248" ht="12.75" customHeight="1" x14ac:dyDescent="0.2"/>
    <row r="7249" ht="12.75" customHeight="1" x14ac:dyDescent="0.2"/>
    <row r="7250" ht="12.75" customHeight="1" x14ac:dyDescent="0.2"/>
    <row r="7251" ht="12.75" customHeight="1" x14ac:dyDescent="0.2"/>
    <row r="7252" ht="12.75" customHeight="1" x14ac:dyDescent="0.2"/>
    <row r="7253" ht="12.75" customHeight="1" x14ac:dyDescent="0.2"/>
    <row r="7254" ht="12.75" customHeight="1" x14ac:dyDescent="0.2"/>
    <row r="7255" ht="12.75" customHeight="1" x14ac:dyDescent="0.2"/>
    <row r="7256" ht="12.75" customHeight="1" x14ac:dyDescent="0.2"/>
    <row r="7257" ht="12.75" customHeight="1" x14ac:dyDescent="0.2"/>
    <row r="7258" ht="12.75" customHeight="1" x14ac:dyDescent="0.2"/>
    <row r="7259" ht="12.75" customHeight="1" x14ac:dyDescent="0.2"/>
    <row r="7260" ht="12.75" customHeight="1" x14ac:dyDescent="0.2"/>
    <row r="7261" ht="12.75" customHeight="1" x14ac:dyDescent="0.2"/>
    <row r="7262" ht="12.75" customHeight="1" x14ac:dyDescent="0.2"/>
    <row r="7263" ht="12.75" customHeight="1" x14ac:dyDescent="0.2"/>
    <row r="7264" ht="12.75" customHeight="1" x14ac:dyDescent="0.2"/>
    <row r="7265" ht="12.75" customHeight="1" x14ac:dyDescent="0.2"/>
    <row r="7266" ht="12.75" customHeight="1" x14ac:dyDescent="0.2"/>
    <row r="7267" ht="12.75" customHeight="1" x14ac:dyDescent="0.2"/>
    <row r="7268" ht="12.75" customHeight="1" x14ac:dyDescent="0.2"/>
    <row r="7269" ht="12.75" customHeight="1" x14ac:dyDescent="0.2"/>
    <row r="7270" ht="12.75" customHeight="1" x14ac:dyDescent="0.2"/>
    <row r="7271" ht="12.75" customHeight="1" x14ac:dyDescent="0.2"/>
    <row r="7272" ht="12.75" customHeight="1" x14ac:dyDescent="0.2"/>
    <row r="7273" ht="12.75" customHeight="1" x14ac:dyDescent="0.2"/>
    <row r="7274" ht="12.75" customHeight="1" x14ac:dyDescent="0.2"/>
    <row r="7275" ht="12.75" customHeight="1" x14ac:dyDescent="0.2"/>
    <row r="7276" ht="12.75" customHeight="1" x14ac:dyDescent="0.2"/>
    <row r="7277" ht="12.75" customHeight="1" x14ac:dyDescent="0.2"/>
    <row r="7278" ht="12.75" customHeight="1" x14ac:dyDescent="0.2"/>
    <row r="7279" ht="12.75" customHeight="1" x14ac:dyDescent="0.2"/>
    <row r="7280" ht="12.75" customHeight="1" x14ac:dyDescent="0.2"/>
    <row r="7281" ht="12.75" customHeight="1" x14ac:dyDescent="0.2"/>
    <row r="7282" ht="12.75" customHeight="1" x14ac:dyDescent="0.2"/>
    <row r="7283" ht="12.75" customHeight="1" x14ac:dyDescent="0.2"/>
    <row r="7284" ht="12.75" customHeight="1" x14ac:dyDescent="0.2"/>
    <row r="7285" ht="12.75" customHeight="1" x14ac:dyDescent="0.2"/>
    <row r="7286" ht="12.75" customHeight="1" x14ac:dyDescent="0.2"/>
    <row r="7287" ht="12.75" customHeight="1" x14ac:dyDescent="0.2"/>
    <row r="7288" ht="12.75" customHeight="1" x14ac:dyDescent="0.2"/>
    <row r="7289" ht="12.75" customHeight="1" x14ac:dyDescent="0.2"/>
    <row r="7290" ht="12.75" customHeight="1" x14ac:dyDescent="0.2"/>
    <row r="7291" ht="12.75" customHeight="1" x14ac:dyDescent="0.2"/>
    <row r="7292" ht="12.75" customHeight="1" x14ac:dyDescent="0.2"/>
    <row r="7293" ht="12.75" customHeight="1" x14ac:dyDescent="0.2"/>
    <row r="7294" ht="12.75" customHeight="1" x14ac:dyDescent="0.2"/>
    <row r="7295" ht="12.75" customHeight="1" x14ac:dyDescent="0.2"/>
    <row r="7296" ht="12.75" customHeight="1" x14ac:dyDescent="0.2"/>
    <row r="7297" ht="12.75" customHeight="1" x14ac:dyDescent="0.2"/>
    <row r="7298" ht="12.75" customHeight="1" x14ac:dyDescent="0.2"/>
    <row r="7299" ht="12.75" customHeight="1" x14ac:dyDescent="0.2"/>
    <row r="7300" ht="12.75" customHeight="1" x14ac:dyDescent="0.2"/>
    <row r="7301" ht="12.75" customHeight="1" x14ac:dyDescent="0.2"/>
    <row r="7302" ht="12.75" customHeight="1" x14ac:dyDescent="0.2"/>
    <row r="7303" ht="12.75" customHeight="1" x14ac:dyDescent="0.2"/>
    <row r="7304" ht="12.75" customHeight="1" x14ac:dyDescent="0.2"/>
    <row r="7305" ht="12.75" customHeight="1" x14ac:dyDescent="0.2"/>
    <row r="7306" ht="12.75" customHeight="1" x14ac:dyDescent="0.2"/>
    <row r="7307" ht="12.75" customHeight="1" x14ac:dyDescent="0.2"/>
    <row r="7308" ht="12.75" customHeight="1" x14ac:dyDescent="0.2"/>
    <row r="7309" ht="12.75" customHeight="1" x14ac:dyDescent="0.2"/>
    <row r="7310" ht="12.75" customHeight="1" x14ac:dyDescent="0.2"/>
    <row r="7311" ht="12.75" customHeight="1" x14ac:dyDescent="0.2"/>
    <row r="7312" ht="12.75" customHeight="1" x14ac:dyDescent="0.2"/>
    <row r="7313" ht="12.75" customHeight="1" x14ac:dyDescent="0.2"/>
    <row r="7314" ht="12.75" customHeight="1" x14ac:dyDescent="0.2"/>
    <row r="7315" ht="12.75" customHeight="1" x14ac:dyDescent="0.2"/>
    <row r="7316" ht="12.75" customHeight="1" x14ac:dyDescent="0.2"/>
    <row r="7317" ht="12.75" customHeight="1" x14ac:dyDescent="0.2"/>
    <row r="7318" ht="12.75" customHeight="1" x14ac:dyDescent="0.2"/>
    <row r="7319" ht="12.75" customHeight="1" x14ac:dyDescent="0.2"/>
    <row r="7320" ht="12.75" customHeight="1" x14ac:dyDescent="0.2"/>
    <row r="7321" ht="12.75" customHeight="1" x14ac:dyDescent="0.2"/>
    <row r="7322" ht="12.75" customHeight="1" x14ac:dyDescent="0.2"/>
    <row r="7323" ht="12.75" customHeight="1" x14ac:dyDescent="0.2"/>
    <row r="7324" ht="12.75" customHeight="1" x14ac:dyDescent="0.2"/>
    <row r="7325" ht="12.75" customHeight="1" x14ac:dyDescent="0.2"/>
    <row r="7326" ht="12.75" customHeight="1" x14ac:dyDescent="0.2"/>
    <row r="7327" ht="12.75" customHeight="1" x14ac:dyDescent="0.2"/>
    <row r="7328" ht="12.75" customHeight="1" x14ac:dyDescent="0.2"/>
    <row r="7329" ht="12.75" customHeight="1" x14ac:dyDescent="0.2"/>
    <row r="7330" ht="12.75" customHeight="1" x14ac:dyDescent="0.2"/>
    <row r="7331" ht="12.75" customHeight="1" x14ac:dyDescent="0.2"/>
    <row r="7332" ht="12.75" customHeight="1" x14ac:dyDescent="0.2"/>
    <row r="7333" ht="12.75" customHeight="1" x14ac:dyDescent="0.2"/>
    <row r="7334" ht="12.75" customHeight="1" x14ac:dyDescent="0.2"/>
    <row r="7335" ht="12.75" customHeight="1" x14ac:dyDescent="0.2"/>
    <row r="7336" ht="12.75" customHeight="1" x14ac:dyDescent="0.2"/>
    <row r="7337" ht="12.75" customHeight="1" x14ac:dyDescent="0.2"/>
    <row r="7338" ht="12.75" customHeight="1" x14ac:dyDescent="0.2"/>
    <row r="7339" ht="12.75" customHeight="1" x14ac:dyDescent="0.2"/>
    <row r="7340" ht="12.75" customHeight="1" x14ac:dyDescent="0.2"/>
    <row r="7341" ht="12.75" customHeight="1" x14ac:dyDescent="0.2"/>
    <row r="7342" ht="12.75" customHeight="1" x14ac:dyDescent="0.2"/>
    <row r="7343" ht="12.75" customHeight="1" x14ac:dyDescent="0.2"/>
    <row r="7344" ht="12.75" customHeight="1" x14ac:dyDescent="0.2"/>
    <row r="7345" ht="12.75" customHeight="1" x14ac:dyDescent="0.2"/>
    <row r="7346" ht="12.75" customHeight="1" x14ac:dyDescent="0.2"/>
    <row r="7347" ht="12.75" customHeight="1" x14ac:dyDescent="0.2"/>
    <row r="7348" ht="12.75" customHeight="1" x14ac:dyDescent="0.2"/>
    <row r="7349" ht="12.75" customHeight="1" x14ac:dyDescent="0.2"/>
    <row r="7350" ht="12.75" customHeight="1" x14ac:dyDescent="0.2"/>
    <row r="7351" ht="12.75" customHeight="1" x14ac:dyDescent="0.2"/>
    <row r="7352" ht="12.75" customHeight="1" x14ac:dyDescent="0.2"/>
    <row r="7353" ht="12.75" customHeight="1" x14ac:dyDescent="0.2"/>
    <row r="7354" ht="12.75" customHeight="1" x14ac:dyDescent="0.2"/>
    <row r="7355" ht="12.75" customHeight="1" x14ac:dyDescent="0.2"/>
    <row r="7356" ht="12.75" customHeight="1" x14ac:dyDescent="0.2"/>
    <row r="7357" ht="12.75" customHeight="1" x14ac:dyDescent="0.2"/>
    <row r="7358" ht="12.75" customHeight="1" x14ac:dyDescent="0.2"/>
    <row r="7359" ht="12.75" customHeight="1" x14ac:dyDescent="0.2"/>
    <row r="7360" ht="12.75" customHeight="1" x14ac:dyDescent="0.2"/>
    <row r="7361" ht="12.75" customHeight="1" x14ac:dyDescent="0.2"/>
    <row r="7362" ht="12.75" customHeight="1" x14ac:dyDescent="0.2"/>
    <row r="7363" ht="12.75" customHeight="1" x14ac:dyDescent="0.2"/>
    <row r="7364" ht="12.75" customHeight="1" x14ac:dyDescent="0.2"/>
    <row r="7365" ht="12.75" customHeight="1" x14ac:dyDescent="0.2"/>
    <row r="7366" ht="12.75" customHeight="1" x14ac:dyDescent="0.2"/>
    <row r="7367" ht="12.75" customHeight="1" x14ac:dyDescent="0.2"/>
    <row r="7368" ht="12.75" customHeight="1" x14ac:dyDescent="0.2"/>
    <row r="7369" ht="12.75" customHeight="1" x14ac:dyDescent="0.2"/>
    <row r="7370" ht="12.75" customHeight="1" x14ac:dyDescent="0.2"/>
    <row r="7371" ht="12.75" customHeight="1" x14ac:dyDescent="0.2"/>
    <row r="7372" ht="12.75" customHeight="1" x14ac:dyDescent="0.2"/>
    <row r="7373" ht="12.75" customHeight="1" x14ac:dyDescent="0.2"/>
    <row r="7374" ht="12.75" customHeight="1" x14ac:dyDescent="0.2"/>
    <row r="7375" ht="12.75" customHeight="1" x14ac:dyDescent="0.2"/>
    <row r="7376" ht="12.75" customHeight="1" x14ac:dyDescent="0.2"/>
    <row r="7377" ht="12.75" customHeight="1" x14ac:dyDescent="0.2"/>
    <row r="7378" ht="12.75" customHeight="1" x14ac:dyDescent="0.2"/>
    <row r="7379" ht="12.75" customHeight="1" x14ac:dyDescent="0.2"/>
    <row r="7380" ht="12.75" customHeight="1" x14ac:dyDescent="0.2"/>
    <row r="7381" ht="12.75" customHeight="1" x14ac:dyDescent="0.2"/>
    <row r="7382" ht="12.75" customHeight="1" x14ac:dyDescent="0.2"/>
    <row r="7383" ht="12.75" customHeight="1" x14ac:dyDescent="0.2"/>
    <row r="7384" ht="12.75" customHeight="1" x14ac:dyDescent="0.2"/>
    <row r="7385" ht="12.75" customHeight="1" x14ac:dyDescent="0.2"/>
    <row r="7386" ht="12.75" customHeight="1" x14ac:dyDescent="0.2"/>
    <row r="7387" ht="12.75" customHeight="1" x14ac:dyDescent="0.2"/>
    <row r="7388" ht="12.75" customHeight="1" x14ac:dyDescent="0.2"/>
    <row r="7389" ht="12.75" customHeight="1" x14ac:dyDescent="0.2"/>
    <row r="7390" ht="12.75" customHeight="1" x14ac:dyDescent="0.2"/>
    <row r="7391" ht="12.75" customHeight="1" x14ac:dyDescent="0.2"/>
    <row r="7392" ht="12.75" customHeight="1" x14ac:dyDescent="0.2"/>
    <row r="7393" ht="12.75" customHeight="1" x14ac:dyDescent="0.2"/>
    <row r="7394" ht="12.75" customHeight="1" x14ac:dyDescent="0.2"/>
    <row r="7395" ht="12.75" customHeight="1" x14ac:dyDescent="0.2"/>
    <row r="7396" ht="12.75" customHeight="1" x14ac:dyDescent="0.2"/>
    <row r="7397" ht="12.75" customHeight="1" x14ac:dyDescent="0.2"/>
    <row r="7398" ht="12.75" customHeight="1" x14ac:dyDescent="0.2"/>
    <row r="7399" ht="12.75" customHeight="1" x14ac:dyDescent="0.2"/>
    <row r="7400" ht="12.75" customHeight="1" x14ac:dyDescent="0.2"/>
    <row r="7401" ht="12.75" customHeight="1" x14ac:dyDescent="0.2"/>
    <row r="7402" ht="12.75" customHeight="1" x14ac:dyDescent="0.2"/>
    <row r="7403" ht="12.75" customHeight="1" x14ac:dyDescent="0.2"/>
    <row r="7404" ht="12.75" customHeight="1" x14ac:dyDescent="0.2"/>
    <row r="7405" ht="12.75" customHeight="1" x14ac:dyDescent="0.2"/>
    <row r="7406" ht="12.75" customHeight="1" x14ac:dyDescent="0.2"/>
    <row r="7407" ht="12.75" customHeight="1" x14ac:dyDescent="0.2"/>
    <row r="7408" ht="12.75" customHeight="1" x14ac:dyDescent="0.2"/>
    <row r="7409" ht="12.75" customHeight="1" x14ac:dyDescent="0.2"/>
    <row r="7410" ht="12.75" customHeight="1" x14ac:dyDescent="0.2"/>
    <row r="7411" ht="12.75" customHeight="1" x14ac:dyDescent="0.2"/>
    <row r="7412" ht="12.75" customHeight="1" x14ac:dyDescent="0.2"/>
    <row r="7413" ht="12.75" customHeight="1" x14ac:dyDescent="0.2"/>
    <row r="7414" ht="12.75" customHeight="1" x14ac:dyDescent="0.2"/>
    <row r="7415" ht="12.75" customHeight="1" x14ac:dyDescent="0.2"/>
    <row r="7416" ht="12.75" customHeight="1" x14ac:dyDescent="0.2"/>
    <row r="7417" ht="12.75" customHeight="1" x14ac:dyDescent="0.2"/>
    <row r="7418" ht="12.75" customHeight="1" x14ac:dyDescent="0.2"/>
    <row r="7419" ht="12.75" customHeight="1" x14ac:dyDescent="0.2"/>
    <row r="7420" ht="12.75" customHeight="1" x14ac:dyDescent="0.2"/>
    <row r="7421" ht="12.75" customHeight="1" x14ac:dyDescent="0.2"/>
    <row r="7422" ht="12.75" customHeight="1" x14ac:dyDescent="0.2"/>
    <row r="7423" ht="12.75" customHeight="1" x14ac:dyDescent="0.2"/>
    <row r="7424" ht="12.75" customHeight="1" x14ac:dyDescent="0.2"/>
    <row r="7425" ht="12.75" customHeight="1" x14ac:dyDescent="0.2"/>
    <row r="7426" ht="12.75" customHeight="1" x14ac:dyDescent="0.2"/>
    <row r="7427" ht="12.75" customHeight="1" x14ac:dyDescent="0.2"/>
    <row r="7428" ht="12.75" customHeight="1" x14ac:dyDescent="0.2"/>
    <row r="7429" ht="12.75" customHeight="1" x14ac:dyDescent="0.2"/>
    <row r="7430" ht="12.75" customHeight="1" x14ac:dyDescent="0.2"/>
    <row r="7431" ht="12.75" customHeight="1" x14ac:dyDescent="0.2"/>
    <row r="7432" ht="12.75" customHeight="1" x14ac:dyDescent="0.2"/>
    <row r="7433" ht="12.75" customHeight="1" x14ac:dyDescent="0.2"/>
    <row r="7434" ht="12.75" customHeight="1" x14ac:dyDescent="0.2"/>
    <row r="7435" ht="12.75" customHeight="1" x14ac:dyDescent="0.2"/>
    <row r="7436" ht="12.75" customHeight="1" x14ac:dyDescent="0.2"/>
    <row r="7437" ht="12.75" customHeight="1" x14ac:dyDescent="0.2"/>
    <row r="7438" ht="12.75" customHeight="1" x14ac:dyDescent="0.2"/>
    <row r="7439" ht="12.75" customHeight="1" x14ac:dyDescent="0.2"/>
    <row r="7440" ht="12.75" customHeight="1" x14ac:dyDescent="0.2"/>
    <row r="7441" ht="12.75" customHeight="1" x14ac:dyDescent="0.2"/>
    <row r="7442" ht="12.75" customHeight="1" x14ac:dyDescent="0.2"/>
    <row r="7443" ht="12.75" customHeight="1" x14ac:dyDescent="0.2"/>
    <row r="7444" ht="12.75" customHeight="1" x14ac:dyDescent="0.2"/>
    <row r="7445" ht="12.75" customHeight="1" x14ac:dyDescent="0.2"/>
    <row r="7446" ht="12.75" customHeight="1" x14ac:dyDescent="0.2"/>
    <row r="7447" ht="12.75" customHeight="1" x14ac:dyDescent="0.2"/>
    <row r="7448" ht="12.75" customHeight="1" x14ac:dyDescent="0.2"/>
    <row r="7449" ht="12.75" customHeight="1" x14ac:dyDescent="0.2"/>
    <row r="7450" ht="12.75" customHeight="1" x14ac:dyDescent="0.2"/>
    <row r="7451" ht="12.75" customHeight="1" x14ac:dyDescent="0.2"/>
    <row r="7452" ht="12.75" customHeight="1" x14ac:dyDescent="0.2"/>
    <row r="7453" ht="12.75" customHeight="1" x14ac:dyDescent="0.2"/>
    <row r="7454" ht="12.75" customHeight="1" x14ac:dyDescent="0.2"/>
    <row r="7455" ht="12.75" customHeight="1" x14ac:dyDescent="0.2"/>
    <row r="7456" ht="12.75" customHeight="1" x14ac:dyDescent="0.2"/>
    <row r="7457" ht="12.75" customHeight="1" x14ac:dyDescent="0.2"/>
    <row r="7458" ht="12.75" customHeight="1" x14ac:dyDescent="0.2"/>
    <row r="7459" ht="12.75" customHeight="1" x14ac:dyDescent="0.2"/>
    <row r="7460" ht="12.75" customHeight="1" x14ac:dyDescent="0.2"/>
    <row r="7461" ht="12.75" customHeight="1" x14ac:dyDescent="0.2"/>
    <row r="7462" ht="12.75" customHeight="1" x14ac:dyDescent="0.2"/>
    <row r="7463" ht="12.75" customHeight="1" x14ac:dyDescent="0.2"/>
    <row r="7464" ht="12.75" customHeight="1" x14ac:dyDescent="0.2"/>
    <row r="7465" ht="12.75" customHeight="1" x14ac:dyDescent="0.2"/>
    <row r="7466" ht="12.75" customHeight="1" x14ac:dyDescent="0.2"/>
    <row r="7467" ht="12.75" customHeight="1" x14ac:dyDescent="0.2"/>
    <row r="7468" ht="12.75" customHeight="1" x14ac:dyDescent="0.2"/>
    <row r="7469" ht="12.75" customHeight="1" x14ac:dyDescent="0.2"/>
    <row r="7470" ht="12.75" customHeight="1" x14ac:dyDescent="0.2"/>
    <row r="7471" ht="12.75" customHeight="1" x14ac:dyDescent="0.2"/>
    <row r="7472" ht="12.75" customHeight="1" x14ac:dyDescent="0.2"/>
    <row r="7473" ht="12.75" customHeight="1" x14ac:dyDescent="0.2"/>
    <row r="7474" ht="12.75" customHeight="1" x14ac:dyDescent="0.2"/>
    <row r="7475" ht="12.75" customHeight="1" x14ac:dyDescent="0.2"/>
    <row r="7476" ht="12.75" customHeight="1" x14ac:dyDescent="0.2"/>
    <row r="7477" ht="12.75" customHeight="1" x14ac:dyDescent="0.2"/>
    <row r="7478" ht="12.75" customHeight="1" x14ac:dyDescent="0.2"/>
    <row r="7479" ht="12.75" customHeight="1" x14ac:dyDescent="0.2"/>
    <row r="7480" ht="12.75" customHeight="1" x14ac:dyDescent="0.2"/>
    <row r="7481" ht="12.75" customHeight="1" x14ac:dyDescent="0.2"/>
    <row r="7482" ht="12.75" customHeight="1" x14ac:dyDescent="0.2"/>
    <row r="7483" ht="12.75" customHeight="1" x14ac:dyDescent="0.2"/>
    <row r="7484" ht="12.75" customHeight="1" x14ac:dyDescent="0.2"/>
    <row r="7485" ht="12.75" customHeight="1" x14ac:dyDescent="0.2"/>
    <row r="7486" ht="12.75" customHeight="1" x14ac:dyDescent="0.2"/>
    <row r="7487" ht="12.75" customHeight="1" x14ac:dyDescent="0.2"/>
    <row r="7488" ht="12.75" customHeight="1" x14ac:dyDescent="0.2"/>
    <row r="7489" ht="12.75" customHeight="1" x14ac:dyDescent="0.2"/>
    <row r="7490" ht="12.75" customHeight="1" x14ac:dyDescent="0.2"/>
    <row r="7491" ht="12.75" customHeight="1" x14ac:dyDescent="0.2"/>
    <row r="7492" ht="12.75" customHeight="1" x14ac:dyDescent="0.2"/>
    <row r="7493" ht="12.75" customHeight="1" x14ac:dyDescent="0.2"/>
    <row r="7494" ht="12.75" customHeight="1" x14ac:dyDescent="0.2"/>
    <row r="7495" ht="12.75" customHeight="1" x14ac:dyDescent="0.2"/>
    <row r="7496" ht="12.75" customHeight="1" x14ac:dyDescent="0.2"/>
    <row r="7497" ht="12.75" customHeight="1" x14ac:dyDescent="0.2"/>
    <row r="7498" ht="12.75" customHeight="1" x14ac:dyDescent="0.2"/>
    <row r="7499" ht="12.75" customHeight="1" x14ac:dyDescent="0.2"/>
    <row r="7500" ht="12.75" customHeight="1" x14ac:dyDescent="0.2"/>
    <row r="7501" ht="12.75" customHeight="1" x14ac:dyDescent="0.2"/>
    <row r="7502" ht="12.75" customHeight="1" x14ac:dyDescent="0.2"/>
    <row r="7503" ht="12.75" customHeight="1" x14ac:dyDescent="0.2"/>
    <row r="7504" ht="12.75" customHeight="1" x14ac:dyDescent="0.2"/>
    <row r="7505" ht="12.75" customHeight="1" x14ac:dyDescent="0.2"/>
    <row r="7506" ht="12.75" customHeight="1" x14ac:dyDescent="0.2"/>
    <row r="7507" ht="12.75" customHeight="1" x14ac:dyDescent="0.2"/>
    <row r="7508" ht="12.75" customHeight="1" x14ac:dyDescent="0.2"/>
    <row r="7509" ht="12.75" customHeight="1" x14ac:dyDescent="0.2"/>
    <row r="7510" ht="12.75" customHeight="1" x14ac:dyDescent="0.2"/>
    <row r="7511" ht="12.75" customHeight="1" x14ac:dyDescent="0.2"/>
    <row r="7512" ht="12.75" customHeight="1" x14ac:dyDescent="0.2"/>
    <row r="7513" ht="12.75" customHeight="1" x14ac:dyDescent="0.2"/>
    <row r="7514" ht="12.75" customHeight="1" x14ac:dyDescent="0.2"/>
    <row r="7515" ht="12.75" customHeight="1" x14ac:dyDescent="0.2"/>
    <row r="7516" ht="12.75" customHeight="1" x14ac:dyDescent="0.2"/>
    <row r="7517" ht="12.75" customHeight="1" x14ac:dyDescent="0.2"/>
    <row r="7518" ht="12.75" customHeight="1" x14ac:dyDescent="0.2"/>
    <row r="7519" ht="12.75" customHeight="1" x14ac:dyDescent="0.2"/>
    <row r="7520" ht="12.75" customHeight="1" x14ac:dyDescent="0.2"/>
    <row r="7521" ht="12.75" customHeight="1" x14ac:dyDescent="0.2"/>
    <row r="7522" ht="12.75" customHeight="1" x14ac:dyDescent="0.2"/>
    <row r="7523" ht="12.75" customHeight="1" x14ac:dyDescent="0.2"/>
    <row r="7524" ht="12.75" customHeight="1" x14ac:dyDescent="0.2"/>
    <row r="7525" ht="12.75" customHeight="1" x14ac:dyDescent="0.2"/>
    <row r="7526" ht="12.75" customHeight="1" x14ac:dyDescent="0.2"/>
    <row r="7527" ht="12.75" customHeight="1" x14ac:dyDescent="0.2"/>
    <row r="7528" ht="12.75" customHeight="1" x14ac:dyDescent="0.2"/>
    <row r="7529" ht="12.75" customHeight="1" x14ac:dyDescent="0.2"/>
    <row r="7530" ht="12.75" customHeight="1" x14ac:dyDescent="0.2"/>
    <row r="7531" ht="12.75" customHeight="1" x14ac:dyDescent="0.2"/>
    <row r="7532" ht="12.75" customHeight="1" x14ac:dyDescent="0.2"/>
    <row r="7533" ht="12.75" customHeight="1" x14ac:dyDescent="0.2"/>
    <row r="7534" ht="12.75" customHeight="1" x14ac:dyDescent="0.2"/>
    <row r="7535" ht="12.75" customHeight="1" x14ac:dyDescent="0.2"/>
    <row r="7536" ht="12.75" customHeight="1" x14ac:dyDescent="0.2"/>
    <row r="7537" ht="12.75" customHeight="1" x14ac:dyDescent="0.2"/>
    <row r="7538" ht="12.75" customHeight="1" x14ac:dyDescent="0.2"/>
    <row r="7539" ht="12.75" customHeight="1" x14ac:dyDescent="0.2"/>
    <row r="7540" ht="12.75" customHeight="1" x14ac:dyDescent="0.2"/>
    <row r="7541" ht="12.75" customHeight="1" x14ac:dyDescent="0.2"/>
    <row r="7542" ht="12.75" customHeight="1" x14ac:dyDescent="0.2"/>
    <row r="7543" ht="12.75" customHeight="1" x14ac:dyDescent="0.2"/>
    <row r="7544" ht="12.75" customHeight="1" x14ac:dyDescent="0.2"/>
    <row r="7545" ht="12.75" customHeight="1" x14ac:dyDescent="0.2"/>
    <row r="7546" ht="12.75" customHeight="1" x14ac:dyDescent="0.2"/>
    <row r="7547" ht="12.75" customHeight="1" x14ac:dyDescent="0.2"/>
    <row r="7548" ht="12.75" customHeight="1" x14ac:dyDescent="0.2"/>
    <row r="7549" ht="12.75" customHeight="1" x14ac:dyDescent="0.2"/>
    <row r="7550" ht="12.75" customHeight="1" x14ac:dyDescent="0.2"/>
    <row r="7551" ht="12.75" customHeight="1" x14ac:dyDescent="0.2"/>
    <row r="7552" ht="12.75" customHeight="1" x14ac:dyDescent="0.2"/>
    <row r="7553" ht="12.75" customHeight="1" x14ac:dyDescent="0.2"/>
    <row r="7554" ht="12.75" customHeight="1" x14ac:dyDescent="0.2"/>
    <row r="7555" ht="12.75" customHeight="1" x14ac:dyDescent="0.2"/>
    <row r="7556" ht="12.75" customHeight="1" x14ac:dyDescent="0.2"/>
    <row r="7557" ht="12.75" customHeight="1" x14ac:dyDescent="0.2"/>
    <row r="7558" ht="12.75" customHeight="1" x14ac:dyDescent="0.2"/>
    <row r="7559" ht="12.75" customHeight="1" x14ac:dyDescent="0.2"/>
    <row r="7560" ht="12.75" customHeight="1" x14ac:dyDescent="0.2"/>
    <row r="7561" ht="12.75" customHeight="1" x14ac:dyDescent="0.2"/>
    <row r="7562" ht="12.75" customHeight="1" x14ac:dyDescent="0.2"/>
    <row r="7563" ht="12.75" customHeight="1" x14ac:dyDescent="0.2"/>
    <row r="7564" ht="12.75" customHeight="1" x14ac:dyDescent="0.2"/>
    <row r="7565" ht="12.75" customHeight="1" x14ac:dyDescent="0.2"/>
    <row r="7566" ht="12.75" customHeight="1" x14ac:dyDescent="0.2"/>
    <row r="7567" ht="12.75" customHeight="1" x14ac:dyDescent="0.2"/>
    <row r="7568" ht="12.75" customHeight="1" x14ac:dyDescent="0.2"/>
    <row r="7569" ht="12.75" customHeight="1" x14ac:dyDescent="0.2"/>
    <row r="7570" ht="12.75" customHeight="1" x14ac:dyDescent="0.2"/>
    <row r="7571" ht="12.75" customHeight="1" x14ac:dyDescent="0.2"/>
    <row r="7572" ht="12.75" customHeight="1" x14ac:dyDescent="0.2"/>
    <row r="7573" ht="12.75" customHeight="1" x14ac:dyDescent="0.2"/>
    <row r="7574" ht="12.75" customHeight="1" x14ac:dyDescent="0.2"/>
    <row r="7575" ht="12.75" customHeight="1" x14ac:dyDescent="0.2"/>
    <row r="7576" ht="12.75" customHeight="1" x14ac:dyDescent="0.2"/>
    <row r="7577" ht="12.75" customHeight="1" x14ac:dyDescent="0.2"/>
    <row r="7578" ht="12.75" customHeight="1" x14ac:dyDescent="0.2"/>
    <row r="7579" ht="12.75" customHeight="1" x14ac:dyDescent="0.2"/>
    <row r="7580" ht="12.75" customHeight="1" x14ac:dyDescent="0.2"/>
    <row r="7581" ht="12.75" customHeight="1" x14ac:dyDescent="0.2"/>
    <row r="7582" ht="12.75" customHeight="1" x14ac:dyDescent="0.2"/>
    <row r="7583" ht="12.75" customHeight="1" x14ac:dyDescent="0.2"/>
    <row r="7584" ht="12.75" customHeight="1" x14ac:dyDescent="0.2"/>
    <row r="7585" ht="12.75" customHeight="1" x14ac:dyDescent="0.2"/>
    <row r="7586" ht="12.75" customHeight="1" x14ac:dyDescent="0.2"/>
    <row r="7587" ht="12.75" customHeight="1" x14ac:dyDescent="0.2"/>
    <row r="7588" ht="12.75" customHeight="1" x14ac:dyDescent="0.2"/>
    <row r="7589" ht="12.75" customHeight="1" x14ac:dyDescent="0.2"/>
    <row r="7590" ht="12.75" customHeight="1" x14ac:dyDescent="0.2"/>
    <row r="7591" ht="12.75" customHeight="1" x14ac:dyDescent="0.2"/>
    <row r="7592" ht="12.75" customHeight="1" x14ac:dyDescent="0.2"/>
    <row r="7593" ht="12.75" customHeight="1" x14ac:dyDescent="0.2"/>
    <row r="7594" ht="12.75" customHeight="1" x14ac:dyDescent="0.2"/>
    <row r="7595" ht="12.75" customHeight="1" x14ac:dyDescent="0.2"/>
    <row r="7596" ht="12.75" customHeight="1" x14ac:dyDescent="0.2"/>
    <row r="7597" ht="12.75" customHeight="1" x14ac:dyDescent="0.2"/>
    <row r="7598" ht="12.75" customHeight="1" x14ac:dyDescent="0.2"/>
    <row r="7599" ht="12.75" customHeight="1" x14ac:dyDescent="0.2"/>
    <row r="7600" ht="12.75" customHeight="1" x14ac:dyDescent="0.2"/>
    <row r="7601" ht="12.75" customHeight="1" x14ac:dyDescent="0.2"/>
    <row r="7602" ht="12.75" customHeight="1" x14ac:dyDescent="0.2"/>
    <row r="7603" ht="12.75" customHeight="1" x14ac:dyDescent="0.2"/>
    <row r="7604" ht="12.75" customHeight="1" x14ac:dyDescent="0.2"/>
    <row r="7605" ht="12.75" customHeight="1" x14ac:dyDescent="0.2"/>
    <row r="7606" ht="12.75" customHeight="1" x14ac:dyDescent="0.2"/>
    <row r="7607" ht="12.75" customHeight="1" x14ac:dyDescent="0.2"/>
    <row r="7608" ht="12.75" customHeight="1" x14ac:dyDescent="0.2"/>
    <row r="7609" ht="12.75" customHeight="1" x14ac:dyDescent="0.2"/>
    <row r="7610" ht="12.75" customHeight="1" x14ac:dyDescent="0.2"/>
    <row r="7611" ht="12.75" customHeight="1" x14ac:dyDescent="0.2"/>
    <row r="7612" ht="12.75" customHeight="1" x14ac:dyDescent="0.2"/>
    <row r="7613" ht="12.75" customHeight="1" x14ac:dyDescent="0.2"/>
    <row r="7614" ht="12.75" customHeight="1" x14ac:dyDescent="0.2"/>
    <row r="7615" ht="12.75" customHeight="1" x14ac:dyDescent="0.2"/>
    <row r="7616" ht="12.75" customHeight="1" x14ac:dyDescent="0.2"/>
    <row r="7617" ht="12.75" customHeight="1" x14ac:dyDescent="0.2"/>
    <row r="7618" ht="12.75" customHeight="1" x14ac:dyDescent="0.2"/>
    <row r="7619" ht="12.75" customHeight="1" x14ac:dyDescent="0.2"/>
    <row r="7620" ht="12.75" customHeight="1" x14ac:dyDescent="0.2"/>
    <row r="7621" ht="12.75" customHeight="1" x14ac:dyDescent="0.2"/>
    <row r="7622" ht="12.75" customHeight="1" x14ac:dyDescent="0.2"/>
    <row r="7623" ht="12.75" customHeight="1" x14ac:dyDescent="0.2"/>
    <row r="7624" ht="12.75" customHeight="1" x14ac:dyDescent="0.2"/>
    <row r="7625" ht="12.75" customHeight="1" x14ac:dyDescent="0.2"/>
    <row r="7626" ht="12.75" customHeight="1" x14ac:dyDescent="0.2"/>
    <row r="7627" ht="12.75" customHeight="1" x14ac:dyDescent="0.2"/>
    <row r="7628" ht="12.75" customHeight="1" x14ac:dyDescent="0.2"/>
    <row r="7629" ht="12.75" customHeight="1" x14ac:dyDescent="0.2"/>
    <row r="7630" ht="12.75" customHeight="1" x14ac:dyDescent="0.2"/>
    <row r="7631" ht="12.75" customHeight="1" x14ac:dyDescent="0.2"/>
    <row r="7632" ht="12.75" customHeight="1" x14ac:dyDescent="0.2"/>
    <row r="7633" ht="12.75" customHeight="1" x14ac:dyDescent="0.2"/>
    <row r="7634" ht="12.75" customHeight="1" x14ac:dyDescent="0.2"/>
    <row r="7635" ht="12.75" customHeight="1" x14ac:dyDescent="0.2"/>
    <row r="7636" ht="12.75" customHeight="1" x14ac:dyDescent="0.2"/>
    <row r="7637" ht="12.75" customHeight="1" x14ac:dyDescent="0.2"/>
    <row r="7638" ht="12.75" customHeight="1" x14ac:dyDescent="0.2"/>
    <row r="7639" ht="12.75" customHeight="1" x14ac:dyDescent="0.2"/>
    <row r="7640" ht="12.75" customHeight="1" x14ac:dyDescent="0.2"/>
    <row r="7641" ht="12.75" customHeight="1" x14ac:dyDescent="0.2"/>
    <row r="7642" ht="12.75" customHeight="1" x14ac:dyDescent="0.2"/>
    <row r="7643" ht="12.75" customHeight="1" x14ac:dyDescent="0.2"/>
    <row r="7644" ht="12.75" customHeight="1" x14ac:dyDescent="0.2"/>
    <row r="7645" ht="12.75" customHeight="1" x14ac:dyDescent="0.2"/>
    <row r="7646" ht="12.75" customHeight="1" x14ac:dyDescent="0.2"/>
    <row r="7647" ht="12.75" customHeight="1" x14ac:dyDescent="0.2"/>
    <row r="7648" ht="12.75" customHeight="1" x14ac:dyDescent="0.2"/>
    <row r="7649" ht="12.75" customHeight="1" x14ac:dyDescent="0.2"/>
    <row r="7650" ht="12.75" customHeight="1" x14ac:dyDescent="0.2"/>
    <row r="7651" ht="12.75" customHeight="1" x14ac:dyDescent="0.2"/>
    <row r="7652" ht="12.75" customHeight="1" x14ac:dyDescent="0.2"/>
    <row r="7653" ht="12.75" customHeight="1" x14ac:dyDescent="0.2"/>
    <row r="7654" ht="12.75" customHeight="1" x14ac:dyDescent="0.2"/>
    <row r="7655" ht="12.75" customHeight="1" x14ac:dyDescent="0.2"/>
    <row r="7656" ht="12.75" customHeight="1" x14ac:dyDescent="0.2"/>
    <row r="7657" ht="12.75" customHeight="1" x14ac:dyDescent="0.2"/>
    <row r="7658" ht="12.75" customHeight="1" x14ac:dyDescent="0.2"/>
    <row r="7659" ht="12.75" customHeight="1" x14ac:dyDescent="0.2"/>
    <row r="7660" ht="12.75" customHeight="1" x14ac:dyDescent="0.2"/>
    <row r="7661" ht="12.75" customHeight="1" x14ac:dyDescent="0.2"/>
    <row r="7662" ht="12.75" customHeight="1" x14ac:dyDescent="0.2"/>
    <row r="7663" ht="12.75" customHeight="1" x14ac:dyDescent="0.2"/>
    <row r="7664" ht="12.75" customHeight="1" x14ac:dyDescent="0.2"/>
    <row r="7665" ht="12.75" customHeight="1" x14ac:dyDescent="0.2"/>
    <row r="7666" ht="12.75" customHeight="1" x14ac:dyDescent="0.2"/>
    <row r="7667" ht="12.75" customHeight="1" x14ac:dyDescent="0.2"/>
    <row r="7668" ht="12.75" customHeight="1" x14ac:dyDescent="0.2"/>
    <row r="7669" ht="12.75" customHeight="1" x14ac:dyDescent="0.2"/>
    <row r="7670" ht="12.75" customHeight="1" x14ac:dyDescent="0.2"/>
    <row r="7671" ht="12.75" customHeight="1" x14ac:dyDescent="0.2"/>
    <row r="7672" ht="12.75" customHeight="1" x14ac:dyDescent="0.2"/>
    <row r="7673" ht="12.75" customHeight="1" x14ac:dyDescent="0.2"/>
    <row r="7674" ht="12.75" customHeight="1" x14ac:dyDescent="0.2"/>
    <row r="7675" ht="12.75" customHeight="1" x14ac:dyDescent="0.2"/>
    <row r="7676" ht="12.75" customHeight="1" x14ac:dyDescent="0.2"/>
    <row r="7677" ht="12.75" customHeight="1" x14ac:dyDescent="0.2"/>
    <row r="7678" ht="12.75" customHeight="1" x14ac:dyDescent="0.2"/>
    <row r="7679" ht="12.75" customHeight="1" x14ac:dyDescent="0.2"/>
    <row r="7680" ht="12.75" customHeight="1" x14ac:dyDescent="0.2"/>
    <row r="7681" ht="12.75" customHeight="1" x14ac:dyDescent="0.2"/>
    <row r="7682" ht="12.75" customHeight="1" x14ac:dyDescent="0.2"/>
    <row r="7683" ht="12.75" customHeight="1" x14ac:dyDescent="0.2"/>
    <row r="7684" ht="12.75" customHeight="1" x14ac:dyDescent="0.2"/>
    <row r="7685" ht="12.75" customHeight="1" x14ac:dyDescent="0.2"/>
    <row r="7686" ht="12.75" customHeight="1" x14ac:dyDescent="0.2"/>
    <row r="7687" ht="12.75" customHeight="1" x14ac:dyDescent="0.2"/>
    <row r="7688" ht="12.75" customHeight="1" x14ac:dyDescent="0.2"/>
    <row r="7689" ht="12.75" customHeight="1" x14ac:dyDescent="0.2"/>
    <row r="7690" ht="12.75" customHeight="1" x14ac:dyDescent="0.2"/>
    <row r="7691" ht="12.75" customHeight="1" x14ac:dyDescent="0.2"/>
    <row r="7692" ht="12.75" customHeight="1" x14ac:dyDescent="0.2"/>
    <row r="7693" ht="12.75" customHeight="1" x14ac:dyDescent="0.2"/>
    <row r="7694" ht="12.75" customHeight="1" x14ac:dyDescent="0.2"/>
    <row r="7695" ht="12.75" customHeight="1" x14ac:dyDescent="0.2"/>
    <row r="7696" ht="12.75" customHeight="1" x14ac:dyDescent="0.2"/>
    <row r="7697" ht="12.75" customHeight="1" x14ac:dyDescent="0.2"/>
    <row r="7698" ht="12.75" customHeight="1" x14ac:dyDescent="0.2"/>
    <row r="7699" ht="12.75" customHeight="1" x14ac:dyDescent="0.2"/>
    <row r="7700" ht="12.75" customHeight="1" x14ac:dyDescent="0.2"/>
    <row r="7701" ht="12.75" customHeight="1" x14ac:dyDescent="0.2"/>
    <row r="7702" ht="12.75" customHeight="1" x14ac:dyDescent="0.2"/>
    <row r="7703" ht="12.75" customHeight="1" x14ac:dyDescent="0.2"/>
    <row r="7704" ht="12.75" customHeight="1" x14ac:dyDescent="0.2"/>
    <row r="7705" ht="12.75" customHeight="1" x14ac:dyDescent="0.2"/>
    <row r="7706" ht="12.75" customHeight="1" x14ac:dyDescent="0.2"/>
    <row r="7707" ht="12.75" customHeight="1" x14ac:dyDescent="0.2"/>
    <row r="7708" ht="12.75" customHeight="1" x14ac:dyDescent="0.2"/>
    <row r="7709" ht="12.75" customHeight="1" x14ac:dyDescent="0.2"/>
    <row r="7710" ht="12.75" customHeight="1" x14ac:dyDescent="0.2"/>
    <row r="7711" ht="12.75" customHeight="1" x14ac:dyDescent="0.2"/>
    <row r="7712" ht="12.75" customHeight="1" x14ac:dyDescent="0.2"/>
    <row r="7713" ht="12.75" customHeight="1" x14ac:dyDescent="0.2"/>
    <row r="7714" ht="12.75" customHeight="1" x14ac:dyDescent="0.2"/>
    <row r="7715" ht="12.75" customHeight="1" x14ac:dyDescent="0.2"/>
    <row r="7716" ht="12.75" customHeight="1" x14ac:dyDescent="0.2"/>
    <row r="7717" ht="12.75" customHeight="1" x14ac:dyDescent="0.2"/>
    <row r="7718" ht="12.75" customHeight="1" x14ac:dyDescent="0.2"/>
    <row r="7719" ht="12.75" customHeight="1" x14ac:dyDescent="0.2"/>
    <row r="7720" ht="12.75" customHeight="1" x14ac:dyDescent="0.2"/>
    <row r="7721" ht="12.75" customHeight="1" x14ac:dyDescent="0.2"/>
    <row r="7722" ht="12.75" customHeight="1" x14ac:dyDescent="0.2"/>
    <row r="7723" ht="12.75" customHeight="1" x14ac:dyDescent="0.2"/>
    <row r="7724" ht="12.75" customHeight="1" x14ac:dyDescent="0.2"/>
    <row r="7725" ht="12.75" customHeight="1" x14ac:dyDescent="0.2"/>
    <row r="7726" ht="12.75" customHeight="1" x14ac:dyDescent="0.2"/>
    <row r="7727" ht="12.75" customHeight="1" x14ac:dyDescent="0.2"/>
    <row r="7728" ht="12.75" customHeight="1" x14ac:dyDescent="0.2"/>
    <row r="7729" ht="12.75" customHeight="1" x14ac:dyDescent="0.2"/>
    <row r="7730" ht="12.75" customHeight="1" x14ac:dyDescent="0.2"/>
    <row r="7731" ht="12.75" customHeight="1" x14ac:dyDescent="0.2"/>
    <row r="7732" ht="12.75" customHeight="1" x14ac:dyDescent="0.2"/>
    <row r="7733" ht="12.75" customHeight="1" x14ac:dyDescent="0.2"/>
    <row r="7734" ht="12.75" customHeight="1" x14ac:dyDescent="0.2"/>
    <row r="7735" ht="12.75" customHeight="1" x14ac:dyDescent="0.2"/>
    <row r="7736" ht="12.75" customHeight="1" x14ac:dyDescent="0.2"/>
    <row r="7737" ht="12.75" customHeight="1" x14ac:dyDescent="0.2"/>
    <row r="7738" ht="12.75" customHeight="1" x14ac:dyDescent="0.2"/>
    <row r="7739" ht="12.75" customHeight="1" x14ac:dyDescent="0.2"/>
    <row r="7740" ht="12.75" customHeight="1" x14ac:dyDescent="0.2"/>
    <row r="7741" ht="12.75" customHeight="1" x14ac:dyDescent="0.2"/>
    <row r="7742" ht="12.75" customHeight="1" x14ac:dyDescent="0.2"/>
    <row r="7743" ht="12.75" customHeight="1" x14ac:dyDescent="0.2"/>
    <row r="7744" ht="12.75" customHeight="1" x14ac:dyDescent="0.2"/>
    <row r="7745" ht="12.75" customHeight="1" x14ac:dyDescent="0.2"/>
    <row r="7746" ht="12.75" customHeight="1" x14ac:dyDescent="0.2"/>
    <row r="7747" ht="12.75" customHeight="1" x14ac:dyDescent="0.2"/>
    <row r="7748" ht="12.75" customHeight="1" x14ac:dyDescent="0.2"/>
    <row r="7749" ht="12.75" customHeight="1" x14ac:dyDescent="0.2"/>
    <row r="7750" ht="12.75" customHeight="1" x14ac:dyDescent="0.2"/>
    <row r="7751" ht="12.75" customHeight="1" x14ac:dyDescent="0.2"/>
    <row r="7752" ht="12.75" customHeight="1" x14ac:dyDescent="0.2"/>
    <row r="7753" ht="12.75" customHeight="1" x14ac:dyDescent="0.2"/>
    <row r="7754" ht="12.75" customHeight="1" x14ac:dyDescent="0.2"/>
    <row r="7755" ht="12.75" customHeight="1" x14ac:dyDescent="0.2"/>
    <row r="7756" ht="12.75" customHeight="1" x14ac:dyDescent="0.2"/>
    <row r="7757" ht="12.75" customHeight="1" x14ac:dyDescent="0.2"/>
    <row r="7758" ht="12.75" customHeight="1" x14ac:dyDescent="0.2"/>
    <row r="7759" ht="12.75" customHeight="1" x14ac:dyDescent="0.2"/>
    <row r="7760" ht="12.75" customHeight="1" x14ac:dyDescent="0.2"/>
    <row r="7761" ht="12.75" customHeight="1" x14ac:dyDescent="0.2"/>
    <row r="7762" ht="12.75" customHeight="1" x14ac:dyDescent="0.2"/>
    <row r="7763" ht="12.75" customHeight="1" x14ac:dyDescent="0.2"/>
    <row r="7764" ht="12.75" customHeight="1" x14ac:dyDescent="0.2"/>
    <row r="7765" ht="12.75" customHeight="1" x14ac:dyDescent="0.2"/>
    <row r="7766" ht="12.75" customHeight="1" x14ac:dyDescent="0.2"/>
    <row r="7767" ht="12.75" customHeight="1" x14ac:dyDescent="0.2"/>
    <row r="7768" ht="12.75" customHeight="1" x14ac:dyDescent="0.2"/>
    <row r="7769" ht="12.75" customHeight="1" x14ac:dyDescent="0.2"/>
    <row r="7770" ht="12.75" customHeight="1" x14ac:dyDescent="0.2"/>
    <row r="7771" ht="12.75" customHeight="1" x14ac:dyDescent="0.2"/>
    <row r="7772" ht="12.75" customHeight="1" x14ac:dyDescent="0.2"/>
    <row r="7773" ht="12.75" customHeight="1" x14ac:dyDescent="0.2"/>
    <row r="7774" ht="12.75" customHeight="1" x14ac:dyDescent="0.2"/>
    <row r="7775" ht="12.75" customHeight="1" x14ac:dyDescent="0.2"/>
    <row r="7776" ht="12.75" customHeight="1" x14ac:dyDescent="0.2"/>
    <row r="7777" ht="12.75" customHeight="1" x14ac:dyDescent="0.2"/>
    <row r="7778" ht="12.75" customHeight="1" x14ac:dyDescent="0.2"/>
    <row r="7779" ht="12.75" customHeight="1" x14ac:dyDescent="0.2"/>
    <row r="7780" ht="12.75" customHeight="1" x14ac:dyDescent="0.2"/>
    <row r="7781" ht="12.75" customHeight="1" x14ac:dyDescent="0.2"/>
    <row r="7782" ht="12.75" customHeight="1" x14ac:dyDescent="0.2"/>
    <row r="7783" ht="12.75" customHeight="1" x14ac:dyDescent="0.2"/>
    <row r="7784" ht="12.75" customHeight="1" x14ac:dyDescent="0.2"/>
    <row r="7785" ht="12.75" customHeight="1" x14ac:dyDescent="0.2"/>
    <row r="7786" ht="12.75" customHeight="1" x14ac:dyDescent="0.2"/>
    <row r="7787" ht="12.75" customHeight="1" x14ac:dyDescent="0.2"/>
    <row r="7788" ht="12.75" customHeight="1" x14ac:dyDescent="0.2"/>
    <row r="7789" ht="12.75" customHeight="1" x14ac:dyDescent="0.2"/>
    <row r="7790" ht="12.75" customHeight="1" x14ac:dyDescent="0.2"/>
    <row r="7791" ht="12.75" customHeight="1" x14ac:dyDescent="0.2"/>
    <row r="7792" ht="12.75" customHeight="1" x14ac:dyDescent="0.2"/>
    <row r="7793" ht="12.75" customHeight="1" x14ac:dyDescent="0.2"/>
    <row r="7794" ht="12.75" customHeight="1" x14ac:dyDescent="0.2"/>
    <row r="7795" ht="12.75" customHeight="1" x14ac:dyDescent="0.2"/>
    <row r="7796" ht="12.75" customHeight="1" x14ac:dyDescent="0.2"/>
    <row r="7797" ht="12.75" customHeight="1" x14ac:dyDescent="0.2"/>
    <row r="7798" ht="12.75" customHeight="1" x14ac:dyDescent="0.2"/>
    <row r="7799" ht="12.75" customHeight="1" x14ac:dyDescent="0.2"/>
    <row r="7800" ht="12.75" customHeight="1" x14ac:dyDescent="0.2"/>
    <row r="7801" ht="12.75" customHeight="1" x14ac:dyDescent="0.2"/>
    <row r="7802" ht="12.75" customHeight="1" x14ac:dyDescent="0.2"/>
    <row r="7803" ht="12.75" customHeight="1" x14ac:dyDescent="0.2"/>
    <row r="7804" ht="12.75" customHeight="1" x14ac:dyDescent="0.2"/>
    <row r="7805" ht="12.75" customHeight="1" x14ac:dyDescent="0.2"/>
    <row r="7806" ht="12.75" customHeight="1" x14ac:dyDescent="0.2"/>
    <row r="7807" ht="12.75" customHeight="1" x14ac:dyDescent="0.2"/>
    <row r="7808" ht="12.75" customHeight="1" x14ac:dyDescent="0.2"/>
    <row r="7809" ht="12.75" customHeight="1" x14ac:dyDescent="0.2"/>
    <row r="7810" ht="12.75" customHeight="1" x14ac:dyDescent="0.2"/>
    <row r="7811" ht="12.75" customHeight="1" x14ac:dyDescent="0.2"/>
    <row r="7812" ht="12.75" customHeight="1" x14ac:dyDescent="0.2"/>
    <row r="7813" ht="12.75" customHeight="1" x14ac:dyDescent="0.2"/>
    <row r="7814" ht="12.75" customHeight="1" x14ac:dyDescent="0.2"/>
    <row r="7815" ht="12.75" customHeight="1" x14ac:dyDescent="0.2"/>
    <row r="7816" ht="12.75" customHeight="1" x14ac:dyDescent="0.2"/>
    <row r="7817" ht="12.75" customHeight="1" x14ac:dyDescent="0.2"/>
    <row r="7818" ht="12.75" customHeight="1" x14ac:dyDescent="0.2"/>
    <row r="7819" ht="12.75" customHeight="1" x14ac:dyDescent="0.2"/>
    <row r="7820" ht="12.75" customHeight="1" x14ac:dyDescent="0.2"/>
    <row r="7821" ht="12.75" customHeight="1" x14ac:dyDescent="0.2"/>
    <row r="7822" ht="12.75" customHeight="1" x14ac:dyDescent="0.2"/>
    <row r="7823" ht="12.75" customHeight="1" x14ac:dyDescent="0.2"/>
    <row r="7824" ht="12.75" customHeight="1" x14ac:dyDescent="0.2"/>
    <row r="7825" ht="12.75" customHeight="1" x14ac:dyDescent="0.2"/>
    <row r="7826" ht="12.75" customHeight="1" x14ac:dyDescent="0.2"/>
    <row r="7827" ht="12.75" customHeight="1" x14ac:dyDescent="0.2"/>
    <row r="7828" ht="12.75" customHeight="1" x14ac:dyDescent="0.2"/>
    <row r="7829" ht="12.75" customHeight="1" x14ac:dyDescent="0.2"/>
    <row r="7830" ht="12.75" customHeight="1" x14ac:dyDescent="0.2"/>
    <row r="7831" ht="12.75" customHeight="1" x14ac:dyDescent="0.2"/>
    <row r="7832" ht="12.75" customHeight="1" x14ac:dyDescent="0.2"/>
    <row r="7833" ht="12.75" customHeight="1" x14ac:dyDescent="0.2"/>
    <row r="7834" ht="12.75" customHeight="1" x14ac:dyDescent="0.2"/>
    <row r="7835" ht="12.75" customHeight="1" x14ac:dyDescent="0.2"/>
    <row r="7836" ht="12.75" customHeight="1" x14ac:dyDescent="0.2"/>
    <row r="7837" ht="12.75" customHeight="1" x14ac:dyDescent="0.2"/>
    <row r="7838" ht="12.75" customHeight="1" x14ac:dyDescent="0.2"/>
    <row r="7839" ht="12.75" customHeight="1" x14ac:dyDescent="0.2"/>
    <row r="7840" ht="12.75" customHeight="1" x14ac:dyDescent="0.2"/>
    <row r="7841" ht="12.75" customHeight="1" x14ac:dyDescent="0.2"/>
    <row r="7842" ht="12.75" customHeight="1" x14ac:dyDescent="0.2"/>
    <row r="7843" ht="12.75" customHeight="1" x14ac:dyDescent="0.2"/>
    <row r="7844" ht="12.75" customHeight="1" x14ac:dyDescent="0.2"/>
    <row r="7845" ht="12.75" customHeight="1" x14ac:dyDescent="0.2"/>
    <row r="7846" ht="12.75" customHeight="1" x14ac:dyDescent="0.2"/>
    <row r="7847" ht="12.75" customHeight="1" x14ac:dyDescent="0.2"/>
    <row r="7848" ht="12.75" customHeight="1" x14ac:dyDescent="0.2"/>
    <row r="7849" ht="12.75" customHeight="1" x14ac:dyDescent="0.2"/>
    <row r="7850" ht="12.75" customHeight="1" x14ac:dyDescent="0.2"/>
    <row r="7851" ht="12.75" customHeight="1" x14ac:dyDescent="0.2"/>
    <row r="7852" ht="12.75" customHeight="1" x14ac:dyDescent="0.2"/>
    <row r="7853" ht="12.75" customHeight="1" x14ac:dyDescent="0.2"/>
    <row r="7854" ht="12.75" customHeight="1" x14ac:dyDescent="0.2"/>
    <row r="7855" ht="12.75" customHeight="1" x14ac:dyDescent="0.2"/>
    <row r="7856" ht="12.75" customHeight="1" x14ac:dyDescent="0.2"/>
    <row r="7857" ht="12.75" customHeight="1" x14ac:dyDescent="0.2"/>
    <row r="7858" ht="12.75" customHeight="1" x14ac:dyDescent="0.2"/>
    <row r="7859" ht="12.75" customHeight="1" x14ac:dyDescent="0.2"/>
    <row r="7860" ht="12.75" customHeight="1" x14ac:dyDescent="0.2"/>
    <row r="7861" ht="12.75" customHeight="1" x14ac:dyDescent="0.2"/>
    <row r="7862" ht="12.75" customHeight="1" x14ac:dyDescent="0.2"/>
    <row r="7863" ht="12.75" customHeight="1" x14ac:dyDescent="0.2"/>
    <row r="7864" ht="12.75" customHeight="1" x14ac:dyDescent="0.2"/>
    <row r="7865" ht="12.75" customHeight="1" x14ac:dyDescent="0.2"/>
    <row r="7866" ht="12.75" customHeight="1" x14ac:dyDescent="0.2"/>
    <row r="7867" ht="12.75" customHeight="1" x14ac:dyDescent="0.2"/>
    <row r="7868" ht="12.75" customHeight="1" x14ac:dyDescent="0.2"/>
    <row r="7869" ht="12.75" customHeight="1" x14ac:dyDescent="0.2"/>
    <row r="7870" ht="12.75" customHeight="1" x14ac:dyDescent="0.2"/>
    <row r="7871" ht="12.75" customHeight="1" x14ac:dyDescent="0.2"/>
    <row r="7872" ht="12.75" customHeight="1" x14ac:dyDescent="0.2"/>
    <row r="7873" ht="12.75" customHeight="1" x14ac:dyDescent="0.2"/>
    <row r="7874" ht="12.75" customHeight="1" x14ac:dyDescent="0.2"/>
    <row r="7875" ht="12.75" customHeight="1" x14ac:dyDescent="0.2"/>
    <row r="7876" ht="12.75" customHeight="1" x14ac:dyDescent="0.2"/>
    <row r="7877" ht="12.75" customHeight="1" x14ac:dyDescent="0.2"/>
    <row r="7878" ht="12.75" customHeight="1" x14ac:dyDescent="0.2"/>
    <row r="7879" ht="12.75" customHeight="1" x14ac:dyDescent="0.2"/>
    <row r="7880" ht="12.75" customHeight="1" x14ac:dyDescent="0.2"/>
    <row r="7881" ht="12.75" customHeight="1" x14ac:dyDescent="0.2"/>
    <row r="7882" ht="12.75" customHeight="1" x14ac:dyDescent="0.2"/>
    <row r="7883" ht="12.75" customHeight="1" x14ac:dyDescent="0.2"/>
    <row r="7884" ht="12.75" customHeight="1" x14ac:dyDescent="0.2"/>
    <row r="7885" ht="12.75" customHeight="1" x14ac:dyDescent="0.2"/>
    <row r="7886" ht="12.75" customHeight="1" x14ac:dyDescent="0.2"/>
    <row r="7887" ht="12.75" customHeight="1" x14ac:dyDescent="0.2"/>
    <row r="7888" ht="12.75" customHeight="1" x14ac:dyDescent="0.2"/>
    <row r="7889" ht="12.75" customHeight="1" x14ac:dyDescent="0.2"/>
    <row r="7890" ht="12.75" customHeight="1" x14ac:dyDescent="0.2"/>
    <row r="7891" ht="12.75" customHeight="1" x14ac:dyDescent="0.2"/>
    <row r="7892" ht="12.75" customHeight="1" x14ac:dyDescent="0.2"/>
    <row r="7893" ht="12.75" customHeight="1" x14ac:dyDescent="0.2"/>
    <row r="7894" ht="12.75" customHeight="1" x14ac:dyDescent="0.2"/>
    <row r="7895" ht="12.75" customHeight="1" x14ac:dyDescent="0.2"/>
    <row r="7896" ht="12.75" customHeight="1" x14ac:dyDescent="0.2"/>
    <row r="7897" ht="12.75" customHeight="1" x14ac:dyDescent="0.2"/>
    <row r="7898" ht="12.75" customHeight="1" x14ac:dyDescent="0.2"/>
    <row r="7899" ht="12.75" customHeight="1" x14ac:dyDescent="0.2"/>
    <row r="7900" ht="12.75" customHeight="1" x14ac:dyDescent="0.2"/>
    <row r="7901" ht="12.75" customHeight="1" x14ac:dyDescent="0.2"/>
    <row r="7902" ht="12.75" customHeight="1" x14ac:dyDescent="0.2"/>
    <row r="7903" ht="12.75" customHeight="1" x14ac:dyDescent="0.2"/>
    <row r="7904" ht="12.75" customHeight="1" x14ac:dyDescent="0.2"/>
    <row r="7905" ht="12.75" customHeight="1" x14ac:dyDescent="0.2"/>
    <row r="7906" ht="12.75" customHeight="1" x14ac:dyDescent="0.2"/>
    <row r="7907" ht="12.75" customHeight="1" x14ac:dyDescent="0.2"/>
    <row r="7908" ht="12.75" customHeight="1" x14ac:dyDescent="0.2"/>
    <row r="7909" ht="12.75" customHeight="1" x14ac:dyDescent="0.2"/>
    <row r="7910" ht="12.75" customHeight="1" x14ac:dyDescent="0.2"/>
    <row r="7911" ht="12.75" customHeight="1" x14ac:dyDescent="0.2"/>
    <row r="7912" ht="12.75" customHeight="1" x14ac:dyDescent="0.2"/>
    <row r="7913" ht="12.75" customHeight="1" x14ac:dyDescent="0.2"/>
    <row r="7914" ht="12.75" customHeight="1" x14ac:dyDescent="0.2"/>
    <row r="7915" ht="12.75" customHeight="1" x14ac:dyDescent="0.2"/>
    <row r="7916" ht="12.75" customHeight="1" x14ac:dyDescent="0.2"/>
    <row r="7917" ht="12.75" customHeight="1" x14ac:dyDescent="0.2"/>
    <row r="7918" ht="12.75" customHeight="1" x14ac:dyDescent="0.2"/>
    <row r="7919" ht="12.75" customHeight="1" x14ac:dyDescent="0.2"/>
    <row r="7920" ht="12.75" customHeight="1" x14ac:dyDescent="0.2"/>
    <row r="7921" ht="12.75" customHeight="1" x14ac:dyDescent="0.2"/>
    <row r="7922" ht="12.75" customHeight="1" x14ac:dyDescent="0.2"/>
    <row r="7923" ht="12.75" customHeight="1" x14ac:dyDescent="0.2"/>
    <row r="7924" ht="12.75" customHeight="1" x14ac:dyDescent="0.2"/>
    <row r="7925" ht="12.75" customHeight="1" x14ac:dyDescent="0.2"/>
    <row r="7926" ht="12.75" customHeight="1" x14ac:dyDescent="0.2"/>
    <row r="7927" ht="12.75" customHeight="1" x14ac:dyDescent="0.2"/>
    <row r="7928" ht="12.75" customHeight="1" x14ac:dyDescent="0.2"/>
    <row r="7929" ht="12.75" customHeight="1" x14ac:dyDescent="0.2"/>
    <row r="7930" ht="12.75" customHeight="1" x14ac:dyDescent="0.2"/>
    <row r="7931" ht="12.75" customHeight="1" x14ac:dyDescent="0.2"/>
    <row r="7932" ht="12.75" customHeight="1" x14ac:dyDescent="0.2"/>
    <row r="7933" ht="12.75" customHeight="1" x14ac:dyDescent="0.2"/>
    <row r="7934" ht="12.75" customHeight="1" x14ac:dyDescent="0.2"/>
    <row r="7935" ht="12.75" customHeight="1" x14ac:dyDescent="0.2"/>
    <row r="7936" ht="12.75" customHeight="1" x14ac:dyDescent="0.2"/>
    <row r="7937" ht="12.75" customHeight="1" x14ac:dyDescent="0.2"/>
    <row r="7938" ht="12.75" customHeight="1" x14ac:dyDescent="0.2"/>
    <row r="7939" ht="12.75" customHeight="1" x14ac:dyDescent="0.2"/>
    <row r="7940" ht="12.75" customHeight="1" x14ac:dyDescent="0.2"/>
    <row r="7941" ht="12.75" customHeight="1" x14ac:dyDescent="0.2"/>
    <row r="7942" ht="12.75" customHeight="1" x14ac:dyDescent="0.2"/>
    <row r="7943" ht="12.75" customHeight="1" x14ac:dyDescent="0.2"/>
    <row r="7944" ht="12.75" customHeight="1" x14ac:dyDescent="0.2"/>
    <row r="7945" ht="12.75" customHeight="1" x14ac:dyDescent="0.2"/>
    <row r="7946" ht="12.75" customHeight="1" x14ac:dyDescent="0.2"/>
    <row r="7947" ht="12.75" customHeight="1" x14ac:dyDescent="0.2"/>
    <row r="7948" ht="12.75" customHeight="1" x14ac:dyDescent="0.2"/>
    <row r="7949" ht="12.75" customHeight="1" x14ac:dyDescent="0.2"/>
    <row r="7950" ht="12.75" customHeight="1" x14ac:dyDescent="0.2"/>
    <row r="7951" ht="12.75" customHeight="1" x14ac:dyDescent="0.2"/>
    <row r="7952" ht="12.75" customHeight="1" x14ac:dyDescent="0.2"/>
    <row r="7953" ht="12.75" customHeight="1" x14ac:dyDescent="0.2"/>
    <row r="7954" ht="12.75" customHeight="1" x14ac:dyDescent="0.2"/>
    <row r="7955" ht="12.75" customHeight="1" x14ac:dyDescent="0.2"/>
    <row r="7956" ht="12.75" customHeight="1" x14ac:dyDescent="0.2"/>
    <row r="7957" ht="12.75" customHeight="1" x14ac:dyDescent="0.2"/>
    <row r="7958" ht="12.75" customHeight="1" x14ac:dyDescent="0.2"/>
    <row r="7959" ht="12.75" customHeight="1" x14ac:dyDescent="0.2"/>
    <row r="7960" ht="12.75" customHeight="1" x14ac:dyDescent="0.2"/>
    <row r="7961" ht="12.75" customHeight="1" x14ac:dyDescent="0.2"/>
    <row r="7962" ht="12.75" customHeight="1" x14ac:dyDescent="0.2"/>
    <row r="7963" ht="12.75" customHeight="1" x14ac:dyDescent="0.2"/>
    <row r="7964" ht="12.75" customHeight="1" x14ac:dyDescent="0.2"/>
    <row r="7965" ht="12.75" customHeight="1" x14ac:dyDescent="0.2"/>
    <row r="7966" ht="12.75" customHeight="1" x14ac:dyDescent="0.2"/>
    <row r="7967" ht="12.75" customHeight="1" x14ac:dyDescent="0.2"/>
    <row r="7968" ht="12.75" customHeight="1" x14ac:dyDescent="0.2"/>
    <row r="7969" ht="12.75" customHeight="1" x14ac:dyDescent="0.2"/>
    <row r="7970" ht="12.75" customHeight="1" x14ac:dyDescent="0.2"/>
    <row r="7971" ht="12.75" customHeight="1" x14ac:dyDescent="0.2"/>
    <row r="7972" ht="12.75" customHeight="1" x14ac:dyDescent="0.2"/>
    <row r="7973" ht="12.75" customHeight="1" x14ac:dyDescent="0.2"/>
    <row r="7974" ht="12.75" customHeight="1" x14ac:dyDescent="0.2"/>
    <row r="7975" ht="12.75" customHeight="1" x14ac:dyDescent="0.2"/>
    <row r="7976" ht="12.75" customHeight="1" x14ac:dyDescent="0.2"/>
    <row r="7977" ht="12.75" customHeight="1" x14ac:dyDescent="0.2"/>
    <row r="7978" ht="12.75" customHeight="1" x14ac:dyDescent="0.2"/>
    <row r="7979" ht="12.75" customHeight="1" x14ac:dyDescent="0.2"/>
    <row r="7980" ht="12.75" customHeight="1" x14ac:dyDescent="0.2"/>
    <row r="7981" ht="12.75" customHeight="1" x14ac:dyDescent="0.2"/>
    <row r="7982" ht="12.75" customHeight="1" x14ac:dyDescent="0.2"/>
    <row r="7983" ht="12.75" customHeight="1" x14ac:dyDescent="0.2"/>
    <row r="7984" ht="12.75" customHeight="1" x14ac:dyDescent="0.2"/>
    <row r="7985" ht="12.75" customHeight="1" x14ac:dyDescent="0.2"/>
    <row r="7986" ht="12.75" customHeight="1" x14ac:dyDescent="0.2"/>
    <row r="7987" ht="12.75" customHeight="1" x14ac:dyDescent="0.2"/>
    <row r="7988" ht="12.75" customHeight="1" x14ac:dyDescent="0.2"/>
    <row r="7989" ht="12.75" customHeight="1" x14ac:dyDescent="0.2"/>
    <row r="7990" ht="12.75" customHeight="1" x14ac:dyDescent="0.2"/>
    <row r="7991" ht="12.75" customHeight="1" x14ac:dyDescent="0.2"/>
    <row r="7992" ht="12.75" customHeight="1" x14ac:dyDescent="0.2"/>
    <row r="7993" ht="12.75" customHeight="1" x14ac:dyDescent="0.2"/>
    <row r="7994" ht="12.75" customHeight="1" x14ac:dyDescent="0.2"/>
    <row r="7995" ht="12.75" customHeight="1" x14ac:dyDescent="0.2"/>
    <row r="7996" ht="12.75" customHeight="1" x14ac:dyDescent="0.2"/>
    <row r="7997" ht="12.75" customHeight="1" x14ac:dyDescent="0.2"/>
    <row r="7998" ht="12.75" customHeight="1" x14ac:dyDescent="0.2"/>
    <row r="7999" ht="12.75" customHeight="1" x14ac:dyDescent="0.2"/>
    <row r="8000" ht="12.75" customHeight="1" x14ac:dyDescent="0.2"/>
    <row r="8001" ht="12.75" customHeight="1" x14ac:dyDescent="0.2"/>
    <row r="8002" ht="12.75" customHeight="1" x14ac:dyDescent="0.2"/>
    <row r="8003" ht="12.75" customHeight="1" x14ac:dyDescent="0.2"/>
    <row r="8004" ht="12.75" customHeight="1" x14ac:dyDescent="0.2"/>
    <row r="8005" ht="12.75" customHeight="1" x14ac:dyDescent="0.2"/>
    <row r="8006" ht="12.75" customHeight="1" x14ac:dyDescent="0.2"/>
    <row r="8007" ht="12.75" customHeight="1" x14ac:dyDescent="0.2"/>
    <row r="8008" ht="12.75" customHeight="1" x14ac:dyDescent="0.2"/>
    <row r="8009" ht="12.75" customHeight="1" x14ac:dyDescent="0.2"/>
    <row r="8010" ht="12.75" customHeight="1" x14ac:dyDescent="0.2"/>
    <row r="8011" ht="12.75" customHeight="1" x14ac:dyDescent="0.2"/>
    <row r="8012" ht="12.75" customHeight="1" x14ac:dyDescent="0.2"/>
    <row r="8013" ht="12.75" customHeight="1" x14ac:dyDescent="0.2"/>
    <row r="8014" ht="12.75" customHeight="1" x14ac:dyDescent="0.2"/>
    <row r="8015" ht="12.75" customHeight="1" x14ac:dyDescent="0.2"/>
    <row r="8016" ht="12.75" customHeight="1" x14ac:dyDescent="0.2"/>
    <row r="8017" ht="12.75" customHeight="1" x14ac:dyDescent="0.2"/>
    <row r="8018" ht="12.75" customHeight="1" x14ac:dyDescent="0.2"/>
    <row r="8019" ht="12.75" customHeight="1" x14ac:dyDescent="0.2"/>
    <row r="8020" ht="12.75" customHeight="1" x14ac:dyDescent="0.2"/>
    <row r="8021" ht="12.75" customHeight="1" x14ac:dyDescent="0.2"/>
    <row r="8022" ht="12.75" customHeight="1" x14ac:dyDescent="0.2"/>
    <row r="8023" ht="12.75" customHeight="1" x14ac:dyDescent="0.2"/>
    <row r="8024" ht="12.75" customHeight="1" x14ac:dyDescent="0.2"/>
    <row r="8025" ht="12.75" customHeight="1" x14ac:dyDescent="0.2"/>
    <row r="8026" ht="12.75" customHeight="1" x14ac:dyDescent="0.2"/>
    <row r="8027" ht="12.75" customHeight="1" x14ac:dyDescent="0.2"/>
    <row r="8028" ht="12.75" customHeight="1" x14ac:dyDescent="0.2"/>
    <row r="8029" ht="12.75" customHeight="1" x14ac:dyDescent="0.2"/>
    <row r="8030" ht="12.75" customHeight="1" x14ac:dyDescent="0.2"/>
    <row r="8031" ht="12.75" customHeight="1" x14ac:dyDescent="0.2"/>
    <row r="8032" ht="12.75" customHeight="1" x14ac:dyDescent="0.2"/>
    <row r="8033" ht="12.75" customHeight="1" x14ac:dyDescent="0.2"/>
    <row r="8034" ht="12.75" customHeight="1" x14ac:dyDescent="0.2"/>
    <row r="8035" ht="12.75" customHeight="1" x14ac:dyDescent="0.2"/>
    <row r="8036" ht="12.75" customHeight="1" x14ac:dyDescent="0.2"/>
    <row r="8037" ht="12.75" customHeight="1" x14ac:dyDescent="0.2"/>
    <row r="8038" ht="12.75" customHeight="1" x14ac:dyDescent="0.2"/>
    <row r="8039" ht="12.75" customHeight="1" x14ac:dyDescent="0.2"/>
    <row r="8040" ht="12.75" customHeight="1" x14ac:dyDescent="0.2"/>
    <row r="8041" ht="12.75" customHeight="1" x14ac:dyDescent="0.2"/>
    <row r="8042" ht="12.75" customHeight="1" x14ac:dyDescent="0.2"/>
    <row r="8043" ht="12.75" customHeight="1" x14ac:dyDescent="0.2"/>
    <row r="8044" ht="12.75" customHeight="1" x14ac:dyDescent="0.2"/>
    <row r="8045" ht="12.75" customHeight="1" x14ac:dyDescent="0.2"/>
    <row r="8046" ht="12.75" customHeight="1" x14ac:dyDescent="0.2"/>
    <row r="8047" ht="12.75" customHeight="1" x14ac:dyDescent="0.2"/>
    <row r="8048" ht="12.75" customHeight="1" x14ac:dyDescent="0.2"/>
    <row r="8049" ht="12.75" customHeight="1" x14ac:dyDescent="0.2"/>
    <row r="8050" ht="12.75" customHeight="1" x14ac:dyDescent="0.2"/>
    <row r="8051" ht="12.75" customHeight="1" x14ac:dyDescent="0.2"/>
    <row r="8052" ht="12.75" customHeight="1" x14ac:dyDescent="0.2"/>
    <row r="8053" ht="12.75" customHeight="1" x14ac:dyDescent="0.2"/>
    <row r="8054" ht="12.75" customHeight="1" x14ac:dyDescent="0.2"/>
    <row r="8055" ht="12.75" customHeight="1" x14ac:dyDescent="0.2"/>
    <row r="8056" ht="12.75" customHeight="1" x14ac:dyDescent="0.2"/>
    <row r="8057" ht="12.75" customHeight="1" x14ac:dyDescent="0.2"/>
    <row r="8058" ht="12.75" customHeight="1" x14ac:dyDescent="0.2"/>
    <row r="8059" ht="12.75" customHeight="1" x14ac:dyDescent="0.2"/>
    <row r="8060" ht="12.75" customHeight="1" x14ac:dyDescent="0.2"/>
    <row r="8061" ht="12.75" customHeight="1" x14ac:dyDescent="0.2"/>
    <row r="8062" ht="12.75" customHeight="1" x14ac:dyDescent="0.2"/>
    <row r="8063" ht="12.75" customHeight="1" x14ac:dyDescent="0.2"/>
    <row r="8064" ht="12.75" customHeight="1" x14ac:dyDescent="0.2"/>
    <row r="8065" ht="12.75" customHeight="1" x14ac:dyDescent="0.2"/>
    <row r="8066" ht="12.75" customHeight="1" x14ac:dyDescent="0.2"/>
    <row r="8067" ht="12.75" customHeight="1" x14ac:dyDescent="0.2"/>
    <row r="8068" ht="12.75" customHeight="1" x14ac:dyDescent="0.2"/>
    <row r="8069" ht="12.75" customHeight="1" x14ac:dyDescent="0.2"/>
    <row r="8070" ht="12.75" customHeight="1" x14ac:dyDescent="0.2"/>
    <row r="8071" ht="12.75" customHeight="1" x14ac:dyDescent="0.2"/>
    <row r="8072" ht="12.75" customHeight="1" x14ac:dyDescent="0.2"/>
    <row r="8073" ht="12.75" customHeight="1" x14ac:dyDescent="0.2"/>
    <row r="8074" ht="12.75" customHeight="1" x14ac:dyDescent="0.2"/>
    <row r="8075" ht="12.75" customHeight="1" x14ac:dyDescent="0.2"/>
    <row r="8076" ht="12.75" customHeight="1" x14ac:dyDescent="0.2"/>
    <row r="8077" ht="12.75" customHeight="1" x14ac:dyDescent="0.2"/>
    <row r="8078" ht="12.75" customHeight="1" x14ac:dyDescent="0.2"/>
    <row r="8079" ht="12.75" customHeight="1" x14ac:dyDescent="0.2"/>
    <row r="8080" ht="12.75" customHeight="1" x14ac:dyDescent="0.2"/>
    <row r="8081" ht="12.75" customHeight="1" x14ac:dyDescent="0.2"/>
    <row r="8082" ht="12.75" customHeight="1" x14ac:dyDescent="0.2"/>
    <row r="8083" ht="12.75" customHeight="1" x14ac:dyDescent="0.2"/>
    <row r="8084" ht="12.75" customHeight="1" x14ac:dyDescent="0.2"/>
    <row r="8085" ht="12.75" customHeight="1" x14ac:dyDescent="0.2"/>
    <row r="8086" ht="12.75" customHeight="1" x14ac:dyDescent="0.2"/>
    <row r="8087" ht="12.75" customHeight="1" x14ac:dyDescent="0.2"/>
    <row r="8088" ht="12.75" customHeight="1" x14ac:dyDescent="0.2"/>
    <row r="8089" ht="12.75" customHeight="1" x14ac:dyDescent="0.2"/>
    <row r="8090" ht="12.75" customHeight="1" x14ac:dyDescent="0.2"/>
    <row r="8091" ht="12.75" customHeight="1" x14ac:dyDescent="0.2"/>
    <row r="8092" ht="12.75" customHeight="1" x14ac:dyDescent="0.2"/>
    <row r="8093" ht="12.75" customHeight="1" x14ac:dyDescent="0.2"/>
    <row r="8094" ht="12.75" customHeight="1" x14ac:dyDescent="0.2"/>
    <row r="8095" ht="12.75" customHeight="1" x14ac:dyDescent="0.2"/>
    <row r="8096" ht="12.75" customHeight="1" x14ac:dyDescent="0.2"/>
    <row r="8097" ht="12.75" customHeight="1" x14ac:dyDescent="0.2"/>
    <row r="8098" ht="12.75" customHeight="1" x14ac:dyDescent="0.2"/>
    <row r="8099" ht="12.75" customHeight="1" x14ac:dyDescent="0.2"/>
    <row r="8100" ht="12.75" customHeight="1" x14ac:dyDescent="0.2"/>
    <row r="8101" ht="12.75" customHeight="1" x14ac:dyDescent="0.2"/>
    <row r="8102" ht="12.75" customHeight="1" x14ac:dyDescent="0.2"/>
    <row r="8103" ht="12.75" customHeight="1" x14ac:dyDescent="0.2"/>
    <row r="8104" ht="12.75" customHeight="1" x14ac:dyDescent="0.2"/>
    <row r="8105" ht="12.75" customHeight="1" x14ac:dyDescent="0.2"/>
    <row r="8106" ht="12.75" customHeight="1" x14ac:dyDescent="0.2"/>
    <row r="8107" ht="12.75" customHeight="1" x14ac:dyDescent="0.2"/>
    <row r="8108" ht="12.75" customHeight="1" x14ac:dyDescent="0.2"/>
    <row r="8109" ht="12.75" customHeight="1" x14ac:dyDescent="0.2"/>
    <row r="8110" ht="12.75" customHeight="1" x14ac:dyDescent="0.2"/>
    <row r="8111" ht="12.75" customHeight="1" x14ac:dyDescent="0.2"/>
    <row r="8112" ht="12.75" customHeight="1" x14ac:dyDescent="0.2"/>
    <row r="8113" ht="12.75" customHeight="1" x14ac:dyDescent="0.2"/>
    <row r="8114" ht="12.75" customHeight="1" x14ac:dyDescent="0.2"/>
    <row r="8115" ht="12.75" customHeight="1" x14ac:dyDescent="0.2"/>
    <row r="8116" ht="12.75" customHeight="1" x14ac:dyDescent="0.2"/>
    <row r="8117" ht="12.75" customHeight="1" x14ac:dyDescent="0.2"/>
    <row r="8118" ht="12.75" customHeight="1" x14ac:dyDescent="0.2"/>
    <row r="8119" ht="12.75" customHeight="1" x14ac:dyDescent="0.2"/>
    <row r="8120" ht="12.75" customHeight="1" x14ac:dyDescent="0.2"/>
    <row r="8121" ht="12.75" customHeight="1" x14ac:dyDescent="0.2"/>
    <row r="8122" ht="12.75" customHeight="1" x14ac:dyDescent="0.2"/>
    <row r="8123" ht="12.75" customHeight="1" x14ac:dyDescent="0.2"/>
    <row r="8124" ht="12.75" customHeight="1" x14ac:dyDescent="0.2"/>
    <row r="8125" ht="12.75" customHeight="1" x14ac:dyDescent="0.2"/>
    <row r="8126" ht="12.75" customHeight="1" x14ac:dyDescent="0.2"/>
    <row r="8127" ht="12.75" customHeight="1" x14ac:dyDescent="0.2"/>
    <row r="8128" ht="12.75" customHeight="1" x14ac:dyDescent="0.2"/>
    <row r="8129" ht="12.75" customHeight="1" x14ac:dyDescent="0.2"/>
    <row r="8130" ht="12.75" customHeight="1" x14ac:dyDescent="0.2"/>
    <row r="8131" ht="12.75" customHeight="1" x14ac:dyDescent="0.2"/>
    <row r="8132" ht="12.75" customHeight="1" x14ac:dyDescent="0.2"/>
    <row r="8133" ht="12.75" customHeight="1" x14ac:dyDescent="0.2"/>
    <row r="8134" ht="12.75" customHeight="1" x14ac:dyDescent="0.2"/>
    <row r="8135" ht="12.75" customHeight="1" x14ac:dyDescent="0.2"/>
    <row r="8136" ht="12.75" customHeight="1" x14ac:dyDescent="0.2"/>
    <row r="8137" ht="12.75" customHeight="1" x14ac:dyDescent="0.2"/>
    <row r="8138" ht="12.75" customHeight="1" x14ac:dyDescent="0.2"/>
    <row r="8139" ht="12.75" customHeight="1" x14ac:dyDescent="0.2"/>
    <row r="8140" ht="12.75" customHeight="1" x14ac:dyDescent="0.2"/>
    <row r="8141" ht="12.75" customHeight="1" x14ac:dyDescent="0.2"/>
    <row r="8142" ht="12.75" customHeight="1" x14ac:dyDescent="0.2"/>
    <row r="8143" ht="12.75" customHeight="1" x14ac:dyDescent="0.2"/>
    <row r="8144" ht="12.75" customHeight="1" x14ac:dyDescent="0.2"/>
    <row r="8145" ht="12.75" customHeight="1" x14ac:dyDescent="0.2"/>
    <row r="8146" ht="12.75" customHeight="1" x14ac:dyDescent="0.2"/>
    <row r="8147" ht="12.75" customHeight="1" x14ac:dyDescent="0.2"/>
    <row r="8148" ht="12.75" customHeight="1" x14ac:dyDescent="0.2"/>
    <row r="8149" ht="12.75" customHeight="1" x14ac:dyDescent="0.2"/>
    <row r="8150" ht="12.75" customHeight="1" x14ac:dyDescent="0.2"/>
    <row r="8151" ht="12.75" customHeight="1" x14ac:dyDescent="0.2"/>
    <row r="8152" ht="12.75" customHeight="1" x14ac:dyDescent="0.2"/>
    <row r="8153" ht="12.75" customHeight="1" x14ac:dyDescent="0.2"/>
    <row r="8154" ht="12.75" customHeight="1" x14ac:dyDescent="0.2"/>
    <row r="8155" ht="12.75" customHeight="1" x14ac:dyDescent="0.2"/>
    <row r="8156" ht="12.75" customHeight="1" x14ac:dyDescent="0.2"/>
    <row r="8157" ht="12.75" customHeight="1" x14ac:dyDescent="0.2"/>
    <row r="8158" ht="12.75" customHeight="1" x14ac:dyDescent="0.2"/>
    <row r="8159" ht="12.75" customHeight="1" x14ac:dyDescent="0.2"/>
    <row r="8160" ht="12.75" customHeight="1" x14ac:dyDescent="0.2"/>
    <row r="8161" ht="12.75" customHeight="1" x14ac:dyDescent="0.2"/>
    <row r="8162" ht="12.75" customHeight="1" x14ac:dyDescent="0.2"/>
    <row r="8163" ht="12.75" customHeight="1" x14ac:dyDescent="0.2"/>
    <row r="8164" ht="12.75" customHeight="1" x14ac:dyDescent="0.2"/>
    <row r="8165" ht="12.75" customHeight="1" x14ac:dyDescent="0.2"/>
    <row r="8166" ht="12.75" customHeight="1" x14ac:dyDescent="0.2"/>
    <row r="8167" ht="12.75" customHeight="1" x14ac:dyDescent="0.2"/>
    <row r="8168" ht="12.75" customHeight="1" x14ac:dyDescent="0.2"/>
    <row r="8169" ht="12.75" customHeight="1" x14ac:dyDescent="0.2"/>
    <row r="8170" ht="12.75" customHeight="1" x14ac:dyDescent="0.2"/>
    <row r="8171" ht="12.75" customHeight="1" x14ac:dyDescent="0.2"/>
    <row r="8172" ht="12.75" customHeight="1" x14ac:dyDescent="0.2"/>
    <row r="8173" ht="12.75" customHeight="1" x14ac:dyDescent="0.2"/>
    <row r="8174" ht="12.75" customHeight="1" x14ac:dyDescent="0.2"/>
    <row r="8175" ht="12.75" customHeight="1" x14ac:dyDescent="0.2"/>
    <row r="8176" ht="12.75" customHeight="1" x14ac:dyDescent="0.2"/>
    <row r="8177" ht="12.75" customHeight="1" x14ac:dyDescent="0.2"/>
    <row r="8178" ht="12.75" customHeight="1" x14ac:dyDescent="0.2"/>
    <row r="8179" ht="12.75" customHeight="1" x14ac:dyDescent="0.2"/>
    <row r="8180" ht="12.75" customHeight="1" x14ac:dyDescent="0.2"/>
    <row r="8181" ht="12.75" customHeight="1" x14ac:dyDescent="0.2"/>
    <row r="8182" ht="12.75" customHeight="1" x14ac:dyDescent="0.2"/>
    <row r="8183" ht="12.75" customHeight="1" x14ac:dyDescent="0.2"/>
    <row r="8184" ht="12.75" customHeight="1" x14ac:dyDescent="0.2"/>
    <row r="8185" ht="12.75" customHeight="1" x14ac:dyDescent="0.2"/>
    <row r="8186" ht="12.75" customHeight="1" x14ac:dyDescent="0.2"/>
    <row r="8187" ht="12.75" customHeight="1" x14ac:dyDescent="0.2"/>
    <row r="8188" ht="12.75" customHeight="1" x14ac:dyDescent="0.2"/>
    <row r="8189" ht="12.75" customHeight="1" x14ac:dyDescent="0.2"/>
    <row r="8190" ht="12.75" customHeight="1" x14ac:dyDescent="0.2"/>
    <row r="8191" ht="12.75" customHeight="1" x14ac:dyDescent="0.2"/>
    <row r="8192" ht="12.75" customHeight="1" x14ac:dyDescent="0.2"/>
    <row r="8193" ht="12.75" customHeight="1" x14ac:dyDescent="0.2"/>
    <row r="8194" ht="12.75" customHeight="1" x14ac:dyDescent="0.2"/>
    <row r="8195" ht="12.75" customHeight="1" x14ac:dyDescent="0.2"/>
    <row r="8196" ht="12.75" customHeight="1" x14ac:dyDescent="0.2"/>
    <row r="8197" ht="12.75" customHeight="1" x14ac:dyDescent="0.2"/>
    <row r="8198" ht="12.75" customHeight="1" x14ac:dyDescent="0.2"/>
    <row r="8199" ht="12.75" customHeight="1" x14ac:dyDescent="0.2"/>
    <row r="8200" ht="12.75" customHeight="1" x14ac:dyDescent="0.2"/>
    <row r="8201" ht="12.75" customHeight="1" x14ac:dyDescent="0.2"/>
    <row r="8202" ht="12.75" customHeight="1" x14ac:dyDescent="0.2"/>
    <row r="8203" ht="12.75" customHeight="1" x14ac:dyDescent="0.2"/>
    <row r="8204" ht="12.75" customHeight="1" x14ac:dyDescent="0.2"/>
    <row r="8205" ht="12.75" customHeight="1" x14ac:dyDescent="0.2"/>
    <row r="8206" ht="12.75" customHeight="1" x14ac:dyDescent="0.2"/>
    <row r="8207" ht="12.75" customHeight="1" x14ac:dyDescent="0.2"/>
    <row r="8208" ht="12.75" customHeight="1" x14ac:dyDescent="0.2"/>
    <row r="8209" ht="12.75" customHeight="1" x14ac:dyDescent="0.2"/>
    <row r="8210" ht="12.75" customHeight="1" x14ac:dyDescent="0.2"/>
    <row r="8211" ht="12.75" customHeight="1" x14ac:dyDescent="0.2"/>
    <row r="8212" ht="12.75" customHeight="1" x14ac:dyDescent="0.2"/>
    <row r="8213" ht="12.75" customHeight="1" x14ac:dyDescent="0.2"/>
    <row r="8214" ht="12.75" customHeight="1" x14ac:dyDescent="0.2"/>
    <row r="8215" ht="12.75" customHeight="1" x14ac:dyDescent="0.2"/>
    <row r="8216" ht="12.75" customHeight="1" x14ac:dyDescent="0.2"/>
    <row r="8217" ht="12.75" customHeight="1" x14ac:dyDescent="0.2"/>
    <row r="8218" ht="12.75" customHeight="1" x14ac:dyDescent="0.2"/>
    <row r="8219" ht="12.75" customHeight="1" x14ac:dyDescent="0.2"/>
    <row r="8220" ht="12.75" customHeight="1" x14ac:dyDescent="0.2"/>
    <row r="8221" ht="12.75" customHeight="1" x14ac:dyDescent="0.2"/>
    <row r="8222" ht="12.75" customHeight="1" x14ac:dyDescent="0.2"/>
    <row r="8223" ht="12.75" customHeight="1" x14ac:dyDescent="0.2"/>
    <row r="8224" ht="12.75" customHeight="1" x14ac:dyDescent="0.2"/>
    <row r="8225" ht="12.75" customHeight="1" x14ac:dyDescent="0.2"/>
    <row r="8226" ht="12.75" customHeight="1" x14ac:dyDescent="0.2"/>
    <row r="8227" ht="12.75" customHeight="1" x14ac:dyDescent="0.2"/>
    <row r="8228" ht="12.75" customHeight="1" x14ac:dyDescent="0.2"/>
    <row r="8229" ht="12.75" customHeight="1" x14ac:dyDescent="0.2"/>
    <row r="8230" ht="12.75" customHeight="1" x14ac:dyDescent="0.2"/>
    <row r="8231" ht="12.75" customHeight="1" x14ac:dyDescent="0.2"/>
    <row r="8232" ht="12.75" customHeight="1" x14ac:dyDescent="0.2"/>
    <row r="8233" ht="12.75" customHeight="1" x14ac:dyDescent="0.2"/>
    <row r="8234" ht="12.75" customHeight="1" x14ac:dyDescent="0.2"/>
    <row r="8235" ht="12.75" customHeight="1" x14ac:dyDescent="0.2"/>
    <row r="8236" ht="12.75" customHeight="1" x14ac:dyDescent="0.2"/>
    <row r="8237" ht="12.75" customHeight="1" x14ac:dyDescent="0.2"/>
    <row r="8238" ht="12.75" customHeight="1" x14ac:dyDescent="0.2"/>
    <row r="8239" ht="12.75" customHeight="1" x14ac:dyDescent="0.2"/>
    <row r="8240" ht="12.75" customHeight="1" x14ac:dyDescent="0.2"/>
    <row r="8241" ht="12.75" customHeight="1" x14ac:dyDescent="0.2"/>
    <row r="8242" ht="12.75" customHeight="1" x14ac:dyDescent="0.2"/>
    <row r="8243" ht="12.75" customHeight="1" x14ac:dyDescent="0.2"/>
    <row r="8244" ht="12.75" customHeight="1" x14ac:dyDescent="0.2"/>
    <row r="8245" ht="12.75" customHeight="1" x14ac:dyDescent="0.2"/>
    <row r="8246" ht="12.75" customHeight="1" x14ac:dyDescent="0.2"/>
    <row r="8247" ht="12.75" customHeight="1" x14ac:dyDescent="0.2"/>
    <row r="8248" ht="12.75" customHeight="1" x14ac:dyDescent="0.2"/>
    <row r="8249" ht="12.75" customHeight="1" x14ac:dyDescent="0.2"/>
    <row r="8250" ht="12.75" customHeight="1" x14ac:dyDescent="0.2"/>
    <row r="8251" ht="12.75" customHeight="1" x14ac:dyDescent="0.2"/>
    <row r="8252" ht="12.75" customHeight="1" x14ac:dyDescent="0.2"/>
    <row r="8253" ht="12.75" customHeight="1" x14ac:dyDescent="0.2"/>
    <row r="8254" ht="12.75" customHeight="1" x14ac:dyDescent="0.2"/>
    <row r="8255" ht="12.75" customHeight="1" x14ac:dyDescent="0.2"/>
    <row r="8256" ht="12.75" customHeight="1" x14ac:dyDescent="0.2"/>
    <row r="8257" ht="12.75" customHeight="1" x14ac:dyDescent="0.2"/>
    <row r="8258" ht="12.75" customHeight="1" x14ac:dyDescent="0.2"/>
    <row r="8259" ht="12.75" customHeight="1" x14ac:dyDescent="0.2"/>
    <row r="8260" ht="12.75" customHeight="1" x14ac:dyDescent="0.2"/>
    <row r="8261" ht="12.75" customHeight="1" x14ac:dyDescent="0.2"/>
    <row r="8262" ht="12.75" customHeight="1" x14ac:dyDescent="0.2"/>
    <row r="8263" ht="12.75" customHeight="1" x14ac:dyDescent="0.2"/>
    <row r="8264" ht="12.75" customHeight="1" x14ac:dyDescent="0.2"/>
    <row r="8265" ht="12.75" customHeight="1" x14ac:dyDescent="0.2"/>
    <row r="8266" ht="12.75" customHeight="1" x14ac:dyDescent="0.2"/>
    <row r="8267" ht="12.75" customHeight="1" x14ac:dyDescent="0.2"/>
    <row r="8268" ht="12.75" customHeight="1" x14ac:dyDescent="0.2"/>
    <row r="8269" ht="12.75" customHeight="1" x14ac:dyDescent="0.2"/>
    <row r="8270" ht="12.75" customHeight="1" x14ac:dyDescent="0.2"/>
    <row r="8271" ht="12.75" customHeight="1" x14ac:dyDescent="0.2"/>
    <row r="8272" ht="12.75" customHeight="1" x14ac:dyDescent="0.2"/>
    <row r="8273" ht="12.75" customHeight="1" x14ac:dyDescent="0.2"/>
    <row r="8274" ht="12.75" customHeight="1" x14ac:dyDescent="0.2"/>
    <row r="8275" ht="12.75" customHeight="1" x14ac:dyDescent="0.2"/>
    <row r="8276" ht="12.75" customHeight="1" x14ac:dyDescent="0.2"/>
    <row r="8277" ht="12.75" customHeight="1" x14ac:dyDescent="0.2"/>
    <row r="8278" ht="12.75" customHeight="1" x14ac:dyDescent="0.2"/>
    <row r="8279" ht="12.75" customHeight="1" x14ac:dyDescent="0.2"/>
    <row r="8280" ht="12.75" customHeight="1" x14ac:dyDescent="0.2"/>
    <row r="8281" ht="12.75" customHeight="1" x14ac:dyDescent="0.2"/>
    <row r="8282" ht="12.75" customHeight="1" x14ac:dyDescent="0.2"/>
    <row r="8283" ht="12.75" customHeight="1" x14ac:dyDescent="0.2"/>
    <row r="8284" ht="12.75" customHeight="1" x14ac:dyDescent="0.2"/>
    <row r="8285" ht="12.75" customHeight="1" x14ac:dyDescent="0.2"/>
    <row r="8286" ht="12.75" customHeight="1" x14ac:dyDescent="0.2"/>
    <row r="8287" ht="12.75" customHeight="1" x14ac:dyDescent="0.2"/>
    <row r="8288" ht="12.75" customHeight="1" x14ac:dyDescent="0.2"/>
    <row r="8289" ht="12.75" customHeight="1" x14ac:dyDescent="0.2"/>
    <row r="8290" ht="12.75" customHeight="1" x14ac:dyDescent="0.2"/>
    <row r="8291" ht="12.75" customHeight="1" x14ac:dyDescent="0.2"/>
    <row r="8292" ht="12.75" customHeight="1" x14ac:dyDescent="0.2"/>
    <row r="8293" ht="12.75" customHeight="1" x14ac:dyDescent="0.2"/>
    <row r="8294" ht="12.75" customHeight="1" x14ac:dyDescent="0.2"/>
    <row r="8295" ht="12.75" customHeight="1" x14ac:dyDescent="0.2"/>
    <row r="8296" ht="12.75" customHeight="1" x14ac:dyDescent="0.2"/>
    <row r="8297" ht="12.75" customHeight="1" x14ac:dyDescent="0.2"/>
    <row r="8298" ht="12.75" customHeight="1" x14ac:dyDescent="0.2"/>
    <row r="8299" ht="12.75" customHeight="1" x14ac:dyDescent="0.2"/>
    <row r="8300" ht="12.75" customHeight="1" x14ac:dyDescent="0.2"/>
    <row r="8301" ht="12.75" customHeight="1" x14ac:dyDescent="0.2"/>
    <row r="8302" ht="12.75" customHeight="1" x14ac:dyDescent="0.2"/>
    <row r="8303" ht="12.75" customHeight="1" x14ac:dyDescent="0.2"/>
    <row r="8304" ht="12.75" customHeight="1" x14ac:dyDescent="0.2"/>
    <row r="8305" ht="12.75" customHeight="1" x14ac:dyDescent="0.2"/>
    <row r="8306" ht="12.75" customHeight="1" x14ac:dyDescent="0.2"/>
    <row r="8307" ht="12.75" customHeight="1" x14ac:dyDescent="0.2"/>
    <row r="8308" ht="12.75" customHeight="1" x14ac:dyDescent="0.2"/>
    <row r="8309" ht="12.75" customHeight="1" x14ac:dyDescent="0.2"/>
    <row r="8310" ht="12.75" customHeight="1" x14ac:dyDescent="0.2"/>
    <row r="8311" ht="12.75" customHeight="1" x14ac:dyDescent="0.2"/>
    <row r="8312" ht="12.75" customHeight="1" x14ac:dyDescent="0.2"/>
    <row r="8313" ht="12.75" customHeight="1" x14ac:dyDescent="0.2"/>
    <row r="8314" ht="12.75" customHeight="1" x14ac:dyDescent="0.2"/>
    <row r="8315" ht="12.75" customHeight="1" x14ac:dyDescent="0.2"/>
    <row r="8316" ht="12.75" customHeight="1" x14ac:dyDescent="0.2"/>
    <row r="8317" ht="12.75" customHeight="1" x14ac:dyDescent="0.2"/>
    <row r="8318" ht="12.75" customHeight="1" x14ac:dyDescent="0.2"/>
    <row r="8319" ht="12.75" customHeight="1" x14ac:dyDescent="0.2"/>
    <row r="8320" ht="12.75" customHeight="1" x14ac:dyDescent="0.2"/>
    <row r="8321" ht="12.75" customHeight="1" x14ac:dyDescent="0.2"/>
    <row r="8322" ht="12.75" customHeight="1" x14ac:dyDescent="0.2"/>
    <row r="8323" ht="12.75" customHeight="1" x14ac:dyDescent="0.2"/>
    <row r="8324" ht="12.75" customHeight="1" x14ac:dyDescent="0.2"/>
    <row r="8325" ht="12.75" customHeight="1" x14ac:dyDescent="0.2"/>
    <row r="8326" ht="12.75" customHeight="1" x14ac:dyDescent="0.2"/>
    <row r="8327" ht="12.75" customHeight="1" x14ac:dyDescent="0.2"/>
    <row r="8328" ht="12.75" customHeight="1" x14ac:dyDescent="0.2"/>
    <row r="8329" ht="12.75" customHeight="1" x14ac:dyDescent="0.2"/>
    <row r="8330" ht="12.75" customHeight="1" x14ac:dyDescent="0.2"/>
    <row r="8331" ht="12.75" customHeight="1" x14ac:dyDescent="0.2"/>
    <row r="8332" ht="12.75" customHeight="1" x14ac:dyDescent="0.2"/>
    <row r="8333" ht="12.75" customHeight="1" x14ac:dyDescent="0.2"/>
    <row r="8334" ht="12.75" customHeight="1" x14ac:dyDescent="0.2"/>
    <row r="8335" ht="12.75" customHeight="1" x14ac:dyDescent="0.2"/>
    <row r="8336" ht="12.75" customHeight="1" x14ac:dyDescent="0.2"/>
    <row r="8337" ht="12.75" customHeight="1" x14ac:dyDescent="0.2"/>
    <row r="8338" ht="12.75" customHeight="1" x14ac:dyDescent="0.2"/>
    <row r="8339" ht="12.75" customHeight="1" x14ac:dyDescent="0.2"/>
    <row r="8340" ht="12.75" customHeight="1" x14ac:dyDescent="0.2"/>
    <row r="8341" ht="12.75" customHeight="1" x14ac:dyDescent="0.2"/>
    <row r="8342" ht="12.75" customHeight="1" x14ac:dyDescent="0.2"/>
    <row r="8343" ht="12.75" customHeight="1" x14ac:dyDescent="0.2"/>
    <row r="8344" ht="12.75" customHeight="1" x14ac:dyDescent="0.2"/>
    <row r="8345" ht="12.75" customHeight="1" x14ac:dyDescent="0.2"/>
    <row r="8346" ht="12.75" customHeight="1" x14ac:dyDescent="0.2"/>
    <row r="8347" ht="12.75" customHeight="1" x14ac:dyDescent="0.2"/>
    <row r="8348" ht="12.75" customHeight="1" x14ac:dyDescent="0.2"/>
    <row r="8349" ht="12.75" customHeight="1" x14ac:dyDescent="0.2"/>
    <row r="8350" ht="12.75" customHeight="1" x14ac:dyDescent="0.2"/>
    <row r="8351" ht="12.75" customHeight="1" x14ac:dyDescent="0.2"/>
    <row r="8352" ht="12.75" customHeight="1" x14ac:dyDescent="0.2"/>
    <row r="8353" ht="12.75" customHeight="1" x14ac:dyDescent="0.2"/>
    <row r="8354" ht="12.75" customHeight="1" x14ac:dyDescent="0.2"/>
    <row r="8355" ht="12.75" customHeight="1" x14ac:dyDescent="0.2"/>
    <row r="8356" ht="12.75" customHeight="1" x14ac:dyDescent="0.2"/>
    <row r="8357" ht="12.75" customHeight="1" x14ac:dyDescent="0.2"/>
    <row r="8358" ht="12.75" customHeight="1" x14ac:dyDescent="0.2"/>
    <row r="8359" ht="12.75" customHeight="1" x14ac:dyDescent="0.2"/>
    <row r="8360" ht="12.75" customHeight="1" x14ac:dyDescent="0.2"/>
    <row r="8361" ht="12.75" customHeight="1" x14ac:dyDescent="0.2"/>
    <row r="8362" ht="12.75" customHeight="1" x14ac:dyDescent="0.2"/>
    <row r="8363" ht="12.75" customHeight="1" x14ac:dyDescent="0.2"/>
    <row r="8364" ht="12.75" customHeight="1" x14ac:dyDescent="0.2"/>
    <row r="8365" ht="12.75" customHeight="1" x14ac:dyDescent="0.2"/>
    <row r="8366" ht="12.75" customHeight="1" x14ac:dyDescent="0.2"/>
    <row r="8367" ht="12.75" customHeight="1" x14ac:dyDescent="0.2"/>
    <row r="8368" ht="12.75" customHeight="1" x14ac:dyDescent="0.2"/>
    <row r="8369" ht="12.75" customHeight="1" x14ac:dyDescent="0.2"/>
    <row r="8370" ht="12.75" customHeight="1" x14ac:dyDescent="0.2"/>
    <row r="8371" ht="12.75" customHeight="1" x14ac:dyDescent="0.2"/>
    <row r="8372" ht="12.75" customHeight="1" x14ac:dyDescent="0.2"/>
    <row r="8373" ht="12.75" customHeight="1" x14ac:dyDescent="0.2"/>
    <row r="8374" ht="12.75" customHeight="1" x14ac:dyDescent="0.2"/>
    <row r="8375" ht="12.75" customHeight="1" x14ac:dyDescent="0.2"/>
    <row r="8376" ht="12.75" customHeight="1" x14ac:dyDescent="0.2"/>
    <row r="8377" ht="12.75" customHeight="1" x14ac:dyDescent="0.2"/>
    <row r="8378" ht="12.75" customHeight="1" x14ac:dyDescent="0.2"/>
    <row r="8379" ht="12.75" customHeight="1" x14ac:dyDescent="0.2"/>
    <row r="8380" ht="12.75" customHeight="1" x14ac:dyDescent="0.2"/>
    <row r="8381" ht="12.75" customHeight="1" x14ac:dyDescent="0.2"/>
    <row r="8382" ht="12.75" customHeight="1" x14ac:dyDescent="0.2"/>
    <row r="8383" ht="12.75" customHeight="1" x14ac:dyDescent="0.2"/>
    <row r="8384" ht="12.75" customHeight="1" x14ac:dyDescent="0.2"/>
    <row r="8385" ht="12.75" customHeight="1" x14ac:dyDescent="0.2"/>
    <row r="8386" ht="12.75" customHeight="1" x14ac:dyDescent="0.2"/>
    <row r="8387" ht="12.75" customHeight="1" x14ac:dyDescent="0.2"/>
    <row r="8388" ht="12.75" customHeight="1" x14ac:dyDescent="0.2"/>
    <row r="8389" ht="12.75" customHeight="1" x14ac:dyDescent="0.2"/>
    <row r="8390" ht="12.75" customHeight="1" x14ac:dyDescent="0.2"/>
    <row r="8391" ht="12.75" customHeight="1" x14ac:dyDescent="0.2"/>
    <row r="8392" ht="12.75" customHeight="1" x14ac:dyDescent="0.2"/>
    <row r="8393" ht="12.75" customHeight="1" x14ac:dyDescent="0.2"/>
    <row r="8394" ht="12.75" customHeight="1" x14ac:dyDescent="0.2"/>
    <row r="8395" ht="12.75" customHeight="1" x14ac:dyDescent="0.2"/>
    <row r="8396" ht="12.75" customHeight="1" x14ac:dyDescent="0.2"/>
    <row r="8397" ht="12.75" customHeight="1" x14ac:dyDescent="0.2"/>
    <row r="8398" ht="12.75" customHeight="1" x14ac:dyDescent="0.2"/>
    <row r="8399" ht="12.75" customHeight="1" x14ac:dyDescent="0.2"/>
    <row r="8400" ht="12.75" customHeight="1" x14ac:dyDescent="0.2"/>
    <row r="8401" ht="12.75" customHeight="1" x14ac:dyDescent="0.2"/>
    <row r="8402" ht="12.75" customHeight="1" x14ac:dyDescent="0.2"/>
    <row r="8403" ht="12.75" customHeight="1" x14ac:dyDescent="0.2"/>
    <row r="8404" ht="12.75" customHeight="1" x14ac:dyDescent="0.2"/>
    <row r="8405" ht="12.75" customHeight="1" x14ac:dyDescent="0.2"/>
    <row r="8406" ht="12.75" customHeight="1" x14ac:dyDescent="0.2"/>
    <row r="8407" ht="12.75" customHeight="1" x14ac:dyDescent="0.2"/>
    <row r="8408" ht="12.75" customHeight="1" x14ac:dyDescent="0.2"/>
    <row r="8409" ht="12.75" customHeight="1" x14ac:dyDescent="0.2"/>
    <row r="8410" ht="12.75" customHeight="1" x14ac:dyDescent="0.2"/>
    <row r="8411" ht="12.75" customHeight="1" x14ac:dyDescent="0.2"/>
    <row r="8412" ht="12.75" customHeight="1" x14ac:dyDescent="0.2"/>
    <row r="8413" ht="12.75" customHeight="1" x14ac:dyDescent="0.2"/>
    <row r="8414" ht="12.75" customHeight="1" x14ac:dyDescent="0.2"/>
    <row r="8415" ht="12.75" customHeight="1" x14ac:dyDescent="0.2"/>
    <row r="8416" ht="12.75" customHeight="1" x14ac:dyDescent="0.2"/>
    <row r="8417" ht="12.75" customHeight="1" x14ac:dyDescent="0.2"/>
    <row r="8418" ht="12.75" customHeight="1" x14ac:dyDescent="0.2"/>
    <row r="8419" ht="12.75" customHeight="1" x14ac:dyDescent="0.2"/>
    <row r="8420" ht="12.75" customHeight="1" x14ac:dyDescent="0.2"/>
    <row r="8421" ht="12.75" customHeight="1" x14ac:dyDescent="0.2"/>
    <row r="8422" ht="12.75" customHeight="1" x14ac:dyDescent="0.2"/>
    <row r="8423" ht="12.75" customHeight="1" x14ac:dyDescent="0.2"/>
    <row r="8424" ht="12.75" customHeight="1" x14ac:dyDescent="0.2"/>
    <row r="8425" ht="12.75" customHeight="1" x14ac:dyDescent="0.2"/>
    <row r="8426" ht="12.75" customHeight="1" x14ac:dyDescent="0.2"/>
    <row r="8427" ht="12.75" customHeight="1" x14ac:dyDescent="0.2"/>
    <row r="8428" ht="12.75" customHeight="1" x14ac:dyDescent="0.2"/>
    <row r="8429" ht="12.75" customHeight="1" x14ac:dyDescent="0.2"/>
    <row r="8430" ht="12.75" customHeight="1" x14ac:dyDescent="0.2"/>
    <row r="8431" ht="12.75" customHeight="1" x14ac:dyDescent="0.2"/>
    <row r="8432" ht="12.75" customHeight="1" x14ac:dyDescent="0.2"/>
    <row r="8433" ht="12.75" customHeight="1" x14ac:dyDescent="0.2"/>
    <row r="8434" ht="12.75" customHeight="1" x14ac:dyDescent="0.2"/>
    <row r="8435" ht="12.75" customHeight="1" x14ac:dyDescent="0.2"/>
    <row r="8436" ht="12.75" customHeight="1" x14ac:dyDescent="0.2"/>
    <row r="8437" ht="12.75" customHeight="1" x14ac:dyDescent="0.2"/>
    <row r="8438" ht="12.75" customHeight="1" x14ac:dyDescent="0.2"/>
    <row r="8439" ht="12.75" customHeight="1" x14ac:dyDescent="0.2"/>
    <row r="8440" ht="12.75" customHeight="1" x14ac:dyDescent="0.2"/>
    <row r="8441" ht="12.75" customHeight="1" x14ac:dyDescent="0.2"/>
    <row r="8442" ht="12.75" customHeight="1" x14ac:dyDescent="0.2"/>
    <row r="8443" ht="12.75" customHeight="1" x14ac:dyDescent="0.2"/>
    <row r="8444" ht="12.75" customHeight="1" x14ac:dyDescent="0.2"/>
    <row r="8445" ht="12.75" customHeight="1" x14ac:dyDescent="0.2"/>
    <row r="8446" ht="12.75" customHeight="1" x14ac:dyDescent="0.2"/>
    <row r="8447" ht="12.75" customHeight="1" x14ac:dyDescent="0.2"/>
    <row r="8448" ht="12.75" customHeight="1" x14ac:dyDescent="0.2"/>
    <row r="8449" ht="12.75" customHeight="1" x14ac:dyDescent="0.2"/>
    <row r="8450" ht="12.75" customHeight="1" x14ac:dyDescent="0.2"/>
    <row r="8451" ht="12.75" customHeight="1" x14ac:dyDescent="0.2"/>
    <row r="8452" ht="12.75" customHeight="1" x14ac:dyDescent="0.2"/>
    <row r="8453" ht="12.75" customHeight="1" x14ac:dyDescent="0.2"/>
    <row r="8454" ht="12.75" customHeight="1" x14ac:dyDescent="0.2"/>
    <row r="8455" ht="12.75" customHeight="1" x14ac:dyDescent="0.2"/>
    <row r="8456" ht="12.75" customHeight="1" x14ac:dyDescent="0.2"/>
    <row r="8457" ht="12.75" customHeight="1" x14ac:dyDescent="0.2"/>
    <row r="8458" ht="12.75" customHeight="1" x14ac:dyDescent="0.2"/>
    <row r="8459" ht="12.75" customHeight="1" x14ac:dyDescent="0.2"/>
    <row r="8460" ht="12.75" customHeight="1" x14ac:dyDescent="0.2"/>
    <row r="8461" ht="12.75" customHeight="1" x14ac:dyDescent="0.2"/>
    <row r="8462" ht="12.75" customHeight="1" x14ac:dyDescent="0.2"/>
    <row r="8463" ht="12.75" customHeight="1" x14ac:dyDescent="0.2"/>
    <row r="8464" ht="12.75" customHeight="1" x14ac:dyDescent="0.2"/>
    <row r="8465" ht="12.75" customHeight="1" x14ac:dyDescent="0.2"/>
    <row r="8466" ht="12.75" customHeight="1" x14ac:dyDescent="0.2"/>
    <row r="8467" ht="12.75" customHeight="1" x14ac:dyDescent="0.2"/>
    <row r="8468" ht="12.75" customHeight="1" x14ac:dyDescent="0.2"/>
    <row r="8469" ht="12.75" customHeight="1" x14ac:dyDescent="0.2"/>
    <row r="8470" ht="12.75" customHeight="1" x14ac:dyDescent="0.2"/>
    <row r="8471" ht="12.75" customHeight="1" x14ac:dyDescent="0.2"/>
    <row r="8472" ht="12.75" customHeight="1" x14ac:dyDescent="0.2"/>
    <row r="8473" ht="12.75" customHeight="1" x14ac:dyDescent="0.2"/>
    <row r="8474" ht="12.75" customHeight="1" x14ac:dyDescent="0.2"/>
    <row r="8475" ht="12.75" customHeight="1" x14ac:dyDescent="0.2"/>
    <row r="8476" ht="12.75" customHeight="1" x14ac:dyDescent="0.2"/>
    <row r="8477" ht="12.75" customHeight="1" x14ac:dyDescent="0.2"/>
    <row r="8478" ht="12.75" customHeight="1" x14ac:dyDescent="0.2"/>
    <row r="8479" ht="12.75" customHeight="1" x14ac:dyDescent="0.2"/>
    <row r="8480" ht="12.75" customHeight="1" x14ac:dyDescent="0.2"/>
    <row r="8481" ht="12.75" customHeight="1" x14ac:dyDescent="0.2"/>
    <row r="8482" ht="12.75" customHeight="1" x14ac:dyDescent="0.2"/>
    <row r="8483" ht="12.75" customHeight="1" x14ac:dyDescent="0.2"/>
    <row r="8484" ht="12.75" customHeight="1" x14ac:dyDescent="0.2"/>
    <row r="8485" ht="12.75" customHeight="1" x14ac:dyDescent="0.2"/>
    <row r="8486" ht="12.75" customHeight="1" x14ac:dyDescent="0.2"/>
    <row r="8487" ht="12.75" customHeight="1" x14ac:dyDescent="0.2"/>
    <row r="8488" ht="12.75" customHeight="1" x14ac:dyDescent="0.2"/>
    <row r="8489" ht="12.75" customHeight="1" x14ac:dyDescent="0.2"/>
    <row r="8490" ht="12.75" customHeight="1" x14ac:dyDescent="0.2"/>
    <row r="8491" ht="12.75" customHeight="1" x14ac:dyDescent="0.2"/>
    <row r="8492" ht="12.75" customHeight="1" x14ac:dyDescent="0.2"/>
    <row r="8493" ht="12.75" customHeight="1" x14ac:dyDescent="0.2"/>
    <row r="8494" ht="12.75" customHeight="1" x14ac:dyDescent="0.2"/>
    <row r="8495" ht="12.75" customHeight="1" x14ac:dyDescent="0.2"/>
    <row r="8496" ht="12.75" customHeight="1" x14ac:dyDescent="0.2"/>
    <row r="8497" ht="12.75" customHeight="1" x14ac:dyDescent="0.2"/>
    <row r="8498" ht="12.75" customHeight="1" x14ac:dyDescent="0.2"/>
    <row r="8499" ht="12.75" customHeight="1" x14ac:dyDescent="0.2"/>
    <row r="8500" ht="12.75" customHeight="1" x14ac:dyDescent="0.2"/>
    <row r="8501" ht="12.75" customHeight="1" x14ac:dyDescent="0.2"/>
    <row r="8502" ht="12.75" customHeight="1" x14ac:dyDescent="0.2"/>
    <row r="8503" ht="12.75" customHeight="1" x14ac:dyDescent="0.2"/>
    <row r="8504" ht="12.75" customHeight="1" x14ac:dyDescent="0.2"/>
    <row r="8505" ht="12.75" customHeight="1" x14ac:dyDescent="0.2"/>
    <row r="8506" ht="12.75" customHeight="1" x14ac:dyDescent="0.2"/>
    <row r="8507" ht="12.75" customHeight="1" x14ac:dyDescent="0.2"/>
    <row r="8508" ht="12.75" customHeight="1" x14ac:dyDescent="0.2"/>
    <row r="8509" ht="12.75" customHeight="1" x14ac:dyDescent="0.2"/>
    <row r="8510" ht="12.75" customHeight="1" x14ac:dyDescent="0.2"/>
    <row r="8511" ht="12.75" customHeight="1" x14ac:dyDescent="0.2"/>
    <row r="8512" ht="12.75" customHeight="1" x14ac:dyDescent="0.2"/>
    <row r="8513" ht="12.75" customHeight="1" x14ac:dyDescent="0.2"/>
    <row r="8514" ht="12.75" customHeight="1" x14ac:dyDescent="0.2"/>
    <row r="8515" ht="12.75" customHeight="1" x14ac:dyDescent="0.2"/>
    <row r="8516" ht="12.75" customHeight="1" x14ac:dyDescent="0.2"/>
    <row r="8517" ht="12.75" customHeight="1" x14ac:dyDescent="0.2"/>
    <row r="8518" ht="12.75" customHeight="1" x14ac:dyDescent="0.2"/>
    <row r="8519" ht="12.75" customHeight="1" x14ac:dyDescent="0.2"/>
    <row r="8520" ht="12.75" customHeight="1" x14ac:dyDescent="0.2"/>
    <row r="8521" ht="12.75" customHeight="1" x14ac:dyDescent="0.2"/>
    <row r="8522" ht="12.75" customHeight="1" x14ac:dyDescent="0.2"/>
    <row r="8523" ht="12.75" customHeight="1" x14ac:dyDescent="0.2"/>
    <row r="8524" ht="12.75" customHeight="1" x14ac:dyDescent="0.2"/>
    <row r="8525" ht="12.75" customHeight="1" x14ac:dyDescent="0.2"/>
    <row r="8526" ht="12.75" customHeight="1" x14ac:dyDescent="0.2"/>
    <row r="8527" ht="12.75" customHeight="1" x14ac:dyDescent="0.2"/>
    <row r="8528" ht="12.75" customHeight="1" x14ac:dyDescent="0.2"/>
    <row r="8529" ht="12.75" customHeight="1" x14ac:dyDescent="0.2"/>
    <row r="8530" ht="12.75" customHeight="1" x14ac:dyDescent="0.2"/>
    <row r="8531" ht="12.75" customHeight="1" x14ac:dyDescent="0.2"/>
    <row r="8532" ht="12.75" customHeight="1" x14ac:dyDescent="0.2"/>
    <row r="8533" ht="12.75" customHeight="1" x14ac:dyDescent="0.2"/>
    <row r="8534" ht="12.75" customHeight="1" x14ac:dyDescent="0.2"/>
    <row r="8535" ht="12.75" customHeight="1" x14ac:dyDescent="0.2"/>
    <row r="8536" ht="12.75" customHeight="1" x14ac:dyDescent="0.2"/>
    <row r="8537" ht="12.75" customHeight="1" x14ac:dyDescent="0.2"/>
    <row r="8538" ht="12.75" customHeight="1" x14ac:dyDescent="0.2"/>
    <row r="8539" ht="12.75" customHeight="1" x14ac:dyDescent="0.2"/>
    <row r="8540" ht="12.75" customHeight="1" x14ac:dyDescent="0.2"/>
    <row r="8541" ht="12.75" customHeight="1" x14ac:dyDescent="0.2"/>
    <row r="8542" ht="12.75" customHeight="1" x14ac:dyDescent="0.2"/>
    <row r="8543" ht="12.75" customHeight="1" x14ac:dyDescent="0.2"/>
    <row r="8544" ht="12.75" customHeight="1" x14ac:dyDescent="0.2"/>
    <row r="8545" ht="12.75" customHeight="1" x14ac:dyDescent="0.2"/>
    <row r="8546" ht="12.75" customHeight="1" x14ac:dyDescent="0.2"/>
    <row r="8547" ht="12.75" customHeight="1" x14ac:dyDescent="0.2"/>
    <row r="8548" ht="12.75" customHeight="1" x14ac:dyDescent="0.2"/>
    <row r="8549" ht="12.75" customHeight="1" x14ac:dyDescent="0.2"/>
    <row r="8550" ht="12.75" customHeight="1" x14ac:dyDescent="0.2"/>
    <row r="8551" ht="12.75" customHeight="1" x14ac:dyDescent="0.2"/>
    <row r="8552" ht="12.75" customHeight="1" x14ac:dyDescent="0.2"/>
    <row r="8553" ht="12.75" customHeight="1" x14ac:dyDescent="0.2"/>
    <row r="8554" ht="12.75" customHeight="1" x14ac:dyDescent="0.2"/>
    <row r="8555" ht="12.75" customHeight="1" x14ac:dyDescent="0.2"/>
    <row r="8556" ht="12.75" customHeight="1" x14ac:dyDescent="0.2"/>
    <row r="8557" ht="12.75" customHeight="1" x14ac:dyDescent="0.2"/>
    <row r="8558" ht="12.75" customHeight="1" x14ac:dyDescent="0.2"/>
    <row r="8559" ht="12.75" customHeight="1" x14ac:dyDescent="0.2"/>
    <row r="8560" ht="12.75" customHeight="1" x14ac:dyDescent="0.2"/>
    <row r="8561" ht="12.75" customHeight="1" x14ac:dyDescent="0.2"/>
    <row r="8562" ht="12.75" customHeight="1" x14ac:dyDescent="0.2"/>
    <row r="8563" ht="12.75" customHeight="1" x14ac:dyDescent="0.2"/>
    <row r="8564" ht="12.75" customHeight="1" x14ac:dyDescent="0.2"/>
    <row r="8565" ht="12.75" customHeight="1" x14ac:dyDescent="0.2"/>
    <row r="8566" ht="12.75" customHeight="1" x14ac:dyDescent="0.2"/>
    <row r="8567" ht="12.75" customHeight="1" x14ac:dyDescent="0.2"/>
    <row r="8568" ht="12.75" customHeight="1" x14ac:dyDescent="0.2"/>
    <row r="8569" ht="12.75" customHeight="1" x14ac:dyDescent="0.2"/>
    <row r="8570" ht="12.75" customHeight="1" x14ac:dyDescent="0.2"/>
    <row r="8571" ht="12.75" customHeight="1" x14ac:dyDescent="0.2"/>
    <row r="8572" ht="12.75" customHeight="1" x14ac:dyDescent="0.2"/>
    <row r="8573" ht="12.75" customHeight="1" x14ac:dyDescent="0.2"/>
    <row r="8574" ht="12.75" customHeight="1" x14ac:dyDescent="0.2"/>
    <row r="8575" ht="12.75" customHeight="1" x14ac:dyDescent="0.2"/>
    <row r="8576" ht="12.75" customHeight="1" x14ac:dyDescent="0.2"/>
    <row r="8577" ht="12.75" customHeight="1" x14ac:dyDescent="0.2"/>
    <row r="8578" ht="12.75" customHeight="1" x14ac:dyDescent="0.2"/>
    <row r="8579" ht="12.75" customHeight="1" x14ac:dyDescent="0.2"/>
    <row r="8580" ht="12.75" customHeight="1" x14ac:dyDescent="0.2"/>
    <row r="8581" ht="12.75" customHeight="1" x14ac:dyDescent="0.2"/>
    <row r="8582" ht="12.75" customHeight="1" x14ac:dyDescent="0.2"/>
    <row r="8583" ht="12.75" customHeight="1" x14ac:dyDescent="0.2"/>
    <row r="8584" ht="12.75" customHeight="1" x14ac:dyDescent="0.2"/>
    <row r="8585" ht="12.75" customHeight="1" x14ac:dyDescent="0.2"/>
    <row r="8586" ht="12.75" customHeight="1" x14ac:dyDescent="0.2"/>
    <row r="8587" ht="12.75" customHeight="1" x14ac:dyDescent="0.2"/>
    <row r="8588" ht="12.75" customHeight="1" x14ac:dyDescent="0.2"/>
    <row r="8589" ht="12.75" customHeight="1" x14ac:dyDescent="0.2"/>
    <row r="8590" ht="12.75" customHeight="1" x14ac:dyDescent="0.2"/>
    <row r="8591" ht="12.75" customHeight="1" x14ac:dyDescent="0.2"/>
    <row r="8592" ht="12.75" customHeight="1" x14ac:dyDescent="0.2"/>
    <row r="8593" ht="12.75" customHeight="1" x14ac:dyDescent="0.2"/>
    <row r="8594" ht="12.75" customHeight="1" x14ac:dyDescent="0.2"/>
    <row r="8595" ht="12.75" customHeight="1" x14ac:dyDescent="0.2"/>
    <row r="8596" ht="12.75" customHeight="1" x14ac:dyDescent="0.2"/>
    <row r="8597" ht="12.75" customHeight="1" x14ac:dyDescent="0.2"/>
    <row r="8598" ht="12.75" customHeight="1" x14ac:dyDescent="0.2"/>
    <row r="8599" ht="12.75" customHeight="1" x14ac:dyDescent="0.2"/>
    <row r="8600" ht="12.75" customHeight="1" x14ac:dyDescent="0.2"/>
    <row r="8601" ht="12.75" customHeight="1" x14ac:dyDescent="0.2"/>
    <row r="8602" ht="12.75" customHeight="1" x14ac:dyDescent="0.2"/>
    <row r="8603" ht="12.75" customHeight="1" x14ac:dyDescent="0.2"/>
    <row r="8604" ht="12.75" customHeight="1" x14ac:dyDescent="0.2"/>
    <row r="8605" ht="12.75" customHeight="1" x14ac:dyDescent="0.2"/>
    <row r="8606" ht="12.75" customHeight="1" x14ac:dyDescent="0.2"/>
    <row r="8607" ht="12.75" customHeight="1" x14ac:dyDescent="0.2"/>
    <row r="8608" ht="12.75" customHeight="1" x14ac:dyDescent="0.2"/>
    <row r="8609" ht="12.75" customHeight="1" x14ac:dyDescent="0.2"/>
    <row r="8610" ht="12.75" customHeight="1" x14ac:dyDescent="0.2"/>
    <row r="8611" ht="12.75" customHeight="1" x14ac:dyDescent="0.2"/>
    <row r="8612" ht="12.75" customHeight="1" x14ac:dyDescent="0.2"/>
    <row r="8613" ht="12.75" customHeight="1" x14ac:dyDescent="0.2"/>
    <row r="8614" ht="12.75" customHeight="1" x14ac:dyDescent="0.2"/>
    <row r="8615" ht="12.75" customHeight="1" x14ac:dyDescent="0.2"/>
    <row r="8616" ht="12.75" customHeight="1" x14ac:dyDescent="0.2"/>
    <row r="8617" ht="12.75" customHeight="1" x14ac:dyDescent="0.2"/>
    <row r="8618" ht="12.75" customHeight="1" x14ac:dyDescent="0.2"/>
    <row r="8619" ht="12.75" customHeight="1" x14ac:dyDescent="0.2"/>
    <row r="8620" ht="12.75" customHeight="1" x14ac:dyDescent="0.2"/>
    <row r="8621" ht="12.75" customHeight="1" x14ac:dyDescent="0.2"/>
    <row r="8622" ht="12.75" customHeight="1" x14ac:dyDescent="0.2"/>
    <row r="8623" ht="12.75" customHeight="1" x14ac:dyDescent="0.2"/>
    <row r="8624" ht="12.75" customHeight="1" x14ac:dyDescent="0.2"/>
    <row r="8625" ht="12.75" customHeight="1" x14ac:dyDescent="0.2"/>
    <row r="8626" ht="12.75" customHeight="1" x14ac:dyDescent="0.2"/>
    <row r="8627" ht="12.75" customHeight="1" x14ac:dyDescent="0.2"/>
    <row r="8628" ht="12.75" customHeight="1" x14ac:dyDescent="0.2"/>
    <row r="8629" ht="12.75" customHeight="1" x14ac:dyDescent="0.2"/>
    <row r="8630" ht="12.75" customHeight="1" x14ac:dyDescent="0.2"/>
    <row r="8631" ht="12.75" customHeight="1" x14ac:dyDescent="0.2"/>
    <row r="8632" ht="12.75" customHeight="1" x14ac:dyDescent="0.2"/>
    <row r="8633" ht="12.75" customHeight="1" x14ac:dyDescent="0.2"/>
    <row r="8634" ht="12.75" customHeight="1" x14ac:dyDescent="0.2"/>
    <row r="8635" ht="12.75" customHeight="1" x14ac:dyDescent="0.2"/>
    <row r="8636" ht="12.75" customHeight="1" x14ac:dyDescent="0.2"/>
    <row r="8637" ht="12.75" customHeight="1" x14ac:dyDescent="0.2"/>
    <row r="8638" ht="12.75" customHeight="1" x14ac:dyDescent="0.2"/>
    <row r="8639" ht="12.75" customHeight="1" x14ac:dyDescent="0.2"/>
    <row r="8640" ht="12.75" customHeight="1" x14ac:dyDescent="0.2"/>
    <row r="8641" ht="12.75" customHeight="1" x14ac:dyDescent="0.2"/>
    <row r="8642" ht="12.75" customHeight="1" x14ac:dyDescent="0.2"/>
    <row r="8643" ht="12.75" customHeight="1" x14ac:dyDescent="0.2"/>
    <row r="8644" ht="12.75" customHeight="1" x14ac:dyDescent="0.2"/>
    <row r="8645" ht="12.75" customHeight="1" x14ac:dyDescent="0.2"/>
    <row r="8646" ht="12.75" customHeight="1" x14ac:dyDescent="0.2"/>
    <row r="8647" ht="12.75" customHeight="1" x14ac:dyDescent="0.2"/>
    <row r="8648" ht="12.75" customHeight="1" x14ac:dyDescent="0.2"/>
    <row r="8649" ht="12.75" customHeight="1" x14ac:dyDescent="0.2"/>
    <row r="8650" ht="12.75" customHeight="1" x14ac:dyDescent="0.2"/>
    <row r="8651" ht="12.75" customHeight="1" x14ac:dyDescent="0.2"/>
    <row r="8652" ht="12.75" customHeight="1" x14ac:dyDescent="0.2"/>
    <row r="8653" ht="12.75" customHeight="1" x14ac:dyDescent="0.2"/>
    <row r="8654" ht="12.75" customHeight="1" x14ac:dyDescent="0.2"/>
    <row r="8655" ht="12.75" customHeight="1" x14ac:dyDescent="0.2"/>
    <row r="8656" ht="12.75" customHeight="1" x14ac:dyDescent="0.2"/>
    <row r="8657" ht="12.75" customHeight="1" x14ac:dyDescent="0.2"/>
    <row r="8658" ht="12.75" customHeight="1" x14ac:dyDescent="0.2"/>
    <row r="8659" ht="12.75" customHeight="1" x14ac:dyDescent="0.2"/>
    <row r="8660" ht="12.75" customHeight="1" x14ac:dyDescent="0.2"/>
    <row r="8661" ht="12.75" customHeight="1" x14ac:dyDescent="0.2"/>
    <row r="8662" ht="12.75" customHeight="1" x14ac:dyDescent="0.2"/>
    <row r="8663" ht="12.75" customHeight="1" x14ac:dyDescent="0.2"/>
    <row r="8664" ht="12.75" customHeight="1" x14ac:dyDescent="0.2"/>
    <row r="8665" ht="12.75" customHeight="1" x14ac:dyDescent="0.2"/>
    <row r="8666" ht="12.75" customHeight="1" x14ac:dyDescent="0.2"/>
    <row r="8667" ht="12.75" customHeight="1" x14ac:dyDescent="0.2"/>
    <row r="8668" ht="12.75" customHeight="1" x14ac:dyDescent="0.2"/>
    <row r="8669" ht="12.75" customHeight="1" x14ac:dyDescent="0.2"/>
    <row r="8670" ht="12.75" customHeight="1" x14ac:dyDescent="0.2"/>
    <row r="8671" ht="12.75" customHeight="1" x14ac:dyDescent="0.2"/>
    <row r="8672" ht="12.75" customHeight="1" x14ac:dyDescent="0.2"/>
    <row r="8673" ht="12.75" customHeight="1" x14ac:dyDescent="0.2"/>
    <row r="8674" ht="12.75" customHeight="1" x14ac:dyDescent="0.2"/>
    <row r="8675" ht="12.75" customHeight="1" x14ac:dyDescent="0.2"/>
    <row r="8676" ht="12.75" customHeight="1" x14ac:dyDescent="0.2"/>
    <row r="8677" ht="12.75" customHeight="1" x14ac:dyDescent="0.2"/>
    <row r="8678" ht="12.75" customHeight="1" x14ac:dyDescent="0.2"/>
    <row r="8679" ht="12.75" customHeight="1" x14ac:dyDescent="0.2"/>
    <row r="8680" ht="12.75" customHeight="1" x14ac:dyDescent="0.2"/>
    <row r="8681" ht="12.75" customHeight="1" x14ac:dyDescent="0.2"/>
    <row r="8682" ht="12.75" customHeight="1" x14ac:dyDescent="0.2"/>
    <row r="8683" ht="12.75" customHeight="1" x14ac:dyDescent="0.2"/>
    <row r="8684" ht="12.75" customHeight="1" x14ac:dyDescent="0.2"/>
    <row r="8685" ht="12.75" customHeight="1" x14ac:dyDescent="0.2"/>
    <row r="8686" ht="12.75" customHeight="1" x14ac:dyDescent="0.2"/>
    <row r="8687" ht="12.75" customHeight="1" x14ac:dyDescent="0.2"/>
    <row r="8688" ht="12.75" customHeight="1" x14ac:dyDescent="0.2"/>
    <row r="8689" ht="12.75" customHeight="1" x14ac:dyDescent="0.2"/>
    <row r="8690" ht="12.75" customHeight="1" x14ac:dyDescent="0.2"/>
    <row r="8691" ht="12.75" customHeight="1" x14ac:dyDescent="0.2"/>
    <row r="8692" ht="12.75" customHeight="1" x14ac:dyDescent="0.2"/>
    <row r="8693" ht="12.75" customHeight="1" x14ac:dyDescent="0.2"/>
    <row r="8694" ht="12.75" customHeight="1" x14ac:dyDescent="0.2"/>
    <row r="8695" ht="12.75" customHeight="1" x14ac:dyDescent="0.2"/>
    <row r="8696" ht="12.75" customHeight="1" x14ac:dyDescent="0.2"/>
    <row r="8697" ht="12.75" customHeight="1" x14ac:dyDescent="0.2"/>
    <row r="8698" ht="12.75" customHeight="1" x14ac:dyDescent="0.2"/>
    <row r="8699" ht="12.75" customHeight="1" x14ac:dyDescent="0.2"/>
    <row r="8700" ht="12.75" customHeight="1" x14ac:dyDescent="0.2"/>
    <row r="8701" ht="12.75" customHeight="1" x14ac:dyDescent="0.2"/>
    <row r="8702" ht="12.75" customHeight="1" x14ac:dyDescent="0.2"/>
    <row r="8703" ht="12.75" customHeight="1" x14ac:dyDescent="0.2"/>
    <row r="8704" ht="12.75" customHeight="1" x14ac:dyDescent="0.2"/>
    <row r="8705" ht="12.75" customHeight="1" x14ac:dyDescent="0.2"/>
    <row r="8706" ht="12.75" customHeight="1" x14ac:dyDescent="0.2"/>
    <row r="8707" ht="12.75" customHeight="1" x14ac:dyDescent="0.2"/>
    <row r="8708" ht="12.75" customHeight="1" x14ac:dyDescent="0.2"/>
    <row r="8709" ht="12.75" customHeight="1" x14ac:dyDescent="0.2"/>
    <row r="8710" ht="12.75" customHeight="1" x14ac:dyDescent="0.2"/>
    <row r="8711" ht="12.75" customHeight="1" x14ac:dyDescent="0.2"/>
    <row r="8712" ht="12.75" customHeight="1" x14ac:dyDescent="0.2"/>
    <row r="8713" ht="12.75" customHeight="1" x14ac:dyDescent="0.2"/>
    <row r="8714" ht="12.75" customHeight="1" x14ac:dyDescent="0.2"/>
    <row r="8715" ht="12.75" customHeight="1" x14ac:dyDescent="0.2"/>
    <row r="8716" ht="12.75" customHeight="1" x14ac:dyDescent="0.2"/>
    <row r="8717" ht="12.75" customHeight="1" x14ac:dyDescent="0.2"/>
    <row r="8718" ht="12.75" customHeight="1" x14ac:dyDescent="0.2"/>
    <row r="8719" ht="12.75" customHeight="1" x14ac:dyDescent="0.2"/>
    <row r="8720" ht="12.75" customHeight="1" x14ac:dyDescent="0.2"/>
    <row r="8721" ht="12.75" customHeight="1" x14ac:dyDescent="0.2"/>
    <row r="8722" ht="12.75" customHeight="1" x14ac:dyDescent="0.2"/>
    <row r="8723" ht="12.75" customHeight="1" x14ac:dyDescent="0.2"/>
    <row r="8724" ht="12.75" customHeight="1" x14ac:dyDescent="0.2"/>
    <row r="8725" ht="12.75" customHeight="1" x14ac:dyDescent="0.2"/>
    <row r="8726" ht="12.75" customHeight="1" x14ac:dyDescent="0.2"/>
    <row r="8727" ht="12.75" customHeight="1" x14ac:dyDescent="0.2"/>
    <row r="8728" ht="12.75" customHeight="1" x14ac:dyDescent="0.2"/>
    <row r="8729" ht="12.75" customHeight="1" x14ac:dyDescent="0.2"/>
    <row r="8730" ht="12.75" customHeight="1" x14ac:dyDescent="0.2"/>
    <row r="8731" ht="12.75" customHeight="1" x14ac:dyDescent="0.2"/>
    <row r="8732" ht="12.75" customHeight="1" x14ac:dyDescent="0.2"/>
    <row r="8733" ht="12.75" customHeight="1" x14ac:dyDescent="0.2"/>
    <row r="8734" ht="12.75" customHeight="1" x14ac:dyDescent="0.2"/>
    <row r="8735" ht="12.75" customHeight="1" x14ac:dyDescent="0.2"/>
    <row r="8736" ht="12.75" customHeight="1" x14ac:dyDescent="0.2"/>
    <row r="8737" ht="12.75" customHeight="1" x14ac:dyDescent="0.2"/>
    <row r="8738" ht="12.75" customHeight="1" x14ac:dyDescent="0.2"/>
    <row r="8739" ht="12.75" customHeight="1" x14ac:dyDescent="0.2"/>
    <row r="8740" ht="12.75" customHeight="1" x14ac:dyDescent="0.2"/>
    <row r="8741" ht="12.75" customHeight="1" x14ac:dyDescent="0.2"/>
    <row r="8742" ht="12.75" customHeight="1" x14ac:dyDescent="0.2"/>
    <row r="8743" ht="12.75" customHeight="1" x14ac:dyDescent="0.2"/>
    <row r="8744" ht="12.75" customHeight="1" x14ac:dyDescent="0.2"/>
    <row r="8745" ht="12.75" customHeight="1" x14ac:dyDescent="0.2"/>
    <row r="8746" ht="12.75" customHeight="1" x14ac:dyDescent="0.2"/>
    <row r="8747" ht="12.75" customHeight="1" x14ac:dyDescent="0.2"/>
    <row r="8748" ht="12.75" customHeight="1" x14ac:dyDescent="0.2"/>
    <row r="8749" ht="12.75" customHeight="1" x14ac:dyDescent="0.2"/>
    <row r="8750" ht="12.75" customHeight="1" x14ac:dyDescent="0.2"/>
    <row r="8751" ht="12.75" customHeight="1" x14ac:dyDescent="0.2"/>
    <row r="8752" ht="12.75" customHeight="1" x14ac:dyDescent="0.2"/>
    <row r="8753" ht="12.75" customHeight="1" x14ac:dyDescent="0.2"/>
    <row r="8754" ht="12.75" customHeight="1" x14ac:dyDescent="0.2"/>
    <row r="8755" ht="12.75" customHeight="1" x14ac:dyDescent="0.2"/>
    <row r="8756" ht="12.75" customHeight="1" x14ac:dyDescent="0.2"/>
    <row r="8757" ht="12.75" customHeight="1" x14ac:dyDescent="0.2"/>
    <row r="8758" ht="12.75" customHeight="1" x14ac:dyDescent="0.2"/>
    <row r="8759" ht="12.75" customHeight="1" x14ac:dyDescent="0.2"/>
    <row r="8760" ht="12.75" customHeight="1" x14ac:dyDescent="0.2"/>
    <row r="8761" ht="12.75" customHeight="1" x14ac:dyDescent="0.2"/>
    <row r="8762" ht="12.75" customHeight="1" x14ac:dyDescent="0.2"/>
    <row r="8763" ht="12.75" customHeight="1" x14ac:dyDescent="0.2"/>
    <row r="8764" ht="12.75" customHeight="1" x14ac:dyDescent="0.2"/>
    <row r="8765" ht="12.75" customHeight="1" x14ac:dyDescent="0.2"/>
    <row r="8766" ht="12.75" customHeight="1" x14ac:dyDescent="0.2"/>
    <row r="8767" ht="12.75" customHeight="1" x14ac:dyDescent="0.2"/>
    <row r="8768" ht="12.75" customHeight="1" x14ac:dyDescent="0.2"/>
    <row r="8769" ht="12.75" customHeight="1" x14ac:dyDescent="0.2"/>
    <row r="8770" ht="12.75" customHeight="1" x14ac:dyDescent="0.2"/>
    <row r="8771" ht="12.75" customHeight="1" x14ac:dyDescent="0.2"/>
    <row r="8772" ht="12.75" customHeight="1" x14ac:dyDescent="0.2"/>
    <row r="8773" ht="12.75" customHeight="1" x14ac:dyDescent="0.2"/>
    <row r="8774" ht="12.75" customHeight="1" x14ac:dyDescent="0.2"/>
    <row r="8775" ht="12.75" customHeight="1" x14ac:dyDescent="0.2"/>
    <row r="8776" ht="12.75" customHeight="1" x14ac:dyDescent="0.2"/>
    <row r="8777" ht="12.75" customHeight="1" x14ac:dyDescent="0.2"/>
    <row r="8778" ht="12.75" customHeight="1" x14ac:dyDescent="0.2"/>
    <row r="8779" ht="12.75" customHeight="1" x14ac:dyDescent="0.2"/>
    <row r="8780" ht="12.75" customHeight="1" x14ac:dyDescent="0.2"/>
    <row r="8781" ht="12.75" customHeight="1" x14ac:dyDescent="0.2"/>
    <row r="8782" ht="12.75" customHeight="1" x14ac:dyDescent="0.2"/>
    <row r="8783" ht="12.75" customHeight="1" x14ac:dyDescent="0.2"/>
    <row r="8784" ht="12.75" customHeight="1" x14ac:dyDescent="0.2"/>
    <row r="8785" ht="12.75" customHeight="1" x14ac:dyDescent="0.2"/>
    <row r="8786" ht="12.75" customHeight="1" x14ac:dyDescent="0.2"/>
    <row r="8787" ht="12.75" customHeight="1" x14ac:dyDescent="0.2"/>
    <row r="8788" ht="12.75" customHeight="1" x14ac:dyDescent="0.2"/>
    <row r="8789" ht="12.75" customHeight="1" x14ac:dyDescent="0.2"/>
    <row r="8790" ht="12.75" customHeight="1" x14ac:dyDescent="0.2"/>
    <row r="8791" ht="12.75" customHeight="1" x14ac:dyDescent="0.2"/>
    <row r="8792" ht="12.75" customHeight="1" x14ac:dyDescent="0.2"/>
    <row r="8793" ht="12.75" customHeight="1" x14ac:dyDescent="0.2"/>
    <row r="8794" ht="12.75" customHeight="1" x14ac:dyDescent="0.2"/>
    <row r="8795" ht="12.75" customHeight="1" x14ac:dyDescent="0.2"/>
    <row r="8796" ht="12.75" customHeight="1" x14ac:dyDescent="0.2"/>
    <row r="8797" ht="12.75" customHeight="1" x14ac:dyDescent="0.2"/>
    <row r="8798" ht="12.75" customHeight="1" x14ac:dyDescent="0.2"/>
    <row r="8799" ht="12.75" customHeight="1" x14ac:dyDescent="0.2"/>
    <row r="8800" ht="12.75" customHeight="1" x14ac:dyDescent="0.2"/>
    <row r="8801" ht="12.75" customHeight="1" x14ac:dyDescent="0.2"/>
    <row r="8802" ht="12.75" customHeight="1" x14ac:dyDescent="0.2"/>
    <row r="8803" ht="12.75" customHeight="1" x14ac:dyDescent="0.2"/>
    <row r="8804" ht="12.75" customHeight="1" x14ac:dyDescent="0.2"/>
    <row r="8805" ht="12.75" customHeight="1" x14ac:dyDescent="0.2"/>
    <row r="8806" ht="12.75" customHeight="1" x14ac:dyDescent="0.2"/>
    <row r="8807" ht="12.75" customHeight="1" x14ac:dyDescent="0.2"/>
    <row r="8808" ht="12.75" customHeight="1" x14ac:dyDescent="0.2"/>
    <row r="8809" ht="12.75" customHeight="1" x14ac:dyDescent="0.2"/>
    <row r="8810" ht="12.75" customHeight="1" x14ac:dyDescent="0.2"/>
    <row r="8811" ht="12.75" customHeight="1" x14ac:dyDescent="0.2"/>
    <row r="8812" ht="12.75" customHeight="1" x14ac:dyDescent="0.2"/>
    <row r="8813" ht="12.75" customHeight="1" x14ac:dyDescent="0.2"/>
    <row r="8814" ht="12.75" customHeight="1" x14ac:dyDescent="0.2"/>
    <row r="8815" ht="12.75" customHeight="1" x14ac:dyDescent="0.2"/>
    <row r="8816" ht="12.75" customHeight="1" x14ac:dyDescent="0.2"/>
    <row r="8817" ht="12.75" customHeight="1" x14ac:dyDescent="0.2"/>
    <row r="8818" ht="12.75" customHeight="1" x14ac:dyDescent="0.2"/>
    <row r="8819" ht="12.75" customHeight="1" x14ac:dyDescent="0.2"/>
    <row r="8820" ht="12.75" customHeight="1" x14ac:dyDescent="0.2"/>
    <row r="8821" ht="12.75" customHeight="1" x14ac:dyDescent="0.2"/>
    <row r="8822" ht="12.75" customHeight="1" x14ac:dyDescent="0.2"/>
    <row r="8823" ht="12.75" customHeight="1" x14ac:dyDescent="0.2"/>
    <row r="8824" ht="12.75" customHeight="1" x14ac:dyDescent="0.2"/>
    <row r="8825" ht="12.75" customHeight="1" x14ac:dyDescent="0.2"/>
    <row r="8826" ht="12.75" customHeight="1" x14ac:dyDescent="0.2"/>
    <row r="8827" ht="12.75" customHeight="1" x14ac:dyDescent="0.2"/>
    <row r="8828" ht="12.75" customHeight="1" x14ac:dyDescent="0.2"/>
    <row r="8829" ht="12.75" customHeight="1" x14ac:dyDescent="0.2"/>
    <row r="8830" ht="12.75" customHeight="1" x14ac:dyDescent="0.2"/>
    <row r="8831" ht="12.75" customHeight="1" x14ac:dyDescent="0.2"/>
    <row r="8832" ht="12.75" customHeight="1" x14ac:dyDescent="0.2"/>
    <row r="8833" ht="12.75" customHeight="1" x14ac:dyDescent="0.2"/>
    <row r="8834" ht="12.75" customHeight="1" x14ac:dyDescent="0.2"/>
    <row r="8835" ht="12.75" customHeight="1" x14ac:dyDescent="0.2"/>
    <row r="8836" ht="12.75" customHeight="1" x14ac:dyDescent="0.2"/>
    <row r="8837" ht="12.75" customHeight="1" x14ac:dyDescent="0.2"/>
    <row r="8838" ht="12.75" customHeight="1" x14ac:dyDescent="0.2"/>
    <row r="8839" ht="12.75" customHeight="1" x14ac:dyDescent="0.2"/>
    <row r="8840" ht="12.75" customHeight="1" x14ac:dyDescent="0.2"/>
    <row r="8841" ht="12.75" customHeight="1" x14ac:dyDescent="0.2"/>
    <row r="8842" ht="12.75" customHeight="1" x14ac:dyDescent="0.2"/>
    <row r="8843" ht="12.75" customHeight="1" x14ac:dyDescent="0.2"/>
    <row r="8844" ht="12.75" customHeight="1" x14ac:dyDescent="0.2"/>
    <row r="8845" ht="12.75" customHeight="1" x14ac:dyDescent="0.2"/>
    <row r="8846" ht="12.75" customHeight="1" x14ac:dyDescent="0.2"/>
    <row r="8847" ht="12.75" customHeight="1" x14ac:dyDescent="0.2"/>
    <row r="8848" ht="12.75" customHeight="1" x14ac:dyDescent="0.2"/>
    <row r="8849" ht="12.75" customHeight="1" x14ac:dyDescent="0.2"/>
    <row r="8850" ht="12.75" customHeight="1" x14ac:dyDescent="0.2"/>
    <row r="8851" ht="12.75" customHeight="1" x14ac:dyDescent="0.2"/>
    <row r="8852" ht="12.75" customHeight="1" x14ac:dyDescent="0.2"/>
    <row r="8853" ht="12.75" customHeight="1" x14ac:dyDescent="0.2"/>
    <row r="8854" ht="12.75" customHeight="1" x14ac:dyDescent="0.2"/>
    <row r="8855" ht="12.75" customHeight="1" x14ac:dyDescent="0.2"/>
    <row r="8856" ht="12.75" customHeight="1" x14ac:dyDescent="0.2"/>
    <row r="8857" ht="12.75" customHeight="1" x14ac:dyDescent="0.2"/>
    <row r="8858" ht="12.75" customHeight="1" x14ac:dyDescent="0.2"/>
    <row r="8859" ht="12.75" customHeight="1" x14ac:dyDescent="0.2"/>
    <row r="8860" ht="12.75" customHeight="1" x14ac:dyDescent="0.2"/>
    <row r="8861" ht="12.75" customHeight="1" x14ac:dyDescent="0.2"/>
    <row r="8862" ht="12.75" customHeight="1" x14ac:dyDescent="0.2"/>
    <row r="8863" ht="12.75" customHeight="1" x14ac:dyDescent="0.2"/>
    <row r="8864" ht="12.75" customHeight="1" x14ac:dyDescent="0.2"/>
    <row r="8865" ht="12.75" customHeight="1" x14ac:dyDescent="0.2"/>
    <row r="8866" ht="12.75" customHeight="1" x14ac:dyDescent="0.2"/>
    <row r="8867" ht="12.75" customHeight="1" x14ac:dyDescent="0.2"/>
    <row r="8868" ht="12.75" customHeight="1" x14ac:dyDescent="0.2"/>
    <row r="8869" ht="12.75" customHeight="1" x14ac:dyDescent="0.2"/>
    <row r="8870" ht="12.75" customHeight="1" x14ac:dyDescent="0.2"/>
    <row r="8871" ht="12.75" customHeight="1" x14ac:dyDescent="0.2"/>
    <row r="8872" ht="12.75" customHeight="1" x14ac:dyDescent="0.2"/>
    <row r="8873" ht="12.75" customHeight="1" x14ac:dyDescent="0.2"/>
    <row r="8874" ht="12.75" customHeight="1" x14ac:dyDescent="0.2"/>
    <row r="8875" ht="12.75" customHeight="1" x14ac:dyDescent="0.2"/>
    <row r="8876" ht="12.75" customHeight="1" x14ac:dyDescent="0.2"/>
    <row r="8877" ht="12.75" customHeight="1" x14ac:dyDescent="0.2"/>
    <row r="8878" ht="12.75" customHeight="1" x14ac:dyDescent="0.2"/>
    <row r="8879" ht="12.75" customHeight="1" x14ac:dyDescent="0.2"/>
    <row r="8880" ht="12.75" customHeight="1" x14ac:dyDescent="0.2"/>
    <row r="8881" ht="12.75" customHeight="1" x14ac:dyDescent="0.2"/>
    <row r="8882" ht="12.75" customHeight="1" x14ac:dyDescent="0.2"/>
    <row r="8883" ht="12.75" customHeight="1" x14ac:dyDescent="0.2"/>
    <row r="8884" ht="12.75" customHeight="1" x14ac:dyDescent="0.2"/>
    <row r="8885" ht="12.75" customHeight="1" x14ac:dyDescent="0.2"/>
    <row r="8886" ht="12.75" customHeight="1" x14ac:dyDescent="0.2"/>
    <row r="8887" ht="12.75" customHeight="1" x14ac:dyDescent="0.2"/>
    <row r="8888" ht="12.75" customHeight="1" x14ac:dyDescent="0.2"/>
    <row r="8889" ht="12.75" customHeight="1" x14ac:dyDescent="0.2"/>
    <row r="8890" ht="12.75" customHeight="1" x14ac:dyDescent="0.2"/>
    <row r="8891" ht="12.75" customHeight="1" x14ac:dyDescent="0.2"/>
    <row r="8892" ht="12.75" customHeight="1" x14ac:dyDescent="0.2"/>
    <row r="8893" ht="12.75" customHeight="1" x14ac:dyDescent="0.2"/>
    <row r="8894" ht="12.75" customHeight="1" x14ac:dyDescent="0.2"/>
    <row r="8895" ht="12.75" customHeight="1" x14ac:dyDescent="0.2"/>
    <row r="8896" ht="12.75" customHeight="1" x14ac:dyDescent="0.2"/>
    <row r="8897" ht="12.75" customHeight="1" x14ac:dyDescent="0.2"/>
    <row r="8898" ht="12.75" customHeight="1" x14ac:dyDescent="0.2"/>
    <row r="8899" ht="12.75" customHeight="1" x14ac:dyDescent="0.2"/>
    <row r="8900" ht="12.75" customHeight="1" x14ac:dyDescent="0.2"/>
    <row r="8901" ht="12.75" customHeight="1" x14ac:dyDescent="0.2"/>
    <row r="8902" ht="12.75" customHeight="1" x14ac:dyDescent="0.2"/>
    <row r="8903" ht="12.75" customHeight="1" x14ac:dyDescent="0.2"/>
    <row r="8904" ht="12.75" customHeight="1" x14ac:dyDescent="0.2"/>
    <row r="8905" ht="12.75" customHeight="1" x14ac:dyDescent="0.2"/>
    <row r="8906" ht="12.75" customHeight="1" x14ac:dyDescent="0.2"/>
    <row r="8907" ht="12.75" customHeight="1" x14ac:dyDescent="0.2"/>
    <row r="8908" ht="12.75" customHeight="1" x14ac:dyDescent="0.2"/>
    <row r="8909" ht="12.75" customHeight="1" x14ac:dyDescent="0.2"/>
    <row r="8910" ht="12.75" customHeight="1" x14ac:dyDescent="0.2"/>
    <row r="8911" ht="12.75" customHeight="1" x14ac:dyDescent="0.2"/>
    <row r="8912" ht="12.75" customHeight="1" x14ac:dyDescent="0.2"/>
    <row r="8913" ht="12.75" customHeight="1" x14ac:dyDescent="0.2"/>
    <row r="8914" ht="12.75" customHeight="1" x14ac:dyDescent="0.2"/>
    <row r="8915" ht="12.75" customHeight="1" x14ac:dyDescent="0.2"/>
    <row r="8916" ht="12.75" customHeight="1" x14ac:dyDescent="0.2"/>
    <row r="8917" ht="12.75" customHeight="1" x14ac:dyDescent="0.2"/>
    <row r="8918" ht="12.75" customHeight="1" x14ac:dyDescent="0.2"/>
    <row r="8919" ht="12.75" customHeight="1" x14ac:dyDescent="0.2"/>
    <row r="8920" ht="12.75" customHeight="1" x14ac:dyDescent="0.2"/>
    <row r="8921" ht="12.75" customHeight="1" x14ac:dyDescent="0.2"/>
    <row r="8922" ht="12.75" customHeight="1" x14ac:dyDescent="0.2"/>
    <row r="8923" ht="12.75" customHeight="1" x14ac:dyDescent="0.2"/>
    <row r="8924" ht="12.75" customHeight="1" x14ac:dyDescent="0.2"/>
    <row r="8925" ht="12.75" customHeight="1" x14ac:dyDescent="0.2"/>
    <row r="8926" ht="12.75" customHeight="1" x14ac:dyDescent="0.2"/>
    <row r="8927" ht="12.75" customHeight="1" x14ac:dyDescent="0.2"/>
    <row r="8928" ht="12.75" customHeight="1" x14ac:dyDescent="0.2"/>
    <row r="8929" ht="12.75" customHeight="1" x14ac:dyDescent="0.2"/>
    <row r="8930" ht="12.75" customHeight="1" x14ac:dyDescent="0.2"/>
    <row r="8931" ht="12.75" customHeight="1" x14ac:dyDescent="0.2"/>
    <row r="8932" ht="12.75" customHeight="1" x14ac:dyDescent="0.2"/>
    <row r="8933" ht="12.75" customHeight="1" x14ac:dyDescent="0.2"/>
    <row r="8934" ht="12.75" customHeight="1" x14ac:dyDescent="0.2"/>
    <row r="8935" ht="12.75" customHeight="1" x14ac:dyDescent="0.2"/>
    <row r="8936" ht="12.75" customHeight="1" x14ac:dyDescent="0.2"/>
    <row r="8937" ht="12.75" customHeight="1" x14ac:dyDescent="0.2"/>
    <row r="8938" ht="12.75" customHeight="1" x14ac:dyDescent="0.2"/>
    <row r="8939" ht="12.75" customHeight="1" x14ac:dyDescent="0.2"/>
    <row r="8940" ht="12.75" customHeight="1" x14ac:dyDescent="0.2"/>
    <row r="8941" ht="12.75" customHeight="1" x14ac:dyDescent="0.2"/>
    <row r="8942" ht="12.75" customHeight="1" x14ac:dyDescent="0.2"/>
    <row r="8943" ht="12.75" customHeight="1" x14ac:dyDescent="0.2"/>
    <row r="8944" ht="12.75" customHeight="1" x14ac:dyDescent="0.2"/>
    <row r="8945" ht="12.75" customHeight="1" x14ac:dyDescent="0.2"/>
    <row r="8946" ht="12.75" customHeight="1" x14ac:dyDescent="0.2"/>
    <row r="8947" ht="12.75" customHeight="1" x14ac:dyDescent="0.2"/>
    <row r="8948" ht="12.75" customHeight="1" x14ac:dyDescent="0.2"/>
    <row r="8949" ht="12.75" customHeight="1" x14ac:dyDescent="0.2"/>
    <row r="8950" ht="12.75" customHeight="1" x14ac:dyDescent="0.2"/>
    <row r="8951" ht="12.75" customHeight="1" x14ac:dyDescent="0.2"/>
    <row r="8952" ht="12.75" customHeight="1" x14ac:dyDescent="0.2"/>
    <row r="8953" ht="12.75" customHeight="1" x14ac:dyDescent="0.2"/>
    <row r="8954" ht="12.75" customHeight="1" x14ac:dyDescent="0.2"/>
    <row r="8955" ht="12.75" customHeight="1" x14ac:dyDescent="0.2"/>
    <row r="8956" ht="12.75" customHeight="1" x14ac:dyDescent="0.2"/>
    <row r="8957" ht="12.75" customHeight="1" x14ac:dyDescent="0.2"/>
    <row r="8958" ht="12.75" customHeight="1" x14ac:dyDescent="0.2"/>
    <row r="8959" ht="12.75" customHeight="1" x14ac:dyDescent="0.2"/>
    <row r="8960" ht="12.75" customHeight="1" x14ac:dyDescent="0.2"/>
    <row r="8961" ht="12.75" customHeight="1" x14ac:dyDescent="0.2"/>
    <row r="8962" ht="12.75" customHeight="1" x14ac:dyDescent="0.2"/>
    <row r="8963" ht="12.75" customHeight="1" x14ac:dyDescent="0.2"/>
    <row r="8964" ht="12.75" customHeight="1" x14ac:dyDescent="0.2"/>
    <row r="8965" ht="12.75" customHeight="1" x14ac:dyDescent="0.2"/>
    <row r="8966" ht="12.75" customHeight="1" x14ac:dyDescent="0.2"/>
    <row r="8967" ht="12.75" customHeight="1" x14ac:dyDescent="0.2"/>
    <row r="8968" ht="12.75" customHeight="1" x14ac:dyDescent="0.2"/>
    <row r="8969" ht="12.75" customHeight="1" x14ac:dyDescent="0.2"/>
    <row r="8970" ht="12.75" customHeight="1" x14ac:dyDescent="0.2"/>
    <row r="8971" ht="12.75" customHeight="1" x14ac:dyDescent="0.2"/>
    <row r="8972" ht="12.75" customHeight="1" x14ac:dyDescent="0.2"/>
    <row r="8973" ht="12.75" customHeight="1" x14ac:dyDescent="0.2"/>
    <row r="8974" ht="12.75" customHeight="1" x14ac:dyDescent="0.2"/>
    <row r="8975" ht="12.75" customHeight="1" x14ac:dyDescent="0.2"/>
    <row r="8976" ht="12.75" customHeight="1" x14ac:dyDescent="0.2"/>
    <row r="8977" ht="12.75" customHeight="1" x14ac:dyDescent="0.2"/>
    <row r="8978" ht="12.75" customHeight="1" x14ac:dyDescent="0.2"/>
    <row r="8979" ht="12.75" customHeight="1" x14ac:dyDescent="0.2"/>
    <row r="8980" ht="12.75" customHeight="1" x14ac:dyDescent="0.2"/>
    <row r="8981" ht="12.75" customHeight="1" x14ac:dyDescent="0.2"/>
    <row r="8982" ht="12.75" customHeight="1" x14ac:dyDescent="0.2"/>
    <row r="8983" ht="12.75" customHeight="1" x14ac:dyDescent="0.2"/>
    <row r="8984" ht="12.75" customHeight="1" x14ac:dyDescent="0.2"/>
    <row r="8985" ht="12.75" customHeight="1" x14ac:dyDescent="0.2"/>
    <row r="8986" ht="12.75" customHeight="1" x14ac:dyDescent="0.2"/>
    <row r="8987" ht="12.75" customHeight="1" x14ac:dyDescent="0.2"/>
    <row r="8988" ht="12.75" customHeight="1" x14ac:dyDescent="0.2"/>
    <row r="8989" ht="12.75" customHeight="1" x14ac:dyDescent="0.2"/>
    <row r="8990" ht="12.75" customHeight="1" x14ac:dyDescent="0.2"/>
    <row r="8991" ht="12.75" customHeight="1" x14ac:dyDescent="0.2"/>
    <row r="8992" ht="12.75" customHeight="1" x14ac:dyDescent="0.2"/>
    <row r="8993" ht="12.75" customHeight="1" x14ac:dyDescent="0.2"/>
    <row r="8994" ht="12.75" customHeight="1" x14ac:dyDescent="0.2"/>
    <row r="8995" ht="12.75" customHeight="1" x14ac:dyDescent="0.2"/>
    <row r="8996" ht="12.75" customHeight="1" x14ac:dyDescent="0.2"/>
    <row r="8997" ht="12.75" customHeight="1" x14ac:dyDescent="0.2"/>
    <row r="8998" ht="12.75" customHeight="1" x14ac:dyDescent="0.2"/>
    <row r="8999" ht="12.75" customHeight="1" x14ac:dyDescent="0.2"/>
    <row r="9000" ht="12.75" customHeight="1" x14ac:dyDescent="0.2"/>
    <row r="9001" ht="12.75" customHeight="1" x14ac:dyDescent="0.2"/>
    <row r="9002" ht="12.75" customHeight="1" x14ac:dyDescent="0.2"/>
    <row r="9003" ht="12.75" customHeight="1" x14ac:dyDescent="0.2"/>
    <row r="9004" ht="12.75" customHeight="1" x14ac:dyDescent="0.2"/>
    <row r="9005" ht="12.75" customHeight="1" x14ac:dyDescent="0.2"/>
    <row r="9006" ht="12.75" customHeight="1" x14ac:dyDescent="0.2"/>
    <row r="9007" ht="12.75" customHeight="1" x14ac:dyDescent="0.2"/>
    <row r="9008" ht="12.75" customHeight="1" x14ac:dyDescent="0.2"/>
    <row r="9009" ht="12.75" customHeight="1" x14ac:dyDescent="0.2"/>
    <row r="9010" ht="12.75" customHeight="1" x14ac:dyDescent="0.2"/>
    <row r="9011" ht="12.75" customHeight="1" x14ac:dyDescent="0.2"/>
    <row r="9012" ht="12.75" customHeight="1" x14ac:dyDescent="0.2"/>
    <row r="9013" ht="12.75" customHeight="1" x14ac:dyDescent="0.2"/>
    <row r="9014" ht="12.75" customHeight="1" x14ac:dyDescent="0.2"/>
    <row r="9015" ht="12.75" customHeight="1" x14ac:dyDescent="0.2"/>
    <row r="9016" ht="12.75" customHeight="1" x14ac:dyDescent="0.2"/>
    <row r="9017" ht="12.75" customHeight="1" x14ac:dyDescent="0.2"/>
    <row r="9018" ht="12.75" customHeight="1" x14ac:dyDescent="0.2"/>
    <row r="9019" ht="12.75" customHeight="1" x14ac:dyDescent="0.2"/>
    <row r="9020" ht="12.75" customHeight="1" x14ac:dyDescent="0.2"/>
    <row r="9021" ht="12.75" customHeight="1" x14ac:dyDescent="0.2"/>
    <row r="9022" ht="12.75" customHeight="1" x14ac:dyDescent="0.2"/>
    <row r="9023" ht="12.75" customHeight="1" x14ac:dyDescent="0.2"/>
    <row r="9024" ht="12.75" customHeight="1" x14ac:dyDescent="0.2"/>
    <row r="9025" ht="12.75" customHeight="1" x14ac:dyDescent="0.2"/>
    <row r="9026" ht="12.75" customHeight="1" x14ac:dyDescent="0.2"/>
    <row r="9027" ht="12.75" customHeight="1" x14ac:dyDescent="0.2"/>
    <row r="9028" ht="12.75" customHeight="1" x14ac:dyDescent="0.2"/>
    <row r="9029" ht="12.75" customHeight="1" x14ac:dyDescent="0.2"/>
    <row r="9030" ht="12.75" customHeight="1" x14ac:dyDescent="0.2"/>
    <row r="9031" ht="12.75" customHeight="1" x14ac:dyDescent="0.2"/>
    <row r="9032" ht="12.75" customHeight="1" x14ac:dyDescent="0.2"/>
    <row r="9033" ht="12.75" customHeight="1" x14ac:dyDescent="0.2"/>
    <row r="9034" ht="12.75" customHeight="1" x14ac:dyDescent="0.2"/>
    <row r="9035" ht="12.75" customHeight="1" x14ac:dyDescent="0.2"/>
    <row r="9036" ht="12.75" customHeight="1" x14ac:dyDescent="0.2"/>
    <row r="9037" ht="12.75" customHeight="1" x14ac:dyDescent="0.2"/>
    <row r="9038" ht="12.75" customHeight="1" x14ac:dyDescent="0.2"/>
    <row r="9039" ht="12.75" customHeight="1" x14ac:dyDescent="0.2"/>
    <row r="9040" ht="12.75" customHeight="1" x14ac:dyDescent="0.2"/>
    <row r="9041" ht="12.75" customHeight="1" x14ac:dyDescent="0.2"/>
    <row r="9042" ht="12.75" customHeight="1" x14ac:dyDescent="0.2"/>
    <row r="9043" ht="12.75" customHeight="1" x14ac:dyDescent="0.2"/>
    <row r="9044" ht="12.75" customHeight="1" x14ac:dyDescent="0.2"/>
    <row r="9045" ht="12.75" customHeight="1" x14ac:dyDescent="0.2"/>
    <row r="9046" ht="12.75" customHeight="1" x14ac:dyDescent="0.2"/>
    <row r="9047" ht="12.75" customHeight="1" x14ac:dyDescent="0.2"/>
    <row r="9048" ht="12.75" customHeight="1" x14ac:dyDescent="0.2"/>
    <row r="9049" ht="12.75" customHeight="1" x14ac:dyDescent="0.2"/>
    <row r="9050" ht="12.75" customHeight="1" x14ac:dyDescent="0.2"/>
    <row r="9051" ht="12.75" customHeight="1" x14ac:dyDescent="0.2"/>
    <row r="9052" ht="12.75" customHeight="1" x14ac:dyDescent="0.2"/>
    <row r="9053" ht="12.75" customHeight="1" x14ac:dyDescent="0.2"/>
    <row r="9054" ht="12.75" customHeight="1" x14ac:dyDescent="0.2"/>
    <row r="9055" ht="12.75" customHeight="1" x14ac:dyDescent="0.2"/>
    <row r="9056" ht="12.75" customHeight="1" x14ac:dyDescent="0.2"/>
    <row r="9057" ht="12.75" customHeight="1" x14ac:dyDescent="0.2"/>
    <row r="9058" ht="12.75" customHeight="1" x14ac:dyDescent="0.2"/>
    <row r="9059" ht="12.75" customHeight="1" x14ac:dyDescent="0.2"/>
    <row r="9060" ht="12.75" customHeight="1" x14ac:dyDescent="0.2"/>
    <row r="9061" ht="12.75" customHeight="1" x14ac:dyDescent="0.2"/>
    <row r="9062" ht="12.75" customHeight="1" x14ac:dyDescent="0.2"/>
    <row r="9063" ht="12.75" customHeight="1" x14ac:dyDescent="0.2"/>
    <row r="9064" ht="12.75" customHeight="1" x14ac:dyDescent="0.2"/>
    <row r="9065" ht="12.75" customHeight="1" x14ac:dyDescent="0.2"/>
    <row r="9066" ht="12.75" customHeight="1" x14ac:dyDescent="0.2"/>
    <row r="9067" ht="12.75" customHeight="1" x14ac:dyDescent="0.2"/>
    <row r="9068" ht="12.75" customHeight="1" x14ac:dyDescent="0.2"/>
    <row r="9069" ht="12.75" customHeight="1" x14ac:dyDescent="0.2"/>
    <row r="9070" ht="12.75" customHeight="1" x14ac:dyDescent="0.2"/>
    <row r="9071" ht="12.75" customHeight="1" x14ac:dyDescent="0.2"/>
    <row r="9072" ht="12.75" customHeight="1" x14ac:dyDescent="0.2"/>
    <row r="9073" ht="12.75" customHeight="1" x14ac:dyDescent="0.2"/>
    <row r="9074" ht="12.75" customHeight="1" x14ac:dyDescent="0.2"/>
    <row r="9075" ht="12.75" customHeight="1" x14ac:dyDescent="0.2"/>
    <row r="9076" ht="12.75" customHeight="1" x14ac:dyDescent="0.2"/>
    <row r="9077" ht="12.75" customHeight="1" x14ac:dyDescent="0.2"/>
    <row r="9078" ht="12.75" customHeight="1" x14ac:dyDescent="0.2"/>
    <row r="9079" ht="12.75" customHeight="1" x14ac:dyDescent="0.2"/>
    <row r="9080" ht="12.75" customHeight="1" x14ac:dyDescent="0.2"/>
    <row r="9081" ht="12.75" customHeight="1" x14ac:dyDescent="0.2"/>
    <row r="9082" ht="12.75" customHeight="1" x14ac:dyDescent="0.2"/>
    <row r="9083" ht="12.75" customHeight="1" x14ac:dyDescent="0.2"/>
    <row r="9084" ht="12.75" customHeight="1" x14ac:dyDescent="0.2"/>
    <row r="9085" ht="12.75" customHeight="1" x14ac:dyDescent="0.2"/>
    <row r="9086" ht="12.75" customHeight="1" x14ac:dyDescent="0.2"/>
    <row r="9087" ht="12.75" customHeight="1" x14ac:dyDescent="0.2"/>
    <row r="9088" ht="12.75" customHeight="1" x14ac:dyDescent="0.2"/>
    <row r="9089" ht="12.75" customHeight="1" x14ac:dyDescent="0.2"/>
    <row r="9090" ht="12.75" customHeight="1" x14ac:dyDescent="0.2"/>
    <row r="9091" ht="12.75" customHeight="1" x14ac:dyDescent="0.2"/>
    <row r="9092" ht="12.75" customHeight="1" x14ac:dyDescent="0.2"/>
    <row r="9093" ht="12.75" customHeight="1" x14ac:dyDescent="0.2"/>
    <row r="9094" ht="12.75" customHeight="1" x14ac:dyDescent="0.2"/>
    <row r="9095" ht="12.75" customHeight="1" x14ac:dyDescent="0.2"/>
    <row r="9096" ht="12.75" customHeight="1" x14ac:dyDescent="0.2"/>
    <row r="9097" ht="12.75" customHeight="1" x14ac:dyDescent="0.2"/>
    <row r="9098" ht="12.75" customHeight="1" x14ac:dyDescent="0.2"/>
    <row r="9099" ht="12.75" customHeight="1" x14ac:dyDescent="0.2"/>
    <row r="9100" ht="12.75" customHeight="1" x14ac:dyDescent="0.2"/>
    <row r="9101" ht="12.75" customHeight="1" x14ac:dyDescent="0.2"/>
    <row r="9102" ht="12.75" customHeight="1" x14ac:dyDescent="0.2"/>
    <row r="9103" ht="12.75" customHeight="1" x14ac:dyDescent="0.2"/>
    <row r="9104" ht="12.75" customHeight="1" x14ac:dyDescent="0.2"/>
    <row r="9105" ht="12.75" customHeight="1" x14ac:dyDescent="0.2"/>
    <row r="9106" ht="12.75" customHeight="1" x14ac:dyDescent="0.2"/>
    <row r="9107" ht="12.75" customHeight="1" x14ac:dyDescent="0.2"/>
    <row r="9108" ht="12.75" customHeight="1" x14ac:dyDescent="0.2"/>
    <row r="9109" ht="12.75" customHeight="1" x14ac:dyDescent="0.2"/>
    <row r="9110" ht="12.75" customHeight="1" x14ac:dyDescent="0.2"/>
    <row r="9111" ht="12.75" customHeight="1" x14ac:dyDescent="0.2"/>
    <row r="9112" ht="12.75" customHeight="1" x14ac:dyDescent="0.2"/>
    <row r="9113" ht="12.75" customHeight="1" x14ac:dyDescent="0.2"/>
    <row r="9114" ht="12.75" customHeight="1" x14ac:dyDescent="0.2"/>
    <row r="9115" ht="12.75" customHeight="1" x14ac:dyDescent="0.2"/>
    <row r="9116" ht="12.75" customHeight="1" x14ac:dyDescent="0.2"/>
    <row r="9117" ht="12.75" customHeight="1" x14ac:dyDescent="0.2"/>
    <row r="9118" ht="12.75" customHeight="1" x14ac:dyDescent="0.2"/>
    <row r="9119" ht="12.75" customHeight="1" x14ac:dyDescent="0.2"/>
    <row r="9120" ht="12.75" customHeight="1" x14ac:dyDescent="0.2"/>
    <row r="9121" ht="12.75" customHeight="1" x14ac:dyDescent="0.2"/>
    <row r="9122" ht="12.75" customHeight="1" x14ac:dyDescent="0.2"/>
    <row r="9123" ht="12.75" customHeight="1" x14ac:dyDescent="0.2"/>
    <row r="9124" ht="12.75" customHeight="1" x14ac:dyDescent="0.2"/>
    <row r="9125" ht="12.75" customHeight="1" x14ac:dyDescent="0.2"/>
    <row r="9126" ht="12.75" customHeight="1" x14ac:dyDescent="0.2"/>
    <row r="9127" ht="12.75" customHeight="1" x14ac:dyDescent="0.2"/>
    <row r="9128" ht="12.75" customHeight="1" x14ac:dyDescent="0.2"/>
    <row r="9129" ht="12.75" customHeight="1" x14ac:dyDescent="0.2"/>
    <row r="9130" ht="12.75" customHeight="1" x14ac:dyDescent="0.2"/>
    <row r="9131" ht="12.75" customHeight="1" x14ac:dyDescent="0.2"/>
    <row r="9132" ht="12.75" customHeight="1" x14ac:dyDescent="0.2"/>
    <row r="9133" ht="12.75" customHeight="1" x14ac:dyDescent="0.2"/>
    <row r="9134" ht="12.75" customHeight="1" x14ac:dyDescent="0.2"/>
    <row r="9135" ht="12.75" customHeight="1" x14ac:dyDescent="0.2"/>
    <row r="9136" ht="12.75" customHeight="1" x14ac:dyDescent="0.2"/>
    <row r="9137" ht="12.75" customHeight="1" x14ac:dyDescent="0.2"/>
    <row r="9138" ht="12.75" customHeight="1" x14ac:dyDescent="0.2"/>
    <row r="9139" ht="12.75" customHeight="1" x14ac:dyDescent="0.2"/>
    <row r="9140" ht="12.75" customHeight="1" x14ac:dyDescent="0.2"/>
    <row r="9141" ht="12.75" customHeight="1" x14ac:dyDescent="0.2"/>
    <row r="9142" ht="12.75" customHeight="1" x14ac:dyDescent="0.2"/>
    <row r="9143" ht="12.75" customHeight="1" x14ac:dyDescent="0.2"/>
    <row r="9144" ht="12.75" customHeight="1" x14ac:dyDescent="0.2"/>
    <row r="9145" ht="12.75" customHeight="1" x14ac:dyDescent="0.2"/>
    <row r="9146" ht="12.75" customHeight="1" x14ac:dyDescent="0.2"/>
    <row r="9147" ht="12.75" customHeight="1" x14ac:dyDescent="0.2"/>
    <row r="9148" ht="12.75" customHeight="1" x14ac:dyDescent="0.2"/>
    <row r="9149" ht="12.75" customHeight="1" x14ac:dyDescent="0.2"/>
    <row r="9150" ht="12.75" customHeight="1" x14ac:dyDescent="0.2"/>
    <row r="9151" ht="12.75" customHeight="1" x14ac:dyDescent="0.2"/>
    <row r="9152" ht="12.75" customHeight="1" x14ac:dyDescent="0.2"/>
    <row r="9153" ht="12.75" customHeight="1" x14ac:dyDescent="0.2"/>
    <row r="9154" ht="12.75" customHeight="1" x14ac:dyDescent="0.2"/>
    <row r="9155" ht="12.75" customHeight="1" x14ac:dyDescent="0.2"/>
    <row r="9156" ht="12.75" customHeight="1" x14ac:dyDescent="0.2"/>
    <row r="9157" ht="12.75" customHeight="1" x14ac:dyDescent="0.2"/>
    <row r="9158" ht="12.75" customHeight="1" x14ac:dyDescent="0.2"/>
    <row r="9159" ht="12.75" customHeight="1" x14ac:dyDescent="0.2"/>
    <row r="9160" ht="12.75" customHeight="1" x14ac:dyDescent="0.2"/>
    <row r="9161" ht="12.75" customHeight="1" x14ac:dyDescent="0.2"/>
    <row r="9162" ht="12.75" customHeight="1" x14ac:dyDescent="0.2"/>
    <row r="9163" ht="12.75" customHeight="1" x14ac:dyDescent="0.2"/>
    <row r="9164" ht="12.75" customHeight="1" x14ac:dyDescent="0.2"/>
    <row r="9165" ht="12.75" customHeight="1" x14ac:dyDescent="0.2"/>
    <row r="9166" ht="12.75" customHeight="1" x14ac:dyDescent="0.2"/>
    <row r="9167" ht="12.75" customHeight="1" x14ac:dyDescent="0.2"/>
    <row r="9168" ht="12.75" customHeight="1" x14ac:dyDescent="0.2"/>
    <row r="9169" ht="12.75" customHeight="1" x14ac:dyDescent="0.2"/>
    <row r="9170" ht="12.75" customHeight="1" x14ac:dyDescent="0.2"/>
    <row r="9171" ht="12.75" customHeight="1" x14ac:dyDescent="0.2"/>
    <row r="9172" ht="12.75" customHeight="1" x14ac:dyDescent="0.2"/>
    <row r="9173" ht="12.75" customHeight="1" x14ac:dyDescent="0.2"/>
    <row r="9174" ht="12.75" customHeight="1" x14ac:dyDescent="0.2"/>
    <row r="9175" ht="12.75" customHeight="1" x14ac:dyDescent="0.2"/>
    <row r="9176" ht="12.75" customHeight="1" x14ac:dyDescent="0.2"/>
    <row r="9177" ht="12.75" customHeight="1" x14ac:dyDescent="0.2"/>
    <row r="9178" ht="12.75" customHeight="1" x14ac:dyDescent="0.2"/>
    <row r="9179" ht="12.75" customHeight="1" x14ac:dyDescent="0.2"/>
    <row r="9180" ht="12.75" customHeight="1" x14ac:dyDescent="0.2"/>
    <row r="9181" ht="12.75" customHeight="1" x14ac:dyDescent="0.2"/>
    <row r="9182" ht="12.75" customHeight="1" x14ac:dyDescent="0.2"/>
    <row r="9183" ht="12.75" customHeight="1" x14ac:dyDescent="0.2"/>
    <row r="9184" ht="12.75" customHeight="1" x14ac:dyDescent="0.2"/>
    <row r="9185" ht="12.75" customHeight="1" x14ac:dyDescent="0.2"/>
    <row r="9186" ht="12.75" customHeight="1" x14ac:dyDescent="0.2"/>
    <row r="9187" ht="12.75" customHeight="1" x14ac:dyDescent="0.2"/>
    <row r="9188" ht="12.75" customHeight="1" x14ac:dyDescent="0.2"/>
    <row r="9189" ht="12.75" customHeight="1" x14ac:dyDescent="0.2"/>
    <row r="9190" ht="12.75" customHeight="1" x14ac:dyDescent="0.2"/>
    <row r="9191" ht="12.75" customHeight="1" x14ac:dyDescent="0.2"/>
    <row r="9192" ht="12.75" customHeight="1" x14ac:dyDescent="0.2"/>
    <row r="9193" ht="12.75" customHeight="1" x14ac:dyDescent="0.2"/>
    <row r="9194" ht="12.75" customHeight="1" x14ac:dyDescent="0.2"/>
    <row r="9195" ht="12.75" customHeight="1" x14ac:dyDescent="0.2"/>
    <row r="9196" ht="12.75" customHeight="1" x14ac:dyDescent="0.2"/>
    <row r="9197" ht="12.75" customHeight="1" x14ac:dyDescent="0.2"/>
    <row r="9198" ht="12.75" customHeight="1" x14ac:dyDescent="0.2"/>
    <row r="9199" ht="12.75" customHeight="1" x14ac:dyDescent="0.2"/>
    <row r="9200" ht="12.75" customHeight="1" x14ac:dyDescent="0.2"/>
    <row r="9201" ht="12.75" customHeight="1" x14ac:dyDescent="0.2"/>
    <row r="9202" ht="12.75" customHeight="1" x14ac:dyDescent="0.2"/>
    <row r="9203" ht="12.75" customHeight="1" x14ac:dyDescent="0.2"/>
    <row r="9204" ht="12.75" customHeight="1" x14ac:dyDescent="0.2"/>
    <row r="9205" ht="12.75" customHeight="1" x14ac:dyDescent="0.2"/>
    <row r="9206" ht="12.75" customHeight="1" x14ac:dyDescent="0.2"/>
    <row r="9207" ht="12.75" customHeight="1" x14ac:dyDescent="0.2"/>
    <row r="9208" ht="12.75" customHeight="1" x14ac:dyDescent="0.2"/>
    <row r="9209" ht="12.75" customHeight="1" x14ac:dyDescent="0.2"/>
    <row r="9210" ht="12.75" customHeight="1" x14ac:dyDescent="0.2"/>
    <row r="9211" ht="12.75" customHeight="1" x14ac:dyDescent="0.2"/>
    <row r="9212" ht="12.75" customHeight="1" x14ac:dyDescent="0.2"/>
    <row r="9213" ht="12.75" customHeight="1" x14ac:dyDescent="0.2"/>
    <row r="9214" ht="12.75" customHeight="1" x14ac:dyDescent="0.2"/>
    <row r="9215" ht="12.75" customHeight="1" x14ac:dyDescent="0.2"/>
    <row r="9216" ht="12.75" customHeight="1" x14ac:dyDescent="0.2"/>
    <row r="9217" ht="12.75" customHeight="1" x14ac:dyDescent="0.2"/>
    <row r="9218" ht="12.75" customHeight="1" x14ac:dyDescent="0.2"/>
    <row r="9219" ht="12.75" customHeight="1" x14ac:dyDescent="0.2"/>
    <row r="9220" ht="12.75" customHeight="1" x14ac:dyDescent="0.2"/>
    <row r="9221" ht="12.75" customHeight="1" x14ac:dyDescent="0.2"/>
    <row r="9222" ht="12.75" customHeight="1" x14ac:dyDescent="0.2"/>
    <row r="9223" ht="12.75" customHeight="1" x14ac:dyDescent="0.2"/>
    <row r="9224" ht="12.75" customHeight="1" x14ac:dyDescent="0.2"/>
    <row r="9225" ht="12.75" customHeight="1" x14ac:dyDescent="0.2"/>
    <row r="9226" ht="12.75" customHeight="1" x14ac:dyDescent="0.2"/>
    <row r="9227" ht="12.75" customHeight="1" x14ac:dyDescent="0.2"/>
    <row r="9228" ht="12.75" customHeight="1" x14ac:dyDescent="0.2"/>
    <row r="9229" ht="12.75" customHeight="1" x14ac:dyDescent="0.2"/>
    <row r="9230" ht="12.75" customHeight="1" x14ac:dyDescent="0.2"/>
    <row r="9231" ht="12.75" customHeight="1" x14ac:dyDescent="0.2"/>
    <row r="9232" ht="12.75" customHeight="1" x14ac:dyDescent="0.2"/>
    <row r="9233" ht="12.75" customHeight="1" x14ac:dyDescent="0.2"/>
    <row r="9234" ht="12.75" customHeight="1" x14ac:dyDescent="0.2"/>
    <row r="9235" ht="12.75" customHeight="1" x14ac:dyDescent="0.2"/>
    <row r="9236" ht="12.75" customHeight="1" x14ac:dyDescent="0.2"/>
    <row r="9237" ht="12.75" customHeight="1" x14ac:dyDescent="0.2"/>
    <row r="9238" ht="12.75" customHeight="1" x14ac:dyDescent="0.2"/>
    <row r="9239" ht="12.75" customHeight="1" x14ac:dyDescent="0.2"/>
    <row r="9240" ht="12.75" customHeight="1" x14ac:dyDescent="0.2"/>
    <row r="9241" ht="12.75" customHeight="1" x14ac:dyDescent="0.2"/>
    <row r="9242" ht="12.75" customHeight="1" x14ac:dyDescent="0.2"/>
    <row r="9243" ht="12.75" customHeight="1" x14ac:dyDescent="0.2"/>
    <row r="9244" ht="12.75" customHeight="1" x14ac:dyDescent="0.2"/>
    <row r="9245" ht="12.75" customHeight="1" x14ac:dyDescent="0.2"/>
    <row r="9246" ht="12.75" customHeight="1" x14ac:dyDescent="0.2"/>
    <row r="9247" ht="12.75" customHeight="1" x14ac:dyDescent="0.2"/>
    <row r="9248" ht="12.75" customHeight="1" x14ac:dyDescent="0.2"/>
    <row r="9249" ht="12.75" customHeight="1" x14ac:dyDescent="0.2"/>
    <row r="9250" ht="12.75" customHeight="1" x14ac:dyDescent="0.2"/>
    <row r="9251" ht="12.75" customHeight="1" x14ac:dyDescent="0.2"/>
    <row r="9252" ht="12.75" customHeight="1" x14ac:dyDescent="0.2"/>
    <row r="9253" ht="12.75" customHeight="1" x14ac:dyDescent="0.2"/>
    <row r="9254" ht="12.75" customHeight="1" x14ac:dyDescent="0.2"/>
    <row r="9255" ht="12.75" customHeight="1" x14ac:dyDescent="0.2"/>
    <row r="9256" ht="12.75" customHeight="1" x14ac:dyDescent="0.2"/>
    <row r="9257" ht="12.75" customHeight="1" x14ac:dyDescent="0.2"/>
    <row r="9258" ht="12.75" customHeight="1" x14ac:dyDescent="0.2"/>
    <row r="9259" ht="12.75" customHeight="1" x14ac:dyDescent="0.2"/>
    <row r="9260" ht="12.75" customHeight="1" x14ac:dyDescent="0.2"/>
    <row r="9261" ht="12.75" customHeight="1" x14ac:dyDescent="0.2"/>
    <row r="9262" ht="12.75" customHeight="1" x14ac:dyDescent="0.2"/>
    <row r="9263" ht="12.75" customHeight="1" x14ac:dyDescent="0.2"/>
    <row r="9264" ht="12.75" customHeight="1" x14ac:dyDescent="0.2"/>
    <row r="9265" ht="12.75" customHeight="1" x14ac:dyDescent="0.2"/>
    <row r="9266" ht="12.75" customHeight="1" x14ac:dyDescent="0.2"/>
    <row r="9267" ht="12.75" customHeight="1" x14ac:dyDescent="0.2"/>
    <row r="9268" ht="12.75" customHeight="1" x14ac:dyDescent="0.2"/>
    <row r="9269" ht="12.75" customHeight="1" x14ac:dyDescent="0.2"/>
    <row r="9270" ht="12.75" customHeight="1" x14ac:dyDescent="0.2"/>
    <row r="9271" ht="12.75" customHeight="1" x14ac:dyDescent="0.2"/>
    <row r="9272" ht="12.75" customHeight="1" x14ac:dyDescent="0.2"/>
    <row r="9273" ht="12.75" customHeight="1" x14ac:dyDescent="0.2"/>
    <row r="9274" ht="12.75" customHeight="1" x14ac:dyDescent="0.2"/>
    <row r="9275" ht="12.75" customHeight="1" x14ac:dyDescent="0.2"/>
    <row r="9276" ht="12.75" customHeight="1" x14ac:dyDescent="0.2"/>
    <row r="9277" ht="12.75" customHeight="1" x14ac:dyDescent="0.2"/>
    <row r="9278" ht="12.75" customHeight="1" x14ac:dyDescent="0.2"/>
    <row r="9279" ht="12.75" customHeight="1" x14ac:dyDescent="0.2"/>
    <row r="9280" ht="12.75" customHeight="1" x14ac:dyDescent="0.2"/>
    <row r="9281" ht="12.75" customHeight="1" x14ac:dyDescent="0.2"/>
    <row r="9282" ht="12.75" customHeight="1" x14ac:dyDescent="0.2"/>
    <row r="9283" ht="12.75" customHeight="1" x14ac:dyDescent="0.2"/>
    <row r="9284" ht="12.75" customHeight="1" x14ac:dyDescent="0.2"/>
    <row r="9285" ht="12.75" customHeight="1" x14ac:dyDescent="0.2"/>
    <row r="9286" ht="12.75" customHeight="1" x14ac:dyDescent="0.2"/>
    <row r="9287" ht="12.75" customHeight="1" x14ac:dyDescent="0.2"/>
    <row r="9288" ht="12.75" customHeight="1" x14ac:dyDescent="0.2"/>
    <row r="9289" ht="12.75" customHeight="1" x14ac:dyDescent="0.2"/>
    <row r="9290" ht="12.75" customHeight="1" x14ac:dyDescent="0.2"/>
    <row r="9291" ht="12.75" customHeight="1" x14ac:dyDescent="0.2"/>
    <row r="9292" ht="12.75" customHeight="1" x14ac:dyDescent="0.2"/>
    <row r="9293" ht="12.75" customHeight="1" x14ac:dyDescent="0.2"/>
    <row r="9294" ht="12.75" customHeight="1" x14ac:dyDescent="0.2"/>
    <row r="9295" ht="12.75" customHeight="1" x14ac:dyDescent="0.2"/>
    <row r="9296" ht="12.75" customHeight="1" x14ac:dyDescent="0.2"/>
    <row r="9297" ht="12.75" customHeight="1" x14ac:dyDescent="0.2"/>
    <row r="9298" ht="12.75" customHeight="1" x14ac:dyDescent="0.2"/>
    <row r="9299" ht="12.75" customHeight="1" x14ac:dyDescent="0.2"/>
    <row r="9300" ht="12.75" customHeight="1" x14ac:dyDescent="0.2"/>
    <row r="9301" ht="12.75" customHeight="1" x14ac:dyDescent="0.2"/>
    <row r="9302" ht="12.75" customHeight="1" x14ac:dyDescent="0.2"/>
    <row r="9303" ht="12.75" customHeight="1" x14ac:dyDescent="0.2"/>
    <row r="9304" ht="12.75" customHeight="1" x14ac:dyDescent="0.2"/>
    <row r="9305" ht="12.75" customHeight="1" x14ac:dyDescent="0.2"/>
    <row r="9306" ht="12.75" customHeight="1" x14ac:dyDescent="0.2"/>
    <row r="9307" ht="12.75" customHeight="1" x14ac:dyDescent="0.2"/>
    <row r="9308" ht="12.75" customHeight="1" x14ac:dyDescent="0.2"/>
    <row r="9309" ht="12.75" customHeight="1" x14ac:dyDescent="0.2"/>
    <row r="9310" ht="12.75" customHeight="1" x14ac:dyDescent="0.2"/>
    <row r="9311" ht="12.75" customHeight="1" x14ac:dyDescent="0.2"/>
    <row r="9312" ht="12.75" customHeight="1" x14ac:dyDescent="0.2"/>
    <row r="9313" ht="12.75" customHeight="1" x14ac:dyDescent="0.2"/>
    <row r="9314" ht="12.75" customHeight="1" x14ac:dyDescent="0.2"/>
    <row r="9315" ht="12.75" customHeight="1" x14ac:dyDescent="0.2"/>
    <row r="9316" ht="12.75" customHeight="1" x14ac:dyDescent="0.2"/>
    <row r="9317" ht="12.75" customHeight="1" x14ac:dyDescent="0.2"/>
    <row r="9318" ht="12.75" customHeight="1" x14ac:dyDescent="0.2"/>
    <row r="9319" ht="12.75" customHeight="1" x14ac:dyDescent="0.2"/>
    <row r="9320" ht="12.75" customHeight="1" x14ac:dyDescent="0.2"/>
    <row r="9321" ht="12.75" customHeight="1" x14ac:dyDescent="0.2"/>
    <row r="9322" ht="12.75" customHeight="1" x14ac:dyDescent="0.2"/>
    <row r="9323" ht="12.75" customHeight="1" x14ac:dyDescent="0.2"/>
    <row r="9324" ht="12.75" customHeight="1" x14ac:dyDescent="0.2"/>
    <row r="9325" ht="12.75" customHeight="1" x14ac:dyDescent="0.2"/>
    <row r="9326" ht="12.75" customHeight="1" x14ac:dyDescent="0.2"/>
    <row r="9327" ht="12.75" customHeight="1" x14ac:dyDescent="0.2"/>
    <row r="9328" ht="12.75" customHeight="1" x14ac:dyDescent="0.2"/>
    <row r="9329" ht="12.75" customHeight="1" x14ac:dyDescent="0.2"/>
    <row r="9330" ht="12.75" customHeight="1" x14ac:dyDescent="0.2"/>
    <row r="9331" ht="12.75" customHeight="1" x14ac:dyDescent="0.2"/>
    <row r="9332" ht="12.75" customHeight="1" x14ac:dyDescent="0.2"/>
    <row r="9333" ht="12.75" customHeight="1" x14ac:dyDescent="0.2"/>
    <row r="9334" ht="12.75" customHeight="1" x14ac:dyDescent="0.2"/>
    <row r="9335" ht="12.75" customHeight="1" x14ac:dyDescent="0.2"/>
    <row r="9336" ht="12.75" customHeight="1" x14ac:dyDescent="0.2"/>
    <row r="9337" ht="12.75" customHeight="1" x14ac:dyDescent="0.2"/>
    <row r="9338" ht="12.75" customHeight="1" x14ac:dyDescent="0.2"/>
    <row r="9339" ht="12.75" customHeight="1" x14ac:dyDescent="0.2"/>
    <row r="9340" ht="12.75" customHeight="1" x14ac:dyDescent="0.2"/>
    <row r="9341" ht="12.75" customHeight="1" x14ac:dyDescent="0.2"/>
    <row r="9342" ht="12.75" customHeight="1" x14ac:dyDescent="0.2"/>
    <row r="9343" ht="12.75" customHeight="1" x14ac:dyDescent="0.2"/>
    <row r="9344" ht="12.75" customHeight="1" x14ac:dyDescent="0.2"/>
    <row r="9345" ht="12.75" customHeight="1" x14ac:dyDescent="0.2"/>
    <row r="9346" ht="12.75" customHeight="1" x14ac:dyDescent="0.2"/>
    <row r="9347" ht="12.75" customHeight="1" x14ac:dyDescent="0.2"/>
    <row r="9348" ht="12.75" customHeight="1" x14ac:dyDescent="0.2"/>
    <row r="9349" ht="12.75" customHeight="1" x14ac:dyDescent="0.2"/>
    <row r="9350" ht="12.75" customHeight="1" x14ac:dyDescent="0.2"/>
    <row r="9351" ht="12.75" customHeight="1" x14ac:dyDescent="0.2"/>
    <row r="9352" ht="12.75" customHeight="1" x14ac:dyDescent="0.2"/>
    <row r="9353" ht="12.75" customHeight="1" x14ac:dyDescent="0.2"/>
    <row r="9354" ht="12.75" customHeight="1" x14ac:dyDescent="0.2"/>
    <row r="9355" ht="12.75" customHeight="1" x14ac:dyDescent="0.2"/>
    <row r="9356" ht="12.75" customHeight="1" x14ac:dyDescent="0.2"/>
    <row r="9357" ht="12.75" customHeight="1" x14ac:dyDescent="0.2"/>
    <row r="9358" ht="12.75" customHeight="1" x14ac:dyDescent="0.2"/>
    <row r="9359" ht="12.75" customHeight="1" x14ac:dyDescent="0.2"/>
    <row r="9360" ht="12.75" customHeight="1" x14ac:dyDescent="0.2"/>
    <row r="9361" ht="12.75" customHeight="1" x14ac:dyDescent="0.2"/>
    <row r="9362" ht="12.75" customHeight="1" x14ac:dyDescent="0.2"/>
    <row r="9363" ht="12.75" customHeight="1" x14ac:dyDescent="0.2"/>
    <row r="9364" ht="12.75" customHeight="1" x14ac:dyDescent="0.2"/>
    <row r="9365" ht="12.75" customHeight="1" x14ac:dyDescent="0.2"/>
    <row r="9366" ht="12.75" customHeight="1" x14ac:dyDescent="0.2"/>
    <row r="9367" ht="12.75" customHeight="1" x14ac:dyDescent="0.2"/>
    <row r="9368" ht="12.75" customHeight="1" x14ac:dyDescent="0.2"/>
    <row r="9369" ht="12.75" customHeight="1" x14ac:dyDescent="0.2"/>
    <row r="9370" ht="12.75" customHeight="1" x14ac:dyDescent="0.2"/>
    <row r="9371" ht="12.75" customHeight="1" x14ac:dyDescent="0.2"/>
    <row r="9372" ht="12.75" customHeight="1" x14ac:dyDescent="0.2"/>
    <row r="9373" ht="12.75" customHeight="1" x14ac:dyDescent="0.2"/>
    <row r="9374" ht="12.75" customHeight="1" x14ac:dyDescent="0.2"/>
    <row r="9375" ht="12.75" customHeight="1" x14ac:dyDescent="0.2"/>
    <row r="9376" ht="12.75" customHeight="1" x14ac:dyDescent="0.2"/>
    <row r="9377" ht="12.75" customHeight="1" x14ac:dyDescent="0.2"/>
    <row r="9378" ht="12.75" customHeight="1" x14ac:dyDescent="0.2"/>
    <row r="9379" ht="12.75" customHeight="1" x14ac:dyDescent="0.2"/>
    <row r="9380" ht="12.75" customHeight="1" x14ac:dyDescent="0.2"/>
    <row r="9381" ht="12.75" customHeight="1" x14ac:dyDescent="0.2"/>
    <row r="9382" ht="12.75" customHeight="1" x14ac:dyDescent="0.2"/>
    <row r="9383" ht="12.75" customHeight="1" x14ac:dyDescent="0.2"/>
    <row r="9384" ht="12.75" customHeight="1" x14ac:dyDescent="0.2"/>
    <row r="9385" ht="12.75" customHeight="1" x14ac:dyDescent="0.2"/>
    <row r="9386" ht="12.75" customHeight="1" x14ac:dyDescent="0.2"/>
    <row r="9387" ht="12.75" customHeight="1" x14ac:dyDescent="0.2"/>
    <row r="9388" ht="12.75" customHeight="1" x14ac:dyDescent="0.2"/>
    <row r="9389" ht="12.75" customHeight="1" x14ac:dyDescent="0.2"/>
    <row r="9390" ht="12.75" customHeight="1" x14ac:dyDescent="0.2"/>
    <row r="9391" ht="12.75" customHeight="1" x14ac:dyDescent="0.2"/>
    <row r="9392" ht="12.75" customHeight="1" x14ac:dyDescent="0.2"/>
    <row r="9393" ht="12.75" customHeight="1" x14ac:dyDescent="0.2"/>
    <row r="9394" ht="12.75" customHeight="1" x14ac:dyDescent="0.2"/>
    <row r="9395" ht="12.75" customHeight="1" x14ac:dyDescent="0.2"/>
    <row r="9396" ht="12.75" customHeight="1" x14ac:dyDescent="0.2"/>
    <row r="9397" ht="12.75" customHeight="1" x14ac:dyDescent="0.2"/>
    <row r="9398" ht="12.75" customHeight="1" x14ac:dyDescent="0.2"/>
    <row r="9399" ht="12.75" customHeight="1" x14ac:dyDescent="0.2"/>
    <row r="9400" ht="12.75" customHeight="1" x14ac:dyDescent="0.2"/>
    <row r="9401" ht="12.75" customHeight="1" x14ac:dyDescent="0.2"/>
    <row r="9402" ht="12.75" customHeight="1" x14ac:dyDescent="0.2"/>
    <row r="9403" ht="12.75" customHeight="1" x14ac:dyDescent="0.2"/>
    <row r="9404" ht="12.75" customHeight="1" x14ac:dyDescent="0.2"/>
    <row r="9405" ht="12.75" customHeight="1" x14ac:dyDescent="0.2"/>
    <row r="9406" ht="12.75" customHeight="1" x14ac:dyDescent="0.2"/>
    <row r="9407" ht="12.75" customHeight="1" x14ac:dyDescent="0.2"/>
    <row r="9408" ht="12.75" customHeight="1" x14ac:dyDescent="0.2"/>
    <row r="9409" ht="12.75" customHeight="1" x14ac:dyDescent="0.2"/>
    <row r="9410" ht="12.75" customHeight="1" x14ac:dyDescent="0.2"/>
    <row r="9411" ht="12.75" customHeight="1" x14ac:dyDescent="0.2"/>
    <row r="9412" ht="12.75" customHeight="1" x14ac:dyDescent="0.2"/>
    <row r="9413" ht="12.75" customHeight="1" x14ac:dyDescent="0.2"/>
    <row r="9414" ht="12.75" customHeight="1" x14ac:dyDescent="0.2"/>
    <row r="9415" ht="12.75" customHeight="1" x14ac:dyDescent="0.2"/>
    <row r="9416" ht="12.75" customHeight="1" x14ac:dyDescent="0.2"/>
    <row r="9417" ht="12.75" customHeight="1" x14ac:dyDescent="0.2"/>
    <row r="9418" ht="12.75" customHeight="1" x14ac:dyDescent="0.2"/>
    <row r="9419" ht="12.75" customHeight="1" x14ac:dyDescent="0.2"/>
    <row r="9420" ht="12.75" customHeight="1" x14ac:dyDescent="0.2"/>
    <row r="9421" ht="12.75" customHeight="1" x14ac:dyDescent="0.2"/>
    <row r="9422" ht="12.75" customHeight="1" x14ac:dyDescent="0.2"/>
    <row r="9423" ht="12.75" customHeight="1" x14ac:dyDescent="0.2"/>
    <row r="9424" ht="12.75" customHeight="1" x14ac:dyDescent="0.2"/>
    <row r="9425" ht="12.75" customHeight="1" x14ac:dyDescent="0.2"/>
    <row r="9426" ht="12.75" customHeight="1" x14ac:dyDescent="0.2"/>
    <row r="9427" ht="12.75" customHeight="1" x14ac:dyDescent="0.2"/>
    <row r="9428" ht="12.75" customHeight="1" x14ac:dyDescent="0.2"/>
    <row r="9429" ht="12.75" customHeight="1" x14ac:dyDescent="0.2"/>
    <row r="9430" ht="12.75" customHeight="1" x14ac:dyDescent="0.2"/>
    <row r="9431" ht="12.75" customHeight="1" x14ac:dyDescent="0.2"/>
    <row r="9432" ht="12.75" customHeight="1" x14ac:dyDescent="0.2"/>
    <row r="9433" ht="12.75" customHeight="1" x14ac:dyDescent="0.2"/>
    <row r="9434" ht="12.75" customHeight="1" x14ac:dyDescent="0.2"/>
    <row r="9435" ht="12.75" customHeight="1" x14ac:dyDescent="0.2"/>
    <row r="9436" ht="12.75" customHeight="1" x14ac:dyDescent="0.2"/>
    <row r="9437" ht="12.75" customHeight="1" x14ac:dyDescent="0.2"/>
    <row r="9438" ht="12.75" customHeight="1" x14ac:dyDescent="0.2"/>
    <row r="9439" ht="12.75" customHeight="1" x14ac:dyDescent="0.2"/>
    <row r="9440" ht="12.75" customHeight="1" x14ac:dyDescent="0.2"/>
    <row r="9441" ht="12.75" customHeight="1" x14ac:dyDescent="0.2"/>
    <row r="9442" ht="12.75" customHeight="1" x14ac:dyDescent="0.2"/>
    <row r="9443" ht="12.75" customHeight="1" x14ac:dyDescent="0.2"/>
    <row r="9444" ht="12.75" customHeight="1" x14ac:dyDescent="0.2"/>
    <row r="9445" ht="12.75" customHeight="1" x14ac:dyDescent="0.2"/>
    <row r="9446" ht="12.75" customHeight="1" x14ac:dyDescent="0.2"/>
    <row r="9447" ht="12.75" customHeight="1" x14ac:dyDescent="0.2"/>
    <row r="9448" ht="12.75" customHeight="1" x14ac:dyDescent="0.2"/>
    <row r="9449" ht="12.75" customHeight="1" x14ac:dyDescent="0.2"/>
    <row r="9450" ht="12.75" customHeight="1" x14ac:dyDescent="0.2"/>
    <row r="9451" ht="12.75" customHeight="1" x14ac:dyDescent="0.2"/>
    <row r="9452" ht="12.75" customHeight="1" x14ac:dyDescent="0.2"/>
    <row r="9453" ht="12.75" customHeight="1" x14ac:dyDescent="0.2"/>
    <row r="9454" ht="12.75" customHeight="1" x14ac:dyDescent="0.2"/>
    <row r="9455" ht="12.75" customHeight="1" x14ac:dyDescent="0.2"/>
    <row r="9456" ht="12.75" customHeight="1" x14ac:dyDescent="0.2"/>
    <row r="9457" ht="12.75" customHeight="1" x14ac:dyDescent="0.2"/>
    <row r="9458" ht="12.75" customHeight="1" x14ac:dyDescent="0.2"/>
    <row r="9459" ht="12.75" customHeight="1" x14ac:dyDescent="0.2"/>
    <row r="9460" ht="12.75" customHeight="1" x14ac:dyDescent="0.2"/>
    <row r="9461" ht="12.75" customHeight="1" x14ac:dyDescent="0.2"/>
    <row r="9462" ht="12.75" customHeight="1" x14ac:dyDescent="0.2"/>
    <row r="9463" ht="12.75" customHeight="1" x14ac:dyDescent="0.2"/>
    <row r="9464" ht="12.75" customHeight="1" x14ac:dyDescent="0.2"/>
    <row r="9465" ht="12.75" customHeight="1" x14ac:dyDescent="0.2"/>
    <row r="9466" ht="12.75" customHeight="1" x14ac:dyDescent="0.2"/>
    <row r="9467" ht="12.75" customHeight="1" x14ac:dyDescent="0.2"/>
    <row r="9468" ht="12.75" customHeight="1" x14ac:dyDescent="0.2"/>
    <row r="9469" ht="12.75" customHeight="1" x14ac:dyDescent="0.2"/>
    <row r="9470" ht="12.75" customHeight="1" x14ac:dyDescent="0.2"/>
    <row r="9471" ht="12.75" customHeight="1" x14ac:dyDescent="0.2"/>
    <row r="9472" ht="12.75" customHeight="1" x14ac:dyDescent="0.2"/>
    <row r="9473" ht="12.75" customHeight="1" x14ac:dyDescent="0.2"/>
    <row r="9474" ht="12.75" customHeight="1" x14ac:dyDescent="0.2"/>
    <row r="9475" ht="12.75" customHeight="1" x14ac:dyDescent="0.2"/>
    <row r="9476" ht="12.75" customHeight="1" x14ac:dyDescent="0.2"/>
    <row r="9477" ht="12.75" customHeight="1" x14ac:dyDescent="0.2"/>
    <row r="9478" ht="12.75" customHeight="1" x14ac:dyDescent="0.2"/>
    <row r="9479" ht="12.75" customHeight="1" x14ac:dyDescent="0.2"/>
    <row r="9480" ht="12.75" customHeight="1" x14ac:dyDescent="0.2"/>
    <row r="9481" ht="12.75" customHeight="1" x14ac:dyDescent="0.2"/>
    <row r="9482" ht="12.75" customHeight="1" x14ac:dyDescent="0.2"/>
    <row r="9483" ht="12.75" customHeight="1" x14ac:dyDescent="0.2"/>
    <row r="9484" ht="12.75" customHeight="1" x14ac:dyDescent="0.2"/>
    <row r="9485" ht="12.75" customHeight="1" x14ac:dyDescent="0.2"/>
    <row r="9486" ht="12.75" customHeight="1" x14ac:dyDescent="0.2"/>
    <row r="9487" ht="12.75" customHeight="1" x14ac:dyDescent="0.2"/>
    <row r="9488" ht="12.75" customHeight="1" x14ac:dyDescent="0.2"/>
    <row r="9489" ht="12.75" customHeight="1" x14ac:dyDescent="0.2"/>
    <row r="9490" ht="12.75" customHeight="1" x14ac:dyDescent="0.2"/>
    <row r="9491" ht="12.75" customHeight="1" x14ac:dyDescent="0.2"/>
    <row r="9492" ht="12.75" customHeight="1" x14ac:dyDescent="0.2"/>
    <row r="9493" ht="12.75" customHeight="1" x14ac:dyDescent="0.2"/>
    <row r="9494" ht="12.75" customHeight="1" x14ac:dyDescent="0.2"/>
    <row r="9495" ht="12.75" customHeight="1" x14ac:dyDescent="0.2"/>
    <row r="9496" ht="12.75" customHeight="1" x14ac:dyDescent="0.2"/>
    <row r="9497" ht="12.75" customHeight="1" x14ac:dyDescent="0.2"/>
    <row r="9498" ht="12.75" customHeight="1" x14ac:dyDescent="0.2"/>
    <row r="9499" ht="12.75" customHeight="1" x14ac:dyDescent="0.2"/>
    <row r="9500" ht="12.75" customHeight="1" x14ac:dyDescent="0.2"/>
    <row r="9501" ht="12.75" customHeight="1" x14ac:dyDescent="0.2"/>
    <row r="9502" ht="12.75" customHeight="1" x14ac:dyDescent="0.2"/>
    <row r="9503" ht="12.75" customHeight="1" x14ac:dyDescent="0.2"/>
    <row r="9504" ht="12.75" customHeight="1" x14ac:dyDescent="0.2"/>
    <row r="9505" ht="12.75" customHeight="1" x14ac:dyDescent="0.2"/>
    <row r="9506" ht="12.75" customHeight="1" x14ac:dyDescent="0.2"/>
    <row r="9507" ht="12.75" customHeight="1" x14ac:dyDescent="0.2"/>
    <row r="9508" ht="12.75" customHeight="1" x14ac:dyDescent="0.2"/>
    <row r="9509" ht="12.75" customHeight="1" x14ac:dyDescent="0.2"/>
    <row r="9510" ht="12.75" customHeight="1" x14ac:dyDescent="0.2"/>
    <row r="9511" ht="12.75" customHeight="1" x14ac:dyDescent="0.2"/>
    <row r="9512" ht="12.75" customHeight="1" x14ac:dyDescent="0.2"/>
    <row r="9513" ht="12.75" customHeight="1" x14ac:dyDescent="0.2"/>
    <row r="9514" ht="12.75" customHeight="1" x14ac:dyDescent="0.2"/>
    <row r="9515" ht="12.75" customHeight="1" x14ac:dyDescent="0.2"/>
    <row r="9516" ht="12.75" customHeight="1" x14ac:dyDescent="0.2"/>
    <row r="9517" ht="12.75" customHeight="1" x14ac:dyDescent="0.2"/>
    <row r="9518" ht="12.75" customHeight="1" x14ac:dyDescent="0.2"/>
    <row r="9519" ht="12.75" customHeight="1" x14ac:dyDescent="0.2"/>
    <row r="9520" ht="12.75" customHeight="1" x14ac:dyDescent="0.2"/>
    <row r="9521" ht="12.75" customHeight="1" x14ac:dyDescent="0.2"/>
    <row r="9522" ht="12.75" customHeight="1" x14ac:dyDescent="0.2"/>
    <row r="9523" ht="12.75" customHeight="1" x14ac:dyDescent="0.2"/>
    <row r="9524" ht="12.75" customHeight="1" x14ac:dyDescent="0.2"/>
    <row r="9525" ht="12.75" customHeight="1" x14ac:dyDescent="0.2"/>
    <row r="9526" ht="12.75" customHeight="1" x14ac:dyDescent="0.2"/>
    <row r="9527" ht="12.75" customHeight="1" x14ac:dyDescent="0.2"/>
    <row r="9528" ht="12.75" customHeight="1" x14ac:dyDescent="0.2"/>
    <row r="9529" ht="12.75" customHeight="1" x14ac:dyDescent="0.2"/>
    <row r="9530" ht="12.75" customHeight="1" x14ac:dyDescent="0.2"/>
    <row r="9531" ht="12.75" customHeight="1" x14ac:dyDescent="0.2"/>
    <row r="9532" ht="12.75" customHeight="1" x14ac:dyDescent="0.2"/>
    <row r="9533" ht="12.75" customHeight="1" x14ac:dyDescent="0.2"/>
    <row r="9534" ht="12.75" customHeight="1" x14ac:dyDescent="0.2"/>
    <row r="9535" ht="12.75" customHeight="1" x14ac:dyDescent="0.2"/>
    <row r="9536" ht="12.75" customHeight="1" x14ac:dyDescent="0.2"/>
    <row r="9537" ht="12.75" customHeight="1" x14ac:dyDescent="0.2"/>
    <row r="9538" ht="12.75" customHeight="1" x14ac:dyDescent="0.2"/>
    <row r="9539" ht="12.75" customHeight="1" x14ac:dyDescent="0.2"/>
    <row r="9540" ht="12.75" customHeight="1" x14ac:dyDescent="0.2"/>
    <row r="9541" ht="12.75" customHeight="1" x14ac:dyDescent="0.2"/>
    <row r="9542" ht="12.75" customHeight="1" x14ac:dyDescent="0.2"/>
    <row r="9543" ht="12.75" customHeight="1" x14ac:dyDescent="0.2"/>
    <row r="9544" ht="12.75" customHeight="1" x14ac:dyDescent="0.2"/>
    <row r="9545" ht="12.75" customHeight="1" x14ac:dyDescent="0.2"/>
    <row r="9546" ht="12.75" customHeight="1" x14ac:dyDescent="0.2"/>
    <row r="9547" ht="12.75" customHeight="1" x14ac:dyDescent="0.2"/>
    <row r="9548" ht="12.75" customHeight="1" x14ac:dyDescent="0.2"/>
    <row r="9549" ht="12.75" customHeight="1" x14ac:dyDescent="0.2"/>
    <row r="9550" ht="12.75" customHeight="1" x14ac:dyDescent="0.2"/>
    <row r="9551" ht="12.75" customHeight="1" x14ac:dyDescent="0.2"/>
    <row r="9552" ht="12.75" customHeight="1" x14ac:dyDescent="0.2"/>
    <row r="9553" ht="12.75" customHeight="1" x14ac:dyDescent="0.2"/>
    <row r="9554" ht="12.75" customHeight="1" x14ac:dyDescent="0.2"/>
    <row r="9555" ht="12.75" customHeight="1" x14ac:dyDescent="0.2"/>
    <row r="9556" ht="12.75" customHeight="1" x14ac:dyDescent="0.2"/>
    <row r="9557" ht="12.75" customHeight="1" x14ac:dyDescent="0.2"/>
    <row r="9558" ht="12.75" customHeight="1" x14ac:dyDescent="0.2"/>
    <row r="9559" ht="12.75" customHeight="1" x14ac:dyDescent="0.2"/>
    <row r="9560" ht="12.75" customHeight="1" x14ac:dyDescent="0.2"/>
    <row r="9561" ht="12.75" customHeight="1" x14ac:dyDescent="0.2"/>
    <row r="9562" ht="12.75" customHeight="1" x14ac:dyDescent="0.2"/>
    <row r="9563" ht="12.75" customHeight="1" x14ac:dyDescent="0.2"/>
    <row r="9564" ht="12.75" customHeight="1" x14ac:dyDescent="0.2"/>
    <row r="9565" ht="12.75" customHeight="1" x14ac:dyDescent="0.2"/>
    <row r="9566" ht="12.75" customHeight="1" x14ac:dyDescent="0.2"/>
    <row r="9567" ht="12.75" customHeight="1" x14ac:dyDescent="0.2"/>
    <row r="9568" ht="12.75" customHeight="1" x14ac:dyDescent="0.2"/>
    <row r="9569" ht="12.75" customHeight="1" x14ac:dyDescent="0.2"/>
    <row r="9570" ht="12.75" customHeight="1" x14ac:dyDescent="0.2"/>
    <row r="9571" ht="12.75" customHeight="1" x14ac:dyDescent="0.2"/>
    <row r="9572" ht="12.75" customHeight="1" x14ac:dyDescent="0.2"/>
    <row r="9573" ht="12.75" customHeight="1" x14ac:dyDescent="0.2"/>
    <row r="9574" ht="12.75" customHeight="1" x14ac:dyDescent="0.2"/>
    <row r="9575" ht="12.75" customHeight="1" x14ac:dyDescent="0.2"/>
    <row r="9576" ht="12.75" customHeight="1" x14ac:dyDescent="0.2"/>
    <row r="9577" ht="12.75" customHeight="1" x14ac:dyDescent="0.2"/>
    <row r="9578" ht="12.75" customHeight="1" x14ac:dyDescent="0.2"/>
    <row r="9579" ht="12.75" customHeight="1" x14ac:dyDescent="0.2"/>
    <row r="9580" ht="12.75" customHeight="1" x14ac:dyDescent="0.2"/>
    <row r="9581" ht="12.75" customHeight="1" x14ac:dyDescent="0.2"/>
    <row r="9582" ht="12.75" customHeight="1" x14ac:dyDescent="0.2"/>
    <row r="9583" ht="12.75" customHeight="1" x14ac:dyDescent="0.2"/>
    <row r="9584" ht="12.75" customHeight="1" x14ac:dyDescent="0.2"/>
    <row r="9585" ht="12.75" customHeight="1" x14ac:dyDescent="0.2"/>
    <row r="9586" ht="12.75" customHeight="1" x14ac:dyDescent="0.2"/>
    <row r="9587" ht="12.75" customHeight="1" x14ac:dyDescent="0.2"/>
    <row r="9588" ht="12.75" customHeight="1" x14ac:dyDescent="0.2"/>
    <row r="9589" ht="12.75" customHeight="1" x14ac:dyDescent="0.2"/>
    <row r="9590" ht="12.75" customHeight="1" x14ac:dyDescent="0.2"/>
    <row r="9591" ht="12.75" customHeight="1" x14ac:dyDescent="0.2"/>
    <row r="9592" ht="12.75" customHeight="1" x14ac:dyDescent="0.2"/>
    <row r="9593" ht="12.75" customHeight="1" x14ac:dyDescent="0.2"/>
    <row r="9594" ht="12.75" customHeight="1" x14ac:dyDescent="0.2"/>
    <row r="9595" ht="12.75" customHeight="1" x14ac:dyDescent="0.2"/>
    <row r="9596" ht="12.75" customHeight="1" x14ac:dyDescent="0.2"/>
    <row r="9597" ht="12.75" customHeight="1" x14ac:dyDescent="0.2"/>
    <row r="9598" ht="12.75" customHeight="1" x14ac:dyDescent="0.2"/>
    <row r="9599" ht="12.75" customHeight="1" x14ac:dyDescent="0.2"/>
    <row r="9600" ht="12.75" customHeight="1" x14ac:dyDescent="0.2"/>
    <row r="9601" ht="12.75" customHeight="1" x14ac:dyDescent="0.2"/>
    <row r="9602" ht="12.75" customHeight="1" x14ac:dyDescent="0.2"/>
    <row r="9603" ht="12.75" customHeight="1" x14ac:dyDescent="0.2"/>
    <row r="9604" ht="12.75" customHeight="1" x14ac:dyDescent="0.2"/>
    <row r="9605" ht="12.75" customHeight="1" x14ac:dyDescent="0.2"/>
    <row r="9606" ht="12.75" customHeight="1" x14ac:dyDescent="0.2"/>
    <row r="9607" ht="12.75" customHeight="1" x14ac:dyDescent="0.2"/>
    <row r="9608" ht="12.75" customHeight="1" x14ac:dyDescent="0.2"/>
    <row r="9609" ht="12.75" customHeight="1" x14ac:dyDescent="0.2"/>
    <row r="9610" ht="12.75" customHeight="1" x14ac:dyDescent="0.2"/>
    <row r="9611" ht="12.75" customHeight="1" x14ac:dyDescent="0.2"/>
    <row r="9612" ht="12.75" customHeight="1" x14ac:dyDescent="0.2"/>
    <row r="9613" ht="12.75" customHeight="1" x14ac:dyDescent="0.2"/>
    <row r="9614" ht="12.75" customHeight="1" x14ac:dyDescent="0.2"/>
    <row r="9615" ht="12.75" customHeight="1" x14ac:dyDescent="0.2"/>
    <row r="9616" ht="12.75" customHeight="1" x14ac:dyDescent="0.2"/>
    <row r="9617" ht="12.75" customHeight="1" x14ac:dyDescent="0.2"/>
    <row r="9618" ht="12.75" customHeight="1" x14ac:dyDescent="0.2"/>
    <row r="9619" ht="12.75" customHeight="1" x14ac:dyDescent="0.2"/>
    <row r="9620" ht="12.75" customHeight="1" x14ac:dyDescent="0.2"/>
    <row r="9621" ht="12.75" customHeight="1" x14ac:dyDescent="0.2"/>
    <row r="9622" ht="12.75" customHeight="1" x14ac:dyDescent="0.2"/>
    <row r="9623" ht="12.75" customHeight="1" x14ac:dyDescent="0.2"/>
    <row r="9624" ht="12.75" customHeight="1" x14ac:dyDescent="0.2"/>
    <row r="9625" ht="12.75" customHeight="1" x14ac:dyDescent="0.2"/>
    <row r="9626" ht="12.75" customHeight="1" x14ac:dyDescent="0.2"/>
    <row r="9627" ht="12.75" customHeight="1" x14ac:dyDescent="0.2"/>
    <row r="9628" ht="12.75" customHeight="1" x14ac:dyDescent="0.2"/>
    <row r="9629" ht="12.75" customHeight="1" x14ac:dyDescent="0.2"/>
    <row r="9630" ht="12.75" customHeight="1" x14ac:dyDescent="0.2"/>
    <row r="9631" ht="12.75" customHeight="1" x14ac:dyDescent="0.2"/>
    <row r="9632" ht="12.75" customHeight="1" x14ac:dyDescent="0.2"/>
    <row r="9633" ht="12.75" customHeight="1" x14ac:dyDescent="0.2"/>
    <row r="9634" ht="12.75" customHeight="1" x14ac:dyDescent="0.2"/>
    <row r="9635" ht="12.75" customHeight="1" x14ac:dyDescent="0.2"/>
    <row r="9636" ht="12.75" customHeight="1" x14ac:dyDescent="0.2"/>
    <row r="9637" ht="12.75" customHeight="1" x14ac:dyDescent="0.2"/>
    <row r="9638" ht="12.75" customHeight="1" x14ac:dyDescent="0.2"/>
    <row r="9639" ht="12.75" customHeight="1" x14ac:dyDescent="0.2"/>
    <row r="9640" ht="12.75" customHeight="1" x14ac:dyDescent="0.2"/>
    <row r="9641" ht="12.75" customHeight="1" x14ac:dyDescent="0.2"/>
    <row r="9642" ht="12.75" customHeight="1" x14ac:dyDescent="0.2"/>
    <row r="9643" ht="12.75" customHeight="1" x14ac:dyDescent="0.2"/>
    <row r="9644" ht="12.75" customHeight="1" x14ac:dyDescent="0.2"/>
    <row r="9645" ht="12.75" customHeight="1" x14ac:dyDescent="0.2"/>
    <row r="9646" ht="12.75" customHeight="1" x14ac:dyDescent="0.2"/>
    <row r="9647" ht="12.75" customHeight="1" x14ac:dyDescent="0.2"/>
    <row r="9648" ht="12.75" customHeight="1" x14ac:dyDescent="0.2"/>
    <row r="9649" ht="12.75" customHeight="1" x14ac:dyDescent="0.2"/>
    <row r="9650" ht="12.75" customHeight="1" x14ac:dyDescent="0.2"/>
    <row r="9651" ht="12.75" customHeight="1" x14ac:dyDescent="0.2"/>
    <row r="9652" ht="12.75" customHeight="1" x14ac:dyDescent="0.2"/>
    <row r="9653" ht="12.75" customHeight="1" x14ac:dyDescent="0.2"/>
    <row r="9654" ht="12.75" customHeight="1" x14ac:dyDescent="0.2"/>
    <row r="9655" ht="12.75" customHeight="1" x14ac:dyDescent="0.2"/>
    <row r="9656" ht="12.75" customHeight="1" x14ac:dyDescent="0.2"/>
    <row r="9657" ht="12.75" customHeight="1" x14ac:dyDescent="0.2"/>
    <row r="9658" ht="12.75" customHeight="1" x14ac:dyDescent="0.2"/>
    <row r="9659" ht="12.75" customHeight="1" x14ac:dyDescent="0.2"/>
    <row r="9660" ht="12.75" customHeight="1" x14ac:dyDescent="0.2"/>
    <row r="9661" ht="12.75" customHeight="1" x14ac:dyDescent="0.2"/>
    <row r="9662" ht="12.75" customHeight="1" x14ac:dyDescent="0.2"/>
    <row r="9663" ht="12.75" customHeight="1" x14ac:dyDescent="0.2"/>
    <row r="9664" ht="12.75" customHeight="1" x14ac:dyDescent="0.2"/>
    <row r="9665" ht="12.75" customHeight="1" x14ac:dyDescent="0.2"/>
    <row r="9666" ht="12.75" customHeight="1" x14ac:dyDescent="0.2"/>
    <row r="9667" ht="12.75" customHeight="1" x14ac:dyDescent="0.2"/>
    <row r="9668" ht="12.75" customHeight="1" x14ac:dyDescent="0.2"/>
    <row r="9669" ht="12.75" customHeight="1" x14ac:dyDescent="0.2"/>
    <row r="9670" ht="12.75" customHeight="1" x14ac:dyDescent="0.2"/>
    <row r="9671" ht="12.75" customHeight="1" x14ac:dyDescent="0.2"/>
    <row r="9672" ht="12.75" customHeight="1" x14ac:dyDescent="0.2"/>
    <row r="9673" ht="12.75" customHeight="1" x14ac:dyDescent="0.2"/>
    <row r="9674" ht="12.75" customHeight="1" x14ac:dyDescent="0.2"/>
    <row r="9675" ht="12.75" customHeight="1" x14ac:dyDescent="0.2"/>
    <row r="9676" ht="12.75" customHeight="1" x14ac:dyDescent="0.2"/>
    <row r="9677" ht="12.75" customHeight="1" x14ac:dyDescent="0.2"/>
    <row r="9678" ht="12.75" customHeight="1" x14ac:dyDescent="0.2"/>
    <row r="9679" ht="12.75" customHeight="1" x14ac:dyDescent="0.2"/>
    <row r="9680" ht="12.75" customHeight="1" x14ac:dyDescent="0.2"/>
    <row r="9681" ht="12.75" customHeight="1" x14ac:dyDescent="0.2"/>
    <row r="9682" ht="12.75" customHeight="1" x14ac:dyDescent="0.2"/>
    <row r="9683" ht="12.75" customHeight="1" x14ac:dyDescent="0.2"/>
    <row r="9684" ht="12.75" customHeight="1" x14ac:dyDescent="0.2"/>
    <row r="9685" ht="12.75" customHeight="1" x14ac:dyDescent="0.2"/>
    <row r="9686" ht="12.75" customHeight="1" x14ac:dyDescent="0.2"/>
    <row r="9687" ht="12.75" customHeight="1" x14ac:dyDescent="0.2"/>
    <row r="9688" ht="12.75" customHeight="1" x14ac:dyDescent="0.2"/>
    <row r="9689" ht="12.75" customHeight="1" x14ac:dyDescent="0.2"/>
    <row r="9690" ht="12.75" customHeight="1" x14ac:dyDescent="0.2"/>
    <row r="9691" ht="12.75" customHeight="1" x14ac:dyDescent="0.2"/>
    <row r="9692" ht="12.75" customHeight="1" x14ac:dyDescent="0.2"/>
    <row r="9693" ht="12.75" customHeight="1" x14ac:dyDescent="0.2"/>
    <row r="9694" ht="12.75" customHeight="1" x14ac:dyDescent="0.2"/>
    <row r="9695" ht="12.75" customHeight="1" x14ac:dyDescent="0.2"/>
    <row r="9696" ht="12.75" customHeight="1" x14ac:dyDescent="0.2"/>
    <row r="9697" ht="12.75" customHeight="1" x14ac:dyDescent="0.2"/>
    <row r="9698" ht="12.75" customHeight="1" x14ac:dyDescent="0.2"/>
    <row r="9699" ht="12.75" customHeight="1" x14ac:dyDescent="0.2"/>
    <row r="9700" ht="12.75" customHeight="1" x14ac:dyDescent="0.2"/>
    <row r="9701" ht="12.75" customHeight="1" x14ac:dyDescent="0.2"/>
    <row r="9702" ht="12.75" customHeight="1" x14ac:dyDescent="0.2"/>
    <row r="9703" ht="12.75" customHeight="1" x14ac:dyDescent="0.2"/>
    <row r="9704" ht="12.75" customHeight="1" x14ac:dyDescent="0.2"/>
    <row r="9705" ht="12.75" customHeight="1" x14ac:dyDescent="0.2"/>
    <row r="9706" ht="12.75" customHeight="1" x14ac:dyDescent="0.2"/>
    <row r="9707" ht="12.75" customHeight="1" x14ac:dyDescent="0.2"/>
    <row r="9708" ht="12.75" customHeight="1" x14ac:dyDescent="0.2"/>
    <row r="9709" ht="12.75" customHeight="1" x14ac:dyDescent="0.2"/>
    <row r="9710" ht="12.75" customHeight="1" x14ac:dyDescent="0.2"/>
    <row r="9711" ht="12.75" customHeight="1" x14ac:dyDescent="0.2"/>
    <row r="9712" ht="12.75" customHeight="1" x14ac:dyDescent="0.2"/>
    <row r="9713" ht="12.75" customHeight="1" x14ac:dyDescent="0.2"/>
    <row r="9714" ht="12.75" customHeight="1" x14ac:dyDescent="0.2"/>
    <row r="9715" ht="12.75" customHeight="1" x14ac:dyDescent="0.2"/>
    <row r="9716" ht="12.75" customHeight="1" x14ac:dyDescent="0.2"/>
    <row r="9717" ht="12.75" customHeight="1" x14ac:dyDescent="0.2"/>
    <row r="9718" ht="12.75" customHeight="1" x14ac:dyDescent="0.2"/>
    <row r="9719" ht="12.75" customHeight="1" x14ac:dyDescent="0.2"/>
    <row r="9720" ht="12.75" customHeight="1" x14ac:dyDescent="0.2"/>
    <row r="9721" ht="12.75" customHeight="1" x14ac:dyDescent="0.2"/>
    <row r="9722" ht="12.75" customHeight="1" x14ac:dyDescent="0.2"/>
    <row r="9723" ht="12.75" customHeight="1" x14ac:dyDescent="0.2"/>
    <row r="9724" ht="12.75" customHeight="1" x14ac:dyDescent="0.2"/>
    <row r="9725" ht="12.75" customHeight="1" x14ac:dyDescent="0.2"/>
    <row r="9726" ht="12.75" customHeight="1" x14ac:dyDescent="0.2"/>
    <row r="9727" ht="12.75" customHeight="1" x14ac:dyDescent="0.2"/>
    <row r="9728" ht="12.75" customHeight="1" x14ac:dyDescent="0.2"/>
    <row r="9729" ht="12.75" customHeight="1" x14ac:dyDescent="0.2"/>
    <row r="9730" ht="12.75" customHeight="1" x14ac:dyDescent="0.2"/>
    <row r="9731" ht="12.75" customHeight="1" x14ac:dyDescent="0.2"/>
    <row r="9732" ht="12.75" customHeight="1" x14ac:dyDescent="0.2"/>
    <row r="9733" ht="12.75" customHeight="1" x14ac:dyDescent="0.2"/>
    <row r="9734" ht="12.75" customHeight="1" x14ac:dyDescent="0.2"/>
    <row r="9735" ht="12.75" customHeight="1" x14ac:dyDescent="0.2"/>
    <row r="9736" ht="12.75" customHeight="1" x14ac:dyDescent="0.2"/>
    <row r="9737" ht="12.75" customHeight="1" x14ac:dyDescent="0.2"/>
    <row r="9738" ht="12.75" customHeight="1" x14ac:dyDescent="0.2"/>
    <row r="9739" ht="12.75" customHeight="1" x14ac:dyDescent="0.2"/>
    <row r="9740" ht="12.75" customHeight="1" x14ac:dyDescent="0.2"/>
    <row r="9741" ht="12.75" customHeight="1" x14ac:dyDescent="0.2"/>
    <row r="9742" ht="12.75" customHeight="1" x14ac:dyDescent="0.2"/>
    <row r="9743" ht="12.75" customHeight="1" x14ac:dyDescent="0.2"/>
    <row r="9744" ht="12.75" customHeight="1" x14ac:dyDescent="0.2"/>
    <row r="9745" ht="12.75" customHeight="1" x14ac:dyDescent="0.2"/>
    <row r="9746" ht="12.75" customHeight="1" x14ac:dyDescent="0.2"/>
    <row r="9747" ht="12.75" customHeight="1" x14ac:dyDescent="0.2"/>
    <row r="9748" ht="12.75" customHeight="1" x14ac:dyDescent="0.2"/>
    <row r="9749" ht="12.75" customHeight="1" x14ac:dyDescent="0.2"/>
    <row r="9750" ht="12.75" customHeight="1" x14ac:dyDescent="0.2"/>
    <row r="9751" ht="12.75" customHeight="1" x14ac:dyDescent="0.2"/>
    <row r="9752" ht="12.75" customHeight="1" x14ac:dyDescent="0.2"/>
    <row r="9753" ht="12.75" customHeight="1" x14ac:dyDescent="0.2"/>
    <row r="9754" ht="12.75" customHeight="1" x14ac:dyDescent="0.2"/>
    <row r="9755" ht="12.75" customHeight="1" x14ac:dyDescent="0.2"/>
    <row r="9756" ht="12.75" customHeight="1" x14ac:dyDescent="0.2"/>
    <row r="9757" ht="12.75" customHeight="1" x14ac:dyDescent="0.2"/>
    <row r="9758" ht="12.75" customHeight="1" x14ac:dyDescent="0.2"/>
    <row r="9759" ht="12.75" customHeight="1" x14ac:dyDescent="0.2"/>
    <row r="9760" ht="12.75" customHeight="1" x14ac:dyDescent="0.2"/>
    <row r="9761" ht="12.75" customHeight="1" x14ac:dyDescent="0.2"/>
    <row r="9762" ht="12.75" customHeight="1" x14ac:dyDescent="0.2"/>
    <row r="9763" ht="12.75" customHeight="1" x14ac:dyDescent="0.2"/>
    <row r="9764" ht="12.75" customHeight="1" x14ac:dyDescent="0.2"/>
    <row r="9765" ht="12.75" customHeight="1" x14ac:dyDescent="0.2"/>
    <row r="9766" ht="12.75" customHeight="1" x14ac:dyDescent="0.2"/>
    <row r="9767" ht="12.75" customHeight="1" x14ac:dyDescent="0.2"/>
    <row r="9768" ht="12.75" customHeight="1" x14ac:dyDescent="0.2"/>
    <row r="9769" ht="12.75" customHeight="1" x14ac:dyDescent="0.2"/>
    <row r="9770" ht="12.75" customHeight="1" x14ac:dyDescent="0.2"/>
    <row r="9771" ht="12.75" customHeight="1" x14ac:dyDescent="0.2"/>
    <row r="9772" ht="12.75" customHeight="1" x14ac:dyDescent="0.2"/>
    <row r="9773" ht="12.75" customHeight="1" x14ac:dyDescent="0.2"/>
    <row r="9774" ht="12.75" customHeight="1" x14ac:dyDescent="0.2"/>
    <row r="9775" ht="12.75" customHeight="1" x14ac:dyDescent="0.2"/>
    <row r="9776" ht="12.75" customHeight="1" x14ac:dyDescent="0.2"/>
    <row r="9777" ht="12.75" customHeight="1" x14ac:dyDescent="0.2"/>
    <row r="9778" ht="12.75" customHeight="1" x14ac:dyDescent="0.2"/>
    <row r="9779" ht="12.75" customHeight="1" x14ac:dyDescent="0.2"/>
    <row r="9780" ht="12.75" customHeight="1" x14ac:dyDescent="0.2"/>
    <row r="9781" ht="12.75" customHeight="1" x14ac:dyDescent="0.2"/>
    <row r="9782" ht="12.75" customHeight="1" x14ac:dyDescent="0.2"/>
    <row r="9783" ht="12.75" customHeight="1" x14ac:dyDescent="0.2"/>
    <row r="9784" ht="12.75" customHeight="1" x14ac:dyDescent="0.2"/>
    <row r="9785" ht="12.75" customHeight="1" x14ac:dyDescent="0.2"/>
    <row r="9786" ht="12.75" customHeight="1" x14ac:dyDescent="0.2"/>
    <row r="9787" ht="12.75" customHeight="1" x14ac:dyDescent="0.2"/>
    <row r="9788" ht="12.75" customHeight="1" x14ac:dyDescent="0.2"/>
    <row r="9789" ht="12.75" customHeight="1" x14ac:dyDescent="0.2"/>
    <row r="9790" ht="12.75" customHeight="1" x14ac:dyDescent="0.2"/>
    <row r="9791" ht="12.75" customHeight="1" x14ac:dyDescent="0.2"/>
    <row r="9792" ht="12.75" customHeight="1" x14ac:dyDescent="0.2"/>
    <row r="9793" ht="12.75" customHeight="1" x14ac:dyDescent="0.2"/>
    <row r="9794" ht="12.75" customHeight="1" x14ac:dyDescent="0.2"/>
    <row r="9795" ht="12.75" customHeight="1" x14ac:dyDescent="0.2"/>
    <row r="9796" ht="12.75" customHeight="1" x14ac:dyDescent="0.2"/>
    <row r="9797" ht="12.75" customHeight="1" x14ac:dyDescent="0.2"/>
    <row r="9798" ht="12.75" customHeight="1" x14ac:dyDescent="0.2"/>
    <row r="9799" ht="12.75" customHeight="1" x14ac:dyDescent="0.2"/>
    <row r="9800" ht="12.75" customHeight="1" x14ac:dyDescent="0.2"/>
    <row r="9801" ht="12.75" customHeight="1" x14ac:dyDescent="0.2"/>
    <row r="9802" ht="12.75" customHeight="1" x14ac:dyDescent="0.2"/>
    <row r="9803" ht="12.75" customHeight="1" x14ac:dyDescent="0.2"/>
    <row r="9804" ht="12.75" customHeight="1" x14ac:dyDescent="0.2"/>
    <row r="9805" ht="12.75" customHeight="1" x14ac:dyDescent="0.2"/>
    <row r="9806" ht="12.75" customHeight="1" x14ac:dyDescent="0.2"/>
    <row r="9807" ht="12.75" customHeight="1" x14ac:dyDescent="0.2"/>
    <row r="9808" ht="12.75" customHeight="1" x14ac:dyDescent="0.2"/>
    <row r="9809" ht="12.75" customHeight="1" x14ac:dyDescent="0.2"/>
    <row r="9810" ht="12.75" customHeight="1" x14ac:dyDescent="0.2"/>
    <row r="9811" ht="12.75" customHeight="1" x14ac:dyDescent="0.2"/>
    <row r="9812" ht="12.75" customHeight="1" x14ac:dyDescent="0.2"/>
    <row r="9813" ht="12.75" customHeight="1" x14ac:dyDescent="0.2"/>
    <row r="9814" ht="12.75" customHeight="1" x14ac:dyDescent="0.2"/>
    <row r="9815" ht="12.75" customHeight="1" x14ac:dyDescent="0.2"/>
    <row r="9816" ht="12.75" customHeight="1" x14ac:dyDescent="0.2"/>
    <row r="9817" ht="12.75" customHeight="1" x14ac:dyDescent="0.2"/>
    <row r="9818" ht="12.75" customHeight="1" x14ac:dyDescent="0.2"/>
    <row r="9819" ht="12.75" customHeight="1" x14ac:dyDescent="0.2"/>
    <row r="9820" ht="12.75" customHeight="1" x14ac:dyDescent="0.2"/>
    <row r="9821" ht="12.75" customHeight="1" x14ac:dyDescent="0.2"/>
    <row r="9822" ht="12.75" customHeight="1" x14ac:dyDescent="0.2"/>
    <row r="9823" ht="12.75" customHeight="1" x14ac:dyDescent="0.2"/>
    <row r="9824" ht="12.75" customHeight="1" x14ac:dyDescent="0.2"/>
    <row r="9825" ht="12.75" customHeight="1" x14ac:dyDescent="0.2"/>
    <row r="9826" ht="12.75" customHeight="1" x14ac:dyDescent="0.2"/>
    <row r="9827" ht="12.75" customHeight="1" x14ac:dyDescent="0.2"/>
    <row r="9828" ht="12.75" customHeight="1" x14ac:dyDescent="0.2"/>
    <row r="9829" ht="12.75" customHeight="1" x14ac:dyDescent="0.2"/>
    <row r="9830" ht="12.75" customHeight="1" x14ac:dyDescent="0.2"/>
    <row r="9831" ht="12.75" customHeight="1" x14ac:dyDescent="0.2"/>
    <row r="9832" ht="12.75" customHeight="1" x14ac:dyDescent="0.2"/>
    <row r="9833" ht="12.75" customHeight="1" x14ac:dyDescent="0.2"/>
    <row r="9834" ht="12.75" customHeight="1" x14ac:dyDescent="0.2"/>
    <row r="9835" ht="12.75" customHeight="1" x14ac:dyDescent="0.2"/>
    <row r="9836" ht="12.75" customHeight="1" x14ac:dyDescent="0.2"/>
    <row r="9837" ht="12.75" customHeight="1" x14ac:dyDescent="0.2"/>
    <row r="9838" ht="12.75" customHeight="1" x14ac:dyDescent="0.2"/>
    <row r="9839" ht="12.75" customHeight="1" x14ac:dyDescent="0.2"/>
    <row r="9840" ht="12.75" customHeight="1" x14ac:dyDescent="0.2"/>
    <row r="9841" ht="12.75" customHeight="1" x14ac:dyDescent="0.2"/>
    <row r="9842" ht="12.75" customHeight="1" x14ac:dyDescent="0.2"/>
    <row r="9843" ht="12.75" customHeight="1" x14ac:dyDescent="0.2"/>
    <row r="9844" ht="12.75" customHeight="1" x14ac:dyDescent="0.2"/>
    <row r="9845" ht="12.75" customHeight="1" x14ac:dyDescent="0.2"/>
    <row r="9846" ht="12.75" customHeight="1" x14ac:dyDescent="0.2"/>
    <row r="9847" ht="12.75" customHeight="1" x14ac:dyDescent="0.2"/>
    <row r="9848" ht="12.75" customHeight="1" x14ac:dyDescent="0.2"/>
    <row r="9849" ht="12.75" customHeight="1" x14ac:dyDescent="0.2"/>
    <row r="9850" ht="12.75" customHeight="1" x14ac:dyDescent="0.2"/>
    <row r="9851" ht="12.75" customHeight="1" x14ac:dyDescent="0.2"/>
    <row r="9852" ht="12.75" customHeight="1" x14ac:dyDescent="0.2"/>
    <row r="9853" ht="12.75" customHeight="1" x14ac:dyDescent="0.2"/>
    <row r="9854" ht="12.75" customHeight="1" x14ac:dyDescent="0.2"/>
    <row r="9855" ht="12.75" customHeight="1" x14ac:dyDescent="0.2"/>
    <row r="9856" ht="12.75" customHeight="1" x14ac:dyDescent="0.2"/>
    <row r="9857" ht="12.75" customHeight="1" x14ac:dyDescent="0.2"/>
    <row r="9858" ht="12.75" customHeight="1" x14ac:dyDescent="0.2"/>
    <row r="9859" ht="12.75" customHeight="1" x14ac:dyDescent="0.2"/>
    <row r="9860" ht="12.75" customHeight="1" x14ac:dyDescent="0.2"/>
    <row r="9861" ht="12.75" customHeight="1" x14ac:dyDescent="0.2"/>
    <row r="9862" ht="12.75" customHeight="1" x14ac:dyDescent="0.2"/>
    <row r="9863" ht="12.75" customHeight="1" x14ac:dyDescent="0.2"/>
    <row r="9864" ht="12.75" customHeight="1" x14ac:dyDescent="0.2"/>
    <row r="9865" ht="12.75" customHeight="1" x14ac:dyDescent="0.2"/>
    <row r="9866" ht="12.75" customHeight="1" x14ac:dyDescent="0.2"/>
    <row r="9867" ht="12.75" customHeight="1" x14ac:dyDescent="0.2"/>
    <row r="9868" ht="12.75" customHeight="1" x14ac:dyDescent="0.2"/>
    <row r="9869" ht="12.75" customHeight="1" x14ac:dyDescent="0.2"/>
    <row r="9870" ht="12.75" customHeight="1" x14ac:dyDescent="0.2"/>
    <row r="9871" ht="12.75" customHeight="1" x14ac:dyDescent="0.2"/>
    <row r="9872" ht="12.75" customHeight="1" x14ac:dyDescent="0.2"/>
    <row r="9873" ht="12.75" customHeight="1" x14ac:dyDescent="0.2"/>
    <row r="9874" ht="12.75" customHeight="1" x14ac:dyDescent="0.2"/>
    <row r="9875" ht="12.75" customHeight="1" x14ac:dyDescent="0.2"/>
    <row r="9876" ht="12.75" customHeight="1" x14ac:dyDescent="0.2"/>
    <row r="9877" ht="12.75" customHeight="1" x14ac:dyDescent="0.2"/>
    <row r="9878" ht="12.75" customHeight="1" x14ac:dyDescent="0.2"/>
    <row r="9879" ht="12.75" customHeight="1" x14ac:dyDescent="0.2"/>
    <row r="9880" ht="12.75" customHeight="1" x14ac:dyDescent="0.2"/>
    <row r="9881" ht="12.75" customHeight="1" x14ac:dyDescent="0.2"/>
    <row r="9882" ht="12.75" customHeight="1" x14ac:dyDescent="0.2"/>
    <row r="9883" ht="12.75" customHeight="1" x14ac:dyDescent="0.2"/>
    <row r="9884" ht="12.75" customHeight="1" x14ac:dyDescent="0.2"/>
    <row r="9885" ht="12.75" customHeight="1" x14ac:dyDescent="0.2"/>
    <row r="9886" ht="12.75" customHeight="1" x14ac:dyDescent="0.2"/>
    <row r="9887" ht="12.75" customHeight="1" x14ac:dyDescent="0.2"/>
    <row r="9888" ht="12.75" customHeight="1" x14ac:dyDescent="0.2"/>
    <row r="9889" ht="12.75" customHeight="1" x14ac:dyDescent="0.2"/>
    <row r="9890" ht="12.75" customHeight="1" x14ac:dyDescent="0.2"/>
    <row r="9891" ht="12.75" customHeight="1" x14ac:dyDescent="0.2"/>
    <row r="9892" ht="12.75" customHeight="1" x14ac:dyDescent="0.2"/>
    <row r="9893" ht="12.75" customHeight="1" x14ac:dyDescent="0.2"/>
    <row r="9894" ht="12.75" customHeight="1" x14ac:dyDescent="0.2"/>
    <row r="9895" ht="12.75" customHeight="1" x14ac:dyDescent="0.2"/>
    <row r="9896" ht="12.75" customHeight="1" x14ac:dyDescent="0.2"/>
    <row r="9897" ht="12.75" customHeight="1" x14ac:dyDescent="0.2"/>
    <row r="9898" ht="12.75" customHeight="1" x14ac:dyDescent="0.2"/>
    <row r="9899" ht="12.75" customHeight="1" x14ac:dyDescent="0.2"/>
    <row r="9900" ht="12.75" customHeight="1" x14ac:dyDescent="0.2"/>
    <row r="9901" ht="12.75" customHeight="1" x14ac:dyDescent="0.2"/>
    <row r="9902" ht="12.75" customHeight="1" x14ac:dyDescent="0.2"/>
    <row r="9903" ht="12.75" customHeight="1" x14ac:dyDescent="0.2"/>
    <row r="9904" ht="12.75" customHeight="1" x14ac:dyDescent="0.2"/>
    <row r="9905" ht="12.75" customHeight="1" x14ac:dyDescent="0.2"/>
    <row r="9906" ht="12.75" customHeight="1" x14ac:dyDescent="0.2"/>
    <row r="9907" ht="12.75" customHeight="1" x14ac:dyDescent="0.2"/>
    <row r="9908" ht="12.75" customHeight="1" x14ac:dyDescent="0.2"/>
    <row r="9909" ht="12.75" customHeight="1" x14ac:dyDescent="0.2"/>
    <row r="9910" ht="12.75" customHeight="1" x14ac:dyDescent="0.2"/>
    <row r="9911" ht="12.75" customHeight="1" x14ac:dyDescent="0.2"/>
    <row r="9912" ht="12.75" customHeight="1" x14ac:dyDescent="0.2"/>
    <row r="9913" ht="12.75" customHeight="1" x14ac:dyDescent="0.2"/>
    <row r="9914" ht="12.75" customHeight="1" x14ac:dyDescent="0.2"/>
    <row r="9915" ht="12.75" customHeight="1" x14ac:dyDescent="0.2"/>
    <row r="9916" ht="12.75" customHeight="1" x14ac:dyDescent="0.2"/>
    <row r="9917" ht="12.75" customHeight="1" x14ac:dyDescent="0.2"/>
    <row r="9918" ht="12.75" customHeight="1" x14ac:dyDescent="0.2"/>
    <row r="9919" ht="12.75" customHeight="1" x14ac:dyDescent="0.2"/>
    <row r="9920" ht="12.75" customHeight="1" x14ac:dyDescent="0.2"/>
    <row r="9921" ht="12.75" customHeight="1" x14ac:dyDescent="0.2"/>
    <row r="9922" ht="12.75" customHeight="1" x14ac:dyDescent="0.2"/>
    <row r="9923" ht="12.75" customHeight="1" x14ac:dyDescent="0.2"/>
    <row r="9924" ht="12.75" customHeight="1" x14ac:dyDescent="0.2"/>
    <row r="9925" ht="12.75" customHeight="1" x14ac:dyDescent="0.2"/>
    <row r="9926" ht="12.75" customHeight="1" x14ac:dyDescent="0.2"/>
    <row r="9927" ht="12.75" customHeight="1" x14ac:dyDescent="0.2"/>
    <row r="9928" ht="12.75" customHeight="1" x14ac:dyDescent="0.2"/>
    <row r="9929" ht="12.75" customHeight="1" x14ac:dyDescent="0.2"/>
    <row r="9930" ht="12.75" customHeight="1" x14ac:dyDescent="0.2"/>
    <row r="9931" ht="12.75" customHeight="1" x14ac:dyDescent="0.2"/>
    <row r="9932" ht="12.75" customHeight="1" x14ac:dyDescent="0.2"/>
    <row r="9933" ht="12.75" customHeight="1" x14ac:dyDescent="0.2"/>
    <row r="9934" ht="12.75" customHeight="1" x14ac:dyDescent="0.2"/>
    <row r="9935" ht="12.75" customHeight="1" x14ac:dyDescent="0.2"/>
    <row r="9936" ht="12.75" customHeight="1" x14ac:dyDescent="0.2"/>
    <row r="9937" ht="12.75" customHeight="1" x14ac:dyDescent="0.2"/>
    <row r="9938" ht="12.75" customHeight="1" x14ac:dyDescent="0.2"/>
    <row r="9939" ht="12.75" customHeight="1" x14ac:dyDescent="0.2"/>
    <row r="9940" ht="12.75" customHeight="1" x14ac:dyDescent="0.2"/>
    <row r="9941" ht="12.75" customHeight="1" x14ac:dyDescent="0.2"/>
    <row r="9942" ht="12.75" customHeight="1" x14ac:dyDescent="0.2"/>
    <row r="9943" ht="12.75" customHeight="1" x14ac:dyDescent="0.2"/>
    <row r="9944" ht="12.75" customHeight="1" x14ac:dyDescent="0.2"/>
    <row r="9945" ht="12.75" customHeight="1" x14ac:dyDescent="0.2"/>
    <row r="9946" ht="12.75" customHeight="1" x14ac:dyDescent="0.2"/>
    <row r="9947" ht="12.75" customHeight="1" x14ac:dyDescent="0.2"/>
    <row r="9948" ht="12.75" customHeight="1" x14ac:dyDescent="0.2"/>
    <row r="9949" ht="12.75" customHeight="1" x14ac:dyDescent="0.2"/>
    <row r="9950" ht="12.75" customHeight="1" x14ac:dyDescent="0.2"/>
    <row r="9951" ht="12.75" customHeight="1" x14ac:dyDescent="0.2"/>
    <row r="9952" ht="12.75" customHeight="1" x14ac:dyDescent="0.2"/>
    <row r="9953" ht="12.75" customHeight="1" x14ac:dyDescent="0.2"/>
    <row r="9954" ht="12.75" customHeight="1" x14ac:dyDescent="0.2"/>
    <row r="9955" ht="12.75" customHeight="1" x14ac:dyDescent="0.2"/>
    <row r="9956" ht="12.75" customHeight="1" x14ac:dyDescent="0.2"/>
    <row r="9957" ht="12.75" customHeight="1" x14ac:dyDescent="0.2"/>
    <row r="9958" ht="12.75" customHeight="1" x14ac:dyDescent="0.2"/>
    <row r="9959" ht="12.75" customHeight="1" x14ac:dyDescent="0.2"/>
    <row r="9960" ht="12.75" customHeight="1" x14ac:dyDescent="0.2"/>
    <row r="9961" ht="12.75" customHeight="1" x14ac:dyDescent="0.2"/>
    <row r="9962" ht="12.75" customHeight="1" x14ac:dyDescent="0.2"/>
    <row r="9963" ht="12.75" customHeight="1" x14ac:dyDescent="0.2"/>
    <row r="9964" ht="12.75" customHeight="1" x14ac:dyDescent="0.2"/>
    <row r="9965" ht="12.75" customHeight="1" x14ac:dyDescent="0.2"/>
    <row r="9966" ht="12.75" customHeight="1" x14ac:dyDescent="0.2"/>
    <row r="9967" ht="12.75" customHeight="1" x14ac:dyDescent="0.2"/>
    <row r="9968" ht="12.75" customHeight="1" x14ac:dyDescent="0.2"/>
    <row r="9969" ht="12.75" customHeight="1" x14ac:dyDescent="0.2"/>
    <row r="9970" ht="12.75" customHeight="1" x14ac:dyDescent="0.2"/>
    <row r="9971" ht="12.75" customHeight="1" x14ac:dyDescent="0.2"/>
    <row r="9972" ht="12.75" customHeight="1" x14ac:dyDescent="0.2"/>
    <row r="9973" ht="12.75" customHeight="1" x14ac:dyDescent="0.2"/>
    <row r="9974" ht="12.75" customHeight="1" x14ac:dyDescent="0.2"/>
    <row r="9975" ht="12.75" customHeight="1" x14ac:dyDescent="0.2"/>
    <row r="9976" ht="12.75" customHeight="1" x14ac:dyDescent="0.2"/>
    <row r="9977" ht="12.75" customHeight="1" x14ac:dyDescent="0.2"/>
    <row r="9978" ht="12.75" customHeight="1" x14ac:dyDescent="0.2"/>
    <row r="9979" ht="12.75" customHeight="1" x14ac:dyDescent="0.2"/>
    <row r="9980" ht="12.75" customHeight="1" x14ac:dyDescent="0.2"/>
    <row r="9981" ht="12.75" customHeight="1" x14ac:dyDescent="0.2"/>
    <row r="9982" ht="12.75" customHeight="1" x14ac:dyDescent="0.2"/>
    <row r="9983" ht="12.75" customHeight="1" x14ac:dyDescent="0.2"/>
    <row r="9984" ht="12.75" customHeight="1" x14ac:dyDescent="0.2"/>
    <row r="9985" ht="12.75" customHeight="1" x14ac:dyDescent="0.2"/>
    <row r="9986" ht="12.75" customHeight="1" x14ac:dyDescent="0.2"/>
    <row r="9987" ht="12.75" customHeight="1" x14ac:dyDescent="0.2"/>
    <row r="9988" ht="12.75" customHeight="1" x14ac:dyDescent="0.2"/>
    <row r="9989" ht="12.75" customHeight="1" x14ac:dyDescent="0.2"/>
    <row r="9990" ht="12.75" customHeight="1" x14ac:dyDescent="0.2"/>
    <row r="9991" ht="12.75" customHeight="1" x14ac:dyDescent="0.2"/>
    <row r="9992" ht="12.75" customHeight="1" x14ac:dyDescent="0.2"/>
    <row r="9993" ht="12.75" customHeight="1" x14ac:dyDescent="0.2"/>
    <row r="9994" ht="12.75" customHeight="1" x14ac:dyDescent="0.2"/>
    <row r="9995" ht="12.75" customHeight="1" x14ac:dyDescent="0.2"/>
    <row r="9996" ht="12.75" customHeight="1" x14ac:dyDescent="0.2"/>
    <row r="9997" ht="12.75" customHeight="1" x14ac:dyDescent="0.2"/>
    <row r="9998" ht="12.75" customHeight="1" x14ac:dyDescent="0.2"/>
    <row r="9999" ht="12.75" customHeight="1" x14ac:dyDescent="0.2"/>
    <row r="10000" ht="12.75" customHeight="1" x14ac:dyDescent="0.2"/>
    <row r="10001" ht="12.75" customHeight="1" x14ac:dyDescent="0.2"/>
    <row r="10002" ht="12.75" customHeight="1" x14ac:dyDescent="0.2"/>
    <row r="10003" ht="12.75" customHeight="1" x14ac:dyDescent="0.2"/>
    <row r="10004" ht="12.75" customHeight="1" x14ac:dyDescent="0.2"/>
    <row r="10005" ht="12.75" customHeight="1" x14ac:dyDescent="0.2"/>
    <row r="10006" ht="12.75" customHeight="1" x14ac:dyDescent="0.2"/>
    <row r="10007" ht="12.75" customHeight="1" x14ac:dyDescent="0.2"/>
    <row r="10008" ht="12.75" customHeight="1" x14ac:dyDescent="0.2"/>
    <row r="10009" ht="12.75" customHeight="1" x14ac:dyDescent="0.2"/>
    <row r="10010" ht="12.75" customHeight="1" x14ac:dyDescent="0.2"/>
    <row r="10011" ht="12.75" customHeight="1" x14ac:dyDescent="0.2"/>
    <row r="10012" ht="12.75" customHeight="1" x14ac:dyDescent="0.2"/>
    <row r="10013" ht="12.75" customHeight="1" x14ac:dyDescent="0.2"/>
    <row r="10014" ht="12.75" customHeight="1" x14ac:dyDescent="0.2"/>
    <row r="10015" ht="12.75" customHeight="1" x14ac:dyDescent="0.2"/>
    <row r="10016" ht="12.75" customHeight="1" x14ac:dyDescent="0.2"/>
    <row r="10017" ht="12.75" customHeight="1" x14ac:dyDescent="0.2"/>
    <row r="10018" ht="12.75" customHeight="1" x14ac:dyDescent="0.2"/>
    <row r="10019" ht="12.75" customHeight="1" x14ac:dyDescent="0.2"/>
    <row r="10020" ht="12.75" customHeight="1" x14ac:dyDescent="0.2"/>
    <row r="10021" ht="12.75" customHeight="1" x14ac:dyDescent="0.2"/>
    <row r="10022" ht="12.75" customHeight="1" x14ac:dyDescent="0.2"/>
    <row r="10023" ht="12.75" customHeight="1" x14ac:dyDescent="0.2"/>
    <row r="10024" ht="12.75" customHeight="1" x14ac:dyDescent="0.2"/>
    <row r="10025" ht="12.75" customHeight="1" x14ac:dyDescent="0.2"/>
    <row r="10026" ht="12.75" customHeight="1" x14ac:dyDescent="0.2"/>
    <row r="10027" ht="12.75" customHeight="1" x14ac:dyDescent="0.2"/>
    <row r="10028" ht="12.75" customHeight="1" x14ac:dyDescent="0.2"/>
    <row r="10029" ht="12.75" customHeight="1" x14ac:dyDescent="0.2"/>
    <row r="10030" ht="12.75" customHeight="1" x14ac:dyDescent="0.2"/>
    <row r="10031" ht="12.75" customHeight="1" x14ac:dyDescent="0.2"/>
    <row r="10032" ht="12.75" customHeight="1" x14ac:dyDescent="0.2"/>
    <row r="10033" ht="12.75" customHeight="1" x14ac:dyDescent="0.2"/>
    <row r="10034" ht="12.75" customHeight="1" x14ac:dyDescent="0.2"/>
    <row r="10035" ht="12.75" customHeight="1" x14ac:dyDescent="0.2"/>
    <row r="10036" ht="12.75" customHeight="1" x14ac:dyDescent="0.2"/>
    <row r="10037" ht="12.75" customHeight="1" x14ac:dyDescent="0.2"/>
    <row r="10038" ht="12.75" customHeight="1" x14ac:dyDescent="0.2"/>
    <row r="10039" ht="12.75" customHeight="1" x14ac:dyDescent="0.2"/>
    <row r="10040" ht="12.75" customHeight="1" x14ac:dyDescent="0.2"/>
    <row r="10041" ht="12.75" customHeight="1" x14ac:dyDescent="0.2"/>
    <row r="10042" ht="12.75" customHeight="1" x14ac:dyDescent="0.2"/>
    <row r="10043" ht="12.75" customHeight="1" x14ac:dyDescent="0.2"/>
    <row r="10044" ht="12.75" customHeight="1" x14ac:dyDescent="0.2"/>
    <row r="10045" ht="12.75" customHeight="1" x14ac:dyDescent="0.2"/>
    <row r="10046" ht="12.75" customHeight="1" x14ac:dyDescent="0.2"/>
    <row r="10047" ht="12.75" customHeight="1" x14ac:dyDescent="0.2"/>
    <row r="10048" ht="12.75" customHeight="1" x14ac:dyDescent="0.2"/>
    <row r="10049" ht="12.75" customHeight="1" x14ac:dyDescent="0.2"/>
    <row r="10050" ht="12.75" customHeight="1" x14ac:dyDescent="0.2"/>
    <row r="10051" ht="12.75" customHeight="1" x14ac:dyDescent="0.2"/>
    <row r="10052" ht="12.75" customHeight="1" x14ac:dyDescent="0.2"/>
    <row r="10053" ht="12.75" customHeight="1" x14ac:dyDescent="0.2"/>
    <row r="10054" ht="12.75" customHeight="1" x14ac:dyDescent="0.2"/>
    <row r="10055" ht="12.75" customHeight="1" x14ac:dyDescent="0.2"/>
    <row r="10056" ht="12.75" customHeight="1" x14ac:dyDescent="0.2"/>
    <row r="10057" ht="12.75" customHeight="1" x14ac:dyDescent="0.2"/>
    <row r="10058" ht="12.75" customHeight="1" x14ac:dyDescent="0.2"/>
    <row r="10059" ht="12.75" customHeight="1" x14ac:dyDescent="0.2"/>
    <row r="10060" ht="12.75" customHeight="1" x14ac:dyDescent="0.2"/>
    <row r="10061" ht="12.75" customHeight="1" x14ac:dyDescent="0.2"/>
    <row r="10062" ht="12.75" customHeight="1" x14ac:dyDescent="0.2"/>
    <row r="10063" ht="12.75" customHeight="1" x14ac:dyDescent="0.2"/>
    <row r="10064" ht="12.75" customHeight="1" x14ac:dyDescent="0.2"/>
    <row r="10065" ht="12.75" customHeight="1" x14ac:dyDescent="0.2"/>
    <row r="10066" ht="12.75" customHeight="1" x14ac:dyDescent="0.2"/>
    <row r="10067" ht="12.75" customHeight="1" x14ac:dyDescent="0.2"/>
    <row r="10068" ht="12.75" customHeight="1" x14ac:dyDescent="0.2"/>
    <row r="10069" ht="12.75" customHeight="1" x14ac:dyDescent="0.2"/>
    <row r="10070" ht="12.75" customHeight="1" x14ac:dyDescent="0.2"/>
    <row r="10071" ht="12.75" customHeight="1" x14ac:dyDescent="0.2"/>
    <row r="10072" ht="12.75" customHeight="1" x14ac:dyDescent="0.2"/>
    <row r="10073" ht="12.75" customHeight="1" x14ac:dyDescent="0.2"/>
    <row r="10074" ht="12.75" customHeight="1" x14ac:dyDescent="0.2"/>
    <row r="10075" ht="12.75" customHeight="1" x14ac:dyDescent="0.2"/>
    <row r="10076" ht="12.75" customHeight="1" x14ac:dyDescent="0.2"/>
    <row r="10077" ht="12.75" customHeight="1" x14ac:dyDescent="0.2"/>
    <row r="10078" ht="12.75" customHeight="1" x14ac:dyDescent="0.2"/>
    <row r="10079" ht="12.75" customHeight="1" x14ac:dyDescent="0.2"/>
    <row r="10080" ht="12.75" customHeight="1" x14ac:dyDescent="0.2"/>
    <row r="10081" ht="12.75" customHeight="1" x14ac:dyDescent="0.2"/>
    <row r="10082" ht="12.75" customHeight="1" x14ac:dyDescent="0.2"/>
    <row r="10083" ht="12.75" customHeight="1" x14ac:dyDescent="0.2"/>
    <row r="10084" ht="12.75" customHeight="1" x14ac:dyDescent="0.2"/>
    <row r="10085" ht="12.75" customHeight="1" x14ac:dyDescent="0.2"/>
    <row r="10086" ht="12.75" customHeight="1" x14ac:dyDescent="0.2"/>
    <row r="10087" ht="12.75" customHeight="1" x14ac:dyDescent="0.2"/>
    <row r="10088" ht="12.75" customHeight="1" x14ac:dyDescent="0.2"/>
    <row r="10089" ht="12.75" customHeight="1" x14ac:dyDescent="0.2"/>
    <row r="10090" ht="12.75" customHeight="1" x14ac:dyDescent="0.2"/>
    <row r="10091" ht="12.75" customHeight="1" x14ac:dyDescent="0.2"/>
    <row r="10092" ht="12.75" customHeight="1" x14ac:dyDescent="0.2"/>
    <row r="10093" ht="12.75" customHeight="1" x14ac:dyDescent="0.2"/>
    <row r="10094" ht="12.75" customHeight="1" x14ac:dyDescent="0.2"/>
    <row r="10095" ht="12.75" customHeight="1" x14ac:dyDescent="0.2"/>
    <row r="10096" ht="12.75" customHeight="1" x14ac:dyDescent="0.2"/>
    <row r="10097" ht="12.75" customHeight="1" x14ac:dyDescent="0.2"/>
    <row r="10098" ht="12.75" customHeight="1" x14ac:dyDescent="0.2"/>
    <row r="10099" ht="12.75" customHeight="1" x14ac:dyDescent="0.2"/>
    <row r="10100" ht="12.75" customHeight="1" x14ac:dyDescent="0.2"/>
    <row r="10101" ht="12.75" customHeight="1" x14ac:dyDescent="0.2"/>
    <row r="10102" ht="12.75" customHeight="1" x14ac:dyDescent="0.2"/>
    <row r="10103" ht="12.75" customHeight="1" x14ac:dyDescent="0.2"/>
    <row r="10104" ht="12.75" customHeight="1" x14ac:dyDescent="0.2"/>
    <row r="10105" ht="12.75" customHeight="1" x14ac:dyDescent="0.2"/>
    <row r="10106" ht="12.75" customHeight="1" x14ac:dyDescent="0.2"/>
    <row r="10107" ht="12.75" customHeight="1" x14ac:dyDescent="0.2"/>
    <row r="10108" ht="12.75" customHeight="1" x14ac:dyDescent="0.2"/>
    <row r="10109" ht="12.75" customHeight="1" x14ac:dyDescent="0.2"/>
    <row r="10110" ht="12.75" customHeight="1" x14ac:dyDescent="0.2"/>
    <row r="10111" ht="12.75" customHeight="1" x14ac:dyDescent="0.2"/>
    <row r="10112" ht="12.75" customHeight="1" x14ac:dyDescent="0.2"/>
    <row r="10113" ht="12.75" customHeight="1" x14ac:dyDescent="0.2"/>
    <row r="10114" ht="12.75" customHeight="1" x14ac:dyDescent="0.2"/>
    <row r="10115" ht="12.75" customHeight="1" x14ac:dyDescent="0.2"/>
    <row r="10116" ht="12.75" customHeight="1" x14ac:dyDescent="0.2"/>
    <row r="10117" ht="12.75" customHeight="1" x14ac:dyDescent="0.2"/>
    <row r="10118" ht="12.75" customHeight="1" x14ac:dyDescent="0.2"/>
    <row r="10119" ht="12.75" customHeight="1" x14ac:dyDescent="0.2"/>
    <row r="10120" ht="12.75" customHeight="1" x14ac:dyDescent="0.2"/>
    <row r="10121" ht="12.75" customHeight="1" x14ac:dyDescent="0.2"/>
    <row r="10122" ht="12.75" customHeight="1" x14ac:dyDescent="0.2"/>
    <row r="10123" ht="12.75" customHeight="1" x14ac:dyDescent="0.2"/>
    <row r="10124" ht="12.75" customHeight="1" x14ac:dyDescent="0.2"/>
    <row r="10125" ht="12.75" customHeight="1" x14ac:dyDescent="0.2"/>
    <row r="10126" ht="12.75" customHeight="1" x14ac:dyDescent="0.2"/>
    <row r="10127" ht="12.75" customHeight="1" x14ac:dyDescent="0.2"/>
    <row r="10128" ht="12.75" customHeight="1" x14ac:dyDescent="0.2"/>
    <row r="10129" spans="1:2" ht="12.75" customHeight="1" x14ac:dyDescent="0.2"/>
    <row r="10130" spans="1:2" ht="12.75" customHeight="1" x14ac:dyDescent="0.2"/>
    <row r="10131" spans="1:2" ht="12.75" customHeight="1" x14ac:dyDescent="0.2"/>
    <row r="10132" spans="1:2" ht="12.75" customHeight="1" x14ac:dyDescent="0.2"/>
    <row r="10133" spans="1:2" ht="12.75" customHeight="1" x14ac:dyDescent="0.2"/>
    <row r="10134" spans="1:2" ht="12.75" customHeight="1" x14ac:dyDescent="0.2"/>
    <row r="10135" spans="1:2" ht="12.75" customHeight="1" x14ac:dyDescent="0.2">
      <c r="B10135" s="14"/>
    </row>
    <row r="10136" spans="1:2" ht="12.75" customHeight="1" x14ac:dyDescent="0.2"/>
    <row r="10137" spans="1:2" ht="12.75" customHeight="1" x14ac:dyDescent="0.2">
      <c r="A10137" s="14" t="b">
        <v>0</v>
      </c>
    </row>
    <row r="10138" spans="1:2" ht="12.75" customHeight="1" x14ac:dyDescent="0.2"/>
    <row r="10139" spans="1:2" ht="12.75" customHeight="1" x14ac:dyDescent="0.2"/>
    <row r="10140" spans="1:2" ht="12.75" customHeight="1" x14ac:dyDescent="0.2"/>
    <row r="10141" spans="1:2" ht="12.75" customHeight="1" x14ac:dyDescent="0.2"/>
    <row r="10142" spans="1:2" ht="12.75" customHeight="1" x14ac:dyDescent="0.2"/>
    <row r="10143" spans="1:2" ht="12.75" customHeight="1" x14ac:dyDescent="0.2"/>
    <row r="10144" spans="1:2" ht="12.75" customHeight="1" x14ac:dyDescent="0.2"/>
    <row r="10145" spans="2:2" ht="12.75" customHeight="1" x14ac:dyDescent="0.2">
      <c r="B10145" s="14" t="b">
        <v>1</v>
      </c>
    </row>
    <row r="10146" spans="2:2" ht="12.75" customHeight="1" x14ac:dyDescent="0.2"/>
    <row r="10147" spans="2:2" ht="12.75" customHeight="1" x14ac:dyDescent="0.2"/>
    <row r="10148" spans="2:2" ht="12.75" customHeight="1" x14ac:dyDescent="0.2"/>
    <row r="10149" spans="2:2" ht="12.75" customHeight="1" x14ac:dyDescent="0.2"/>
    <row r="10150" spans="2:2" ht="12.75" customHeight="1" x14ac:dyDescent="0.2"/>
    <row r="10151" spans="2:2" ht="12.75" customHeight="1" x14ac:dyDescent="0.2"/>
    <row r="10152" spans="2:2" ht="12.75" customHeight="1" x14ac:dyDescent="0.2"/>
    <row r="10153" spans="2:2" ht="12.75" customHeight="1" x14ac:dyDescent="0.2"/>
    <row r="10154" spans="2:2" ht="12.75" customHeight="1" x14ac:dyDescent="0.2"/>
    <row r="10155" spans="2:2" ht="12.75" customHeight="1" x14ac:dyDescent="0.2"/>
    <row r="10156" spans="2:2" ht="12.75" customHeight="1" x14ac:dyDescent="0.2"/>
    <row r="10157" spans="2:2" ht="12.75" customHeight="1" x14ac:dyDescent="0.2"/>
    <row r="10158" spans="2:2" ht="12.75" customHeight="1" x14ac:dyDescent="0.2"/>
    <row r="10159" spans="2:2" ht="12.75" customHeight="1" x14ac:dyDescent="0.2"/>
    <row r="10160" spans="2:2" ht="12.75" customHeight="1" x14ac:dyDescent="0.2"/>
  </sheetData>
  <sheetProtection formatColumns="0" formatRows="0"/>
  <mergeCells count="4">
    <mergeCell ref="B1:M1"/>
    <mergeCell ref="B2:M2"/>
    <mergeCell ref="A9:A16"/>
    <mergeCell ref="A23:A244"/>
  </mergeCells>
  <printOptions horizontalCentered="1"/>
  <pageMargins left="0" right="0" top="0" bottom="0" header="0" footer="0"/>
  <pageSetup scale="60" orientation="landscape" r:id="rId1"/>
  <headerFooter alignWithMargins="0">
    <oddFooter>&amp;L&amp;D &amp;T&amp;C&amp;Z&amp;F&amp;R&amp;P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P10160"/>
  <sheetViews>
    <sheetView showGridLines="0" zoomScaleNormal="100" workbookViewId="0">
      <pane xSplit="3" ySplit="9" topLeftCell="D10" activePane="bottomRight" state="frozen"/>
      <selection sqref="A1:L1"/>
      <selection pane="topRight" sqref="A1:L1"/>
      <selection pane="bottomLeft" sqref="A1:L1"/>
      <selection pane="bottomRight" activeCell="D10" sqref="D10"/>
    </sheetView>
  </sheetViews>
  <sheetFormatPr defaultRowHeight="12.75" x14ac:dyDescent="0.2"/>
  <cols>
    <col min="1" max="1" width="3.7109375" customWidth="1"/>
    <col min="2" max="2" width="8.7109375" customWidth="1"/>
    <col min="3" max="3" width="41.7109375" style="20" bestFit="1" customWidth="1"/>
    <col min="4" max="4" width="15.140625" bestFit="1" customWidth="1"/>
    <col min="5" max="6" width="10.28515625" bestFit="1" customWidth="1"/>
    <col min="7" max="7" width="12.140625" bestFit="1" customWidth="1"/>
    <col min="8" max="15" width="12.85546875" bestFit="1" customWidth="1"/>
    <col min="16" max="16" width="13.5703125" bestFit="1" customWidth="1"/>
  </cols>
  <sheetData>
    <row r="1" spans="1:16" ht="18" customHeight="1" x14ac:dyDescent="0.25">
      <c r="B1" s="241" t="str">
        <f>Assumptions!D5&amp;" - Reserve &amp; Special Assessment Analysis Option 6"</f>
        <v>Dana Point - Reserve &amp; Special Assessment Analysis Option 6</v>
      </c>
      <c r="C1" s="241"/>
      <c r="D1" s="241"/>
      <c r="E1" s="241"/>
      <c r="F1" s="241"/>
      <c r="G1" s="241"/>
      <c r="H1" s="241"/>
      <c r="I1" s="241"/>
      <c r="J1" s="241"/>
      <c r="K1" s="241"/>
      <c r="L1" s="241"/>
      <c r="M1" s="241"/>
      <c r="N1" s="155"/>
      <c r="O1" s="155"/>
    </row>
    <row r="2" spans="1:16" ht="18" customHeight="1" x14ac:dyDescent="0.25">
      <c r="B2" s="241" t="str">
        <f>+Assumptions!D7&amp;" Reserve Study 10-Year Projection"</f>
        <v>2013 Reserve Study 10-Year Projection</v>
      </c>
      <c r="C2" s="241"/>
      <c r="D2" s="241"/>
      <c r="E2" s="241"/>
      <c r="F2" s="241"/>
      <c r="G2" s="241"/>
      <c r="H2" s="241"/>
      <c r="I2" s="241"/>
      <c r="J2" s="241"/>
      <c r="K2" s="241"/>
      <c r="L2" s="241"/>
      <c r="M2" s="241"/>
      <c r="N2" s="155"/>
      <c r="O2" s="155"/>
    </row>
    <row r="3" spans="1:16" ht="12.75" customHeight="1" x14ac:dyDescent="0.2"/>
    <row r="4" spans="1:16" ht="12.75" customHeight="1" x14ac:dyDescent="0.2">
      <c r="C4" s="20" t="s">
        <v>8</v>
      </c>
      <c r="D4" s="39">
        <f>Assumptions!G21</f>
        <v>0</v>
      </c>
    </row>
    <row r="5" spans="1:16" ht="12.75" hidden="1" customHeight="1" x14ac:dyDescent="0.2">
      <c r="D5" s="20"/>
      <c r="E5">
        <f>IF(YEAR(Assumptions!$D8)&lt;YEAR(Assumptions!G22),0,1)</f>
        <v>1</v>
      </c>
      <c r="F5">
        <f>+E5+1</f>
        <v>2</v>
      </c>
      <c r="G5">
        <f t="shared" ref="G5:O9" si="0">+F5+1</f>
        <v>3</v>
      </c>
      <c r="H5">
        <f t="shared" si="0"/>
        <v>4</v>
      </c>
      <c r="I5">
        <f t="shared" si="0"/>
        <v>5</v>
      </c>
      <c r="J5">
        <f t="shared" si="0"/>
        <v>6</v>
      </c>
      <c r="K5">
        <f t="shared" si="0"/>
        <v>7</v>
      </c>
      <c r="L5">
        <f t="shared" si="0"/>
        <v>8</v>
      </c>
      <c r="M5">
        <f t="shared" si="0"/>
        <v>9</v>
      </c>
      <c r="N5">
        <f t="shared" si="0"/>
        <v>10</v>
      </c>
      <c r="O5">
        <f t="shared" si="0"/>
        <v>11</v>
      </c>
    </row>
    <row r="6" spans="1:16" ht="12.75" hidden="1" customHeight="1" x14ac:dyDescent="0.2">
      <c r="D6" s="20">
        <f>IF(YEAR(Assumptions!G22)&gt;LEFT(D9,4)*1,0,1)</f>
        <v>1</v>
      </c>
      <c r="E6">
        <f>+D7+1</f>
        <v>1389</v>
      </c>
      <c r="F6">
        <f t="shared" ref="F6:O6" si="1">+E7+1</f>
        <v>1</v>
      </c>
      <c r="G6">
        <f t="shared" si="1"/>
        <v>1</v>
      </c>
      <c r="H6">
        <f t="shared" si="1"/>
        <v>1</v>
      </c>
      <c r="I6">
        <f t="shared" si="1"/>
        <v>1</v>
      </c>
      <c r="J6">
        <f t="shared" si="1"/>
        <v>1</v>
      </c>
      <c r="K6">
        <f t="shared" si="1"/>
        <v>1</v>
      </c>
      <c r="L6">
        <f t="shared" si="1"/>
        <v>1</v>
      </c>
      <c r="M6">
        <f t="shared" si="1"/>
        <v>1</v>
      </c>
      <c r="N6">
        <f t="shared" si="1"/>
        <v>1</v>
      </c>
      <c r="O6">
        <f t="shared" si="1"/>
        <v>1</v>
      </c>
    </row>
    <row r="7" spans="1:16" ht="12.75" hidden="1" customHeight="1" x14ac:dyDescent="0.2">
      <c r="D7" s="20">
        <f>IF(D6=0,0,ROUND(((IF(YEAR(Assumptions!D8)&lt;YEAR(Assumptions!G22),(Assumptions!D8+365)-Assumptions!G22,Assumptions!D8-Assumptions!G22))/30),0))</f>
        <v>1388</v>
      </c>
      <c r="E7">
        <f>IF(D7=0,ROUND(((IF(YEAR(Assumptions!D8)&lt;YEAR(Assumptions!G22),(Assumptions!D8+365)-Assumptions!G22,Assumptions!D8-Assumptions!G22))/30),0),IF(Assumptions!$G$24*12&gt;D7+12,D7+12,Assumptions!$G$24*12))</f>
        <v>0</v>
      </c>
      <c r="F7">
        <f>IF(Assumptions!$G$24*12&gt;E7+12,E7+12,Assumptions!$G$24*12)</f>
        <v>0</v>
      </c>
      <c r="G7">
        <f>IF(Assumptions!$G$24*12&gt;F7+12,F7+12,Assumptions!$G$24*12)</f>
        <v>0</v>
      </c>
      <c r="H7">
        <f>IF(Assumptions!$G$24*12&gt;G7+12,G7+12,Assumptions!$G$24*12)</f>
        <v>0</v>
      </c>
      <c r="I7">
        <f>IF(Assumptions!$G$24*12&gt;H7+12,H7+12,Assumptions!$G$24*12)</f>
        <v>0</v>
      </c>
      <c r="J7">
        <f>IF(Assumptions!$G$24*12&gt;I7+12,I7+12,Assumptions!$G$24*12)</f>
        <v>0</v>
      </c>
      <c r="K7">
        <f>IF(Assumptions!$G$24*12&gt;J7+12,J7+12,Assumptions!$G$24*12)</f>
        <v>0</v>
      </c>
      <c r="L7">
        <f>IF(Assumptions!$G$24*12&gt;K7+12,K7+12,Assumptions!$G$24*12)</f>
        <v>0</v>
      </c>
      <c r="M7">
        <f>IF(Assumptions!$G$24*12&gt;L7+12,L7+12,Assumptions!$G$24*12)</f>
        <v>0</v>
      </c>
      <c r="N7">
        <f>IF(Assumptions!$G$24*12&gt;M7+12,M7+12,Assumptions!$G$24*12)</f>
        <v>0</v>
      </c>
      <c r="O7">
        <f>IF(Assumptions!$G$24*12&gt;N7+12,N7+12,Assumptions!$G$24*12)</f>
        <v>0</v>
      </c>
    </row>
    <row r="8" spans="1:16" ht="12.75" customHeight="1" x14ac:dyDescent="0.2">
      <c r="D8" s="20"/>
    </row>
    <row r="9" spans="1:16" ht="15.75" customHeight="1" x14ac:dyDescent="0.25">
      <c r="A9" s="237" t="s">
        <v>1</v>
      </c>
      <c r="B9" s="2" t="s">
        <v>2</v>
      </c>
      <c r="C9" s="23" t="s">
        <v>3</v>
      </c>
      <c r="D9" s="3" t="str">
        <f>Assumptions!D7&amp;" Budget"</f>
        <v>2013 Budget</v>
      </c>
      <c r="E9" s="3">
        <f>+Assumptions!D7+1</f>
        <v>2014</v>
      </c>
      <c r="F9" s="3">
        <f>+E9+1</f>
        <v>2015</v>
      </c>
      <c r="G9" s="3">
        <f t="shared" si="0"/>
        <v>2016</v>
      </c>
      <c r="H9" s="3">
        <f t="shared" si="0"/>
        <v>2017</v>
      </c>
      <c r="I9" s="3">
        <f t="shared" si="0"/>
        <v>2018</v>
      </c>
      <c r="J9" s="3">
        <f t="shared" si="0"/>
        <v>2019</v>
      </c>
      <c r="K9" s="3">
        <f t="shared" si="0"/>
        <v>2020</v>
      </c>
      <c r="L9" s="3">
        <f t="shared" si="0"/>
        <v>2021</v>
      </c>
      <c r="M9" s="3">
        <f t="shared" si="0"/>
        <v>2022</v>
      </c>
      <c r="N9" s="3">
        <f t="shared" si="0"/>
        <v>2023</v>
      </c>
      <c r="O9" s="3">
        <f t="shared" si="0"/>
        <v>2024</v>
      </c>
      <c r="P9" s="3" t="s">
        <v>77</v>
      </c>
    </row>
    <row r="10" spans="1:16" ht="15.75" customHeight="1" x14ac:dyDescent="0.25">
      <c r="A10" s="237"/>
      <c r="B10" s="4" t="s">
        <v>4</v>
      </c>
      <c r="C10" s="24" t="s">
        <v>5</v>
      </c>
      <c r="D10" s="125">
        <f>ROUND((+Assumptions!D10/12*Calc!$G$9),0)</f>
        <v>202156</v>
      </c>
      <c r="E10" s="125">
        <f>+(Assumptions!D10)*(1+Assumptions!K26)</f>
        <v>499729.22000000003</v>
      </c>
      <c r="F10" s="125">
        <f>+E10*(1+Assumptions!K27)</f>
        <v>514721.09660000005</v>
      </c>
      <c r="G10" s="125">
        <f>+F10*(1+Assumptions!K28)</f>
        <v>530162.72949800012</v>
      </c>
      <c r="H10" s="125">
        <f>+G10*(1+Assumptions!K29)</f>
        <v>546067.61138294009</v>
      </c>
      <c r="I10" s="125">
        <f>+H10*(1+Assumptions!K30)</f>
        <v>562449.6397244283</v>
      </c>
      <c r="J10" s="125">
        <f>+I10*(1+Assumptions!K31)</f>
        <v>579323.12891616113</v>
      </c>
      <c r="K10" s="125">
        <f>+J10*(1+Assumptions!K32)</f>
        <v>596702.82278364594</v>
      </c>
      <c r="L10" s="125">
        <f>+K10*(1+Assumptions!K33)</f>
        <v>614603.90746715537</v>
      </c>
      <c r="M10" s="125">
        <f>+L10*(1+Assumptions!K34)</f>
        <v>633042.02469117008</v>
      </c>
      <c r="N10" s="125">
        <f>+M10*(1+Assumptions!K35)</f>
        <v>652033.28543190518</v>
      </c>
      <c r="O10" s="125">
        <f>+N10*(1+Assumptions!K36)</f>
        <v>671594.28399486234</v>
      </c>
      <c r="P10" s="123">
        <f>SUM(D10:O10)</f>
        <v>6602585.7504902687</v>
      </c>
    </row>
    <row r="11" spans="1:16" ht="15.75" customHeight="1" x14ac:dyDescent="0.25">
      <c r="A11" s="237"/>
      <c r="B11" s="29" t="s">
        <v>823</v>
      </c>
      <c r="C11" s="24" t="s">
        <v>5</v>
      </c>
      <c r="D11" s="125">
        <f>+'Option 1'!D11</f>
        <v>58604.166666666672</v>
      </c>
      <c r="E11" s="125">
        <f>+'Option 1'!E11</f>
        <v>152001</v>
      </c>
      <c r="F11" s="125">
        <f>+'Option 1'!F11</f>
        <v>156561.03</v>
      </c>
      <c r="G11" s="125">
        <f>+'Option 1'!G11</f>
        <v>161257.8609</v>
      </c>
      <c r="H11" s="125">
        <f>+'Option 1'!H11</f>
        <v>166095.596727</v>
      </c>
      <c r="I11" s="125">
        <f>+'Option 1'!I11</f>
        <v>171078.46462881</v>
      </c>
      <c r="J11" s="125">
        <f>+'Option 1'!J11</f>
        <v>176210.81856767432</v>
      </c>
      <c r="K11" s="125">
        <f>+'Option 1'!K11</f>
        <v>181497.14312470454</v>
      </c>
      <c r="L11" s="125">
        <f>+'Option 1'!L11</f>
        <v>186942.05741844568</v>
      </c>
      <c r="M11" s="125">
        <f>+'Option 1'!M11</f>
        <v>192550.31914099905</v>
      </c>
      <c r="N11" s="125">
        <f>+'Option 1'!N11</f>
        <v>198326.82871522903</v>
      </c>
      <c r="O11" s="125">
        <f>+'Option 1'!O11</f>
        <v>204276.63357668591</v>
      </c>
      <c r="P11" s="123">
        <f t="shared" ref="P11:P17" si="2">SUM(D11:O11)</f>
        <v>2005401.9194662152</v>
      </c>
    </row>
    <row r="12" spans="1:16" ht="15.75" customHeight="1" x14ac:dyDescent="0.25">
      <c r="A12" s="237"/>
      <c r="B12" s="4" t="s">
        <v>7</v>
      </c>
      <c r="C12" s="24" t="s">
        <v>82</v>
      </c>
      <c r="D12" s="125">
        <f>IF(Assumptions!$G$25=0,IF(ISERROR(-CUMPRINC(0.00000000001/12,Assumptions!$G$24*12,$D$4,D6,D7,0)),0,(-CUMPRINC(0.00000000001/12,Assumptions!$G$24*12,$D$4,D6,D7,0))),IF(ISERROR(-CUMPRINC(Assumptions!$G$25/12,Assumptions!$G$24*12,$D$4,D6,D7,0)),0,(-CUMPRINC(Assumptions!$G$25/12,Assumptions!$G$24*12,$D$4,D6,D7,0))))</f>
        <v>0</v>
      </c>
      <c r="E12" s="125">
        <f>IF(Assumptions!$G$25=0,IF(ISERROR(-CUMPRINC(0.00000000001/12,Assumptions!$G$24*12,$D$4,E6,E7,0)),0,(-CUMPRINC(0.00000000001/12,Assumptions!$G$24*12,$D$4,E6,E7,0))),IF(ISERROR(-CUMPRINC(Assumptions!$G$25/12,Assumptions!$G$24*12,$D$4,E6,E7,0)),0,(-CUMPRINC(Assumptions!$G$25/12,Assumptions!$G$24*12,$D$4,E6,E7,0))))</f>
        <v>0</v>
      </c>
      <c r="F12" s="125">
        <f>IF(Assumptions!$G$25=0,IF(ISERROR(-CUMPRINC(0.00000000001/12,Assumptions!$G$24*12,$D$4,F6,F7,0)),0,(-CUMPRINC(0.00000000001/12,Assumptions!$G$24*12,$D$4,F6,F7,0))),IF(ISERROR(-CUMPRINC(Assumptions!$G$25/12,Assumptions!$G$24*12,$D$4,F6,F7,0)),0,(-CUMPRINC(Assumptions!$G$25/12,Assumptions!$G$24*12,$D$4,F6,F7,0))))</f>
        <v>0</v>
      </c>
      <c r="G12" s="125">
        <f>IF(Assumptions!$G$25=0,IF(ISERROR(-CUMPRINC(0.00000000001/12,Assumptions!$G$24*12,$D$4,G6,G7,0)),0,(-CUMPRINC(0.00000000001/12,Assumptions!$G$24*12,$D$4,G6,G7,0))),IF(ISERROR(-CUMPRINC(Assumptions!$G$25/12,Assumptions!$G$24*12,$D$4,G6,G7,0)),0,(-CUMPRINC(Assumptions!$G$25/12,Assumptions!$G$24*12,$D$4,G6,G7,0))))</f>
        <v>0</v>
      </c>
      <c r="H12" s="125">
        <f>IF(Assumptions!$G$25=0,IF(ISERROR(-CUMPRINC(0.00000000001/12,Assumptions!$G$24*12,$D$4,H6,H7,0)),0,(-CUMPRINC(0.00000000001/12,Assumptions!$G$24*12,$D$4,H6,H7,0))),IF(ISERROR(-CUMPRINC(Assumptions!$G$25/12,Assumptions!$G$24*12,$D$4,H6,H7,0)),0,(-CUMPRINC(Assumptions!$G$25/12,Assumptions!$G$24*12,$D$4,H6,H7,0))))</f>
        <v>0</v>
      </c>
      <c r="I12" s="125">
        <f>IF(Assumptions!$G$25=0,IF(ISERROR(-CUMPRINC(0.00000000001/12,Assumptions!$G$24*12,$D$4,I6,I7,0)),0,(-CUMPRINC(0.00000000001/12,Assumptions!$G$24*12,$D$4,I6,I7,0))),IF(ISERROR(-CUMPRINC(Assumptions!$G$25/12,Assumptions!$G$24*12,$D$4,I6,I7,0)),0,(-CUMPRINC(Assumptions!$G$25/12,Assumptions!$G$24*12,$D$4,I6,I7,0))))</f>
        <v>0</v>
      </c>
      <c r="J12" s="125">
        <f>IF(Assumptions!$G$25=0,IF(ISERROR(-CUMPRINC(0.00000000001/12,Assumptions!$G$24*12,$D$4,J6,J7,0)),0,(-CUMPRINC(0.00000000001/12,Assumptions!$G$24*12,$D$4,J6,J7,0))),IF(ISERROR(-CUMPRINC(Assumptions!$G$25/12,Assumptions!$G$24*12,$D$4,J6,J7,0)),0,(-CUMPRINC(Assumptions!$G$25/12,Assumptions!$G$24*12,$D$4,J6,J7,0))))</f>
        <v>0</v>
      </c>
      <c r="K12" s="125">
        <f>IF(Assumptions!$G$25=0,IF(ISERROR(-CUMPRINC(0.00000000001/12,Assumptions!$G$24*12,$D$4,K6,K7,0)),0,(-CUMPRINC(0.00000000001/12,Assumptions!$G$24*12,$D$4,K6,K7,0))),IF(ISERROR(-CUMPRINC(Assumptions!$G$25/12,Assumptions!$G$24*12,$D$4,K6,K7,0)),0,(-CUMPRINC(Assumptions!$G$25/12,Assumptions!$G$24*12,$D$4,K6,K7,0))))</f>
        <v>0</v>
      </c>
      <c r="L12" s="125">
        <f>IF(Assumptions!$G$25=0,IF(ISERROR(-CUMPRINC(0.00000000001/12,Assumptions!$G$24*12,$D$4,L6,L7,0)),0,(-CUMPRINC(0.00000000001/12,Assumptions!$G$24*12,$D$4,L6,L7,0))),IF(ISERROR(-CUMPRINC(Assumptions!$G$25/12,Assumptions!$G$24*12,$D$4,L6,L7,0)),0,(-CUMPRINC(Assumptions!$G$25/12,Assumptions!$G$24*12,$D$4,L6,L7,0))))</f>
        <v>0</v>
      </c>
      <c r="M12" s="125">
        <f>IF(Assumptions!$G$25=0,IF(ISERROR(-CUMPRINC(0.00000000001/12,Assumptions!$G$24*12,$D$4,M6,M7,0)),0,(-CUMPRINC(0.00000000001/12,Assumptions!$G$24*12,$D$4,M6,M7,0))),IF(ISERROR(-CUMPRINC(Assumptions!$G$25/12,Assumptions!$G$24*12,$D$4,M6,M7,0)),0,(-CUMPRINC(Assumptions!$G$25/12,Assumptions!$G$24*12,$D$4,M6,M7,0))))</f>
        <v>0</v>
      </c>
      <c r="N12" s="125">
        <f>IF(Assumptions!$G$25=0,IF(ISERROR(-CUMPRINC(0.00000000001/12,Assumptions!$G$24*12,$D$4,N6,N7,0)),0,(-CUMPRINC(0.00000000001/12,Assumptions!$G$24*12,$D$4,N6,N7,0))),IF(ISERROR(-CUMPRINC(Assumptions!$G$25/12,Assumptions!$G$24*12,$D$4,N6,N7,0)),0,(-CUMPRINC(Assumptions!$G$25/12,Assumptions!$G$24*12,$D$4,N6,N7,0))))</f>
        <v>0</v>
      </c>
      <c r="O12" s="125">
        <f>IF(Assumptions!$G$25=0,IF(ISERROR(-CUMPRINC(0.00000000001/12,Assumptions!$G$24*12,$D$4,O6,O7,0)),0,(-CUMPRINC(0.00000000001/12,Assumptions!$G$24*12,$D$4,O6,O7,0))),IF(ISERROR(-CUMPRINC(Assumptions!$G$25/12,Assumptions!$G$24*12,$D$4,O6,O7,0)),0,(-CUMPRINC(Assumptions!$G$25/12,Assumptions!$G$24*12,$D$4,O6,O7,0))))</f>
        <v>0</v>
      </c>
      <c r="P12" s="123">
        <f t="shared" si="2"/>
        <v>0</v>
      </c>
    </row>
    <row r="13" spans="1:16" ht="15.75" customHeight="1" x14ac:dyDescent="0.25">
      <c r="A13" s="237"/>
      <c r="B13" s="4" t="s">
        <v>27</v>
      </c>
      <c r="C13" s="24" t="s">
        <v>31</v>
      </c>
      <c r="D13" s="125">
        <f>IF(Assumptions!$G$25=0,IF(ISERROR(-CUMIPMT(0.00000000001/12,Assumptions!$G$24*12,$D$4,D6,D7,0)),0,-CUMIPMT(0.00000000001/12,Assumptions!$G$24*12,$D$4,D6,D7,0)),IF(ISERROR(-CUMIPMT(Assumptions!$G$25/12,Assumptions!$G$24*12,$D$4,D6,D7,0)),0,-CUMIPMT(Assumptions!$G$25/12,Assumptions!$G$24*12,$D$4,D6,D7,0)))</f>
        <v>0</v>
      </c>
      <c r="E13" s="125">
        <f>IF(Assumptions!$G$25=0,IF(ISERROR(-CUMIPMT(0.00000000001/12,Assumptions!$G$24*12,$D$4,E6,E7,0)),0,-CUMIPMT(0.00000000001/12,Assumptions!$G$24*12,$D$4,E6,E7,0)),IF(ISERROR(-CUMIPMT(Assumptions!$G$25/12,Assumptions!$G$24*12,$D$4,E6,E7,0)),0,-CUMIPMT(Assumptions!$G$25/12,Assumptions!$G$24*12,$D$4,E6,E7,0)))</f>
        <v>0</v>
      </c>
      <c r="F13" s="125">
        <f>IF(Assumptions!$G$25=0,IF(ISERROR(-CUMIPMT(0.00000000001/12,Assumptions!$G$24*12,$D$4,F6,F7,0)),0,-CUMIPMT(0.00000000001/12,Assumptions!$G$24*12,$D$4,F6,F7,0)),IF(ISERROR(-CUMIPMT(Assumptions!$G$25/12,Assumptions!$G$24*12,$D$4,F6,F7,0)),0,-CUMIPMT(Assumptions!$G$25/12,Assumptions!$G$24*12,$D$4,F6,F7,0)))</f>
        <v>0</v>
      </c>
      <c r="G13" s="125">
        <f>IF(Assumptions!$G$25=0,IF(ISERROR(-CUMIPMT(0.00000000001/12,Assumptions!$G$24*12,$D$4,G6,G7,0)),0,-CUMIPMT(0.00000000001/12,Assumptions!$G$24*12,$D$4,G6,G7,0)),IF(ISERROR(-CUMIPMT(Assumptions!$G$25/12,Assumptions!$G$24*12,$D$4,G6,G7,0)),0,-CUMIPMT(Assumptions!$G$25/12,Assumptions!$G$24*12,$D$4,G6,G7,0)))</f>
        <v>0</v>
      </c>
      <c r="H13" s="125">
        <f>IF(Assumptions!$G$25=0,IF(ISERROR(-CUMIPMT(0.00000000001/12,Assumptions!$G$24*12,$D$4,H6,H7,0)),0,-CUMIPMT(0.00000000001/12,Assumptions!$G$24*12,$D$4,H6,H7,0)),IF(ISERROR(-CUMIPMT(Assumptions!$G$25/12,Assumptions!$G$24*12,$D$4,H6,H7,0)),0,-CUMIPMT(Assumptions!$G$25/12,Assumptions!$G$24*12,$D$4,H6,H7,0)))</f>
        <v>0</v>
      </c>
      <c r="I13" s="125">
        <f>IF(Assumptions!$G$25=0,IF(ISERROR(-CUMIPMT(0.00000000001/12,Assumptions!$G$24*12,$D$4,I6,I7,0)),0,-CUMIPMT(0.00000000001/12,Assumptions!$G$24*12,$D$4,I6,I7,0)),IF(ISERROR(-CUMIPMT(Assumptions!$G$25/12,Assumptions!$G$24*12,$D$4,I6,I7,0)),0,-CUMIPMT(Assumptions!$G$25/12,Assumptions!$G$24*12,$D$4,I6,I7,0)))</f>
        <v>0</v>
      </c>
      <c r="J13" s="125">
        <f>IF(Assumptions!$G$25=0,IF(ISERROR(-CUMIPMT(0.00000000001/12,Assumptions!$G$24*12,$D$4,J6,J7,0)),0,-CUMIPMT(0.00000000001/12,Assumptions!$G$24*12,$D$4,J6,J7,0)),IF(ISERROR(-CUMIPMT(Assumptions!$G$25/12,Assumptions!$G$24*12,$D$4,J6,J7,0)),0,-CUMIPMT(Assumptions!$G$25/12,Assumptions!$G$24*12,$D$4,J6,J7,0)))</f>
        <v>0</v>
      </c>
      <c r="K13" s="125">
        <f>IF(Assumptions!$G$25=0,IF(ISERROR(-CUMIPMT(0.00000000001/12,Assumptions!$G$24*12,$D$4,K6,K7,0)),0,-CUMIPMT(0.00000000001/12,Assumptions!$G$24*12,$D$4,K6,K7,0)),IF(ISERROR(-CUMIPMT(Assumptions!$G$25/12,Assumptions!$G$24*12,$D$4,K6,K7,0)),0,-CUMIPMT(Assumptions!$G$25/12,Assumptions!$G$24*12,$D$4,K6,K7,0)))</f>
        <v>0</v>
      </c>
      <c r="L13" s="125">
        <f>IF(Assumptions!$G$25=0,IF(ISERROR(-CUMIPMT(0.00000000001/12,Assumptions!$G$24*12,$D$4,L6,L7,0)),0,-CUMIPMT(0.00000000001/12,Assumptions!$G$24*12,$D$4,L6,L7,0)),IF(ISERROR(-CUMIPMT(Assumptions!$G$25/12,Assumptions!$G$24*12,$D$4,L6,L7,0)),0,-CUMIPMT(Assumptions!$G$25/12,Assumptions!$G$24*12,$D$4,L6,L7,0)))</f>
        <v>0</v>
      </c>
      <c r="M13" s="125">
        <f>IF(Assumptions!$G$25=0,IF(ISERROR(-CUMIPMT(0.00000000001/12,Assumptions!$G$24*12,$D$4,M6,M7,0)),0,-CUMIPMT(0.00000000001/12,Assumptions!$G$24*12,$D$4,M6,M7,0)),IF(ISERROR(-CUMIPMT(Assumptions!$G$25/12,Assumptions!$G$24*12,$D$4,M6,M7,0)),0,-CUMIPMT(Assumptions!$G$25/12,Assumptions!$G$24*12,$D$4,M6,M7,0)))</f>
        <v>0</v>
      </c>
      <c r="N13" s="125">
        <f>IF(Assumptions!$G$25=0,IF(ISERROR(-CUMIPMT(0.00000000001/12,Assumptions!$G$24*12,$D$4,N6,N7,0)),0,-CUMIPMT(0.00000000001/12,Assumptions!$G$24*12,$D$4,N6,N7,0)),IF(ISERROR(-CUMIPMT(Assumptions!$G$25/12,Assumptions!$G$24*12,$D$4,N6,N7,0)),0,-CUMIPMT(Assumptions!$G$25/12,Assumptions!$G$24*12,$D$4,N6,N7,0)))</f>
        <v>0</v>
      </c>
      <c r="O13" s="125">
        <f>IF(Assumptions!$G$25=0,IF(ISERROR(-CUMIPMT(0.00000000001/12,Assumptions!$G$24*12,$D$4,O6,O7,0)),0,-CUMIPMT(0.00000000001/12,Assumptions!$G$24*12,$D$4,O6,O7,0)),IF(ISERROR(-CUMIPMT(Assumptions!$G$25/12,Assumptions!$G$24*12,$D$4,O6,O7,0)),0,-CUMIPMT(Assumptions!$G$25/12,Assumptions!$G$24*12,$D$4,O6,O7,0)))</f>
        <v>0</v>
      </c>
      <c r="P13" s="123">
        <f t="shared" si="2"/>
        <v>0</v>
      </c>
    </row>
    <row r="14" spans="1:16" ht="15.75" x14ac:dyDescent="0.25">
      <c r="A14" s="237"/>
      <c r="B14" s="29" t="s">
        <v>0</v>
      </c>
      <c r="C14" s="24" t="s">
        <v>32</v>
      </c>
      <c r="D14" s="125">
        <f>-SUM(D12:D13)*Assumptions!L25</f>
        <v>0</v>
      </c>
      <c r="E14" s="125">
        <f>-SUM(E12:E13)*Assumptions!L26</f>
        <v>0</v>
      </c>
      <c r="F14" s="125">
        <f>-SUM(F12:F13)*Assumptions!L27</f>
        <v>0</v>
      </c>
      <c r="G14" s="125">
        <f>-SUM(G12:G13)*Assumptions!L28</f>
        <v>0</v>
      </c>
      <c r="H14" s="125">
        <f>-SUM(H12:H13)*Assumptions!L29</f>
        <v>0</v>
      </c>
      <c r="I14" s="125">
        <f>-SUM(I12:I13)*Assumptions!L30</f>
        <v>0</v>
      </c>
      <c r="J14" s="125">
        <f>-SUM(J12:J13)*Assumptions!L31</f>
        <v>0</v>
      </c>
      <c r="K14" s="125">
        <f>-SUM(K12:K13)*Assumptions!L32</f>
        <v>0</v>
      </c>
      <c r="L14" s="125">
        <f>-SUM(L12:L13)*Assumptions!L33</f>
        <v>0</v>
      </c>
      <c r="M14" s="125">
        <f>-SUM(M12:M13)*Assumptions!L34</f>
        <v>0</v>
      </c>
      <c r="N14" s="125">
        <f>-SUM(N12:N13)*Assumptions!L35</f>
        <v>0</v>
      </c>
      <c r="O14" s="125">
        <f>-SUM(O12:O13)*Assumptions!L36</f>
        <v>0</v>
      </c>
      <c r="P14" s="123">
        <f t="shared" si="2"/>
        <v>0</v>
      </c>
    </row>
    <row r="15" spans="1:16" ht="15.75" customHeight="1" x14ac:dyDescent="0.25">
      <c r="A15" s="237"/>
      <c r="B15" s="4" t="s">
        <v>9</v>
      </c>
      <c r="C15" s="24" t="s">
        <v>10</v>
      </c>
      <c r="D15" s="127">
        <f>IF(ISERROR(Assumptions!$G$30*Calc!B$134),0,Assumptions!$G$30*Calc!B$134)</f>
        <v>0</v>
      </c>
      <c r="E15" s="127">
        <f>IF(ISERROR(Assumptions!$G$30*Calc!C$134),0,Assumptions!$G$30*Calc!C$134)</f>
        <v>0</v>
      </c>
      <c r="F15" s="127">
        <f>IF(ISERROR(Assumptions!$G$30*Calc!D$134),0,Assumptions!$G$30*Calc!D$134)</f>
        <v>0</v>
      </c>
      <c r="G15" s="127">
        <f>IF(ISERROR(Assumptions!$G$30*Calc!E$134),0,Assumptions!$G$30*Calc!E$134)</f>
        <v>0</v>
      </c>
      <c r="H15" s="127">
        <f>IF(ISERROR(Assumptions!$G$30*Calc!F$134),0,Assumptions!$G$30*Calc!F$134)</f>
        <v>0</v>
      </c>
      <c r="I15" s="127">
        <f>IF(ISERROR(Assumptions!$G$30*Calc!G$134),0,Assumptions!$G$30*Calc!G$134)</f>
        <v>0</v>
      </c>
      <c r="J15" s="127">
        <f>IF(ISERROR(Assumptions!$G$30*Calc!H$134),0,Assumptions!$G$30*Calc!H$134)</f>
        <v>0</v>
      </c>
      <c r="K15" s="127">
        <f>IF(ISERROR(Assumptions!$G$30*Calc!I$134),0,Assumptions!$G$30*Calc!I$134)</f>
        <v>0</v>
      </c>
      <c r="L15" s="127">
        <f>IF(ISERROR(Assumptions!$G$30*Calc!J$134),0,Assumptions!$G$30*Calc!J$134)</f>
        <v>0</v>
      </c>
      <c r="M15" s="127">
        <f>IF(ISERROR(Assumptions!$G$30*Calc!K$134),0,Assumptions!$G$30*Calc!K$134)</f>
        <v>0</v>
      </c>
      <c r="N15" s="127">
        <f>IF(ISERROR(Assumptions!$G$30*Calc!L$134),0,Assumptions!$G$30*Calc!L$134)</f>
        <v>0</v>
      </c>
      <c r="O15" s="127">
        <f>IF(ISERROR(Assumptions!$G$30*Calc!M$134),0,Assumptions!$G$30*Calc!M$134)</f>
        <v>0</v>
      </c>
      <c r="P15" s="123">
        <f t="shared" si="2"/>
        <v>0</v>
      </c>
    </row>
    <row r="16" spans="1:16" ht="15.75" customHeight="1" x14ac:dyDescent="0.25">
      <c r="A16" s="237"/>
      <c r="B16" s="4" t="s">
        <v>11</v>
      </c>
      <c r="C16" s="24" t="s">
        <v>6</v>
      </c>
      <c r="D16" s="127">
        <f>+D247*Assumptions!J25</f>
        <v>1559.3625</v>
      </c>
      <c r="E16" s="125">
        <f>+D252*Assumptions!J26</f>
        <v>1454.0876458333335</v>
      </c>
      <c r="F16" s="125">
        <f>+E252*Assumptions!J27</f>
        <v>4629.0483681250007</v>
      </c>
      <c r="G16" s="125">
        <f>+F252*Assumptions!J28</f>
        <v>9279.1801767093766</v>
      </c>
      <c r="H16" s="125">
        <f>+G252*Assumptions!J29</f>
        <v>-8825.1043528933096</v>
      </c>
      <c r="I16" s="125">
        <f>+H252*Assumptions!J30</f>
        <v>-38924.552847190469</v>
      </c>
      <c r="J16" s="125">
        <f>+I252*Assumptions!J31</f>
        <v>-91804.906871447136</v>
      </c>
      <c r="K16" s="125">
        <f>+J252*Assumptions!J32</f>
        <v>-111637.9082619214</v>
      </c>
      <c r="L16" s="125">
        <f>+K252*Assumptions!J33</f>
        <v>-162446.13856491016</v>
      </c>
      <c r="M16" s="125">
        <f>+L252*Assumptions!J34</f>
        <v>-182604.6737010928</v>
      </c>
      <c r="N16" s="125">
        <f>+M252*Assumptions!J35</f>
        <v>-229619.69838354932</v>
      </c>
      <c r="O16" s="125">
        <f>+N252*Assumptions!J36</f>
        <v>-224234.42759537007</v>
      </c>
      <c r="P16" s="123">
        <f t="shared" si="2"/>
        <v>-1033175.731887707</v>
      </c>
    </row>
    <row r="17" spans="1:16" ht="15.75" customHeight="1" x14ac:dyDescent="0.25">
      <c r="B17" s="5"/>
      <c r="C17" s="24" t="s">
        <v>28</v>
      </c>
      <c r="D17" s="125">
        <f>SUM(D10:D16)</f>
        <v>262319.52916666667</v>
      </c>
      <c r="E17" s="126">
        <f t="shared" ref="E17:O17" si="3">SUM(E10:E16)</f>
        <v>653184.30764583335</v>
      </c>
      <c r="F17" s="126">
        <f t="shared" si="3"/>
        <v>675911.17496812507</v>
      </c>
      <c r="G17" s="126">
        <f t="shared" si="3"/>
        <v>700699.77057470952</v>
      </c>
      <c r="H17" s="126">
        <f t="shared" si="3"/>
        <v>703338.10375704675</v>
      </c>
      <c r="I17" s="126">
        <f t="shared" si="3"/>
        <v>694603.55150604784</v>
      </c>
      <c r="J17" s="126">
        <f t="shared" si="3"/>
        <v>663729.0406123884</v>
      </c>
      <c r="K17" s="126">
        <f t="shared" si="3"/>
        <v>666562.05764642905</v>
      </c>
      <c r="L17" s="126">
        <f t="shared" si="3"/>
        <v>639099.82632069092</v>
      </c>
      <c r="M17" s="126">
        <f t="shared" si="3"/>
        <v>642987.67013107636</v>
      </c>
      <c r="N17" s="126">
        <f t="shared" si="3"/>
        <v>620740.4157635849</v>
      </c>
      <c r="O17" s="126">
        <f t="shared" si="3"/>
        <v>651636.48997617816</v>
      </c>
      <c r="P17" s="123">
        <f t="shared" si="2"/>
        <v>7574811.9380687764</v>
      </c>
    </row>
    <row r="18" spans="1:16" ht="15" customHeight="1" x14ac:dyDescent="0.2">
      <c r="B18" s="8"/>
      <c r="C18" s="25"/>
      <c r="D18" s="6"/>
      <c r="E18" s="6"/>
      <c r="F18" s="6"/>
      <c r="G18" s="6"/>
      <c r="H18" s="6"/>
      <c r="I18" s="6"/>
      <c r="J18" s="6"/>
      <c r="K18" s="6"/>
      <c r="L18" s="6"/>
      <c r="M18" s="6"/>
      <c r="N18" s="6"/>
      <c r="O18" s="6"/>
      <c r="P18" s="6"/>
    </row>
    <row r="19" spans="1:16" ht="15" hidden="1" customHeight="1" x14ac:dyDescent="0.2">
      <c r="B19" s="8"/>
      <c r="C19" s="25"/>
      <c r="D19" s="6">
        <f>+D5</f>
        <v>0</v>
      </c>
      <c r="E19" s="6">
        <f t="shared" ref="E19:O19" si="4">+E5</f>
        <v>1</v>
      </c>
      <c r="F19" s="6">
        <f t="shared" si="4"/>
        <v>2</v>
      </c>
      <c r="G19" s="6">
        <f t="shared" si="4"/>
        <v>3</v>
      </c>
      <c r="H19" s="6">
        <f t="shared" si="4"/>
        <v>4</v>
      </c>
      <c r="I19" s="6">
        <f t="shared" si="4"/>
        <v>5</v>
      </c>
      <c r="J19" s="6">
        <f t="shared" si="4"/>
        <v>6</v>
      </c>
      <c r="K19" s="6">
        <f t="shared" si="4"/>
        <v>7</v>
      </c>
      <c r="L19" s="6">
        <f t="shared" si="4"/>
        <v>8</v>
      </c>
      <c r="M19" s="6">
        <f t="shared" si="4"/>
        <v>9</v>
      </c>
      <c r="N19" s="6">
        <f t="shared" si="4"/>
        <v>10</v>
      </c>
      <c r="O19" s="6">
        <f t="shared" si="4"/>
        <v>11</v>
      </c>
      <c r="P19" s="6"/>
    </row>
    <row r="20" spans="1:16" ht="15" hidden="1" customHeight="1" x14ac:dyDescent="0.2">
      <c r="B20" s="8"/>
      <c r="C20" s="25"/>
      <c r="D20" s="6">
        <f>IF(YEAR(Assumptions!G32)&gt;LEFT(D9,4)*1,0,1)</f>
        <v>1</v>
      </c>
      <c r="E20" s="6">
        <f>+D21+1</f>
        <v>1389</v>
      </c>
      <c r="F20" s="6">
        <f t="shared" ref="F20:O20" si="5">+E21+1</f>
        <v>1</v>
      </c>
      <c r="G20" s="6">
        <f t="shared" si="5"/>
        <v>1</v>
      </c>
      <c r="H20" s="6">
        <f t="shared" si="5"/>
        <v>1</v>
      </c>
      <c r="I20" s="6">
        <f t="shared" si="5"/>
        <v>1</v>
      </c>
      <c r="J20" s="6">
        <f t="shared" si="5"/>
        <v>1</v>
      </c>
      <c r="K20" s="6">
        <f t="shared" si="5"/>
        <v>1</v>
      </c>
      <c r="L20" s="6">
        <f t="shared" si="5"/>
        <v>1</v>
      </c>
      <c r="M20" s="6">
        <f t="shared" si="5"/>
        <v>1</v>
      </c>
      <c r="N20" s="6">
        <f t="shared" si="5"/>
        <v>1</v>
      </c>
      <c r="O20" s="6">
        <f t="shared" si="5"/>
        <v>1</v>
      </c>
      <c r="P20" s="6"/>
    </row>
    <row r="21" spans="1:16" ht="15" hidden="1" customHeight="1" x14ac:dyDescent="0.2">
      <c r="B21" s="8"/>
      <c r="C21" s="25"/>
      <c r="D21" s="6">
        <f>IF(D20=0,0,ROUND(((IF(YEAR(Assumptions!D8)&lt;YEAR(Assumptions!G32),(Assumptions!D8+365)-Assumptions!G32,Assumptions!D8-Assumptions!G32))/30),0))</f>
        <v>1388</v>
      </c>
      <c r="E21" s="6">
        <f>IF(D21=0,ROUND(((IF(YEAR(Assumptions!D8)&lt;YEAR(Assumptions!G32),(Assumptions!D8+365)-Assumptions!G32,Assumptions!D8-Assumptions!G32))/30),0),IF(Assumptions!$G$36*12&gt;D21+12,D21+12,Assumptions!$G$36*12))</f>
        <v>0</v>
      </c>
      <c r="F21" s="6">
        <f>IF(Assumptions!$G$36*12&gt;E21+12,E21+12,Assumptions!$G$36*12)</f>
        <v>0</v>
      </c>
      <c r="G21" s="6">
        <f>IF(Assumptions!$G$36*12&gt;F21+12,F21+12,Assumptions!$G$36*12)</f>
        <v>0</v>
      </c>
      <c r="H21" s="6">
        <f>IF(Assumptions!$G$36*12&gt;G21+12,G21+12,Assumptions!$G$36*12)</f>
        <v>0</v>
      </c>
      <c r="I21" s="6">
        <f>IF(Assumptions!$G$36*12&gt;H21+12,H21+12,Assumptions!$G$36*12)</f>
        <v>0</v>
      </c>
      <c r="J21" s="6">
        <f>IF(Assumptions!$G$36*12&gt;I21+12,I21+12,Assumptions!$G$36*12)</f>
        <v>0</v>
      </c>
      <c r="K21" s="6">
        <f>IF(Assumptions!$G$36*12&gt;J21+12,J21+12,Assumptions!$G$36*12)</f>
        <v>0</v>
      </c>
      <c r="L21" s="6">
        <f>IF(Assumptions!$G$36*12&gt;K21+12,K21+12,Assumptions!$G$36*12)</f>
        <v>0</v>
      </c>
      <c r="M21" s="6">
        <f>IF(Assumptions!$G$36*12&gt;L21+12,L21+12,Assumptions!$G$36*12)</f>
        <v>0</v>
      </c>
      <c r="N21" s="6">
        <f>IF(Assumptions!$G$36*12&gt;M21+12,M21+12,Assumptions!$G$36*12)</f>
        <v>0</v>
      </c>
      <c r="O21" s="6">
        <f>IF(Assumptions!$G$36*12&gt;N21+12,N21+12,Assumptions!$G$36*12)</f>
        <v>0</v>
      </c>
      <c r="P21" s="6"/>
    </row>
    <row r="22" spans="1:16" ht="18" customHeight="1" x14ac:dyDescent="0.25">
      <c r="B22" s="155"/>
      <c r="C22" s="26"/>
      <c r="D22" s="155"/>
      <c r="E22" s="155"/>
      <c r="F22" s="155"/>
      <c r="G22" s="155"/>
      <c r="H22" s="155"/>
      <c r="I22" s="155"/>
      <c r="J22" s="155"/>
      <c r="K22" s="155"/>
      <c r="L22" s="155"/>
      <c r="M22" s="155"/>
      <c r="N22" s="155"/>
      <c r="O22" s="155"/>
      <c r="P22" s="155"/>
    </row>
    <row r="23" spans="1:16" ht="15.75" customHeight="1" x14ac:dyDescent="0.25">
      <c r="A23" s="238" t="s">
        <v>12</v>
      </c>
      <c r="B23" s="2" t="s">
        <v>2</v>
      </c>
      <c r="C23" s="23" t="s">
        <v>3</v>
      </c>
      <c r="D23" s="3" t="str">
        <f>+D9</f>
        <v>2013 Budget</v>
      </c>
      <c r="E23" s="3">
        <f t="shared" ref="E23:M23" si="6">+E9</f>
        <v>2014</v>
      </c>
      <c r="F23" s="3">
        <f t="shared" si="6"/>
        <v>2015</v>
      </c>
      <c r="G23" s="3">
        <f t="shared" si="6"/>
        <v>2016</v>
      </c>
      <c r="H23" s="3">
        <f t="shared" si="6"/>
        <v>2017</v>
      </c>
      <c r="I23" s="3">
        <f t="shared" si="6"/>
        <v>2018</v>
      </c>
      <c r="J23" s="3">
        <f t="shared" si="6"/>
        <v>2019</v>
      </c>
      <c r="K23" s="3">
        <f t="shared" si="6"/>
        <v>2020</v>
      </c>
      <c r="L23" s="3">
        <f t="shared" si="6"/>
        <v>2021</v>
      </c>
      <c r="M23" s="3">
        <f t="shared" si="6"/>
        <v>2022</v>
      </c>
      <c r="N23" s="3">
        <f>+M23+1</f>
        <v>2023</v>
      </c>
      <c r="O23" s="3">
        <f>+N23+1</f>
        <v>2024</v>
      </c>
      <c r="P23" s="3" t="s">
        <v>23</v>
      </c>
    </row>
    <row r="24" spans="1:16" ht="15.75" customHeight="1" x14ac:dyDescent="0.25">
      <c r="A24" s="239"/>
      <c r="B24" s="4" t="str">
        <f>IF('Option 1'!B24="","",'Option 1'!B24)</f>
        <v/>
      </c>
      <c r="C24" s="3" t="str">
        <f>IF('Option 1'!C24="","",'Option 1'!C24)</f>
        <v>Sitework Elements</v>
      </c>
      <c r="D24" s="183" t="str">
        <f>IF('Option 1'!D24="","",'Option 1'!D24)</f>
        <v/>
      </c>
      <c r="E24" s="184" t="str">
        <f>IF('Option 1'!E24="","",'Option 1'!E24)</f>
        <v/>
      </c>
      <c r="F24" s="184" t="str">
        <f>IF('Option 1'!F24="","",'Option 1'!F24)</f>
        <v/>
      </c>
      <c r="G24" s="184" t="str">
        <f>IF('Option 1'!G24="","",'Option 1'!G24)</f>
        <v/>
      </c>
      <c r="H24" s="184" t="str">
        <f>IF('Option 1'!H24="","",'Option 1'!H24)</f>
        <v/>
      </c>
      <c r="I24" s="184" t="str">
        <f>IF('Option 1'!I24="","",'Option 1'!I24)</f>
        <v/>
      </c>
      <c r="J24" s="184" t="str">
        <f>IF('Option 1'!J24="","",'Option 1'!J24)</f>
        <v/>
      </c>
      <c r="K24" s="184" t="str">
        <f>IF('Option 1'!K24="","",'Option 1'!K24)</f>
        <v/>
      </c>
      <c r="L24" s="184" t="str">
        <f>IF('Option 1'!L24="","",'Option 1'!L24)</f>
        <v/>
      </c>
      <c r="M24" s="184" t="str">
        <f>IF('Option 1'!M24="","",'Option 1'!M24)</f>
        <v/>
      </c>
      <c r="N24" s="184" t="str">
        <f>IF('Option 1'!N24="","",'Option 1'!N24)</f>
        <v/>
      </c>
      <c r="O24" s="184" t="str">
        <f>IF('Option 1'!O24="","",'Option 1'!O24)</f>
        <v/>
      </c>
      <c r="P24" s="124">
        <f t="shared" ref="P24" si="7">IF(SUM(D24:O24)=0,0,SUM(D24:O24))</f>
        <v>0</v>
      </c>
    </row>
    <row r="25" spans="1:16" ht="15.75" customHeight="1" x14ac:dyDescent="0.25">
      <c r="A25" s="239"/>
      <c r="B25" s="4" t="str">
        <f>IF('Option 1'!B25="","",'Option 1'!B25)</f>
        <v/>
      </c>
      <c r="C25" s="182" t="str">
        <f>IF('Option 1'!C25="","",'Option 1'!C25)</f>
        <v>East Entry Street Asphalt Pavement</v>
      </c>
      <c r="D25" s="183" t="str">
        <f>IF('Option 1'!D25="","",'Option 1'!D25)</f>
        <v/>
      </c>
      <c r="E25" s="184" t="str">
        <f>IF('Option 1'!E25="","",'Option 1'!E25)</f>
        <v/>
      </c>
      <c r="F25" s="184" t="str">
        <f>IF('Option 1'!F25="","",'Option 1'!F25)</f>
        <v/>
      </c>
      <c r="G25" s="184" t="str">
        <f>IF('Option 1'!G25="","",'Option 1'!G25)</f>
        <v/>
      </c>
      <c r="H25" s="184" t="str">
        <f>IF('Option 1'!H25="","",'Option 1'!H25)</f>
        <v/>
      </c>
      <c r="I25" s="184" t="str">
        <f>IF('Option 1'!I25="","",'Option 1'!I25)</f>
        <v/>
      </c>
      <c r="J25" s="184" t="str">
        <f>IF('Option 1'!J25="","",'Option 1'!J25)</f>
        <v/>
      </c>
      <c r="K25" s="184" t="str">
        <f>IF('Option 1'!K25="","",'Option 1'!K25)</f>
        <v/>
      </c>
      <c r="L25" s="184" t="str">
        <f>IF('Option 1'!L25="","",'Option 1'!L25)</f>
        <v/>
      </c>
      <c r="M25" s="184" t="str">
        <f>IF('Option 1'!M25="","",'Option 1'!M25)</f>
        <v/>
      </c>
      <c r="N25" s="184" t="str">
        <f>IF('Option 1'!N25="","",'Option 1'!N25)</f>
        <v/>
      </c>
      <c r="O25" s="184" t="str">
        <f>IF('Option 1'!O25="","",'Option 1'!O25)</f>
        <v/>
      </c>
      <c r="P25" s="124">
        <f t="shared" ref="P25:P88" si="8">IF(SUM(D25:O25)=0,0,SUM(D25:O25))</f>
        <v>0</v>
      </c>
    </row>
    <row r="26" spans="1:16" ht="15.75" customHeight="1" x14ac:dyDescent="0.25">
      <c r="A26" s="239"/>
      <c r="B26" s="4" t="str">
        <f>IF('Option 1'!B26="","",'Option 1'!B26)</f>
        <v/>
      </c>
      <c r="C26" s="182" t="str">
        <f>IF('Option 1'!C26="","",'Option 1'!C26)</f>
        <v>East Entry Street Asphalt Sealcoating</v>
      </c>
      <c r="D26" s="185" t="str">
        <f>IF('Option 1'!D26="","",'Option 1'!D26)</f>
        <v/>
      </c>
      <c r="E26" s="184" t="str">
        <f>IF('Option 1'!E26="","",'Option 1'!E26)</f>
        <v/>
      </c>
      <c r="F26" s="184" t="str">
        <f>IF('Option 1'!F26="","",'Option 1'!F26)</f>
        <v/>
      </c>
      <c r="G26" s="184" t="str">
        <f>IF('Option 1'!G26="","",'Option 1'!G26)</f>
        <v/>
      </c>
      <c r="H26" s="184" t="str">
        <f>IF('Option 1'!H26="","",'Option 1'!H26)</f>
        <v/>
      </c>
      <c r="I26" s="184" t="str">
        <f>IF('Option 1'!I26="","",'Option 1'!I26)</f>
        <v/>
      </c>
      <c r="J26" s="184" t="str">
        <f>IF('Option 1'!J26="","",'Option 1'!J26)</f>
        <v/>
      </c>
      <c r="K26" s="184" t="str">
        <f>IF('Option 1'!K26="","",'Option 1'!K26)</f>
        <v/>
      </c>
      <c r="L26" s="184" t="str">
        <f>IF('Option 1'!L26="","",'Option 1'!L26)</f>
        <v/>
      </c>
      <c r="M26" s="184" t="str">
        <f>IF('Option 1'!M26="","",'Option 1'!M26)</f>
        <v/>
      </c>
      <c r="N26" s="184" t="str">
        <f>IF('Option 1'!N26="","",'Option 1'!N26)</f>
        <v/>
      </c>
      <c r="O26" s="184" t="str">
        <f>IF('Option 1'!O26="","",'Option 1'!O26)</f>
        <v/>
      </c>
      <c r="P26" s="124">
        <f t="shared" si="8"/>
        <v>0</v>
      </c>
    </row>
    <row r="27" spans="1:16" ht="15.75" customHeight="1" x14ac:dyDescent="0.25">
      <c r="A27" s="239"/>
      <c r="B27" s="4" t="str">
        <f>IF('Option 1'!B27="","",'Option 1'!B27)</f>
        <v/>
      </c>
      <c r="C27" s="182" t="str">
        <f>IF('Option 1'!C27="","",'Option 1'!C27)</f>
        <v>West Entry Street Asphalt Pavement</v>
      </c>
      <c r="D27" s="185" t="str">
        <f>IF('Option 1'!D27="","",'Option 1'!D27)</f>
        <v/>
      </c>
      <c r="E27" s="184" t="str">
        <f>IF('Option 1'!E27="","",'Option 1'!E27)</f>
        <v/>
      </c>
      <c r="F27" s="184" t="str">
        <f>IF('Option 1'!F27="","",'Option 1'!F27)</f>
        <v/>
      </c>
      <c r="G27" s="184" t="str">
        <f>IF('Option 1'!G27="","",'Option 1'!G27)</f>
        <v/>
      </c>
      <c r="H27" s="184" t="str">
        <f>IF('Option 1'!H27="","",'Option 1'!H27)</f>
        <v/>
      </c>
      <c r="I27" s="184" t="str">
        <f>IF('Option 1'!I27="","",'Option 1'!I27)</f>
        <v/>
      </c>
      <c r="J27" s="184" t="str">
        <f>IF('Option 1'!J27="","",'Option 1'!J27)</f>
        <v/>
      </c>
      <c r="K27" s="184" t="str">
        <f>IF('Option 1'!K27="","",'Option 1'!K27)</f>
        <v/>
      </c>
      <c r="L27" s="184" t="str">
        <f>IF('Option 1'!L27="","",'Option 1'!L27)</f>
        <v/>
      </c>
      <c r="M27" s="184" t="str">
        <f>IF('Option 1'!M27="","",'Option 1'!M27)</f>
        <v/>
      </c>
      <c r="N27" s="184" t="str">
        <f>IF('Option 1'!N27="","",'Option 1'!N27)</f>
        <v/>
      </c>
      <c r="O27" s="184" t="str">
        <f>IF('Option 1'!O27="","",'Option 1'!O27)</f>
        <v/>
      </c>
      <c r="P27" s="124">
        <f t="shared" si="8"/>
        <v>0</v>
      </c>
    </row>
    <row r="28" spans="1:16" ht="15.75" customHeight="1" x14ac:dyDescent="0.25">
      <c r="A28" s="239"/>
      <c r="B28" s="4" t="str">
        <f>IF('Option 1'!B28="","",'Option 1'!B28)</f>
        <v/>
      </c>
      <c r="C28" s="182" t="str">
        <f>IF('Option 1'!C28="","",'Option 1'!C28)</f>
        <v>West Entry Street Asphalt Sealcoating</v>
      </c>
      <c r="D28" s="185" t="str">
        <f>IF('Option 1'!D28="","",'Option 1'!D28)</f>
        <v/>
      </c>
      <c r="E28" s="184" t="str">
        <f>IF('Option 1'!E28="","",'Option 1'!E28)</f>
        <v/>
      </c>
      <c r="F28" s="184" t="str">
        <f>IF('Option 1'!F28="","",'Option 1'!F28)</f>
        <v/>
      </c>
      <c r="G28" s="184" t="str">
        <f>IF('Option 1'!G28="","",'Option 1'!G28)</f>
        <v/>
      </c>
      <c r="H28" s="184" t="str">
        <f>IF('Option 1'!H28="","",'Option 1'!H28)</f>
        <v/>
      </c>
      <c r="I28" s="184" t="str">
        <f>IF('Option 1'!I28="","",'Option 1'!I28)</f>
        <v/>
      </c>
      <c r="J28" s="184" t="str">
        <f>IF('Option 1'!J28="","",'Option 1'!J28)</f>
        <v/>
      </c>
      <c r="K28" s="184" t="str">
        <f>IF('Option 1'!K28="","",'Option 1'!K28)</f>
        <v/>
      </c>
      <c r="L28" s="184" t="str">
        <f>IF('Option 1'!L28="","",'Option 1'!L28)</f>
        <v/>
      </c>
      <c r="M28" s="184" t="str">
        <f>IF('Option 1'!M28="","",'Option 1'!M28)</f>
        <v/>
      </c>
      <c r="N28" s="184" t="str">
        <f>IF('Option 1'!N28="","",'Option 1'!N28)</f>
        <v/>
      </c>
      <c r="O28" s="184" t="str">
        <f>IF('Option 1'!O28="","",'Option 1'!O28)</f>
        <v/>
      </c>
      <c r="P28" s="124">
        <f t="shared" si="8"/>
        <v>0</v>
      </c>
    </row>
    <row r="29" spans="1:16" ht="15.75" customHeight="1" x14ac:dyDescent="0.25">
      <c r="A29" s="239"/>
      <c r="B29" s="4" t="str">
        <f>IF('Option 1'!B29="","",'Option 1'!B29)</f>
        <v/>
      </c>
      <c r="C29" s="182" t="str">
        <f>IF('Option 1'!C29="","",'Option 1'!C29)</f>
        <v>East, South, &amp; West Central Road Pavement</v>
      </c>
      <c r="D29" s="185" t="str">
        <f>IF('Option 1'!D29="","",'Option 1'!D29)</f>
        <v/>
      </c>
      <c r="E29" s="184" t="str">
        <f>IF('Option 1'!E29="","",'Option 1'!E29)</f>
        <v/>
      </c>
      <c r="F29" s="184" t="str">
        <f>IF('Option 1'!F29="","",'Option 1'!F29)</f>
        <v/>
      </c>
      <c r="G29" s="184" t="str">
        <f>IF('Option 1'!G29="","",'Option 1'!G29)</f>
        <v/>
      </c>
      <c r="H29" s="184" t="str">
        <f>IF('Option 1'!H29="","",'Option 1'!H29)</f>
        <v/>
      </c>
      <c r="I29" s="184" t="str">
        <f>IF('Option 1'!I29="","",'Option 1'!I29)</f>
        <v/>
      </c>
      <c r="J29" s="184" t="str">
        <f>IF('Option 1'!J29="","",'Option 1'!J29)</f>
        <v/>
      </c>
      <c r="K29" s="184" t="str">
        <f>IF('Option 1'!K29="","",'Option 1'!K29)</f>
        <v/>
      </c>
      <c r="L29" s="184" t="str">
        <f>IF('Option 1'!L29="","",'Option 1'!L29)</f>
        <v/>
      </c>
      <c r="M29" s="184" t="str">
        <f>IF('Option 1'!M29="","",'Option 1'!M29)</f>
        <v/>
      </c>
      <c r="N29" s="184" t="str">
        <f>IF('Option 1'!N29="","",'Option 1'!N29)</f>
        <v/>
      </c>
      <c r="O29" s="184" t="str">
        <f>IF('Option 1'!O29="","",'Option 1'!O29)</f>
        <v/>
      </c>
      <c r="P29" s="124">
        <f t="shared" si="8"/>
        <v>0</v>
      </c>
    </row>
    <row r="30" spans="1:16" ht="15.75" customHeight="1" x14ac:dyDescent="0.25">
      <c r="A30" s="239"/>
      <c r="B30" s="4" t="str">
        <f>IF('Option 1'!B30="","",'Option 1'!B30)</f>
        <v/>
      </c>
      <c r="C30" s="182" t="str">
        <f>IF('Option 1'!C30="","",'Option 1'!C30)</f>
        <v>East, South, &amp; West Central Road Sealcoating</v>
      </c>
      <c r="D30" s="185" t="str">
        <f>IF('Option 1'!D30="","",'Option 1'!D30)</f>
        <v/>
      </c>
      <c r="E30" s="184" t="str">
        <f>IF('Option 1'!E30="","",'Option 1'!E30)</f>
        <v/>
      </c>
      <c r="F30" s="184" t="str">
        <f>IF('Option 1'!F30="","",'Option 1'!F30)</f>
        <v/>
      </c>
      <c r="G30" s="184" t="str">
        <f>IF('Option 1'!G30="","",'Option 1'!G30)</f>
        <v/>
      </c>
      <c r="H30" s="184" t="str">
        <f>IF('Option 1'!H30="","",'Option 1'!H30)</f>
        <v/>
      </c>
      <c r="I30" s="184" t="str">
        <f>IF('Option 1'!I30="","",'Option 1'!I30)</f>
        <v/>
      </c>
      <c r="J30" s="184" t="str">
        <f>IF('Option 1'!J30="","",'Option 1'!J30)</f>
        <v/>
      </c>
      <c r="K30" s="184" t="str">
        <f>IF('Option 1'!K30="","",'Option 1'!K30)</f>
        <v/>
      </c>
      <c r="L30" s="184" t="str">
        <f>IF('Option 1'!L30="","",'Option 1'!L30)</f>
        <v/>
      </c>
      <c r="M30" s="184" t="str">
        <f>IF('Option 1'!M30="","",'Option 1'!M30)</f>
        <v/>
      </c>
      <c r="N30" s="184" t="str">
        <f>IF('Option 1'!N30="","",'Option 1'!N30)</f>
        <v/>
      </c>
      <c r="O30" s="184" t="str">
        <f>IF('Option 1'!O30="","",'Option 1'!O30)</f>
        <v/>
      </c>
      <c r="P30" s="124">
        <f t="shared" si="8"/>
        <v>0</v>
      </c>
    </row>
    <row r="31" spans="1:16" ht="15.75" customHeight="1" x14ac:dyDescent="0.25">
      <c r="A31" s="239"/>
      <c r="B31" s="4" t="str">
        <f>IF('Option 1'!B31="","",'Option 1'!B31)</f>
        <v/>
      </c>
      <c r="C31" s="182" t="str">
        <f>IF('Option 1'!C31="","",'Option 1'!C31)</f>
        <v>Asphalt Fire Lane Pavement (Grind and Resurface)</v>
      </c>
      <c r="D31" s="185" t="str">
        <f>IF('Option 1'!D31="","",'Option 1'!D31)</f>
        <v/>
      </c>
      <c r="E31" s="184" t="str">
        <f>IF('Option 1'!E31="","",'Option 1'!E31)</f>
        <v/>
      </c>
      <c r="F31" s="184" t="str">
        <f>IF('Option 1'!F31="","",'Option 1'!F31)</f>
        <v/>
      </c>
      <c r="G31" s="184" t="str">
        <f>IF('Option 1'!G31="","",'Option 1'!G31)</f>
        <v/>
      </c>
      <c r="H31" s="184" t="str">
        <f>IF('Option 1'!H31="","",'Option 1'!H31)</f>
        <v/>
      </c>
      <c r="I31" s="184">
        <f>IF('Option 1'!I31="","",'Option 1'!I31)</f>
        <v>1023820</v>
      </c>
      <c r="J31" s="184" t="str">
        <f>IF('Option 1'!J31="","",'Option 1'!J31)</f>
        <v/>
      </c>
      <c r="K31" s="184" t="str">
        <f>IF('Option 1'!K31="","",'Option 1'!K31)</f>
        <v/>
      </c>
      <c r="L31" s="184" t="str">
        <f>IF('Option 1'!L31="","",'Option 1'!L31)</f>
        <v/>
      </c>
      <c r="M31" s="184" t="str">
        <f>IF('Option 1'!M31="","",'Option 1'!M31)</f>
        <v/>
      </c>
      <c r="N31" s="184" t="str">
        <f>IF('Option 1'!N31="","",'Option 1'!N31)</f>
        <v/>
      </c>
      <c r="O31" s="184" t="str">
        <f>IF('Option 1'!O31="","",'Option 1'!O31)</f>
        <v/>
      </c>
      <c r="P31" s="124">
        <f t="shared" si="8"/>
        <v>1023820</v>
      </c>
    </row>
    <row r="32" spans="1:16" ht="15.75" customHeight="1" x14ac:dyDescent="0.25">
      <c r="A32" s="239"/>
      <c r="B32" s="4" t="str">
        <f>IF('Option 1'!B32="","",'Option 1'!B32)</f>
        <v/>
      </c>
      <c r="C32" s="182" t="str">
        <f>IF('Option 1'!C32="","",'Option 1'!C32)</f>
        <v>Asphalt Fire Lane Pavement Sealcoating</v>
      </c>
      <c r="D32" s="185" t="str">
        <f>IF('Option 1'!D32="","",'Option 1'!D32)</f>
        <v/>
      </c>
      <c r="E32" s="184" t="str">
        <f>IF('Option 1'!E32="","",'Option 1'!E32)</f>
        <v/>
      </c>
      <c r="F32" s="184" t="str">
        <f>IF('Option 1'!F32="","",'Option 1'!F32)</f>
        <v/>
      </c>
      <c r="G32" s="184" t="str">
        <f>IF('Option 1'!G32="","",'Option 1'!G32)</f>
        <v/>
      </c>
      <c r="H32" s="184" t="str">
        <f>IF('Option 1'!H32="","",'Option 1'!H32)</f>
        <v/>
      </c>
      <c r="I32" s="184" t="str">
        <f>IF('Option 1'!I32="","",'Option 1'!I32)</f>
        <v/>
      </c>
      <c r="J32" s="184" t="str">
        <f>IF('Option 1'!J32="","",'Option 1'!J32)</f>
        <v/>
      </c>
      <c r="K32" s="184">
        <f>IF('Option 1'!K32="","",'Option 1'!K32)</f>
        <v>46150</v>
      </c>
      <c r="L32" s="184" t="str">
        <f>IF('Option 1'!L32="","",'Option 1'!L32)</f>
        <v/>
      </c>
      <c r="M32" s="184" t="str">
        <f>IF('Option 1'!M32="","",'Option 1'!M32)</f>
        <v/>
      </c>
      <c r="N32" s="184" t="str">
        <f>IF('Option 1'!N32="","",'Option 1'!N32)</f>
        <v/>
      </c>
      <c r="O32" s="184" t="str">
        <f>IF('Option 1'!O32="","",'Option 1'!O32)</f>
        <v/>
      </c>
      <c r="P32" s="124">
        <f t="shared" si="8"/>
        <v>46150</v>
      </c>
    </row>
    <row r="33" spans="1:16" ht="15.75" customHeight="1" x14ac:dyDescent="0.25">
      <c r="A33" s="239"/>
      <c r="B33" s="4" t="str">
        <f>IF('Option 1'!B33="","",'Option 1'!B33)</f>
        <v/>
      </c>
      <c r="C33" s="182" t="str">
        <f>IF('Option 1'!C33="","",'Option 1'!C33)</f>
        <v>Asphalt Parking Lot Pavement</v>
      </c>
      <c r="D33" s="185" t="str">
        <f>IF('Option 1'!D33="","",'Option 1'!D33)</f>
        <v/>
      </c>
      <c r="E33" s="184">
        <f>IF('Option 1'!E33="","",'Option 1'!E33)</f>
        <v>120000</v>
      </c>
      <c r="F33" s="184" t="str">
        <f>IF('Option 1'!F33="","",'Option 1'!F33)</f>
        <v/>
      </c>
      <c r="G33" s="184" t="str">
        <f>IF('Option 1'!G33="","",'Option 1'!G33)</f>
        <v/>
      </c>
      <c r="H33" s="184" t="str">
        <f>IF('Option 1'!H33="","",'Option 1'!H33)</f>
        <v/>
      </c>
      <c r="I33" s="184" t="str">
        <f>IF('Option 1'!I33="","",'Option 1'!I33)</f>
        <v/>
      </c>
      <c r="J33" s="184">
        <f>IF('Option 1'!J33="","",'Option 1'!J33)</f>
        <v>384660</v>
      </c>
      <c r="K33" s="184">
        <f>IF('Option 1'!K33="","",'Option 1'!K33)</f>
        <v>571410</v>
      </c>
      <c r="L33" s="184">
        <f>IF('Option 1'!L33="","",'Option 1'!L33)</f>
        <v>134413</v>
      </c>
      <c r="M33" s="184">
        <f>IF('Option 1'!M33="","",'Option 1'!M33)</f>
        <v>457398</v>
      </c>
      <c r="N33" s="184">
        <f>IF('Option 1'!N33="","",'Option 1'!N33)</f>
        <v>0</v>
      </c>
      <c r="O33" s="184" t="str">
        <f>IF('Option 1'!O33="","",'Option 1'!O33)</f>
        <v/>
      </c>
      <c r="P33" s="124">
        <f t="shared" si="8"/>
        <v>1667881</v>
      </c>
    </row>
    <row r="34" spans="1:16" ht="15.75" customHeight="1" x14ac:dyDescent="0.25">
      <c r="A34" s="239"/>
      <c r="B34" s="4" t="str">
        <f>IF('Option 1'!B34="","",'Option 1'!B34)</f>
        <v/>
      </c>
      <c r="C34" s="182" t="str">
        <f>IF('Option 1'!C34="","",'Option 1'!C34)</f>
        <v>Asphalt Parking Lot Sealcoating</v>
      </c>
      <c r="D34" s="185" t="str">
        <f>IF('Option 1'!D34="","",'Option 1'!D34)</f>
        <v/>
      </c>
      <c r="E34" s="184" t="str">
        <f>IF('Option 1'!E34="","",'Option 1'!E34)</f>
        <v/>
      </c>
      <c r="F34" s="184" t="str">
        <f>IF('Option 1'!F34="","",'Option 1'!F34)</f>
        <v/>
      </c>
      <c r="G34" s="184" t="str">
        <f>IF('Option 1'!G34="","",'Option 1'!G34)</f>
        <v/>
      </c>
      <c r="H34" s="184" t="str">
        <f>IF('Option 1'!H34="","",'Option 1'!H34)</f>
        <v/>
      </c>
      <c r="I34" s="184" t="str">
        <f>IF('Option 1'!I34="","",'Option 1'!I34)</f>
        <v/>
      </c>
      <c r="J34" s="184" t="str">
        <f>IF('Option 1'!J34="","",'Option 1'!J34)</f>
        <v/>
      </c>
      <c r="K34" s="184" t="str">
        <f>IF('Option 1'!K34="","",'Option 1'!K34)</f>
        <v/>
      </c>
      <c r="L34" s="184" t="str">
        <f>IF('Option 1'!L34="","",'Option 1'!L34)</f>
        <v/>
      </c>
      <c r="M34" s="184" t="str">
        <f>IF('Option 1'!M34="","",'Option 1'!M34)</f>
        <v/>
      </c>
      <c r="N34" s="184" t="str">
        <f>IF('Option 1'!N34="","",'Option 1'!N34)</f>
        <v/>
      </c>
      <c r="O34" s="184" t="str">
        <f>IF('Option 1'!O34="","",'Option 1'!O34)</f>
        <v/>
      </c>
      <c r="P34" s="124">
        <f t="shared" si="8"/>
        <v>0</v>
      </c>
    </row>
    <row r="35" spans="1:16" ht="15.75" customHeight="1" x14ac:dyDescent="0.25">
      <c r="A35" s="239"/>
      <c r="B35" s="4" t="str">
        <f>IF('Option 1'!B35="","",'Option 1'!B35)</f>
        <v/>
      </c>
      <c r="C35" s="182" t="str">
        <f>IF('Option 1'!C35="","",'Option 1'!C35)</f>
        <v>Ramp Asphalt Pavement (Grind and Resurface)</v>
      </c>
      <c r="D35" s="183" t="str">
        <f>IF('Option 1'!D35="","",'Option 1'!D35)</f>
        <v/>
      </c>
      <c r="E35" s="184" t="str">
        <f>IF('Option 1'!E35="","",'Option 1'!E35)</f>
        <v/>
      </c>
      <c r="F35" s="184" t="str">
        <f>IF('Option 1'!F35="","",'Option 1'!F35)</f>
        <v/>
      </c>
      <c r="G35" s="184" t="str">
        <f>IF('Option 1'!G35="","",'Option 1'!G35)</f>
        <v/>
      </c>
      <c r="H35" s="184" t="str">
        <f>IF('Option 1'!H35="","",'Option 1'!H35)</f>
        <v/>
      </c>
      <c r="I35" s="184" t="str">
        <f>IF('Option 1'!I35="","",'Option 1'!I35)</f>
        <v/>
      </c>
      <c r="J35" s="184">
        <f>IF('Option 1'!J35="","",'Option 1'!J35)</f>
        <v>50460</v>
      </c>
      <c r="K35" s="184" t="str">
        <f>IF('Option 1'!K35="","",'Option 1'!K35)</f>
        <v/>
      </c>
      <c r="L35" s="184" t="str">
        <f>IF('Option 1'!L35="","",'Option 1'!L35)</f>
        <v/>
      </c>
      <c r="M35" s="184" t="str">
        <f>IF('Option 1'!M35="","",'Option 1'!M35)</f>
        <v/>
      </c>
      <c r="N35" s="184" t="str">
        <f>IF('Option 1'!N35="","",'Option 1'!N35)</f>
        <v/>
      </c>
      <c r="O35" s="184" t="str">
        <f>IF('Option 1'!O35="","",'Option 1'!O35)</f>
        <v/>
      </c>
      <c r="P35" s="124">
        <f t="shared" si="8"/>
        <v>50460</v>
      </c>
    </row>
    <row r="36" spans="1:16" ht="15.75" customHeight="1" x14ac:dyDescent="0.25">
      <c r="A36" s="239"/>
      <c r="B36" s="4" t="str">
        <f>IF('Option 1'!B36="","",'Option 1'!B36)</f>
        <v/>
      </c>
      <c r="C36" s="182" t="str">
        <f>IF('Option 1'!C36="","",'Option 1'!C36)</f>
        <v>Ramp Asphalt Sealcoating</v>
      </c>
      <c r="D36" s="183" t="str">
        <f>IF('Option 1'!D36="","",'Option 1'!D36)</f>
        <v/>
      </c>
      <c r="E36" s="184" t="str">
        <f>IF('Option 1'!E36="","",'Option 1'!E36)</f>
        <v/>
      </c>
      <c r="F36" s="184" t="str">
        <f>IF('Option 1'!F36="","",'Option 1'!F36)</f>
        <v/>
      </c>
      <c r="G36" s="184" t="str">
        <f>IF('Option 1'!G36="","",'Option 1'!G36)</f>
        <v/>
      </c>
      <c r="H36" s="184" t="str">
        <f>IF('Option 1'!H36="","",'Option 1'!H36)</f>
        <v/>
      </c>
      <c r="I36" s="184" t="str">
        <f>IF('Option 1'!I36="","",'Option 1'!I36)</f>
        <v/>
      </c>
      <c r="J36" s="184" t="str">
        <f>IF('Option 1'!J36="","",'Option 1'!J36)</f>
        <v/>
      </c>
      <c r="K36" s="184" t="str">
        <f>IF('Option 1'!K36="","",'Option 1'!K36)</f>
        <v/>
      </c>
      <c r="L36" s="184" t="str">
        <f>IF('Option 1'!L36="","",'Option 1'!L36)</f>
        <v/>
      </c>
      <c r="M36" s="184" t="str">
        <f>IF('Option 1'!M36="","",'Option 1'!M36)</f>
        <v/>
      </c>
      <c r="N36" s="184" t="str">
        <f>IF('Option 1'!N36="","",'Option 1'!N36)</f>
        <v/>
      </c>
      <c r="O36" s="184" t="str">
        <f>IF('Option 1'!O36="","",'Option 1'!O36)</f>
        <v/>
      </c>
      <c r="P36" s="124">
        <f t="shared" si="8"/>
        <v>0</v>
      </c>
    </row>
    <row r="37" spans="1:16" ht="15.75" customHeight="1" x14ac:dyDescent="0.25">
      <c r="A37" s="239"/>
      <c r="B37" s="4" t="str">
        <f>IF('Option 1'!B37="","",'Option 1'!B37)</f>
        <v/>
      </c>
      <c r="C37" s="182" t="str">
        <f>IF('Option 1'!C37="","",'Option 1'!C37)</f>
        <v>Street Concrete Curbs</v>
      </c>
      <c r="D37" s="183" t="str">
        <f>IF('Option 1'!D37="","",'Option 1'!D37)</f>
        <v/>
      </c>
      <c r="E37" s="184" t="str">
        <f>IF('Option 1'!E37="","",'Option 1'!E37)</f>
        <v/>
      </c>
      <c r="F37" s="184" t="str">
        <f>IF('Option 1'!F37="","",'Option 1'!F37)</f>
        <v/>
      </c>
      <c r="G37" s="184" t="str">
        <f>IF('Option 1'!G37="","",'Option 1'!G37)</f>
        <v/>
      </c>
      <c r="H37" s="184" t="str">
        <f>IF('Option 1'!H37="","",'Option 1'!H37)</f>
        <v/>
      </c>
      <c r="I37" s="184" t="str">
        <f>IF('Option 1'!I37="","",'Option 1'!I37)</f>
        <v/>
      </c>
      <c r="J37" s="184" t="str">
        <f>IF('Option 1'!J37="","",'Option 1'!J37)</f>
        <v/>
      </c>
      <c r="K37" s="184" t="str">
        <f>IF('Option 1'!K37="","",'Option 1'!K37)</f>
        <v/>
      </c>
      <c r="L37" s="184" t="str">
        <f>IF('Option 1'!L37="","",'Option 1'!L37)</f>
        <v/>
      </c>
      <c r="M37" s="184" t="str">
        <f>IF('Option 1'!M37="","",'Option 1'!M37)</f>
        <v/>
      </c>
      <c r="N37" s="184" t="str">
        <f>IF('Option 1'!N37="","",'Option 1'!N37)</f>
        <v/>
      </c>
      <c r="O37" s="184" t="str">
        <f>IF('Option 1'!O37="","",'Option 1'!O37)</f>
        <v/>
      </c>
      <c r="P37" s="124">
        <f t="shared" si="8"/>
        <v>0</v>
      </c>
    </row>
    <row r="38" spans="1:16" ht="15.75" customHeight="1" x14ac:dyDescent="0.25">
      <c r="A38" s="239"/>
      <c r="B38" s="4" t="str">
        <f>IF('Option 1'!B38="","",'Option 1'!B38)</f>
        <v/>
      </c>
      <c r="C38" s="182" t="str">
        <f>IF('Option 1'!C38="","",'Option 1'!C38)</f>
        <v>Parking Lot Concrete Curbs</v>
      </c>
      <c r="D38" s="183" t="str">
        <f>IF('Option 1'!D38="","",'Option 1'!D38)</f>
        <v/>
      </c>
      <c r="E38" s="184" t="str">
        <f>IF('Option 1'!E38="","",'Option 1'!E38)</f>
        <v/>
      </c>
      <c r="F38" s="184" t="str">
        <f>IF('Option 1'!F38="","",'Option 1'!F38)</f>
        <v/>
      </c>
      <c r="G38" s="184" t="str">
        <f>IF('Option 1'!G38="","",'Option 1'!G38)</f>
        <v/>
      </c>
      <c r="H38" s="184" t="str">
        <f>IF('Option 1'!H38="","",'Option 1'!H38)</f>
        <v/>
      </c>
      <c r="I38" s="184" t="str">
        <f>IF('Option 1'!I38="","",'Option 1'!I38)</f>
        <v/>
      </c>
      <c r="J38" s="184" t="str">
        <f>IF('Option 1'!J38="","",'Option 1'!J38)</f>
        <v/>
      </c>
      <c r="K38" s="184" t="str">
        <f>IF('Option 1'!K38="","",'Option 1'!K38)</f>
        <v/>
      </c>
      <c r="L38" s="184" t="str">
        <f>IF('Option 1'!L38="","",'Option 1'!L38)</f>
        <v/>
      </c>
      <c r="M38" s="184" t="str">
        <f>IF('Option 1'!M38="","",'Option 1'!M38)</f>
        <v/>
      </c>
      <c r="N38" s="184" t="str">
        <f>IF('Option 1'!N38="","",'Option 1'!N38)</f>
        <v/>
      </c>
      <c r="O38" s="184" t="str">
        <f>IF('Option 1'!O38="","",'Option 1'!O38)</f>
        <v/>
      </c>
      <c r="P38" s="124">
        <f t="shared" si="8"/>
        <v>0</v>
      </c>
    </row>
    <row r="39" spans="1:16" ht="15.75" customHeight="1" x14ac:dyDescent="0.25">
      <c r="A39" s="239"/>
      <c r="B39" s="4" t="str">
        <f>IF('Option 1'!B39="","",'Option 1'!B39)</f>
        <v/>
      </c>
      <c r="C39" s="182" t="str">
        <f>IF('Option 1'!C39="","",'Option 1'!C39)</f>
        <v>Ramp Concrete Curbs</v>
      </c>
      <c r="D39" s="183" t="str">
        <f>IF('Option 1'!D39="","",'Option 1'!D39)</f>
        <v/>
      </c>
      <c r="E39" s="184" t="str">
        <f>IF('Option 1'!E39="","",'Option 1'!E39)</f>
        <v/>
      </c>
      <c r="F39" s="184" t="str">
        <f>IF('Option 1'!F39="","",'Option 1'!F39)</f>
        <v/>
      </c>
      <c r="G39" s="184" t="str">
        <f>IF('Option 1'!G39="","",'Option 1'!G39)</f>
        <v/>
      </c>
      <c r="H39" s="184" t="str">
        <f>IF('Option 1'!H39="","",'Option 1'!H39)</f>
        <v/>
      </c>
      <c r="I39" s="184" t="str">
        <f>IF('Option 1'!I39="","",'Option 1'!I39)</f>
        <v/>
      </c>
      <c r="J39" s="184" t="str">
        <f>IF('Option 1'!J39="","",'Option 1'!J39)</f>
        <v/>
      </c>
      <c r="K39" s="184" t="str">
        <f>IF('Option 1'!K39="","",'Option 1'!K39)</f>
        <v/>
      </c>
      <c r="L39" s="184" t="str">
        <f>IF('Option 1'!L39="","",'Option 1'!L39)</f>
        <v/>
      </c>
      <c r="M39" s="184" t="str">
        <f>IF('Option 1'!M39="","",'Option 1'!M39)</f>
        <v/>
      </c>
      <c r="N39" s="184" t="str">
        <f>IF('Option 1'!N39="","",'Option 1'!N39)</f>
        <v/>
      </c>
      <c r="O39" s="184" t="str">
        <f>IF('Option 1'!O39="","",'Option 1'!O39)</f>
        <v/>
      </c>
      <c r="P39" s="124">
        <f t="shared" si="8"/>
        <v>0</v>
      </c>
    </row>
    <row r="40" spans="1:16" ht="15.75" customHeight="1" x14ac:dyDescent="0.25">
      <c r="A40" s="239"/>
      <c r="B40" s="4" t="str">
        <f>IF('Option 1'!B40="","",'Option 1'!B40)</f>
        <v/>
      </c>
      <c r="C40" s="182" t="str">
        <f>IF('Option 1'!C40="","",'Option 1'!C40)</f>
        <v>Aggregate 5'-0" Walkway</v>
      </c>
      <c r="D40" s="183" t="str">
        <f>IF('Option 1'!D40="","",'Option 1'!D40)</f>
        <v/>
      </c>
      <c r="E40" s="184" t="str">
        <f>IF('Option 1'!E40="","",'Option 1'!E40)</f>
        <v/>
      </c>
      <c r="F40" s="184" t="str">
        <f>IF('Option 1'!F40="","",'Option 1'!F40)</f>
        <v/>
      </c>
      <c r="G40" s="184" t="str">
        <f>IF('Option 1'!G40="","",'Option 1'!G40)</f>
        <v/>
      </c>
      <c r="H40" s="184" t="str">
        <f>IF('Option 1'!H40="","",'Option 1'!H40)</f>
        <v/>
      </c>
      <c r="I40" s="184" t="str">
        <f>IF('Option 1'!I40="","",'Option 1'!I40)</f>
        <v/>
      </c>
      <c r="J40" s="184" t="str">
        <f>IF('Option 1'!J40="","",'Option 1'!J40)</f>
        <v/>
      </c>
      <c r="K40" s="184" t="str">
        <f>IF('Option 1'!K40="","",'Option 1'!K40)</f>
        <v/>
      </c>
      <c r="L40" s="184" t="str">
        <f>IF('Option 1'!L40="","",'Option 1'!L40)</f>
        <v/>
      </c>
      <c r="M40" s="184" t="str">
        <f>IF('Option 1'!M40="","",'Option 1'!M40)</f>
        <v/>
      </c>
      <c r="N40" s="184" t="str">
        <f>IF('Option 1'!N40="","",'Option 1'!N40)</f>
        <v/>
      </c>
      <c r="O40" s="184" t="str">
        <f>IF('Option 1'!O40="","",'Option 1'!O40)</f>
        <v/>
      </c>
      <c r="P40" s="124">
        <f t="shared" si="8"/>
        <v>0</v>
      </c>
    </row>
    <row r="41" spans="1:16" ht="15.75" customHeight="1" x14ac:dyDescent="0.25">
      <c r="A41" s="239"/>
      <c r="B41" s="4" t="str">
        <f>IF('Option 1'!B41="","",'Option 1'!B41)</f>
        <v/>
      </c>
      <c r="C41" s="182" t="str">
        <f>IF('Option 1'!C41="","",'Option 1'!C41)</f>
        <v>Storm Sewer System</v>
      </c>
      <c r="D41" s="183" t="str">
        <f>IF('Option 1'!D41="","",'Option 1'!D41)</f>
        <v/>
      </c>
      <c r="E41" s="184" t="str">
        <f>IF('Option 1'!E41="","",'Option 1'!E41)</f>
        <v/>
      </c>
      <c r="F41" s="184" t="str">
        <f>IF('Option 1'!F41="","",'Option 1'!F41)</f>
        <v/>
      </c>
      <c r="G41" s="184" t="str">
        <f>IF('Option 1'!G41="","",'Option 1'!G41)</f>
        <v/>
      </c>
      <c r="H41" s="184" t="str">
        <f>IF('Option 1'!H41="","",'Option 1'!H41)</f>
        <v/>
      </c>
      <c r="I41" s="184" t="str">
        <f>IF('Option 1'!I41="","",'Option 1'!I41)</f>
        <v/>
      </c>
      <c r="J41" s="184" t="str">
        <f>IF('Option 1'!J41="","",'Option 1'!J41)</f>
        <v/>
      </c>
      <c r="K41" s="184" t="str">
        <f>IF('Option 1'!K41="","",'Option 1'!K41)</f>
        <v/>
      </c>
      <c r="L41" s="184" t="str">
        <f>IF('Option 1'!L41="","",'Option 1'!L41)</f>
        <v/>
      </c>
      <c r="M41" s="184">
        <f>IF('Option 1'!M41="","",'Option 1'!M41)</f>
        <v>30445</v>
      </c>
      <c r="N41" s="184" t="str">
        <f>IF('Option 1'!N41="","",'Option 1'!N41)</f>
        <v/>
      </c>
      <c r="O41" s="184" t="str">
        <f>IF('Option 1'!O41="","",'Option 1'!O41)</f>
        <v/>
      </c>
      <c r="P41" s="124">
        <f t="shared" si="8"/>
        <v>30445</v>
      </c>
    </row>
    <row r="42" spans="1:16" ht="15.75" customHeight="1" x14ac:dyDescent="0.25">
      <c r="A42" s="239"/>
      <c r="B42" s="4" t="str">
        <f>IF('Option 1'!B42="","",'Option 1'!B42)</f>
        <v/>
      </c>
      <c r="C42" s="182" t="str">
        <f>IF('Option 1'!C42="","",'Option 1'!C42)</f>
        <v>Concrete Entry Walk (Clubhouse)</v>
      </c>
      <c r="D42" s="183" t="str">
        <f>IF('Option 1'!D42="","",'Option 1'!D42)</f>
        <v/>
      </c>
      <c r="E42" s="184" t="str">
        <f>IF('Option 1'!E42="","",'Option 1'!E42)</f>
        <v/>
      </c>
      <c r="F42" s="184" t="str">
        <f>IF('Option 1'!F42="","",'Option 1'!F42)</f>
        <v/>
      </c>
      <c r="G42" s="184" t="str">
        <f>IF('Option 1'!G42="","",'Option 1'!G42)</f>
        <v/>
      </c>
      <c r="H42" s="184" t="str">
        <f>IF('Option 1'!H42="","",'Option 1'!H42)</f>
        <v/>
      </c>
      <c r="I42" s="184" t="str">
        <f>IF('Option 1'!I42="","",'Option 1'!I42)</f>
        <v/>
      </c>
      <c r="J42" s="184" t="str">
        <f>IF('Option 1'!J42="","",'Option 1'!J42)</f>
        <v/>
      </c>
      <c r="K42" s="184" t="str">
        <f>IF('Option 1'!K42="","",'Option 1'!K42)</f>
        <v/>
      </c>
      <c r="L42" s="184" t="str">
        <f>IF('Option 1'!L42="","",'Option 1'!L42)</f>
        <v/>
      </c>
      <c r="M42" s="184" t="str">
        <f>IF('Option 1'!M42="","",'Option 1'!M42)</f>
        <v/>
      </c>
      <c r="N42" s="184" t="str">
        <f>IF('Option 1'!N42="","",'Option 1'!N42)</f>
        <v/>
      </c>
      <c r="O42" s="184" t="str">
        <f>IF('Option 1'!O42="","",'Option 1'!O42)</f>
        <v/>
      </c>
      <c r="P42" s="124">
        <f t="shared" si="8"/>
        <v>0</v>
      </c>
    </row>
    <row r="43" spans="1:16" ht="15.75" customHeight="1" x14ac:dyDescent="0.25">
      <c r="A43" s="239"/>
      <c r="B43" s="4" t="str">
        <f>IF('Option 1'!B43="","",'Option 1'!B43)</f>
        <v/>
      </c>
      <c r="C43" s="182" t="str">
        <f>IF('Option 1'!C43="","",'Option 1'!C43)</f>
        <v>Rear Concrete Walks</v>
      </c>
      <c r="D43" s="183" t="str">
        <f>IF('Option 1'!D43="","",'Option 1'!D43)</f>
        <v/>
      </c>
      <c r="E43" s="184">
        <f>IF('Option 1'!E43="","",'Option 1'!E43)</f>
        <v>27835</v>
      </c>
      <c r="F43" s="184" t="str">
        <f>IF('Option 1'!F43="","",'Option 1'!F43)</f>
        <v/>
      </c>
      <c r="G43" s="184" t="str">
        <f>IF('Option 1'!G43="","",'Option 1'!G43)</f>
        <v/>
      </c>
      <c r="H43" s="184" t="str">
        <f>IF('Option 1'!H43="","",'Option 1'!H43)</f>
        <v/>
      </c>
      <c r="I43" s="184" t="str">
        <f>IF('Option 1'!I43="","",'Option 1'!I43)</f>
        <v/>
      </c>
      <c r="J43" s="184" t="str">
        <f>IF('Option 1'!J43="","",'Option 1'!J43)</f>
        <v/>
      </c>
      <c r="K43" s="184" t="str">
        <f>IF('Option 1'!K43="","",'Option 1'!K43)</f>
        <v/>
      </c>
      <c r="L43" s="184" t="str">
        <f>IF('Option 1'!L43="","",'Option 1'!L43)</f>
        <v/>
      </c>
      <c r="M43" s="184" t="str">
        <f>IF('Option 1'!M43="","",'Option 1'!M43)</f>
        <v/>
      </c>
      <c r="N43" s="184" t="str">
        <f>IF('Option 1'!N43="","",'Option 1'!N43)</f>
        <v/>
      </c>
      <c r="O43" s="184" t="str">
        <f>IF('Option 1'!O43="","",'Option 1'!O43)</f>
        <v/>
      </c>
      <c r="P43" s="124">
        <f t="shared" si="8"/>
        <v>27835</v>
      </c>
    </row>
    <row r="44" spans="1:16" ht="15.75" customHeight="1" x14ac:dyDescent="0.25">
      <c r="A44" s="239"/>
      <c r="B44" s="4" t="str">
        <f>IF('Option 1'!B44="","",'Option 1'!B44)</f>
        <v/>
      </c>
      <c r="C44" s="182" t="str">
        <f>IF('Option 1'!C44="","",'Option 1'!C44)</f>
        <v>Brick Paver Entry Walks (Bldgs. 1405, 1515, 1605, &amp; 1615)</v>
      </c>
      <c r="D44" s="183" t="str">
        <f>IF('Option 1'!D44="","",'Option 1'!D44)</f>
        <v/>
      </c>
      <c r="E44" s="184" t="str">
        <f>IF('Option 1'!E44="","",'Option 1'!E44)</f>
        <v/>
      </c>
      <c r="F44" s="184" t="str">
        <f>IF('Option 1'!F44="","",'Option 1'!F44)</f>
        <v/>
      </c>
      <c r="G44" s="184" t="str">
        <f>IF('Option 1'!G44="","",'Option 1'!G44)</f>
        <v/>
      </c>
      <c r="H44" s="184" t="str">
        <f>IF('Option 1'!H44="","",'Option 1'!H44)</f>
        <v/>
      </c>
      <c r="I44" s="184" t="str">
        <f>IF('Option 1'!I44="","",'Option 1'!I44)</f>
        <v/>
      </c>
      <c r="J44" s="184" t="str">
        <f>IF('Option 1'!J44="","",'Option 1'!J44)</f>
        <v/>
      </c>
      <c r="K44" s="184" t="str">
        <f>IF('Option 1'!K44="","",'Option 1'!K44)</f>
        <v/>
      </c>
      <c r="L44" s="184" t="str">
        <f>IF('Option 1'!L44="","",'Option 1'!L44)</f>
        <v/>
      </c>
      <c r="M44" s="184" t="str">
        <f>IF('Option 1'!M44="","",'Option 1'!M44)</f>
        <v/>
      </c>
      <c r="N44" s="184" t="str">
        <f>IF('Option 1'!N44="","",'Option 1'!N44)</f>
        <v/>
      </c>
      <c r="O44" s="184" t="str">
        <f>IF('Option 1'!O44="","",'Option 1'!O44)</f>
        <v/>
      </c>
      <c r="P44" s="124">
        <f t="shared" si="8"/>
        <v>0</v>
      </c>
    </row>
    <row r="45" spans="1:16" ht="15.75" customHeight="1" x14ac:dyDescent="0.25">
      <c r="A45" s="239"/>
      <c r="B45" s="4" t="str">
        <f>IF('Option 1'!B45="","",'Option 1'!B45)</f>
        <v/>
      </c>
      <c r="C45" s="182" t="str">
        <f>IF('Option 1'!C45="","",'Option 1'!C45)</f>
        <v>Brick Paver Entry Walks (Bldgs. 1415 &amp; 1505)</v>
      </c>
      <c r="D45" s="183" t="str">
        <f>IF('Option 1'!D45="","",'Option 1'!D45)</f>
        <v/>
      </c>
      <c r="E45" s="184" t="str">
        <f>IF('Option 1'!E45="","",'Option 1'!E45)</f>
        <v/>
      </c>
      <c r="F45" s="184" t="str">
        <f>IF('Option 1'!F45="","",'Option 1'!F45)</f>
        <v/>
      </c>
      <c r="G45" s="184" t="str">
        <f>IF('Option 1'!G45="","",'Option 1'!G45)</f>
        <v/>
      </c>
      <c r="H45" s="184" t="str">
        <f>IF('Option 1'!H45="","",'Option 1'!H45)</f>
        <v/>
      </c>
      <c r="I45" s="184" t="str">
        <f>IF('Option 1'!I45="","",'Option 1'!I45)</f>
        <v/>
      </c>
      <c r="J45" s="184" t="str">
        <f>IF('Option 1'!J45="","",'Option 1'!J45)</f>
        <v/>
      </c>
      <c r="K45" s="184" t="str">
        <f>IF('Option 1'!K45="","",'Option 1'!K45)</f>
        <v/>
      </c>
      <c r="L45" s="184" t="str">
        <f>IF('Option 1'!L45="","",'Option 1'!L45)</f>
        <v/>
      </c>
      <c r="M45" s="184" t="str">
        <f>IF('Option 1'!M45="","",'Option 1'!M45)</f>
        <v/>
      </c>
      <c r="N45" s="184" t="str">
        <f>IF('Option 1'!N45="","",'Option 1'!N45)</f>
        <v/>
      </c>
      <c r="O45" s="184" t="str">
        <f>IF('Option 1'!O45="","",'Option 1'!O45)</f>
        <v/>
      </c>
      <c r="P45" s="124">
        <f t="shared" si="8"/>
        <v>0</v>
      </c>
    </row>
    <row r="46" spans="1:16" ht="15.75" customHeight="1" x14ac:dyDescent="0.25">
      <c r="A46" s="239"/>
      <c r="B46" s="4" t="str">
        <f>IF('Option 1'!B46="","",'Option 1'!B46)</f>
        <v/>
      </c>
      <c r="C46" s="182" t="str">
        <f>IF('Option 1'!C46="","",'Option 1'!C46)</f>
        <v>Stone Paver Walks (Concrete)</v>
      </c>
      <c r="D46" s="183" t="str">
        <f>IF('Option 1'!D46="","",'Option 1'!D46)</f>
        <v/>
      </c>
      <c r="E46" s="184" t="str">
        <f>IF('Option 1'!E46="","",'Option 1'!E46)</f>
        <v/>
      </c>
      <c r="F46" s="184" t="str">
        <f>IF('Option 1'!F46="","",'Option 1'!F46)</f>
        <v/>
      </c>
      <c r="G46" s="184" t="str">
        <f>IF('Option 1'!G46="","",'Option 1'!G46)</f>
        <v/>
      </c>
      <c r="H46" s="184" t="str">
        <f>IF('Option 1'!H46="","",'Option 1'!H46)</f>
        <v/>
      </c>
      <c r="I46" s="184" t="str">
        <f>IF('Option 1'!I46="","",'Option 1'!I46)</f>
        <v/>
      </c>
      <c r="J46" s="184" t="str">
        <f>IF('Option 1'!J46="","",'Option 1'!J46)</f>
        <v/>
      </c>
      <c r="K46" s="184" t="str">
        <f>IF('Option 1'!K46="","",'Option 1'!K46)</f>
        <v/>
      </c>
      <c r="L46" s="184" t="str">
        <f>IF('Option 1'!L46="","",'Option 1'!L46)</f>
        <v/>
      </c>
      <c r="M46" s="184" t="str">
        <f>IF('Option 1'!M46="","",'Option 1'!M46)</f>
        <v/>
      </c>
      <c r="N46" s="184" t="str">
        <f>IF('Option 1'!N46="","",'Option 1'!N46)</f>
        <v/>
      </c>
      <c r="O46" s="184" t="str">
        <f>IF('Option 1'!O46="","",'Option 1'!O46)</f>
        <v/>
      </c>
      <c r="P46" s="124">
        <f t="shared" si="8"/>
        <v>0</v>
      </c>
    </row>
    <row r="47" spans="1:16" ht="15.75" customHeight="1" x14ac:dyDescent="0.25">
      <c r="A47" s="239"/>
      <c r="B47" s="4" t="str">
        <f>IF('Option 1'!B47="","",'Option 1'!B47)</f>
        <v/>
      </c>
      <c r="C47" s="182" t="str">
        <f>IF('Option 1'!C47="","",'Option 1'!C47)</f>
        <v>Concrete Trash Pads</v>
      </c>
      <c r="D47" s="183" t="str">
        <f>IF('Option 1'!D47="","",'Option 1'!D47)</f>
        <v/>
      </c>
      <c r="E47" s="184" t="str">
        <f>IF('Option 1'!E47="","",'Option 1'!E47)</f>
        <v/>
      </c>
      <c r="F47" s="184" t="str">
        <f>IF('Option 1'!F47="","",'Option 1'!F47)</f>
        <v/>
      </c>
      <c r="G47" s="184" t="str">
        <f>IF('Option 1'!G47="","",'Option 1'!G47)</f>
        <v/>
      </c>
      <c r="H47" s="184" t="str">
        <f>IF('Option 1'!H47="","",'Option 1'!H47)</f>
        <v/>
      </c>
      <c r="I47" s="184" t="str">
        <f>IF('Option 1'!I47="","",'Option 1'!I47)</f>
        <v/>
      </c>
      <c r="J47" s="184" t="str">
        <f>IF('Option 1'!J47="","",'Option 1'!J47)</f>
        <v/>
      </c>
      <c r="K47" s="184" t="str">
        <f>IF('Option 1'!K47="","",'Option 1'!K47)</f>
        <v/>
      </c>
      <c r="L47" s="184" t="str">
        <f>IF('Option 1'!L47="","",'Option 1'!L47)</f>
        <v/>
      </c>
      <c r="M47" s="184" t="str">
        <f>IF('Option 1'!M47="","",'Option 1'!M47)</f>
        <v/>
      </c>
      <c r="N47" s="184">
        <f>IF('Option 1'!N47="","",'Option 1'!N47)</f>
        <v>30456</v>
      </c>
      <c r="O47" s="184" t="str">
        <f>IF('Option 1'!O47="","",'Option 1'!O47)</f>
        <v/>
      </c>
      <c r="P47" s="124">
        <f t="shared" si="8"/>
        <v>30456</v>
      </c>
    </row>
    <row r="48" spans="1:16" ht="15.75" customHeight="1" x14ac:dyDescent="0.25">
      <c r="A48" s="239"/>
      <c r="B48" s="4" t="str">
        <f>IF('Option 1'!B48="","",'Option 1'!B48)</f>
        <v/>
      </c>
      <c r="C48" s="182" t="str">
        <f>IF('Option 1'!C48="","",'Option 1'!C48)</f>
        <v>Split Rail Fence</v>
      </c>
      <c r="D48" s="183" t="str">
        <f>IF('Option 1'!D48="","",'Option 1'!D48)</f>
        <v/>
      </c>
      <c r="E48" s="184" t="str">
        <f>IF('Option 1'!E48="","",'Option 1'!E48)</f>
        <v/>
      </c>
      <c r="F48" s="184" t="str">
        <f>IF('Option 1'!F48="","",'Option 1'!F48)</f>
        <v/>
      </c>
      <c r="G48" s="184" t="str">
        <f>IF('Option 1'!G48="","",'Option 1'!G48)</f>
        <v/>
      </c>
      <c r="H48" s="184" t="str">
        <f>IF('Option 1'!H48="","",'Option 1'!H48)</f>
        <v/>
      </c>
      <c r="I48" s="184" t="str">
        <f>IF('Option 1'!I48="","",'Option 1'!I48)</f>
        <v/>
      </c>
      <c r="J48" s="184" t="str">
        <f>IF('Option 1'!J48="","",'Option 1'!J48)</f>
        <v/>
      </c>
      <c r="K48" s="184" t="str">
        <f>IF('Option 1'!K48="","",'Option 1'!K48)</f>
        <v/>
      </c>
      <c r="L48" s="184" t="str">
        <f>IF('Option 1'!L48="","",'Option 1'!L48)</f>
        <v/>
      </c>
      <c r="M48" s="184" t="str">
        <f>IF('Option 1'!M48="","",'Option 1'!M48)</f>
        <v/>
      </c>
      <c r="N48" s="184" t="str">
        <f>IF('Option 1'!N48="","",'Option 1'!N48)</f>
        <v/>
      </c>
      <c r="O48" s="184" t="str">
        <f>IF('Option 1'!O48="","",'Option 1'!O48)</f>
        <v/>
      </c>
      <c r="P48" s="124">
        <f t="shared" si="8"/>
        <v>0</v>
      </c>
    </row>
    <row r="49" spans="1:16" ht="15.75" customHeight="1" x14ac:dyDescent="0.25">
      <c r="A49" s="239"/>
      <c r="B49" s="4" t="str">
        <f>IF('Option 1'!B49="","",'Option 1'!B49)</f>
        <v/>
      </c>
      <c r="C49" s="182" t="str">
        <f>IF('Option 1'!C49="","",'Option 1'!C49)</f>
        <v>Chain Link Fence at SW (5')</v>
      </c>
      <c r="D49" s="183" t="str">
        <f>IF('Option 1'!D49="","",'Option 1'!D49)</f>
        <v/>
      </c>
      <c r="E49" s="184" t="str">
        <f>IF('Option 1'!E49="","",'Option 1'!E49)</f>
        <v/>
      </c>
      <c r="F49" s="184" t="str">
        <f>IF('Option 1'!F49="","",'Option 1'!F49)</f>
        <v/>
      </c>
      <c r="G49" s="184" t="str">
        <f>IF('Option 1'!G49="","",'Option 1'!G49)</f>
        <v/>
      </c>
      <c r="H49" s="184" t="str">
        <f>IF('Option 1'!H49="","",'Option 1'!H49)</f>
        <v/>
      </c>
      <c r="I49" s="184" t="str">
        <f>IF('Option 1'!I49="","",'Option 1'!I49)</f>
        <v/>
      </c>
      <c r="J49" s="184" t="str">
        <f>IF('Option 1'!J49="","",'Option 1'!J49)</f>
        <v/>
      </c>
      <c r="K49" s="184" t="str">
        <f>IF('Option 1'!K49="","",'Option 1'!K49)</f>
        <v/>
      </c>
      <c r="L49" s="184" t="str">
        <f>IF('Option 1'!L49="","",'Option 1'!L49)</f>
        <v/>
      </c>
      <c r="M49" s="184" t="str">
        <f>IF('Option 1'!M49="","",'Option 1'!M49)</f>
        <v/>
      </c>
      <c r="N49" s="184" t="str">
        <f>IF('Option 1'!N49="","",'Option 1'!N49)</f>
        <v/>
      </c>
      <c r="O49" s="184" t="str">
        <f>IF('Option 1'!O49="","",'Option 1'!O49)</f>
        <v/>
      </c>
      <c r="P49" s="124">
        <f t="shared" si="8"/>
        <v>0</v>
      </c>
    </row>
    <row r="50" spans="1:16" ht="15.75" customHeight="1" x14ac:dyDescent="0.25">
      <c r="A50" s="239"/>
      <c r="B50" s="4" t="str">
        <f>IF('Option 1'!B50="","",'Option 1'!B50)</f>
        <v/>
      </c>
      <c r="C50" s="182" t="str">
        <f>IF('Option 1'!C50="","",'Option 1'!C50)</f>
        <v>Chain Link Fence (6')</v>
      </c>
      <c r="D50" s="183" t="str">
        <f>IF('Option 1'!D50="","",'Option 1'!D50)</f>
        <v/>
      </c>
      <c r="E50" s="184" t="str">
        <f>IF('Option 1'!E50="","",'Option 1'!E50)</f>
        <v/>
      </c>
      <c r="F50" s="184" t="str">
        <f>IF('Option 1'!F50="","",'Option 1'!F50)</f>
        <v/>
      </c>
      <c r="G50" s="184" t="str">
        <f>IF('Option 1'!G50="","",'Option 1'!G50)</f>
        <v/>
      </c>
      <c r="H50" s="184" t="str">
        <f>IF('Option 1'!H50="","",'Option 1'!H50)</f>
        <v/>
      </c>
      <c r="I50" s="184" t="str">
        <f>IF('Option 1'!I50="","",'Option 1'!I50)</f>
        <v/>
      </c>
      <c r="J50" s="184" t="str">
        <f>IF('Option 1'!J50="","",'Option 1'!J50)</f>
        <v/>
      </c>
      <c r="K50" s="184" t="str">
        <f>IF('Option 1'!K50="","",'Option 1'!K50)</f>
        <v/>
      </c>
      <c r="L50" s="184" t="str">
        <f>IF('Option 1'!L50="","",'Option 1'!L50)</f>
        <v/>
      </c>
      <c r="M50" s="184" t="str">
        <f>IF('Option 1'!M50="","",'Option 1'!M50)</f>
        <v/>
      </c>
      <c r="N50" s="184" t="str">
        <f>IF('Option 1'!N50="","",'Option 1'!N50)</f>
        <v/>
      </c>
      <c r="O50" s="184" t="str">
        <f>IF('Option 1'!O50="","",'Option 1'!O50)</f>
        <v/>
      </c>
      <c r="P50" s="124">
        <f t="shared" si="8"/>
        <v>0</v>
      </c>
    </row>
    <row r="51" spans="1:16" ht="15.75" customHeight="1" x14ac:dyDescent="0.25">
      <c r="A51" s="239"/>
      <c r="B51" s="4" t="str">
        <f>IF('Option 1'!B51="","",'Option 1'!B51)</f>
        <v/>
      </c>
      <c r="C51" s="182" t="str">
        <f>IF('Option 1'!C51="","",'Option 1'!C51)</f>
        <v>Patio Aluminum Fence</v>
      </c>
      <c r="D51" s="183" t="str">
        <f>IF('Option 1'!D51="","",'Option 1'!D51)</f>
        <v/>
      </c>
      <c r="E51" s="184" t="str">
        <f>IF('Option 1'!E51="","",'Option 1'!E51)</f>
        <v/>
      </c>
      <c r="F51" s="184" t="str">
        <f>IF('Option 1'!F51="","",'Option 1'!F51)</f>
        <v/>
      </c>
      <c r="G51" s="184" t="str">
        <f>IF('Option 1'!G51="","",'Option 1'!G51)</f>
        <v/>
      </c>
      <c r="H51" s="184" t="str">
        <f>IF('Option 1'!H51="","",'Option 1'!H51)</f>
        <v/>
      </c>
      <c r="I51" s="184" t="str">
        <f>IF('Option 1'!I51="","",'Option 1'!I51)</f>
        <v/>
      </c>
      <c r="J51" s="184" t="str">
        <f>IF('Option 1'!J51="","",'Option 1'!J51)</f>
        <v/>
      </c>
      <c r="K51" s="184" t="str">
        <f>IF('Option 1'!K51="","",'Option 1'!K51)</f>
        <v/>
      </c>
      <c r="L51" s="184" t="str">
        <f>IF('Option 1'!L51="","",'Option 1'!L51)</f>
        <v/>
      </c>
      <c r="M51" s="184" t="str">
        <f>IF('Option 1'!M51="","",'Option 1'!M51)</f>
        <v/>
      </c>
      <c r="N51" s="184" t="str">
        <f>IF('Option 1'!N51="","",'Option 1'!N51)</f>
        <v/>
      </c>
      <c r="O51" s="184" t="str">
        <f>IF('Option 1'!O51="","",'Option 1'!O51)</f>
        <v/>
      </c>
      <c r="P51" s="124">
        <f t="shared" si="8"/>
        <v>0</v>
      </c>
    </row>
    <row r="52" spans="1:16" ht="15.75" customHeight="1" x14ac:dyDescent="0.25">
      <c r="A52" s="239"/>
      <c r="B52" s="4" t="str">
        <f>IF('Option 1'!B52="","",'Option 1'!B52)</f>
        <v/>
      </c>
      <c r="C52" s="182" t="str">
        <f>IF('Option 1'!C52="","",'Option 1'!C52)</f>
        <v>Concrete Retaining Walls</v>
      </c>
      <c r="D52" s="186" t="str">
        <f>IF('Option 1'!D52="","",'Option 1'!D52)</f>
        <v/>
      </c>
      <c r="E52" s="184" t="str">
        <f>IF('Option 1'!E52="","",'Option 1'!E52)</f>
        <v/>
      </c>
      <c r="F52" s="184" t="str">
        <f>IF('Option 1'!F52="","",'Option 1'!F52)</f>
        <v/>
      </c>
      <c r="G52" s="184" t="str">
        <f>IF('Option 1'!G52="","",'Option 1'!G52)</f>
        <v/>
      </c>
      <c r="H52" s="184" t="str">
        <f>IF('Option 1'!H52="","",'Option 1'!H52)</f>
        <v/>
      </c>
      <c r="I52" s="184" t="str">
        <f>IF('Option 1'!I52="","",'Option 1'!I52)</f>
        <v/>
      </c>
      <c r="J52" s="184" t="str">
        <f>IF('Option 1'!J52="","",'Option 1'!J52)</f>
        <v/>
      </c>
      <c r="K52" s="184" t="str">
        <f>IF('Option 1'!K52="","",'Option 1'!K52)</f>
        <v/>
      </c>
      <c r="L52" s="184" t="str">
        <f>IF('Option 1'!L52="","",'Option 1'!L52)</f>
        <v/>
      </c>
      <c r="M52" s="184" t="str">
        <f>IF('Option 1'!M52="","",'Option 1'!M52)</f>
        <v/>
      </c>
      <c r="N52" s="184" t="str">
        <f>IF('Option 1'!N52="","",'Option 1'!N52)</f>
        <v/>
      </c>
      <c r="O52" s="184" t="str">
        <f>IF('Option 1'!O52="","",'Option 1'!O52)</f>
        <v/>
      </c>
      <c r="P52" s="124">
        <f t="shared" si="8"/>
        <v>0</v>
      </c>
    </row>
    <row r="53" spans="1:16" ht="15.75" customHeight="1" x14ac:dyDescent="0.25">
      <c r="A53" s="239"/>
      <c r="B53" s="4" t="str">
        <f>IF('Option 1'!B53="","",'Option 1'!B53)</f>
        <v/>
      </c>
      <c r="C53" s="182" t="str">
        <f>IF('Option 1'!C53="","",'Option 1'!C53)</f>
        <v>Ramp Trench Drains</v>
      </c>
      <c r="D53" s="186" t="str">
        <f>IF('Option 1'!D53="","",'Option 1'!D53)</f>
        <v/>
      </c>
      <c r="E53" s="184" t="str">
        <f>IF('Option 1'!E53="","",'Option 1'!E53)</f>
        <v/>
      </c>
      <c r="F53" s="184" t="str">
        <f>IF('Option 1'!F53="","",'Option 1'!F53)</f>
        <v/>
      </c>
      <c r="G53" s="184" t="str">
        <f>IF('Option 1'!G53="","",'Option 1'!G53)</f>
        <v/>
      </c>
      <c r="H53" s="184" t="str">
        <f>IF('Option 1'!H53="","",'Option 1'!H53)</f>
        <v/>
      </c>
      <c r="I53" s="184" t="str">
        <f>IF('Option 1'!I53="","",'Option 1'!I53)</f>
        <v/>
      </c>
      <c r="J53" s="184" t="str">
        <f>IF('Option 1'!J53="","",'Option 1'!J53)</f>
        <v/>
      </c>
      <c r="K53" s="184" t="str">
        <f>IF('Option 1'!K53="","",'Option 1'!K53)</f>
        <v/>
      </c>
      <c r="L53" s="184" t="str">
        <f>IF('Option 1'!L53="","",'Option 1'!L53)</f>
        <v/>
      </c>
      <c r="M53" s="184" t="str">
        <f>IF('Option 1'!M53="","",'Option 1'!M53)</f>
        <v/>
      </c>
      <c r="N53" s="184">
        <f>IF('Option 1'!N53="","",'Option 1'!N53)</f>
        <v>41516</v>
      </c>
      <c r="O53" s="184" t="str">
        <f>IF('Option 1'!O53="","",'Option 1'!O53)</f>
        <v/>
      </c>
      <c r="P53" s="124">
        <f t="shared" si="8"/>
        <v>41516</v>
      </c>
    </row>
    <row r="54" spans="1:16" ht="15.75" customHeight="1" x14ac:dyDescent="0.25">
      <c r="A54" s="239"/>
      <c r="B54" s="4" t="str">
        <f>IF('Option 1'!B54="","",'Option 1'!B54)</f>
        <v/>
      </c>
      <c r="C54" s="182" t="str">
        <f>IF('Option 1'!C54="","",'Option 1'!C54)</f>
        <v xml:space="preserve">Patios </v>
      </c>
      <c r="D54" s="187" t="str">
        <f>IF('Option 1'!D54="","",'Option 1'!D54)</f>
        <v/>
      </c>
      <c r="E54" s="184" t="str">
        <f>IF('Option 1'!E54="","",'Option 1'!E54)</f>
        <v/>
      </c>
      <c r="F54" s="184" t="str">
        <f>IF('Option 1'!F54="","",'Option 1'!F54)</f>
        <v/>
      </c>
      <c r="G54" s="184" t="str">
        <f>IF('Option 1'!G54="","",'Option 1'!G54)</f>
        <v/>
      </c>
      <c r="H54" s="184" t="str">
        <f>IF('Option 1'!H54="","",'Option 1'!H54)</f>
        <v/>
      </c>
      <c r="I54" s="184" t="str">
        <f>IF('Option 1'!I54="","",'Option 1'!I54)</f>
        <v/>
      </c>
      <c r="J54" s="184" t="str">
        <f>IF('Option 1'!J54="","",'Option 1'!J54)</f>
        <v/>
      </c>
      <c r="K54" s="184" t="str">
        <f>IF('Option 1'!K54="","",'Option 1'!K54)</f>
        <v/>
      </c>
      <c r="L54" s="184" t="str">
        <f>IF('Option 1'!L54="","",'Option 1'!L54)</f>
        <v/>
      </c>
      <c r="M54" s="184" t="str">
        <f>IF('Option 1'!M54="","",'Option 1'!M54)</f>
        <v/>
      </c>
      <c r="N54" s="184" t="str">
        <f>IF('Option 1'!N54="","",'Option 1'!N54)</f>
        <v/>
      </c>
      <c r="O54" s="184" t="str">
        <f>IF('Option 1'!O54="","",'Option 1'!O54)</f>
        <v/>
      </c>
      <c r="P54" s="124">
        <f t="shared" si="8"/>
        <v>0</v>
      </c>
    </row>
    <row r="55" spans="1:16" ht="15.75" customHeight="1" x14ac:dyDescent="0.25">
      <c r="A55" s="239"/>
      <c r="B55" s="4" t="str">
        <f>IF('Option 1'!B55="","",'Option 1'!B55)</f>
        <v/>
      </c>
      <c r="C55" s="182" t="str">
        <f>IF('Option 1'!C55="","",'Option 1'!C55)</f>
        <v>Entry Monuments</v>
      </c>
      <c r="D55" s="186" t="str">
        <f>IF('Option 1'!D55="","",'Option 1'!D55)</f>
        <v/>
      </c>
      <c r="E55" s="184" t="str">
        <f>IF('Option 1'!E55="","",'Option 1'!E55)</f>
        <v/>
      </c>
      <c r="F55" s="184" t="str">
        <f>IF('Option 1'!F55="","",'Option 1'!F55)</f>
        <v/>
      </c>
      <c r="G55" s="184" t="str">
        <f>IF('Option 1'!G55="","",'Option 1'!G55)</f>
        <v/>
      </c>
      <c r="H55" s="184">
        <f>IF('Option 1'!H55="","",'Option 1'!H55)</f>
        <v>2076</v>
      </c>
      <c r="I55" s="184" t="str">
        <f>IF('Option 1'!I55="","",'Option 1'!I55)</f>
        <v/>
      </c>
      <c r="J55" s="184" t="str">
        <f>IF('Option 1'!J55="","",'Option 1'!J55)</f>
        <v/>
      </c>
      <c r="K55" s="184" t="str">
        <f>IF('Option 1'!K55="","",'Option 1'!K55)</f>
        <v/>
      </c>
      <c r="L55" s="184" t="str">
        <f>IF('Option 1'!L55="","",'Option 1'!L55)</f>
        <v/>
      </c>
      <c r="M55" s="184" t="str">
        <f>IF('Option 1'!M55="","",'Option 1'!M55)</f>
        <v/>
      </c>
      <c r="N55" s="184" t="str">
        <f>IF('Option 1'!N55="","",'Option 1'!N55)</f>
        <v/>
      </c>
      <c r="O55" s="184" t="str">
        <f>IF('Option 1'!O55="","",'Option 1'!O55)</f>
        <v/>
      </c>
      <c r="P55" s="124">
        <f t="shared" si="8"/>
        <v>2076</v>
      </c>
    </row>
    <row r="56" spans="1:16" ht="15.75" customHeight="1" x14ac:dyDescent="0.25">
      <c r="A56" s="239"/>
      <c r="B56" s="4" t="str">
        <f>IF('Option 1'!B56="","",'Option 1'!B56)</f>
        <v/>
      </c>
      <c r="C56" s="182" t="str">
        <f>IF('Option 1'!C56="","",'Option 1'!C56)</f>
        <v>Chain Link Fence (6' at 1605 S Line)</v>
      </c>
      <c r="D56" s="186" t="str">
        <f>IF('Option 1'!D56="","",'Option 1'!D56)</f>
        <v/>
      </c>
      <c r="E56" s="184" t="str">
        <f>IF('Option 1'!E56="","",'Option 1'!E56)</f>
        <v/>
      </c>
      <c r="F56" s="184" t="str">
        <f>IF('Option 1'!F56="","",'Option 1'!F56)</f>
        <v/>
      </c>
      <c r="G56" s="184" t="str">
        <f>IF('Option 1'!G56="","",'Option 1'!G56)</f>
        <v/>
      </c>
      <c r="H56" s="184" t="str">
        <f>IF('Option 1'!H56="","",'Option 1'!H56)</f>
        <v/>
      </c>
      <c r="I56" s="184" t="str">
        <f>IF('Option 1'!I56="","",'Option 1'!I56)</f>
        <v/>
      </c>
      <c r="J56" s="184" t="str">
        <f>IF('Option 1'!J56="","",'Option 1'!J56)</f>
        <v/>
      </c>
      <c r="K56" s="184" t="str">
        <f>IF('Option 1'!K56="","",'Option 1'!K56)</f>
        <v/>
      </c>
      <c r="L56" s="184" t="str">
        <f>IF('Option 1'!L56="","",'Option 1'!L56)</f>
        <v/>
      </c>
      <c r="M56" s="184" t="str">
        <f>IF('Option 1'!M56="","",'Option 1'!M56)</f>
        <v/>
      </c>
      <c r="N56" s="184" t="str">
        <f>IF('Option 1'!N56="","",'Option 1'!N56)</f>
        <v/>
      </c>
      <c r="O56" s="184" t="str">
        <f>IF('Option 1'!O56="","",'Option 1'!O56)</f>
        <v/>
      </c>
      <c r="P56" s="124">
        <f t="shared" si="8"/>
        <v>0</v>
      </c>
    </row>
    <row r="57" spans="1:16" ht="15.75" customHeight="1" x14ac:dyDescent="0.25">
      <c r="A57" s="239"/>
      <c r="B57" s="4" t="str">
        <f>IF('Option 1'!B57="","",'Option 1'!B57)</f>
        <v/>
      </c>
      <c r="C57" s="3" t="str">
        <f>IF('Option 1'!C57="","",'Option 1'!C57)</f>
        <v>Waterproofing Elements</v>
      </c>
      <c r="D57" s="186" t="str">
        <f>IF('Option 1'!D57="","",'Option 1'!D57)</f>
        <v/>
      </c>
      <c r="E57" s="184" t="str">
        <f>IF('Option 1'!E57="","",'Option 1'!E57)</f>
        <v/>
      </c>
      <c r="F57" s="184" t="str">
        <f>IF('Option 1'!F57="","",'Option 1'!F57)</f>
        <v/>
      </c>
      <c r="G57" s="184" t="str">
        <f>IF('Option 1'!G57="","",'Option 1'!G57)</f>
        <v/>
      </c>
      <c r="H57" s="184" t="str">
        <f>IF('Option 1'!H57="","",'Option 1'!H57)</f>
        <v/>
      </c>
      <c r="I57" s="184" t="str">
        <f>IF('Option 1'!I57="","",'Option 1'!I57)</f>
        <v/>
      </c>
      <c r="J57" s="184" t="str">
        <f>IF('Option 1'!J57="","",'Option 1'!J57)</f>
        <v/>
      </c>
      <c r="K57" s="184" t="str">
        <f>IF('Option 1'!K57="","",'Option 1'!K57)</f>
        <v/>
      </c>
      <c r="L57" s="184" t="str">
        <f>IF('Option 1'!L57="","",'Option 1'!L57)</f>
        <v/>
      </c>
      <c r="M57" s="184" t="str">
        <f>IF('Option 1'!M57="","",'Option 1'!M57)</f>
        <v/>
      </c>
      <c r="N57" s="184" t="str">
        <f>IF('Option 1'!N57="","",'Option 1'!N57)</f>
        <v/>
      </c>
      <c r="O57" s="184" t="str">
        <f>IF('Option 1'!O57="","",'Option 1'!O57)</f>
        <v/>
      </c>
      <c r="P57" s="124">
        <f t="shared" si="8"/>
        <v>0</v>
      </c>
    </row>
    <row r="58" spans="1:16" ht="15.75" customHeight="1" x14ac:dyDescent="0.25">
      <c r="A58" s="239"/>
      <c r="B58" s="4" t="str">
        <f>IF('Option 1'!B58="","",'Option 1'!B58)</f>
        <v/>
      </c>
      <c r="C58" s="182" t="str">
        <f>IF('Option 1'!C58="","",'Option 1'!C58)</f>
        <v>Metal Fascia (1505 A &amp; B Wings)</v>
      </c>
      <c r="D58" s="186" t="str">
        <f>IF('Option 1'!D58="","",'Option 1'!D58)</f>
        <v/>
      </c>
      <c r="E58" s="184" t="str">
        <f>IF('Option 1'!E58="","",'Option 1'!E58)</f>
        <v/>
      </c>
      <c r="F58" s="184" t="str">
        <f>IF('Option 1'!F58="","",'Option 1'!F58)</f>
        <v/>
      </c>
      <c r="G58" s="184" t="str">
        <f>IF('Option 1'!G58="","",'Option 1'!G58)</f>
        <v/>
      </c>
      <c r="H58" s="184" t="str">
        <f>IF('Option 1'!H58="","",'Option 1'!H58)</f>
        <v/>
      </c>
      <c r="I58" s="184" t="str">
        <f>IF('Option 1'!I58="","",'Option 1'!I58)</f>
        <v/>
      </c>
      <c r="J58" s="184" t="str">
        <f>IF('Option 1'!J58="","",'Option 1'!J58)</f>
        <v/>
      </c>
      <c r="K58" s="184" t="str">
        <f>IF('Option 1'!K58="","",'Option 1'!K58)</f>
        <v/>
      </c>
      <c r="L58" s="184" t="str">
        <f>IF('Option 1'!L58="","",'Option 1'!L58)</f>
        <v/>
      </c>
      <c r="M58" s="184" t="str">
        <f>IF('Option 1'!M58="","",'Option 1'!M58)</f>
        <v/>
      </c>
      <c r="N58" s="184" t="str">
        <f>IF('Option 1'!N58="","",'Option 1'!N58)</f>
        <v/>
      </c>
      <c r="O58" s="184" t="str">
        <f>IF('Option 1'!O58="","",'Option 1'!O58)</f>
        <v/>
      </c>
      <c r="P58" s="124">
        <f t="shared" si="8"/>
        <v>0</v>
      </c>
    </row>
    <row r="59" spans="1:16" ht="15.75" customHeight="1" x14ac:dyDescent="0.25">
      <c r="A59" s="239"/>
      <c r="B59" s="4" t="str">
        <f>IF('Option 1'!B59="","",'Option 1'!B59)</f>
        <v/>
      </c>
      <c r="C59" s="182" t="str">
        <f>IF('Option 1'!C59="","",'Option 1'!C59)</f>
        <v>Shingle Roofing (Clubhouse)</v>
      </c>
      <c r="D59" s="186" t="str">
        <f>IF('Option 1'!D59="","",'Option 1'!D59)</f>
        <v/>
      </c>
      <c r="E59" s="184">
        <f>IF('Option 1'!E59="","",'Option 1'!E59)</f>
        <v>5175</v>
      </c>
      <c r="F59" s="184" t="str">
        <f>IF('Option 1'!F59="","",'Option 1'!F59)</f>
        <v/>
      </c>
      <c r="G59" s="184" t="str">
        <f>IF('Option 1'!G59="","",'Option 1'!G59)</f>
        <v/>
      </c>
      <c r="H59" s="184" t="str">
        <f>IF('Option 1'!H59="","",'Option 1'!H59)</f>
        <v/>
      </c>
      <c r="I59" s="184" t="str">
        <f>IF('Option 1'!I59="","",'Option 1'!I59)</f>
        <v/>
      </c>
      <c r="J59" s="184" t="str">
        <f>IF('Option 1'!J59="","",'Option 1'!J59)</f>
        <v/>
      </c>
      <c r="K59" s="184" t="str">
        <f>IF('Option 1'!K59="","",'Option 1'!K59)</f>
        <v/>
      </c>
      <c r="L59" s="184" t="str">
        <f>IF('Option 1'!L59="","",'Option 1'!L59)</f>
        <v/>
      </c>
      <c r="M59" s="184" t="str">
        <f>IF('Option 1'!M59="","",'Option 1'!M59)</f>
        <v/>
      </c>
      <c r="N59" s="184" t="str">
        <f>IF('Option 1'!N59="","",'Option 1'!N59)</f>
        <v/>
      </c>
      <c r="O59" s="184" t="str">
        <f>IF('Option 1'!O59="","",'Option 1'!O59)</f>
        <v/>
      </c>
      <c r="P59" s="124">
        <f t="shared" si="8"/>
        <v>5175</v>
      </c>
    </row>
    <row r="60" spans="1:16" ht="15.75" customHeight="1" x14ac:dyDescent="0.25">
      <c r="A60" s="239"/>
      <c r="B60" s="4" t="str">
        <f>IF('Option 1'!B60="","",'Option 1'!B60)</f>
        <v/>
      </c>
      <c r="C60" s="182" t="str">
        <f>IF('Option 1'!C60="","",'Option 1'!C60)</f>
        <v>Flat Roofing (Clubhouse)</v>
      </c>
      <c r="D60" s="183" t="str">
        <f>IF('Option 1'!D60="","",'Option 1'!D60)</f>
        <v/>
      </c>
      <c r="E60" s="184" t="str">
        <f>IF('Option 1'!E60="","",'Option 1'!E60)</f>
        <v/>
      </c>
      <c r="F60" s="184" t="str">
        <f>IF('Option 1'!F60="","",'Option 1'!F60)</f>
        <v/>
      </c>
      <c r="G60" s="184" t="str">
        <f>IF('Option 1'!G60="","",'Option 1'!G60)</f>
        <v/>
      </c>
      <c r="H60" s="184" t="str">
        <f>IF('Option 1'!H60="","",'Option 1'!H60)</f>
        <v/>
      </c>
      <c r="I60" s="184" t="str">
        <f>IF('Option 1'!I60="","",'Option 1'!I60)</f>
        <v/>
      </c>
      <c r="J60" s="184" t="str">
        <f>IF('Option 1'!J60="","",'Option 1'!J60)</f>
        <v/>
      </c>
      <c r="K60" s="184" t="str">
        <f>IF('Option 1'!K60="","",'Option 1'!K60)</f>
        <v/>
      </c>
      <c r="L60" s="184" t="str">
        <f>IF('Option 1'!L60="","",'Option 1'!L60)</f>
        <v/>
      </c>
      <c r="M60" s="184" t="str">
        <f>IF('Option 1'!M60="","",'Option 1'!M60)</f>
        <v/>
      </c>
      <c r="N60" s="184" t="str">
        <f>IF('Option 1'!N60="","",'Option 1'!N60)</f>
        <v/>
      </c>
      <c r="O60" s="184" t="str">
        <f>IF('Option 1'!O60="","",'Option 1'!O60)</f>
        <v/>
      </c>
      <c r="P60" s="124">
        <f t="shared" si="8"/>
        <v>0</v>
      </c>
    </row>
    <row r="61" spans="1:16" ht="15.75" customHeight="1" x14ac:dyDescent="0.25">
      <c r="A61" s="239"/>
      <c r="B61" s="4" t="str">
        <f>IF('Option 1'!B61="","",'Option 1'!B61)</f>
        <v/>
      </c>
      <c r="C61" s="182" t="str">
        <f>IF('Option 1'!C61="","",'Option 1'!C61)</f>
        <v>Roofing (1415 A Wing)</v>
      </c>
      <c r="D61" s="183" t="str">
        <f>IF('Option 1'!D61="","",'Option 1'!D61)</f>
        <v/>
      </c>
      <c r="E61" s="184" t="str">
        <f>IF('Option 1'!E61="","",'Option 1'!E61)</f>
        <v/>
      </c>
      <c r="F61" s="184" t="str">
        <f>IF('Option 1'!F61="","",'Option 1'!F61)</f>
        <v/>
      </c>
      <c r="G61" s="184" t="str">
        <f>IF('Option 1'!G61="","",'Option 1'!G61)</f>
        <v/>
      </c>
      <c r="H61" s="184" t="str">
        <f>IF('Option 1'!H61="","",'Option 1'!H61)</f>
        <v/>
      </c>
      <c r="I61" s="184" t="str">
        <f>IF('Option 1'!I61="","",'Option 1'!I61)</f>
        <v/>
      </c>
      <c r="J61" s="184" t="str">
        <f>IF('Option 1'!J61="","",'Option 1'!J61)</f>
        <v/>
      </c>
      <c r="K61" s="184" t="str">
        <f>IF('Option 1'!K61="","",'Option 1'!K61)</f>
        <v/>
      </c>
      <c r="L61" s="184" t="str">
        <f>IF('Option 1'!L61="","",'Option 1'!L61)</f>
        <v/>
      </c>
      <c r="M61" s="184" t="str">
        <f>IF('Option 1'!M61="","",'Option 1'!M61)</f>
        <v/>
      </c>
      <c r="N61" s="184" t="str">
        <f>IF('Option 1'!N61="","",'Option 1'!N61)</f>
        <v/>
      </c>
      <c r="O61" s="184" t="str">
        <f>IF('Option 1'!O61="","",'Option 1'!O61)</f>
        <v/>
      </c>
      <c r="P61" s="124">
        <f t="shared" si="8"/>
        <v>0</v>
      </c>
    </row>
    <row r="62" spans="1:16" ht="15.75" customHeight="1" x14ac:dyDescent="0.25">
      <c r="A62" s="239"/>
      <c r="B62" s="4" t="str">
        <f>IF('Option 1'!B62="","",'Option 1'!B62)</f>
        <v/>
      </c>
      <c r="C62" s="182" t="str">
        <f>IF('Option 1'!C62="","",'Option 1'!C62)</f>
        <v>Roofing (1405, 1415, 1505, 1515, 1605 &amp; 1605 Core Bldgs.)</v>
      </c>
      <c r="D62" s="183">
        <f>IF('Option 1'!D62="","",'Option 1'!D62)</f>
        <v>26826</v>
      </c>
      <c r="E62" s="184" t="str">
        <f>IF('Option 1'!E62="","",'Option 1'!E62)</f>
        <v/>
      </c>
      <c r="F62" s="184" t="str">
        <f>IF('Option 1'!F62="","",'Option 1'!F62)</f>
        <v/>
      </c>
      <c r="G62" s="184" t="str">
        <f>IF('Option 1'!G62="","",'Option 1'!G62)</f>
        <v/>
      </c>
      <c r="H62" s="184" t="str">
        <f>IF('Option 1'!H62="","",'Option 1'!H62)</f>
        <v/>
      </c>
      <c r="I62" s="184" t="str">
        <f>IF('Option 1'!I62="","",'Option 1'!I62)</f>
        <v/>
      </c>
      <c r="J62" s="184" t="str">
        <f>IF('Option 1'!J62="","",'Option 1'!J62)</f>
        <v/>
      </c>
      <c r="K62" s="184" t="str">
        <f>IF('Option 1'!K62="","",'Option 1'!K62)</f>
        <v/>
      </c>
      <c r="L62" s="184" t="str">
        <f>IF('Option 1'!L62="","",'Option 1'!L62)</f>
        <v/>
      </c>
      <c r="M62" s="184" t="str">
        <f>IF('Option 1'!M62="","",'Option 1'!M62)</f>
        <v/>
      </c>
      <c r="N62" s="184" t="str">
        <f>IF('Option 1'!N62="","",'Option 1'!N62)</f>
        <v/>
      </c>
      <c r="O62" s="184" t="str">
        <f>IF('Option 1'!O62="","",'Option 1'!O62)</f>
        <v/>
      </c>
      <c r="P62" s="124">
        <f t="shared" si="8"/>
        <v>26826</v>
      </c>
    </row>
    <row r="63" spans="1:16" ht="15.75" customHeight="1" x14ac:dyDescent="0.25">
      <c r="A63" s="239"/>
      <c r="B63" s="4" t="str">
        <f>IF('Option 1'!B63="","",'Option 1'!B63)</f>
        <v/>
      </c>
      <c r="C63" s="182" t="str">
        <f>IF('Option 1'!C63="","",'Option 1'!C63)</f>
        <v>Roofing (1605 B Wing)</v>
      </c>
      <c r="D63" s="183" t="str">
        <f>IF('Option 1'!D63="","",'Option 1'!D63)</f>
        <v/>
      </c>
      <c r="E63" s="184" t="str">
        <f>IF('Option 1'!E63="","",'Option 1'!E63)</f>
        <v/>
      </c>
      <c r="F63" s="184" t="str">
        <f>IF('Option 1'!F63="","",'Option 1'!F63)</f>
        <v/>
      </c>
      <c r="G63" s="184" t="str">
        <f>IF('Option 1'!G63="","",'Option 1'!G63)</f>
        <v/>
      </c>
      <c r="H63" s="184">
        <f>IF('Option 1'!H63="","",'Option 1'!H63)</f>
        <v>14465</v>
      </c>
      <c r="I63" s="184" t="str">
        <f>IF('Option 1'!I63="","",'Option 1'!I63)</f>
        <v/>
      </c>
      <c r="J63" s="184" t="str">
        <f>IF('Option 1'!J63="","",'Option 1'!J63)</f>
        <v/>
      </c>
      <c r="K63" s="184" t="str">
        <f>IF('Option 1'!K63="","",'Option 1'!K63)</f>
        <v/>
      </c>
      <c r="L63" s="184" t="str">
        <f>IF('Option 1'!L63="","",'Option 1'!L63)</f>
        <v/>
      </c>
      <c r="M63" s="184" t="str">
        <f>IF('Option 1'!M63="","",'Option 1'!M63)</f>
        <v/>
      </c>
      <c r="N63" s="184" t="str">
        <f>IF('Option 1'!N63="","",'Option 1'!N63)</f>
        <v/>
      </c>
      <c r="O63" s="184" t="str">
        <f>IF('Option 1'!O63="","",'Option 1'!O63)</f>
        <v/>
      </c>
      <c r="P63" s="124">
        <f t="shared" si="8"/>
        <v>14465</v>
      </c>
    </row>
    <row r="64" spans="1:16" ht="15.75" customHeight="1" x14ac:dyDescent="0.25">
      <c r="A64" s="239"/>
      <c r="B64" s="4" t="str">
        <f>IF('Option 1'!B64="","",'Option 1'!B64)</f>
        <v/>
      </c>
      <c r="C64" s="182" t="str">
        <f>IF('Option 1'!C64="","",'Option 1'!C64)</f>
        <v>Roofing (1415 C &amp; 1605 A Wings)</v>
      </c>
      <c r="D64" s="183" t="str">
        <f>IF('Option 1'!D64="","",'Option 1'!D64)</f>
        <v/>
      </c>
      <c r="E64" s="184" t="str">
        <f>IF('Option 1'!E64="","",'Option 1'!E64)</f>
        <v/>
      </c>
      <c r="F64" s="184" t="str">
        <f>IF('Option 1'!F64="","",'Option 1'!F64)</f>
        <v/>
      </c>
      <c r="G64" s="184">
        <f>IF('Option 1'!G64="","",'Option 1'!G64)</f>
        <v>28930</v>
      </c>
      <c r="H64" s="184" t="str">
        <f>IF('Option 1'!H64="","",'Option 1'!H64)</f>
        <v/>
      </c>
      <c r="I64" s="184" t="str">
        <f>IF('Option 1'!I64="","",'Option 1'!I64)</f>
        <v/>
      </c>
      <c r="J64" s="184" t="str">
        <f>IF('Option 1'!J64="","",'Option 1'!J64)</f>
        <v/>
      </c>
      <c r="K64" s="184" t="str">
        <f>IF('Option 1'!K64="","",'Option 1'!K64)</f>
        <v/>
      </c>
      <c r="L64" s="184" t="str">
        <f>IF('Option 1'!L64="","",'Option 1'!L64)</f>
        <v/>
      </c>
      <c r="M64" s="184" t="str">
        <f>IF('Option 1'!M64="","",'Option 1'!M64)</f>
        <v/>
      </c>
      <c r="N64" s="184" t="str">
        <f>IF('Option 1'!N64="","",'Option 1'!N64)</f>
        <v/>
      </c>
      <c r="O64" s="184" t="str">
        <f>IF('Option 1'!O64="","",'Option 1'!O64)</f>
        <v/>
      </c>
      <c r="P64" s="124">
        <f t="shared" si="8"/>
        <v>28930</v>
      </c>
    </row>
    <row r="65" spans="1:16" ht="15.75" customHeight="1" x14ac:dyDescent="0.25">
      <c r="A65" s="239"/>
      <c r="B65" s="4" t="str">
        <f>IF('Option 1'!B65="","",'Option 1'!B65)</f>
        <v/>
      </c>
      <c r="C65" s="182" t="str">
        <f>IF('Option 1'!C65="","",'Option 1'!C65)</f>
        <v>Roofing (1405 A &amp; B, &amp; 1405 C Wings)</v>
      </c>
      <c r="D65" s="183" t="str">
        <f>IF('Option 1'!D65="","",'Option 1'!D65)</f>
        <v/>
      </c>
      <c r="E65" s="184" t="str">
        <f>IF('Option 1'!E65="","",'Option 1'!E65)</f>
        <v/>
      </c>
      <c r="F65" s="184" t="str">
        <f>IF('Option 1'!F65="","",'Option 1'!F65)</f>
        <v/>
      </c>
      <c r="G65" s="184" t="str">
        <f>IF('Option 1'!G65="","",'Option 1'!G65)</f>
        <v/>
      </c>
      <c r="H65" s="184" t="str">
        <f>IF('Option 1'!H65="","",'Option 1'!H65)</f>
        <v/>
      </c>
      <c r="I65" s="184">
        <f>IF('Option 1'!I65="","",'Option 1'!I65)</f>
        <v>43395</v>
      </c>
      <c r="J65" s="184" t="str">
        <f>IF('Option 1'!J65="","",'Option 1'!J65)</f>
        <v/>
      </c>
      <c r="K65" s="184" t="str">
        <f>IF('Option 1'!K65="","",'Option 1'!K65)</f>
        <v/>
      </c>
      <c r="L65" s="184" t="str">
        <f>IF('Option 1'!L65="","",'Option 1'!L65)</f>
        <v/>
      </c>
      <c r="M65" s="184" t="str">
        <f>IF('Option 1'!M65="","",'Option 1'!M65)</f>
        <v/>
      </c>
      <c r="N65" s="184" t="str">
        <f>IF('Option 1'!N65="","",'Option 1'!N65)</f>
        <v/>
      </c>
      <c r="O65" s="184" t="str">
        <f>IF('Option 1'!O65="","",'Option 1'!O65)</f>
        <v/>
      </c>
      <c r="P65" s="124">
        <f t="shared" si="8"/>
        <v>43395</v>
      </c>
    </row>
    <row r="66" spans="1:16" ht="15.75" customHeight="1" x14ac:dyDescent="0.25">
      <c r="A66" s="239"/>
      <c r="B66" s="4" t="str">
        <f>IF('Option 1'!B66="","",'Option 1'!B66)</f>
        <v/>
      </c>
      <c r="C66" s="182" t="str">
        <f>IF('Option 1'!C66="","",'Option 1'!C66)</f>
        <v>Roofing (1515 B, 1515 A &amp; C Wings)</v>
      </c>
      <c r="D66" s="183" t="str">
        <f>IF('Option 1'!D66="","",'Option 1'!D66)</f>
        <v/>
      </c>
      <c r="E66" s="184" t="str">
        <f>IF('Option 1'!E66="","",'Option 1'!E66)</f>
        <v/>
      </c>
      <c r="F66" s="184" t="str">
        <f>IF('Option 1'!F66="","",'Option 1'!F66)</f>
        <v/>
      </c>
      <c r="G66" s="184" t="str">
        <f>IF('Option 1'!G66="","",'Option 1'!G66)</f>
        <v/>
      </c>
      <c r="H66" s="184" t="str">
        <f>IF('Option 1'!H66="","",'Option 1'!H66)</f>
        <v/>
      </c>
      <c r="I66" s="184" t="str">
        <f>IF('Option 1'!I66="","",'Option 1'!I66)</f>
        <v/>
      </c>
      <c r="J66" s="184">
        <f>IF('Option 1'!J66="","",'Option 1'!J66)</f>
        <v>43395</v>
      </c>
      <c r="K66" s="184" t="str">
        <f>IF('Option 1'!K66="","",'Option 1'!K66)</f>
        <v/>
      </c>
      <c r="L66" s="184" t="str">
        <f>IF('Option 1'!L66="","",'Option 1'!L66)</f>
        <v/>
      </c>
      <c r="M66" s="184" t="str">
        <f>IF('Option 1'!M66="","",'Option 1'!M66)</f>
        <v/>
      </c>
      <c r="N66" s="184" t="str">
        <f>IF('Option 1'!N66="","",'Option 1'!N66)</f>
        <v/>
      </c>
      <c r="O66" s="184" t="str">
        <f>IF('Option 1'!O66="","",'Option 1'!O66)</f>
        <v/>
      </c>
      <c r="P66" s="124">
        <f t="shared" si="8"/>
        <v>43395</v>
      </c>
    </row>
    <row r="67" spans="1:16" ht="15.75" customHeight="1" x14ac:dyDescent="0.25">
      <c r="A67" s="239"/>
      <c r="B67" s="4" t="str">
        <f>IF('Option 1'!B67="","",'Option 1'!B67)</f>
        <v/>
      </c>
      <c r="C67" s="182" t="str">
        <f>IF('Option 1'!C67="","",'Option 1'!C67)</f>
        <v>Roofing (1515 A &amp; C, 1615 B Wings)</v>
      </c>
      <c r="D67" s="183" t="str">
        <f>IF('Option 1'!D67="","",'Option 1'!D67)</f>
        <v/>
      </c>
      <c r="E67" s="184" t="str">
        <f>IF('Option 1'!E67="","",'Option 1'!E67)</f>
        <v/>
      </c>
      <c r="F67" s="184" t="str">
        <f>IF('Option 1'!F67="","",'Option 1'!F67)</f>
        <v/>
      </c>
      <c r="G67" s="184" t="str">
        <f>IF('Option 1'!G67="","",'Option 1'!G67)</f>
        <v/>
      </c>
      <c r="H67" s="184" t="str">
        <f>IF('Option 1'!H67="","",'Option 1'!H67)</f>
        <v/>
      </c>
      <c r="I67" s="184" t="str">
        <f>IF('Option 1'!I67="","",'Option 1'!I67)</f>
        <v/>
      </c>
      <c r="J67" s="184" t="str">
        <f>IF('Option 1'!J67="","",'Option 1'!J67)</f>
        <v/>
      </c>
      <c r="K67" s="184">
        <f>IF('Option 1'!K67="","",'Option 1'!K67)</f>
        <v>43395</v>
      </c>
      <c r="L67" s="184" t="str">
        <f>IF('Option 1'!L67="","",'Option 1'!L67)</f>
        <v/>
      </c>
      <c r="M67" s="184" t="str">
        <f>IF('Option 1'!M67="","",'Option 1'!M67)</f>
        <v/>
      </c>
      <c r="N67" s="184" t="str">
        <f>IF('Option 1'!N67="","",'Option 1'!N67)</f>
        <v/>
      </c>
      <c r="O67" s="184" t="str">
        <f>IF('Option 1'!O67="","",'Option 1'!O67)</f>
        <v/>
      </c>
      <c r="P67" s="124">
        <f t="shared" si="8"/>
        <v>43395</v>
      </c>
    </row>
    <row r="68" spans="1:16" ht="15.75" customHeight="1" x14ac:dyDescent="0.25">
      <c r="A68" s="239"/>
      <c r="B68" s="4" t="str">
        <f>IF('Option 1'!B68="","",'Option 1'!B68)</f>
        <v/>
      </c>
      <c r="C68" s="182" t="str">
        <f>IF('Option 1'!C68="","",'Option 1'!C68)</f>
        <v>Roofing (1505 A &amp; B Wings)</v>
      </c>
      <c r="D68" s="183" t="str">
        <f>IF('Option 1'!D68="","",'Option 1'!D68)</f>
        <v/>
      </c>
      <c r="E68" s="184" t="str">
        <f>IF('Option 1'!E68="","",'Option 1'!E68)</f>
        <v/>
      </c>
      <c r="F68" s="184" t="str">
        <f>IF('Option 1'!F68="","",'Option 1'!F68)</f>
        <v/>
      </c>
      <c r="G68" s="184" t="str">
        <f>IF('Option 1'!G68="","",'Option 1'!G68)</f>
        <v/>
      </c>
      <c r="H68" s="184" t="str">
        <f>IF('Option 1'!H68="","",'Option 1'!H68)</f>
        <v/>
      </c>
      <c r="I68" s="184" t="str">
        <f>IF('Option 1'!I68="","",'Option 1'!I68)</f>
        <v/>
      </c>
      <c r="J68" s="184" t="str">
        <f>IF('Option 1'!J68="","",'Option 1'!J68)</f>
        <v/>
      </c>
      <c r="K68" s="184" t="str">
        <f>IF('Option 1'!K68="","",'Option 1'!K68)</f>
        <v/>
      </c>
      <c r="L68" s="184">
        <f>IF('Option 1'!L68="","",'Option 1'!L68)</f>
        <v>28930</v>
      </c>
      <c r="M68" s="184" t="str">
        <f>IF('Option 1'!M68="","",'Option 1'!M68)</f>
        <v/>
      </c>
      <c r="N68" s="184" t="str">
        <f>IF('Option 1'!N68="","",'Option 1'!N68)</f>
        <v/>
      </c>
      <c r="O68" s="184" t="str">
        <f>IF('Option 1'!O68="","",'Option 1'!O68)</f>
        <v/>
      </c>
      <c r="P68" s="124">
        <f t="shared" si="8"/>
        <v>28930</v>
      </c>
    </row>
    <row r="69" spans="1:16" ht="15.75" customHeight="1" x14ac:dyDescent="0.25">
      <c r="A69" s="239"/>
      <c r="B69" s="4" t="str">
        <f>IF('Option 1'!B69="","",'Option 1'!B69)</f>
        <v/>
      </c>
      <c r="C69" s="182" t="str">
        <f>IF('Option 1'!C69="","",'Option 1'!C69)</f>
        <v>Roofing (1415 B &amp; 1605 C Wings)</v>
      </c>
      <c r="D69" s="183" t="str">
        <f>IF('Option 1'!D69="","",'Option 1'!D69)</f>
        <v/>
      </c>
      <c r="E69" s="184" t="str">
        <f>IF('Option 1'!E69="","",'Option 1'!E69)</f>
        <v/>
      </c>
      <c r="F69" s="184" t="str">
        <f>IF('Option 1'!F69="","",'Option 1'!F69)</f>
        <v/>
      </c>
      <c r="G69" s="184" t="str">
        <f>IF('Option 1'!G69="","",'Option 1'!G69)</f>
        <v/>
      </c>
      <c r="H69" s="184" t="str">
        <f>IF('Option 1'!H69="","",'Option 1'!H69)</f>
        <v/>
      </c>
      <c r="I69" s="184" t="str">
        <f>IF('Option 1'!I69="","",'Option 1'!I69)</f>
        <v/>
      </c>
      <c r="J69" s="184" t="str">
        <f>IF('Option 1'!J69="","",'Option 1'!J69)</f>
        <v/>
      </c>
      <c r="K69" s="184" t="str">
        <f>IF('Option 1'!K69="","",'Option 1'!K69)</f>
        <v/>
      </c>
      <c r="L69" s="184" t="str">
        <f>IF('Option 1'!L69="","",'Option 1'!L69)</f>
        <v/>
      </c>
      <c r="M69" s="184" t="str">
        <f>IF('Option 1'!M69="","",'Option 1'!M69)</f>
        <v/>
      </c>
      <c r="N69" s="184" t="str">
        <f>IF('Option 1'!N69="","",'Option 1'!N69)</f>
        <v/>
      </c>
      <c r="O69" s="184" t="str">
        <f>IF('Option 1'!O69="","",'Option 1'!O69)</f>
        <v/>
      </c>
      <c r="P69" s="124">
        <f t="shared" si="8"/>
        <v>0</v>
      </c>
    </row>
    <row r="70" spans="1:16" ht="15.75" customHeight="1" x14ac:dyDescent="0.25">
      <c r="A70" s="239"/>
      <c r="B70" s="4" t="str">
        <f>IF('Option 1'!B70="","",'Option 1'!B70)</f>
        <v/>
      </c>
      <c r="C70" s="182" t="str">
        <f>IF('Option 1'!C70="","",'Option 1'!C70)</f>
        <v>Gutters and Downspouts (Clubhouse)</v>
      </c>
      <c r="D70" s="183" t="str">
        <f>IF('Option 1'!D70="","",'Option 1'!D70)</f>
        <v/>
      </c>
      <c r="E70" s="184" t="str">
        <f>IF('Option 1'!E70="","",'Option 1'!E70)</f>
        <v/>
      </c>
      <c r="F70" s="184" t="str">
        <f>IF('Option 1'!F70="","",'Option 1'!F70)</f>
        <v/>
      </c>
      <c r="G70" s="184" t="str">
        <f>IF('Option 1'!G70="","",'Option 1'!G70)</f>
        <v/>
      </c>
      <c r="H70" s="184" t="str">
        <f>IF('Option 1'!H70="","",'Option 1'!H70)</f>
        <v/>
      </c>
      <c r="I70" s="184" t="str">
        <f>IF('Option 1'!I70="","",'Option 1'!I70)</f>
        <v/>
      </c>
      <c r="J70" s="184" t="str">
        <f>IF('Option 1'!J70="","",'Option 1'!J70)</f>
        <v/>
      </c>
      <c r="K70" s="184" t="str">
        <f>IF('Option 1'!K70="","",'Option 1'!K70)</f>
        <v/>
      </c>
      <c r="L70" s="184" t="str">
        <f>IF('Option 1'!L70="","",'Option 1'!L70)</f>
        <v/>
      </c>
      <c r="M70" s="184" t="str">
        <f>IF('Option 1'!M70="","",'Option 1'!M70)</f>
        <v/>
      </c>
      <c r="N70" s="184" t="str">
        <f>IF('Option 1'!N70="","",'Option 1'!N70)</f>
        <v/>
      </c>
      <c r="O70" s="184" t="str">
        <f>IF('Option 1'!O70="","",'Option 1'!O70)</f>
        <v/>
      </c>
      <c r="P70" s="124">
        <f t="shared" si="8"/>
        <v>0</v>
      </c>
    </row>
    <row r="71" spans="1:16" ht="15.75" customHeight="1" x14ac:dyDescent="0.25">
      <c r="A71" s="239"/>
      <c r="B71" s="4" t="str">
        <f>IF('Option 1'!B71="","",'Option 1'!B71)</f>
        <v/>
      </c>
      <c r="C71" s="182" t="str">
        <f>IF('Option 1'!C71="","",'Option 1'!C71)</f>
        <v>Gutters and Downspouts (Bldg. 1505)</v>
      </c>
      <c r="D71" s="183" t="str">
        <f>IF('Option 1'!D71="","",'Option 1'!D71)</f>
        <v/>
      </c>
      <c r="E71" s="184" t="str">
        <f>IF('Option 1'!E71="","",'Option 1'!E71)</f>
        <v/>
      </c>
      <c r="F71" s="184" t="str">
        <f>IF('Option 1'!F71="","",'Option 1'!F71)</f>
        <v/>
      </c>
      <c r="G71" s="184" t="str">
        <f>IF('Option 1'!G71="","",'Option 1'!G71)</f>
        <v/>
      </c>
      <c r="H71" s="184" t="str">
        <f>IF('Option 1'!H71="","",'Option 1'!H71)</f>
        <v/>
      </c>
      <c r="I71" s="184" t="str">
        <f>IF('Option 1'!I71="","",'Option 1'!I71)</f>
        <v/>
      </c>
      <c r="J71" s="184" t="str">
        <f>IF('Option 1'!J71="","",'Option 1'!J71)</f>
        <v/>
      </c>
      <c r="K71" s="184" t="str">
        <f>IF('Option 1'!K71="","",'Option 1'!K71)</f>
        <v/>
      </c>
      <c r="L71" s="184" t="str">
        <f>IF('Option 1'!L71="","",'Option 1'!L71)</f>
        <v/>
      </c>
      <c r="M71" s="184" t="str">
        <f>IF('Option 1'!M71="","",'Option 1'!M71)</f>
        <v/>
      </c>
      <c r="N71" s="184" t="str">
        <f>IF('Option 1'!N71="","",'Option 1'!N71)</f>
        <v/>
      </c>
      <c r="O71" s="184" t="str">
        <f>IF('Option 1'!O71="","",'Option 1'!O71)</f>
        <v/>
      </c>
      <c r="P71" s="124">
        <f t="shared" si="8"/>
        <v>0</v>
      </c>
    </row>
    <row r="72" spans="1:16" ht="15.75" customHeight="1" x14ac:dyDescent="0.25">
      <c r="A72" s="239"/>
      <c r="B72" s="4" t="str">
        <f>IF('Option 1'!B72="","",'Option 1'!B72)</f>
        <v/>
      </c>
      <c r="C72" s="182" t="str">
        <f>IF('Option 1'!C72="","",'Option 1'!C72)</f>
        <v>Gutters and Downspouts (Bldg. 1405)</v>
      </c>
      <c r="D72" s="183" t="str">
        <f>IF('Option 1'!D72="","",'Option 1'!D72)</f>
        <v/>
      </c>
      <c r="E72" s="184" t="str">
        <f>IF('Option 1'!E72="","",'Option 1'!E72)</f>
        <v/>
      </c>
      <c r="F72" s="184" t="str">
        <f>IF('Option 1'!F72="","",'Option 1'!F72)</f>
        <v/>
      </c>
      <c r="G72" s="184" t="str">
        <f>IF('Option 1'!G72="","",'Option 1'!G72)</f>
        <v/>
      </c>
      <c r="H72" s="184" t="str">
        <f>IF('Option 1'!H72="","",'Option 1'!H72)</f>
        <v/>
      </c>
      <c r="I72" s="184" t="str">
        <f>IF('Option 1'!I72="","",'Option 1'!I72)</f>
        <v/>
      </c>
      <c r="J72" s="184" t="str">
        <f>IF('Option 1'!J72="","",'Option 1'!J72)</f>
        <v/>
      </c>
      <c r="K72" s="184" t="str">
        <f>IF('Option 1'!K72="","",'Option 1'!K72)</f>
        <v/>
      </c>
      <c r="L72" s="184" t="str">
        <f>IF('Option 1'!L72="","",'Option 1'!L72)</f>
        <v/>
      </c>
      <c r="M72" s="184" t="str">
        <f>IF('Option 1'!M72="","",'Option 1'!M72)</f>
        <v/>
      </c>
      <c r="N72" s="184" t="str">
        <f>IF('Option 1'!N72="","",'Option 1'!N72)</f>
        <v/>
      </c>
      <c r="O72" s="184" t="str">
        <f>IF('Option 1'!O72="","",'Option 1'!O72)</f>
        <v/>
      </c>
      <c r="P72" s="124">
        <f t="shared" si="8"/>
        <v>0</v>
      </c>
    </row>
    <row r="73" spans="1:16" ht="15.75" customHeight="1" x14ac:dyDescent="0.25">
      <c r="A73" s="239"/>
      <c r="B73" s="4" t="str">
        <f>IF('Option 1'!B73="","",'Option 1'!B73)</f>
        <v/>
      </c>
      <c r="C73" s="182" t="str">
        <f>IF('Option 1'!C73="","",'Option 1'!C73)</f>
        <v>Gutters and Downspouts (Bldgs. 1415, 1515, 1605, &amp; 1615)</v>
      </c>
      <c r="D73" s="183" t="str">
        <f>IF('Option 1'!D73="","",'Option 1'!D73)</f>
        <v/>
      </c>
      <c r="E73" s="184" t="str">
        <f>IF('Option 1'!E73="","",'Option 1'!E73)</f>
        <v/>
      </c>
      <c r="F73" s="184" t="str">
        <f>IF('Option 1'!F73="","",'Option 1'!F73)</f>
        <v/>
      </c>
      <c r="G73" s="184" t="str">
        <f>IF('Option 1'!G73="","",'Option 1'!G73)</f>
        <v/>
      </c>
      <c r="H73" s="184" t="str">
        <f>IF('Option 1'!H73="","",'Option 1'!H73)</f>
        <v/>
      </c>
      <c r="I73" s="184" t="str">
        <f>IF('Option 1'!I73="","",'Option 1'!I73)</f>
        <v/>
      </c>
      <c r="J73" s="184" t="str">
        <f>IF('Option 1'!J73="","",'Option 1'!J73)</f>
        <v/>
      </c>
      <c r="K73" s="184" t="str">
        <f>IF('Option 1'!K73="","",'Option 1'!K73)</f>
        <v/>
      </c>
      <c r="L73" s="184" t="str">
        <f>IF('Option 1'!L73="","",'Option 1'!L73)</f>
        <v/>
      </c>
      <c r="M73" s="184" t="str">
        <f>IF('Option 1'!M73="","",'Option 1'!M73)</f>
        <v/>
      </c>
      <c r="N73" s="184" t="str">
        <f>IF('Option 1'!N73="","",'Option 1'!N73)</f>
        <v/>
      </c>
      <c r="O73" s="184" t="str">
        <f>IF('Option 1'!O73="","",'Option 1'!O73)</f>
        <v/>
      </c>
      <c r="P73" s="124">
        <f t="shared" si="8"/>
        <v>0</v>
      </c>
    </row>
    <row r="74" spans="1:16" ht="15.75" customHeight="1" x14ac:dyDescent="0.25">
      <c r="A74" s="239"/>
      <c r="B74" s="4" t="str">
        <f>IF('Option 1'!B74="","",'Option 1'!B74)</f>
        <v/>
      </c>
      <c r="C74" s="182" t="str">
        <f>IF('Option 1'!C74="","",'Option 1'!C74)</f>
        <v>Skylights (Clubhouse)</v>
      </c>
      <c r="D74" s="183" t="str">
        <f>IF('Option 1'!D74="","",'Option 1'!D74)</f>
        <v/>
      </c>
      <c r="E74" s="184" t="str">
        <f>IF('Option 1'!E74="","",'Option 1'!E74)</f>
        <v/>
      </c>
      <c r="F74" s="184" t="str">
        <f>IF('Option 1'!F74="","",'Option 1'!F74)</f>
        <v/>
      </c>
      <c r="G74" s="184" t="str">
        <f>IF('Option 1'!G74="","",'Option 1'!G74)</f>
        <v/>
      </c>
      <c r="H74" s="184">
        <f>IF('Option 1'!H74="","",'Option 1'!H74)</f>
        <v>1910</v>
      </c>
      <c r="I74" s="184" t="str">
        <f>IF('Option 1'!I74="","",'Option 1'!I74)</f>
        <v/>
      </c>
      <c r="J74" s="184" t="str">
        <f>IF('Option 1'!J74="","",'Option 1'!J74)</f>
        <v/>
      </c>
      <c r="K74" s="184" t="str">
        <f>IF('Option 1'!K74="","",'Option 1'!K74)</f>
        <v/>
      </c>
      <c r="L74" s="184" t="str">
        <f>IF('Option 1'!L74="","",'Option 1'!L74)</f>
        <v/>
      </c>
      <c r="M74" s="184" t="str">
        <f>IF('Option 1'!M74="","",'Option 1'!M74)</f>
        <v/>
      </c>
      <c r="N74" s="184" t="str">
        <f>IF('Option 1'!N74="","",'Option 1'!N74)</f>
        <v/>
      </c>
      <c r="O74" s="184" t="str">
        <f>IF('Option 1'!O74="","",'Option 1'!O74)</f>
        <v/>
      </c>
      <c r="P74" s="124">
        <f t="shared" si="8"/>
        <v>1910</v>
      </c>
    </row>
    <row r="75" spans="1:16" ht="15.75" customHeight="1" x14ac:dyDescent="0.25">
      <c r="A75" s="239"/>
      <c r="B75" s="4" t="str">
        <f>IF('Option 1'!B75="","",'Option 1'!B75)</f>
        <v/>
      </c>
      <c r="C75" s="182" t="str">
        <f>IF('Option 1'!C75="","",'Option 1'!C75)</f>
        <v>Metal Fascia (1515 A &amp; C, &amp; 1615 B Wings)</v>
      </c>
      <c r="D75" s="183" t="str">
        <f>IF('Option 1'!D75="","",'Option 1'!D75)</f>
        <v/>
      </c>
      <c r="E75" s="184" t="str">
        <f>IF('Option 1'!E75="","",'Option 1'!E75)</f>
        <v/>
      </c>
      <c r="F75" s="184" t="str">
        <f>IF('Option 1'!F75="","",'Option 1'!F75)</f>
        <v/>
      </c>
      <c r="G75" s="184" t="str">
        <f>IF('Option 1'!G75="","",'Option 1'!G75)</f>
        <v/>
      </c>
      <c r="H75" s="184" t="str">
        <f>IF('Option 1'!H75="","",'Option 1'!H75)</f>
        <v/>
      </c>
      <c r="I75" s="184" t="str">
        <f>IF('Option 1'!I75="","",'Option 1'!I75)</f>
        <v/>
      </c>
      <c r="J75" s="184" t="str">
        <f>IF('Option 1'!J75="","",'Option 1'!J75)</f>
        <v/>
      </c>
      <c r="K75" s="184" t="str">
        <f>IF('Option 1'!K75="","",'Option 1'!K75)</f>
        <v/>
      </c>
      <c r="L75" s="184" t="str">
        <f>IF('Option 1'!L75="","",'Option 1'!L75)</f>
        <v/>
      </c>
      <c r="M75" s="184" t="str">
        <f>IF('Option 1'!M75="","",'Option 1'!M75)</f>
        <v/>
      </c>
      <c r="N75" s="184" t="str">
        <f>IF('Option 1'!N75="","",'Option 1'!N75)</f>
        <v/>
      </c>
      <c r="O75" s="184" t="str">
        <f>IF('Option 1'!O75="","",'Option 1'!O75)</f>
        <v/>
      </c>
      <c r="P75" s="124">
        <f t="shared" si="8"/>
        <v>0</v>
      </c>
    </row>
    <row r="76" spans="1:16" ht="15.75" customHeight="1" x14ac:dyDescent="0.25">
      <c r="A76" s="239"/>
      <c r="B76" s="4" t="str">
        <f>IF('Option 1'!B76="","",'Option 1'!B76)</f>
        <v/>
      </c>
      <c r="C76" s="182" t="str">
        <f>IF('Option 1'!C76="","",'Option 1'!C76)</f>
        <v>Metal Fascia (1515 B, &amp; 1615 A &amp; C Wings)</v>
      </c>
      <c r="D76" s="183" t="str">
        <f>IF('Option 1'!D76="","",'Option 1'!D76)</f>
        <v/>
      </c>
      <c r="E76" s="184" t="str">
        <f>IF('Option 1'!E76="","",'Option 1'!E76)</f>
        <v/>
      </c>
      <c r="F76" s="184" t="str">
        <f>IF('Option 1'!F76="","",'Option 1'!F76)</f>
        <v/>
      </c>
      <c r="G76" s="184" t="str">
        <f>IF('Option 1'!G76="","",'Option 1'!G76)</f>
        <v/>
      </c>
      <c r="H76" s="184" t="str">
        <f>IF('Option 1'!H76="","",'Option 1'!H76)</f>
        <v/>
      </c>
      <c r="I76" s="184" t="str">
        <f>IF('Option 1'!I76="","",'Option 1'!I76)</f>
        <v/>
      </c>
      <c r="J76" s="184" t="str">
        <f>IF('Option 1'!J76="","",'Option 1'!J76)</f>
        <v/>
      </c>
      <c r="K76" s="184" t="str">
        <f>IF('Option 1'!K76="","",'Option 1'!K76)</f>
        <v/>
      </c>
      <c r="L76" s="184" t="str">
        <f>IF('Option 1'!L76="","",'Option 1'!L76)</f>
        <v/>
      </c>
      <c r="M76" s="184" t="str">
        <f>IF('Option 1'!M76="","",'Option 1'!M76)</f>
        <v/>
      </c>
      <c r="N76" s="184" t="str">
        <f>IF('Option 1'!N76="","",'Option 1'!N76)</f>
        <v/>
      </c>
      <c r="O76" s="184">
        <f>IF('Option 1'!O76="","",'Option 1'!O76)</f>
        <v>7326</v>
      </c>
      <c r="P76" s="124">
        <f t="shared" si="8"/>
        <v>7326</v>
      </c>
    </row>
    <row r="77" spans="1:16" ht="15.75" customHeight="1" x14ac:dyDescent="0.25">
      <c r="A77" s="239"/>
      <c r="B77" s="4" t="str">
        <f>IF('Option 1'!B77="","",'Option 1'!B77)</f>
        <v/>
      </c>
      <c r="C77" s="182" t="str">
        <f>IF('Option 1'!C77="","",'Option 1'!C77)</f>
        <v>Metal Fascia (1405 A, B &amp; C Wings)</v>
      </c>
      <c r="D77" s="183" t="str">
        <f>IF('Option 1'!D77="","",'Option 1'!D77)</f>
        <v/>
      </c>
      <c r="E77" s="184" t="str">
        <f>IF('Option 1'!E77="","",'Option 1'!E77)</f>
        <v/>
      </c>
      <c r="F77" s="184" t="str">
        <f>IF('Option 1'!F77="","",'Option 1'!F77)</f>
        <v/>
      </c>
      <c r="G77" s="184" t="str">
        <f>IF('Option 1'!G77="","",'Option 1'!G77)</f>
        <v/>
      </c>
      <c r="H77" s="184" t="str">
        <f>IF('Option 1'!H77="","",'Option 1'!H77)</f>
        <v/>
      </c>
      <c r="I77" s="184" t="str">
        <f>IF('Option 1'!I77="","",'Option 1'!I77)</f>
        <v/>
      </c>
      <c r="J77" s="184" t="str">
        <f>IF('Option 1'!J77="","",'Option 1'!J77)</f>
        <v/>
      </c>
      <c r="K77" s="184" t="str">
        <f>IF('Option 1'!K77="","",'Option 1'!K77)</f>
        <v/>
      </c>
      <c r="L77" s="184" t="str">
        <f>IF('Option 1'!L77="","",'Option 1'!L77)</f>
        <v/>
      </c>
      <c r="M77" s="184" t="str">
        <f>IF('Option 1'!M77="","",'Option 1'!M77)</f>
        <v/>
      </c>
      <c r="N77" s="184">
        <f>IF('Option 1'!N77="","",'Option 1'!N77)</f>
        <v>7326</v>
      </c>
      <c r="O77" s="184" t="str">
        <f>IF('Option 1'!O77="","",'Option 1'!O77)</f>
        <v/>
      </c>
      <c r="P77" s="124">
        <f t="shared" si="8"/>
        <v>7326</v>
      </c>
    </row>
    <row r="78" spans="1:16" ht="15.75" customHeight="1" x14ac:dyDescent="0.25">
      <c r="A78" s="239"/>
      <c r="B78" s="4" t="str">
        <f>IF('Option 1'!B78="","",'Option 1'!B78)</f>
        <v/>
      </c>
      <c r="C78" s="182" t="str">
        <f>IF('Option 1'!C78="","",'Option 1'!C78)</f>
        <v>Metal Fascia (1605 B Wing)</v>
      </c>
      <c r="D78" s="183" t="str">
        <f>IF('Option 1'!D78="","",'Option 1'!D78)</f>
        <v/>
      </c>
      <c r="E78" s="184" t="str">
        <f>IF('Option 1'!E78="","",'Option 1'!E78)</f>
        <v/>
      </c>
      <c r="F78" s="184" t="str">
        <f>IF('Option 1'!F78="","",'Option 1'!F78)</f>
        <v/>
      </c>
      <c r="G78" s="184" t="str">
        <f>IF('Option 1'!G78="","",'Option 1'!G78)</f>
        <v/>
      </c>
      <c r="H78" s="184" t="str">
        <f>IF('Option 1'!H78="","",'Option 1'!H78)</f>
        <v/>
      </c>
      <c r="I78" s="184" t="str">
        <f>IF('Option 1'!I78="","",'Option 1'!I78)</f>
        <v/>
      </c>
      <c r="J78" s="184" t="str">
        <f>IF('Option 1'!J78="","",'Option 1'!J78)</f>
        <v/>
      </c>
      <c r="K78" s="184" t="str">
        <f>IF('Option 1'!K78="","",'Option 1'!K78)</f>
        <v/>
      </c>
      <c r="L78" s="184" t="str">
        <f>IF('Option 1'!L78="","",'Option 1'!L78)</f>
        <v/>
      </c>
      <c r="M78" s="184">
        <f>IF('Option 1'!M78="","",'Option 1'!M78)</f>
        <v>2442</v>
      </c>
      <c r="N78" s="184" t="str">
        <f>IF('Option 1'!N78="","",'Option 1'!N78)</f>
        <v/>
      </c>
      <c r="O78" s="184" t="str">
        <f>IF('Option 1'!O78="","",'Option 1'!O78)</f>
        <v/>
      </c>
      <c r="P78" s="124">
        <f t="shared" si="8"/>
        <v>2442</v>
      </c>
    </row>
    <row r="79" spans="1:16" ht="15.75" customHeight="1" x14ac:dyDescent="0.25">
      <c r="A79" s="239"/>
      <c r="B79" s="4" t="str">
        <f>IF('Option 1'!B79="","",'Option 1'!B79)</f>
        <v/>
      </c>
      <c r="C79" s="182" t="str">
        <f>IF('Option 1'!C79="","",'Option 1'!C79)</f>
        <v>Metal Fascia (1415 C &amp; 1605 A Wings)</v>
      </c>
      <c r="D79" s="183" t="str">
        <f>IF('Option 1'!D79="","",'Option 1'!D79)</f>
        <v/>
      </c>
      <c r="E79" s="184" t="str">
        <f>IF('Option 1'!E79="","",'Option 1'!E79)</f>
        <v/>
      </c>
      <c r="F79" s="184" t="str">
        <f>IF('Option 1'!F79="","",'Option 1'!F79)</f>
        <v/>
      </c>
      <c r="G79" s="184" t="str">
        <f>IF('Option 1'!G79="","",'Option 1'!G79)</f>
        <v/>
      </c>
      <c r="H79" s="184" t="str">
        <f>IF('Option 1'!H79="","",'Option 1'!H79)</f>
        <v/>
      </c>
      <c r="I79" s="184" t="str">
        <f>IF('Option 1'!I79="","",'Option 1'!I79)</f>
        <v/>
      </c>
      <c r="J79" s="184" t="str">
        <f>IF('Option 1'!J79="","",'Option 1'!J79)</f>
        <v/>
      </c>
      <c r="K79" s="184" t="str">
        <f>IF('Option 1'!K79="","",'Option 1'!K79)</f>
        <v/>
      </c>
      <c r="L79" s="184">
        <f>IF('Option 1'!L79="","",'Option 1'!L79)</f>
        <v>4884</v>
      </c>
      <c r="M79" s="184" t="str">
        <f>IF('Option 1'!M79="","",'Option 1'!M79)</f>
        <v/>
      </c>
      <c r="N79" s="184" t="str">
        <f>IF('Option 1'!N79="","",'Option 1'!N79)</f>
        <v/>
      </c>
      <c r="O79" s="184" t="str">
        <f>IF('Option 1'!O79="","",'Option 1'!O79)</f>
        <v/>
      </c>
      <c r="P79" s="124">
        <f t="shared" si="8"/>
        <v>4884</v>
      </c>
    </row>
    <row r="80" spans="1:16" ht="15.75" customHeight="1" x14ac:dyDescent="0.25">
      <c r="A80" s="239"/>
      <c r="B80" s="4" t="str">
        <f>IF('Option 1'!B80="","",'Option 1'!B80)</f>
        <v/>
      </c>
      <c r="C80" s="182" t="str">
        <f>IF('Option 1'!C80="","",'Option 1'!C80)</f>
        <v>Metal Fascia (1415 A Wing)</v>
      </c>
      <c r="D80" s="183" t="str">
        <f>IF('Option 1'!D80="","",'Option 1'!D80)</f>
        <v/>
      </c>
      <c r="E80" s="184" t="str">
        <f>IF('Option 1'!E80="","",'Option 1'!E80)</f>
        <v/>
      </c>
      <c r="F80" s="184" t="str">
        <f>IF('Option 1'!F80="","",'Option 1'!F80)</f>
        <v/>
      </c>
      <c r="G80" s="184" t="str">
        <f>IF('Option 1'!G80="","",'Option 1'!G80)</f>
        <v/>
      </c>
      <c r="H80" s="184">
        <f>IF('Option 1'!H80="","",'Option 1'!H80)</f>
        <v>2442</v>
      </c>
      <c r="I80" s="184" t="str">
        <f>IF('Option 1'!I80="","",'Option 1'!I80)</f>
        <v/>
      </c>
      <c r="J80" s="184" t="str">
        <f>IF('Option 1'!J80="","",'Option 1'!J80)</f>
        <v/>
      </c>
      <c r="K80" s="184" t="str">
        <f>IF('Option 1'!K80="","",'Option 1'!K80)</f>
        <v/>
      </c>
      <c r="L80" s="184" t="str">
        <f>IF('Option 1'!L80="","",'Option 1'!L80)</f>
        <v/>
      </c>
      <c r="M80" s="184" t="str">
        <f>IF('Option 1'!M80="","",'Option 1'!M80)</f>
        <v/>
      </c>
      <c r="N80" s="184" t="str">
        <f>IF('Option 1'!N80="","",'Option 1'!N80)</f>
        <v/>
      </c>
      <c r="O80" s="184" t="str">
        <f>IF('Option 1'!O80="","",'Option 1'!O80)</f>
        <v/>
      </c>
      <c r="P80" s="124">
        <f t="shared" si="8"/>
        <v>2442</v>
      </c>
    </row>
    <row r="81" spans="1:16" ht="15.75" customHeight="1" x14ac:dyDescent="0.25">
      <c r="A81" s="239"/>
      <c r="B81" s="4" t="str">
        <f>IF('Option 1'!B81="","",'Option 1'!B81)</f>
        <v/>
      </c>
      <c r="C81" s="182" t="str">
        <f>IF('Option 1'!C81="","",'Option 1'!C81)</f>
        <v>Metal Fascia (1415 B &amp; 1605 C Wings)</v>
      </c>
      <c r="D81" s="183" t="str">
        <f>IF('Option 1'!D81="","",'Option 1'!D81)</f>
        <v/>
      </c>
      <c r="E81" s="184" t="str">
        <f>IF('Option 1'!E81="","",'Option 1'!E81)</f>
        <v/>
      </c>
      <c r="F81" s="184" t="str">
        <f>IF('Option 1'!F81="","",'Option 1'!F81)</f>
        <v/>
      </c>
      <c r="G81" s="184" t="str">
        <f>IF('Option 1'!G81="","",'Option 1'!G81)</f>
        <v/>
      </c>
      <c r="H81" s="184" t="str">
        <f>IF('Option 1'!H81="","",'Option 1'!H81)</f>
        <v/>
      </c>
      <c r="I81" s="184" t="str">
        <f>IF('Option 1'!I81="","",'Option 1'!I81)</f>
        <v/>
      </c>
      <c r="J81" s="184" t="str">
        <f>IF('Option 1'!J81="","",'Option 1'!J81)</f>
        <v/>
      </c>
      <c r="K81" s="184" t="str">
        <f>IF('Option 1'!K81="","",'Option 1'!K81)</f>
        <v/>
      </c>
      <c r="L81" s="184" t="str">
        <f>IF('Option 1'!L81="","",'Option 1'!L81)</f>
        <v/>
      </c>
      <c r="M81" s="184" t="str">
        <f>IF('Option 1'!M81="","",'Option 1'!M81)</f>
        <v/>
      </c>
      <c r="N81" s="184" t="str">
        <f>IF('Option 1'!N81="","",'Option 1'!N81)</f>
        <v/>
      </c>
      <c r="O81" s="184" t="str">
        <f>IF('Option 1'!O81="","",'Option 1'!O81)</f>
        <v/>
      </c>
      <c r="P81" s="124">
        <f t="shared" si="8"/>
        <v>0</v>
      </c>
    </row>
    <row r="82" spans="1:16" ht="15.75" customHeight="1" x14ac:dyDescent="0.25">
      <c r="A82" s="239"/>
      <c r="B82" s="4" t="str">
        <f>IF('Option 1'!B82="","",'Option 1'!B82)</f>
        <v/>
      </c>
      <c r="C82" s="182" t="str">
        <f>IF('Option 1'!C82="","",'Option 1'!C82)</f>
        <v>Brick Waterproofing (Bldgs. 1405, 1415, 1505, &amp; 1515)</v>
      </c>
      <c r="D82" s="183" t="str">
        <f>IF('Option 1'!D82="","",'Option 1'!D82)</f>
        <v/>
      </c>
      <c r="E82" s="184" t="str">
        <f>IF('Option 1'!E82="","",'Option 1'!E82)</f>
        <v/>
      </c>
      <c r="F82" s="184" t="str">
        <f>IF('Option 1'!F82="","",'Option 1'!F82)</f>
        <v/>
      </c>
      <c r="G82" s="184" t="str">
        <f>IF('Option 1'!G82="","",'Option 1'!G82)</f>
        <v/>
      </c>
      <c r="H82" s="184" t="str">
        <f>IF('Option 1'!H82="","",'Option 1'!H82)</f>
        <v/>
      </c>
      <c r="I82" s="184">
        <f>IF('Option 1'!I82="","",'Option 1'!I82)</f>
        <v>251600</v>
      </c>
      <c r="J82" s="184" t="str">
        <f>IF('Option 1'!J82="","",'Option 1'!J82)</f>
        <v/>
      </c>
      <c r="K82" s="184" t="str">
        <f>IF('Option 1'!K82="","",'Option 1'!K82)</f>
        <v/>
      </c>
      <c r="L82" s="184" t="str">
        <f>IF('Option 1'!L82="","",'Option 1'!L82)</f>
        <v/>
      </c>
      <c r="M82" s="184" t="str">
        <f>IF('Option 1'!M82="","",'Option 1'!M82)</f>
        <v/>
      </c>
      <c r="N82" s="184" t="str">
        <f>IF('Option 1'!N82="","",'Option 1'!N82)</f>
        <v/>
      </c>
      <c r="O82" s="184" t="str">
        <f>IF('Option 1'!O82="","",'Option 1'!O82)</f>
        <v/>
      </c>
      <c r="P82" s="124">
        <f t="shared" si="8"/>
        <v>251600</v>
      </c>
    </row>
    <row r="83" spans="1:16" ht="15.75" customHeight="1" x14ac:dyDescent="0.25">
      <c r="A83" s="239"/>
      <c r="B83" s="4" t="str">
        <f>IF('Option 1'!B83="","",'Option 1'!B83)</f>
        <v/>
      </c>
      <c r="C83" s="182" t="str">
        <f>IF('Option 1'!C83="","",'Option 1'!C83)</f>
        <v>Brick Waterproofing (Bldg. 1605)</v>
      </c>
      <c r="D83" s="183" t="str">
        <f>IF('Option 1'!D83="","",'Option 1'!D83)</f>
        <v/>
      </c>
      <c r="E83" s="184" t="str">
        <f>IF('Option 1'!E83="","",'Option 1'!E83)</f>
        <v/>
      </c>
      <c r="F83" s="184" t="str">
        <f>IF('Option 1'!F83="","",'Option 1'!F83)</f>
        <v/>
      </c>
      <c r="G83" s="184" t="str">
        <f>IF('Option 1'!G83="","",'Option 1'!G83)</f>
        <v/>
      </c>
      <c r="H83" s="184" t="str">
        <f>IF('Option 1'!H83="","",'Option 1'!H83)</f>
        <v/>
      </c>
      <c r="I83" s="184" t="str">
        <f>IF('Option 1'!I83="","",'Option 1'!I83)</f>
        <v/>
      </c>
      <c r="J83" s="184" t="str">
        <f>IF('Option 1'!J83="","",'Option 1'!J83)</f>
        <v/>
      </c>
      <c r="K83" s="184" t="str">
        <f>IF('Option 1'!K83="","",'Option 1'!K83)</f>
        <v/>
      </c>
      <c r="L83" s="184">
        <f>IF('Option 1'!L83="","",'Option 1'!L83)</f>
        <v>56240</v>
      </c>
      <c r="M83" s="184" t="str">
        <f>IF('Option 1'!M83="","",'Option 1'!M83)</f>
        <v/>
      </c>
      <c r="N83" s="184" t="str">
        <f>IF('Option 1'!N83="","",'Option 1'!N83)</f>
        <v/>
      </c>
      <c r="O83" s="184" t="str">
        <f>IF('Option 1'!O83="","",'Option 1'!O83)</f>
        <v/>
      </c>
      <c r="P83" s="124">
        <f t="shared" si="8"/>
        <v>56240</v>
      </c>
    </row>
    <row r="84" spans="1:16" ht="15.75" customHeight="1" x14ac:dyDescent="0.25">
      <c r="A84" s="239"/>
      <c r="B84" s="4" t="str">
        <f>IF('Option 1'!B84="","",'Option 1'!B84)</f>
        <v/>
      </c>
      <c r="C84" s="182" t="str">
        <f>IF('Option 1'!C84="","",'Option 1'!C84)</f>
        <v>Brick Waterproofing (Bldg. 1615)</v>
      </c>
      <c r="D84" s="183" t="str">
        <f>IF('Option 1'!D84="","",'Option 1'!D84)</f>
        <v/>
      </c>
      <c r="E84" s="184" t="str">
        <f>IF('Option 1'!E84="","",'Option 1'!E84)</f>
        <v/>
      </c>
      <c r="F84" s="184" t="str">
        <f>IF('Option 1'!F84="","",'Option 1'!F84)</f>
        <v/>
      </c>
      <c r="G84" s="184" t="str">
        <f>IF('Option 1'!G84="","",'Option 1'!G84)</f>
        <v/>
      </c>
      <c r="H84" s="184" t="str">
        <f>IF('Option 1'!H84="","",'Option 1'!H84)</f>
        <v/>
      </c>
      <c r="I84" s="184" t="str">
        <f>IF('Option 1'!I84="","",'Option 1'!I84)</f>
        <v/>
      </c>
      <c r="J84" s="184" t="str">
        <f>IF('Option 1'!J84="","",'Option 1'!J84)</f>
        <v/>
      </c>
      <c r="K84" s="184" t="str">
        <f>IF('Option 1'!K84="","",'Option 1'!K84)</f>
        <v/>
      </c>
      <c r="L84" s="184" t="str">
        <f>IF('Option 1'!L84="","",'Option 1'!L84)</f>
        <v/>
      </c>
      <c r="M84" s="184" t="str">
        <f>IF('Option 1'!M84="","",'Option 1'!M84)</f>
        <v/>
      </c>
      <c r="N84" s="184">
        <f>IF('Option 1'!N84="","",'Option 1'!N84)</f>
        <v>56240</v>
      </c>
      <c r="O84" s="184" t="str">
        <f>IF('Option 1'!O84="","",'Option 1'!O84)</f>
        <v/>
      </c>
      <c r="P84" s="124">
        <f t="shared" si="8"/>
        <v>56240</v>
      </c>
    </row>
    <row r="85" spans="1:16" ht="15.75" customHeight="1" x14ac:dyDescent="0.25">
      <c r="A85" s="239"/>
      <c r="B85" s="4" t="str">
        <f>IF('Option 1'!B85="","",'Option 1'!B85)</f>
        <v/>
      </c>
      <c r="C85" s="3" t="str">
        <f>IF('Option 1'!C85="","",'Option 1'!C85)</f>
        <v>Interior Finishes Elements</v>
      </c>
      <c r="D85" s="183" t="str">
        <f>IF('Option 1'!D85="","",'Option 1'!D85)</f>
        <v/>
      </c>
      <c r="E85" s="184" t="str">
        <f>IF('Option 1'!E85="","",'Option 1'!E85)</f>
        <v/>
      </c>
      <c r="F85" s="184" t="str">
        <f>IF('Option 1'!F85="","",'Option 1'!F85)</f>
        <v/>
      </c>
      <c r="G85" s="184" t="str">
        <f>IF('Option 1'!G85="","",'Option 1'!G85)</f>
        <v/>
      </c>
      <c r="H85" s="184" t="str">
        <f>IF('Option 1'!H85="","",'Option 1'!H85)</f>
        <v/>
      </c>
      <c r="I85" s="184" t="str">
        <f>IF('Option 1'!I85="","",'Option 1'!I85)</f>
        <v/>
      </c>
      <c r="J85" s="184" t="str">
        <f>IF('Option 1'!J85="","",'Option 1'!J85)</f>
        <v/>
      </c>
      <c r="K85" s="184" t="str">
        <f>IF('Option 1'!K85="","",'Option 1'!K85)</f>
        <v/>
      </c>
      <c r="L85" s="184" t="str">
        <f>IF('Option 1'!L85="","",'Option 1'!L85)</f>
        <v/>
      </c>
      <c r="M85" s="184" t="str">
        <f>IF('Option 1'!M85="","",'Option 1'!M85)</f>
        <v/>
      </c>
      <c r="N85" s="184" t="str">
        <f>IF('Option 1'!N85="","",'Option 1'!N85)</f>
        <v/>
      </c>
      <c r="O85" s="184" t="str">
        <f>IF('Option 1'!O85="","",'Option 1'!O85)</f>
        <v/>
      </c>
      <c r="P85" s="124">
        <f t="shared" si="8"/>
        <v>0</v>
      </c>
    </row>
    <row r="86" spans="1:16" ht="15.75" customHeight="1" x14ac:dyDescent="0.25">
      <c r="A86" s="239"/>
      <c r="B86" s="4" t="str">
        <f>IF('Option 1'!B86="","",'Option 1'!B86)</f>
        <v/>
      </c>
      <c r="C86" s="182" t="str">
        <f>IF('Option 1'!C86="","",'Option 1'!C86)</f>
        <v>Wing and Lobby Carpet</v>
      </c>
      <c r="D86" s="183" t="str">
        <f>IF('Option 1'!D86="","",'Option 1'!D86)</f>
        <v/>
      </c>
      <c r="E86" s="184" t="str">
        <f>IF('Option 1'!E86="","",'Option 1'!E86)</f>
        <v/>
      </c>
      <c r="F86" s="184" t="str">
        <f>IF('Option 1'!F86="","",'Option 1'!F86)</f>
        <v/>
      </c>
      <c r="G86" s="184">
        <f>IF('Option 1'!G86="","",'Option 1'!G86)</f>
        <v>284095</v>
      </c>
      <c r="H86" s="184" t="str">
        <f>IF('Option 1'!H86="","",'Option 1'!H86)</f>
        <v/>
      </c>
      <c r="I86" s="184" t="str">
        <f>IF('Option 1'!I86="","",'Option 1'!I86)</f>
        <v/>
      </c>
      <c r="J86" s="184" t="str">
        <f>IF('Option 1'!J86="","",'Option 1'!J86)</f>
        <v/>
      </c>
      <c r="K86" s="184" t="str">
        <f>IF('Option 1'!K86="","",'Option 1'!K86)</f>
        <v/>
      </c>
      <c r="L86" s="184" t="str">
        <f>IF('Option 1'!L86="","",'Option 1'!L86)</f>
        <v/>
      </c>
      <c r="M86" s="184" t="str">
        <f>IF('Option 1'!M86="","",'Option 1'!M86)</f>
        <v/>
      </c>
      <c r="N86" s="184" t="str">
        <f>IF('Option 1'!N86="","",'Option 1'!N86)</f>
        <v/>
      </c>
      <c r="O86" s="184" t="str">
        <f>IF('Option 1'!O86="","",'Option 1'!O86)</f>
        <v/>
      </c>
      <c r="P86" s="124">
        <f t="shared" si="8"/>
        <v>284095</v>
      </c>
    </row>
    <row r="87" spans="1:16" ht="15.75" customHeight="1" x14ac:dyDescent="0.25">
      <c r="A87" s="239"/>
      <c r="B87" s="4" t="str">
        <f>IF('Option 1'!B87="","",'Option 1'!B87)</f>
        <v/>
      </c>
      <c r="C87" s="182" t="str">
        <f>IF('Option 1'!C87="","",'Option 1'!C87)</f>
        <v>Core Ceramic Tile</v>
      </c>
      <c r="D87" s="183" t="str">
        <f>IF('Option 1'!D87="","",'Option 1'!D87)</f>
        <v/>
      </c>
      <c r="E87" s="184" t="str">
        <f>IF('Option 1'!E87="","",'Option 1'!E87)</f>
        <v/>
      </c>
      <c r="F87" s="184" t="str">
        <f>IF('Option 1'!F87="","",'Option 1'!F87)</f>
        <v/>
      </c>
      <c r="G87" s="184" t="str">
        <f>IF('Option 1'!G87="","",'Option 1'!G87)</f>
        <v/>
      </c>
      <c r="H87" s="184" t="str">
        <f>IF('Option 1'!H87="","",'Option 1'!H87)</f>
        <v/>
      </c>
      <c r="I87" s="184" t="str">
        <f>IF('Option 1'!I87="","",'Option 1'!I87)</f>
        <v/>
      </c>
      <c r="J87" s="184" t="str">
        <f>IF('Option 1'!J87="","",'Option 1'!J87)</f>
        <v/>
      </c>
      <c r="K87" s="184" t="str">
        <f>IF('Option 1'!K87="","",'Option 1'!K87)</f>
        <v/>
      </c>
      <c r="L87" s="184">
        <f>IF('Option 1'!L87="","",'Option 1'!L87)</f>
        <v>186440</v>
      </c>
      <c r="M87" s="184" t="str">
        <f>IF('Option 1'!M87="","",'Option 1'!M87)</f>
        <v/>
      </c>
      <c r="N87" s="184" t="str">
        <f>IF('Option 1'!N87="","",'Option 1'!N87)</f>
        <v/>
      </c>
      <c r="O87" s="184" t="str">
        <f>IF('Option 1'!O87="","",'Option 1'!O87)</f>
        <v/>
      </c>
      <c r="P87" s="124">
        <f t="shared" si="8"/>
        <v>186440</v>
      </c>
    </row>
    <row r="88" spans="1:16" ht="15.75" customHeight="1" x14ac:dyDescent="0.25">
      <c r="A88" s="239"/>
      <c r="B88" s="4" t="str">
        <f>IF('Option 1'!B88="","",'Option 1'!B88)</f>
        <v/>
      </c>
      <c r="C88" s="182" t="str">
        <f>IF('Option 1'!C88="","",'Option 1'!C88)</f>
        <v>Core Wallcovering</v>
      </c>
      <c r="D88" s="183" t="str">
        <f>IF('Option 1'!D88="","",'Option 1'!D88)</f>
        <v/>
      </c>
      <c r="E88" s="184" t="str">
        <f>IF('Option 1'!E88="","",'Option 1'!E88)</f>
        <v/>
      </c>
      <c r="F88" s="184" t="str">
        <f>IF('Option 1'!F88="","",'Option 1'!F88)</f>
        <v/>
      </c>
      <c r="G88" s="184">
        <f>IF('Option 1'!G88="","",'Option 1'!G88)</f>
        <v>87561</v>
      </c>
      <c r="H88" s="184" t="str">
        <f>IF('Option 1'!H88="","",'Option 1'!H88)</f>
        <v/>
      </c>
      <c r="I88" s="184" t="str">
        <f>IF('Option 1'!I88="","",'Option 1'!I88)</f>
        <v/>
      </c>
      <c r="J88" s="184" t="str">
        <f>IF('Option 1'!J88="","",'Option 1'!J88)</f>
        <v/>
      </c>
      <c r="K88" s="184" t="str">
        <f>IF('Option 1'!K88="","",'Option 1'!K88)</f>
        <v/>
      </c>
      <c r="L88" s="184" t="str">
        <f>IF('Option 1'!L88="","",'Option 1'!L88)</f>
        <v/>
      </c>
      <c r="M88" s="184" t="str">
        <f>IF('Option 1'!M88="","",'Option 1'!M88)</f>
        <v/>
      </c>
      <c r="N88" s="184" t="str">
        <f>IF('Option 1'!N88="","",'Option 1'!N88)</f>
        <v/>
      </c>
      <c r="O88" s="184" t="str">
        <f>IF('Option 1'!O88="","",'Option 1'!O88)</f>
        <v/>
      </c>
      <c r="P88" s="124">
        <f t="shared" si="8"/>
        <v>87561</v>
      </c>
    </row>
    <row r="89" spans="1:16" ht="15.75" customHeight="1" x14ac:dyDescent="0.25">
      <c r="A89" s="239"/>
      <c r="B89" s="4" t="str">
        <f>IF('Option 1'!B89="","",'Option 1'!B89)</f>
        <v/>
      </c>
      <c r="C89" s="182" t="str">
        <f>IF('Option 1'!C89="","",'Option 1'!C89)</f>
        <v>Interior Window Wall</v>
      </c>
      <c r="D89" s="183" t="str">
        <f>IF('Option 1'!D89="","",'Option 1'!D89)</f>
        <v/>
      </c>
      <c r="E89" s="184" t="str">
        <f>IF('Option 1'!E89="","",'Option 1'!E89)</f>
        <v/>
      </c>
      <c r="F89" s="184" t="str">
        <f>IF('Option 1'!F89="","",'Option 1'!F89)</f>
        <v/>
      </c>
      <c r="G89" s="184" t="str">
        <f>IF('Option 1'!G89="","",'Option 1'!G89)</f>
        <v/>
      </c>
      <c r="H89" s="184" t="str">
        <f>IF('Option 1'!H89="","",'Option 1'!H89)</f>
        <v/>
      </c>
      <c r="I89" s="184" t="str">
        <f>IF('Option 1'!I89="","",'Option 1'!I89)</f>
        <v/>
      </c>
      <c r="J89" s="184" t="str">
        <f>IF('Option 1'!J89="","",'Option 1'!J89)</f>
        <v/>
      </c>
      <c r="K89" s="184" t="str">
        <f>IF('Option 1'!K89="","",'Option 1'!K89)</f>
        <v/>
      </c>
      <c r="L89" s="184" t="str">
        <f>IF('Option 1'!L89="","",'Option 1'!L89)</f>
        <v/>
      </c>
      <c r="M89" s="184">
        <f>IF('Option 1'!M89="","",'Option 1'!M89)</f>
        <v>69190</v>
      </c>
      <c r="N89" s="184" t="str">
        <f>IF('Option 1'!N89="","",'Option 1'!N89)</f>
        <v/>
      </c>
      <c r="O89" s="184" t="str">
        <f>IF('Option 1'!O89="","",'Option 1'!O89)</f>
        <v/>
      </c>
      <c r="P89" s="124">
        <f t="shared" ref="P89:P152" si="9">IF(SUM(D89:O89)=0,0,SUM(D89:O89))</f>
        <v>69190</v>
      </c>
    </row>
    <row r="90" spans="1:16" ht="15.75" customHeight="1" x14ac:dyDescent="0.25">
      <c r="A90" s="239"/>
      <c r="B90" s="4" t="str">
        <f>IF('Option 1'!B90="","",'Option 1'!B90)</f>
        <v/>
      </c>
      <c r="C90" s="188" t="str">
        <f>IF('Option 1'!C90="","",'Option 1'!C90)</f>
        <v>Mirrors</v>
      </c>
      <c r="D90" s="183" t="str">
        <f>IF('Option 1'!D90="","",'Option 1'!D90)</f>
        <v/>
      </c>
      <c r="E90" s="184" t="str">
        <f>IF('Option 1'!E90="","",'Option 1'!E90)</f>
        <v/>
      </c>
      <c r="F90" s="184" t="str">
        <f>IF('Option 1'!F90="","",'Option 1'!F90)</f>
        <v/>
      </c>
      <c r="G90" s="184" t="str">
        <f>IF('Option 1'!G90="","",'Option 1'!G90)</f>
        <v/>
      </c>
      <c r="H90" s="184" t="str">
        <f>IF('Option 1'!H90="","",'Option 1'!H90)</f>
        <v/>
      </c>
      <c r="I90" s="184" t="str">
        <f>IF('Option 1'!I90="","",'Option 1'!I90)</f>
        <v/>
      </c>
      <c r="J90" s="184" t="str">
        <f>IF('Option 1'!J90="","",'Option 1'!J90)</f>
        <v/>
      </c>
      <c r="K90" s="184" t="str">
        <f>IF('Option 1'!K90="","",'Option 1'!K90)</f>
        <v/>
      </c>
      <c r="L90" s="184" t="str">
        <f>IF('Option 1'!L90="","",'Option 1'!L90)</f>
        <v/>
      </c>
      <c r="M90" s="184">
        <f>IF('Option 1'!M90="","",'Option 1'!M90)</f>
        <v>24907</v>
      </c>
      <c r="N90" s="184" t="str">
        <f>IF('Option 1'!N90="","",'Option 1'!N90)</f>
        <v/>
      </c>
      <c r="O90" s="184" t="str">
        <f>IF('Option 1'!O90="","",'Option 1'!O90)</f>
        <v/>
      </c>
      <c r="P90" s="124">
        <f t="shared" si="9"/>
        <v>24907</v>
      </c>
    </row>
    <row r="91" spans="1:16" ht="15.75" customHeight="1" x14ac:dyDescent="0.25">
      <c r="A91" s="239"/>
      <c r="B91" s="4" t="str">
        <f>IF('Option 1'!B91="","",'Option 1'!B91)</f>
        <v/>
      </c>
      <c r="C91" s="188" t="str">
        <f>IF('Option 1'!C91="","",'Option 1'!C91)</f>
        <v>Lobby Furniture</v>
      </c>
      <c r="D91" s="183" t="str">
        <f>IF('Option 1'!D91="","",'Option 1'!D91)</f>
        <v/>
      </c>
      <c r="E91" s="184" t="str">
        <f>IF('Option 1'!E91="","",'Option 1'!E91)</f>
        <v/>
      </c>
      <c r="F91" s="184" t="str">
        <f>IF('Option 1'!F91="","",'Option 1'!F91)</f>
        <v/>
      </c>
      <c r="G91" s="184" t="str">
        <f>IF('Option 1'!G91="","",'Option 1'!G91)</f>
        <v/>
      </c>
      <c r="H91" s="184" t="str">
        <f>IF('Option 1'!H91="","",'Option 1'!H91)</f>
        <v/>
      </c>
      <c r="I91" s="184" t="str">
        <f>IF('Option 1'!I91="","",'Option 1'!I91)</f>
        <v/>
      </c>
      <c r="J91" s="184" t="str">
        <f>IF('Option 1'!J91="","",'Option 1'!J91)</f>
        <v/>
      </c>
      <c r="K91" s="184" t="str">
        <f>IF('Option 1'!K91="","",'Option 1'!K91)</f>
        <v/>
      </c>
      <c r="L91" s="184" t="str">
        <f>IF('Option 1'!L91="","",'Option 1'!L91)</f>
        <v/>
      </c>
      <c r="M91" s="184" t="str">
        <f>IF('Option 1'!M91="","",'Option 1'!M91)</f>
        <v/>
      </c>
      <c r="N91" s="184" t="str">
        <f>IF('Option 1'!N91="","",'Option 1'!N91)</f>
        <v/>
      </c>
      <c r="O91" s="184" t="str">
        <f>IF('Option 1'!O91="","",'Option 1'!O91)</f>
        <v/>
      </c>
      <c r="P91" s="124">
        <f t="shared" si="9"/>
        <v>0</v>
      </c>
    </row>
    <row r="92" spans="1:16" ht="15.75" customHeight="1" x14ac:dyDescent="0.25">
      <c r="A92" s="239"/>
      <c r="B92" s="4" t="str">
        <f>IF('Option 1'!B92="","",'Option 1'!B92)</f>
        <v/>
      </c>
      <c r="C92" s="182" t="str">
        <f>IF('Option 1'!C92="","",'Option 1'!C92)</f>
        <v>Artwork</v>
      </c>
      <c r="D92" s="183" t="str">
        <f>IF('Option 1'!D92="","",'Option 1'!D92)</f>
        <v/>
      </c>
      <c r="E92" s="184" t="str">
        <f>IF('Option 1'!E92="","",'Option 1'!E92)</f>
        <v/>
      </c>
      <c r="F92" s="184" t="str">
        <f>IF('Option 1'!F92="","",'Option 1'!F92)</f>
        <v/>
      </c>
      <c r="G92" s="184" t="str">
        <f>IF('Option 1'!G92="","",'Option 1'!G92)</f>
        <v/>
      </c>
      <c r="H92" s="184" t="str">
        <f>IF('Option 1'!H92="","",'Option 1'!H92)</f>
        <v/>
      </c>
      <c r="I92" s="184" t="str">
        <f>IF('Option 1'!I92="","",'Option 1'!I92)</f>
        <v/>
      </c>
      <c r="J92" s="184" t="str">
        <f>IF('Option 1'!J92="","",'Option 1'!J92)</f>
        <v/>
      </c>
      <c r="K92" s="184" t="str">
        <f>IF('Option 1'!K92="","",'Option 1'!K92)</f>
        <v/>
      </c>
      <c r="L92" s="184" t="str">
        <f>IF('Option 1'!L92="","",'Option 1'!L92)</f>
        <v/>
      </c>
      <c r="M92" s="184" t="str">
        <f>IF('Option 1'!M92="","",'Option 1'!M92)</f>
        <v/>
      </c>
      <c r="N92" s="184" t="str">
        <f>IF('Option 1'!N92="","",'Option 1'!N92)</f>
        <v/>
      </c>
      <c r="O92" s="184" t="str">
        <f>IF('Option 1'!O92="","",'Option 1'!O92)</f>
        <v/>
      </c>
      <c r="P92" s="124">
        <f t="shared" si="9"/>
        <v>0</v>
      </c>
    </row>
    <row r="93" spans="1:16" ht="15.75" customHeight="1" x14ac:dyDescent="0.25">
      <c r="A93" s="239"/>
      <c r="B93" s="4" t="str">
        <f>IF('Option 1'!B93="","",'Option 1'!B93)</f>
        <v/>
      </c>
      <c r="C93" s="188" t="str">
        <f>IF('Option 1'!C93="","",'Option 1'!C93)</f>
        <v>Vestibule Flooring</v>
      </c>
      <c r="D93" s="183" t="str">
        <f>IF('Option 1'!D93="","",'Option 1'!D93)</f>
        <v/>
      </c>
      <c r="E93" s="184" t="str">
        <f>IF('Option 1'!E93="","",'Option 1'!E93)</f>
        <v/>
      </c>
      <c r="F93" s="184" t="str">
        <f>IF('Option 1'!F93="","",'Option 1'!F93)</f>
        <v/>
      </c>
      <c r="G93" s="184" t="str">
        <f>IF('Option 1'!G93="","",'Option 1'!G93)</f>
        <v/>
      </c>
      <c r="H93" s="184" t="str">
        <f>IF('Option 1'!H93="","",'Option 1'!H93)</f>
        <v/>
      </c>
      <c r="I93" s="184" t="str">
        <f>IF('Option 1'!I93="","",'Option 1'!I93)</f>
        <v/>
      </c>
      <c r="J93" s="184" t="str">
        <f>IF('Option 1'!J93="","",'Option 1'!J93)</f>
        <v/>
      </c>
      <c r="K93" s="184">
        <f>IF('Option 1'!K93="","",'Option 1'!K93)</f>
        <v>8303</v>
      </c>
      <c r="L93" s="184" t="str">
        <f>IF('Option 1'!L93="","",'Option 1'!L93)</f>
        <v/>
      </c>
      <c r="M93" s="184" t="str">
        <f>IF('Option 1'!M93="","",'Option 1'!M93)</f>
        <v/>
      </c>
      <c r="N93" s="184" t="str">
        <f>IF('Option 1'!N93="","",'Option 1'!N93)</f>
        <v/>
      </c>
      <c r="O93" s="184" t="str">
        <f>IF('Option 1'!O93="","",'Option 1'!O93)</f>
        <v/>
      </c>
      <c r="P93" s="124">
        <f t="shared" si="9"/>
        <v>8303</v>
      </c>
    </row>
    <row r="94" spans="1:16" ht="15.75" customHeight="1" x14ac:dyDescent="0.25">
      <c r="A94" s="239"/>
      <c r="B94" s="4" t="str">
        <f>IF('Option 1'!B94="","",'Option 1'!B94)</f>
        <v/>
      </c>
      <c r="C94" s="188" t="str">
        <f>IF('Option 1'!C94="","",'Option 1'!C94)</f>
        <v>Acoustical Tile Ceilings</v>
      </c>
      <c r="D94" s="183" t="str">
        <f>IF('Option 1'!D94="","",'Option 1'!D94)</f>
        <v/>
      </c>
      <c r="E94" s="184" t="str">
        <f>IF('Option 1'!E94="","",'Option 1'!E94)</f>
        <v/>
      </c>
      <c r="F94" s="184">
        <f>IF('Option 1'!F94="","",'Option 1'!F94)</f>
        <v>57222</v>
      </c>
      <c r="G94" s="184" t="str">
        <f>IF('Option 1'!G94="","",'Option 1'!G94)</f>
        <v/>
      </c>
      <c r="H94" s="184" t="str">
        <f>IF('Option 1'!H94="","",'Option 1'!H94)</f>
        <v/>
      </c>
      <c r="I94" s="184" t="str">
        <f>IF('Option 1'!I94="","",'Option 1'!I94)</f>
        <v/>
      </c>
      <c r="J94" s="184" t="str">
        <f>IF('Option 1'!J94="","",'Option 1'!J94)</f>
        <v/>
      </c>
      <c r="K94" s="184" t="str">
        <f>IF('Option 1'!K94="","",'Option 1'!K94)</f>
        <v/>
      </c>
      <c r="L94" s="184" t="str">
        <f>IF('Option 1'!L94="","",'Option 1'!L94)</f>
        <v/>
      </c>
      <c r="M94" s="184" t="str">
        <f>IF('Option 1'!M94="","",'Option 1'!M94)</f>
        <v/>
      </c>
      <c r="N94" s="184" t="str">
        <f>IF('Option 1'!N94="","",'Option 1'!N94)</f>
        <v/>
      </c>
      <c r="O94" s="184" t="str">
        <f>IF('Option 1'!O94="","",'Option 1'!O94)</f>
        <v/>
      </c>
      <c r="P94" s="124">
        <f t="shared" si="9"/>
        <v>57222</v>
      </c>
    </row>
    <row r="95" spans="1:16" ht="15.75" customHeight="1" x14ac:dyDescent="0.25">
      <c r="A95" s="239"/>
      <c r="B95" s="4" t="str">
        <f>IF('Option 1'!B95="","",'Option 1'!B95)</f>
        <v/>
      </c>
      <c r="C95" s="188" t="str">
        <f>IF('Option 1'!C95="","",'Option 1'!C95)</f>
        <v>Laundry Room Flooring</v>
      </c>
      <c r="D95" s="183">
        <f>IF('Option 1'!D95="","",'Option 1'!D95)</f>
        <v>17305</v>
      </c>
      <c r="E95" s="184" t="str">
        <f>IF('Option 1'!E95="","",'Option 1'!E95)</f>
        <v/>
      </c>
      <c r="F95" s="184" t="str">
        <f>IF('Option 1'!F95="","",'Option 1'!F95)</f>
        <v/>
      </c>
      <c r="G95" s="184" t="str">
        <f>IF('Option 1'!G95="","",'Option 1'!G95)</f>
        <v/>
      </c>
      <c r="H95" s="184" t="str">
        <f>IF('Option 1'!H95="","",'Option 1'!H95)</f>
        <v/>
      </c>
      <c r="I95" s="184" t="str">
        <f>IF('Option 1'!I95="","",'Option 1'!I95)</f>
        <v/>
      </c>
      <c r="J95" s="184" t="str">
        <f>IF('Option 1'!J95="","",'Option 1'!J95)</f>
        <v/>
      </c>
      <c r="K95" s="184" t="str">
        <f>IF('Option 1'!K95="","",'Option 1'!K95)</f>
        <v/>
      </c>
      <c r="L95" s="184" t="str">
        <f>IF('Option 1'!L95="","",'Option 1'!L95)</f>
        <v/>
      </c>
      <c r="M95" s="184" t="str">
        <f>IF('Option 1'!M95="","",'Option 1'!M95)</f>
        <v/>
      </c>
      <c r="N95" s="184">
        <f>IF('Option 1'!N95="","",'Option 1'!N95)</f>
        <v>17305</v>
      </c>
      <c r="O95" s="184" t="str">
        <f>IF('Option 1'!O95="","",'Option 1'!O95)</f>
        <v/>
      </c>
      <c r="P95" s="124">
        <f t="shared" si="9"/>
        <v>34610</v>
      </c>
    </row>
    <row r="96" spans="1:16" ht="15.75" customHeight="1" x14ac:dyDescent="0.25">
      <c r="A96" s="239"/>
      <c r="B96" s="4" t="str">
        <f>IF('Option 1'!B96="","",'Option 1'!B96)</f>
        <v/>
      </c>
      <c r="C96" s="188" t="str">
        <f>IF('Option 1'!C96="","",'Option 1'!C96)</f>
        <v>Social Room Carpet</v>
      </c>
      <c r="D96" s="183" t="str">
        <f>IF('Option 1'!D96="","",'Option 1'!D96)</f>
        <v/>
      </c>
      <c r="E96" s="184" t="str">
        <f>IF('Option 1'!E96="","",'Option 1'!E96)</f>
        <v/>
      </c>
      <c r="F96" s="184" t="str">
        <f>IF('Option 1'!F96="","",'Option 1'!F96)</f>
        <v/>
      </c>
      <c r="G96" s="184" t="str">
        <f>IF('Option 1'!G96="","",'Option 1'!G96)</f>
        <v/>
      </c>
      <c r="H96" s="184" t="str">
        <f>IF('Option 1'!H96="","",'Option 1'!H96)</f>
        <v/>
      </c>
      <c r="I96" s="184" t="str">
        <f>IF('Option 1'!I96="","",'Option 1'!I96)</f>
        <v/>
      </c>
      <c r="J96" s="184" t="str">
        <f>IF('Option 1'!J96="","",'Option 1'!J96)</f>
        <v/>
      </c>
      <c r="K96" s="184">
        <f>IF('Option 1'!K96="","",'Option 1'!K96)</f>
        <v>21075</v>
      </c>
      <c r="L96" s="184" t="str">
        <f>IF('Option 1'!L96="","",'Option 1'!L96)</f>
        <v/>
      </c>
      <c r="M96" s="184" t="str">
        <f>IF('Option 1'!M96="","",'Option 1'!M96)</f>
        <v/>
      </c>
      <c r="N96" s="184" t="str">
        <f>IF('Option 1'!N96="","",'Option 1'!N96)</f>
        <v/>
      </c>
      <c r="O96" s="184" t="str">
        <f>IF('Option 1'!O96="","",'Option 1'!O96)</f>
        <v/>
      </c>
      <c r="P96" s="124">
        <f t="shared" si="9"/>
        <v>21075</v>
      </c>
    </row>
    <row r="97" spans="1:16" ht="15.75" customHeight="1" x14ac:dyDescent="0.25">
      <c r="A97" s="239"/>
      <c r="B97" s="4" t="str">
        <f>IF('Option 1'!B97="","",'Option 1'!B97)</f>
        <v/>
      </c>
      <c r="C97" s="188" t="str">
        <f>IF('Option 1'!C97="","",'Option 1'!C97)</f>
        <v>Social Room Sliding Doors</v>
      </c>
      <c r="D97" s="183" t="str">
        <f>IF('Option 1'!D97="","",'Option 1'!D97)</f>
        <v/>
      </c>
      <c r="E97" s="184" t="str">
        <f>IF('Option 1'!E97="","",'Option 1'!E97)</f>
        <v/>
      </c>
      <c r="F97" s="184" t="str">
        <f>IF('Option 1'!F97="","",'Option 1'!F97)</f>
        <v/>
      </c>
      <c r="G97" s="184" t="str">
        <f>IF('Option 1'!G97="","",'Option 1'!G97)</f>
        <v/>
      </c>
      <c r="H97" s="184" t="str">
        <f>IF('Option 1'!H97="","",'Option 1'!H97)</f>
        <v/>
      </c>
      <c r="I97" s="184" t="str">
        <f>IF('Option 1'!I97="","",'Option 1'!I97)</f>
        <v/>
      </c>
      <c r="J97" s="184" t="str">
        <f>IF('Option 1'!J97="","",'Option 1'!J97)</f>
        <v/>
      </c>
      <c r="K97" s="184" t="str">
        <f>IF('Option 1'!K97="","",'Option 1'!K97)</f>
        <v/>
      </c>
      <c r="L97" s="184" t="str">
        <f>IF('Option 1'!L97="","",'Option 1'!L97)</f>
        <v/>
      </c>
      <c r="M97" s="184" t="str">
        <f>IF('Option 1'!M97="","",'Option 1'!M97)</f>
        <v/>
      </c>
      <c r="N97" s="184" t="str">
        <f>IF('Option 1'!N97="","",'Option 1'!N97)</f>
        <v/>
      </c>
      <c r="O97" s="184" t="str">
        <f>IF('Option 1'!O97="","",'Option 1'!O97)</f>
        <v/>
      </c>
      <c r="P97" s="124">
        <f t="shared" si="9"/>
        <v>0</v>
      </c>
    </row>
    <row r="98" spans="1:16" ht="15.75" customHeight="1" x14ac:dyDescent="0.25">
      <c r="A98" s="239"/>
      <c r="B98" s="4" t="str">
        <f>IF('Option 1'!B98="","",'Option 1'!B98)</f>
        <v/>
      </c>
      <c r="C98" s="188" t="str">
        <f>IF('Option 1'!C98="","",'Option 1'!C98)</f>
        <v>Social Room Furniture</v>
      </c>
      <c r="D98" s="183" t="str">
        <f>IF('Option 1'!D98="","",'Option 1'!D98)</f>
        <v/>
      </c>
      <c r="E98" s="184" t="str">
        <f>IF('Option 1'!E98="","",'Option 1'!E98)</f>
        <v/>
      </c>
      <c r="F98" s="184" t="str">
        <f>IF('Option 1'!F98="","",'Option 1'!F98)</f>
        <v/>
      </c>
      <c r="G98" s="184" t="str">
        <f>IF('Option 1'!G98="","",'Option 1'!G98)</f>
        <v/>
      </c>
      <c r="H98" s="184" t="str">
        <f>IF('Option 1'!H98="","",'Option 1'!H98)</f>
        <v/>
      </c>
      <c r="I98" s="184" t="str">
        <f>IF('Option 1'!I98="","",'Option 1'!I98)</f>
        <v/>
      </c>
      <c r="J98" s="184" t="str">
        <f>IF('Option 1'!J98="","",'Option 1'!J98)</f>
        <v/>
      </c>
      <c r="K98" s="184" t="str">
        <f>IF('Option 1'!K98="","",'Option 1'!K98)</f>
        <v/>
      </c>
      <c r="L98" s="184" t="str">
        <f>IF('Option 1'!L98="","",'Option 1'!L98)</f>
        <v/>
      </c>
      <c r="M98" s="184" t="str">
        <f>IF('Option 1'!M98="","",'Option 1'!M98)</f>
        <v/>
      </c>
      <c r="N98" s="184" t="str">
        <f>IF('Option 1'!N98="","",'Option 1'!N98)</f>
        <v/>
      </c>
      <c r="O98" s="184" t="str">
        <f>IF('Option 1'!O98="","",'Option 1'!O98)</f>
        <v/>
      </c>
      <c r="P98" s="124">
        <f t="shared" si="9"/>
        <v>0</v>
      </c>
    </row>
    <row r="99" spans="1:16" ht="15.75" customHeight="1" x14ac:dyDescent="0.25">
      <c r="A99" s="239"/>
      <c r="B99" s="4" t="str">
        <f>IF('Option 1'!B99="","",'Option 1'!B99)</f>
        <v/>
      </c>
      <c r="C99" s="182" t="str">
        <f>IF('Option 1'!C99="","",'Option 1'!C99)</f>
        <v>Carpet (Clubhouse)</v>
      </c>
      <c r="D99" s="183" t="str">
        <f>IF('Option 1'!D99="","",'Option 1'!D99)</f>
        <v/>
      </c>
      <c r="E99" s="184" t="str">
        <f>IF('Option 1'!E99="","",'Option 1'!E99)</f>
        <v/>
      </c>
      <c r="F99" s="184" t="str">
        <f>IF('Option 1'!F99="","",'Option 1'!F99)</f>
        <v/>
      </c>
      <c r="G99" s="184" t="str">
        <f>IF('Option 1'!G99="","",'Option 1'!G99)</f>
        <v/>
      </c>
      <c r="H99" s="184" t="str">
        <f>IF('Option 1'!H99="","",'Option 1'!H99)</f>
        <v/>
      </c>
      <c r="I99" s="184" t="str">
        <f>IF('Option 1'!I99="","",'Option 1'!I99)</f>
        <v/>
      </c>
      <c r="J99" s="184">
        <f>IF('Option 1'!J99="","",'Option 1'!J99)</f>
        <v>6326</v>
      </c>
      <c r="K99" s="184" t="str">
        <f>IF('Option 1'!K99="","",'Option 1'!K99)</f>
        <v/>
      </c>
      <c r="L99" s="184" t="str">
        <f>IF('Option 1'!L99="","",'Option 1'!L99)</f>
        <v/>
      </c>
      <c r="M99" s="184" t="str">
        <f>IF('Option 1'!M99="","",'Option 1'!M99)</f>
        <v/>
      </c>
      <c r="N99" s="184" t="str">
        <f>IF('Option 1'!N99="","",'Option 1'!N99)</f>
        <v/>
      </c>
      <c r="O99" s="184" t="str">
        <f>IF('Option 1'!O99="","",'Option 1'!O99)</f>
        <v/>
      </c>
      <c r="P99" s="124">
        <f t="shared" si="9"/>
        <v>6326</v>
      </c>
    </row>
    <row r="100" spans="1:16" ht="15.75" customHeight="1" x14ac:dyDescent="0.25">
      <c r="A100" s="239"/>
      <c r="B100" s="4" t="str">
        <f>IF('Option 1'!B100="","",'Option 1'!B100)</f>
        <v/>
      </c>
      <c r="C100" s="188" t="str">
        <f>IF('Option 1'!C100="","",'Option 1'!C100)</f>
        <v>Ceramic Tile (Clubhouse)</v>
      </c>
      <c r="D100" s="183" t="str">
        <f>IF('Option 1'!D100="","",'Option 1'!D100)</f>
        <v/>
      </c>
      <c r="E100" s="184" t="str">
        <f>IF('Option 1'!E100="","",'Option 1'!E100)</f>
        <v/>
      </c>
      <c r="F100" s="184" t="str">
        <f>IF('Option 1'!F100="","",'Option 1'!F100)</f>
        <v/>
      </c>
      <c r="G100" s="184" t="str">
        <f>IF('Option 1'!G100="","",'Option 1'!G100)</f>
        <v/>
      </c>
      <c r="H100" s="184" t="str">
        <f>IF('Option 1'!H100="","",'Option 1'!H100)</f>
        <v/>
      </c>
      <c r="I100" s="184" t="str">
        <f>IF('Option 1'!I100="","",'Option 1'!I100)</f>
        <v/>
      </c>
      <c r="J100" s="184" t="str">
        <f>IF('Option 1'!J100="","",'Option 1'!J100)</f>
        <v/>
      </c>
      <c r="K100" s="184" t="str">
        <f>IF('Option 1'!K100="","",'Option 1'!K100)</f>
        <v/>
      </c>
      <c r="L100" s="184" t="str">
        <f>IF('Option 1'!L100="","",'Option 1'!L100)</f>
        <v/>
      </c>
      <c r="M100" s="184" t="str">
        <f>IF('Option 1'!M100="","",'Option 1'!M100)</f>
        <v/>
      </c>
      <c r="N100" s="184" t="str">
        <f>IF('Option 1'!N100="","",'Option 1'!N100)</f>
        <v/>
      </c>
      <c r="O100" s="184" t="str">
        <f>IF('Option 1'!O100="","",'Option 1'!O100)</f>
        <v/>
      </c>
      <c r="P100" s="124">
        <f t="shared" si="9"/>
        <v>0</v>
      </c>
    </row>
    <row r="101" spans="1:16" ht="15.75" customHeight="1" x14ac:dyDescent="0.25">
      <c r="A101" s="239"/>
      <c r="B101" s="4" t="str">
        <f>IF('Option 1'!B101="","",'Option 1'!B101)</f>
        <v/>
      </c>
      <c r="C101" s="188" t="str">
        <f>IF('Option 1'!C101="","",'Option 1'!C101)</f>
        <v>Toilet Partitions</v>
      </c>
      <c r="D101" s="183" t="str">
        <f>IF('Option 1'!D101="","",'Option 1'!D101)</f>
        <v/>
      </c>
      <c r="E101" s="184" t="str">
        <f>IF('Option 1'!E101="","",'Option 1'!E101)</f>
        <v/>
      </c>
      <c r="F101" s="184" t="str">
        <f>IF('Option 1'!F101="","",'Option 1'!F101)</f>
        <v/>
      </c>
      <c r="G101" s="184" t="str">
        <f>IF('Option 1'!G101="","",'Option 1'!G101)</f>
        <v/>
      </c>
      <c r="H101" s="184" t="str">
        <f>IF('Option 1'!H101="","",'Option 1'!H101)</f>
        <v/>
      </c>
      <c r="I101" s="184">
        <f>IF('Option 1'!I101="","",'Option 1'!I101)</f>
        <v>2491</v>
      </c>
      <c r="J101" s="184" t="str">
        <f>IF('Option 1'!J101="","",'Option 1'!J101)</f>
        <v/>
      </c>
      <c r="K101" s="184" t="str">
        <f>IF('Option 1'!K101="","",'Option 1'!K101)</f>
        <v/>
      </c>
      <c r="L101" s="184" t="str">
        <f>IF('Option 1'!L101="","",'Option 1'!L101)</f>
        <v/>
      </c>
      <c r="M101" s="184" t="str">
        <f>IF('Option 1'!M101="","",'Option 1'!M101)</f>
        <v/>
      </c>
      <c r="N101" s="184" t="str">
        <f>IF('Option 1'!N101="","",'Option 1'!N101)</f>
        <v/>
      </c>
      <c r="O101" s="184" t="str">
        <f>IF('Option 1'!O101="","",'Option 1'!O101)</f>
        <v/>
      </c>
      <c r="P101" s="124">
        <f t="shared" si="9"/>
        <v>2491</v>
      </c>
    </row>
    <row r="102" spans="1:16" ht="15.75" customHeight="1" x14ac:dyDescent="0.25">
      <c r="A102" s="239"/>
      <c r="B102" s="4" t="str">
        <f>IF('Option 1'!B102="","",'Option 1'!B102)</f>
        <v/>
      </c>
      <c r="C102" s="188" t="str">
        <f>IF('Option 1'!C102="","",'Option 1'!C102)</f>
        <v>Showers</v>
      </c>
      <c r="D102" s="183">
        <f>IF('Option 1'!D102="","",'Option 1'!D102)</f>
        <v>5536</v>
      </c>
      <c r="E102" s="184" t="str">
        <f>IF('Option 1'!E102="","",'Option 1'!E102)</f>
        <v/>
      </c>
      <c r="F102" s="184" t="str">
        <f>IF('Option 1'!F102="","",'Option 1'!F102)</f>
        <v/>
      </c>
      <c r="G102" s="184" t="str">
        <f>IF('Option 1'!G102="","",'Option 1'!G102)</f>
        <v/>
      </c>
      <c r="H102" s="184" t="str">
        <f>IF('Option 1'!H102="","",'Option 1'!H102)</f>
        <v/>
      </c>
      <c r="I102" s="184" t="str">
        <f>IF('Option 1'!I102="","",'Option 1'!I102)</f>
        <v/>
      </c>
      <c r="J102" s="184" t="str">
        <f>IF('Option 1'!J102="","",'Option 1'!J102)</f>
        <v/>
      </c>
      <c r="K102" s="184" t="str">
        <f>IF('Option 1'!K102="","",'Option 1'!K102)</f>
        <v/>
      </c>
      <c r="L102" s="184" t="str">
        <f>IF('Option 1'!L102="","",'Option 1'!L102)</f>
        <v/>
      </c>
      <c r="M102" s="184" t="str">
        <f>IF('Option 1'!M102="","",'Option 1'!M102)</f>
        <v/>
      </c>
      <c r="N102" s="184" t="str">
        <f>IF('Option 1'!N102="","",'Option 1'!N102)</f>
        <v/>
      </c>
      <c r="O102" s="184" t="str">
        <f>IF('Option 1'!O102="","",'Option 1'!O102)</f>
        <v/>
      </c>
      <c r="P102" s="124">
        <f t="shared" si="9"/>
        <v>5536</v>
      </c>
    </row>
    <row r="103" spans="1:16" ht="15.75" customHeight="1" x14ac:dyDescent="0.25">
      <c r="A103" s="239"/>
      <c r="B103" s="4" t="str">
        <f>IF('Option 1'!B103="","",'Option 1'!B103)</f>
        <v/>
      </c>
      <c r="C103" s="188" t="str">
        <f>IF('Option 1'!C103="","",'Option 1'!C103)</f>
        <v>Saunas</v>
      </c>
      <c r="D103" s="183" t="str">
        <f>IF('Option 1'!D103="","",'Option 1'!D103)</f>
        <v/>
      </c>
      <c r="E103" s="184" t="str">
        <f>IF('Option 1'!E103="","",'Option 1'!E103)</f>
        <v/>
      </c>
      <c r="F103" s="184" t="str">
        <f>IF('Option 1'!F103="","",'Option 1'!F103)</f>
        <v/>
      </c>
      <c r="G103" s="184" t="str">
        <f>IF('Option 1'!G103="","",'Option 1'!G103)</f>
        <v/>
      </c>
      <c r="H103" s="184">
        <f>IF('Option 1'!H103="","",'Option 1'!H103)</f>
        <v>30445</v>
      </c>
      <c r="I103" s="184" t="str">
        <f>IF('Option 1'!I103="","",'Option 1'!I103)</f>
        <v/>
      </c>
      <c r="J103" s="184" t="str">
        <f>IF('Option 1'!J103="","",'Option 1'!J103)</f>
        <v/>
      </c>
      <c r="K103" s="184" t="str">
        <f>IF('Option 1'!K103="","",'Option 1'!K103)</f>
        <v/>
      </c>
      <c r="L103" s="184" t="str">
        <f>IF('Option 1'!L103="","",'Option 1'!L103)</f>
        <v/>
      </c>
      <c r="M103" s="184" t="str">
        <f>IF('Option 1'!M103="","",'Option 1'!M103)</f>
        <v/>
      </c>
      <c r="N103" s="184" t="str">
        <f>IF('Option 1'!N103="","",'Option 1'!N103)</f>
        <v/>
      </c>
      <c r="O103" s="184" t="str">
        <f>IF('Option 1'!O103="","",'Option 1'!O103)</f>
        <v/>
      </c>
      <c r="P103" s="124">
        <f t="shared" si="9"/>
        <v>30445</v>
      </c>
    </row>
    <row r="104" spans="1:16" ht="15.75" customHeight="1" x14ac:dyDescent="0.25">
      <c r="A104" s="239"/>
      <c r="B104" s="4" t="str">
        <f>IF('Option 1'!B104="","",'Option 1'!B104)</f>
        <v/>
      </c>
      <c r="C104" s="188" t="str">
        <f>IF('Option 1'!C104="","",'Option 1'!C104)</f>
        <v>Plumbing Fixtures</v>
      </c>
      <c r="D104" s="186">
        <f>IF('Option 1'!D104="","",'Option 1'!D104)</f>
        <v>19500</v>
      </c>
      <c r="E104" s="184" t="str">
        <f>IF('Option 1'!E104="","",'Option 1'!E104)</f>
        <v/>
      </c>
      <c r="F104" s="184">
        <f>IF('Option 1'!F104="","",'Option 1'!F104)</f>
        <v>3875</v>
      </c>
      <c r="G104" s="184" t="str">
        <f>IF('Option 1'!G104="","",'Option 1'!G104)</f>
        <v/>
      </c>
      <c r="H104" s="184" t="str">
        <f>IF('Option 1'!H104="","",'Option 1'!H104)</f>
        <v/>
      </c>
      <c r="I104" s="184" t="str">
        <f>IF('Option 1'!I104="","",'Option 1'!I104)</f>
        <v/>
      </c>
      <c r="J104" s="184" t="str">
        <f>IF('Option 1'!J104="","",'Option 1'!J104)</f>
        <v/>
      </c>
      <c r="K104" s="184" t="str">
        <f>IF('Option 1'!K104="","",'Option 1'!K104)</f>
        <v/>
      </c>
      <c r="L104" s="184" t="str">
        <f>IF('Option 1'!L104="","",'Option 1'!L104)</f>
        <v/>
      </c>
      <c r="M104" s="184" t="str">
        <f>IF('Option 1'!M104="","",'Option 1'!M104)</f>
        <v/>
      </c>
      <c r="N104" s="184" t="str">
        <f>IF('Option 1'!N104="","",'Option 1'!N104)</f>
        <v/>
      </c>
      <c r="O104" s="184" t="str">
        <f>IF('Option 1'!O104="","",'Option 1'!O104)</f>
        <v/>
      </c>
      <c r="P104" s="124">
        <f t="shared" si="9"/>
        <v>23375</v>
      </c>
    </row>
    <row r="105" spans="1:16" ht="15.75" customHeight="1" x14ac:dyDescent="0.25">
      <c r="A105" s="239"/>
      <c r="B105" s="4" t="str">
        <f>IF('Option 1'!B105="","",'Option 1'!B105)</f>
        <v/>
      </c>
      <c r="C105" s="188" t="str">
        <f>IF('Option 1'!C105="","",'Option 1'!C105)</f>
        <v>Interior Passage Doors</v>
      </c>
      <c r="D105" s="186" t="str">
        <f>IF('Option 1'!D105="","",'Option 1'!D105)</f>
        <v/>
      </c>
      <c r="E105" s="184" t="str">
        <f>IF('Option 1'!E105="","",'Option 1'!E105)</f>
        <v/>
      </c>
      <c r="F105" s="184" t="str">
        <f>IF('Option 1'!F105="","",'Option 1'!F105)</f>
        <v/>
      </c>
      <c r="G105" s="184" t="str">
        <f>IF('Option 1'!G105="","",'Option 1'!G105)</f>
        <v/>
      </c>
      <c r="H105" s="184">
        <f>IF('Option 1'!H105="","",'Option 1'!H105)</f>
        <v>3321</v>
      </c>
      <c r="I105" s="184" t="str">
        <f>IF('Option 1'!I105="","",'Option 1'!I105)</f>
        <v/>
      </c>
      <c r="J105" s="184" t="str">
        <f>IF('Option 1'!J105="","",'Option 1'!J105)</f>
        <v/>
      </c>
      <c r="K105" s="184" t="str">
        <f>IF('Option 1'!K105="","",'Option 1'!K105)</f>
        <v/>
      </c>
      <c r="L105" s="184" t="str">
        <f>IF('Option 1'!L105="","",'Option 1'!L105)</f>
        <v/>
      </c>
      <c r="M105" s="184" t="str">
        <f>IF('Option 1'!M105="","",'Option 1'!M105)</f>
        <v/>
      </c>
      <c r="N105" s="184" t="str">
        <f>IF('Option 1'!N105="","",'Option 1'!N105)</f>
        <v/>
      </c>
      <c r="O105" s="184" t="str">
        <f>IF('Option 1'!O105="","",'Option 1'!O105)</f>
        <v/>
      </c>
      <c r="P105" s="124">
        <f t="shared" si="9"/>
        <v>3321</v>
      </c>
    </row>
    <row r="106" spans="1:16" ht="15.75" customHeight="1" x14ac:dyDescent="0.25">
      <c r="A106" s="239"/>
      <c r="B106" s="4" t="str">
        <f>IF('Option 1'!B106="","",'Option 1'!B106)</f>
        <v/>
      </c>
      <c r="C106" s="188" t="str">
        <f>IF('Option 1'!C106="","",'Option 1'!C106)</f>
        <v>Closet Doors</v>
      </c>
      <c r="D106" s="186" t="str">
        <f>IF('Option 1'!D106="","",'Option 1'!D106)</f>
        <v/>
      </c>
      <c r="E106" s="184" t="str">
        <f>IF('Option 1'!E106="","",'Option 1'!E106)</f>
        <v/>
      </c>
      <c r="F106" s="184" t="str">
        <f>IF('Option 1'!F106="","",'Option 1'!F106)</f>
        <v/>
      </c>
      <c r="G106" s="184" t="str">
        <f>IF('Option 1'!G106="","",'Option 1'!G106)</f>
        <v/>
      </c>
      <c r="H106" s="184">
        <f>IF('Option 1'!H106="","",'Option 1'!H106)</f>
        <v>1245</v>
      </c>
      <c r="I106" s="184" t="str">
        <f>IF('Option 1'!I106="","",'Option 1'!I106)</f>
        <v/>
      </c>
      <c r="J106" s="184" t="str">
        <f>IF('Option 1'!J106="","",'Option 1'!J106)</f>
        <v/>
      </c>
      <c r="K106" s="184" t="str">
        <f>IF('Option 1'!K106="","",'Option 1'!K106)</f>
        <v/>
      </c>
      <c r="L106" s="184" t="str">
        <f>IF('Option 1'!L106="","",'Option 1'!L106)</f>
        <v/>
      </c>
      <c r="M106" s="184" t="str">
        <f>IF('Option 1'!M106="","",'Option 1'!M106)</f>
        <v/>
      </c>
      <c r="N106" s="184" t="str">
        <f>IF('Option 1'!N106="","",'Option 1'!N106)</f>
        <v/>
      </c>
      <c r="O106" s="184" t="str">
        <f>IF('Option 1'!O106="","",'Option 1'!O106)</f>
        <v/>
      </c>
      <c r="P106" s="124">
        <f t="shared" si="9"/>
        <v>1245</v>
      </c>
    </row>
    <row r="107" spans="1:16" ht="15.75" customHeight="1" x14ac:dyDescent="0.25">
      <c r="A107" s="239"/>
      <c r="B107" s="4" t="str">
        <f>IF('Option 1'!B107="","",'Option 1'!B107)</f>
        <v/>
      </c>
      <c r="C107" s="188" t="str">
        <f>IF('Option 1'!C107="","",'Option 1'!C107)</f>
        <v>Appliances</v>
      </c>
      <c r="D107" s="186" t="str">
        <f>IF('Option 1'!D107="","",'Option 1'!D107)</f>
        <v/>
      </c>
      <c r="E107" s="184" t="str">
        <f>IF('Option 1'!E107="","",'Option 1'!E107)</f>
        <v/>
      </c>
      <c r="F107" s="184" t="str">
        <f>IF('Option 1'!F107="","",'Option 1'!F107)</f>
        <v/>
      </c>
      <c r="G107" s="184" t="str">
        <f>IF('Option 1'!G107="","",'Option 1'!G107)</f>
        <v/>
      </c>
      <c r="H107" s="184" t="str">
        <f>IF('Option 1'!H107="","",'Option 1'!H107)</f>
        <v/>
      </c>
      <c r="I107" s="184" t="str">
        <f>IF('Option 1'!I107="","",'Option 1'!I107)</f>
        <v/>
      </c>
      <c r="J107" s="184" t="str">
        <f>IF('Option 1'!J107="","",'Option 1'!J107)</f>
        <v/>
      </c>
      <c r="K107" s="184" t="str">
        <f>IF('Option 1'!K107="","",'Option 1'!K107)</f>
        <v/>
      </c>
      <c r="L107" s="184" t="str">
        <f>IF('Option 1'!L107="","",'Option 1'!L107)</f>
        <v/>
      </c>
      <c r="M107" s="184" t="str">
        <f>IF('Option 1'!M107="","",'Option 1'!M107)</f>
        <v/>
      </c>
      <c r="N107" s="184" t="str">
        <f>IF('Option 1'!N107="","",'Option 1'!N107)</f>
        <v/>
      </c>
      <c r="O107" s="184" t="str">
        <f>IF('Option 1'!O107="","",'Option 1'!O107)</f>
        <v/>
      </c>
      <c r="P107" s="124">
        <f t="shared" si="9"/>
        <v>0</v>
      </c>
    </row>
    <row r="108" spans="1:16" ht="15.75" customHeight="1" x14ac:dyDescent="0.25">
      <c r="A108" s="239"/>
      <c r="B108" s="4" t="str">
        <f>IF('Option 1'!B108="","",'Option 1'!B108)</f>
        <v/>
      </c>
      <c r="C108" s="188" t="str">
        <f>IF('Option 1'!C108="","",'Option 1'!C108)</f>
        <v>Exercise Equipment</v>
      </c>
      <c r="D108" s="186">
        <f>IF('Option 1'!D108="","",'Option 1'!D108)</f>
        <v>167</v>
      </c>
      <c r="E108" s="184" t="str">
        <f>IF('Option 1'!E108="","",'Option 1'!E108)</f>
        <v/>
      </c>
      <c r="F108" s="184" t="str">
        <f>IF('Option 1'!F108="","",'Option 1'!F108)</f>
        <v/>
      </c>
      <c r="G108" s="184" t="str">
        <f>IF('Option 1'!G108="","",'Option 1'!G108)</f>
        <v/>
      </c>
      <c r="H108" s="184" t="str">
        <f>IF('Option 1'!H108="","",'Option 1'!H108)</f>
        <v/>
      </c>
      <c r="I108" s="184" t="str">
        <f>IF('Option 1'!I108="","",'Option 1'!I108)</f>
        <v/>
      </c>
      <c r="J108" s="184" t="str">
        <f>IF('Option 1'!J108="","",'Option 1'!J108)</f>
        <v/>
      </c>
      <c r="K108" s="184" t="str">
        <f>IF('Option 1'!K108="","",'Option 1'!K108)</f>
        <v/>
      </c>
      <c r="L108" s="184" t="str">
        <f>IF('Option 1'!L108="","",'Option 1'!L108)</f>
        <v/>
      </c>
      <c r="M108" s="184" t="str">
        <f>IF('Option 1'!M108="","",'Option 1'!M108)</f>
        <v/>
      </c>
      <c r="N108" s="184" t="str">
        <f>IF('Option 1'!N108="","",'Option 1'!N108)</f>
        <v/>
      </c>
      <c r="O108" s="184" t="str">
        <f>IF('Option 1'!O108="","",'Option 1'!O108)</f>
        <v/>
      </c>
      <c r="P108" s="124">
        <f t="shared" si="9"/>
        <v>167</v>
      </c>
    </row>
    <row r="109" spans="1:16" ht="15.75" customHeight="1" x14ac:dyDescent="0.25">
      <c r="A109" s="239"/>
      <c r="B109" s="4" t="str">
        <f>IF('Option 1'!B109="","",'Option 1'!B109)</f>
        <v/>
      </c>
      <c r="C109" s="188" t="str">
        <f>IF('Option 1'!C109="","",'Option 1'!C109)</f>
        <v>Office Furniture and Equipment</v>
      </c>
      <c r="D109" s="186" t="str">
        <f>IF('Option 1'!D109="","",'Option 1'!D109)</f>
        <v/>
      </c>
      <c r="E109" s="184" t="str">
        <f>IF('Option 1'!E109="","",'Option 1'!E109)</f>
        <v/>
      </c>
      <c r="F109" s="184" t="str">
        <f>IF('Option 1'!F109="","",'Option 1'!F109)</f>
        <v/>
      </c>
      <c r="G109" s="184" t="str">
        <f>IF('Option 1'!G109="","",'Option 1'!G109)</f>
        <v/>
      </c>
      <c r="H109" s="184" t="str">
        <f>IF('Option 1'!H109="","",'Option 1'!H109)</f>
        <v/>
      </c>
      <c r="I109" s="184" t="str">
        <f>IF('Option 1'!I109="","",'Option 1'!I109)</f>
        <v/>
      </c>
      <c r="J109" s="184" t="str">
        <f>IF('Option 1'!J109="","",'Option 1'!J109)</f>
        <v/>
      </c>
      <c r="K109" s="184" t="str">
        <f>IF('Option 1'!K109="","",'Option 1'!K109)</f>
        <v/>
      </c>
      <c r="L109" s="184" t="str">
        <f>IF('Option 1'!L109="","",'Option 1'!L109)</f>
        <v/>
      </c>
      <c r="M109" s="184" t="str">
        <f>IF('Option 1'!M109="","",'Option 1'!M109)</f>
        <v/>
      </c>
      <c r="N109" s="184" t="str">
        <f>IF('Option 1'!N109="","",'Option 1'!N109)</f>
        <v/>
      </c>
      <c r="O109" s="184" t="str">
        <f>IF('Option 1'!O109="","",'Option 1'!O109)</f>
        <v/>
      </c>
      <c r="P109" s="124">
        <f t="shared" si="9"/>
        <v>0</v>
      </c>
    </row>
    <row r="110" spans="1:16" ht="15.75" customHeight="1" x14ac:dyDescent="0.25">
      <c r="A110" s="239"/>
      <c r="B110" s="4" t="str">
        <f>IF('Option 1'!B110="","",'Option 1'!B110)</f>
        <v/>
      </c>
      <c r="C110" s="188" t="str">
        <f>IF('Option 1'!C110="","",'Option 1'!C110)</f>
        <v>Common Double Doors</v>
      </c>
      <c r="D110" s="186" t="str">
        <f>IF('Option 1'!D110="","",'Option 1'!D110)</f>
        <v/>
      </c>
      <c r="E110" s="184" t="str">
        <f>IF('Option 1'!E110="","",'Option 1'!E110)</f>
        <v/>
      </c>
      <c r="F110" s="184" t="str">
        <f>IF('Option 1'!F110="","",'Option 1'!F110)</f>
        <v/>
      </c>
      <c r="G110" s="184" t="str">
        <f>IF('Option 1'!G110="","",'Option 1'!G110)</f>
        <v/>
      </c>
      <c r="H110" s="184">
        <f>IF('Option 1'!H110="","",'Option 1'!H110)</f>
        <v>92028</v>
      </c>
      <c r="I110" s="184" t="str">
        <f>IF('Option 1'!I110="","",'Option 1'!I110)</f>
        <v/>
      </c>
      <c r="J110" s="184" t="str">
        <f>IF('Option 1'!J110="","",'Option 1'!J110)</f>
        <v/>
      </c>
      <c r="K110" s="184" t="str">
        <f>IF('Option 1'!K110="","",'Option 1'!K110)</f>
        <v/>
      </c>
      <c r="L110" s="184" t="str">
        <f>IF('Option 1'!L110="","",'Option 1'!L110)</f>
        <v/>
      </c>
      <c r="M110" s="184" t="str">
        <f>IF('Option 1'!M110="","",'Option 1'!M110)</f>
        <v/>
      </c>
      <c r="N110" s="184" t="str">
        <f>IF('Option 1'!N110="","",'Option 1'!N110)</f>
        <v/>
      </c>
      <c r="O110" s="184" t="str">
        <f>IF('Option 1'!O110="","",'Option 1'!O110)</f>
        <v/>
      </c>
      <c r="P110" s="124">
        <f t="shared" si="9"/>
        <v>92028</v>
      </c>
    </row>
    <row r="111" spans="1:16" ht="15.75" customHeight="1" x14ac:dyDescent="0.25">
      <c r="A111" s="239"/>
      <c r="B111" s="4" t="str">
        <f>IF('Option 1'!B111="","",'Option 1'!B111)</f>
        <v/>
      </c>
      <c r="C111" s="188" t="str">
        <f>IF('Option 1'!C111="","",'Option 1'!C111)</f>
        <v>Common Single Doors</v>
      </c>
      <c r="D111" s="186" t="str">
        <f>IF('Option 1'!D111="","",'Option 1'!D111)</f>
        <v/>
      </c>
      <c r="E111" s="184" t="str">
        <f>IF('Option 1'!E111="","",'Option 1'!E111)</f>
        <v/>
      </c>
      <c r="F111" s="184" t="str">
        <f>IF('Option 1'!F111="","",'Option 1'!F111)</f>
        <v/>
      </c>
      <c r="G111" s="184" t="str">
        <f>IF('Option 1'!G111="","",'Option 1'!G111)</f>
        <v/>
      </c>
      <c r="H111" s="184">
        <f>IF('Option 1'!H111="","",'Option 1'!H111)</f>
        <v>345969</v>
      </c>
      <c r="I111" s="184" t="str">
        <f>IF('Option 1'!I111="","",'Option 1'!I111)</f>
        <v/>
      </c>
      <c r="J111" s="184" t="str">
        <f>IF('Option 1'!J111="","",'Option 1'!J111)</f>
        <v/>
      </c>
      <c r="K111" s="184" t="str">
        <f>IF('Option 1'!K111="","",'Option 1'!K111)</f>
        <v/>
      </c>
      <c r="L111" s="184" t="str">
        <f>IF('Option 1'!L111="","",'Option 1'!L111)</f>
        <v/>
      </c>
      <c r="M111" s="184" t="str">
        <f>IF('Option 1'!M111="","",'Option 1'!M111)</f>
        <v/>
      </c>
      <c r="N111" s="184" t="str">
        <f>IF('Option 1'!N111="","",'Option 1'!N111)</f>
        <v/>
      </c>
      <c r="O111" s="184" t="str">
        <f>IF('Option 1'!O111="","",'Option 1'!O111)</f>
        <v/>
      </c>
      <c r="P111" s="124">
        <f t="shared" si="9"/>
        <v>345969</v>
      </c>
    </row>
    <row r="112" spans="1:16" ht="15.75" customHeight="1" x14ac:dyDescent="0.25">
      <c r="A112" s="239"/>
      <c r="B112" s="4" t="str">
        <f>IF('Option 1'!B112="","",'Option 1'!B112)</f>
        <v/>
      </c>
      <c r="C112" s="3" t="str">
        <f>IF('Option 1'!C112="","",'Option 1'!C112)</f>
        <v>Exterior Finishes Elements</v>
      </c>
      <c r="D112" s="186" t="str">
        <f>IF('Option 1'!D112="","",'Option 1'!D112)</f>
        <v/>
      </c>
      <c r="E112" s="184" t="str">
        <f>IF('Option 1'!E112="","",'Option 1'!E112)</f>
        <v/>
      </c>
      <c r="F112" s="184" t="str">
        <f>IF('Option 1'!F112="","",'Option 1'!F112)</f>
        <v/>
      </c>
      <c r="G112" s="184" t="str">
        <f>IF('Option 1'!G112="","",'Option 1'!G112)</f>
        <v/>
      </c>
      <c r="H112" s="184" t="str">
        <f>IF('Option 1'!H112="","",'Option 1'!H112)</f>
        <v/>
      </c>
      <c r="I112" s="184" t="str">
        <f>IF('Option 1'!I112="","",'Option 1'!I112)</f>
        <v/>
      </c>
      <c r="J112" s="184" t="str">
        <f>IF('Option 1'!J112="","",'Option 1'!J112)</f>
        <v/>
      </c>
      <c r="K112" s="184" t="str">
        <f>IF('Option 1'!K112="","",'Option 1'!K112)</f>
        <v/>
      </c>
      <c r="L112" s="184" t="str">
        <f>IF('Option 1'!L112="","",'Option 1'!L112)</f>
        <v/>
      </c>
      <c r="M112" s="184" t="str">
        <f>IF('Option 1'!M112="","",'Option 1'!M112)</f>
        <v/>
      </c>
      <c r="N112" s="184" t="str">
        <f>IF('Option 1'!N112="","",'Option 1'!N112)</f>
        <v/>
      </c>
      <c r="O112" s="184" t="str">
        <f>IF('Option 1'!O112="","",'Option 1'!O112)</f>
        <v/>
      </c>
      <c r="P112" s="124">
        <f t="shared" si="9"/>
        <v>0</v>
      </c>
    </row>
    <row r="113" spans="1:16" ht="15.75" customHeight="1" x14ac:dyDescent="0.25">
      <c r="A113" s="239"/>
      <c r="B113" s="4" t="str">
        <f>IF('Option 1'!B113="","",'Option 1'!B113)</f>
        <v/>
      </c>
      <c r="C113" s="188" t="str">
        <f>IF('Option 1'!C113="","",'Option 1'!C113)</f>
        <v>Concrete Garage Door Headers (1405 A &amp; B, 1615 B, 1505 A &amp; B, 1515 A &amp; B, &amp; 1605 A &amp; B Wings)</v>
      </c>
      <c r="D113" s="186" t="str">
        <f>IF('Option 1'!D113="","",'Option 1'!D113)</f>
        <v/>
      </c>
      <c r="E113" s="184">
        <f>IF('Option 1'!E113="","",'Option 1'!E113)</f>
        <v>85000</v>
      </c>
      <c r="F113" s="184">
        <f>IF('Option 1'!F113="","",'Option 1'!F113)</f>
        <v>85000</v>
      </c>
      <c r="G113" s="184">
        <f>IF('Option 1'!G113="","",'Option 1'!G113)</f>
        <v>85000</v>
      </c>
      <c r="H113" s="184" t="str">
        <f>IF('Option 1'!H113="","",'Option 1'!H113)</f>
        <v/>
      </c>
      <c r="I113" s="184" t="str">
        <f>IF('Option 1'!I113="","",'Option 1'!I113)</f>
        <v/>
      </c>
      <c r="J113" s="184" t="str">
        <f>IF('Option 1'!J113="","",'Option 1'!J113)</f>
        <v/>
      </c>
      <c r="K113" s="184" t="str">
        <f>IF('Option 1'!K113="","",'Option 1'!K113)</f>
        <v/>
      </c>
      <c r="L113" s="184" t="str">
        <f>IF('Option 1'!L113="","",'Option 1'!L113)</f>
        <v/>
      </c>
      <c r="M113" s="184">
        <f>IF('Option 1'!M113="","",'Option 1'!M113)</f>
        <v>418500</v>
      </c>
      <c r="N113" s="184" t="str">
        <f>IF('Option 1'!N113="","",'Option 1'!N113)</f>
        <v/>
      </c>
      <c r="O113" s="184" t="str">
        <f>IF('Option 1'!O113="","",'Option 1'!O113)</f>
        <v/>
      </c>
      <c r="P113" s="124">
        <f t="shared" si="9"/>
        <v>673500</v>
      </c>
    </row>
    <row r="114" spans="1:16" ht="15.75" customHeight="1" x14ac:dyDescent="0.25">
      <c r="A114" s="239"/>
      <c r="B114" s="4" t="str">
        <f>IF('Option 1'!B114="","",'Option 1'!B114)</f>
        <v/>
      </c>
      <c r="C114" s="188" t="str">
        <f>IF('Option 1'!C114="","",'Option 1'!C114)</f>
        <v>Concrete Garage Door Headers (1415 A &amp; 1615 A Wings)</v>
      </c>
      <c r="D114" s="186" t="str">
        <f>IF('Option 1'!D114="","",'Option 1'!D114)</f>
        <v/>
      </c>
      <c r="E114" s="184" t="str">
        <f>IF('Option 1'!E114="","",'Option 1'!E114)</f>
        <v/>
      </c>
      <c r="F114" s="184" t="str">
        <f>IF('Option 1'!F114="","",'Option 1'!F114)</f>
        <v/>
      </c>
      <c r="G114" s="184" t="str">
        <f>IF('Option 1'!G114="","",'Option 1'!G114)</f>
        <v/>
      </c>
      <c r="H114" s="184" t="str">
        <f>IF('Option 1'!H114="","",'Option 1'!H114)</f>
        <v/>
      </c>
      <c r="I114" s="184" t="str">
        <f>IF('Option 1'!I114="","",'Option 1'!I114)</f>
        <v/>
      </c>
      <c r="J114" s="184" t="str">
        <f>IF('Option 1'!J114="","",'Option 1'!J114)</f>
        <v/>
      </c>
      <c r="K114" s="184" t="str">
        <f>IF('Option 1'!K114="","",'Option 1'!K114)</f>
        <v/>
      </c>
      <c r="L114" s="184" t="str">
        <f>IF('Option 1'!L114="","",'Option 1'!L114)</f>
        <v/>
      </c>
      <c r="M114" s="184" t="str">
        <f>IF('Option 1'!M114="","",'Option 1'!M114)</f>
        <v/>
      </c>
      <c r="N114" s="184" t="str">
        <f>IF('Option 1'!N114="","",'Option 1'!N114)</f>
        <v/>
      </c>
      <c r="O114" s="184" t="str">
        <f>IF('Option 1'!O114="","",'Option 1'!O114)</f>
        <v/>
      </c>
      <c r="P114" s="124">
        <f t="shared" si="9"/>
        <v>0</v>
      </c>
    </row>
    <row r="115" spans="1:16" ht="15.75" customHeight="1" x14ac:dyDescent="0.25">
      <c r="A115" s="239"/>
      <c r="B115" s="4" t="str">
        <f>IF('Option 1'!B115="","",'Option 1'!B115)</f>
        <v/>
      </c>
      <c r="C115" s="188" t="str">
        <f>IF('Option 1'!C115="","",'Option 1'!C115)</f>
        <v>Concrete Garage Door Header (1415 B Wing)</v>
      </c>
      <c r="D115" s="186" t="str">
        <f>IF('Option 1'!D115="","",'Option 1'!D115)</f>
        <v/>
      </c>
      <c r="E115" s="184" t="str">
        <f>IF('Option 1'!E115="","",'Option 1'!E115)</f>
        <v/>
      </c>
      <c r="F115" s="184" t="str">
        <f>IF('Option 1'!F115="","",'Option 1'!F115)</f>
        <v/>
      </c>
      <c r="G115" s="184" t="str">
        <f>IF('Option 1'!G115="","",'Option 1'!G115)</f>
        <v/>
      </c>
      <c r="H115" s="184" t="str">
        <f>IF('Option 1'!H115="","",'Option 1'!H115)</f>
        <v/>
      </c>
      <c r="I115" s="184" t="str">
        <f>IF('Option 1'!I115="","",'Option 1'!I115)</f>
        <v/>
      </c>
      <c r="J115" s="184" t="str">
        <f>IF('Option 1'!J115="","",'Option 1'!J115)</f>
        <v/>
      </c>
      <c r="K115" s="184" t="str">
        <f>IF('Option 1'!K115="","",'Option 1'!K115)</f>
        <v/>
      </c>
      <c r="L115" s="184" t="str">
        <f>IF('Option 1'!L115="","",'Option 1'!L115)</f>
        <v/>
      </c>
      <c r="M115" s="184" t="str">
        <f>IF('Option 1'!M115="","",'Option 1'!M115)</f>
        <v/>
      </c>
      <c r="N115" s="184" t="str">
        <f>IF('Option 1'!N115="","",'Option 1'!N115)</f>
        <v/>
      </c>
      <c r="O115" s="184" t="str">
        <f>IF('Option 1'!O115="","",'Option 1'!O115)</f>
        <v/>
      </c>
      <c r="P115" s="124">
        <f t="shared" si="9"/>
        <v>0</v>
      </c>
    </row>
    <row r="116" spans="1:16" ht="15.75" customHeight="1" x14ac:dyDescent="0.25">
      <c r="A116" s="239"/>
      <c r="B116" s="4" t="str">
        <f>IF('Option 1'!B116="","",'Option 1'!B116)</f>
        <v/>
      </c>
      <c r="C116" s="188" t="str">
        <f>IF('Option 1'!C116="","",'Option 1'!C116)</f>
        <v>Front Entry Railings (Bldgs. 1405, 1505, 1515, 1605, &amp; 1615)</v>
      </c>
      <c r="D116" s="186" t="str">
        <f>IF('Option 1'!D116="","",'Option 1'!D116)</f>
        <v/>
      </c>
      <c r="E116" s="184" t="str">
        <f>IF('Option 1'!E116="","",'Option 1'!E116)</f>
        <v/>
      </c>
      <c r="F116" s="184" t="str">
        <f>IF('Option 1'!F116="","",'Option 1'!F116)</f>
        <v/>
      </c>
      <c r="G116" s="184" t="str">
        <f>IF('Option 1'!G116="","",'Option 1'!G116)</f>
        <v/>
      </c>
      <c r="H116" s="184" t="str">
        <f>IF('Option 1'!H116="","",'Option 1'!H116)</f>
        <v/>
      </c>
      <c r="I116" s="184" t="str">
        <f>IF('Option 1'!I116="","",'Option 1'!I116)</f>
        <v/>
      </c>
      <c r="J116" s="184" t="str">
        <f>IF('Option 1'!J116="","",'Option 1'!J116)</f>
        <v/>
      </c>
      <c r="K116" s="184" t="str">
        <f>IF('Option 1'!K116="","",'Option 1'!K116)</f>
        <v/>
      </c>
      <c r="L116" s="184" t="str">
        <f>IF('Option 1'!L116="","",'Option 1'!L116)</f>
        <v/>
      </c>
      <c r="M116" s="184" t="str">
        <f>IF('Option 1'!M116="","",'Option 1'!M116)</f>
        <v/>
      </c>
      <c r="N116" s="184" t="str">
        <f>IF('Option 1'!N116="","",'Option 1'!N116)</f>
        <v/>
      </c>
      <c r="O116" s="184" t="str">
        <f>IF('Option 1'!O116="","",'Option 1'!O116)</f>
        <v/>
      </c>
      <c r="P116" s="124">
        <f t="shared" si="9"/>
        <v>0</v>
      </c>
    </row>
    <row r="117" spans="1:16" ht="15.75" customHeight="1" x14ac:dyDescent="0.25">
      <c r="A117" s="239"/>
      <c r="B117" s="4" t="str">
        <f>IF('Option 1'!B117="","",'Option 1'!B117)</f>
        <v/>
      </c>
      <c r="C117" s="188" t="str">
        <f>IF('Option 1'!C117="","",'Option 1'!C117)</f>
        <v>Front Entry Railings (Bldg. 1415)</v>
      </c>
      <c r="D117" s="186" t="str">
        <f>IF('Option 1'!D117="","",'Option 1'!D117)</f>
        <v/>
      </c>
      <c r="E117" s="184" t="str">
        <f>IF('Option 1'!E117="","",'Option 1'!E117)</f>
        <v/>
      </c>
      <c r="F117" s="184" t="str">
        <f>IF('Option 1'!F117="","",'Option 1'!F117)</f>
        <v/>
      </c>
      <c r="G117" s="184" t="str">
        <f>IF('Option 1'!G117="","",'Option 1'!G117)</f>
        <v/>
      </c>
      <c r="H117" s="184" t="str">
        <f>IF('Option 1'!H117="","",'Option 1'!H117)</f>
        <v/>
      </c>
      <c r="I117" s="184" t="str">
        <f>IF('Option 1'!I117="","",'Option 1'!I117)</f>
        <v/>
      </c>
      <c r="J117" s="184" t="str">
        <f>IF('Option 1'!J117="","",'Option 1'!J117)</f>
        <v/>
      </c>
      <c r="K117" s="184" t="str">
        <f>IF('Option 1'!K117="","",'Option 1'!K117)</f>
        <v/>
      </c>
      <c r="L117" s="184" t="str">
        <f>IF('Option 1'!L117="","",'Option 1'!L117)</f>
        <v/>
      </c>
      <c r="M117" s="184" t="str">
        <f>IF('Option 1'!M117="","",'Option 1'!M117)</f>
        <v/>
      </c>
      <c r="N117" s="184" t="str">
        <f>IF('Option 1'!N117="","",'Option 1'!N117)</f>
        <v/>
      </c>
      <c r="O117" s="184" t="str">
        <f>IF('Option 1'!O117="","",'Option 1'!O117)</f>
        <v/>
      </c>
      <c r="P117" s="124">
        <f t="shared" si="9"/>
        <v>0</v>
      </c>
    </row>
    <row r="118" spans="1:16" ht="15.75" customHeight="1" x14ac:dyDescent="0.25">
      <c r="A118" s="239"/>
      <c r="B118" s="4" t="str">
        <f>IF('Option 1'!B118="","",'Option 1'!B118)</f>
        <v/>
      </c>
      <c r="C118" s="188" t="str">
        <f>IF('Option 1'!C118="","",'Option 1'!C118)</f>
        <v>Sidewalk Hand Railings</v>
      </c>
      <c r="D118" s="186" t="str">
        <f>IF('Option 1'!D118="","",'Option 1'!D118)</f>
        <v/>
      </c>
      <c r="E118" s="184" t="str">
        <f>IF('Option 1'!E118="","",'Option 1'!E118)</f>
        <v/>
      </c>
      <c r="F118" s="184" t="str">
        <f>IF('Option 1'!F118="","",'Option 1'!F118)</f>
        <v/>
      </c>
      <c r="G118" s="184" t="str">
        <f>IF('Option 1'!G118="","",'Option 1'!G118)</f>
        <v/>
      </c>
      <c r="H118" s="184">
        <f>IF('Option 1'!H118="","",'Option 1'!H118)</f>
        <v>23339</v>
      </c>
      <c r="I118" s="184" t="str">
        <f>IF('Option 1'!I118="","",'Option 1'!I118)</f>
        <v/>
      </c>
      <c r="J118" s="184" t="str">
        <f>IF('Option 1'!J118="","",'Option 1'!J118)</f>
        <v/>
      </c>
      <c r="K118" s="184" t="str">
        <f>IF('Option 1'!K118="","",'Option 1'!K118)</f>
        <v/>
      </c>
      <c r="L118" s="184" t="str">
        <f>IF('Option 1'!L118="","",'Option 1'!L118)</f>
        <v/>
      </c>
      <c r="M118" s="184" t="str">
        <f>IF('Option 1'!M118="","",'Option 1'!M118)</f>
        <v/>
      </c>
      <c r="N118" s="184" t="str">
        <f>IF('Option 1'!N118="","",'Option 1'!N118)</f>
        <v/>
      </c>
      <c r="O118" s="184" t="str">
        <f>IF('Option 1'!O118="","",'Option 1'!O118)</f>
        <v/>
      </c>
      <c r="P118" s="124">
        <f t="shared" si="9"/>
        <v>23339</v>
      </c>
    </row>
    <row r="119" spans="1:16" ht="15.75" customHeight="1" x14ac:dyDescent="0.25">
      <c r="A119" s="239"/>
      <c r="B119" s="4" t="str">
        <f>IF('Option 1'!B119="","",'Option 1'!B119)</f>
        <v/>
      </c>
      <c r="C119" s="188" t="str">
        <f>IF('Option 1'!C119="","",'Option 1'!C119)</f>
        <v>Brick Tuckpointing (Bldg. 1405)</v>
      </c>
      <c r="D119" s="186" t="str">
        <f>IF('Option 1'!D119="","",'Option 1'!D119)</f>
        <v/>
      </c>
      <c r="E119" s="184" t="str">
        <f>IF('Option 1'!E119="","",'Option 1'!E119)</f>
        <v/>
      </c>
      <c r="F119" s="184" t="str">
        <f>IF('Option 1'!F119="","",'Option 1'!F119)</f>
        <v/>
      </c>
      <c r="G119" s="184" t="str">
        <f>IF('Option 1'!G119="","",'Option 1'!G119)</f>
        <v/>
      </c>
      <c r="H119" s="184" t="str">
        <f>IF('Option 1'!H119="","",'Option 1'!H119)</f>
        <v/>
      </c>
      <c r="I119" s="184" t="str">
        <f>IF('Option 1'!I119="","",'Option 1'!I119)</f>
        <v/>
      </c>
      <c r="J119" s="184" t="str">
        <f>IF('Option 1'!J119="","",'Option 1'!J119)</f>
        <v/>
      </c>
      <c r="K119" s="184" t="str">
        <f>IF('Option 1'!K119="","",'Option 1'!K119)</f>
        <v/>
      </c>
      <c r="L119" s="184">
        <f>IF('Option 1'!L119="","",'Option 1'!L119)</f>
        <v>132825</v>
      </c>
      <c r="M119" s="184" t="str">
        <f>IF('Option 1'!M119="","",'Option 1'!M119)</f>
        <v/>
      </c>
      <c r="N119" s="184" t="str">
        <f>IF('Option 1'!N119="","",'Option 1'!N119)</f>
        <v/>
      </c>
      <c r="O119" s="184" t="str">
        <f>IF('Option 1'!O119="","",'Option 1'!O119)</f>
        <v/>
      </c>
      <c r="P119" s="124">
        <f t="shared" si="9"/>
        <v>132825</v>
      </c>
    </row>
    <row r="120" spans="1:16" ht="15.75" customHeight="1" x14ac:dyDescent="0.25">
      <c r="A120" s="239"/>
      <c r="B120" s="4" t="str">
        <f>IF('Option 1'!B120="","",'Option 1'!B120)</f>
        <v/>
      </c>
      <c r="C120" s="188" t="str">
        <f>IF('Option 1'!C120="","",'Option 1'!C120)</f>
        <v>Brick Tuckpointing (Bldg. 1415)</v>
      </c>
      <c r="D120" s="186" t="str">
        <f>IF('Option 1'!D120="","",'Option 1'!D120)</f>
        <v/>
      </c>
      <c r="E120" s="184" t="str">
        <f>IF('Option 1'!E120="","",'Option 1'!E120)</f>
        <v/>
      </c>
      <c r="F120" s="184" t="str">
        <f>IF('Option 1'!F120="","",'Option 1'!F120)</f>
        <v/>
      </c>
      <c r="G120" s="184" t="str">
        <f>IF('Option 1'!G120="","",'Option 1'!G120)</f>
        <v/>
      </c>
      <c r="H120" s="184" t="str">
        <f>IF('Option 1'!H120="","",'Option 1'!H120)</f>
        <v/>
      </c>
      <c r="I120" s="184" t="str">
        <f>IF('Option 1'!I120="","",'Option 1'!I120)</f>
        <v/>
      </c>
      <c r="J120" s="184" t="str">
        <f>IF('Option 1'!J120="","",'Option 1'!J120)</f>
        <v/>
      </c>
      <c r="K120" s="184" t="str">
        <f>IF('Option 1'!K120="","",'Option 1'!K120)</f>
        <v/>
      </c>
      <c r="L120" s="184" t="str">
        <f>IF('Option 1'!L120="","",'Option 1'!L120)</f>
        <v/>
      </c>
      <c r="M120" s="184">
        <f>IF('Option 1'!M120="","",'Option 1'!M120)</f>
        <v>132825</v>
      </c>
      <c r="N120" s="184" t="str">
        <f>IF('Option 1'!N120="","",'Option 1'!N120)</f>
        <v/>
      </c>
      <c r="O120" s="184" t="str">
        <f>IF('Option 1'!O120="","",'Option 1'!O120)</f>
        <v/>
      </c>
      <c r="P120" s="124">
        <f t="shared" si="9"/>
        <v>132825</v>
      </c>
    </row>
    <row r="121" spans="1:16" ht="15.75" customHeight="1" x14ac:dyDescent="0.25">
      <c r="A121" s="239"/>
      <c r="B121" s="4" t="str">
        <f>IF('Option 1'!B121="","",'Option 1'!B121)</f>
        <v/>
      </c>
      <c r="C121" s="188" t="str">
        <f>IF('Option 1'!C121="","",'Option 1'!C121)</f>
        <v>Brick Tuckpointing (Bldg. 1505)</v>
      </c>
      <c r="D121" s="186" t="str">
        <f>IF('Option 1'!D121="","",'Option 1'!D121)</f>
        <v/>
      </c>
      <c r="E121" s="184" t="str">
        <f>IF('Option 1'!E121="","",'Option 1'!E121)</f>
        <v/>
      </c>
      <c r="F121" s="184" t="str">
        <f>IF('Option 1'!F121="","",'Option 1'!F121)</f>
        <v/>
      </c>
      <c r="G121" s="184" t="str">
        <f>IF('Option 1'!G121="","",'Option 1'!G121)</f>
        <v/>
      </c>
      <c r="H121" s="184" t="str">
        <f>IF('Option 1'!H121="","",'Option 1'!H121)</f>
        <v/>
      </c>
      <c r="I121" s="184" t="str">
        <f>IF('Option 1'!I121="","",'Option 1'!I121)</f>
        <v/>
      </c>
      <c r="J121" s="184" t="str">
        <f>IF('Option 1'!J121="","",'Option 1'!J121)</f>
        <v/>
      </c>
      <c r="K121" s="184" t="str">
        <f>IF('Option 1'!K121="","",'Option 1'!K121)</f>
        <v/>
      </c>
      <c r="L121" s="184" t="str">
        <f>IF('Option 1'!L121="","",'Option 1'!L121)</f>
        <v/>
      </c>
      <c r="M121" s="184" t="str">
        <f>IF('Option 1'!M121="","",'Option 1'!M121)</f>
        <v/>
      </c>
      <c r="N121" s="184">
        <f>IF('Option 1'!N121="","",'Option 1'!N121)</f>
        <v>132825</v>
      </c>
      <c r="O121" s="184" t="str">
        <f>IF('Option 1'!O121="","",'Option 1'!O121)</f>
        <v/>
      </c>
      <c r="P121" s="124">
        <f t="shared" si="9"/>
        <v>132825</v>
      </c>
    </row>
    <row r="122" spans="1:16" ht="15.75" customHeight="1" x14ac:dyDescent="0.25">
      <c r="A122" s="239"/>
      <c r="B122" s="4" t="str">
        <f>IF('Option 1'!B122="","",'Option 1'!B122)</f>
        <v/>
      </c>
      <c r="C122" s="188" t="str">
        <f>IF('Option 1'!C122="","",'Option 1'!C122)</f>
        <v>Brick Tuckpointing (Bldg. 1515)</v>
      </c>
      <c r="D122" s="186" t="str">
        <f>IF('Option 1'!D122="","",'Option 1'!D122)</f>
        <v/>
      </c>
      <c r="E122" s="184" t="str">
        <f>IF('Option 1'!E122="","",'Option 1'!E122)</f>
        <v/>
      </c>
      <c r="F122" s="184" t="str">
        <f>IF('Option 1'!F122="","",'Option 1'!F122)</f>
        <v/>
      </c>
      <c r="G122" s="184" t="str">
        <f>IF('Option 1'!G122="","",'Option 1'!G122)</f>
        <v/>
      </c>
      <c r="H122" s="184" t="str">
        <f>IF('Option 1'!H122="","",'Option 1'!H122)</f>
        <v/>
      </c>
      <c r="I122" s="184" t="str">
        <f>IF('Option 1'!I122="","",'Option 1'!I122)</f>
        <v/>
      </c>
      <c r="J122" s="184" t="str">
        <f>IF('Option 1'!J122="","",'Option 1'!J122)</f>
        <v/>
      </c>
      <c r="K122" s="184" t="str">
        <f>IF('Option 1'!K122="","",'Option 1'!K122)</f>
        <v/>
      </c>
      <c r="L122" s="184" t="str">
        <f>IF('Option 1'!L122="","",'Option 1'!L122)</f>
        <v/>
      </c>
      <c r="M122" s="184" t="str">
        <f>IF('Option 1'!M122="","",'Option 1'!M122)</f>
        <v/>
      </c>
      <c r="N122" s="184" t="str">
        <f>IF('Option 1'!N122="","",'Option 1'!N122)</f>
        <v/>
      </c>
      <c r="O122" s="184">
        <f>IF('Option 1'!O122="","",'Option 1'!O122)</f>
        <v>132825</v>
      </c>
      <c r="P122" s="124">
        <f t="shared" si="9"/>
        <v>132825</v>
      </c>
    </row>
    <row r="123" spans="1:16" ht="15.75" customHeight="1" x14ac:dyDescent="0.25">
      <c r="A123" s="239"/>
      <c r="B123" s="4" t="str">
        <f>IF('Option 1'!B123="","",'Option 1'!B123)</f>
        <v/>
      </c>
      <c r="C123" s="188" t="str">
        <f>IF('Option 1'!C123="","",'Option 1'!C123)</f>
        <v>Brick Tuckpointing (Bldg. 1605)</v>
      </c>
      <c r="D123" s="186" t="str">
        <f>IF('Option 1'!D123="","",'Option 1'!D123)</f>
        <v/>
      </c>
      <c r="E123" s="184" t="str">
        <f>IF('Option 1'!E123="","",'Option 1'!E123)</f>
        <v/>
      </c>
      <c r="F123" s="184" t="str">
        <f>IF('Option 1'!F123="","",'Option 1'!F123)</f>
        <v/>
      </c>
      <c r="G123" s="184" t="str">
        <f>IF('Option 1'!G123="","",'Option 1'!G123)</f>
        <v/>
      </c>
      <c r="H123" s="184" t="str">
        <f>IF('Option 1'!H123="","",'Option 1'!H123)</f>
        <v/>
      </c>
      <c r="I123" s="184" t="str">
        <f>IF('Option 1'!I123="","",'Option 1'!I123)</f>
        <v/>
      </c>
      <c r="J123" s="184" t="str">
        <f>IF('Option 1'!J123="","",'Option 1'!J123)</f>
        <v/>
      </c>
      <c r="K123" s="184" t="str">
        <f>IF('Option 1'!K123="","",'Option 1'!K123)</f>
        <v/>
      </c>
      <c r="L123" s="184" t="str">
        <f>IF('Option 1'!L123="","",'Option 1'!L123)</f>
        <v/>
      </c>
      <c r="M123" s="184" t="str">
        <f>IF('Option 1'!M123="","",'Option 1'!M123)</f>
        <v/>
      </c>
      <c r="N123" s="184" t="str">
        <f>IF('Option 1'!N123="","",'Option 1'!N123)</f>
        <v/>
      </c>
      <c r="O123" s="184" t="str">
        <f>IF('Option 1'!O123="","",'Option 1'!O123)</f>
        <v/>
      </c>
      <c r="P123" s="124">
        <f t="shared" si="9"/>
        <v>0</v>
      </c>
    </row>
    <row r="124" spans="1:16" ht="15.75" customHeight="1" x14ac:dyDescent="0.25">
      <c r="A124" s="239"/>
      <c r="B124" s="4" t="str">
        <f>IF('Option 1'!B124="","",'Option 1'!B124)</f>
        <v/>
      </c>
      <c r="C124" s="188" t="str">
        <f>IF('Option 1'!C124="","",'Option 1'!C124)</f>
        <v>Brick Tuckpointing (Bldg. 1615)</v>
      </c>
      <c r="D124" s="186" t="str">
        <f>IF('Option 1'!D124="","",'Option 1'!D124)</f>
        <v/>
      </c>
      <c r="E124" s="184" t="str">
        <f>IF('Option 1'!E124="","",'Option 1'!E124)</f>
        <v/>
      </c>
      <c r="F124" s="184" t="str">
        <f>IF('Option 1'!F124="","",'Option 1'!F124)</f>
        <v/>
      </c>
      <c r="G124" s="184" t="str">
        <f>IF('Option 1'!G124="","",'Option 1'!G124)</f>
        <v/>
      </c>
      <c r="H124" s="184" t="str">
        <f>IF('Option 1'!H124="","",'Option 1'!H124)</f>
        <v/>
      </c>
      <c r="I124" s="184" t="str">
        <f>IF('Option 1'!I124="","",'Option 1'!I124)</f>
        <v/>
      </c>
      <c r="J124" s="184" t="str">
        <f>IF('Option 1'!J124="","",'Option 1'!J124)</f>
        <v/>
      </c>
      <c r="K124" s="184" t="str">
        <f>IF('Option 1'!K124="","",'Option 1'!K124)</f>
        <v/>
      </c>
      <c r="L124" s="184" t="str">
        <f>IF('Option 1'!L124="","",'Option 1'!L124)</f>
        <v/>
      </c>
      <c r="M124" s="184" t="str">
        <f>IF('Option 1'!M124="","",'Option 1'!M124)</f>
        <v/>
      </c>
      <c r="N124" s="184" t="str">
        <f>IF('Option 1'!N124="","",'Option 1'!N124)</f>
        <v/>
      </c>
      <c r="O124" s="184" t="str">
        <f>IF('Option 1'!O124="","",'Option 1'!O124)</f>
        <v/>
      </c>
      <c r="P124" s="124">
        <f t="shared" si="9"/>
        <v>0</v>
      </c>
    </row>
    <row r="125" spans="1:16" ht="15.75" customHeight="1" x14ac:dyDescent="0.25">
      <c r="A125" s="239"/>
      <c r="B125" s="4" t="str">
        <f>IF('Option 1'!B125="","",'Option 1'!B125)</f>
        <v/>
      </c>
      <c r="C125" s="188" t="str">
        <f>IF('Option 1'!C125="","",'Option 1'!C125)</f>
        <v>Window Caulking</v>
      </c>
      <c r="D125" s="186" t="str">
        <f>IF('Option 1'!D125="","",'Option 1'!D125)</f>
        <v/>
      </c>
      <c r="E125" s="184" t="str">
        <f>IF('Option 1'!E125="","",'Option 1'!E125)</f>
        <v/>
      </c>
      <c r="F125" s="184" t="str">
        <f>IF('Option 1'!F125="","",'Option 1'!F125)</f>
        <v/>
      </c>
      <c r="G125" s="184" t="str">
        <f>IF('Option 1'!G125="","",'Option 1'!G125)</f>
        <v/>
      </c>
      <c r="H125" s="184" t="str">
        <f>IF('Option 1'!H125="","",'Option 1'!H125)</f>
        <v/>
      </c>
      <c r="I125" s="184" t="str">
        <f>IF('Option 1'!I125="","",'Option 1'!I125)</f>
        <v/>
      </c>
      <c r="J125" s="184" t="str">
        <f>IF('Option 1'!J125="","",'Option 1'!J125)</f>
        <v/>
      </c>
      <c r="K125" s="184" t="str">
        <f>IF('Option 1'!K125="","",'Option 1'!K125)</f>
        <v/>
      </c>
      <c r="L125" s="184" t="str">
        <f>IF('Option 1'!L125="","",'Option 1'!L125)</f>
        <v/>
      </c>
      <c r="M125" s="184" t="str">
        <f>IF('Option 1'!M125="","",'Option 1'!M125)</f>
        <v/>
      </c>
      <c r="N125" s="184" t="str">
        <f>IF('Option 1'!N125="","",'Option 1'!N125)</f>
        <v/>
      </c>
      <c r="O125" s="184">
        <f>IF('Option 1'!O125="","",'Option 1'!O125)</f>
        <v>101092</v>
      </c>
      <c r="P125" s="124">
        <f t="shared" si="9"/>
        <v>101092</v>
      </c>
    </row>
    <row r="126" spans="1:16" ht="15.75" customHeight="1" x14ac:dyDescent="0.25">
      <c r="A126" s="239"/>
      <c r="B126" s="4" t="str">
        <f>IF('Option 1'!B126="","",'Option 1'!B126)</f>
        <v/>
      </c>
      <c r="C126" s="188" t="str">
        <f>IF('Option 1'!C126="","",'Option 1'!C126)</f>
        <v>Dryvent (Clubhouse)</v>
      </c>
      <c r="D126" s="186" t="str">
        <f>IF('Option 1'!D126="","",'Option 1'!D126)</f>
        <v/>
      </c>
      <c r="E126" s="184" t="str">
        <f>IF('Option 1'!E126="","",'Option 1'!E126)</f>
        <v/>
      </c>
      <c r="F126" s="184" t="str">
        <f>IF('Option 1'!F126="","",'Option 1'!F126)</f>
        <v/>
      </c>
      <c r="G126" s="184" t="str">
        <f>IF('Option 1'!G126="","",'Option 1'!G126)</f>
        <v/>
      </c>
      <c r="H126" s="184" t="str">
        <f>IF('Option 1'!H126="","",'Option 1'!H126)</f>
        <v/>
      </c>
      <c r="I126" s="184" t="str">
        <f>IF('Option 1'!I126="","",'Option 1'!I126)</f>
        <v/>
      </c>
      <c r="J126" s="184" t="str">
        <f>IF('Option 1'!J126="","",'Option 1'!J126)</f>
        <v/>
      </c>
      <c r="K126" s="184" t="str">
        <f>IF('Option 1'!K126="","",'Option 1'!K126)</f>
        <v/>
      </c>
      <c r="L126" s="184" t="str">
        <f>IF('Option 1'!L126="","",'Option 1'!L126)</f>
        <v/>
      </c>
      <c r="M126" s="184" t="str">
        <f>IF('Option 1'!M126="","",'Option 1'!M126)</f>
        <v/>
      </c>
      <c r="N126" s="184" t="str">
        <f>IF('Option 1'!N126="","",'Option 1'!N126)</f>
        <v/>
      </c>
      <c r="O126" s="184" t="str">
        <f>IF('Option 1'!O126="","",'Option 1'!O126)</f>
        <v/>
      </c>
      <c r="P126" s="124">
        <f t="shared" si="9"/>
        <v>0</v>
      </c>
    </row>
    <row r="127" spans="1:16" ht="15.75" customHeight="1" x14ac:dyDescent="0.25">
      <c r="A127" s="239"/>
      <c r="B127" s="4" t="str">
        <f>IF('Option 1'!B127="","",'Option 1'!B127)</f>
        <v/>
      </c>
      <c r="C127" s="188" t="str">
        <f>IF('Option 1'!C127="","",'Option 1'!C127)</f>
        <v>Windows (Clubhouse)</v>
      </c>
      <c r="D127" s="186" t="str">
        <f>IF('Option 1'!D127="","",'Option 1'!D127)</f>
        <v/>
      </c>
      <c r="E127" s="184" t="str">
        <f>IF('Option 1'!E127="","",'Option 1'!E127)</f>
        <v/>
      </c>
      <c r="F127" s="184" t="str">
        <f>IF('Option 1'!F127="","",'Option 1'!F127)</f>
        <v/>
      </c>
      <c r="G127" s="184" t="str">
        <f>IF('Option 1'!G127="","",'Option 1'!G127)</f>
        <v/>
      </c>
      <c r="H127" s="184" t="str">
        <f>IF('Option 1'!H127="","",'Option 1'!H127)</f>
        <v/>
      </c>
      <c r="I127" s="184" t="str">
        <f>IF('Option 1'!I127="","",'Option 1'!I127)</f>
        <v/>
      </c>
      <c r="J127" s="184" t="str">
        <f>IF('Option 1'!J127="","",'Option 1'!J127)</f>
        <v/>
      </c>
      <c r="K127" s="184" t="str">
        <f>IF('Option 1'!K127="","",'Option 1'!K127)</f>
        <v/>
      </c>
      <c r="L127" s="184" t="str">
        <f>IF('Option 1'!L127="","",'Option 1'!L127)</f>
        <v/>
      </c>
      <c r="M127" s="184" t="str">
        <f>IF('Option 1'!M127="","",'Option 1'!M127)</f>
        <v/>
      </c>
      <c r="N127" s="184" t="str">
        <f>IF('Option 1'!N127="","",'Option 1'!N127)</f>
        <v/>
      </c>
      <c r="O127" s="184" t="str">
        <f>IF('Option 1'!O127="","",'Option 1'!O127)</f>
        <v/>
      </c>
      <c r="P127" s="124">
        <f t="shared" si="9"/>
        <v>0</v>
      </c>
    </row>
    <row r="128" spans="1:16" ht="15.75" customHeight="1" x14ac:dyDescent="0.25">
      <c r="A128" s="239"/>
      <c r="B128" s="4" t="str">
        <f>IF('Option 1'!B128="","",'Option 1'!B128)</f>
        <v/>
      </c>
      <c r="C128" s="188" t="str">
        <f>IF('Option 1'!C128="","",'Option 1'!C128)</f>
        <v>Patio Doors (Clubhouse)</v>
      </c>
      <c r="D128" s="186" t="str">
        <f>IF('Option 1'!D128="","",'Option 1'!D128)</f>
        <v/>
      </c>
      <c r="E128" s="184" t="str">
        <f>IF('Option 1'!E128="","",'Option 1'!E128)</f>
        <v/>
      </c>
      <c r="F128" s="184" t="str">
        <f>IF('Option 1'!F128="","",'Option 1'!F128)</f>
        <v/>
      </c>
      <c r="G128" s="184" t="str">
        <f>IF('Option 1'!G128="","",'Option 1'!G128)</f>
        <v/>
      </c>
      <c r="H128" s="184" t="str">
        <f>IF('Option 1'!H128="","",'Option 1'!H128)</f>
        <v/>
      </c>
      <c r="I128" s="184" t="str">
        <f>IF('Option 1'!I128="","",'Option 1'!I128)</f>
        <v/>
      </c>
      <c r="J128" s="184" t="str">
        <f>IF('Option 1'!J128="","",'Option 1'!J128)</f>
        <v/>
      </c>
      <c r="K128" s="184">
        <f>IF('Option 1'!K128="","",'Option 1'!K128)</f>
        <v>17298</v>
      </c>
      <c r="L128" s="184" t="str">
        <f>IF('Option 1'!L128="","",'Option 1'!L128)</f>
        <v/>
      </c>
      <c r="M128" s="184" t="str">
        <f>IF('Option 1'!M128="","",'Option 1'!M128)</f>
        <v/>
      </c>
      <c r="N128" s="184" t="str">
        <f>IF('Option 1'!N128="","",'Option 1'!N128)</f>
        <v/>
      </c>
      <c r="O128" s="184" t="str">
        <f>IF('Option 1'!O128="","",'Option 1'!O128)</f>
        <v/>
      </c>
      <c r="P128" s="124">
        <f t="shared" si="9"/>
        <v>17298</v>
      </c>
    </row>
    <row r="129" spans="1:16" ht="15.75" customHeight="1" x14ac:dyDescent="0.25">
      <c r="A129" s="239"/>
      <c r="B129" s="4" t="str">
        <f>IF('Option 1'!B129="","",'Option 1'!B129)</f>
        <v/>
      </c>
      <c r="C129" s="188" t="str">
        <f>IF('Option 1'!C129="","",'Option 1'!C129)</f>
        <v>Window Wall (Clubhouse)</v>
      </c>
      <c r="D129" s="186" t="str">
        <f>IF('Option 1'!D129="","",'Option 1'!D129)</f>
        <v/>
      </c>
      <c r="E129" s="184" t="str">
        <f>IF('Option 1'!E129="","",'Option 1'!E129)</f>
        <v/>
      </c>
      <c r="F129" s="184" t="str">
        <f>IF('Option 1'!F129="","",'Option 1'!F129)</f>
        <v/>
      </c>
      <c r="G129" s="184" t="str">
        <f>IF('Option 1'!G129="","",'Option 1'!G129)</f>
        <v/>
      </c>
      <c r="H129" s="184" t="str">
        <f>IF('Option 1'!H129="","",'Option 1'!H129)</f>
        <v/>
      </c>
      <c r="I129" s="184" t="str">
        <f>IF('Option 1'!I129="","",'Option 1'!I129)</f>
        <v/>
      </c>
      <c r="J129" s="184" t="str">
        <f>IF('Option 1'!J129="","",'Option 1'!J129)</f>
        <v/>
      </c>
      <c r="K129" s="184" t="str">
        <f>IF('Option 1'!K129="","",'Option 1'!K129)</f>
        <v/>
      </c>
      <c r="L129" s="184">
        <f>IF('Option 1'!L129="","",'Option 1'!L129)</f>
        <v>11071</v>
      </c>
      <c r="M129" s="184" t="str">
        <f>IF('Option 1'!M129="","",'Option 1'!M129)</f>
        <v/>
      </c>
      <c r="N129" s="184" t="str">
        <f>IF('Option 1'!N129="","",'Option 1'!N129)</f>
        <v/>
      </c>
      <c r="O129" s="184" t="str">
        <f>IF('Option 1'!O129="","",'Option 1'!O129)</f>
        <v/>
      </c>
      <c r="P129" s="124">
        <f t="shared" si="9"/>
        <v>11071</v>
      </c>
    </row>
    <row r="130" spans="1:16" ht="15.75" customHeight="1" x14ac:dyDescent="0.25">
      <c r="A130" s="239"/>
      <c r="B130" s="4" t="str">
        <f>IF('Option 1'!B130="","",'Option 1'!B130)</f>
        <v/>
      </c>
      <c r="C130" s="188" t="str">
        <f>IF('Option 1'!C130="","",'Option 1'!C130)</f>
        <v>Window Wall (Bldgs. 1415, 1515, 1605, 1615)</v>
      </c>
      <c r="D130" s="186" t="str">
        <f>IF('Option 1'!D130="","",'Option 1'!D130)</f>
        <v/>
      </c>
      <c r="E130" s="184" t="str">
        <f>IF('Option 1'!E130="","",'Option 1'!E130)</f>
        <v/>
      </c>
      <c r="F130" s="184" t="str">
        <f>IF('Option 1'!F130="","",'Option 1'!F130)</f>
        <v/>
      </c>
      <c r="G130" s="184" t="str">
        <f>IF('Option 1'!G130="","",'Option 1'!G130)</f>
        <v/>
      </c>
      <c r="H130" s="184" t="str">
        <f>IF('Option 1'!H130="","",'Option 1'!H130)</f>
        <v/>
      </c>
      <c r="I130" s="184" t="str">
        <f>IF('Option 1'!I130="","",'Option 1'!I130)</f>
        <v/>
      </c>
      <c r="J130" s="184" t="str">
        <f>IF('Option 1'!J130="","",'Option 1'!J130)</f>
        <v/>
      </c>
      <c r="K130" s="184" t="str">
        <f>IF('Option 1'!K130="","",'Option 1'!K130)</f>
        <v/>
      </c>
      <c r="L130" s="184" t="str">
        <f>IF('Option 1'!L130="","",'Option 1'!L130)</f>
        <v/>
      </c>
      <c r="M130" s="184" t="str">
        <f>IF('Option 1'!M130="","",'Option 1'!M130)</f>
        <v/>
      </c>
      <c r="N130" s="184" t="str">
        <f>IF('Option 1'!N130="","",'Option 1'!N130)</f>
        <v/>
      </c>
      <c r="O130" s="184" t="str">
        <f>IF('Option 1'!O130="","",'Option 1'!O130)</f>
        <v/>
      </c>
      <c r="P130" s="124">
        <f t="shared" si="9"/>
        <v>0</v>
      </c>
    </row>
    <row r="131" spans="1:16" ht="15.75" customHeight="1" x14ac:dyDescent="0.25">
      <c r="A131" s="239"/>
      <c r="B131" s="4" t="str">
        <f>IF('Option 1'!B131="","",'Option 1'!B131)</f>
        <v/>
      </c>
      <c r="C131" s="188" t="str">
        <f>IF('Option 1'!C131="","",'Option 1'!C131)</f>
        <v>Window Wall (Bldg. 1505)</v>
      </c>
      <c r="D131" s="186" t="str">
        <f>IF('Option 1'!D131="","",'Option 1'!D131)</f>
        <v/>
      </c>
      <c r="E131" s="184" t="str">
        <f>IF('Option 1'!E131="","",'Option 1'!E131)</f>
        <v/>
      </c>
      <c r="F131" s="184" t="str">
        <f>IF('Option 1'!F131="","",'Option 1'!F131)</f>
        <v/>
      </c>
      <c r="G131" s="184" t="str">
        <f>IF('Option 1'!G131="","",'Option 1'!G131)</f>
        <v/>
      </c>
      <c r="H131" s="184" t="str">
        <f>IF('Option 1'!H131="","",'Option 1'!H131)</f>
        <v/>
      </c>
      <c r="I131" s="184" t="str">
        <f>IF('Option 1'!I131="","",'Option 1'!I131)</f>
        <v/>
      </c>
      <c r="J131" s="184" t="str">
        <f>IF('Option 1'!J131="","",'Option 1'!J131)</f>
        <v/>
      </c>
      <c r="K131" s="184" t="str">
        <f>IF('Option 1'!K131="","",'Option 1'!K131)</f>
        <v/>
      </c>
      <c r="L131" s="184" t="str">
        <f>IF('Option 1'!L131="","",'Option 1'!L131)</f>
        <v/>
      </c>
      <c r="M131" s="184" t="str">
        <f>IF('Option 1'!M131="","",'Option 1'!M131)</f>
        <v/>
      </c>
      <c r="N131" s="184" t="str">
        <f>IF('Option 1'!N131="","",'Option 1'!N131)</f>
        <v/>
      </c>
      <c r="O131" s="184" t="str">
        <f>IF('Option 1'!O131="","",'Option 1'!O131)</f>
        <v/>
      </c>
      <c r="P131" s="124">
        <f t="shared" si="9"/>
        <v>0</v>
      </c>
    </row>
    <row r="132" spans="1:16" ht="15.75" customHeight="1" x14ac:dyDescent="0.25">
      <c r="A132" s="239"/>
      <c r="B132" s="4" t="str">
        <f>IF('Option 1'!B132="","",'Option 1'!B132)</f>
        <v/>
      </c>
      <c r="C132" s="188" t="str">
        <f>IF('Option 1'!C132="","",'Option 1'!C132)</f>
        <v>Window Wall (Bldg. 1405)</v>
      </c>
      <c r="D132" s="186" t="str">
        <f>IF('Option 1'!D132="","",'Option 1'!D132)</f>
        <v/>
      </c>
      <c r="E132" s="184" t="str">
        <f>IF('Option 1'!E132="","",'Option 1'!E132)</f>
        <v/>
      </c>
      <c r="F132" s="184" t="str">
        <f>IF('Option 1'!F132="","",'Option 1'!F132)</f>
        <v/>
      </c>
      <c r="G132" s="184" t="str">
        <f>IF('Option 1'!G132="","",'Option 1'!G132)</f>
        <v/>
      </c>
      <c r="H132" s="184" t="str">
        <f>IF('Option 1'!H132="","",'Option 1'!H132)</f>
        <v/>
      </c>
      <c r="I132" s="184" t="str">
        <f>IF('Option 1'!I132="","",'Option 1'!I132)</f>
        <v/>
      </c>
      <c r="J132" s="184" t="str">
        <f>IF('Option 1'!J132="","",'Option 1'!J132)</f>
        <v/>
      </c>
      <c r="K132" s="184" t="str">
        <f>IF('Option 1'!K132="","",'Option 1'!K132)</f>
        <v/>
      </c>
      <c r="L132" s="184" t="str">
        <f>IF('Option 1'!L132="","",'Option 1'!L132)</f>
        <v/>
      </c>
      <c r="M132" s="184" t="str">
        <f>IF('Option 1'!M132="","",'Option 1'!M132)</f>
        <v/>
      </c>
      <c r="N132" s="184" t="str">
        <f>IF('Option 1'!N132="","",'Option 1'!N132)</f>
        <v/>
      </c>
      <c r="O132" s="184" t="str">
        <f>IF('Option 1'!O132="","",'Option 1'!O132)</f>
        <v/>
      </c>
      <c r="P132" s="124">
        <f t="shared" si="9"/>
        <v>0</v>
      </c>
    </row>
    <row r="133" spans="1:16" ht="15.75" customHeight="1" x14ac:dyDescent="0.25">
      <c r="A133" s="239"/>
      <c r="B133" s="4" t="str">
        <f>IF('Option 1'!B133="","",'Option 1'!B133)</f>
        <v/>
      </c>
      <c r="C133" s="188" t="str">
        <f>IF('Option 1'!C133="","",'Option 1'!C133)</f>
        <v>Exterior Metal Doors (Clubhouse)</v>
      </c>
      <c r="D133" s="186" t="str">
        <f>IF('Option 1'!D133="","",'Option 1'!D133)</f>
        <v/>
      </c>
      <c r="E133" s="184" t="str">
        <f>IF('Option 1'!E133="","",'Option 1'!E133)</f>
        <v/>
      </c>
      <c r="F133" s="184">
        <f>IF('Option 1'!F133="","",'Option 1'!F133)</f>
        <v>4152</v>
      </c>
      <c r="G133" s="184" t="str">
        <f>IF('Option 1'!G133="","",'Option 1'!G133)</f>
        <v/>
      </c>
      <c r="H133" s="184" t="str">
        <f>IF('Option 1'!H133="","",'Option 1'!H133)</f>
        <v/>
      </c>
      <c r="I133" s="184" t="str">
        <f>IF('Option 1'!I133="","",'Option 1'!I133)</f>
        <v/>
      </c>
      <c r="J133" s="184" t="str">
        <f>IF('Option 1'!J133="","",'Option 1'!J133)</f>
        <v/>
      </c>
      <c r="K133" s="184" t="str">
        <f>IF('Option 1'!K133="","",'Option 1'!K133)</f>
        <v/>
      </c>
      <c r="L133" s="184" t="str">
        <f>IF('Option 1'!L133="","",'Option 1'!L133)</f>
        <v/>
      </c>
      <c r="M133" s="184" t="str">
        <f>IF('Option 1'!M133="","",'Option 1'!M133)</f>
        <v/>
      </c>
      <c r="N133" s="184" t="str">
        <f>IF('Option 1'!N133="","",'Option 1'!N133)</f>
        <v/>
      </c>
      <c r="O133" s="184" t="str">
        <f>IF('Option 1'!O133="","",'Option 1'!O133)</f>
        <v/>
      </c>
      <c r="P133" s="124">
        <f t="shared" si="9"/>
        <v>4152</v>
      </c>
    </row>
    <row r="134" spans="1:16" ht="15.75" customHeight="1" x14ac:dyDescent="0.25">
      <c r="A134" s="239"/>
      <c r="B134" s="4" t="str">
        <f>IF('Option 1'!B134="","",'Option 1'!B134)</f>
        <v/>
      </c>
      <c r="C134" s="188" t="str">
        <f>IF('Option 1'!C134="","",'Option 1'!C134)</f>
        <v>Patio Fence Gate (Clubhouse)</v>
      </c>
      <c r="D134" s="186" t="str">
        <f>IF('Option 1'!D134="","",'Option 1'!D134)</f>
        <v/>
      </c>
      <c r="E134" s="184" t="str">
        <f>IF('Option 1'!E134="","",'Option 1'!E134)</f>
        <v/>
      </c>
      <c r="F134" s="184" t="str">
        <f>IF('Option 1'!F134="","",'Option 1'!F134)</f>
        <v/>
      </c>
      <c r="G134" s="184" t="str">
        <f>IF('Option 1'!G134="","",'Option 1'!G134)</f>
        <v/>
      </c>
      <c r="H134" s="184" t="str">
        <f>IF('Option 1'!H134="","",'Option 1'!H134)</f>
        <v/>
      </c>
      <c r="I134" s="184" t="str">
        <f>IF('Option 1'!I134="","",'Option 1'!I134)</f>
        <v/>
      </c>
      <c r="J134" s="184" t="str">
        <f>IF('Option 1'!J134="","",'Option 1'!J134)</f>
        <v/>
      </c>
      <c r="K134" s="184" t="str">
        <f>IF('Option 1'!K134="","",'Option 1'!K134)</f>
        <v/>
      </c>
      <c r="L134" s="184" t="str">
        <f>IF('Option 1'!L134="","",'Option 1'!L134)</f>
        <v/>
      </c>
      <c r="M134" s="184" t="str">
        <f>IF('Option 1'!M134="","",'Option 1'!M134)</f>
        <v/>
      </c>
      <c r="N134" s="184" t="str">
        <f>IF('Option 1'!N134="","",'Option 1'!N134)</f>
        <v/>
      </c>
      <c r="O134" s="184" t="str">
        <f>IF('Option 1'!O134="","",'Option 1'!O134)</f>
        <v/>
      </c>
      <c r="P134" s="124">
        <f t="shared" si="9"/>
        <v>0</v>
      </c>
    </row>
    <row r="135" spans="1:16" ht="15.75" customHeight="1" x14ac:dyDescent="0.25">
      <c r="A135" s="239"/>
      <c r="B135" s="4" t="str">
        <f>IF('Option 1'!B135="","",'Option 1'!B135)</f>
        <v/>
      </c>
      <c r="C135" s="188" t="str">
        <f>IF('Option 1'!C135="","",'Option 1'!C135)</f>
        <v>Trellis and Columns</v>
      </c>
      <c r="D135" s="186" t="str">
        <f>IF('Option 1'!D135="","",'Option 1'!D135)</f>
        <v/>
      </c>
      <c r="E135" s="184" t="str">
        <f>IF('Option 1'!E135="","",'Option 1'!E135)</f>
        <v/>
      </c>
      <c r="F135" s="184" t="str">
        <f>IF('Option 1'!F135="","",'Option 1'!F135)</f>
        <v/>
      </c>
      <c r="G135" s="184" t="str">
        <f>IF('Option 1'!G135="","",'Option 1'!G135)</f>
        <v/>
      </c>
      <c r="H135" s="184" t="str">
        <f>IF('Option 1'!H135="","",'Option 1'!H135)</f>
        <v/>
      </c>
      <c r="I135" s="184" t="str">
        <f>IF('Option 1'!I135="","",'Option 1'!I135)</f>
        <v/>
      </c>
      <c r="J135" s="184" t="str">
        <f>IF('Option 1'!J135="","",'Option 1'!J135)</f>
        <v/>
      </c>
      <c r="K135" s="184" t="str">
        <f>IF('Option 1'!K135="","",'Option 1'!K135)</f>
        <v/>
      </c>
      <c r="L135" s="184" t="str">
        <f>IF('Option 1'!L135="","",'Option 1'!L135)</f>
        <v/>
      </c>
      <c r="M135" s="184" t="str">
        <f>IF('Option 1'!M135="","",'Option 1'!M135)</f>
        <v/>
      </c>
      <c r="N135" s="184" t="str">
        <f>IF('Option 1'!N135="","",'Option 1'!N135)</f>
        <v/>
      </c>
      <c r="O135" s="184" t="str">
        <f>IF('Option 1'!O135="","",'Option 1'!O135)</f>
        <v/>
      </c>
      <c r="P135" s="124">
        <f t="shared" si="9"/>
        <v>0</v>
      </c>
    </row>
    <row r="136" spans="1:16" ht="15.75" customHeight="1" x14ac:dyDescent="0.25">
      <c r="A136" s="239"/>
      <c r="B136" s="4" t="str">
        <f>IF('Option 1'!B136="","",'Option 1'!B136)</f>
        <v/>
      </c>
      <c r="C136" s="188" t="str">
        <f>IF('Option 1'!C136="","",'Option 1'!C136)</f>
        <v>Precast Concrete Planters</v>
      </c>
      <c r="D136" s="186" t="str">
        <f>IF('Option 1'!D136="","",'Option 1'!D136)</f>
        <v/>
      </c>
      <c r="E136" s="184">
        <f>IF('Option 1'!E136="","",'Option 1'!E136)</f>
        <v>3875</v>
      </c>
      <c r="F136" s="184" t="str">
        <f>IF('Option 1'!F136="","",'Option 1'!F136)</f>
        <v/>
      </c>
      <c r="G136" s="184" t="str">
        <f>IF('Option 1'!G136="","",'Option 1'!G136)</f>
        <v/>
      </c>
      <c r="H136" s="184" t="str">
        <f>IF('Option 1'!H136="","",'Option 1'!H136)</f>
        <v/>
      </c>
      <c r="I136" s="184" t="str">
        <f>IF('Option 1'!I136="","",'Option 1'!I136)</f>
        <v/>
      </c>
      <c r="J136" s="184" t="str">
        <f>IF('Option 1'!J136="","",'Option 1'!J136)</f>
        <v/>
      </c>
      <c r="K136" s="184" t="str">
        <f>IF('Option 1'!K136="","",'Option 1'!K136)</f>
        <v/>
      </c>
      <c r="L136" s="184" t="str">
        <f>IF('Option 1'!L136="","",'Option 1'!L136)</f>
        <v/>
      </c>
      <c r="M136" s="184" t="str">
        <f>IF('Option 1'!M136="","",'Option 1'!M136)</f>
        <v/>
      </c>
      <c r="N136" s="184" t="str">
        <f>IF('Option 1'!N136="","",'Option 1'!N136)</f>
        <v/>
      </c>
      <c r="O136" s="184" t="str">
        <f>IF('Option 1'!O136="","",'Option 1'!O136)</f>
        <v/>
      </c>
      <c r="P136" s="124">
        <f t="shared" si="9"/>
        <v>3875</v>
      </c>
    </row>
    <row r="137" spans="1:16" ht="15.75" customHeight="1" x14ac:dyDescent="0.25">
      <c r="A137" s="239"/>
      <c r="B137" s="4" t="str">
        <f>IF('Option 1'!B137="","",'Option 1'!B137)</f>
        <v/>
      </c>
      <c r="C137" s="188" t="str">
        <f>IF('Option 1'!C137="","",'Option 1'!C137)</f>
        <v>Precast Concrete Catwalks</v>
      </c>
      <c r="D137" s="186" t="str">
        <f>IF('Option 1'!D137="","",'Option 1'!D137)</f>
        <v/>
      </c>
      <c r="E137" s="184" t="str">
        <f>IF('Option 1'!E137="","",'Option 1'!E137)</f>
        <v/>
      </c>
      <c r="F137" s="184" t="str">
        <f>IF('Option 1'!F137="","",'Option 1'!F137)</f>
        <v/>
      </c>
      <c r="G137" s="184" t="str">
        <f>IF('Option 1'!G137="","",'Option 1'!G137)</f>
        <v/>
      </c>
      <c r="H137" s="184" t="str">
        <f>IF('Option 1'!H137="","",'Option 1'!H137)</f>
        <v/>
      </c>
      <c r="I137" s="184" t="str">
        <f>IF('Option 1'!I137="","",'Option 1'!I137)</f>
        <v/>
      </c>
      <c r="J137" s="184" t="str">
        <f>IF('Option 1'!J137="","",'Option 1'!J137)</f>
        <v/>
      </c>
      <c r="K137" s="184" t="str">
        <f>IF('Option 1'!K137="","",'Option 1'!K137)</f>
        <v/>
      </c>
      <c r="L137" s="184" t="str">
        <f>IF('Option 1'!L137="","",'Option 1'!L137)</f>
        <v/>
      </c>
      <c r="M137" s="184" t="str">
        <f>IF('Option 1'!M137="","",'Option 1'!M137)</f>
        <v/>
      </c>
      <c r="N137" s="184" t="str">
        <f>IF('Option 1'!N137="","",'Option 1'!N137)</f>
        <v/>
      </c>
      <c r="O137" s="184" t="str">
        <f>IF('Option 1'!O137="","",'Option 1'!O137)</f>
        <v/>
      </c>
      <c r="P137" s="124">
        <f t="shared" si="9"/>
        <v>0</v>
      </c>
    </row>
    <row r="138" spans="1:16" ht="15.75" customHeight="1" x14ac:dyDescent="0.25">
      <c r="A138" s="239"/>
      <c r="B138" s="4" t="str">
        <f>IF('Option 1'!B138="","",'Option 1'!B138)</f>
        <v/>
      </c>
      <c r="C138" s="188" t="str">
        <f>IF('Option 1'!C138="","",'Option 1'!C138)</f>
        <v>Catwalk Railings</v>
      </c>
      <c r="D138" s="186" t="str">
        <f>IF('Option 1'!D138="","",'Option 1'!D138)</f>
        <v/>
      </c>
      <c r="E138" s="184" t="str">
        <f>IF('Option 1'!E138="","",'Option 1'!E138)</f>
        <v/>
      </c>
      <c r="F138" s="184" t="str">
        <f>IF('Option 1'!F138="","",'Option 1'!F138)</f>
        <v/>
      </c>
      <c r="G138" s="184" t="str">
        <f>IF('Option 1'!G138="","",'Option 1'!G138)</f>
        <v/>
      </c>
      <c r="H138" s="184" t="str">
        <f>IF('Option 1'!H138="","",'Option 1'!H138)</f>
        <v/>
      </c>
      <c r="I138" s="184" t="str">
        <f>IF('Option 1'!I138="","",'Option 1'!I138)</f>
        <v/>
      </c>
      <c r="J138" s="184" t="str">
        <f>IF('Option 1'!J138="","",'Option 1'!J138)</f>
        <v/>
      </c>
      <c r="K138" s="184" t="str">
        <f>IF('Option 1'!K138="","",'Option 1'!K138)</f>
        <v/>
      </c>
      <c r="L138" s="184" t="str">
        <f>IF('Option 1'!L138="","",'Option 1'!L138)</f>
        <v/>
      </c>
      <c r="M138" s="184" t="str">
        <f>IF('Option 1'!M138="","",'Option 1'!M138)</f>
        <v/>
      </c>
      <c r="N138" s="184" t="str">
        <f>IF('Option 1'!N138="","",'Option 1'!N138)</f>
        <v/>
      </c>
      <c r="O138" s="184" t="str">
        <f>IF('Option 1'!O138="","",'Option 1'!O138)</f>
        <v/>
      </c>
      <c r="P138" s="124">
        <f t="shared" si="9"/>
        <v>0</v>
      </c>
    </row>
    <row r="139" spans="1:16" ht="15.75" customHeight="1" x14ac:dyDescent="0.25">
      <c r="A139" s="239"/>
      <c r="B139" s="4" t="str">
        <f>IF('Option 1'!B139="","",'Option 1'!B139)</f>
        <v/>
      </c>
      <c r="C139" s="188" t="str">
        <f>IF('Option 1'!C139="","",'Option 1'!C139)</f>
        <v>Replaced Balconies</v>
      </c>
      <c r="D139" s="186" t="str">
        <f>IF('Option 1'!D139="","",'Option 1'!D139)</f>
        <v/>
      </c>
      <c r="E139" s="184" t="str">
        <f>IF('Option 1'!E139="","",'Option 1'!E139)</f>
        <v/>
      </c>
      <c r="F139" s="184" t="str">
        <f>IF('Option 1'!F139="","",'Option 1'!F139)</f>
        <v/>
      </c>
      <c r="G139" s="184" t="str">
        <f>IF('Option 1'!G139="","",'Option 1'!G139)</f>
        <v/>
      </c>
      <c r="H139" s="184" t="str">
        <f>IF('Option 1'!H139="","",'Option 1'!H139)</f>
        <v/>
      </c>
      <c r="I139" s="184" t="str">
        <f>IF('Option 1'!I139="","",'Option 1'!I139)</f>
        <v/>
      </c>
      <c r="J139" s="184" t="str">
        <f>IF('Option 1'!J139="","",'Option 1'!J139)</f>
        <v/>
      </c>
      <c r="K139" s="184" t="str">
        <f>IF('Option 1'!K139="","",'Option 1'!K139)</f>
        <v/>
      </c>
      <c r="L139" s="184" t="str">
        <f>IF('Option 1'!L139="","",'Option 1'!L139)</f>
        <v/>
      </c>
      <c r="M139" s="184" t="str">
        <f>IF('Option 1'!M139="","",'Option 1'!M139)</f>
        <v/>
      </c>
      <c r="N139" s="184" t="str">
        <f>IF('Option 1'!N139="","",'Option 1'!N139)</f>
        <v/>
      </c>
      <c r="O139" s="184" t="str">
        <f>IF('Option 1'!O139="","",'Option 1'!O139)</f>
        <v/>
      </c>
      <c r="P139" s="124">
        <f t="shared" si="9"/>
        <v>0</v>
      </c>
    </row>
    <row r="140" spans="1:16" ht="15.75" customHeight="1" x14ac:dyDescent="0.25">
      <c r="A140" s="239"/>
      <c r="B140" s="4" t="str">
        <f>IF('Option 1'!B140="","",'Option 1'!B140)</f>
        <v/>
      </c>
      <c r="C140" s="188" t="str">
        <f>IF('Option 1'!C140="","",'Option 1'!C140)</f>
        <v>Balconies (Year 1)</v>
      </c>
      <c r="D140" s="186">
        <f>IF('Option 1'!D140="","",'Option 1'!D140)</f>
        <v>29100</v>
      </c>
      <c r="E140" s="184" t="str">
        <f>IF('Option 1'!E140="","",'Option 1'!E140)</f>
        <v/>
      </c>
      <c r="F140" s="184" t="str">
        <f>IF('Option 1'!F140="","",'Option 1'!F140)</f>
        <v/>
      </c>
      <c r="G140" s="184" t="str">
        <f>IF('Option 1'!G140="","",'Option 1'!G140)</f>
        <v/>
      </c>
      <c r="H140" s="184" t="str">
        <f>IF('Option 1'!H140="","",'Option 1'!H140)</f>
        <v/>
      </c>
      <c r="I140" s="184" t="str">
        <f>IF('Option 1'!I140="","",'Option 1'!I140)</f>
        <v/>
      </c>
      <c r="J140" s="184" t="str">
        <f>IF('Option 1'!J140="","",'Option 1'!J140)</f>
        <v/>
      </c>
      <c r="K140" s="184" t="str">
        <f>IF('Option 1'!K140="","",'Option 1'!K140)</f>
        <v/>
      </c>
      <c r="L140" s="184" t="str">
        <f>IF('Option 1'!L140="","",'Option 1'!L140)</f>
        <v/>
      </c>
      <c r="M140" s="184" t="str">
        <f>IF('Option 1'!M140="","",'Option 1'!M140)</f>
        <v/>
      </c>
      <c r="N140" s="184" t="str">
        <f>IF('Option 1'!N140="","",'Option 1'!N140)</f>
        <v/>
      </c>
      <c r="O140" s="184" t="str">
        <f>IF('Option 1'!O140="","",'Option 1'!O140)</f>
        <v/>
      </c>
      <c r="P140" s="124">
        <f t="shared" si="9"/>
        <v>29100</v>
      </c>
    </row>
    <row r="141" spans="1:16" ht="15.75" customHeight="1" x14ac:dyDescent="0.25">
      <c r="A141" s="239"/>
      <c r="B141" s="4" t="str">
        <f>IF('Option 1'!B141="","",'Option 1'!B141)</f>
        <v/>
      </c>
      <c r="C141" s="188" t="str">
        <f>IF('Option 1'!C141="","",'Option 1'!C141)</f>
        <v>Balconies (Year 2)</v>
      </c>
      <c r="D141" s="186" t="str">
        <f>IF('Option 1'!D141="","",'Option 1'!D141)</f>
        <v/>
      </c>
      <c r="E141" s="184">
        <f>IF('Option 1'!E141="","",'Option 1'!E141)</f>
        <v>175000</v>
      </c>
      <c r="F141" s="184">
        <f>IF('Option 1'!F141="","",'Option 1'!F141)</f>
        <v>225000</v>
      </c>
      <c r="G141" s="184" t="str">
        <f>IF('Option 1'!G141="","",'Option 1'!G141)</f>
        <v/>
      </c>
      <c r="H141" s="184" t="str">
        <f>IF('Option 1'!H141="","",'Option 1'!H141)</f>
        <v/>
      </c>
      <c r="I141" s="184" t="str">
        <f>IF('Option 1'!I141="","",'Option 1'!I141)</f>
        <v/>
      </c>
      <c r="J141" s="184" t="str">
        <f>IF('Option 1'!J141="","",'Option 1'!J141)</f>
        <v/>
      </c>
      <c r="K141" s="184" t="str">
        <f>IF('Option 1'!K141="","",'Option 1'!K141)</f>
        <v/>
      </c>
      <c r="L141" s="184" t="str">
        <f>IF('Option 1'!L141="","",'Option 1'!L141)</f>
        <v/>
      </c>
      <c r="M141" s="184" t="str">
        <f>IF('Option 1'!M141="","",'Option 1'!M141)</f>
        <v/>
      </c>
      <c r="N141" s="184" t="str">
        <f>IF('Option 1'!N141="","",'Option 1'!N141)</f>
        <v/>
      </c>
      <c r="O141" s="184" t="str">
        <f>IF('Option 1'!O141="","",'Option 1'!O141)</f>
        <v/>
      </c>
      <c r="P141" s="124">
        <f t="shared" si="9"/>
        <v>400000</v>
      </c>
    </row>
    <row r="142" spans="1:16" ht="15.75" customHeight="1" x14ac:dyDescent="0.25">
      <c r="A142" s="239"/>
      <c r="B142" s="4" t="str">
        <f>IF('Option 1'!B142="","",'Option 1'!B142)</f>
        <v/>
      </c>
      <c r="C142" s="188" t="str">
        <f>IF('Option 1'!C142="","",'Option 1'!C142)</f>
        <v>Balconies (Year 3)</v>
      </c>
      <c r="D142" s="186" t="str">
        <f>IF('Option 1'!D142="","",'Option 1'!D142)</f>
        <v/>
      </c>
      <c r="E142" s="184" t="str">
        <f>IF('Option 1'!E142="","",'Option 1'!E142)</f>
        <v/>
      </c>
      <c r="F142" s="184" t="str">
        <f>IF('Option 1'!F142="","",'Option 1'!F142)</f>
        <v/>
      </c>
      <c r="G142" s="184">
        <f>IF('Option 1'!G142="","",'Option 1'!G142)</f>
        <v>900000</v>
      </c>
      <c r="H142" s="184">
        <f>IF('Option 1'!H142="","",'Option 1'!H142)</f>
        <v>900000</v>
      </c>
      <c r="I142" s="184" t="str">
        <f>IF('Option 1'!I142="","",'Option 1'!I142)</f>
        <v/>
      </c>
      <c r="J142" s="184" t="str">
        <f>IF('Option 1'!J142="","",'Option 1'!J142)</f>
        <v/>
      </c>
      <c r="K142" s="184" t="str">
        <f>IF('Option 1'!K142="","",'Option 1'!K142)</f>
        <v/>
      </c>
      <c r="L142" s="184" t="str">
        <f>IF('Option 1'!L142="","",'Option 1'!L142)</f>
        <v/>
      </c>
      <c r="M142" s="184" t="str">
        <f>IF('Option 1'!M142="","",'Option 1'!M142)</f>
        <v/>
      </c>
      <c r="N142" s="184" t="str">
        <f>IF('Option 1'!N142="","",'Option 1'!N142)</f>
        <v/>
      </c>
      <c r="O142" s="184" t="str">
        <f>IF('Option 1'!O142="","",'Option 1'!O142)</f>
        <v/>
      </c>
      <c r="P142" s="124">
        <f t="shared" si="9"/>
        <v>1800000</v>
      </c>
    </row>
    <row r="143" spans="1:16" ht="15.75" customHeight="1" x14ac:dyDescent="0.25">
      <c r="A143" s="239"/>
      <c r="B143" s="4" t="str">
        <f>IF('Option 1'!B143="","",'Option 1'!B143)</f>
        <v/>
      </c>
      <c r="C143" s="188" t="str">
        <f>IF('Option 1'!C143="","",'Option 1'!C143)</f>
        <v>Balconies (Year 4)</v>
      </c>
      <c r="D143" s="186" t="str">
        <f>IF('Option 1'!D143="","",'Option 1'!D143)</f>
        <v/>
      </c>
      <c r="E143" s="184" t="str">
        <f>IF('Option 1'!E143="","",'Option 1'!E143)</f>
        <v/>
      </c>
      <c r="F143" s="184" t="str">
        <f>IF('Option 1'!F143="","",'Option 1'!F143)</f>
        <v/>
      </c>
      <c r="G143" s="184" t="str">
        <f>IF('Option 1'!G143="","",'Option 1'!G143)</f>
        <v/>
      </c>
      <c r="H143" s="184" t="str">
        <f>IF('Option 1'!H143="","",'Option 1'!H143)</f>
        <v/>
      </c>
      <c r="I143" s="184">
        <f>IF('Option 1'!I143="","",'Option 1'!I143)</f>
        <v>500000</v>
      </c>
      <c r="J143" s="184" t="str">
        <f>IF('Option 1'!J143="","",'Option 1'!J143)</f>
        <v/>
      </c>
      <c r="K143" s="184" t="str">
        <f>IF('Option 1'!K143="","",'Option 1'!K143)</f>
        <v/>
      </c>
      <c r="L143" s="184" t="str">
        <f>IF('Option 1'!L143="","",'Option 1'!L143)</f>
        <v/>
      </c>
      <c r="M143" s="184" t="str">
        <f>IF('Option 1'!M143="","",'Option 1'!M143)</f>
        <v/>
      </c>
      <c r="N143" s="184" t="str">
        <f>IF('Option 1'!N143="","",'Option 1'!N143)</f>
        <v/>
      </c>
      <c r="O143" s="184" t="str">
        <f>IF('Option 1'!O143="","",'Option 1'!O143)</f>
        <v/>
      </c>
      <c r="P143" s="124">
        <f t="shared" si="9"/>
        <v>500000</v>
      </c>
    </row>
    <row r="144" spans="1:16" ht="15.75" customHeight="1" x14ac:dyDescent="0.25">
      <c r="A144" s="239"/>
      <c r="B144" s="4" t="str">
        <f>IF('Option 1'!B144="","",'Option 1'!B144)</f>
        <v/>
      </c>
      <c r="C144" s="188" t="str">
        <f>IF('Option 1'!C144="","",'Option 1'!C144)</f>
        <v>Balconies (Year 5)</v>
      </c>
      <c r="D144" s="186">
        <f>IF('Option 1'!D144="","",'Option 1'!D144)</f>
        <v>50878</v>
      </c>
      <c r="E144" s="184" t="str">
        <f>IF('Option 1'!E144="","",'Option 1'!E144)</f>
        <v/>
      </c>
      <c r="F144" s="184" t="str">
        <f>IF('Option 1'!F144="","",'Option 1'!F144)</f>
        <v/>
      </c>
      <c r="G144" s="184" t="str">
        <f>IF('Option 1'!G144="","",'Option 1'!G144)</f>
        <v/>
      </c>
      <c r="H144" s="184" t="str">
        <f>IF('Option 1'!H144="","",'Option 1'!H144)</f>
        <v/>
      </c>
      <c r="I144" s="184" t="str">
        <f>IF('Option 1'!I144="","",'Option 1'!I144)</f>
        <v/>
      </c>
      <c r="J144" s="184" t="str">
        <f>IF('Option 1'!J144="","",'Option 1'!J144)</f>
        <v/>
      </c>
      <c r="K144" s="184" t="str">
        <f>IF('Option 1'!K144="","",'Option 1'!K144)</f>
        <v/>
      </c>
      <c r="L144" s="184" t="str">
        <f>IF('Option 1'!L144="","",'Option 1'!L144)</f>
        <v/>
      </c>
      <c r="M144" s="184" t="str">
        <f>IF('Option 1'!M144="","",'Option 1'!M144)</f>
        <v/>
      </c>
      <c r="N144" s="184" t="str">
        <f>IF('Option 1'!N144="","",'Option 1'!N144)</f>
        <v/>
      </c>
      <c r="O144" s="184" t="str">
        <f>IF('Option 1'!O144="","",'Option 1'!O144)</f>
        <v/>
      </c>
      <c r="P144" s="124">
        <f t="shared" si="9"/>
        <v>50878</v>
      </c>
    </row>
    <row r="145" spans="1:16" ht="15.75" customHeight="1" x14ac:dyDescent="0.25">
      <c r="A145" s="239"/>
      <c r="B145" s="4" t="str">
        <f>IF('Option 1'!B145="","",'Option 1'!B145)</f>
        <v/>
      </c>
      <c r="C145" s="188" t="str">
        <f>IF('Option 1'!C145="","",'Option 1'!C145)</f>
        <v>Remaining Balconies</v>
      </c>
      <c r="D145" s="186" t="str">
        <f>IF('Option 1'!D145="","",'Option 1'!D145)</f>
        <v/>
      </c>
      <c r="E145" s="184" t="str">
        <f>IF('Option 1'!E145="","",'Option 1'!E145)</f>
        <v/>
      </c>
      <c r="F145" s="184" t="str">
        <f>IF('Option 1'!F145="","",'Option 1'!F145)</f>
        <v/>
      </c>
      <c r="G145" s="184" t="str">
        <f>IF('Option 1'!G145="","",'Option 1'!G145)</f>
        <v/>
      </c>
      <c r="H145" s="184" t="str">
        <f>IF('Option 1'!H145="","",'Option 1'!H145)</f>
        <v/>
      </c>
      <c r="I145" s="184" t="str">
        <f>IF('Option 1'!I145="","",'Option 1'!I145)</f>
        <v/>
      </c>
      <c r="J145" s="184" t="str">
        <f>IF('Option 1'!J145="","",'Option 1'!J145)</f>
        <v/>
      </c>
      <c r="K145" s="184" t="str">
        <f>IF('Option 1'!K145="","",'Option 1'!K145)</f>
        <v/>
      </c>
      <c r="L145" s="184" t="str">
        <f>IF('Option 1'!L145="","",'Option 1'!L145)</f>
        <v/>
      </c>
      <c r="M145" s="184" t="str">
        <f>IF('Option 1'!M145="","",'Option 1'!M145)</f>
        <v/>
      </c>
      <c r="N145" s="184" t="str">
        <f>IF('Option 1'!N145="","",'Option 1'!N145)</f>
        <v/>
      </c>
      <c r="O145" s="184" t="str">
        <f>IF('Option 1'!O145="","",'Option 1'!O145)</f>
        <v/>
      </c>
      <c r="P145" s="124">
        <f t="shared" si="9"/>
        <v>0</v>
      </c>
    </row>
    <row r="146" spans="1:16" ht="15.75" customHeight="1" x14ac:dyDescent="0.25">
      <c r="A146" s="239"/>
      <c r="B146" s="4" t="str">
        <f>IF('Option 1'!B146="","",'Option 1'!B146)</f>
        <v/>
      </c>
      <c r="C146" s="188" t="str">
        <f>IF('Option 1'!C146="","",'Option 1'!C146)</f>
        <v>Balcony Deck Coating</v>
      </c>
      <c r="D146" s="186" t="str">
        <f>IF('Option 1'!D146="","",'Option 1'!D146)</f>
        <v/>
      </c>
      <c r="E146" s="184" t="str">
        <f>IF('Option 1'!E146="","",'Option 1'!E146)</f>
        <v/>
      </c>
      <c r="F146" s="184" t="str">
        <f>IF('Option 1'!F146="","",'Option 1'!F146)</f>
        <v/>
      </c>
      <c r="G146" s="184" t="str">
        <f>IF('Option 1'!G146="","",'Option 1'!G146)</f>
        <v/>
      </c>
      <c r="H146" s="184" t="str">
        <f>IF('Option 1'!H146="","",'Option 1'!H146)</f>
        <v/>
      </c>
      <c r="I146" s="184" t="str">
        <f>IF('Option 1'!I146="","",'Option 1'!I146)</f>
        <v/>
      </c>
      <c r="J146" s="184" t="str">
        <f>IF('Option 1'!J146="","",'Option 1'!J146)</f>
        <v/>
      </c>
      <c r="K146" s="184">
        <f>IF('Option 1'!K146="","",'Option 1'!K146)</f>
        <v>612000</v>
      </c>
      <c r="L146" s="184" t="str">
        <f>IF('Option 1'!L146="","",'Option 1'!L146)</f>
        <v/>
      </c>
      <c r="M146" s="184" t="str">
        <f>IF('Option 1'!M146="","",'Option 1'!M146)</f>
        <v/>
      </c>
      <c r="N146" s="184" t="str">
        <f>IF('Option 1'!N146="","",'Option 1'!N146)</f>
        <v/>
      </c>
      <c r="O146" s="184" t="str">
        <f>IF('Option 1'!O146="","",'Option 1'!O146)</f>
        <v/>
      </c>
      <c r="P146" s="124">
        <f t="shared" si="9"/>
        <v>612000</v>
      </c>
    </row>
    <row r="147" spans="1:16" ht="15.75" customHeight="1" x14ac:dyDescent="0.25">
      <c r="A147" s="239"/>
      <c r="B147" s="4" t="str">
        <f>IF('Option 1'!B147="","",'Option 1'!B147)</f>
        <v/>
      </c>
      <c r="C147" s="188" t="str">
        <f>IF('Option 1'!C147="","",'Option 1'!C147)</f>
        <v>Balcony Railings</v>
      </c>
      <c r="D147" s="186" t="str">
        <f>IF('Option 1'!D147="","",'Option 1'!D147)</f>
        <v/>
      </c>
      <c r="E147" s="184" t="str">
        <f>IF('Option 1'!E147="","",'Option 1'!E147)</f>
        <v/>
      </c>
      <c r="F147" s="184" t="str">
        <f>IF('Option 1'!F147="","",'Option 1'!F147)</f>
        <v/>
      </c>
      <c r="G147" s="184" t="str">
        <f>IF('Option 1'!G147="","",'Option 1'!G147)</f>
        <v/>
      </c>
      <c r="H147" s="184" t="str">
        <f>IF('Option 1'!H147="","",'Option 1'!H147)</f>
        <v/>
      </c>
      <c r="I147" s="184" t="str">
        <f>IF('Option 1'!I147="","",'Option 1'!I147)</f>
        <v/>
      </c>
      <c r="J147" s="184" t="str">
        <f>IF('Option 1'!J147="","",'Option 1'!J147)</f>
        <v/>
      </c>
      <c r="K147" s="184" t="str">
        <f>IF('Option 1'!K147="","",'Option 1'!K147)</f>
        <v/>
      </c>
      <c r="L147" s="184" t="str">
        <f>IF('Option 1'!L147="","",'Option 1'!L147)</f>
        <v/>
      </c>
      <c r="M147" s="184" t="str">
        <f>IF('Option 1'!M147="","",'Option 1'!M147)</f>
        <v/>
      </c>
      <c r="N147" s="184" t="str">
        <f>IF('Option 1'!N147="","",'Option 1'!N147)</f>
        <v/>
      </c>
      <c r="O147" s="184" t="str">
        <f>IF('Option 1'!O147="","",'Option 1'!O147)</f>
        <v/>
      </c>
      <c r="P147" s="124">
        <f t="shared" si="9"/>
        <v>0</v>
      </c>
    </row>
    <row r="148" spans="1:16" ht="15.75" customHeight="1" x14ac:dyDescent="0.25">
      <c r="A148" s="239"/>
      <c r="B148" s="4" t="str">
        <f>IF('Option 1'!B148="","",'Option 1'!B148)</f>
        <v/>
      </c>
      <c r="C148" s="188" t="str">
        <f>IF('Option 1'!C148="","",'Option 1'!C148)</f>
        <v>Garage Doors</v>
      </c>
      <c r="D148" s="186" t="str">
        <f>IF('Option 1'!D148="","",'Option 1'!D148)</f>
        <v/>
      </c>
      <c r="E148" s="184" t="str">
        <f>IF('Option 1'!E148="","",'Option 1'!E148)</f>
        <v/>
      </c>
      <c r="F148" s="184" t="str">
        <f>IF('Option 1'!F148="","",'Option 1'!F148)</f>
        <v/>
      </c>
      <c r="G148" s="184" t="str">
        <f>IF('Option 1'!G148="","",'Option 1'!G148)</f>
        <v/>
      </c>
      <c r="H148" s="184" t="str">
        <f>IF('Option 1'!H148="","",'Option 1'!H148)</f>
        <v/>
      </c>
      <c r="I148" s="184" t="str">
        <f>IF('Option 1'!I148="","",'Option 1'!I148)</f>
        <v/>
      </c>
      <c r="J148" s="184">
        <f>IF('Option 1'!J148="","",'Option 1'!J148)</f>
        <v>66426</v>
      </c>
      <c r="K148" s="184" t="str">
        <f>IF('Option 1'!K148="","",'Option 1'!K148)</f>
        <v/>
      </c>
      <c r="L148" s="184" t="str">
        <f>IF('Option 1'!L148="","",'Option 1'!L148)</f>
        <v/>
      </c>
      <c r="M148" s="184" t="str">
        <f>IF('Option 1'!M148="","",'Option 1'!M148)</f>
        <v/>
      </c>
      <c r="N148" s="184" t="str">
        <f>IF('Option 1'!N148="","",'Option 1'!N148)</f>
        <v/>
      </c>
      <c r="O148" s="184" t="str">
        <f>IF('Option 1'!O148="","",'Option 1'!O148)</f>
        <v/>
      </c>
      <c r="P148" s="124">
        <f t="shared" si="9"/>
        <v>66426</v>
      </c>
    </row>
    <row r="149" spans="1:16" ht="15.75" customHeight="1" x14ac:dyDescent="0.25">
      <c r="A149" s="239"/>
      <c r="B149" s="4" t="str">
        <f>IF('Option 1'!B149="","",'Option 1'!B149)</f>
        <v/>
      </c>
      <c r="C149" s="188" t="str">
        <f>IF('Option 1'!C149="","",'Option 1'!C149)</f>
        <v>Glazed Entry Doors</v>
      </c>
      <c r="D149" s="186" t="str">
        <f>IF('Option 1'!D149="","",'Option 1'!D149)</f>
        <v/>
      </c>
      <c r="E149" s="184" t="str">
        <f>IF('Option 1'!E149="","",'Option 1'!E149)</f>
        <v/>
      </c>
      <c r="F149" s="184" t="str">
        <f>IF('Option 1'!F149="","",'Option 1'!F149)</f>
        <v/>
      </c>
      <c r="G149" s="184" t="str">
        <f>IF('Option 1'!G149="","",'Option 1'!G149)</f>
        <v/>
      </c>
      <c r="H149" s="184" t="str">
        <f>IF('Option 1'!H149="","",'Option 1'!H149)</f>
        <v/>
      </c>
      <c r="I149" s="184" t="str">
        <f>IF('Option 1'!I149="","",'Option 1'!I149)</f>
        <v/>
      </c>
      <c r="J149" s="184" t="str">
        <f>IF('Option 1'!J149="","",'Option 1'!J149)</f>
        <v/>
      </c>
      <c r="K149" s="184">
        <f>IF('Option 1'!K149="","",'Option 1'!K149)</f>
        <v>33213</v>
      </c>
      <c r="L149" s="184" t="str">
        <f>IF('Option 1'!L149="","",'Option 1'!L149)</f>
        <v/>
      </c>
      <c r="M149" s="184" t="str">
        <f>IF('Option 1'!M149="","",'Option 1'!M149)</f>
        <v/>
      </c>
      <c r="N149" s="184" t="str">
        <f>IF('Option 1'!N149="","",'Option 1'!N149)</f>
        <v/>
      </c>
      <c r="O149" s="184" t="str">
        <f>IF('Option 1'!O149="","",'Option 1'!O149)</f>
        <v/>
      </c>
      <c r="P149" s="124">
        <f t="shared" si="9"/>
        <v>33213</v>
      </c>
    </row>
    <row r="150" spans="1:16" ht="15.75" customHeight="1" x14ac:dyDescent="0.25">
      <c r="A150" s="239"/>
      <c r="B150" s="4" t="str">
        <f>IF('Option 1'!B150="","",'Option 1'!B150)</f>
        <v/>
      </c>
      <c r="C150" s="188" t="str">
        <f>IF('Option 1'!C150="","",'Option 1'!C150)</f>
        <v>Single Metal Doors</v>
      </c>
      <c r="D150" s="186" t="str">
        <f>IF('Option 1'!D150="","",'Option 1'!D150)</f>
        <v/>
      </c>
      <c r="E150" s="184" t="str">
        <f>IF('Option 1'!E150="","",'Option 1'!E150)</f>
        <v/>
      </c>
      <c r="F150" s="184" t="str">
        <f>IF('Option 1'!F150="","",'Option 1'!F150)</f>
        <v/>
      </c>
      <c r="G150" s="184" t="str">
        <f>IF('Option 1'!G150="","",'Option 1'!G150)</f>
        <v/>
      </c>
      <c r="H150" s="184">
        <f>IF('Option 1'!H150="","",'Option 1'!H150)</f>
        <v>38749</v>
      </c>
      <c r="I150" s="184" t="str">
        <f>IF('Option 1'!I150="","",'Option 1'!I150)</f>
        <v/>
      </c>
      <c r="J150" s="184" t="str">
        <f>IF('Option 1'!J150="","",'Option 1'!J150)</f>
        <v/>
      </c>
      <c r="K150" s="184" t="str">
        <f>IF('Option 1'!K150="","",'Option 1'!K150)</f>
        <v/>
      </c>
      <c r="L150" s="184" t="str">
        <f>IF('Option 1'!L150="","",'Option 1'!L150)</f>
        <v/>
      </c>
      <c r="M150" s="184" t="str">
        <f>IF('Option 1'!M150="","",'Option 1'!M150)</f>
        <v/>
      </c>
      <c r="N150" s="184" t="str">
        <f>IF('Option 1'!N150="","",'Option 1'!N150)</f>
        <v/>
      </c>
      <c r="O150" s="184" t="str">
        <f>IF('Option 1'!O150="","",'Option 1'!O150)</f>
        <v/>
      </c>
      <c r="P150" s="124">
        <f t="shared" si="9"/>
        <v>38749</v>
      </c>
    </row>
    <row r="151" spans="1:16" ht="15.75" customHeight="1" x14ac:dyDescent="0.25">
      <c r="A151" s="239"/>
      <c r="B151" s="4" t="str">
        <f>IF('Option 1'!B151="","",'Option 1'!B151)</f>
        <v/>
      </c>
      <c r="C151" s="188" t="str">
        <f>IF('Option 1'!C151="","",'Option 1'!C151)</f>
        <v>Double Metal Doors</v>
      </c>
      <c r="D151" s="186" t="str">
        <f>IF('Option 1'!D151="","",'Option 1'!D151)</f>
        <v/>
      </c>
      <c r="E151" s="184" t="str">
        <f>IF('Option 1'!E151="","",'Option 1'!E151)</f>
        <v/>
      </c>
      <c r="F151" s="184" t="str">
        <f>IF('Option 1'!F151="","",'Option 1'!F151)</f>
        <v/>
      </c>
      <c r="G151" s="184">
        <f>IF('Option 1'!G151="","",'Option 1'!G151)</f>
        <v>17664</v>
      </c>
      <c r="H151" s="184" t="str">
        <f>IF('Option 1'!H151="","",'Option 1'!H151)</f>
        <v/>
      </c>
      <c r="I151" s="184" t="str">
        <f>IF('Option 1'!I151="","",'Option 1'!I151)</f>
        <v/>
      </c>
      <c r="J151" s="184" t="str">
        <f>IF('Option 1'!J151="","",'Option 1'!J151)</f>
        <v/>
      </c>
      <c r="K151" s="184" t="str">
        <f>IF('Option 1'!K151="","",'Option 1'!K151)</f>
        <v/>
      </c>
      <c r="L151" s="184" t="str">
        <f>IF('Option 1'!L151="","",'Option 1'!L151)</f>
        <v/>
      </c>
      <c r="M151" s="184" t="str">
        <f>IF('Option 1'!M151="","",'Option 1'!M151)</f>
        <v/>
      </c>
      <c r="N151" s="184" t="str">
        <f>IF('Option 1'!N151="","",'Option 1'!N151)</f>
        <v/>
      </c>
      <c r="O151" s="184" t="str">
        <f>IF('Option 1'!O151="","",'Option 1'!O151)</f>
        <v/>
      </c>
      <c r="P151" s="124">
        <f t="shared" si="9"/>
        <v>17664</v>
      </c>
    </row>
    <row r="152" spans="1:16" ht="15.75" customHeight="1" x14ac:dyDescent="0.25">
      <c r="A152" s="239"/>
      <c r="B152" s="4" t="str">
        <f>IF('Option 1'!B152="","",'Option 1'!B152)</f>
        <v/>
      </c>
      <c r="C152" s="188" t="str">
        <f>IF('Option 1'!C152="","",'Option 1'!C152)</f>
        <v>Mailboxes</v>
      </c>
      <c r="D152" s="186" t="str">
        <f>IF('Option 1'!D152="","",'Option 1'!D152)</f>
        <v/>
      </c>
      <c r="E152" s="184" t="str">
        <f>IF('Option 1'!E152="","",'Option 1'!E152)</f>
        <v/>
      </c>
      <c r="F152" s="184" t="str">
        <f>IF('Option 1'!F152="","",'Option 1'!F152)</f>
        <v/>
      </c>
      <c r="G152" s="184" t="str">
        <f>IF('Option 1'!G152="","",'Option 1'!G152)</f>
        <v/>
      </c>
      <c r="H152" s="184" t="str">
        <f>IF('Option 1'!H152="","",'Option 1'!H152)</f>
        <v/>
      </c>
      <c r="I152" s="184" t="str">
        <f>IF('Option 1'!I152="","",'Option 1'!I152)</f>
        <v/>
      </c>
      <c r="J152" s="184" t="str">
        <f>IF('Option 1'!J152="","",'Option 1'!J152)</f>
        <v/>
      </c>
      <c r="K152" s="184" t="str">
        <f>IF('Option 1'!K152="","",'Option 1'!K152)</f>
        <v/>
      </c>
      <c r="L152" s="184" t="str">
        <f>IF('Option 1'!L152="","",'Option 1'!L152)</f>
        <v/>
      </c>
      <c r="M152" s="184" t="str">
        <f>IF('Option 1'!M152="","",'Option 1'!M152)</f>
        <v/>
      </c>
      <c r="N152" s="184" t="str">
        <f>IF('Option 1'!N152="","",'Option 1'!N152)</f>
        <v/>
      </c>
      <c r="O152" s="184">
        <f>IF('Option 1'!O152="","",'Option 1'!O152)</f>
        <v>23000</v>
      </c>
      <c r="P152" s="124">
        <f t="shared" si="9"/>
        <v>23000</v>
      </c>
    </row>
    <row r="153" spans="1:16" ht="15.75" customHeight="1" x14ac:dyDescent="0.25">
      <c r="A153" s="239"/>
      <c r="B153" s="4" t="str">
        <f>IF('Option 1'!B153="","",'Option 1'!B153)</f>
        <v/>
      </c>
      <c r="C153" s="3" t="str">
        <f>IF('Option 1'!C153="","",'Option 1'!C153)</f>
        <v>Electrical Elements</v>
      </c>
      <c r="D153" s="186" t="str">
        <f>IF('Option 1'!D153="","",'Option 1'!D153)</f>
        <v/>
      </c>
      <c r="E153" s="184" t="str">
        <f>IF('Option 1'!E153="","",'Option 1'!E153)</f>
        <v/>
      </c>
      <c r="F153" s="184" t="str">
        <f>IF('Option 1'!F153="","",'Option 1'!F153)</f>
        <v/>
      </c>
      <c r="G153" s="184" t="str">
        <f>IF('Option 1'!G153="","",'Option 1'!G153)</f>
        <v/>
      </c>
      <c r="H153" s="184" t="str">
        <f>IF('Option 1'!H153="","",'Option 1'!H153)</f>
        <v/>
      </c>
      <c r="I153" s="184" t="str">
        <f>IF('Option 1'!I153="","",'Option 1'!I153)</f>
        <v/>
      </c>
      <c r="J153" s="184" t="str">
        <f>IF('Option 1'!J153="","",'Option 1'!J153)</f>
        <v/>
      </c>
      <c r="K153" s="184" t="str">
        <f>IF('Option 1'!K153="","",'Option 1'!K153)</f>
        <v/>
      </c>
      <c r="L153" s="184" t="str">
        <f>IF('Option 1'!L153="","",'Option 1'!L153)</f>
        <v/>
      </c>
      <c r="M153" s="184" t="str">
        <f>IF('Option 1'!M153="","",'Option 1'!M153)</f>
        <v/>
      </c>
      <c r="N153" s="184" t="str">
        <f>IF('Option 1'!N153="","",'Option 1'!N153)</f>
        <v/>
      </c>
      <c r="O153" s="184" t="str">
        <f>IF('Option 1'!O153="","",'Option 1'!O153)</f>
        <v/>
      </c>
      <c r="P153" s="124">
        <f t="shared" ref="P153:P216" si="10">IF(SUM(D153:O153)=0,0,SUM(D153:O153))</f>
        <v>0</v>
      </c>
    </row>
    <row r="154" spans="1:16" ht="15.75" customHeight="1" x14ac:dyDescent="0.25">
      <c r="A154" s="239"/>
      <c r="B154" s="4" t="str">
        <f>IF('Option 1'!B154="","",'Option 1'!B154)</f>
        <v/>
      </c>
      <c r="C154" s="188" t="str">
        <f>IF('Option 1'!C154="","",'Option 1'!C154)</f>
        <v>Street Light Poles</v>
      </c>
      <c r="D154" s="186" t="str">
        <f>IF('Option 1'!D154="","",'Option 1'!D154)</f>
        <v/>
      </c>
      <c r="E154" s="184" t="str">
        <f>IF('Option 1'!E154="","",'Option 1'!E154)</f>
        <v/>
      </c>
      <c r="F154" s="184" t="str">
        <f>IF('Option 1'!F154="","",'Option 1'!F154)</f>
        <v/>
      </c>
      <c r="G154" s="184" t="str">
        <f>IF('Option 1'!G154="","",'Option 1'!G154)</f>
        <v/>
      </c>
      <c r="H154" s="184" t="str">
        <f>IF('Option 1'!H154="","",'Option 1'!H154)</f>
        <v/>
      </c>
      <c r="I154" s="184">
        <f>IF('Option 1'!I154="","",'Option 1'!I154)</f>
        <v>69069</v>
      </c>
      <c r="J154" s="184" t="str">
        <f>IF('Option 1'!J154="","",'Option 1'!J154)</f>
        <v/>
      </c>
      <c r="K154" s="184" t="str">
        <f>IF('Option 1'!K154="","",'Option 1'!K154)</f>
        <v/>
      </c>
      <c r="L154" s="184" t="str">
        <f>IF('Option 1'!L154="","",'Option 1'!L154)</f>
        <v/>
      </c>
      <c r="M154" s="184" t="str">
        <f>IF('Option 1'!M154="","",'Option 1'!M154)</f>
        <v/>
      </c>
      <c r="N154" s="184" t="str">
        <f>IF('Option 1'!N154="","",'Option 1'!N154)</f>
        <v/>
      </c>
      <c r="O154" s="184" t="str">
        <f>IF('Option 1'!O154="","",'Option 1'!O154)</f>
        <v/>
      </c>
      <c r="P154" s="124">
        <f t="shared" si="10"/>
        <v>69069</v>
      </c>
    </row>
    <row r="155" spans="1:16" ht="15.75" customHeight="1" x14ac:dyDescent="0.25">
      <c r="A155" s="239"/>
      <c r="B155" s="4" t="str">
        <f>IF('Option 1'!B155="","",'Option 1'!B155)</f>
        <v/>
      </c>
      <c r="C155" s="188" t="str">
        <f>IF('Option 1'!C155="","",'Option 1'!C155)</f>
        <v>Entry Light Poles</v>
      </c>
      <c r="D155" s="186" t="str">
        <f>IF('Option 1'!D155="","",'Option 1'!D155)</f>
        <v/>
      </c>
      <c r="E155" s="184" t="str">
        <f>IF('Option 1'!E155="","",'Option 1'!E155)</f>
        <v/>
      </c>
      <c r="F155" s="184" t="str">
        <f>IF('Option 1'!F155="","",'Option 1'!F155)</f>
        <v/>
      </c>
      <c r="G155" s="184" t="str">
        <f>IF('Option 1'!G155="","",'Option 1'!G155)</f>
        <v/>
      </c>
      <c r="H155" s="184" t="str">
        <f>IF('Option 1'!H155="","",'Option 1'!H155)</f>
        <v/>
      </c>
      <c r="I155" s="184" t="str">
        <f>IF('Option 1'!I155="","",'Option 1'!I155)</f>
        <v/>
      </c>
      <c r="J155" s="184">
        <f>IF('Option 1'!J155="","",'Option 1'!J155)</f>
        <v>9591</v>
      </c>
      <c r="K155" s="184" t="str">
        <f>IF('Option 1'!K155="","",'Option 1'!K155)</f>
        <v/>
      </c>
      <c r="L155" s="184" t="str">
        <f>IF('Option 1'!L155="","",'Option 1'!L155)</f>
        <v/>
      </c>
      <c r="M155" s="184" t="str">
        <f>IF('Option 1'!M155="","",'Option 1'!M155)</f>
        <v/>
      </c>
      <c r="N155" s="184" t="str">
        <f>IF('Option 1'!N155="","",'Option 1'!N155)</f>
        <v/>
      </c>
      <c r="O155" s="184" t="str">
        <f>IF('Option 1'!O155="","",'Option 1'!O155)</f>
        <v/>
      </c>
      <c r="P155" s="124">
        <f t="shared" si="10"/>
        <v>9591</v>
      </c>
    </row>
    <row r="156" spans="1:16" ht="15.75" customHeight="1" x14ac:dyDescent="0.25">
      <c r="A156" s="239"/>
      <c r="B156" s="4" t="str">
        <f>IF('Option 1'!B156="","",'Option 1'!B156)</f>
        <v/>
      </c>
      <c r="C156" s="188" t="str">
        <f>IF('Option 1'!C156="","",'Option 1'!C156)</f>
        <v>Parking Lot Poles</v>
      </c>
      <c r="D156" s="186" t="str">
        <f>IF('Option 1'!D156="","",'Option 1'!D156)</f>
        <v/>
      </c>
      <c r="E156" s="184" t="str">
        <f>IF('Option 1'!E156="","",'Option 1'!E156)</f>
        <v/>
      </c>
      <c r="F156" s="184" t="str">
        <f>IF('Option 1'!F156="","",'Option 1'!F156)</f>
        <v/>
      </c>
      <c r="G156" s="184" t="str">
        <f>IF('Option 1'!G156="","",'Option 1'!G156)</f>
        <v/>
      </c>
      <c r="H156" s="184" t="str">
        <f>IF('Option 1'!H156="","",'Option 1'!H156)</f>
        <v/>
      </c>
      <c r="I156" s="184" t="str">
        <f>IF('Option 1'!I156="","",'Option 1'!I156)</f>
        <v/>
      </c>
      <c r="J156" s="184" t="str">
        <f>IF('Option 1'!J156="","",'Option 1'!J156)</f>
        <v/>
      </c>
      <c r="K156" s="184" t="str">
        <f>IF('Option 1'!K156="","",'Option 1'!K156)</f>
        <v/>
      </c>
      <c r="L156" s="184">
        <f>IF('Option 1'!L156="","",'Option 1'!L156)</f>
        <v>28883</v>
      </c>
      <c r="M156" s="184" t="str">
        <f>IF('Option 1'!M156="","",'Option 1'!M156)</f>
        <v/>
      </c>
      <c r="N156" s="184" t="str">
        <f>IF('Option 1'!N156="","",'Option 1'!N156)</f>
        <v/>
      </c>
      <c r="O156" s="184" t="str">
        <f>IF('Option 1'!O156="","",'Option 1'!O156)</f>
        <v/>
      </c>
      <c r="P156" s="124">
        <f t="shared" si="10"/>
        <v>28883</v>
      </c>
    </row>
    <row r="157" spans="1:16" ht="15.75" customHeight="1" x14ac:dyDescent="0.25">
      <c r="A157" s="239"/>
      <c r="B157" s="4" t="str">
        <f>IF('Option 1'!B157="","",'Option 1'!B157)</f>
        <v/>
      </c>
      <c r="C157" s="188" t="str">
        <f>IF('Option 1'!C157="","",'Option 1'!C157)</f>
        <v>Light Fixtures and Fans</v>
      </c>
      <c r="D157" s="186" t="str">
        <f>IF('Option 1'!D157="","",'Option 1'!D157)</f>
        <v/>
      </c>
      <c r="E157" s="184" t="str">
        <f>IF('Option 1'!E157="","",'Option 1'!E157)</f>
        <v/>
      </c>
      <c r="F157" s="184" t="str">
        <f>IF('Option 1'!F157="","",'Option 1'!F157)</f>
        <v/>
      </c>
      <c r="G157" s="184">
        <f>IF('Option 1'!G157="","",'Option 1'!G157)</f>
        <v>4152</v>
      </c>
      <c r="H157" s="184" t="str">
        <f>IF('Option 1'!H157="","",'Option 1'!H157)</f>
        <v/>
      </c>
      <c r="I157" s="184" t="str">
        <f>IF('Option 1'!I157="","",'Option 1'!I157)</f>
        <v/>
      </c>
      <c r="J157" s="184" t="str">
        <f>IF('Option 1'!J157="","",'Option 1'!J157)</f>
        <v/>
      </c>
      <c r="K157" s="184" t="str">
        <f>IF('Option 1'!K157="","",'Option 1'!K157)</f>
        <v/>
      </c>
      <c r="L157" s="184" t="str">
        <f>IF('Option 1'!L157="","",'Option 1'!L157)</f>
        <v/>
      </c>
      <c r="M157" s="184" t="str">
        <f>IF('Option 1'!M157="","",'Option 1'!M157)</f>
        <v/>
      </c>
      <c r="N157" s="184" t="str">
        <f>IF('Option 1'!N157="","",'Option 1'!N157)</f>
        <v/>
      </c>
      <c r="O157" s="184" t="str">
        <f>IF('Option 1'!O157="","",'Option 1'!O157)</f>
        <v/>
      </c>
      <c r="P157" s="124">
        <f t="shared" si="10"/>
        <v>4152</v>
      </c>
    </row>
    <row r="158" spans="1:16" ht="15.75" customHeight="1" x14ac:dyDescent="0.25">
      <c r="A158" s="239"/>
      <c r="B158" s="4" t="str">
        <f>IF('Option 1'!B158="","",'Option 1'!B158)</f>
        <v/>
      </c>
      <c r="C158" s="188" t="str">
        <f>IF('Option 1'!C158="","",'Option 1'!C158)</f>
        <v>Floodlights</v>
      </c>
      <c r="D158" s="186" t="str">
        <f>IF('Option 1'!D158="","",'Option 1'!D158)</f>
        <v/>
      </c>
      <c r="E158" s="184" t="str">
        <f>IF('Option 1'!E158="","",'Option 1'!E158)</f>
        <v/>
      </c>
      <c r="F158" s="184" t="str">
        <f>IF('Option 1'!F158="","",'Option 1'!F158)</f>
        <v/>
      </c>
      <c r="G158" s="184" t="str">
        <f>IF('Option 1'!G158="","",'Option 1'!G158)</f>
        <v/>
      </c>
      <c r="H158" s="184" t="str">
        <f>IF('Option 1'!H158="","",'Option 1'!H158)</f>
        <v/>
      </c>
      <c r="I158" s="184">
        <f>IF('Option 1'!I158="","",'Option 1'!I158)</f>
        <v>13839</v>
      </c>
      <c r="J158" s="184" t="str">
        <f>IF('Option 1'!J158="","",'Option 1'!J158)</f>
        <v/>
      </c>
      <c r="K158" s="184" t="str">
        <f>IF('Option 1'!K158="","",'Option 1'!K158)</f>
        <v/>
      </c>
      <c r="L158" s="184" t="str">
        <f>IF('Option 1'!L158="","",'Option 1'!L158)</f>
        <v/>
      </c>
      <c r="M158" s="184" t="str">
        <f>IF('Option 1'!M158="","",'Option 1'!M158)</f>
        <v/>
      </c>
      <c r="N158" s="184" t="str">
        <f>IF('Option 1'!N158="","",'Option 1'!N158)</f>
        <v/>
      </c>
      <c r="O158" s="184" t="str">
        <f>IF('Option 1'!O158="","",'Option 1'!O158)</f>
        <v/>
      </c>
      <c r="P158" s="124">
        <f t="shared" si="10"/>
        <v>13839</v>
      </c>
    </row>
    <row r="159" spans="1:16" ht="15.75" customHeight="1" x14ac:dyDescent="0.25">
      <c r="A159" s="239"/>
      <c r="B159" s="4" t="str">
        <f>IF('Option 1'!B159="","",'Option 1'!B159)</f>
        <v/>
      </c>
      <c r="C159" s="188" t="str">
        <f>IF('Option 1'!C159="","",'Option 1'!C159)</f>
        <v>Canopy Lights</v>
      </c>
      <c r="D159" s="186" t="str">
        <f>IF('Option 1'!D159="","",'Option 1'!D159)</f>
        <v/>
      </c>
      <c r="E159" s="184">
        <f>IF('Option 1'!E159="","",'Option 1'!E159)</f>
        <v>7473</v>
      </c>
      <c r="F159" s="184" t="str">
        <f>IF('Option 1'!F159="","",'Option 1'!F159)</f>
        <v/>
      </c>
      <c r="G159" s="184" t="str">
        <f>IF('Option 1'!G159="","",'Option 1'!G159)</f>
        <v/>
      </c>
      <c r="H159" s="184" t="str">
        <f>IF('Option 1'!H159="","",'Option 1'!H159)</f>
        <v/>
      </c>
      <c r="I159" s="184" t="str">
        <f>IF('Option 1'!I159="","",'Option 1'!I159)</f>
        <v/>
      </c>
      <c r="J159" s="184" t="str">
        <f>IF('Option 1'!J159="","",'Option 1'!J159)</f>
        <v/>
      </c>
      <c r="K159" s="184" t="str">
        <f>IF('Option 1'!K159="","",'Option 1'!K159)</f>
        <v/>
      </c>
      <c r="L159" s="184" t="str">
        <f>IF('Option 1'!L159="","",'Option 1'!L159)</f>
        <v/>
      </c>
      <c r="M159" s="184" t="str">
        <f>IF('Option 1'!M159="","",'Option 1'!M159)</f>
        <v/>
      </c>
      <c r="N159" s="184" t="str">
        <f>IF('Option 1'!N159="","",'Option 1'!N159)</f>
        <v/>
      </c>
      <c r="O159" s="184" t="str">
        <f>IF('Option 1'!O159="","",'Option 1'!O159)</f>
        <v/>
      </c>
      <c r="P159" s="124">
        <f t="shared" si="10"/>
        <v>7473</v>
      </c>
    </row>
    <row r="160" spans="1:16" ht="15.75" customHeight="1" x14ac:dyDescent="0.25">
      <c r="A160" s="239"/>
      <c r="B160" s="4" t="str">
        <f>IF('Option 1'!B160="","",'Option 1'!B160)</f>
        <v/>
      </c>
      <c r="C160" s="188" t="str">
        <f>IF('Option 1'!C160="","",'Option 1'!C160)</f>
        <v>Intercom Panels</v>
      </c>
      <c r="D160" s="186" t="str">
        <f>IF('Option 1'!D160="","",'Option 1'!D160)</f>
        <v/>
      </c>
      <c r="E160" s="184" t="str">
        <f>IF('Option 1'!E160="","",'Option 1'!E160)</f>
        <v/>
      </c>
      <c r="F160" s="184" t="str">
        <f>IF('Option 1'!F160="","",'Option 1'!F160)</f>
        <v/>
      </c>
      <c r="G160" s="184" t="str">
        <f>IF('Option 1'!G160="","",'Option 1'!G160)</f>
        <v/>
      </c>
      <c r="H160" s="184" t="str">
        <f>IF('Option 1'!H160="","",'Option 1'!H160)</f>
        <v/>
      </c>
      <c r="I160" s="184" t="str">
        <f>IF('Option 1'!I160="","",'Option 1'!I160)</f>
        <v/>
      </c>
      <c r="J160" s="184" t="str">
        <f>IF('Option 1'!J160="","",'Option 1'!J160)</f>
        <v/>
      </c>
      <c r="K160" s="184" t="str">
        <f>IF('Option 1'!K160="","",'Option 1'!K160)</f>
        <v/>
      </c>
      <c r="L160" s="184" t="str">
        <f>IF('Option 1'!L160="","",'Option 1'!L160)</f>
        <v/>
      </c>
      <c r="M160" s="184" t="str">
        <f>IF('Option 1'!M160="","",'Option 1'!M160)</f>
        <v/>
      </c>
      <c r="N160" s="184">
        <f>IF('Option 1'!N160="","",'Option 1'!N160)</f>
        <v>83032</v>
      </c>
      <c r="O160" s="184" t="str">
        <f>IF('Option 1'!O160="","",'Option 1'!O160)</f>
        <v/>
      </c>
      <c r="P160" s="124">
        <f t="shared" si="10"/>
        <v>83032</v>
      </c>
    </row>
    <row r="161" spans="1:16" ht="15.75" customHeight="1" x14ac:dyDescent="0.25">
      <c r="A161" s="239"/>
      <c r="B161" s="4" t="str">
        <f>IF('Option 1'!B161="","",'Option 1'!B161)</f>
        <v/>
      </c>
      <c r="C161" s="188" t="str">
        <f>IF('Option 1'!C161="","",'Option 1'!C161)</f>
        <v>Security Cameras</v>
      </c>
      <c r="D161" s="186" t="str">
        <f>IF('Option 1'!D161="","",'Option 1'!D161)</f>
        <v/>
      </c>
      <c r="E161" s="184">
        <f>IF('Option 1'!E161="","",'Option 1'!E161)</f>
        <v>12455</v>
      </c>
      <c r="F161" s="184" t="str">
        <f>IF('Option 1'!F161="","",'Option 1'!F161)</f>
        <v/>
      </c>
      <c r="G161" s="184" t="str">
        <f>IF('Option 1'!G161="","",'Option 1'!G161)</f>
        <v/>
      </c>
      <c r="H161" s="184" t="str">
        <f>IF('Option 1'!H161="","",'Option 1'!H161)</f>
        <v/>
      </c>
      <c r="I161" s="184" t="str">
        <f>IF('Option 1'!I161="","",'Option 1'!I161)</f>
        <v/>
      </c>
      <c r="J161" s="184" t="str">
        <f>IF('Option 1'!J161="","",'Option 1'!J161)</f>
        <v/>
      </c>
      <c r="K161" s="184" t="str">
        <f>IF('Option 1'!K161="","",'Option 1'!K161)</f>
        <v/>
      </c>
      <c r="L161" s="184" t="str">
        <f>IF('Option 1'!L161="","",'Option 1'!L161)</f>
        <v/>
      </c>
      <c r="M161" s="184" t="str">
        <f>IF('Option 1'!M161="","",'Option 1'!M161)</f>
        <v/>
      </c>
      <c r="N161" s="184" t="str">
        <f>IF('Option 1'!N161="","",'Option 1'!N161)</f>
        <v/>
      </c>
      <c r="O161" s="184" t="str">
        <f>IF('Option 1'!O161="","",'Option 1'!O161)</f>
        <v/>
      </c>
      <c r="P161" s="124">
        <f t="shared" si="10"/>
        <v>12455</v>
      </c>
    </row>
    <row r="162" spans="1:16" ht="15.75" customHeight="1" x14ac:dyDescent="0.25">
      <c r="A162" s="239"/>
      <c r="B162" s="4" t="str">
        <f>IF('Option 1'!B162="","",'Option 1'!B162)</f>
        <v/>
      </c>
      <c r="C162" s="188" t="str">
        <f>IF('Option 1'!C162="","",'Option 1'!C162)</f>
        <v>Garage Light Fixtures</v>
      </c>
      <c r="D162" s="186">
        <f>IF('Option 1'!D162="","",'Option 1'!D162)</f>
        <v>16606</v>
      </c>
      <c r="E162" s="184" t="str">
        <f>IF('Option 1'!E162="","",'Option 1'!E162)</f>
        <v/>
      </c>
      <c r="F162" s="184" t="str">
        <f>IF('Option 1'!F162="","",'Option 1'!F162)</f>
        <v/>
      </c>
      <c r="G162" s="184" t="str">
        <f>IF('Option 1'!G162="","",'Option 1'!G162)</f>
        <v/>
      </c>
      <c r="H162" s="184" t="str">
        <f>IF('Option 1'!H162="","",'Option 1'!H162)</f>
        <v/>
      </c>
      <c r="I162" s="184" t="str">
        <f>IF('Option 1'!I162="","",'Option 1'!I162)</f>
        <v/>
      </c>
      <c r="J162" s="184" t="str">
        <f>IF('Option 1'!J162="","",'Option 1'!J162)</f>
        <v/>
      </c>
      <c r="K162" s="184" t="str">
        <f>IF('Option 1'!K162="","",'Option 1'!K162)</f>
        <v/>
      </c>
      <c r="L162" s="184" t="str">
        <f>IF('Option 1'!L162="","",'Option 1'!L162)</f>
        <v/>
      </c>
      <c r="M162" s="184" t="str">
        <f>IF('Option 1'!M162="","",'Option 1'!M162)</f>
        <v/>
      </c>
      <c r="N162" s="184" t="str">
        <f>IF('Option 1'!N162="","",'Option 1'!N162)</f>
        <v/>
      </c>
      <c r="O162" s="184" t="str">
        <f>IF('Option 1'!O162="","",'Option 1'!O162)</f>
        <v/>
      </c>
      <c r="P162" s="124">
        <f t="shared" si="10"/>
        <v>16606</v>
      </c>
    </row>
    <row r="163" spans="1:16" ht="15.75" customHeight="1" x14ac:dyDescent="0.25">
      <c r="A163" s="239"/>
      <c r="B163" s="4" t="str">
        <f>IF('Option 1'!B163="","",'Option 1'!B163)</f>
        <v/>
      </c>
      <c r="C163" s="188" t="str">
        <f>IF('Option 1'!C163="","",'Option 1'!C163)</f>
        <v>Sconce Light Fixtures</v>
      </c>
      <c r="D163" s="186" t="str">
        <f>IF('Option 1'!D163="","",'Option 1'!D163)</f>
        <v/>
      </c>
      <c r="E163" s="184" t="str">
        <f>IF('Option 1'!E163="","",'Option 1'!E163)</f>
        <v/>
      </c>
      <c r="F163" s="184" t="str">
        <f>IF('Option 1'!F163="","",'Option 1'!F163)</f>
        <v/>
      </c>
      <c r="G163" s="184" t="str">
        <f>IF('Option 1'!G163="","",'Option 1'!G163)</f>
        <v/>
      </c>
      <c r="H163" s="184">
        <f>IF('Option 1'!H163="","",'Option 1'!H163)</f>
        <v>77495</v>
      </c>
      <c r="I163" s="184" t="str">
        <f>IF('Option 1'!I163="","",'Option 1'!I163)</f>
        <v/>
      </c>
      <c r="J163" s="184" t="str">
        <f>IF('Option 1'!J163="","",'Option 1'!J163)</f>
        <v/>
      </c>
      <c r="K163" s="184" t="str">
        <f>IF('Option 1'!K163="","",'Option 1'!K163)</f>
        <v/>
      </c>
      <c r="L163" s="184" t="str">
        <f>IF('Option 1'!L163="","",'Option 1'!L163)</f>
        <v/>
      </c>
      <c r="M163" s="184" t="str">
        <f>IF('Option 1'!M163="","",'Option 1'!M163)</f>
        <v/>
      </c>
      <c r="N163" s="184" t="str">
        <f>IF('Option 1'!N163="","",'Option 1'!N163)</f>
        <v/>
      </c>
      <c r="O163" s="184" t="str">
        <f>IF('Option 1'!O163="","",'Option 1'!O163)</f>
        <v/>
      </c>
      <c r="P163" s="124">
        <f t="shared" si="10"/>
        <v>77495</v>
      </c>
    </row>
    <row r="164" spans="1:16" ht="15.75" customHeight="1" x14ac:dyDescent="0.25">
      <c r="A164" s="239"/>
      <c r="B164" s="4" t="str">
        <f>IF('Option 1'!B164="","",'Option 1'!B164)</f>
        <v/>
      </c>
      <c r="C164" s="188" t="str">
        <f>IF('Option 1'!C164="","",'Option 1'!C164)</f>
        <v>Lobby Ceiling Light Fixtures</v>
      </c>
      <c r="D164" s="186" t="str">
        <f>IF('Option 1'!D164="","",'Option 1'!D164)</f>
        <v/>
      </c>
      <c r="E164" s="184" t="str">
        <f>IF('Option 1'!E164="","",'Option 1'!E164)</f>
        <v/>
      </c>
      <c r="F164" s="184" t="str">
        <f>IF('Option 1'!F164="","",'Option 1'!F164)</f>
        <v/>
      </c>
      <c r="G164" s="184" t="str">
        <f>IF('Option 1'!G164="","",'Option 1'!G164)</f>
        <v/>
      </c>
      <c r="H164" s="184" t="str">
        <f>IF('Option 1'!H164="","",'Option 1'!H164)</f>
        <v/>
      </c>
      <c r="I164" s="184" t="str">
        <f>IF('Option 1'!I164="","",'Option 1'!I164)</f>
        <v/>
      </c>
      <c r="J164" s="184">
        <f>IF('Option 1'!J164="","",'Option 1'!J164)</f>
        <v>11071</v>
      </c>
      <c r="K164" s="184" t="str">
        <f>IF('Option 1'!K164="","",'Option 1'!K164)</f>
        <v/>
      </c>
      <c r="L164" s="184" t="str">
        <f>IF('Option 1'!L164="","",'Option 1'!L164)</f>
        <v/>
      </c>
      <c r="M164" s="184" t="str">
        <f>IF('Option 1'!M164="","",'Option 1'!M164)</f>
        <v/>
      </c>
      <c r="N164" s="184" t="str">
        <f>IF('Option 1'!N164="","",'Option 1'!N164)</f>
        <v/>
      </c>
      <c r="O164" s="184" t="str">
        <f>IF('Option 1'!O164="","",'Option 1'!O164)</f>
        <v/>
      </c>
      <c r="P164" s="124">
        <f t="shared" si="10"/>
        <v>11071</v>
      </c>
    </row>
    <row r="165" spans="1:16" ht="15.75" customHeight="1" x14ac:dyDescent="0.25">
      <c r="A165" s="239"/>
      <c r="B165" s="4" t="str">
        <f>IF('Option 1'!B165="","",'Option 1'!B165)</f>
        <v/>
      </c>
      <c r="C165" s="188" t="str">
        <f>IF('Option 1'!C165="","",'Option 1'!C165)</f>
        <v>Stair Light Fixtures</v>
      </c>
      <c r="D165" s="186" t="str">
        <f>IF('Option 1'!D165="","",'Option 1'!D165)</f>
        <v/>
      </c>
      <c r="E165" s="184" t="str">
        <f>IF('Option 1'!E165="","",'Option 1'!E165)</f>
        <v/>
      </c>
      <c r="F165" s="184" t="str">
        <f>IF('Option 1'!F165="","",'Option 1'!F165)</f>
        <v/>
      </c>
      <c r="G165" s="184" t="str">
        <f>IF('Option 1'!G165="","",'Option 1'!G165)</f>
        <v/>
      </c>
      <c r="H165" s="184">
        <f>IF('Option 1'!H165="","",'Option 1'!H165)</f>
        <v>19373</v>
      </c>
      <c r="I165" s="184" t="str">
        <f>IF('Option 1'!I165="","",'Option 1'!I165)</f>
        <v/>
      </c>
      <c r="J165" s="184" t="str">
        <f>IF('Option 1'!J165="","",'Option 1'!J165)</f>
        <v/>
      </c>
      <c r="K165" s="184" t="str">
        <f>IF('Option 1'!K165="","",'Option 1'!K165)</f>
        <v/>
      </c>
      <c r="L165" s="184" t="str">
        <f>IF('Option 1'!L165="","",'Option 1'!L165)</f>
        <v/>
      </c>
      <c r="M165" s="184" t="str">
        <f>IF('Option 1'!M165="","",'Option 1'!M165)</f>
        <v/>
      </c>
      <c r="N165" s="184" t="str">
        <f>IF('Option 1'!N165="","",'Option 1'!N165)</f>
        <v/>
      </c>
      <c r="O165" s="184" t="str">
        <f>IF('Option 1'!O165="","",'Option 1'!O165)</f>
        <v/>
      </c>
      <c r="P165" s="124">
        <f t="shared" si="10"/>
        <v>19373</v>
      </c>
    </row>
    <row r="166" spans="1:16" ht="15.75" customHeight="1" x14ac:dyDescent="0.25">
      <c r="A166" s="239"/>
      <c r="B166" s="4" t="str">
        <f>IF('Option 1'!B166="","",'Option 1'!B166)</f>
        <v/>
      </c>
      <c r="C166" s="188" t="str">
        <f>IF('Option 1'!C166="","",'Option 1'!C166)</f>
        <v>Lobby Chandeliers</v>
      </c>
      <c r="D166" s="186" t="str">
        <f>IF('Option 1'!D166="","",'Option 1'!D166)</f>
        <v/>
      </c>
      <c r="E166" s="184" t="str">
        <f>IF('Option 1'!E166="","",'Option 1'!E166)</f>
        <v/>
      </c>
      <c r="F166" s="184" t="str">
        <f>IF('Option 1'!F166="","",'Option 1'!F166)</f>
        <v/>
      </c>
      <c r="G166" s="184" t="str">
        <f>IF('Option 1'!G166="","",'Option 1'!G166)</f>
        <v/>
      </c>
      <c r="H166" s="184" t="str">
        <f>IF('Option 1'!H166="","",'Option 1'!H166)</f>
        <v/>
      </c>
      <c r="I166" s="184" t="str">
        <f>IF('Option 1'!I166="","",'Option 1'!I166)</f>
        <v/>
      </c>
      <c r="J166" s="184" t="str">
        <f>IF('Option 1'!J166="","",'Option 1'!J166)</f>
        <v/>
      </c>
      <c r="K166" s="184" t="str">
        <f>IF('Option 1'!K166="","",'Option 1'!K166)</f>
        <v/>
      </c>
      <c r="L166" s="184" t="str">
        <f>IF('Option 1'!L166="","",'Option 1'!L166)</f>
        <v/>
      </c>
      <c r="M166" s="184">
        <f>IF('Option 1'!M166="","",'Option 1'!M166)</f>
        <v>9964</v>
      </c>
      <c r="N166" s="184" t="str">
        <f>IF('Option 1'!N166="","",'Option 1'!N166)</f>
        <v/>
      </c>
      <c r="O166" s="184" t="str">
        <f>IF('Option 1'!O166="","",'Option 1'!O166)</f>
        <v/>
      </c>
      <c r="P166" s="124">
        <f t="shared" si="10"/>
        <v>9964</v>
      </c>
    </row>
    <row r="167" spans="1:16" ht="15.75" customHeight="1" x14ac:dyDescent="0.25">
      <c r="A167" s="239"/>
      <c r="B167" s="4" t="str">
        <f>IF('Option 1'!B167="","",'Option 1'!B167)</f>
        <v/>
      </c>
      <c r="C167" s="188" t="str">
        <f>IF('Option 1'!C167="","",'Option 1'!C167)</f>
        <v>Surface Light Fixtures</v>
      </c>
      <c r="D167" s="186" t="str">
        <f>IF('Option 1'!D167="","",'Option 1'!D167)</f>
        <v/>
      </c>
      <c r="E167" s="184" t="str">
        <f>IF('Option 1'!E167="","",'Option 1'!E167)</f>
        <v/>
      </c>
      <c r="F167" s="184" t="str">
        <f>IF('Option 1'!F167="","",'Option 1'!F167)</f>
        <v/>
      </c>
      <c r="G167" s="184" t="str">
        <f>IF('Option 1'!G167="","",'Option 1'!G167)</f>
        <v/>
      </c>
      <c r="H167" s="184" t="str">
        <f>IF('Option 1'!H167="","",'Option 1'!H167)</f>
        <v/>
      </c>
      <c r="I167" s="184" t="str">
        <f>IF('Option 1'!I167="","",'Option 1'!I167)</f>
        <v/>
      </c>
      <c r="J167" s="184" t="str">
        <f>IF('Option 1'!J167="","",'Option 1'!J167)</f>
        <v/>
      </c>
      <c r="K167" s="184" t="str">
        <f>IF('Option 1'!K167="","",'Option 1'!K167)</f>
        <v/>
      </c>
      <c r="L167" s="184" t="str">
        <f>IF('Option 1'!L167="","",'Option 1'!L167)</f>
        <v/>
      </c>
      <c r="M167" s="184" t="str">
        <f>IF('Option 1'!M167="","",'Option 1'!M167)</f>
        <v/>
      </c>
      <c r="N167" s="184" t="str">
        <f>IF('Option 1'!N167="","",'Option 1'!N167)</f>
        <v/>
      </c>
      <c r="O167" s="184" t="str">
        <f>IF('Option 1'!O167="","",'Option 1'!O167)</f>
        <v/>
      </c>
      <c r="P167" s="124">
        <f t="shared" si="10"/>
        <v>0</v>
      </c>
    </row>
    <row r="168" spans="1:16" ht="15.75" customHeight="1" x14ac:dyDescent="0.25">
      <c r="A168" s="239"/>
      <c r="B168" s="4" t="str">
        <f>IF('Option 1'!B168="","",'Option 1'!B168)</f>
        <v/>
      </c>
      <c r="C168" s="188" t="str">
        <f>IF('Option 1'!C168="","",'Option 1'!C168)</f>
        <v>Downlights</v>
      </c>
      <c r="D168" s="186" t="str">
        <f>IF('Option 1'!D168="","",'Option 1'!D168)</f>
        <v/>
      </c>
      <c r="E168" s="184" t="str">
        <f>IF('Option 1'!E168="","",'Option 1'!E168)</f>
        <v/>
      </c>
      <c r="F168" s="184" t="str">
        <f>IF('Option 1'!F168="","",'Option 1'!F168)</f>
        <v/>
      </c>
      <c r="G168" s="184" t="str">
        <f>IF('Option 1'!G168="","",'Option 1'!G168)</f>
        <v/>
      </c>
      <c r="H168" s="184">
        <f>IF('Option 1'!H168="","",'Option 1'!H168)</f>
        <v>3321</v>
      </c>
      <c r="I168" s="184" t="str">
        <f>IF('Option 1'!I168="","",'Option 1'!I168)</f>
        <v/>
      </c>
      <c r="J168" s="184" t="str">
        <f>IF('Option 1'!J168="","",'Option 1'!J168)</f>
        <v/>
      </c>
      <c r="K168" s="184" t="str">
        <f>IF('Option 1'!K168="","",'Option 1'!K168)</f>
        <v/>
      </c>
      <c r="L168" s="184" t="str">
        <f>IF('Option 1'!L168="","",'Option 1'!L168)</f>
        <v/>
      </c>
      <c r="M168" s="184" t="str">
        <f>IF('Option 1'!M168="","",'Option 1'!M168)</f>
        <v/>
      </c>
      <c r="N168" s="184" t="str">
        <f>IF('Option 1'!N168="","",'Option 1'!N168)</f>
        <v/>
      </c>
      <c r="O168" s="184" t="str">
        <f>IF('Option 1'!O168="","",'Option 1'!O168)</f>
        <v/>
      </c>
      <c r="P168" s="124">
        <f t="shared" si="10"/>
        <v>3321</v>
      </c>
    </row>
    <row r="169" spans="1:16" ht="15.75" customHeight="1" x14ac:dyDescent="0.25">
      <c r="A169" s="239"/>
      <c r="B169" s="4" t="str">
        <f>IF('Option 1'!B169="","",'Option 1'!B169)</f>
        <v/>
      </c>
      <c r="C169" s="188" t="str">
        <f>IF('Option 1'!C169="","",'Option 1'!C169)</f>
        <v>Fire Alarm Systems</v>
      </c>
      <c r="D169" s="186" t="str">
        <f>IF('Option 1'!D169="","",'Option 1'!D169)</f>
        <v/>
      </c>
      <c r="E169" s="184" t="str">
        <f>IF('Option 1'!E169="","",'Option 1'!E169)</f>
        <v/>
      </c>
      <c r="F169" s="184" t="str">
        <f>IF('Option 1'!F169="","",'Option 1'!F169)</f>
        <v/>
      </c>
      <c r="G169" s="184" t="str">
        <f>IF('Option 1'!G169="","",'Option 1'!G169)</f>
        <v/>
      </c>
      <c r="H169" s="184" t="str">
        <f>IF('Option 1'!H169="","",'Option 1'!H169)</f>
        <v/>
      </c>
      <c r="I169" s="184" t="str">
        <f>IF('Option 1'!I169="","",'Option 1'!I169)</f>
        <v/>
      </c>
      <c r="J169" s="184" t="str">
        <f>IF('Option 1'!J169="","",'Option 1'!J169)</f>
        <v/>
      </c>
      <c r="K169" s="184" t="str">
        <f>IF('Option 1'!K169="","",'Option 1'!K169)</f>
        <v/>
      </c>
      <c r="L169" s="184" t="str">
        <f>IF('Option 1'!L169="","",'Option 1'!L169)</f>
        <v/>
      </c>
      <c r="M169" s="184" t="str">
        <f>IF('Option 1'!M169="","",'Option 1'!M169)</f>
        <v/>
      </c>
      <c r="N169" s="184" t="str">
        <f>IF('Option 1'!N169="","",'Option 1'!N169)</f>
        <v/>
      </c>
      <c r="O169" s="184" t="str">
        <f>IF('Option 1'!O169="","",'Option 1'!O169)</f>
        <v/>
      </c>
      <c r="P169" s="124">
        <f t="shared" si="10"/>
        <v>0</v>
      </c>
    </row>
    <row r="170" spans="1:16" ht="15.75" customHeight="1" x14ac:dyDescent="0.25">
      <c r="A170" s="239"/>
      <c r="B170" s="4" t="str">
        <f>IF('Option 1'!B170="","",'Option 1'!B170)</f>
        <v/>
      </c>
      <c r="C170" s="188" t="str">
        <f>IF('Option 1'!C170="","",'Option 1'!C170)</f>
        <v>Automatic Garage Doors</v>
      </c>
      <c r="D170" s="186" t="str">
        <f>IF('Option 1'!D170="","",'Option 1'!D170)</f>
        <v/>
      </c>
      <c r="E170" s="184" t="str">
        <f>IF('Option 1'!E170="","",'Option 1'!E170)</f>
        <v/>
      </c>
      <c r="F170" s="184" t="str">
        <f>IF('Option 1'!F170="","",'Option 1'!F170)</f>
        <v/>
      </c>
      <c r="G170" s="184" t="str">
        <f>IF('Option 1'!G170="","",'Option 1'!G170)</f>
        <v/>
      </c>
      <c r="H170" s="184">
        <f>IF('Option 1'!H170="","",'Option 1'!H170)</f>
        <v>39675</v>
      </c>
      <c r="I170" s="184" t="str">
        <f>IF('Option 1'!I170="","",'Option 1'!I170)</f>
        <v/>
      </c>
      <c r="J170" s="184" t="str">
        <f>IF('Option 1'!J170="","",'Option 1'!J170)</f>
        <v/>
      </c>
      <c r="K170" s="184" t="str">
        <f>IF('Option 1'!K170="","",'Option 1'!K170)</f>
        <v/>
      </c>
      <c r="L170" s="184" t="str">
        <f>IF('Option 1'!L170="","",'Option 1'!L170)</f>
        <v/>
      </c>
      <c r="M170" s="184" t="str">
        <f>IF('Option 1'!M170="","",'Option 1'!M170)</f>
        <v/>
      </c>
      <c r="N170" s="184" t="str">
        <f>IF('Option 1'!N170="","",'Option 1'!N170)</f>
        <v/>
      </c>
      <c r="O170" s="184" t="str">
        <f>IF('Option 1'!O170="","",'Option 1'!O170)</f>
        <v/>
      </c>
      <c r="P170" s="124">
        <f t="shared" si="10"/>
        <v>39675</v>
      </c>
    </row>
    <row r="171" spans="1:16" ht="15.75" customHeight="1" x14ac:dyDescent="0.25">
      <c r="A171" s="239"/>
      <c r="B171" s="4" t="str">
        <f>IF('Option 1'!B171="","",'Option 1'!B171)</f>
        <v/>
      </c>
      <c r="C171" s="188" t="str">
        <f>IF('Option 1'!C171="","",'Option 1'!C171)</f>
        <v>Electrical System</v>
      </c>
      <c r="D171" s="186" t="str">
        <f>IF('Option 1'!D171="","",'Option 1'!D171)</f>
        <v/>
      </c>
      <c r="E171" s="184" t="str">
        <f>IF('Option 1'!E171="","",'Option 1'!E171)</f>
        <v/>
      </c>
      <c r="F171" s="184" t="str">
        <f>IF('Option 1'!F171="","",'Option 1'!F171)</f>
        <v/>
      </c>
      <c r="G171" s="184" t="str">
        <f>IF('Option 1'!G171="","",'Option 1'!G171)</f>
        <v/>
      </c>
      <c r="H171" s="184" t="str">
        <f>IF('Option 1'!H171="","",'Option 1'!H171)</f>
        <v/>
      </c>
      <c r="I171" s="184" t="str">
        <f>IF('Option 1'!I171="","",'Option 1'!I171)</f>
        <v/>
      </c>
      <c r="J171" s="184" t="str">
        <f>IF('Option 1'!J171="","",'Option 1'!J171)</f>
        <v/>
      </c>
      <c r="K171" s="184" t="str">
        <f>IF('Option 1'!K171="","",'Option 1'!K171)</f>
        <v/>
      </c>
      <c r="L171" s="184" t="str">
        <f>IF('Option 1'!L171="","",'Option 1'!L171)</f>
        <v/>
      </c>
      <c r="M171" s="184" t="str">
        <f>IF('Option 1'!M171="","",'Option 1'!M171)</f>
        <v/>
      </c>
      <c r="N171" s="184" t="str">
        <f>IF('Option 1'!N171="","",'Option 1'!N171)</f>
        <v/>
      </c>
      <c r="O171" s="184" t="str">
        <f>IF('Option 1'!O171="","",'Option 1'!O171)</f>
        <v/>
      </c>
      <c r="P171" s="124">
        <f t="shared" si="10"/>
        <v>0</v>
      </c>
    </row>
    <row r="172" spans="1:16" ht="15.75" customHeight="1" x14ac:dyDescent="0.25">
      <c r="A172" s="239"/>
      <c r="B172" s="4" t="str">
        <f>IF('Option 1'!B172="","",'Option 1'!B172)</f>
        <v/>
      </c>
      <c r="C172" s="188" t="str">
        <f>IF('Option 1'!C172="","",'Option 1'!C172)</f>
        <v>Exterior Light Fixtures</v>
      </c>
      <c r="D172" s="186" t="str">
        <f>IF('Option 1'!D172="","",'Option 1'!D172)</f>
        <v/>
      </c>
      <c r="E172" s="184" t="str">
        <f>IF('Option 1'!E172="","",'Option 1'!E172)</f>
        <v/>
      </c>
      <c r="F172" s="184" t="str">
        <f>IF('Option 1'!F172="","",'Option 1'!F172)</f>
        <v/>
      </c>
      <c r="G172" s="184" t="str">
        <f>IF('Option 1'!G172="","",'Option 1'!G172)</f>
        <v/>
      </c>
      <c r="H172" s="184" t="str">
        <f>IF('Option 1'!H172="","",'Option 1'!H172)</f>
        <v/>
      </c>
      <c r="I172" s="184" t="str">
        <f>IF('Option 1'!I172="","",'Option 1'!I172)</f>
        <v/>
      </c>
      <c r="J172" s="184" t="str">
        <f>IF('Option 1'!J172="","",'Option 1'!J172)</f>
        <v/>
      </c>
      <c r="K172" s="184" t="str">
        <f>IF('Option 1'!K172="","",'Option 1'!K172)</f>
        <v/>
      </c>
      <c r="L172" s="184" t="str">
        <f>IF('Option 1'!L172="","",'Option 1'!L172)</f>
        <v/>
      </c>
      <c r="M172" s="184" t="str">
        <f>IF('Option 1'!M172="","",'Option 1'!M172)</f>
        <v/>
      </c>
      <c r="N172" s="184" t="str">
        <f>IF('Option 1'!N172="","",'Option 1'!N172)</f>
        <v/>
      </c>
      <c r="O172" s="184" t="str">
        <f>IF('Option 1'!O172="","",'Option 1'!O172)</f>
        <v/>
      </c>
      <c r="P172" s="124">
        <f t="shared" si="10"/>
        <v>0</v>
      </c>
    </row>
    <row r="173" spans="1:16" ht="15.75" customHeight="1" x14ac:dyDescent="0.25">
      <c r="A173" s="239"/>
      <c r="B173" s="4" t="str">
        <f>IF('Option 1'!B173="","",'Option 1'!B173)</f>
        <v/>
      </c>
      <c r="C173" s="3" t="str">
        <f>IF('Option 1'!C173="","",'Option 1'!C173)</f>
        <v>Special Construction Elements</v>
      </c>
      <c r="D173" s="186" t="str">
        <f>IF('Option 1'!D173="","",'Option 1'!D173)</f>
        <v/>
      </c>
      <c r="E173" s="184" t="str">
        <f>IF('Option 1'!E173="","",'Option 1'!E173)</f>
        <v/>
      </c>
      <c r="F173" s="184" t="str">
        <f>IF('Option 1'!F173="","",'Option 1'!F173)</f>
        <v/>
      </c>
      <c r="G173" s="184" t="str">
        <f>IF('Option 1'!G173="","",'Option 1'!G173)</f>
        <v/>
      </c>
      <c r="H173" s="184" t="str">
        <f>IF('Option 1'!H173="","",'Option 1'!H173)</f>
        <v/>
      </c>
      <c r="I173" s="184" t="str">
        <f>IF('Option 1'!I173="","",'Option 1'!I173)</f>
        <v/>
      </c>
      <c r="J173" s="184" t="str">
        <f>IF('Option 1'!J173="","",'Option 1'!J173)</f>
        <v/>
      </c>
      <c r="K173" s="184" t="str">
        <f>IF('Option 1'!K173="","",'Option 1'!K173)</f>
        <v/>
      </c>
      <c r="L173" s="184" t="str">
        <f>IF('Option 1'!L173="","",'Option 1'!L173)</f>
        <v/>
      </c>
      <c r="M173" s="184" t="str">
        <f>IF('Option 1'!M173="","",'Option 1'!M173)</f>
        <v/>
      </c>
      <c r="N173" s="184" t="str">
        <f>IF('Option 1'!N173="","",'Option 1'!N173)</f>
        <v/>
      </c>
      <c r="O173" s="184" t="str">
        <f>IF('Option 1'!O173="","",'Option 1'!O173)</f>
        <v/>
      </c>
      <c r="P173" s="124">
        <f t="shared" si="10"/>
        <v>0</v>
      </c>
    </row>
    <row r="174" spans="1:16" ht="15.75" customHeight="1" x14ac:dyDescent="0.25">
      <c r="A174" s="239"/>
      <c r="B174" s="4" t="str">
        <f>IF('Option 1'!B174="","",'Option 1'!B174)</f>
        <v/>
      </c>
      <c r="C174" s="188" t="str">
        <f>IF('Option 1'!C174="","",'Option 1'!C174)</f>
        <v>Pool Heater</v>
      </c>
      <c r="D174" s="186" t="str">
        <f>IF('Option 1'!D174="","",'Option 1'!D174)</f>
        <v/>
      </c>
      <c r="E174" s="184" t="str">
        <f>IF('Option 1'!E174="","",'Option 1'!E174)</f>
        <v/>
      </c>
      <c r="F174" s="184" t="str">
        <f>IF('Option 1'!F174="","",'Option 1'!F174)</f>
        <v/>
      </c>
      <c r="G174" s="184" t="str">
        <f>IF('Option 1'!G174="","",'Option 1'!G174)</f>
        <v/>
      </c>
      <c r="H174" s="184" t="str">
        <f>IF('Option 1'!H174="","",'Option 1'!H174)</f>
        <v/>
      </c>
      <c r="I174" s="184" t="str">
        <f>IF('Option 1'!I174="","",'Option 1'!I174)</f>
        <v/>
      </c>
      <c r="J174" s="184" t="str">
        <f>IF('Option 1'!J174="","",'Option 1'!J174)</f>
        <v/>
      </c>
      <c r="K174" s="184">
        <f>IF('Option 1'!K174="","",'Option 1'!K174)</f>
        <v>8303</v>
      </c>
      <c r="L174" s="184" t="str">
        <f>IF('Option 1'!L174="","",'Option 1'!L174)</f>
        <v/>
      </c>
      <c r="M174" s="184" t="str">
        <f>IF('Option 1'!M174="","",'Option 1'!M174)</f>
        <v/>
      </c>
      <c r="N174" s="184" t="str">
        <f>IF('Option 1'!N174="","",'Option 1'!N174)</f>
        <v/>
      </c>
      <c r="O174" s="184" t="str">
        <f>IF('Option 1'!O174="","",'Option 1'!O174)</f>
        <v/>
      </c>
      <c r="P174" s="124">
        <f t="shared" si="10"/>
        <v>8303</v>
      </c>
    </row>
    <row r="175" spans="1:16" ht="15.75" customHeight="1" x14ac:dyDescent="0.25">
      <c r="A175" s="239"/>
      <c r="B175" s="4" t="str">
        <f>IF('Option 1'!B175="","",'Option 1'!B175)</f>
        <v/>
      </c>
      <c r="C175" s="188" t="str">
        <f>IF('Option 1'!C175="","",'Option 1'!C175)</f>
        <v>Sand Filters</v>
      </c>
      <c r="D175" s="186" t="str">
        <f>IF('Option 1'!D175="","",'Option 1'!D175)</f>
        <v/>
      </c>
      <c r="E175" s="184" t="str">
        <f>IF('Option 1'!E175="","",'Option 1'!E175)</f>
        <v/>
      </c>
      <c r="F175" s="184" t="str">
        <f>IF('Option 1'!F175="","",'Option 1'!F175)</f>
        <v/>
      </c>
      <c r="G175" s="184" t="str">
        <f>IF('Option 1'!G175="","",'Option 1'!G175)</f>
        <v/>
      </c>
      <c r="H175" s="184" t="str">
        <f>IF('Option 1'!H175="","",'Option 1'!H175)</f>
        <v/>
      </c>
      <c r="I175" s="184" t="str">
        <f>IF('Option 1'!I175="","",'Option 1'!I175)</f>
        <v/>
      </c>
      <c r="J175" s="184" t="str">
        <f>IF('Option 1'!J175="","",'Option 1'!J175)</f>
        <v/>
      </c>
      <c r="K175" s="184" t="str">
        <f>IF('Option 1'!K175="","",'Option 1'!K175)</f>
        <v/>
      </c>
      <c r="L175" s="184" t="str">
        <f>IF('Option 1'!L175="","",'Option 1'!L175)</f>
        <v/>
      </c>
      <c r="M175" s="184" t="str">
        <f>IF('Option 1'!M175="","",'Option 1'!M175)</f>
        <v/>
      </c>
      <c r="N175" s="184" t="str">
        <f>IF('Option 1'!N175="","",'Option 1'!N175)</f>
        <v/>
      </c>
      <c r="O175" s="184" t="str">
        <f>IF('Option 1'!O175="","",'Option 1'!O175)</f>
        <v/>
      </c>
      <c r="P175" s="124">
        <f t="shared" si="10"/>
        <v>0</v>
      </c>
    </row>
    <row r="176" spans="1:16" ht="15.75" customHeight="1" x14ac:dyDescent="0.25">
      <c r="A176" s="239"/>
      <c r="B176" s="4" t="str">
        <f>IF('Option 1'!B176="","",'Option 1'!B176)</f>
        <v/>
      </c>
      <c r="C176" s="188" t="str">
        <f>IF('Option 1'!C176="","",'Option 1'!C176)</f>
        <v xml:space="preserve">Pump </v>
      </c>
      <c r="D176" s="186" t="str">
        <f>IF('Option 1'!D176="","",'Option 1'!D176)</f>
        <v/>
      </c>
      <c r="E176" s="184" t="str">
        <f>IF('Option 1'!E176="","",'Option 1'!E176)</f>
        <v/>
      </c>
      <c r="F176" s="184" t="str">
        <f>IF('Option 1'!F176="","",'Option 1'!F176)</f>
        <v/>
      </c>
      <c r="G176" s="184" t="str">
        <f>IF('Option 1'!G176="","",'Option 1'!G176)</f>
        <v/>
      </c>
      <c r="H176" s="184">
        <f>IF('Option 1'!H176="","",'Option 1'!H176)</f>
        <v>6919</v>
      </c>
      <c r="I176" s="184" t="str">
        <f>IF('Option 1'!I176="","",'Option 1'!I176)</f>
        <v/>
      </c>
      <c r="J176" s="184" t="str">
        <f>IF('Option 1'!J176="","",'Option 1'!J176)</f>
        <v/>
      </c>
      <c r="K176" s="184" t="str">
        <f>IF('Option 1'!K176="","",'Option 1'!K176)</f>
        <v/>
      </c>
      <c r="L176" s="184" t="str">
        <f>IF('Option 1'!L176="","",'Option 1'!L176)</f>
        <v/>
      </c>
      <c r="M176" s="184" t="str">
        <f>IF('Option 1'!M176="","",'Option 1'!M176)</f>
        <v/>
      </c>
      <c r="N176" s="184" t="str">
        <f>IF('Option 1'!N176="","",'Option 1'!N176)</f>
        <v/>
      </c>
      <c r="O176" s="184" t="str">
        <f>IF('Option 1'!O176="","",'Option 1'!O176)</f>
        <v/>
      </c>
      <c r="P176" s="124">
        <f t="shared" si="10"/>
        <v>6919</v>
      </c>
    </row>
    <row r="177" spans="1:16" ht="15.75" customHeight="1" x14ac:dyDescent="0.25">
      <c r="A177" s="239"/>
      <c r="B177" s="4" t="str">
        <f>IF('Option 1'!B177="","",'Option 1'!B177)</f>
        <v/>
      </c>
      <c r="C177" s="188" t="str">
        <f>IF('Option 1'!C177="","",'Option 1'!C177)</f>
        <v>Pool Room Piping</v>
      </c>
      <c r="D177" s="186" t="str">
        <f>IF('Option 1'!D177="","",'Option 1'!D177)</f>
        <v/>
      </c>
      <c r="E177" s="184" t="str">
        <f>IF('Option 1'!E177="","",'Option 1'!E177)</f>
        <v/>
      </c>
      <c r="F177" s="184" t="str">
        <f>IF('Option 1'!F177="","",'Option 1'!F177)</f>
        <v/>
      </c>
      <c r="G177" s="184" t="str">
        <f>IF('Option 1'!G177="","",'Option 1'!G177)</f>
        <v/>
      </c>
      <c r="H177" s="184" t="str">
        <f>IF('Option 1'!H177="","",'Option 1'!H177)</f>
        <v/>
      </c>
      <c r="I177" s="184" t="str">
        <f>IF('Option 1'!I177="","",'Option 1'!I177)</f>
        <v/>
      </c>
      <c r="J177" s="184">
        <f>IF('Option 1'!J177="","",'Option 1'!J177)</f>
        <v>20758</v>
      </c>
      <c r="K177" s="184" t="str">
        <f>IF('Option 1'!K177="","",'Option 1'!K177)</f>
        <v/>
      </c>
      <c r="L177" s="184" t="str">
        <f>IF('Option 1'!L177="","",'Option 1'!L177)</f>
        <v/>
      </c>
      <c r="M177" s="184" t="str">
        <f>IF('Option 1'!M177="","",'Option 1'!M177)</f>
        <v/>
      </c>
      <c r="N177" s="184" t="str">
        <f>IF('Option 1'!N177="","",'Option 1'!N177)</f>
        <v/>
      </c>
      <c r="O177" s="184" t="str">
        <f>IF('Option 1'!O177="","",'Option 1'!O177)</f>
        <v/>
      </c>
      <c r="P177" s="124">
        <f t="shared" si="10"/>
        <v>20758</v>
      </c>
    </row>
    <row r="178" spans="1:16" ht="15.75" customHeight="1" x14ac:dyDescent="0.25">
      <c r="A178" s="239"/>
      <c r="B178" s="4" t="str">
        <f>IF('Option 1'!B178="","",'Option 1'!B178)</f>
        <v/>
      </c>
      <c r="C178" s="188" t="str">
        <f>IF('Option 1'!C178="","",'Option 1'!C178)</f>
        <v>Swimming Pool</v>
      </c>
      <c r="D178" s="186" t="str">
        <f>IF('Option 1'!D178="","",'Option 1'!D178)</f>
        <v/>
      </c>
      <c r="E178" s="184" t="str">
        <f>IF('Option 1'!E178="","",'Option 1'!E178)</f>
        <v/>
      </c>
      <c r="F178" s="184" t="str">
        <f>IF('Option 1'!F178="","",'Option 1'!F178)</f>
        <v/>
      </c>
      <c r="G178" s="184" t="str">
        <f>IF('Option 1'!G178="","",'Option 1'!G178)</f>
        <v/>
      </c>
      <c r="H178" s="184" t="str">
        <f>IF('Option 1'!H178="","",'Option 1'!H178)</f>
        <v/>
      </c>
      <c r="I178" s="184" t="str">
        <f>IF('Option 1'!I178="","",'Option 1'!I178)</f>
        <v/>
      </c>
      <c r="J178" s="184" t="str">
        <f>IF('Option 1'!J178="","",'Option 1'!J178)</f>
        <v/>
      </c>
      <c r="K178" s="184" t="str">
        <f>IF('Option 1'!K178="","",'Option 1'!K178)</f>
        <v/>
      </c>
      <c r="L178" s="184" t="str">
        <f>IF('Option 1'!L178="","",'Option 1'!L178)</f>
        <v/>
      </c>
      <c r="M178" s="184" t="str">
        <f>IF('Option 1'!M178="","",'Option 1'!M178)</f>
        <v/>
      </c>
      <c r="N178" s="184" t="str">
        <f>IF('Option 1'!N178="","",'Option 1'!N178)</f>
        <v/>
      </c>
      <c r="O178" s="184" t="str">
        <f>IF('Option 1'!O178="","",'Option 1'!O178)</f>
        <v/>
      </c>
      <c r="P178" s="124">
        <f t="shared" si="10"/>
        <v>0</v>
      </c>
    </row>
    <row r="179" spans="1:16" ht="15.75" customHeight="1" x14ac:dyDescent="0.25">
      <c r="A179" s="239"/>
      <c r="B179" s="4" t="str">
        <f>IF('Option 1'!B179="","",'Option 1'!B179)</f>
        <v/>
      </c>
      <c r="C179" s="188" t="str">
        <f>IF('Option 1'!C179="","",'Option 1'!C179)</f>
        <v>Concrete Pool Deck</v>
      </c>
      <c r="D179" s="186" t="str">
        <f>IF('Option 1'!D179="","",'Option 1'!D179)</f>
        <v/>
      </c>
      <c r="E179" s="184" t="str">
        <f>IF('Option 1'!E179="","",'Option 1'!E179)</f>
        <v/>
      </c>
      <c r="F179" s="184" t="str">
        <f>IF('Option 1'!F179="","",'Option 1'!F179)</f>
        <v/>
      </c>
      <c r="G179" s="184" t="str">
        <f>IF('Option 1'!G179="","",'Option 1'!G179)</f>
        <v/>
      </c>
      <c r="H179" s="184" t="str">
        <f>IF('Option 1'!H179="","",'Option 1'!H179)</f>
        <v/>
      </c>
      <c r="I179" s="184" t="str">
        <f>IF('Option 1'!I179="","",'Option 1'!I179)</f>
        <v/>
      </c>
      <c r="J179" s="184" t="str">
        <f>IF('Option 1'!J179="","",'Option 1'!J179)</f>
        <v/>
      </c>
      <c r="K179" s="184" t="str">
        <f>IF('Option 1'!K179="","",'Option 1'!K179)</f>
        <v/>
      </c>
      <c r="L179" s="184" t="str">
        <f>IF('Option 1'!L179="","",'Option 1'!L179)</f>
        <v/>
      </c>
      <c r="M179" s="184" t="str">
        <f>IF('Option 1'!M179="","",'Option 1'!M179)</f>
        <v/>
      </c>
      <c r="N179" s="184">
        <f>IF('Option 1'!N179="","",'Option 1'!N179)</f>
        <v>78025</v>
      </c>
      <c r="O179" s="184" t="str">
        <f>IF('Option 1'!O179="","",'Option 1'!O179)</f>
        <v/>
      </c>
      <c r="P179" s="124">
        <f t="shared" si="10"/>
        <v>78025</v>
      </c>
    </row>
    <row r="180" spans="1:16" ht="15.75" customHeight="1" x14ac:dyDescent="0.25">
      <c r="A180" s="239"/>
      <c r="B180" s="4" t="str">
        <f>IF('Option 1'!B180="","",'Option 1'!B180)</f>
        <v/>
      </c>
      <c r="C180" s="188" t="str">
        <f>IF('Option 1'!C180="","",'Option 1'!C180)</f>
        <v>Brick Picnic Deck</v>
      </c>
      <c r="D180" s="186" t="str">
        <f>IF('Option 1'!D180="","",'Option 1'!D180)</f>
        <v/>
      </c>
      <c r="E180" s="184" t="str">
        <f>IF('Option 1'!E180="","",'Option 1'!E180)</f>
        <v/>
      </c>
      <c r="F180" s="184" t="str">
        <f>IF('Option 1'!F180="","",'Option 1'!F180)</f>
        <v/>
      </c>
      <c r="G180" s="184" t="str">
        <f>IF('Option 1'!G180="","",'Option 1'!G180)</f>
        <v/>
      </c>
      <c r="H180" s="184" t="str">
        <f>IF('Option 1'!H180="","",'Option 1'!H180)</f>
        <v/>
      </c>
      <c r="I180" s="184" t="str">
        <f>IF('Option 1'!I180="","",'Option 1'!I180)</f>
        <v/>
      </c>
      <c r="J180" s="184" t="str">
        <f>IF('Option 1'!J180="","",'Option 1'!J180)</f>
        <v/>
      </c>
      <c r="K180" s="184" t="str">
        <f>IF('Option 1'!K180="","",'Option 1'!K180)</f>
        <v/>
      </c>
      <c r="L180" s="184" t="str">
        <f>IF('Option 1'!L180="","",'Option 1'!L180)</f>
        <v/>
      </c>
      <c r="M180" s="184" t="str">
        <f>IF('Option 1'!M180="","",'Option 1'!M180)</f>
        <v/>
      </c>
      <c r="N180" s="184" t="str">
        <f>IF('Option 1'!N180="","",'Option 1'!N180)</f>
        <v/>
      </c>
      <c r="O180" s="184" t="str">
        <f>IF('Option 1'!O180="","",'Option 1'!O180)</f>
        <v/>
      </c>
      <c r="P180" s="124">
        <f t="shared" si="10"/>
        <v>0</v>
      </c>
    </row>
    <row r="181" spans="1:16" ht="15.75" customHeight="1" x14ac:dyDescent="0.25">
      <c r="A181" s="239"/>
      <c r="B181" s="4" t="str">
        <f>IF('Option 1'!B181="","",'Option 1'!B181)</f>
        <v/>
      </c>
      <c r="C181" s="188" t="str">
        <f>IF('Option 1'!C181="","",'Option 1'!C181)</f>
        <v>Tennis Court Net and Posts</v>
      </c>
      <c r="D181" s="186">
        <f>IF('Option 1'!D181="","",'Option 1'!D181)</f>
        <v>4000</v>
      </c>
      <c r="E181" s="184" t="str">
        <f>IF('Option 1'!E181="","",'Option 1'!E181)</f>
        <v/>
      </c>
      <c r="F181" s="184" t="str">
        <f>IF('Option 1'!F181="","",'Option 1'!F181)</f>
        <v/>
      </c>
      <c r="G181" s="184" t="str">
        <f>IF('Option 1'!G181="","",'Option 1'!G181)</f>
        <v/>
      </c>
      <c r="H181" s="184" t="str">
        <f>IF('Option 1'!H181="","",'Option 1'!H181)</f>
        <v/>
      </c>
      <c r="I181" s="184" t="str">
        <f>IF('Option 1'!I181="","",'Option 1'!I181)</f>
        <v/>
      </c>
      <c r="J181" s="184" t="str">
        <f>IF('Option 1'!J181="","",'Option 1'!J181)</f>
        <v/>
      </c>
      <c r="K181" s="184" t="str">
        <f>IF('Option 1'!K181="","",'Option 1'!K181)</f>
        <v/>
      </c>
      <c r="L181" s="184" t="str">
        <f>IF('Option 1'!L181="","",'Option 1'!L181)</f>
        <v/>
      </c>
      <c r="M181" s="184" t="str">
        <f>IF('Option 1'!M181="","",'Option 1'!M181)</f>
        <v/>
      </c>
      <c r="N181" s="184" t="str">
        <f>IF('Option 1'!N181="","",'Option 1'!N181)</f>
        <v/>
      </c>
      <c r="O181" s="184" t="str">
        <f>IF('Option 1'!O181="","",'Option 1'!O181)</f>
        <v/>
      </c>
      <c r="P181" s="124">
        <f t="shared" si="10"/>
        <v>4000</v>
      </c>
    </row>
    <row r="182" spans="1:16" ht="15.75" customHeight="1" x14ac:dyDescent="0.25">
      <c r="A182" s="239"/>
      <c r="B182" s="4" t="str">
        <f>IF('Option 1'!B182="","",'Option 1'!B182)</f>
        <v/>
      </c>
      <c r="C182" s="188" t="str">
        <f>IF('Option 1'!C182="","",'Option 1'!C182)</f>
        <v>Tennis Court - Overlay</v>
      </c>
      <c r="D182" s="186" t="str">
        <f>IF('Option 1'!D182="","",'Option 1'!D182)</f>
        <v/>
      </c>
      <c r="E182" s="184" t="str">
        <f>IF('Option 1'!E182="","",'Option 1'!E182)</f>
        <v/>
      </c>
      <c r="F182" s="184" t="str">
        <f>IF('Option 1'!F182="","",'Option 1'!F182)</f>
        <v/>
      </c>
      <c r="G182" s="184" t="str">
        <f>IF('Option 1'!G182="","",'Option 1'!G182)</f>
        <v/>
      </c>
      <c r="H182" s="184" t="str">
        <f>IF('Option 1'!H182="","",'Option 1'!H182)</f>
        <v/>
      </c>
      <c r="I182" s="184">
        <f>IF('Option 1'!I182="","",'Option 1'!I182)</f>
        <v>165000</v>
      </c>
      <c r="J182" s="184" t="str">
        <f>IF('Option 1'!J182="","",'Option 1'!J182)</f>
        <v/>
      </c>
      <c r="K182" s="184" t="str">
        <f>IF('Option 1'!K182="","",'Option 1'!K182)</f>
        <v/>
      </c>
      <c r="L182" s="184" t="str">
        <f>IF('Option 1'!L182="","",'Option 1'!L182)</f>
        <v/>
      </c>
      <c r="M182" s="184" t="str">
        <f>IF('Option 1'!M182="","",'Option 1'!M182)</f>
        <v/>
      </c>
      <c r="N182" s="184" t="str">
        <f>IF('Option 1'!N182="","",'Option 1'!N182)</f>
        <v/>
      </c>
      <c r="O182" s="184" t="str">
        <f>IF('Option 1'!O182="","",'Option 1'!O182)</f>
        <v/>
      </c>
      <c r="P182" s="124">
        <f t="shared" si="10"/>
        <v>165000</v>
      </c>
    </row>
    <row r="183" spans="1:16" ht="15.75" customHeight="1" x14ac:dyDescent="0.25">
      <c r="A183" s="239"/>
      <c r="B183" s="4" t="str">
        <f>IF('Option 1'!B183="","",'Option 1'!B183)</f>
        <v/>
      </c>
      <c r="C183" s="188" t="str">
        <f>IF('Option 1'!C183="","",'Option 1'!C183)</f>
        <v>Tennis Court Fence (10')</v>
      </c>
      <c r="D183" s="186" t="str">
        <f>IF('Option 1'!D183="","",'Option 1'!D183)</f>
        <v/>
      </c>
      <c r="E183" s="184" t="str">
        <f>IF('Option 1'!E183="","",'Option 1'!E183)</f>
        <v/>
      </c>
      <c r="F183" s="184" t="str">
        <f>IF('Option 1'!F183="","",'Option 1'!F183)</f>
        <v/>
      </c>
      <c r="G183" s="184" t="str">
        <f>IF('Option 1'!G183="","",'Option 1'!G183)</f>
        <v/>
      </c>
      <c r="H183" s="184" t="str">
        <f>IF('Option 1'!H183="","",'Option 1'!H183)</f>
        <v/>
      </c>
      <c r="I183" s="184" t="str">
        <f>IF('Option 1'!I183="","",'Option 1'!I183)</f>
        <v/>
      </c>
      <c r="J183" s="184" t="str">
        <f>IF('Option 1'!J183="","",'Option 1'!J183)</f>
        <v/>
      </c>
      <c r="K183" s="184" t="str">
        <f>IF('Option 1'!K183="","",'Option 1'!K183)</f>
        <v/>
      </c>
      <c r="L183" s="184" t="str">
        <f>IF('Option 1'!L183="","",'Option 1'!L183)</f>
        <v/>
      </c>
      <c r="M183" s="184" t="str">
        <f>IF('Option 1'!M183="","",'Option 1'!M183)</f>
        <v/>
      </c>
      <c r="N183" s="184" t="str">
        <f>IF('Option 1'!N183="","",'Option 1'!N183)</f>
        <v/>
      </c>
      <c r="O183" s="184" t="str">
        <f>IF('Option 1'!O183="","",'Option 1'!O183)</f>
        <v/>
      </c>
      <c r="P183" s="124">
        <f t="shared" si="10"/>
        <v>0</v>
      </c>
    </row>
    <row r="184" spans="1:16" ht="15.75" customHeight="1" x14ac:dyDescent="0.25">
      <c r="A184" s="239"/>
      <c r="B184" s="4" t="str">
        <f>IF('Option 1'!B184="","",'Option 1'!B184)</f>
        <v/>
      </c>
      <c r="C184" s="188" t="str">
        <f>IF('Option 1'!C184="","",'Option 1'!C184)</f>
        <v>Pool Furniture</v>
      </c>
      <c r="D184" s="186" t="str">
        <f>IF('Option 1'!D184="","",'Option 1'!D184)</f>
        <v/>
      </c>
      <c r="E184" s="184" t="str">
        <f>IF('Option 1'!E184="","",'Option 1'!E184)</f>
        <v/>
      </c>
      <c r="F184" s="184" t="str">
        <f>IF('Option 1'!F184="","",'Option 1'!F184)</f>
        <v/>
      </c>
      <c r="G184" s="184" t="str">
        <f>IF('Option 1'!G184="","",'Option 1'!G184)</f>
        <v/>
      </c>
      <c r="H184" s="184">
        <f>IF('Option 1'!H184="","",'Option 1'!H184)</f>
        <v>20758</v>
      </c>
      <c r="I184" s="184" t="str">
        <f>IF('Option 1'!I184="","",'Option 1'!I184)</f>
        <v/>
      </c>
      <c r="J184" s="184" t="str">
        <f>IF('Option 1'!J184="","",'Option 1'!J184)</f>
        <v/>
      </c>
      <c r="K184" s="184" t="str">
        <f>IF('Option 1'!K184="","",'Option 1'!K184)</f>
        <v/>
      </c>
      <c r="L184" s="184" t="str">
        <f>IF('Option 1'!L184="","",'Option 1'!L184)</f>
        <v/>
      </c>
      <c r="M184" s="184">
        <f>IF('Option 1'!M184="","",'Option 1'!M184)</f>
        <v>20758</v>
      </c>
      <c r="N184" s="184" t="str">
        <f>IF('Option 1'!N184="","",'Option 1'!N184)</f>
        <v/>
      </c>
      <c r="O184" s="184" t="str">
        <f>IF('Option 1'!O184="","",'Option 1'!O184)</f>
        <v/>
      </c>
      <c r="P184" s="124">
        <f t="shared" si="10"/>
        <v>41516</v>
      </c>
    </row>
    <row r="185" spans="1:16" ht="15.75" customHeight="1" x14ac:dyDescent="0.25">
      <c r="A185" s="239"/>
      <c r="B185" s="4" t="str">
        <f>IF('Option 1'!B185="","",'Option 1'!B185)</f>
        <v/>
      </c>
      <c r="C185" s="188" t="str">
        <f>IF('Option 1'!C185="","",'Option 1'!C185)</f>
        <v>Pool Chainlink Fence</v>
      </c>
      <c r="D185" s="186" t="str">
        <f>IF('Option 1'!D185="","",'Option 1'!D185)</f>
        <v/>
      </c>
      <c r="E185" s="184" t="str">
        <f>IF('Option 1'!E185="","",'Option 1'!E185)</f>
        <v/>
      </c>
      <c r="F185" s="184" t="str">
        <f>IF('Option 1'!F185="","",'Option 1'!F185)</f>
        <v/>
      </c>
      <c r="G185" s="184" t="str">
        <f>IF('Option 1'!G185="","",'Option 1'!G185)</f>
        <v/>
      </c>
      <c r="H185" s="184">
        <f>IF('Option 1'!H185="","",'Option 1'!H185)</f>
        <v>5928</v>
      </c>
      <c r="I185" s="184" t="str">
        <f>IF('Option 1'!I185="","",'Option 1'!I185)</f>
        <v/>
      </c>
      <c r="J185" s="184" t="str">
        <f>IF('Option 1'!J185="","",'Option 1'!J185)</f>
        <v/>
      </c>
      <c r="K185" s="184" t="str">
        <f>IF('Option 1'!K185="","",'Option 1'!K185)</f>
        <v/>
      </c>
      <c r="L185" s="184" t="str">
        <f>IF('Option 1'!L185="","",'Option 1'!L185)</f>
        <v/>
      </c>
      <c r="M185" s="184" t="str">
        <f>IF('Option 1'!M185="","",'Option 1'!M185)</f>
        <v/>
      </c>
      <c r="N185" s="184" t="str">
        <f>IF('Option 1'!N185="","",'Option 1'!N185)</f>
        <v/>
      </c>
      <c r="O185" s="184" t="str">
        <f>IF('Option 1'!O185="","",'Option 1'!O185)</f>
        <v/>
      </c>
      <c r="P185" s="124">
        <f t="shared" si="10"/>
        <v>5928</v>
      </c>
    </row>
    <row r="186" spans="1:16" ht="15.75" customHeight="1" x14ac:dyDescent="0.25">
      <c r="A186" s="239"/>
      <c r="B186" s="4" t="str">
        <f>IF('Option 1'!B186="","",'Option 1'!B186)</f>
        <v/>
      </c>
      <c r="C186" s="188" t="str">
        <f>IF('Option 1'!C186="","",'Option 1'!C186)</f>
        <v>Pool Gutters</v>
      </c>
      <c r="D186" s="186" t="str">
        <f>IF('Option 1'!D186="","",'Option 1'!D186)</f>
        <v/>
      </c>
      <c r="E186" s="184" t="str">
        <f>IF('Option 1'!E186="","",'Option 1'!E186)</f>
        <v/>
      </c>
      <c r="F186" s="184" t="str">
        <f>IF('Option 1'!F186="","",'Option 1'!F186)</f>
        <v/>
      </c>
      <c r="G186" s="184" t="str">
        <f>IF('Option 1'!G186="","",'Option 1'!G186)</f>
        <v/>
      </c>
      <c r="H186" s="184" t="str">
        <f>IF('Option 1'!H186="","",'Option 1'!H186)</f>
        <v/>
      </c>
      <c r="I186" s="184" t="str">
        <f>IF('Option 1'!I186="","",'Option 1'!I186)</f>
        <v/>
      </c>
      <c r="J186" s="184" t="str">
        <f>IF('Option 1'!J186="","",'Option 1'!J186)</f>
        <v/>
      </c>
      <c r="K186" s="184" t="str">
        <f>IF('Option 1'!K186="","",'Option 1'!K186)</f>
        <v/>
      </c>
      <c r="L186" s="184" t="str">
        <f>IF('Option 1'!L186="","",'Option 1'!L186)</f>
        <v/>
      </c>
      <c r="M186" s="184" t="str">
        <f>IF('Option 1'!M186="","",'Option 1'!M186)</f>
        <v/>
      </c>
      <c r="N186" s="184" t="str">
        <f>IF('Option 1'!N186="","",'Option 1'!N186)</f>
        <v/>
      </c>
      <c r="O186" s="184" t="str">
        <f>IF('Option 1'!O186="","",'Option 1'!O186)</f>
        <v/>
      </c>
      <c r="P186" s="124">
        <f t="shared" si="10"/>
        <v>0</v>
      </c>
    </row>
    <row r="187" spans="1:16" ht="15.75" customHeight="1" x14ac:dyDescent="0.25">
      <c r="A187" s="239"/>
      <c r="B187" s="4" t="str">
        <f>IF('Option 1'!B187="","",'Option 1'!B187)</f>
        <v/>
      </c>
      <c r="C187" s="188" t="str">
        <f>IF('Option 1'!C187="","",'Option 1'!C187)</f>
        <v>Pool Resurfacing</v>
      </c>
      <c r="D187" s="186" t="str">
        <f>IF('Option 1'!D187="","",'Option 1'!D187)</f>
        <v/>
      </c>
      <c r="E187" s="184" t="str">
        <f>IF('Option 1'!E187="","",'Option 1'!E187)</f>
        <v/>
      </c>
      <c r="F187" s="184" t="str">
        <f>IF('Option 1'!F187="","",'Option 1'!F187)</f>
        <v/>
      </c>
      <c r="G187" s="184" t="str">
        <f>IF('Option 1'!G187="","",'Option 1'!G187)</f>
        <v/>
      </c>
      <c r="H187" s="184" t="str">
        <f>IF('Option 1'!H187="","",'Option 1'!H187)</f>
        <v/>
      </c>
      <c r="I187" s="184" t="str">
        <f>IF('Option 1'!I187="","",'Option 1'!I187)</f>
        <v/>
      </c>
      <c r="J187" s="184" t="str">
        <f>IF('Option 1'!J187="","",'Option 1'!J187)</f>
        <v/>
      </c>
      <c r="K187" s="184" t="str">
        <f>IF('Option 1'!K187="","",'Option 1'!K187)</f>
        <v/>
      </c>
      <c r="L187" s="184" t="str">
        <f>IF('Option 1'!L187="","",'Option 1'!L187)</f>
        <v/>
      </c>
      <c r="M187" s="184" t="str">
        <f>IF('Option 1'!M187="","",'Option 1'!M187)</f>
        <v/>
      </c>
      <c r="N187" s="184">
        <f>IF('Option 1'!N187="","",'Option 1'!N187)</f>
        <v>20000</v>
      </c>
      <c r="O187" s="184" t="str">
        <f>IF('Option 1'!O187="","",'Option 1'!O187)</f>
        <v/>
      </c>
      <c r="P187" s="124">
        <f t="shared" si="10"/>
        <v>20000</v>
      </c>
    </row>
    <row r="188" spans="1:16" ht="15.75" customHeight="1" x14ac:dyDescent="0.25">
      <c r="A188" s="239"/>
      <c r="B188" s="4" t="str">
        <f>IF('Option 1'!B188="","",'Option 1'!B188)</f>
        <v/>
      </c>
      <c r="C188" s="188" t="str">
        <f>IF('Option 1'!C188="","",'Option 1'!C188)</f>
        <v>Landscape - Crab Trees</v>
      </c>
      <c r="D188" s="186" t="str">
        <f>IF('Option 1'!D188="","",'Option 1'!D188)</f>
        <v/>
      </c>
      <c r="E188" s="184" t="str">
        <f>IF('Option 1'!E188="","",'Option 1'!E188)</f>
        <v/>
      </c>
      <c r="F188" s="184" t="str">
        <f>IF('Option 1'!F188="","",'Option 1'!F188)</f>
        <v/>
      </c>
      <c r="G188" s="184" t="str">
        <f>IF('Option 1'!G188="","",'Option 1'!G188)</f>
        <v/>
      </c>
      <c r="H188" s="184">
        <f>IF('Option 1'!H188="","",'Option 1'!H188)</f>
        <v>7000</v>
      </c>
      <c r="I188" s="184" t="str">
        <f>IF('Option 1'!I188="","",'Option 1'!I188)</f>
        <v/>
      </c>
      <c r="J188" s="184" t="str">
        <f>IF('Option 1'!J188="","",'Option 1'!J188)</f>
        <v/>
      </c>
      <c r="K188" s="184" t="str">
        <f>IF('Option 1'!K188="","",'Option 1'!K188)</f>
        <v/>
      </c>
      <c r="L188" s="184" t="str">
        <f>IF('Option 1'!L188="","",'Option 1'!L188)</f>
        <v/>
      </c>
      <c r="M188" s="184" t="str">
        <f>IF('Option 1'!M188="","",'Option 1'!M188)</f>
        <v/>
      </c>
      <c r="N188" s="184" t="str">
        <f>IF('Option 1'!N188="","",'Option 1'!N188)</f>
        <v/>
      </c>
      <c r="O188" s="184" t="str">
        <f>IF('Option 1'!O188="","",'Option 1'!O188)</f>
        <v/>
      </c>
      <c r="P188" s="124">
        <f t="shared" si="10"/>
        <v>7000</v>
      </c>
    </row>
    <row r="189" spans="1:16" ht="15.75" customHeight="1" x14ac:dyDescent="0.25">
      <c r="A189" s="239"/>
      <c r="B189" s="4" t="str">
        <f>IF('Option 1'!B189="","",'Option 1'!B189)</f>
        <v/>
      </c>
      <c r="C189" s="188" t="str">
        <f>IF('Option 1'!C189="","",'Option 1'!C189)</f>
        <v>Landscape - Tree Removal</v>
      </c>
      <c r="D189" s="186" t="str">
        <f>IF('Option 1'!D189="","",'Option 1'!D189)</f>
        <v/>
      </c>
      <c r="E189" s="184" t="str">
        <f>IF('Option 1'!E189="","",'Option 1'!E189)</f>
        <v/>
      </c>
      <c r="F189" s="184" t="str">
        <f>IF('Option 1'!F189="","",'Option 1'!F189)</f>
        <v/>
      </c>
      <c r="G189" s="184" t="str">
        <f>IF('Option 1'!G189="","",'Option 1'!G189)</f>
        <v/>
      </c>
      <c r="H189" s="184">
        <f>IF('Option 1'!H189="","",'Option 1'!H189)</f>
        <v>3000</v>
      </c>
      <c r="I189" s="184" t="str">
        <f>IF('Option 1'!I189="","",'Option 1'!I189)</f>
        <v/>
      </c>
      <c r="J189" s="184" t="str">
        <f>IF('Option 1'!J189="","",'Option 1'!J189)</f>
        <v/>
      </c>
      <c r="K189" s="184" t="str">
        <f>IF('Option 1'!K189="","",'Option 1'!K189)</f>
        <v/>
      </c>
      <c r="L189" s="184" t="str">
        <f>IF('Option 1'!L189="","",'Option 1'!L189)</f>
        <v/>
      </c>
      <c r="M189" s="184" t="str">
        <f>IF('Option 1'!M189="","",'Option 1'!M189)</f>
        <v/>
      </c>
      <c r="N189" s="184" t="str">
        <f>IF('Option 1'!N189="","",'Option 1'!N189)</f>
        <v/>
      </c>
      <c r="O189" s="184" t="str">
        <f>IF('Option 1'!O189="","",'Option 1'!O189)</f>
        <v/>
      </c>
      <c r="P189" s="124">
        <f t="shared" si="10"/>
        <v>3000</v>
      </c>
    </row>
    <row r="190" spans="1:16" ht="15.75" customHeight="1" x14ac:dyDescent="0.25">
      <c r="A190" s="239"/>
      <c r="B190" s="4" t="str">
        <f>IF('Option 1'!B190="","",'Option 1'!B190)</f>
        <v/>
      </c>
      <c r="C190" s="188" t="str">
        <f>IF('Option 1'!C190="","",'Option 1'!C190)</f>
        <v>Landscape - Other Tree Removal</v>
      </c>
      <c r="D190" s="186" t="str">
        <f>IF('Option 1'!D190="","",'Option 1'!D190)</f>
        <v/>
      </c>
      <c r="E190" s="184" t="str">
        <f>IF('Option 1'!E190="","",'Option 1'!E190)</f>
        <v/>
      </c>
      <c r="F190" s="184" t="str">
        <f>IF('Option 1'!F190="","",'Option 1'!F190)</f>
        <v/>
      </c>
      <c r="G190" s="184" t="str">
        <f>IF('Option 1'!G190="","",'Option 1'!G190)</f>
        <v/>
      </c>
      <c r="H190" s="184">
        <f>IF('Option 1'!H190="","",'Option 1'!H190)</f>
        <v>2100</v>
      </c>
      <c r="I190" s="184" t="str">
        <f>IF('Option 1'!I190="","",'Option 1'!I190)</f>
        <v/>
      </c>
      <c r="J190" s="184" t="str">
        <f>IF('Option 1'!J190="","",'Option 1'!J190)</f>
        <v/>
      </c>
      <c r="K190" s="184" t="str">
        <f>IF('Option 1'!K190="","",'Option 1'!K190)</f>
        <v/>
      </c>
      <c r="L190" s="184" t="str">
        <f>IF('Option 1'!L190="","",'Option 1'!L190)</f>
        <v/>
      </c>
      <c r="M190" s="184" t="str">
        <f>IF('Option 1'!M190="","",'Option 1'!M190)</f>
        <v/>
      </c>
      <c r="N190" s="184" t="str">
        <f>IF('Option 1'!N190="","",'Option 1'!N190)</f>
        <v/>
      </c>
      <c r="O190" s="184" t="str">
        <f>IF('Option 1'!O190="","",'Option 1'!O190)</f>
        <v/>
      </c>
      <c r="P190" s="124">
        <f t="shared" si="10"/>
        <v>2100</v>
      </c>
    </row>
    <row r="191" spans="1:16" ht="15.75" customHeight="1" x14ac:dyDescent="0.25">
      <c r="A191" s="239"/>
      <c r="B191" s="4" t="str">
        <f>IF('Option 1'!B191="","",'Option 1'!B191)</f>
        <v/>
      </c>
      <c r="C191" s="188" t="str">
        <f>IF('Option 1'!C191="","",'Option 1'!C191)</f>
        <v>Landscape - Ash Tree Removal</v>
      </c>
      <c r="D191" s="186" t="str">
        <f>IF('Option 1'!D191="","",'Option 1'!D191)</f>
        <v/>
      </c>
      <c r="E191" s="184" t="str">
        <f>IF('Option 1'!E191="","",'Option 1'!E191)</f>
        <v/>
      </c>
      <c r="F191" s="184" t="str">
        <f>IF('Option 1'!F191="","",'Option 1'!F191)</f>
        <v/>
      </c>
      <c r="G191" s="184" t="str">
        <f>IF('Option 1'!G191="","",'Option 1'!G191)</f>
        <v/>
      </c>
      <c r="H191" s="184">
        <f>IF('Option 1'!H191="","",'Option 1'!H191)</f>
        <v>8000</v>
      </c>
      <c r="I191" s="184" t="str">
        <f>IF('Option 1'!I191="","",'Option 1'!I191)</f>
        <v/>
      </c>
      <c r="J191" s="184" t="str">
        <f>IF('Option 1'!J191="","",'Option 1'!J191)</f>
        <v/>
      </c>
      <c r="K191" s="184" t="str">
        <f>IF('Option 1'!K191="","",'Option 1'!K191)</f>
        <v/>
      </c>
      <c r="L191" s="184" t="str">
        <f>IF('Option 1'!L191="","",'Option 1'!L191)</f>
        <v/>
      </c>
      <c r="M191" s="184" t="str">
        <f>IF('Option 1'!M191="","",'Option 1'!M191)</f>
        <v/>
      </c>
      <c r="N191" s="184" t="str">
        <f>IF('Option 1'!N191="","",'Option 1'!N191)</f>
        <v/>
      </c>
      <c r="O191" s="184" t="str">
        <f>IF('Option 1'!O191="","",'Option 1'!O191)</f>
        <v/>
      </c>
      <c r="P191" s="124">
        <f t="shared" si="10"/>
        <v>8000</v>
      </c>
    </row>
    <row r="192" spans="1:16" ht="15.75" customHeight="1" x14ac:dyDescent="0.25">
      <c r="A192" s="239"/>
      <c r="B192" s="4" t="str">
        <f>IF('Option 1'!B192="","",'Option 1'!B192)</f>
        <v/>
      </c>
      <c r="C192" s="3" t="str">
        <f>IF('Option 1'!C192="","",'Option 1'!C192)</f>
        <v>Mechanical Elements</v>
      </c>
      <c r="D192" s="186" t="str">
        <f>IF('Option 1'!D192="","",'Option 1'!D192)</f>
        <v/>
      </c>
      <c r="E192" s="184" t="str">
        <f>IF('Option 1'!E192="","",'Option 1'!E192)</f>
        <v/>
      </c>
      <c r="F192" s="184" t="str">
        <f>IF('Option 1'!F192="","",'Option 1'!F192)</f>
        <v/>
      </c>
      <c r="G192" s="184" t="str">
        <f>IF('Option 1'!G192="","",'Option 1'!G192)</f>
        <v/>
      </c>
      <c r="H192" s="184" t="str">
        <f>IF('Option 1'!H192="","",'Option 1'!H192)</f>
        <v/>
      </c>
      <c r="I192" s="184" t="str">
        <f>IF('Option 1'!I192="","",'Option 1'!I192)</f>
        <v/>
      </c>
      <c r="J192" s="184" t="str">
        <f>IF('Option 1'!J192="","",'Option 1'!J192)</f>
        <v/>
      </c>
      <c r="K192" s="184" t="str">
        <f>IF('Option 1'!K192="","",'Option 1'!K192)</f>
        <v/>
      </c>
      <c r="L192" s="184" t="str">
        <f>IF('Option 1'!L192="","",'Option 1'!L192)</f>
        <v/>
      </c>
      <c r="M192" s="184" t="str">
        <f>IF('Option 1'!M192="","",'Option 1'!M192)</f>
        <v/>
      </c>
      <c r="N192" s="184" t="str">
        <f>IF('Option 1'!N192="","",'Option 1'!N192)</f>
        <v/>
      </c>
      <c r="O192" s="184" t="str">
        <f>IF('Option 1'!O192="","",'Option 1'!O192)</f>
        <v/>
      </c>
      <c r="P192" s="124">
        <f t="shared" si="10"/>
        <v>0</v>
      </c>
    </row>
    <row r="193" spans="1:16" ht="15.75" customHeight="1" x14ac:dyDescent="0.25">
      <c r="A193" s="239"/>
      <c r="B193" s="4" t="str">
        <f>IF('Option 1'!B193="","",'Option 1'!B193)</f>
        <v/>
      </c>
      <c r="C193" s="188" t="str">
        <f>IF('Option 1'!C193="","",'Option 1'!C193)</f>
        <v>Furnace</v>
      </c>
      <c r="D193" s="186" t="str">
        <f>IF('Option 1'!D193="","",'Option 1'!D193)</f>
        <v/>
      </c>
      <c r="E193" s="184" t="str">
        <f>IF('Option 1'!E193="","",'Option 1'!E193)</f>
        <v/>
      </c>
      <c r="F193" s="184" t="str">
        <f>IF('Option 1'!F193="","",'Option 1'!F193)</f>
        <v/>
      </c>
      <c r="G193" s="184">
        <f>IF('Option 1'!G193="","",'Option 1'!G193)</f>
        <v>3460</v>
      </c>
      <c r="H193" s="184" t="str">
        <f>IF('Option 1'!H193="","",'Option 1'!H193)</f>
        <v/>
      </c>
      <c r="I193" s="184" t="str">
        <f>IF('Option 1'!I193="","",'Option 1'!I193)</f>
        <v/>
      </c>
      <c r="J193" s="184" t="str">
        <f>IF('Option 1'!J193="","",'Option 1'!J193)</f>
        <v/>
      </c>
      <c r="K193" s="184" t="str">
        <f>IF('Option 1'!K193="","",'Option 1'!K193)</f>
        <v/>
      </c>
      <c r="L193" s="184" t="str">
        <f>IF('Option 1'!L193="","",'Option 1'!L193)</f>
        <v/>
      </c>
      <c r="M193" s="184" t="str">
        <f>IF('Option 1'!M193="","",'Option 1'!M193)</f>
        <v/>
      </c>
      <c r="N193" s="184" t="str">
        <f>IF('Option 1'!N193="","",'Option 1'!N193)</f>
        <v/>
      </c>
      <c r="O193" s="184" t="str">
        <f>IF('Option 1'!O193="","",'Option 1'!O193)</f>
        <v/>
      </c>
      <c r="P193" s="124">
        <f t="shared" si="10"/>
        <v>3460</v>
      </c>
    </row>
    <row r="194" spans="1:16" ht="15.75" customHeight="1" x14ac:dyDescent="0.25">
      <c r="A194" s="239"/>
      <c r="B194" s="4" t="str">
        <f>IF('Option 1'!B194="","",'Option 1'!B194)</f>
        <v/>
      </c>
      <c r="C194" s="188" t="str">
        <f>IF('Option 1'!C194="","",'Option 1'!C194)</f>
        <v>Rooftop HVAC Units - 1519 Clubhouse</v>
      </c>
      <c r="D194" s="186" t="str">
        <f>IF('Option 1'!D194="","",'Option 1'!D194)</f>
        <v/>
      </c>
      <c r="E194" s="184" t="str">
        <f>IF('Option 1'!E194="","",'Option 1'!E194)</f>
        <v/>
      </c>
      <c r="F194" s="184" t="str">
        <f>IF('Option 1'!F194="","",'Option 1'!F194)</f>
        <v/>
      </c>
      <c r="G194" s="184" t="str">
        <f>IF('Option 1'!G194="","",'Option 1'!G194)</f>
        <v/>
      </c>
      <c r="H194" s="184" t="str">
        <f>IF('Option 1'!H194="","",'Option 1'!H194)</f>
        <v/>
      </c>
      <c r="I194" s="184" t="str">
        <f>IF('Option 1'!I194="","",'Option 1'!I194)</f>
        <v/>
      </c>
      <c r="J194" s="184" t="str">
        <f>IF('Option 1'!J194="","",'Option 1'!J194)</f>
        <v/>
      </c>
      <c r="K194" s="184" t="str">
        <f>IF('Option 1'!K194="","",'Option 1'!K194)</f>
        <v/>
      </c>
      <c r="L194" s="184" t="str">
        <f>IF('Option 1'!L194="","",'Option 1'!L194)</f>
        <v/>
      </c>
      <c r="M194" s="184" t="str">
        <f>IF('Option 1'!M194="","",'Option 1'!M194)</f>
        <v/>
      </c>
      <c r="N194" s="184" t="str">
        <f>IF('Option 1'!N194="","",'Option 1'!N194)</f>
        <v/>
      </c>
      <c r="O194" s="184" t="str">
        <f>IF('Option 1'!O194="","",'Option 1'!O194)</f>
        <v/>
      </c>
      <c r="P194" s="124">
        <f t="shared" si="10"/>
        <v>0</v>
      </c>
    </row>
    <row r="195" spans="1:16" ht="15.75" customHeight="1" x14ac:dyDescent="0.25">
      <c r="A195" s="239"/>
      <c r="B195" s="4" t="str">
        <f>IF('Option 1'!B195="","",'Option 1'!B195)</f>
        <v/>
      </c>
      <c r="C195" s="188" t="str">
        <f>IF('Option 1'!C195="","",'Option 1'!C195)</f>
        <v>Hot Water Heater</v>
      </c>
      <c r="D195" s="186" t="str">
        <f>IF('Option 1'!D195="","",'Option 1'!D195)</f>
        <v/>
      </c>
      <c r="E195" s="184" t="str">
        <f>IF('Option 1'!E195="","",'Option 1'!E195)</f>
        <v/>
      </c>
      <c r="F195" s="184">
        <f>IF('Option 1'!F195="","",'Option 1'!F195)</f>
        <v>1384</v>
      </c>
      <c r="G195" s="184" t="str">
        <f>IF('Option 1'!G195="","",'Option 1'!G195)</f>
        <v/>
      </c>
      <c r="H195" s="184" t="str">
        <f>IF('Option 1'!H195="","",'Option 1'!H195)</f>
        <v/>
      </c>
      <c r="I195" s="184" t="str">
        <f>IF('Option 1'!I195="","",'Option 1'!I195)</f>
        <v/>
      </c>
      <c r="J195" s="184" t="str">
        <f>IF('Option 1'!J195="","",'Option 1'!J195)</f>
        <v/>
      </c>
      <c r="K195" s="184" t="str">
        <f>IF('Option 1'!K195="","",'Option 1'!K195)</f>
        <v/>
      </c>
      <c r="L195" s="184" t="str">
        <f>IF('Option 1'!L195="","",'Option 1'!L195)</f>
        <v/>
      </c>
      <c r="M195" s="184" t="str">
        <f>IF('Option 1'!M195="","",'Option 1'!M195)</f>
        <v/>
      </c>
      <c r="N195" s="184" t="str">
        <f>IF('Option 1'!N195="","",'Option 1'!N195)</f>
        <v/>
      </c>
      <c r="O195" s="184" t="str">
        <f>IF('Option 1'!O195="","",'Option 1'!O195)</f>
        <v/>
      </c>
      <c r="P195" s="124">
        <f t="shared" si="10"/>
        <v>1384</v>
      </c>
    </row>
    <row r="196" spans="1:16" ht="15.75" customHeight="1" x14ac:dyDescent="0.25">
      <c r="A196" s="239"/>
      <c r="B196" s="4" t="str">
        <f>IF('Option 1'!B196="","",'Option 1'!B196)</f>
        <v/>
      </c>
      <c r="C196" s="188" t="str">
        <f>IF('Option 1'!C196="","",'Option 1'!C196)</f>
        <v>Vestibule Heaters</v>
      </c>
      <c r="D196" s="186" t="str">
        <f>IF('Option 1'!D196="","",'Option 1'!D196)</f>
        <v/>
      </c>
      <c r="E196" s="184" t="str">
        <f>IF('Option 1'!E196="","",'Option 1'!E196)</f>
        <v/>
      </c>
      <c r="F196" s="184" t="str">
        <f>IF('Option 1'!F196="","",'Option 1'!F196)</f>
        <v/>
      </c>
      <c r="G196" s="184" t="str">
        <f>IF('Option 1'!G196="","",'Option 1'!G196)</f>
        <v/>
      </c>
      <c r="H196" s="184" t="str">
        <f>IF('Option 1'!H196="","",'Option 1'!H196)</f>
        <v/>
      </c>
      <c r="I196" s="184" t="str">
        <f>IF('Option 1'!I196="","",'Option 1'!I196)</f>
        <v/>
      </c>
      <c r="J196" s="184" t="str">
        <f>IF('Option 1'!J196="","",'Option 1'!J196)</f>
        <v/>
      </c>
      <c r="K196" s="184">
        <f>IF('Option 1'!K196="","",'Option 1'!K196)</f>
        <v>2768</v>
      </c>
      <c r="L196" s="184" t="str">
        <f>IF('Option 1'!L196="","",'Option 1'!L196)</f>
        <v/>
      </c>
      <c r="M196" s="184" t="str">
        <f>IF('Option 1'!M196="","",'Option 1'!M196)</f>
        <v/>
      </c>
      <c r="N196" s="184" t="str">
        <f>IF('Option 1'!N196="","",'Option 1'!N196)</f>
        <v/>
      </c>
      <c r="O196" s="184" t="str">
        <f>IF('Option 1'!O196="","",'Option 1'!O196)</f>
        <v/>
      </c>
      <c r="P196" s="124">
        <f t="shared" si="10"/>
        <v>2768</v>
      </c>
    </row>
    <row r="197" spans="1:16" ht="15.75" customHeight="1" x14ac:dyDescent="0.25">
      <c r="A197" s="239"/>
      <c r="B197" s="4" t="str">
        <f>IF('Option 1'!B197="","",'Option 1'!B197)</f>
        <v/>
      </c>
      <c r="C197" s="188" t="str">
        <f>IF('Option 1'!C197="","",'Option 1'!C197)</f>
        <v>Stair Electric Heaters</v>
      </c>
      <c r="D197" s="186" t="str">
        <f>IF('Option 1'!D197="","",'Option 1'!D197)</f>
        <v/>
      </c>
      <c r="E197" s="184" t="str">
        <f>IF('Option 1'!E197="","",'Option 1'!E197)</f>
        <v/>
      </c>
      <c r="F197" s="184" t="str">
        <f>IF('Option 1'!F197="","",'Option 1'!F197)</f>
        <v/>
      </c>
      <c r="G197" s="184">
        <f>IF('Option 1'!G197="","",'Option 1'!G197)</f>
        <v>4705</v>
      </c>
      <c r="H197" s="184" t="str">
        <f>IF('Option 1'!H197="","",'Option 1'!H197)</f>
        <v/>
      </c>
      <c r="I197" s="184" t="str">
        <f>IF('Option 1'!I197="","",'Option 1'!I197)</f>
        <v/>
      </c>
      <c r="J197" s="184" t="str">
        <f>IF('Option 1'!J197="","",'Option 1'!J197)</f>
        <v/>
      </c>
      <c r="K197" s="184" t="str">
        <f>IF('Option 1'!K197="","",'Option 1'!K197)</f>
        <v/>
      </c>
      <c r="L197" s="184" t="str">
        <f>IF('Option 1'!L197="","",'Option 1'!L197)</f>
        <v/>
      </c>
      <c r="M197" s="184" t="str">
        <f>IF('Option 1'!M197="","",'Option 1'!M197)</f>
        <v/>
      </c>
      <c r="N197" s="184" t="str">
        <f>IF('Option 1'!N197="","",'Option 1'!N197)</f>
        <v/>
      </c>
      <c r="O197" s="184" t="str">
        <f>IF('Option 1'!O197="","",'Option 1'!O197)</f>
        <v/>
      </c>
      <c r="P197" s="124">
        <f t="shared" si="10"/>
        <v>4705</v>
      </c>
    </row>
    <row r="198" spans="1:16" ht="15.75" customHeight="1" x14ac:dyDescent="0.25">
      <c r="A198" s="239"/>
      <c r="B198" s="4" t="str">
        <f>IF('Option 1'!B198="","",'Option 1'!B198)</f>
        <v/>
      </c>
      <c r="C198" s="188" t="str">
        <f>IF('Option 1'!C198="","",'Option 1'!C198)</f>
        <v>Fire Hoses</v>
      </c>
      <c r="D198" s="186" t="str">
        <f>IF('Option 1'!D198="","",'Option 1'!D198)</f>
        <v/>
      </c>
      <c r="E198" s="184" t="str">
        <f>IF('Option 1'!E198="","",'Option 1'!E198)</f>
        <v/>
      </c>
      <c r="F198" s="184" t="str">
        <f>IF('Option 1'!F198="","",'Option 1'!F198)</f>
        <v/>
      </c>
      <c r="G198" s="184" t="str">
        <f>IF('Option 1'!G198="","",'Option 1'!G198)</f>
        <v/>
      </c>
      <c r="H198" s="184" t="str">
        <f>IF('Option 1'!H198="","",'Option 1'!H198)</f>
        <v/>
      </c>
      <c r="I198" s="184" t="str">
        <f>IF('Option 1'!I198="","",'Option 1'!I198)</f>
        <v/>
      </c>
      <c r="J198" s="184" t="str">
        <f>IF('Option 1'!J198="","",'Option 1'!J198)</f>
        <v/>
      </c>
      <c r="K198" s="184" t="str">
        <f>IF('Option 1'!K198="","",'Option 1'!K198)</f>
        <v/>
      </c>
      <c r="L198" s="184" t="str">
        <f>IF('Option 1'!L198="","",'Option 1'!L198)</f>
        <v/>
      </c>
      <c r="M198" s="184" t="str">
        <f>IF('Option 1'!M198="","",'Option 1'!M198)</f>
        <v/>
      </c>
      <c r="N198" s="184">
        <f>IF('Option 1'!N198="","",'Option 1'!N198)</f>
        <v>17249</v>
      </c>
      <c r="O198" s="184" t="str">
        <f>IF('Option 1'!O198="","",'Option 1'!O198)</f>
        <v/>
      </c>
      <c r="P198" s="124">
        <f t="shared" si="10"/>
        <v>17249</v>
      </c>
    </row>
    <row r="199" spans="1:16" ht="15.75" customHeight="1" x14ac:dyDescent="0.25">
      <c r="A199" s="239"/>
      <c r="B199" s="4" t="str">
        <f>IF('Option 1'!B199="","",'Option 1'!B199)</f>
        <v/>
      </c>
      <c r="C199" s="188" t="str">
        <f>IF('Option 1'!C199="","",'Option 1'!C199)</f>
        <v>Trash Compactors</v>
      </c>
      <c r="D199" s="186" t="str">
        <f>IF('Option 1'!D199="","",'Option 1'!D199)</f>
        <v/>
      </c>
      <c r="E199" s="184" t="str">
        <f>IF('Option 1'!E199="","",'Option 1'!E199)</f>
        <v/>
      </c>
      <c r="F199" s="184" t="str">
        <f>IF('Option 1'!F199="","",'Option 1'!F199)</f>
        <v/>
      </c>
      <c r="G199" s="184" t="str">
        <f>IF('Option 1'!G199="","",'Option 1'!G199)</f>
        <v/>
      </c>
      <c r="H199" s="184" t="str">
        <f>IF('Option 1'!H199="","",'Option 1'!H199)</f>
        <v/>
      </c>
      <c r="I199" s="184" t="str">
        <f>IF('Option 1'!I199="","",'Option 1'!I199)</f>
        <v/>
      </c>
      <c r="J199" s="184" t="str">
        <f>IF('Option 1'!J199="","",'Option 1'!J199)</f>
        <v/>
      </c>
      <c r="K199" s="184" t="str">
        <f>IF('Option 1'!K199="","",'Option 1'!K199)</f>
        <v/>
      </c>
      <c r="L199" s="184" t="str">
        <f>IF('Option 1'!L199="","",'Option 1'!L199)</f>
        <v/>
      </c>
      <c r="M199" s="184" t="str">
        <f>IF('Option 1'!M199="","",'Option 1'!M199)</f>
        <v/>
      </c>
      <c r="N199" s="184" t="str">
        <f>IF('Option 1'!N199="","",'Option 1'!N199)</f>
        <v/>
      </c>
      <c r="O199" s="184" t="str">
        <f>IF('Option 1'!O199="","",'Option 1'!O199)</f>
        <v/>
      </c>
      <c r="P199" s="124">
        <f t="shared" si="10"/>
        <v>0</v>
      </c>
    </row>
    <row r="200" spans="1:16" ht="15.75" customHeight="1" x14ac:dyDescent="0.25">
      <c r="A200" s="239"/>
      <c r="B200" s="4" t="str">
        <f>IF('Option 1'!B200="","",'Option 1'!B200)</f>
        <v/>
      </c>
      <c r="C200" s="188" t="str">
        <f>IF('Option 1'!C200="","",'Option 1'!C200)</f>
        <v>Trash Chutes</v>
      </c>
      <c r="D200" s="186" t="str">
        <f>IF('Option 1'!D200="","",'Option 1'!D200)</f>
        <v/>
      </c>
      <c r="E200" s="184" t="str">
        <f>IF('Option 1'!E200="","",'Option 1'!E200)</f>
        <v/>
      </c>
      <c r="F200" s="184" t="str">
        <f>IF('Option 1'!F200="","",'Option 1'!F200)</f>
        <v/>
      </c>
      <c r="G200" s="184" t="str">
        <f>IF('Option 1'!G200="","",'Option 1'!G200)</f>
        <v/>
      </c>
      <c r="H200" s="184" t="str">
        <f>IF('Option 1'!H200="","",'Option 1'!H200)</f>
        <v/>
      </c>
      <c r="I200" s="184" t="str">
        <f>IF('Option 1'!I200="","",'Option 1'!I200)</f>
        <v/>
      </c>
      <c r="J200" s="184" t="str">
        <f>IF('Option 1'!J200="","",'Option 1'!J200)</f>
        <v/>
      </c>
      <c r="K200" s="184" t="str">
        <f>IF('Option 1'!K200="","",'Option 1'!K200)</f>
        <v/>
      </c>
      <c r="L200" s="184" t="str">
        <f>IF('Option 1'!L200="","",'Option 1'!L200)</f>
        <v/>
      </c>
      <c r="M200" s="184" t="str">
        <f>IF('Option 1'!M200="","",'Option 1'!M200)</f>
        <v/>
      </c>
      <c r="N200" s="184" t="str">
        <f>IF('Option 1'!N200="","",'Option 1'!N200)</f>
        <v/>
      </c>
      <c r="O200" s="184" t="str">
        <f>IF('Option 1'!O200="","",'Option 1'!O200)</f>
        <v/>
      </c>
      <c r="P200" s="124">
        <f t="shared" si="10"/>
        <v>0</v>
      </c>
    </row>
    <row r="201" spans="1:16" ht="15.75" customHeight="1" x14ac:dyDescent="0.25">
      <c r="A201" s="239"/>
      <c r="B201" s="4" t="str">
        <f>IF('Option 1'!B201="","",'Option 1'!B201)</f>
        <v/>
      </c>
      <c r="C201" s="188" t="str">
        <f>IF('Option 1'!C201="","",'Option 1'!C201)</f>
        <v>Elevators</v>
      </c>
      <c r="D201" s="186" t="str">
        <f>IF('Option 1'!D201="","",'Option 1'!D201)</f>
        <v/>
      </c>
      <c r="E201" s="184" t="str">
        <f>IF('Option 1'!E201="","",'Option 1'!E201)</f>
        <v/>
      </c>
      <c r="F201" s="184" t="str">
        <f>IF('Option 1'!F201="","",'Option 1'!F201)</f>
        <v/>
      </c>
      <c r="G201" s="184" t="str">
        <f>IF('Option 1'!G201="","",'Option 1'!G201)</f>
        <v/>
      </c>
      <c r="H201" s="184" t="str">
        <f>IF('Option 1'!H201="","",'Option 1'!H201)</f>
        <v/>
      </c>
      <c r="I201" s="184" t="str">
        <f>IF('Option 1'!I201="","",'Option 1'!I201)</f>
        <v/>
      </c>
      <c r="J201" s="184" t="str">
        <f>IF('Option 1'!J201="","",'Option 1'!J201)</f>
        <v/>
      </c>
      <c r="K201" s="184" t="str">
        <f>IF('Option 1'!K201="","",'Option 1'!K201)</f>
        <v/>
      </c>
      <c r="L201" s="184" t="str">
        <f>IF('Option 1'!L201="","",'Option 1'!L201)</f>
        <v/>
      </c>
      <c r="M201" s="184" t="str">
        <f>IF('Option 1'!M201="","",'Option 1'!M201)</f>
        <v/>
      </c>
      <c r="N201" s="184" t="str">
        <f>IF('Option 1'!N201="","",'Option 1'!N201)</f>
        <v/>
      </c>
      <c r="O201" s="184" t="str">
        <f>IF('Option 1'!O201="","",'Option 1'!O201)</f>
        <v/>
      </c>
      <c r="P201" s="124">
        <f t="shared" si="10"/>
        <v>0</v>
      </c>
    </row>
    <row r="202" spans="1:16" ht="15.75" customHeight="1" x14ac:dyDescent="0.25">
      <c r="A202" s="239"/>
      <c r="B202" s="4" t="str">
        <f>IF('Option 1'!B202="","",'Option 1'!B202)</f>
        <v/>
      </c>
      <c r="C202" s="188" t="str">
        <f>IF('Option 1'!C202="","",'Option 1'!C202)</f>
        <v>Elevator Safety Collars &amp; Engineering</v>
      </c>
      <c r="D202" s="186" t="str">
        <f>IF('Option 1'!D202="","",'Option 1'!D202)</f>
        <v/>
      </c>
      <c r="E202" s="184" t="str">
        <f>IF('Option 1'!E202="","",'Option 1'!E202)</f>
        <v/>
      </c>
      <c r="F202" s="184" t="str">
        <f>IF('Option 1'!F202="","",'Option 1'!F202)</f>
        <v/>
      </c>
      <c r="G202" s="184" t="str">
        <f>IF('Option 1'!G202="","",'Option 1'!G202)</f>
        <v/>
      </c>
      <c r="H202" s="184" t="str">
        <f>IF('Option 1'!H202="","",'Option 1'!H202)</f>
        <v/>
      </c>
      <c r="I202" s="184" t="str">
        <f>IF('Option 1'!I202="","",'Option 1'!I202)</f>
        <v/>
      </c>
      <c r="J202" s="184" t="str">
        <f>IF('Option 1'!J202="","",'Option 1'!J202)</f>
        <v/>
      </c>
      <c r="K202" s="184" t="str">
        <f>IF('Option 1'!K202="","",'Option 1'!K202)</f>
        <v/>
      </c>
      <c r="L202" s="184" t="str">
        <f>IF('Option 1'!L202="","",'Option 1'!L202)</f>
        <v/>
      </c>
      <c r="M202" s="184" t="str">
        <f>IF('Option 1'!M202="","",'Option 1'!M202)</f>
        <v/>
      </c>
      <c r="N202" s="184" t="str">
        <f>IF('Option 1'!N202="","",'Option 1'!N202)</f>
        <v/>
      </c>
      <c r="O202" s="184" t="str">
        <f>IF('Option 1'!O202="","",'Option 1'!O202)</f>
        <v/>
      </c>
      <c r="P202" s="124">
        <f t="shared" si="10"/>
        <v>0</v>
      </c>
    </row>
    <row r="203" spans="1:16" ht="15.75" customHeight="1" x14ac:dyDescent="0.25">
      <c r="A203" s="239"/>
      <c r="B203" s="4" t="str">
        <f>IF('Option 1'!B203="","",'Option 1'!B203)</f>
        <v/>
      </c>
      <c r="C203" s="188" t="str">
        <f>IF('Option 1'!C203="","",'Option 1'!C203)</f>
        <v>Elevator Replacement Cylinders (Bldg. 1405)</v>
      </c>
      <c r="D203" s="186" t="str">
        <f>IF('Option 1'!D203="","",'Option 1'!D203)</f>
        <v/>
      </c>
      <c r="E203" s="184">
        <f>IF('Option 1'!E203="","",'Option 1'!E203)</f>
        <v>0</v>
      </c>
      <c r="F203" s="184">
        <f>IF('Option 1'!F203="","",'Option 1'!F203)</f>
        <v>110000</v>
      </c>
      <c r="G203" s="184" t="str">
        <f>IF('Option 1'!G203="","",'Option 1'!G203)</f>
        <v/>
      </c>
      <c r="H203" s="184" t="str">
        <f>IF('Option 1'!H203="","",'Option 1'!H203)</f>
        <v/>
      </c>
      <c r="I203" s="184" t="str">
        <f>IF('Option 1'!I203="","",'Option 1'!I203)</f>
        <v/>
      </c>
      <c r="J203" s="184" t="str">
        <f>IF('Option 1'!J203="","",'Option 1'!J203)</f>
        <v/>
      </c>
      <c r="K203" s="184" t="str">
        <f>IF('Option 1'!K203="","",'Option 1'!K203)</f>
        <v/>
      </c>
      <c r="L203" s="184" t="str">
        <f>IF('Option 1'!L203="","",'Option 1'!L203)</f>
        <v/>
      </c>
      <c r="M203" s="184" t="str">
        <f>IF('Option 1'!M203="","",'Option 1'!M203)</f>
        <v/>
      </c>
      <c r="N203" s="184" t="str">
        <f>IF('Option 1'!N203="","",'Option 1'!N203)</f>
        <v/>
      </c>
      <c r="O203" s="184" t="str">
        <f>IF('Option 1'!O203="","",'Option 1'!O203)</f>
        <v/>
      </c>
      <c r="P203" s="124">
        <f t="shared" si="10"/>
        <v>110000</v>
      </c>
    </row>
    <row r="204" spans="1:16" ht="15.75" customHeight="1" x14ac:dyDescent="0.25">
      <c r="A204" s="239"/>
      <c r="B204" s="4" t="str">
        <f>IF('Option 1'!B204="","",'Option 1'!B204)</f>
        <v/>
      </c>
      <c r="C204" s="188" t="str">
        <f>IF('Option 1'!C204="","",'Option 1'!C204)</f>
        <v>Elevator Replacement Cylinders (Bldgs. 1505 &amp; 1515)</v>
      </c>
      <c r="D204" s="186" t="str">
        <f>IF('Option 1'!D204="","",'Option 1'!D204)</f>
        <v/>
      </c>
      <c r="E204" s="184" t="str">
        <f>IF('Option 1'!E204="","",'Option 1'!E204)</f>
        <v/>
      </c>
      <c r="F204" s="184">
        <f>IF('Option 1'!F204="","",'Option 1'!F204)</f>
        <v>0</v>
      </c>
      <c r="G204" s="184">
        <f>IF('Option 1'!G204="","",'Option 1'!G204)</f>
        <v>330000</v>
      </c>
      <c r="H204" s="184" t="str">
        <f>IF('Option 1'!H204="","",'Option 1'!H204)</f>
        <v/>
      </c>
      <c r="I204" s="184" t="str">
        <f>IF('Option 1'!I204="","",'Option 1'!I204)</f>
        <v/>
      </c>
      <c r="J204" s="184" t="str">
        <f>IF('Option 1'!J204="","",'Option 1'!J204)</f>
        <v/>
      </c>
      <c r="K204" s="184" t="str">
        <f>IF('Option 1'!K204="","",'Option 1'!K204)</f>
        <v/>
      </c>
      <c r="L204" s="184" t="str">
        <f>IF('Option 1'!L204="","",'Option 1'!L204)</f>
        <v/>
      </c>
      <c r="M204" s="184" t="str">
        <f>IF('Option 1'!M204="","",'Option 1'!M204)</f>
        <v/>
      </c>
      <c r="N204" s="184" t="str">
        <f>IF('Option 1'!N204="","",'Option 1'!N204)</f>
        <v/>
      </c>
      <c r="O204" s="184" t="str">
        <f>IF('Option 1'!O204="","",'Option 1'!O204)</f>
        <v/>
      </c>
      <c r="P204" s="124">
        <f t="shared" si="10"/>
        <v>330000</v>
      </c>
    </row>
    <row r="205" spans="1:16" ht="15.75" customHeight="1" x14ac:dyDescent="0.25">
      <c r="A205" s="239"/>
      <c r="B205" s="4" t="str">
        <f>IF('Option 1'!B205="","",'Option 1'!B205)</f>
        <v/>
      </c>
      <c r="C205" s="188" t="str">
        <f>IF('Option 1'!C205="","",'Option 1'!C205)</f>
        <v>Elevator Replacement Cylinders (Bldg. 1415)</v>
      </c>
      <c r="D205" s="186" t="str">
        <f>IF('Option 1'!D205="","",'Option 1'!D205)</f>
        <v/>
      </c>
      <c r="E205" s="184" t="str">
        <f>IF('Option 1'!E205="","",'Option 1'!E205)</f>
        <v/>
      </c>
      <c r="F205" s="184" t="str">
        <f>IF('Option 1'!F205="","",'Option 1'!F205)</f>
        <v/>
      </c>
      <c r="G205" s="184">
        <f>IF('Option 1'!G205="","",'Option 1'!G205)</f>
        <v>0</v>
      </c>
      <c r="H205" s="184">
        <f>IF('Option 1'!H205="","",'Option 1'!H205)</f>
        <v>110000</v>
      </c>
      <c r="I205" s="184" t="str">
        <f>IF('Option 1'!I205="","",'Option 1'!I205)</f>
        <v/>
      </c>
      <c r="J205" s="184" t="str">
        <f>IF('Option 1'!J205="","",'Option 1'!J205)</f>
        <v/>
      </c>
      <c r="K205" s="184" t="str">
        <f>IF('Option 1'!K205="","",'Option 1'!K205)</f>
        <v/>
      </c>
      <c r="L205" s="184" t="str">
        <f>IF('Option 1'!L205="","",'Option 1'!L205)</f>
        <v/>
      </c>
      <c r="M205" s="184" t="str">
        <f>IF('Option 1'!M205="","",'Option 1'!M205)</f>
        <v/>
      </c>
      <c r="N205" s="184" t="str">
        <f>IF('Option 1'!N205="","",'Option 1'!N205)</f>
        <v/>
      </c>
      <c r="O205" s="184" t="str">
        <f>IF('Option 1'!O205="","",'Option 1'!O205)</f>
        <v/>
      </c>
      <c r="P205" s="124">
        <f t="shared" si="10"/>
        <v>110000</v>
      </c>
    </row>
    <row r="206" spans="1:16" ht="15.75" customHeight="1" x14ac:dyDescent="0.25">
      <c r="A206" s="239"/>
      <c r="B206" s="4" t="str">
        <f>IF('Option 1'!B206="","",'Option 1'!B206)</f>
        <v/>
      </c>
      <c r="C206" s="188" t="str">
        <f>IF('Option 1'!C206="","",'Option 1'!C206)</f>
        <v>Elevator Replacement Cylinders (Bldg. 1605)</v>
      </c>
      <c r="D206" s="186" t="str">
        <f>IF('Option 1'!D206="","",'Option 1'!D206)</f>
        <v/>
      </c>
      <c r="E206" s="184" t="str">
        <f>IF('Option 1'!E206="","",'Option 1'!E206)</f>
        <v/>
      </c>
      <c r="F206" s="184" t="str">
        <f>IF('Option 1'!F206="","",'Option 1'!F206)</f>
        <v/>
      </c>
      <c r="G206" s="184" t="str">
        <f>IF('Option 1'!G206="","",'Option 1'!G206)</f>
        <v/>
      </c>
      <c r="H206" s="184">
        <f>IF('Option 1'!H206="","",'Option 1'!H206)</f>
        <v>0</v>
      </c>
      <c r="I206" s="184">
        <f>IF('Option 1'!I206="","",'Option 1'!I206)</f>
        <v>110000</v>
      </c>
      <c r="J206" s="184" t="str">
        <f>IF('Option 1'!J206="","",'Option 1'!J206)</f>
        <v/>
      </c>
      <c r="K206" s="184" t="str">
        <f>IF('Option 1'!K206="","",'Option 1'!K206)</f>
        <v/>
      </c>
      <c r="L206" s="184" t="str">
        <f>IF('Option 1'!L206="","",'Option 1'!L206)</f>
        <v/>
      </c>
      <c r="M206" s="184" t="str">
        <f>IF('Option 1'!M206="","",'Option 1'!M206)</f>
        <v/>
      </c>
      <c r="N206" s="184" t="str">
        <f>IF('Option 1'!N206="","",'Option 1'!N206)</f>
        <v/>
      </c>
      <c r="O206" s="184" t="str">
        <f>IF('Option 1'!O206="","",'Option 1'!O206)</f>
        <v/>
      </c>
      <c r="P206" s="124">
        <f t="shared" si="10"/>
        <v>110000</v>
      </c>
    </row>
    <row r="207" spans="1:16" ht="15.75" customHeight="1" x14ac:dyDescent="0.25">
      <c r="A207" s="239"/>
      <c r="B207" s="4" t="str">
        <f>IF('Option 1'!B207="","",'Option 1'!B207)</f>
        <v/>
      </c>
      <c r="C207" s="188" t="str">
        <f>IF('Option 1'!C207="","",'Option 1'!C207)</f>
        <v>Elevator Replacement Cylinders (Bldg. 1615)</v>
      </c>
      <c r="D207" s="186" t="str">
        <f>IF('Option 1'!D207="","",'Option 1'!D207)</f>
        <v/>
      </c>
      <c r="E207" s="184" t="str">
        <f>IF('Option 1'!E207="","",'Option 1'!E207)</f>
        <v/>
      </c>
      <c r="F207" s="184" t="str">
        <f>IF('Option 1'!F207="","",'Option 1'!F207)</f>
        <v/>
      </c>
      <c r="G207" s="184" t="str">
        <f>IF('Option 1'!G207="","",'Option 1'!G207)</f>
        <v/>
      </c>
      <c r="H207" s="184" t="str">
        <f>IF('Option 1'!H207="","",'Option 1'!H207)</f>
        <v/>
      </c>
      <c r="I207" s="184">
        <f>IF('Option 1'!I207="","",'Option 1'!I207)</f>
        <v>0</v>
      </c>
      <c r="J207" s="184">
        <f>IF('Option 1'!J207="","",'Option 1'!J207)</f>
        <v>110000</v>
      </c>
      <c r="K207" s="184" t="str">
        <f>IF('Option 1'!K207="","",'Option 1'!K207)</f>
        <v/>
      </c>
      <c r="L207" s="184" t="str">
        <f>IF('Option 1'!L207="","",'Option 1'!L207)</f>
        <v/>
      </c>
      <c r="M207" s="184" t="str">
        <f>IF('Option 1'!M207="","",'Option 1'!M207)</f>
        <v/>
      </c>
      <c r="N207" s="184" t="str">
        <f>IF('Option 1'!N207="","",'Option 1'!N207)</f>
        <v/>
      </c>
      <c r="O207" s="184" t="str">
        <f>IF('Option 1'!O207="","",'Option 1'!O207)</f>
        <v/>
      </c>
      <c r="P207" s="124">
        <f t="shared" si="10"/>
        <v>110000</v>
      </c>
    </row>
    <row r="208" spans="1:16" ht="15.75" customHeight="1" x14ac:dyDescent="0.25">
      <c r="A208" s="239"/>
      <c r="B208" s="4" t="str">
        <f>IF('Option 1'!B208="","",'Option 1'!B208)</f>
        <v/>
      </c>
      <c r="C208" s="188" t="str">
        <f>IF('Option 1'!C208="","",'Option 1'!C208)</f>
        <v>Core HVAC Units - 1515 &amp; 1615 East, 1415 &amp; 1615 West</v>
      </c>
      <c r="D208" s="186" t="str">
        <f>IF('Option 1'!D208="","",'Option 1'!D208)</f>
        <v/>
      </c>
      <c r="E208" s="184">
        <f>IF('Option 1'!E208="","",'Option 1'!E208)</f>
        <v>44284</v>
      </c>
      <c r="F208" s="184" t="str">
        <f>IF('Option 1'!F208="","",'Option 1'!F208)</f>
        <v/>
      </c>
      <c r="G208" s="184" t="str">
        <f>IF('Option 1'!G208="","",'Option 1'!G208)</f>
        <v/>
      </c>
      <c r="H208" s="184" t="str">
        <f>IF('Option 1'!H208="","",'Option 1'!H208)</f>
        <v/>
      </c>
      <c r="I208" s="184" t="str">
        <f>IF('Option 1'!I208="","",'Option 1'!I208)</f>
        <v/>
      </c>
      <c r="J208" s="184" t="str">
        <f>IF('Option 1'!J208="","",'Option 1'!J208)</f>
        <v/>
      </c>
      <c r="K208" s="184" t="str">
        <f>IF('Option 1'!K208="","",'Option 1'!K208)</f>
        <v/>
      </c>
      <c r="L208" s="184" t="str">
        <f>IF('Option 1'!L208="","",'Option 1'!L208)</f>
        <v/>
      </c>
      <c r="M208" s="184" t="str">
        <f>IF('Option 1'!M208="","",'Option 1'!M208)</f>
        <v/>
      </c>
      <c r="N208" s="184" t="str">
        <f>IF('Option 1'!N208="","",'Option 1'!N208)</f>
        <v/>
      </c>
      <c r="O208" s="184" t="str">
        <f>IF('Option 1'!O208="","",'Option 1'!O208)</f>
        <v/>
      </c>
      <c r="P208" s="124">
        <f t="shared" si="10"/>
        <v>44284</v>
      </c>
    </row>
    <row r="209" spans="1:16" ht="15.75" customHeight="1" x14ac:dyDescent="0.25">
      <c r="A209" s="239"/>
      <c r="B209" s="4" t="str">
        <f>IF('Option 1'!B209="","",'Option 1'!B209)</f>
        <v/>
      </c>
      <c r="C209" s="188" t="str">
        <f>IF('Option 1'!C209="","",'Option 1'!C209)</f>
        <v>Core HVAC Unit - 1515 West</v>
      </c>
      <c r="D209" s="186" t="str">
        <f>IF('Option 1'!D209="","",'Option 1'!D209)</f>
        <v/>
      </c>
      <c r="E209" s="184" t="str">
        <f>IF('Option 1'!E209="","",'Option 1'!E209)</f>
        <v/>
      </c>
      <c r="F209" s="184">
        <f>IF('Option 1'!F209="","",'Option 1'!F209)</f>
        <v>11071</v>
      </c>
      <c r="G209" s="184" t="str">
        <f>IF('Option 1'!G209="","",'Option 1'!G209)</f>
        <v/>
      </c>
      <c r="H209" s="184" t="str">
        <f>IF('Option 1'!H209="","",'Option 1'!H209)</f>
        <v/>
      </c>
      <c r="I209" s="184" t="str">
        <f>IF('Option 1'!I209="","",'Option 1'!I209)</f>
        <v/>
      </c>
      <c r="J209" s="184" t="str">
        <f>IF('Option 1'!J209="","",'Option 1'!J209)</f>
        <v/>
      </c>
      <c r="K209" s="184" t="str">
        <f>IF('Option 1'!K209="","",'Option 1'!K209)</f>
        <v/>
      </c>
      <c r="L209" s="184" t="str">
        <f>IF('Option 1'!L209="","",'Option 1'!L209)</f>
        <v/>
      </c>
      <c r="M209" s="184" t="str">
        <f>IF('Option 1'!M209="","",'Option 1'!M209)</f>
        <v/>
      </c>
      <c r="N209" s="184" t="str">
        <f>IF('Option 1'!N209="","",'Option 1'!N209)</f>
        <v/>
      </c>
      <c r="O209" s="184" t="str">
        <f>IF('Option 1'!O209="","",'Option 1'!O209)</f>
        <v/>
      </c>
      <c r="P209" s="124">
        <f t="shared" si="10"/>
        <v>11071</v>
      </c>
    </row>
    <row r="210" spans="1:16" ht="15.75" customHeight="1" x14ac:dyDescent="0.25">
      <c r="A210" s="239"/>
      <c r="B210" s="4" t="str">
        <f>IF('Option 1'!B210="","",'Option 1'!B210)</f>
        <v/>
      </c>
      <c r="C210" s="188" t="str">
        <f>IF('Option 1'!C210="","",'Option 1'!C210)</f>
        <v>Core HVAC Unit - 1415 East</v>
      </c>
      <c r="D210" s="186" t="str">
        <f>IF('Option 1'!D210="","",'Option 1'!D210)</f>
        <v/>
      </c>
      <c r="E210" s="184" t="str">
        <f>IF('Option 1'!E210="","",'Option 1'!E210)</f>
        <v/>
      </c>
      <c r="F210" s="184" t="str">
        <f>IF('Option 1'!F210="","",'Option 1'!F210)</f>
        <v/>
      </c>
      <c r="G210" s="184" t="str">
        <f>IF('Option 1'!G210="","",'Option 1'!G210)</f>
        <v/>
      </c>
      <c r="H210" s="184" t="str">
        <f>IF('Option 1'!H210="","",'Option 1'!H210)</f>
        <v/>
      </c>
      <c r="I210" s="184">
        <f>IF('Option 1'!I210="","",'Option 1'!I210)</f>
        <v>11071</v>
      </c>
      <c r="J210" s="184" t="str">
        <f>IF('Option 1'!J210="","",'Option 1'!J210)</f>
        <v/>
      </c>
      <c r="K210" s="184" t="str">
        <f>IF('Option 1'!K210="","",'Option 1'!K210)</f>
        <v/>
      </c>
      <c r="L210" s="184" t="str">
        <f>IF('Option 1'!L210="","",'Option 1'!L210)</f>
        <v/>
      </c>
      <c r="M210" s="184" t="str">
        <f>IF('Option 1'!M210="","",'Option 1'!M210)</f>
        <v/>
      </c>
      <c r="N210" s="184" t="str">
        <f>IF('Option 1'!N210="","",'Option 1'!N210)</f>
        <v/>
      </c>
      <c r="O210" s="184" t="str">
        <f>IF('Option 1'!O210="","",'Option 1'!O210)</f>
        <v/>
      </c>
      <c r="P210" s="124">
        <f t="shared" si="10"/>
        <v>11071</v>
      </c>
    </row>
    <row r="211" spans="1:16" ht="15.75" customHeight="1" x14ac:dyDescent="0.25">
      <c r="A211" s="239"/>
      <c r="B211" s="4" t="str">
        <f>IF('Option 1'!B211="","",'Option 1'!B211)</f>
        <v/>
      </c>
      <c r="C211" s="188" t="str">
        <f>IF('Option 1'!C211="","",'Option 1'!C211)</f>
        <v>Core HVAC Units - 1605 East &amp; West</v>
      </c>
      <c r="D211" s="186" t="str">
        <f>IF('Option 1'!D211="","",'Option 1'!D211)</f>
        <v/>
      </c>
      <c r="E211" s="184" t="str">
        <f>IF('Option 1'!E211="","",'Option 1'!E211)</f>
        <v/>
      </c>
      <c r="F211" s="184" t="str">
        <f>IF('Option 1'!F211="","",'Option 1'!F211)</f>
        <v/>
      </c>
      <c r="G211" s="184" t="str">
        <f>IF('Option 1'!G211="","",'Option 1'!G211)</f>
        <v/>
      </c>
      <c r="H211" s="184" t="str">
        <f>IF('Option 1'!H211="","",'Option 1'!H211)</f>
        <v/>
      </c>
      <c r="I211" s="184" t="str">
        <f>IF('Option 1'!I211="","",'Option 1'!I211)</f>
        <v/>
      </c>
      <c r="J211" s="184">
        <f>IF('Option 1'!J211="","",'Option 1'!J211)</f>
        <v>22142</v>
      </c>
      <c r="K211" s="184" t="str">
        <f>IF('Option 1'!K211="","",'Option 1'!K211)</f>
        <v/>
      </c>
      <c r="L211" s="184" t="str">
        <f>IF('Option 1'!L211="","",'Option 1'!L211)</f>
        <v/>
      </c>
      <c r="M211" s="184" t="str">
        <f>IF('Option 1'!M211="","",'Option 1'!M211)</f>
        <v/>
      </c>
      <c r="N211" s="184" t="str">
        <f>IF('Option 1'!N211="","",'Option 1'!N211)</f>
        <v/>
      </c>
      <c r="O211" s="184" t="str">
        <f>IF('Option 1'!O211="","",'Option 1'!O211)</f>
        <v/>
      </c>
      <c r="P211" s="124">
        <f t="shared" si="10"/>
        <v>22142</v>
      </c>
    </row>
    <row r="212" spans="1:16" ht="15.75" customHeight="1" x14ac:dyDescent="0.25">
      <c r="A212" s="239"/>
      <c r="B212" s="4" t="str">
        <f>IF('Option 1'!B212="","",'Option 1'!B212)</f>
        <v/>
      </c>
      <c r="C212" s="188" t="str">
        <f>IF('Option 1'!C212="","",'Option 1'!C212)</f>
        <v>Core HVAC Unit - 1405 East</v>
      </c>
      <c r="D212" s="186" t="str">
        <f>IF('Option 1'!D212="","",'Option 1'!D212)</f>
        <v/>
      </c>
      <c r="E212" s="184" t="str">
        <f>IF('Option 1'!E212="","",'Option 1'!E212)</f>
        <v/>
      </c>
      <c r="F212" s="184" t="str">
        <f>IF('Option 1'!F212="","",'Option 1'!F212)</f>
        <v/>
      </c>
      <c r="G212" s="184" t="str">
        <f>IF('Option 1'!G212="","",'Option 1'!G212)</f>
        <v/>
      </c>
      <c r="H212" s="184" t="str">
        <f>IF('Option 1'!H212="","",'Option 1'!H212)</f>
        <v/>
      </c>
      <c r="I212" s="184" t="str">
        <f>IF('Option 1'!I212="","",'Option 1'!I212)</f>
        <v/>
      </c>
      <c r="J212" s="184" t="str">
        <f>IF('Option 1'!J212="","",'Option 1'!J212)</f>
        <v/>
      </c>
      <c r="K212" s="184">
        <f>IF('Option 1'!K212="","",'Option 1'!K212)</f>
        <v>11071</v>
      </c>
      <c r="L212" s="184" t="str">
        <f>IF('Option 1'!L212="","",'Option 1'!L212)</f>
        <v/>
      </c>
      <c r="M212" s="184" t="str">
        <f>IF('Option 1'!M212="","",'Option 1'!M212)</f>
        <v/>
      </c>
      <c r="N212" s="184" t="str">
        <f>IF('Option 1'!N212="","",'Option 1'!N212)</f>
        <v/>
      </c>
      <c r="O212" s="184" t="str">
        <f>IF('Option 1'!O212="","",'Option 1'!O212)</f>
        <v/>
      </c>
      <c r="P212" s="124">
        <f t="shared" si="10"/>
        <v>11071</v>
      </c>
    </row>
    <row r="213" spans="1:16" ht="15.75" customHeight="1" x14ac:dyDescent="0.25">
      <c r="A213" s="239"/>
      <c r="B213" s="4" t="str">
        <f>IF('Option 1'!B213="","",'Option 1'!B213)</f>
        <v/>
      </c>
      <c r="C213" s="188" t="str">
        <f>IF('Option 1'!C213="","",'Option 1'!C213)</f>
        <v>Core HVAC Units - 1505 East &amp; West</v>
      </c>
      <c r="D213" s="186" t="str">
        <f>IF('Option 1'!D213="","",'Option 1'!D213)</f>
        <v/>
      </c>
      <c r="E213" s="184" t="str">
        <f>IF('Option 1'!E213="","",'Option 1'!E213)</f>
        <v/>
      </c>
      <c r="F213" s="184" t="str">
        <f>IF('Option 1'!F213="","",'Option 1'!F213)</f>
        <v/>
      </c>
      <c r="G213" s="184" t="str">
        <f>IF('Option 1'!G213="","",'Option 1'!G213)</f>
        <v/>
      </c>
      <c r="H213" s="184" t="str">
        <f>IF('Option 1'!H213="","",'Option 1'!H213)</f>
        <v/>
      </c>
      <c r="I213" s="184" t="str">
        <f>IF('Option 1'!I213="","",'Option 1'!I213)</f>
        <v/>
      </c>
      <c r="J213" s="184" t="str">
        <f>IF('Option 1'!J213="","",'Option 1'!J213)</f>
        <v/>
      </c>
      <c r="K213" s="184" t="str">
        <f>IF('Option 1'!K213="","",'Option 1'!K213)</f>
        <v/>
      </c>
      <c r="L213" s="184">
        <f>IF('Option 1'!L213="","",'Option 1'!L213)</f>
        <v>22142</v>
      </c>
      <c r="M213" s="184" t="str">
        <f>IF('Option 1'!M213="","",'Option 1'!M213)</f>
        <v/>
      </c>
      <c r="N213" s="184" t="str">
        <f>IF('Option 1'!N213="","",'Option 1'!N213)</f>
        <v/>
      </c>
      <c r="O213" s="184" t="str">
        <f>IF('Option 1'!O213="","",'Option 1'!O213)</f>
        <v/>
      </c>
      <c r="P213" s="124">
        <f t="shared" si="10"/>
        <v>22142</v>
      </c>
    </row>
    <row r="214" spans="1:16" ht="15.75" customHeight="1" x14ac:dyDescent="0.25">
      <c r="A214" s="239"/>
      <c r="B214" s="4" t="str">
        <f>IF('Option 1'!B214="","",'Option 1'!B214)</f>
        <v/>
      </c>
      <c r="C214" s="188" t="str">
        <f>IF('Option 1'!C214="","",'Option 1'!C214)</f>
        <v>Core HVAC Unit - 1405 West</v>
      </c>
      <c r="D214" s="186" t="str">
        <f>IF('Option 1'!D214="","",'Option 1'!D214)</f>
        <v/>
      </c>
      <c r="E214" s="184" t="str">
        <f>IF('Option 1'!E214="","",'Option 1'!E214)</f>
        <v/>
      </c>
      <c r="F214" s="184" t="str">
        <f>IF('Option 1'!F214="","",'Option 1'!F214)</f>
        <v/>
      </c>
      <c r="G214" s="184" t="str">
        <f>IF('Option 1'!G214="","",'Option 1'!G214)</f>
        <v/>
      </c>
      <c r="H214" s="184" t="str">
        <f>IF('Option 1'!H214="","",'Option 1'!H214)</f>
        <v/>
      </c>
      <c r="I214" s="184" t="str">
        <f>IF('Option 1'!I214="","",'Option 1'!I214)</f>
        <v/>
      </c>
      <c r="J214" s="184" t="str">
        <f>IF('Option 1'!J214="","",'Option 1'!J214)</f>
        <v/>
      </c>
      <c r="K214" s="184" t="str">
        <f>IF('Option 1'!K214="","",'Option 1'!K214)</f>
        <v/>
      </c>
      <c r="L214" s="184" t="str">
        <f>IF('Option 1'!L214="","",'Option 1'!L214)</f>
        <v/>
      </c>
      <c r="M214" s="184">
        <f>IF('Option 1'!M214="","",'Option 1'!M214)</f>
        <v>11071</v>
      </c>
      <c r="N214" s="184" t="str">
        <f>IF('Option 1'!N214="","",'Option 1'!N214)</f>
        <v/>
      </c>
      <c r="O214" s="184" t="str">
        <f>IF('Option 1'!O214="","",'Option 1'!O214)</f>
        <v/>
      </c>
      <c r="P214" s="124">
        <f t="shared" si="10"/>
        <v>11071</v>
      </c>
    </row>
    <row r="215" spans="1:16" ht="15.75" customHeight="1" x14ac:dyDescent="0.25">
      <c r="A215" s="239"/>
      <c r="B215" s="4" t="str">
        <f>IF('Option 1'!B215="","",'Option 1'!B215)</f>
        <v/>
      </c>
      <c r="C215" s="188" t="str">
        <f>IF('Option 1'!C215="","",'Option 1'!C215)</f>
        <v>HVAC Units - 1605 B &amp; C, &amp; 1515 A &amp; B Wings</v>
      </c>
      <c r="D215" s="186">
        <f>IF('Option 1'!D215="","",'Option 1'!D215)</f>
        <v>43643</v>
      </c>
      <c r="E215" s="184" t="str">
        <f>IF('Option 1'!E215="","",'Option 1'!E215)</f>
        <v/>
      </c>
      <c r="F215" s="184" t="str">
        <f>IF('Option 1'!F215="","",'Option 1'!F215)</f>
        <v/>
      </c>
      <c r="G215" s="184" t="str">
        <f>IF('Option 1'!G215="","",'Option 1'!G215)</f>
        <v/>
      </c>
      <c r="H215" s="184" t="str">
        <f>IF('Option 1'!H215="","",'Option 1'!H215)</f>
        <v/>
      </c>
      <c r="I215" s="184" t="str">
        <f>IF('Option 1'!I215="","",'Option 1'!I215)</f>
        <v/>
      </c>
      <c r="J215" s="184" t="str">
        <f>IF('Option 1'!J215="","",'Option 1'!J215)</f>
        <v/>
      </c>
      <c r="K215" s="184" t="str">
        <f>IF('Option 1'!K215="","",'Option 1'!K215)</f>
        <v/>
      </c>
      <c r="L215" s="184" t="str">
        <f>IF('Option 1'!L215="","",'Option 1'!L215)</f>
        <v/>
      </c>
      <c r="M215" s="184" t="str">
        <f>IF('Option 1'!M215="","",'Option 1'!M215)</f>
        <v/>
      </c>
      <c r="N215" s="184" t="str">
        <f>IF('Option 1'!N215="","",'Option 1'!N215)</f>
        <v/>
      </c>
      <c r="O215" s="184" t="str">
        <f>IF('Option 1'!O215="","",'Option 1'!O215)</f>
        <v/>
      </c>
      <c r="P215" s="124">
        <f t="shared" si="10"/>
        <v>43643</v>
      </c>
    </row>
    <row r="216" spans="1:16" ht="15.75" customHeight="1" x14ac:dyDescent="0.25">
      <c r="A216" s="239"/>
      <c r="B216" s="4" t="str">
        <f>IF('Option 1'!B216="","",'Option 1'!B216)</f>
        <v/>
      </c>
      <c r="C216" s="188" t="str">
        <f>IF('Option 1'!C216="","",'Option 1'!C216)</f>
        <v>HVAC Units - 1615 B, 1515 C &amp; 1415 C Wings</v>
      </c>
      <c r="D216" s="186" t="str">
        <f>IF('Option 1'!D216="","",'Option 1'!D216)</f>
        <v/>
      </c>
      <c r="E216" s="184" t="str">
        <f>IF('Option 1'!E216="","",'Option 1'!E216)</f>
        <v/>
      </c>
      <c r="F216" s="184">
        <f>IF('Option 1'!F216="","",'Option 1'!F216)</f>
        <v>22500</v>
      </c>
      <c r="G216" s="184" t="str">
        <f>IF('Option 1'!G216="","",'Option 1'!G216)</f>
        <v/>
      </c>
      <c r="H216" s="184" t="str">
        <f>IF('Option 1'!H216="","",'Option 1'!H216)</f>
        <v/>
      </c>
      <c r="I216" s="184" t="str">
        <f>IF('Option 1'!I216="","",'Option 1'!I216)</f>
        <v/>
      </c>
      <c r="J216" s="184" t="str">
        <f>IF('Option 1'!J216="","",'Option 1'!J216)</f>
        <v/>
      </c>
      <c r="K216" s="184" t="str">
        <f>IF('Option 1'!K216="","",'Option 1'!K216)</f>
        <v/>
      </c>
      <c r="L216" s="184" t="str">
        <f>IF('Option 1'!L216="","",'Option 1'!L216)</f>
        <v/>
      </c>
      <c r="M216" s="184" t="str">
        <f>IF('Option 1'!M216="","",'Option 1'!M216)</f>
        <v/>
      </c>
      <c r="N216" s="184" t="str">
        <f>IF('Option 1'!N216="","",'Option 1'!N216)</f>
        <v/>
      </c>
      <c r="O216" s="184" t="str">
        <f>IF('Option 1'!O216="","",'Option 1'!O216)</f>
        <v/>
      </c>
      <c r="P216" s="124">
        <f t="shared" si="10"/>
        <v>22500</v>
      </c>
    </row>
    <row r="217" spans="1:16" ht="15.75" customHeight="1" x14ac:dyDescent="0.25">
      <c r="A217" s="239"/>
      <c r="B217" s="4" t="str">
        <f>IF('Option 1'!B217="","",'Option 1'!B217)</f>
        <v/>
      </c>
      <c r="C217" s="188" t="str">
        <f>IF('Option 1'!C217="","",'Option 1'!C217)</f>
        <v>HVAC Units - 1615 A &amp; 1605 A Wing</v>
      </c>
      <c r="D217" s="186" t="str">
        <f>IF('Option 1'!D217="","",'Option 1'!D217)</f>
        <v/>
      </c>
      <c r="E217" s="184" t="str">
        <f>IF('Option 1'!E217="","",'Option 1'!E217)</f>
        <v/>
      </c>
      <c r="F217" s="184" t="str">
        <f>IF('Option 1'!F217="","",'Option 1'!F217)</f>
        <v/>
      </c>
      <c r="G217" s="184">
        <f>IF('Option 1'!G217="","",'Option 1'!G217)</f>
        <v>15000</v>
      </c>
      <c r="H217" s="184" t="str">
        <f>IF('Option 1'!H217="","",'Option 1'!H217)</f>
        <v/>
      </c>
      <c r="I217" s="184" t="str">
        <f>IF('Option 1'!I217="","",'Option 1'!I217)</f>
        <v/>
      </c>
      <c r="J217" s="184" t="str">
        <f>IF('Option 1'!J217="","",'Option 1'!J217)</f>
        <v/>
      </c>
      <c r="K217" s="184" t="str">
        <f>IF('Option 1'!K217="","",'Option 1'!K217)</f>
        <v/>
      </c>
      <c r="L217" s="184" t="str">
        <f>IF('Option 1'!L217="","",'Option 1'!L217)</f>
        <v/>
      </c>
      <c r="M217" s="184" t="str">
        <f>IF('Option 1'!M217="","",'Option 1'!M217)</f>
        <v/>
      </c>
      <c r="N217" s="184" t="str">
        <f>IF('Option 1'!N217="","",'Option 1'!N217)</f>
        <v/>
      </c>
      <c r="O217" s="184" t="str">
        <f>IF('Option 1'!O217="","",'Option 1'!O217)</f>
        <v/>
      </c>
      <c r="P217" s="124">
        <f t="shared" ref="P217:P234" si="11">IF(SUM(D217:O217)=0,0,SUM(D217:O217))</f>
        <v>15000</v>
      </c>
    </row>
    <row r="218" spans="1:16" ht="15.75" customHeight="1" x14ac:dyDescent="0.25">
      <c r="A218" s="239"/>
      <c r="B218" s="4" t="str">
        <f>IF('Option 1'!B218="","",'Option 1'!B218)</f>
        <v/>
      </c>
      <c r="C218" s="188" t="str">
        <f>IF('Option 1'!C218="","",'Option 1'!C218)</f>
        <v>HVAC Unit - 1415 B Wing</v>
      </c>
      <c r="D218" s="186" t="str">
        <f>IF('Option 1'!D218="","",'Option 1'!D218)</f>
        <v/>
      </c>
      <c r="E218" s="184" t="str">
        <f>IF('Option 1'!E218="","",'Option 1'!E218)</f>
        <v/>
      </c>
      <c r="F218" s="184" t="str">
        <f>IF('Option 1'!F218="","",'Option 1'!F218)</f>
        <v/>
      </c>
      <c r="G218" s="184" t="str">
        <f>IF('Option 1'!G218="","",'Option 1'!G218)</f>
        <v/>
      </c>
      <c r="H218" s="184" t="str">
        <f>IF('Option 1'!H218="","",'Option 1'!H218)</f>
        <v/>
      </c>
      <c r="I218" s="184">
        <f>IF('Option 1'!I218="","",'Option 1'!I218)</f>
        <v>7500</v>
      </c>
      <c r="J218" s="184" t="str">
        <f>IF('Option 1'!J218="","",'Option 1'!J218)</f>
        <v/>
      </c>
      <c r="K218" s="184" t="str">
        <f>IF('Option 1'!K218="","",'Option 1'!K218)</f>
        <v/>
      </c>
      <c r="L218" s="184" t="str">
        <f>IF('Option 1'!L218="","",'Option 1'!L218)</f>
        <v/>
      </c>
      <c r="M218" s="184" t="str">
        <f>IF('Option 1'!M218="","",'Option 1'!M218)</f>
        <v/>
      </c>
      <c r="N218" s="184" t="str">
        <f>IF('Option 1'!N218="","",'Option 1'!N218)</f>
        <v/>
      </c>
      <c r="O218" s="184" t="str">
        <f>IF('Option 1'!O218="","",'Option 1'!O218)</f>
        <v/>
      </c>
      <c r="P218" s="124">
        <f t="shared" si="11"/>
        <v>7500</v>
      </c>
    </row>
    <row r="219" spans="1:16" ht="15.75" customHeight="1" x14ac:dyDescent="0.25">
      <c r="A219" s="239"/>
      <c r="B219" s="4" t="str">
        <f>IF('Option 1'!B219="","",'Option 1'!B219)</f>
        <v/>
      </c>
      <c r="C219" s="188" t="str">
        <f>IF('Option 1'!C219="","",'Option 1'!C219)</f>
        <v>HVAC Unit - 1615 C Wing</v>
      </c>
      <c r="D219" s="186" t="str">
        <f>IF('Option 1'!D219="","",'Option 1'!D219)</f>
        <v/>
      </c>
      <c r="E219" s="184" t="str">
        <f>IF('Option 1'!E219="","",'Option 1'!E219)</f>
        <v/>
      </c>
      <c r="F219" s="184" t="str">
        <f>IF('Option 1'!F219="","",'Option 1'!F219)</f>
        <v/>
      </c>
      <c r="G219" s="184" t="str">
        <f>IF('Option 1'!G219="","",'Option 1'!G219)</f>
        <v/>
      </c>
      <c r="H219" s="184" t="str">
        <f>IF('Option 1'!H219="","",'Option 1'!H219)</f>
        <v/>
      </c>
      <c r="I219" s="184" t="str">
        <f>IF('Option 1'!I219="","",'Option 1'!I219)</f>
        <v/>
      </c>
      <c r="J219" s="184">
        <f>IF('Option 1'!J219="","",'Option 1'!J219)</f>
        <v>7500</v>
      </c>
      <c r="K219" s="184" t="str">
        <f>IF('Option 1'!K219="","",'Option 1'!K219)</f>
        <v/>
      </c>
      <c r="L219" s="184" t="str">
        <f>IF('Option 1'!L219="","",'Option 1'!L219)</f>
        <v/>
      </c>
      <c r="M219" s="184" t="str">
        <f>IF('Option 1'!M219="","",'Option 1'!M219)</f>
        <v/>
      </c>
      <c r="N219" s="184" t="str">
        <f>IF('Option 1'!N219="","",'Option 1'!N219)</f>
        <v/>
      </c>
      <c r="O219" s="184" t="str">
        <f>IF('Option 1'!O219="","",'Option 1'!O219)</f>
        <v/>
      </c>
      <c r="P219" s="124">
        <f t="shared" si="11"/>
        <v>7500</v>
      </c>
    </row>
    <row r="220" spans="1:16" ht="15.75" customHeight="1" x14ac:dyDescent="0.25">
      <c r="A220" s="239"/>
      <c r="B220" s="4" t="str">
        <f>IF('Option 1'!B220="","",'Option 1'!B220)</f>
        <v/>
      </c>
      <c r="C220" s="188" t="str">
        <f>IF('Option 1'!C220="","",'Option 1'!C220)</f>
        <v>HVAC Units - 1405 B &amp; C Wings</v>
      </c>
      <c r="D220" s="186" t="str">
        <f>IF('Option 1'!D220="","",'Option 1'!D220)</f>
        <v/>
      </c>
      <c r="E220" s="184" t="str">
        <f>IF('Option 1'!E220="","",'Option 1'!E220)</f>
        <v/>
      </c>
      <c r="F220" s="184" t="str">
        <f>IF('Option 1'!F220="","",'Option 1'!F220)</f>
        <v/>
      </c>
      <c r="G220" s="184" t="str">
        <f>IF('Option 1'!G220="","",'Option 1'!G220)</f>
        <v/>
      </c>
      <c r="H220" s="184" t="str">
        <f>IF('Option 1'!H220="","",'Option 1'!H220)</f>
        <v/>
      </c>
      <c r="I220" s="184" t="str">
        <f>IF('Option 1'!I220="","",'Option 1'!I220)</f>
        <v/>
      </c>
      <c r="J220" s="184" t="str">
        <f>IF('Option 1'!J220="","",'Option 1'!J220)</f>
        <v/>
      </c>
      <c r="K220" s="184">
        <f>IF('Option 1'!K220="","",'Option 1'!K220)</f>
        <v>15000</v>
      </c>
      <c r="L220" s="184" t="str">
        <f>IF('Option 1'!L220="","",'Option 1'!L220)</f>
        <v/>
      </c>
      <c r="M220" s="184" t="str">
        <f>IF('Option 1'!M220="","",'Option 1'!M220)</f>
        <v/>
      </c>
      <c r="N220" s="184" t="str">
        <f>IF('Option 1'!N220="","",'Option 1'!N220)</f>
        <v/>
      </c>
      <c r="O220" s="184" t="str">
        <f>IF('Option 1'!O220="","",'Option 1'!O220)</f>
        <v/>
      </c>
      <c r="P220" s="124">
        <f t="shared" si="11"/>
        <v>15000</v>
      </c>
    </row>
    <row r="221" spans="1:16" ht="15.75" customHeight="1" x14ac:dyDescent="0.25">
      <c r="A221" s="239"/>
      <c r="B221" s="4" t="str">
        <f>IF('Option 1'!B221="","",'Option 1'!B221)</f>
        <v/>
      </c>
      <c r="C221" s="188" t="str">
        <f>IF('Option 1'!C221="","",'Option 1'!C221)</f>
        <v>HVAC Units - 1505 A &amp; B, 1415 A, &amp; 1405 A Wings</v>
      </c>
      <c r="D221" s="186" t="str">
        <f>IF('Option 1'!D221="","",'Option 1'!D221)</f>
        <v/>
      </c>
      <c r="E221" s="184" t="str">
        <f>IF('Option 1'!E221="","",'Option 1'!E221)</f>
        <v/>
      </c>
      <c r="F221" s="184" t="str">
        <f>IF('Option 1'!F221="","",'Option 1'!F221)</f>
        <v/>
      </c>
      <c r="G221" s="184" t="str">
        <f>IF('Option 1'!G221="","",'Option 1'!G221)</f>
        <v/>
      </c>
      <c r="H221" s="184" t="str">
        <f>IF('Option 1'!H221="","",'Option 1'!H221)</f>
        <v/>
      </c>
      <c r="I221" s="184" t="str">
        <f>IF('Option 1'!I221="","",'Option 1'!I221)</f>
        <v/>
      </c>
      <c r="J221" s="184" t="str">
        <f>IF('Option 1'!J221="","",'Option 1'!J221)</f>
        <v/>
      </c>
      <c r="K221" s="184" t="str">
        <f>IF('Option 1'!K221="","",'Option 1'!K221)</f>
        <v/>
      </c>
      <c r="L221" s="184">
        <f>IF('Option 1'!L221="","",'Option 1'!L221)</f>
        <v>30000</v>
      </c>
      <c r="M221" s="184" t="str">
        <f>IF('Option 1'!M221="","",'Option 1'!M221)</f>
        <v/>
      </c>
      <c r="N221" s="184" t="str">
        <f>IF('Option 1'!N221="","",'Option 1'!N221)</f>
        <v/>
      </c>
      <c r="O221" s="184" t="str">
        <f>IF('Option 1'!O221="","",'Option 1'!O221)</f>
        <v/>
      </c>
      <c r="P221" s="124">
        <f t="shared" si="11"/>
        <v>30000</v>
      </c>
    </row>
    <row r="222" spans="1:16" ht="15.75" customHeight="1" x14ac:dyDescent="0.25">
      <c r="A222" s="239"/>
      <c r="B222" s="4" t="str">
        <f>IF('Option 1'!B222="","",'Option 1'!B222)</f>
        <v/>
      </c>
      <c r="C222" s="188" t="str">
        <f>IF('Option 1'!C222="","",'Option 1'!C222)</f>
        <v>Boiler Stacks</v>
      </c>
      <c r="D222" s="186">
        <f>IF('Option 1'!D222="","",'Option 1'!D222)</f>
        <v>31480</v>
      </c>
      <c r="E222" s="184" t="str">
        <f>IF('Option 1'!E222="","",'Option 1'!E222)</f>
        <v/>
      </c>
      <c r="F222" s="184" t="str">
        <f>IF('Option 1'!F222="","",'Option 1'!F222)</f>
        <v/>
      </c>
      <c r="G222" s="184" t="str">
        <f>IF('Option 1'!G222="","",'Option 1'!G222)</f>
        <v/>
      </c>
      <c r="H222" s="184" t="str">
        <f>IF('Option 1'!H222="","",'Option 1'!H222)</f>
        <v/>
      </c>
      <c r="I222" s="184" t="str">
        <f>IF('Option 1'!I222="","",'Option 1'!I222)</f>
        <v/>
      </c>
      <c r="J222" s="184" t="str">
        <f>IF('Option 1'!J222="","",'Option 1'!J222)</f>
        <v/>
      </c>
      <c r="K222" s="184" t="str">
        <f>IF('Option 1'!K222="","",'Option 1'!K222)</f>
        <v/>
      </c>
      <c r="L222" s="184" t="str">
        <f>IF('Option 1'!L222="","",'Option 1'!L222)</f>
        <v/>
      </c>
      <c r="M222" s="184" t="str">
        <f>IF('Option 1'!M222="","",'Option 1'!M222)</f>
        <v/>
      </c>
      <c r="N222" s="184" t="str">
        <f>IF('Option 1'!N222="","",'Option 1'!N222)</f>
        <v/>
      </c>
      <c r="O222" s="184" t="str">
        <f>IF('Option 1'!O222="","",'Option 1'!O222)</f>
        <v/>
      </c>
      <c r="P222" s="124">
        <f t="shared" si="11"/>
        <v>31480</v>
      </c>
    </row>
    <row r="223" spans="1:16" ht="15.75" customHeight="1" x14ac:dyDescent="0.25">
      <c r="A223" s="239"/>
      <c r="B223" s="4" t="str">
        <f>IF('Option 1'!B223="","",'Option 1'!B223)</f>
        <v/>
      </c>
      <c r="C223" s="188" t="str">
        <f>IF('Option 1'!C223="","",'Option 1'!C223)</f>
        <v>Boiler Stacks (Bldg. 1415)</v>
      </c>
      <c r="D223" s="186" t="str">
        <f>IF('Option 1'!D223="","",'Option 1'!D223)</f>
        <v/>
      </c>
      <c r="E223" s="184" t="str">
        <f>IF('Option 1'!E223="","",'Option 1'!E223)</f>
        <v/>
      </c>
      <c r="F223" s="184" t="str">
        <f>IF('Option 1'!F223="","",'Option 1'!F223)</f>
        <v/>
      </c>
      <c r="G223" s="184" t="str">
        <f>IF('Option 1'!G223="","",'Option 1'!G223)</f>
        <v/>
      </c>
      <c r="H223" s="184" t="str">
        <f>IF('Option 1'!H223="","",'Option 1'!H223)</f>
        <v/>
      </c>
      <c r="I223" s="184" t="str">
        <f>IF('Option 1'!I223="","",'Option 1'!I223)</f>
        <v/>
      </c>
      <c r="J223" s="184" t="str">
        <f>IF('Option 1'!J223="","",'Option 1'!J223)</f>
        <v/>
      </c>
      <c r="K223" s="184" t="str">
        <f>IF('Option 1'!K223="","",'Option 1'!K223)</f>
        <v/>
      </c>
      <c r="L223" s="184" t="str">
        <f>IF('Option 1'!L223="","",'Option 1'!L223)</f>
        <v/>
      </c>
      <c r="M223" s="184" t="str">
        <f>IF('Option 1'!M223="","",'Option 1'!M223)</f>
        <v/>
      </c>
      <c r="N223" s="184" t="str">
        <f>IF('Option 1'!N223="","",'Option 1'!N223)</f>
        <v/>
      </c>
      <c r="O223" s="184" t="str">
        <f>IF('Option 1'!O223="","",'Option 1'!O223)</f>
        <v/>
      </c>
      <c r="P223" s="124">
        <f t="shared" si="11"/>
        <v>0</v>
      </c>
    </row>
    <row r="224" spans="1:16" ht="15.75" customHeight="1" x14ac:dyDescent="0.25">
      <c r="A224" s="239"/>
      <c r="B224" s="4" t="str">
        <f>IF('Option 1'!B224="","",'Option 1'!B224)</f>
        <v/>
      </c>
      <c r="C224" s="188" t="str">
        <f>IF('Option 1'!C224="","",'Option 1'!C224)</f>
        <v>Hot Water Storage Tanks</v>
      </c>
      <c r="D224" s="186" t="str">
        <f>IF('Option 1'!D224="","",'Option 1'!D224)</f>
        <v/>
      </c>
      <c r="E224" s="184" t="str">
        <f>IF('Option 1'!E224="","",'Option 1'!E224)</f>
        <v/>
      </c>
      <c r="F224" s="184" t="str">
        <f>IF('Option 1'!F224="","",'Option 1'!F224)</f>
        <v/>
      </c>
      <c r="G224" s="184" t="str">
        <f>IF('Option 1'!G224="","",'Option 1'!G224)</f>
        <v/>
      </c>
      <c r="H224" s="184" t="str">
        <f>IF('Option 1'!H224="","",'Option 1'!H224)</f>
        <v/>
      </c>
      <c r="I224" s="184" t="str">
        <f>IF('Option 1'!I224="","",'Option 1'!I224)</f>
        <v/>
      </c>
      <c r="J224" s="184" t="str">
        <f>IF('Option 1'!J224="","",'Option 1'!J224)</f>
        <v/>
      </c>
      <c r="K224" s="184">
        <f>IF('Option 1'!K224="","",'Option 1'!K224)</f>
        <v>148075</v>
      </c>
      <c r="L224" s="184" t="str">
        <f>IF('Option 1'!L224="","",'Option 1'!L224)</f>
        <v/>
      </c>
      <c r="M224" s="184" t="str">
        <f>IF('Option 1'!M224="","",'Option 1'!M224)</f>
        <v/>
      </c>
      <c r="N224" s="184" t="str">
        <f>IF('Option 1'!N224="","",'Option 1'!N224)</f>
        <v/>
      </c>
      <c r="O224" s="184" t="str">
        <f>IF('Option 1'!O224="","",'Option 1'!O224)</f>
        <v/>
      </c>
      <c r="P224" s="124">
        <f t="shared" si="11"/>
        <v>148075</v>
      </c>
    </row>
    <row r="225" spans="1:16" ht="15.75" customHeight="1" x14ac:dyDescent="0.25">
      <c r="A225" s="239"/>
      <c r="B225" s="4" t="str">
        <f>IF('Option 1'!B225="","",'Option 1'!B225)</f>
        <v/>
      </c>
      <c r="C225" s="188" t="str">
        <f>IF('Option 1'!C225="","",'Option 1'!C225)</f>
        <v>Circulating Pumps</v>
      </c>
      <c r="D225" s="186">
        <f>IF('Option 1'!D225="","",'Option 1'!D225)</f>
        <v>29061</v>
      </c>
      <c r="E225" s="184" t="str">
        <f>IF('Option 1'!E225="","",'Option 1'!E225)</f>
        <v/>
      </c>
      <c r="F225" s="184" t="str">
        <f>IF('Option 1'!F225="","",'Option 1'!F225)</f>
        <v/>
      </c>
      <c r="G225" s="184" t="str">
        <f>IF('Option 1'!G225="","",'Option 1'!G225)</f>
        <v/>
      </c>
      <c r="H225" s="184" t="str">
        <f>IF('Option 1'!H225="","",'Option 1'!H225)</f>
        <v/>
      </c>
      <c r="I225" s="184" t="str">
        <f>IF('Option 1'!I225="","",'Option 1'!I225)</f>
        <v/>
      </c>
      <c r="J225" s="184" t="str">
        <f>IF('Option 1'!J225="","",'Option 1'!J225)</f>
        <v/>
      </c>
      <c r="K225" s="184" t="str">
        <f>IF('Option 1'!K225="","",'Option 1'!K225)</f>
        <v/>
      </c>
      <c r="L225" s="184" t="str">
        <f>IF('Option 1'!L225="","",'Option 1'!L225)</f>
        <v/>
      </c>
      <c r="M225" s="184" t="str">
        <f>IF('Option 1'!M225="","",'Option 1'!M225)</f>
        <v/>
      </c>
      <c r="N225" s="184">
        <f>IF('Option 1'!N225="","",'Option 1'!N225)</f>
        <v>29061</v>
      </c>
      <c r="O225" s="184" t="str">
        <f>IF('Option 1'!O225="","",'Option 1'!O225)</f>
        <v/>
      </c>
      <c r="P225" s="124">
        <f t="shared" si="11"/>
        <v>58122</v>
      </c>
    </row>
    <row r="226" spans="1:16" ht="15.75" customHeight="1" x14ac:dyDescent="0.25">
      <c r="A226" s="239"/>
      <c r="B226" s="4" t="str">
        <f>IF('Option 1'!B226="","",'Option 1'!B226)</f>
        <v/>
      </c>
      <c r="C226" s="188" t="str">
        <f>IF('Option 1'!C226="","",'Option 1'!C226)</f>
        <v>Sump Pumps</v>
      </c>
      <c r="D226" s="186" t="str">
        <f>IF('Option 1'!D226="","",'Option 1'!D226)</f>
        <v/>
      </c>
      <c r="E226" s="184" t="str">
        <f>IF('Option 1'!E226="","",'Option 1'!E226)</f>
        <v/>
      </c>
      <c r="F226" s="184" t="str">
        <f>IF('Option 1'!F226="","",'Option 1'!F226)</f>
        <v/>
      </c>
      <c r="G226" s="184" t="str">
        <f>IF('Option 1'!G226="","",'Option 1'!G226)</f>
        <v/>
      </c>
      <c r="H226" s="184">
        <f>IF('Option 1'!H226="","",'Option 1'!H226)</f>
        <v>59507</v>
      </c>
      <c r="I226" s="184" t="str">
        <f>IF('Option 1'!I226="","",'Option 1'!I226)</f>
        <v/>
      </c>
      <c r="J226" s="184" t="str">
        <f>IF('Option 1'!J226="","",'Option 1'!J226)</f>
        <v/>
      </c>
      <c r="K226" s="184" t="str">
        <f>IF('Option 1'!K226="","",'Option 1'!K226)</f>
        <v/>
      </c>
      <c r="L226" s="184" t="str">
        <f>IF('Option 1'!L226="","",'Option 1'!L226)</f>
        <v/>
      </c>
      <c r="M226" s="184" t="str">
        <f>IF('Option 1'!M226="","",'Option 1'!M226)</f>
        <v/>
      </c>
      <c r="N226" s="184" t="str">
        <f>IF('Option 1'!N226="","",'Option 1'!N226)</f>
        <v/>
      </c>
      <c r="O226" s="184" t="str">
        <f>IF('Option 1'!O226="","",'Option 1'!O226)</f>
        <v/>
      </c>
      <c r="P226" s="124">
        <f t="shared" si="11"/>
        <v>59507</v>
      </c>
    </row>
    <row r="227" spans="1:16" ht="15.75" customHeight="1" x14ac:dyDescent="0.25">
      <c r="A227" s="239"/>
      <c r="B227" s="4" t="str">
        <f>IF('Option 1'!B227="","",'Option 1'!B227)</f>
        <v/>
      </c>
      <c r="C227" s="188" t="str">
        <f>IF('Option 1'!C227="","",'Option 1'!C227)</f>
        <v>Garage Exhaust Fans</v>
      </c>
      <c r="D227" s="186" t="str">
        <f>IF('Option 1'!D227="","",'Option 1'!D227)</f>
        <v/>
      </c>
      <c r="E227" s="184" t="str">
        <f>IF('Option 1'!E227="","",'Option 1'!E227)</f>
        <v/>
      </c>
      <c r="F227" s="184" t="str">
        <f>IF('Option 1'!F227="","",'Option 1'!F227)</f>
        <v/>
      </c>
      <c r="G227" s="184" t="str">
        <f>IF('Option 1'!G227="","",'Option 1'!G227)</f>
        <v/>
      </c>
      <c r="H227" s="184" t="str">
        <f>IF('Option 1'!H227="","",'Option 1'!H227)</f>
        <v/>
      </c>
      <c r="I227" s="184" t="str">
        <f>IF('Option 1'!I227="","",'Option 1'!I227)</f>
        <v/>
      </c>
      <c r="J227" s="184">
        <f>IF('Option 1'!J227="","",'Option 1'!J227)</f>
        <v>60891</v>
      </c>
      <c r="K227" s="184" t="str">
        <f>IF('Option 1'!K227="","",'Option 1'!K227)</f>
        <v/>
      </c>
      <c r="L227" s="184" t="str">
        <f>IF('Option 1'!L227="","",'Option 1'!L227)</f>
        <v/>
      </c>
      <c r="M227" s="184" t="str">
        <f>IF('Option 1'!M227="","",'Option 1'!M227)</f>
        <v/>
      </c>
      <c r="N227" s="184" t="str">
        <f>IF('Option 1'!N227="","",'Option 1'!N227)</f>
        <v/>
      </c>
      <c r="O227" s="184" t="str">
        <f>IF('Option 1'!O227="","",'Option 1'!O227)</f>
        <v/>
      </c>
      <c r="P227" s="124">
        <f t="shared" si="11"/>
        <v>60891</v>
      </c>
    </row>
    <row r="228" spans="1:16" ht="15.75" customHeight="1" x14ac:dyDescent="0.25">
      <c r="A228" s="239"/>
      <c r="B228" s="4" t="str">
        <f>IF('Option 1'!B228="","",'Option 1'!B228)</f>
        <v/>
      </c>
      <c r="C228" s="188" t="str">
        <f>IF('Option 1'!C228="","",'Option 1'!C228)</f>
        <v>Emergency Generators</v>
      </c>
      <c r="D228" s="186" t="str">
        <f>IF('Option 1'!D228="","",'Option 1'!D228)</f>
        <v/>
      </c>
      <c r="E228" s="184" t="str">
        <f>IF('Option 1'!E228="","",'Option 1'!E228)</f>
        <v/>
      </c>
      <c r="F228" s="184" t="str">
        <f>IF('Option 1'!F228="","",'Option 1'!F228)</f>
        <v/>
      </c>
      <c r="G228" s="184" t="str">
        <f>IF('Option 1'!G228="","",'Option 1'!G228)</f>
        <v/>
      </c>
      <c r="H228" s="184" t="str">
        <f>IF('Option 1'!H228="","",'Option 1'!H228)</f>
        <v/>
      </c>
      <c r="I228" s="184" t="str">
        <f>IF('Option 1'!I228="","",'Option 1'!I228)</f>
        <v/>
      </c>
      <c r="J228" s="184" t="str">
        <f>IF('Option 1'!J228="","",'Option 1'!J228)</f>
        <v/>
      </c>
      <c r="K228" s="184" t="str">
        <f>IF('Option 1'!K228="","",'Option 1'!K228)</f>
        <v/>
      </c>
      <c r="L228" s="184" t="str">
        <f>IF('Option 1'!L228="","",'Option 1'!L228)</f>
        <v/>
      </c>
      <c r="M228" s="184" t="str">
        <f>IF('Option 1'!M228="","",'Option 1'!M228)</f>
        <v/>
      </c>
      <c r="N228" s="184" t="str">
        <f>IF('Option 1'!N228="","",'Option 1'!N228)</f>
        <v/>
      </c>
      <c r="O228" s="184" t="str">
        <f>IF('Option 1'!O228="","",'Option 1'!O228)</f>
        <v/>
      </c>
      <c r="P228" s="124">
        <f t="shared" si="11"/>
        <v>0</v>
      </c>
    </row>
    <row r="229" spans="1:16" ht="15.75" customHeight="1" x14ac:dyDescent="0.25">
      <c r="A229" s="239"/>
      <c r="B229" s="4" t="str">
        <f>IF('Option 1'!B229="","",'Option 1'!B229)</f>
        <v/>
      </c>
      <c r="C229" s="188" t="str">
        <f>IF('Option 1'!C229="","",'Option 1'!C229)</f>
        <v>Fire Pumps/Fire Protection</v>
      </c>
      <c r="D229" s="186" t="str">
        <f>IF('Option 1'!D229="","",'Option 1'!D229)</f>
        <v/>
      </c>
      <c r="E229" s="184" t="str">
        <f>IF('Option 1'!E229="","",'Option 1'!E229)</f>
        <v/>
      </c>
      <c r="F229" s="184" t="str">
        <f>IF('Option 1'!F229="","",'Option 1'!F229)</f>
        <v/>
      </c>
      <c r="G229" s="184" t="str">
        <f>IF('Option 1'!G229="","",'Option 1'!G229)</f>
        <v/>
      </c>
      <c r="H229" s="184" t="str">
        <f>IF('Option 1'!H229="","",'Option 1'!H229)</f>
        <v/>
      </c>
      <c r="I229" s="184" t="str">
        <f>IF('Option 1'!I229="","",'Option 1'!I229)</f>
        <v/>
      </c>
      <c r="J229" s="184" t="str">
        <f>IF('Option 1'!J229="","",'Option 1'!J229)</f>
        <v/>
      </c>
      <c r="K229" s="184" t="str">
        <f>IF('Option 1'!K229="","",'Option 1'!K229)</f>
        <v/>
      </c>
      <c r="L229" s="184" t="str">
        <f>IF('Option 1'!L229="","",'Option 1'!L229)</f>
        <v/>
      </c>
      <c r="M229" s="184" t="str">
        <f>IF('Option 1'!M229="","",'Option 1'!M229)</f>
        <v/>
      </c>
      <c r="N229" s="184" t="str">
        <f>IF('Option 1'!N229="","",'Option 1'!N229)</f>
        <v/>
      </c>
      <c r="O229" s="184" t="str">
        <f>IF('Option 1'!O229="","",'Option 1'!O229)</f>
        <v/>
      </c>
      <c r="P229" s="124">
        <f t="shared" si="11"/>
        <v>0</v>
      </c>
    </row>
    <row r="230" spans="1:16" ht="15.75" customHeight="1" x14ac:dyDescent="0.25">
      <c r="A230" s="239"/>
      <c r="B230" s="4" t="str">
        <f>IF('Option 1'!B230="","",'Option 1'!B230)</f>
        <v/>
      </c>
      <c r="C230" s="188" t="str">
        <f>IF('Option 1'!C230="","",'Option 1'!C230)</f>
        <v/>
      </c>
      <c r="D230" s="186" t="str">
        <f>IF('Option 1'!D230="","",'Option 1'!D230)</f>
        <v/>
      </c>
      <c r="E230" s="184" t="str">
        <f>IF('Option 1'!E230="","",'Option 1'!E230)</f>
        <v/>
      </c>
      <c r="F230" s="184" t="str">
        <f>IF('Option 1'!F230="","",'Option 1'!F230)</f>
        <v/>
      </c>
      <c r="G230" s="184" t="str">
        <f>IF('Option 1'!G230="","",'Option 1'!G230)</f>
        <v/>
      </c>
      <c r="H230" s="184" t="str">
        <f>IF('Option 1'!H230="","",'Option 1'!H230)</f>
        <v/>
      </c>
      <c r="I230" s="184" t="str">
        <f>IF('Option 1'!I230="","",'Option 1'!I230)</f>
        <v/>
      </c>
      <c r="J230" s="184" t="str">
        <f>IF('Option 1'!J230="","",'Option 1'!J230)</f>
        <v/>
      </c>
      <c r="K230" s="184" t="str">
        <f>IF('Option 1'!K230="","",'Option 1'!K230)</f>
        <v/>
      </c>
      <c r="L230" s="184" t="str">
        <f>IF('Option 1'!L230="","",'Option 1'!L230)</f>
        <v/>
      </c>
      <c r="M230" s="184" t="str">
        <f>IF('Option 1'!M230="","",'Option 1'!M230)</f>
        <v/>
      </c>
      <c r="N230" s="184" t="str">
        <f>IF('Option 1'!N230="","",'Option 1'!N230)</f>
        <v/>
      </c>
      <c r="O230" s="184" t="str">
        <f>IF('Option 1'!O230="","",'Option 1'!O230)</f>
        <v/>
      </c>
      <c r="P230" s="124">
        <f t="shared" ref="P230:P233" si="12">IF(SUM(D230:O230)=0,0,SUM(D230:O230))</f>
        <v>0</v>
      </c>
    </row>
    <row r="231" spans="1:16" ht="15.75" customHeight="1" x14ac:dyDescent="0.25">
      <c r="A231" s="239"/>
      <c r="B231" s="4" t="str">
        <f>IF('Option 1'!B231="","",'Option 1'!B231)</f>
        <v/>
      </c>
      <c r="C231" s="213" t="str">
        <f>IF('Option 1'!C231="","",'Option 1'!C231)</f>
        <v>Existing Loan Payoff - 274925</v>
      </c>
      <c r="D231" s="186">
        <f>IF('Option 1'!D231="","",'Option 1'!D231)</f>
        <v>274925</v>
      </c>
      <c r="E231" s="184" t="str">
        <f>IF('Option 1'!E231="","",'Option 1'!E231)</f>
        <v/>
      </c>
      <c r="F231" s="184" t="str">
        <f>IF('Option 1'!F231="","",'Option 1'!F231)</f>
        <v/>
      </c>
      <c r="G231" s="184" t="str">
        <f>IF('Option 1'!G231="","",'Option 1'!G231)</f>
        <v/>
      </c>
      <c r="H231" s="184" t="str">
        <f>IF('Option 1'!H231="","",'Option 1'!H231)</f>
        <v/>
      </c>
      <c r="I231" s="184" t="str">
        <f>IF('Option 1'!I231="","",'Option 1'!I231)</f>
        <v/>
      </c>
      <c r="J231" s="184" t="str">
        <f>IF('Option 1'!J231="","",'Option 1'!J231)</f>
        <v/>
      </c>
      <c r="K231" s="184" t="str">
        <f>IF('Option 1'!K231="","",'Option 1'!K231)</f>
        <v/>
      </c>
      <c r="L231" s="184" t="str">
        <f>IF('Option 1'!L231="","",'Option 1'!L231)</f>
        <v/>
      </c>
      <c r="M231" s="184" t="str">
        <f>IF('Option 1'!M231="","",'Option 1'!M231)</f>
        <v/>
      </c>
      <c r="N231" s="184" t="str">
        <f>IF('Option 1'!N231="","",'Option 1'!N231)</f>
        <v/>
      </c>
      <c r="O231" s="184" t="str">
        <f>IF('Option 1'!O231="","",'Option 1'!O231)</f>
        <v/>
      </c>
      <c r="P231" s="124">
        <f t="shared" si="12"/>
        <v>274925</v>
      </c>
    </row>
    <row r="232" spans="1:16" ht="15.75" customHeight="1" x14ac:dyDescent="0.25">
      <c r="A232" s="239"/>
      <c r="B232" s="4" t="str">
        <f>IF('Option 1'!B232="","",'Option 1'!B232)</f>
        <v/>
      </c>
      <c r="C232" s="4" t="str">
        <f>IF('Option 1'!C232="","",'Option 1'!C232)</f>
        <v>Existing Loan</v>
      </c>
      <c r="D232" s="58">
        <f>IF('Option 1'!D232="","",'Option 1'!D232)</f>
        <v>46220</v>
      </c>
      <c r="E232" s="184" t="str">
        <f>IF('Option 1'!E232="","",'Option 1'!E232)</f>
        <v/>
      </c>
      <c r="F232" s="184" t="str">
        <f>IF('Option 1'!F232="","",'Option 1'!F232)</f>
        <v/>
      </c>
      <c r="G232" s="184" t="str">
        <f>IF('Option 1'!G232="","",'Option 1'!G232)</f>
        <v/>
      </c>
      <c r="H232" s="184" t="str">
        <f>IF('Option 1'!H232="","",'Option 1'!H232)</f>
        <v/>
      </c>
      <c r="I232" s="184" t="str">
        <f>IF('Option 1'!I232="","",'Option 1'!I232)</f>
        <v/>
      </c>
      <c r="J232" s="184" t="str">
        <f>IF('Option 1'!J232="","",'Option 1'!J232)</f>
        <v/>
      </c>
      <c r="K232" s="184" t="str">
        <f>IF('Option 1'!K232="","",'Option 1'!K232)</f>
        <v/>
      </c>
      <c r="L232" s="184" t="str">
        <f>IF('Option 1'!L232="","",'Option 1'!L232)</f>
        <v/>
      </c>
      <c r="M232" s="184" t="str">
        <f>IF('Option 1'!M232="","",'Option 1'!M232)</f>
        <v/>
      </c>
      <c r="N232" s="184" t="str">
        <f>IF('Option 1'!N232="","",'Option 1'!N232)</f>
        <v/>
      </c>
      <c r="O232" s="184" t="str">
        <f>IF('Option 1'!O232="","",'Option 1'!O232)</f>
        <v/>
      </c>
      <c r="P232" s="124">
        <f t="shared" si="12"/>
        <v>46220</v>
      </c>
    </row>
    <row r="233" spans="1:16" ht="15.75" customHeight="1" x14ac:dyDescent="0.25">
      <c r="A233" s="239"/>
      <c r="B233" s="4" t="str">
        <f>IF('Option 1'!B233="","",'Option 1'!B233)</f>
        <v/>
      </c>
      <c r="C233" s="188" t="str">
        <f>IF('Option 1'!C233="","",'Option 1'!C233)</f>
        <v/>
      </c>
      <c r="D233" s="186" t="str">
        <f>IF('Option 1'!D233="","",'Option 1'!D233)</f>
        <v/>
      </c>
      <c r="E233" s="184" t="str">
        <f>IF('Option 1'!E233="","",'Option 1'!E233)</f>
        <v/>
      </c>
      <c r="F233" s="184" t="str">
        <f>IF('Option 1'!F233="","",'Option 1'!F233)</f>
        <v/>
      </c>
      <c r="G233" s="184" t="str">
        <f>IF('Option 1'!G233="","",'Option 1'!G233)</f>
        <v/>
      </c>
      <c r="H233" s="184" t="str">
        <f>IF('Option 1'!H233="","",'Option 1'!H233)</f>
        <v/>
      </c>
      <c r="I233" s="184" t="str">
        <f>IF('Option 1'!I233="","",'Option 1'!I233)</f>
        <v/>
      </c>
      <c r="J233" s="184" t="str">
        <f>IF('Option 1'!J233="","",'Option 1'!J233)</f>
        <v/>
      </c>
      <c r="K233" s="184" t="str">
        <f>IF('Option 1'!K233="","",'Option 1'!K233)</f>
        <v/>
      </c>
      <c r="L233" s="184" t="str">
        <f>IF('Option 1'!L233="","",'Option 1'!L233)</f>
        <v/>
      </c>
      <c r="M233" s="184" t="str">
        <f>IF('Option 1'!M233="","",'Option 1'!M233)</f>
        <v/>
      </c>
      <c r="N233" s="184" t="str">
        <f>IF('Option 1'!N233="","",'Option 1'!N233)</f>
        <v/>
      </c>
      <c r="O233" s="184" t="str">
        <f>IF('Option 1'!O233="","",'Option 1'!O233)</f>
        <v/>
      </c>
      <c r="P233" s="124">
        <f t="shared" si="12"/>
        <v>0</v>
      </c>
    </row>
    <row r="234" spans="1:16" ht="15.75" customHeight="1" x14ac:dyDescent="0.25">
      <c r="A234" s="239"/>
      <c r="B234" s="4" t="str">
        <f>IF('Option 1'!B234="","",'Option 1'!B234)</f>
        <v/>
      </c>
      <c r="C234" s="209" t="str">
        <f>IF('Option 1'!C234="","",'Option 1'!C234)</f>
        <v/>
      </c>
      <c r="D234" s="159" t="str">
        <f>IF('Option 1'!D234="","",'Option 1'!D234)</f>
        <v/>
      </c>
      <c r="E234" s="175" t="str">
        <f>IF('Option 1'!E234="","",'Option 1'!E234)</f>
        <v/>
      </c>
      <c r="F234" s="59" t="str">
        <f>IF('Option 1'!F234="","",'Option 1'!F234)</f>
        <v/>
      </c>
      <c r="G234" s="59" t="str">
        <f>IF('Option 1'!G234="","",'Option 1'!G234)</f>
        <v/>
      </c>
      <c r="H234" s="59" t="str">
        <f>IF('Option 1'!H234="","",'Option 1'!H234)</f>
        <v/>
      </c>
      <c r="I234" s="59" t="str">
        <f>IF('Option 1'!I234="","",'Option 1'!I234)</f>
        <v/>
      </c>
      <c r="J234" s="59" t="str">
        <f>IF('Option 1'!J234="","",'Option 1'!J234)</f>
        <v/>
      </c>
      <c r="K234" s="59" t="str">
        <f>IF('Option 1'!K234="","",'Option 1'!K234)</f>
        <v/>
      </c>
      <c r="L234" s="59" t="str">
        <f>IF('Option 1'!L234="","",'Option 1'!L234)</f>
        <v/>
      </c>
      <c r="M234" s="59" t="str">
        <f>IF('Option 1'!M234="","",'Option 1'!M234)</f>
        <v/>
      </c>
      <c r="N234" s="59" t="str">
        <f>IF('Option 1'!N234="","",'Option 1'!N234)</f>
        <v/>
      </c>
      <c r="O234" s="59" t="str">
        <f>IF('Option 1'!O234="","",'Option 1'!O234)</f>
        <v/>
      </c>
      <c r="P234" s="124">
        <f t="shared" si="11"/>
        <v>0</v>
      </c>
    </row>
    <row r="235" spans="1:16" ht="15.75" customHeight="1" x14ac:dyDescent="0.25">
      <c r="A235" s="239"/>
      <c r="B235" s="4"/>
      <c r="C235" s="4"/>
      <c r="D235" s="159"/>
      <c r="E235" s="176"/>
      <c r="F235" s="59"/>
      <c r="G235" s="59"/>
      <c r="H235" s="59"/>
      <c r="I235" s="59"/>
      <c r="J235" s="59"/>
      <c r="K235" s="59"/>
      <c r="L235" s="59"/>
      <c r="M235" s="59"/>
      <c r="N235" s="59"/>
      <c r="O235" s="59"/>
      <c r="P235" s="124">
        <f t="shared" ref="P235:P244" si="13">IF(SUM(D235:O235)=0,0,SUM(D235:O235))</f>
        <v>0</v>
      </c>
    </row>
    <row r="236" spans="1:16" ht="15.75" customHeight="1" x14ac:dyDescent="0.25">
      <c r="A236" s="239"/>
      <c r="B236" s="4"/>
      <c r="C236" s="4" t="s">
        <v>33</v>
      </c>
      <c r="D236" s="58">
        <f>IF(Assumptions!$G$21=0,0,IF(YEAR(Assumptions!G22)&gt;Assumptions!D7,0,IF(ISERROR(IF((Assumptions!$D$13*1.75*Assumptions!$G$24*12)&gt;1000,(Assumptions!$D$13*1.75*Assumptions!$G$24*12)/2+((((Assumptions!$D$13*1.75*Assumptions!$G$24*12)/2)/(Assumptions!$G$24*12))*Calc!$B$131),1000)),0,IF((Assumptions!$D$13*1.75*Assumptions!$G$24*12)&gt;1000,(Assumptions!$D$13*1.75*Assumptions!$G$24*12)/2+((((Assumptions!$D$13*1.75*Assumptions!$G$24*12)/2)/(Assumptions!$G$24*12))*Calc!$B$131),1000))))</f>
        <v>0</v>
      </c>
      <c r="E236" s="58">
        <f>IF(Assumptions!$G$21=0,0,IF(D236=0,IF(ISERROR(IF((Assumptions!$D$13*1.75*Assumptions!$G$24*12)&gt;1000,(Assumptions!$D$13*1.75*Assumptions!$G$24*12)/2+((((Assumptions!$D$13*1.75*Assumptions!$G$24*12)/2)/(Assumptions!$G$24*12))*Calc!$B$131),1000)),0,IF((Assumptions!$D$13*1.75*Assumptions!$G$24*12)&gt;1000,(Assumptions!$D$13*1.75*Assumptions!$G$24*12)/2+((((Assumptions!$D$13*1.75*Assumptions!$G$24*12)/2)/(Assumptions!$G$24*12))*Calc!$B$131),1000))+IF(ISERROR(((((Assumptions!$D$13*1.75*Assumptions!$G$24*12)/2)/(Assumptions!$G$24*12))*Calc!C131)),0,((((Assumptions!$D$13*1.75*Assumptions!$G$24*12)/2)/(Assumptions!$G$24*12))*Calc!C131)),IF(ISERROR(((((Assumptions!$D$13*1.75*Assumptions!$G$24*12)/2)/(Assumptions!$G$24*12))*Calc!C131)),0,((((Assumptions!$D$13*1.75*Assumptions!$G$24*12)/2)/(Assumptions!$G$24*12))*Calc!C131))))</f>
        <v>0</v>
      </c>
      <c r="F236" s="58">
        <f>IF(Assumptions!$G$21=0,0,IF(ISERROR(((((Assumptions!$D$13*1.75*Assumptions!$G$24*12)/2)/(Assumptions!$G$24*12))*Calc!D131)),0,((((Assumptions!$D$13*1.75*Assumptions!$G$24*12)/2)/(Assumptions!$G$24*12))*Calc!D131)))</f>
        <v>0</v>
      </c>
      <c r="G236" s="58">
        <f>IF(Assumptions!$G$21=0,0,IF(ISERROR(((((Assumptions!$D$13*1.75*Assumptions!$G$24*12)/2)/(Assumptions!$G$24*12))*Calc!E131)),0,((((Assumptions!$D$13*1.75*Assumptions!$G$24*12)/2)/(Assumptions!$G$24*12))*Calc!E131)))</f>
        <v>0</v>
      </c>
      <c r="H236" s="58">
        <f>IF(Assumptions!$G$21=0,0,IF(ISERROR(((((Assumptions!$D$13*1.75*Assumptions!$G$24*12)/2)/(Assumptions!$G$24*12))*Calc!F131)),0,((((Assumptions!$D$13*1.75*Assumptions!$G$24*12)/2)/(Assumptions!$G$24*12))*Calc!F131)))</f>
        <v>0</v>
      </c>
      <c r="I236" s="58">
        <f>IF(Assumptions!$G$21=0,0,IF(ISERROR(((((Assumptions!$D$13*1.75*Assumptions!$G$24*12)/2)/(Assumptions!$G$24*12))*Calc!G131)),0,((((Assumptions!$D$13*1.75*Assumptions!$G$24*12)/2)/(Assumptions!$G$24*12))*Calc!G131)))</f>
        <v>0</v>
      </c>
      <c r="J236" s="58">
        <f>IF(Assumptions!$G$21=0,0,IF(ISERROR(((((Assumptions!$D$13*1.75*Assumptions!$G$24*12)/2)/(Assumptions!$G$24*12))*Calc!H131)),0,((((Assumptions!$D$13*1.75*Assumptions!$G$24*12)/2)/(Assumptions!$G$24*12))*Calc!H131)))</f>
        <v>0</v>
      </c>
      <c r="K236" s="58">
        <f>IF(Assumptions!$G$21=0,0,IF(ISERROR(((((Assumptions!$D$13*1.75*Assumptions!$G$24*12)/2)/(Assumptions!$G$24*12))*Calc!I131)),0,((((Assumptions!$D$13*1.75*Assumptions!$G$24*12)/2)/(Assumptions!$G$24*12))*Calc!I131)))</f>
        <v>0</v>
      </c>
      <c r="L236" s="58">
        <f>IF(Assumptions!$G$21=0,0,IF(ISERROR(((((Assumptions!$D$13*1.75*Assumptions!$G$24*12)/2)/(Assumptions!$G$24*12))*Calc!J131)),0,((((Assumptions!$D$13*1.75*Assumptions!$G$24*12)/2)/(Assumptions!$G$24*12))*Calc!J131)))</f>
        <v>0</v>
      </c>
      <c r="M236" s="58">
        <f>IF(Assumptions!$G$21=0,0,IF(ISERROR(((((Assumptions!$D$13*1.75*Assumptions!$G$24*12)/2)/(Assumptions!$G$24*12))*Calc!K131)),0,((((Assumptions!$D$13*1.75*Assumptions!$G$24*12)/2)/(Assumptions!$G$24*12))*Calc!K131)))</f>
        <v>0</v>
      </c>
      <c r="N236" s="58">
        <f>IF(Assumptions!$G$21=0,0,IF(ISERROR(((((Assumptions!$D$13*1.75*Assumptions!$G$24*12)/2)/(Assumptions!$G$24*12))*Calc!L131)),0,((((Assumptions!$D$13*1.75*Assumptions!$G$24*12)/2)/(Assumptions!$G$24*12))*Calc!L131)))</f>
        <v>0</v>
      </c>
      <c r="O236" s="58">
        <f>IF(Assumptions!$G$21=0,0,IF(ISERROR(((((Assumptions!$D$13*1.75*Assumptions!$G$24*12)/2)/(Assumptions!$G$24*12))*Calc!M131)),0,((((Assumptions!$D$13*1.75*Assumptions!$G$24*12)/2)/(Assumptions!$G$24*12))*Calc!M131)))</f>
        <v>0</v>
      </c>
      <c r="P236" s="124">
        <f t="shared" si="13"/>
        <v>0</v>
      </c>
    </row>
    <row r="237" spans="1:16" ht="15.75" customHeight="1" x14ac:dyDescent="0.25">
      <c r="A237" s="239"/>
      <c r="B237" s="4"/>
      <c r="C237" s="4"/>
      <c r="D237" s="58"/>
      <c r="E237" s="59"/>
      <c r="F237" s="59"/>
      <c r="G237" s="59"/>
      <c r="H237" s="59"/>
      <c r="I237" s="59"/>
      <c r="J237" s="59"/>
      <c r="K237" s="59"/>
      <c r="L237" s="59"/>
      <c r="M237" s="59"/>
      <c r="N237" s="59"/>
      <c r="O237" s="59"/>
      <c r="P237" s="124">
        <f t="shared" si="13"/>
        <v>0</v>
      </c>
    </row>
    <row r="238" spans="1:16" ht="15.75" x14ac:dyDescent="0.25">
      <c r="A238" s="239"/>
      <c r="B238" s="4"/>
      <c r="C238" s="4"/>
      <c r="D238" s="58"/>
      <c r="E238" s="58"/>
      <c r="F238" s="59"/>
      <c r="G238" s="59"/>
      <c r="H238" s="59"/>
      <c r="I238" s="59"/>
      <c r="J238" s="59"/>
      <c r="K238" s="59"/>
      <c r="L238" s="59"/>
      <c r="M238" s="59"/>
      <c r="N238" s="59"/>
      <c r="O238" s="59"/>
      <c r="P238" s="124">
        <f t="shared" ref="P238" si="14">IF(SUM(D238:O238)=0,0,SUM(D238:O238))</f>
        <v>0</v>
      </c>
    </row>
    <row r="239" spans="1:16" ht="15.75" customHeight="1" x14ac:dyDescent="0.25">
      <c r="A239" s="239"/>
      <c r="B239" s="4" t="s">
        <v>13</v>
      </c>
      <c r="C239" s="4" t="s">
        <v>30</v>
      </c>
      <c r="D239" s="58">
        <f>IF(Assumptions!$G$30=0,IF(ISERROR(-CUMIPMT(0.00000000001/12,Assumptions!$G$36*12,Assumptions!$G$30,D20,D21,0)),0,-CUMIPMT(0.00000000001/12,Assumptions!$G$36*12,Assumptions!$G$30,D20,D21,0)),IF(ISERROR(-CUMIPMT(Assumptions!$G$33/12,Assumptions!$G$36*12,Assumptions!$G$30,D20,D21,0)),0,-CUMIPMT(Assumptions!$G$33/12,Assumptions!$G$36*12,Assumptions!$G$30,D20,D21,0)))</f>
        <v>0</v>
      </c>
      <c r="E239" s="58">
        <f>IF(Assumptions!$G$30=0,IF(ISERROR(-CUMIPMT(0.00000000001/12,Assumptions!$G$36*12,Assumptions!$G$30,E20,E21,0)),0,-CUMIPMT(0.00000000001/12,Assumptions!$G$36*12,Assumptions!$G$30,E20,E21,0)),IF(ISERROR(-CUMIPMT(Assumptions!$G$33/12,Assumptions!$G$36*12,Assumptions!$G$30,E20,E21,0)),0,-CUMIPMT(Assumptions!$G$33/12,Assumptions!$G$36*12,Assumptions!$G$30,E20,E21,0)))</f>
        <v>0</v>
      </c>
      <c r="F239" s="58">
        <f>IF(Assumptions!$G$30=0,IF(ISERROR(-CUMIPMT(0.00000000001/12,Assumptions!$G$36*12,Assumptions!$G$30,F20,F21,0)),0,-CUMIPMT(0.00000000001/12,Assumptions!$G$36*12,Assumptions!$G$30,F20,F21,0)),IF(ISERROR(-CUMIPMT(Assumptions!$G$33/12,Assumptions!$G$36*12,Assumptions!$G$30,F20,F21,0)),0,-CUMIPMT(Assumptions!$G$33/12,Assumptions!$G$36*12,Assumptions!$G$30,F20,F21,0)))</f>
        <v>0</v>
      </c>
      <c r="G239" s="58">
        <f>IF(Assumptions!$G$30=0,IF(ISERROR(-CUMIPMT(0.00000000001/12,Assumptions!$G$36*12,Assumptions!$G$30,G20,G21,0)),0,-CUMIPMT(0.00000000001/12,Assumptions!$G$36*12,Assumptions!$G$30,G20,G21,0)),IF(ISERROR(-CUMIPMT(Assumptions!$G$33/12,Assumptions!$G$36*12,Assumptions!$G$30,G20,G21,0)),0,-CUMIPMT(Assumptions!$G$33/12,Assumptions!$G$36*12,Assumptions!$G$30,G20,G21,0)))</f>
        <v>0</v>
      </c>
      <c r="H239" s="58">
        <f>IF(Assumptions!$G$30=0,IF(ISERROR(-CUMIPMT(0.00000000001/12,Assumptions!$G$36*12,Assumptions!$G$30,H20,H21,0)),0,-CUMIPMT(0.00000000001/12,Assumptions!$G$36*12,Assumptions!$G$30,H20,H21,0)),IF(ISERROR(-CUMIPMT(Assumptions!$G$33/12,Assumptions!$G$36*12,Assumptions!$G$30,H20,H21,0)),0,-CUMIPMT(Assumptions!$G$33/12,Assumptions!$G$36*12,Assumptions!$G$30,H20,H21,0)))</f>
        <v>0</v>
      </c>
      <c r="I239" s="58">
        <f>IF(Assumptions!$G$30=0,IF(ISERROR(-CUMIPMT(0.00000000001/12,Assumptions!$G$36*12,Assumptions!$G$30,I20,I21,0)),0,-CUMIPMT(0.00000000001/12,Assumptions!$G$36*12,Assumptions!$G$30,I20,I21,0)),IF(ISERROR(-CUMIPMT(Assumptions!$G$33/12,Assumptions!$G$36*12,Assumptions!$G$30,I20,I21,0)),0,-CUMIPMT(Assumptions!$G$33/12,Assumptions!$G$36*12,Assumptions!$G$30,I20,I21,0)))</f>
        <v>0</v>
      </c>
      <c r="J239" s="58">
        <f>IF(Assumptions!$G$30=0,IF(ISERROR(-CUMIPMT(0.00000000001/12,Assumptions!$G$36*12,Assumptions!$G$30,J20,J21,0)),0,-CUMIPMT(0.00000000001/12,Assumptions!$G$36*12,Assumptions!$G$30,J20,J21,0)),IF(ISERROR(-CUMIPMT(Assumptions!$G$33/12,Assumptions!$G$36*12,Assumptions!$G$30,J20,J21,0)),0,-CUMIPMT(Assumptions!$G$33/12,Assumptions!$G$36*12,Assumptions!$G$30,J20,J21,0)))</f>
        <v>0</v>
      </c>
      <c r="K239" s="58">
        <f>IF(Assumptions!$G$30=0,IF(ISERROR(-CUMIPMT(0.00000000001/12,Assumptions!$G$36*12,Assumptions!$G$30,K20,K21,0)),0,-CUMIPMT(0.00000000001/12,Assumptions!$G$36*12,Assumptions!$G$30,K20,K21,0)),IF(ISERROR(-CUMIPMT(Assumptions!$G$33/12,Assumptions!$G$36*12,Assumptions!$G$30,K20,K21,0)),0,-CUMIPMT(Assumptions!$G$33/12,Assumptions!$G$36*12,Assumptions!$G$30,K20,K21,0)))</f>
        <v>0</v>
      </c>
      <c r="L239" s="58">
        <f>IF(Assumptions!$G$30=0,IF(ISERROR(-CUMIPMT(0.00000000001/12,Assumptions!$G$36*12,Assumptions!$G$30,L20,L21,0)),0,-CUMIPMT(0.00000000001/12,Assumptions!$G$36*12,Assumptions!$G$30,L20,L21,0)),IF(ISERROR(-CUMIPMT(Assumptions!$G$33/12,Assumptions!$G$36*12,Assumptions!$G$30,L20,L21,0)),0,-CUMIPMT(Assumptions!$G$33/12,Assumptions!$G$36*12,Assumptions!$G$30,L20,L21,0)))</f>
        <v>0</v>
      </c>
      <c r="M239" s="58">
        <f>IF(Assumptions!$G$30=0,IF(ISERROR(-CUMIPMT(0.00000000001/12,Assumptions!$G$36*12,Assumptions!$G$30,M20,M21,0)),0,-CUMIPMT(0.00000000001/12,Assumptions!$G$36*12,Assumptions!$G$30,M20,M21,0)),IF(ISERROR(-CUMIPMT(Assumptions!$G$33/12,Assumptions!$G$36*12,Assumptions!$G$30,M20,M21,0)),0,-CUMIPMT(Assumptions!$G$33/12,Assumptions!$G$36*12,Assumptions!$G$30,M20,M21,0)))</f>
        <v>0</v>
      </c>
      <c r="N239" s="58">
        <f>IF(Assumptions!$G$30=0,IF(ISERROR(-CUMIPMT(0.00000000001/12,Assumptions!$G$36*12,Assumptions!$G$30,N20,N21,0)),0,-CUMIPMT(0.00000000001/12,Assumptions!$G$36*12,Assumptions!$G$30,N20,N21,0)),IF(ISERROR(-CUMIPMT(Assumptions!$G$33/12,Assumptions!$G$36*12,Assumptions!$G$30,N20,N21,0)),0,-CUMIPMT(Assumptions!$G$33/12,Assumptions!$G$36*12,Assumptions!$G$30,N20,N21,0)))</f>
        <v>0</v>
      </c>
      <c r="O239" s="58">
        <f>IF(Assumptions!$G$30=0,IF(ISERROR(-CUMIPMT(0.00000000001/12,Assumptions!$G$36*12,Assumptions!$G$30,O20,O21,0)),0,-CUMIPMT(0.00000000001/12,Assumptions!$G$36*12,Assumptions!$G$30,O20,O21,0)),IF(ISERROR(-CUMIPMT(Assumptions!$G$33/12,Assumptions!$G$36*12,Assumptions!$G$30,O20,O21,0)),0,-CUMIPMT(Assumptions!$G$33/12,Assumptions!$G$36*12,Assumptions!$G$30,O20,O21,0)))</f>
        <v>0</v>
      </c>
      <c r="P239" s="124">
        <f t="shared" si="13"/>
        <v>0</v>
      </c>
    </row>
    <row r="240" spans="1:16" ht="15.75" customHeight="1" x14ac:dyDescent="0.25">
      <c r="A240" s="239"/>
      <c r="B240" s="4"/>
      <c r="C240" s="4" t="s">
        <v>83</v>
      </c>
      <c r="D240" s="58">
        <f>IF(Assumptions!$G$30=0,IF(ISERROR(-CUMPRINC(0.00000000001/12,Assumptions!$G$36*12,Assumptions!$G$30,D20,D21,0)),0,(-CUMPRINC(0.00000000001/12,Assumptions!$G$36*12,Assumptions!$G$30,D20,D21,0))),IF(ISERROR(-CUMPRINC(Assumptions!$G$33/12,Assumptions!$G$36*12,Assumptions!$G$30,D20,D21,0)),0,(-CUMPRINC(Assumptions!$G$33/12,Assumptions!$G$36*12,Assumptions!$G$30,D20,D21,0))))</f>
        <v>0</v>
      </c>
      <c r="E240" s="58">
        <f>IF(Assumptions!$G$30=0,IF(ISERROR(-CUMPRINC(0.00000000001/12,Assumptions!$G$36*12,Assumptions!$G$30,E20,E21,0)),0,(-CUMPRINC(0.00000000001/12,Assumptions!$G$36*12,Assumptions!$G$30,E20,E21,0))),IF(ISERROR(-CUMPRINC(Assumptions!$G$33/12,Assumptions!$G$36*12,Assumptions!$G$30,E20,E21,0)),0,(-CUMPRINC(Assumptions!$G$33/12,Assumptions!$G$36*12,Assumptions!$G$30,E20,E21,0))))</f>
        <v>0</v>
      </c>
      <c r="F240" s="58">
        <f>IF(Assumptions!$G$30=0,IF(ISERROR(-CUMPRINC(0.00000000001/12,Assumptions!$G$36*12,Assumptions!$G$30,F20,F21,0)),0,(-CUMPRINC(0.00000000001/12,Assumptions!$G$36*12,Assumptions!$G$30,F20,F21,0))),IF(ISERROR(-CUMPRINC(Assumptions!$G$33/12,Assumptions!$G$36*12,Assumptions!$G$30,F20,F21,0)),0,(-CUMPRINC(Assumptions!$G$33/12,Assumptions!$G$36*12,Assumptions!$G$30,F20,F21,0))))</f>
        <v>0</v>
      </c>
      <c r="G240" s="58">
        <f>IF(Assumptions!$G$30=0,IF(ISERROR(-CUMPRINC(0.00000000001/12,Assumptions!$G$36*12,Assumptions!$G$30,G20,G21,0)),0,(-CUMPRINC(0.00000000001/12,Assumptions!$G$36*12,Assumptions!$G$30,G20,G21,0))),IF(ISERROR(-CUMPRINC(Assumptions!$G$33/12,Assumptions!$G$36*12,Assumptions!$G$30,G20,G21,0)),0,(-CUMPRINC(Assumptions!$G$33/12,Assumptions!$G$36*12,Assumptions!$G$30,G20,G21,0))))</f>
        <v>0</v>
      </c>
      <c r="H240" s="58">
        <f>IF(Assumptions!$G$30=0,IF(ISERROR(-CUMPRINC(0.00000000001/12,Assumptions!$G$36*12,Assumptions!$G$30,H20,H21,0)),0,(-CUMPRINC(0.00000000001/12,Assumptions!$G$36*12,Assumptions!$G$30,H20,H21,0))),IF(ISERROR(-CUMPRINC(Assumptions!$G$33/12,Assumptions!$G$36*12,Assumptions!$G$30,H20,H21,0)),0,(-CUMPRINC(Assumptions!$G$33/12,Assumptions!$G$36*12,Assumptions!$G$30,H20,H21,0))))</f>
        <v>0</v>
      </c>
      <c r="I240" s="58">
        <f>IF(Assumptions!$G$30=0,IF(ISERROR(-CUMPRINC(0.00000000001/12,Assumptions!$G$36*12,Assumptions!$G$30,I20,I21,0)),0,(-CUMPRINC(0.00000000001/12,Assumptions!$G$36*12,Assumptions!$G$30,I20,I21,0))),IF(ISERROR(-CUMPRINC(Assumptions!$G$33/12,Assumptions!$G$36*12,Assumptions!$G$30,I20,I21,0)),0,(-CUMPRINC(Assumptions!$G$33/12,Assumptions!$G$36*12,Assumptions!$G$30,I20,I21,0))))</f>
        <v>0</v>
      </c>
      <c r="J240" s="58">
        <f>IF(Assumptions!$G$30=0,IF(ISERROR(-CUMPRINC(0.00000000001/12,Assumptions!$G$36*12,Assumptions!$G$30,J20,J21,0)),0,(-CUMPRINC(0.00000000001/12,Assumptions!$G$36*12,Assumptions!$G$30,J20,J21,0))),IF(ISERROR(-CUMPRINC(Assumptions!$G$33/12,Assumptions!$G$36*12,Assumptions!$G$30,J20,J21,0)),0,(-CUMPRINC(Assumptions!$G$33/12,Assumptions!$G$36*12,Assumptions!$G$30,J20,J21,0))))</f>
        <v>0</v>
      </c>
      <c r="K240" s="58">
        <f>IF(Assumptions!$G$30=0,IF(ISERROR(-CUMPRINC(0.00000000001/12,Assumptions!$G$36*12,Assumptions!$G$30,K20,K21,0)),0,(-CUMPRINC(0.00000000001/12,Assumptions!$G$36*12,Assumptions!$G$30,K20,K21,0))),IF(ISERROR(-CUMPRINC(Assumptions!$G$33/12,Assumptions!$G$36*12,Assumptions!$G$30,K20,K21,0)),0,(-CUMPRINC(Assumptions!$G$33/12,Assumptions!$G$36*12,Assumptions!$G$30,K20,K21,0))))</f>
        <v>0</v>
      </c>
      <c r="L240" s="58">
        <f>IF(Assumptions!$G$30=0,IF(ISERROR(-CUMPRINC(0.00000000001/12,Assumptions!$G$36*12,Assumptions!$G$30,L20,L21,0)),0,(-CUMPRINC(0.00000000001/12,Assumptions!$G$36*12,Assumptions!$G$30,L20,L21,0))),IF(ISERROR(-CUMPRINC(Assumptions!$G$33/12,Assumptions!$G$36*12,Assumptions!$G$30,L20,L21,0)),0,(-CUMPRINC(Assumptions!$G$33/12,Assumptions!$G$36*12,Assumptions!$G$30,L20,L21,0))))</f>
        <v>0</v>
      </c>
      <c r="M240" s="58">
        <f>IF(Assumptions!$G$30=0,IF(ISERROR(-CUMPRINC(0.00000000001/12,Assumptions!$G$36*12,Assumptions!$G$30,M20,M21,0)),0,(-CUMPRINC(0.00000000001/12,Assumptions!$G$36*12,Assumptions!$G$30,M20,M21,0))),IF(ISERROR(-CUMPRINC(Assumptions!$G$33/12,Assumptions!$G$36*12,Assumptions!$G$30,M20,M21,0)),0,(-CUMPRINC(Assumptions!$G$33/12,Assumptions!$G$36*12,Assumptions!$G$30,M20,M21,0))))</f>
        <v>0</v>
      </c>
      <c r="N240" s="58">
        <f>IF(Assumptions!$G$30=0,IF(ISERROR(-CUMPRINC(0.00000000001/12,Assumptions!$G$36*12,Assumptions!$G$30,N20,N21,0)),0,(-CUMPRINC(0.00000000001/12,Assumptions!$G$36*12,Assumptions!$G$30,N20,N21,0))),IF(ISERROR(-CUMPRINC(Assumptions!$G$33/12,Assumptions!$G$36*12,Assumptions!$G$30,N20,N21,0)),0,(-CUMPRINC(Assumptions!$G$33/12,Assumptions!$G$36*12,Assumptions!$G$30,N20,N21,0))))</f>
        <v>0</v>
      </c>
      <c r="O240" s="58">
        <f>IF(Assumptions!$G$30=0,IF(ISERROR(-CUMPRINC(0.00000000001/12,Assumptions!$G$36*12,Assumptions!$G$30,O20,O21,0)),0,(-CUMPRINC(0.00000000001/12,Assumptions!$G$36*12,Assumptions!$G$30,O20,O21,0))),IF(ISERROR(-CUMPRINC(Assumptions!$G$33/12,Assumptions!$G$36*12,Assumptions!$G$30,O20,O21,0)),0,(-CUMPRINC(Assumptions!$G$33/12,Assumptions!$G$36*12,Assumptions!$G$30,O20,O21,0))))</f>
        <v>0</v>
      </c>
      <c r="P240" s="124">
        <f t="shared" si="13"/>
        <v>0</v>
      </c>
    </row>
    <row r="241" spans="1:16" ht="15.75" customHeight="1" x14ac:dyDescent="0.25">
      <c r="A241" s="239"/>
      <c r="B241" s="4" t="s">
        <v>14</v>
      </c>
      <c r="C241" s="4" t="s">
        <v>15</v>
      </c>
      <c r="D241" s="58">
        <v>0</v>
      </c>
      <c r="E241" s="59"/>
      <c r="F241" s="59"/>
      <c r="G241" s="59"/>
      <c r="H241" s="59"/>
      <c r="I241" s="59"/>
      <c r="J241" s="59"/>
      <c r="K241" s="59"/>
      <c r="L241" s="59"/>
      <c r="M241" s="59"/>
      <c r="N241" s="59"/>
      <c r="O241" s="59"/>
      <c r="P241" s="124">
        <f t="shared" si="13"/>
        <v>0</v>
      </c>
    </row>
    <row r="242" spans="1:16" ht="15.75" customHeight="1" x14ac:dyDescent="0.25">
      <c r="A242" s="239"/>
      <c r="B242" s="4"/>
      <c r="C242" s="24"/>
      <c r="D242" s="58"/>
      <c r="E242" s="59"/>
      <c r="F242" s="59"/>
      <c r="G242" s="59"/>
      <c r="H242" s="59"/>
      <c r="I242" s="59"/>
      <c r="J242" s="59"/>
      <c r="K242" s="59"/>
      <c r="L242" s="59"/>
      <c r="M242" s="59"/>
      <c r="N242" s="59"/>
      <c r="O242" s="59"/>
      <c r="P242" s="124">
        <f t="shared" si="13"/>
        <v>0</v>
      </c>
    </row>
    <row r="243" spans="1:16" ht="15.75" customHeight="1" x14ac:dyDescent="0.25">
      <c r="A243" s="239"/>
      <c r="B243" s="4"/>
      <c r="C243" s="24"/>
      <c r="D243" s="58"/>
      <c r="E243" s="59"/>
      <c r="F243" s="59"/>
      <c r="G243" s="59"/>
      <c r="H243" s="59"/>
      <c r="I243" s="59"/>
      <c r="J243" s="59"/>
      <c r="K243" s="59"/>
      <c r="L243" s="59"/>
      <c r="M243" s="59"/>
      <c r="N243" s="59"/>
      <c r="O243" s="59"/>
      <c r="P243" s="124">
        <f t="shared" si="13"/>
        <v>0</v>
      </c>
    </row>
    <row r="244" spans="1:16" ht="15.75" customHeight="1" x14ac:dyDescent="0.25">
      <c r="A244" s="240"/>
      <c r="B244" s="4"/>
      <c r="C244" s="24"/>
      <c r="D244" s="9"/>
      <c r="E244" s="10"/>
      <c r="F244" s="10"/>
      <c r="G244" s="10"/>
      <c r="H244" s="10"/>
      <c r="I244" s="10"/>
      <c r="J244" s="10"/>
      <c r="K244" s="10"/>
      <c r="L244" s="10"/>
      <c r="M244" s="10"/>
      <c r="N244" s="10"/>
      <c r="O244" s="10"/>
      <c r="P244" s="124">
        <f t="shared" si="13"/>
        <v>0</v>
      </c>
    </row>
    <row r="245" spans="1:16" ht="15.75" customHeight="1" x14ac:dyDescent="0.25">
      <c r="B245" s="8"/>
      <c r="C245" s="24" t="s">
        <v>29</v>
      </c>
      <c r="D245" s="9">
        <f t="shared" ref="D245:O245" si="15">SUM(D24:D244)</f>
        <v>595247</v>
      </c>
      <c r="E245" s="10">
        <f t="shared" si="15"/>
        <v>481097</v>
      </c>
      <c r="F245" s="10">
        <f t="shared" si="15"/>
        <v>520204</v>
      </c>
      <c r="G245" s="10">
        <f t="shared" si="15"/>
        <v>1760567</v>
      </c>
      <c r="H245" s="10">
        <f t="shared" si="15"/>
        <v>1819065</v>
      </c>
      <c r="I245" s="10">
        <f t="shared" si="15"/>
        <v>2197785</v>
      </c>
      <c r="J245" s="10">
        <f t="shared" si="15"/>
        <v>793220</v>
      </c>
      <c r="K245" s="10">
        <f t="shared" si="15"/>
        <v>1538061</v>
      </c>
      <c r="L245" s="10">
        <f t="shared" si="15"/>
        <v>635828</v>
      </c>
      <c r="M245" s="10">
        <f t="shared" si="15"/>
        <v>1177500</v>
      </c>
      <c r="N245" s="10">
        <f t="shared" si="15"/>
        <v>513035</v>
      </c>
      <c r="O245" s="10">
        <f t="shared" si="15"/>
        <v>264243</v>
      </c>
      <c r="P245" s="124">
        <f>IF(SUM(D245:O245)=0,0,SUM(D245:O245))</f>
        <v>12295852</v>
      </c>
    </row>
    <row r="246" spans="1:16" ht="15" customHeight="1" x14ac:dyDescent="0.2">
      <c r="B246" s="8"/>
      <c r="C246" s="25"/>
      <c r="D246" s="6"/>
      <c r="E246" s="6"/>
      <c r="F246" s="6"/>
      <c r="G246" s="6"/>
      <c r="H246" s="6"/>
      <c r="I246" s="6"/>
      <c r="J246" s="6"/>
      <c r="K246" s="6"/>
      <c r="L246" s="6"/>
      <c r="M246" s="6"/>
      <c r="N246" s="6"/>
      <c r="O246" s="6"/>
      <c r="P246" s="6"/>
    </row>
    <row r="247" spans="1:16" ht="15.75" customHeight="1" x14ac:dyDescent="0.25">
      <c r="B247" s="12" t="s">
        <v>18</v>
      </c>
      <c r="C247" s="25"/>
      <c r="D247" s="7">
        <f>+Assumptions!D15</f>
        <v>623745</v>
      </c>
      <c r="E247" s="6">
        <f>+D252</f>
        <v>290817.52916666667</v>
      </c>
      <c r="F247" s="6">
        <f t="shared" ref="F247:M247" si="16">+E252</f>
        <v>462904.83681250003</v>
      </c>
      <c r="G247" s="6">
        <f t="shared" si="16"/>
        <v>618612.01178062509</v>
      </c>
      <c r="H247" s="6">
        <f t="shared" si="16"/>
        <v>-441255.21764466551</v>
      </c>
      <c r="I247" s="6">
        <f t="shared" si="16"/>
        <v>-1556982.1138876188</v>
      </c>
      <c r="J247" s="6">
        <f t="shared" si="16"/>
        <v>-3060163.5623815712</v>
      </c>
      <c r="K247" s="6">
        <f t="shared" si="16"/>
        <v>-3189654.5217691828</v>
      </c>
      <c r="L247" s="6">
        <f t="shared" si="16"/>
        <v>-4061153.4641227536</v>
      </c>
      <c r="M247" s="6">
        <f t="shared" si="16"/>
        <v>-4057881.6378020626</v>
      </c>
      <c r="N247" s="6">
        <f>+M252</f>
        <v>-4592393.9676709864</v>
      </c>
      <c r="O247" s="6">
        <f>+N252</f>
        <v>-4484688.5519074015</v>
      </c>
      <c r="P247" s="6"/>
    </row>
    <row r="248" spans="1:16" ht="15" customHeight="1" x14ac:dyDescent="0.2">
      <c r="B248" s="8"/>
      <c r="C248" s="25"/>
      <c r="D248" s="6"/>
      <c r="E248" s="6"/>
      <c r="F248" s="6"/>
      <c r="G248" s="6"/>
      <c r="H248" s="6"/>
      <c r="I248" s="6"/>
      <c r="J248" s="6"/>
      <c r="K248" s="6"/>
      <c r="L248" s="6"/>
      <c r="M248" s="6"/>
      <c r="N248" s="6"/>
      <c r="O248" s="6"/>
      <c r="P248" s="6"/>
    </row>
    <row r="249" spans="1:16" ht="12.75" hidden="1" customHeight="1" x14ac:dyDescent="0.2">
      <c r="D249" s="11">
        <f t="shared" ref="D249:O249" si="17">SUM(D24:D244)</f>
        <v>595247</v>
      </c>
      <c r="E249" s="11">
        <f t="shared" si="17"/>
        <v>481097</v>
      </c>
      <c r="F249" s="11">
        <f t="shared" si="17"/>
        <v>520204</v>
      </c>
      <c r="G249" s="11">
        <f t="shared" si="17"/>
        <v>1760567</v>
      </c>
      <c r="H249" s="11">
        <f t="shared" si="17"/>
        <v>1819065</v>
      </c>
      <c r="I249" s="11">
        <f t="shared" si="17"/>
        <v>2197785</v>
      </c>
      <c r="J249" s="11">
        <f t="shared" si="17"/>
        <v>793220</v>
      </c>
      <c r="K249" s="11">
        <f t="shared" si="17"/>
        <v>1538061</v>
      </c>
      <c r="L249" s="11">
        <f t="shared" si="17"/>
        <v>635828</v>
      </c>
      <c r="M249" s="11">
        <f t="shared" si="17"/>
        <v>1177500</v>
      </c>
      <c r="N249" s="11">
        <f t="shared" si="17"/>
        <v>513035</v>
      </c>
      <c r="O249" s="11">
        <f t="shared" si="17"/>
        <v>264243</v>
      </c>
      <c r="P249" s="11"/>
    </row>
    <row r="250" spans="1:16" ht="15.75" customHeight="1" x14ac:dyDescent="0.25">
      <c r="B250" s="12" t="s">
        <v>16</v>
      </c>
      <c r="C250" s="27"/>
      <c r="D250" s="13">
        <f t="shared" ref="D250:O250" si="18">+D17-D249</f>
        <v>-332927.47083333333</v>
      </c>
      <c r="E250" s="13">
        <f t="shared" si="18"/>
        <v>172087.30764583335</v>
      </c>
      <c r="F250" s="13">
        <f t="shared" si="18"/>
        <v>155707.17496812507</v>
      </c>
      <c r="G250" s="13">
        <f t="shared" si="18"/>
        <v>-1059867.2294252906</v>
      </c>
      <c r="H250" s="13">
        <f t="shared" si="18"/>
        <v>-1115726.8962429534</v>
      </c>
      <c r="I250" s="13">
        <f t="shared" si="18"/>
        <v>-1503181.4484939522</v>
      </c>
      <c r="J250" s="13">
        <f t="shared" si="18"/>
        <v>-129490.9593876116</v>
      </c>
      <c r="K250" s="13">
        <f t="shared" si="18"/>
        <v>-871498.94235357095</v>
      </c>
      <c r="L250" s="13">
        <f t="shared" si="18"/>
        <v>3271.8263206909178</v>
      </c>
      <c r="M250" s="13">
        <f t="shared" si="18"/>
        <v>-534512.32986892364</v>
      </c>
      <c r="N250" s="13">
        <f t="shared" si="18"/>
        <v>107705.4157635849</v>
      </c>
      <c r="O250" s="13">
        <f t="shared" si="18"/>
        <v>387393.48997617816</v>
      </c>
      <c r="P250" s="13"/>
    </row>
    <row r="251" spans="1:16" ht="16.5" customHeight="1" thickBot="1" x14ac:dyDescent="0.3">
      <c r="B251" s="12"/>
      <c r="C251" s="27"/>
    </row>
    <row r="252" spans="1:16" ht="16.5" customHeight="1" thickBot="1" x14ac:dyDescent="0.3">
      <c r="B252" s="15" t="s">
        <v>17</v>
      </c>
      <c r="C252" s="28"/>
      <c r="D252" s="16">
        <f t="shared" ref="D252:O252" si="19">+D247+D250</f>
        <v>290817.52916666667</v>
      </c>
      <c r="E252" s="16">
        <f t="shared" si="19"/>
        <v>462904.83681250003</v>
      </c>
      <c r="F252" s="16">
        <f t="shared" si="19"/>
        <v>618612.01178062509</v>
      </c>
      <c r="G252" s="16">
        <f t="shared" si="19"/>
        <v>-441255.21764466551</v>
      </c>
      <c r="H252" s="16">
        <f t="shared" si="19"/>
        <v>-1556982.1138876188</v>
      </c>
      <c r="I252" s="16">
        <f t="shared" si="19"/>
        <v>-3060163.5623815712</v>
      </c>
      <c r="J252" s="16">
        <f t="shared" si="19"/>
        <v>-3189654.5217691828</v>
      </c>
      <c r="K252" s="16">
        <f t="shared" si="19"/>
        <v>-4061153.4641227536</v>
      </c>
      <c r="L252" s="16">
        <f t="shared" si="19"/>
        <v>-4057881.6378020626</v>
      </c>
      <c r="M252" s="16">
        <f t="shared" si="19"/>
        <v>-4592393.9676709864</v>
      </c>
      <c r="N252" s="16">
        <f t="shared" si="19"/>
        <v>-4484688.5519074015</v>
      </c>
      <c r="O252" s="17">
        <f t="shared" si="19"/>
        <v>-4097295.0619312236</v>
      </c>
      <c r="P252" s="17"/>
    </row>
    <row r="253" spans="1:16" ht="15.75" customHeight="1" x14ac:dyDescent="0.25">
      <c r="B253" s="12"/>
    </row>
    <row r="254" spans="1:16" ht="15.75" customHeight="1" x14ac:dyDescent="0.25">
      <c r="B254" s="12" t="s">
        <v>22</v>
      </c>
      <c r="D254" s="6">
        <f>IF(ISERROR(+D15-D240),0,+D15-D240)</f>
        <v>0</v>
      </c>
      <c r="E254" s="6">
        <f>IF(ISERROR(IF(D254=0,E15-E240,D254-E240)),0,IF(D254=0,E15-E240,D254+E15-E234-E240))</f>
        <v>0</v>
      </c>
      <c r="F254" s="6">
        <f t="shared" ref="F254:O254" si="20">IF(ISERROR(IF(E254=0,F15-F240,E254-F240)),0,IF(E254=0,F15-F240,E254-F240))</f>
        <v>0</v>
      </c>
      <c r="G254" s="6">
        <f t="shared" si="20"/>
        <v>0</v>
      </c>
      <c r="H254" s="6">
        <f t="shared" si="20"/>
        <v>0</v>
      </c>
      <c r="I254" s="6">
        <f t="shared" si="20"/>
        <v>0</v>
      </c>
      <c r="J254" s="6">
        <f t="shared" si="20"/>
        <v>0</v>
      </c>
      <c r="K254" s="6">
        <f t="shared" si="20"/>
        <v>0</v>
      </c>
      <c r="L254" s="6">
        <f t="shared" si="20"/>
        <v>0</v>
      </c>
      <c r="M254" s="6">
        <f t="shared" si="20"/>
        <v>0</v>
      </c>
      <c r="N254" s="6">
        <f t="shared" si="20"/>
        <v>0</v>
      </c>
      <c r="O254" s="6">
        <f t="shared" si="20"/>
        <v>0</v>
      </c>
      <c r="P254" s="6"/>
    </row>
    <row r="255" spans="1:16" ht="15.75" customHeight="1" x14ac:dyDescent="0.25">
      <c r="B255" s="12"/>
      <c r="D255" s="6"/>
    </row>
    <row r="256" spans="1:16" ht="15.75" customHeight="1" x14ac:dyDescent="0.25">
      <c r="B256" s="12"/>
      <c r="D256" s="6"/>
      <c r="E256" s="6"/>
      <c r="F256" s="6"/>
      <c r="G256" s="6"/>
      <c r="H256" s="6"/>
      <c r="I256" s="6"/>
      <c r="J256" s="6"/>
      <c r="K256" s="6"/>
      <c r="L256" s="6"/>
      <c r="M256" s="6"/>
      <c r="N256" s="6"/>
      <c r="O256" s="6"/>
    </row>
    <row r="257" spans="2:4" ht="15.75" customHeight="1" x14ac:dyDescent="0.25">
      <c r="B257" s="12"/>
      <c r="D257" s="6"/>
    </row>
    <row r="258" spans="2:4" ht="15.75" customHeight="1" x14ac:dyDescent="0.25">
      <c r="B258" s="12"/>
      <c r="D258" s="6"/>
    </row>
    <row r="259" spans="2:4" ht="15.75" customHeight="1" x14ac:dyDescent="0.25">
      <c r="B259" s="12"/>
      <c r="D259" s="6"/>
    </row>
    <row r="260" spans="2:4" ht="15.75" customHeight="1" x14ac:dyDescent="0.25">
      <c r="B260" s="12"/>
      <c r="D260" s="6"/>
    </row>
    <row r="261" spans="2:4" ht="15.75" customHeight="1" x14ac:dyDescent="0.25">
      <c r="B261" s="12"/>
      <c r="D261" s="6"/>
    </row>
    <row r="262" spans="2:4" ht="15.75" customHeight="1" x14ac:dyDescent="0.25">
      <c r="B262" s="12"/>
      <c r="D262" s="6"/>
    </row>
    <row r="263" spans="2:4" ht="15.75" customHeight="1" x14ac:dyDescent="0.25">
      <c r="B263" s="12"/>
      <c r="D263" s="6"/>
    </row>
    <row r="264" spans="2:4" ht="15.75" customHeight="1" x14ac:dyDescent="0.25">
      <c r="B264" s="12"/>
      <c r="D264" s="6"/>
    </row>
    <row r="265" spans="2:4" ht="15.75" customHeight="1" x14ac:dyDescent="0.25">
      <c r="B265" s="12"/>
      <c r="D265" s="6"/>
    </row>
    <row r="266" spans="2:4" ht="15" customHeight="1" x14ac:dyDescent="0.2">
      <c r="D266" s="6"/>
    </row>
    <row r="267" spans="2:4" ht="15" customHeight="1" x14ac:dyDescent="0.2">
      <c r="D267" s="6"/>
    </row>
    <row r="268" spans="2:4" ht="15" customHeight="1" x14ac:dyDescent="0.2">
      <c r="D268" s="6"/>
    </row>
    <row r="269" spans="2:4" ht="15" customHeight="1" x14ac:dyDescent="0.2">
      <c r="D269" s="6"/>
    </row>
    <row r="270" spans="2:4" ht="15" customHeight="1" x14ac:dyDescent="0.2">
      <c r="D270" s="6"/>
    </row>
    <row r="271" spans="2:4" ht="15" customHeight="1" x14ac:dyDescent="0.2">
      <c r="D271" s="6"/>
    </row>
    <row r="272" spans="2:4" ht="15" customHeight="1" x14ac:dyDescent="0.2">
      <c r="D272" s="6"/>
    </row>
    <row r="273" spans="4:4" ht="15" customHeight="1" x14ac:dyDescent="0.2">
      <c r="D273" s="6"/>
    </row>
    <row r="274" spans="4:4" ht="15" customHeight="1" x14ac:dyDescent="0.2">
      <c r="D274" s="6"/>
    </row>
    <row r="275" spans="4:4" ht="15" customHeight="1" x14ac:dyDescent="0.2">
      <c r="D275" s="6"/>
    </row>
    <row r="276" spans="4:4" ht="15" customHeight="1" x14ac:dyDescent="0.2">
      <c r="D276" s="6"/>
    </row>
    <row r="277" spans="4:4" ht="15" customHeight="1" x14ac:dyDescent="0.2">
      <c r="D277" s="6"/>
    </row>
    <row r="278" spans="4:4" ht="15" customHeight="1" x14ac:dyDescent="0.2">
      <c r="D278" s="6"/>
    </row>
    <row r="279" spans="4:4" ht="15" customHeight="1" x14ac:dyDescent="0.2">
      <c r="D279" s="6"/>
    </row>
    <row r="280" spans="4:4" ht="15" customHeight="1" x14ac:dyDescent="0.2">
      <c r="D280" s="6"/>
    </row>
    <row r="281" spans="4:4" ht="15" customHeight="1" x14ac:dyDescent="0.2">
      <c r="D281" s="6"/>
    </row>
    <row r="282" spans="4:4" ht="15" customHeight="1" x14ac:dyDescent="0.2">
      <c r="D282" s="6"/>
    </row>
    <row r="283" spans="4:4" ht="15" customHeight="1" x14ac:dyDescent="0.2">
      <c r="D283" s="6"/>
    </row>
    <row r="284" spans="4:4" ht="15" customHeight="1" x14ac:dyDescent="0.2">
      <c r="D284" s="6"/>
    </row>
    <row r="285" spans="4:4" ht="15" customHeight="1" x14ac:dyDescent="0.2">
      <c r="D285" s="6"/>
    </row>
    <row r="286" spans="4:4" ht="15" customHeight="1" x14ac:dyDescent="0.2">
      <c r="D286" s="6"/>
    </row>
    <row r="287" spans="4:4" ht="15" customHeight="1" x14ac:dyDescent="0.2">
      <c r="D287" s="6"/>
    </row>
    <row r="288" spans="4:4" ht="15" customHeight="1" x14ac:dyDescent="0.2">
      <c r="D288" s="6"/>
    </row>
    <row r="289" spans="4:4" ht="15" customHeight="1" x14ac:dyDescent="0.2">
      <c r="D289" s="6"/>
    </row>
    <row r="290" spans="4:4" ht="15" customHeight="1" x14ac:dyDescent="0.2">
      <c r="D290" s="6"/>
    </row>
    <row r="291" spans="4:4" ht="15" customHeight="1" x14ac:dyDescent="0.2">
      <c r="D291" s="6"/>
    </row>
    <row r="292" spans="4:4" ht="15" customHeight="1" x14ac:dyDescent="0.2">
      <c r="D292" s="6"/>
    </row>
    <row r="293" spans="4:4" ht="15" customHeight="1" x14ac:dyDescent="0.2">
      <c r="D293" s="6"/>
    </row>
    <row r="294" spans="4:4" ht="15" customHeight="1" x14ac:dyDescent="0.2">
      <c r="D294" s="6"/>
    </row>
    <row r="295" spans="4:4" ht="15" customHeight="1" x14ac:dyDescent="0.2">
      <c r="D295" s="6"/>
    </row>
    <row r="296" spans="4:4" ht="15" customHeight="1" x14ac:dyDescent="0.2">
      <c r="D296" s="6"/>
    </row>
    <row r="297" spans="4:4" ht="15" customHeight="1" x14ac:dyDescent="0.2">
      <c r="D297" s="6"/>
    </row>
    <row r="298" spans="4:4" ht="15" customHeight="1" x14ac:dyDescent="0.2">
      <c r="D298" s="6"/>
    </row>
    <row r="299" spans="4:4" ht="15" customHeight="1" x14ac:dyDescent="0.2">
      <c r="D299" s="6"/>
    </row>
    <row r="300" spans="4:4" ht="15" customHeight="1" x14ac:dyDescent="0.2">
      <c r="D300" s="6"/>
    </row>
    <row r="301" spans="4:4" ht="15" customHeight="1" x14ac:dyDescent="0.2">
      <c r="D301" s="6"/>
    </row>
    <row r="302" spans="4:4" ht="15" customHeight="1" x14ac:dyDescent="0.2">
      <c r="D302" s="6"/>
    </row>
    <row r="303" spans="4:4" ht="15" customHeight="1" x14ac:dyDescent="0.2">
      <c r="D303" s="6"/>
    </row>
    <row r="304" spans="4:4" ht="15" customHeight="1" x14ac:dyDescent="0.2">
      <c r="D304" s="6"/>
    </row>
    <row r="305" spans="4:4" ht="15" customHeight="1" x14ac:dyDescent="0.2">
      <c r="D305" s="6"/>
    </row>
    <row r="306" spans="4:4" ht="15" customHeight="1" x14ac:dyDescent="0.2">
      <c r="D306" s="6"/>
    </row>
    <row r="307" spans="4:4" ht="15" customHeight="1" x14ac:dyDescent="0.2">
      <c r="D307" s="6"/>
    </row>
    <row r="308" spans="4:4" ht="15" customHeight="1" x14ac:dyDescent="0.2">
      <c r="D308" s="6"/>
    </row>
    <row r="309" spans="4:4" ht="15" customHeight="1" x14ac:dyDescent="0.2">
      <c r="D309" s="6"/>
    </row>
    <row r="310" spans="4:4" ht="15" customHeight="1" x14ac:dyDescent="0.2">
      <c r="D310" s="6"/>
    </row>
    <row r="311" spans="4:4" ht="15" customHeight="1" x14ac:dyDescent="0.2">
      <c r="D311" s="6"/>
    </row>
    <row r="312" spans="4:4" ht="15" customHeight="1" x14ac:dyDescent="0.2">
      <c r="D312" s="6"/>
    </row>
    <row r="313" spans="4:4" ht="15" customHeight="1" x14ac:dyDescent="0.2">
      <c r="D313" s="6"/>
    </row>
    <row r="314" spans="4:4" ht="15" customHeight="1" x14ac:dyDescent="0.2">
      <c r="D314" s="6"/>
    </row>
    <row r="315" spans="4:4" ht="15" customHeight="1" x14ac:dyDescent="0.2">
      <c r="D315" s="6"/>
    </row>
    <row r="316" spans="4:4" ht="15" customHeight="1" x14ac:dyDescent="0.2">
      <c r="D316" s="6"/>
    </row>
    <row r="317" spans="4:4" ht="15" customHeight="1" x14ac:dyDescent="0.2">
      <c r="D317" s="6"/>
    </row>
    <row r="318" spans="4:4" ht="15" customHeight="1" x14ac:dyDescent="0.2">
      <c r="D318" s="6"/>
    </row>
    <row r="319" spans="4:4" ht="15" customHeight="1" x14ac:dyDescent="0.2">
      <c r="D319" s="6"/>
    </row>
    <row r="320" spans="4:4" ht="15" customHeight="1" x14ac:dyDescent="0.2">
      <c r="D320" s="6"/>
    </row>
    <row r="321" spans="4:4" ht="15" customHeight="1" x14ac:dyDescent="0.2">
      <c r="D321" s="6"/>
    </row>
    <row r="322" spans="4:4" ht="15" customHeight="1" x14ac:dyDescent="0.2">
      <c r="D322" s="6"/>
    </row>
    <row r="323" spans="4:4" ht="15" customHeight="1" x14ac:dyDescent="0.2">
      <c r="D323" s="6"/>
    </row>
    <row r="324" spans="4:4" ht="15" customHeight="1" x14ac:dyDescent="0.2">
      <c r="D324" s="6"/>
    </row>
    <row r="325" spans="4:4" ht="15" customHeight="1" x14ac:dyDescent="0.2">
      <c r="D325" s="6"/>
    </row>
    <row r="326" spans="4:4" ht="15" customHeight="1" x14ac:dyDescent="0.2">
      <c r="D326" s="6"/>
    </row>
    <row r="327" spans="4:4" ht="15" customHeight="1" x14ac:dyDescent="0.2">
      <c r="D327" s="6"/>
    </row>
    <row r="328" spans="4:4" ht="15" customHeight="1" x14ac:dyDescent="0.2">
      <c r="D328" s="6"/>
    </row>
    <row r="329" spans="4:4" ht="15" customHeight="1" x14ac:dyDescent="0.2">
      <c r="D329" s="6"/>
    </row>
    <row r="330" spans="4:4" ht="15" customHeight="1" x14ac:dyDescent="0.2">
      <c r="D330" s="6"/>
    </row>
    <row r="331" spans="4:4" ht="15" customHeight="1" x14ac:dyDescent="0.2">
      <c r="D331" s="6"/>
    </row>
    <row r="332" spans="4:4" ht="15" customHeight="1" x14ac:dyDescent="0.2">
      <c r="D332" s="6"/>
    </row>
    <row r="333" spans="4:4" ht="15" customHeight="1" x14ac:dyDescent="0.2">
      <c r="D333" s="6"/>
    </row>
    <row r="334" spans="4:4" ht="15" customHeight="1" x14ac:dyDescent="0.2">
      <c r="D334" s="6"/>
    </row>
    <row r="335" spans="4:4" ht="15" customHeight="1" x14ac:dyDescent="0.2">
      <c r="D335" s="6"/>
    </row>
    <row r="336" spans="4:4" ht="15" customHeight="1" x14ac:dyDescent="0.2">
      <c r="D336" s="6"/>
    </row>
    <row r="337" spans="4:4" ht="15" customHeight="1" x14ac:dyDescent="0.2">
      <c r="D337" s="6"/>
    </row>
    <row r="338" spans="4:4" ht="15" customHeight="1" x14ac:dyDescent="0.2">
      <c r="D338" s="6"/>
    </row>
    <row r="339" spans="4:4" ht="15" customHeight="1" x14ac:dyDescent="0.2">
      <c r="D339" s="6"/>
    </row>
    <row r="340" spans="4:4" ht="15" customHeight="1" x14ac:dyDescent="0.2">
      <c r="D340" s="6"/>
    </row>
    <row r="341" spans="4:4" ht="15" customHeight="1" x14ac:dyDescent="0.2">
      <c r="D341" s="6"/>
    </row>
    <row r="342" spans="4:4" ht="15" customHeight="1" x14ac:dyDescent="0.2">
      <c r="D342" s="6"/>
    </row>
    <row r="343" spans="4:4" ht="15" customHeight="1" x14ac:dyDescent="0.2">
      <c r="D343" s="6"/>
    </row>
    <row r="344" spans="4:4" ht="15" customHeight="1" x14ac:dyDescent="0.2">
      <c r="D344" s="6"/>
    </row>
    <row r="345" spans="4:4" ht="15" customHeight="1" x14ac:dyDescent="0.2">
      <c r="D345" s="6"/>
    </row>
    <row r="346" spans="4:4" ht="15" customHeight="1" x14ac:dyDescent="0.2">
      <c r="D346" s="6"/>
    </row>
    <row r="347" spans="4:4" ht="15" customHeight="1" x14ac:dyDescent="0.2">
      <c r="D347" s="6"/>
    </row>
    <row r="348" spans="4:4" ht="15" customHeight="1" x14ac:dyDescent="0.2">
      <c r="D348" s="6"/>
    </row>
    <row r="349" spans="4:4" ht="15" customHeight="1" x14ac:dyDescent="0.2">
      <c r="D349" s="6"/>
    </row>
    <row r="350" spans="4:4" ht="15" customHeight="1" x14ac:dyDescent="0.2">
      <c r="D350" s="6"/>
    </row>
    <row r="351" spans="4:4" ht="15" customHeight="1" x14ac:dyDescent="0.2">
      <c r="D351" s="6"/>
    </row>
    <row r="352" spans="4:4" ht="15" customHeight="1" x14ac:dyDescent="0.2">
      <c r="D352" s="6"/>
    </row>
    <row r="353" spans="4:4" ht="15" customHeight="1" x14ac:dyDescent="0.2">
      <c r="D353" s="6"/>
    </row>
    <row r="354" spans="4:4" ht="15" customHeight="1" x14ac:dyDescent="0.2">
      <c r="D354" s="6"/>
    </row>
    <row r="355" spans="4:4" ht="15" customHeight="1" x14ac:dyDescent="0.2">
      <c r="D355" s="6"/>
    </row>
    <row r="356" spans="4:4" ht="15" customHeight="1" x14ac:dyDescent="0.2">
      <c r="D356" s="6"/>
    </row>
    <row r="357" spans="4:4" ht="15" customHeight="1" x14ac:dyDescent="0.2">
      <c r="D357" s="6"/>
    </row>
    <row r="358" spans="4:4" ht="15" customHeight="1" x14ac:dyDescent="0.2">
      <c r="D358" s="6"/>
    </row>
    <row r="359" spans="4:4" ht="15" customHeight="1" x14ac:dyDescent="0.2">
      <c r="D359" s="6"/>
    </row>
    <row r="360" spans="4:4" ht="15" customHeight="1" x14ac:dyDescent="0.2">
      <c r="D360" s="6"/>
    </row>
    <row r="361" spans="4:4" ht="15" customHeight="1" x14ac:dyDescent="0.2">
      <c r="D361" s="6"/>
    </row>
    <row r="362" spans="4:4" ht="15" customHeight="1" x14ac:dyDescent="0.2">
      <c r="D362" s="6"/>
    </row>
    <row r="363" spans="4:4" ht="15" customHeight="1" x14ac:dyDescent="0.2">
      <c r="D363" s="6"/>
    </row>
    <row r="364" spans="4:4" ht="15" customHeight="1" x14ac:dyDescent="0.2">
      <c r="D364" s="6"/>
    </row>
    <row r="365" spans="4:4" ht="15" customHeight="1" x14ac:dyDescent="0.2">
      <c r="D365" s="6"/>
    </row>
    <row r="366" spans="4:4" ht="15" customHeight="1" x14ac:dyDescent="0.2">
      <c r="D366" s="6"/>
    </row>
    <row r="367" spans="4:4" ht="15" customHeight="1" x14ac:dyDescent="0.2">
      <c r="D367" s="6"/>
    </row>
    <row r="368" spans="4:4" ht="15" customHeight="1" x14ac:dyDescent="0.2">
      <c r="D368" s="6"/>
    </row>
    <row r="369" spans="4:4" ht="15" customHeight="1" x14ac:dyDescent="0.2">
      <c r="D369" s="6"/>
    </row>
    <row r="370" spans="4:4" ht="15" customHeight="1" x14ac:dyDescent="0.2">
      <c r="D370" s="6"/>
    </row>
    <row r="371" spans="4:4" ht="15" customHeight="1" x14ac:dyDescent="0.2">
      <c r="D371" s="6"/>
    </row>
    <row r="372" spans="4:4" ht="15" customHeight="1" x14ac:dyDescent="0.2">
      <c r="D372" s="6"/>
    </row>
    <row r="373" spans="4:4" ht="15" customHeight="1" x14ac:dyDescent="0.2">
      <c r="D373" s="6"/>
    </row>
    <row r="374" spans="4:4" ht="15" customHeight="1" x14ac:dyDescent="0.2">
      <c r="D374" s="6"/>
    </row>
    <row r="375" spans="4:4" ht="15" customHeight="1" x14ac:dyDescent="0.2">
      <c r="D375" s="6"/>
    </row>
    <row r="376" spans="4:4" ht="15" customHeight="1" x14ac:dyDescent="0.2">
      <c r="D376" s="6"/>
    </row>
    <row r="377" spans="4:4" ht="15" customHeight="1" x14ac:dyDescent="0.2">
      <c r="D377" s="6"/>
    </row>
    <row r="378" spans="4:4" ht="15" customHeight="1" x14ac:dyDescent="0.2">
      <c r="D378" s="6"/>
    </row>
    <row r="379" spans="4:4" ht="15" customHeight="1" x14ac:dyDescent="0.2">
      <c r="D379" s="6"/>
    </row>
    <row r="380" spans="4:4" ht="15" customHeight="1" x14ac:dyDescent="0.2">
      <c r="D380" s="6"/>
    </row>
    <row r="381" spans="4:4" ht="15" customHeight="1" x14ac:dyDescent="0.2">
      <c r="D381" s="6"/>
    </row>
    <row r="382" spans="4:4" ht="15" customHeight="1" x14ac:dyDescent="0.2">
      <c r="D382" s="6"/>
    </row>
    <row r="383" spans="4:4" ht="15" customHeight="1" x14ac:dyDescent="0.2">
      <c r="D383" s="6"/>
    </row>
    <row r="384" spans="4:4" ht="15" customHeight="1" x14ac:dyDescent="0.2">
      <c r="D384" s="6"/>
    </row>
    <row r="385" spans="4:4" ht="15" customHeight="1" x14ac:dyDescent="0.2">
      <c r="D385" s="6"/>
    </row>
    <row r="386" spans="4:4" ht="15" customHeight="1" x14ac:dyDescent="0.2">
      <c r="D386" s="6"/>
    </row>
    <row r="387" spans="4:4" ht="15" customHeight="1" x14ac:dyDescent="0.2">
      <c r="D387" s="6"/>
    </row>
    <row r="388" spans="4:4" ht="15" customHeight="1" x14ac:dyDescent="0.2">
      <c r="D388" s="6"/>
    </row>
    <row r="389" spans="4:4" ht="15" customHeight="1" x14ac:dyDescent="0.2">
      <c r="D389" s="6"/>
    </row>
    <row r="390" spans="4:4" ht="12.75" customHeight="1" x14ac:dyDescent="0.2"/>
    <row r="391" spans="4:4" ht="12.75" customHeight="1" x14ac:dyDescent="0.2"/>
    <row r="392" spans="4:4" ht="12.75" customHeight="1" x14ac:dyDescent="0.2"/>
    <row r="393" spans="4:4" ht="12.75" customHeight="1" x14ac:dyDescent="0.2"/>
    <row r="394" spans="4:4" ht="12.75" customHeight="1" x14ac:dyDescent="0.2"/>
    <row r="395" spans="4:4" ht="12.75" customHeight="1" x14ac:dyDescent="0.2"/>
    <row r="396" spans="4:4" ht="12.75" customHeight="1" x14ac:dyDescent="0.2"/>
    <row r="397" spans="4:4" ht="12.75" customHeight="1" x14ac:dyDescent="0.2"/>
    <row r="398" spans="4:4" ht="12.75" customHeight="1" x14ac:dyDescent="0.2"/>
    <row r="399" spans="4:4" ht="12.75" customHeight="1" x14ac:dyDescent="0.2"/>
    <row r="400" spans="4:4"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row r="1007" ht="12.75" customHeight="1" x14ac:dyDescent="0.2"/>
    <row r="1008" ht="12.75" customHeight="1" x14ac:dyDescent="0.2"/>
    <row r="1009" ht="12.75" customHeight="1" x14ac:dyDescent="0.2"/>
    <row r="1010" ht="12.75" customHeight="1" x14ac:dyDescent="0.2"/>
    <row r="1011" ht="12.75" customHeight="1" x14ac:dyDescent="0.2"/>
    <row r="1012" ht="12.75" customHeight="1" x14ac:dyDescent="0.2"/>
    <row r="1013" ht="12.75" customHeight="1" x14ac:dyDescent="0.2"/>
    <row r="1014" ht="12.75" customHeight="1" x14ac:dyDescent="0.2"/>
    <row r="1015" ht="12.75" customHeight="1" x14ac:dyDescent="0.2"/>
    <row r="1016" ht="12.75" customHeight="1" x14ac:dyDescent="0.2"/>
    <row r="1017" ht="12.75" customHeight="1" x14ac:dyDescent="0.2"/>
    <row r="1018" ht="12.75" customHeight="1" x14ac:dyDescent="0.2"/>
    <row r="1019" ht="12.75" customHeight="1" x14ac:dyDescent="0.2"/>
    <row r="1020" ht="12.75" customHeight="1" x14ac:dyDescent="0.2"/>
    <row r="1021" ht="12.75" customHeight="1" x14ac:dyDescent="0.2"/>
    <row r="1022" ht="12.75" customHeight="1" x14ac:dyDescent="0.2"/>
    <row r="1023" ht="12.75" customHeight="1" x14ac:dyDescent="0.2"/>
    <row r="1024" ht="12.75" customHeight="1" x14ac:dyDescent="0.2"/>
    <row r="1025" ht="12.75" customHeight="1" x14ac:dyDescent="0.2"/>
    <row r="1026" ht="12.75" customHeight="1" x14ac:dyDescent="0.2"/>
    <row r="1027" ht="12.75" customHeight="1" x14ac:dyDescent="0.2"/>
    <row r="1028" ht="12.75" customHeight="1" x14ac:dyDescent="0.2"/>
    <row r="1029" ht="12.75" customHeight="1" x14ac:dyDescent="0.2"/>
    <row r="1030" ht="12.75" customHeight="1" x14ac:dyDescent="0.2"/>
    <row r="1031" ht="12.75" customHeight="1" x14ac:dyDescent="0.2"/>
    <row r="1032" ht="12.75" customHeight="1" x14ac:dyDescent="0.2"/>
    <row r="1033" ht="12.75" customHeight="1" x14ac:dyDescent="0.2"/>
    <row r="1034" ht="12.75" customHeight="1" x14ac:dyDescent="0.2"/>
    <row r="1035" ht="12.75" customHeight="1" x14ac:dyDescent="0.2"/>
    <row r="1036" ht="12.75" customHeight="1" x14ac:dyDescent="0.2"/>
    <row r="1037" ht="12.75" customHeight="1" x14ac:dyDescent="0.2"/>
    <row r="1038" ht="12.75" customHeight="1" x14ac:dyDescent="0.2"/>
    <row r="1039" ht="12.75" customHeight="1" x14ac:dyDescent="0.2"/>
    <row r="1040" ht="12.75" customHeight="1" x14ac:dyDescent="0.2"/>
    <row r="1041" ht="12.75" customHeight="1" x14ac:dyDescent="0.2"/>
    <row r="1042" ht="12.75" customHeight="1" x14ac:dyDescent="0.2"/>
    <row r="1043" ht="12.75" customHeight="1" x14ac:dyDescent="0.2"/>
    <row r="1044" ht="12.75" customHeight="1" x14ac:dyDescent="0.2"/>
    <row r="1045" ht="12.75" customHeight="1" x14ac:dyDescent="0.2"/>
    <row r="1046" ht="12.75" customHeight="1" x14ac:dyDescent="0.2"/>
    <row r="1047" ht="12.75" customHeight="1" x14ac:dyDescent="0.2"/>
    <row r="1048" ht="12.75" customHeight="1" x14ac:dyDescent="0.2"/>
    <row r="1049" ht="12.75" customHeight="1" x14ac:dyDescent="0.2"/>
    <row r="1050" ht="12.75" customHeight="1" x14ac:dyDescent="0.2"/>
    <row r="1051" ht="12.75" customHeight="1" x14ac:dyDescent="0.2"/>
    <row r="1052" ht="12.75" customHeight="1" x14ac:dyDescent="0.2"/>
    <row r="1053" ht="12.75" customHeight="1" x14ac:dyDescent="0.2"/>
    <row r="1054" ht="12.75" customHeight="1" x14ac:dyDescent="0.2"/>
    <row r="1055" ht="12.75" customHeight="1" x14ac:dyDescent="0.2"/>
    <row r="1056" ht="12.75" customHeight="1" x14ac:dyDescent="0.2"/>
    <row r="1057" ht="12.75" customHeight="1" x14ac:dyDescent="0.2"/>
    <row r="1058" ht="12.75" customHeight="1" x14ac:dyDescent="0.2"/>
    <row r="1059" ht="12.75" customHeight="1" x14ac:dyDescent="0.2"/>
    <row r="1060" ht="12.75" customHeight="1" x14ac:dyDescent="0.2"/>
    <row r="1061" ht="12.75" customHeight="1" x14ac:dyDescent="0.2"/>
    <row r="1062" ht="12.75" customHeight="1" x14ac:dyDescent="0.2"/>
    <row r="1063" ht="12.75" customHeight="1" x14ac:dyDescent="0.2"/>
    <row r="1064" ht="12.75" customHeight="1" x14ac:dyDescent="0.2"/>
    <row r="1065" ht="12.75" customHeight="1" x14ac:dyDescent="0.2"/>
    <row r="1066" ht="12.75" customHeight="1" x14ac:dyDescent="0.2"/>
    <row r="1067" ht="12.75" customHeight="1" x14ac:dyDescent="0.2"/>
    <row r="1068" ht="12.75" customHeight="1" x14ac:dyDescent="0.2"/>
    <row r="1069" ht="12.75" customHeight="1" x14ac:dyDescent="0.2"/>
    <row r="1070" ht="12.75" customHeight="1" x14ac:dyDescent="0.2"/>
    <row r="1071" ht="12.75" customHeight="1" x14ac:dyDescent="0.2"/>
    <row r="1072" ht="12.75" customHeight="1" x14ac:dyDescent="0.2"/>
    <row r="1073" ht="12.75" customHeight="1" x14ac:dyDescent="0.2"/>
    <row r="1074" ht="12.75" customHeight="1" x14ac:dyDescent="0.2"/>
    <row r="1075" ht="12.75" customHeight="1" x14ac:dyDescent="0.2"/>
    <row r="1076" ht="12.75" customHeight="1" x14ac:dyDescent="0.2"/>
    <row r="1077" ht="12.75" customHeight="1" x14ac:dyDescent="0.2"/>
    <row r="1078" ht="12.75" customHeight="1" x14ac:dyDescent="0.2"/>
    <row r="1079" ht="12.75" customHeight="1" x14ac:dyDescent="0.2"/>
    <row r="1080" ht="12.75" customHeight="1" x14ac:dyDescent="0.2"/>
    <row r="1081" ht="12.75" customHeight="1" x14ac:dyDescent="0.2"/>
    <row r="1082" ht="12.75" customHeight="1" x14ac:dyDescent="0.2"/>
    <row r="1083" ht="12.75" customHeight="1" x14ac:dyDescent="0.2"/>
    <row r="1084" ht="12.75" customHeight="1" x14ac:dyDescent="0.2"/>
    <row r="1085" ht="12.75" customHeight="1" x14ac:dyDescent="0.2"/>
    <row r="1086" ht="12.75" customHeight="1" x14ac:dyDescent="0.2"/>
    <row r="1087" ht="12.75" customHeight="1" x14ac:dyDescent="0.2"/>
    <row r="1088" ht="12.75" customHeight="1" x14ac:dyDescent="0.2"/>
    <row r="1089" ht="12.75" customHeight="1" x14ac:dyDescent="0.2"/>
    <row r="1090" ht="12.75" customHeight="1" x14ac:dyDescent="0.2"/>
    <row r="1091" ht="12.75" customHeight="1" x14ac:dyDescent="0.2"/>
    <row r="1092" ht="12.75" customHeight="1" x14ac:dyDescent="0.2"/>
    <row r="1093" ht="12.75" customHeight="1" x14ac:dyDescent="0.2"/>
    <row r="1094" ht="12.75" customHeight="1" x14ac:dyDescent="0.2"/>
    <row r="1095" ht="12.75" customHeight="1" x14ac:dyDescent="0.2"/>
    <row r="1096" ht="12.75" customHeight="1" x14ac:dyDescent="0.2"/>
    <row r="1097" ht="12.75" customHeight="1" x14ac:dyDescent="0.2"/>
    <row r="1098" ht="12.75" customHeight="1" x14ac:dyDescent="0.2"/>
    <row r="1099" ht="12.75" customHeight="1" x14ac:dyDescent="0.2"/>
    <row r="1100" ht="12.75" customHeight="1" x14ac:dyDescent="0.2"/>
    <row r="1101" ht="12.75" customHeight="1" x14ac:dyDescent="0.2"/>
    <row r="1102" ht="12.75" customHeight="1" x14ac:dyDescent="0.2"/>
    <row r="1103" ht="12.75" customHeight="1" x14ac:dyDescent="0.2"/>
    <row r="1104" ht="12.75" customHeight="1" x14ac:dyDescent="0.2"/>
    <row r="1105" ht="12.75" customHeight="1" x14ac:dyDescent="0.2"/>
    <row r="1106" ht="12.75" customHeight="1" x14ac:dyDescent="0.2"/>
    <row r="1107" ht="12.75" customHeight="1" x14ac:dyDescent="0.2"/>
    <row r="1108" ht="12.75" customHeight="1" x14ac:dyDescent="0.2"/>
    <row r="1109" ht="12.75" customHeight="1" x14ac:dyDescent="0.2"/>
    <row r="1110" ht="12.75" customHeight="1" x14ac:dyDescent="0.2"/>
    <row r="1111" ht="12.75" customHeight="1" x14ac:dyDescent="0.2"/>
    <row r="1112" ht="12.75" customHeight="1" x14ac:dyDescent="0.2"/>
    <row r="1113" ht="12.75" customHeight="1" x14ac:dyDescent="0.2"/>
    <row r="1114" ht="12.75" customHeight="1" x14ac:dyDescent="0.2"/>
    <row r="1115" ht="12.75" customHeight="1" x14ac:dyDescent="0.2"/>
    <row r="1116" ht="12.75" customHeight="1" x14ac:dyDescent="0.2"/>
    <row r="1117" ht="12.75" customHeight="1" x14ac:dyDescent="0.2"/>
    <row r="1118" ht="12.75" customHeight="1" x14ac:dyDescent="0.2"/>
    <row r="1119" ht="12.75" customHeight="1" x14ac:dyDescent="0.2"/>
    <row r="1120" ht="12.75" customHeight="1" x14ac:dyDescent="0.2"/>
    <row r="1121" ht="12.75" customHeight="1" x14ac:dyDescent="0.2"/>
    <row r="1122" ht="12.75" customHeight="1" x14ac:dyDescent="0.2"/>
    <row r="1123" ht="12.75" customHeight="1" x14ac:dyDescent="0.2"/>
    <row r="1124" ht="12.75" customHeight="1" x14ac:dyDescent="0.2"/>
    <row r="1125" ht="12.75" customHeight="1" x14ac:dyDescent="0.2"/>
    <row r="1126" ht="12.75" customHeight="1" x14ac:dyDescent="0.2"/>
    <row r="1127" ht="12.75" customHeight="1" x14ac:dyDescent="0.2"/>
    <row r="1128" ht="12.75" customHeight="1" x14ac:dyDescent="0.2"/>
    <row r="1129" ht="12.75" customHeight="1" x14ac:dyDescent="0.2"/>
    <row r="1130" ht="12.75" customHeight="1" x14ac:dyDescent="0.2"/>
    <row r="1131" ht="12.75" customHeight="1" x14ac:dyDescent="0.2"/>
    <row r="1132" ht="12.75" customHeight="1" x14ac:dyDescent="0.2"/>
    <row r="1133" ht="12.75" customHeight="1" x14ac:dyDescent="0.2"/>
    <row r="1134" ht="12.75" customHeight="1" x14ac:dyDescent="0.2"/>
    <row r="1135" ht="12.75" customHeight="1" x14ac:dyDescent="0.2"/>
    <row r="1136" ht="12.75" customHeight="1" x14ac:dyDescent="0.2"/>
    <row r="1137" ht="12.75" customHeight="1" x14ac:dyDescent="0.2"/>
    <row r="1138" ht="12.75" customHeight="1" x14ac:dyDescent="0.2"/>
    <row r="1139" ht="12.75" customHeight="1" x14ac:dyDescent="0.2"/>
    <row r="1140" ht="12.75" customHeight="1" x14ac:dyDescent="0.2"/>
    <row r="1141" ht="12.75" customHeight="1" x14ac:dyDescent="0.2"/>
    <row r="1142" ht="12.75" customHeight="1" x14ac:dyDescent="0.2"/>
    <row r="1143" ht="12.75" customHeight="1" x14ac:dyDescent="0.2"/>
    <row r="1144" ht="12.75" customHeight="1" x14ac:dyDescent="0.2"/>
    <row r="1145" ht="12.75" customHeight="1" x14ac:dyDescent="0.2"/>
    <row r="1146" ht="12.75" customHeight="1" x14ac:dyDescent="0.2"/>
    <row r="1147" ht="12.75" customHeight="1" x14ac:dyDescent="0.2"/>
    <row r="1148" ht="12.75" customHeight="1" x14ac:dyDescent="0.2"/>
    <row r="1149" ht="12.75" customHeight="1" x14ac:dyDescent="0.2"/>
    <row r="1150" ht="12.75" customHeight="1" x14ac:dyDescent="0.2"/>
    <row r="1151" ht="12.75" customHeight="1" x14ac:dyDescent="0.2"/>
    <row r="1152" ht="12.75" customHeight="1" x14ac:dyDescent="0.2"/>
    <row r="1153" ht="12.75" customHeight="1" x14ac:dyDescent="0.2"/>
    <row r="1154" ht="12.75" customHeight="1" x14ac:dyDescent="0.2"/>
    <row r="1155" ht="12.75" customHeight="1" x14ac:dyDescent="0.2"/>
    <row r="1156" ht="12.75" customHeight="1" x14ac:dyDescent="0.2"/>
    <row r="1157" ht="12.75" customHeight="1" x14ac:dyDescent="0.2"/>
    <row r="1158" ht="12.75" customHeight="1" x14ac:dyDescent="0.2"/>
    <row r="1159" ht="12.75" customHeight="1" x14ac:dyDescent="0.2"/>
    <row r="1160" ht="12.75" customHeight="1" x14ac:dyDescent="0.2"/>
    <row r="1161" ht="12.75" customHeight="1" x14ac:dyDescent="0.2"/>
    <row r="1162" ht="12.75" customHeight="1" x14ac:dyDescent="0.2"/>
    <row r="1163" ht="12.75" customHeight="1" x14ac:dyDescent="0.2"/>
    <row r="1164" ht="12.75" customHeight="1" x14ac:dyDescent="0.2"/>
    <row r="1165" ht="12.75" customHeight="1" x14ac:dyDescent="0.2"/>
    <row r="1166" ht="12.75" customHeight="1" x14ac:dyDescent="0.2"/>
    <row r="1167" ht="12.75" customHeight="1" x14ac:dyDescent="0.2"/>
    <row r="1168" ht="12.75" customHeight="1" x14ac:dyDescent="0.2"/>
    <row r="1169" ht="12.75" customHeight="1" x14ac:dyDescent="0.2"/>
    <row r="1170" ht="12.75" customHeight="1" x14ac:dyDescent="0.2"/>
    <row r="1171" ht="12.75" customHeight="1" x14ac:dyDescent="0.2"/>
    <row r="1172" ht="12.75" customHeight="1" x14ac:dyDescent="0.2"/>
    <row r="1173" ht="12.75" customHeight="1" x14ac:dyDescent="0.2"/>
    <row r="1174" ht="12.75" customHeight="1" x14ac:dyDescent="0.2"/>
    <row r="1175" ht="12.75" customHeight="1" x14ac:dyDescent="0.2"/>
    <row r="1176" ht="12.75" customHeight="1" x14ac:dyDescent="0.2"/>
    <row r="1177" ht="12.75" customHeight="1" x14ac:dyDescent="0.2"/>
    <row r="1178" ht="12.75" customHeight="1" x14ac:dyDescent="0.2"/>
    <row r="1179" ht="12.75" customHeight="1" x14ac:dyDescent="0.2"/>
    <row r="1180" ht="12.75" customHeight="1" x14ac:dyDescent="0.2"/>
    <row r="1181" ht="12.75" customHeight="1" x14ac:dyDescent="0.2"/>
    <row r="1182" ht="12.75" customHeight="1" x14ac:dyDescent="0.2"/>
    <row r="1183" ht="12.75" customHeight="1" x14ac:dyDescent="0.2"/>
    <row r="1184" ht="12.75" customHeight="1" x14ac:dyDescent="0.2"/>
    <row r="1185" ht="12.75" customHeight="1" x14ac:dyDescent="0.2"/>
    <row r="1186" ht="12.75" customHeight="1" x14ac:dyDescent="0.2"/>
    <row r="1187" ht="12.75" customHeight="1" x14ac:dyDescent="0.2"/>
    <row r="1188" ht="12.75" customHeight="1" x14ac:dyDescent="0.2"/>
    <row r="1189" ht="12.75" customHeight="1" x14ac:dyDescent="0.2"/>
    <row r="1190" ht="12.75" customHeight="1" x14ac:dyDescent="0.2"/>
    <row r="1191" ht="12.75" customHeight="1" x14ac:dyDescent="0.2"/>
    <row r="1192" ht="12.75" customHeight="1" x14ac:dyDescent="0.2"/>
    <row r="1193" ht="12.75" customHeight="1" x14ac:dyDescent="0.2"/>
    <row r="1194" ht="12.75" customHeight="1" x14ac:dyDescent="0.2"/>
    <row r="1195" ht="12.75" customHeight="1" x14ac:dyDescent="0.2"/>
    <row r="1196" ht="12.75" customHeight="1" x14ac:dyDescent="0.2"/>
    <row r="1197" ht="12.75" customHeight="1" x14ac:dyDescent="0.2"/>
    <row r="1198" ht="12.75" customHeight="1" x14ac:dyDescent="0.2"/>
    <row r="1199" ht="12.75" customHeight="1" x14ac:dyDescent="0.2"/>
    <row r="1200" ht="12.75" customHeight="1" x14ac:dyDescent="0.2"/>
    <row r="1201" ht="12.75" customHeight="1" x14ac:dyDescent="0.2"/>
    <row r="1202" ht="12.75" customHeight="1" x14ac:dyDescent="0.2"/>
    <row r="1203" ht="12.75" customHeight="1" x14ac:dyDescent="0.2"/>
    <row r="1204" ht="12.75" customHeight="1" x14ac:dyDescent="0.2"/>
    <row r="1205" ht="12.75" customHeight="1" x14ac:dyDescent="0.2"/>
    <row r="1206" ht="12.75" customHeight="1" x14ac:dyDescent="0.2"/>
    <row r="1207" ht="12.75" customHeight="1" x14ac:dyDescent="0.2"/>
    <row r="1208" ht="12.75" customHeight="1" x14ac:dyDescent="0.2"/>
    <row r="1209" ht="12.75" customHeight="1" x14ac:dyDescent="0.2"/>
    <row r="1210" ht="12.75" customHeight="1" x14ac:dyDescent="0.2"/>
    <row r="1211" ht="12.75" customHeight="1" x14ac:dyDescent="0.2"/>
    <row r="1212" ht="12.75" customHeight="1" x14ac:dyDescent="0.2"/>
    <row r="1213" ht="12.75" customHeight="1" x14ac:dyDescent="0.2"/>
    <row r="1214" ht="12.75" customHeight="1" x14ac:dyDescent="0.2"/>
    <row r="1215" ht="12.75" customHeight="1" x14ac:dyDescent="0.2"/>
    <row r="1216" ht="12.75" customHeight="1" x14ac:dyDescent="0.2"/>
    <row r="1217" ht="12.75" customHeight="1" x14ac:dyDescent="0.2"/>
    <row r="1218" ht="12.75" customHeight="1" x14ac:dyDescent="0.2"/>
    <row r="1219" ht="12.75" customHeight="1" x14ac:dyDescent="0.2"/>
    <row r="1220" ht="12.75" customHeight="1" x14ac:dyDescent="0.2"/>
    <row r="1221" ht="12.75" customHeight="1" x14ac:dyDescent="0.2"/>
    <row r="1222" ht="12.75" customHeight="1" x14ac:dyDescent="0.2"/>
    <row r="1223" ht="12.75" customHeight="1" x14ac:dyDescent="0.2"/>
    <row r="1224" ht="12.75" customHeight="1" x14ac:dyDescent="0.2"/>
    <row r="1225" ht="12.75" customHeight="1" x14ac:dyDescent="0.2"/>
    <row r="1226" ht="12.75" customHeight="1" x14ac:dyDescent="0.2"/>
    <row r="1227" ht="12.75" customHeight="1" x14ac:dyDescent="0.2"/>
    <row r="1228" ht="12.75" customHeight="1" x14ac:dyDescent="0.2"/>
    <row r="1229" ht="12.75" customHeight="1" x14ac:dyDescent="0.2"/>
    <row r="1230" ht="12.75" customHeight="1" x14ac:dyDescent="0.2"/>
    <row r="1231" ht="12.75" customHeight="1" x14ac:dyDescent="0.2"/>
    <row r="1232" ht="12.75" customHeight="1" x14ac:dyDescent="0.2"/>
    <row r="1233" ht="12.75" customHeight="1" x14ac:dyDescent="0.2"/>
    <row r="1234" ht="12.75" customHeight="1" x14ac:dyDescent="0.2"/>
    <row r="1235" ht="12.75" customHeight="1" x14ac:dyDescent="0.2"/>
    <row r="1236" ht="12.75" customHeight="1" x14ac:dyDescent="0.2"/>
    <row r="1237" ht="12.75" customHeight="1" x14ac:dyDescent="0.2"/>
    <row r="1238" ht="12.75" customHeight="1" x14ac:dyDescent="0.2"/>
    <row r="1239" ht="12.75" customHeight="1" x14ac:dyDescent="0.2"/>
    <row r="1240" ht="12.75" customHeight="1" x14ac:dyDescent="0.2"/>
    <row r="1241" ht="12.75" customHeight="1" x14ac:dyDescent="0.2"/>
    <row r="1242" ht="12.75" customHeight="1" x14ac:dyDescent="0.2"/>
    <row r="1243" ht="12.75" customHeight="1" x14ac:dyDescent="0.2"/>
    <row r="1244" ht="12.75" customHeight="1" x14ac:dyDescent="0.2"/>
    <row r="1245" ht="12.75" customHeight="1" x14ac:dyDescent="0.2"/>
    <row r="1246" ht="12.75" customHeight="1" x14ac:dyDescent="0.2"/>
    <row r="1247" ht="12.75" customHeight="1" x14ac:dyDescent="0.2"/>
    <row r="1248" ht="12.75" customHeight="1" x14ac:dyDescent="0.2"/>
    <row r="1249" ht="12.75" customHeight="1" x14ac:dyDescent="0.2"/>
    <row r="1250" ht="12.75" customHeight="1" x14ac:dyDescent="0.2"/>
    <row r="1251" ht="12.75" customHeight="1" x14ac:dyDescent="0.2"/>
    <row r="1252" ht="12.75" customHeight="1" x14ac:dyDescent="0.2"/>
    <row r="1253" ht="12.75" customHeight="1" x14ac:dyDescent="0.2"/>
    <row r="1254" ht="12.75" customHeight="1" x14ac:dyDescent="0.2"/>
    <row r="1255" ht="12.75" customHeight="1" x14ac:dyDescent="0.2"/>
    <row r="1256" ht="12.75" customHeight="1" x14ac:dyDescent="0.2"/>
    <row r="1257" ht="12.75" customHeight="1" x14ac:dyDescent="0.2"/>
    <row r="1258" ht="12.75" customHeight="1" x14ac:dyDescent="0.2"/>
    <row r="1259" ht="12.75" customHeight="1" x14ac:dyDescent="0.2"/>
    <row r="1260" ht="12.75" customHeight="1" x14ac:dyDescent="0.2"/>
    <row r="1261" ht="12.75" customHeight="1" x14ac:dyDescent="0.2"/>
    <row r="1262" ht="12.75" customHeight="1" x14ac:dyDescent="0.2"/>
    <row r="1263" ht="12.75" customHeight="1" x14ac:dyDescent="0.2"/>
    <row r="1264" ht="12.75" customHeight="1" x14ac:dyDescent="0.2"/>
    <row r="1265" ht="12.75" customHeight="1" x14ac:dyDescent="0.2"/>
    <row r="1266" ht="12.75" customHeight="1" x14ac:dyDescent="0.2"/>
    <row r="1267" ht="12.75" customHeight="1" x14ac:dyDescent="0.2"/>
    <row r="1268" ht="12.75" customHeight="1" x14ac:dyDescent="0.2"/>
    <row r="1269" ht="12.75" customHeight="1" x14ac:dyDescent="0.2"/>
    <row r="1270" ht="12.75" customHeight="1" x14ac:dyDescent="0.2"/>
    <row r="1271" ht="12.75" customHeight="1" x14ac:dyDescent="0.2"/>
    <row r="1272" ht="12.75" customHeight="1" x14ac:dyDescent="0.2"/>
    <row r="1273" ht="12.75" customHeight="1" x14ac:dyDescent="0.2"/>
    <row r="1274" ht="12.75" customHeight="1" x14ac:dyDescent="0.2"/>
    <row r="1275" ht="12.75" customHeight="1" x14ac:dyDescent="0.2"/>
    <row r="1276" ht="12.75" customHeight="1" x14ac:dyDescent="0.2"/>
    <row r="1277" ht="12.75" customHeight="1" x14ac:dyDescent="0.2"/>
    <row r="1278" ht="12.75" customHeight="1" x14ac:dyDescent="0.2"/>
    <row r="1279" ht="12.75" customHeight="1" x14ac:dyDescent="0.2"/>
    <row r="1280" ht="12.75" customHeight="1" x14ac:dyDescent="0.2"/>
    <row r="1281" ht="12.75" customHeight="1" x14ac:dyDescent="0.2"/>
    <row r="1282" ht="12.75" customHeight="1" x14ac:dyDescent="0.2"/>
    <row r="1283" ht="12.75" customHeight="1" x14ac:dyDescent="0.2"/>
    <row r="1284" ht="12.75" customHeight="1" x14ac:dyDescent="0.2"/>
    <row r="1285" ht="12.75" customHeight="1" x14ac:dyDescent="0.2"/>
    <row r="1286" ht="12.75" customHeight="1" x14ac:dyDescent="0.2"/>
    <row r="1287" ht="12.75" customHeight="1" x14ac:dyDescent="0.2"/>
    <row r="1288" ht="12.75" customHeight="1" x14ac:dyDescent="0.2"/>
    <row r="1289" ht="12.75" customHeight="1" x14ac:dyDescent="0.2"/>
    <row r="1290" ht="12.75" customHeight="1" x14ac:dyDescent="0.2"/>
    <row r="1291" ht="12.75" customHeight="1" x14ac:dyDescent="0.2"/>
    <row r="1292" ht="12.75" customHeight="1" x14ac:dyDescent="0.2"/>
    <row r="1293" ht="12.75" customHeight="1" x14ac:dyDescent="0.2"/>
    <row r="1294" ht="12.75" customHeight="1" x14ac:dyDescent="0.2"/>
    <row r="1295" ht="12.75" customHeight="1" x14ac:dyDescent="0.2"/>
    <row r="1296" ht="12.75" customHeight="1" x14ac:dyDescent="0.2"/>
    <row r="1297" ht="12.75" customHeight="1" x14ac:dyDescent="0.2"/>
    <row r="1298" ht="12.75" customHeight="1" x14ac:dyDescent="0.2"/>
    <row r="1299" ht="12.75" customHeight="1" x14ac:dyDescent="0.2"/>
    <row r="1300" ht="12.75" customHeight="1" x14ac:dyDescent="0.2"/>
    <row r="1301" ht="12.75" customHeight="1" x14ac:dyDescent="0.2"/>
    <row r="1302" ht="12.75" customHeight="1" x14ac:dyDescent="0.2"/>
    <row r="1303" ht="12.75" customHeight="1" x14ac:dyDescent="0.2"/>
    <row r="1304" ht="12.75" customHeight="1" x14ac:dyDescent="0.2"/>
    <row r="1305" ht="12.75" customHeight="1" x14ac:dyDescent="0.2"/>
    <row r="1306" ht="12.75" customHeight="1" x14ac:dyDescent="0.2"/>
    <row r="1307" ht="12.75" customHeight="1" x14ac:dyDescent="0.2"/>
    <row r="1308" ht="12.75" customHeight="1" x14ac:dyDescent="0.2"/>
    <row r="1309" ht="12.75" customHeight="1" x14ac:dyDescent="0.2"/>
    <row r="1310" ht="12.75" customHeight="1" x14ac:dyDescent="0.2"/>
    <row r="1311" ht="12.75" customHeight="1" x14ac:dyDescent="0.2"/>
    <row r="1312" ht="12.75" customHeight="1" x14ac:dyDescent="0.2"/>
    <row r="1313" ht="12.75" customHeight="1" x14ac:dyDescent="0.2"/>
    <row r="1314" ht="12.75" customHeight="1" x14ac:dyDescent="0.2"/>
    <row r="1315" ht="12.75" customHeight="1" x14ac:dyDescent="0.2"/>
    <row r="1316" ht="12.75" customHeight="1" x14ac:dyDescent="0.2"/>
    <row r="1317" ht="12.75" customHeight="1" x14ac:dyDescent="0.2"/>
    <row r="1318" ht="12.75" customHeight="1" x14ac:dyDescent="0.2"/>
    <row r="1319" ht="12.75" customHeight="1" x14ac:dyDescent="0.2"/>
    <row r="1320" ht="12.75" customHeight="1" x14ac:dyDescent="0.2"/>
    <row r="1321" ht="12.75" customHeight="1" x14ac:dyDescent="0.2"/>
    <row r="1322" ht="12.75" customHeight="1" x14ac:dyDescent="0.2"/>
    <row r="1323" ht="12.75" customHeight="1" x14ac:dyDescent="0.2"/>
    <row r="1324" ht="12.75" customHeight="1" x14ac:dyDescent="0.2"/>
    <row r="1325" ht="12.75" customHeight="1" x14ac:dyDescent="0.2"/>
    <row r="1326" ht="12.75" customHeight="1" x14ac:dyDescent="0.2"/>
    <row r="1327" ht="12.75" customHeight="1" x14ac:dyDescent="0.2"/>
    <row r="1328" ht="12.75" customHeight="1" x14ac:dyDescent="0.2"/>
    <row r="1329" ht="12.75" customHeight="1" x14ac:dyDescent="0.2"/>
    <row r="1330" ht="12.75" customHeight="1" x14ac:dyDescent="0.2"/>
    <row r="1331" ht="12.75" customHeight="1" x14ac:dyDescent="0.2"/>
    <row r="1332" ht="12.75" customHeight="1" x14ac:dyDescent="0.2"/>
    <row r="1333" ht="12.75" customHeight="1" x14ac:dyDescent="0.2"/>
    <row r="1334" ht="12.75" customHeight="1" x14ac:dyDescent="0.2"/>
    <row r="1335" ht="12.75" customHeight="1" x14ac:dyDescent="0.2"/>
    <row r="1336" ht="12.75" customHeight="1" x14ac:dyDescent="0.2"/>
    <row r="1337" ht="12.75" customHeight="1" x14ac:dyDescent="0.2"/>
    <row r="1338" ht="12.75" customHeight="1" x14ac:dyDescent="0.2"/>
    <row r="1339" ht="12.75" customHeight="1" x14ac:dyDescent="0.2"/>
    <row r="1340" ht="12.75" customHeight="1" x14ac:dyDescent="0.2"/>
    <row r="1341" ht="12.75" customHeight="1" x14ac:dyDescent="0.2"/>
    <row r="1342" ht="12.75" customHeight="1" x14ac:dyDescent="0.2"/>
    <row r="1343" ht="12.75" customHeight="1" x14ac:dyDescent="0.2"/>
    <row r="1344" ht="12.75" customHeight="1" x14ac:dyDescent="0.2"/>
    <row r="1345" ht="12.75" customHeight="1" x14ac:dyDescent="0.2"/>
    <row r="1346" ht="12.75" customHeight="1" x14ac:dyDescent="0.2"/>
    <row r="1347" ht="12.75" customHeight="1" x14ac:dyDescent="0.2"/>
    <row r="1348" ht="12.75" customHeight="1" x14ac:dyDescent="0.2"/>
    <row r="1349" ht="12.75" customHeight="1" x14ac:dyDescent="0.2"/>
    <row r="1350" ht="12.75" customHeight="1" x14ac:dyDescent="0.2"/>
    <row r="1351" ht="12.75" customHeight="1" x14ac:dyDescent="0.2"/>
    <row r="1352" ht="12.75" customHeight="1" x14ac:dyDescent="0.2"/>
    <row r="1353" ht="12.75" customHeight="1" x14ac:dyDescent="0.2"/>
    <row r="1354" ht="12.75" customHeight="1" x14ac:dyDescent="0.2"/>
    <row r="1355" ht="12.75" customHeight="1" x14ac:dyDescent="0.2"/>
    <row r="1356" ht="12.75" customHeight="1" x14ac:dyDescent="0.2"/>
    <row r="1357" ht="12.75" customHeight="1" x14ac:dyDescent="0.2"/>
    <row r="1358" ht="12.75" customHeight="1" x14ac:dyDescent="0.2"/>
    <row r="1359" ht="12.75" customHeight="1" x14ac:dyDescent="0.2"/>
    <row r="1360" ht="12.75" customHeight="1" x14ac:dyDescent="0.2"/>
    <row r="1361" ht="12.75" customHeight="1" x14ac:dyDescent="0.2"/>
    <row r="1362" ht="12.75" customHeight="1" x14ac:dyDescent="0.2"/>
    <row r="1363" ht="12.75" customHeight="1" x14ac:dyDescent="0.2"/>
    <row r="1364" ht="12.75" customHeight="1" x14ac:dyDescent="0.2"/>
    <row r="1365" ht="12.75" customHeight="1" x14ac:dyDescent="0.2"/>
    <row r="1366" ht="12.75" customHeight="1" x14ac:dyDescent="0.2"/>
    <row r="1367" ht="12.75" customHeight="1" x14ac:dyDescent="0.2"/>
    <row r="1368" ht="12.75" customHeight="1" x14ac:dyDescent="0.2"/>
    <row r="1369" ht="12.75" customHeight="1" x14ac:dyDescent="0.2"/>
    <row r="1370" ht="12.75" customHeight="1" x14ac:dyDescent="0.2"/>
    <row r="1371" ht="12.75" customHeight="1" x14ac:dyDescent="0.2"/>
    <row r="1372" ht="12.75" customHeight="1" x14ac:dyDescent="0.2"/>
    <row r="1373" ht="12.75" customHeight="1" x14ac:dyDescent="0.2"/>
    <row r="1374" ht="12.75" customHeight="1" x14ac:dyDescent="0.2"/>
    <row r="1375" ht="12.75" customHeight="1" x14ac:dyDescent="0.2"/>
    <row r="1376" ht="12.75" customHeight="1" x14ac:dyDescent="0.2"/>
    <row r="1377" ht="12.75" customHeight="1" x14ac:dyDescent="0.2"/>
    <row r="1378" ht="12.75" customHeight="1" x14ac:dyDescent="0.2"/>
    <row r="1379" ht="12.75" customHeight="1" x14ac:dyDescent="0.2"/>
    <row r="1380" ht="12.75" customHeight="1" x14ac:dyDescent="0.2"/>
    <row r="1381" ht="12.75" customHeight="1" x14ac:dyDescent="0.2"/>
    <row r="1382" ht="12.75" customHeight="1" x14ac:dyDescent="0.2"/>
    <row r="1383" ht="12.75" customHeight="1" x14ac:dyDescent="0.2"/>
    <row r="1384" ht="12.75" customHeight="1" x14ac:dyDescent="0.2"/>
    <row r="1385" ht="12.75" customHeight="1" x14ac:dyDescent="0.2"/>
    <row r="1386" ht="12.75" customHeight="1" x14ac:dyDescent="0.2"/>
    <row r="1387" ht="12.75" customHeight="1" x14ac:dyDescent="0.2"/>
    <row r="1388" ht="12.75" customHeight="1" x14ac:dyDescent="0.2"/>
    <row r="1389" ht="12.75" customHeight="1" x14ac:dyDescent="0.2"/>
    <row r="1390" ht="12.75" customHeight="1" x14ac:dyDescent="0.2"/>
    <row r="1391" ht="12.75" customHeight="1" x14ac:dyDescent="0.2"/>
    <row r="1392" ht="12.75" customHeight="1" x14ac:dyDescent="0.2"/>
    <row r="1393" ht="12.75" customHeight="1" x14ac:dyDescent="0.2"/>
    <row r="1394" ht="12.75" customHeight="1" x14ac:dyDescent="0.2"/>
    <row r="1395" ht="12.75" customHeight="1" x14ac:dyDescent="0.2"/>
    <row r="1396" ht="12.75" customHeight="1" x14ac:dyDescent="0.2"/>
    <row r="1397" ht="12.75" customHeight="1" x14ac:dyDescent="0.2"/>
    <row r="1398" ht="12.75" customHeight="1" x14ac:dyDescent="0.2"/>
    <row r="1399" ht="12.75" customHeight="1" x14ac:dyDescent="0.2"/>
    <row r="1400" ht="12.75" customHeight="1" x14ac:dyDescent="0.2"/>
    <row r="1401" ht="12.75" customHeight="1" x14ac:dyDescent="0.2"/>
    <row r="1402" ht="12.75" customHeight="1" x14ac:dyDescent="0.2"/>
    <row r="1403" ht="12.75" customHeight="1" x14ac:dyDescent="0.2"/>
    <row r="1404" ht="12.75" customHeight="1" x14ac:dyDescent="0.2"/>
    <row r="1405" ht="12.75" customHeight="1" x14ac:dyDescent="0.2"/>
    <row r="1406" ht="12.75" customHeight="1" x14ac:dyDescent="0.2"/>
    <row r="1407" ht="12.75" customHeight="1" x14ac:dyDescent="0.2"/>
    <row r="1408" ht="12.75" customHeight="1" x14ac:dyDescent="0.2"/>
    <row r="1409" ht="12.75" customHeight="1" x14ac:dyDescent="0.2"/>
    <row r="1410" ht="12.75" customHeight="1" x14ac:dyDescent="0.2"/>
    <row r="1411" ht="12.75" customHeight="1" x14ac:dyDescent="0.2"/>
    <row r="1412" ht="12.75" customHeight="1" x14ac:dyDescent="0.2"/>
    <row r="1413" ht="12.75" customHeight="1" x14ac:dyDescent="0.2"/>
    <row r="1414" ht="12.75" customHeight="1" x14ac:dyDescent="0.2"/>
    <row r="1415" ht="12.75" customHeight="1" x14ac:dyDescent="0.2"/>
    <row r="1416" ht="12.75" customHeight="1" x14ac:dyDescent="0.2"/>
    <row r="1417" ht="12.75" customHeight="1" x14ac:dyDescent="0.2"/>
    <row r="1418" ht="12.75" customHeight="1" x14ac:dyDescent="0.2"/>
    <row r="1419" ht="12.75" customHeight="1" x14ac:dyDescent="0.2"/>
    <row r="1420" ht="12.75" customHeight="1" x14ac:dyDescent="0.2"/>
    <row r="1421" ht="12.75" customHeight="1" x14ac:dyDescent="0.2"/>
    <row r="1422" ht="12.75" customHeight="1" x14ac:dyDescent="0.2"/>
    <row r="1423" ht="12.75" customHeight="1" x14ac:dyDescent="0.2"/>
    <row r="1424" ht="12.75" customHeight="1" x14ac:dyDescent="0.2"/>
    <row r="1425" ht="12.75" customHeight="1" x14ac:dyDescent="0.2"/>
    <row r="1426" ht="12.75" customHeight="1" x14ac:dyDescent="0.2"/>
    <row r="1427" ht="12.75" customHeight="1" x14ac:dyDescent="0.2"/>
    <row r="1428" ht="12.75" customHeight="1" x14ac:dyDescent="0.2"/>
    <row r="1429" ht="12.75" customHeight="1" x14ac:dyDescent="0.2"/>
    <row r="1430" ht="12.75" customHeight="1" x14ac:dyDescent="0.2"/>
    <row r="1431" ht="12.75" customHeight="1" x14ac:dyDescent="0.2"/>
    <row r="1432" ht="12.75" customHeight="1" x14ac:dyDescent="0.2"/>
    <row r="1433" ht="12.75" customHeight="1" x14ac:dyDescent="0.2"/>
    <row r="1434" ht="12.75" customHeight="1" x14ac:dyDescent="0.2"/>
    <row r="1435" ht="12.75" customHeight="1" x14ac:dyDescent="0.2"/>
    <row r="1436" ht="12.75" customHeight="1" x14ac:dyDescent="0.2"/>
    <row r="1437" ht="12.75" customHeight="1" x14ac:dyDescent="0.2"/>
    <row r="1438" ht="12.75" customHeight="1" x14ac:dyDescent="0.2"/>
    <row r="1439" ht="12.75" customHeight="1" x14ac:dyDescent="0.2"/>
    <row r="1440" ht="12.75" customHeight="1" x14ac:dyDescent="0.2"/>
    <row r="1441" ht="12.75" customHeight="1" x14ac:dyDescent="0.2"/>
    <row r="1442" ht="12.75" customHeight="1" x14ac:dyDescent="0.2"/>
    <row r="1443" ht="12.75" customHeight="1" x14ac:dyDescent="0.2"/>
    <row r="1444" ht="12.75" customHeight="1" x14ac:dyDescent="0.2"/>
    <row r="1445" ht="12.75" customHeight="1" x14ac:dyDescent="0.2"/>
    <row r="1446" ht="12.75" customHeight="1" x14ac:dyDescent="0.2"/>
    <row r="1447" ht="12.75" customHeight="1" x14ac:dyDescent="0.2"/>
    <row r="1448" ht="12.75" customHeight="1" x14ac:dyDescent="0.2"/>
    <row r="1449" ht="12.75" customHeight="1" x14ac:dyDescent="0.2"/>
    <row r="1450" ht="12.75" customHeight="1" x14ac:dyDescent="0.2"/>
    <row r="1451" ht="12.75" customHeight="1" x14ac:dyDescent="0.2"/>
    <row r="1452" ht="12.75" customHeight="1" x14ac:dyDescent="0.2"/>
    <row r="1453" ht="12.75" customHeight="1" x14ac:dyDescent="0.2"/>
    <row r="1454" ht="12.75" customHeight="1" x14ac:dyDescent="0.2"/>
    <row r="1455" ht="12.75" customHeight="1" x14ac:dyDescent="0.2"/>
    <row r="1456" ht="12.75" customHeight="1" x14ac:dyDescent="0.2"/>
    <row r="1457" ht="12.75" customHeight="1" x14ac:dyDescent="0.2"/>
    <row r="1458" ht="12.75" customHeight="1" x14ac:dyDescent="0.2"/>
    <row r="1459" ht="12.75" customHeight="1" x14ac:dyDescent="0.2"/>
    <row r="1460" ht="12.75" customHeight="1" x14ac:dyDescent="0.2"/>
    <row r="1461" ht="12.75" customHeight="1" x14ac:dyDescent="0.2"/>
    <row r="1462" ht="12.75" customHeight="1" x14ac:dyDescent="0.2"/>
    <row r="1463" ht="12.75" customHeight="1" x14ac:dyDescent="0.2"/>
    <row r="1464" ht="12.75" customHeight="1" x14ac:dyDescent="0.2"/>
    <row r="1465" ht="12.75" customHeight="1" x14ac:dyDescent="0.2"/>
    <row r="1466" ht="12.75" customHeight="1" x14ac:dyDescent="0.2"/>
    <row r="1467" ht="12.75" customHeight="1" x14ac:dyDescent="0.2"/>
    <row r="1468" ht="12.75" customHeight="1" x14ac:dyDescent="0.2"/>
    <row r="1469" ht="12.75" customHeight="1" x14ac:dyDescent="0.2"/>
    <row r="1470" ht="12.75" customHeight="1" x14ac:dyDescent="0.2"/>
    <row r="1471" ht="12.75" customHeight="1" x14ac:dyDescent="0.2"/>
    <row r="1472" ht="12.75" customHeight="1" x14ac:dyDescent="0.2"/>
    <row r="1473" ht="12.75" customHeight="1" x14ac:dyDescent="0.2"/>
    <row r="1474" ht="12.75" customHeight="1" x14ac:dyDescent="0.2"/>
    <row r="1475" ht="12.75" customHeight="1" x14ac:dyDescent="0.2"/>
    <row r="1476" ht="12.75" customHeight="1" x14ac:dyDescent="0.2"/>
    <row r="1477" ht="12.75" customHeight="1" x14ac:dyDescent="0.2"/>
    <row r="1478" ht="12.75" customHeight="1" x14ac:dyDescent="0.2"/>
    <row r="1479" ht="12.75" customHeight="1" x14ac:dyDescent="0.2"/>
    <row r="1480" ht="12.75" customHeight="1" x14ac:dyDescent="0.2"/>
    <row r="1481" ht="12.75" customHeight="1" x14ac:dyDescent="0.2"/>
    <row r="1482" ht="12.75" customHeight="1" x14ac:dyDescent="0.2"/>
    <row r="1483" ht="12.75" customHeight="1" x14ac:dyDescent="0.2"/>
    <row r="1484" ht="12.75" customHeight="1" x14ac:dyDescent="0.2"/>
    <row r="1485" ht="12.75" customHeight="1" x14ac:dyDescent="0.2"/>
    <row r="1486" ht="12.75" customHeight="1" x14ac:dyDescent="0.2"/>
    <row r="1487" ht="12.75" customHeight="1" x14ac:dyDescent="0.2"/>
    <row r="1488" ht="12.75" customHeight="1" x14ac:dyDescent="0.2"/>
    <row r="1489" ht="12.75" customHeight="1" x14ac:dyDescent="0.2"/>
    <row r="1490" ht="12.75" customHeight="1" x14ac:dyDescent="0.2"/>
    <row r="1491" ht="12.75" customHeight="1" x14ac:dyDescent="0.2"/>
    <row r="1492" ht="12.75" customHeight="1" x14ac:dyDescent="0.2"/>
    <row r="1493" ht="12.75" customHeight="1" x14ac:dyDescent="0.2"/>
    <row r="1494" ht="12.75" customHeight="1" x14ac:dyDescent="0.2"/>
    <row r="1495" ht="12.75" customHeight="1" x14ac:dyDescent="0.2"/>
    <row r="1496" ht="12.75" customHeight="1" x14ac:dyDescent="0.2"/>
    <row r="1497" ht="12.75" customHeight="1" x14ac:dyDescent="0.2"/>
    <row r="1498" ht="12.75" customHeight="1" x14ac:dyDescent="0.2"/>
    <row r="1499" ht="12.75" customHeight="1" x14ac:dyDescent="0.2"/>
    <row r="1500" ht="12.75" customHeight="1" x14ac:dyDescent="0.2"/>
    <row r="1501" ht="12.75" customHeight="1" x14ac:dyDescent="0.2"/>
    <row r="1502" ht="12.75" customHeight="1" x14ac:dyDescent="0.2"/>
    <row r="1503" ht="12.75" customHeight="1" x14ac:dyDescent="0.2"/>
    <row r="1504" ht="12.75" customHeight="1" x14ac:dyDescent="0.2"/>
    <row r="1505" ht="12.75" customHeight="1" x14ac:dyDescent="0.2"/>
    <row r="1506" ht="12.75" customHeight="1" x14ac:dyDescent="0.2"/>
    <row r="1507" ht="12.75" customHeight="1" x14ac:dyDescent="0.2"/>
    <row r="1508" ht="12.75" customHeight="1" x14ac:dyDescent="0.2"/>
    <row r="1509" ht="12.75" customHeight="1" x14ac:dyDescent="0.2"/>
    <row r="1510" ht="12.75" customHeight="1" x14ac:dyDescent="0.2"/>
    <row r="1511" ht="12.75" customHeight="1" x14ac:dyDescent="0.2"/>
    <row r="1512" ht="12.75" customHeight="1" x14ac:dyDescent="0.2"/>
    <row r="1513" ht="12.75" customHeight="1" x14ac:dyDescent="0.2"/>
    <row r="1514" ht="12.75" customHeight="1" x14ac:dyDescent="0.2"/>
    <row r="1515" ht="12.75" customHeight="1" x14ac:dyDescent="0.2"/>
    <row r="1516" ht="12.75" customHeight="1" x14ac:dyDescent="0.2"/>
    <row r="1517" ht="12.75" customHeight="1" x14ac:dyDescent="0.2"/>
    <row r="1518" ht="12.75" customHeight="1" x14ac:dyDescent="0.2"/>
    <row r="1519" ht="12.75" customHeight="1" x14ac:dyDescent="0.2"/>
    <row r="1520" ht="12.75" customHeight="1" x14ac:dyDescent="0.2"/>
    <row r="1521" ht="12.75" customHeight="1" x14ac:dyDescent="0.2"/>
    <row r="1522" ht="12.75" customHeight="1" x14ac:dyDescent="0.2"/>
    <row r="1523" ht="12.75" customHeight="1" x14ac:dyDescent="0.2"/>
    <row r="1524" ht="12.75" customHeight="1" x14ac:dyDescent="0.2"/>
    <row r="1525" ht="12.75" customHeight="1" x14ac:dyDescent="0.2"/>
    <row r="1526" ht="12.75" customHeight="1" x14ac:dyDescent="0.2"/>
    <row r="1527" ht="12.75" customHeight="1" x14ac:dyDescent="0.2"/>
    <row r="1528" ht="12.75" customHeight="1" x14ac:dyDescent="0.2"/>
    <row r="1529" ht="12.75" customHeight="1" x14ac:dyDescent="0.2"/>
    <row r="1530" ht="12.75" customHeight="1" x14ac:dyDescent="0.2"/>
    <row r="1531" ht="12.75" customHeight="1" x14ac:dyDescent="0.2"/>
    <row r="1532" ht="12.75" customHeight="1" x14ac:dyDescent="0.2"/>
    <row r="1533" ht="12.75" customHeight="1" x14ac:dyDescent="0.2"/>
    <row r="1534" ht="12.75" customHeight="1" x14ac:dyDescent="0.2"/>
    <row r="1535" ht="12.75" customHeight="1" x14ac:dyDescent="0.2"/>
    <row r="1536" ht="12.75" customHeight="1" x14ac:dyDescent="0.2"/>
    <row r="1537" ht="12.75" customHeight="1" x14ac:dyDescent="0.2"/>
    <row r="1538" ht="12.75" customHeight="1" x14ac:dyDescent="0.2"/>
    <row r="1539" ht="12.75" customHeight="1" x14ac:dyDescent="0.2"/>
    <row r="1540" ht="12.75" customHeight="1" x14ac:dyDescent="0.2"/>
    <row r="1541" ht="12.75" customHeight="1" x14ac:dyDescent="0.2"/>
    <row r="1542" ht="12.75" customHeight="1" x14ac:dyDescent="0.2"/>
    <row r="1543" ht="12.75" customHeight="1" x14ac:dyDescent="0.2"/>
    <row r="1544" ht="12.75" customHeight="1" x14ac:dyDescent="0.2"/>
    <row r="1545" ht="12.75" customHeight="1" x14ac:dyDescent="0.2"/>
    <row r="1546" ht="12.75" customHeight="1" x14ac:dyDescent="0.2"/>
    <row r="1547" ht="12.75" customHeight="1" x14ac:dyDescent="0.2"/>
    <row r="1548" ht="12.75" customHeight="1" x14ac:dyDescent="0.2"/>
    <row r="1549" ht="12.75" customHeight="1" x14ac:dyDescent="0.2"/>
    <row r="1550" ht="12.75" customHeight="1" x14ac:dyDescent="0.2"/>
    <row r="1551" ht="12.75" customHeight="1" x14ac:dyDescent="0.2"/>
    <row r="1552" ht="12.75" customHeight="1" x14ac:dyDescent="0.2"/>
    <row r="1553" ht="12.75" customHeight="1" x14ac:dyDescent="0.2"/>
    <row r="1554" ht="12.75" customHeight="1" x14ac:dyDescent="0.2"/>
    <row r="1555" ht="12.75" customHeight="1" x14ac:dyDescent="0.2"/>
    <row r="1556" ht="12.75" customHeight="1" x14ac:dyDescent="0.2"/>
    <row r="1557" ht="12.75" customHeight="1" x14ac:dyDescent="0.2"/>
    <row r="1558" ht="12.75" customHeight="1" x14ac:dyDescent="0.2"/>
    <row r="1559" ht="12.75" customHeight="1" x14ac:dyDescent="0.2"/>
    <row r="1560" ht="12.75" customHeight="1" x14ac:dyDescent="0.2"/>
    <row r="1561" ht="12.75" customHeight="1" x14ac:dyDescent="0.2"/>
    <row r="1562" ht="12.75" customHeight="1" x14ac:dyDescent="0.2"/>
    <row r="1563" ht="12.75" customHeight="1" x14ac:dyDescent="0.2"/>
    <row r="1564" ht="12.75" customHeight="1" x14ac:dyDescent="0.2"/>
    <row r="1565" ht="12.75" customHeight="1" x14ac:dyDescent="0.2"/>
    <row r="1566" ht="12.75" customHeight="1" x14ac:dyDescent="0.2"/>
    <row r="1567" ht="12.75" customHeight="1" x14ac:dyDescent="0.2"/>
    <row r="1568" ht="12.75" customHeight="1" x14ac:dyDescent="0.2"/>
    <row r="1569" ht="12.75" customHeight="1" x14ac:dyDescent="0.2"/>
    <row r="1570" ht="12.75" customHeight="1" x14ac:dyDescent="0.2"/>
    <row r="1571" ht="12.75" customHeight="1" x14ac:dyDescent="0.2"/>
    <row r="1572" ht="12.75" customHeight="1" x14ac:dyDescent="0.2"/>
    <row r="1573" ht="12.75" customHeight="1" x14ac:dyDescent="0.2"/>
    <row r="1574" ht="12.75" customHeight="1" x14ac:dyDescent="0.2"/>
    <row r="1575" ht="12.75" customHeight="1" x14ac:dyDescent="0.2"/>
    <row r="1576" ht="12.75" customHeight="1" x14ac:dyDescent="0.2"/>
    <row r="1577" ht="12.75" customHeight="1" x14ac:dyDescent="0.2"/>
    <row r="1578" ht="12.75" customHeight="1" x14ac:dyDescent="0.2"/>
    <row r="1579" ht="12.75" customHeight="1" x14ac:dyDescent="0.2"/>
    <row r="1580" ht="12.75" customHeight="1" x14ac:dyDescent="0.2"/>
    <row r="1581" ht="12.75" customHeight="1" x14ac:dyDescent="0.2"/>
    <row r="1582" ht="12.75" customHeight="1" x14ac:dyDescent="0.2"/>
    <row r="1583" ht="12.75" customHeight="1" x14ac:dyDescent="0.2"/>
    <row r="1584" ht="12.75" customHeight="1" x14ac:dyDescent="0.2"/>
    <row r="1585" ht="12.75" customHeight="1" x14ac:dyDescent="0.2"/>
    <row r="1586" ht="12.75" customHeight="1" x14ac:dyDescent="0.2"/>
    <row r="1587" ht="12.75" customHeight="1" x14ac:dyDescent="0.2"/>
    <row r="1588" ht="12.75" customHeight="1" x14ac:dyDescent="0.2"/>
    <row r="1589" ht="12.75" customHeight="1" x14ac:dyDescent="0.2"/>
    <row r="1590" ht="12.75" customHeight="1" x14ac:dyDescent="0.2"/>
    <row r="1591" ht="12.75" customHeight="1" x14ac:dyDescent="0.2"/>
    <row r="1592" ht="12.75" customHeight="1" x14ac:dyDescent="0.2"/>
    <row r="1593" ht="12.75" customHeight="1" x14ac:dyDescent="0.2"/>
    <row r="1594" ht="12.75" customHeight="1" x14ac:dyDescent="0.2"/>
    <row r="1595" ht="12.75" customHeight="1" x14ac:dyDescent="0.2"/>
    <row r="1596" ht="12.75" customHeight="1" x14ac:dyDescent="0.2"/>
    <row r="1597" ht="12.75" customHeight="1" x14ac:dyDescent="0.2"/>
    <row r="1598" ht="12.75" customHeight="1" x14ac:dyDescent="0.2"/>
    <row r="1599" ht="12.75" customHeight="1" x14ac:dyDescent="0.2"/>
    <row r="1600" ht="12.75" customHeight="1" x14ac:dyDescent="0.2"/>
    <row r="1601" ht="12.75" customHeight="1" x14ac:dyDescent="0.2"/>
    <row r="1602" ht="12.75" customHeight="1" x14ac:dyDescent="0.2"/>
    <row r="1603" ht="12.75" customHeight="1" x14ac:dyDescent="0.2"/>
    <row r="1604" ht="12.75" customHeight="1" x14ac:dyDescent="0.2"/>
    <row r="1605" ht="12.75" customHeight="1" x14ac:dyDescent="0.2"/>
    <row r="1606" ht="12.75" customHeight="1" x14ac:dyDescent="0.2"/>
    <row r="1607" ht="12.75" customHeight="1" x14ac:dyDescent="0.2"/>
    <row r="1608" ht="12.75" customHeight="1" x14ac:dyDescent="0.2"/>
    <row r="1609" ht="12.75" customHeight="1" x14ac:dyDescent="0.2"/>
    <row r="1610" ht="12.75" customHeight="1" x14ac:dyDescent="0.2"/>
    <row r="1611" ht="12.75" customHeight="1" x14ac:dyDescent="0.2"/>
    <row r="1612" ht="12.75" customHeight="1" x14ac:dyDescent="0.2"/>
    <row r="1613" ht="12.75" customHeight="1" x14ac:dyDescent="0.2"/>
    <row r="1614" ht="12.75" customHeight="1" x14ac:dyDescent="0.2"/>
    <row r="1615" ht="12.75" customHeight="1" x14ac:dyDescent="0.2"/>
    <row r="1616" ht="12.75" customHeight="1" x14ac:dyDescent="0.2"/>
    <row r="1617" ht="12.75" customHeight="1" x14ac:dyDescent="0.2"/>
    <row r="1618" ht="12.75" customHeight="1" x14ac:dyDescent="0.2"/>
    <row r="1619" ht="12.75" customHeight="1" x14ac:dyDescent="0.2"/>
    <row r="1620" ht="12.75" customHeight="1" x14ac:dyDescent="0.2"/>
    <row r="1621" ht="12.75" customHeight="1" x14ac:dyDescent="0.2"/>
    <row r="1622" ht="12.75" customHeight="1" x14ac:dyDescent="0.2"/>
    <row r="1623" ht="12.75" customHeight="1" x14ac:dyDescent="0.2"/>
    <row r="1624" ht="12.75" customHeight="1" x14ac:dyDescent="0.2"/>
    <row r="1625" ht="12.75" customHeight="1" x14ac:dyDescent="0.2"/>
    <row r="1626" ht="12.75" customHeight="1" x14ac:dyDescent="0.2"/>
    <row r="1627" ht="12.75" customHeight="1" x14ac:dyDescent="0.2"/>
    <row r="1628" ht="12.75" customHeight="1" x14ac:dyDescent="0.2"/>
    <row r="1629" ht="12.75" customHeight="1" x14ac:dyDescent="0.2"/>
    <row r="1630" ht="12.75" customHeight="1" x14ac:dyDescent="0.2"/>
    <row r="1631" ht="12.75" customHeight="1" x14ac:dyDescent="0.2"/>
    <row r="1632" ht="12.75" customHeight="1" x14ac:dyDescent="0.2"/>
    <row r="1633" ht="12.75" customHeight="1" x14ac:dyDescent="0.2"/>
    <row r="1634" ht="12.75" customHeight="1" x14ac:dyDescent="0.2"/>
    <row r="1635" ht="12.75" customHeight="1" x14ac:dyDescent="0.2"/>
    <row r="1636" ht="12.75" customHeight="1" x14ac:dyDescent="0.2"/>
    <row r="1637" ht="12.75" customHeight="1" x14ac:dyDescent="0.2"/>
    <row r="1638" ht="12.75" customHeight="1" x14ac:dyDescent="0.2"/>
    <row r="1639" ht="12.75" customHeight="1" x14ac:dyDescent="0.2"/>
    <row r="1640" ht="12.75" customHeight="1" x14ac:dyDescent="0.2"/>
    <row r="1641" ht="12.75" customHeight="1" x14ac:dyDescent="0.2"/>
    <row r="1642" ht="12.75" customHeight="1" x14ac:dyDescent="0.2"/>
    <row r="1643" ht="12.75" customHeight="1" x14ac:dyDescent="0.2"/>
    <row r="1644" ht="12.75" customHeight="1" x14ac:dyDescent="0.2"/>
    <row r="1645" ht="12.75" customHeight="1" x14ac:dyDescent="0.2"/>
    <row r="1646" ht="12.75" customHeight="1" x14ac:dyDescent="0.2"/>
    <row r="1647" ht="12.75" customHeight="1" x14ac:dyDescent="0.2"/>
    <row r="1648" ht="12.75" customHeight="1" x14ac:dyDescent="0.2"/>
    <row r="1649" ht="12.75" customHeight="1" x14ac:dyDescent="0.2"/>
    <row r="1650" ht="12.75" customHeight="1" x14ac:dyDescent="0.2"/>
    <row r="1651" ht="12.75" customHeight="1" x14ac:dyDescent="0.2"/>
    <row r="1652" ht="12.75" customHeight="1" x14ac:dyDescent="0.2"/>
    <row r="1653" ht="12.75" customHeight="1" x14ac:dyDescent="0.2"/>
    <row r="1654" ht="12.75" customHeight="1" x14ac:dyDescent="0.2"/>
    <row r="1655" ht="12.75" customHeight="1" x14ac:dyDescent="0.2"/>
    <row r="1656" ht="12.75" customHeight="1" x14ac:dyDescent="0.2"/>
    <row r="1657" ht="12.75" customHeight="1" x14ac:dyDescent="0.2"/>
    <row r="1658" ht="12.75" customHeight="1" x14ac:dyDescent="0.2"/>
    <row r="1659" ht="12.75" customHeight="1" x14ac:dyDescent="0.2"/>
    <row r="1660" ht="12.75" customHeight="1" x14ac:dyDescent="0.2"/>
    <row r="1661" ht="12.75" customHeight="1" x14ac:dyDescent="0.2"/>
    <row r="1662" ht="12.75" customHeight="1" x14ac:dyDescent="0.2"/>
    <row r="1663" ht="12.75" customHeight="1" x14ac:dyDescent="0.2"/>
    <row r="1664" ht="12.75" customHeight="1" x14ac:dyDescent="0.2"/>
    <row r="1665" ht="12.75" customHeight="1" x14ac:dyDescent="0.2"/>
    <row r="1666" ht="12.75" customHeight="1" x14ac:dyDescent="0.2"/>
    <row r="1667" ht="12.75" customHeight="1" x14ac:dyDescent="0.2"/>
    <row r="1668" ht="12.75" customHeight="1" x14ac:dyDescent="0.2"/>
    <row r="1669" ht="12.75" customHeight="1" x14ac:dyDescent="0.2"/>
    <row r="1670" ht="12.75" customHeight="1" x14ac:dyDescent="0.2"/>
    <row r="1671" ht="12.75" customHeight="1" x14ac:dyDescent="0.2"/>
    <row r="1672" ht="12.75" customHeight="1" x14ac:dyDescent="0.2"/>
    <row r="1673" ht="12.75" customHeight="1" x14ac:dyDescent="0.2"/>
    <row r="1674" ht="12.75" customHeight="1" x14ac:dyDescent="0.2"/>
    <row r="1675" ht="12.75" customHeight="1" x14ac:dyDescent="0.2"/>
    <row r="1676" ht="12.75" customHeight="1" x14ac:dyDescent="0.2"/>
    <row r="1677" ht="12.75" customHeight="1" x14ac:dyDescent="0.2"/>
    <row r="1678" ht="12.75" customHeight="1" x14ac:dyDescent="0.2"/>
    <row r="1679" ht="12.75" customHeight="1" x14ac:dyDescent="0.2"/>
    <row r="1680" ht="12.75" customHeight="1" x14ac:dyDescent="0.2"/>
    <row r="1681" ht="12.75" customHeight="1" x14ac:dyDescent="0.2"/>
    <row r="1682" ht="12.75" customHeight="1" x14ac:dyDescent="0.2"/>
    <row r="1683" ht="12.75" customHeight="1" x14ac:dyDescent="0.2"/>
    <row r="1684" ht="12.75" customHeight="1" x14ac:dyDescent="0.2"/>
    <row r="1685" ht="12.75" customHeight="1" x14ac:dyDescent="0.2"/>
    <row r="1686" ht="12.75" customHeight="1" x14ac:dyDescent="0.2"/>
    <row r="1687" ht="12.75" customHeight="1" x14ac:dyDescent="0.2"/>
    <row r="1688" ht="12.75" customHeight="1" x14ac:dyDescent="0.2"/>
    <row r="1689" ht="12.75" customHeight="1" x14ac:dyDescent="0.2"/>
    <row r="1690" ht="12.75" customHeight="1" x14ac:dyDescent="0.2"/>
    <row r="1691" ht="12.75" customHeight="1" x14ac:dyDescent="0.2"/>
    <row r="1692" ht="12.75" customHeight="1" x14ac:dyDescent="0.2"/>
    <row r="1693" ht="12.75" customHeight="1" x14ac:dyDescent="0.2"/>
    <row r="1694" ht="12.75" customHeight="1" x14ac:dyDescent="0.2"/>
    <row r="1695" ht="12.75" customHeight="1" x14ac:dyDescent="0.2"/>
    <row r="1696" ht="12.75" customHeight="1" x14ac:dyDescent="0.2"/>
    <row r="1697" ht="12.75" customHeight="1" x14ac:dyDescent="0.2"/>
    <row r="1698" ht="12.75" customHeight="1" x14ac:dyDescent="0.2"/>
    <row r="1699" ht="12.75" customHeight="1" x14ac:dyDescent="0.2"/>
    <row r="1700" ht="12.75" customHeight="1" x14ac:dyDescent="0.2"/>
    <row r="1701" ht="12.75" customHeight="1" x14ac:dyDescent="0.2"/>
    <row r="1702" ht="12.75" customHeight="1" x14ac:dyDescent="0.2"/>
    <row r="1703" ht="12.75" customHeight="1" x14ac:dyDescent="0.2"/>
    <row r="1704" ht="12.75" customHeight="1" x14ac:dyDescent="0.2"/>
    <row r="1705" ht="12.75" customHeight="1" x14ac:dyDescent="0.2"/>
    <row r="1706" ht="12.75" customHeight="1" x14ac:dyDescent="0.2"/>
    <row r="1707" ht="12.75" customHeight="1" x14ac:dyDescent="0.2"/>
    <row r="1708" ht="12.75" customHeight="1" x14ac:dyDescent="0.2"/>
    <row r="1709" ht="12.75" customHeight="1" x14ac:dyDescent="0.2"/>
    <row r="1710" ht="12.75" customHeight="1" x14ac:dyDescent="0.2"/>
    <row r="1711" ht="12.75" customHeight="1" x14ac:dyDescent="0.2"/>
    <row r="1712" ht="12.75" customHeight="1" x14ac:dyDescent="0.2"/>
    <row r="1713" ht="12.75" customHeight="1" x14ac:dyDescent="0.2"/>
    <row r="1714" ht="12.75" customHeight="1" x14ac:dyDescent="0.2"/>
    <row r="1715" ht="12.75" customHeight="1" x14ac:dyDescent="0.2"/>
    <row r="1716" ht="12.75" customHeight="1" x14ac:dyDescent="0.2"/>
    <row r="1717" ht="12.75" customHeight="1" x14ac:dyDescent="0.2"/>
    <row r="1718" ht="12.75" customHeight="1" x14ac:dyDescent="0.2"/>
    <row r="1719" ht="12.75" customHeight="1" x14ac:dyDescent="0.2"/>
    <row r="1720" ht="12.75" customHeight="1" x14ac:dyDescent="0.2"/>
    <row r="1721" ht="12.75" customHeight="1" x14ac:dyDescent="0.2"/>
    <row r="1722" ht="12.75" customHeight="1" x14ac:dyDescent="0.2"/>
    <row r="1723" ht="12.75" customHeight="1" x14ac:dyDescent="0.2"/>
    <row r="1724" ht="12.75" customHeight="1" x14ac:dyDescent="0.2"/>
    <row r="1725" ht="12.75" customHeight="1" x14ac:dyDescent="0.2"/>
    <row r="1726" ht="12.75" customHeight="1" x14ac:dyDescent="0.2"/>
    <row r="1727" ht="12.75" customHeight="1" x14ac:dyDescent="0.2"/>
    <row r="1728" ht="12.75" customHeight="1" x14ac:dyDescent="0.2"/>
    <row r="1729" ht="12.75" customHeight="1" x14ac:dyDescent="0.2"/>
    <row r="1730" ht="12.75" customHeight="1" x14ac:dyDescent="0.2"/>
    <row r="1731" ht="12.75" customHeight="1" x14ac:dyDescent="0.2"/>
    <row r="1732" ht="12.75" customHeight="1" x14ac:dyDescent="0.2"/>
    <row r="1733" ht="12.75" customHeight="1" x14ac:dyDescent="0.2"/>
    <row r="1734" ht="12.75" customHeight="1" x14ac:dyDescent="0.2"/>
    <row r="1735" ht="12.75" customHeight="1" x14ac:dyDescent="0.2"/>
    <row r="1736" ht="12.75" customHeight="1" x14ac:dyDescent="0.2"/>
    <row r="1737" ht="12.75" customHeight="1" x14ac:dyDescent="0.2"/>
    <row r="1738" ht="12.75" customHeight="1" x14ac:dyDescent="0.2"/>
    <row r="1739" ht="12.75" customHeight="1" x14ac:dyDescent="0.2"/>
    <row r="1740" ht="12.75" customHeight="1" x14ac:dyDescent="0.2"/>
    <row r="1741" ht="12.75" customHeight="1" x14ac:dyDescent="0.2"/>
    <row r="1742" ht="12.75" customHeight="1" x14ac:dyDescent="0.2"/>
    <row r="1743" ht="12.75" customHeight="1" x14ac:dyDescent="0.2"/>
    <row r="1744" ht="12.75" customHeight="1" x14ac:dyDescent="0.2"/>
    <row r="1745" ht="12.75" customHeight="1" x14ac:dyDescent="0.2"/>
    <row r="1746" ht="12.75" customHeight="1" x14ac:dyDescent="0.2"/>
    <row r="1747" ht="12.75" customHeight="1" x14ac:dyDescent="0.2"/>
    <row r="1748" ht="12.75" customHeight="1" x14ac:dyDescent="0.2"/>
    <row r="1749" ht="12.75" customHeight="1" x14ac:dyDescent="0.2"/>
    <row r="1750" ht="12.75" customHeight="1" x14ac:dyDescent="0.2"/>
    <row r="1751" ht="12.75" customHeight="1" x14ac:dyDescent="0.2"/>
    <row r="1752" ht="12.75" customHeight="1" x14ac:dyDescent="0.2"/>
    <row r="1753" ht="12.75" customHeight="1" x14ac:dyDescent="0.2"/>
    <row r="1754" ht="12.75" customHeight="1" x14ac:dyDescent="0.2"/>
    <row r="1755" ht="12.75" customHeight="1" x14ac:dyDescent="0.2"/>
    <row r="1756" ht="12.75" customHeight="1" x14ac:dyDescent="0.2"/>
    <row r="1757" ht="12.75" customHeight="1" x14ac:dyDescent="0.2"/>
    <row r="1758" ht="12.75" customHeight="1" x14ac:dyDescent="0.2"/>
    <row r="1759" ht="12.75" customHeight="1" x14ac:dyDescent="0.2"/>
    <row r="1760" ht="12.75" customHeight="1" x14ac:dyDescent="0.2"/>
    <row r="1761" ht="12.75" customHeight="1" x14ac:dyDescent="0.2"/>
    <row r="1762" ht="12.75" customHeight="1" x14ac:dyDescent="0.2"/>
    <row r="1763" ht="12.75" customHeight="1" x14ac:dyDescent="0.2"/>
    <row r="1764" ht="12.75" customHeight="1" x14ac:dyDescent="0.2"/>
    <row r="1765" ht="12.75" customHeight="1" x14ac:dyDescent="0.2"/>
    <row r="1766" ht="12.75" customHeight="1" x14ac:dyDescent="0.2"/>
    <row r="1767" ht="12.75" customHeight="1" x14ac:dyDescent="0.2"/>
    <row r="1768" ht="12.75" customHeight="1" x14ac:dyDescent="0.2"/>
    <row r="1769" ht="12.75" customHeight="1" x14ac:dyDescent="0.2"/>
    <row r="1770" ht="12.75" customHeight="1" x14ac:dyDescent="0.2"/>
    <row r="1771" ht="12.75" customHeight="1" x14ac:dyDescent="0.2"/>
    <row r="1772" ht="12.75" customHeight="1" x14ac:dyDescent="0.2"/>
    <row r="1773" ht="12.75" customHeight="1" x14ac:dyDescent="0.2"/>
    <row r="1774" ht="12.75" customHeight="1" x14ac:dyDescent="0.2"/>
    <row r="1775" ht="12.75" customHeight="1" x14ac:dyDescent="0.2"/>
    <row r="1776" ht="12.75" customHeight="1" x14ac:dyDescent="0.2"/>
    <row r="1777" ht="12.75" customHeight="1" x14ac:dyDescent="0.2"/>
    <row r="1778" ht="12.75" customHeight="1" x14ac:dyDescent="0.2"/>
    <row r="1779" ht="12.75" customHeight="1" x14ac:dyDescent="0.2"/>
    <row r="1780" ht="12.75" customHeight="1" x14ac:dyDescent="0.2"/>
    <row r="1781" ht="12.75" customHeight="1" x14ac:dyDescent="0.2"/>
    <row r="1782" ht="12.75" customHeight="1" x14ac:dyDescent="0.2"/>
    <row r="1783" ht="12.75" customHeight="1" x14ac:dyDescent="0.2"/>
    <row r="1784" ht="12.75" customHeight="1" x14ac:dyDescent="0.2"/>
    <row r="1785" ht="12.75" customHeight="1" x14ac:dyDescent="0.2"/>
    <row r="1786" ht="12.75" customHeight="1" x14ac:dyDescent="0.2"/>
    <row r="1787" ht="12.75" customHeight="1" x14ac:dyDescent="0.2"/>
    <row r="1788" ht="12.75" customHeight="1" x14ac:dyDescent="0.2"/>
    <row r="1789" ht="12.75" customHeight="1" x14ac:dyDescent="0.2"/>
    <row r="1790" ht="12.75" customHeight="1" x14ac:dyDescent="0.2"/>
    <row r="1791" ht="12.75" customHeight="1" x14ac:dyDescent="0.2"/>
    <row r="1792" ht="12.75" customHeight="1" x14ac:dyDescent="0.2"/>
    <row r="1793" ht="12.75" customHeight="1" x14ac:dyDescent="0.2"/>
    <row r="1794" ht="12.75" customHeight="1" x14ac:dyDescent="0.2"/>
    <row r="1795" ht="12.75" customHeight="1" x14ac:dyDescent="0.2"/>
    <row r="1796" ht="12.75" customHeight="1" x14ac:dyDescent="0.2"/>
    <row r="1797" ht="12.75" customHeight="1" x14ac:dyDescent="0.2"/>
    <row r="1798" ht="12.75" customHeight="1" x14ac:dyDescent="0.2"/>
    <row r="1799" ht="12.75" customHeight="1" x14ac:dyDescent="0.2"/>
    <row r="1800" ht="12.75" customHeight="1" x14ac:dyDescent="0.2"/>
    <row r="1801" ht="12.75" customHeight="1" x14ac:dyDescent="0.2"/>
    <row r="1802" ht="12.75" customHeight="1" x14ac:dyDescent="0.2"/>
    <row r="1803" ht="12.75" customHeight="1" x14ac:dyDescent="0.2"/>
    <row r="1804" ht="12.75" customHeight="1" x14ac:dyDescent="0.2"/>
    <row r="1805" ht="12.75" customHeight="1" x14ac:dyDescent="0.2"/>
    <row r="1806" ht="12.75" customHeight="1" x14ac:dyDescent="0.2"/>
    <row r="1807" ht="12.75" customHeight="1" x14ac:dyDescent="0.2"/>
    <row r="1808" ht="12.75" customHeight="1" x14ac:dyDescent="0.2"/>
    <row r="1809" ht="12.75" customHeight="1" x14ac:dyDescent="0.2"/>
    <row r="1810" ht="12.75" customHeight="1" x14ac:dyDescent="0.2"/>
    <row r="1811" ht="12.75" customHeight="1" x14ac:dyDescent="0.2"/>
    <row r="1812" ht="12.75" customHeight="1" x14ac:dyDescent="0.2"/>
    <row r="1813" ht="12.75" customHeight="1" x14ac:dyDescent="0.2"/>
    <row r="1814" ht="12.75" customHeight="1" x14ac:dyDescent="0.2"/>
    <row r="1815" ht="12.75" customHeight="1" x14ac:dyDescent="0.2"/>
    <row r="1816" ht="12.75" customHeight="1" x14ac:dyDescent="0.2"/>
    <row r="1817" ht="12.75" customHeight="1" x14ac:dyDescent="0.2"/>
    <row r="1818" ht="12.75" customHeight="1" x14ac:dyDescent="0.2"/>
    <row r="1819" ht="12.75" customHeight="1" x14ac:dyDescent="0.2"/>
    <row r="1820" ht="12.75" customHeight="1" x14ac:dyDescent="0.2"/>
    <row r="1821" ht="12.75" customHeight="1" x14ac:dyDescent="0.2"/>
    <row r="1822" ht="12.75" customHeight="1" x14ac:dyDescent="0.2"/>
    <row r="1823" ht="12.75" customHeight="1" x14ac:dyDescent="0.2"/>
    <row r="1824" ht="12.75" customHeight="1" x14ac:dyDescent="0.2"/>
    <row r="1825" ht="12.75" customHeight="1" x14ac:dyDescent="0.2"/>
    <row r="1826" ht="12.75" customHeight="1" x14ac:dyDescent="0.2"/>
    <row r="1827" ht="12.75" customHeight="1" x14ac:dyDescent="0.2"/>
    <row r="1828" ht="12.75" customHeight="1" x14ac:dyDescent="0.2"/>
    <row r="1829" ht="12.75" customHeight="1" x14ac:dyDescent="0.2"/>
    <row r="1830" ht="12.75" customHeight="1" x14ac:dyDescent="0.2"/>
    <row r="1831" ht="12.75" customHeight="1" x14ac:dyDescent="0.2"/>
    <row r="1832" ht="12.75" customHeight="1" x14ac:dyDescent="0.2"/>
    <row r="1833" ht="12.75" customHeight="1" x14ac:dyDescent="0.2"/>
    <row r="1834" ht="12.75" customHeight="1" x14ac:dyDescent="0.2"/>
    <row r="1835" ht="12.75" customHeight="1" x14ac:dyDescent="0.2"/>
    <row r="1836" ht="12.75" customHeight="1" x14ac:dyDescent="0.2"/>
    <row r="1837" ht="12.75" customHeight="1" x14ac:dyDescent="0.2"/>
    <row r="1838" ht="12.75" customHeight="1" x14ac:dyDescent="0.2"/>
    <row r="1839" ht="12.75" customHeight="1" x14ac:dyDescent="0.2"/>
    <row r="1840" ht="12.75" customHeight="1" x14ac:dyDescent="0.2"/>
    <row r="1841" ht="12.75" customHeight="1" x14ac:dyDescent="0.2"/>
    <row r="1842" ht="12.75" customHeight="1" x14ac:dyDescent="0.2"/>
    <row r="1843" ht="12.75" customHeight="1" x14ac:dyDescent="0.2"/>
    <row r="1844" ht="12.75" customHeight="1" x14ac:dyDescent="0.2"/>
    <row r="1845" ht="12.75" customHeight="1" x14ac:dyDescent="0.2"/>
    <row r="1846" ht="12.75" customHeight="1" x14ac:dyDescent="0.2"/>
    <row r="1847" ht="12.75" customHeight="1" x14ac:dyDescent="0.2"/>
    <row r="1848" ht="12.75" customHeight="1" x14ac:dyDescent="0.2"/>
    <row r="1849" ht="12.75" customHeight="1" x14ac:dyDescent="0.2"/>
    <row r="1850" ht="12.75" customHeight="1" x14ac:dyDescent="0.2"/>
    <row r="1851" ht="12.75" customHeight="1" x14ac:dyDescent="0.2"/>
    <row r="1852" ht="12.75" customHeight="1" x14ac:dyDescent="0.2"/>
    <row r="1853" ht="12.75" customHeight="1" x14ac:dyDescent="0.2"/>
    <row r="1854" ht="12.75" customHeight="1" x14ac:dyDescent="0.2"/>
    <row r="1855" ht="12.75" customHeight="1" x14ac:dyDescent="0.2"/>
    <row r="1856" ht="12.75" customHeight="1" x14ac:dyDescent="0.2"/>
    <row r="1857" ht="12.75" customHeight="1" x14ac:dyDescent="0.2"/>
    <row r="1858" ht="12.75" customHeight="1" x14ac:dyDescent="0.2"/>
    <row r="1859" ht="12.75" customHeight="1" x14ac:dyDescent="0.2"/>
    <row r="1860" ht="12.75" customHeight="1" x14ac:dyDescent="0.2"/>
    <row r="1861" ht="12.75" customHeight="1" x14ac:dyDescent="0.2"/>
    <row r="1862" ht="12.75" customHeight="1" x14ac:dyDescent="0.2"/>
    <row r="1863" ht="12.75" customHeight="1" x14ac:dyDescent="0.2"/>
    <row r="1864" ht="12.75" customHeight="1" x14ac:dyDescent="0.2"/>
    <row r="1865" ht="12.75" customHeight="1" x14ac:dyDescent="0.2"/>
    <row r="1866" ht="12.75" customHeight="1" x14ac:dyDescent="0.2"/>
    <row r="1867" ht="12.75" customHeight="1" x14ac:dyDescent="0.2"/>
    <row r="1868" ht="12.75" customHeight="1" x14ac:dyDescent="0.2"/>
    <row r="1869" ht="12.75" customHeight="1" x14ac:dyDescent="0.2"/>
    <row r="1870" ht="12.75" customHeight="1" x14ac:dyDescent="0.2"/>
    <row r="1871" ht="12.75" customHeight="1" x14ac:dyDescent="0.2"/>
    <row r="1872" ht="12.75" customHeight="1" x14ac:dyDescent="0.2"/>
    <row r="1873" ht="12.75" customHeight="1" x14ac:dyDescent="0.2"/>
    <row r="1874" ht="12.75" customHeight="1" x14ac:dyDescent="0.2"/>
    <row r="1875" ht="12.75" customHeight="1" x14ac:dyDescent="0.2"/>
    <row r="1876" ht="12.75" customHeight="1" x14ac:dyDescent="0.2"/>
    <row r="1877" ht="12.75" customHeight="1" x14ac:dyDescent="0.2"/>
    <row r="1878" ht="12.75" customHeight="1" x14ac:dyDescent="0.2"/>
    <row r="1879" ht="12.75" customHeight="1" x14ac:dyDescent="0.2"/>
    <row r="1880" ht="12.75" customHeight="1" x14ac:dyDescent="0.2"/>
    <row r="1881" ht="12.75" customHeight="1" x14ac:dyDescent="0.2"/>
    <row r="1882" ht="12.75" customHeight="1" x14ac:dyDescent="0.2"/>
    <row r="1883" ht="12.75" customHeight="1" x14ac:dyDescent="0.2"/>
    <row r="1884" ht="12.75" customHeight="1" x14ac:dyDescent="0.2"/>
    <row r="1885" ht="12.75" customHeight="1" x14ac:dyDescent="0.2"/>
    <row r="1886" ht="12.75" customHeight="1" x14ac:dyDescent="0.2"/>
    <row r="1887" ht="12.75" customHeight="1" x14ac:dyDescent="0.2"/>
    <row r="1888" ht="12.75" customHeight="1" x14ac:dyDescent="0.2"/>
    <row r="1889" ht="12.75" customHeight="1" x14ac:dyDescent="0.2"/>
    <row r="1890" ht="12.75" customHeight="1" x14ac:dyDescent="0.2"/>
    <row r="1891" ht="12.75" customHeight="1" x14ac:dyDescent="0.2"/>
    <row r="1892" ht="12.75" customHeight="1" x14ac:dyDescent="0.2"/>
    <row r="1893" ht="12.75" customHeight="1" x14ac:dyDescent="0.2"/>
    <row r="1894" ht="12.75" customHeight="1" x14ac:dyDescent="0.2"/>
    <row r="1895" ht="12.75" customHeight="1" x14ac:dyDescent="0.2"/>
    <row r="1896" ht="12.75" customHeight="1" x14ac:dyDescent="0.2"/>
    <row r="1897" ht="12.75" customHeight="1" x14ac:dyDescent="0.2"/>
    <row r="1898" ht="12.75" customHeight="1" x14ac:dyDescent="0.2"/>
    <row r="1899" ht="12.75" customHeight="1" x14ac:dyDescent="0.2"/>
    <row r="1900" ht="12.75" customHeight="1" x14ac:dyDescent="0.2"/>
    <row r="1901" ht="12.75" customHeight="1" x14ac:dyDescent="0.2"/>
    <row r="1902" ht="12.75" customHeight="1" x14ac:dyDescent="0.2"/>
    <row r="1903" ht="12.75" customHeight="1" x14ac:dyDescent="0.2"/>
    <row r="1904" ht="12.75" customHeight="1" x14ac:dyDescent="0.2"/>
    <row r="1905" ht="12.75" customHeight="1" x14ac:dyDescent="0.2"/>
    <row r="1906" ht="12.75" customHeight="1" x14ac:dyDescent="0.2"/>
    <row r="1907" ht="12.75" customHeight="1" x14ac:dyDescent="0.2"/>
    <row r="1908" ht="12.75" customHeight="1" x14ac:dyDescent="0.2"/>
    <row r="1909" ht="12.75" customHeight="1" x14ac:dyDescent="0.2"/>
    <row r="1910" ht="12.75" customHeight="1" x14ac:dyDescent="0.2"/>
    <row r="1911" ht="12.75" customHeight="1" x14ac:dyDescent="0.2"/>
    <row r="1912" ht="12.75" customHeight="1" x14ac:dyDescent="0.2"/>
    <row r="1913" ht="12.75" customHeight="1" x14ac:dyDescent="0.2"/>
    <row r="1914" ht="12.75" customHeight="1" x14ac:dyDescent="0.2"/>
    <row r="1915" ht="12.75" customHeight="1" x14ac:dyDescent="0.2"/>
    <row r="1916" ht="12.75" customHeight="1" x14ac:dyDescent="0.2"/>
    <row r="1917" ht="12.75" customHeight="1" x14ac:dyDescent="0.2"/>
    <row r="1918" ht="12.75" customHeight="1" x14ac:dyDescent="0.2"/>
    <row r="1919" ht="12.75" customHeight="1" x14ac:dyDescent="0.2"/>
    <row r="1920" ht="12.75" customHeight="1" x14ac:dyDescent="0.2"/>
    <row r="1921" ht="12.75" customHeight="1" x14ac:dyDescent="0.2"/>
    <row r="1922" ht="12.75" customHeight="1" x14ac:dyDescent="0.2"/>
    <row r="1923" ht="12.75" customHeight="1" x14ac:dyDescent="0.2"/>
    <row r="1924" ht="12.75" customHeight="1" x14ac:dyDescent="0.2"/>
    <row r="1925" ht="12.75" customHeight="1" x14ac:dyDescent="0.2"/>
    <row r="1926" ht="12.75" customHeight="1" x14ac:dyDescent="0.2"/>
    <row r="1927" ht="12.75" customHeight="1" x14ac:dyDescent="0.2"/>
    <row r="1928" ht="12.75" customHeight="1" x14ac:dyDescent="0.2"/>
    <row r="1929" ht="12.75" customHeight="1" x14ac:dyDescent="0.2"/>
    <row r="1930" ht="12.75" customHeight="1" x14ac:dyDescent="0.2"/>
    <row r="1931" ht="12.75" customHeight="1" x14ac:dyDescent="0.2"/>
    <row r="1932" ht="12.75" customHeight="1" x14ac:dyDescent="0.2"/>
    <row r="1933" ht="12.75" customHeight="1" x14ac:dyDescent="0.2"/>
    <row r="1934" ht="12.75" customHeight="1" x14ac:dyDescent="0.2"/>
    <row r="1935" ht="12.75" customHeight="1" x14ac:dyDescent="0.2"/>
    <row r="1936" ht="12.75" customHeight="1" x14ac:dyDescent="0.2"/>
    <row r="1937" ht="12.75" customHeight="1" x14ac:dyDescent="0.2"/>
    <row r="1938" ht="12.75" customHeight="1" x14ac:dyDescent="0.2"/>
    <row r="1939" ht="12.75" customHeight="1" x14ac:dyDescent="0.2"/>
    <row r="1940" ht="12.75" customHeight="1" x14ac:dyDescent="0.2"/>
    <row r="1941" ht="12.75" customHeight="1" x14ac:dyDescent="0.2"/>
    <row r="1942" ht="12.75" customHeight="1" x14ac:dyDescent="0.2"/>
    <row r="1943" ht="12.75" customHeight="1" x14ac:dyDescent="0.2"/>
    <row r="1944" ht="12.75" customHeight="1" x14ac:dyDescent="0.2"/>
    <row r="1945" ht="12.75" customHeight="1" x14ac:dyDescent="0.2"/>
    <row r="1946" ht="12.75" customHeight="1" x14ac:dyDescent="0.2"/>
    <row r="1947" ht="12.75" customHeight="1" x14ac:dyDescent="0.2"/>
    <row r="1948" ht="12.75" customHeight="1" x14ac:dyDescent="0.2"/>
    <row r="1949" ht="12.75" customHeight="1" x14ac:dyDescent="0.2"/>
    <row r="1950" ht="12.75" customHeight="1" x14ac:dyDescent="0.2"/>
    <row r="1951" ht="12.75" customHeight="1" x14ac:dyDescent="0.2"/>
    <row r="1952" ht="12.75" customHeight="1" x14ac:dyDescent="0.2"/>
    <row r="1953" ht="12.75" customHeight="1" x14ac:dyDescent="0.2"/>
    <row r="1954" ht="12.75" customHeight="1" x14ac:dyDescent="0.2"/>
    <row r="1955" ht="12.75" customHeight="1" x14ac:dyDescent="0.2"/>
    <row r="1956" ht="12.75" customHeight="1" x14ac:dyDescent="0.2"/>
    <row r="1957" ht="12.75" customHeight="1" x14ac:dyDescent="0.2"/>
    <row r="1958" ht="12.75" customHeight="1" x14ac:dyDescent="0.2"/>
    <row r="1959" ht="12.75" customHeight="1" x14ac:dyDescent="0.2"/>
    <row r="1960" ht="12.75" customHeight="1" x14ac:dyDescent="0.2"/>
    <row r="1961" ht="12.75" customHeight="1" x14ac:dyDescent="0.2"/>
    <row r="1962" ht="12.75" customHeight="1" x14ac:dyDescent="0.2"/>
    <row r="1963" ht="12.75" customHeight="1" x14ac:dyDescent="0.2"/>
    <row r="1964" ht="12.75" customHeight="1" x14ac:dyDescent="0.2"/>
    <row r="1965" ht="12.75" customHeight="1" x14ac:dyDescent="0.2"/>
    <row r="1966" ht="12.75" customHeight="1" x14ac:dyDescent="0.2"/>
    <row r="1967" ht="12.75" customHeight="1" x14ac:dyDescent="0.2"/>
    <row r="1968" ht="12.75" customHeight="1" x14ac:dyDescent="0.2"/>
    <row r="1969" ht="12.75" customHeight="1" x14ac:dyDescent="0.2"/>
    <row r="1970" ht="12.75" customHeight="1" x14ac:dyDescent="0.2"/>
    <row r="1971" ht="12.75" customHeight="1" x14ac:dyDescent="0.2"/>
    <row r="1972" ht="12.75" customHeight="1" x14ac:dyDescent="0.2"/>
    <row r="1973" ht="12.75" customHeight="1" x14ac:dyDescent="0.2"/>
    <row r="1974" ht="12.75" customHeight="1" x14ac:dyDescent="0.2"/>
    <row r="1975" ht="12.75" customHeight="1" x14ac:dyDescent="0.2"/>
    <row r="1976" ht="12.75" customHeight="1" x14ac:dyDescent="0.2"/>
    <row r="1977" ht="12.75" customHeight="1" x14ac:dyDescent="0.2"/>
    <row r="1978" ht="12.75" customHeight="1" x14ac:dyDescent="0.2"/>
    <row r="1979" ht="12.75" customHeight="1" x14ac:dyDescent="0.2"/>
    <row r="1980" ht="12.75" customHeight="1" x14ac:dyDescent="0.2"/>
    <row r="1981" ht="12.75" customHeight="1" x14ac:dyDescent="0.2"/>
    <row r="1982" ht="12.75" customHeight="1" x14ac:dyDescent="0.2"/>
    <row r="1983" ht="12.75" customHeight="1" x14ac:dyDescent="0.2"/>
    <row r="1984" ht="12.75" customHeight="1" x14ac:dyDescent="0.2"/>
    <row r="1985" ht="12.75" customHeight="1" x14ac:dyDescent="0.2"/>
    <row r="1986" ht="12.75" customHeight="1" x14ac:dyDescent="0.2"/>
    <row r="1987" ht="12.75" customHeight="1" x14ac:dyDescent="0.2"/>
    <row r="1988" ht="12.75" customHeight="1" x14ac:dyDescent="0.2"/>
    <row r="1989" ht="12.75" customHeight="1" x14ac:dyDescent="0.2"/>
    <row r="1990" ht="12.75" customHeight="1" x14ac:dyDescent="0.2"/>
    <row r="1991" ht="12.75" customHeight="1" x14ac:dyDescent="0.2"/>
    <row r="1992" ht="12.75" customHeight="1" x14ac:dyDescent="0.2"/>
    <row r="1993" ht="12.75" customHeight="1" x14ac:dyDescent="0.2"/>
    <row r="1994" ht="12.75" customHeight="1" x14ac:dyDescent="0.2"/>
    <row r="1995" ht="12.75" customHeight="1" x14ac:dyDescent="0.2"/>
    <row r="1996" ht="12.75" customHeight="1" x14ac:dyDescent="0.2"/>
    <row r="1997" ht="12.75" customHeight="1" x14ac:dyDescent="0.2"/>
    <row r="1998" ht="12.75" customHeight="1" x14ac:dyDescent="0.2"/>
    <row r="1999" ht="12.75" customHeight="1" x14ac:dyDescent="0.2"/>
    <row r="2000" ht="12.75" customHeight="1" x14ac:dyDescent="0.2"/>
    <row r="2001" ht="12.75" customHeight="1" x14ac:dyDescent="0.2"/>
    <row r="2002" ht="12.75" customHeight="1" x14ac:dyDescent="0.2"/>
    <row r="2003" ht="12.75" customHeight="1" x14ac:dyDescent="0.2"/>
    <row r="2004" ht="12.75" customHeight="1" x14ac:dyDescent="0.2"/>
    <row r="2005" ht="12.75" customHeight="1" x14ac:dyDescent="0.2"/>
    <row r="2006" ht="12.75" customHeight="1" x14ac:dyDescent="0.2"/>
    <row r="2007" ht="12.75" customHeight="1" x14ac:dyDescent="0.2"/>
    <row r="2008" ht="12.75" customHeight="1" x14ac:dyDescent="0.2"/>
    <row r="2009" ht="12.75" customHeight="1" x14ac:dyDescent="0.2"/>
    <row r="2010" ht="12.75" customHeight="1" x14ac:dyDescent="0.2"/>
    <row r="2011" ht="12.75" customHeight="1" x14ac:dyDescent="0.2"/>
    <row r="2012" ht="12.75" customHeight="1" x14ac:dyDescent="0.2"/>
    <row r="2013" ht="12.75" customHeight="1" x14ac:dyDescent="0.2"/>
    <row r="2014" ht="12.75" customHeight="1" x14ac:dyDescent="0.2"/>
    <row r="2015" ht="12.75" customHeight="1" x14ac:dyDescent="0.2"/>
    <row r="2016" ht="12.75" customHeight="1" x14ac:dyDescent="0.2"/>
    <row r="2017" ht="12.75" customHeight="1" x14ac:dyDescent="0.2"/>
    <row r="2018" ht="12.75" customHeight="1" x14ac:dyDescent="0.2"/>
    <row r="2019" ht="12.75" customHeight="1" x14ac:dyDescent="0.2"/>
    <row r="2020" ht="12.75" customHeight="1" x14ac:dyDescent="0.2"/>
    <row r="2021" ht="12.75" customHeight="1" x14ac:dyDescent="0.2"/>
    <row r="2022" ht="12.75" customHeight="1" x14ac:dyDescent="0.2"/>
    <row r="2023" ht="12.75" customHeight="1" x14ac:dyDescent="0.2"/>
    <row r="2024" ht="12.75" customHeight="1" x14ac:dyDescent="0.2"/>
    <row r="2025" ht="12.75" customHeight="1" x14ac:dyDescent="0.2"/>
    <row r="2026" ht="12.75" customHeight="1" x14ac:dyDescent="0.2"/>
    <row r="2027" ht="12.75" customHeight="1" x14ac:dyDescent="0.2"/>
    <row r="2028" ht="12.75" customHeight="1" x14ac:dyDescent="0.2"/>
    <row r="2029" ht="12.75" customHeight="1" x14ac:dyDescent="0.2"/>
    <row r="2030" ht="12.75" customHeight="1" x14ac:dyDescent="0.2"/>
    <row r="2031" ht="12.75" customHeight="1" x14ac:dyDescent="0.2"/>
    <row r="2032" ht="12.75" customHeight="1" x14ac:dyDescent="0.2"/>
    <row r="2033" ht="12.75" customHeight="1" x14ac:dyDescent="0.2"/>
    <row r="2034" ht="12.75" customHeight="1" x14ac:dyDescent="0.2"/>
    <row r="2035" ht="12.75" customHeight="1" x14ac:dyDescent="0.2"/>
    <row r="2036" ht="12.75" customHeight="1" x14ac:dyDescent="0.2"/>
    <row r="2037" ht="12.75" customHeight="1" x14ac:dyDescent="0.2"/>
    <row r="2038" ht="12.75" customHeight="1" x14ac:dyDescent="0.2"/>
    <row r="2039" ht="12.75" customHeight="1" x14ac:dyDescent="0.2"/>
    <row r="2040" ht="12.75" customHeight="1" x14ac:dyDescent="0.2"/>
    <row r="2041" ht="12.75" customHeight="1" x14ac:dyDescent="0.2"/>
    <row r="2042" ht="12.75" customHeight="1" x14ac:dyDescent="0.2"/>
    <row r="2043" ht="12.75" customHeight="1" x14ac:dyDescent="0.2"/>
    <row r="2044" ht="12.75" customHeight="1" x14ac:dyDescent="0.2"/>
    <row r="2045" ht="12.75" customHeight="1" x14ac:dyDescent="0.2"/>
    <row r="2046" ht="12.75" customHeight="1" x14ac:dyDescent="0.2"/>
    <row r="2047" ht="12.75" customHeight="1" x14ac:dyDescent="0.2"/>
    <row r="2048" ht="12.75" customHeight="1" x14ac:dyDescent="0.2"/>
    <row r="2049" ht="12.75" customHeight="1" x14ac:dyDescent="0.2"/>
    <row r="2050" ht="12.75" customHeight="1" x14ac:dyDescent="0.2"/>
    <row r="2051" ht="12.75" customHeight="1" x14ac:dyDescent="0.2"/>
    <row r="2052" ht="12.75" customHeight="1" x14ac:dyDescent="0.2"/>
    <row r="2053" ht="12.75" customHeight="1" x14ac:dyDescent="0.2"/>
    <row r="2054" ht="12.75" customHeight="1" x14ac:dyDescent="0.2"/>
    <row r="2055" ht="12.75" customHeight="1" x14ac:dyDescent="0.2"/>
    <row r="2056" ht="12.75" customHeight="1" x14ac:dyDescent="0.2"/>
    <row r="2057" ht="12.75" customHeight="1" x14ac:dyDescent="0.2"/>
    <row r="2058" ht="12.75" customHeight="1" x14ac:dyDescent="0.2"/>
    <row r="2059" ht="12.75" customHeight="1" x14ac:dyDescent="0.2"/>
    <row r="2060" ht="12.75" customHeight="1" x14ac:dyDescent="0.2"/>
    <row r="2061" ht="12.75" customHeight="1" x14ac:dyDescent="0.2"/>
    <row r="2062" ht="12.75" customHeight="1" x14ac:dyDescent="0.2"/>
    <row r="2063" ht="12.75" customHeight="1" x14ac:dyDescent="0.2"/>
    <row r="2064" ht="12.75" customHeight="1" x14ac:dyDescent="0.2"/>
    <row r="2065" ht="12.75" customHeight="1" x14ac:dyDescent="0.2"/>
    <row r="2066" ht="12.75" customHeight="1" x14ac:dyDescent="0.2"/>
    <row r="2067" ht="12.75" customHeight="1" x14ac:dyDescent="0.2"/>
    <row r="2068" ht="12.75" customHeight="1" x14ac:dyDescent="0.2"/>
    <row r="2069" ht="12.75" customHeight="1" x14ac:dyDescent="0.2"/>
    <row r="2070" ht="12.75" customHeight="1" x14ac:dyDescent="0.2"/>
    <row r="2071" ht="12.75" customHeight="1" x14ac:dyDescent="0.2"/>
    <row r="2072" ht="12.75" customHeight="1" x14ac:dyDescent="0.2"/>
    <row r="2073" ht="12.75" customHeight="1" x14ac:dyDescent="0.2"/>
    <row r="2074" ht="12.75" customHeight="1" x14ac:dyDescent="0.2"/>
    <row r="2075" ht="12.75" customHeight="1" x14ac:dyDescent="0.2"/>
    <row r="2076" ht="12.75" customHeight="1" x14ac:dyDescent="0.2"/>
    <row r="2077" ht="12.75" customHeight="1" x14ac:dyDescent="0.2"/>
    <row r="2078" ht="12.75" customHeight="1" x14ac:dyDescent="0.2"/>
    <row r="2079" ht="12.75" customHeight="1" x14ac:dyDescent="0.2"/>
    <row r="2080" ht="12.75" customHeight="1" x14ac:dyDescent="0.2"/>
    <row r="2081" ht="12.75" customHeight="1" x14ac:dyDescent="0.2"/>
    <row r="2082" ht="12.75" customHeight="1" x14ac:dyDescent="0.2"/>
    <row r="2083" ht="12.75" customHeight="1" x14ac:dyDescent="0.2"/>
    <row r="2084" ht="12.75" customHeight="1" x14ac:dyDescent="0.2"/>
    <row r="2085" ht="12.75" customHeight="1" x14ac:dyDescent="0.2"/>
    <row r="2086" ht="12.75" customHeight="1" x14ac:dyDescent="0.2"/>
    <row r="2087" ht="12.75" customHeight="1" x14ac:dyDescent="0.2"/>
    <row r="2088" ht="12.75" customHeight="1" x14ac:dyDescent="0.2"/>
    <row r="2089" ht="12.75" customHeight="1" x14ac:dyDescent="0.2"/>
    <row r="2090" ht="12.75" customHeight="1" x14ac:dyDescent="0.2"/>
    <row r="2091" ht="12.75" customHeight="1" x14ac:dyDescent="0.2"/>
    <row r="2092" ht="12.75" customHeight="1" x14ac:dyDescent="0.2"/>
    <row r="2093" ht="12.75" customHeight="1" x14ac:dyDescent="0.2"/>
    <row r="2094" ht="12.75" customHeight="1" x14ac:dyDescent="0.2"/>
    <row r="2095" ht="12.75" customHeight="1" x14ac:dyDescent="0.2"/>
    <row r="2096" ht="12.75" customHeight="1" x14ac:dyDescent="0.2"/>
    <row r="2097" ht="12.75" customHeight="1" x14ac:dyDescent="0.2"/>
    <row r="2098" ht="12.75" customHeight="1" x14ac:dyDescent="0.2"/>
    <row r="2099" ht="12.75" customHeight="1" x14ac:dyDescent="0.2"/>
    <row r="2100" ht="12.75" customHeight="1" x14ac:dyDescent="0.2"/>
    <row r="2101" ht="12.75" customHeight="1" x14ac:dyDescent="0.2"/>
    <row r="2102" ht="12.75" customHeight="1" x14ac:dyDescent="0.2"/>
    <row r="2103" ht="12.75" customHeight="1" x14ac:dyDescent="0.2"/>
    <row r="2104" ht="12.75" customHeight="1" x14ac:dyDescent="0.2"/>
    <row r="2105" ht="12.75" customHeight="1" x14ac:dyDescent="0.2"/>
    <row r="2106" ht="12.75" customHeight="1" x14ac:dyDescent="0.2"/>
    <row r="2107" ht="12.75" customHeight="1" x14ac:dyDescent="0.2"/>
    <row r="2108" ht="12.75" customHeight="1" x14ac:dyDescent="0.2"/>
    <row r="2109" ht="12.75" customHeight="1" x14ac:dyDescent="0.2"/>
    <row r="2110" ht="12.75" customHeight="1" x14ac:dyDescent="0.2"/>
    <row r="2111" ht="12.75" customHeight="1" x14ac:dyDescent="0.2"/>
    <row r="2112" ht="12.75" customHeight="1" x14ac:dyDescent="0.2"/>
    <row r="2113" ht="12.75" customHeight="1" x14ac:dyDescent="0.2"/>
    <row r="2114" ht="12.75" customHeight="1" x14ac:dyDescent="0.2"/>
    <row r="2115" ht="12.75" customHeight="1" x14ac:dyDescent="0.2"/>
    <row r="2116" ht="12.75" customHeight="1" x14ac:dyDescent="0.2"/>
    <row r="2117" ht="12.75" customHeight="1" x14ac:dyDescent="0.2"/>
    <row r="2118" ht="12.75" customHeight="1" x14ac:dyDescent="0.2"/>
    <row r="2119" ht="12.75" customHeight="1" x14ac:dyDescent="0.2"/>
    <row r="2120" ht="12.75" customHeight="1" x14ac:dyDescent="0.2"/>
    <row r="2121" ht="12.75" customHeight="1" x14ac:dyDescent="0.2"/>
    <row r="2122" ht="12.75" customHeight="1" x14ac:dyDescent="0.2"/>
    <row r="2123" ht="12.75" customHeight="1" x14ac:dyDescent="0.2"/>
    <row r="2124" ht="12.75" customHeight="1" x14ac:dyDescent="0.2"/>
    <row r="2125" ht="12.75" customHeight="1" x14ac:dyDescent="0.2"/>
    <row r="2126" ht="12.75" customHeight="1" x14ac:dyDescent="0.2"/>
    <row r="2127" ht="12.75" customHeight="1" x14ac:dyDescent="0.2"/>
    <row r="2128" ht="12.75" customHeight="1" x14ac:dyDescent="0.2"/>
    <row r="2129" ht="12.75" customHeight="1" x14ac:dyDescent="0.2"/>
    <row r="2130" ht="12.75" customHeight="1" x14ac:dyDescent="0.2"/>
    <row r="2131" ht="12.75" customHeight="1" x14ac:dyDescent="0.2"/>
    <row r="2132" ht="12.75" customHeight="1" x14ac:dyDescent="0.2"/>
    <row r="2133" ht="12.75" customHeight="1" x14ac:dyDescent="0.2"/>
    <row r="2134" ht="12.75" customHeight="1" x14ac:dyDescent="0.2"/>
    <row r="2135" ht="12.75" customHeight="1" x14ac:dyDescent="0.2"/>
    <row r="2136" ht="12.75" customHeight="1" x14ac:dyDescent="0.2"/>
    <row r="2137" ht="12.75" customHeight="1" x14ac:dyDescent="0.2"/>
    <row r="2138" ht="12.75" customHeight="1" x14ac:dyDescent="0.2"/>
    <row r="2139" ht="12.75" customHeight="1" x14ac:dyDescent="0.2"/>
    <row r="2140" ht="12.75" customHeight="1" x14ac:dyDescent="0.2"/>
    <row r="2141" ht="12.75" customHeight="1" x14ac:dyDescent="0.2"/>
    <row r="2142" ht="12.75" customHeight="1" x14ac:dyDescent="0.2"/>
    <row r="2143" ht="12.75" customHeight="1" x14ac:dyDescent="0.2"/>
    <row r="2144" ht="12.75" customHeight="1" x14ac:dyDescent="0.2"/>
    <row r="2145" ht="12.75" customHeight="1" x14ac:dyDescent="0.2"/>
    <row r="2146" ht="12.75" customHeight="1" x14ac:dyDescent="0.2"/>
    <row r="2147" ht="12.75" customHeight="1" x14ac:dyDescent="0.2"/>
    <row r="2148" ht="12.75" customHeight="1" x14ac:dyDescent="0.2"/>
    <row r="2149" ht="12.75" customHeight="1" x14ac:dyDescent="0.2"/>
    <row r="2150" ht="12.75" customHeight="1" x14ac:dyDescent="0.2"/>
    <row r="2151" ht="12.75" customHeight="1" x14ac:dyDescent="0.2"/>
    <row r="2152" ht="12.75" customHeight="1" x14ac:dyDescent="0.2"/>
    <row r="2153" ht="12.75" customHeight="1" x14ac:dyDescent="0.2"/>
    <row r="2154" ht="12.75" customHeight="1" x14ac:dyDescent="0.2"/>
    <row r="2155" ht="12.75" customHeight="1" x14ac:dyDescent="0.2"/>
    <row r="2156" ht="12.75" customHeight="1" x14ac:dyDescent="0.2"/>
    <row r="2157" ht="12.75" customHeight="1" x14ac:dyDescent="0.2"/>
    <row r="2158" ht="12.75" customHeight="1" x14ac:dyDescent="0.2"/>
    <row r="2159" ht="12.75" customHeight="1" x14ac:dyDescent="0.2"/>
    <row r="2160" ht="12.75" customHeight="1" x14ac:dyDescent="0.2"/>
    <row r="2161" ht="12.75" customHeight="1" x14ac:dyDescent="0.2"/>
    <row r="2162" ht="12.75" customHeight="1" x14ac:dyDescent="0.2"/>
    <row r="2163" ht="12.75" customHeight="1" x14ac:dyDescent="0.2"/>
    <row r="2164" ht="12.75" customHeight="1" x14ac:dyDescent="0.2"/>
    <row r="2165" ht="12.75" customHeight="1" x14ac:dyDescent="0.2"/>
    <row r="2166" ht="12.75" customHeight="1" x14ac:dyDescent="0.2"/>
    <row r="2167" ht="12.75" customHeight="1" x14ac:dyDescent="0.2"/>
    <row r="2168" ht="12.75" customHeight="1" x14ac:dyDescent="0.2"/>
    <row r="2169" ht="12.75" customHeight="1" x14ac:dyDescent="0.2"/>
    <row r="2170" ht="12.75" customHeight="1" x14ac:dyDescent="0.2"/>
    <row r="2171" ht="12.75" customHeight="1" x14ac:dyDescent="0.2"/>
    <row r="2172" ht="12.75" customHeight="1" x14ac:dyDescent="0.2"/>
    <row r="2173" ht="12.75" customHeight="1" x14ac:dyDescent="0.2"/>
    <row r="2174" ht="12.75" customHeight="1" x14ac:dyDescent="0.2"/>
    <row r="2175" ht="12.75" customHeight="1" x14ac:dyDescent="0.2"/>
    <row r="2176" ht="12.75" customHeight="1" x14ac:dyDescent="0.2"/>
    <row r="2177" ht="12.75" customHeight="1" x14ac:dyDescent="0.2"/>
    <row r="2178" ht="12.75" customHeight="1" x14ac:dyDescent="0.2"/>
    <row r="2179" ht="12.75" customHeight="1" x14ac:dyDescent="0.2"/>
    <row r="2180" ht="12.75" customHeight="1" x14ac:dyDescent="0.2"/>
    <row r="2181" ht="12.75" customHeight="1" x14ac:dyDescent="0.2"/>
    <row r="2182" ht="12.75" customHeight="1" x14ac:dyDescent="0.2"/>
    <row r="2183" ht="12.75" customHeight="1" x14ac:dyDescent="0.2"/>
    <row r="2184" ht="12.75" customHeight="1" x14ac:dyDescent="0.2"/>
    <row r="2185" ht="12.75" customHeight="1" x14ac:dyDescent="0.2"/>
    <row r="2186" ht="12.75" customHeight="1" x14ac:dyDescent="0.2"/>
    <row r="2187" ht="12.75" customHeight="1" x14ac:dyDescent="0.2"/>
    <row r="2188" ht="12.75" customHeight="1" x14ac:dyDescent="0.2"/>
    <row r="2189" ht="12.75" customHeight="1" x14ac:dyDescent="0.2"/>
    <row r="2190" ht="12.75" customHeight="1" x14ac:dyDescent="0.2"/>
    <row r="2191" ht="12.75" customHeight="1" x14ac:dyDescent="0.2"/>
    <row r="2192" ht="12.75" customHeight="1" x14ac:dyDescent="0.2"/>
    <row r="2193" ht="12.75" customHeight="1" x14ac:dyDescent="0.2"/>
    <row r="2194" ht="12.75" customHeight="1" x14ac:dyDescent="0.2"/>
    <row r="2195" ht="12.75" customHeight="1" x14ac:dyDescent="0.2"/>
    <row r="2196" ht="12.75" customHeight="1" x14ac:dyDescent="0.2"/>
    <row r="2197" ht="12.75" customHeight="1" x14ac:dyDescent="0.2"/>
    <row r="2198" ht="12.75" customHeight="1" x14ac:dyDescent="0.2"/>
    <row r="2199" ht="12.75" customHeight="1" x14ac:dyDescent="0.2"/>
    <row r="2200" ht="12.75" customHeight="1" x14ac:dyDescent="0.2"/>
    <row r="2201" ht="12.75" customHeight="1" x14ac:dyDescent="0.2"/>
    <row r="2202" ht="12.75" customHeight="1" x14ac:dyDescent="0.2"/>
    <row r="2203" ht="12.75" customHeight="1" x14ac:dyDescent="0.2"/>
    <row r="2204" ht="12.75" customHeight="1" x14ac:dyDescent="0.2"/>
    <row r="2205" ht="12.75" customHeight="1" x14ac:dyDescent="0.2"/>
    <row r="2206" ht="12.75" customHeight="1" x14ac:dyDescent="0.2"/>
    <row r="2207" ht="12.75" customHeight="1" x14ac:dyDescent="0.2"/>
    <row r="2208" ht="12.75" customHeight="1" x14ac:dyDescent="0.2"/>
    <row r="2209" ht="12.75" customHeight="1" x14ac:dyDescent="0.2"/>
    <row r="2210" ht="12.75" customHeight="1" x14ac:dyDescent="0.2"/>
    <row r="2211" ht="12.75" customHeight="1" x14ac:dyDescent="0.2"/>
    <row r="2212" ht="12.75" customHeight="1" x14ac:dyDescent="0.2"/>
    <row r="2213" ht="12.75" customHeight="1" x14ac:dyDescent="0.2"/>
    <row r="2214" ht="12.75" customHeight="1" x14ac:dyDescent="0.2"/>
    <row r="2215" ht="12.75" customHeight="1" x14ac:dyDescent="0.2"/>
    <row r="2216" ht="12.75" customHeight="1" x14ac:dyDescent="0.2"/>
    <row r="2217" ht="12.75" customHeight="1" x14ac:dyDescent="0.2"/>
    <row r="2218" ht="12.75" customHeight="1" x14ac:dyDescent="0.2"/>
    <row r="2219" ht="12.75" customHeight="1" x14ac:dyDescent="0.2"/>
    <row r="2220" ht="12.75" customHeight="1" x14ac:dyDescent="0.2"/>
    <row r="2221" ht="12.75" customHeight="1" x14ac:dyDescent="0.2"/>
    <row r="2222" ht="12.75" customHeight="1" x14ac:dyDescent="0.2"/>
    <row r="2223" ht="12.75" customHeight="1" x14ac:dyDescent="0.2"/>
    <row r="2224" ht="12.75" customHeight="1" x14ac:dyDescent="0.2"/>
    <row r="2225" ht="12.75" customHeight="1" x14ac:dyDescent="0.2"/>
    <row r="2226" ht="12.75" customHeight="1" x14ac:dyDescent="0.2"/>
    <row r="2227" ht="12.75" customHeight="1" x14ac:dyDescent="0.2"/>
    <row r="2228" ht="12.75" customHeight="1" x14ac:dyDescent="0.2"/>
    <row r="2229" ht="12.75" customHeight="1" x14ac:dyDescent="0.2"/>
    <row r="2230" ht="12.75" customHeight="1" x14ac:dyDescent="0.2"/>
    <row r="2231" ht="12.75" customHeight="1" x14ac:dyDescent="0.2"/>
    <row r="2232" ht="12.75" customHeight="1" x14ac:dyDescent="0.2"/>
    <row r="2233" ht="12.75" customHeight="1" x14ac:dyDescent="0.2"/>
    <row r="2234" ht="12.75" customHeight="1" x14ac:dyDescent="0.2"/>
    <row r="2235" ht="12.75" customHeight="1" x14ac:dyDescent="0.2"/>
    <row r="2236" ht="12.75" customHeight="1" x14ac:dyDescent="0.2"/>
    <row r="2237" ht="12.75" customHeight="1" x14ac:dyDescent="0.2"/>
    <row r="2238" ht="12.75" customHeight="1" x14ac:dyDescent="0.2"/>
    <row r="2239" ht="12.75" customHeight="1" x14ac:dyDescent="0.2"/>
    <row r="2240" ht="12.75" customHeight="1" x14ac:dyDescent="0.2"/>
    <row r="2241" ht="12.75" customHeight="1" x14ac:dyDescent="0.2"/>
    <row r="2242" ht="12.75" customHeight="1" x14ac:dyDescent="0.2"/>
    <row r="2243" ht="12.75" customHeight="1" x14ac:dyDescent="0.2"/>
    <row r="2244" ht="12.75" customHeight="1" x14ac:dyDescent="0.2"/>
    <row r="2245" ht="12.75" customHeight="1" x14ac:dyDescent="0.2"/>
    <row r="2246" ht="12.75" customHeight="1" x14ac:dyDescent="0.2"/>
    <row r="2247" ht="12.75" customHeight="1" x14ac:dyDescent="0.2"/>
    <row r="2248" ht="12.75" customHeight="1" x14ac:dyDescent="0.2"/>
    <row r="2249" ht="12.75" customHeight="1" x14ac:dyDescent="0.2"/>
    <row r="2250" ht="12.75" customHeight="1" x14ac:dyDescent="0.2"/>
    <row r="2251" ht="12.75" customHeight="1" x14ac:dyDescent="0.2"/>
    <row r="2252" ht="12.75" customHeight="1" x14ac:dyDescent="0.2"/>
    <row r="2253" ht="12.75" customHeight="1" x14ac:dyDescent="0.2"/>
    <row r="2254" ht="12.75" customHeight="1" x14ac:dyDescent="0.2"/>
    <row r="2255" ht="12.75" customHeight="1" x14ac:dyDescent="0.2"/>
    <row r="2256" ht="12.75" customHeight="1" x14ac:dyDescent="0.2"/>
    <row r="2257" ht="12.75" customHeight="1" x14ac:dyDescent="0.2"/>
    <row r="2258" ht="12.75" customHeight="1" x14ac:dyDescent="0.2"/>
    <row r="2259" ht="12.75" customHeight="1" x14ac:dyDescent="0.2"/>
    <row r="2260" ht="12.75" customHeight="1" x14ac:dyDescent="0.2"/>
    <row r="2261" ht="12.75" customHeight="1" x14ac:dyDescent="0.2"/>
    <row r="2262" ht="12.75" customHeight="1" x14ac:dyDescent="0.2"/>
    <row r="2263" ht="12.75" customHeight="1" x14ac:dyDescent="0.2"/>
    <row r="2264" ht="12.75" customHeight="1" x14ac:dyDescent="0.2"/>
    <row r="2265" ht="12.75" customHeight="1" x14ac:dyDescent="0.2"/>
    <row r="2266" ht="12.75" customHeight="1" x14ac:dyDescent="0.2"/>
    <row r="2267" ht="12.75" customHeight="1" x14ac:dyDescent="0.2"/>
    <row r="2268" ht="12.75" customHeight="1" x14ac:dyDescent="0.2"/>
    <row r="2269" ht="12.75" customHeight="1" x14ac:dyDescent="0.2"/>
    <row r="2270" ht="12.75" customHeight="1" x14ac:dyDescent="0.2"/>
    <row r="2271" ht="12.75" customHeight="1" x14ac:dyDescent="0.2"/>
    <row r="2272" ht="12.75" customHeight="1" x14ac:dyDescent="0.2"/>
    <row r="2273" ht="12.75" customHeight="1" x14ac:dyDescent="0.2"/>
    <row r="2274" ht="12.75" customHeight="1" x14ac:dyDescent="0.2"/>
    <row r="2275" ht="12.75" customHeight="1" x14ac:dyDescent="0.2"/>
    <row r="2276" ht="12.75" customHeight="1" x14ac:dyDescent="0.2"/>
    <row r="2277" ht="12.75" customHeight="1" x14ac:dyDescent="0.2"/>
    <row r="2278" ht="12.75" customHeight="1" x14ac:dyDescent="0.2"/>
    <row r="2279" ht="12.75" customHeight="1" x14ac:dyDescent="0.2"/>
    <row r="2280" ht="12.75" customHeight="1" x14ac:dyDescent="0.2"/>
    <row r="2281" ht="12.75" customHeight="1" x14ac:dyDescent="0.2"/>
    <row r="2282" ht="12.75" customHeight="1" x14ac:dyDescent="0.2"/>
    <row r="2283" ht="12.75" customHeight="1" x14ac:dyDescent="0.2"/>
    <row r="2284" ht="12.75" customHeight="1" x14ac:dyDescent="0.2"/>
    <row r="2285" ht="12.75" customHeight="1" x14ac:dyDescent="0.2"/>
    <row r="2286" ht="12.75" customHeight="1" x14ac:dyDescent="0.2"/>
    <row r="2287" ht="12.75" customHeight="1" x14ac:dyDescent="0.2"/>
    <row r="2288" ht="12.75" customHeight="1" x14ac:dyDescent="0.2"/>
    <row r="2289" ht="12.75" customHeight="1" x14ac:dyDescent="0.2"/>
    <row r="2290" ht="12.75" customHeight="1" x14ac:dyDescent="0.2"/>
    <row r="2291" ht="12.75" customHeight="1" x14ac:dyDescent="0.2"/>
    <row r="2292" ht="12.75" customHeight="1" x14ac:dyDescent="0.2"/>
    <row r="2293" ht="12.75" customHeight="1" x14ac:dyDescent="0.2"/>
    <row r="2294" ht="12.75" customHeight="1" x14ac:dyDescent="0.2"/>
    <row r="2295" ht="12.75" customHeight="1" x14ac:dyDescent="0.2"/>
    <row r="2296" ht="12.75" customHeight="1" x14ac:dyDescent="0.2"/>
    <row r="2297" ht="12.75" customHeight="1" x14ac:dyDescent="0.2"/>
    <row r="2298" ht="12.75" customHeight="1" x14ac:dyDescent="0.2"/>
    <row r="2299" ht="12.75" customHeight="1" x14ac:dyDescent="0.2"/>
    <row r="2300" ht="12.75" customHeight="1" x14ac:dyDescent="0.2"/>
    <row r="2301" ht="12.75" customHeight="1" x14ac:dyDescent="0.2"/>
    <row r="2302" ht="12.75" customHeight="1" x14ac:dyDescent="0.2"/>
    <row r="2303" ht="12.75" customHeight="1" x14ac:dyDescent="0.2"/>
    <row r="2304" ht="12.75" customHeight="1" x14ac:dyDescent="0.2"/>
    <row r="2305" ht="12.75" customHeight="1" x14ac:dyDescent="0.2"/>
    <row r="2306" ht="12.75" customHeight="1" x14ac:dyDescent="0.2"/>
    <row r="2307" ht="12.75" customHeight="1" x14ac:dyDescent="0.2"/>
    <row r="2308" ht="12.75" customHeight="1" x14ac:dyDescent="0.2"/>
    <row r="2309" ht="12.75" customHeight="1" x14ac:dyDescent="0.2"/>
    <row r="2310" ht="12.75" customHeight="1" x14ac:dyDescent="0.2"/>
    <row r="2311" ht="12.75" customHeight="1" x14ac:dyDescent="0.2"/>
    <row r="2312" ht="12.75" customHeight="1" x14ac:dyDescent="0.2"/>
    <row r="2313" ht="12.75" customHeight="1" x14ac:dyDescent="0.2"/>
    <row r="2314" ht="12.75" customHeight="1" x14ac:dyDescent="0.2"/>
    <row r="2315" ht="12.75" customHeight="1" x14ac:dyDescent="0.2"/>
    <row r="2316" ht="12.75" customHeight="1" x14ac:dyDescent="0.2"/>
    <row r="2317" ht="12.75" customHeight="1" x14ac:dyDescent="0.2"/>
    <row r="2318" ht="12.75" customHeight="1" x14ac:dyDescent="0.2"/>
    <row r="2319" ht="12.75" customHeight="1" x14ac:dyDescent="0.2"/>
    <row r="2320" ht="12.75" customHeight="1" x14ac:dyDescent="0.2"/>
    <row r="2321" ht="12.75" customHeight="1" x14ac:dyDescent="0.2"/>
    <row r="2322" ht="12.75" customHeight="1" x14ac:dyDescent="0.2"/>
    <row r="2323" ht="12.75" customHeight="1" x14ac:dyDescent="0.2"/>
    <row r="2324" ht="12.75" customHeight="1" x14ac:dyDescent="0.2"/>
    <row r="2325" ht="12.75" customHeight="1" x14ac:dyDescent="0.2"/>
    <row r="2326" ht="12.75" customHeight="1" x14ac:dyDescent="0.2"/>
    <row r="2327" ht="12.75" customHeight="1" x14ac:dyDescent="0.2"/>
    <row r="2328" ht="12.75" customHeight="1" x14ac:dyDescent="0.2"/>
    <row r="2329" ht="12.75" customHeight="1" x14ac:dyDescent="0.2"/>
    <row r="2330" ht="12.75" customHeight="1" x14ac:dyDescent="0.2"/>
    <row r="2331" ht="12.75" customHeight="1" x14ac:dyDescent="0.2"/>
    <row r="2332" ht="12.75" customHeight="1" x14ac:dyDescent="0.2"/>
    <row r="2333" ht="12.75" customHeight="1" x14ac:dyDescent="0.2"/>
    <row r="2334" ht="12.75" customHeight="1" x14ac:dyDescent="0.2"/>
    <row r="2335" ht="12.75" customHeight="1" x14ac:dyDescent="0.2"/>
    <row r="2336" ht="12.75" customHeight="1" x14ac:dyDescent="0.2"/>
    <row r="2337" ht="12.75" customHeight="1" x14ac:dyDescent="0.2"/>
    <row r="2338" ht="12.75" customHeight="1" x14ac:dyDescent="0.2"/>
    <row r="2339" ht="12.75" customHeight="1" x14ac:dyDescent="0.2"/>
    <row r="2340" ht="12.75" customHeight="1" x14ac:dyDescent="0.2"/>
    <row r="2341" ht="12.75" customHeight="1" x14ac:dyDescent="0.2"/>
    <row r="2342" ht="12.75" customHeight="1" x14ac:dyDescent="0.2"/>
    <row r="2343" ht="12.75" customHeight="1" x14ac:dyDescent="0.2"/>
    <row r="2344" ht="12.75" customHeight="1" x14ac:dyDescent="0.2"/>
    <row r="2345" ht="12.75" customHeight="1" x14ac:dyDescent="0.2"/>
    <row r="2346" ht="12.75" customHeight="1" x14ac:dyDescent="0.2"/>
    <row r="2347" ht="12.75" customHeight="1" x14ac:dyDescent="0.2"/>
    <row r="2348" ht="12.75" customHeight="1" x14ac:dyDescent="0.2"/>
    <row r="2349" ht="12.75" customHeight="1" x14ac:dyDescent="0.2"/>
    <row r="2350" ht="12.75" customHeight="1" x14ac:dyDescent="0.2"/>
    <row r="2351" ht="12.75" customHeight="1" x14ac:dyDescent="0.2"/>
    <row r="2352" ht="12.75" customHeight="1" x14ac:dyDescent="0.2"/>
    <row r="2353" ht="12.75" customHeight="1" x14ac:dyDescent="0.2"/>
    <row r="2354" ht="12.75" customHeight="1" x14ac:dyDescent="0.2"/>
    <row r="2355" ht="12.75" customHeight="1" x14ac:dyDescent="0.2"/>
    <row r="2356" ht="12.75" customHeight="1" x14ac:dyDescent="0.2"/>
    <row r="2357" ht="12.75" customHeight="1" x14ac:dyDescent="0.2"/>
    <row r="2358" ht="12.75" customHeight="1" x14ac:dyDescent="0.2"/>
    <row r="2359" ht="12.75" customHeight="1" x14ac:dyDescent="0.2"/>
    <row r="2360" ht="12.75" customHeight="1" x14ac:dyDescent="0.2"/>
    <row r="2361" ht="12.75" customHeight="1" x14ac:dyDescent="0.2"/>
    <row r="2362" ht="12.75" customHeight="1" x14ac:dyDescent="0.2"/>
    <row r="2363" ht="12.75" customHeight="1" x14ac:dyDescent="0.2"/>
    <row r="2364" ht="12.75" customHeight="1" x14ac:dyDescent="0.2"/>
    <row r="2365" ht="12.75" customHeight="1" x14ac:dyDescent="0.2"/>
    <row r="2366" ht="12.75" customHeight="1" x14ac:dyDescent="0.2"/>
    <row r="2367" ht="12.75" customHeight="1" x14ac:dyDescent="0.2"/>
    <row r="2368" ht="12.75" customHeight="1" x14ac:dyDescent="0.2"/>
    <row r="2369" ht="12.75" customHeight="1" x14ac:dyDescent="0.2"/>
    <row r="2370" ht="12.75" customHeight="1" x14ac:dyDescent="0.2"/>
    <row r="2371" ht="12.75" customHeight="1" x14ac:dyDescent="0.2"/>
    <row r="2372" ht="12.75" customHeight="1" x14ac:dyDescent="0.2"/>
    <row r="2373" ht="12.75" customHeight="1" x14ac:dyDescent="0.2"/>
    <row r="2374" ht="12.75" customHeight="1" x14ac:dyDescent="0.2"/>
    <row r="2375" ht="12.75" customHeight="1" x14ac:dyDescent="0.2"/>
    <row r="2376" ht="12.75" customHeight="1" x14ac:dyDescent="0.2"/>
    <row r="2377" ht="12.75" customHeight="1" x14ac:dyDescent="0.2"/>
    <row r="2378" ht="12.75" customHeight="1" x14ac:dyDescent="0.2"/>
    <row r="2379" ht="12.75" customHeight="1" x14ac:dyDescent="0.2"/>
    <row r="2380" ht="12.75" customHeight="1" x14ac:dyDescent="0.2"/>
    <row r="2381" ht="12.75" customHeight="1" x14ac:dyDescent="0.2"/>
    <row r="2382" ht="12.75" customHeight="1" x14ac:dyDescent="0.2"/>
    <row r="2383" ht="12.75" customHeight="1" x14ac:dyDescent="0.2"/>
    <row r="2384" ht="12.75" customHeight="1" x14ac:dyDescent="0.2"/>
    <row r="2385" ht="12.75" customHeight="1" x14ac:dyDescent="0.2"/>
    <row r="2386" ht="12.75" customHeight="1" x14ac:dyDescent="0.2"/>
    <row r="2387" ht="12.75" customHeight="1" x14ac:dyDescent="0.2"/>
    <row r="2388" ht="12.75" customHeight="1" x14ac:dyDescent="0.2"/>
    <row r="2389" ht="12.75" customHeight="1" x14ac:dyDescent="0.2"/>
    <row r="2390" ht="12.75" customHeight="1" x14ac:dyDescent="0.2"/>
    <row r="2391" ht="12.75" customHeight="1" x14ac:dyDescent="0.2"/>
    <row r="2392" ht="12.75" customHeight="1" x14ac:dyDescent="0.2"/>
    <row r="2393" ht="12.75" customHeight="1" x14ac:dyDescent="0.2"/>
    <row r="2394" ht="12.75" customHeight="1" x14ac:dyDescent="0.2"/>
    <row r="2395" ht="12.75" customHeight="1" x14ac:dyDescent="0.2"/>
    <row r="2396" ht="12.75" customHeight="1" x14ac:dyDescent="0.2"/>
    <row r="2397" ht="12.75" customHeight="1" x14ac:dyDescent="0.2"/>
    <row r="2398" ht="12.75" customHeight="1" x14ac:dyDescent="0.2"/>
    <row r="2399" ht="12.75" customHeight="1" x14ac:dyDescent="0.2"/>
    <row r="2400" ht="12.75" customHeight="1" x14ac:dyDescent="0.2"/>
    <row r="2401" ht="12.75" customHeight="1" x14ac:dyDescent="0.2"/>
    <row r="2402" ht="12.75" customHeight="1" x14ac:dyDescent="0.2"/>
    <row r="2403" ht="12.75" customHeight="1" x14ac:dyDescent="0.2"/>
    <row r="2404" ht="12.75" customHeight="1" x14ac:dyDescent="0.2"/>
    <row r="2405" ht="12.75" customHeight="1" x14ac:dyDescent="0.2"/>
    <row r="2406" ht="12.75" customHeight="1" x14ac:dyDescent="0.2"/>
    <row r="2407" ht="12.75" customHeight="1" x14ac:dyDescent="0.2"/>
    <row r="2408" ht="12.75" customHeight="1" x14ac:dyDescent="0.2"/>
    <row r="2409" ht="12.75" customHeight="1" x14ac:dyDescent="0.2"/>
    <row r="2410" ht="12.75" customHeight="1" x14ac:dyDescent="0.2"/>
    <row r="2411" ht="12.75" customHeight="1" x14ac:dyDescent="0.2"/>
    <row r="2412" ht="12.75" customHeight="1" x14ac:dyDescent="0.2"/>
    <row r="2413" ht="12.75" customHeight="1" x14ac:dyDescent="0.2"/>
    <row r="2414" ht="12.75" customHeight="1" x14ac:dyDescent="0.2"/>
    <row r="2415" ht="12.75" customHeight="1" x14ac:dyDescent="0.2"/>
    <row r="2416" ht="12.75" customHeight="1" x14ac:dyDescent="0.2"/>
    <row r="2417" ht="12.75" customHeight="1" x14ac:dyDescent="0.2"/>
    <row r="2418" ht="12.75" customHeight="1" x14ac:dyDescent="0.2"/>
    <row r="2419" ht="12.75" customHeight="1" x14ac:dyDescent="0.2"/>
    <row r="2420" ht="12.75" customHeight="1" x14ac:dyDescent="0.2"/>
    <row r="2421" ht="12.75" customHeight="1" x14ac:dyDescent="0.2"/>
    <row r="2422" ht="12.75" customHeight="1" x14ac:dyDescent="0.2"/>
    <row r="2423" ht="12.75" customHeight="1" x14ac:dyDescent="0.2"/>
    <row r="2424" ht="12.75" customHeight="1" x14ac:dyDescent="0.2"/>
    <row r="2425" ht="12.75" customHeight="1" x14ac:dyDescent="0.2"/>
    <row r="2426" ht="12.75" customHeight="1" x14ac:dyDescent="0.2"/>
    <row r="2427" ht="12.75" customHeight="1" x14ac:dyDescent="0.2"/>
    <row r="2428" ht="12.75" customHeight="1" x14ac:dyDescent="0.2"/>
    <row r="2429" ht="12.75" customHeight="1" x14ac:dyDescent="0.2"/>
    <row r="2430" ht="12.75" customHeight="1" x14ac:dyDescent="0.2"/>
    <row r="2431" ht="12.75" customHeight="1" x14ac:dyDescent="0.2"/>
    <row r="2432" ht="12.75" customHeight="1" x14ac:dyDescent="0.2"/>
    <row r="2433" ht="12.75" customHeight="1" x14ac:dyDescent="0.2"/>
    <row r="2434" ht="12.75" customHeight="1" x14ac:dyDescent="0.2"/>
    <row r="2435" ht="12.75" customHeight="1" x14ac:dyDescent="0.2"/>
    <row r="2436" ht="12.75" customHeight="1" x14ac:dyDescent="0.2"/>
    <row r="2437" ht="12.75" customHeight="1" x14ac:dyDescent="0.2"/>
    <row r="2438" ht="12.75" customHeight="1" x14ac:dyDescent="0.2"/>
    <row r="2439" ht="12.75" customHeight="1" x14ac:dyDescent="0.2"/>
    <row r="2440" ht="12.75" customHeight="1" x14ac:dyDescent="0.2"/>
    <row r="2441" ht="12.75" customHeight="1" x14ac:dyDescent="0.2"/>
    <row r="2442" ht="12.75" customHeight="1" x14ac:dyDescent="0.2"/>
    <row r="2443" ht="12.75" customHeight="1" x14ac:dyDescent="0.2"/>
    <row r="2444" ht="12.75" customHeight="1" x14ac:dyDescent="0.2"/>
    <row r="2445" ht="12.75" customHeight="1" x14ac:dyDescent="0.2"/>
    <row r="2446" ht="12.75" customHeight="1" x14ac:dyDescent="0.2"/>
    <row r="2447" ht="12.75" customHeight="1" x14ac:dyDescent="0.2"/>
    <row r="2448" ht="12.75" customHeight="1" x14ac:dyDescent="0.2"/>
    <row r="2449" ht="12.75" customHeight="1" x14ac:dyDescent="0.2"/>
    <row r="2450" ht="12.75" customHeight="1" x14ac:dyDescent="0.2"/>
    <row r="2451" ht="12.75" customHeight="1" x14ac:dyDescent="0.2"/>
    <row r="2452" ht="12.75" customHeight="1" x14ac:dyDescent="0.2"/>
    <row r="2453" ht="12.75" customHeight="1" x14ac:dyDescent="0.2"/>
    <row r="2454" ht="12.75" customHeight="1" x14ac:dyDescent="0.2"/>
    <row r="2455" ht="12.75" customHeight="1" x14ac:dyDescent="0.2"/>
    <row r="2456" ht="12.75" customHeight="1" x14ac:dyDescent="0.2"/>
    <row r="2457" ht="12.75" customHeight="1" x14ac:dyDescent="0.2"/>
    <row r="2458" ht="12.75" customHeight="1" x14ac:dyDescent="0.2"/>
    <row r="2459" ht="12.75" customHeight="1" x14ac:dyDescent="0.2"/>
    <row r="2460" ht="12.75" customHeight="1" x14ac:dyDescent="0.2"/>
    <row r="2461" ht="12.75" customHeight="1" x14ac:dyDescent="0.2"/>
    <row r="2462" ht="12.75" customHeight="1" x14ac:dyDescent="0.2"/>
    <row r="2463" ht="12.75" customHeight="1" x14ac:dyDescent="0.2"/>
    <row r="2464" ht="12.75" customHeight="1" x14ac:dyDescent="0.2"/>
    <row r="2465" ht="12.75" customHeight="1" x14ac:dyDescent="0.2"/>
    <row r="2466" ht="12.75" customHeight="1" x14ac:dyDescent="0.2"/>
    <row r="2467" ht="12.75" customHeight="1" x14ac:dyDescent="0.2"/>
    <row r="2468" ht="12.75" customHeight="1" x14ac:dyDescent="0.2"/>
    <row r="2469" ht="12.75" customHeight="1" x14ac:dyDescent="0.2"/>
    <row r="2470" ht="12.75" customHeight="1" x14ac:dyDescent="0.2"/>
    <row r="2471" ht="12.75" customHeight="1" x14ac:dyDescent="0.2"/>
    <row r="2472" ht="12.75" customHeight="1" x14ac:dyDescent="0.2"/>
    <row r="2473" ht="12.75" customHeight="1" x14ac:dyDescent="0.2"/>
    <row r="2474" ht="12.75" customHeight="1" x14ac:dyDescent="0.2"/>
    <row r="2475" ht="12.75" customHeight="1" x14ac:dyDescent="0.2"/>
    <row r="2476" ht="12.75" customHeight="1" x14ac:dyDescent="0.2"/>
    <row r="2477" ht="12.75" customHeight="1" x14ac:dyDescent="0.2"/>
    <row r="2478" ht="12.75" customHeight="1" x14ac:dyDescent="0.2"/>
    <row r="2479" ht="12.75" customHeight="1" x14ac:dyDescent="0.2"/>
    <row r="2480" ht="12.75" customHeight="1" x14ac:dyDescent="0.2"/>
    <row r="2481" ht="12.75" customHeight="1" x14ac:dyDescent="0.2"/>
    <row r="2482" ht="12.75" customHeight="1" x14ac:dyDescent="0.2"/>
    <row r="2483" ht="12.75" customHeight="1" x14ac:dyDescent="0.2"/>
    <row r="2484" ht="12.75" customHeight="1" x14ac:dyDescent="0.2"/>
    <row r="2485" ht="12.75" customHeight="1" x14ac:dyDescent="0.2"/>
    <row r="2486" ht="12.75" customHeight="1" x14ac:dyDescent="0.2"/>
    <row r="2487" ht="12.75" customHeight="1" x14ac:dyDescent="0.2"/>
    <row r="2488" ht="12.75" customHeight="1" x14ac:dyDescent="0.2"/>
    <row r="2489" ht="12.75" customHeight="1" x14ac:dyDescent="0.2"/>
    <row r="2490" ht="12.75" customHeight="1" x14ac:dyDescent="0.2"/>
    <row r="2491" ht="12.75" customHeight="1" x14ac:dyDescent="0.2"/>
    <row r="2492" ht="12.75" customHeight="1" x14ac:dyDescent="0.2"/>
    <row r="2493" ht="12.75" customHeight="1" x14ac:dyDescent="0.2"/>
    <row r="2494" ht="12.75" customHeight="1" x14ac:dyDescent="0.2"/>
    <row r="2495" ht="12.75" customHeight="1" x14ac:dyDescent="0.2"/>
    <row r="2496" ht="12.75" customHeight="1" x14ac:dyDescent="0.2"/>
    <row r="2497" ht="12.75" customHeight="1" x14ac:dyDescent="0.2"/>
    <row r="2498" ht="12.75" customHeight="1" x14ac:dyDescent="0.2"/>
    <row r="2499" ht="12.75" customHeight="1" x14ac:dyDescent="0.2"/>
    <row r="2500" ht="12.75" customHeight="1" x14ac:dyDescent="0.2"/>
    <row r="2501" ht="12.75" customHeight="1" x14ac:dyDescent="0.2"/>
    <row r="2502" ht="12.75" customHeight="1" x14ac:dyDescent="0.2"/>
    <row r="2503" ht="12.75" customHeight="1" x14ac:dyDescent="0.2"/>
    <row r="2504" ht="12.75" customHeight="1" x14ac:dyDescent="0.2"/>
    <row r="2505" ht="12.75" customHeight="1" x14ac:dyDescent="0.2"/>
    <row r="2506" ht="12.75" customHeight="1" x14ac:dyDescent="0.2"/>
    <row r="2507" ht="12.75" customHeight="1" x14ac:dyDescent="0.2"/>
    <row r="2508" ht="12.75" customHeight="1" x14ac:dyDescent="0.2"/>
    <row r="2509" ht="12.75" customHeight="1" x14ac:dyDescent="0.2"/>
    <row r="2510" ht="12.75" customHeight="1" x14ac:dyDescent="0.2"/>
    <row r="2511" ht="12.75" customHeight="1" x14ac:dyDescent="0.2"/>
    <row r="2512" ht="12.75" customHeight="1" x14ac:dyDescent="0.2"/>
    <row r="2513" ht="12.75" customHeight="1" x14ac:dyDescent="0.2"/>
    <row r="2514" ht="12.75" customHeight="1" x14ac:dyDescent="0.2"/>
    <row r="2515" ht="12.75" customHeight="1" x14ac:dyDescent="0.2"/>
    <row r="2516" ht="12.75" customHeight="1" x14ac:dyDescent="0.2"/>
    <row r="2517" ht="12.75" customHeight="1" x14ac:dyDescent="0.2"/>
    <row r="2518" ht="12.75" customHeight="1" x14ac:dyDescent="0.2"/>
    <row r="2519" ht="12.75" customHeight="1" x14ac:dyDescent="0.2"/>
    <row r="2520" ht="12.75" customHeight="1" x14ac:dyDescent="0.2"/>
    <row r="2521" ht="12.75" customHeight="1" x14ac:dyDescent="0.2"/>
    <row r="2522" ht="12.75" customHeight="1" x14ac:dyDescent="0.2"/>
    <row r="2523" ht="12.75" customHeight="1" x14ac:dyDescent="0.2"/>
    <row r="2524" ht="12.75" customHeight="1" x14ac:dyDescent="0.2"/>
    <row r="2525" ht="12.75" customHeight="1" x14ac:dyDescent="0.2"/>
    <row r="2526" ht="12.75" customHeight="1" x14ac:dyDescent="0.2"/>
    <row r="2527" ht="12.75" customHeight="1" x14ac:dyDescent="0.2"/>
    <row r="2528" ht="12.75" customHeight="1" x14ac:dyDescent="0.2"/>
    <row r="2529" ht="12.75" customHeight="1" x14ac:dyDescent="0.2"/>
    <row r="2530" ht="12.75" customHeight="1" x14ac:dyDescent="0.2"/>
    <row r="2531" ht="12.75" customHeight="1" x14ac:dyDescent="0.2"/>
    <row r="2532" ht="12.75" customHeight="1" x14ac:dyDescent="0.2"/>
    <row r="2533" ht="12.75" customHeight="1" x14ac:dyDescent="0.2"/>
    <row r="2534" ht="12.75" customHeight="1" x14ac:dyDescent="0.2"/>
    <row r="2535" ht="12.75" customHeight="1" x14ac:dyDescent="0.2"/>
    <row r="2536" ht="12.75" customHeight="1" x14ac:dyDescent="0.2"/>
    <row r="2537" ht="12.75" customHeight="1" x14ac:dyDescent="0.2"/>
    <row r="2538" ht="12.75" customHeight="1" x14ac:dyDescent="0.2"/>
    <row r="2539" ht="12.75" customHeight="1" x14ac:dyDescent="0.2"/>
    <row r="2540" ht="12.75" customHeight="1" x14ac:dyDescent="0.2"/>
    <row r="2541" ht="12.75" customHeight="1" x14ac:dyDescent="0.2"/>
    <row r="2542" ht="12.75" customHeight="1" x14ac:dyDescent="0.2"/>
    <row r="2543" ht="12.75" customHeight="1" x14ac:dyDescent="0.2"/>
    <row r="2544" ht="12.75" customHeight="1" x14ac:dyDescent="0.2"/>
    <row r="2545" ht="12.75" customHeight="1" x14ac:dyDescent="0.2"/>
    <row r="2546" ht="12.75" customHeight="1" x14ac:dyDescent="0.2"/>
    <row r="2547" ht="12.75" customHeight="1" x14ac:dyDescent="0.2"/>
    <row r="2548" ht="12.75" customHeight="1" x14ac:dyDescent="0.2"/>
    <row r="2549" ht="12.75" customHeight="1" x14ac:dyDescent="0.2"/>
    <row r="2550" ht="12.75" customHeight="1" x14ac:dyDescent="0.2"/>
    <row r="2551" ht="12.75" customHeight="1" x14ac:dyDescent="0.2"/>
    <row r="2552" ht="12.75" customHeight="1" x14ac:dyDescent="0.2"/>
    <row r="2553" ht="12.75" customHeight="1" x14ac:dyDescent="0.2"/>
    <row r="2554" ht="12.75" customHeight="1" x14ac:dyDescent="0.2"/>
    <row r="2555" ht="12.75" customHeight="1" x14ac:dyDescent="0.2"/>
    <row r="2556" ht="12.75" customHeight="1" x14ac:dyDescent="0.2"/>
    <row r="2557" ht="12.75" customHeight="1" x14ac:dyDescent="0.2"/>
    <row r="2558" ht="12.75" customHeight="1" x14ac:dyDescent="0.2"/>
    <row r="2559" ht="12.75" customHeight="1" x14ac:dyDescent="0.2"/>
    <row r="2560" ht="12.75" customHeight="1" x14ac:dyDescent="0.2"/>
    <row r="2561" ht="12.75" customHeight="1" x14ac:dyDescent="0.2"/>
    <row r="2562" ht="12.75" customHeight="1" x14ac:dyDescent="0.2"/>
    <row r="2563" ht="12.75" customHeight="1" x14ac:dyDescent="0.2"/>
    <row r="2564" ht="12.75" customHeight="1" x14ac:dyDescent="0.2"/>
    <row r="2565" ht="12.75" customHeight="1" x14ac:dyDescent="0.2"/>
    <row r="2566" ht="12.75" customHeight="1" x14ac:dyDescent="0.2"/>
    <row r="2567" ht="12.75" customHeight="1" x14ac:dyDescent="0.2"/>
    <row r="2568" ht="12.75" customHeight="1" x14ac:dyDescent="0.2"/>
    <row r="2569" ht="12.75" customHeight="1" x14ac:dyDescent="0.2"/>
    <row r="2570" ht="12.75" customHeight="1" x14ac:dyDescent="0.2"/>
    <row r="2571" ht="12.75" customHeight="1" x14ac:dyDescent="0.2"/>
    <row r="2572" ht="12.75" customHeight="1" x14ac:dyDescent="0.2"/>
    <row r="2573" ht="12.75" customHeight="1" x14ac:dyDescent="0.2"/>
    <row r="2574" ht="12.75" customHeight="1" x14ac:dyDescent="0.2"/>
    <row r="2575" ht="12.75" customHeight="1" x14ac:dyDescent="0.2"/>
    <row r="2576" ht="12.75" customHeight="1" x14ac:dyDescent="0.2"/>
    <row r="2577" ht="12.75" customHeight="1" x14ac:dyDescent="0.2"/>
    <row r="2578" ht="12.75" customHeight="1" x14ac:dyDescent="0.2"/>
    <row r="2579" ht="12.75" customHeight="1" x14ac:dyDescent="0.2"/>
    <row r="2580" ht="12.75" customHeight="1" x14ac:dyDescent="0.2"/>
    <row r="2581" ht="12.75" customHeight="1" x14ac:dyDescent="0.2"/>
    <row r="2582" ht="12.75" customHeight="1" x14ac:dyDescent="0.2"/>
    <row r="2583" ht="12.75" customHeight="1" x14ac:dyDescent="0.2"/>
    <row r="2584" ht="12.75" customHeight="1" x14ac:dyDescent="0.2"/>
    <row r="2585" ht="12.75" customHeight="1" x14ac:dyDescent="0.2"/>
    <row r="2586" ht="12.75" customHeight="1" x14ac:dyDescent="0.2"/>
    <row r="2587" ht="12.75" customHeight="1" x14ac:dyDescent="0.2"/>
    <row r="2588" ht="12.75" customHeight="1" x14ac:dyDescent="0.2"/>
    <row r="2589" ht="12.75" customHeight="1" x14ac:dyDescent="0.2"/>
    <row r="2590" ht="12.75" customHeight="1" x14ac:dyDescent="0.2"/>
    <row r="2591" ht="12.75" customHeight="1" x14ac:dyDescent="0.2"/>
    <row r="2592" ht="12.75" customHeight="1" x14ac:dyDescent="0.2"/>
    <row r="2593" ht="12.75" customHeight="1" x14ac:dyDescent="0.2"/>
    <row r="2594" ht="12.75" customHeight="1" x14ac:dyDescent="0.2"/>
    <row r="2595" ht="12.75" customHeight="1" x14ac:dyDescent="0.2"/>
    <row r="2596" ht="12.75" customHeight="1" x14ac:dyDescent="0.2"/>
    <row r="2597" ht="12.75" customHeight="1" x14ac:dyDescent="0.2"/>
    <row r="2598" ht="12.75" customHeight="1" x14ac:dyDescent="0.2"/>
    <row r="2599" ht="12.75" customHeight="1" x14ac:dyDescent="0.2"/>
    <row r="2600" ht="12.75" customHeight="1" x14ac:dyDescent="0.2"/>
    <row r="2601" ht="12.75" customHeight="1" x14ac:dyDescent="0.2"/>
    <row r="2602" ht="12.75" customHeight="1" x14ac:dyDescent="0.2"/>
    <row r="2603" ht="12.75" customHeight="1" x14ac:dyDescent="0.2"/>
    <row r="2604" ht="12.75" customHeight="1" x14ac:dyDescent="0.2"/>
    <row r="2605" ht="12.75" customHeight="1" x14ac:dyDescent="0.2"/>
    <row r="2606" ht="12.75" customHeight="1" x14ac:dyDescent="0.2"/>
    <row r="2607" ht="12.75" customHeight="1" x14ac:dyDescent="0.2"/>
    <row r="2608" ht="12.75" customHeight="1" x14ac:dyDescent="0.2"/>
    <row r="2609" ht="12.75" customHeight="1" x14ac:dyDescent="0.2"/>
    <row r="2610" ht="12.75" customHeight="1" x14ac:dyDescent="0.2"/>
    <row r="2611" ht="12.75" customHeight="1" x14ac:dyDescent="0.2"/>
    <row r="2612" ht="12.75" customHeight="1" x14ac:dyDescent="0.2"/>
    <row r="2613" ht="12.75" customHeight="1" x14ac:dyDescent="0.2"/>
    <row r="2614" ht="12.75" customHeight="1" x14ac:dyDescent="0.2"/>
    <row r="2615" ht="12.75" customHeight="1" x14ac:dyDescent="0.2"/>
    <row r="2616" ht="12.75" customHeight="1" x14ac:dyDescent="0.2"/>
    <row r="2617" ht="12.75" customHeight="1" x14ac:dyDescent="0.2"/>
    <row r="2618" ht="12.75" customHeight="1" x14ac:dyDescent="0.2"/>
    <row r="2619" ht="12.75" customHeight="1" x14ac:dyDescent="0.2"/>
    <row r="2620" ht="12.75" customHeight="1" x14ac:dyDescent="0.2"/>
    <row r="2621" ht="12.75" customHeight="1" x14ac:dyDescent="0.2"/>
    <row r="2622" ht="12.75" customHeight="1" x14ac:dyDescent="0.2"/>
    <row r="2623" ht="12.75" customHeight="1" x14ac:dyDescent="0.2"/>
    <row r="2624" ht="12.75" customHeight="1" x14ac:dyDescent="0.2"/>
    <row r="2625" ht="12.75" customHeight="1" x14ac:dyDescent="0.2"/>
    <row r="2626" ht="12.75" customHeight="1" x14ac:dyDescent="0.2"/>
    <row r="2627" ht="12.75" customHeight="1" x14ac:dyDescent="0.2"/>
    <row r="2628" ht="12.75" customHeight="1" x14ac:dyDescent="0.2"/>
    <row r="2629" ht="12.75" customHeight="1" x14ac:dyDescent="0.2"/>
    <row r="2630" ht="12.75" customHeight="1" x14ac:dyDescent="0.2"/>
    <row r="2631" ht="12.75" customHeight="1" x14ac:dyDescent="0.2"/>
    <row r="2632" ht="12.75" customHeight="1" x14ac:dyDescent="0.2"/>
    <row r="2633" ht="12.75" customHeight="1" x14ac:dyDescent="0.2"/>
    <row r="2634" ht="12.75" customHeight="1" x14ac:dyDescent="0.2"/>
    <row r="2635" ht="12.75" customHeight="1" x14ac:dyDescent="0.2"/>
    <row r="2636" ht="12.75" customHeight="1" x14ac:dyDescent="0.2"/>
    <row r="2637" ht="12.75" customHeight="1" x14ac:dyDescent="0.2"/>
    <row r="2638" ht="12.75" customHeight="1" x14ac:dyDescent="0.2"/>
    <row r="2639" ht="12.75" customHeight="1" x14ac:dyDescent="0.2"/>
    <row r="2640" ht="12.75" customHeight="1" x14ac:dyDescent="0.2"/>
    <row r="2641" ht="12.75" customHeight="1" x14ac:dyDescent="0.2"/>
    <row r="2642" ht="12.75" customHeight="1" x14ac:dyDescent="0.2"/>
    <row r="2643" ht="12.75" customHeight="1" x14ac:dyDescent="0.2"/>
    <row r="2644" ht="12.75" customHeight="1" x14ac:dyDescent="0.2"/>
    <row r="2645" ht="12.75" customHeight="1" x14ac:dyDescent="0.2"/>
    <row r="2646" ht="12.75" customHeight="1" x14ac:dyDescent="0.2"/>
    <row r="2647" ht="12.75" customHeight="1" x14ac:dyDescent="0.2"/>
    <row r="2648" ht="12.75" customHeight="1" x14ac:dyDescent="0.2"/>
    <row r="2649" ht="12.75" customHeight="1" x14ac:dyDescent="0.2"/>
    <row r="2650" ht="12.75" customHeight="1" x14ac:dyDescent="0.2"/>
    <row r="2651" ht="12.75" customHeight="1" x14ac:dyDescent="0.2"/>
    <row r="2652" ht="12.75" customHeight="1" x14ac:dyDescent="0.2"/>
    <row r="2653" ht="12.75" customHeight="1" x14ac:dyDescent="0.2"/>
    <row r="2654" ht="12.75" customHeight="1" x14ac:dyDescent="0.2"/>
    <row r="2655" ht="12.75" customHeight="1" x14ac:dyDescent="0.2"/>
    <row r="2656" ht="12.75" customHeight="1" x14ac:dyDescent="0.2"/>
    <row r="2657" ht="12.75" customHeight="1" x14ac:dyDescent="0.2"/>
    <row r="2658" ht="12.75" customHeight="1" x14ac:dyDescent="0.2"/>
    <row r="2659" ht="12.75" customHeight="1" x14ac:dyDescent="0.2"/>
    <row r="2660" ht="12.75" customHeight="1" x14ac:dyDescent="0.2"/>
    <row r="2661" ht="12.75" customHeight="1" x14ac:dyDescent="0.2"/>
    <row r="2662" ht="12.75" customHeight="1" x14ac:dyDescent="0.2"/>
    <row r="2663" ht="12.75" customHeight="1" x14ac:dyDescent="0.2"/>
    <row r="2664" ht="12.75" customHeight="1" x14ac:dyDescent="0.2"/>
    <row r="2665" ht="12.75" customHeight="1" x14ac:dyDescent="0.2"/>
    <row r="2666" ht="12.75" customHeight="1" x14ac:dyDescent="0.2"/>
    <row r="2667" ht="12.75" customHeight="1" x14ac:dyDescent="0.2"/>
    <row r="2668" ht="12.75" customHeight="1" x14ac:dyDescent="0.2"/>
    <row r="2669" ht="12.75" customHeight="1" x14ac:dyDescent="0.2"/>
    <row r="2670" ht="12.75" customHeight="1" x14ac:dyDescent="0.2"/>
    <row r="2671" ht="12.75" customHeight="1" x14ac:dyDescent="0.2"/>
    <row r="2672" ht="12.75" customHeight="1" x14ac:dyDescent="0.2"/>
    <row r="2673" ht="12.75" customHeight="1" x14ac:dyDescent="0.2"/>
    <row r="2674" ht="12.75" customHeight="1" x14ac:dyDescent="0.2"/>
    <row r="2675" ht="12.75" customHeight="1" x14ac:dyDescent="0.2"/>
    <row r="2676" ht="12.75" customHeight="1" x14ac:dyDescent="0.2"/>
    <row r="2677" ht="12.75" customHeight="1" x14ac:dyDescent="0.2"/>
    <row r="2678" ht="12.75" customHeight="1" x14ac:dyDescent="0.2"/>
    <row r="2679" ht="12.75" customHeight="1" x14ac:dyDescent="0.2"/>
    <row r="2680" ht="12.75" customHeight="1" x14ac:dyDescent="0.2"/>
    <row r="2681" ht="12.75" customHeight="1" x14ac:dyDescent="0.2"/>
    <row r="2682" ht="12.75" customHeight="1" x14ac:dyDescent="0.2"/>
    <row r="2683" ht="12.75" customHeight="1" x14ac:dyDescent="0.2"/>
    <row r="2684" ht="12.75" customHeight="1" x14ac:dyDescent="0.2"/>
    <row r="2685" ht="12.75" customHeight="1" x14ac:dyDescent="0.2"/>
    <row r="2686" ht="12.75" customHeight="1" x14ac:dyDescent="0.2"/>
    <row r="2687" ht="12.75" customHeight="1" x14ac:dyDescent="0.2"/>
    <row r="2688" ht="12.75" customHeight="1" x14ac:dyDescent="0.2"/>
    <row r="2689" ht="12.75" customHeight="1" x14ac:dyDescent="0.2"/>
    <row r="2690" ht="12.75" customHeight="1" x14ac:dyDescent="0.2"/>
    <row r="2691" ht="12.75" customHeight="1" x14ac:dyDescent="0.2"/>
    <row r="2692" ht="12.75" customHeight="1" x14ac:dyDescent="0.2"/>
    <row r="2693" ht="12.75" customHeight="1" x14ac:dyDescent="0.2"/>
    <row r="2694" ht="12.75" customHeight="1" x14ac:dyDescent="0.2"/>
    <row r="2695" ht="12.75" customHeight="1" x14ac:dyDescent="0.2"/>
    <row r="2696" ht="12.75" customHeight="1" x14ac:dyDescent="0.2"/>
    <row r="2697" ht="12.75" customHeight="1" x14ac:dyDescent="0.2"/>
    <row r="2698" ht="12.75" customHeight="1" x14ac:dyDescent="0.2"/>
    <row r="2699" ht="12.75" customHeight="1" x14ac:dyDescent="0.2"/>
    <row r="2700" ht="12.75" customHeight="1" x14ac:dyDescent="0.2"/>
    <row r="2701" ht="12.75" customHeight="1" x14ac:dyDescent="0.2"/>
    <row r="2702" ht="12.75" customHeight="1" x14ac:dyDescent="0.2"/>
    <row r="2703" ht="12.75" customHeight="1" x14ac:dyDescent="0.2"/>
    <row r="2704" ht="12.75" customHeight="1" x14ac:dyDescent="0.2"/>
    <row r="2705" ht="12.75" customHeight="1" x14ac:dyDescent="0.2"/>
    <row r="2706" ht="12.75" customHeight="1" x14ac:dyDescent="0.2"/>
    <row r="2707" ht="12.75" customHeight="1" x14ac:dyDescent="0.2"/>
    <row r="2708" ht="12.75" customHeight="1" x14ac:dyDescent="0.2"/>
    <row r="2709" ht="12.75" customHeight="1" x14ac:dyDescent="0.2"/>
    <row r="2710" ht="12.75" customHeight="1" x14ac:dyDescent="0.2"/>
    <row r="2711" ht="12.75" customHeight="1" x14ac:dyDescent="0.2"/>
    <row r="2712" ht="12.75" customHeight="1" x14ac:dyDescent="0.2"/>
    <row r="2713" ht="12.75" customHeight="1" x14ac:dyDescent="0.2"/>
    <row r="2714" ht="12.75" customHeight="1" x14ac:dyDescent="0.2"/>
    <row r="2715" ht="12.75" customHeight="1" x14ac:dyDescent="0.2"/>
    <row r="2716" ht="12.75" customHeight="1" x14ac:dyDescent="0.2"/>
    <row r="2717" ht="12.75" customHeight="1" x14ac:dyDescent="0.2"/>
    <row r="2718" ht="12.75" customHeight="1" x14ac:dyDescent="0.2"/>
    <row r="2719" ht="12.75" customHeight="1" x14ac:dyDescent="0.2"/>
    <row r="2720" ht="12.75" customHeight="1" x14ac:dyDescent="0.2"/>
    <row r="2721" ht="12.75" customHeight="1" x14ac:dyDescent="0.2"/>
    <row r="2722" ht="12.75" customHeight="1" x14ac:dyDescent="0.2"/>
    <row r="2723" ht="12.75" customHeight="1" x14ac:dyDescent="0.2"/>
    <row r="2724" ht="12.75" customHeight="1" x14ac:dyDescent="0.2"/>
    <row r="2725" ht="12.75" customHeight="1" x14ac:dyDescent="0.2"/>
    <row r="2726" ht="12.75" customHeight="1" x14ac:dyDescent="0.2"/>
    <row r="2727" ht="12.75" customHeight="1" x14ac:dyDescent="0.2"/>
    <row r="2728" ht="12.75" customHeight="1" x14ac:dyDescent="0.2"/>
    <row r="2729" ht="12.75" customHeight="1" x14ac:dyDescent="0.2"/>
    <row r="2730" ht="12.75" customHeight="1" x14ac:dyDescent="0.2"/>
    <row r="2731" ht="12.75" customHeight="1" x14ac:dyDescent="0.2"/>
    <row r="2732" ht="12.75" customHeight="1" x14ac:dyDescent="0.2"/>
    <row r="2733" ht="12.75" customHeight="1" x14ac:dyDescent="0.2"/>
    <row r="2734" ht="12.75" customHeight="1" x14ac:dyDescent="0.2"/>
    <row r="2735" ht="12.75" customHeight="1" x14ac:dyDescent="0.2"/>
    <row r="2736" ht="12.75" customHeight="1" x14ac:dyDescent="0.2"/>
    <row r="2737" ht="12.75" customHeight="1" x14ac:dyDescent="0.2"/>
    <row r="2738" ht="12.75" customHeight="1" x14ac:dyDescent="0.2"/>
    <row r="2739" ht="12.75" customHeight="1" x14ac:dyDescent="0.2"/>
    <row r="2740" ht="12.75" customHeight="1" x14ac:dyDescent="0.2"/>
    <row r="2741" ht="12.75" customHeight="1" x14ac:dyDescent="0.2"/>
    <row r="2742" ht="12.75" customHeight="1" x14ac:dyDescent="0.2"/>
    <row r="2743" ht="12.75" customHeight="1" x14ac:dyDescent="0.2"/>
    <row r="2744" ht="12.75" customHeight="1" x14ac:dyDescent="0.2"/>
    <row r="2745" ht="12.75" customHeight="1" x14ac:dyDescent="0.2"/>
    <row r="2746" ht="12.75" customHeight="1" x14ac:dyDescent="0.2"/>
    <row r="2747" ht="12.75" customHeight="1" x14ac:dyDescent="0.2"/>
    <row r="2748" ht="12.75" customHeight="1" x14ac:dyDescent="0.2"/>
    <row r="2749" ht="12.75" customHeight="1" x14ac:dyDescent="0.2"/>
    <row r="2750" ht="12.75" customHeight="1" x14ac:dyDescent="0.2"/>
    <row r="2751" ht="12.75" customHeight="1" x14ac:dyDescent="0.2"/>
    <row r="2752" ht="12.75" customHeight="1" x14ac:dyDescent="0.2"/>
    <row r="2753" ht="12.75" customHeight="1" x14ac:dyDescent="0.2"/>
    <row r="2754" ht="12.75" customHeight="1" x14ac:dyDescent="0.2"/>
    <row r="2755" ht="12.75" customHeight="1" x14ac:dyDescent="0.2"/>
    <row r="2756" ht="12.75" customHeight="1" x14ac:dyDescent="0.2"/>
    <row r="2757" ht="12.75" customHeight="1" x14ac:dyDescent="0.2"/>
    <row r="2758" ht="12.75" customHeight="1" x14ac:dyDescent="0.2"/>
    <row r="2759" ht="12.75" customHeight="1" x14ac:dyDescent="0.2"/>
    <row r="2760" ht="12.75" customHeight="1" x14ac:dyDescent="0.2"/>
    <row r="2761" ht="12.75" customHeight="1" x14ac:dyDescent="0.2"/>
    <row r="2762" ht="12.75" customHeight="1" x14ac:dyDescent="0.2"/>
    <row r="2763" ht="12.75" customHeight="1" x14ac:dyDescent="0.2"/>
    <row r="2764" ht="12.75" customHeight="1" x14ac:dyDescent="0.2"/>
    <row r="2765" ht="12.75" customHeight="1" x14ac:dyDescent="0.2"/>
    <row r="2766" ht="12.75" customHeight="1" x14ac:dyDescent="0.2"/>
    <row r="2767" ht="12.75" customHeight="1" x14ac:dyDescent="0.2"/>
    <row r="2768" ht="12.75" customHeight="1" x14ac:dyDescent="0.2"/>
    <row r="2769" ht="12.75" customHeight="1" x14ac:dyDescent="0.2"/>
    <row r="2770" ht="12.75" customHeight="1" x14ac:dyDescent="0.2"/>
    <row r="2771" ht="12.75" customHeight="1" x14ac:dyDescent="0.2"/>
    <row r="2772" ht="12.75" customHeight="1" x14ac:dyDescent="0.2"/>
    <row r="2773" ht="12.75" customHeight="1" x14ac:dyDescent="0.2"/>
    <row r="2774" ht="12.75" customHeight="1" x14ac:dyDescent="0.2"/>
    <row r="2775" ht="12.75" customHeight="1" x14ac:dyDescent="0.2"/>
    <row r="2776" ht="12.75" customHeight="1" x14ac:dyDescent="0.2"/>
    <row r="2777" ht="12.75" customHeight="1" x14ac:dyDescent="0.2"/>
    <row r="2778" ht="12.75" customHeight="1" x14ac:dyDescent="0.2"/>
    <row r="2779" ht="12.75" customHeight="1" x14ac:dyDescent="0.2"/>
    <row r="2780" ht="12.75" customHeight="1" x14ac:dyDescent="0.2"/>
    <row r="2781" ht="12.75" customHeight="1" x14ac:dyDescent="0.2"/>
    <row r="2782" ht="12.75" customHeight="1" x14ac:dyDescent="0.2"/>
    <row r="2783" ht="12.75" customHeight="1" x14ac:dyDescent="0.2"/>
    <row r="2784" ht="12.75" customHeight="1" x14ac:dyDescent="0.2"/>
    <row r="2785" ht="12.75" customHeight="1" x14ac:dyDescent="0.2"/>
    <row r="2786" ht="12.75" customHeight="1" x14ac:dyDescent="0.2"/>
    <row r="2787" ht="12.75" customHeight="1" x14ac:dyDescent="0.2"/>
    <row r="2788" ht="12.75" customHeight="1" x14ac:dyDescent="0.2"/>
    <row r="2789" ht="12.75" customHeight="1" x14ac:dyDescent="0.2"/>
    <row r="2790" ht="12.75" customHeight="1" x14ac:dyDescent="0.2"/>
    <row r="2791" ht="12.75" customHeight="1" x14ac:dyDescent="0.2"/>
    <row r="2792" ht="12.75" customHeight="1" x14ac:dyDescent="0.2"/>
    <row r="2793" ht="12.75" customHeight="1" x14ac:dyDescent="0.2"/>
    <row r="2794" ht="12.75" customHeight="1" x14ac:dyDescent="0.2"/>
    <row r="2795" ht="12.75" customHeight="1" x14ac:dyDescent="0.2"/>
    <row r="2796" ht="12.75" customHeight="1" x14ac:dyDescent="0.2"/>
    <row r="2797" ht="12.75" customHeight="1" x14ac:dyDescent="0.2"/>
    <row r="2798" ht="12.75" customHeight="1" x14ac:dyDescent="0.2"/>
    <row r="2799" ht="12.75" customHeight="1" x14ac:dyDescent="0.2"/>
    <row r="2800" ht="12.75" customHeight="1" x14ac:dyDescent="0.2"/>
    <row r="2801" ht="12.75" customHeight="1" x14ac:dyDescent="0.2"/>
    <row r="2802" ht="12.75" customHeight="1" x14ac:dyDescent="0.2"/>
    <row r="2803" ht="12.75" customHeight="1" x14ac:dyDescent="0.2"/>
    <row r="2804" ht="12.75" customHeight="1" x14ac:dyDescent="0.2"/>
    <row r="2805" ht="12.75" customHeight="1" x14ac:dyDescent="0.2"/>
    <row r="2806" ht="12.75" customHeight="1" x14ac:dyDescent="0.2"/>
    <row r="2807" ht="12.75" customHeight="1" x14ac:dyDescent="0.2"/>
    <row r="2808" ht="12.75" customHeight="1" x14ac:dyDescent="0.2"/>
    <row r="2809" ht="12.75" customHeight="1" x14ac:dyDescent="0.2"/>
    <row r="2810" ht="12.75" customHeight="1" x14ac:dyDescent="0.2"/>
    <row r="2811" ht="12.75" customHeight="1" x14ac:dyDescent="0.2"/>
    <row r="2812" ht="12.75" customHeight="1" x14ac:dyDescent="0.2"/>
    <row r="2813" ht="12.75" customHeight="1" x14ac:dyDescent="0.2"/>
    <row r="2814" ht="12.75" customHeight="1" x14ac:dyDescent="0.2"/>
    <row r="2815" ht="12.75" customHeight="1" x14ac:dyDescent="0.2"/>
    <row r="2816" ht="12.75" customHeight="1" x14ac:dyDescent="0.2"/>
    <row r="2817" ht="12.75" customHeight="1" x14ac:dyDescent="0.2"/>
    <row r="2818" ht="12.75" customHeight="1" x14ac:dyDescent="0.2"/>
    <row r="2819" ht="12.75" customHeight="1" x14ac:dyDescent="0.2"/>
    <row r="2820" ht="12.75" customHeight="1" x14ac:dyDescent="0.2"/>
    <row r="2821" ht="12.75" customHeight="1" x14ac:dyDescent="0.2"/>
    <row r="2822" ht="12.75" customHeight="1" x14ac:dyDescent="0.2"/>
    <row r="2823" ht="12.75" customHeight="1" x14ac:dyDescent="0.2"/>
    <row r="2824" ht="12.75" customHeight="1" x14ac:dyDescent="0.2"/>
    <row r="2825" ht="12.75" customHeight="1" x14ac:dyDescent="0.2"/>
    <row r="2826" ht="12.75" customHeight="1" x14ac:dyDescent="0.2"/>
    <row r="2827" ht="12.75" customHeight="1" x14ac:dyDescent="0.2"/>
    <row r="2828" ht="12.75" customHeight="1" x14ac:dyDescent="0.2"/>
    <row r="2829" ht="12.75" customHeight="1" x14ac:dyDescent="0.2"/>
    <row r="2830" ht="12.75" customHeight="1" x14ac:dyDescent="0.2"/>
    <row r="2831" ht="12.75" customHeight="1" x14ac:dyDescent="0.2"/>
    <row r="2832" ht="12.75" customHeight="1" x14ac:dyDescent="0.2"/>
    <row r="2833" ht="12.75" customHeight="1" x14ac:dyDescent="0.2"/>
    <row r="2834" ht="12.75" customHeight="1" x14ac:dyDescent="0.2"/>
    <row r="2835" ht="12.75" customHeight="1" x14ac:dyDescent="0.2"/>
    <row r="2836" ht="12.75" customHeight="1" x14ac:dyDescent="0.2"/>
    <row r="2837" ht="12.75" customHeight="1" x14ac:dyDescent="0.2"/>
    <row r="2838" ht="12.75" customHeight="1" x14ac:dyDescent="0.2"/>
    <row r="2839" ht="12.75" customHeight="1" x14ac:dyDescent="0.2"/>
    <row r="2840" ht="12.75" customHeight="1" x14ac:dyDescent="0.2"/>
    <row r="2841" ht="12.75" customHeight="1" x14ac:dyDescent="0.2"/>
    <row r="2842" ht="12.75" customHeight="1" x14ac:dyDescent="0.2"/>
    <row r="2843" ht="12.75" customHeight="1" x14ac:dyDescent="0.2"/>
    <row r="2844" ht="12.75" customHeight="1" x14ac:dyDescent="0.2"/>
    <row r="2845" ht="12.75" customHeight="1" x14ac:dyDescent="0.2"/>
    <row r="2846" ht="12.75" customHeight="1" x14ac:dyDescent="0.2"/>
    <row r="2847" ht="12.75" customHeight="1" x14ac:dyDescent="0.2"/>
    <row r="2848" ht="12.75" customHeight="1" x14ac:dyDescent="0.2"/>
    <row r="2849" ht="12.75" customHeight="1" x14ac:dyDescent="0.2"/>
    <row r="2850" ht="12.75" customHeight="1" x14ac:dyDescent="0.2"/>
    <row r="2851" ht="12.75" customHeight="1" x14ac:dyDescent="0.2"/>
    <row r="2852" ht="12.75" customHeight="1" x14ac:dyDescent="0.2"/>
    <row r="2853" ht="12.75" customHeight="1" x14ac:dyDescent="0.2"/>
    <row r="2854" ht="12.75" customHeight="1" x14ac:dyDescent="0.2"/>
    <row r="2855" ht="12.75" customHeight="1" x14ac:dyDescent="0.2"/>
    <row r="2856" ht="12.75" customHeight="1" x14ac:dyDescent="0.2"/>
    <row r="2857" ht="12.75" customHeight="1" x14ac:dyDescent="0.2"/>
    <row r="2858" ht="12.75" customHeight="1" x14ac:dyDescent="0.2"/>
    <row r="2859" ht="12.75" customHeight="1" x14ac:dyDescent="0.2"/>
    <row r="2860" ht="12.75" customHeight="1" x14ac:dyDescent="0.2"/>
    <row r="2861" ht="12.75" customHeight="1" x14ac:dyDescent="0.2"/>
    <row r="2862" ht="12.75" customHeight="1" x14ac:dyDescent="0.2"/>
    <row r="2863" ht="12.75" customHeight="1" x14ac:dyDescent="0.2"/>
    <row r="2864" ht="12.75" customHeight="1" x14ac:dyDescent="0.2"/>
    <row r="2865" ht="12.75" customHeight="1" x14ac:dyDescent="0.2"/>
    <row r="2866" ht="12.75" customHeight="1" x14ac:dyDescent="0.2"/>
    <row r="2867" ht="12.75" customHeight="1" x14ac:dyDescent="0.2"/>
    <row r="2868" ht="12.75" customHeight="1" x14ac:dyDescent="0.2"/>
    <row r="2869" ht="12.75" customHeight="1" x14ac:dyDescent="0.2"/>
    <row r="2870" ht="12.75" customHeight="1" x14ac:dyDescent="0.2"/>
    <row r="2871" ht="12.75" customHeight="1" x14ac:dyDescent="0.2"/>
    <row r="2872" ht="12.75" customHeight="1" x14ac:dyDescent="0.2"/>
    <row r="2873" ht="12.75" customHeight="1" x14ac:dyDescent="0.2"/>
    <row r="2874" ht="12.75" customHeight="1" x14ac:dyDescent="0.2"/>
    <row r="2875" ht="12.75" customHeight="1" x14ac:dyDescent="0.2"/>
    <row r="2876" ht="12.75" customHeight="1" x14ac:dyDescent="0.2"/>
    <row r="2877" ht="12.75" customHeight="1" x14ac:dyDescent="0.2"/>
    <row r="2878" ht="12.75" customHeight="1" x14ac:dyDescent="0.2"/>
    <row r="2879" ht="12.75" customHeight="1" x14ac:dyDescent="0.2"/>
    <row r="2880" ht="12.75" customHeight="1" x14ac:dyDescent="0.2"/>
    <row r="2881" ht="12.75" customHeight="1" x14ac:dyDescent="0.2"/>
    <row r="2882" ht="12.75" customHeight="1" x14ac:dyDescent="0.2"/>
    <row r="2883" ht="12.75" customHeight="1" x14ac:dyDescent="0.2"/>
    <row r="2884" ht="12.75" customHeight="1" x14ac:dyDescent="0.2"/>
    <row r="2885" ht="12.75" customHeight="1" x14ac:dyDescent="0.2"/>
    <row r="2886" ht="12.75" customHeight="1" x14ac:dyDescent="0.2"/>
    <row r="2887" ht="12.75" customHeight="1" x14ac:dyDescent="0.2"/>
    <row r="2888" ht="12.75" customHeight="1" x14ac:dyDescent="0.2"/>
    <row r="2889" ht="12.75" customHeight="1" x14ac:dyDescent="0.2"/>
    <row r="2890" ht="12.75" customHeight="1" x14ac:dyDescent="0.2"/>
    <row r="2891" ht="12.75" customHeight="1" x14ac:dyDescent="0.2"/>
    <row r="2892" ht="12.75" customHeight="1" x14ac:dyDescent="0.2"/>
    <row r="2893" ht="12.75" customHeight="1" x14ac:dyDescent="0.2"/>
    <row r="2894" ht="12.75" customHeight="1" x14ac:dyDescent="0.2"/>
    <row r="2895" ht="12.75" customHeight="1" x14ac:dyDescent="0.2"/>
    <row r="2896" ht="12.75" customHeight="1" x14ac:dyDescent="0.2"/>
    <row r="2897" ht="12.75" customHeight="1" x14ac:dyDescent="0.2"/>
    <row r="2898" ht="12.75" customHeight="1" x14ac:dyDescent="0.2"/>
    <row r="2899" ht="12.75" customHeight="1" x14ac:dyDescent="0.2"/>
    <row r="2900" ht="12.75" customHeight="1" x14ac:dyDescent="0.2"/>
    <row r="2901" ht="12.75" customHeight="1" x14ac:dyDescent="0.2"/>
    <row r="2902" ht="12.75" customHeight="1" x14ac:dyDescent="0.2"/>
    <row r="2903" ht="12.75" customHeight="1" x14ac:dyDescent="0.2"/>
    <row r="2904" ht="12.75" customHeight="1" x14ac:dyDescent="0.2"/>
    <row r="2905" ht="12.75" customHeight="1" x14ac:dyDescent="0.2"/>
    <row r="2906" ht="12.75" customHeight="1" x14ac:dyDescent="0.2"/>
    <row r="2907" ht="12.75" customHeight="1" x14ac:dyDescent="0.2"/>
    <row r="2908" ht="12.75" customHeight="1" x14ac:dyDescent="0.2"/>
    <row r="2909" ht="12.75" customHeight="1" x14ac:dyDescent="0.2"/>
    <row r="2910" ht="12.75" customHeight="1" x14ac:dyDescent="0.2"/>
    <row r="2911" ht="12.75" customHeight="1" x14ac:dyDescent="0.2"/>
    <row r="2912" ht="12.75" customHeight="1" x14ac:dyDescent="0.2"/>
    <row r="2913" ht="12.75" customHeight="1" x14ac:dyDescent="0.2"/>
    <row r="2914" ht="12.75" customHeight="1" x14ac:dyDescent="0.2"/>
    <row r="2915" ht="12.75" customHeight="1" x14ac:dyDescent="0.2"/>
    <row r="2916" ht="12.75" customHeight="1" x14ac:dyDescent="0.2"/>
    <row r="2917" ht="12.75" customHeight="1" x14ac:dyDescent="0.2"/>
    <row r="2918" ht="12.75" customHeight="1" x14ac:dyDescent="0.2"/>
    <row r="2919" ht="12.75" customHeight="1" x14ac:dyDescent="0.2"/>
    <row r="2920" ht="12.75" customHeight="1" x14ac:dyDescent="0.2"/>
    <row r="2921" ht="12.75" customHeight="1" x14ac:dyDescent="0.2"/>
    <row r="2922" ht="12.75" customHeight="1" x14ac:dyDescent="0.2"/>
    <row r="2923" ht="12.75" customHeight="1" x14ac:dyDescent="0.2"/>
    <row r="2924" ht="12.75" customHeight="1" x14ac:dyDescent="0.2"/>
    <row r="2925" ht="12.75" customHeight="1" x14ac:dyDescent="0.2"/>
    <row r="2926" ht="12.75" customHeight="1" x14ac:dyDescent="0.2"/>
    <row r="2927" ht="12.75" customHeight="1" x14ac:dyDescent="0.2"/>
    <row r="2928" ht="12.75" customHeight="1" x14ac:dyDescent="0.2"/>
    <row r="2929" ht="12.75" customHeight="1" x14ac:dyDescent="0.2"/>
    <row r="2930" ht="12.75" customHeight="1" x14ac:dyDescent="0.2"/>
    <row r="2931" ht="12.75" customHeight="1" x14ac:dyDescent="0.2"/>
    <row r="2932" ht="12.75" customHeight="1" x14ac:dyDescent="0.2"/>
    <row r="2933" ht="12.75" customHeight="1" x14ac:dyDescent="0.2"/>
    <row r="2934" ht="12.75" customHeight="1" x14ac:dyDescent="0.2"/>
    <row r="2935" ht="12.75" customHeight="1" x14ac:dyDescent="0.2"/>
    <row r="2936" ht="12.75" customHeight="1" x14ac:dyDescent="0.2"/>
    <row r="2937" ht="12.75" customHeight="1" x14ac:dyDescent="0.2"/>
    <row r="2938" ht="12.75" customHeight="1" x14ac:dyDescent="0.2"/>
    <row r="2939" ht="12.75" customHeight="1" x14ac:dyDescent="0.2"/>
    <row r="2940" ht="12.75" customHeight="1" x14ac:dyDescent="0.2"/>
    <row r="2941" ht="12.75" customHeight="1" x14ac:dyDescent="0.2"/>
    <row r="2942" ht="12.75" customHeight="1" x14ac:dyDescent="0.2"/>
    <row r="2943" ht="12.75" customHeight="1" x14ac:dyDescent="0.2"/>
    <row r="2944" ht="12.75" customHeight="1" x14ac:dyDescent="0.2"/>
    <row r="2945" ht="12.75" customHeight="1" x14ac:dyDescent="0.2"/>
    <row r="2946" ht="12.75" customHeight="1" x14ac:dyDescent="0.2"/>
    <row r="2947" ht="12.75" customHeight="1" x14ac:dyDescent="0.2"/>
    <row r="2948" ht="12.75" customHeight="1" x14ac:dyDescent="0.2"/>
    <row r="2949" ht="12.75" customHeight="1" x14ac:dyDescent="0.2"/>
    <row r="2950" ht="12.75" customHeight="1" x14ac:dyDescent="0.2"/>
    <row r="2951" ht="12.75" customHeight="1" x14ac:dyDescent="0.2"/>
    <row r="2952" ht="12.75" customHeight="1" x14ac:dyDescent="0.2"/>
    <row r="2953" ht="12.75" customHeight="1" x14ac:dyDescent="0.2"/>
    <row r="2954" ht="12.75" customHeight="1" x14ac:dyDescent="0.2"/>
    <row r="2955" ht="12.75" customHeight="1" x14ac:dyDescent="0.2"/>
    <row r="2956" ht="12.75" customHeight="1" x14ac:dyDescent="0.2"/>
    <row r="2957" ht="12.75" customHeight="1" x14ac:dyDescent="0.2"/>
    <row r="2958" ht="12.75" customHeight="1" x14ac:dyDescent="0.2"/>
    <row r="2959" ht="12.75" customHeight="1" x14ac:dyDescent="0.2"/>
    <row r="2960" ht="12.75" customHeight="1" x14ac:dyDescent="0.2"/>
    <row r="2961" ht="12.75" customHeight="1" x14ac:dyDescent="0.2"/>
    <row r="2962" ht="12.75" customHeight="1" x14ac:dyDescent="0.2"/>
    <row r="2963" ht="12.75" customHeight="1" x14ac:dyDescent="0.2"/>
    <row r="2964" ht="12.75" customHeight="1" x14ac:dyDescent="0.2"/>
    <row r="2965" ht="12.75" customHeight="1" x14ac:dyDescent="0.2"/>
    <row r="2966" ht="12.75" customHeight="1" x14ac:dyDescent="0.2"/>
    <row r="2967" ht="12.75" customHeight="1" x14ac:dyDescent="0.2"/>
    <row r="2968" ht="12.75" customHeight="1" x14ac:dyDescent="0.2"/>
    <row r="2969" ht="12.75" customHeight="1" x14ac:dyDescent="0.2"/>
    <row r="2970" ht="12.75" customHeight="1" x14ac:dyDescent="0.2"/>
    <row r="2971" ht="12.75" customHeight="1" x14ac:dyDescent="0.2"/>
    <row r="2972" ht="12.75" customHeight="1" x14ac:dyDescent="0.2"/>
    <row r="2973" ht="12.75" customHeight="1" x14ac:dyDescent="0.2"/>
    <row r="2974" ht="12.75" customHeight="1" x14ac:dyDescent="0.2"/>
    <row r="2975" ht="12.75" customHeight="1" x14ac:dyDescent="0.2"/>
    <row r="2976" ht="12.75" customHeight="1" x14ac:dyDescent="0.2"/>
    <row r="2977" ht="12.75" customHeight="1" x14ac:dyDescent="0.2"/>
    <row r="2978" ht="12.75" customHeight="1" x14ac:dyDescent="0.2"/>
    <row r="2979" ht="12.75" customHeight="1" x14ac:dyDescent="0.2"/>
    <row r="2980" ht="12.75" customHeight="1" x14ac:dyDescent="0.2"/>
    <row r="2981" ht="12.75" customHeight="1" x14ac:dyDescent="0.2"/>
    <row r="2982" ht="12.75" customHeight="1" x14ac:dyDescent="0.2"/>
    <row r="2983" ht="12.75" customHeight="1" x14ac:dyDescent="0.2"/>
    <row r="2984" ht="12.75" customHeight="1" x14ac:dyDescent="0.2"/>
    <row r="2985" ht="12.75" customHeight="1" x14ac:dyDescent="0.2"/>
    <row r="2986" ht="12.75" customHeight="1" x14ac:dyDescent="0.2"/>
    <row r="2987" ht="12.75" customHeight="1" x14ac:dyDescent="0.2"/>
    <row r="2988" ht="12.75" customHeight="1" x14ac:dyDescent="0.2"/>
    <row r="2989" ht="12.75" customHeight="1" x14ac:dyDescent="0.2"/>
    <row r="2990" ht="12.75" customHeight="1" x14ac:dyDescent="0.2"/>
    <row r="2991" ht="12.75" customHeight="1" x14ac:dyDescent="0.2"/>
    <row r="2992" ht="12.75" customHeight="1" x14ac:dyDescent="0.2"/>
    <row r="2993" ht="12.75" customHeight="1" x14ac:dyDescent="0.2"/>
    <row r="2994" ht="12.75" customHeight="1" x14ac:dyDescent="0.2"/>
    <row r="2995" ht="12.75" customHeight="1" x14ac:dyDescent="0.2"/>
    <row r="2996" ht="12.75" customHeight="1" x14ac:dyDescent="0.2"/>
    <row r="2997" ht="12.75" customHeight="1" x14ac:dyDescent="0.2"/>
    <row r="2998" ht="12.75" customHeight="1" x14ac:dyDescent="0.2"/>
    <row r="2999" ht="12.75" customHeight="1" x14ac:dyDescent="0.2"/>
    <row r="3000" ht="12.75" customHeight="1" x14ac:dyDescent="0.2"/>
    <row r="3001" ht="12.75" customHeight="1" x14ac:dyDescent="0.2"/>
    <row r="3002" ht="12.75" customHeight="1" x14ac:dyDescent="0.2"/>
    <row r="3003" ht="12.75" customHeight="1" x14ac:dyDescent="0.2"/>
    <row r="3004" ht="12.75" customHeight="1" x14ac:dyDescent="0.2"/>
    <row r="3005" ht="12.75" customHeight="1" x14ac:dyDescent="0.2"/>
    <row r="3006" ht="12.75" customHeight="1" x14ac:dyDescent="0.2"/>
    <row r="3007" ht="12.75" customHeight="1" x14ac:dyDescent="0.2"/>
    <row r="3008" ht="12.75" customHeight="1" x14ac:dyDescent="0.2"/>
    <row r="3009" ht="12.75" customHeight="1" x14ac:dyDescent="0.2"/>
    <row r="3010" ht="12.75" customHeight="1" x14ac:dyDescent="0.2"/>
    <row r="3011" ht="12.75" customHeight="1" x14ac:dyDescent="0.2"/>
    <row r="3012" ht="12.75" customHeight="1" x14ac:dyDescent="0.2"/>
    <row r="3013" ht="12.75" customHeight="1" x14ac:dyDescent="0.2"/>
    <row r="3014" ht="12.75" customHeight="1" x14ac:dyDescent="0.2"/>
    <row r="3015" ht="12.75" customHeight="1" x14ac:dyDescent="0.2"/>
    <row r="3016" ht="12.75" customHeight="1" x14ac:dyDescent="0.2"/>
    <row r="3017" ht="12.75" customHeight="1" x14ac:dyDescent="0.2"/>
    <row r="3018" ht="12.75" customHeight="1" x14ac:dyDescent="0.2"/>
    <row r="3019" ht="12.75" customHeight="1" x14ac:dyDescent="0.2"/>
    <row r="3020" ht="12.75" customHeight="1" x14ac:dyDescent="0.2"/>
    <row r="3021" ht="12.75" customHeight="1" x14ac:dyDescent="0.2"/>
    <row r="3022" ht="12.75" customHeight="1" x14ac:dyDescent="0.2"/>
    <row r="3023" ht="12.75" customHeight="1" x14ac:dyDescent="0.2"/>
    <row r="3024" ht="12.75" customHeight="1" x14ac:dyDescent="0.2"/>
    <row r="3025" ht="12.75" customHeight="1" x14ac:dyDescent="0.2"/>
    <row r="3026" ht="12.75" customHeight="1" x14ac:dyDescent="0.2"/>
    <row r="3027" ht="12.75" customHeight="1" x14ac:dyDescent="0.2"/>
    <row r="3028" ht="12.75" customHeight="1" x14ac:dyDescent="0.2"/>
    <row r="3029" ht="12.75" customHeight="1" x14ac:dyDescent="0.2"/>
    <row r="3030" ht="12.75" customHeight="1" x14ac:dyDescent="0.2"/>
    <row r="3031" ht="12.75" customHeight="1" x14ac:dyDescent="0.2"/>
    <row r="3032" ht="12.75" customHeight="1" x14ac:dyDescent="0.2"/>
    <row r="3033" ht="12.75" customHeight="1" x14ac:dyDescent="0.2"/>
    <row r="3034" ht="12.75" customHeight="1" x14ac:dyDescent="0.2"/>
    <row r="3035" ht="12.75" customHeight="1" x14ac:dyDescent="0.2"/>
    <row r="3036" ht="12.75" customHeight="1" x14ac:dyDescent="0.2"/>
    <row r="3037" ht="12.75" customHeight="1" x14ac:dyDescent="0.2"/>
    <row r="3038" ht="12.75" customHeight="1" x14ac:dyDescent="0.2"/>
    <row r="3039" ht="12.75" customHeight="1" x14ac:dyDescent="0.2"/>
    <row r="3040" ht="12.75" customHeight="1" x14ac:dyDescent="0.2"/>
    <row r="3041" ht="12.75" customHeight="1" x14ac:dyDescent="0.2"/>
    <row r="3042" ht="12.75" customHeight="1" x14ac:dyDescent="0.2"/>
    <row r="3043" ht="12.75" customHeight="1" x14ac:dyDescent="0.2"/>
    <row r="3044" ht="12.75" customHeight="1" x14ac:dyDescent="0.2"/>
    <row r="3045" ht="12.75" customHeight="1" x14ac:dyDescent="0.2"/>
    <row r="3046" ht="12.75" customHeight="1" x14ac:dyDescent="0.2"/>
    <row r="3047" ht="12.75" customHeight="1" x14ac:dyDescent="0.2"/>
    <row r="3048" ht="12.75" customHeight="1" x14ac:dyDescent="0.2"/>
    <row r="3049" ht="12.75" customHeight="1" x14ac:dyDescent="0.2"/>
    <row r="3050" ht="12.75" customHeight="1" x14ac:dyDescent="0.2"/>
    <row r="3051" ht="12.75" customHeight="1" x14ac:dyDescent="0.2"/>
    <row r="3052" ht="12.75" customHeight="1" x14ac:dyDescent="0.2"/>
    <row r="3053" ht="12.75" customHeight="1" x14ac:dyDescent="0.2"/>
    <row r="3054" ht="12.75" customHeight="1" x14ac:dyDescent="0.2"/>
    <row r="3055" ht="12.75" customHeight="1" x14ac:dyDescent="0.2"/>
    <row r="3056" ht="12.75" customHeight="1" x14ac:dyDescent="0.2"/>
    <row r="3057" ht="12.75" customHeight="1" x14ac:dyDescent="0.2"/>
    <row r="3058" ht="12.75" customHeight="1" x14ac:dyDescent="0.2"/>
    <row r="3059" ht="12.75" customHeight="1" x14ac:dyDescent="0.2"/>
    <row r="3060" ht="12.75" customHeight="1" x14ac:dyDescent="0.2"/>
    <row r="3061" ht="12.75" customHeight="1" x14ac:dyDescent="0.2"/>
    <row r="3062" ht="12.75" customHeight="1" x14ac:dyDescent="0.2"/>
    <row r="3063" ht="12.75" customHeight="1" x14ac:dyDescent="0.2"/>
    <row r="3064" ht="12.75" customHeight="1" x14ac:dyDescent="0.2"/>
    <row r="3065" ht="12.75" customHeight="1" x14ac:dyDescent="0.2"/>
    <row r="3066" ht="12.75" customHeight="1" x14ac:dyDescent="0.2"/>
    <row r="3067" ht="12.75" customHeight="1" x14ac:dyDescent="0.2"/>
    <row r="3068" ht="12.75" customHeight="1" x14ac:dyDescent="0.2"/>
    <row r="3069" ht="12.75" customHeight="1" x14ac:dyDescent="0.2"/>
    <row r="3070" ht="12.75" customHeight="1" x14ac:dyDescent="0.2"/>
    <row r="3071" ht="12.75" customHeight="1" x14ac:dyDescent="0.2"/>
    <row r="3072" ht="12.75" customHeight="1" x14ac:dyDescent="0.2"/>
    <row r="3073" ht="12.75" customHeight="1" x14ac:dyDescent="0.2"/>
    <row r="3074" ht="12.75" customHeight="1" x14ac:dyDescent="0.2"/>
    <row r="3075" ht="12.75" customHeight="1" x14ac:dyDescent="0.2"/>
    <row r="3076" ht="12.75" customHeight="1" x14ac:dyDescent="0.2"/>
    <row r="3077" ht="12.75" customHeight="1" x14ac:dyDescent="0.2"/>
    <row r="3078" ht="12.75" customHeight="1" x14ac:dyDescent="0.2"/>
    <row r="3079" ht="12.75" customHeight="1" x14ac:dyDescent="0.2"/>
    <row r="3080" ht="12.75" customHeight="1" x14ac:dyDescent="0.2"/>
    <row r="3081" ht="12.75" customHeight="1" x14ac:dyDescent="0.2"/>
    <row r="3082" ht="12.75" customHeight="1" x14ac:dyDescent="0.2"/>
    <row r="3083" ht="12.75" customHeight="1" x14ac:dyDescent="0.2"/>
    <row r="3084" ht="12.75" customHeight="1" x14ac:dyDescent="0.2"/>
    <row r="3085" ht="12.75" customHeight="1" x14ac:dyDescent="0.2"/>
    <row r="3086" ht="12.75" customHeight="1" x14ac:dyDescent="0.2"/>
    <row r="3087" ht="12.75" customHeight="1" x14ac:dyDescent="0.2"/>
    <row r="3088" ht="12.75" customHeight="1" x14ac:dyDescent="0.2"/>
    <row r="3089" ht="12.75" customHeight="1" x14ac:dyDescent="0.2"/>
    <row r="3090" ht="12.75" customHeight="1" x14ac:dyDescent="0.2"/>
    <row r="3091" ht="12.75" customHeight="1" x14ac:dyDescent="0.2"/>
    <row r="3092" ht="12.75" customHeight="1" x14ac:dyDescent="0.2"/>
    <row r="3093" ht="12.75" customHeight="1" x14ac:dyDescent="0.2"/>
    <row r="3094" ht="12.75" customHeight="1" x14ac:dyDescent="0.2"/>
    <row r="3095" ht="12.75" customHeight="1" x14ac:dyDescent="0.2"/>
    <row r="3096" ht="12.75" customHeight="1" x14ac:dyDescent="0.2"/>
    <row r="3097" ht="12.75" customHeight="1" x14ac:dyDescent="0.2"/>
    <row r="3098" ht="12.75" customHeight="1" x14ac:dyDescent="0.2"/>
    <row r="3099" ht="12.75" customHeight="1" x14ac:dyDescent="0.2"/>
    <row r="3100" ht="12.75" customHeight="1" x14ac:dyDescent="0.2"/>
    <row r="3101" ht="12.75" customHeight="1" x14ac:dyDescent="0.2"/>
    <row r="3102" ht="12.75" customHeight="1" x14ac:dyDescent="0.2"/>
    <row r="3103" ht="12.75" customHeight="1" x14ac:dyDescent="0.2"/>
    <row r="3104" ht="12.75" customHeight="1" x14ac:dyDescent="0.2"/>
    <row r="3105" ht="12.75" customHeight="1" x14ac:dyDescent="0.2"/>
    <row r="3106" ht="12.75" customHeight="1" x14ac:dyDescent="0.2"/>
    <row r="3107" ht="12.75" customHeight="1" x14ac:dyDescent="0.2"/>
    <row r="3108" ht="12.75" customHeight="1" x14ac:dyDescent="0.2"/>
    <row r="3109" ht="12.75" customHeight="1" x14ac:dyDescent="0.2"/>
    <row r="3110" ht="12.75" customHeight="1" x14ac:dyDescent="0.2"/>
    <row r="3111" ht="12.75" customHeight="1" x14ac:dyDescent="0.2"/>
    <row r="3112" ht="12.75" customHeight="1" x14ac:dyDescent="0.2"/>
    <row r="3113" ht="12.75" customHeight="1" x14ac:dyDescent="0.2"/>
    <row r="3114" ht="12.75" customHeight="1" x14ac:dyDescent="0.2"/>
    <row r="3115" ht="12.75" customHeight="1" x14ac:dyDescent="0.2"/>
    <row r="3116" ht="12.75" customHeight="1" x14ac:dyDescent="0.2"/>
    <row r="3117" ht="12.75" customHeight="1" x14ac:dyDescent="0.2"/>
    <row r="3118" ht="12.75" customHeight="1" x14ac:dyDescent="0.2"/>
    <row r="3119" ht="12.75" customHeight="1" x14ac:dyDescent="0.2"/>
    <row r="3120" ht="12.75" customHeight="1" x14ac:dyDescent="0.2"/>
    <row r="3121" ht="12.75" customHeight="1" x14ac:dyDescent="0.2"/>
    <row r="3122" ht="12.75" customHeight="1" x14ac:dyDescent="0.2"/>
    <row r="3123" ht="12.75" customHeight="1" x14ac:dyDescent="0.2"/>
    <row r="3124" ht="12.75" customHeight="1" x14ac:dyDescent="0.2"/>
    <row r="3125" ht="12.75" customHeight="1" x14ac:dyDescent="0.2"/>
    <row r="3126" ht="12.75" customHeight="1" x14ac:dyDescent="0.2"/>
    <row r="3127" ht="12.75" customHeight="1" x14ac:dyDescent="0.2"/>
    <row r="3128" ht="12.75" customHeight="1" x14ac:dyDescent="0.2"/>
    <row r="3129" ht="12.75" customHeight="1" x14ac:dyDescent="0.2"/>
    <row r="3130" ht="12.75" customHeight="1" x14ac:dyDescent="0.2"/>
    <row r="3131" ht="12.75" customHeight="1" x14ac:dyDescent="0.2"/>
    <row r="3132" ht="12.75" customHeight="1" x14ac:dyDescent="0.2"/>
    <row r="3133" ht="12.75" customHeight="1" x14ac:dyDescent="0.2"/>
    <row r="3134" ht="12.75" customHeight="1" x14ac:dyDescent="0.2"/>
    <row r="3135" ht="12.75" customHeight="1" x14ac:dyDescent="0.2"/>
    <row r="3136" ht="12.75" customHeight="1" x14ac:dyDescent="0.2"/>
    <row r="3137" ht="12.75" customHeight="1" x14ac:dyDescent="0.2"/>
    <row r="3138" ht="12.75" customHeight="1" x14ac:dyDescent="0.2"/>
    <row r="3139" ht="12.75" customHeight="1" x14ac:dyDescent="0.2"/>
    <row r="3140" ht="12.75" customHeight="1" x14ac:dyDescent="0.2"/>
    <row r="3141" ht="12.75" customHeight="1" x14ac:dyDescent="0.2"/>
    <row r="3142" ht="12.75" customHeight="1" x14ac:dyDescent="0.2"/>
    <row r="3143" ht="12.75" customHeight="1" x14ac:dyDescent="0.2"/>
    <row r="3144" ht="12.75" customHeight="1" x14ac:dyDescent="0.2"/>
    <row r="3145" ht="12.75" customHeight="1" x14ac:dyDescent="0.2"/>
    <row r="3146" ht="12.75" customHeight="1" x14ac:dyDescent="0.2"/>
    <row r="3147" ht="12.75" customHeight="1" x14ac:dyDescent="0.2"/>
    <row r="3148" ht="12.75" customHeight="1" x14ac:dyDescent="0.2"/>
    <row r="3149" ht="12.75" customHeight="1" x14ac:dyDescent="0.2"/>
    <row r="3150" ht="12.75" customHeight="1" x14ac:dyDescent="0.2"/>
    <row r="3151" ht="12.75" customHeight="1" x14ac:dyDescent="0.2"/>
    <row r="3152" ht="12.75" customHeight="1" x14ac:dyDescent="0.2"/>
    <row r="3153" ht="12.75" customHeight="1" x14ac:dyDescent="0.2"/>
    <row r="3154" ht="12.75" customHeight="1" x14ac:dyDescent="0.2"/>
    <row r="3155" ht="12.75" customHeight="1" x14ac:dyDescent="0.2"/>
    <row r="3156" ht="12.75" customHeight="1" x14ac:dyDescent="0.2"/>
    <row r="3157" ht="12.75" customHeight="1" x14ac:dyDescent="0.2"/>
    <row r="3158" ht="12.75" customHeight="1" x14ac:dyDescent="0.2"/>
    <row r="3159" ht="12.75" customHeight="1" x14ac:dyDescent="0.2"/>
    <row r="3160" ht="12.75" customHeight="1" x14ac:dyDescent="0.2"/>
    <row r="3161" ht="12.75" customHeight="1" x14ac:dyDescent="0.2"/>
    <row r="3162" ht="12.75" customHeight="1" x14ac:dyDescent="0.2"/>
    <row r="3163" ht="12.75" customHeight="1" x14ac:dyDescent="0.2"/>
    <row r="3164" ht="12.75" customHeight="1" x14ac:dyDescent="0.2"/>
    <row r="3165" ht="12.75" customHeight="1" x14ac:dyDescent="0.2"/>
    <row r="3166" ht="12.75" customHeight="1" x14ac:dyDescent="0.2"/>
    <row r="3167" ht="12.75" customHeight="1" x14ac:dyDescent="0.2"/>
    <row r="3168" ht="12.75" customHeight="1" x14ac:dyDescent="0.2"/>
    <row r="3169" ht="12.75" customHeight="1" x14ac:dyDescent="0.2"/>
    <row r="3170" ht="12.75" customHeight="1" x14ac:dyDescent="0.2"/>
    <row r="3171" ht="12.75" customHeight="1" x14ac:dyDescent="0.2"/>
    <row r="3172" ht="12.75" customHeight="1" x14ac:dyDescent="0.2"/>
    <row r="3173" ht="12.75" customHeight="1" x14ac:dyDescent="0.2"/>
    <row r="3174" ht="12.75" customHeight="1" x14ac:dyDescent="0.2"/>
    <row r="3175" ht="12.75" customHeight="1" x14ac:dyDescent="0.2"/>
    <row r="3176" ht="12.75" customHeight="1" x14ac:dyDescent="0.2"/>
    <row r="3177" ht="12.75" customHeight="1" x14ac:dyDescent="0.2"/>
    <row r="3178" ht="12.75" customHeight="1" x14ac:dyDescent="0.2"/>
    <row r="3179" ht="12.75" customHeight="1" x14ac:dyDescent="0.2"/>
    <row r="3180" ht="12.75" customHeight="1" x14ac:dyDescent="0.2"/>
    <row r="3181" ht="12.75" customHeight="1" x14ac:dyDescent="0.2"/>
    <row r="3182" ht="12.75" customHeight="1" x14ac:dyDescent="0.2"/>
    <row r="3183" ht="12.75" customHeight="1" x14ac:dyDescent="0.2"/>
    <row r="3184" ht="12.75" customHeight="1" x14ac:dyDescent="0.2"/>
    <row r="3185" ht="12.75" customHeight="1" x14ac:dyDescent="0.2"/>
    <row r="3186" ht="12.75" customHeight="1" x14ac:dyDescent="0.2"/>
    <row r="3187" ht="12.75" customHeight="1" x14ac:dyDescent="0.2"/>
    <row r="3188" ht="12.75" customHeight="1" x14ac:dyDescent="0.2"/>
    <row r="3189" ht="12.75" customHeight="1" x14ac:dyDescent="0.2"/>
    <row r="3190" ht="12.75" customHeight="1" x14ac:dyDescent="0.2"/>
    <row r="3191" ht="12.75" customHeight="1" x14ac:dyDescent="0.2"/>
    <row r="3192" ht="12.75" customHeight="1" x14ac:dyDescent="0.2"/>
    <row r="3193" ht="12.75" customHeight="1" x14ac:dyDescent="0.2"/>
    <row r="3194" ht="12.75" customHeight="1" x14ac:dyDescent="0.2"/>
    <row r="3195" ht="12.75" customHeight="1" x14ac:dyDescent="0.2"/>
    <row r="3196" ht="12.75" customHeight="1" x14ac:dyDescent="0.2"/>
    <row r="3197" ht="12.75" customHeight="1" x14ac:dyDescent="0.2"/>
    <row r="3198" ht="12.75" customHeight="1" x14ac:dyDescent="0.2"/>
    <row r="3199" ht="12.75" customHeight="1" x14ac:dyDescent="0.2"/>
    <row r="3200" ht="12.75" customHeight="1" x14ac:dyDescent="0.2"/>
    <row r="3201" ht="12.75" customHeight="1" x14ac:dyDescent="0.2"/>
    <row r="3202" ht="12.75" customHeight="1" x14ac:dyDescent="0.2"/>
    <row r="3203" ht="12.75" customHeight="1" x14ac:dyDescent="0.2"/>
    <row r="3204" ht="12.75" customHeight="1" x14ac:dyDescent="0.2"/>
    <row r="3205" ht="12.75" customHeight="1" x14ac:dyDescent="0.2"/>
    <row r="3206" ht="12.75" customHeight="1" x14ac:dyDescent="0.2"/>
    <row r="3207" ht="12.75" customHeight="1" x14ac:dyDescent="0.2"/>
    <row r="3208" ht="12.75" customHeight="1" x14ac:dyDescent="0.2"/>
    <row r="3209" ht="12.75" customHeight="1" x14ac:dyDescent="0.2"/>
    <row r="3210" ht="12.75" customHeight="1" x14ac:dyDescent="0.2"/>
    <row r="3211" ht="12.75" customHeight="1" x14ac:dyDescent="0.2"/>
    <row r="3212" ht="12.75" customHeight="1" x14ac:dyDescent="0.2"/>
    <row r="3213" ht="12.75" customHeight="1" x14ac:dyDescent="0.2"/>
    <row r="3214" ht="12.75" customHeight="1" x14ac:dyDescent="0.2"/>
    <row r="3215" ht="12.75" customHeight="1" x14ac:dyDescent="0.2"/>
    <row r="3216" ht="12.75" customHeight="1" x14ac:dyDescent="0.2"/>
    <row r="3217" ht="12.75" customHeight="1" x14ac:dyDescent="0.2"/>
    <row r="3218" ht="12.75" customHeight="1" x14ac:dyDescent="0.2"/>
    <row r="3219" ht="12.75" customHeight="1" x14ac:dyDescent="0.2"/>
    <row r="3220" ht="12.75" customHeight="1" x14ac:dyDescent="0.2"/>
    <row r="3221" ht="12.75" customHeight="1" x14ac:dyDescent="0.2"/>
    <row r="3222" ht="12.75" customHeight="1" x14ac:dyDescent="0.2"/>
    <row r="3223" ht="12.75" customHeight="1" x14ac:dyDescent="0.2"/>
    <row r="3224" ht="12.75" customHeight="1" x14ac:dyDescent="0.2"/>
    <row r="3225" ht="12.75" customHeight="1" x14ac:dyDescent="0.2"/>
    <row r="3226" ht="12.75" customHeight="1" x14ac:dyDescent="0.2"/>
    <row r="3227" ht="12.75" customHeight="1" x14ac:dyDescent="0.2"/>
    <row r="3228" ht="12.75" customHeight="1" x14ac:dyDescent="0.2"/>
    <row r="3229" ht="12.75" customHeight="1" x14ac:dyDescent="0.2"/>
    <row r="3230" ht="12.75" customHeight="1" x14ac:dyDescent="0.2"/>
    <row r="3231" ht="12.75" customHeight="1" x14ac:dyDescent="0.2"/>
    <row r="3232" ht="12.75" customHeight="1" x14ac:dyDescent="0.2"/>
    <row r="3233" ht="12.75" customHeight="1" x14ac:dyDescent="0.2"/>
    <row r="3234" ht="12.75" customHeight="1" x14ac:dyDescent="0.2"/>
    <row r="3235" ht="12.75" customHeight="1" x14ac:dyDescent="0.2"/>
    <row r="3236" ht="12.75" customHeight="1" x14ac:dyDescent="0.2"/>
    <row r="3237" ht="12.75" customHeight="1" x14ac:dyDescent="0.2"/>
    <row r="3238" ht="12.75" customHeight="1" x14ac:dyDescent="0.2"/>
    <row r="3239" ht="12.75" customHeight="1" x14ac:dyDescent="0.2"/>
    <row r="3240" ht="12.75" customHeight="1" x14ac:dyDescent="0.2"/>
    <row r="3241" ht="12.75" customHeight="1" x14ac:dyDescent="0.2"/>
    <row r="3242" ht="12.75" customHeight="1" x14ac:dyDescent="0.2"/>
    <row r="3243" ht="12.75" customHeight="1" x14ac:dyDescent="0.2"/>
    <row r="3244" ht="12.75" customHeight="1" x14ac:dyDescent="0.2"/>
    <row r="3245" ht="12.75" customHeight="1" x14ac:dyDescent="0.2"/>
    <row r="3246" ht="12.75" customHeight="1" x14ac:dyDescent="0.2"/>
    <row r="3247" ht="12.75" customHeight="1" x14ac:dyDescent="0.2"/>
    <row r="3248" ht="12.75" customHeight="1" x14ac:dyDescent="0.2"/>
    <row r="3249" ht="12.75" customHeight="1" x14ac:dyDescent="0.2"/>
    <row r="3250" ht="12.75" customHeight="1" x14ac:dyDescent="0.2"/>
    <row r="3251" ht="12.75" customHeight="1" x14ac:dyDescent="0.2"/>
    <row r="3252" ht="12.75" customHeight="1" x14ac:dyDescent="0.2"/>
    <row r="3253" ht="12.75" customHeight="1" x14ac:dyDescent="0.2"/>
    <row r="3254" ht="12.75" customHeight="1" x14ac:dyDescent="0.2"/>
    <row r="3255" ht="12.75" customHeight="1" x14ac:dyDescent="0.2"/>
    <row r="3256" ht="12.75" customHeight="1" x14ac:dyDescent="0.2"/>
    <row r="3257" ht="12.75" customHeight="1" x14ac:dyDescent="0.2"/>
    <row r="3258" ht="12.75" customHeight="1" x14ac:dyDescent="0.2"/>
    <row r="3259" ht="12.75" customHeight="1" x14ac:dyDescent="0.2"/>
    <row r="3260" ht="12.75" customHeight="1" x14ac:dyDescent="0.2"/>
    <row r="3261" ht="12.75" customHeight="1" x14ac:dyDescent="0.2"/>
    <row r="3262" ht="12.75" customHeight="1" x14ac:dyDescent="0.2"/>
    <row r="3263" ht="12.75" customHeight="1" x14ac:dyDescent="0.2"/>
    <row r="3264" ht="12.75" customHeight="1" x14ac:dyDescent="0.2"/>
    <row r="3265" ht="12.75" customHeight="1" x14ac:dyDescent="0.2"/>
    <row r="3266" ht="12.75" customHeight="1" x14ac:dyDescent="0.2"/>
    <row r="3267" ht="12.75" customHeight="1" x14ac:dyDescent="0.2"/>
    <row r="3268" ht="12.75" customHeight="1" x14ac:dyDescent="0.2"/>
    <row r="3269" ht="12.75" customHeight="1" x14ac:dyDescent="0.2"/>
    <row r="3270" ht="12.75" customHeight="1" x14ac:dyDescent="0.2"/>
    <row r="3271" ht="12.75" customHeight="1" x14ac:dyDescent="0.2"/>
    <row r="3272" ht="12.75" customHeight="1" x14ac:dyDescent="0.2"/>
    <row r="3273" ht="12.75" customHeight="1" x14ac:dyDescent="0.2"/>
    <row r="3274" ht="12.75" customHeight="1" x14ac:dyDescent="0.2"/>
    <row r="3275" ht="12.75" customHeight="1" x14ac:dyDescent="0.2"/>
    <row r="3276" ht="12.75" customHeight="1" x14ac:dyDescent="0.2"/>
    <row r="3277" ht="12.75" customHeight="1" x14ac:dyDescent="0.2"/>
    <row r="3278" ht="12.75" customHeight="1" x14ac:dyDescent="0.2"/>
    <row r="3279" ht="12.75" customHeight="1" x14ac:dyDescent="0.2"/>
    <row r="3280" ht="12.75" customHeight="1" x14ac:dyDescent="0.2"/>
    <row r="3281" ht="12.75" customHeight="1" x14ac:dyDescent="0.2"/>
    <row r="3282" ht="12.75" customHeight="1" x14ac:dyDescent="0.2"/>
    <row r="3283" ht="12.75" customHeight="1" x14ac:dyDescent="0.2"/>
    <row r="3284" ht="12.75" customHeight="1" x14ac:dyDescent="0.2"/>
    <row r="3285" ht="12.75" customHeight="1" x14ac:dyDescent="0.2"/>
    <row r="3286" ht="12.75" customHeight="1" x14ac:dyDescent="0.2"/>
    <row r="3287" ht="12.75" customHeight="1" x14ac:dyDescent="0.2"/>
    <row r="3288" ht="12.75" customHeight="1" x14ac:dyDescent="0.2"/>
    <row r="3289" ht="12.75" customHeight="1" x14ac:dyDescent="0.2"/>
    <row r="3290" ht="12.75" customHeight="1" x14ac:dyDescent="0.2"/>
    <row r="3291" ht="12.75" customHeight="1" x14ac:dyDescent="0.2"/>
    <row r="3292" ht="12.75" customHeight="1" x14ac:dyDescent="0.2"/>
    <row r="3293" ht="12.75" customHeight="1" x14ac:dyDescent="0.2"/>
    <row r="3294" ht="12.75" customHeight="1" x14ac:dyDescent="0.2"/>
    <row r="3295" ht="12.75" customHeight="1" x14ac:dyDescent="0.2"/>
    <row r="3296" ht="12.75" customHeight="1" x14ac:dyDescent="0.2"/>
    <row r="3297" ht="12.75" customHeight="1" x14ac:dyDescent="0.2"/>
    <row r="3298" ht="12.75" customHeight="1" x14ac:dyDescent="0.2"/>
    <row r="3299" ht="12.75" customHeight="1" x14ac:dyDescent="0.2"/>
    <row r="3300" ht="12.75" customHeight="1" x14ac:dyDescent="0.2"/>
    <row r="3301" ht="12.75" customHeight="1" x14ac:dyDescent="0.2"/>
    <row r="3302" ht="12.75" customHeight="1" x14ac:dyDescent="0.2"/>
    <row r="3303" ht="12.75" customHeight="1" x14ac:dyDescent="0.2"/>
    <row r="3304" ht="12.75" customHeight="1" x14ac:dyDescent="0.2"/>
    <row r="3305" ht="12.75" customHeight="1" x14ac:dyDescent="0.2"/>
    <row r="3306" ht="12.75" customHeight="1" x14ac:dyDescent="0.2"/>
    <row r="3307" ht="12.75" customHeight="1" x14ac:dyDescent="0.2"/>
    <row r="3308" ht="12.75" customHeight="1" x14ac:dyDescent="0.2"/>
    <row r="3309" ht="12.75" customHeight="1" x14ac:dyDescent="0.2"/>
    <row r="3310" ht="12.75" customHeight="1" x14ac:dyDescent="0.2"/>
    <row r="3311" ht="12.75" customHeight="1" x14ac:dyDescent="0.2"/>
    <row r="3312" ht="12.75" customHeight="1" x14ac:dyDescent="0.2"/>
    <row r="3313" ht="12.75" customHeight="1" x14ac:dyDescent="0.2"/>
    <row r="3314" ht="12.75" customHeight="1" x14ac:dyDescent="0.2"/>
    <row r="3315" ht="12.75" customHeight="1" x14ac:dyDescent="0.2"/>
    <row r="3316" ht="12.75" customHeight="1" x14ac:dyDescent="0.2"/>
    <row r="3317" ht="12.75" customHeight="1" x14ac:dyDescent="0.2"/>
    <row r="3318" ht="12.75" customHeight="1" x14ac:dyDescent="0.2"/>
    <row r="3319" ht="12.75" customHeight="1" x14ac:dyDescent="0.2"/>
    <row r="3320" ht="12.75" customHeight="1" x14ac:dyDescent="0.2"/>
    <row r="3321" ht="12.75" customHeight="1" x14ac:dyDescent="0.2"/>
    <row r="3322" ht="12.75" customHeight="1" x14ac:dyDescent="0.2"/>
    <row r="3323" ht="12.75" customHeight="1" x14ac:dyDescent="0.2"/>
    <row r="3324" ht="12.75" customHeight="1" x14ac:dyDescent="0.2"/>
    <row r="3325" ht="12.75" customHeight="1" x14ac:dyDescent="0.2"/>
    <row r="3326" ht="12.75" customHeight="1" x14ac:dyDescent="0.2"/>
    <row r="3327" ht="12.75" customHeight="1" x14ac:dyDescent="0.2"/>
    <row r="3328" ht="12.75" customHeight="1" x14ac:dyDescent="0.2"/>
    <row r="3329" ht="12.75" customHeight="1" x14ac:dyDescent="0.2"/>
    <row r="3330" ht="12.75" customHeight="1" x14ac:dyDescent="0.2"/>
    <row r="3331" ht="12.75" customHeight="1" x14ac:dyDescent="0.2"/>
    <row r="3332" ht="12.75" customHeight="1" x14ac:dyDescent="0.2"/>
    <row r="3333" ht="12.75" customHeight="1" x14ac:dyDescent="0.2"/>
    <row r="3334" ht="12.75" customHeight="1" x14ac:dyDescent="0.2"/>
    <row r="3335" ht="12.75" customHeight="1" x14ac:dyDescent="0.2"/>
    <row r="3336" ht="12.75" customHeight="1" x14ac:dyDescent="0.2"/>
    <row r="3337" ht="12.75" customHeight="1" x14ac:dyDescent="0.2"/>
    <row r="3338" ht="12.75" customHeight="1" x14ac:dyDescent="0.2"/>
    <row r="3339" ht="12.75" customHeight="1" x14ac:dyDescent="0.2"/>
    <row r="3340" ht="12.75" customHeight="1" x14ac:dyDescent="0.2"/>
    <row r="3341" ht="12.75" customHeight="1" x14ac:dyDescent="0.2"/>
    <row r="3342" ht="12.75" customHeight="1" x14ac:dyDescent="0.2"/>
    <row r="3343" ht="12.75" customHeight="1" x14ac:dyDescent="0.2"/>
    <row r="3344" ht="12.75" customHeight="1" x14ac:dyDescent="0.2"/>
    <row r="3345" ht="12.75" customHeight="1" x14ac:dyDescent="0.2"/>
    <row r="3346" ht="12.75" customHeight="1" x14ac:dyDescent="0.2"/>
    <row r="3347" ht="12.75" customHeight="1" x14ac:dyDescent="0.2"/>
    <row r="3348" ht="12.75" customHeight="1" x14ac:dyDescent="0.2"/>
    <row r="3349" ht="12.75" customHeight="1" x14ac:dyDescent="0.2"/>
    <row r="3350" ht="12.75" customHeight="1" x14ac:dyDescent="0.2"/>
    <row r="3351" ht="12.75" customHeight="1" x14ac:dyDescent="0.2"/>
    <row r="3352" ht="12.75" customHeight="1" x14ac:dyDescent="0.2"/>
    <row r="3353" ht="12.75" customHeight="1" x14ac:dyDescent="0.2"/>
    <row r="3354" ht="12.75" customHeight="1" x14ac:dyDescent="0.2"/>
    <row r="3355" ht="12.75" customHeight="1" x14ac:dyDescent="0.2"/>
    <row r="3356" ht="12.75" customHeight="1" x14ac:dyDescent="0.2"/>
    <row r="3357" ht="12.75" customHeight="1" x14ac:dyDescent="0.2"/>
    <row r="3358" ht="12.75" customHeight="1" x14ac:dyDescent="0.2"/>
    <row r="3359" ht="12.75" customHeight="1" x14ac:dyDescent="0.2"/>
    <row r="3360" ht="12.75" customHeight="1" x14ac:dyDescent="0.2"/>
    <row r="3361" ht="12.75" customHeight="1" x14ac:dyDescent="0.2"/>
    <row r="3362" ht="12.75" customHeight="1" x14ac:dyDescent="0.2"/>
    <row r="3363" ht="12.75" customHeight="1" x14ac:dyDescent="0.2"/>
    <row r="3364" ht="12.75" customHeight="1" x14ac:dyDescent="0.2"/>
    <row r="3365" ht="12.75" customHeight="1" x14ac:dyDescent="0.2"/>
    <row r="3366" ht="12.75" customHeight="1" x14ac:dyDescent="0.2"/>
    <row r="3367" ht="12.75" customHeight="1" x14ac:dyDescent="0.2"/>
    <row r="3368" ht="12.75" customHeight="1" x14ac:dyDescent="0.2"/>
    <row r="3369" ht="12.75" customHeight="1" x14ac:dyDescent="0.2"/>
    <row r="3370" ht="12.75" customHeight="1" x14ac:dyDescent="0.2"/>
    <row r="3371" ht="12.75" customHeight="1" x14ac:dyDescent="0.2"/>
    <row r="3372" ht="12.75" customHeight="1" x14ac:dyDescent="0.2"/>
    <row r="3373" ht="12.75" customHeight="1" x14ac:dyDescent="0.2"/>
    <row r="3374" ht="12.75" customHeight="1" x14ac:dyDescent="0.2"/>
    <row r="3375" ht="12.75" customHeight="1" x14ac:dyDescent="0.2"/>
    <row r="3376" ht="12.75" customHeight="1" x14ac:dyDescent="0.2"/>
    <row r="3377" ht="12.75" customHeight="1" x14ac:dyDescent="0.2"/>
    <row r="3378" ht="12.75" customHeight="1" x14ac:dyDescent="0.2"/>
    <row r="3379" ht="12.75" customHeight="1" x14ac:dyDescent="0.2"/>
    <row r="3380" ht="12.75" customHeight="1" x14ac:dyDescent="0.2"/>
    <row r="3381" ht="12.75" customHeight="1" x14ac:dyDescent="0.2"/>
    <row r="3382" ht="12.75" customHeight="1" x14ac:dyDescent="0.2"/>
    <row r="3383" ht="12.75" customHeight="1" x14ac:dyDescent="0.2"/>
    <row r="3384" ht="12.75" customHeight="1" x14ac:dyDescent="0.2"/>
    <row r="3385" ht="12.75" customHeight="1" x14ac:dyDescent="0.2"/>
    <row r="3386" ht="12.75" customHeight="1" x14ac:dyDescent="0.2"/>
    <row r="3387" ht="12.75" customHeight="1" x14ac:dyDescent="0.2"/>
    <row r="3388" ht="12.75" customHeight="1" x14ac:dyDescent="0.2"/>
    <row r="3389" ht="12.75" customHeight="1" x14ac:dyDescent="0.2"/>
    <row r="3390" ht="12.75" customHeight="1" x14ac:dyDescent="0.2"/>
    <row r="3391" ht="12.75" customHeight="1" x14ac:dyDescent="0.2"/>
    <row r="3392" ht="12.75" customHeight="1" x14ac:dyDescent="0.2"/>
    <row r="3393" ht="12.75" customHeight="1" x14ac:dyDescent="0.2"/>
    <row r="3394" ht="12.75" customHeight="1" x14ac:dyDescent="0.2"/>
    <row r="3395" ht="12.75" customHeight="1" x14ac:dyDescent="0.2"/>
    <row r="3396" ht="12.75" customHeight="1" x14ac:dyDescent="0.2"/>
    <row r="3397" ht="12.75" customHeight="1" x14ac:dyDescent="0.2"/>
    <row r="3398" ht="12.75" customHeight="1" x14ac:dyDescent="0.2"/>
    <row r="3399" ht="12.75" customHeight="1" x14ac:dyDescent="0.2"/>
    <row r="3400" ht="12.75" customHeight="1" x14ac:dyDescent="0.2"/>
    <row r="3401" ht="12.75" customHeight="1" x14ac:dyDescent="0.2"/>
    <row r="3402" ht="12.75" customHeight="1" x14ac:dyDescent="0.2"/>
    <row r="3403" ht="12.75" customHeight="1" x14ac:dyDescent="0.2"/>
    <row r="3404" ht="12.75" customHeight="1" x14ac:dyDescent="0.2"/>
    <row r="3405" ht="12.75" customHeight="1" x14ac:dyDescent="0.2"/>
    <row r="3406" ht="12.75" customHeight="1" x14ac:dyDescent="0.2"/>
    <row r="3407" ht="12.75" customHeight="1" x14ac:dyDescent="0.2"/>
    <row r="3408" ht="12.75" customHeight="1" x14ac:dyDescent="0.2"/>
    <row r="3409" ht="12.75" customHeight="1" x14ac:dyDescent="0.2"/>
    <row r="3410" ht="12.75" customHeight="1" x14ac:dyDescent="0.2"/>
    <row r="3411" ht="12.75" customHeight="1" x14ac:dyDescent="0.2"/>
    <row r="3412" ht="12.75" customHeight="1" x14ac:dyDescent="0.2"/>
    <row r="3413" ht="12.75" customHeight="1" x14ac:dyDescent="0.2"/>
    <row r="3414" ht="12.75" customHeight="1" x14ac:dyDescent="0.2"/>
    <row r="3415" ht="12.75" customHeight="1" x14ac:dyDescent="0.2"/>
    <row r="3416" ht="12.75" customHeight="1" x14ac:dyDescent="0.2"/>
    <row r="3417" ht="12.75" customHeight="1" x14ac:dyDescent="0.2"/>
    <row r="3418" ht="12.75" customHeight="1" x14ac:dyDescent="0.2"/>
    <row r="3419" ht="12.75" customHeight="1" x14ac:dyDescent="0.2"/>
    <row r="3420" ht="12.75" customHeight="1" x14ac:dyDescent="0.2"/>
    <row r="3421" ht="12.75" customHeight="1" x14ac:dyDescent="0.2"/>
    <row r="3422" ht="12.75" customHeight="1" x14ac:dyDescent="0.2"/>
    <row r="3423" ht="12.75" customHeight="1" x14ac:dyDescent="0.2"/>
    <row r="3424" ht="12.75" customHeight="1" x14ac:dyDescent="0.2"/>
    <row r="3425" ht="12.75" customHeight="1" x14ac:dyDescent="0.2"/>
    <row r="3426" ht="12.75" customHeight="1" x14ac:dyDescent="0.2"/>
    <row r="3427" ht="12.75" customHeight="1" x14ac:dyDescent="0.2"/>
    <row r="3428" ht="12.75" customHeight="1" x14ac:dyDescent="0.2"/>
    <row r="3429" ht="12.75" customHeight="1" x14ac:dyDescent="0.2"/>
    <row r="3430" ht="12.75" customHeight="1" x14ac:dyDescent="0.2"/>
    <row r="3431" ht="12.75" customHeight="1" x14ac:dyDescent="0.2"/>
    <row r="3432" ht="12.75" customHeight="1" x14ac:dyDescent="0.2"/>
    <row r="3433" ht="12.75" customHeight="1" x14ac:dyDescent="0.2"/>
    <row r="3434" ht="12.75" customHeight="1" x14ac:dyDescent="0.2"/>
    <row r="3435" ht="12.75" customHeight="1" x14ac:dyDescent="0.2"/>
    <row r="3436" ht="12.75" customHeight="1" x14ac:dyDescent="0.2"/>
    <row r="3437" ht="12.75" customHeight="1" x14ac:dyDescent="0.2"/>
    <row r="3438" ht="12.75" customHeight="1" x14ac:dyDescent="0.2"/>
    <row r="3439" ht="12.75" customHeight="1" x14ac:dyDescent="0.2"/>
    <row r="3440" ht="12.75" customHeight="1" x14ac:dyDescent="0.2"/>
    <row r="3441" ht="12.75" customHeight="1" x14ac:dyDescent="0.2"/>
    <row r="3442" ht="12.75" customHeight="1" x14ac:dyDescent="0.2"/>
    <row r="3443" ht="12.75" customHeight="1" x14ac:dyDescent="0.2"/>
    <row r="3444" ht="12.75" customHeight="1" x14ac:dyDescent="0.2"/>
    <row r="3445" ht="12.75" customHeight="1" x14ac:dyDescent="0.2"/>
    <row r="3446" ht="12.75" customHeight="1" x14ac:dyDescent="0.2"/>
    <row r="3447" ht="12.75" customHeight="1" x14ac:dyDescent="0.2"/>
    <row r="3448" ht="12.75" customHeight="1" x14ac:dyDescent="0.2"/>
    <row r="3449" ht="12.75" customHeight="1" x14ac:dyDescent="0.2"/>
    <row r="3450" ht="12.75" customHeight="1" x14ac:dyDescent="0.2"/>
    <row r="3451" ht="12.75" customHeight="1" x14ac:dyDescent="0.2"/>
    <row r="3452" ht="12.75" customHeight="1" x14ac:dyDescent="0.2"/>
    <row r="3453" ht="12.75" customHeight="1" x14ac:dyDescent="0.2"/>
    <row r="3454" ht="12.75" customHeight="1" x14ac:dyDescent="0.2"/>
    <row r="3455" ht="12.75" customHeight="1" x14ac:dyDescent="0.2"/>
    <row r="3456" ht="12.75" customHeight="1" x14ac:dyDescent="0.2"/>
    <row r="3457" ht="12.75" customHeight="1" x14ac:dyDescent="0.2"/>
    <row r="3458" ht="12.75" customHeight="1" x14ac:dyDescent="0.2"/>
    <row r="3459" ht="12.75" customHeight="1" x14ac:dyDescent="0.2"/>
    <row r="3460" ht="12.75" customHeight="1" x14ac:dyDescent="0.2"/>
    <row r="3461" ht="12.75" customHeight="1" x14ac:dyDescent="0.2"/>
    <row r="3462" ht="12.75" customHeight="1" x14ac:dyDescent="0.2"/>
    <row r="3463" ht="12.75" customHeight="1" x14ac:dyDescent="0.2"/>
    <row r="3464" ht="12.75" customHeight="1" x14ac:dyDescent="0.2"/>
    <row r="3465" ht="12.75" customHeight="1" x14ac:dyDescent="0.2"/>
    <row r="3466" ht="12.75" customHeight="1" x14ac:dyDescent="0.2"/>
    <row r="3467" ht="12.75" customHeight="1" x14ac:dyDescent="0.2"/>
    <row r="3468" ht="12.75" customHeight="1" x14ac:dyDescent="0.2"/>
    <row r="3469" ht="12.75" customHeight="1" x14ac:dyDescent="0.2"/>
    <row r="3470" ht="12.75" customHeight="1" x14ac:dyDescent="0.2"/>
    <row r="3471" ht="12.75" customHeight="1" x14ac:dyDescent="0.2"/>
    <row r="3472" ht="12.75" customHeight="1" x14ac:dyDescent="0.2"/>
    <row r="3473" ht="12.75" customHeight="1" x14ac:dyDescent="0.2"/>
    <row r="3474" ht="12.75" customHeight="1" x14ac:dyDescent="0.2"/>
    <row r="3475" ht="12.75" customHeight="1" x14ac:dyDescent="0.2"/>
    <row r="3476" ht="12.75" customHeight="1" x14ac:dyDescent="0.2"/>
    <row r="3477" ht="12.75" customHeight="1" x14ac:dyDescent="0.2"/>
    <row r="3478" ht="12.75" customHeight="1" x14ac:dyDescent="0.2"/>
    <row r="3479" ht="12.75" customHeight="1" x14ac:dyDescent="0.2"/>
    <row r="3480" ht="12.75" customHeight="1" x14ac:dyDescent="0.2"/>
    <row r="3481" ht="12.75" customHeight="1" x14ac:dyDescent="0.2"/>
    <row r="3482" ht="12.75" customHeight="1" x14ac:dyDescent="0.2"/>
    <row r="3483" ht="12.75" customHeight="1" x14ac:dyDescent="0.2"/>
    <row r="3484" ht="12.75" customHeight="1" x14ac:dyDescent="0.2"/>
    <row r="3485" ht="12.75" customHeight="1" x14ac:dyDescent="0.2"/>
    <row r="3486" ht="12.75" customHeight="1" x14ac:dyDescent="0.2"/>
    <row r="3487" ht="12.75" customHeight="1" x14ac:dyDescent="0.2"/>
    <row r="3488" ht="12.75" customHeight="1" x14ac:dyDescent="0.2"/>
    <row r="3489" ht="12.75" customHeight="1" x14ac:dyDescent="0.2"/>
    <row r="3490" ht="12.75" customHeight="1" x14ac:dyDescent="0.2"/>
    <row r="3491" ht="12.75" customHeight="1" x14ac:dyDescent="0.2"/>
    <row r="3492" ht="12.75" customHeight="1" x14ac:dyDescent="0.2"/>
    <row r="3493" ht="12.75" customHeight="1" x14ac:dyDescent="0.2"/>
    <row r="3494" ht="12.75" customHeight="1" x14ac:dyDescent="0.2"/>
    <row r="3495" ht="12.75" customHeight="1" x14ac:dyDescent="0.2"/>
    <row r="3496" ht="12.75" customHeight="1" x14ac:dyDescent="0.2"/>
    <row r="3497" ht="12.75" customHeight="1" x14ac:dyDescent="0.2"/>
    <row r="3498" ht="12.75" customHeight="1" x14ac:dyDescent="0.2"/>
    <row r="3499" ht="12.75" customHeight="1" x14ac:dyDescent="0.2"/>
    <row r="3500" ht="12.75" customHeight="1" x14ac:dyDescent="0.2"/>
    <row r="3501" ht="12.75" customHeight="1" x14ac:dyDescent="0.2"/>
    <row r="3502" ht="12.75" customHeight="1" x14ac:dyDescent="0.2"/>
    <row r="3503" ht="12.75" customHeight="1" x14ac:dyDescent="0.2"/>
    <row r="3504" ht="12.75" customHeight="1" x14ac:dyDescent="0.2"/>
    <row r="3505" ht="12.75" customHeight="1" x14ac:dyDescent="0.2"/>
    <row r="3506" ht="12.75" customHeight="1" x14ac:dyDescent="0.2"/>
    <row r="3507" ht="12.75" customHeight="1" x14ac:dyDescent="0.2"/>
    <row r="3508" ht="12.75" customHeight="1" x14ac:dyDescent="0.2"/>
    <row r="3509" ht="12.75" customHeight="1" x14ac:dyDescent="0.2"/>
    <row r="3510" ht="12.75" customHeight="1" x14ac:dyDescent="0.2"/>
    <row r="3511" ht="12.75" customHeight="1" x14ac:dyDescent="0.2"/>
    <row r="3512" ht="12.75" customHeight="1" x14ac:dyDescent="0.2"/>
    <row r="3513" ht="12.75" customHeight="1" x14ac:dyDescent="0.2"/>
    <row r="3514" ht="12.75" customHeight="1" x14ac:dyDescent="0.2"/>
    <row r="3515" ht="12.75" customHeight="1" x14ac:dyDescent="0.2"/>
    <row r="3516" ht="12.75" customHeight="1" x14ac:dyDescent="0.2"/>
    <row r="3517" ht="12.75" customHeight="1" x14ac:dyDescent="0.2"/>
    <row r="3518" ht="12.75" customHeight="1" x14ac:dyDescent="0.2"/>
    <row r="3519" ht="12.75" customHeight="1" x14ac:dyDescent="0.2"/>
    <row r="3520" ht="12.75" customHeight="1" x14ac:dyDescent="0.2"/>
    <row r="3521" ht="12.75" customHeight="1" x14ac:dyDescent="0.2"/>
    <row r="3522" ht="12.75" customHeight="1" x14ac:dyDescent="0.2"/>
    <row r="3523" ht="12.75" customHeight="1" x14ac:dyDescent="0.2"/>
    <row r="3524" ht="12.75" customHeight="1" x14ac:dyDescent="0.2"/>
    <row r="3525" ht="12.75" customHeight="1" x14ac:dyDescent="0.2"/>
    <row r="3526" ht="12.75" customHeight="1" x14ac:dyDescent="0.2"/>
    <row r="3527" ht="12.75" customHeight="1" x14ac:dyDescent="0.2"/>
    <row r="3528" ht="12.75" customHeight="1" x14ac:dyDescent="0.2"/>
    <row r="3529" ht="12.75" customHeight="1" x14ac:dyDescent="0.2"/>
    <row r="3530" ht="12.75" customHeight="1" x14ac:dyDescent="0.2"/>
    <row r="3531" ht="12.75" customHeight="1" x14ac:dyDescent="0.2"/>
    <row r="3532" ht="12.75" customHeight="1" x14ac:dyDescent="0.2"/>
    <row r="3533" ht="12.75" customHeight="1" x14ac:dyDescent="0.2"/>
    <row r="3534" ht="12.75" customHeight="1" x14ac:dyDescent="0.2"/>
    <row r="3535" ht="12.75" customHeight="1" x14ac:dyDescent="0.2"/>
    <row r="3536" ht="12.75" customHeight="1" x14ac:dyDescent="0.2"/>
    <row r="3537" ht="12.75" customHeight="1" x14ac:dyDescent="0.2"/>
    <row r="3538" ht="12.75" customHeight="1" x14ac:dyDescent="0.2"/>
    <row r="3539" ht="12.75" customHeight="1" x14ac:dyDescent="0.2"/>
    <row r="3540" ht="12.75" customHeight="1" x14ac:dyDescent="0.2"/>
    <row r="3541" ht="12.75" customHeight="1" x14ac:dyDescent="0.2"/>
    <row r="3542" ht="12.75" customHeight="1" x14ac:dyDescent="0.2"/>
    <row r="3543" ht="12.75" customHeight="1" x14ac:dyDescent="0.2"/>
    <row r="3544" ht="12.75" customHeight="1" x14ac:dyDescent="0.2"/>
    <row r="3545" ht="12.75" customHeight="1" x14ac:dyDescent="0.2"/>
    <row r="3546" ht="12.75" customHeight="1" x14ac:dyDescent="0.2"/>
    <row r="3547" ht="12.75" customHeight="1" x14ac:dyDescent="0.2"/>
    <row r="3548" ht="12.75" customHeight="1" x14ac:dyDescent="0.2"/>
    <row r="3549" ht="12.75" customHeight="1" x14ac:dyDescent="0.2"/>
    <row r="3550" ht="12.75" customHeight="1" x14ac:dyDescent="0.2"/>
    <row r="3551" ht="12.75" customHeight="1" x14ac:dyDescent="0.2"/>
    <row r="3552" ht="12.75" customHeight="1" x14ac:dyDescent="0.2"/>
    <row r="3553" ht="12.75" customHeight="1" x14ac:dyDescent="0.2"/>
    <row r="3554" ht="12.75" customHeight="1" x14ac:dyDescent="0.2"/>
    <row r="3555" ht="12.75" customHeight="1" x14ac:dyDescent="0.2"/>
    <row r="3556" ht="12.75" customHeight="1" x14ac:dyDescent="0.2"/>
    <row r="3557" ht="12.75" customHeight="1" x14ac:dyDescent="0.2"/>
    <row r="3558" ht="12.75" customHeight="1" x14ac:dyDescent="0.2"/>
    <row r="3559" ht="12.75" customHeight="1" x14ac:dyDescent="0.2"/>
    <row r="3560" ht="12.75" customHeight="1" x14ac:dyDescent="0.2"/>
    <row r="3561" ht="12.75" customHeight="1" x14ac:dyDescent="0.2"/>
    <row r="3562" ht="12.75" customHeight="1" x14ac:dyDescent="0.2"/>
    <row r="3563" ht="12.75" customHeight="1" x14ac:dyDescent="0.2"/>
    <row r="3564" ht="12.75" customHeight="1" x14ac:dyDescent="0.2"/>
    <row r="3565" ht="12.75" customHeight="1" x14ac:dyDescent="0.2"/>
    <row r="3566" ht="12.75" customHeight="1" x14ac:dyDescent="0.2"/>
    <row r="3567" ht="12.75" customHeight="1" x14ac:dyDescent="0.2"/>
    <row r="3568" ht="12.75" customHeight="1" x14ac:dyDescent="0.2"/>
    <row r="3569" ht="12.75" customHeight="1" x14ac:dyDescent="0.2"/>
    <row r="3570" ht="12.75" customHeight="1" x14ac:dyDescent="0.2"/>
    <row r="3571" ht="12.75" customHeight="1" x14ac:dyDescent="0.2"/>
    <row r="3572" ht="12.75" customHeight="1" x14ac:dyDescent="0.2"/>
    <row r="3573" ht="12.75" customHeight="1" x14ac:dyDescent="0.2"/>
    <row r="3574" ht="12.75" customHeight="1" x14ac:dyDescent="0.2"/>
    <row r="3575" ht="12.75" customHeight="1" x14ac:dyDescent="0.2"/>
    <row r="3576" ht="12.75" customHeight="1" x14ac:dyDescent="0.2"/>
    <row r="3577" ht="12.75" customHeight="1" x14ac:dyDescent="0.2"/>
    <row r="3578" ht="12.75" customHeight="1" x14ac:dyDescent="0.2"/>
    <row r="3579" ht="12.75" customHeight="1" x14ac:dyDescent="0.2"/>
    <row r="3580" ht="12.75" customHeight="1" x14ac:dyDescent="0.2"/>
    <row r="3581" ht="12.75" customHeight="1" x14ac:dyDescent="0.2"/>
    <row r="3582" ht="12.75" customHeight="1" x14ac:dyDescent="0.2"/>
    <row r="3583" ht="12.75" customHeight="1" x14ac:dyDescent="0.2"/>
    <row r="3584" ht="12.75" customHeight="1" x14ac:dyDescent="0.2"/>
    <row r="3585" ht="12.75" customHeight="1" x14ac:dyDescent="0.2"/>
    <row r="3586" ht="12.75" customHeight="1" x14ac:dyDescent="0.2"/>
    <row r="3587" ht="12.75" customHeight="1" x14ac:dyDescent="0.2"/>
    <row r="3588" ht="12.75" customHeight="1" x14ac:dyDescent="0.2"/>
    <row r="3589" ht="12.75" customHeight="1" x14ac:dyDescent="0.2"/>
    <row r="3590" ht="12.75" customHeight="1" x14ac:dyDescent="0.2"/>
    <row r="3591" ht="12.75" customHeight="1" x14ac:dyDescent="0.2"/>
    <row r="3592" ht="12.75" customHeight="1" x14ac:dyDescent="0.2"/>
    <row r="3593" ht="12.75" customHeight="1" x14ac:dyDescent="0.2"/>
    <row r="3594" ht="12.75" customHeight="1" x14ac:dyDescent="0.2"/>
    <row r="3595" ht="12.75" customHeight="1" x14ac:dyDescent="0.2"/>
    <row r="3596" ht="12.75" customHeight="1" x14ac:dyDescent="0.2"/>
    <row r="3597" ht="12.75" customHeight="1" x14ac:dyDescent="0.2"/>
    <row r="3598" ht="12.75" customHeight="1" x14ac:dyDescent="0.2"/>
    <row r="3599" ht="12.75" customHeight="1" x14ac:dyDescent="0.2"/>
    <row r="3600" ht="12.75" customHeight="1" x14ac:dyDescent="0.2"/>
    <row r="3601" ht="12.75" customHeight="1" x14ac:dyDescent="0.2"/>
    <row r="3602" ht="12.75" customHeight="1" x14ac:dyDescent="0.2"/>
    <row r="3603" ht="12.75" customHeight="1" x14ac:dyDescent="0.2"/>
    <row r="3604" ht="12.75" customHeight="1" x14ac:dyDescent="0.2"/>
    <row r="3605" ht="12.75" customHeight="1" x14ac:dyDescent="0.2"/>
    <row r="3606" ht="12.75" customHeight="1" x14ac:dyDescent="0.2"/>
    <row r="3607" ht="12.75" customHeight="1" x14ac:dyDescent="0.2"/>
    <row r="3608" ht="12.75" customHeight="1" x14ac:dyDescent="0.2"/>
    <row r="3609" ht="12.75" customHeight="1" x14ac:dyDescent="0.2"/>
    <row r="3610" ht="12.75" customHeight="1" x14ac:dyDescent="0.2"/>
    <row r="3611" ht="12.75" customHeight="1" x14ac:dyDescent="0.2"/>
    <row r="3612" ht="12.75" customHeight="1" x14ac:dyDescent="0.2"/>
    <row r="3613" ht="12.75" customHeight="1" x14ac:dyDescent="0.2"/>
    <row r="3614" ht="12.75" customHeight="1" x14ac:dyDescent="0.2"/>
    <row r="3615" ht="12.75" customHeight="1" x14ac:dyDescent="0.2"/>
    <row r="3616" ht="12.75" customHeight="1" x14ac:dyDescent="0.2"/>
    <row r="3617" ht="12.75" customHeight="1" x14ac:dyDescent="0.2"/>
    <row r="3618" ht="12.75" customHeight="1" x14ac:dyDescent="0.2"/>
    <row r="3619" ht="12.75" customHeight="1" x14ac:dyDescent="0.2"/>
    <row r="3620" ht="12.75" customHeight="1" x14ac:dyDescent="0.2"/>
    <row r="3621" ht="12.75" customHeight="1" x14ac:dyDescent="0.2"/>
    <row r="3622" ht="12.75" customHeight="1" x14ac:dyDescent="0.2"/>
    <row r="3623" ht="12.75" customHeight="1" x14ac:dyDescent="0.2"/>
    <row r="3624" ht="12.75" customHeight="1" x14ac:dyDescent="0.2"/>
    <row r="3625" ht="12.75" customHeight="1" x14ac:dyDescent="0.2"/>
    <row r="3626" ht="12.75" customHeight="1" x14ac:dyDescent="0.2"/>
    <row r="3627" ht="12.75" customHeight="1" x14ac:dyDescent="0.2"/>
    <row r="3628" ht="12.75" customHeight="1" x14ac:dyDescent="0.2"/>
    <row r="3629" ht="12.75" customHeight="1" x14ac:dyDescent="0.2"/>
    <row r="3630" ht="12.75" customHeight="1" x14ac:dyDescent="0.2"/>
    <row r="3631" ht="12.75" customHeight="1" x14ac:dyDescent="0.2"/>
    <row r="3632" ht="12.75" customHeight="1" x14ac:dyDescent="0.2"/>
    <row r="3633" ht="12.75" customHeight="1" x14ac:dyDescent="0.2"/>
    <row r="3634" ht="12.75" customHeight="1" x14ac:dyDescent="0.2"/>
    <row r="3635" ht="12.75" customHeight="1" x14ac:dyDescent="0.2"/>
    <row r="3636" ht="12.75" customHeight="1" x14ac:dyDescent="0.2"/>
    <row r="3637" ht="12.75" customHeight="1" x14ac:dyDescent="0.2"/>
    <row r="3638" ht="12.75" customHeight="1" x14ac:dyDescent="0.2"/>
    <row r="3639" ht="12.75" customHeight="1" x14ac:dyDescent="0.2"/>
    <row r="3640" ht="12.75" customHeight="1" x14ac:dyDescent="0.2"/>
    <row r="3641" ht="12.75" customHeight="1" x14ac:dyDescent="0.2"/>
    <row r="3642" ht="12.75" customHeight="1" x14ac:dyDescent="0.2"/>
    <row r="3643" ht="12.75" customHeight="1" x14ac:dyDescent="0.2"/>
    <row r="3644" ht="12.75" customHeight="1" x14ac:dyDescent="0.2"/>
    <row r="3645" ht="12.75" customHeight="1" x14ac:dyDescent="0.2"/>
    <row r="3646" ht="12.75" customHeight="1" x14ac:dyDescent="0.2"/>
    <row r="3647" ht="12.75" customHeight="1" x14ac:dyDescent="0.2"/>
    <row r="3648" ht="12.75" customHeight="1" x14ac:dyDescent="0.2"/>
    <row r="3649" ht="12.75" customHeight="1" x14ac:dyDescent="0.2"/>
    <row r="3650" ht="12.75" customHeight="1" x14ac:dyDescent="0.2"/>
    <row r="3651" ht="12.75" customHeight="1" x14ac:dyDescent="0.2"/>
    <row r="3652" ht="12.75" customHeight="1" x14ac:dyDescent="0.2"/>
    <row r="3653" ht="12.75" customHeight="1" x14ac:dyDescent="0.2"/>
    <row r="3654" ht="12.75" customHeight="1" x14ac:dyDescent="0.2"/>
    <row r="3655" ht="12.75" customHeight="1" x14ac:dyDescent="0.2"/>
    <row r="3656" ht="12.75" customHeight="1" x14ac:dyDescent="0.2"/>
    <row r="3657" ht="12.75" customHeight="1" x14ac:dyDescent="0.2"/>
    <row r="3658" ht="12.75" customHeight="1" x14ac:dyDescent="0.2"/>
    <row r="3659" ht="12.75" customHeight="1" x14ac:dyDescent="0.2"/>
    <row r="3660" ht="12.75" customHeight="1" x14ac:dyDescent="0.2"/>
    <row r="3661" ht="12.75" customHeight="1" x14ac:dyDescent="0.2"/>
    <row r="3662" ht="12.75" customHeight="1" x14ac:dyDescent="0.2"/>
    <row r="3663" ht="12.75" customHeight="1" x14ac:dyDescent="0.2"/>
    <row r="3664" ht="12.75" customHeight="1" x14ac:dyDescent="0.2"/>
    <row r="3665" ht="12.75" customHeight="1" x14ac:dyDescent="0.2"/>
    <row r="3666" ht="12.75" customHeight="1" x14ac:dyDescent="0.2"/>
    <row r="3667" ht="12.75" customHeight="1" x14ac:dyDescent="0.2"/>
    <row r="3668" ht="12.75" customHeight="1" x14ac:dyDescent="0.2"/>
    <row r="3669" ht="12.75" customHeight="1" x14ac:dyDescent="0.2"/>
    <row r="3670" ht="12.75" customHeight="1" x14ac:dyDescent="0.2"/>
    <row r="3671" ht="12.75" customHeight="1" x14ac:dyDescent="0.2"/>
    <row r="3672" ht="12.75" customHeight="1" x14ac:dyDescent="0.2"/>
    <row r="3673" ht="12.75" customHeight="1" x14ac:dyDescent="0.2"/>
    <row r="3674" ht="12.75" customHeight="1" x14ac:dyDescent="0.2"/>
    <row r="3675" ht="12.75" customHeight="1" x14ac:dyDescent="0.2"/>
    <row r="3676" ht="12.75" customHeight="1" x14ac:dyDescent="0.2"/>
    <row r="3677" ht="12.75" customHeight="1" x14ac:dyDescent="0.2"/>
    <row r="3678" ht="12.75" customHeight="1" x14ac:dyDescent="0.2"/>
    <row r="3679" ht="12.75" customHeight="1" x14ac:dyDescent="0.2"/>
    <row r="3680" ht="12.75" customHeight="1" x14ac:dyDescent="0.2"/>
    <row r="3681" ht="12.75" customHeight="1" x14ac:dyDescent="0.2"/>
    <row r="3682" ht="12.75" customHeight="1" x14ac:dyDescent="0.2"/>
    <row r="3683" ht="12.75" customHeight="1" x14ac:dyDescent="0.2"/>
    <row r="3684" ht="12.75" customHeight="1" x14ac:dyDescent="0.2"/>
    <row r="3685" ht="12.75" customHeight="1" x14ac:dyDescent="0.2"/>
    <row r="3686" ht="12.75" customHeight="1" x14ac:dyDescent="0.2"/>
    <row r="3687" ht="12.75" customHeight="1" x14ac:dyDescent="0.2"/>
    <row r="3688" ht="12.75" customHeight="1" x14ac:dyDescent="0.2"/>
    <row r="3689" ht="12.75" customHeight="1" x14ac:dyDescent="0.2"/>
    <row r="3690" ht="12.75" customHeight="1" x14ac:dyDescent="0.2"/>
    <row r="3691" ht="12.75" customHeight="1" x14ac:dyDescent="0.2"/>
    <row r="3692" ht="12.75" customHeight="1" x14ac:dyDescent="0.2"/>
    <row r="3693" ht="12.75" customHeight="1" x14ac:dyDescent="0.2"/>
    <row r="3694" ht="12.75" customHeight="1" x14ac:dyDescent="0.2"/>
    <row r="3695" ht="12.75" customHeight="1" x14ac:dyDescent="0.2"/>
    <row r="3696" ht="12.75" customHeight="1" x14ac:dyDescent="0.2"/>
    <row r="3697" ht="12.75" customHeight="1" x14ac:dyDescent="0.2"/>
    <row r="3698" ht="12.75" customHeight="1" x14ac:dyDescent="0.2"/>
    <row r="3699" ht="12.75" customHeight="1" x14ac:dyDescent="0.2"/>
    <row r="3700" ht="12.75" customHeight="1" x14ac:dyDescent="0.2"/>
    <row r="3701" ht="12.75" customHeight="1" x14ac:dyDescent="0.2"/>
    <row r="3702" ht="12.75" customHeight="1" x14ac:dyDescent="0.2"/>
    <row r="3703" ht="12.75" customHeight="1" x14ac:dyDescent="0.2"/>
    <row r="3704" ht="12.75" customHeight="1" x14ac:dyDescent="0.2"/>
    <row r="3705" ht="12.75" customHeight="1" x14ac:dyDescent="0.2"/>
    <row r="3706" ht="12.75" customHeight="1" x14ac:dyDescent="0.2"/>
    <row r="3707" ht="12.75" customHeight="1" x14ac:dyDescent="0.2"/>
    <row r="3708" ht="12.75" customHeight="1" x14ac:dyDescent="0.2"/>
    <row r="3709" ht="12.75" customHeight="1" x14ac:dyDescent="0.2"/>
    <row r="3710" ht="12.75" customHeight="1" x14ac:dyDescent="0.2"/>
    <row r="3711" ht="12.75" customHeight="1" x14ac:dyDescent="0.2"/>
    <row r="3712" ht="12.75" customHeight="1" x14ac:dyDescent="0.2"/>
    <row r="3713" ht="12.75" customHeight="1" x14ac:dyDescent="0.2"/>
    <row r="3714" ht="12.75" customHeight="1" x14ac:dyDescent="0.2"/>
    <row r="3715" ht="12.75" customHeight="1" x14ac:dyDescent="0.2"/>
    <row r="3716" ht="12.75" customHeight="1" x14ac:dyDescent="0.2"/>
    <row r="3717" ht="12.75" customHeight="1" x14ac:dyDescent="0.2"/>
    <row r="3718" ht="12.75" customHeight="1" x14ac:dyDescent="0.2"/>
    <row r="3719" ht="12.75" customHeight="1" x14ac:dyDescent="0.2"/>
    <row r="3720" ht="12.75" customHeight="1" x14ac:dyDescent="0.2"/>
    <row r="3721" ht="12.75" customHeight="1" x14ac:dyDescent="0.2"/>
    <row r="3722" ht="12.75" customHeight="1" x14ac:dyDescent="0.2"/>
    <row r="3723" ht="12.75" customHeight="1" x14ac:dyDescent="0.2"/>
    <row r="3724" ht="12.75" customHeight="1" x14ac:dyDescent="0.2"/>
    <row r="3725" ht="12.75" customHeight="1" x14ac:dyDescent="0.2"/>
    <row r="3726" ht="12.75" customHeight="1" x14ac:dyDescent="0.2"/>
    <row r="3727" ht="12.75" customHeight="1" x14ac:dyDescent="0.2"/>
    <row r="3728" ht="12.75" customHeight="1" x14ac:dyDescent="0.2"/>
    <row r="3729" ht="12.75" customHeight="1" x14ac:dyDescent="0.2"/>
    <row r="3730" ht="12.75" customHeight="1" x14ac:dyDescent="0.2"/>
    <row r="3731" ht="12.75" customHeight="1" x14ac:dyDescent="0.2"/>
    <row r="3732" ht="12.75" customHeight="1" x14ac:dyDescent="0.2"/>
    <row r="3733" ht="12.75" customHeight="1" x14ac:dyDescent="0.2"/>
    <row r="3734" ht="12.75" customHeight="1" x14ac:dyDescent="0.2"/>
    <row r="3735" ht="12.75" customHeight="1" x14ac:dyDescent="0.2"/>
    <row r="3736" ht="12.75" customHeight="1" x14ac:dyDescent="0.2"/>
    <row r="3737" ht="12.75" customHeight="1" x14ac:dyDescent="0.2"/>
    <row r="3738" ht="12.75" customHeight="1" x14ac:dyDescent="0.2"/>
    <row r="3739" ht="12.75" customHeight="1" x14ac:dyDescent="0.2"/>
    <row r="3740" ht="12.75" customHeight="1" x14ac:dyDescent="0.2"/>
    <row r="3741" ht="12.75" customHeight="1" x14ac:dyDescent="0.2"/>
    <row r="3742" ht="12.75" customHeight="1" x14ac:dyDescent="0.2"/>
    <row r="3743" ht="12.75" customHeight="1" x14ac:dyDescent="0.2"/>
    <row r="3744" ht="12.75" customHeight="1" x14ac:dyDescent="0.2"/>
    <row r="3745" ht="12.75" customHeight="1" x14ac:dyDescent="0.2"/>
    <row r="3746" ht="12.75" customHeight="1" x14ac:dyDescent="0.2"/>
    <row r="3747" ht="12.75" customHeight="1" x14ac:dyDescent="0.2"/>
    <row r="3748" ht="12.75" customHeight="1" x14ac:dyDescent="0.2"/>
    <row r="3749" ht="12.75" customHeight="1" x14ac:dyDescent="0.2"/>
    <row r="3750" ht="12.75" customHeight="1" x14ac:dyDescent="0.2"/>
    <row r="3751" ht="12.75" customHeight="1" x14ac:dyDescent="0.2"/>
    <row r="3752" ht="12.75" customHeight="1" x14ac:dyDescent="0.2"/>
    <row r="3753" ht="12.75" customHeight="1" x14ac:dyDescent="0.2"/>
    <row r="3754" ht="12.75" customHeight="1" x14ac:dyDescent="0.2"/>
    <row r="3755" ht="12.75" customHeight="1" x14ac:dyDescent="0.2"/>
    <row r="3756" ht="12.75" customHeight="1" x14ac:dyDescent="0.2"/>
    <row r="3757" ht="12.75" customHeight="1" x14ac:dyDescent="0.2"/>
    <row r="3758" ht="12.75" customHeight="1" x14ac:dyDescent="0.2"/>
    <row r="3759" ht="12.75" customHeight="1" x14ac:dyDescent="0.2"/>
    <row r="3760" ht="12.75" customHeight="1" x14ac:dyDescent="0.2"/>
    <row r="3761" ht="12.75" customHeight="1" x14ac:dyDescent="0.2"/>
    <row r="3762" ht="12.75" customHeight="1" x14ac:dyDescent="0.2"/>
    <row r="3763" ht="12.75" customHeight="1" x14ac:dyDescent="0.2"/>
    <row r="3764" ht="12.75" customHeight="1" x14ac:dyDescent="0.2"/>
    <row r="3765" ht="12.75" customHeight="1" x14ac:dyDescent="0.2"/>
    <row r="3766" ht="12.75" customHeight="1" x14ac:dyDescent="0.2"/>
    <row r="3767" ht="12.75" customHeight="1" x14ac:dyDescent="0.2"/>
    <row r="3768" ht="12.75" customHeight="1" x14ac:dyDescent="0.2"/>
    <row r="3769" ht="12.75" customHeight="1" x14ac:dyDescent="0.2"/>
    <row r="3770" ht="12.75" customHeight="1" x14ac:dyDescent="0.2"/>
    <row r="3771" ht="12.75" customHeight="1" x14ac:dyDescent="0.2"/>
    <row r="3772" ht="12.75" customHeight="1" x14ac:dyDescent="0.2"/>
    <row r="3773" ht="12.75" customHeight="1" x14ac:dyDescent="0.2"/>
    <row r="3774" ht="12.75" customHeight="1" x14ac:dyDescent="0.2"/>
    <row r="3775" ht="12.75" customHeight="1" x14ac:dyDescent="0.2"/>
    <row r="3776" ht="12.75" customHeight="1" x14ac:dyDescent="0.2"/>
    <row r="3777" ht="12.75" customHeight="1" x14ac:dyDescent="0.2"/>
    <row r="3778" ht="12.75" customHeight="1" x14ac:dyDescent="0.2"/>
    <row r="3779" ht="12.75" customHeight="1" x14ac:dyDescent="0.2"/>
    <row r="3780" ht="12.75" customHeight="1" x14ac:dyDescent="0.2"/>
    <row r="3781" ht="12.75" customHeight="1" x14ac:dyDescent="0.2"/>
    <row r="3782" ht="12.75" customHeight="1" x14ac:dyDescent="0.2"/>
    <row r="3783" ht="12.75" customHeight="1" x14ac:dyDescent="0.2"/>
    <row r="3784" ht="12.75" customHeight="1" x14ac:dyDescent="0.2"/>
    <row r="3785" ht="12.75" customHeight="1" x14ac:dyDescent="0.2"/>
    <row r="3786" ht="12.75" customHeight="1" x14ac:dyDescent="0.2"/>
    <row r="3787" ht="12.75" customHeight="1" x14ac:dyDescent="0.2"/>
    <row r="3788" ht="12.75" customHeight="1" x14ac:dyDescent="0.2"/>
    <row r="3789" ht="12.75" customHeight="1" x14ac:dyDescent="0.2"/>
    <row r="3790" ht="12.75" customHeight="1" x14ac:dyDescent="0.2"/>
    <row r="3791" ht="12.75" customHeight="1" x14ac:dyDescent="0.2"/>
    <row r="3792" ht="12.75" customHeight="1" x14ac:dyDescent="0.2"/>
    <row r="3793" ht="12.75" customHeight="1" x14ac:dyDescent="0.2"/>
    <row r="3794" ht="12.75" customHeight="1" x14ac:dyDescent="0.2"/>
    <row r="3795" ht="12.75" customHeight="1" x14ac:dyDescent="0.2"/>
    <row r="3796" ht="12.75" customHeight="1" x14ac:dyDescent="0.2"/>
    <row r="3797" ht="12.75" customHeight="1" x14ac:dyDescent="0.2"/>
    <row r="3798" ht="12.75" customHeight="1" x14ac:dyDescent="0.2"/>
    <row r="3799" ht="12.75" customHeight="1" x14ac:dyDescent="0.2"/>
    <row r="3800" ht="12.75" customHeight="1" x14ac:dyDescent="0.2"/>
    <row r="3801" ht="12.75" customHeight="1" x14ac:dyDescent="0.2"/>
    <row r="3802" ht="12.75" customHeight="1" x14ac:dyDescent="0.2"/>
    <row r="3803" ht="12.75" customHeight="1" x14ac:dyDescent="0.2"/>
    <row r="3804" ht="12.75" customHeight="1" x14ac:dyDescent="0.2"/>
    <row r="3805" ht="12.75" customHeight="1" x14ac:dyDescent="0.2"/>
    <row r="3806" ht="12.75" customHeight="1" x14ac:dyDescent="0.2"/>
    <row r="3807" ht="12.75" customHeight="1" x14ac:dyDescent="0.2"/>
    <row r="3808" ht="12.75" customHeight="1" x14ac:dyDescent="0.2"/>
    <row r="3809" ht="12.75" customHeight="1" x14ac:dyDescent="0.2"/>
    <row r="3810" ht="12.75" customHeight="1" x14ac:dyDescent="0.2"/>
    <row r="3811" ht="12.75" customHeight="1" x14ac:dyDescent="0.2"/>
    <row r="3812" ht="12.75" customHeight="1" x14ac:dyDescent="0.2"/>
    <row r="3813" ht="12.75" customHeight="1" x14ac:dyDescent="0.2"/>
    <row r="3814" ht="12.75" customHeight="1" x14ac:dyDescent="0.2"/>
    <row r="3815" ht="12.75" customHeight="1" x14ac:dyDescent="0.2"/>
    <row r="3816" ht="12.75" customHeight="1" x14ac:dyDescent="0.2"/>
    <row r="3817" ht="12.75" customHeight="1" x14ac:dyDescent="0.2"/>
    <row r="3818" ht="12.75" customHeight="1" x14ac:dyDescent="0.2"/>
    <row r="3819" ht="12.75" customHeight="1" x14ac:dyDescent="0.2"/>
    <row r="3820" ht="12.75" customHeight="1" x14ac:dyDescent="0.2"/>
    <row r="3821" ht="12.75" customHeight="1" x14ac:dyDescent="0.2"/>
    <row r="3822" ht="12.75" customHeight="1" x14ac:dyDescent="0.2"/>
    <row r="3823" ht="12.75" customHeight="1" x14ac:dyDescent="0.2"/>
    <row r="3824" ht="12.75" customHeight="1" x14ac:dyDescent="0.2"/>
    <row r="3825" ht="12.75" customHeight="1" x14ac:dyDescent="0.2"/>
    <row r="3826" ht="12.75" customHeight="1" x14ac:dyDescent="0.2"/>
    <row r="3827" ht="12.75" customHeight="1" x14ac:dyDescent="0.2"/>
    <row r="3828" ht="12.75" customHeight="1" x14ac:dyDescent="0.2"/>
    <row r="3829" ht="12.75" customHeight="1" x14ac:dyDescent="0.2"/>
    <row r="3830" ht="12.75" customHeight="1" x14ac:dyDescent="0.2"/>
    <row r="3831" ht="12.75" customHeight="1" x14ac:dyDescent="0.2"/>
    <row r="3832" ht="12.75" customHeight="1" x14ac:dyDescent="0.2"/>
    <row r="3833" ht="12.75" customHeight="1" x14ac:dyDescent="0.2"/>
    <row r="3834" ht="12.75" customHeight="1" x14ac:dyDescent="0.2"/>
    <row r="3835" ht="12.75" customHeight="1" x14ac:dyDescent="0.2"/>
    <row r="3836" ht="12.75" customHeight="1" x14ac:dyDescent="0.2"/>
    <row r="3837" ht="12.75" customHeight="1" x14ac:dyDescent="0.2"/>
    <row r="3838" ht="12.75" customHeight="1" x14ac:dyDescent="0.2"/>
    <row r="3839" ht="12.75" customHeight="1" x14ac:dyDescent="0.2"/>
    <row r="3840" ht="12.75" customHeight="1" x14ac:dyDescent="0.2"/>
    <row r="3841" ht="12.75" customHeight="1" x14ac:dyDescent="0.2"/>
    <row r="3842" ht="12.75" customHeight="1" x14ac:dyDescent="0.2"/>
    <row r="3843" ht="12.75" customHeight="1" x14ac:dyDescent="0.2"/>
    <row r="3844" ht="12.75" customHeight="1" x14ac:dyDescent="0.2"/>
    <row r="3845" ht="12.75" customHeight="1" x14ac:dyDescent="0.2"/>
    <row r="3846" ht="12.75" customHeight="1" x14ac:dyDescent="0.2"/>
    <row r="3847" ht="12.75" customHeight="1" x14ac:dyDescent="0.2"/>
    <row r="3848" ht="12.75" customHeight="1" x14ac:dyDescent="0.2"/>
    <row r="3849" ht="12.75" customHeight="1" x14ac:dyDescent="0.2"/>
    <row r="3850" ht="12.75" customHeight="1" x14ac:dyDescent="0.2"/>
    <row r="3851" ht="12.75" customHeight="1" x14ac:dyDescent="0.2"/>
    <row r="3852" ht="12.75" customHeight="1" x14ac:dyDescent="0.2"/>
    <row r="3853" ht="12.75" customHeight="1" x14ac:dyDescent="0.2"/>
    <row r="3854" ht="12.75" customHeight="1" x14ac:dyDescent="0.2"/>
    <row r="3855" ht="12.75" customHeight="1" x14ac:dyDescent="0.2"/>
    <row r="3856" ht="12.75" customHeight="1" x14ac:dyDescent="0.2"/>
    <row r="3857" ht="12.75" customHeight="1" x14ac:dyDescent="0.2"/>
    <row r="3858" ht="12.75" customHeight="1" x14ac:dyDescent="0.2"/>
    <row r="3859" ht="12.75" customHeight="1" x14ac:dyDescent="0.2"/>
    <row r="3860" ht="12.75" customHeight="1" x14ac:dyDescent="0.2"/>
    <row r="3861" ht="12.75" customHeight="1" x14ac:dyDescent="0.2"/>
    <row r="3862" ht="12.75" customHeight="1" x14ac:dyDescent="0.2"/>
    <row r="3863" ht="12.75" customHeight="1" x14ac:dyDescent="0.2"/>
    <row r="3864" ht="12.75" customHeight="1" x14ac:dyDescent="0.2"/>
    <row r="3865" ht="12.75" customHeight="1" x14ac:dyDescent="0.2"/>
    <row r="3866" ht="12.75" customHeight="1" x14ac:dyDescent="0.2"/>
    <row r="3867" ht="12.75" customHeight="1" x14ac:dyDescent="0.2"/>
    <row r="3868" ht="12.75" customHeight="1" x14ac:dyDescent="0.2"/>
    <row r="3869" ht="12.75" customHeight="1" x14ac:dyDescent="0.2"/>
    <row r="3870" ht="12.75" customHeight="1" x14ac:dyDescent="0.2"/>
    <row r="3871" ht="12.75" customHeight="1" x14ac:dyDescent="0.2"/>
    <row r="3872" ht="12.75" customHeight="1" x14ac:dyDescent="0.2"/>
    <row r="3873" ht="12.75" customHeight="1" x14ac:dyDescent="0.2"/>
    <row r="3874" ht="12.75" customHeight="1" x14ac:dyDescent="0.2"/>
    <row r="3875" ht="12.75" customHeight="1" x14ac:dyDescent="0.2"/>
    <row r="3876" ht="12.75" customHeight="1" x14ac:dyDescent="0.2"/>
    <row r="3877" ht="12.75" customHeight="1" x14ac:dyDescent="0.2"/>
    <row r="3878" ht="12.75" customHeight="1" x14ac:dyDescent="0.2"/>
    <row r="3879" ht="12.75" customHeight="1" x14ac:dyDescent="0.2"/>
    <row r="3880" ht="12.75" customHeight="1" x14ac:dyDescent="0.2"/>
    <row r="3881" ht="12.75" customHeight="1" x14ac:dyDescent="0.2"/>
    <row r="3882" ht="12.75" customHeight="1" x14ac:dyDescent="0.2"/>
    <row r="3883" ht="12.75" customHeight="1" x14ac:dyDescent="0.2"/>
    <row r="3884" ht="12.75" customHeight="1" x14ac:dyDescent="0.2"/>
    <row r="3885" ht="12.75" customHeight="1" x14ac:dyDescent="0.2"/>
    <row r="3886" ht="12.75" customHeight="1" x14ac:dyDescent="0.2"/>
    <row r="3887" ht="12.75" customHeight="1" x14ac:dyDescent="0.2"/>
    <row r="3888" ht="12.75" customHeight="1" x14ac:dyDescent="0.2"/>
    <row r="3889" ht="12.75" customHeight="1" x14ac:dyDescent="0.2"/>
    <row r="3890" ht="12.75" customHeight="1" x14ac:dyDescent="0.2"/>
    <row r="3891" ht="12.75" customHeight="1" x14ac:dyDescent="0.2"/>
    <row r="3892" ht="12.75" customHeight="1" x14ac:dyDescent="0.2"/>
    <row r="3893" ht="12.75" customHeight="1" x14ac:dyDescent="0.2"/>
    <row r="3894" ht="12.75" customHeight="1" x14ac:dyDescent="0.2"/>
    <row r="3895" ht="12.75" customHeight="1" x14ac:dyDescent="0.2"/>
    <row r="3896" ht="12.75" customHeight="1" x14ac:dyDescent="0.2"/>
    <row r="3897" ht="12.75" customHeight="1" x14ac:dyDescent="0.2"/>
    <row r="3898" ht="12.75" customHeight="1" x14ac:dyDescent="0.2"/>
    <row r="3899" ht="12.75" customHeight="1" x14ac:dyDescent="0.2"/>
    <row r="3900" ht="12.75" customHeight="1" x14ac:dyDescent="0.2"/>
    <row r="3901" ht="12.75" customHeight="1" x14ac:dyDescent="0.2"/>
    <row r="3902" ht="12.75" customHeight="1" x14ac:dyDescent="0.2"/>
    <row r="3903" ht="12.75" customHeight="1" x14ac:dyDescent="0.2"/>
    <row r="3904" ht="12.75" customHeight="1" x14ac:dyDescent="0.2"/>
    <row r="3905" ht="12.75" customHeight="1" x14ac:dyDescent="0.2"/>
    <row r="3906" ht="12.75" customHeight="1" x14ac:dyDescent="0.2"/>
    <row r="3907" ht="12.75" customHeight="1" x14ac:dyDescent="0.2"/>
    <row r="3908" ht="12.75" customHeight="1" x14ac:dyDescent="0.2"/>
    <row r="3909" ht="12.75" customHeight="1" x14ac:dyDescent="0.2"/>
    <row r="3910" ht="12.75" customHeight="1" x14ac:dyDescent="0.2"/>
    <row r="3911" ht="12.75" customHeight="1" x14ac:dyDescent="0.2"/>
    <row r="3912" ht="12.75" customHeight="1" x14ac:dyDescent="0.2"/>
    <row r="3913" ht="12.75" customHeight="1" x14ac:dyDescent="0.2"/>
    <row r="3914" ht="12.75" customHeight="1" x14ac:dyDescent="0.2"/>
    <row r="3915" ht="12.75" customHeight="1" x14ac:dyDescent="0.2"/>
    <row r="3916" ht="12.75" customHeight="1" x14ac:dyDescent="0.2"/>
    <row r="3917" ht="12.75" customHeight="1" x14ac:dyDescent="0.2"/>
    <row r="3918" ht="12.75" customHeight="1" x14ac:dyDescent="0.2"/>
    <row r="3919" ht="12.75" customHeight="1" x14ac:dyDescent="0.2"/>
    <row r="3920" ht="12.75" customHeight="1" x14ac:dyDescent="0.2"/>
    <row r="3921" ht="12.75" customHeight="1" x14ac:dyDescent="0.2"/>
    <row r="3922" ht="12.75" customHeight="1" x14ac:dyDescent="0.2"/>
    <row r="3923" ht="12.75" customHeight="1" x14ac:dyDescent="0.2"/>
    <row r="3924" ht="12.75" customHeight="1" x14ac:dyDescent="0.2"/>
    <row r="3925" ht="12.75" customHeight="1" x14ac:dyDescent="0.2"/>
    <row r="3926" ht="12.75" customHeight="1" x14ac:dyDescent="0.2"/>
    <row r="3927" ht="12.75" customHeight="1" x14ac:dyDescent="0.2"/>
    <row r="3928" ht="12.75" customHeight="1" x14ac:dyDescent="0.2"/>
    <row r="3929" ht="12.75" customHeight="1" x14ac:dyDescent="0.2"/>
    <row r="3930" ht="12.75" customHeight="1" x14ac:dyDescent="0.2"/>
    <row r="3931" ht="12.75" customHeight="1" x14ac:dyDescent="0.2"/>
    <row r="3932" ht="12.75" customHeight="1" x14ac:dyDescent="0.2"/>
    <row r="3933" ht="12.75" customHeight="1" x14ac:dyDescent="0.2"/>
    <row r="3934" ht="12.75" customHeight="1" x14ac:dyDescent="0.2"/>
    <row r="3935" ht="12.75" customHeight="1" x14ac:dyDescent="0.2"/>
    <row r="3936" ht="12.75" customHeight="1" x14ac:dyDescent="0.2"/>
    <row r="3937" ht="12.75" customHeight="1" x14ac:dyDescent="0.2"/>
    <row r="3938" ht="12.75" customHeight="1" x14ac:dyDescent="0.2"/>
    <row r="3939" ht="12.75" customHeight="1" x14ac:dyDescent="0.2"/>
    <row r="3940" ht="12.75" customHeight="1" x14ac:dyDescent="0.2"/>
    <row r="3941" ht="12.75" customHeight="1" x14ac:dyDescent="0.2"/>
    <row r="3942" ht="12.75" customHeight="1" x14ac:dyDescent="0.2"/>
    <row r="3943" ht="12.75" customHeight="1" x14ac:dyDescent="0.2"/>
    <row r="3944" ht="12.75" customHeight="1" x14ac:dyDescent="0.2"/>
    <row r="3945" ht="12.75" customHeight="1" x14ac:dyDescent="0.2"/>
    <row r="3946" ht="12.75" customHeight="1" x14ac:dyDescent="0.2"/>
    <row r="3947" ht="12.75" customHeight="1" x14ac:dyDescent="0.2"/>
    <row r="3948" ht="12.75" customHeight="1" x14ac:dyDescent="0.2"/>
    <row r="3949" ht="12.75" customHeight="1" x14ac:dyDescent="0.2"/>
    <row r="3950" ht="12.75" customHeight="1" x14ac:dyDescent="0.2"/>
    <row r="3951" ht="12.75" customHeight="1" x14ac:dyDescent="0.2"/>
    <row r="3952" ht="12.75" customHeight="1" x14ac:dyDescent="0.2"/>
    <row r="3953" ht="12.75" customHeight="1" x14ac:dyDescent="0.2"/>
    <row r="3954" ht="12.75" customHeight="1" x14ac:dyDescent="0.2"/>
    <row r="3955" ht="12.75" customHeight="1" x14ac:dyDescent="0.2"/>
    <row r="3956" ht="12.75" customHeight="1" x14ac:dyDescent="0.2"/>
    <row r="3957" ht="12.75" customHeight="1" x14ac:dyDescent="0.2"/>
    <row r="3958" ht="12.75" customHeight="1" x14ac:dyDescent="0.2"/>
    <row r="3959" ht="12.75" customHeight="1" x14ac:dyDescent="0.2"/>
    <row r="3960" ht="12.75" customHeight="1" x14ac:dyDescent="0.2"/>
    <row r="3961" ht="12.75" customHeight="1" x14ac:dyDescent="0.2"/>
    <row r="3962" ht="12.75" customHeight="1" x14ac:dyDescent="0.2"/>
    <row r="3963" ht="12.75" customHeight="1" x14ac:dyDescent="0.2"/>
    <row r="3964" ht="12.75" customHeight="1" x14ac:dyDescent="0.2"/>
    <row r="3965" ht="12.75" customHeight="1" x14ac:dyDescent="0.2"/>
    <row r="3966" ht="12.75" customHeight="1" x14ac:dyDescent="0.2"/>
    <row r="3967" ht="12.75" customHeight="1" x14ac:dyDescent="0.2"/>
    <row r="3968" ht="12.75" customHeight="1" x14ac:dyDescent="0.2"/>
    <row r="3969" ht="12.75" customHeight="1" x14ac:dyDescent="0.2"/>
    <row r="3970" ht="12.75" customHeight="1" x14ac:dyDescent="0.2"/>
    <row r="3971" ht="12.75" customHeight="1" x14ac:dyDescent="0.2"/>
    <row r="3972" ht="12.75" customHeight="1" x14ac:dyDescent="0.2"/>
    <row r="3973" ht="12.75" customHeight="1" x14ac:dyDescent="0.2"/>
    <row r="3974" ht="12.75" customHeight="1" x14ac:dyDescent="0.2"/>
    <row r="3975" ht="12.75" customHeight="1" x14ac:dyDescent="0.2"/>
    <row r="3976" ht="12.75" customHeight="1" x14ac:dyDescent="0.2"/>
    <row r="3977" ht="12.75" customHeight="1" x14ac:dyDescent="0.2"/>
    <row r="3978" ht="12.75" customHeight="1" x14ac:dyDescent="0.2"/>
    <row r="3979" ht="12.75" customHeight="1" x14ac:dyDescent="0.2"/>
    <row r="3980" ht="12.75" customHeight="1" x14ac:dyDescent="0.2"/>
    <row r="3981" ht="12.75" customHeight="1" x14ac:dyDescent="0.2"/>
    <row r="3982" ht="12.75" customHeight="1" x14ac:dyDescent="0.2"/>
    <row r="3983" ht="12.75" customHeight="1" x14ac:dyDescent="0.2"/>
    <row r="3984" ht="12.75" customHeight="1" x14ac:dyDescent="0.2"/>
    <row r="3985" ht="12.75" customHeight="1" x14ac:dyDescent="0.2"/>
    <row r="3986" ht="12.75" customHeight="1" x14ac:dyDescent="0.2"/>
    <row r="3987" ht="12.75" customHeight="1" x14ac:dyDescent="0.2"/>
    <row r="3988" ht="12.75" customHeight="1" x14ac:dyDescent="0.2"/>
    <row r="3989" ht="12.75" customHeight="1" x14ac:dyDescent="0.2"/>
    <row r="3990" ht="12.75" customHeight="1" x14ac:dyDescent="0.2"/>
    <row r="3991" ht="12.75" customHeight="1" x14ac:dyDescent="0.2"/>
    <row r="3992" ht="12.75" customHeight="1" x14ac:dyDescent="0.2"/>
    <row r="3993" ht="12.75" customHeight="1" x14ac:dyDescent="0.2"/>
    <row r="3994" ht="12.75" customHeight="1" x14ac:dyDescent="0.2"/>
    <row r="3995" ht="12.75" customHeight="1" x14ac:dyDescent="0.2"/>
    <row r="3996" ht="12.75" customHeight="1" x14ac:dyDescent="0.2"/>
    <row r="3997" ht="12.75" customHeight="1" x14ac:dyDescent="0.2"/>
    <row r="3998" ht="12.75" customHeight="1" x14ac:dyDescent="0.2"/>
    <row r="3999" ht="12.75" customHeight="1" x14ac:dyDescent="0.2"/>
    <row r="4000" ht="12.75" customHeight="1" x14ac:dyDescent="0.2"/>
    <row r="4001" ht="12.75" customHeight="1" x14ac:dyDescent="0.2"/>
    <row r="4002" ht="12.75" customHeight="1" x14ac:dyDescent="0.2"/>
    <row r="4003" ht="12.75" customHeight="1" x14ac:dyDescent="0.2"/>
    <row r="4004" ht="12.75" customHeight="1" x14ac:dyDescent="0.2"/>
    <row r="4005" ht="12.75" customHeight="1" x14ac:dyDescent="0.2"/>
    <row r="4006" ht="12.75" customHeight="1" x14ac:dyDescent="0.2"/>
    <row r="4007" ht="12.75" customHeight="1" x14ac:dyDescent="0.2"/>
    <row r="4008" ht="12.75" customHeight="1" x14ac:dyDescent="0.2"/>
    <row r="4009" ht="12.75" customHeight="1" x14ac:dyDescent="0.2"/>
    <row r="4010" ht="12.75" customHeight="1" x14ac:dyDescent="0.2"/>
    <row r="4011" ht="12.75" customHeight="1" x14ac:dyDescent="0.2"/>
    <row r="4012" ht="12.75" customHeight="1" x14ac:dyDescent="0.2"/>
    <row r="4013" ht="12.75" customHeight="1" x14ac:dyDescent="0.2"/>
    <row r="4014" ht="12.75" customHeight="1" x14ac:dyDescent="0.2"/>
    <row r="4015" ht="12.75" customHeight="1" x14ac:dyDescent="0.2"/>
    <row r="4016" ht="12.75" customHeight="1" x14ac:dyDescent="0.2"/>
    <row r="4017" ht="12.75" customHeight="1" x14ac:dyDescent="0.2"/>
    <row r="4018" ht="12.75" customHeight="1" x14ac:dyDescent="0.2"/>
    <row r="4019" ht="12.75" customHeight="1" x14ac:dyDescent="0.2"/>
    <row r="4020" ht="12.75" customHeight="1" x14ac:dyDescent="0.2"/>
    <row r="4021" ht="12.75" customHeight="1" x14ac:dyDescent="0.2"/>
    <row r="4022" ht="12.75" customHeight="1" x14ac:dyDescent="0.2"/>
    <row r="4023" ht="12.75" customHeight="1" x14ac:dyDescent="0.2"/>
    <row r="4024" ht="12.75" customHeight="1" x14ac:dyDescent="0.2"/>
    <row r="4025" ht="12.75" customHeight="1" x14ac:dyDescent="0.2"/>
    <row r="4026" ht="12.75" customHeight="1" x14ac:dyDescent="0.2"/>
    <row r="4027" ht="12.75" customHeight="1" x14ac:dyDescent="0.2"/>
    <row r="4028" ht="12.75" customHeight="1" x14ac:dyDescent="0.2"/>
    <row r="4029" ht="12.75" customHeight="1" x14ac:dyDescent="0.2"/>
    <row r="4030" ht="12.75" customHeight="1" x14ac:dyDescent="0.2"/>
    <row r="4031" ht="12.75" customHeight="1" x14ac:dyDescent="0.2"/>
    <row r="4032" ht="12.75" customHeight="1" x14ac:dyDescent="0.2"/>
    <row r="4033" ht="12.75" customHeight="1" x14ac:dyDescent="0.2"/>
    <row r="4034" ht="12.75" customHeight="1" x14ac:dyDescent="0.2"/>
    <row r="4035" ht="12.75" customHeight="1" x14ac:dyDescent="0.2"/>
    <row r="4036" ht="12.75" customHeight="1" x14ac:dyDescent="0.2"/>
    <row r="4037" ht="12.75" customHeight="1" x14ac:dyDescent="0.2"/>
    <row r="4038" ht="12.75" customHeight="1" x14ac:dyDescent="0.2"/>
    <row r="4039" ht="12.75" customHeight="1" x14ac:dyDescent="0.2"/>
    <row r="4040" ht="12.75" customHeight="1" x14ac:dyDescent="0.2"/>
    <row r="4041" ht="12.75" customHeight="1" x14ac:dyDescent="0.2"/>
    <row r="4042" ht="12.75" customHeight="1" x14ac:dyDescent="0.2"/>
    <row r="4043" ht="12.75" customHeight="1" x14ac:dyDescent="0.2"/>
    <row r="4044" ht="12.75" customHeight="1" x14ac:dyDescent="0.2"/>
    <row r="4045" ht="12.75" customHeight="1" x14ac:dyDescent="0.2"/>
    <row r="4046" ht="12.75" customHeight="1" x14ac:dyDescent="0.2"/>
    <row r="4047" ht="12.75" customHeight="1" x14ac:dyDescent="0.2"/>
    <row r="4048" ht="12.75" customHeight="1" x14ac:dyDescent="0.2"/>
    <row r="4049" ht="12.75" customHeight="1" x14ac:dyDescent="0.2"/>
    <row r="4050" ht="12.75" customHeight="1" x14ac:dyDescent="0.2"/>
    <row r="4051" ht="12.75" customHeight="1" x14ac:dyDescent="0.2"/>
    <row r="4052" ht="12.75" customHeight="1" x14ac:dyDescent="0.2"/>
    <row r="4053" ht="12.75" customHeight="1" x14ac:dyDescent="0.2"/>
    <row r="4054" ht="12.75" customHeight="1" x14ac:dyDescent="0.2"/>
    <row r="4055" ht="12.75" customHeight="1" x14ac:dyDescent="0.2"/>
    <row r="4056" ht="12.75" customHeight="1" x14ac:dyDescent="0.2"/>
    <row r="4057" ht="12.75" customHeight="1" x14ac:dyDescent="0.2"/>
    <row r="4058" ht="12.75" customHeight="1" x14ac:dyDescent="0.2"/>
    <row r="4059" ht="12.75" customHeight="1" x14ac:dyDescent="0.2"/>
    <row r="4060" ht="12.75" customHeight="1" x14ac:dyDescent="0.2"/>
    <row r="4061" ht="12.75" customHeight="1" x14ac:dyDescent="0.2"/>
    <row r="4062" ht="12.75" customHeight="1" x14ac:dyDescent="0.2"/>
    <row r="4063" ht="12.75" customHeight="1" x14ac:dyDescent="0.2"/>
    <row r="4064" ht="12.75" customHeight="1" x14ac:dyDescent="0.2"/>
    <row r="4065" ht="12.75" customHeight="1" x14ac:dyDescent="0.2"/>
    <row r="4066" ht="12.75" customHeight="1" x14ac:dyDescent="0.2"/>
    <row r="4067" ht="12.75" customHeight="1" x14ac:dyDescent="0.2"/>
    <row r="4068" ht="12.75" customHeight="1" x14ac:dyDescent="0.2"/>
    <row r="4069" ht="12.75" customHeight="1" x14ac:dyDescent="0.2"/>
    <row r="4070" ht="12.75" customHeight="1" x14ac:dyDescent="0.2"/>
    <row r="4071" ht="12.75" customHeight="1" x14ac:dyDescent="0.2"/>
    <row r="4072" ht="12.75" customHeight="1" x14ac:dyDescent="0.2"/>
    <row r="4073" ht="12.75" customHeight="1" x14ac:dyDescent="0.2"/>
    <row r="4074" ht="12.75" customHeight="1" x14ac:dyDescent="0.2"/>
    <row r="4075" ht="12.75" customHeight="1" x14ac:dyDescent="0.2"/>
    <row r="4076" ht="12.75" customHeight="1" x14ac:dyDescent="0.2"/>
    <row r="4077" ht="12.75" customHeight="1" x14ac:dyDescent="0.2"/>
    <row r="4078" ht="12.75" customHeight="1" x14ac:dyDescent="0.2"/>
    <row r="4079" ht="12.75" customHeight="1" x14ac:dyDescent="0.2"/>
    <row r="4080" ht="12.75" customHeight="1" x14ac:dyDescent="0.2"/>
    <row r="4081" ht="12.75" customHeight="1" x14ac:dyDescent="0.2"/>
    <row r="4082" ht="12.75" customHeight="1" x14ac:dyDescent="0.2"/>
    <row r="4083" ht="12.75" customHeight="1" x14ac:dyDescent="0.2"/>
    <row r="4084" ht="12.75" customHeight="1" x14ac:dyDescent="0.2"/>
    <row r="4085" ht="12.75" customHeight="1" x14ac:dyDescent="0.2"/>
    <row r="4086" ht="12.75" customHeight="1" x14ac:dyDescent="0.2"/>
    <row r="4087" ht="12.75" customHeight="1" x14ac:dyDescent="0.2"/>
    <row r="4088" ht="12.75" customHeight="1" x14ac:dyDescent="0.2"/>
    <row r="4089" ht="12.75" customHeight="1" x14ac:dyDescent="0.2"/>
    <row r="4090" ht="12.75" customHeight="1" x14ac:dyDescent="0.2"/>
    <row r="4091" ht="12.75" customHeight="1" x14ac:dyDescent="0.2"/>
    <row r="4092" ht="12.75" customHeight="1" x14ac:dyDescent="0.2"/>
    <row r="4093" ht="12.75" customHeight="1" x14ac:dyDescent="0.2"/>
    <row r="4094" ht="12.75" customHeight="1" x14ac:dyDescent="0.2"/>
    <row r="4095" ht="12.75" customHeight="1" x14ac:dyDescent="0.2"/>
    <row r="4096" ht="12.75" customHeight="1" x14ac:dyDescent="0.2"/>
    <row r="4097" ht="12.75" customHeight="1" x14ac:dyDescent="0.2"/>
    <row r="4098" ht="12.75" customHeight="1" x14ac:dyDescent="0.2"/>
    <row r="4099" ht="12.75" customHeight="1" x14ac:dyDescent="0.2"/>
    <row r="4100" ht="12.75" customHeight="1" x14ac:dyDescent="0.2"/>
    <row r="4101" ht="12.75" customHeight="1" x14ac:dyDescent="0.2"/>
    <row r="4102" ht="12.75" customHeight="1" x14ac:dyDescent="0.2"/>
    <row r="4103" ht="12.75" customHeight="1" x14ac:dyDescent="0.2"/>
    <row r="4104" ht="12.75" customHeight="1" x14ac:dyDescent="0.2"/>
    <row r="4105" ht="12.75" customHeight="1" x14ac:dyDescent="0.2"/>
    <row r="4106" ht="12.75" customHeight="1" x14ac:dyDescent="0.2"/>
    <row r="4107" ht="12.75" customHeight="1" x14ac:dyDescent="0.2"/>
    <row r="4108" ht="12.75" customHeight="1" x14ac:dyDescent="0.2"/>
    <row r="4109" ht="12.75" customHeight="1" x14ac:dyDescent="0.2"/>
    <row r="4110" ht="12.75" customHeight="1" x14ac:dyDescent="0.2"/>
    <row r="4111" ht="12.75" customHeight="1" x14ac:dyDescent="0.2"/>
    <row r="4112" ht="12.75" customHeight="1" x14ac:dyDescent="0.2"/>
    <row r="4113" ht="12.75" customHeight="1" x14ac:dyDescent="0.2"/>
    <row r="4114" ht="12.75" customHeight="1" x14ac:dyDescent="0.2"/>
    <row r="4115" ht="12.75" customHeight="1" x14ac:dyDescent="0.2"/>
    <row r="4116" ht="12.75" customHeight="1" x14ac:dyDescent="0.2"/>
    <row r="4117" ht="12.75" customHeight="1" x14ac:dyDescent="0.2"/>
    <row r="4118" ht="12.75" customHeight="1" x14ac:dyDescent="0.2"/>
    <row r="4119" ht="12.75" customHeight="1" x14ac:dyDescent="0.2"/>
    <row r="4120" ht="12.75" customHeight="1" x14ac:dyDescent="0.2"/>
    <row r="4121" ht="12.75" customHeight="1" x14ac:dyDescent="0.2"/>
    <row r="4122" ht="12.75" customHeight="1" x14ac:dyDescent="0.2"/>
    <row r="4123" ht="12.75" customHeight="1" x14ac:dyDescent="0.2"/>
    <row r="4124" ht="12.75" customHeight="1" x14ac:dyDescent="0.2"/>
    <row r="4125" ht="12.75" customHeight="1" x14ac:dyDescent="0.2"/>
    <row r="4126" ht="12.75" customHeight="1" x14ac:dyDescent="0.2"/>
    <row r="4127" ht="12.75" customHeight="1" x14ac:dyDescent="0.2"/>
    <row r="4128" ht="12.75" customHeight="1" x14ac:dyDescent="0.2"/>
    <row r="4129" ht="12.75" customHeight="1" x14ac:dyDescent="0.2"/>
    <row r="4130" ht="12.75" customHeight="1" x14ac:dyDescent="0.2"/>
    <row r="4131" ht="12.75" customHeight="1" x14ac:dyDescent="0.2"/>
    <row r="4132" ht="12.75" customHeight="1" x14ac:dyDescent="0.2"/>
    <row r="4133" ht="12.75" customHeight="1" x14ac:dyDescent="0.2"/>
    <row r="4134" ht="12.75" customHeight="1" x14ac:dyDescent="0.2"/>
    <row r="4135" ht="12.75" customHeight="1" x14ac:dyDescent="0.2"/>
    <row r="4136" ht="12.75" customHeight="1" x14ac:dyDescent="0.2"/>
    <row r="4137" ht="12.75" customHeight="1" x14ac:dyDescent="0.2"/>
    <row r="4138" ht="12.75" customHeight="1" x14ac:dyDescent="0.2"/>
    <row r="4139" ht="12.75" customHeight="1" x14ac:dyDescent="0.2"/>
    <row r="4140" ht="12.75" customHeight="1" x14ac:dyDescent="0.2"/>
    <row r="4141" ht="12.75" customHeight="1" x14ac:dyDescent="0.2"/>
    <row r="4142" ht="12.75" customHeight="1" x14ac:dyDescent="0.2"/>
    <row r="4143" ht="12.75" customHeight="1" x14ac:dyDescent="0.2"/>
    <row r="4144" ht="12.75" customHeight="1" x14ac:dyDescent="0.2"/>
    <row r="4145" ht="12.75" customHeight="1" x14ac:dyDescent="0.2"/>
    <row r="4146" ht="12.75" customHeight="1" x14ac:dyDescent="0.2"/>
    <row r="4147" ht="12.75" customHeight="1" x14ac:dyDescent="0.2"/>
    <row r="4148" ht="12.75" customHeight="1" x14ac:dyDescent="0.2"/>
    <row r="4149" ht="12.75" customHeight="1" x14ac:dyDescent="0.2"/>
    <row r="4150" ht="12.75" customHeight="1" x14ac:dyDescent="0.2"/>
    <row r="4151" ht="12.75" customHeight="1" x14ac:dyDescent="0.2"/>
    <row r="4152" ht="12.75" customHeight="1" x14ac:dyDescent="0.2"/>
    <row r="4153" ht="12.75" customHeight="1" x14ac:dyDescent="0.2"/>
    <row r="4154" ht="12.75" customHeight="1" x14ac:dyDescent="0.2"/>
    <row r="4155" ht="12.75" customHeight="1" x14ac:dyDescent="0.2"/>
    <row r="4156" ht="12.75" customHeight="1" x14ac:dyDescent="0.2"/>
    <row r="4157" ht="12.75" customHeight="1" x14ac:dyDescent="0.2"/>
    <row r="4158" ht="12.75" customHeight="1" x14ac:dyDescent="0.2"/>
    <row r="4159" ht="12.75" customHeight="1" x14ac:dyDescent="0.2"/>
    <row r="4160" ht="12.75" customHeight="1" x14ac:dyDescent="0.2"/>
    <row r="4161" ht="12.75" customHeight="1" x14ac:dyDescent="0.2"/>
    <row r="4162" ht="12.75" customHeight="1" x14ac:dyDescent="0.2"/>
    <row r="4163" ht="12.75" customHeight="1" x14ac:dyDescent="0.2"/>
    <row r="4164" ht="12.75" customHeight="1" x14ac:dyDescent="0.2"/>
    <row r="4165" ht="12.75" customHeight="1" x14ac:dyDescent="0.2"/>
    <row r="4166" ht="12.75" customHeight="1" x14ac:dyDescent="0.2"/>
    <row r="4167" ht="12.75" customHeight="1" x14ac:dyDescent="0.2"/>
    <row r="4168" ht="12.75" customHeight="1" x14ac:dyDescent="0.2"/>
    <row r="4169" ht="12.75" customHeight="1" x14ac:dyDescent="0.2"/>
    <row r="4170" ht="12.75" customHeight="1" x14ac:dyDescent="0.2"/>
    <row r="4171" ht="12.75" customHeight="1" x14ac:dyDescent="0.2"/>
    <row r="4172" ht="12.75" customHeight="1" x14ac:dyDescent="0.2"/>
    <row r="4173" ht="12.75" customHeight="1" x14ac:dyDescent="0.2"/>
    <row r="4174" ht="12.75" customHeight="1" x14ac:dyDescent="0.2"/>
    <row r="4175" ht="12.75" customHeight="1" x14ac:dyDescent="0.2"/>
    <row r="4176" ht="12.75" customHeight="1" x14ac:dyDescent="0.2"/>
    <row r="4177" ht="12.75" customHeight="1" x14ac:dyDescent="0.2"/>
    <row r="4178" ht="12.75" customHeight="1" x14ac:dyDescent="0.2"/>
    <row r="4179" ht="12.75" customHeight="1" x14ac:dyDescent="0.2"/>
    <row r="4180" ht="12.75" customHeight="1" x14ac:dyDescent="0.2"/>
    <row r="4181" ht="12.75" customHeight="1" x14ac:dyDescent="0.2"/>
    <row r="4182" ht="12.75" customHeight="1" x14ac:dyDescent="0.2"/>
    <row r="4183" ht="12.75" customHeight="1" x14ac:dyDescent="0.2"/>
    <row r="4184" ht="12.75" customHeight="1" x14ac:dyDescent="0.2"/>
    <row r="4185" ht="12.75" customHeight="1" x14ac:dyDescent="0.2"/>
    <row r="4186" ht="12.75" customHeight="1" x14ac:dyDescent="0.2"/>
    <row r="4187" ht="12.75" customHeight="1" x14ac:dyDescent="0.2"/>
    <row r="4188" ht="12.75" customHeight="1" x14ac:dyDescent="0.2"/>
    <row r="4189" ht="12.75" customHeight="1" x14ac:dyDescent="0.2"/>
    <row r="4190" ht="12.75" customHeight="1" x14ac:dyDescent="0.2"/>
    <row r="4191" ht="12.75" customHeight="1" x14ac:dyDescent="0.2"/>
    <row r="4192" ht="12.75" customHeight="1" x14ac:dyDescent="0.2"/>
    <row r="4193" ht="12.75" customHeight="1" x14ac:dyDescent="0.2"/>
    <row r="4194" ht="12.75" customHeight="1" x14ac:dyDescent="0.2"/>
    <row r="4195" ht="12.75" customHeight="1" x14ac:dyDescent="0.2"/>
    <row r="4196" ht="12.75" customHeight="1" x14ac:dyDescent="0.2"/>
    <row r="4197" ht="12.75" customHeight="1" x14ac:dyDescent="0.2"/>
    <row r="4198" ht="12.75" customHeight="1" x14ac:dyDescent="0.2"/>
    <row r="4199" ht="12.75" customHeight="1" x14ac:dyDescent="0.2"/>
    <row r="4200" ht="12.75" customHeight="1" x14ac:dyDescent="0.2"/>
    <row r="4201" ht="12.75" customHeight="1" x14ac:dyDescent="0.2"/>
    <row r="4202" ht="12.75" customHeight="1" x14ac:dyDescent="0.2"/>
    <row r="4203" ht="12.75" customHeight="1" x14ac:dyDescent="0.2"/>
    <row r="4204" ht="12.75" customHeight="1" x14ac:dyDescent="0.2"/>
    <row r="4205" ht="12.75" customHeight="1" x14ac:dyDescent="0.2"/>
    <row r="4206" ht="12.75" customHeight="1" x14ac:dyDescent="0.2"/>
    <row r="4207" ht="12.75" customHeight="1" x14ac:dyDescent="0.2"/>
    <row r="4208" ht="12.75" customHeight="1" x14ac:dyDescent="0.2"/>
    <row r="4209" ht="12.75" customHeight="1" x14ac:dyDescent="0.2"/>
    <row r="4210" ht="12.75" customHeight="1" x14ac:dyDescent="0.2"/>
    <row r="4211" ht="12.75" customHeight="1" x14ac:dyDescent="0.2"/>
    <row r="4212" ht="12.75" customHeight="1" x14ac:dyDescent="0.2"/>
    <row r="4213" ht="12.75" customHeight="1" x14ac:dyDescent="0.2"/>
    <row r="4214" ht="12.75" customHeight="1" x14ac:dyDescent="0.2"/>
    <row r="4215" ht="12.75" customHeight="1" x14ac:dyDescent="0.2"/>
    <row r="4216" ht="12.75" customHeight="1" x14ac:dyDescent="0.2"/>
    <row r="4217" ht="12.75" customHeight="1" x14ac:dyDescent="0.2"/>
    <row r="4218" ht="12.75" customHeight="1" x14ac:dyDescent="0.2"/>
    <row r="4219" ht="12.75" customHeight="1" x14ac:dyDescent="0.2"/>
    <row r="4220" ht="12.75" customHeight="1" x14ac:dyDescent="0.2"/>
    <row r="4221" ht="12.75" customHeight="1" x14ac:dyDescent="0.2"/>
    <row r="4222" ht="12.75" customHeight="1" x14ac:dyDescent="0.2"/>
    <row r="4223" ht="12.75" customHeight="1" x14ac:dyDescent="0.2"/>
    <row r="4224" ht="12.75" customHeight="1" x14ac:dyDescent="0.2"/>
    <row r="4225" ht="12.75" customHeight="1" x14ac:dyDescent="0.2"/>
    <row r="4226" ht="12.75" customHeight="1" x14ac:dyDescent="0.2"/>
    <row r="4227" ht="12.75" customHeight="1" x14ac:dyDescent="0.2"/>
    <row r="4228" ht="12.75" customHeight="1" x14ac:dyDescent="0.2"/>
    <row r="4229" ht="12.75" customHeight="1" x14ac:dyDescent="0.2"/>
    <row r="4230" ht="12.75" customHeight="1" x14ac:dyDescent="0.2"/>
    <row r="4231" ht="12.75" customHeight="1" x14ac:dyDescent="0.2"/>
    <row r="4232" ht="12.75" customHeight="1" x14ac:dyDescent="0.2"/>
    <row r="4233" ht="12.75" customHeight="1" x14ac:dyDescent="0.2"/>
    <row r="4234" ht="12.75" customHeight="1" x14ac:dyDescent="0.2"/>
    <row r="4235" ht="12.75" customHeight="1" x14ac:dyDescent="0.2"/>
    <row r="4236" ht="12.75" customHeight="1" x14ac:dyDescent="0.2"/>
    <row r="4237" ht="12.75" customHeight="1" x14ac:dyDescent="0.2"/>
    <row r="4238" ht="12.75" customHeight="1" x14ac:dyDescent="0.2"/>
    <row r="4239" ht="12.75" customHeight="1" x14ac:dyDescent="0.2"/>
    <row r="4240" ht="12.75" customHeight="1" x14ac:dyDescent="0.2"/>
    <row r="4241" ht="12.75" customHeight="1" x14ac:dyDescent="0.2"/>
    <row r="4242" ht="12.75" customHeight="1" x14ac:dyDescent="0.2"/>
    <row r="4243" ht="12.75" customHeight="1" x14ac:dyDescent="0.2"/>
    <row r="4244" ht="12.75" customHeight="1" x14ac:dyDescent="0.2"/>
    <row r="4245" ht="12.75" customHeight="1" x14ac:dyDescent="0.2"/>
    <row r="4246" ht="12.75" customHeight="1" x14ac:dyDescent="0.2"/>
    <row r="4247" ht="12.75" customHeight="1" x14ac:dyDescent="0.2"/>
    <row r="4248" ht="12.75" customHeight="1" x14ac:dyDescent="0.2"/>
    <row r="4249" ht="12.75" customHeight="1" x14ac:dyDescent="0.2"/>
    <row r="4250" ht="12.75" customHeight="1" x14ac:dyDescent="0.2"/>
    <row r="4251" ht="12.75" customHeight="1" x14ac:dyDescent="0.2"/>
    <row r="4252" ht="12.75" customHeight="1" x14ac:dyDescent="0.2"/>
    <row r="4253" ht="12.75" customHeight="1" x14ac:dyDescent="0.2"/>
    <row r="4254" ht="12.75" customHeight="1" x14ac:dyDescent="0.2"/>
    <row r="4255" ht="12.75" customHeight="1" x14ac:dyDescent="0.2"/>
    <row r="4256" ht="12.75" customHeight="1" x14ac:dyDescent="0.2"/>
    <row r="4257" ht="12.75" customHeight="1" x14ac:dyDescent="0.2"/>
    <row r="4258" ht="12.75" customHeight="1" x14ac:dyDescent="0.2"/>
    <row r="4259" ht="12.75" customHeight="1" x14ac:dyDescent="0.2"/>
    <row r="4260" ht="12.75" customHeight="1" x14ac:dyDescent="0.2"/>
    <row r="4261" ht="12.75" customHeight="1" x14ac:dyDescent="0.2"/>
    <row r="4262" ht="12.75" customHeight="1" x14ac:dyDescent="0.2"/>
    <row r="4263" ht="12.75" customHeight="1" x14ac:dyDescent="0.2"/>
    <row r="4264" ht="12.75" customHeight="1" x14ac:dyDescent="0.2"/>
    <row r="4265" ht="12.75" customHeight="1" x14ac:dyDescent="0.2"/>
    <row r="4266" ht="12.75" customHeight="1" x14ac:dyDescent="0.2"/>
    <row r="4267" ht="12.75" customHeight="1" x14ac:dyDescent="0.2"/>
    <row r="4268" ht="12.75" customHeight="1" x14ac:dyDescent="0.2"/>
    <row r="4269" ht="12.75" customHeight="1" x14ac:dyDescent="0.2"/>
    <row r="4270" ht="12.75" customHeight="1" x14ac:dyDescent="0.2"/>
    <row r="4271" ht="12.75" customHeight="1" x14ac:dyDescent="0.2"/>
    <row r="4272" ht="12.75" customHeight="1" x14ac:dyDescent="0.2"/>
    <row r="4273" ht="12.75" customHeight="1" x14ac:dyDescent="0.2"/>
    <row r="4274" ht="12.75" customHeight="1" x14ac:dyDescent="0.2"/>
    <row r="4275" ht="12.75" customHeight="1" x14ac:dyDescent="0.2"/>
    <row r="4276" ht="12.75" customHeight="1" x14ac:dyDescent="0.2"/>
    <row r="4277" ht="12.75" customHeight="1" x14ac:dyDescent="0.2"/>
    <row r="4278" ht="12.75" customHeight="1" x14ac:dyDescent="0.2"/>
    <row r="4279" ht="12.75" customHeight="1" x14ac:dyDescent="0.2"/>
    <row r="4280" ht="12.75" customHeight="1" x14ac:dyDescent="0.2"/>
    <row r="4281" ht="12.75" customHeight="1" x14ac:dyDescent="0.2"/>
    <row r="4282" ht="12.75" customHeight="1" x14ac:dyDescent="0.2"/>
    <row r="4283" ht="12.75" customHeight="1" x14ac:dyDescent="0.2"/>
    <row r="4284" ht="12.75" customHeight="1" x14ac:dyDescent="0.2"/>
    <row r="4285" ht="12.75" customHeight="1" x14ac:dyDescent="0.2"/>
    <row r="4286" ht="12.75" customHeight="1" x14ac:dyDescent="0.2"/>
    <row r="4287" ht="12.75" customHeight="1" x14ac:dyDescent="0.2"/>
    <row r="4288" ht="12.75" customHeight="1" x14ac:dyDescent="0.2"/>
    <row r="4289" ht="12.75" customHeight="1" x14ac:dyDescent="0.2"/>
    <row r="4290" ht="12.75" customHeight="1" x14ac:dyDescent="0.2"/>
    <row r="4291" ht="12.75" customHeight="1" x14ac:dyDescent="0.2"/>
    <row r="4292" ht="12.75" customHeight="1" x14ac:dyDescent="0.2"/>
    <row r="4293" ht="12.75" customHeight="1" x14ac:dyDescent="0.2"/>
    <row r="4294" ht="12.75" customHeight="1" x14ac:dyDescent="0.2"/>
    <row r="4295" ht="12.75" customHeight="1" x14ac:dyDescent="0.2"/>
    <row r="4296" ht="12.75" customHeight="1" x14ac:dyDescent="0.2"/>
    <row r="4297" ht="12.75" customHeight="1" x14ac:dyDescent="0.2"/>
    <row r="4298" ht="12.75" customHeight="1" x14ac:dyDescent="0.2"/>
    <row r="4299" ht="12.75" customHeight="1" x14ac:dyDescent="0.2"/>
    <row r="4300" ht="12.75" customHeight="1" x14ac:dyDescent="0.2"/>
    <row r="4301" ht="12.75" customHeight="1" x14ac:dyDescent="0.2"/>
    <row r="4302" ht="12.75" customHeight="1" x14ac:dyDescent="0.2"/>
    <row r="4303" ht="12.75" customHeight="1" x14ac:dyDescent="0.2"/>
    <row r="4304" ht="12.75" customHeight="1" x14ac:dyDescent="0.2"/>
    <row r="4305" ht="12.75" customHeight="1" x14ac:dyDescent="0.2"/>
    <row r="4306" ht="12.75" customHeight="1" x14ac:dyDescent="0.2"/>
    <row r="4307" ht="12.75" customHeight="1" x14ac:dyDescent="0.2"/>
    <row r="4308" ht="12.75" customHeight="1" x14ac:dyDescent="0.2"/>
    <row r="4309" ht="12.75" customHeight="1" x14ac:dyDescent="0.2"/>
    <row r="4310" ht="12.75" customHeight="1" x14ac:dyDescent="0.2"/>
    <row r="4311" ht="12.75" customHeight="1" x14ac:dyDescent="0.2"/>
    <row r="4312" ht="12.75" customHeight="1" x14ac:dyDescent="0.2"/>
    <row r="4313" ht="12.75" customHeight="1" x14ac:dyDescent="0.2"/>
    <row r="4314" ht="12.75" customHeight="1" x14ac:dyDescent="0.2"/>
    <row r="4315" ht="12.75" customHeight="1" x14ac:dyDescent="0.2"/>
    <row r="4316" ht="12.75" customHeight="1" x14ac:dyDescent="0.2"/>
    <row r="4317" ht="12.75" customHeight="1" x14ac:dyDescent="0.2"/>
    <row r="4318" ht="12.75" customHeight="1" x14ac:dyDescent="0.2"/>
    <row r="4319" ht="12.75" customHeight="1" x14ac:dyDescent="0.2"/>
    <row r="4320" ht="12.75" customHeight="1" x14ac:dyDescent="0.2"/>
    <row r="4321" ht="12.75" customHeight="1" x14ac:dyDescent="0.2"/>
    <row r="4322" ht="12.75" customHeight="1" x14ac:dyDescent="0.2"/>
    <row r="4323" ht="12.75" customHeight="1" x14ac:dyDescent="0.2"/>
    <row r="4324" ht="12.75" customHeight="1" x14ac:dyDescent="0.2"/>
    <row r="4325" ht="12.75" customHeight="1" x14ac:dyDescent="0.2"/>
    <row r="4326" ht="12.75" customHeight="1" x14ac:dyDescent="0.2"/>
    <row r="4327" ht="12.75" customHeight="1" x14ac:dyDescent="0.2"/>
    <row r="4328" ht="12.75" customHeight="1" x14ac:dyDescent="0.2"/>
    <row r="4329" ht="12.75" customHeight="1" x14ac:dyDescent="0.2"/>
    <row r="4330" ht="12.75" customHeight="1" x14ac:dyDescent="0.2"/>
    <row r="4331" ht="12.75" customHeight="1" x14ac:dyDescent="0.2"/>
    <row r="4332" ht="12.75" customHeight="1" x14ac:dyDescent="0.2"/>
    <row r="4333" ht="12.75" customHeight="1" x14ac:dyDescent="0.2"/>
    <row r="4334" ht="12.75" customHeight="1" x14ac:dyDescent="0.2"/>
    <row r="4335" ht="12.75" customHeight="1" x14ac:dyDescent="0.2"/>
    <row r="4336" ht="12.75" customHeight="1" x14ac:dyDescent="0.2"/>
    <row r="4337" ht="12.75" customHeight="1" x14ac:dyDescent="0.2"/>
    <row r="4338" ht="12.75" customHeight="1" x14ac:dyDescent="0.2"/>
    <row r="4339" ht="12.75" customHeight="1" x14ac:dyDescent="0.2"/>
    <row r="4340" ht="12.75" customHeight="1" x14ac:dyDescent="0.2"/>
    <row r="4341" ht="12.75" customHeight="1" x14ac:dyDescent="0.2"/>
    <row r="4342" ht="12.75" customHeight="1" x14ac:dyDescent="0.2"/>
    <row r="4343" ht="12.75" customHeight="1" x14ac:dyDescent="0.2"/>
    <row r="4344" ht="12.75" customHeight="1" x14ac:dyDescent="0.2"/>
    <row r="4345" ht="12.75" customHeight="1" x14ac:dyDescent="0.2"/>
    <row r="4346" ht="12.75" customHeight="1" x14ac:dyDescent="0.2"/>
    <row r="4347" ht="12.75" customHeight="1" x14ac:dyDescent="0.2"/>
    <row r="4348" ht="12.75" customHeight="1" x14ac:dyDescent="0.2"/>
    <row r="4349" ht="12.75" customHeight="1" x14ac:dyDescent="0.2"/>
    <row r="4350" ht="12.75" customHeight="1" x14ac:dyDescent="0.2"/>
    <row r="4351" ht="12.75" customHeight="1" x14ac:dyDescent="0.2"/>
    <row r="4352" ht="12.75" customHeight="1" x14ac:dyDescent="0.2"/>
    <row r="4353" ht="12.75" customHeight="1" x14ac:dyDescent="0.2"/>
    <row r="4354" ht="12.75" customHeight="1" x14ac:dyDescent="0.2"/>
    <row r="4355" ht="12.75" customHeight="1" x14ac:dyDescent="0.2"/>
    <row r="4356" ht="12.75" customHeight="1" x14ac:dyDescent="0.2"/>
    <row r="4357" ht="12.75" customHeight="1" x14ac:dyDescent="0.2"/>
    <row r="4358" ht="12.75" customHeight="1" x14ac:dyDescent="0.2"/>
    <row r="4359" ht="12.75" customHeight="1" x14ac:dyDescent="0.2"/>
    <row r="4360" ht="12.75" customHeight="1" x14ac:dyDescent="0.2"/>
    <row r="4361" ht="12.75" customHeight="1" x14ac:dyDescent="0.2"/>
    <row r="4362" ht="12.75" customHeight="1" x14ac:dyDescent="0.2"/>
    <row r="4363" ht="12.75" customHeight="1" x14ac:dyDescent="0.2"/>
    <row r="4364" ht="12.75" customHeight="1" x14ac:dyDescent="0.2"/>
    <row r="4365" ht="12.75" customHeight="1" x14ac:dyDescent="0.2"/>
    <row r="4366" ht="12.75" customHeight="1" x14ac:dyDescent="0.2"/>
    <row r="4367" ht="12.75" customHeight="1" x14ac:dyDescent="0.2"/>
    <row r="4368" ht="12.75" customHeight="1" x14ac:dyDescent="0.2"/>
    <row r="4369" ht="12.75" customHeight="1" x14ac:dyDescent="0.2"/>
    <row r="4370" ht="12.75" customHeight="1" x14ac:dyDescent="0.2"/>
    <row r="4371" ht="12.75" customHeight="1" x14ac:dyDescent="0.2"/>
    <row r="4372" ht="12.75" customHeight="1" x14ac:dyDescent="0.2"/>
    <row r="4373" ht="12.75" customHeight="1" x14ac:dyDescent="0.2"/>
    <row r="4374" ht="12.75" customHeight="1" x14ac:dyDescent="0.2"/>
    <row r="4375" ht="12.75" customHeight="1" x14ac:dyDescent="0.2"/>
    <row r="4376" ht="12.75" customHeight="1" x14ac:dyDescent="0.2"/>
    <row r="4377" ht="12.75" customHeight="1" x14ac:dyDescent="0.2"/>
    <row r="4378" ht="12.75" customHeight="1" x14ac:dyDescent="0.2"/>
    <row r="4379" ht="12.75" customHeight="1" x14ac:dyDescent="0.2"/>
    <row r="4380" ht="12.75" customHeight="1" x14ac:dyDescent="0.2"/>
    <row r="4381" ht="12.75" customHeight="1" x14ac:dyDescent="0.2"/>
    <row r="4382" ht="12.75" customHeight="1" x14ac:dyDescent="0.2"/>
    <row r="4383" ht="12.75" customHeight="1" x14ac:dyDescent="0.2"/>
    <row r="4384" ht="12.75" customHeight="1" x14ac:dyDescent="0.2"/>
    <row r="4385" ht="12.75" customHeight="1" x14ac:dyDescent="0.2"/>
    <row r="4386" ht="12.75" customHeight="1" x14ac:dyDescent="0.2"/>
    <row r="4387" ht="12.75" customHeight="1" x14ac:dyDescent="0.2"/>
    <row r="4388" ht="12.75" customHeight="1" x14ac:dyDescent="0.2"/>
    <row r="4389" ht="12.75" customHeight="1" x14ac:dyDescent="0.2"/>
    <row r="4390" ht="12.75" customHeight="1" x14ac:dyDescent="0.2"/>
    <row r="4391" ht="12.75" customHeight="1" x14ac:dyDescent="0.2"/>
    <row r="4392" ht="12.75" customHeight="1" x14ac:dyDescent="0.2"/>
    <row r="4393" ht="12.75" customHeight="1" x14ac:dyDescent="0.2"/>
    <row r="4394" ht="12.75" customHeight="1" x14ac:dyDescent="0.2"/>
    <row r="4395" ht="12.75" customHeight="1" x14ac:dyDescent="0.2"/>
    <row r="4396" ht="12.75" customHeight="1" x14ac:dyDescent="0.2"/>
    <row r="4397" ht="12.75" customHeight="1" x14ac:dyDescent="0.2"/>
    <row r="4398" ht="12.75" customHeight="1" x14ac:dyDescent="0.2"/>
    <row r="4399" ht="12.75" customHeight="1" x14ac:dyDescent="0.2"/>
    <row r="4400" ht="12.75" customHeight="1" x14ac:dyDescent="0.2"/>
    <row r="4401" ht="12.75" customHeight="1" x14ac:dyDescent="0.2"/>
    <row r="4402" ht="12.75" customHeight="1" x14ac:dyDescent="0.2"/>
    <row r="4403" ht="12.75" customHeight="1" x14ac:dyDescent="0.2"/>
    <row r="4404" ht="12.75" customHeight="1" x14ac:dyDescent="0.2"/>
    <row r="4405" ht="12.75" customHeight="1" x14ac:dyDescent="0.2"/>
    <row r="4406" ht="12.75" customHeight="1" x14ac:dyDescent="0.2"/>
    <row r="4407" ht="12.75" customHeight="1" x14ac:dyDescent="0.2"/>
    <row r="4408" ht="12.75" customHeight="1" x14ac:dyDescent="0.2"/>
    <row r="4409" ht="12.75" customHeight="1" x14ac:dyDescent="0.2"/>
    <row r="4410" ht="12.75" customHeight="1" x14ac:dyDescent="0.2"/>
    <row r="4411" ht="12.75" customHeight="1" x14ac:dyDescent="0.2"/>
    <row r="4412" ht="12.75" customHeight="1" x14ac:dyDescent="0.2"/>
    <row r="4413" ht="12.75" customHeight="1" x14ac:dyDescent="0.2"/>
    <row r="4414" ht="12.75" customHeight="1" x14ac:dyDescent="0.2"/>
    <row r="4415" ht="12.75" customHeight="1" x14ac:dyDescent="0.2"/>
    <row r="4416" ht="12.75" customHeight="1" x14ac:dyDescent="0.2"/>
    <row r="4417" ht="12.75" customHeight="1" x14ac:dyDescent="0.2"/>
    <row r="4418" ht="12.75" customHeight="1" x14ac:dyDescent="0.2"/>
    <row r="4419" ht="12.75" customHeight="1" x14ac:dyDescent="0.2"/>
    <row r="4420" ht="12.75" customHeight="1" x14ac:dyDescent="0.2"/>
    <row r="4421" ht="12.75" customHeight="1" x14ac:dyDescent="0.2"/>
    <row r="4422" ht="12.75" customHeight="1" x14ac:dyDescent="0.2"/>
    <row r="4423" ht="12.75" customHeight="1" x14ac:dyDescent="0.2"/>
    <row r="4424" ht="12.75" customHeight="1" x14ac:dyDescent="0.2"/>
    <row r="4425" ht="12.75" customHeight="1" x14ac:dyDescent="0.2"/>
    <row r="4426" ht="12.75" customHeight="1" x14ac:dyDescent="0.2"/>
    <row r="4427" ht="12.75" customHeight="1" x14ac:dyDescent="0.2"/>
    <row r="4428" ht="12.75" customHeight="1" x14ac:dyDescent="0.2"/>
    <row r="4429" ht="12.75" customHeight="1" x14ac:dyDescent="0.2"/>
    <row r="4430" ht="12.75" customHeight="1" x14ac:dyDescent="0.2"/>
    <row r="4431" ht="12.75" customHeight="1" x14ac:dyDescent="0.2"/>
    <row r="4432" ht="12.75" customHeight="1" x14ac:dyDescent="0.2"/>
    <row r="4433" ht="12.75" customHeight="1" x14ac:dyDescent="0.2"/>
    <row r="4434" ht="12.75" customHeight="1" x14ac:dyDescent="0.2"/>
    <row r="4435" ht="12.75" customHeight="1" x14ac:dyDescent="0.2"/>
    <row r="4436" ht="12.75" customHeight="1" x14ac:dyDescent="0.2"/>
    <row r="4437" ht="12.75" customHeight="1" x14ac:dyDescent="0.2"/>
    <row r="4438" ht="12.75" customHeight="1" x14ac:dyDescent="0.2"/>
    <row r="4439" ht="12.75" customHeight="1" x14ac:dyDescent="0.2"/>
    <row r="4440" ht="12.75" customHeight="1" x14ac:dyDescent="0.2"/>
    <row r="4441" ht="12.75" customHeight="1" x14ac:dyDescent="0.2"/>
    <row r="4442" ht="12.75" customHeight="1" x14ac:dyDescent="0.2"/>
    <row r="4443" ht="12.75" customHeight="1" x14ac:dyDescent="0.2"/>
    <row r="4444" ht="12.75" customHeight="1" x14ac:dyDescent="0.2"/>
    <row r="4445" ht="12.75" customHeight="1" x14ac:dyDescent="0.2"/>
    <row r="4446" ht="12.75" customHeight="1" x14ac:dyDescent="0.2"/>
    <row r="4447" ht="12.75" customHeight="1" x14ac:dyDescent="0.2"/>
    <row r="4448" ht="12.75" customHeight="1" x14ac:dyDescent="0.2"/>
    <row r="4449" ht="12.75" customHeight="1" x14ac:dyDescent="0.2"/>
    <row r="4450" ht="12.75" customHeight="1" x14ac:dyDescent="0.2"/>
    <row r="4451" ht="12.75" customHeight="1" x14ac:dyDescent="0.2"/>
    <row r="4452" ht="12.75" customHeight="1" x14ac:dyDescent="0.2"/>
    <row r="4453" ht="12.75" customHeight="1" x14ac:dyDescent="0.2"/>
    <row r="4454" ht="12.75" customHeight="1" x14ac:dyDescent="0.2"/>
    <row r="4455" ht="12.75" customHeight="1" x14ac:dyDescent="0.2"/>
    <row r="4456" ht="12.75" customHeight="1" x14ac:dyDescent="0.2"/>
    <row r="4457" ht="12.75" customHeight="1" x14ac:dyDescent="0.2"/>
    <row r="4458" ht="12.75" customHeight="1" x14ac:dyDescent="0.2"/>
    <row r="4459" ht="12.75" customHeight="1" x14ac:dyDescent="0.2"/>
    <row r="4460" ht="12.75" customHeight="1" x14ac:dyDescent="0.2"/>
    <row r="4461" ht="12.75" customHeight="1" x14ac:dyDescent="0.2"/>
    <row r="4462" ht="12.75" customHeight="1" x14ac:dyDescent="0.2"/>
    <row r="4463" ht="12.75" customHeight="1" x14ac:dyDescent="0.2"/>
    <row r="4464" ht="12.75" customHeight="1" x14ac:dyDescent="0.2"/>
    <row r="4465" ht="12.75" customHeight="1" x14ac:dyDescent="0.2"/>
    <row r="4466" ht="12.75" customHeight="1" x14ac:dyDescent="0.2"/>
    <row r="4467" ht="12.75" customHeight="1" x14ac:dyDescent="0.2"/>
    <row r="4468" ht="12.75" customHeight="1" x14ac:dyDescent="0.2"/>
    <row r="4469" ht="12.75" customHeight="1" x14ac:dyDescent="0.2"/>
    <row r="4470" ht="12.75" customHeight="1" x14ac:dyDescent="0.2"/>
    <row r="4471" ht="12.75" customHeight="1" x14ac:dyDescent="0.2"/>
    <row r="4472" ht="12.75" customHeight="1" x14ac:dyDescent="0.2"/>
    <row r="4473" ht="12.75" customHeight="1" x14ac:dyDescent="0.2"/>
    <row r="4474" ht="12.75" customHeight="1" x14ac:dyDescent="0.2"/>
    <row r="4475" ht="12.75" customHeight="1" x14ac:dyDescent="0.2"/>
    <row r="4476" ht="12.75" customHeight="1" x14ac:dyDescent="0.2"/>
    <row r="4477" ht="12.75" customHeight="1" x14ac:dyDescent="0.2"/>
    <row r="4478" ht="12.75" customHeight="1" x14ac:dyDescent="0.2"/>
    <row r="4479" ht="12.75" customHeight="1" x14ac:dyDescent="0.2"/>
    <row r="4480" ht="12.75" customHeight="1" x14ac:dyDescent="0.2"/>
    <row r="4481" ht="12.75" customHeight="1" x14ac:dyDescent="0.2"/>
    <row r="4482" ht="12.75" customHeight="1" x14ac:dyDescent="0.2"/>
    <row r="4483" ht="12.75" customHeight="1" x14ac:dyDescent="0.2"/>
    <row r="4484" ht="12.75" customHeight="1" x14ac:dyDescent="0.2"/>
    <row r="4485" ht="12.75" customHeight="1" x14ac:dyDescent="0.2"/>
    <row r="4486" ht="12.75" customHeight="1" x14ac:dyDescent="0.2"/>
    <row r="4487" ht="12.75" customHeight="1" x14ac:dyDescent="0.2"/>
    <row r="4488" ht="12.75" customHeight="1" x14ac:dyDescent="0.2"/>
    <row r="4489" ht="12.75" customHeight="1" x14ac:dyDescent="0.2"/>
    <row r="4490" ht="12.75" customHeight="1" x14ac:dyDescent="0.2"/>
    <row r="4491" ht="12.75" customHeight="1" x14ac:dyDescent="0.2"/>
    <row r="4492" ht="12.75" customHeight="1" x14ac:dyDescent="0.2"/>
    <row r="4493" ht="12.75" customHeight="1" x14ac:dyDescent="0.2"/>
    <row r="4494" ht="12.75" customHeight="1" x14ac:dyDescent="0.2"/>
    <row r="4495" ht="12.75" customHeight="1" x14ac:dyDescent="0.2"/>
    <row r="4496" ht="12.75" customHeight="1" x14ac:dyDescent="0.2"/>
    <row r="4497" ht="12.75" customHeight="1" x14ac:dyDescent="0.2"/>
    <row r="4498" ht="12.75" customHeight="1" x14ac:dyDescent="0.2"/>
    <row r="4499" ht="12.75" customHeight="1" x14ac:dyDescent="0.2"/>
    <row r="4500" ht="12.75" customHeight="1" x14ac:dyDescent="0.2"/>
    <row r="4501" ht="12.75" customHeight="1" x14ac:dyDescent="0.2"/>
    <row r="4502" ht="12.75" customHeight="1" x14ac:dyDescent="0.2"/>
    <row r="4503" ht="12.75" customHeight="1" x14ac:dyDescent="0.2"/>
    <row r="4504" ht="12.75" customHeight="1" x14ac:dyDescent="0.2"/>
    <row r="4505" ht="12.75" customHeight="1" x14ac:dyDescent="0.2"/>
    <row r="4506" ht="12.75" customHeight="1" x14ac:dyDescent="0.2"/>
    <row r="4507" ht="12.75" customHeight="1" x14ac:dyDescent="0.2"/>
    <row r="4508" ht="12.75" customHeight="1" x14ac:dyDescent="0.2"/>
    <row r="4509" ht="12.75" customHeight="1" x14ac:dyDescent="0.2"/>
    <row r="4510" ht="12.75" customHeight="1" x14ac:dyDescent="0.2"/>
    <row r="4511" ht="12.75" customHeight="1" x14ac:dyDescent="0.2"/>
    <row r="4512" ht="12.75" customHeight="1" x14ac:dyDescent="0.2"/>
    <row r="4513" ht="12.75" customHeight="1" x14ac:dyDescent="0.2"/>
    <row r="4514" ht="12.75" customHeight="1" x14ac:dyDescent="0.2"/>
    <row r="4515" ht="12.75" customHeight="1" x14ac:dyDescent="0.2"/>
    <row r="4516" ht="12.75" customHeight="1" x14ac:dyDescent="0.2"/>
    <row r="4517" ht="12.75" customHeight="1" x14ac:dyDescent="0.2"/>
    <row r="4518" ht="12.75" customHeight="1" x14ac:dyDescent="0.2"/>
    <row r="4519" ht="12.75" customHeight="1" x14ac:dyDescent="0.2"/>
    <row r="4520" ht="12.75" customHeight="1" x14ac:dyDescent="0.2"/>
    <row r="4521" ht="12.75" customHeight="1" x14ac:dyDescent="0.2"/>
    <row r="4522" ht="12.75" customHeight="1" x14ac:dyDescent="0.2"/>
    <row r="4523" ht="12.75" customHeight="1" x14ac:dyDescent="0.2"/>
    <row r="4524" ht="12.75" customHeight="1" x14ac:dyDescent="0.2"/>
    <row r="4525" ht="12.75" customHeight="1" x14ac:dyDescent="0.2"/>
    <row r="4526" ht="12.75" customHeight="1" x14ac:dyDescent="0.2"/>
    <row r="4527" ht="12.75" customHeight="1" x14ac:dyDescent="0.2"/>
    <row r="4528" ht="12.75" customHeight="1" x14ac:dyDescent="0.2"/>
    <row r="4529" ht="12.75" customHeight="1" x14ac:dyDescent="0.2"/>
    <row r="4530" ht="12.75" customHeight="1" x14ac:dyDescent="0.2"/>
    <row r="4531" ht="12.75" customHeight="1" x14ac:dyDescent="0.2"/>
    <row r="4532" ht="12.75" customHeight="1" x14ac:dyDescent="0.2"/>
    <row r="4533" ht="12.75" customHeight="1" x14ac:dyDescent="0.2"/>
    <row r="4534" ht="12.75" customHeight="1" x14ac:dyDescent="0.2"/>
    <row r="4535" ht="12.75" customHeight="1" x14ac:dyDescent="0.2"/>
    <row r="4536" ht="12.75" customHeight="1" x14ac:dyDescent="0.2"/>
    <row r="4537" ht="12.75" customHeight="1" x14ac:dyDescent="0.2"/>
    <row r="4538" ht="12.75" customHeight="1" x14ac:dyDescent="0.2"/>
    <row r="4539" ht="12.75" customHeight="1" x14ac:dyDescent="0.2"/>
    <row r="4540" ht="12.75" customHeight="1" x14ac:dyDescent="0.2"/>
    <row r="4541" ht="12.75" customHeight="1" x14ac:dyDescent="0.2"/>
    <row r="4542" ht="12.75" customHeight="1" x14ac:dyDescent="0.2"/>
    <row r="4543" ht="12.75" customHeight="1" x14ac:dyDescent="0.2"/>
    <row r="4544" ht="12.75" customHeight="1" x14ac:dyDescent="0.2"/>
    <row r="4545" ht="12.75" customHeight="1" x14ac:dyDescent="0.2"/>
    <row r="4546" ht="12.75" customHeight="1" x14ac:dyDescent="0.2"/>
    <row r="4547" ht="12.75" customHeight="1" x14ac:dyDescent="0.2"/>
    <row r="4548" ht="12.75" customHeight="1" x14ac:dyDescent="0.2"/>
    <row r="4549" ht="12.75" customHeight="1" x14ac:dyDescent="0.2"/>
    <row r="4550" ht="12.75" customHeight="1" x14ac:dyDescent="0.2"/>
    <row r="4551" ht="12.75" customHeight="1" x14ac:dyDescent="0.2"/>
    <row r="4552" ht="12.75" customHeight="1" x14ac:dyDescent="0.2"/>
    <row r="4553" ht="12.75" customHeight="1" x14ac:dyDescent="0.2"/>
    <row r="4554" ht="12.75" customHeight="1" x14ac:dyDescent="0.2"/>
    <row r="4555" ht="12.75" customHeight="1" x14ac:dyDescent="0.2"/>
    <row r="4556" ht="12.75" customHeight="1" x14ac:dyDescent="0.2"/>
    <row r="4557" ht="12.75" customHeight="1" x14ac:dyDescent="0.2"/>
    <row r="4558" ht="12.75" customHeight="1" x14ac:dyDescent="0.2"/>
    <row r="4559" ht="12.75" customHeight="1" x14ac:dyDescent="0.2"/>
    <row r="4560" ht="12.75" customHeight="1" x14ac:dyDescent="0.2"/>
    <row r="4561" ht="12.75" customHeight="1" x14ac:dyDescent="0.2"/>
    <row r="4562" ht="12.75" customHeight="1" x14ac:dyDescent="0.2"/>
    <row r="4563" ht="12.75" customHeight="1" x14ac:dyDescent="0.2"/>
    <row r="4564" ht="12.75" customHeight="1" x14ac:dyDescent="0.2"/>
    <row r="4565" ht="12.75" customHeight="1" x14ac:dyDescent="0.2"/>
    <row r="4566" ht="12.75" customHeight="1" x14ac:dyDescent="0.2"/>
    <row r="4567" ht="12.75" customHeight="1" x14ac:dyDescent="0.2"/>
    <row r="4568" ht="12.75" customHeight="1" x14ac:dyDescent="0.2"/>
    <row r="4569" ht="12.75" customHeight="1" x14ac:dyDescent="0.2"/>
    <row r="4570" ht="12.75" customHeight="1" x14ac:dyDescent="0.2"/>
    <row r="4571" ht="12.75" customHeight="1" x14ac:dyDescent="0.2"/>
    <row r="4572" ht="12.75" customHeight="1" x14ac:dyDescent="0.2"/>
    <row r="4573" ht="12.75" customHeight="1" x14ac:dyDescent="0.2"/>
    <row r="4574" ht="12.75" customHeight="1" x14ac:dyDescent="0.2"/>
    <row r="4575" ht="12.75" customHeight="1" x14ac:dyDescent="0.2"/>
    <row r="4576" ht="12.75" customHeight="1" x14ac:dyDescent="0.2"/>
    <row r="4577" ht="12.75" customHeight="1" x14ac:dyDescent="0.2"/>
    <row r="4578" ht="12.75" customHeight="1" x14ac:dyDescent="0.2"/>
    <row r="4579" ht="12.75" customHeight="1" x14ac:dyDescent="0.2"/>
    <row r="4580" ht="12.75" customHeight="1" x14ac:dyDescent="0.2"/>
    <row r="4581" ht="12.75" customHeight="1" x14ac:dyDescent="0.2"/>
    <row r="4582" ht="12.75" customHeight="1" x14ac:dyDescent="0.2"/>
    <row r="4583" ht="12.75" customHeight="1" x14ac:dyDescent="0.2"/>
    <row r="4584" ht="12.75" customHeight="1" x14ac:dyDescent="0.2"/>
    <row r="4585" ht="12.75" customHeight="1" x14ac:dyDescent="0.2"/>
    <row r="4586" ht="12.75" customHeight="1" x14ac:dyDescent="0.2"/>
    <row r="4587" ht="12.75" customHeight="1" x14ac:dyDescent="0.2"/>
    <row r="4588" ht="12.75" customHeight="1" x14ac:dyDescent="0.2"/>
    <row r="4589" ht="12.75" customHeight="1" x14ac:dyDescent="0.2"/>
    <row r="4590" ht="12.75" customHeight="1" x14ac:dyDescent="0.2"/>
    <row r="4591" ht="12.75" customHeight="1" x14ac:dyDescent="0.2"/>
    <row r="4592" ht="12.75" customHeight="1" x14ac:dyDescent="0.2"/>
    <row r="4593" ht="12.75" customHeight="1" x14ac:dyDescent="0.2"/>
    <row r="4594" ht="12.75" customHeight="1" x14ac:dyDescent="0.2"/>
    <row r="4595" ht="12.75" customHeight="1" x14ac:dyDescent="0.2"/>
    <row r="4596" ht="12.75" customHeight="1" x14ac:dyDescent="0.2"/>
    <row r="4597" ht="12.75" customHeight="1" x14ac:dyDescent="0.2"/>
    <row r="4598" ht="12.75" customHeight="1" x14ac:dyDescent="0.2"/>
    <row r="4599" ht="12.75" customHeight="1" x14ac:dyDescent="0.2"/>
    <row r="4600" ht="12.75" customHeight="1" x14ac:dyDescent="0.2"/>
    <row r="4601" ht="12.75" customHeight="1" x14ac:dyDescent="0.2"/>
    <row r="4602" ht="12.75" customHeight="1" x14ac:dyDescent="0.2"/>
    <row r="4603" ht="12.75" customHeight="1" x14ac:dyDescent="0.2"/>
    <row r="4604" ht="12.75" customHeight="1" x14ac:dyDescent="0.2"/>
    <row r="4605" ht="12.75" customHeight="1" x14ac:dyDescent="0.2"/>
    <row r="4606" ht="12.75" customHeight="1" x14ac:dyDescent="0.2"/>
    <row r="4607" ht="12.75" customHeight="1" x14ac:dyDescent="0.2"/>
    <row r="4608" ht="12.75" customHeight="1" x14ac:dyDescent="0.2"/>
    <row r="4609" ht="12.75" customHeight="1" x14ac:dyDescent="0.2"/>
    <row r="4610" ht="12.75" customHeight="1" x14ac:dyDescent="0.2"/>
    <row r="4611" ht="12.75" customHeight="1" x14ac:dyDescent="0.2"/>
    <row r="4612" ht="12.75" customHeight="1" x14ac:dyDescent="0.2"/>
    <row r="4613" ht="12.75" customHeight="1" x14ac:dyDescent="0.2"/>
    <row r="4614" ht="12.75" customHeight="1" x14ac:dyDescent="0.2"/>
    <row r="4615" ht="12.75" customHeight="1" x14ac:dyDescent="0.2"/>
    <row r="4616" ht="12.75" customHeight="1" x14ac:dyDescent="0.2"/>
    <row r="4617" ht="12.75" customHeight="1" x14ac:dyDescent="0.2"/>
    <row r="4618" ht="12.75" customHeight="1" x14ac:dyDescent="0.2"/>
    <row r="4619" ht="12.75" customHeight="1" x14ac:dyDescent="0.2"/>
    <row r="4620" ht="12.75" customHeight="1" x14ac:dyDescent="0.2"/>
    <row r="4621" ht="12.75" customHeight="1" x14ac:dyDescent="0.2"/>
    <row r="4622" ht="12.75" customHeight="1" x14ac:dyDescent="0.2"/>
    <row r="4623" ht="12.75" customHeight="1" x14ac:dyDescent="0.2"/>
    <row r="4624" ht="12.75" customHeight="1" x14ac:dyDescent="0.2"/>
    <row r="4625" ht="12.75" customHeight="1" x14ac:dyDescent="0.2"/>
    <row r="4626" ht="12.75" customHeight="1" x14ac:dyDescent="0.2"/>
    <row r="4627" ht="12.75" customHeight="1" x14ac:dyDescent="0.2"/>
    <row r="4628" ht="12.75" customHeight="1" x14ac:dyDescent="0.2"/>
    <row r="4629" ht="12.75" customHeight="1" x14ac:dyDescent="0.2"/>
    <row r="4630" ht="12.75" customHeight="1" x14ac:dyDescent="0.2"/>
    <row r="4631" ht="12.75" customHeight="1" x14ac:dyDescent="0.2"/>
    <row r="4632" ht="12.75" customHeight="1" x14ac:dyDescent="0.2"/>
    <row r="4633" ht="12.75" customHeight="1" x14ac:dyDescent="0.2"/>
    <row r="4634" ht="12.75" customHeight="1" x14ac:dyDescent="0.2"/>
    <row r="4635" ht="12.75" customHeight="1" x14ac:dyDescent="0.2"/>
    <row r="4636" ht="12.75" customHeight="1" x14ac:dyDescent="0.2"/>
    <row r="4637" ht="12.75" customHeight="1" x14ac:dyDescent="0.2"/>
    <row r="4638" ht="12.75" customHeight="1" x14ac:dyDescent="0.2"/>
    <row r="4639" ht="12.75" customHeight="1" x14ac:dyDescent="0.2"/>
    <row r="4640" ht="12.75" customHeight="1" x14ac:dyDescent="0.2"/>
    <row r="4641" ht="12.75" customHeight="1" x14ac:dyDescent="0.2"/>
    <row r="4642" ht="12.75" customHeight="1" x14ac:dyDescent="0.2"/>
    <row r="4643" ht="12.75" customHeight="1" x14ac:dyDescent="0.2"/>
    <row r="4644" ht="12.75" customHeight="1" x14ac:dyDescent="0.2"/>
    <row r="4645" ht="12.75" customHeight="1" x14ac:dyDescent="0.2"/>
    <row r="4646" ht="12.75" customHeight="1" x14ac:dyDescent="0.2"/>
    <row r="4647" ht="12.75" customHeight="1" x14ac:dyDescent="0.2"/>
    <row r="4648" ht="12.75" customHeight="1" x14ac:dyDescent="0.2"/>
    <row r="4649" ht="12.75" customHeight="1" x14ac:dyDescent="0.2"/>
    <row r="4650" ht="12.75" customHeight="1" x14ac:dyDescent="0.2"/>
    <row r="4651" ht="12.75" customHeight="1" x14ac:dyDescent="0.2"/>
    <row r="4652" ht="12.75" customHeight="1" x14ac:dyDescent="0.2"/>
    <row r="4653" ht="12.75" customHeight="1" x14ac:dyDescent="0.2"/>
    <row r="4654" ht="12.75" customHeight="1" x14ac:dyDescent="0.2"/>
    <row r="4655" ht="12.75" customHeight="1" x14ac:dyDescent="0.2"/>
    <row r="4656" ht="12.75" customHeight="1" x14ac:dyDescent="0.2"/>
    <row r="4657" ht="12.75" customHeight="1" x14ac:dyDescent="0.2"/>
    <row r="4658" ht="12.75" customHeight="1" x14ac:dyDescent="0.2"/>
    <row r="4659" ht="12.75" customHeight="1" x14ac:dyDescent="0.2"/>
    <row r="4660" ht="12.75" customHeight="1" x14ac:dyDescent="0.2"/>
    <row r="4661" ht="12.75" customHeight="1" x14ac:dyDescent="0.2"/>
    <row r="4662" ht="12.75" customHeight="1" x14ac:dyDescent="0.2"/>
    <row r="4663" ht="12.75" customHeight="1" x14ac:dyDescent="0.2"/>
    <row r="4664" ht="12.75" customHeight="1" x14ac:dyDescent="0.2"/>
    <row r="4665" ht="12.75" customHeight="1" x14ac:dyDescent="0.2"/>
    <row r="4666" ht="12.75" customHeight="1" x14ac:dyDescent="0.2"/>
    <row r="4667" ht="12.75" customHeight="1" x14ac:dyDescent="0.2"/>
    <row r="4668" ht="12.75" customHeight="1" x14ac:dyDescent="0.2"/>
    <row r="4669" ht="12.75" customHeight="1" x14ac:dyDescent="0.2"/>
    <row r="4670" ht="12.75" customHeight="1" x14ac:dyDescent="0.2"/>
    <row r="4671" ht="12.75" customHeight="1" x14ac:dyDescent="0.2"/>
    <row r="4672" ht="12.75" customHeight="1" x14ac:dyDescent="0.2"/>
    <row r="4673" ht="12.75" customHeight="1" x14ac:dyDescent="0.2"/>
    <row r="4674" ht="12.75" customHeight="1" x14ac:dyDescent="0.2"/>
    <row r="4675" ht="12.75" customHeight="1" x14ac:dyDescent="0.2"/>
    <row r="4676" ht="12.75" customHeight="1" x14ac:dyDescent="0.2"/>
    <row r="4677" ht="12.75" customHeight="1" x14ac:dyDescent="0.2"/>
    <row r="4678" ht="12.75" customHeight="1" x14ac:dyDescent="0.2"/>
    <row r="4679" ht="12.75" customHeight="1" x14ac:dyDescent="0.2"/>
    <row r="4680" ht="12.75" customHeight="1" x14ac:dyDescent="0.2"/>
    <row r="4681" ht="12.75" customHeight="1" x14ac:dyDescent="0.2"/>
    <row r="4682" ht="12.75" customHeight="1" x14ac:dyDescent="0.2"/>
    <row r="4683" ht="12.75" customHeight="1" x14ac:dyDescent="0.2"/>
    <row r="4684" ht="12.75" customHeight="1" x14ac:dyDescent="0.2"/>
    <row r="4685" ht="12.75" customHeight="1" x14ac:dyDescent="0.2"/>
    <row r="4686" ht="12.75" customHeight="1" x14ac:dyDescent="0.2"/>
    <row r="4687" ht="12.75" customHeight="1" x14ac:dyDescent="0.2"/>
    <row r="4688" ht="12.75" customHeight="1" x14ac:dyDescent="0.2"/>
    <row r="4689" ht="12.75" customHeight="1" x14ac:dyDescent="0.2"/>
    <row r="4690" ht="12.75" customHeight="1" x14ac:dyDescent="0.2"/>
    <row r="4691" ht="12.75" customHeight="1" x14ac:dyDescent="0.2"/>
    <row r="4692" ht="12.75" customHeight="1" x14ac:dyDescent="0.2"/>
    <row r="4693" ht="12.75" customHeight="1" x14ac:dyDescent="0.2"/>
    <row r="4694" ht="12.75" customHeight="1" x14ac:dyDescent="0.2"/>
    <row r="4695" ht="12.75" customHeight="1" x14ac:dyDescent="0.2"/>
    <row r="4696" ht="12.75" customHeight="1" x14ac:dyDescent="0.2"/>
    <row r="4697" ht="12.75" customHeight="1" x14ac:dyDescent="0.2"/>
    <row r="4698" ht="12.75" customHeight="1" x14ac:dyDescent="0.2"/>
    <row r="4699" ht="12.75" customHeight="1" x14ac:dyDescent="0.2"/>
    <row r="4700" ht="12.75" customHeight="1" x14ac:dyDescent="0.2"/>
    <row r="4701" ht="12.75" customHeight="1" x14ac:dyDescent="0.2"/>
    <row r="4702" ht="12.75" customHeight="1" x14ac:dyDescent="0.2"/>
    <row r="4703" ht="12.75" customHeight="1" x14ac:dyDescent="0.2"/>
    <row r="4704" ht="12.75" customHeight="1" x14ac:dyDescent="0.2"/>
    <row r="4705" ht="12.75" customHeight="1" x14ac:dyDescent="0.2"/>
    <row r="4706" ht="12.75" customHeight="1" x14ac:dyDescent="0.2"/>
    <row r="4707" ht="12.75" customHeight="1" x14ac:dyDescent="0.2"/>
    <row r="4708" ht="12.75" customHeight="1" x14ac:dyDescent="0.2"/>
    <row r="4709" ht="12.75" customHeight="1" x14ac:dyDescent="0.2"/>
    <row r="4710" ht="12.75" customHeight="1" x14ac:dyDescent="0.2"/>
    <row r="4711" ht="12.75" customHeight="1" x14ac:dyDescent="0.2"/>
    <row r="4712" ht="12.75" customHeight="1" x14ac:dyDescent="0.2"/>
    <row r="4713" ht="12.75" customHeight="1" x14ac:dyDescent="0.2"/>
    <row r="4714" ht="12.75" customHeight="1" x14ac:dyDescent="0.2"/>
    <row r="4715" ht="12.75" customHeight="1" x14ac:dyDescent="0.2"/>
    <row r="4716" ht="12.75" customHeight="1" x14ac:dyDescent="0.2"/>
    <row r="4717" ht="12.75" customHeight="1" x14ac:dyDescent="0.2"/>
    <row r="4718" ht="12.75" customHeight="1" x14ac:dyDescent="0.2"/>
    <row r="4719" ht="12.75" customHeight="1" x14ac:dyDescent="0.2"/>
    <row r="4720" ht="12.75" customHeight="1" x14ac:dyDescent="0.2"/>
    <row r="4721" ht="12.75" customHeight="1" x14ac:dyDescent="0.2"/>
    <row r="4722" ht="12.75" customHeight="1" x14ac:dyDescent="0.2"/>
    <row r="4723" ht="12.75" customHeight="1" x14ac:dyDescent="0.2"/>
    <row r="4724" ht="12.75" customHeight="1" x14ac:dyDescent="0.2"/>
    <row r="4725" ht="12.75" customHeight="1" x14ac:dyDescent="0.2"/>
    <row r="4726" ht="12.75" customHeight="1" x14ac:dyDescent="0.2"/>
    <row r="4727" ht="12.75" customHeight="1" x14ac:dyDescent="0.2"/>
    <row r="4728" ht="12.75" customHeight="1" x14ac:dyDescent="0.2"/>
    <row r="4729" ht="12.75" customHeight="1" x14ac:dyDescent="0.2"/>
    <row r="4730" ht="12.75" customHeight="1" x14ac:dyDescent="0.2"/>
    <row r="4731" ht="12.75" customHeight="1" x14ac:dyDescent="0.2"/>
    <row r="4732" ht="12.75" customHeight="1" x14ac:dyDescent="0.2"/>
    <row r="4733" ht="12.75" customHeight="1" x14ac:dyDescent="0.2"/>
    <row r="4734" ht="12.75" customHeight="1" x14ac:dyDescent="0.2"/>
    <row r="4735" ht="12.75" customHeight="1" x14ac:dyDescent="0.2"/>
    <row r="4736" ht="12.75" customHeight="1" x14ac:dyDescent="0.2"/>
    <row r="4737" ht="12.75" customHeight="1" x14ac:dyDescent="0.2"/>
    <row r="4738" ht="12.75" customHeight="1" x14ac:dyDescent="0.2"/>
    <row r="4739" ht="12.75" customHeight="1" x14ac:dyDescent="0.2"/>
    <row r="4740" ht="12.75" customHeight="1" x14ac:dyDescent="0.2"/>
    <row r="4741" ht="12.75" customHeight="1" x14ac:dyDescent="0.2"/>
    <row r="4742" ht="12.75" customHeight="1" x14ac:dyDescent="0.2"/>
    <row r="4743" ht="12.75" customHeight="1" x14ac:dyDescent="0.2"/>
    <row r="4744" ht="12.75" customHeight="1" x14ac:dyDescent="0.2"/>
    <row r="4745" ht="12.75" customHeight="1" x14ac:dyDescent="0.2"/>
    <row r="4746" ht="12.75" customHeight="1" x14ac:dyDescent="0.2"/>
    <row r="4747" ht="12.75" customHeight="1" x14ac:dyDescent="0.2"/>
    <row r="4748" ht="12.75" customHeight="1" x14ac:dyDescent="0.2"/>
    <row r="4749" ht="12.75" customHeight="1" x14ac:dyDescent="0.2"/>
    <row r="4750" ht="12.75" customHeight="1" x14ac:dyDescent="0.2"/>
    <row r="4751" ht="12.75" customHeight="1" x14ac:dyDescent="0.2"/>
    <row r="4752" ht="12.75" customHeight="1" x14ac:dyDescent="0.2"/>
    <row r="4753" ht="12.75" customHeight="1" x14ac:dyDescent="0.2"/>
    <row r="4754" ht="12.75" customHeight="1" x14ac:dyDescent="0.2"/>
    <row r="4755" ht="12.75" customHeight="1" x14ac:dyDescent="0.2"/>
    <row r="4756" ht="12.75" customHeight="1" x14ac:dyDescent="0.2"/>
    <row r="4757" ht="12.75" customHeight="1" x14ac:dyDescent="0.2"/>
    <row r="4758" ht="12.75" customHeight="1" x14ac:dyDescent="0.2"/>
    <row r="4759" ht="12.75" customHeight="1" x14ac:dyDescent="0.2"/>
    <row r="4760" ht="12.75" customHeight="1" x14ac:dyDescent="0.2"/>
    <row r="4761" ht="12.75" customHeight="1" x14ac:dyDescent="0.2"/>
    <row r="4762" ht="12.75" customHeight="1" x14ac:dyDescent="0.2"/>
    <row r="4763" ht="12.75" customHeight="1" x14ac:dyDescent="0.2"/>
    <row r="4764" ht="12.75" customHeight="1" x14ac:dyDescent="0.2"/>
    <row r="4765" ht="12.75" customHeight="1" x14ac:dyDescent="0.2"/>
    <row r="4766" ht="12.75" customHeight="1" x14ac:dyDescent="0.2"/>
    <row r="4767" ht="12.75" customHeight="1" x14ac:dyDescent="0.2"/>
    <row r="4768" ht="12.75" customHeight="1" x14ac:dyDescent="0.2"/>
    <row r="4769" ht="12.75" customHeight="1" x14ac:dyDescent="0.2"/>
    <row r="4770" ht="12.75" customHeight="1" x14ac:dyDescent="0.2"/>
    <row r="4771" ht="12.75" customHeight="1" x14ac:dyDescent="0.2"/>
    <row r="4772" ht="12.75" customHeight="1" x14ac:dyDescent="0.2"/>
    <row r="4773" ht="12.75" customHeight="1" x14ac:dyDescent="0.2"/>
    <row r="4774" ht="12.75" customHeight="1" x14ac:dyDescent="0.2"/>
    <row r="4775" ht="12.75" customHeight="1" x14ac:dyDescent="0.2"/>
    <row r="4776" ht="12.75" customHeight="1" x14ac:dyDescent="0.2"/>
    <row r="4777" ht="12.75" customHeight="1" x14ac:dyDescent="0.2"/>
    <row r="4778" ht="12.75" customHeight="1" x14ac:dyDescent="0.2"/>
    <row r="4779" ht="12.75" customHeight="1" x14ac:dyDescent="0.2"/>
    <row r="4780" ht="12.75" customHeight="1" x14ac:dyDescent="0.2"/>
    <row r="4781" ht="12.75" customHeight="1" x14ac:dyDescent="0.2"/>
    <row r="4782" ht="12.75" customHeight="1" x14ac:dyDescent="0.2"/>
    <row r="4783" ht="12.75" customHeight="1" x14ac:dyDescent="0.2"/>
    <row r="4784" ht="12.75" customHeight="1" x14ac:dyDescent="0.2"/>
    <row r="4785" ht="12.75" customHeight="1" x14ac:dyDescent="0.2"/>
    <row r="4786" ht="12.75" customHeight="1" x14ac:dyDescent="0.2"/>
    <row r="4787" ht="12.75" customHeight="1" x14ac:dyDescent="0.2"/>
    <row r="4788" ht="12.75" customHeight="1" x14ac:dyDescent="0.2"/>
    <row r="4789" ht="12.75" customHeight="1" x14ac:dyDescent="0.2"/>
    <row r="4790" ht="12.75" customHeight="1" x14ac:dyDescent="0.2"/>
    <row r="4791" ht="12.75" customHeight="1" x14ac:dyDescent="0.2"/>
    <row r="4792" ht="12.75" customHeight="1" x14ac:dyDescent="0.2"/>
    <row r="4793" ht="12.75" customHeight="1" x14ac:dyDescent="0.2"/>
    <row r="4794" ht="12.75" customHeight="1" x14ac:dyDescent="0.2"/>
    <row r="4795" ht="12.75" customHeight="1" x14ac:dyDescent="0.2"/>
    <row r="4796" ht="12.75" customHeight="1" x14ac:dyDescent="0.2"/>
    <row r="4797" ht="12.75" customHeight="1" x14ac:dyDescent="0.2"/>
    <row r="4798" ht="12.75" customHeight="1" x14ac:dyDescent="0.2"/>
    <row r="4799" ht="12.75" customHeight="1" x14ac:dyDescent="0.2"/>
    <row r="4800" ht="12.75" customHeight="1" x14ac:dyDescent="0.2"/>
    <row r="4801" ht="12.75" customHeight="1" x14ac:dyDescent="0.2"/>
    <row r="4802" ht="12.75" customHeight="1" x14ac:dyDescent="0.2"/>
    <row r="4803" ht="12.75" customHeight="1" x14ac:dyDescent="0.2"/>
    <row r="4804" ht="12.75" customHeight="1" x14ac:dyDescent="0.2"/>
    <row r="4805" ht="12.75" customHeight="1" x14ac:dyDescent="0.2"/>
    <row r="4806" ht="12.75" customHeight="1" x14ac:dyDescent="0.2"/>
    <row r="4807" ht="12.75" customHeight="1" x14ac:dyDescent="0.2"/>
    <row r="4808" ht="12.75" customHeight="1" x14ac:dyDescent="0.2"/>
    <row r="4809" ht="12.75" customHeight="1" x14ac:dyDescent="0.2"/>
    <row r="4810" ht="12.75" customHeight="1" x14ac:dyDescent="0.2"/>
    <row r="4811" ht="12.75" customHeight="1" x14ac:dyDescent="0.2"/>
    <row r="4812" ht="12.75" customHeight="1" x14ac:dyDescent="0.2"/>
    <row r="4813" ht="12.75" customHeight="1" x14ac:dyDescent="0.2"/>
    <row r="4814" ht="12.75" customHeight="1" x14ac:dyDescent="0.2"/>
    <row r="4815" ht="12.75" customHeight="1" x14ac:dyDescent="0.2"/>
    <row r="4816" ht="12.75" customHeight="1" x14ac:dyDescent="0.2"/>
    <row r="4817" ht="12.75" customHeight="1" x14ac:dyDescent="0.2"/>
    <row r="4818" ht="12.75" customHeight="1" x14ac:dyDescent="0.2"/>
    <row r="4819" ht="12.75" customHeight="1" x14ac:dyDescent="0.2"/>
    <row r="4820" ht="12.75" customHeight="1" x14ac:dyDescent="0.2"/>
    <row r="4821" ht="12.75" customHeight="1" x14ac:dyDescent="0.2"/>
    <row r="4822" ht="12.75" customHeight="1" x14ac:dyDescent="0.2"/>
    <row r="4823" ht="12.75" customHeight="1" x14ac:dyDescent="0.2"/>
    <row r="4824" ht="12.75" customHeight="1" x14ac:dyDescent="0.2"/>
    <row r="4825" ht="12.75" customHeight="1" x14ac:dyDescent="0.2"/>
    <row r="4826" ht="12.75" customHeight="1" x14ac:dyDescent="0.2"/>
    <row r="4827" ht="12.75" customHeight="1" x14ac:dyDescent="0.2"/>
    <row r="4828" ht="12.75" customHeight="1" x14ac:dyDescent="0.2"/>
    <row r="4829" ht="12.75" customHeight="1" x14ac:dyDescent="0.2"/>
    <row r="4830" ht="12.75" customHeight="1" x14ac:dyDescent="0.2"/>
    <row r="4831" ht="12.75" customHeight="1" x14ac:dyDescent="0.2"/>
    <row r="4832" ht="12.75" customHeight="1" x14ac:dyDescent="0.2"/>
    <row r="4833" ht="12.75" customHeight="1" x14ac:dyDescent="0.2"/>
    <row r="4834" ht="12.75" customHeight="1" x14ac:dyDescent="0.2"/>
    <row r="4835" ht="12.75" customHeight="1" x14ac:dyDescent="0.2"/>
    <row r="4836" ht="12.75" customHeight="1" x14ac:dyDescent="0.2"/>
    <row r="4837" ht="12.75" customHeight="1" x14ac:dyDescent="0.2"/>
    <row r="4838" ht="12.75" customHeight="1" x14ac:dyDescent="0.2"/>
    <row r="4839" ht="12.75" customHeight="1" x14ac:dyDescent="0.2"/>
    <row r="4840" ht="12.75" customHeight="1" x14ac:dyDescent="0.2"/>
    <row r="4841" ht="12.75" customHeight="1" x14ac:dyDescent="0.2"/>
    <row r="4842" ht="12.75" customHeight="1" x14ac:dyDescent="0.2"/>
    <row r="4843" ht="12.75" customHeight="1" x14ac:dyDescent="0.2"/>
    <row r="4844" ht="12.75" customHeight="1" x14ac:dyDescent="0.2"/>
    <row r="4845" ht="12.75" customHeight="1" x14ac:dyDescent="0.2"/>
    <row r="4846" ht="12.75" customHeight="1" x14ac:dyDescent="0.2"/>
    <row r="4847" ht="12.75" customHeight="1" x14ac:dyDescent="0.2"/>
    <row r="4848" ht="12.75" customHeight="1" x14ac:dyDescent="0.2"/>
    <row r="4849" ht="12.75" customHeight="1" x14ac:dyDescent="0.2"/>
    <row r="4850" ht="12.75" customHeight="1" x14ac:dyDescent="0.2"/>
    <row r="4851" ht="12.75" customHeight="1" x14ac:dyDescent="0.2"/>
    <row r="4852" ht="12.75" customHeight="1" x14ac:dyDescent="0.2"/>
    <row r="4853" ht="12.75" customHeight="1" x14ac:dyDescent="0.2"/>
    <row r="4854" ht="12.75" customHeight="1" x14ac:dyDescent="0.2"/>
    <row r="4855" ht="12.75" customHeight="1" x14ac:dyDescent="0.2"/>
    <row r="4856" ht="12.75" customHeight="1" x14ac:dyDescent="0.2"/>
    <row r="4857" ht="12.75" customHeight="1" x14ac:dyDescent="0.2"/>
    <row r="4858" ht="12.75" customHeight="1" x14ac:dyDescent="0.2"/>
    <row r="4859" ht="12.75" customHeight="1" x14ac:dyDescent="0.2"/>
    <row r="4860" ht="12.75" customHeight="1" x14ac:dyDescent="0.2"/>
    <row r="4861" ht="12.75" customHeight="1" x14ac:dyDescent="0.2"/>
    <row r="4862" ht="12.75" customHeight="1" x14ac:dyDescent="0.2"/>
    <row r="4863" ht="12.75" customHeight="1" x14ac:dyDescent="0.2"/>
    <row r="4864" ht="12.75" customHeight="1" x14ac:dyDescent="0.2"/>
    <row r="4865" ht="12.75" customHeight="1" x14ac:dyDescent="0.2"/>
    <row r="4866" ht="12.75" customHeight="1" x14ac:dyDescent="0.2"/>
    <row r="4867" ht="12.75" customHeight="1" x14ac:dyDescent="0.2"/>
    <row r="4868" ht="12.75" customHeight="1" x14ac:dyDescent="0.2"/>
    <row r="4869" ht="12.75" customHeight="1" x14ac:dyDescent="0.2"/>
    <row r="4870" ht="12.75" customHeight="1" x14ac:dyDescent="0.2"/>
    <row r="4871" ht="12.75" customHeight="1" x14ac:dyDescent="0.2"/>
    <row r="4872" ht="12.75" customHeight="1" x14ac:dyDescent="0.2"/>
    <row r="4873" ht="12.75" customHeight="1" x14ac:dyDescent="0.2"/>
    <row r="4874" ht="12.75" customHeight="1" x14ac:dyDescent="0.2"/>
    <row r="4875" ht="12.75" customHeight="1" x14ac:dyDescent="0.2"/>
    <row r="4876" ht="12.75" customHeight="1" x14ac:dyDescent="0.2"/>
    <row r="4877" ht="12.75" customHeight="1" x14ac:dyDescent="0.2"/>
    <row r="4878" ht="12.75" customHeight="1" x14ac:dyDescent="0.2"/>
    <row r="4879" ht="12.75" customHeight="1" x14ac:dyDescent="0.2"/>
    <row r="4880" ht="12.75" customHeight="1" x14ac:dyDescent="0.2"/>
    <row r="4881" ht="12.75" customHeight="1" x14ac:dyDescent="0.2"/>
    <row r="4882" ht="12.75" customHeight="1" x14ac:dyDescent="0.2"/>
    <row r="4883" ht="12.75" customHeight="1" x14ac:dyDescent="0.2"/>
    <row r="4884" ht="12.75" customHeight="1" x14ac:dyDescent="0.2"/>
    <row r="4885" ht="12.75" customHeight="1" x14ac:dyDescent="0.2"/>
    <row r="4886" ht="12.75" customHeight="1" x14ac:dyDescent="0.2"/>
    <row r="4887" ht="12.75" customHeight="1" x14ac:dyDescent="0.2"/>
    <row r="4888" ht="12.75" customHeight="1" x14ac:dyDescent="0.2"/>
    <row r="4889" ht="12.75" customHeight="1" x14ac:dyDescent="0.2"/>
    <row r="4890" ht="12.75" customHeight="1" x14ac:dyDescent="0.2"/>
    <row r="4891" ht="12.75" customHeight="1" x14ac:dyDescent="0.2"/>
    <row r="4892" ht="12.75" customHeight="1" x14ac:dyDescent="0.2"/>
    <row r="4893" ht="12.75" customHeight="1" x14ac:dyDescent="0.2"/>
    <row r="4894" ht="12.75" customHeight="1" x14ac:dyDescent="0.2"/>
    <row r="4895" ht="12.75" customHeight="1" x14ac:dyDescent="0.2"/>
    <row r="4896" ht="12.75" customHeight="1" x14ac:dyDescent="0.2"/>
    <row r="4897" ht="12.75" customHeight="1" x14ac:dyDescent="0.2"/>
    <row r="4898" ht="12.75" customHeight="1" x14ac:dyDescent="0.2"/>
    <row r="4899" ht="12.75" customHeight="1" x14ac:dyDescent="0.2"/>
    <row r="4900" ht="12.75" customHeight="1" x14ac:dyDescent="0.2"/>
    <row r="4901" ht="12.75" customHeight="1" x14ac:dyDescent="0.2"/>
    <row r="4902" ht="12.75" customHeight="1" x14ac:dyDescent="0.2"/>
    <row r="4903" ht="12.75" customHeight="1" x14ac:dyDescent="0.2"/>
    <row r="4904" ht="12.75" customHeight="1" x14ac:dyDescent="0.2"/>
    <row r="4905" ht="12.75" customHeight="1" x14ac:dyDescent="0.2"/>
    <row r="4906" ht="12.75" customHeight="1" x14ac:dyDescent="0.2"/>
    <row r="4907" ht="12.75" customHeight="1" x14ac:dyDescent="0.2"/>
    <row r="4908" ht="12.75" customHeight="1" x14ac:dyDescent="0.2"/>
    <row r="4909" ht="12.75" customHeight="1" x14ac:dyDescent="0.2"/>
    <row r="4910" ht="12.75" customHeight="1" x14ac:dyDescent="0.2"/>
    <row r="4911" ht="12.75" customHeight="1" x14ac:dyDescent="0.2"/>
    <row r="4912" ht="12.75" customHeight="1" x14ac:dyDescent="0.2"/>
    <row r="4913" ht="12.75" customHeight="1" x14ac:dyDescent="0.2"/>
    <row r="4914" ht="12.75" customHeight="1" x14ac:dyDescent="0.2"/>
    <row r="4915" ht="12.75" customHeight="1" x14ac:dyDescent="0.2"/>
    <row r="4916" ht="12.75" customHeight="1" x14ac:dyDescent="0.2"/>
    <row r="4917" ht="12.75" customHeight="1" x14ac:dyDescent="0.2"/>
    <row r="4918" ht="12.75" customHeight="1" x14ac:dyDescent="0.2"/>
    <row r="4919" ht="12.75" customHeight="1" x14ac:dyDescent="0.2"/>
    <row r="4920" ht="12.75" customHeight="1" x14ac:dyDescent="0.2"/>
    <row r="4921" ht="12.75" customHeight="1" x14ac:dyDescent="0.2"/>
    <row r="4922" ht="12.75" customHeight="1" x14ac:dyDescent="0.2"/>
    <row r="4923" ht="12.75" customHeight="1" x14ac:dyDescent="0.2"/>
    <row r="4924" ht="12.75" customHeight="1" x14ac:dyDescent="0.2"/>
    <row r="4925" ht="12.75" customHeight="1" x14ac:dyDescent="0.2"/>
    <row r="4926" ht="12.75" customHeight="1" x14ac:dyDescent="0.2"/>
    <row r="4927" ht="12.75" customHeight="1" x14ac:dyDescent="0.2"/>
    <row r="4928" ht="12.75" customHeight="1" x14ac:dyDescent="0.2"/>
    <row r="4929" ht="12.75" customHeight="1" x14ac:dyDescent="0.2"/>
    <row r="4930" ht="12.75" customHeight="1" x14ac:dyDescent="0.2"/>
    <row r="4931" ht="12.75" customHeight="1" x14ac:dyDescent="0.2"/>
    <row r="4932" ht="12.75" customHeight="1" x14ac:dyDescent="0.2"/>
    <row r="4933" ht="12.75" customHeight="1" x14ac:dyDescent="0.2"/>
    <row r="4934" ht="12.75" customHeight="1" x14ac:dyDescent="0.2"/>
    <row r="4935" ht="12.75" customHeight="1" x14ac:dyDescent="0.2"/>
    <row r="4936" ht="12.75" customHeight="1" x14ac:dyDescent="0.2"/>
    <row r="4937" ht="12.75" customHeight="1" x14ac:dyDescent="0.2"/>
    <row r="4938" ht="12.75" customHeight="1" x14ac:dyDescent="0.2"/>
    <row r="4939" ht="12.75" customHeight="1" x14ac:dyDescent="0.2"/>
    <row r="4940" ht="12.75" customHeight="1" x14ac:dyDescent="0.2"/>
    <row r="4941" ht="12.75" customHeight="1" x14ac:dyDescent="0.2"/>
    <row r="4942" ht="12.75" customHeight="1" x14ac:dyDescent="0.2"/>
    <row r="4943" ht="12.75" customHeight="1" x14ac:dyDescent="0.2"/>
    <row r="4944" ht="12.75" customHeight="1" x14ac:dyDescent="0.2"/>
    <row r="4945" ht="12.75" customHeight="1" x14ac:dyDescent="0.2"/>
    <row r="4946" ht="12.75" customHeight="1" x14ac:dyDescent="0.2"/>
    <row r="4947" ht="12.75" customHeight="1" x14ac:dyDescent="0.2"/>
    <row r="4948" ht="12.75" customHeight="1" x14ac:dyDescent="0.2"/>
    <row r="4949" ht="12.75" customHeight="1" x14ac:dyDescent="0.2"/>
    <row r="4950" ht="12.75" customHeight="1" x14ac:dyDescent="0.2"/>
    <row r="4951" ht="12.75" customHeight="1" x14ac:dyDescent="0.2"/>
    <row r="4952" ht="12.75" customHeight="1" x14ac:dyDescent="0.2"/>
    <row r="4953" ht="12.75" customHeight="1" x14ac:dyDescent="0.2"/>
    <row r="4954" ht="12.75" customHeight="1" x14ac:dyDescent="0.2"/>
    <row r="4955" ht="12.75" customHeight="1" x14ac:dyDescent="0.2"/>
    <row r="4956" ht="12.75" customHeight="1" x14ac:dyDescent="0.2"/>
    <row r="4957" ht="12.75" customHeight="1" x14ac:dyDescent="0.2"/>
    <row r="4958" ht="12.75" customHeight="1" x14ac:dyDescent="0.2"/>
    <row r="4959" ht="12.75" customHeight="1" x14ac:dyDescent="0.2"/>
    <row r="4960" ht="12.75" customHeight="1" x14ac:dyDescent="0.2"/>
    <row r="4961" ht="12.75" customHeight="1" x14ac:dyDescent="0.2"/>
    <row r="4962" ht="12.75" customHeight="1" x14ac:dyDescent="0.2"/>
    <row r="4963" ht="12.75" customHeight="1" x14ac:dyDescent="0.2"/>
    <row r="4964" ht="12.75" customHeight="1" x14ac:dyDescent="0.2"/>
    <row r="4965" ht="12.75" customHeight="1" x14ac:dyDescent="0.2"/>
    <row r="4966" ht="12.75" customHeight="1" x14ac:dyDescent="0.2"/>
    <row r="4967" ht="12.75" customHeight="1" x14ac:dyDescent="0.2"/>
    <row r="4968" ht="12.75" customHeight="1" x14ac:dyDescent="0.2"/>
    <row r="4969" ht="12.75" customHeight="1" x14ac:dyDescent="0.2"/>
    <row r="4970" ht="12.75" customHeight="1" x14ac:dyDescent="0.2"/>
    <row r="4971" ht="12.75" customHeight="1" x14ac:dyDescent="0.2"/>
    <row r="4972" ht="12.75" customHeight="1" x14ac:dyDescent="0.2"/>
    <row r="4973" ht="12.75" customHeight="1" x14ac:dyDescent="0.2"/>
    <row r="4974" ht="12.75" customHeight="1" x14ac:dyDescent="0.2"/>
    <row r="4975" ht="12.75" customHeight="1" x14ac:dyDescent="0.2"/>
    <row r="4976" ht="12.75" customHeight="1" x14ac:dyDescent="0.2"/>
    <row r="4977" ht="12.75" customHeight="1" x14ac:dyDescent="0.2"/>
    <row r="4978" ht="12.75" customHeight="1" x14ac:dyDescent="0.2"/>
    <row r="4979" ht="12.75" customHeight="1" x14ac:dyDescent="0.2"/>
    <row r="4980" ht="12.75" customHeight="1" x14ac:dyDescent="0.2"/>
    <row r="4981" ht="12.75" customHeight="1" x14ac:dyDescent="0.2"/>
    <row r="4982" ht="12.75" customHeight="1" x14ac:dyDescent="0.2"/>
    <row r="4983" ht="12.75" customHeight="1" x14ac:dyDescent="0.2"/>
    <row r="4984" ht="12.75" customHeight="1" x14ac:dyDescent="0.2"/>
    <row r="4985" ht="12.75" customHeight="1" x14ac:dyDescent="0.2"/>
    <row r="4986" ht="12.75" customHeight="1" x14ac:dyDescent="0.2"/>
    <row r="4987" ht="12.75" customHeight="1" x14ac:dyDescent="0.2"/>
    <row r="4988" ht="12.75" customHeight="1" x14ac:dyDescent="0.2"/>
    <row r="4989" ht="12.75" customHeight="1" x14ac:dyDescent="0.2"/>
    <row r="4990" ht="12.75" customHeight="1" x14ac:dyDescent="0.2"/>
    <row r="4991" ht="12.75" customHeight="1" x14ac:dyDescent="0.2"/>
    <row r="4992" ht="12.75" customHeight="1" x14ac:dyDescent="0.2"/>
    <row r="4993" ht="12.75" customHeight="1" x14ac:dyDescent="0.2"/>
    <row r="4994" ht="12.75" customHeight="1" x14ac:dyDescent="0.2"/>
    <row r="4995" ht="12.75" customHeight="1" x14ac:dyDescent="0.2"/>
    <row r="4996" ht="12.75" customHeight="1" x14ac:dyDescent="0.2"/>
    <row r="4997" ht="12.75" customHeight="1" x14ac:dyDescent="0.2"/>
    <row r="4998" ht="12.75" customHeight="1" x14ac:dyDescent="0.2"/>
    <row r="4999" ht="12.75" customHeight="1" x14ac:dyDescent="0.2"/>
    <row r="5000" ht="12.75" customHeight="1" x14ac:dyDescent="0.2"/>
    <row r="5001" ht="12.75" customHeight="1" x14ac:dyDescent="0.2"/>
    <row r="5002" ht="12.75" customHeight="1" x14ac:dyDescent="0.2"/>
    <row r="5003" ht="12.75" customHeight="1" x14ac:dyDescent="0.2"/>
    <row r="5004" ht="12.75" customHeight="1" x14ac:dyDescent="0.2"/>
    <row r="5005" ht="12.75" customHeight="1" x14ac:dyDescent="0.2"/>
    <row r="5006" ht="12.75" customHeight="1" x14ac:dyDescent="0.2"/>
    <row r="5007" ht="12.75" customHeight="1" x14ac:dyDescent="0.2"/>
    <row r="5008" ht="12.75" customHeight="1" x14ac:dyDescent="0.2"/>
    <row r="5009" ht="12.75" customHeight="1" x14ac:dyDescent="0.2"/>
    <row r="5010" ht="12.75" customHeight="1" x14ac:dyDescent="0.2"/>
    <row r="5011" ht="12.75" customHeight="1" x14ac:dyDescent="0.2"/>
    <row r="5012" ht="12.75" customHeight="1" x14ac:dyDescent="0.2"/>
    <row r="5013" ht="12.75" customHeight="1" x14ac:dyDescent="0.2"/>
    <row r="5014" ht="12.75" customHeight="1" x14ac:dyDescent="0.2"/>
    <row r="5015" ht="12.75" customHeight="1" x14ac:dyDescent="0.2"/>
    <row r="5016" ht="12.75" customHeight="1" x14ac:dyDescent="0.2"/>
    <row r="5017" ht="12.75" customHeight="1" x14ac:dyDescent="0.2"/>
    <row r="5018" ht="12.75" customHeight="1" x14ac:dyDescent="0.2"/>
    <row r="5019" ht="12.75" customHeight="1" x14ac:dyDescent="0.2"/>
    <row r="5020" ht="12.75" customHeight="1" x14ac:dyDescent="0.2"/>
    <row r="5021" ht="12.75" customHeight="1" x14ac:dyDescent="0.2"/>
    <row r="5022" ht="12.75" customHeight="1" x14ac:dyDescent="0.2"/>
    <row r="5023" ht="12.75" customHeight="1" x14ac:dyDescent="0.2"/>
    <row r="5024" ht="12.75" customHeight="1" x14ac:dyDescent="0.2"/>
    <row r="5025" ht="12.75" customHeight="1" x14ac:dyDescent="0.2"/>
    <row r="5026" ht="12.75" customHeight="1" x14ac:dyDescent="0.2"/>
    <row r="5027" ht="12.75" customHeight="1" x14ac:dyDescent="0.2"/>
    <row r="5028" ht="12.75" customHeight="1" x14ac:dyDescent="0.2"/>
    <row r="5029" ht="12.75" customHeight="1" x14ac:dyDescent="0.2"/>
    <row r="5030" ht="12.75" customHeight="1" x14ac:dyDescent="0.2"/>
    <row r="5031" ht="12.75" customHeight="1" x14ac:dyDescent="0.2"/>
    <row r="5032" ht="12.75" customHeight="1" x14ac:dyDescent="0.2"/>
    <row r="5033" ht="12.75" customHeight="1" x14ac:dyDescent="0.2"/>
    <row r="5034" ht="12.75" customHeight="1" x14ac:dyDescent="0.2"/>
    <row r="5035" ht="12.75" customHeight="1" x14ac:dyDescent="0.2"/>
    <row r="5036" ht="12.75" customHeight="1" x14ac:dyDescent="0.2"/>
    <row r="5037" ht="12.75" customHeight="1" x14ac:dyDescent="0.2"/>
    <row r="5038" ht="12.75" customHeight="1" x14ac:dyDescent="0.2"/>
    <row r="5039" ht="12.75" customHeight="1" x14ac:dyDescent="0.2"/>
    <row r="5040" ht="12.75" customHeight="1" x14ac:dyDescent="0.2"/>
    <row r="5041" ht="12.75" customHeight="1" x14ac:dyDescent="0.2"/>
    <row r="5042" ht="12.75" customHeight="1" x14ac:dyDescent="0.2"/>
    <row r="5043" ht="12.75" customHeight="1" x14ac:dyDescent="0.2"/>
    <row r="5044" ht="12.75" customHeight="1" x14ac:dyDescent="0.2"/>
    <row r="5045" ht="12.75" customHeight="1" x14ac:dyDescent="0.2"/>
    <row r="5046" ht="12.75" customHeight="1" x14ac:dyDescent="0.2"/>
    <row r="5047" ht="12.75" customHeight="1" x14ac:dyDescent="0.2"/>
    <row r="5048" ht="12.75" customHeight="1" x14ac:dyDescent="0.2"/>
    <row r="5049" ht="12.75" customHeight="1" x14ac:dyDescent="0.2"/>
    <row r="5050" ht="12.75" customHeight="1" x14ac:dyDescent="0.2"/>
    <row r="5051" ht="12.75" customHeight="1" x14ac:dyDescent="0.2"/>
    <row r="5052" ht="12.75" customHeight="1" x14ac:dyDescent="0.2"/>
    <row r="5053" ht="12.75" customHeight="1" x14ac:dyDescent="0.2"/>
    <row r="5054" ht="12.75" customHeight="1" x14ac:dyDescent="0.2"/>
    <row r="5055" ht="12.75" customHeight="1" x14ac:dyDescent="0.2"/>
    <row r="5056" ht="12.75" customHeight="1" x14ac:dyDescent="0.2"/>
    <row r="5057" ht="12.75" customHeight="1" x14ac:dyDescent="0.2"/>
    <row r="5058" ht="12.75" customHeight="1" x14ac:dyDescent="0.2"/>
    <row r="5059" ht="12.75" customHeight="1" x14ac:dyDescent="0.2"/>
    <row r="5060" ht="12.75" customHeight="1" x14ac:dyDescent="0.2"/>
    <row r="5061" ht="12.75" customHeight="1" x14ac:dyDescent="0.2"/>
    <row r="5062" ht="12.75" customHeight="1" x14ac:dyDescent="0.2"/>
    <row r="5063" ht="12.75" customHeight="1" x14ac:dyDescent="0.2"/>
    <row r="5064" ht="12.75" customHeight="1" x14ac:dyDescent="0.2"/>
    <row r="5065" ht="12.75" customHeight="1" x14ac:dyDescent="0.2"/>
    <row r="5066" ht="12.75" customHeight="1" x14ac:dyDescent="0.2"/>
    <row r="5067" ht="12.75" customHeight="1" x14ac:dyDescent="0.2"/>
    <row r="5068" ht="12.75" customHeight="1" x14ac:dyDescent="0.2"/>
    <row r="5069" ht="12.75" customHeight="1" x14ac:dyDescent="0.2"/>
    <row r="5070" ht="12.75" customHeight="1" x14ac:dyDescent="0.2"/>
    <row r="5071" ht="12.75" customHeight="1" x14ac:dyDescent="0.2"/>
    <row r="5072" ht="12.75" customHeight="1" x14ac:dyDescent="0.2"/>
    <row r="5073" ht="12.75" customHeight="1" x14ac:dyDescent="0.2"/>
    <row r="5074" ht="12.75" customHeight="1" x14ac:dyDescent="0.2"/>
    <row r="5075" ht="12.75" customHeight="1" x14ac:dyDescent="0.2"/>
    <row r="5076" ht="12.75" customHeight="1" x14ac:dyDescent="0.2"/>
    <row r="5077" ht="12.75" customHeight="1" x14ac:dyDescent="0.2"/>
    <row r="5078" ht="12.75" customHeight="1" x14ac:dyDescent="0.2"/>
    <row r="5079" ht="12.75" customHeight="1" x14ac:dyDescent="0.2"/>
    <row r="5080" ht="12.75" customHeight="1" x14ac:dyDescent="0.2"/>
    <row r="5081" ht="12.75" customHeight="1" x14ac:dyDescent="0.2"/>
    <row r="5082" ht="12.75" customHeight="1" x14ac:dyDescent="0.2"/>
    <row r="5083" ht="12.75" customHeight="1" x14ac:dyDescent="0.2"/>
    <row r="5084" ht="12.75" customHeight="1" x14ac:dyDescent="0.2"/>
    <row r="5085" ht="12.75" customHeight="1" x14ac:dyDescent="0.2"/>
    <row r="5086" ht="12.75" customHeight="1" x14ac:dyDescent="0.2"/>
    <row r="5087" ht="12.75" customHeight="1" x14ac:dyDescent="0.2"/>
    <row r="5088" ht="12.75" customHeight="1" x14ac:dyDescent="0.2"/>
    <row r="5089" ht="12.75" customHeight="1" x14ac:dyDescent="0.2"/>
    <row r="5090" ht="12.75" customHeight="1" x14ac:dyDescent="0.2"/>
    <row r="5091" ht="12.75" customHeight="1" x14ac:dyDescent="0.2"/>
    <row r="5092" ht="12.75" customHeight="1" x14ac:dyDescent="0.2"/>
    <row r="5093" ht="12.75" customHeight="1" x14ac:dyDescent="0.2"/>
    <row r="5094" ht="12.75" customHeight="1" x14ac:dyDescent="0.2"/>
    <row r="5095" ht="12.75" customHeight="1" x14ac:dyDescent="0.2"/>
    <row r="5096" ht="12.75" customHeight="1" x14ac:dyDescent="0.2"/>
    <row r="5097" ht="12.75" customHeight="1" x14ac:dyDescent="0.2"/>
    <row r="5098" ht="12.75" customHeight="1" x14ac:dyDescent="0.2"/>
    <row r="5099" ht="12.75" customHeight="1" x14ac:dyDescent="0.2"/>
    <row r="5100" ht="12.75" customHeight="1" x14ac:dyDescent="0.2"/>
    <row r="5101" ht="12.75" customHeight="1" x14ac:dyDescent="0.2"/>
    <row r="5102" ht="12.75" customHeight="1" x14ac:dyDescent="0.2"/>
    <row r="5103" ht="12.75" customHeight="1" x14ac:dyDescent="0.2"/>
    <row r="5104" ht="12.75" customHeight="1" x14ac:dyDescent="0.2"/>
    <row r="5105" ht="12.75" customHeight="1" x14ac:dyDescent="0.2"/>
    <row r="5106" ht="12.75" customHeight="1" x14ac:dyDescent="0.2"/>
    <row r="5107" ht="12.75" customHeight="1" x14ac:dyDescent="0.2"/>
    <row r="5108" ht="12.75" customHeight="1" x14ac:dyDescent="0.2"/>
    <row r="5109" ht="12.75" customHeight="1" x14ac:dyDescent="0.2"/>
    <row r="5110" ht="12.75" customHeight="1" x14ac:dyDescent="0.2"/>
    <row r="5111" ht="12.75" customHeight="1" x14ac:dyDescent="0.2"/>
    <row r="5112" ht="12.75" customHeight="1" x14ac:dyDescent="0.2"/>
    <row r="5113" ht="12.75" customHeight="1" x14ac:dyDescent="0.2"/>
    <row r="5114" ht="12.75" customHeight="1" x14ac:dyDescent="0.2"/>
    <row r="5115" ht="12.75" customHeight="1" x14ac:dyDescent="0.2"/>
    <row r="5116" ht="12.75" customHeight="1" x14ac:dyDescent="0.2"/>
    <row r="5117" ht="12.75" customHeight="1" x14ac:dyDescent="0.2"/>
    <row r="5118" ht="12.75" customHeight="1" x14ac:dyDescent="0.2"/>
    <row r="5119" ht="12.75" customHeight="1" x14ac:dyDescent="0.2"/>
    <row r="5120" ht="12.75" customHeight="1" x14ac:dyDescent="0.2"/>
    <row r="5121" ht="12.75" customHeight="1" x14ac:dyDescent="0.2"/>
    <row r="5122" ht="12.75" customHeight="1" x14ac:dyDescent="0.2"/>
    <row r="5123" ht="12.75" customHeight="1" x14ac:dyDescent="0.2"/>
    <row r="5124" ht="12.75" customHeight="1" x14ac:dyDescent="0.2"/>
    <row r="5125" ht="12.75" customHeight="1" x14ac:dyDescent="0.2"/>
    <row r="5126" ht="12.75" customHeight="1" x14ac:dyDescent="0.2"/>
    <row r="5127" ht="12.75" customHeight="1" x14ac:dyDescent="0.2"/>
    <row r="5128" ht="12.75" customHeight="1" x14ac:dyDescent="0.2"/>
    <row r="5129" ht="12.75" customHeight="1" x14ac:dyDescent="0.2"/>
    <row r="5130" ht="12.75" customHeight="1" x14ac:dyDescent="0.2"/>
    <row r="5131" ht="12.75" customHeight="1" x14ac:dyDescent="0.2"/>
    <row r="5132" ht="12.75" customHeight="1" x14ac:dyDescent="0.2"/>
    <row r="5133" ht="12.75" customHeight="1" x14ac:dyDescent="0.2"/>
    <row r="5134" ht="12.75" customHeight="1" x14ac:dyDescent="0.2"/>
    <row r="5135" ht="12.75" customHeight="1" x14ac:dyDescent="0.2"/>
    <row r="5136" ht="12.75" customHeight="1" x14ac:dyDescent="0.2"/>
    <row r="5137" ht="12.75" customHeight="1" x14ac:dyDescent="0.2"/>
    <row r="5138" ht="12.75" customHeight="1" x14ac:dyDescent="0.2"/>
    <row r="5139" ht="12.75" customHeight="1" x14ac:dyDescent="0.2"/>
    <row r="5140" ht="12.75" customHeight="1" x14ac:dyDescent="0.2"/>
    <row r="5141" ht="12.75" customHeight="1" x14ac:dyDescent="0.2"/>
    <row r="5142" ht="12.75" customHeight="1" x14ac:dyDescent="0.2"/>
    <row r="5143" ht="12.75" customHeight="1" x14ac:dyDescent="0.2"/>
    <row r="5144" ht="12.75" customHeight="1" x14ac:dyDescent="0.2"/>
    <row r="5145" ht="12.75" customHeight="1" x14ac:dyDescent="0.2"/>
    <row r="5146" ht="12.75" customHeight="1" x14ac:dyDescent="0.2"/>
    <row r="5147" ht="12.75" customHeight="1" x14ac:dyDescent="0.2"/>
    <row r="5148" ht="12.75" customHeight="1" x14ac:dyDescent="0.2"/>
    <row r="5149" ht="12.75" customHeight="1" x14ac:dyDescent="0.2"/>
    <row r="5150" ht="12.75" customHeight="1" x14ac:dyDescent="0.2"/>
    <row r="5151" ht="12.75" customHeight="1" x14ac:dyDescent="0.2"/>
    <row r="5152" ht="12.75" customHeight="1" x14ac:dyDescent="0.2"/>
    <row r="5153" ht="12.75" customHeight="1" x14ac:dyDescent="0.2"/>
    <row r="5154" ht="12.75" customHeight="1" x14ac:dyDescent="0.2"/>
    <row r="5155" ht="12.75" customHeight="1" x14ac:dyDescent="0.2"/>
    <row r="5156" ht="12.75" customHeight="1" x14ac:dyDescent="0.2"/>
    <row r="5157" ht="12.75" customHeight="1" x14ac:dyDescent="0.2"/>
    <row r="5158" ht="12.75" customHeight="1" x14ac:dyDescent="0.2"/>
    <row r="5159" ht="12.75" customHeight="1" x14ac:dyDescent="0.2"/>
    <row r="5160" ht="12.75" customHeight="1" x14ac:dyDescent="0.2"/>
    <row r="5161" ht="12.75" customHeight="1" x14ac:dyDescent="0.2"/>
    <row r="5162" ht="12.75" customHeight="1" x14ac:dyDescent="0.2"/>
    <row r="5163" ht="12.75" customHeight="1" x14ac:dyDescent="0.2"/>
    <row r="5164" ht="12.75" customHeight="1" x14ac:dyDescent="0.2"/>
    <row r="5165" ht="12.75" customHeight="1" x14ac:dyDescent="0.2"/>
    <row r="5166" ht="12.75" customHeight="1" x14ac:dyDescent="0.2"/>
    <row r="5167" ht="12.75" customHeight="1" x14ac:dyDescent="0.2"/>
    <row r="5168" ht="12.75" customHeight="1" x14ac:dyDescent="0.2"/>
    <row r="5169" ht="12.75" customHeight="1" x14ac:dyDescent="0.2"/>
    <row r="5170" ht="12.75" customHeight="1" x14ac:dyDescent="0.2"/>
    <row r="5171" ht="12.75" customHeight="1" x14ac:dyDescent="0.2"/>
    <row r="5172" ht="12.75" customHeight="1" x14ac:dyDescent="0.2"/>
    <row r="5173" ht="12.75" customHeight="1" x14ac:dyDescent="0.2"/>
    <row r="5174" ht="12.75" customHeight="1" x14ac:dyDescent="0.2"/>
    <row r="5175" ht="12.75" customHeight="1" x14ac:dyDescent="0.2"/>
    <row r="5176" ht="12.75" customHeight="1" x14ac:dyDescent="0.2"/>
    <row r="5177" ht="12.75" customHeight="1" x14ac:dyDescent="0.2"/>
    <row r="5178" ht="12.75" customHeight="1" x14ac:dyDescent="0.2"/>
    <row r="5179" ht="12.75" customHeight="1" x14ac:dyDescent="0.2"/>
    <row r="5180" ht="12.75" customHeight="1" x14ac:dyDescent="0.2"/>
    <row r="5181" ht="12.75" customHeight="1" x14ac:dyDescent="0.2"/>
    <row r="5182" ht="12.75" customHeight="1" x14ac:dyDescent="0.2"/>
    <row r="5183" ht="12.75" customHeight="1" x14ac:dyDescent="0.2"/>
    <row r="5184" ht="12.75" customHeight="1" x14ac:dyDescent="0.2"/>
    <row r="5185" ht="12.75" customHeight="1" x14ac:dyDescent="0.2"/>
    <row r="5186" ht="12.75" customHeight="1" x14ac:dyDescent="0.2"/>
    <row r="5187" ht="12.75" customHeight="1" x14ac:dyDescent="0.2"/>
    <row r="5188" ht="12.75" customHeight="1" x14ac:dyDescent="0.2"/>
    <row r="5189" ht="12.75" customHeight="1" x14ac:dyDescent="0.2"/>
    <row r="5190" ht="12.75" customHeight="1" x14ac:dyDescent="0.2"/>
    <row r="5191" ht="12.75" customHeight="1" x14ac:dyDescent="0.2"/>
    <row r="5192" ht="12.75" customHeight="1" x14ac:dyDescent="0.2"/>
    <row r="5193" ht="12.75" customHeight="1" x14ac:dyDescent="0.2"/>
    <row r="5194" ht="12.75" customHeight="1" x14ac:dyDescent="0.2"/>
    <row r="5195" ht="12.75" customHeight="1" x14ac:dyDescent="0.2"/>
    <row r="5196" ht="12.75" customHeight="1" x14ac:dyDescent="0.2"/>
    <row r="5197" ht="12.75" customHeight="1" x14ac:dyDescent="0.2"/>
    <row r="5198" ht="12.75" customHeight="1" x14ac:dyDescent="0.2"/>
    <row r="5199" ht="12.75" customHeight="1" x14ac:dyDescent="0.2"/>
    <row r="5200" ht="12.75" customHeight="1" x14ac:dyDescent="0.2"/>
    <row r="5201" ht="12.75" customHeight="1" x14ac:dyDescent="0.2"/>
    <row r="5202" ht="12.75" customHeight="1" x14ac:dyDescent="0.2"/>
    <row r="5203" ht="12.75" customHeight="1" x14ac:dyDescent="0.2"/>
    <row r="5204" ht="12.75" customHeight="1" x14ac:dyDescent="0.2"/>
    <row r="5205" ht="12.75" customHeight="1" x14ac:dyDescent="0.2"/>
    <row r="5206" ht="12.75" customHeight="1" x14ac:dyDescent="0.2"/>
    <row r="5207" ht="12.75" customHeight="1" x14ac:dyDescent="0.2"/>
    <row r="5208" ht="12.75" customHeight="1" x14ac:dyDescent="0.2"/>
    <row r="5209" ht="12.75" customHeight="1" x14ac:dyDescent="0.2"/>
    <row r="5210" ht="12.75" customHeight="1" x14ac:dyDescent="0.2"/>
    <row r="5211" ht="12.75" customHeight="1" x14ac:dyDescent="0.2"/>
    <row r="5212" ht="12.75" customHeight="1" x14ac:dyDescent="0.2"/>
    <row r="5213" ht="12.75" customHeight="1" x14ac:dyDescent="0.2"/>
    <row r="5214" ht="12.75" customHeight="1" x14ac:dyDescent="0.2"/>
    <row r="5215" ht="12.75" customHeight="1" x14ac:dyDescent="0.2"/>
    <row r="5216" ht="12.75" customHeight="1" x14ac:dyDescent="0.2"/>
    <row r="5217" ht="12.75" customHeight="1" x14ac:dyDescent="0.2"/>
    <row r="5218" ht="12.75" customHeight="1" x14ac:dyDescent="0.2"/>
    <row r="5219" ht="12.75" customHeight="1" x14ac:dyDescent="0.2"/>
    <row r="5220" ht="12.75" customHeight="1" x14ac:dyDescent="0.2"/>
    <row r="5221" ht="12.75" customHeight="1" x14ac:dyDescent="0.2"/>
    <row r="5222" ht="12.75" customHeight="1" x14ac:dyDescent="0.2"/>
    <row r="5223" ht="12.75" customHeight="1" x14ac:dyDescent="0.2"/>
    <row r="5224" ht="12.75" customHeight="1" x14ac:dyDescent="0.2"/>
    <row r="5225" ht="12.75" customHeight="1" x14ac:dyDescent="0.2"/>
    <row r="5226" ht="12.75" customHeight="1" x14ac:dyDescent="0.2"/>
    <row r="5227" ht="12.75" customHeight="1" x14ac:dyDescent="0.2"/>
    <row r="5228" ht="12.75" customHeight="1" x14ac:dyDescent="0.2"/>
    <row r="5229" ht="12.75" customHeight="1" x14ac:dyDescent="0.2"/>
    <row r="5230" ht="12.75" customHeight="1" x14ac:dyDescent="0.2"/>
    <row r="5231" ht="12.75" customHeight="1" x14ac:dyDescent="0.2"/>
    <row r="5232" ht="12.75" customHeight="1" x14ac:dyDescent="0.2"/>
    <row r="5233" ht="12.75" customHeight="1" x14ac:dyDescent="0.2"/>
    <row r="5234" ht="12.75" customHeight="1" x14ac:dyDescent="0.2"/>
    <row r="5235" ht="12.75" customHeight="1" x14ac:dyDescent="0.2"/>
    <row r="5236" ht="12.75" customHeight="1" x14ac:dyDescent="0.2"/>
    <row r="5237" ht="12.75" customHeight="1" x14ac:dyDescent="0.2"/>
    <row r="5238" ht="12.75" customHeight="1" x14ac:dyDescent="0.2"/>
    <row r="5239" ht="12.75" customHeight="1" x14ac:dyDescent="0.2"/>
    <row r="5240" ht="12.75" customHeight="1" x14ac:dyDescent="0.2"/>
    <row r="5241" ht="12.75" customHeight="1" x14ac:dyDescent="0.2"/>
    <row r="5242" ht="12.75" customHeight="1" x14ac:dyDescent="0.2"/>
    <row r="5243" ht="12.75" customHeight="1" x14ac:dyDescent="0.2"/>
    <row r="5244" ht="12.75" customHeight="1" x14ac:dyDescent="0.2"/>
    <row r="5245" ht="12.75" customHeight="1" x14ac:dyDescent="0.2"/>
    <row r="5246" ht="12.75" customHeight="1" x14ac:dyDescent="0.2"/>
    <row r="5247" ht="12.75" customHeight="1" x14ac:dyDescent="0.2"/>
    <row r="5248" ht="12.75" customHeight="1" x14ac:dyDescent="0.2"/>
    <row r="5249" ht="12.75" customHeight="1" x14ac:dyDescent="0.2"/>
    <row r="5250" ht="12.75" customHeight="1" x14ac:dyDescent="0.2"/>
    <row r="5251" ht="12.75" customHeight="1" x14ac:dyDescent="0.2"/>
    <row r="5252" ht="12.75" customHeight="1" x14ac:dyDescent="0.2"/>
    <row r="5253" ht="12.75" customHeight="1" x14ac:dyDescent="0.2"/>
    <row r="5254" ht="12.75" customHeight="1" x14ac:dyDescent="0.2"/>
    <row r="5255" ht="12.75" customHeight="1" x14ac:dyDescent="0.2"/>
    <row r="5256" ht="12.75" customHeight="1" x14ac:dyDescent="0.2"/>
    <row r="5257" ht="12.75" customHeight="1" x14ac:dyDescent="0.2"/>
    <row r="5258" ht="12.75" customHeight="1" x14ac:dyDescent="0.2"/>
    <row r="5259" ht="12.75" customHeight="1" x14ac:dyDescent="0.2"/>
    <row r="5260" ht="12.75" customHeight="1" x14ac:dyDescent="0.2"/>
    <row r="5261" ht="12.75" customHeight="1" x14ac:dyDescent="0.2"/>
    <row r="5262" ht="12.75" customHeight="1" x14ac:dyDescent="0.2"/>
    <row r="5263" ht="12.75" customHeight="1" x14ac:dyDescent="0.2"/>
    <row r="5264" ht="12.75" customHeight="1" x14ac:dyDescent="0.2"/>
    <row r="5265" ht="12.75" customHeight="1" x14ac:dyDescent="0.2"/>
    <row r="5266" ht="12.75" customHeight="1" x14ac:dyDescent="0.2"/>
    <row r="5267" ht="12.75" customHeight="1" x14ac:dyDescent="0.2"/>
    <row r="5268" ht="12.75" customHeight="1" x14ac:dyDescent="0.2"/>
    <row r="5269" ht="12.75" customHeight="1" x14ac:dyDescent="0.2"/>
    <row r="5270" ht="12.75" customHeight="1" x14ac:dyDescent="0.2"/>
    <row r="5271" ht="12.75" customHeight="1" x14ac:dyDescent="0.2"/>
    <row r="5272" ht="12.75" customHeight="1" x14ac:dyDescent="0.2"/>
    <row r="5273" ht="12.75" customHeight="1" x14ac:dyDescent="0.2"/>
    <row r="5274" ht="12.75" customHeight="1" x14ac:dyDescent="0.2"/>
    <row r="5275" ht="12.75" customHeight="1" x14ac:dyDescent="0.2"/>
    <row r="5276" ht="12.75" customHeight="1" x14ac:dyDescent="0.2"/>
    <row r="5277" ht="12.75" customHeight="1" x14ac:dyDescent="0.2"/>
    <row r="5278" ht="12.75" customHeight="1" x14ac:dyDescent="0.2"/>
    <row r="5279" ht="12.75" customHeight="1" x14ac:dyDescent="0.2"/>
    <row r="5280" ht="12.75" customHeight="1" x14ac:dyDescent="0.2"/>
    <row r="5281" ht="12.75" customHeight="1" x14ac:dyDescent="0.2"/>
    <row r="5282" ht="12.75" customHeight="1" x14ac:dyDescent="0.2"/>
    <row r="5283" ht="12.75" customHeight="1" x14ac:dyDescent="0.2"/>
    <row r="5284" ht="12.75" customHeight="1" x14ac:dyDescent="0.2"/>
    <row r="5285" ht="12.75" customHeight="1" x14ac:dyDescent="0.2"/>
    <row r="5286" ht="12.75" customHeight="1" x14ac:dyDescent="0.2"/>
    <row r="5287" ht="12.75" customHeight="1" x14ac:dyDescent="0.2"/>
    <row r="5288" ht="12.75" customHeight="1" x14ac:dyDescent="0.2"/>
    <row r="5289" ht="12.75" customHeight="1" x14ac:dyDescent="0.2"/>
    <row r="5290" ht="12.75" customHeight="1" x14ac:dyDescent="0.2"/>
    <row r="5291" ht="12.75" customHeight="1" x14ac:dyDescent="0.2"/>
    <row r="5292" ht="12.75" customHeight="1" x14ac:dyDescent="0.2"/>
    <row r="5293" ht="12.75" customHeight="1" x14ac:dyDescent="0.2"/>
    <row r="5294" ht="12.75" customHeight="1" x14ac:dyDescent="0.2"/>
    <row r="5295" ht="12.75" customHeight="1" x14ac:dyDescent="0.2"/>
    <row r="5296" ht="12.75" customHeight="1" x14ac:dyDescent="0.2"/>
    <row r="5297" ht="12.75" customHeight="1" x14ac:dyDescent="0.2"/>
    <row r="5298" ht="12.75" customHeight="1" x14ac:dyDescent="0.2"/>
    <row r="5299" ht="12.75" customHeight="1" x14ac:dyDescent="0.2"/>
    <row r="5300" ht="12.75" customHeight="1" x14ac:dyDescent="0.2"/>
    <row r="5301" ht="12.75" customHeight="1" x14ac:dyDescent="0.2"/>
    <row r="5302" ht="12.75" customHeight="1" x14ac:dyDescent="0.2"/>
    <row r="5303" ht="12.75" customHeight="1" x14ac:dyDescent="0.2"/>
    <row r="5304" ht="12.75" customHeight="1" x14ac:dyDescent="0.2"/>
    <row r="5305" ht="12.75" customHeight="1" x14ac:dyDescent="0.2"/>
    <row r="5306" ht="12.75" customHeight="1" x14ac:dyDescent="0.2"/>
    <row r="5307" ht="12.75" customHeight="1" x14ac:dyDescent="0.2"/>
    <row r="5308" ht="12.75" customHeight="1" x14ac:dyDescent="0.2"/>
    <row r="5309" ht="12.75" customHeight="1" x14ac:dyDescent="0.2"/>
    <row r="5310" ht="12.75" customHeight="1" x14ac:dyDescent="0.2"/>
    <row r="5311" ht="12.75" customHeight="1" x14ac:dyDescent="0.2"/>
    <row r="5312" ht="12.75" customHeight="1" x14ac:dyDescent="0.2"/>
    <row r="5313" ht="12.75" customHeight="1" x14ac:dyDescent="0.2"/>
    <row r="5314" ht="12.75" customHeight="1" x14ac:dyDescent="0.2"/>
    <row r="5315" ht="12.75" customHeight="1" x14ac:dyDescent="0.2"/>
    <row r="5316" ht="12.75" customHeight="1" x14ac:dyDescent="0.2"/>
    <row r="5317" ht="12.75" customHeight="1" x14ac:dyDescent="0.2"/>
    <row r="5318" ht="12.75" customHeight="1" x14ac:dyDescent="0.2"/>
    <row r="5319" ht="12.75" customHeight="1" x14ac:dyDescent="0.2"/>
    <row r="5320" ht="12.75" customHeight="1" x14ac:dyDescent="0.2"/>
    <row r="5321" ht="12.75" customHeight="1" x14ac:dyDescent="0.2"/>
    <row r="5322" ht="12.75" customHeight="1" x14ac:dyDescent="0.2"/>
    <row r="5323" ht="12.75" customHeight="1" x14ac:dyDescent="0.2"/>
    <row r="5324" ht="12.75" customHeight="1" x14ac:dyDescent="0.2"/>
    <row r="5325" ht="12.75" customHeight="1" x14ac:dyDescent="0.2"/>
    <row r="5326" ht="12.75" customHeight="1" x14ac:dyDescent="0.2"/>
    <row r="5327" ht="12.75" customHeight="1" x14ac:dyDescent="0.2"/>
    <row r="5328" ht="12.75" customHeight="1" x14ac:dyDescent="0.2"/>
    <row r="5329" ht="12.75" customHeight="1" x14ac:dyDescent="0.2"/>
    <row r="5330" ht="12.75" customHeight="1" x14ac:dyDescent="0.2"/>
    <row r="5331" ht="12.75" customHeight="1" x14ac:dyDescent="0.2"/>
    <row r="5332" ht="12.75" customHeight="1" x14ac:dyDescent="0.2"/>
    <row r="5333" ht="12.75" customHeight="1" x14ac:dyDescent="0.2"/>
    <row r="5334" ht="12.75" customHeight="1" x14ac:dyDescent="0.2"/>
    <row r="5335" ht="12.75" customHeight="1" x14ac:dyDescent="0.2"/>
    <row r="5336" ht="12.75" customHeight="1" x14ac:dyDescent="0.2"/>
    <row r="5337" ht="12.75" customHeight="1" x14ac:dyDescent="0.2"/>
    <row r="5338" ht="12.75" customHeight="1" x14ac:dyDescent="0.2"/>
    <row r="5339" ht="12.75" customHeight="1" x14ac:dyDescent="0.2"/>
    <row r="5340" ht="12.75" customHeight="1" x14ac:dyDescent="0.2"/>
    <row r="5341" ht="12.75" customHeight="1" x14ac:dyDescent="0.2"/>
    <row r="5342" ht="12.75" customHeight="1" x14ac:dyDescent="0.2"/>
    <row r="5343" ht="12.75" customHeight="1" x14ac:dyDescent="0.2"/>
    <row r="5344" ht="12.75" customHeight="1" x14ac:dyDescent="0.2"/>
    <row r="5345" ht="12.75" customHeight="1" x14ac:dyDescent="0.2"/>
    <row r="5346" ht="12.75" customHeight="1" x14ac:dyDescent="0.2"/>
    <row r="5347" ht="12.75" customHeight="1" x14ac:dyDescent="0.2"/>
    <row r="5348" ht="12.75" customHeight="1" x14ac:dyDescent="0.2"/>
    <row r="5349" ht="12.75" customHeight="1" x14ac:dyDescent="0.2"/>
    <row r="5350" ht="12.75" customHeight="1" x14ac:dyDescent="0.2"/>
    <row r="5351" ht="12.75" customHeight="1" x14ac:dyDescent="0.2"/>
    <row r="5352" ht="12.75" customHeight="1" x14ac:dyDescent="0.2"/>
    <row r="5353" ht="12.75" customHeight="1" x14ac:dyDescent="0.2"/>
    <row r="5354" ht="12.75" customHeight="1" x14ac:dyDescent="0.2"/>
    <row r="5355" ht="12.75" customHeight="1" x14ac:dyDescent="0.2"/>
    <row r="5356" ht="12.75" customHeight="1" x14ac:dyDescent="0.2"/>
    <row r="5357" ht="12.75" customHeight="1" x14ac:dyDescent="0.2"/>
    <row r="5358" ht="12.75" customHeight="1" x14ac:dyDescent="0.2"/>
    <row r="5359" ht="12.75" customHeight="1" x14ac:dyDescent="0.2"/>
    <row r="5360" ht="12.75" customHeight="1" x14ac:dyDescent="0.2"/>
    <row r="5361" ht="12.75" customHeight="1" x14ac:dyDescent="0.2"/>
    <row r="5362" ht="12.75" customHeight="1" x14ac:dyDescent="0.2"/>
    <row r="5363" ht="12.75" customHeight="1" x14ac:dyDescent="0.2"/>
    <row r="5364" ht="12.75" customHeight="1" x14ac:dyDescent="0.2"/>
    <row r="5365" ht="12.75" customHeight="1" x14ac:dyDescent="0.2"/>
    <row r="5366" ht="12.75" customHeight="1" x14ac:dyDescent="0.2"/>
    <row r="5367" ht="12.75" customHeight="1" x14ac:dyDescent="0.2"/>
    <row r="5368" ht="12.75" customHeight="1" x14ac:dyDescent="0.2"/>
    <row r="5369" ht="12.75" customHeight="1" x14ac:dyDescent="0.2"/>
    <row r="5370" ht="12.75" customHeight="1" x14ac:dyDescent="0.2"/>
    <row r="5371" ht="12.75" customHeight="1" x14ac:dyDescent="0.2"/>
    <row r="5372" ht="12.75" customHeight="1" x14ac:dyDescent="0.2"/>
    <row r="5373" ht="12.75" customHeight="1" x14ac:dyDescent="0.2"/>
    <row r="5374" ht="12.75" customHeight="1" x14ac:dyDescent="0.2"/>
    <row r="5375" ht="12.75" customHeight="1" x14ac:dyDescent="0.2"/>
    <row r="5376" ht="12.75" customHeight="1" x14ac:dyDescent="0.2"/>
    <row r="5377" ht="12.75" customHeight="1" x14ac:dyDescent="0.2"/>
    <row r="5378" ht="12.75" customHeight="1" x14ac:dyDescent="0.2"/>
    <row r="5379" ht="12.75" customHeight="1" x14ac:dyDescent="0.2"/>
    <row r="5380" ht="12.75" customHeight="1" x14ac:dyDescent="0.2"/>
    <row r="5381" ht="12.75" customHeight="1" x14ac:dyDescent="0.2"/>
    <row r="5382" ht="12.75" customHeight="1" x14ac:dyDescent="0.2"/>
    <row r="5383" ht="12.75" customHeight="1" x14ac:dyDescent="0.2"/>
    <row r="5384" ht="12.75" customHeight="1" x14ac:dyDescent="0.2"/>
    <row r="5385" ht="12.75" customHeight="1" x14ac:dyDescent="0.2"/>
    <row r="5386" ht="12.75" customHeight="1" x14ac:dyDescent="0.2"/>
    <row r="5387" ht="12.75" customHeight="1" x14ac:dyDescent="0.2"/>
    <row r="5388" ht="12.75" customHeight="1" x14ac:dyDescent="0.2"/>
    <row r="5389" ht="12.75" customHeight="1" x14ac:dyDescent="0.2"/>
    <row r="5390" ht="12.75" customHeight="1" x14ac:dyDescent="0.2"/>
    <row r="5391" ht="12.75" customHeight="1" x14ac:dyDescent="0.2"/>
    <row r="5392" ht="12.75" customHeight="1" x14ac:dyDescent="0.2"/>
    <row r="5393" ht="12.75" customHeight="1" x14ac:dyDescent="0.2"/>
    <row r="5394" ht="12.75" customHeight="1" x14ac:dyDescent="0.2"/>
    <row r="5395" ht="12.75" customHeight="1" x14ac:dyDescent="0.2"/>
    <row r="5396" ht="12.75" customHeight="1" x14ac:dyDescent="0.2"/>
    <row r="5397" ht="12.75" customHeight="1" x14ac:dyDescent="0.2"/>
    <row r="5398" ht="12.75" customHeight="1" x14ac:dyDescent="0.2"/>
    <row r="5399" ht="12.75" customHeight="1" x14ac:dyDescent="0.2"/>
    <row r="5400" ht="12.75" customHeight="1" x14ac:dyDescent="0.2"/>
    <row r="5401" ht="12.75" customHeight="1" x14ac:dyDescent="0.2"/>
    <row r="5402" ht="12.75" customHeight="1" x14ac:dyDescent="0.2"/>
    <row r="5403" ht="12.75" customHeight="1" x14ac:dyDescent="0.2"/>
    <row r="5404" ht="12.75" customHeight="1" x14ac:dyDescent="0.2"/>
    <row r="5405" ht="12.75" customHeight="1" x14ac:dyDescent="0.2"/>
    <row r="5406" ht="12.75" customHeight="1" x14ac:dyDescent="0.2"/>
    <row r="5407" ht="12.75" customHeight="1" x14ac:dyDescent="0.2"/>
    <row r="5408" ht="12.75" customHeight="1" x14ac:dyDescent="0.2"/>
    <row r="5409" ht="12.75" customHeight="1" x14ac:dyDescent="0.2"/>
    <row r="5410" ht="12.75" customHeight="1" x14ac:dyDescent="0.2"/>
    <row r="5411" ht="12.75" customHeight="1" x14ac:dyDescent="0.2"/>
    <row r="5412" ht="12.75" customHeight="1" x14ac:dyDescent="0.2"/>
    <row r="5413" ht="12.75" customHeight="1" x14ac:dyDescent="0.2"/>
    <row r="5414" ht="12.75" customHeight="1" x14ac:dyDescent="0.2"/>
    <row r="5415" ht="12.75" customHeight="1" x14ac:dyDescent="0.2"/>
    <row r="5416" ht="12.75" customHeight="1" x14ac:dyDescent="0.2"/>
    <row r="5417" ht="12.75" customHeight="1" x14ac:dyDescent="0.2"/>
    <row r="5418" ht="12.75" customHeight="1" x14ac:dyDescent="0.2"/>
    <row r="5419" ht="12.75" customHeight="1" x14ac:dyDescent="0.2"/>
    <row r="5420" ht="12.75" customHeight="1" x14ac:dyDescent="0.2"/>
    <row r="5421" ht="12.75" customHeight="1" x14ac:dyDescent="0.2"/>
    <row r="5422" ht="12.75" customHeight="1" x14ac:dyDescent="0.2"/>
    <row r="5423" ht="12.75" customHeight="1" x14ac:dyDescent="0.2"/>
    <row r="5424" ht="12.75" customHeight="1" x14ac:dyDescent="0.2"/>
    <row r="5425" ht="12.75" customHeight="1" x14ac:dyDescent="0.2"/>
    <row r="5426" ht="12.75" customHeight="1" x14ac:dyDescent="0.2"/>
    <row r="5427" ht="12.75" customHeight="1" x14ac:dyDescent="0.2"/>
    <row r="5428" ht="12.75" customHeight="1" x14ac:dyDescent="0.2"/>
    <row r="5429" ht="12.75" customHeight="1" x14ac:dyDescent="0.2"/>
    <row r="5430" ht="12.75" customHeight="1" x14ac:dyDescent="0.2"/>
    <row r="5431" ht="12.75" customHeight="1" x14ac:dyDescent="0.2"/>
    <row r="5432" ht="12.75" customHeight="1" x14ac:dyDescent="0.2"/>
    <row r="5433" ht="12.75" customHeight="1" x14ac:dyDescent="0.2"/>
    <row r="5434" ht="12.75" customHeight="1" x14ac:dyDescent="0.2"/>
    <row r="5435" ht="12.75" customHeight="1" x14ac:dyDescent="0.2"/>
    <row r="5436" ht="12.75" customHeight="1" x14ac:dyDescent="0.2"/>
    <row r="5437" ht="12.75" customHeight="1" x14ac:dyDescent="0.2"/>
    <row r="5438" ht="12.75" customHeight="1" x14ac:dyDescent="0.2"/>
    <row r="5439" ht="12.75" customHeight="1" x14ac:dyDescent="0.2"/>
    <row r="5440" ht="12.75" customHeight="1" x14ac:dyDescent="0.2"/>
    <row r="5441" ht="12.75" customHeight="1" x14ac:dyDescent="0.2"/>
    <row r="5442" ht="12.75" customHeight="1" x14ac:dyDescent="0.2"/>
    <row r="5443" ht="12.75" customHeight="1" x14ac:dyDescent="0.2"/>
    <row r="5444" ht="12.75" customHeight="1" x14ac:dyDescent="0.2"/>
    <row r="5445" ht="12.75" customHeight="1" x14ac:dyDescent="0.2"/>
    <row r="5446" ht="12.75" customHeight="1" x14ac:dyDescent="0.2"/>
    <row r="5447" ht="12.75" customHeight="1" x14ac:dyDescent="0.2"/>
    <row r="5448" ht="12.75" customHeight="1" x14ac:dyDescent="0.2"/>
    <row r="5449" ht="12.75" customHeight="1" x14ac:dyDescent="0.2"/>
    <row r="5450" ht="12.75" customHeight="1" x14ac:dyDescent="0.2"/>
    <row r="5451" ht="12.75" customHeight="1" x14ac:dyDescent="0.2"/>
    <row r="5452" ht="12.75" customHeight="1" x14ac:dyDescent="0.2"/>
    <row r="5453" ht="12.75" customHeight="1" x14ac:dyDescent="0.2"/>
    <row r="5454" ht="12.75" customHeight="1" x14ac:dyDescent="0.2"/>
    <row r="5455" ht="12.75" customHeight="1" x14ac:dyDescent="0.2"/>
    <row r="5456" ht="12.75" customHeight="1" x14ac:dyDescent="0.2"/>
    <row r="5457" ht="12.75" customHeight="1" x14ac:dyDescent="0.2"/>
    <row r="5458" ht="12.75" customHeight="1" x14ac:dyDescent="0.2"/>
    <row r="5459" ht="12.75" customHeight="1" x14ac:dyDescent="0.2"/>
    <row r="5460" ht="12.75" customHeight="1" x14ac:dyDescent="0.2"/>
    <row r="5461" ht="12.75" customHeight="1" x14ac:dyDescent="0.2"/>
    <row r="5462" ht="12.75" customHeight="1" x14ac:dyDescent="0.2"/>
    <row r="5463" ht="12.75" customHeight="1" x14ac:dyDescent="0.2"/>
    <row r="5464" ht="12.75" customHeight="1" x14ac:dyDescent="0.2"/>
    <row r="5465" ht="12.75" customHeight="1" x14ac:dyDescent="0.2"/>
    <row r="5466" ht="12.75" customHeight="1" x14ac:dyDescent="0.2"/>
    <row r="5467" ht="12.75" customHeight="1" x14ac:dyDescent="0.2"/>
    <row r="5468" ht="12.75" customHeight="1" x14ac:dyDescent="0.2"/>
    <row r="5469" ht="12.75" customHeight="1" x14ac:dyDescent="0.2"/>
    <row r="5470" ht="12.75" customHeight="1" x14ac:dyDescent="0.2"/>
    <row r="5471" ht="12.75" customHeight="1" x14ac:dyDescent="0.2"/>
    <row r="5472" ht="12.75" customHeight="1" x14ac:dyDescent="0.2"/>
    <row r="5473" ht="12.75" customHeight="1" x14ac:dyDescent="0.2"/>
    <row r="5474" ht="12.75" customHeight="1" x14ac:dyDescent="0.2"/>
    <row r="5475" ht="12.75" customHeight="1" x14ac:dyDescent="0.2"/>
    <row r="5476" ht="12.75" customHeight="1" x14ac:dyDescent="0.2"/>
    <row r="5477" ht="12.75" customHeight="1" x14ac:dyDescent="0.2"/>
    <row r="5478" ht="12.75" customHeight="1" x14ac:dyDescent="0.2"/>
    <row r="5479" ht="12.75" customHeight="1" x14ac:dyDescent="0.2"/>
    <row r="5480" ht="12.75" customHeight="1" x14ac:dyDescent="0.2"/>
    <row r="5481" ht="12.75" customHeight="1" x14ac:dyDescent="0.2"/>
    <row r="5482" ht="12.75" customHeight="1" x14ac:dyDescent="0.2"/>
    <row r="5483" ht="12.75" customHeight="1" x14ac:dyDescent="0.2"/>
    <row r="5484" ht="12.75" customHeight="1" x14ac:dyDescent="0.2"/>
    <row r="5485" ht="12.75" customHeight="1" x14ac:dyDescent="0.2"/>
    <row r="5486" ht="12.75" customHeight="1" x14ac:dyDescent="0.2"/>
    <row r="5487" ht="12.75" customHeight="1" x14ac:dyDescent="0.2"/>
    <row r="5488" ht="12.75" customHeight="1" x14ac:dyDescent="0.2"/>
    <row r="5489" ht="12.75" customHeight="1" x14ac:dyDescent="0.2"/>
    <row r="5490" ht="12.75" customHeight="1" x14ac:dyDescent="0.2"/>
    <row r="5491" ht="12.75" customHeight="1" x14ac:dyDescent="0.2"/>
    <row r="5492" ht="12.75" customHeight="1" x14ac:dyDescent="0.2"/>
    <row r="5493" ht="12.75" customHeight="1" x14ac:dyDescent="0.2"/>
    <row r="5494" ht="12.75" customHeight="1" x14ac:dyDescent="0.2"/>
    <row r="5495" ht="12.75" customHeight="1" x14ac:dyDescent="0.2"/>
    <row r="5496" ht="12.75" customHeight="1" x14ac:dyDescent="0.2"/>
    <row r="5497" ht="12.75" customHeight="1" x14ac:dyDescent="0.2"/>
    <row r="5498" ht="12.75" customHeight="1" x14ac:dyDescent="0.2"/>
    <row r="5499" ht="12.75" customHeight="1" x14ac:dyDescent="0.2"/>
    <row r="5500" ht="12.75" customHeight="1" x14ac:dyDescent="0.2"/>
    <row r="5501" ht="12.75" customHeight="1" x14ac:dyDescent="0.2"/>
    <row r="5502" ht="12.75" customHeight="1" x14ac:dyDescent="0.2"/>
    <row r="5503" ht="12.75" customHeight="1" x14ac:dyDescent="0.2"/>
    <row r="5504" ht="12.75" customHeight="1" x14ac:dyDescent="0.2"/>
    <row r="5505" ht="12.75" customHeight="1" x14ac:dyDescent="0.2"/>
    <row r="5506" ht="12.75" customHeight="1" x14ac:dyDescent="0.2"/>
    <row r="5507" ht="12.75" customHeight="1" x14ac:dyDescent="0.2"/>
    <row r="5508" ht="12.75" customHeight="1" x14ac:dyDescent="0.2"/>
    <row r="5509" ht="12.75" customHeight="1" x14ac:dyDescent="0.2"/>
    <row r="5510" ht="12.75" customHeight="1" x14ac:dyDescent="0.2"/>
    <row r="5511" ht="12.75" customHeight="1" x14ac:dyDescent="0.2"/>
    <row r="5512" ht="12.75" customHeight="1" x14ac:dyDescent="0.2"/>
    <row r="5513" ht="12.75" customHeight="1" x14ac:dyDescent="0.2"/>
    <row r="5514" ht="12.75" customHeight="1" x14ac:dyDescent="0.2"/>
    <row r="5515" ht="12.75" customHeight="1" x14ac:dyDescent="0.2"/>
    <row r="5516" ht="12.75" customHeight="1" x14ac:dyDescent="0.2"/>
    <row r="5517" ht="12.75" customHeight="1" x14ac:dyDescent="0.2"/>
    <row r="5518" ht="12.75" customHeight="1" x14ac:dyDescent="0.2"/>
    <row r="5519" ht="12.75" customHeight="1" x14ac:dyDescent="0.2"/>
    <row r="5520" ht="12.75" customHeight="1" x14ac:dyDescent="0.2"/>
    <row r="5521" ht="12.75" customHeight="1" x14ac:dyDescent="0.2"/>
    <row r="5522" ht="12.75" customHeight="1" x14ac:dyDescent="0.2"/>
    <row r="5523" ht="12.75" customHeight="1" x14ac:dyDescent="0.2"/>
    <row r="5524" ht="12.75" customHeight="1" x14ac:dyDescent="0.2"/>
    <row r="5525" ht="12.75" customHeight="1" x14ac:dyDescent="0.2"/>
    <row r="5526" ht="12.75" customHeight="1" x14ac:dyDescent="0.2"/>
    <row r="5527" ht="12.75" customHeight="1" x14ac:dyDescent="0.2"/>
    <row r="5528" ht="12.75" customHeight="1" x14ac:dyDescent="0.2"/>
    <row r="5529" ht="12.75" customHeight="1" x14ac:dyDescent="0.2"/>
    <row r="5530" ht="12.75" customHeight="1" x14ac:dyDescent="0.2"/>
    <row r="5531" ht="12.75" customHeight="1" x14ac:dyDescent="0.2"/>
    <row r="5532" ht="12.75" customHeight="1" x14ac:dyDescent="0.2"/>
    <row r="5533" ht="12.75" customHeight="1" x14ac:dyDescent="0.2"/>
    <row r="5534" ht="12.75" customHeight="1" x14ac:dyDescent="0.2"/>
    <row r="5535" ht="12.75" customHeight="1" x14ac:dyDescent="0.2"/>
    <row r="5536" ht="12.75" customHeight="1" x14ac:dyDescent="0.2"/>
    <row r="5537" ht="12.75" customHeight="1" x14ac:dyDescent="0.2"/>
    <row r="5538" ht="12.75" customHeight="1" x14ac:dyDescent="0.2"/>
    <row r="5539" ht="12.75" customHeight="1" x14ac:dyDescent="0.2"/>
    <row r="5540" ht="12.75" customHeight="1" x14ac:dyDescent="0.2"/>
    <row r="5541" ht="12.75" customHeight="1" x14ac:dyDescent="0.2"/>
    <row r="5542" ht="12.75" customHeight="1" x14ac:dyDescent="0.2"/>
    <row r="5543" ht="12.75" customHeight="1" x14ac:dyDescent="0.2"/>
    <row r="5544" ht="12.75" customHeight="1" x14ac:dyDescent="0.2"/>
    <row r="5545" ht="12.75" customHeight="1" x14ac:dyDescent="0.2"/>
    <row r="5546" ht="12.75" customHeight="1" x14ac:dyDescent="0.2"/>
    <row r="5547" ht="12.75" customHeight="1" x14ac:dyDescent="0.2"/>
    <row r="5548" ht="12.75" customHeight="1" x14ac:dyDescent="0.2"/>
    <row r="5549" ht="12.75" customHeight="1" x14ac:dyDescent="0.2"/>
    <row r="5550" ht="12.75" customHeight="1" x14ac:dyDescent="0.2"/>
    <row r="5551" ht="12.75" customHeight="1" x14ac:dyDescent="0.2"/>
    <row r="5552" ht="12.75" customHeight="1" x14ac:dyDescent="0.2"/>
    <row r="5553" ht="12.75" customHeight="1" x14ac:dyDescent="0.2"/>
    <row r="5554" ht="12.75" customHeight="1" x14ac:dyDescent="0.2"/>
    <row r="5555" ht="12.75" customHeight="1" x14ac:dyDescent="0.2"/>
    <row r="5556" ht="12.75" customHeight="1" x14ac:dyDescent="0.2"/>
    <row r="5557" ht="12.75" customHeight="1" x14ac:dyDescent="0.2"/>
    <row r="5558" ht="12.75" customHeight="1" x14ac:dyDescent="0.2"/>
    <row r="5559" ht="12.75" customHeight="1" x14ac:dyDescent="0.2"/>
    <row r="5560" ht="12.75" customHeight="1" x14ac:dyDescent="0.2"/>
    <row r="5561" ht="12.75" customHeight="1" x14ac:dyDescent="0.2"/>
    <row r="5562" ht="12.75" customHeight="1" x14ac:dyDescent="0.2"/>
    <row r="5563" ht="12.75" customHeight="1" x14ac:dyDescent="0.2"/>
    <row r="5564" ht="12.75" customHeight="1" x14ac:dyDescent="0.2"/>
    <row r="5565" ht="12.75" customHeight="1" x14ac:dyDescent="0.2"/>
    <row r="5566" ht="12.75" customHeight="1" x14ac:dyDescent="0.2"/>
    <row r="5567" ht="12.75" customHeight="1" x14ac:dyDescent="0.2"/>
    <row r="5568" ht="12.75" customHeight="1" x14ac:dyDescent="0.2"/>
    <row r="5569" ht="12.75" customHeight="1" x14ac:dyDescent="0.2"/>
    <row r="5570" ht="12.75" customHeight="1" x14ac:dyDescent="0.2"/>
    <row r="5571" ht="12.75" customHeight="1" x14ac:dyDescent="0.2"/>
    <row r="5572" ht="12.75" customHeight="1" x14ac:dyDescent="0.2"/>
    <row r="5573" ht="12.75" customHeight="1" x14ac:dyDescent="0.2"/>
    <row r="5574" ht="12.75" customHeight="1" x14ac:dyDescent="0.2"/>
    <row r="5575" ht="12.75" customHeight="1" x14ac:dyDescent="0.2"/>
    <row r="5576" ht="12.75" customHeight="1" x14ac:dyDescent="0.2"/>
    <row r="5577" ht="12.75" customHeight="1" x14ac:dyDescent="0.2"/>
    <row r="5578" ht="12.75" customHeight="1" x14ac:dyDescent="0.2"/>
    <row r="5579" ht="12.75" customHeight="1" x14ac:dyDescent="0.2"/>
    <row r="5580" ht="12.75" customHeight="1" x14ac:dyDescent="0.2"/>
    <row r="5581" ht="12.75" customHeight="1" x14ac:dyDescent="0.2"/>
    <row r="5582" ht="12.75" customHeight="1" x14ac:dyDescent="0.2"/>
    <row r="5583" ht="12.75" customHeight="1" x14ac:dyDescent="0.2"/>
    <row r="5584" ht="12.75" customHeight="1" x14ac:dyDescent="0.2"/>
    <row r="5585" ht="12.75" customHeight="1" x14ac:dyDescent="0.2"/>
    <row r="5586" ht="12.75" customHeight="1" x14ac:dyDescent="0.2"/>
    <row r="5587" ht="12.75" customHeight="1" x14ac:dyDescent="0.2"/>
    <row r="5588" ht="12.75" customHeight="1" x14ac:dyDescent="0.2"/>
    <row r="5589" ht="12.75" customHeight="1" x14ac:dyDescent="0.2"/>
    <row r="5590" ht="12.75" customHeight="1" x14ac:dyDescent="0.2"/>
    <row r="5591" ht="12.75" customHeight="1" x14ac:dyDescent="0.2"/>
    <row r="5592" ht="12.75" customHeight="1" x14ac:dyDescent="0.2"/>
    <row r="5593" ht="12.75" customHeight="1" x14ac:dyDescent="0.2"/>
    <row r="5594" ht="12.75" customHeight="1" x14ac:dyDescent="0.2"/>
    <row r="5595" ht="12.75" customHeight="1" x14ac:dyDescent="0.2"/>
    <row r="5596" ht="12.75" customHeight="1" x14ac:dyDescent="0.2"/>
    <row r="5597" ht="12.75" customHeight="1" x14ac:dyDescent="0.2"/>
    <row r="5598" ht="12.75" customHeight="1" x14ac:dyDescent="0.2"/>
    <row r="5599" ht="12.75" customHeight="1" x14ac:dyDescent="0.2"/>
    <row r="5600" ht="12.75" customHeight="1" x14ac:dyDescent="0.2"/>
    <row r="5601" ht="12.75" customHeight="1" x14ac:dyDescent="0.2"/>
    <row r="5602" ht="12.75" customHeight="1" x14ac:dyDescent="0.2"/>
    <row r="5603" ht="12.75" customHeight="1" x14ac:dyDescent="0.2"/>
    <row r="5604" ht="12.75" customHeight="1" x14ac:dyDescent="0.2"/>
    <row r="5605" ht="12.75" customHeight="1" x14ac:dyDescent="0.2"/>
    <row r="5606" ht="12.75" customHeight="1" x14ac:dyDescent="0.2"/>
    <row r="5607" ht="12.75" customHeight="1" x14ac:dyDescent="0.2"/>
    <row r="5608" ht="12.75" customHeight="1" x14ac:dyDescent="0.2"/>
    <row r="5609" ht="12.75" customHeight="1" x14ac:dyDescent="0.2"/>
    <row r="5610" ht="12.75" customHeight="1" x14ac:dyDescent="0.2"/>
    <row r="5611" ht="12.75" customHeight="1" x14ac:dyDescent="0.2"/>
    <row r="5612" ht="12.75" customHeight="1" x14ac:dyDescent="0.2"/>
    <row r="5613" ht="12.75" customHeight="1" x14ac:dyDescent="0.2"/>
    <row r="5614" ht="12.75" customHeight="1" x14ac:dyDescent="0.2"/>
    <row r="5615" ht="12.75" customHeight="1" x14ac:dyDescent="0.2"/>
    <row r="5616" ht="12.75" customHeight="1" x14ac:dyDescent="0.2"/>
    <row r="5617" ht="12.75" customHeight="1" x14ac:dyDescent="0.2"/>
    <row r="5618" ht="12.75" customHeight="1" x14ac:dyDescent="0.2"/>
    <row r="5619" ht="12.75" customHeight="1" x14ac:dyDescent="0.2"/>
    <row r="5620" ht="12.75" customHeight="1" x14ac:dyDescent="0.2"/>
    <row r="5621" ht="12.75" customHeight="1" x14ac:dyDescent="0.2"/>
    <row r="5622" ht="12.75" customHeight="1" x14ac:dyDescent="0.2"/>
    <row r="5623" ht="12.75" customHeight="1" x14ac:dyDescent="0.2"/>
    <row r="5624" ht="12.75" customHeight="1" x14ac:dyDescent="0.2"/>
    <row r="5625" ht="12.75" customHeight="1" x14ac:dyDescent="0.2"/>
    <row r="5626" ht="12.75" customHeight="1" x14ac:dyDescent="0.2"/>
    <row r="5627" ht="12.75" customHeight="1" x14ac:dyDescent="0.2"/>
    <row r="5628" ht="12.75" customHeight="1" x14ac:dyDescent="0.2"/>
    <row r="5629" ht="12.75" customHeight="1" x14ac:dyDescent="0.2"/>
    <row r="5630" ht="12.75" customHeight="1" x14ac:dyDescent="0.2"/>
    <row r="5631" ht="12.75" customHeight="1" x14ac:dyDescent="0.2"/>
    <row r="5632" ht="12.75" customHeight="1" x14ac:dyDescent="0.2"/>
    <row r="5633" ht="12.75" customHeight="1" x14ac:dyDescent="0.2"/>
    <row r="5634" ht="12.75" customHeight="1" x14ac:dyDescent="0.2"/>
    <row r="5635" ht="12.75" customHeight="1" x14ac:dyDescent="0.2"/>
    <row r="5636" ht="12.75" customHeight="1" x14ac:dyDescent="0.2"/>
    <row r="5637" ht="12.75" customHeight="1" x14ac:dyDescent="0.2"/>
    <row r="5638" ht="12.75" customHeight="1" x14ac:dyDescent="0.2"/>
    <row r="5639" ht="12.75" customHeight="1" x14ac:dyDescent="0.2"/>
    <row r="5640" ht="12.75" customHeight="1" x14ac:dyDescent="0.2"/>
    <row r="5641" ht="12.75" customHeight="1" x14ac:dyDescent="0.2"/>
    <row r="5642" ht="12.75" customHeight="1" x14ac:dyDescent="0.2"/>
    <row r="5643" ht="12.75" customHeight="1" x14ac:dyDescent="0.2"/>
    <row r="5644" ht="12.75" customHeight="1" x14ac:dyDescent="0.2"/>
    <row r="5645" ht="12.75" customHeight="1" x14ac:dyDescent="0.2"/>
    <row r="5646" ht="12.75" customHeight="1" x14ac:dyDescent="0.2"/>
    <row r="5647" ht="12.75" customHeight="1" x14ac:dyDescent="0.2"/>
    <row r="5648" ht="12.75" customHeight="1" x14ac:dyDescent="0.2"/>
    <row r="5649" ht="12.75" customHeight="1" x14ac:dyDescent="0.2"/>
    <row r="5650" ht="12.75" customHeight="1" x14ac:dyDescent="0.2"/>
    <row r="5651" ht="12.75" customHeight="1" x14ac:dyDescent="0.2"/>
    <row r="5652" ht="12.75" customHeight="1" x14ac:dyDescent="0.2"/>
    <row r="5653" ht="12.75" customHeight="1" x14ac:dyDescent="0.2"/>
    <row r="5654" ht="12.75" customHeight="1" x14ac:dyDescent="0.2"/>
    <row r="5655" ht="12.75" customHeight="1" x14ac:dyDescent="0.2"/>
    <row r="5656" ht="12.75" customHeight="1" x14ac:dyDescent="0.2"/>
    <row r="5657" ht="12.75" customHeight="1" x14ac:dyDescent="0.2"/>
    <row r="5658" ht="12.75" customHeight="1" x14ac:dyDescent="0.2"/>
    <row r="5659" ht="12.75" customHeight="1" x14ac:dyDescent="0.2"/>
    <row r="5660" ht="12.75" customHeight="1" x14ac:dyDescent="0.2"/>
    <row r="5661" ht="12.75" customHeight="1" x14ac:dyDescent="0.2"/>
    <row r="5662" ht="12.75" customHeight="1" x14ac:dyDescent="0.2"/>
    <row r="5663" ht="12.75" customHeight="1" x14ac:dyDescent="0.2"/>
    <row r="5664" ht="12.75" customHeight="1" x14ac:dyDescent="0.2"/>
    <row r="5665" ht="12.75" customHeight="1" x14ac:dyDescent="0.2"/>
    <row r="5666" ht="12.75" customHeight="1" x14ac:dyDescent="0.2"/>
    <row r="5667" ht="12.75" customHeight="1" x14ac:dyDescent="0.2"/>
    <row r="5668" ht="12.75" customHeight="1" x14ac:dyDescent="0.2"/>
    <row r="5669" ht="12.75" customHeight="1" x14ac:dyDescent="0.2"/>
    <row r="5670" ht="12.75" customHeight="1" x14ac:dyDescent="0.2"/>
    <row r="5671" ht="12.75" customHeight="1" x14ac:dyDescent="0.2"/>
    <row r="5672" ht="12.75" customHeight="1" x14ac:dyDescent="0.2"/>
    <row r="5673" ht="12.75" customHeight="1" x14ac:dyDescent="0.2"/>
    <row r="5674" ht="12.75" customHeight="1" x14ac:dyDescent="0.2"/>
    <row r="5675" ht="12.75" customHeight="1" x14ac:dyDescent="0.2"/>
    <row r="5676" ht="12.75" customHeight="1" x14ac:dyDescent="0.2"/>
    <row r="5677" ht="12.75" customHeight="1" x14ac:dyDescent="0.2"/>
    <row r="5678" ht="12.75" customHeight="1" x14ac:dyDescent="0.2"/>
    <row r="5679" ht="12.75" customHeight="1" x14ac:dyDescent="0.2"/>
    <row r="5680" ht="12.75" customHeight="1" x14ac:dyDescent="0.2"/>
    <row r="5681" ht="12.75" customHeight="1" x14ac:dyDescent="0.2"/>
    <row r="5682" ht="12.75" customHeight="1" x14ac:dyDescent="0.2"/>
    <row r="5683" ht="12.75" customHeight="1" x14ac:dyDescent="0.2"/>
    <row r="5684" ht="12.75" customHeight="1" x14ac:dyDescent="0.2"/>
    <row r="5685" ht="12.75" customHeight="1" x14ac:dyDescent="0.2"/>
    <row r="5686" ht="12.75" customHeight="1" x14ac:dyDescent="0.2"/>
    <row r="5687" ht="12.75" customHeight="1" x14ac:dyDescent="0.2"/>
    <row r="5688" ht="12.75" customHeight="1" x14ac:dyDescent="0.2"/>
    <row r="5689" ht="12.75" customHeight="1" x14ac:dyDescent="0.2"/>
    <row r="5690" ht="12.75" customHeight="1" x14ac:dyDescent="0.2"/>
    <row r="5691" ht="12.75" customHeight="1" x14ac:dyDescent="0.2"/>
    <row r="5692" ht="12.75" customHeight="1" x14ac:dyDescent="0.2"/>
    <row r="5693" ht="12.75" customHeight="1" x14ac:dyDescent="0.2"/>
    <row r="5694" ht="12.75" customHeight="1" x14ac:dyDescent="0.2"/>
    <row r="5695" ht="12.75" customHeight="1" x14ac:dyDescent="0.2"/>
    <row r="5696" ht="12.75" customHeight="1" x14ac:dyDescent="0.2"/>
    <row r="5697" ht="12.75" customHeight="1" x14ac:dyDescent="0.2"/>
    <row r="5698" ht="12.75" customHeight="1" x14ac:dyDescent="0.2"/>
    <row r="5699" ht="12.75" customHeight="1" x14ac:dyDescent="0.2"/>
    <row r="5700" ht="12.75" customHeight="1" x14ac:dyDescent="0.2"/>
    <row r="5701" ht="12.75" customHeight="1" x14ac:dyDescent="0.2"/>
    <row r="5702" ht="12.75" customHeight="1" x14ac:dyDescent="0.2"/>
    <row r="5703" ht="12.75" customHeight="1" x14ac:dyDescent="0.2"/>
    <row r="5704" ht="12.75" customHeight="1" x14ac:dyDescent="0.2"/>
    <row r="5705" ht="12.75" customHeight="1" x14ac:dyDescent="0.2"/>
    <row r="5706" ht="12.75" customHeight="1" x14ac:dyDescent="0.2"/>
    <row r="5707" ht="12.75" customHeight="1" x14ac:dyDescent="0.2"/>
    <row r="5708" ht="12.75" customHeight="1" x14ac:dyDescent="0.2"/>
    <row r="5709" ht="12.75" customHeight="1" x14ac:dyDescent="0.2"/>
    <row r="5710" ht="12.75" customHeight="1" x14ac:dyDescent="0.2"/>
    <row r="5711" ht="12.75" customHeight="1" x14ac:dyDescent="0.2"/>
    <row r="5712" ht="12.75" customHeight="1" x14ac:dyDescent="0.2"/>
    <row r="5713" ht="12.75" customHeight="1" x14ac:dyDescent="0.2"/>
    <row r="5714" ht="12.75" customHeight="1" x14ac:dyDescent="0.2"/>
    <row r="5715" ht="12.75" customHeight="1" x14ac:dyDescent="0.2"/>
    <row r="5716" ht="12.75" customHeight="1" x14ac:dyDescent="0.2"/>
    <row r="5717" ht="12.75" customHeight="1" x14ac:dyDescent="0.2"/>
    <row r="5718" ht="12.75" customHeight="1" x14ac:dyDescent="0.2"/>
    <row r="5719" ht="12.75" customHeight="1" x14ac:dyDescent="0.2"/>
    <row r="5720" ht="12.75" customHeight="1" x14ac:dyDescent="0.2"/>
    <row r="5721" ht="12.75" customHeight="1" x14ac:dyDescent="0.2"/>
    <row r="5722" ht="12.75" customHeight="1" x14ac:dyDescent="0.2"/>
    <row r="5723" ht="12.75" customHeight="1" x14ac:dyDescent="0.2"/>
    <row r="5724" ht="12.75" customHeight="1" x14ac:dyDescent="0.2"/>
    <row r="5725" ht="12.75" customHeight="1" x14ac:dyDescent="0.2"/>
    <row r="5726" ht="12.75" customHeight="1" x14ac:dyDescent="0.2"/>
    <row r="5727" ht="12.75" customHeight="1" x14ac:dyDescent="0.2"/>
    <row r="5728" ht="12.75" customHeight="1" x14ac:dyDescent="0.2"/>
    <row r="5729" ht="12.75" customHeight="1" x14ac:dyDescent="0.2"/>
    <row r="5730" ht="12.75" customHeight="1" x14ac:dyDescent="0.2"/>
    <row r="5731" ht="12.75" customHeight="1" x14ac:dyDescent="0.2"/>
    <row r="5732" ht="12.75" customHeight="1" x14ac:dyDescent="0.2"/>
    <row r="5733" ht="12.75" customHeight="1" x14ac:dyDescent="0.2"/>
    <row r="5734" ht="12.75" customHeight="1" x14ac:dyDescent="0.2"/>
    <row r="5735" ht="12.75" customHeight="1" x14ac:dyDescent="0.2"/>
    <row r="5736" ht="12.75" customHeight="1" x14ac:dyDescent="0.2"/>
    <row r="5737" ht="12.75" customHeight="1" x14ac:dyDescent="0.2"/>
    <row r="5738" ht="12.75" customHeight="1" x14ac:dyDescent="0.2"/>
    <row r="5739" ht="12.75" customHeight="1" x14ac:dyDescent="0.2"/>
    <row r="5740" ht="12.75" customHeight="1" x14ac:dyDescent="0.2"/>
    <row r="5741" ht="12.75" customHeight="1" x14ac:dyDescent="0.2"/>
    <row r="5742" ht="12.75" customHeight="1" x14ac:dyDescent="0.2"/>
    <row r="5743" ht="12.75" customHeight="1" x14ac:dyDescent="0.2"/>
    <row r="5744" ht="12.75" customHeight="1" x14ac:dyDescent="0.2"/>
    <row r="5745" ht="12.75" customHeight="1" x14ac:dyDescent="0.2"/>
    <row r="5746" ht="12.75" customHeight="1" x14ac:dyDescent="0.2"/>
    <row r="5747" ht="12.75" customHeight="1" x14ac:dyDescent="0.2"/>
    <row r="5748" ht="12.75" customHeight="1" x14ac:dyDescent="0.2"/>
    <row r="5749" ht="12.75" customHeight="1" x14ac:dyDescent="0.2"/>
    <row r="5750" ht="12.75" customHeight="1" x14ac:dyDescent="0.2"/>
    <row r="5751" ht="12.75" customHeight="1" x14ac:dyDescent="0.2"/>
    <row r="5752" ht="12.75" customHeight="1" x14ac:dyDescent="0.2"/>
    <row r="5753" ht="12.75" customHeight="1" x14ac:dyDescent="0.2"/>
    <row r="5754" ht="12.75" customHeight="1" x14ac:dyDescent="0.2"/>
    <row r="5755" ht="12.75" customHeight="1" x14ac:dyDescent="0.2"/>
    <row r="5756" ht="12.75" customHeight="1" x14ac:dyDescent="0.2"/>
    <row r="5757" ht="12.75" customHeight="1" x14ac:dyDescent="0.2"/>
    <row r="5758" ht="12.75" customHeight="1" x14ac:dyDescent="0.2"/>
    <row r="5759" ht="12.75" customHeight="1" x14ac:dyDescent="0.2"/>
    <row r="5760" ht="12.75" customHeight="1" x14ac:dyDescent="0.2"/>
    <row r="5761" ht="12.75" customHeight="1" x14ac:dyDescent="0.2"/>
    <row r="5762" ht="12.75" customHeight="1" x14ac:dyDescent="0.2"/>
    <row r="5763" ht="12.75" customHeight="1" x14ac:dyDescent="0.2"/>
    <row r="5764" ht="12.75" customHeight="1" x14ac:dyDescent="0.2"/>
    <row r="5765" ht="12.75" customHeight="1" x14ac:dyDescent="0.2"/>
    <row r="5766" ht="12.75" customHeight="1" x14ac:dyDescent="0.2"/>
    <row r="5767" ht="12.75" customHeight="1" x14ac:dyDescent="0.2"/>
    <row r="5768" ht="12.75" customHeight="1" x14ac:dyDescent="0.2"/>
    <row r="5769" ht="12.75" customHeight="1" x14ac:dyDescent="0.2"/>
    <row r="5770" ht="12.75" customHeight="1" x14ac:dyDescent="0.2"/>
    <row r="5771" ht="12.75" customHeight="1" x14ac:dyDescent="0.2"/>
    <row r="5772" ht="12.75" customHeight="1" x14ac:dyDescent="0.2"/>
    <row r="5773" ht="12.75" customHeight="1" x14ac:dyDescent="0.2"/>
    <row r="5774" ht="12.75" customHeight="1" x14ac:dyDescent="0.2"/>
    <row r="5775" ht="12.75" customHeight="1" x14ac:dyDescent="0.2"/>
    <row r="5776" ht="12.75" customHeight="1" x14ac:dyDescent="0.2"/>
    <row r="5777" ht="12.75" customHeight="1" x14ac:dyDescent="0.2"/>
    <row r="5778" ht="12.75" customHeight="1" x14ac:dyDescent="0.2"/>
    <row r="5779" ht="12.75" customHeight="1" x14ac:dyDescent="0.2"/>
    <row r="5780" ht="12.75" customHeight="1" x14ac:dyDescent="0.2"/>
    <row r="5781" ht="12.75" customHeight="1" x14ac:dyDescent="0.2"/>
    <row r="5782" ht="12.75" customHeight="1" x14ac:dyDescent="0.2"/>
    <row r="5783" ht="12.75" customHeight="1" x14ac:dyDescent="0.2"/>
    <row r="5784" ht="12.75" customHeight="1" x14ac:dyDescent="0.2"/>
    <row r="5785" ht="12.75" customHeight="1" x14ac:dyDescent="0.2"/>
    <row r="5786" ht="12.75" customHeight="1" x14ac:dyDescent="0.2"/>
    <row r="5787" ht="12.75" customHeight="1" x14ac:dyDescent="0.2"/>
    <row r="5788" ht="12.75" customHeight="1" x14ac:dyDescent="0.2"/>
    <row r="5789" ht="12.75" customHeight="1" x14ac:dyDescent="0.2"/>
    <row r="5790" ht="12.75" customHeight="1" x14ac:dyDescent="0.2"/>
    <row r="5791" ht="12.75" customHeight="1" x14ac:dyDescent="0.2"/>
    <row r="5792" ht="12.75" customHeight="1" x14ac:dyDescent="0.2"/>
    <row r="5793" ht="12.75" customHeight="1" x14ac:dyDescent="0.2"/>
    <row r="5794" ht="12.75" customHeight="1" x14ac:dyDescent="0.2"/>
    <row r="5795" ht="12.75" customHeight="1" x14ac:dyDescent="0.2"/>
    <row r="5796" ht="12.75" customHeight="1" x14ac:dyDescent="0.2"/>
    <row r="5797" ht="12.75" customHeight="1" x14ac:dyDescent="0.2"/>
    <row r="5798" ht="12.75" customHeight="1" x14ac:dyDescent="0.2"/>
    <row r="5799" ht="12.75" customHeight="1" x14ac:dyDescent="0.2"/>
    <row r="5800" ht="12.75" customHeight="1" x14ac:dyDescent="0.2"/>
    <row r="5801" ht="12.75" customHeight="1" x14ac:dyDescent="0.2"/>
    <row r="5802" ht="12.75" customHeight="1" x14ac:dyDescent="0.2"/>
    <row r="5803" ht="12.75" customHeight="1" x14ac:dyDescent="0.2"/>
    <row r="5804" ht="12.75" customHeight="1" x14ac:dyDescent="0.2"/>
    <row r="5805" ht="12.75" customHeight="1" x14ac:dyDescent="0.2"/>
    <row r="5806" ht="12.75" customHeight="1" x14ac:dyDescent="0.2"/>
    <row r="5807" ht="12.75" customHeight="1" x14ac:dyDescent="0.2"/>
    <row r="5808" ht="12.75" customHeight="1" x14ac:dyDescent="0.2"/>
    <row r="5809" ht="12.75" customHeight="1" x14ac:dyDescent="0.2"/>
    <row r="5810" ht="12.75" customHeight="1" x14ac:dyDescent="0.2"/>
    <row r="5811" ht="12.75" customHeight="1" x14ac:dyDescent="0.2"/>
    <row r="5812" ht="12.75" customHeight="1" x14ac:dyDescent="0.2"/>
    <row r="5813" ht="12.75" customHeight="1" x14ac:dyDescent="0.2"/>
    <row r="5814" ht="12.75" customHeight="1" x14ac:dyDescent="0.2"/>
    <row r="5815" ht="12.75" customHeight="1" x14ac:dyDescent="0.2"/>
    <row r="5816" ht="12.75" customHeight="1" x14ac:dyDescent="0.2"/>
    <row r="5817" ht="12.75" customHeight="1" x14ac:dyDescent="0.2"/>
    <row r="5818" ht="12.75" customHeight="1" x14ac:dyDescent="0.2"/>
    <row r="5819" ht="12.75" customHeight="1" x14ac:dyDescent="0.2"/>
    <row r="5820" ht="12.75" customHeight="1" x14ac:dyDescent="0.2"/>
    <row r="5821" ht="12.75" customHeight="1" x14ac:dyDescent="0.2"/>
    <row r="5822" ht="12.75" customHeight="1" x14ac:dyDescent="0.2"/>
    <row r="5823" ht="12.75" customHeight="1" x14ac:dyDescent="0.2"/>
    <row r="5824" ht="12.75" customHeight="1" x14ac:dyDescent="0.2"/>
    <row r="5825" ht="12.75" customHeight="1" x14ac:dyDescent="0.2"/>
    <row r="5826" ht="12.75" customHeight="1" x14ac:dyDescent="0.2"/>
    <row r="5827" ht="12.75" customHeight="1" x14ac:dyDescent="0.2"/>
    <row r="5828" ht="12.75" customHeight="1" x14ac:dyDescent="0.2"/>
    <row r="5829" ht="12.75" customHeight="1" x14ac:dyDescent="0.2"/>
    <row r="5830" ht="12.75" customHeight="1" x14ac:dyDescent="0.2"/>
    <row r="5831" ht="12.75" customHeight="1" x14ac:dyDescent="0.2"/>
    <row r="5832" ht="12.75" customHeight="1" x14ac:dyDescent="0.2"/>
    <row r="5833" ht="12.75" customHeight="1" x14ac:dyDescent="0.2"/>
    <row r="5834" ht="12.75" customHeight="1" x14ac:dyDescent="0.2"/>
    <row r="5835" ht="12.75" customHeight="1" x14ac:dyDescent="0.2"/>
    <row r="5836" ht="12.75" customHeight="1" x14ac:dyDescent="0.2"/>
    <row r="5837" ht="12.75" customHeight="1" x14ac:dyDescent="0.2"/>
    <row r="5838" ht="12.75" customHeight="1" x14ac:dyDescent="0.2"/>
    <row r="5839" ht="12.75" customHeight="1" x14ac:dyDescent="0.2"/>
    <row r="5840" ht="12.75" customHeight="1" x14ac:dyDescent="0.2"/>
    <row r="5841" ht="12.75" customHeight="1" x14ac:dyDescent="0.2"/>
    <row r="5842" ht="12.75" customHeight="1" x14ac:dyDescent="0.2"/>
    <row r="5843" ht="12.75" customHeight="1" x14ac:dyDescent="0.2"/>
    <row r="5844" ht="12.75" customHeight="1" x14ac:dyDescent="0.2"/>
    <row r="5845" ht="12.75" customHeight="1" x14ac:dyDescent="0.2"/>
    <row r="5846" ht="12.75" customHeight="1" x14ac:dyDescent="0.2"/>
    <row r="5847" ht="12.75" customHeight="1" x14ac:dyDescent="0.2"/>
    <row r="5848" ht="12.75" customHeight="1" x14ac:dyDescent="0.2"/>
    <row r="5849" ht="12.75" customHeight="1" x14ac:dyDescent="0.2"/>
    <row r="5850" ht="12.75" customHeight="1" x14ac:dyDescent="0.2"/>
    <row r="5851" ht="12.75" customHeight="1" x14ac:dyDescent="0.2"/>
    <row r="5852" ht="12.75" customHeight="1" x14ac:dyDescent="0.2"/>
    <row r="5853" ht="12.75" customHeight="1" x14ac:dyDescent="0.2"/>
    <row r="5854" ht="12.75" customHeight="1" x14ac:dyDescent="0.2"/>
    <row r="5855" ht="12.75" customHeight="1" x14ac:dyDescent="0.2"/>
    <row r="5856" ht="12.75" customHeight="1" x14ac:dyDescent="0.2"/>
    <row r="5857" ht="12.75" customHeight="1" x14ac:dyDescent="0.2"/>
    <row r="5858" ht="12.75" customHeight="1" x14ac:dyDescent="0.2"/>
    <row r="5859" ht="12.75" customHeight="1" x14ac:dyDescent="0.2"/>
    <row r="5860" ht="12.75" customHeight="1" x14ac:dyDescent="0.2"/>
    <row r="5861" ht="12.75" customHeight="1" x14ac:dyDescent="0.2"/>
    <row r="5862" ht="12.75" customHeight="1" x14ac:dyDescent="0.2"/>
    <row r="5863" ht="12.75" customHeight="1" x14ac:dyDescent="0.2"/>
    <row r="5864" ht="12.75" customHeight="1" x14ac:dyDescent="0.2"/>
    <row r="5865" ht="12.75" customHeight="1" x14ac:dyDescent="0.2"/>
    <row r="5866" ht="12.75" customHeight="1" x14ac:dyDescent="0.2"/>
    <row r="5867" ht="12.75" customHeight="1" x14ac:dyDescent="0.2"/>
    <row r="5868" ht="12.75" customHeight="1" x14ac:dyDescent="0.2"/>
    <row r="5869" ht="12.75" customHeight="1" x14ac:dyDescent="0.2"/>
    <row r="5870" ht="12.75" customHeight="1" x14ac:dyDescent="0.2"/>
    <row r="5871" ht="12.75" customHeight="1" x14ac:dyDescent="0.2"/>
    <row r="5872" ht="12.75" customHeight="1" x14ac:dyDescent="0.2"/>
    <row r="5873" ht="12.75" customHeight="1" x14ac:dyDescent="0.2"/>
    <row r="5874" ht="12.75" customHeight="1" x14ac:dyDescent="0.2"/>
    <row r="5875" ht="12.75" customHeight="1" x14ac:dyDescent="0.2"/>
    <row r="5876" ht="12.75" customHeight="1" x14ac:dyDescent="0.2"/>
    <row r="5877" ht="12.75" customHeight="1" x14ac:dyDescent="0.2"/>
    <row r="5878" ht="12.75" customHeight="1" x14ac:dyDescent="0.2"/>
    <row r="5879" ht="12.75" customHeight="1" x14ac:dyDescent="0.2"/>
    <row r="5880" ht="12.75" customHeight="1" x14ac:dyDescent="0.2"/>
    <row r="5881" ht="12.75" customHeight="1" x14ac:dyDescent="0.2"/>
    <row r="5882" ht="12.75" customHeight="1" x14ac:dyDescent="0.2"/>
    <row r="5883" ht="12.75" customHeight="1" x14ac:dyDescent="0.2"/>
    <row r="5884" ht="12.75" customHeight="1" x14ac:dyDescent="0.2"/>
    <row r="5885" ht="12.75" customHeight="1" x14ac:dyDescent="0.2"/>
    <row r="5886" ht="12.75" customHeight="1" x14ac:dyDescent="0.2"/>
    <row r="5887" ht="12.75" customHeight="1" x14ac:dyDescent="0.2"/>
    <row r="5888" ht="12.75" customHeight="1" x14ac:dyDescent="0.2"/>
    <row r="5889" ht="12.75" customHeight="1" x14ac:dyDescent="0.2"/>
    <row r="5890" ht="12.75" customHeight="1" x14ac:dyDescent="0.2"/>
    <row r="5891" ht="12.75" customHeight="1" x14ac:dyDescent="0.2"/>
    <row r="5892" ht="12.75" customHeight="1" x14ac:dyDescent="0.2"/>
    <row r="5893" ht="12.75" customHeight="1" x14ac:dyDescent="0.2"/>
    <row r="5894" ht="12.75" customHeight="1" x14ac:dyDescent="0.2"/>
    <row r="5895" ht="12.75" customHeight="1" x14ac:dyDescent="0.2"/>
    <row r="5896" ht="12.75" customHeight="1" x14ac:dyDescent="0.2"/>
    <row r="5897" ht="12.75" customHeight="1" x14ac:dyDescent="0.2"/>
    <row r="5898" ht="12.75" customHeight="1" x14ac:dyDescent="0.2"/>
    <row r="5899" ht="12.75" customHeight="1" x14ac:dyDescent="0.2"/>
    <row r="5900" ht="12.75" customHeight="1" x14ac:dyDescent="0.2"/>
    <row r="5901" ht="12.75" customHeight="1" x14ac:dyDescent="0.2"/>
    <row r="5902" ht="12.75" customHeight="1" x14ac:dyDescent="0.2"/>
    <row r="5903" ht="12.75" customHeight="1" x14ac:dyDescent="0.2"/>
    <row r="5904" ht="12.75" customHeight="1" x14ac:dyDescent="0.2"/>
    <row r="5905" ht="12.75" customHeight="1" x14ac:dyDescent="0.2"/>
    <row r="5906" ht="12.75" customHeight="1" x14ac:dyDescent="0.2"/>
    <row r="5907" ht="12.75" customHeight="1" x14ac:dyDescent="0.2"/>
    <row r="5908" ht="12.75" customHeight="1" x14ac:dyDescent="0.2"/>
    <row r="5909" ht="12.75" customHeight="1" x14ac:dyDescent="0.2"/>
    <row r="5910" ht="12.75" customHeight="1" x14ac:dyDescent="0.2"/>
    <row r="5911" ht="12.75" customHeight="1" x14ac:dyDescent="0.2"/>
    <row r="5912" ht="12.75" customHeight="1" x14ac:dyDescent="0.2"/>
    <row r="5913" ht="12.75" customHeight="1" x14ac:dyDescent="0.2"/>
    <row r="5914" ht="12.75" customHeight="1" x14ac:dyDescent="0.2"/>
    <row r="5915" ht="12.75" customHeight="1" x14ac:dyDescent="0.2"/>
    <row r="5916" ht="12.75" customHeight="1" x14ac:dyDescent="0.2"/>
    <row r="5917" ht="12.75" customHeight="1" x14ac:dyDescent="0.2"/>
    <row r="5918" ht="12.75" customHeight="1" x14ac:dyDescent="0.2"/>
    <row r="5919" ht="12.75" customHeight="1" x14ac:dyDescent="0.2"/>
    <row r="5920" ht="12.75" customHeight="1" x14ac:dyDescent="0.2"/>
    <row r="5921" ht="12.75" customHeight="1" x14ac:dyDescent="0.2"/>
    <row r="5922" ht="12.75" customHeight="1" x14ac:dyDescent="0.2"/>
    <row r="5923" ht="12.75" customHeight="1" x14ac:dyDescent="0.2"/>
    <row r="5924" ht="12.75" customHeight="1" x14ac:dyDescent="0.2"/>
    <row r="5925" ht="12.75" customHeight="1" x14ac:dyDescent="0.2"/>
    <row r="5926" ht="12.75" customHeight="1" x14ac:dyDescent="0.2"/>
    <row r="5927" ht="12.75" customHeight="1" x14ac:dyDescent="0.2"/>
    <row r="5928" ht="12.75" customHeight="1" x14ac:dyDescent="0.2"/>
    <row r="5929" ht="12.75" customHeight="1" x14ac:dyDescent="0.2"/>
    <row r="5930" ht="12.75" customHeight="1" x14ac:dyDescent="0.2"/>
    <row r="5931" ht="12.75" customHeight="1" x14ac:dyDescent="0.2"/>
    <row r="5932" ht="12.75" customHeight="1" x14ac:dyDescent="0.2"/>
    <row r="5933" ht="12.75" customHeight="1" x14ac:dyDescent="0.2"/>
    <row r="5934" ht="12.75" customHeight="1" x14ac:dyDescent="0.2"/>
    <row r="5935" ht="12.75" customHeight="1" x14ac:dyDescent="0.2"/>
    <row r="5936" ht="12.75" customHeight="1" x14ac:dyDescent="0.2"/>
    <row r="5937" ht="12.75" customHeight="1" x14ac:dyDescent="0.2"/>
    <row r="5938" ht="12.75" customHeight="1" x14ac:dyDescent="0.2"/>
    <row r="5939" ht="12.75" customHeight="1" x14ac:dyDescent="0.2"/>
    <row r="5940" ht="12.75" customHeight="1" x14ac:dyDescent="0.2"/>
    <row r="5941" ht="12.75" customHeight="1" x14ac:dyDescent="0.2"/>
    <row r="5942" ht="12.75" customHeight="1" x14ac:dyDescent="0.2"/>
    <row r="5943" ht="12.75" customHeight="1" x14ac:dyDescent="0.2"/>
    <row r="5944" ht="12.75" customHeight="1" x14ac:dyDescent="0.2"/>
    <row r="5945" ht="12.75" customHeight="1" x14ac:dyDescent="0.2"/>
    <row r="5946" ht="12.75" customHeight="1" x14ac:dyDescent="0.2"/>
    <row r="5947" ht="12.75" customHeight="1" x14ac:dyDescent="0.2"/>
    <row r="5948" ht="12.75" customHeight="1" x14ac:dyDescent="0.2"/>
    <row r="5949" ht="12.75" customHeight="1" x14ac:dyDescent="0.2"/>
    <row r="5950" ht="12.75" customHeight="1" x14ac:dyDescent="0.2"/>
    <row r="5951" ht="12.75" customHeight="1" x14ac:dyDescent="0.2"/>
    <row r="5952" ht="12.75" customHeight="1" x14ac:dyDescent="0.2"/>
    <row r="5953" ht="12.75" customHeight="1" x14ac:dyDescent="0.2"/>
    <row r="5954" ht="12.75" customHeight="1" x14ac:dyDescent="0.2"/>
    <row r="5955" ht="12.75" customHeight="1" x14ac:dyDescent="0.2"/>
    <row r="5956" ht="12.75" customHeight="1" x14ac:dyDescent="0.2"/>
    <row r="5957" ht="12.75" customHeight="1" x14ac:dyDescent="0.2"/>
    <row r="5958" ht="12.75" customHeight="1" x14ac:dyDescent="0.2"/>
    <row r="5959" ht="12.75" customHeight="1" x14ac:dyDescent="0.2"/>
    <row r="5960" ht="12.75" customHeight="1" x14ac:dyDescent="0.2"/>
    <row r="5961" ht="12.75" customHeight="1" x14ac:dyDescent="0.2"/>
    <row r="5962" ht="12.75" customHeight="1" x14ac:dyDescent="0.2"/>
    <row r="5963" ht="12.75" customHeight="1" x14ac:dyDescent="0.2"/>
    <row r="5964" ht="12.75" customHeight="1" x14ac:dyDescent="0.2"/>
    <row r="5965" ht="12.75" customHeight="1" x14ac:dyDescent="0.2"/>
    <row r="5966" ht="12.75" customHeight="1" x14ac:dyDescent="0.2"/>
    <row r="5967" ht="12.75" customHeight="1" x14ac:dyDescent="0.2"/>
    <row r="5968" ht="12.75" customHeight="1" x14ac:dyDescent="0.2"/>
    <row r="5969" ht="12.75" customHeight="1" x14ac:dyDescent="0.2"/>
    <row r="5970" ht="12.75" customHeight="1" x14ac:dyDescent="0.2"/>
    <row r="5971" ht="12.75" customHeight="1" x14ac:dyDescent="0.2"/>
    <row r="5972" ht="12.75" customHeight="1" x14ac:dyDescent="0.2"/>
    <row r="5973" ht="12.75" customHeight="1" x14ac:dyDescent="0.2"/>
    <row r="5974" ht="12.75" customHeight="1" x14ac:dyDescent="0.2"/>
    <row r="5975" ht="12.75" customHeight="1" x14ac:dyDescent="0.2"/>
    <row r="5976" ht="12.75" customHeight="1" x14ac:dyDescent="0.2"/>
    <row r="5977" ht="12.75" customHeight="1" x14ac:dyDescent="0.2"/>
    <row r="5978" ht="12.75" customHeight="1" x14ac:dyDescent="0.2"/>
    <row r="5979" ht="12.75" customHeight="1" x14ac:dyDescent="0.2"/>
    <row r="5980" ht="12.75" customHeight="1" x14ac:dyDescent="0.2"/>
    <row r="5981" ht="12.75" customHeight="1" x14ac:dyDescent="0.2"/>
    <row r="5982" ht="12.75" customHeight="1" x14ac:dyDescent="0.2"/>
    <row r="5983" ht="12.75" customHeight="1" x14ac:dyDescent="0.2"/>
    <row r="5984" ht="12.75" customHeight="1" x14ac:dyDescent="0.2"/>
    <row r="5985" ht="12.75" customHeight="1" x14ac:dyDescent="0.2"/>
    <row r="5986" ht="12.75" customHeight="1" x14ac:dyDescent="0.2"/>
    <row r="5987" ht="12.75" customHeight="1" x14ac:dyDescent="0.2"/>
    <row r="5988" ht="12.75" customHeight="1" x14ac:dyDescent="0.2"/>
    <row r="5989" ht="12.75" customHeight="1" x14ac:dyDescent="0.2"/>
    <row r="5990" ht="12.75" customHeight="1" x14ac:dyDescent="0.2"/>
    <row r="5991" ht="12.75" customHeight="1" x14ac:dyDescent="0.2"/>
    <row r="5992" ht="12.75" customHeight="1" x14ac:dyDescent="0.2"/>
    <row r="5993" ht="12.75" customHeight="1" x14ac:dyDescent="0.2"/>
    <row r="5994" ht="12.75" customHeight="1" x14ac:dyDescent="0.2"/>
    <row r="5995" ht="12.75" customHeight="1" x14ac:dyDescent="0.2"/>
    <row r="5996" ht="12.75" customHeight="1" x14ac:dyDescent="0.2"/>
    <row r="5997" ht="12.75" customHeight="1" x14ac:dyDescent="0.2"/>
    <row r="5998" ht="12.75" customHeight="1" x14ac:dyDescent="0.2"/>
    <row r="5999" ht="12.75" customHeight="1" x14ac:dyDescent="0.2"/>
    <row r="6000" ht="12.75" customHeight="1" x14ac:dyDescent="0.2"/>
    <row r="6001" ht="12.75" customHeight="1" x14ac:dyDescent="0.2"/>
    <row r="6002" ht="12.75" customHeight="1" x14ac:dyDescent="0.2"/>
    <row r="6003" ht="12.75" customHeight="1" x14ac:dyDescent="0.2"/>
    <row r="6004" ht="12.75" customHeight="1" x14ac:dyDescent="0.2"/>
    <row r="6005" ht="12.75" customHeight="1" x14ac:dyDescent="0.2"/>
    <row r="6006" ht="12.75" customHeight="1" x14ac:dyDescent="0.2"/>
    <row r="6007" ht="12.75" customHeight="1" x14ac:dyDescent="0.2"/>
    <row r="6008" ht="12.75" customHeight="1" x14ac:dyDescent="0.2"/>
    <row r="6009" ht="12.75" customHeight="1" x14ac:dyDescent="0.2"/>
    <row r="6010" ht="12.75" customHeight="1" x14ac:dyDescent="0.2"/>
    <row r="6011" ht="12.75" customHeight="1" x14ac:dyDescent="0.2"/>
    <row r="6012" ht="12.75" customHeight="1" x14ac:dyDescent="0.2"/>
    <row r="6013" ht="12.75" customHeight="1" x14ac:dyDescent="0.2"/>
    <row r="6014" ht="12.75" customHeight="1" x14ac:dyDescent="0.2"/>
    <row r="6015" ht="12.75" customHeight="1" x14ac:dyDescent="0.2"/>
    <row r="6016" ht="12.75" customHeight="1" x14ac:dyDescent="0.2"/>
    <row r="6017" ht="12.75" customHeight="1" x14ac:dyDescent="0.2"/>
    <row r="6018" ht="12.75" customHeight="1" x14ac:dyDescent="0.2"/>
    <row r="6019" ht="12.75" customHeight="1" x14ac:dyDescent="0.2"/>
    <row r="6020" ht="12.75" customHeight="1" x14ac:dyDescent="0.2"/>
    <row r="6021" ht="12.75" customHeight="1" x14ac:dyDescent="0.2"/>
    <row r="6022" ht="12.75" customHeight="1" x14ac:dyDescent="0.2"/>
    <row r="6023" ht="12.75" customHeight="1" x14ac:dyDescent="0.2"/>
    <row r="6024" ht="12.75" customHeight="1" x14ac:dyDescent="0.2"/>
    <row r="6025" ht="12.75" customHeight="1" x14ac:dyDescent="0.2"/>
    <row r="6026" ht="12.75" customHeight="1" x14ac:dyDescent="0.2"/>
    <row r="6027" ht="12.75" customHeight="1" x14ac:dyDescent="0.2"/>
    <row r="6028" ht="12.75" customHeight="1" x14ac:dyDescent="0.2"/>
    <row r="6029" ht="12.75" customHeight="1" x14ac:dyDescent="0.2"/>
    <row r="6030" ht="12.75" customHeight="1" x14ac:dyDescent="0.2"/>
    <row r="6031" ht="12.75" customHeight="1" x14ac:dyDescent="0.2"/>
    <row r="6032" ht="12.75" customHeight="1" x14ac:dyDescent="0.2"/>
    <row r="6033" ht="12.75" customHeight="1" x14ac:dyDescent="0.2"/>
    <row r="6034" ht="12.75" customHeight="1" x14ac:dyDescent="0.2"/>
    <row r="6035" ht="12.75" customHeight="1" x14ac:dyDescent="0.2"/>
    <row r="6036" ht="12.75" customHeight="1" x14ac:dyDescent="0.2"/>
    <row r="6037" ht="12.75" customHeight="1" x14ac:dyDescent="0.2"/>
    <row r="6038" ht="12.75" customHeight="1" x14ac:dyDescent="0.2"/>
    <row r="6039" ht="12.75" customHeight="1" x14ac:dyDescent="0.2"/>
    <row r="6040" ht="12.75" customHeight="1" x14ac:dyDescent="0.2"/>
    <row r="6041" ht="12.75" customHeight="1" x14ac:dyDescent="0.2"/>
    <row r="6042" ht="12.75" customHeight="1" x14ac:dyDescent="0.2"/>
    <row r="6043" ht="12.75" customHeight="1" x14ac:dyDescent="0.2"/>
    <row r="6044" ht="12.75" customHeight="1" x14ac:dyDescent="0.2"/>
    <row r="6045" ht="12.75" customHeight="1" x14ac:dyDescent="0.2"/>
    <row r="6046" ht="12.75" customHeight="1" x14ac:dyDescent="0.2"/>
    <row r="6047" ht="12.75" customHeight="1" x14ac:dyDescent="0.2"/>
    <row r="6048" ht="12.75" customHeight="1" x14ac:dyDescent="0.2"/>
    <row r="6049" ht="12.75" customHeight="1" x14ac:dyDescent="0.2"/>
    <row r="6050" ht="12.75" customHeight="1" x14ac:dyDescent="0.2"/>
    <row r="6051" ht="12.75" customHeight="1" x14ac:dyDescent="0.2"/>
    <row r="6052" ht="12.75" customHeight="1" x14ac:dyDescent="0.2"/>
    <row r="6053" ht="12.75" customHeight="1" x14ac:dyDescent="0.2"/>
    <row r="6054" ht="12.75" customHeight="1" x14ac:dyDescent="0.2"/>
    <row r="6055" ht="12.75" customHeight="1" x14ac:dyDescent="0.2"/>
    <row r="6056" ht="12.75" customHeight="1" x14ac:dyDescent="0.2"/>
    <row r="6057" ht="12.75" customHeight="1" x14ac:dyDescent="0.2"/>
    <row r="6058" ht="12.75" customHeight="1" x14ac:dyDescent="0.2"/>
    <row r="6059" ht="12.75" customHeight="1" x14ac:dyDescent="0.2"/>
    <row r="6060" ht="12.75" customHeight="1" x14ac:dyDescent="0.2"/>
    <row r="6061" ht="12.75" customHeight="1" x14ac:dyDescent="0.2"/>
    <row r="6062" ht="12.75" customHeight="1" x14ac:dyDescent="0.2"/>
    <row r="6063" ht="12.75" customHeight="1" x14ac:dyDescent="0.2"/>
    <row r="6064" ht="12.75" customHeight="1" x14ac:dyDescent="0.2"/>
    <row r="6065" ht="12.75" customHeight="1" x14ac:dyDescent="0.2"/>
    <row r="6066" ht="12.75" customHeight="1" x14ac:dyDescent="0.2"/>
    <row r="6067" ht="12.75" customHeight="1" x14ac:dyDescent="0.2"/>
    <row r="6068" ht="12.75" customHeight="1" x14ac:dyDescent="0.2"/>
    <row r="6069" ht="12.75" customHeight="1" x14ac:dyDescent="0.2"/>
    <row r="6070" ht="12.75" customHeight="1" x14ac:dyDescent="0.2"/>
    <row r="6071" ht="12.75" customHeight="1" x14ac:dyDescent="0.2"/>
    <row r="6072" ht="12.75" customHeight="1" x14ac:dyDescent="0.2"/>
    <row r="6073" ht="12.75" customHeight="1" x14ac:dyDescent="0.2"/>
    <row r="6074" ht="12.75" customHeight="1" x14ac:dyDescent="0.2"/>
    <row r="6075" ht="12.75" customHeight="1" x14ac:dyDescent="0.2"/>
    <row r="6076" ht="12.75" customHeight="1" x14ac:dyDescent="0.2"/>
    <row r="6077" ht="12.75" customHeight="1" x14ac:dyDescent="0.2"/>
    <row r="6078" ht="12.75" customHeight="1" x14ac:dyDescent="0.2"/>
    <row r="6079" ht="12.75" customHeight="1" x14ac:dyDescent="0.2"/>
    <row r="6080" ht="12.75" customHeight="1" x14ac:dyDescent="0.2"/>
    <row r="6081" ht="12.75" customHeight="1" x14ac:dyDescent="0.2"/>
    <row r="6082" ht="12.75" customHeight="1" x14ac:dyDescent="0.2"/>
    <row r="6083" ht="12.75" customHeight="1" x14ac:dyDescent="0.2"/>
    <row r="6084" ht="12.75" customHeight="1" x14ac:dyDescent="0.2"/>
    <row r="6085" ht="12.75" customHeight="1" x14ac:dyDescent="0.2"/>
    <row r="6086" ht="12.75" customHeight="1" x14ac:dyDescent="0.2"/>
    <row r="6087" ht="12.75" customHeight="1" x14ac:dyDescent="0.2"/>
    <row r="6088" ht="12.75" customHeight="1" x14ac:dyDescent="0.2"/>
    <row r="6089" ht="12.75" customHeight="1" x14ac:dyDescent="0.2"/>
    <row r="6090" ht="12.75" customHeight="1" x14ac:dyDescent="0.2"/>
    <row r="6091" ht="12.75" customHeight="1" x14ac:dyDescent="0.2"/>
    <row r="6092" ht="12.75" customHeight="1" x14ac:dyDescent="0.2"/>
    <row r="6093" ht="12.75" customHeight="1" x14ac:dyDescent="0.2"/>
    <row r="6094" ht="12.75" customHeight="1" x14ac:dyDescent="0.2"/>
    <row r="6095" ht="12.75" customHeight="1" x14ac:dyDescent="0.2"/>
    <row r="6096" ht="12.75" customHeight="1" x14ac:dyDescent="0.2"/>
    <row r="6097" ht="12.75" customHeight="1" x14ac:dyDescent="0.2"/>
    <row r="6098" ht="12.75" customHeight="1" x14ac:dyDescent="0.2"/>
    <row r="6099" ht="12.75" customHeight="1" x14ac:dyDescent="0.2"/>
    <row r="6100" ht="12.75" customHeight="1" x14ac:dyDescent="0.2"/>
    <row r="6101" ht="12.75" customHeight="1" x14ac:dyDescent="0.2"/>
    <row r="6102" ht="12.75" customHeight="1" x14ac:dyDescent="0.2"/>
    <row r="6103" ht="12.75" customHeight="1" x14ac:dyDescent="0.2"/>
    <row r="6104" ht="12.75" customHeight="1" x14ac:dyDescent="0.2"/>
    <row r="6105" ht="12.75" customHeight="1" x14ac:dyDescent="0.2"/>
    <row r="6106" ht="12.75" customHeight="1" x14ac:dyDescent="0.2"/>
    <row r="6107" ht="12.75" customHeight="1" x14ac:dyDescent="0.2"/>
    <row r="6108" ht="12.75" customHeight="1" x14ac:dyDescent="0.2"/>
    <row r="6109" ht="12.75" customHeight="1" x14ac:dyDescent="0.2"/>
    <row r="6110" ht="12.75" customHeight="1" x14ac:dyDescent="0.2"/>
    <row r="6111" ht="12.75" customHeight="1" x14ac:dyDescent="0.2"/>
    <row r="6112" ht="12.75" customHeight="1" x14ac:dyDescent="0.2"/>
    <row r="6113" ht="12.75" customHeight="1" x14ac:dyDescent="0.2"/>
    <row r="6114" ht="12.75" customHeight="1" x14ac:dyDescent="0.2"/>
    <row r="6115" ht="12.75" customHeight="1" x14ac:dyDescent="0.2"/>
    <row r="6116" ht="12.75" customHeight="1" x14ac:dyDescent="0.2"/>
    <row r="6117" ht="12.75" customHeight="1" x14ac:dyDescent="0.2"/>
    <row r="6118" ht="12.75" customHeight="1" x14ac:dyDescent="0.2"/>
    <row r="6119" ht="12.75" customHeight="1" x14ac:dyDescent="0.2"/>
    <row r="6120" ht="12.75" customHeight="1" x14ac:dyDescent="0.2"/>
    <row r="6121" ht="12.75" customHeight="1" x14ac:dyDescent="0.2"/>
    <row r="6122" ht="12.75" customHeight="1" x14ac:dyDescent="0.2"/>
    <row r="6123" ht="12.75" customHeight="1" x14ac:dyDescent="0.2"/>
    <row r="6124" ht="12.75" customHeight="1" x14ac:dyDescent="0.2"/>
    <row r="6125" ht="12.75" customHeight="1" x14ac:dyDescent="0.2"/>
    <row r="6126" ht="12.75" customHeight="1" x14ac:dyDescent="0.2"/>
    <row r="6127" ht="12.75" customHeight="1" x14ac:dyDescent="0.2"/>
    <row r="6128" ht="12.75" customHeight="1" x14ac:dyDescent="0.2"/>
    <row r="6129" ht="12.75" customHeight="1" x14ac:dyDescent="0.2"/>
    <row r="6130" ht="12.75" customHeight="1" x14ac:dyDescent="0.2"/>
    <row r="6131" ht="12.75" customHeight="1" x14ac:dyDescent="0.2"/>
    <row r="6132" ht="12.75" customHeight="1" x14ac:dyDescent="0.2"/>
    <row r="6133" ht="12.75" customHeight="1" x14ac:dyDescent="0.2"/>
    <row r="6134" ht="12.75" customHeight="1" x14ac:dyDescent="0.2"/>
    <row r="6135" ht="12.75" customHeight="1" x14ac:dyDescent="0.2"/>
    <row r="6136" ht="12.75" customHeight="1" x14ac:dyDescent="0.2"/>
    <row r="6137" ht="12.75" customHeight="1" x14ac:dyDescent="0.2"/>
    <row r="6138" ht="12.75" customHeight="1" x14ac:dyDescent="0.2"/>
    <row r="6139" ht="12.75" customHeight="1" x14ac:dyDescent="0.2"/>
    <row r="6140" ht="12.75" customHeight="1" x14ac:dyDescent="0.2"/>
    <row r="6141" ht="12.75" customHeight="1" x14ac:dyDescent="0.2"/>
    <row r="6142" ht="12.75" customHeight="1" x14ac:dyDescent="0.2"/>
    <row r="6143" ht="12.75" customHeight="1" x14ac:dyDescent="0.2"/>
    <row r="6144" ht="12.75" customHeight="1" x14ac:dyDescent="0.2"/>
    <row r="6145" ht="12.75" customHeight="1" x14ac:dyDescent="0.2"/>
    <row r="6146" ht="12.75" customHeight="1" x14ac:dyDescent="0.2"/>
    <row r="6147" ht="12.75" customHeight="1" x14ac:dyDescent="0.2"/>
    <row r="6148" ht="12.75" customHeight="1" x14ac:dyDescent="0.2"/>
    <row r="6149" ht="12.75" customHeight="1" x14ac:dyDescent="0.2"/>
    <row r="6150" ht="12.75" customHeight="1" x14ac:dyDescent="0.2"/>
    <row r="6151" ht="12.75" customHeight="1" x14ac:dyDescent="0.2"/>
    <row r="6152" ht="12.75" customHeight="1" x14ac:dyDescent="0.2"/>
    <row r="6153" ht="12.75" customHeight="1" x14ac:dyDescent="0.2"/>
    <row r="6154" ht="12.75" customHeight="1" x14ac:dyDescent="0.2"/>
    <row r="6155" ht="12.75" customHeight="1" x14ac:dyDescent="0.2"/>
    <row r="6156" ht="12.75" customHeight="1" x14ac:dyDescent="0.2"/>
    <row r="6157" ht="12.75" customHeight="1" x14ac:dyDescent="0.2"/>
    <row r="6158" ht="12.75" customHeight="1" x14ac:dyDescent="0.2"/>
    <row r="6159" ht="12.75" customHeight="1" x14ac:dyDescent="0.2"/>
    <row r="6160" ht="12.75" customHeight="1" x14ac:dyDescent="0.2"/>
    <row r="6161" ht="12.75" customHeight="1" x14ac:dyDescent="0.2"/>
    <row r="6162" ht="12.75" customHeight="1" x14ac:dyDescent="0.2"/>
    <row r="6163" ht="12.75" customHeight="1" x14ac:dyDescent="0.2"/>
    <row r="6164" ht="12.75" customHeight="1" x14ac:dyDescent="0.2"/>
    <row r="6165" ht="12.75" customHeight="1" x14ac:dyDescent="0.2"/>
    <row r="6166" ht="12.75" customHeight="1" x14ac:dyDescent="0.2"/>
    <row r="6167" ht="12.75" customHeight="1" x14ac:dyDescent="0.2"/>
    <row r="6168" ht="12.75" customHeight="1" x14ac:dyDescent="0.2"/>
    <row r="6169" ht="12.75" customHeight="1" x14ac:dyDescent="0.2"/>
    <row r="6170" ht="12.75" customHeight="1" x14ac:dyDescent="0.2"/>
    <row r="6171" ht="12.75" customHeight="1" x14ac:dyDescent="0.2"/>
    <row r="6172" ht="12.75" customHeight="1" x14ac:dyDescent="0.2"/>
    <row r="6173" ht="12.75" customHeight="1" x14ac:dyDescent="0.2"/>
    <row r="6174" ht="12.75" customHeight="1" x14ac:dyDescent="0.2"/>
    <row r="6175" ht="12.75" customHeight="1" x14ac:dyDescent="0.2"/>
    <row r="6176" ht="12.75" customHeight="1" x14ac:dyDescent="0.2"/>
    <row r="6177" ht="12.75" customHeight="1" x14ac:dyDescent="0.2"/>
    <row r="6178" ht="12.75" customHeight="1" x14ac:dyDescent="0.2"/>
    <row r="6179" ht="12.75" customHeight="1" x14ac:dyDescent="0.2"/>
    <row r="6180" ht="12.75" customHeight="1" x14ac:dyDescent="0.2"/>
    <row r="6181" ht="12.75" customHeight="1" x14ac:dyDescent="0.2"/>
    <row r="6182" ht="12.75" customHeight="1" x14ac:dyDescent="0.2"/>
    <row r="6183" ht="12.75" customHeight="1" x14ac:dyDescent="0.2"/>
    <row r="6184" ht="12.75" customHeight="1" x14ac:dyDescent="0.2"/>
    <row r="6185" ht="12.75" customHeight="1" x14ac:dyDescent="0.2"/>
    <row r="6186" ht="12.75" customHeight="1" x14ac:dyDescent="0.2"/>
    <row r="6187" ht="12.75" customHeight="1" x14ac:dyDescent="0.2"/>
    <row r="6188" ht="12.75" customHeight="1" x14ac:dyDescent="0.2"/>
    <row r="6189" ht="12.75" customHeight="1" x14ac:dyDescent="0.2"/>
    <row r="6190" ht="12.75" customHeight="1" x14ac:dyDescent="0.2"/>
    <row r="6191" ht="12.75" customHeight="1" x14ac:dyDescent="0.2"/>
    <row r="6192" ht="12.75" customHeight="1" x14ac:dyDescent="0.2"/>
    <row r="6193" ht="12.75" customHeight="1" x14ac:dyDescent="0.2"/>
    <row r="6194" ht="12.75" customHeight="1" x14ac:dyDescent="0.2"/>
    <row r="6195" ht="12.75" customHeight="1" x14ac:dyDescent="0.2"/>
    <row r="6196" ht="12.75" customHeight="1" x14ac:dyDescent="0.2"/>
    <row r="6197" ht="12.75" customHeight="1" x14ac:dyDescent="0.2"/>
    <row r="6198" ht="12.75" customHeight="1" x14ac:dyDescent="0.2"/>
    <row r="6199" ht="12.75" customHeight="1" x14ac:dyDescent="0.2"/>
    <row r="6200" ht="12.75" customHeight="1" x14ac:dyDescent="0.2"/>
    <row r="6201" ht="12.75" customHeight="1" x14ac:dyDescent="0.2"/>
    <row r="6202" ht="12.75" customHeight="1" x14ac:dyDescent="0.2"/>
    <row r="6203" ht="12.75" customHeight="1" x14ac:dyDescent="0.2"/>
    <row r="6204" ht="12.75" customHeight="1" x14ac:dyDescent="0.2"/>
    <row r="6205" ht="12.75" customHeight="1" x14ac:dyDescent="0.2"/>
    <row r="6206" ht="12.75" customHeight="1" x14ac:dyDescent="0.2"/>
    <row r="6207" ht="12.75" customHeight="1" x14ac:dyDescent="0.2"/>
    <row r="6208" ht="12.75" customHeight="1" x14ac:dyDescent="0.2"/>
    <row r="6209" ht="12.75" customHeight="1" x14ac:dyDescent="0.2"/>
    <row r="6210" ht="12.75" customHeight="1" x14ac:dyDescent="0.2"/>
    <row r="6211" ht="12.75" customHeight="1" x14ac:dyDescent="0.2"/>
    <row r="6212" ht="12.75" customHeight="1" x14ac:dyDescent="0.2"/>
    <row r="6213" ht="12.75" customHeight="1" x14ac:dyDescent="0.2"/>
    <row r="6214" ht="12.75" customHeight="1" x14ac:dyDescent="0.2"/>
    <row r="6215" ht="12.75" customHeight="1" x14ac:dyDescent="0.2"/>
    <row r="6216" ht="12.75" customHeight="1" x14ac:dyDescent="0.2"/>
    <row r="6217" ht="12.75" customHeight="1" x14ac:dyDescent="0.2"/>
    <row r="6218" ht="12.75" customHeight="1" x14ac:dyDescent="0.2"/>
    <row r="6219" ht="12.75" customHeight="1" x14ac:dyDescent="0.2"/>
    <row r="6220" ht="12.75" customHeight="1" x14ac:dyDescent="0.2"/>
    <row r="6221" ht="12.75" customHeight="1" x14ac:dyDescent="0.2"/>
    <row r="6222" ht="12.75" customHeight="1" x14ac:dyDescent="0.2"/>
    <row r="6223" ht="12.75" customHeight="1" x14ac:dyDescent="0.2"/>
    <row r="6224" ht="12.75" customHeight="1" x14ac:dyDescent="0.2"/>
    <row r="6225" ht="12.75" customHeight="1" x14ac:dyDescent="0.2"/>
    <row r="6226" ht="12.75" customHeight="1" x14ac:dyDescent="0.2"/>
    <row r="6227" ht="12.75" customHeight="1" x14ac:dyDescent="0.2"/>
    <row r="6228" ht="12.75" customHeight="1" x14ac:dyDescent="0.2"/>
    <row r="6229" ht="12.75" customHeight="1" x14ac:dyDescent="0.2"/>
    <row r="6230" ht="12.75" customHeight="1" x14ac:dyDescent="0.2"/>
    <row r="6231" ht="12.75" customHeight="1" x14ac:dyDescent="0.2"/>
    <row r="6232" ht="12.75" customHeight="1" x14ac:dyDescent="0.2"/>
    <row r="6233" ht="12.75" customHeight="1" x14ac:dyDescent="0.2"/>
    <row r="6234" ht="12.75" customHeight="1" x14ac:dyDescent="0.2"/>
    <row r="6235" ht="12.75" customHeight="1" x14ac:dyDescent="0.2"/>
    <row r="6236" ht="12.75" customHeight="1" x14ac:dyDescent="0.2"/>
    <row r="6237" ht="12.75" customHeight="1" x14ac:dyDescent="0.2"/>
    <row r="6238" ht="12.75" customHeight="1" x14ac:dyDescent="0.2"/>
    <row r="6239" ht="12.75" customHeight="1" x14ac:dyDescent="0.2"/>
    <row r="6240" ht="12.75" customHeight="1" x14ac:dyDescent="0.2"/>
    <row r="6241" ht="12.75" customHeight="1" x14ac:dyDescent="0.2"/>
    <row r="6242" ht="12.75" customHeight="1" x14ac:dyDescent="0.2"/>
    <row r="6243" ht="12.75" customHeight="1" x14ac:dyDescent="0.2"/>
    <row r="6244" ht="12.75" customHeight="1" x14ac:dyDescent="0.2"/>
    <row r="6245" ht="12.75" customHeight="1" x14ac:dyDescent="0.2"/>
    <row r="6246" ht="12.75" customHeight="1" x14ac:dyDescent="0.2"/>
    <row r="6247" ht="12.75" customHeight="1" x14ac:dyDescent="0.2"/>
    <row r="6248" ht="12.75" customHeight="1" x14ac:dyDescent="0.2"/>
    <row r="6249" ht="12.75" customHeight="1" x14ac:dyDescent="0.2"/>
    <row r="6250" ht="12.75" customHeight="1" x14ac:dyDescent="0.2"/>
    <row r="6251" ht="12.75" customHeight="1" x14ac:dyDescent="0.2"/>
    <row r="6252" ht="12.75" customHeight="1" x14ac:dyDescent="0.2"/>
    <row r="6253" ht="12.75" customHeight="1" x14ac:dyDescent="0.2"/>
    <row r="6254" ht="12.75" customHeight="1" x14ac:dyDescent="0.2"/>
    <row r="6255" ht="12.75" customHeight="1" x14ac:dyDescent="0.2"/>
    <row r="6256" ht="12.75" customHeight="1" x14ac:dyDescent="0.2"/>
    <row r="6257" ht="12.75" customHeight="1" x14ac:dyDescent="0.2"/>
    <row r="6258" ht="12.75" customHeight="1" x14ac:dyDescent="0.2"/>
    <row r="6259" ht="12.75" customHeight="1" x14ac:dyDescent="0.2"/>
    <row r="6260" ht="12.75" customHeight="1" x14ac:dyDescent="0.2"/>
    <row r="6261" ht="12.75" customHeight="1" x14ac:dyDescent="0.2"/>
    <row r="6262" ht="12.75" customHeight="1" x14ac:dyDescent="0.2"/>
    <row r="6263" ht="12.75" customHeight="1" x14ac:dyDescent="0.2"/>
    <row r="6264" ht="12.75" customHeight="1" x14ac:dyDescent="0.2"/>
    <row r="6265" ht="12.75" customHeight="1" x14ac:dyDescent="0.2"/>
    <row r="6266" ht="12.75" customHeight="1" x14ac:dyDescent="0.2"/>
    <row r="6267" ht="12.75" customHeight="1" x14ac:dyDescent="0.2"/>
    <row r="6268" ht="12.75" customHeight="1" x14ac:dyDescent="0.2"/>
    <row r="6269" ht="12.75" customHeight="1" x14ac:dyDescent="0.2"/>
    <row r="6270" ht="12.75" customHeight="1" x14ac:dyDescent="0.2"/>
    <row r="6271" ht="12.75" customHeight="1" x14ac:dyDescent="0.2"/>
    <row r="6272" ht="12.75" customHeight="1" x14ac:dyDescent="0.2"/>
    <row r="6273" ht="12.75" customHeight="1" x14ac:dyDescent="0.2"/>
    <row r="6274" ht="12.75" customHeight="1" x14ac:dyDescent="0.2"/>
    <row r="6275" ht="12.75" customHeight="1" x14ac:dyDescent="0.2"/>
    <row r="6276" ht="12.75" customHeight="1" x14ac:dyDescent="0.2"/>
    <row r="6277" ht="12.75" customHeight="1" x14ac:dyDescent="0.2"/>
    <row r="6278" ht="12.75" customHeight="1" x14ac:dyDescent="0.2"/>
    <row r="6279" ht="12.75" customHeight="1" x14ac:dyDescent="0.2"/>
    <row r="6280" ht="12.75" customHeight="1" x14ac:dyDescent="0.2"/>
    <row r="6281" ht="12.75" customHeight="1" x14ac:dyDescent="0.2"/>
    <row r="6282" ht="12.75" customHeight="1" x14ac:dyDescent="0.2"/>
    <row r="6283" ht="12.75" customHeight="1" x14ac:dyDescent="0.2"/>
    <row r="6284" ht="12.75" customHeight="1" x14ac:dyDescent="0.2"/>
    <row r="6285" ht="12.75" customHeight="1" x14ac:dyDescent="0.2"/>
    <row r="6286" ht="12.75" customHeight="1" x14ac:dyDescent="0.2"/>
    <row r="6287" ht="12.75" customHeight="1" x14ac:dyDescent="0.2"/>
    <row r="6288" ht="12.75" customHeight="1" x14ac:dyDescent="0.2"/>
    <row r="6289" ht="12.75" customHeight="1" x14ac:dyDescent="0.2"/>
    <row r="6290" ht="12.75" customHeight="1" x14ac:dyDescent="0.2"/>
    <row r="6291" ht="12.75" customHeight="1" x14ac:dyDescent="0.2"/>
    <row r="6292" ht="12.75" customHeight="1" x14ac:dyDescent="0.2"/>
    <row r="6293" ht="12.75" customHeight="1" x14ac:dyDescent="0.2"/>
    <row r="6294" ht="12.75" customHeight="1" x14ac:dyDescent="0.2"/>
    <row r="6295" ht="12.75" customHeight="1" x14ac:dyDescent="0.2"/>
    <row r="6296" ht="12.75" customHeight="1" x14ac:dyDescent="0.2"/>
    <row r="6297" ht="12.75" customHeight="1" x14ac:dyDescent="0.2"/>
    <row r="6298" ht="12.75" customHeight="1" x14ac:dyDescent="0.2"/>
    <row r="6299" ht="12.75" customHeight="1" x14ac:dyDescent="0.2"/>
    <row r="6300" ht="12.75" customHeight="1" x14ac:dyDescent="0.2"/>
    <row r="6301" ht="12.75" customHeight="1" x14ac:dyDescent="0.2"/>
    <row r="6302" ht="12.75" customHeight="1" x14ac:dyDescent="0.2"/>
    <row r="6303" ht="12.75" customHeight="1" x14ac:dyDescent="0.2"/>
    <row r="6304" ht="12.75" customHeight="1" x14ac:dyDescent="0.2"/>
    <row r="6305" ht="12.75" customHeight="1" x14ac:dyDescent="0.2"/>
    <row r="6306" ht="12.75" customHeight="1" x14ac:dyDescent="0.2"/>
    <row r="6307" ht="12.75" customHeight="1" x14ac:dyDescent="0.2"/>
    <row r="6308" ht="12.75" customHeight="1" x14ac:dyDescent="0.2"/>
    <row r="6309" ht="12.75" customHeight="1" x14ac:dyDescent="0.2"/>
    <row r="6310" ht="12.75" customHeight="1" x14ac:dyDescent="0.2"/>
    <row r="6311" ht="12.75" customHeight="1" x14ac:dyDescent="0.2"/>
    <row r="6312" ht="12.75" customHeight="1" x14ac:dyDescent="0.2"/>
    <row r="6313" ht="12.75" customHeight="1" x14ac:dyDescent="0.2"/>
    <row r="6314" ht="12.75" customHeight="1" x14ac:dyDescent="0.2"/>
    <row r="6315" ht="12.75" customHeight="1" x14ac:dyDescent="0.2"/>
    <row r="6316" ht="12.75" customHeight="1" x14ac:dyDescent="0.2"/>
    <row r="6317" ht="12.75" customHeight="1" x14ac:dyDescent="0.2"/>
    <row r="6318" ht="12.75" customHeight="1" x14ac:dyDescent="0.2"/>
    <row r="6319" ht="12.75" customHeight="1" x14ac:dyDescent="0.2"/>
    <row r="6320" ht="12.75" customHeight="1" x14ac:dyDescent="0.2"/>
    <row r="6321" ht="12.75" customHeight="1" x14ac:dyDescent="0.2"/>
    <row r="6322" ht="12.75" customHeight="1" x14ac:dyDescent="0.2"/>
    <row r="6323" ht="12.75" customHeight="1" x14ac:dyDescent="0.2"/>
    <row r="6324" ht="12.75" customHeight="1" x14ac:dyDescent="0.2"/>
    <row r="6325" ht="12.75" customHeight="1" x14ac:dyDescent="0.2"/>
    <row r="6326" ht="12.75" customHeight="1" x14ac:dyDescent="0.2"/>
    <row r="6327" ht="12.75" customHeight="1" x14ac:dyDescent="0.2"/>
    <row r="6328" ht="12.75" customHeight="1" x14ac:dyDescent="0.2"/>
    <row r="6329" ht="12.75" customHeight="1" x14ac:dyDescent="0.2"/>
    <row r="6330" ht="12.75" customHeight="1" x14ac:dyDescent="0.2"/>
    <row r="6331" ht="12.75" customHeight="1" x14ac:dyDescent="0.2"/>
    <row r="6332" ht="12.75" customHeight="1" x14ac:dyDescent="0.2"/>
    <row r="6333" ht="12.75" customHeight="1" x14ac:dyDescent="0.2"/>
    <row r="6334" ht="12.75" customHeight="1" x14ac:dyDescent="0.2"/>
    <row r="6335" ht="12.75" customHeight="1" x14ac:dyDescent="0.2"/>
    <row r="6336" ht="12.75" customHeight="1" x14ac:dyDescent="0.2"/>
    <row r="6337" ht="12.75" customHeight="1" x14ac:dyDescent="0.2"/>
    <row r="6338" ht="12.75" customHeight="1" x14ac:dyDescent="0.2"/>
    <row r="6339" ht="12.75" customHeight="1" x14ac:dyDescent="0.2"/>
    <row r="6340" ht="12.75" customHeight="1" x14ac:dyDescent="0.2"/>
    <row r="6341" ht="12.75" customHeight="1" x14ac:dyDescent="0.2"/>
    <row r="6342" ht="12.75" customHeight="1" x14ac:dyDescent="0.2"/>
    <row r="6343" ht="12.75" customHeight="1" x14ac:dyDescent="0.2"/>
    <row r="6344" ht="12.75" customHeight="1" x14ac:dyDescent="0.2"/>
    <row r="6345" ht="12.75" customHeight="1" x14ac:dyDescent="0.2"/>
    <row r="6346" ht="12.75" customHeight="1" x14ac:dyDescent="0.2"/>
    <row r="6347" ht="12.75" customHeight="1" x14ac:dyDescent="0.2"/>
    <row r="6348" ht="12.75" customHeight="1" x14ac:dyDescent="0.2"/>
    <row r="6349" ht="12.75" customHeight="1" x14ac:dyDescent="0.2"/>
    <row r="6350" ht="12.75" customHeight="1" x14ac:dyDescent="0.2"/>
    <row r="6351" ht="12.75" customHeight="1" x14ac:dyDescent="0.2"/>
    <row r="6352" ht="12.75" customHeight="1" x14ac:dyDescent="0.2"/>
    <row r="6353" ht="12.75" customHeight="1" x14ac:dyDescent="0.2"/>
    <row r="6354" ht="12.75" customHeight="1" x14ac:dyDescent="0.2"/>
    <row r="6355" ht="12.75" customHeight="1" x14ac:dyDescent="0.2"/>
    <row r="6356" ht="12.75" customHeight="1" x14ac:dyDescent="0.2"/>
    <row r="6357" ht="12.75" customHeight="1" x14ac:dyDescent="0.2"/>
    <row r="6358" ht="12.75" customHeight="1" x14ac:dyDescent="0.2"/>
    <row r="6359" ht="12.75" customHeight="1" x14ac:dyDescent="0.2"/>
    <row r="6360" ht="12.75" customHeight="1" x14ac:dyDescent="0.2"/>
    <row r="6361" ht="12.75" customHeight="1" x14ac:dyDescent="0.2"/>
    <row r="6362" ht="12.75" customHeight="1" x14ac:dyDescent="0.2"/>
    <row r="6363" ht="12.75" customHeight="1" x14ac:dyDescent="0.2"/>
    <row r="6364" ht="12.75" customHeight="1" x14ac:dyDescent="0.2"/>
    <row r="6365" ht="12.75" customHeight="1" x14ac:dyDescent="0.2"/>
    <row r="6366" ht="12.75" customHeight="1" x14ac:dyDescent="0.2"/>
    <row r="6367" ht="12.75" customHeight="1" x14ac:dyDescent="0.2"/>
    <row r="6368" ht="12.75" customHeight="1" x14ac:dyDescent="0.2"/>
    <row r="6369" ht="12.75" customHeight="1" x14ac:dyDescent="0.2"/>
    <row r="6370" ht="12.75" customHeight="1" x14ac:dyDescent="0.2"/>
    <row r="6371" ht="12.75" customHeight="1" x14ac:dyDescent="0.2"/>
    <row r="6372" ht="12.75" customHeight="1" x14ac:dyDescent="0.2"/>
    <row r="6373" ht="12.75" customHeight="1" x14ac:dyDescent="0.2"/>
    <row r="6374" ht="12.75" customHeight="1" x14ac:dyDescent="0.2"/>
    <row r="6375" ht="12.75" customHeight="1" x14ac:dyDescent="0.2"/>
    <row r="6376" ht="12.75" customHeight="1" x14ac:dyDescent="0.2"/>
    <row r="6377" ht="12.75" customHeight="1" x14ac:dyDescent="0.2"/>
    <row r="6378" ht="12.75" customHeight="1" x14ac:dyDescent="0.2"/>
    <row r="6379" ht="12.75" customHeight="1" x14ac:dyDescent="0.2"/>
    <row r="6380" ht="12.75" customHeight="1" x14ac:dyDescent="0.2"/>
    <row r="6381" ht="12.75" customHeight="1" x14ac:dyDescent="0.2"/>
    <row r="6382" ht="12.75" customHeight="1" x14ac:dyDescent="0.2"/>
    <row r="6383" ht="12.75" customHeight="1" x14ac:dyDescent="0.2"/>
    <row r="6384" ht="12.75" customHeight="1" x14ac:dyDescent="0.2"/>
    <row r="6385" ht="12.75" customHeight="1" x14ac:dyDescent="0.2"/>
    <row r="6386" ht="12.75" customHeight="1" x14ac:dyDescent="0.2"/>
    <row r="6387" ht="12.75" customHeight="1" x14ac:dyDescent="0.2"/>
    <row r="6388" ht="12.75" customHeight="1" x14ac:dyDescent="0.2"/>
    <row r="6389" ht="12.75" customHeight="1" x14ac:dyDescent="0.2"/>
    <row r="6390" ht="12.75" customHeight="1" x14ac:dyDescent="0.2"/>
    <row r="6391" ht="12.75" customHeight="1" x14ac:dyDescent="0.2"/>
    <row r="6392" ht="12.75" customHeight="1" x14ac:dyDescent="0.2"/>
    <row r="6393" ht="12.75" customHeight="1" x14ac:dyDescent="0.2"/>
    <row r="6394" ht="12.75" customHeight="1" x14ac:dyDescent="0.2"/>
    <row r="6395" ht="12.75" customHeight="1" x14ac:dyDescent="0.2"/>
    <row r="6396" ht="12.75" customHeight="1" x14ac:dyDescent="0.2"/>
    <row r="6397" ht="12.75" customHeight="1" x14ac:dyDescent="0.2"/>
    <row r="6398" ht="12.75" customHeight="1" x14ac:dyDescent="0.2"/>
    <row r="6399" ht="12.75" customHeight="1" x14ac:dyDescent="0.2"/>
    <row r="6400" ht="12.75" customHeight="1" x14ac:dyDescent="0.2"/>
    <row r="6401" ht="12.75" customHeight="1" x14ac:dyDescent="0.2"/>
    <row r="6402" ht="12.75" customHeight="1" x14ac:dyDescent="0.2"/>
    <row r="6403" ht="12.75" customHeight="1" x14ac:dyDescent="0.2"/>
    <row r="6404" ht="12.75" customHeight="1" x14ac:dyDescent="0.2"/>
    <row r="6405" ht="12.75" customHeight="1" x14ac:dyDescent="0.2"/>
    <row r="6406" ht="12.75" customHeight="1" x14ac:dyDescent="0.2"/>
    <row r="6407" ht="12.75" customHeight="1" x14ac:dyDescent="0.2"/>
    <row r="6408" ht="12.75" customHeight="1" x14ac:dyDescent="0.2"/>
    <row r="6409" ht="12.75" customHeight="1" x14ac:dyDescent="0.2"/>
    <row r="6410" ht="12.75" customHeight="1" x14ac:dyDescent="0.2"/>
    <row r="6411" ht="12.75" customHeight="1" x14ac:dyDescent="0.2"/>
    <row r="6412" ht="12.75" customHeight="1" x14ac:dyDescent="0.2"/>
    <row r="6413" ht="12.75" customHeight="1" x14ac:dyDescent="0.2"/>
    <row r="6414" ht="12.75" customHeight="1" x14ac:dyDescent="0.2"/>
    <row r="6415" ht="12.75" customHeight="1" x14ac:dyDescent="0.2"/>
    <row r="6416" ht="12.75" customHeight="1" x14ac:dyDescent="0.2"/>
    <row r="6417" ht="12.75" customHeight="1" x14ac:dyDescent="0.2"/>
    <row r="6418" ht="12.75" customHeight="1" x14ac:dyDescent="0.2"/>
    <row r="6419" ht="12.75" customHeight="1" x14ac:dyDescent="0.2"/>
    <row r="6420" ht="12.75" customHeight="1" x14ac:dyDescent="0.2"/>
    <row r="6421" ht="12.75" customHeight="1" x14ac:dyDescent="0.2"/>
    <row r="6422" ht="12.75" customHeight="1" x14ac:dyDescent="0.2"/>
    <row r="6423" ht="12.75" customHeight="1" x14ac:dyDescent="0.2"/>
    <row r="6424" ht="12.75" customHeight="1" x14ac:dyDescent="0.2"/>
    <row r="6425" ht="12.75" customHeight="1" x14ac:dyDescent="0.2"/>
    <row r="6426" ht="12.75" customHeight="1" x14ac:dyDescent="0.2"/>
    <row r="6427" ht="12.75" customHeight="1" x14ac:dyDescent="0.2"/>
    <row r="6428" ht="12.75" customHeight="1" x14ac:dyDescent="0.2"/>
    <row r="6429" ht="12.75" customHeight="1" x14ac:dyDescent="0.2"/>
    <row r="6430" ht="12.75" customHeight="1" x14ac:dyDescent="0.2"/>
    <row r="6431" ht="12.75" customHeight="1" x14ac:dyDescent="0.2"/>
    <row r="6432" ht="12.75" customHeight="1" x14ac:dyDescent="0.2"/>
    <row r="6433" ht="12.75" customHeight="1" x14ac:dyDescent="0.2"/>
    <row r="6434" ht="12.75" customHeight="1" x14ac:dyDescent="0.2"/>
    <row r="6435" ht="12.75" customHeight="1" x14ac:dyDescent="0.2"/>
    <row r="6436" ht="12.75" customHeight="1" x14ac:dyDescent="0.2"/>
    <row r="6437" ht="12.75" customHeight="1" x14ac:dyDescent="0.2"/>
    <row r="6438" ht="12.75" customHeight="1" x14ac:dyDescent="0.2"/>
    <row r="6439" ht="12.75" customHeight="1" x14ac:dyDescent="0.2"/>
    <row r="6440" ht="12.75" customHeight="1" x14ac:dyDescent="0.2"/>
    <row r="6441" ht="12.75" customHeight="1" x14ac:dyDescent="0.2"/>
    <row r="6442" ht="12.75" customHeight="1" x14ac:dyDescent="0.2"/>
    <row r="6443" ht="12.75" customHeight="1" x14ac:dyDescent="0.2"/>
    <row r="6444" ht="12.75" customHeight="1" x14ac:dyDescent="0.2"/>
    <row r="6445" ht="12.75" customHeight="1" x14ac:dyDescent="0.2"/>
    <row r="6446" ht="12.75" customHeight="1" x14ac:dyDescent="0.2"/>
    <row r="6447" ht="12.75" customHeight="1" x14ac:dyDescent="0.2"/>
    <row r="6448" ht="12.75" customHeight="1" x14ac:dyDescent="0.2"/>
    <row r="6449" ht="12.75" customHeight="1" x14ac:dyDescent="0.2"/>
    <row r="6450" ht="12.75" customHeight="1" x14ac:dyDescent="0.2"/>
    <row r="6451" ht="12.75" customHeight="1" x14ac:dyDescent="0.2"/>
    <row r="6452" ht="12.75" customHeight="1" x14ac:dyDescent="0.2"/>
    <row r="6453" ht="12.75" customHeight="1" x14ac:dyDescent="0.2"/>
    <row r="6454" ht="12.75" customHeight="1" x14ac:dyDescent="0.2"/>
    <row r="6455" ht="12.75" customHeight="1" x14ac:dyDescent="0.2"/>
    <row r="6456" ht="12.75" customHeight="1" x14ac:dyDescent="0.2"/>
    <row r="6457" ht="12.75" customHeight="1" x14ac:dyDescent="0.2"/>
    <row r="6458" ht="12.75" customHeight="1" x14ac:dyDescent="0.2"/>
    <row r="6459" ht="12.75" customHeight="1" x14ac:dyDescent="0.2"/>
    <row r="6460" ht="12.75" customHeight="1" x14ac:dyDescent="0.2"/>
    <row r="6461" ht="12.75" customHeight="1" x14ac:dyDescent="0.2"/>
    <row r="6462" ht="12.75" customHeight="1" x14ac:dyDescent="0.2"/>
    <row r="6463" ht="12.75" customHeight="1" x14ac:dyDescent="0.2"/>
    <row r="6464" ht="12.75" customHeight="1" x14ac:dyDescent="0.2"/>
    <row r="6465" ht="12.75" customHeight="1" x14ac:dyDescent="0.2"/>
    <row r="6466" ht="12.75" customHeight="1" x14ac:dyDescent="0.2"/>
    <row r="6467" ht="12.75" customHeight="1" x14ac:dyDescent="0.2"/>
    <row r="6468" ht="12.75" customHeight="1" x14ac:dyDescent="0.2"/>
    <row r="6469" ht="12.75" customHeight="1" x14ac:dyDescent="0.2"/>
    <row r="6470" ht="12.75" customHeight="1" x14ac:dyDescent="0.2"/>
    <row r="6471" ht="12.75" customHeight="1" x14ac:dyDescent="0.2"/>
    <row r="6472" ht="12.75" customHeight="1" x14ac:dyDescent="0.2"/>
    <row r="6473" ht="12.75" customHeight="1" x14ac:dyDescent="0.2"/>
    <row r="6474" ht="12.75" customHeight="1" x14ac:dyDescent="0.2"/>
    <row r="6475" ht="12.75" customHeight="1" x14ac:dyDescent="0.2"/>
    <row r="6476" ht="12.75" customHeight="1" x14ac:dyDescent="0.2"/>
    <row r="6477" ht="12.75" customHeight="1" x14ac:dyDescent="0.2"/>
    <row r="6478" ht="12.75" customHeight="1" x14ac:dyDescent="0.2"/>
    <row r="6479" ht="12.75" customHeight="1" x14ac:dyDescent="0.2"/>
    <row r="6480" ht="12.75" customHeight="1" x14ac:dyDescent="0.2"/>
    <row r="6481" ht="12.75" customHeight="1" x14ac:dyDescent="0.2"/>
    <row r="6482" ht="12.75" customHeight="1" x14ac:dyDescent="0.2"/>
    <row r="6483" ht="12.75" customHeight="1" x14ac:dyDescent="0.2"/>
    <row r="6484" ht="12.75" customHeight="1" x14ac:dyDescent="0.2"/>
    <row r="6485" ht="12.75" customHeight="1" x14ac:dyDescent="0.2"/>
    <row r="6486" ht="12.75" customHeight="1" x14ac:dyDescent="0.2"/>
    <row r="6487" ht="12.75" customHeight="1" x14ac:dyDescent="0.2"/>
    <row r="6488" ht="12.75" customHeight="1" x14ac:dyDescent="0.2"/>
    <row r="6489" ht="12.75" customHeight="1" x14ac:dyDescent="0.2"/>
    <row r="6490" ht="12.75" customHeight="1" x14ac:dyDescent="0.2"/>
    <row r="6491" ht="12.75" customHeight="1" x14ac:dyDescent="0.2"/>
    <row r="6492" ht="12.75" customHeight="1" x14ac:dyDescent="0.2"/>
    <row r="6493" ht="12.75" customHeight="1" x14ac:dyDescent="0.2"/>
    <row r="6494" ht="12.75" customHeight="1" x14ac:dyDescent="0.2"/>
    <row r="6495" ht="12.75" customHeight="1" x14ac:dyDescent="0.2"/>
    <row r="6496" ht="12.75" customHeight="1" x14ac:dyDescent="0.2"/>
    <row r="6497" ht="12.75" customHeight="1" x14ac:dyDescent="0.2"/>
    <row r="6498" ht="12.75" customHeight="1" x14ac:dyDescent="0.2"/>
    <row r="6499" ht="12.75" customHeight="1" x14ac:dyDescent="0.2"/>
    <row r="6500" ht="12.75" customHeight="1" x14ac:dyDescent="0.2"/>
    <row r="6501" ht="12.75" customHeight="1" x14ac:dyDescent="0.2"/>
    <row r="6502" ht="12.75" customHeight="1" x14ac:dyDescent="0.2"/>
    <row r="6503" ht="12.75" customHeight="1" x14ac:dyDescent="0.2"/>
    <row r="6504" ht="12.75" customHeight="1" x14ac:dyDescent="0.2"/>
    <row r="6505" ht="12.75" customHeight="1" x14ac:dyDescent="0.2"/>
    <row r="6506" ht="12.75" customHeight="1" x14ac:dyDescent="0.2"/>
    <row r="6507" ht="12.75" customHeight="1" x14ac:dyDescent="0.2"/>
    <row r="6508" ht="12.75" customHeight="1" x14ac:dyDescent="0.2"/>
    <row r="6509" ht="12.75" customHeight="1" x14ac:dyDescent="0.2"/>
    <row r="6510" ht="12.75" customHeight="1" x14ac:dyDescent="0.2"/>
    <row r="6511" ht="12.75" customHeight="1" x14ac:dyDescent="0.2"/>
    <row r="6512" ht="12.75" customHeight="1" x14ac:dyDescent="0.2"/>
    <row r="6513" ht="12.75" customHeight="1" x14ac:dyDescent="0.2"/>
    <row r="6514" ht="12.75" customHeight="1" x14ac:dyDescent="0.2"/>
    <row r="6515" ht="12.75" customHeight="1" x14ac:dyDescent="0.2"/>
    <row r="6516" ht="12.75" customHeight="1" x14ac:dyDescent="0.2"/>
    <row r="6517" ht="12.75" customHeight="1" x14ac:dyDescent="0.2"/>
    <row r="6518" ht="12.75" customHeight="1" x14ac:dyDescent="0.2"/>
    <row r="6519" ht="12.75" customHeight="1" x14ac:dyDescent="0.2"/>
    <row r="6520" ht="12.75" customHeight="1" x14ac:dyDescent="0.2"/>
    <row r="6521" ht="12.75" customHeight="1" x14ac:dyDescent="0.2"/>
    <row r="6522" ht="12.75" customHeight="1" x14ac:dyDescent="0.2"/>
    <row r="6523" ht="12.75" customHeight="1" x14ac:dyDescent="0.2"/>
    <row r="6524" ht="12.75" customHeight="1" x14ac:dyDescent="0.2"/>
    <row r="6525" ht="12.75" customHeight="1" x14ac:dyDescent="0.2"/>
    <row r="6526" ht="12.75" customHeight="1" x14ac:dyDescent="0.2"/>
    <row r="6527" ht="12.75" customHeight="1" x14ac:dyDescent="0.2"/>
    <row r="6528" ht="12.75" customHeight="1" x14ac:dyDescent="0.2"/>
    <row r="6529" ht="12.75" customHeight="1" x14ac:dyDescent="0.2"/>
    <row r="6530" ht="12.75" customHeight="1" x14ac:dyDescent="0.2"/>
    <row r="6531" ht="12.75" customHeight="1" x14ac:dyDescent="0.2"/>
    <row r="6532" ht="12.75" customHeight="1" x14ac:dyDescent="0.2"/>
    <row r="6533" ht="12.75" customHeight="1" x14ac:dyDescent="0.2"/>
    <row r="6534" ht="12.75" customHeight="1" x14ac:dyDescent="0.2"/>
    <row r="6535" ht="12.75" customHeight="1" x14ac:dyDescent="0.2"/>
    <row r="6536" ht="12.75" customHeight="1" x14ac:dyDescent="0.2"/>
    <row r="6537" ht="12.75" customHeight="1" x14ac:dyDescent="0.2"/>
    <row r="6538" ht="12.75" customHeight="1" x14ac:dyDescent="0.2"/>
    <row r="6539" ht="12.75" customHeight="1" x14ac:dyDescent="0.2"/>
    <row r="6540" ht="12.75" customHeight="1" x14ac:dyDescent="0.2"/>
    <row r="6541" ht="12.75" customHeight="1" x14ac:dyDescent="0.2"/>
    <row r="6542" ht="12.75" customHeight="1" x14ac:dyDescent="0.2"/>
    <row r="6543" ht="12.75" customHeight="1" x14ac:dyDescent="0.2"/>
    <row r="6544" ht="12.75" customHeight="1" x14ac:dyDescent="0.2"/>
    <row r="6545" ht="12.75" customHeight="1" x14ac:dyDescent="0.2"/>
    <row r="6546" ht="12.75" customHeight="1" x14ac:dyDescent="0.2"/>
    <row r="6547" ht="12.75" customHeight="1" x14ac:dyDescent="0.2"/>
    <row r="6548" ht="12.75" customHeight="1" x14ac:dyDescent="0.2"/>
    <row r="6549" ht="12.75" customHeight="1" x14ac:dyDescent="0.2"/>
    <row r="6550" ht="12.75" customHeight="1" x14ac:dyDescent="0.2"/>
    <row r="6551" ht="12.75" customHeight="1" x14ac:dyDescent="0.2"/>
    <row r="6552" ht="12.75" customHeight="1" x14ac:dyDescent="0.2"/>
    <row r="6553" ht="12.75" customHeight="1" x14ac:dyDescent="0.2"/>
    <row r="6554" ht="12.75" customHeight="1" x14ac:dyDescent="0.2"/>
    <row r="6555" ht="12.75" customHeight="1" x14ac:dyDescent="0.2"/>
    <row r="6556" ht="12.75" customHeight="1" x14ac:dyDescent="0.2"/>
    <row r="6557" ht="12.75" customHeight="1" x14ac:dyDescent="0.2"/>
    <row r="6558" ht="12.75" customHeight="1" x14ac:dyDescent="0.2"/>
    <row r="6559" ht="12.75" customHeight="1" x14ac:dyDescent="0.2"/>
    <row r="6560" ht="12.75" customHeight="1" x14ac:dyDescent="0.2"/>
    <row r="6561" ht="12.75" customHeight="1" x14ac:dyDescent="0.2"/>
    <row r="6562" ht="12.75" customHeight="1" x14ac:dyDescent="0.2"/>
    <row r="6563" ht="12.75" customHeight="1" x14ac:dyDescent="0.2"/>
    <row r="6564" ht="12.75" customHeight="1" x14ac:dyDescent="0.2"/>
    <row r="6565" ht="12.75" customHeight="1" x14ac:dyDescent="0.2"/>
    <row r="6566" ht="12.75" customHeight="1" x14ac:dyDescent="0.2"/>
    <row r="6567" ht="12.75" customHeight="1" x14ac:dyDescent="0.2"/>
    <row r="6568" ht="12.75" customHeight="1" x14ac:dyDescent="0.2"/>
    <row r="6569" ht="12.75" customHeight="1" x14ac:dyDescent="0.2"/>
    <row r="6570" ht="12.75" customHeight="1" x14ac:dyDescent="0.2"/>
    <row r="6571" ht="12.75" customHeight="1" x14ac:dyDescent="0.2"/>
    <row r="6572" ht="12.75" customHeight="1" x14ac:dyDescent="0.2"/>
    <row r="6573" ht="12.75" customHeight="1" x14ac:dyDescent="0.2"/>
    <row r="6574" ht="12.75" customHeight="1" x14ac:dyDescent="0.2"/>
    <row r="6575" ht="12.75" customHeight="1" x14ac:dyDescent="0.2"/>
    <row r="6576" ht="12.75" customHeight="1" x14ac:dyDescent="0.2"/>
    <row r="6577" ht="12.75" customHeight="1" x14ac:dyDescent="0.2"/>
    <row r="6578" ht="12.75" customHeight="1" x14ac:dyDescent="0.2"/>
    <row r="6579" ht="12.75" customHeight="1" x14ac:dyDescent="0.2"/>
    <row r="6580" ht="12.75" customHeight="1" x14ac:dyDescent="0.2"/>
    <row r="6581" ht="12.75" customHeight="1" x14ac:dyDescent="0.2"/>
    <row r="6582" ht="12.75" customHeight="1" x14ac:dyDescent="0.2"/>
    <row r="6583" ht="12.75" customHeight="1" x14ac:dyDescent="0.2"/>
    <row r="6584" ht="12.75" customHeight="1" x14ac:dyDescent="0.2"/>
    <row r="6585" ht="12.75" customHeight="1" x14ac:dyDescent="0.2"/>
    <row r="6586" ht="12.75" customHeight="1" x14ac:dyDescent="0.2"/>
    <row r="6587" ht="12.75" customHeight="1" x14ac:dyDescent="0.2"/>
    <row r="6588" ht="12.75" customHeight="1" x14ac:dyDescent="0.2"/>
    <row r="6589" ht="12.75" customHeight="1" x14ac:dyDescent="0.2"/>
    <row r="6590" ht="12.75" customHeight="1" x14ac:dyDescent="0.2"/>
    <row r="6591" ht="12.75" customHeight="1" x14ac:dyDescent="0.2"/>
    <row r="6592" ht="12.75" customHeight="1" x14ac:dyDescent="0.2"/>
    <row r="6593" ht="12.75" customHeight="1" x14ac:dyDescent="0.2"/>
    <row r="6594" ht="12.75" customHeight="1" x14ac:dyDescent="0.2"/>
    <row r="6595" ht="12.75" customHeight="1" x14ac:dyDescent="0.2"/>
    <row r="6596" ht="12.75" customHeight="1" x14ac:dyDescent="0.2"/>
    <row r="6597" ht="12.75" customHeight="1" x14ac:dyDescent="0.2"/>
    <row r="6598" ht="12.75" customHeight="1" x14ac:dyDescent="0.2"/>
    <row r="6599" ht="12.75" customHeight="1" x14ac:dyDescent="0.2"/>
    <row r="6600" ht="12.75" customHeight="1" x14ac:dyDescent="0.2"/>
    <row r="6601" ht="12.75" customHeight="1" x14ac:dyDescent="0.2"/>
    <row r="6602" ht="12.75" customHeight="1" x14ac:dyDescent="0.2"/>
    <row r="6603" ht="12.75" customHeight="1" x14ac:dyDescent="0.2"/>
    <row r="6604" ht="12.75" customHeight="1" x14ac:dyDescent="0.2"/>
    <row r="6605" ht="12.75" customHeight="1" x14ac:dyDescent="0.2"/>
    <row r="6606" ht="12.75" customHeight="1" x14ac:dyDescent="0.2"/>
    <row r="6607" ht="12.75" customHeight="1" x14ac:dyDescent="0.2"/>
    <row r="6608" ht="12.75" customHeight="1" x14ac:dyDescent="0.2"/>
    <row r="6609" ht="12.75" customHeight="1" x14ac:dyDescent="0.2"/>
    <row r="6610" ht="12.75" customHeight="1" x14ac:dyDescent="0.2"/>
    <row r="6611" ht="12.75" customHeight="1" x14ac:dyDescent="0.2"/>
    <row r="6612" ht="12.75" customHeight="1" x14ac:dyDescent="0.2"/>
    <row r="6613" ht="12.75" customHeight="1" x14ac:dyDescent="0.2"/>
    <row r="6614" ht="12.75" customHeight="1" x14ac:dyDescent="0.2"/>
    <row r="6615" ht="12.75" customHeight="1" x14ac:dyDescent="0.2"/>
    <row r="6616" ht="12.75" customHeight="1" x14ac:dyDescent="0.2"/>
    <row r="6617" ht="12.75" customHeight="1" x14ac:dyDescent="0.2"/>
    <row r="6618" ht="12.75" customHeight="1" x14ac:dyDescent="0.2"/>
    <row r="6619" ht="12.75" customHeight="1" x14ac:dyDescent="0.2"/>
    <row r="6620" ht="12.75" customHeight="1" x14ac:dyDescent="0.2"/>
    <row r="6621" ht="12.75" customHeight="1" x14ac:dyDescent="0.2"/>
    <row r="6622" ht="12.75" customHeight="1" x14ac:dyDescent="0.2"/>
    <row r="6623" ht="12.75" customHeight="1" x14ac:dyDescent="0.2"/>
    <row r="6624" ht="12.75" customHeight="1" x14ac:dyDescent="0.2"/>
    <row r="6625" ht="12.75" customHeight="1" x14ac:dyDescent="0.2"/>
    <row r="6626" ht="12.75" customHeight="1" x14ac:dyDescent="0.2"/>
    <row r="6627" ht="12.75" customHeight="1" x14ac:dyDescent="0.2"/>
    <row r="6628" ht="12.75" customHeight="1" x14ac:dyDescent="0.2"/>
    <row r="6629" ht="12.75" customHeight="1" x14ac:dyDescent="0.2"/>
    <row r="6630" ht="12.75" customHeight="1" x14ac:dyDescent="0.2"/>
    <row r="6631" ht="12.75" customHeight="1" x14ac:dyDescent="0.2"/>
    <row r="6632" ht="12.75" customHeight="1" x14ac:dyDescent="0.2"/>
    <row r="6633" ht="12.75" customHeight="1" x14ac:dyDescent="0.2"/>
    <row r="6634" ht="12.75" customHeight="1" x14ac:dyDescent="0.2"/>
    <row r="6635" ht="12.75" customHeight="1" x14ac:dyDescent="0.2"/>
    <row r="6636" ht="12.75" customHeight="1" x14ac:dyDescent="0.2"/>
    <row r="6637" ht="12.75" customHeight="1" x14ac:dyDescent="0.2"/>
    <row r="6638" ht="12.75" customHeight="1" x14ac:dyDescent="0.2"/>
    <row r="6639" ht="12.75" customHeight="1" x14ac:dyDescent="0.2"/>
    <row r="6640" ht="12.75" customHeight="1" x14ac:dyDescent="0.2"/>
    <row r="6641" ht="12.75" customHeight="1" x14ac:dyDescent="0.2"/>
    <row r="6642" ht="12.75" customHeight="1" x14ac:dyDescent="0.2"/>
    <row r="6643" ht="12.75" customHeight="1" x14ac:dyDescent="0.2"/>
    <row r="6644" ht="12.75" customHeight="1" x14ac:dyDescent="0.2"/>
    <row r="6645" ht="12.75" customHeight="1" x14ac:dyDescent="0.2"/>
    <row r="6646" ht="12.75" customHeight="1" x14ac:dyDescent="0.2"/>
    <row r="6647" ht="12.75" customHeight="1" x14ac:dyDescent="0.2"/>
    <row r="6648" ht="12.75" customHeight="1" x14ac:dyDescent="0.2"/>
    <row r="6649" ht="12.75" customHeight="1" x14ac:dyDescent="0.2"/>
    <row r="6650" ht="12.75" customHeight="1" x14ac:dyDescent="0.2"/>
    <row r="6651" ht="12.75" customHeight="1" x14ac:dyDescent="0.2"/>
    <row r="6652" ht="12.75" customHeight="1" x14ac:dyDescent="0.2"/>
    <row r="6653" ht="12.75" customHeight="1" x14ac:dyDescent="0.2"/>
    <row r="6654" ht="12.75" customHeight="1" x14ac:dyDescent="0.2"/>
    <row r="6655" ht="12.75" customHeight="1" x14ac:dyDescent="0.2"/>
    <row r="6656" ht="12.75" customHeight="1" x14ac:dyDescent="0.2"/>
    <row r="6657" ht="12.75" customHeight="1" x14ac:dyDescent="0.2"/>
    <row r="6658" ht="12.75" customHeight="1" x14ac:dyDescent="0.2"/>
    <row r="6659" ht="12.75" customHeight="1" x14ac:dyDescent="0.2"/>
    <row r="6660" ht="12.75" customHeight="1" x14ac:dyDescent="0.2"/>
    <row r="6661" ht="12.75" customHeight="1" x14ac:dyDescent="0.2"/>
    <row r="6662" ht="12.75" customHeight="1" x14ac:dyDescent="0.2"/>
    <row r="6663" ht="12.75" customHeight="1" x14ac:dyDescent="0.2"/>
    <row r="6664" ht="12.75" customHeight="1" x14ac:dyDescent="0.2"/>
    <row r="6665" ht="12.75" customHeight="1" x14ac:dyDescent="0.2"/>
    <row r="6666" ht="12.75" customHeight="1" x14ac:dyDescent="0.2"/>
    <row r="6667" ht="12.75" customHeight="1" x14ac:dyDescent="0.2"/>
    <row r="6668" ht="12.75" customHeight="1" x14ac:dyDescent="0.2"/>
    <row r="6669" ht="12.75" customHeight="1" x14ac:dyDescent="0.2"/>
    <row r="6670" ht="12.75" customHeight="1" x14ac:dyDescent="0.2"/>
    <row r="6671" ht="12.75" customHeight="1" x14ac:dyDescent="0.2"/>
    <row r="6672" ht="12.75" customHeight="1" x14ac:dyDescent="0.2"/>
    <row r="6673" ht="12.75" customHeight="1" x14ac:dyDescent="0.2"/>
    <row r="6674" ht="12.75" customHeight="1" x14ac:dyDescent="0.2"/>
    <row r="6675" ht="12.75" customHeight="1" x14ac:dyDescent="0.2"/>
    <row r="6676" ht="12.75" customHeight="1" x14ac:dyDescent="0.2"/>
    <row r="6677" ht="12.75" customHeight="1" x14ac:dyDescent="0.2"/>
    <row r="6678" ht="12.75" customHeight="1" x14ac:dyDescent="0.2"/>
    <row r="6679" ht="12.75" customHeight="1" x14ac:dyDescent="0.2"/>
    <row r="6680" ht="12.75" customHeight="1" x14ac:dyDescent="0.2"/>
    <row r="6681" ht="12.75" customHeight="1" x14ac:dyDescent="0.2"/>
    <row r="6682" ht="12.75" customHeight="1" x14ac:dyDescent="0.2"/>
    <row r="6683" ht="12.75" customHeight="1" x14ac:dyDescent="0.2"/>
    <row r="6684" ht="12.75" customHeight="1" x14ac:dyDescent="0.2"/>
    <row r="6685" ht="12.75" customHeight="1" x14ac:dyDescent="0.2"/>
    <row r="6686" ht="12.75" customHeight="1" x14ac:dyDescent="0.2"/>
    <row r="6687" ht="12.75" customHeight="1" x14ac:dyDescent="0.2"/>
    <row r="6688" ht="12.75" customHeight="1" x14ac:dyDescent="0.2"/>
    <row r="6689" ht="12.75" customHeight="1" x14ac:dyDescent="0.2"/>
    <row r="6690" ht="12.75" customHeight="1" x14ac:dyDescent="0.2"/>
    <row r="6691" ht="12.75" customHeight="1" x14ac:dyDescent="0.2"/>
    <row r="6692" ht="12.75" customHeight="1" x14ac:dyDescent="0.2"/>
    <row r="6693" ht="12.75" customHeight="1" x14ac:dyDescent="0.2"/>
    <row r="6694" ht="12.75" customHeight="1" x14ac:dyDescent="0.2"/>
    <row r="6695" ht="12.75" customHeight="1" x14ac:dyDescent="0.2"/>
    <row r="6696" ht="12.75" customHeight="1" x14ac:dyDescent="0.2"/>
    <row r="6697" ht="12.75" customHeight="1" x14ac:dyDescent="0.2"/>
    <row r="6698" ht="12.75" customHeight="1" x14ac:dyDescent="0.2"/>
    <row r="6699" ht="12.75" customHeight="1" x14ac:dyDescent="0.2"/>
    <row r="6700" ht="12.75" customHeight="1" x14ac:dyDescent="0.2"/>
    <row r="6701" ht="12.75" customHeight="1" x14ac:dyDescent="0.2"/>
    <row r="6702" ht="12.75" customHeight="1" x14ac:dyDescent="0.2"/>
    <row r="6703" ht="12.75" customHeight="1" x14ac:dyDescent="0.2"/>
    <row r="6704" ht="12.75" customHeight="1" x14ac:dyDescent="0.2"/>
    <row r="6705" ht="12.75" customHeight="1" x14ac:dyDescent="0.2"/>
    <row r="6706" ht="12.75" customHeight="1" x14ac:dyDescent="0.2"/>
    <row r="6707" ht="12.75" customHeight="1" x14ac:dyDescent="0.2"/>
    <row r="6708" ht="12.75" customHeight="1" x14ac:dyDescent="0.2"/>
    <row r="6709" ht="12.75" customHeight="1" x14ac:dyDescent="0.2"/>
    <row r="6710" ht="12.75" customHeight="1" x14ac:dyDescent="0.2"/>
    <row r="6711" ht="12.75" customHeight="1" x14ac:dyDescent="0.2"/>
    <row r="6712" ht="12.75" customHeight="1" x14ac:dyDescent="0.2"/>
    <row r="6713" ht="12.75" customHeight="1" x14ac:dyDescent="0.2"/>
    <row r="6714" ht="12.75" customHeight="1" x14ac:dyDescent="0.2"/>
    <row r="6715" ht="12.75" customHeight="1" x14ac:dyDescent="0.2"/>
    <row r="6716" ht="12.75" customHeight="1" x14ac:dyDescent="0.2"/>
    <row r="6717" ht="12.75" customHeight="1" x14ac:dyDescent="0.2"/>
    <row r="6718" ht="12.75" customHeight="1" x14ac:dyDescent="0.2"/>
    <row r="6719" ht="12.75" customHeight="1" x14ac:dyDescent="0.2"/>
    <row r="6720" ht="12.75" customHeight="1" x14ac:dyDescent="0.2"/>
    <row r="6721" ht="12.75" customHeight="1" x14ac:dyDescent="0.2"/>
    <row r="6722" ht="12.75" customHeight="1" x14ac:dyDescent="0.2"/>
    <row r="6723" ht="12.75" customHeight="1" x14ac:dyDescent="0.2"/>
    <row r="6724" ht="12.75" customHeight="1" x14ac:dyDescent="0.2"/>
    <row r="6725" ht="12.75" customHeight="1" x14ac:dyDescent="0.2"/>
    <row r="6726" ht="12.75" customHeight="1" x14ac:dyDescent="0.2"/>
    <row r="6727" ht="12.75" customHeight="1" x14ac:dyDescent="0.2"/>
    <row r="6728" ht="12.75" customHeight="1" x14ac:dyDescent="0.2"/>
    <row r="6729" ht="12.75" customHeight="1" x14ac:dyDescent="0.2"/>
    <row r="6730" ht="12.75" customHeight="1" x14ac:dyDescent="0.2"/>
    <row r="6731" ht="12.75" customHeight="1" x14ac:dyDescent="0.2"/>
    <row r="6732" ht="12.75" customHeight="1" x14ac:dyDescent="0.2"/>
    <row r="6733" ht="12.75" customHeight="1" x14ac:dyDescent="0.2"/>
    <row r="6734" ht="12.75" customHeight="1" x14ac:dyDescent="0.2"/>
    <row r="6735" ht="12.75" customHeight="1" x14ac:dyDescent="0.2"/>
    <row r="6736" ht="12.75" customHeight="1" x14ac:dyDescent="0.2"/>
    <row r="6737" ht="12.75" customHeight="1" x14ac:dyDescent="0.2"/>
    <row r="6738" ht="12.75" customHeight="1" x14ac:dyDescent="0.2"/>
    <row r="6739" ht="12.75" customHeight="1" x14ac:dyDescent="0.2"/>
    <row r="6740" ht="12.75" customHeight="1" x14ac:dyDescent="0.2"/>
    <row r="6741" ht="12.75" customHeight="1" x14ac:dyDescent="0.2"/>
    <row r="6742" ht="12.75" customHeight="1" x14ac:dyDescent="0.2"/>
    <row r="6743" ht="12.75" customHeight="1" x14ac:dyDescent="0.2"/>
    <row r="6744" ht="12.75" customHeight="1" x14ac:dyDescent="0.2"/>
    <row r="6745" ht="12.75" customHeight="1" x14ac:dyDescent="0.2"/>
    <row r="6746" ht="12.75" customHeight="1" x14ac:dyDescent="0.2"/>
    <row r="6747" ht="12.75" customHeight="1" x14ac:dyDescent="0.2"/>
    <row r="6748" ht="12.75" customHeight="1" x14ac:dyDescent="0.2"/>
    <row r="6749" ht="12.75" customHeight="1" x14ac:dyDescent="0.2"/>
    <row r="6750" ht="12.75" customHeight="1" x14ac:dyDescent="0.2"/>
    <row r="6751" ht="12.75" customHeight="1" x14ac:dyDescent="0.2"/>
    <row r="6752" ht="12.75" customHeight="1" x14ac:dyDescent="0.2"/>
    <row r="6753" ht="12.75" customHeight="1" x14ac:dyDescent="0.2"/>
    <row r="6754" ht="12.75" customHeight="1" x14ac:dyDescent="0.2"/>
    <row r="6755" ht="12.75" customHeight="1" x14ac:dyDescent="0.2"/>
    <row r="6756" ht="12.75" customHeight="1" x14ac:dyDescent="0.2"/>
    <row r="6757" ht="12.75" customHeight="1" x14ac:dyDescent="0.2"/>
    <row r="6758" ht="12.75" customHeight="1" x14ac:dyDescent="0.2"/>
    <row r="6759" ht="12.75" customHeight="1" x14ac:dyDescent="0.2"/>
    <row r="6760" ht="12.75" customHeight="1" x14ac:dyDescent="0.2"/>
    <row r="6761" ht="12.75" customHeight="1" x14ac:dyDescent="0.2"/>
    <row r="6762" ht="12.75" customHeight="1" x14ac:dyDescent="0.2"/>
    <row r="6763" ht="12.75" customHeight="1" x14ac:dyDescent="0.2"/>
    <row r="6764" ht="12.75" customHeight="1" x14ac:dyDescent="0.2"/>
    <row r="6765" ht="12.75" customHeight="1" x14ac:dyDescent="0.2"/>
    <row r="6766" ht="12.75" customHeight="1" x14ac:dyDescent="0.2"/>
    <row r="6767" ht="12.75" customHeight="1" x14ac:dyDescent="0.2"/>
    <row r="6768" ht="12.75" customHeight="1" x14ac:dyDescent="0.2"/>
    <row r="6769" ht="12.75" customHeight="1" x14ac:dyDescent="0.2"/>
    <row r="6770" ht="12.75" customHeight="1" x14ac:dyDescent="0.2"/>
    <row r="6771" ht="12.75" customHeight="1" x14ac:dyDescent="0.2"/>
    <row r="6772" ht="12.75" customHeight="1" x14ac:dyDescent="0.2"/>
    <row r="6773" ht="12.75" customHeight="1" x14ac:dyDescent="0.2"/>
    <row r="6774" ht="12.75" customHeight="1" x14ac:dyDescent="0.2"/>
    <row r="6775" ht="12.75" customHeight="1" x14ac:dyDescent="0.2"/>
    <row r="6776" ht="12.75" customHeight="1" x14ac:dyDescent="0.2"/>
    <row r="6777" ht="12.75" customHeight="1" x14ac:dyDescent="0.2"/>
    <row r="6778" ht="12.75" customHeight="1" x14ac:dyDescent="0.2"/>
    <row r="6779" ht="12.75" customHeight="1" x14ac:dyDescent="0.2"/>
    <row r="6780" ht="12.75" customHeight="1" x14ac:dyDescent="0.2"/>
    <row r="6781" ht="12.75" customHeight="1" x14ac:dyDescent="0.2"/>
    <row r="6782" ht="12.75" customHeight="1" x14ac:dyDescent="0.2"/>
    <row r="6783" ht="12.75" customHeight="1" x14ac:dyDescent="0.2"/>
    <row r="6784" ht="12.75" customHeight="1" x14ac:dyDescent="0.2"/>
    <row r="6785" ht="12.75" customHeight="1" x14ac:dyDescent="0.2"/>
    <row r="6786" ht="12.75" customHeight="1" x14ac:dyDescent="0.2"/>
    <row r="6787" ht="12.75" customHeight="1" x14ac:dyDescent="0.2"/>
    <row r="6788" ht="12.75" customHeight="1" x14ac:dyDescent="0.2"/>
    <row r="6789" ht="12.75" customHeight="1" x14ac:dyDescent="0.2"/>
    <row r="6790" ht="12.75" customHeight="1" x14ac:dyDescent="0.2"/>
    <row r="6791" ht="12.75" customHeight="1" x14ac:dyDescent="0.2"/>
    <row r="6792" ht="12.75" customHeight="1" x14ac:dyDescent="0.2"/>
    <row r="6793" ht="12.75" customHeight="1" x14ac:dyDescent="0.2"/>
    <row r="6794" ht="12.75" customHeight="1" x14ac:dyDescent="0.2"/>
    <row r="6795" ht="12.75" customHeight="1" x14ac:dyDescent="0.2"/>
    <row r="6796" ht="12.75" customHeight="1" x14ac:dyDescent="0.2"/>
    <row r="6797" ht="12.75" customHeight="1" x14ac:dyDescent="0.2"/>
    <row r="6798" ht="12.75" customHeight="1" x14ac:dyDescent="0.2"/>
    <row r="6799" ht="12.75" customHeight="1" x14ac:dyDescent="0.2"/>
    <row r="6800" ht="12.75" customHeight="1" x14ac:dyDescent="0.2"/>
    <row r="6801" ht="12.75" customHeight="1" x14ac:dyDescent="0.2"/>
    <row r="6802" ht="12.75" customHeight="1" x14ac:dyDescent="0.2"/>
    <row r="6803" ht="12.75" customHeight="1" x14ac:dyDescent="0.2"/>
    <row r="6804" ht="12.75" customHeight="1" x14ac:dyDescent="0.2"/>
    <row r="6805" ht="12.75" customHeight="1" x14ac:dyDescent="0.2"/>
    <row r="6806" ht="12.75" customHeight="1" x14ac:dyDescent="0.2"/>
    <row r="6807" ht="12.75" customHeight="1" x14ac:dyDescent="0.2"/>
    <row r="6808" ht="12.75" customHeight="1" x14ac:dyDescent="0.2"/>
    <row r="6809" ht="12.75" customHeight="1" x14ac:dyDescent="0.2"/>
    <row r="6810" ht="12.75" customHeight="1" x14ac:dyDescent="0.2"/>
    <row r="6811" ht="12.75" customHeight="1" x14ac:dyDescent="0.2"/>
    <row r="6812" ht="12.75" customHeight="1" x14ac:dyDescent="0.2"/>
    <row r="6813" ht="12.75" customHeight="1" x14ac:dyDescent="0.2"/>
    <row r="6814" ht="12.75" customHeight="1" x14ac:dyDescent="0.2"/>
    <row r="6815" ht="12.75" customHeight="1" x14ac:dyDescent="0.2"/>
    <row r="6816" ht="12.75" customHeight="1" x14ac:dyDescent="0.2"/>
    <row r="6817" ht="12.75" customHeight="1" x14ac:dyDescent="0.2"/>
    <row r="6818" ht="12.75" customHeight="1" x14ac:dyDescent="0.2"/>
    <row r="6819" ht="12.75" customHeight="1" x14ac:dyDescent="0.2"/>
    <row r="6820" ht="12.75" customHeight="1" x14ac:dyDescent="0.2"/>
    <row r="6821" ht="12.75" customHeight="1" x14ac:dyDescent="0.2"/>
    <row r="6822" ht="12.75" customHeight="1" x14ac:dyDescent="0.2"/>
    <row r="6823" ht="12.75" customHeight="1" x14ac:dyDescent="0.2"/>
    <row r="6824" ht="12.75" customHeight="1" x14ac:dyDescent="0.2"/>
    <row r="6825" ht="12.75" customHeight="1" x14ac:dyDescent="0.2"/>
    <row r="6826" ht="12.75" customHeight="1" x14ac:dyDescent="0.2"/>
    <row r="6827" ht="12.75" customHeight="1" x14ac:dyDescent="0.2"/>
    <row r="6828" ht="12.75" customHeight="1" x14ac:dyDescent="0.2"/>
    <row r="6829" ht="12.75" customHeight="1" x14ac:dyDescent="0.2"/>
    <row r="6830" ht="12.75" customHeight="1" x14ac:dyDescent="0.2"/>
    <row r="6831" ht="12.75" customHeight="1" x14ac:dyDescent="0.2"/>
    <row r="6832" ht="12.75" customHeight="1" x14ac:dyDescent="0.2"/>
    <row r="6833" ht="12.75" customHeight="1" x14ac:dyDescent="0.2"/>
    <row r="6834" ht="12.75" customHeight="1" x14ac:dyDescent="0.2"/>
    <row r="6835" ht="12.75" customHeight="1" x14ac:dyDescent="0.2"/>
    <row r="6836" ht="12.75" customHeight="1" x14ac:dyDescent="0.2"/>
    <row r="6837" ht="12.75" customHeight="1" x14ac:dyDescent="0.2"/>
    <row r="6838" ht="12.75" customHeight="1" x14ac:dyDescent="0.2"/>
    <row r="6839" ht="12.75" customHeight="1" x14ac:dyDescent="0.2"/>
    <row r="6840" ht="12.75" customHeight="1" x14ac:dyDescent="0.2"/>
    <row r="6841" ht="12.75" customHeight="1" x14ac:dyDescent="0.2"/>
    <row r="6842" ht="12.75" customHeight="1" x14ac:dyDescent="0.2"/>
    <row r="6843" ht="12.75" customHeight="1" x14ac:dyDescent="0.2"/>
    <row r="6844" ht="12.75" customHeight="1" x14ac:dyDescent="0.2"/>
    <row r="6845" ht="12.75" customHeight="1" x14ac:dyDescent="0.2"/>
    <row r="6846" ht="12.75" customHeight="1" x14ac:dyDescent="0.2"/>
    <row r="6847" ht="12.75" customHeight="1" x14ac:dyDescent="0.2"/>
    <row r="6848" ht="12.75" customHeight="1" x14ac:dyDescent="0.2"/>
    <row r="6849" ht="12.75" customHeight="1" x14ac:dyDescent="0.2"/>
    <row r="6850" ht="12.75" customHeight="1" x14ac:dyDescent="0.2"/>
    <row r="6851" ht="12.75" customHeight="1" x14ac:dyDescent="0.2"/>
    <row r="6852" ht="12.75" customHeight="1" x14ac:dyDescent="0.2"/>
    <row r="6853" ht="12.75" customHeight="1" x14ac:dyDescent="0.2"/>
    <row r="6854" ht="12.75" customHeight="1" x14ac:dyDescent="0.2"/>
    <row r="6855" ht="12.75" customHeight="1" x14ac:dyDescent="0.2"/>
    <row r="6856" ht="12.75" customHeight="1" x14ac:dyDescent="0.2"/>
    <row r="6857" ht="12.75" customHeight="1" x14ac:dyDescent="0.2"/>
    <row r="6858" ht="12.75" customHeight="1" x14ac:dyDescent="0.2"/>
    <row r="6859" ht="12.75" customHeight="1" x14ac:dyDescent="0.2"/>
    <row r="6860" ht="12.75" customHeight="1" x14ac:dyDescent="0.2"/>
    <row r="6861" ht="12.75" customHeight="1" x14ac:dyDescent="0.2"/>
    <row r="6862" ht="12.75" customHeight="1" x14ac:dyDescent="0.2"/>
    <row r="6863" ht="12.75" customHeight="1" x14ac:dyDescent="0.2"/>
    <row r="6864" ht="12.75" customHeight="1" x14ac:dyDescent="0.2"/>
    <row r="6865" ht="12.75" customHeight="1" x14ac:dyDescent="0.2"/>
    <row r="6866" ht="12.75" customHeight="1" x14ac:dyDescent="0.2"/>
    <row r="6867" ht="12.75" customHeight="1" x14ac:dyDescent="0.2"/>
    <row r="6868" ht="12.75" customHeight="1" x14ac:dyDescent="0.2"/>
    <row r="6869" ht="12.75" customHeight="1" x14ac:dyDescent="0.2"/>
    <row r="6870" ht="12.75" customHeight="1" x14ac:dyDescent="0.2"/>
    <row r="6871" ht="12.75" customHeight="1" x14ac:dyDescent="0.2"/>
    <row r="6872" ht="12.75" customHeight="1" x14ac:dyDescent="0.2"/>
    <row r="6873" ht="12.75" customHeight="1" x14ac:dyDescent="0.2"/>
    <row r="6874" ht="12.75" customHeight="1" x14ac:dyDescent="0.2"/>
    <row r="6875" ht="12.75" customHeight="1" x14ac:dyDescent="0.2"/>
    <row r="6876" ht="12.75" customHeight="1" x14ac:dyDescent="0.2"/>
    <row r="6877" ht="12.75" customHeight="1" x14ac:dyDescent="0.2"/>
    <row r="6878" ht="12.75" customHeight="1" x14ac:dyDescent="0.2"/>
    <row r="6879" ht="12.75" customHeight="1" x14ac:dyDescent="0.2"/>
    <row r="6880" ht="12.75" customHeight="1" x14ac:dyDescent="0.2"/>
    <row r="6881" ht="12.75" customHeight="1" x14ac:dyDescent="0.2"/>
    <row r="6882" ht="12.75" customHeight="1" x14ac:dyDescent="0.2"/>
    <row r="6883" ht="12.75" customHeight="1" x14ac:dyDescent="0.2"/>
    <row r="6884" ht="12.75" customHeight="1" x14ac:dyDescent="0.2"/>
    <row r="6885" ht="12.75" customHeight="1" x14ac:dyDescent="0.2"/>
    <row r="6886" ht="12.75" customHeight="1" x14ac:dyDescent="0.2"/>
    <row r="6887" ht="12.75" customHeight="1" x14ac:dyDescent="0.2"/>
    <row r="6888" ht="12.75" customHeight="1" x14ac:dyDescent="0.2"/>
    <row r="6889" ht="12.75" customHeight="1" x14ac:dyDescent="0.2"/>
    <row r="6890" ht="12.75" customHeight="1" x14ac:dyDescent="0.2"/>
    <row r="6891" ht="12.75" customHeight="1" x14ac:dyDescent="0.2"/>
    <row r="6892" ht="12.75" customHeight="1" x14ac:dyDescent="0.2"/>
    <row r="6893" ht="12.75" customHeight="1" x14ac:dyDescent="0.2"/>
    <row r="6894" ht="12.75" customHeight="1" x14ac:dyDescent="0.2"/>
    <row r="6895" ht="12.75" customHeight="1" x14ac:dyDescent="0.2"/>
    <row r="6896" ht="12.75" customHeight="1" x14ac:dyDescent="0.2"/>
    <row r="6897" ht="12.75" customHeight="1" x14ac:dyDescent="0.2"/>
    <row r="6898" ht="12.75" customHeight="1" x14ac:dyDescent="0.2"/>
    <row r="6899" ht="12.75" customHeight="1" x14ac:dyDescent="0.2"/>
    <row r="6900" ht="12.75" customHeight="1" x14ac:dyDescent="0.2"/>
    <row r="6901" ht="12.75" customHeight="1" x14ac:dyDescent="0.2"/>
    <row r="6902" ht="12.75" customHeight="1" x14ac:dyDescent="0.2"/>
    <row r="6903" ht="12.75" customHeight="1" x14ac:dyDescent="0.2"/>
    <row r="6904" ht="12.75" customHeight="1" x14ac:dyDescent="0.2"/>
    <row r="6905" ht="12.75" customHeight="1" x14ac:dyDescent="0.2"/>
    <row r="6906" ht="12.75" customHeight="1" x14ac:dyDescent="0.2"/>
    <row r="6907" ht="12.75" customHeight="1" x14ac:dyDescent="0.2"/>
    <row r="6908" ht="12.75" customHeight="1" x14ac:dyDescent="0.2"/>
    <row r="6909" ht="12.75" customHeight="1" x14ac:dyDescent="0.2"/>
    <row r="6910" ht="12.75" customHeight="1" x14ac:dyDescent="0.2"/>
    <row r="6911" ht="12.75" customHeight="1" x14ac:dyDescent="0.2"/>
    <row r="6912" ht="12.75" customHeight="1" x14ac:dyDescent="0.2"/>
    <row r="6913" ht="12.75" customHeight="1" x14ac:dyDescent="0.2"/>
    <row r="6914" ht="12.75" customHeight="1" x14ac:dyDescent="0.2"/>
    <row r="6915" ht="12.75" customHeight="1" x14ac:dyDescent="0.2"/>
    <row r="6916" ht="12.75" customHeight="1" x14ac:dyDescent="0.2"/>
    <row r="6917" ht="12.75" customHeight="1" x14ac:dyDescent="0.2"/>
    <row r="6918" ht="12.75" customHeight="1" x14ac:dyDescent="0.2"/>
    <row r="6919" ht="12.75" customHeight="1" x14ac:dyDescent="0.2"/>
    <row r="6920" ht="12.75" customHeight="1" x14ac:dyDescent="0.2"/>
    <row r="6921" ht="12.75" customHeight="1" x14ac:dyDescent="0.2"/>
    <row r="6922" ht="12.75" customHeight="1" x14ac:dyDescent="0.2"/>
    <row r="6923" ht="12.75" customHeight="1" x14ac:dyDescent="0.2"/>
    <row r="6924" ht="12.75" customHeight="1" x14ac:dyDescent="0.2"/>
    <row r="6925" ht="12.75" customHeight="1" x14ac:dyDescent="0.2"/>
    <row r="6926" ht="12.75" customHeight="1" x14ac:dyDescent="0.2"/>
    <row r="6927" ht="12.75" customHeight="1" x14ac:dyDescent="0.2"/>
    <row r="6928" ht="12.75" customHeight="1" x14ac:dyDescent="0.2"/>
    <row r="6929" ht="12.75" customHeight="1" x14ac:dyDescent="0.2"/>
    <row r="6930" ht="12.75" customHeight="1" x14ac:dyDescent="0.2"/>
    <row r="6931" ht="12.75" customHeight="1" x14ac:dyDescent="0.2"/>
    <row r="6932" ht="12.75" customHeight="1" x14ac:dyDescent="0.2"/>
    <row r="6933" ht="12.75" customHeight="1" x14ac:dyDescent="0.2"/>
    <row r="6934" ht="12.75" customHeight="1" x14ac:dyDescent="0.2"/>
    <row r="6935" ht="12.75" customHeight="1" x14ac:dyDescent="0.2"/>
    <row r="6936" ht="12.75" customHeight="1" x14ac:dyDescent="0.2"/>
    <row r="6937" ht="12.75" customHeight="1" x14ac:dyDescent="0.2"/>
    <row r="6938" ht="12.75" customHeight="1" x14ac:dyDescent="0.2"/>
    <row r="6939" ht="12.75" customHeight="1" x14ac:dyDescent="0.2"/>
    <row r="6940" ht="12.75" customHeight="1" x14ac:dyDescent="0.2"/>
    <row r="6941" ht="12.75" customHeight="1" x14ac:dyDescent="0.2"/>
    <row r="6942" ht="12.75" customHeight="1" x14ac:dyDescent="0.2"/>
    <row r="6943" ht="12.75" customHeight="1" x14ac:dyDescent="0.2"/>
    <row r="6944" ht="12.75" customHeight="1" x14ac:dyDescent="0.2"/>
    <row r="6945" ht="12.75" customHeight="1" x14ac:dyDescent="0.2"/>
    <row r="6946" ht="12.75" customHeight="1" x14ac:dyDescent="0.2"/>
    <row r="6947" ht="12.75" customHeight="1" x14ac:dyDescent="0.2"/>
    <row r="6948" ht="12.75" customHeight="1" x14ac:dyDescent="0.2"/>
    <row r="6949" ht="12.75" customHeight="1" x14ac:dyDescent="0.2"/>
    <row r="6950" ht="12.75" customHeight="1" x14ac:dyDescent="0.2"/>
    <row r="6951" ht="12.75" customHeight="1" x14ac:dyDescent="0.2"/>
    <row r="6952" ht="12.75" customHeight="1" x14ac:dyDescent="0.2"/>
    <row r="6953" ht="12.75" customHeight="1" x14ac:dyDescent="0.2"/>
    <row r="6954" ht="12.75" customHeight="1" x14ac:dyDescent="0.2"/>
    <row r="6955" ht="12.75" customHeight="1" x14ac:dyDescent="0.2"/>
    <row r="6956" ht="12.75" customHeight="1" x14ac:dyDescent="0.2"/>
    <row r="6957" ht="12.75" customHeight="1" x14ac:dyDescent="0.2"/>
    <row r="6958" ht="12.75" customHeight="1" x14ac:dyDescent="0.2"/>
    <row r="6959" ht="12.75" customHeight="1" x14ac:dyDescent="0.2"/>
    <row r="6960" ht="12.75" customHeight="1" x14ac:dyDescent="0.2"/>
    <row r="6961" ht="12.75" customHeight="1" x14ac:dyDescent="0.2"/>
    <row r="6962" ht="12.75" customHeight="1" x14ac:dyDescent="0.2"/>
    <row r="6963" ht="12.75" customHeight="1" x14ac:dyDescent="0.2"/>
    <row r="6964" ht="12.75" customHeight="1" x14ac:dyDescent="0.2"/>
    <row r="6965" ht="12.75" customHeight="1" x14ac:dyDescent="0.2"/>
    <row r="6966" ht="12.75" customHeight="1" x14ac:dyDescent="0.2"/>
    <row r="6967" ht="12.75" customHeight="1" x14ac:dyDescent="0.2"/>
    <row r="6968" ht="12.75" customHeight="1" x14ac:dyDescent="0.2"/>
    <row r="6969" ht="12.75" customHeight="1" x14ac:dyDescent="0.2"/>
    <row r="6970" ht="12.75" customHeight="1" x14ac:dyDescent="0.2"/>
    <row r="6971" ht="12.75" customHeight="1" x14ac:dyDescent="0.2"/>
    <row r="6972" ht="12.75" customHeight="1" x14ac:dyDescent="0.2"/>
    <row r="6973" ht="12.75" customHeight="1" x14ac:dyDescent="0.2"/>
    <row r="6974" ht="12.75" customHeight="1" x14ac:dyDescent="0.2"/>
    <row r="6975" ht="12.75" customHeight="1" x14ac:dyDescent="0.2"/>
    <row r="6976" ht="12.75" customHeight="1" x14ac:dyDescent="0.2"/>
    <row r="6977" ht="12.75" customHeight="1" x14ac:dyDescent="0.2"/>
    <row r="6978" ht="12.75" customHeight="1" x14ac:dyDescent="0.2"/>
    <row r="6979" ht="12.75" customHeight="1" x14ac:dyDescent="0.2"/>
    <row r="6980" ht="12.75" customHeight="1" x14ac:dyDescent="0.2"/>
    <row r="6981" ht="12.75" customHeight="1" x14ac:dyDescent="0.2"/>
    <row r="6982" ht="12.75" customHeight="1" x14ac:dyDescent="0.2"/>
    <row r="6983" ht="12.75" customHeight="1" x14ac:dyDescent="0.2"/>
    <row r="6984" ht="12.75" customHeight="1" x14ac:dyDescent="0.2"/>
    <row r="6985" ht="12.75" customHeight="1" x14ac:dyDescent="0.2"/>
    <row r="6986" ht="12.75" customHeight="1" x14ac:dyDescent="0.2"/>
    <row r="6987" ht="12.75" customHeight="1" x14ac:dyDescent="0.2"/>
    <row r="6988" ht="12.75" customHeight="1" x14ac:dyDescent="0.2"/>
    <row r="6989" ht="12.75" customHeight="1" x14ac:dyDescent="0.2"/>
    <row r="6990" ht="12.75" customHeight="1" x14ac:dyDescent="0.2"/>
    <row r="6991" ht="12.75" customHeight="1" x14ac:dyDescent="0.2"/>
    <row r="6992" ht="12.75" customHeight="1" x14ac:dyDescent="0.2"/>
    <row r="6993" ht="12.75" customHeight="1" x14ac:dyDescent="0.2"/>
    <row r="6994" ht="12.75" customHeight="1" x14ac:dyDescent="0.2"/>
    <row r="6995" ht="12.75" customHeight="1" x14ac:dyDescent="0.2"/>
    <row r="6996" ht="12.75" customHeight="1" x14ac:dyDescent="0.2"/>
    <row r="6997" ht="12.75" customHeight="1" x14ac:dyDescent="0.2"/>
    <row r="6998" ht="12.75" customHeight="1" x14ac:dyDescent="0.2"/>
    <row r="6999" ht="12.75" customHeight="1" x14ac:dyDescent="0.2"/>
    <row r="7000" ht="12.75" customHeight="1" x14ac:dyDescent="0.2"/>
    <row r="7001" ht="12.75" customHeight="1" x14ac:dyDescent="0.2"/>
    <row r="7002" ht="12.75" customHeight="1" x14ac:dyDescent="0.2"/>
    <row r="7003" ht="12.75" customHeight="1" x14ac:dyDescent="0.2"/>
    <row r="7004" ht="12.75" customHeight="1" x14ac:dyDescent="0.2"/>
    <row r="7005" ht="12.75" customHeight="1" x14ac:dyDescent="0.2"/>
    <row r="7006" ht="12.75" customHeight="1" x14ac:dyDescent="0.2"/>
    <row r="7007" ht="12.75" customHeight="1" x14ac:dyDescent="0.2"/>
    <row r="7008" ht="12.75" customHeight="1" x14ac:dyDescent="0.2"/>
    <row r="7009" ht="12.75" customHeight="1" x14ac:dyDescent="0.2"/>
    <row r="7010" ht="12.75" customHeight="1" x14ac:dyDescent="0.2"/>
    <row r="7011" ht="12.75" customHeight="1" x14ac:dyDescent="0.2"/>
    <row r="7012" ht="12.75" customHeight="1" x14ac:dyDescent="0.2"/>
    <row r="7013" ht="12.75" customHeight="1" x14ac:dyDescent="0.2"/>
    <row r="7014" ht="12.75" customHeight="1" x14ac:dyDescent="0.2"/>
    <row r="7015" ht="12.75" customHeight="1" x14ac:dyDescent="0.2"/>
    <row r="7016" ht="12.75" customHeight="1" x14ac:dyDescent="0.2"/>
    <row r="7017" ht="12.75" customHeight="1" x14ac:dyDescent="0.2"/>
    <row r="7018" ht="12.75" customHeight="1" x14ac:dyDescent="0.2"/>
    <row r="7019" ht="12.75" customHeight="1" x14ac:dyDescent="0.2"/>
    <row r="7020" ht="12.75" customHeight="1" x14ac:dyDescent="0.2"/>
    <row r="7021" ht="12.75" customHeight="1" x14ac:dyDescent="0.2"/>
    <row r="7022" ht="12.75" customHeight="1" x14ac:dyDescent="0.2"/>
    <row r="7023" ht="12.75" customHeight="1" x14ac:dyDescent="0.2"/>
    <row r="7024" ht="12.75" customHeight="1" x14ac:dyDescent="0.2"/>
    <row r="7025" ht="12.75" customHeight="1" x14ac:dyDescent="0.2"/>
    <row r="7026" ht="12.75" customHeight="1" x14ac:dyDescent="0.2"/>
    <row r="7027" ht="12.75" customHeight="1" x14ac:dyDescent="0.2"/>
    <row r="7028" ht="12.75" customHeight="1" x14ac:dyDescent="0.2"/>
    <row r="7029" ht="12.75" customHeight="1" x14ac:dyDescent="0.2"/>
    <row r="7030" ht="12.75" customHeight="1" x14ac:dyDescent="0.2"/>
    <row r="7031" ht="12.75" customHeight="1" x14ac:dyDescent="0.2"/>
    <row r="7032" ht="12.75" customHeight="1" x14ac:dyDescent="0.2"/>
    <row r="7033" ht="12.75" customHeight="1" x14ac:dyDescent="0.2"/>
    <row r="7034" ht="12.75" customHeight="1" x14ac:dyDescent="0.2"/>
    <row r="7035" ht="12.75" customHeight="1" x14ac:dyDescent="0.2"/>
    <row r="7036" ht="12.75" customHeight="1" x14ac:dyDescent="0.2"/>
    <row r="7037" ht="12.75" customHeight="1" x14ac:dyDescent="0.2"/>
    <row r="7038" ht="12.75" customHeight="1" x14ac:dyDescent="0.2"/>
    <row r="7039" ht="12.75" customHeight="1" x14ac:dyDescent="0.2"/>
    <row r="7040" ht="12.75" customHeight="1" x14ac:dyDescent="0.2"/>
    <row r="7041" ht="12.75" customHeight="1" x14ac:dyDescent="0.2"/>
    <row r="7042" ht="12.75" customHeight="1" x14ac:dyDescent="0.2"/>
    <row r="7043" ht="12.75" customHeight="1" x14ac:dyDescent="0.2"/>
    <row r="7044" ht="12.75" customHeight="1" x14ac:dyDescent="0.2"/>
    <row r="7045" ht="12.75" customHeight="1" x14ac:dyDescent="0.2"/>
    <row r="7046" ht="12.75" customHeight="1" x14ac:dyDescent="0.2"/>
    <row r="7047" ht="12.75" customHeight="1" x14ac:dyDescent="0.2"/>
    <row r="7048" ht="12.75" customHeight="1" x14ac:dyDescent="0.2"/>
    <row r="7049" ht="12.75" customHeight="1" x14ac:dyDescent="0.2"/>
    <row r="7050" ht="12.75" customHeight="1" x14ac:dyDescent="0.2"/>
    <row r="7051" ht="12.75" customHeight="1" x14ac:dyDescent="0.2"/>
    <row r="7052" ht="12.75" customHeight="1" x14ac:dyDescent="0.2"/>
    <row r="7053" ht="12.75" customHeight="1" x14ac:dyDescent="0.2"/>
    <row r="7054" ht="12.75" customHeight="1" x14ac:dyDescent="0.2"/>
    <row r="7055" ht="12.75" customHeight="1" x14ac:dyDescent="0.2"/>
    <row r="7056" ht="12.75" customHeight="1" x14ac:dyDescent="0.2"/>
    <row r="7057" ht="12.75" customHeight="1" x14ac:dyDescent="0.2"/>
    <row r="7058" ht="12.75" customHeight="1" x14ac:dyDescent="0.2"/>
    <row r="7059" ht="12.75" customHeight="1" x14ac:dyDescent="0.2"/>
    <row r="7060" ht="12.75" customHeight="1" x14ac:dyDescent="0.2"/>
    <row r="7061" ht="12.75" customHeight="1" x14ac:dyDescent="0.2"/>
    <row r="7062" ht="12.75" customHeight="1" x14ac:dyDescent="0.2"/>
    <row r="7063" ht="12.75" customHeight="1" x14ac:dyDescent="0.2"/>
    <row r="7064" ht="12.75" customHeight="1" x14ac:dyDescent="0.2"/>
    <row r="7065" ht="12.75" customHeight="1" x14ac:dyDescent="0.2"/>
    <row r="7066" ht="12.75" customHeight="1" x14ac:dyDescent="0.2"/>
    <row r="7067" ht="12.75" customHeight="1" x14ac:dyDescent="0.2"/>
    <row r="7068" ht="12.75" customHeight="1" x14ac:dyDescent="0.2"/>
    <row r="7069" ht="12.75" customHeight="1" x14ac:dyDescent="0.2"/>
    <row r="7070" ht="12.75" customHeight="1" x14ac:dyDescent="0.2"/>
    <row r="7071" ht="12.75" customHeight="1" x14ac:dyDescent="0.2"/>
    <row r="7072" ht="12.75" customHeight="1" x14ac:dyDescent="0.2"/>
    <row r="7073" ht="12.75" customHeight="1" x14ac:dyDescent="0.2"/>
    <row r="7074" ht="12.75" customHeight="1" x14ac:dyDescent="0.2"/>
    <row r="7075" ht="12.75" customHeight="1" x14ac:dyDescent="0.2"/>
    <row r="7076" ht="12.75" customHeight="1" x14ac:dyDescent="0.2"/>
    <row r="7077" ht="12.75" customHeight="1" x14ac:dyDescent="0.2"/>
    <row r="7078" ht="12.75" customHeight="1" x14ac:dyDescent="0.2"/>
    <row r="7079" ht="12.75" customHeight="1" x14ac:dyDescent="0.2"/>
    <row r="7080" ht="12.75" customHeight="1" x14ac:dyDescent="0.2"/>
    <row r="7081" ht="12.75" customHeight="1" x14ac:dyDescent="0.2"/>
    <row r="7082" ht="12.75" customHeight="1" x14ac:dyDescent="0.2"/>
    <row r="7083" ht="12.75" customHeight="1" x14ac:dyDescent="0.2"/>
    <row r="7084" ht="12.75" customHeight="1" x14ac:dyDescent="0.2"/>
    <row r="7085" ht="12.75" customHeight="1" x14ac:dyDescent="0.2"/>
    <row r="7086" ht="12.75" customHeight="1" x14ac:dyDescent="0.2"/>
    <row r="7087" ht="12.75" customHeight="1" x14ac:dyDescent="0.2"/>
    <row r="7088" ht="12.75" customHeight="1" x14ac:dyDescent="0.2"/>
    <row r="7089" ht="12.75" customHeight="1" x14ac:dyDescent="0.2"/>
    <row r="7090" ht="12.75" customHeight="1" x14ac:dyDescent="0.2"/>
    <row r="7091" ht="12.75" customHeight="1" x14ac:dyDescent="0.2"/>
    <row r="7092" ht="12.75" customHeight="1" x14ac:dyDescent="0.2"/>
    <row r="7093" ht="12.75" customHeight="1" x14ac:dyDescent="0.2"/>
    <row r="7094" ht="12.75" customHeight="1" x14ac:dyDescent="0.2"/>
    <row r="7095" ht="12.75" customHeight="1" x14ac:dyDescent="0.2"/>
    <row r="7096" ht="12.75" customHeight="1" x14ac:dyDescent="0.2"/>
    <row r="7097" ht="12.75" customHeight="1" x14ac:dyDescent="0.2"/>
    <row r="7098" ht="12.75" customHeight="1" x14ac:dyDescent="0.2"/>
    <row r="7099" ht="12.75" customHeight="1" x14ac:dyDescent="0.2"/>
    <row r="7100" ht="12.75" customHeight="1" x14ac:dyDescent="0.2"/>
    <row r="7101" ht="12.75" customHeight="1" x14ac:dyDescent="0.2"/>
    <row r="7102" ht="12.75" customHeight="1" x14ac:dyDescent="0.2"/>
    <row r="7103" ht="12.75" customHeight="1" x14ac:dyDescent="0.2"/>
    <row r="7104" ht="12.75" customHeight="1" x14ac:dyDescent="0.2"/>
    <row r="7105" ht="12.75" customHeight="1" x14ac:dyDescent="0.2"/>
    <row r="7106" ht="12.75" customHeight="1" x14ac:dyDescent="0.2"/>
    <row r="7107" ht="12.75" customHeight="1" x14ac:dyDescent="0.2"/>
    <row r="7108" ht="12.75" customHeight="1" x14ac:dyDescent="0.2"/>
    <row r="7109" ht="12.75" customHeight="1" x14ac:dyDescent="0.2"/>
    <row r="7110" ht="12.75" customHeight="1" x14ac:dyDescent="0.2"/>
    <row r="7111" ht="12.75" customHeight="1" x14ac:dyDescent="0.2"/>
    <row r="7112" ht="12.75" customHeight="1" x14ac:dyDescent="0.2"/>
    <row r="7113" ht="12.75" customHeight="1" x14ac:dyDescent="0.2"/>
    <row r="7114" ht="12.75" customHeight="1" x14ac:dyDescent="0.2"/>
    <row r="7115" ht="12.75" customHeight="1" x14ac:dyDescent="0.2"/>
    <row r="7116" ht="12.75" customHeight="1" x14ac:dyDescent="0.2"/>
    <row r="7117" ht="12.75" customHeight="1" x14ac:dyDescent="0.2"/>
    <row r="7118" ht="12.75" customHeight="1" x14ac:dyDescent="0.2"/>
    <row r="7119" ht="12.75" customHeight="1" x14ac:dyDescent="0.2"/>
    <row r="7120" ht="12.75" customHeight="1" x14ac:dyDescent="0.2"/>
    <row r="7121" ht="12.75" customHeight="1" x14ac:dyDescent="0.2"/>
    <row r="7122" ht="12.75" customHeight="1" x14ac:dyDescent="0.2"/>
    <row r="7123" ht="12.75" customHeight="1" x14ac:dyDescent="0.2"/>
    <row r="7124" ht="12.75" customHeight="1" x14ac:dyDescent="0.2"/>
    <row r="7125" ht="12.75" customHeight="1" x14ac:dyDescent="0.2"/>
    <row r="7126" ht="12.75" customHeight="1" x14ac:dyDescent="0.2"/>
    <row r="7127" ht="12.75" customHeight="1" x14ac:dyDescent="0.2"/>
    <row r="7128" ht="12.75" customHeight="1" x14ac:dyDescent="0.2"/>
    <row r="7129" ht="12.75" customHeight="1" x14ac:dyDescent="0.2"/>
    <row r="7130" ht="12.75" customHeight="1" x14ac:dyDescent="0.2"/>
    <row r="7131" ht="12.75" customHeight="1" x14ac:dyDescent="0.2"/>
    <row r="7132" ht="12.75" customHeight="1" x14ac:dyDescent="0.2"/>
    <row r="7133" ht="12.75" customHeight="1" x14ac:dyDescent="0.2"/>
    <row r="7134" ht="12.75" customHeight="1" x14ac:dyDescent="0.2"/>
    <row r="7135" ht="12.75" customHeight="1" x14ac:dyDescent="0.2"/>
    <row r="7136" ht="12.75" customHeight="1" x14ac:dyDescent="0.2"/>
    <row r="7137" ht="12.75" customHeight="1" x14ac:dyDescent="0.2"/>
    <row r="7138" ht="12.75" customHeight="1" x14ac:dyDescent="0.2"/>
    <row r="7139" ht="12.75" customHeight="1" x14ac:dyDescent="0.2"/>
    <row r="7140" ht="12.75" customHeight="1" x14ac:dyDescent="0.2"/>
    <row r="7141" ht="12.75" customHeight="1" x14ac:dyDescent="0.2"/>
    <row r="7142" ht="12.75" customHeight="1" x14ac:dyDescent="0.2"/>
    <row r="7143" ht="12.75" customHeight="1" x14ac:dyDescent="0.2"/>
    <row r="7144" ht="12.75" customHeight="1" x14ac:dyDescent="0.2"/>
    <row r="7145" ht="12.75" customHeight="1" x14ac:dyDescent="0.2"/>
    <row r="7146" ht="12.75" customHeight="1" x14ac:dyDescent="0.2"/>
    <row r="7147" ht="12.75" customHeight="1" x14ac:dyDescent="0.2"/>
    <row r="7148" ht="12.75" customHeight="1" x14ac:dyDescent="0.2"/>
    <row r="7149" ht="12.75" customHeight="1" x14ac:dyDescent="0.2"/>
    <row r="7150" ht="12.75" customHeight="1" x14ac:dyDescent="0.2"/>
    <row r="7151" ht="12.75" customHeight="1" x14ac:dyDescent="0.2"/>
    <row r="7152" ht="12.75" customHeight="1" x14ac:dyDescent="0.2"/>
    <row r="7153" ht="12.75" customHeight="1" x14ac:dyDescent="0.2"/>
    <row r="7154" ht="12.75" customHeight="1" x14ac:dyDescent="0.2"/>
    <row r="7155" ht="12.75" customHeight="1" x14ac:dyDescent="0.2"/>
    <row r="7156" ht="12.75" customHeight="1" x14ac:dyDescent="0.2"/>
    <row r="7157" ht="12.75" customHeight="1" x14ac:dyDescent="0.2"/>
    <row r="7158" ht="12.75" customHeight="1" x14ac:dyDescent="0.2"/>
    <row r="7159" ht="12.75" customHeight="1" x14ac:dyDescent="0.2"/>
    <row r="7160" ht="12.75" customHeight="1" x14ac:dyDescent="0.2"/>
    <row r="7161" ht="12.75" customHeight="1" x14ac:dyDescent="0.2"/>
    <row r="7162" ht="12.75" customHeight="1" x14ac:dyDescent="0.2"/>
    <row r="7163" ht="12.75" customHeight="1" x14ac:dyDescent="0.2"/>
    <row r="7164" ht="12.75" customHeight="1" x14ac:dyDescent="0.2"/>
    <row r="7165" ht="12.75" customHeight="1" x14ac:dyDescent="0.2"/>
    <row r="7166" ht="12.75" customHeight="1" x14ac:dyDescent="0.2"/>
    <row r="7167" ht="12.75" customHeight="1" x14ac:dyDescent="0.2"/>
    <row r="7168" ht="12.75" customHeight="1" x14ac:dyDescent="0.2"/>
    <row r="7169" ht="12.75" customHeight="1" x14ac:dyDescent="0.2"/>
    <row r="7170" ht="12.75" customHeight="1" x14ac:dyDescent="0.2"/>
    <row r="7171" ht="12.75" customHeight="1" x14ac:dyDescent="0.2"/>
    <row r="7172" ht="12.75" customHeight="1" x14ac:dyDescent="0.2"/>
    <row r="7173" ht="12.75" customHeight="1" x14ac:dyDescent="0.2"/>
    <row r="7174" ht="12.75" customHeight="1" x14ac:dyDescent="0.2"/>
    <row r="7175" ht="12.75" customHeight="1" x14ac:dyDescent="0.2"/>
    <row r="7176" ht="12.75" customHeight="1" x14ac:dyDescent="0.2"/>
    <row r="7177" ht="12.75" customHeight="1" x14ac:dyDescent="0.2"/>
    <row r="7178" ht="12.75" customHeight="1" x14ac:dyDescent="0.2"/>
    <row r="7179" ht="12.75" customHeight="1" x14ac:dyDescent="0.2"/>
    <row r="7180" ht="12.75" customHeight="1" x14ac:dyDescent="0.2"/>
    <row r="7181" ht="12.75" customHeight="1" x14ac:dyDescent="0.2"/>
    <row r="7182" ht="12.75" customHeight="1" x14ac:dyDescent="0.2"/>
    <row r="7183" ht="12.75" customHeight="1" x14ac:dyDescent="0.2"/>
    <row r="7184" ht="12.75" customHeight="1" x14ac:dyDescent="0.2"/>
    <row r="7185" ht="12.75" customHeight="1" x14ac:dyDescent="0.2"/>
    <row r="7186" ht="12.75" customHeight="1" x14ac:dyDescent="0.2"/>
    <row r="7187" ht="12.75" customHeight="1" x14ac:dyDescent="0.2"/>
    <row r="7188" ht="12.75" customHeight="1" x14ac:dyDescent="0.2"/>
    <row r="7189" ht="12.75" customHeight="1" x14ac:dyDescent="0.2"/>
    <row r="7190" ht="12.75" customHeight="1" x14ac:dyDescent="0.2"/>
    <row r="7191" ht="12.75" customHeight="1" x14ac:dyDescent="0.2"/>
    <row r="7192" ht="12.75" customHeight="1" x14ac:dyDescent="0.2"/>
    <row r="7193" ht="12.75" customHeight="1" x14ac:dyDescent="0.2"/>
    <row r="7194" ht="12.75" customHeight="1" x14ac:dyDescent="0.2"/>
    <row r="7195" ht="12.75" customHeight="1" x14ac:dyDescent="0.2"/>
    <row r="7196" ht="12.75" customHeight="1" x14ac:dyDescent="0.2"/>
    <row r="7197" ht="12.75" customHeight="1" x14ac:dyDescent="0.2"/>
    <row r="7198" ht="12.75" customHeight="1" x14ac:dyDescent="0.2"/>
    <row r="7199" ht="12.75" customHeight="1" x14ac:dyDescent="0.2"/>
    <row r="7200" ht="12.75" customHeight="1" x14ac:dyDescent="0.2"/>
    <row r="7201" ht="12.75" customHeight="1" x14ac:dyDescent="0.2"/>
    <row r="7202" ht="12.75" customHeight="1" x14ac:dyDescent="0.2"/>
    <row r="7203" ht="12.75" customHeight="1" x14ac:dyDescent="0.2"/>
    <row r="7204" ht="12.75" customHeight="1" x14ac:dyDescent="0.2"/>
    <row r="7205" ht="12.75" customHeight="1" x14ac:dyDescent="0.2"/>
    <row r="7206" ht="12.75" customHeight="1" x14ac:dyDescent="0.2"/>
    <row r="7207" ht="12.75" customHeight="1" x14ac:dyDescent="0.2"/>
    <row r="7208" ht="12.75" customHeight="1" x14ac:dyDescent="0.2"/>
    <row r="7209" ht="12.75" customHeight="1" x14ac:dyDescent="0.2"/>
    <row r="7210" ht="12.75" customHeight="1" x14ac:dyDescent="0.2"/>
    <row r="7211" ht="12.75" customHeight="1" x14ac:dyDescent="0.2"/>
    <row r="7212" ht="12.75" customHeight="1" x14ac:dyDescent="0.2"/>
    <row r="7213" ht="12.75" customHeight="1" x14ac:dyDescent="0.2"/>
    <row r="7214" ht="12.75" customHeight="1" x14ac:dyDescent="0.2"/>
    <row r="7215" ht="12.75" customHeight="1" x14ac:dyDescent="0.2"/>
    <row r="7216" ht="12.75" customHeight="1" x14ac:dyDescent="0.2"/>
    <row r="7217" ht="12.75" customHeight="1" x14ac:dyDescent="0.2"/>
    <row r="7218" ht="12.75" customHeight="1" x14ac:dyDescent="0.2"/>
    <row r="7219" ht="12.75" customHeight="1" x14ac:dyDescent="0.2"/>
    <row r="7220" ht="12.75" customHeight="1" x14ac:dyDescent="0.2"/>
    <row r="7221" ht="12.75" customHeight="1" x14ac:dyDescent="0.2"/>
    <row r="7222" ht="12.75" customHeight="1" x14ac:dyDescent="0.2"/>
    <row r="7223" ht="12.75" customHeight="1" x14ac:dyDescent="0.2"/>
    <row r="7224" ht="12.75" customHeight="1" x14ac:dyDescent="0.2"/>
    <row r="7225" ht="12.75" customHeight="1" x14ac:dyDescent="0.2"/>
    <row r="7226" ht="12.75" customHeight="1" x14ac:dyDescent="0.2"/>
    <row r="7227" ht="12.75" customHeight="1" x14ac:dyDescent="0.2"/>
    <row r="7228" ht="12.75" customHeight="1" x14ac:dyDescent="0.2"/>
    <row r="7229" ht="12.75" customHeight="1" x14ac:dyDescent="0.2"/>
    <row r="7230" ht="12.75" customHeight="1" x14ac:dyDescent="0.2"/>
    <row r="7231" ht="12.75" customHeight="1" x14ac:dyDescent="0.2"/>
    <row r="7232" ht="12.75" customHeight="1" x14ac:dyDescent="0.2"/>
    <row r="7233" ht="12.75" customHeight="1" x14ac:dyDescent="0.2"/>
    <row r="7234" ht="12.75" customHeight="1" x14ac:dyDescent="0.2"/>
    <row r="7235" ht="12.75" customHeight="1" x14ac:dyDescent="0.2"/>
    <row r="7236" ht="12.75" customHeight="1" x14ac:dyDescent="0.2"/>
    <row r="7237" ht="12.75" customHeight="1" x14ac:dyDescent="0.2"/>
    <row r="7238" ht="12.75" customHeight="1" x14ac:dyDescent="0.2"/>
    <row r="7239" ht="12.75" customHeight="1" x14ac:dyDescent="0.2"/>
    <row r="7240" ht="12.75" customHeight="1" x14ac:dyDescent="0.2"/>
    <row r="7241" ht="12.75" customHeight="1" x14ac:dyDescent="0.2"/>
    <row r="7242" ht="12.75" customHeight="1" x14ac:dyDescent="0.2"/>
    <row r="7243" ht="12.75" customHeight="1" x14ac:dyDescent="0.2"/>
    <row r="7244" ht="12.75" customHeight="1" x14ac:dyDescent="0.2"/>
    <row r="7245" ht="12.75" customHeight="1" x14ac:dyDescent="0.2"/>
    <row r="7246" ht="12.75" customHeight="1" x14ac:dyDescent="0.2"/>
    <row r="7247" ht="12.75" customHeight="1" x14ac:dyDescent="0.2"/>
    <row r="7248" ht="12.75" customHeight="1" x14ac:dyDescent="0.2"/>
    <row r="7249" ht="12.75" customHeight="1" x14ac:dyDescent="0.2"/>
    <row r="7250" ht="12.75" customHeight="1" x14ac:dyDescent="0.2"/>
    <row r="7251" ht="12.75" customHeight="1" x14ac:dyDescent="0.2"/>
    <row r="7252" ht="12.75" customHeight="1" x14ac:dyDescent="0.2"/>
    <row r="7253" ht="12.75" customHeight="1" x14ac:dyDescent="0.2"/>
    <row r="7254" ht="12.75" customHeight="1" x14ac:dyDescent="0.2"/>
    <row r="7255" ht="12.75" customHeight="1" x14ac:dyDescent="0.2"/>
    <row r="7256" ht="12.75" customHeight="1" x14ac:dyDescent="0.2"/>
    <row r="7257" ht="12.75" customHeight="1" x14ac:dyDescent="0.2"/>
    <row r="7258" ht="12.75" customHeight="1" x14ac:dyDescent="0.2"/>
    <row r="7259" ht="12.75" customHeight="1" x14ac:dyDescent="0.2"/>
    <row r="7260" ht="12.75" customHeight="1" x14ac:dyDescent="0.2"/>
    <row r="7261" ht="12.75" customHeight="1" x14ac:dyDescent="0.2"/>
    <row r="7262" ht="12.75" customHeight="1" x14ac:dyDescent="0.2"/>
    <row r="7263" ht="12.75" customHeight="1" x14ac:dyDescent="0.2"/>
    <row r="7264" ht="12.75" customHeight="1" x14ac:dyDescent="0.2"/>
    <row r="7265" ht="12.75" customHeight="1" x14ac:dyDescent="0.2"/>
    <row r="7266" ht="12.75" customHeight="1" x14ac:dyDescent="0.2"/>
    <row r="7267" ht="12.75" customHeight="1" x14ac:dyDescent="0.2"/>
    <row r="7268" ht="12.75" customHeight="1" x14ac:dyDescent="0.2"/>
    <row r="7269" ht="12.75" customHeight="1" x14ac:dyDescent="0.2"/>
    <row r="7270" ht="12.75" customHeight="1" x14ac:dyDescent="0.2"/>
    <row r="7271" ht="12.75" customHeight="1" x14ac:dyDescent="0.2"/>
    <row r="7272" ht="12.75" customHeight="1" x14ac:dyDescent="0.2"/>
    <row r="7273" ht="12.75" customHeight="1" x14ac:dyDescent="0.2"/>
    <row r="7274" ht="12.75" customHeight="1" x14ac:dyDescent="0.2"/>
    <row r="7275" ht="12.75" customHeight="1" x14ac:dyDescent="0.2"/>
    <row r="7276" ht="12.75" customHeight="1" x14ac:dyDescent="0.2"/>
    <row r="7277" ht="12.75" customHeight="1" x14ac:dyDescent="0.2"/>
    <row r="7278" ht="12.75" customHeight="1" x14ac:dyDescent="0.2"/>
    <row r="7279" ht="12.75" customHeight="1" x14ac:dyDescent="0.2"/>
    <row r="7280" ht="12.75" customHeight="1" x14ac:dyDescent="0.2"/>
    <row r="7281" ht="12.75" customHeight="1" x14ac:dyDescent="0.2"/>
    <row r="7282" ht="12.75" customHeight="1" x14ac:dyDescent="0.2"/>
    <row r="7283" ht="12.75" customHeight="1" x14ac:dyDescent="0.2"/>
    <row r="7284" ht="12.75" customHeight="1" x14ac:dyDescent="0.2"/>
    <row r="7285" ht="12.75" customHeight="1" x14ac:dyDescent="0.2"/>
    <row r="7286" ht="12.75" customHeight="1" x14ac:dyDescent="0.2"/>
    <row r="7287" ht="12.75" customHeight="1" x14ac:dyDescent="0.2"/>
    <row r="7288" ht="12.75" customHeight="1" x14ac:dyDescent="0.2"/>
    <row r="7289" ht="12.75" customHeight="1" x14ac:dyDescent="0.2"/>
    <row r="7290" ht="12.75" customHeight="1" x14ac:dyDescent="0.2"/>
    <row r="7291" ht="12.75" customHeight="1" x14ac:dyDescent="0.2"/>
    <row r="7292" ht="12.75" customHeight="1" x14ac:dyDescent="0.2"/>
    <row r="7293" ht="12.75" customHeight="1" x14ac:dyDescent="0.2"/>
    <row r="7294" ht="12.75" customHeight="1" x14ac:dyDescent="0.2"/>
    <row r="7295" ht="12.75" customHeight="1" x14ac:dyDescent="0.2"/>
    <row r="7296" ht="12.75" customHeight="1" x14ac:dyDescent="0.2"/>
    <row r="7297" ht="12.75" customHeight="1" x14ac:dyDescent="0.2"/>
    <row r="7298" ht="12.75" customHeight="1" x14ac:dyDescent="0.2"/>
    <row r="7299" ht="12.75" customHeight="1" x14ac:dyDescent="0.2"/>
    <row r="7300" ht="12.75" customHeight="1" x14ac:dyDescent="0.2"/>
    <row r="7301" ht="12.75" customHeight="1" x14ac:dyDescent="0.2"/>
    <row r="7302" ht="12.75" customHeight="1" x14ac:dyDescent="0.2"/>
    <row r="7303" ht="12.75" customHeight="1" x14ac:dyDescent="0.2"/>
    <row r="7304" ht="12.75" customHeight="1" x14ac:dyDescent="0.2"/>
    <row r="7305" ht="12.75" customHeight="1" x14ac:dyDescent="0.2"/>
    <row r="7306" ht="12.75" customHeight="1" x14ac:dyDescent="0.2"/>
    <row r="7307" ht="12.75" customHeight="1" x14ac:dyDescent="0.2"/>
    <row r="7308" ht="12.75" customHeight="1" x14ac:dyDescent="0.2"/>
    <row r="7309" ht="12.75" customHeight="1" x14ac:dyDescent="0.2"/>
    <row r="7310" ht="12.75" customHeight="1" x14ac:dyDescent="0.2"/>
    <row r="7311" ht="12.75" customHeight="1" x14ac:dyDescent="0.2"/>
    <row r="7312" ht="12.75" customHeight="1" x14ac:dyDescent="0.2"/>
    <row r="7313" ht="12.75" customHeight="1" x14ac:dyDescent="0.2"/>
    <row r="7314" ht="12.75" customHeight="1" x14ac:dyDescent="0.2"/>
    <row r="7315" ht="12.75" customHeight="1" x14ac:dyDescent="0.2"/>
    <row r="7316" ht="12.75" customHeight="1" x14ac:dyDescent="0.2"/>
    <row r="7317" ht="12.75" customHeight="1" x14ac:dyDescent="0.2"/>
    <row r="7318" ht="12.75" customHeight="1" x14ac:dyDescent="0.2"/>
    <row r="7319" ht="12.75" customHeight="1" x14ac:dyDescent="0.2"/>
    <row r="7320" ht="12.75" customHeight="1" x14ac:dyDescent="0.2"/>
    <row r="7321" ht="12.75" customHeight="1" x14ac:dyDescent="0.2"/>
    <row r="7322" ht="12.75" customHeight="1" x14ac:dyDescent="0.2"/>
    <row r="7323" ht="12.75" customHeight="1" x14ac:dyDescent="0.2"/>
    <row r="7324" ht="12.75" customHeight="1" x14ac:dyDescent="0.2"/>
    <row r="7325" ht="12.75" customHeight="1" x14ac:dyDescent="0.2"/>
    <row r="7326" ht="12.75" customHeight="1" x14ac:dyDescent="0.2"/>
    <row r="7327" ht="12.75" customHeight="1" x14ac:dyDescent="0.2"/>
    <row r="7328" ht="12.75" customHeight="1" x14ac:dyDescent="0.2"/>
    <row r="7329" ht="12.75" customHeight="1" x14ac:dyDescent="0.2"/>
    <row r="7330" ht="12.75" customHeight="1" x14ac:dyDescent="0.2"/>
    <row r="7331" ht="12.75" customHeight="1" x14ac:dyDescent="0.2"/>
    <row r="7332" ht="12.75" customHeight="1" x14ac:dyDescent="0.2"/>
    <row r="7333" ht="12.75" customHeight="1" x14ac:dyDescent="0.2"/>
    <row r="7334" ht="12.75" customHeight="1" x14ac:dyDescent="0.2"/>
    <row r="7335" ht="12.75" customHeight="1" x14ac:dyDescent="0.2"/>
    <row r="7336" ht="12.75" customHeight="1" x14ac:dyDescent="0.2"/>
    <row r="7337" ht="12.75" customHeight="1" x14ac:dyDescent="0.2"/>
    <row r="7338" ht="12.75" customHeight="1" x14ac:dyDescent="0.2"/>
    <row r="7339" ht="12.75" customHeight="1" x14ac:dyDescent="0.2"/>
    <row r="7340" ht="12.75" customHeight="1" x14ac:dyDescent="0.2"/>
    <row r="7341" ht="12.75" customHeight="1" x14ac:dyDescent="0.2"/>
    <row r="7342" ht="12.75" customHeight="1" x14ac:dyDescent="0.2"/>
    <row r="7343" ht="12.75" customHeight="1" x14ac:dyDescent="0.2"/>
    <row r="7344" ht="12.75" customHeight="1" x14ac:dyDescent="0.2"/>
    <row r="7345" ht="12.75" customHeight="1" x14ac:dyDescent="0.2"/>
    <row r="7346" ht="12.75" customHeight="1" x14ac:dyDescent="0.2"/>
    <row r="7347" ht="12.75" customHeight="1" x14ac:dyDescent="0.2"/>
    <row r="7348" ht="12.75" customHeight="1" x14ac:dyDescent="0.2"/>
    <row r="7349" ht="12.75" customHeight="1" x14ac:dyDescent="0.2"/>
    <row r="7350" ht="12.75" customHeight="1" x14ac:dyDescent="0.2"/>
    <row r="7351" ht="12.75" customHeight="1" x14ac:dyDescent="0.2"/>
    <row r="7352" ht="12.75" customHeight="1" x14ac:dyDescent="0.2"/>
    <row r="7353" ht="12.75" customHeight="1" x14ac:dyDescent="0.2"/>
    <row r="7354" ht="12.75" customHeight="1" x14ac:dyDescent="0.2"/>
    <row r="7355" ht="12.75" customHeight="1" x14ac:dyDescent="0.2"/>
    <row r="7356" ht="12.75" customHeight="1" x14ac:dyDescent="0.2"/>
    <row r="7357" ht="12.75" customHeight="1" x14ac:dyDescent="0.2"/>
    <row r="7358" ht="12.75" customHeight="1" x14ac:dyDescent="0.2"/>
    <row r="7359" ht="12.75" customHeight="1" x14ac:dyDescent="0.2"/>
    <row r="7360" ht="12.75" customHeight="1" x14ac:dyDescent="0.2"/>
    <row r="7361" ht="12.75" customHeight="1" x14ac:dyDescent="0.2"/>
    <row r="7362" ht="12.75" customHeight="1" x14ac:dyDescent="0.2"/>
    <row r="7363" ht="12.75" customHeight="1" x14ac:dyDescent="0.2"/>
    <row r="7364" ht="12.75" customHeight="1" x14ac:dyDescent="0.2"/>
    <row r="7365" ht="12.75" customHeight="1" x14ac:dyDescent="0.2"/>
    <row r="7366" ht="12.75" customHeight="1" x14ac:dyDescent="0.2"/>
    <row r="7367" ht="12.75" customHeight="1" x14ac:dyDescent="0.2"/>
    <row r="7368" ht="12.75" customHeight="1" x14ac:dyDescent="0.2"/>
    <row r="7369" ht="12.75" customHeight="1" x14ac:dyDescent="0.2"/>
    <row r="7370" ht="12.75" customHeight="1" x14ac:dyDescent="0.2"/>
    <row r="7371" ht="12.75" customHeight="1" x14ac:dyDescent="0.2"/>
    <row r="7372" ht="12.75" customHeight="1" x14ac:dyDescent="0.2"/>
    <row r="7373" ht="12.75" customHeight="1" x14ac:dyDescent="0.2"/>
    <row r="7374" ht="12.75" customHeight="1" x14ac:dyDescent="0.2"/>
    <row r="7375" ht="12.75" customHeight="1" x14ac:dyDescent="0.2"/>
    <row r="7376" ht="12.75" customHeight="1" x14ac:dyDescent="0.2"/>
    <row r="7377" ht="12.75" customHeight="1" x14ac:dyDescent="0.2"/>
    <row r="7378" ht="12.75" customHeight="1" x14ac:dyDescent="0.2"/>
    <row r="7379" ht="12.75" customHeight="1" x14ac:dyDescent="0.2"/>
    <row r="7380" ht="12.75" customHeight="1" x14ac:dyDescent="0.2"/>
    <row r="7381" ht="12.75" customHeight="1" x14ac:dyDescent="0.2"/>
    <row r="7382" ht="12.75" customHeight="1" x14ac:dyDescent="0.2"/>
    <row r="7383" ht="12.75" customHeight="1" x14ac:dyDescent="0.2"/>
    <row r="7384" ht="12.75" customHeight="1" x14ac:dyDescent="0.2"/>
    <row r="7385" ht="12.75" customHeight="1" x14ac:dyDescent="0.2"/>
    <row r="7386" ht="12.75" customHeight="1" x14ac:dyDescent="0.2"/>
    <row r="7387" ht="12.75" customHeight="1" x14ac:dyDescent="0.2"/>
    <row r="7388" ht="12.75" customHeight="1" x14ac:dyDescent="0.2"/>
    <row r="7389" ht="12.75" customHeight="1" x14ac:dyDescent="0.2"/>
    <row r="7390" ht="12.75" customHeight="1" x14ac:dyDescent="0.2"/>
    <row r="7391" ht="12.75" customHeight="1" x14ac:dyDescent="0.2"/>
    <row r="7392" ht="12.75" customHeight="1" x14ac:dyDescent="0.2"/>
    <row r="7393" ht="12.75" customHeight="1" x14ac:dyDescent="0.2"/>
    <row r="7394" ht="12.75" customHeight="1" x14ac:dyDescent="0.2"/>
    <row r="7395" ht="12.75" customHeight="1" x14ac:dyDescent="0.2"/>
    <row r="7396" ht="12.75" customHeight="1" x14ac:dyDescent="0.2"/>
    <row r="7397" ht="12.75" customHeight="1" x14ac:dyDescent="0.2"/>
    <row r="7398" ht="12.75" customHeight="1" x14ac:dyDescent="0.2"/>
    <row r="7399" ht="12.75" customHeight="1" x14ac:dyDescent="0.2"/>
    <row r="7400" ht="12.75" customHeight="1" x14ac:dyDescent="0.2"/>
    <row r="7401" ht="12.75" customHeight="1" x14ac:dyDescent="0.2"/>
    <row r="7402" ht="12.75" customHeight="1" x14ac:dyDescent="0.2"/>
    <row r="7403" ht="12.75" customHeight="1" x14ac:dyDescent="0.2"/>
    <row r="7404" ht="12.75" customHeight="1" x14ac:dyDescent="0.2"/>
    <row r="7405" ht="12.75" customHeight="1" x14ac:dyDescent="0.2"/>
    <row r="7406" ht="12.75" customHeight="1" x14ac:dyDescent="0.2"/>
    <row r="7407" ht="12.75" customHeight="1" x14ac:dyDescent="0.2"/>
    <row r="7408" ht="12.75" customHeight="1" x14ac:dyDescent="0.2"/>
    <row r="7409" ht="12.75" customHeight="1" x14ac:dyDescent="0.2"/>
    <row r="7410" ht="12.75" customHeight="1" x14ac:dyDescent="0.2"/>
    <row r="7411" ht="12.75" customHeight="1" x14ac:dyDescent="0.2"/>
    <row r="7412" ht="12.75" customHeight="1" x14ac:dyDescent="0.2"/>
    <row r="7413" ht="12.75" customHeight="1" x14ac:dyDescent="0.2"/>
    <row r="7414" ht="12.75" customHeight="1" x14ac:dyDescent="0.2"/>
    <row r="7415" ht="12.75" customHeight="1" x14ac:dyDescent="0.2"/>
    <row r="7416" ht="12.75" customHeight="1" x14ac:dyDescent="0.2"/>
    <row r="7417" ht="12.75" customHeight="1" x14ac:dyDescent="0.2"/>
    <row r="7418" ht="12.75" customHeight="1" x14ac:dyDescent="0.2"/>
    <row r="7419" ht="12.75" customHeight="1" x14ac:dyDescent="0.2"/>
    <row r="7420" ht="12.75" customHeight="1" x14ac:dyDescent="0.2"/>
    <row r="7421" ht="12.75" customHeight="1" x14ac:dyDescent="0.2"/>
    <row r="7422" ht="12.75" customHeight="1" x14ac:dyDescent="0.2"/>
    <row r="7423" ht="12.75" customHeight="1" x14ac:dyDescent="0.2"/>
    <row r="7424" ht="12.75" customHeight="1" x14ac:dyDescent="0.2"/>
    <row r="7425" ht="12.75" customHeight="1" x14ac:dyDescent="0.2"/>
    <row r="7426" ht="12.75" customHeight="1" x14ac:dyDescent="0.2"/>
    <row r="7427" ht="12.75" customHeight="1" x14ac:dyDescent="0.2"/>
    <row r="7428" ht="12.75" customHeight="1" x14ac:dyDescent="0.2"/>
    <row r="7429" ht="12.75" customHeight="1" x14ac:dyDescent="0.2"/>
    <row r="7430" ht="12.75" customHeight="1" x14ac:dyDescent="0.2"/>
    <row r="7431" ht="12.75" customHeight="1" x14ac:dyDescent="0.2"/>
    <row r="7432" ht="12.75" customHeight="1" x14ac:dyDescent="0.2"/>
    <row r="7433" ht="12.75" customHeight="1" x14ac:dyDescent="0.2"/>
    <row r="7434" ht="12.75" customHeight="1" x14ac:dyDescent="0.2"/>
    <row r="7435" ht="12.75" customHeight="1" x14ac:dyDescent="0.2"/>
    <row r="7436" ht="12.75" customHeight="1" x14ac:dyDescent="0.2"/>
    <row r="7437" ht="12.75" customHeight="1" x14ac:dyDescent="0.2"/>
    <row r="7438" ht="12.75" customHeight="1" x14ac:dyDescent="0.2"/>
    <row r="7439" ht="12.75" customHeight="1" x14ac:dyDescent="0.2"/>
    <row r="7440" ht="12.75" customHeight="1" x14ac:dyDescent="0.2"/>
    <row r="7441" ht="12.75" customHeight="1" x14ac:dyDescent="0.2"/>
    <row r="7442" ht="12.75" customHeight="1" x14ac:dyDescent="0.2"/>
    <row r="7443" ht="12.75" customHeight="1" x14ac:dyDescent="0.2"/>
    <row r="7444" ht="12.75" customHeight="1" x14ac:dyDescent="0.2"/>
    <row r="7445" ht="12.75" customHeight="1" x14ac:dyDescent="0.2"/>
    <row r="7446" ht="12.75" customHeight="1" x14ac:dyDescent="0.2"/>
    <row r="7447" ht="12.75" customHeight="1" x14ac:dyDescent="0.2"/>
    <row r="7448" ht="12.75" customHeight="1" x14ac:dyDescent="0.2"/>
    <row r="7449" ht="12.75" customHeight="1" x14ac:dyDescent="0.2"/>
    <row r="7450" ht="12.75" customHeight="1" x14ac:dyDescent="0.2"/>
    <row r="7451" ht="12.75" customHeight="1" x14ac:dyDescent="0.2"/>
    <row r="7452" ht="12.75" customHeight="1" x14ac:dyDescent="0.2"/>
    <row r="7453" ht="12.75" customHeight="1" x14ac:dyDescent="0.2"/>
    <row r="7454" ht="12.75" customHeight="1" x14ac:dyDescent="0.2"/>
    <row r="7455" ht="12.75" customHeight="1" x14ac:dyDescent="0.2"/>
    <row r="7456" ht="12.75" customHeight="1" x14ac:dyDescent="0.2"/>
    <row r="7457" ht="12.75" customHeight="1" x14ac:dyDescent="0.2"/>
    <row r="7458" ht="12.75" customHeight="1" x14ac:dyDescent="0.2"/>
    <row r="7459" ht="12.75" customHeight="1" x14ac:dyDescent="0.2"/>
    <row r="7460" ht="12.75" customHeight="1" x14ac:dyDescent="0.2"/>
    <row r="7461" ht="12.75" customHeight="1" x14ac:dyDescent="0.2"/>
    <row r="7462" ht="12.75" customHeight="1" x14ac:dyDescent="0.2"/>
    <row r="7463" ht="12.75" customHeight="1" x14ac:dyDescent="0.2"/>
    <row r="7464" ht="12.75" customHeight="1" x14ac:dyDescent="0.2"/>
    <row r="7465" ht="12.75" customHeight="1" x14ac:dyDescent="0.2"/>
    <row r="7466" ht="12.75" customHeight="1" x14ac:dyDescent="0.2"/>
    <row r="7467" ht="12.75" customHeight="1" x14ac:dyDescent="0.2"/>
    <row r="7468" ht="12.75" customHeight="1" x14ac:dyDescent="0.2"/>
    <row r="7469" ht="12.75" customHeight="1" x14ac:dyDescent="0.2"/>
    <row r="7470" ht="12.75" customHeight="1" x14ac:dyDescent="0.2"/>
    <row r="7471" ht="12.75" customHeight="1" x14ac:dyDescent="0.2"/>
    <row r="7472" ht="12.75" customHeight="1" x14ac:dyDescent="0.2"/>
    <row r="7473" ht="12.75" customHeight="1" x14ac:dyDescent="0.2"/>
    <row r="7474" ht="12.75" customHeight="1" x14ac:dyDescent="0.2"/>
    <row r="7475" ht="12.75" customHeight="1" x14ac:dyDescent="0.2"/>
    <row r="7476" ht="12.75" customHeight="1" x14ac:dyDescent="0.2"/>
    <row r="7477" ht="12.75" customHeight="1" x14ac:dyDescent="0.2"/>
    <row r="7478" ht="12.75" customHeight="1" x14ac:dyDescent="0.2"/>
    <row r="7479" ht="12.75" customHeight="1" x14ac:dyDescent="0.2"/>
    <row r="7480" ht="12.75" customHeight="1" x14ac:dyDescent="0.2"/>
    <row r="7481" ht="12.75" customHeight="1" x14ac:dyDescent="0.2"/>
    <row r="7482" ht="12.75" customHeight="1" x14ac:dyDescent="0.2"/>
    <row r="7483" ht="12.75" customHeight="1" x14ac:dyDescent="0.2"/>
    <row r="7484" ht="12.75" customHeight="1" x14ac:dyDescent="0.2"/>
    <row r="7485" ht="12.75" customHeight="1" x14ac:dyDescent="0.2"/>
    <row r="7486" ht="12.75" customHeight="1" x14ac:dyDescent="0.2"/>
    <row r="7487" ht="12.75" customHeight="1" x14ac:dyDescent="0.2"/>
    <row r="7488" ht="12.75" customHeight="1" x14ac:dyDescent="0.2"/>
    <row r="7489" ht="12.75" customHeight="1" x14ac:dyDescent="0.2"/>
    <row r="7490" ht="12.75" customHeight="1" x14ac:dyDescent="0.2"/>
    <row r="7491" ht="12.75" customHeight="1" x14ac:dyDescent="0.2"/>
    <row r="7492" ht="12.75" customHeight="1" x14ac:dyDescent="0.2"/>
    <row r="7493" ht="12.75" customHeight="1" x14ac:dyDescent="0.2"/>
    <row r="7494" ht="12.75" customHeight="1" x14ac:dyDescent="0.2"/>
    <row r="7495" ht="12.75" customHeight="1" x14ac:dyDescent="0.2"/>
    <row r="7496" ht="12.75" customHeight="1" x14ac:dyDescent="0.2"/>
    <row r="7497" ht="12.75" customHeight="1" x14ac:dyDescent="0.2"/>
    <row r="7498" ht="12.75" customHeight="1" x14ac:dyDescent="0.2"/>
    <row r="7499" ht="12.75" customHeight="1" x14ac:dyDescent="0.2"/>
    <row r="7500" ht="12.75" customHeight="1" x14ac:dyDescent="0.2"/>
    <row r="7501" ht="12.75" customHeight="1" x14ac:dyDescent="0.2"/>
    <row r="7502" ht="12.75" customHeight="1" x14ac:dyDescent="0.2"/>
    <row r="7503" ht="12.75" customHeight="1" x14ac:dyDescent="0.2"/>
    <row r="7504" ht="12.75" customHeight="1" x14ac:dyDescent="0.2"/>
    <row r="7505" ht="12.75" customHeight="1" x14ac:dyDescent="0.2"/>
    <row r="7506" ht="12.75" customHeight="1" x14ac:dyDescent="0.2"/>
    <row r="7507" ht="12.75" customHeight="1" x14ac:dyDescent="0.2"/>
    <row r="7508" ht="12.75" customHeight="1" x14ac:dyDescent="0.2"/>
    <row r="7509" ht="12.75" customHeight="1" x14ac:dyDescent="0.2"/>
    <row r="7510" ht="12.75" customHeight="1" x14ac:dyDescent="0.2"/>
    <row r="7511" ht="12.75" customHeight="1" x14ac:dyDescent="0.2"/>
    <row r="7512" ht="12.75" customHeight="1" x14ac:dyDescent="0.2"/>
    <row r="7513" ht="12.75" customHeight="1" x14ac:dyDescent="0.2"/>
    <row r="7514" ht="12.75" customHeight="1" x14ac:dyDescent="0.2"/>
    <row r="7515" ht="12.75" customHeight="1" x14ac:dyDescent="0.2"/>
    <row r="7516" ht="12.75" customHeight="1" x14ac:dyDescent="0.2"/>
    <row r="7517" ht="12.75" customHeight="1" x14ac:dyDescent="0.2"/>
    <row r="7518" ht="12.75" customHeight="1" x14ac:dyDescent="0.2"/>
    <row r="7519" ht="12.75" customHeight="1" x14ac:dyDescent="0.2"/>
    <row r="7520" ht="12.75" customHeight="1" x14ac:dyDescent="0.2"/>
    <row r="7521" ht="12.75" customHeight="1" x14ac:dyDescent="0.2"/>
    <row r="7522" ht="12.75" customHeight="1" x14ac:dyDescent="0.2"/>
    <row r="7523" ht="12.75" customHeight="1" x14ac:dyDescent="0.2"/>
    <row r="7524" ht="12.75" customHeight="1" x14ac:dyDescent="0.2"/>
    <row r="7525" ht="12.75" customHeight="1" x14ac:dyDescent="0.2"/>
    <row r="7526" ht="12.75" customHeight="1" x14ac:dyDescent="0.2"/>
    <row r="7527" ht="12.75" customHeight="1" x14ac:dyDescent="0.2"/>
    <row r="7528" ht="12.75" customHeight="1" x14ac:dyDescent="0.2"/>
    <row r="7529" ht="12.75" customHeight="1" x14ac:dyDescent="0.2"/>
    <row r="7530" ht="12.75" customHeight="1" x14ac:dyDescent="0.2"/>
    <row r="7531" ht="12.75" customHeight="1" x14ac:dyDescent="0.2"/>
    <row r="7532" ht="12.75" customHeight="1" x14ac:dyDescent="0.2"/>
    <row r="7533" ht="12.75" customHeight="1" x14ac:dyDescent="0.2"/>
    <row r="7534" ht="12.75" customHeight="1" x14ac:dyDescent="0.2"/>
    <row r="7535" ht="12.75" customHeight="1" x14ac:dyDescent="0.2"/>
    <row r="7536" ht="12.75" customHeight="1" x14ac:dyDescent="0.2"/>
    <row r="7537" ht="12.75" customHeight="1" x14ac:dyDescent="0.2"/>
    <row r="7538" ht="12.75" customHeight="1" x14ac:dyDescent="0.2"/>
    <row r="7539" ht="12.75" customHeight="1" x14ac:dyDescent="0.2"/>
    <row r="7540" ht="12.75" customHeight="1" x14ac:dyDescent="0.2"/>
    <row r="7541" ht="12.75" customHeight="1" x14ac:dyDescent="0.2"/>
    <row r="7542" ht="12.75" customHeight="1" x14ac:dyDescent="0.2"/>
    <row r="7543" ht="12.75" customHeight="1" x14ac:dyDescent="0.2"/>
    <row r="7544" ht="12.75" customHeight="1" x14ac:dyDescent="0.2"/>
    <row r="7545" ht="12.75" customHeight="1" x14ac:dyDescent="0.2"/>
    <row r="7546" ht="12.75" customHeight="1" x14ac:dyDescent="0.2"/>
    <row r="7547" ht="12.75" customHeight="1" x14ac:dyDescent="0.2"/>
    <row r="7548" ht="12.75" customHeight="1" x14ac:dyDescent="0.2"/>
    <row r="7549" ht="12.75" customHeight="1" x14ac:dyDescent="0.2"/>
    <row r="7550" ht="12.75" customHeight="1" x14ac:dyDescent="0.2"/>
    <row r="7551" ht="12.75" customHeight="1" x14ac:dyDescent="0.2"/>
    <row r="7552" ht="12.75" customHeight="1" x14ac:dyDescent="0.2"/>
    <row r="7553" ht="12.75" customHeight="1" x14ac:dyDescent="0.2"/>
    <row r="7554" ht="12.75" customHeight="1" x14ac:dyDescent="0.2"/>
    <row r="7555" ht="12.75" customHeight="1" x14ac:dyDescent="0.2"/>
    <row r="7556" ht="12.75" customHeight="1" x14ac:dyDescent="0.2"/>
    <row r="7557" ht="12.75" customHeight="1" x14ac:dyDescent="0.2"/>
    <row r="7558" ht="12.75" customHeight="1" x14ac:dyDescent="0.2"/>
    <row r="7559" ht="12.75" customHeight="1" x14ac:dyDescent="0.2"/>
    <row r="7560" ht="12.75" customHeight="1" x14ac:dyDescent="0.2"/>
    <row r="7561" ht="12.75" customHeight="1" x14ac:dyDescent="0.2"/>
    <row r="7562" ht="12.75" customHeight="1" x14ac:dyDescent="0.2"/>
    <row r="7563" ht="12.75" customHeight="1" x14ac:dyDescent="0.2"/>
    <row r="7564" ht="12.75" customHeight="1" x14ac:dyDescent="0.2"/>
    <row r="7565" ht="12.75" customHeight="1" x14ac:dyDescent="0.2"/>
    <row r="7566" ht="12.75" customHeight="1" x14ac:dyDescent="0.2"/>
    <row r="7567" ht="12.75" customHeight="1" x14ac:dyDescent="0.2"/>
    <row r="7568" ht="12.75" customHeight="1" x14ac:dyDescent="0.2"/>
    <row r="7569" ht="12.75" customHeight="1" x14ac:dyDescent="0.2"/>
    <row r="7570" ht="12.75" customHeight="1" x14ac:dyDescent="0.2"/>
    <row r="7571" ht="12.75" customHeight="1" x14ac:dyDescent="0.2"/>
    <row r="7572" ht="12.75" customHeight="1" x14ac:dyDescent="0.2"/>
    <row r="7573" ht="12.75" customHeight="1" x14ac:dyDescent="0.2"/>
    <row r="7574" ht="12.75" customHeight="1" x14ac:dyDescent="0.2"/>
    <row r="7575" ht="12.75" customHeight="1" x14ac:dyDescent="0.2"/>
    <row r="7576" ht="12.75" customHeight="1" x14ac:dyDescent="0.2"/>
    <row r="7577" ht="12.75" customHeight="1" x14ac:dyDescent="0.2"/>
    <row r="7578" ht="12.75" customHeight="1" x14ac:dyDescent="0.2"/>
    <row r="7579" ht="12.75" customHeight="1" x14ac:dyDescent="0.2"/>
    <row r="7580" ht="12.75" customHeight="1" x14ac:dyDescent="0.2"/>
    <row r="7581" ht="12.75" customHeight="1" x14ac:dyDescent="0.2"/>
    <row r="7582" ht="12.75" customHeight="1" x14ac:dyDescent="0.2"/>
    <row r="7583" ht="12.75" customHeight="1" x14ac:dyDescent="0.2"/>
    <row r="7584" ht="12.75" customHeight="1" x14ac:dyDescent="0.2"/>
    <row r="7585" ht="12.75" customHeight="1" x14ac:dyDescent="0.2"/>
    <row r="7586" ht="12.75" customHeight="1" x14ac:dyDescent="0.2"/>
    <row r="7587" ht="12.75" customHeight="1" x14ac:dyDescent="0.2"/>
    <row r="7588" ht="12.75" customHeight="1" x14ac:dyDescent="0.2"/>
    <row r="7589" ht="12.75" customHeight="1" x14ac:dyDescent="0.2"/>
    <row r="7590" ht="12.75" customHeight="1" x14ac:dyDescent="0.2"/>
    <row r="7591" ht="12.75" customHeight="1" x14ac:dyDescent="0.2"/>
    <row r="7592" ht="12.75" customHeight="1" x14ac:dyDescent="0.2"/>
    <row r="7593" ht="12.75" customHeight="1" x14ac:dyDescent="0.2"/>
    <row r="7594" ht="12.75" customHeight="1" x14ac:dyDescent="0.2"/>
    <row r="7595" ht="12.75" customHeight="1" x14ac:dyDescent="0.2"/>
    <row r="7596" ht="12.75" customHeight="1" x14ac:dyDescent="0.2"/>
    <row r="7597" ht="12.75" customHeight="1" x14ac:dyDescent="0.2"/>
    <row r="7598" ht="12.75" customHeight="1" x14ac:dyDescent="0.2"/>
    <row r="7599" ht="12.75" customHeight="1" x14ac:dyDescent="0.2"/>
    <row r="7600" ht="12.75" customHeight="1" x14ac:dyDescent="0.2"/>
    <row r="7601" ht="12.75" customHeight="1" x14ac:dyDescent="0.2"/>
    <row r="7602" ht="12.75" customHeight="1" x14ac:dyDescent="0.2"/>
    <row r="7603" ht="12.75" customHeight="1" x14ac:dyDescent="0.2"/>
    <row r="7604" ht="12.75" customHeight="1" x14ac:dyDescent="0.2"/>
    <row r="7605" ht="12.75" customHeight="1" x14ac:dyDescent="0.2"/>
    <row r="7606" ht="12.75" customHeight="1" x14ac:dyDescent="0.2"/>
    <row r="7607" ht="12.75" customHeight="1" x14ac:dyDescent="0.2"/>
    <row r="7608" ht="12.75" customHeight="1" x14ac:dyDescent="0.2"/>
    <row r="7609" ht="12.75" customHeight="1" x14ac:dyDescent="0.2"/>
    <row r="7610" ht="12.75" customHeight="1" x14ac:dyDescent="0.2"/>
    <row r="7611" ht="12.75" customHeight="1" x14ac:dyDescent="0.2"/>
    <row r="7612" ht="12.75" customHeight="1" x14ac:dyDescent="0.2"/>
    <row r="7613" ht="12.75" customHeight="1" x14ac:dyDescent="0.2"/>
    <row r="7614" ht="12.75" customHeight="1" x14ac:dyDescent="0.2"/>
    <row r="7615" ht="12.75" customHeight="1" x14ac:dyDescent="0.2"/>
    <row r="7616" ht="12.75" customHeight="1" x14ac:dyDescent="0.2"/>
    <row r="7617" ht="12.75" customHeight="1" x14ac:dyDescent="0.2"/>
    <row r="7618" ht="12.75" customHeight="1" x14ac:dyDescent="0.2"/>
    <row r="7619" ht="12.75" customHeight="1" x14ac:dyDescent="0.2"/>
    <row r="7620" ht="12.75" customHeight="1" x14ac:dyDescent="0.2"/>
    <row r="7621" ht="12.75" customHeight="1" x14ac:dyDescent="0.2"/>
    <row r="7622" ht="12.75" customHeight="1" x14ac:dyDescent="0.2"/>
    <row r="7623" ht="12.75" customHeight="1" x14ac:dyDescent="0.2"/>
    <row r="7624" ht="12.75" customHeight="1" x14ac:dyDescent="0.2"/>
    <row r="7625" ht="12.75" customHeight="1" x14ac:dyDescent="0.2"/>
    <row r="7626" ht="12.75" customHeight="1" x14ac:dyDescent="0.2"/>
    <row r="7627" ht="12.75" customHeight="1" x14ac:dyDescent="0.2"/>
    <row r="7628" ht="12.75" customHeight="1" x14ac:dyDescent="0.2"/>
    <row r="7629" ht="12.75" customHeight="1" x14ac:dyDescent="0.2"/>
    <row r="7630" ht="12.75" customHeight="1" x14ac:dyDescent="0.2"/>
    <row r="7631" ht="12.75" customHeight="1" x14ac:dyDescent="0.2"/>
    <row r="7632" ht="12.75" customHeight="1" x14ac:dyDescent="0.2"/>
    <row r="7633" ht="12.75" customHeight="1" x14ac:dyDescent="0.2"/>
    <row r="7634" ht="12.75" customHeight="1" x14ac:dyDescent="0.2"/>
    <row r="7635" ht="12.75" customHeight="1" x14ac:dyDescent="0.2"/>
    <row r="7636" ht="12.75" customHeight="1" x14ac:dyDescent="0.2"/>
    <row r="7637" ht="12.75" customHeight="1" x14ac:dyDescent="0.2"/>
    <row r="7638" ht="12.75" customHeight="1" x14ac:dyDescent="0.2"/>
    <row r="7639" ht="12.75" customHeight="1" x14ac:dyDescent="0.2"/>
    <row r="7640" ht="12.75" customHeight="1" x14ac:dyDescent="0.2"/>
    <row r="7641" ht="12.75" customHeight="1" x14ac:dyDescent="0.2"/>
    <row r="7642" ht="12.75" customHeight="1" x14ac:dyDescent="0.2"/>
    <row r="7643" ht="12.75" customHeight="1" x14ac:dyDescent="0.2"/>
    <row r="7644" ht="12.75" customHeight="1" x14ac:dyDescent="0.2"/>
    <row r="7645" ht="12.75" customHeight="1" x14ac:dyDescent="0.2"/>
    <row r="7646" ht="12.75" customHeight="1" x14ac:dyDescent="0.2"/>
    <row r="7647" ht="12.75" customHeight="1" x14ac:dyDescent="0.2"/>
    <row r="7648" ht="12.75" customHeight="1" x14ac:dyDescent="0.2"/>
    <row r="7649" ht="12.75" customHeight="1" x14ac:dyDescent="0.2"/>
    <row r="7650" ht="12.75" customHeight="1" x14ac:dyDescent="0.2"/>
    <row r="7651" ht="12.75" customHeight="1" x14ac:dyDescent="0.2"/>
    <row r="7652" ht="12.75" customHeight="1" x14ac:dyDescent="0.2"/>
    <row r="7653" ht="12.75" customHeight="1" x14ac:dyDescent="0.2"/>
    <row r="7654" ht="12.75" customHeight="1" x14ac:dyDescent="0.2"/>
    <row r="7655" ht="12.75" customHeight="1" x14ac:dyDescent="0.2"/>
    <row r="7656" ht="12.75" customHeight="1" x14ac:dyDescent="0.2"/>
    <row r="7657" ht="12.75" customHeight="1" x14ac:dyDescent="0.2"/>
    <row r="7658" ht="12.75" customHeight="1" x14ac:dyDescent="0.2"/>
    <row r="7659" ht="12.75" customHeight="1" x14ac:dyDescent="0.2"/>
    <row r="7660" ht="12.75" customHeight="1" x14ac:dyDescent="0.2"/>
    <row r="7661" ht="12.75" customHeight="1" x14ac:dyDescent="0.2"/>
    <row r="7662" ht="12.75" customHeight="1" x14ac:dyDescent="0.2"/>
    <row r="7663" ht="12.75" customHeight="1" x14ac:dyDescent="0.2"/>
    <row r="7664" ht="12.75" customHeight="1" x14ac:dyDescent="0.2"/>
    <row r="7665" ht="12.75" customHeight="1" x14ac:dyDescent="0.2"/>
    <row r="7666" ht="12.75" customHeight="1" x14ac:dyDescent="0.2"/>
    <row r="7667" ht="12.75" customHeight="1" x14ac:dyDescent="0.2"/>
    <row r="7668" ht="12.75" customHeight="1" x14ac:dyDescent="0.2"/>
    <row r="7669" ht="12.75" customHeight="1" x14ac:dyDescent="0.2"/>
    <row r="7670" ht="12.75" customHeight="1" x14ac:dyDescent="0.2"/>
    <row r="7671" ht="12.75" customHeight="1" x14ac:dyDescent="0.2"/>
    <row r="7672" ht="12.75" customHeight="1" x14ac:dyDescent="0.2"/>
    <row r="7673" ht="12.75" customHeight="1" x14ac:dyDescent="0.2"/>
    <row r="7674" ht="12.75" customHeight="1" x14ac:dyDescent="0.2"/>
    <row r="7675" ht="12.75" customHeight="1" x14ac:dyDescent="0.2"/>
    <row r="7676" ht="12.75" customHeight="1" x14ac:dyDescent="0.2"/>
    <row r="7677" ht="12.75" customHeight="1" x14ac:dyDescent="0.2"/>
    <row r="7678" ht="12.75" customHeight="1" x14ac:dyDescent="0.2"/>
    <row r="7679" ht="12.75" customHeight="1" x14ac:dyDescent="0.2"/>
    <row r="7680" ht="12.75" customHeight="1" x14ac:dyDescent="0.2"/>
    <row r="7681" ht="12.75" customHeight="1" x14ac:dyDescent="0.2"/>
    <row r="7682" ht="12.75" customHeight="1" x14ac:dyDescent="0.2"/>
    <row r="7683" ht="12.75" customHeight="1" x14ac:dyDescent="0.2"/>
    <row r="7684" ht="12.75" customHeight="1" x14ac:dyDescent="0.2"/>
    <row r="7685" ht="12.75" customHeight="1" x14ac:dyDescent="0.2"/>
    <row r="7686" ht="12.75" customHeight="1" x14ac:dyDescent="0.2"/>
    <row r="7687" ht="12.75" customHeight="1" x14ac:dyDescent="0.2"/>
    <row r="7688" ht="12.75" customHeight="1" x14ac:dyDescent="0.2"/>
    <row r="7689" ht="12.75" customHeight="1" x14ac:dyDescent="0.2"/>
    <row r="7690" ht="12.75" customHeight="1" x14ac:dyDescent="0.2"/>
    <row r="7691" ht="12.75" customHeight="1" x14ac:dyDescent="0.2"/>
    <row r="7692" ht="12.75" customHeight="1" x14ac:dyDescent="0.2"/>
    <row r="7693" ht="12.75" customHeight="1" x14ac:dyDescent="0.2"/>
    <row r="7694" ht="12.75" customHeight="1" x14ac:dyDescent="0.2"/>
    <row r="7695" ht="12.75" customHeight="1" x14ac:dyDescent="0.2"/>
    <row r="7696" ht="12.75" customHeight="1" x14ac:dyDescent="0.2"/>
    <row r="7697" ht="12.75" customHeight="1" x14ac:dyDescent="0.2"/>
    <row r="7698" ht="12.75" customHeight="1" x14ac:dyDescent="0.2"/>
    <row r="7699" ht="12.75" customHeight="1" x14ac:dyDescent="0.2"/>
    <row r="7700" ht="12.75" customHeight="1" x14ac:dyDescent="0.2"/>
    <row r="7701" ht="12.75" customHeight="1" x14ac:dyDescent="0.2"/>
    <row r="7702" ht="12.75" customHeight="1" x14ac:dyDescent="0.2"/>
    <row r="7703" ht="12.75" customHeight="1" x14ac:dyDescent="0.2"/>
    <row r="7704" ht="12.75" customHeight="1" x14ac:dyDescent="0.2"/>
    <row r="7705" ht="12.75" customHeight="1" x14ac:dyDescent="0.2"/>
    <row r="7706" ht="12.75" customHeight="1" x14ac:dyDescent="0.2"/>
    <row r="7707" ht="12.75" customHeight="1" x14ac:dyDescent="0.2"/>
    <row r="7708" ht="12.75" customHeight="1" x14ac:dyDescent="0.2"/>
    <row r="7709" ht="12.75" customHeight="1" x14ac:dyDescent="0.2"/>
    <row r="7710" ht="12.75" customHeight="1" x14ac:dyDescent="0.2"/>
    <row r="7711" ht="12.75" customHeight="1" x14ac:dyDescent="0.2"/>
    <row r="7712" ht="12.75" customHeight="1" x14ac:dyDescent="0.2"/>
    <row r="7713" ht="12.75" customHeight="1" x14ac:dyDescent="0.2"/>
    <row r="7714" ht="12.75" customHeight="1" x14ac:dyDescent="0.2"/>
    <row r="7715" ht="12.75" customHeight="1" x14ac:dyDescent="0.2"/>
    <row r="7716" ht="12.75" customHeight="1" x14ac:dyDescent="0.2"/>
    <row r="7717" ht="12.75" customHeight="1" x14ac:dyDescent="0.2"/>
    <row r="7718" ht="12.75" customHeight="1" x14ac:dyDescent="0.2"/>
    <row r="7719" ht="12.75" customHeight="1" x14ac:dyDescent="0.2"/>
    <row r="7720" ht="12.75" customHeight="1" x14ac:dyDescent="0.2"/>
    <row r="7721" ht="12.75" customHeight="1" x14ac:dyDescent="0.2"/>
    <row r="7722" ht="12.75" customHeight="1" x14ac:dyDescent="0.2"/>
    <row r="7723" ht="12.75" customHeight="1" x14ac:dyDescent="0.2"/>
    <row r="7724" ht="12.75" customHeight="1" x14ac:dyDescent="0.2"/>
    <row r="7725" ht="12.75" customHeight="1" x14ac:dyDescent="0.2"/>
    <row r="7726" ht="12.75" customHeight="1" x14ac:dyDescent="0.2"/>
    <row r="7727" ht="12.75" customHeight="1" x14ac:dyDescent="0.2"/>
    <row r="7728" ht="12.75" customHeight="1" x14ac:dyDescent="0.2"/>
    <row r="7729" ht="12.75" customHeight="1" x14ac:dyDescent="0.2"/>
    <row r="7730" ht="12.75" customHeight="1" x14ac:dyDescent="0.2"/>
    <row r="7731" ht="12.75" customHeight="1" x14ac:dyDescent="0.2"/>
    <row r="7732" ht="12.75" customHeight="1" x14ac:dyDescent="0.2"/>
    <row r="7733" ht="12.75" customHeight="1" x14ac:dyDescent="0.2"/>
    <row r="7734" ht="12.75" customHeight="1" x14ac:dyDescent="0.2"/>
    <row r="7735" ht="12.75" customHeight="1" x14ac:dyDescent="0.2"/>
    <row r="7736" ht="12.75" customHeight="1" x14ac:dyDescent="0.2"/>
    <row r="7737" ht="12.75" customHeight="1" x14ac:dyDescent="0.2"/>
    <row r="7738" ht="12.75" customHeight="1" x14ac:dyDescent="0.2"/>
    <row r="7739" ht="12.75" customHeight="1" x14ac:dyDescent="0.2"/>
    <row r="7740" ht="12.75" customHeight="1" x14ac:dyDescent="0.2"/>
    <row r="7741" ht="12.75" customHeight="1" x14ac:dyDescent="0.2"/>
    <row r="7742" ht="12.75" customHeight="1" x14ac:dyDescent="0.2"/>
    <row r="7743" ht="12.75" customHeight="1" x14ac:dyDescent="0.2"/>
    <row r="7744" ht="12.75" customHeight="1" x14ac:dyDescent="0.2"/>
    <row r="7745" ht="12.75" customHeight="1" x14ac:dyDescent="0.2"/>
    <row r="7746" ht="12.75" customHeight="1" x14ac:dyDescent="0.2"/>
    <row r="7747" ht="12.75" customHeight="1" x14ac:dyDescent="0.2"/>
    <row r="7748" ht="12.75" customHeight="1" x14ac:dyDescent="0.2"/>
    <row r="7749" ht="12.75" customHeight="1" x14ac:dyDescent="0.2"/>
    <row r="7750" ht="12.75" customHeight="1" x14ac:dyDescent="0.2"/>
    <row r="7751" ht="12.75" customHeight="1" x14ac:dyDescent="0.2"/>
    <row r="7752" ht="12.75" customHeight="1" x14ac:dyDescent="0.2"/>
    <row r="7753" ht="12.75" customHeight="1" x14ac:dyDescent="0.2"/>
    <row r="7754" ht="12.75" customHeight="1" x14ac:dyDescent="0.2"/>
    <row r="7755" ht="12.75" customHeight="1" x14ac:dyDescent="0.2"/>
    <row r="7756" ht="12.75" customHeight="1" x14ac:dyDescent="0.2"/>
    <row r="7757" ht="12.75" customHeight="1" x14ac:dyDescent="0.2"/>
    <row r="7758" ht="12.75" customHeight="1" x14ac:dyDescent="0.2"/>
    <row r="7759" ht="12.75" customHeight="1" x14ac:dyDescent="0.2"/>
    <row r="7760" ht="12.75" customHeight="1" x14ac:dyDescent="0.2"/>
    <row r="7761" ht="12.75" customHeight="1" x14ac:dyDescent="0.2"/>
    <row r="7762" ht="12.75" customHeight="1" x14ac:dyDescent="0.2"/>
    <row r="7763" ht="12.75" customHeight="1" x14ac:dyDescent="0.2"/>
    <row r="7764" ht="12.75" customHeight="1" x14ac:dyDescent="0.2"/>
    <row r="7765" ht="12.75" customHeight="1" x14ac:dyDescent="0.2"/>
    <row r="7766" ht="12.75" customHeight="1" x14ac:dyDescent="0.2"/>
    <row r="7767" ht="12.75" customHeight="1" x14ac:dyDescent="0.2"/>
    <row r="7768" ht="12.75" customHeight="1" x14ac:dyDescent="0.2"/>
    <row r="7769" ht="12.75" customHeight="1" x14ac:dyDescent="0.2"/>
    <row r="7770" ht="12.75" customHeight="1" x14ac:dyDescent="0.2"/>
    <row r="7771" ht="12.75" customHeight="1" x14ac:dyDescent="0.2"/>
    <row r="7772" ht="12.75" customHeight="1" x14ac:dyDescent="0.2"/>
    <row r="7773" ht="12.75" customHeight="1" x14ac:dyDescent="0.2"/>
    <row r="7774" ht="12.75" customHeight="1" x14ac:dyDescent="0.2"/>
    <row r="7775" ht="12.75" customHeight="1" x14ac:dyDescent="0.2"/>
    <row r="7776" ht="12.75" customHeight="1" x14ac:dyDescent="0.2"/>
    <row r="7777" ht="12.75" customHeight="1" x14ac:dyDescent="0.2"/>
    <row r="7778" ht="12.75" customHeight="1" x14ac:dyDescent="0.2"/>
    <row r="7779" ht="12.75" customHeight="1" x14ac:dyDescent="0.2"/>
    <row r="7780" ht="12.75" customHeight="1" x14ac:dyDescent="0.2"/>
    <row r="7781" ht="12.75" customHeight="1" x14ac:dyDescent="0.2"/>
    <row r="7782" ht="12.75" customHeight="1" x14ac:dyDescent="0.2"/>
    <row r="7783" ht="12.75" customHeight="1" x14ac:dyDescent="0.2"/>
    <row r="7784" ht="12.75" customHeight="1" x14ac:dyDescent="0.2"/>
    <row r="7785" ht="12.75" customHeight="1" x14ac:dyDescent="0.2"/>
    <row r="7786" ht="12.75" customHeight="1" x14ac:dyDescent="0.2"/>
    <row r="7787" ht="12.75" customHeight="1" x14ac:dyDescent="0.2"/>
    <row r="7788" ht="12.75" customHeight="1" x14ac:dyDescent="0.2"/>
    <row r="7789" ht="12.75" customHeight="1" x14ac:dyDescent="0.2"/>
    <row r="7790" ht="12.75" customHeight="1" x14ac:dyDescent="0.2"/>
    <row r="7791" ht="12.75" customHeight="1" x14ac:dyDescent="0.2"/>
    <row r="7792" ht="12.75" customHeight="1" x14ac:dyDescent="0.2"/>
    <row r="7793" ht="12.75" customHeight="1" x14ac:dyDescent="0.2"/>
    <row r="7794" ht="12.75" customHeight="1" x14ac:dyDescent="0.2"/>
    <row r="7795" ht="12.75" customHeight="1" x14ac:dyDescent="0.2"/>
    <row r="7796" ht="12.75" customHeight="1" x14ac:dyDescent="0.2"/>
    <row r="7797" ht="12.75" customHeight="1" x14ac:dyDescent="0.2"/>
    <row r="7798" ht="12.75" customHeight="1" x14ac:dyDescent="0.2"/>
    <row r="7799" ht="12.75" customHeight="1" x14ac:dyDescent="0.2"/>
    <row r="7800" ht="12.75" customHeight="1" x14ac:dyDescent="0.2"/>
    <row r="7801" ht="12.75" customHeight="1" x14ac:dyDescent="0.2"/>
    <row r="7802" ht="12.75" customHeight="1" x14ac:dyDescent="0.2"/>
    <row r="7803" ht="12.75" customHeight="1" x14ac:dyDescent="0.2"/>
    <row r="7804" ht="12.75" customHeight="1" x14ac:dyDescent="0.2"/>
    <row r="7805" ht="12.75" customHeight="1" x14ac:dyDescent="0.2"/>
    <row r="7806" ht="12.75" customHeight="1" x14ac:dyDescent="0.2"/>
    <row r="7807" ht="12.75" customHeight="1" x14ac:dyDescent="0.2"/>
    <row r="7808" ht="12.75" customHeight="1" x14ac:dyDescent="0.2"/>
    <row r="7809" ht="12.75" customHeight="1" x14ac:dyDescent="0.2"/>
    <row r="7810" ht="12.75" customHeight="1" x14ac:dyDescent="0.2"/>
    <row r="7811" ht="12.75" customHeight="1" x14ac:dyDescent="0.2"/>
    <row r="7812" ht="12.75" customHeight="1" x14ac:dyDescent="0.2"/>
    <row r="7813" ht="12.75" customHeight="1" x14ac:dyDescent="0.2"/>
    <row r="7814" ht="12.75" customHeight="1" x14ac:dyDescent="0.2"/>
    <row r="7815" ht="12.75" customHeight="1" x14ac:dyDescent="0.2"/>
    <row r="7816" ht="12.75" customHeight="1" x14ac:dyDescent="0.2"/>
    <row r="7817" ht="12.75" customHeight="1" x14ac:dyDescent="0.2"/>
    <row r="7818" ht="12.75" customHeight="1" x14ac:dyDescent="0.2"/>
    <row r="7819" ht="12.75" customHeight="1" x14ac:dyDescent="0.2"/>
    <row r="7820" ht="12.75" customHeight="1" x14ac:dyDescent="0.2"/>
    <row r="7821" ht="12.75" customHeight="1" x14ac:dyDescent="0.2"/>
    <row r="7822" ht="12.75" customHeight="1" x14ac:dyDescent="0.2"/>
    <row r="7823" ht="12.75" customHeight="1" x14ac:dyDescent="0.2"/>
    <row r="7824" ht="12.75" customHeight="1" x14ac:dyDescent="0.2"/>
    <row r="7825" ht="12.75" customHeight="1" x14ac:dyDescent="0.2"/>
    <row r="7826" ht="12.75" customHeight="1" x14ac:dyDescent="0.2"/>
    <row r="7827" ht="12.75" customHeight="1" x14ac:dyDescent="0.2"/>
    <row r="7828" ht="12.75" customHeight="1" x14ac:dyDescent="0.2"/>
    <row r="7829" ht="12.75" customHeight="1" x14ac:dyDescent="0.2"/>
    <row r="7830" ht="12.75" customHeight="1" x14ac:dyDescent="0.2"/>
    <row r="7831" ht="12.75" customHeight="1" x14ac:dyDescent="0.2"/>
    <row r="7832" ht="12.75" customHeight="1" x14ac:dyDescent="0.2"/>
    <row r="7833" ht="12.75" customHeight="1" x14ac:dyDescent="0.2"/>
    <row r="7834" ht="12.75" customHeight="1" x14ac:dyDescent="0.2"/>
    <row r="7835" ht="12.75" customHeight="1" x14ac:dyDescent="0.2"/>
    <row r="7836" ht="12.75" customHeight="1" x14ac:dyDescent="0.2"/>
    <row r="7837" ht="12.75" customHeight="1" x14ac:dyDescent="0.2"/>
    <row r="7838" ht="12.75" customHeight="1" x14ac:dyDescent="0.2"/>
    <row r="7839" ht="12.75" customHeight="1" x14ac:dyDescent="0.2"/>
    <row r="7840" ht="12.75" customHeight="1" x14ac:dyDescent="0.2"/>
    <row r="7841" ht="12.75" customHeight="1" x14ac:dyDescent="0.2"/>
    <row r="7842" ht="12.75" customHeight="1" x14ac:dyDescent="0.2"/>
    <row r="7843" ht="12.75" customHeight="1" x14ac:dyDescent="0.2"/>
    <row r="7844" ht="12.75" customHeight="1" x14ac:dyDescent="0.2"/>
    <row r="7845" ht="12.75" customHeight="1" x14ac:dyDescent="0.2"/>
    <row r="7846" ht="12.75" customHeight="1" x14ac:dyDescent="0.2"/>
    <row r="7847" ht="12.75" customHeight="1" x14ac:dyDescent="0.2"/>
    <row r="7848" ht="12.75" customHeight="1" x14ac:dyDescent="0.2"/>
    <row r="7849" ht="12.75" customHeight="1" x14ac:dyDescent="0.2"/>
    <row r="7850" ht="12.75" customHeight="1" x14ac:dyDescent="0.2"/>
    <row r="7851" ht="12.75" customHeight="1" x14ac:dyDescent="0.2"/>
    <row r="7852" ht="12.75" customHeight="1" x14ac:dyDescent="0.2"/>
    <row r="7853" ht="12.75" customHeight="1" x14ac:dyDescent="0.2"/>
    <row r="7854" ht="12.75" customHeight="1" x14ac:dyDescent="0.2"/>
    <row r="7855" ht="12.75" customHeight="1" x14ac:dyDescent="0.2"/>
    <row r="7856" ht="12.75" customHeight="1" x14ac:dyDescent="0.2"/>
    <row r="7857" ht="12.75" customHeight="1" x14ac:dyDescent="0.2"/>
    <row r="7858" ht="12.75" customHeight="1" x14ac:dyDescent="0.2"/>
    <row r="7859" ht="12.75" customHeight="1" x14ac:dyDescent="0.2"/>
    <row r="7860" ht="12.75" customHeight="1" x14ac:dyDescent="0.2"/>
    <row r="7861" ht="12.75" customHeight="1" x14ac:dyDescent="0.2"/>
    <row r="7862" ht="12.75" customHeight="1" x14ac:dyDescent="0.2"/>
    <row r="7863" ht="12.75" customHeight="1" x14ac:dyDescent="0.2"/>
    <row r="7864" ht="12.75" customHeight="1" x14ac:dyDescent="0.2"/>
    <row r="7865" ht="12.75" customHeight="1" x14ac:dyDescent="0.2"/>
    <row r="7866" ht="12.75" customHeight="1" x14ac:dyDescent="0.2"/>
    <row r="7867" ht="12.75" customHeight="1" x14ac:dyDescent="0.2"/>
    <row r="7868" ht="12.75" customHeight="1" x14ac:dyDescent="0.2"/>
    <row r="7869" ht="12.75" customHeight="1" x14ac:dyDescent="0.2"/>
    <row r="7870" ht="12.75" customHeight="1" x14ac:dyDescent="0.2"/>
    <row r="7871" ht="12.75" customHeight="1" x14ac:dyDescent="0.2"/>
    <row r="7872" ht="12.75" customHeight="1" x14ac:dyDescent="0.2"/>
    <row r="7873" ht="12.75" customHeight="1" x14ac:dyDescent="0.2"/>
    <row r="7874" ht="12.75" customHeight="1" x14ac:dyDescent="0.2"/>
    <row r="7875" ht="12.75" customHeight="1" x14ac:dyDescent="0.2"/>
    <row r="7876" ht="12.75" customHeight="1" x14ac:dyDescent="0.2"/>
    <row r="7877" ht="12.75" customHeight="1" x14ac:dyDescent="0.2"/>
    <row r="7878" ht="12.75" customHeight="1" x14ac:dyDescent="0.2"/>
    <row r="7879" ht="12.75" customHeight="1" x14ac:dyDescent="0.2"/>
    <row r="7880" ht="12.75" customHeight="1" x14ac:dyDescent="0.2"/>
    <row r="7881" ht="12.75" customHeight="1" x14ac:dyDescent="0.2"/>
    <row r="7882" ht="12.75" customHeight="1" x14ac:dyDescent="0.2"/>
    <row r="7883" ht="12.75" customHeight="1" x14ac:dyDescent="0.2"/>
    <row r="7884" ht="12.75" customHeight="1" x14ac:dyDescent="0.2"/>
    <row r="7885" ht="12.75" customHeight="1" x14ac:dyDescent="0.2"/>
    <row r="7886" ht="12.75" customHeight="1" x14ac:dyDescent="0.2"/>
    <row r="7887" ht="12.75" customHeight="1" x14ac:dyDescent="0.2"/>
    <row r="7888" ht="12.75" customHeight="1" x14ac:dyDescent="0.2"/>
    <row r="7889" ht="12.75" customHeight="1" x14ac:dyDescent="0.2"/>
    <row r="7890" ht="12.75" customHeight="1" x14ac:dyDescent="0.2"/>
    <row r="7891" ht="12.75" customHeight="1" x14ac:dyDescent="0.2"/>
    <row r="7892" ht="12.75" customHeight="1" x14ac:dyDescent="0.2"/>
    <row r="7893" ht="12.75" customHeight="1" x14ac:dyDescent="0.2"/>
    <row r="7894" ht="12.75" customHeight="1" x14ac:dyDescent="0.2"/>
    <row r="7895" ht="12.75" customHeight="1" x14ac:dyDescent="0.2"/>
    <row r="7896" ht="12.75" customHeight="1" x14ac:dyDescent="0.2"/>
    <row r="7897" ht="12.75" customHeight="1" x14ac:dyDescent="0.2"/>
    <row r="7898" ht="12.75" customHeight="1" x14ac:dyDescent="0.2"/>
    <row r="7899" ht="12.75" customHeight="1" x14ac:dyDescent="0.2"/>
    <row r="7900" ht="12.75" customHeight="1" x14ac:dyDescent="0.2"/>
    <row r="7901" ht="12.75" customHeight="1" x14ac:dyDescent="0.2"/>
    <row r="7902" ht="12.75" customHeight="1" x14ac:dyDescent="0.2"/>
    <row r="7903" ht="12.75" customHeight="1" x14ac:dyDescent="0.2"/>
    <row r="7904" ht="12.75" customHeight="1" x14ac:dyDescent="0.2"/>
    <row r="7905" ht="12.75" customHeight="1" x14ac:dyDescent="0.2"/>
    <row r="7906" ht="12.75" customHeight="1" x14ac:dyDescent="0.2"/>
    <row r="7907" ht="12.75" customHeight="1" x14ac:dyDescent="0.2"/>
    <row r="7908" ht="12.75" customHeight="1" x14ac:dyDescent="0.2"/>
    <row r="7909" ht="12.75" customHeight="1" x14ac:dyDescent="0.2"/>
    <row r="7910" ht="12.75" customHeight="1" x14ac:dyDescent="0.2"/>
    <row r="7911" ht="12.75" customHeight="1" x14ac:dyDescent="0.2"/>
    <row r="7912" ht="12.75" customHeight="1" x14ac:dyDescent="0.2"/>
    <row r="7913" ht="12.75" customHeight="1" x14ac:dyDescent="0.2"/>
    <row r="7914" ht="12.75" customHeight="1" x14ac:dyDescent="0.2"/>
    <row r="7915" ht="12.75" customHeight="1" x14ac:dyDescent="0.2"/>
    <row r="7916" ht="12.75" customHeight="1" x14ac:dyDescent="0.2"/>
    <row r="7917" ht="12.75" customHeight="1" x14ac:dyDescent="0.2"/>
    <row r="7918" ht="12.75" customHeight="1" x14ac:dyDescent="0.2"/>
    <row r="7919" ht="12.75" customHeight="1" x14ac:dyDescent="0.2"/>
    <row r="7920" ht="12.75" customHeight="1" x14ac:dyDescent="0.2"/>
    <row r="7921" ht="12.75" customHeight="1" x14ac:dyDescent="0.2"/>
    <row r="7922" ht="12.75" customHeight="1" x14ac:dyDescent="0.2"/>
    <row r="7923" ht="12.75" customHeight="1" x14ac:dyDescent="0.2"/>
    <row r="7924" ht="12.75" customHeight="1" x14ac:dyDescent="0.2"/>
    <row r="7925" ht="12.75" customHeight="1" x14ac:dyDescent="0.2"/>
    <row r="7926" ht="12.75" customHeight="1" x14ac:dyDescent="0.2"/>
    <row r="7927" ht="12.75" customHeight="1" x14ac:dyDescent="0.2"/>
    <row r="7928" ht="12.75" customHeight="1" x14ac:dyDescent="0.2"/>
    <row r="7929" ht="12.75" customHeight="1" x14ac:dyDescent="0.2"/>
    <row r="7930" ht="12.75" customHeight="1" x14ac:dyDescent="0.2"/>
    <row r="7931" ht="12.75" customHeight="1" x14ac:dyDescent="0.2"/>
    <row r="7932" ht="12.75" customHeight="1" x14ac:dyDescent="0.2"/>
    <row r="7933" ht="12.75" customHeight="1" x14ac:dyDescent="0.2"/>
    <row r="7934" ht="12.75" customHeight="1" x14ac:dyDescent="0.2"/>
    <row r="7935" ht="12.75" customHeight="1" x14ac:dyDescent="0.2"/>
    <row r="7936" ht="12.75" customHeight="1" x14ac:dyDescent="0.2"/>
    <row r="7937" ht="12.75" customHeight="1" x14ac:dyDescent="0.2"/>
    <row r="7938" ht="12.75" customHeight="1" x14ac:dyDescent="0.2"/>
    <row r="7939" ht="12.75" customHeight="1" x14ac:dyDescent="0.2"/>
    <row r="7940" ht="12.75" customHeight="1" x14ac:dyDescent="0.2"/>
    <row r="7941" ht="12.75" customHeight="1" x14ac:dyDescent="0.2"/>
    <row r="7942" ht="12.75" customHeight="1" x14ac:dyDescent="0.2"/>
    <row r="7943" ht="12.75" customHeight="1" x14ac:dyDescent="0.2"/>
    <row r="7944" ht="12.75" customHeight="1" x14ac:dyDescent="0.2"/>
    <row r="7945" ht="12.75" customHeight="1" x14ac:dyDescent="0.2"/>
    <row r="7946" ht="12.75" customHeight="1" x14ac:dyDescent="0.2"/>
    <row r="7947" ht="12.75" customHeight="1" x14ac:dyDescent="0.2"/>
    <row r="7948" ht="12.75" customHeight="1" x14ac:dyDescent="0.2"/>
    <row r="7949" ht="12.75" customHeight="1" x14ac:dyDescent="0.2"/>
    <row r="7950" ht="12.75" customHeight="1" x14ac:dyDescent="0.2"/>
    <row r="7951" ht="12.75" customHeight="1" x14ac:dyDescent="0.2"/>
    <row r="7952" ht="12.75" customHeight="1" x14ac:dyDescent="0.2"/>
    <row r="7953" ht="12.75" customHeight="1" x14ac:dyDescent="0.2"/>
    <row r="7954" ht="12.75" customHeight="1" x14ac:dyDescent="0.2"/>
    <row r="7955" ht="12.75" customHeight="1" x14ac:dyDescent="0.2"/>
    <row r="7956" ht="12.75" customHeight="1" x14ac:dyDescent="0.2"/>
    <row r="7957" ht="12.75" customHeight="1" x14ac:dyDescent="0.2"/>
    <row r="7958" ht="12.75" customHeight="1" x14ac:dyDescent="0.2"/>
    <row r="7959" ht="12.75" customHeight="1" x14ac:dyDescent="0.2"/>
    <row r="7960" ht="12.75" customHeight="1" x14ac:dyDescent="0.2"/>
    <row r="7961" ht="12.75" customHeight="1" x14ac:dyDescent="0.2"/>
    <row r="7962" ht="12.75" customHeight="1" x14ac:dyDescent="0.2"/>
    <row r="7963" ht="12.75" customHeight="1" x14ac:dyDescent="0.2"/>
    <row r="7964" ht="12.75" customHeight="1" x14ac:dyDescent="0.2"/>
    <row r="7965" ht="12.75" customHeight="1" x14ac:dyDescent="0.2"/>
    <row r="7966" ht="12.75" customHeight="1" x14ac:dyDescent="0.2"/>
    <row r="7967" ht="12.75" customHeight="1" x14ac:dyDescent="0.2"/>
    <row r="7968" ht="12.75" customHeight="1" x14ac:dyDescent="0.2"/>
    <row r="7969" ht="12.75" customHeight="1" x14ac:dyDescent="0.2"/>
    <row r="7970" ht="12.75" customHeight="1" x14ac:dyDescent="0.2"/>
    <row r="7971" ht="12.75" customHeight="1" x14ac:dyDescent="0.2"/>
    <row r="7972" ht="12.75" customHeight="1" x14ac:dyDescent="0.2"/>
    <row r="7973" ht="12.75" customHeight="1" x14ac:dyDescent="0.2"/>
    <row r="7974" ht="12.75" customHeight="1" x14ac:dyDescent="0.2"/>
    <row r="7975" ht="12.75" customHeight="1" x14ac:dyDescent="0.2"/>
    <row r="7976" ht="12.75" customHeight="1" x14ac:dyDescent="0.2"/>
    <row r="7977" ht="12.75" customHeight="1" x14ac:dyDescent="0.2"/>
    <row r="7978" ht="12.75" customHeight="1" x14ac:dyDescent="0.2"/>
    <row r="7979" ht="12.75" customHeight="1" x14ac:dyDescent="0.2"/>
    <row r="7980" ht="12.75" customHeight="1" x14ac:dyDescent="0.2"/>
    <row r="7981" ht="12.75" customHeight="1" x14ac:dyDescent="0.2"/>
    <row r="7982" ht="12.75" customHeight="1" x14ac:dyDescent="0.2"/>
    <row r="7983" ht="12.75" customHeight="1" x14ac:dyDescent="0.2"/>
    <row r="7984" ht="12.75" customHeight="1" x14ac:dyDescent="0.2"/>
    <row r="7985" ht="12.75" customHeight="1" x14ac:dyDescent="0.2"/>
    <row r="7986" ht="12.75" customHeight="1" x14ac:dyDescent="0.2"/>
    <row r="7987" ht="12.75" customHeight="1" x14ac:dyDescent="0.2"/>
    <row r="7988" ht="12.75" customHeight="1" x14ac:dyDescent="0.2"/>
    <row r="7989" ht="12.75" customHeight="1" x14ac:dyDescent="0.2"/>
    <row r="7990" ht="12.75" customHeight="1" x14ac:dyDescent="0.2"/>
    <row r="7991" ht="12.75" customHeight="1" x14ac:dyDescent="0.2"/>
    <row r="7992" ht="12.75" customHeight="1" x14ac:dyDescent="0.2"/>
    <row r="7993" ht="12.75" customHeight="1" x14ac:dyDescent="0.2"/>
    <row r="7994" ht="12.75" customHeight="1" x14ac:dyDescent="0.2"/>
    <row r="7995" ht="12.75" customHeight="1" x14ac:dyDescent="0.2"/>
    <row r="7996" ht="12.75" customHeight="1" x14ac:dyDescent="0.2"/>
    <row r="7997" ht="12.75" customHeight="1" x14ac:dyDescent="0.2"/>
    <row r="7998" ht="12.75" customHeight="1" x14ac:dyDescent="0.2"/>
    <row r="7999" ht="12.75" customHeight="1" x14ac:dyDescent="0.2"/>
    <row r="8000" ht="12.75" customHeight="1" x14ac:dyDescent="0.2"/>
    <row r="8001" ht="12.75" customHeight="1" x14ac:dyDescent="0.2"/>
    <row r="8002" ht="12.75" customHeight="1" x14ac:dyDescent="0.2"/>
    <row r="8003" ht="12.75" customHeight="1" x14ac:dyDescent="0.2"/>
    <row r="8004" ht="12.75" customHeight="1" x14ac:dyDescent="0.2"/>
    <row r="8005" ht="12.75" customHeight="1" x14ac:dyDescent="0.2"/>
    <row r="8006" ht="12.75" customHeight="1" x14ac:dyDescent="0.2"/>
    <row r="8007" ht="12.75" customHeight="1" x14ac:dyDescent="0.2"/>
    <row r="8008" ht="12.75" customHeight="1" x14ac:dyDescent="0.2"/>
    <row r="8009" ht="12.75" customHeight="1" x14ac:dyDescent="0.2"/>
    <row r="8010" ht="12.75" customHeight="1" x14ac:dyDescent="0.2"/>
    <row r="8011" ht="12.75" customHeight="1" x14ac:dyDescent="0.2"/>
    <row r="8012" ht="12.75" customHeight="1" x14ac:dyDescent="0.2"/>
    <row r="8013" ht="12.75" customHeight="1" x14ac:dyDescent="0.2"/>
    <row r="8014" ht="12.75" customHeight="1" x14ac:dyDescent="0.2"/>
    <row r="8015" ht="12.75" customHeight="1" x14ac:dyDescent="0.2"/>
    <row r="8016" ht="12.75" customHeight="1" x14ac:dyDescent="0.2"/>
    <row r="8017" ht="12.75" customHeight="1" x14ac:dyDescent="0.2"/>
    <row r="8018" ht="12.75" customHeight="1" x14ac:dyDescent="0.2"/>
    <row r="8019" ht="12.75" customHeight="1" x14ac:dyDescent="0.2"/>
    <row r="8020" ht="12.75" customHeight="1" x14ac:dyDescent="0.2"/>
    <row r="8021" ht="12.75" customHeight="1" x14ac:dyDescent="0.2"/>
    <row r="8022" ht="12.75" customHeight="1" x14ac:dyDescent="0.2"/>
    <row r="8023" ht="12.75" customHeight="1" x14ac:dyDescent="0.2"/>
    <row r="8024" ht="12.75" customHeight="1" x14ac:dyDescent="0.2"/>
    <row r="8025" ht="12.75" customHeight="1" x14ac:dyDescent="0.2"/>
    <row r="8026" ht="12.75" customHeight="1" x14ac:dyDescent="0.2"/>
    <row r="8027" ht="12.75" customHeight="1" x14ac:dyDescent="0.2"/>
    <row r="8028" ht="12.75" customHeight="1" x14ac:dyDescent="0.2"/>
    <row r="8029" ht="12.75" customHeight="1" x14ac:dyDescent="0.2"/>
    <row r="8030" ht="12.75" customHeight="1" x14ac:dyDescent="0.2"/>
    <row r="8031" ht="12.75" customHeight="1" x14ac:dyDescent="0.2"/>
    <row r="8032" ht="12.75" customHeight="1" x14ac:dyDescent="0.2"/>
    <row r="8033" ht="12.75" customHeight="1" x14ac:dyDescent="0.2"/>
    <row r="8034" ht="12.75" customHeight="1" x14ac:dyDescent="0.2"/>
    <row r="8035" ht="12.75" customHeight="1" x14ac:dyDescent="0.2"/>
    <row r="8036" ht="12.75" customHeight="1" x14ac:dyDescent="0.2"/>
    <row r="8037" ht="12.75" customHeight="1" x14ac:dyDescent="0.2"/>
    <row r="8038" ht="12.75" customHeight="1" x14ac:dyDescent="0.2"/>
    <row r="8039" ht="12.75" customHeight="1" x14ac:dyDescent="0.2"/>
    <row r="8040" ht="12.75" customHeight="1" x14ac:dyDescent="0.2"/>
    <row r="8041" ht="12.75" customHeight="1" x14ac:dyDescent="0.2"/>
    <row r="8042" ht="12.75" customHeight="1" x14ac:dyDescent="0.2"/>
    <row r="8043" ht="12.75" customHeight="1" x14ac:dyDescent="0.2"/>
    <row r="8044" ht="12.75" customHeight="1" x14ac:dyDescent="0.2"/>
    <row r="8045" ht="12.75" customHeight="1" x14ac:dyDescent="0.2"/>
    <row r="8046" ht="12.75" customHeight="1" x14ac:dyDescent="0.2"/>
    <row r="8047" ht="12.75" customHeight="1" x14ac:dyDescent="0.2"/>
    <row r="8048" ht="12.75" customHeight="1" x14ac:dyDescent="0.2"/>
    <row r="8049" ht="12.75" customHeight="1" x14ac:dyDescent="0.2"/>
    <row r="8050" ht="12.75" customHeight="1" x14ac:dyDescent="0.2"/>
    <row r="8051" ht="12.75" customHeight="1" x14ac:dyDescent="0.2"/>
    <row r="8052" ht="12.75" customHeight="1" x14ac:dyDescent="0.2"/>
    <row r="8053" ht="12.75" customHeight="1" x14ac:dyDescent="0.2"/>
    <row r="8054" ht="12.75" customHeight="1" x14ac:dyDescent="0.2"/>
    <row r="8055" ht="12.75" customHeight="1" x14ac:dyDescent="0.2"/>
    <row r="8056" ht="12.75" customHeight="1" x14ac:dyDescent="0.2"/>
    <row r="8057" ht="12.75" customHeight="1" x14ac:dyDescent="0.2"/>
    <row r="8058" ht="12.75" customHeight="1" x14ac:dyDescent="0.2"/>
    <row r="8059" ht="12.75" customHeight="1" x14ac:dyDescent="0.2"/>
    <row r="8060" ht="12.75" customHeight="1" x14ac:dyDescent="0.2"/>
    <row r="8061" ht="12.75" customHeight="1" x14ac:dyDescent="0.2"/>
    <row r="8062" ht="12.75" customHeight="1" x14ac:dyDescent="0.2"/>
    <row r="8063" ht="12.75" customHeight="1" x14ac:dyDescent="0.2"/>
    <row r="8064" ht="12.75" customHeight="1" x14ac:dyDescent="0.2"/>
    <row r="8065" ht="12.75" customHeight="1" x14ac:dyDescent="0.2"/>
    <row r="8066" ht="12.75" customHeight="1" x14ac:dyDescent="0.2"/>
    <row r="8067" ht="12.75" customHeight="1" x14ac:dyDescent="0.2"/>
    <row r="8068" ht="12.75" customHeight="1" x14ac:dyDescent="0.2"/>
    <row r="8069" ht="12.75" customHeight="1" x14ac:dyDescent="0.2"/>
    <row r="8070" ht="12.75" customHeight="1" x14ac:dyDescent="0.2"/>
    <row r="8071" ht="12.75" customHeight="1" x14ac:dyDescent="0.2"/>
    <row r="8072" ht="12.75" customHeight="1" x14ac:dyDescent="0.2"/>
    <row r="8073" ht="12.75" customHeight="1" x14ac:dyDescent="0.2"/>
    <row r="8074" ht="12.75" customHeight="1" x14ac:dyDescent="0.2"/>
    <row r="8075" ht="12.75" customHeight="1" x14ac:dyDescent="0.2"/>
    <row r="8076" ht="12.75" customHeight="1" x14ac:dyDescent="0.2"/>
    <row r="8077" ht="12.75" customHeight="1" x14ac:dyDescent="0.2"/>
    <row r="8078" ht="12.75" customHeight="1" x14ac:dyDescent="0.2"/>
    <row r="8079" ht="12.75" customHeight="1" x14ac:dyDescent="0.2"/>
    <row r="8080" ht="12.75" customHeight="1" x14ac:dyDescent="0.2"/>
    <row r="8081" ht="12.75" customHeight="1" x14ac:dyDescent="0.2"/>
    <row r="8082" ht="12.75" customHeight="1" x14ac:dyDescent="0.2"/>
    <row r="8083" ht="12.75" customHeight="1" x14ac:dyDescent="0.2"/>
    <row r="8084" ht="12.75" customHeight="1" x14ac:dyDescent="0.2"/>
    <row r="8085" ht="12.75" customHeight="1" x14ac:dyDescent="0.2"/>
    <row r="8086" ht="12.75" customHeight="1" x14ac:dyDescent="0.2"/>
    <row r="8087" ht="12.75" customHeight="1" x14ac:dyDescent="0.2"/>
    <row r="8088" ht="12.75" customHeight="1" x14ac:dyDescent="0.2"/>
    <row r="8089" ht="12.75" customHeight="1" x14ac:dyDescent="0.2"/>
    <row r="8090" ht="12.75" customHeight="1" x14ac:dyDescent="0.2"/>
    <row r="8091" ht="12.75" customHeight="1" x14ac:dyDescent="0.2"/>
    <row r="8092" ht="12.75" customHeight="1" x14ac:dyDescent="0.2"/>
    <row r="8093" ht="12.75" customHeight="1" x14ac:dyDescent="0.2"/>
    <row r="8094" ht="12.75" customHeight="1" x14ac:dyDescent="0.2"/>
    <row r="8095" ht="12.75" customHeight="1" x14ac:dyDescent="0.2"/>
    <row r="8096" ht="12.75" customHeight="1" x14ac:dyDescent="0.2"/>
    <row r="8097" ht="12.75" customHeight="1" x14ac:dyDescent="0.2"/>
    <row r="8098" ht="12.75" customHeight="1" x14ac:dyDescent="0.2"/>
    <row r="8099" ht="12.75" customHeight="1" x14ac:dyDescent="0.2"/>
    <row r="8100" ht="12.75" customHeight="1" x14ac:dyDescent="0.2"/>
    <row r="8101" ht="12.75" customHeight="1" x14ac:dyDescent="0.2"/>
    <row r="8102" ht="12.75" customHeight="1" x14ac:dyDescent="0.2"/>
    <row r="8103" ht="12.75" customHeight="1" x14ac:dyDescent="0.2"/>
    <row r="8104" ht="12.75" customHeight="1" x14ac:dyDescent="0.2"/>
    <row r="8105" ht="12.75" customHeight="1" x14ac:dyDescent="0.2"/>
    <row r="8106" ht="12.75" customHeight="1" x14ac:dyDescent="0.2"/>
    <row r="8107" ht="12.75" customHeight="1" x14ac:dyDescent="0.2"/>
    <row r="8108" ht="12.75" customHeight="1" x14ac:dyDescent="0.2"/>
    <row r="8109" ht="12.75" customHeight="1" x14ac:dyDescent="0.2"/>
    <row r="8110" ht="12.75" customHeight="1" x14ac:dyDescent="0.2"/>
    <row r="8111" ht="12.75" customHeight="1" x14ac:dyDescent="0.2"/>
    <row r="8112" ht="12.75" customHeight="1" x14ac:dyDescent="0.2"/>
    <row r="8113" ht="12.75" customHeight="1" x14ac:dyDescent="0.2"/>
    <row r="8114" ht="12.75" customHeight="1" x14ac:dyDescent="0.2"/>
    <row r="8115" ht="12.75" customHeight="1" x14ac:dyDescent="0.2"/>
    <row r="8116" ht="12.75" customHeight="1" x14ac:dyDescent="0.2"/>
    <row r="8117" ht="12.75" customHeight="1" x14ac:dyDescent="0.2"/>
    <row r="8118" ht="12.75" customHeight="1" x14ac:dyDescent="0.2"/>
    <row r="8119" ht="12.75" customHeight="1" x14ac:dyDescent="0.2"/>
    <row r="8120" ht="12.75" customHeight="1" x14ac:dyDescent="0.2"/>
    <row r="8121" ht="12.75" customHeight="1" x14ac:dyDescent="0.2"/>
    <row r="8122" ht="12.75" customHeight="1" x14ac:dyDescent="0.2"/>
    <row r="8123" ht="12.75" customHeight="1" x14ac:dyDescent="0.2"/>
    <row r="8124" ht="12.75" customHeight="1" x14ac:dyDescent="0.2"/>
    <row r="8125" ht="12.75" customHeight="1" x14ac:dyDescent="0.2"/>
    <row r="8126" ht="12.75" customHeight="1" x14ac:dyDescent="0.2"/>
    <row r="8127" ht="12.75" customHeight="1" x14ac:dyDescent="0.2"/>
    <row r="8128" ht="12.75" customHeight="1" x14ac:dyDescent="0.2"/>
    <row r="8129" ht="12.75" customHeight="1" x14ac:dyDescent="0.2"/>
    <row r="8130" ht="12.75" customHeight="1" x14ac:dyDescent="0.2"/>
    <row r="8131" ht="12.75" customHeight="1" x14ac:dyDescent="0.2"/>
    <row r="8132" ht="12.75" customHeight="1" x14ac:dyDescent="0.2"/>
    <row r="8133" ht="12.75" customHeight="1" x14ac:dyDescent="0.2"/>
    <row r="8134" ht="12.75" customHeight="1" x14ac:dyDescent="0.2"/>
    <row r="8135" ht="12.75" customHeight="1" x14ac:dyDescent="0.2"/>
    <row r="8136" ht="12.75" customHeight="1" x14ac:dyDescent="0.2"/>
    <row r="8137" ht="12.75" customHeight="1" x14ac:dyDescent="0.2"/>
    <row r="8138" ht="12.75" customHeight="1" x14ac:dyDescent="0.2"/>
    <row r="8139" ht="12.75" customHeight="1" x14ac:dyDescent="0.2"/>
    <row r="8140" ht="12.75" customHeight="1" x14ac:dyDescent="0.2"/>
    <row r="8141" ht="12.75" customHeight="1" x14ac:dyDescent="0.2"/>
    <row r="8142" ht="12.75" customHeight="1" x14ac:dyDescent="0.2"/>
    <row r="8143" ht="12.75" customHeight="1" x14ac:dyDescent="0.2"/>
    <row r="8144" ht="12.75" customHeight="1" x14ac:dyDescent="0.2"/>
    <row r="8145" ht="12.75" customHeight="1" x14ac:dyDescent="0.2"/>
    <row r="8146" ht="12.75" customHeight="1" x14ac:dyDescent="0.2"/>
    <row r="8147" ht="12.75" customHeight="1" x14ac:dyDescent="0.2"/>
    <row r="8148" ht="12.75" customHeight="1" x14ac:dyDescent="0.2"/>
    <row r="8149" ht="12.75" customHeight="1" x14ac:dyDescent="0.2"/>
    <row r="8150" ht="12.75" customHeight="1" x14ac:dyDescent="0.2"/>
    <row r="8151" ht="12.75" customHeight="1" x14ac:dyDescent="0.2"/>
    <row r="8152" ht="12.75" customHeight="1" x14ac:dyDescent="0.2"/>
    <row r="8153" ht="12.75" customHeight="1" x14ac:dyDescent="0.2"/>
    <row r="8154" ht="12.75" customHeight="1" x14ac:dyDescent="0.2"/>
    <row r="8155" ht="12.75" customHeight="1" x14ac:dyDescent="0.2"/>
    <row r="8156" ht="12.75" customHeight="1" x14ac:dyDescent="0.2"/>
    <row r="8157" ht="12.75" customHeight="1" x14ac:dyDescent="0.2"/>
    <row r="8158" ht="12.75" customHeight="1" x14ac:dyDescent="0.2"/>
    <row r="8159" ht="12.75" customHeight="1" x14ac:dyDescent="0.2"/>
    <row r="8160" ht="12.75" customHeight="1" x14ac:dyDescent="0.2"/>
    <row r="8161" ht="12.75" customHeight="1" x14ac:dyDescent="0.2"/>
    <row r="8162" ht="12.75" customHeight="1" x14ac:dyDescent="0.2"/>
    <row r="8163" ht="12.75" customHeight="1" x14ac:dyDescent="0.2"/>
    <row r="8164" ht="12.75" customHeight="1" x14ac:dyDescent="0.2"/>
    <row r="8165" ht="12.75" customHeight="1" x14ac:dyDescent="0.2"/>
    <row r="8166" ht="12.75" customHeight="1" x14ac:dyDescent="0.2"/>
    <row r="8167" ht="12.75" customHeight="1" x14ac:dyDescent="0.2"/>
    <row r="8168" ht="12.75" customHeight="1" x14ac:dyDescent="0.2"/>
    <row r="8169" ht="12.75" customHeight="1" x14ac:dyDescent="0.2"/>
    <row r="8170" ht="12.75" customHeight="1" x14ac:dyDescent="0.2"/>
    <row r="8171" ht="12.75" customHeight="1" x14ac:dyDescent="0.2"/>
    <row r="8172" ht="12.75" customHeight="1" x14ac:dyDescent="0.2"/>
    <row r="8173" ht="12.75" customHeight="1" x14ac:dyDescent="0.2"/>
    <row r="8174" ht="12.75" customHeight="1" x14ac:dyDescent="0.2"/>
    <row r="8175" ht="12.75" customHeight="1" x14ac:dyDescent="0.2"/>
    <row r="8176" ht="12.75" customHeight="1" x14ac:dyDescent="0.2"/>
    <row r="8177" ht="12.75" customHeight="1" x14ac:dyDescent="0.2"/>
    <row r="8178" ht="12.75" customHeight="1" x14ac:dyDescent="0.2"/>
    <row r="8179" ht="12.75" customHeight="1" x14ac:dyDescent="0.2"/>
    <row r="8180" ht="12.75" customHeight="1" x14ac:dyDescent="0.2"/>
    <row r="8181" ht="12.75" customHeight="1" x14ac:dyDescent="0.2"/>
    <row r="8182" ht="12.75" customHeight="1" x14ac:dyDescent="0.2"/>
    <row r="8183" ht="12.75" customHeight="1" x14ac:dyDescent="0.2"/>
    <row r="8184" ht="12.75" customHeight="1" x14ac:dyDescent="0.2"/>
    <row r="8185" ht="12.75" customHeight="1" x14ac:dyDescent="0.2"/>
    <row r="8186" ht="12.75" customHeight="1" x14ac:dyDescent="0.2"/>
    <row r="8187" ht="12.75" customHeight="1" x14ac:dyDescent="0.2"/>
    <row r="8188" ht="12.75" customHeight="1" x14ac:dyDescent="0.2"/>
    <row r="8189" ht="12.75" customHeight="1" x14ac:dyDescent="0.2"/>
    <row r="8190" ht="12.75" customHeight="1" x14ac:dyDescent="0.2"/>
    <row r="8191" ht="12.75" customHeight="1" x14ac:dyDescent="0.2"/>
    <row r="8192" ht="12.75" customHeight="1" x14ac:dyDescent="0.2"/>
    <row r="8193" ht="12.75" customHeight="1" x14ac:dyDescent="0.2"/>
    <row r="8194" ht="12.75" customHeight="1" x14ac:dyDescent="0.2"/>
    <row r="8195" ht="12.75" customHeight="1" x14ac:dyDescent="0.2"/>
    <row r="8196" ht="12.75" customHeight="1" x14ac:dyDescent="0.2"/>
    <row r="8197" ht="12.75" customHeight="1" x14ac:dyDescent="0.2"/>
    <row r="8198" ht="12.75" customHeight="1" x14ac:dyDescent="0.2"/>
    <row r="8199" ht="12.75" customHeight="1" x14ac:dyDescent="0.2"/>
    <row r="8200" ht="12.75" customHeight="1" x14ac:dyDescent="0.2"/>
    <row r="8201" ht="12.75" customHeight="1" x14ac:dyDescent="0.2"/>
    <row r="8202" ht="12.75" customHeight="1" x14ac:dyDescent="0.2"/>
    <row r="8203" ht="12.75" customHeight="1" x14ac:dyDescent="0.2"/>
    <row r="8204" ht="12.75" customHeight="1" x14ac:dyDescent="0.2"/>
    <row r="8205" ht="12.75" customHeight="1" x14ac:dyDescent="0.2"/>
    <row r="8206" ht="12.75" customHeight="1" x14ac:dyDescent="0.2"/>
    <row r="8207" ht="12.75" customHeight="1" x14ac:dyDescent="0.2"/>
    <row r="8208" ht="12.75" customHeight="1" x14ac:dyDescent="0.2"/>
    <row r="8209" ht="12.75" customHeight="1" x14ac:dyDescent="0.2"/>
    <row r="8210" ht="12.75" customHeight="1" x14ac:dyDescent="0.2"/>
    <row r="8211" ht="12.75" customHeight="1" x14ac:dyDescent="0.2"/>
    <row r="8212" ht="12.75" customHeight="1" x14ac:dyDescent="0.2"/>
    <row r="8213" ht="12.75" customHeight="1" x14ac:dyDescent="0.2"/>
    <row r="8214" ht="12.75" customHeight="1" x14ac:dyDescent="0.2"/>
    <row r="8215" ht="12.75" customHeight="1" x14ac:dyDescent="0.2"/>
    <row r="8216" ht="12.75" customHeight="1" x14ac:dyDescent="0.2"/>
    <row r="8217" ht="12.75" customHeight="1" x14ac:dyDescent="0.2"/>
    <row r="8218" ht="12.75" customHeight="1" x14ac:dyDescent="0.2"/>
    <row r="8219" ht="12.75" customHeight="1" x14ac:dyDescent="0.2"/>
    <row r="8220" ht="12.75" customHeight="1" x14ac:dyDescent="0.2"/>
    <row r="8221" ht="12.75" customHeight="1" x14ac:dyDescent="0.2"/>
    <row r="8222" ht="12.75" customHeight="1" x14ac:dyDescent="0.2"/>
    <row r="8223" ht="12.75" customHeight="1" x14ac:dyDescent="0.2"/>
    <row r="8224" ht="12.75" customHeight="1" x14ac:dyDescent="0.2"/>
    <row r="8225" ht="12.75" customHeight="1" x14ac:dyDescent="0.2"/>
    <row r="8226" ht="12.75" customHeight="1" x14ac:dyDescent="0.2"/>
    <row r="8227" ht="12.75" customHeight="1" x14ac:dyDescent="0.2"/>
    <row r="8228" ht="12.75" customHeight="1" x14ac:dyDescent="0.2"/>
    <row r="8229" ht="12.75" customHeight="1" x14ac:dyDescent="0.2"/>
    <row r="8230" ht="12.75" customHeight="1" x14ac:dyDescent="0.2"/>
    <row r="8231" ht="12.75" customHeight="1" x14ac:dyDescent="0.2"/>
    <row r="8232" ht="12.75" customHeight="1" x14ac:dyDescent="0.2"/>
    <row r="8233" ht="12.75" customHeight="1" x14ac:dyDescent="0.2"/>
    <row r="8234" ht="12.75" customHeight="1" x14ac:dyDescent="0.2"/>
    <row r="8235" ht="12.75" customHeight="1" x14ac:dyDescent="0.2"/>
    <row r="8236" ht="12.75" customHeight="1" x14ac:dyDescent="0.2"/>
    <row r="8237" ht="12.75" customHeight="1" x14ac:dyDescent="0.2"/>
    <row r="8238" ht="12.75" customHeight="1" x14ac:dyDescent="0.2"/>
    <row r="8239" ht="12.75" customHeight="1" x14ac:dyDescent="0.2"/>
    <row r="8240" ht="12.75" customHeight="1" x14ac:dyDescent="0.2"/>
    <row r="8241" ht="12.75" customHeight="1" x14ac:dyDescent="0.2"/>
    <row r="8242" ht="12.75" customHeight="1" x14ac:dyDescent="0.2"/>
    <row r="8243" ht="12.75" customHeight="1" x14ac:dyDescent="0.2"/>
    <row r="8244" ht="12.75" customHeight="1" x14ac:dyDescent="0.2"/>
    <row r="8245" ht="12.75" customHeight="1" x14ac:dyDescent="0.2"/>
    <row r="8246" ht="12.75" customHeight="1" x14ac:dyDescent="0.2"/>
    <row r="8247" ht="12.75" customHeight="1" x14ac:dyDescent="0.2"/>
    <row r="8248" ht="12.75" customHeight="1" x14ac:dyDescent="0.2"/>
    <row r="8249" ht="12.75" customHeight="1" x14ac:dyDescent="0.2"/>
    <row r="8250" ht="12.75" customHeight="1" x14ac:dyDescent="0.2"/>
    <row r="8251" ht="12.75" customHeight="1" x14ac:dyDescent="0.2"/>
    <row r="8252" ht="12.75" customHeight="1" x14ac:dyDescent="0.2"/>
    <row r="8253" ht="12.75" customHeight="1" x14ac:dyDescent="0.2"/>
    <row r="8254" ht="12.75" customHeight="1" x14ac:dyDescent="0.2"/>
    <row r="8255" ht="12.75" customHeight="1" x14ac:dyDescent="0.2"/>
    <row r="8256" ht="12.75" customHeight="1" x14ac:dyDescent="0.2"/>
    <row r="8257" ht="12.75" customHeight="1" x14ac:dyDescent="0.2"/>
    <row r="8258" ht="12.75" customHeight="1" x14ac:dyDescent="0.2"/>
    <row r="8259" ht="12.75" customHeight="1" x14ac:dyDescent="0.2"/>
    <row r="8260" ht="12.75" customHeight="1" x14ac:dyDescent="0.2"/>
    <row r="8261" ht="12.75" customHeight="1" x14ac:dyDescent="0.2"/>
    <row r="8262" ht="12.75" customHeight="1" x14ac:dyDescent="0.2"/>
    <row r="8263" ht="12.75" customHeight="1" x14ac:dyDescent="0.2"/>
    <row r="8264" ht="12.75" customHeight="1" x14ac:dyDescent="0.2"/>
    <row r="8265" ht="12.75" customHeight="1" x14ac:dyDescent="0.2"/>
    <row r="8266" ht="12.75" customHeight="1" x14ac:dyDescent="0.2"/>
    <row r="8267" ht="12.75" customHeight="1" x14ac:dyDescent="0.2"/>
    <row r="8268" ht="12.75" customHeight="1" x14ac:dyDescent="0.2"/>
    <row r="8269" ht="12.75" customHeight="1" x14ac:dyDescent="0.2"/>
    <row r="8270" ht="12.75" customHeight="1" x14ac:dyDescent="0.2"/>
    <row r="8271" ht="12.75" customHeight="1" x14ac:dyDescent="0.2"/>
    <row r="8272" ht="12.75" customHeight="1" x14ac:dyDescent="0.2"/>
    <row r="8273" ht="12.75" customHeight="1" x14ac:dyDescent="0.2"/>
    <row r="8274" ht="12.75" customHeight="1" x14ac:dyDescent="0.2"/>
    <row r="8275" ht="12.75" customHeight="1" x14ac:dyDescent="0.2"/>
    <row r="8276" ht="12.75" customHeight="1" x14ac:dyDescent="0.2"/>
    <row r="8277" ht="12.75" customHeight="1" x14ac:dyDescent="0.2"/>
    <row r="8278" ht="12.75" customHeight="1" x14ac:dyDescent="0.2"/>
    <row r="8279" ht="12.75" customHeight="1" x14ac:dyDescent="0.2"/>
    <row r="8280" ht="12.75" customHeight="1" x14ac:dyDescent="0.2"/>
    <row r="8281" ht="12.75" customHeight="1" x14ac:dyDescent="0.2"/>
    <row r="8282" ht="12.75" customHeight="1" x14ac:dyDescent="0.2"/>
    <row r="8283" ht="12.75" customHeight="1" x14ac:dyDescent="0.2"/>
    <row r="8284" ht="12.75" customHeight="1" x14ac:dyDescent="0.2"/>
    <row r="8285" ht="12.75" customHeight="1" x14ac:dyDescent="0.2"/>
    <row r="8286" ht="12.75" customHeight="1" x14ac:dyDescent="0.2"/>
    <row r="8287" ht="12.75" customHeight="1" x14ac:dyDescent="0.2"/>
    <row r="8288" ht="12.75" customHeight="1" x14ac:dyDescent="0.2"/>
    <row r="8289" ht="12.75" customHeight="1" x14ac:dyDescent="0.2"/>
    <row r="8290" ht="12.75" customHeight="1" x14ac:dyDescent="0.2"/>
    <row r="8291" ht="12.75" customHeight="1" x14ac:dyDescent="0.2"/>
    <row r="8292" ht="12.75" customHeight="1" x14ac:dyDescent="0.2"/>
    <row r="8293" ht="12.75" customHeight="1" x14ac:dyDescent="0.2"/>
    <row r="8294" ht="12.75" customHeight="1" x14ac:dyDescent="0.2"/>
    <row r="8295" ht="12.75" customHeight="1" x14ac:dyDescent="0.2"/>
    <row r="8296" ht="12.75" customHeight="1" x14ac:dyDescent="0.2"/>
    <row r="8297" ht="12.75" customHeight="1" x14ac:dyDescent="0.2"/>
    <row r="8298" ht="12.75" customHeight="1" x14ac:dyDescent="0.2"/>
    <row r="8299" ht="12.75" customHeight="1" x14ac:dyDescent="0.2"/>
    <row r="8300" ht="12.75" customHeight="1" x14ac:dyDescent="0.2"/>
    <row r="8301" ht="12.75" customHeight="1" x14ac:dyDescent="0.2"/>
    <row r="8302" ht="12.75" customHeight="1" x14ac:dyDescent="0.2"/>
    <row r="8303" ht="12.75" customHeight="1" x14ac:dyDescent="0.2"/>
    <row r="8304" ht="12.75" customHeight="1" x14ac:dyDescent="0.2"/>
    <row r="8305" ht="12.75" customHeight="1" x14ac:dyDescent="0.2"/>
    <row r="8306" ht="12.75" customHeight="1" x14ac:dyDescent="0.2"/>
    <row r="8307" ht="12.75" customHeight="1" x14ac:dyDescent="0.2"/>
    <row r="8308" ht="12.75" customHeight="1" x14ac:dyDescent="0.2"/>
    <row r="8309" ht="12.75" customHeight="1" x14ac:dyDescent="0.2"/>
    <row r="8310" ht="12.75" customHeight="1" x14ac:dyDescent="0.2"/>
    <row r="8311" ht="12.75" customHeight="1" x14ac:dyDescent="0.2"/>
    <row r="8312" ht="12.75" customHeight="1" x14ac:dyDescent="0.2"/>
    <row r="8313" ht="12.75" customHeight="1" x14ac:dyDescent="0.2"/>
    <row r="8314" ht="12.75" customHeight="1" x14ac:dyDescent="0.2"/>
    <row r="8315" ht="12.75" customHeight="1" x14ac:dyDescent="0.2"/>
    <row r="8316" ht="12.75" customHeight="1" x14ac:dyDescent="0.2"/>
    <row r="8317" ht="12.75" customHeight="1" x14ac:dyDescent="0.2"/>
    <row r="8318" ht="12.75" customHeight="1" x14ac:dyDescent="0.2"/>
    <row r="8319" ht="12.75" customHeight="1" x14ac:dyDescent="0.2"/>
    <row r="8320" ht="12.75" customHeight="1" x14ac:dyDescent="0.2"/>
    <row r="8321" ht="12.75" customHeight="1" x14ac:dyDescent="0.2"/>
    <row r="8322" ht="12.75" customHeight="1" x14ac:dyDescent="0.2"/>
    <row r="8323" ht="12.75" customHeight="1" x14ac:dyDescent="0.2"/>
    <row r="8324" ht="12.75" customHeight="1" x14ac:dyDescent="0.2"/>
    <row r="8325" ht="12.75" customHeight="1" x14ac:dyDescent="0.2"/>
    <row r="8326" ht="12.75" customHeight="1" x14ac:dyDescent="0.2"/>
    <row r="8327" ht="12.75" customHeight="1" x14ac:dyDescent="0.2"/>
    <row r="8328" ht="12.75" customHeight="1" x14ac:dyDescent="0.2"/>
    <row r="8329" ht="12.75" customHeight="1" x14ac:dyDescent="0.2"/>
    <row r="8330" ht="12.75" customHeight="1" x14ac:dyDescent="0.2"/>
    <row r="8331" ht="12.75" customHeight="1" x14ac:dyDescent="0.2"/>
    <row r="8332" ht="12.75" customHeight="1" x14ac:dyDescent="0.2"/>
    <row r="8333" ht="12.75" customHeight="1" x14ac:dyDescent="0.2"/>
    <row r="8334" ht="12.75" customHeight="1" x14ac:dyDescent="0.2"/>
    <row r="8335" ht="12.75" customHeight="1" x14ac:dyDescent="0.2"/>
    <row r="8336" ht="12.75" customHeight="1" x14ac:dyDescent="0.2"/>
    <row r="8337" ht="12.75" customHeight="1" x14ac:dyDescent="0.2"/>
    <row r="8338" ht="12.75" customHeight="1" x14ac:dyDescent="0.2"/>
    <row r="8339" ht="12.75" customHeight="1" x14ac:dyDescent="0.2"/>
    <row r="8340" ht="12.75" customHeight="1" x14ac:dyDescent="0.2"/>
    <row r="8341" ht="12.75" customHeight="1" x14ac:dyDescent="0.2"/>
    <row r="8342" ht="12.75" customHeight="1" x14ac:dyDescent="0.2"/>
    <row r="8343" ht="12.75" customHeight="1" x14ac:dyDescent="0.2"/>
    <row r="8344" ht="12.75" customHeight="1" x14ac:dyDescent="0.2"/>
    <row r="8345" ht="12.75" customHeight="1" x14ac:dyDescent="0.2"/>
    <row r="8346" ht="12.75" customHeight="1" x14ac:dyDescent="0.2"/>
    <row r="8347" ht="12.75" customHeight="1" x14ac:dyDescent="0.2"/>
    <row r="8348" ht="12.75" customHeight="1" x14ac:dyDescent="0.2"/>
    <row r="8349" ht="12.75" customHeight="1" x14ac:dyDescent="0.2"/>
    <row r="8350" ht="12.75" customHeight="1" x14ac:dyDescent="0.2"/>
    <row r="8351" ht="12.75" customHeight="1" x14ac:dyDescent="0.2"/>
    <row r="8352" ht="12.75" customHeight="1" x14ac:dyDescent="0.2"/>
    <row r="8353" ht="12.75" customHeight="1" x14ac:dyDescent="0.2"/>
    <row r="8354" ht="12.75" customHeight="1" x14ac:dyDescent="0.2"/>
    <row r="8355" ht="12.75" customHeight="1" x14ac:dyDescent="0.2"/>
    <row r="8356" ht="12.75" customHeight="1" x14ac:dyDescent="0.2"/>
    <row r="8357" ht="12.75" customHeight="1" x14ac:dyDescent="0.2"/>
    <row r="8358" ht="12.75" customHeight="1" x14ac:dyDescent="0.2"/>
    <row r="8359" ht="12.75" customHeight="1" x14ac:dyDescent="0.2"/>
    <row r="8360" ht="12.75" customHeight="1" x14ac:dyDescent="0.2"/>
    <row r="8361" ht="12.75" customHeight="1" x14ac:dyDescent="0.2"/>
    <row r="8362" ht="12.75" customHeight="1" x14ac:dyDescent="0.2"/>
    <row r="8363" ht="12.75" customHeight="1" x14ac:dyDescent="0.2"/>
    <row r="8364" ht="12.75" customHeight="1" x14ac:dyDescent="0.2"/>
    <row r="8365" ht="12.75" customHeight="1" x14ac:dyDescent="0.2"/>
    <row r="8366" ht="12.75" customHeight="1" x14ac:dyDescent="0.2"/>
    <row r="8367" ht="12.75" customHeight="1" x14ac:dyDescent="0.2"/>
    <row r="8368" ht="12.75" customHeight="1" x14ac:dyDescent="0.2"/>
    <row r="8369" ht="12.75" customHeight="1" x14ac:dyDescent="0.2"/>
    <row r="8370" ht="12.75" customHeight="1" x14ac:dyDescent="0.2"/>
    <row r="8371" ht="12.75" customHeight="1" x14ac:dyDescent="0.2"/>
    <row r="8372" ht="12.75" customHeight="1" x14ac:dyDescent="0.2"/>
    <row r="8373" ht="12.75" customHeight="1" x14ac:dyDescent="0.2"/>
    <row r="8374" ht="12.75" customHeight="1" x14ac:dyDescent="0.2"/>
    <row r="8375" ht="12.75" customHeight="1" x14ac:dyDescent="0.2"/>
    <row r="8376" ht="12.75" customHeight="1" x14ac:dyDescent="0.2"/>
    <row r="8377" ht="12.75" customHeight="1" x14ac:dyDescent="0.2"/>
    <row r="8378" ht="12.75" customHeight="1" x14ac:dyDescent="0.2"/>
    <row r="8379" ht="12.75" customHeight="1" x14ac:dyDescent="0.2"/>
    <row r="8380" ht="12.75" customHeight="1" x14ac:dyDescent="0.2"/>
    <row r="8381" ht="12.75" customHeight="1" x14ac:dyDescent="0.2"/>
    <row r="8382" ht="12.75" customHeight="1" x14ac:dyDescent="0.2"/>
    <row r="8383" ht="12.75" customHeight="1" x14ac:dyDescent="0.2"/>
    <row r="8384" ht="12.75" customHeight="1" x14ac:dyDescent="0.2"/>
    <row r="8385" ht="12.75" customHeight="1" x14ac:dyDescent="0.2"/>
    <row r="8386" ht="12.75" customHeight="1" x14ac:dyDescent="0.2"/>
    <row r="8387" ht="12.75" customHeight="1" x14ac:dyDescent="0.2"/>
    <row r="8388" ht="12.75" customHeight="1" x14ac:dyDescent="0.2"/>
    <row r="8389" ht="12.75" customHeight="1" x14ac:dyDescent="0.2"/>
    <row r="8390" ht="12.75" customHeight="1" x14ac:dyDescent="0.2"/>
    <row r="8391" ht="12.75" customHeight="1" x14ac:dyDescent="0.2"/>
    <row r="8392" ht="12.75" customHeight="1" x14ac:dyDescent="0.2"/>
    <row r="8393" ht="12.75" customHeight="1" x14ac:dyDescent="0.2"/>
    <row r="8394" ht="12.75" customHeight="1" x14ac:dyDescent="0.2"/>
    <row r="8395" ht="12.75" customHeight="1" x14ac:dyDescent="0.2"/>
    <row r="8396" ht="12.75" customHeight="1" x14ac:dyDescent="0.2"/>
    <row r="8397" ht="12.75" customHeight="1" x14ac:dyDescent="0.2"/>
    <row r="8398" ht="12.75" customHeight="1" x14ac:dyDescent="0.2"/>
    <row r="8399" ht="12.75" customHeight="1" x14ac:dyDescent="0.2"/>
    <row r="8400" ht="12.75" customHeight="1" x14ac:dyDescent="0.2"/>
    <row r="8401" ht="12.75" customHeight="1" x14ac:dyDescent="0.2"/>
    <row r="8402" ht="12.75" customHeight="1" x14ac:dyDescent="0.2"/>
    <row r="8403" ht="12.75" customHeight="1" x14ac:dyDescent="0.2"/>
    <row r="8404" ht="12.75" customHeight="1" x14ac:dyDescent="0.2"/>
    <row r="8405" ht="12.75" customHeight="1" x14ac:dyDescent="0.2"/>
    <row r="8406" ht="12.75" customHeight="1" x14ac:dyDescent="0.2"/>
    <row r="8407" ht="12.75" customHeight="1" x14ac:dyDescent="0.2"/>
    <row r="8408" ht="12.75" customHeight="1" x14ac:dyDescent="0.2"/>
    <row r="8409" ht="12.75" customHeight="1" x14ac:dyDescent="0.2"/>
    <row r="8410" ht="12.75" customHeight="1" x14ac:dyDescent="0.2"/>
    <row r="8411" ht="12.75" customHeight="1" x14ac:dyDescent="0.2"/>
    <row r="8412" ht="12.75" customHeight="1" x14ac:dyDescent="0.2"/>
    <row r="8413" ht="12.75" customHeight="1" x14ac:dyDescent="0.2"/>
    <row r="8414" ht="12.75" customHeight="1" x14ac:dyDescent="0.2"/>
    <row r="8415" ht="12.75" customHeight="1" x14ac:dyDescent="0.2"/>
    <row r="8416" ht="12.75" customHeight="1" x14ac:dyDescent="0.2"/>
    <row r="8417" ht="12.75" customHeight="1" x14ac:dyDescent="0.2"/>
    <row r="8418" ht="12.75" customHeight="1" x14ac:dyDescent="0.2"/>
    <row r="8419" ht="12.75" customHeight="1" x14ac:dyDescent="0.2"/>
    <row r="8420" ht="12.75" customHeight="1" x14ac:dyDescent="0.2"/>
    <row r="8421" ht="12.75" customHeight="1" x14ac:dyDescent="0.2"/>
    <row r="8422" ht="12.75" customHeight="1" x14ac:dyDescent="0.2"/>
    <row r="8423" ht="12.75" customHeight="1" x14ac:dyDescent="0.2"/>
    <row r="8424" ht="12.75" customHeight="1" x14ac:dyDescent="0.2"/>
    <row r="8425" ht="12.75" customHeight="1" x14ac:dyDescent="0.2"/>
    <row r="8426" ht="12.75" customHeight="1" x14ac:dyDescent="0.2"/>
    <row r="8427" ht="12.75" customHeight="1" x14ac:dyDescent="0.2"/>
    <row r="8428" ht="12.75" customHeight="1" x14ac:dyDescent="0.2"/>
    <row r="8429" ht="12.75" customHeight="1" x14ac:dyDescent="0.2"/>
    <row r="8430" ht="12.75" customHeight="1" x14ac:dyDescent="0.2"/>
    <row r="8431" ht="12.75" customHeight="1" x14ac:dyDescent="0.2"/>
    <row r="8432" ht="12.75" customHeight="1" x14ac:dyDescent="0.2"/>
    <row r="8433" ht="12.75" customHeight="1" x14ac:dyDescent="0.2"/>
    <row r="8434" ht="12.75" customHeight="1" x14ac:dyDescent="0.2"/>
    <row r="8435" ht="12.75" customHeight="1" x14ac:dyDescent="0.2"/>
    <row r="8436" ht="12.75" customHeight="1" x14ac:dyDescent="0.2"/>
    <row r="8437" ht="12.75" customHeight="1" x14ac:dyDescent="0.2"/>
    <row r="8438" ht="12.75" customHeight="1" x14ac:dyDescent="0.2"/>
    <row r="8439" ht="12.75" customHeight="1" x14ac:dyDescent="0.2"/>
    <row r="8440" ht="12.75" customHeight="1" x14ac:dyDescent="0.2"/>
    <row r="8441" ht="12.75" customHeight="1" x14ac:dyDescent="0.2"/>
    <row r="8442" ht="12.75" customHeight="1" x14ac:dyDescent="0.2"/>
    <row r="8443" ht="12.75" customHeight="1" x14ac:dyDescent="0.2"/>
    <row r="8444" ht="12.75" customHeight="1" x14ac:dyDescent="0.2"/>
    <row r="8445" ht="12.75" customHeight="1" x14ac:dyDescent="0.2"/>
    <row r="8446" ht="12.75" customHeight="1" x14ac:dyDescent="0.2"/>
    <row r="8447" ht="12.75" customHeight="1" x14ac:dyDescent="0.2"/>
    <row r="8448" ht="12.75" customHeight="1" x14ac:dyDescent="0.2"/>
    <row r="8449" ht="12.75" customHeight="1" x14ac:dyDescent="0.2"/>
    <row r="8450" ht="12.75" customHeight="1" x14ac:dyDescent="0.2"/>
    <row r="8451" ht="12.75" customHeight="1" x14ac:dyDescent="0.2"/>
    <row r="8452" ht="12.75" customHeight="1" x14ac:dyDescent="0.2"/>
    <row r="8453" ht="12.75" customHeight="1" x14ac:dyDescent="0.2"/>
    <row r="8454" ht="12.75" customHeight="1" x14ac:dyDescent="0.2"/>
    <row r="8455" ht="12.75" customHeight="1" x14ac:dyDescent="0.2"/>
    <row r="8456" ht="12.75" customHeight="1" x14ac:dyDescent="0.2"/>
    <row r="8457" ht="12.75" customHeight="1" x14ac:dyDescent="0.2"/>
    <row r="8458" ht="12.75" customHeight="1" x14ac:dyDescent="0.2"/>
    <row r="8459" ht="12.75" customHeight="1" x14ac:dyDescent="0.2"/>
    <row r="8460" ht="12.75" customHeight="1" x14ac:dyDescent="0.2"/>
    <row r="8461" ht="12.75" customHeight="1" x14ac:dyDescent="0.2"/>
    <row r="8462" ht="12.75" customHeight="1" x14ac:dyDescent="0.2"/>
    <row r="8463" ht="12.75" customHeight="1" x14ac:dyDescent="0.2"/>
    <row r="8464" ht="12.75" customHeight="1" x14ac:dyDescent="0.2"/>
    <row r="8465" ht="12.75" customHeight="1" x14ac:dyDescent="0.2"/>
    <row r="8466" ht="12.75" customHeight="1" x14ac:dyDescent="0.2"/>
    <row r="8467" ht="12.75" customHeight="1" x14ac:dyDescent="0.2"/>
    <row r="8468" ht="12.75" customHeight="1" x14ac:dyDescent="0.2"/>
    <row r="8469" ht="12.75" customHeight="1" x14ac:dyDescent="0.2"/>
    <row r="8470" ht="12.75" customHeight="1" x14ac:dyDescent="0.2"/>
    <row r="8471" ht="12.75" customHeight="1" x14ac:dyDescent="0.2"/>
    <row r="8472" ht="12.75" customHeight="1" x14ac:dyDescent="0.2"/>
    <row r="8473" ht="12.75" customHeight="1" x14ac:dyDescent="0.2"/>
    <row r="8474" ht="12.75" customHeight="1" x14ac:dyDescent="0.2"/>
    <row r="8475" ht="12.75" customHeight="1" x14ac:dyDescent="0.2"/>
    <row r="8476" ht="12.75" customHeight="1" x14ac:dyDescent="0.2"/>
    <row r="8477" ht="12.75" customHeight="1" x14ac:dyDescent="0.2"/>
    <row r="8478" ht="12.75" customHeight="1" x14ac:dyDescent="0.2"/>
    <row r="8479" ht="12.75" customHeight="1" x14ac:dyDescent="0.2"/>
    <row r="8480" ht="12.75" customHeight="1" x14ac:dyDescent="0.2"/>
    <row r="8481" ht="12.75" customHeight="1" x14ac:dyDescent="0.2"/>
    <row r="8482" ht="12.75" customHeight="1" x14ac:dyDescent="0.2"/>
    <row r="8483" ht="12.75" customHeight="1" x14ac:dyDescent="0.2"/>
    <row r="8484" ht="12.75" customHeight="1" x14ac:dyDescent="0.2"/>
    <row r="8485" ht="12.75" customHeight="1" x14ac:dyDescent="0.2"/>
    <row r="8486" ht="12.75" customHeight="1" x14ac:dyDescent="0.2"/>
    <row r="8487" ht="12.75" customHeight="1" x14ac:dyDescent="0.2"/>
    <row r="8488" ht="12.75" customHeight="1" x14ac:dyDescent="0.2"/>
    <row r="8489" ht="12.75" customHeight="1" x14ac:dyDescent="0.2"/>
    <row r="8490" ht="12.75" customHeight="1" x14ac:dyDescent="0.2"/>
    <row r="8491" ht="12.75" customHeight="1" x14ac:dyDescent="0.2"/>
    <row r="8492" ht="12.75" customHeight="1" x14ac:dyDescent="0.2"/>
    <row r="8493" ht="12.75" customHeight="1" x14ac:dyDescent="0.2"/>
    <row r="8494" ht="12.75" customHeight="1" x14ac:dyDescent="0.2"/>
    <row r="8495" ht="12.75" customHeight="1" x14ac:dyDescent="0.2"/>
    <row r="8496" ht="12.75" customHeight="1" x14ac:dyDescent="0.2"/>
    <row r="8497" ht="12.75" customHeight="1" x14ac:dyDescent="0.2"/>
    <row r="8498" ht="12.75" customHeight="1" x14ac:dyDescent="0.2"/>
    <row r="8499" ht="12.75" customHeight="1" x14ac:dyDescent="0.2"/>
    <row r="8500" ht="12.75" customHeight="1" x14ac:dyDescent="0.2"/>
    <row r="8501" ht="12.75" customHeight="1" x14ac:dyDescent="0.2"/>
    <row r="8502" ht="12.75" customHeight="1" x14ac:dyDescent="0.2"/>
    <row r="8503" ht="12.75" customHeight="1" x14ac:dyDescent="0.2"/>
    <row r="8504" ht="12.75" customHeight="1" x14ac:dyDescent="0.2"/>
    <row r="8505" ht="12.75" customHeight="1" x14ac:dyDescent="0.2"/>
    <row r="8506" ht="12.75" customHeight="1" x14ac:dyDescent="0.2"/>
    <row r="8507" ht="12.75" customHeight="1" x14ac:dyDescent="0.2"/>
    <row r="8508" ht="12.75" customHeight="1" x14ac:dyDescent="0.2"/>
    <row r="8509" ht="12.75" customHeight="1" x14ac:dyDescent="0.2"/>
    <row r="8510" ht="12.75" customHeight="1" x14ac:dyDescent="0.2"/>
    <row r="8511" ht="12.75" customHeight="1" x14ac:dyDescent="0.2"/>
    <row r="8512" ht="12.75" customHeight="1" x14ac:dyDescent="0.2"/>
    <row r="8513" ht="12.75" customHeight="1" x14ac:dyDescent="0.2"/>
    <row r="8514" ht="12.75" customHeight="1" x14ac:dyDescent="0.2"/>
    <row r="8515" ht="12.75" customHeight="1" x14ac:dyDescent="0.2"/>
    <row r="8516" ht="12.75" customHeight="1" x14ac:dyDescent="0.2"/>
    <row r="8517" ht="12.75" customHeight="1" x14ac:dyDescent="0.2"/>
    <row r="8518" ht="12.75" customHeight="1" x14ac:dyDescent="0.2"/>
    <row r="8519" ht="12.75" customHeight="1" x14ac:dyDescent="0.2"/>
    <row r="8520" ht="12.75" customHeight="1" x14ac:dyDescent="0.2"/>
    <row r="8521" ht="12.75" customHeight="1" x14ac:dyDescent="0.2"/>
    <row r="8522" ht="12.75" customHeight="1" x14ac:dyDescent="0.2"/>
    <row r="8523" ht="12.75" customHeight="1" x14ac:dyDescent="0.2"/>
    <row r="8524" ht="12.75" customHeight="1" x14ac:dyDescent="0.2"/>
    <row r="8525" ht="12.75" customHeight="1" x14ac:dyDescent="0.2"/>
    <row r="8526" ht="12.75" customHeight="1" x14ac:dyDescent="0.2"/>
    <row r="8527" ht="12.75" customHeight="1" x14ac:dyDescent="0.2"/>
    <row r="8528" ht="12.75" customHeight="1" x14ac:dyDescent="0.2"/>
    <row r="8529" ht="12.75" customHeight="1" x14ac:dyDescent="0.2"/>
    <row r="8530" ht="12.75" customHeight="1" x14ac:dyDescent="0.2"/>
    <row r="8531" ht="12.75" customHeight="1" x14ac:dyDescent="0.2"/>
    <row r="8532" ht="12.75" customHeight="1" x14ac:dyDescent="0.2"/>
    <row r="8533" ht="12.75" customHeight="1" x14ac:dyDescent="0.2"/>
    <row r="8534" ht="12.75" customHeight="1" x14ac:dyDescent="0.2"/>
    <row r="8535" ht="12.75" customHeight="1" x14ac:dyDescent="0.2"/>
    <row r="8536" ht="12.75" customHeight="1" x14ac:dyDescent="0.2"/>
    <row r="8537" ht="12.75" customHeight="1" x14ac:dyDescent="0.2"/>
    <row r="8538" ht="12.75" customHeight="1" x14ac:dyDescent="0.2"/>
    <row r="8539" ht="12.75" customHeight="1" x14ac:dyDescent="0.2"/>
    <row r="8540" ht="12.75" customHeight="1" x14ac:dyDescent="0.2"/>
    <row r="8541" ht="12.75" customHeight="1" x14ac:dyDescent="0.2"/>
    <row r="8542" ht="12.75" customHeight="1" x14ac:dyDescent="0.2"/>
    <row r="8543" ht="12.75" customHeight="1" x14ac:dyDescent="0.2"/>
    <row r="8544" ht="12.75" customHeight="1" x14ac:dyDescent="0.2"/>
    <row r="8545" ht="12.75" customHeight="1" x14ac:dyDescent="0.2"/>
    <row r="8546" ht="12.75" customHeight="1" x14ac:dyDescent="0.2"/>
    <row r="8547" ht="12.75" customHeight="1" x14ac:dyDescent="0.2"/>
    <row r="8548" ht="12.75" customHeight="1" x14ac:dyDescent="0.2"/>
    <row r="8549" ht="12.75" customHeight="1" x14ac:dyDescent="0.2"/>
    <row r="8550" ht="12.75" customHeight="1" x14ac:dyDescent="0.2"/>
    <row r="8551" ht="12.75" customHeight="1" x14ac:dyDescent="0.2"/>
    <row r="8552" ht="12.75" customHeight="1" x14ac:dyDescent="0.2"/>
    <row r="8553" ht="12.75" customHeight="1" x14ac:dyDescent="0.2"/>
    <row r="8554" ht="12.75" customHeight="1" x14ac:dyDescent="0.2"/>
    <row r="8555" ht="12.75" customHeight="1" x14ac:dyDescent="0.2"/>
    <row r="8556" ht="12.75" customHeight="1" x14ac:dyDescent="0.2"/>
    <row r="8557" ht="12.75" customHeight="1" x14ac:dyDescent="0.2"/>
    <row r="8558" ht="12.75" customHeight="1" x14ac:dyDescent="0.2"/>
    <row r="8559" ht="12.75" customHeight="1" x14ac:dyDescent="0.2"/>
    <row r="8560" ht="12.75" customHeight="1" x14ac:dyDescent="0.2"/>
    <row r="8561" ht="12.75" customHeight="1" x14ac:dyDescent="0.2"/>
    <row r="8562" ht="12.75" customHeight="1" x14ac:dyDescent="0.2"/>
    <row r="8563" ht="12.75" customHeight="1" x14ac:dyDescent="0.2"/>
    <row r="8564" ht="12.75" customHeight="1" x14ac:dyDescent="0.2"/>
    <row r="8565" ht="12.75" customHeight="1" x14ac:dyDescent="0.2"/>
    <row r="8566" ht="12.75" customHeight="1" x14ac:dyDescent="0.2"/>
    <row r="8567" ht="12.75" customHeight="1" x14ac:dyDescent="0.2"/>
    <row r="8568" ht="12.75" customHeight="1" x14ac:dyDescent="0.2"/>
    <row r="8569" ht="12.75" customHeight="1" x14ac:dyDescent="0.2"/>
    <row r="8570" ht="12.75" customHeight="1" x14ac:dyDescent="0.2"/>
    <row r="8571" ht="12.75" customHeight="1" x14ac:dyDescent="0.2"/>
    <row r="8572" ht="12.75" customHeight="1" x14ac:dyDescent="0.2"/>
    <row r="8573" ht="12.75" customHeight="1" x14ac:dyDescent="0.2"/>
    <row r="8574" ht="12.75" customHeight="1" x14ac:dyDescent="0.2"/>
    <row r="8575" ht="12.75" customHeight="1" x14ac:dyDescent="0.2"/>
    <row r="8576" ht="12.75" customHeight="1" x14ac:dyDescent="0.2"/>
    <row r="8577" ht="12.75" customHeight="1" x14ac:dyDescent="0.2"/>
    <row r="8578" ht="12.75" customHeight="1" x14ac:dyDescent="0.2"/>
    <row r="8579" ht="12.75" customHeight="1" x14ac:dyDescent="0.2"/>
    <row r="8580" ht="12.75" customHeight="1" x14ac:dyDescent="0.2"/>
    <row r="8581" ht="12.75" customHeight="1" x14ac:dyDescent="0.2"/>
    <row r="8582" ht="12.75" customHeight="1" x14ac:dyDescent="0.2"/>
    <row r="8583" ht="12.75" customHeight="1" x14ac:dyDescent="0.2"/>
    <row r="8584" ht="12.75" customHeight="1" x14ac:dyDescent="0.2"/>
    <row r="8585" ht="12.75" customHeight="1" x14ac:dyDescent="0.2"/>
    <row r="8586" ht="12.75" customHeight="1" x14ac:dyDescent="0.2"/>
    <row r="8587" ht="12.75" customHeight="1" x14ac:dyDescent="0.2"/>
    <row r="8588" ht="12.75" customHeight="1" x14ac:dyDescent="0.2"/>
    <row r="8589" ht="12.75" customHeight="1" x14ac:dyDescent="0.2"/>
    <row r="8590" ht="12.75" customHeight="1" x14ac:dyDescent="0.2"/>
    <row r="8591" ht="12.75" customHeight="1" x14ac:dyDescent="0.2"/>
    <row r="8592" ht="12.75" customHeight="1" x14ac:dyDescent="0.2"/>
    <row r="8593" ht="12.75" customHeight="1" x14ac:dyDescent="0.2"/>
    <row r="8594" ht="12.75" customHeight="1" x14ac:dyDescent="0.2"/>
    <row r="8595" ht="12.75" customHeight="1" x14ac:dyDescent="0.2"/>
    <row r="8596" ht="12.75" customHeight="1" x14ac:dyDescent="0.2"/>
    <row r="8597" ht="12.75" customHeight="1" x14ac:dyDescent="0.2"/>
    <row r="8598" ht="12.75" customHeight="1" x14ac:dyDescent="0.2"/>
    <row r="8599" ht="12.75" customHeight="1" x14ac:dyDescent="0.2"/>
    <row r="8600" ht="12.75" customHeight="1" x14ac:dyDescent="0.2"/>
    <row r="8601" ht="12.75" customHeight="1" x14ac:dyDescent="0.2"/>
    <row r="8602" ht="12.75" customHeight="1" x14ac:dyDescent="0.2"/>
    <row r="8603" ht="12.75" customHeight="1" x14ac:dyDescent="0.2"/>
    <row r="8604" ht="12.75" customHeight="1" x14ac:dyDescent="0.2"/>
    <row r="8605" ht="12.75" customHeight="1" x14ac:dyDescent="0.2"/>
    <row r="8606" ht="12.75" customHeight="1" x14ac:dyDescent="0.2"/>
    <row r="8607" ht="12.75" customHeight="1" x14ac:dyDescent="0.2"/>
    <row r="8608" ht="12.75" customHeight="1" x14ac:dyDescent="0.2"/>
    <row r="8609" ht="12.75" customHeight="1" x14ac:dyDescent="0.2"/>
    <row r="8610" ht="12.75" customHeight="1" x14ac:dyDescent="0.2"/>
    <row r="8611" ht="12.75" customHeight="1" x14ac:dyDescent="0.2"/>
    <row r="8612" ht="12.75" customHeight="1" x14ac:dyDescent="0.2"/>
    <row r="8613" ht="12.75" customHeight="1" x14ac:dyDescent="0.2"/>
    <row r="8614" ht="12.75" customHeight="1" x14ac:dyDescent="0.2"/>
    <row r="8615" ht="12.75" customHeight="1" x14ac:dyDescent="0.2"/>
    <row r="8616" ht="12.75" customHeight="1" x14ac:dyDescent="0.2"/>
    <row r="8617" ht="12.75" customHeight="1" x14ac:dyDescent="0.2"/>
    <row r="8618" ht="12.75" customHeight="1" x14ac:dyDescent="0.2"/>
    <row r="8619" ht="12.75" customHeight="1" x14ac:dyDescent="0.2"/>
    <row r="8620" ht="12.75" customHeight="1" x14ac:dyDescent="0.2"/>
    <row r="8621" ht="12.75" customHeight="1" x14ac:dyDescent="0.2"/>
    <row r="8622" ht="12.75" customHeight="1" x14ac:dyDescent="0.2"/>
    <row r="8623" ht="12.75" customHeight="1" x14ac:dyDescent="0.2"/>
    <row r="8624" ht="12.75" customHeight="1" x14ac:dyDescent="0.2"/>
    <row r="8625" ht="12.75" customHeight="1" x14ac:dyDescent="0.2"/>
    <row r="8626" ht="12.75" customHeight="1" x14ac:dyDescent="0.2"/>
    <row r="8627" ht="12.75" customHeight="1" x14ac:dyDescent="0.2"/>
    <row r="8628" ht="12.75" customHeight="1" x14ac:dyDescent="0.2"/>
    <row r="8629" ht="12.75" customHeight="1" x14ac:dyDescent="0.2"/>
    <row r="8630" ht="12.75" customHeight="1" x14ac:dyDescent="0.2"/>
    <row r="8631" ht="12.75" customHeight="1" x14ac:dyDescent="0.2"/>
    <row r="8632" ht="12.75" customHeight="1" x14ac:dyDescent="0.2"/>
    <row r="8633" ht="12.75" customHeight="1" x14ac:dyDescent="0.2"/>
    <row r="8634" ht="12.75" customHeight="1" x14ac:dyDescent="0.2"/>
    <row r="8635" ht="12.75" customHeight="1" x14ac:dyDescent="0.2"/>
    <row r="8636" ht="12.75" customHeight="1" x14ac:dyDescent="0.2"/>
    <row r="8637" ht="12.75" customHeight="1" x14ac:dyDescent="0.2"/>
    <row r="8638" ht="12.75" customHeight="1" x14ac:dyDescent="0.2"/>
    <row r="8639" ht="12.75" customHeight="1" x14ac:dyDescent="0.2"/>
    <row r="8640" ht="12.75" customHeight="1" x14ac:dyDescent="0.2"/>
    <row r="8641" ht="12.75" customHeight="1" x14ac:dyDescent="0.2"/>
    <row r="8642" ht="12.75" customHeight="1" x14ac:dyDescent="0.2"/>
    <row r="8643" ht="12.75" customHeight="1" x14ac:dyDescent="0.2"/>
    <row r="8644" ht="12.75" customHeight="1" x14ac:dyDescent="0.2"/>
    <row r="8645" ht="12.75" customHeight="1" x14ac:dyDescent="0.2"/>
    <row r="8646" ht="12.75" customHeight="1" x14ac:dyDescent="0.2"/>
    <row r="8647" ht="12.75" customHeight="1" x14ac:dyDescent="0.2"/>
    <row r="8648" ht="12.75" customHeight="1" x14ac:dyDescent="0.2"/>
    <row r="8649" ht="12.75" customHeight="1" x14ac:dyDescent="0.2"/>
    <row r="8650" ht="12.75" customHeight="1" x14ac:dyDescent="0.2"/>
    <row r="8651" ht="12.75" customHeight="1" x14ac:dyDescent="0.2"/>
    <row r="8652" ht="12.75" customHeight="1" x14ac:dyDescent="0.2"/>
    <row r="8653" ht="12.75" customHeight="1" x14ac:dyDescent="0.2"/>
    <row r="8654" ht="12.75" customHeight="1" x14ac:dyDescent="0.2"/>
    <row r="8655" ht="12.75" customHeight="1" x14ac:dyDescent="0.2"/>
    <row r="8656" ht="12.75" customHeight="1" x14ac:dyDescent="0.2"/>
    <row r="8657" ht="12.75" customHeight="1" x14ac:dyDescent="0.2"/>
    <row r="8658" ht="12.75" customHeight="1" x14ac:dyDescent="0.2"/>
    <row r="8659" ht="12.75" customHeight="1" x14ac:dyDescent="0.2"/>
    <row r="8660" ht="12.75" customHeight="1" x14ac:dyDescent="0.2"/>
    <row r="8661" ht="12.75" customHeight="1" x14ac:dyDescent="0.2"/>
    <row r="8662" ht="12.75" customHeight="1" x14ac:dyDescent="0.2"/>
    <row r="8663" ht="12.75" customHeight="1" x14ac:dyDescent="0.2"/>
    <row r="8664" ht="12.75" customHeight="1" x14ac:dyDescent="0.2"/>
    <row r="8665" ht="12.75" customHeight="1" x14ac:dyDescent="0.2"/>
    <row r="8666" ht="12.75" customHeight="1" x14ac:dyDescent="0.2"/>
    <row r="8667" ht="12.75" customHeight="1" x14ac:dyDescent="0.2"/>
    <row r="8668" ht="12.75" customHeight="1" x14ac:dyDescent="0.2"/>
    <row r="8669" ht="12.75" customHeight="1" x14ac:dyDescent="0.2"/>
    <row r="8670" ht="12.75" customHeight="1" x14ac:dyDescent="0.2"/>
    <row r="8671" ht="12.75" customHeight="1" x14ac:dyDescent="0.2"/>
    <row r="8672" ht="12.75" customHeight="1" x14ac:dyDescent="0.2"/>
    <row r="8673" ht="12.75" customHeight="1" x14ac:dyDescent="0.2"/>
    <row r="8674" ht="12.75" customHeight="1" x14ac:dyDescent="0.2"/>
    <row r="8675" ht="12.75" customHeight="1" x14ac:dyDescent="0.2"/>
    <row r="8676" ht="12.75" customHeight="1" x14ac:dyDescent="0.2"/>
    <row r="8677" ht="12.75" customHeight="1" x14ac:dyDescent="0.2"/>
    <row r="8678" ht="12.75" customHeight="1" x14ac:dyDescent="0.2"/>
    <row r="8679" ht="12.75" customHeight="1" x14ac:dyDescent="0.2"/>
    <row r="8680" ht="12.75" customHeight="1" x14ac:dyDescent="0.2"/>
    <row r="8681" ht="12.75" customHeight="1" x14ac:dyDescent="0.2"/>
    <row r="8682" ht="12.75" customHeight="1" x14ac:dyDescent="0.2"/>
    <row r="8683" ht="12.75" customHeight="1" x14ac:dyDescent="0.2"/>
    <row r="8684" ht="12.75" customHeight="1" x14ac:dyDescent="0.2"/>
    <row r="8685" ht="12.75" customHeight="1" x14ac:dyDescent="0.2"/>
    <row r="8686" ht="12.75" customHeight="1" x14ac:dyDescent="0.2"/>
    <row r="8687" ht="12.75" customHeight="1" x14ac:dyDescent="0.2"/>
    <row r="8688" ht="12.75" customHeight="1" x14ac:dyDescent="0.2"/>
    <row r="8689" ht="12.75" customHeight="1" x14ac:dyDescent="0.2"/>
    <row r="8690" ht="12.75" customHeight="1" x14ac:dyDescent="0.2"/>
    <row r="8691" ht="12.75" customHeight="1" x14ac:dyDescent="0.2"/>
    <row r="8692" ht="12.75" customHeight="1" x14ac:dyDescent="0.2"/>
    <row r="8693" ht="12.75" customHeight="1" x14ac:dyDescent="0.2"/>
    <row r="8694" ht="12.75" customHeight="1" x14ac:dyDescent="0.2"/>
    <row r="8695" ht="12.75" customHeight="1" x14ac:dyDescent="0.2"/>
    <row r="8696" ht="12.75" customHeight="1" x14ac:dyDescent="0.2"/>
    <row r="8697" ht="12.75" customHeight="1" x14ac:dyDescent="0.2"/>
    <row r="8698" ht="12.75" customHeight="1" x14ac:dyDescent="0.2"/>
    <row r="8699" ht="12.75" customHeight="1" x14ac:dyDescent="0.2"/>
    <row r="8700" ht="12.75" customHeight="1" x14ac:dyDescent="0.2"/>
    <row r="8701" ht="12.75" customHeight="1" x14ac:dyDescent="0.2"/>
    <row r="8702" ht="12.75" customHeight="1" x14ac:dyDescent="0.2"/>
    <row r="8703" ht="12.75" customHeight="1" x14ac:dyDescent="0.2"/>
    <row r="8704" ht="12.75" customHeight="1" x14ac:dyDescent="0.2"/>
    <row r="8705" ht="12.75" customHeight="1" x14ac:dyDescent="0.2"/>
    <row r="8706" ht="12.75" customHeight="1" x14ac:dyDescent="0.2"/>
    <row r="8707" ht="12.75" customHeight="1" x14ac:dyDescent="0.2"/>
    <row r="8708" ht="12.75" customHeight="1" x14ac:dyDescent="0.2"/>
    <row r="8709" ht="12.75" customHeight="1" x14ac:dyDescent="0.2"/>
    <row r="8710" ht="12.75" customHeight="1" x14ac:dyDescent="0.2"/>
    <row r="8711" ht="12.75" customHeight="1" x14ac:dyDescent="0.2"/>
    <row r="8712" ht="12.75" customHeight="1" x14ac:dyDescent="0.2"/>
    <row r="8713" ht="12.75" customHeight="1" x14ac:dyDescent="0.2"/>
    <row r="8714" ht="12.75" customHeight="1" x14ac:dyDescent="0.2"/>
    <row r="8715" ht="12.75" customHeight="1" x14ac:dyDescent="0.2"/>
    <row r="8716" ht="12.75" customHeight="1" x14ac:dyDescent="0.2"/>
    <row r="8717" ht="12.75" customHeight="1" x14ac:dyDescent="0.2"/>
    <row r="8718" ht="12.75" customHeight="1" x14ac:dyDescent="0.2"/>
    <row r="8719" ht="12.75" customHeight="1" x14ac:dyDescent="0.2"/>
    <row r="8720" ht="12.75" customHeight="1" x14ac:dyDescent="0.2"/>
    <row r="8721" ht="12.75" customHeight="1" x14ac:dyDescent="0.2"/>
    <row r="8722" ht="12.75" customHeight="1" x14ac:dyDescent="0.2"/>
    <row r="8723" ht="12.75" customHeight="1" x14ac:dyDescent="0.2"/>
    <row r="8724" ht="12.75" customHeight="1" x14ac:dyDescent="0.2"/>
    <row r="8725" ht="12.75" customHeight="1" x14ac:dyDescent="0.2"/>
    <row r="8726" ht="12.75" customHeight="1" x14ac:dyDescent="0.2"/>
    <row r="8727" ht="12.75" customHeight="1" x14ac:dyDescent="0.2"/>
    <row r="8728" ht="12.75" customHeight="1" x14ac:dyDescent="0.2"/>
    <row r="8729" ht="12.75" customHeight="1" x14ac:dyDescent="0.2"/>
    <row r="8730" ht="12.75" customHeight="1" x14ac:dyDescent="0.2"/>
    <row r="8731" ht="12.75" customHeight="1" x14ac:dyDescent="0.2"/>
    <row r="8732" ht="12.75" customHeight="1" x14ac:dyDescent="0.2"/>
    <row r="8733" ht="12.75" customHeight="1" x14ac:dyDescent="0.2"/>
    <row r="8734" ht="12.75" customHeight="1" x14ac:dyDescent="0.2"/>
    <row r="8735" ht="12.75" customHeight="1" x14ac:dyDescent="0.2"/>
    <row r="8736" ht="12.75" customHeight="1" x14ac:dyDescent="0.2"/>
    <row r="8737" ht="12.75" customHeight="1" x14ac:dyDescent="0.2"/>
    <row r="8738" ht="12.75" customHeight="1" x14ac:dyDescent="0.2"/>
    <row r="8739" ht="12.75" customHeight="1" x14ac:dyDescent="0.2"/>
    <row r="8740" ht="12.75" customHeight="1" x14ac:dyDescent="0.2"/>
    <row r="8741" ht="12.75" customHeight="1" x14ac:dyDescent="0.2"/>
    <row r="8742" ht="12.75" customHeight="1" x14ac:dyDescent="0.2"/>
    <row r="8743" ht="12.75" customHeight="1" x14ac:dyDescent="0.2"/>
    <row r="8744" ht="12.75" customHeight="1" x14ac:dyDescent="0.2"/>
    <row r="8745" ht="12.75" customHeight="1" x14ac:dyDescent="0.2"/>
    <row r="8746" ht="12.75" customHeight="1" x14ac:dyDescent="0.2"/>
    <row r="8747" ht="12.75" customHeight="1" x14ac:dyDescent="0.2"/>
    <row r="8748" ht="12.75" customHeight="1" x14ac:dyDescent="0.2"/>
    <row r="8749" ht="12.75" customHeight="1" x14ac:dyDescent="0.2"/>
    <row r="8750" ht="12.75" customHeight="1" x14ac:dyDescent="0.2"/>
    <row r="8751" ht="12.75" customHeight="1" x14ac:dyDescent="0.2"/>
    <row r="8752" ht="12.75" customHeight="1" x14ac:dyDescent="0.2"/>
    <row r="8753" ht="12.75" customHeight="1" x14ac:dyDescent="0.2"/>
    <row r="8754" ht="12.75" customHeight="1" x14ac:dyDescent="0.2"/>
    <row r="8755" ht="12.75" customHeight="1" x14ac:dyDescent="0.2"/>
    <row r="8756" ht="12.75" customHeight="1" x14ac:dyDescent="0.2"/>
    <row r="8757" ht="12.75" customHeight="1" x14ac:dyDescent="0.2"/>
    <row r="8758" ht="12.75" customHeight="1" x14ac:dyDescent="0.2"/>
    <row r="8759" ht="12.75" customHeight="1" x14ac:dyDescent="0.2"/>
    <row r="8760" ht="12.75" customHeight="1" x14ac:dyDescent="0.2"/>
    <row r="8761" ht="12.75" customHeight="1" x14ac:dyDescent="0.2"/>
    <row r="8762" ht="12.75" customHeight="1" x14ac:dyDescent="0.2"/>
    <row r="8763" ht="12.75" customHeight="1" x14ac:dyDescent="0.2"/>
    <row r="8764" ht="12.75" customHeight="1" x14ac:dyDescent="0.2"/>
    <row r="8765" ht="12.75" customHeight="1" x14ac:dyDescent="0.2"/>
    <row r="8766" ht="12.75" customHeight="1" x14ac:dyDescent="0.2"/>
    <row r="8767" ht="12.75" customHeight="1" x14ac:dyDescent="0.2"/>
    <row r="8768" ht="12.75" customHeight="1" x14ac:dyDescent="0.2"/>
    <row r="8769" ht="12.75" customHeight="1" x14ac:dyDescent="0.2"/>
    <row r="8770" ht="12.75" customHeight="1" x14ac:dyDescent="0.2"/>
    <row r="8771" ht="12.75" customHeight="1" x14ac:dyDescent="0.2"/>
    <row r="8772" ht="12.75" customHeight="1" x14ac:dyDescent="0.2"/>
    <row r="8773" ht="12.75" customHeight="1" x14ac:dyDescent="0.2"/>
    <row r="8774" ht="12.75" customHeight="1" x14ac:dyDescent="0.2"/>
    <row r="8775" ht="12.75" customHeight="1" x14ac:dyDescent="0.2"/>
    <row r="8776" ht="12.75" customHeight="1" x14ac:dyDescent="0.2"/>
    <row r="8777" ht="12.75" customHeight="1" x14ac:dyDescent="0.2"/>
    <row r="8778" ht="12.75" customHeight="1" x14ac:dyDescent="0.2"/>
    <row r="8779" ht="12.75" customHeight="1" x14ac:dyDescent="0.2"/>
    <row r="8780" ht="12.75" customHeight="1" x14ac:dyDescent="0.2"/>
    <row r="8781" ht="12.75" customHeight="1" x14ac:dyDescent="0.2"/>
    <row r="8782" ht="12.75" customHeight="1" x14ac:dyDescent="0.2"/>
    <row r="8783" ht="12.75" customHeight="1" x14ac:dyDescent="0.2"/>
    <row r="8784" ht="12.75" customHeight="1" x14ac:dyDescent="0.2"/>
    <row r="8785" ht="12.75" customHeight="1" x14ac:dyDescent="0.2"/>
    <row r="8786" ht="12.75" customHeight="1" x14ac:dyDescent="0.2"/>
    <row r="8787" ht="12.75" customHeight="1" x14ac:dyDescent="0.2"/>
    <row r="8788" ht="12.75" customHeight="1" x14ac:dyDescent="0.2"/>
    <row r="8789" ht="12.75" customHeight="1" x14ac:dyDescent="0.2"/>
    <row r="8790" ht="12.75" customHeight="1" x14ac:dyDescent="0.2"/>
    <row r="8791" ht="12.75" customHeight="1" x14ac:dyDescent="0.2"/>
    <row r="8792" ht="12.75" customHeight="1" x14ac:dyDescent="0.2"/>
    <row r="8793" ht="12.75" customHeight="1" x14ac:dyDescent="0.2"/>
    <row r="8794" ht="12.75" customHeight="1" x14ac:dyDescent="0.2"/>
    <row r="8795" ht="12.75" customHeight="1" x14ac:dyDescent="0.2"/>
    <row r="8796" ht="12.75" customHeight="1" x14ac:dyDescent="0.2"/>
    <row r="8797" ht="12.75" customHeight="1" x14ac:dyDescent="0.2"/>
    <row r="8798" ht="12.75" customHeight="1" x14ac:dyDescent="0.2"/>
    <row r="8799" ht="12.75" customHeight="1" x14ac:dyDescent="0.2"/>
    <row r="8800" ht="12.75" customHeight="1" x14ac:dyDescent="0.2"/>
    <row r="8801" ht="12.75" customHeight="1" x14ac:dyDescent="0.2"/>
    <row r="8802" ht="12.75" customHeight="1" x14ac:dyDescent="0.2"/>
    <row r="8803" ht="12.75" customHeight="1" x14ac:dyDescent="0.2"/>
    <row r="8804" ht="12.75" customHeight="1" x14ac:dyDescent="0.2"/>
    <row r="8805" ht="12.75" customHeight="1" x14ac:dyDescent="0.2"/>
    <row r="8806" ht="12.75" customHeight="1" x14ac:dyDescent="0.2"/>
    <row r="8807" ht="12.75" customHeight="1" x14ac:dyDescent="0.2"/>
    <row r="8808" ht="12.75" customHeight="1" x14ac:dyDescent="0.2"/>
    <row r="8809" ht="12.75" customHeight="1" x14ac:dyDescent="0.2"/>
    <row r="8810" ht="12.75" customHeight="1" x14ac:dyDescent="0.2"/>
    <row r="8811" ht="12.75" customHeight="1" x14ac:dyDescent="0.2"/>
    <row r="8812" ht="12.75" customHeight="1" x14ac:dyDescent="0.2"/>
    <row r="8813" ht="12.75" customHeight="1" x14ac:dyDescent="0.2"/>
    <row r="8814" ht="12.75" customHeight="1" x14ac:dyDescent="0.2"/>
    <row r="8815" ht="12.75" customHeight="1" x14ac:dyDescent="0.2"/>
    <row r="8816" ht="12.75" customHeight="1" x14ac:dyDescent="0.2"/>
    <row r="8817" ht="12.75" customHeight="1" x14ac:dyDescent="0.2"/>
    <row r="8818" ht="12.75" customHeight="1" x14ac:dyDescent="0.2"/>
    <row r="8819" ht="12.75" customHeight="1" x14ac:dyDescent="0.2"/>
    <row r="8820" ht="12.75" customHeight="1" x14ac:dyDescent="0.2"/>
    <row r="8821" ht="12.75" customHeight="1" x14ac:dyDescent="0.2"/>
    <row r="8822" ht="12.75" customHeight="1" x14ac:dyDescent="0.2"/>
    <row r="8823" ht="12.75" customHeight="1" x14ac:dyDescent="0.2"/>
    <row r="8824" ht="12.75" customHeight="1" x14ac:dyDescent="0.2"/>
    <row r="8825" ht="12.75" customHeight="1" x14ac:dyDescent="0.2"/>
    <row r="8826" ht="12.75" customHeight="1" x14ac:dyDescent="0.2"/>
    <row r="8827" ht="12.75" customHeight="1" x14ac:dyDescent="0.2"/>
    <row r="8828" ht="12.75" customHeight="1" x14ac:dyDescent="0.2"/>
    <row r="8829" ht="12.75" customHeight="1" x14ac:dyDescent="0.2"/>
    <row r="8830" ht="12.75" customHeight="1" x14ac:dyDescent="0.2"/>
    <row r="8831" ht="12.75" customHeight="1" x14ac:dyDescent="0.2"/>
    <row r="8832" ht="12.75" customHeight="1" x14ac:dyDescent="0.2"/>
    <row r="8833" ht="12.75" customHeight="1" x14ac:dyDescent="0.2"/>
    <row r="8834" ht="12.75" customHeight="1" x14ac:dyDescent="0.2"/>
    <row r="8835" ht="12.75" customHeight="1" x14ac:dyDescent="0.2"/>
    <row r="8836" ht="12.75" customHeight="1" x14ac:dyDescent="0.2"/>
    <row r="8837" ht="12.75" customHeight="1" x14ac:dyDescent="0.2"/>
    <row r="8838" ht="12.75" customHeight="1" x14ac:dyDescent="0.2"/>
    <row r="8839" ht="12.75" customHeight="1" x14ac:dyDescent="0.2"/>
    <row r="8840" ht="12.75" customHeight="1" x14ac:dyDescent="0.2"/>
    <row r="8841" ht="12.75" customHeight="1" x14ac:dyDescent="0.2"/>
    <row r="8842" ht="12.75" customHeight="1" x14ac:dyDescent="0.2"/>
    <row r="8843" ht="12.75" customHeight="1" x14ac:dyDescent="0.2"/>
    <row r="8844" ht="12.75" customHeight="1" x14ac:dyDescent="0.2"/>
    <row r="8845" ht="12.75" customHeight="1" x14ac:dyDescent="0.2"/>
    <row r="8846" ht="12.75" customHeight="1" x14ac:dyDescent="0.2"/>
    <row r="8847" ht="12.75" customHeight="1" x14ac:dyDescent="0.2"/>
    <row r="8848" ht="12.75" customHeight="1" x14ac:dyDescent="0.2"/>
    <row r="8849" ht="12.75" customHeight="1" x14ac:dyDescent="0.2"/>
    <row r="8850" ht="12.75" customHeight="1" x14ac:dyDescent="0.2"/>
    <row r="8851" ht="12.75" customHeight="1" x14ac:dyDescent="0.2"/>
    <row r="8852" ht="12.75" customHeight="1" x14ac:dyDescent="0.2"/>
    <row r="8853" ht="12.75" customHeight="1" x14ac:dyDescent="0.2"/>
    <row r="8854" ht="12.75" customHeight="1" x14ac:dyDescent="0.2"/>
    <row r="8855" ht="12.75" customHeight="1" x14ac:dyDescent="0.2"/>
    <row r="8856" ht="12.75" customHeight="1" x14ac:dyDescent="0.2"/>
    <row r="8857" ht="12.75" customHeight="1" x14ac:dyDescent="0.2"/>
    <row r="8858" ht="12.75" customHeight="1" x14ac:dyDescent="0.2"/>
    <row r="8859" ht="12.75" customHeight="1" x14ac:dyDescent="0.2"/>
    <row r="8860" ht="12.75" customHeight="1" x14ac:dyDescent="0.2"/>
    <row r="8861" ht="12.75" customHeight="1" x14ac:dyDescent="0.2"/>
    <row r="8862" ht="12.75" customHeight="1" x14ac:dyDescent="0.2"/>
    <row r="8863" ht="12.75" customHeight="1" x14ac:dyDescent="0.2"/>
    <row r="8864" ht="12.75" customHeight="1" x14ac:dyDescent="0.2"/>
    <row r="8865" ht="12.75" customHeight="1" x14ac:dyDescent="0.2"/>
    <row r="8866" ht="12.75" customHeight="1" x14ac:dyDescent="0.2"/>
    <row r="8867" ht="12.75" customHeight="1" x14ac:dyDescent="0.2"/>
    <row r="8868" ht="12.75" customHeight="1" x14ac:dyDescent="0.2"/>
    <row r="8869" ht="12.75" customHeight="1" x14ac:dyDescent="0.2"/>
    <row r="8870" ht="12.75" customHeight="1" x14ac:dyDescent="0.2"/>
    <row r="8871" ht="12.75" customHeight="1" x14ac:dyDescent="0.2"/>
    <row r="8872" ht="12.75" customHeight="1" x14ac:dyDescent="0.2"/>
    <row r="8873" ht="12.75" customHeight="1" x14ac:dyDescent="0.2"/>
    <row r="8874" ht="12.75" customHeight="1" x14ac:dyDescent="0.2"/>
    <row r="8875" ht="12.75" customHeight="1" x14ac:dyDescent="0.2"/>
    <row r="8876" ht="12.75" customHeight="1" x14ac:dyDescent="0.2"/>
    <row r="8877" ht="12.75" customHeight="1" x14ac:dyDescent="0.2"/>
    <row r="8878" ht="12.75" customHeight="1" x14ac:dyDescent="0.2"/>
    <row r="8879" ht="12.75" customHeight="1" x14ac:dyDescent="0.2"/>
    <row r="8880" ht="12.75" customHeight="1" x14ac:dyDescent="0.2"/>
    <row r="8881" ht="12.75" customHeight="1" x14ac:dyDescent="0.2"/>
    <row r="8882" ht="12.75" customHeight="1" x14ac:dyDescent="0.2"/>
    <row r="8883" ht="12.75" customHeight="1" x14ac:dyDescent="0.2"/>
    <row r="8884" ht="12.75" customHeight="1" x14ac:dyDescent="0.2"/>
    <row r="8885" ht="12.75" customHeight="1" x14ac:dyDescent="0.2"/>
    <row r="8886" ht="12.75" customHeight="1" x14ac:dyDescent="0.2"/>
    <row r="8887" ht="12.75" customHeight="1" x14ac:dyDescent="0.2"/>
    <row r="8888" ht="12.75" customHeight="1" x14ac:dyDescent="0.2"/>
    <row r="8889" ht="12.75" customHeight="1" x14ac:dyDescent="0.2"/>
    <row r="8890" ht="12.75" customHeight="1" x14ac:dyDescent="0.2"/>
    <row r="8891" ht="12.75" customHeight="1" x14ac:dyDescent="0.2"/>
    <row r="8892" ht="12.75" customHeight="1" x14ac:dyDescent="0.2"/>
    <row r="8893" ht="12.75" customHeight="1" x14ac:dyDescent="0.2"/>
    <row r="8894" ht="12.75" customHeight="1" x14ac:dyDescent="0.2"/>
    <row r="8895" ht="12.75" customHeight="1" x14ac:dyDescent="0.2"/>
    <row r="8896" ht="12.75" customHeight="1" x14ac:dyDescent="0.2"/>
    <row r="8897" ht="12.75" customHeight="1" x14ac:dyDescent="0.2"/>
    <row r="8898" ht="12.75" customHeight="1" x14ac:dyDescent="0.2"/>
    <row r="8899" ht="12.75" customHeight="1" x14ac:dyDescent="0.2"/>
    <row r="8900" ht="12.75" customHeight="1" x14ac:dyDescent="0.2"/>
    <row r="8901" ht="12.75" customHeight="1" x14ac:dyDescent="0.2"/>
    <row r="8902" ht="12.75" customHeight="1" x14ac:dyDescent="0.2"/>
    <row r="8903" ht="12.75" customHeight="1" x14ac:dyDescent="0.2"/>
    <row r="8904" ht="12.75" customHeight="1" x14ac:dyDescent="0.2"/>
    <row r="8905" ht="12.75" customHeight="1" x14ac:dyDescent="0.2"/>
    <row r="8906" ht="12.75" customHeight="1" x14ac:dyDescent="0.2"/>
    <row r="8907" ht="12.75" customHeight="1" x14ac:dyDescent="0.2"/>
    <row r="8908" ht="12.75" customHeight="1" x14ac:dyDescent="0.2"/>
    <row r="8909" ht="12.75" customHeight="1" x14ac:dyDescent="0.2"/>
    <row r="8910" ht="12.75" customHeight="1" x14ac:dyDescent="0.2"/>
    <row r="8911" ht="12.75" customHeight="1" x14ac:dyDescent="0.2"/>
    <row r="8912" ht="12.75" customHeight="1" x14ac:dyDescent="0.2"/>
    <row r="8913" ht="12.75" customHeight="1" x14ac:dyDescent="0.2"/>
    <row r="8914" ht="12.75" customHeight="1" x14ac:dyDescent="0.2"/>
    <row r="8915" ht="12.75" customHeight="1" x14ac:dyDescent="0.2"/>
    <row r="8916" ht="12.75" customHeight="1" x14ac:dyDescent="0.2"/>
    <row r="8917" ht="12.75" customHeight="1" x14ac:dyDescent="0.2"/>
    <row r="8918" ht="12.75" customHeight="1" x14ac:dyDescent="0.2"/>
    <row r="8919" ht="12.75" customHeight="1" x14ac:dyDescent="0.2"/>
    <row r="8920" ht="12.75" customHeight="1" x14ac:dyDescent="0.2"/>
    <row r="8921" ht="12.75" customHeight="1" x14ac:dyDescent="0.2"/>
    <row r="8922" ht="12.75" customHeight="1" x14ac:dyDescent="0.2"/>
    <row r="8923" ht="12.75" customHeight="1" x14ac:dyDescent="0.2"/>
    <row r="8924" ht="12.75" customHeight="1" x14ac:dyDescent="0.2"/>
    <row r="8925" ht="12.75" customHeight="1" x14ac:dyDescent="0.2"/>
    <row r="8926" ht="12.75" customHeight="1" x14ac:dyDescent="0.2"/>
    <row r="8927" ht="12.75" customHeight="1" x14ac:dyDescent="0.2"/>
    <row r="8928" ht="12.75" customHeight="1" x14ac:dyDescent="0.2"/>
    <row r="8929" ht="12.75" customHeight="1" x14ac:dyDescent="0.2"/>
    <row r="8930" ht="12.75" customHeight="1" x14ac:dyDescent="0.2"/>
    <row r="8931" ht="12.75" customHeight="1" x14ac:dyDescent="0.2"/>
    <row r="8932" ht="12.75" customHeight="1" x14ac:dyDescent="0.2"/>
    <row r="8933" ht="12.75" customHeight="1" x14ac:dyDescent="0.2"/>
    <row r="8934" ht="12.75" customHeight="1" x14ac:dyDescent="0.2"/>
    <row r="8935" ht="12.75" customHeight="1" x14ac:dyDescent="0.2"/>
    <row r="8936" ht="12.75" customHeight="1" x14ac:dyDescent="0.2"/>
    <row r="8937" ht="12.75" customHeight="1" x14ac:dyDescent="0.2"/>
    <row r="8938" ht="12.75" customHeight="1" x14ac:dyDescent="0.2"/>
    <row r="8939" ht="12.75" customHeight="1" x14ac:dyDescent="0.2"/>
    <row r="8940" ht="12.75" customHeight="1" x14ac:dyDescent="0.2"/>
    <row r="8941" ht="12.75" customHeight="1" x14ac:dyDescent="0.2"/>
    <row r="8942" ht="12.75" customHeight="1" x14ac:dyDescent="0.2"/>
    <row r="8943" ht="12.75" customHeight="1" x14ac:dyDescent="0.2"/>
    <row r="8944" ht="12.75" customHeight="1" x14ac:dyDescent="0.2"/>
    <row r="8945" ht="12.75" customHeight="1" x14ac:dyDescent="0.2"/>
    <row r="8946" ht="12.75" customHeight="1" x14ac:dyDescent="0.2"/>
    <row r="8947" ht="12.75" customHeight="1" x14ac:dyDescent="0.2"/>
    <row r="8948" ht="12.75" customHeight="1" x14ac:dyDescent="0.2"/>
    <row r="8949" ht="12.75" customHeight="1" x14ac:dyDescent="0.2"/>
    <row r="8950" ht="12.75" customHeight="1" x14ac:dyDescent="0.2"/>
    <row r="8951" ht="12.75" customHeight="1" x14ac:dyDescent="0.2"/>
    <row r="8952" ht="12.75" customHeight="1" x14ac:dyDescent="0.2"/>
    <row r="8953" ht="12.75" customHeight="1" x14ac:dyDescent="0.2"/>
    <row r="8954" ht="12.75" customHeight="1" x14ac:dyDescent="0.2"/>
    <row r="8955" ht="12.75" customHeight="1" x14ac:dyDescent="0.2"/>
    <row r="8956" ht="12.75" customHeight="1" x14ac:dyDescent="0.2"/>
    <row r="8957" ht="12.75" customHeight="1" x14ac:dyDescent="0.2"/>
    <row r="8958" ht="12.75" customHeight="1" x14ac:dyDescent="0.2"/>
    <row r="8959" ht="12.75" customHeight="1" x14ac:dyDescent="0.2"/>
    <row r="8960" ht="12.75" customHeight="1" x14ac:dyDescent="0.2"/>
    <row r="8961" ht="12.75" customHeight="1" x14ac:dyDescent="0.2"/>
    <row r="8962" ht="12.75" customHeight="1" x14ac:dyDescent="0.2"/>
    <row r="8963" ht="12.75" customHeight="1" x14ac:dyDescent="0.2"/>
    <row r="8964" ht="12.75" customHeight="1" x14ac:dyDescent="0.2"/>
    <row r="8965" ht="12.75" customHeight="1" x14ac:dyDescent="0.2"/>
    <row r="8966" ht="12.75" customHeight="1" x14ac:dyDescent="0.2"/>
    <row r="8967" ht="12.75" customHeight="1" x14ac:dyDescent="0.2"/>
    <row r="8968" ht="12.75" customHeight="1" x14ac:dyDescent="0.2"/>
    <row r="8969" ht="12.75" customHeight="1" x14ac:dyDescent="0.2"/>
    <row r="8970" ht="12.75" customHeight="1" x14ac:dyDescent="0.2"/>
    <row r="8971" ht="12.75" customHeight="1" x14ac:dyDescent="0.2"/>
    <row r="8972" ht="12.75" customHeight="1" x14ac:dyDescent="0.2"/>
    <row r="8973" ht="12.75" customHeight="1" x14ac:dyDescent="0.2"/>
    <row r="8974" ht="12.75" customHeight="1" x14ac:dyDescent="0.2"/>
    <row r="8975" ht="12.75" customHeight="1" x14ac:dyDescent="0.2"/>
    <row r="8976" ht="12.75" customHeight="1" x14ac:dyDescent="0.2"/>
    <row r="8977" ht="12.75" customHeight="1" x14ac:dyDescent="0.2"/>
    <row r="8978" ht="12.75" customHeight="1" x14ac:dyDescent="0.2"/>
    <row r="8979" ht="12.75" customHeight="1" x14ac:dyDescent="0.2"/>
    <row r="8980" ht="12.75" customHeight="1" x14ac:dyDescent="0.2"/>
    <row r="8981" ht="12.75" customHeight="1" x14ac:dyDescent="0.2"/>
    <row r="8982" ht="12.75" customHeight="1" x14ac:dyDescent="0.2"/>
    <row r="8983" ht="12.75" customHeight="1" x14ac:dyDescent="0.2"/>
    <row r="8984" ht="12.75" customHeight="1" x14ac:dyDescent="0.2"/>
    <row r="8985" ht="12.75" customHeight="1" x14ac:dyDescent="0.2"/>
    <row r="8986" ht="12.75" customHeight="1" x14ac:dyDescent="0.2"/>
    <row r="8987" ht="12.75" customHeight="1" x14ac:dyDescent="0.2"/>
    <row r="8988" ht="12.75" customHeight="1" x14ac:dyDescent="0.2"/>
    <row r="8989" ht="12.75" customHeight="1" x14ac:dyDescent="0.2"/>
    <row r="8990" ht="12.75" customHeight="1" x14ac:dyDescent="0.2"/>
    <row r="8991" ht="12.75" customHeight="1" x14ac:dyDescent="0.2"/>
    <row r="8992" ht="12.75" customHeight="1" x14ac:dyDescent="0.2"/>
    <row r="8993" ht="12.75" customHeight="1" x14ac:dyDescent="0.2"/>
    <row r="8994" ht="12.75" customHeight="1" x14ac:dyDescent="0.2"/>
    <row r="8995" ht="12.75" customHeight="1" x14ac:dyDescent="0.2"/>
    <row r="8996" ht="12.75" customHeight="1" x14ac:dyDescent="0.2"/>
    <row r="8997" ht="12.75" customHeight="1" x14ac:dyDescent="0.2"/>
    <row r="8998" ht="12.75" customHeight="1" x14ac:dyDescent="0.2"/>
    <row r="8999" ht="12.75" customHeight="1" x14ac:dyDescent="0.2"/>
    <row r="9000" ht="12.75" customHeight="1" x14ac:dyDescent="0.2"/>
    <row r="9001" ht="12.75" customHeight="1" x14ac:dyDescent="0.2"/>
    <row r="9002" ht="12.75" customHeight="1" x14ac:dyDescent="0.2"/>
    <row r="9003" ht="12.75" customHeight="1" x14ac:dyDescent="0.2"/>
    <row r="9004" ht="12.75" customHeight="1" x14ac:dyDescent="0.2"/>
    <row r="9005" ht="12.75" customHeight="1" x14ac:dyDescent="0.2"/>
    <row r="9006" ht="12.75" customHeight="1" x14ac:dyDescent="0.2"/>
    <row r="9007" ht="12.75" customHeight="1" x14ac:dyDescent="0.2"/>
    <row r="9008" ht="12.75" customHeight="1" x14ac:dyDescent="0.2"/>
    <row r="9009" ht="12.75" customHeight="1" x14ac:dyDescent="0.2"/>
    <row r="9010" ht="12.75" customHeight="1" x14ac:dyDescent="0.2"/>
    <row r="9011" ht="12.75" customHeight="1" x14ac:dyDescent="0.2"/>
    <row r="9012" ht="12.75" customHeight="1" x14ac:dyDescent="0.2"/>
    <row r="9013" ht="12.75" customHeight="1" x14ac:dyDescent="0.2"/>
    <row r="9014" ht="12.75" customHeight="1" x14ac:dyDescent="0.2"/>
    <row r="9015" ht="12.75" customHeight="1" x14ac:dyDescent="0.2"/>
    <row r="9016" ht="12.75" customHeight="1" x14ac:dyDescent="0.2"/>
    <row r="9017" ht="12.75" customHeight="1" x14ac:dyDescent="0.2"/>
    <row r="9018" ht="12.75" customHeight="1" x14ac:dyDescent="0.2"/>
    <row r="9019" ht="12.75" customHeight="1" x14ac:dyDescent="0.2"/>
    <row r="9020" ht="12.75" customHeight="1" x14ac:dyDescent="0.2"/>
    <row r="9021" ht="12.75" customHeight="1" x14ac:dyDescent="0.2"/>
    <row r="9022" ht="12.75" customHeight="1" x14ac:dyDescent="0.2"/>
    <row r="9023" ht="12.75" customHeight="1" x14ac:dyDescent="0.2"/>
    <row r="9024" ht="12.75" customHeight="1" x14ac:dyDescent="0.2"/>
    <row r="9025" ht="12.75" customHeight="1" x14ac:dyDescent="0.2"/>
    <row r="9026" ht="12.75" customHeight="1" x14ac:dyDescent="0.2"/>
    <row r="9027" ht="12.75" customHeight="1" x14ac:dyDescent="0.2"/>
    <row r="9028" ht="12.75" customHeight="1" x14ac:dyDescent="0.2"/>
    <row r="9029" ht="12.75" customHeight="1" x14ac:dyDescent="0.2"/>
    <row r="9030" ht="12.75" customHeight="1" x14ac:dyDescent="0.2"/>
    <row r="9031" ht="12.75" customHeight="1" x14ac:dyDescent="0.2"/>
    <row r="9032" ht="12.75" customHeight="1" x14ac:dyDescent="0.2"/>
    <row r="9033" ht="12.75" customHeight="1" x14ac:dyDescent="0.2"/>
    <row r="9034" ht="12.75" customHeight="1" x14ac:dyDescent="0.2"/>
    <row r="9035" ht="12.75" customHeight="1" x14ac:dyDescent="0.2"/>
    <row r="9036" ht="12.75" customHeight="1" x14ac:dyDescent="0.2"/>
    <row r="9037" ht="12.75" customHeight="1" x14ac:dyDescent="0.2"/>
    <row r="9038" ht="12.75" customHeight="1" x14ac:dyDescent="0.2"/>
    <row r="9039" ht="12.75" customHeight="1" x14ac:dyDescent="0.2"/>
    <row r="9040" ht="12.75" customHeight="1" x14ac:dyDescent="0.2"/>
    <row r="9041" ht="12.75" customHeight="1" x14ac:dyDescent="0.2"/>
    <row r="9042" ht="12.75" customHeight="1" x14ac:dyDescent="0.2"/>
    <row r="9043" ht="12.75" customHeight="1" x14ac:dyDescent="0.2"/>
    <row r="9044" ht="12.75" customHeight="1" x14ac:dyDescent="0.2"/>
    <row r="9045" ht="12.75" customHeight="1" x14ac:dyDescent="0.2"/>
    <row r="9046" ht="12.75" customHeight="1" x14ac:dyDescent="0.2"/>
    <row r="9047" ht="12.75" customHeight="1" x14ac:dyDescent="0.2"/>
    <row r="9048" ht="12.75" customHeight="1" x14ac:dyDescent="0.2"/>
    <row r="9049" ht="12.75" customHeight="1" x14ac:dyDescent="0.2"/>
    <row r="9050" ht="12.75" customHeight="1" x14ac:dyDescent="0.2"/>
    <row r="9051" ht="12.75" customHeight="1" x14ac:dyDescent="0.2"/>
    <row r="9052" ht="12.75" customHeight="1" x14ac:dyDescent="0.2"/>
    <row r="9053" ht="12.75" customHeight="1" x14ac:dyDescent="0.2"/>
    <row r="9054" ht="12.75" customHeight="1" x14ac:dyDescent="0.2"/>
    <row r="9055" ht="12.75" customHeight="1" x14ac:dyDescent="0.2"/>
    <row r="9056" ht="12.75" customHeight="1" x14ac:dyDescent="0.2"/>
    <row r="9057" ht="12.75" customHeight="1" x14ac:dyDescent="0.2"/>
    <row r="9058" ht="12.75" customHeight="1" x14ac:dyDescent="0.2"/>
    <row r="9059" ht="12.75" customHeight="1" x14ac:dyDescent="0.2"/>
    <row r="9060" ht="12.75" customHeight="1" x14ac:dyDescent="0.2"/>
    <row r="9061" ht="12.75" customHeight="1" x14ac:dyDescent="0.2"/>
    <row r="9062" ht="12.75" customHeight="1" x14ac:dyDescent="0.2"/>
    <row r="9063" ht="12.75" customHeight="1" x14ac:dyDescent="0.2"/>
    <row r="9064" ht="12.75" customHeight="1" x14ac:dyDescent="0.2"/>
    <row r="9065" ht="12.75" customHeight="1" x14ac:dyDescent="0.2"/>
    <row r="9066" ht="12.75" customHeight="1" x14ac:dyDescent="0.2"/>
    <row r="9067" ht="12.75" customHeight="1" x14ac:dyDescent="0.2"/>
    <row r="9068" ht="12.75" customHeight="1" x14ac:dyDescent="0.2"/>
    <row r="9069" ht="12.75" customHeight="1" x14ac:dyDescent="0.2"/>
    <row r="9070" ht="12.75" customHeight="1" x14ac:dyDescent="0.2"/>
    <row r="9071" ht="12.75" customHeight="1" x14ac:dyDescent="0.2"/>
    <row r="9072" ht="12.75" customHeight="1" x14ac:dyDescent="0.2"/>
    <row r="9073" ht="12.75" customHeight="1" x14ac:dyDescent="0.2"/>
    <row r="9074" ht="12.75" customHeight="1" x14ac:dyDescent="0.2"/>
    <row r="9075" ht="12.75" customHeight="1" x14ac:dyDescent="0.2"/>
    <row r="9076" ht="12.75" customHeight="1" x14ac:dyDescent="0.2"/>
    <row r="9077" ht="12.75" customHeight="1" x14ac:dyDescent="0.2"/>
    <row r="9078" ht="12.75" customHeight="1" x14ac:dyDescent="0.2"/>
    <row r="9079" ht="12.75" customHeight="1" x14ac:dyDescent="0.2"/>
    <row r="9080" ht="12.75" customHeight="1" x14ac:dyDescent="0.2"/>
    <row r="9081" ht="12.75" customHeight="1" x14ac:dyDescent="0.2"/>
    <row r="9082" ht="12.75" customHeight="1" x14ac:dyDescent="0.2"/>
    <row r="9083" ht="12.75" customHeight="1" x14ac:dyDescent="0.2"/>
    <row r="9084" ht="12.75" customHeight="1" x14ac:dyDescent="0.2"/>
    <row r="9085" ht="12.75" customHeight="1" x14ac:dyDescent="0.2"/>
    <row r="9086" ht="12.75" customHeight="1" x14ac:dyDescent="0.2"/>
    <row r="9087" ht="12.75" customHeight="1" x14ac:dyDescent="0.2"/>
    <row r="9088" ht="12.75" customHeight="1" x14ac:dyDescent="0.2"/>
    <row r="9089" ht="12.75" customHeight="1" x14ac:dyDescent="0.2"/>
    <row r="9090" ht="12.75" customHeight="1" x14ac:dyDescent="0.2"/>
    <row r="9091" ht="12.75" customHeight="1" x14ac:dyDescent="0.2"/>
    <row r="9092" ht="12.75" customHeight="1" x14ac:dyDescent="0.2"/>
    <row r="9093" ht="12.75" customHeight="1" x14ac:dyDescent="0.2"/>
    <row r="9094" ht="12.75" customHeight="1" x14ac:dyDescent="0.2"/>
    <row r="9095" ht="12.75" customHeight="1" x14ac:dyDescent="0.2"/>
    <row r="9096" ht="12.75" customHeight="1" x14ac:dyDescent="0.2"/>
    <row r="9097" ht="12.75" customHeight="1" x14ac:dyDescent="0.2"/>
    <row r="9098" ht="12.75" customHeight="1" x14ac:dyDescent="0.2"/>
    <row r="9099" ht="12.75" customHeight="1" x14ac:dyDescent="0.2"/>
    <row r="9100" ht="12.75" customHeight="1" x14ac:dyDescent="0.2"/>
    <row r="9101" ht="12.75" customHeight="1" x14ac:dyDescent="0.2"/>
    <row r="9102" ht="12.75" customHeight="1" x14ac:dyDescent="0.2"/>
    <row r="9103" ht="12.75" customHeight="1" x14ac:dyDescent="0.2"/>
    <row r="9104" ht="12.75" customHeight="1" x14ac:dyDescent="0.2"/>
    <row r="9105" ht="12.75" customHeight="1" x14ac:dyDescent="0.2"/>
    <row r="9106" ht="12.75" customHeight="1" x14ac:dyDescent="0.2"/>
    <row r="9107" ht="12.75" customHeight="1" x14ac:dyDescent="0.2"/>
    <row r="9108" ht="12.75" customHeight="1" x14ac:dyDescent="0.2"/>
    <row r="9109" ht="12.75" customHeight="1" x14ac:dyDescent="0.2"/>
    <row r="9110" ht="12.75" customHeight="1" x14ac:dyDescent="0.2"/>
    <row r="9111" ht="12.75" customHeight="1" x14ac:dyDescent="0.2"/>
    <row r="9112" ht="12.75" customHeight="1" x14ac:dyDescent="0.2"/>
    <row r="9113" ht="12.75" customHeight="1" x14ac:dyDescent="0.2"/>
    <row r="9114" ht="12.75" customHeight="1" x14ac:dyDescent="0.2"/>
    <row r="9115" ht="12.75" customHeight="1" x14ac:dyDescent="0.2"/>
    <row r="9116" ht="12.75" customHeight="1" x14ac:dyDescent="0.2"/>
    <row r="9117" ht="12.75" customHeight="1" x14ac:dyDescent="0.2"/>
    <row r="9118" ht="12.75" customHeight="1" x14ac:dyDescent="0.2"/>
    <row r="9119" ht="12.75" customHeight="1" x14ac:dyDescent="0.2"/>
    <row r="9120" ht="12.75" customHeight="1" x14ac:dyDescent="0.2"/>
    <row r="9121" ht="12.75" customHeight="1" x14ac:dyDescent="0.2"/>
    <row r="9122" ht="12.75" customHeight="1" x14ac:dyDescent="0.2"/>
    <row r="9123" ht="12.75" customHeight="1" x14ac:dyDescent="0.2"/>
    <row r="9124" ht="12.75" customHeight="1" x14ac:dyDescent="0.2"/>
    <row r="9125" ht="12.75" customHeight="1" x14ac:dyDescent="0.2"/>
    <row r="9126" ht="12.75" customHeight="1" x14ac:dyDescent="0.2"/>
    <row r="9127" ht="12.75" customHeight="1" x14ac:dyDescent="0.2"/>
    <row r="9128" ht="12.75" customHeight="1" x14ac:dyDescent="0.2"/>
    <row r="9129" ht="12.75" customHeight="1" x14ac:dyDescent="0.2"/>
    <row r="9130" ht="12.75" customHeight="1" x14ac:dyDescent="0.2"/>
    <row r="9131" ht="12.75" customHeight="1" x14ac:dyDescent="0.2"/>
    <row r="9132" ht="12.75" customHeight="1" x14ac:dyDescent="0.2"/>
    <row r="9133" ht="12.75" customHeight="1" x14ac:dyDescent="0.2"/>
    <row r="9134" ht="12.75" customHeight="1" x14ac:dyDescent="0.2"/>
    <row r="9135" ht="12.75" customHeight="1" x14ac:dyDescent="0.2"/>
    <row r="9136" ht="12.75" customHeight="1" x14ac:dyDescent="0.2"/>
    <row r="9137" ht="12.75" customHeight="1" x14ac:dyDescent="0.2"/>
    <row r="9138" ht="12.75" customHeight="1" x14ac:dyDescent="0.2"/>
    <row r="9139" ht="12.75" customHeight="1" x14ac:dyDescent="0.2"/>
    <row r="9140" ht="12.75" customHeight="1" x14ac:dyDescent="0.2"/>
    <row r="9141" ht="12.75" customHeight="1" x14ac:dyDescent="0.2"/>
    <row r="9142" ht="12.75" customHeight="1" x14ac:dyDescent="0.2"/>
    <row r="9143" ht="12.75" customHeight="1" x14ac:dyDescent="0.2"/>
    <row r="9144" ht="12.75" customHeight="1" x14ac:dyDescent="0.2"/>
    <row r="9145" ht="12.75" customHeight="1" x14ac:dyDescent="0.2"/>
    <row r="9146" ht="12.75" customHeight="1" x14ac:dyDescent="0.2"/>
    <row r="9147" ht="12.75" customHeight="1" x14ac:dyDescent="0.2"/>
    <row r="9148" ht="12.75" customHeight="1" x14ac:dyDescent="0.2"/>
    <row r="9149" ht="12.75" customHeight="1" x14ac:dyDescent="0.2"/>
    <row r="9150" ht="12.75" customHeight="1" x14ac:dyDescent="0.2"/>
    <row r="9151" ht="12.75" customHeight="1" x14ac:dyDescent="0.2"/>
    <row r="9152" ht="12.75" customHeight="1" x14ac:dyDescent="0.2"/>
    <row r="9153" ht="12.75" customHeight="1" x14ac:dyDescent="0.2"/>
    <row r="9154" ht="12.75" customHeight="1" x14ac:dyDescent="0.2"/>
    <row r="9155" ht="12.75" customHeight="1" x14ac:dyDescent="0.2"/>
    <row r="9156" ht="12.75" customHeight="1" x14ac:dyDescent="0.2"/>
    <row r="9157" ht="12.75" customHeight="1" x14ac:dyDescent="0.2"/>
    <row r="9158" ht="12.75" customHeight="1" x14ac:dyDescent="0.2"/>
    <row r="9159" ht="12.75" customHeight="1" x14ac:dyDescent="0.2"/>
    <row r="9160" ht="12.75" customHeight="1" x14ac:dyDescent="0.2"/>
    <row r="9161" ht="12.75" customHeight="1" x14ac:dyDescent="0.2"/>
    <row r="9162" ht="12.75" customHeight="1" x14ac:dyDescent="0.2"/>
    <row r="9163" ht="12.75" customHeight="1" x14ac:dyDescent="0.2"/>
    <row r="9164" ht="12.75" customHeight="1" x14ac:dyDescent="0.2"/>
    <row r="9165" ht="12.75" customHeight="1" x14ac:dyDescent="0.2"/>
    <row r="9166" ht="12.75" customHeight="1" x14ac:dyDescent="0.2"/>
    <row r="9167" ht="12.75" customHeight="1" x14ac:dyDescent="0.2"/>
    <row r="9168" ht="12.75" customHeight="1" x14ac:dyDescent="0.2"/>
    <row r="9169" ht="12.75" customHeight="1" x14ac:dyDescent="0.2"/>
    <row r="9170" ht="12.75" customHeight="1" x14ac:dyDescent="0.2"/>
    <row r="9171" ht="12.75" customHeight="1" x14ac:dyDescent="0.2"/>
    <row r="9172" ht="12.75" customHeight="1" x14ac:dyDescent="0.2"/>
    <row r="9173" ht="12.75" customHeight="1" x14ac:dyDescent="0.2"/>
    <row r="9174" ht="12.75" customHeight="1" x14ac:dyDescent="0.2"/>
    <row r="9175" ht="12.75" customHeight="1" x14ac:dyDescent="0.2"/>
    <row r="9176" ht="12.75" customHeight="1" x14ac:dyDescent="0.2"/>
    <row r="9177" ht="12.75" customHeight="1" x14ac:dyDescent="0.2"/>
    <row r="9178" ht="12.75" customHeight="1" x14ac:dyDescent="0.2"/>
    <row r="9179" ht="12.75" customHeight="1" x14ac:dyDescent="0.2"/>
    <row r="9180" ht="12.75" customHeight="1" x14ac:dyDescent="0.2"/>
    <row r="9181" ht="12.75" customHeight="1" x14ac:dyDescent="0.2"/>
    <row r="9182" ht="12.75" customHeight="1" x14ac:dyDescent="0.2"/>
    <row r="9183" ht="12.75" customHeight="1" x14ac:dyDescent="0.2"/>
    <row r="9184" ht="12.75" customHeight="1" x14ac:dyDescent="0.2"/>
    <row r="9185" ht="12.75" customHeight="1" x14ac:dyDescent="0.2"/>
    <row r="9186" ht="12.75" customHeight="1" x14ac:dyDescent="0.2"/>
    <row r="9187" ht="12.75" customHeight="1" x14ac:dyDescent="0.2"/>
    <row r="9188" ht="12.75" customHeight="1" x14ac:dyDescent="0.2"/>
    <row r="9189" ht="12.75" customHeight="1" x14ac:dyDescent="0.2"/>
    <row r="9190" ht="12.75" customHeight="1" x14ac:dyDescent="0.2"/>
    <row r="9191" ht="12.75" customHeight="1" x14ac:dyDescent="0.2"/>
    <row r="9192" ht="12.75" customHeight="1" x14ac:dyDescent="0.2"/>
    <row r="9193" ht="12.75" customHeight="1" x14ac:dyDescent="0.2"/>
    <row r="9194" ht="12.75" customHeight="1" x14ac:dyDescent="0.2"/>
    <row r="9195" ht="12.75" customHeight="1" x14ac:dyDescent="0.2"/>
    <row r="9196" ht="12.75" customHeight="1" x14ac:dyDescent="0.2"/>
    <row r="9197" ht="12.75" customHeight="1" x14ac:dyDescent="0.2"/>
    <row r="9198" ht="12.75" customHeight="1" x14ac:dyDescent="0.2"/>
    <row r="9199" ht="12.75" customHeight="1" x14ac:dyDescent="0.2"/>
    <row r="9200" ht="12.75" customHeight="1" x14ac:dyDescent="0.2"/>
    <row r="9201" ht="12.75" customHeight="1" x14ac:dyDescent="0.2"/>
    <row r="9202" ht="12.75" customHeight="1" x14ac:dyDescent="0.2"/>
    <row r="9203" ht="12.75" customHeight="1" x14ac:dyDescent="0.2"/>
    <row r="9204" ht="12.75" customHeight="1" x14ac:dyDescent="0.2"/>
    <row r="9205" ht="12.75" customHeight="1" x14ac:dyDescent="0.2"/>
    <row r="9206" ht="12.75" customHeight="1" x14ac:dyDescent="0.2"/>
    <row r="9207" ht="12.75" customHeight="1" x14ac:dyDescent="0.2"/>
    <row r="9208" ht="12.75" customHeight="1" x14ac:dyDescent="0.2"/>
    <row r="9209" ht="12.75" customHeight="1" x14ac:dyDescent="0.2"/>
    <row r="9210" ht="12.75" customHeight="1" x14ac:dyDescent="0.2"/>
    <row r="9211" ht="12.75" customHeight="1" x14ac:dyDescent="0.2"/>
    <row r="9212" ht="12.75" customHeight="1" x14ac:dyDescent="0.2"/>
    <row r="9213" ht="12.75" customHeight="1" x14ac:dyDescent="0.2"/>
    <row r="9214" ht="12.75" customHeight="1" x14ac:dyDescent="0.2"/>
    <row r="9215" ht="12.75" customHeight="1" x14ac:dyDescent="0.2"/>
    <row r="9216" ht="12.75" customHeight="1" x14ac:dyDescent="0.2"/>
    <row r="9217" ht="12.75" customHeight="1" x14ac:dyDescent="0.2"/>
    <row r="9218" ht="12.75" customHeight="1" x14ac:dyDescent="0.2"/>
    <row r="9219" ht="12.75" customHeight="1" x14ac:dyDescent="0.2"/>
    <row r="9220" ht="12.75" customHeight="1" x14ac:dyDescent="0.2"/>
    <row r="9221" ht="12.75" customHeight="1" x14ac:dyDescent="0.2"/>
    <row r="9222" ht="12.75" customHeight="1" x14ac:dyDescent="0.2"/>
    <row r="9223" ht="12.75" customHeight="1" x14ac:dyDescent="0.2"/>
    <row r="9224" ht="12.75" customHeight="1" x14ac:dyDescent="0.2"/>
    <row r="9225" ht="12.75" customHeight="1" x14ac:dyDescent="0.2"/>
    <row r="9226" ht="12.75" customHeight="1" x14ac:dyDescent="0.2"/>
    <row r="9227" ht="12.75" customHeight="1" x14ac:dyDescent="0.2"/>
    <row r="9228" ht="12.75" customHeight="1" x14ac:dyDescent="0.2"/>
    <row r="9229" ht="12.75" customHeight="1" x14ac:dyDescent="0.2"/>
    <row r="9230" ht="12.75" customHeight="1" x14ac:dyDescent="0.2"/>
    <row r="9231" ht="12.75" customHeight="1" x14ac:dyDescent="0.2"/>
    <row r="9232" ht="12.75" customHeight="1" x14ac:dyDescent="0.2"/>
    <row r="9233" ht="12.75" customHeight="1" x14ac:dyDescent="0.2"/>
    <row r="9234" ht="12.75" customHeight="1" x14ac:dyDescent="0.2"/>
    <row r="9235" ht="12.75" customHeight="1" x14ac:dyDescent="0.2"/>
    <row r="9236" ht="12.75" customHeight="1" x14ac:dyDescent="0.2"/>
    <row r="9237" ht="12.75" customHeight="1" x14ac:dyDescent="0.2"/>
    <row r="9238" ht="12.75" customHeight="1" x14ac:dyDescent="0.2"/>
    <row r="9239" ht="12.75" customHeight="1" x14ac:dyDescent="0.2"/>
    <row r="9240" ht="12.75" customHeight="1" x14ac:dyDescent="0.2"/>
    <row r="9241" ht="12.75" customHeight="1" x14ac:dyDescent="0.2"/>
    <row r="9242" ht="12.75" customHeight="1" x14ac:dyDescent="0.2"/>
    <row r="9243" ht="12.75" customHeight="1" x14ac:dyDescent="0.2"/>
    <row r="9244" ht="12.75" customHeight="1" x14ac:dyDescent="0.2"/>
    <row r="9245" ht="12.75" customHeight="1" x14ac:dyDescent="0.2"/>
    <row r="9246" ht="12.75" customHeight="1" x14ac:dyDescent="0.2"/>
    <row r="9247" ht="12.75" customHeight="1" x14ac:dyDescent="0.2"/>
    <row r="9248" ht="12.75" customHeight="1" x14ac:dyDescent="0.2"/>
    <row r="9249" ht="12.75" customHeight="1" x14ac:dyDescent="0.2"/>
    <row r="9250" ht="12.75" customHeight="1" x14ac:dyDescent="0.2"/>
    <row r="9251" ht="12.75" customHeight="1" x14ac:dyDescent="0.2"/>
    <row r="9252" ht="12.75" customHeight="1" x14ac:dyDescent="0.2"/>
    <row r="9253" ht="12.75" customHeight="1" x14ac:dyDescent="0.2"/>
    <row r="9254" ht="12.75" customHeight="1" x14ac:dyDescent="0.2"/>
    <row r="9255" ht="12.75" customHeight="1" x14ac:dyDescent="0.2"/>
    <row r="9256" ht="12.75" customHeight="1" x14ac:dyDescent="0.2"/>
    <row r="9257" ht="12.75" customHeight="1" x14ac:dyDescent="0.2"/>
    <row r="9258" ht="12.75" customHeight="1" x14ac:dyDescent="0.2"/>
    <row r="9259" ht="12.75" customHeight="1" x14ac:dyDescent="0.2"/>
    <row r="9260" ht="12.75" customHeight="1" x14ac:dyDescent="0.2"/>
    <row r="9261" ht="12.75" customHeight="1" x14ac:dyDescent="0.2"/>
    <row r="9262" ht="12.75" customHeight="1" x14ac:dyDescent="0.2"/>
    <row r="9263" ht="12.75" customHeight="1" x14ac:dyDescent="0.2"/>
    <row r="9264" ht="12.75" customHeight="1" x14ac:dyDescent="0.2"/>
    <row r="9265" ht="12.75" customHeight="1" x14ac:dyDescent="0.2"/>
    <row r="9266" ht="12.75" customHeight="1" x14ac:dyDescent="0.2"/>
    <row r="9267" ht="12.75" customHeight="1" x14ac:dyDescent="0.2"/>
    <row r="9268" ht="12.75" customHeight="1" x14ac:dyDescent="0.2"/>
    <row r="9269" ht="12.75" customHeight="1" x14ac:dyDescent="0.2"/>
    <row r="9270" ht="12.75" customHeight="1" x14ac:dyDescent="0.2"/>
    <row r="9271" ht="12.75" customHeight="1" x14ac:dyDescent="0.2"/>
    <row r="9272" ht="12.75" customHeight="1" x14ac:dyDescent="0.2"/>
    <row r="9273" ht="12.75" customHeight="1" x14ac:dyDescent="0.2"/>
    <row r="9274" ht="12.75" customHeight="1" x14ac:dyDescent="0.2"/>
    <row r="9275" ht="12.75" customHeight="1" x14ac:dyDescent="0.2"/>
    <row r="9276" ht="12.75" customHeight="1" x14ac:dyDescent="0.2"/>
    <row r="9277" ht="12.75" customHeight="1" x14ac:dyDescent="0.2"/>
    <row r="9278" ht="12.75" customHeight="1" x14ac:dyDescent="0.2"/>
    <row r="9279" ht="12.75" customHeight="1" x14ac:dyDescent="0.2"/>
    <row r="9280" ht="12.75" customHeight="1" x14ac:dyDescent="0.2"/>
    <row r="9281" ht="12.75" customHeight="1" x14ac:dyDescent="0.2"/>
    <row r="9282" ht="12.75" customHeight="1" x14ac:dyDescent="0.2"/>
    <row r="9283" ht="12.75" customHeight="1" x14ac:dyDescent="0.2"/>
    <row r="9284" ht="12.75" customHeight="1" x14ac:dyDescent="0.2"/>
    <row r="9285" ht="12.75" customHeight="1" x14ac:dyDescent="0.2"/>
    <row r="9286" ht="12.75" customHeight="1" x14ac:dyDescent="0.2"/>
    <row r="9287" ht="12.75" customHeight="1" x14ac:dyDescent="0.2"/>
    <row r="9288" ht="12.75" customHeight="1" x14ac:dyDescent="0.2"/>
    <row r="9289" ht="12.75" customHeight="1" x14ac:dyDescent="0.2"/>
    <row r="9290" ht="12.75" customHeight="1" x14ac:dyDescent="0.2"/>
    <row r="9291" ht="12.75" customHeight="1" x14ac:dyDescent="0.2"/>
    <row r="9292" ht="12.75" customHeight="1" x14ac:dyDescent="0.2"/>
    <row r="9293" ht="12.75" customHeight="1" x14ac:dyDescent="0.2"/>
    <row r="9294" ht="12.75" customHeight="1" x14ac:dyDescent="0.2"/>
    <row r="9295" ht="12.75" customHeight="1" x14ac:dyDescent="0.2"/>
    <row r="9296" ht="12.75" customHeight="1" x14ac:dyDescent="0.2"/>
    <row r="9297" ht="12.75" customHeight="1" x14ac:dyDescent="0.2"/>
    <row r="9298" ht="12.75" customHeight="1" x14ac:dyDescent="0.2"/>
    <row r="9299" ht="12.75" customHeight="1" x14ac:dyDescent="0.2"/>
    <row r="9300" ht="12.75" customHeight="1" x14ac:dyDescent="0.2"/>
    <row r="9301" ht="12.75" customHeight="1" x14ac:dyDescent="0.2"/>
    <row r="9302" ht="12.75" customHeight="1" x14ac:dyDescent="0.2"/>
    <row r="9303" ht="12.75" customHeight="1" x14ac:dyDescent="0.2"/>
    <row r="9304" ht="12.75" customHeight="1" x14ac:dyDescent="0.2"/>
    <row r="9305" ht="12.75" customHeight="1" x14ac:dyDescent="0.2"/>
    <row r="9306" ht="12.75" customHeight="1" x14ac:dyDescent="0.2"/>
    <row r="9307" ht="12.75" customHeight="1" x14ac:dyDescent="0.2"/>
    <row r="9308" ht="12.75" customHeight="1" x14ac:dyDescent="0.2"/>
    <row r="9309" ht="12.75" customHeight="1" x14ac:dyDescent="0.2"/>
    <row r="9310" ht="12.75" customHeight="1" x14ac:dyDescent="0.2"/>
    <row r="9311" ht="12.75" customHeight="1" x14ac:dyDescent="0.2"/>
    <row r="9312" ht="12.75" customHeight="1" x14ac:dyDescent="0.2"/>
    <row r="9313" ht="12.75" customHeight="1" x14ac:dyDescent="0.2"/>
    <row r="9314" ht="12.75" customHeight="1" x14ac:dyDescent="0.2"/>
    <row r="9315" ht="12.75" customHeight="1" x14ac:dyDescent="0.2"/>
    <row r="9316" ht="12.75" customHeight="1" x14ac:dyDescent="0.2"/>
    <row r="9317" ht="12.75" customHeight="1" x14ac:dyDescent="0.2"/>
    <row r="9318" ht="12.75" customHeight="1" x14ac:dyDescent="0.2"/>
    <row r="9319" ht="12.75" customHeight="1" x14ac:dyDescent="0.2"/>
    <row r="9320" ht="12.75" customHeight="1" x14ac:dyDescent="0.2"/>
    <row r="9321" ht="12.75" customHeight="1" x14ac:dyDescent="0.2"/>
    <row r="9322" ht="12.75" customHeight="1" x14ac:dyDescent="0.2"/>
    <row r="9323" ht="12.75" customHeight="1" x14ac:dyDescent="0.2"/>
    <row r="9324" ht="12.75" customHeight="1" x14ac:dyDescent="0.2"/>
    <row r="9325" ht="12.75" customHeight="1" x14ac:dyDescent="0.2"/>
    <row r="9326" ht="12.75" customHeight="1" x14ac:dyDescent="0.2"/>
    <row r="9327" ht="12.75" customHeight="1" x14ac:dyDescent="0.2"/>
    <row r="9328" ht="12.75" customHeight="1" x14ac:dyDescent="0.2"/>
    <row r="9329" ht="12.75" customHeight="1" x14ac:dyDescent="0.2"/>
    <row r="9330" ht="12.75" customHeight="1" x14ac:dyDescent="0.2"/>
    <row r="9331" ht="12.75" customHeight="1" x14ac:dyDescent="0.2"/>
    <row r="9332" ht="12.75" customHeight="1" x14ac:dyDescent="0.2"/>
    <row r="9333" ht="12.75" customHeight="1" x14ac:dyDescent="0.2"/>
    <row r="9334" ht="12.75" customHeight="1" x14ac:dyDescent="0.2"/>
    <row r="9335" ht="12.75" customHeight="1" x14ac:dyDescent="0.2"/>
    <row r="9336" ht="12.75" customHeight="1" x14ac:dyDescent="0.2"/>
    <row r="9337" ht="12.75" customHeight="1" x14ac:dyDescent="0.2"/>
    <row r="9338" ht="12.75" customHeight="1" x14ac:dyDescent="0.2"/>
    <row r="9339" ht="12.75" customHeight="1" x14ac:dyDescent="0.2"/>
    <row r="9340" ht="12.75" customHeight="1" x14ac:dyDescent="0.2"/>
    <row r="9341" ht="12.75" customHeight="1" x14ac:dyDescent="0.2"/>
    <row r="9342" ht="12.75" customHeight="1" x14ac:dyDescent="0.2"/>
    <row r="9343" ht="12.75" customHeight="1" x14ac:dyDescent="0.2"/>
    <row r="9344" ht="12.75" customHeight="1" x14ac:dyDescent="0.2"/>
    <row r="9345" ht="12.75" customHeight="1" x14ac:dyDescent="0.2"/>
    <row r="9346" ht="12.75" customHeight="1" x14ac:dyDescent="0.2"/>
    <row r="9347" ht="12.75" customHeight="1" x14ac:dyDescent="0.2"/>
    <row r="9348" ht="12.75" customHeight="1" x14ac:dyDescent="0.2"/>
    <row r="9349" ht="12.75" customHeight="1" x14ac:dyDescent="0.2"/>
    <row r="9350" ht="12.75" customHeight="1" x14ac:dyDescent="0.2"/>
    <row r="9351" ht="12.75" customHeight="1" x14ac:dyDescent="0.2"/>
    <row r="9352" ht="12.75" customHeight="1" x14ac:dyDescent="0.2"/>
    <row r="9353" ht="12.75" customHeight="1" x14ac:dyDescent="0.2"/>
    <row r="9354" ht="12.75" customHeight="1" x14ac:dyDescent="0.2"/>
    <row r="9355" ht="12.75" customHeight="1" x14ac:dyDescent="0.2"/>
    <row r="9356" ht="12.75" customHeight="1" x14ac:dyDescent="0.2"/>
    <row r="9357" ht="12.75" customHeight="1" x14ac:dyDescent="0.2"/>
    <row r="9358" ht="12.75" customHeight="1" x14ac:dyDescent="0.2"/>
    <row r="9359" ht="12.75" customHeight="1" x14ac:dyDescent="0.2"/>
    <row r="9360" ht="12.75" customHeight="1" x14ac:dyDescent="0.2"/>
    <row r="9361" ht="12.75" customHeight="1" x14ac:dyDescent="0.2"/>
    <row r="9362" ht="12.75" customHeight="1" x14ac:dyDescent="0.2"/>
    <row r="9363" ht="12.75" customHeight="1" x14ac:dyDescent="0.2"/>
    <row r="9364" ht="12.75" customHeight="1" x14ac:dyDescent="0.2"/>
    <row r="9365" ht="12.75" customHeight="1" x14ac:dyDescent="0.2"/>
    <row r="9366" ht="12.75" customHeight="1" x14ac:dyDescent="0.2"/>
    <row r="9367" ht="12.75" customHeight="1" x14ac:dyDescent="0.2"/>
    <row r="9368" ht="12.75" customHeight="1" x14ac:dyDescent="0.2"/>
    <row r="9369" ht="12.75" customHeight="1" x14ac:dyDescent="0.2"/>
    <row r="9370" ht="12.75" customHeight="1" x14ac:dyDescent="0.2"/>
    <row r="9371" ht="12.75" customHeight="1" x14ac:dyDescent="0.2"/>
    <row r="9372" ht="12.75" customHeight="1" x14ac:dyDescent="0.2"/>
    <row r="9373" ht="12.75" customHeight="1" x14ac:dyDescent="0.2"/>
    <row r="9374" ht="12.75" customHeight="1" x14ac:dyDescent="0.2"/>
    <row r="9375" ht="12.75" customHeight="1" x14ac:dyDescent="0.2"/>
    <row r="9376" ht="12.75" customHeight="1" x14ac:dyDescent="0.2"/>
    <row r="9377" ht="12.75" customHeight="1" x14ac:dyDescent="0.2"/>
    <row r="9378" ht="12.75" customHeight="1" x14ac:dyDescent="0.2"/>
    <row r="9379" ht="12.75" customHeight="1" x14ac:dyDescent="0.2"/>
    <row r="9380" ht="12.75" customHeight="1" x14ac:dyDescent="0.2"/>
    <row r="9381" ht="12.75" customHeight="1" x14ac:dyDescent="0.2"/>
    <row r="9382" ht="12.75" customHeight="1" x14ac:dyDescent="0.2"/>
    <row r="9383" ht="12.75" customHeight="1" x14ac:dyDescent="0.2"/>
    <row r="9384" ht="12.75" customHeight="1" x14ac:dyDescent="0.2"/>
    <row r="9385" ht="12.75" customHeight="1" x14ac:dyDescent="0.2"/>
    <row r="9386" ht="12.75" customHeight="1" x14ac:dyDescent="0.2"/>
    <row r="9387" ht="12.75" customHeight="1" x14ac:dyDescent="0.2"/>
    <row r="9388" ht="12.75" customHeight="1" x14ac:dyDescent="0.2"/>
    <row r="9389" ht="12.75" customHeight="1" x14ac:dyDescent="0.2"/>
    <row r="9390" ht="12.75" customHeight="1" x14ac:dyDescent="0.2"/>
    <row r="9391" ht="12.75" customHeight="1" x14ac:dyDescent="0.2"/>
    <row r="9392" ht="12.75" customHeight="1" x14ac:dyDescent="0.2"/>
    <row r="9393" ht="12.75" customHeight="1" x14ac:dyDescent="0.2"/>
    <row r="9394" ht="12.75" customHeight="1" x14ac:dyDescent="0.2"/>
    <row r="9395" ht="12.75" customHeight="1" x14ac:dyDescent="0.2"/>
    <row r="9396" ht="12.75" customHeight="1" x14ac:dyDescent="0.2"/>
    <row r="9397" ht="12.75" customHeight="1" x14ac:dyDescent="0.2"/>
    <row r="9398" ht="12.75" customHeight="1" x14ac:dyDescent="0.2"/>
    <row r="9399" ht="12.75" customHeight="1" x14ac:dyDescent="0.2"/>
    <row r="9400" ht="12.75" customHeight="1" x14ac:dyDescent="0.2"/>
    <row r="9401" ht="12.75" customHeight="1" x14ac:dyDescent="0.2"/>
    <row r="9402" ht="12.75" customHeight="1" x14ac:dyDescent="0.2"/>
    <row r="9403" ht="12.75" customHeight="1" x14ac:dyDescent="0.2"/>
    <row r="9404" ht="12.75" customHeight="1" x14ac:dyDescent="0.2"/>
    <row r="9405" ht="12.75" customHeight="1" x14ac:dyDescent="0.2"/>
    <row r="9406" ht="12.75" customHeight="1" x14ac:dyDescent="0.2"/>
    <row r="9407" ht="12.75" customHeight="1" x14ac:dyDescent="0.2"/>
    <row r="9408" ht="12.75" customHeight="1" x14ac:dyDescent="0.2"/>
    <row r="9409" ht="12.75" customHeight="1" x14ac:dyDescent="0.2"/>
    <row r="9410" ht="12.75" customHeight="1" x14ac:dyDescent="0.2"/>
    <row r="9411" ht="12.75" customHeight="1" x14ac:dyDescent="0.2"/>
    <row r="9412" ht="12.75" customHeight="1" x14ac:dyDescent="0.2"/>
    <row r="9413" ht="12.75" customHeight="1" x14ac:dyDescent="0.2"/>
    <row r="9414" ht="12.75" customHeight="1" x14ac:dyDescent="0.2"/>
    <row r="9415" ht="12.75" customHeight="1" x14ac:dyDescent="0.2"/>
    <row r="9416" ht="12.75" customHeight="1" x14ac:dyDescent="0.2"/>
    <row r="9417" ht="12.75" customHeight="1" x14ac:dyDescent="0.2"/>
    <row r="9418" ht="12.75" customHeight="1" x14ac:dyDescent="0.2"/>
    <row r="9419" ht="12.75" customHeight="1" x14ac:dyDescent="0.2"/>
    <row r="9420" ht="12.75" customHeight="1" x14ac:dyDescent="0.2"/>
    <row r="9421" ht="12.75" customHeight="1" x14ac:dyDescent="0.2"/>
    <row r="9422" ht="12.75" customHeight="1" x14ac:dyDescent="0.2"/>
    <row r="9423" ht="12.75" customHeight="1" x14ac:dyDescent="0.2"/>
    <row r="9424" ht="12.75" customHeight="1" x14ac:dyDescent="0.2"/>
    <row r="9425" ht="12.75" customHeight="1" x14ac:dyDescent="0.2"/>
    <row r="9426" ht="12.75" customHeight="1" x14ac:dyDescent="0.2"/>
    <row r="9427" ht="12.75" customHeight="1" x14ac:dyDescent="0.2"/>
    <row r="9428" ht="12.75" customHeight="1" x14ac:dyDescent="0.2"/>
    <row r="9429" ht="12.75" customHeight="1" x14ac:dyDescent="0.2"/>
    <row r="9430" ht="12.75" customHeight="1" x14ac:dyDescent="0.2"/>
    <row r="9431" ht="12.75" customHeight="1" x14ac:dyDescent="0.2"/>
    <row r="9432" ht="12.75" customHeight="1" x14ac:dyDescent="0.2"/>
    <row r="9433" ht="12.75" customHeight="1" x14ac:dyDescent="0.2"/>
    <row r="9434" ht="12.75" customHeight="1" x14ac:dyDescent="0.2"/>
    <row r="9435" ht="12.75" customHeight="1" x14ac:dyDescent="0.2"/>
    <row r="9436" ht="12.75" customHeight="1" x14ac:dyDescent="0.2"/>
    <row r="9437" ht="12.75" customHeight="1" x14ac:dyDescent="0.2"/>
    <row r="9438" ht="12.75" customHeight="1" x14ac:dyDescent="0.2"/>
    <row r="9439" ht="12.75" customHeight="1" x14ac:dyDescent="0.2"/>
    <row r="9440" ht="12.75" customHeight="1" x14ac:dyDescent="0.2"/>
    <row r="9441" ht="12.75" customHeight="1" x14ac:dyDescent="0.2"/>
    <row r="9442" ht="12.75" customHeight="1" x14ac:dyDescent="0.2"/>
    <row r="9443" ht="12.75" customHeight="1" x14ac:dyDescent="0.2"/>
    <row r="9444" ht="12.75" customHeight="1" x14ac:dyDescent="0.2"/>
    <row r="9445" ht="12.75" customHeight="1" x14ac:dyDescent="0.2"/>
    <row r="9446" ht="12.75" customHeight="1" x14ac:dyDescent="0.2"/>
    <row r="9447" ht="12.75" customHeight="1" x14ac:dyDescent="0.2"/>
    <row r="9448" ht="12.75" customHeight="1" x14ac:dyDescent="0.2"/>
    <row r="9449" ht="12.75" customHeight="1" x14ac:dyDescent="0.2"/>
    <row r="9450" ht="12.75" customHeight="1" x14ac:dyDescent="0.2"/>
    <row r="9451" ht="12.75" customHeight="1" x14ac:dyDescent="0.2"/>
    <row r="9452" ht="12.75" customHeight="1" x14ac:dyDescent="0.2"/>
    <row r="9453" ht="12.75" customHeight="1" x14ac:dyDescent="0.2"/>
    <row r="9454" ht="12.75" customHeight="1" x14ac:dyDescent="0.2"/>
    <row r="9455" ht="12.75" customHeight="1" x14ac:dyDescent="0.2"/>
    <row r="9456" ht="12.75" customHeight="1" x14ac:dyDescent="0.2"/>
    <row r="9457" ht="12.75" customHeight="1" x14ac:dyDescent="0.2"/>
    <row r="9458" ht="12.75" customHeight="1" x14ac:dyDescent="0.2"/>
    <row r="9459" ht="12.75" customHeight="1" x14ac:dyDescent="0.2"/>
    <row r="9460" ht="12.75" customHeight="1" x14ac:dyDescent="0.2"/>
    <row r="9461" ht="12.75" customHeight="1" x14ac:dyDescent="0.2"/>
    <row r="9462" ht="12.75" customHeight="1" x14ac:dyDescent="0.2"/>
    <row r="9463" ht="12.75" customHeight="1" x14ac:dyDescent="0.2"/>
    <row r="9464" ht="12.75" customHeight="1" x14ac:dyDescent="0.2"/>
    <row r="9465" ht="12.75" customHeight="1" x14ac:dyDescent="0.2"/>
    <row r="9466" ht="12.75" customHeight="1" x14ac:dyDescent="0.2"/>
    <row r="9467" ht="12.75" customHeight="1" x14ac:dyDescent="0.2"/>
    <row r="9468" ht="12.75" customHeight="1" x14ac:dyDescent="0.2"/>
    <row r="9469" ht="12.75" customHeight="1" x14ac:dyDescent="0.2"/>
    <row r="9470" ht="12.75" customHeight="1" x14ac:dyDescent="0.2"/>
    <row r="9471" ht="12.75" customHeight="1" x14ac:dyDescent="0.2"/>
    <row r="9472" ht="12.75" customHeight="1" x14ac:dyDescent="0.2"/>
    <row r="9473" ht="12.75" customHeight="1" x14ac:dyDescent="0.2"/>
    <row r="9474" ht="12.75" customHeight="1" x14ac:dyDescent="0.2"/>
    <row r="9475" ht="12.75" customHeight="1" x14ac:dyDescent="0.2"/>
    <row r="9476" ht="12.75" customHeight="1" x14ac:dyDescent="0.2"/>
    <row r="9477" ht="12.75" customHeight="1" x14ac:dyDescent="0.2"/>
    <row r="9478" ht="12.75" customHeight="1" x14ac:dyDescent="0.2"/>
    <row r="9479" ht="12.75" customHeight="1" x14ac:dyDescent="0.2"/>
    <row r="9480" ht="12.75" customHeight="1" x14ac:dyDescent="0.2"/>
    <row r="9481" ht="12.75" customHeight="1" x14ac:dyDescent="0.2"/>
    <row r="9482" ht="12.75" customHeight="1" x14ac:dyDescent="0.2"/>
    <row r="9483" ht="12.75" customHeight="1" x14ac:dyDescent="0.2"/>
    <row r="9484" ht="12.75" customHeight="1" x14ac:dyDescent="0.2"/>
    <row r="9485" ht="12.75" customHeight="1" x14ac:dyDescent="0.2"/>
    <row r="9486" ht="12.75" customHeight="1" x14ac:dyDescent="0.2"/>
    <row r="9487" ht="12.75" customHeight="1" x14ac:dyDescent="0.2"/>
    <row r="9488" ht="12.75" customHeight="1" x14ac:dyDescent="0.2"/>
    <row r="9489" ht="12.75" customHeight="1" x14ac:dyDescent="0.2"/>
    <row r="9490" ht="12.75" customHeight="1" x14ac:dyDescent="0.2"/>
    <row r="9491" ht="12.75" customHeight="1" x14ac:dyDescent="0.2"/>
    <row r="9492" ht="12.75" customHeight="1" x14ac:dyDescent="0.2"/>
    <row r="9493" ht="12.75" customHeight="1" x14ac:dyDescent="0.2"/>
    <row r="9494" ht="12.75" customHeight="1" x14ac:dyDescent="0.2"/>
    <row r="9495" ht="12.75" customHeight="1" x14ac:dyDescent="0.2"/>
    <row r="9496" ht="12.75" customHeight="1" x14ac:dyDescent="0.2"/>
    <row r="9497" ht="12.75" customHeight="1" x14ac:dyDescent="0.2"/>
    <row r="9498" ht="12.75" customHeight="1" x14ac:dyDescent="0.2"/>
    <row r="9499" ht="12.75" customHeight="1" x14ac:dyDescent="0.2"/>
    <row r="9500" ht="12.75" customHeight="1" x14ac:dyDescent="0.2"/>
    <row r="9501" ht="12.75" customHeight="1" x14ac:dyDescent="0.2"/>
    <row r="9502" ht="12.75" customHeight="1" x14ac:dyDescent="0.2"/>
    <row r="9503" ht="12.75" customHeight="1" x14ac:dyDescent="0.2"/>
    <row r="9504" ht="12.75" customHeight="1" x14ac:dyDescent="0.2"/>
    <row r="9505" ht="12.75" customHeight="1" x14ac:dyDescent="0.2"/>
    <row r="9506" ht="12.75" customHeight="1" x14ac:dyDescent="0.2"/>
    <row r="9507" ht="12.75" customHeight="1" x14ac:dyDescent="0.2"/>
    <row r="9508" ht="12.75" customHeight="1" x14ac:dyDescent="0.2"/>
    <row r="9509" ht="12.75" customHeight="1" x14ac:dyDescent="0.2"/>
    <row r="9510" ht="12.75" customHeight="1" x14ac:dyDescent="0.2"/>
    <row r="9511" ht="12.75" customHeight="1" x14ac:dyDescent="0.2"/>
    <row r="9512" ht="12.75" customHeight="1" x14ac:dyDescent="0.2"/>
    <row r="9513" ht="12.75" customHeight="1" x14ac:dyDescent="0.2"/>
    <row r="9514" ht="12.75" customHeight="1" x14ac:dyDescent="0.2"/>
    <row r="9515" ht="12.75" customHeight="1" x14ac:dyDescent="0.2"/>
    <row r="9516" ht="12.75" customHeight="1" x14ac:dyDescent="0.2"/>
    <row r="9517" ht="12.75" customHeight="1" x14ac:dyDescent="0.2"/>
    <row r="9518" ht="12.75" customHeight="1" x14ac:dyDescent="0.2"/>
    <row r="9519" ht="12.75" customHeight="1" x14ac:dyDescent="0.2"/>
    <row r="9520" ht="12.75" customHeight="1" x14ac:dyDescent="0.2"/>
    <row r="9521" ht="12.75" customHeight="1" x14ac:dyDescent="0.2"/>
    <row r="9522" ht="12.75" customHeight="1" x14ac:dyDescent="0.2"/>
    <row r="9523" ht="12.75" customHeight="1" x14ac:dyDescent="0.2"/>
    <row r="9524" ht="12.75" customHeight="1" x14ac:dyDescent="0.2"/>
    <row r="9525" ht="12.75" customHeight="1" x14ac:dyDescent="0.2"/>
    <row r="9526" ht="12.75" customHeight="1" x14ac:dyDescent="0.2"/>
    <row r="9527" ht="12.75" customHeight="1" x14ac:dyDescent="0.2"/>
    <row r="9528" ht="12.75" customHeight="1" x14ac:dyDescent="0.2"/>
    <row r="9529" ht="12.75" customHeight="1" x14ac:dyDescent="0.2"/>
    <row r="9530" ht="12.75" customHeight="1" x14ac:dyDescent="0.2"/>
    <row r="9531" ht="12.75" customHeight="1" x14ac:dyDescent="0.2"/>
    <row r="9532" ht="12.75" customHeight="1" x14ac:dyDescent="0.2"/>
    <row r="9533" ht="12.75" customHeight="1" x14ac:dyDescent="0.2"/>
    <row r="9534" ht="12.75" customHeight="1" x14ac:dyDescent="0.2"/>
    <row r="9535" ht="12.75" customHeight="1" x14ac:dyDescent="0.2"/>
    <row r="9536" ht="12.75" customHeight="1" x14ac:dyDescent="0.2"/>
    <row r="9537" ht="12.75" customHeight="1" x14ac:dyDescent="0.2"/>
    <row r="9538" ht="12.75" customHeight="1" x14ac:dyDescent="0.2"/>
    <row r="9539" ht="12.75" customHeight="1" x14ac:dyDescent="0.2"/>
    <row r="9540" ht="12.75" customHeight="1" x14ac:dyDescent="0.2"/>
    <row r="9541" ht="12.75" customHeight="1" x14ac:dyDescent="0.2"/>
    <row r="9542" ht="12.75" customHeight="1" x14ac:dyDescent="0.2"/>
    <row r="9543" ht="12.75" customHeight="1" x14ac:dyDescent="0.2"/>
    <row r="9544" ht="12.75" customHeight="1" x14ac:dyDescent="0.2"/>
    <row r="9545" ht="12.75" customHeight="1" x14ac:dyDescent="0.2"/>
    <row r="9546" ht="12.75" customHeight="1" x14ac:dyDescent="0.2"/>
    <row r="9547" ht="12.75" customHeight="1" x14ac:dyDescent="0.2"/>
    <row r="9548" ht="12.75" customHeight="1" x14ac:dyDescent="0.2"/>
    <row r="9549" ht="12.75" customHeight="1" x14ac:dyDescent="0.2"/>
    <row r="9550" ht="12.75" customHeight="1" x14ac:dyDescent="0.2"/>
    <row r="9551" ht="12.75" customHeight="1" x14ac:dyDescent="0.2"/>
    <row r="9552" ht="12.75" customHeight="1" x14ac:dyDescent="0.2"/>
    <row r="9553" ht="12.75" customHeight="1" x14ac:dyDescent="0.2"/>
    <row r="9554" ht="12.75" customHeight="1" x14ac:dyDescent="0.2"/>
    <row r="9555" ht="12.75" customHeight="1" x14ac:dyDescent="0.2"/>
    <row r="9556" ht="12.75" customHeight="1" x14ac:dyDescent="0.2"/>
    <row r="9557" ht="12.75" customHeight="1" x14ac:dyDescent="0.2"/>
    <row r="9558" ht="12.75" customHeight="1" x14ac:dyDescent="0.2"/>
    <row r="9559" ht="12.75" customHeight="1" x14ac:dyDescent="0.2"/>
    <row r="9560" ht="12.75" customHeight="1" x14ac:dyDescent="0.2"/>
    <row r="9561" ht="12.75" customHeight="1" x14ac:dyDescent="0.2"/>
    <row r="9562" ht="12.75" customHeight="1" x14ac:dyDescent="0.2"/>
    <row r="9563" ht="12.75" customHeight="1" x14ac:dyDescent="0.2"/>
    <row r="9564" ht="12.75" customHeight="1" x14ac:dyDescent="0.2"/>
    <row r="9565" ht="12.75" customHeight="1" x14ac:dyDescent="0.2"/>
    <row r="9566" ht="12.75" customHeight="1" x14ac:dyDescent="0.2"/>
    <row r="9567" ht="12.75" customHeight="1" x14ac:dyDescent="0.2"/>
    <row r="9568" ht="12.75" customHeight="1" x14ac:dyDescent="0.2"/>
    <row r="9569" ht="12.75" customHeight="1" x14ac:dyDescent="0.2"/>
    <row r="9570" ht="12.75" customHeight="1" x14ac:dyDescent="0.2"/>
    <row r="9571" ht="12.75" customHeight="1" x14ac:dyDescent="0.2"/>
    <row r="9572" ht="12.75" customHeight="1" x14ac:dyDescent="0.2"/>
    <row r="9573" ht="12.75" customHeight="1" x14ac:dyDescent="0.2"/>
    <row r="9574" ht="12.75" customHeight="1" x14ac:dyDescent="0.2"/>
    <row r="9575" ht="12.75" customHeight="1" x14ac:dyDescent="0.2"/>
    <row r="9576" ht="12.75" customHeight="1" x14ac:dyDescent="0.2"/>
    <row r="9577" ht="12.75" customHeight="1" x14ac:dyDescent="0.2"/>
    <row r="9578" ht="12.75" customHeight="1" x14ac:dyDescent="0.2"/>
    <row r="9579" ht="12.75" customHeight="1" x14ac:dyDescent="0.2"/>
    <row r="9580" ht="12.75" customHeight="1" x14ac:dyDescent="0.2"/>
    <row r="9581" ht="12.75" customHeight="1" x14ac:dyDescent="0.2"/>
    <row r="9582" ht="12.75" customHeight="1" x14ac:dyDescent="0.2"/>
    <row r="9583" ht="12.75" customHeight="1" x14ac:dyDescent="0.2"/>
    <row r="9584" ht="12.75" customHeight="1" x14ac:dyDescent="0.2"/>
    <row r="9585" ht="12.75" customHeight="1" x14ac:dyDescent="0.2"/>
    <row r="9586" ht="12.75" customHeight="1" x14ac:dyDescent="0.2"/>
    <row r="9587" ht="12.75" customHeight="1" x14ac:dyDescent="0.2"/>
    <row r="9588" ht="12.75" customHeight="1" x14ac:dyDescent="0.2"/>
    <row r="9589" ht="12.75" customHeight="1" x14ac:dyDescent="0.2"/>
    <row r="9590" ht="12.75" customHeight="1" x14ac:dyDescent="0.2"/>
    <row r="9591" ht="12.75" customHeight="1" x14ac:dyDescent="0.2"/>
    <row r="9592" ht="12.75" customHeight="1" x14ac:dyDescent="0.2"/>
    <row r="9593" ht="12.75" customHeight="1" x14ac:dyDescent="0.2"/>
    <row r="9594" ht="12.75" customHeight="1" x14ac:dyDescent="0.2"/>
    <row r="9595" ht="12.75" customHeight="1" x14ac:dyDescent="0.2"/>
    <row r="9596" ht="12.75" customHeight="1" x14ac:dyDescent="0.2"/>
    <row r="9597" ht="12.75" customHeight="1" x14ac:dyDescent="0.2"/>
    <row r="9598" ht="12.75" customHeight="1" x14ac:dyDescent="0.2"/>
    <row r="9599" ht="12.75" customHeight="1" x14ac:dyDescent="0.2"/>
    <row r="9600" ht="12.75" customHeight="1" x14ac:dyDescent="0.2"/>
    <row r="9601" ht="12.75" customHeight="1" x14ac:dyDescent="0.2"/>
    <row r="9602" ht="12.75" customHeight="1" x14ac:dyDescent="0.2"/>
    <row r="9603" ht="12.75" customHeight="1" x14ac:dyDescent="0.2"/>
    <row r="9604" ht="12.75" customHeight="1" x14ac:dyDescent="0.2"/>
    <row r="9605" ht="12.75" customHeight="1" x14ac:dyDescent="0.2"/>
    <row r="9606" ht="12.75" customHeight="1" x14ac:dyDescent="0.2"/>
    <row r="9607" ht="12.75" customHeight="1" x14ac:dyDescent="0.2"/>
    <row r="9608" ht="12.75" customHeight="1" x14ac:dyDescent="0.2"/>
    <row r="9609" ht="12.75" customHeight="1" x14ac:dyDescent="0.2"/>
    <row r="9610" ht="12.75" customHeight="1" x14ac:dyDescent="0.2"/>
    <row r="9611" ht="12.75" customHeight="1" x14ac:dyDescent="0.2"/>
    <row r="9612" ht="12.75" customHeight="1" x14ac:dyDescent="0.2"/>
    <row r="9613" ht="12.75" customHeight="1" x14ac:dyDescent="0.2"/>
    <row r="9614" ht="12.75" customHeight="1" x14ac:dyDescent="0.2"/>
    <row r="9615" ht="12.75" customHeight="1" x14ac:dyDescent="0.2"/>
    <row r="9616" ht="12.75" customHeight="1" x14ac:dyDescent="0.2"/>
    <row r="9617" ht="12.75" customHeight="1" x14ac:dyDescent="0.2"/>
    <row r="9618" ht="12.75" customHeight="1" x14ac:dyDescent="0.2"/>
    <row r="9619" ht="12.75" customHeight="1" x14ac:dyDescent="0.2"/>
    <row r="9620" ht="12.75" customHeight="1" x14ac:dyDescent="0.2"/>
    <row r="9621" ht="12.75" customHeight="1" x14ac:dyDescent="0.2"/>
    <row r="9622" ht="12.75" customHeight="1" x14ac:dyDescent="0.2"/>
    <row r="9623" ht="12.75" customHeight="1" x14ac:dyDescent="0.2"/>
    <row r="9624" ht="12.75" customHeight="1" x14ac:dyDescent="0.2"/>
    <row r="9625" ht="12.75" customHeight="1" x14ac:dyDescent="0.2"/>
    <row r="9626" ht="12.75" customHeight="1" x14ac:dyDescent="0.2"/>
    <row r="9627" ht="12.75" customHeight="1" x14ac:dyDescent="0.2"/>
    <row r="9628" ht="12.75" customHeight="1" x14ac:dyDescent="0.2"/>
    <row r="9629" ht="12.75" customHeight="1" x14ac:dyDescent="0.2"/>
    <row r="9630" ht="12.75" customHeight="1" x14ac:dyDescent="0.2"/>
    <row r="9631" ht="12.75" customHeight="1" x14ac:dyDescent="0.2"/>
    <row r="9632" ht="12.75" customHeight="1" x14ac:dyDescent="0.2"/>
    <row r="9633" ht="12.75" customHeight="1" x14ac:dyDescent="0.2"/>
    <row r="9634" ht="12.75" customHeight="1" x14ac:dyDescent="0.2"/>
    <row r="9635" ht="12.75" customHeight="1" x14ac:dyDescent="0.2"/>
    <row r="9636" ht="12.75" customHeight="1" x14ac:dyDescent="0.2"/>
    <row r="9637" ht="12.75" customHeight="1" x14ac:dyDescent="0.2"/>
    <row r="9638" ht="12.75" customHeight="1" x14ac:dyDescent="0.2"/>
    <row r="9639" ht="12.75" customHeight="1" x14ac:dyDescent="0.2"/>
    <row r="9640" ht="12.75" customHeight="1" x14ac:dyDescent="0.2"/>
    <row r="9641" ht="12.75" customHeight="1" x14ac:dyDescent="0.2"/>
    <row r="9642" ht="12.75" customHeight="1" x14ac:dyDescent="0.2"/>
    <row r="9643" ht="12.75" customHeight="1" x14ac:dyDescent="0.2"/>
    <row r="9644" ht="12.75" customHeight="1" x14ac:dyDescent="0.2"/>
    <row r="9645" ht="12.75" customHeight="1" x14ac:dyDescent="0.2"/>
    <row r="9646" ht="12.75" customHeight="1" x14ac:dyDescent="0.2"/>
    <row r="9647" ht="12.75" customHeight="1" x14ac:dyDescent="0.2"/>
    <row r="9648" ht="12.75" customHeight="1" x14ac:dyDescent="0.2"/>
    <row r="9649" ht="12.75" customHeight="1" x14ac:dyDescent="0.2"/>
    <row r="9650" ht="12.75" customHeight="1" x14ac:dyDescent="0.2"/>
    <row r="9651" ht="12.75" customHeight="1" x14ac:dyDescent="0.2"/>
    <row r="9652" ht="12.75" customHeight="1" x14ac:dyDescent="0.2"/>
    <row r="9653" ht="12.75" customHeight="1" x14ac:dyDescent="0.2"/>
    <row r="9654" ht="12.75" customHeight="1" x14ac:dyDescent="0.2"/>
    <row r="9655" ht="12.75" customHeight="1" x14ac:dyDescent="0.2"/>
    <row r="9656" ht="12.75" customHeight="1" x14ac:dyDescent="0.2"/>
    <row r="9657" ht="12.75" customHeight="1" x14ac:dyDescent="0.2"/>
    <row r="9658" ht="12.75" customHeight="1" x14ac:dyDescent="0.2"/>
    <row r="9659" ht="12.75" customHeight="1" x14ac:dyDescent="0.2"/>
    <row r="9660" ht="12.75" customHeight="1" x14ac:dyDescent="0.2"/>
    <row r="9661" ht="12.75" customHeight="1" x14ac:dyDescent="0.2"/>
    <row r="9662" ht="12.75" customHeight="1" x14ac:dyDescent="0.2"/>
    <row r="9663" ht="12.75" customHeight="1" x14ac:dyDescent="0.2"/>
    <row r="9664" ht="12.75" customHeight="1" x14ac:dyDescent="0.2"/>
    <row r="9665" ht="12.75" customHeight="1" x14ac:dyDescent="0.2"/>
    <row r="9666" ht="12.75" customHeight="1" x14ac:dyDescent="0.2"/>
    <row r="9667" ht="12.75" customHeight="1" x14ac:dyDescent="0.2"/>
    <row r="9668" ht="12.75" customHeight="1" x14ac:dyDescent="0.2"/>
    <row r="9669" ht="12.75" customHeight="1" x14ac:dyDescent="0.2"/>
    <row r="9670" ht="12.75" customHeight="1" x14ac:dyDescent="0.2"/>
    <row r="9671" ht="12.75" customHeight="1" x14ac:dyDescent="0.2"/>
    <row r="9672" ht="12.75" customHeight="1" x14ac:dyDescent="0.2"/>
    <row r="9673" ht="12.75" customHeight="1" x14ac:dyDescent="0.2"/>
    <row r="9674" ht="12.75" customHeight="1" x14ac:dyDescent="0.2"/>
    <row r="9675" ht="12.75" customHeight="1" x14ac:dyDescent="0.2"/>
    <row r="9676" ht="12.75" customHeight="1" x14ac:dyDescent="0.2"/>
    <row r="9677" ht="12.75" customHeight="1" x14ac:dyDescent="0.2"/>
    <row r="9678" ht="12.75" customHeight="1" x14ac:dyDescent="0.2"/>
    <row r="9679" ht="12.75" customHeight="1" x14ac:dyDescent="0.2"/>
    <row r="9680" ht="12.75" customHeight="1" x14ac:dyDescent="0.2"/>
    <row r="9681" ht="12.75" customHeight="1" x14ac:dyDescent="0.2"/>
    <row r="9682" ht="12.75" customHeight="1" x14ac:dyDescent="0.2"/>
    <row r="9683" ht="12.75" customHeight="1" x14ac:dyDescent="0.2"/>
    <row r="9684" ht="12.75" customHeight="1" x14ac:dyDescent="0.2"/>
    <row r="9685" ht="12.75" customHeight="1" x14ac:dyDescent="0.2"/>
    <row r="9686" ht="12.75" customHeight="1" x14ac:dyDescent="0.2"/>
    <row r="9687" ht="12.75" customHeight="1" x14ac:dyDescent="0.2"/>
    <row r="9688" ht="12.75" customHeight="1" x14ac:dyDescent="0.2"/>
    <row r="9689" ht="12.75" customHeight="1" x14ac:dyDescent="0.2"/>
    <row r="9690" ht="12.75" customHeight="1" x14ac:dyDescent="0.2"/>
    <row r="9691" ht="12.75" customHeight="1" x14ac:dyDescent="0.2"/>
    <row r="9692" ht="12.75" customHeight="1" x14ac:dyDescent="0.2"/>
    <row r="9693" ht="12.75" customHeight="1" x14ac:dyDescent="0.2"/>
    <row r="9694" ht="12.75" customHeight="1" x14ac:dyDescent="0.2"/>
    <row r="9695" ht="12.75" customHeight="1" x14ac:dyDescent="0.2"/>
    <row r="9696" ht="12.75" customHeight="1" x14ac:dyDescent="0.2"/>
    <row r="9697" ht="12.75" customHeight="1" x14ac:dyDescent="0.2"/>
    <row r="9698" ht="12.75" customHeight="1" x14ac:dyDescent="0.2"/>
    <row r="9699" ht="12.75" customHeight="1" x14ac:dyDescent="0.2"/>
    <row r="9700" ht="12.75" customHeight="1" x14ac:dyDescent="0.2"/>
    <row r="9701" ht="12.75" customHeight="1" x14ac:dyDescent="0.2"/>
    <row r="9702" ht="12.75" customHeight="1" x14ac:dyDescent="0.2"/>
    <row r="9703" ht="12.75" customHeight="1" x14ac:dyDescent="0.2"/>
    <row r="9704" ht="12.75" customHeight="1" x14ac:dyDescent="0.2"/>
    <row r="9705" ht="12.75" customHeight="1" x14ac:dyDescent="0.2"/>
    <row r="9706" ht="12.75" customHeight="1" x14ac:dyDescent="0.2"/>
    <row r="9707" ht="12.75" customHeight="1" x14ac:dyDescent="0.2"/>
    <row r="9708" ht="12.75" customHeight="1" x14ac:dyDescent="0.2"/>
    <row r="9709" ht="12.75" customHeight="1" x14ac:dyDescent="0.2"/>
    <row r="9710" ht="12.75" customHeight="1" x14ac:dyDescent="0.2"/>
    <row r="9711" ht="12.75" customHeight="1" x14ac:dyDescent="0.2"/>
    <row r="9712" ht="12.75" customHeight="1" x14ac:dyDescent="0.2"/>
    <row r="9713" ht="12.75" customHeight="1" x14ac:dyDescent="0.2"/>
    <row r="9714" ht="12.75" customHeight="1" x14ac:dyDescent="0.2"/>
    <row r="9715" ht="12.75" customHeight="1" x14ac:dyDescent="0.2"/>
    <row r="9716" ht="12.75" customHeight="1" x14ac:dyDescent="0.2"/>
    <row r="9717" ht="12.75" customHeight="1" x14ac:dyDescent="0.2"/>
    <row r="9718" ht="12.75" customHeight="1" x14ac:dyDescent="0.2"/>
    <row r="9719" ht="12.75" customHeight="1" x14ac:dyDescent="0.2"/>
    <row r="9720" ht="12.75" customHeight="1" x14ac:dyDescent="0.2"/>
    <row r="9721" ht="12.75" customHeight="1" x14ac:dyDescent="0.2"/>
    <row r="9722" ht="12.75" customHeight="1" x14ac:dyDescent="0.2"/>
    <row r="9723" ht="12.75" customHeight="1" x14ac:dyDescent="0.2"/>
    <row r="9724" ht="12.75" customHeight="1" x14ac:dyDescent="0.2"/>
    <row r="9725" ht="12.75" customHeight="1" x14ac:dyDescent="0.2"/>
    <row r="9726" ht="12.75" customHeight="1" x14ac:dyDescent="0.2"/>
    <row r="9727" ht="12.75" customHeight="1" x14ac:dyDescent="0.2"/>
    <row r="9728" ht="12.75" customHeight="1" x14ac:dyDescent="0.2"/>
    <row r="9729" ht="12.75" customHeight="1" x14ac:dyDescent="0.2"/>
    <row r="9730" ht="12.75" customHeight="1" x14ac:dyDescent="0.2"/>
    <row r="9731" ht="12.75" customHeight="1" x14ac:dyDescent="0.2"/>
    <row r="9732" ht="12.75" customHeight="1" x14ac:dyDescent="0.2"/>
    <row r="9733" ht="12.75" customHeight="1" x14ac:dyDescent="0.2"/>
    <row r="9734" ht="12.75" customHeight="1" x14ac:dyDescent="0.2"/>
    <row r="9735" ht="12.75" customHeight="1" x14ac:dyDescent="0.2"/>
    <row r="9736" ht="12.75" customHeight="1" x14ac:dyDescent="0.2"/>
    <row r="9737" ht="12.75" customHeight="1" x14ac:dyDescent="0.2"/>
    <row r="9738" ht="12.75" customHeight="1" x14ac:dyDescent="0.2"/>
    <row r="9739" ht="12.75" customHeight="1" x14ac:dyDescent="0.2"/>
    <row r="9740" ht="12.75" customHeight="1" x14ac:dyDescent="0.2"/>
    <row r="9741" ht="12.75" customHeight="1" x14ac:dyDescent="0.2"/>
    <row r="9742" ht="12.75" customHeight="1" x14ac:dyDescent="0.2"/>
    <row r="9743" ht="12.75" customHeight="1" x14ac:dyDescent="0.2"/>
    <row r="9744" ht="12.75" customHeight="1" x14ac:dyDescent="0.2"/>
    <row r="9745" ht="12.75" customHeight="1" x14ac:dyDescent="0.2"/>
    <row r="9746" ht="12.75" customHeight="1" x14ac:dyDescent="0.2"/>
    <row r="9747" ht="12.75" customHeight="1" x14ac:dyDescent="0.2"/>
    <row r="9748" ht="12.75" customHeight="1" x14ac:dyDescent="0.2"/>
    <row r="9749" ht="12.75" customHeight="1" x14ac:dyDescent="0.2"/>
    <row r="9750" ht="12.75" customHeight="1" x14ac:dyDescent="0.2"/>
    <row r="9751" ht="12.75" customHeight="1" x14ac:dyDescent="0.2"/>
    <row r="9752" ht="12.75" customHeight="1" x14ac:dyDescent="0.2"/>
    <row r="9753" ht="12.75" customHeight="1" x14ac:dyDescent="0.2"/>
    <row r="9754" ht="12.75" customHeight="1" x14ac:dyDescent="0.2"/>
    <row r="9755" ht="12.75" customHeight="1" x14ac:dyDescent="0.2"/>
    <row r="9756" ht="12.75" customHeight="1" x14ac:dyDescent="0.2"/>
    <row r="9757" ht="12.75" customHeight="1" x14ac:dyDescent="0.2"/>
    <row r="9758" ht="12.75" customHeight="1" x14ac:dyDescent="0.2"/>
    <row r="9759" ht="12.75" customHeight="1" x14ac:dyDescent="0.2"/>
    <row r="9760" ht="12.75" customHeight="1" x14ac:dyDescent="0.2"/>
    <row r="9761" ht="12.75" customHeight="1" x14ac:dyDescent="0.2"/>
    <row r="9762" ht="12.75" customHeight="1" x14ac:dyDescent="0.2"/>
    <row r="9763" ht="12.75" customHeight="1" x14ac:dyDescent="0.2"/>
    <row r="9764" ht="12.75" customHeight="1" x14ac:dyDescent="0.2"/>
    <row r="9765" ht="12.75" customHeight="1" x14ac:dyDescent="0.2"/>
    <row r="9766" ht="12.75" customHeight="1" x14ac:dyDescent="0.2"/>
    <row r="9767" ht="12.75" customHeight="1" x14ac:dyDescent="0.2"/>
    <row r="9768" ht="12.75" customHeight="1" x14ac:dyDescent="0.2"/>
    <row r="9769" ht="12.75" customHeight="1" x14ac:dyDescent="0.2"/>
    <row r="9770" ht="12.75" customHeight="1" x14ac:dyDescent="0.2"/>
    <row r="9771" ht="12.75" customHeight="1" x14ac:dyDescent="0.2"/>
    <row r="9772" ht="12.75" customHeight="1" x14ac:dyDescent="0.2"/>
    <row r="9773" ht="12.75" customHeight="1" x14ac:dyDescent="0.2"/>
    <row r="9774" ht="12.75" customHeight="1" x14ac:dyDescent="0.2"/>
    <row r="9775" ht="12.75" customHeight="1" x14ac:dyDescent="0.2"/>
    <row r="9776" ht="12.75" customHeight="1" x14ac:dyDescent="0.2"/>
    <row r="9777" ht="12.75" customHeight="1" x14ac:dyDescent="0.2"/>
    <row r="9778" ht="12.75" customHeight="1" x14ac:dyDescent="0.2"/>
    <row r="9779" ht="12.75" customHeight="1" x14ac:dyDescent="0.2"/>
    <row r="9780" ht="12.75" customHeight="1" x14ac:dyDescent="0.2"/>
    <row r="9781" ht="12.75" customHeight="1" x14ac:dyDescent="0.2"/>
    <row r="9782" ht="12.75" customHeight="1" x14ac:dyDescent="0.2"/>
    <row r="9783" ht="12.75" customHeight="1" x14ac:dyDescent="0.2"/>
    <row r="9784" ht="12.75" customHeight="1" x14ac:dyDescent="0.2"/>
    <row r="9785" ht="12.75" customHeight="1" x14ac:dyDescent="0.2"/>
    <row r="9786" ht="12.75" customHeight="1" x14ac:dyDescent="0.2"/>
    <row r="9787" ht="12.75" customHeight="1" x14ac:dyDescent="0.2"/>
    <row r="9788" ht="12.75" customHeight="1" x14ac:dyDescent="0.2"/>
    <row r="9789" ht="12.75" customHeight="1" x14ac:dyDescent="0.2"/>
    <row r="9790" ht="12.75" customHeight="1" x14ac:dyDescent="0.2"/>
    <row r="9791" ht="12.75" customHeight="1" x14ac:dyDescent="0.2"/>
    <row r="9792" ht="12.75" customHeight="1" x14ac:dyDescent="0.2"/>
    <row r="9793" ht="12.75" customHeight="1" x14ac:dyDescent="0.2"/>
    <row r="9794" ht="12.75" customHeight="1" x14ac:dyDescent="0.2"/>
    <row r="9795" ht="12.75" customHeight="1" x14ac:dyDescent="0.2"/>
    <row r="9796" ht="12.75" customHeight="1" x14ac:dyDescent="0.2"/>
    <row r="9797" ht="12.75" customHeight="1" x14ac:dyDescent="0.2"/>
    <row r="9798" ht="12.75" customHeight="1" x14ac:dyDescent="0.2"/>
    <row r="9799" ht="12.75" customHeight="1" x14ac:dyDescent="0.2"/>
    <row r="9800" ht="12.75" customHeight="1" x14ac:dyDescent="0.2"/>
    <row r="9801" ht="12.75" customHeight="1" x14ac:dyDescent="0.2"/>
    <row r="9802" ht="12.75" customHeight="1" x14ac:dyDescent="0.2"/>
    <row r="9803" ht="12.75" customHeight="1" x14ac:dyDescent="0.2"/>
    <row r="9804" ht="12.75" customHeight="1" x14ac:dyDescent="0.2"/>
    <row r="9805" ht="12.75" customHeight="1" x14ac:dyDescent="0.2"/>
    <row r="9806" ht="12.75" customHeight="1" x14ac:dyDescent="0.2"/>
    <row r="9807" ht="12.75" customHeight="1" x14ac:dyDescent="0.2"/>
    <row r="9808" ht="12.75" customHeight="1" x14ac:dyDescent="0.2"/>
    <row r="9809" ht="12.75" customHeight="1" x14ac:dyDescent="0.2"/>
    <row r="9810" ht="12.75" customHeight="1" x14ac:dyDescent="0.2"/>
    <row r="9811" ht="12.75" customHeight="1" x14ac:dyDescent="0.2"/>
    <row r="9812" ht="12.75" customHeight="1" x14ac:dyDescent="0.2"/>
    <row r="9813" ht="12.75" customHeight="1" x14ac:dyDescent="0.2"/>
    <row r="9814" ht="12.75" customHeight="1" x14ac:dyDescent="0.2"/>
    <row r="9815" ht="12.75" customHeight="1" x14ac:dyDescent="0.2"/>
    <row r="9816" ht="12.75" customHeight="1" x14ac:dyDescent="0.2"/>
    <row r="9817" ht="12.75" customHeight="1" x14ac:dyDescent="0.2"/>
    <row r="9818" ht="12.75" customHeight="1" x14ac:dyDescent="0.2"/>
    <row r="9819" ht="12.75" customHeight="1" x14ac:dyDescent="0.2"/>
    <row r="9820" ht="12.75" customHeight="1" x14ac:dyDescent="0.2"/>
    <row r="9821" ht="12.75" customHeight="1" x14ac:dyDescent="0.2"/>
    <row r="9822" ht="12.75" customHeight="1" x14ac:dyDescent="0.2"/>
    <row r="9823" ht="12.75" customHeight="1" x14ac:dyDescent="0.2"/>
    <row r="9824" ht="12.75" customHeight="1" x14ac:dyDescent="0.2"/>
    <row r="9825" ht="12.75" customHeight="1" x14ac:dyDescent="0.2"/>
    <row r="9826" ht="12.75" customHeight="1" x14ac:dyDescent="0.2"/>
    <row r="9827" ht="12.75" customHeight="1" x14ac:dyDescent="0.2"/>
    <row r="9828" ht="12.75" customHeight="1" x14ac:dyDescent="0.2"/>
    <row r="9829" ht="12.75" customHeight="1" x14ac:dyDescent="0.2"/>
    <row r="9830" ht="12.75" customHeight="1" x14ac:dyDescent="0.2"/>
    <row r="9831" ht="12.75" customHeight="1" x14ac:dyDescent="0.2"/>
    <row r="9832" ht="12.75" customHeight="1" x14ac:dyDescent="0.2"/>
    <row r="9833" ht="12.75" customHeight="1" x14ac:dyDescent="0.2"/>
    <row r="9834" ht="12.75" customHeight="1" x14ac:dyDescent="0.2"/>
    <row r="9835" ht="12.75" customHeight="1" x14ac:dyDescent="0.2"/>
    <row r="9836" ht="12.75" customHeight="1" x14ac:dyDescent="0.2"/>
    <row r="9837" ht="12.75" customHeight="1" x14ac:dyDescent="0.2"/>
    <row r="9838" ht="12.75" customHeight="1" x14ac:dyDescent="0.2"/>
    <row r="9839" ht="12.75" customHeight="1" x14ac:dyDescent="0.2"/>
    <row r="9840" ht="12.75" customHeight="1" x14ac:dyDescent="0.2"/>
    <row r="9841" ht="12.75" customHeight="1" x14ac:dyDescent="0.2"/>
    <row r="9842" ht="12.75" customHeight="1" x14ac:dyDescent="0.2"/>
    <row r="9843" ht="12.75" customHeight="1" x14ac:dyDescent="0.2"/>
    <row r="9844" ht="12.75" customHeight="1" x14ac:dyDescent="0.2"/>
    <row r="9845" ht="12.75" customHeight="1" x14ac:dyDescent="0.2"/>
    <row r="9846" ht="12.75" customHeight="1" x14ac:dyDescent="0.2"/>
    <row r="9847" ht="12.75" customHeight="1" x14ac:dyDescent="0.2"/>
    <row r="9848" ht="12.75" customHeight="1" x14ac:dyDescent="0.2"/>
    <row r="9849" ht="12.75" customHeight="1" x14ac:dyDescent="0.2"/>
    <row r="9850" ht="12.75" customHeight="1" x14ac:dyDescent="0.2"/>
    <row r="9851" ht="12.75" customHeight="1" x14ac:dyDescent="0.2"/>
    <row r="9852" ht="12.75" customHeight="1" x14ac:dyDescent="0.2"/>
    <row r="9853" ht="12.75" customHeight="1" x14ac:dyDescent="0.2"/>
    <row r="9854" ht="12.75" customHeight="1" x14ac:dyDescent="0.2"/>
    <row r="9855" ht="12.75" customHeight="1" x14ac:dyDescent="0.2"/>
    <row r="9856" ht="12.75" customHeight="1" x14ac:dyDescent="0.2"/>
    <row r="9857" ht="12.75" customHeight="1" x14ac:dyDescent="0.2"/>
    <row r="9858" ht="12.75" customHeight="1" x14ac:dyDescent="0.2"/>
    <row r="9859" ht="12.75" customHeight="1" x14ac:dyDescent="0.2"/>
    <row r="9860" ht="12.75" customHeight="1" x14ac:dyDescent="0.2"/>
    <row r="9861" ht="12.75" customHeight="1" x14ac:dyDescent="0.2"/>
    <row r="9862" ht="12.75" customHeight="1" x14ac:dyDescent="0.2"/>
    <row r="9863" ht="12.75" customHeight="1" x14ac:dyDescent="0.2"/>
    <row r="9864" ht="12.75" customHeight="1" x14ac:dyDescent="0.2"/>
    <row r="9865" ht="12.75" customHeight="1" x14ac:dyDescent="0.2"/>
    <row r="9866" ht="12.75" customHeight="1" x14ac:dyDescent="0.2"/>
    <row r="9867" ht="12.75" customHeight="1" x14ac:dyDescent="0.2"/>
    <row r="9868" ht="12.75" customHeight="1" x14ac:dyDescent="0.2"/>
    <row r="9869" ht="12.75" customHeight="1" x14ac:dyDescent="0.2"/>
    <row r="9870" ht="12.75" customHeight="1" x14ac:dyDescent="0.2"/>
    <row r="9871" ht="12.75" customHeight="1" x14ac:dyDescent="0.2"/>
    <row r="9872" ht="12.75" customHeight="1" x14ac:dyDescent="0.2"/>
    <row r="9873" ht="12.75" customHeight="1" x14ac:dyDescent="0.2"/>
    <row r="9874" ht="12.75" customHeight="1" x14ac:dyDescent="0.2"/>
    <row r="9875" ht="12.75" customHeight="1" x14ac:dyDescent="0.2"/>
    <row r="9876" ht="12.75" customHeight="1" x14ac:dyDescent="0.2"/>
    <row r="9877" ht="12.75" customHeight="1" x14ac:dyDescent="0.2"/>
    <row r="9878" ht="12.75" customHeight="1" x14ac:dyDescent="0.2"/>
    <row r="9879" ht="12.75" customHeight="1" x14ac:dyDescent="0.2"/>
    <row r="9880" ht="12.75" customHeight="1" x14ac:dyDescent="0.2"/>
    <row r="9881" ht="12.75" customHeight="1" x14ac:dyDescent="0.2"/>
    <row r="9882" ht="12.75" customHeight="1" x14ac:dyDescent="0.2"/>
    <row r="9883" ht="12.75" customHeight="1" x14ac:dyDescent="0.2"/>
    <row r="9884" ht="12.75" customHeight="1" x14ac:dyDescent="0.2"/>
    <row r="9885" ht="12.75" customHeight="1" x14ac:dyDescent="0.2"/>
    <row r="9886" ht="12.75" customHeight="1" x14ac:dyDescent="0.2"/>
    <row r="9887" ht="12.75" customHeight="1" x14ac:dyDescent="0.2"/>
    <row r="9888" ht="12.75" customHeight="1" x14ac:dyDescent="0.2"/>
    <row r="9889" ht="12.75" customHeight="1" x14ac:dyDescent="0.2"/>
    <row r="9890" ht="12.75" customHeight="1" x14ac:dyDescent="0.2"/>
    <row r="9891" ht="12.75" customHeight="1" x14ac:dyDescent="0.2"/>
    <row r="9892" ht="12.75" customHeight="1" x14ac:dyDescent="0.2"/>
    <row r="9893" ht="12.75" customHeight="1" x14ac:dyDescent="0.2"/>
    <row r="9894" ht="12.75" customHeight="1" x14ac:dyDescent="0.2"/>
    <row r="9895" ht="12.75" customHeight="1" x14ac:dyDescent="0.2"/>
    <row r="9896" ht="12.75" customHeight="1" x14ac:dyDescent="0.2"/>
    <row r="9897" ht="12.75" customHeight="1" x14ac:dyDescent="0.2"/>
    <row r="9898" ht="12.75" customHeight="1" x14ac:dyDescent="0.2"/>
    <row r="9899" ht="12.75" customHeight="1" x14ac:dyDescent="0.2"/>
    <row r="9900" ht="12.75" customHeight="1" x14ac:dyDescent="0.2"/>
    <row r="9901" ht="12.75" customHeight="1" x14ac:dyDescent="0.2"/>
    <row r="9902" ht="12.75" customHeight="1" x14ac:dyDescent="0.2"/>
    <row r="9903" ht="12.75" customHeight="1" x14ac:dyDescent="0.2"/>
    <row r="9904" ht="12.75" customHeight="1" x14ac:dyDescent="0.2"/>
    <row r="9905" ht="12.75" customHeight="1" x14ac:dyDescent="0.2"/>
    <row r="9906" ht="12.75" customHeight="1" x14ac:dyDescent="0.2"/>
    <row r="9907" ht="12.75" customHeight="1" x14ac:dyDescent="0.2"/>
    <row r="9908" ht="12.75" customHeight="1" x14ac:dyDescent="0.2"/>
    <row r="9909" ht="12.75" customHeight="1" x14ac:dyDescent="0.2"/>
    <row r="9910" ht="12.75" customHeight="1" x14ac:dyDescent="0.2"/>
    <row r="9911" ht="12.75" customHeight="1" x14ac:dyDescent="0.2"/>
    <row r="9912" ht="12.75" customHeight="1" x14ac:dyDescent="0.2"/>
    <row r="9913" ht="12.75" customHeight="1" x14ac:dyDescent="0.2"/>
    <row r="9914" ht="12.75" customHeight="1" x14ac:dyDescent="0.2"/>
    <row r="9915" ht="12.75" customHeight="1" x14ac:dyDescent="0.2"/>
    <row r="9916" ht="12.75" customHeight="1" x14ac:dyDescent="0.2"/>
    <row r="9917" ht="12.75" customHeight="1" x14ac:dyDescent="0.2"/>
    <row r="9918" ht="12.75" customHeight="1" x14ac:dyDescent="0.2"/>
    <row r="9919" ht="12.75" customHeight="1" x14ac:dyDescent="0.2"/>
    <row r="9920" ht="12.75" customHeight="1" x14ac:dyDescent="0.2"/>
    <row r="9921" ht="12.75" customHeight="1" x14ac:dyDescent="0.2"/>
    <row r="9922" ht="12.75" customHeight="1" x14ac:dyDescent="0.2"/>
    <row r="9923" ht="12.75" customHeight="1" x14ac:dyDescent="0.2"/>
    <row r="9924" ht="12.75" customHeight="1" x14ac:dyDescent="0.2"/>
    <row r="9925" ht="12.75" customHeight="1" x14ac:dyDescent="0.2"/>
    <row r="9926" ht="12.75" customHeight="1" x14ac:dyDescent="0.2"/>
    <row r="9927" ht="12.75" customHeight="1" x14ac:dyDescent="0.2"/>
    <row r="9928" ht="12.75" customHeight="1" x14ac:dyDescent="0.2"/>
    <row r="9929" ht="12.75" customHeight="1" x14ac:dyDescent="0.2"/>
    <row r="9930" ht="12.75" customHeight="1" x14ac:dyDescent="0.2"/>
    <row r="9931" ht="12.75" customHeight="1" x14ac:dyDescent="0.2"/>
    <row r="9932" ht="12.75" customHeight="1" x14ac:dyDescent="0.2"/>
    <row r="9933" ht="12.75" customHeight="1" x14ac:dyDescent="0.2"/>
    <row r="9934" ht="12.75" customHeight="1" x14ac:dyDescent="0.2"/>
    <row r="9935" ht="12.75" customHeight="1" x14ac:dyDescent="0.2"/>
    <row r="9936" ht="12.75" customHeight="1" x14ac:dyDescent="0.2"/>
    <row r="9937" ht="12.75" customHeight="1" x14ac:dyDescent="0.2"/>
    <row r="9938" ht="12.75" customHeight="1" x14ac:dyDescent="0.2"/>
    <row r="9939" ht="12.75" customHeight="1" x14ac:dyDescent="0.2"/>
    <row r="9940" ht="12.75" customHeight="1" x14ac:dyDescent="0.2"/>
    <row r="9941" ht="12.75" customHeight="1" x14ac:dyDescent="0.2"/>
    <row r="9942" ht="12.75" customHeight="1" x14ac:dyDescent="0.2"/>
    <row r="9943" ht="12.75" customHeight="1" x14ac:dyDescent="0.2"/>
    <row r="9944" ht="12.75" customHeight="1" x14ac:dyDescent="0.2"/>
    <row r="9945" ht="12.75" customHeight="1" x14ac:dyDescent="0.2"/>
    <row r="9946" ht="12.75" customHeight="1" x14ac:dyDescent="0.2"/>
    <row r="9947" ht="12.75" customHeight="1" x14ac:dyDescent="0.2"/>
    <row r="9948" ht="12.75" customHeight="1" x14ac:dyDescent="0.2"/>
    <row r="9949" ht="12.75" customHeight="1" x14ac:dyDescent="0.2"/>
    <row r="9950" ht="12.75" customHeight="1" x14ac:dyDescent="0.2"/>
    <row r="9951" ht="12.75" customHeight="1" x14ac:dyDescent="0.2"/>
    <row r="9952" ht="12.75" customHeight="1" x14ac:dyDescent="0.2"/>
    <row r="9953" ht="12.75" customHeight="1" x14ac:dyDescent="0.2"/>
    <row r="9954" ht="12.75" customHeight="1" x14ac:dyDescent="0.2"/>
    <row r="9955" ht="12.75" customHeight="1" x14ac:dyDescent="0.2"/>
    <row r="9956" ht="12.75" customHeight="1" x14ac:dyDescent="0.2"/>
    <row r="9957" ht="12.75" customHeight="1" x14ac:dyDescent="0.2"/>
    <row r="9958" ht="12.75" customHeight="1" x14ac:dyDescent="0.2"/>
    <row r="9959" ht="12.75" customHeight="1" x14ac:dyDescent="0.2"/>
    <row r="9960" ht="12.75" customHeight="1" x14ac:dyDescent="0.2"/>
    <row r="9961" ht="12.75" customHeight="1" x14ac:dyDescent="0.2"/>
    <row r="9962" ht="12.75" customHeight="1" x14ac:dyDescent="0.2"/>
    <row r="9963" ht="12.75" customHeight="1" x14ac:dyDescent="0.2"/>
    <row r="9964" ht="12.75" customHeight="1" x14ac:dyDescent="0.2"/>
    <row r="9965" ht="12.75" customHeight="1" x14ac:dyDescent="0.2"/>
    <row r="9966" ht="12.75" customHeight="1" x14ac:dyDescent="0.2"/>
    <row r="9967" ht="12.75" customHeight="1" x14ac:dyDescent="0.2"/>
    <row r="9968" ht="12.75" customHeight="1" x14ac:dyDescent="0.2"/>
    <row r="9969" ht="12.75" customHeight="1" x14ac:dyDescent="0.2"/>
    <row r="9970" ht="12.75" customHeight="1" x14ac:dyDescent="0.2"/>
    <row r="9971" ht="12.75" customHeight="1" x14ac:dyDescent="0.2"/>
    <row r="9972" ht="12.75" customHeight="1" x14ac:dyDescent="0.2"/>
    <row r="9973" ht="12.75" customHeight="1" x14ac:dyDescent="0.2"/>
    <row r="9974" ht="12.75" customHeight="1" x14ac:dyDescent="0.2"/>
    <row r="9975" ht="12.75" customHeight="1" x14ac:dyDescent="0.2"/>
    <row r="9976" ht="12.75" customHeight="1" x14ac:dyDescent="0.2"/>
    <row r="9977" ht="12.75" customHeight="1" x14ac:dyDescent="0.2"/>
    <row r="9978" ht="12.75" customHeight="1" x14ac:dyDescent="0.2"/>
    <row r="9979" ht="12.75" customHeight="1" x14ac:dyDescent="0.2"/>
    <row r="9980" ht="12.75" customHeight="1" x14ac:dyDescent="0.2"/>
    <row r="9981" ht="12.75" customHeight="1" x14ac:dyDescent="0.2"/>
    <row r="9982" ht="12.75" customHeight="1" x14ac:dyDescent="0.2"/>
    <row r="9983" ht="12.75" customHeight="1" x14ac:dyDescent="0.2"/>
    <row r="9984" ht="12.75" customHeight="1" x14ac:dyDescent="0.2"/>
    <row r="9985" ht="12.75" customHeight="1" x14ac:dyDescent="0.2"/>
    <row r="9986" ht="12.75" customHeight="1" x14ac:dyDescent="0.2"/>
    <row r="9987" ht="12.75" customHeight="1" x14ac:dyDescent="0.2"/>
    <row r="9988" ht="12.75" customHeight="1" x14ac:dyDescent="0.2"/>
    <row r="9989" ht="12.75" customHeight="1" x14ac:dyDescent="0.2"/>
    <row r="9990" ht="12.75" customHeight="1" x14ac:dyDescent="0.2"/>
    <row r="9991" ht="12.75" customHeight="1" x14ac:dyDescent="0.2"/>
    <row r="9992" ht="12.75" customHeight="1" x14ac:dyDescent="0.2"/>
    <row r="9993" ht="12.75" customHeight="1" x14ac:dyDescent="0.2"/>
    <row r="9994" ht="12.75" customHeight="1" x14ac:dyDescent="0.2"/>
    <row r="9995" ht="12.75" customHeight="1" x14ac:dyDescent="0.2"/>
    <row r="9996" ht="12.75" customHeight="1" x14ac:dyDescent="0.2"/>
    <row r="9997" ht="12.75" customHeight="1" x14ac:dyDescent="0.2"/>
    <row r="9998" ht="12.75" customHeight="1" x14ac:dyDescent="0.2"/>
    <row r="9999" ht="12.75" customHeight="1" x14ac:dyDescent="0.2"/>
    <row r="10000" ht="12.75" customHeight="1" x14ac:dyDescent="0.2"/>
    <row r="10001" ht="12.75" customHeight="1" x14ac:dyDescent="0.2"/>
    <row r="10002" ht="12.75" customHeight="1" x14ac:dyDescent="0.2"/>
    <row r="10003" ht="12.75" customHeight="1" x14ac:dyDescent="0.2"/>
    <row r="10004" ht="12.75" customHeight="1" x14ac:dyDescent="0.2"/>
    <row r="10005" ht="12.75" customHeight="1" x14ac:dyDescent="0.2"/>
    <row r="10006" ht="12.75" customHeight="1" x14ac:dyDescent="0.2"/>
    <row r="10007" ht="12.75" customHeight="1" x14ac:dyDescent="0.2"/>
    <row r="10008" ht="12.75" customHeight="1" x14ac:dyDescent="0.2"/>
    <row r="10009" ht="12.75" customHeight="1" x14ac:dyDescent="0.2"/>
    <row r="10010" ht="12.75" customHeight="1" x14ac:dyDescent="0.2"/>
    <row r="10011" ht="12.75" customHeight="1" x14ac:dyDescent="0.2"/>
    <row r="10012" ht="12.75" customHeight="1" x14ac:dyDescent="0.2"/>
    <row r="10013" ht="12.75" customHeight="1" x14ac:dyDescent="0.2"/>
    <row r="10014" ht="12.75" customHeight="1" x14ac:dyDescent="0.2"/>
    <row r="10015" ht="12.75" customHeight="1" x14ac:dyDescent="0.2"/>
    <row r="10016" ht="12.75" customHeight="1" x14ac:dyDescent="0.2"/>
    <row r="10017" ht="12.75" customHeight="1" x14ac:dyDescent="0.2"/>
    <row r="10018" ht="12.75" customHeight="1" x14ac:dyDescent="0.2"/>
    <row r="10019" ht="12.75" customHeight="1" x14ac:dyDescent="0.2"/>
    <row r="10020" ht="12.75" customHeight="1" x14ac:dyDescent="0.2"/>
    <row r="10021" ht="12.75" customHeight="1" x14ac:dyDescent="0.2"/>
    <row r="10022" ht="12.75" customHeight="1" x14ac:dyDescent="0.2"/>
    <row r="10023" ht="12.75" customHeight="1" x14ac:dyDescent="0.2"/>
    <row r="10024" ht="12.75" customHeight="1" x14ac:dyDescent="0.2"/>
    <row r="10025" ht="12.75" customHeight="1" x14ac:dyDescent="0.2"/>
    <row r="10026" ht="12.75" customHeight="1" x14ac:dyDescent="0.2"/>
    <row r="10027" ht="12.75" customHeight="1" x14ac:dyDescent="0.2"/>
    <row r="10028" ht="12.75" customHeight="1" x14ac:dyDescent="0.2"/>
    <row r="10029" ht="12.75" customHeight="1" x14ac:dyDescent="0.2"/>
    <row r="10030" ht="12.75" customHeight="1" x14ac:dyDescent="0.2"/>
    <row r="10031" ht="12.75" customHeight="1" x14ac:dyDescent="0.2"/>
    <row r="10032" ht="12.75" customHeight="1" x14ac:dyDescent="0.2"/>
    <row r="10033" ht="12.75" customHeight="1" x14ac:dyDescent="0.2"/>
    <row r="10034" ht="12.75" customHeight="1" x14ac:dyDescent="0.2"/>
    <row r="10035" ht="12.75" customHeight="1" x14ac:dyDescent="0.2"/>
    <row r="10036" ht="12.75" customHeight="1" x14ac:dyDescent="0.2"/>
    <row r="10037" ht="12.75" customHeight="1" x14ac:dyDescent="0.2"/>
    <row r="10038" ht="12.75" customHeight="1" x14ac:dyDescent="0.2"/>
    <row r="10039" ht="12.75" customHeight="1" x14ac:dyDescent="0.2"/>
    <row r="10040" ht="12.75" customHeight="1" x14ac:dyDescent="0.2"/>
    <row r="10041" ht="12.75" customHeight="1" x14ac:dyDescent="0.2"/>
    <row r="10042" ht="12.75" customHeight="1" x14ac:dyDescent="0.2"/>
    <row r="10043" ht="12.75" customHeight="1" x14ac:dyDescent="0.2"/>
    <row r="10044" ht="12.75" customHeight="1" x14ac:dyDescent="0.2"/>
    <row r="10045" ht="12.75" customHeight="1" x14ac:dyDescent="0.2"/>
    <row r="10046" ht="12.75" customHeight="1" x14ac:dyDescent="0.2"/>
    <row r="10047" ht="12.75" customHeight="1" x14ac:dyDescent="0.2"/>
    <row r="10048" ht="12.75" customHeight="1" x14ac:dyDescent="0.2"/>
    <row r="10049" ht="12.75" customHeight="1" x14ac:dyDescent="0.2"/>
    <row r="10050" ht="12.75" customHeight="1" x14ac:dyDescent="0.2"/>
    <row r="10051" ht="12.75" customHeight="1" x14ac:dyDescent="0.2"/>
    <row r="10052" ht="12.75" customHeight="1" x14ac:dyDescent="0.2"/>
    <row r="10053" ht="12.75" customHeight="1" x14ac:dyDescent="0.2"/>
    <row r="10054" ht="12.75" customHeight="1" x14ac:dyDescent="0.2"/>
    <row r="10055" ht="12.75" customHeight="1" x14ac:dyDescent="0.2"/>
    <row r="10056" ht="12.75" customHeight="1" x14ac:dyDescent="0.2"/>
    <row r="10057" ht="12.75" customHeight="1" x14ac:dyDescent="0.2"/>
    <row r="10058" ht="12.75" customHeight="1" x14ac:dyDescent="0.2"/>
    <row r="10059" ht="12.75" customHeight="1" x14ac:dyDescent="0.2"/>
    <row r="10060" ht="12.75" customHeight="1" x14ac:dyDescent="0.2"/>
    <row r="10061" ht="12.75" customHeight="1" x14ac:dyDescent="0.2"/>
    <row r="10062" ht="12.75" customHeight="1" x14ac:dyDescent="0.2"/>
    <row r="10063" ht="12.75" customHeight="1" x14ac:dyDescent="0.2"/>
    <row r="10064" ht="12.75" customHeight="1" x14ac:dyDescent="0.2"/>
    <row r="10065" ht="12.75" customHeight="1" x14ac:dyDescent="0.2"/>
    <row r="10066" ht="12.75" customHeight="1" x14ac:dyDescent="0.2"/>
    <row r="10067" ht="12.75" customHeight="1" x14ac:dyDescent="0.2"/>
    <row r="10068" ht="12.75" customHeight="1" x14ac:dyDescent="0.2"/>
    <row r="10069" ht="12.75" customHeight="1" x14ac:dyDescent="0.2"/>
    <row r="10070" ht="12.75" customHeight="1" x14ac:dyDescent="0.2"/>
    <row r="10071" ht="12.75" customHeight="1" x14ac:dyDescent="0.2"/>
    <row r="10072" ht="12.75" customHeight="1" x14ac:dyDescent="0.2"/>
    <row r="10073" ht="12.75" customHeight="1" x14ac:dyDescent="0.2"/>
    <row r="10074" ht="12.75" customHeight="1" x14ac:dyDescent="0.2"/>
    <row r="10075" ht="12.75" customHeight="1" x14ac:dyDescent="0.2"/>
    <row r="10076" ht="12.75" customHeight="1" x14ac:dyDescent="0.2"/>
    <row r="10077" ht="12.75" customHeight="1" x14ac:dyDescent="0.2"/>
    <row r="10078" ht="12.75" customHeight="1" x14ac:dyDescent="0.2"/>
    <row r="10079" ht="12.75" customHeight="1" x14ac:dyDescent="0.2"/>
    <row r="10080" ht="12.75" customHeight="1" x14ac:dyDescent="0.2"/>
    <row r="10081" ht="12.75" customHeight="1" x14ac:dyDescent="0.2"/>
    <row r="10082" ht="12.75" customHeight="1" x14ac:dyDescent="0.2"/>
    <row r="10083" ht="12.75" customHeight="1" x14ac:dyDescent="0.2"/>
    <row r="10084" ht="12.75" customHeight="1" x14ac:dyDescent="0.2"/>
    <row r="10085" ht="12.75" customHeight="1" x14ac:dyDescent="0.2"/>
    <row r="10086" ht="12.75" customHeight="1" x14ac:dyDescent="0.2"/>
    <row r="10087" ht="12.75" customHeight="1" x14ac:dyDescent="0.2"/>
    <row r="10088" ht="12.75" customHeight="1" x14ac:dyDescent="0.2"/>
    <row r="10089" ht="12.75" customHeight="1" x14ac:dyDescent="0.2"/>
    <row r="10090" ht="12.75" customHeight="1" x14ac:dyDescent="0.2"/>
    <row r="10091" ht="12.75" customHeight="1" x14ac:dyDescent="0.2"/>
    <row r="10092" ht="12.75" customHeight="1" x14ac:dyDescent="0.2"/>
    <row r="10093" ht="12.75" customHeight="1" x14ac:dyDescent="0.2"/>
    <row r="10094" ht="12.75" customHeight="1" x14ac:dyDescent="0.2"/>
    <row r="10095" ht="12.75" customHeight="1" x14ac:dyDescent="0.2"/>
    <row r="10096" ht="12.75" customHeight="1" x14ac:dyDescent="0.2"/>
    <row r="10097" ht="12.75" customHeight="1" x14ac:dyDescent="0.2"/>
    <row r="10098" ht="12.75" customHeight="1" x14ac:dyDescent="0.2"/>
    <row r="10099" ht="12.75" customHeight="1" x14ac:dyDescent="0.2"/>
    <row r="10100" ht="12.75" customHeight="1" x14ac:dyDescent="0.2"/>
    <row r="10101" ht="12.75" customHeight="1" x14ac:dyDescent="0.2"/>
    <row r="10102" ht="12.75" customHeight="1" x14ac:dyDescent="0.2"/>
    <row r="10103" ht="12.75" customHeight="1" x14ac:dyDescent="0.2"/>
    <row r="10104" ht="12.75" customHeight="1" x14ac:dyDescent="0.2"/>
    <row r="10105" ht="12.75" customHeight="1" x14ac:dyDescent="0.2"/>
    <row r="10106" ht="12.75" customHeight="1" x14ac:dyDescent="0.2"/>
    <row r="10107" ht="12.75" customHeight="1" x14ac:dyDescent="0.2"/>
    <row r="10108" ht="12.75" customHeight="1" x14ac:dyDescent="0.2"/>
    <row r="10109" ht="12.75" customHeight="1" x14ac:dyDescent="0.2"/>
    <row r="10110" ht="12.75" customHeight="1" x14ac:dyDescent="0.2"/>
    <row r="10111" ht="12.75" customHeight="1" x14ac:dyDescent="0.2"/>
    <row r="10112" ht="12.75" customHeight="1" x14ac:dyDescent="0.2"/>
    <row r="10113" ht="12.75" customHeight="1" x14ac:dyDescent="0.2"/>
    <row r="10114" ht="12.75" customHeight="1" x14ac:dyDescent="0.2"/>
    <row r="10115" ht="12.75" customHeight="1" x14ac:dyDescent="0.2"/>
    <row r="10116" ht="12.75" customHeight="1" x14ac:dyDescent="0.2"/>
    <row r="10117" ht="12.75" customHeight="1" x14ac:dyDescent="0.2"/>
    <row r="10118" ht="12.75" customHeight="1" x14ac:dyDescent="0.2"/>
    <row r="10119" ht="12.75" customHeight="1" x14ac:dyDescent="0.2"/>
    <row r="10120" ht="12.75" customHeight="1" x14ac:dyDescent="0.2"/>
    <row r="10121" ht="12.75" customHeight="1" x14ac:dyDescent="0.2"/>
    <row r="10122" ht="12.75" customHeight="1" x14ac:dyDescent="0.2"/>
    <row r="10123" ht="12.75" customHeight="1" x14ac:dyDescent="0.2"/>
    <row r="10124" ht="12.75" customHeight="1" x14ac:dyDescent="0.2"/>
    <row r="10125" ht="12.75" customHeight="1" x14ac:dyDescent="0.2"/>
    <row r="10126" ht="12.75" customHeight="1" x14ac:dyDescent="0.2"/>
    <row r="10127" ht="12.75" customHeight="1" x14ac:dyDescent="0.2"/>
    <row r="10128" ht="12.75" customHeight="1" x14ac:dyDescent="0.2"/>
    <row r="10129" spans="1:2" ht="12.75" customHeight="1" x14ac:dyDescent="0.2"/>
    <row r="10130" spans="1:2" ht="12.75" customHeight="1" x14ac:dyDescent="0.2"/>
    <row r="10131" spans="1:2" ht="12.75" customHeight="1" x14ac:dyDescent="0.2"/>
    <row r="10132" spans="1:2" ht="12.75" customHeight="1" x14ac:dyDescent="0.2"/>
    <row r="10133" spans="1:2" ht="12.75" customHeight="1" x14ac:dyDescent="0.2"/>
    <row r="10134" spans="1:2" ht="12.75" customHeight="1" x14ac:dyDescent="0.2"/>
    <row r="10135" spans="1:2" ht="12.75" customHeight="1" x14ac:dyDescent="0.2">
      <c r="B10135" s="14"/>
    </row>
    <row r="10136" spans="1:2" ht="12.75" customHeight="1" x14ac:dyDescent="0.2"/>
    <row r="10137" spans="1:2" ht="12.75" customHeight="1" x14ac:dyDescent="0.2">
      <c r="A10137" s="14" t="b">
        <v>0</v>
      </c>
    </row>
    <row r="10138" spans="1:2" ht="12.75" customHeight="1" x14ac:dyDescent="0.2"/>
    <row r="10139" spans="1:2" ht="12.75" customHeight="1" x14ac:dyDescent="0.2"/>
    <row r="10140" spans="1:2" ht="12.75" customHeight="1" x14ac:dyDescent="0.2"/>
    <row r="10141" spans="1:2" ht="12.75" customHeight="1" x14ac:dyDescent="0.2"/>
    <row r="10142" spans="1:2" ht="12.75" customHeight="1" x14ac:dyDescent="0.2"/>
    <row r="10143" spans="1:2" ht="12.75" customHeight="1" x14ac:dyDescent="0.2"/>
    <row r="10144" spans="1:2" ht="12.75" customHeight="1" x14ac:dyDescent="0.2"/>
    <row r="10145" spans="2:2" ht="12.75" customHeight="1" x14ac:dyDescent="0.2">
      <c r="B10145" s="14" t="b">
        <v>1</v>
      </c>
    </row>
    <row r="10146" spans="2:2" ht="12.75" customHeight="1" x14ac:dyDescent="0.2"/>
    <row r="10147" spans="2:2" ht="12.75" customHeight="1" x14ac:dyDescent="0.2"/>
    <row r="10148" spans="2:2" ht="12.75" customHeight="1" x14ac:dyDescent="0.2"/>
    <row r="10149" spans="2:2" ht="12.75" customHeight="1" x14ac:dyDescent="0.2"/>
    <row r="10150" spans="2:2" ht="12.75" customHeight="1" x14ac:dyDescent="0.2"/>
    <row r="10151" spans="2:2" ht="12.75" customHeight="1" x14ac:dyDescent="0.2"/>
    <row r="10152" spans="2:2" ht="12.75" customHeight="1" x14ac:dyDescent="0.2"/>
    <row r="10153" spans="2:2" ht="12.75" customHeight="1" x14ac:dyDescent="0.2"/>
    <row r="10154" spans="2:2" ht="12.75" customHeight="1" x14ac:dyDescent="0.2"/>
    <row r="10155" spans="2:2" ht="12.75" customHeight="1" x14ac:dyDescent="0.2"/>
    <row r="10156" spans="2:2" ht="12.75" customHeight="1" x14ac:dyDescent="0.2"/>
    <row r="10157" spans="2:2" ht="12.75" customHeight="1" x14ac:dyDescent="0.2"/>
    <row r="10158" spans="2:2" ht="12.75" customHeight="1" x14ac:dyDescent="0.2"/>
    <row r="10159" spans="2:2" ht="12.75" customHeight="1" x14ac:dyDescent="0.2"/>
    <row r="10160" spans="2:2" ht="12.75" customHeight="1" x14ac:dyDescent="0.2"/>
  </sheetData>
  <sheetProtection formatColumns="0" formatRows="0"/>
  <mergeCells count="4">
    <mergeCell ref="B1:M1"/>
    <mergeCell ref="B2:M2"/>
    <mergeCell ref="A9:A16"/>
    <mergeCell ref="A23:A244"/>
  </mergeCells>
  <printOptions horizontalCentered="1"/>
  <pageMargins left="0" right="0" top="0" bottom="0" header="0" footer="0"/>
  <pageSetup scale="60" orientation="landscape" r:id="rId1"/>
  <headerFooter alignWithMargins="0">
    <oddFooter>&amp;L&amp;D &amp;T&amp;C&amp;Z&amp;F&amp;R&amp;P of &amp;N</oddFooter>
  </headerFooter>
  <rowBreaks count="1" manualBreakCount="1">
    <brk id="255" max="1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J1076"/>
  <sheetViews>
    <sheetView showGridLines="0" workbookViewId="0"/>
  </sheetViews>
  <sheetFormatPr defaultColWidth="9.140625" defaultRowHeight="15.75" outlineLevelCol="1" x14ac:dyDescent="0.25"/>
  <cols>
    <col min="1" max="1" width="6.42578125" style="31" customWidth="1"/>
    <col min="2" max="2" width="5.28515625" style="31" hidden="1" customWidth="1"/>
    <col min="3" max="3" width="13.85546875" style="32" customWidth="1"/>
    <col min="4" max="4" width="15.5703125" style="32" customWidth="1"/>
    <col min="5" max="5" width="5.28515625" style="32" customWidth="1"/>
    <col min="6" max="7" width="16.140625" style="33" bestFit="1" customWidth="1"/>
    <col min="8" max="8" width="18" style="32" bestFit="1" customWidth="1"/>
    <col min="9" max="9" width="2.7109375" style="32" customWidth="1"/>
    <col min="10" max="11" width="16.140625" style="32" bestFit="1" customWidth="1"/>
    <col min="12" max="12" width="19.28515625" style="32" bestFit="1" customWidth="1"/>
    <col min="13" max="13" width="2.7109375" style="32" customWidth="1"/>
    <col min="14" max="14" width="16.140625" style="33" bestFit="1" customWidth="1"/>
    <col min="15" max="15" width="13.140625" style="32" bestFit="1" customWidth="1"/>
    <col min="16" max="16" width="16.5703125" style="32" bestFit="1" customWidth="1"/>
    <col min="17" max="17" width="2.7109375" style="32" customWidth="1"/>
    <col min="18" max="20" width="18.28515625" style="32" customWidth="1" outlineLevel="1"/>
    <col min="21" max="21" width="2.85546875" style="32" customWidth="1" outlineLevel="1"/>
    <col min="22" max="24" width="18.28515625" style="32" customWidth="1" outlineLevel="1"/>
    <col min="25" max="25" width="2.85546875" style="32" customWidth="1" outlineLevel="1"/>
    <col min="26" max="28" width="18.28515625" style="32" customWidth="1" outlineLevel="1"/>
    <col min="29" max="29" width="9.140625" style="32" customWidth="1"/>
    <col min="30" max="32" width="14.7109375" style="32" hidden="1" customWidth="1"/>
    <col min="33" max="35" width="14.7109375" style="32" hidden="1" customWidth="1" outlineLevel="1"/>
    <col min="36" max="36" width="9.140625" style="32" collapsed="1"/>
    <col min="37" max="16384" width="9.140625" style="32"/>
  </cols>
  <sheetData>
    <row r="1" spans="1:36" ht="23.25" x14ac:dyDescent="0.35">
      <c r="A1" s="45" t="str">
        <f>Assumptions!D5&amp;" - Reserve &amp; Special Assessment Analysis"</f>
        <v>Dana Point - Reserve &amp; Special Assessment Analysis</v>
      </c>
      <c r="B1" s="45"/>
      <c r="C1" s="45"/>
      <c r="D1" s="45"/>
      <c r="E1" s="45"/>
      <c r="F1" s="45"/>
      <c r="G1" s="45"/>
      <c r="H1" s="45"/>
      <c r="I1" s="45"/>
      <c r="J1" s="45"/>
      <c r="K1" s="45"/>
      <c r="L1" s="45"/>
      <c r="N1" s="32"/>
    </row>
    <row r="2" spans="1:36" ht="23.25" x14ac:dyDescent="0.35">
      <c r="A2" s="19"/>
      <c r="B2" s="19"/>
      <c r="C2" s="19"/>
      <c r="D2" s="19"/>
      <c r="E2" s="19"/>
      <c r="F2" s="19"/>
      <c r="G2" s="19"/>
      <c r="H2" s="19"/>
      <c r="I2" s="19"/>
      <c r="J2" s="19"/>
      <c r="K2" s="19"/>
      <c r="L2" s="19"/>
      <c r="N2" s="19"/>
      <c r="O2" s="19"/>
      <c r="P2" s="19"/>
      <c r="Q2" s="19"/>
      <c r="R2" s="19"/>
      <c r="S2" s="19"/>
      <c r="T2" s="19"/>
      <c r="U2" s="19"/>
      <c r="V2" s="19"/>
      <c r="W2" s="19"/>
      <c r="X2" s="19"/>
      <c r="Y2" s="19"/>
      <c r="Z2" s="19"/>
      <c r="AA2" s="19"/>
      <c r="AB2" s="19"/>
    </row>
    <row r="3" spans="1:36" ht="15" x14ac:dyDescent="0.2">
      <c r="A3" s="38" t="s">
        <v>52</v>
      </c>
      <c r="B3" s="38"/>
    </row>
    <row r="4" spans="1:36" ht="15" x14ac:dyDescent="0.2">
      <c r="A4" s="38" t="s">
        <v>53</v>
      </c>
      <c r="B4" s="38"/>
    </row>
    <row r="5" spans="1:36" ht="15" x14ac:dyDescent="0.2">
      <c r="A5" s="38"/>
      <c r="B5" s="38"/>
    </row>
    <row r="6" spans="1:36" x14ac:dyDescent="0.25">
      <c r="A6" s="31" t="s">
        <v>34</v>
      </c>
    </row>
    <row r="8" spans="1:36" x14ac:dyDescent="0.25">
      <c r="C8" s="32" t="s">
        <v>8</v>
      </c>
      <c r="F8" s="37">
        <f>+Assumptions!B26</f>
        <v>0</v>
      </c>
      <c r="J8" s="37">
        <f>+Assumptions!C26</f>
        <v>0</v>
      </c>
      <c r="N8" s="37">
        <f>+Assumptions!D26</f>
        <v>1000000</v>
      </c>
      <c r="R8" s="37">
        <f>Assumptions!E26</f>
        <v>5000000</v>
      </c>
      <c r="V8" s="37">
        <f>Assumptions!F26</f>
        <v>0</v>
      </c>
      <c r="Z8" s="37">
        <f>Assumptions!G26</f>
        <v>0</v>
      </c>
    </row>
    <row r="9" spans="1:36" x14ac:dyDescent="0.25">
      <c r="C9" s="32" t="s">
        <v>35</v>
      </c>
      <c r="F9" s="30">
        <f>Assumptions!B22</f>
        <v>0</v>
      </c>
      <c r="G9" s="30"/>
      <c r="J9" s="30">
        <f>Assumptions!C22</f>
        <v>0</v>
      </c>
      <c r="N9" s="30">
        <f>Assumptions!D22</f>
        <v>41640</v>
      </c>
      <c r="R9" s="30">
        <f>Assumptions!E22</f>
        <v>41640</v>
      </c>
      <c r="V9" s="30">
        <f>Assumptions!F22</f>
        <v>0</v>
      </c>
      <c r="Z9" s="30">
        <f>Assumptions!G22</f>
        <v>0</v>
      </c>
    </row>
    <row r="10" spans="1:36" x14ac:dyDescent="0.25">
      <c r="C10" s="32" t="s">
        <v>38</v>
      </c>
      <c r="F10" s="49">
        <f>F9+Assumptions!B24*365</f>
        <v>0</v>
      </c>
      <c r="G10" s="30"/>
      <c r="J10" s="49">
        <f>J9+Assumptions!C24*365</f>
        <v>0</v>
      </c>
      <c r="N10" s="49">
        <f>N9+Assumptions!D24*365</f>
        <v>45290</v>
      </c>
      <c r="R10" s="49">
        <f>R9+Assumptions!E24*365</f>
        <v>45290</v>
      </c>
      <c r="V10" s="49">
        <f>V9+Assumptions!F24*365</f>
        <v>0</v>
      </c>
      <c r="Z10" s="49">
        <f>Z9+Assumptions!G24*365</f>
        <v>0</v>
      </c>
    </row>
    <row r="12" spans="1:36" x14ac:dyDescent="0.25">
      <c r="A12" s="31" t="s">
        <v>36</v>
      </c>
    </row>
    <row r="13" spans="1:36" ht="16.5" thickBot="1" x14ac:dyDescent="0.3">
      <c r="F13"/>
      <c r="G13"/>
      <c r="H13"/>
      <c r="I13" s="46"/>
      <c r="J13" s="46"/>
      <c r="K13" s="46"/>
      <c r="L13" s="46"/>
      <c r="N13" s="245"/>
      <c r="O13" s="245"/>
      <c r="P13" s="245"/>
      <c r="Q13" s="47"/>
      <c r="R13" s="47"/>
      <c r="S13" s="47"/>
      <c r="T13" s="47"/>
      <c r="U13" s="47"/>
      <c r="V13" s="47"/>
      <c r="W13" s="47"/>
      <c r="X13" s="47"/>
      <c r="Y13" s="47"/>
      <c r="Z13" s="47"/>
      <c r="AA13" s="47"/>
      <c r="AB13" s="47"/>
    </row>
    <row r="14" spans="1:36" ht="16.5" thickBot="1" x14ac:dyDescent="0.3">
      <c r="F14" s="242" t="s">
        <v>19</v>
      </c>
      <c r="G14" s="243"/>
      <c r="H14" s="244"/>
      <c r="I14" s="47"/>
      <c r="J14" s="242" t="s">
        <v>20</v>
      </c>
      <c r="K14" s="243"/>
      <c r="L14" s="244"/>
      <c r="N14" s="242" t="s">
        <v>21</v>
      </c>
      <c r="O14" s="243"/>
      <c r="P14" s="244"/>
      <c r="Q14" s="47"/>
      <c r="R14" s="242" t="s">
        <v>99</v>
      </c>
      <c r="S14" s="243"/>
      <c r="T14" s="244"/>
      <c r="U14" s="47"/>
      <c r="V14" s="242" t="s">
        <v>100</v>
      </c>
      <c r="W14" s="243"/>
      <c r="X14" s="244"/>
      <c r="Z14" s="242" t="s">
        <v>101</v>
      </c>
      <c r="AA14" s="243"/>
      <c r="AB14" s="244"/>
    </row>
    <row r="15" spans="1:36" s="34" customFormat="1" ht="63" x14ac:dyDescent="0.25">
      <c r="A15" s="83" t="s">
        <v>80</v>
      </c>
      <c r="B15" s="83">
        <v>1</v>
      </c>
      <c r="C15" s="83" t="s">
        <v>37</v>
      </c>
      <c r="D15" s="84" t="s">
        <v>39</v>
      </c>
      <c r="E15" s="35"/>
      <c r="F15" s="41" t="s">
        <v>60</v>
      </c>
      <c r="G15" s="42" t="str">
        <f>"Monthly - "&amp;Assumptions!B24*12&amp;" months"</f>
        <v>Monthly - 0 months</v>
      </c>
      <c r="H15" s="42" t="str">
        <f>Assumptions!B24*12&amp;" Mos Interest Paid"</f>
        <v>0 Mos Interest Paid</v>
      </c>
      <c r="I15" s="35"/>
      <c r="J15" s="41" t="s">
        <v>60</v>
      </c>
      <c r="K15" s="42" t="str">
        <f>"Monthly - "&amp;Assumptions!C24*12&amp;" months"</f>
        <v>Monthly - 0 months</v>
      </c>
      <c r="L15" s="42" t="str">
        <f>Assumptions!C24*12&amp;" Mos Interest Paid"</f>
        <v>0 Mos Interest Paid</v>
      </c>
      <c r="N15" s="41" t="s">
        <v>60</v>
      </c>
      <c r="O15" s="42" t="str">
        <f>"Monthly - "&amp;Assumptions!D24*12&amp;" months"</f>
        <v>Monthly - 120 months</v>
      </c>
      <c r="P15" s="42" t="str">
        <f>Assumptions!D24*12&amp;" Mos Interest Paid"</f>
        <v>120 Mos Interest Paid</v>
      </c>
      <c r="Q15" s="35"/>
      <c r="R15" s="41" t="s">
        <v>60</v>
      </c>
      <c r="S15" s="42" t="str">
        <f>"Monthly - "&amp;Assumptions!E24*12&amp;" months"</f>
        <v>Monthly - 120 months</v>
      </c>
      <c r="T15" s="42" t="str">
        <f>Assumptions!E24*12&amp;" Mos Interest Paid"</f>
        <v>120 Mos Interest Paid</v>
      </c>
      <c r="U15" s="35"/>
      <c r="V15" s="41" t="s">
        <v>60</v>
      </c>
      <c r="W15" s="42" t="str">
        <f>"Monthly - "&amp;Assumptions!F24*12&amp;" months"</f>
        <v>Monthly - 0 months</v>
      </c>
      <c r="X15" s="42" t="str">
        <f>Assumptions!F24*12&amp;" Mos Interest Paid"</f>
        <v>0 Mos Interest Paid</v>
      </c>
      <c r="Z15" s="41" t="s">
        <v>60</v>
      </c>
      <c r="AA15" s="42" t="str">
        <f>"Monthly - "&amp;Assumptions!G24*12&amp;" months"</f>
        <v>Monthly - 0 months</v>
      </c>
      <c r="AB15" s="42" t="str">
        <f>Assumptions!G24*12&amp;" Mos Interest Paid"</f>
        <v>0 Mos Interest Paid</v>
      </c>
      <c r="AD15" s="32" t="e">
        <f>+#REF!&amp;"Option 1"</f>
        <v>#REF!</v>
      </c>
      <c r="AE15" s="32" t="e">
        <f>+#REF!&amp;"Option 2"</f>
        <v>#REF!</v>
      </c>
      <c r="AF15" s="32" t="e">
        <f>+#REF!&amp;"Option 3"</f>
        <v>#REF!</v>
      </c>
      <c r="AG15" s="32" t="e">
        <f>+#REF!&amp;"Option 4"</f>
        <v>#REF!</v>
      </c>
      <c r="AH15" s="32" t="e">
        <f>+#REF!&amp;"Option 5"</f>
        <v>#REF!</v>
      </c>
      <c r="AI15" s="32" t="e">
        <f>+#REF!&amp;"Option 6"</f>
        <v>#REF!</v>
      </c>
      <c r="AJ15" s="32"/>
    </row>
    <row r="16" spans="1:36" ht="15" x14ac:dyDescent="0.2">
      <c r="A16" s="56" t="s">
        <v>111</v>
      </c>
      <c r="B16" s="32"/>
      <c r="C16" s="56">
        <v>0.19800000000000001</v>
      </c>
      <c r="D16" s="56">
        <v>310.88</v>
      </c>
      <c r="E16" s="36"/>
      <c r="F16" s="40">
        <f>$F$8*$C16/100</f>
        <v>0</v>
      </c>
      <c r="G16" s="40" t="e">
        <f>-PMT(Assumptions!B$25/12,Assumptions!B$24*12,F$8)*C16/100</f>
        <v>#NUM!</v>
      </c>
      <c r="H16" s="40" t="e">
        <f>G16*Assumptions!$B$24*12-F16</f>
        <v>#NUM!</v>
      </c>
      <c r="I16" s="48"/>
      <c r="J16" s="40">
        <f>$J$8*$C16/100</f>
        <v>0</v>
      </c>
      <c r="K16" s="40" t="e">
        <f>-PMT(Assumptions!C$25/12,Assumptions!C$24*12,J$8)*C16/100</f>
        <v>#NUM!</v>
      </c>
      <c r="L16" s="40" t="e">
        <f>K16*Assumptions!$C$24*12-J16</f>
        <v>#NUM!</v>
      </c>
      <c r="M16" s="43"/>
      <c r="N16" s="40">
        <f>$N$8*$C16/100</f>
        <v>1980</v>
      </c>
      <c r="O16" s="50">
        <f>-PMT(Assumptions!D$25/12,Assumptions!D$24*12,N$8)*C16/100</f>
        <v>21.000972017336899</v>
      </c>
      <c r="P16" s="44">
        <f>O16*Assumptions!$D$24*12-N16</f>
        <v>540.11664208042748</v>
      </c>
      <c r="Q16" s="48"/>
      <c r="R16" s="40">
        <f>$R$8*$C16/100</f>
        <v>9900</v>
      </c>
      <c r="S16" s="40">
        <f>-PMT(Assumptions!E$25/12,Assumptions!E$24*12,$R$8)*$C16/100</f>
        <v>105.00486008668449</v>
      </c>
      <c r="T16" s="40">
        <f>S16*Assumptions!$E$24*12-R16</f>
        <v>2700.5832104021392</v>
      </c>
      <c r="U16" s="48"/>
      <c r="V16" s="40">
        <f>$V$8*$C16/100</f>
        <v>0</v>
      </c>
      <c r="W16" s="40" t="e">
        <f>-PMT(Assumptions!F$25/12,Assumptions!F$24*12,$V$8)*$C16/100</f>
        <v>#NUM!</v>
      </c>
      <c r="X16" s="40" t="e">
        <f>W16*Assumptions!$F$24*12-V16</f>
        <v>#NUM!</v>
      </c>
      <c r="Y16" s="43"/>
      <c r="Z16" s="40">
        <f>$Z$8*$C16/100</f>
        <v>0</v>
      </c>
      <c r="AA16" s="50" t="e">
        <f>-PMT(Assumptions!G$25/12,Assumptions!G$24*12,$Z$8)*$C16/100</f>
        <v>#NUM!</v>
      </c>
      <c r="AB16" s="44" t="e">
        <f>AA16*Assumptions!$G$24*12-Z16</f>
        <v>#NUM!</v>
      </c>
      <c r="AD16" s="54">
        <f>+F16</f>
        <v>0</v>
      </c>
      <c r="AE16" s="54">
        <f>+J16</f>
        <v>0</v>
      </c>
      <c r="AF16" s="54">
        <f>+N16</f>
        <v>1980</v>
      </c>
      <c r="AG16" s="54">
        <f>+R16</f>
        <v>9900</v>
      </c>
      <c r="AH16" s="54">
        <f>+V16</f>
        <v>0</v>
      </c>
      <c r="AI16" s="54">
        <f>+Z16</f>
        <v>0</v>
      </c>
    </row>
    <row r="17" spans="1:35" ht="15" x14ac:dyDescent="0.2">
      <c r="A17" s="56" t="s">
        <v>112</v>
      </c>
      <c r="B17" s="32"/>
      <c r="C17" s="56">
        <v>0.19800000000000001</v>
      </c>
      <c r="D17" s="56">
        <v>310.88</v>
      </c>
      <c r="E17" s="36"/>
      <c r="F17" s="40">
        <f t="shared" ref="F17:F80" si="0">$F$8*$C17/100</f>
        <v>0</v>
      </c>
      <c r="G17" s="40" t="e">
        <f>-PMT(Assumptions!B$25/12,Assumptions!B$24*12,F$8)*C17/100</f>
        <v>#NUM!</v>
      </c>
      <c r="H17" s="40" t="e">
        <f>G17*Assumptions!$B$24*12-F17</f>
        <v>#NUM!</v>
      </c>
      <c r="I17" s="48"/>
      <c r="J17" s="40">
        <f t="shared" ref="J17:J80" si="1">$J$8*$C17/100</f>
        <v>0</v>
      </c>
      <c r="K17" s="40" t="e">
        <f>-PMT(Assumptions!C$25/12,Assumptions!C$24*12,J$8)*C17/100</f>
        <v>#NUM!</v>
      </c>
      <c r="L17" s="40" t="e">
        <f>K17*Assumptions!$C$24*12-J17</f>
        <v>#NUM!</v>
      </c>
      <c r="M17" s="43"/>
      <c r="N17" s="40">
        <f t="shared" ref="N17:N80" si="2">$N$8*$C17/100</f>
        <v>1980</v>
      </c>
      <c r="O17" s="50">
        <f>-PMT(Assumptions!D$25/12,Assumptions!D$24*12,N$8)*C17/100</f>
        <v>21.000972017336899</v>
      </c>
      <c r="P17" s="44">
        <f>O17*Assumptions!$D$24*12-N17</f>
        <v>540.11664208042748</v>
      </c>
      <c r="Q17" s="48"/>
      <c r="R17" s="40">
        <f t="shared" ref="R17:R80" si="3">$R$8*$C17/100</f>
        <v>9900</v>
      </c>
      <c r="S17" s="40">
        <f>-PMT(Assumptions!E$25/12,Assumptions!E$24*12,$R$8)*$C17/100</f>
        <v>105.00486008668449</v>
      </c>
      <c r="T17" s="40">
        <f>S17*Assumptions!$E$24*12-R17</f>
        <v>2700.5832104021392</v>
      </c>
      <c r="U17" s="48"/>
      <c r="V17" s="40">
        <f t="shared" ref="V17:V80" si="4">$V$8*$C17/100</f>
        <v>0</v>
      </c>
      <c r="W17" s="40" t="e">
        <f>-PMT(Assumptions!F$25/12,Assumptions!F$24*12,$V$8)*$C17/100</f>
        <v>#NUM!</v>
      </c>
      <c r="X17" s="40" t="e">
        <f>W17*Assumptions!$F$24*12-V17</f>
        <v>#NUM!</v>
      </c>
      <c r="Y17" s="43"/>
      <c r="Z17" s="40">
        <f t="shared" ref="Z17:Z80" si="5">$Z$8*$C17/100</f>
        <v>0</v>
      </c>
      <c r="AA17" s="50" t="e">
        <f>-PMT(Assumptions!G$25/12,Assumptions!G$24*12,$Z$8)*$C17/100</f>
        <v>#NUM!</v>
      </c>
      <c r="AB17" s="44" t="e">
        <f>AA17*Assumptions!$G$24*12-Z17</f>
        <v>#NUM!</v>
      </c>
      <c r="AD17" s="54">
        <f t="shared" ref="AD17:AD80" si="6">+F17</f>
        <v>0</v>
      </c>
      <c r="AE17" s="54">
        <f t="shared" ref="AE17:AE80" si="7">+J17</f>
        <v>0</v>
      </c>
      <c r="AF17" s="54">
        <f t="shared" ref="AF17:AF80" si="8">+N17</f>
        <v>1980</v>
      </c>
      <c r="AG17" s="54">
        <f t="shared" ref="AG17:AG80" si="9">+R17</f>
        <v>9900</v>
      </c>
      <c r="AH17" s="54">
        <f t="shared" ref="AH17:AH80" si="10">+V17</f>
        <v>0</v>
      </c>
      <c r="AI17" s="54">
        <f t="shared" ref="AI17:AI80" si="11">+Z17</f>
        <v>0</v>
      </c>
    </row>
    <row r="18" spans="1:35" ht="15" x14ac:dyDescent="0.2">
      <c r="A18" s="56" t="s">
        <v>113</v>
      </c>
      <c r="B18" s="32"/>
      <c r="C18" s="56">
        <v>0.14299999999999999</v>
      </c>
      <c r="D18" s="56">
        <v>224.52</v>
      </c>
      <c r="E18" s="36"/>
      <c r="F18" s="40">
        <f t="shared" si="0"/>
        <v>0</v>
      </c>
      <c r="G18" s="40" t="e">
        <f>-PMT(Assumptions!B$25/12,Assumptions!B$24*12,F$8)*C18/100</f>
        <v>#NUM!</v>
      </c>
      <c r="H18" s="40" t="e">
        <f>G18*Assumptions!$B$24*12-F18</f>
        <v>#NUM!</v>
      </c>
      <c r="I18" s="48"/>
      <c r="J18" s="40">
        <f t="shared" si="1"/>
        <v>0</v>
      </c>
      <c r="K18" s="40" t="e">
        <f>-PMT(Assumptions!C$25/12,Assumptions!C$24*12,J$8)*C18/100</f>
        <v>#NUM!</v>
      </c>
      <c r="L18" s="40" t="e">
        <f>K18*Assumptions!$C$24*12-J18</f>
        <v>#NUM!</v>
      </c>
      <c r="M18" s="43"/>
      <c r="N18" s="40">
        <f t="shared" si="2"/>
        <v>1430</v>
      </c>
      <c r="O18" s="50">
        <f>-PMT(Assumptions!D$25/12,Assumptions!D$24*12,N$8)*C18/100</f>
        <v>15.167368679187756</v>
      </c>
      <c r="P18" s="44">
        <f>O18*Assumptions!$D$24*12-N18</f>
        <v>390.08424150253086</v>
      </c>
      <c r="Q18" s="48"/>
      <c r="R18" s="40">
        <f t="shared" si="3"/>
        <v>7149.9999999999991</v>
      </c>
      <c r="S18" s="40">
        <f>-PMT(Assumptions!E$25/12,Assumptions!E$24*12,$R$8)*$C18/100</f>
        <v>75.836843395938786</v>
      </c>
      <c r="T18" s="40">
        <f>S18*Assumptions!$E$24*12-R18</f>
        <v>1950.4212075126552</v>
      </c>
      <c r="U18" s="48"/>
      <c r="V18" s="40">
        <f t="shared" si="4"/>
        <v>0</v>
      </c>
      <c r="W18" s="40" t="e">
        <f>-PMT(Assumptions!F$25/12,Assumptions!F$24*12,$V$8)*$C18/100</f>
        <v>#NUM!</v>
      </c>
      <c r="X18" s="40" t="e">
        <f>W18*Assumptions!$F$24*12-V18</f>
        <v>#NUM!</v>
      </c>
      <c r="Y18" s="43"/>
      <c r="Z18" s="40">
        <f t="shared" si="5"/>
        <v>0</v>
      </c>
      <c r="AA18" s="50" t="e">
        <f>-PMT(Assumptions!G$25/12,Assumptions!G$24*12,$Z$8)*$C18/100</f>
        <v>#NUM!</v>
      </c>
      <c r="AB18" s="44" t="e">
        <f>AA18*Assumptions!$G$24*12-Z18</f>
        <v>#NUM!</v>
      </c>
      <c r="AD18" s="54">
        <f t="shared" si="6"/>
        <v>0</v>
      </c>
      <c r="AE18" s="54">
        <f t="shared" si="7"/>
        <v>0</v>
      </c>
      <c r="AF18" s="54">
        <f t="shared" si="8"/>
        <v>1430</v>
      </c>
      <c r="AG18" s="54">
        <f t="shared" si="9"/>
        <v>7149.9999999999991</v>
      </c>
      <c r="AH18" s="54">
        <f t="shared" si="10"/>
        <v>0</v>
      </c>
      <c r="AI18" s="54">
        <f t="shared" si="11"/>
        <v>0</v>
      </c>
    </row>
    <row r="19" spans="1:35" ht="15" x14ac:dyDescent="0.2">
      <c r="A19" s="56" t="s">
        <v>114</v>
      </c>
      <c r="B19" s="32"/>
      <c r="C19" s="56">
        <v>0.152</v>
      </c>
      <c r="D19" s="56">
        <v>238.66</v>
      </c>
      <c r="E19" s="36"/>
      <c r="F19" s="40">
        <f t="shared" si="0"/>
        <v>0</v>
      </c>
      <c r="G19" s="40" t="e">
        <f>-PMT(Assumptions!B$25/12,Assumptions!B$24*12,F$8)*C19/100</f>
        <v>#NUM!</v>
      </c>
      <c r="H19" s="40" t="e">
        <f>G19*Assumptions!$B$24*12-F19</f>
        <v>#NUM!</v>
      </c>
      <c r="I19" s="48"/>
      <c r="J19" s="40">
        <f t="shared" si="1"/>
        <v>0</v>
      </c>
      <c r="K19" s="40" t="e">
        <f>-PMT(Assumptions!C$25/12,Assumptions!C$24*12,J$8)*C19/100</f>
        <v>#NUM!</v>
      </c>
      <c r="L19" s="40" t="e">
        <f>K19*Assumptions!$C$24*12-J19</f>
        <v>#NUM!</v>
      </c>
      <c r="M19" s="43"/>
      <c r="N19" s="40">
        <f t="shared" si="2"/>
        <v>1520</v>
      </c>
      <c r="O19" s="50">
        <f>-PMT(Assumptions!D$25/12,Assumptions!D$24*12,N$8)*C19/100</f>
        <v>16.121958316339434</v>
      </c>
      <c r="P19" s="44">
        <f>O19*Assumptions!$D$24*12-N19</f>
        <v>414.63499796073211</v>
      </c>
      <c r="Q19" s="48"/>
      <c r="R19" s="40">
        <f t="shared" si="3"/>
        <v>7600</v>
      </c>
      <c r="S19" s="40">
        <f>-PMT(Assumptions!E$25/12,Assumptions!E$24*12,$R$8)*$C19/100</f>
        <v>80.609791581697166</v>
      </c>
      <c r="T19" s="40">
        <f>S19*Assumptions!$E$24*12-R19</f>
        <v>2073.1749898036596</v>
      </c>
      <c r="U19" s="48"/>
      <c r="V19" s="40">
        <f t="shared" si="4"/>
        <v>0</v>
      </c>
      <c r="W19" s="40" t="e">
        <f>-PMT(Assumptions!F$25/12,Assumptions!F$24*12,$V$8)*$C19/100</f>
        <v>#NUM!</v>
      </c>
      <c r="X19" s="40" t="e">
        <f>W19*Assumptions!$F$24*12-V19</f>
        <v>#NUM!</v>
      </c>
      <c r="Y19" s="43"/>
      <c r="Z19" s="40">
        <f t="shared" si="5"/>
        <v>0</v>
      </c>
      <c r="AA19" s="50" t="e">
        <f>-PMT(Assumptions!G$25/12,Assumptions!G$24*12,$Z$8)*$C19/100</f>
        <v>#NUM!</v>
      </c>
      <c r="AB19" s="44" t="e">
        <f>AA19*Assumptions!$G$24*12-Z19</f>
        <v>#NUM!</v>
      </c>
      <c r="AD19" s="54">
        <f t="shared" si="6"/>
        <v>0</v>
      </c>
      <c r="AE19" s="54">
        <f t="shared" si="7"/>
        <v>0</v>
      </c>
      <c r="AF19" s="54">
        <f t="shared" si="8"/>
        <v>1520</v>
      </c>
      <c r="AG19" s="54">
        <f t="shared" si="9"/>
        <v>7600</v>
      </c>
      <c r="AH19" s="54">
        <f t="shared" si="10"/>
        <v>0</v>
      </c>
      <c r="AI19" s="54">
        <f t="shared" si="11"/>
        <v>0</v>
      </c>
    </row>
    <row r="20" spans="1:35" ht="15" x14ac:dyDescent="0.2">
      <c r="A20" s="56" t="s">
        <v>115</v>
      </c>
      <c r="B20" s="32"/>
      <c r="C20" s="56">
        <v>0.14299999999999999</v>
      </c>
      <c r="D20" s="56">
        <v>224.52</v>
      </c>
      <c r="E20" s="36"/>
      <c r="F20" s="40">
        <f t="shared" si="0"/>
        <v>0</v>
      </c>
      <c r="G20" s="40" t="e">
        <f>-PMT(Assumptions!B$25/12,Assumptions!B$24*12,F$8)*C20/100</f>
        <v>#NUM!</v>
      </c>
      <c r="H20" s="40" t="e">
        <f>G20*Assumptions!$B$24*12-F20</f>
        <v>#NUM!</v>
      </c>
      <c r="I20" s="48"/>
      <c r="J20" s="40">
        <f t="shared" si="1"/>
        <v>0</v>
      </c>
      <c r="K20" s="40" t="e">
        <f>-PMT(Assumptions!C$25/12,Assumptions!C$24*12,J$8)*C20/100</f>
        <v>#NUM!</v>
      </c>
      <c r="L20" s="40" t="e">
        <f>K20*Assumptions!$C$24*12-J20</f>
        <v>#NUM!</v>
      </c>
      <c r="M20" s="43"/>
      <c r="N20" s="40">
        <f t="shared" si="2"/>
        <v>1430</v>
      </c>
      <c r="O20" s="50">
        <f>-PMT(Assumptions!D$25/12,Assumptions!D$24*12,N$8)*C20/100</f>
        <v>15.167368679187756</v>
      </c>
      <c r="P20" s="44">
        <f>O20*Assumptions!$D$24*12-N20</f>
        <v>390.08424150253086</v>
      </c>
      <c r="Q20" s="48"/>
      <c r="R20" s="40">
        <f t="shared" si="3"/>
        <v>7149.9999999999991</v>
      </c>
      <c r="S20" s="40">
        <f>-PMT(Assumptions!E$25/12,Assumptions!E$24*12,$R$8)*$C20/100</f>
        <v>75.836843395938786</v>
      </c>
      <c r="T20" s="40">
        <f>S20*Assumptions!$E$24*12-R20</f>
        <v>1950.4212075126552</v>
      </c>
      <c r="U20" s="48"/>
      <c r="V20" s="40">
        <f t="shared" si="4"/>
        <v>0</v>
      </c>
      <c r="W20" s="40" t="e">
        <f>-PMT(Assumptions!F$25/12,Assumptions!F$24*12,$V$8)*$C20/100</f>
        <v>#NUM!</v>
      </c>
      <c r="X20" s="40" t="e">
        <f>W20*Assumptions!$F$24*12-V20</f>
        <v>#NUM!</v>
      </c>
      <c r="Y20" s="43"/>
      <c r="Z20" s="40">
        <f t="shared" si="5"/>
        <v>0</v>
      </c>
      <c r="AA20" s="50" t="e">
        <f>-PMT(Assumptions!G$25/12,Assumptions!G$24*12,$Z$8)*$C20/100</f>
        <v>#NUM!</v>
      </c>
      <c r="AB20" s="44" t="e">
        <f>AA20*Assumptions!$G$24*12-Z20</f>
        <v>#NUM!</v>
      </c>
      <c r="AD20" s="54">
        <f t="shared" si="6"/>
        <v>0</v>
      </c>
      <c r="AE20" s="54">
        <f t="shared" si="7"/>
        <v>0</v>
      </c>
      <c r="AF20" s="54">
        <f t="shared" si="8"/>
        <v>1430</v>
      </c>
      <c r="AG20" s="54">
        <f t="shared" si="9"/>
        <v>7149.9999999999991</v>
      </c>
      <c r="AH20" s="54">
        <f t="shared" si="10"/>
        <v>0</v>
      </c>
      <c r="AI20" s="54">
        <f t="shared" si="11"/>
        <v>0</v>
      </c>
    </row>
    <row r="21" spans="1:35" ht="15" x14ac:dyDescent="0.2">
      <c r="A21" s="56" t="s">
        <v>116</v>
      </c>
      <c r="B21" s="32"/>
      <c r="C21" s="56">
        <v>0.152</v>
      </c>
      <c r="D21" s="56">
        <v>238.66</v>
      </c>
      <c r="E21" s="36"/>
      <c r="F21" s="40">
        <f t="shared" si="0"/>
        <v>0</v>
      </c>
      <c r="G21" s="40" t="e">
        <f>-PMT(Assumptions!B$25/12,Assumptions!B$24*12,F$8)*C21/100</f>
        <v>#NUM!</v>
      </c>
      <c r="H21" s="40" t="e">
        <f>G21*Assumptions!$B$24*12-F21</f>
        <v>#NUM!</v>
      </c>
      <c r="I21" s="48"/>
      <c r="J21" s="40">
        <f t="shared" si="1"/>
        <v>0</v>
      </c>
      <c r="K21" s="40" t="e">
        <f>-PMT(Assumptions!C$25/12,Assumptions!C$24*12,J$8)*C21/100</f>
        <v>#NUM!</v>
      </c>
      <c r="L21" s="40" t="e">
        <f>K21*Assumptions!$C$24*12-J21</f>
        <v>#NUM!</v>
      </c>
      <c r="M21" s="43"/>
      <c r="N21" s="40">
        <f t="shared" si="2"/>
        <v>1520</v>
      </c>
      <c r="O21" s="50">
        <f>-PMT(Assumptions!D$25/12,Assumptions!D$24*12,N$8)*C21/100</f>
        <v>16.121958316339434</v>
      </c>
      <c r="P21" s="44">
        <f>O21*Assumptions!$D$24*12-N21</f>
        <v>414.63499796073211</v>
      </c>
      <c r="Q21" s="48"/>
      <c r="R21" s="40">
        <f t="shared" si="3"/>
        <v>7600</v>
      </c>
      <c r="S21" s="40">
        <f>-PMT(Assumptions!E$25/12,Assumptions!E$24*12,$R$8)*$C21/100</f>
        <v>80.609791581697166</v>
      </c>
      <c r="T21" s="40">
        <f>S21*Assumptions!$E$24*12-R21</f>
        <v>2073.1749898036596</v>
      </c>
      <c r="U21" s="48"/>
      <c r="V21" s="40">
        <f t="shared" si="4"/>
        <v>0</v>
      </c>
      <c r="W21" s="40" t="e">
        <f>-PMT(Assumptions!F$25/12,Assumptions!F$24*12,$V$8)*$C21/100</f>
        <v>#NUM!</v>
      </c>
      <c r="X21" s="40" t="e">
        <f>W21*Assumptions!$F$24*12-V21</f>
        <v>#NUM!</v>
      </c>
      <c r="Y21" s="43"/>
      <c r="Z21" s="40">
        <f t="shared" si="5"/>
        <v>0</v>
      </c>
      <c r="AA21" s="50" t="e">
        <f>-PMT(Assumptions!G$25/12,Assumptions!G$24*12,$Z$8)*$C21/100</f>
        <v>#NUM!</v>
      </c>
      <c r="AB21" s="44" t="e">
        <f>AA21*Assumptions!$G$24*12-Z21</f>
        <v>#NUM!</v>
      </c>
      <c r="AD21" s="54">
        <f t="shared" si="6"/>
        <v>0</v>
      </c>
      <c r="AE21" s="54">
        <f t="shared" si="7"/>
        <v>0</v>
      </c>
      <c r="AF21" s="54">
        <f t="shared" si="8"/>
        <v>1520</v>
      </c>
      <c r="AG21" s="54">
        <f t="shared" si="9"/>
        <v>7600</v>
      </c>
      <c r="AH21" s="54">
        <f t="shared" si="10"/>
        <v>0</v>
      </c>
      <c r="AI21" s="54">
        <f t="shared" si="11"/>
        <v>0</v>
      </c>
    </row>
    <row r="22" spans="1:35" ht="15" x14ac:dyDescent="0.2">
      <c r="A22" s="56" t="s">
        <v>117</v>
      </c>
      <c r="B22" s="32"/>
      <c r="C22" s="56">
        <v>0.20599999999999999</v>
      </c>
      <c r="D22" s="56">
        <v>323.44</v>
      </c>
      <c r="E22" s="36"/>
      <c r="F22" s="40">
        <f t="shared" si="0"/>
        <v>0</v>
      </c>
      <c r="G22" s="40" t="e">
        <f>-PMT(Assumptions!B$25/12,Assumptions!B$24*12,F$8)*C22/100</f>
        <v>#NUM!</v>
      </c>
      <c r="H22" s="40" t="e">
        <f>G22*Assumptions!$B$24*12-F22</f>
        <v>#NUM!</v>
      </c>
      <c r="I22" s="48"/>
      <c r="J22" s="40">
        <f t="shared" si="1"/>
        <v>0</v>
      </c>
      <c r="K22" s="40" t="e">
        <f>-PMT(Assumptions!C$25/12,Assumptions!C$24*12,J$8)*C22/100</f>
        <v>#NUM!</v>
      </c>
      <c r="L22" s="40" t="e">
        <f>K22*Assumptions!$C$24*12-J22</f>
        <v>#NUM!</v>
      </c>
      <c r="M22" s="43"/>
      <c r="N22" s="40">
        <f t="shared" si="2"/>
        <v>2060</v>
      </c>
      <c r="O22" s="50">
        <f>-PMT(Assumptions!D$25/12,Assumptions!D$24*12,N$8)*C22/100</f>
        <v>21.849496139249496</v>
      </c>
      <c r="P22" s="44">
        <f>O22*Assumptions!$D$24*12-N22</f>
        <v>561.9395367099396</v>
      </c>
      <c r="Q22" s="48"/>
      <c r="R22" s="40">
        <f t="shared" si="3"/>
        <v>10300</v>
      </c>
      <c r="S22" s="40">
        <f>-PMT(Assumptions!E$25/12,Assumptions!E$24*12,$R$8)*$C22/100</f>
        <v>109.24748069624748</v>
      </c>
      <c r="T22" s="40">
        <f>S22*Assumptions!$E$24*12-R22</f>
        <v>2809.6976835496971</v>
      </c>
      <c r="U22" s="48"/>
      <c r="V22" s="40">
        <f t="shared" si="4"/>
        <v>0</v>
      </c>
      <c r="W22" s="40" t="e">
        <f>-PMT(Assumptions!F$25/12,Assumptions!F$24*12,$V$8)*$C22/100</f>
        <v>#NUM!</v>
      </c>
      <c r="X22" s="40" t="e">
        <f>W22*Assumptions!$F$24*12-V22</f>
        <v>#NUM!</v>
      </c>
      <c r="Y22" s="43"/>
      <c r="Z22" s="40">
        <f t="shared" si="5"/>
        <v>0</v>
      </c>
      <c r="AA22" s="50" t="e">
        <f>-PMT(Assumptions!G$25/12,Assumptions!G$24*12,$Z$8)*$C22/100</f>
        <v>#NUM!</v>
      </c>
      <c r="AB22" s="44" t="e">
        <f>AA22*Assumptions!$G$24*12-Z22</f>
        <v>#NUM!</v>
      </c>
      <c r="AD22" s="54">
        <f t="shared" si="6"/>
        <v>0</v>
      </c>
      <c r="AE22" s="54">
        <f t="shared" si="7"/>
        <v>0</v>
      </c>
      <c r="AF22" s="54">
        <f t="shared" si="8"/>
        <v>2060</v>
      </c>
      <c r="AG22" s="54">
        <f t="shared" si="9"/>
        <v>10300</v>
      </c>
      <c r="AH22" s="54">
        <f t="shared" si="10"/>
        <v>0</v>
      </c>
      <c r="AI22" s="54">
        <f t="shared" si="11"/>
        <v>0</v>
      </c>
    </row>
    <row r="23" spans="1:35" ht="15" x14ac:dyDescent="0.2">
      <c r="A23" s="56" t="s">
        <v>118</v>
      </c>
      <c r="B23" s="32"/>
      <c r="C23" s="56">
        <v>0.215</v>
      </c>
      <c r="D23" s="56">
        <v>337.57</v>
      </c>
      <c r="E23" s="36"/>
      <c r="F23" s="40">
        <f t="shared" si="0"/>
        <v>0</v>
      </c>
      <c r="G23" s="40" t="e">
        <f>-PMT(Assumptions!B$25/12,Assumptions!B$24*12,F$8)*C23/100</f>
        <v>#NUM!</v>
      </c>
      <c r="H23" s="40" t="e">
        <f>G23*Assumptions!$B$24*12-F23</f>
        <v>#NUM!</v>
      </c>
      <c r="I23" s="48"/>
      <c r="J23" s="40">
        <f t="shared" si="1"/>
        <v>0</v>
      </c>
      <c r="K23" s="40" t="e">
        <f>-PMT(Assumptions!C$25/12,Assumptions!C$24*12,J$8)*C23/100</f>
        <v>#NUM!</v>
      </c>
      <c r="L23" s="40" t="e">
        <f>K23*Assumptions!$C$24*12-J23</f>
        <v>#NUM!</v>
      </c>
      <c r="M23" s="43"/>
      <c r="N23" s="40">
        <f t="shared" si="2"/>
        <v>2150</v>
      </c>
      <c r="O23" s="50">
        <f>-PMT(Assumptions!D$25/12,Assumptions!D$24*12,N$8)*C23/100</f>
        <v>22.804085776401177</v>
      </c>
      <c r="P23" s="44">
        <f>O23*Assumptions!$D$24*12-N23</f>
        <v>586.49029316814131</v>
      </c>
      <c r="Q23" s="48"/>
      <c r="R23" s="40">
        <f t="shared" si="3"/>
        <v>10750</v>
      </c>
      <c r="S23" s="40">
        <f>-PMT(Assumptions!E$25/12,Assumptions!E$24*12,$R$8)*$C23/100</f>
        <v>114.02042888200587</v>
      </c>
      <c r="T23" s="40">
        <f>S23*Assumptions!$E$24*12-R23</f>
        <v>2932.4514658407061</v>
      </c>
      <c r="U23" s="48"/>
      <c r="V23" s="40">
        <f t="shared" si="4"/>
        <v>0</v>
      </c>
      <c r="W23" s="40" t="e">
        <f>-PMT(Assumptions!F$25/12,Assumptions!F$24*12,$V$8)*$C23/100</f>
        <v>#NUM!</v>
      </c>
      <c r="X23" s="40" t="e">
        <f>W23*Assumptions!$F$24*12-V23</f>
        <v>#NUM!</v>
      </c>
      <c r="Y23" s="43"/>
      <c r="Z23" s="40">
        <f t="shared" si="5"/>
        <v>0</v>
      </c>
      <c r="AA23" s="50" t="e">
        <f>-PMT(Assumptions!G$25/12,Assumptions!G$24*12,$Z$8)*$C23/100</f>
        <v>#NUM!</v>
      </c>
      <c r="AB23" s="44" t="e">
        <f>AA23*Assumptions!$G$24*12-Z23</f>
        <v>#NUM!</v>
      </c>
      <c r="AD23" s="54">
        <f t="shared" si="6"/>
        <v>0</v>
      </c>
      <c r="AE23" s="54">
        <f t="shared" si="7"/>
        <v>0</v>
      </c>
      <c r="AF23" s="54">
        <f t="shared" si="8"/>
        <v>2150</v>
      </c>
      <c r="AG23" s="54">
        <f t="shared" si="9"/>
        <v>10750</v>
      </c>
      <c r="AH23" s="54">
        <f t="shared" si="10"/>
        <v>0</v>
      </c>
      <c r="AI23" s="54">
        <f t="shared" si="11"/>
        <v>0</v>
      </c>
    </row>
    <row r="24" spans="1:35" ht="15" x14ac:dyDescent="0.2">
      <c r="A24" s="56" t="s">
        <v>119</v>
      </c>
      <c r="B24" s="32"/>
      <c r="C24" s="56">
        <v>0.19800000000000001</v>
      </c>
      <c r="D24" s="56">
        <v>310.88</v>
      </c>
      <c r="E24" s="36"/>
      <c r="F24" s="40">
        <f t="shared" si="0"/>
        <v>0</v>
      </c>
      <c r="G24" s="40" t="e">
        <f>-PMT(Assumptions!B$25/12,Assumptions!B$24*12,F$8)*C24/100</f>
        <v>#NUM!</v>
      </c>
      <c r="H24" s="40" t="e">
        <f>G24*Assumptions!$B$24*12-F24</f>
        <v>#NUM!</v>
      </c>
      <c r="I24" s="48"/>
      <c r="J24" s="40">
        <f t="shared" si="1"/>
        <v>0</v>
      </c>
      <c r="K24" s="40" t="e">
        <f>-PMT(Assumptions!C$25/12,Assumptions!C$24*12,J$8)*C24/100</f>
        <v>#NUM!</v>
      </c>
      <c r="L24" s="40" t="e">
        <f>K24*Assumptions!$C$24*12-J24</f>
        <v>#NUM!</v>
      </c>
      <c r="M24" s="43"/>
      <c r="N24" s="40">
        <f t="shared" si="2"/>
        <v>1980</v>
      </c>
      <c r="O24" s="50">
        <f>-PMT(Assumptions!D$25/12,Assumptions!D$24*12,N$8)*C24/100</f>
        <v>21.000972017336899</v>
      </c>
      <c r="P24" s="44">
        <f>O24*Assumptions!$D$24*12-N24</f>
        <v>540.11664208042748</v>
      </c>
      <c r="Q24" s="48"/>
      <c r="R24" s="40">
        <f t="shared" si="3"/>
        <v>9900</v>
      </c>
      <c r="S24" s="40">
        <f>-PMT(Assumptions!E$25/12,Assumptions!E$24*12,$R$8)*$C24/100</f>
        <v>105.00486008668449</v>
      </c>
      <c r="T24" s="40">
        <f>S24*Assumptions!$E$24*12-R24</f>
        <v>2700.5832104021392</v>
      </c>
      <c r="U24" s="48"/>
      <c r="V24" s="40">
        <f t="shared" si="4"/>
        <v>0</v>
      </c>
      <c r="W24" s="40" t="e">
        <f>-PMT(Assumptions!F$25/12,Assumptions!F$24*12,$V$8)*$C24/100</f>
        <v>#NUM!</v>
      </c>
      <c r="X24" s="40" t="e">
        <f>W24*Assumptions!$F$24*12-V24</f>
        <v>#NUM!</v>
      </c>
      <c r="Y24" s="43"/>
      <c r="Z24" s="40">
        <f t="shared" si="5"/>
        <v>0</v>
      </c>
      <c r="AA24" s="50" t="e">
        <f>-PMT(Assumptions!G$25/12,Assumptions!G$24*12,$Z$8)*$C24/100</f>
        <v>#NUM!</v>
      </c>
      <c r="AB24" s="44" t="e">
        <f>AA24*Assumptions!$G$24*12-Z24</f>
        <v>#NUM!</v>
      </c>
      <c r="AD24" s="54">
        <f t="shared" si="6"/>
        <v>0</v>
      </c>
      <c r="AE24" s="54">
        <f t="shared" si="7"/>
        <v>0</v>
      </c>
      <c r="AF24" s="54">
        <f t="shared" si="8"/>
        <v>1980</v>
      </c>
      <c r="AG24" s="54">
        <f t="shared" si="9"/>
        <v>9900</v>
      </c>
      <c r="AH24" s="54">
        <f t="shared" si="10"/>
        <v>0</v>
      </c>
      <c r="AI24" s="54">
        <f t="shared" si="11"/>
        <v>0</v>
      </c>
    </row>
    <row r="25" spans="1:35" ht="15" x14ac:dyDescent="0.2">
      <c r="A25" s="56" t="s">
        <v>120</v>
      </c>
      <c r="B25" s="32"/>
      <c r="C25" s="56">
        <v>0.19800000000000001</v>
      </c>
      <c r="D25" s="56">
        <v>310.88</v>
      </c>
      <c r="E25" s="36"/>
      <c r="F25" s="40">
        <f t="shared" si="0"/>
        <v>0</v>
      </c>
      <c r="G25" s="40" t="e">
        <f>-PMT(Assumptions!B$25/12,Assumptions!B$24*12,F$8)*C25/100</f>
        <v>#NUM!</v>
      </c>
      <c r="H25" s="40" t="e">
        <f>G25*Assumptions!$B$24*12-F25</f>
        <v>#NUM!</v>
      </c>
      <c r="I25" s="48"/>
      <c r="J25" s="40">
        <f t="shared" si="1"/>
        <v>0</v>
      </c>
      <c r="K25" s="40" t="e">
        <f>-PMT(Assumptions!C$25/12,Assumptions!C$24*12,J$8)*C25/100</f>
        <v>#NUM!</v>
      </c>
      <c r="L25" s="40" t="e">
        <f>K25*Assumptions!$C$24*12-J25</f>
        <v>#NUM!</v>
      </c>
      <c r="M25" s="43"/>
      <c r="N25" s="40">
        <f t="shared" si="2"/>
        <v>1980</v>
      </c>
      <c r="O25" s="50">
        <f>-PMT(Assumptions!D$25/12,Assumptions!D$24*12,N$8)*C25/100</f>
        <v>21.000972017336899</v>
      </c>
      <c r="P25" s="44">
        <f>O25*Assumptions!$D$24*12-N25</f>
        <v>540.11664208042748</v>
      </c>
      <c r="Q25" s="48"/>
      <c r="R25" s="40">
        <f t="shared" si="3"/>
        <v>9900</v>
      </c>
      <c r="S25" s="40">
        <f>-PMT(Assumptions!E$25/12,Assumptions!E$24*12,$R$8)*$C25/100</f>
        <v>105.00486008668449</v>
      </c>
      <c r="T25" s="40">
        <f>S25*Assumptions!$E$24*12-R25</f>
        <v>2700.5832104021392</v>
      </c>
      <c r="U25" s="48"/>
      <c r="V25" s="40">
        <f t="shared" si="4"/>
        <v>0</v>
      </c>
      <c r="W25" s="40" t="e">
        <f>-PMT(Assumptions!F$25/12,Assumptions!F$24*12,$V$8)*$C25/100</f>
        <v>#NUM!</v>
      </c>
      <c r="X25" s="40" t="e">
        <f>W25*Assumptions!$F$24*12-V25</f>
        <v>#NUM!</v>
      </c>
      <c r="Y25" s="43"/>
      <c r="Z25" s="40">
        <f t="shared" si="5"/>
        <v>0</v>
      </c>
      <c r="AA25" s="50" t="e">
        <f>-PMT(Assumptions!G$25/12,Assumptions!G$24*12,$Z$8)*$C25/100</f>
        <v>#NUM!</v>
      </c>
      <c r="AB25" s="44" t="e">
        <f>AA25*Assumptions!$G$24*12-Z25</f>
        <v>#NUM!</v>
      </c>
      <c r="AD25" s="54">
        <f t="shared" si="6"/>
        <v>0</v>
      </c>
      <c r="AE25" s="54">
        <f t="shared" si="7"/>
        <v>0</v>
      </c>
      <c r="AF25" s="54">
        <f t="shared" si="8"/>
        <v>1980</v>
      </c>
      <c r="AG25" s="54">
        <f t="shared" si="9"/>
        <v>9900</v>
      </c>
      <c r="AH25" s="54">
        <f t="shared" si="10"/>
        <v>0</v>
      </c>
      <c r="AI25" s="54">
        <f t="shared" si="11"/>
        <v>0</v>
      </c>
    </row>
    <row r="26" spans="1:35" ht="15" x14ac:dyDescent="0.2">
      <c r="A26" s="56" t="s">
        <v>121</v>
      </c>
      <c r="B26" s="32"/>
      <c r="C26" s="56">
        <v>0.14299999999999999</v>
      </c>
      <c r="D26" s="56">
        <v>224.52</v>
      </c>
      <c r="E26" s="36"/>
      <c r="F26" s="40">
        <f t="shared" si="0"/>
        <v>0</v>
      </c>
      <c r="G26" s="40" t="e">
        <f>-PMT(Assumptions!B$25/12,Assumptions!B$24*12,F$8)*C26/100</f>
        <v>#NUM!</v>
      </c>
      <c r="H26" s="40" t="e">
        <f>G26*Assumptions!$B$24*12-F26</f>
        <v>#NUM!</v>
      </c>
      <c r="I26" s="48"/>
      <c r="J26" s="40">
        <f t="shared" si="1"/>
        <v>0</v>
      </c>
      <c r="K26" s="40" t="e">
        <f>-PMT(Assumptions!C$25/12,Assumptions!C$24*12,J$8)*C26/100</f>
        <v>#NUM!</v>
      </c>
      <c r="L26" s="40" t="e">
        <f>K26*Assumptions!$C$24*12-J26</f>
        <v>#NUM!</v>
      </c>
      <c r="M26" s="43"/>
      <c r="N26" s="40">
        <f t="shared" si="2"/>
        <v>1430</v>
      </c>
      <c r="O26" s="50">
        <f>-PMT(Assumptions!D$25/12,Assumptions!D$24*12,N$8)*C26/100</f>
        <v>15.167368679187756</v>
      </c>
      <c r="P26" s="44">
        <f>O26*Assumptions!$D$24*12-N26</f>
        <v>390.08424150253086</v>
      </c>
      <c r="Q26" s="48"/>
      <c r="R26" s="40">
        <f t="shared" si="3"/>
        <v>7149.9999999999991</v>
      </c>
      <c r="S26" s="40">
        <f>-PMT(Assumptions!E$25/12,Assumptions!E$24*12,$R$8)*$C26/100</f>
        <v>75.836843395938786</v>
      </c>
      <c r="T26" s="40">
        <f>S26*Assumptions!$E$24*12-R26</f>
        <v>1950.4212075126552</v>
      </c>
      <c r="U26" s="48"/>
      <c r="V26" s="40">
        <f t="shared" si="4"/>
        <v>0</v>
      </c>
      <c r="W26" s="40" t="e">
        <f>-PMT(Assumptions!F$25/12,Assumptions!F$24*12,$V$8)*$C26/100</f>
        <v>#NUM!</v>
      </c>
      <c r="X26" s="40" t="e">
        <f>W26*Assumptions!$F$24*12-V26</f>
        <v>#NUM!</v>
      </c>
      <c r="Y26" s="43"/>
      <c r="Z26" s="40">
        <f t="shared" si="5"/>
        <v>0</v>
      </c>
      <c r="AA26" s="50" t="e">
        <f>-PMT(Assumptions!G$25/12,Assumptions!G$24*12,$Z$8)*$C26/100</f>
        <v>#NUM!</v>
      </c>
      <c r="AB26" s="44" t="e">
        <f>AA26*Assumptions!$G$24*12-Z26</f>
        <v>#NUM!</v>
      </c>
      <c r="AD26" s="54">
        <f t="shared" si="6"/>
        <v>0</v>
      </c>
      <c r="AE26" s="54">
        <f t="shared" si="7"/>
        <v>0</v>
      </c>
      <c r="AF26" s="54">
        <f t="shared" si="8"/>
        <v>1430</v>
      </c>
      <c r="AG26" s="54">
        <f t="shared" si="9"/>
        <v>7149.9999999999991</v>
      </c>
      <c r="AH26" s="54">
        <f t="shared" si="10"/>
        <v>0</v>
      </c>
      <c r="AI26" s="54">
        <f t="shared" si="11"/>
        <v>0</v>
      </c>
    </row>
    <row r="27" spans="1:35" ht="15" x14ac:dyDescent="0.2">
      <c r="A27" s="56" t="s">
        <v>122</v>
      </c>
      <c r="B27" s="32"/>
      <c r="C27" s="56">
        <v>0.152</v>
      </c>
      <c r="D27" s="56">
        <v>238.66</v>
      </c>
      <c r="E27" s="36"/>
      <c r="F27" s="40">
        <f t="shared" si="0"/>
        <v>0</v>
      </c>
      <c r="G27" s="40" t="e">
        <f>-PMT(Assumptions!B$25/12,Assumptions!B$24*12,F$8)*C27/100</f>
        <v>#NUM!</v>
      </c>
      <c r="H27" s="40" t="e">
        <f>G27*Assumptions!$B$24*12-F27</f>
        <v>#NUM!</v>
      </c>
      <c r="I27" s="48"/>
      <c r="J27" s="40">
        <f t="shared" si="1"/>
        <v>0</v>
      </c>
      <c r="K27" s="40" t="e">
        <f>-PMT(Assumptions!C$25/12,Assumptions!C$24*12,J$8)*C27/100</f>
        <v>#NUM!</v>
      </c>
      <c r="L27" s="40" t="e">
        <f>K27*Assumptions!$C$24*12-J27</f>
        <v>#NUM!</v>
      </c>
      <c r="M27" s="43"/>
      <c r="N27" s="40">
        <f t="shared" si="2"/>
        <v>1520</v>
      </c>
      <c r="O27" s="50">
        <f>-PMT(Assumptions!D$25/12,Assumptions!D$24*12,N$8)*C27/100</f>
        <v>16.121958316339434</v>
      </c>
      <c r="P27" s="44">
        <f>O27*Assumptions!$D$24*12-N27</f>
        <v>414.63499796073211</v>
      </c>
      <c r="Q27" s="48"/>
      <c r="R27" s="40">
        <f t="shared" si="3"/>
        <v>7600</v>
      </c>
      <c r="S27" s="40">
        <f>-PMT(Assumptions!E$25/12,Assumptions!E$24*12,$R$8)*$C27/100</f>
        <v>80.609791581697166</v>
      </c>
      <c r="T27" s="40">
        <f>S27*Assumptions!$E$24*12-R27</f>
        <v>2073.1749898036596</v>
      </c>
      <c r="U27" s="48"/>
      <c r="V27" s="40">
        <f t="shared" si="4"/>
        <v>0</v>
      </c>
      <c r="W27" s="40" t="e">
        <f>-PMT(Assumptions!F$25/12,Assumptions!F$24*12,$V$8)*$C27/100</f>
        <v>#NUM!</v>
      </c>
      <c r="X27" s="40" t="e">
        <f>W27*Assumptions!$F$24*12-V27</f>
        <v>#NUM!</v>
      </c>
      <c r="Y27" s="43"/>
      <c r="Z27" s="40">
        <f t="shared" si="5"/>
        <v>0</v>
      </c>
      <c r="AA27" s="50" t="e">
        <f>-PMT(Assumptions!G$25/12,Assumptions!G$24*12,$Z$8)*$C27/100</f>
        <v>#NUM!</v>
      </c>
      <c r="AB27" s="44" t="e">
        <f>AA27*Assumptions!$G$24*12-Z27</f>
        <v>#NUM!</v>
      </c>
      <c r="AD27" s="54">
        <f t="shared" si="6"/>
        <v>0</v>
      </c>
      <c r="AE27" s="54">
        <f t="shared" si="7"/>
        <v>0</v>
      </c>
      <c r="AF27" s="54">
        <f t="shared" si="8"/>
        <v>1520</v>
      </c>
      <c r="AG27" s="54">
        <f t="shared" si="9"/>
        <v>7600</v>
      </c>
      <c r="AH27" s="54">
        <f t="shared" si="10"/>
        <v>0</v>
      </c>
      <c r="AI27" s="54">
        <f t="shared" si="11"/>
        <v>0</v>
      </c>
    </row>
    <row r="28" spans="1:35" ht="15" x14ac:dyDescent="0.2">
      <c r="A28" s="56" t="s">
        <v>123</v>
      </c>
      <c r="B28" s="32"/>
      <c r="C28" s="56">
        <v>0.14299999999999999</v>
      </c>
      <c r="D28" s="56">
        <v>224.52</v>
      </c>
      <c r="E28" s="36"/>
      <c r="F28" s="40">
        <f t="shared" si="0"/>
        <v>0</v>
      </c>
      <c r="G28" s="40" t="e">
        <f>-PMT(Assumptions!B$25/12,Assumptions!B$24*12,F$8)*C28/100</f>
        <v>#NUM!</v>
      </c>
      <c r="H28" s="40" t="e">
        <f>G28*Assumptions!$B$24*12-F28</f>
        <v>#NUM!</v>
      </c>
      <c r="I28" s="48"/>
      <c r="J28" s="40">
        <f t="shared" si="1"/>
        <v>0</v>
      </c>
      <c r="K28" s="40" t="e">
        <f>-PMT(Assumptions!C$25/12,Assumptions!C$24*12,J$8)*C28/100</f>
        <v>#NUM!</v>
      </c>
      <c r="L28" s="40" t="e">
        <f>K28*Assumptions!$C$24*12-J28</f>
        <v>#NUM!</v>
      </c>
      <c r="M28" s="43"/>
      <c r="N28" s="40">
        <f t="shared" si="2"/>
        <v>1430</v>
      </c>
      <c r="O28" s="50">
        <f>-PMT(Assumptions!D$25/12,Assumptions!D$24*12,N$8)*C28/100</f>
        <v>15.167368679187756</v>
      </c>
      <c r="P28" s="44">
        <f>O28*Assumptions!$D$24*12-N28</f>
        <v>390.08424150253086</v>
      </c>
      <c r="Q28" s="48"/>
      <c r="R28" s="40">
        <f t="shared" si="3"/>
        <v>7149.9999999999991</v>
      </c>
      <c r="S28" s="40">
        <f>-PMT(Assumptions!E$25/12,Assumptions!E$24*12,$R$8)*$C28/100</f>
        <v>75.836843395938786</v>
      </c>
      <c r="T28" s="40">
        <f>S28*Assumptions!$E$24*12-R28</f>
        <v>1950.4212075126552</v>
      </c>
      <c r="U28" s="48"/>
      <c r="V28" s="40">
        <f t="shared" si="4"/>
        <v>0</v>
      </c>
      <c r="W28" s="40" t="e">
        <f>-PMT(Assumptions!F$25/12,Assumptions!F$24*12,$V$8)*$C28/100</f>
        <v>#NUM!</v>
      </c>
      <c r="X28" s="40" t="e">
        <f>W28*Assumptions!$F$24*12-V28</f>
        <v>#NUM!</v>
      </c>
      <c r="Y28" s="43"/>
      <c r="Z28" s="40">
        <f t="shared" si="5"/>
        <v>0</v>
      </c>
      <c r="AA28" s="50" t="e">
        <f>-PMT(Assumptions!G$25/12,Assumptions!G$24*12,$Z$8)*$C28/100</f>
        <v>#NUM!</v>
      </c>
      <c r="AB28" s="44" t="e">
        <f>AA28*Assumptions!$G$24*12-Z28</f>
        <v>#NUM!</v>
      </c>
      <c r="AD28" s="54">
        <f t="shared" si="6"/>
        <v>0</v>
      </c>
      <c r="AE28" s="54">
        <f t="shared" si="7"/>
        <v>0</v>
      </c>
      <c r="AF28" s="54">
        <f t="shared" si="8"/>
        <v>1430</v>
      </c>
      <c r="AG28" s="54">
        <f t="shared" si="9"/>
        <v>7149.9999999999991</v>
      </c>
      <c r="AH28" s="54">
        <f t="shared" si="10"/>
        <v>0</v>
      </c>
      <c r="AI28" s="54">
        <f t="shared" si="11"/>
        <v>0</v>
      </c>
    </row>
    <row r="29" spans="1:35" ht="15" x14ac:dyDescent="0.2">
      <c r="A29" s="56" t="s">
        <v>124</v>
      </c>
      <c r="B29" s="32"/>
      <c r="C29" s="56">
        <v>0.152</v>
      </c>
      <c r="D29" s="56">
        <v>238.66</v>
      </c>
      <c r="E29" s="36"/>
      <c r="F29" s="40">
        <f t="shared" si="0"/>
        <v>0</v>
      </c>
      <c r="G29" s="40" t="e">
        <f>-PMT(Assumptions!B$25/12,Assumptions!B$24*12,F$8)*C29/100</f>
        <v>#NUM!</v>
      </c>
      <c r="H29" s="40" t="e">
        <f>G29*Assumptions!$B$24*12-F29</f>
        <v>#NUM!</v>
      </c>
      <c r="I29" s="48"/>
      <c r="J29" s="40">
        <f t="shared" si="1"/>
        <v>0</v>
      </c>
      <c r="K29" s="40" t="e">
        <f>-PMT(Assumptions!C$25/12,Assumptions!C$24*12,J$8)*C29/100</f>
        <v>#NUM!</v>
      </c>
      <c r="L29" s="40" t="e">
        <f>K29*Assumptions!$C$24*12-J29</f>
        <v>#NUM!</v>
      </c>
      <c r="M29" s="43"/>
      <c r="N29" s="40">
        <f t="shared" si="2"/>
        <v>1520</v>
      </c>
      <c r="O29" s="50">
        <f>-PMT(Assumptions!D$25/12,Assumptions!D$24*12,N$8)*C29/100</f>
        <v>16.121958316339434</v>
      </c>
      <c r="P29" s="44">
        <f>O29*Assumptions!$D$24*12-N29</f>
        <v>414.63499796073211</v>
      </c>
      <c r="Q29" s="48"/>
      <c r="R29" s="40">
        <f t="shared" si="3"/>
        <v>7600</v>
      </c>
      <c r="S29" s="40">
        <f>-PMT(Assumptions!E$25/12,Assumptions!E$24*12,$R$8)*$C29/100</f>
        <v>80.609791581697166</v>
      </c>
      <c r="T29" s="40">
        <f>S29*Assumptions!$E$24*12-R29</f>
        <v>2073.1749898036596</v>
      </c>
      <c r="U29" s="48"/>
      <c r="V29" s="40">
        <f t="shared" si="4"/>
        <v>0</v>
      </c>
      <c r="W29" s="40" t="e">
        <f>-PMT(Assumptions!F$25/12,Assumptions!F$24*12,$V$8)*$C29/100</f>
        <v>#NUM!</v>
      </c>
      <c r="X29" s="40" t="e">
        <f>W29*Assumptions!$F$24*12-V29</f>
        <v>#NUM!</v>
      </c>
      <c r="Y29" s="43"/>
      <c r="Z29" s="40">
        <f t="shared" si="5"/>
        <v>0</v>
      </c>
      <c r="AA29" s="50" t="e">
        <f>-PMT(Assumptions!G$25/12,Assumptions!G$24*12,$Z$8)*$C29/100</f>
        <v>#NUM!</v>
      </c>
      <c r="AB29" s="44" t="e">
        <f>AA29*Assumptions!$G$24*12-Z29</f>
        <v>#NUM!</v>
      </c>
      <c r="AD29" s="54">
        <f t="shared" si="6"/>
        <v>0</v>
      </c>
      <c r="AE29" s="54">
        <f t="shared" si="7"/>
        <v>0</v>
      </c>
      <c r="AF29" s="54">
        <f t="shared" si="8"/>
        <v>1520</v>
      </c>
      <c r="AG29" s="54">
        <f t="shared" si="9"/>
        <v>7600</v>
      </c>
      <c r="AH29" s="54">
        <f t="shared" si="10"/>
        <v>0</v>
      </c>
      <c r="AI29" s="54">
        <f t="shared" si="11"/>
        <v>0</v>
      </c>
    </row>
    <row r="30" spans="1:35" ht="15" x14ac:dyDescent="0.2">
      <c r="A30" s="56" t="s">
        <v>125</v>
      </c>
      <c r="B30" s="32"/>
      <c r="C30" s="56">
        <v>0.215</v>
      </c>
      <c r="D30" s="56">
        <v>337.57</v>
      </c>
      <c r="E30" s="36"/>
      <c r="F30" s="40">
        <f t="shared" si="0"/>
        <v>0</v>
      </c>
      <c r="G30" s="40" t="e">
        <f>-PMT(Assumptions!B$25/12,Assumptions!B$24*12,F$8)*C30/100</f>
        <v>#NUM!</v>
      </c>
      <c r="H30" s="40" t="e">
        <f>G30*Assumptions!$B$24*12-F30</f>
        <v>#NUM!</v>
      </c>
      <c r="I30" s="48"/>
      <c r="J30" s="40">
        <f t="shared" si="1"/>
        <v>0</v>
      </c>
      <c r="K30" s="40" t="e">
        <f>-PMT(Assumptions!C$25/12,Assumptions!C$24*12,J$8)*C30/100</f>
        <v>#NUM!</v>
      </c>
      <c r="L30" s="40" t="e">
        <f>K30*Assumptions!$C$24*12-J30</f>
        <v>#NUM!</v>
      </c>
      <c r="M30" s="43"/>
      <c r="N30" s="40">
        <f t="shared" si="2"/>
        <v>2150</v>
      </c>
      <c r="O30" s="50">
        <f>-PMT(Assumptions!D$25/12,Assumptions!D$24*12,N$8)*C30/100</f>
        <v>22.804085776401177</v>
      </c>
      <c r="P30" s="44">
        <f>O30*Assumptions!$D$24*12-N30</f>
        <v>586.49029316814131</v>
      </c>
      <c r="Q30" s="48"/>
      <c r="R30" s="40">
        <f t="shared" si="3"/>
        <v>10750</v>
      </c>
      <c r="S30" s="40">
        <f>-PMT(Assumptions!E$25/12,Assumptions!E$24*12,$R$8)*$C30/100</f>
        <v>114.02042888200587</v>
      </c>
      <c r="T30" s="40">
        <f>S30*Assumptions!$E$24*12-R30</f>
        <v>2932.4514658407061</v>
      </c>
      <c r="U30" s="48"/>
      <c r="V30" s="40">
        <f t="shared" si="4"/>
        <v>0</v>
      </c>
      <c r="W30" s="40" t="e">
        <f>-PMT(Assumptions!F$25/12,Assumptions!F$24*12,$V$8)*$C30/100</f>
        <v>#NUM!</v>
      </c>
      <c r="X30" s="40" t="e">
        <f>W30*Assumptions!$F$24*12-V30</f>
        <v>#NUM!</v>
      </c>
      <c r="Y30" s="43"/>
      <c r="Z30" s="40">
        <f t="shared" si="5"/>
        <v>0</v>
      </c>
      <c r="AA30" s="50" t="e">
        <f>-PMT(Assumptions!G$25/12,Assumptions!G$24*12,$Z$8)*$C30/100</f>
        <v>#NUM!</v>
      </c>
      <c r="AB30" s="44" t="e">
        <f>AA30*Assumptions!$G$24*12-Z30</f>
        <v>#NUM!</v>
      </c>
      <c r="AD30" s="54">
        <f t="shared" si="6"/>
        <v>0</v>
      </c>
      <c r="AE30" s="54">
        <f t="shared" si="7"/>
        <v>0</v>
      </c>
      <c r="AF30" s="54">
        <f t="shared" si="8"/>
        <v>2150</v>
      </c>
      <c r="AG30" s="54">
        <f t="shared" si="9"/>
        <v>10750</v>
      </c>
      <c r="AH30" s="54">
        <f t="shared" si="10"/>
        <v>0</v>
      </c>
      <c r="AI30" s="54">
        <f t="shared" si="11"/>
        <v>0</v>
      </c>
    </row>
    <row r="31" spans="1:35" ht="15" x14ac:dyDescent="0.2">
      <c r="A31" s="56" t="s">
        <v>126</v>
      </c>
      <c r="B31" s="32"/>
      <c r="C31" s="56">
        <v>0.20200000000000001</v>
      </c>
      <c r="D31" s="56">
        <v>317.16000000000003</v>
      </c>
      <c r="E31" s="36"/>
      <c r="F31" s="40">
        <f t="shared" si="0"/>
        <v>0</v>
      </c>
      <c r="G31" s="40" t="e">
        <f>-PMT(Assumptions!B$25/12,Assumptions!B$24*12,F$8)*C31/100</f>
        <v>#NUM!</v>
      </c>
      <c r="H31" s="40" t="e">
        <f>G31*Assumptions!$B$24*12-F31</f>
        <v>#NUM!</v>
      </c>
      <c r="I31" s="48"/>
      <c r="J31" s="40">
        <f t="shared" si="1"/>
        <v>0</v>
      </c>
      <c r="K31" s="40" t="e">
        <f>-PMT(Assumptions!C$25/12,Assumptions!C$24*12,J$8)*C31/100</f>
        <v>#NUM!</v>
      </c>
      <c r="L31" s="40" t="e">
        <f>K31*Assumptions!$C$24*12-J31</f>
        <v>#NUM!</v>
      </c>
      <c r="M31" s="43"/>
      <c r="N31" s="40">
        <f t="shared" si="2"/>
        <v>2020</v>
      </c>
      <c r="O31" s="50">
        <f>-PMT(Assumptions!D$25/12,Assumptions!D$24*12,N$8)*C31/100</f>
        <v>21.425234078293197</v>
      </c>
      <c r="P31" s="44">
        <f>O31*Assumptions!$D$24*12-N31</f>
        <v>551.028089395184</v>
      </c>
      <c r="Q31" s="48"/>
      <c r="R31" s="40">
        <f t="shared" si="3"/>
        <v>10100.000000000002</v>
      </c>
      <c r="S31" s="40">
        <f>-PMT(Assumptions!E$25/12,Assumptions!E$24*12,$R$8)*$C31/100</f>
        <v>107.12617039146599</v>
      </c>
      <c r="T31" s="40">
        <f>S31*Assumptions!$E$24*12-R31</f>
        <v>2755.1404469759163</v>
      </c>
      <c r="U31" s="48"/>
      <c r="V31" s="40">
        <f t="shared" si="4"/>
        <v>0</v>
      </c>
      <c r="W31" s="40" t="e">
        <f>-PMT(Assumptions!F$25/12,Assumptions!F$24*12,$V$8)*$C31/100</f>
        <v>#NUM!</v>
      </c>
      <c r="X31" s="40" t="e">
        <f>W31*Assumptions!$F$24*12-V31</f>
        <v>#NUM!</v>
      </c>
      <c r="Y31" s="43"/>
      <c r="Z31" s="40">
        <f t="shared" si="5"/>
        <v>0</v>
      </c>
      <c r="AA31" s="50" t="e">
        <f>-PMT(Assumptions!G$25/12,Assumptions!G$24*12,$Z$8)*$C31/100</f>
        <v>#NUM!</v>
      </c>
      <c r="AB31" s="44" t="e">
        <f>AA31*Assumptions!$G$24*12-Z31</f>
        <v>#NUM!</v>
      </c>
      <c r="AD31" s="54">
        <f t="shared" si="6"/>
        <v>0</v>
      </c>
      <c r="AE31" s="54">
        <f t="shared" si="7"/>
        <v>0</v>
      </c>
      <c r="AF31" s="54">
        <f t="shared" si="8"/>
        <v>2020</v>
      </c>
      <c r="AG31" s="54">
        <f t="shared" si="9"/>
        <v>10100.000000000002</v>
      </c>
      <c r="AH31" s="54">
        <f t="shared" si="10"/>
        <v>0</v>
      </c>
      <c r="AI31" s="54">
        <f t="shared" si="11"/>
        <v>0</v>
      </c>
    </row>
    <row r="32" spans="1:35" ht="15" x14ac:dyDescent="0.2">
      <c r="A32" s="56" t="s">
        <v>127</v>
      </c>
      <c r="B32" s="32"/>
      <c r="C32" s="56">
        <v>0.20200000000000001</v>
      </c>
      <c r="D32" s="56">
        <v>317.16000000000003</v>
      </c>
      <c r="E32" s="36"/>
      <c r="F32" s="40">
        <f t="shared" si="0"/>
        <v>0</v>
      </c>
      <c r="G32" s="40" t="e">
        <f>-PMT(Assumptions!B$25/12,Assumptions!B$24*12,F$8)*C32/100</f>
        <v>#NUM!</v>
      </c>
      <c r="H32" s="40" t="e">
        <f>G32*Assumptions!$B$24*12-F32</f>
        <v>#NUM!</v>
      </c>
      <c r="I32" s="48"/>
      <c r="J32" s="40">
        <f t="shared" si="1"/>
        <v>0</v>
      </c>
      <c r="K32" s="40" t="e">
        <f>-PMT(Assumptions!C$25/12,Assumptions!C$24*12,J$8)*C32/100</f>
        <v>#NUM!</v>
      </c>
      <c r="L32" s="40" t="e">
        <f>K32*Assumptions!$C$24*12-J32</f>
        <v>#NUM!</v>
      </c>
      <c r="M32" s="43"/>
      <c r="N32" s="40">
        <f t="shared" si="2"/>
        <v>2020</v>
      </c>
      <c r="O32" s="50">
        <f>-PMT(Assumptions!D$25/12,Assumptions!D$24*12,N$8)*C32/100</f>
        <v>21.425234078293197</v>
      </c>
      <c r="P32" s="44">
        <f>O32*Assumptions!$D$24*12-N32</f>
        <v>551.028089395184</v>
      </c>
      <c r="Q32" s="48"/>
      <c r="R32" s="40">
        <f t="shared" si="3"/>
        <v>10100.000000000002</v>
      </c>
      <c r="S32" s="40">
        <f>-PMT(Assumptions!E$25/12,Assumptions!E$24*12,$R$8)*$C32/100</f>
        <v>107.12617039146599</v>
      </c>
      <c r="T32" s="40">
        <f>S32*Assumptions!$E$24*12-R32</f>
        <v>2755.1404469759163</v>
      </c>
      <c r="U32" s="48"/>
      <c r="V32" s="40">
        <f t="shared" si="4"/>
        <v>0</v>
      </c>
      <c r="W32" s="40" t="e">
        <f>-PMT(Assumptions!F$25/12,Assumptions!F$24*12,$V$8)*$C32/100</f>
        <v>#NUM!</v>
      </c>
      <c r="X32" s="40" t="e">
        <f>W32*Assumptions!$F$24*12-V32</f>
        <v>#NUM!</v>
      </c>
      <c r="Y32" s="43"/>
      <c r="Z32" s="40">
        <f t="shared" si="5"/>
        <v>0</v>
      </c>
      <c r="AA32" s="50" t="e">
        <f>-PMT(Assumptions!G$25/12,Assumptions!G$24*12,$Z$8)*$C32/100</f>
        <v>#NUM!</v>
      </c>
      <c r="AB32" s="44" t="e">
        <f>AA32*Assumptions!$G$24*12-Z32</f>
        <v>#NUM!</v>
      </c>
      <c r="AD32" s="54">
        <f t="shared" si="6"/>
        <v>0</v>
      </c>
      <c r="AE32" s="54">
        <f t="shared" si="7"/>
        <v>0</v>
      </c>
      <c r="AF32" s="54">
        <f t="shared" si="8"/>
        <v>2020</v>
      </c>
      <c r="AG32" s="54">
        <f t="shared" si="9"/>
        <v>10100.000000000002</v>
      </c>
      <c r="AH32" s="54">
        <f t="shared" si="10"/>
        <v>0</v>
      </c>
      <c r="AI32" s="54">
        <f t="shared" si="11"/>
        <v>0</v>
      </c>
    </row>
    <row r="33" spans="1:35" ht="15" x14ac:dyDescent="0.2">
      <c r="A33" s="56" t="s">
        <v>128</v>
      </c>
      <c r="B33" s="32"/>
      <c r="C33" s="56">
        <v>0.28000000000000003</v>
      </c>
      <c r="D33" s="56">
        <v>439.63</v>
      </c>
      <c r="E33" s="36"/>
      <c r="F33" s="40">
        <f t="shared" si="0"/>
        <v>0</v>
      </c>
      <c r="G33" s="40" t="e">
        <f>-PMT(Assumptions!B$25/12,Assumptions!B$24*12,F$8)*C33/100</f>
        <v>#NUM!</v>
      </c>
      <c r="H33" s="40" t="e">
        <f>G33*Assumptions!$B$24*12-F33</f>
        <v>#NUM!</v>
      </c>
      <c r="I33" s="48"/>
      <c r="J33" s="40">
        <f t="shared" si="1"/>
        <v>0</v>
      </c>
      <c r="K33" s="40" t="e">
        <f>-PMT(Assumptions!C$25/12,Assumptions!C$24*12,J$8)*C33/100</f>
        <v>#NUM!</v>
      </c>
      <c r="L33" s="40" t="e">
        <f>K33*Assumptions!$C$24*12-J33</f>
        <v>#NUM!</v>
      </c>
      <c r="M33" s="43"/>
      <c r="N33" s="40">
        <f t="shared" si="2"/>
        <v>2800</v>
      </c>
      <c r="O33" s="50">
        <f>-PMT(Assumptions!D$25/12,Assumptions!D$24*12,N$8)*C33/100</f>
        <v>29.698344266941067</v>
      </c>
      <c r="P33" s="44">
        <f>O33*Assumptions!$D$24*12-N33</f>
        <v>763.80131203292831</v>
      </c>
      <c r="Q33" s="48"/>
      <c r="R33" s="40">
        <f t="shared" si="3"/>
        <v>14000.000000000002</v>
      </c>
      <c r="S33" s="40">
        <f>-PMT(Assumptions!E$25/12,Assumptions!E$24*12,$R$8)*$C33/100</f>
        <v>148.49172133470535</v>
      </c>
      <c r="T33" s="40">
        <f>S33*Assumptions!$E$24*12-R33</f>
        <v>3819.0065601646402</v>
      </c>
      <c r="U33" s="48"/>
      <c r="V33" s="40">
        <f t="shared" si="4"/>
        <v>0</v>
      </c>
      <c r="W33" s="40" t="e">
        <f>-PMT(Assumptions!F$25/12,Assumptions!F$24*12,$V$8)*$C33/100</f>
        <v>#NUM!</v>
      </c>
      <c r="X33" s="40" t="e">
        <f>W33*Assumptions!$F$24*12-V33</f>
        <v>#NUM!</v>
      </c>
      <c r="Y33" s="43"/>
      <c r="Z33" s="40">
        <f t="shared" si="5"/>
        <v>0</v>
      </c>
      <c r="AA33" s="50" t="e">
        <f>-PMT(Assumptions!G$25/12,Assumptions!G$24*12,$Z$8)*$C33/100</f>
        <v>#NUM!</v>
      </c>
      <c r="AB33" s="44" t="e">
        <f>AA33*Assumptions!$G$24*12-Z33</f>
        <v>#NUM!</v>
      </c>
      <c r="AD33" s="54">
        <f t="shared" si="6"/>
        <v>0</v>
      </c>
      <c r="AE33" s="54">
        <f t="shared" si="7"/>
        <v>0</v>
      </c>
      <c r="AF33" s="54">
        <f t="shared" si="8"/>
        <v>2800</v>
      </c>
      <c r="AG33" s="54">
        <f t="shared" si="9"/>
        <v>14000.000000000002</v>
      </c>
      <c r="AH33" s="54">
        <f t="shared" si="10"/>
        <v>0</v>
      </c>
      <c r="AI33" s="54">
        <f t="shared" si="11"/>
        <v>0</v>
      </c>
    </row>
    <row r="34" spans="1:35" ht="15" x14ac:dyDescent="0.2">
      <c r="A34" s="56" t="s">
        <v>129</v>
      </c>
      <c r="B34" s="32"/>
      <c r="C34" s="56">
        <v>0.28000000000000003</v>
      </c>
      <c r="D34" s="56">
        <v>439.63</v>
      </c>
      <c r="E34" s="36"/>
      <c r="F34" s="40">
        <f t="shared" si="0"/>
        <v>0</v>
      </c>
      <c r="G34" s="40" t="e">
        <f>-PMT(Assumptions!B$25/12,Assumptions!B$24*12,F$8)*C34/100</f>
        <v>#NUM!</v>
      </c>
      <c r="H34" s="40" t="e">
        <f>G34*Assumptions!$B$24*12-F34</f>
        <v>#NUM!</v>
      </c>
      <c r="I34" s="48"/>
      <c r="J34" s="40">
        <f t="shared" si="1"/>
        <v>0</v>
      </c>
      <c r="K34" s="40" t="e">
        <f>-PMT(Assumptions!C$25/12,Assumptions!C$24*12,J$8)*C34/100</f>
        <v>#NUM!</v>
      </c>
      <c r="L34" s="40" t="e">
        <f>K34*Assumptions!$C$24*12-J34</f>
        <v>#NUM!</v>
      </c>
      <c r="M34" s="43"/>
      <c r="N34" s="40">
        <f t="shared" si="2"/>
        <v>2800</v>
      </c>
      <c r="O34" s="50">
        <f>-PMT(Assumptions!D$25/12,Assumptions!D$24*12,N$8)*C34/100</f>
        <v>29.698344266941067</v>
      </c>
      <c r="P34" s="44">
        <f>O34*Assumptions!$D$24*12-N34</f>
        <v>763.80131203292831</v>
      </c>
      <c r="Q34" s="48"/>
      <c r="R34" s="40">
        <f t="shared" si="3"/>
        <v>14000.000000000002</v>
      </c>
      <c r="S34" s="40">
        <f>-PMT(Assumptions!E$25/12,Assumptions!E$24*12,$R$8)*$C34/100</f>
        <v>148.49172133470535</v>
      </c>
      <c r="T34" s="40">
        <f>S34*Assumptions!$E$24*12-R34</f>
        <v>3819.0065601646402</v>
      </c>
      <c r="U34" s="48"/>
      <c r="V34" s="40">
        <f t="shared" si="4"/>
        <v>0</v>
      </c>
      <c r="W34" s="40" t="e">
        <f>-PMT(Assumptions!F$25/12,Assumptions!F$24*12,$V$8)*$C34/100</f>
        <v>#NUM!</v>
      </c>
      <c r="X34" s="40" t="e">
        <f>W34*Assumptions!$F$24*12-V34</f>
        <v>#NUM!</v>
      </c>
      <c r="Y34" s="43"/>
      <c r="Z34" s="40">
        <f t="shared" si="5"/>
        <v>0</v>
      </c>
      <c r="AA34" s="50" t="e">
        <f>-PMT(Assumptions!G$25/12,Assumptions!G$24*12,$Z$8)*$C34/100</f>
        <v>#NUM!</v>
      </c>
      <c r="AB34" s="44" t="e">
        <f>AA34*Assumptions!$G$24*12-Z34</f>
        <v>#NUM!</v>
      </c>
      <c r="AD34" s="54">
        <f t="shared" si="6"/>
        <v>0</v>
      </c>
      <c r="AE34" s="54">
        <f t="shared" si="7"/>
        <v>0</v>
      </c>
      <c r="AF34" s="54">
        <f t="shared" si="8"/>
        <v>2800</v>
      </c>
      <c r="AG34" s="54">
        <f t="shared" si="9"/>
        <v>14000.000000000002</v>
      </c>
      <c r="AH34" s="54">
        <f t="shared" si="10"/>
        <v>0</v>
      </c>
      <c r="AI34" s="54">
        <f t="shared" si="11"/>
        <v>0</v>
      </c>
    </row>
    <row r="35" spans="1:35" ht="15" x14ac:dyDescent="0.2">
      <c r="A35" s="56" t="s">
        <v>130</v>
      </c>
      <c r="B35" s="32"/>
      <c r="C35" s="56">
        <v>0.28799999999999998</v>
      </c>
      <c r="D35" s="56">
        <v>452.19</v>
      </c>
      <c r="E35" s="36"/>
      <c r="F35" s="40">
        <f t="shared" si="0"/>
        <v>0</v>
      </c>
      <c r="G35" s="40" t="e">
        <f>-PMT(Assumptions!B$25/12,Assumptions!B$24*12,F$8)*C35/100</f>
        <v>#NUM!</v>
      </c>
      <c r="H35" s="40" t="e">
        <f>G35*Assumptions!$B$24*12-F35</f>
        <v>#NUM!</v>
      </c>
      <c r="I35" s="48"/>
      <c r="J35" s="40">
        <f t="shared" si="1"/>
        <v>0</v>
      </c>
      <c r="K35" s="40" t="e">
        <f>-PMT(Assumptions!C$25/12,Assumptions!C$24*12,J$8)*C35/100</f>
        <v>#NUM!</v>
      </c>
      <c r="L35" s="40" t="e">
        <f>K35*Assumptions!$C$24*12-J35</f>
        <v>#NUM!</v>
      </c>
      <c r="M35" s="43"/>
      <c r="N35" s="40">
        <f t="shared" si="2"/>
        <v>2880</v>
      </c>
      <c r="O35" s="50">
        <f>-PMT(Assumptions!D$25/12,Assumptions!D$24*12,N$8)*C35/100</f>
        <v>30.546868388853664</v>
      </c>
      <c r="P35" s="44">
        <f>O35*Assumptions!$D$24*12-N35</f>
        <v>785.62420666243997</v>
      </c>
      <c r="Q35" s="48"/>
      <c r="R35" s="40">
        <f t="shared" si="3"/>
        <v>14400</v>
      </c>
      <c r="S35" s="40">
        <f>-PMT(Assumptions!E$25/12,Assumptions!E$24*12,$R$8)*$C35/100</f>
        <v>152.73434194426832</v>
      </c>
      <c r="T35" s="40">
        <f>S35*Assumptions!$E$24*12-R35</f>
        <v>3928.1210333121999</v>
      </c>
      <c r="U35" s="48"/>
      <c r="V35" s="40">
        <f t="shared" si="4"/>
        <v>0</v>
      </c>
      <c r="W35" s="40" t="e">
        <f>-PMT(Assumptions!F$25/12,Assumptions!F$24*12,$V$8)*$C35/100</f>
        <v>#NUM!</v>
      </c>
      <c r="X35" s="40" t="e">
        <f>W35*Assumptions!$F$24*12-V35</f>
        <v>#NUM!</v>
      </c>
      <c r="Y35" s="43"/>
      <c r="Z35" s="40">
        <f t="shared" si="5"/>
        <v>0</v>
      </c>
      <c r="AA35" s="50" t="e">
        <f>-PMT(Assumptions!G$25/12,Assumptions!G$24*12,$Z$8)*$C35/100</f>
        <v>#NUM!</v>
      </c>
      <c r="AB35" s="44" t="e">
        <f>AA35*Assumptions!$G$24*12-Z35</f>
        <v>#NUM!</v>
      </c>
      <c r="AD35" s="54">
        <f t="shared" si="6"/>
        <v>0</v>
      </c>
      <c r="AE35" s="54">
        <f t="shared" si="7"/>
        <v>0</v>
      </c>
      <c r="AF35" s="54">
        <f t="shared" si="8"/>
        <v>2880</v>
      </c>
      <c r="AG35" s="54">
        <f t="shared" si="9"/>
        <v>14400</v>
      </c>
      <c r="AH35" s="54">
        <f t="shared" si="10"/>
        <v>0</v>
      </c>
      <c r="AI35" s="54">
        <f t="shared" si="11"/>
        <v>0</v>
      </c>
    </row>
    <row r="36" spans="1:35" ht="15" x14ac:dyDescent="0.2">
      <c r="A36" s="56" t="s">
        <v>131</v>
      </c>
      <c r="B36" s="32"/>
      <c r="C36" s="56">
        <v>0.28799999999999998</v>
      </c>
      <c r="D36" s="56">
        <v>452.19</v>
      </c>
      <c r="E36" s="36"/>
      <c r="F36" s="40">
        <f t="shared" si="0"/>
        <v>0</v>
      </c>
      <c r="G36" s="40" t="e">
        <f>-PMT(Assumptions!B$25/12,Assumptions!B$24*12,F$8)*C36/100</f>
        <v>#NUM!</v>
      </c>
      <c r="H36" s="40" t="e">
        <f>G36*Assumptions!$B$24*12-F36</f>
        <v>#NUM!</v>
      </c>
      <c r="I36" s="48"/>
      <c r="J36" s="40">
        <f t="shared" si="1"/>
        <v>0</v>
      </c>
      <c r="K36" s="40" t="e">
        <f>-PMT(Assumptions!C$25/12,Assumptions!C$24*12,J$8)*C36/100</f>
        <v>#NUM!</v>
      </c>
      <c r="L36" s="40" t="e">
        <f>K36*Assumptions!$C$24*12-J36</f>
        <v>#NUM!</v>
      </c>
      <c r="M36" s="43"/>
      <c r="N36" s="40">
        <f t="shared" si="2"/>
        <v>2880</v>
      </c>
      <c r="O36" s="50">
        <f>-PMT(Assumptions!D$25/12,Assumptions!D$24*12,N$8)*C36/100</f>
        <v>30.546868388853664</v>
      </c>
      <c r="P36" s="44">
        <f>O36*Assumptions!$D$24*12-N36</f>
        <v>785.62420666243997</v>
      </c>
      <c r="Q36" s="48"/>
      <c r="R36" s="40">
        <f t="shared" si="3"/>
        <v>14400</v>
      </c>
      <c r="S36" s="40">
        <f>-PMT(Assumptions!E$25/12,Assumptions!E$24*12,$R$8)*$C36/100</f>
        <v>152.73434194426832</v>
      </c>
      <c r="T36" s="40">
        <f>S36*Assumptions!$E$24*12-R36</f>
        <v>3928.1210333121999</v>
      </c>
      <c r="U36" s="48"/>
      <c r="V36" s="40">
        <f t="shared" si="4"/>
        <v>0</v>
      </c>
      <c r="W36" s="40" t="e">
        <f>-PMT(Assumptions!F$25/12,Assumptions!F$24*12,$V$8)*$C36/100</f>
        <v>#NUM!</v>
      </c>
      <c r="X36" s="40" t="e">
        <f>W36*Assumptions!$F$24*12-V36</f>
        <v>#NUM!</v>
      </c>
      <c r="Y36" s="43"/>
      <c r="Z36" s="40">
        <f t="shared" si="5"/>
        <v>0</v>
      </c>
      <c r="AA36" s="50" t="e">
        <f>-PMT(Assumptions!G$25/12,Assumptions!G$24*12,$Z$8)*$C36/100</f>
        <v>#NUM!</v>
      </c>
      <c r="AB36" s="44" t="e">
        <f>AA36*Assumptions!$G$24*12-Z36</f>
        <v>#NUM!</v>
      </c>
      <c r="AD36" s="54">
        <f t="shared" si="6"/>
        <v>0</v>
      </c>
      <c r="AE36" s="54">
        <f t="shared" si="7"/>
        <v>0</v>
      </c>
      <c r="AF36" s="54">
        <f t="shared" si="8"/>
        <v>2880</v>
      </c>
      <c r="AG36" s="54">
        <f t="shared" si="9"/>
        <v>14400</v>
      </c>
      <c r="AH36" s="54">
        <f t="shared" si="10"/>
        <v>0</v>
      </c>
      <c r="AI36" s="54">
        <f t="shared" si="11"/>
        <v>0</v>
      </c>
    </row>
    <row r="37" spans="1:35" ht="15" x14ac:dyDescent="0.2">
      <c r="A37" s="56" t="s">
        <v>132</v>
      </c>
      <c r="B37" s="32"/>
      <c r="C37" s="56">
        <v>0.2</v>
      </c>
      <c r="D37" s="56">
        <v>314.02</v>
      </c>
      <c r="E37" s="36"/>
      <c r="F37" s="40">
        <f t="shared" si="0"/>
        <v>0</v>
      </c>
      <c r="G37" s="40" t="e">
        <f>-PMT(Assumptions!B$25/12,Assumptions!B$24*12,F$8)*C37/100</f>
        <v>#NUM!</v>
      </c>
      <c r="H37" s="40" t="e">
        <f>G37*Assumptions!$B$24*12-F37</f>
        <v>#NUM!</v>
      </c>
      <c r="I37" s="48"/>
      <c r="J37" s="40">
        <f t="shared" si="1"/>
        <v>0</v>
      </c>
      <c r="K37" s="40" t="e">
        <f>-PMT(Assumptions!C$25/12,Assumptions!C$24*12,J$8)*C37/100</f>
        <v>#NUM!</v>
      </c>
      <c r="L37" s="40" t="e">
        <f>K37*Assumptions!$C$24*12-J37</f>
        <v>#NUM!</v>
      </c>
      <c r="M37" s="43"/>
      <c r="N37" s="40">
        <f t="shared" si="2"/>
        <v>2000</v>
      </c>
      <c r="O37" s="50">
        <f>-PMT(Assumptions!D$25/12,Assumptions!D$24*12,N$8)*C37/100</f>
        <v>21.213103047815046</v>
      </c>
      <c r="P37" s="44">
        <f>O37*Assumptions!$D$24*12-N37</f>
        <v>545.57236573780574</v>
      </c>
      <c r="Q37" s="48"/>
      <c r="R37" s="40">
        <f t="shared" si="3"/>
        <v>10000</v>
      </c>
      <c r="S37" s="40">
        <f>-PMT(Assumptions!E$25/12,Assumptions!E$24*12,$R$8)*$C37/100</f>
        <v>106.06551523907525</v>
      </c>
      <c r="T37" s="40">
        <f>S37*Assumptions!$E$24*12-R37</f>
        <v>2727.8618286890305</v>
      </c>
      <c r="U37" s="48"/>
      <c r="V37" s="40">
        <f t="shared" si="4"/>
        <v>0</v>
      </c>
      <c r="W37" s="40" t="e">
        <f>-PMT(Assumptions!F$25/12,Assumptions!F$24*12,$V$8)*$C37/100</f>
        <v>#NUM!</v>
      </c>
      <c r="X37" s="40" t="e">
        <f>W37*Assumptions!$F$24*12-V37</f>
        <v>#NUM!</v>
      </c>
      <c r="Y37" s="43"/>
      <c r="Z37" s="40">
        <f t="shared" si="5"/>
        <v>0</v>
      </c>
      <c r="AA37" s="50" t="e">
        <f>-PMT(Assumptions!G$25/12,Assumptions!G$24*12,$Z$8)*$C37/100</f>
        <v>#NUM!</v>
      </c>
      <c r="AB37" s="44" t="e">
        <f>AA37*Assumptions!$G$24*12-Z37</f>
        <v>#NUM!</v>
      </c>
      <c r="AD37" s="54">
        <f t="shared" si="6"/>
        <v>0</v>
      </c>
      <c r="AE37" s="54">
        <f t="shared" si="7"/>
        <v>0</v>
      </c>
      <c r="AF37" s="54">
        <f t="shared" si="8"/>
        <v>2000</v>
      </c>
      <c r="AG37" s="54">
        <f t="shared" si="9"/>
        <v>10000</v>
      </c>
      <c r="AH37" s="54">
        <f t="shared" si="10"/>
        <v>0</v>
      </c>
      <c r="AI37" s="54">
        <f t="shared" si="11"/>
        <v>0</v>
      </c>
    </row>
    <row r="38" spans="1:35" ht="15" x14ac:dyDescent="0.2">
      <c r="A38" s="56" t="s">
        <v>133</v>
      </c>
      <c r="B38" s="32"/>
      <c r="C38" s="56">
        <v>0.2</v>
      </c>
      <c r="D38" s="56">
        <v>314.02</v>
      </c>
      <c r="E38" s="36"/>
      <c r="F38" s="40">
        <f t="shared" si="0"/>
        <v>0</v>
      </c>
      <c r="G38" s="40" t="e">
        <f>-PMT(Assumptions!B$25/12,Assumptions!B$24*12,F$8)*C38/100</f>
        <v>#NUM!</v>
      </c>
      <c r="H38" s="40" t="e">
        <f>G38*Assumptions!$B$24*12-F38</f>
        <v>#NUM!</v>
      </c>
      <c r="I38" s="48"/>
      <c r="J38" s="40">
        <f t="shared" si="1"/>
        <v>0</v>
      </c>
      <c r="K38" s="40" t="e">
        <f>-PMT(Assumptions!C$25/12,Assumptions!C$24*12,J$8)*C38/100</f>
        <v>#NUM!</v>
      </c>
      <c r="L38" s="40" t="e">
        <f>K38*Assumptions!$C$24*12-J38</f>
        <v>#NUM!</v>
      </c>
      <c r="M38" s="43"/>
      <c r="N38" s="40">
        <f t="shared" si="2"/>
        <v>2000</v>
      </c>
      <c r="O38" s="50">
        <f>-PMT(Assumptions!D$25/12,Assumptions!D$24*12,N$8)*C38/100</f>
        <v>21.213103047815046</v>
      </c>
      <c r="P38" s="44">
        <f>O38*Assumptions!$D$24*12-N38</f>
        <v>545.57236573780574</v>
      </c>
      <c r="Q38" s="48"/>
      <c r="R38" s="40">
        <f t="shared" si="3"/>
        <v>10000</v>
      </c>
      <c r="S38" s="40">
        <f>-PMT(Assumptions!E$25/12,Assumptions!E$24*12,$R$8)*$C38/100</f>
        <v>106.06551523907525</v>
      </c>
      <c r="T38" s="40">
        <f>S38*Assumptions!$E$24*12-R38</f>
        <v>2727.8618286890305</v>
      </c>
      <c r="U38" s="48"/>
      <c r="V38" s="40">
        <f t="shared" si="4"/>
        <v>0</v>
      </c>
      <c r="W38" s="40" t="e">
        <f>-PMT(Assumptions!F$25/12,Assumptions!F$24*12,$V$8)*$C38/100</f>
        <v>#NUM!</v>
      </c>
      <c r="X38" s="40" t="e">
        <f>W38*Assumptions!$F$24*12-V38</f>
        <v>#NUM!</v>
      </c>
      <c r="Y38" s="43"/>
      <c r="Z38" s="40">
        <f t="shared" si="5"/>
        <v>0</v>
      </c>
      <c r="AA38" s="50" t="e">
        <f>-PMT(Assumptions!G$25/12,Assumptions!G$24*12,$Z$8)*$C38/100</f>
        <v>#NUM!</v>
      </c>
      <c r="AB38" s="44" t="e">
        <f>AA38*Assumptions!$G$24*12-Z38</f>
        <v>#NUM!</v>
      </c>
      <c r="AD38" s="54">
        <f t="shared" si="6"/>
        <v>0</v>
      </c>
      <c r="AE38" s="54">
        <f t="shared" si="7"/>
        <v>0</v>
      </c>
      <c r="AF38" s="54">
        <f t="shared" si="8"/>
        <v>2000</v>
      </c>
      <c r="AG38" s="54">
        <f t="shared" si="9"/>
        <v>10000</v>
      </c>
      <c r="AH38" s="54">
        <f t="shared" si="10"/>
        <v>0</v>
      </c>
      <c r="AI38" s="54">
        <f t="shared" si="11"/>
        <v>0</v>
      </c>
    </row>
    <row r="39" spans="1:35" ht="15" x14ac:dyDescent="0.2">
      <c r="A39" s="56" t="s">
        <v>134</v>
      </c>
      <c r="B39" s="32"/>
      <c r="C39" s="56">
        <v>0.14499999999999999</v>
      </c>
      <c r="D39" s="56">
        <v>227.66</v>
      </c>
      <c r="E39" s="36"/>
      <c r="F39" s="40">
        <f t="shared" si="0"/>
        <v>0</v>
      </c>
      <c r="G39" s="40" t="e">
        <f>-PMT(Assumptions!B$25/12,Assumptions!B$24*12,F$8)*C39/100</f>
        <v>#NUM!</v>
      </c>
      <c r="H39" s="40" t="e">
        <f>G39*Assumptions!$B$24*12-F39</f>
        <v>#NUM!</v>
      </c>
      <c r="I39" s="48"/>
      <c r="J39" s="40">
        <f t="shared" si="1"/>
        <v>0</v>
      </c>
      <c r="K39" s="40" t="e">
        <f>-PMT(Assumptions!C$25/12,Assumptions!C$24*12,J$8)*C39/100</f>
        <v>#NUM!</v>
      </c>
      <c r="L39" s="40" t="e">
        <f>K39*Assumptions!$C$24*12-J39</f>
        <v>#NUM!</v>
      </c>
      <c r="M39" s="43"/>
      <c r="N39" s="40">
        <f t="shared" si="2"/>
        <v>1450</v>
      </c>
      <c r="O39" s="50">
        <f>-PMT(Assumptions!D$25/12,Assumptions!D$24*12,N$8)*C39/100</f>
        <v>15.379499709665906</v>
      </c>
      <c r="P39" s="44">
        <f>O39*Assumptions!$D$24*12-N39</f>
        <v>395.53996515990866</v>
      </c>
      <c r="Q39" s="48"/>
      <c r="R39" s="40">
        <f t="shared" si="3"/>
        <v>7250</v>
      </c>
      <c r="S39" s="40">
        <f>-PMT(Assumptions!E$25/12,Assumptions!E$24*12,$R$8)*$C39/100</f>
        <v>76.897498548329537</v>
      </c>
      <c r="T39" s="40">
        <f>S39*Assumptions!$E$24*12-R39</f>
        <v>1977.6998257995438</v>
      </c>
      <c r="U39" s="48"/>
      <c r="V39" s="40">
        <f t="shared" si="4"/>
        <v>0</v>
      </c>
      <c r="W39" s="40" t="e">
        <f>-PMT(Assumptions!F$25/12,Assumptions!F$24*12,$V$8)*$C39/100</f>
        <v>#NUM!</v>
      </c>
      <c r="X39" s="40" t="e">
        <f>W39*Assumptions!$F$24*12-V39</f>
        <v>#NUM!</v>
      </c>
      <c r="Y39" s="43"/>
      <c r="Z39" s="40">
        <f t="shared" si="5"/>
        <v>0</v>
      </c>
      <c r="AA39" s="50" t="e">
        <f>-PMT(Assumptions!G$25/12,Assumptions!G$24*12,$Z$8)*$C39/100</f>
        <v>#NUM!</v>
      </c>
      <c r="AB39" s="44" t="e">
        <f>AA39*Assumptions!$G$24*12-Z39</f>
        <v>#NUM!</v>
      </c>
      <c r="AD39" s="54">
        <f t="shared" si="6"/>
        <v>0</v>
      </c>
      <c r="AE39" s="54">
        <f t="shared" si="7"/>
        <v>0</v>
      </c>
      <c r="AF39" s="54">
        <f t="shared" si="8"/>
        <v>1450</v>
      </c>
      <c r="AG39" s="54">
        <f t="shared" si="9"/>
        <v>7250</v>
      </c>
      <c r="AH39" s="54">
        <f t="shared" si="10"/>
        <v>0</v>
      </c>
      <c r="AI39" s="54">
        <f t="shared" si="11"/>
        <v>0</v>
      </c>
    </row>
    <row r="40" spans="1:35" ht="15" x14ac:dyDescent="0.2">
      <c r="A40" s="56" t="s">
        <v>135</v>
      </c>
      <c r="B40" s="32"/>
      <c r="C40" s="56">
        <v>0.154</v>
      </c>
      <c r="D40" s="56">
        <v>241.8</v>
      </c>
      <c r="E40" s="36"/>
      <c r="F40" s="40">
        <f t="shared" si="0"/>
        <v>0</v>
      </c>
      <c r="G40" s="40" t="e">
        <f>-PMT(Assumptions!B$25/12,Assumptions!B$24*12,F$8)*C40/100</f>
        <v>#NUM!</v>
      </c>
      <c r="H40" s="40" t="e">
        <f>G40*Assumptions!$B$24*12-F40</f>
        <v>#NUM!</v>
      </c>
      <c r="I40" s="48"/>
      <c r="J40" s="40">
        <f t="shared" si="1"/>
        <v>0</v>
      </c>
      <c r="K40" s="40" t="e">
        <f>-PMT(Assumptions!C$25/12,Assumptions!C$24*12,J$8)*C40/100</f>
        <v>#NUM!</v>
      </c>
      <c r="L40" s="40" t="e">
        <f>K40*Assumptions!$C$24*12-J40</f>
        <v>#NUM!</v>
      </c>
      <c r="M40" s="43"/>
      <c r="N40" s="40">
        <f t="shared" si="2"/>
        <v>1540</v>
      </c>
      <c r="O40" s="50">
        <f>-PMT(Assumptions!D$25/12,Assumptions!D$24*12,N$8)*C40/100</f>
        <v>16.334089346817585</v>
      </c>
      <c r="P40" s="44">
        <f>O40*Assumptions!$D$24*12-N40</f>
        <v>420.09072161811036</v>
      </c>
      <c r="Q40" s="48"/>
      <c r="R40" s="40">
        <f t="shared" si="3"/>
        <v>7700</v>
      </c>
      <c r="S40" s="40">
        <f>-PMT(Assumptions!E$25/12,Assumptions!E$24*12,$R$8)*$C40/100</f>
        <v>81.670446734087932</v>
      </c>
      <c r="T40" s="40">
        <f>S40*Assumptions!$E$24*12-R40</f>
        <v>2100.4536080905527</v>
      </c>
      <c r="U40" s="48"/>
      <c r="V40" s="40">
        <f t="shared" si="4"/>
        <v>0</v>
      </c>
      <c r="W40" s="40" t="e">
        <f>-PMT(Assumptions!F$25/12,Assumptions!F$24*12,$V$8)*$C40/100</f>
        <v>#NUM!</v>
      </c>
      <c r="X40" s="40" t="e">
        <f>W40*Assumptions!$F$24*12-V40</f>
        <v>#NUM!</v>
      </c>
      <c r="Y40" s="43"/>
      <c r="Z40" s="40">
        <f t="shared" si="5"/>
        <v>0</v>
      </c>
      <c r="AA40" s="50" t="e">
        <f>-PMT(Assumptions!G$25/12,Assumptions!G$24*12,$Z$8)*$C40/100</f>
        <v>#NUM!</v>
      </c>
      <c r="AB40" s="44" t="e">
        <f>AA40*Assumptions!$G$24*12-Z40</f>
        <v>#NUM!</v>
      </c>
      <c r="AD40" s="54">
        <f t="shared" si="6"/>
        <v>0</v>
      </c>
      <c r="AE40" s="54">
        <f t="shared" si="7"/>
        <v>0</v>
      </c>
      <c r="AF40" s="54">
        <f t="shared" si="8"/>
        <v>1540</v>
      </c>
      <c r="AG40" s="54">
        <f t="shared" si="9"/>
        <v>7700</v>
      </c>
      <c r="AH40" s="54">
        <f t="shared" si="10"/>
        <v>0</v>
      </c>
      <c r="AI40" s="54">
        <f t="shared" si="11"/>
        <v>0</v>
      </c>
    </row>
    <row r="41" spans="1:35" ht="15" x14ac:dyDescent="0.2">
      <c r="A41" s="56" t="s">
        <v>136</v>
      </c>
      <c r="B41" s="32"/>
      <c r="C41" s="56">
        <v>0.14499999999999999</v>
      </c>
      <c r="D41" s="56">
        <v>227.66</v>
      </c>
      <c r="E41" s="36"/>
      <c r="F41" s="40">
        <f t="shared" si="0"/>
        <v>0</v>
      </c>
      <c r="G41" s="40" t="e">
        <f>-PMT(Assumptions!B$25/12,Assumptions!B$24*12,F$8)*C41/100</f>
        <v>#NUM!</v>
      </c>
      <c r="H41" s="40" t="e">
        <f>G41*Assumptions!$B$24*12-F41</f>
        <v>#NUM!</v>
      </c>
      <c r="I41" s="48"/>
      <c r="J41" s="40">
        <f t="shared" si="1"/>
        <v>0</v>
      </c>
      <c r="K41" s="40" t="e">
        <f>-PMT(Assumptions!C$25/12,Assumptions!C$24*12,J$8)*C41/100</f>
        <v>#NUM!</v>
      </c>
      <c r="L41" s="40" t="e">
        <f>K41*Assumptions!$C$24*12-J41</f>
        <v>#NUM!</v>
      </c>
      <c r="M41" s="43"/>
      <c r="N41" s="40">
        <f t="shared" si="2"/>
        <v>1450</v>
      </c>
      <c r="O41" s="50">
        <f>-PMT(Assumptions!D$25/12,Assumptions!D$24*12,N$8)*C41/100</f>
        <v>15.379499709665906</v>
      </c>
      <c r="P41" s="44">
        <f>O41*Assumptions!$D$24*12-N41</f>
        <v>395.53996515990866</v>
      </c>
      <c r="Q41" s="48"/>
      <c r="R41" s="40">
        <f t="shared" si="3"/>
        <v>7250</v>
      </c>
      <c r="S41" s="40">
        <f>-PMT(Assumptions!E$25/12,Assumptions!E$24*12,$R$8)*$C41/100</f>
        <v>76.897498548329537</v>
      </c>
      <c r="T41" s="40">
        <f>S41*Assumptions!$E$24*12-R41</f>
        <v>1977.6998257995438</v>
      </c>
      <c r="U41" s="48"/>
      <c r="V41" s="40">
        <f t="shared" si="4"/>
        <v>0</v>
      </c>
      <c r="W41" s="40" t="e">
        <f>-PMT(Assumptions!F$25/12,Assumptions!F$24*12,$V$8)*$C41/100</f>
        <v>#NUM!</v>
      </c>
      <c r="X41" s="40" t="e">
        <f>W41*Assumptions!$F$24*12-V41</f>
        <v>#NUM!</v>
      </c>
      <c r="Y41" s="43"/>
      <c r="Z41" s="40">
        <f t="shared" si="5"/>
        <v>0</v>
      </c>
      <c r="AA41" s="50" t="e">
        <f>-PMT(Assumptions!G$25/12,Assumptions!G$24*12,$Z$8)*$C41/100</f>
        <v>#NUM!</v>
      </c>
      <c r="AB41" s="44" t="e">
        <f>AA41*Assumptions!$G$24*12-Z41</f>
        <v>#NUM!</v>
      </c>
      <c r="AD41" s="54">
        <f t="shared" si="6"/>
        <v>0</v>
      </c>
      <c r="AE41" s="54">
        <f t="shared" si="7"/>
        <v>0</v>
      </c>
      <c r="AF41" s="54">
        <f t="shared" si="8"/>
        <v>1450</v>
      </c>
      <c r="AG41" s="54">
        <f t="shared" si="9"/>
        <v>7250</v>
      </c>
      <c r="AH41" s="54">
        <f t="shared" si="10"/>
        <v>0</v>
      </c>
      <c r="AI41" s="54">
        <f t="shared" si="11"/>
        <v>0</v>
      </c>
    </row>
    <row r="42" spans="1:35" ht="15" x14ac:dyDescent="0.2">
      <c r="A42" s="56" t="s">
        <v>137</v>
      </c>
      <c r="B42" s="32"/>
      <c r="C42" s="56">
        <v>0.154</v>
      </c>
      <c r="D42" s="56">
        <v>241.8</v>
      </c>
      <c r="E42" s="36"/>
      <c r="F42" s="40">
        <f t="shared" si="0"/>
        <v>0</v>
      </c>
      <c r="G42" s="40" t="e">
        <f>-PMT(Assumptions!B$25/12,Assumptions!B$24*12,F$8)*C42/100</f>
        <v>#NUM!</v>
      </c>
      <c r="H42" s="40" t="e">
        <f>G42*Assumptions!$B$24*12-F42</f>
        <v>#NUM!</v>
      </c>
      <c r="I42" s="48"/>
      <c r="J42" s="40">
        <f t="shared" si="1"/>
        <v>0</v>
      </c>
      <c r="K42" s="40" t="e">
        <f>-PMT(Assumptions!C$25/12,Assumptions!C$24*12,J$8)*C42/100</f>
        <v>#NUM!</v>
      </c>
      <c r="L42" s="40" t="e">
        <f>K42*Assumptions!$C$24*12-J42</f>
        <v>#NUM!</v>
      </c>
      <c r="M42" s="43"/>
      <c r="N42" s="40">
        <f t="shared" si="2"/>
        <v>1540</v>
      </c>
      <c r="O42" s="50">
        <f>-PMT(Assumptions!D$25/12,Assumptions!D$24*12,N$8)*C42/100</f>
        <v>16.334089346817585</v>
      </c>
      <c r="P42" s="44">
        <f>O42*Assumptions!$D$24*12-N42</f>
        <v>420.09072161811036</v>
      </c>
      <c r="Q42" s="48"/>
      <c r="R42" s="40">
        <f t="shared" si="3"/>
        <v>7700</v>
      </c>
      <c r="S42" s="40">
        <f>-PMT(Assumptions!E$25/12,Assumptions!E$24*12,$R$8)*$C42/100</f>
        <v>81.670446734087932</v>
      </c>
      <c r="T42" s="40">
        <f>S42*Assumptions!$E$24*12-R42</f>
        <v>2100.4536080905527</v>
      </c>
      <c r="U42" s="48"/>
      <c r="V42" s="40">
        <f t="shared" si="4"/>
        <v>0</v>
      </c>
      <c r="W42" s="40" t="e">
        <f>-PMT(Assumptions!F$25/12,Assumptions!F$24*12,$V$8)*$C42/100</f>
        <v>#NUM!</v>
      </c>
      <c r="X42" s="40" t="e">
        <f>W42*Assumptions!$F$24*12-V42</f>
        <v>#NUM!</v>
      </c>
      <c r="Y42" s="43"/>
      <c r="Z42" s="40">
        <f t="shared" si="5"/>
        <v>0</v>
      </c>
      <c r="AA42" s="50" t="e">
        <f>-PMT(Assumptions!G$25/12,Assumptions!G$24*12,$Z$8)*$C42/100</f>
        <v>#NUM!</v>
      </c>
      <c r="AB42" s="44" t="e">
        <f>AA42*Assumptions!$G$24*12-Z42</f>
        <v>#NUM!</v>
      </c>
      <c r="AD42" s="54">
        <f t="shared" si="6"/>
        <v>0</v>
      </c>
      <c r="AE42" s="54">
        <f t="shared" si="7"/>
        <v>0</v>
      </c>
      <c r="AF42" s="54">
        <f t="shared" si="8"/>
        <v>1540</v>
      </c>
      <c r="AG42" s="54">
        <f t="shared" si="9"/>
        <v>7700</v>
      </c>
      <c r="AH42" s="54">
        <f t="shared" si="10"/>
        <v>0</v>
      </c>
      <c r="AI42" s="54">
        <f t="shared" si="11"/>
        <v>0</v>
      </c>
    </row>
    <row r="43" spans="1:35" ht="15" x14ac:dyDescent="0.2">
      <c r="A43" s="56" t="s">
        <v>138</v>
      </c>
      <c r="B43" s="32"/>
      <c r="C43" s="56">
        <v>0.215</v>
      </c>
      <c r="D43" s="56">
        <v>337.57</v>
      </c>
      <c r="E43" s="36"/>
      <c r="F43" s="40">
        <f t="shared" si="0"/>
        <v>0</v>
      </c>
      <c r="G43" s="40" t="e">
        <f>-PMT(Assumptions!B$25/12,Assumptions!B$24*12,F$8)*C43/100</f>
        <v>#NUM!</v>
      </c>
      <c r="H43" s="40" t="e">
        <f>G43*Assumptions!$B$24*12-F43</f>
        <v>#NUM!</v>
      </c>
      <c r="I43" s="48"/>
      <c r="J43" s="40">
        <f t="shared" si="1"/>
        <v>0</v>
      </c>
      <c r="K43" s="40" t="e">
        <f>-PMT(Assumptions!C$25/12,Assumptions!C$24*12,J$8)*C43/100</f>
        <v>#NUM!</v>
      </c>
      <c r="L43" s="40" t="e">
        <f>K43*Assumptions!$C$24*12-J43</f>
        <v>#NUM!</v>
      </c>
      <c r="M43" s="43"/>
      <c r="N43" s="40">
        <f t="shared" si="2"/>
        <v>2150</v>
      </c>
      <c r="O43" s="50">
        <f>-PMT(Assumptions!D$25/12,Assumptions!D$24*12,N$8)*C43/100</f>
        <v>22.804085776401177</v>
      </c>
      <c r="P43" s="44">
        <f>O43*Assumptions!$D$24*12-N43</f>
        <v>586.49029316814131</v>
      </c>
      <c r="Q43" s="48"/>
      <c r="R43" s="40">
        <f t="shared" si="3"/>
        <v>10750</v>
      </c>
      <c r="S43" s="40">
        <f>-PMT(Assumptions!E$25/12,Assumptions!E$24*12,$R$8)*$C43/100</f>
        <v>114.02042888200587</v>
      </c>
      <c r="T43" s="40">
        <f>S43*Assumptions!$E$24*12-R43</f>
        <v>2932.4514658407061</v>
      </c>
      <c r="U43" s="48"/>
      <c r="V43" s="40">
        <f t="shared" si="4"/>
        <v>0</v>
      </c>
      <c r="W43" s="40" t="e">
        <f>-PMT(Assumptions!F$25/12,Assumptions!F$24*12,$V$8)*$C43/100</f>
        <v>#NUM!</v>
      </c>
      <c r="X43" s="40" t="e">
        <f>W43*Assumptions!$F$24*12-V43</f>
        <v>#NUM!</v>
      </c>
      <c r="Y43" s="43"/>
      <c r="Z43" s="40">
        <f t="shared" si="5"/>
        <v>0</v>
      </c>
      <c r="AA43" s="50" t="e">
        <f>-PMT(Assumptions!G$25/12,Assumptions!G$24*12,$Z$8)*$C43/100</f>
        <v>#NUM!</v>
      </c>
      <c r="AB43" s="44" t="e">
        <f>AA43*Assumptions!$G$24*12-Z43</f>
        <v>#NUM!</v>
      </c>
      <c r="AD43" s="54">
        <f t="shared" si="6"/>
        <v>0</v>
      </c>
      <c r="AE43" s="54">
        <f t="shared" si="7"/>
        <v>0</v>
      </c>
      <c r="AF43" s="54">
        <f t="shared" si="8"/>
        <v>2150</v>
      </c>
      <c r="AG43" s="54">
        <f t="shared" si="9"/>
        <v>10750</v>
      </c>
      <c r="AH43" s="54">
        <f t="shared" si="10"/>
        <v>0</v>
      </c>
      <c r="AI43" s="54">
        <f t="shared" si="11"/>
        <v>0</v>
      </c>
    </row>
    <row r="44" spans="1:35" ht="15" x14ac:dyDescent="0.2">
      <c r="A44" s="56" t="s">
        <v>139</v>
      </c>
      <c r="B44" s="32"/>
      <c r="C44" s="56">
        <v>0.223</v>
      </c>
      <c r="D44" s="56">
        <v>350.13</v>
      </c>
      <c r="E44" s="36"/>
      <c r="F44" s="40">
        <f t="shared" si="0"/>
        <v>0</v>
      </c>
      <c r="G44" s="40" t="e">
        <f>-PMT(Assumptions!B$25/12,Assumptions!B$24*12,F$8)*C44/100</f>
        <v>#NUM!</v>
      </c>
      <c r="H44" s="40" t="e">
        <f>G44*Assumptions!$B$24*12-F44</f>
        <v>#NUM!</v>
      </c>
      <c r="I44" s="48"/>
      <c r="J44" s="40">
        <f t="shared" si="1"/>
        <v>0</v>
      </c>
      <c r="K44" s="40" t="e">
        <f>-PMT(Assumptions!C$25/12,Assumptions!C$24*12,J$8)*C44/100</f>
        <v>#NUM!</v>
      </c>
      <c r="L44" s="40" t="e">
        <f>K44*Assumptions!$C$24*12-J44</f>
        <v>#NUM!</v>
      </c>
      <c r="M44" s="43"/>
      <c r="N44" s="40">
        <f t="shared" si="2"/>
        <v>2230</v>
      </c>
      <c r="O44" s="50">
        <f>-PMT(Assumptions!D$25/12,Assumptions!D$24*12,N$8)*C44/100</f>
        <v>23.652609898313777</v>
      </c>
      <c r="P44" s="44">
        <f>O44*Assumptions!$D$24*12-N44</f>
        <v>608.31318779765343</v>
      </c>
      <c r="Q44" s="48"/>
      <c r="R44" s="40">
        <f t="shared" si="3"/>
        <v>11150</v>
      </c>
      <c r="S44" s="40">
        <f>-PMT(Assumptions!E$25/12,Assumptions!E$24*12,$R$8)*$C44/100</f>
        <v>118.26304949156889</v>
      </c>
      <c r="T44" s="40">
        <f>S44*Assumptions!$E$24*12-R44</f>
        <v>3041.5659389882658</v>
      </c>
      <c r="U44" s="48"/>
      <c r="V44" s="40">
        <f t="shared" si="4"/>
        <v>0</v>
      </c>
      <c r="W44" s="40" t="e">
        <f>-PMT(Assumptions!F$25/12,Assumptions!F$24*12,$V$8)*$C44/100</f>
        <v>#NUM!</v>
      </c>
      <c r="X44" s="40" t="e">
        <f>W44*Assumptions!$F$24*12-V44</f>
        <v>#NUM!</v>
      </c>
      <c r="Y44" s="43"/>
      <c r="Z44" s="40">
        <f t="shared" si="5"/>
        <v>0</v>
      </c>
      <c r="AA44" s="50" t="e">
        <f>-PMT(Assumptions!G$25/12,Assumptions!G$24*12,$Z$8)*$C44/100</f>
        <v>#NUM!</v>
      </c>
      <c r="AB44" s="44" t="e">
        <f>AA44*Assumptions!$G$24*12-Z44</f>
        <v>#NUM!</v>
      </c>
      <c r="AD44" s="54">
        <f t="shared" si="6"/>
        <v>0</v>
      </c>
      <c r="AE44" s="54">
        <f t="shared" si="7"/>
        <v>0</v>
      </c>
      <c r="AF44" s="54">
        <f t="shared" si="8"/>
        <v>2230</v>
      </c>
      <c r="AG44" s="54">
        <f t="shared" si="9"/>
        <v>11150</v>
      </c>
      <c r="AH44" s="54">
        <f t="shared" si="10"/>
        <v>0</v>
      </c>
      <c r="AI44" s="54">
        <f t="shared" si="11"/>
        <v>0</v>
      </c>
    </row>
    <row r="45" spans="1:35" ht="15" x14ac:dyDescent="0.2">
      <c r="A45" s="56" t="s">
        <v>140</v>
      </c>
      <c r="B45" s="32"/>
      <c r="C45" s="56">
        <v>0.2</v>
      </c>
      <c r="D45" s="56">
        <v>314.02</v>
      </c>
      <c r="E45" s="36"/>
      <c r="F45" s="40">
        <f t="shared" si="0"/>
        <v>0</v>
      </c>
      <c r="G45" s="40" t="e">
        <f>-PMT(Assumptions!B$25/12,Assumptions!B$24*12,F$8)*C45/100</f>
        <v>#NUM!</v>
      </c>
      <c r="H45" s="40" t="e">
        <f>G45*Assumptions!$B$24*12-F45</f>
        <v>#NUM!</v>
      </c>
      <c r="I45" s="48"/>
      <c r="J45" s="40">
        <f t="shared" si="1"/>
        <v>0</v>
      </c>
      <c r="K45" s="40" t="e">
        <f>-PMT(Assumptions!C$25/12,Assumptions!C$24*12,J$8)*C45/100</f>
        <v>#NUM!</v>
      </c>
      <c r="L45" s="40" t="e">
        <f>K45*Assumptions!$C$24*12-J45</f>
        <v>#NUM!</v>
      </c>
      <c r="M45" s="43"/>
      <c r="N45" s="40">
        <f t="shared" si="2"/>
        <v>2000</v>
      </c>
      <c r="O45" s="50">
        <f>-PMT(Assumptions!D$25/12,Assumptions!D$24*12,N$8)*C45/100</f>
        <v>21.213103047815046</v>
      </c>
      <c r="P45" s="44">
        <f>O45*Assumptions!$D$24*12-N45</f>
        <v>545.57236573780574</v>
      </c>
      <c r="Q45" s="48"/>
      <c r="R45" s="40">
        <f t="shared" si="3"/>
        <v>10000</v>
      </c>
      <c r="S45" s="40">
        <f>-PMT(Assumptions!E$25/12,Assumptions!E$24*12,$R$8)*$C45/100</f>
        <v>106.06551523907525</v>
      </c>
      <c r="T45" s="40">
        <f>S45*Assumptions!$E$24*12-R45</f>
        <v>2727.8618286890305</v>
      </c>
      <c r="U45" s="48"/>
      <c r="V45" s="40">
        <f t="shared" si="4"/>
        <v>0</v>
      </c>
      <c r="W45" s="40" t="e">
        <f>-PMT(Assumptions!F$25/12,Assumptions!F$24*12,$V$8)*$C45/100</f>
        <v>#NUM!</v>
      </c>
      <c r="X45" s="40" t="e">
        <f>W45*Assumptions!$F$24*12-V45</f>
        <v>#NUM!</v>
      </c>
      <c r="Y45" s="43"/>
      <c r="Z45" s="40">
        <f t="shared" si="5"/>
        <v>0</v>
      </c>
      <c r="AA45" s="50" t="e">
        <f>-PMT(Assumptions!G$25/12,Assumptions!G$24*12,$Z$8)*$C45/100</f>
        <v>#NUM!</v>
      </c>
      <c r="AB45" s="44" t="e">
        <f>AA45*Assumptions!$G$24*12-Z45</f>
        <v>#NUM!</v>
      </c>
      <c r="AD45" s="54">
        <f t="shared" si="6"/>
        <v>0</v>
      </c>
      <c r="AE45" s="54">
        <f t="shared" si="7"/>
        <v>0</v>
      </c>
      <c r="AF45" s="54">
        <f t="shared" si="8"/>
        <v>2000</v>
      </c>
      <c r="AG45" s="54">
        <f t="shared" si="9"/>
        <v>10000</v>
      </c>
      <c r="AH45" s="54">
        <f t="shared" si="10"/>
        <v>0</v>
      </c>
      <c r="AI45" s="54">
        <f t="shared" si="11"/>
        <v>0</v>
      </c>
    </row>
    <row r="46" spans="1:35" ht="15" x14ac:dyDescent="0.2">
      <c r="A46" s="56" t="s">
        <v>141</v>
      </c>
      <c r="B46" s="32"/>
      <c r="C46" s="56">
        <v>0.2</v>
      </c>
      <c r="D46" s="56">
        <v>314.02</v>
      </c>
      <c r="E46" s="36"/>
      <c r="F46" s="40">
        <f t="shared" si="0"/>
        <v>0</v>
      </c>
      <c r="G46" s="40" t="e">
        <f>-PMT(Assumptions!B$25/12,Assumptions!B$24*12,F$8)*C46/100</f>
        <v>#NUM!</v>
      </c>
      <c r="H46" s="40" t="e">
        <f>G46*Assumptions!$B$24*12-F46</f>
        <v>#NUM!</v>
      </c>
      <c r="I46" s="48"/>
      <c r="J46" s="40">
        <f t="shared" si="1"/>
        <v>0</v>
      </c>
      <c r="K46" s="40" t="e">
        <f>-PMT(Assumptions!C$25/12,Assumptions!C$24*12,J$8)*C46/100</f>
        <v>#NUM!</v>
      </c>
      <c r="L46" s="40" t="e">
        <f>K46*Assumptions!$C$24*12-J46</f>
        <v>#NUM!</v>
      </c>
      <c r="M46" s="43"/>
      <c r="N46" s="40">
        <f t="shared" si="2"/>
        <v>2000</v>
      </c>
      <c r="O46" s="50">
        <f>-PMT(Assumptions!D$25/12,Assumptions!D$24*12,N$8)*C46/100</f>
        <v>21.213103047815046</v>
      </c>
      <c r="P46" s="44">
        <f>O46*Assumptions!$D$24*12-N46</f>
        <v>545.57236573780574</v>
      </c>
      <c r="Q46" s="48"/>
      <c r="R46" s="40">
        <f t="shared" si="3"/>
        <v>10000</v>
      </c>
      <c r="S46" s="40">
        <f>-PMT(Assumptions!E$25/12,Assumptions!E$24*12,$R$8)*$C46/100</f>
        <v>106.06551523907525</v>
      </c>
      <c r="T46" s="40">
        <f>S46*Assumptions!$E$24*12-R46</f>
        <v>2727.8618286890305</v>
      </c>
      <c r="U46" s="48"/>
      <c r="V46" s="40">
        <f t="shared" si="4"/>
        <v>0</v>
      </c>
      <c r="W46" s="40" t="e">
        <f>-PMT(Assumptions!F$25/12,Assumptions!F$24*12,$V$8)*$C46/100</f>
        <v>#NUM!</v>
      </c>
      <c r="X46" s="40" t="e">
        <f>W46*Assumptions!$F$24*12-V46</f>
        <v>#NUM!</v>
      </c>
      <c r="Y46" s="43"/>
      <c r="Z46" s="40">
        <f t="shared" si="5"/>
        <v>0</v>
      </c>
      <c r="AA46" s="50" t="e">
        <f>-PMT(Assumptions!G$25/12,Assumptions!G$24*12,$Z$8)*$C46/100</f>
        <v>#NUM!</v>
      </c>
      <c r="AB46" s="44" t="e">
        <f>AA46*Assumptions!$G$24*12-Z46</f>
        <v>#NUM!</v>
      </c>
      <c r="AD46" s="54">
        <f t="shared" si="6"/>
        <v>0</v>
      </c>
      <c r="AE46" s="54">
        <f t="shared" si="7"/>
        <v>0</v>
      </c>
      <c r="AF46" s="54">
        <f t="shared" si="8"/>
        <v>2000</v>
      </c>
      <c r="AG46" s="54">
        <f t="shared" si="9"/>
        <v>10000</v>
      </c>
      <c r="AH46" s="54">
        <f t="shared" si="10"/>
        <v>0</v>
      </c>
      <c r="AI46" s="54">
        <f t="shared" si="11"/>
        <v>0</v>
      </c>
    </row>
    <row r="47" spans="1:35" ht="15" x14ac:dyDescent="0.2">
      <c r="A47" s="56" t="s">
        <v>142</v>
      </c>
      <c r="B47" s="32"/>
      <c r="C47" s="56">
        <v>0.14499999999999999</v>
      </c>
      <c r="D47" s="56">
        <v>227.66</v>
      </c>
      <c r="E47" s="36"/>
      <c r="F47" s="40">
        <f t="shared" si="0"/>
        <v>0</v>
      </c>
      <c r="G47" s="40" t="e">
        <f>-PMT(Assumptions!B$25/12,Assumptions!B$24*12,F$8)*C47/100</f>
        <v>#NUM!</v>
      </c>
      <c r="H47" s="40" t="e">
        <f>G47*Assumptions!$B$24*12-F47</f>
        <v>#NUM!</v>
      </c>
      <c r="I47" s="48"/>
      <c r="J47" s="40">
        <f t="shared" si="1"/>
        <v>0</v>
      </c>
      <c r="K47" s="40" t="e">
        <f>-PMT(Assumptions!C$25/12,Assumptions!C$24*12,J$8)*C47/100</f>
        <v>#NUM!</v>
      </c>
      <c r="L47" s="40" t="e">
        <f>K47*Assumptions!$C$24*12-J47</f>
        <v>#NUM!</v>
      </c>
      <c r="M47" s="43"/>
      <c r="N47" s="40">
        <f t="shared" si="2"/>
        <v>1450</v>
      </c>
      <c r="O47" s="50">
        <f>-PMT(Assumptions!D$25/12,Assumptions!D$24*12,N$8)*C47/100</f>
        <v>15.379499709665906</v>
      </c>
      <c r="P47" s="44">
        <f>O47*Assumptions!$D$24*12-N47</f>
        <v>395.53996515990866</v>
      </c>
      <c r="Q47" s="48"/>
      <c r="R47" s="40">
        <f t="shared" si="3"/>
        <v>7250</v>
      </c>
      <c r="S47" s="40">
        <f>-PMT(Assumptions!E$25/12,Assumptions!E$24*12,$R$8)*$C47/100</f>
        <v>76.897498548329537</v>
      </c>
      <c r="T47" s="40">
        <f>S47*Assumptions!$E$24*12-R47</f>
        <v>1977.6998257995438</v>
      </c>
      <c r="U47" s="48"/>
      <c r="V47" s="40">
        <f t="shared" si="4"/>
        <v>0</v>
      </c>
      <c r="W47" s="40" t="e">
        <f>-PMT(Assumptions!F$25/12,Assumptions!F$24*12,$V$8)*$C47/100</f>
        <v>#NUM!</v>
      </c>
      <c r="X47" s="40" t="e">
        <f>W47*Assumptions!$F$24*12-V47</f>
        <v>#NUM!</v>
      </c>
      <c r="Y47" s="43"/>
      <c r="Z47" s="40">
        <f t="shared" si="5"/>
        <v>0</v>
      </c>
      <c r="AA47" s="50" t="e">
        <f>-PMT(Assumptions!G$25/12,Assumptions!G$24*12,$Z$8)*$C47/100</f>
        <v>#NUM!</v>
      </c>
      <c r="AB47" s="44" t="e">
        <f>AA47*Assumptions!$G$24*12-Z47</f>
        <v>#NUM!</v>
      </c>
      <c r="AD47" s="54">
        <f t="shared" si="6"/>
        <v>0</v>
      </c>
      <c r="AE47" s="54">
        <f t="shared" si="7"/>
        <v>0</v>
      </c>
      <c r="AF47" s="54">
        <f t="shared" si="8"/>
        <v>1450</v>
      </c>
      <c r="AG47" s="54">
        <f t="shared" si="9"/>
        <v>7250</v>
      </c>
      <c r="AH47" s="54">
        <f t="shared" si="10"/>
        <v>0</v>
      </c>
      <c r="AI47" s="54">
        <f t="shared" si="11"/>
        <v>0</v>
      </c>
    </row>
    <row r="48" spans="1:35" ht="15" x14ac:dyDescent="0.2">
      <c r="A48" s="56" t="s">
        <v>143</v>
      </c>
      <c r="B48" s="32"/>
      <c r="C48" s="56">
        <v>0.154</v>
      </c>
      <c r="D48" s="56">
        <v>241.8</v>
      </c>
      <c r="E48" s="36"/>
      <c r="F48" s="40">
        <f t="shared" si="0"/>
        <v>0</v>
      </c>
      <c r="G48" s="40" t="e">
        <f>-PMT(Assumptions!B$25/12,Assumptions!B$24*12,F$8)*C48/100</f>
        <v>#NUM!</v>
      </c>
      <c r="H48" s="40" t="e">
        <f>G48*Assumptions!$B$24*12-F48</f>
        <v>#NUM!</v>
      </c>
      <c r="I48" s="48"/>
      <c r="J48" s="40">
        <f t="shared" si="1"/>
        <v>0</v>
      </c>
      <c r="K48" s="40" t="e">
        <f>-PMT(Assumptions!C$25/12,Assumptions!C$24*12,J$8)*C48/100</f>
        <v>#NUM!</v>
      </c>
      <c r="L48" s="40" t="e">
        <f>K48*Assumptions!$C$24*12-J48</f>
        <v>#NUM!</v>
      </c>
      <c r="M48" s="43"/>
      <c r="N48" s="40">
        <f t="shared" si="2"/>
        <v>1540</v>
      </c>
      <c r="O48" s="50">
        <f>-PMT(Assumptions!D$25/12,Assumptions!D$24*12,N$8)*C48/100</f>
        <v>16.334089346817585</v>
      </c>
      <c r="P48" s="44">
        <f>O48*Assumptions!$D$24*12-N48</f>
        <v>420.09072161811036</v>
      </c>
      <c r="Q48" s="48"/>
      <c r="R48" s="40">
        <f t="shared" si="3"/>
        <v>7700</v>
      </c>
      <c r="S48" s="40">
        <f>-PMT(Assumptions!E$25/12,Assumptions!E$24*12,$R$8)*$C48/100</f>
        <v>81.670446734087932</v>
      </c>
      <c r="T48" s="40">
        <f>S48*Assumptions!$E$24*12-R48</f>
        <v>2100.4536080905527</v>
      </c>
      <c r="U48" s="48"/>
      <c r="V48" s="40">
        <f t="shared" si="4"/>
        <v>0</v>
      </c>
      <c r="W48" s="40" t="e">
        <f>-PMT(Assumptions!F$25/12,Assumptions!F$24*12,$V$8)*$C48/100</f>
        <v>#NUM!</v>
      </c>
      <c r="X48" s="40" t="e">
        <f>W48*Assumptions!$F$24*12-V48</f>
        <v>#NUM!</v>
      </c>
      <c r="Y48" s="43"/>
      <c r="Z48" s="40">
        <f t="shared" si="5"/>
        <v>0</v>
      </c>
      <c r="AA48" s="50" t="e">
        <f>-PMT(Assumptions!G$25/12,Assumptions!G$24*12,$Z$8)*$C48/100</f>
        <v>#NUM!</v>
      </c>
      <c r="AB48" s="44" t="e">
        <f>AA48*Assumptions!$G$24*12-Z48</f>
        <v>#NUM!</v>
      </c>
      <c r="AD48" s="54">
        <f t="shared" si="6"/>
        <v>0</v>
      </c>
      <c r="AE48" s="54">
        <f t="shared" si="7"/>
        <v>0</v>
      </c>
      <c r="AF48" s="54">
        <f t="shared" si="8"/>
        <v>1540</v>
      </c>
      <c r="AG48" s="54">
        <f t="shared" si="9"/>
        <v>7700</v>
      </c>
      <c r="AH48" s="54">
        <f t="shared" si="10"/>
        <v>0</v>
      </c>
      <c r="AI48" s="54">
        <f t="shared" si="11"/>
        <v>0</v>
      </c>
    </row>
    <row r="49" spans="1:35" ht="15" x14ac:dyDescent="0.2">
      <c r="A49" s="56" t="s">
        <v>144</v>
      </c>
      <c r="B49" s="32"/>
      <c r="C49" s="56">
        <v>0.14499999999999999</v>
      </c>
      <c r="D49" s="56">
        <v>227.66</v>
      </c>
      <c r="E49" s="36"/>
      <c r="F49" s="40">
        <f t="shared" si="0"/>
        <v>0</v>
      </c>
      <c r="G49" s="40" t="e">
        <f>-PMT(Assumptions!B$25/12,Assumptions!B$24*12,F$8)*C49/100</f>
        <v>#NUM!</v>
      </c>
      <c r="H49" s="40" t="e">
        <f>G49*Assumptions!$B$24*12-F49</f>
        <v>#NUM!</v>
      </c>
      <c r="I49" s="48"/>
      <c r="J49" s="40">
        <f t="shared" si="1"/>
        <v>0</v>
      </c>
      <c r="K49" s="40" t="e">
        <f>-PMT(Assumptions!C$25/12,Assumptions!C$24*12,J$8)*C49/100</f>
        <v>#NUM!</v>
      </c>
      <c r="L49" s="40" t="e">
        <f>K49*Assumptions!$C$24*12-J49</f>
        <v>#NUM!</v>
      </c>
      <c r="M49" s="43"/>
      <c r="N49" s="40">
        <f t="shared" si="2"/>
        <v>1450</v>
      </c>
      <c r="O49" s="50">
        <f>-PMT(Assumptions!D$25/12,Assumptions!D$24*12,N$8)*C49/100</f>
        <v>15.379499709665906</v>
      </c>
      <c r="P49" s="44">
        <f>O49*Assumptions!$D$24*12-N49</f>
        <v>395.53996515990866</v>
      </c>
      <c r="Q49" s="48"/>
      <c r="R49" s="40">
        <f t="shared" si="3"/>
        <v>7250</v>
      </c>
      <c r="S49" s="40">
        <f>-PMT(Assumptions!E$25/12,Assumptions!E$24*12,$R$8)*$C49/100</f>
        <v>76.897498548329537</v>
      </c>
      <c r="T49" s="40">
        <f>S49*Assumptions!$E$24*12-R49</f>
        <v>1977.6998257995438</v>
      </c>
      <c r="U49" s="48"/>
      <c r="V49" s="40">
        <f t="shared" si="4"/>
        <v>0</v>
      </c>
      <c r="W49" s="40" t="e">
        <f>-PMT(Assumptions!F$25/12,Assumptions!F$24*12,$V$8)*$C49/100</f>
        <v>#NUM!</v>
      </c>
      <c r="X49" s="40" t="e">
        <f>W49*Assumptions!$F$24*12-V49</f>
        <v>#NUM!</v>
      </c>
      <c r="Y49" s="43"/>
      <c r="Z49" s="40">
        <f t="shared" si="5"/>
        <v>0</v>
      </c>
      <c r="AA49" s="50" t="e">
        <f>-PMT(Assumptions!G$25/12,Assumptions!G$24*12,$Z$8)*$C49/100</f>
        <v>#NUM!</v>
      </c>
      <c r="AB49" s="44" t="e">
        <f>AA49*Assumptions!$G$24*12-Z49</f>
        <v>#NUM!</v>
      </c>
      <c r="AD49" s="54">
        <f t="shared" si="6"/>
        <v>0</v>
      </c>
      <c r="AE49" s="54">
        <f t="shared" si="7"/>
        <v>0</v>
      </c>
      <c r="AF49" s="54">
        <f t="shared" si="8"/>
        <v>1450</v>
      </c>
      <c r="AG49" s="54">
        <f t="shared" si="9"/>
        <v>7250</v>
      </c>
      <c r="AH49" s="54">
        <f t="shared" si="10"/>
        <v>0</v>
      </c>
      <c r="AI49" s="54">
        <f t="shared" si="11"/>
        <v>0</v>
      </c>
    </row>
    <row r="50" spans="1:35" ht="15" x14ac:dyDescent="0.2">
      <c r="A50" s="56" t="s">
        <v>145</v>
      </c>
      <c r="B50" s="32"/>
      <c r="C50" s="56">
        <v>0.154</v>
      </c>
      <c r="D50" s="56">
        <v>241.8</v>
      </c>
      <c r="E50" s="36"/>
      <c r="F50" s="40">
        <f t="shared" si="0"/>
        <v>0</v>
      </c>
      <c r="G50" s="40" t="e">
        <f>-PMT(Assumptions!B$25/12,Assumptions!B$24*12,F$8)*C50/100</f>
        <v>#NUM!</v>
      </c>
      <c r="H50" s="40" t="e">
        <f>G50*Assumptions!$B$24*12-F50</f>
        <v>#NUM!</v>
      </c>
      <c r="I50" s="48"/>
      <c r="J50" s="40">
        <f t="shared" si="1"/>
        <v>0</v>
      </c>
      <c r="K50" s="40" t="e">
        <f>-PMT(Assumptions!C$25/12,Assumptions!C$24*12,J$8)*C50/100</f>
        <v>#NUM!</v>
      </c>
      <c r="L50" s="40" t="e">
        <f>K50*Assumptions!$C$24*12-J50</f>
        <v>#NUM!</v>
      </c>
      <c r="M50" s="43"/>
      <c r="N50" s="40">
        <f t="shared" si="2"/>
        <v>1540</v>
      </c>
      <c r="O50" s="50">
        <f>-PMT(Assumptions!D$25/12,Assumptions!D$24*12,N$8)*C50/100</f>
        <v>16.334089346817585</v>
      </c>
      <c r="P50" s="44">
        <f>O50*Assumptions!$D$24*12-N50</f>
        <v>420.09072161811036</v>
      </c>
      <c r="Q50" s="48"/>
      <c r="R50" s="40">
        <f t="shared" si="3"/>
        <v>7700</v>
      </c>
      <c r="S50" s="40">
        <f>-PMT(Assumptions!E$25/12,Assumptions!E$24*12,$R$8)*$C50/100</f>
        <v>81.670446734087932</v>
      </c>
      <c r="T50" s="40">
        <f>S50*Assumptions!$E$24*12-R50</f>
        <v>2100.4536080905527</v>
      </c>
      <c r="U50" s="48"/>
      <c r="V50" s="40">
        <f t="shared" si="4"/>
        <v>0</v>
      </c>
      <c r="W50" s="40" t="e">
        <f>-PMT(Assumptions!F$25/12,Assumptions!F$24*12,$V$8)*$C50/100</f>
        <v>#NUM!</v>
      </c>
      <c r="X50" s="40" t="e">
        <f>W50*Assumptions!$F$24*12-V50</f>
        <v>#NUM!</v>
      </c>
      <c r="Y50" s="43"/>
      <c r="Z50" s="40">
        <f t="shared" si="5"/>
        <v>0</v>
      </c>
      <c r="AA50" s="50" t="e">
        <f>-PMT(Assumptions!G$25/12,Assumptions!G$24*12,$Z$8)*$C50/100</f>
        <v>#NUM!</v>
      </c>
      <c r="AB50" s="44" t="e">
        <f>AA50*Assumptions!$G$24*12-Z50</f>
        <v>#NUM!</v>
      </c>
      <c r="AD50" s="54">
        <f t="shared" si="6"/>
        <v>0</v>
      </c>
      <c r="AE50" s="54">
        <f t="shared" si="7"/>
        <v>0</v>
      </c>
      <c r="AF50" s="54">
        <f t="shared" si="8"/>
        <v>1540</v>
      </c>
      <c r="AG50" s="54">
        <f t="shared" si="9"/>
        <v>7700</v>
      </c>
      <c r="AH50" s="54">
        <f t="shared" si="10"/>
        <v>0</v>
      </c>
      <c r="AI50" s="54">
        <f t="shared" si="11"/>
        <v>0</v>
      </c>
    </row>
    <row r="51" spans="1:35" ht="15" x14ac:dyDescent="0.2">
      <c r="A51" s="56" t="s">
        <v>146</v>
      </c>
      <c r="B51" s="32"/>
      <c r="C51" s="56">
        <v>0.215</v>
      </c>
      <c r="D51" s="56">
        <v>337.57</v>
      </c>
      <c r="E51" s="36"/>
      <c r="F51" s="40">
        <f t="shared" si="0"/>
        <v>0</v>
      </c>
      <c r="G51" s="40" t="e">
        <f>-PMT(Assumptions!B$25/12,Assumptions!B$24*12,F$8)*C51/100</f>
        <v>#NUM!</v>
      </c>
      <c r="H51" s="40" t="e">
        <f>G51*Assumptions!$B$24*12-F51</f>
        <v>#NUM!</v>
      </c>
      <c r="I51" s="48"/>
      <c r="J51" s="40">
        <f t="shared" si="1"/>
        <v>0</v>
      </c>
      <c r="K51" s="40" t="e">
        <f>-PMT(Assumptions!C$25/12,Assumptions!C$24*12,J$8)*C51/100</f>
        <v>#NUM!</v>
      </c>
      <c r="L51" s="40" t="e">
        <f>K51*Assumptions!$C$24*12-J51</f>
        <v>#NUM!</v>
      </c>
      <c r="M51" s="43"/>
      <c r="N51" s="40">
        <f t="shared" si="2"/>
        <v>2150</v>
      </c>
      <c r="O51" s="50">
        <f>-PMT(Assumptions!D$25/12,Assumptions!D$24*12,N$8)*C51/100</f>
        <v>22.804085776401177</v>
      </c>
      <c r="P51" s="44">
        <f>O51*Assumptions!$D$24*12-N51</f>
        <v>586.49029316814131</v>
      </c>
      <c r="Q51" s="48"/>
      <c r="R51" s="40">
        <f t="shared" si="3"/>
        <v>10750</v>
      </c>
      <c r="S51" s="40">
        <f>-PMT(Assumptions!E$25/12,Assumptions!E$24*12,$R$8)*$C51/100</f>
        <v>114.02042888200587</v>
      </c>
      <c r="T51" s="40">
        <f>S51*Assumptions!$E$24*12-R51</f>
        <v>2932.4514658407061</v>
      </c>
      <c r="U51" s="48"/>
      <c r="V51" s="40">
        <f t="shared" si="4"/>
        <v>0</v>
      </c>
      <c r="W51" s="40" t="e">
        <f>-PMT(Assumptions!F$25/12,Assumptions!F$24*12,$V$8)*$C51/100</f>
        <v>#NUM!</v>
      </c>
      <c r="X51" s="40" t="e">
        <f>W51*Assumptions!$F$24*12-V51</f>
        <v>#NUM!</v>
      </c>
      <c r="Y51" s="43"/>
      <c r="Z51" s="40">
        <f t="shared" si="5"/>
        <v>0</v>
      </c>
      <c r="AA51" s="50" t="e">
        <f>-PMT(Assumptions!G$25/12,Assumptions!G$24*12,$Z$8)*$C51/100</f>
        <v>#NUM!</v>
      </c>
      <c r="AB51" s="44" t="e">
        <f>AA51*Assumptions!$G$24*12-Z51</f>
        <v>#NUM!</v>
      </c>
      <c r="AD51" s="54">
        <f t="shared" si="6"/>
        <v>0</v>
      </c>
      <c r="AE51" s="54">
        <f t="shared" si="7"/>
        <v>0</v>
      </c>
      <c r="AF51" s="54">
        <f t="shared" si="8"/>
        <v>2150</v>
      </c>
      <c r="AG51" s="54">
        <f t="shared" si="9"/>
        <v>10750</v>
      </c>
      <c r="AH51" s="54">
        <f t="shared" si="10"/>
        <v>0</v>
      </c>
      <c r="AI51" s="54">
        <f t="shared" si="11"/>
        <v>0</v>
      </c>
    </row>
    <row r="52" spans="1:35" ht="15" x14ac:dyDescent="0.2">
      <c r="A52" s="56" t="s">
        <v>147</v>
      </c>
      <c r="B52" s="32"/>
      <c r="C52" s="56">
        <v>0.223</v>
      </c>
      <c r="D52" s="56">
        <v>350.13</v>
      </c>
      <c r="E52" s="36"/>
      <c r="F52" s="40">
        <f t="shared" si="0"/>
        <v>0</v>
      </c>
      <c r="G52" s="40" t="e">
        <f>-PMT(Assumptions!B$25/12,Assumptions!B$24*12,F$8)*C52/100</f>
        <v>#NUM!</v>
      </c>
      <c r="H52" s="40" t="e">
        <f>G52*Assumptions!$B$24*12-F52</f>
        <v>#NUM!</v>
      </c>
      <c r="I52" s="48"/>
      <c r="J52" s="40">
        <f t="shared" si="1"/>
        <v>0</v>
      </c>
      <c r="K52" s="40" t="e">
        <f>-PMT(Assumptions!C$25/12,Assumptions!C$24*12,J$8)*C52/100</f>
        <v>#NUM!</v>
      </c>
      <c r="L52" s="40" t="e">
        <f>K52*Assumptions!$C$24*12-J52</f>
        <v>#NUM!</v>
      </c>
      <c r="M52" s="43"/>
      <c r="N52" s="40">
        <f t="shared" si="2"/>
        <v>2230</v>
      </c>
      <c r="O52" s="50">
        <f>-PMT(Assumptions!D$25/12,Assumptions!D$24*12,N$8)*C52/100</f>
        <v>23.652609898313777</v>
      </c>
      <c r="P52" s="44">
        <f>O52*Assumptions!$D$24*12-N52</f>
        <v>608.31318779765343</v>
      </c>
      <c r="Q52" s="48"/>
      <c r="R52" s="40">
        <f t="shared" si="3"/>
        <v>11150</v>
      </c>
      <c r="S52" s="40">
        <f>-PMT(Assumptions!E$25/12,Assumptions!E$24*12,$R$8)*$C52/100</f>
        <v>118.26304949156889</v>
      </c>
      <c r="T52" s="40">
        <f>S52*Assumptions!$E$24*12-R52</f>
        <v>3041.5659389882658</v>
      </c>
      <c r="U52" s="48"/>
      <c r="V52" s="40">
        <f t="shared" si="4"/>
        <v>0</v>
      </c>
      <c r="W52" s="40" t="e">
        <f>-PMT(Assumptions!F$25/12,Assumptions!F$24*12,$V$8)*$C52/100</f>
        <v>#NUM!</v>
      </c>
      <c r="X52" s="40" t="e">
        <f>W52*Assumptions!$F$24*12-V52</f>
        <v>#NUM!</v>
      </c>
      <c r="Y52" s="43"/>
      <c r="Z52" s="40">
        <f t="shared" si="5"/>
        <v>0</v>
      </c>
      <c r="AA52" s="50" t="e">
        <f>-PMT(Assumptions!G$25/12,Assumptions!G$24*12,$Z$8)*$C52/100</f>
        <v>#NUM!</v>
      </c>
      <c r="AB52" s="44" t="e">
        <f>AA52*Assumptions!$G$24*12-Z52</f>
        <v>#NUM!</v>
      </c>
      <c r="AD52" s="54">
        <f t="shared" si="6"/>
        <v>0</v>
      </c>
      <c r="AE52" s="54">
        <f t="shared" si="7"/>
        <v>0</v>
      </c>
      <c r="AF52" s="54">
        <f t="shared" si="8"/>
        <v>2230</v>
      </c>
      <c r="AG52" s="54">
        <f t="shared" si="9"/>
        <v>11150</v>
      </c>
      <c r="AH52" s="54">
        <f t="shared" si="10"/>
        <v>0</v>
      </c>
      <c r="AI52" s="54">
        <f t="shared" si="11"/>
        <v>0</v>
      </c>
    </row>
    <row r="53" spans="1:35" ht="15" x14ac:dyDescent="0.2">
      <c r="A53" s="56" t="s">
        <v>148</v>
      </c>
      <c r="B53" s="32"/>
      <c r="C53" s="56">
        <v>0.20399999999999999</v>
      </c>
      <c r="D53" s="56">
        <v>320.3</v>
      </c>
      <c r="E53" s="36"/>
      <c r="F53" s="40">
        <f t="shared" si="0"/>
        <v>0</v>
      </c>
      <c r="G53" s="40" t="e">
        <f>-PMT(Assumptions!B$25/12,Assumptions!B$24*12,F$8)*C53/100</f>
        <v>#NUM!</v>
      </c>
      <c r="H53" s="40" t="e">
        <f>G53*Assumptions!$B$24*12-F53</f>
        <v>#NUM!</v>
      </c>
      <c r="I53" s="48"/>
      <c r="J53" s="40">
        <f t="shared" si="1"/>
        <v>0</v>
      </c>
      <c r="K53" s="40" t="e">
        <f>-PMT(Assumptions!C$25/12,Assumptions!C$24*12,J$8)*C53/100</f>
        <v>#NUM!</v>
      </c>
      <c r="L53" s="40" t="e">
        <f>K53*Assumptions!$C$24*12-J53</f>
        <v>#NUM!</v>
      </c>
      <c r="M53" s="43"/>
      <c r="N53" s="40">
        <f t="shared" si="2"/>
        <v>2040</v>
      </c>
      <c r="O53" s="50">
        <f>-PMT(Assumptions!D$25/12,Assumptions!D$24*12,N$8)*C53/100</f>
        <v>21.637365108771345</v>
      </c>
      <c r="P53" s="44">
        <f>O53*Assumptions!$D$24*12-N53</f>
        <v>556.48381305256135</v>
      </c>
      <c r="Q53" s="48"/>
      <c r="R53" s="40">
        <f t="shared" si="3"/>
        <v>10199.999999999998</v>
      </c>
      <c r="S53" s="40">
        <f>-PMT(Assumptions!E$25/12,Assumptions!E$24*12,$R$8)*$C53/100</f>
        <v>108.18682554385674</v>
      </c>
      <c r="T53" s="40">
        <f>S53*Assumptions!$E$24*12-R53</f>
        <v>2782.4190652628095</v>
      </c>
      <c r="U53" s="48"/>
      <c r="V53" s="40">
        <f t="shared" si="4"/>
        <v>0</v>
      </c>
      <c r="W53" s="40" t="e">
        <f>-PMT(Assumptions!F$25/12,Assumptions!F$24*12,$V$8)*$C53/100</f>
        <v>#NUM!</v>
      </c>
      <c r="X53" s="40" t="e">
        <f>W53*Assumptions!$F$24*12-V53</f>
        <v>#NUM!</v>
      </c>
      <c r="Y53" s="43"/>
      <c r="Z53" s="40">
        <f t="shared" si="5"/>
        <v>0</v>
      </c>
      <c r="AA53" s="50" t="e">
        <f>-PMT(Assumptions!G$25/12,Assumptions!G$24*12,$Z$8)*$C53/100</f>
        <v>#NUM!</v>
      </c>
      <c r="AB53" s="44" t="e">
        <f>AA53*Assumptions!$G$24*12-Z53</f>
        <v>#NUM!</v>
      </c>
      <c r="AD53" s="54">
        <f t="shared" si="6"/>
        <v>0</v>
      </c>
      <c r="AE53" s="54">
        <f t="shared" si="7"/>
        <v>0</v>
      </c>
      <c r="AF53" s="54">
        <f t="shared" si="8"/>
        <v>2040</v>
      </c>
      <c r="AG53" s="54">
        <f t="shared" si="9"/>
        <v>10199.999999999998</v>
      </c>
      <c r="AH53" s="54">
        <f t="shared" si="10"/>
        <v>0</v>
      </c>
      <c r="AI53" s="54">
        <f t="shared" si="11"/>
        <v>0</v>
      </c>
    </row>
    <row r="54" spans="1:35" ht="15" x14ac:dyDescent="0.2">
      <c r="A54" s="56" t="s">
        <v>149</v>
      </c>
      <c r="B54" s="32"/>
      <c r="C54" s="56">
        <v>0.20399999999999999</v>
      </c>
      <c r="D54" s="56">
        <v>320.3</v>
      </c>
      <c r="E54" s="36"/>
      <c r="F54" s="40">
        <f t="shared" si="0"/>
        <v>0</v>
      </c>
      <c r="G54" s="40" t="e">
        <f>-PMT(Assumptions!B$25/12,Assumptions!B$24*12,F$8)*C54/100</f>
        <v>#NUM!</v>
      </c>
      <c r="H54" s="40" t="e">
        <f>G54*Assumptions!$B$24*12-F54</f>
        <v>#NUM!</v>
      </c>
      <c r="I54" s="48"/>
      <c r="J54" s="40">
        <f t="shared" si="1"/>
        <v>0</v>
      </c>
      <c r="K54" s="40" t="e">
        <f>-PMT(Assumptions!C$25/12,Assumptions!C$24*12,J$8)*C54/100</f>
        <v>#NUM!</v>
      </c>
      <c r="L54" s="40" t="e">
        <f>K54*Assumptions!$C$24*12-J54</f>
        <v>#NUM!</v>
      </c>
      <c r="M54" s="43"/>
      <c r="N54" s="40">
        <f t="shared" si="2"/>
        <v>2040</v>
      </c>
      <c r="O54" s="50">
        <f>-PMT(Assumptions!D$25/12,Assumptions!D$24*12,N$8)*C54/100</f>
        <v>21.637365108771345</v>
      </c>
      <c r="P54" s="44">
        <f>O54*Assumptions!$D$24*12-N54</f>
        <v>556.48381305256135</v>
      </c>
      <c r="Q54" s="48"/>
      <c r="R54" s="40">
        <f t="shared" si="3"/>
        <v>10199.999999999998</v>
      </c>
      <c r="S54" s="40">
        <f>-PMT(Assumptions!E$25/12,Assumptions!E$24*12,$R$8)*$C54/100</f>
        <v>108.18682554385674</v>
      </c>
      <c r="T54" s="40">
        <f>S54*Assumptions!$E$24*12-R54</f>
        <v>2782.4190652628095</v>
      </c>
      <c r="U54" s="48"/>
      <c r="V54" s="40">
        <f t="shared" si="4"/>
        <v>0</v>
      </c>
      <c r="W54" s="40" t="e">
        <f>-PMT(Assumptions!F$25/12,Assumptions!F$24*12,$V$8)*$C54/100</f>
        <v>#NUM!</v>
      </c>
      <c r="X54" s="40" t="e">
        <f>W54*Assumptions!$F$24*12-V54</f>
        <v>#NUM!</v>
      </c>
      <c r="Y54" s="43"/>
      <c r="Z54" s="40">
        <f t="shared" si="5"/>
        <v>0</v>
      </c>
      <c r="AA54" s="50" t="e">
        <f>-PMT(Assumptions!G$25/12,Assumptions!G$24*12,$Z$8)*$C54/100</f>
        <v>#NUM!</v>
      </c>
      <c r="AB54" s="44" t="e">
        <f>AA54*Assumptions!$G$24*12-Z54</f>
        <v>#NUM!</v>
      </c>
      <c r="AD54" s="54">
        <f t="shared" si="6"/>
        <v>0</v>
      </c>
      <c r="AE54" s="54">
        <f t="shared" si="7"/>
        <v>0</v>
      </c>
      <c r="AF54" s="54">
        <f t="shared" si="8"/>
        <v>2040</v>
      </c>
      <c r="AG54" s="54">
        <f t="shared" si="9"/>
        <v>10199.999999999998</v>
      </c>
      <c r="AH54" s="54">
        <f t="shared" si="10"/>
        <v>0</v>
      </c>
      <c r="AI54" s="54">
        <f t="shared" si="11"/>
        <v>0</v>
      </c>
    </row>
    <row r="55" spans="1:35" ht="15" x14ac:dyDescent="0.2">
      <c r="A55" s="56" t="s">
        <v>150</v>
      </c>
      <c r="B55" s="32"/>
      <c r="C55" s="56">
        <v>0.28199999999999997</v>
      </c>
      <c r="D55" s="56">
        <v>442.77</v>
      </c>
      <c r="E55" s="36"/>
      <c r="F55" s="40">
        <f t="shared" si="0"/>
        <v>0</v>
      </c>
      <c r="G55" s="40" t="e">
        <f>-PMT(Assumptions!B$25/12,Assumptions!B$24*12,F$8)*C55/100</f>
        <v>#NUM!</v>
      </c>
      <c r="H55" s="40" t="e">
        <f>G55*Assumptions!$B$24*12-F55</f>
        <v>#NUM!</v>
      </c>
      <c r="I55" s="48"/>
      <c r="J55" s="40">
        <f t="shared" si="1"/>
        <v>0</v>
      </c>
      <c r="K55" s="40" t="e">
        <f>-PMT(Assumptions!C$25/12,Assumptions!C$24*12,J$8)*C55/100</f>
        <v>#NUM!</v>
      </c>
      <c r="L55" s="40" t="e">
        <f>K55*Assumptions!$C$24*12-J55</f>
        <v>#NUM!</v>
      </c>
      <c r="M55" s="43"/>
      <c r="N55" s="40">
        <f t="shared" si="2"/>
        <v>2820</v>
      </c>
      <c r="O55" s="50">
        <f>-PMT(Assumptions!D$25/12,Assumptions!D$24*12,N$8)*C55/100</f>
        <v>29.910475297419211</v>
      </c>
      <c r="P55" s="44">
        <f>O55*Assumptions!$D$24*12-N55</f>
        <v>769.25703569030566</v>
      </c>
      <c r="Q55" s="48"/>
      <c r="R55" s="40">
        <f t="shared" si="3"/>
        <v>14099.999999999998</v>
      </c>
      <c r="S55" s="40">
        <f>-PMT(Assumptions!E$25/12,Assumptions!E$24*12,$R$8)*$C55/100</f>
        <v>149.55237648709607</v>
      </c>
      <c r="T55" s="40">
        <f>S55*Assumptions!$E$24*12-R55</f>
        <v>3846.2851784515315</v>
      </c>
      <c r="U55" s="48"/>
      <c r="V55" s="40">
        <f t="shared" si="4"/>
        <v>0</v>
      </c>
      <c r="W55" s="40" t="e">
        <f>-PMT(Assumptions!F$25/12,Assumptions!F$24*12,$V$8)*$C55/100</f>
        <v>#NUM!</v>
      </c>
      <c r="X55" s="40" t="e">
        <f>W55*Assumptions!$F$24*12-V55</f>
        <v>#NUM!</v>
      </c>
      <c r="Y55" s="43"/>
      <c r="Z55" s="40">
        <f t="shared" si="5"/>
        <v>0</v>
      </c>
      <c r="AA55" s="50" t="e">
        <f>-PMT(Assumptions!G$25/12,Assumptions!G$24*12,$Z$8)*$C55/100</f>
        <v>#NUM!</v>
      </c>
      <c r="AB55" s="44" t="e">
        <f>AA55*Assumptions!$G$24*12-Z55</f>
        <v>#NUM!</v>
      </c>
      <c r="AD55" s="54">
        <f t="shared" si="6"/>
        <v>0</v>
      </c>
      <c r="AE55" s="54">
        <f t="shared" si="7"/>
        <v>0</v>
      </c>
      <c r="AF55" s="54">
        <f t="shared" si="8"/>
        <v>2820</v>
      </c>
      <c r="AG55" s="54">
        <f t="shared" si="9"/>
        <v>14099.999999999998</v>
      </c>
      <c r="AH55" s="54">
        <f t="shared" si="10"/>
        <v>0</v>
      </c>
      <c r="AI55" s="54">
        <f t="shared" si="11"/>
        <v>0</v>
      </c>
    </row>
    <row r="56" spans="1:35" ht="15" x14ac:dyDescent="0.2">
      <c r="A56" s="56" t="s">
        <v>151</v>
      </c>
      <c r="B56" s="32"/>
      <c r="C56" s="56">
        <v>0.28199999999999997</v>
      </c>
      <c r="D56" s="56">
        <v>442.77</v>
      </c>
      <c r="E56" s="36"/>
      <c r="F56" s="40">
        <f t="shared" si="0"/>
        <v>0</v>
      </c>
      <c r="G56" s="40" t="e">
        <f>-PMT(Assumptions!B$25/12,Assumptions!B$24*12,F$8)*C56/100</f>
        <v>#NUM!</v>
      </c>
      <c r="H56" s="40" t="e">
        <f>G56*Assumptions!$B$24*12-F56</f>
        <v>#NUM!</v>
      </c>
      <c r="I56" s="48"/>
      <c r="J56" s="40">
        <f t="shared" si="1"/>
        <v>0</v>
      </c>
      <c r="K56" s="40" t="e">
        <f>-PMT(Assumptions!C$25/12,Assumptions!C$24*12,J$8)*C56/100</f>
        <v>#NUM!</v>
      </c>
      <c r="L56" s="40" t="e">
        <f>K56*Assumptions!$C$24*12-J56</f>
        <v>#NUM!</v>
      </c>
      <c r="M56" s="43"/>
      <c r="N56" s="40">
        <f t="shared" si="2"/>
        <v>2820</v>
      </c>
      <c r="O56" s="50">
        <f>-PMT(Assumptions!D$25/12,Assumptions!D$24*12,N$8)*C56/100</f>
        <v>29.910475297419211</v>
      </c>
      <c r="P56" s="44">
        <f>O56*Assumptions!$D$24*12-N56</f>
        <v>769.25703569030566</v>
      </c>
      <c r="Q56" s="48"/>
      <c r="R56" s="40">
        <f t="shared" si="3"/>
        <v>14099.999999999998</v>
      </c>
      <c r="S56" s="40">
        <f>-PMT(Assumptions!E$25/12,Assumptions!E$24*12,$R$8)*$C56/100</f>
        <v>149.55237648709607</v>
      </c>
      <c r="T56" s="40">
        <f>S56*Assumptions!$E$24*12-R56</f>
        <v>3846.2851784515315</v>
      </c>
      <c r="U56" s="48"/>
      <c r="V56" s="40">
        <f t="shared" si="4"/>
        <v>0</v>
      </c>
      <c r="W56" s="40" t="e">
        <f>-PMT(Assumptions!F$25/12,Assumptions!F$24*12,$V$8)*$C56/100</f>
        <v>#NUM!</v>
      </c>
      <c r="X56" s="40" t="e">
        <f>W56*Assumptions!$F$24*12-V56</f>
        <v>#NUM!</v>
      </c>
      <c r="Y56" s="43"/>
      <c r="Z56" s="40">
        <f t="shared" si="5"/>
        <v>0</v>
      </c>
      <c r="AA56" s="50" t="e">
        <f>-PMT(Assumptions!G$25/12,Assumptions!G$24*12,$Z$8)*$C56/100</f>
        <v>#NUM!</v>
      </c>
      <c r="AB56" s="44" t="e">
        <f>AA56*Assumptions!$G$24*12-Z56</f>
        <v>#NUM!</v>
      </c>
      <c r="AD56" s="54">
        <f t="shared" si="6"/>
        <v>0</v>
      </c>
      <c r="AE56" s="54">
        <f t="shared" si="7"/>
        <v>0</v>
      </c>
      <c r="AF56" s="54">
        <f t="shared" si="8"/>
        <v>2820</v>
      </c>
      <c r="AG56" s="54">
        <f t="shared" si="9"/>
        <v>14099.999999999998</v>
      </c>
      <c r="AH56" s="54">
        <f t="shared" si="10"/>
        <v>0</v>
      </c>
      <c r="AI56" s="54">
        <f t="shared" si="11"/>
        <v>0</v>
      </c>
    </row>
    <row r="57" spans="1:35" ht="15" x14ac:dyDescent="0.2">
      <c r="A57" s="56" t="s">
        <v>152</v>
      </c>
      <c r="B57" s="32"/>
      <c r="C57" s="56">
        <v>0.29699999999999999</v>
      </c>
      <c r="D57" s="56">
        <v>466.32</v>
      </c>
      <c r="E57" s="36"/>
      <c r="F57" s="40">
        <f t="shared" si="0"/>
        <v>0</v>
      </c>
      <c r="G57" s="40" t="e">
        <f>-PMT(Assumptions!B$25/12,Assumptions!B$24*12,F$8)*C57/100</f>
        <v>#NUM!</v>
      </c>
      <c r="H57" s="40" t="e">
        <f>G57*Assumptions!$B$24*12-F57</f>
        <v>#NUM!</v>
      </c>
      <c r="I57" s="48"/>
      <c r="J57" s="40">
        <f t="shared" si="1"/>
        <v>0</v>
      </c>
      <c r="K57" s="40" t="e">
        <f>-PMT(Assumptions!C$25/12,Assumptions!C$24*12,J$8)*C57/100</f>
        <v>#NUM!</v>
      </c>
      <c r="L57" s="40" t="e">
        <f>K57*Assumptions!$C$24*12-J57</f>
        <v>#NUM!</v>
      </c>
      <c r="M57" s="43"/>
      <c r="N57" s="40">
        <f t="shared" si="2"/>
        <v>2970</v>
      </c>
      <c r="O57" s="50">
        <f>-PMT(Assumptions!D$25/12,Assumptions!D$24*12,N$8)*C57/100</f>
        <v>31.501458026005345</v>
      </c>
      <c r="P57" s="44">
        <f>O57*Assumptions!$D$24*12-N57</f>
        <v>810.17496312064122</v>
      </c>
      <c r="Q57" s="48"/>
      <c r="R57" s="40">
        <f t="shared" si="3"/>
        <v>14850</v>
      </c>
      <c r="S57" s="40">
        <f>-PMT(Assumptions!E$25/12,Assumptions!E$24*12,$R$8)*$C57/100</f>
        <v>157.50729013002672</v>
      </c>
      <c r="T57" s="40">
        <f>S57*Assumptions!$E$24*12-R57</f>
        <v>4050.8748156032052</v>
      </c>
      <c r="U57" s="48"/>
      <c r="V57" s="40">
        <f t="shared" si="4"/>
        <v>0</v>
      </c>
      <c r="W57" s="40" t="e">
        <f>-PMT(Assumptions!F$25/12,Assumptions!F$24*12,$V$8)*$C57/100</f>
        <v>#NUM!</v>
      </c>
      <c r="X57" s="40" t="e">
        <f>W57*Assumptions!$F$24*12-V57</f>
        <v>#NUM!</v>
      </c>
      <c r="Y57" s="43"/>
      <c r="Z57" s="40">
        <f t="shared" si="5"/>
        <v>0</v>
      </c>
      <c r="AA57" s="50" t="e">
        <f>-PMT(Assumptions!G$25/12,Assumptions!G$24*12,$Z$8)*$C57/100</f>
        <v>#NUM!</v>
      </c>
      <c r="AB57" s="44" t="e">
        <f>AA57*Assumptions!$G$24*12-Z57</f>
        <v>#NUM!</v>
      </c>
      <c r="AD57" s="54">
        <f t="shared" si="6"/>
        <v>0</v>
      </c>
      <c r="AE57" s="54">
        <f t="shared" si="7"/>
        <v>0</v>
      </c>
      <c r="AF57" s="54">
        <f t="shared" si="8"/>
        <v>2970</v>
      </c>
      <c r="AG57" s="54">
        <f t="shared" si="9"/>
        <v>14850</v>
      </c>
      <c r="AH57" s="54">
        <f t="shared" si="10"/>
        <v>0</v>
      </c>
      <c r="AI57" s="54">
        <f t="shared" si="11"/>
        <v>0</v>
      </c>
    </row>
    <row r="58" spans="1:35" ht="15" x14ac:dyDescent="0.2">
      <c r="A58" s="56" t="s">
        <v>153</v>
      </c>
      <c r="B58" s="32"/>
      <c r="C58" s="56">
        <v>0.29699999999999999</v>
      </c>
      <c r="D58" s="56">
        <v>466.32</v>
      </c>
      <c r="E58" s="36"/>
      <c r="F58" s="40">
        <f t="shared" si="0"/>
        <v>0</v>
      </c>
      <c r="G58" s="40" t="e">
        <f>-PMT(Assumptions!B$25/12,Assumptions!B$24*12,F$8)*C58/100</f>
        <v>#NUM!</v>
      </c>
      <c r="H58" s="40" t="e">
        <f>G58*Assumptions!$B$24*12-F58</f>
        <v>#NUM!</v>
      </c>
      <c r="I58" s="48"/>
      <c r="J58" s="40">
        <f t="shared" si="1"/>
        <v>0</v>
      </c>
      <c r="K58" s="40" t="e">
        <f>-PMT(Assumptions!C$25/12,Assumptions!C$24*12,J$8)*C58/100</f>
        <v>#NUM!</v>
      </c>
      <c r="L58" s="40" t="e">
        <f>K58*Assumptions!$C$24*12-J58</f>
        <v>#NUM!</v>
      </c>
      <c r="M58" s="43"/>
      <c r="N58" s="40">
        <f t="shared" si="2"/>
        <v>2970</v>
      </c>
      <c r="O58" s="50">
        <f>-PMT(Assumptions!D$25/12,Assumptions!D$24*12,N$8)*C58/100</f>
        <v>31.501458026005345</v>
      </c>
      <c r="P58" s="44">
        <f>O58*Assumptions!$D$24*12-N58</f>
        <v>810.17496312064122</v>
      </c>
      <c r="Q58" s="48"/>
      <c r="R58" s="40">
        <f t="shared" si="3"/>
        <v>14850</v>
      </c>
      <c r="S58" s="40">
        <f>-PMT(Assumptions!E$25/12,Assumptions!E$24*12,$R$8)*$C58/100</f>
        <v>157.50729013002672</v>
      </c>
      <c r="T58" s="40">
        <f>S58*Assumptions!$E$24*12-R58</f>
        <v>4050.8748156032052</v>
      </c>
      <c r="U58" s="48"/>
      <c r="V58" s="40">
        <f t="shared" si="4"/>
        <v>0</v>
      </c>
      <c r="W58" s="40" t="e">
        <f>-PMT(Assumptions!F$25/12,Assumptions!F$24*12,$V$8)*$C58/100</f>
        <v>#NUM!</v>
      </c>
      <c r="X58" s="40" t="e">
        <f>W58*Assumptions!$F$24*12-V58</f>
        <v>#NUM!</v>
      </c>
      <c r="Y58" s="43"/>
      <c r="Z58" s="40">
        <f t="shared" si="5"/>
        <v>0</v>
      </c>
      <c r="AA58" s="50" t="e">
        <f>-PMT(Assumptions!G$25/12,Assumptions!G$24*12,$Z$8)*$C58/100</f>
        <v>#NUM!</v>
      </c>
      <c r="AB58" s="44" t="e">
        <f>AA58*Assumptions!$G$24*12-Z58</f>
        <v>#NUM!</v>
      </c>
      <c r="AD58" s="54">
        <f t="shared" si="6"/>
        <v>0</v>
      </c>
      <c r="AE58" s="54">
        <f t="shared" si="7"/>
        <v>0</v>
      </c>
      <c r="AF58" s="54">
        <f t="shared" si="8"/>
        <v>2970</v>
      </c>
      <c r="AG58" s="54">
        <f t="shared" si="9"/>
        <v>14850</v>
      </c>
      <c r="AH58" s="54">
        <f t="shared" si="10"/>
        <v>0</v>
      </c>
      <c r="AI58" s="54">
        <f t="shared" si="11"/>
        <v>0</v>
      </c>
    </row>
    <row r="59" spans="1:35" ht="15" x14ac:dyDescent="0.2">
      <c r="A59" s="56" t="s">
        <v>154</v>
      </c>
      <c r="B59" s="32"/>
      <c r="C59" s="56">
        <v>0.20200000000000001</v>
      </c>
      <c r="D59" s="56">
        <v>317.16000000000003</v>
      </c>
      <c r="E59" s="36"/>
      <c r="F59" s="40">
        <f t="shared" si="0"/>
        <v>0</v>
      </c>
      <c r="G59" s="40" t="e">
        <f>-PMT(Assumptions!B$25/12,Assumptions!B$24*12,F$8)*C59/100</f>
        <v>#NUM!</v>
      </c>
      <c r="H59" s="40" t="e">
        <f>G59*Assumptions!$B$24*12-F59</f>
        <v>#NUM!</v>
      </c>
      <c r="I59" s="48"/>
      <c r="J59" s="40">
        <f t="shared" si="1"/>
        <v>0</v>
      </c>
      <c r="K59" s="40" t="e">
        <f>-PMT(Assumptions!C$25/12,Assumptions!C$24*12,J$8)*C59/100</f>
        <v>#NUM!</v>
      </c>
      <c r="L59" s="40" t="e">
        <f>K59*Assumptions!$C$24*12-J59</f>
        <v>#NUM!</v>
      </c>
      <c r="M59" s="43"/>
      <c r="N59" s="40">
        <f t="shared" si="2"/>
        <v>2020</v>
      </c>
      <c r="O59" s="50">
        <f>-PMT(Assumptions!D$25/12,Assumptions!D$24*12,N$8)*C59/100</f>
        <v>21.425234078293197</v>
      </c>
      <c r="P59" s="44">
        <f>O59*Assumptions!$D$24*12-N59</f>
        <v>551.028089395184</v>
      </c>
      <c r="Q59" s="48"/>
      <c r="R59" s="40">
        <f t="shared" si="3"/>
        <v>10100.000000000002</v>
      </c>
      <c r="S59" s="40">
        <f>-PMT(Assumptions!E$25/12,Assumptions!E$24*12,$R$8)*$C59/100</f>
        <v>107.12617039146599</v>
      </c>
      <c r="T59" s="40">
        <f>S59*Assumptions!$E$24*12-R59</f>
        <v>2755.1404469759163</v>
      </c>
      <c r="U59" s="48"/>
      <c r="V59" s="40">
        <f t="shared" si="4"/>
        <v>0</v>
      </c>
      <c r="W59" s="40" t="e">
        <f>-PMT(Assumptions!F$25/12,Assumptions!F$24*12,$V$8)*$C59/100</f>
        <v>#NUM!</v>
      </c>
      <c r="X59" s="40" t="e">
        <f>W59*Assumptions!$F$24*12-V59</f>
        <v>#NUM!</v>
      </c>
      <c r="Y59" s="43"/>
      <c r="Z59" s="40">
        <f t="shared" si="5"/>
        <v>0</v>
      </c>
      <c r="AA59" s="50" t="e">
        <f>-PMT(Assumptions!G$25/12,Assumptions!G$24*12,$Z$8)*$C59/100</f>
        <v>#NUM!</v>
      </c>
      <c r="AB59" s="44" t="e">
        <f>AA59*Assumptions!$G$24*12-Z59</f>
        <v>#NUM!</v>
      </c>
      <c r="AD59" s="54">
        <f t="shared" si="6"/>
        <v>0</v>
      </c>
      <c r="AE59" s="54">
        <f t="shared" si="7"/>
        <v>0</v>
      </c>
      <c r="AF59" s="54">
        <f t="shared" si="8"/>
        <v>2020</v>
      </c>
      <c r="AG59" s="54">
        <f t="shared" si="9"/>
        <v>10100.000000000002</v>
      </c>
      <c r="AH59" s="54">
        <f t="shared" si="10"/>
        <v>0</v>
      </c>
      <c r="AI59" s="54">
        <f t="shared" si="11"/>
        <v>0</v>
      </c>
    </row>
    <row r="60" spans="1:35" ht="15" x14ac:dyDescent="0.2">
      <c r="A60" s="56" t="s">
        <v>155</v>
      </c>
      <c r="B60" s="32"/>
      <c r="C60" s="56">
        <v>0.20200000000000001</v>
      </c>
      <c r="D60" s="56">
        <v>317.16000000000003</v>
      </c>
      <c r="E60" s="36"/>
      <c r="F60" s="40">
        <f t="shared" si="0"/>
        <v>0</v>
      </c>
      <c r="G60" s="40" t="e">
        <f>-PMT(Assumptions!B$25/12,Assumptions!B$24*12,F$8)*C60/100</f>
        <v>#NUM!</v>
      </c>
      <c r="H60" s="40" t="e">
        <f>G60*Assumptions!$B$24*12-F60</f>
        <v>#NUM!</v>
      </c>
      <c r="I60" s="48"/>
      <c r="J60" s="40">
        <f t="shared" si="1"/>
        <v>0</v>
      </c>
      <c r="K60" s="40" t="e">
        <f>-PMT(Assumptions!C$25/12,Assumptions!C$24*12,J$8)*C60/100</f>
        <v>#NUM!</v>
      </c>
      <c r="L60" s="40" t="e">
        <f>K60*Assumptions!$C$24*12-J60</f>
        <v>#NUM!</v>
      </c>
      <c r="M60" s="43"/>
      <c r="N60" s="40">
        <f t="shared" si="2"/>
        <v>2020</v>
      </c>
      <c r="O60" s="50">
        <f>-PMT(Assumptions!D$25/12,Assumptions!D$24*12,N$8)*C60/100</f>
        <v>21.425234078293197</v>
      </c>
      <c r="P60" s="44">
        <f>O60*Assumptions!$D$24*12-N60</f>
        <v>551.028089395184</v>
      </c>
      <c r="Q60" s="48"/>
      <c r="R60" s="40">
        <f t="shared" si="3"/>
        <v>10100.000000000002</v>
      </c>
      <c r="S60" s="40">
        <f>-PMT(Assumptions!E$25/12,Assumptions!E$24*12,$R$8)*$C60/100</f>
        <v>107.12617039146599</v>
      </c>
      <c r="T60" s="40">
        <f>S60*Assumptions!$E$24*12-R60</f>
        <v>2755.1404469759163</v>
      </c>
      <c r="U60" s="48"/>
      <c r="V60" s="40">
        <f t="shared" si="4"/>
        <v>0</v>
      </c>
      <c r="W60" s="40" t="e">
        <f>-PMT(Assumptions!F$25/12,Assumptions!F$24*12,$V$8)*$C60/100</f>
        <v>#NUM!</v>
      </c>
      <c r="X60" s="40" t="e">
        <f>W60*Assumptions!$F$24*12-V60</f>
        <v>#NUM!</v>
      </c>
      <c r="Y60" s="43"/>
      <c r="Z60" s="40">
        <f t="shared" si="5"/>
        <v>0</v>
      </c>
      <c r="AA60" s="50" t="e">
        <f>-PMT(Assumptions!G$25/12,Assumptions!G$24*12,$Z$8)*$C60/100</f>
        <v>#NUM!</v>
      </c>
      <c r="AB60" s="44" t="e">
        <f>AA60*Assumptions!$G$24*12-Z60</f>
        <v>#NUM!</v>
      </c>
      <c r="AD60" s="54">
        <f t="shared" si="6"/>
        <v>0</v>
      </c>
      <c r="AE60" s="54">
        <f t="shared" si="7"/>
        <v>0</v>
      </c>
      <c r="AF60" s="54">
        <f t="shared" si="8"/>
        <v>2020</v>
      </c>
      <c r="AG60" s="54">
        <f t="shared" si="9"/>
        <v>10100.000000000002</v>
      </c>
      <c r="AH60" s="54">
        <f t="shared" si="10"/>
        <v>0</v>
      </c>
      <c r="AI60" s="54">
        <f t="shared" si="11"/>
        <v>0</v>
      </c>
    </row>
    <row r="61" spans="1:35" ht="15" x14ac:dyDescent="0.2">
      <c r="A61" s="56" t="s">
        <v>156</v>
      </c>
      <c r="B61" s="32"/>
      <c r="C61" s="56">
        <v>0.14699999999999999</v>
      </c>
      <c r="D61" s="56">
        <v>230.81</v>
      </c>
      <c r="E61" s="36"/>
      <c r="F61" s="40">
        <f t="shared" si="0"/>
        <v>0</v>
      </c>
      <c r="G61" s="40" t="e">
        <f>-PMT(Assumptions!B$25/12,Assumptions!B$24*12,F$8)*C61/100</f>
        <v>#NUM!</v>
      </c>
      <c r="H61" s="40" t="e">
        <f>G61*Assumptions!$B$24*12-F61</f>
        <v>#NUM!</v>
      </c>
      <c r="I61" s="48"/>
      <c r="J61" s="40">
        <f t="shared" si="1"/>
        <v>0</v>
      </c>
      <c r="K61" s="40" t="e">
        <f>-PMT(Assumptions!C$25/12,Assumptions!C$24*12,J$8)*C61/100</f>
        <v>#NUM!</v>
      </c>
      <c r="L61" s="40" t="e">
        <f>K61*Assumptions!$C$24*12-J61</f>
        <v>#NUM!</v>
      </c>
      <c r="M61" s="43"/>
      <c r="N61" s="40">
        <f t="shared" si="2"/>
        <v>1470</v>
      </c>
      <c r="O61" s="50">
        <f>-PMT(Assumptions!D$25/12,Assumptions!D$24*12,N$8)*C61/100</f>
        <v>15.591630740144058</v>
      </c>
      <c r="P61" s="44">
        <f>O61*Assumptions!$D$24*12-N61</f>
        <v>400.99568881728692</v>
      </c>
      <c r="Q61" s="48"/>
      <c r="R61" s="40">
        <f t="shared" si="3"/>
        <v>7350</v>
      </c>
      <c r="S61" s="40">
        <f>-PMT(Assumptions!E$25/12,Assumptions!E$24*12,$R$8)*$C61/100</f>
        <v>77.958153700720288</v>
      </c>
      <c r="T61" s="40">
        <f>S61*Assumptions!$E$24*12-R61</f>
        <v>2004.978444086435</v>
      </c>
      <c r="U61" s="48"/>
      <c r="V61" s="40">
        <f t="shared" si="4"/>
        <v>0</v>
      </c>
      <c r="W61" s="40" t="e">
        <f>-PMT(Assumptions!F$25/12,Assumptions!F$24*12,$V$8)*$C61/100</f>
        <v>#NUM!</v>
      </c>
      <c r="X61" s="40" t="e">
        <f>W61*Assumptions!$F$24*12-V61</f>
        <v>#NUM!</v>
      </c>
      <c r="Y61" s="43"/>
      <c r="Z61" s="40">
        <f t="shared" si="5"/>
        <v>0</v>
      </c>
      <c r="AA61" s="50" t="e">
        <f>-PMT(Assumptions!G$25/12,Assumptions!G$24*12,$Z$8)*$C61/100</f>
        <v>#NUM!</v>
      </c>
      <c r="AB61" s="44" t="e">
        <f>AA61*Assumptions!$G$24*12-Z61</f>
        <v>#NUM!</v>
      </c>
      <c r="AD61" s="54">
        <f t="shared" si="6"/>
        <v>0</v>
      </c>
      <c r="AE61" s="54">
        <f t="shared" si="7"/>
        <v>0</v>
      </c>
      <c r="AF61" s="54">
        <f t="shared" si="8"/>
        <v>1470</v>
      </c>
      <c r="AG61" s="54">
        <f t="shared" si="9"/>
        <v>7350</v>
      </c>
      <c r="AH61" s="54">
        <f t="shared" si="10"/>
        <v>0</v>
      </c>
      <c r="AI61" s="54">
        <f t="shared" si="11"/>
        <v>0</v>
      </c>
    </row>
    <row r="62" spans="1:35" ht="15" x14ac:dyDescent="0.2">
      <c r="A62" s="56" t="s">
        <v>157</v>
      </c>
      <c r="B62" s="32"/>
      <c r="C62" s="56">
        <v>0.156</v>
      </c>
      <c r="D62" s="56">
        <v>244.94</v>
      </c>
      <c r="E62" s="36"/>
      <c r="F62" s="40">
        <f t="shared" si="0"/>
        <v>0</v>
      </c>
      <c r="G62" s="40" t="e">
        <f>-PMT(Assumptions!B$25/12,Assumptions!B$24*12,F$8)*C62/100</f>
        <v>#NUM!</v>
      </c>
      <c r="H62" s="40" t="e">
        <f>G62*Assumptions!$B$24*12-F62</f>
        <v>#NUM!</v>
      </c>
      <c r="I62" s="48"/>
      <c r="J62" s="40">
        <f t="shared" si="1"/>
        <v>0</v>
      </c>
      <c r="K62" s="40" t="e">
        <f>-PMT(Assumptions!C$25/12,Assumptions!C$24*12,J$8)*C62/100</f>
        <v>#NUM!</v>
      </c>
      <c r="L62" s="40" t="e">
        <f>K62*Assumptions!$C$24*12-J62</f>
        <v>#NUM!</v>
      </c>
      <c r="M62" s="43"/>
      <c r="N62" s="40">
        <f t="shared" si="2"/>
        <v>1560</v>
      </c>
      <c r="O62" s="50">
        <f>-PMT(Assumptions!D$25/12,Assumptions!D$24*12,N$8)*C62/100</f>
        <v>16.546220377295736</v>
      </c>
      <c r="P62" s="44">
        <f>O62*Assumptions!$D$24*12-N62</f>
        <v>425.5464452754884</v>
      </c>
      <c r="Q62" s="48"/>
      <c r="R62" s="40">
        <f t="shared" si="3"/>
        <v>7800</v>
      </c>
      <c r="S62" s="40">
        <f>-PMT(Assumptions!E$25/12,Assumptions!E$24*12,$R$8)*$C62/100</f>
        <v>82.731101886478683</v>
      </c>
      <c r="T62" s="40">
        <f>S62*Assumptions!$E$24*12-R62</f>
        <v>2127.7322263774404</v>
      </c>
      <c r="U62" s="48"/>
      <c r="V62" s="40">
        <f t="shared" si="4"/>
        <v>0</v>
      </c>
      <c r="W62" s="40" t="e">
        <f>-PMT(Assumptions!F$25/12,Assumptions!F$24*12,$V$8)*$C62/100</f>
        <v>#NUM!</v>
      </c>
      <c r="X62" s="40" t="e">
        <f>W62*Assumptions!$F$24*12-V62</f>
        <v>#NUM!</v>
      </c>
      <c r="Y62" s="43"/>
      <c r="Z62" s="40">
        <f t="shared" si="5"/>
        <v>0</v>
      </c>
      <c r="AA62" s="50" t="e">
        <f>-PMT(Assumptions!G$25/12,Assumptions!G$24*12,$Z$8)*$C62/100</f>
        <v>#NUM!</v>
      </c>
      <c r="AB62" s="44" t="e">
        <f>AA62*Assumptions!$G$24*12-Z62</f>
        <v>#NUM!</v>
      </c>
      <c r="AD62" s="54">
        <f t="shared" si="6"/>
        <v>0</v>
      </c>
      <c r="AE62" s="54">
        <f t="shared" si="7"/>
        <v>0</v>
      </c>
      <c r="AF62" s="54">
        <f t="shared" si="8"/>
        <v>1560</v>
      </c>
      <c r="AG62" s="54">
        <f t="shared" si="9"/>
        <v>7800</v>
      </c>
      <c r="AH62" s="54">
        <f t="shared" si="10"/>
        <v>0</v>
      </c>
      <c r="AI62" s="54">
        <f t="shared" si="11"/>
        <v>0</v>
      </c>
    </row>
    <row r="63" spans="1:35" ht="15" x14ac:dyDescent="0.2">
      <c r="A63" s="56" t="s">
        <v>158</v>
      </c>
      <c r="B63" s="32"/>
      <c r="C63" s="56">
        <v>0.14699999999999999</v>
      </c>
      <c r="D63" s="56">
        <v>230.81</v>
      </c>
      <c r="E63" s="36"/>
      <c r="F63" s="40">
        <f t="shared" si="0"/>
        <v>0</v>
      </c>
      <c r="G63" s="40" t="e">
        <f>-PMT(Assumptions!B$25/12,Assumptions!B$24*12,F$8)*C63/100</f>
        <v>#NUM!</v>
      </c>
      <c r="H63" s="40" t="e">
        <f>G63*Assumptions!$B$24*12-F63</f>
        <v>#NUM!</v>
      </c>
      <c r="I63" s="48"/>
      <c r="J63" s="40">
        <f t="shared" si="1"/>
        <v>0</v>
      </c>
      <c r="K63" s="40" t="e">
        <f>-PMT(Assumptions!C$25/12,Assumptions!C$24*12,J$8)*C63/100</f>
        <v>#NUM!</v>
      </c>
      <c r="L63" s="40" t="e">
        <f>K63*Assumptions!$C$24*12-J63</f>
        <v>#NUM!</v>
      </c>
      <c r="M63" s="43"/>
      <c r="N63" s="40">
        <f t="shared" si="2"/>
        <v>1470</v>
      </c>
      <c r="O63" s="50">
        <f>-PMT(Assumptions!D$25/12,Assumptions!D$24*12,N$8)*C63/100</f>
        <v>15.591630740144058</v>
      </c>
      <c r="P63" s="44">
        <f>O63*Assumptions!$D$24*12-N63</f>
        <v>400.99568881728692</v>
      </c>
      <c r="Q63" s="48"/>
      <c r="R63" s="40">
        <f t="shared" si="3"/>
        <v>7350</v>
      </c>
      <c r="S63" s="40">
        <f>-PMT(Assumptions!E$25/12,Assumptions!E$24*12,$R$8)*$C63/100</f>
        <v>77.958153700720288</v>
      </c>
      <c r="T63" s="40">
        <f>S63*Assumptions!$E$24*12-R63</f>
        <v>2004.978444086435</v>
      </c>
      <c r="U63" s="48"/>
      <c r="V63" s="40">
        <f t="shared" si="4"/>
        <v>0</v>
      </c>
      <c r="W63" s="40" t="e">
        <f>-PMT(Assumptions!F$25/12,Assumptions!F$24*12,$V$8)*$C63/100</f>
        <v>#NUM!</v>
      </c>
      <c r="X63" s="40" t="e">
        <f>W63*Assumptions!$F$24*12-V63</f>
        <v>#NUM!</v>
      </c>
      <c r="Y63" s="43"/>
      <c r="Z63" s="40">
        <f t="shared" si="5"/>
        <v>0</v>
      </c>
      <c r="AA63" s="50" t="e">
        <f>-PMT(Assumptions!G$25/12,Assumptions!G$24*12,$Z$8)*$C63/100</f>
        <v>#NUM!</v>
      </c>
      <c r="AB63" s="44" t="e">
        <f>AA63*Assumptions!$G$24*12-Z63</f>
        <v>#NUM!</v>
      </c>
      <c r="AD63" s="54">
        <f t="shared" si="6"/>
        <v>0</v>
      </c>
      <c r="AE63" s="54">
        <f t="shared" si="7"/>
        <v>0</v>
      </c>
      <c r="AF63" s="54">
        <f t="shared" si="8"/>
        <v>1470</v>
      </c>
      <c r="AG63" s="54">
        <f t="shared" si="9"/>
        <v>7350</v>
      </c>
      <c r="AH63" s="54">
        <f t="shared" si="10"/>
        <v>0</v>
      </c>
      <c r="AI63" s="54">
        <f t="shared" si="11"/>
        <v>0</v>
      </c>
    </row>
    <row r="64" spans="1:35" ht="15" x14ac:dyDescent="0.2">
      <c r="A64" s="56" t="s">
        <v>159</v>
      </c>
      <c r="B64" s="32"/>
      <c r="C64" s="56">
        <v>0.156</v>
      </c>
      <c r="D64" s="56">
        <v>244.94</v>
      </c>
      <c r="E64" s="36"/>
      <c r="F64" s="40">
        <f t="shared" si="0"/>
        <v>0</v>
      </c>
      <c r="G64" s="40" t="e">
        <f>-PMT(Assumptions!B$25/12,Assumptions!B$24*12,F$8)*C64/100</f>
        <v>#NUM!</v>
      </c>
      <c r="H64" s="40" t="e">
        <f>G64*Assumptions!$B$24*12-F64</f>
        <v>#NUM!</v>
      </c>
      <c r="I64" s="48"/>
      <c r="J64" s="40">
        <f t="shared" si="1"/>
        <v>0</v>
      </c>
      <c r="K64" s="40" t="e">
        <f>-PMT(Assumptions!C$25/12,Assumptions!C$24*12,J$8)*C64/100</f>
        <v>#NUM!</v>
      </c>
      <c r="L64" s="40" t="e">
        <f>K64*Assumptions!$C$24*12-J64</f>
        <v>#NUM!</v>
      </c>
      <c r="M64" s="43"/>
      <c r="N64" s="40">
        <f t="shared" si="2"/>
        <v>1560</v>
      </c>
      <c r="O64" s="50">
        <f>-PMT(Assumptions!D$25/12,Assumptions!D$24*12,N$8)*C64/100</f>
        <v>16.546220377295736</v>
      </c>
      <c r="P64" s="44">
        <f>O64*Assumptions!$D$24*12-N64</f>
        <v>425.5464452754884</v>
      </c>
      <c r="Q64" s="48"/>
      <c r="R64" s="40">
        <f t="shared" si="3"/>
        <v>7800</v>
      </c>
      <c r="S64" s="40">
        <f>-PMT(Assumptions!E$25/12,Assumptions!E$24*12,$R$8)*$C64/100</f>
        <v>82.731101886478683</v>
      </c>
      <c r="T64" s="40">
        <f>S64*Assumptions!$E$24*12-R64</f>
        <v>2127.7322263774404</v>
      </c>
      <c r="U64" s="48"/>
      <c r="V64" s="40">
        <f t="shared" si="4"/>
        <v>0</v>
      </c>
      <c r="W64" s="40" t="e">
        <f>-PMT(Assumptions!F$25/12,Assumptions!F$24*12,$V$8)*$C64/100</f>
        <v>#NUM!</v>
      </c>
      <c r="X64" s="40" t="e">
        <f>W64*Assumptions!$F$24*12-V64</f>
        <v>#NUM!</v>
      </c>
      <c r="Y64" s="43"/>
      <c r="Z64" s="40">
        <f t="shared" si="5"/>
        <v>0</v>
      </c>
      <c r="AA64" s="50" t="e">
        <f>-PMT(Assumptions!G$25/12,Assumptions!G$24*12,$Z$8)*$C64/100</f>
        <v>#NUM!</v>
      </c>
      <c r="AB64" s="44" t="e">
        <f>AA64*Assumptions!$G$24*12-Z64</f>
        <v>#NUM!</v>
      </c>
      <c r="AD64" s="54">
        <f t="shared" si="6"/>
        <v>0</v>
      </c>
      <c r="AE64" s="54">
        <f t="shared" si="7"/>
        <v>0</v>
      </c>
      <c r="AF64" s="54">
        <f t="shared" si="8"/>
        <v>1560</v>
      </c>
      <c r="AG64" s="54">
        <f t="shared" si="9"/>
        <v>7800</v>
      </c>
      <c r="AH64" s="54">
        <f t="shared" si="10"/>
        <v>0</v>
      </c>
      <c r="AI64" s="54">
        <f t="shared" si="11"/>
        <v>0</v>
      </c>
    </row>
    <row r="65" spans="1:35" ht="15" x14ac:dyDescent="0.2">
      <c r="A65" s="56" t="s">
        <v>160</v>
      </c>
      <c r="B65" s="32"/>
      <c r="C65" s="56">
        <v>0.219</v>
      </c>
      <c r="D65" s="56">
        <v>343.85</v>
      </c>
      <c r="E65" s="36"/>
      <c r="F65" s="40">
        <f t="shared" si="0"/>
        <v>0</v>
      </c>
      <c r="G65" s="40" t="e">
        <f>-PMT(Assumptions!B$25/12,Assumptions!B$24*12,F$8)*C65/100</f>
        <v>#NUM!</v>
      </c>
      <c r="H65" s="40" t="e">
        <f>G65*Assumptions!$B$24*12-F65</f>
        <v>#NUM!</v>
      </c>
      <c r="I65" s="48"/>
      <c r="J65" s="40">
        <f t="shared" si="1"/>
        <v>0</v>
      </c>
      <c r="K65" s="40" t="e">
        <f>-PMT(Assumptions!C$25/12,Assumptions!C$24*12,J$8)*C65/100</f>
        <v>#NUM!</v>
      </c>
      <c r="L65" s="40" t="e">
        <f>K65*Assumptions!$C$24*12-J65</f>
        <v>#NUM!</v>
      </c>
      <c r="M65" s="43"/>
      <c r="N65" s="40">
        <f t="shared" si="2"/>
        <v>2190</v>
      </c>
      <c r="O65" s="50">
        <f>-PMT(Assumptions!D$25/12,Assumptions!D$24*12,N$8)*C65/100</f>
        <v>23.228347837357475</v>
      </c>
      <c r="P65" s="44">
        <f>O65*Assumptions!$D$24*12-N65</f>
        <v>597.40174048289691</v>
      </c>
      <c r="Q65" s="48"/>
      <c r="R65" s="40">
        <f t="shared" si="3"/>
        <v>10950</v>
      </c>
      <c r="S65" s="40">
        <f>-PMT(Assumptions!E$25/12,Assumptions!E$24*12,$R$8)*$C65/100</f>
        <v>116.14173918678738</v>
      </c>
      <c r="T65" s="40">
        <f>S65*Assumptions!$E$24*12-R65</f>
        <v>2987.008702414485</v>
      </c>
      <c r="U65" s="48"/>
      <c r="V65" s="40">
        <f t="shared" si="4"/>
        <v>0</v>
      </c>
      <c r="W65" s="40" t="e">
        <f>-PMT(Assumptions!F$25/12,Assumptions!F$24*12,$V$8)*$C65/100</f>
        <v>#NUM!</v>
      </c>
      <c r="X65" s="40" t="e">
        <f>W65*Assumptions!$F$24*12-V65</f>
        <v>#NUM!</v>
      </c>
      <c r="Y65" s="43"/>
      <c r="Z65" s="40">
        <f t="shared" si="5"/>
        <v>0</v>
      </c>
      <c r="AA65" s="50" t="e">
        <f>-PMT(Assumptions!G$25/12,Assumptions!G$24*12,$Z$8)*$C65/100</f>
        <v>#NUM!</v>
      </c>
      <c r="AB65" s="44" t="e">
        <f>AA65*Assumptions!$G$24*12-Z65</f>
        <v>#NUM!</v>
      </c>
      <c r="AD65" s="54">
        <f t="shared" si="6"/>
        <v>0</v>
      </c>
      <c r="AE65" s="54">
        <f t="shared" si="7"/>
        <v>0</v>
      </c>
      <c r="AF65" s="54">
        <f t="shared" si="8"/>
        <v>2190</v>
      </c>
      <c r="AG65" s="54">
        <f t="shared" si="9"/>
        <v>10950</v>
      </c>
      <c r="AH65" s="54">
        <f t="shared" si="10"/>
        <v>0</v>
      </c>
      <c r="AI65" s="54">
        <f t="shared" si="11"/>
        <v>0</v>
      </c>
    </row>
    <row r="66" spans="1:35" ht="15" x14ac:dyDescent="0.2">
      <c r="A66" s="56" t="s">
        <v>161</v>
      </c>
      <c r="B66" s="32"/>
      <c r="C66" s="56">
        <v>0.22700000000000001</v>
      </c>
      <c r="D66" s="56">
        <v>356.41</v>
      </c>
      <c r="E66" s="36"/>
      <c r="F66" s="40">
        <f t="shared" si="0"/>
        <v>0</v>
      </c>
      <c r="G66" s="40" t="e">
        <f>-PMT(Assumptions!B$25/12,Assumptions!B$24*12,F$8)*C66/100</f>
        <v>#NUM!</v>
      </c>
      <c r="H66" s="40" t="e">
        <f>G66*Assumptions!$B$24*12-F66</f>
        <v>#NUM!</v>
      </c>
      <c r="I66" s="48"/>
      <c r="J66" s="40">
        <f t="shared" si="1"/>
        <v>0</v>
      </c>
      <c r="K66" s="40" t="e">
        <f>-PMT(Assumptions!C$25/12,Assumptions!C$24*12,J$8)*C66/100</f>
        <v>#NUM!</v>
      </c>
      <c r="L66" s="40" t="e">
        <f>K66*Assumptions!$C$24*12-J66</f>
        <v>#NUM!</v>
      </c>
      <c r="M66" s="43"/>
      <c r="N66" s="40">
        <f t="shared" si="2"/>
        <v>2270</v>
      </c>
      <c r="O66" s="50">
        <f>-PMT(Assumptions!D$25/12,Assumptions!D$24*12,N$8)*C66/100</f>
        <v>24.076871959270079</v>
      </c>
      <c r="P66" s="44">
        <f>O66*Assumptions!$D$24*12-N66</f>
        <v>619.22463511240949</v>
      </c>
      <c r="Q66" s="48"/>
      <c r="R66" s="40">
        <f t="shared" si="3"/>
        <v>11350</v>
      </c>
      <c r="S66" s="40">
        <f>-PMT(Assumptions!E$25/12,Assumptions!E$24*12,$R$8)*$C66/100</f>
        <v>120.3843597963504</v>
      </c>
      <c r="T66" s="40">
        <f>S66*Assumptions!$E$24*12-R66</f>
        <v>3096.1231755620465</v>
      </c>
      <c r="U66" s="48"/>
      <c r="V66" s="40">
        <f t="shared" si="4"/>
        <v>0</v>
      </c>
      <c r="W66" s="40" t="e">
        <f>-PMT(Assumptions!F$25/12,Assumptions!F$24*12,$V$8)*$C66/100</f>
        <v>#NUM!</v>
      </c>
      <c r="X66" s="40" t="e">
        <f>W66*Assumptions!$F$24*12-V66</f>
        <v>#NUM!</v>
      </c>
      <c r="Y66" s="43"/>
      <c r="Z66" s="40">
        <f t="shared" si="5"/>
        <v>0</v>
      </c>
      <c r="AA66" s="50" t="e">
        <f>-PMT(Assumptions!G$25/12,Assumptions!G$24*12,$Z$8)*$C66/100</f>
        <v>#NUM!</v>
      </c>
      <c r="AB66" s="44" t="e">
        <f>AA66*Assumptions!$G$24*12-Z66</f>
        <v>#NUM!</v>
      </c>
      <c r="AD66" s="54">
        <f t="shared" si="6"/>
        <v>0</v>
      </c>
      <c r="AE66" s="54">
        <f t="shared" si="7"/>
        <v>0</v>
      </c>
      <c r="AF66" s="54">
        <f t="shared" si="8"/>
        <v>2270</v>
      </c>
      <c r="AG66" s="54">
        <f t="shared" si="9"/>
        <v>11350</v>
      </c>
      <c r="AH66" s="54">
        <f t="shared" si="10"/>
        <v>0</v>
      </c>
      <c r="AI66" s="54">
        <f t="shared" si="11"/>
        <v>0</v>
      </c>
    </row>
    <row r="67" spans="1:35" ht="15" x14ac:dyDescent="0.2">
      <c r="A67" s="56" t="s">
        <v>162</v>
      </c>
      <c r="B67" s="32"/>
      <c r="C67" s="56">
        <v>0.20200000000000001</v>
      </c>
      <c r="D67" s="56">
        <v>317.16000000000003</v>
      </c>
      <c r="E67" s="36"/>
      <c r="F67" s="40">
        <f t="shared" si="0"/>
        <v>0</v>
      </c>
      <c r="G67" s="40" t="e">
        <f>-PMT(Assumptions!B$25/12,Assumptions!B$24*12,F$8)*C67/100</f>
        <v>#NUM!</v>
      </c>
      <c r="H67" s="40" t="e">
        <f>G67*Assumptions!$B$24*12-F67</f>
        <v>#NUM!</v>
      </c>
      <c r="I67" s="48"/>
      <c r="J67" s="40">
        <f t="shared" si="1"/>
        <v>0</v>
      </c>
      <c r="K67" s="40" t="e">
        <f>-PMT(Assumptions!C$25/12,Assumptions!C$24*12,J$8)*C67/100</f>
        <v>#NUM!</v>
      </c>
      <c r="L67" s="40" t="e">
        <f>K67*Assumptions!$C$24*12-J67</f>
        <v>#NUM!</v>
      </c>
      <c r="M67" s="43"/>
      <c r="N67" s="40">
        <f t="shared" si="2"/>
        <v>2020</v>
      </c>
      <c r="O67" s="50">
        <f>-PMT(Assumptions!D$25/12,Assumptions!D$24*12,N$8)*C67/100</f>
        <v>21.425234078293197</v>
      </c>
      <c r="P67" s="44">
        <f>O67*Assumptions!$D$24*12-N67</f>
        <v>551.028089395184</v>
      </c>
      <c r="Q67" s="48"/>
      <c r="R67" s="40">
        <f t="shared" si="3"/>
        <v>10100.000000000002</v>
      </c>
      <c r="S67" s="40">
        <f>-PMT(Assumptions!E$25/12,Assumptions!E$24*12,$R$8)*$C67/100</f>
        <v>107.12617039146599</v>
      </c>
      <c r="T67" s="40">
        <f>S67*Assumptions!$E$24*12-R67</f>
        <v>2755.1404469759163</v>
      </c>
      <c r="U67" s="48"/>
      <c r="V67" s="40">
        <f t="shared" si="4"/>
        <v>0</v>
      </c>
      <c r="W67" s="40" t="e">
        <f>-PMT(Assumptions!F$25/12,Assumptions!F$24*12,$V$8)*$C67/100</f>
        <v>#NUM!</v>
      </c>
      <c r="X67" s="40" t="e">
        <f>W67*Assumptions!$F$24*12-V67</f>
        <v>#NUM!</v>
      </c>
      <c r="Y67" s="43"/>
      <c r="Z67" s="40">
        <f t="shared" si="5"/>
        <v>0</v>
      </c>
      <c r="AA67" s="50" t="e">
        <f>-PMT(Assumptions!G$25/12,Assumptions!G$24*12,$Z$8)*$C67/100</f>
        <v>#NUM!</v>
      </c>
      <c r="AB67" s="44" t="e">
        <f>AA67*Assumptions!$G$24*12-Z67</f>
        <v>#NUM!</v>
      </c>
      <c r="AD67" s="54">
        <f t="shared" si="6"/>
        <v>0</v>
      </c>
      <c r="AE67" s="54">
        <f t="shared" si="7"/>
        <v>0</v>
      </c>
      <c r="AF67" s="54">
        <f t="shared" si="8"/>
        <v>2020</v>
      </c>
      <c r="AG67" s="54">
        <f t="shared" si="9"/>
        <v>10100.000000000002</v>
      </c>
      <c r="AH67" s="54">
        <f t="shared" si="10"/>
        <v>0</v>
      </c>
      <c r="AI67" s="54">
        <f t="shared" si="11"/>
        <v>0</v>
      </c>
    </row>
    <row r="68" spans="1:35" ht="15" x14ac:dyDescent="0.2">
      <c r="A68" s="56" t="s">
        <v>163</v>
      </c>
      <c r="B68" s="32"/>
      <c r="C68" s="56">
        <v>0.20200000000000001</v>
      </c>
      <c r="D68" s="56">
        <v>317.16000000000003</v>
      </c>
      <c r="E68" s="36"/>
      <c r="F68" s="40">
        <f t="shared" si="0"/>
        <v>0</v>
      </c>
      <c r="G68" s="40" t="e">
        <f>-PMT(Assumptions!B$25/12,Assumptions!B$24*12,F$8)*C68/100</f>
        <v>#NUM!</v>
      </c>
      <c r="H68" s="40" t="e">
        <f>G68*Assumptions!$B$24*12-F68</f>
        <v>#NUM!</v>
      </c>
      <c r="I68" s="48"/>
      <c r="J68" s="40">
        <f t="shared" si="1"/>
        <v>0</v>
      </c>
      <c r="K68" s="40" t="e">
        <f>-PMT(Assumptions!C$25/12,Assumptions!C$24*12,J$8)*C68/100</f>
        <v>#NUM!</v>
      </c>
      <c r="L68" s="40" t="e">
        <f>K68*Assumptions!$C$24*12-J68</f>
        <v>#NUM!</v>
      </c>
      <c r="M68" s="43"/>
      <c r="N68" s="40">
        <f t="shared" si="2"/>
        <v>2020</v>
      </c>
      <c r="O68" s="50">
        <f>-PMT(Assumptions!D$25/12,Assumptions!D$24*12,N$8)*C68/100</f>
        <v>21.425234078293197</v>
      </c>
      <c r="P68" s="44">
        <f>O68*Assumptions!$D$24*12-N68</f>
        <v>551.028089395184</v>
      </c>
      <c r="Q68" s="48"/>
      <c r="R68" s="40">
        <f t="shared" si="3"/>
        <v>10100.000000000002</v>
      </c>
      <c r="S68" s="40">
        <f>-PMT(Assumptions!E$25/12,Assumptions!E$24*12,$R$8)*$C68/100</f>
        <v>107.12617039146599</v>
      </c>
      <c r="T68" s="40">
        <f>S68*Assumptions!$E$24*12-R68</f>
        <v>2755.1404469759163</v>
      </c>
      <c r="U68" s="48"/>
      <c r="V68" s="40">
        <f t="shared" si="4"/>
        <v>0</v>
      </c>
      <c r="W68" s="40" t="e">
        <f>-PMT(Assumptions!F$25/12,Assumptions!F$24*12,$V$8)*$C68/100</f>
        <v>#NUM!</v>
      </c>
      <c r="X68" s="40" t="e">
        <f>W68*Assumptions!$F$24*12-V68</f>
        <v>#NUM!</v>
      </c>
      <c r="Y68" s="43"/>
      <c r="Z68" s="40">
        <f t="shared" si="5"/>
        <v>0</v>
      </c>
      <c r="AA68" s="50" t="e">
        <f>-PMT(Assumptions!G$25/12,Assumptions!G$24*12,$Z$8)*$C68/100</f>
        <v>#NUM!</v>
      </c>
      <c r="AB68" s="44" t="e">
        <f>AA68*Assumptions!$G$24*12-Z68</f>
        <v>#NUM!</v>
      </c>
      <c r="AD68" s="54">
        <f t="shared" si="6"/>
        <v>0</v>
      </c>
      <c r="AE68" s="54">
        <f t="shared" si="7"/>
        <v>0</v>
      </c>
      <c r="AF68" s="54">
        <f t="shared" si="8"/>
        <v>2020</v>
      </c>
      <c r="AG68" s="54">
        <f t="shared" si="9"/>
        <v>10100.000000000002</v>
      </c>
      <c r="AH68" s="54">
        <f t="shared" si="10"/>
        <v>0</v>
      </c>
      <c r="AI68" s="54">
        <f t="shared" si="11"/>
        <v>0</v>
      </c>
    </row>
    <row r="69" spans="1:35" ht="15" x14ac:dyDescent="0.2">
      <c r="A69" s="56" t="s">
        <v>164</v>
      </c>
      <c r="B69" s="32"/>
      <c r="C69" s="56">
        <v>0.14699999999999999</v>
      </c>
      <c r="D69" s="56">
        <v>230.81</v>
      </c>
      <c r="E69" s="36"/>
      <c r="F69" s="40">
        <f t="shared" si="0"/>
        <v>0</v>
      </c>
      <c r="G69" s="40" t="e">
        <f>-PMT(Assumptions!B$25/12,Assumptions!B$24*12,F$8)*C69/100</f>
        <v>#NUM!</v>
      </c>
      <c r="H69" s="40" t="e">
        <f>G69*Assumptions!$B$24*12-F69</f>
        <v>#NUM!</v>
      </c>
      <c r="I69" s="48"/>
      <c r="J69" s="40">
        <f t="shared" si="1"/>
        <v>0</v>
      </c>
      <c r="K69" s="40" t="e">
        <f>-PMT(Assumptions!C$25/12,Assumptions!C$24*12,J$8)*C69/100</f>
        <v>#NUM!</v>
      </c>
      <c r="L69" s="40" t="e">
        <f>K69*Assumptions!$C$24*12-J69</f>
        <v>#NUM!</v>
      </c>
      <c r="M69" s="43"/>
      <c r="N69" s="40">
        <f t="shared" si="2"/>
        <v>1470</v>
      </c>
      <c r="O69" s="50">
        <f>-PMT(Assumptions!D$25/12,Assumptions!D$24*12,N$8)*C69/100</f>
        <v>15.591630740144058</v>
      </c>
      <c r="P69" s="44">
        <f>O69*Assumptions!$D$24*12-N69</f>
        <v>400.99568881728692</v>
      </c>
      <c r="Q69" s="48"/>
      <c r="R69" s="40">
        <f t="shared" si="3"/>
        <v>7350</v>
      </c>
      <c r="S69" s="40">
        <f>-PMT(Assumptions!E$25/12,Assumptions!E$24*12,$R$8)*$C69/100</f>
        <v>77.958153700720288</v>
      </c>
      <c r="T69" s="40">
        <f>S69*Assumptions!$E$24*12-R69</f>
        <v>2004.978444086435</v>
      </c>
      <c r="U69" s="48"/>
      <c r="V69" s="40">
        <f t="shared" si="4"/>
        <v>0</v>
      </c>
      <c r="W69" s="40" t="e">
        <f>-PMT(Assumptions!F$25/12,Assumptions!F$24*12,$V$8)*$C69/100</f>
        <v>#NUM!</v>
      </c>
      <c r="X69" s="40" t="e">
        <f>W69*Assumptions!$F$24*12-V69</f>
        <v>#NUM!</v>
      </c>
      <c r="Y69" s="43"/>
      <c r="Z69" s="40">
        <f t="shared" si="5"/>
        <v>0</v>
      </c>
      <c r="AA69" s="50" t="e">
        <f>-PMT(Assumptions!G$25/12,Assumptions!G$24*12,$Z$8)*$C69/100</f>
        <v>#NUM!</v>
      </c>
      <c r="AB69" s="44" t="e">
        <f>AA69*Assumptions!$G$24*12-Z69</f>
        <v>#NUM!</v>
      </c>
      <c r="AD69" s="54">
        <f t="shared" si="6"/>
        <v>0</v>
      </c>
      <c r="AE69" s="54">
        <f t="shared" si="7"/>
        <v>0</v>
      </c>
      <c r="AF69" s="54">
        <f t="shared" si="8"/>
        <v>1470</v>
      </c>
      <c r="AG69" s="54">
        <f t="shared" si="9"/>
        <v>7350</v>
      </c>
      <c r="AH69" s="54">
        <f t="shared" si="10"/>
        <v>0</v>
      </c>
      <c r="AI69" s="54">
        <f t="shared" si="11"/>
        <v>0</v>
      </c>
    </row>
    <row r="70" spans="1:35" ht="15" x14ac:dyDescent="0.2">
      <c r="A70" s="56" t="s">
        <v>165</v>
      </c>
      <c r="B70" s="32"/>
      <c r="C70" s="56">
        <v>0.156</v>
      </c>
      <c r="D70" s="56">
        <v>244.94</v>
      </c>
      <c r="E70" s="36"/>
      <c r="F70" s="40">
        <f t="shared" si="0"/>
        <v>0</v>
      </c>
      <c r="G70" s="40" t="e">
        <f>-PMT(Assumptions!B$25/12,Assumptions!B$24*12,F$8)*C70/100</f>
        <v>#NUM!</v>
      </c>
      <c r="H70" s="40" t="e">
        <f>G70*Assumptions!$B$24*12-F70</f>
        <v>#NUM!</v>
      </c>
      <c r="I70" s="48"/>
      <c r="J70" s="40">
        <f t="shared" si="1"/>
        <v>0</v>
      </c>
      <c r="K70" s="40" t="e">
        <f>-PMT(Assumptions!C$25/12,Assumptions!C$24*12,J$8)*C70/100</f>
        <v>#NUM!</v>
      </c>
      <c r="L70" s="40" t="e">
        <f>K70*Assumptions!$C$24*12-J70</f>
        <v>#NUM!</v>
      </c>
      <c r="M70" s="43"/>
      <c r="N70" s="40">
        <f t="shared" si="2"/>
        <v>1560</v>
      </c>
      <c r="O70" s="50">
        <f>-PMT(Assumptions!D$25/12,Assumptions!D$24*12,N$8)*C70/100</f>
        <v>16.546220377295736</v>
      </c>
      <c r="P70" s="44">
        <f>O70*Assumptions!$D$24*12-N70</f>
        <v>425.5464452754884</v>
      </c>
      <c r="Q70" s="48"/>
      <c r="R70" s="40">
        <f t="shared" si="3"/>
        <v>7800</v>
      </c>
      <c r="S70" s="40">
        <f>-PMT(Assumptions!E$25/12,Assumptions!E$24*12,$R$8)*$C70/100</f>
        <v>82.731101886478683</v>
      </c>
      <c r="T70" s="40">
        <f>S70*Assumptions!$E$24*12-R70</f>
        <v>2127.7322263774404</v>
      </c>
      <c r="U70" s="48"/>
      <c r="V70" s="40">
        <f t="shared" si="4"/>
        <v>0</v>
      </c>
      <c r="W70" s="40" t="e">
        <f>-PMT(Assumptions!F$25/12,Assumptions!F$24*12,$V$8)*$C70/100</f>
        <v>#NUM!</v>
      </c>
      <c r="X70" s="40" t="e">
        <f>W70*Assumptions!$F$24*12-V70</f>
        <v>#NUM!</v>
      </c>
      <c r="Y70" s="43"/>
      <c r="Z70" s="40">
        <f t="shared" si="5"/>
        <v>0</v>
      </c>
      <c r="AA70" s="50" t="e">
        <f>-PMT(Assumptions!G$25/12,Assumptions!G$24*12,$Z$8)*$C70/100</f>
        <v>#NUM!</v>
      </c>
      <c r="AB70" s="44" t="e">
        <f>AA70*Assumptions!$G$24*12-Z70</f>
        <v>#NUM!</v>
      </c>
      <c r="AD70" s="54">
        <f t="shared" si="6"/>
        <v>0</v>
      </c>
      <c r="AE70" s="54">
        <f t="shared" si="7"/>
        <v>0</v>
      </c>
      <c r="AF70" s="54">
        <f t="shared" si="8"/>
        <v>1560</v>
      </c>
      <c r="AG70" s="54">
        <f t="shared" si="9"/>
        <v>7800</v>
      </c>
      <c r="AH70" s="54">
        <f t="shared" si="10"/>
        <v>0</v>
      </c>
      <c r="AI70" s="54">
        <f t="shared" si="11"/>
        <v>0</v>
      </c>
    </row>
    <row r="71" spans="1:35" ht="15" x14ac:dyDescent="0.2">
      <c r="A71" s="56" t="s">
        <v>166</v>
      </c>
      <c r="B71" s="32"/>
      <c r="C71" s="56">
        <v>0.14699999999999999</v>
      </c>
      <c r="D71" s="56">
        <v>230.81</v>
      </c>
      <c r="E71" s="36"/>
      <c r="F71" s="40">
        <f t="shared" si="0"/>
        <v>0</v>
      </c>
      <c r="G71" s="40" t="e">
        <f>-PMT(Assumptions!B$25/12,Assumptions!B$24*12,F$8)*C71/100</f>
        <v>#NUM!</v>
      </c>
      <c r="H71" s="40" t="e">
        <f>G71*Assumptions!$B$24*12-F71</f>
        <v>#NUM!</v>
      </c>
      <c r="I71" s="48"/>
      <c r="J71" s="40">
        <f t="shared" si="1"/>
        <v>0</v>
      </c>
      <c r="K71" s="40" t="e">
        <f>-PMT(Assumptions!C$25/12,Assumptions!C$24*12,J$8)*C71/100</f>
        <v>#NUM!</v>
      </c>
      <c r="L71" s="40" t="e">
        <f>K71*Assumptions!$C$24*12-J71</f>
        <v>#NUM!</v>
      </c>
      <c r="M71" s="43"/>
      <c r="N71" s="40">
        <f t="shared" si="2"/>
        <v>1470</v>
      </c>
      <c r="O71" s="50">
        <f>-PMT(Assumptions!D$25/12,Assumptions!D$24*12,N$8)*C71/100</f>
        <v>15.591630740144058</v>
      </c>
      <c r="P71" s="44">
        <f>O71*Assumptions!$D$24*12-N71</f>
        <v>400.99568881728692</v>
      </c>
      <c r="Q71" s="48"/>
      <c r="R71" s="40">
        <f t="shared" si="3"/>
        <v>7350</v>
      </c>
      <c r="S71" s="40">
        <f>-PMT(Assumptions!E$25/12,Assumptions!E$24*12,$R$8)*$C71/100</f>
        <v>77.958153700720288</v>
      </c>
      <c r="T71" s="40">
        <f>S71*Assumptions!$E$24*12-R71</f>
        <v>2004.978444086435</v>
      </c>
      <c r="U71" s="48"/>
      <c r="V71" s="40">
        <f t="shared" si="4"/>
        <v>0</v>
      </c>
      <c r="W71" s="40" t="e">
        <f>-PMT(Assumptions!F$25/12,Assumptions!F$24*12,$V$8)*$C71/100</f>
        <v>#NUM!</v>
      </c>
      <c r="X71" s="40" t="e">
        <f>W71*Assumptions!$F$24*12-V71</f>
        <v>#NUM!</v>
      </c>
      <c r="Y71" s="43"/>
      <c r="Z71" s="40">
        <f t="shared" si="5"/>
        <v>0</v>
      </c>
      <c r="AA71" s="50" t="e">
        <f>-PMT(Assumptions!G$25/12,Assumptions!G$24*12,$Z$8)*$C71/100</f>
        <v>#NUM!</v>
      </c>
      <c r="AB71" s="44" t="e">
        <f>AA71*Assumptions!$G$24*12-Z71</f>
        <v>#NUM!</v>
      </c>
      <c r="AD71" s="54">
        <f t="shared" si="6"/>
        <v>0</v>
      </c>
      <c r="AE71" s="54">
        <f t="shared" si="7"/>
        <v>0</v>
      </c>
      <c r="AF71" s="54">
        <f t="shared" si="8"/>
        <v>1470</v>
      </c>
      <c r="AG71" s="54">
        <f t="shared" si="9"/>
        <v>7350</v>
      </c>
      <c r="AH71" s="54">
        <f t="shared" si="10"/>
        <v>0</v>
      </c>
      <c r="AI71" s="54">
        <f t="shared" si="11"/>
        <v>0</v>
      </c>
    </row>
    <row r="72" spans="1:35" ht="15" x14ac:dyDescent="0.2">
      <c r="A72" s="56" t="s">
        <v>167</v>
      </c>
      <c r="B72" s="32"/>
      <c r="C72" s="56">
        <v>0.156</v>
      </c>
      <c r="D72" s="56">
        <v>244.94</v>
      </c>
      <c r="E72" s="36"/>
      <c r="F72" s="40">
        <f t="shared" si="0"/>
        <v>0</v>
      </c>
      <c r="G72" s="40" t="e">
        <f>-PMT(Assumptions!B$25/12,Assumptions!B$24*12,F$8)*C72/100</f>
        <v>#NUM!</v>
      </c>
      <c r="H72" s="40" t="e">
        <f>G72*Assumptions!$B$24*12-F72</f>
        <v>#NUM!</v>
      </c>
      <c r="I72" s="48"/>
      <c r="J72" s="40">
        <f t="shared" si="1"/>
        <v>0</v>
      </c>
      <c r="K72" s="40" t="e">
        <f>-PMT(Assumptions!C$25/12,Assumptions!C$24*12,J$8)*C72/100</f>
        <v>#NUM!</v>
      </c>
      <c r="L72" s="40" t="e">
        <f>K72*Assumptions!$C$24*12-J72</f>
        <v>#NUM!</v>
      </c>
      <c r="M72" s="43"/>
      <c r="N72" s="40">
        <f t="shared" si="2"/>
        <v>1560</v>
      </c>
      <c r="O72" s="50">
        <f>-PMT(Assumptions!D$25/12,Assumptions!D$24*12,N$8)*C72/100</f>
        <v>16.546220377295736</v>
      </c>
      <c r="P72" s="44">
        <f>O72*Assumptions!$D$24*12-N72</f>
        <v>425.5464452754884</v>
      </c>
      <c r="Q72" s="48"/>
      <c r="R72" s="40">
        <f t="shared" si="3"/>
        <v>7800</v>
      </c>
      <c r="S72" s="40">
        <f>-PMT(Assumptions!E$25/12,Assumptions!E$24*12,$R$8)*$C72/100</f>
        <v>82.731101886478683</v>
      </c>
      <c r="T72" s="40">
        <f>S72*Assumptions!$E$24*12-R72</f>
        <v>2127.7322263774404</v>
      </c>
      <c r="U72" s="48"/>
      <c r="V72" s="40">
        <f t="shared" si="4"/>
        <v>0</v>
      </c>
      <c r="W72" s="40" t="e">
        <f>-PMT(Assumptions!F$25/12,Assumptions!F$24*12,$V$8)*$C72/100</f>
        <v>#NUM!</v>
      </c>
      <c r="X72" s="40" t="e">
        <f>W72*Assumptions!$F$24*12-V72</f>
        <v>#NUM!</v>
      </c>
      <c r="Y72" s="43"/>
      <c r="Z72" s="40">
        <f t="shared" si="5"/>
        <v>0</v>
      </c>
      <c r="AA72" s="50" t="e">
        <f>-PMT(Assumptions!G$25/12,Assumptions!G$24*12,$Z$8)*$C72/100</f>
        <v>#NUM!</v>
      </c>
      <c r="AB72" s="44" t="e">
        <f>AA72*Assumptions!$G$24*12-Z72</f>
        <v>#NUM!</v>
      </c>
      <c r="AD72" s="54">
        <f t="shared" si="6"/>
        <v>0</v>
      </c>
      <c r="AE72" s="54">
        <f t="shared" si="7"/>
        <v>0</v>
      </c>
      <c r="AF72" s="54">
        <f t="shared" si="8"/>
        <v>1560</v>
      </c>
      <c r="AG72" s="54">
        <f t="shared" si="9"/>
        <v>7800</v>
      </c>
      <c r="AH72" s="54">
        <f t="shared" si="10"/>
        <v>0</v>
      </c>
      <c r="AI72" s="54">
        <f t="shared" si="11"/>
        <v>0</v>
      </c>
    </row>
    <row r="73" spans="1:35" ht="15" x14ac:dyDescent="0.2">
      <c r="A73" s="56" t="s">
        <v>168</v>
      </c>
      <c r="B73" s="32"/>
      <c r="C73" s="56">
        <v>0.219</v>
      </c>
      <c r="D73" s="56">
        <v>343.85</v>
      </c>
      <c r="E73" s="36"/>
      <c r="F73" s="40">
        <f t="shared" si="0"/>
        <v>0</v>
      </c>
      <c r="G73" s="40" t="e">
        <f>-PMT(Assumptions!B$25/12,Assumptions!B$24*12,F$8)*C73/100</f>
        <v>#NUM!</v>
      </c>
      <c r="H73" s="40" t="e">
        <f>G73*Assumptions!$B$24*12-F73</f>
        <v>#NUM!</v>
      </c>
      <c r="I73" s="48"/>
      <c r="J73" s="40">
        <f t="shared" si="1"/>
        <v>0</v>
      </c>
      <c r="K73" s="40" t="e">
        <f>-PMT(Assumptions!C$25/12,Assumptions!C$24*12,J$8)*C73/100</f>
        <v>#NUM!</v>
      </c>
      <c r="L73" s="40" t="e">
        <f>K73*Assumptions!$C$24*12-J73</f>
        <v>#NUM!</v>
      </c>
      <c r="M73" s="43"/>
      <c r="N73" s="40">
        <f t="shared" si="2"/>
        <v>2190</v>
      </c>
      <c r="O73" s="50">
        <f>-PMT(Assumptions!D$25/12,Assumptions!D$24*12,N$8)*C73/100</f>
        <v>23.228347837357475</v>
      </c>
      <c r="P73" s="44">
        <f>O73*Assumptions!$D$24*12-N73</f>
        <v>597.40174048289691</v>
      </c>
      <c r="Q73" s="48"/>
      <c r="R73" s="40">
        <f t="shared" si="3"/>
        <v>10950</v>
      </c>
      <c r="S73" s="40">
        <f>-PMT(Assumptions!E$25/12,Assumptions!E$24*12,$R$8)*$C73/100</f>
        <v>116.14173918678738</v>
      </c>
      <c r="T73" s="40">
        <f>S73*Assumptions!$E$24*12-R73</f>
        <v>2987.008702414485</v>
      </c>
      <c r="U73" s="48"/>
      <c r="V73" s="40">
        <f t="shared" si="4"/>
        <v>0</v>
      </c>
      <c r="W73" s="40" t="e">
        <f>-PMT(Assumptions!F$25/12,Assumptions!F$24*12,$V$8)*$C73/100</f>
        <v>#NUM!</v>
      </c>
      <c r="X73" s="40" t="e">
        <f>W73*Assumptions!$F$24*12-V73</f>
        <v>#NUM!</v>
      </c>
      <c r="Y73" s="43"/>
      <c r="Z73" s="40">
        <f t="shared" si="5"/>
        <v>0</v>
      </c>
      <c r="AA73" s="50" t="e">
        <f>-PMT(Assumptions!G$25/12,Assumptions!G$24*12,$Z$8)*$C73/100</f>
        <v>#NUM!</v>
      </c>
      <c r="AB73" s="44" t="e">
        <f>AA73*Assumptions!$G$24*12-Z73</f>
        <v>#NUM!</v>
      </c>
      <c r="AD73" s="54">
        <f t="shared" si="6"/>
        <v>0</v>
      </c>
      <c r="AE73" s="54">
        <f t="shared" si="7"/>
        <v>0</v>
      </c>
      <c r="AF73" s="54">
        <f t="shared" si="8"/>
        <v>2190</v>
      </c>
      <c r="AG73" s="54">
        <f t="shared" si="9"/>
        <v>10950</v>
      </c>
      <c r="AH73" s="54">
        <f t="shared" si="10"/>
        <v>0</v>
      </c>
      <c r="AI73" s="54">
        <f t="shared" si="11"/>
        <v>0</v>
      </c>
    </row>
    <row r="74" spans="1:35" ht="15" x14ac:dyDescent="0.2">
      <c r="A74" s="56" t="s">
        <v>169</v>
      </c>
      <c r="B74" s="32"/>
      <c r="C74" s="56">
        <v>0.22700000000000001</v>
      </c>
      <c r="D74" s="56">
        <v>356.41</v>
      </c>
      <c r="E74" s="36"/>
      <c r="F74" s="40">
        <f t="shared" si="0"/>
        <v>0</v>
      </c>
      <c r="G74" s="40" t="e">
        <f>-PMT(Assumptions!B$25/12,Assumptions!B$24*12,F$8)*C74/100</f>
        <v>#NUM!</v>
      </c>
      <c r="H74" s="40" t="e">
        <f>G74*Assumptions!$B$24*12-F74</f>
        <v>#NUM!</v>
      </c>
      <c r="I74" s="48"/>
      <c r="J74" s="40">
        <f t="shared" si="1"/>
        <v>0</v>
      </c>
      <c r="K74" s="40" t="e">
        <f>-PMT(Assumptions!C$25/12,Assumptions!C$24*12,J$8)*C74/100</f>
        <v>#NUM!</v>
      </c>
      <c r="L74" s="40" t="e">
        <f>K74*Assumptions!$C$24*12-J74</f>
        <v>#NUM!</v>
      </c>
      <c r="M74" s="43"/>
      <c r="N74" s="40">
        <f t="shared" si="2"/>
        <v>2270</v>
      </c>
      <c r="O74" s="50">
        <f>-PMT(Assumptions!D$25/12,Assumptions!D$24*12,N$8)*C74/100</f>
        <v>24.076871959270079</v>
      </c>
      <c r="P74" s="44">
        <f>O74*Assumptions!$D$24*12-N74</f>
        <v>619.22463511240949</v>
      </c>
      <c r="Q74" s="48"/>
      <c r="R74" s="40">
        <f t="shared" si="3"/>
        <v>11350</v>
      </c>
      <c r="S74" s="40">
        <f>-PMT(Assumptions!E$25/12,Assumptions!E$24*12,$R$8)*$C74/100</f>
        <v>120.3843597963504</v>
      </c>
      <c r="T74" s="40">
        <f>S74*Assumptions!$E$24*12-R74</f>
        <v>3096.1231755620465</v>
      </c>
      <c r="U74" s="48"/>
      <c r="V74" s="40">
        <f t="shared" si="4"/>
        <v>0</v>
      </c>
      <c r="W74" s="40" t="e">
        <f>-PMT(Assumptions!F$25/12,Assumptions!F$24*12,$V$8)*$C74/100</f>
        <v>#NUM!</v>
      </c>
      <c r="X74" s="40" t="e">
        <f>W74*Assumptions!$F$24*12-V74</f>
        <v>#NUM!</v>
      </c>
      <c r="Y74" s="43"/>
      <c r="Z74" s="40">
        <f t="shared" si="5"/>
        <v>0</v>
      </c>
      <c r="AA74" s="50" t="e">
        <f>-PMT(Assumptions!G$25/12,Assumptions!G$24*12,$Z$8)*$C74/100</f>
        <v>#NUM!</v>
      </c>
      <c r="AB74" s="44" t="e">
        <f>AA74*Assumptions!$G$24*12-Z74</f>
        <v>#NUM!</v>
      </c>
      <c r="AD74" s="54">
        <f t="shared" si="6"/>
        <v>0</v>
      </c>
      <c r="AE74" s="54">
        <f t="shared" si="7"/>
        <v>0</v>
      </c>
      <c r="AF74" s="54">
        <f t="shared" si="8"/>
        <v>2270</v>
      </c>
      <c r="AG74" s="54">
        <f t="shared" si="9"/>
        <v>11350</v>
      </c>
      <c r="AH74" s="54">
        <f t="shared" si="10"/>
        <v>0</v>
      </c>
      <c r="AI74" s="54">
        <f t="shared" si="11"/>
        <v>0</v>
      </c>
    </row>
    <row r="75" spans="1:35" ht="15" x14ac:dyDescent="0.2">
      <c r="A75" s="56" t="s">
        <v>170</v>
      </c>
      <c r="B75" s="32"/>
      <c r="C75" s="56">
        <v>0.20599999999999999</v>
      </c>
      <c r="D75" s="56">
        <v>323.44</v>
      </c>
      <c r="E75" s="36"/>
      <c r="F75" s="40">
        <f t="shared" si="0"/>
        <v>0</v>
      </c>
      <c r="G75" s="40" t="e">
        <f>-PMT(Assumptions!B$25/12,Assumptions!B$24*12,F$8)*C75/100</f>
        <v>#NUM!</v>
      </c>
      <c r="H75" s="40" t="e">
        <f>G75*Assumptions!$B$24*12-F75</f>
        <v>#NUM!</v>
      </c>
      <c r="I75" s="48"/>
      <c r="J75" s="40">
        <f t="shared" si="1"/>
        <v>0</v>
      </c>
      <c r="K75" s="40" t="e">
        <f>-PMT(Assumptions!C$25/12,Assumptions!C$24*12,J$8)*C75/100</f>
        <v>#NUM!</v>
      </c>
      <c r="L75" s="40" t="e">
        <f>K75*Assumptions!$C$24*12-J75</f>
        <v>#NUM!</v>
      </c>
      <c r="M75" s="43"/>
      <c r="N75" s="40">
        <f t="shared" si="2"/>
        <v>2060</v>
      </c>
      <c r="O75" s="50">
        <f>-PMT(Assumptions!D$25/12,Assumptions!D$24*12,N$8)*C75/100</f>
        <v>21.849496139249496</v>
      </c>
      <c r="P75" s="44">
        <f>O75*Assumptions!$D$24*12-N75</f>
        <v>561.9395367099396</v>
      </c>
      <c r="Q75" s="48"/>
      <c r="R75" s="40">
        <f t="shared" si="3"/>
        <v>10300</v>
      </c>
      <c r="S75" s="40">
        <f>-PMT(Assumptions!E$25/12,Assumptions!E$24*12,$R$8)*$C75/100</f>
        <v>109.24748069624748</v>
      </c>
      <c r="T75" s="40">
        <f>S75*Assumptions!$E$24*12-R75</f>
        <v>2809.6976835496971</v>
      </c>
      <c r="U75" s="48"/>
      <c r="V75" s="40">
        <f t="shared" si="4"/>
        <v>0</v>
      </c>
      <c r="W75" s="40" t="e">
        <f>-PMT(Assumptions!F$25/12,Assumptions!F$24*12,$V$8)*$C75/100</f>
        <v>#NUM!</v>
      </c>
      <c r="X75" s="40" t="e">
        <f>W75*Assumptions!$F$24*12-V75</f>
        <v>#NUM!</v>
      </c>
      <c r="Y75" s="43"/>
      <c r="Z75" s="40">
        <f t="shared" si="5"/>
        <v>0</v>
      </c>
      <c r="AA75" s="50" t="e">
        <f>-PMT(Assumptions!G$25/12,Assumptions!G$24*12,$Z$8)*$C75/100</f>
        <v>#NUM!</v>
      </c>
      <c r="AB75" s="44" t="e">
        <f>AA75*Assumptions!$G$24*12-Z75</f>
        <v>#NUM!</v>
      </c>
      <c r="AD75" s="54">
        <f t="shared" si="6"/>
        <v>0</v>
      </c>
      <c r="AE75" s="54">
        <f t="shared" si="7"/>
        <v>0</v>
      </c>
      <c r="AF75" s="54">
        <f t="shared" si="8"/>
        <v>2060</v>
      </c>
      <c r="AG75" s="54">
        <f t="shared" si="9"/>
        <v>10300</v>
      </c>
      <c r="AH75" s="54">
        <f t="shared" si="10"/>
        <v>0</v>
      </c>
      <c r="AI75" s="54">
        <f t="shared" si="11"/>
        <v>0</v>
      </c>
    </row>
    <row r="76" spans="1:35" ht="15" x14ac:dyDescent="0.2">
      <c r="A76" s="56" t="s">
        <v>171</v>
      </c>
      <c r="B76" s="32"/>
      <c r="C76" s="56">
        <v>0.20599999999999999</v>
      </c>
      <c r="D76" s="56">
        <v>323.44</v>
      </c>
      <c r="E76" s="36"/>
      <c r="F76" s="40">
        <f t="shared" si="0"/>
        <v>0</v>
      </c>
      <c r="G76" s="40" t="e">
        <f>-PMT(Assumptions!B$25/12,Assumptions!B$24*12,F$8)*C76/100</f>
        <v>#NUM!</v>
      </c>
      <c r="H76" s="40" t="e">
        <f>G76*Assumptions!$B$24*12-F76</f>
        <v>#NUM!</v>
      </c>
      <c r="I76" s="48"/>
      <c r="J76" s="40">
        <f t="shared" si="1"/>
        <v>0</v>
      </c>
      <c r="K76" s="40" t="e">
        <f>-PMT(Assumptions!C$25/12,Assumptions!C$24*12,J$8)*C76/100</f>
        <v>#NUM!</v>
      </c>
      <c r="L76" s="40" t="e">
        <f>K76*Assumptions!$C$24*12-J76</f>
        <v>#NUM!</v>
      </c>
      <c r="M76" s="43"/>
      <c r="N76" s="40">
        <f t="shared" si="2"/>
        <v>2060</v>
      </c>
      <c r="O76" s="50">
        <f>-PMT(Assumptions!D$25/12,Assumptions!D$24*12,N$8)*C76/100</f>
        <v>21.849496139249496</v>
      </c>
      <c r="P76" s="44">
        <f>O76*Assumptions!$D$24*12-N76</f>
        <v>561.9395367099396</v>
      </c>
      <c r="Q76" s="48"/>
      <c r="R76" s="40">
        <f t="shared" si="3"/>
        <v>10300</v>
      </c>
      <c r="S76" s="40">
        <f>-PMT(Assumptions!E$25/12,Assumptions!E$24*12,$R$8)*$C76/100</f>
        <v>109.24748069624748</v>
      </c>
      <c r="T76" s="40">
        <f>S76*Assumptions!$E$24*12-R76</f>
        <v>2809.6976835496971</v>
      </c>
      <c r="U76" s="48"/>
      <c r="V76" s="40">
        <f t="shared" si="4"/>
        <v>0</v>
      </c>
      <c r="W76" s="40" t="e">
        <f>-PMT(Assumptions!F$25/12,Assumptions!F$24*12,$V$8)*$C76/100</f>
        <v>#NUM!</v>
      </c>
      <c r="X76" s="40" t="e">
        <f>W76*Assumptions!$F$24*12-V76</f>
        <v>#NUM!</v>
      </c>
      <c r="Y76" s="43"/>
      <c r="Z76" s="40">
        <f t="shared" si="5"/>
        <v>0</v>
      </c>
      <c r="AA76" s="50" t="e">
        <f>-PMT(Assumptions!G$25/12,Assumptions!G$24*12,$Z$8)*$C76/100</f>
        <v>#NUM!</v>
      </c>
      <c r="AB76" s="44" t="e">
        <f>AA76*Assumptions!$G$24*12-Z76</f>
        <v>#NUM!</v>
      </c>
      <c r="AD76" s="54">
        <f t="shared" si="6"/>
        <v>0</v>
      </c>
      <c r="AE76" s="54">
        <f t="shared" si="7"/>
        <v>0</v>
      </c>
      <c r="AF76" s="54">
        <f t="shared" si="8"/>
        <v>2060</v>
      </c>
      <c r="AG76" s="54">
        <f t="shared" si="9"/>
        <v>10300</v>
      </c>
      <c r="AH76" s="54">
        <f t="shared" si="10"/>
        <v>0</v>
      </c>
      <c r="AI76" s="54">
        <f t="shared" si="11"/>
        <v>0</v>
      </c>
    </row>
    <row r="77" spans="1:35" ht="15" x14ac:dyDescent="0.2">
      <c r="A77" s="56" t="s">
        <v>172</v>
      </c>
      <c r="B77" s="32"/>
      <c r="C77" s="56">
        <v>0.28399999999999997</v>
      </c>
      <c r="D77" s="56">
        <v>445.91</v>
      </c>
      <c r="E77" s="36"/>
      <c r="F77" s="40">
        <f t="shared" si="0"/>
        <v>0</v>
      </c>
      <c r="G77" s="40" t="e">
        <f>-PMT(Assumptions!B$25/12,Assumptions!B$24*12,F$8)*C77/100</f>
        <v>#NUM!</v>
      </c>
      <c r="H77" s="40" t="e">
        <f>G77*Assumptions!$B$24*12-F77</f>
        <v>#NUM!</v>
      </c>
      <c r="I77" s="48"/>
      <c r="J77" s="40">
        <f t="shared" si="1"/>
        <v>0</v>
      </c>
      <c r="K77" s="40" t="e">
        <f>-PMT(Assumptions!C$25/12,Assumptions!C$24*12,J$8)*C77/100</f>
        <v>#NUM!</v>
      </c>
      <c r="L77" s="40" t="e">
        <f>K77*Assumptions!$C$24*12-J77</f>
        <v>#NUM!</v>
      </c>
      <c r="M77" s="43"/>
      <c r="N77" s="40">
        <f t="shared" si="2"/>
        <v>2840</v>
      </c>
      <c r="O77" s="50">
        <f>-PMT(Assumptions!D$25/12,Assumptions!D$24*12,N$8)*C77/100</f>
        <v>30.122606327897362</v>
      </c>
      <c r="P77" s="44">
        <f>O77*Assumptions!$D$24*12-N77</f>
        <v>774.71275934768346</v>
      </c>
      <c r="Q77" s="48"/>
      <c r="R77" s="40">
        <f t="shared" si="3"/>
        <v>14199.999999999998</v>
      </c>
      <c r="S77" s="40">
        <f>-PMT(Assumptions!E$25/12,Assumptions!E$24*12,$R$8)*$C77/100</f>
        <v>150.61303163948682</v>
      </c>
      <c r="T77" s="40">
        <f>S77*Assumptions!$E$24*12-R77</f>
        <v>3873.5637967384191</v>
      </c>
      <c r="U77" s="48"/>
      <c r="V77" s="40">
        <f t="shared" si="4"/>
        <v>0</v>
      </c>
      <c r="W77" s="40" t="e">
        <f>-PMT(Assumptions!F$25/12,Assumptions!F$24*12,$V$8)*$C77/100</f>
        <v>#NUM!</v>
      </c>
      <c r="X77" s="40" t="e">
        <f>W77*Assumptions!$F$24*12-V77</f>
        <v>#NUM!</v>
      </c>
      <c r="Y77" s="43"/>
      <c r="Z77" s="40">
        <f t="shared" si="5"/>
        <v>0</v>
      </c>
      <c r="AA77" s="50" t="e">
        <f>-PMT(Assumptions!G$25/12,Assumptions!G$24*12,$Z$8)*$C77/100</f>
        <v>#NUM!</v>
      </c>
      <c r="AB77" s="44" t="e">
        <f>AA77*Assumptions!$G$24*12-Z77</f>
        <v>#NUM!</v>
      </c>
      <c r="AD77" s="54">
        <f t="shared" si="6"/>
        <v>0</v>
      </c>
      <c r="AE77" s="54">
        <f t="shared" si="7"/>
        <v>0</v>
      </c>
      <c r="AF77" s="54">
        <f t="shared" si="8"/>
        <v>2840</v>
      </c>
      <c r="AG77" s="54">
        <f t="shared" si="9"/>
        <v>14199.999999999998</v>
      </c>
      <c r="AH77" s="54">
        <f t="shared" si="10"/>
        <v>0</v>
      </c>
      <c r="AI77" s="54">
        <f t="shared" si="11"/>
        <v>0</v>
      </c>
    </row>
    <row r="78" spans="1:35" ht="15" x14ac:dyDescent="0.2">
      <c r="A78" s="56" t="s">
        <v>173</v>
      </c>
      <c r="B78" s="32"/>
      <c r="C78" s="56">
        <v>0.28399999999999997</v>
      </c>
      <c r="D78" s="56">
        <v>445.91</v>
      </c>
      <c r="E78" s="36"/>
      <c r="F78" s="40">
        <f t="shared" si="0"/>
        <v>0</v>
      </c>
      <c r="G78" s="40" t="e">
        <f>-PMT(Assumptions!B$25/12,Assumptions!B$24*12,F$8)*C78/100</f>
        <v>#NUM!</v>
      </c>
      <c r="H78" s="40" t="e">
        <f>G78*Assumptions!$B$24*12-F78</f>
        <v>#NUM!</v>
      </c>
      <c r="I78" s="48"/>
      <c r="J78" s="40">
        <f t="shared" si="1"/>
        <v>0</v>
      </c>
      <c r="K78" s="40" t="e">
        <f>-PMT(Assumptions!C$25/12,Assumptions!C$24*12,J$8)*C78/100</f>
        <v>#NUM!</v>
      </c>
      <c r="L78" s="40" t="e">
        <f>K78*Assumptions!$C$24*12-J78</f>
        <v>#NUM!</v>
      </c>
      <c r="M78" s="43"/>
      <c r="N78" s="40">
        <f t="shared" si="2"/>
        <v>2840</v>
      </c>
      <c r="O78" s="50">
        <f>-PMT(Assumptions!D$25/12,Assumptions!D$24*12,N$8)*C78/100</f>
        <v>30.122606327897362</v>
      </c>
      <c r="P78" s="44">
        <f>O78*Assumptions!$D$24*12-N78</f>
        <v>774.71275934768346</v>
      </c>
      <c r="Q78" s="48"/>
      <c r="R78" s="40">
        <f t="shared" si="3"/>
        <v>14199.999999999998</v>
      </c>
      <c r="S78" s="40">
        <f>-PMT(Assumptions!E$25/12,Assumptions!E$24*12,$R$8)*$C78/100</f>
        <v>150.61303163948682</v>
      </c>
      <c r="T78" s="40">
        <f>S78*Assumptions!$E$24*12-R78</f>
        <v>3873.5637967384191</v>
      </c>
      <c r="U78" s="48"/>
      <c r="V78" s="40">
        <f t="shared" si="4"/>
        <v>0</v>
      </c>
      <c r="W78" s="40" t="e">
        <f>-PMT(Assumptions!F$25/12,Assumptions!F$24*12,$V$8)*$C78/100</f>
        <v>#NUM!</v>
      </c>
      <c r="X78" s="40" t="e">
        <f>W78*Assumptions!$F$24*12-V78</f>
        <v>#NUM!</v>
      </c>
      <c r="Y78" s="43"/>
      <c r="Z78" s="40">
        <f t="shared" si="5"/>
        <v>0</v>
      </c>
      <c r="AA78" s="50" t="e">
        <f>-PMT(Assumptions!G$25/12,Assumptions!G$24*12,$Z$8)*$C78/100</f>
        <v>#NUM!</v>
      </c>
      <c r="AB78" s="44" t="e">
        <f>AA78*Assumptions!$G$24*12-Z78</f>
        <v>#NUM!</v>
      </c>
      <c r="AD78" s="54">
        <f t="shared" si="6"/>
        <v>0</v>
      </c>
      <c r="AE78" s="54">
        <f t="shared" si="7"/>
        <v>0</v>
      </c>
      <c r="AF78" s="54">
        <f t="shared" si="8"/>
        <v>2840</v>
      </c>
      <c r="AG78" s="54">
        <f t="shared" si="9"/>
        <v>14199.999999999998</v>
      </c>
      <c r="AH78" s="54">
        <f t="shared" si="10"/>
        <v>0</v>
      </c>
      <c r="AI78" s="54">
        <f t="shared" si="11"/>
        <v>0</v>
      </c>
    </row>
    <row r="79" spans="1:35" ht="15" x14ac:dyDescent="0.2">
      <c r="A79" s="56" t="s">
        <v>174</v>
      </c>
      <c r="B79" s="32"/>
      <c r="C79" s="56">
        <v>0.30099999999999999</v>
      </c>
      <c r="D79" s="56">
        <v>472.6</v>
      </c>
      <c r="E79" s="36"/>
      <c r="F79" s="40">
        <f t="shared" si="0"/>
        <v>0</v>
      </c>
      <c r="G79" s="40" t="e">
        <f>-PMT(Assumptions!B$25/12,Assumptions!B$24*12,F$8)*C79/100</f>
        <v>#NUM!</v>
      </c>
      <c r="H79" s="40" t="e">
        <f>G79*Assumptions!$B$24*12-F79</f>
        <v>#NUM!</v>
      </c>
      <c r="I79" s="48"/>
      <c r="J79" s="40">
        <f t="shared" si="1"/>
        <v>0</v>
      </c>
      <c r="K79" s="40" t="e">
        <f>-PMT(Assumptions!C$25/12,Assumptions!C$24*12,J$8)*C79/100</f>
        <v>#NUM!</v>
      </c>
      <c r="L79" s="40" t="e">
        <f>K79*Assumptions!$C$24*12-J79</f>
        <v>#NUM!</v>
      </c>
      <c r="M79" s="43"/>
      <c r="N79" s="40">
        <f t="shared" si="2"/>
        <v>3010</v>
      </c>
      <c r="O79" s="50">
        <f>-PMT(Assumptions!D$25/12,Assumptions!D$24*12,N$8)*C79/100</f>
        <v>31.925720086961643</v>
      </c>
      <c r="P79" s="44">
        <f>O79*Assumptions!$D$24*12-N79</f>
        <v>821.08641043539728</v>
      </c>
      <c r="Q79" s="48"/>
      <c r="R79" s="40">
        <f t="shared" si="3"/>
        <v>15050</v>
      </c>
      <c r="S79" s="40">
        <f>-PMT(Assumptions!E$25/12,Assumptions!E$24*12,$R$8)*$C79/100</f>
        <v>159.62860043480822</v>
      </c>
      <c r="T79" s="40">
        <f>S79*Assumptions!$E$24*12-R79</f>
        <v>4105.4320521769878</v>
      </c>
      <c r="U79" s="48"/>
      <c r="V79" s="40">
        <f t="shared" si="4"/>
        <v>0</v>
      </c>
      <c r="W79" s="40" t="e">
        <f>-PMT(Assumptions!F$25/12,Assumptions!F$24*12,$V$8)*$C79/100</f>
        <v>#NUM!</v>
      </c>
      <c r="X79" s="40" t="e">
        <f>W79*Assumptions!$F$24*12-V79</f>
        <v>#NUM!</v>
      </c>
      <c r="Y79" s="43"/>
      <c r="Z79" s="40">
        <f t="shared" si="5"/>
        <v>0</v>
      </c>
      <c r="AA79" s="50" t="e">
        <f>-PMT(Assumptions!G$25/12,Assumptions!G$24*12,$Z$8)*$C79/100</f>
        <v>#NUM!</v>
      </c>
      <c r="AB79" s="44" t="e">
        <f>AA79*Assumptions!$G$24*12-Z79</f>
        <v>#NUM!</v>
      </c>
      <c r="AD79" s="54">
        <f t="shared" si="6"/>
        <v>0</v>
      </c>
      <c r="AE79" s="54">
        <f t="shared" si="7"/>
        <v>0</v>
      </c>
      <c r="AF79" s="54">
        <f t="shared" si="8"/>
        <v>3010</v>
      </c>
      <c r="AG79" s="54">
        <f t="shared" si="9"/>
        <v>15050</v>
      </c>
      <c r="AH79" s="54">
        <f t="shared" si="10"/>
        <v>0</v>
      </c>
      <c r="AI79" s="54">
        <f t="shared" si="11"/>
        <v>0</v>
      </c>
    </row>
    <row r="80" spans="1:35" ht="15" x14ac:dyDescent="0.2">
      <c r="A80" s="56" t="s">
        <v>175</v>
      </c>
      <c r="B80" s="32"/>
      <c r="C80" s="56">
        <v>0.30099999999999999</v>
      </c>
      <c r="D80" s="56">
        <v>472.6</v>
      </c>
      <c r="E80" s="36"/>
      <c r="F80" s="40">
        <f t="shared" si="0"/>
        <v>0</v>
      </c>
      <c r="G80" s="40" t="e">
        <f>-PMT(Assumptions!B$25/12,Assumptions!B$24*12,F$8)*C80/100</f>
        <v>#NUM!</v>
      </c>
      <c r="H80" s="40" t="e">
        <f>G80*Assumptions!$B$24*12-F80</f>
        <v>#NUM!</v>
      </c>
      <c r="I80" s="48"/>
      <c r="J80" s="40">
        <f t="shared" si="1"/>
        <v>0</v>
      </c>
      <c r="K80" s="40" t="e">
        <f>-PMT(Assumptions!C$25/12,Assumptions!C$24*12,J$8)*C80/100</f>
        <v>#NUM!</v>
      </c>
      <c r="L80" s="40" t="e">
        <f>K80*Assumptions!$C$24*12-J80</f>
        <v>#NUM!</v>
      </c>
      <c r="M80" s="43"/>
      <c r="N80" s="40">
        <f t="shared" si="2"/>
        <v>3010</v>
      </c>
      <c r="O80" s="50">
        <f>-PMT(Assumptions!D$25/12,Assumptions!D$24*12,N$8)*C80/100</f>
        <v>31.925720086961643</v>
      </c>
      <c r="P80" s="44">
        <f>O80*Assumptions!$D$24*12-N80</f>
        <v>821.08641043539728</v>
      </c>
      <c r="Q80" s="48"/>
      <c r="R80" s="40">
        <f t="shared" si="3"/>
        <v>15050</v>
      </c>
      <c r="S80" s="40">
        <f>-PMT(Assumptions!E$25/12,Assumptions!E$24*12,$R$8)*$C80/100</f>
        <v>159.62860043480822</v>
      </c>
      <c r="T80" s="40">
        <f>S80*Assumptions!$E$24*12-R80</f>
        <v>4105.4320521769878</v>
      </c>
      <c r="U80" s="48"/>
      <c r="V80" s="40">
        <f t="shared" si="4"/>
        <v>0</v>
      </c>
      <c r="W80" s="40" t="e">
        <f>-PMT(Assumptions!F$25/12,Assumptions!F$24*12,$V$8)*$C80/100</f>
        <v>#NUM!</v>
      </c>
      <c r="X80" s="40" t="e">
        <f>W80*Assumptions!$F$24*12-V80</f>
        <v>#NUM!</v>
      </c>
      <c r="Y80" s="43"/>
      <c r="Z80" s="40">
        <f t="shared" si="5"/>
        <v>0</v>
      </c>
      <c r="AA80" s="50" t="e">
        <f>-PMT(Assumptions!G$25/12,Assumptions!G$24*12,$Z$8)*$C80/100</f>
        <v>#NUM!</v>
      </c>
      <c r="AB80" s="44" t="e">
        <f>AA80*Assumptions!$G$24*12-Z80</f>
        <v>#NUM!</v>
      </c>
      <c r="AD80" s="54">
        <f t="shared" si="6"/>
        <v>0</v>
      </c>
      <c r="AE80" s="54">
        <f t="shared" si="7"/>
        <v>0</v>
      </c>
      <c r="AF80" s="54">
        <f t="shared" si="8"/>
        <v>3010</v>
      </c>
      <c r="AG80" s="54">
        <f t="shared" si="9"/>
        <v>15050</v>
      </c>
      <c r="AH80" s="54">
        <f t="shared" si="10"/>
        <v>0</v>
      </c>
      <c r="AI80" s="54">
        <f t="shared" si="11"/>
        <v>0</v>
      </c>
    </row>
    <row r="81" spans="1:35" ht="15" x14ac:dyDescent="0.2">
      <c r="A81" s="56" t="s">
        <v>176</v>
      </c>
      <c r="B81" s="32"/>
      <c r="C81" s="56">
        <v>0.20799999999999999</v>
      </c>
      <c r="D81" s="56">
        <v>326.58</v>
      </c>
      <c r="E81" s="36"/>
      <c r="F81" s="40">
        <f t="shared" ref="F81:F144" si="12">$F$8*$C81/100</f>
        <v>0</v>
      </c>
      <c r="G81" s="40" t="e">
        <f>-PMT(Assumptions!B$25/12,Assumptions!B$24*12,F$8)*C81/100</f>
        <v>#NUM!</v>
      </c>
      <c r="H81" s="40" t="e">
        <f>G81*Assumptions!$B$24*12-F81</f>
        <v>#NUM!</v>
      </c>
      <c r="I81" s="48"/>
      <c r="J81" s="40">
        <f t="shared" ref="J81:J144" si="13">$J$8*$C81/100</f>
        <v>0</v>
      </c>
      <c r="K81" s="40" t="e">
        <f>-PMT(Assumptions!C$25/12,Assumptions!C$24*12,J$8)*C81/100</f>
        <v>#NUM!</v>
      </c>
      <c r="L81" s="40" t="e">
        <f>K81*Assumptions!$C$24*12-J81</f>
        <v>#NUM!</v>
      </c>
      <c r="M81" s="43"/>
      <c r="N81" s="40">
        <f t="shared" ref="N81:N144" si="14">$N$8*$C81/100</f>
        <v>2080</v>
      </c>
      <c r="O81" s="50">
        <f>-PMT(Assumptions!D$25/12,Assumptions!D$24*12,N$8)*C81/100</f>
        <v>22.06162716972765</v>
      </c>
      <c r="P81" s="44">
        <f>O81*Assumptions!$D$24*12-N81</f>
        <v>567.39526036731786</v>
      </c>
      <c r="Q81" s="48"/>
      <c r="R81" s="40">
        <f t="shared" ref="R81:R144" si="15">$R$8*$C81/100</f>
        <v>10400</v>
      </c>
      <c r="S81" s="40">
        <f>-PMT(Assumptions!E$25/12,Assumptions!E$24*12,$R$8)*$C81/100</f>
        <v>110.30813584863823</v>
      </c>
      <c r="T81" s="40">
        <f>S81*Assumptions!$E$24*12-R81</f>
        <v>2836.9763018365866</v>
      </c>
      <c r="U81" s="48"/>
      <c r="V81" s="40">
        <f t="shared" ref="V81:V144" si="16">$V$8*$C81/100</f>
        <v>0</v>
      </c>
      <c r="W81" s="40" t="e">
        <f>-PMT(Assumptions!F$25/12,Assumptions!F$24*12,$V$8)*$C81/100</f>
        <v>#NUM!</v>
      </c>
      <c r="X81" s="40" t="e">
        <f>W81*Assumptions!$F$24*12-V81</f>
        <v>#NUM!</v>
      </c>
      <c r="Y81" s="43"/>
      <c r="Z81" s="40">
        <f t="shared" ref="Z81:Z144" si="17">$Z$8*$C81/100</f>
        <v>0</v>
      </c>
      <c r="AA81" s="50" t="e">
        <f>-PMT(Assumptions!G$25/12,Assumptions!G$24*12,$Z$8)*$C81/100</f>
        <v>#NUM!</v>
      </c>
      <c r="AB81" s="44" t="e">
        <f>AA81*Assumptions!$G$24*12-Z81</f>
        <v>#NUM!</v>
      </c>
      <c r="AD81" s="54">
        <f t="shared" ref="AD81:AD144" si="18">+F81</f>
        <v>0</v>
      </c>
      <c r="AE81" s="54">
        <f t="shared" ref="AE81:AE144" si="19">+J81</f>
        <v>0</v>
      </c>
      <c r="AF81" s="54">
        <f t="shared" ref="AF81:AF144" si="20">+N81</f>
        <v>2080</v>
      </c>
      <c r="AG81" s="54">
        <f t="shared" ref="AG81:AG144" si="21">+R81</f>
        <v>10400</v>
      </c>
      <c r="AH81" s="54">
        <f t="shared" ref="AH81:AH144" si="22">+V81</f>
        <v>0</v>
      </c>
      <c r="AI81" s="54">
        <f t="shared" ref="AI81:AI144" si="23">+Z81</f>
        <v>0</v>
      </c>
    </row>
    <row r="82" spans="1:35" ht="15" x14ac:dyDescent="0.2">
      <c r="A82" s="56" t="s">
        <v>177</v>
      </c>
      <c r="B82" s="32"/>
      <c r="C82" s="56">
        <v>0.20799999999999999</v>
      </c>
      <c r="D82" s="56">
        <v>326.58</v>
      </c>
      <c r="E82" s="36"/>
      <c r="F82" s="40">
        <f t="shared" si="12"/>
        <v>0</v>
      </c>
      <c r="G82" s="40" t="e">
        <f>-PMT(Assumptions!B$25/12,Assumptions!B$24*12,F$8)*C82/100</f>
        <v>#NUM!</v>
      </c>
      <c r="H82" s="40" t="e">
        <f>G82*Assumptions!$B$24*12-F82</f>
        <v>#NUM!</v>
      </c>
      <c r="I82" s="48"/>
      <c r="J82" s="40">
        <f t="shared" si="13"/>
        <v>0</v>
      </c>
      <c r="K82" s="40" t="e">
        <f>-PMT(Assumptions!C$25/12,Assumptions!C$24*12,J$8)*C82/100</f>
        <v>#NUM!</v>
      </c>
      <c r="L82" s="40" t="e">
        <f>K82*Assumptions!$C$24*12-J82</f>
        <v>#NUM!</v>
      </c>
      <c r="M82" s="43"/>
      <c r="N82" s="40">
        <f t="shared" si="14"/>
        <v>2080</v>
      </c>
      <c r="O82" s="50">
        <f>-PMT(Assumptions!D$25/12,Assumptions!D$24*12,N$8)*C82/100</f>
        <v>22.06162716972765</v>
      </c>
      <c r="P82" s="44">
        <f>O82*Assumptions!$D$24*12-N82</f>
        <v>567.39526036731786</v>
      </c>
      <c r="Q82" s="48"/>
      <c r="R82" s="40">
        <f t="shared" si="15"/>
        <v>10400</v>
      </c>
      <c r="S82" s="40">
        <f>-PMT(Assumptions!E$25/12,Assumptions!E$24*12,$R$8)*$C82/100</f>
        <v>110.30813584863823</v>
      </c>
      <c r="T82" s="40">
        <f>S82*Assumptions!$E$24*12-R82</f>
        <v>2836.9763018365866</v>
      </c>
      <c r="U82" s="48"/>
      <c r="V82" s="40">
        <f t="shared" si="16"/>
        <v>0</v>
      </c>
      <c r="W82" s="40" t="e">
        <f>-PMT(Assumptions!F$25/12,Assumptions!F$24*12,$V$8)*$C82/100</f>
        <v>#NUM!</v>
      </c>
      <c r="X82" s="40" t="e">
        <f>W82*Assumptions!$F$24*12-V82</f>
        <v>#NUM!</v>
      </c>
      <c r="Y82" s="43"/>
      <c r="Z82" s="40">
        <f t="shared" si="17"/>
        <v>0</v>
      </c>
      <c r="AA82" s="50" t="e">
        <f>-PMT(Assumptions!G$25/12,Assumptions!G$24*12,$Z$8)*$C82/100</f>
        <v>#NUM!</v>
      </c>
      <c r="AB82" s="44" t="e">
        <f>AA82*Assumptions!$G$24*12-Z82</f>
        <v>#NUM!</v>
      </c>
      <c r="AD82" s="54">
        <f t="shared" si="18"/>
        <v>0</v>
      </c>
      <c r="AE82" s="54">
        <f t="shared" si="19"/>
        <v>0</v>
      </c>
      <c r="AF82" s="54">
        <f t="shared" si="20"/>
        <v>2080</v>
      </c>
      <c r="AG82" s="54">
        <f t="shared" si="21"/>
        <v>10400</v>
      </c>
      <c r="AH82" s="54">
        <f t="shared" si="22"/>
        <v>0</v>
      </c>
      <c r="AI82" s="54">
        <f t="shared" si="23"/>
        <v>0</v>
      </c>
    </row>
    <row r="83" spans="1:35" ht="15" x14ac:dyDescent="0.2">
      <c r="A83" s="56" t="s">
        <v>178</v>
      </c>
      <c r="B83" s="32"/>
      <c r="C83" s="56">
        <v>0.151</v>
      </c>
      <c r="D83" s="56">
        <v>237.09</v>
      </c>
      <c r="E83" s="36"/>
      <c r="F83" s="40">
        <f t="shared" si="12"/>
        <v>0</v>
      </c>
      <c r="G83" s="40" t="e">
        <f>-PMT(Assumptions!B$25/12,Assumptions!B$24*12,F$8)*C83/100</f>
        <v>#NUM!</v>
      </c>
      <c r="H83" s="40" t="e">
        <f>G83*Assumptions!$B$24*12-F83</f>
        <v>#NUM!</v>
      </c>
      <c r="I83" s="48"/>
      <c r="J83" s="40">
        <f t="shared" si="13"/>
        <v>0</v>
      </c>
      <c r="K83" s="40" t="e">
        <f>-PMT(Assumptions!C$25/12,Assumptions!C$24*12,J$8)*C83/100</f>
        <v>#NUM!</v>
      </c>
      <c r="L83" s="40" t="e">
        <f>K83*Assumptions!$C$24*12-J83</f>
        <v>#NUM!</v>
      </c>
      <c r="M83" s="43"/>
      <c r="N83" s="40">
        <f t="shared" si="14"/>
        <v>1510</v>
      </c>
      <c r="O83" s="50">
        <f>-PMT(Assumptions!D$25/12,Assumptions!D$24*12,N$8)*C83/100</f>
        <v>16.015892801100357</v>
      </c>
      <c r="P83" s="44">
        <f>O83*Assumptions!$D$24*12-N83</f>
        <v>411.90713613204298</v>
      </c>
      <c r="Q83" s="48"/>
      <c r="R83" s="40">
        <f t="shared" si="15"/>
        <v>7550</v>
      </c>
      <c r="S83" s="40">
        <f>-PMT(Assumptions!E$25/12,Assumptions!E$24*12,$R$8)*$C83/100</f>
        <v>80.079464005501791</v>
      </c>
      <c r="T83" s="40">
        <f>S83*Assumptions!$E$24*12-R83</f>
        <v>2059.535680660214</v>
      </c>
      <c r="U83" s="48"/>
      <c r="V83" s="40">
        <f t="shared" si="16"/>
        <v>0</v>
      </c>
      <c r="W83" s="40" t="e">
        <f>-PMT(Assumptions!F$25/12,Assumptions!F$24*12,$V$8)*$C83/100</f>
        <v>#NUM!</v>
      </c>
      <c r="X83" s="40" t="e">
        <f>W83*Assumptions!$F$24*12-V83</f>
        <v>#NUM!</v>
      </c>
      <c r="Y83" s="43"/>
      <c r="Z83" s="40">
        <f t="shared" si="17"/>
        <v>0</v>
      </c>
      <c r="AA83" s="50" t="e">
        <f>-PMT(Assumptions!G$25/12,Assumptions!G$24*12,$Z$8)*$C83/100</f>
        <v>#NUM!</v>
      </c>
      <c r="AB83" s="44" t="e">
        <f>AA83*Assumptions!$G$24*12-Z83</f>
        <v>#NUM!</v>
      </c>
      <c r="AD83" s="54">
        <f t="shared" si="18"/>
        <v>0</v>
      </c>
      <c r="AE83" s="54">
        <f t="shared" si="19"/>
        <v>0</v>
      </c>
      <c r="AF83" s="54">
        <f t="shared" si="20"/>
        <v>1510</v>
      </c>
      <c r="AG83" s="54">
        <f t="shared" si="21"/>
        <v>7550</v>
      </c>
      <c r="AH83" s="54">
        <f t="shared" si="22"/>
        <v>0</v>
      </c>
      <c r="AI83" s="54">
        <f t="shared" si="23"/>
        <v>0</v>
      </c>
    </row>
    <row r="84" spans="1:35" ht="15" x14ac:dyDescent="0.2">
      <c r="A84" s="56" t="s">
        <v>179</v>
      </c>
      <c r="B84" s="32"/>
      <c r="C84" s="56">
        <v>0.16</v>
      </c>
      <c r="D84" s="56">
        <v>251.22</v>
      </c>
      <c r="E84" s="36"/>
      <c r="F84" s="40">
        <f t="shared" si="12"/>
        <v>0</v>
      </c>
      <c r="G84" s="40" t="e">
        <f>-PMT(Assumptions!B$25/12,Assumptions!B$24*12,F$8)*C84/100</f>
        <v>#NUM!</v>
      </c>
      <c r="H84" s="40" t="e">
        <f>G84*Assumptions!$B$24*12-F84</f>
        <v>#NUM!</v>
      </c>
      <c r="I84" s="48"/>
      <c r="J84" s="40">
        <f t="shared" si="13"/>
        <v>0</v>
      </c>
      <c r="K84" s="40" t="e">
        <f>-PMT(Assumptions!C$25/12,Assumptions!C$24*12,J$8)*C84/100</f>
        <v>#NUM!</v>
      </c>
      <c r="L84" s="40" t="e">
        <f>K84*Assumptions!$C$24*12-J84</f>
        <v>#NUM!</v>
      </c>
      <c r="M84" s="43"/>
      <c r="N84" s="40">
        <f t="shared" si="14"/>
        <v>1600</v>
      </c>
      <c r="O84" s="50">
        <f>-PMT(Assumptions!D$25/12,Assumptions!D$24*12,N$8)*C84/100</f>
        <v>16.970482438252038</v>
      </c>
      <c r="P84" s="44">
        <f>O84*Assumptions!$D$24*12-N84</f>
        <v>436.45789259024446</v>
      </c>
      <c r="Q84" s="48"/>
      <c r="R84" s="40">
        <f t="shared" si="15"/>
        <v>8000</v>
      </c>
      <c r="S84" s="40">
        <f>-PMT(Assumptions!E$25/12,Assumptions!E$24*12,$R$8)*$C84/100</f>
        <v>84.852412191260186</v>
      </c>
      <c r="T84" s="40">
        <f>S84*Assumptions!$E$24*12-R84</f>
        <v>2182.289462951223</v>
      </c>
      <c r="U84" s="48"/>
      <c r="V84" s="40">
        <f t="shared" si="16"/>
        <v>0</v>
      </c>
      <c r="W84" s="40" t="e">
        <f>-PMT(Assumptions!F$25/12,Assumptions!F$24*12,$V$8)*$C84/100</f>
        <v>#NUM!</v>
      </c>
      <c r="X84" s="40" t="e">
        <f>W84*Assumptions!$F$24*12-V84</f>
        <v>#NUM!</v>
      </c>
      <c r="Y84" s="43"/>
      <c r="Z84" s="40">
        <f t="shared" si="17"/>
        <v>0</v>
      </c>
      <c r="AA84" s="50" t="e">
        <f>-PMT(Assumptions!G$25/12,Assumptions!G$24*12,$Z$8)*$C84/100</f>
        <v>#NUM!</v>
      </c>
      <c r="AB84" s="44" t="e">
        <f>AA84*Assumptions!$G$24*12-Z84</f>
        <v>#NUM!</v>
      </c>
      <c r="AD84" s="54">
        <f t="shared" si="18"/>
        <v>0</v>
      </c>
      <c r="AE84" s="54">
        <f t="shared" si="19"/>
        <v>0</v>
      </c>
      <c r="AF84" s="54">
        <f t="shared" si="20"/>
        <v>1600</v>
      </c>
      <c r="AG84" s="54">
        <f t="shared" si="21"/>
        <v>8000</v>
      </c>
      <c r="AH84" s="54">
        <f t="shared" si="22"/>
        <v>0</v>
      </c>
      <c r="AI84" s="54">
        <f t="shared" si="23"/>
        <v>0</v>
      </c>
    </row>
    <row r="85" spans="1:35" ht="15" x14ac:dyDescent="0.2">
      <c r="A85" s="56" t="s">
        <v>180</v>
      </c>
      <c r="B85" s="32"/>
      <c r="C85" s="56">
        <v>0.151</v>
      </c>
      <c r="D85" s="56">
        <v>237.09</v>
      </c>
      <c r="E85" s="36"/>
      <c r="F85" s="40">
        <f t="shared" si="12"/>
        <v>0</v>
      </c>
      <c r="G85" s="40" t="e">
        <f>-PMT(Assumptions!B$25/12,Assumptions!B$24*12,F$8)*C85/100</f>
        <v>#NUM!</v>
      </c>
      <c r="H85" s="40" t="e">
        <f>G85*Assumptions!$B$24*12-F85</f>
        <v>#NUM!</v>
      </c>
      <c r="I85" s="48"/>
      <c r="J85" s="40">
        <f t="shared" si="13"/>
        <v>0</v>
      </c>
      <c r="K85" s="40" t="e">
        <f>-PMT(Assumptions!C$25/12,Assumptions!C$24*12,J$8)*C85/100</f>
        <v>#NUM!</v>
      </c>
      <c r="L85" s="40" t="e">
        <f>K85*Assumptions!$C$24*12-J85</f>
        <v>#NUM!</v>
      </c>
      <c r="M85" s="43"/>
      <c r="N85" s="40">
        <f t="shared" si="14"/>
        <v>1510</v>
      </c>
      <c r="O85" s="50">
        <f>-PMT(Assumptions!D$25/12,Assumptions!D$24*12,N$8)*C85/100</f>
        <v>16.015892801100357</v>
      </c>
      <c r="P85" s="44">
        <f>O85*Assumptions!$D$24*12-N85</f>
        <v>411.90713613204298</v>
      </c>
      <c r="Q85" s="48"/>
      <c r="R85" s="40">
        <f t="shared" si="15"/>
        <v>7550</v>
      </c>
      <c r="S85" s="40">
        <f>-PMT(Assumptions!E$25/12,Assumptions!E$24*12,$R$8)*$C85/100</f>
        <v>80.079464005501791</v>
      </c>
      <c r="T85" s="40">
        <f>S85*Assumptions!$E$24*12-R85</f>
        <v>2059.535680660214</v>
      </c>
      <c r="U85" s="48"/>
      <c r="V85" s="40">
        <f t="shared" si="16"/>
        <v>0</v>
      </c>
      <c r="W85" s="40" t="e">
        <f>-PMT(Assumptions!F$25/12,Assumptions!F$24*12,$V$8)*$C85/100</f>
        <v>#NUM!</v>
      </c>
      <c r="X85" s="40" t="e">
        <f>W85*Assumptions!$F$24*12-V85</f>
        <v>#NUM!</v>
      </c>
      <c r="Y85" s="43"/>
      <c r="Z85" s="40">
        <f t="shared" si="17"/>
        <v>0</v>
      </c>
      <c r="AA85" s="50" t="e">
        <f>-PMT(Assumptions!G$25/12,Assumptions!G$24*12,$Z$8)*$C85/100</f>
        <v>#NUM!</v>
      </c>
      <c r="AB85" s="44" t="e">
        <f>AA85*Assumptions!$G$24*12-Z85</f>
        <v>#NUM!</v>
      </c>
      <c r="AD85" s="54">
        <f t="shared" si="18"/>
        <v>0</v>
      </c>
      <c r="AE85" s="54">
        <f t="shared" si="19"/>
        <v>0</v>
      </c>
      <c r="AF85" s="54">
        <f t="shared" si="20"/>
        <v>1510</v>
      </c>
      <c r="AG85" s="54">
        <f t="shared" si="21"/>
        <v>7550</v>
      </c>
      <c r="AH85" s="54">
        <f t="shared" si="22"/>
        <v>0</v>
      </c>
      <c r="AI85" s="54">
        <f t="shared" si="23"/>
        <v>0</v>
      </c>
    </row>
    <row r="86" spans="1:35" ht="15" x14ac:dyDescent="0.2">
      <c r="A86" s="56" t="s">
        <v>181</v>
      </c>
      <c r="B86" s="32"/>
      <c r="C86" s="56">
        <v>0.16</v>
      </c>
      <c r="D86" s="56">
        <v>251.22</v>
      </c>
      <c r="E86" s="36"/>
      <c r="F86" s="40">
        <f t="shared" si="12"/>
        <v>0</v>
      </c>
      <c r="G86" s="40" t="e">
        <f>-PMT(Assumptions!B$25/12,Assumptions!B$24*12,F$8)*C86/100</f>
        <v>#NUM!</v>
      </c>
      <c r="H86" s="40" t="e">
        <f>G86*Assumptions!$B$24*12-F86</f>
        <v>#NUM!</v>
      </c>
      <c r="I86" s="48"/>
      <c r="J86" s="40">
        <f t="shared" si="13"/>
        <v>0</v>
      </c>
      <c r="K86" s="40" t="e">
        <f>-PMT(Assumptions!C$25/12,Assumptions!C$24*12,J$8)*C86/100</f>
        <v>#NUM!</v>
      </c>
      <c r="L86" s="40" t="e">
        <f>K86*Assumptions!$C$24*12-J86</f>
        <v>#NUM!</v>
      </c>
      <c r="M86" s="43"/>
      <c r="N86" s="40">
        <f t="shared" si="14"/>
        <v>1600</v>
      </c>
      <c r="O86" s="50">
        <f>-PMT(Assumptions!D$25/12,Assumptions!D$24*12,N$8)*C86/100</f>
        <v>16.970482438252038</v>
      </c>
      <c r="P86" s="44">
        <f>O86*Assumptions!$D$24*12-N86</f>
        <v>436.45789259024446</v>
      </c>
      <c r="Q86" s="48"/>
      <c r="R86" s="40">
        <f t="shared" si="15"/>
        <v>8000</v>
      </c>
      <c r="S86" s="40">
        <f>-PMT(Assumptions!E$25/12,Assumptions!E$24*12,$R$8)*$C86/100</f>
        <v>84.852412191260186</v>
      </c>
      <c r="T86" s="40">
        <f>S86*Assumptions!$E$24*12-R86</f>
        <v>2182.289462951223</v>
      </c>
      <c r="U86" s="48"/>
      <c r="V86" s="40">
        <f t="shared" si="16"/>
        <v>0</v>
      </c>
      <c r="W86" s="40" t="e">
        <f>-PMT(Assumptions!F$25/12,Assumptions!F$24*12,$V$8)*$C86/100</f>
        <v>#NUM!</v>
      </c>
      <c r="X86" s="40" t="e">
        <f>W86*Assumptions!$F$24*12-V86</f>
        <v>#NUM!</v>
      </c>
      <c r="Y86" s="43"/>
      <c r="Z86" s="40">
        <f t="shared" si="17"/>
        <v>0</v>
      </c>
      <c r="AA86" s="50" t="e">
        <f>-PMT(Assumptions!G$25/12,Assumptions!G$24*12,$Z$8)*$C86/100</f>
        <v>#NUM!</v>
      </c>
      <c r="AB86" s="44" t="e">
        <f>AA86*Assumptions!$G$24*12-Z86</f>
        <v>#NUM!</v>
      </c>
      <c r="AD86" s="54">
        <f t="shared" si="18"/>
        <v>0</v>
      </c>
      <c r="AE86" s="54">
        <f t="shared" si="19"/>
        <v>0</v>
      </c>
      <c r="AF86" s="54">
        <f t="shared" si="20"/>
        <v>1600</v>
      </c>
      <c r="AG86" s="54">
        <f t="shared" si="21"/>
        <v>8000</v>
      </c>
      <c r="AH86" s="54">
        <f t="shared" si="22"/>
        <v>0</v>
      </c>
      <c r="AI86" s="54">
        <f t="shared" si="23"/>
        <v>0</v>
      </c>
    </row>
    <row r="87" spans="1:35" ht="15" x14ac:dyDescent="0.2">
      <c r="A87" s="56" t="s">
        <v>182</v>
      </c>
      <c r="B87" s="32"/>
      <c r="C87" s="56">
        <v>0.22700000000000001</v>
      </c>
      <c r="D87" s="56">
        <v>356.41</v>
      </c>
      <c r="E87" s="36"/>
      <c r="F87" s="40">
        <f t="shared" si="12"/>
        <v>0</v>
      </c>
      <c r="G87" s="40" t="e">
        <f>-PMT(Assumptions!B$25/12,Assumptions!B$24*12,F$8)*C87/100</f>
        <v>#NUM!</v>
      </c>
      <c r="H87" s="40" t="e">
        <f>G87*Assumptions!$B$24*12-F87</f>
        <v>#NUM!</v>
      </c>
      <c r="I87" s="48"/>
      <c r="J87" s="40">
        <f t="shared" si="13"/>
        <v>0</v>
      </c>
      <c r="K87" s="40" t="e">
        <f>-PMT(Assumptions!C$25/12,Assumptions!C$24*12,J$8)*C87/100</f>
        <v>#NUM!</v>
      </c>
      <c r="L87" s="40" t="e">
        <f>K87*Assumptions!$C$24*12-J87</f>
        <v>#NUM!</v>
      </c>
      <c r="M87" s="43"/>
      <c r="N87" s="40">
        <f t="shared" si="14"/>
        <v>2270</v>
      </c>
      <c r="O87" s="50">
        <f>-PMT(Assumptions!D$25/12,Assumptions!D$24*12,N$8)*C87/100</f>
        <v>24.076871959270079</v>
      </c>
      <c r="P87" s="44">
        <f>O87*Assumptions!$D$24*12-N87</f>
        <v>619.22463511240949</v>
      </c>
      <c r="Q87" s="48"/>
      <c r="R87" s="40">
        <f t="shared" si="15"/>
        <v>11350</v>
      </c>
      <c r="S87" s="40">
        <f>-PMT(Assumptions!E$25/12,Assumptions!E$24*12,$R$8)*$C87/100</f>
        <v>120.3843597963504</v>
      </c>
      <c r="T87" s="40">
        <f>S87*Assumptions!$E$24*12-R87</f>
        <v>3096.1231755620465</v>
      </c>
      <c r="U87" s="48"/>
      <c r="V87" s="40">
        <f t="shared" si="16"/>
        <v>0</v>
      </c>
      <c r="W87" s="40" t="e">
        <f>-PMT(Assumptions!F$25/12,Assumptions!F$24*12,$V$8)*$C87/100</f>
        <v>#NUM!</v>
      </c>
      <c r="X87" s="40" t="e">
        <f>W87*Assumptions!$F$24*12-V87</f>
        <v>#NUM!</v>
      </c>
      <c r="Y87" s="43"/>
      <c r="Z87" s="40">
        <f t="shared" si="17"/>
        <v>0</v>
      </c>
      <c r="AA87" s="50" t="e">
        <f>-PMT(Assumptions!G$25/12,Assumptions!G$24*12,$Z$8)*$C87/100</f>
        <v>#NUM!</v>
      </c>
      <c r="AB87" s="44" t="e">
        <f>AA87*Assumptions!$G$24*12-Z87</f>
        <v>#NUM!</v>
      </c>
      <c r="AD87" s="54">
        <f t="shared" si="18"/>
        <v>0</v>
      </c>
      <c r="AE87" s="54">
        <f t="shared" si="19"/>
        <v>0</v>
      </c>
      <c r="AF87" s="54">
        <f t="shared" si="20"/>
        <v>2270</v>
      </c>
      <c r="AG87" s="54">
        <f t="shared" si="21"/>
        <v>11350</v>
      </c>
      <c r="AH87" s="54">
        <f t="shared" si="22"/>
        <v>0</v>
      </c>
      <c r="AI87" s="54">
        <f t="shared" si="23"/>
        <v>0</v>
      </c>
    </row>
    <row r="88" spans="1:35" ht="15" x14ac:dyDescent="0.2">
      <c r="A88" s="56" t="s">
        <v>183</v>
      </c>
      <c r="B88" s="32"/>
      <c r="C88" s="56">
        <v>0.23599999999999999</v>
      </c>
      <c r="D88" s="56">
        <v>370.54</v>
      </c>
      <c r="E88" s="36"/>
      <c r="F88" s="40">
        <f t="shared" si="12"/>
        <v>0</v>
      </c>
      <c r="G88" s="40" t="e">
        <f>-PMT(Assumptions!B$25/12,Assumptions!B$24*12,F$8)*C88/100</f>
        <v>#NUM!</v>
      </c>
      <c r="H88" s="40" t="e">
        <f>G88*Assumptions!$B$24*12-F88</f>
        <v>#NUM!</v>
      </c>
      <c r="I88" s="48"/>
      <c r="J88" s="40">
        <f t="shared" si="13"/>
        <v>0</v>
      </c>
      <c r="K88" s="40" t="e">
        <f>-PMT(Assumptions!C$25/12,Assumptions!C$24*12,J$8)*C88/100</f>
        <v>#NUM!</v>
      </c>
      <c r="L88" s="40" t="e">
        <f>K88*Assumptions!$C$24*12-J88</f>
        <v>#NUM!</v>
      </c>
      <c r="M88" s="43"/>
      <c r="N88" s="40">
        <f t="shared" si="14"/>
        <v>2360</v>
      </c>
      <c r="O88" s="50">
        <f>-PMT(Assumptions!D$25/12,Assumptions!D$24*12,N$8)*C88/100</f>
        <v>25.031461596421753</v>
      </c>
      <c r="P88" s="44">
        <f>O88*Assumptions!$D$24*12-N88</f>
        <v>643.77539157061028</v>
      </c>
      <c r="Q88" s="48"/>
      <c r="R88" s="40">
        <f t="shared" si="15"/>
        <v>11800</v>
      </c>
      <c r="S88" s="40">
        <f>-PMT(Assumptions!E$25/12,Assumptions!E$24*12,$R$8)*$C88/100</f>
        <v>125.15730798210878</v>
      </c>
      <c r="T88" s="40">
        <f>S88*Assumptions!$E$24*12-R88</f>
        <v>3218.8769578530519</v>
      </c>
      <c r="U88" s="48"/>
      <c r="V88" s="40">
        <f t="shared" si="16"/>
        <v>0</v>
      </c>
      <c r="W88" s="40" t="e">
        <f>-PMT(Assumptions!F$25/12,Assumptions!F$24*12,$V$8)*$C88/100</f>
        <v>#NUM!</v>
      </c>
      <c r="X88" s="40" t="e">
        <f>W88*Assumptions!$F$24*12-V88</f>
        <v>#NUM!</v>
      </c>
      <c r="Y88" s="43"/>
      <c r="Z88" s="40">
        <f t="shared" si="17"/>
        <v>0</v>
      </c>
      <c r="AA88" s="50" t="e">
        <f>-PMT(Assumptions!G$25/12,Assumptions!G$24*12,$Z$8)*$C88/100</f>
        <v>#NUM!</v>
      </c>
      <c r="AB88" s="44" t="e">
        <f>AA88*Assumptions!$G$24*12-Z88</f>
        <v>#NUM!</v>
      </c>
      <c r="AD88" s="54">
        <f t="shared" si="18"/>
        <v>0</v>
      </c>
      <c r="AE88" s="54">
        <f t="shared" si="19"/>
        <v>0</v>
      </c>
      <c r="AF88" s="54">
        <f t="shared" si="20"/>
        <v>2360</v>
      </c>
      <c r="AG88" s="54">
        <f t="shared" si="21"/>
        <v>11800</v>
      </c>
      <c r="AH88" s="54">
        <f t="shared" si="22"/>
        <v>0</v>
      </c>
      <c r="AI88" s="54">
        <f t="shared" si="23"/>
        <v>0</v>
      </c>
    </row>
    <row r="89" spans="1:35" ht="15" x14ac:dyDescent="0.2">
      <c r="A89" s="56" t="s">
        <v>184</v>
      </c>
      <c r="B89" s="32"/>
      <c r="C89" s="56">
        <v>0.20799999999999999</v>
      </c>
      <c r="D89" s="56">
        <v>326.58</v>
      </c>
      <c r="E89" s="36"/>
      <c r="F89" s="40">
        <f t="shared" si="12"/>
        <v>0</v>
      </c>
      <c r="G89" s="40" t="e">
        <f>-PMT(Assumptions!B$25/12,Assumptions!B$24*12,F$8)*C89/100</f>
        <v>#NUM!</v>
      </c>
      <c r="H89" s="40" t="e">
        <f>G89*Assumptions!$B$24*12-F89</f>
        <v>#NUM!</v>
      </c>
      <c r="I89" s="48"/>
      <c r="J89" s="40">
        <f t="shared" si="13"/>
        <v>0</v>
      </c>
      <c r="K89" s="40" t="e">
        <f>-PMT(Assumptions!C$25/12,Assumptions!C$24*12,J$8)*C89/100</f>
        <v>#NUM!</v>
      </c>
      <c r="L89" s="40" t="e">
        <f>K89*Assumptions!$C$24*12-J89</f>
        <v>#NUM!</v>
      </c>
      <c r="M89" s="43"/>
      <c r="N89" s="40">
        <f t="shared" si="14"/>
        <v>2080</v>
      </c>
      <c r="O89" s="50">
        <f>-PMT(Assumptions!D$25/12,Assumptions!D$24*12,N$8)*C89/100</f>
        <v>22.06162716972765</v>
      </c>
      <c r="P89" s="44">
        <f>O89*Assumptions!$D$24*12-N89</f>
        <v>567.39526036731786</v>
      </c>
      <c r="Q89" s="48"/>
      <c r="R89" s="40">
        <f t="shared" si="15"/>
        <v>10400</v>
      </c>
      <c r="S89" s="40">
        <f>-PMT(Assumptions!E$25/12,Assumptions!E$24*12,$R$8)*$C89/100</f>
        <v>110.30813584863823</v>
      </c>
      <c r="T89" s="40">
        <f>S89*Assumptions!$E$24*12-R89</f>
        <v>2836.9763018365866</v>
      </c>
      <c r="U89" s="48"/>
      <c r="V89" s="40">
        <f t="shared" si="16"/>
        <v>0</v>
      </c>
      <c r="W89" s="40" t="e">
        <f>-PMT(Assumptions!F$25/12,Assumptions!F$24*12,$V$8)*$C89/100</f>
        <v>#NUM!</v>
      </c>
      <c r="X89" s="40" t="e">
        <f>W89*Assumptions!$F$24*12-V89</f>
        <v>#NUM!</v>
      </c>
      <c r="Y89" s="43"/>
      <c r="Z89" s="40">
        <f t="shared" si="17"/>
        <v>0</v>
      </c>
      <c r="AA89" s="50" t="e">
        <f>-PMT(Assumptions!G$25/12,Assumptions!G$24*12,$Z$8)*$C89/100</f>
        <v>#NUM!</v>
      </c>
      <c r="AB89" s="44" t="e">
        <f>AA89*Assumptions!$G$24*12-Z89</f>
        <v>#NUM!</v>
      </c>
      <c r="AD89" s="54">
        <f t="shared" si="18"/>
        <v>0</v>
      </c>
      <c r="AE89" s="54">
        <f t="shared" si="19"/>
        <v>0</v>
      </c>
      <c r="AF89" s="54">
        <f t="shared" si="20"/>
        <v>2080</v>
      </c>
      <c r="AG89" s="54">
        <f t="shared" si="21"/>
        <v>10400</v>
      </c>
      <c r="AH89" s="54">
        <f t="shared" si="22"/>
        <v>0</v>
      </c>
      <c r="AI89" s="54">
        <f t="shared" si="23"/>
        <v>0</v>
      </c>
    </row>
    <row r="90" spans="1:35" ht="15" x14ac:dyDescent="0.2">
      <c r="A90" s="56" t="s">
        <v>185</v>
      </c>
      <c r="B90" s="32"/>
      <c r="C90" s="56">
        <v>0.20799999999999999</v>
      </c>
      <c r="D90" s="56">
        <v>326.58</v>
      </c>
      <c r="E90" s="36"/>
      <c r="F90" s="40">
        <f t="shared" si="12"/>
        <v>0</v>
      </c>
      <c r="G90" s="40" t="e">
        <f>-PMT(Assumptions!B$25/12,Assumptions!B$24*12,F$8)*C90/100</f>
        <v>#NUM!</v>
      </c>
      <c r="H90" s="40" t="e">
        <f>G90*Assumptions!$B$24*12-F90</f>
        <v>#NUM!</v>
      </c>
      <c r="I90" s="48"/>
      <c r="J90" s="40">
        <f t="shared" si="13"/>
        <v>0</v>
      </c>
      <c r="K90" s="40" t="e">
        <f>-PMT(Assumptions!C$25/12,Assumptions!C$24*12,J$8)*C90/100</f>
        <v>#NUM!</v>
      </c>
      <c r="L90" s="40" t="e">
        <f>K90*Assumptions!$C$24*12-J90</f>
        <v>#NUM!</v>
      </c>
      <c r="M90" s="43"/>
      <c r="N90" s="40">
        <f t="shared" si="14"/>
        <v>2080</v>
      </c>
      <c r="O90" s="50">
        <f>-PMT(Assumptions!D$25/12,Assumptions!D$24*12,N$8)*C90/100</f>
        <v>22.06162716972765</v>
      </c>
      <c r="P90" s="44">
        <f>O90*Assumptions!$D$24*12-N90</f>
        <v>567.39526036731786</v>
      </c>
      <c r="Q90" s="48"/>
      <c r="R90" s="40">
        <f t="shared" si="15"/>
        <v>10400</v>
      </c>
      <c r="S90" s="40">
        <f>-PMT(Assumptions!E$25/12,Assumptions!E$24*12,$R$8)*$C90/100</f>
        <v>110.30813584863823</v>
      </c>
      <c r="T90" s="40">
        <f>S90*Assumptions!$E$24*12-R90</f>
        <v>2836.9763018365866</v>
      </c>
      <c r="U90" s="48"/>
      <c r="V90" s="40">
        <f t="shared" si="16"/>
        <v>0</v>
      </c>
      <c r="W90" s="40" t="e">
        <f>-PMT(Assumptions!F$25/12,Assumptions!F$24*12,$V$8)*$C90/100</f>
        <v>#NUM!</v>
      </c>
      <c r="X90" s="40" t="e">
        <f>W90*Assumptions!$F$24*12-V90</f>
        <v>#NUM!</v>
      </c>
      <c r="Y90" s="43"/>
      <c r="Z90" s="40">
        <f t="shared" si="17"/>
        <v>0</v>
      </c>
      <c r="AA90" s="50" t="e">
        <f>-PMT(Assumptions!G$25/12,Assumptions!G$24*12,$Z$8)*$C90/100</f>
        <v>#NUM!</v>
      </c>
      <c r="AB90" s="44" t="e">
        <f>AA90*Assumptions!$G$24*12-Z90</f>
        <v>#NUM!</v>
      </c>
      <c r="AD90" s="54">
        <f t="shared" si="18"/>
        <v>0</v>
      </c>
      <c r="AE90" s="54">
        <f t="shared" si="19"/>
        <v>0</v>
      </c>
      <c r="AF90" s="54">
        <f t="shared" si="20"/>
        <v>2080</v>
      </c>
      <c r="AG90" s="54">
        <f t="shared" si="21"/>
        <v>10400</v>
      </c>
      <c r="AH90" s="54">
        <f t="shared" si="22"/>
        <v>0</v>
      </c>
      <c r="AI90" s="54">
        <f t="shared" si="23"/>
        <v>0</v>
      </c>
    </row>
    <row r="91" spans="1:35" ht="15" x14ac:dyDescent="0.2">
      <c r="A91" s="56" t="s">
        <v>186</v>
      </c>
      <c r="B91" s="32"/>
      <c r="C91" s="56">
        <v>0.151</v>
      </c>
      <c r="D91" s="56">
        <v>237.09</v>
      </c>
      <c r="E91" s="36"/>
      <c r="F91" s="40">
        <f t="shared" si="12"/>
        <v>0</v>
      </c>
      <c r="G91" s="40" t="e">
        <f>-PMT(Assumptions!B$25/12,Assumptions!B$24*12,F$8)*C91/100</f>
        <v>#NUM!</v>
      </c>
      <c r="H91" s="40" t="e">
        <f>G91*Assumptions!$B$24*12-F91</f>
        <v>#NUM!</v>
      </c>
      <c r="I91" s="48"/>
      <c r="J91" s="40">
        <f t="shared" si="13"/>
        <v>0</v>
      </c>
      <c r="K91" s="40" t="e">
        <f>-PMT(Assumptions!C$25/12,Assumptions!C$24*12,J$8)*C91/100</f>
        <v>#NUM!</v>
      </c>
      <c r="L91" s="40" t="e">
        <f>K91*Assumptions!$C$24*12-J91</f>
        <v>#NUM!</v>
      </c>
      <c r="M91" s="43"/>
      <c r="N91" s="40">
        <f t="shared" si="14"/>
        <v>1510</v>
      </c>
      <c r="O91" s="50">
        <f>-PMT(Assumptions!D$25/12,Assumptions!D$24*12,N$8)*C91/100</f>
        <v>16.015892801100357</v>
      </c>
      <c r="P91" s="44">
        <f>O91*Assumptions!$D$24*12-N91</f>
        <v>411.90713613204298</v>
      </c>
      <c r="Q91" s="48"/>
      <c r="R91" s="40">
        <f t="shared" si="15"/>
        <v>7550</v>
      </c>
      <c r="S91" s="40">
        <f>-PMT(Assumptions!E$25/12,Assumptions!E$24*12,$R$8)*$C91/100</f>
        <v>80.079464005501791</v>
      </c>
      <c r="T91" s="40">
        <f>S91*Assumptions!$E$24*12-R91</f>
        <v>2059.535680660214</v>
      </c>
      <c r="U91" s="48"/>
      <c r="V91" s="40">
        <f t="shared" si="16"/>
        <v>0</v>
      </c>
      <c r="W91" s="40" t="e">
        <f>-PMT(Assumptions!F$25/12,Assumptions!F$24*12,$V$8)*$C91/100</f>
        <v>#NUM!</v>
      </c>
      <c r="X91" s="40" t="e">
        <f>W91*Assumptions!$F$24*12-V91</f>
        <v>#NUM!</v>
      </c>
      <c r="Y91" s="43"/>
      <c r="Z91" s="40">
        <f t="shared" si="17"/>
        <v>0</v>
      </c>
      <c r="AA91" s="50" t="e">
        <f>-PMT(Assumptions!G$25/12,Assumptions!G$24*12,$Z$8)*$C91/100</f>
        <v>#NUM!</v>
      </c>
      <c r="AB91" s="44" t="e">
        <f>AA91*Assumptions!$G$24*12-Z91</f>
        <v>#NUM!</v>
      </c>
      <c r="AD91" s="54">
        <f t="shared" si="18"/>
        <v>0</v>
      </c>
      <c r="AE91" s="54">
        <f t="shared" si="19"/>
        <v>0</v>
      </c>
      <c r="AF91" s="54">
        <f t="shared" si="20"/>
        <v>1510</v>
      </c>
      <c r="AG91" s="54">
        <f t="shared" si="21"/>
        <v>7550</v>
      </c>
      <c r="AH91" s="54">
        <f t="shared" si="22"/>
        <v>0</v>
      </c>
      <c r="AI91" s="54">
        <f t="shared" si="23"/>
        <v>0</v>
      </c>
    </row>
    <row r="92" spans="1:35" ht="15" x14ac:dyDescent="0.2">
      <c r="A92" s="56" t="s">
        <v>187</v>
      </c>
      <c r="B92" s="32"/>
      <c r="C92" s="56">
        <v>0.16</v>
      </c>
      <c r="D92" s="56">
        <v>251.22</v>
      </c>
      <c r="E92" s="36"/>
      <c r="F92" s="40">
        <f t="shared" si="12"/>
        <v>0</v>
      </c>
      <c r="G92" s="40" t="e">
        <f>-PMT(Assumptions!B$25/12,Assumptions!B$24*12,F$8)*C92/100</f>
        <v>#NUM!</v>
      </c>
      <c r="H92" s="40" t="e">
        <f>G92*Assumptions!$B$24*12-F92</f>
        <v>#NUM!</v>
      </c>
      <c r="I92" s="48"/>
      <c r="J92" s="40">
        <f t="shared" si="13"/>
        <v>0</v>
      </c>
      <c r="K92" s="40" t="e">
        <f>-PMT(Assumptions!C$25/12,Assumptions!C$24*12,J$8)*C92/100</f>
        <v>#NUM!</v>
      </c>
      <c r="L92" s="40" t="e">
        <f>K92*Assumptions!$C$24*12-J92</f>
        <v>#NUM!</v>
      </c>
      <c r="M92" s="43"/>
      <c r="N92" s="40">
        <f t="shared" si="14"/>
        <v>1600</v>
      </c>
      <c r="O92" s="50">
        <f>-PMT(Assumptions!D$25/12,Assumptions!D$24*12,N$8)*C92/100</f>
        <v>16.970482438252038</v>
      </c>
      <c r="P92" s="44">
        <f>O92*Assumptions!$D$24*12-N92</f>
        <v>436.45789259024446</v>
      </c>
      <c r="Q92" s="48"/>
      <c r="R92" s="40">
        <f t="shared" si="15"/>
        <v>8000</v>
      </c>
      <c r="S92" s="40">
        <f>-PMT(Assumptions!E$25/12,Assumptions!E$24*12,$R$8)*$C92/100</f>
        <v>84.852412191260186</v>
      </c>
      <c r="T92" s="40">
        <f>S92*Assumptions!$E$24*12-R92</f>
        <v>2182.289462951223</v>
      </c>
      <c r="U92" s="48"/>
      <c r="V92" s="40">
        <f t="shared" si="16"/>
        <v>0</v>
      </c>
      <c r="W92" s="40" t="e">
        <f>-PMT(Assumptions!F$25/12,Assumptions!F$24*12,$V$8)*$C92/100</f>
        <v>#NUM!</v>
      </c>
      <c r="X92" s="40" t="e">
        <f>W92*Assumptions!$F$24*12-V92</f>
        <v>#NUM!</v>
      </c>
      <c r="Y92" s="43"/>
      <c r="Z92" s="40">
        <f t="shared" si="17"/>
        <v>0</v>
      </c>
      <c r="AA92" s="50" t="e">
        <f>-PMT(Assumptions!G$25/12,Assumptions!G$24*12,$Z$8)*$C92/100</f>
        <v>#NUM!</v>
      </c>
      <c r="AB92" s="44" t="e">
        <f>AA92*Assumptions!$G$24*12-Z92</f>
        <v>#NUM!</v>
      </c>
      <c r="AD92" s="54">
        <f t="shared" si="18"/>
        <v>0</v>
      </c>
      <c r="AE92" s="54">
        <f t="shared" si="19"/>
        <v>0</v>
      </c>
      <c r="AF92" s="54">
        <f t="shared" si="20"/>
        <v>1600</v>
      </c>
      <c r="AG92" s="54">
        <f t="shared" si="21"/>
        <v>8000</v>
      </c>
      <c r="AH92" s="54">
        <f t="shared" si="22"/>
        <v>0</v>
      </c>
      <c r="AI92" s="54">
        <f t="shared" si="23"/>
        <v>0</v>
      </c>
    </row>
    <row r="93" spans="1:35" ht="15" x14ac:dyDescent="0.2">
      <c r="A93" s="56" t="s">
        <v>188</v>
      </c>
      <c r="B93" s="32"/>
      <c r="C93" s="56">
        <v>0.151</v>
      </c>
      <c r="D93" s="56">
        <v>237.09</v>
      </c>
      <c r="E93" s="36"/>
      <c r="F93" s="40">
        <f t="shared" si="12"/>
        <v>0</v>
      </c>
      <c r="G93" s="40" t="e">
        <f>-PMT(Assumptions!B$25/12,Assumptions!B$24*12,F$8)*C93/100</f>
        <v>#NUM!</v>
      </c>
      <c r="H93" s="40" t="e">
        <f>G93*Assumptions!$B$24*12-F93</f>
        <v>#NUM!</v>
      </c>
      <c r="I93" s="48"/>
      <c r="J93" s="40">
        <f t="shared" si="13"/>
        <v>0</v>
      </c>
      <c r="K93" s="40" t="e">
        <f>-PMT(Assumptions!C$25/12,Assumptions!C$24*12,J$8)*C93/100</f>
        <v>#NUM!</v>
      </c>
      <c r="L93" s="40" t="e">
        <f>K93*Assumptions!$C$24*12-J93</f>
        <v>#NUM!</v>
      </c>
      <c r="M93" s="43"/>
      <c r="N93" s="40">
        <f t="shared" si="14"/>
        <v>1510</v>
      </c>
      <c r="O93" s="50">
        <f>-PMT(Assumptions!D$25/12,Assumptions!D$24*12,N$8)*C93/100</f>
        <v>16.015892801100357</v>
      </c>
      <c r="P93" s="44">
        <f>O93*Assumptions!$D$24*12-N93</f>
        <v>411.90713613204298</v>
      </c>
      <c r="Q93" s="48"/>
      <c r="R93" s="40">
        <f t="shared" si="15"/>
        <v>7550</v>
      </c>
      <c r="S93" s="40">
        <f>-PMT(Assumptions!E$25/12,Assumptions!E$24*12,$R$8)*$C93/100</f>
        <v>80.079464005501791</v>
      </c>
      <c r="T93" s="40">
        <f>S93*Assumptions!$E$24*12-R93</f>
        <v>2059.535680660214</v>
      </c>
      <c r="U93" s="48"/>
      <c r="V93" s="40">
        <f t="shared" si="16"/>
        <v>0</v>
      </c>
      <c r="W93" s="40" t="e">
        <f>-PMT(Assumptions!F$25/12,Assumptions!F$24*12,$V$8)*$C93/100</f>
        <v>#NUM!</v>
      </c>
      <c r="X93" s="40" t="e">
        <f>W93*Assumptions!$F$24*12-V93</f>
        <v>#NUM!</v>
      </c>
      <c r="Y93" s="43"/>
      <c r="Z93" s="40">
        <f t="shared" si="17"/>
        <v>0</v>
      </c>
      <c r="AA93" s="50" t="e">
        <f>-PMT(Assumptions!G$25/12,Assumptions!G$24*12,$Z$8)*$C93/100</f>
        <v>#NUM!</v>
      </c>
      <c r="AB93" s="44" t="e">
        <f>AA93*Assumptions!$G$24*12-Z93</f>
        <v>#NUM!</v>
      </c>
      <c r="AD93" s="54">
        <f t="shared" si="18"/>
        <v>0</v>
      </c>
      <c r="AE93" s="54">
        <f t="shared" si="19"/>
        <v>0</v>
      </c>
      <c r="AF93" s="54">
        <f t="shared" si="20"/>
        <v>1510</v>
      </c>
      <c r="AG93" s="54">
        <f t="shared" si="21"/>
        <v>7550</v>
      </c>
      <c r="AH93" s="54">
        <f t="shared" si="22"/>
        <v>0</v>
      </c>
      <c r="AI93" s="54">
        <f t="shared" si="23"/>
        <v>0</v>
      </c>
    </row>
    <row r="94" spans="1:35" ht="15" x14ac:dyDescent="0.2">
      <c r="A94" s="56" t="s">
        <v>189</v>
      </c>
      <c r="B94" s="32"/>
      <c r="C94" s="56">
        <v>0.16</v>
      </c>
      <c r="D94" s="56">
        <v>251.22</v>
      </c>
      <c r="E94" s="36"/>
      <c r="F94" s="40">
        <f t="shared" si="12"/>
        <v>0</v>
      </c>
      <c r="G94" s="40" t="e">
        <f>-PMT(Assumptions!B$25/12,Assumptions!B$24*12,F$8)*C94/100</f>
        <v>#NUM!</v>
      </c>
      <c r="H94" s="40" t="e">
        <f>G94*Assumptions!$B$24*12-F94</f>
        <v>#NUM!</v>
      </c>
      <c r="I94" s="48"/>
      <c r="J94" s="40">
        <f t="shared" si="13"/>
        <v>0</v>
      </c>
      <c r="K94" s="40" t="e">
        <f>-PMT(Assumptions!C$25/12,Assumptions!C$24*12,J$8)*C94/100</f>
        <v>#NUM!</v>
      </c>
      <c r="L94" s="40" t="e">
        <f>K94*Assumptions!$C$24*12-J94</f>
        <v>#NUM!</v>
      </c>
      <c r="M94" s="43"/>
      <c r="N94" s="40">
        <f t="shared" si="14"/>
        <v>1600</v>
      </c>
      <c r="O94" s="50">
        <f>-PMT(Assumptions!D$25/12,Assumptions!D$24*12,N$8)*C94/100</f>
        <v>16.970482438252038</v>
      </c>
      <c r="P94" s="44">
        <f>O94*Assumptions!$D$24*12-N94</f>
        <v>436.45789259024446</v>
      </c>
      <c r="Q94" s="48"/>
      <c r="R94" s="40">
        <f t="shared" si="15"/>
        <v>8000</v>
      </c>
      <c r="S94" s="40">
        <f>-PMT(Assumptions!E$25/12,Assumptions!E$24*12,$R$8)*$C94/100</f>
        <v>84.852412191260186</v>
      </c>
      <c r="T94" s="40">
        <f>S94*Assumptions!$E$24*12-R94</f>
        <v>2182.289462951223</v>
      </c>
      <c r="U94" s="48"/>
      <c r="V94" s="40">
        <f t="shared" si="16"/>
        <v>0</v>
      </c>
      <c r="W94" s="40" t="e">
        <f>-PMT(Assumptions!F$25/12,Assumptions!F$24*12,$V$8)*$C94/100</f>
        <v>#NUM!</v>
      </c>
      <c r="X94" s="40" t="e">
        <f>W94*Assumptions!$F$24*12-V94</f>
        <v>#NUM!</v>
      </c>
      <c r="Y94" s="43"/>
      <c r="Z94" s="40">
        <f t="shared" si="17"/>
        <v>0</v>
      </c>
      <c r="AA94" s="50" t="e">
        <f>-PMT(Assumptions!G$25/12,Assumptions!G$24*12,$Z$8)*$C94/100</f>
        <v>#NUM!</v>
      </c>
      <c r="AB94" s="44" t="e">
        <f>AA94*Assumptions!$G$24*12-Z94</f>
        <v>#NUM!</v>
      </c>
      <c r="AD94" s="54">
        <f t="shared" si="18"/>
        <v>0</v>
      </c>
      <c r="AE94" s="54">
        <f t="shared" si="19"/>
        <v>0</v>
      </c>
      <c r="AF94" s="54">
        <f t="shared" si="20"/>
        <v>1600</v>
      </c>
      <c r="AG94" s="54">
        <f t="shared" si="21"/>
        <v>8000</v>
      </c>
      <c r="AH94" s="54">
        <f t="shared" si="22"/>
        <v>0</v>
      </c>
      <c r="AI94" s="54">
        <f t="shared" si="23"/>
        <v>0</v>
      </c>
    </row>
    <row r="95" spans="1:35" ht="15" x14ac:dyDescent="0.2">
      <c r="A95" s="56" t="s">
        <v>190</v>
      </c>
      <c r="B95" s="32"/>
      <c r="C95" s="56">
        <v>0.22700000000000001</v>
      </c>
      <c r="D95" s="56">
        <v>356.41</v>
      </c>
      <c r="E95" s="36"/>
      <c r="F95" s="40">
        <f t="shared" si="12"/>
        <v>0</v>
      </c>
      <c r="G95" s="40" t="e">
        <f>-PMT(Assumptions!B$25/12,Assumptions!B$24*12,F$8)*C95/100</f>
        <v>#NUM!</v>
      </c>
      <c r="H95" s="40" t="e">
        <f>G95*Assumptions!$B$24*12-F95</f>
        <v>#NUM!</v>
      </c>
      <c r="I95" s="48"/>
      <c r="J95" s="40">
        <f t="shared" si="13"/>
        <v>0</v>
      </c>
      <c r="K95" s="40" t="e">
        <f>-PMT(Assumptions!C$25/12,Assumptions!C$24*12,J$8)*C95/100</f>
        <v>#NUM!</v>
      </c>
      <c r="L95" s="40" t="e">
        <f>K95*Assumptions!$C$24*12-J95</f>
        <v>#NUM!</v>
      </c>
      <c r="M95" s="43"/>
      <c r="N95" s="40">
        <f t="shared" si="14"/>
        <v>2270</v>
      </c>
      <c r="O95" s="50">
        <f>-PMT(Assumptions!D$25/12,Assumptions!D$24*12,N$8)*C95/100</f>
        <v>24.076871959270079</v>
      </c>
      <c r="P95" s="44">
        <f>O95*Assumptions!$D$24*12-N95</f>
        <v>619.22463511240949</v>
      </c>
      <c r="Q95" s="48"/>
      <c r="R95" s="40">
        <f t="shared" si="15"/>
        <v>11350</v>
      </c>
      <c r="S95" s="40">
        <f>-PMT(Assumptions!E$25/12,Assumptions!E$24*12,$R$8)*$C95/100</f>
        <v>120.3843597963504</v>
      </c>
      <c r="T95" s="40">
        <f>S95*Assumptions!$E$24*12-R95</f>
        <v>3096.1231755620465</v>
      </c>
      <c r="U95" s="48"/>
      <c r="V95" s="40">
        <f t="shared" si="16"/>
        <v>0</v>
      </c>
      <c r="W95" s="40" t="e">
        <f>-PMT(Assumptions!F$25/12,Assumptions!F$24*12,$V$8)*$C95/100</f>
        <v>#NUM!</v>
      </c>
      <c r="X95" s="40" t="e">
        <f>W95*Assumptions!$F$24*12-V95</f>
        <v>#NUM!</v>
      </c>
      <c r="Y95" s="43"/>
      <c r="Z95" s="40">
        <f t="shared" si="17"/>
        <v>0</v>
      </c>
      <c r="AA95" s="50" t="e">
        <f>-PMT(Assumptions!G$25/12,Assumptions!G$24*12,$Z$8)*$C95/100</f>
        <v>#NUM!</v>
      </c>
      <c r="AB95" s="44" t="e">
        <f>AA95*Assumptions!$G$24*12-Z95</f>
        <v>#NUM!</v>
      </c>
      <c r="AD95" s="54">
        <f t="shared" si="18"/>
        <v>0</v>
      </c>
      <c r="AE95" s="54">
        <f t="shared" si="19"/>
        <v>0</v>
      </c>
      <c r="AF95" s="54">
        <f t="shared" si="20"/>
        <v>2270</v>
      </c>
      <c r="AG95" s="54">
        <f t="shared" si="21"/>
        <v>11350</v>
      </c>
      <c r="AH95" s="54">
        <f t="shared" si="22"/>
        <v>0</v>
      </c>
      <c r="AI95" s="54">
        <f t="shared" si="23"/>
        <v>0</v>
      </c>
    </row>
    <row r="96" spans="1:35" ht="15" x14ac:dyDescent="0.2">
      <c r="A96" s="56" t="s">
        <v>191</v>
      </c>
      <c r="B96" s="32"/>
      <c r="C96" s="56">
        <v>0.23599999999999999</v>
      </c>
      <c r="D96" s="56">
        <v>370.54</v>
      </c>
      <c r="E96" s="36"/>
      <c r="F96" s="40">
        <f t="shared" si="12"/>
        <v>0</v>
      </c>
      <c r="G96" s="40" t="e">
        <f>-PMT(Assumptions!B$25/12,Assumptions!B$24*12,F$8)*C96/100</f>
        <v>#NUM!</v>
      </c>
      <c r="H96" s="40" t="e">
        <f>G96*Assumptions!$B$24*12-F96</f>
        <v>#NUM!</v>
      </c>
      <c r="I96" s="48"/>
      <c r="J96" s="40">
        <f t="shared" si="13"/>
        <v>0</v>
      </c>
      <c r="K96" s="40" t="e">
        <f>-PMT(Assumptions!C$25/12,Assumptions!C$24*12,J$8)*C96/100</f>
        <v>#NUM!</v>
      </c>
      <c r="L96" s="40" t="e">
        <f>K96*Assumptions!$C$24*12-J96</f>
        <v>#NUM!</v>
      </c>
      <c r="M96" s="43"/>
      <c r="N96" s="40">
        <f t="shared" si="14"/>
        <v>2360</v>
      </c>
      <c r="O96" s="50">
        <f>-PMT(Assumptions!D$25/12,Assumptions!D$24*12,N$8)*C96/100</f>
        <v>25.031461596421753</v>
      </c>
      <c r="P96" s="44">
        <f>O96*Assumptions!$D$24*12-N96</f>
        <v>643.77539157061028</v>
      </c>
      <c r="Q96" s="48"/>
      <c r="R96" s="40">
        <f t="shared" si="15"/>
        <v>11800</v>
      </c>
      <c r="S96" s="40">
        <f>-PMT(Assumptions!E$25/12,Assumptions!E$24*12,$R$8)*$C96/100</f>
        <v>125.15730798210878</v>
      </c>
      <c r="T96" s="40">
        <f>S96*Assumptions!$E$24*12-R96</f>
        <v>3218.8769578530519</v>
      </c>
      <c r="U96" s="48"/>
      <c r="V96" s="40">
        <f t="shared" si="16"/>
        <v>0</v>
      </c>
      <c r="W96" s="40" t="e">
        <f>-PMT(Assumptions!F$25/12,Assumptions!F$24*12,$V$8)*$C96/100</f>
        <v>#NUM!</v>
      </c>
      <c r="X96" s="40" t="e">
        <f>W96*Assumptions!$F$24*12-V96</f>
        <v>#NUM!</v>
      </c>
      <c r="Y96" s="43"/>
      <c r="Z96" s="40">
        <f t="shared" si="17"/>
        <v>0</v>
      </c>
      <c r="AA96" s="50" t="e">
        <f>-PMT(Assumptions!G$25/12,Assumptions!G$24*12,$Z$8)*$C96/100</f>
        <v>#NUM!</v>
      </c>
      <c r="AB96" s="44" t="e">
        <f>AA96*Assumptions!$G$24*12-Z96</f>
        <v>#NUM!</v>
      </c>
      <c r="AD96" s="54">
        <f t="shared" si="18"/>
        <v>0</v>
      </c>
      <c r="AE96" s="54">
        <f t="shared" si="19"/>
        <v>0</v>
      </c>
      <c r="AF96" s="54">
        <f t="shared" si="20"/>
        <v>2360</v>
      </c>
      <c r="AG96" s="54">
        <f t="shared" si="21"/>
        <v>11800</v>
      </c>
      <c r="AH96" s="54">
        <f t="shared" si="22"/>
        <v>0</v>
      </c>
      <c r="AI96" s="54">
        <f t="shared" si="23"/>
        <v>0</v>
      </c>
    </row>
    <row r="97" spans="1:35" ht="15" x14ac:dyDescent="0.2">
      <c r="A97" s="56" t="s">
        <v>192</v>
      </c>
      <c r="B97" s="32"/>
      <c r="C97" s="56">
        <v>0.21199999999999999</v>
      </c>
      <c r="D97" s="56">
        <v>332.86</v>
      </c>
      <c r="E97" s="36"/>
      <c r="F97" s="40">
        <f t="shared" si="12"/>
        <v>0</v>
      </c>
      <c r="G97" s="40" t="e">
        <f>-PMT(Assumptions!B$25/12,Assumptions!B$24*12,F$8)*C97/100</f>
        <v>#NUM!</v>
      </c>
      <c r="H97" s="40" t="e">
        <f>G97*Assumptions!$B$24*12-F97</f>
        <v>#NUM!</v>
      </c>
      <c r="I97" s="48"/>
      <c r="J97" s="40">
        <f t="shared" si="13"/>
        <v>0</v>
      </c>
      <c r="K97" s="40" t="e">
        <f>-PMT(Assumptions!C$25/12,Assumptions!C$24*12,J$8)*C97/100</f>
        <v>#NUM!</v>
      </c>
      <c r="L97" s="40" t="e">
        <f>K97*Assumptions!$C$24*12-J97</f>
        <v>#NUM!</v>
      </c>
      <c r="M97" s="43"/>
      <c r="N97" s="40">
        <f t="shared" si="14"/>
        <v>2120</v>
      </c>
      <c r="O97" s="50">
        <f>-PMT(Assumptions!D$25/12,Assumptions!D$24*12,N$8)*C97/100</f>
        <v>22.485889230683949</v>
      </c>
      <c r="P97" s="44">
        <f>O97*Assumptions!$D$24*12-N97</f>
        <v>578.30670768207392</v>
      </c>
      <c r="Q97" s="48"/>
      <c r="R97" s="40">
        <f t="shared" si="15"/>
        <v>10600</v>
      </c>
      <c r="S97" s="40">
        <f>-PMT(Assumptions!E$25/12,Assumptions!E$24*12,$R$8)*$C97/100</f>
        <v>112.42944615341975</v>
      </c>
      <c r="T97" s="40">
        <f>S97*Assumptions!$E$24*12-R97</f>
        <v>2891.533538410371</v>
      </c>
      <c r="U97" s="48"/>
      <c r="V97" s="40">
        <f t="shared" si="16"/>
        <v>0</v>
      </c>
      <c r="W97" s="40" t="e">
        <f>-PMT(Assumptions!F$25/12,Assumptions!F$24*12,$V$8)*$C97/100</f>
        <v>#NUM!</v>
      </c>
      <c r="X97" s="40" t="e">
        <f>W97*Assumptions!$F$24*12-V97</f>
        <v>#NUM!</v>
      </c>
      <c r="Y97" s="43"/>
      <c r="Z97" s="40">
        <f t="shared" si="17"/>
        <v>0</v>
      </c>
      <c r="AA97" s="50" t="e">
        <f>-PMT(Assumptions!G$25/12,Assumptions!G$24*12,$Z$8)*$C97/100</f>
        <v>#NUM!</v>
      </c>
      <c r="AB97" s="44" t="e">
        <f>AA97*Assumptions!$G$24*12-Z97</f>
        <v>#NUM!</v>
      </c>
      <c r="AD97" s="54">
        <f t="shared" si="18"/>
        <v>0</v>
      </c>
      <c r="AE97" s="54">
        <f t="shared" si="19"/>
        <v>0</v>
      </c>
      <c r="AF97" s="54">
        <f t="shared" si="20"/>
        <v>2120</v>
      </c>
      <c r="AG97" s="54">
        <f t="shared" si="21"/>
        <v>10600</v>
      </c>
      <c r="AH97" s="54">
        <f t="shared" si="22"/>
        <v>0</v>
      </c>
      <c r="AI97" s="54">
        <f t="shared" si="23"/>
        <v>0</v>
      </c>
    </row>
    <row r="98" spans="1:35" ht="15" x14ac:dyDescent="0.2">
      <c r="A98" s="56" t="s">
        <v>193</v>
      </c>
      <c r="B98" s="32"/>
      <c r="C98" s="56">
        <v>0.21199999999999999</v>
      </c>
      <c r="D98" s="56">
        <v>332.86</v>
      </c>
      <c r="E98" s="36"/>
      <c r="F98" s="40">
        <f t="shared" si="12"/>
        <v>0</v>
      </c>
      <c r="G98" s="40" t="e">
        <f>-PMT(Assumptions!B$25/12,Assumptions!B$24*12,F$8)*C98/100</f>
        <v>#NUM!</v>
      </c>
      <c r="H98" s="40" t="e">
        <f>G98*Assumptions!$B$24*12-F98</f>
        <v>#NUM!</v>
      </c>
      <c r="I98" s="48"/>
      <c r="J98" s="40">
        <f t="shared" si="13"/>
        <v>0</v>
      </c>
      <c r="K98" s="40" t="e">
        <f>-PMT(Assumptions!C$25/12,Assumptions!C$24*12,J$8)*C98/100</f>
        <v>#NUM!</v>
      </c>
      <c r="L98" s="40" t="e">
        <f>K98*Assumptions!$C$24*12-J98</f>
        <v>#NUM!</v>
      </c>
      <c r="M98" s="43"/>
      <c r="N98" s="40">
        <f t="shared" si="14"/>
        <v>2120</v>
      </c>
      <c r="O98" s="50">
        <f>-PMT(Assumptions!D$25/12,Assumptions!D$24*12,N$8)*C98/100</f>
        <v>22.485889230683949</v>
      </c>
      <c r="P98" s="44">
        <f>O98*Assumptions!$D$24*12-N98</f>
        <v>578.30670768207392</v>
      </c>
      <c r="Q98" s="48"/>
      <c r="R98" s="40">
        <f t="shared" si="15"/>
        <v>10600</v>
      </c>
      <c r="S98" s="40">
        <f>-PMT(Assumptions!E$25/12,Assumptions!E$24*12,$R$8)*$C98/100</f>
        <v>112.42944615341975</v>
      </c>
      <c r="T98" s="40">
        <f>S98*Assumptions!$E$24*12-R98</f>
        <v>2891.533538410371</v>
      </c>
      <c r="U98" s="48"/>
      <c r="V98" s="40">
        <f t="shared" si="16"/>
        <v>0</v>
      </c>
      <c r="W98" s="40" t="e">
        <f>-PMT(Assumptions!F$25/12,Assumptions!F$24*12,$V$8)*$C98/100</f>
        <v>#NUM!</v>
      </c>
      <c r="X98" s="40" t="e">
        <f>W98*Assumptions!$F$24*12-V98</f>
        <v>#NUM!</v>
      </c>
      <c r="Y98" s="43"/>
      <c r="Z98" s="40">
        <f t="shared" si="17"/>
        <v>0</v>
      </c>
      <c r="AA98" s="50" t="e">
        <f>-PMT(Assumptions!G$25/12,Assumptions!G$24*12,$Z$8)*$C98/100</f>
        <v>#NUM!</v>
      </c>
      <c r="AB98" s="44" t="e">
        <f>AA98*Assumptions!$G$24*12-Z98</f>
        <v>#NUM!</v>
      </c>
      <c r="AD98" s="54">
        <f t="shared" si="18"/>
        <v>0</v>
      </c>
      <c r="AE98" s="54">
        <f t="shared" si="19"/>
        <v>0</v>
      </c>
      <c r="AF98" s="54">
        <f t="shared" si="20"/>
        <v>2120</v>
      </c>
      <c r="AG98" s="54">
        <f t="shared" si="21"/>
        <v>10600</v>
      </c>
      <c r="AH98" s="54">
        <f t="shared" si="22"/>
        <v>0</v>
      </c>
      <c r="AI98" s="54">
        <f t="shared" si="23"/>
        <v>0</v>
      </c>
    </row>
    <row r="99" spans="1:35" ht="15" x14ac:dyDescent="0.2">
      <c r="A99" s="56" t="s">
        <v>194</v>
      </c>
      <c r="B99" s="32"/>
      <c r="C99" s="56">
        <v>0.28999999999999998</v>
      </c>
      <c r="D99" s="56">
        <v>455.33</v>
      </c>
      <c r="E99" s="36"/>
      <c r="F99" s="40">
        <f t="shared" si="12"/>
        <v>0</v>
      </c>
      <c r="G99" s="40" t="e">
        <f>-PMT(Assumptions!B$25/12,Assumptions!B$24*12,F$8)*C99/100</f>
        <v>#NUM!</v>
      </c>
      <c r="H99" s="40" t="e">
        <f>G99*Assumptions!$B$24*12-F99</f>
        <v>#NUM!</v>
      </c>
      <c r="I99" s="48"/>
      <c r="J99" s="40">
        <f t="shared" si="13"/>
        <v>0</v>
      </c>
      <c r="K99" s="40" t="e">
        <f>-PMT(Assumptions!C$25/12,Assumptions!C$24*12,J$8)*C99/100</f>
        <v>#NUM!</v>
      </c>
      <c r="L99" s="40" t="e">
        <f>K99*Assumptions!$C$24*12-J99</f>
        <v>#NUM!</v>
      </c>
      <c r="M99" s="43"/>
      <c r="N99" s="40">
        <f t="shared" si="14"/>
        <v>2900</v>
      </c>
      <c r="O99" s="50">
        <f>-PMT(Assumptions!D$25/12,Assumptions!D$24*12,N$8)*C99/100</f>
        <v>30.758999419331811</v>
      </c>
      <c r="P99" s="44">
        <f>O99*Assumptions!$D$24*12-N99</f>
        <v>791.07993031981732</v>
      </c>
      <c r="Q99" s="48"/>
      <c r="R99" s="40">
        <f t="shared" si="15"/>
        <v>14500</v>
      </c>
      <c r="S99" s="40">
        <f>-PMT(Assumptions!E$25/12,Assumptions!E$24*12,$R$8)*$C99/100</f>
        <v>153.79499709665907</v>
      </c>
      <c r="T99" s="40">
        <f>S99*Assumptions!$E$24*12-R99</f>
        <v>3955.3996515990875</v>
      </c>
      <c r="U99" s="48"/>
      <c r="V99" s="40">
        <f t="shared" si="16"/>
        <v>0</v>
      </c>
      <c r="W99" s="40" t="e">
        <f>-PMT(Assumptions!F$25/12,Assumptions!F$24*12,$V$8)*$C99/100</f>
        <v>#NUM!</v>
      </c>
      <c r="X99" s="40" t="e">
        <f>W99*Assumptions!$F$24*12-V99</f>
        <v>#NUM!</v>
      </c>
      <c r="Y99" s="43"/>
      <c r="Z99" s="40">
        <f t="shared" si="17"/>
        <v>0</v>
      </c>
      <c r="AA99" s="50" t="e">
        <f>-PMT(Assumptions!G$25/12,Assumptions!G$24*12,$Z$8)*$C99/100</f>
        <v>#NUM!</v>
      </c>
      <c r="AB99" s="44" t="e">
        <f>AA99*Assumptions!$G$24*12-Z99</f>
        <v>#NUM!</v>
      </c>
      <c r="AD99" s="54">
        <f t="shared" si="18"/>
        <v>0</v>
      </c>
      <c r="AE99" s="54">
        <f t="shared" si="19"/>
        <v>0</v>
      </c>
      <c r="AF99" s="54">
        <f t="shared" si="20"/>
        <v>2900</v>
      </c>
      <c r="AG99" s="54">
        <f t="shared" si="21"/>
        <v>14500</v>
      </c>
      <c r="AH99" s="54">
        <f t="shared" si="22"/>
        <v>0</v>
      </c>
      <c r="AI99" s="54">
        <f t="shared" si="23"/>
        <v>0</v>
      </c>
    </row>
    <row r="100" spans="1:35" ht="15" x14ac:dyDescent="0.2">
      <c r="A100" s="56" t="s">
        <v>195</v>
      </c>
      <c r="B100" s="32"/>
      <c r="C100" s="56">
        <v>0.28999999999999998</v>
      </c>
      <c r="D100" s="56">
        <v>455.33</v>
      </c>
      <c r="E100" s="36"/>
      <c r="F100" s="40">
        <f t="shared" si="12"/>
        <v>0</v>
      </c>
      <c r="G100" s="40" t="e">
        <f>-PMT(Assumptions!B$25/12,Assumptions!B$24*12,F$8)*C100/100</f>
        <v>#NUM!</v>
      </c>
      <c r="H100" s="40" t="e">
        <f>G100*Assumptions!$B$24*12-F100</f>
        <v>#NUM!</v>
      </c>
      <c r="I100" s="48"/>
      <c r="J100" s="40">
        <f t="shared" si="13"/>
        <v>0</v>
      </c>
      <c r="K100" s="40" t="e">
        <f>-PMT(Assumptions!C$25/12,Assumptions!C$24*12,J$8)*C100/100</f>
        <v>#NUM!</v>
      </c>
      <c r="L100" s="40" t="e">
        <f>K100*Assumptions!$C$24*12-J100</f>
        <v>#NUM!</v>
      </c>
      <c r="M100" s="43"/>
      <c r="N100" s="40">
        <f t="shared" si="14"/>
        <v>2900</v>
      </c>
      <c r="O100" s="50">
        <f>-PMT(Assumptions!D$25/12,Assumptions!D$24*12,N$8)*C100/100</f>
        <v>30.758999419331811</v>
      </c>
      <c r="P100" s="44">
        <f>O100*Assumptions!$D$24*12-N100</f>
        <v>791.07993031981732</v>
      </c>
      <c r="Q100" s="48"/>
      <c r="R100" s="40">
        <f t="shared" si="15"/>
        <v>14500</v>
      </c>
      <c r="S100" s="40">
        <f>-PMT(Assumptions!E$25/12,Assumptions!E$24*12,$R$8)*$C100/100</f>
        <v>153.79499709665907</v>
      </c>
      <c r="T100" s="40">
        <f>S100*Assumptions!$E$24*12-R100</f>
        <v>3955.3996515990875</v>
      </c>
      <c r="U100" s="48"/>
      <c r="V100" s="40">
        <f t="shared" si="16"/>
        <v>0</v>
      </c>
      <c r="W100" s="40" t="e">
        <f>-PMT(Assumptions!F$25/12,Assumptions!F$24*12,$V$8)*$C100/100</f>
        <v>#NUM!</v>
      </c>
      <c r="X100" s="40" t="e">
        <f>W100*Assumptions!$F$24*12-V100</f>
        <v>#NUM!</v>
      </c>
      <c r="Y100" s="43"/>
      <c r="Z100" s="40">
        <f t="shared" si="17"/>
        <v>0</v>
      </c>
      <c r="AA100" s="50" t="e">
        <f>-PMT(Assumptions!G$25/12,Assumptions!G$24*12,$Z$8)*$C100/100</f>
        <v>#NUM!</v>
      </c>
      <c r="AB100" s="44" t="e">
        <f>AA100*Assumptions!$G$24*12-Z100</f>
        <v>#NUM!</v>
      </c>
      <c r="AD100" s="54">
        <f t="shared" si="18"/>
        <v>0</v>
      </c>
      <c r="AE100" s="54">
        <f t="shared" si="19"/>
        <v>0</v>
      </c>
      <c r="AF100" s="54">
        <f t="shared" si="20"/>
        <v>2900</v>
      </c>
      <c r="AG100" s="54">
        <f t="shared" si="21"/>
        <v>14500</v>
      </c>
      <c r="AH100" s="54">
        <f t="shared" si="22"/>
        <v>0</v>
      </c>
      <c r="AI100" s="54">
        <f t="shared" si="23"/>
        <v>0</v>
      </c>
    </row>
    <row r="101" spans="1:35" ht="15" x14ac:dyDescent="0.2">
      <c r="A101" s="56" t="s">
        <v>196</v>
      </c>
      <c r="B101" s="32"/>
      <c r="C101" s="56">
        <v>0.309</v>
      </c>
      <c r="D101" s="56">
        <v>485.16</v>
      </c>
      <c r="E101" s="36"/>
      <c r="F101" s="40">
        <f t="shared" si="12"/>
        <v>0</v>
      </c>
      <c r="G101" s="40" t="e">
        <f>-PMT(Assumptions!B$25/12,Assumptions!B$24*12,F$8)*C101/100</f>
        <v>#NUM!</v>
      </c>
      <c r="H101" s="40" t="e">
        <f>G101*Assumptions!$B$24*12-F101</f>
        <v>#NUM!</v>
      </c>
      <c r="I101" s="48"/>
      <c r="J101" s="40">
        <f t="shared" si="13"/>
        <v>0</v>
      </c>
      <c r="K101" s="40" t="e">
        <f>-PMT(Assumptions!C$25/12,Assumptions!C$24*12,J$8)*C101/100</f>
        <v>#NUM!</v>
      </c>
      <c r="L101" s="40" t="e">
        <f>K101*Assumptions!$C$24*12-J101</f>
        <v>#NUM!</v>
      </c>
      <c r="M101" s="43"/>
      <c r="N101" s="40">
        <f t="shared" si="14"/>
        <v>3090</v>
      </c>
      <c r="O101" s="50">
        <f>-PMT(Assumptions!D$25/12,Assumptions!D$24*12,N$8)*C101/100</f>
        <v>32.774244208874251</v>
      </c>
      <c r="P101" s="44">
        <f>O101*Assumptions!$D$24*12-N101</f>
        <v>842.90930506490986</v>
      </c>
      <c r="Q101" s="48"/>
      <c r="R101" s="40">
        <f t="shared" si="15"/>
        <v>15450</v>
      </c>
      <c r="S101" s="40">
        <f>-PMT(Assumptions!E$25/12,Assumptions!E$24*12,$R$8)*$C101/100</f>
        <v>163.87122104437123</v>
      </c>
      <c r="T101" s="40">
        <f>S101*Assumptions!$E$24*12-R101</f>
        <v>4214.5465253245457</v>
      </c>
      <c r="U101" s="48"/>
      <c r="V101" s="40">
        <f t="shared" si="16"/>
        <v>0</v>
      </c>
      <c r="W101" s="40" t="e">
        <f>-PMT(Assumptions!F$25/12,Assumptions!F$24*12,$V$8)*$C101/100</f>
        <v>#NUM!</v>
      </c>
      <c r="X101" s="40" t="e">
        <f>W101*Assumptions!$F$24*12-V101</f>
        <v>#NUM!</v>
      </c>
      <c r="Y101" s="43"/>
      <c r="Z101" s="40">
        <f t="shared" si="17"/>
        <v>0</v>
      </c>
      <c r="AA101" s="50" t="e">
        <f>-PMT(Assumptions!G$25/12,Assumptions!G$24*12,$Z$8)*$C101/100</f>
        <v>#NUM!</v>
      </c>
      <c r="AB101" s="44" t="e">
        <f>AA101*Assumptions!$G$24*12-Z101</f>
        <v>#NUM!</v>
      </c>
      <c r="AD101" s="54">
        <f t="shared" si="18"/>
        <v>0</v>
      </c>
      <c r="AE101" s="54">
        <f t="shared" si="19"/>
        <v>0</v>
      </c>
      <c r="AF101" s="54">
        <f t="shared" si="20"/>
        <v>3090</v>
      </c>
      <c r="AG101" s="54">
        <f t="shared" si="21"/>
        <v>15450</v>
      </c>
      <c r="AH101" s="54">
        <f t="shared" si="22"/>
        <v>0</v>
      </c>
      <c r="AI101" s="54">
        <f t="shared" si="23"/>
        <v>0</v>
      </c>
    </row>
    <row r="102" spans="1:35" ht="15" x14ac:dyDescent="0.2">
      <c r="A102" s="56" t="s">
        <v>197</v>
      </c>
      <c r="B102" s="32"/>
      <c r="C102" s="56">
        <v>0.309</v>
      </c>
      <c r="D102" s="56">
        <v>485.16</v>
      </c>
      <c r="E102" s="36"/>
      <c r="F102" s="40">
        <f t="shared" si="12"/>
        <v>0</v>
      </c>
      <c r="G102" s="40" t="e">
        <f>-PMT(Assumptions!B$25/12,Assumptions!B$24*12,F$8)*C102/100</f>
        <v>#NUM!</v>
      </c>
      <c r="H102" s="40" t="e">
        <f>G102*Assumptions!$B$24*12-F102</f>
        <v>#NUM!</v>
      </c>
      <c r="I102" s="48"/>
      <c r="J102" s="40">
        <f t="shared" si="13"/>
        <v>0</v>
      </c>
      <c r="K102" s="40" t="e">
        <f>-PMT(Assumptions!C$25/12,Assumptions!C$24*12,J$8)*C102/100</f>
        <v>#NUM!</v>
      </c>
      <c r="L102" s="40" t="e">
        <f>K102*Assumptions!$C$24*12-J102</f>
        <v>#NUM!</v>
      </c>
      <c r="M102" s="43"/>
      <c r="N102" s="40">
        <f t="shared" si="14"/>
        <v>3090</v>
      </c>
      <c r="O102" s="50">
        <f>-PMT(Assumptions!D$25/12,Assumptions!D$24*12,N$8)*C102/100</f>
        <v>32.774244208874251</v>
      </c>
      <c r="P102" s="44">
        <f>O102*Assumptions!$D$24*12-N102</f>
        <v>842.90930506490986</v>
      </c>
      <c r="Q102" s="48"/>
      <c r="R102" s="40">
        <f t="shared" si="15"/>
        <v>15450</v>
      </c>
      <c r="S102" s="40">
        <f>-PMT(Assumptions!E$25/12,Assumptions!E$24*12,$R$8)*$C102/100</f>
        <v>163.87122104437123</v>
      </c>
      <c r="T102" s="40">
        <f>S102*Assumptions!$E$24*12-R102</f>
        <v>4214.5465253245457</v>
      </c>
      <c r="U102" s="48"/>
      <c r="V102" s="40">
        <f t="shared" si="16"/>
        <v>0</v>
      </c>
      <c r="W102" s="40" t="e">
        <f>-PMT(Assumptions!F$25/12,Assumptions!F$24*12,$V$8)*$C102/100</f>
        <v>#NUM!</v>
      </c>
      <c r="X102" s="40" t="e">
        <f>W102*Assumptions!$F$24*12-V102</f>
        <v>#NUM!</v>
      </c>
      <c r="Y102" s="43"/>
      <c r="Z102" s="40">
        <f t="shared" si="17"/>
        <v>0</v>
      </c>
      <c r="AA102" s="50" t="e">
        <f>-PMT(Assumptions!G$25/12,Assumptions!G$24*12,$Z$8)*$C102/100</f>
        <v>#NUM!</v>
      </c>
      <c r="AB102" s="44" t="e">
        <f>AA102*Assumptions!$G$24*12-Z102</f>
        <v>#NUM!</v>
      </c>
      <c r="AD102" s="54">
        <f t="shared" si="18"/>
        <v>0</v>
      </c>
      <c r="AE102" s="54">
        <f t="shared" si="19"/>
        <v>0</v>
      </c>
      <c r="AF102" s="54">
        <f t="shared" si="20"/>
        <v>3090</v>
      </c>
      <c r="AG102" s="54">
        <f t="shared" si="21"/>
        <v>15450</v>
      </c>
      <c r="AH102" s="54">
        <f t="shared" si="22"/>
        <v>0</v>
      </c>
      <c r="AI102" s="54">
        <f t="shared" si="23"/>
        <v>0</v>
      </c>
    </row>
    <row r="103" spans="1:35" ht="15" x14ac:dyDescent="0.2">
      <c r="A103" s="56" t="s">
        <v>198</v>
      </c>
      <c r="B103" s="32"/>
      <c r="C103" s="56">
        <v>0.19800000000000001</v>
      </c>
      <c r="D103" s="56">
        <v>310.88</v>
      </c>
      <c r="E103" s="36"/>
      <c r="F103" s="40">
        <f t="shared" si="12"/>
        <v>0</v>
      </c>
      <c r="G103" s="40" t="e">
        <f>-PMT(Assumptions!B$25/12,Assumptions!B$24*12,F$8)*C103/100</f>
        <v>#NUM!</v>
      </c>
      <c r="H103" s="40" t="e">
        <f>G103*Assumptions!$B$24*12-F103</f>
        <v>#NUM!</v>
      </c>
      <c r="I103" s="48"/>
      <c r="J103" s="40">
        <f t="shared" si="13"/>
        <v>0</v>
      </c>
      <c r="K103" s="40" t="e">
        <f>-PMT(Assumptions!C$25/12,Assumptions!C$24*12,J$8)*C103/100</f>
        <v>#NUM!</v>
      </c>
      <c r="L103" s="40" t="e">
        <f>K103*Assumptions!$C$24*12-J103</f>
        <v>#NUM!</v>
      </c>
      <c r="M103" s="43"/>
      <c r="N103" s="40">
        <f t="shared" si="14"/>
        <v>1980</v>
      </c>
      <c r="O103" s="50">
        <f>-PMT(Assumptions!D$25/12,Assumptions!D$24*12,N$8)*C103/100</f>
        <v>21.000972017336899</v>
      </c>
      <c r="P103" s="44">
        <f>O103*Assumptions!$D$24*12-N103</f>
        <v>540.11664208042748</v>
      </c>
      <c r="Q103" s="48"/>
      <c r="R103" s="40">
        <f t="shared" si="15"/>
        <v>9900</v>
      </c>
      <c r="S103" s="40">
        <f>-PMT(Assumptions!E$25/12,Assumptions!E$24*12,$R$8)*$C103/100</f>
        <v>105.00486008668449</v>
      </c>
      <c r="T103" s="40">
        <f>S103*Assumptions!$E$24*12-R103</f>
        <v>2700.5832104021392</v>
      </c>
      <c r="U103" s="48"/>
      <c r="V103" s="40">
        <f t="shared" si="16"/>
        <v>0</v>
      </c>
      <c r="W103" s="40" t="e">
        <f>-PMT(Assumptions!F$25/12,Assumptions!F$24*12,$V$8)*$C103/100</f>
        <v>#NUM!</v>
      </c>
      <c r="X103" s="40" t="e">
        <f>W103*Assumptions!$F$24*12-V103</f>
        <v>#NUM!</v>
      </c>
      <c r="Y103" s="43"/>
      <c r="Z103" s="40">
        <f t="shared" si="17"/>
        <v>0</v>
      </c>
      <c r="AA103" s="50" t="e">
        <f>-PMT(Assumptions!G$25/12,Assumptions!G$24*12,$Z$8)*$C103/100</f>
        <v>#NUM!</v>
      </c>
      <c r="AB103" s="44" t="e">
        <f>AA103*Assumptions!$G$24*12-Z103</f>
        <v>#NUM!</v>
      </c>
      <c r="AD103" s="54">
        <f t="shared" si="18"/>
        <v>0</v>
      </c>
      <c r="AE103" s="54">
        <f t="shared" si="19"/>
        <v>0</v>
      </c>
      <c r="AF103" s="54">
        <f t="shared" si="20"/>
        <v>1980</v>
      </c>
      <c r="AG103" s="54">
        <f t="shared" si="21"/>
        <v>9900</v>
      </c>
      <c r="AH103" s="54">
        <f t="shared" si="22"/>
        <v>0</v>
      </c>
      <c r="AI103" s="54">
        <f t="shared" si="23"/>
        <v>0</v>
      </c>
    </row>
    <row r="104" spans="1:35" ht="15" x14ac:dyDescent="0.2">
      <c r="A104" s="56" t="s">
        <v>199</v>
      </c>
      <c r="B104" s="32"/>
      <c r="C104" s="56">
        <v>0.19800000000000001</v>
      </c>
      <c r="D104" s="56">
        <v>310.88</v>
      </c>
      <c r="E104" s="36"/>
      <c r="F104" s="40">
        <f t="shared" si="12"/>
        <v>0</v>
      </c>
      <c r="G104" s="40" t="e">
        <f>-PMT(Assumptions!B$25/12,Assumptions!B$24*12,F$8)*C104/100</f>
        <v>#NUM!</v>
      </c>
      <c r="H104" s="40" t="e">
        <f>G104*Assumptions!$B$24*12-F104</f>
        <v>#NUM!</v>
      </c>
      <c r="I104" s="48"/>
      <c r="J104" s="40">
        <f t="shared" si="13"/>
        <v>0</v>
      </c>
      <c r="K104" s="40" t="e">
        <f>-PMT(Assumptions!C$25/12,Assumptions!C$24*12,J$8)*C104/100</f>
        <v>#NUM!</v>
      </c>
      <c r="L104" s="40" t="e">
        <f>K104*Assumptions!$C$24*12-J104</f>
        <v>#NUM!</v>
      </c>
      <c r="M104" s="43"/>
      <c r="N104" s="40">
        <f t="shared" si="14"/>
        <v>1980</v>
      </c>
      <c r="O104" s="50">
        <f>-PMT(Assumptions!D$25/12,Assumptions!D$24*12,N$8)*C104/100</f>
        <v>21.000972017336899</v>
      </c>
      <c r="P104" s="44">
        <f>O104*Assumptions!$D$24*12-N104</f>
        <v>540.11664208042748</v>
      </c>
      <c r="Q104" s="48"/>
      <c r="R104" s="40">
        <f t="shared" si="15"/>
        <v>9900</v>
      </c>
      <c r="S104" s="40">
        <f>-PMT(Assumptions!E$25/12,Assumptions!E$24*12,$R$8)*$C104/100</f>
        <v>105.00486008668449</v>
      </c>
      <c r="T104" s="40">
        <f>S104*Assumptions!$E$24*12-R104</f>
        <v>2700.5832104021392</v>
      </c>
      <c r="U104" s="48"/>
      <c r="V104" s="40">
        <f t="shared" si="16"/>
        <v>0</v>
      </c>
      <c r="W104" s="40" t="e">
        <f>-PMT(Assumptions!F$25/12,Assumptions!F$24*12,$V$8)*$C104/100</f>
        <v>#NUM!</v>
      </c>
      <c r="X104" s="40" t="e">
        <f>W104*Assumptions!$F$24*12-V104</f>
        <v>#NUM!</v>
      </c>
      <c r="Y104" s="43"/>
      <c r="Z104" s="40">
        <f t="shared" si="17"/>
        <v>0</v>
      </c>
      <c r="AA104" s="50" t="e">
        <f>-PMT(Assumptions!G$25/12,Assumptions!G$24*12,$Z$8)*$C104/100</f>
        <v>#NUM!</v>
      </c>
      <c r="AB104" s="44" t="e">
        <f>AA104*Assumptions!$G$24*12-Z104</f>
        <v>#NUM!</v>
      </c>
      <c r="AD104" s="54">
        <f t="shared" si="18"/>
        <v>0</v>
      </c>
      <c r="AE104" s="54">
        <f t="shared" si="19"/>
        <v>0</v>
      </c>
      <c r="AF104" s="54">
        <f t="shared" si="20"/>
        <v>1980</v>
      </c>
      <c r="AG104" s="54">
        <f t="shared" si="21"/>
        <v>9900</v>
      </c>
      <c r="AH104" s="54">
        <f t="shared" si="22"/>
        <v>0</v>
      </c>
      <c r="AI104" s="54">
        <f t="shared" si="23"/>
        <v>0</v>
      </c>
    </row>
    <row r="105" spans="1:35" ht="15" x14ac:dyDescent="0.2">
      <c r="A105" s="56" t="s">
        <v>200</v>
      </c>
      <c r="B105" s="32"/>
      <c r="C105" s="56">
        <v>0.14299999999999999</v>
      </c>
      <c r="D105" s="56">
        <v>224.52</v>
      </c>
      <c r="E105" s="36"/>
      <c r="F105" s="40">
        <f t="shared" si="12"/>
        <v>0</v>
      </c>
      <c r="G105" s="40" t="e">
        <f>-PMT(Assumptions!B$25/12,Assumptions!B$24*12,F$8)*C105/100</f>
        <v>#NUM!</v>
      </c>
      <c r="H105" s="40" t="e">
        <f>G105*Assumptions!$B$24*12-F105</f>
        <v>#NUM!</v>
      </c>
      <c r="I105" s="48"/>
      <c r="J105" s="40">
        <f t="shared" si="13"/>
        <v>0</v>
      </c>
      <c r="K105" s="40" t="e">
        <f>-PMT(Assumptions!C$25/12,Assumptions!C$24*12,J$8)*C105/100</f>
        <v>#NUM!</v>
      </c>
      <c r="L105" s="40" t="e">
        <f>K105*Assumptions!$C$24*12-J105</f>
        <v>#NUM!</v>
      </c>
      <c r="M105" s="43"/>
      <c r="N105" s="40">
        <f t="shared" si="14"/>
        <v>1430</v>
      </c>
      <c r="O105" s="50">
        <f>-PMT(Assumptions!D$25/12,Assumptions!D$24*12,N$8)*C105/100</f>
        <v>15.167368679187756</v>
      </c>
      <c r="P105" s="44">
        <f>O105*Assumptions!$D$24*12-N105</f>
        <v>390.08424150253086</v>
      </c>
      <c r="Q105" s="48"/>
      <c r="R105" s="40">
        <f t="shared" si="15"/>
        <v>7149.9999999999991</v>
      </c>
      <c r="S105" s="40">
        <f>-PMT(Assumptions!E$25/12,Assumptions!E$24*12,$R$8)*$C105/100</f>
        <v>75.836843395938786</v>
      </c>
      <c r="T105" s="40">
        <f>S105*Assumptions!$E$24*12-R105</f>
        <v>1950.4212075126552</v>
      </c>
      <c r="U105" s="48"/>
      <c r="V105" s="40">
        <f t="shared" si="16"/>
        <v>0</v>
      </c>
      <c r="W105" s="40" t="e">
        <f>-PMT(Assumptions!F$25/12,Assumptions!F$24*12,$V$8)*$C105/100</f>
        <v>#NUM!</v>
      </c>
      <c r="X105" s="40" t="e">
        <f>W105*Assumptions!$F$24*12-V105</f>
        <v>#NUM!</v>
      </c>
      <c r="Y105" s="43"/>
      <c r="Z105" s="40">
        <f t="shared" si="17"/>
        <v>0</v>
      </c>
      <c r="AA105" s="50" t="e">
        <f>-PMT(Assumptions!G$25/12,Assumptions!G$24*12,$Z$8)*$C105/100</f>
        <v>#NUM!</v>
      </c>
      <c r="AB105" s="44" t="e">
        <f>AA105*Assumptions!$G$24*12-Z105</f>
        <v>#NUM!</v>
      </c>
      <c r="AD105" s="54">
        <f t="shared" si="18"/>
        <v>0</v>
      </c>
      <c r="AE105" s="54">
        <f t="shared" si="19"/>
        <v>0</v>
      </c>
      <c r="AF105" s="54">
        <f t="shared" si="20"/>
        <v>1430</v>
      </c>
      <c r="AG105" s="54">
        <f t="shared" si="21"/>
        <v>7149.9999999999991</v>
      </c>
      <c r="AH105" s="54">
        <f t="shared" si="22"/>
        <v>0</v>
      </c>
      <c r="AI105" s="54">
        <f t="shared" si="23"/>
        <v>0</v>
      </c>
    </row>
    <row r="106" spans="1:35" ht="15" x14ac:dyDescent="0.2">
      <c r="A106" s="56" t="s">
        <v>201</v>
      </c>
      <c r="B106" s="32"/>
      <c r="C106" s="56">
        <v>0.152</v>
      </c>
      <c r="D106" s="56">
        <v>238.66</v>
      </c>
      <c r="E106" s="36"/>
      <c r="F106" s="40">
        <f t="shared" si="12"/>
        <v>0</v>
      </c>
      <c r="G106" s="40" t="e">
        <f>-PMT(Assumptions!B$25/12,Assumptions!B$24*12,F$8)*C106/100</f>
        <v>#NUM!</v>
      </c>
      <c r="H106" s="40" t="e">
        <f>G106*Assumptions!$B$24*12-F106</f>
        <v>#NUM!</v>
      </c>
      <c r="I106" s="48"/>
      <c r="J106" s="40">
        <f t="shared" si="13"/>
        <v>0</v>
      </c>
      <c r="K106" s="40" t="e">
        <f>-PMT(Assumptions!C$25/12,Assumptions!C$24*12,J$8)*C106/100</f>
        <v>#NUM!</v>
      </c>
      <c r="L106" s="40" t="e">
        <f>K106*Assumptions!$C$24*12-J106</f>
        <v>#NUM!</v>
      </c>
      <c r="M106" s="43"/>
      <c r="N106" s="40">
        <f t="shared" si="14"/>
        <v>1520</v>
      </c>
      <c r="O106" s="50">
        <f>-PMT(Assumptions!D$25/12,Assumptions!D$24*12,N$8)*C106/100</f>
        <v>16.121958316339434</v>
      </c>
      <c r="P106" s="44">
        <f>O106*Assumptions!$D$24*12-N106</f>
        <v>414.63499796073211</v>
      </c>
      <c r="Q106" s="48"/>
      <c r="R106" s="40">
        <f t="shared" si="15"/>
        <v>7600</v>
      </c>
      <c r="S106" s="40">
        <f>-PMT(Assumptions!E$25/12,Assumptions!E$24*12,$R$8)*$C106/100</f>
        <v>80.609791581697166</v>
      </c>
      <c r="T106" s="40">
        <f>S106*Assumptions!$E$24*12-R106</f>
        <v>2073.1749898036596</v>
      </c>
      <c r="U106" s="48"/>
      <c r="V106" s="40">
        <f t="shared" si="16"/>
        <v>0</v>
      </c>
      <c r="W106" s="40" t="e">
        <f>-PMT(Assumptions!F$25/12,Assumptions!F$24*12,$V$8)*$C106/100</f>
        <v>#NUM!</v>
      </c>
      <c r="X106" s="40" t="e">
        <f>W106*Assumptions!$F$24*12-V106</f>
        <v>#NUM!</v>
      </c>
      <c r="Y106" s="43"/>
      <c r="Z106" s="40">
        <f t="shared" si="17"/>
        <v>0</v>
      </c>
      <c r="AA106" s="50" t="e">
        <f>-PMT(Assumptions!G$25/12,Assumptions!G$24*12,$Z$8)*$C106/100</f>
        <v>#NUM!</v>
      </c>
      <c r="AB106" s="44" t="e">
        <f>AA106*Assumptions!$G$24*12-Z106</f>
        <v>#NUM!</v>
      </c>
      <c r="AD106" s="54">
        <f t="shared" si="18"/>
        <v>0</v>
      </c>
      <c r="AE106" s="54">
        <f t="shared" si="19"/>
        <v>0</v>
      </c>
      <c r="AF106" s="54">
        <f t="shared" si="20"/>
        <v>1520</v>
      </c>
      <c r="AG106" s="54">
        <f t="shared" si="21"/>
        <v>7600</v>
      </c>
      <c r="AH106" s="54">
        <f t="shared" si="22"/>
        <v>0</v>
      </c>
      <c r="AI106" s="54">
        <f t="shared" si="23"/>
        <v>0</v>
      </c>
    </row>
    <row r="107" spans="1:35" ht="15" x14ac:dyDescent="0.2">
      <c r="A107" s="56" t="s">
        <v>202</v>
      </c>
      <c r="B107" s="32"/>
      <c r="C107" s="56">
        <v>0.14299999999999999</v>
      </c>
      <c r="D107" s="56">
        <v>224.52</v>
      </c>
      <c r="E107" s="36"/>
      <c r="F107" s="40">
        <f t="shared" si="12"/>
        <v>0</v>
      </c>
      <c r="G107" s="40" t="e">
        <f>-PMT(Assumptions!B$25/12,Assumptions!B$24*12,F$8)*C107/100</f>
        <v>#NUM!</v>
      </c>
      <c r="H107" s="40" t="e">
        <f>G107*Assumptions!$B$24*12-F107</f>
        <v>#NUM!</v>
      </c>
      <c r="I107" s="48"/>
      <c r="J107" s="40">
        <f t="shared" si="13"/>
        <v>0</v>
      </c>
      <c r="K107" s="40" t="e">
        <f>-PMT(Assumptions!C$25/12,Assumptions!C$24*12,J$8)*C107/100</f>
        <v>#NUM!</v>
      </c>
      <c r="L107" s="40" t="e">
        <f>K107*Assumptions!$C$24*12-J107</f>
        <v>#NUM!</v>
      </c>
      <c r="M107" s="43"/>
      <c r="N107" s="40">
        <f t="shared" si="14"/>
        <v>1430</v>
      </c>
      <c r="O107" s="50">
        <f>-PMT(Assumptions!D$25/12,Assumptions!D$24*12,N$8)*C107/100</f>
        <v>15.167368679187756</v>
      </c>
      <c r="P107" s="44">
        <f>O107*Assumptions!$D$24*12-N107</f>
        <v>390.08424150253086</v>
      </c>
      <c r="Q107" s="48"/>
      <c r="R107" s="40">
        <f t="shared" si="15"/>
        <v>7149.9999999999991</v>
      </c>
      <c r="S107" s="40">
        <f>-PMT(Assumptions!E$25/12,Assumptions!E$24*12,$R$8)*$C107/100</f>
        <v>75.836843395938786</v>
      </c>
      <c r="T107" s="40">
        <f>S107*Assumptions!$E$24*12-R107</f>
        <v>1950.4212075126552</v>
      </c>
      <c r="U107" s="48"/>
      <c r="V107" s="40">
        <f t="shared" si="16"/>
        <v>0</v>
      </c>
      <c r="W107" s="40" t="e">
        <f>-PMT(Assumptions!F$25/12,Assumptions!F$24*12,$V$8)*$C107/100</f>
        <v>#NUM!</v>
      </c>
      <c r="X107" s="40" t="e">
        <f>W107*Assumptions!$F$24*12-V107</f>
        <v>#NUM!</v>
      </c>
      <c r="Y107" s="43"/>
      <c r="Z107" s="40">
        <f t="shared" si="17"/>
        <v>0</v>
      </c>
      <c r="AA107" s="50" t="e">
        <f>-PMT(Assumptions!G$25/12,Assumptions!G$24*12,$Z$8)*$C107/100</f>
        <v>#NUM!</v>
      </c>
      <c r="AB107" s="44" t="e">
        <f>AA107*Assumptions!$G$24*12-Z107</f>
        <v>#NUM!</v>
      </c>
      <c r="AD107" s="54">
        <f t="shared" si="18"/>
        <v>0</v>
      </c>
      <c r="AE107" s="54">
        <f t="shared" si="19"/>
        <v>0</v>
      </c>
      <c r="AF107" s="54">
        <f t="shared" si="20"/>
        <v>1430</v>
      </c>
      <c r="AG107" s="54">
        <f t="shared" si="21"/>
        <v>7149.9999999999991</v>
      </c>
      <c r="AH107" s="54">
        <f t="shared" si="22"/>
        <v>0</v>
      </c>
      <c r="AI107" s="54">
        <f t="shared" si="23"/>
        <v>0</v>
      </c>
    </row>
    <row r="108" spans="1:35" ht="15" x14ac:dyDescent="0.2">
      <c r="A108" s="56" t="s">
        <v>203</v>
      </c>
      <c r="B108" s="32"/>
      <c r="C108" s="56">
        <v>0.152</v>
      </c>
      <c r="D108" s="56">
        <v>238.66</v>
      </c>
      <c r="E108" s="36"/>
      <c r="F108" s="40">
        <f t="shared" si="12"/>
        <v>0</v>
      </c>
      <c r="G108" s="40" t="e">
        <f>-PMT(Assumptions!B$25/12,Assumptions!B$24*12,F$8)*C108/100</f>
        <v>#NUM!</v>
      </c>
      <c r="H108" s="40" t="e">
        <f>G108*Assumptions!$B$24*12-F108</f>
        <v>#NUM!</v>
      </c>
      <c r="I108" s="48"/>
      <c r="J108" s="40">
        <f t="shared" si="13"/>
        <v>0</v>
      </c>
      <c r="K108" s="40" t="e">
        <f>-PMT(Assumptions!C$25/12,Assumptions!C$24*12,J$8)*C108/100</f>
        <v>#NUM!</v>
      </c>
      <c r="L108" s="40" t="e">
        <f>K108*Assumptions!$C$24*12-J108</f>
        <v>#NUM!</v>
      </c>
      <c r="M108" s="43"/>
      <c r="N108" s="40">
        <f t="shared" si="14"/>
        <v>1520</v>
      </c>
      <c r="O108" s="50">
        <f>-PMT(Assumptions!D$25/12,Assumptions!D$24*12,N$8)*C108/100</f>
        <v>16.121958316339434</v>
      </c>
      <c r="P108" s="44">
        <f>O108*Assumptions!$D$24*12-N108</f>
        <v>414.63499796073211</v>
      </c>
      <c r="Q108" s="48"/>
      <c r="R108" s="40">
        <f t="shared" si="15"/>
        <v>7600</v>
      </c>
      <c r="S108" s="40">
        <f>-PMT(Assumptions!E$25/12,Assumptions!E$24*12,$R$8)*$C108/100</f>
        <v>80.609791581697166</v>
      </c>
      <c r="T108" s="40">
        <f>S108*Assumptions!$E$24*12-R108</f>
        <v>2073.1749898036596</v>
      </c>
      <c r="U108" s="48"/>
      <c r="V108" s="40">
        <f t="shared" si="16"/>
        <v>0</v>
      </c>
      <c r="W108" s="40" t="e">
        <f>-PMT(Assumptions!F$25/12,Assumptions!F$24*12,$V$8)*$C108/100</f>
        <v>#NUM!</v>
      </c>
      <c r="X108" s="40" t="e">
        <f>W108*Assumptions!$F$24*12-V108</f>
        <v>#NUM!</v>
      </c>
      <c r="Y108" s="43"/>
      <c r="Z108" s="40">
        <f t="shared" si="17"/>
        <v>0</v>
      </c>
      <c r="AA108" s="50" t="e">
        <f>-PMT(Assumptions!G$25/12,Assumptions!G$24*12,$Z$8)*$C108/100</f>
        <v>#NUM!</v>
      </c>
      <c r="AB108" s="44" t="e">
        <f>AA108*Assumptions!$G$24*12-Z108</f>
        <v>#NUM!</v>
      </c>
      <c r="AD108" s="54">
        <f t="shared" si="18"/>
        <v>0</v>
      </c>
      <c r="AE108" s="54">
        <f t="shared" si="19"/>
        <v>0</v>
      </c>
      <c r="AF108" s="54">
        <f t="shared" si="20"/>
        <v>1520</v>
      </c>
      <c r="AG108" s="54">
        <f t="shared" si="21"/>
        <v>7600</v>
      </c>
      <c r="AH108" s="54">
        <f t="shared" si="22"/>
        <v>0</v>
      </c>
      <c r="AI108" s="54">
        <f t="shared" si="23"/>
        <v>0</v>
      </c>
    </row>
    <row r="109" spans="1:35" ht="15" x14ac:dyDescent="0.2">
      <c r="A109" s="56" t="s">
        <v>204</v>
      </c>
      <c r="B109" s="32"/>
      <c r="C109" s="56">
        <v>0.215</v>
      </c>
      <c r="D109" s="56">
        <v>337.57</v>
      </c>
      <c r="E109" s="36"/>
      <c r="F109" s="40">
        <f t="shared" si="12"/>
        <v>0</v>
      </c>
      <c r="G109" s="40" t="e">
        <f>-PMT(Assumptions!B$25/12,Assumptions!B$24*12,F$8)*C109/100</f>
        <v>#NUM!</v>
      </c>
      <c r="H109" s="40" t="e">
        <f>G109*Assumptions!$B$24*12-F109</f>
        <v>#NUM!</v>
      </c>
      <c r="I109" s="48"/>
      <c r="J109" s="40">
        <f t="shared" si="13"/>
        <v>0</v>
      </c>
      <c r="K109" s="40" t="e">
        <f>-PMT(Assumptions!C$25/12,Assumptions!C$24*12,J$8)*C109/100</f>
        <v>#NUM!</v>
      </c>
      <c r="L109" s="40" t="e">
        <f>K109*Assumptions!$C$24*12-J109</f>
        <v>#NUM!</v>
      </c>
      <c r="M109" s="43"/>
      <c r="N109" s="40">
        <f t="shared" si="14"/>
        <v>2150</v>
      </c>
      <c r="O109" s="50">
        <f>-PMT(Assumptions!D$25/12,Assumptions!D$24*12,N$8)*C109/100</f>
        <v>22.804085776401177</v>
      </c>
      <c r="P109" s="44">
        <f>O109*Assumptions!$D$24*12-N109</f>
        <v>586.49029316814131</v>
      </c>
      <c r="Q109" s="48"/>
      <c r="R109" s="40">
        <f t="shared" si="15"/>
        <v>10750</v>
      </c>
      <c r="S109" s="40">
        <f>-PMT(Assumptions!E$25/12,Assumptions!E$24*12,$R$8)*$C109/100</f>
        <v>114.02042888200587</v>
      </c>
      <c r="T109" s="40">
        <f>S109*Assumptions!$E$24*12-R109</f>
        <v>2932.4514658407061</v>
      </c>
      <c r="U109" s="48"/>
      <c r="V109" s="40">
        <f t="shared" si="16"/>
        <v>0</v>
      </c>
      <c r="W109" s="40" t="e">
        <f>-PMT(Assumptions!F$25/12,Assumptions!F$24*12,$V$8)*$C109/100</f>
        <v>#NUM!</v>
      </c>
      <c r="X109" s="40" t="e">
        <f>W109*Assumptions!$F$24*12-V109</f>
        <v>#NUM!</v>
      </c>
      <c r="Y109" s="43"/>
      <c r="Z109" s="40">
        <f t="shared" si="17"/>
        <v>0</v>
      </c>
      <c r="AA109" s="50" t="e">
        <f>-PMT(Assumptions!G$25/12,Assumptions!G$24*12,$Z$8)*$C109/100</f>
        <v>#NUM!</v>
      </c>
      <c r="AB109" s="44" t="e">
        <f>AA109*Assumptions!$G$24*12-Z109</f>
        <v>#NUM!</v>
      </c>
      <c r="AD109" s="54">
        <f t="shared" si="18"/>
        <v>0</v>
      </c>
      <c r="AE109" s="54">
        <f t="shared" si="19"/>
        <v>0</v>
      </c>
      <c r="AF109" s="54">
        <f t="shared" si="20"/>
        <v>2150</v>
      </c>
      <c r="AG109" s="54">
        <f t="shared" si="21"/>
        <v>10750</v>
      </c>
      <c r="AH109" s="54">
        <f t="shared" si="22"/>
        <v>0</v>
      </c>
      <c r="AI109" s="54">
        <f t="shared" si="23"/>
        <v>0</v>
      </c>
    </row>
    <row r="110" spans="1:35" ht="15" x14ac:dyDescent="0.2">
      <c r="A110" s="56" t="s">
        <v>205</v>
      </c>
      <c r="B110" s="32"/>
      <c r="C110" s="56">
        <v>0.19800000000000001</v>
      </c>
      <c r="D110" s="56">
        <v>310.88</v>
      </c>
      <c r="E110" s="36"/>
      <c r="F110" s="40">
        <f t="shared" si="12"/>
        <v>0</v>
      </c>
      <c r="G110" s="40" t="e">
        <f>-PMT(Assumptions!B$25/12,Assumptions!B$24*12,F$8)*C110/100</f>
        <v>#NUM!</v>
      </c>
      <c r="H110" s="40" t="e">
        <f>G110*Assumptions!$B$24*12-F110</f>
        <v>#NUM!</v>
      </c>
      <c r="I110" s="48"/>
      <c r="J110" s="40">
        <f t="shared" si="13"/>
        <v>0</v>
      </c>
      <c r="K110" s="40" t="e">
        <f>-PMT(Assumptions!C$25/12,Assumptions!C$24*12,J$8)*C110/100</f>
        <v>#NUM!</v>
      </c>
      <c r="L110" s="40" t="e">
        <f>K110*Assumptions!$C$24*12-J110</f>
        <v>#NUM!</v>
      </c>
      <c r="M110" s="43"/>
      <c r="N110" s="40">
        <f t="shared" si="14"/>
        <v>1980</v>
      </c>
      <c r="O110" s="50">
        <f>-PMT(Assumptions!D$25/12,Assumptions!D$24*12,N$8)*C110/100</f>
        <v>21.000972017336899</v>
      </c>
      <c r="P110" s="44">
        <f>O110*Assumptions!$D$24*12-N110</f>
        <v>540.11664208042748</v>
      </c>
      <c r="Q110" s="48"/>
      <c r="R110" s="40">
        <f t="shared" si="15"/>
        <v>9900</v>
      </c>
      <c r="S110" s="40">
        <f>-PMT(Assumptions!E$25/12,Assumptions!E$24*12,$R$8)*$C110/100</f>
        <v>105.00486008668449</v>
      </c>
      <c r="T110" s="40">
        <f>S110*Assumptions!$E$24*12-R110</f>
        <v>2700.5832104021392</v>
      </c>
      <c r="U110" s="48"/>
      <c r="V110" s="40">
        <f t="shared" si="16"/>
        <v>0</v>
      </c>
      <c r="W110" s="40" t="e">
        <f>-PMT(Assumptions!F$25/12,Assumptions!F$24*12,$V$8)*$C110/100</f>
        <v>#NUM!</v>
      </c>
      <c r="X110" s="40" t="e">
        <f>W110*Assumptions!$F$24*12-V110</f>
        <v>#NUM!</v>
      </c>
      <c r="Y110" s="43"/>
      <c r="Z110" s="40">
        <f t="shared" si="17"/>
        <v>0</v>
      </c>
      <c r="AA110" s="50" t="e">
        <f>-PMT(Assumptions!G$25/12,Assumptions!G$24*12,$Z$8)*$C110/100</f>
        <v>#NUM!</v>
      </c>
      <c r="AB110" s="44" t="e">
        <f>AA110*Assumptions!$G$24*12-Z110</f>
        <v>#NUM!</v>
      </c>
      <c r="AD110" s="54">
        <f t="shared" si="18"/>
        <v>0</v>
      </c>
      <c r="AE110" s="54">
        <f t="shared" si="19"/>
        <v>0</v>
      </c>
      <c r="AF110" s="54">
        <f t="shared" si="20"/>
        <v>1980</v>
      </c>
      <c r="AG110" s="54">
        <f t="shared" si="21"/>
        <v>9900</v>
      </c>
      <c r="AH110" s="54">
        <f t="shared" si="22"/>
        <v>0</v>
      </c>
      <c r="AI110" s="54">
        <f t="shared" si="23"/>
        <v>0</v>
      </c>
    </row>
    <row r="111" spans="1:35" ht="15" x14ac:dyDescent="0.2">
      <c r="A111" s="56" t="s">
        <v>206</v>
      </c>
      <c r="B111" s="32"/>
      <c r="C111" s="56">
        <v>0.19800000000000001</v>
      </c>
      <c r="D111" s="56">
        <v>310.88</v>
      </c>
      <c r="E111" s="36"/>
      <c r="F111" s="40">
        <f t="shared" si="12"/>
        <v>0</v>
      </c>
      <c r="G111" s="40" t="e">
        <f>-PMT(Assumptions!B$25/12,Assumptions!B$24*12,F$8)*C111/100</f>
        <v>#NUM!</v>
      </c>
      <c r="H111" s="40" t="e">
        <f>G111*Assumptions!$B$24*12-F111</f>
        <v>#NUM!</v>
      </c>
      <c r="I111" s="48"/>
      <c r="J111" s="40">
        <f t="shared" si="13"/>
        <v>0</v>
      </c>
      <c r="K111" s="40" t="e">
        <f>-PMT(Assumptions!C$25/12,Assumptions!C$24*12,J$8)*C111/100</f>
        <v>#NUM!</v>
      </c>
      <c r="L111" s="40" t="e">
        <f>K111*Assumptions!$C$24*12-J111</f>
        <v>#NUM!</v>
      </c>
      <c r="M111" s="43"/>
      <c r="N111" s="40">
        <f t="shared" si="14"/>
        <v>1980</v>
      </c>
      <c r="O111" s="50">
        <f>-PMT(Assumptions!D$25/12,Assumptions!D$24*12,N$8)*C111/100</f>
        <v>21.000972017336899</v>
      </c>
      <c r="P111" s="44">
        <f>O111*Assumptions!$D$24*12-N111</f>
        <v>540.11664208042748</v>
      </c>
      <c r="Q111" s="48"/>
      <c r="R111" s="40">
        <f t="shared" si="15"/>
        <v>9900</v>
      </c>
      <c r="S111" s="40">
        <f>-PMT(Assumptions!E$25/12,Assumptions!E$24*12,$R$8)*$C111/100</f>
        <v>105.00486008668449</v>
      </c>
      <c r="T111" s="40">
        <f>S111*Assumptions!$E$24*12-R111</f>
        <v>2700.5832104021392</v>
      </c>
      <c r="U111" s="48"/>
      <c r="V111" s="40">
        <f t="shared" si="16"/>
        <v>0</v>
      </c>
      <c r="W111" s="40" t="e">
        <f>-PMT(Assumptions!F$25/12,Assumptions!F$24*12,$V$8)*$C111/100</f>
        <v>#NUM!</v>
      </c>
      <c r="X111" s="40" t="e">
        <f>W111*Assumptions!$F$24*12-V111</f>
        <v>#NUM!</v>
      </c>
      <c r="Y111" s="43"/>
      <c r="Z111" s="40">
        <f t="shared" si="17"/>
        <v>0</v>
      </c>
      <c r="AA111" s="50" t="e">
        <f>-PMT(Assumptions!G$25/12,Assumptions!G$24*12,$Z$8)*$C111/100</f>
        <v>#NUM!</v>
      </c>
      <c r="AB111" s="44" t="e">
        <f>AA111*Assumptions!$G$24*12-Z111</f>
        <v>#NUM!</v>
      </c>
      <c r="AD111" s="54">
        <f t="shared" si="18"/>
        <v>0</v>
      </c>
      <c r="AE111" s="54">
        <f t="shared" si="19"/>
        <v>0</v>
      </c>
      <c r="AF111" s="54">
        <f t="shared" si="20"/>
        <v>1980</v>
      </c>
      <c r="AG111" s="54">
        <f t="shared" si="21"/>
        <v>9900</v>
      </c>
      <c r="AH111" s="54">
        <f t="shared" si="22"/>
        <v>0</v>
      </c>
      <c r="AI111" s="54">
        <f t="shared" si="23"/>
        <v>0</v>
      </c>
    </row>
    <row r="112" spans="1:35" ht="15" x14ac:dyDescent="0.2">
      <c r="A112" s="56" t="s">
        <v>207</v>
      </c>
      <c r="B112" s="32"/>
      <c r="C112" s="56">
        <v>0.14299999999999999</v>
      </c>
      <c r="D112" s="56">
        <v>224.52</v>
      </c>
      <c r="E112" s="36"/>
      <c r="F112" s="40">
        <f t="shared" si="12"/>
        <v>0</v>
      </c>
      <c r="G112" s="40" t="e">
        <f>-PMT(Assumptions!B$25/12,Assumptions!B$24*12,F$8)*C112/100</f>
        <v>#NUM!</v>
      </c>
      <c r="H112" s="40" t="e">
        <f>G112*Assumptions!$B$24*12-F112</f>
        <v>#NUM!</v>
      </c>
      <c r="I112" s="48"/>
      <c r="J112" s="40">
        <f t="shared" si="13"/>
        <v>0</v>
      </c>
      <c r="K112" s="40" t="e">
        <f>-PMT(Assumptions!C$25/12,Assumptions!C$24*12,J$8)*C112/100</f>
        <v>#NUM!</v>
      </c>
      <c r="L112" s="40" t="e">
        <f>K112*Assumptions!$C$24*12-J112</f>
        <v>#NUM!</v>
      </c>
      <c r="M112" s="43"/>
      <c r="N112" s="40">
        <f t="shared" si="14"/>
        <v>1430</v>
      </c>
      <c r="O112" s="50">
        <f>-PMT(Assumptions!D$25/12,Assumptions!D$24*12,N$8)*C112/100</f>
        <v>15.167368679187756</v>
      </c>
      <c r="P112" s="44">
        <f>O112*Assumptions!$D$24*12-N112</f>
        <v>390.08424150253086</v>
      </c>
      <c r="Q112" s="48"/>
      <c r="R112" s="40">
        <f t="shared" si="15"/>
        <v>7149.9999999999991</v>
      </c>
      <c r="S112" s="40">
        <f>-PMT(Assumptions!E$25/12,Assumptions!E$24*12,$R$8)*$C112/100</f>
        <v>75.836843395938786</v>
      </c>
      <c r="T112" s="40">
        <f>S112*Assumptions!$E$24*12-R112</f>
        <v>1950.4212075126552</v>
      </c>
      <c r="U112" s="48"/>
      <c r="V112" s="40">
        <f t="shared" si="16"/>
        <v>0</v>
      </c>
      <c r="W112" s="40" t="e">
        <f>-PMT(Assumptions!F$25/12,Assumptions!F$24*12,$V$8)*$C112/100</f>
        <v>#NUM!</v>
      </c>
      <c r="X112" s="40" t="e">
        <f>W112*Assumptions!$F$24*12-V112</f>
        <v>#NUM!</v>
      </c>
      <c r="Y112" s="43"/>
      <c r="Z112" s="40">
        <f t="shared" si="17"/>
        <v>0</v>
      </c>
      <c r="AA112" s="50" t="e">
        <f>-PMT(Assumptions!G$25/12,Assumptions!G$24*12,$Z$8)*$C112/100</f>
        <v>#NUM!</v>
      </c>
      <c r="AB112" s="44" t="e">
        <f>AA112*Assumptions!$G$24*12-Z112</f>
        <v>#NUM!</v>
      </c>
      <c r="AD112" s="54">
        <f t="shared" si="18"/>
        <v>0</v>
      </c>
      <c r="AE112" s="54">
        <f t="shared" si="19"/>
        <v>0</v>
      </c>
      <c r="AF112" s="54">
        <f t="shared" si="20"/>
        <v>1430</v>
      </c>
      <c r="AG112" s="54">
        <f t="shared" si="21"/>
        <v>7149.9999999999991</v>
      </c>
      <c r="AH112" s="54">
        <f t="shared" si="22"/>
        <v>0</v>
      </c>
      <c r="AI112" s="54">
        <f t="shared" si="23"/>
        <v>0</v>
      </c>
    </row>
    <row r="113" spans="1:35" ht="15" x14ac:dyDescent="0.2">
      <c r="A113" s="56" t="s">
        <v>208</v>
      </c>
      <c r="B113" s="32"/>
      <c r="C113" s="56">
        <v>0.152</v>
      </c>
      <c r="D113" s="56">
        <v>238.66</v>
      </c>
      <c r="E113" s="36"/>
      <c r="F113" s="40">
        <f t="shared" si="12"/>
        <v>0</v>
      </c>
      <c r="G113" s="40" t="e">
        <f>-PMT(Assumptions!B$25/12,Assumptions!B$24*12,F$8)*C113/100</f>
        <v>#NUM!</v>
      </c>
      <c r="H113" s="40" t="e">
        <f>G113*Assumptions!$B$24*12-F113</f>
        <v>#NUM!</v>
      </c>
      <c r="I113" s="48"/>
      <c r="J113" s="40">
        <f t="shared" si="13"/>
        <v>0</v>
      </c>
      <c r="K113" s="40" t="e">
        <f>-PMT(Assumptions!C$25/12,Assumptions!C$24*12,J$8)*C113/100</f>
        <v>#NUM!</v>
      </c>
      <c r="L113" s="40" t="e">
        <f>K113*Assumptions!$C$24*12-J113</f>
        <v>#NUM!</v>
      </c>
      <c r="M113" s="43"/>
      <c r="N113" s="40">
        <f t="shared" si="14"/>
        <v>1520</v>
      </c>
      <c r="O113" s="50">
        <f>-PMT(Assumptions!D$25/12,Assumptions!D$24*12,N$8)*C113/100</f>
        <v>16.121958316339434</v>
      </c>
      <c r="P113" s="44">
        <f>O113*Assumptions!$D$24*12-N113</f>
        <v>414.63499796073211</v>
      </c>
      <c r="Q113" s="48"/>
      <c r="R113" s="40">
        <f t="shared" si="15"/>
        <v>7600</v>
      </c>
      <c r="S113" s="40">
        <f>-PMT(Assumptions!E$25/12,Assumptions!E$24*12,$R$8)*$C113/100</f>
        <v>80.609791581697166</v>
      </c>
      <c r="T113" s="40">
        <f>S113*Assumptions!$E$24*12-R113</f>
        <v>2073.1749898036596</v>
      </c>
      <c r="U113" s="48"/>
      <c r="V113" s="40">
        <f t="shared" si="16"/>
        <v>0</v>
      </c>
      <c r="W113" s="40" t="e">
        <f>-PMT(Assumptions!F$25/12,Assumptions!F$24*12,$V$8)*$C113/100</f>
        <v>#NUM!</v>
      </c>
      <c r="X113" s="40" t="e">
        <f>W113*Assumptions!$F$24*12-V113</f>
        <v>#NUM!</v>
      </c>
      <c r="Y113" s="43"/>
      <c r="Z113" s="40">
        <f t="shared" si="17"/>
        <v>0</v>
      </c>
      <c r="AA113" s="50" t="e">
        <f>-PMT(Assumptions!G$25/12,Assumptions!G$24*12,$Z$8)*$C113/100</f>
        <v>#NUM!</v>
      </c>
      <c r="AB113" s="44" t="e">
        <f>AA113*Assumptions!$G$24*12-Z113</f>
        <v>#NUM!</v>
      </c>
      <c r="AD113" s="54">
        <f t="shared" si="18"/>
        <v>0</v>
      </c>
      <c r="AE113" s="54">
        <f t="shared" si="19"/>
        <v>0</v>
      </c>
      <c r="AF113" s="54">
        <f t="shared" si="20"/>
        <v>1520</v>
      </c>
      <c r="AG113" s="54">
        <f t="shared" si="21"/>
        <v>7600</v>
      </c>
      <c r="AH113" s="54">
        <f t="shared" si="22"/>
        <v>0</v>
      </c>
      <c r="AI113" s="54">
        <f t="shared" si="23"/>
        <v>0</v>
      </c>
    </row>
    <row r="114" spans="1:35" ht="15" x14ac:dyDescent="0.2">
      <c r="A114" s="56" t="s">
        <v>209</v>
      </c>
      <c r="B114" s="32"/>
      <c r="C114" s="56">
        <v>0.14299999999999999</v>
      </c>
      <c r="D114" s="56">
        <v>224.52</v>
      </c>
      <c r="E114" s="36"/>
      <c r="F114" s="40">
        <f t="shared" si="12"/>
        <v>0</v>
      </c>
      <c r="G114" s="40" t="e">
        <f>-PMT(Assumptions!B$25/12,Assumptions!B$24*12,F$8)*C114/100</f>
        <v>#NUM!</v>
      </c>
      <c r="H114" s="40" t="e">
        <f>G114*Assumptions!$B$24*12-F114</f>
        <v>#NUM!</v>
      </c>
      <c r="I114" s="48"/>
      <c r="J114" s="40">
        <f t="shared" si="13"/>
        <v>0</v>
      </c>
      <c r="K114" s="40" t="e">
        <f>-PMT(Assumptions!C$25/12,Assumptions!C$24*12,J$8)*C114/100</f>
        <v>#NUM!</v>
      </c>
      <c r="L114" s="40" t="e">
        <f>K114*Assumptions!$C$24*12-J114</f>
        <v>#NUM!</v>
      </c>
      <c r="M114" s="43"/>
      <c r="N114" s="40">
        <f t="shared" si="14"/>
        <v>1430</v>
      </c>
      <c r="O114" s="50">
        <f>-PMT(Assumptions!D$25/12,Assumptions!D$24*12,N$8)*C114/100</f>
        <v>15.167368679187756</v>
      </c>
      <c r="P114" s="44">
        <f>O114*Assumptions!$D$24*12-N114</f>
        <v>390.08424150253086</v>
      </c>
      <c r="Q114" s="48"/>
      <c r="R114" s="40">
        <f t="shared" si="15"/>
        <v>7149.9999999999991</v>
      </c>
      <c r="S114" s="40">
        <f>-PMT(Assumptions!E$25/12,Assumptions!E$24*12,$R$8)*$C114/100</f>
        <v>75.836843395938786</v>
      </c>
      <c r="T114" s="40">
        <f>S114*Assumptions!$E$24*12-R114</f>
        <v>1950.4212075126552</v>
      </c>
      <c r="U114" s="48"/>
      <c r="V114" s="40">
        <f t="shared" si="16"/>
        <v>0</v>
      </c>
      <c r="W114" s="40" t="e">
        <f>-PMT(Assumptions!F$25/12,Assumptions!F$24*12,$V$8)*$C114/100</f>
        <v>#NUM!</v>
      </c>
      <c r="X114" s="40" t="e">
        <f>W114*Assumptions!$F$24*12-V114</f>
        <v>#NUM!</v>
      </c>
      <c r="Y114" s="43"/>
      <c r="Z114" s="40">
        <f t="shared" si="17"/>
        <v>0</v>
      </c>
      <c r="AA114" s="50" t="e">
        <f>-PMT(Assumptions!G$25/12,Assumptions!G$24*12,$Z$8)*$C114/100</f>
        <v>#NUM!</v>
      </c>
      <c r="AB114" s="44" t="e">
        <f>AA114*Assumptions!$G$24*12-Z114</f>
        <v>#NUM!</v>
      </c>
      <c r="AD114" s="54">
        <f t="shared" si="18"/>
        <v>0</v>
      </c>
      <c r="AE114" s="54">
        <f t="shared" si="19"/>
        <v>0</v>
      </c>
      <c r="AF114" s="54">
        <f t="shared" si="20"/>
        <v>1430</v>
      </c>
      <c r="AG114" s="54">
        <f t="shared" si="21"/>
        <v>7149.9999999999991</v>
      </c>
      <c r="AH114" s="54">
        <f t="shared" si="22"/>
        <v>0</v>
      </c>
      <c r="AI114" s="54">
        <f t="shared" si="23"/>
        <v>0</v>
      </c>
    </row>
    <row r="115" spans="1:35" ht="15" x14ac:dyDescent="0.2">
      <c r="A115" s="56" t="s">
        <v>210</v>
      </c>
      <c r="B115" s="32"/>
      <c r="C115" s="56">
        <v>0.152</v>
      </c>
      <c r="D115" s="56">
        <v>238.66</v>
      </c>
      <c r="E115" s="36"/>
      <c r="F115" s="40">
        <f t="shared" si="12"/>
        <v>0</v>
      </c>
      <c r="G115" s="40" t="e">
        <f>-PMT(Assumptions!B$25/12,Assumptions!B$24*12,F$8)*C115/100</f>
        <v>#NUM!</v>
      </c>
      <c r="H115" s="40" t="e">
        <f>G115*Assumptions!$B$24*12-F115</f>
        <v>#NUM!</v>
      </c>
      <c r="I115" s="48"/>
      <c r="J115" s="40">
        <f t="shared" si="13"/>
        <v>0</v>
      </c>
      <c r="K115" s="40" t="e">
        <f>-PMT(Assumptions!C$25/12,Assumptions!C$24*12,J$8)*C115/100</f>
        <v>#NUM!</v>
      </c>
      <c r="L115" s="40" t="e">
        <f>K115*Assumptions!$C$24*12-J115</f>
        <v>#NUM!</v>
      </c>
      <c r="M115" s="43"/>
      <c r="N115" s="40">
        <f t="shared" si="14"/>
        <v>1520</v>
      </c>
      <c r="O115" s="50">
        <f>-PMT(Assumptions!D$25/12,Assumptions!D$24*12,N$8)*C115/100</f>
        <v>16.121958316339434</v>
      </c>
      <c r="P115" s="44">
        <f>O115*Assumptions!$D$24*12-N115</f>
        <v>414.63499796073211</v>
      </c>
      <c r="Q115" s="48"/>
      <c r="R115" s="40">
        <f t="shared" si="15"/>
        <v>7600</v>
      </c>
      <c r="S115" s="40">
        <f>-PMT(Assumptions!E$25/12,Assumptions!E$24*12,$R$8)*$C115/100</f>
        <v>80.609791581697166</v>
      </c>
      <c r="T115" s="40">
        <f>S115*Assumptions!$E$24*12-R115</f>
        <v>2073.1749898036596</v>
      </c>
      <c r="U115" s="48"/>
      <c r="V115" s="40">
        <f t="shared" si="16"/>
        <v>0</v>
      </c>
      <c r="W115" s="40" t="e">
        <f>-PMT(Assumptions!F$25/12,Assumptions!F$24*12,$V$8)*$C115/100</f>
        <v>#NUM!</v>
      </c>
      <c r="X115" s="40" t="e">
        <f>W115*Assumptions!$F$24*12-V115</f>
        <v>#NUM!</v>
      </c>
      <c r="Y115" s="43"/>
      <c r="Z115" s="40">
        <f t="shared" si="17"/>
        <v>0</v>
      </c>
      <c r="AA115" s="50" t="e">
        <f>-PMT(Assumptions!G$25/12,Assumptions!G$24*12,$Z$8)*$C115/100</f>
        <v>#NUM!</v>
      </c>
      <c r="AB115" s="44" t="e">
        <f>AA115*Assumptions!$G$24*12-Z115</f>
        <v>#NUM!</v>
      </c>
      <c r="AD115" s="54">
        <f t="shared" si="18"/>
        <v>0</v>
      </c>
      <c r="AE115" s="54">
        <f t="shared" si="19"/>
        <v>0</v>
      </c>
      <c r="AF115" s="54">
        <f t="shared" si="20"/>
        <v>1520</v>
      </c>
      <c r="AG115" s="54">
        <f t="shared" si="21"/>
        <v>7600</v>
      </c>
      <c r="AH115" s="54">
        <f t="shared" si="22"/>
        <v>0</v>
      </c>
      <c r="AI115" s="54">
        <f t="shared" si="23"/>
        <v>0</v>
      </c>
    </row>
    <row r="116" spans="1:35" ht="15" x14ac:dyDescent="0.2">
      <c r="A116" s="56" t="s">
        <v>211</v>
      </c>
      <c r="B116" s="32"/>
      <c r="C116" s="56">
        <v>0.20599999999999999</v>
      </c>
      <c r="D116" s="56">
        <v>323.44</v>
      </c>
      <c r="E116" s="36"/>
      <c r="F116" s="40">
        <f t="shared" si="12"/>
        <v>0</v>
      </c>
      <c r="G116" s="40" t="e">
        <f>-PMT(Assumptions!B$25/12,Assumptions!B$24*12,F$8)*C116/100</f>
        <v>#NUM!</v>
      </c>
      <c r="H116" s="40" t="e">
        <f>G116*Assumptions!$B$24*12-F116</f>
        <v>#NUM!</v>
      </c>
      <c r="I116" s="48"/>
      <c r="J116" s="40">
        <f t="shared" si="13"/>
        <v>0</v>
      </c>
      <c r="K116" s="40" t="e">
        <f>-PMT(Assumptions!C$25/12,Assumptions!C$24*12,J$8)*C116/100</f>
        <v>#NUM!</v>
      </c>
      <c r="L116" s="40" t="e">
        <f>K116*Assumptions!$C$24*12-J116</f>
        <v>#NUM!</v>
      </c>
      <c r="M116" s="43"/>
      <c r="N116" s="40">
        <f t="shared" si="14"/>
        <v>2060</v>
      </c>
      <c r="O116" s="50">
        <f>-PMT(Assumptions!D$25/12,Assumptions!D$24*12,N$8)*C116/100</f>
        <v>21.849496139249496</v>
      </c>
      <c r="P116" s="44">
        <f>O116*Assumptions!$D$24*12-N116</f>
        <v>561.9395367099396</v>
      </c>
      <c r="Q116" s="48"/>
      <c r="R116" s="40">
        <f t="shared" si="15"/>
        <v>10300</v>
      </c>
      <c r="S116" s="40">
        <f>-PMT(Assumptions!E$25/12,Assumptions!E$24*12,$R$8)*$C116/100</f>
        <v>109.24748069624748</v>
      </c>
      <c r="T116" s="40">
        <f>S116*Assumptions!$E$24*12-R116</f>
        <v>2809.6976835496971</v>
      </c>
      <c r="U116" s="48"/>
      <c r="V116" s="40">
        <f t="shared" si="16"/>
        <v>0</v>
      </c>
      <c r="W116" s="40" t="e">
        <f>-PMT(Assumptions!F$25/12,Assumptions!F$24*12,$V$8)*$C116/100</f>
        <v>#NUM!</v>
      </c>
      <c r="X116" s="40" t="e">
        <f>W116*Assumptions!$F$24*12-V116</f>
        <v>#NUM!</v>
      </c>
      <c r="Y116" s="43"/>
      <c r="Z116" s="40">
        <f t="shared" si="17"/>
        <v>0</v>
      </c>
      <c r="AA116" s="50" t="e">
        <f>-PMT(Assumptions!G$25/12,Assumptions!G$24*12,$Z$8)*$C116/100</f>
        <v>#NUM!</v>
      </c>
      <c r="AB116" s="44" t="e">
        <f>AA116*Assumptions!$G$24*12-Z116</f>
        <v>#NUM!</v>
      </c>
      <c r="AD116" s="54">
        <f t="shared" si="18"/>
        <v>0</v>
      </c>
      <c r="AE116" s="54">
        <f t="shared" si="19"/>
        <v>0</v>
      </c>
      <c r="AF116" s="54">
        <f t="shared" si="20"/>
        <v>2060</v>
      </c>
      <c r="AG116" s="54">
        <f t="shared" si="21"/>
        <v>10300</v>
      </c>
      <c r="AH116" s="54">
        <f t="shared" si="22"/>
        <v>0</v>
      </c>
      <c r="AI116" s="54">
        <f t="shared" si="23"/>
        <v>0</v>
      </c>
    </row>
    <row r="117" spans="1:35" ht="15" x14ac:dyDescent="0.2">
      <c r="A117" s="56" t="s">
        <v>212</v>
      </c>
      <c r="B117" s="32"/>
      <c r="C117" s="56">
        <v>0.215</v>
      </c>
      <c r="D117" s="56">
        <v>337.57</v>
      </c>
      <c r="E117" s="36"/>
      <c r="F117" s="40">
        <f t="shared" si="12"/>
        <v>0</v>
      </c>
      <c r="G117" s="40" t="e">
        <f>-PMT(Assumptions!B$25/12,Assumptions!B$24*12,F$8)*C117/100</f>
        <v>#NUM!</v>
      </c>
      <c r="H117" s="40" t="e">
        <f>G117*Assumptions!$B$24*12-F117</f>
        <v>#NUM!</v>
      </c>
      <c r="I117" s="48"/>
      <c r="J117" s="40">
        <f t="shared" si="13"/>
        <v>0</v>
      </c>
      <c r="K117" s="40" t="e">
        <f>-PMT(Assumptions!C$25/12,Assumptions!C$24*12,J$8)*C117/100</f>
        <v>#NUM!</v>
      </c>
      <c r="L117" s="40" t="e">
        <f>K117*Assumptions!$C$24*12-J117</f>
        <v>#NUM!</v>
      </c>
      <c r="M117" s="43"/>
      <c r="N117" s="40">
        <f t="shared" si="14"/>
        <v>2150</v>
      </c>
      <c r="O117" s="50">
        <f>-PMT(Assumptions!D$25/12,Assumptions!D$24*12,N$8)*C117/100</f>
        <v>22.804085776401177</v>
      </c>
      <c r="P117" s="44">
        <f>O117*Assumptions!$D$24*12-N117</f>
        <v>586.49029316814131</v>
      </c>
      <c r="Q117" s="48"/>
      <c r="R117" s="40">
        <f t="shared" si="15"/>
        <v>10750</v>
      </c>
      <c r="S117" s="40">
        <f>-PMT(Assumptions!E$25/12,Assumptions!E$24*12,$R$8)*$C117/100</f>
        <v>114.02042888200587</v>
      </c>
      <c r="T117" s="40">
        <f>S117*Assumptions!$E$24*12-R117</f>
        <v>2932.4514658407061</v>
      </c>
      <c r="U117" s="48"/>
      <c r="V117" s="40">
        <f t="shared" si="16"/>
        <v>0</v>
      </c>
      <c r="W117" s="40" t="e">
        <f>-PMT(Assumptions!F$25/12,Assumptions!F$24*12,$V$8)*$C117/100</f>
        <v>#NUM!</v>
      </c>
      <c r="X117" s="40" t="e">
        <f>W117*Assumptions!$F$24*12-V117</f>
        <v>#NUM!</v>
      </c>
      <c r="Y117" s="43"/>
      <c r="Z117" s="40">
        <f t="shared" si="17"/>
        <v>0</v>
      </c>
      <c r="AA117" s="50" t="e">
        <f>-PMT(Assumptions!G$25/12,Assumptions!G$24*12,$Z$8)*$C117/100</f>
        <v>#NUM!</v>
      </c>
      <c r="AB117" s="44" t="e">
        <f>AA117*Assumptions!$G$24*12-Z117</f>
        <v>#NUM!</v>
      </c>
      <c r="AD117" s="54">
        <f t="shared" si="18"/>
        <v>0</v>
      </c>
      <c r="AE117" s="54">
        <f t="shared" si="19"/>
        <v>0</v>
      </c>
      <c r="AF117" s="54">
        <f t="shared" si="20"/>
        <v>2150</v>
      </c>
      <c r="AG117" s="54">
        <f t="shared" si="21"/>
        <v>10750</v>
      </c>
      <c r="AH117" s="54">
        <f t="shared" si="22"/>
        <v>0</v>
      </c>
      <c r="AI117" s="54">
        <f t="shared" si="23"/>
        <v>0</v>
      </c>
    </row>
    <row r="118" spans="1:35" ht="15" x14ac:dyDescent="0.2">
      <c r="A118" s="56" t="s">
        <v>213</v>
      </c>
      <c r="B118" s="32"/>
      <c r="C118" s="56">
        <v>0.20200000000000001</v>
      </c>
      <c r="D118" s="56">
        <v>317.16000000000003</v>
      </c>
      <c r="E118" s="36"/>
      <c r="F118" s="40">
        <f t="shared" si="12"/>
        <v>0</v>
      </c>
      <c r="G118" s="40" t="e">
        <f>-PMT(Assumptions!B$25/12,Assumptions!B$24*12,F$8)*C118/100</f>
        <v>#NUM!</v>
      </c>
      <c r="H118" s="40" t="e">
        <f>G118*Assumptions!$B$24*12-F118</f>
        <v>#NUM!</v>
      </c>
      <c r="I118" s="48"/>
      <c r="J118" s="40">
        <f t="shared" si="13"/>
        <v>0</v>
      </c>
      <c r="K118" s="40" t="e">
        <f>-PMT(Assumptions!C$25/12,Assumptions!C$24*12,J$8)*C118/100</f>
        <v>#NUM!</v>
      </c>
      <c r="L118" s="40" t="e">
        <f>K118*Assumptions!$C$24*12-J118</f>
        <v>#NUM!</v>
      </c>
      <c r="M118" s="43"/>
      <c r="N118" s="40">
        <f t="shared" si="14"/>
        <v>2020</v>
      </c>
      <c r="O118" s="50">
        <f>-PMT(Assumptions!D$25/12,Assumptions!D$24*12,N$8)*C118/100</f>
        <v>21.425234078293197</v>
      </c>
      <c r="P118" s="44">
        <f>O118*Assumptions!$D$24*12-N118</f>
        <v>551.028089395184</v>
      </c>
      <c r="Q118" s="48"/>
      <c r="R118" s="40">
        <f t="shared" si="15"/>
        <v>10100.000000000002</v>
      </c>
      <c r="S118" s="40">
        <f>-PMT(Assumptions!E$25/12,Assumptions!E$24*12,$R$8)*$C118/100</f>
        <v>107.12617039146599</v>
      </c>
      <c r="T118" s="40">
        <f>S118*Assumptions!$E$24*12-R118</f>
        <v>2755.1404469759163</v>
      </c>
      <c r="U118" s="48"/>
      <c r="V118" s="40">
        <f t="shared" si="16"/>
        <v>0</v>
      </c>
      <c r="W118" s="40" t="e">
        <f>-PMT(Assumptions!F$25/12,Assumptions!F$24*12,$V$8)*$C118/100</f>
        <v>#NUM!</v>
      </c>
      <c r="X118" s="40" t="e">
        <f>W118*Assumptions!$F$24*12-V118</f>
        <v>#NUM!</v>
      </c>
      <c r="Y118" s="43"/>
      <c r="Z118" s="40">
        <f t="shared" si="17"/>
        <v>0</v>
      </c>
      <c r="AA118" s="50" t="e">
        <f>-PMT(Assumptions!G$25/12,Assumptions!G$24*12,$Z$8)*$C118/100</f>
        <v>#NUM!</v>
      </c>
      <c r="AB118" s="44" t="e">
        <f>AA118*Assumptions!$G$24*12-Z118</f>
        <v>#NUM!</v>
      </c>
      <c r="AD118" s="54">
        <f t="shared" si="18"/>
        <v>0</v>
      </c>
      <c r="AE118" s="54">
        <f t="shared" si="19"/>
        <v>0</v>
      </c>
      <c r="AF118" s="54">
        <f t="shared" si="20"/>
        <v>2020</v>
      </c>
      <c r="AG118" s="54">
        <f t="shared" si="21"/>
        <v>10100.000000000002</v>
      </c>
      <c r="AH118" s="54">
        <f t="shared" si="22"/>
        <v>0</v>
      </c>
      <c r="AI118" s="54">
        <f t="shared" si="23"/>
        <v>0</v>
      </c>
    </row>
    <row r="119" spans="1:35" ht="15" x14ac:dyDescent="0.2">
      <c r="A119" s="56" t="s">
        <v>214</v>
      </c>
      <c r="B119" s="32"/>
      <c r="C119" s="56">
        <v>0.20200000000000001</v>
      </c>
      <c r="D119" s="56">
        <v>317.16000000000003</v>
      </c>
      <c r="E119" s="36"/>
      <c r="F119" s="40">
        <f t="shared" si="12"/>
        <v>0</v>
      </c>
      <c r="G119" s="40" t="e">
        <f>-PMT(Assumptions!B$25/12,Assumptions!B$24*12,F$8)*C119/100</f>
        <v>#NUM!</v>
      </c>
      <c r="H119" s="40" t="e">
        <f>G119*Assumptions!$B$24*12-F119</f>
        <v>#NUM!</v>
      </c>
      <c r="I119" s="48"/>
      <c r="J119" s="40">
        <f t="shared" si="13"/>
        <v>0</v>
      </c>
      <c r="K119" s="40" t="e">
        <f>-PMT(Assumptions!C$25/12,Assumptions!C$24*12,J$8)*C119/100</f>
        <v>#NUM!</v>
      </c>
      <c r="L119" s="40" t="e">
        <f>K119*Assumptions!$C$24*12-J119</f>
        <v>#NUM!</v>
      </c>
      <c r="M119" s="43"/>
      <c r="N119" s="40">
        <f t="shared" si="14"/>
        <v>2020</v>
      </c>
      <c r="O119" s="50">
        <f>-PMT(Assumptions!D$25/12,Assumptions!D$24*12,N$8)*C119/100</f>
        <v>21.425234078293197</v>
      </c>
      <c r="P119" s="44">
        <f>O119*Assumptions!$D$24*12-N119</f>
        <v>551.028089395184</v>
      </c>
      <c r="Q119" s="48"/>
      <c r="R119" s="40">
        <f t="shared" si="15"/>
        <v>10100.000000000002</v>
      </c>
      <c r="S119" s="40">
        <f>-PMT(Assumptions!E$25/12,Assumptions!E$24*12,$R$8)*$C119/100</f>
        <v>107.12617039146599</v>
      </c>
      <c r="T119" s="40">
        <f>S119*Assumptions!$E$24*12-R119</f>
        <v>2755.1404469759163</v>
      </c>
      <c r="U119" s="48"/>
      <c r="V119" s="40">
        <f t="shared" si="16"/>
        <v>0</v>
      </c>
      <c r="W119" s="40" t="e">
        <f>-PMT(Assumptions!F$25/12,Assumptions!F$24*12,$V$8)*$C119/100</f>
        <v>#NUM!</v>
      </c>
      <c r="X119" s="40" t="e">
        <f>W119*Assumptions!$F$24*12-V119</f>
        <v>#NUM!</v>
      </c>
      <c r="Y119" s="43"/>
      <c r="Z119" s="40">
        <f t="shared" si="17"/>
        <v>0</v>
      </c>
      <c r="AA119" s="50" t="e">
        <f>-PMT(Assumptions!G$25/12,Assumptions!G$24*12,$Z$8)*$C119/100</f>
        <v>#NUM!</v>
      </c>
      <c r="AB119" s="44" t="e">
        <f>AA119*Assumptions!$G$24*12-Z119</f>
        <v>#NUM!</v>
      </c>
      <c r="AD119" s="54">
        <f t="shared" si="18"/>
        <v>0</v>
      </c>
      <c r="AE119" s="54">
        <f t="shared" si="19"/>
        <v>0</v>
      </c>
      <c r="AF119" s="54">
        <f t="shared" si="20"/>
        <v>2020</v>
      </c>
      <c r="AG119" s="54">
        <f t="shared" si="21"/>
        <v>10100.000000000002</v>
      </c>
      <c r="AH119" s="54">
        <f t="shared" si="22"/>
        <v>0</v>
      </c>
      <c r="AI119" s="54">
        <f t="shared" si="23"/>
        <v>0</v>
      </c>
    </row>
    <row r="120" spans="1:35" ht="15" x14ac:dyDescent="0.2">
      <c r="A120" s="56" t="s">
        <v>215</v>
      </c>
      <c r="B120" s="32"/>
      <c r="C120" s="56">
        <v>0.28000000000000003</v>
      </c>
      <c r="D120" s="56">
        <v>439.63</v>
      </c>
      <c r="E120" s="36"/>
      <c r="F120" s="40">
        <f t="shared" si="12"/>
        <v>0</v>
      </c>
      <c r="G120" s="40" t="e">
        <f>-PMT(Assumptions!B$25/12,Assumptions!B$24*12,F$8)*C120/100</f>
        <v>#NUM!</v>
      </c>
      <c r="H120" s="40" t="e">
        <f>G120*Assumptions!$B$24*12-F120</f>
        <v>#NUM!</v>
      </c>
      <c r="I120" s="48"/>
      <c r="J120" s="40">
        <f t="shared" si="13"/>
        <v>0</v>
      </c>
      <c r="K120" s="40" t="e">
        <f>-PMT(Assumptions!C$25/12,Assumptions!C$24*12,J$8)*C120/100</f>
        <v>#NUM!</v>
      </c>
      <c r="L120" s="40" t="e">
        <f>K120*Assumptions!$C$24*12-J120</f>
        <v>#NUM!</v>
      </c>
      <c r="M120" s="43"/>
      <c r="N120" s="40">
        <f t="shared" si="14"/>
        <v>2800</v>
      </c>
      <c r="O120" s="50">
        <f>-PMT(Assumptions!D$25/12,Assumptions!D$24*12,N$8)*C120/100</f>
        <v>29.698344266941067</v>
      </c>
      <c r="P120" s="44">
        <f>O120*Assumptions!$D$24*12-N120</f>
        <v>763.80131203292831</v>
      </c>
      <c r="Q120" s="48"/>
      <c r="R120" s="40">
        <f t="shared" si="15"/>
        <v>14000.000000000002</v>
      </c>
      <c r="S120" s="40">
        <f>-PMT(Assumptions!E$25/12,Assumptions!E$24*12,$R$8)*$C120/100</f>
        <v>148.49172133470535</v>
      </c>
      <c r="T120" s="40">
        <f>S120*Assumptions!$E$24*12-R120</f>
        <v>3819.0065601646402</v>
      </c>
      <c r="U120" s="48"/>
      <c r="V120" s="40">
        <f t="shared" si="16"/>
        <v>0</v>
      </c>
      <c r="W120" s="40" t="e">
        <f>-PMT(Assumptions!F$25/12,Assumptions!F$24*12,$V$8)*$C120/100</f>
        <v>#NUM!</v>
      </c>
      <c r="X120" s="40" t="e">
        <f>W120*Assumptions!$F$24*12-V120</f>
        <v>#NUM!</v>
      </c>
      <c r="Y120" s="43"/>
      <c r="Z120" s="40">
        <f t="shared" si="17"/>
        <v>0</v>
      </c>
      <c r="AA120" s="50" t="e">
        <f>-PMT(Assumptions!G$25/12,Assumptions!G$24*12,$Z$8)*$C120/100</f>
        <v>#NUM!</v>
      </c>
      <c r="AB120" s="44" t="e">
        <f>AA120*Assumptions!$G$24*12-Z120</f>
        <v>#NUM!</v>
      </c>
      <c r="AD120" s="54">
        <f t="shared" si="18"/>
        <v>0</v>
      </c>
      <c r="AE120" s="54">
        <f t="shared" si="19"/>
        <v>0</v>
      </c>
      <c r="AF120" s="54">
        <f t="shared" si="20"/>
        <v>2800</v>
      </c>
      <c r="AG120" s="54">
        <f t="shared" si="21"/>
        <v>14000.000000000002</v>
      </c>
      <c r="AH120" s="54">
        <f t="shared" si="22"/>
        <v>0</v>
      </c>
      <c r="AI120" s="54">
        <f t="shared" si="23"/>
        <v>0</v>
      </c>
    </row>
    <row r="121" spans="1:35" ht="15" x14ac:dyDescent="0.2">
      <c r="A121" s="56" t="s">
        <v>216</v>
      </c>
      <c r="B121" s="32"/>
      <c r="C121" s="56">
        <v>0.28000000000000003</v>
      </c>
      <c r="D121" s="56">
        <v>439.63</v>
      </c>
      <c r="E121" s="36"/>
      <c r="F121" s="40">
        <f t="shared" si="12"/>
        <v>0</v>
      </c>
      <c r="G121" s="40" t="e">
        <f>-PMT(Assumptions!B$25/12,Assumptions!B$24*12,F$8)*C121/100</f>
        <v>#NUM!</v>
      </c>
      <c r="H121" s="40" t="e">
        <f>G121*Assumptions!$B$24*12-F121</f>
        <v>#NUM!</v>
      </c>
      <c r="I121" s="48"/>
      <c r="J121" s="40">
        <f t="shared" si="13"/>
        <v>0</v>
      </c>
      <c r="K121" s="40" t="e">
        <f>-PMT(Assumptions!C$25/12,Assumptions!C$24*12,J$8)*C121/100</f>
        <v>#NUM!</v>
      </c>
      <c r="L121" s="40" t="e">
        <f>K121*Assumptions!$C$24*12-J121</f>
        <v>#NUM!</v>
      </c>
      <c r="M121" s="43"/>
      <c r="N121" s="40">
        <f t="shared" si="14"/>
        <v>2800</v>
      </c>
      <c r="O121" s="50">
        <f>-PMT(Assumptions!D$25/12,Assumptions!D$24*12,N$8)*C121/100</f>
        <v>29.698344266941067</v>
      </c>
      <c r="P121" s="44">
        <f>O121*Assumptions!$D$24*12-N121</f>
        <v>763.80131203292831</v>
      </c>
      <c r="Q121" s="48"/>
      <c r="R121" s="40">
        <f t="shared" si="15"/>
        <v>14000.000000000002</v>
      </c>
      <c r="S121" s="40">
        <f>-PMT(Assumptions!E$25/12,Assumptions!E$24*12,$R$8)*$C121/100</f>
        <v>148.49172133470535</v>
      </c>
      <c r="T121" s="40">
        <f>S121*Assumptions!$E$24*12-R121</f>
        <v>3819.0065601646402</v>
      </c>
      <c r="U121" s="48"/>
      <c r="V121" s="40">
        <f t="shared" si="16"/>
        <v>0</v>
      </c>
      <c r="W121" s="40" t="e">
        <f>-PMT(Assumptions!F$25/12,Assumptions!F$24*12,$V$8)*$C121/100</f>
        <v>#NUM!</v>
      </c>
      <c r="X121" s="40" t="e">
        <f>W121*Assumptions!$F$24*12-V121</f>
        <v>#NUM!</v>
      </c>
      <c r="Y121" s="43"/>
      <c r="Z121" s="40">
        <f t="shared" si="17"/>
        <v>0</v>
      </c>
      <c r="AA121" s="50" t="e">
        <f>-PMT(Assumptions!G$25/12,Assumptions!G$24*12,$Z$8)*$C121/100</f>
        <v>#NUM!</v>
      </c>
      <c r="AB121" s="44" t="e">
        <f>AA121*Assumptions!$G$24*12-Z121</f>
        <v>#NUM!</v>
      </c>
      <c r="AD121" s="54">
        <f t="shared" si="18"/>
        <v>0</v>
      </c>
      <c r="AE121" s="54">
        <f t="shared" si="19"/>
        <v>0</v>
      </c>
      <c r="AF121" s="54">
        <f t="shared" si="20"/>
        <v>2800</v>
      </c>
      <c r="AG121" s="54">
        <f t="shared" si="21"/>
        <v>14000.000000000002</v>
      </c>
      <c r="AH121" s="54">
        <f t="shared" si="22"/>
        <v>0</v>
      </c>
      <c r="AI121" s="54">
        <f t="shared" si="23"/>
        <v>0</v>
      </c>
    </row>
    <row r="122" spans="1:35" ht="15" x14ac:dyDescent="0.2">
      <c r="A122" s="56" t="s">
        <v>217</v>
      </c>
      <c r="B122" s="32"/>
      <c r="C122" s="56">
        <v>0.28799999999999998</v>
      </c>
      <c r="D122" s="56">
        <v>452.19</v>
      </c>
      <c r="E122" s="36"/>
      <c r="F122" s="40">
        <f t="shared" si="12"/>
        <v>0</v>
      </c>
      <c r="G122" s="40" t="e">
        <f>-PMT(Assumptions!B$25/12,Assumptions!B$24*12,F$8)*C122/100</f>
        <v>#NUM!</v>
      </c>
      <c r="H122" s="40" t="e">
        <f>G122*Assumptions!$B$24*12-F122</f>
        <v>#NUM!</v>
      </c>
      <c r="I122" s="48"/>
      <c r="J122" s="40">
        <f t="shared" si="13"/>
        <v>0</v>
      </c>
      <c r="K122" s="40" t="e">
        <f>-PMT(Assumptions!C$25/12,Assumptions!C$24*12,J$8)*C122/100</f>
        <v>#NUM!</v>
      </c>
      <c r="L122" s="40" t="e">
        <f>K122*Assumptions!$C$24*12-J122</f>
        <v>#NUM!</v>
      </c>
      <c r="M122" s="43"/>
      <c r="N122" s="40">
        <f t="shared" si="14"/>
        <v>2880</v>
      </c>
      <c r="O122" s="50">
        <f>-PMT(Assumptions!D$25/12,Assumptions!D$24*12,N$8)*C122/100</f>
        <v>30.546868388853664</v>
      </c>
      <c r="P122" s="44">
        <f>O122*Assumptions!$D$24*12-N122</f>
        <v>785.62420666243997</v>
      </c>
      <c r="Q122" s="48"/>
      <c r="R122" s="40">
        <f t="shared" si="15"/>
        <v>14400</v>
      </c>
      <c r="S122" s="40">
        <f>-PMT(Assumptions!E$25/12,Assumptions!E$24*12,$R$8)*$C122/100</f>
        <v>152.73434194426832</v>
      </c>
      <c r="T122" s="40">
        <f>S122*Assumptions!$E$24*12-R122</f>
        <v>3928.1210333121999</v>
      </c>
      <c r="U122" s="48"/>
      <c r="V122" s="40">
        <f t="shared" si="16"/>
        <v>0</v>
      </c>
      <c r="W122" s="40" t="e">
        <f>-PMT(Assumptions!F$25/12,Assumptions!F$24*12,$V$8)*$C122/100</f>
        <v>#NUM!</v>
      </c>
      <c r="X122" s="40" t="e">
        <f>W122*Assumptions!$F$24*12-V122</f>
        <v>#NUM!</v>
      </c>
      <c r="Y122" s="43"/>
      <c r="Z122" s="40">
        <f t="shared" si="17"/>
        <v>0</v>
      </c>
      <c r="AA122" s="50" t="e">
        <f>-PMT(Assumptions!G$25/12,Assumptions!G$24*12,$Z$8)*$C122/100</f>
        <v>#NUM!</v>
      </c>
      <c r="AB122" s="44" t="e">
        <f>AA122*Assumptions!$G$24*12-Z122</f>
        <v>#NUM!</v>
      </c>
      <c r="AD122" s="54">
        <f t="shared" si="18"/>
        <v>0</v>
      </c>
      <c r="AE122" s="54">
        <f t="shared" si="19"/>
        <v>0</v>
      </c>
      <c r="AF122" s="54">
        <f t="shared" si="20"/>
        <v>2880</v>
      </c>
      <c r="AG122" s="54">
        <f t="shared" si="21"/>
        <v>14400</v>
      </c>
      <c r="AH122" s="54">
        <f t="shared" si="22"/>
        <v>0</v>
      </c>
      <c r="AI122" s="54">
        <f t="shared" si="23"/>
        <v>0</v>
      </c>
    </row>
    <row r="123" spans="1:35" ht="15" x14ac:dyDescent="0.2">
      <c r="A123" s="56" t="s">
        <v>218</v>
      </c>
      <c r="B123" s="32"/>
      <c r="C123" s="56">
        <v>0.28799999999999998</v>
      </c>
      <c r="D123" s="56">
        <v>452.19</v>
      </c>
      <c r="E123" s="36"/>
      <c r="F123" s="40">
        <f t="shared" si="12"/>
        <v>0</v>
      </c>
      <c r="G123" s="40" t="e">
        <f>-PMT(Assumptions!B$25/12,Assumptions!B$24*12,F$8)*C123/100</f>
        <v>#NUM!</v>
      </c>
      <c r="H123" s="40" t="e">
        <f>G123*Assumptions!$B$24*12-F123</f>
        <v>#NUM!</v>
      </c>
      <c r="I123" s="48"/>
      <c r="J123" s="40">
        <f t="shared" si="13"/>
        <v>0</v>
      </c>
      <c r="K123" s="40" t="e">
        <f>-PMT(Assumptions!C$25/12,Assumptions!C$24*12,J$8)*C123/100</f>
        <v>#NUM!</v>
      </c>
      <c r="L123" s="40" t="e">
        <f>K123*Assumptions!$C$24*12-J123</f>
        <v>#NUM!</v>
      </c>
      <c r="M123" s="43"/>
      <c r="N123" s="40">
        <f t="shared" si="14"/>
        <v>2880</v>
      </c>
      <c r="O123" s="50">
        <f>-PMT(Assumptions!D$25/12,Assumptions!D$24*12,N$8)*C123/100</f>
        <v>30.546868388853664</v>
      </c>
      <c r="P123" s="44">
        <f>O123*Assumptions!$D$24*12-N123</f>
        <v>785.62420666243997</v>
      </c>
      <c r="Q123" s="48"/>
      <c r="R123" s="40">
        <f t="shared" si="15"/>
        <v>14400</v>
      </c>
      <c r="S123" s="40">
        <f>-PMT(Assumptions!E$25/12,Assumptions!E$24*12,$R$8)*$C123/100</f>
        <v>152.73434194426832</v>
      </c>
      <c r="T123" s="40">
        <f>S123*Assumptions!$E$24*12-R123</f>
        <v>3928.1210333121999</v>
      </c>
      <c r="U123" s="48"/>
      <c r="V123" s="40">
        <f t="shared" si="16"/>
        <v>0</v>
      </c>
      <c r="W123" s="40" t="e">
        <f>-PMT(Assumptions!F$25/12,Assumptions!F$24*12,$V$8)*$C123/100</f>
        <v>#NUM!</v>
      </c>
      <c r="X123" s="40" t="e">
        <f>W123*Assumptions!$F$24*12-V123</f>
        <v>#NUM!</v>
      </c>
      <c r="Y123" s="43"/>
      <c r="Z123" s="40">
        <f t="shared" si="17"/>
        <v>0</v>
      </c>
      <c r="AA123" s="50" t="e">
        <f>-PMT(Assumptions!G$25/12,Assumptions!G$24*12,$Z$8)*$C123/100</f>
        <v>#NUM!</v>
      </c>
      <c r="AB123" s="44" t="e">
        <f>AA123*Assumptions!$G$24*12-Z123</f>
        <v>#NUM!</v>
      </c>
      <c r="AD123" s="54">
        <f t="shared" si="18"/>
        <v>0</v>
      </c>
      <c r="AE123" s="54">
        <f t="shared" si="19"/>
        <v>0</v>
      </c>
      <c r="AF123" s="54">
        <f t="shared" si="20"/>
        <v>2880</v>
      </c>
      <c r="AG123" s="54">
        <f t="shared" si="21"/>
        <v>14400</v>
      </c>
      <c r="AH123" s="54">
        <f t="shared" si="22"/>
        <v>0</v>
      </c>
      <c r="AI123" s="54">
        <f t="shared" si="23"/>
        <v>0</v>
      </c>
    </row>
    <row r="124" spans="1:35" ht="15" x14ac:dyDescent="0.2">
      <c r="A124" s="56" t="s">
        <v>219</v>
      </c>
      <c r="B124" s="32"/>
      <c r="C124" s="56">
        <v>0.2</v>
      </c>
      <c r="D124" s="56">
        <v>314.02</v>
      </c>
      <c r="E124" s="36"/>
      <c r="F124" s="40">
        <f t="shared" si="12"/>
        <v>0</v>
      </c>
      <c r="G124" s="40" t="e">
        <f>-PMT(Assumptions!B$25/12,Assumptions!B$24*12,F$8)*C124/100</f>
        <v>#NUM!</v>
      </c>
      <c r="H124" s="40" t="e">
        <f>G124*Assumptions!$B$24*12-F124</f>
        <v>#NUM!</v>
      </c>
      <c r="I124" s="48"/>
      <c r="J124" s="40">
        <f t="shared" si="13"/>
        <v>0</v>
      </c>
      <c r="K124" s="40" t="e">
        <f>-PMT(Assumptions!C$25/12,Assumptions!C$24*12,J$8)*C124/100</f>
        <v>#NUM!</v>
      </c>
      <c r="L124" s="40" t="e">
        <f>K124*Assumptions!$C$24*12-J124</f>
        <v>#NUM!</v>
      </c>
      <c r="M124" s="43"/>
      <c r="N124" s="40">
        <f t="shared" si="14"/>
        <v>2000</v>
      </c>
      <c r="O124" s="50">
        <f>-PMT(Assumptions!D$25/12,Assumptions!D$24*12,N$8)*C124/100</f>
        <v>21.213103047815046</v>
      </c>
      <c r="P124" s="44">
        <f>O124*Assumptions!$D$24*12-N124</f>
        <v>545.57236573780574</v>
      </c>
      <c r="Q124" s="48"/>
      <c r="R124" s="40">
        <f t="shared" si="15"/>
        <v>10000</v>
      </c>
      <c r="S124" s="40">
        <f>-PMT(Assumptions!E$25/12,Assumptions!E$24*12,$R$8)*$C124/100</f>
        <v>106.06551523907525</v>
      </c>
      <c r="T124" s="40">
        <f>S124*Assumptions!$E$24*12-R124</f>
        <v>2727.8618286890305</v>
      </c>
      <c r="U124" s="48"/>
      <c r="V124" s="40">
        <f t="shared" si="16"/>
        <v>0</v>
      </c>
      <c r="W124" s="40" t="e">
        <f>-PMT(Assumptions!F$25/12,Assumptions!F$24*12,$V$8)*$C124/100</f>
        <v>#NUM!</v>
      </c>
      <c r="X124" s="40" t="e">
        <f>W124*Assumptions!$F$24*12-V124</f>
        <v>#NUM!</v>
      </c>
      <c r="Y124" s="43"/>
      <c r="Z124" s="40">
        <f t="shared" si="17"/>
        <v>0</v>
      </c>
      <c r="AA124" s="50" t="e">
        <f>-PMT(Assumptions!G$25/12,Assumptions!G$24*12,$Z$8)*$C124/100</f>
        <v>#NUM!</v>
      </c>
      <c r="AB124" s="44" t="e">
        <f>AA124*Assumptions!$G$24*12-Z124</f>
        <v>#NUM!</v>
      </c>
      <c r="AD124" s="54">
        <f t="shared" si="18"/>
        <v>0</v>
      </c>
      <c r="AE124" s="54">
        <f t="shared" si="19"/>
        <v>0</v>
      </c>
      <c r="AF124" s="54">
        <f t="shared" si="20"/>
        <v>2000</v>
      </c>
      <c r="AG124" s="54">
        <f t="shared" si="21"/>
        <v>10000</v>
      </c>
      <c r="AH124" s="54">
        <f t="shared" si="22"/>
        <v>0</v>
      </c>
      <c r="AI124" s="54">
        <f t="shared" si="23"/>
        <v>0</v>
      </c>
    </row>
    <row r="125" spans="1:35" ht="15" x14ac:dyDescent="0.2">
      <c r="A125" s="56" t="s">
        <v>220</v>
      </c>
      <c r="B125" s="32"/>
      <c r="C125" s="56">
        <v>0.2</v>
      </c>
      <c r="D125" s="56">
        <v>314.02</v>
      </c>
      <c r="E125" s="36"/>
      <c r="F125" s="40">
        <f t="shared" si="12"/>
        <v>0</v>
      </c>
      <c r="G125" s="40" t="e">
        <f>-PMT(Assumptions!B$25/12,Assumptions!B$24*12,F$8)*C125/100</f>
        <v>#NUM!</v>
      </c>
      <c r="H125" s="40" t="e">
        <f>G125*Assumptions!$B$24*12-F125</f>
        <v>#NUM!</v>
      </c>
      <c r="I125" s="48"/>
      <c r="J125" s="40">
        <f t="shared" si="13"/>
        <v>0</v>
      </c>
      <c r="K125" s="40" t="e">
        <f>-PMT(Assumptions!C$25/12,Assumptions!C$24*12,J$8)*C125/100</f>
        <v>#NUM!</v>
      </c>
      <c r="L125" s="40" t="e">
        <f>K125*Assumptions!$C$24*12-J125</f>
        <v>#NUM!</v>
      </c>
      <c r="M125" s="43"/>
      <c r="N125" s="40">
        <f t="shared" si="14"/>
        <v>2000</v>
      </c>
      <c r="O125" s="50">
        <f>-PMT(Assumptions!D$25/12,Assumptions!D$24*12,N$8)*C125/100</f>
        <v>21.213103047815046</v>
      </c>
      <c r="P125" s="44">
        <f>O125*Assumptions!$D$24*12-N125</f>
        <v>545.57236573780574</v>
      </c>
      <c r="Q125" s="48"/>
      <c r="R125" s="40">
        <f t="shared" si="15"/>
        <v>10000</v>
      </c>
      <c r="S125" s="40">
        <f>-PMT(Assumptions!E$25/12,Assumptions!E$24*12,$R$8)*$C125/100</f>
        <v>106.06551523907525</v>
      </c>
      <c r="T125" s="40">
        <f>S125*Assumptions!$E$24*12-R125</f>
        <v>2727.8618286890305</v>
      </c>
      <c r="U125" s="48"/>
      <c r="V125" s="40">
        <f t="shared" si="16"/>
        <v>0</v>
      </c>
      <c r="W125" s="40" t="e">
        <f>-PMT(Assumptions!F$25/12,Assumptions!F$24*12,$V$8)*$C125/100</f>
        <v>#NUM!</v>
      </c>
      <c r="X125" s="40" t="e">
        <f>W125*Assumptions!$F$24*12-V125</f>
        <v>#NUM!</v>
      </c>
      <c r="Y125" s="43"/>
      <c r="Z125" s="40">
        <f t="shared" si="17"/>
        <v>0</v>
      </c>
      <c r="AA125" s="50" t="e">
        <f>-PMT(Assumptions!G$25/12,Assumptions!G$24*12,$Z$8)*$C125/100</f>
        <v>#NUM!</v>
      </c>
      <c r="AB125" s="44" t="e">
        <f>AA125*Assumptions!$G$24*12-Z125</f>
        <v>#NUM!</v>
      </c>
      <c r="AD125" s="54">
        <f t="shared" si="18"/>
        <v>0</v>
      </c>
      <c r="AE125" s="54">
        <f t="shared" si="19"/>
        <v>0</v>
      </c>
      <c r="AF125" s="54">
        <f t="shared" si="20"/>
        <v>2000</v>
      </c>
      <c r="AG125" s="54">
        <f t="shared" si="21"/>
        <v>10000</v>
      </c>
      <c r="AH125" s="54">
        <f t="shared" si="22"/>
        <v>0</v>
      </c>
      <c r="AI125" s="54">
        <f t="shared" si="23"/>
        <v>0</v>
      </c>
    </row>
    <row r="126" spans="1:35" ht="15" x14ac:dyDescent="0.2">
      <c r="A126" s="56" t="s">
        <v>221</v>
      </c>
      <c r="B126" s="32"/>
      <c r="C126" s="56">
        <v>0.14499999999999999</v>
      </c>
      <c r="D126" s="56">
        <v>227.66</v>
      </c>
      <c r="E126" s="36"/>
      <c r="F126" s="40">
        <f t="shared" si="12"/>
        <v>0</v>
      </c>
      <c r="G126" s="40" t="e">
        <f>-PMT(Assumptions!B$25/12,Assumptions!B$24*12,F$8)*C126/100</f>
        <v>#NUM!</v>
      </c>
      <c r="H126" s="40" t="e">
        <f>G126*Assumptions!$B$24*12-F126</f>
        <v>#NUM!</v>
      </c>
      <c r="I126" s="48"/>
      <c r="J126" s="40">
        <f t="shared" si="13"/>
        <v>0</v>
      </c>
      <c r="K126" s="40" t="e">
        <f>-PMT(Assumptions!C$25/12,Assumptions!C$24*12,J$8)*C126/100</f>
        <v>#NUM!</v>
      </c>
      <c r="L126" s="40" t="e">
        <f>K126*Assumptions!$C$24*12-J126</f>
        <v>#NUM!</v>
      </c>
      <c r="M126" s="43"/>
      <c r="N126" s="40">
        <f t="shared" si="14"/>
        <v>1450</v>
      </c>
      <c r="O126" s="50">
        <f>-PMT(Assumptions!D$25/12,Assumptions!D$24*12,N$8)*C126/100</f>
        <v>15.379499709665906</v>
      </c>
      <c r="P126" s="44">
        <f>O126*Assumptions!$D$24*12-N126</f>
        <v>395.53996515990866</v>
      </c>
      <c r="Q126" s="48"/>
      <c r="R126" s="40">
        <f t="shared" si="15"/>
        <v>7250</v>
      </c>
      <c r="S126" s="40">
        <f>-PMT(Assumptions!E$25/12,Assumptions!E$24*12,$R$8)*$C126/100</f>
        <v>76.897498548329537</v>
      </c>
      <c r="T126" s="40">
        <f>S126*Assumptions!$E$24*12-R126</f>
        <v>1977.6998257995438</v>
      </c>
      <c r="U126" s="48"/>
      <c r="V126" s="40">
        <f t="shared" si="16"/>
        <v>0</v>
      </c>
      <c r="W126" s="40" t="e">
        <f>-PMT(Assumptions!F$25/12,Assumptions!F$24*12,$V$8)*$C126/100</f>
        <v>#NUM!</v>
      </c>
      <c r="X126" s="40" t="e">
        <f>W126*Assumptions!$F$24*12-V126</f>
        <v>#NUM!</v>
      </c>
      <c r="Y126" s="43"/>
      <c r="Z126" s="40">
        <f t="shared" si="17"/>
        <v>0</v>
      </c>
      <c r="AA126" s="50" t="e">
        <f>-PMT(Assumptions!G$25/12,Assumptions!G$24*12,$Z$8)*$C126/100</f>
        <v>#NUM!</v>
      </c>
      <c r="AB126" s="44" t="e">
        <f>AA126*Assumptions!$G$24*12-Z126</f>
        <v>#NUM!</v>
      </c>
      <c r="AD126" s="54">
        <f t="shared" si="18"/>
        <v>0</v>
      </c>
      <c r="AE126" s="54">
        <f t="shared" si="19"/>
        <v>0</v>
      </c>
      <c r="AF126" s="54">
        <f t="shared" si="20"/>
        <v>1450</v>
      </c>
      <c r="AG126" s="54">
        <f t="shared" si="21"/>
        <v>7250</v>
      </c>
      <c r="AH126" s="54">
        <f t="shared" si="22"/>
        <v>0</v>
      </c>
      <c r="AI126" s="54">
        <f t="shared" si="23"/>
        <v>0</v>
      </c>
    </row>
    <row r="127" spans="1:35" ht="15" x14ac:dyDescent="0.2">
      <c r="A127" s="56" t="s">
        <v>222</v>
      </c>
      <c r="B127" s="32"/>
      <c r="C127" s="56">
        <v>0.154</v>
      </c>
      <c r="D127" s="56">
        <v>241.8</v>
      </c>
      <c r="E127" s="36"/>
      <c r="F127" s="40">
        <f t="shared" si="12"/>
        <v>0</v>
      </c>
      <c r="G127" s="40" t="e">
        <f>-PMT(Assumptions!B$25/12,Assumptions!B$24*12,F$8)*C127/100</f>
        <v>#NUM!</v>
      </c>
      <c r="H127" s="40" t="e">
        <f>G127*Assumptions!$B$24*12-F127</f>
        <v>#NUM!</v>
      </c>
      <c r="I127" s="48"/>
      <c r="J127" s="40">
        <f t="shared" si="13"/>
        <v>0</v>
      </c>
      <c r="K127" s="40" t="e">
        <f>-PMT(Assumptions!C$25/12,Assumptions!C$24*12,J$8)*C127/100</f>
        <v>#NUM!</v>
      </c>
      <c r="L127" s="40" t="e">
        <f>K127*Assumptions!$C$24*12-J127</f>
        <v>#NUM!</v>
      </c>
      <c r="M127" s="43"/>
      <c r="N127" s="40">
        <f t="shared" si="14"/>
        <v>1540</v>
      </c>
      <c r="O127" s="50">
        <f>-PMT(Assumptions!D$25/12,Assumptions!D$24*12,N$8)*C127/100</f>
        <v>16.334089346817585</v>
      </c>
      <c r="P127" s="44">
        <f>O127*Assumptions!$D$24*12-N127</f>
        <v>420.09072161811036</v>
      </c>
      <c r="Q127" s="48"/>
      <c r="R127" s="40">
        <f t="shared" si="15"/>
        <v>7700</v>
      </c>
      <c r="S127" s="40">
        <f>-PMT(Assumptions!E$25/12,Assumptions!E$24*12,$R$8)*$C127/100</f>
        <v>81.670446734087932</v>
      </c>
      <c r="T127" s="40">
        <f>S127*Assumptions!$E$24*12-R127</f>
        <v>2100.4536080905527</v>
      </c>
      <c r="U127" s="48"/>
      <c r="V127" s="40">
        <f t="shared" si="16"/>
        <v>0</v>
      </c>
      <c r="W127" s="40" t="e">
        <f>-PMT(Assumptions!F$25/12,Assumptions!F$24*12,$V$8)*$C127/100</f>
        <v>#NUM!</v>
      </c>
      <c r="X127" s="40" t="e">
        <f>W127*Assumptions!$F$24*12-V127</f>
        <v>#NUM!</v>
      </c>
      <c r="Y127" s="43"/>
      <c r="Z127" s="40">
        <f t="shared" si="17"/>
        <v>0</v>
      </c>
      <c r="AA127" s="50" t="e">
        <f>-PMT(Assumptions!G$25/12,Assumptions!G$24*12,$Z$8)*$C127/100</f>
        <v>#NUM!</v>
      </c>
      <c r="AB127" s="44" t="e">
        <f>AA127*Assumptions!$G$24*12-Z127</f>
        <v>#NUM!</v>
      </c>
      <c r="AD127" s="54">
        <f t="shared" si="18"/>
        <v>0</v>
      </c>
      <c r="AE127" s="54">
        <f t="shared" si="19"/>
        <v>0</v>
      </c>
      <c r="AF127" s="54">
        <f t="shared" si="20"/>
        <v>1540</v>
      </c>
      <c r="AG127" s="54">
        <f t="shared" si="21"/>
        <v>7700</v>
      </c>
      <c r="AH127" s="54">
        <f t="shared" si="22"/>
        <v>0</v>
      </c>
      <c r="AI127" s="54">
        <f t="shared" si="23"/>
        <v>0</v>
      </c>
    </row>
    <row r="128" spans="1:35" ht="15" x14ac:dyDescent="0.2">
      <c r="A128" s="56" t="s">
        <v>223</v>
      </c>
      <c r="B128" s="32"/>
      <c r="C128" s="56">
        <v>0.14499999999999999</v>
      </c>
      <c r="D128" s="56">
        <v>227.66</v>
      </c>
      <c r="E128" s="36"/>
      <c r="F128" s="40">
        <f t="shared" si="12"/>
        <v>0</v>
      </c>
      <c r="G128" s="40" t="e">
        <f>-PMT(Assumptions!B$25/12,Assumptions!B$24*12,F$8)*C128/100</f>
        <v>#NUM!</v>
      </c>
      <c r="H128" s="40" t="e">
        <f>G128*Assumptions!$B$24*12-F128</f>
        <v>#NUM!</v>
      </c>
      <c r="I128" s="48"/>
      <c r="J128" s="40">
        <f t="shared" si="13"/>
        <v>0</v>
      </c>
      <c r="K128" s="40" t="e">
        <f>-PMT(Assumptions!C$25/12,Assumptions!C$24*12,J$8)*C128/100</f>
        <v>#NUM!</v>
      </c>
      <c r="L128" s="40" t="e">
        <f>K128*Assumptions!$C$24*12-J128</f>
        <v>#NUM!</v>
      </c>
      <c r="M128" s="43"/>
      <c r="N128" s="40">
        <f t="shared" si="14"/>
        <v>1450</v>
      </c>
      <c r="O128" s="50">
        <f>-PMT(Assumptions!D$25/12,Assumptions!D$24*12,N$8)*C128/100</f>
        <v>15.379499709665906</v>
      </c>
      <c r="P128" s="44">
        <f>O128*Assumptions!$D$24*12-N128</f>
        <v>395.53996515990866</v>
      </c>
      <c r="Q128" s="48"/>
      <c r="R128" s="40">
        <f t="shared" si="15"/>
        <v>7250</v>
      </c>
      <c r="S128" s="40">
        <f>-PMT(Assumptions!E$25/12,Assumptions!E$24*12,$R$8)*$C128/100</f>
        <v>76.897498548329537</v>
      </c>
      <c r="T128" s="40">
        <f>S128*Assumptions!$E$24*12-R128</f>
        <v>1977.6998257995438</v>
      </c>
      <c r="U128" s="48"/>
      <c r="V128" s="40">
        <f t="shared" si="16"/>
        <v>0</v>
      </c>
      <c r="W128" s="40" t="e">
        <f>-PMT(Assumptions!F$25/12,Assumptions!F$24*12,$V$8)*$C128/100</f>
        <v>#NUM!</v>
      </c>
      <c r="X128" s="40" t="e">
        <f>W128*Assumptions!$F$24*12-V128</f>
        <v>#NUM!</v>
      </c>
      <c r="Y128" s="43"/>
      <c r="Z128" s="40">
        <f t="shared" si="17"/>
        <v>0</v>
      </c>
      <c r="AA128" s="50" t="e">
        <f>-PMT(Assumptions!G$25/12,Assumptions!G$24*12,$Z$8)*$C128/100</f>
        <v>#NUM!</v>
      </c>
      <c r="AB128" s="44" t="e">
        <f>AA128*Assumptions!$G$24*12-Z128</f>
        <v>#NUM!</v>
      </c>
      <c r="AD128" s="54">
        <f t="shared" si="18"/>
        <v>0</v>
      </c>
      <c r="AE128" s="54">
        <f t="shared" si="19"/>
        <v>0</v>
      </c>
      <c r="AF128" s="54">
        <f t="shared" si="20"/>
        <v>1450</v>
      </c>
      <c r="AG128" s="54">
        <f t="shared" si="21"/>
        <v>7250</v>
      </c>
      <c r="AH128" s="54">
        <f t="shared" si="22"/>
        <v>0</v>
      </c>
      <c r="AI128" s="54">
        <f t="shared" si="23"/>
        <v>0</v>
      </c>
    </row>
    <row r="129" spans="1:35" ht="15" x14ac:dyDescent="0.2">
      <c r="A129" s="56" t="s">
        <v>224</v>
      </c>
      <c r="B129" s="32"/>
      <c r="C129" s="56">
        <v>0.154</v>
      </c>
      <c r="D129" s="56">
        <v>241.8</v>
      </c>
      <c r="E129" s="36"/>
      <c r="F129" s="40">
        <f t="shared" si="12"/>
        <v>0</v>
      </c>
      <c r="G129" s="40" t="e">
        <f>-PMT(Assumptions!B$25/12,Assumptions!B$24*12,F$8)*C129/100</f>
        <v>#NUM!</v>
      </c>
      <c r="H129" s="40" t="e">
        <f>G129*Assumptions!$B$24*12-F129</f>
        <v>#NUM!</v>
      </c>
      <c r="I129" s="48"/>
      <c r="J129" s="40">
        <f t="shared" si="13"/>
        <v>0</v>
      </c>
      <c r="K129" s="40" t="e">
        <f>-PMT(Assumptions!C$25/12,Assumptions!C$24*12,J$8)*C129/100</f>
        <v>#NUM!</v>
      </c>
      <c r="L129" s="40" t="e">
        <f>K129*Assumptions!$C$24*12-J129</f>
        <v>#NUM!</v>
      </c>
      <c r="M129" s="43"/>
      <c r="N129" s="40">
        <f t="shared" si="14"/>
        <v>1540</v>
      </c>
      <c r="O129" s="50">
        <f>-PMT(Assumptions!D$25/12,Assumptions!D$24*12,N$8)*C129/100</f>
        <v>16.334089346817585</v>
      </c>
      <c r="P129" s="44">
        <f>O129*Assumptions!$D$24*12-N129</f>
        <v>420.09072161811036</v>
      </c>
      <c r="Q129" s="48"/>
      <c r="R129" s="40">
        <f t="shared" si="15"/>
        <v>7700</v>
      </c>
      <c r="S129" s="40">
        <f>-PMT(Assumptions!E$25/12,Assumptions!E$24*12,$R$8)*$C129/100</f>
        <v>81.670446734087932</v>
      </c>
      <c r="T129" s="40">
        <f>S129*Assumptions!$E$24*12-R129</f>
        <v>2100.4536080905527</v>
      </c>
      <c r="U129" s="48"/>
      <c r="V129" s="40">
        <f t="shared" si="16"/>
        <v>0</v>
      </c>
      <c r="W129" s="40" t="e">
        <f>-PMT(Assumptions!F$25/12,Assumptions!F$24*12,$V$8)*$C129/100</f>
        <v>#NUM!</v>
      </c>
      <c r="X129" s="40" t="e">
        <f>W129*Assumptions!$F$24*12-V129</f>
        <v>#NUM!</v>
      </c>
      <c r="Y129" s="43"/>
      <c r="Z129" s="40">
        <f t="shared" si="17"/>
        <v>0</v>
      </c>
      <c r="AA129" s="50" t="e">
        <f>-PMT(Assumptions!G$25/12,Assumptions!G$24*12,$Z$8)*$C129/100</f>
        <v>#NUM!</v>
      </c>
      <c r="AB129" s="44" t="e">
        <f>AA129*Assumptions!$G$24*12-Z129</f>
        <v>#NUM!</v>
      </c>
      <c r="AD129" s="54">
        <f t="shared" si="18"/>
        <v>0</v>
      </c>
      <c r="AE129" s="54">
        <f t="shared" si="19"/>
        <v>0</v>
      </c>
      <c r="AF129" s="54">
        <f t="shared" si="20"/>
        <v>1540</v>
      </c>
      <c r="AG129" s="54">
        <f t="shared" si="21"/>
        <v>7700</v>
      </c>
      <c r="AH129" s="54">
        <f t="shared" si="22"/>
        <v>0</v>
      </c>
      <c r="AI129" s="54">
        <f t="shared" si="23"/>
        <v>0</v>
      </c>
    </row>
    <row r="130" spans="1:35" ht="15" x14ac:dyDescent="0.2">
      <c r="A130" s="56" t="s">
        <v>225</v>
      </c>
      <c r="B130" s="32"/>
      <c r="C130" s="56">
        <v>0.215</v>
      </c>
      <c r="D130" s="56">
        <v>337.57</v>
      </c>
      <c r="E130" s="36"/>
      <c r="F130" s="40">
        <f t="shared" si="12"/>
        <v>0</v>
      </c>
      <c r="G130" s="40" t="e">
        <f>-PMT(Assumptions!B$25/12,Assumptions!B$24*12,F$8)*C130/100</f>
        <v>#NUM!</v>
      </c>
      <c r="H130" s="40" t="e">
        <f>G130*Assumptions!$B$24*12-F130</f>
        <v>#NUM!</v>
      </c>
      <c r="I130" s="48"/>
      <c r="J130" s="40">
        <f t="shared" si="13"/>
        <v>0</v>
      </c>
      <c r="K130" s="40" t="e">
        <f>-PMT(Assumptions!C$25/12,Assumptions!C$24*12,J$8)*C130/100</f>
        <v>#NUM!</v>
      </c>
      <c r="L130" s="40" t="e">
        <f>K130*Assumptions!$C$24*12-J130</f>
        <v>#NUM!</v>
      </c>
      <c r="M130" s="43"/>
      <c r="N130" s="40">
        <f t="shared" si="14"/>
        <v>2150</v>
      </c>
      <c r="O130" s="50">
        <f>-PMT(Assumptions!D$25/12,Assumptions!D$24*12,N$8)*C130/100</f>
        <v>22.804085776401177</v>
      </c>
      <c r="P130" s="44">
        <f>O130*Assumptions!$D$24*12-N130</f>
        <v>586.49029316814131</v>
      </c>
      <c r="Q130" s="48"/>
      <c r="R130" s="40">
        <f t="shared" si="15"/>
        <v>10750</v>
      </c>
      <c r="S130" s="40">
        <f>-PMT(Assumptions!E$25/12,Assumptions!E$24*12,$R$8)*$C130/100</f>
        <v>114.02042888200587</v>
      </c>
      <c r="T130" s="40">
        <f>S130*Assumptions!$E$24*12-R130</f>
        <v>2932.4514658407061</v>
      </c>
      <c r="U130" s="48"/>
      <c r="V130" s="40">
        <f t="shared" si="16"/>
        <v>0</v>
      </c>
      <c r="W130" s="40" t="e">
        <f>-PMT(Assumptions!F$25/12,Assumptions!F$24*12,$V$8)*$C130/100</f>
        <v>#NUM!</v>
      </c>
      <c r="X130" s="40" t="e">
        <f>W130*Assumptions!$F$24*12-V130</f>
        <v>#NUM!</v>
      </c>
      <c r="Y130" s="43"/>
      <c r="Z130" s="40">
        <f t="shared" si="17"/>
        <v>0</v>
      </c>
      <c r="AA130" s="50" t="e">
        <f>-PMT(Assumptions!G$25/12,Assumptions!G$24*12,$Z$8)*$C130/100</f>
        <v>#NUM!</v>
      </c>
      <c r="AB130" s="44" t="e">
        <f>AA130*Assumptions!$G$24*12-Z130</f>
        <v>#NUM!</v>
      </c>
      <c r="AD130" s="54">
        <f t="shared" si="18"/>
        <v>0</v>
      </c>
      <c r="AE130" s="54">
        <f t="shared" si="19"/>
        <v>0</v>
      </c>
      <c r="AF130" s="54">
        <f t="shared" si="20"/>
        <v>2150</v>
      </c>
      <c r="AG130" s="54">
        <f t="shared" si="21"/>
        <v>10750</v>
      </c>
      <c r="AH130" s="54">
        <f t="shared" si="22"/>
        <v>0</v>
      </c>
      <c r="AI130" s="54">
        <f t="shared" si="23"/>
        <v>0</v>
      </c>
    </row>
    <row r="131" spans="1:35" ht="15" x14ac:dyDescent="0.2">
      <c r="A131" s="56" t="s">
        <v>226</v>
      </c>
      <c r="B131" s="32"/>
      <c r="C131" s="56">
        <v>0.223</v>
      </c>
      <c r="D131" s="56">
        <v>350.13</v>
      </c>
      <c r="E131" s="36"/>
      <c r="F131" s="40">
        <f t="shared" si="12"/>
        <v>0</v>
      </c>
      <c r="G131" s="40" t="e">
        <f>-PMT(Assumptions!B$25/12,Assumptions!B$24*12,F$8)*C131/100</f>
        <v>#NUM!</v>
      </c>
      <c r="H131" s="40" t="e">
        <f>G131*Assumptions!$B$24*12-F131</f>
        <v>#NUM!</v>
      </c>
      <c r="I131" s="48"/>
      <c r="J131" s="40">
        <f t="shared" si="13"/>
        <v>0</v>
      </c>
      <c r="K131" s="40" t="e">
        <f>-PMT(Assumptions!C$25/12,Assumptions!C$24*12,J$8)*C131/100</f>
        <v>#NUM!</v>
      </c>
      <c r="L131" s="40" t="e">
        <f>K131*Assumptions!$C$24*12-J131</f>
        <v>#NUM!</v>
      </c>
      <c r="M131" s="43"/>
      <c r="N131" s="40">
        <f t="shared" si="14"/>
        <v>2230</v>
      </c>
      <c r="O131" s="50">
        <f>-PMT(Assumptions!D$25/12,Assumptions!D$24*12,N$8)*C131/100</f>
        <v>23.652609898313777</v>
      </c>
      <c r="P131" s="44">
        <f>O131*Assumptions!$D$24*12-N131</f>
        <v>608.31318779765343</v>
      </c>
      <c r="Q131" s="48"/>
      <c r="R131" s="40">
        <f t="shared" si="15"/>
        <v>11150</v>
      </c>
      <c r="S131" s="40">
        <f>-PMT(Assumptions!E$25/12,Assumptions!E$24*12,$R$8)*$C131/100</f>
        <v>118.26304949156889</v>
      </c>
      <c r="T131" s="40">
        <f>S131*Assumptions!$E$24*12-R131</f>
        <v>3041.5659389882658</v>
      </c>
      <c r="U131" s="48"/>
      <c r="V131" s="40">
        <f t="shared" si="16"/>
        <v>0</v>
      </c>
      <c r="W131" s="40" t="e">
        <f>-PMT(Assumptions!F$25/12,Assumptions!F$24*12,$V$8)*$C131/100</f>
        <v>#NUM!</v>
      </c>
      <c r="X131" s="40" t="e">
        <f>W131*Assumptions!$F$24*12-V131</f>
        <v>#NUM!</v>
      </c>
      <c r="Y131" s="43"/>
      <c r="Z131" s="40">
        <f t="shared" si="17"/>
        <v>0</v>
      </c>
      <c r="AA131" s="50" t="e">
        <f>-PMT(Assumptions!G$25/12,Assumptions!G$24*12,$Z$8)*$C131/100</f>
        <v>#NUM!</v>
      </c>
      <c r="AB131" s="44" t="e">
        <f>AA131*Assumptions!$G$24*12-Z131</f>
        <v>#NUM!</v>
      </c>
      <c r="AD131" s="54">
        <f t="shared" si="18"/>
        <v>0</v>
      </c>
      <c r="AE131" s="54">
        <f t="shared" si="19"/>
        <v>0</v>
      </c>
      <c r="AF131" s="54">
        <f t="shared" si="20"/>
        <v>2230</v>
      </c>
      <c r="AG131" s="54">
        <f t="shared" si="21"/>
        <v>11150</v>
      </c>
      <c r="AH131" s="54">
        <f t="shared" si="22"/>
        <v>0</v>
      </c>
      <c r="AI131" s="54">
        <f t="shared" si="23"/>
        <v>0</v>
      </c>
    </row>
    <row r="132" spans="1:35" ht="15" x14ac:dyDescent="0.2">
      <c r="A132" s="56" t="s">
        <v>227</v>
      </c>
      <c r="B132" s="32"/>
      <c r="C132" s="56">
        <v>0.2</v>
      </c>
      <c r="D132" s="56">
        <v>314.02</v>
      </c>
      <c r="E132" s="36"/>
      <c r="F132" s="40">
        <f t="shared" si="12"/>
        <v>0</v>
      </c>
      <c r="G132" s="40" t="e">
        <f>-PMT(Assumptions!B$25/12,Assumptions!B$24*12,F$8)*C132/100</f>
        <v>#NUM!</v>
      </c>
      <c r="H132" s="40" t="e">
        <f>G132*Assumptions!$B$24*12-F132</f>
        <v>#NUM!</v>
      </c>
      <c r="I132" s="48"/>
      <c r="J132" s="40">
        <f t="shared" si="13"/>
        <v>0</v>
      </c>
      <c r="K132" s="40" t="e">
        <f>-PMT(Assumptions!C$25/12,Assumptions!C$24*12,J$8)*C132/100</f>
        <v>#NUM!</v>
      </c>
      <c r="L132" s="40" t="e">
        <f>K132*Assumptions!$C$24*12-J132</f>
        <v>#NUM!</v>
      </c>
      <c r="M132" s="43"/>
      <c r="N132" s="40">
        <f t="shared" si="14"/>
        <v>2000</v>
      </c>
      <c r="O132" s="50">
        <f>-PMT(Assumptions!D$25/12,Assumptions!D$24*12,N$8)*C132/100</f>
        <v>21.213103047815046</v>
      </c>
      <c r="P132" s="44">
        <f>O132*Assumptions!$D$24*12-N132</f>
        <v>545.57236573780574</v>
      </c>
      <c r="Q132" s="48"/>
      <c r="R132" s="40">
        <f t="shared" si="15"/>
        <v>10000</v>
      </c>
      <c r="S132" s="40">
        <f>-PMT(Assumptions!E$25/12,Assumptions!E$24*12,$R$8)*$C132/100</f>
        <v>106.06551523907525</v>
      </c>
      <c r="T132" s="40">
        <f>S132*Assumptions!$E$24*12-R132</f>
        <v>2727.8618286890305</v>
      </c>
      <c r="U132" s="48"/>
      <c r="V132" s="40">
        <f t="shared" si="16"/>
        <v>0</v>
      </c>
      <c r="W132" s="40" t="e">
        <f>-PMT(Assumptions!F$25/12,Assumptions!F$24*12,$V$8)*$C132/100</f>
        <v>#NUM!</v>
      </c>
      <c r="X132" s="40" t="e">
        <f>W132*Assumptions!$F$24*12-V132</f>
        <v>#NUM!</v>
      </c>
      <c r="Y132" s="43"/>
      <c r="Z132" s="40">
        <f t="shared" si="17"/>
        <v>0</v>
      </c>
      <c r="AA132" s="50" t="e">
        <f>-PMT(Assumptions!G$25/12,Assumptions!G$24*12,$Z$8)*$C132/100</f>
        <v>#NUM!</v>
      </c>
      <c r="AB132" s="44" t="e">
        <f>AA132*Assumptions!$G$24*12-Z132</f>
        <v>#NUM!</v>
      </c>
      <c r="AD132" s="54">
        <f t="shared" si="18"/>
        <v>0</v>
      </c>
      <c r="AE132" s="54">
        <f t="shared" si="19"/>
        <v>0</v>
      </c>
      <c r="AF132" s="54">
        <f t="shared" si="20"/>
        <v>2000</v>
      </c>
      <c r="AG132" s="54">
        <f t="shared" si="21"/>
        <v>10000</v>
      </c>
      <c r="AH132" s="54">
        <f t="shared" si="22"/>
        <v>0</v>
      </c>
      <c r="AI132" s="54">
        <f t="shared" si="23"/>
        <v>0</v>
      </c>
    </row>
    <row r="133" spans="1:35" ht="15" x14ac:dyDescent="0.2">
      <c r="A133" s="56" t="s">
        <v>228</v>
      </c>
      <c r="B133" s="32"/>
      <c r="C133" s="56">
        <v>0.2</v>
      </c>
      <c r="D133" s="56">
        <v>314.02</v>
      </c>
      <c r="E133" s="36"/>
      <c r="F133" s="40">
        <f t="shared" si="12"/>
        <v>0</v>
      </c>
      <c r="G133" s="40" t="e">
        <f>-PMT(Assumptions!B$25/12,Assumptions!B$24*12,F$8)*C133/100</f>
        <v>#NUM!</v>
      </c>
      <c r="H133" s="40" t="e">
        <f>G133*Assumptions!$B$24*12-F133</f>
        <v>#NUM!</v>
      </c>
      <c r="I133" s="48"/>
      <c r="J133" s="40">
        <f t="shared" si="13"/>
        <v>0</v>
      </c>
      <c r="K133" s="40" t="e">
        <f>-PMT(Assumptions!C$25/12,Assumptions!C$24*12,J$8)*C133/100</f>
        <v>#NUM!</v>
      </c>
      <c r="L133" s="40" t="e">
        <f>K133*Assumptions!$C$24*12-J133</f>
        <v>#NUM!</v>
      </c>
      <c r="M133" s="43"/>
      <c r="N133" s="40">
        <f t="shared" si="14"/>
        <v>2000</v>
      </c>
      <c r="O133" s="50">
        <f>-PMT(Assumptions!D$25/12,Assumptions!D$24*12,N$8)*C133/100</f>
        <v>21.213103047815046</v>
      </c>
      <c r="P133" s="44">
        <f>O133*Assumptions!$D$24*12-N133</f>
        <v>545.57236573780574</v>
      </c>
      <c r="Q133" s="48"/>
      <c r="R133" s="40">
        <f t="shared" si="15"/>
        <v>10000</v>
      </c>
      <c r="S133" s="40">
        <f>-PMT(Assumptions!E$25/12,Assumptions!E$24*12,$R$8)*$C133/100</f>
        <v>106.06551523907525</v>
      </c>
      <c r="T133" s="40">
        <f>S133*Assumptions!$E$24*12-R133</f>
        <v>2727.8618286890305</v>
      </c>
      <c r="U133" s="48"/>
      <c r="V133" s="40">
        <f t="shared" si="16"/>
        <v>0</v>
      </c>
      <c r="W133" s="40" t="e">
        <f>-PMT(Assumptions!F$25/12,Assumptions!F$24*12,$V$8)*$C133/100</f>
        <v>#NUM!</v>
      </c>
      <c r="X133" s="40" t="e">
        <f>W133*Assumptions!$F$24*12-V133</f>
        <v>#NUM!</v>
      </c>
      <c r="Y133" s="43"/>
      <c r="Z133" s="40">
        <f t="shared" si="17"/>
        <v>0</v>
      </c>
      <c r="AA133" s="50" t="e">
        <f>-PMT(Assumptions!G$25/12,Assumptions!G$24*12,$Z$8)*$C133/100</f>
        <v>#NUM!</v>
      </c>
      <c r="AB133" s="44" t="e">
        <f>AA133*Assumptions!$G$24*12-Z133</f>
        <v>#NUM!</v>
      </c>
      <c r="AD133" s="54">
        <f t="shared" si="18"/>
        <v>0</v>
      </c>
      <c r="AE133" s="54">
        <f t="shared" si="19"/>
        <v>0</v>
      </c>
      <c r="AF133" s="54">
        <f t="shared" si="20"/>
        <v>2000</v>
      </c>
      <c r="AG133" s="54">
        <f t="shared" si="21"/>
        <v>10000</v>
      </c>
      <c r="AH133" s="54">
        <f t="shared" si="22"/>
        <v>0</v>
      </c>
      <c r="AI133" s="54">
        <f t="shared" si="23"/>
        <v>0</v>
      </c>
    </row>
    <row r="134" spans="1:35" ht="15" x14ac:dyDescent="0.2">
      <c r="A134" s="56" t="s">
        <v>229</v>
      </c>
      <c r="B134" s="32"/>
      <c r="C134" s="56">
        <v>0.14499999999999999</v>
      </c>
      <c r="D134" s="56">
        <v>227.66</v>
      </c>
      <c r="E134" s="36"/>
      <c r="F134" s="40">
        <f t="shared" si="12"/>
        <v>0</v>
      </c>
      <c r="G134" s="40" t="e">
        <f>-PMT(Assumptions!B$25/12,Assumptions!B$24*12,F$8)*C134/100</f>
        <v>#NUM!</v>
      </c>
      <c r="H134" s="40" t="e">
        <f>G134*Assumptions!$B$24*12-F134</f>
        <v>#NUM!</v>
      </c>
      <c r="I134" s="48"/>
      <c r="J134" s="40">
        <f t="shared" si="13"/>
        <v>0</v>
      </c>
      <c r="K134" s="40" t="e">
        <f>-PMT(Assumptions!C$25/12,Assumptions!C$24*12,J$8)*C134/100</f>
        <v>#NUM!</v>
      </c>
      <c r="L134" s="40" t="e">
        <f>K134*Assumptions!$C$24*12-J134</f>
        <v>#NUM!</v>
      </c>
      <c r="M134" s="43"/>
      <c r="N134" s="40">
        <f t="shared" si="14"/>
        <v>1450</v>
      </c>
      <c r="O134" s="50">
        <f>-PMT(Assumptions!D$25/12,Assumptions!D$24*12,N$8)*C134/100</f>
        <v>15.379499709665906</v>
      </c>
      <c r="P134" s="44">
        <f>O134*Assumptions!$D$24*12-N134</f>
        <v>395.53996515990866</v>
      </c>
      <c r="Q134" s="48"/>
      <c r="R134" s="40">
        <f t="shared" si="15"/>
        <v>7250</v>
      </c>
      <c r="S134" s="40">
        <f>-PMT(Assumptions!E$25/12,Assumptions!E$24*12,$R$8)*$C134/100</f>
        <v>76.897498548329537</v>
      </c>
      <c r="T134" s="40">
        <f>S134*Assumptions!$E$24*12-R134</f>
        <v>1977.6998257995438</v>
      </c>
      <c r="U134" s="48"/>
      <c r="V134" s="40">
        <f t="shared" si="16"/>
        <v>0</v>
      </c>
      <c r="W134" s="40" t="e">
        <f>-PMT(Assumptions!F$25/12,Assumptions!F$24*12,$V$8)*$C134/100</f>
        <v>#NUM!</v>
      </c>
      <c r="X134" s="40" t="e">
        <f>W134*Assumptions!$F$24*12-V134</f>
        <v>#NUM!</v>
      </c>
      <c r="Y134" s="43"/>
      <c r="Z134" s="40">
        <f t="shared" si="17"/>
        <v>0</v>
      </c>
      <c r="AA134" s="50" t="e">
        <f>-PMT(Assumptions!G$25/12,Assumptions!G$24*12,$Z$8)*$C134/100</f>
        <v>#NUM!</v>
      </c>
      <c r="AB134" s="44" t="e">
        <f>AA134*Assumptions!$G$24*12-Z134</f>
        <v>#NUM!</v>
      </c>
      <c r="AD134" s="54">
        <f t="shared" si="18"/>
        <v>0</v>
      </c>
      <c r="AE134" s="54">
        <f t="shared" si="19"/>
        <v>0</v>
      </c>
      <c r="AF134" s="54">
        <f t="shared" si="20"/>
        <v>1450</v>
      </c>
      <c r="AG134" s="54">
        <f t="shared" si="21"/>
        <v>7250</v>
      </c>
      <c r="AH134" s="54">
        <f t="shared" si="22"/>
        <v>0</v>
      </c>
      <c r="AI134" s="54">
        <f t="shared" si="23"/>
        <v>0</v>
      </c>
    </row>
    <row r="135" spans="1:35" ht="15" x14ac:dyDescent="0.2">
      <c r="A135" s="56" t="s">
        <v>230</v>
      </c>
      <c r="B135" s="32"/>
      <c r="C135" s="56">
        <v>0.154</v>
      </c>
      <c r="D135" s="56">
        <v>241.8</v>
      </c>
      <c r="E135" s="36"/>
      <c r="F135" s="40">
        <f t="shared" si="12"/>
        <v>0</v>
      </c>
      <c r="G135" s="40" t="e">
        <f>-PMT(Assumptions!B$25/12,Assumptions!B$24*12,F$8)*C135/100</f>
        <v>#NUM!</v>
      </c>
      <c r="H135" s="40" t="e">
        <f>G135*Assumptions!$B$24*12-F135</f>
        <v>#NUM!</v>
      </c>
      <c r="I135" s="48"/>
      <c r="J135" s="40">
        <f t="shared" si="13"/>
        <v>0</v>
      </c>
      <c r="K135" s="40" t="e">
        <f>-PMT(Assumptions!C$25/12,Assumptions!C$24*12,J$8)*C135/100</f>
        <v>#NUM!</v>
      </c>
      <c r="L135" s="40" t="e">
        <f>K135*Assumptions!$C$24*12-J135</f>
        <v>#NUM!</v>
      </c>
      <c r="M135" s="43"/>
      <c r="N135" s="40">
        <f t="shared" si="14"/>
        <v>1540</v>
      </c>
      <c r="O135" s="50">
        <f>-PMT(Assumptions!D$25/12,Assumptions!D$24*12,N$8)*C135/100</f>
        <v>16.334089346817585</v>
      </c>
      <c r="P135" s="44">
        <f>O135*Assumptions!$D$24*12-N135</f>
        <v>420.09072161811036</v>
      </c>
      <c r="Q135" s="48"/>
      <c r="R135" s="40">
        <f t="shared" si="15"/>
        <v>7700</v>
      </c>
      <c r="S135" s="40">
        <f>-PMT(Assumptions!E$25/12,Assumptions!E$24*12,$R$8)*$C135/100</f>
        <v>81.670446734087932</v>
      </c>
      <c r="T135" s="40">
        <f>S135*Assumptions!$E$24*12-R135</f>
        <v>2100.4536080905527</v>
      </c>
      <c r="U135" s="48"/>
      <c r="V135" s="40">
        <f t="shared" si="16"/>
        <v>0</v>
      </c>
      <c r="W135" s="40" t="e">
        <f>-PMT(Assumptions!F$25/12,Assumptions!F$24*12,$V$8)*$C135/100</f>
        <v>#NUM!</v>
      </c>
      <c r="X135" s="40" t="e">
        <f>W135*Assumptions!$F$24*12-V135</f>
        <v>#NUM!</v>
      </c>
      <c r="Y135" s="43"/>
      <c r="Z135" s="40">
        <f t="shared" si="17"/>
        <v>0</v>
      </c>
      <c r="AA135" s="50" t="e">
        <f>-PMT(Assumptions!G$25/12,Assumptions!G$24*12,$Z$8)*$C135/100</f>
        <v>#NUM!</v>
      </c>
      <c r="AB135" s="44" t="e">
        <f>AA135*Assumptions!$G$24*12-Z135</f>
        <v>#NUM!</v>
      </c>
      <c r="AD135" s="54">
        <f t="shared" si="18"/>
        <v>0</v>
      </c>
      <c r="AE135" s="54">
        <f t="shared" si="19"/>
        <v>0</v>
      </c>
      <c r="AF135" s="54">
        <f t="shared" si="20"/>
        <v>1540</v>
      </c>
      <c r="AG135" s="54">
        <f t="shared" si="21"/>
        <v>7700</v>
      </c>
      <c r="AH135" s="54">
        <f t="shared" si="22"/>
        <v>0</v>
      </c>
      <c r="AI135" s="54">
        <f t="shared" si="23"/>
        <v>0</v>
      </c>
    </row>
    <row r="136" spans="1:35" ht="15" x14ac:dyDescent="0.2">
      <c r="A136" s="56" t="s">
        <v>231</v>
      </c>
      <c r="B136" s="32"/>
      <c r="C136" s="56">
        <v>0.14499999999999999</v>
      </c>
      <c r="D136" s="56">
        <v>227.66</v>
      </c>
      <c r="E136" s="36"/>
      <c r="F136" s="40">
        <f t="shared" si="12"/>
        <v>0</v>
      </c>
      <c r="G136" s="40" t="e">
        <f>-PMT(Assumptions!B$25/12,Assumptions!B$24*12,F$8)*C136/100</f>
        <v>#NUM!</v>
      </c>
      <c r="H136" s="40" t="e">
        <f>G136*Assumptions!$B$24*12-F136</f>
        <v>#NUM!</v>
      </c>
      <c r="I136" s="48"/>
      <c r="J136" s="40">
        <f t="shared" si="13"/>
        <v>0</v>
      </c>
      <c r="K136" s="40" t="e">
        <f>-PMT(Assumptions!C$25/12,Assumptions!C$24*12,J$8)*C136/100</f>
        <v>#NUM!</v>
      </c>
      <c r="L136" s="40" t="e">
        <f>K136*Assumptions!$C$24*12-J136</f>
        <v>#NUM!</v>
      </c>
      <c r="M136" s="43"/>
      <c r="N136" s="40">
        <f t="shared" si="14"/>
        <v>1450</v>
      </c>
      <c r="O136" s="50">
        <f>-PMT(Assumptions!D$25/12,Assumptions!D$24*12,N$8)*C136/100</f>
        <v>15.379499709665906</v>
      </c>
      <c r="P136" s="44">
        <f>O136*Assumptions!$D$24*12-N136</f>
        <v>395.53996515990866</v>
      </c>
      <c r="Q136" s="48"/>
      <c r="R136" s="40">
        <f t="shared" si="15"/>
        <v>7250</v>
      </c>
      <c r="S136" s="40">
        <f>-PMT(Assumptions!E$25/12,Assumptions!E$24*12,$R$8)*$C136/100</f>
        <v>76.897498548329537</v>
      </c>
      <c r="T136" s="40">
        <f>S136*Assumptions!$E$24*12-R136</f>
        <v>1977.6998257995438</v>
      </c>
      <c r="U136" s="48"/>
      <c r="V136" s="40">
        <f t="shared" si="16"/>
        <v>0</v>
      </c>
      <c r="W136" s="40" t="e">
        <f>-PMT(Assumptions!F$25/12,Assumptions!F$24*12,$V$8)*$C136/100</f>
        <v>#NUM!</v>
      </c>
      <c r="X136" s="40" t="e">
        <f>W136*Assumptions!$F$24*12-V136</f>
        <v>#NUM!</v>
      </c>
      <c r="Y136" s="43"/>
      <c r="Z136" s="40">
        <f t="shared" si="17"/>
        <v>0</v>
      </c>
      <c r="AA136" s="50" t="e">
        <f>-PMT(Assumptions!G$25/12,Assumptions!G$24*12,$Z$8)*$C136/100</f>
        <v>#NUM!</v>
      </c>
      <c r="AB136" s="44" t="e">
        <f>AA136*Assumptions!$G$24*12-Z136</f>
        <v>#NUM!</v>
      </c>
      <c r="AD136" s="54">
        <f t="shared" si="18"/>
        <v>0</v>
      </c>
      <c r="AE136" s="54">
        <f t="shared" si="19"/>
        <v>0</v>
      </c>
      <c r="AF136" s="54">
        <f t="shared" si="20"/>
        <v>1450</v>
      </c>
      <c r="AG136" s="54">
        <f t="shared" si="21"/>
        <v>7250</v>
      </c>
      <c r="AH136" s="54">
        <f t="shared" si="22"/>
        <v>0</v>
      </c>
      <c r="AI136" s="54">
        <f t="shared" si="23"/>
        <v>0</v>
      </c>
    </row>
    <row r="137" spans="1:35" ht="15" x14ac:dyDescent="0.2">
      <c r="A137" s="56" t="s">
        <v>232</v>
      </c>
      <c r="B137" s="32"/>
      <c r="C137" s="56">
        <v>0.154</v>
      </c>
      <c r="D137" s="56">
        <v>241.8</v>
      </c>
      <c r="E137" s="36"/>
      <c r="F137" s="40">
        <f t="shared" si="12"/>
        <v>0</v>
      </c>
      <c r="G137" s="40" t="e">
        <f>-PMT(Assumptions!B$25/12,Assumptions!B$24*12,F$8)*C137/100</f>
        <v>#NUM!</v>
      </c>
      <c r="H137" s="40" t="e">
        <f>G137*Assumptions!$B$24*12-F137</f>
        <v>#NUM!</v>
      </c>
      <c r="I137" s="48"/>
      <c r="J137" s="40">
        <f t="shared" si="13"/>
        <v>0</v>
      </c>
      <c r="K137" s="40" t="e">
        <f>-PMT(Assumptions!C$25/12,Assumptions!C$24*12,J$8)*C137/100</f>
        <v>#NUM!</v>
      </c>
      <c r="L137" s="40" t="e">
        <f>K137*Assumptions!$C$24*12-J137</f>
        <v>#NUM!</v>
      </c>
      <c r="M137" s="43"/>
      <c r="N137" s="40">
        <f t="shared" si="14"/>
        <v>1540</v>
      </c>
      <c r="O137" s="50">
        <f>-PMT(Assumptions!D$25/12,Assumptions!D$24*12,N$8)*C137/100</f>
        <v>16.334089346817585</v>
      </c>
      <c r="P137" s="44">
        <f>O137*Assumptions!$D$24*12-N137</f>
        <v>420.09072161811036</v>
      </c>
      <c r="Q137" s="48"/>
      <c r="R137" s="40">
        <f t="shared" si="15"/>
        <v>7700</v>
      </c>
      <c r="S137" s="40">
        <f>-PMT(Assumptions!E$25/12,Assumptions!E$24*12,$R$8)*$C137/100</f>
        <v>81.670446734087932</v>
      </c>
      <c r="T137" s="40">
        <f>S137*Assumptions!$E$24*12-R137</f>
        <v>2100.4536080905527</v>
      </c>
      <c r="U137" s="48"/>
      <c r="V137" s="40">
        <f t="shared" si="16"/>
        <v>0</v>
      </c>
      <c r="W137" s="40" t="e">
        <f>-PMT(Assumptions!F$25/12,Assumptions!F$24*12,$V$8)*$C137/100</f>
        <v>#NUM!</v>
      </c>
      <c r="X137" s="40" t="e">
        <f>W137*Assumptions!$F$24*12-V137</f>
        <v>#NUM!</v>
      </c>
      <c r="Y137" s="43"/>
      <c r="Z137" s="40">
        <f t="shared" si="17"/>
        <v>0</v>
      </c>
      <c r="AA137" s="50" t="e">
        <f>-PMT(Assumptions!G$25/12,Assumptions!G$24*12,$Z$8)*$C137/100</f>
        <v>#NUM!</v>
      </c>
      <c r="AB137" s="44" t="e">
        <f>AA137*Assumptions!$G$24*12-Z137</f>
        <v>#NUM!</v>
      </c>
      <c r="AD137" s="54">
        <f t="shared" si="18"/>
        <v>0</v>
      </c>
      <c r="AE137" s="54">
        <f t="shared" si="19"/>
        <v>0</v>
      </c>
      <c r="AF137" s="54">
        <f t="shared" si="20"/>
        <v>1540</v>
      </c>
      <c r="AG137" s="54">
        <f t="shared" si="21"/>
        <v>7700</v>
      </c>
      <c r="AH137" s="54">
        <f t="shared" si="22"/>
        <v>0</v>
      </c>
      <c r="AI137" s="54">
        <f t="shared" si="23"/>
        <v>0</v>
      </c>
    </row>
    <row r="138" spans="1:35" ht="15" x14ac:dyDescent="0.2">
      <c r="A138" s="56" t="s">
        <v>233</v>
      </c>
      <c r="B138" s="32"/>
      <c r="C138" s="56">
        <v>0.215</v>
      </c>
      <c r="D138" s="56">
        <v>337.57</v>
      </c>
      <c r="E138" s="36"/>
      <c r="F138" s="40">
        <f t="shared" si="12"/>
        <v>0</v>
      </c>
      <c r="G138" s="40" t="e">
        <f>-PMT(Assumptions!B$25/12,Assumptions!B$24*12,F$8)*C138/100</f>
        <v>#NUM!</v>
      </c>
      <c r="H138" s="40" t="e">
        <f>G138*Assumptions!$B$24*12-F138</f>
        <v>#NUM!</v>
      </c>
      <c r="I138" s="48"/>
      <c r="J138" s="40">
        <f t="shared" si="13"/>
        <v>0</v>
      </c>
      <c r="K138" s="40" t="e">
        <f>-PMT(Assumptions!C$25/12,Assumptions!C$24*12,J$8)*C138/100</f>
        <v>#NUM!</v>
      </c>
      <c r="L138" s="40" t="e">
        <f>K138*Assumptions!$C$24*12-J138</f>
        <v>#NUM!</v>
      </c>
      <c r="M138" s="43"/>
      <c r="N138" s="40">
        <f t="shared" si="14"/>
        <v>2150</v>
      </c>
      <c r="O138" s="50">
        <f>-PMT(Assumptions!D$25/12,Assumptions!D$24*12,N$8)*C138/100</f>
        <v>22.804085776401177</v>
      </c>
      <c r="P138" s="44">
        <f>O138*Assumptions!$D$24*12-N138</f>
        <v>586.49029316814131</v>
      </c>
      <c r="Q138" s="48"/>
      <c r="R138" s="40">
        <f t="shared" si="15"/>
        <v>10750</v>
      </c>
      <c r="S138" s="40">
        <f>-PMT(Assumptions!E$25/12,Assumptions!E$24*12,$R$8)*$C138/100</f>
        <v>114.02042888200587</v>
      </c>
      <c r="T138" s="40">
        <f>S138*Assumptions!$E$24*12-R138</f>
        <v>2932.4514658407061</v>
      </c>
      <c r="U138" s="48"/>
      <c r="V138" s="40">
        <f t="shared" si="16"/>
        <v>0</v>
      </c>
      <c r="W138" s="40" t="e">
        <f>-PMT(Assumptions!F$25/12,Assumptions!F$24*12,$V$8)*$C138/100</f>
        <v>#NUM!</v>
      </c>
      <c r="X138" s="40" t="e">
        <f>W138*Assumptions!$F$24*12-V138</f>
        <v>#NUM!</v>
      </c>
      <c r="Y138" s="43"/>
      <c r="Z138" s="40">
        <f t="shared" si="17"/>
        <v>0</v>
      </c>
      <c r="AA138" s="50" t="e">
        <f>-PMT(Assumptions!G$25/12,Assumptions!G$24*12,$Z$8)*$C138/100</f>
        <v>#NUM!</v>
      </c>
      <c r="AB138" s="44" t="e">
        <f>AA138*Assumptions!$G$24*12-Z138</f>
        <v>#NUM!</v>
      </c>
      <c r="AD138" s="54">
        <f t="shared" si="18"/>
        <v>0</v>
      </c>
      <c r="AE138" s="54">
        <f t="shared" si="19"/>
        <v>0</v>
      </c>
      <c r="AF138" s="54">
        <f t="shared" si="20"/>
        <v>2150</v>
      </c>
      <c r="AG138" s="54">
        <f t="shared" si="21"/>
        <v>10750</v>
      </c>
      <c r="AH138" s="54">
        <f t="shared" si="22"/>
        <v>0</v>
      </c>
      <c r="AI138" s="54">
        <f t="shared" si="23"/>
        <v>0</v>
      </c>
    </row>
    <row r="139" spans="1:35" ht="15" x14ac:dyDescent="0.2">
      <c r="A139" s="56" t="s">
        <v>234</v>
      </c>
      <c r="B139" s="32"/>
      <c r="C139" s="56">
        <v>0.223</v>
      </c>
      <c r="D139" s="56">
        <v>350.13</v>
      </c>
      <c r="E139" s="36"/>
      <c r="F139" s="40">
        <f t="shared" si="12"/>
        <v>0</v>
      </c>
      <c r="G139" s="40" t="e">
        <f>-PMT(Assumptions!B$25/12,Assumptions!B$24*12,F$8)*C139/100</f>
        <v>#NUM!</v>
      </c>
      <c r="H139" s="40" t="e">
        <f>G139*Assumptions!$B$24*12-F139</f>
        <v>#NUM!</v>
      </c>
      <c r="I139" s="48"/>
      <c r="J139" s="40">
        <f t="shared" si="13"/>
        <v>0</v>
      </c>
      <c r="K139" s="40" t="e">
        <f>-PMT(Assumptions!C$25/12,Assumptions!C$24*12,J$8)*C139/100</f>
        <v>#NUM!</v>
      </c>
      <c r="L139" s="40" t="e">
        <f>K139*Assumptions!$C$24*12-J139</f>
        <v>#NUM!</v>
      </c>
      <c r="M139" s="43"/>
      <c r="N139" s="40">
        <f t="shared" si="14"/>
        <v>2230</v>
      </c>
      <c r="O139" s="50">
        <f>-PMT(Assumptions!D$25/12,Assumptions!D$24*12,N$8)*C139/100</f>
        <v>23.652609898313777</v>
      </c>
      <c r="P139" s="44">
        <f>O139*Assumptions!$D$24*12-N139</f>
        <v>608.31318779765343</v>
      </c>
      <c r="Q139" s="48"/>
      <c r="R139" s="40">
        <f t="shared" si="15"/>
        <v>11150</v>
      </c>
      <c r="S139" s="40">
        <f>-PMT(Assumptions!E$25/12,Assumptions!E$24*12,$R$8)*$C139/100</f>
        <v>118.26304949156889</v>
      </c>
      <c r="T139" s="40">
        <f>S139*Assumptions!$E$24*12-R139</f>
        <v>3041.5659389882658</v>
      </c>
      <c r="U139" s="48"/>
      <c r="V139" s="40">
        <f t="shared" si="16"/>
        <v>0</v>
      </c>
      <c r="W139" s="40" t="e">
        <f>-PMT(Assumptions!F$25/12,Assumptions!F$24*12,$V$8)*$C139/100</f>
        <v>#NUM!</v>
      </c>
      <c r="X139" s="40" t="e">
        <f>W139*Assumptions!$F$24*12-V139</f>
        <v>#NUM!</v>
      </c>
      <c r="Y139" s="43"/>
      <c r="Z139" s="40">
        <f t="shared" si="17"/>
        <v>0</v>
      </c>
      <c r="AA139" s="50" t="e">
        <f>-PMT(Assumptions!G$25/12,Assumptions!G$24*12,$Z$8)*$C139/100</f>
        <v>#NUM!</v>
      </c>
      <c r="AB139" s="44" t="e">
        <f>AA139*Assumptions!$G$24*12-Z139</f>
        <v>#NUM!</v>
      </c>
      <c r="AD139" s="54">
        <f t="shared" si="18"/>
        <v>0</v>
      </c>
      <c r="AE139" s="54">
        <f t="shared" si="19"/>
        <v>0</v>
      </c>
      <c r="AF139" s="54">
        <f t="shared" si="20"/>
        <v>2230</v>
      </c>
      <c r="AG139" s="54">
        <f t="shared" si="21"/>
        <v>11150</v>
      </c>
      <c r="AH139" s="54">
        <f t="shared" si="22"/>
        <v>0</v>
      </c>
      <c r="AI139" s="54">
        <f t="shared" si="23"/>
        <v>0</v>
      </c>
    </row>
    <row r="140" spans="1:35" ht="15" x14ac:dyDescent="0.2">
      <c r="A140" s="56" t="s">
        <v>235</v>
      </c>
      <c r="B140" s="32"/>
      <c r="C140" s="56">
        <v>0.20399999999999999</v>
      </c>
      <c r="D140" s="56">
        <v>320.3</v>
      </c>
      <c r="E140" s="36"/>
      <c r="F140" s="40">
        <f t="shared" si="12"/>
        <v>0</v>
      </c>
      <c r="G140" s="40" t="e">
        <f>-PMT(Assumptions!B$25/12,Assumptions!B$24*12,F$8)*C140/100</f>
        <v>#NUM!</v>
      </c>
      <c r="H140" s="40" t="e">
        <f>G140*Assumptions!$B$24*12-F140</f>
        <v>#NUM!</v>
      </c>
      <c r="I140" s="48"/>
      <c r="J140" s="40">
        <f t="shared" si="13"/>
        <v>0</v>
      </c>
      <c r="K140" s="40" t="e">
        <f>-PMT(Assumptions!C$25/12,Assumptions!C$24*12,J$8)*C140/100</f>
        <v>#NUM!</v>
      </c>
      <c r="L140" s="40" t="e">
        <f>K140*Assumptions!$C$24*12-J140</f>
        <v>#NUM!</v>
      </c>
      <c r="M140" s="43"/>
      <c r="N140" s="40">
        <f t="shared" si="14"/>
        <v>2040</v>
      </c>
      <c r="O140" s="50">
        <f>-PMT(Assumptions!D$25/12,Assumptions!D$24*12,N$8)*C140/100</f>
        <v>21.637365108771345</v>
      </c>
      <c r="P140" s="44">
        <f>O140*Assumptions!$D$24*12-N140</f>
        <v>556.48381305256135</v>
      </c>
      <c r="Q140" s="48"/>
      <c r="R140" s="40">
        <f t="shared" si="15"/>
        <v>10199.999999999998</v>
      </c>
      <c r="S140" s="40">
        <f>-PMT(Assumptions!E$25/12,Assumptions!E$24*12,$R$8)*$C140/100</f>
        <v>108.18682554385674</v>
      </c>
      <c r="T140" s="40">
        <f>S140*Assumptions!$E$24*12-R140</f>
        <v>2782.4190652628095</v>
      </c>
      <c r="U140" s="48"/>
      <c r="V140" s="40">
        <f t="shared" si="16"/>
        <v>0</v>
      </c>
      <c r="W140" s="40" t="e">
        <f>-PMT(Assumptions!F$25/12,Assumptions!F$24*12,$V$8)*$C140/100</f>
        <v>#NUM!</v>
      </c>
      <c r="X140" s="40" t="e">
        <f>W140*Assumptions!$F$24*12-V140</f>
        <v>#NUM!</v>
      </c>
      <c r="Y140" s="43"/>
      <c r="Z140" s="40">
        <f t="shared" si="17"/>
        <v>0</v>
      </c>
      <c r="AA140" s="50" t="e">
        <f>-PMT(Assumptions!G$25/12,Assumptions!G$24*12,$Z$8)*$C140/100</f>
        <v>#NUM!</v>
      </c>
      <c r="AB140" s="44" t="e">
        <f>AA140*Assumptions!$G$24*12-Z140</f>
        <v>#NUM!</v>
      </c>
      <c r="AD140" s="54">
        <f t="shared" si="18"/>
        <v>0</v>
      </c>
      <c r="AE140" s="54">
        <f t="shared" si="19"/>
        <v>0</v>
      </c>
      <c r="AF140" s="54">
        <f t="shared" si="20"/>
        <v>2040</v>
      </c>
      <c r="AG140" s="54">
        <f t="shared" si="21"/>
        <v>10199.999999999998</v>
      </c>
      <c r="AH140" s="54">
        <f t="shared" si="22"/>
        <v>0</v>
      </c>
      <c r="AI140" s="54">
        <f t="shared" si="23"/>
        <v>0</v>
      </c>
    </row>
    <row r="141" spans="1:35" ht="15" x14ac:dyDescent="0.2">
      <c r="A141" s="56" t="s">
        <v>236</v>
      </c>
      <c r="B141" s="32"/>
      <c r="C141" s="56">
        <v>0.20399999999999999</v>
      </c>
      <c r="D141" s="56">
        <v>320.3</v>
      </c>
      <c r="E141" s="36"/>
      <c r="F141" s="40">
        <f t="shared" si="12"/>
        <v>0</v>
      </c>
      <c r="G141" s="40" t="e">
        <f>-PMT(Assumptions!B$25/12,Assumptions!B$24*12,F$8)*C141/100</f>
        <v>#NUM!</v>
      </c>
      <c r="H141" s="40" t="e">
        <f>G141*Assumptions!$B$24*12-F141</f>
        <v>#NUM!</v>
      </c>
      <c r="I141" s="48"/>
      <c r="J141" s="40">
        <f t="shared" si="13"/>
        <v>0</v>
      </c>
      <c r="K141" s="40" t="e">
        <f>-PMT(Assumptions!C$25/12,Assumptions!C$24*12,J$8)*C141/100</f>
        <v>#NUM!</v>
      </c>
      <c r="L141" s="40" t="e">
        <f>K141*Assumptions!$C$24*12-J141</f>
        <v>#NUM!</v>
      </c>
      <c r="M141" s="43"/>
      <c r="N141" s="40">
        <f t="shared" si="14"/>
        <v>2040</v>
      </c>
      <c r="O141" s="50">
        <f>-PMT(Assumptions!D$25/12,Assumptions!D$24*12,N$8)*C141/100</f>
        <v>21.637365108771345</v>
      </c>
      <c r="P141" s="44">
        <f>O141*Assumptions!$D$24*12-N141</f>
        <v>556.48381305256135</v>
      </c>
      <c r="Q141" s="48"/>
      <c r="R141" s="40">
        <f t="shared" si="15"/>
        <v>10199.999999999998</v>
      </c>
      <c r="S141" s="40">
        <f>-PMT(Assumptions!E$25/12,Assumptions!E$24*12,$R$8)*$C141/100</f>
        <v>108.18682554385674</v>
      </c>
      <c r="T141" s="40">
        <f>S141*Assumptions!$E$24*12-R141</f>
        <v>2782.4190652628095</v>
      </c>
      <c r="U141" s="48"/>
      <c r="V141" s="40">
        <f t="shared" si="16"/>
        <v>0</v>
      </c>
      <c r="W141" s="40" t="e">
        <f>-PMT(Assumptions!F$25/12,Assumptions!F$24*12,$V$8)*$C141/100</f>
        <v>#NUM!</v>
      </c>
      <c r="X141" s="40" t="e">
        <f>W141*Assumptions!$F$24*12-V141</f>
        <v>#NUM!</v>
      </c>
      <c r="Y141" s="43"/>
      <c r="Z141" s="40">
        <f t="shared" si="17"/>
        <v>0</v>
      </c>
      <c r="AA141" s="50" t="e">
        <f>-PMT(Assumptions!G$25/12,Assumptions!G$24*12,$Z$8)*$C141/100</f>
        <v>#NUM!</v>
      </c>
      <c r="AB141" s="44" t="e">
        <f>AA141*Assumptions!$G$24*12-Z141</f>
        <v>#NUM!</v>
      </c>
      <c r="AD141" s="54">
        <f t="shared" si="18"/>
        <v>0</v>
      </c>
      <c r="AE141" s="54">
        <f t="shared" si="19"/>
        <v>0</v>
      </c>
      <c r="AF141" s="54">
        <f t="shared" si="20"/>
        <v>2040</v>
      </c>
      <c r="AG141" s="54">
        <f t="shared" si="21"/>
        <v>10199.999999999998</v>
      </c>
      <c r="AH141" s="54">
        <f t="shared" si="22"/>
        <v>0</v>
      </c>
      <c r="AI141" s="54">
        <f t="shared" si="23"/>
        <v>0</v>
      </c>
    </row>
    <row r="142" spans="1:35" ht="15" x14ac:dyDescent="0.2">
      <c r="A142" s="56" t="s">
        <v>237</v>
      </c>
      <c r="B142" s="32"/>
      <c r="C142" s="56">
        <v>0.28199999999999997</v>
      </c>
      <c r="D142" s="56">
        <v>442.77</v>
      </c>
      <c r="E142" s="36"/>
      <c r="F142" s="40">
        <f t="shared" si="12"/>
        <v>0</v>
      </c>
      <c r="G142" s="40" t="e">
        <f>-PMT(Assumptions!B$25/12,Assumptions!B$24*12,F$8)*C142/100</f>
        <v>#NUM!</v>
      </c>
      <c r="H142" s="40" t="e">
        <f>G142*Assumptions!$B$24*12-F142</f>
        <v>#NUM!</v>
      </c>
      <c r="I142" s="48"/>
      <c r="J142" s="40">
        <f t="shared" si="13"/>
        <v>0</v>
      </c>
      <c r="K142" s="40" t="e">
        <f>-PMT(Assumptions!C$25/12,Assumptions!C$24*12,J$8)*C142/100</f>
        <v>#NUM!</v>
      </c>
      <c r="L142" s="40" t="e">
        <f>K142*Assumptions!$C$24*12-J142</f>
        <v>#NUM!</v>
      </c>
      <c r="M142" s="43"/>
      <c r="N142" s="40">
        <f t="shared" si="14"/>
        <v>2820</v>
      </c>
      <c r="O142" s="50">
        <f>-PMT(Assumptions!D$25/12,Assumptions!D$24*12,N$8)*C142/100</f>
        <v>29.910475297419211</v>
      </c>
      <c r="P142" s="44">
        <f>O142*Assumptions!$D$24*12-N142</f>
        <v>769.25703569030566</v>
      </c>
      <c r="Q142" s="48"/>
      <c r="R142" s="40">
        <f t="shared" si="15"/>
        <v>14099.999999999998</v>
      </c>
      <c r="S142" s="40">
        <f>-PMT(Assumptions!E$25/12,Assumptions!E$24*12,$R$8)*$C142/100</f>
        <v>149.55237648709607</v>
      </c>
      <c r="T142" s="40">
        <f>S142*Assumptions!$E$24*12-R142</f>
        <v>3846.2851784515315</v>
      </c>
      <c r="U142" s="48"/>
      <c r="V142" s="40">
        <f t="shared" si="16"/>
        <v>0</v>
      </c>
      <c r="W142" s="40" t="e">
        <f>-PMT(Assumptions!F$25/12,Assumptions!F$24*12,$V$8)*$C142/100</f>
        <v>#NUM!</v>
      </c>
      <c r="X142" s="40" t="e">
        <f>W142*Assumptions!$F$24*12-V142</f>
        <v>#NUM!</v>
      </c>
      <c r="Y142" s="43"/>
      <c r="Z142" s="40">
        <f t="shared" si="17"/>
        <v>0</v>
      </c>
      <c r="AA142" s="50" t="e">
        <f>-PMT(Assumptions!G$25/12,Assumptions!G$24*12,$Z$8)*$C142/100</f>
        <v>#NUM!</v>
      </c>
      <c r="AB142" s="44" t="e">
        <f>AA142*Assumptions!$G$24*12-Z142</f>
        <v>#NUM!</v>
      </c>
      <c r="AD142" s="54">
        <f t="shared" si="18"/>
        <v>0</v>
      </c>
      <c r="AE142" s="54">
        <f t="shared" si="19"/>
        <v>0</v>
      </c>
      <c r="AF142" s="54">
        <f t="shared" si="20"/>
        <v>2820</v>
      </c>
      <c r="AG142" s="54">
        <f t="shared" si="21"/>
        <v>14099.999999999998</v>
      </c>
      <c r="AH142" s="54">
        <f t="shared" si="22"/>
        <v>0</v>
      </c>
      <c r="AI142" s="54">
        <f t="shared" si="23"/>
        <v>0</v>
      </c>
    </row>
    <row r="143" spans="1:35" ht="15" x14ac:dyDescent="0.2">
      <c r="A143" s="56" t="s">
        <v>238</v>
      </c>
      <c r="B143" s="32"/>
      <c r="C143" s="56">
        <v>0.28199999999999997</v>
      </c>
      <c r="D143" s="56">
        <v>442.77</v>
      </c>
      <c r="E143" s="36"/>
      <c r="F143" s="40">
        <f t="shared" si="12"/>
        <v>0</v>
      </c>
      <c r="G143" s="40" t="e">
        <f>-PMT(Assumptions!B$25/12,Assumptions!B$24*12,F$8)*C143/100</f>
        <v>#NUM!</v>
      </c>
      <c r="H143" s="40" t="e">
        <f>G143*Assumptions!$B$24*12-F143</f>
        <v>#NUM!</v>
      </c>
      <c r="I143" s="48"/>
      <c r="J143" s="40">
        <f t="shared" si="13"/>
        <v>0</v>
      </c>
      <c r="K143" s="40" t="e">
        <f>-PMT(Assumptions!C$25/12,Assumptions!C$24*12,J$8)*C143/100</f>
        <v>#NUM!</v>
      </c>
      <c r="L143" s="40" t="e">
        <f>K143*Assumptions!$C$24*12-J143</f>
        <v>#NUM!</v>
      </c>
      <c r="M143" s="43"/>
      <c r="N143" s="40">
        <f t="shared" si="14"/>
        <v>2820</v>
      </c>
      <c r="O143" s="50">
        <f>-PMT(Assumptions!D$25/12,Assumptions!D$24*12,N$8)*C143/100</f>
        <v>29.910475297419211</v>
      </c>
      <c r="P143" s="44">
        <f>O143*Assumptions!$D$24*12-N143</f>
        <v>769.25703569030566</v>
      </c>
      <c r="Q143" s="48"/>
      <c r="R143" s="40">
        <f t="shared" si="15"/>
        <v>14099.999999999998</v>
      </c>
      <c r="S143" s="40">
        <f>-PMT(Assumptions!E$25/12,Assumptions!E$24*12,$R$8)*$C143/100</f>
        <v>149.55237648709607</v>
      </c>
      <c r="T143" s="40">
        <f>S143*Assumptions!$E$24*12-R143</f>
        <v>3846.2851784515315</v>
      </c>
      <c r="U143" s="48"/>
      <c r="V143" s="40">
        <f t="shared" si="16"/>
        <v>0</v>
      </c>
      <c r="W143" s="40" t="e">
        <f>-PMT(Assumptions!F$25/12,Assumptions!F$24*12,$V$8)*$C143/100</f>
        <v>#NUM!</v>
      </c>
      <c r="X143" s="40" t="e">
        <f>W143*Assumptions!$F$24*12-V143</f>
        <v>#NUM!</v>
      </c>
      <c r="Y143" s="43"/>
      <c r="Z143" s="40">
        <f t="shared" si="17"/>
        <v>0</v>
      </c>
      <c r="AA143" s="50" t="e">
        <f>-PMT(Assumptions!G$25/12,Assumptions!G$24*12,$Z$8)*$C143/100</f>
        <v>#NUM!</v>
      </c>
      <c r="AB143" s="44" t="e">
        <f>AA143*Assumptions!$G$24*12-Z143</f>
        <v>#NUM!</v>
      </c>
      <c r="AD143" s="54">
        <f t="shared" si="18"/>
        <v>0</v>
      </c>
      <c r="AE143" s="54">
        <f t="shared" si="19"/>
        <v>0</v>
      </c>
      <c r="AF143" s="54">
        <f t="shared" si="20"/>
        <v>2820</v>
      </c>
      <c r="AG143" s="54">
        <f t="shared" si="21"/>
        <v>14099.999999999998</v>
      </c>
      <c r="AH143" s="54">
        <f t="shared" si="22"/>
        <v>0</v>
      </c>
      <c r="AI143" s="54">
        <f t="shared" si="23"/>
        <v>0</v>
      </c>
    </row>
    <row r="144" spans="1:35" ht="15" x14ac:dyDescent="0.2">
      <c r="A144" s="56" t="s">
        <v>239</v>
      </c>
      <c r="B144" s="32"/>
      <c r="C144" s="56">
        <v>0.29699999999999999</v>
      </c>
      <c r="D144" s="56">
        <v>466.32</v>
      </c>
      <c r="E144" s="36"/>
      <c r="F144" s="40">
        <f t="shared" si="12"/>
        <v>0</v>
      </c>
      <c r="G144" s="40" t="e">
        <f>-PMT(Assumptions!B$25/12,Assumptions!B$24*12,F$8)*C144/100</f>
        <v>#NUM!</v>
      </c>
      <c r="H144" s="40" t="e">
        <f>G144*Assumptions!$B$24*12-F144</f>
        <v>#NUM!</v>
      </c>
      <c r="I144" s="48"/>
      <c r="J144" s="40">
        <f t="shared" si="13"/>
        <v>0</v>
      </c>
      <c r="K144" s="40" t="e">
        <f>-PMT(Assumptions!C$25/12,Assumptions!C$24*12,J$8)*C144/100</f>
        <v>#NUM!</v>
      </c>
      <c r="L144" s="40" t="e">
        <f>K144*Assumptions!$C$24*12-J144</f>
        <v>#NUM!</v>
      </c>
      <c r="M144" s="43"/>
      <c r="N144" s="40">
        <f t="shared" si="14"/>
        <v>2970</v>
      </c>
      <c r="O144" s="50">
        <f>-PMT(Assumptions!D$25/12,Assumptions!D$24*12,N$8)*C144/100</f>
        <v>31.501458026005345</v>
      </c>
      <c r="P144" s="44">
        <f>O144*Assumptions!$D$24*12-N144</f>
        <v>810.17496312064122</v>
      </c>
      <c r="Q144" s="48"/>
      <c r="R144" s="40">
        <f t="shared" si="15"/>
        <v>14850</v>
      </c>
      <c r="S144" s="40">
        <f>-PMT(Assumptions!E$25/12,Assumptions!E$24*12,$R$8)*$C144/100</f>
        <v>157.50729013002672</v>
      </c>
      <c r="T144" s="40">
        <f>S144*Assumptions!$E$24*12-R144</f>
        <v>4050.8748156032052</v>
      </c>
      <c r="U144" s="48"/>
      <c r="V144" s="40">
        <f t="shared" si="16"/>
        <v>0</v>
      </c>
      <c r="W144" s="40" t="e">
        <f>-PMT(Assumptions!F$25/12,Assumptions!F$24*12,$V$8)*$C144/100</f>
        <v>#NUM!</v>
      </c>
      <c r="X144" s="40" t="e">
        <f>W144*Assumptions!$F$24*12-V144</f>
        <v>#NUM!</v>
      </c>
      <c r="Y144" s="43"/>
      <c r="Z144" s="40">
        <f t="shared" si="17"/>
        <v>0</v>
      </c>
      <c r="AA144" s="50" t="e">
        <f>-PMT(Assumptions!G$25/12,Assumptions!G$24*12,$Z$8)*$C144/100</f>
        <v>#NUM!</v>
      </c>
      <c r="AB144" s="44" t="e">
        <f>AA144*Assumptions!$G$24*12-Z144</f>
        <v>#NUM!</v>
      </c>
      <c r="AD144" s="54">
        <f t="shared" si="18"/>
        <v>0</v>
      </c>
      <c r="AE144" s="54">
        <f t="shared" si="19"/>
        <v>0</v>
      </c>
      <c r="AF144" s="54">
        <f t="shared" si="20"/>
        <v>2970</v>
      </c>
      <c r="AG144" s="54">
        <f t="shared" si="21"/>
        <v>14850</v>
      </c>
      <c r="AH144" s="54">
        <f t="shared" si="22"/>
        <v>0</v>
      </c>
      <c r="AI144" s="54">
        <f t="shared" si="23"/>
        <v>0</v>
      </c>
    </row>
    <row r="145" spans="1:35" ht="15" x14ac:dyDescent="0.2">
      <c r="A145" s="56" t="s">
        <v>240</v>
      </c>
      <c r="B145" s="32"/>
      <c r="C145" s="56">
        <v>0.29699999999999999</v>
      </c>
      <c r="D145" s="56">
        <v>466.32</v>
      </c>
      <c r="E145" s="36"/>
      <c r="F145" s="40">
        <f t="shared" ref="F145:F398" si="24">$F$8*$C145/100</f>
        <v>0</v>
      </c>
      <c r="G145" s="40" t="e">
        <f>-PMT(Assumptions!B$25/12,Assumptions!B$24*12,F$8)*C145/100</f>
        <v>#NUM!</v>
      </c>
      <c r="H145" s="40" t="e">
        <f>G145*Assumptions!$B$24*12-F145</f>
        <v>#NUM!</v>
      </c>
      <c r="I145" s="48"/>
      <c r="J145" s="40">
        <f t="shared" ref="J145:J398" si="25">$J$8*$C145/100</f>
        <v>0</v>
      </c>
      <c r="K145" s="40" t="e">
        <f>-PMT(Assumptions!C$25/12,Assumptions!C$24*12,J$8)*C145/100</f>
        <v>#NUM!</v>
      </c>
      <c r="L145" s="40" t="e">
        <f>K145*Assumptions!$C$24*12-J145</f>
        <v>#NUM!</v>
      </c>
      <c r="M145" s="43"/>
      <c r="N145" s="40">
        <f t="shared" ref="N145:N398" si="26">$N$8*$C145/100</f>
        <v>2970</v>
      </c>
      <c r="O145" s="50">
        <f>-PMT(Assumptions!D$25/12,Assumptions!D$24*12,N$8)*C145/100</f>
        <v>31.501458026005345</v>
      </c>
      <c r="P145" s="44">
        <f>O145*Assumptions!$D$24*12-N145</f>
        <v>810.17496312064122</v>
      </c>
      <c r="Q145" s="48"/>
      <c r="R145" s="40">
        <f t="shared" ref="R145:R398" si="27">$R$8*$C145/100</f>
        <v>14850</v>
      </c>
      <c r="S145" s="40">
        <f>-PMT(Assumptions!E$25/12,Assumptions!E$24*12,$R$8)*$C145/100</f>
        <v>157.50729013002672</v>
      </c>
      <c r="T145" s="40">
        <f>S145*Assumptions!$E$24*12-R145</f>
        <v>4050.8748156032052</v>
      </c>
      <c r="U145" s="48"/>
      <c r="V145" s="40">
        <f t="shared" ref="V145:V398" si="28">$V$8*$C145/100</f>
        <v>0</v>
      </c>
      <c r="W145" s="40" t="e">
        <f>-PMT(Assumptions!F$25/12,Assumptions!F$24*12,$V$8)*$C145/100</f>
        <v>#NUM!</v>
      </c>
      <c r="X145" s="40" t="e">
        <f>W145*Assumptions!$F$24*12-V145</f>
        <v>#NUM!</v>
      </c>
      <c r="Y145" s="43"/>
      <c r="Z145" s="40">
        <f t="shared" ref="Z145:Z398" si="29">$Z$8*$C145/100</f>
        <v>0</v>
      </c>
      <c r="AA145" s="50" t="e">
        <f>-PMT(Assumptions!G$25/12,Assumptions!G$24*12,$Z$8)*$C145/100</f>
        <v>#NUM!</v>
      </c>
      <c r="AB145" s="44" t="e">
        <f>AA145*Assumptions!$G$24*12-Z145</f>
        <v>#NUM!</v>
      </c>
      <c r="AD145" s="54">
        <f t="shared" ref="AD145:AD177" si="30">+F145</f>
        <v>0</v>
      </c>
      <c r="AE145" s="54">
        <f t="shared" ref="AE145:AE177" si="31">+J145</f>
        <v>0</v>
      </c>
      <c r="AF145" s="54">
        <f t="shared" ref="AF145:AF177" si="32">+N145</f>
        <v>2970</v>
      </c>
      <c r="AG145" s="54">
        <f t="shared" ref="AG145:AG177" si="33">+R145</f>
        <v>14850</v>
      </c>
      <c r="AH145" s="54">
        <f t="shared" ref="AH145:AH177" si="34">+V145</f>
        <v>0</v>
      </c>
      <c r="AI145" s="54">
        <f t="shared" ref="AI145:AI177" si="35">+Z145</f>
        <v>0</v>
      </c>
    </row>
    <row r="146" spans="1:35" ht="15" x14ac:dyDescent="0.2">
      <c r="A146" s="56" t="s">
        <v>241</v>
      </c>
      <c r="B146" s="32"/>
      <c r="C146" s="56">
        <v>0.20200000000000001</v>
      </c>
      <c r="D146" s="56">
        <v>317.16000000000003</v>
      </c>
      <c r="E146" s="36"/>
      <c r="F146" s="40">
        <f t="shared" si="24"/>
        <v>0</v>
      </c>
      <c r="G146" s="40" t="e">
        <f>-PMT(Assumptions!B$25/12,Assumptions!B$24*12,F$8)*C146/100</f>
        <v>#NUM!</v>
      </c>
      <c r="H146" s="40" t="e">
        <f>G146*Assumptions!$B$24*12-F146</f>
        <v>#NUM!</v>
      </c>
      <c r="I146" s="48"/>
      <c r="J146" s="40">
        <f t="shared" si="25"/>
        <v>0</v>
      </c>
      <c r="K146" s="40" t="e">
        <f>-PMT(Assumptions!C$25/12,Assumptions!C$24*12,J$8)*C146/100</f>
        <v>#NUM!</v>
      </c>
      <c r="L146" s="40" t="e">
        <f>K146*Assumptions!$C$24*12-J146</f>
        <v>#NUM!</v>
      </c>
      <c r="M146" s="43"/>
      <c r="N146" s="40">
        <f t="shared" si="26"/>
        <v>2020</v>
      </c>
      <c r="O146" s="50">
        <f>-PMT(Assumptions!D$25/12,Assumptions!D$24*12,N$8)*C146/100</f>
        <v>21.425234078293197</v>
      </c>
      <c r="P146" s="44">
        <f>O146*Assumptions!$D$24*12-N146</f>
        <v>551.028089395184</v>
      </c>
      <c r="Q146" s="48"/>
      <c r="R146" s="40">
        <f t="shared" si="27"/>
        <v>10100.000000000002</v>
      </c>
      <c r="S146" s="40">
        <f>-PMT(Assumptions!E$25/12,Assumptions!E$24*12,$R$8)*$C146/100</f>
        <v>107.12617039146599</v>
      </c>
      <c r="T146" s="40">
        <f>S146*Assumptions!$E$24*12-R146</f>
        <v>2755.1404469759163</v>
      </c>
      <c r="U146" s="48"/>
      <c r="V146" s="40">
        <f t="shared" si="28"/>
        <v>0</v>
      </c>
      <c r="W146" s="40" t="e">
        <f>-PMT(Assumptions!F$25/12,Assumptions!F$24*12,$V$8)*$C146/100</f>
        <v>#NUM!</v>
      </c>
      <c r="X146" s="40" t="e">
        <f>W146*Assumptions!$F$24*12-V146</f>
        <v>#NUM!</v>
      </c>
      <c r="Y146" s="43"/>
      <c r="Z146" s="40">
        <f t="shared" si="29"/>
        <v>0</v>
      </c>
      <c r="AA146" s="50" t="e">
        <f>-PMT(Assumptions!G$25/12,Assumptions!G$24*12,$Z$8)*$C146/100</f>
        <v>#NUM!</v>
      </c>
      <c r="AB146" s="44" t="e">
        <f>AA146*Assumptions!$G$24*12-Z146</f>
        <v>#NUM!</v>
      </c>
      <c r="AD146" s="54">
        <f t="shared" si="30"/>
        <v>0</v>
      </c>
      <c r="AE146" s="54">
        <f t="shared" si="31"/>
        <v>0</v>
      </c>
      <c r="AF146" s="54">
        <f t="shared" si="32"/>
        <v>2020</v>
      </c>
      <c r="AG146" s="54">
        <f t="shared" si="33"/>
        <v>10100.000000000002</v>
      </c>
      <c r="AH146" s="54">
        <f t="shared" si="34"/>
        <v>0</v>
      </c>
      <c r="AI146" s="54">
        <f t="shared" si="35"/>
        <v>0</v>
      </c>
    </row>
    <row r="147" spans="1:35" ht="15" x14ac:dyDescent="0.2">
      <c r="A147" s="56" t="s">
        <v>242</v>
      </c>
      <c r="B147" s="32"/>
      <c r="C147" s="56">
        <v>0.20200000000000001</v>
      </c>
      <c r="D147" s="56">
        <v>317.16000000000003</v>
      </c>
      <c r="E147" s="36"/>
      <c r="F147" s="40">
        <f t="shared" si="24"/>
        <v>0</v>
      </c>
      <c r="G147" s="40" t="e">
        <f>-PMT(Assumptions!B$25/12,Assumptions!B$24*12,F$8)*C147/100</f>
        <v>#NUM!</v>
      </c>
      <c r="H147" s="40" t="e">
        <f>G147*Assumptions!$B$24*12-F147</f>
        <v>#NUM!</v>
      </c>
      <c r="I147" s="48"/>
      <c r="J147" s="40">
        <f t="shared" si="25"/>
        <v>0</v>
      </c>
      <c r="K147" s="40" t="e">
        <f>-PMT(Assumptions!C$25/12,Assumptions!C$24*12,J$8)*C147/100</f>
        <v>#NUM!</v>
      </c>
      <c r="L147" s="40" t="e">
        <f>K147*Assumptions!$C$24*12-J147</f>
        <v>#NUM!</v>
      </c>
      <c r="M147" s="43"/>
      <c r="N147" s="40">
        <f t="shared" si="26"/>
        <v>2020</v>
      </c>
      <c r="O147" s="50">
        <f>-PMT(Assumptions!D$25/12,Assumptions!D$24*12,N$8)*C147/100</f>
        <v>21.425234078293197</v>
      </c>
      <c r="P147" s="44">
        <f>O147*Assumptions!$D$24*12-N147</f>
        <v>551.028089395184</v>
      </c>
      <c r="Q147" s="48"/>
      <c r="R147" s="40">
        <f t="shared" si="27"/>
        <v>10100.000000000002</v>
      </c>
      <c r="S147" s="40">
        <f>-PMT(Assumptions!E$25/12,Assumptions!E$24*12,$R$8)*$C147/100</f>
        <v>107.12617039146599</v>
      </c>
      <c r="T147" s="40">
        <f>S147*Assumptions!$E$24*12-R147</f>
        <v>2755.1404469759163</v>
      </c>
      <c r="U147" s="48"/>
      <c r="V147" s="40">
        <f t="shared" si="28"/>
        <v>0</v>
      </c>
      <c r="W147" s="40" t="e">
        <f>-PMT(Assumptions!F$25/12,Assumptions!F$24*12,$V$8)*$C147/100</f>
        <v>#NUM!</v>
      </c>
      <c r="X147" s="40" t="e">
        <f>W147*Assumptions!$F$24*12-V147</f>
        <v>#NUM!</v>
      </c>
      <c r="Y147" s="43"/>
      <c r="Z147" s="40">
        <f t="shared" si="29"/>
        <v>0</v>
      </c>
      <c r="AA147" s="50" t="e">
        <f>-PMT(Assumptions!G$25/12,Assumptions!G$24*12,$Z$8)*$C147/100</f>
        <v>#NUM!</v>
      </c>
      <c r="AB147" s="44" t="e">
        <f>AA147*Assumptions!$G$24*12-Z147</f>
        <v>#NUM!</v>
      </c>
      <c r="AD147" s="54">
        <f t="shared" si="30"/>
        <v>0</v>
      </c>
      <c r="AE147" s="54">
        <f t="shared" si="31"/>
        <v>0</v>
      </c>
      <c r="AF147" s="54">
        <f t="shared" si="32"/>
        <v>2020</v>
      </c>
      <c r="AG147" s="54">
        <f t="shared" si="33"/>
        <v>10100.000000000002</v>
      </c>
      <c r="AH147" s="54">
        <f t="shared" si="34"/>
        <v>0</v>
      </c>
      <c r="AI147" s="54">
        <f t="shared" si="35"/>
        <v>0</v>
      </c>
    </row>
    <row r="148" spans="1:35" ht="15" x14ac:dyDescent="0.2">
      <c r="A148" s="56" t="s">
        <v>243</v>
      </c>
      <c r="B148" s="32"/>
      <c r="C148" s="56">
        <v>0.14699999999999999</v>
      </c>
      <c r="D148" s="56">
        <v>230.81</v>
      </c>
      <c r="E148" s="36"/>
      <c r="F148" s="40">
        <f t="shared" si="24"/>
        <v>0</v>
      </c>
      <c r="G148" s="40" t="e">
        <f>-PMT(Assumptions!B$25/12,Assumptions!B$24*12,F$8)*C148/100</f>
        <v>#NUM!</v>
      </c>
      <c r="H148" s="40" t="e">
        <f>G148*Assumptions!$B$24*12-F148</f>
        <v>#NUM!</v>
      </c>
      <c r="I148" s="48"/>
      <c r="J148" s="40">
        <f t="shared" si="25"/>
        <v>0</v>
      </c>
      <c r="K148" s="40" t="e">
        <f>-PMT(Assumptions!C$25/12,Assumptions!C$24*12,J$8)*C148/100</f>
        <v>#NUM!</v>
      </c>
      <c r="L148" s="40" t="e">
        <f>K148*Assumptions!$C$24*12-J148</f>
        <v>#NUM!</v>
      </c>
      <c r="M148" s="43"/>
      <c r="N148" s="40">
        <f t="shared" si="26"/>
        <v>1470</v>
      </c>
      <c r="O148" s="50">
        <f>-PMT(Assumptions!D$25/12,Assumptions!D$24*12,N$8)*C148/100</f>
        <v>15.591630740144058</v>
      </c>
      <c r="P148" s="44">
        <f>O148*Assumptions!$D$24*12-N148</f>
        <v>400.99568881728692</v>
      </c>
      <c r="Q148" s="48"/>
      <c r="R148" s="40">
        <f t="shared" si="27"/>
        <v>7350</v>
      </c>
      <c r="S148" s="40">
        <f>-PMT(Assumptions!E$25/12,Assumptions!E$24*12,$R$8)*$C148/100</f>
        <v>77.958153700720288</v>
      </c>
      <c r="T148" s="40">
        <f>S148*Assumptions!$E$24*12-R148</f>
        <v>2004.978444086435</v>
      </c>
      <c r="U148" s="48"/>
      <c r="V148" s="40">
        <f t="shared" si="28"/>
        <v>0</v>
      </c>
      <c r="W148" s="40" t="e">
        <f>-PMT(Assumptions!F$25/12,Assumptions!F$24*12,$V$8)*$C148/100</f>
        <v>#NUM!</v>
      </c>
      <c r="X148" s="40" t="e">
        <f>W148*Assumptions!$F$24*12-V148</f>
        <v>#NUM!</v>
      </c>
      <c r="Y148" s="43"/>
      <c r="Z148" s="40">
        <f t="shared" si="29"/>
        <v>0</v>
      </c>
      <c r="AA148" s="50" t="e">
        <f>-PMT(Assumptions!G$25/12,Assumptions!G$24*12,$Z$8)*$C148/100</f>
        <v>#NUM!</v>
      </c>
      <c r="AB148" s="44" t="e">
        <f>AA148*Assumptions!$G$24*12-Z148</f>
        <v>#NUM!</v>
      </c>
      <c r="AD148" s="54">
        <f t="shared" si="30"/>
        <v>0</v>
      </c>
      <c r="AE148" s="54">
        <f t="shared" si="31"/>
        <v>0</v>
      </c>
      <c r="AF148" s="54">
        <f t="shared" si="32"/>
        <v>1470</v>
      </c>
      <c r="AG148" s="54">
        <f t="shared" si="33"/>
        <v>7350</v>
      </c>
      <c r="AH148" s="54">
        <f t="shared" si="34"/>
        <v>0</v>
      </c>
      <c r="AI148" s="54">
        <f t="shared" si="35"/>
        <v>0</v>
      </c>
    </row>
    <row r="149" spans="1:35" ht="15" x14ac:dyDescent="0.2">
      <c r="A149" s="56" t="s">
        <v>244</v>
      </c>
      <c r="B149" s="32"/>
      <c r="C149" s="56">
        <v>0.156</v>
      </c>
      <c r="D149" s="56">
        <v>244.94</v>
      </c>
      <c r="E149" s="36"/>
      <c r="F149" s="40">
        <f t="shared" si="24"/>
        <v>0</v>
      </c>
      <c r="G149" s="40" t="e">
        <f>-PMT(Assumptions!B$25/12,Assumptions!B$24*12,F$8)*C149/100</f>
        <v>#NUM!</v>
      </c>
      <c r="H149" s="40" t="e">
        <f>G149*Assumptions!$B$24*12-F149</f>
        <v>#NUM!</v>
      </c>
      <c r="I149" s="48"/>
      <c r="J149" s="40">
        <f t="shared" si="25"/>
        <v>0</v>
      </c>
      <c r="K149" s="40" t="e">
        <f>-PMT(Assumptions!C$25/12,Assumptions!C$24*12,J$8)*C149/100</f>
        <v>#NUM!</v>
      </c>
      <c r="L149" s="40" t="e">
        <f>K149*Assumptions!$C$24*12-J149</f>
        <v>#NUM!</v>
      </c>
      <c r="M149" s="43"/>
      <c r="N149" s="40">
        <f t="shared" si="26"/>
        <v>1560</v>
      </c>
      <c r="O149" s="50">
        <f>-PMT(Assumptions!D$25/12,Assumptions!D$24*12,N$8)*C149/100</f>
        <v>16.546220377295736</v>
      </c>
      <c r="P149" s="44">
        <f>O149*Assumptions!$D$24*12-N149</f>
        <v>425.5464452754884</v>
      </c>
      <c r="Q149" s="48"/>
      <c r="R149" s="40">
        <f t="shared" si="27"/>
        <v>7800</v>
      </c>
      <c r="S149" s="40">
        <f>-PMT(Assumptions!E$25/12,Assumptions!E$24*12,$R$8)*$C149/100</f>
        <v>82.731101886478683</v>
      </c>
      <c r="T149" s="40">
        <f>S149*Assumptions!$E$24*12-R149</f>
        <v>2127.7322263774404</v>
      </c>
      <c r="U149" s="48"/>
      <c r="V149" s="40">
        <f t="shared" si="28"/>
        <v>0</v>
      </c>
      <c r="W149" s="40" t="e">
        <f>-PMT(Assumptions!F$25/12,Assumptions!F$24*12,$V$8)*$C149/100</f>
        <v>#NUM!</v>
      </c>
      <c r="X149" s="40" t="e">
        <f>W149*Assumptions!$F$24*12-V149</f>
        <v>#NUM!</v>
      </c>
      <c r="Y149" s="43"/>
      <c r="Z149" s="40">
        <f t="shared" si="29"/>
        <v>0</v>
      </c>
      <c r="AA149" s="50" t="e">
        <f>-PMT(Assumptions!G$25/12,Assumptions!G$24*12,$Z$8)*$C149/100</f>
        <v>#NUM!</v>
      </c>
      <c r="AB149" s="44" t="e">
        <f>AA149*Assumptions!$G$24*12-Z149</f>
        <v>#NUM!</v>
      </c>
      <c r="AD149" s="54">
        <f t="shared" si="30"/>
        <v>0</v>
      </c>
      <c r="AE149" s="54">
        <f t="shared" si="31"/>
        <v>0</v>
      </c>
      <c r="AF149" s="54">
        <f t="shared" si="32"/>
        <v>1560</v>
      </c>
      <c r="AG149" s="54">
        <f t="shared" si="33"/>
        <v>7800</v>
      </c>
      <c r="AH149" s="54">
        <f t="shared" si="34"/>
        <v>0</v>
      </c>
      <c r="AI149" s="54">
        <f t="shared" si="35"/>
        <v>0</v>
      </c>
    </row>
    <row r="150" spans="1:35" ht="15" x14ac:dyDescent="0.2">
      <c r="A150" s="56" t="s">
        <v>245</v>
      </c>
      <c r="B150" s="32"/>
      <c r="C150" s="56">
        <v>0.14699999999999999</v>
      </c>
      <c r="D150" s="56">
        <v>230.81</v>
      </c>
      <c r="E150" s="36"/>
      <c r="F150" s="40">
        <f t="shared" si="24"/>
        <v>0</v>
      </c>
      <c r="G150" s="40" t="e">
        <f>-PMT(Assumptions!B$25/12,Assumptions!B$24*12,F$8)*C150/100</f>
        <v>#NUM!</v>
      </c>
      <c r="H150" s="40" t="e">
        <f>G150*Assumptions!$B$24*12-F150</f>
        <v>#NUM!</v>
      </c>
      <c r="I150" s="48"/>
      <c r="J150" s="40">
        <f t="shared" si="25"/>
        <v>0</v>
      </c>
      <c r="K150" s="40" t="e">
        <f>-PMT(Assumptions!C$25/12,Assumptions!C$24*12,J$8)*C150/100</f>
        <v>#NUM!</v>
      </c>
      <c r="L150" s="40" t="e">
        <f>K150*Assumptions!$C$24*12-J150</f>
        <v>#NUM!</v>
      </c>
      <c r="M150" s="43"/>
      <c r="N150" s="40">
        <f t="shared" si="26"/>
        <v>1470</v>
      </c>
      <c r="O150" s="50">
        <f>-PMT(Assumptions!D$25/12,Assumptions!D$24*12,N$8)*C150/100</f>
        <v>15.591630740144058</v>
      </c>
      <c r="P150" s="44">
        <f>O150*Assumptions!$D$24*12-N150</f>
        <v>400.99568881728692</v>
      </c>
      <c r="Q150" s="48"/>
      <c r="R150" s="40">
        <f t="shared" si="27"/>
        <v>7350</v>
      </c>
      <c r="S150" s="40">
        <f>-PMT(Assumptions!E$25/12,Assumptions!E$24*12,$R$8)*$C150/100</f>
        <v>77.958153700720288</v>
      </c>
      <c r="T150" s="40">
        <f>S150*Assumptions!$E$24*12-R150</f>
        <v>2004.978444086435</v>
      </c>
      <c r="U150" s="48"/>
      <c r="V150" s="40">
        <f t="shared" si="28"/>
        <v>0</v>
      </c>
      <c r="W150" s="40" t="e">
        <f>-PMT(Assumptions!F$25/12,Assumptions!F$24*12,$V$8)*$C150/100</f>
        <v>#NUM!</v>
      </c>
      <c r="X150" s="40" t="e">
        <f>W150*Assumptions!$F$24*12-V150</f>
        <v>#NUM!</v>
      </c>
      <c r="Y150" s="43"/>
      <c r="Z150" s="40">
        <f t="shared" si="29"/>
        <v>0</v>
      </c>
      <c r="AA150" s="50" t="e">
        <f>-PMT(Assumptions!G$25/12,Assumptions!G$24*12,$Z$8)*$C150/100</f>
        <v>#NUM!</v>
      </c>
      <c r="AB150" s="44" t="e">
        <f>AA150*Assumptions!$G$24*12-Z150</f>
        <v>#NUM!</v>
      </c>
      <c r="AD150" s="54">
        <f t="shared" si="30"/>
        <v>0</v>
      </c>
      <c r="AE150" s="54">
        <f t="shared" si="31"/>
        <v>0</v>
      </c>
      <c r="AF150" s="54">
        <f t="shared" si="32"/>
        <v>1470</v>
      </c>
      <c r="AG150" s="54">
        <f t="shared" si="33"/>
        <v>7350</v>
      </c>
      <c r="AH150" s="54">
        <f t="shared" si="34"/>
        <v>0</v>
      </c>
      <c r="AI150" s="54">
        <f t="shared" si="35"/>
        <v>0</v>
      </c>
    </row>
    <row r="151" spans="1:35" ht="15" x14ac:dyDescent="0.2">
      <c r="A151" s="56" t="s">
        <v>246</v>
      </c>
      <c r="B151" s="32"/>
      <c r="C151" s="56">
        <v>0.156</v>
      </c>
      <c r="D151" s="56">
        <v>244.94</v>
      </c>
      <c r="E151" s="36"/>
      <c r="F151" s="40">
        <f t="shared" si="24"/>
        <v>0</v>
      </c>
      <c r="G151" s="40" t="e">
        <f>-PMT(Assumptions!B$25/12,Assumptions!B$24*12,F$8)*C151/100</f>
        <v>#NUM!</v>
      </c>
      <c r="H151" s="40" t="e">
        <f>G151*Assumptions!$B$24*12-F151</f>
        <v>#NUM!</v>
      </c>
      <c r="I151" s="48"/>
      <c r="J151" s="40">
        <f t="shared" si="25"/>
        <v>0</v>
      </c>
      <c r="K151" s="40" t="e">
        <f>-PMT(Assumptions!C$25/12,Assumptions!C$24*12,J$8)*C151/100</f>
        <v>#NUM!</v>
      </c>
      <c r="L151" s="40" t="e">
        <f>K151*Assumptions!$C$24*12-J151</f>
        <v>#NUM!</v>
      </c>
      <c r="M151" s="43"/>
      <c r="N151" s="40">
        <f t="shared" si="26"/>
        <v>1560</v>
      </c>
      <c r="O151" s="50">
        <f>-PMT(Assumptions!D$25/12,Assumptions!D$24*12,N$8)*C151/100</f>
        <v>16.546220377295736</v>
      </c>
      <c r="P151" s="44">
        <f>O151*Assumptions!$D$24*12-N151</f>
        <v>425.5464452754884</v>
      </c>
      <c r="Q151" s="48"/>
      <c r="R151" s="40">
        <f t="shared" si="27"/>
        <v>7800</v>
      </c>
      <c r="S151" s="40">
        <f>-PMT(Assumptions!E$25/12,Assumptions!E$24*12,$R$8)*$C151/100</f>
        <v>82.731101886478683</v>
      </c>
      <c r="T151" s="40">
        <f>S151*Assumptions!$E$24*12-R151</f>
        <v>2127.7322263774404</v>
      </c>
      <c r="U151" s="48"/>
      <c r="V151" s="40">
        <f t="shared" si="28"/>
        <v>0</v>
      </c>
      <c r="W151" s="40" t="e">
        <f>-PMT(Assumptions!F$25/12,Assumptions!F$24*12,$V$8)*$C151/100</f>
        <v>#NUM!</v>
      </c>
      <c r="X151" s="40" t="e">
        <f>W151*Assumptions!$F$24*12-V151</f>
        <v>#NUM!</v>
      </c>
      <c r="Y151" s="43"/>
      <c r="Z151" s="40">
        <f t="shared" si="29"/>
        <v>0</v>
      </c>
      <c r="AA151" s="50" t="e">
        <f>-PMT(Assumptions!G$25/12,Assumptions!G$24*12,$Z$8)*$C151/100</f>
        <v>#NUM!</v>
      </c>
      <c r="AB151" s="44" t="e">
        <f>AA151*Assumptions!$G$24*12-Z151</f>
        <v>#NUM!</v>
      </c>
      <c r="AD151" s="54">
        <f t="shared" si="30"/>
        <v>0</v>
      </c>
      <c r="AE151" s="54">
        <f t="shared" si="31"/>
        <v>0</v>
      </c>
      <c r="AF151" s="54">
        <f t="shared" si="32"/>
        <v>1560</v>
      </c>
      <c r="AG151" s="54">
        <f t="shared" si="33"/>
        <v>7800</v>
      </c>
      <c r="AH151" s="54">
        <f t="shared" si="34"/>
        <v>0</v>
      </c>
      <c r="AI151" s="54">
        <f t="shared" si="35"/>
        <v>0</v>
      </c>
    </row>
    <row r="152" spans="1:35" ht="15" x14ac:dyDescent="0.2">
      <c r="A152" s="56" t="s">
        <v>247</v>
      </c>
      <c r="B152" s="32"/>
      <c r="C152" s="56">
        <v>0.219</v>
      </c>
      <c r="D152" s="56">
        <v>343.85</v>
      </c>
      <c r="E152" s="36"/>
      <c r="F152" s="40">
        <f t="shared" si="24"/>
        <v>0</v>
      </c>
      <c r="G152" s="40" t="e">
        <f>-PMT(Assumptions!B$25/12,Assumptions!B$24*12,F$8)*C152/100</f>
        <v>#NUM!</v>
      </c>
      <c r="H152" s="40" t="e">
        <f>G152*Assumptions!$B$24*12-F152</f>
        <v>#NUM!</v>
      </c>
      <c r="I152" s="48"/>
      <c r="J152" s="40">
        <f t="shared" si="25"/>
        <v>0</v>
      </c>
      <c r="K152" s="40" t="e">
        <f>-PMT(Assumptions!C$25/12,Assumptions!C$24*12,J$8)*C152/100</f>
        <v>#NUM!</v>
      </c>
      <c r="L152" s="40" t="e">
        <f>K152*Assumptions!$C$24*12-J152</f>
        <v>#NUM!</v>
      </c>
      <c r="M152" s="43"/>
      <c r="N152" s="40">
        <f t="shared" si="26"/>
        <v>2190</v>
      </c>
      <c r="O152" s="50">
        <f>-PMT(Assumptions!D$25/12,Assumptions!D$24*12,N$8)*C152/100</f>
        <v>23.228347837357475</v>
      </c>
      <c r="P152" s="44">
        <f>O152*Assumptions!$D$24*12-N152</f>
        <v>597.40174048289691</v>
      </c>
      <c r="Q152" s="48"/>
      <c r="R152" s="40">
        <f t="shared" si="27"/>
        <v>10950</v>
      </c>
      <c r="S152" s="40">
        <f>-PMT(Assumptions!E$25/12,Assumptions!E$24*12,$R$8)*$C152/100</f>
        <v>116.14173918678738</v>
      </c>
      <c r="T152" s="40">
        <f>S152*Assumptions!$E$24*12-R152</f>
        <v>2987.008702414485</v>
      </c>
      <c r="U152" s="48"/>
      <c r="V152" s="40">
        <f t="shared" si="28"/>
        <v>0</v>
      </c>
      <c r="W152" s="40" t="e">
        <f>-PMT(Assumptions!F$25/12,Assumptions!F$24*12,$V$8)*$C152/100</f>
        <v>#NUM!</v>
      </c>
      <c r="X152" s="40" t="e">
        <f>W152*Assumptions!$F$24*12-V152</f>
        <v>#NUM!</v>
      </c>
      <c r="Y152" s="43"/>
      <c r="Z152" s="40">
        <f t="shared" si="29"/>
        <v>0</v>
      </c>
      <c r="AA152" s="50" t="e">
        <f>-PMT(Assumptions!G$25/12,Assumptions!G$24*12,$Z$8)*$C152/100</f>
        <v>#NUM!</v>
      </c>
      <c r="AB152" s="44" t="e">
        <f>AA152*Assumptions!$G$24*12-Z152</f>
        <v>#NUM!</v>
      </c>
      <c r="AD152" s="54">
        <f t="shared" si="30"/>
        <v>0</v>
      </c>
      <c r="AE152" s="54">
        <f t="shared" si="31"/>
        <v>0</v>
      </c>
      <c r="AF152" s="54">
        <f t="shared" si="32"/>
        <v>2190</v>
      </c>
      <c r="AG152" s="54">
        <f t="shared" si="33"/>
        <v>10950</v>
      </c>
      <c r="AH152" s="54">
        <f t="shared" si="34"/>
        <v>0</v>
      </c>
      <c r="AI152" s="54">
        <f t="shared" si="35"/>
        <v>0</v>
      </c>
    </row>
    <row r="153" spans="1:35" ht="15" x14ac:dyDescent="0.2">
      <c r="A153" s="56" t="s">
        <v>248</v>
      </c>
      <c r="B153" s="32"/>
      <c r="C153" s="56">
        <v>0.22700000000000001</v>
      </c>
      <c r="D153" s="56">
        <v>356.41</v>
      </c>
      <c r="E153" s="36"/>
      <c r="F153" s="40">
        <f t="shared" si="24"/>
        <v>0</v>
      </c>
      <c r="G153" s="40" t="e">
        <f>-PMT(Assumptions!B$25/12,Assumptions!B$24*12,F$8)*C153/100</f>
        <v>#NUM!</v>
      </c>
      <c r="H153" s="40" t="e">
        <f>G153*Assumptions!$B$24*12-F153</f>
        <v>#NUM!</v>
      </c>
      <c r="I153" s="48"/>
      <c r="J153" s="40">
        <f t="shared" si="25"/>
        <v>0</v>
      </c>
      <c r="K153" s="40" t="e">
        <f>-PMT(Assumptions!C$25/12,Assumptions!C$24*12,J$8)*C153/100</f>
        <v>#NUM!</v>
      </c>
      <c r="L153" s="40" t="e">
        <f>K153*Assumptions!$C$24*12-J153</f>
        <v>#NUM!</v>
      </c>
      <c r="M153" s="43"/>
      <c r="N153" s="40">
        <f t="shared" si="26"/>
        <v>2270</v>
      </c>
      <c r="O153" s="50">
        <f>-PMT(Assumptions!D$25/12,Assumptions!D$24*12,N$8)*C153/100</f>
        <v>24.076871959270079</v>
      </c>
      <c r="P153" s="44">
        <f>O153*Assumptions!$D$24*12-N153</f>
        <v>619.22463511240949</v>
      </c>
      <c r="Q153" s="48"/>
      <c r="R153" s="40">
        <f t="shared" si="27"/>
        <v>11350</v>
      </c>
      <c r="S153" s="40">
        <f>-PMT(Assumptions!E$25/12,Assumptions!E$24*12,$R$8)*$C153/100</f>
        <v>120.3843597963504</v>
      </c>
      <c r="T153" s="40">
        <f>S153*Assumptions!$E$24*12-R153</f>
        <v>3096.1231755620465</v>
      </c>
      <c r="U153" s="48"/>
      <c r="V153" s="40">
        <f t="shared" si="28"/>
        <v>0</v>
      </c>
      <c r="W153" s="40" t="e">
        <f>-PMT(Assumptions!F$25/12,Assumptions!F$24*12,$V$8)*$C153/100</f>
        <v>#NUM!</v>
      </c>
      <c r="X153" s="40" t="e">
        <f>W153*Assumptions!$F$24*12-V153</f>
        <v>#NUM!</v>
      </c>
      <c r="Y153" s="43"/>
      <c r="Z153" s="40">
        <f t="shared" si="29"/>
        <v>0</v>
      </c>
      <c r="AA153" s="50" t="e">
        <f>-PMT(Assumptions!G$25/12,Assumptions!G$24*12,$Z$8)*$C153/100</f>
        <v>#NUM!</v>
      </c>
      <c r="AB153" s="44" t="e">
        <f>AA153*Assumptions!$G$24*12-Z153</f>
        <v>#NUM!</v>
      </c>
      <c r="AD153" s="54">
        <f t="shared" si="30"/>
        <v>0</v>
      </c>
      <c r="AE153" s="54">
        <f t="shared" si="31"/>
        <v>0</v>
      </c>
      <c r="AF153" s="54">
        <f t="shared" si="32"/>
        <v>2270</v>
      </c>
      <c r="AG153" s="54">
        <f t="shared" si="33"/>
        <v>11350</v>
      </c>
      <c r="AH153" s="54">
        <f t="shared" si="34"/>
        <v>0</v>
      </c>
      <c r="AI153" s="54">
        <f t="shared" si="35"/>
        <v>0</v>
      </c>
    </row>
    <row r="154" spans="1:35" ht="15" x14ac:dyDescent="0.2">
      <c r="A154" s="56" t="s">
        <v>249</v>
      </c>
      <c r="B154" s="32"/>
      <c r="C154" s="56">
        <v>0.20200000000000001</v>
      </c>
      <c r="D154" s="56">
        <v>317.16000000000003</v>
      </c>
      <c r="E154" s="36"/>
      <c r="F154" s="40">
        <f t="shared" si="24"/>
        <v>0</v>
      </c>
      <c r="G154" s="40" t="e">
        <f>-PMT(Assumptions!B$25/12,Assumptions!B$24*12,F$8)*C154/100</f>
        <v>#NUM!</v>
      </c>
      <c r="H154" s="40" t="e">
        <f>G154*Assumptions!$B$24*12-F154</f>
        <v>#NUM!</v>
      </c>
      <c r="I154" s="48"/>
      <c r="J154" s="40">
        <f t="shared" si="25"/>
        <v>0</v>
      </c>
      <c r="K154" s="40" t="e">
        <f>-PMT(Assumptions!C$25/12,Assumptions!C$24*12,J$8)*C154/100</f>
        <v>#NUM!</v>
      </c>
      <c r="L154" s="40" t="e">
        <f>K154*Assumptions!$C$24*12-J154</f>
        <v>#NUM!</v>
      </c>
      <c r="M154" s="43"/>
      <c r="N154" s="40">
        <f t="shared" si="26"/>
        <v>2020</v>
      </c>
      <c r="O154" s="50">
        <f>-PMT(Assumptions!D$25/12,Assumptions!D$24*12,N$8)*C154/100</f>
        <v>21.425234078293197</v>
      </c>
      <c r="P154" s="44">
        <f>O154*Assumptions!$D$24*12-N154</f>
        <v>551.028089395184</v>
      </c>
      <c r="Q154" s="48"/>
      <c r="R154" s="40">
        <f t="shared" si="27"/>
        <v>10100.000000000002</v>
      </c>
      <c r="S154" s="40">
        <f>-PMT(Assumptions!E$25/12,Assumptions!E$24*12,$R$8)*$C154/100</f>
        <v>107.12617039146599</v>
      </c>
      <c r="T154" s="40">
        <f>S154*Assumptions!$E$24*12-R154</f>
        <v>2755.1404469759163</v>
      </c>
      <c r="U154" s="48"/>
      <c r="V154" s="40">
        <f t="shared" si="28"/>
        <v>0</v>
      </c>
      <c r="W154" s="40" t="e">
        <f>-PMT(Assumptions!F$25/12,Assumptions!F$24*12,$V$8)*$C154/100</f>
        <v>#NUM!</v>
      </c>
      <c r="X154" s="40" t="e">
        <f>W154*Assumptions!$F$24*12-V154</f>
        <v>#NUM!</v>
      </c>
      <c r="Y154" s="43"/>
      <c r="Z154" s="40">
        <f t="shared" si="29"/>
        <v>0</v>
      </c>
      <c r="AA154" s="50" t="e">
        <f>-PMT(Assumptions!G$25/12,Assumptions!G$24*12,$Z$8)*$C154/100</f>
        <v>#NUM!</v>
      </c>
      <c r="AB154" s="44" t="e">
        <f>AA154*Assumptions!$G$24*12-Z154</f>
        <v>#NUM!</v>
      </c>
      <c r="AD154" s="54">
        <f t="shared" si="30"/>
        <v>0</v>
      </c>
      <c r="AE154" s="54">
        <f t="shared" si="31"/>
        <v>0</v>
      </c>
      <c r="AF154" s="54">
        <f t="shared" si="32"/>
        <v>2020</v>
      </c>
      <c r="AG154" s="54">
        <f t="shared" si="33"/>
        <v>10100.000000000002</v>
      </c>
      <c r="AH154" s="54">
        <f t="shared" si="34"/>
        <v>0</v>
      </c>
      <c r="AI154" s="54">
        <f t="shared" si="35"/>
        <v>0</v>
      </c>
    </row>
    <row r="155" spans="1:35" ht="15" x14ac:dyDescent="0.2">
      <c r="A155" s="56" t="s">
        <v>250</v>
      </c>
      <c r="B155" s="32"/>
      <c r="C155" s="56">
        <v>0.20200000000000001</v>
      </c>
      <c r="D155" s="56">
        <v>317.16000000000003</v>
      </c>
      <c r="E155" s="36"/>
      <c r="F155" s="40">
        <f t="shared" si="24"/>
        <v>0</v>
      </c>
      <c r="G155" s="40" t="e">
        <f>-PMT(Assumptions!B$25/12,Assumptions!B$24*12,F$8)*C155/100</f>
        <v>#NUM!</v>
      </c>
      <c r="H155" s="40" t="e">
        <f>G155*Assumptions!$B$24*12-F155</f>
        <v>#NUM!</v>
      </c>
      <c r="I155" s="48"/>
      <c r="J155" s="40">
        <f t="shared" si="25"/>
        <v>0</v>
      </c>
      <c r="K155" s="40" t="e">
        <f>-PMT(Assumptions!C$25/12,Assumptions!C$24*12,J$8)*C155/100</f>
        <v>#NUM!</v>
      </c>
      <c r="L155" s="40" t="e">
        <f>K155*Assumptions!$C$24*12-J155</f>
        <v>#NUM!</v>
      </c>
      <c r="M155" s="43"/>
      <c r="N155" s="40">
        <f t="shared" si="26"/>
        <v>2020</v>
      </c>
      <c r="O155" s="50">
        <f>-PMT(Assumptions!D$25/12,Assumptions!D$24*12,N$8)*C155/100</f>
        <v>21.425234078293197</v>
      </c>
      <c r="P155" s="44">
        <f>O155*Assumptions!$D$24*12-N155</f>
        <v>551.028089395184</v>
      </c>
      <c r="Q155" s="48"/>
      <c r="R155" s="40">
        <f t="shared" si="27"/>
        <v>10100.000000000002</v>
      </c>
      <c r="S155" s="40">
        <f>-PMT(Assumptions!E$25/12,Assumptions!E$24*12,$R$8)*$C155/100</f>
        <v>107.12617039146599</v>
      </c>
      <c r="T155" s="40">
        <f>S155*Assumptions!$E$24*12-R155</f>
        <v>2755.1404469759163</v>
      </c>
      <c r="U155" s="48"/>
      <c r="V155" s="40">
        <f t="shared" si="28"/>
        <v>0</v>
      </c>
      <c r="W155" s="40" t="e">
        <f>-PMT(Assumptions!F$25/12,Assumptions!F$24*12,$V$8)*$C155/100</f>
        <v>#NUM!</v>
      </c>
      <c r="X155" s="40" t="e">
        <f>W155*Assumptions!$F$24*12-V155</f>
        <v>#NUM!</v>
      </c>
      <c r="Y155" s="43"/>
      <c r="Z155" s="40">
        <f t="shared" si="29"/>
        <v>0</v>
      </c>
      <c r="AA155" s="50" t="e">
        <f>-PMT(Assumptions!G$25/12,Assumptions!G$24*12,$Z$8)*$C155/100</f>
        <v>#NUM!</v>
      </c>
      <c r="AB155" s="44" t="e">
        <f>AA155*Assumptions!$G$24*12-Z155</f>
        <v>#NUM!</v>
      </c>
      <c r="AD155" s="54">
        <f t="shared" si="30"/>
        <v>0</v>
      </c>
      <c r="AE155" s="54">
        <f t="shared" si="31"/>
        <v>0</v>
      </c>
      <c r="AF155" s="54">
        <f t="shared" si="32"/>
        <v>2020</v>
      </c>
      <c r="AG155" s="54">
        <f t="shared" si="33"/>
        <v>10100.000000000002</v>
      </c>
      <c r="AH155" s="54">
        <f t="shared" si="34"/>
        <v>0</v>
      </c>
      <c r="AI155" s="54">
        <f t="shared" si="35"/>
        <v>0</v>
      </c>
    </row>
    <row r="156" spans="1:35" ht="15" x14ac:dyDescent="0.2">
      <c r="A156" s="56" t="s">
        <v>251</v>
      </c>
      <c r="B156" s="32"/>
      <c r="C156" s="56">
        <v>0.14699999999999999</v>
      </c>
      <c r="D156" s="56">
        <v>230.81</v>
      </c>
      <c r="E156" s="36"/>
      <c r="F156" s="40">
        <f t="shared" si="24"/>
        <v>0</v>
      </c>
      <c r="G156" s="40" t="e">
        <f>-PMT(Assumptions!B$25/12,Assumptions!B$24*12,F$8)*C156/100</f>
        <v>#NUM!</v>
      </c>
      <c r="H156" s="40" t="e">
        <f>G156*Assumptions!$B$24*12-F156</f>
        <v>#NUM!</v>
      </c>
      <c r="I156" s="48"/>
      <c r="J156" s="40">
        <f t="shared" si="25"/>
        <v>0</v>
      </c>
      <c r="K156" s="40" t="e">
        <f>-PMT(Assumptions!C$25/12,Assumptions!C$24*12,J$8)*C156/100</f>
        <v>#NUM!</v>
      </c>
      <c r="L156" s="40" t="e">
        <f>K156*Assumptions!$C$24*12-J156</f>
        <v>#NUM!</v>
      </c>
      <c r="M156" s="43"/>
      <c r="N156" s="40">
        <f t="shared" si="26"/>
        <v>1470</v>
      </c>
      <c r="O156" s="50">
        <f>-PMT(Assumptions!D$25/12,Assumptions!D$24*12,N$8)*C156/100</f>
        <v>15.591630740144058</v>
      </c>
      <c r="P156" s="44">
        <f>O156*Assumptions!$D$24*12-N156</f>
        <v>400.99568881728692</v>
      </c>
      <c r="Q156" s="48"/>
      <c r="R156" s="40">
        <f t="shared" si="27"/>
        <v>7350</v>
      </c>
      <c r="S156" s="40">
        <f>-PMT(Assumptions!E$25/12,Assumptions!E$24*12,$R$8)*$C156/100</f>
        <v>77.958153700720288</v>
      </c>
      <c r="T156" s="40">
        <f>S156*Assumptions!$E$24*12-R156</f>
        <v>2004.978444086435</v>
      </c>
      <c r="U156" s="48"/>
      <c r="V156" s="40">
        <f t="shared" si="28"/>
        <v>0</v>
      </c>
      <c r="W156" s="40" t="e">
        <f>-PMT(Assumptions!F$25/12,Assumptions!F$24*12,$V$8)*$C156/100</f>
        <v>#NUM!</v>
      </c>
      <c r="X156" s="40" t="e">
        <f>W156*Assumptions!$F$24*12-V156</f>
        <v>#NUM!</v>
      </c>
      <c r="Y156" s="43"/>
      <c r="Z156" s="40">
        <f t="shared" si="29"/>
        <v>0</v>
      </c>
      <c r="AA156" s="50" t="e">
        <f>-PMT(Assumptions!G$25/12,Assumptions!G$24*12,$Z$8)*$C156/100</f>
        <v>#NUM!</v>
      </c>
      <c r="AB156" s="44" t="e">
        <f>AA156*Assumptions!$G$24*12-Z156</f>
        <v>#NUM!</v>
      </c>
      <c r="AD156" s="54">
        <f t="shared" si="30"/>
        <v>0</v>
      </c>
      <c r="AE156" s="54">
        <f t="shared" si="31"/>
        <v>0</v>
      </c>
      <c r="AF156" s="54">
        <f t="shared" si="32"/>
        <v>1470</v>
      </c>
      <c r="AG156" s="54">
        <f t="shared" si="33"/>
        <v>7350</v>
      </c>
      <c r="AH156" s="54">
        <f t="shared" si="34"/>
        <v>0</v>
      </c>
      <c r="AI156" s="54">
        <f t="shared" si="35"/>
        <v>0</v>
      </c>
    </row>
    <row r="157" spans="1:35" ht="15" x14ac:dyDescent="0.2">
      <c r="A157" s="56" t="s">
        <v>252</v>
      </c>
      <c r="B157" s="32"/>
      <c r="C157" s="56">
        <v>0.156</v>
      </c>
      <c r="D157" s="56">
        <v>244.94</v>
      </c>
      <c r="E157" s="36"/>
      <c r="F157" s="40">
        <f t="shared" si="24"/>
        <v>0</v>
      </c>
      <c r="G157" s="40" t="e">
        <f>-PMT(Assumptions!B$25/12,Assumptions!B$24*12,F$8)*C157/100</f>
        <v>#NUM!</v>
      </c>
      <c r="H157" s="40" t="e">
        <f>G157*Assumptions!$B$24*12-F157</f>
        <v>#NUM!</v>
      </c>
      <c r="I157" s="48"/>
      <c r="J157" s="40">
        <f t="shared" si="25"/>
        <v>0</v>
      </c>
      <c r="K157" s="40" t="e">
        <f>-PMT(Assumptions!C$25/12,Assumptions!C$24*12,J$8)*C157/100</f>
        <v>#NUM!</v>
      </c>
      <c r="L157" s="40" t="e">
        <f>K157*Assumptions!$C$24*12-J157</f>
        <v>#NUM!</v>
      </c>
      <c r="M157" s="43"/>
      <c r="N157" s="40">
        <f t="shared" si="26"/>
        <v>1560</v>
      </c>
      <c r="O157" s="50">
        <f>-PMT(Assumptions!D$25/12,Assumptions!D$24*12,N$8)*C157/100</f>
        <v>16.546220377295736</v>
      </c>
      <c r="P157" s="44">
        <f>O157*Assumptions!$D$24*12-N157</f>
        <v>425.5464452754884</v>
      </c>
      <c r="Q157" s="48"/>
      <c r="R157" s="40">
        <f t="shared" si="27"/>
        <v>7800</v>
      </c>
      <c r="S157" s="40">
        <f>-PMT(Assumptions!E$25/12,Assumptions!E$24*12,$R$8)*$C157/100</f>
        <v>82.731101886478683</v>
      </c>
      <c r="T157" s="40">
        <f>S157*Assumptions!$E$24*12-R157</f>
        <v>2127.7322263774404</v>
      </c>
      <c r="U157" s="48"/>
      <c r="V157" s="40">
        <f t="shared" si="28"/>
        <v>0</v>
      </c>
      <c r="W157" s="40" t="e">
        <f>-PMT(Assumptions!F$25/12,Assumptions!F$24*12,$V$8)*$C157/100</f>
        <v>#NUM!</v>
      </c>
      <c r="X157" s="40" t="e">
        <f>W157*Assumptions!$F$24*12-V157</f>
        <v>#NUM!</v>
      </c>
      <c r="Y157" s="43"/>
      <c r="Z157" s="40">
        <f t="shared" si="29"/>
        <v>0</v>
      </c>
      <c r="AA157" s="50" t="e">
        <f>-PMT(Assumptions!G$25/12,Assumptions!G$24*12,$Z$8)*$C157/100</f>
        <v>#NUM!</v>
      </c>
      <c r="AB157" s="44" t="e">
        <f>AA157*Assumptions!$G$24*12-Z157</f>
        <v>#NUM!</v>
      </c>
      <c r="AD157" s="54">
        <f t="shared" si="30"/>
        <v>0</v>
      </c>
      <c r="AE157" s="54">
        <f t="shared" si="31"/>
        <v>0</v>
      </c>
      <c r="AF157" s="54">
        <f t="shared" si="32"/>
        <v>1560</v>
      </c>
      <c r="AG157" s="54">
        <f t="shared" si="33"/>
        <v>7800</v>
      </c>
      <c r="AH157" s="54">
        <f t="shared" si="34"/>
        <v>0</v>
      </c>
      <c r="AI157" s="54">
        <f t="shared" si="35"/>
        <v>0</v>
      </c>
    </row>
    <row r="158" spans="1:35" ht="15" x14ac:dyDescent="0.2">
      <c r="A158" s="56" t="s">
        <v>253</v>
      </c>
      <c r="B158" s="32"/>
      <c r="C158" s="56">
        <v>0.14699999999999999</v>
      </c>
      <c r="D158" s="56">
        <v>230.81</v>
      </c>
      <c r="E158" s="36"/>
      <c r="F158" s="40">
        <f t="shared" si="24"/>
        <v>0</v>
      </c>
      <c r="G158" s="40" t="e">
        <f>-PMT(Assumptions!B$25/12,Assumptions!B$24*12,F$8)*C158/100</f>
        <v>#NUM!</v>
      </c>
      <c r="H158" s="40" t="e">
        <f>G158*Assumptions!$B$24*12-F158</f>
        <v>#NUM!</v>
      </c>
      <c r="I158" s="48"/>
      <c r="J158" s="40">
        <f t="shared" si="25"/>
        <v>0</v>
      </c>
      <c r="K158" s="40" t="e">
        <f>-PMT(Assumptions!C$25/12,Assumptions!C$24*12,J$8)*C158/100</f>
        <v>#NUM!</v>
      </c>
      <c r="L158" s="40" t="e">
        <f>K158*Assumptions!$C$24*12-J158</f>
        <v>#NUM!</v>
      </c>
      <c r="M158" s="43"/>
      <c r="N158" s="40">
        <f t="shared" si="26"/>
        <v>1470</v>
      </c>
      <c r="O158" s="50">
        <f>-PMT(Assumptions!D$25/12,Assumptions!D$24*12,N$8)*C158/100</f>
        <v>15.591630740144058</v>
      </c>
      <c r="P158" s="44">
        <f>O158*Assumptions!$D$24*12-N158</f>
        <v>400.99568881728692</v>
      </c>
      <c r="Q158" s="48"/>
      <c r="R158" s="40">
        <f t="shared" si="27"/>
        <v>7350</v>
      </c>
      <c r="S158" s="40">
        <f>-PMT(Assumptions!E$25/12,Assumptions!E$24*12,$R$8)*$C158/100</f>
        <v>77.958153700720288</v>
      </c>
      <c r="T158" s="40">
        <f>S158*Assumptions!$E$24*12-R158</f>
        <v>2004.978444086435</v>
      </c>
      <c r="U158" s="48"/>
      <c r="V158" s="40">
        <f t="shared" si="28"/>
        <v>0</v>
      </c>
      <c r="W158" s="40" t="e">
        <f>-PMT(Assumptions!F$25/12,Assumptions!F$24*12,$V$8)*$C158/100</f>
        <v>#NUM!</v>
      </c>
      <c r="X158" s="40" t="e">
        <f>W158*Assumptions!$F$24*12-V158</f>
        <v>#NUM!</v>
      </c>
      <c r="Y158" s="43"/>
      <c r="Z158" s="40">
        <f t="shared" si="29"/>
        <v>0</v>
      </c>
      <c r="AA158" s="50" t="e">
        <f>-PMT(Assumptions!G$25/12,Assumptions!G$24*12,$Z$8)*$C158/100</f>
        <v>#NUM!</v>
      </c>
      <c r="AB158" s="44" t="e">
        <f>AA158*Assumptions!$G$24*12-Z158</f>
        <v>#NUM!</v>
      </c>
      <c r="AD158" s="54">
        <f t="shared" si="30"/>
        <v>0</v>
      </c>
      <c r="AE158" s="54">
        <f t="shared" si="31"/>
        <v>0</v>
      </c>
      <c r="AF158" s="54">
        <f t="shared" si="32"/>
        <v>1470</v>
      </c>
      <c r="AG158" s="54">
        <f t="shared" si="33"/>
        <v>7350</v>
      </c>
      <c r="AH158" s="54">
        <f t="shared" si="34"/>
        <v>0</v>
      </c>
      <c r="AI158" s="54">
        <f t="shared" si="35"/>
        <v>0</v>
      </c>
    </row>
    <row r="159" spans="1:35" ht="15" x14ac:dyDescent="0.2">
      <c r="A159" s="56" t="s">
        <v>254</v>
      </c>
      <c r="B159" s="32"/>
      <c r="C159" s="56">
        <v>0.156</v>
      </c>
      <c r="D159" s="56">
        <v>244.94</v>
      </c>
      <c r="E159" s="36"/>
      <c r="F159" s="40">
        <f t="shared" si="24"/>
        <v>0</v>
      </c>
      <c r="G159" s="40" t="e">
        <f>-PMT(Assumptions!B$25/12,Assumptions!B$24*12,F$8)*C159/100</f>
        <v>#NUM!</v>
      </c>
      <c r="H159" s="40" t="e">
        <f>G159*Assumptions!$B$24*12-F159</f>
        <v>#NUM!</v>
      </c>
      <c r="I159" s="48"/>
      <c r="J159" s="40">
        <f t="shared" si="25"/>
        <v>0</v>
      </c>
      <c r="K159" s="40" t="e">
        <f>-PMT(Assumptions!C$25/12,Assumptions!C$24*12,J$8)*C159/100</f>
        <v>#NUM!</v>
      </c>
      <c r="L159" s="40" t="e">
        <f>K159*Assumptions!$C$24*12-J159</f>
        <v>#NUM!</v>
      </c>
      <c r="M159" s="43"/>
      <c r="N159" s="40">
        <f t="shared" si="26"/>
        <v>1560</v>
      </c>
      <c r="O159" s="50">
        <f>-PMT(Assumptions!D$25/12,Assumptions!D$24*12,N$8)*C159/100</f>
        <v>16.546220377295736</v>
      </c>
      <c r="P159" s="44">
        <f>O159*Assumptions!$D$24*12-N159</f>
        <v>425.5464452754884</v>
      </c>
      <c r="Q159" s="48"/>
      <c r="R159" s="40">
        <f t="shared" si="27"/>
        <v>7800</v>
      </c>
      <c r="S159" s="40">
        <f>-PMT(Assumptions!E$25/12,Assumptions!E$24*12,$R$8)*$C159/100</f>
        <v>82.731101886478683</v>
      </c>
      <c r="T159" s="40">
        <f>S159*Assumptions!$E$24*12-R159</f>
        <v>2127.7322263774404</v>
      </c>
      <c r="U159" s="48"/>
      <c r="V159" s="40">
        <f t="shared" si="28"/>
        <v>0</v>
      </c>
      <c r="W159" s="40" t="e">
        <f>-PMT(Assumptions!F$25/12,Assumptions!F$24*12,$V$8)*$C159/100</f>
        <v>#NUM!</v>
      </c>
      <c r="X159" s="40" t="e">
        <f>W159*Assumptions!$F$24*12-V159</f>
        <v>#NUM!</v>
      </c>
      <c r="Y159" s="43"/>
      <c r="Z159" s="40">
        <f t="shared" si="29"/>
        <v>0</v>
      </c>
      <c r="AA159" s="50" t="e">
        <f>-PMT(Assumptions!G$25/12,Assumptions!G$24*12,$Z$8)*$C159/100</f>
        <v>#NUM!</v>
      </c>
      <c r="AB159" s="44" t="e">
        <f>AA159*Assumptions!$G$24*12-Z159</f>
        <v>#NUM!</v>
      </c>
      <c r="AD159" s="54">
        <f t="shared" si="30"/>
        <v>0</v>
      </c>
      <c r="AE159" s="54">
        <f t="shared" si="31"/>
        <v>0</v>
      </c>
      <c r="AF159" s="54">
        <f t="shared" si="32"/>
        <v>1560</v>
      </c>
      <c r="AG159" s="54">
        <f t="shared" si="33"/>
        <v>7800</v>
      </c>
      <c r="AH159" s="54">
        <f t="shared" si="34"/>
        <v>0</v>
      </c>
      <c r="AI159" s="54">
        <f t="shared" si="35"/>
        <v>0</v>
      </c>
    </row>
    <row r="160" spans="1:35" ht="15" x14ac:dyDescent="0.2">
      <c r="A160" s="56" t="s">
        <v>255</v>
      </c>
      <c r="B160" s="32"/>
      <c r="C160" s="56">
        <v>0.219</v>
      </c>
      <c r="D160" s="56">
        <v>343.85</v>
      </c>
      <c r="E160" s="36"/>
      <c r="F160" s="40">
        <f t="shared" si="24"/>
        <v>0</v>
      </c>
      <c r="G160" s="40" t="e">
        <f>-PMT(Assumptions!B$25/12,Assumptions!B$24*12,F$8)*C160/100</f>
        <v>#NUM!</v>
      </c>
      <c r="H160" s="40" t="e">
        <f>G160*Assumptions!$B$24*12-F160</f>
        <v>#NUM!</v>
      </c>
      <c r="I160" s="48"/>
      <c r="J160" s="40">
        <f t="shared" si="25"/>
        <v>0</v>
      </c>
      <c r="K160" s="40" t="e">
        <f>-PMT(Assumptions!C$25/12,Assumptions!C$24*12,J$8)*C160/100</f>
        <v>#NUM!</v>
      </c>
      <c r="L160" s="40" t="e">
        <f>K160*Assumptions!$C$24*12-J160</f>
        <v>#NUM!</v>
      </c>
      <c r="M160" s="43"/>
      <c r="N160" s="40">
        <f t="shared" si="26"/>
        <v>2190</v>
      </c>
      <c r="O160" s="50">
        <f>-PMT(Assumptions!D$25/12,Assumptions!D$24*12,N$8)*C160/100</f>
        <v>23.228347837357475</v>
      </c>
      <c r="P160" s="44">
        <f>O160*Assumptions!$D$24*12-N160</f>
        <v>597.40174048289691</v>
      </c>
      <c r="Q160" s="48"/>
      <c r="R160" s="40">
        <f t="shared" si="27"/>
        <v>10950</v>
      </c>
      <c r="S160" s="40">
        <f>-PMT(Assumptions!E$25/12,Assumptions!E$24*12,$R$8)*$C160/100</f>
        <v>116.14173918678738</v>
      </c>
      <c r="T160" s="40">
        <f>S160*Assumptions!$E$24*12-R160</f>
        <v>2987.008702414485</v>
      </c>
      <c r="U160" s="48"/>
      <c r="V160" s="40">
        <f t="shared" si="28"/>
        <v>0</v>
      </c>
      <c r="W160" s="40" t="e">
        <f>-PMT(Assumptions!F$25/12,Assumptions!F$24*12,$V$8)*$C160/100</f>
        <v>#NUM!</v>
      </c>
      <c r="X160" s="40" t="e">
        <f>W160*Assumptions!$F$24*12-V160</f>
        <v>#NUM!</v>
      </c>
      <c r="Y160" s="43"/>
      <c r="Z160" s="40">
        <f t="shared" si="29"/>
        <v>0</v>
      </c>
      <c r="AA160" s="50" t="e">
        <f>-PMT(Assumptions!G$25/12,Assumptions!G$24*12,$Z$8)*$C160/100</f>
        <v>#NUM!</v>
      </c>
      <c r="AB160" s="44" t="e">
        <f>AA160*Assumptions!$G$24*12-Z160</f>
        <v>#NUM!</v>
      </c>
      <c r="AD160" s="54">
        <f t="shared" si="30"/>
        <v>0</v>
      </c>
      <c r="AE160" s="54">
        <f t="shared" si="31"/>
        <v>0</v>
      </c>
      <c r="AF160" s="54">
        <f t="shared" si="32"/>
        <v>2190</v>
      </c>
      <c r="AG160" s="54">
        <f t="shared" si="33"/>
        <v>10950</v>
      </c>
      <c r="AH160" s="54">
        <f t="shared" si="34"/>
        <v>0</v>
      </c>
      <c r="AI160" s="54">
        <f t="shared" si="35"/>
        <v>0</v>
      </c>
    </row>
    <row r="161" spans="1:35" ht="15" x14ac:dyDescent="0.2">
      <c r="A161" s="56" t="s">
        <v>256</v>
      </c>
      <c r="B161" s="32"/>
      <c r="C161" s="56">
        <v>0.22700000000000001</v>
      </c>
      <c r="D161" s="56">
        <v>356.41</v>
      </c>
      <c r="E161" s="36"/>
      <c r="F161" s="40">
        <f t="shared" si="24"/>
        <v>0</v>
      </c>
      <c r="G161" s="40" t="e">
        <f>-PMT(Assumptions!B$25/12,Assumptions!B$24*12,F$8)*C161/100</f>
        <v>#NUM!</v>
      </c>
      <c r="H161" s="40" t="e">
        <f>G161*Assumptions!$B$24*12-F161</f>
        <v>#NUM!</v>
      </c>
      <c r="I161" s="48"/>
      <c r="J161" s="40">
        <f t="shared" si="25"/>
        <v>0</v>
      </c>
      <c r="K161" s="40" t="e">
        <f>-PMT(Assumptions!C$25/12,Assumptions!C$24*12,J$8)*C161/100</f>
        <v>#NUM!</v>
      </c>
      <c r="L161" s="40" t="e">
        <f>K161*Assumptions!$C$24*12-J161</f>
        <v>#NUM!</v>
      </c>
      <c r="M161" s="43"/>
      <c r="N161" s="40">
        <f t="shared" si="26"/>
        <v>2270</v>
      </c>
      <c r="O161" s="50">
        <f>-PMT(Assumptions!D$25/12,Assumptions!D$24*12,N$8)*C161/100</f>
        <v>24.076871959270079</v>
      </c>
      <c r="P161" s="44">
        <f>O161*Assumptions!$D$24*12-N161</f>
        <v>619.22463511240949</v>
      </c>
      <c r="Q161" s="48"/>
      <c r="R161" s="40">
        <f t="shared" si="27"/>
        <v>11350</v>
      </c>
      <c r="S161" s="40">
        <f>-PMT(Assumptions!E$25/12,Assumptions!E$24*12,$R$8)*$C161/100</f>
        <v>120.3843597963504</v>
      </c>
      <c r="T161" s="40">
        <f>S161*Assumptions!$E$24*12-R161</f>
        <v>3096.1231755620465</v>
      </c>
      <c r="U161" s="48"/>
      <c r="V161" s="40">
        <f t="shared" si="28"/>
        <v>0</v>
      </c>
      <c r="W161" s="40" t="e">
        <f>-PMT(Assumptions!F$25/12,Assumptions!F$24*12,$V$8)*$C161/100</f>
        <v>#NUM!</v>
      </c>
      <c r="X161" s="40" t="e">
        <f>W161*Assumptions!$F$24*12-V161</f>
        <v>#NUM!</v>
      </c>
      <c r="Y161" s="43"/>
      <c r="Z161" s="40">
        <f t="shared" si="29"/>
        <v>0</v>
      </c>
      <c r="AA161" s="50" t="e">
        <f>-PMT(Assumptions!G$25/12,Assumptions!G$24*12,$Z$8)*$C161/100</f>
        <v>#NUM!</v>
      </c>
      <c r="AB161" s="44" t="e">
        <f>AA161*Assumptions!$G$24*12-Z161</f>
        <v>#NUM!</v>
      </c>
      <c r="AD161" s="54">
        <f t="shared" si="30"/>
        <v>0</v>
      </c>
      <c r="AE161" s="54">
        <f t="shared" si="31"/>
        <v>0</v>
      </c>
      <c r="AF161" s="54">
        <f t="shared" si="32"/>
        <v>2270</v>
      </c>
      <c r="AG161" s="54">
        <f t="shared" si="33"/>
        <v>11350</v>
      </c>
      <c r="AH161" s="54">
        <f t="shared" si="34"/>
        <v>0</v>
      </c>
      <c r="AI161" s="54">
        <f t="shared" si="35"/>
        <v>0</v>
      </c>
    </row>
    <row r="162" spans="1:35" ht="15" x14ac:dyDescent="0.2">
      <c r="A162" s="56" t="s">
        <v>257</v>
      </c>
      <c r="B162" s="32"/>
      <c r="C162" s="56">
        <v>0.20599999999999999</v>
      </c>
      <c r="D162" s="56">
        <v>323.44</v>
      </c>
      <c r="E162" s="36"/>
      <c r="F162" s="40">
        <f t="shared" si="24"/>
        <v>0</v>
      </c>
      <c r="G162" s="40" t="e">
        <f>-PMT(Assumptions!B$25/12,Assumptions!B$24*12,F$8)*C162/100</f>
        <v>#NUM!</v>
      </c>
      <c r="H162" s="40" t="e">
        <f>G162*Assumptions!$B$24*12-F162</f>
        <v>#NUM!</v>
      </c>
      <c r="I162" s="48"/>
      <c r="J162" s="40">
        <f t="shared" si="25"/>
        <v>0</v>
      </c>
      <c r="K162" s="40" t="e">
        <f>-PMT(Assumptions!C$25/12,Assumptions!C$24*12,J$8)*C162/100</f>
        <v>#NUM!</v>
      </c>
      <c r="L162" s="40" t="e">
        <f>K162*Assumptions!$C$24*12-J162</f>
        <v>#NUM!</v>
      </c>
      <c r="M162" s="43"/>
      <c r="N162" s="40">
        <f t="shared" si="26"/>
        <v>2060</v>
      </c>
      <c r="O162" s="50">
        <f>-PMT(Assumptions!D$25/12,Assumptions!D$24*12,N$8)*C162/100</f>
        <v>21.849496139249496</v>
      </c>
      <c r="P162" s="44">
        <f>O162*Assumptions!$D$24*12-N162</f>
        <v>561.9395367099396</v>
      </c>
      <c r="Q162" s="48"/>
      <c r="R162" s="40">
        <f t="shared" si="27"/>
        <v>10300</v>
      </c>
      <c r="S162" s="40">
        <f>-PMT(Assumptions!E$25/12,Assumptions!E$24*12,$R$8)*$C162/100</f>
        <v>109.24748069624748</v>
      </c>
      <c r="T162" s="40">
        <f>S162*Assumptions!$E$24*12-R162</f>
        <v>2809.6976835496971</v>
      </c>
      <c r="U162" s="48"/>
      <c r="V162" s="40">
        <f t="shared" si="28"/>
        <v>0</v>
      </c>
      <c r="W162" s="40" t="e">
        <f>-PMT(Assumptions!F$25/12,Assumptions!F$24*12,$V$8)*$C162/100</f>
        <v>#NUM!</v>
      </c>
      <c r="X162" s="40" t="e">
        <f>W162*Assumptions!$F$24*12-V162</f>
        <v>#NUM!</v>
      </c>
      <c r="Y162" s="43"/>
      <c r="Z162" s="40">
        <f t="shared" si="29"/>
        <v>0</v>
      </c>
      <c r="AA162" s="50" t="e">
        <f>-PMT(Assumptions!G$25/12,Assumptions!G$24*12,$Z$8)*$C162/100</f>
        <v>#NUM!</v>
      </c>
      <c r="AB162" s="44" t="e">
        <f>AA162*Assumptions!$G$24*12-Z162</f>
        <v>#NUM!</v>
      </c>
      <c r="AD162" s="54">
        <f t="shared" si="30"/>
        <v>0</v>
      </c>
      <c r="AE162" s="54">
        <f t="shared" si="31"/>
        <v>0</v>
      </c>
      <c r="AF162" s="54">
        <f t="shared" si="32"/>
        <v>2060</v>
      </c>
      <c r="AG162" s="54">
        <f t="shared" si="33"/>
        <v>10300</v>
      </c>
      <c r="AH162" s="54">
        <f t="shared" si="34"/>
        <v>0</v>
      </c>
      <c r="AI162" s="54">
        <f t="shared" si="35"/>
        <v>0</v>
      </c>
    </row>
    <row r="163" spans="1:35" ht="15" x14ac:dyDescent="0.2">
      <c r="A163" s="56" t="s">
        <v>258</v>
      </c>
      <c r="B163" s="32"/>
      <c r="C163" s="56">
        <v>0.20599999999999999</v>
      </c>
      <c r="D163" s="56">
        <v>323.44</v>
      </c>
      <c r="E163" s="36"/>
      <c r="F163" s="40">
        <f t="shared" si="24"/>
        <v>0</v>
      </c>
      <c r="G163" s="40" t="e">
        <f>-PMT(Assumptions!B$25/12,Assumptions!B$24*12,F$8)*C163/100</f>
        <v>#NUM!</v>
      </c>
      <c r="H163" s="40" t="e">
        <f>G163*Assumptions!$B$24*12-F163</f>
        <v>#NUM!</v>
      </c>
      <c r="I163" s="48"/>
      <c r="J163" s="40">
        <f t="shared" si="25"/>
        <v>0</v>
      </c>
      <c r="K163" s="40" t="e">
        <f>-PMT(Assumptions!C$25/12,Assumptions!C$24*12,J$8)*C163/100</f>
        <v>#NUM!</v>
      </c>
      <c r="L163" s="40" t="e">
        <f>K163*Assumptions!$C$24*12-J163</f>
        <v>#NUM!</v>
      </c>
      <c r="M163" s="43"/>
      <c r="N163" s="40">
        <f t="shared" si="26"/>
        <v>2060</v>
      </c>
      <c r="O163" s="50">
        <f>-PMT(Assumptions!D$25/12,Assumptions!D$24*12,N$8)*C163/100</f>
        <v>21.849496139249496</v>
      </c>
      <c r="P163" s="44">
        <f>O163*Assumptions!$D$24*12-N163</f>
        <v>561.9395367099396</v>
      </c>
      <c r="Q163" s="48"/>
      <c r="R163" s="40">
        <f t="shared" si="27"/>
        <v>10300</v>
      </c>
      <c r="S163" s="40">
        <f>-PMT(Assumptions!E$25/12,Assumptions!E$24*12,$R$8)*$C163/100</f>
        <v>109.24748069624748</v>
      </c>
      <c r="T163" s="40">
        <f>S163*Assumptions!$E$24*12-R163</f>
        <v>2809.6976835496971</v>
      </c>
      <c r="U163" s="48"/>
      <c r="V163" s="40">
        <f t="shared" si="28"/>
        <v>0</v>
      </c>
      <c r="W163" s="40" t="e">
        <f>-PMT(Assumptions!F$25/12,Assumptions!F$24*12,$V$8)*$C163/100</f>
        <v>#NUM!</v>
      </c>
      <c r="X163" s="40" t="e">
        <f>W163*Assumptions!$F$24*12-V163</f>
        <v>#NUM!</v>
      </c>
      <c r="Y163" s="43"/>
      <c r="Z163" s="40">
        <f t="shared" si="29"/>
        <v>0</v>
      </c>
      <c r="AA163" s="50" t="e">
        <f>-PMT(Assumptions!G$25/12,Assumptions!G$24*12,$Z$8)*$C163/100</f>
        <v>#NUM!</v>
      </c>
      <c r="AB163" s="44" t="e">
        <f>AA163*Assumptions!$G$24*12-Z163</f>
        <v>#NUM!</v>
      </c>
      <c r="AD163" s="54">
        <f t="shared" si="30"/>
        <v>0</v>
      </c>
      <c r="AE163" s="54">
        <f t="shared" si="31"/>
        <v>0</v>
      </c>
      <c r="AF163" s="54">
        <f t="shared" si="32"/>
        <v>2060</v>
      </c>
      <c r="AG163" s="54">
        <f t="shared" si="33"/>
        <v>10300</v>
      </c>
      <c r="AH163" s="54">
        <f t="shared" si="34"/>
        <v>0</v>
      </c>
      <c r="AI163" s="54">
        <f t="shared" si="35"/>
        <v>0</v>
      </c>
    </row>
    <row r="164" spans="1:35" ht="15" x14ac:dyDescent="0.2">
      <c r="A164" s="56" t="s">
        <v>259</v>
      </c>
      <c r="B164" s="32"/>
      <c r="C164" s="56">
        <v>0.28399999999999997</v>
      </c>
      <c r="D164" s="56">
        <v>445.91</v>
      </c>
      <c r="E164" s="36"/>
      <c r="F164" s="40">
        <f t="shared" si="24"/>
        <v>0</v>
      </c>
      <c r="G164" s="40" t="e">
        <f>-PMT(Assumptions!B$25/12,Assumptions!B$24*12,F$8)*C164/100</f>
        <v>#NUM!</v>
      </c>
      <c r="H164" s="40" t="e">
        <f>G164*Assumptions!$B$24*12-F164</f>
        <v>#NUM!</v>
      </c>
      <c r="I164" s="48"/>
      <c r="J164" s="40">
        <f t="shared" si="25"/>
        <v>0</v>
      </c>
      <c r="K164" s="40" t="e">
        <f>-PMT(Assumptions!C$25/12,Assumptions!C$24*12,J$8)*C164/100</f>
        <v>#NUM!</v>
      </c>
      <c r="L164" s="40" t="e">
        <f>K164*Assumptions!$C$24*12-J164</f>
        <v>#NUM!</v>
      </c>
      <c r="M164" s="43"/>
      <c r="N164" s="40">
        <f t="shared" si="26"/>
        <v>2840</v>
      </c>
      <c r="O164" s="50">
        <f>-PMT(Assumptions!D$25/12,Assumptions!D$24*12,N$8)*C164/100</f>
        <v>30.122606327897362</v>
      </c>
      <c r="P164" s="44">
        <f>O164*Assumptions!$D$24*12-N164</f>
        <v>774.71275934768346</v>
      </c>
      <c r="Q164" s="48"/>
      <c r="R164" s="40">
        <f t="shared" si="27"/>
        <v>14199.999999999998</v>
      </c>
      <c r="S164" s="40">
        <f>-PMT(Assumptions!E$25/12,Assumptions!E$24*12,$R$8)*$C164/100</f>
        <v>150.61303163948682</v>
      </c>
      <c r="T164" s="40">
        <f>S164*Assumptions!$E$24*12-R164</f>
        <v>3873.5637967384191</v>
      </c>
      <c r="U164" s="48"/>
      <c r="V164" s="40">
        <f t="shared" si="28"/>
        <v>0</v>
      </c>
      <c r="W164" s="40" t="e">
        <f>-PMT(Assumptions!F$25/12,Assumptions!F$24*12,$V$8)*$C164/100</f>
        <v>#NUM!</v>
      </c>
      <c r="X164" s="40" t="e">
        <f>W164*Assumptions!$F$24*12-V164</f>
        <v>#NUM!</v>
      </c>
      <c r="Y164" s="43"/>
      <c r="Z164" s="40">
        <f t="shared" si="29"/>
        <v>0</v>
      </c>
      <c r="AA164" s="50" t="e">
        <f>-PMT(Assumptions!G$25/12,Assumptions!G$24*12,$Z$8)*$C164/100</f>
        <v>#NUM!</v>
      </c>
      <c r="AB164" s="44" t="e">
        <f>AA164*Assumptions!$G$24*12-Z164</f>
        <v>#NUM!</v>
      </c>
      <c r="AD164" s="54">
        <f t="shared" si="30"/>
        <v>0</v>
      </c>
      <c r="AE164" s="54">
        <f t="shared" si="31"/>
        <v>0</v>
      </c>
      <c r="AF164" s="54">
        <f t="shared" si="32"/>
        <v>2840</v>
      </c>
      <c r="AG164" s="54">
        <f t="shared" si="33"/>
        <v>14199.999999999998</v>
      </c>
      <c r="AH164" s="54">
        <f t="shared" si="34"/>
        <v>0</v>
      </c>
      <c r="AI164" s="54">
        <f t="shared" si="35"/>
        <v>0</v>
      </c>
    </row>
    <row r="165" spans="1:35" ht="15" x14ac:dyDescent="0.2">
      <c r="A165" s="56" t="s">
        <v>260</v>
      </c>
      <c r="B165" s="32"/>
      <c r="C165" s="56">
        <v>0.28399999999999997</v>
      </c>
      <c r="D165" s="56">
        <v>445.91</v>
      </c>
      <c r="E165" s="36"/>
      <c r="F165" s="40">
        <f t="shared" si="24"/>
        <v>0</v>
      </c>
      <c r="G165" s="40" t="e">
        <f>-PMT(Assumptions!B$25/12,Assumptions!B$24*12,F$8)*C165/100</f>
        <v>#NUM!</v>
      </c>
      <c r="H165" s="40" t="e">
        <f>G165*Assumptions!$B$24*12-F165</f>
        <v>#NUM!</v>
      </c>
      <c r="I165" s="48"/>
      <c r="J165" s="40">
        <f t="shared" si="25"/>
        <v>0</v>
      </c>
      <c r="K165" s="40" t="e">
        <f>-PMT(Assumptions!C$25/12,Assumptions!C$24*12,J$8)*C165/100</f>
        <v>#NUM!</v>
      </c>
      <c r="L165" s="40" t="e">
        <f>K165*Assumptions!$C$24*12-J165</f>
        <v>#NUM!</v>
      </c>
      <c r="M165" s="43"/>
      <c r="N165" s="40">
        <f t="shared" si="26"/>
        <v>2840</v>
      </c>
      <c r="O165" s="50">
        <f>-PMT(Assumptions!D$25/12,Assumptions!D$24*12,N$8)*C165/100</f>
        <v>30.122606327897362</v>
      </c>
      <c r="P165" s="44">
        <f>O165*Assumptions!$D$24*12-N165</f>
        <v>774.71275934768346</v>
      </c>
      <c r="Q165" s="48"/>
      <c r="R165" s="40">
        <f t="shared" si="27"/>
        <v>14199.999999999998</v>
      </c>
      <c r="S165" s="40">
        <f>-PMT(Assumptions!E$25/12,Assumptions!E$24*12,$R$8)*$C165/100</f>
        <v>150.61303163948682</v>
      </c>
      <c r="T165" s="40">
        <f>S165*Assumptions!$E$24*12-R165</f>
        <v>3873.5637967384191</v>
      </c>
      <c r="U165" s="48"/>
      <c r="V165" s="40">
        <f t="shared" si="28"/>
        <v>0</v>
      </c>
      <c r="W165" s="40" t="e">
        <f>-PMT(Assumptions!F$25/12,Assumptions!F$24*12,$V$8)*$C165/100</f>
        <v>#NUM!</v>
      </c>
      <c r="X165" s="40" t="e">
        <f>W165*Assumptions!$F$24*12-V165</f>
        <v>#NUM!</v>
      </c>
      <c r="Y165" s="43"/>
      <c r="Z165" s="40">
        <f t="shared" si="29"/>
        <v>0</v>
      </c>
      <c r="AA165" s="50" t="e">
        <f>-PMT(Assumptions!G$25/12,Assumptions!G$24*12,$Z$8)*$C165/100</f>
        <v>#NUM!</v>
      </c>
      <c r="AB165" s="44" t="e">
        <f>AA165*Assumptions!$G$24*12-Z165</f>
        <v>#NUM!</v>
      </c>
      <c r="AD165" s="54">
        <f t="shared" si="30"/>
        <v>0</v>
      </c>
      <c r="AE165" s="54">
        <f t="shared" si="31"/>
        <v>0</v>
      </c>
      <c r="AF165" s="54">
        <f t="shared" si="32"/>
        <v>2840</v>
      </c>
      <c r="AG165" s="54">
        <f t="shared" si="33"/>
        <v>14199.999999999998</v>
      </c>
      <c r="AH165" s="54">
        <f t="shared" si="34"/>
        <v>0</v>
      </c>
      <c r="AI165" s="54">
        <f t="shared" si="35"/>
        <v>0</v>
      </c>
    </row>
    <row r="166" spans="1:35" ht="15" x14ac:dyDescent="0.2">
      <c r="A166" s="56" t="s">
        <v>261</v>
      </c>
      <c r="B166" s="32"/>
      <c r="C166" s="56">
        <v>0.30099999999999999</v>
      </c>
      <c r="D166" s="56">
        <v>472.6</v>
      </c>
      <c r="E166" s="36"/>
      <c r="F166" s="40">
        <f t="shared" si="24"/>
        <v>0</v>
      </c>
      <c r="G166" s="40" t="e">
        <f>-PMT(Assumptions!B$25/12,Assumptions!B$24*12,F$8)*C166/100</f>
        <v>#NUM!</v>
      </c>
      <c r="H166" s="40" t="e">
        <f>G166*Assumptions!$B$24*12-F166</f>
        <v>#NUM!</v>
      </c>
      <c r="I166" s="48"/>
      <c r="J166" s="40">
        <f t="shared" si="25"/>
        <v>0</v>
      </c>
      <c r="K166" s="40" t="e">
        <f>-PMT(Assumptions!C$25/12,Assumptions!C$24*12,J$8)*C166/100</f>
        <v>#NUM!</v>
      </c>
      <c r="L166" s="40" t="e">
        <f>K166*Assumptions!$C$24*12-J166</f>
        <v>#NUM!</v>
      </c>
      <c r="M166" s="43"/>
      <c r="N166" s="40">
        <f t="shared" si="26"/>
        <v>3010</v>
      </c>
      <c r="O166" s="50">
        <f>-PMT(Assumptions!D$25/12,Assumptions!D$24*12,N$8)*C166/100</f>
        <v>31.925720086961643</v>
      </c>
      <c r="P166" s="44">
        <f>O166*Assumptions!$D$24*12-N166</f>
        <v>821.08641043539728</v>
      </c>
      <c r="Q166" s="48"/>
      <c r="R166" s="40">
        <f t="shared" si="27"/>
        <v>15050</v>
      </c>
      <c r="S166" s="40">
        <f>-PMT(Assumptions!E$25/12,Assumptions!E$24*12,$R$8)*$C166/100</f>
        <v>159.62860043480822</v>
      </c>
      <c r="T166" s="40">
        <f>S166*Assumptions!$E$24*12-R166</f>
        <v>4105.4320521769878</v>
      </c>
      <c r="U166" s="48"/>
      <c r="V166" s="40">
        <f t="shared" si="28"/>
        <v>0</v>
      </c>
      <c r="W166" s="40" t="e">
        <f>-PMT(Assumptions!F$25/12,Assumptions!F$24*12,$V$8)*$C166/100</f>
        <v>#NUM!</v>
      </c>
      <c r="X166" s="40" t="e">
        <f>W166*Assumptions!$F$24*12-V166</f>
        <v>#NUM!</v>
      </c>
      <c r="Y166" s="43"/>
      <c r="Z166" s="40">
        <f t="shared" si="29"/>
        <v>0</v>
      </c>
      <c r="AA166" s="50" t="e">
        <f>-PMT(Assumptions!G$25/12,Assumptions!G$24*12,$Z$8)*$C166/100</f>
        <v>#NUM!</v>
      </c>
      <c r="AB166" s="44" t="e">
        <f>AA166*Assumptions!$G$24*12-Z166</f>
        <v>#NUM!</v>
      </c>
      <c r="AD166" s="54">
        <f t="shared" si="30"/>
        <v>0</v>
      </c>
      <c r="AE166" s="54">
        <f t="shared" si="31"/>
        <v>0</v>
      </c>
      <c r="AF166" s="54">
        <f t="shared" si="32"/>
        <v>3010</v>
      </c>
      <c r="AG166" s="54">
        <f t="shared" si="33"/>
        <v>15050</v>
      </c>
      <c r="AH166" s="54">
        <f t="shared" si="34"/>
        <v>0</v>
      </c>
      <c r="AI166" s="54">
        <f t="shared" si="35"/>
        <v>0</v>
      </c>
    </row>
    <row r="167" spans="1:35" ht="15" x14ac:dyDescent="0.2">
      <c r="A167" s="56" t="s">
        <v>262</v>
      </c>
      <c r="B167" s="32"/>
      <c r="C167" s="56">
        <v>0.30099999999999999</v>
      </c>
      <c r="D167" s="56">
        <v>472.6</v>
      </c>
      <c r="E167" s="36"/>
      <c r="F167" s="40">
        <f t="shared" si="24"/>
        <v>0</v>
      </c>
      <c r="G167" s="40" t="e">
        <f>-PMT(Assumptions!B$25/12,Assumptions!B$24*12,F$8)*C167/100</f>
        <v>#NUM!</v>
      </c>
      <c r="H167" s="40" t="e">
        <f>G167*Assumptions!$B$24*12-F167</f>
        <v>#NUM!</v>
      </c>
      <c r="I167" s="48"/>
      <c r="J167" s="40">
        <f t="shared" si="25"/>
        <v>0</v>
      </c>
      <c r="K167" s="40" t="e">
        <f>-PMT(Assumptions!C$25/12,Assumptions!C$24*12,J$8)*C167/100</f>
        <v>#NUM!</v>
      </c>
      <c r="L167" s="40" t="e">
        <f>K167*Assumptions!$C$24*12-J167</f>
        <v>#NUM!</v>
      </c>
      <c r="M167" s="43"/>
      <c r="N167" s="40">
        <f t="shared" si="26"/>
        <v>3010</v>
      </c>
      <c r="O167" s="50">
        <f>-PMT(Assumptions!D$25/12,Assumptions!D$24*12,N$8)*C167/100</f>
        <v>31.925720086961643</v>
      </c>
      <c r="P167" s="44">
        <f>O167*Assumptions!$D$24*12-N167</f>
        <v>821.08641043539728</v>
      </c>
      <c r="Q167" s="48"/>
      <c r="R167" s="40">
        <f t="shared" si="27"/>
        <v>15050</v>
      </c>
      <c r="S167" s="40">
        <f>-PMT(Assumptions!E$25/12,Assumptions!E$24*12,$R$8)*$C167/100</f>
        <v>159.62860043480822</v>
      </c>
      <c r="T167" s="40">
        <f>S167*Assumptions!$E$24*12-R167</f>
        <v>4105.4320521769878</v>
      </c>
      <c r="U167" s="48"/>
      <c r="V167" s="40">
        <f t="shared" si="28"/>
        <v>0</v>
      </c>
      <c r="W167" s="40" t="e">
        <f>-PMT(Assumptions!F$25/12,Assumptions!F$24*12,$V$8)*$C167/100</f>
        <v>#NUM!</v>
      </c>
      <c r="X167" s="40" t="e">
        <f>W167*Assumptions!$F$24*12-V167</f>
        <v>#NUM!</v>
      </c>
      <c r="Y167" s="43"/>
      <c r="Z167" s="40">
        <f t="shared" si="29"/>
        <v>0</v>
      </c>
      <c r="AA167" s="50" t="e">
        <f>-PMT(Assumptions!G$25/12,Assumptions!G$24*12,$Z$8)*$C167/100</f>
        <v>#NUM!</v>
      </c>
      <c r="AB167" s="44" t="e">
        <f>AA167*Assumptions!$G$24*12-Z167</f>
        <v>#NUM!</v>
      </c>
      <c r="AD167" s="54">
        <f t="shared" si="30"/>
        <v>0</v>
      </c>
      <c r="AE167" s="54">
        <f t="shared" si="31"/>
        <v>0</v>
      </c>
      <c r="AF167" s="54">
        <f t="shared" si="32"/>
        <v>3010</v>
      </c>
      <c r="AG167" s="54">
        <f t="shared" si="33"/>
        <v>15050</v>
      </c>
      <c r="AH167" s="54">
        <f t="shared" si="34"/>
        <v>0</v>
      </c>
      <c r="AI167" s="54">
        <f t="shared" si="35"/>
        <v>0</v>
      </c>
    </row>
    <row r="168" spans="1:35" ht="15" x14ac:dyDescent="0.2">
      <c r="A168" s="56" t="s">
        <v>263</v>
      </c>
      <c r="B168" s="32"/>
      <c r="C168" s="56">
        <v>0.20799999999999999</v>
      </c>
      <c r="D168" s="56">
        <v>326.58</v>
      </c>
      <c r="E168" s="36"/>
      <c r="F168" s="40">
        <f t="shared" si="24"/>
        <v>0</v>
      </c>
      <c r="G168" s="40" t="e">
        <f>-PMT(Assumptions!B$25/12,Assumptions!B$24*12,F$8)*C168/100</f>
        <v>#NUM!</v>
      </c>
      <c r="H168" s="40" t="e">
        <f>G168*Assumptions!$B$24*12-F168</f>
        <v>#NUM!</v>
      </c>
      <c r="I168" s="48"/>
      <c r="J168" s="40">
        <f t="shared" si="25"/>
        <v>0</v>
      </c>
      <c r="K168" s="40" t="e">
        <f>-PMT(Assumptions!C$25/12,Assumptions!C$24*12,J$8)*C168/100</f>
        <v>#NUM!</v>
      </c>
      <c r="L168" s="40" t="e">
        <f>K168*Assumptions!$C$24*12-J168</f>
        <v>#NUM!</v>
      </c>
      <c r="M168" s="43"/>
      <c r="N168" s="40">
        <f t="shared" si="26"/>
        <v>2080</v>
      </c>
      <c r="O168" s="50">
        <f>-PMT(Assumptions!D$25/12,Assumptions!D$24*12,N$8)*C168/100</f>
        <v>22.06162716972765</v>
      </c>
      <c r="P168" s="44">
        <f>O168*Assumptions!$D$24*12-N168</f>
        <v>567.39526036731786</v>
      </c>
      <c r="Q168" s="48"/>
      <c r="R168" s="40">
        <f t="shared" si="27"/>
        <v>10400</v>
      </c>
      <c r="S168" s="40">
        <f>-PMT(Assumptions!E$25/12,Assumptions!E$24*12,$R$8)*$C168/100</f>
        <v>110.30813584863823</v>
      </c>
      <c r="T168" s="40">
        <f>S168*Assumptions!$E$24*12-R168</f>
        <v>2836.9763018365866</v>
      </c>
      <c r="U168" s="48"/>
      <c r="V168" s="40">
        <f t="shared" si="28"/>
        <v>0</v>
      </c>
      <c r="W168" s="40" t="e">
        <f>-PMT(Assumptions!F$25/12,Assumptions!F$24*12,$V$8)*$C168/100</f>
        <v>#NUM!</v>
      </c>
      <c r="X168" s="40" t="e">
        <f>W168*Assumptions!$F$24*12-V168</f>
        <v>#NUM!</v>
      </c>
      <c r="Y168" s="43"/>
      <c r="Z168" s="40">
        <f t="shared" si="29"/>
        <v>0</v>
      </c>
      <c r="AA168" s="50" t="e">
        <f>-PMT(Assumptions!G$25/12,Assumptions!G$24*12,$Z$8)*$C168/100</f>
        <v>#NUM!</v>
      </c>
      <c r="AB168" s="44" t="e">
        <f>AA168*Assumptions!$G$24*12-Z168</f>
        <v>#NUM!</v>
      </c>
      <c r="AD168" s="54">
        <f t="shared" si="30"/>
        <v>0</v>
      </c>
      <c r="AE168" s="54">
        <f t="shared" si="31"/>
        <v>0</v>
      </c>
      <c r="AF168" s="54">
        <f t="shared" si="32"/>
        <v>2080</v>
      </c>
      <c r="AG168" s="54">
        <f t="shared" si="33"/>
        <v>10400</v>
      </c>
      <c r="AH168" s="54">
        <f t="shared" si="34"/>
        <v>0</v>
      </c>
      <c r="AI168" s="54">
        <f t="shared" si="35"/>
        <v>0</v>
      </c>
    </row>
    <row r="169" spans="1:35" ht="15" x14ac:dyDescent="0.2">
      <c r="A169" s="56" t="s">
        <v>264</v>
      </c>
      <c r="B169" s="32"/>
      <c r="C169" s="56">
        <v>0.20799999999999999</v>
      </c>
      <c r="D169" s="56">
        <v>326.58</v>
      </c>
      <c r="E169" s="36"/>
      <c r="F169" s="40">
        <f t="shared" si="24"/>
        <v>0</v>
      </c>
      <c r="G169" s="40" t="e">
        <f>-PMT(Assumptions!B$25/12,Assumptions!B$24*12,F$8)*C169/100</f>
        <v>#NUM!</v>
      </c>
      <c r="H169" s="40" t="e">
        <f>G169*Assumptions!$B$24*12-F169</f>
        <v>#NUM!</v>
      </c>
      <c r="I169" s="48"/>
      <c r="J169" s="40">
        <f t="shared" si="25"/>
        <v>0</v>
      </c>
      <c r="K169" s="40" t="e">
        <f>-PMT(Assumptions!C$25/12,Assumptions!C$24*12,J$8)*C169/100</f>
        <v>#NUM!</v>
      </c>
      <c r="L169" s="40" t="e">
        <f>K169*Assumptions!$C$24*12-J169</f>
        <v>#NUM!</v>
      </c>
      <c r="M169" s="43"/>
      <c r="N169" s="40">
        <f t="shared" si="26"/>
        <v>2080</v>
      </c>
      <c r="O169" s="50">
        <f>-PMT(Assumptions!D$25/12,Assumptions!D$24*12,N$8)*C169/100</f>
        <v>22.06162716972765</v>
      </c>
      <c r="P169" s="44">
        <f>O169*Assumptions!$D$24*12-N169</f>
        <v>567.39526036731786</v>
      </c>
      <c r="Q169" s="48"/>
      <c r="R169" s="40">
        <f t="shared" si="27"/>
        <v>10400</v>
      </c>
      <c r="S169" s="40">
        <f>-PMT(Assumptions!E$25/12,Assumptions!E$24*12,$R$8)*$C169/100</f>
        <v>110.30813584863823</v>
      </c>
      <c r="T169" s="40">
        <f>S169*Assumptions!$E$24*12-R169</f>
        <v>2836.9763018365866</v>
      </c>
      <c r="U169" s="48"/>
      <c r="V169" s="40">
        <f t="shared" si="28"/>
        <v>0</v>
      </c>
      <c r="W169" s="40" t="e">
        <f>-PMT(Assumptions!F$25/12,Assumptions!F$24*12,$V$8)*$C169/100</f>
        <v>#NUM!</v>
      </c>
      <c r="X169" s="40" t="e">
        <f>W169*Assumptions!$F$24*12-V169</f>
        <v>#NUM!</v>
      </c>
      <c r="Y169" s="43"/>
      <c r="Z169" s="40">
        <f t="shared" si="29"/>
        <v>0</v>
      </c>
      <c r="AA169" s="50" t="e">
        <f>-PMT(Assumptions!G$25/12,Assumptions!G$24*12,$Z$8)*$C169/100</f>
        <v>#NUM!</v>
      </c>
      <c r="AB169" s="44" t="e">
        <f>AA169*Assumptions!$G$24*12-Z169</f>
        <v>#NUM!</v>
      </c>
      <c r="AD169" s="54">
        <f t="shared" si="30"/>
        <v>0</v>
      </c>
      <c r="AE169" s="54">
        <f t="shared" si="31"/>
        <v>0</v>
      </c>
      <c r="AF169" s="54">
        <f t="shared" si="32"/>
        <v>2080</v>
      </c>
      <c r="AG169" s="54">
        <f t="shared" si="33"/>
        <v>10400</v>
      </c>
      <c r="AH169" s="54">
        <f t="shared" si="34"/>
        <v>0</v>
      </c>
      <c r="AI169" s="54">
        <f t="shared" si="35"/>
        <v>0</v>
      </c>
    </row>
    <row r="170" spans="1:35" ht="15" x14ac:dyDescent="0.2">
      <c r="A170" s="56" t="s">
        <v>265</v>
      </c>
      <c r="B170" s="32"/>
      <c r="C170" s="56">
        <v>0.151</v>
      </c>
      <c r="D170" s="56">
        <v>237.09</v>
      </c>
      <c r="E170" s="36"/>
      <c r="F170" s="40">
        <f t="shared" si="24"/>
        <v>0</v>
      </c>
      <c r="G170" s="40" t="e">
        <f>-PMT(Assumptions!B$25/12,Assumptions!B$24*12,F$8)*C170/100</f>
        <v>#NUM!</v>
      </c>
      <c r="H170" s="40" t="e">
        <f>G170*Assumptions!$B$24*12-F170</f>
        <v>#NUM!</v>
      </c>
      <c r="I170" s="48"/>
      <c r="J170" s="40">
        <f t="shared" si="25"/>
        <v>0</v>
      </c>
      <c r="K170" s="40" t="e">
        <f>-PMT(Assumptions!C$25/12,Assumptions!C$24*12,J$8)*C170/100</f>
        <v>#NUM!</v>
      </c>
      <c r="L170" s="40" t="e">
        <f>K170*Assumptions!$C$24*12-J170</f>
        <v>#NUM!</v>
      </c>
      <c r="M170" s="43"/>
      <c r="N170" s="40">
        <f t="shared" si="26"/>
        <v>1510</v>
      </c>
      <c r="O170" s="50">
        <f>-PMT(Assumptions!D$25/12,Assumptions!D$24*12,N$8)*C170/100</f>
        <v>16.015892801100357</v>
      </c>
      <c r="P170" s="44">
        <f>O170*Assumptions!$D$24*12-N170</f>
        <v>411.90713613204298</v>
      </c>
      <c r="Q170" s="48"/>
      <c r="R170" s="40">
        <f t="shared" si="27"/>
        <v>7550</v>
      </c>
      <c r="S170" s="40">
        <f>-PMT(Assumptions!E$25/12,Assumptions!E$24*12,$R$8)*$C170/100</f>
        <v>80.079464005501791</v>
      </c>
      <c r="T170" s="40">
        <f>S170*Assumptions!$E$24*12-R170</f>
        <v>2059.535680660214</v>
      </c>
      <c r="U170" s="48"/>
      <c r="V170" s="40">
        <f t="shared" si="28"/>
        <v>0</v>
      </c>
      <c r="W170" s="40" t="e">
        <f>-PMT(Assumptions!F$25/12,Assumptions!F$24*12,$V$8)*$C170/100</f>
        <v>#NUM!</v>
      </c>
      <c r="X170" s="40" t="e">
        <f>W170*Assumptions!$F$24*12-V170</f>
        <v>#NUM!</v>
      </c>
      <c r="Y170" s="43"/>
      <c r="Z170" s="40">
        <f t="shared" si="29"/>
        <v>0</v>
      </c>
      <c r="AA170" s="50" t="e">
        <f>-PMT(Assumptions!G$25/12,Assumptions!G$24*12,$Z$8)*$C170/100</f>
        <v>#NUM!</v>
      </c>
      <c r="AB170" s="44" t="e">
        <f>AA170*Assumptions!$G$24*12-Z170</f>
        <v>#NUM!</v>
      </c>
      <c r="AD170" s="54">
        <f t="shared" si="30"/>
        <v>0</v>
      </c>
      <c r="AE170" s="54">
        <f t="shared" si="31"/>
        <v>0</v>
      </c>
      <c r="AF170" s="54">
        <f t="shared" si="32"/>
        <v>1510</v>
      </c>
      <c r="AG170" s="54">
        <f t="shared" si="33"/>
        <v>7550</v>
      </c>
      <c r="AH170" s="54">
        <f t="shared" si="34"/>
        <v>0</v>
      </c>
      <c r="AI170" s="54">
        <f t="shared" si="35"/>
        <v>0</v>
      </c>
    </row>
    <row r="171" spans="1:35" ht="15" x14ac:dyDescent="0.2">
      <c r="A171" s="56" t="s">
        <v>266</v>
      </c>
      <c r="B171" s="32"/>
      <c r="C171" s="56">
        <v>0.16</v>
      </c>
      <c r="D171" s="56">
        <v>251.22</v>
      </c>
      <c r="E171" s="36"/>
      <c r="F171" s="40">
        <f t="shared" si="24"/>
        <v>0</v>
      </c>
      <c r="G171" s="40" t="e">
        <f>-PMT(Assumptions!B$25/12,Assumptions!B$24*12,F$8)*C171/100</f>
        <v>#NUM!</v>
      </c>
      <c r="H171" s="40" t="e">
        <f>G171*Assumptions!$B$24*12-F171</f>
        <v>#NUM!</v>
      </c>
      <c r="I171" s="48"/>
      <c r="J171" s="40">
        <f t="shared" si="25"/>
        <v>0</v>
      </c>
      <c r="K171" s="40" t="e">
        <f>-PMT(Assumptions!C$25/12,Assumptions!C$24*12,J$8)*C171/100</f>
        <v>#NUM!</v>
      </c>
      <c r="L171" s="40" t="e">
        <f>K171*Assumptions!$C$24*12-J171</f>
        <v>#NUM!</v>
      </c>
      <c r="M171" s="43"/>
      <c r="N171" s="40">
        <f t="shared" si="26"/>
        <v>1600</v>
      </c>
      <c r="O171" s="50">
        <f>-PMT(Assumptions!D$25/12,Assumptions!D$24*12,N$8)*C171/100</f>
        <v>16.970482438252038</v>
      </c>
      <c r="P171" s="44">
        <f>O171*Assumptions!$D$24*12-N171</f>
        <v>436.45789259024446</v>
      </c>
      <c r="Q171" s="48"/>
      <c r="R171" s="40">
        <f t="shared" si="27"/>
        <v>8000</v>
      </c>
      <c r="S171" s="40">
        <f>-PMT(Assumptions!E$25/12,Assumptions!E$24*12,$R$8)*$C171/100</f>
        <v>84.852412191260186</v>
      </c>
      <c r="T171" s="40">
        <f>S171*Assumptions!$E$24*12-R171</f>
        <v>2182.289462951223</v>
      </c>
      <c r="U171" s="48"/>
      <c r="V171" s="40">
        <f t="shared" si="28"/>
        <v>0</v>
      </c>
      <c r="W171" s="40" t="e">
        <f>-PMT(Assumptions!F$25/12,Assumptions!F$24*12,$V$8)*$C171/100</f>
        <v>#NUM!</v>
      </c>
      <c r="X171" s="40" t="e">
        <f>W171*Assumptions!$F$24*12-V171</f>
        <v>#NUM!</v>
      </c>
      <c r="Y171" s="43"/>
      <c r="Z171" s="40">
        <f t="shared" si="29"/>
        <v>0</v>
      </c>
      <c r="AA171" s="50" t="e">
        <f>-PMT(Assumptions!G$25/12,Assumptions!G$24*12,$Z$8)*$C171/100</f>
        <v>#NUM!</v>
      </c>
      <c r="AB171" s="44" t="e">
        <f>AA171*Assumptions!$G$24*12-Z171</f>
        <v>#NUM!</v>
      </c>
      <c r="AD171" s="54">
        <f t="shared" si="30"/>
        <v>0</v>
      </c>
      <c r="AE171" s="54">
        <f t="shared" si="31"/>
        <v>0</v>
      </c>
      <c r="AF171" s="54">
        <f t="shared" si="32"/>
        <v>1600</v>
      </c>
      <c r="AG171" s="54">
        <f t="shared" si="33"/>
        <v>8000</v>
      </c>
      <c r="AH171" s="54">
        <f t="shared" si="34"/>
        <v>0</v>
      </c>
      <c r="AI171" s="54">
        <f t="shared" si="35"/>
        <v>0</v>
      </c>
    </row>
    <row r="172" spans="1:35" ht="15" x14ac:dyDescent="0.2">
      <c r="A172" s="56" t="s">
        <v>267</v>
      </c>
      <c r="B172" s="32"/>
      <c r="C172" s="56">
        <v>0.151</v>
      </c>
      <c r="D172" s="56">
        <v>237.09</v>
      </c>
      <c r="E172" s="36"/>
      <c r="F172" s="40">
        <f t="shared" si="24"/>
        <v>0</v>
      </c>
      <c r="G172" s="40" t="e">
        <f>-PMT(Assumptions!B$25/12,Assumptions!B$24*12,F$8)*C172/100</f>
        <v>#NUM!</v>
      </c>
      <c r="H172" s="40" t="e">
        <f>G172*Assumptions!$B$24*12-F172</f>
        <v>#NUM!</v>
      </c>
      <c r="I172" s="48"/>
      <c r="J172" s="40">
        <f t="shared" si="25"/>
        <v>0</v>
      </c>
      <c r="K172" s="40" t="e">
        <f>-PMT(Assumptions!C$25/12,Assumptions!C$24*12,J$8)*C172/100</f>
        <v>#NUM!</v>
      </c>
      <c r="L172" s="40" t="e">
        <f>K172*Assumptions!$C$24*12-J172</f>
        <v>#NUM!</v>
      </c>
      <c r="M172" s="43"/>
      <c r="N172" s="40">
        <f t="shared" si="26"/>
        <v>1510</v>
      </c>
      <c r="O172" s="50">
        <f>-PMT(Assumptions!D$25/12,Assumptions!D$24*12,N$8)*C172/100</f>
        <v>16.015892801100357</v>
      </c>
      <c r="P172" s="44">
        <f>O172*Assumptions!$D$24*12-N172</f>
        <v>411.90713613204298</v>
      </c>
      <c r="Q172" s="48"/>
      <c r="R172" s="40">
        <f t="shared" si="27"/>
        <v>7550</v>
      </c>
      <c r="S172" s="40">
        <f>-PMT(Assumptions!E$25/12,Assumptions!E$24*12,$R$8)*$C172/100</f>
        <v>80.079464005501791</v>
      </c>
      <c r="T172" s="40">
        <f>S172*Assumptions!$E$24*12-R172</f>
        <v>2059.535680660214</v>
      </c>
      <c r="U172" s="48"/>
      <c r="V172" s="40">
        <f t="shared" si="28"/>
        <v>0</v>
      </c>
      <c r="W172" s="40" t="e">
        <f>-PMT(Assumptions!F$25/12,Assumptions!F$24*12,$V$8)*$C172/100</f>
        <v>#NUM!</v>
      </c>
      <c r="X172" s="40" t="e">
        <f>W172*Assumptions!$F$24*12-V172</f>
        <v>#NUM!</v>
      </c>
      <c r="Y172" s="43"/>
      <c r="Z172" s="40">
        <f t="shared" si="29"/>
        <v>0</v>
      </c>
      <c r="AA172" s="50" t="e">
        <f>-PMT(Assumptions!G$25/12,Assumptions!G$24*12,$Z$8)*$C172/100</f>
        <v>#NUM!</v>
      </c>
      <c r="AB172" s="44" t="e">
        <f>AA172*Assumptions!$G$24*12-Z172</f>
        <v>#NUM!</v>
      </c>
      <c r="AD172" s="54">
        <f t="shared" si="30"/>
        <v>0</v>
      </c>
      <c r="AE172" s="54">
        <f t="shared" si="31"/>
        <v>0</v>
      </c>
      <c r="AF172" s="54">
        <f t="shared" si="32"/>
        <v>1510</v>
      </c>
      <c r="AG172" s="54">
        <f t="shared" si="33"/>
        <v>7550</v>
      </c>
      <c r="AH172" s="54">
        <f t="shared" si="34"/>
        <v>0</v>
      </c>
      <c r="AI172" s="54">
        <f t="shared" si="35"/>
        <v>0</v>
      </c>
    </row>
    <row r="173" spans="1:35" ht="15" x14ac:dyDescent="0.2">
      <c r="A173" s="56" t="s">
        <v>268</v>
      </c>
      <c r="B173" s="32"/>
      <c r="C173" s="56">
        <v>0.16</v>
      </c>
      <c r="D173" s="56">
        <v>251.22</v>
      </c>
      <c r="E173" s="36"/>
      <c r="F173" s="40">
        <f t="shared" si="24"/>
        <v>0</v>
      </c>
      <c r="G173" s="40" t="e">
        <f>-PMT(Assumptions!B$25/12,Assumptions!B$24*12,F$8)*C173/100</f>
        <v>#NUM!</v>
      </c>
      <c r="H173" s="40" t="e">
        <f>G173*Assumptions!$B$24*12-F173</f>
        <v>#NUM!</v>
      </c>
      <c r="I173" s="48"/>
      <c r="J173" s="40">
        <f t="shared" si="25"/>
        <v>0</v>
      </c>
      <c r="K173" s="40" t="e">
        <f>-PMT(Assumptions!C$25/12,Assumptions!C$24*12,J$8)*C173/100</f>
        <v>#NUM!</v>
      </c>
      <c r="L173" s="40" t="e">
        <f>K173*Assumptions!$C$24*12-J173</f>
        <v>#NUM!</v>
      </c>
      <c r="M173" s="43"/>
      <c r="N173" s="40">
        <f t="shared" si="26"/>
        <v>1600</v>
      </c>
      <c r="O173" s="50">
        <f>-PMT(Assumptions!D$25/12,Assumptions!D$24*12,N$8)*C173/100</f>
        <v>16.970482438252038</v>
      </c>
      <c r="P173" s="44">
        <f>O173*Assumptions!$D$24*12-N173</f>
        <v>436.45789259024446</v>
      </c>
      <c r="Q173" s="48"/>
      <c r="R173" s="40">
        <f t="shared" si="27"/>
        <v>8000</v>
      </c>
      <c r="S173" s="40">
        <f>-PMT(Assumptions!E$25/12,Assumptions!E$24*12,$R$8)*$C173/100</f>
        <v>84.852412191260186</v>
      </c>
      <c r="T173" s="40">
        <f>S173*Assumptions!$E$24*12-R173</f>
        <v>2182.289462951223</v>
      </c>
      <c r="U173" s="48"/>
      <c r="V173" s="40">
        <f t="shared" si="28"/>
        <v>0</v>
      </c>
      <c r="W173" s="40" t="e">
        <f>-PMT(Assumptions!F$25/12,Assumptions!F$24*12,$V$8)*$C173/100</f>
        <v>#NUM!</v>
      </c>
      <c r="X173" s="40" t="e">
        <f>W173*Assumptions!$F$24*12-V173</f>
        <v>#NUM!</v>
      </c>
      <c r="Y173" s="43"/>
      <c r="Z173" s="40">
        <f t="shared" si="29"/>
        <v>0</v>
      </c>
      <c r="AA173" s="50" t="e">
        <f>-PMT(Assumptions!G$25/12,Assumptions!G$24*12,$Z$8)*$C173/100</f>
        <v>#NUM!</v>
      </c>
      <c r="AB173" s="44" t="e">
        <f>AA173*Assumptions!$G$24*12-Z173</f>
        <v>#NUM!</v>
      </c>
      <c r="AD173" s="54">
        <f t="shared" si="30"/>
        <v>0</v>
      </c>
      <c r="AE173" s="54">
        <f t="shared" si="31"/>
        <v>0</v>
      </c>
      <c r="AF173" s="54">
        <f t="shared" si="32"/>
        <v>1600</v>
      </c>
      <c r="AG173" s="54">
        <f t="shared" si="33"/>
        <v>8000</v>
      </c>
      <c r="AH173" s="54">
        <f t="shared" si="34"/>
        <v>0</v>
      </c>
      <c r="AI173" s="54">
        <f t="shared" si="35"/>
        <v>0</v>
      </c>
    </row>
    <row r="174" spans="1:35" ht="15" x14ac:dyDescent="0.2">
      <c r="A174" s="56" t="s">
        <v>269</v>
      </c>
      <c r="B174" s="32"/>
      <c r="C174" s="56">
        <v>0.22700000000000001</v>
      </c>
      <c r="D174" s="56">
        <v>356.41</v>
      </c>
      <c r="E174" s="36"/>
      <c r="F174" s="40">
        <f t="shared" si="24"/>
        <v>0</v>
      </c>
      <c r="G174" s="40" t="e">
        <f>-PMT(Assumptions!B$25/12,Assumptions!B$24*12,F$8)*C174/100</f>
        <v>#NUM!</v>
      </c>
      <c r="H174" s="40" t="e">
        <f>G174*Assumptions!$B$24*12-F174</f>
        <v>#NUM!</v>
      </c>
      <c r="I174" s="48"/>
      <c r="J174" s="40">
        <f t="shared" si="25"/>
        <v>0</v>
      </c>
      <c r="K174" s="40" t="e">
        <f>-PMT(Assumptions!C$25/12,Assumptions!C$24*12,J$8)*C174/100</f>
        <v>#NUM!</v>
      </c>
      <c r="L174" s="40" t="e">
        <f>K174*Assumptions!$C$24*12-J174</f>
        <v>#NUM!</v>
      </c>
      <c r="M174" s="43"/>
      <c r="N174" s="40">
        <f t="shared" si="26"/>
        <v>2270</v>
      </c>
      <c r="O174" s="50">
        <f>-PMT(Assumptions!D$25/12,Assumptions!D$24*12,N$8)*C174/100</f>
        <v>24.076871959270079</v>
      </c>
      <c r="P174" s="44">
        <f>O174*Assumptions!$D$24*12-N174</f>
        <v>619.22463511240949</v>
      </c>
      <c r="Q174" s="48"/>
      <c r="R174" s="40">
        <f t="shared" si="27"/>
        <v>11350</v>
      </c>
      <c r="S174" s="40">
        <f>-PMT(Assumptions!E$25/12,Assumptions!E$24*12,$R$8)*$C174/100</f>
        <v>120.3843597963504</v>
      </c>
      <c r="T174" s="40">
        <f>S174*Assumptions!$E$24*12-R174</f>
        <v>3096.1231755620465</v>
      </c>
      <c r="U174" s="48"/>
      <c r="V174" s="40">
        <f t="shared" si="28"/>
        <v>0</v>
      </c>
      <c r="W174" s="40" t="e">
        <f>-PMT(Assumptions!F$25/12,Assumptions!F$24*12,$V$8)*$C174/100</f>
        <v>#NUM!</v>
      </c>
      <c r="X174" s="40" t="e">
        <f>W174*Assumptions!$F$24*12-V174</f>
        <v>#NUM!</v>
      </c>
      <c r="Y174" s="43"/>
      <c r="Z174" s="40">
        <f t="shared" si="29"/>
        <v>0</v>
      </c>
      <c r="AA174" s="50" t="e">
        <f>-PMT(Assumptions!G$25/12,Assumptions!G$24*12,$Z$8)*$C174/100</f>
        <v>#NUM!</v>
      </c>
      <c r="AB174" s="44" t="e">
        <f>AA174*Assumptions!$G$24*12-Z174</f>
        <v>#NUM!</v>
      </c>
      <c r="AD174" s="54">
        <f t="shared" si="30"/>
        <v>0</v>
      </c>
      <c r="AE174" s="54">
        <f t="shared" si="31"/>
        <v>0</v>
      </c>
      <c r="AF174" s="54">
        <f t="shared" si="32"/>
        <v>2270</v>
      </c>
      <c r="AG174" s="54">
        <f t="shared" si="33"/>
        <v>11350</v>
      </c>
      <c r="AH174" s="54">
        <f t="shared" si="34"/>
        <v>0</v>
      </c>
      <c r="AI174" s="54">
        <f t="shared" si="35"/>
        <v>0</v>
      </c>
    </row>
    <row r="175" spans="1:35" ht="15" x14ac:dyDescent="0.2">
      <c r="A175" s="56" t="s">
        <v>270</v>
      </c>
      <c r="B175" s="32"/>
      <c r="C175" s="56">
        <v>0.23599999999999999</v>
      </c>
      <c r="D175" s="56">
        <v>370.54</v>
      </c>
      <c r="E175" s="36"/>
      <c r="F175" s="40">
        <f t="shared" si="24"/>
        <v>0</v>
      </c>
      <c r="G175" s="40" t="e">
        <f>-PMT(Assumptions!B$25/12,Assumptions!B$24*12,F$8)*C175/100</f>
        <v>#NUM!</v>
      </c>
      <c r="H175" s="40" t="e">
        <f>G175*Assumptions!$B$24*12-F175</f>
        <v>#NUM!</v>
      </c>
      <c r="I175" s="48"/>
      <c r="J175" s="40">
        <f t="shared" si="25"/>
        <v>0</v>
      </c>
      <c r="K175" s="40" t="e">
        <f>-PMT(Assumptions!C$25/12,Assumptions!C$24*12,J$8)*C175/100</f>
        <v>#NUM!</v>
      </c>
      <c r="L175" s="40" t="e">
        <f>K175*Assumptions!$C$24*12-J175</f>
        <v>#NUM!</v>
      </c>
      <c r="M175" s="43"/>
      <c r="N175" s="40">
        <f t="shared" si="26"/>
        <v>2360</v>
      </c>
      <c r="O175" s="50">
        <f>-PMT(Assumptions!D$25/12,Assumptions!D$24*12,N$8)*C175/100</f>
        <v>25.031461596421753</v>
      </c>
      <c r="P175" s="44">
        <f>O175*Assumptions!$D$24*12-N175</f>
        <v>643.77539157061028</v>
      </c>
      <c r="Q175" s="48"/>
      <c r="R175" s="40">
        <f t="shared" si="27"/>
        <v>11800</v>
      </c>
      <c r="S175" s="40">
        <f>-PMT(Assumptions!E$25/12,Assumptions!E$24*12,$R$8)*$C175/100</f>
        <v>125.15730798210878</v>
      </c>
      <c r="T175" s="40">
        <f>S175*Assumptions!$E$24*12-R175</f>
        <v>3218.8769578530519</v>
      </c>
      <c r="U175" s="48"/>
      <c r="V175" s="40">
        <f t="shared" si="28"/>
        <v>0</v>
      </c>
      <c r="W175" s="40" t="e">
        <f>-PMT(Assumptions!F$25/12,Assumptions!F$24*12,$V$8)*$C175/100</f>
        <v>#NUM!</v>
      </c>
      <c r="X175" s="40" t="e">
        <f>W175*Assumptions!$F$24*12-V175</f>
        <v>#NUM!</v>
      </c>
      <c r="Y175" s="43"/>
      <c r="Z175" s="40">
        <f t="shared" si="29"/>
        <v>0</v>
      </c>
      <c r="AA175" s="50" t="e">
        <f>-PMT(Assumptions!G$25/12,Assumptions!G$24*12,$Z$8)*$C175/100</f>
        <v>#NUM!</v>
      </c>
      <c r="AB175" s="44" t="e">
        <f>AA175*Assumptions!$G$24*12-Z175</f>
        <v>#NUM!</v>
      </c>
      <c r="AD175" s="54">
        <f t="shared" si="30"/>
        <v>0</v>
      </c>
      <c r="AE175" s="54">
        <f t="shared" si="31"/>
        <v>0</v>
      </c>
      <c r="AF175" s="54">
        <f t="shared" si="32"/>
        <v>2360</v>
      </c>
      <c r="AG175" s="54">
        <f t="shared" si="33"/>
        <v>11800</v>
      </c>
      <c r="AH175" s="54">
        <f t="shared" si="34"/>
        <v>0</v>
      </c>
      <c r="AI175" s="54">
        <f t="shared" si="35"/>
        <v>0</v>
      </c>
    </row>
    <row r="176" spans="1:35" ht="15" x14ac:dyDescent="0.2">
      <c r="A176" s="56" t="s">
        <v>271</v>
      </c>
      <c r="B176" s="32"/>
      <c r="C176" s="56">
        <v>0.20799999999999999</v>
      </c>
      <c r="D176" s="56">
        <v>326.58</v>
      </c>
      <c r="E176" s="36"/>
      <c r="F176" s="40">
        <f t="shared" si="24"/>
        <v>0</v>
      </c>
      <c r="G176" s="40" t="e">
        <f>-PMT(Assumptions!B$25/12,Assumptions!B$24*12,F$8)*C176/100</f>
        <v>#NUM!</v>
      </c>
      <c r="H176" s="40" t="e">
        <f>G176*Assumptions!$B$24*12-F176</f>
        <v>#NUM!</v>
      </c>
      <c r="I176" s="48"/>
      <c r="J176" s="40">
        <f t="shared" si="25"/>
        <v>0</v>
      </c>
      <c r="K176" s="40" t="e">
        <f>-PMT(Assumptions!C$25/12,Assumptions!C$24*12,J$8)*C176/100</f>
        <v>#NUM!</v>
      </c>
      <c r="L176" s="40" t="e">
        <f>K176*Assumptions!$C$24*12-J176</f>
        <v>#NUM!</v>
      </c>
      <c r="M176" s="43"/>
      <c r="N176" s="40">
        <f t="shared" si="26"/>
        <v>2080</v>
      </c>
      <c r="O176" s="50">
        <f>-PMT(Assumptions!D$25/12,Assumptions!D$24*12,N$8)*C176/100</f>
        <v>22.06162716972765</v>
      </c>
      <c r="P176" s="44">
        <f>O176*Assumptions!$D$24*12-N176</f>
        <v>567.39526036731786</v>
      </c>
      <c r="Q176" s="48"/>
      <c r="R176" s="40">
        <f t="shared" si="27"/>
        <v>10400</v>
      </c>
      <c r="S176" s="40">
        <f>-PMT(Assumptions!E$25/12,Assumptions!E$24*12,$R$8)*$C176/100</f>
        <v>110.30813584863823</v>
      </c>
      <c r="T176" s="40">
        <f>S176*Assumptions!$E$24*12-R176</f>
        <v>2836.9763018365866</v>
      </c>
      <c r="U176" s="48"/>
      <c r="V176" s="40">
        <f t="shared" si="28"/>
        <v>0</v>
      </c>
      <c r="W176" s="40" t="e">
        <f>-PMT(Assumptions!F$25/12,Assumptions!F$24*12,$V$8)*$C176/100</f>
        <v>#NUM!</v>
      </c>
      <c r="X176" s="40" t="e">
        <f>W176*Assumptions!$F$24*12-V176</f>
        <v>#NUM!</v>
      </c>
      <c r="Y176" s="43"/>
      <c r="Z176" s="40">
        <f t="shared" si="29"/>
        <v>0</v>
      </c>
      <c r="AA176" s="50" t="e">
        <f>-PMT(Assumptions!G$25/12,Assumptions!G$24*12,$Z$8)*$C176/100</f>
        <v>#NUM!</v>
      </c>
      <c r="AB176" s="44" t="e">
        <f>AA176*Assumptions!$G$24*12-Z176</f>
        <v>#NUM!</v>
      </c>
      <c r="AD176" s="54">
        <f t="shared" si="30"/>
        <v>0</v>
      </c>
      <c r="AE176" s="54">
        <f t="shared" si="31"/>
        <v>0</v>
      </c>
      <c r="AF176" s="54">
        <f t="shared" si="32"/>
        <v>2080</v>
      </c>
      <c r="AG176" s="54">
        <f t="shared" si="33"/>
        <v>10400</v>
      </c>
      <c r="AH176" s="54">
        <f t="shared" si="34"/>
        <v>0</v>
      </c>
      <c r="AI176" s="54">
        <f t="shared" si="35"/>
        <v>0</v>
      </c>
    </row>
    <row r="177" spans="1:35" ht="15" x14ac:dyDescent="0.2">
      <c r="A177" s="56" t="s">
        <v>272</v>
      </c>
      <c r="B177" s="32"/>
      <c r="C177" s="56">
        <v>0.20799999999999999</v>
      </c>
      <c r="D177" s="56">
        <v>326.58</v>
      </c>
      <c r="E177" s="36"/>
      <c r="F177" s="40">
        <f t="shared" si="24"/>
        <v>0</v>
      </c>
      <c r="G177" s="40" t="e">
        <f>-PMT(Assumptions!B$25/12,Assumptions!B$24*12,F$8)*C177/100</f>
        <v>#NUM!</v>
      </c>
      <c r="H177" s="40" t="e">
        <f>G177*Assumptions!$B$24*12-F177</f>
        <v>#NUM!</v>
      </c>
      <c r="I177" s="48"/>
      <c r="J177" s="40">
        <f t="shared" si="25"/>
        <v>0</v>
      </c>
      <c r="K177" s="40" t="e">
        <f>-PMT(Assumptions!C$25/12,Assumptions!C$24*12,J$8)*C177/100</f>
        <v>#NUM!</v>
      </c>
      <c r="L177" s="40" t="e">
        <f>K177*Assumptions!$C$24*12-J177</f>
        <v>#NUM!</v>
      </c>
      <c r="M177" s="43"/>
      <c r="N177" s="40">
        <f t="shared" si="26"/>
        <v>2080</v>
      </c>
      <c r="O177" s="50">
        <f>-PMT(Assumptions!D$25/12,Assumptions!D$24*12,N$8)*C177/100</f>
        <v>22.06162716972765</v>
      </c>
      <c r="P177" s="44">
        <f>O177*Assumptions!$D$24*12-N177</f>
        <v>567.39526036731786</v>
      </c>
      <c r="Q177" s="48"/>
      <c r="R177" s="40">
        <f t="shared" si="27"/>
        <v>10400</v>
      </c>
      <c r="S177" s="40">
        <f>-PMT(Assumptions!E$25/12,Assumptions!E$24*12,$R$8)*$C177/100</f>
        <v>110.30813584863823</v>
      </c>
      <c r="T177" s="40">
        <f>S177*Assumptions!$E$24*12-R177</f>
        <v>2836.9763018365866</v>
      </c>
      <c r="U177" s="48"/>
      <c r="V177" s="40">
        <f t="shared" si="28"/>
        <v>0</v>
      </c>
      <c r="W177" s="40" t="e">
        <f>-PMT(Assumptions!F$25/12,Assumptions!F$24*12,$V$8)*$C177/100</f>
        <v>#NUM!</v>
      </c>
      <c r="X177" s="40" t="e">
        <f>W177*Assumptions!$F$24*12-V177</f>
        <v>#NUM!</v>
      </c>
      <c r="Y177" s="43"/>
      <c r="Z177" s="40">
        <f t="shared" si="29"/>
        <v>0</v>
      </c>
      <c r="AA177" s="50" t="e">
        <f>-PMT(Assumptions!G$25/12,Assumptions!G$24*12,$Z$8)*$C177/100</f>
        <v>#NUM!</v>
      </c>
      <c r="AB177" s="44" t="e">
        <f>AA177*Assumptions!$G$24*12-Z177</f>
        <v>#NUM!</v>
      </c>
      <c r="AD177" s="54">
        <f t="shared" si="30"/>
        <v>0</v>
      </c>
      <c r="AE177" s="54">
        <f t="shared" si="31"/>
        <v>0</v>
      </c>
      <c r="AF177" s="54">
        <f t="shared" si="32"/>
        <v>2080</v>
      </c>
      <c r="AG177" s="54">
        <f t="shared" si="33"/>
        <v>10400</v>
      </c>
      <c r="AH177" s="54">
        <f t="shared" si="34"/>
        <v>0</v>
      </c>
      <c r="AI177" s="54">
        <f t="shared" si="35"/>
        <v>0</v>
      </c>
    </row>
    <row r="178" spans="1:35" ht="15" x14ac:dyDescent="0.2">
      <c r="A178" s="56" t="s">
        <v>273</v>
      </c>
      <c r="B178" s="32"/>
      <c r="C178" s="56">
        <v>0.151</v>
      </c>
      <c r="D178" s="56">
        <v>237.09</v>
      </c>
      <c r="E178" s="36"/>
      <c r="F178" s="40">
        <f t="shared" si="24"/>
        <v>0</v>
      </c>
      <c r="G178" s="40" t="e">
        <f>-PMT(Assumptions!B$25/12,Assumptions!B$24*12,F$8)*C178/100</f>
        <v>#NUM!</v>
      </c>
      <c r="H178" s="40" t="e">
        <f>G178*Assumptions!$B$24*12-F178</f>
        <v>#NUM!</v>
      </c>
      <c r="I178" s="48"/>
      <c r="J178" s="40">
        <f t="shared" si="25"/>
        <v>0</v>
      </c>
      <c r="K178" s="40" t="e">
        <f>-PMT(Assumptions!C$25/12,Assumptions!C$24*12,J$8)*C178/100</f>
        <v>#NUM!</v>
      </c>
      <c r="L178" s="40" t="e">
        <f>K178*Assumptions!$C$24*12-J178</f>
        <v>#NUM!</v>
      </c>
      <c r="M178" s="43"/>
      <c r="N178" s="40">
        <f t="shared" si="26"/>
        <v>1510</v>
      </c>
      <c r="O178" s="50">
        <f>-PMT(Assumptions!D$25/12,Assumptions!D$24*12,N$8)*C178/100</f>
        <v>16.015892801100357</v>
      </c>
      <c r="P178" s="44">
        <f>O178*Assumptions!$D$24*12-N178</f>
        <v>411.90713613204298</v>
      </c>
      <c r="Q178" s="48"/>
      <c r="R178" s="40">
        <f t="shared" si="27"/>
        <v>7550</v>
      </c>
      <c r="S178" s="40">
        <f>-PMT(Assumptions!E$25/12,Assumptions!E$24*12,$R$8)*$C178/100</f>
        <v>80.079464005501791</v>
      </c>
      <c r="T178" s="40">
        <f>S178*Assumptions!$E$24*12-R178</f>
        <v>2059.535680660214</v>
      </c>
      <c r="U178" s="48"/>
      <c r="V178" s="40">
        <f t="shared" si="28"/>
        <v>0</v>
      </c>
      <c r="W178" s="40" t="e">
        <f>-PMT(Assumptions!F$25/12,Assumptions!F$24*12,$V$8)*$C178/100</f>
        <v>#NUM!</v>
      </c>
      <c r="X178" s="40" t="e">
        <f>W178*Assumptions!$F$24*12-V178</f>
        <v>#NUM!</v>
      </c>
      <c r="Y178" s="43"/>
      <c r="Z178" s="40">
        <f t="shared" si="29"/>
        <v>0</v>
      </c>
      <c r="AA178" s="50" t="e">
        <f>-PMT(Assumptions!G$25/12,Assumptions!G$24*12,$Z$8)*$C178/100</f>
        <v>#NUM!</v>
      </c>
      <c r="AB178" s="44" t="e">
        <f>AA178*Assumptions!$G$24*12-Z178</f>
        <v>#NUM!</v>
      </c>
      <c r="AD178" s="54">
        <f t="shared" ref="AD178:AD241" si="36">+F178</f>
        <v>0</v>
      </c>
      <c r="AE178" s="54">
        <f t="shared" ref="AE178:AE241" si="37">+J178</f>
        <v>0</v>
      </c>
      <c r="AF178" s="54">
        <f t="shared" ref="AF178:AF241" si="38">+N178</f>
        <v>1510</v>
      </c>
      <c r="AG178" s="54">
        <f t="shared" ref="AG178:AG241" si="39">+R178</f>
        <v>7550</v>
      </c>
      <c r="AH178" s="54">
        <f t="shared" ref="AH178:AH241" si="40">+V178</f>
        <v>0</v>
      </c>
      <c r="AI178" s="54">
        <f t="shared" ref="AI178:AI241" si="41">+Z178</f>
        <v>0</v>
      </c>
    </row>
    <row r="179" spans="1:35" ht="15" x14ac:dyDescent="0.2">
      <c r="A179" s="56" t="s">
        <v>274</v>
      </c>
      <c r="B179" s="32"/>
      <c r="C179" s="56">
        <v>0.16</v>
      </c>
      <c r="D179" s="56">
        <v>251.22</v>
      </c>
      <c r="E179" s="36"/>
      <c r="F179" s="40">
        <f t="shared" si="24"/>
        <v>0</v>
      </c>
      <c r="G179" s="40" t="e">
        <f>-PMT(Assumptions!B$25/12,Assumptions!B$24*12,F$8)*C179/100</f>
        <v>#NUM!</v>
      </c>
      <c r="H179" s="40" t="e">
        <f>G179*Assumptions!$B$24*12-F179</f>
        <v>#NUM!</v>
      </c>
      <c r="I179" s="48"/>
      <c r="J179" s="40">
        <f t="shared" si="25"/>
        <v>0</v>
      </c>
      <c r="K179" s="40" t="e">
        <f>-PMT(Assumptions!C$25/12,Assumptions!C$24*12,J$8)*C179/100</f>
        <v>#NUM!</v>
      </c>
      <c r="L179" s="40" t="e">
        <f>K179*Assumptions!$C$24*12-J179</f>
        <v>#NUM!</v>
      </c>
      <c r="M179" s="43"/>
      <c r="N179" s="40">
        <f t="shared" si="26"/>
        <v>1600</v>
      </c>
      <c r="O179" s="50">
        <f>-PMT(Assumptions!D$25/12,Assumptions!D$24*12,N$8)*C179/100</f>
        <v>16.970482438252038</v>
      </c>
      <c r="P179" s="44">
        <f>O179*Assumptions!$D$24*12-N179</f>
        <v>436.45789259024446</v>
      </c>
      <c r="Q179" s="48"/>
      <c r="R179" s="40">
        <f t="shared" si="27"/>
        <v>8000</v>
      </c>
      <c r="S179" s="40">
        <f>-PMT(Assumptions!E$25/12,Assumptions!E$24*12,$R$8)*$C179/100</f>
        <v>84.852412191260186</v>
      </c>
      <c r="T179" s="40">
        <f>S179*Assumptions!$E$24*12-R179</f>
        <v>2182.289462951223</v>
      </c>
      <c r="U179" s="48"/>
      <c r="V179" s="40">
        <f t="shared" si="28"/>
        <v>0</v>
      </c>
      <c r="W179" s="40" t="e">
        <f>-PMT(Assumptions!F$25/12,Assumptions!F$24*12,$V$8)*$C179/100</f>
        <v>#NUM!</v>
      </c>
      <c r="X179" s="40" t="e">
        <f>W179*Assumptions!$F$24*12-V179</f>
        <v>#NUM!</v>
      </c>
      <c r="Y179" s="43"/>
      <c r="Z179" s="40">
        <f t="shared" si="29"/>
        <v>0</v>
      </c>
      <c r="AA179" s="50" t="e">
        <f>-PMT(Assumptions!G$25/12,Assumptions!G$24*12,$Z$8)*$C179/100</f>
        <v>#NUM!</v>
      </c>
      <c r="AB179" s="44" t="e">
        <f>AA179*Assumptions!$G$24*12-Z179</f>
        <v>#NUM!</v>
      </c>
      <c r="AD179" s="54">
        <f t="shared" si="36"/>
        <v>0</v>
      </c>
      <c r="AE179" s="54">
        <f t="shared" si="37"/>
        <v>0</v>
      </c>
      <c r="AF179" s="54">
        <f t="shared" si="38"/>
        <v>1600</v>
      </c>
      <c r="AG179" s="54">
        <f t="shared" si="39"/>
        <v>8000</v>
      </c>
      <c r="AH179" s="54">
        <f t="shared" si="40"/>
        <v>0</v>
      </c>
      <c r="AI179" s="54">
        <f t="shared" si="41"/>
        <v>0</v>
      </c>
    </row>
    <row r="180" spans="1:35" ht="15" x14ac:dyDescent="0.2">
      <c r="A180" s="56" t="s">
        <v>275</v>
      </c>
      <c r="B180" s="32"/>
      <c r="C180" s="56">
        <v>0.151</v>
      </c>
      <c r="D180" s="56">
        <v>237.09</v>
      </c>
      <c r="E180" s="36"/>
      <c r="F180" s="40">
        <f t="shared" si="24"/>
        <v>0</v>
      </c>
      <c r="G180" s="40" t="e">
        <f>-PMT(Assumptions!B$25/12,Assumptions!B$24*12,F$8)*C180/100</f>
        <v>#NUM!</v>
      </c>
      <c r="H180" s="40" t="e">
        <f>G180*Assumptions!$B$24*12-F180</f>
        <v>#NUM!</v>
      </c>
      <c r="I180" s="48"/>
      <c r="J180" s="40">
        <f t="shared" si="25"/>
        <v>0</v>
      </c>
      <c r="K180" s="40" t="e">
        <f>-PMT(Assumptions!C$25/12,Assumptions!C$24*12,J$8)*C180/100</f>
        <v>#NUM!</v>
      </c>
      <c r="L180" s="40" t="e">
        <f>K180*Assumptions!$C$24*12-J180</f>
        <v>#NUM!</v>
      </c>
      <c r="M180" s="43"/>
      <c r="N180" s="40">
        <f t="shared" si="26"/>
        <v>1510</v>
      </c>
      <c r="O180" s="50">
        <f>-PMT(Assumptions!D$25/12,Assumptions!D$24*12,N$8)*C180/100</f>
        <v>16.015892801100357</v>
      </c>
      <c r="P180" s="44">
        <f>O180*Assumptions!$D$24*12-N180</f>
        <v>411.90713613204298</v>
      </c>
      <c r="Q180" s="48"/>
      <c r="R180" s="40">
        <f t="shared" si="27"/>
        <v>7550</v>
      </c>
      <c r="S180" s="40">
        <f>-PMT(Assumptions!E$25/12,Assumptions!E$24*12,$R$8)*$C180/100</f>
        <v>80.079464005501791</v>
      </c>
      <c r="T180" s="40">
        <f>S180*Assumptions!$E$24*12-R180</f>
        <v>2059.535680660214</v>
      </c>
      <c r="U180" s="48"/>
      <c r="V180" s="40">
        <f t="shared" si="28"/>
        <v>0</v>
      </c>
      <c r="W180" s="40" t="e">
        <f>-PMT(Assumptions!F$25/12,Assumptions!F$24*12,$V$8)*$C180/100</f>
        <v>#NUM!</v>
      </c>
      <c r="X180" s="40" t="e">
        <f>W180*Assumptions!$F$24*12-V180</f>
        <v>#NUM!</v>
      </c>
      <c r="Y180" s="43"/>
      <c r="Z180" s="40">
        <f t="shared" si="29"/>
        <v>0</v>
      </c>
      <c r="AA180" s="50" t="e">
        <f>-PMT(Assumptions!G$25/12,Assumptions!G$24*12,$Z$8)*$C180/100</f>
        <v>#NUM!</v>
      </c>
      <c r="AB180" s="44" t="e">
        <f>AA180*Assumptions!$G$24*12-Z180</f>
        <v>#NUM!</v>
      </c>
      <c r="AD180" s="54">
        <f t="shared" si="36"/>
        <v>0</v>
      </c>
      <c r="AE180" s="54">
        <f t="shared" si="37"/>
        <v>0</v>
      </c>
      <c r="AF180" s="54">
        <f t="shared" si="38"/>
        <v>1510</v>
      </c>
      <c r="AG180" s="54">
        <f t="shared" si="39"/>
        <v>7550</v>
      </c>
      <c r="AH180" s="54">
        <f t="shared" si="40"/>
        <v>0</v>
      </c>
      <c r="AI180" s="54">
        <f t="shared" si="41"/>
        <v>0</v>
      </c>
    </row>
    <row r="181" spans="1:35" ht="15" x14ac:dyDescent="0.2">
      <c r="A181" s="56" t="s">
        <v>276</v>
      </c>
      <c r="B181" s="32"/>
      <c r="C181" s="56">
        <v>0.16</v>
      </c>
      <c r="D181" s="56">
        <v>251.22</v>
      </c>
      <c r="E181" s="36"/>
      <c r="F181" s="40">
        <f t="shared" si="24"/>
        <v>0</v>
      </c>
      <c r="G181" s="40" t="e">
        <f>-PMT(Assumptions!B$25/12,Assumptions!B$24*12,F$8)*C181/100</f>
        <v>#NUM!</v>
      </c>
      <c r="H181" s="40" t="e">
        <f>G181*Assumptions!$B$24*12-F181</f>
        <v>#NUM!</v>
      </c>
      <c r="I181" s="48"/>
      <c r="J181" s="40">
        <f t="shared" si="25"/>
        <v>0</v>
      </c>
      <c r="K181" s="40" t="e">
        <f>-PMT(Assumptions!C$25/12,Assumptions!C$24*12,J$8)*C181/100</f>
        <v>#NUM!</v>
      </c>
      <c r="L181" s="40" t="e">
        <f>K181*Assumptions!$C$24*12-J181</f>
        <v>#NUM!</v>
      </c>
      <c r="M181" s="43"/>
      <c r="N181" s="40">
        <f t="shared" si="26"/>
        <v>1600</v>
      </c>
      <c r="O181" s="50">
        <f>-PMT(Assumptions!D$25/12,Assumptions!D$24*12,N$8)*C181/100</f>
        <v>16.970482438252038</v>
      </c>
      <c r="P181" s="44">
        <f>O181*Assumptions!$D$24*12-N181</f>
        <v>436.45789259024446</v>
      </c>
      <c r="Q181" s="48"/>
      <c r="R181" s="40">
        <f t="shared" si="27"/>
        <v>8000</v>
      </c>
      <c r="S181" s="40">
        <f>-PMT(Assumptions!E$25/12,Assumptions!E$24*12,$R$8)*$C181/100</f>
        <v>84.852412191260186</v>
      </c>
      <c r="T181" s="40">
        <f>S181*Assumptions!$E$24*12-R181</f>
        <v>2182.289462951223</v>
      </c>
      <c r="U181" s="48"/>
      <c r="V181" s="40">
        <f t="shared" si="28"/>
        <v>0</v>
      </c>
      <c r="W181" s="40" t="e">
        <f>-PMT(Assumptions!F$25/12,Assumptions!F$24*12,$V$8)*$C181/100</f>
        <v>#NUM!</v>
      </c>
      <c r="X181" s="40" t="e">
        <f>W181*Assumptions!$F$24*12-V181</f>
        <v>#NUM!</v>
      </c>
      <c r="Y181" s="43"/>
      <c r="Z181" s="40">
        <f t="shared" si="29"/>
        <v>0</v>
      </c>
      <c r="AA181" s="50" t="e">
        <f>-PMT(Assumptions!G$25/12,Assumptions!G$24*12,$Z$8)*$C181/100</f>
        <v>#NUM!</v>
      </c>
      <c r="AB181" s="44" t="e">
        <f>AA181*Assumptions!$G$24*12-Z181</f>
        <v>#NUM!</v>
      </c>
      <c r="AD181" s="54">
        <f t="shared" si="36"/>
        <v>0</v>
      </c>
      <c r="AE181" s="54">
        <f t="shared" si="37"/>
        <v>0</v>
      </c>
      <c r="AF181" s="54">
        <f t="shared" si="38"/>
        <v>1600</v>
      </c>
      <c r="AG181" s="54">
        <f t="shared" si="39"/>
        <v>8000</v>
      </c>
      <c r="AH181" s="54">
        <f t="shared" si="40"/>
        <v>0</v>
      </c>
      <c r="AI181" s="54">
        <f t="shared" si="41"/>
        <v>0</v>
      </c>
    </row>
    <row r="182" spans="1:35" ht="15" x14ac:dyDescent="0.2">
      <c r="A182" s="56" t="s">
        <v>277</v>
      </c>
      <c r="B182" s="32"/>
      <c r="C182" s="56">
        <v>0.22700000000000001</v>
      </c>
      <c r="D182" s="56">
        <v>356.41</v>
      </c>
      <c r="E182" s="36"/>
      <c r="F182" s="40">
        <f t="shared" si="24"/>
        <v>0</v>
      </c>
      <c r="G182" s="40" t="e">
        <f>-PMT(Assumptions!B$25/12,Assumptions!B$24*12,F$8)*C182/100</f>
        <v>#NUM!</v>
      </c>
      <c r="H182" s="40" t="e">
        <f>G182*Assumptions!$B$24*12-F182</f>
        <v>#NUM!</v>
      </c>
      <c r="I182" s="48"/>
      <c r="J182" s="40">
        <f t="shared" si="25"/>
        <v>0</v>
      </c>
      <c r="K182" s="40" t="e">
        <f>-PMT(Assumptions!C$25/12,Assumptions!C$24*12,J$8)*C182/100</f>
        <v>#NUM!</v>
      </c>
      <c r="L182" s="40" t="e">
        <f>K182*Assumptions!$C$24*12-J182</f>
        <v>#NUM!</v>
      </c>
      <c r="M182" s="43"/>
      <c r="N182" s="40">
        <f t="shared" si="26"/>
        <v>2270</v>
      </c>
      <c r="O182" s="50">
        <f>-PMT(Assumptions!D$25/12,Assumptions!D$24*12,N$8)*C182/100</f>
        <v>24.076871959270079</v>
      </c>
      <c r="P182" s="44">
        <f>O182*Assumptions!$D$24*12-N182</f>
        <v>619.22463511240949</v>
      </c>
      <c r="Q182" s="48"/>
      <c r="R182" s="40">
        <f t="shared" si="27"/>
        <v>11350</v>
      </c>
      <c r="S182" s="40">
        <f>-PMT(Assumptions!E$25/12,Assumptions!E$24*12,$R$8)*$C182/100</f>
        <v>120.3843597963504</v>
      </c>
      <c r="T182" s="40">
        <f>S182*Assumptions!$E$24*12-R182</f>
        <v>3096.1231755620465</v>
      </c>
      <c r="U182" s="48"/>
      <c r="V182" s="40">
        <f t="shared" si="28"/>
        <v>0</v>
      </c>
      <c r="W182" s="40" t="e">
        <f>-PMT(Assumptions!F$25/12,Assumptions!F$24*12,$V$8)*$C182/100</f>
        <v>#NUM!</v>
      </c>
      <c r="X182" s="40" t="e">
        <f>W182*Assumptions!$F$24*12-V182</f>
        <v>#NUM!</v>
      </c>
      <c r="Y182" s="43"/>
      <c r="Z182" s="40">
        <f t="shared" si="29"/>
        <v>0</v>
      </c>
      <c r="AA182" s="50" t="e">
        <f>-PMT(Assumptions!G$25/12,Assumptions!G$24*12,$Z$8)*$C182/100</f>
        <v>#NUM!</v>
      </c>
      <c r="AB182" s="44" t="e">
        <f>AA182*Assumptions!$G$24*12-Z182</f>
        <v>#NUM!</v>
      </c>
      <c r="AD182" s="54">
        <f t="shared" si="36"/>
        <v>0</v>
      </c>
      <c r="AE182" s="54">
        <f t="shared" si="37"/>
        <v>0</v>
      </c>
      <c r="AF182" s="54">
        <f t="shared" si="38"/>
        <v>2270</v>
      </c>
      <c r="AG182" s="54">
        <f t="shared" si="39"/>
        <v>11350</v>
      </c>
      <c r="AH182" s="54">
        <f t="shared" si="40"/>
        <v>0</v>
      </c>
      <c r="AI182" s="54">
        <f t="shared" si="41"/>
        <v>0</v>
      </c>
    </row>
    <row r="183" spans="1:35" ht="15" x14ac:dyDescent="0.2">
      <c r="A183" s="56" t="s">
        <v>278</v>
      </c>
      <c r="B183" s="32"/>
      <c r="C183" s="56">
        <v>0.23599999999999999</v>
      </c>
      <c r="D183" s="56">
        <v>370.54</v>
      </c>
      <c r="E183" s="36"/>
      <c r="F183" s="40">
        <f t="shared" si="24"/>
        <v>0</v>
      </c>
      <c r="G183" s="40" t="e">
        <f>-PMT(Assumptions!B$25/12,Assumptions!B$24*12,F$8)*C183/100</f>
        <v>#NUM!</v>
      </c>
      <c r="H183" s="40" t="e">
        <f>G183*Assumptions!$B$24*12-F183</f>
        <v>#NUM!</v>
      </c>
      <c r="I183" s="48"/>
      <c r="J183" s="40">
        <f t="shared" si="25"/>
        <v>0</v>
      </c>
      <c r="K183" s="40" t="e">
        <f>-PMT(Assumptions!C$25/12,Assumptions!C$24*12,J$8)*C183/100</f>
        <v>#NUM!</v>
      </c>
      <c r="L183" s="40" t="e">
        <f>K183*Assumptions!$C$24*12-J183</f>
        <v>#NUM!</v>
      </c>
      <c r="M183" s="43"/>
      <c r="N183" s="40">
        <f t="shared" si="26"/>
        <v>2360</v>
      </c>
      <c r="O183" s="50">
        <f>-PMT(Assumptions!D$25/12,Assumptions!D$24*12,N$8)*C183/100</f>
        <v>25.031461596421753</v>
      </c>
      <c r="P183" s="44">
        <f>O183*Assumptions!$D$24*12-N183</f>
        <v>643.77539157061028</v>
      </c>
      <c r="Q183" s="48"/>
      <c r="R183" s="40">
        <f t="shared" si="27"/>
        <v>11800</v>
      </c>
      <c r="S183" s="40">
        <f>-PMT(Assumptions!E$25/12,Assumptions!E$24*12,$R$8)*$C183/100</f>
        <v>125.15730798210878</v>
      </c>
      <c r="T183" s="40">
        <f>S183*Assumptions!$E$24*12-R183</f>
        <v>3218.8769578530519</v>
      </c>
      <c r="U183" s="48"/>
      <c r="V183" s="40">
        <f t="shared" si="28"/>
        <v>0</v>
      </c>
      <c r="W183" s="40" t="e">
        <f>-PMT(Assumptions!F$25/12,Assumptions!F$24*12,$V$8)*$C183/100</f>
        <v>#NUM!</v>
      </c>
      <c r="X183" s="40" t="e">
        <f>W183*Assumptions!$F$24*12-V183</f>
        <v>#NUM!</v>
      </c>
      <c r="Y183" s="43"/>
      <c r="Z183" s="40">
        <f t="shared" si="29"/>
        <v>0</v>
      </c>
      <c r="AA183" s="50" t="e">
        <f>-PMT(Assumptions!G$25/12,Assumptions!G$24*12,$Z$8)*$C183/100</f>
        <v>#NUM!</v>
      </c>
      <c r="AB183" s="44" t="e">
        <f>AA183*Assumptions!$G$24*12-Z183</f>
        <v>#NUM!</v>
      </c>
      <c r="AD183" s="54">
        <f t="shared" si="36"/>
        <v>0</v>
      </c>
      <c r="AE183" s="54">
        <f t="shared" si="37"/>
        <v>0</v>
      </c>
      <c r="AF183" s="54">
        <f t="shared" si="38"/>
        <v>2360</v>
      </c>
      <c r="AG183" s="54">
        <f t="shared" si="39"/>
        <v>11800</v>
      </c>
      <c r="AH183" s="54">
        <f t="shared" si="40"/>
        <v>0</v>
      </c>
      <c r="AI183" s="54">
        <f t="shared" si="41"/>
        <v>0</v>
      </c>
    </row>
    <row r="184" spans="1:35" ht="15" x14ac:dyDescent="0.2">
      <c r="A184" s="56" t="s">
        <v>279</v>
      </c>
      <c r="B184" s="32"/>
      <c r="C184" s="56">
        <v>0.21199999999999999</v>
      </c>
      <c r="D184" s="56">
        <v>332.86</v>
      </c>
      <c r="E184" s="36"/>
      <c r="F184" s="40">
        <f t="shared" si="24"/>
        <v>0</v>
      </c>
      <c r="G184" s="40" t="e">
        <f>-PMT(Assumptions!B$25/12,Assumptions!B$24*12,F$8)*C184/100</f>
        <v>#NUM!</v>
      </c>
      <c r="H184" s="40" t="e">
        <f>G184*Assumptions!$B$24*12-F184</f>
        <v>#NUM!</v>
      </c>
      <c r="I184" s="48"/>
      <c r="J184" s="40">
        <f t="shared" si="25"/>
        <v>0</v>
      </c>
      <c r="K184" s="40" t="e">
        <f>-PMT(Assumptions!C$25/12,Assumptions!C$24*12,J$8)*C184/100</f>
        <v>#NUM!</v>
      </c>
      <c r="L184" s="40" t="e">
        <f>K184*Assumptions!$C$24*12-J184</f>
        <v>#NUM!</v>
      </c>
      <c r="M184" s="43"/>
      <c r="N184" s="40">
        <f t="shared" si="26"/>
        <v>2120</v>
      </c>
      <c r="O184" s="50">
        <f>-PMT(Assumptions!D$25/12,Assumptions!D$24*12,N$8)*C184/100</f>
        <v>22.485889230683949</v>
      </c>
      <c r="P184" s="44">
        <f>O184*Assumptions!$D$24*12-N184</f>
        <v>578.30670768207392</v>
      </c>
      <c r="Q184" s="48"/>
      <c r="R184" s="40">
        <f t="shared" si="27"/>
        <v>10600</v>
      </c>
      <c r="S184" s="40">
        <f>-PMT(Assumptions!E$25/12,Assumptions!E$24*12,$R$8)*$C184/100</f>
        <v>112.42944615341975</v>
      </c>
      <c r="T184" s="40">
        <f>S184*Assumptions!$E$24*12-R184</f>
        <v>2891.533538410371</v>
      </c>
      <c r="U184" s="48"/>
      <c r="V184" s="40">
        <f t="shared" si="28"/>
        <v>0</v>
      </c>
      <c r="W184" s="40" t="e">
        <f>-PMT(Assumptions!F$25/12,Assumptions!F$24*12,$V$8)*$C184/100</f>
        <v>#NUM!</v>
      </c>
      <c r="X184" s="40" t="e">
        <f>W184*Assumptions!$F$24*12-V184</f>
        <v>#NUM!</v>
      </c>
      <c r="Y184" s="43"/>
      <c r="Z184" s="40">
        <f t="shared" si="29"/>
        <v>0</v>
      </c>
      <c r="AA184" s="50" t="e">
        <f>-PMT(Assumptions!G$25/12,Assumptions!G$24*12,$Z$8)*$C184/100</f>
        <v>#NUM!</v>
      </c>
      <c r="AB184" s="44" t="e">
        <f>AA184*Assumptions!$G$24*12-Z184</f>
        <v>#NUM!</v>
      </c>
      <c r="AD184" s="54">
        <f t="shared" si="36"/>
        <v>0</v>
      </c>
      <c r="AE184" s="54">
        <f t="shared" si="37"/>
        <v>0</v>
      </c>
      <c r="AF184" s="54">
        <f t="shared" si="38"/>
        <v>2120</v>
      </c>
      <c r="AG184" s="54">
        <f t="shared" si="39"/>
        <v>10600</v>
      </c>
      <c r="AH184" s="54">
        <f t="shared" si="40"/>
        <v>0</v>
      </c>
      <c r="AI184" s="54">
        <f t="shared" si="41"/>
        <v>0</v>
      </c>
    </row>
    <row r="185" spans="1:35" ht="15" x14ac:dyDescent="0.2">
      <c r="A185" s="56" t="s">
        <v>280</v>
      </c>
      <c r="B185" s="32"/>
      <c r="C185" s="56">
        <v>0.21199999999999999</v>
      </c>
      <c r="D185" s="56">
        <v>332.86</v>
      </c>
      <c r="E185" s="36"/>
      <c r="F185" s="40">
        <f t="shared" si="24"/>
        <v>0</v>
      </c>
      <c r="G185" s="40" t="e">
        <f>-PMT(Assumptions!B$25/12,Assumptions!B$24*12,F$8)*C185/100</f>
        <v>#NUM!</v>
      </c>
      <c r="H185" s="40" t="e">
        <f>G185*Assumptions!$B$24*12-F185</f>
        <v>#NUM!</v>
      </c>
      <c r="I185" s="48"/>
      <c r="J185" s="40">
        <f t="shared" si="25"/>
        <v>0</v>
      </c>
      <c r="K185" s="40" t="e">
        <f>-PMT(Assumptions!C$25/12,Assumptions!C$24*12,J$8)*C185/100</f>
        <v>#NUM!</v>
      </c>
      <c r="L185" s="40" t="e">
        <f>K185*Assumptions!$C$24*12-J185</f>
        <v>#NUM!</v>
      </c>
      <c r="M185" s="43"/>
      <c r="N185" s="40">
        <f t="shared" si="26"/>
        <v>2120</v>
      </c>
      <c r="O185" s="50">
        <f>-PMT(Assumptions!D$25/12,Assumptions!D$24*12,N$8)*C185/100</f>
        <v>22.485889230683949</v>
      </c>
      <c r="P185" s="44">
        <f>O185*Assumptions!$D$24*12-N185</f>
        <v>578.30670768207392</v>
      </c>
      <c r="Q185" s="48"/>
      <c r="R185" s="40">
        <f t="shared" si="27"/>
        <v>10600</v>
      </c>
      <c r="S185" s="40">
        <f>-PMT(Assumptions!E$25/12,Assumptions!E$24*12,$R$8)*$C185/100</f>
        <v>112.42944615341975</v>
      </c>
      <c r="T185" s="40">
        <f>S185*Assumptions!$E$24*12-R185</f>
        <v>2891.533538410371</v>
      </c>
      <c r="U185" s="48"/>
      <c r="V185" s="40">
        <f t="shared" si="28"/>
        <v>0</v>
      </c>
      <c r="W185" s="40" t="e">
        <f>-PMT(Assumptions!F$25/12,Assumptions!F$24*12,$V$8)*$C185/100</f>
        <v>#NUM!</v>
      </c>
      <c r="X185" s="40" t="e">
        <f>W185*Assumptions!$F$24*12-V185</f>
        <v>#NUM!</v>
      </c>
      <c r="Y185" s="43"/>
      <c r="Z185" s="40">
        <f t="shared" si="29"/>
        <v>0</v>
      </c>
      <c r="AA185" s="50" t="e">
        <f>-PMT(Assumptions!G$25/12,Assumptions!G$24*12,$Z$8)*$C185/100</f>
        <v>#NUM!</v>
      </c>
      <c r="AB185" s="44" t="e">
        <f>AA185*Assumptions!$G$24*12-Z185</f>
        <v>#NUM!</v>
      </c>
      <c r="AD185" s="54">
        <f t="shared" si="36"/>
        <v>0</v>
      </c>
      <c r="AE185" s="54">
        <f t="shared" si="37"/>
        <v>0</v>
      </c>
      <c r="AF185" s="54">
        <f t="shared" si="38"/>
        <v>2120</v>
      </c>
      <c r="AG185" s="54">
        <f t="shared" si="39"/>
        <v>10600</v>
      </c>
      <c r="AH185" s="54">
        <f t="shared" si="40"/>
        <v>0</v>
      </c>
      <c r="AI185" s="54">
        <f t="shared" si="41"/>
        <v>0</v>
      </c>
    </row>
    <row r="186" spans="1:35" ht="15" x14ac:dyDescent="0.2">
      <c r="A186" s="56" t="s">
        <v>281</v>
      </c>
      <c r="B186" s="32"/>
      <c r="C186" s="56">
        <v>0.28999999999999998</v>
      </c>
      <c r="D186" s="56">
        <v>455.33</v>
      </c>
      <c r="E186" s="36"/>
      <c r="F186" s="40">
        <f t="shared" si="24"/>
        <v>0</v>
      </c>
      <c r="G186" s="40" t="e">
        <f>-PMT(Assumptions!B$25/12,Assumptions!B$24*12,F$8)*C186/100</f>
        <v>#NUM!</v>
      </c>
      <c r="H186" s="40" t="e">
        <f>G186*Assumptions!$B$24*12-F186</f>
        <v>#NUM!</v>
      </c>
      <c r="I186" s="48"/>
      <c r="J186" s="40">
        <f t="shared" si="25"/>
        <v>0</v>
      </c>
      <c r="K186" s="40" t="e">
        <f>-PMT(Assumptions!C$25/12,Assumptions!C$24*12,J$8)*C186/100</f>
        <v>#NUM!</v>
      </c>
      <c r="L186" s="40" t="e">
        <f>K186*Assumptions!$C$24*12-J186</f>
        <v>#NUM!</v>
      </c>
      <c r="M186" s="43"/>
      <c r="N186" s="40">
        <f t="shared" si="26"/>
        <v>2900</v>
      </c>
      <c r="O186" s="50">
        <f>-PMT(Assumptions!D$25/12,Assumptions!D$24*12,N$8)*C186/100</f>
        <v>30.758999419331811</v>
      </c>
      <c r="P186" s="44">
        <f>O186*Assumptions!$D$24*12-N186</f>
        <v>791.07993031981732</v>
      </c>
      <c r="Q186" s="48"/>
      <c r="R186" s="40">
        <f t="shared" si="27"/>
        <v>14500</v>
      </c>
      <c r="S186" s="40">
        <f>-PMT(Assumptions!E$25/12,Assumptions!E$24*12,$R$8)*$C186/100</f>
        <v>153.79499709665907</v>
      </c>
      <c r="T186" s="40">
        <f>S186*Assumptions!$E$24*12-R186</f>
        <v>3955.3996515990875</v>
      </c>
      <c r="U186" s="48"/>
      <c r="V186" s="40">
        <f t="shared" si="28"/>
        <v>0</v>
      </c>
      <c r="W186" s="40" t="e">
        <f>-PMT(Assumptions!F$25/12,Assumptions!F$24*12,$V$8)*$C186/100</f>
        <v>#NUM!</v>
      </c>
      <c r="X186" s="40" t="e">
        <f>W186*Assumptions!$F$24*12-V186</f>
        <v>#NUM!</v>
      </c>
      <c r="Y186" s="43"/>
      <c r="Z186" s="40">
        <f t="shared" si="29"/>
        <v>0</v>
      </c>
      <c r="AA186" s="50" t="e">
        <f>-PMT(Assumptions!G$25/12,Assumptions!G$24*12,$Z$8)*$C186/100</f>
        <v>#NUM!</v>
      </c>
      <c r="AB186" s="44" t="e">
        <f>AA186*Assumptions!$G$24*12-Z186</f>
        <v>#NUM!</v>
      </c>
      <c r="AD186" s="54">
        <f t="shared" si="36"/>
        <v>0</v>
      </c>
      <c r="AE186" s="54">
        <f t="shared" si="37"/>
        <v>0</v>
      </c>
      <c r="AF186" s="54">
        <f t="shared" si="38"/>
        <v>2900</v>
      </c>
      <c r="AG186" s="54">
        <f t="shared" si="39"/>
        <v>14500</v>
      </c>
      <c r="AH186" s="54">
        <f t="shared" si="40"/>
        <v>0</v>
      </c>
      <c r="AI186" s="54">
        <f t="shared" si="41"/>
        <v>0</v>
      </c>
    </row>
    <row r="187" spans="1:35" ht="15" x14ac:dyDescent="0.2">
      <c r="A187" s="56" t="s">
        <v>282</v>
      </c>
      <c r="B187" s="32"/>
      <c r="C187" s="56">
        <v>0.28999999999999998</v>
      </c>
      <c r="D187" s="56">
        <v>455.33</v>
      </c>
      <c r="E187" s="36"/>
      <c r="F187" s="40">
        <f t="shared" si="24"/>
        <v>0</v>
      </c>
      <c r="G187" s="40" t="e">
        <f>-PMT(Assumptions!B$25/12,Assumptions!B$24*12,F$8)*C187/100</f>
        <v>#NUM!</v>
      </c>
      <c r="H187" s="40" t="e">
        <f>G187*Assumptions!$B$24*12-F187</f>
        <v>#NUM!</v>
      </c>
      <c r="I187" s="48"/>
      <c r="J187" s="40">
        <f t="shared" si="25"/>
        <v>0</v>
      </c>
      <c r="K187" s="40" t="e">
        <f>-PMT(Assumptions!C$25/12,Assumptions!C$24*12,J$8)*C187/100</f>
        <v>#NUM!</v>
      </c>
      <c r="L187" s="40" t="e">
        <f>K187*Assumptions!$C$24*12-J187</f>
        <v>#NUM!</v>
      </c>
      <c r="M187" s="43"/>
      <c r="N187" s="40">
        <f t="shared" si="26"/>
        <v>2900</v>
      </c>
      <c r="O187" s="50">
        <f>-PMT(Assumptions!D$25/12,Assumptions!D$24*12,N$8)*C187/100</f>
        <v>30.758999419331811</v>
      </c>
      <c r="P187" s="44">
        <f>O187*Assumptions!$D$24*12-N187</f>
        <v>791.07993031981732</v>
      </c>
      <c r="Q187" s="48"/>
      <c r="R187" s="40">
        <f t="shared" si="27"/>
        <v>14500</v>
      </c>
      <c r="S187" s="40">
        <f>-PMT(Assumptions!E$25/12,Assumptions!E$24*12,$R$8)*$C187/100</f>
        <v>153.79499709665907</v>
      </c>
      <c r="T187" s="40">
        <f>S187*Assumptions!$E$24*12-R187</f>
        <v>3955.3996515990875</v>
      </c>
      <c r="U187" s="48"/>
      <c r="V187" s="40">
        <f t="shared" si="28"/>
        <v>0</v>
      </c>
      <c r="W187" s="40" t="e">
        <f>-PMT(Assumptions!F$25/12,Assumptions!F$24*12,$V$8)*$C187/100</f>
        <v>#NUM!</v>
      </c>
      <c r="X187" s="40" t="e">
        <f>W187*Assumptions!$F$24*12-V187</f>
        <v>#NUM!</v>
      </c>
      <c r="Y187" s="43"/>
      <c r="Z187" s="40">
        <f t="shared" si="29"/>
        <v>0</v>
      </c>
      <c r="AA187" s="50" t="e">
        <f>-PMT(Assumptions!G$25/12,Assumptions!G$24*12,$Z$8)*$C187/100</f>
        <v>#NUM!</v>
      </c>
      <c r="AB187" s="44" t="e">
        <f>AA187*Assumptions!$G$24*12-Z187</f>
        <v>#NUM!</v>
      </c>
      <c r="AD187" s="54">
        <f t="shared" si="36"/>
        <v>0</v>
      </c>
      <c r="AE187" s="54">
        <f t="shared" si="37"/>
        <v>0</v>
      </c>
      <c r="AF187" s="54">
        <f t="shared" si="38"/>
        <v>2900</v>
      </c>
      <c r="AG187" s="54">
        <f t="shared" si="39"/>
        <v>14500</v>
      </c>
      <c r="AH187" s="54">
        <f t="shared" si="40"/>
        <v>0</v>
      </c>
      <c r="AI187" s="54">
        <f t="shared" si="41"/>
        <v>0</v>
      </c>
    </row>
    <row r="188" spans="1:35" ht="15" x14ac:dyDescent="0.2">
      <c r="A188" s="56" t="s">
        <v>283</v>
      </c>
      <c r="B188" s="32"/>
      <c r="C188" s="56">
        <v>0.309</v>
      </c>
      <c r="D188" s="56">
        <v>485.16</v>
      </c>
      <c r="E188" s="36"/>
      <c r="F188" s="40">
        <f t="shared" si="24"/>
        <v>0</v>
      </c>
      <c r="G188" s="40" t="e">
        <f>-PMT(Assumptions!B$25/12,Assumptions!B$24*12,F$8)*C188/100</f>
        <v>#NUM!</v>
      </c>
      <c r="H188" s="40" t="e">
        <f>G188*Assumptions!$B$24*12-F188</f>
        <v>#NUM!</v>
      </c>
      <c r="I188" s="48"/>
      <c r="J188" s="40">
        <f t="shared" si="25"/>
        <v>0</v>
      </c>
      <c r="K188" s="40" t="e">
        <f>-PMT(Assumptions!C$25/12,Assumptions!C$24*12,J$8)*C188/100</f>
        <v>#NUM!</v>
      </c>
      <c r="L188" s="40" t="e">
        <f>K188*Assumptions!$C$24*12-J188</f>
        <v>#NUM!</v>
      </c>
      <c r="M188" s="43"/>
      <c r="N188" s="40">
        <f t="shared" si="26"/>
        <v>3090</v>
      </c>
      <c r="O188" s="50">
        <f>-PMT(Assumptions!D$25/12,Assumptions!D$24*12,N$8)*C188/100</f>
        <v>32.774244208874251</v>
      </c>
      <c r="P188" s="44">
        <f>O188*Assumptions!$D$24*12-N188</f>
        <v>842.90930506490986</v>
      </c>
      <c r="Q188" s="48"/>
      <c r="R188" s="40">
        <f t="shared" si="27"/>
        <v>15450</v>
      </c>
      <c r="S188" s="40">
        <f>-PMT(Assumptions!E$25/12,Assumptions!E$24*12,$R$8)*$C188/100</f>
        <v>163.87122104437123</v>
      </c>
      <c r="T188" s="40">
        <f>S188*Assumptions!$E$24*12-R188</f>
        <v>4214.5465253245457</v>
      </c>
      <c r="U188" s="48"/>
      <c r="V188" s="40">
        <f t="shared" si="28"/>
        <v>0</v>
      </c>
      <c r="W188" s="40" t="e">
        <f>-PMT(Assumptions!F$25/12,Assumptions!F$24*12,$V$8)*$C188/100</f>
        <v>#NUM!</v>
      </c>
      <c r="X188" s="40" t="e">
        <f>W188*Assumptions!$F$24*12-V188</f>
        <v>#NUM!</v>
      </c>
      <c r="Y188" s="43"/>
      <c r="Z188" s="40">
        <f t="shared" si="29"/>
        <v>0</v>
      </c>
      <c r="AA188" s="50" t="e">
        <f>-PMT(Assumptions!G$25/12,Assumptions!G$24*12,$Z$8)*$C188/100</f>
        <v>#NUM!</v>
      </c>
      <c r="AB188" s="44" t="e">
        <f>AA188*Assumptions!$G$24*12-Z188</f>
        <v>#NUM!</v>
      </c>
      <c r="AD188" s="54">
        <f t="shared" si="36"/>
        <v>0</v>
      </c>
      <c r="AE188" s="54">
        <f t="shared" si="37"/>
        <v>0</v>
      </c>
      <c r="AF188" s="54">
        <f t="shared" si="38"/>
        <v>3090</v>
      </c>
      <c r="AG188" s="54">
        <f t="shared" si="39"/>
        <v>15450</v>
      </c>
      <c r="AH188" s="54">
        <f t="shared" si="40"/>
        <v>0</v>
      </c>
      <c r="AI188" s="54">
        <f t="shared" si="41"/>
        <v>0</v>
      </c>
    </row>
    <row r="189" spans="1:35" ht="15" x14ac:dyDescent="0.2">
      <c r="A189" s="56" t="s">
        <v>284</v>
      </c>
      <c r="B189" s="32"/>
      <c r="C189" s="56">
        <v>0.309</v>
      </c>
      <c r="D189" s="56">
        <v>485.16</v>
      </c>
      <c r="E189" s="36"/>
      <c r="F189" s="40">
        <f t="shared" si="24"/>
        <v>0</v>
      </c>
      <c r="G189" s="40" t="e">
        <f>-PMT(Assumptions!B$25/12,Assumptions!B$24*12,F$8)*C189/100</f>
        <v>#NUM!</v>
      </c>
      <c r="H189" s="40" t="e">
        <f>G189*Assumptions!$B$24*12-F189</f>
        <v>#NUM!</v>
      </c>
      <c r="I189" s="48"/>
      <c r="J189" s="40">
        <f t="shared" si="25"/>
        <v>0</v>
      </c>
      <c r="K189" s="40" t="e">
        <f>-PMT(Assumptions!C$25/12,Assumptions!C$24*12,J$8)*C189/100</f>
        <v>#NUM!</v>
      </c>
      <c r="L189" s="40" t="e">
        <f>K189*Assumptions!$C$24*12-J189</f>
        <v>#NUM!</v>
      </c>
      <c r="M189" s="43"/>
      <c r="N189" s="40">
        <f t="shared" si="26"/>
        <v>3090</v>
      </c>
      <c r="O189" s="50">
        <f>-PMT(Assumptions!D$25/12,Assumptions!D$24*12,N$8)*C189/100</f>
        <v>32.774244208874251</v>
      </c>
      <c r="P189" s="44">
        <f>O189*Assumptions!$D$24*12-N189</f>
        <v>842.90930506490986</v>
      </c>
      <c r="Q189" s="48"/>
      <c r="R189" s="40">
        <f t="shared" si="27"/>
        <v>15450</v>
      </c>
      <c r="S189" s="40">
        <f>-PMT(Assumptions!E$25/12,Assumptions!E$24*12,$R$8)*$C189/100</f>
        <v>163.87122104437123</v>
      </c>
      <c r="T189" s="40">
        <f>S189*Assumptions!$E$24*12-R189</f>
        <v>4214.5465253245457</v>
      </c>
      <c r="U189" s="48"/>
      <c r="V189" s="40">
        <f t="shared" si="28"/>
        <v>0</v>
      </c>
      <c r="W189" s="40" t="e">
        <f>-PMT(Assumptions!F$25/12,Assumptions!F$24*12,$V$8)*$C189/100</f>
        <v>#NUM!</v>
      </c>
      <c r="X189" s="40" t="e">
        <f>W189*Assumptions!$F$24*12-V189</f>
        <v>#NUM!</v>
      </c>
      <c r="Y189" s="43"/>
      <c r="Z189" s="40">
        <f t="shared" si="29"/>
        <v>0</v>
      </c>
      <c r="AA189" s="50" t="e">
        <f>-PMT(Assumptions!G$25/12,Assumptions!G$24*12,$Z$8)*$C189/100</f>
        <v>#NUM!</v>
      </c>
      <c r="AB189" s="44" t="e">
        <f>AA189*Assumptions!$G$24*12-Z189</f>
        <v>#NUM!</v>
      </c>
      <c r="AD189" s="54">
        <f t="shared" si="36"/>
        <v>0</v>
      </c>
      <c r="AE189" s="54">
        <f t="shared" si="37"/>
        <v>0</v>
      </c>
      <c r="AF189" s="54">
        <f t="shared" si="38"/>
        <v>3090</v>
      </c>
      <c r="AG189" s="54">
        <f t="shared" si="39"/>
        <v>15450</v>
      </c>
      <c r="AH189" s="54">
        <f t="shared" si="40"/>
        <v>0</v>
      </c>
      <c r="AI189" s="54">
        <f t="shared" si="41"/>
        <v>0</v>
      </c>
    </row>
    <row r="190" spans="1:35" ht="15" x14ac:dyDescent="0.2">
      <c r="A190" s="56" t="s">
        <v>285</v>
      </c>
      <c r="B190" s="32"/>
      <c r="C190" s="56">
        <v>0.19800000000000001</v>
      </c>
      <c r="D190" s="56">
        <v>310.88</v>
      </c>
      <c r="E190" s="36"/>
      <c r="F190" s="40">
        <f t="shared" si="24"/>
        <v>0</v>
      </c>
      <c r="G190" s="40" t="e">
        <f>-PMT(Assumptions!B$25/12,Assumptions!B$24*12,F$8)*C190/100</f>
        <v>#NUM!</v>
      </c>
      <c r="H190" s="40" t="e">
        <f>G190*Assumptions!$B$24*12-F190</f>
        <v>#NUM!</v>
      </c>
      <c r="I190" s="48"/>
      <c r="J190" s="40">
        <f t="shared" si="25"/>
        <v>0</v>
      </c>
      <c r="K190" s="40" t="e">
        <f>-PMT(Assumptions!C$25/12,Assumptions!C$24*12,J$8)*C190/100</f>
        <v>#NUM!</v>
      </c>
      <c r="L190" s="40" t="e">
        <f>K190*Assumptions!$C$24*12-J190</f>
        <v>#NUM!</v>
      </c>
      <c r="M190" s="43"/>
      <c r="N190" s="40">
        <f t="shared" si="26"/>
        <v>1980</v>
      </c>
      <c r="O190" s="50">
        <f>-PMT(Assumptions!D$25/12,Assumptions!D$24*12,N$8)*C190/100</f>
        <v>21.000972017336899</v>
      </c>
      <c r="P190" s="44">
        <f>O190*Assumptions!$D$24*12-N190</f>
        <v>540.11664208042748</v>
      </c>
      <c r="Q190" s="48"/>
      <c r="R190" s="40">
        <f t="shared" si="27"/>
        <v>9900</v>
      </c>
      <c r="S190" s="40">
        <f>-PMT(Assumptions!E$25/12,Assumptions!E$24*12,$R$8)*$C190/100</f>
        <v>105.00486008668449</v>
      </c>
      <c r="T190" s="40">
        <f>S190*Assumptions!$E$24*12-R190</f>
        <v>2700.5832104021392</v>
      </c>
      <c r="U190" s="48"/>
      <c r="V190" s="40">
        <f t="shared" si="28"/>
        <v>0</v>
      </c>
      <c r="W190" s="40" t="e">
        <f>-PMT(Assumptions!F$25/12,Assumptions!F$24*12,$V$8)*$C190/100</f>
        <v>#NUM!</v>
      </c>
      <c r="X190" s="40" t="e">
        <f>W190*Assumptions!$F$24*12-V190</f>
        <v>#NUM!</v>
      </c>
      <c r="Y190" s="43"/>
      <c r="Z190" s="40">
        <f t="shared" si="29"/>
        <v>0</v>
      </c>
      <c r="AA190" s="50" t="e">
        <f>-PMT(Assumptions!G$25/12,Assumptions!G$24*12,$Z$8)*$C190/100</f>
        <v>#NUM!</v>
      </c>
      <c r="AB190" s="44" t="e">
        <f>AA190*Assumptions!$G$24*12-Z190</f>
        <v>#NUM!</v>
      </c>
      <c r="AD190" s="54">
        <f t="shared" si="36"/>
        <v>0</v>
      </c>
      <c r="AE190" s="54">
        <f t="shared" si="37"/>
        <v>0</v>
      </c>
      <c r="AF190" s="54">
        <f t="shared" si="38"/>
        <v>1980</v>
      </c>
      <c r="AG190" s="54">
        <f t="shared" si="39"/>
        <v>9900</v>
      </c>
      <c r="AH190" s="54">
        <f t="shared" si="40"/>
        <v>0</v>
      </c>
      <c r="AI190" s="54">
        <f t="shared" si="41"/>
        <v>0</v>
      </c>
    </row>
    <row r="191" spans="1:35" ht="15" x14ac:dyDescent="0.2">
      <c r="A191" s="56" t="s">
        <v>286</v>
      </c>
      <c r="B191" s="32"/>
      <c r="C191" s="56">
        <v>0.19800000000000001</v>
      </c>
      <c r="D191" s="56">
        <v>310.88</v>
      </c>
      <c r="E191" s="36"/>
      <c r="F191" s="40">
        <f t="shared" si="24"/>
        <v>0</v>
      </c>
      <c r="G191" s="40" t="e">
        <f>-PMT(Assumptions!B$25/12,Assumptions!B$24*12,F$8)*C191/100</f>
        <v>#NUM!</v>
      </c>
      <c r="H191" s="40" t="e">
        <f>G191*Assumptions!$B$24*12-F191</f>
        <v>#NUM!</v>
      </c>
      <c r="I191" s="48"/>
      <c r="J191" s="40">
        <f t="shared" si="25"/>
        <v>0</v>
      </c>
      <c r="K191" s="40" t="e">
        <f>-PMT(Assumptions!C$25/12,Assumptions!C$24*12,J$8)*C191/100</f>
        <v>#NUM!</v>
      </c>
      <c r="L191" s="40" t="e">
        <f>K191*Assumptions!$C$24*12-J191</f>
        <v>#NUM!</v>
      </c>
      <c r="M191" s="43"/>
      <c r="N191" s="40">
        <f t="shared" si="26"/>
        <v>1980</v>
      </c>
      <c r="O191" s="50">
        <f>-PMT(Assumptions!D$25/12,Assumptions!D$24*12,N$8)*C191/100</f>
        <v>21.000972017336899</v>
      </c>
      <c r="P191" s="44">
        <f>O191*Assumptions!$D$24*12-N191</f>
        <v>540.11664208042748</v>
      </c>
      <c r="Q191" s="48"/>
      <c r="R191" s="40">
        <f t="shared" si="27"/>
        <v>9900</v>
      </c>
      <c r="S191" s="40">
        <f>-PMT(Assumptions!E$25/12,Assumptions!E$24*12,$R$8)*$C191/100</f>
        <v>105.00486008668449</v>
      </c>
      <c r="T191" s="40">
        <f>S191*Assumptions!$E$24*12-R191</f>
        <v>2700.5832104021392</v>
      </c>
      <c r="U191" s="48"/>
      <c r="V191" s="40">
        <f t="shared" si="28"/>
        <v>0</v>
      </c>
      <c r="W191" s="40" t="e">
        <f>-PMT(Assumptions!F$25/12,Assumptions!F$24*12,$V$8)*$C191/100</f>
        <v>#NUM!</v>
      </c>
      <c r="X191" s="40" t="e">
        <f>W191*Assumptions!$F$24*12-V191</f>
        <v>#NUM!</v>
      </c>
      <c r="Y191" s="43"/>
      <c r="Z191" s="40">
        <f t="shared" si="29"/>
        <v>0</v>
      </c>
      <c r="AA191" s="50" t="e">
        <f>-PMT(Assumptions!G$25/12,Assumptions!G$24*12,$Z$8)*$C191/100</f>
        <v>#NUM!</v>
      </c>
      <c r="AB191" s="44" t="e">
        <f>AA191*Assumptions!$G$24*12-Z191</f>
        <v>#NUM!</v>
      </c>
      <c r="AD191" s="54">
        <f t="shared" si="36"/>
        <v>0</v>
      </c>
      <c r="AE191" s="54">
        <f t="shared" si="37"/>
        <v>0</v>
      </c>
      <c r="AF191" s="54">
        <f t="shared" si="38"/>
        <v>1980</v>
      </c>
      <c r="AG191" s="54">
        <f t="shared" si="39"/>
        <v>9900</v>
      </c>
      <c r="AH191" s="54">
        <f t="shared" si="40"/>
        <v>0</v>
      </c>
      <c r="AI191" s="54">
        <f t="shared" si="41"/>
        <v>0</v>
      </c>
    </row>
    <row r="192" spans="1:35" ht="15" x14ac:dyDescent="0.2">
      <c r="A192" s="56" t="s">
        <v>287</v>
      </c>
      <c r="B192" s="32"/>
      <c r="C192" s="56">
        <v>0.14299999999999999</v>
      </c>
      <c r="D192" s="56">
        <v>224.52</v>
      </c>
      <c r="E192" s="36"/>
      <c r="F192" s="40">
        <f t="shared" si="24"/>
        <v>0</v>
      </c>
      <c r="G192" s="40" t="e">
        <f>-PMT(Assumptions!B$25/12,Assumptions!B$24*12,F$8)*C192/100</f>
        <v>#NUM!</v>
      </c>
      <c r="H192" s="40" t="e">
        <f>G192*Assumptions!$B$24*12-F192</f>
        <v>#NUM!</v>
      </c>
      <c r="I192" s="48"/>
      <c r="J192" s="40">
        <f t="shared" si="25"/>
        <v>0</v>
      </c>
      <c r="K192" s="40" t="e">
        <f>-PMT(Assumptions!C$25/12,Assumptions!C$24*12,J$8)*C192/100</f>
        <v>#NUM!</v>
      </c>
      <c r="L192" s="40" t="e">
        <f>K192*Assumptions!$C$24*12-J192</f>
        <v>#NUM!</v>
      </c>
      <c r="M192" s="43"/>
      <c r="N192" s="40">
        <f t="shared" si="26"/>
        <v>1430</v>
      </c>
      <c r="O192" s="50">
        <f>-PMT(Assumptions!D$25/12,Assumptions!D$24*12,N$8)*C192/100</f>
        <v>15.167368679187756</v>
      </c>
      <c r="P192" s="44">
        <f>O192*Assumptions!$D$24*12-N192</f>
        <v>390.08424150253086</v>
      </c>
      <c r="Q192" s="48"/>
      <c r="R192" s="40">
        <f t="shared" si="27"/>
        <v>7149.9999999999991</v>
      </c>
      <c r="S192" s="40">
        <f>-PMT(Assumptions!E$25/12,Assumptions!E$24*12,$R$8)*$C192/100</f>
        <v>75.836843395938786</v>
      </c>
      <c r="T192" s="40">
        <f>S192*Assumptions!$E$24*12-R192</f>
        <v>1950.4212075126552</v>
      </c>
      <c r="U192" s="48"/>
      <c r="V192" s="40">
        <f t="shared" si="28"/>
        <v>0</v>
      </c>
      <c r="W192" s="40" t="e">
        <f>-PMT(Assumptions!F$25/12,Assumptions!F$24*12,$V$8)*$C192/100</f>
        <v>#NUM!</v>
      </c>
      <c r="X192" s="40" t="e">
        <f>W192*Assumptions!$F$24*12-V192</f>
        <v>#NUM!</v>
      </c>
      <c r="Y192" s="43"/>
      <c r="Z192" s="40">
        <f t="shared" si="29"/>
        <v>0</v>
      </c>
      <c r="AA192" s="50" t="e">
        <f>-PMT(Assumptions!G$25/12,Assumptions!G$24*12,$Z$8)*$C192/100</f>
        <v>#NUM!</v>
      </c>
      <c r="AB192" s="44" t="e">
        <f>AA192*Assumptions!$G$24*12-Z192</f>
        <v>#NUM!</v>
      </c>
      <c r="AD192" s="54">
        <f t="shared" si="36"/>
        <v>0</v>
      </c>
      <c r="AE192" s="54">
        <f t="shared" si="37"/>
        <v>0</v>
      </c>
      <c r="AF192" s="54">
        <f t="shared" si="38"/>
        <v>1430</v>
      </c>
      <c r="AG192" s="54">
        <f t="shared" si="39"/>
        <v>7149.9999999999991</v>
      </c>
      <c r="AH192" s="54">
        <f t="shared" si="40"/>
        <v>0</v>
      </c>
      <c r="AI192" s="54">
        <f t="shared" si="41"/>
        <v>0</v>
      </c>
    </row>
    <row r="193" spans="1:35" ht="15" x14ac:dyDescent="0.2">
      <c r="A193" s="56" t="s">
        <v>288</v>
      </c>
      <c r="B193" s="32"/>
      <c r="C193" s="56">
        <v>0.152</v>
      </c>
      <c r="D193" s="56">
        <v>238.66</v>
      </c>
      <c r="E193" s="36"/>
      <c r="F193" s="40">
        <f t="shared" si="24"/>
        <v>0</v>
      </c>
      <c r="G193" s="40" t="e">
        <f>-PMT(Assumptions!B$25/12,Assumptions!B$24*12,F$8)*C193/100</f>
        <v>#NUM!</v>
      </c>
      <c r="H193" s="40" t="e">
        <f>G193*Assumptions!$B$24*12-F193</f>
        <v>#NUM!</v>
      </c>
      <c r="I193" s="48"/>
      <c r="J193" s="40">
        <f t="shared" si="25"/>
        <v>0</v>
      </c>
      <c r="K193" s="40" t="e">
        <f>-PMT(Assumptions!C$25/12,Assumptions!C$24*12,J$8)*C193/100</f>
        <v>#NUM!</v>
      </c>
      <c r="L193" s="40" t="e">
        <f>K193*Assumptions!$C$24*12-J193</f>
        <v>#NUM!</v>
      </c>
      <c r="M193" s="43"/>
      <c r="N193" s="40">
        <f t="shared" si="26"/>
        <v>1520</v>
      </c>
      <c r="O193" s="50">
        <f>-PMT(Assumptions!D$25/12,Assumptions!D$24*12,N$8)*C193/100</f>
        <v>16.121958316339434</v>
      </c>
      <c r="P193" s="44">
        <f>O193*Assumptions!$D$24*12-N193</f>
        <v>414.63499796073211</v>
      </c>
      <c r="Q193" s="48"/>
      <c r="R193" s="40">
        <f t="shared" si="27"/>
        <v>7600</v>
      </c>
      <c r="S193" s="40">
        <f>-PMT(Assumptions!E$25/12,Assumptions!E$24*12,$R$8)*$C193/100</f>
        <v>80.609791581697166</v>
      </c>
      <c r="T193" s="40">
        <f>S193*Assumptions!$E$24*12-R193</f>
        <v>2073.1749898036596</v>
      </c>
      <c r="U193" s="48"/>
      <c r="V193" s="40">
        <f t="shared" si="28"/>
        <v>0</v>
      </c>
      <c r="W193" s="40" t="e">
        <f>-PMT(Assumptions!F$25/12,Assumptions!F$24*12,$V$8)*$C193/100</f>
        <v>#NUM!</v>
      </c>
      <c r="X193" s="40" t="e">
        <f>W193*Assumptions!$F$24*12-V193</f>
        <v>#NUM!</v>
      </c>
      <c r="Y193" s="43"/>
      <c r="Z193" s="40">
        <f t="shared" si="29"/>
        <v>0</v>
      </c>
      <c r="AA193" s="50" t="e">
        <f>-PMT(Assumptions!G$25/12,Assumptions!G$24*12,$Z$8)*$C193/100</f>
        <v>#NUM!</v>
      </c>
      <c r="AB193" s="44" t="e">
        <f>AA193*Assumptions!$G$24*12-Z193</f>
        <v>#NUM!</v>
      </c>
      <c r="AD193" s="54">
        <f t="shared" si="36"/>
        <v>0</v>
      </c>
      <c r="AE193" s="54">
        <f t="shared" si="37"/>
        <v>0</v>
      </c>
      <c r="AF193" s="54">
        <f t="shared" si="38"/>
        <v>1520</v>
      </c>
      <c r="AG193" s="54">
        <f t="shared" si="39"/>
        <v>7600</v>
      </c>
      <c r="AH193" s="54">
        <f t="shared" si="40"/>
        <v>0</v>
      </c>
      <c r="AI193" s="54">
        <f t="shared" si="41"/>
        <v>0</v>
      </c>
    </row>
    <row r="194" spans="1:35" ht="15" x14ac:dyDescent="0.2">
      <c r="A194" s="56" t="s">
        <v>289</v>
      </c>
      <c r="B194" s="32"/>
      <c r="C194" s="56">
        <v>0.14299999999999999</v>
      </c>
      <c r="D194" s="56">
        <v>224.52</v>
      </c>
      <c r="E194" s="36"/>
      <c r="F194" s="40">
        <f t="shared" si="24"/>
        <v>0</v>
      </c>
      <c r="G194" s="40" t="e">
        <f>-PMT(Assumptions!B$25/12,Assumptions!B$24*12,F$8)*C194/100</f>
        <v>#NUM!</v>
      </c>
      <c r="H194" s="40" t="e">
        <f>G194*Assumptions!$B$24*12-F194</f>
        <v>#NUM!</v>
      </c>
      <c r="I194" s="48"/>
      <c r="J194" s="40">
        <f t="shared" si="25"/>
        <v>0</v>
      </c>
      <c r="K194" s="40" t="e">
        <f>-PMT(Assumptions!C$25/12,Assumptions!C$24*12,J$8)*C194/100</f>
        <v>#NUM!</v>
      </c>
      <c r="L194" s="40" t="e">
        <f>K194*Assumptions!$C$24*12-J194</f>
        <v>#NUM!</v>
      </c>
      <c r="M194" s="43"/>
      <c r="N194" s="40">
        <f t="shared" si="26"/>
        <v>1430</v>
      </c>
      <c r="O194" s="50">
        <f>-PMT(Assumptions!D$25/12,Assumptions!D$24*12,N$8)*C194/100</f>
        <v>15.167368679187756</v>
      </c>
      <c r="P194" s="44">
        <f>O194*Assumptions!$D$24*12-N194</f>
        <v>390.08424150253086</v>
      </c>
      <c r="Q194" s="48"/>
      <c r="R194" s="40">
        <f t="shared" si="27"/>
        <v>7149.9999999999991</v>
      </c>
      <c r="S194" s="40">
        <f>-PMT(Assumptions!E$25/12,Assumptions!E$24*12,$R$8)*$C194/100</f>
        <v>75.836843395938786</v>
      </c>
      <c r="T194" s="40">
        <f>S194*Assumptions!$E$24*12-R194</f>
        <v>1950.4212075126552</v>
      </c>
      <c r="U194" s="48"/>
      <c r="V194" s="40">
        <f t="shared" si="28"/>
        <v>0</v>
      </c>
      <c r="W194" s="40" t="e">
        <f>-PMT(Assumptions!F$25/12,Assumptions!F$24*12,$V$8)*$C194/100</f>
        <v>#NUM!</v>
      </c>
      <c r="X194" s="40" t="e">
        <f>W194*Assumptions!$F$24*12-V194</f>
        <v>#NUM!</v>
      </c>
      <c r="Y194" s="43"/>
      <c r="Z194" s="40">
        <f t="shared" si="29"/>
        <v>0</v>
      </c>
      <c r="AA194" s="50" t="e">
        <f>-PMT(Assumptions!G$25/12,Assumptions!G$24*12,$Z$8)*$C194/100</f>
        <v>#NUM!</v>
      </c>
      <c r="AB194" s="44" t="e">
        <f>AA194*Assumptions!$G$24*12-Z194</f>
        <v>#NUM!</v>
      </c>
      <c r="AD194" s="54">
        <f t="shared" si="36"/>
        <v>0</v>
      </c>
      <c r="AE194" s="54">
        <f t="shared" si="37"/>
        <v>0</v>
      </c>
      <c r="AF194" s="54">
        <f t="shared" si="38"/>
        <v>1430</v>
      </c>
      <c r="AG194" s="54">
        <f t="shared" si="39"/>
        <v>7149.9999999999991</v>
      </c>
      <c r="AH194" s="54">
        <f t="shared" si="40"/>
        <v>0</v>
      </c>
      <c r="AI194" s="54">
        <f t="shared" si="41"/>
        <v>0</v>
      </c>
    </row>
    <row r="195" spans="1:35" ht="15" x14ac:dyDescent="0.2">
      <c r="A195" s="56" t="s">
        <v>290</v>
      </c>
      <c r="B195" s="32"/>
      <c r="C195" s="56">
        <v>0.152</v>
      </c>
      <c r="D195" s="56">
        <v>238.66</v>
      </c>
      <c r="E195" s="36"/>
      <c r="F195" s="40">
        <f t="shared" si="24"/>
        <v>0</v>
      </c>
      <c r="G195" s="40" t="e">
        <f>-PMT(Assumptions!B$25/12,Assumptions!B$24*12,F$8)*C195/100</f>
        <v>#NUM!</v>
      </c>
      <c r="H195" s="40" t="e">
        <f>G195*Assumptions!$B$24*12-F195</f>
        <v>#NUM!</v>
      </c>
      <c r="I195" s="48"/>
      <c r="J195" s="40">
        <f t="shared" si="25"/>
        <v>0</v>
      </c>
      <c r="K195" s="40" t="e">
        <f>-PMT(Assumptions!C$25/12,Assumptions!C$24*12,J$8)*C195/100</f>
        <v>#NUM!</v>
      </c>
      <c r="L195" s="40" t="e">
        <f>K195*Assumptions!$C$24*12-J195</f>
        <v>#NUM!</v>
      </c>
      <c r="M195" s="43"/>
      <c r="N195" s="40">
        <f t="shared" si="26"/>
        <v>1520</v>
      </c>
      <c r="O195" s="50">
        <f>-PMT(Assumptions!D$25/12,Assumptions!D$24*12,N$8)*C195/100</f>
        <v>16.121958316339434</v>
      </c>
      <c r="P195" s="44">
        <f>O195*Assumptions!$D$24*12-N195</f>
        <v>414.63499796073211</v>
      </c>
      <c r="Q195" s="48"/>
      <c r="R195" s="40">
        <f t="shared" si="27"/>
        <v>7600</v>
      </c>
      <c r="S195" s="40">
        <f>-PMT(Assumptions!E$25/12,Assumptions!E$24*12,$R$8)*$C195/100</f>
        <v>80.609791581697166</v>
      </c>
      <c r="T195" s="40">
        <f>S195*Assumptions!$E$24*12-R195</f>
        <v>2073.1749898036596</v>
      </c>
      <c r="U195" s="48"/>
      <c r="V195" s="40">
        <f t="shared" si="28"/>
        <v>0</v>
      </c>
      <c r="W195" s="40" t="e">
        <f>-PMT(Assumptions!F$25/12,Assumptions!F$24*12,$V$8)*$C195/100</f>
        <v>#NUM!</v>
      </c>
      <c r="X195" s="40" t="e">
        <f>W195*Assumptions!$F$24*12-V195</f>
        <v>#NUM!</v>
      </c>
      <c r="Y195" s="43"/>
      <c r="Z195" s="40">
        <f t="shared" si="29"/>
        <v>0</v>
      </c>
      <c r="AA195" s="50" t="e">
        <f>-PMT(Assumptions!G$25/12,Assumptions!G$24*12,$Z$8)*$C195/100</f>
        <v>#NUM!</v>
      </c>
      <c r="AB195" s="44" t="e">
        <f>AA195*Assumptions!$G$24*12-Z195</f>
        <v>#NUM!</v>
      </c>
      <c r="AD195" s="54">
        <f t="shared" si="36"/>
        <v>0</v>
      </c>
      <c r="AE195" s="54">
        <f t="shared" si="37"/>
        <v>0</v>
      </c>
      <c r="AF195" s="54">
        <f t="shared" si="38"/>
        <v>1520</v>
      </c>
      <c r="AG195" s="54">
        <f t="shared" si="39"/>
        <v>7600</v>
      </c>
      <c r="AH195" s="54">
        <f t="shared" si="40"/>
        <v>0</v>
      </c>
      <c r="AI195" s="54">
        <f t="shared" si="41"/>
        <v>0</v>
      </c>
    </row>
    <row r="196" spans="1:35" ht="15" x14ac:dyDescent="0.2">
      <c r="A196" s="56" t="s">
        <v>291</v>
      </c>
      <c r="B196" s="32"/>
      <c r="C196" s="56">
        <v>0.20200000000000001</v>
      </c>
      <c r="D196" s="56">
        <v>317.16000000000003</v>
      </c>
      <c r="E196" s="36"/>
      <c r="F196" s="40">
        <f t="shared" si="24"/>
        <v>0</v>
      </c>
      <c r="G196" s="40" t="e">
        <f>-PMT(Assumptions!B$25/12,Assumptions!B$24*12,F$8)*C196/100</f>
        <v>#NUM!</v>
      </c>
      <c r="H196" s="40" t="e">
        <f>G196*Assumptions!$B$24*12-F196</f>
        <v>#NUM!</v>
      </c>
      <c r="I196" s="48"/>
      <c r="J196" s="40">
        <f t="shared" si="25"/>
        <v>0</v>
      </c>
      <c r="K196" s="40" t="e">
        <f>-PMT(Assumptions!C$25/12,Assumptions!C$24*12,J$8)*C196/100</f>
        <v>#NUM!</v>
      </c>
      <c r="L196" s="40" t="e">
        <f>K196*Assumptions!$C$24*12-J196</f>
        <v>#NUM!</v>
      </c>
      <c r="M196" s="43"/>
      <c r="N196" s="40">
        <f t="shared" si="26"/>
        <v>2020</v>
      </c>
      <c r="O196" s="50">
        <f>-PMT(Assumptions!D$25/12,Assumptions!D$24*12,N$8)*C196/100</f>
        <v>21.425234078293197</v>
      </c>
      <c r="P196" s="44">
        <f>O196*Assumptions!$D$24*12-N196</f>
        <v>551.028089395184</v>
      </c>
      <c r="Q196" s="48"/>
      <c r="R196" s="40">
        <f t="shared" si="27"/>
        <v>10100.000000000002</v>
      </c>
      <c r="S196" s="40">
        <f>-PMT(Assumptions!E$25/12,Assumptions!E$24*12,$R$8)*$C196/100</f>
        <v>107.12617039146599</v>
      </c>
      <c r="T196" s="40">
        <f>S196*Assumptions!$E$24*12-R196</f>
        <v>2755.1404469759163</v>
      </c>
      <c r="U196" s="48"/>
      <c r="V196" s="40">
        <f t="shared" si="28"/>
        <v>0</v>
      </c>
      <c r="W196" s="40" t="e">
        <f>-PMT(Assumptions!F$25/12,Assumptions!F$24*12,$V$8)*$C196/100</f>
        <v>#NUM!</v>
      </c>
      <c r="X196" s="40" t="e">
        <f>W196*Assumptions!$F$24*12-V196</f>
        <v>#NUM!</v>
      </c>
      <c r="Y196" s="43"/>
      <c r="Z196" s="40">
        <f t="shared" si="29"/>
        <v>0</v>
      </c>
      <c r="AA196" s="50" t="e">
        <f>-PMT(Assumptions!G$25/12,Assumptions!G$24*12,$Z$8)*$C196/100</f>
        <v>#NUM!</v>
      </c>
      <c r="AB196" s="44" t="e">
        <f>AA196*Assumptions!$G$24*12-Z196</f>
        <v>#NUM!</v>
      </c>
      <c r="AD196" s="54">
        <f t="shared" si="36"/>
        <v>0</v>
      </c>
      <c r="AE196" s="54">
        <f t="shared" si="37"/>
        <v>0</v>
      </c>
      <c r="AF196" s="54">
        <f t="shared" si="38"/>
        <v>2020</v>
      </c>
      <c r="AG196" s="54">
        <f t="shared" si="39"/>
        <v>10100.000000000002</v>
      </c>
      <c r="AH196" s="54">
        <f t="shared" si="40"/>
        <v>0</v>
      </c>
      <c r="AI196" s="54">
        <f t="shared" si="41"/>
        <v>0</v>
      </c>
    </row>
    <row r="197" spans="1:35" ht="15" x14ac:dyDescent="0.2">
      <c r="A197" s="56" t="s">
        <v>292</v>
      </c>
      <c r="B197" s="32"/>
      <c r="C197" s="56">
        <v>0.215</v>
      </c>
      <c r="D197" s="56">
        <v>337.57</v>
      </c>
      <c r="E197" s="36"/>
      <c r="F197" s="40">
        <f t="shared" si="24"/>
        <v>0</v>
      </c>
      <c r="G197" s="40" t="e">
        <f>-PMT(Assumptions!B$25/12,Assumptions!B$24*12,F$8)*C197/100</f>
        <v>#NUM!</v>
      </c>
      <c r="H197" s="40" t="e">
        <f>G197*Assumptions!$B$24*12-F197</f>
        <v>#NUM!</v>
      </c>
      <c r="I197" s="48"/>
      <c r="J197" s="40">
        <f t="shared" si="25"/>
        <v>0</v>
      </c>
      <c r="K197" s="40" t="e">
        <f>-PMT(Assumptions!C$25/12,Assumptions!C$24*12,J$8)*C197/100</f>
        <v>#NUM!</v>
      </c>
      <c r="L197" s="40" t="e">
        <f>K197*Assumptions!$C$24*12-J197</f>
        <v>#NUM!</v>
      </c>
      <c r="M197" s="43"/>
      <c r="N197" s="40">
        <f t="shared" si="26"/>
        <v>2150</v>
      </c>
      <c r="O197" s="50">
        <f>-PMT(Assumptions!D$25/12,Assumptions!D$24*12,N$8)*C197/100</f>
        <v>22.804085776401177</v>
      </c>
      <c r="P197" s="44">
        <f>O197*Assumptions!$D$24*12-N197</f>
        <v>586.49029316814131</v>
      </c>
      <c r="Q197" s="48"/>
      <c r="R197" s="40">
        <f t="shared" si="27"/>
        <v>10750</v>
      </c>
      <c r="S197" s="40">
        <f>-PMT(Assumptions!E$25/12,Assumptions!E$24*12,$R$8)*$C197/100</f>
        <v>114.02042888200587</v>
      </c>
      <c r="T197" s="40">
        <f>S197*Assumptions!$E$24*12-R197</f>
        <v>2932.4514658407061</v>
      </c>
      <c r="U197" s="48"/>
      <c r="V197" s="40">
        <f t="shared" si="28"/>
        <v>0</v>
      </c>
      <c r="W197" s="40" t="e">
        <f>-PMT(Assumptions!F$25/12,Assumptions!F$24*12,$V$8)*$C197/100</f>
        <v>#NUM!</v>
      </c>
      <c r="X197" s="40" t="e">
        <f>W197*Assumptions!$F$24*12-V197</f>
        <v>#NUM!</v>
      </c>
      <c r="Y197" s="43"/>
      <c r="Z197" s="40">
        <f t="shared" si="29"/>
        <v>0</v>
      </c>
      <c r="AA197" s="50" t="e">
        <f>-PMT(Assumptions!G$25/12,Assumptions!G$24*12,$Z$8)*$C197/100</f>
        <v>#NUM!</v>
      </c>
      <c r="AB197" s="44" t="e">
        <f>AA197*Assumptions!$G$24*12-Z197</f>
        <v>#NUM!</v>
      </c>
      <c r="AD197" s="54">
        <f t="shared" si="36"/>
        <v>0</v>
      </c>
      <c r="AE197" s="54">
        <f t="shared" si="37"/>
        <v>0</v>
      </c>
      <c r="AF197" s="54">
        <f t="shared" si="38"/>
        <v>2150</v>
      </c>
      <c r="AG197" s="54">
        <f t="shared" si="39"/>
        <v>10750</v>
      </c>
      <c r="AH197" s="54">
        <f t="shared" si="40"/>
        <v>0</v>
      </c>
      <c r="AI197" s="54">
        <f t="shared" si="41"/>
        <v>0</v>
      </c>
    </row>
    <row r="198" spans="1:35" ht="15" x14ac:dyDescent="0.2">
      <c r="A198" s="56" t="s">
        <v>293</v>
      </c>
      <c r="B198" s="32"/>
      <c r="C198" s="56">
        <v>0.19800000000000001</v>
      </c>
      <c r="D198" s="56">
        <v>310.88</v>
      </c>
      <c r="E198" s="36"/>
      <c r="F198" s="40">
        <f t="shared" si="24"/>
        <v>0</v>
      </c>
      <c r="G198" s="40" t="e">
        <f>-PMT(Assumptions!B$25/12,Assumptions!B$24*12,F$8)*C198/100</f>
        <v>#NUM!</v>
      </c>
      <c r="H198" s="40" t="e">
        <f>G198*Assumptions!$B$24*12-F198</f>
        <v>#NUM!</v>
      </c>
      <c r="I198" s="48"/>
      <c r="J198" s="40">
        <f t="shared" si="25"/>
        <v>0</v>
      </c>
      <c r="K198" s="40" t="e">
        <f>-PMT(Assumptions!C$25/12,Assumptions!C$24*12,J$8)*C198/100</f>
        <v>#NUM!</v>
      </c>
      <c r="L198" s="40" t="e">
        <f>K198*Assumptions!$C$24*12-J198</f>
        <v>#NUM!</v>
      </c>
      <c r="M198" s="43"/>
      <c r="N198" s="40">
        <f t="shared" si="26"/>
        <v>1980</v>
      </c>
      <c r="O198" s="50">
        <f>-PMT(Assumptions!D$25/12,Assumptions!D$24*12,N$8)*C198/100</f>
        <v>21.000972017336899</v>
      </c>
      <c r="P198" s="44">
        <f>O198*Assumptions!$D$24*12-N198</f>
        <v>540.11664208042748</v>
      </c>
      <c r="Q198" s="48"/>
      <c r="R198" s="40">
        <f t="shared" si="27"/>
        <v>9900</v>
      </c>
      <c r="S198" s="40">
        <f>-PMT(Assumptions!E$25/12,Assumptions!E$24*12,$R$8)*$C198/100</f>
        <v>105.00486008668449</v>
      </c>
      <c r="T198" s="40">
        <f>S198*Assumptions!$E$24*12-R198</f>
        <v>2700.5832104021392</v>
      </c>
      <c r="U198" s="48"/>
      <c r="V198" s="40">
        <f t="shared" si="28"/>
        <v>0</v>
      </c>
      <c r="W198" s="40" t="e">
        <f>-PMT(Assumptions!F$25/12,Assumptions!F$24*12,$V$8)*$C198/100</f>
        <v>#NUM!</v>
      </c>
      <c r="X198" s="40" t="e">
        <f>W198*Assumptions!$F$24*12-V198</f>
        <v>#NUM!</v>
      </c>
      <c r="Y198" s="43"/>
      <c r="Z198" s="40">
        <f t="shared" si="29"/>
        <v>0</v>
      </c>
      <c r="AA198" s="50" t="e">
        <f>-PMT(Assumptions!G$25/12,Assumptions!G$24*12,$Z$8)*$C198/100</f>
        <v>#NUM!</v>
      </c>
      <c r="AB198" s="44" t="e">
        <f>AA198*Assumptions!$G$24*12-Z198</f>
        <v>#NUM!</v>
      </c>
      <c r="AD198" s="54">
        <f t="shared" si="36"/>
        <v>0</v>
      </c>
      <c r="AE198" s="54">
        <f t="shared" si="37"/>
        <v>0</v>
      </c>
      <c r="AF198" s="54">
        <f t="shared" si="38"/>
        <v>1980</v>
      </c>
      <c r="AG198" s="54">
        <f t="shared" si="39"/>
        <v>9900</v>
      </c>
      <c r="AH198" s="54">
        <f t="shared" si="40"/>
        <v>0</v>
      </c>
      <c r="AI198" s="54">
        <f t="shared" si="41"/>
        <v>0</v>
      </c>
    </row>
    <row r="199" spans="1:35" ht="15" x14ac:dyDescent="0.2">
      <c r="A199" s="56" t="s">
        <v>294</v>
      </c>
      <c r="B199" s="32"/>
      <c r="C199" s="56">
        <v>0.19800000000000001</v>
      </c>
      <c r="D199" s="56">
        <v>310.88</v>
      </c>
      <c r="E199" s="36"/>
      <c r="F199" s="40">
        <f t="shared" si="24"/>
        <v>0</v>
      </c>
      <c r="G199" s="40" t="e">
        <f>-PMT(Assumptions!B$25/12,Assumptions!B$24*12,F$8)*C199/100</f>
        <v>#NUM!</v>
      </c>
      <c r="H199" s="40" t="e">
        <f>G199*Assumptions!$B$24*12-F199</f>
        <v>#NUM!</v>
      </c>
      <c r="I199" s="48"/>
      <c r="J199" s="40">
        <f t="shared" si="25"/>
        <v>0</v>
      </c>
      <c r="K199" s="40" t="e">
        <f>-PMT(Assumptions!C$25/12,Assumptions!C$24*12,J$8)*C199/100</f>
        <v>#NUM!</v>
      </c>
      <c r="L199" s="40" t="e">
        <f>K199*Assumptions!$C$24*12-J199</f>
        <v>#NUM!</v>
      </c>
      <c r="M199" s="43"/>
      <c r="N199" s="40">
        <f t="shared" si="26"/>
        <v>1980</v>
      </c>
      <c r="O199" s="50">
        <f>-PMT(Assumptions!D$25/12,Assumptions!D$24*12,N$8)*C199/100</f>
        <v>21.000972017336899</v>
      </c>
      <c r="P199" s="44">
        <f>O199*Assumptions!$D$24*12-N199</f>
        <v>540.11664208042748</v>
      </c>
      <c r="Q199" s="48"/>
      <c r="R199" s="40">
        <f t="shared" si="27"/>
        <v>9900</v>
      </c>
      <c r="S199" s="40">
        <f>-PMT(Assumptions!E$25/12,Assumptions!E$24*12,$R$8)*$C199/100</f>
        <v>105.00486008668449</v>
      </c>
      <c r="T199" s="40">
        <f>S199*Assumptions!$E$24*12-R199</f>
        <v>2700.5832104021392</v>
      </c>
      <c r="U199" s="48"/>
      <c r="V199" s="40">
        <f t="shared" si="28"/>
        <v>0</v>
      </c>
      <c r="W199" s="40" t="e">
        <f>-PMT(Assumptions!F$25/12,Assumptions!F$24*12,$V$8)*$C199/100</f>
        <v>#NUM!</v>
      </c>
      <c r="X199" s="40" t="e">
        <f>W199*Assumptions!$F$24*12-V199</f>
        <v>#NUM!</v>
      </c>
      <c r="Y199" s="43"/>
      <c r="Z199" s="40">
        <f t="shared" si="29"/>
        <v>0</v>
      </c>
      <c r="AA199" s="50" t="e">
        <f>-PMT(Assumptions!G$25/12,Assumptions!G$24*12,$Z$8)*$C199/100</f>
        <v>#NUM!</v>
      </c>
      <c r="AB199" s="44" t="e">
        <f>AA199*Assumptions!$G$24*12-Z199</f>
        <v>#NUM!</v>
      </c>
      <c r="AD199" s="54">
        <f t="shared" si="36"/>
        <v>0</v>
      </c>
      <c r="AE199" s="54">
        <f t="shared" si="37"/>
        <v>0</v>
      </c>
      <c r="AF199" s="54">
        <f t="shared" si="38"/>
        <v>1980</v>
      </c>
      <c r="AG199" s="54">
        <f t="shared" si="39"/>
        <v>9900</v>
      </c>
      <c r="AH199" s="54">
        <f t="shared" si="40"/>
        <v>0</v>
      </c>
      <c r="AI199" s="54">
        <f t="shared" si="41"/>
        <v>0</v>
      </c>
    </row>
    <row r="200" spans="1:35" ht="15" x14ac:dyDescent="0.2">
      <c r="A200" s="56" t="s">
        <v>295</v>
      </c>
      <c r="B200" s="32"/>
      <c r="C200" s="56">
        <v>0.14299999999999999</v>
      </c>
      <c r="D200" s="56">
        <v>224.52</v>
      </c>
      <c r="E200" s="36"/>
      <c r="F200" s="40">
        <f t="shared" si="24"/>
        <v>0</v>
      </c>
      <c r="G200" s="40" t="e">
        <f>-PMT(Assumptions!B$25/12,Assumptions!B$24*12,F$8)*C200/100</f>
        <v>#NUM!</v>
      </c>
      <c r="H200" s="40" t="e">
        <f>G200*Assumptions!$B$24*12-F200</f>
        <v>#NUM!</v>
      </c>
      <c r="I200" s="48"/>
      <c r="J200" s="40">
        <f t="shared" si="25"/>
        <v>0</v>
      </c>
      <c r="K200" s="40" t="e">
        <f>-PMT(Assumptions!C$25/12,Assumptions!C$24*12,J$8)*C200/100</f>
        <v>#NUM!</v>
      </c>
      <c r="L200" s="40" t="e">
        <f>K200*Assumptions!$C$24*12-J200</f>
        <v>#NUM!</v>
      </c>
      <c r="M200" s="43"/>
      <c r="N200" s="40">
        <f t="shared" si="26"/>
        <v>1430</v>
      </c>
      <c r="O200" s="50">
        <f>-PMT(Assumptions!D$25/12,Assumptions!D$24*12,N$8)*C200/100</f>
        <v>15.167368679187756</v>
      </c>
      <c r="P200" s="44">
        <f>O200*Assumptions!$D$24*12-N200</f>
        <v>390.08424150253086</v>
      </c>
      <c r="Q200" s="48"/>
      <c r="R200" s="40">
        <f t="shared" si="27"/>
        <v>7149.9999999999991</v>
      </c>
      <c r="S200" s="40">
        <f>-PMT(Assumptions!E$25/12,Assumptions!E$24*12,$R$8)*$C200/100</f>
        <v>75.836843395938786</v>
      </c>
      <c r="T200" s="40">
        <f>S200*Assumptions!$E$24*12-R200</f>
        <v>1950.4212075126552</v>
      </c>
      <c r="U200" s="48"/>
      <c r="V200" s="40">
        <f t="shared" si="28"/>
        <v>0</v>
      </c>
      <c r="W200" s="40" t="e">
        <f>-PMT(Assumptions!F$25/12,Assumptions!F$24*12,$V$8)*$C200/100</f>
        <v>#NUM!</v>
      </c>
      <c r="X200" s="40" t="e">
        <f>W200*Assumptions!$F$24*12-V200</f>
        <v>#NUM!</v>
      </c>
      <c r="Y200" s="43"/>
      <c r="Z200" s="40">
        <f t="shared" si="29"/>
        <v>0</v>
      </c>
      <c r="AA200" s="50" t="e">
        <f>-PMT(Assumptions!G$25/12,Assumptions!G$24*12,$Z$8)*$C200/100</f>
        <v>#NUM!</v>
      </c>
      <c r="AB200" s="44" t="e">
        <f>AA200*Assumptions!$G$24*12-Z200</f>
        <v>#NUM!</v>
      </c>
      <c r="AD200" s="54">
        <f t="shared" si="36"/>
        <v>0</v>
      </c>
      <c r="AE200" s="54">
        <f t="shared" si="37"/>
        <v>0</v>
      </c>
      <c r="AF200" s="54">
        <f t="shared" si="38"/>
        <v>1430</v>
      </c>
      <c r="AG200" s="54">
        <f t="shared" si="39"/>
        <v>7149.9999999999991</v>
      </c>
      <c r="AH200" s="54">
        <f t="shared" si="40"/>
        <v>0</v>
      </c>
      <c r="AI200" s="54">
        <f t="shared" si="41"/>
        <v>0</v>
      </c>
    </row>
    <row r="201" spans="1:35" ht="15" x14ac:dyDescent="0.2">
      <c r="A201" s="56" t="s">
        <v>296</v>
      </c>
      <c r="B201" s="32"/>
      <c r="C201" s="56">
        <v>0.152</v>
      </c>
      <c r="D201" s="56">
        <v>238.66</v>
      </c>
      <c r="E201" s="36"/>
      <c r="F201" s="40">
        <f t="shared" si="24"/>
        <v>0</v>
      </c>
      <c r="G201" s="40" t="e">
        <f>-PMT(Assumptions!B$25/12,Assumptions!B$24*12,F$8)*C201/100</f>
        <v>#NUM!</v>
      </c>
      <c r="H201" s="40" t="e">
        <f>G201*Assumptions!$B$24*12-F201</f>
        <v>#NUM!</v>
      </c>
      <c r="I201" s="48"/>
      <c r="J201" s="40">
        <f t="shared" si="25"/>
        <v>0</v>
      </c>
      <c r="K201" s="40" t="e">
        <f>-PMT(Assumptions!C$25/12,Assumptions!C$24*12,J$8)*C201/100</f>
        <v>#NUM!</v>
      </c>
      <c r="L201" s="40" t="e">
        <f>K201*Assumptions!$C$24*12-J201</f>
        <v>#NUM!</v>
      </c>
      <c r="M201" s="43"/>
      <c r="N201" s="40">
        <f t="shared" si="26"/>
        <v>1520</v>
      </c>
      <c r="O201" s="50">
        <f>-PMT(Assumptions!D$25/12,Assumptions!D$24*12,N$8)*C201/100</f>
        <v>16.121958316339434</v>
      </c>
      <c r="P201" s="44">
        <f>O201*Assumptions!$D$24*12-N201</f>
        <v>414.63499796073211</v>
      </c>
      <c r="Q201" s="48"/>
      <c r="R201" s="40">
        <f t="shared" si="27"/>
        <v>7600</v>
      </c>
      <c r="S201" s="40">
        <f>-PMT(Assumptions!E$25/12,Assumptions!E$24*12,$R$8)*$C201/100</f>
        <v>80.609791581697166</v>
      </c>
      <c r="T201" s="40">
        <f>S201*Assumptions!$E$24*12-R201</f>
        <v>2073.1749898036596</v>
      </c>
      <c r="U201" s="48"/>
      <c r="V201" s="40">
        <f t="shared" si="28"/>
        <v>0</v>
      </c>
      <c r="W201" s="40" t="e">
        <f>-PMT(Assumptions!F$25/12,Assumptions!F$24*12,$V$8)*$C201/100</f>
        <v>#NUM!</v>
      </c>
      <c r="X201" s="40" t="e">
        <f>W201*Assumptions!$F$24*12-V201</f>
        <v>#NUM!</v>
      </c>
      <c r="Y201" s="43"/>
      <c r="Z201" s="40">
        <f t="shared" si="29"/>
        <v>0</v>
      </c>
      <c r="AA201" s="50" t="e">
        <f>-PMT(Assumptions!G$25/12,Assumptions!G$24*12,$Z$8)*$C201/100</f>
        <v>#NUM!</v>
      </c>
      <c r="AB201" s="44" t="e">
        <f>AA201*Assumptions!$G$24*12-Z201</f>
        <v>#NUM!</v>
      </c>
      <c r="AD201" s="54">
        <f t="shared" si="36"/>
        <v>0</v>
      </c>
      <c r="AE201" s="54">
        <f t="shared" si="37"/>
        <v>0</v>
      </c>
      <c r="AF201" s="54">
        <f t="shared" si="38"/>
        <v>1520</v>
      </c>
      <c r="AG201" s="54">
        <f t="shared" si="39"/>
        <v>7600</v>
      </c>
      <c r="AH201" s="54">
        <f t="shared" si="40"/>
        <v>0</v>
      </c>
      <c r="AI201" s="54">
        <f t="shared" si="41"/>
        <v>0</v>
      </c>
    </row>
    <row r="202" spans="1:35" ht="15" x14ac:dyDescent="0.2">
      <c r="A202" s="56" t="s">
        <v>297</v>
      </c>
      <c r="B202" s="32"/>
      <c r="C202" s="56">
        <v>0.14299999999999999</v>
      </c>
      <c r="D202" s="56">
        <v>224.52</v>
      </c>
      <c r="E202" s="36"/>
      <c r="F202" s="40">
        <f t="shared" si="24"/>
        <v>0</v>
      </c>
      <c r="G202" s="40" t="e">
        <f>-PMT(Assumptions!B$25/12,Assumptions!B$24*12,F$8)*C202/100</f>
        <v>#NUM!</v>
      </c>
      <c r="H202" s="40" t="e">
        <f>G202*Assumptions!$B$24*12-F202</f>
        <v>#NUM!</v>
      </c>
      <c r="I202" s="48"/>
      <c r="J202" s="40">
        <f t="shared" si="25"/>
        <v>0</v>
      </c>
      <c r="K202" s="40" t="e">
        <f>-PMT(Assumptions!C$25/12,Assumptions!C$24*12,J$8)*C202/100</f>
        <v>#NUM!</v>
      </c>
      <c r="L202" s="40" t="e">
        <f>K202*Assumptions!$C$24*12-J202</f>
        <v>#NUM!</v>
      </c>
      <c r="M202" s="43"/>
      <c r="N202" s="40">
        <f t="shared" si="26"/>
        <v>1430</v>
      </c>
      <c r="O202" s="50">
        <f>-PMT(Assumptions!D$25/12,Assumptions!D$24*12,N$8)*C202/100</f>
        <v>15.167368679187756</v>
      </c>
      <c r="P202" s="44">
        <f>O202*Assumptions!$D$24*12-N202</f>
        <v>390.08424150253086</v>
      </c>
      <c r="Q202" s="48"/>
      <c r="R202" s="40">
        <f t="shared" si="27"/>
        <v>7149.9999999999991</v>
      </c>
      <c r="S202" s="40">
        <f>-PMT(Assumptions!E$25/12,Assumptions!E$24*12,$R$8)*$C202/100</f>
        <v>75.836843395938786</v>
      </c>
      <c r="T202" s="40">
        <f>S202*Assumptions!$E$24*12-R202</f>
        <v>1950.4212075126552</v>
      </c>
      <c r="U202" s="48"/>
      <c r="V202" s="40">
        <f t="shared" si="28"/>
        <v>0</v>
      </c>
      <c r="W202" s="40" t="e">
        <f>-PMT(Assumptions!F$25/12,Assumptions!F$24*12,$V$8)*$C202/100</f>
        <v>#NUM!</v>
      </c>
      <c r="X202" s="40" t="e">
        <f>W202*Assumptions!$F$24*12-V202</f>
        <v>#NUM!</v>
      </c>
      <c r="Y202" s="43"/>
      <c r="Z202" s="40">
        <f t="shared" si="29"/>
        <v>0</v>
      </c>
      <c r="AA202" s="50" t="e">
        <f>-PMT(Assumptions!G$25/12,Assumptions!G$24*12,$Z$8)*$C202/100</f>
        <v>#NUM!</v>
      </c>
      <c r="AB202" s="44" t="e">
        <f>AA202*Assumptions!$G$24*12-Z202</f>
        <v>#NUM!</v>
      </c>
      <c r="AD202" s="54">
        <f t="shared" si="36"/>
        <v>0</v>
      </c>
      <c r="AE202" s="54">
        <f t="shared" si="37"/>
        <v>0</v>
      </c>
      <c r="AF202" s="54">
        <f t="shared" si="38"/>
        <v>1430</v>
      </c>
      <c r="AG202" s="54">
        <f t="shared" si="39"/>
        <v>7149.9999999999991</v>
      </c>
      <c r="AH202" s="54">
        <f t="shared" si="40"/>
        <v>0</v>
      </c>
      <c r="AI202" s="54">
        <f t="shared" si="41"/>
        <v>0</v>
      </c>
    </row>
    <row r="203" spans="1:35" ht="15" x14ac:dyDescent="0.2">
      <c r="A203" s="56" t="s">
        <v>298</v>
      </c>
      <c r="B203" s="32"/>
      <c r="C203" s="56">
        <v>0.152</v>
      </c>
      <c r="D203" s="56">
        <v>238.66</v>
      </c>
      <c r="E203" s="36"/>
      <c r="F203" s="40">
        <f t="shared" si="24"/>
        <v>0</v>
      </c>
      <c r="G203" s="40" t="e">
        <f>-PMT(Assumptions!B$25/12,Assumptions!B$24*12,F$8)*C203/100</f>
        <v>#NUM!</v>
      </c>
      <c r="H203" s="40" t="e">
        <f>G203*Assumptions!$B$24*12-F203</f>
        <v>#NUM!</v>
      </c>
      <c r="I203" s="48"/>
      <c r="J203" s="40">
        <f t="shared" si="25"/>
        <v>0</v>
      </c>
      <c r="K203" s="40" t="e">
        <f>-PMT(Assumptions!C$25/12,Assumptions!C$24*12,J$8)*C203/100</f>
        <v>#NUM!</v>
      </c>
      <c r="L203" s="40" t="e">
        <f>K203*Assumptions!$C$24*12-J203</f>
        <v>#NUM!</v>
      </c>
      <c r="M203" s="43"/>
      <c r="N203" s="40">
        <f t="shared" si="26"/>
        <v>1520</v>
      </c>
      <c r="O203" s="50">
        <f>-PMT(Assumptions!D$25/12,Assumptions!D$24*12,N$8)*C203/100</f>
        <v>16.121958316339434</v>
      </c>
      <c r="P203" s="44">
        <f>O203*Assumptions!$D$24*12-N203</f>
        <v>414.63499796073211</v>
      </c>
      <c r="Q203" s="48"/>
      <c r="R203" s="40">
        <f t="shared" si="27"/>
        <v>7600</v>
      </c>
      <c r="S203" s="40">
        <f>-PMT(Assumptions!E$25/12,Assumptions!E$24*12,$R$8)*$C203/100</f>
        <v>80.609791581697166</v>
      </c>
      <c r="T203" s="40">
        <f>S203*Assumptions!$E$24*12-R203</f>
        <v>2073.1749898036596</v>
      </c>
      <c r="U203" s="48"/>
      <c r="V203" s="40">
        <f t="shared" si="28"/>
        <v>0</v>
      </c>
      <c r="W203" s="40" t="e">
        <f>-PMT(Assumptions!F$25/12,Assumptions!F$24*12,$V$8)*$C203/100</f>
        <v>#NUM!</v>
      </c>
      <c r="X203" s="40" t="e">
        <f>W203*Assumptions!$F$24*12-V203</f>
        <v>#NUM!</v>
      </c>
      <c r="Y203" s="43"/>
      <c r="Z203" s="40">
        <f t="shared" si="29"/>
        <v>0</v>
      </c>
      <c r="AA203" s="50" t="e">
        <f>-PMT(Assumptions!G$25/12,Assumptions!G$24*12,$Z$8)*$C203/100</f>
        <v>#NUM!</v>
      </c>
      <c r="AB203" s="44" t="e">
        <f>AA203*Assumptions!$G$24*12-Z203</f>
        <v>#NUM!</v>
      </c>
      <c r="AD203" s="54">
        <f t="shared" si="36"/>
        <v>0</v>
      </c>
      <c r="AE203" s="54">
        <f t="shared" si="37"/>
        <v>0</v>
      </c>
      <c r="AF203" s="54">
        <f t="shared" si="38"/>
        <v>1520</v>
      </c>
      <c r="AG203" s="54">
        <f t="shared" si="39"/>
        <v>7600</v>
      </c>
      <c r="AH203" s="54">
        <f t="shared" si="40"/>
        <v>0</v>
      </c>
      <c r="AI203" s="54">
        <f t="shared" si="41"/>
        <v>0</v>
      </c>
    </row>
    <row r="204" spans="1:35" ht="15" x14ac:dyDescent="0.2">
      <c r="A204" s="56" t="s">
        <v>299</v>
      </c>
      <c r="B204" s="32"/>
      <c r="C204" s="56">
        <v>0.20599999999999999</v>
      </c>
      <c r="D204" s="56">
        <v>323.44</v>
      </c>
      <c r="E204" s="36"/>
      <c r="F204" s="40">
        <f t="shared" si="24"/>
        <v>0</v>
      </c>
      <c r="G204" s="40" t="e">
        <f>-PMT(Assumptions!B$25/12,Assumptions!B$24*12,F$8)*C204/100</f>
        <v>#NUM!</v>
      </c>
      <c r="H204" s="40" t="e">
        <f>G204*Assumptions!$B$24*12-F204</f>
        <v>#NUM!</v>
      </c>
      <c r="I204" s="48"/>
      <c r="J204" s="40">
        <f t="shared" si="25"/>
        <v>0</v>
      </c>
      <c r="K204" s="40" t="e">
        <f>-PMT(Assumptions!C$25/12,Assumptions!C$24*12,J$8)*C204/100</f>
        <v>#NUM!</v>
      </c>
      <c r="L204" s="40" t="e">
        <f>K204*Assumptions!$C$24*12-J204</f>
        <v>#NUM!</v>
      </c>
      <c r="M204" s="43"/>
      <c r="N204" s="40">
        <f t="shared" si="26"/>
        <v>2060</v>
      </c>
      <c r="O204" s="50">
        <f>-PMT(Assumptions!D$25/12,Assumptions!D$24*12,N$8)*C204/100</f>
        <v>21.849496139249496</v>
      </c>
      <c r="P204" s="44">
        <f>O204*Assumptions!$D$24*12-N204</f>
        <v>561.9395367099396</v>
      </c>
      <c r="Q204" s="48"/>
      <c r="R204" s="40">
        <f t="shared" si="27"/>
        <v>10300</v>
      </c>
      <c r="S204" s="40">
        <f>-PMT(Assumptions!E$25/12,Assumptions!E$24*12,$R$8)*$C204/100</f>
        <v>109.24748069624748</v>
      </c>
      <c r="T204" s="40">
        <f>S204*Assumptions!$E$24*12-R204</f>
        <v>2809.6976835496971</v>
      </c>
      <c r="U204" s="48"/>
      <c r="V204" s="40">
        <f t="shared" si="28"/>
        <v>0</v>
      </c>
      <c r="W204" s="40" t="e">
        <f>-PMT(Assumptions!F$25/12,Assumptions!F$24*12,$V$8)*$C204/100</f>
        <v>#NUM!</v>
      </c>
      <c r="X204" s="40" t="e">
        <f>W204*Assumptions!$F$24*12-V204</f>
        <v>#NUM!</v>
      </c>
      <c r="Y204" s="43"/>
      <c r="Z204" s="40">
        <f t="shared" si="29"/>
        <v>0</v>
      </c>
      <c r="AA204" s="50" t="e">
        <f>-PMT(Assumptions!G$25/12,Assumptions!G$24*12,$Z$8)*$C204/100</f>
        <v>#NUM!</v>
      </c>
      <c r="AB204" s="44" t="e">
        <f>AA204*Assumptions!$G$24*12-Z204</f>
        <v>#NUM!</v>
      </c>
      <c r="AD204" s="54">
        <f t="shared" si="36"/>
        <v>0</v>
      </c>
      <c r="AE204" s="54">
        <f t="shared" si="37"/>
        <v>0</v>
      </c>
      <c r="AF204" s="54">
        <f t="shared" si="38"/>
        <v>2060</v>
      </c>
      <c r="AG204" s="54">
        <f t="shared" si="39"/>
        <v>10300</v>
      </c>
      <c r="AH204" s="54">
        <f t="shared" si="40"/>
        <v>0</v>
      </c>
      <c r="AI204" s="54">
        <f t="shared" si="41"/>
        <v>0</v>
      </c>
    </row>
    <row r="205" spans="1:35" ht="15" x14ac:dyDescent="0.2">
      <c r="A205" s="56" t="s">
        <v>300</v>
      </c>
      <c r="B205" s="32"/>
      <c r="C205" s="56">
        <v>0.215</v>
      </c>
      <c r="D205" s="56">
        <v>337.57</v>
      </c>
      <c r="E205" s="36"/>
      <c r="F205" s="40">
        <f t="shared" si="24"/>
        <v>0</v>
      </c>
      <c r="G205" s="40" t="e">
        <f>-PMT(Assumptions!B$25/12,Assumptions!B$24*12,F$8)*C205/100</f>
        <v>#NUM!</v>
      </c>
      <c r="H205" s="40" t="e">
        <f>G205*Assumptions!$B$24*12-F205</f>
        <v>#NUM!</v>
      </c>
      <c r="I205" s="48"/>
      <c r="J205" s="40">
        <f t="shared" si="25"/>
        <v>0</v>
      </c>
      <c r="K205" s="40" t="e">
        <f>-PMT(Assumptions!C$25/12,Assumptions!C$24*12,J$8)*C205/100</f>
        <v>#NUM!</v>
      </c>
      <c r="L205" s="40" t="e">
        <f>K205*Assumptions!$C$24*12-J205</f>
        <v>#NUM!</v>
      </c>
      <c r="M205" s="43"/>
      <c r="N205" s="40">
        <f t="shared" si="26"/>
        <v>2150</v>
      </c>
      <c r="O205" s="50">
        <f>-PMT(Assumptions!D$25/12,Assumptions!D$24*12,N$8)*C205/100</f>
        <v>22.804085776401177</v>
      </c>
      <c r="P205" s="44">
        <f>O205*Assumptions!$D$24*12-N205</f>
        <v>586.49029316814131</v>
      </c>
      <c r="Q205" s="48"/>
      <c r="R205" s="40">
        <f t="shared" si="27"/>
        <v>10750</v>
      </c>
      <c r="S205" s="40">
        <f>-PMT(Assumptions!E$25/12,Assumptions!E$24*12,$R$8)*$C205/100</f>
        <v>114.02042888200587</v>
      </c>
      <c r="T205" s="40">
        <f>S205*Assumptions!$E$24*12-R205</f>
        <v>2932.4514658407061</v>
      </c>
      <c r="U205" s="48"/>
      <c r="V205" s="40">
        <f t="shared" si="28"/>
        <v>0</v>
      </c>
      <c r="W205" s="40" t="e">
        <f>-PMT(Assumptions!F$25/12,Assumptions!F$24*12,$V$8)*$C205/100</f>
        <v>#NUM!</v>
      </c>
      <c r="X205" s="40" t="e">
        <f>W205*Assumptions!$F$24*12-V205</f>
        <v>#NUM!</v>
      </c>
      <c r="Y205" s="43"/>
      <c r="Z205" s="40">
        <f t="shared" si="29"/>
        <v>0</v>
      </c>
      <c r="AA205" s="50" t="e">
        <f>-PMT(Assumptions!G$25/12,Assumptions!G$24*12,$Z$8)*$C205/100</f>
        <v>#NUM!</v>
      </c>
      <c r="AB205" s="44" t="e">
        <f>AA205*Assumptions!$G$24*12-Z205</f>
        <v>#NUM!</v>
      </c>
      <c r="AD205" s="54">
        <f t="shared" si="36"/>
        <v>0</v>
      </c>
      <c r="AE205" s="54">
        <f t="shared" si="37"/>
        <v>0</v>
      </c>
      <c r="AF205" s="54">
        <f t="shared" si="38"/>
        <v>2150</v>
      </c>
      <c r="AG205" s="54">
        <f t="shared" si="39"/>
        <v>10750</v>
      </c>
      <c r="AH205" s="54">
        <f t="shared" si="40"/>
        <v>0</v>
      </c>
      <c r="AI205" s="54">
        <f t="shared" si="41"/>
        <v>0</v>
      </c>
    </row>
    <row r="206" spans="1:35" ht="15" x14ac:dyDescent="0.2">
      <c r="A206" s="56" t="s">
        <v>301</v>
      </c>
      <c r="B206" s="32"/>
      <c r="C206" s="56">
        <v>0.2</v>
      </c>
      <c r="D206" s="56">
        <v>314.02</v>
      </c>
      <c r="E206" s="36"/>
      <c r="F206" s="40">
        <f t="shared" si="24"/>
        <v>0</v>
      </c>
      <c r="G206" s="40" t="e">
        <f>-PMT(Assumptions!B$25/12,Assumptions!B$24*12,F$8)*C206/100</f>
        <v>#NUM!</v>
      </c>
      <c r="H206" s="40" t="e">
        <f>G206*Assumptions!$B$24*12-F206</f>
        <v>#NUM!</v>
      </c>
      <c r="I206" s="48"/>
      <c r="J206" s="40">
        <f t="shared" si="25"/>
        <v>0</v>
      </c>
      <c r="K206" s="40" t="e">
        <f>-PMT(Assumptions!C$25/12,Assumptions!C$24*12,J$8)*C206/100</f>
        <v>#NUM!</v>
      </c>
      <c r="L206" s="40" t="e">
        <f>K206*Assumptions!$C$24*12-J206</f>
        <v>#NUM!</v>
      </c>
      <c r="M206" s="43"/>
      <c r="N206" s="40">
        <f t="shared" si="26"/>
        <v>2000</v>
      </c>
      <c r="O206" s="50">
        <f>-PMT(Assumptions!D$25/12,Assumptions!D$24*12,N$8)*C206/100</f>
        <v>21.213103047815046</v>
      </c>
      <c r="P206" s="44">
        <f>O206*Assumptions!$D$24*12-N206</f>
        <v>545.57236573780574</v>
      </c>
      <c r="Q206" s="48"/>
      <c r="R206" s="40">
        <f t="shared" si="27"/>
        <v>10000</v>
      </c>
      <c r="S206" s="40">
        <f>-PMT(Assumptions!E$25/12,Assumptions!E$24*12,$R$8)*$C206/100</f>
        <v>106.06551523907525</v>
      </c>
      <c r="T206" s="40">
        <f>S206*Assumptions!$E$24*12-R206</f>
        <v>2727.8618286890305</v>
      </c>
      <c r="U206" s="48"/>
      <c r="V206" s="40">
        <f t="shared" si="28"/>
        <v>0</v>
      </c>
      <c r="W206" s="40" t="e">
        <f>-PMT(Assumptions!F$25/12,Assumptions!F$24*12,$V$8)*$C206/100</f>
        <v>#NUM!</v>
      </c>
      <c r="X206" s="40" t="e">
        <f>W206*Assumptions!$F$24*12-V206</f>
        <v>#NUM!</v>
      </c>
      <c r="Y206" s="43"/>
      <c r="Z206" s="40">
        <f t="shared" si="29"/>
        <v>0</v>
      </c>
      <c r="AA206" s="50" t="e">
        <f>-PMT(Assumptions!G$25/12,Assumptions!G$24*12,$Z$8)*$C206/100</f>
        <v>#NUM!</v>
      </c>
      <c r="AB206" s="44" t="e">
        <f>AA206*Assumptions!$G$24*12-Z206</f>
        <v>#NUM!</v>
      </c>
      <c r="AD206" s="54">
        <f t="shared" si="36"/>
        <v>0</v>
      </c>
      <c r="AE206" s="54">
        <f t="shared" si="37"/>
        <v>0</v>
      </c>
      <c r="AF206" s="54">
        <f t="shared" si="38"/>
        <v>2000</v>
      </c>
      <c r="AG206" s="54">
        <f t="shared" si="39"/>
        <v>10000</v>
      </c>
      <c r="AH206" s="54">
        <f t="shared" si="40"/>
        <v>0</v>
      </c>
      <c r="AI206" s="54">
        <f t="shared" si="41"/>
        <v>0</v>
      </c>
    </row>
    <row r="207" spans="1:35" ht="15" x14ac:dyDescent="0.2">
      <c r="A207" s="56" t="s">
        <v>302</v>
      </c>
      <c r="B207" s="32"/>
      <c r="C207" s="56">
        <v>0.2</v>
      </c>
      <c r="D207" s="56">
        <v>314.02</v>
      </c>
      <c r="E207" s="36"/>
      <c r="F207" s="40">
        <f t="shared" si="24"/>
        <v>0</v>
      </c>
      <c r="G207" s="40" t="e">
        <f>-PMT(Assumptions!B$25/12,Assumptions!B$24*12,F$8)*C207/100</f>
        <v>#NUM!</v>
      </c>
      <c r="H207" s="40" t="e">
        <f>G207*Assumptions!$B$24*12-F207</f>
        <v>#NUM!</v>
      </c>
      <c r="I207" s="48"/>
      <c r="J207" s="40">
        <f t="shared" si="25"/>
        <v>0</v>
      </c>
      <c r="K207" s="40" t="e">
        <f>-PMT(Assumptions!C$25/12,Assumptions!C$24*12,J$8)*C207/100</f>
        <v>#NUM!</v>
      </c>
      <c r="L207" s="40" t="e">
        <f>K207*Assumptions!$C$24*12-J207</f>
        <v>#NUM!</v>
      </c>
      <c r="M207" s="43"/>
      <c r="N207" s="40">
        <f t="shared" si="26"/>
        <v>2000</v>
      </c>
      <c r="O207" s="50">
        <f>-PMT(Assumptions!D$25/12,Assumptions!D$24*12,N$8)*C207/100</f>
        <v>21.213103047815046</v>
      </c>
      <c r="P207" s="44">
        <f>O207*Assumptions!$D$24*12-N207</f>
        <v>545.57236573780574</v>
      </c>
      <c r="Q207" s="48"/>
      <c r="R207" s="40">
        <f t="shared" si="27"/>
        <v>10000</v>
      </c>
      <c r="S207" s="40">
        <f>-PMT(Assumptions!E$25/12,Assumptions!E$24*12,$R$8)*$C207/100</f>
        <v>106.06551523907525</v>
      </c>
      <c r="T207" s="40">
        <f>S207*Assumptions!$E$24*12-R207</f>
        <v>2727.8618286890305</v>
      </c>
      <c r="U207" s="48"/>
      <c r="V207" s="40">
        <f t="shared" si="28"/>
        <v>0</v>
      </c>
      <c r="W207" s="40" t="e">
        <f>-PMT(Assumptions!F$25/12,Assumptions!F$24*12,$V$8)*$C207/100</f>
        <v>#NUM!</v>
      </c>
      <c r="X207" s="40" t="e">
        <f>W207*Assumptions!$F$24*12-V207</f>
        <v>#NUM!</v>
      </c>
      <c r="Y207" s="43"/>
      <c r="Z207" s="40">
        <f t="shared" si="29"/>
        <v>0</v>
      </c>
      <c r="AA207" s="50" t="e">
        <f>-PMT(Assumptions!G$25/12,Assumptions!G$24*12,$Z$8)*$C207/100</f>
        <v>#NUM!</v>
      </c>
      <c r="AB207" s="44" t="e">
        <f>AA207*Assumptions!$G$24*12-Z207</f>
        <v>#NUM!</v>
      </c>
      <c r="AD207" s="54">
        <f t="shared" si="36"/>
        <v>0</v>
      </c>
      <c r="AE207" s="54">
        <f t="shared" si="37"/>
        <v>0</v>
      </c>
      <c r="AF207" s="54">
        <f t="shared" si="38"/>
        <v>2000</v>
      </c>
      <c r="AG207" s="54">
        <f t="shared" si="39"/>
        <v>10000</v>
      </c>
      <c r="AH207" s="54">
        <f t="shared" si="40"/>
        <v>0</v>
      </c>
      <c r="AI207" s="54">
        <f t="shared" si="41"/>
        <v>0</v>
      </c>
    </row>
    <row r="208" spans="1:35" ht="15" x14ac:dyDescent="0.2">
      <c r="A208" s="56" t="s">
        <v>303</v>
      </c>
      <c r="B208" s="32"/>
      <c r="C208" s="56">
        <v>0.14499999999999999</v>
      </c>
      <c r="D208" s="56">
        <v>227.66</v>
      </c>
      <c r="E208" s="36"/>
      <c r="F208" s="40">
        <f t="shared" si="24"/>
        <v>0</v>
      </c>
      <c r="G208" s="40" t="e">
        <f>-PMT(Assumptions!B$25/12,Assumptions!B$24*12,F$8)*C208/100</f>
        <v>#NUM!</v>
      </c>
      <c r="H208" s="40" t="e">
        <f>G208*Assumptions!$B$24*12-F208</f>
        <v>#NUM!</v>
      </c>
      <c r="I208" s="48"/>
      <c r="J208" s="40">
        <f t="shared" si="25"/>
        <v>0</v>
      </c>
      <c r="K208" s="40" t="e">
        <f>-PMT(Assumptions!C$25/12,Assumptions!C$24*12,J$8)*C208/100</f>
        <v>#NUM!</v>
      </c>
      <c r="L208" s="40" t="e">
        <f>K208*Assumptions!$C$24*12-J208</f>
        <v>#NUM!</v>
      </c>
      <c r="M208" s="43"/>
      <c r="N208" s="40">
        <f t="shared" si="26"/>
        <v>1450</v>
      </c>
      <c r="O208" s="50">
        <f>-PMT(Assumptions!D$25/12,Assumptions!D$24*12,N$8)*C208/100</f>
        <v>15.379499709665906</v>
      </c>
      <c r="P208" s="44">
        <f>O208*Assumptions!$D$24*12-N208</f>
        <v>395.53996515990866</v>
      </c>
      <c r="Q208" s="48"/>
      <c r="R208" s="40">
        <f t="shared" si="27"/>
        <v>7250</v>
      </c>
      <c r="S208" s="40">
        <f>-PMT(Assumptions!E$25/12,Assumptions!E$24*12,$R$8)*$C208/100</f>
        <v>76.897498548329537</v>
      </c>
      <c r="T208" s="40">
        <f>S208*Assumptions!$E$24*12-R208</f>
        <v>1977.6998257995438</v>
      </c>
      <c r="U208" s="48"/>
      <c r="V208" s="40">
        <f t="shared" si="28"/>
        <v>0</v>
      </c>
      <c r="W208" s="40" t="e">
        <f>-PMT(Assumptions!F$25/12,Assumptions!F$24*12,$V$8)*$C208/100</f>
        <v>#NUM!</v>
      </c>
      <c r="X208" s="40" t="e">
        <f>W208*Assumptions!$F$24*12-V208</f>
        <v>#NUM!</v>
      </c>
      <c r="Y208" s="43"/>
      <c r="Z208" s="40">
        <f t="shared" si="29"/>
        <v>0</v>
      </c>
      <c r="AA208" s="50" t="e">
        <f>-PMT(Assumptions!G$25/12,Assumptions!G$24*12,$Z$8)*$C208/100</f>
        <v>#NUM!</v>
      </c>
      <c r="AB208" s="44" t="e">
        <f>AA208*Assumptions!$G$24*12-Z208</f>
        <v>#NUM!</v>
      </c>
      <c r="AD208" s="54">
        <f t="shared" si="36"/>
        <v>0</v>
      </c>
      <c r="AE208" s="54">
        <f t="shared" si="37"/>
        <v>0</v>
      </c>
      <c r="AF208" s="54">
        <f t="shared" si="38"/>
        <v>1450</v>
      </c>
      <c r="AG208" s="54">
        <f t="shared" si="39"/>
        <v>7250</v>
      </c>
      <c r="AH208" s="54">
        <f t="shared" si="40"/>
        <v>0</v>
      </c>
      <c r="AI208" s="54">
        <f t="shared" si="41"/>
        <v>0</v>
      </c>
    </row>
    <row r="209" spans="1:35" ht="15" x14ac:dyDescent="0.2">
      <c r="A209" s="56" t="s">
        <v>304</v>
      </c>
      <c r="B209" s="32"/>
      <c r="C209" s="56">
        <v>0.154</v>
      </c>
      <c r="D209" s="56">
        <v>241.8</v>
      </c>
      <c r="E209" s="36"/>
      <c r="F209" s="40">
        <f t="shared" si="24"/>
        <v>0</v>
      </c>
      <c r="G209" s="40" t="e">
        <f>-PMT(Assumptions!B$25/12,Assumptions!B$24*12,F$8)*C209/100</f>
        <v>#NUM!</v>
      </c>
      <c r="H209" s="40" t="e">
        <f>G209*Assumptions!$B$24*12-F209</f>
        <v>#NUM!</v>
      </c>
      <c r="I209" s="48"/>
      <c r="J209" s="40">
        <f t="shared" si="25"/>
        <v>0</v>
      </c>
      <c r="K209" s="40" t="e">
        <f>-PMT(Assumptions!C$25/12,Assumptions!C$24*12,J$8)*C209/100</f>
        <v>#NUM!</v>
      </c>
      <c r="L209" s="40" t="e">
        <f>K209*Assumptions!$C$24*12-J209</f>
        <v>#NUM!</v>
      </c>
      <c r="M209" s="43"/>
      <c r="N209" s="40">
        <f t="shared" si="26"/>
        <v>1540</v>
      </c>
      <c r="O209" s="50">
        <f>-PMT(Assumptions!D$25/12,Assumptions!D$24*12,N$8)*C209/100</f>
        <v>16.334089346817585</v>
      </c>
      <c r="P209" s="44">
        <f>O209*Assumptions!$D$24*12-N209</f>
        <v>420.09072161811036</v>
      </c>
      <c r="Q209" s="48"/>
      <c r="R209" s="40">
        <f t="shared" si="27"/>
        <v>7700</v>
      </c>
      <c r="S209" s="40">
        <f>-PMT(Assumptions!E$25/12,Assumptions!E$24*12,$R$8)*$C209/100</f>
        <v>81.670446734087932</v>
      </c>
      <c r="T209" s="40">
        <f>S209*Assumptions!$E$24*12-R209</f>
        <v>2100.4536080905527</v>
      </c>
      <c r="U209" s="48"/>
      <c r="V209" s="40">
        <f t="shared" si="28"/>
        <v>0</v>
      </c>
      <c r="W209" s="40" t="e">
        <f>-PMT(Assumptions!F$25/12,Assumptions!F$24*12,$V$8)*$C209/100</f>
        <v>#NUM!</v>
      </c>
      <c r="X209" s="40" t="e">
        <f>W209*Assumptions!$F$24*12-V209</f>
        <v>#NUM!</v>
      </c>
      <c r="Y209" s="43"/>
      <c r="Z209" s="40">
        <f t="shared" si="29"/>
        <v>0</v>
      </c>
      <c r="AA209" s="50" t="e">
        <f>-PMT(Assumptions!G$25/12,Assumptions!G$24*12,$Z$8)*$C209/100</f>
        <v>#NUM!</v>
      </c>
      <c r="AB209" s="44" t="e">
        <f>AA209*Assumptions!$G$24*12-Z209</f>
        <v>#NUM!</v>
      </c>
      <c r="AD209" s="54">
        <f t="shared" si="36"/>
        <v>0</v>
      </c>
      <c r="AE209" s="54">
        <f t="shared" si="37"/>
        <v>0</v>
      </c>
      <c r="AF209" s="54">
        <f t="shared" si="38"/>
        <v>1540</v>
      </c>
      <c r="AG209" s="54">
        <f t="shared" si="39"/>
        <v>7700</v>
      </c>
      <c r="AH209" s="54">
        <f t="shared" si="40"/>
        <v>0</v>
      </c>
      <c r="AI209" s="54">
        <f t="shared" si="41"/>
        <v>0</v>
      </c>
    </row>
    <row r="210" spans="1:35" ht="15" x14ac:dyDescent="0.2">
      <c r="A210" s="56" t="s">
        <v>305</v>
      </c>
      <c r="B210" s="32"/>
      <c r="C210" s="56">
        <v>0.14499999999999999</v>
      </c>
      <c r="D210" s="56">
        <v>227.66</v>
      </c>
      <c r="E210" s="36"/>
      <c r="F210" s="40">
        <f t="shared" si="24"/>
        <v>0</v>
      </c>
      <c r="G210" s="40" t="e">
        <f>-PMT(Assumptions!B$25/12,Assumptions!B$24*12,F$8)*C210/100</f>
        <v>#NUM!</v>
      </c>
      <c r="H210" s="40" t="e">
        <f>G210*Assumptions!$B$24*12-F210</f>
        <v>#NUM!</v>
      </c>
      <c r="I210" s="48"/>
      <c r="J210" s="40">
        <f t="shared" si="25"/>
        <v>0</v>
      </c>
      <c r="K210" s="40" t="e">
        <f>-PMT(Assumptions!C$25/12,Assumptions!C$24*12,J$8)*C210/100</f>
        <v>#NUM!</v>
      </c>
      <c r="L210" s="40" t="e">
        <f>K210*Assumptions!$C$24*12-J210</f>
        <v>#NUM!</v>
      </c>
      <c r="M210" s="43"/>
      <c r="N210" s="40">
        <f t="shared" si="26"/>
        <v>1450</v>
      </c>
      <c r="O210" s="50">
        <f>-PMT(Assumptions!D$25/12,Assumptions!D$24*12,N$8)*C210/100</f>
        <v>15.379499709665906</v>
      </c>
      <c r="P210" s="44">
        <f>O210*Assumptions!$D$24*12-N210</f>
        <v>395.53996515990866</v>
      </c>
      <c r="Q210" s="48"/>
      <c r="R210" s="40">
        <f t="shared" si="27"/>
        <v>7250</v>
      </c>
      <c r="S210" s="40">
        <f>-PMT(Assumptions!E$25/12,Assumptions!E$24*12,$R$8)*$C210/100</f>
        <v>76.897498548329537</v>
      </c>
      <c r="T210" s="40">
        <f>S210*Assumptions!$E$24*12-R210</f>
        <v>1977.6998257995438</v>
      </c>
      <c r="U210" s="48"/>
      <c r="V210" s="40">
        <f t="shared" si="28"/>
        <v>0</v>
      </c>
      <c r="W210" s="40" t="e">
        <f>-PMT(Assumptions!F$25/12,Assumptions!F$24*12,$V$8)*$C210/100</f>
        <v>#NUM!</v>
      </c>
      <c r="X210" s="40" t="e">
        <f>W210*Assumptions!$F$24*12-V210</f>
        <v>#NUM!</v>
      </c>
      <c r="Y210" s="43"/>
      <c r="Z210" s="40">
        <f t="shared" si="29"/>
        <v>0</v>
      </c>
      <c r="AA210" s="50" t="e">
        <f>-PMT(Assumptions!G$25/12,Assumptions!G$24*12,$Z$8)*$C210/100</f>
        <v>#NUM!</v>
      </c>
      <c r="AB210" s="44" t="e">
        <f>AA210*Assumptions!$G$24*12-Z210</f>
        <v>#NUM!</v>
      </c>
      <c r="AD210" s="54">
        <f t="shared" si="36"/>
        <v>0</v>
      </c>
      <c r="AE210" s="54">
        <f t="shared" si="37"/>
        <v>0</v>
      </c>
      <c r="AF210" s="54">
        <f t="shared" si="38"/>
        <v>1450</v>
      </c>
      <c r="AG210" s="54">
        <f t="shared" si="39"/>
        <v>7250</v>
      </c>
      <c r="AH210" s="54">
        <f t="shared" si="40"/>
        <v>0</v>
      </c>
      <c r="AI210" s="54">
        <f t="shared" si="41"/>
        <v>0</v>
      </c>
    </row>
    <row r="211" spans="1:35" ht="15" x14ac:dyDescent="0.2">
      <c r="A211" s="56" t="s">
        <v>306</v>
      </c>
      <c r="B211" s="32"/>
      <c r="C211" s="56">
        <v>0.154</v>
      </c>
      <c r="D211" s="56">
        <v>241.8</v>
      </c>
      <c r="E211" s="36"/>
      <c r="F211" s="40">
        <f t="shared" si="24"/>
        <v>0</v>
      </c>
      <c r="G211" s="40" t="e">
        <f>-PMT(Assumptions!B$25/12,Assumptions!B$24*12,F$8)*C211/100</f>
        <v>#NUM!</v>
      </c>
      <c r="H211" s="40" t="e">
        <f>G211*Assumptions!$B$24*12-F211</f>
        <v>#NUM!</v>
      </c>
      <c r="I211" s="48"/>
      <c r="J211" s="40">
        <f t="shared" si="25"/>
        <v>0</v>
      </c>
      <c r="K211" s="40" t="e">
        <f>-PMT(Assumptions!C$25/12,Assumptions!C$24*12,J$8)*C211/100</f>
        <v>#NUM!</v>
      </c>
      <c r="L211" s="40" t="e">
        <f>K211*Assumptions!$C$24*12-J211</f>
        <v>#NUM!</v>
      </c>
      <c r="M211" s="43"/>
      <c r="N211" s="40">
        <f t="shared" si="26"/>
        <v>1540</v>
      </c>
      <c r="O211" s="50">
        <f>-PMT(Assumptions!D$25/12,Assumptions!D$24*12,N$8)*C211/100</f>
        <v>16.334089346817585</v>
      </c>
      <c r="P211" s="44">
        <f>O211*Assumptions!$D$24*12-N211</f>
        <v>420.09072161811036</v>
      </c>
      <c r="Q211" s="48"/>
      <c r="R211" s="40">
        <f t="shared" si="27"/>
        <v>7700</v>
      </c>
      <c r="S211" s="40">
        <f>-PMT(Assumptions!E$25/12,Assumptions!E$24*12,$R$8)*$C211/100</f>
        <v>81.670446734087932</v>
      </c>
      <c r="T211" s="40">
        <f>S211*Assumptions!$E$24*12-R211</f>
        <v>2100.4536080905527</v>
      </c>
      <c r="U211" s="48"/>
      <c r="V211" s="40">
        <f t="shared" si="28"/>
        <v>0</v>
      </c>
      <c r="W211" s="40" t="e">
        <f>-PMT(Assumptions!F$25/12,Assumptions!F$24*12,$V$8)*$C211/100</f>
        <v>#NUM!</v>
      </c>
      <c r="X211" s="40" t="e">
        <f>W211*Assumptions!$F$24*12-V211</f>
        <v>#NUM!</v>
      </c>
      <c r="Y211" s="43"/>
      <c r="Z211" s="40">
        <f t="shared" si="29"/>
        <v>0</v>
      </c>
      <c r="AA211" s="50" t="e">
        <f>-PMT(Assumptions!G$25/12,Assumptions!G$24*12,$Z$8)*$C211/100</f>
        <v>#NUM!</v>
      </c>
      <c r="AB211" s="44" t="e">
        <f>AA211*Assumptions!$G$24*12-Z211</f>
        <v>#NUM!</v>
      </c>
      <c r="AD211" s="54">
        <f t="shared" si="36"/>
        <v>0</v>
      </c>
      <c r="AE211" s="54">
        <f t="shared" si="37"/>
        <v>0</v>
      </c>
      <c r="AF211" s="54">
        <f t="shared" si="38"/>
        <v>1540</v>
      </c>
      <c r="AG211" s="54">
        <f t="shared" si="39"/>
        <v>7700</v>
      </c>
      <c r="AH211" s="54">
        <f t="shared" si="40"/>
        <v>0</v>
      </c>
      <c r="AI211" s="54">
        <f t="shared" si="41"/>
        <v>0</v>
      </c>
    </row>
    <row r="212" spans="1:35" ht="15" x14ac:dyDescent="0.2">
      <c r="A212" s="56" t="s">
        <v>307</v>
      </c>
      <c r="B212" s="32"/>
      <c r="C212" s="56">
        <v>0.215</v>
      </c>
      <c r="D212" s="56">
        <v>337.57</v>
      </c>
      <c r="E212" s="36"/>
      <c r="F212" s="40">
        <f t="shared" si="24"/>
        <v>0</v>
      </c>
      <c r="G212" s="40" t="e">
        <f>-PMT(Assumptions!B$25/12,Assumptions!B$24*12,F$8)*C212/100</f>
        <v>#NUM!</v>
      </c>
      <c r="H212" s="40" t="e">
        <f>G212*Assumptions!$B$24*12-F212</f>
        <v>#NUM!</v>
      </c>
      <c r="I212" s="48"/>
      <c r="J212" s="40">
        <f t="shared" si="25"/>
        <v>0</v>
      </c>
      <c r="K212" s="40" t="e">
        <f>-PMT(Assumptions!C$25/12,Assumptions!C$24*12,J$8)*C212/100</f>
        <v>#NUM!</v>
      </c>
      <c r="L212" s="40" t="e">
        <f>K212*Assumptions!$C$24*12-J212</f>
        <v>#NUM!</v>
      </c>
      <c r="M212" s="43"/>
      <c r="N212" s="40">
        <f t="shared" si="26"/>
        <v>2150</v>
      </c>
      <c r="O212" s="50">
        <f>-PMT(Assumptions!D$25/12,Assumptions!D$24*12,N$8)*C212/100</f>
        <v>22.804085776401177</v>
      </c>
      <c r="P212" s="44">
        <f>O212*Assumptions!$D$24*12-N212</f>
        <v>586.49029316814131</v>
      </c>
      <c r="Q212" s="48"/>
      <c r="R212" s="40">
        <f t="shared" si="27"/>
        <v>10750</v>
      </c>
      <c r="S212" s="40">
        <f>-PMT(Assumptions!E$25/12,Assumptions!E$24*12,$R$8)*$C212/100</f>
        <v>114.02042888200587</v>
      </c>
      <c r="T212" s="40">
        <f>S212*Assumptions!$E$24*12-R212</f>
        <v>2932.4514658407061</v>
      </c>
      <c r="U212" s="48"/>
      <c r="V212" s="40">
        <f t="shared" si="28"/>
        <v>0</v>
      </c>
      <c r="W212" s="40" t="e">
        <f>-PMT(Assumptions!F$25/12,Assumptions!F$24*12,$V$8)*$C212/100</f>
        <v>#NUM!</v>
      </c>
      <c r="X212" s="40" t="e">
        <f>W212*Assumptions!$F$24*12-V212</f>
        <v>#NUM!</v>
      </c>
      <c r="Y212" s="43"/>
      <c r="Z212" s="40">
        <f t="shared" si="29"/>
        <v>0</v>
      </c>
      <c r="AA212" s="50" t="e">
        <f>-PMT(Assumptions!G$25/12,Assumptions!G$24*12,$Z$8)*$C212/100</f>
        <v>#NUM!</v>
      </c>
      <c r="AB212" s="44" t="e">
        <f>AA212*Assumptions!$G$24*12-Z212</f>
        <v>#NUM!</v>
      </c>
      <c r="AD212" s="54">
        <f t="shared" si="36"/>
        <v>0</v>
      </c>
      <c r="AE212" s="54">
        <f t="shared" si="37"/>
        <v>0</v>
      </c>
      <c r="AF212" s="54">
        <f t="shared" si="38"/>
        <v>2150</v>
      </c>
      <c r="AG212" s="54">
        <f t="shared" si="39"/>
        <v>10750</v>
      </c>
      <c r="AH212" s="54">
        <f t="shared" si="40"/>
        <v>0</v>
      </c>
      <c r="AI212" s="54">
        <f t="shared" si="41"/>
        <v>0</v>
      </c>
    </row>
    <row r="213" spans="1:35" ht="15" x14ac:dyDescent="0.2">
      <c r="A213" s="56" t="s">
        <v>308</v>
      </c>
      <c r="B213" s="32"/>
      <c r="C213" s="56">
        <v>0.223</v>
      </c>
      <c r="D213" s="56">
        <v>350.13</v>
      </c>
      <c r="E213" s="36"/>
      <c r="F213" s="40">
        <f t="shared" si="24"/>
        <v>0</v>
      </c>
      <c r="G213" s="40" t="e">
        <f>-PMT(Assumptions!B$25/12,Assumptions!B$24*12,F$8)*C213/100</f>
        <v>#NUM!</v>
      </c>
      <c r="H213" s="40" t="e">
        <f>G213*Assumptions!$B$24*12-F213</f>
        <v>#NUM!</v>
      </c>
      <c r="I213" s="48"/>
      <c r="J213" s="40">
        <f t="shared" si="25"/>
        <v>0</v>
      </c>
      <c r="K213" s="40" t="e">
        <f>-PMT(Assumptions!C$25/12,Assumptions!C$24*12,J$8)*C213/100</f>
        <v>#NUM!</v>
      </c>
      <c r="L213" s="40" t="e">
        <f>K213*Assumptions!$C$24*12-J213</f>
        <v>#NUM!</v>
      </c>
      <c r="M213" s="43"/>
      <c r="N213" s="40">
        <f t="shared" si="26"/>
        <v>2230</v>
      </c>
      <c r="O213" s="50">
        <f>-PMT(Assumptions!D$25/12,Assumptions!D$24*12,N$8)*C213/100</f>
        <v>23.652609898313777</v>
      </c>
      <c r="P213" s="44">
        <f>O213*Assumptions!$D$24*12-N213</f>
        <v>608.31318779765343</v>
      </c>
      <c r="Q213" s="48"/>
      <c r="R213" s="40">
        <f t="shared" si="27"/>
        <v>11150</v>
      </c>
      <c r="S213" s="40">
        <f>-PMT(Assumptions!E$25/12,Assumptions!E$24*12,$R$8)*$C213/100</f>
        <v>118.26304949156889</v>
      </c>
      <c r="T213" s="40">
        <f>S213*Assumptions!$E$24*12-R213</f>
        <v>3041.5659389882658</v>
      </c>
      <c r="U213" s="48"/>
      <c r="V213" s="40">
        <f t="shared" si="28"/>
        <v>0</v>
      </c>
      <c r="W213" s="40" t="e">
        <f>-PMT(Assumptions!F$25/12,Assumptions!F$24*12,$V$8)*$C213/100</f>
        <v>#NUM!</v>
      </c>
      <c r="X213" s="40" t="e">
        <f>W213*Assumptions!$F$24*12-V213</f>
        <v>#NUM!</v>
      </c>
      <c r="Y213" s="43"/>
      <c r="Z213" s="40">
        <f t="shared" si="29"/>
        <v>0</v>
      </c>
      <c r="AA213" s="50" t="e">
        <f>-PMT(Assumptions!G$25/12,Assumptions!G$24*12,$Z$8)*$C213/100</f>
        <v>#NUM!</v>
      </c>
      <c r="AB213" s="44" t="e">
        <f>AA213*Assumptions!$G$24*12-Z213</f>
        <v>#NUM!</v>
      </c>
      <c r="AD213" s="54">
        <f t="shared" si="36"/>
        <v>0</v>
      </c>
      <c r="AE213" s="54">
        <f t="shared" si="37"/>
        <v>0</v>
      </c>
      <c r="AF213" s="54">
        <f t="shared" si="38"/>
        <v>2230</v>
      </c>
      <c r="AG213" s="54">
        <f t="shared" si="39"/>
        <v>11150</v>
      </c>
      <c r="AH213" s="54">
        <f t="shared" si="40"/>
        <v>0</v>
      </c>
      <c r="AI213" s="54">
        <f t="shared" si="41"/>
        <v>0</v>
      </c>
    </row>
    <row r="214" spans="1:35" ht="15" x14ac:dyDescent="0.2">
      <c r="A214" s="56" t="s">
        <v>309</v>
      </c>
      <c r="B214" s="32"/>
      <c r="C214" s="56">
        <v>0.2</v>
      </c>
      <c r="D214" s="56">
        <v>314.02</v>
      </c>
      <c r="E214" s="36"/>
      <c r="F214" s="40">
        <f t="shared" si="24"/>
        <v>0</v>
      </c>
      <c r="G214" s="40" t="e">
        <f>-PMT(Assumptions!B$25/12,Assumptions!B$24*12,F$8)*C214/100</f>
        <v>#NUM!</v>
      </c>
      <c r="H214" s="40" t="e">
        <f>G214*Assumptions!$B$24*12-F214</f>
        <v>#NUM!</v>
      </c>
      <c r="I214" s="48"/>
      <c r="J214" s="40">
        <f t="shared" si="25"/>
        <v>0</v>
      </c>
      <c r="K214" s="40" t="e">
        <f>-PMT(Assumptions!C$25/12,Assumptions!C$24*12,J$8)*C214/100</f>
        <v>#NUM!</v>
      </c>
      <c r="L214" s="40" t="e">
        <f>K214*Assumptions!$C$24*12-J214</f>
        <v>#NUM!</v>
      </c>
      <c r="M214" s="43"/>
      <c r="N214" s="40">
        <f t="shared" si="26"/>
        <v>2000</v>
      </c>
      <c r="O214" s="50">
        <f>-PMT(Assumptions!D$25/12,Assumptions!D$24*12,N$8)*C214/100</f>
        <v>21.213103047815046</v>
      </c>
      <c r="P214" s="44">
        <f>O214*Assumptions!$D$24*12-N214</f>
        <v>545.57236573780574</v>
      </c>
      <c r="Q214" s="48"/>
      <c r="R214" s="40">
        <f t="shared" si="27"/>
        <v>10000</v>
      </c>
      <c r="S214" s="40">
        <f>-PMT(Assumptions!E$25/12,Assumptions!E$24*12,$R$8)*$C214/100</f>
        <v>106.06551523907525</v>
      </c>
      <c r="T214" s="40">
        <f>S214*Assumptions!$E$24*12-R214</f>
        <v>2727.8618286890305</v>
      </c>
      <c r="U214" s="48"/>
      <c r="V214" s="40">
        <f t="shared" si="28"/>
        <v>0</v>
      </c>
      <c r="W214" s="40" t="e">
        <f>-PMT(Assumptions!F$25/12,Assumptions!F$24*12,$V$8)*$C214/100</f>
        <v>#NUM!</v>
      </c>
      <c r="X214" s="40" t="e">
        <f>W214*Assumptions!$F$24*12-V214</f>
        <v>#NUM!</v>
      </c>
      <c r="Y214" s="43"/>
      <c r="Z214" s="40">
        <f t="shared" si="29"/>
        <v>0</v>
      </c>
      <c r="AA214" s="50" t="e">
        <f>-PMT(Assumptions!G$25/12,Assumptions!G$24*12,$Z$8)*$C214/100</f>
        <v>#NUM!</v>
      </c>
      <c r="AB214" s="44" t="e">
        <f>AA214*Assumptions!$G$24*12-Z214</f>
        <v>#NUM!</v>
      </c>
      <c r="AD214" s="54">
        <f t="shared" si="36"/>
        <v>0</v>
      </c>
      <c r="AE214" s="54">
        <f t="shared" si="37"/>
        <v>0</v>
      </c>
      <c r="AF214" s="54">
        <f t="shared" si="38"/>
        <v>2000</v>
      </c>
      <c r="AG214" s="54">
        <f t="shared" si="39"/>
        <v>10000</v>
      </c>
      <c r="AH214" s="54">
        <f t="shared" si="40"/>
        <v>0</v>
      </c>
      <c r="AI214" s="54">
        <f t="shared" si="41"/>
        <v>0</v>
      </c>
    </row>
    <row r="215" spans="1:35" ht="15" x14ac:dyDescent="0.2">
      <c r="A215" s="56" t="s">
        <v>310</v>
      </c>
      <c r="B215" s="32"/>
      <c r="C215" s="56">
        <v>0.2</v>
      </c>
      <c r="D215" s="56">
        <v>314.02</v>
      </c>
      <c r="E215" s="36"/>
      <c r="F215" s="40">
        <f t="shared" si="24"/>
        <v>0</v>
      </c>
      <c r="G215" s="40" t="e">
        <f>-PMT(Assumptions!B$25/12,Assumptions!B$24*12,F$8)*C215/100</f>
        <v>#NUM!</v>
      </c>
      <c r="H215" s="40" t="e">
        <f>G215*Assumptions!$B$24*12-F215</f>
        <v>#NUM!</v>
      </c>
      <c r="I215" s="48"/>
      <c r="J215" s="40">
        <f t="shared" si="25"/>
        <v>0</v>
      </c>
      <c r="K215" s="40" t="e">
        <f>-PMT(Assumptions!C$25/12,Assumptions!C$24*12,J$8)*C215/100</f>
        <v>#NUM!</v>
      </c>
      <c r="L215" s="40" t="e">
        <f>K215*Assumptions!$C$24*12-J215</f>
        <v>#NUM!</v>
      </c>
      <c r="M215" s="43"/>
      <c r="N215" s="40">
        <f t="shared" si="26"/>
        <v>2000</v>
      </c>
      <c r="O215" s="50">
        <f>-PMT(Assumptions!D$25/12,Assumptions!D$24*12,N$8)*C215/100</f>
        <v>21.213103047815046</v>
      </c>
      <c r="P215" s="44">
        <f>O215*Assumptions!$D$24*12-N215</f>
        <v>545.57236573780574</v>
      </c>
      <c r="Q215" s="48"/>
      <c r="R215" s="40">
        <f t="shared" si="27"/>
        <v>10000</v>
      </c>
      <c r="S215" s="40">
        <f>-PMT(Assumptions!E$25/12,Assumptions!E$24*12,$R$8)*$C215/100</f>
        <v>106.06551523907525</v>
      </c>
      <c r="T215" s="40">
        <f>S215*Assumptions!$E$24*12-R215</f>
        <v>2727.8618286890305</v>
      </c>
      <c r="U215" s="48"/>
      <c r="V215" s="40">
        <f t="shared" si="28"/>
        <v>0</v>
      </c>
      <c r="W215" s="40" t="e">
        <f>-PMT(Assumptions!F$25/12,Assumptions!F$24*12,$V$8)*$C215/100</f>
        <v>#NUM!</v>
      </c>
      <c r="X215" s="40" t="e">
        <f>W215*Assumptions!$F$24*12-V215</f>
        <v>#NUM!</v>
      </c>
      <c r="Y215" s="43"/>
      <c r="Z215" s="40">
        <f t="shared" si="29"/>
        <v>0</v>
      </c>
      <c r="AA215" s="50" t="e">
        <f>-PMT(Assumptions!G$25/12,Assumptions!G$24*12,$Z$8)*$C215/100</f>
        <v>#NUM!</v>
      </c>
      <c r="AB215" s="44" t="e">
        <f>AA215*Assumptions!$G$24*12-Z215</f>
        <v>#NUM!</v>
      </c>
      <c r="AD215" s="54">
        <f t="shared" si="36"/>
        <v>0</v>
      </c>
      <c r="AE215" s="54">
        <f t="shared" si="37"/>
        <v>0</v>
      </c>
      <c r="AF215" s="54">
        <f t="shared" si="38"/>
        <v>2000</v>
      </c>
      <c r="AG215" s="54">
        <f t="shared" si="39"/>
        <v>10000</v>
      </c>
      <c r="AH215" s="54">
        <f t="shared" si="40"/>
        <v>0</v>
      </c>
      <c r="AI215" s="54">
        <f t="shared" si="41"/>
        <v>0</v>
      </c>
    </row>
    <row r="216" spans="1:35" ht="15" x14ac:dyDescent="0.2">
      <c r="A216" s="56" t="s">
        <v>311</v>
      </c>
      <c r="B216" s="32"/>
      <c r="C216" s="56">
        <v>0.14499999999999999</v>
      </c>
      <c r="D216" s="56">
        <v>227.66</v>
      </c>
      <c r="E216" s="36"/>
      <c r="F216" s="40">
        <f t="shared" si="24"/>
        <v>0</v>
      </c>
      <c r="G216" s="40" t="e">
        <f>-PMT(Assumptions!B$25/12,Assumptions!B$24*12,F$8)*C216/100</f>
        <v>#NUM!</v>
      </c>
      <c r="H216" s="40" t="e">
        <f>G216*Assumptions!$B$24*12-F216</f>
        <v>#NUM!</v>
      </c>
      <c r="I216" s="48"/>
      <c r="J216" s="40">
        <f t="shared" si="25"/>
        <v>0</v>
      </c>
      <c r="K216" s="40" t="e">
        <f>-PMT(Assumptions!C$25/12,Assumptions!C$24*12,J$8)*C216/100</f>
        <v>#NUM!</v>
      </c>
      <c r="L216" s="40" t="e">
        <f>K216*Assumptions!$C$24*12-J216</f>
        <v>#NUM!</v>
      </c>
      <c r="M216" s="43"/>
      <c r="N216" s="40">
        <f t="shared" si="26"/>
        <v>1450</v>
      </c>
      <c r="O216" s="50">
        <f>-PMT(Assumptions!D$25/12,Assumptions!D$24*12,N$8)*C216/100</f>
        <v>15.379499709665906</v>
      </c>
      <c r="P216" s="44">
        <f>O216*Assumptions!$D$24*12-N216</f>
        <v>395.53996515990866</v>
      </c>
      <c r="Q216" s="48"/>
      <c r="R216" s="40">
        <f t="shared" si="27"/>
        <v>7250</v>
      </c>
      <c r="S216" s="40">
        <f>-PMT(Assumptions!E$25/12,Assumptions!E$24*12,$R$8)*$C216/100</f>
        <v>76.897498548329537</v>
      </c>
      <c r="T216" s="40">
        <f>S216*Assumptions!$E$24*12-R216</f>
        <v>1977.6998257995438</v>
      </c>
      <c r="U216" s="48"/>
      <c r="V216" s="40">
        <f t="shared" si="28"/>
        <v>0</v>
      </c>
      <c r="W216" s="40" t="e">
        <f>-PMT(Assumptions!F$25/12,Assumptions!F$24*12,$V$8)*$C216/100</f>
        <v>#NUM!</v>
      </c>
      <c r="X216" s="40" t="e">
        <f>W216*Assumptions!$F$24*12-V216</f>
        <v>#NUM!</v>
      </c>
      <c r="Y216" s="43"/>
      <c r="Z216" s="40">
        <f t="shared" si="29"/>
        <v>0</v>
      </c>
      <c r="AA216" s="50" t="e">
        <f>-PMT(Assumptions!G$25/12,Assumptions!G$24*12,$Z$8)*$C216/100</f>
        <v>#NUM!</v>
      </c>
      <c r="AB216" s="44" t="e">
        <f>AA216*Assumptions!$G$24*12-Z216</f>
        <v>#NUM!</v>
      </c>
      <c r="AD216" s="54">
        <f t="shared" si="36"/>
        <v>0</v>
      </c>
      <c r="AE216" s="54">
        <f t="shared" si="37"/>
        <v>0</v>
      </c>
      <c r="AF216" s="54">
        <f t="shared" si="38"/>
        <v>1450</v>
      </c>
      <c r="AG216" s="54">
        <f t="shared" si="39"/>
        <v>7250</v>
      </c>
      <c r="AH216" s="54">
        <f t="shared" si="40"/>
        <v>0</v>
      </c>
      <c r="AI216" s="54">
        <f t="shared" si="41"/>
        <v>0</v>
      </c>
    </row>
    <row r="217" spans="1:35" ht="15" x14ac:dyDescent="0.2">
      <c r="A217" s="56" t="s">
        <v>312</v>
      </c>
      <c r="B217" s="32"/>
      <c r="C217" s="56">
        <v>0.154</v>
      </c>
      <c r="D217" s="56">
        <v>241.8</v>
      </c>
      <c r="E217" s="36"/>
      <c r="F217" s="40">
        <f t="shared" si="24"/>
        <v>0</v>
      </c>
      <c r="G217" s="40" t="e">
        <f>-PMT(Assumptions!B$25/12,Assumptions!B$24*12,F$8)*C217/100</f>
        <v>#NUM!</v>
      </c>
      <c r="H217" s="40" t="e">
        <f>G217*Assumptions!$B$24*12-F217</f>
        <v>#NUM!</v>
      </c>
      <c r="I217" s="48"/>
      <c r="J217" s="40">
        <f t="shared" si="25"/>
        <v>0</v>
      </c>
      <c r="K217" s="40" t="e">
        <f>-PMT(Assumptions!C$25/12,Assumptions!C$24*12,J$8)*C217/100</f>
        <v>#NUM!</v>
      </c>
      <c r="L217" s="40" t="e">
        <f>K217*Assumptions!$C$24*12-J217</f>
        <v>#NUM!</v>
      </c>
      <c r="M217" s="43"/>
      <c r="N217" s="40">
        <f t="shared" si="26"/>
        <v>1540</v>
      </c>
      <c r="O217" s="50">
        <f>-PMT(Assumptions!D$25/12,Assumptions!D$24*12,N$8)*C217/100</f>
        <v>16.334089346817585</v>
      </c>
      <c r="P217" s="44">
        <f>O217*Assumptions!$D$24*12-N217</f>
        <v>420.09072161811036</v>
      </c>
      <c r="Q217" s="48"/>
      <c r="R217" s="40">
        <f t="shared" si="27"/>
        <v>7700</v>
      </c>
      <c r="S217" s="40">
        <f>-PMT(Assumptions!E$25/12,Assumptions!E$24*12,$R$8)*$C217/100</f>
        <v>81.670446734087932</v>
      </c>
      <c r="T217" s="40">
        <f>S217*Assumptions!$E$24*12-R217</f>
        <v>2100.4536080905527</v>
      </c>
      <c r="U217" s="48"/>
      <c r="V217" s="40">
        <f t="shared" si="28"/>
        <v>0</v>
      </c>
      <c r="W217" s="40" t="e">
        <f>-PMT(Assumptions!F$25/12,Assumptions!F$24*12,$V$8)*$C217/100</f>
        <v>#NUM!</v>
      </c>
      <c r="X217" s="40" t="e">
        <f>W217*Assumptions!$F$24*12-V217</f>
        <v>#NUM!</v>
      </c>
      <c r="Y217" s="43"/>
      <c r="Z217" s="40">
        <f t="shared" si="29"/>
        <v>0</v>
      </c>
      <c r="AA217" s="50" t="e">
        <f>-PMT(Assumptions!G$25/12,Assumptions!G$24*12,$Z$8)*$C217/100</f>
        <v>#NUM!</v>
      </c>
      <c r="AB217" s="44" t="e">
        <f>AA217*Assumptions!$G$24*12-Z217</f>
        <v>#NUM!</v>
      </c>
      <c r="AD217" s="54">
        <f t="shared" si="36"/>
        <v>0</v>
      </c>
      <c r="AE217" s="54">
        <f t="shared" si="37"/>
        <v>0</v>
      </c>
      <c r="AF217" s="54">
        <f t="shared" si="38"/>
        <v>1540</v>
      </c>
      <c r="AG217" s="54">
        <f t="shared" si="39"/>
        <v>7700</v>
      </c>
      <c r="AH217" s="54">
        <f t="shared" si="40"/>
        <v>0</v>
      </c>
      <c r="AI217" s="54">
        <f t="shared" si="41"/>
        <v>0</v>
      </c>
    </row>
    <row r="218" spans="1:35" ht="15" x14ac:dyDescent="0.2">
      <c r="A218" s="56" t="s">
        <v>313</v>
      </c>
      <c r="B218" s="32"/>
      <c r="C218" s="56">
        <v>0.14499999999999999</v>
      </c>
      <c r="D218" s="56">
        <v>227.66</v>
      </c>
      <c r="E218" s="36"/>
      <c r="F218" s="40">
        <f t="shared" si="24"/>
        <v>0</v>
      </c>
      <c r="G218" s="40" t="e">
        <f>-PMT(Assumptions!B$25/12,Assumptions!B$24*12,F$8)*C218/100</f>
        <v>#NUM!</v>
      </c>
      <c r="H218" s="40" t="e">
        <f>G218*Assumptions!$B$24*12-F218</f>
        <v>#NUM!</v>
      </c>
      <c r="I218" s="48"/>
      <c r="J218" s="40">
        <f t="shared" si="25"/>
        <v>0</v>
      </c>
      <c r="K218" s="40" t="e">
        <f>-PMT(Assumptions!C$25/12,Assumptions!C$24*12,J$8)*C218/100</f>
        <v>#NUM!</v>
      </c>
      <c r="L218" s="40" t="e">
        <f>K218*Assumptions!$C$24*12-J218</f>
        <v>#NUM!</v>
      </c>
      <c r="M218" s="43"/>
      <c r="N218" s="40">
        <f t="shared" si="26"/>
        <v>1450</v>
      </c>
      <c r="O218" s="50">
        <f>-PMT(Assumptions!D$25/12,Assumptions!D$24*12,N$8)*C218/100</f>
        <v>15.379499709665906</v>
      </c>
      <c r="P218" s="44">
        <f>O218*Assumptions!$D$24*12-N218</f>
        <v>395.53996515990866</v>
      </c>
      <c r="Q218" s="48"/>
      <c r="R218" s="40">
        <f t="shared" si="27"/>
        <v>7250</v>
      </c>
      <c r="S218" s="40">
        <f>-PMT(Assumptions!E$25/12,Assumptions!E$24*12,$R$8)*$C218/100</f>
        <v>76.897498548329537</v>
      </c>
      <c r="T218" s="40">
        <f>S218*Assumptions!$E$24*12-R218</f>
        <v>1977.6998257995438</v>
      </c>
      <c r="U218" s="48"/>
      <c r="V218" s="40">
        <f t="shared" si="28"/>
        <v>0</v>
      </c>
      <c r="W218" s="40" t="e">
        <f>-PMT(Assumptions!F$25/12,Assumptions!F$24*12,$V$8)*$C218/100</f>
        <v>#NUM!</v>
      </c>
      <c r="X218" s="40" t="e">
        <f>W218*Assumptions!$F$24*12-V218</f>
        <v>#NUM!</v>
      </c>
      <c r="Y218" s="43"/>
      <c r="Z218" s="40">
        <f t="shared" si="29"/>
        <v>0</v>
      </c>
      <c r="AA218" s="50" t="e">
        <f>-PMT(Assumptions!G$25/12,Assumptions!G$24*12,$Z$8)*$C218/100</f>
        <v>#NUM!</v>
      </c>
      <c r="AB218" s="44" t="e">
        <f>AA218*Assumptions!$G$24*12-Z218</f>
        <v>#NUM!</v>
      </c>
      <c r="AD218" s="54">
        <f t="shared" si="36"/>
        <v>0</v>
      </c>
      <c r="AE218" s="54">
        <f t="shared" si="37"/>
        <v>0</v>
      </c>
      <c r="AF218" s="54">
        <f t="shared" si="38"/>
        <v>1450</v>
      </c>
      <c r="AG218" s="54">
        <f t="shared" si="39"/>
        <v>7250</v>
      </c>
      <c r="AH218" s="54">
        <f t="shared" si="40"/>
        <v>0</v>
      </c>
      <c r="AI218" s="54">
        <f t="shared" si="41"/>
        <v>0</v>
      </c>
    </row>
    <row r="219" spans="1:35" ht="15" x14ac:dyDescent="0.2">
      <c r="A219" s="56" t="s">
        <v>314</v>
      </c>
      <c r="B219" s="32"/>
      <c r="C219" s="56">
        <v>0.154</v>
      </c>
      <c r="D219" s="56">
        <v>241.8</v>
      </c>
      <c r="E219" s="36"/>
      <c r="F219" s="40">
        <f t="shared" si="24"/>
        <v>0</v>
      </c>
      <c r="G219" s="40" t="e">
        <f>-PMT(Assumptions!B$25/12,Assumptions!B$24*12,F$8)*C219/100</f>
        <v>#NUM!</v>
      </c>
      <c r="H219" s="40" t="e">
        <f>G219*Assumptions!$B$24*12-F219</f>
        <v>#NUM!</v>
      </c>
      <c r="I219" s="48"/>
      <c r="J219" s="40">
        <f t="shared" si="25"/>
        <v>0</v>
      </c>
      <c r="K219" s="40" t="e">
        <f>-PMT(Assumptions!C$25/12,Assumptions!C$24*12,J$8)*C219/100</f>
        <v>#NUM!</v>
      </c>
      <c r="L219" s="40" t="e">
        <f>K219*Assumptions!$C$24*12-J219</f>
        <v>#NUM!</v>
      </c>
      <c r="M219" s="43"/>
      <c r="N219" s="40">
        <f t="shared" si="26"/>
        <v>1540</v>
      </c>
      <c r="O219" s="50">
        <f>-PMT(Assumptions!D$25/12,Assumptions!D$24*12,N$8)*C219/100</f>
        <v>16.334089346817585</v>
      </c>
      <c r="P219" s="44">
        <f>O219*Assumptions!$D$24*12-N219</f>
        <v>420.09072161811036</v>
      </c>
      <c r="Q219" s="48"/>
      <c r="R219" s="40">
        <f t="shared" si="27"/>
        <v>7700</v>
      </c>
      <c r="S219" s="40">
        <f>-PMT(Assumptions!E$25/12,Assumptions!E$24*12,$R$8)*$C219/100</f>
        <v>81.670446734087932</v>
      </c>
      <c r="T219" s="40">
        <f>S219*Assumptions!$E$24*12-R219</f>
        <v>2100.4536080905527</v>
      </c>
      <c r="U219" s="48"/>
      <c r="V219" s="40">
        <f t="shared" si="28"/>
        <v>0</v>
      </c>
      <c r="W219" s="40" t="e">
        <f>-PMT(Assumptions!F$25/12,Assumptions!F$24*12,$V$8)*$C219/100</f>
        <v>#NUM!</v>
      </c>
      <c r="X219" s="40" t="e">
        <f>W219*Assumptions!$F$24*12-V219</f>
        <v>#NUM!</v>
      </c>
      <c r="Y219" s="43"/>
      <c r="Z219" s="40">
        <f t="shared" si="29"/>
        <v>0</v>
      </c>
      <c r="AA219" s="50" t="e">
        <f>-PMT(Assumptions!G$25/12,Assumptions!G$24*12,$Z$8)*$C219/100</f>
        <v>#NUM!</v>
      </c>
      <c r="AB219" s="44" t="e">
        <f>AA219*Assumptions!$G$24*12-Z219</f>
        <v>#NUM!</v>
      </c>
      <c r="AD219" s="54">
        <f t="shared" si="36"/>
        <v>0</v>
      </c>
      <c r="AE219" s="54">
        <f t="shared" si="37"/>
        <v>0</v>
      </c>
      <c r="AF219" s="54">
        <f t="shared" si="38"/>
        <v>1540</v>
      </c>
      <c r="AG219" s="54">
        <f t="shared" si="39"/>
        <v>7700</v>
      </c>
      <c r="AH219" s="54">
        <f t="shared" si="40"/>
        <v>0</v>
      </c>
      <c r="AI219" s="54">
        <f t="shared" si="41"/>
        <v>0</v>
      </c>
    </row>
    <row r="220" spans="1:35" ht="15" x14ac:dyDescent="0.2">
      <c r="A220" s="56" t="s">
        <v>315</v>
      </c>
      <c r="B220" s="32"/>
      <c r="C220" s="56">
        <v>0.215</v>
      </c>
      <c r="D220" s="56">
        <v>337.57</v>
      </c>
      <c r="E220" s="36"/>
      <c r="F220" s="40">
        <f t="shared" si="24"/>
        <v>0</v>
      </c>
      <c r="G220" s="40" t="e">
        <f>-PMT(Assumptions!B$25/12,Assumptions!B$24*12,F$8)*C220/100</f>
        <v>#NUM!</v>
      </c>
      <c r="H220" s="40" t="e">
        <f>G220*Assumptions!$B$24*12-F220</f>
        <v>#NUM!</v>
      </c>
      <c r="I220" s="48"/>
      <c r="J220" s="40">
        <f t="shared" si="25"/>
        <v>0</v>
      </c>
      <c r="K220" s="40" t="e">
        <f>-PMT(Assumptions!C$25/12,Assumptions!C$24*12,J$8)*C220/100</f>
        <v>#NUM!</v>
      </c>
      <c r="L220" s="40" t="e">
        <f>K220*Assumptions!$C$24*12-J220</f>
        <v>#NUM!</v>
      </c>
      <c r="M220" s="43"/>
      <c r="N220" s="40">
        <f t="shared" si="26"/>
        <v>2150</v>
      </c>
      <c r="O220" s="50">
        <f>-PMT(Assumptions!D$25/12,Assumptions!D$24*12,N$8)*C220/100</f>
        <v>22.804085776401177</v>
      </c>
      <c r="P220" s="44">
        <f>O220*Assumptions!$D$24*12-N220</f>
        <v>586.49029316814131</v>
      </c>
      <c r="Q220" s="48"/>
      <c r="R220" s="40">
        <f t="shared" si="27"/>
        <v>10750</v>
      </c>
      <c r="S220" s="40">
        <f>-PMT(Assumptions!E$25/12,Assumptions!E$24*12,$R$8)*$C220/100</f>
        <v>114.02042888200587</v>
      </c>
      <c r="T220" s="40">
        <f>S220*Assumptions!$E$24*12-R220</f>
        <v>2932.4514658407061</v>
      </c>
      <c r="U220" s="48"/>
      <c r="V220" s="40">
        <f t="shared" si="28"/>
        <v>0</v>
      </c>
      <c r="W220" s="40" t="e">
        <f>-PMT(Assumptions!F$25/12,Assumptions!F$24*12,$V$8)*$C220/100</f>
        <v>#NUM!</v>
      </c>
      <c r="X220" s="40" t="e">
        <f>W220*Assumptions!$F$24*12-V220</f>
        <v>#NUM!</v>
      </c>
      <c r="Y220" s="43"/>
      <c r="Z220" s="40">
        <f t="shared" si="29"/>
        <v>0</v>
      </c>
      <c r="AA220" s="50" t="e">
        <f>-PMT(Assumptions!G$25/12,Assumptions!G$24*12,$Z$8)*$C220/100</f>
        <v>#NUM!</v>
      </c>
      <c r="AB220" s="44" t="e">
        <f>AA220*Assumptions!$G$24*12-Z220</f>
        <v>#NUM!</v>
      </c>
      <c r="AD220" s="54">
        <f t="shared" si="36"/>
        <v>0</v>
      </c>
      <c r="AE220" s="54">
        <f t="shared" si="37"/>
        <v>0</v>
      </c>
      <c r="AF220" s="54">
        <f t="shared" si="38"/>
        <v>2150</v>
      </c>
      <c r="AG220" s="54">
        <f t="shared" si="39"/>
        <v>10750</v>
      </c>
      <c r="AH220" s="54">
        <f t="shared" si="40"/>
        <v>0</v>
      </c>
      <c r="AI220" s="54">
        <f t="shared" si="41"/>
        <v>0</v>
      </c>
    </row>
    <row r="221" spans="1:35" ht="15" x14ac:dyDescent="0.2">
      <c r="A221" s="56" t="s">
        <v>316</v>
      </c>
      <c r="B221" s="32"/>
      <c r="C221" s="56">
        <v>0.223</v>
      </c>
      <c r="D221" s="56">
        <v>350.13</v>
      </c>
      <c r="E221" s="36"/>
      <c r="F221" s="40">
        <f t="shared" si="24"/>
        <v>0</v>
      </c>
      <c r="G221" s="40" t="e">
        <f>-PMT(Assumptions!B$25/12,Assumptions!B$24*12,F$8)*C221/100</f>
        <v>#NUM!</v>
      </c>
      <c r="H221" s="40" t="e">
        <f>G221*Assumptions!$B$24*12-F221</f>
        <v>#NUM!</v>
      </c>
      <c r="I221" s="48"/>
      <c r="J221" s="40">
        <f t="shared" si="25"/>
        <v>0</v>
      </c>
      <c r="K221" s="40" t="e">
        <f>-PMT(Assumptions!C$25/12,Assumptions!C$24*12,J$8)*C221/100</f>
        <v>#NUM!</v>
      </c>
      <c r="L221" s="40" t="e">
        <f>K221*Assumptions!$C$24*12-J221</f>
        <v>#NUM!</v>
      </c>
      <c r="M221" s="43"/>
      <c r="N221" s="40">
        <f t="shared" si="26"/>
        <v>2230</v>
      </c>
      <c r="O221" s="50">
        <f>-PMT(Assumptions!D$25/12,Assumptions!D$24*12,N$8)*C221/100</f>
        <v>23.652609898313777</v>
      </c>
      <c r="P221" s="44">
        <f>O221*Assumptions!$D$24*12-N221</f>
        <v>608.31318779765343</v>
      </c>
      <c r="Q221" s="48"/>
      <c r="R221" s="40">
        <f t="shared" si="27"/>
        <v>11150</v>
      </c>
      <c r="S221" s="40">
        <f>-PMT(Assumptions!E$25/12,Assumptions!E$24*12,$R$8)*$C221/100</f>
        <v>118.26304949156889</v>
      </c>
      <c r="T221" s="40">
        <f>S221*Assumptions!$E$24*12-R221</f>
        <v>3041.5659389882658</v>
      </c>
      <c r="U221" s="48"/>
      <c r="V221" s="40">
        <f t="shared" si="28"/>
        <v>0</v>
      </c>
      <c r="W221" s="40" t="e">
        <f>-PMT(Assumptions!F$25/12,Assumptions!F$24*12,$V$8)*$C221/100</f>
        <v>#NUM!</v>
      </c>
      <c r="X221" s="40" t="e">
        <f>W221*Assumptions!$F$24*12-V221</f>
        <v>#NUM!</v>
      </c>
      <c r="Y221" s="43"/>
      <c r="Z221" s="40">
        <f t="shared" si="29"/>
        <v>0</v>
      </c>
      <c r="AA221" s="50" t="e">
        <f>-PMT(Assumptions!G$25/12,Assumptions!G$24*12,$Z$8)*$C221/100</f>
        <v>#NUM!</v>
      </c>
      <c r="AB221" s="44" t="e">
        <f>AA221*Assumptions!$G$24*12-Z221</f>
        <v>#NUM!</v>
      </c>
      <c r="AD221" s="54">
        <f t="shared" si="36"/>
        <v>0</v>
      </c>
      <c r="AE221" s="54">
        <f t="shared" si="37"/>
        <v>0</v>
      </c>
      <c r="AF221" s="54">
        <f t="shared" si="38"/>
        <v>2230</v>
      </c>
      <c r="AG221" s="54">
        <f t="shared" si="39"/>
        <v>11150</v>
      </c>
      <c r="AH221" s="54">
        <f t="shared" si="40"/>
        <v>0</v>
      </c>
      <c r="AI221" s="54">
        <f t="shared" si="41"/>
        <v>0</v>
      </c>
    </row>
    <row r="222" spans="1:35" ht="15" x14ac:dyDescent="0.2">
      <c r="A222" s="56" t="s">
        <v>317</v>
      </c>
      <c r="B222" s="32"/>
      <c r="C222" s="56">
        <v>0.20200000000000001</v>
      </c>
      <c r="D222" s="56">
        <v>317.16000000000003</v>
      </c>
      <c r="E222" s="36"/>
      <c r="F222" s="40">
        <f t="shared" si="24"/>
        <v>0</v>
      </c>
      <c r="G222" s="40" t="e">
        <f>-PMT(Assumptions!B$25/12,Assumptions!B$24*12,F$8)*C222/100</f>
        <v>#NUM!</v>
      </c>
      <c r="H222" s="40" t="e">
        <f>G222*Assumptions!$B$24*12-F222</f>
        <v>#NUM!</v>
      </c>
      <c r="I222" s="48"/>
      <c r="J222" s="40">
        <f t="shared" si="25"/>
        <v>0</v>
      </c>
      <c r="K222" s="40" t="e">
        <f>-PMT(Assumptions!C$25/12,Assumptions!C$24*12,J$8)*C222/100</f>
        <v>#NUM!</v>
      </c>
      <c r="L222" s="40" t="e">
        <f>K222*Assumptions!$C$24*12-J222</f>
        <v>#NUM!</v>
      </c>
      <c r="M222" s="43"/>
      <c r="N222" s="40">
        <f t="shared" si="26"/>
        <v>2020</v>
      </c>
      <c r="O222" s="50">
        <f>-PMT(Assumptions!D$25/12,Assumptions!D$24*12,N$8)*C222/100</f>
        <v>21.425234078293197</v>
      </c>
      <c r="P222" s="44">
        <f>O222*Assumptions!$D$24*12-N222</f>
        <v>551.028089395184</v>
      </c>
      <c r="Q222" s="48"/>
      <c r="R222" s="40">
        <f t="shared" si="27"/>
        <v>10100.000000000002</v>
      </c>
      <c r="S222" s="40">
        <f>-PMT(Assumptions!E$25/12,Assumptions!E$24*12,$R$8)*$C222/100</f>
        <v>107.12617039146599</v>
      </c>
      <c r="T222" s="40">
        <f>S222*Assumptions!$E$24*12-R222</f>
        <v>2755.1404469759163</v>
      </c>
      <c r="U222" s="48"/>
      <c r="V222" s="40">
        <f t="shared" si="28"/>
        <v>0</v>
      </c>
      <c r="W222" s="40" t="e">
        <f>-PMT(Assumptions!F$25/12,Assumptions!F$24*12,$V$8)*$C222/100</f>
        <v>#NUM!</v>
      </c>
      <c r="X222" s="40" t="e">
        <f>W222*Assumptions!$F$24*12-V222</f>
        <v>#NUM!</v>
      </c>
      <c r="Y222" s="43"/>
      <c r="Z222" s="40">
        <f t="shared" si="29"/>
        <v>0</v>
      </c>
      <c r="AA222" s="50" t="e">
        <f>-PMT(Assumptions!G$25/12,Assumptions!G$24*12,$Z$8)*$C222/100</f>
        <v>#NUM!</v>
      </c>
      <c r="AB222" s="44" t="e">
        <f>AA222*Assumptions!$G$24*12-Z222</f>
        <v>#NUM!</v>
      </c>
      <c r="AD222" s="54">
        <f t="shared" si="36"/>
        <v>0</v>
      </c>
      <c r="AE222" s="54">
        <f t="shared" si="37"/>
        <v>0</v>
      </c>
      <c r="AF222" s="54">
        <f t="shared" si="38"/>
        <v>2020</v>
      </c>
      <c r="AG222" s="54">
        <f t="shared" si="39"/>
        <v>10100.000000000002</v>
      </c>
      <c r="AH222" s="54">
        <f t="shared" si="40"/>
        <v>0</v>
      </c>
      <c r="AI222" s="54">
        <f t="shared" si="41"/>
        <v>0</v>
      </c>
    </row>
    <row r="223" spans="1:35" ht="15" x14ac:dyDescent="0.2">
      <c r="A223" s="56" t="s">
        <v>318</v>
      </c>
      <c r="B223" s="32"/>
      <c r="C223" s="56">
        <v>0.20200000000000001</v>
      </c>
      <c r="D223" s="56">
        <v>317.16000000000003</v>
      </c>
      <c r="E223" s="36"/>
      <c r="F223" s="40">
        <f t="shared" si="24"/>
        <v>0</v>
      </c>
      <c r="G223" s="40" t="e">
        <f>-PMT(Assumptions!B$25/12,Assumptions!B$24*12,F$8)*C223/100</f>
        <v>#NUM!</v>
      </c>
      <c r="H223" s="40" t="e">
        <f>G223*Assumptions!$B$24*12-F223</f>
        <v>#NUM!</v>
      </c>
      <c r="I223" s="48"/>
      <c r="J223" s="40">
        <f t="shared" si="25"/>
        <v>0</v>
      </c>
      <c r="K223" s="40" t="e">
        <f>-PMT(Assumptions!C$25/12,Assumptions!C$24*12,J$8)*C223/100</f>
        <v>#NUM!</v>
      </c>
      <c r="L223" s="40" t="e">
        <f>K223*Assumptions!$C$24*12-J223</f>
        <v>#NUM!</v>
      </c>
      <c r="M223" s="43"/>
      <c r="N223" s="40">
        <f t="shared" si="26"/>
        <v>2020</v>
      </c>
      <c r="O223" s="50">
        <f>-PMT(Assumptions!D$25/12,Assumptions!D$24*12,N$8)*C223/100</f>
        <v>21.425234078293197</v>
      </c>
      <c r="P223" s="44">
        <f>O223*Assumptions!$D$24*12-N223</f>
        <v>551.028089395184</v>
      </c>
      <c r="Q223" s="48"/>
      <c r="R223" s="40">
        <f t="shared" si="27"/>
        <v>10100.000000000002</v>
      </c>
      <c r="S223" s="40">
        <f>-PMT(Assumptions!E$25/12,Assumptions!E$24*12,$R$8)*$C223/100</f>
        <v>107.12617039146599</v>
      </c>
      <c r="T223" s="40">
        <f>S223*Assumptions!$E$24*12-R223</f>
        <v>2755.1404469759163</v>
      </c>
      <c r="U223" s="48"/>
      <c r="V223" s="40">
        <f t="shared" si="28"/>
        <v>0</v>
      </c>
      <c r="W223" s="40" t="e">
        <f>-PMT(Assumptions!F$25/12,Assumptions!F$24*12,$V$8)*$C223/100</f>
        <v>#NUM!</v>
      </c>
      <c r="X223" s="40" t="e">
        <f>W223*Assumptions!$F$24*12-V223</f>
        <v>#NUM!</v>
      </c>
      <c r="Y223" s="43"/>
      <c r="Z223" s="40">
        <f t="shared" si="29"/>
        <v>0</v>
      </c>
      <c r="AA223" s="50" t="e">
        <f>-PMT(Assumptions!G$25/12,Assumptions!G$24*12,$Z$8)*$C223/100</f>
        <v>#NUM!</v>
      </c>
      <c r="AB223" s="44" t="e">
        <f>AA223*Assumptions!$G$24*12-Z223</f>
        <v>#NUM!</v>
      </c>
      <c r="AD223" s="54">
        <f t="shared" si="36"/>
        <v>0</v>
      </c>
      <c r="AE223" s="54">
        <f t="shared" si="37"/>
        <v>0</v>
      </c>
      <c r="AF223" s="54">
        <f t="shared" si="38"/>
        <v>2020</v>
      </c>
      <c r="AG223" s="54">
        <f t="shared" si="39"/>
        <v>10100.000000000002</v>
      </c>
      <c r="AH223" s="54">
        <f t="shared" si="40"/>
        <v>0</v>
      </c>
      <c r="AI223" s="54">
        <f t="shared" si="41"/>
        <v>0</v>
      </c>
    </row>
    <row r="224" spans="1:35" ht="15" x14ac:dyDescent="0.2">
      <c r="A224" s="56" t="s">
        <v>319</v>
      </c>
      <c r="B224" s="32"/>
      <c r="C224" s="56">
        <v>0.14699999999999999</v>
      </c>
      <c r="D224" s="56">
        <v>230.81</v>
      </c>
      <c r="E224" s="36"/>
      <c r="F224" s="40">
        <f t="shared" si="24"/>
        <v>0</v>
      </c>
      <c r="G224" s="40" t="e">
        <f>-PMT(Assumptions!B$25/12,Assumptions!B$24*12,F$8)*C224/100</f>
        <v>#NUM!</v>
      </c>
      <c r="H224" s="40" t="e">
        <f>G224*Assumptions!$B$24*12-F224</f>
        <v>#NUM!</v>
      </c>
      <c r="I224" s="48"/>
      <c r="J224" s="40">
        <f t="shared" si="25"/>
        <v>0</v>
      </c>
      <c r="K224" s="40" t="e">
        <f>-PMT(Assumptions!C$25/12,Assumptions!C$24*12,J$8)*C224/100</f>
        <v>#NUM!</v>
      </c>
      <c r="L224" s="40" t="e">
        <f>K224*Assumptions!$C$24*12-J224</f>
        <v>#NUM!</v>
      </c>
      <c r="M224" s="43"/>
      <c r="N224" s="40">
        <f t="shared" si="26"/>
        <v>1470</v>
      </c>
      <c r="O224" s="50">
        <f>-PMT(Assumptions!D$25/12,Assumptions!D$24*12,N$8)*C224/100</f>
        <v>15.591630740144058</v>
      </c>
      <c r="P224" s="44">
        <f>O224*Assumptions!$D$24*12-N224</f>
        <v>400.99568881728692</v>
      </c>
      <c r="Q224" s="48"/>
      <c r="R224" s="40">
        <f t="shared" si="27"/>
        <v>7350</v>
      </c>
      <c r="S224" s="40">
        <f>-PMT(Assumptions!E$25/12,Assumptions!E$24*12,$R$8)*$C224/100</f>
        <v>77.958153700720288</v>
      </c>
      <c r="T224" s="40">
        <f>S224*Assumptions!$E$24*12-R224</f>
        <v>2004.978444086435</v>
      </c>
      <c r="U224" s="48"/>
      <c r="V224" s="40">
        <f t="shared" si="28"/>
        <v>0</v>
      </c>
      <c r="W224" s="40" t="e">
        <f>-PMT(Assumptions!F$25/12,Assumptions!F$24*12,$V$8)*$C224/100</f>
        <v>#NUM!</v>
      </c>
      <c r="X224" s="40" t="e">
        <f>W224*Assumptions!$F$24*12-V224</f>
        <v>#NUM!</v>
      </c>
      <c r="Y224" s="43"/>
      <c r="Z224" s="40">
        <f t="shared" si="29"/>
        <v>0</v>
      </c>
      <c r="AA224" s="50" t="e">
        <f>-PMT(Assumptions!G$25/12,Assumptions!G$24*12,$Z$8)*$C224/100</f>
        <v>#NUM!</v>
      </c>
      <c r="AB224" s="44" t="e">
        <f>AA224*Assumptions!$G$24*12-Z224</f>
        <v>#NUM!</v>
      </c>
      <c r="AD224" s="54">
        <f t="shared" si="36"/>
        <v>0</v>
      </c>
      <c r="AE224" s="54">
        <f t="shared" si="37"/>
        <v>0</v>
      </c>
      <c r="AF224" s="54">
        <f t="shared" si="38"/>
        <v>1470</v>
      </c>
      <c r="AG224" s="54">
        <f t="shared" si="39"/>
        <v>7350</v>
      </c>
      <c r="AH224" s="54">
        <f t="shared" si="40"/>
        <v>0</v>
      </c>
      <c r="AI224" s="54">
        <f t="shared" si="41"/>
        <v>0</v>
      </c>
    </row>
    <row r="225" spans="1:35" ht="15" x14ac:dyDescent="0.2">
      <c r="A225" s="56" t="s">
        <v>320</v>
      </c>
      <c r="B225" s="32"/>
      <c r="C225" s="56">
        <v>0.156</v>
      </c>
      <c r="D225" s="56">
        <v>244.94</v>
      </c>
      <c r="E225" s="36"/>
      <c r="F225" s="40">
        <f t="shared" si="24"/>
        <v>0</v>
      </c>
      <c r="G225" s="40" t="e">
        <f>-PMT(Assumptions!B$25/12,Assumptions!B$24*12,F$8)*C225/100</f>
        <v>#NUM!</v>
      </c>
      <c r="H225" s="40" t="e">
        <f>G225*Assumptions!$B$24*12-F225</f>
        <v>#NUM!</v>
      </c>
      <c r="I225" s="48"/>
      <c r="J225" s="40">
        <f t="shared" si="25"/>
        <v>0</v>
      </c>
      <c r="K225" s="40" t="e">
        <f>-PMT(Assumptions!C$25/12,Assumptions!C$24*12,J$8)*C225/100</f>
        <v>#NUM!</v>
      </c>
      <c r="L225" s="40" t="e">
        <f>K225*Assumptions!$C$24*12-J225</f>
        <v>#NUM!</v>
      </c>
      <c r="M225" s="43"/>
      <c r="N225" s="40">
        <f t="shared" si="26"/>
        <v>1560</v>
      </c>
      <c r="O225" s="50">
        <f>-PMT(Assumptions!D$25/12,Assumptions!D$24*12,N$8)*C225/100</f>
        <v>16.546220377295736</v>
      </c>
      <c r="P225" s="44">
        <f>O225*Assumptions!$D$24*12-N225</f>
        <v>425.5464452754884</v>
      </c>
      <c r="Q225" s="48"/>
      <c r="R225" s="40">
        <f t="shared" si="27"/>
        <v>7800</v>
      </c>
      <c r="S225" s="40">
        <f>-PMT(Assumptions!E$25/12,Assumptions!E$24*12,$R$8)*$C225/100</f>
        <v>82.731101886478683</v>
      </c>
      <c r="T225" s="40">
        <f>S225*Assumptions!$E$24*12-R225</f>
        <v>2127.7322263774404</v>
      </c>
      <c r="U225" s="48"/>
      <c r="V225" s="40">
        <f t="shared" si="28"/>
        <v>0</v>
      </c>
      <c r="W225" s="40" t="e">
        <f>-PMT(Assumptions!F$25/12,Assumptions!F$24*12,$V$8)*$C225/100</f>
        <v>#NUM!</v>
      </c>
      <c r="X225" s="40" t="e">
        <f>W225*Assumptions!$F$24*12-V225</f>
        <v>#NUM!</v>
      </c>
      <c r="Y225" s="43"/>
      <c r="Z225" s="40">
        <f t="shared" si="29"/>
        <v>0</v>
      </c>
      <c r="AA225" s="50" t="e">
        <f>-PMT(Assumptions!G$25/12,Assumptions!G$24*12,$Z$8)*$C225/100</f>
        <v>#NUM!</v>
      </c>
      <c r="AB225" s="44" t="e">
        <f>AA225*Assumptions!$G$24*12-Z225</f>
        <v>#NUM!</v>
      </c>
      <c r="AD225" s="54">
        <f t="shared" si="36"/>
        <v>0</v>
      </c>
      <c r="AE225" s="54">
        <f t="shared" si="37"/>
        <v>0</v>
      </c>
      <c r="AF225" s="54">
        <f t="shared" si="38"/>
        <v>1560</v>
      </c>
      <c r="AG225" s="54">
        <f t="shared" si="39"/>
        <v>7800</v>
      </c>
      <c r="AH225" s="54">
        <f t="shared" si="40"/>
        <v>0</v>
      </c>
      <c r="AI225" s="54">
        <f t="shared" si="41"/>
        <v>0</v>
      </c>
    </row>
    <row r="226" spans="1:35" ht="15" x14ac:dyDescent="0.2">
      <c r="A226" s="56" t="s">
        <v>321</v>
      </c>
      <c r="B226" s="32"/>
      <c r="C226" s="56">
        <v>0.14699999999999999</v>
      </c>
      <c r="D226" s="56">
        <v>230.81</v>
      </c>
      <c r="E226" s="36"/>
      <c r="F226" s="40">
        <f t="shared" si="24"/>
        <v>0</v>
      </c>
      <c r="G226" s="40" t="e">
        <f>-PMT(Assumptions!B$25/12,Assumptions!B$24*12,F$8)*C226/100</f>
        <v>#NUM!</v>
      </c>
      <c r="H226" s="40" t="e">
        <f>G226*Assumptions!$B$24*12-F226</f>
        <v>#NUM!</v>
      </c>
      <c r="I226" s="48"/>
      <c r="J226" s="40">
        <f t="shared" si="25"/>
        <v>0</v>
      </c>
      <c r="K226" s="40" t="e">
        <f>-PMT(Assumptions!C$25/12,Assumptions!C$24*12,J$8)*C226/100</f>
        <v>#NUM!</v>
      </c>
      <c r="L226" s="40" t="e">
        <f>K226*Assumptions!$C$24*12-J226</f>
        <v>#NUM!</v>
      </c>
      <c r="M226" s="43"/>
      <c r="N226" s="40">
        <f t="shared" si="26"/>
        <v>1470</v>
      </c>
      <c r="O226" s="50">
        <f>-PMT(Assumptions!D$25/12,Assumptions!D$24*12,N$8)*C226/100</f>
        <v>15.591630740144058</v>
      </c>
      <c r="P226" s="44">
        <f>O226*Assumptions!$D$24*12-N226</f>
        <v>400.99568881728692</v>
      </c>
      <c r="Q226" s="48"/>
      <c r="R226" s="40">
        <f t="shared" si="27"/>
        <v>7350</v>
      </c>
      <c r="S226" s="40">
        <f>-PMT(Assumptions!E$25/12,Assumptions!E$24*12,$R$8)*$C226/100</f>
        <v>77.958153700720288</v>
      </c>
      <c r="T226" s="40">
        <f>S226*Assumptions!$E$24*12-R226</f>
        <v>2004.978444086435</v>
      </c>
      <c r="U226" s="48"/>
      <c r="V226" s="40">
        <f t="shared" si="28"/>
        <v>0</v>
      </c>
      <c r="W226" s="40" t="e">
        <f>-PMT(Assumptions!F$25/12,Assumptions!F$24*12,$V$8)*$C226/100</f>
        <v>#NUM!</v>
      </c>
      <c r="X226" s="40" t="e">
        <f>W226*Assumptions!$F$24*12-V226</f>
        <v>#NUM!</v>
      </c>
      <c r="Y226" s="43"/>
      <c r="Z226" s="40">
        <f t="shared" si="29"/>
        <v>0</v>
      </c>
      <c r="AA226" s="50" t="e">
        <f>-PMT(Assumptions!G$25/12,Assumptions!G$24*12,$Z$8)*$C226/100</f>
        <v>#NUM!</v>
      </c>
      <c r="AB226" s="44" t="e">
        <f>AA226*Assumptions!$G$24*12-Z226</f>
        <v>#NUM!</v>
      </c>
      <c r="AD226" s="54">
        <f t="shared" si="36"/>
        <v>0</v>
      </c>
      <c r="AE226" s="54">
        <f t="shared" si="37"/>
        <v>0</v>
      </c>
      <c r="AF226" s="54">
        <f t="shared" si="38"/>
        <v>1470</v>
      </c>
      <c r="AG226" s="54">
        <f t="shared" si="39"/>
        <v>7350</v>
      </c>
      <c r="AH226" s="54">
        <f t="shared" si="40"/>
        <v>0</v>
      </c>
      <c r="AI226" s="54">
        <f t="shared" si="41"/>
        <v>0</v>
      </c>
    </row>
    <row r="227" spans="1:35" ht="15" x14ac:dyDescent="0.2">
      <c r="A227" s="56" t="s">
        <v>322</v>
      </c>
      <c r="B227" s="32"/>
      <c r="C227" s="56">
        <v>0.156</v>
      </c>
      <c r="D227" s="56">
        <v>244.94</v>
      </c>
      <c r="E227" s="36"/>
      <c r="F227" s="40">
        <f t="shared" si="24"/>
        <v>0</v>
      </c>
      <c r="G227" s="40" t="e">
        <f>-PMT(Assumptions!B$25/12,Assumptions!B$24*12,F$8)*C227/100</f>
        <v>#NUM!</v>
      </c>
      <c r="H227" s="40" t="e">
        <f>G227*Assumptions!$B$24*12-F227</f>
        <v>#NUM!</v>
      </c>
      <c r="I227" s="48"/>
      <c r="J227" s="40">
        <f t="shared" si="25"/>
        <v>0</v>
      </c>
      <c r="K227" s="40" t="e">
        <f>-PMT(Assumptions!C$25/12,Assumptions!C$24*12,J$8)*C227/100</f>
        <v>#NUM!</v>
      </c>
      <c r="L227" s="40" t="e">
        <f>K227*Assumptions!$C$24*12-J227</f>
        <v>#NUM!</v>
      </c>
      <c r="M227" s="43"/>
      <c r="N227" s="40">
        <f t="shared" si="26"/>
        <v>1560</v>
      </c>
      <c r="O227" s="50">
        <f>-PMT(Assumptions!D$25/12,Assumptions!D$24*12,N$8)*C227/100</f>
        <v>16.546220377295736</v>
      </c>
      <c r="P227" s="44">
        <f>O227*Assumptions!$D$24*12-N227</f>
        <v>425.5464452754884</v>
      </c>
      <c r="Q227" s="48"/>
      <c r="R227" s="40">
        <f t="shared" si="27"/>
        <v>7800</v>
      </c>
      <c r="S227" s="40">
        <f>-PMT(Assumptions!E$25/12,Assumptions!E$24*12,$R$8)*$C227/100</f>
        <v>82.731101886478683</v>
      </c>
      <c r="T227" s="40">
        <f>S227*Assumptions!$E$24*12-R227</f>
        <v>2127.7322263774404</v>
      </c>
      <c r="U227" s="48"/>
      <c r="V227" s="40">
        <f t="shared" si="28"/>
        <v>0</v>
      </c>
      <c r="W227" s="40" t="e">
        <f>-PMT(Assumptions!F$25/12,Assumptions!F$24*12,$V$8)*$C227/100</f>
        <v>#NUM!</v>
      </c>
      <c r="X227" s="40" t="e">
        <f>W227*Assumptions!$F$24*12-V227</f>
        <v>#NUM!</v>
      </c>
      <c r="Y227" s="43"/>
      <c r="Z227" s="40">
        <f t="shared" si="29"/>
        <v>0</v>
      </c>
      <c r="AA227" s="50" t="e">
        <f>-PMT(Assumptions!G$25/12,Assumptions!G$24*12,$Z$8)*$C227/100</f>
        <v>#NUM!</v>
      </c>
      <c r="AB227" s="44" t="e">
        <f>AA227*Assumptions!$G$24*12-Z227</f>
        <v>#NUM!</v>
      </c>
      <c r="AD227" s="54">
        <f t="shared" si="36"/>
        <v>0</v>
      </c>
      <c r="AE227" s="54">
        <f t="shared" si="37"/>
        <v>0</v>
      </c>
      <c r="AF227" s="54">
        <f t="shared" si="38"/>
        <v>1560</v>
      </c>
      <c r="AG227" s="54">
        <f t="shared" si="39"/>
        <v>7800</v>
      </c>
      <c r="AH227" s="54">
        <f t="shared" si="40"/>
        <v>0</v>
      </c>
      <c r="AI227" s="54">
        <f t="shared" si="41"/>
        <v>0</v>
      </c>
    </row>
    <row r="228" spans="1:35" ht="15" x14ac:dyDescent="0.2">
      <c r="A228" s="56" t="s">
        <v>323</v>
      </c>
      <c r="B228" s="32"/>
      <c r="C228" s="56">
        <v>0.219</v>
      </c>
      <c r="D228" s="56">
        <v>343.85</v>
      </c>
      <c r="E228" s="36"/>
      <c r="F228" s="40">
        <f t="shared" si="24"/>
        <v>0</v>
      </c>
      <c r="G228" s="40" t="e">
        <f>-PMT(Assumptions!B$25/12,Assumptions!B$24*12,F$8)*C228/100</f>
        <v>#NUM!</v>
      </c>
      <c r="H228" s="40" t="e">
        <f>G228*Assumptions!$B$24*12-F228</f>
        <v>#NUM!</v>
      </c>
      <c r="I228" s="48"/>
      <c r="J228" s="40">
        <f t="shared" si="25"/>
        <v>0</v>
      </c>
      <c r="K228" s="40" t="e">
        <f>-PMT(Assumptions!C$25/12,Assumptions!C$24*12,J$8)*C228/100</f>
        <v>#NUM!</v>
      </c>
      <c r="L228" s="40" t="e">
        <f>K228*Assumptions!$C$24*12-J228</f>
        <v>#NUM!</v>
      </c>
      <c r="M228" s="43"/>
      <c r="N228" s="40">
        <f t="shared" si="26"/>
        <v>2190</v>
      </c>
      <c r="O228" s="50">
        <f>-PMT(Assumptions!D$25/12,Assumptions!D$24*12,N$8)*C228/100</f>
        <v>23.228347837357475</v>
      </c>
      <c r="P228" s="44">
        <f>O228*Assumptions!$D$24*12-N228</f>
        <v>597.40174048289691</v>
      </c>
      <c r="Q228" s="48"/>
      <c r="R228" s="40">
        <f t="shared" si="27"/>
        <v>10950</v>
      </c>
      <c r="S228" s="40">
        <f>-PMT(Assumptions!E$25/12,Assumptions!E$24*12,$R$8)*$C228/100</f>
        <v>116.14173918678738</v>
      </c>
      <c r="T228" s="40">
        <f>S228*Assumptions!$E$24*12-R228</f>
        <v>2987.008702414485</v>
      </c>
      <c r="U228" s="48"/>
      <c r="V228" s="40">
        <f t="shared" si="28"/>
        <v>0</v>
      </c>
      <c r="W228" s="40" t="e">
        <f>-PMT(Assumptions!F$25/12,Assumptions!F$24*12,$V$8)*$C228/100</f>
        <v>#NUM!</v>
      </c>
      <c r="X228" s="40" t="e">
        <f>W228*Assumptions!$F$24*12-V228</f>
        <v>#NUM!</v>
      </c>
      <c r="Y228" s="43"/>
      <c r="Z228" s="40">
        <f t="shared" si="29"/>
        <v>0</v>
      </c>
      <c r="AA228" s="50" t="e">
        <f>-PMT(Assumptions!G$25/12,Assumptions!G$24*12,$Z$8)*$C228/100</f>
        <v>#NUM!</v>
      </c>
      <c r="AB228" s="44" t="e">
        <f>AA228*Assumptions!$G$24*12-Z228</f>
        <v>#NUM!</v>
      </c>
      <c r="AD228" s="54">
        <f t="shared" si="36"/>
        <v>0</v>
      </c>
      <c r="AE228" s="54">
        <f t="shared" si="37"/>
        <v>0</v>
      </c>
      <c r="AF228" s="54">
        <f t="shared" si="38"/>
        <v>2190</v>
      </c>
      <c r="AG228" s="54">
        <f t="shared" si="39"/>
        <v>10950</v>
      </c>
      <c r="AH228" s="54">
        <f t="shared" si="40"/>
        <v>0</v>
      </c>
      <c r="AI228" s="54">
        <f t="shared" si="41"/>
        <v>0</v>
      </c>
    </row>
    <row r="229" spans="1:35" ht="15" x14ac:dyDescent="0.2">
      <c r="A229" s="56" t="s">
        <v>324</v>
      </c>
      <c r="B229" s="32"/>
      <c r="C229" s="56">
        <v>0.22700000000000001</v>
      </c>
      <c r="D229" s="56">
        <v>356.41</v>
      </c>
      <c r="E229" s="36"/>
      <c r="F229" s="40">
        <f t="shared" si="24"/>
        <v>0</v>
      </c>
      <c r="G229" s="40" t="e">
        <f>-PMT(Assumptions!B$25/12,Assumptions!B$24*12,F$8)*C229/100</f>
        <v>#NUM!</v>
      </c>
      <c r="H229" s="40" t="e">
        <f>G229*Assumptions!$B$24*12-F229</f>
        <v>#NUM!</v>
      </c>
      <c r="I229" s="48"/>
      <c r="J229" s="40">
        <f t="shared" si="25"/>
        <v>0</v>
      </c>
      <c r="K229" s="40" t="e">
        <f>-PMT(Assumptions!C$25/12,Assumptions!C$24*12,J$8)*C229/100</f>
        <v>#NUM!</v>
      </c>
      <c r="L229" s="40" t="e">
        <f>K229*Assumptions!$C$24*12-J229</f>
        <v>#NUM!</v>
      </c>
      <c r="M229" s="43"/>
      <c r="N229" s="40">
        <f t="shared" si="26"/>
        <v>2270</v>
      </c>
      <c r="O229" s="50">
        <f>-PMT(Assumptions!D$25/12,Assumptions!D$24*12,N$8)*C229/100</f>
        <v>24.076871959270079</v>
      </c>
      <c r="P229" s="44">
        <f>O229*Assumptions!$D$24*12-N229</f>
        <v>619.22463511240949</v>
      </c>
      <c r="Q229" s="48"/>
      <c r="R229" s="40">
        <f t="shared" si="27"/>
        <v>11350</v>
      </c>
      <c r="S229" s="40">
        <f>-PMT(Assumptions!E$25/12,Assumptions!E$24*12,$R$8)*$C229/100</f>
        <v>120.3843597963504</v>
      </c>
      <c r="T229" s="40">
        <f>S229*Assumptions!$E$24*12-R229</f>
        <v>3096.1231755620465</v>
      </c>
      <c r="U229" s="48"/>
      <c r="V229" s="40">
        <f t="shared" si="28"/>
        <v>0</v>
      </c>
      <c r="W229" s="40" t="e">
        <f>-PMT(Assumptions!F$25/12,Assumptions!F$24*12,$V$8)*$C229/100</f>
        <v>#NUM!</v>
      </c>
      <c r="X229" s="40" t="e">
        <f>W229*Assumptions!$F$24*12-V229</f>
        <v>#NUM!</v>
      </c>
      <c r="Y229" s="43"/>
      <c r="Z229" s="40">
        <f t="shared" si="29"/>
        <v>0</v>
      </c>
      <c r="AA229" s="50" t="e">
        <f>-PMT(Assumptions!G$25/12,Assumptions!G$24*12,$Z$8)*$C229/100</f>
        <v>#NUM!</v>
      </c>
      <c r="AB229" s="44" t="e">
        <f>AA229*Assumptions!$G$24*12-Z229</f>
        <v>#NUM!</v>
      </c>
      <c r="AD229" s="54">
        <f t="shared" si="36"/>
        <v>0</v>
      </c>
      <c r="AE229" s="54">
        <f t="shared" si="37"/>
        <v>0</v>
      </c>
      <c r="AF229" s="54">
        <f t="shared" si="38"/>
        <v>2270</v>
      </c>
      <c r="AG229" s="54">
        <f t="shared" si="39"/>
        <v>11350</v>
      </c>
      <c r="AH229" s="54">
        <f t="shared" si="40"/>
        <v>0</v>
      </c>
      <c r="AI229" s="54">
        <f t="shared" si="41"/>
        <v>0</v>
      </c>
    </row>
    <row r="230" spans="1:35" ht="15" x14ac:dyDescent="0.2">
      <c r="A230" s="56" t="s">
        <v>325</v>
      </c>
      <c r="B230" s="32"/>
      <c r="C230" s="56">
        <v>0.20200000000000001</v>
      </c>
      <c r="D230" s="56">
        <v>317.16000000000003</v>
      </c>
      <c r="E230" s="36"/>
      <c r="F230" s="40">
        <f t="shared" si="24"/>
        <v>0</v>
      </c>
      <c r="G230" s="40" t="e">
        <f>-PMT(Assumptions!B$25/12,Assumptions!B$24*12,F$8)*C230/100</f>
        <v>#NUM!</v>
      </c>
      <c r="H230" s="40" t="e">
        <f>G230*Assumptions!$B$24*12-F230</f>
        <v>#NUM!</v>
      </c>
      <c r="I230" s="48"/>
      <c r="J230" s="40">
        <f t="shared" si="25"/>
        <v>0</v>
      </c>
      <c r="K230" s="40" t="e">
        <f>-PMT(Assumptions!C$25/12,Assumptions!C$24*12,J$8)*C230/100</f>
        <v>#NUM!</v>
      </c>
      <c r="L230" s="40" t="e">
        <f>K230*Assumptions!$C$24*12-J230</f>
        <v>#NUM!</v>
      </c>
      <c r="M230" s="43"/>
      <c r="N230" s="40">
        <f t="shared" si="26"/>
        <v>2020</v>
      </c>
      <c r="O230" s="50">
        <f>-PMT(Assumptions!D$25/12,Assumptions!D$24*12,N$8)*C230/100</f>
        <v>21.425234078293197</v>
      </c>
      <c r="P230" s="44">
        <f>O230*Assumptions!$D$24*12-N230</f>
        <v>551.028089395184</v>
      </c>
      <c r="Q230" s="48"/>
      <c r="R230" s="40">
        <f t="shared" si="27"/>
        <v>10100.000000000002</v>
      </c>
      <c r="S230" s="40">
        <f>-PMT(Assumptions!E$25/12,Assumptions!E$24*12,$R$8)*$C230/100</f>
        <v>107.12617039146599</v>
      </c>
      <c r="T230" s="40">
        <f>S230*Assumptions!$E$24*12-R230</f>
        <v>2755.1404469759163</v>
      </c>
      <c r="U230" s="48"/>
      <c r="V230" s="40">
        <f t="shared" si="28"/>
        <v>0</v>
      </c>
      <c r="W230" s="40" t="e">
        <f>-PMT(Assumptions!F$25/12,Assumptions!F$24*12,$V$8)*$C230/100</f>
        <v>#NUM!</v>
      </c>
      <c r="X230" s="40" t="e">
        <f>W230*Assumptions!$F$24*12-V230</f>
        <v>#NUM!</v>
      </c>
      <c r="Y230" s="43"/>
      <c r="Z230" s="40">
        <f t="shared" si="29"/>
        <v>0</v>
      </c>
      <c r="AA230" s="50" t="e">
        <f>-PMT(Assumptions!G$25/12,Assumptions!G$24*12,$Z$8)*$C230/100</f>
        <v>#NUM!</v>
      </c>
      <c r="AB230" s="44" t="e">
        <f>AA230*Assumptions!$G$24*12-Z230</f>
        <v>#NUM!</v>
      </c>
      <c r="AD230" s="54">
        <f t="shared" si="36"/>
        <v>0</v>
      </c>
      <c r="AE230" s="54">
        <f t="shared" si="37"/>
        <v>0</v>
      </c>
      <c r="AF230" s="54">
        <f t="shared" si="38"/>
        <v>2020</v>
      </c>
      <c r="AG230" s="54">
        <f t="shared" si="39"/>
        <v>10100.000000000002</v>
      </c>
      <c r="AH230" s="54">
        <f t="shared" si="40"/>
        <v>0</v>
      </c>
      <c r="AI230" s="54">
        <f t="shared" si="41"/>
        <v>0</v>
      </c>
    </row>
    <row r="231" spans="1:35" ht="15" x14ac:dyDescent="0.2">
      <c r="A231" s="56" t="s">
        <v>326</v>
      </c>
      <c r="B231" s="32"/>
      <c r="C231" s="56">
        <v>0.20200000000000001</v>
      </c>
      <c r="D231" s="56">
        <v>317.16000000000003</v>
      </c>
      <c r="E231" s="36"/>
      <c r="F231" s="40">
        <f t="shared" si="24"/>
        <v>0</v>
      </c>
      <c r="G231" s="40" t="e">
        <f>-PMT(Assumptions!B$25/12,Assumptions!B$24*12,F$8)*C231/100</f>
        <v>#NUM!</v>
      </c>
      <c r="H231" s="40" t="e">
        <f>G231*Assumptions!$B$24*12-F231</f>
        <v>#NUM!</v>
      </c>
      <c r="I231" s="48"/>
      <c r="J231" s="40">
        <f t="shared" si="25"/>
        <v>0</v>
      </c>
      <c r="K231" s="40" t="e">
        <f>-PMT(Assumptions!C$25/12,Assumptions!C$24*12,J$8)*C231/100</f>
        <v>#NUM!</v>
      </c>
      <c r="L231" s="40" t="e">
        <f>K231*Assumptions!$C$24*12-J231</f>
        <v>#NUM!</v>
      </c>
      <c r="M231" s="43"/>
      <c r="N231" s="40">
        <f t="shared" si="26"/>
        <v>2020</v>
      </c>
      <c r="O231" s="50">
        <f>-PMT(Assumptions!D$25/12,Assumptions!D$24*12,N$8)*C231/100</f>
        <v>21.425234078293197</v>
      </c>
      <c r="P231" s="44">
        <f>O231*Assumptions!$D$24*12-N231</f>
        <v>551.028089395184</v>
      </c>
      <c r="Q231" s="48"/>
      <c r="R231" s="40">
        <f t="shared" si="27"/>
        <v>10100.000000000002</v>
      </c>
      <c r="S231" s="40">
        <f>-PMT(Assumptions!E$25/12,Assumptions!E$24*12,$R$8)*$C231/100</f>
        <v>107.12617039146599</v>
      </c>
      <c r="T231" s="40">
        <f>S231*Assumptions!$E$24*12-R231</f>
        <v>2755.1404469759163</v>
      </c>
      <c r="U231" s="48"/>
      <c r="V231" s="40">
        <f t="shared" si="28"/>
        <v>0</v>
      </c>
      <c r="W231" s="40" t="e">
        <f>-PMT(Assumptions!F$25/12,Assumptions!F$24*12,$V$8)*$C231/100</f>
        <v>#NUM!</v>
      </c>
      <c r="X231" s="40" t="e">
        <f>W231*Assumptions!$F$24*12-V231</f>
        <v>#NUM!</v>
      </c>
      <c r="Y231" s="43"/>
      <c r="Z231" s="40">
        <f t="shared" si="29"/>
        <v>0</v>
      </c>
      <c r="AA231" s="50" t="e">
        <f>-PMT(Assumptions!G$25/12,Assumptions!G$24*12,$Z$8)*$C231/100</f>
        <v>#NUM!</v>
      </c>
      <c r="AB231" s="44" t="e">
        <f>AA231*Assumptions!$G$24*12-Z231</f>
        <v>#NUM!</v>
      </c>
      <c r="AD231" s="54">
        <f t="shared" si="36"/>
        <v>0</v>
      </c>
      <c r="AE231" s="54">
        <f t="shared" si="37"/>
        <v>0</v>
      </c>
      <c r="AF231" s="54">
        <f t="shared" si="38"/>
        <v>2020</v>
      </c>
      <c r="AG231" s="54">
        <f t="shared" si="39"/>
        <v>10100.000000000002</v>
      </c>
      <c r="AH231" s="54">
        <f t="shared" si="40"/>
        <v>0</v>
      </c>
      <c r="AI231" s="54">
        <f t="shared" si="41"/>
        <v>0</v>
      </c>
    </row>
    <row r="232" spans="1:35" ht="15" x14ac:dyDescent="0.2">
      <c r="A232" s="56" t="s">
        <v>327</v>
      </c>
      <c r="B232" s="32"/>
      <c r="C232" s="56">
        <v>0.14699999999999999</v>
      </c>
      <c r="D232" s="56">
        <v>230.81</v>
      </c>
      <c r="E232" s="36"/>
      <c r="F232" s="40">
        <f t="shared" si="24"/>
        <v>0</v>
      </c>
      <c r="G232" s="40" t="e">
        <f>-PMT(Assumptions!B$25/12,Assumptions!B$24*12,F$8)*C232/100</f>
        <v>#NUM!</v>
      </c>
      <c r="H232" s="40" t="e">
        <f>G232*Assumptions!$B$24*12-F232</f>
        <v>#NUM!</v>
      </c>
      <c r="I232" s="48"/>
      <c r="J232" s="40">
        <f t="shared" si="25"/>
        <v>0</v>
      </c>
      <c r="K232" s="40" t="e">
        <f>-PMT(Assumptions!C$25/12,Assumptions!C$24*12,J$8)*C232/100</f>
        <v>#NUM!</v>
      </c>
      <c r="L232" s="40" t="e">
        <f>K232*Assumptions!$C$24*12-J232</f>
        <v>#NUM!</v>
      </c>
      <c r="M232" s="43"/>
      <c r="N232" s="40">
        <f t="shared" si="26"/>
        <v>1470</v>
      </c>
      <c r="O232" s="50">
        <f>-PMT(Assumptions!D$25/12,Assumptions!D$24*12,N$8)*C232/100</f>
        <v>15.591630740144058</v>
      </c>
      <c r="P232" s="44">
        <f>O232*Assumptions!$D$24*12-N232</f>
        <v>400.99568881728692</v>
      </c>
      <c r="Q232" s="48"/>
      <c r="R232" s="40">
        <f t="shared" si="27"/>
        <v>7350</v>
      </c>
      <c r="S232" s="40">
        <f>-PMT(Assumptions!E$25/12,Assumptions!E$24*12,$R$8)*$C232/100</f>
        <v>77.958153700720288</v>
      </c>
      <c r="T232" s="40">
        <f>S232*Assumptions!$E$24*12-R232</f>
        <v>2004.978444086435</v>
      </c>
      <c r="U232" s="48"/>
      <c r="V232" s="40">
        <f t="shared" si="28"/>
        <v>0</v>
      </c>
      <c r="W232" s="40" t="e">
        <f>-PMT(Assumptions!F$25/12,Assumptions!F$24*12,$V$8)*$C232/100</f>
        <v>#NUM!</v>
      </c>
      <c r="X232" s="40" t="e">
        <f>W232*Assumptions!$F$24*12-V232</f>
        <v>#NUM!</v>
      </c>
      <c r="Y232" s="43"/>
      <c r="Z232" s="40">
        <f t="shared" si="29"/>
        <v>0</v>
      </c>
      <c r="AA232" s="50" t="e">
        <f>-PMT(Assumptions!G$25/12,Assumptions!G$24*12,$Z$8)*$C232/100</f>
        <v>#NUM!</v>
      </c>
      <c r="AB232" s="44" t="e">
        <f>AA232*Assumptions!$G$24*12-Z232</f>
        <v>#NUM!</v>
      </c>
      <c r="AD232" s="54">
        <f t="shared" si="36"/>
        <v>0</v>
      </c>
      <c r="AE232" s="54">
        <f t="shared" si="37"/>
        <v>0</v>
      </c>
      <c r="AF232" s="54">
        <f t="shared" si="38"/>
        <v>1470</v>
      </c>
      <c r="AG232" s="54">
        <f t="shared" si="39"/>
        <v>7350</v>
      </c>
      <c r="AH232" s="54">
        <f t="shared" si="40"/>
        <v>0</v>
      </c>
      <c r="AI232" s="54">
        <f t="shared" si="41"/>
        <v>0</v>
      </c>
    </row>
    <row r="233" spans="1:35" ht="15" x14ac:dyDescent="0.2">
      <c r="A233" s="56" t="s">
        <v>328</v>
      </c>
      <c r="B233" s="32"/>
      <c r="C233" s="56">
        <v>0.156</v>
      </c>
      <c r="D233" s="56">
        <v>244.94</v>
      </c>
      <c r="E233" s="36"/>
      <c r="F233" s="40">
        <f t="shared" si="24"/>
        <v>0</v>
      </c>
      <c r="G233" s="40" t="e">
        <f>-PMT(Assumptions!B$25/12,Assumptions!B$24*12,F$8)*C233/100</f>
        <v>#NUM!</v>
      </c>
      <c r="H233" s="40" t="e">
        <f>G233*Assumptions!$B$24*12-F233</f>
        <v>#NUM!</v>
      </c>
      <c r="I233" s="48"/>
      <c r="J233" s="40">
        <f t="shared" si="25"/>
        <v>0</v>
      </c>
      <c r="K233" s="40" t="e">
        <f>-PMT(Assumptions!C$25/12,Assumptions!C$24*12,J$8)*C233/100</f>
        <v>#NUM!</v>
      </c>
      <c r="L233" s="40" t="e">
        <f>K233*Assumptions!$C$24*12-J233</f>
        <v>#NUM!</v>
      </c>
      <c r="M233" s="43"/>
      <c r="N233" s="40">
        <f t="shared" si="26"/>
        <v>1560</v>
      </c>
      <c r="O233" s="50">
        <f>-PMT(Assumptions!D$25/12,Assumptions!D$24*12,N$8)*C233/100</f>
        <v>16.546220377295736</v>
      </c>
      <c r="P233" s="44">
        <f>O233*Assumptions!$D$24*12-N233</f>
        <v>425.5464452754884</v>
      </c>
      <c r="Q233" s="48"/>
      <c r="R233" s="40">
        <f t="shared" si="27"/>
        <v>7800</v>
      </c>
      <c r="S233" s="40">
        <f>-PMT(Assumptions!E$25/12,Assumptions!E$24*12,$R$8)*$C233/100</f>
        <v>82.731101886478683</v>
      </c>
      <c r="T233" s="40">
        <f>S233*Assumptions!$E$24*12-R233</f>
        <v>2127.7322263774404</v>
      </c>
      <c r="U233" s="48"/>
      <c r="V233" s="40">
        <f t="shared" si="28"/>
        <v>0</v>
      </c>
      <c r="W233" s="40" t="e">
        <f>-PMT(Assumptions!F$25/12,Assumptions!F$24*12,$V$8)*$C233/100</f>
        <v>#NUM!</v>
      </c>
      <c r="X233" s="40" t="e">
        <f>W233*Assumptions!$F$24*12-V233</f>
        <v>#NUM!</v>
      </c>
      <c r="Y233" s="43"/>
      <c r="Z233" s="40">
        <f t="shared" si="29"/>
        <v>0</v>
      </c>
      <c r="AA233" s="50" t="e">
        <f>-PMT(Assumptions!G$25/12,Assumptions!G$24*12,$Z$8)*$C233/100</f>
        <v>#NUM!</v>
      </c>
      <c r="AB233" s="44" t="e">
        <f>AA233*Assumptions!$G$24*12-Z233</f>
        <v>#NUM!</v>
      </c>
      <c r="AD233" s="54">
        <f t="shared" si="36"/>
        <v>0</v>
      </c>
      <c r="AE233" s="54">
        <f t="shared" si="37"/>
        <v>0</v>
      </c>
      <c r="AF233" s="54">
        <f t="shared" si="38"/>
        <v>1560</v>
      </c>
      <c r="AG233" s="54">
        <f t="shared" si="39"/>
        <v>7800</v>
      </c>
      <c r="AH233" s="54">
        <f t="shared" si="40"/>
        <v>0</v>
      </c>
      <c r="AI233" s="54">
        <f t="shared" si="41"/>
        <v>0</v>
      </c>
    </row>
    <row r="234" spans="1:35" ht="15" x14ac:dyDescent="0.2">
      <c r="A234" s="56" t="s">
        <v>329</v>
      </c>
      <c r="B234" s="32"/>
      <c r="C234" s="56">
        <v>0.14699999999999999</v>
      </c>
      <c r="D234" s="56">
        <v>230.81</v>
      </c>
      <c r="E234" s="36"/>
      <c r="F234" s="40">
        <f t="shared" si="24"/>
        <v>0</v>
      </c>
      <c r="G234" s="40" t="e">
        <f>-PMT(Assumptions!B$25/12,Assumptions!B$24*12,F$8)*C234/100</f>
        <v>#NUM!</v>
      </c>
      <c r="H234" s="40" t="e">
        <f>G234*Assumptions!$B$24*12-F234</f>
        <v>#NUM!</v>
      </c>
      <c r="I234" s="48"/>
      <c r="J234" s="40">
        <f t="shared" si="25"/>
        <v>0</v>
      </c>
      <c r="K234" s="40" t="e">
        <f>-PMT(Assumptions!C$25/12,Assumptions!C$24*12,J$8)*C234/100</f>
        <v>#NUM!</v>
      </c>
      <c r="L234" s="40" t="e">
        <f>K234*Assumptions!$C$24*12-J234</f>
        <v>#NUM!</v>
      </c>
      <c r="M234" s="43"/>
      <c r="N234" s="40">
        <f t="shared" si="26"/>
        <v>1470</v>
      </c>
      <c r="O234" s="50">
        <f>-PMT(Assumptions!D$25/12,Assumptions!D$24*12,N$8)*C234/100</f>
        <v>15.591630740144058</v>
      </c>
      <c r="P234" s="44">
        <f>O234*Assumptions!$D$24*12-N234</f>
        <v>400.99568881728692</v>
      </c>
      <c r="Q234" s="48"/>
      <c r="R234" s="40">
        <f t="shared" si="27"/>
        <v>7350</v>
      </c>
      <c r="S234" s="40">
        <f>-PMT(Assumptions!E$25/12,Assumptions!E$24*12,$R$8)*$C234/100</f>
        <v>77.958153700720288</v>
      </c>
      <c r="T234" s="40">
        <f>S234*Assumptions!$E$24*12-R234</f>
        <v>2004.978444086435</v>
      </c>
      <c r="U234" s="48"/>
      <c r="V234" s="40">
        <f t="shared" si="28"/>
        <v>0</v>
      </c>
      <c r="W234" s="40" t="e">
        <f>-PMT(Assumptions!F$25/12,Assumptions!F$24*12,$V$8)*$C234/100</f>
        <v>#NUM!</v>
      </c>
      <c r="X234" s="40" t="e">
        <f>W234*Assumptions!$F$24*12-V234</f>
        <v>#NUM!</v>
      </c>
      <c r="Y234" s="43"/>
      <c r="Z234" s="40">
        <f t="shared" si="29"/>
        <v>0</v>
      </c>
      <c r="AA234" s="50" t="e">
        <f>-PMT(Assumptions!G$25/12,Assumptions!G$24*12,$Z$8)*$C234/100</f>
        <v>#NUM!</v>
      </c>
      <c r="AB234" s="44" t="e">
        <f>AA234*Assumptions!$G$24*12-Z234</f>
        <v>#NUM!</v>
      </c>
      <c r="AD234" s="54">
        <f t="shared" si="36"/>
        <v>0</v>
      </c>
      <c r="AE234" s="54">
        <f t="shared" si="37"/>
        <v>0</v>
      </c>
      <c r="AF234" s="54">
        <f t="shared" si="38"/>
        <v>1470</v>
      </c>
      <c r="AG234" s="54">
        <f t="shared" si="39"/>
        <v>7350</v>
      </c>
      <c r="AH234" s="54">
        <f t="shared" si="40"/>
        <v>0</v>
      </c>
      <c r="AI234" s="54">
        <f t="shared" si="41"/>
        <v>0</v>
      </c>
    </row>
    <row r="235" spans="1:35" ht="15" x14ac:dyDescent="0.2">
      <c r="A235" s="56" t="s">
        <v>330</v>
      </c>
      <c r="B235" s="32"/>
      <c r="C235" s="56">
        <v>0.156</v>
      </c>
      <c r="D235" s="56">
        <v>244.94</v>
      </c>
      <c r="E235" s="36"/>
      <c r="F235" s="40">
        <f t="shared" si="24"/>
        <v>0</v>
      </c>
      <c r="G235" s="40" t="e">
        <f>-PMT(Assumptions!B$25/12,Assumptions!B$24*12,F$8)*C235/100</f>
        <v>#NUM!</v>
      </c>
      <c r="H235" s="40" t="e">
        <f>G235*Assumptions!$B$24*12-F235</f>
        <v>#NUM!</v>
      </c>
      <c r="I235" s="48"/>
      <c r="J235" s="40">
        <f t="shared" si="25"/>
        <v>0</v>
      </c>
      <c r="K235" s="40" t="e">
        <f>-PMT(Assumptions!C$25/12,Assumptions!C$24*12,J$8)*C235/100</f>
        <v>#NUM!</v>
      </c>
      <c r="L235" s="40" t="e">
        <f>K235*Assumptions!$C$24*12-J235</f>
        <v>#NUM!</v>
      </c>
      <c r="M235" s="43"/>
      <c r="N235" s="40">
        <f t="shared" si="26"/>
        <v>1560</v>
      </c>
      <c r="O235" s="50">
        <f>-PMT(Assumptions!D$25/12,Assumptions!D$24*12,N$8)*C235/100</f>
        <v>16.546220377295736</v>
      </c>
      <c r="P235" s="44">
        <f>O235*Assumptions!$D$24*12-N235</f>
        <v>425.5464452754884</v>
      </c>
      <c r="Q235" s="48"/>
      <c r="R235" s="40">
        <f t="shared" si="27"/>
        <v>7800</v>
      </c>
      <c r="S235" s="40">
        <f>-PMT(Assumptions!E$25/12,Assumptions!E$24*12,$R$8)*$C235/100</f>
        <v>82.731101886478683</v>
      </c>
      <c r="T235" s="40">
        <f>S235*Assumptions!$E$24*12-R235</f>
        <v>2127.7322263774404</v>
      </c>
      <c r="U235" s="48"/>
      <c r="V235" s="40">
        <f t="shared" si="28"/>
        <v>0</v>
      </c>
      <c r="W235" s="40" t="e">
        <f>-PMT(Assumptions!F$25/12,Assumptions!F$24*12,$V$8)*$C235/100</f>
        <v>#NUM!</v>
      </c>
      <c r="X235" s="40" t="e">
        <f>W235*Assumptions!$F$24*12-V235</f>
        <v>#NUM!</v>
      </c>
      <c r="Y235" s="43"/>
      <c r="Z235" s="40">
        <f t="shared" si="29"/>
        <v>0</v>
      </c>
      <c r="AA235" s="50" t="e">
        <f>-PMT(Assumptions!G$25/12,Assumptions!G$24*12,$Z$8)*$C235/100</f>
        <v>#NUM!</v>
      </c>
      <c r="AB235" s="44" t="e">
        <f>AA235*Assumptions!$G$24*12-Z235</f>
        <v>#NUM!</v>
      </c>
      <c r="AD235" s="54">
        <f t="shared" si="36"/>
        <v>0</v>
      </c>
      <c r="AE235" s="54">
        <f t="shared" si="37"/>
        <v>0</v>
      </c>
      <c r="AF235" s="54">
        <f t="shared" si="38"/>
        <v>1560</v>
      </c>
      <c r="AG235" s="54">
        <f t="shared" si="39"/>
        <v>7800</v>
      </c>
      <c r="AH235" s="54">
        <f t="shared" si="40"/>
        <v>0</v>
      </c>
      <c r="AI235" s="54">
        <f t="shared" si="41"/>
        <v>0</v>
      </c>
    </row>
    <row r="236" spans="1:35" ht="15" x14ac:dyDescent="0.2">
      <c r="A236" s="56" t="s">
        <v>331</v>
      </c>
      <c r="B236" s="32"/>
      <c r="C236" s="56">
        <v>0.219</v>
      </c>
      <c r="D236" s="56">
        <v>343.85</v>
      </c>
      <c r="E236" s="36"/>
      <c r="F236" s="40">
        <f t="shared" si="24"/>
        <v>0</v>
      </c>
      <c r="G236" s="40" t="e">
        <f>-PMT(Assumptions!B$25/12,Assumptions!B$24*12,F$8)*C236/100</f>
        <v>#NUM!</v>
      </c>
      <c r="H236" s="40" t="e">
        <f>G236*Assumptions!$B$24*12-F236</f>
        <v>#NUM!</v>
      </c>
      <c r="I236" s="48"/>
      <c r="J236" s="40">
        <f t="shared" si="25"/>
        <v>0</v>
      </c>
      <c r="K236" s="40" t="e">
        <f>-PMT(Assumptions!C$25/12,Assumptions!C$24*12,J$8)*C236/100</f>
        <v>#NUM!</v>
      </c>
      <c r="L236" s="40" t="e">
        <f>K236*Assumptions!$C$24*12-J236</f>
        <v>#NUM!</v>
      </c>
      <c r="M236" s="43"/>
      <c r="N236" s="40">
        <f t="shared" si="26"/>
        <v>2190</v>
      </c>
      <c r="O236" s="50">
        <f>-PMT(Assumptions!D$25/12,Assumptions!D$24*12,N$8)*C236/100</f>
        <v>23.228347837357475</v>
      </c>
      <c r="P236" s="44">
        <f>O236*Assumptions!$D$24*12-N236</f>
        <v>597.40174048289691</v>
      </c>
      <c r="Q236" s="48"/>
      <c r="R236" s="40">
        <f t="shared" si="27"/>
        <v>10950</v>
      </c>
      <c r="S236" s="40">
        <f>-PMT(Assumptions!E$25/12,Assumptions!E$24*12,$R$8)*$C236/100</f>
        <v>116.14173918678738</v>
      </c>
      <c r="T236" s="40">
        <f>S236*Assumptions!$E$24*12-R236</f>
        <v>2987.008702414485</v>
      </c>
      <c r="U236" s="48"/>
      <c r="V236" s="40">
        <f t="shared" si="28"/>
        <v>0</v>
      </c>
      <c r="W236" s="40" t="e">
        <f>-PMT(Assumptions!F$25/12,Assumptions!F$24*12,$V$8)*$C236/100</f>
        <v>#NUM!</v>
      </c>
      <c r="X236" s="40" t="e">
        <f>W236*Assumptions!$F$24*12-V236</f>
        <v>#NUM!</v>
      </c>
      <c r="Y236" s="43"/>
      <c r="Z236" s="40">
        <f t="shared" si="29"/>
        <v>0</v>
      </c>
      <c r="AA236" s="50" t="e">
        <f>-PMT(Assumptions!G$25/12,Assumptions!G$24*12,$Z$8)*$C236/100</f>
        <v>#NUM!</v>
      </c>
      <c r="AB236" s="44" t="e">
        <f>AA236*Assumptions!$G$24*12-Z236</f>
        <v>#NUM!</v>
      </c>
      <c r="AD236" s="54">
        <f t="shared" si="36"/>
        <v>0</v>
      </c>
      <c r="AE236" s="54">
        <f t="shared" si="37"/>
        <v>0</v>
      </c>
      <c r="AF236" s="54">
        <f t="shared" si="38"/>
        <v>2190</v>
      </c>
      <c r="AG236" s="54">
        <f t="shared" si="39"/>
        <v>10950</v>
      </c>
      <c r="AH236" s="54">
        <f t="shared" si="40"/>
        <v>0</v>
      </c>
      <c r="AI236" s="54">
        <f t="shared" si="41"/>
        <v>0</v>
      </c>
    </row>
    <row r="237" spans="1:35" ht="15" x14ac:dyDescent="0.2">
      <c r="A237" s="56" t="s">
        <v>332</v>
      </c>
      <c r="B237" s="32"/>
      <c r="C237" s="56">
        <v>0.22700000000000001</v>
      </c>
      <c r="D237" s="56">
        <v>356.41</v>
      </c>
      <c r="E237" s="36"/>
      <c r="F237" s="40">
        <f t="shared" si="24"/>
        <v>0</v>
      </c>
      <c r="G237" s="40" t="e">
        <f>-PMT(Assumptions!B$25/12,Assumptions!B$24*12,F$8)*C237/100</f>
        <v>#NUM!</v>
      </c>
      <c r="H237" s="40" t="e">
        <f>G237*Assumptions!$B$24*12-F237</f>
        <v>#NUM!</v>
      </c>
      <c r="I237" s="48"/>
      <c r="J237" s="40">
        <f t="shared" si="25"/>
        <v>0</v>
      </c>
      <c r="K237" s="40" t="e">
        <f>-PMT(Assumptions!C$25/12,Assumptions!C$24*12,J$8)*C237/100</f>
        <v>#NUM!</v>
      </c>
      <c r="L237" s="40" t="e">
        <f>K237*Assumptions!$C$24*12-J237</f>
        <v>#NUM!</v>
      </c>
      <c r="M237" s="43"/>
      <c r="N237" s="40">
        <f t="shared" si="26"/>
        <v>2270</v>
      </c>
      <c r="O237" s="50">
        <f>-PMT(Assumptions!D$25/12,Assumptions!D$24*12,N$8)*C237/100</f>
        <v>24.076871959270079</v>
      </c>
      <c r="P237" s="44">
        <f>O237*Assumptions!$D$24*12-N237</f>
        <v>619.22463511240949</v>
      </c>
      <c r="Q237" s="48"/>
      <c r="R237" s="40">
        <f t="shared" si="27"/>
        <v>11350</v>
      </c>
      <c r="S237" s="40">
        <f>-PMT(Assumptions!E$25/12,Assumptions!E$24*12,$R$8)*$C237/100</f>
        <v>120.3843597963504</v>
      </c>
      <c r="T237" s="40">
        <f>S237*Assumptions!$E$24*12-R237</f>
        <v>3096.1231755620465</v>
      </c>
      <c r="U237" s="48"/>
      <c r="V237" s="40">
        <f t="shared" si="28"/>
        <v>0</v>
      </c>
      <c r="W237" s="40" t="e">
        <f>-PMT(Assumptions!F$25/12,Assumptions!F$24*12,$V$8)*$C237/100</f>
        <v>#NUM!</v>
      </c>
      <c r="X237" s="40" t="e">
        <f>W237*Assumptions!$F$24*12-V237</f>
        <v>#NUM!</v>
      </c>
      <c r="Y237" s="43"/>
      <c r="Z237" s="40">
        <f t="shared" si="29"/>
        <v>0</v>
      </c>
      <c r="AA237" s="50" t="e">
        <f>-PMT(Assumptions!G$25/12,Assumptions!G$24*12,$Z$8)*$C237/100</f>
        <v>#NUM!</v>
      </c>
      <c r="AB237" s="44" t="e">
        <f>AA237*Assumptions!$G$24*12-Z237</f>
        <v>#NUM!</v>
      </c>
      <c r="AD237" s="54">
        <f t="shared" si="36"/>
        <v>0</v>
      </c>
      <c r="AE237" s="54">
        <f t="shared" si="37"/>
        <v>0</v>
      </c>
      <c r="AF237" s="54">
        <f t="shared" si="38"/>
        <v>2270</v>
      </c>
      <c r="AG237" s="54">
        <f t="shared" si="39"/>
        <v>11350</v>
      </c>
      <c r="AH237" s="54">
        <f t="shared" si="40"/>
        <v>0</v>
      </c>
      <c r="AI237" s="54">
        <f t="shared" si="41"/>
        <v>0</v>
      </c>
    </row>
    <row r="238" spans="1:35" ht="15" x14ac:dyDescent="0.2">
      <c r="A238" s="56" t="s">
        <v>333</v>
      </c>
      <c r="B238" s="32"/>
      <c r="C238" s="56">
        <v>0.20799999999999999</v>
      </c>
      <c r="D238" s="56">
        <v>326.58</v>
      </c>
      <c r="E238" s="36"/>
      <c r="F238" s="40">
        <f t="shared" si="24"/>
        <v>0</v>
      </c>
      <c r="G238" s="40" t="e">
        <f>-PMT(Assumptions!B$25/12,Assumptions!B$24*12,F$8)*C238/100</f>
        <v>#NUM!</v>
      </c>
      <c r="H238" s="40" t="e">
        <f>G238*Assumptions!$B$24*12-F238</f>
        <v>#NUM!</v>
      </c>
      <c r="I238" s="48"/>
      <c r="J238" s="40">
        <f t="shared" si="25"/>
        <v>0</v>
      </c>
      <c r="K238" s="40" t="e">
        <f>-PMT(Assumptions!C$25/12,Assumptions!C$24*12,J$8)*C238/100</f>
        <v>#NUM!</v>
      </c>
      <c r="L238" s="40" t="e">
        <f>K238*Assumptions!$C$24*12-J238</f>
        <v>#NUM!</v>
      </c>
      <c r="M238" s="43"/>
      <c r="N238" s="40">
        <f t="shared" si="26"/>
        <v>2080</v>
      </c>
      <c r="O238" s="50">
        <f>-PMT(Assumptions!D$25/12,Assumptions!D$24*12,N$8)*C238/100</f>
        <v>22.06162716972765</v>
      </c>
      <c r="P238" s="44">
        <f>O238*Assumptions!$D$24*12-N238</f>
        <v>567.39526036731786</v>
      </c>
      <c r="Q238" s="48"/>
      <c r="R238" s="40">
        <f t="shared" si="27"/>
        <v>10400</v>
      </c>
      <c r="S238" s="40">
        <f>-PMT(Assumptions!E$25/12,Assumptions!E$24*12,$R$8)*$C238/100</f>
        <v>110.30813584863823</v>
      </c>
      <c r="T238" s="40">
        <f>S238*Assumptions!$E$24*12-R238</f>
        <v>2836.9763018365866</v>
      </c>
      <c r="U238" s="48"/>
      <c r="V238" s="40">
        <f t="shared" si="28"/>
        <v>0</v>
      </c>
      <c r="W238" s="40" t="e">
        <f>-PMT(Assumptions!F$25/12,Assumptions!F$24*12,$V$8)*$C238/100</f>
        <v>#NUM!</v>
      </c>
      <c r="X238" s="40" t="e">
        <f>W238*Assumptions!$F$24*12-V238</f>
        <v>#NUM!</v>
      </c>
      <c r="Y238" s="43"/>
      <c r="Z238" s="40">
        <f t="shared" si="29"/>
        <v>0</v>
      </c>
      <c r="AA238" s="50" t="e">
        <f>-PMT(Assumptions!G$25/12,Assumptions!G$24*12,$Z$8)*$C238/100</f>
        <v>#NUM!</v>
      </c>
      <c r="AB238" s="44" t="e">
        <f>AA238*Assumptions!$G$24*12-Z238</f>
        <v>#NUM!</v>
      </c>
      <c r="AD238" s="54">
        <f t="shared" si="36"/>
        <v>0</v>
      </c>
      <c r="AE238" s="54">
        <f t="shared" si="37"/>
        <v>0</v>
      </c>
      <c r="AF238" s="54">
        <f t="shared" si="38"/>
        <v>2080</v>
      </c>
      <c r="AG238" s="54">
        <f t="shared" si="39"/>
        <v>10400</v>
      </c>
      <c r="AH238" s="54">
        <f t="shared" si="40"/>
        <v>0</v>
      </c>
      <c r="AI238" s="54">
        <f t="shared" si="41"/>
        <v>0</v>
      </c>
    </row>
    <row r="239" spans="1:35" ht="15" x14ac:dyDescent="0.2">
      <c r="A239" s="56" t="s">
        <v>334</v>
      </c>
      <c r="B239" s="32"/>
      <c r="C239" s="56">
        <v>0.20799999999999999</v>
      </c>
      <c r="D239" s="56">
        <v>326.58</v>
      </c>
      <c r="E239" s="36"/>
      <c r="F239" s="40">
        <f t="shared" si="24"/>
        <v>0</v>
      </c>
      <c r="G239" s="40" t="e">
        <f>-PMT(Assumptions!B$25/12,Assumptions!B$24*12,F$8)*C239/100</f>
        <v>#NUM!</v>
      </c>
      <c r="H239" s="40" t="e">
        <f>G239*Assumptions!$B$24*12-F239</f>
        <v>#NUM!</v>
      </c>
      <c r="I239" s="48"/>
      <c r="J239" s="40">
        <f t="shared" si="25"/>
        <v>0</v>
      </c>
      <c r="K239" s="40" t="e">
        <f>-PMT(Assumptions!C$25/12,Assumptions!C$24*12,J$8)*C239/100</f>
        <v>#NUM!</v>
      </c>
      <c r="L239" s="40" t="e">
        <f>K239*Assumptions!$C$24*12-J239</f>
        <v>#NUM!</v>
      </c>
      <c r="M239" s="43"/>
      <c r="N239" s="40">
        <f t="shared" si="26"/>
        <v>2080</v>
      </c>
      <c r="O239" s="50">
        <f>-PMT(Assumptions!D$25/12,Assumptions!D$24*12,N$8)*C239/100</f>
        <v>22.06162716972765</v>
      </c>
      <c r="P239" s="44">
        <f>O239*Assumptions!$D$24*12-N239</f>
        <v>567.39526036731786</v>
      </c>
      <c r="Q239" s="48"/>
      <c r="R239" s="40">
        <f t="shared" si="27"/>
        <v>10400</v>
      </c>
      <c r="S239" s="40">
        <f>-PMT(Assumptions!E$25/12,Assumptions!E$24*12,$R$8)*$C239/100</f>
        <v>110.30813584863823</v>
      </c>
      <c r="T239" s="40">
        <f>S239*Assumptions!$E$24*12-R239</f>
        <v>2836.9763018365866</v>
      </c>
      <c r="U239" s="48"/>
      <c r="V239" s="40">
        <f t="shared" si="28"/>
        <v>0</v>
      </c>
      <c r="W239" s="40" t="e">
        <f>-PMT(Assumptions!F$25/12,Assumptions!F$24*12,$V$8)*$C239/100</f>
        <v>#NUM!</v>
      </c>
      <c r="X239" s="40" t="e">
        <f>W239*Assumptions!$F$24*12-V239</f>
        <v>#NUM!</v>
      </c>
      <c r="Y239" s="43"/>
      <c r="Z239" s="40">
        <f t="shared" si="29"/>
        <v>0</v>
      </c>
      <c r="AA239" s="50" t="e">
        <f>-PMT(Assumptions!G$25/12,Assumptions!G$24*12,$Z$8)*$C239/100</f>
        <v>#NUM!</v>
      </c>
      <c r="AB239" s="44" t="e">
        <f>AA239*Assumptions!$G$24*12-Z239</f>
        <v>#NUM!</v>
      </c>
      <c r="AD239" s="54">
        <f t="shared" si="36"/>
        <v>0</v>
      </c>
      <c r="AE239" s="54">
        <f t="shared" si="37"/>
        <v>0</v>
      </c>
      <c r="AF239" s="54">
        <f t="shared" si="38"/>
        <v>2080</v>
      </c>
      <c r="AG239" s="54">
        <f t="shared" si="39"/>
        <v>10400</v>
      </c>
      <c r="AH239" s="54">
        <f t="shared" si="40"/>
        <v>0</v>
      </c>
      <c r="AI239" s="54">
        <f t="shared" si="41"/>
        <v>0</v>
      </c>
    </row>
    <row r="240" spans="1:35" ht="15" x14ac:dyDescent="0.2">
      <c r="A240" s="56" t="s">
        <v>335</v>
      </c>
      <c r="B240" s="32"/>
      <c r="C240" s="56">
        <v>0.151</v>
      </c>
      <c r="D240" s="56">
        <v>237.09</v>
      </c>
      <c r="E240" s="36"/>
      <c r="F240" s="40">
        <f t="shared" si="24"/>
        <v>0</v>
      </c>
      <c r="G240" s="40" t="e">
        <f>-PMT(Assumptions!B$25/12,Assumptions!B$24*12,F$8)*C240/100</f>
        <v>#NUM!</v>
      </c>
      <c r="H240" s="40" t="e">
        <f>G240*Assumptions!$B$24*12-F240</f>
        <v>#NUM!</v>
      </c>
      <c r="I240" s="48"/>
      <c r="J240" s="40">
        <f t="shared" si="25"/>
        <v>0</v>
      </c>
      <c r="K240" s="40" t="e">
        <f>-PMT(Assumptions!C$25/12,Assumptions!C$24*12,J$8)*C240/100</f>
        <v>#NUM!</v>
      </c>
      <c r="L240" s="40" t="e">
        <f>K240*Assumptions!$C$24*12-J240</f>
        <v>#NUM!</v>
      </c>
      <c r="M240" s="43"/>
      <c r="N240" s="40">
        <f t="shared" si="26"/>
        <v>1510</v>
      </c>
      <c r="O240" s="50">
        <f>-PMT(Assumptions!D$25/12,Assumptions!D$24*12,N$8)*C240/100</f>
        <v>16.015892801100357</v>
      </c>
      <c r="P240" s="44">
        <f>O240*Assumptions!$D$24*12-N240</f>
        <v>411.90713613204298</v>
      </c>
      <c r="Q240" s="48"/>
      <c r="R240" s="40">
        <f t="shared" si="27"/>
        <v>7550</v>
      </c>
      <c r="S240" s="40">
        <f>-PMT(Assumptions!E$25/12,Assumptions!E$24*12,$R$8)*$C240/100</f>
        <v>80.079464005501791</v>
      </c>
      <c r="T240" s="40">
        <f>S240*Assumptions!$E$24*12-R240</f>
        <v>2059.535680660214</v>
      </c>
      <c r="U240" s="48"/>
      <c r="V240" s="40">
        <f t="shared" si="28"/>
        <v>0</v>
      </c>
      <c r="W240" s="40" t="e">
        <f>-PMT(Assumptions!F$25/12,Assumptions!F$24*12,$V$8)*$C240/100</f>
        <v>#NUM!</v>
      </c>
      <c r="X240" s="40" t="e">
        <f>W240*Assumptions!$F$24*12-V240</f>
        <v>#NUM!</v>
      </c>
      <c r="Y240" s="43"/>
      <c r="Z240" s="40">
        <f t="shared" si="29"/>
        <v>0</v>
      </c>
      <c r="AA240" s="50" t="e">
        <f>-PMT(Assumptions!G$25/12,Assumptions!G$24*12,$Z$8)*$C240/100</f>
        <v>#NUM!</v>
      </c>
      <c r="AB240" s="44" t="e">
        <f>AA240*Assumptions!$G$24*12-Z240</f>
        <v>#NUM!</v>
      </c>
      <c r="AD240" s="54">
        <f t="shared" si="36"/>
        <v>0</v>
      </c>
      <c r="AE240" s="54">
        <f t="shared" si="37"/>
        <v>0</v>
      </c>
      <c r="AF240" s="54">
        <f t="shared" si="38"/>
        <v>1510</v>
      </c>
      <c r="AG240" s="54">
        <f t="shared" si="39"/>
        <v>7550</v>
      </c>
      <c r="AH240" s="54">
        <f t="shared" si="40"/>
        <v>0</v>
      </c>
      <c r="AI240" s="54">
        <f t="shared" si="41"/>
        <v>0</v>
      </c>
    </row>
    <row r="241" spans="1:35" ht="15" x14ac:dyDescent="0.2">
      <c r="A241" s="56" t="s">
        <v>336</v>
      </c>
      <c r="B241" s="32"/>
      <c r="C241" s="56">
        <v>0.16</v>
      </c>
      <c r="D241" s="56">
        <v>251.22</v>
      </c>
      <c r="E241" s="36"/>
      <c r="F241" s="40">
        <f t="shared" si="24"/>
        <v>0</v>
      </c>
      <c r="G241" s="40" t="e">
        <f>-PMT(Assumptions!B$25/12,Assumptions!B$24*12,F$8)*C241/100</f>
        <v>#NUM!</v>
      </c>
      <c r="H241" s="40" t="e">
        <f>G241*Assumptions!$B$24*12-F241</f>
        <v>#NUM!</v>
      </c>
      <c r="I241" s="48"/>
      <c r="J241" s="40">
        <f t="shared" si="25"/>
        <v>0</v>
      </c>
      <c r="K241" s="40" t="e">
        <f>-PMT(Assumptions!C$25/12,Assumptions!C$24*12,J$8)*C241/100</f>
        <v>#NUM!</v>
      </c>
      <c r="L241" s="40" t="e">
        <f>K241*Assumptions!$C$24*12-J241</f>
        <v>#NUM!</v>
      </c>
      <c r="M241" s="43"/>
      <c r="N241" s="40">
        <f t="shared" si="26"/>
        <v>1600</v>
      </c>
      <c r="O241" s="50">
        <f>-PMT(Assumptions!D$25/12,Assumptions!D$24*12,N$8)*C241/100</f>
        <v>16.970482438252038</v>
      </c>
      <c r="P241" s="44">
        <f>O241*Assumptions!$D$24*12-N241</f>
        <v>436.45789259024446</v>
      </c>
      <c r="Q241" s="48"/>
      <c r="R241" s="40">
        <f t="shared" si="27"/>
        <v>8000</v>
      </c>
      <c r="S241" s="40">
        <f>-PMT(Assumptions!E$25/12,Assumptions!E$24*12,$R$8)*$C241/100</f>
        <v>84.852412191260186</v>
      </c>
      <c r="T241" s="40">
        <f>S241*Assumptions!$E$24*12-R241</f>
        <v>2182.289462951223</v>
      </c>
      <c r="U241" s="48"/>
      <c r="V241" s="40">
        <f t="shared" si="28"/>
        <v>0</v>
      </c>
      <c r="W241" s="40" t="e">
        <f>-PMT(Assumptions!F$25/12,Assumptions!F$24*12,$V$8)*$C241/100</f>
        <v>#NUM!</v>
      </c>
      <c r="X241" s="40" t="e">
        <f>W241*Assumptions!$F$24*12-V241</f>
        <v>#NUM!</v>
      </c>
      <c r="Y241" s="43"/>
      <c r="Z241" s="40">
        <f t="shared" si="29"/>
        <v>0</v>
      </c>
      <c r="AA241" s="50" t="e">
        <f>-PMT(Assumptions!G$25/12,Assumptions!G$24*12,$Z$8)*$C241/100</f>
        <v>#NUM!</v>
      </c>
      <c r="AB241" s="44" t="e">
        <f>AA241*Assumptions!$G$24*12-Z241</f>
        <v>#NUM!</v>
      </c>
      <c r="AD241" s="54">
        <f t="shared" si="36"/>
        <v>0</v>
      </c>
      <c r="AE241" s="54">
        <f t="shared" si="37"/>
        <v>0</v>
      </c>
      <c r="AF241" s="54">
        <f t="shared" si="38"/>
        <v>1600</v>
      </c>
      <c r="AG241" s="54">
        <f t="shared" si="39"/>
        <v>8000</v>
      </c>
      <c r="AH241" s="54">
        <f t="shared" si="40"/>
        <v>0</v>
      </c>
      <c r="AI241" s="54">
        <f t="shared" si="41"/>
        <v>0</v>
      </c>
    </row>
    <row r="242" spans="1:35" ht="15" x14ac:dyDescent="0.2">
      <c r="A242" s="56" t="s">
        <v>337</v>
      </c>
      <c r="B242" s="32"/>
      <c r="C242" s="56">
        <v>0.151</v>
      </c>
      <c r="D242" s="56">
        <v>237.09</v>
      </c>
      <c r="E242" s="36"/>
      <c r="F242" s="40">
        <f t="shared" si="24"/>
        <v>0</v>
      </c>
      <c r="G242" s="40" t="e">
        <f>-PMT(Assumptions!B$25/12,Assumptions!B$24*12,F$8)*C242/100</f>
        <v>#NUM!</v>
      </c>
      <c r="H242" s="40" t="e">
        <f>G242*Assumptions!$B$24*12-F242</f>
        <v>#NUM!</v>
      </c>
      <c r="I242" s="48"/>
      <c r="J242" s="40">
        <f t="shared" si="25"/>
        <v>0</v>
      </c>
      <c r="K242" s="40" t="e">
        <f>-PMT(Assumptions!C$25/12,Assumptions!C$24*12,J$8)*C242/100</f>
        <v>#NUM!</v>
      </c>
      <c r="L242" s="40" t="e">
        <f>K242*Assumptions!$C$24*12-J242</f>
        <v>#NUM!</v>
      </c>
      <c r="M242" s="43"/>
      <c r="N242" s="40">
        <f t="shared" si="26"/>
        <v>1510</v>
      </c>
      <c r="O242" s="50">
        <f>-PMT(Assumptions!D$25/12,Assumptions!D$24*12,N$8)*C242/100</f>
        <v>16.015892801100357</v>
      </c>
      <c r="P242" s="44">
        <f>O242*Assumptions!$D$24*12-N242</f>
        <v>411.90713613204298</v>
      </c>
      <c r="Q242" s="48"/>
      <c r="R242" s="40">
        <f t="shared" si="27"/>
        <v>7550</v>
      </c>
      <c r="S242" s="40">
        <f>-PMT(Assumptions!E$25/12,Assumptions!E$24*12,$R$8)*$C242/100</f>
        <v>80.079464005501791</v>
      </c>
      <c r="T242" s="40">
        <f>S242*Assumptions!$E$24*12-R242</f>
        <v>2059.535680660214</v>
      </c>
      <c r="U242" s="48"/>
      <c r="V242" s="40">
        <f t="shared" si="28"/>
        <v>0</v>
      </c>
      <c r="W242" s="40" t="e">
        <f>-PMT(Assumptions!F$25/12,Assumptions!F$24*12,$V$8)*$C242/100</f>
        <v>#NUM!</v>
      </c>
      <c r="X242" s="40" t="e">
        <f>W242*Assumptions!$F$24*12-V242</f>
        <v>#NUM!</v>
      </c>
      <c r="Y242" s="43"/>
      <c r="Z242" s="40">
        <f t="shared" si="29"/>
        <v>0</v>
      </c>
      <c r="AA242" s="50" t="e">
        <f>-PMT(Assumptions!G$25/12,Assumptions!G$24*12,$Z$8)*$C242/100</f>
        <v>#NUM!</v>
      </c>
      <c r="AB242" s="44" t="e">
        <f>AA242*Assumptions!$G$24*12-Z242</f>
        <v>#NUM!</v>
      </c>
      <c r="AD242" s="54">
        <f t="shared" ref="AD242:AD281" si="42">+F242</f>
        <v>0</v>
      </c>
      <c r="AE242" s="54">
        <f t="shared" ref="AE242:AE281" si="43">+J242</f>
        <v>0</v>
      </c>
      <c r="AF242" s="54">
        <f t="shared" ref="AF242:AF281" si="44">+N242</f>
        <v>1510</v>
      </c>
      <c r="AG242" s="54">
        <f t="shared" ref="AG242:AG281" si="45">+R242</f>
        <v>7550</v>
      </c>
      <c r="AH242" s="54">
        <f t="shared" ref="AH242:AH281" si="46">+V242</f>
        <v>0</v>
      </c>
      <c r="AI242" s="54">
        <f t="shared" ref="AI242:AI281" si="47">+Z242</f>
        <v>0</v>
      </c>
    </row>
    <row r="243" spans="1:35" ht="15" x14ac:dyDescent="0.2">
      <c r="A243" s="56" t="s">
        <v>338</v>
      </c>
      <c r="B243" s="32"/>
      <c r="C243" s="56">
        <v>0.16</v>
      </c>
      <c r="D243" s="56">
        <v>251.22</v>
      </c>
      <c r="E243" s="36"/>
      <c r="F243" s="40">
        <f t="shared" si="24"/>
        <v>0</v>
      </c>
      <c r="G243" s="40" t="e">
        <f>-PMT(Assumptions!B$25/12,Assumptions!B$24*12,F$8)*C243/100</f>
        <v>#NUM!</v>
      </c>
      <c r="H243" s="40" t="e">
        <f>G243*Assumptions!$B$24*12-F243</f>
        <v>#NUM!</v>
      </c>
      <c r="I243" s="48"/>
      <c r="J243" s="40">
        <f t="shared" si="25"/>
        <v>0</v>
      </c>
      <c r="K243" s="40" t="e">
        <f>-PMT(Assumptions!C$25/12,Assumptions!C$24*12,J$8)*C243/100</f>
        <v>#NUM!</v>
      </c>
      <c r="L243" s="40" t="e">
        <f>K243*Assumptions!$C$24*12-J243</f>
        <v>#NUM!</v>
      </c>
      <c r="M243" s="43"/>
      <c r="N243" s="40">
        <f t="shared" si="26"/>
        <v>1600</v>
      </c>
      <c r="O243" s="50">
        <f>-PMT(Assumptions!D$25/12,Assumptions!D$24*12,N$8)*C243/100</f>
        <v>16.970482438252038</v>
      </c>
      <c r="P243" s="44">
        <f>O243*Assumptions!$D$24*12-N243</f>
        <v>436.45789259024446</v>
      </c>
      <c r="Q243" s="48"/>
      <c r="R243" s="40">
        <f t="shared" si="27"/>
        <v>8000</v>
      </c>
      <c r="S243" s="40">
        <f>-PMT(Assumptions!E$25/12,Assumptions!E$24*12,$R$8)*$C243/100</f>
        <v>84.852412191260186</v>
      </c>
      <c r="T243" s="40">
        <f>S243*Assumptions!$E$24*12-R243</f>
        <v>2182.289462951223</v>
      </c>
      <c r="U243" s="48"/>
      <c r="V243" s="40">
        <f t="shared" si="28"/>
        <v>0</v>
      </c>
      <c r="W243" s="40" t="e">
        <f>-PMT(Assumptions!F$25/12,Assumptions!F$24*12,$V$8)*$C243/100</f>
        <v>#NUM!</v>
      </c>
      <c r="X243" s="40" t="e">
        <f>W243*Assumptions!$F$24*12-V243</f>
        <v>#NUM!</v>
      </c>
      <c r="Y243" s="43"/>
      <c r="Z243" s="40">
        <f t="shared" si="29"/>
        <v>0</v>
      </c>
      <c r="AA243" s="50" t="e">
        <f>-PMT(Assumptions!G$25/12,Assumptions!G$24*12,$Z$8)*$C243/100</f>
        <v>#NUM!</v>
      </c>
      <c r="AB243" s="44" t="e">
        <f>AA243*Assumptions!$G$24*12-Z243</f>
        <v>#NUM!</v>
      </c>
      <c r="AD243" s="54">
        <f t="shared" si="42"/>
        <v>0</v>
      </c>
      <c r="AE243" s="54">
        <f t="shared" si="43"/>
        <v>0</v>
      </c>
      <c r="AF243" s="54">
        <f t="shared" si="44"/>
        <v>1600</v>
      </c>
      <c r="AG243" s="54">
        <f t="shared" si="45"/>
        <v>8000</v>
      </c>
      <c r="AH243" s="54">
        <f t="shared" si="46"/>
        <v>0</v>
      </c>
      <c r="AI243" s="54">
        <f t="shared" si="47"/>
        <v>0</v>
      </c>
    </row>
    <row r="244" spans="1:35" ht="15" x14ac:dyDescent="0.2">
      <c r="A244" s="56" t="s">
        <v>339</v>
      </c>
      <c r="B244" s="32"/>
      <c r="C244" s="56">
        <v>0.22700000000000001</v>
      </c>
      <c r="D244" s="56">
        <v>356.41</v>
      </c>
      <c r="E244" s="36"/>
      <c r="F244" s="40">
        <f t="shared" si="24"/>
        <v>0</v>
      </c>
      <c r="G244" s="40" t="e">
        <f>-PMT(Assumptions!B$25/12,Assumptions!B$24*12,F$8)*C244/100</f>
        <v>#NUM!</v>
      </c>
      <c r="H244" s="40" t="e">
        <f>G244*Assumptions!$B$24*12-F244</f>
        <v>#NUM!</v>
      </c>
      <c r="I244" s="48"/>
      <c r="J244" s="40">
        <f t="shared" si="25"/>
        <v>0</v>
      </c>
      <c r="K244" s="40" t="e">
        <f>-PMT(Assumptions!C$25/12,Assumptions!C$24*12,J$8)*C244/100</f>
        <v>#NUM!</v>
      </c>
      <c r="L244" s="40" t="e">
        <f>K244*Assumptions!$C$24*12-J244</f>
        <v>#NUM!</v>
      </c>
      <c r="M244" s="43"/>
      <c r="N244" s="40">
        <f t="shared" si="26"/>
        <v>2270</v>
      </c>
      <c r="O244" s="50">
        <f>-PMT(Assumptions!D$25/12,Assumptions!D$24*12,N$8)*C244/100</f>
        <v>24.076871959270079</v>
      </c>
      <c r="P244" s="44">
        <f>O244*Assumptions!$D$24*12-N244</f>
        <v>619.22463511240949</v>
      </c>
      <c r="Q244" s="48"/>
      <c r="R244" s="40">
        <f t="shared" si="27"/>
        <v>11350</v>
      </c>
      <c r="S244" s="40">
        <f>-PMT(Assumptions!E$25/12,Assumptions!E$24*12,$R$8)*$C244/100</f>
        <v>120.3843597963504</v>
      </c>
      <c r="T244" s="40">
        <f>S244*Assumptions!$E$24*12-R244</f>
        <v>3096.1231755620465</v>
      </c>
      <c r="U244" s="48"/>
      <c r="V244" s="40">
        <f t="shared" si="28"/>
        <v>0</v>
      </c>
      <c r="W244" s="40" t="e">
        <f>-PMT(Assumptions!F$25/12,Assumptions!F$24*12,$V$8)*$C244/100</f>
        <v>#NUM!</v>
      </c>
      <c r="X244" s="40" t="e">
        <f>W244*Assumptions!$F$24*12-V244</f>
        <v>#NUM!</v>
      </c>
      <c r="Y244" s="43"/>
      <c r="Z244" s="40">
        <f t="shared" si="29"/>
        <v>0</v>
      </c>
      <c r="AA244" s="50" t="e">
        <f>-PMT(Assumptions!G$25/12,Assumptions!G$24*12,$Z$8)*$C244/100</f>
        <v>#NUM!</v>
      </c>
      <c r="AB244" s="44" t="e">
        <f>AA244*Assumptions!$G$24*12-Z244</f>
        <v>#NUM!</v>
      </c>
      <c r="AD244" s="54">
        <f t="shared" si="42"/>
        <v>0</v>
      </c>
      <c r="AE244" s="54">
        <f t="shared" si="43"/>
        <v>0</v>
      </c>
      <c r="AF244" s="54">
        <f t="shared" si="44"/>
        <v>2270</v>
      </c>
      <c r="AG244" s="54">
        <f t="shared" si="45"/>
        <v>11350</v>
      </c>
      <c r="AH244" s="54">
        <f t="shared" si="46"/>
        <v>0</v>
      </c>
      <c r="AI244" s="54">
        <f t="shared" si="47"/>
        <v>0</v>
      </c>
    </row>
    <row r="245" spans="1:35" ht="15" x14ac:dyDescent="0.2">
      <c r="A245" s="56" t="s">
        <v>340</v>
      </c>
      <c r="B245" s="32"/>
      <c r="C245" s="56">
        <v>0.23599999999999999</v>
      </c>
      <c r="D245" s="56">
        <v>370.54</v>
      </c>
      <c r="E245" s="36"/>
      <c r="F245" s="40">
        <f t="shared" si="24"/>
        <v>0</v>
      </c>
      <c r="G245" s="40" t="e">
        <f>-PMT(Assumptions!B$25/12,Assumptions!B$24*12,F$8)*C245/100</f>
        <v>#NUM!</v>
      </c>
      <c r="H245" s="40" t="e">
        <f>G245*Assumptions!$B$24*12-F245</f>
        <v>#NUM!</v>
      </c>
      <c r="I245" s="48"/>
      <c r="J245" s="40">
        <f t="shared" si="25"/>
        <v>0</v>
      </c>
      <c r="K245" s="40" t="e">
        <f>-PMT(Assumptions!C$25/12,Assumptions!C$24*12,J$8)*C245/100</f>
        <v>#NUM!</v>
      </c>
      <c r="L245" s="40" t="e">
        <f>K245*Assumptions!$C$24*12-J245</f>
        <v>#NUM!</v>
      </c>
      <c r="M245" s="43"/>
      <c r="N245" s="40">
        <f t="shared" si="26"/>
        <v>2360</v>
      </c>
      <c r="O245" s="50">
        <f>-PMT(Assumptions!D$25/12,Assumptions!D$24*12,N$8)*C245/100</f>
        <v>25.031461596421753</v>
      </c>
      <c r="P245" s="44">
        <f>O245*Assumptions!$D$24*12-N245</f>
        <v>643.77539157061028</v>
      </c>
      <c r="Q245" s="48"/>
      <c r="R245" s="40">
        <f t="shared" si="27"/>
        <v>11800</v>
      </c>
      <c r="S245" s="40">
        <f>-PMT(Assumptions!E$25/12,Assumptions!E$24*12,$R$8)*$C245/100</f>
        <v>125.15730798210878</v>
      </c>
      <c r="T245" s="40">
        <f>S245*Assumptions!$E$24*12-R245</f>
        <v>3218.8769578530519</v>
      </c>
      <c r="U245" s="48"/>
      <c r="V245" s="40">
        <f t="shared" si="28"/>
        <v>0</v>
      </c>
      <c r="W245" s="40" t="e">
        <f>-PMT(Assumptions!F$25/12,Assumptions!F$24*12,$V$8)*$C245/100</f>
        <v>#NUM!</v>
      </c>
      <c r="X245" s="40" t="e">
        <f>W245*Assumptions!$F$24*12-V245</f>
        <v>#NUM!</v>
      </c>
      <c r="Y245" s="43"/>
      <c r="Z245" s="40">
        <f t="shared" si="29"/>
        <v>0</v>
      </c>
      <c r="AA245" s="50" t="e">
        <f>-PMT(Assumptions!G$25/12,Assumptions!G$24*12,$Z$8)*$C245/100</f>
        <v>#NUM!</v>
      </c>
      <c r="AB245" s="44" t="e">
        <f>AA245*Assumptions!$G$24*12-Z245</f>
        <v>#NUM!</v>
      </c>
      <c r="AD245" s="54">
        <f t="shared" si="42"/>
        <v>0</v>
      </c>
      <c r="AE245" s="54">
        <f t="shared" si="43"/>
        <v>0</v>
      </c>
      <c r="AF245" s="54">
        <f t="shared" si="44"/>
        <v>2360</v>
      </c>
      <c r="AG245" s="54">
        <f t="shared" si="45"/>
        <v>11800</v>
      </c>
      <c r="AH245" s="54">
        <f t="shared" si="46"/>
        <v>0</v>
      </c>
      <c r="AI245" s="54">
        <f t="shared" si="47"/>
        <v>0</v>
      </c>
    </row>
    <row r="246" spans="1:35" ht="15" x14ac:dyDescent="0.2">
      <c r="A246" s="56" t="s">
        <v>341</v>
      </c>
      <c r="B246" s="32"/>
      <c r="C246" s="56">
        <v>0.20799999999999999</v>
      </c>
      <c r="D246" s="56">
        <v>326.58</v>
      </c>
      <c r="E246" s="36"/>
      <c r="F246" s="40">
        <f t="shared" si="24"/>
        <v>0</v>
      </c>
      <c r="G246" s="40" t="e">
        <f>-PMT(Assumptions!B$25/12,Assumptions!B$24*12,F$8)*C246/100</f>
        <v>#NUM!</v>
      </c>
      <c r="H246" s="40" t="e">
        <f>G246*Assumptions!$B$24*12-F246</f>
        <v>#NUM!</v>
      </c>
      <c r="I246" s="48"/>
      <c r="J246" s="40">
        <f t="shared" si="25"/>
        <v>0</v>
      </c>
      <c r="K246" s="40" t="e">
        <f>-PMT(Assumptions!C$25/12,Assumptions!C$24*12,J$8)*C246/100</f>
        <v>#NUM!</v>
      </c>
      <c r="L246" s="40" t="e">
        <f>K246*Assumptions!$C$24*12-J246</f>
        <v>#NUM!</v>
      </c>
      <c r="M246" s="43"/>
      <c r="N246" s="40">
        <f t="shared" si="26"/>
        <v>2080</v>
      </c>
      <c r="O246" s="50">
        <f>-PMT(Assumptions!D$25/12,Assumptions!D$24*12,N$8)*C246/100</f>
        <v>22.06162716972765</v>
      </c>
      <c r="P246" s="44">
        <f>O246*Assumptions!$D$24*12-N246</f>
        <v>567.39526036731786</v>
      </c>
      <c r="Q246" s="48"/>
      <c r="R246" s="40">
        <f t="shared" si="27"/>
        <v>10400</v>
      </c>
      <c r="S246" s="40">
        <f>-PMT(Assumptions!E$25/12,Assumptions!E$24*12,$R$8)*$C246/100</f>
        <v>110.30813584863823</v>
      </c>
      <c r="T246" s="40">
        <f>S246*Assumptions!$E$24*12-R246</f>
        <v>2836.9763018365866</v>
      </c>
      <c r="U246" s="48"/>
      <c r="V246" s="40">
        <f t="shared" si="28"/>
        <v>0</v>
      </c>
      <c r="W246" s="40" t="e">
        <f>-PMT(Assumptions!F$25/12,Assumptions!F$24*12,$V$8)*$C246/100</f>
        <v>#NUM!</v>
      </c>
      <c r="X246" s="40" t="e">
        <f>W246*Assumptions!$F$24*12-V246</f>
        <v>#NUM!</v>
      </c>
      <c r="Y246" s="43"/>
      <c r="Z246" s="40">
        <f t="shared" si="29"/>
        <v>0</v>
      </c>
      <c r="AA246" s="50" t="e">
        <f>-PMT(Assumptions!G$25/12,Assumptions!G$24*12,$Z$8)*$C246/100</f>
        <v>#NUM!</v>
      </c>
      <c r="AB246" s="44" t="e">
        <f>AA246*Assumptions!$G$24*12-Z246</f>
        <v>#NUM!</v>
      </c>
      <c r="AD246" s="54">
        <f t="shared" si="42"/>
        <v>0</v>
      </c>
      <c r="AE246" s="54">
        <f t="shared" si="43"/>
        <v>0</v>
      </c>
      <c r="AF246" s="54">
        <f t="shared" si="44"/>
        <v>2080</v>
      </c>
      <c r="AG246" s="54">
        <f t="shared" si="45"/>
        <v>10400</v>
      </c>
      <c r="AH246" s="54">
        <f t="shared" si="46"/>
        <v>0</v>
      </c>
      <c r="AI246" s="54">
        <f t="shared" si="47"/>
        <v>0</v>
      </c>
    </row>
    <row r="247" spans="1:35" ht="15" x14ac:dyDescent="0.2">
      <c r="A247" s="56" t="s">
        <v>342</v>
      </c>
      <c r="B247" s="32"/>
      <c r="C247" s="56">
        <v>0.20799999999999999</v>
      </c>
      <c r="D247" s="56">
        <v>326.58</v>
      </c>
      <c r="E247" s="36"/>
      <c r="F247" s="40">
        <f t="shared" si="24"/>
        <v>0</v>
      </c>
      <c r="G247" s="40" t="e">
        <f>-PMT(Assumptions!B$25/12,Assumptions!B$24*12,F$8)*C247/100</f>
        <v>#NUM!</v>
      </c>
      <c r="H247" s="40" t="e">
        <f>G247*Assumptions!$B$24*12-F247</f>
        <v>#NUM!</v>
      </c>
      <c r="I247" s="48"/>
      <c r="J247" s="40">
        <f t="shared" si="25"/>
        <v>0</v>
      </c>
      <c r="K247" s="40" t="e">
        <f>-PMT(Assumptions!C$25/12,Assumptions!C$24*12,J$8)*C247/100</f>
        <v>#NUM!</v>
      </c>
      <c r="L247" s="40" t="e">
        <f>K247*Assumptions!$C$24*12-J247</f>
        <v>#NUM!</v>
      </c>
      <c r="M247" s="43"/>
      <c r="N247" s="40">
        <f t="shared" si="26"/>
        <v>2080</v>
      </c>
      <c r="O247" s="50">
        <f>-PMT(Assumptions!D$25/12,Assumptions!D$24*12,N$8)*C247/100</f>
        <v>22.06162716972765</v>
      </c>
      <c r="P247" s="44">
        <f>O247*Assumptions!$D$24*12-N247</f>
        <v>567.39526036731786</v>
      </c>
      <c r="Q247" s="48"/>
      <c r="R247" s="40">
        <f t="shared" si="27"/>
        <v>10400</v>
      </c>
      <c r="S247" s="40">
        <f>-PMT(Assumptions!E$25/12,Assumptions!E$24*12,$R$8)*$C247/100</f>
        <v>110.30813584863823</v>
      </c>
      <c r="T247" s="40">
        <f>S247*Assumptions!$E$24*12-R247</f>
        <v>2836.9763018365866</v>
      </c>
      <c r="U247" s="48"/>
      <c r="V247" s="40">
        <f t="shared" si="28"/>
        <v>0</v>
      </c>
      <c r="W247" s="40" t="e">
        <f>-PMT(Assumptions!F$25/12,Assumptions!F$24*12,$V$8)*$C247/100</f>
        <v>#NUM!</v>
      </c>
      <c r="X247" s="40" t="e">
        <f>W247*Assumptions!$F$24*12-V247</f>
        <v>#NUM!</v>
      </c>
      <c r="Y247" s="43"/>
      <c r="Z247" s="40">
        <f t="shared" si="29"/>
        <v>0</v>
      </c>
      <c r="AA247" s="50" t="e">
        <f>-PMT(Assumptions!G$25/12,Assumptions!G$24*12,$Z$8)*$C247/100</f>
        <v>#NUM!</v>
      </c>
      <c r="AB247" s="44" t="e">
        <f>AA247*Assumptions!$G$24*12-Z247</f>
        <v>#NUM!</v>
      </c>
      <c r="AD247" s="54">
        <f t="shared" si="42"/>
        <v>0</v>
      </c>
      <c r="AE247" s="54">
        <f t="shared" si="43"/>
        <v>0</v>
      </c>
      <c r="AF247" s="54">
        <f t="shared" si="44"/>
        <v>2080</v>
      </c>
      <c r="AG247" s="54">
        <f t="shared" si="45"/>
        <v>10400</v>
      </c>
      <c r="AH247" s="54">
        <f t="shared" si="46"/>
        <v>0</v>
      </c>
      <c r="AI247" s="54">
        <f t="shared" si="47"/>
        <v>0</v>
      </c>
    </row>
    <row r="248" spans="1:35" ht="15" x14ac:dyDescent="0.2">
      <c r="A248" s="56" t="s">
        <v>343</v>
      </c>
      <c r="B248" s="32"/>
      <c r="C248" s="56">
        <v>0.151</v>
      </c>
      <c r="D248" s="56">
        <v>237.09</v>
      </c>
      <c r="E248" s="36"/>
      <c r="F248" s="40">
        <f t="shared" si="24"/>
        <v>0</v>
      </c>
      <c r="G248" s="40" t="e">
        <f>-PMT(Assumptions!B$25/12,Assumptions!B$24*12,F$8)*C248/100</f>
        <v>#NUM!</v>
      </c>
      <c r="H248" s="40" t="e">
        <f>G248*Assumptions!$B$24*12-F248</f>
        <v>#NUM!</v>
      </c>
      <c r="I248" s="48"/>
      <c r="J248" s="40">
        <f t="shared" si="25"/>
        <v>0</v>
      </c>
      <c r="K248" s="40" t="e">
        <f>-PMT(Assumptions!C$25/12,Assumptions!C$24*12,J$8)*C248/100</f>
        <v>#NUM!</v>
      </c>
      <c r="L248" s="40" t="e">
        <f>K248*Assumptions!$C$24*12-J248</f>
        <v>#NUM!</v>
      </c>
      <c r="M248" s="43"/>
      <c r="N248" s="40">
        <f t="shared" si="26"/>
        <v>1510</v>
      </c>
      <c r="O248" s="50">
        <f>-PMT(Assumptions!D$25/12,Assumptions!D$24*12,N$8)*C248/100</f>
        <v>16.015892801100357</v>
      </c>
      <c r="P248" s="44">
        <f>O248*Assumptions!$D$24*12-N248</f>
        <v>411.90713613204298</v>
      </c>
      <c r="Q248" s="48"/>
      <c r="R248" s="40">
        <f t="shared" si="27"/>
        <v>7550</v>
      </c>
      <c r="S248" s="40">
        <f>-PMT(Assumptions!E$25/12,Assumptions!E$24*12,$R$8)*$C248/100</f>
        <v>80.079464005501791</v>
      </c>
      <c r="T248" s="40">
        <f>S248*Assumptions!$E$24*12-R248</f>
        <v>2059.535680660214</v>
      </c>
      <c r="U248" s="48"/>
      <c r="V248" s="40">
        <f t="shared" si="28"/>
        <v>0</v>
      </c>
      <c r="W248" s="40" t="e">
        <f>-PMT(Assumptions!F$25/12,Assumptions!F$24*12,$V$8)*$C248/100</f>
        <v>#NUM!</v>
      </c>
      <c r="X248" s="40" t="e">
        <f>W248*Assumptions!$F$24*12-V248</f>
        <v>#NUM!</v>
      </c>
      <c r="Y248" s="43"/>
      <c r="Z248" s="40">
        <f t="shared" si="29"/>
        <v>0</v>
      </c>
      <c r="AA248" s="50" t="e">
        <f>-PMT(Assumptions!G$25/12,Assumptions!G$24*12,$Z$8)*$C248/100</f>
        <v>#NUM!</v>
      </c>
      <c r="AB248" s="44" t="e">
        <f>AA248*Assumptions!$G$24*12-Z248</f>
        <v>#NUM!</v>
      </c>
      <c r="AD248" s="54">
        <f t="shared" si="42"/>
        <v>0</v>
      </c>
      <c r="AE248" s="54">
        <f t="shared" si="43"/>
        <v>0</v>
      </c>
      <c r="AF248" s="54">
        <f t="shared" si="44"/>
        <v>1510</v>
      </c>
      <c r="AG248" s="54">
        <f t="shared" si="45"/>
        <v>7550</v>
      </c>
      <c r="AH248" s="54">
        <f t="shared" si="46"/>
        <v>0</v>
      </c>
      <c r="AI248" s="54">
        <f t="shared" si="47"/>
        <v>0</v>
      </c>
    </row>
    <row r="249" spans="1:35" ht="15" x14ac:dyDescent="0.2">
      <c r="A249" s="56" t="s">
        <v>344</v>
      </c>
      <c r="B249" s="32"/>
      <c r="C249" s="56">
        <v>0.16</v>
      </c>
      <c r="D249" s="56">
        <v>251.22</v>
      </c>
      <c r="E249" s="36"/>
      <c r="F249" s="40">
        <f t="shared" si="24"/>
        <v>0</v>
      </c>
      <c r="G249" s="40" t="e">
        <f>-PMT(Assumptions!B$25/12,Assumptions!B$24*12,F$8)*C249/100</f>
        <v>#NUM!</v>
      </c>
      <c r="H249" s="40" t="e">
        <f>G249*Assumptions!$B$24*12-F249</f>
        <v>#NUM!</v>
      </c>
      <c r="I249" s="48"/>
      <c r="J249" s="40">
        <f t="shared" si="25"/>
        <v>0</v>
      </c>
      <c r="K249" s="40" t="e">
        <f>-PMT(Assumptions!C$25/12,Assumptions!C$24*12,J$8)*C249/100</f>
        <v>#NUM!</v>
      </c>
      <c r="L249" s="40" t="e">
        <f>K249*Assumptions!$C$24*12-J249</f>
        <v>#NUM!</v>
      </c>
      <c r="M249" s="43"/>
      <c r="N249" s="40">
        <f t="shared" si="26"/>
        <v>1600</v>
      </c>
      <c r="O249" s="50">
        <f>-PMT(Assumptions!D$25/12,Assumptions!D$24*12,N$8)*C249/100</f>
        <v>16.970482438252038</v>
      </c>
      <c r="P249" s="44">
        <f>O249*Assumptions!$D$24*12-N249</f>
        <v>436.45789259024446</v>
      </c>
      <c r="Q249" s="48"/>
      <c r="R249" s="40">
        <f t="shared" si="27"/>
        <v>8000</v>
      </c>
      <c r="S249" s="40">
        <f>-PMT(Assumptions!E$25/12,Assumptions!E$24*12,$R$8)*$C249/100</f>
        <v>84.852412191260186</v>
      </c>
      <c r="T249" s="40">
        <f>S249*Assumptions!$E$24*12-R249</f>
        <v>2182.289462951223</v>
      </c>
      <c r="U249" s="48"/>
      <c r="V249" s="40">
        <f t="shared" si="28"/>
        <v>0</v>
      </c>
      <c r="W249" s="40" t="e">
        <f>-PMT(Assumptions!F$25/12,Assumptions!F$24*12,$V$8)*$C249/100</f>
        <v>#NUM!</v>
      </c>
      <c r="X249" s="40" t="e">
        <f>W249*Assumptions!$F$24*12-V249</f>
        <v>#NUM!</v>
      </c>
      <c r="Y249" s="43"/>
      <c r="Z249" s="40">
        <f t="shared" si="29"/>
        <v>0</v>
      </c>
      <c r="AA249" s="50" t="e">
        <f>-PMT(Assumptions!G$25/12,Assumptions!G$24*12,$Z$8)*$C249/100</f>
        <v>#NUM!</v>
      </c>
      <c r="AB249" s="44" t="e">
        <f>AA249*Assumptions!$G$24*12-Z249</f>
        <v>#NUM!</v>
      </c>
      <c r="AD249" s="54">
        <f t="shared" si="42"/>
        <v>0</v>
      </c>
      <c r="AE249" s="54">
        <f t="shared" si="43"/>
        <v>0</v>
      </c>
      <c r="AF249" s="54">
        <f t="shared" si="44"/>
        <v>1600</v>
      </c>
      <c r="AG249" s="54">
        <f t="shared" si="45"/>
        <v>8000</v>
      </c>
      <c r="AH249" s="54">
        <f t="shared" si="46"/>
        <v>0</v>
      </c>
      <c r="AI249" s="54">
        <f t="shared" si="47"/>
        <v>0</v>
      </c>
    </row>
    <row r="250" spans="1:35" ht="15" x14ac:dyDescent="0.2">
      <c r="A250" s="56" t="s">
        <v>345</v>
      </c>
      <c r="B250" s="32"/>
      <c r="C250" s="56">
        <v>0.151</v>
      </c>
      <c r="D250" s="56">
        <v>237.09</v>
      </c>
      <c r="E250" s="36"/>
      <c r="F250" s="40">
        <f t="shared" si="24"/>
        <v>0</v>
      </c>
      <c r="G250" s="40" t="e">
        <f>-PMT(Assumptions!B$25/12,Assumptions!B$24*12,F$8)*C250/100</f>
        <v>#NUM!</v>
      </c>
      <c r="H250" s="40" t="e">
        <f>G250*Assumptions!$B$24*12-F250</f>
        <v>#NUM!</v>
      </c>
      <c r="I250" s="48"/>
      <c r="J250" s="40">
        <f t="shared" si="25"/>
        <v>0</v>
      </c>
      <c r="K250" s="40" t="e">
        <f>-PMT(Assumptions!C$25/12,Assumptions!C$24*12,J$8)*C250/100</f>
        <v>#NUM!</v>
      </c>
      <c r="L250" s="40" t="e">
        <f>K250*Assumptions!$C$24*12-J250</f>
        <v>#NUM!</v>
      </c>
      <c r="M250" s="43"/>
      <c r="N250" s="40">
        <f t="shared" si="26"/>
        <v>1510</v>
      </c>
      <c r="O250" s="50">
        <f>-PMT(Assumptions!D$25/12,Assumptions!D$24*12,N$8)*C250/100</f>
        <v>16.015892801100357</v>
      </c>
      <c r="P250" s="44">
        <f>O250*Assumptions!$D$24*12-N250</f>
        <v>411.90713613204298</v>
      </c>
      <c r="Q250" s="48"/>
      <c r="R250" s="40">
        <f t="shared" si="27"/>
        <v>7550</v>
      </c>
      <c r="S250" s="40">
        <f>-PMT(Assumptions!E$25/12,Assumptions!E$24*12,$R$8)*$C250/100</f>
        <v>80.079464005501791</v>
      </c>
      <c r="T250" s="40">
        <f>S250*Assumptions!$E$24*12-R250</f>
        <v>2059.535680660214</v>
      </c>
      <c r="U250" s="48"/>
      <c r="V250" s="40">
        <f t="shared" si="28"/>
        <v>0</v>
      </c>
      <c r="W250" s="40" t="e">
        <f>-PMT(Assumptions!F$25/12,Assumptions!F$24*12,$V$8)*$C250/100</f>
        <v>#NUM!</v>
      </c>
      <c r="X250" s="40" t="e">
        <f>W250*Assumptions!$F$24*12-V250</f>
        <v>#NUM!</v>
      </c>
      <c r="Y250" s="43"/>
      <c r="Z250" s="40">
        <f t="shared" si="29"/>
        <v>0</v>
      </c>
      <c r="AA250" s="50" t="e">
        <f>-PMT(Assumptions!G$25/12,Assumptions!G$24*12,$Z$8)*$C250/100</f>
        <v>#NUM!</v>
      </c>
      <c r="AB250" s="44" t="e">
        <f>AA250*Assumptions!$G$24*12-Z250</f>
        <v>#NUM!</v>
      </c>
      <c r="AD250" s="54">
        <f t="shared" si="42"/>
        <v>0</v>
      </c>
      <c r="AE250" s="54">
        <f t="shared" si="43"/>
        <v>0</v>
      </c>
      <c r="AF250" s="54">
        <f t="shared" si="44"/>
        <v>1510</v>
      </c>
      <c r="AG250" s="54">
        <f t="shared" si="45"/>
        <v>7550</v>
      </c>
      <c r="AH250" s="54">
        <f t="shared" si="46"/>
        <v>0</v>
      </c>
      <c r="AI250" s="54">
        <f t="shared" si="47"/>
        <v>0</v>
      </c>
    </row>
    <row r="251" spans="1:35" ht="15" x14ac:dyDescent="0.2">
      <c r="A251" s="56" t="s">
        <v>346</v>
      </c>
      <c r="B251" s="32"/>
      <c r="C251" s="56">
        <v>0.16</v>
      </c>
      <c r="D251" s="56">
        <v>251.22</v>
      </c>
      <c r="E251" s="36"/>
      <c r="F251" s="40">
        <f t="shared" si="24"/>
        <v>0</v>
      </c>
      <c r="G251" s="40" t="e">
        <f>-PMT(Assumptions!B$25/12,Assumptions!B$24*12,F$8)*C251/100</f>
        <v>#NUM!</v>
      </c>
      <c r="H251" s="40" t="e">
        <f>G251*Assumptions!$B$24*12-F251</f>
        <v>#NUM!</v>
      </c>
      <c r="I251" s="48"/>
      <c r="J251" s="40">
        <f t="shared" si="25"/>
        <v>0</v>
      </c>
      <c r="K251" s="40" t="e">
        <f>-PMT(Assumptions!C$25/12,Assumptions!C$24*12,J$8)*C251/100</f>
        <v>#NUM!</v>
      </c>
      <c r="L251" s="40" t="e">
        <f>K251*Assumptions!$C$24*12-J251</f>
        <v>#NUM!</v>
      </c>
      <c r="M251" s="43"/>
      <c r="N251" s="40">
        <f t="shared" si="26"/>
        <v>1600</v>
      </c>
      <c r="O251" s="50">
        <f>-PMT(Assumptions!D$25/12,Assumptions!D$24*12,N$8)*C251/100</f>
        <v>16.970482438252038</v>
      </c>
      <c r="P251" s="44">
        <f>O251*Assumptions!$D$24*12-N251</f>
        <v>436.45789259024446</v>
      </c>
      <c r="Q251" s="48"/>
      <c r="R251" s="40">
        <f t="shared" si="27"/>
        <v>8000</v>
      </c>
      <c r="S251" s="40">
        <f>-PMT(Assumptions!E$25/12,Assumptions!E$24*12,$R$8)*$C251/100</f>
        <v>84.852412191260186</v>
      </c>
      <c r="T251" s="40">
        <f>S251*Assumptions!$E$24*12-R251</f>
        <v>2182.289462951223</v>
      </c>
      <c r="U251" s="48"/>
      <c r="V251" s="40">
        <f t="shared" si="28"/>
        <v>0</v>
      </c>
      <c r="W251" s="40" t="e">
        <f>-PMT(Assumptions!F$25/12,Assumptions!F$24*12,$V$8)*$C251/100</f>
        <v>#NUM!</v>
      </c>
      <c r="X251" s="40" t="e">
        <f>W251*Assumptions!$F$24*12-V251</f>
        <v>#NUM!</v>
      </c>
      <c r="Y251" s="43"/>
      <c r="Z251" s="40">
        <f t="shared" si="29"/>
        <v>0</v>
      </c>
      <c r="AA251" s="50" t="e">
        <f>-PMT(Assumptions!G$25/12,Assumptions!G$24*12,$Z$8)*$C251/100</f>
        <v>#NUM!</v>
      </c>
      <c r="AB251" s="44" t="e">
        <f>AA251*Assumptions!$G$24*12-Z251</f>
        <v>#NUM!</v>
      </c>
      <c r="AD251" s="54">
        <f t="shared" si="42"/>
        <v>0</v>
      </c>
      <c r="AE251" s="54">
        <f t="shared" si="43"/>
        <v>0</v>
      </c>
      <c r="AF251" s="54">
        <f t="shared" si="44"/>
        <v>1600</v>
      </c>
      <c r="AG251" s="54">
        <f t="shared" si="45"/>
        <v>8000</v>
      </c>
      <c r="AH251" s="54">
        <f t="shared" si="46"/>
        <v>0</v>
      </c>
      <c r="AI251" s="54">
        <f t="shared" si="47"/>
        <v>0</v>
      </c>
    </row>
    <row r="252" spans="1:35" ht="15" x14ac:dyDescent="0.2">
      <c r="A252" s="56" t="s">
        <v>347</v>
      </c>
      <c r="B252" s="32"/>
      <c r="C252" s="56">
        <v>0.22700000000000001</v>
      </c>
      <c r="D252" s="56">
        <v>356.41</v>
      </c>
      <c r="E252" s="36"/>
      <c r="F252" s="40">
        <f t="shared" si="24"/>
        <v>0</v>
      </c>
      <c r="G252" s="40" t="e">
        <f>-PMT(Assumptions!B$25/12,Assumptions!B$24*12,F$8)*C252/100</f>
        <v>#NUM!</v>
      </c>
      <c r="H252" s="40" t="e">
        <f>G252*Assumptions!$B$24*12-F252</f>
        <v>#NUM!</v>
      </c>
      <c r="I252" s="48"/>
      <c r="J252" s="40">
        <f t="shared" si="25"/>
        <v>0</v>
      </c>
      <c r="K252" s="40" t="e">
        <f>-PMT(Assumptions!C$25/12,Assumptions!C$24*12,J$8)*C252/100</f>
        <v>#NUM!</v>
      </c>
      <c r="L252" s="40" t="e">
        <f>K252*Assumptions!$C$24*12-J252</f>
        <v>#NUM!</v>
      </c>
      <c r="M252" s="43"/>
      <c r="N252" s="40">
        <f t="shared" si="26"/>
        <v>2270</v>
      </c>
      <c r="O252" s="50">
        <f>-PMT(Assumptions!D$25/12,Assumptions!D$24*12,N$8)*C252/100</f>
        <v>24.076871959270079</v>
      </c>
      <c r="P252" s="44">
        <f>O252*Assumptions!$D$24*12-N252</f>
        <v>619.22463511240949</v>
      </c>
      <c r="Q252" s="48"/>
      <c r="R252" s="40">
        <f t="shared" si="27"/>
        <v>11350</v>
      </c>
      <c r="S252" s="40">
        <f>-PMT(Assumptions!E$25/12,Assumptions!E$24*12,$R$8)*$C252/100</f>
        <v>120.3843597963504</v>
      </c>
      <c r="T252" s="40">
        <f>S252*Assumptions!$E$24*12-R252</f>
        <v>3096.1231755620465</v>
      </c>
      <c r="U252" s="48"/>
      <c r="V252" s="40">
        <f t="shared" si="28"/>
        <v>0</v>
      </c>
      <c r="W252" s="40" t="e">
        <f>-PMT(Assumptions!F$25/12,Assumptions!F$24*12,$V$8)*$C252/100</f>
        <v>#NUM!</v>
      </c>
      <c r="X252" s="40" t="e">
        <f>W252*Assumptions!$F$24*12-V252</f>
        <v>#NUM!</v>
      </c>
      <c r="Y252" s="43"/>
      <c r="Z252" s="40">
        <f t="shared" si="29"/>
        <v>0</v>
      </c>
      <c r="AA252" s="50" t="e">
        <f>-PMT(Assumptions!G$25/12,Assumptions!G$24*12,$Z$8)*$C252/100</f>
        <v>#NUM!</v>
      </c>
      <c r="AB252" s="44" t="e">
        <f>AA252*Assumptions!$G$24*12-Z252</f>
        <v>#NUM!</v>
      </c>
      <c r="AD252" s="54">
        <f t="shared" si="42"/>
        <v>0</v>
      </c>
      <c r="AE252" s="54">
        <f t="shared" si="43"/>
        <v>0</v>
      </c>
      <c r="AF252" s="54">
        <f t="shared" si="44"/>
        <v>2270</v>
      </c>
      <c r="AG252" s="54">
        <f t="shared" si="45"/>
        <v>11350</v>
      </c>
      <c r="AH252" s="54">
        <f t="shared" si="46"/>
        <v>0</v>
      </c>
      <c r="AI252" s="54">
        <f t="shared" si="47"/>
        <v>0</v>
      </c>
    </row>
    <row r="253" spans="1:35" ht="15" x14ac:dyDescent="0.2">
      <c r="A253" s="56" t="s">
        <v>348</v>
      </c>
      <c r="B253" s="32"/>
      <c r="C253" s="56">
        <v>0.23599999999999999</v>
      </c>
      <c r="D253" s="56">
        <v>370.54</v>
      </c>
      <c r="E253" s="36"/>
      <c r="F253" s="40">
        <f t="shared" si="24"/>
        <v>0</v>
      </c>
      <c r="G253" s="40" t="e">
        <f>-PMT(Assumptions!B$25/12,Assumptions!B$24*12,F$8)*C253/100</f>
        <v>#NUM!</v>
      </c>
      <c r="H253" s="40" t="e">
        <f>G253*Assumptions!$B$24*12-F253</f>
        <v>#NUM!</v>
      </c>
      <c r="I253" s="48"/>
      <c r="J253" s="40">
        <f t="shared" si="25"/>
        <v>0</v>
      </c>
      <c r="K253" s="40" t="e">
        <f>-PMT(Assumptions!C$25/12,Assumptions!C$24*12,J$8)*C253/100</f>
        <v>#NUM!</v>
      </c>
      <c r="L253" s="40" t="e">
        <f>K253*Assumptions!$C$24*12-J253</f>
        <v>#NUM!</v>
      </c>
      <c r="M253" s="43"/>
      <c r="N253" s="40">
        <f t="shared" si="26"/>
        <v>2360</v>
      </c>
      <c r="O253" s="50">
        <f>-PMT(Assumptions!D$25/12,Assumptions!D$24*12,N$8)*C253/100</f>
        <v>25.031461596421753</v>
      </c>
      <c r="P253" s="44">
        <f>O253*Assumptions!$D$24*12-N253</f>
        <v>643.77539157061028</v>
      </c>
      <c r="Q253" s="48"/>
      <c r="R253" s="40">
        <f t="shared" si="27"/>
        <v>11800</v>
      </c>
      <c r="S253" s="40">
        <f>-PMT(Assumptions!E$25/12,Assumptions!E$24*12,$R$8)*$C253/100</f>
        <v>125.15730798210878</v>
      </c>
      <c r="T253" s="40">
        <f>S253*Assumptions!$E$24*12-R253</f>
        <v>3218.8769578530519</v>
      </c>
      <c r="U253" s="48"/>
      <c r="V253" s="40">
        <f t="shared" si="28"/>
        <v>0</v>
      </c>
      <c r="W253" s="40" t="e">
        <f>-PMT(Assumptions!F$25/12,Assumptions!F$24*12,$V$8)*$C253/100</f>
        <v>#NUM!</v>
      </c>
      <c r="X253" s="40" t="e">
        <f>W253*Assumptions!$F$24*12-V253</f>
        <v>#NUM!</v>
      </c>
      <c r="Y253" s="43"/>
      <c r="Z253" s="40">
        <f t="shared" si="29"/>
        <v>0</v>
      </c>
      <c r="AA253" s="50" t="e">
        <f>-PMT(Assumptions!G$25/12,Assumptions!G$24*12,$Z$8)*$C253/100</f>
        <v>#NUM!</v>
      </c>
      <c r="AB253" s="44" t="e">
        <f>AA253*Assumptions!$G$24*12-Z253</f>
        <v>#NUM!</v>
      </c>
      <c r="AD253" s="54">
        <f t="shared" si="42"/>
        <v>0</v>
      </c>
      <c r="AE253" s="54">
        <f t="shared" si="43"/>
        <v>0</v>
      </c>
      <c r="AF253" s="54">
        <f t="shared" si="44"/>
        <v>2360</v>
      </c>
      <c r="AG253" s="54">
        <f t="shared" si="45"/>
        <v>11800</v>
      </c>
      <c r="AH253" s="54">
        <f t="shared" si="46"/>
        <v>0</v>
      </c>
      <c r="AI253" s="54">
        <f t="shared" si="47"/>
        <v>0</v>
      </c>
    </row>
    <row r="254" spans="1:35" ht="15" x14ac:dyDescent="0.2">
      <c r="A254" s="56" t="s">
        <v>349</v>
      </c>
      <c r="B254" s="32"/>
      <c r="C254" s="56">
        <v>0.20200000000000001</v>
      </c>
      <c r="D254" s="56">
        <v>317.16000000000003</v>
      </c>
      <c r="E254" s="36"/>
      <c r="F254" s="40">
        <f t="shared" si="24"/>
        <v>0</v>
      </c>
      <c r="G254" s="40" t="e">
        <f>-PMT(Assumptions!B$25/12,Assumptions!B$24*12,F$8)*C254/100</f>
        <v>#NUM!</v>
      </c>
      <c r="H254" s="40" t="e">
        <f>G254*Assumptions!$B$24*12-F254</f>
        <v>#NUM!</v>
      </c>
      <c r="I254" s="48"/>
      <c r="J254" s="40">
        <f t="shared" si="25"/>
        <v>0</v>
      </c>
      <c r="K254" s="40" t="e">
        <f>-PMT(Assumptions!C$25/12,Assumptions!C$24*12,J$8)*C254/100</f>
        <v>#NUM!</v>
      </c>
      <c r="L254" s="40" t="e">
        <f>K254*Assumptions!$C$24*12-J254</f>
        <v>#NUM!</v>
      </c>
      <c r="M254" s="43"/>
      <c r="N254" s="40">
        <f t="shared" si="26"/>
        <v>2020</v>
      </c>
      <c r="O254" s="50">
        <f>-PMT(Assumptions!D$25/12,Assumptions!D$24*12,N$8)*C254/100</f>
        <v>21.425234078293197</v>
      </c>
      <c r="P254" s="44">
        <f>O254*Assumptions!$D$24*12-N254</f>
        <v>551.028089395184</v>
      </c>
      <c r="Q254" s="48"/>
      <c r="R254" s="40">
        <f t="shared" si="27"/>
        <v>10100.000000000002</v>
      </c>
      <c r="S254" s="40">
        <f>-PMT(Assumptions!E$25/12,Assumptions!E$24*12,$R$8)*$C254/100</f>
        <v>107.12617039146599</v>
      </c>
      <c r="T254" s="40">
        <f>S254*Assumptions!$E$24*12-R254</f>
        <v>2755.1404469759163</v>
      </c>
      <c r="U254" s="48"/>
      <c r="V254" s="40">
        <f t="shared" si="28"/>
        <v>0</v>
      </c>
      <c r="W254" s="40" t="e">
        <f>-PMT(Assumptions!F$25/12,Assumptions!F$24*12,$V$8)*$C254/100</f>
        <v>#NUM!</v>
      </c>
      <c r="X254" s="40" t="e">
        <f>W254*Assumptions!$F$24*12-V254</f>
        <v>#NUM!</v>
      </c>
      <c r="Y254" s="43"/>
      <c r="Z254" s="40">
        <f t="shared" si="29"/>
        <v>0</v>
      </c>
      <c r="AA254" s="50" t="e">
        <f>-PMT(Assumptions!G$25/12,Assumptions!G$24*12,$Z$8)*$C254/100</f>
        <v>#NUM!</v>
      </c>
      <c r="AB254" s="44" t="e">
        <f>AA254*Assumptions!$G$24*12-Z254</f>
        <v>#NUM!</v>
      </c>
      <c r="AD254" s="54">
        <f t="shared" si="42"/>
        <v>0</v>
      </c>
      <c r="AE254" s="54">
        <f t="shared" si="43"/>
        <v>0</v>
      </c>
      <c r="AF254" s="54">
        <f t="shared" si="44"/>
        <v>2020</v>
      </c>
      <c r="AG254" s="54">
        <f t="shared" si="45"/>
        <v>10100.000000000002</v>
      </c>
      <c r="AH254" s="54">
        <f t="shared" si="46"/>
        <v>0</v>
      </c>
      <c r="AI254" s="54">
        <f t="shared" si="47"/>
        <v>0</v>
      </c>
    </row>
    <row r="255" spans="1:35" ht="15" x14ac:dyDescent="0.2">
      <c r="A255" s="56" t="s">
        <v>350</v>
      </c>
      <c r="B255" s="32"/>
      <c r="C255" s="56">
        <v>0.28000000000000003</v>
      </c>
      <c r="D255" s="56">
        <v>439.63</v>
      </c>
      <c r="E255" s="36"/>
      <c r="F255" s="40">
        <f t="shared" si="24"/>
        <v>0</v>
      </c>
      <c r="G255" s="40" t="e">
        <f>-PMT(Assumptions!B$25/12,Assumptions!B$24*12,F$8)*C255/100</f>
        <v>#NUM!</v>
      </c>
      <c r="H255" s="40" t="e">
        <f>G255*Assumptions!$B$24*12-F255</f>
        <v>#NUM!</v>
      </c>
      <c r="I255" s="48"/>
      <c r="J255" s="40">
        <f t="shared" si="25"/>
        <v>0</v>
      </c>
      <c r="K255" s="40" t="e">
        <f>-PMT(Assumptions!C$25/12,Assumptions!C$24*12,J$8)*C255/100</f>
        <v>#NUM!</v>
      </c>
      <c r="L255" s="40" t="e">
        <f>K255*Assumptions!$C$24*12-J255</f>
        <v>#NUM!</v>
      </c>
      <c r="M255" s="43"/>
      <c r="N255" s="40">
        <f t="shared" si="26"/>
        <v>2800</v>
      </c>
      <c r="O255" s="50">
        <f>-PMT(Assumptions!D$25/12,Assumptions!D$24*12,N$8)*C255/100</f>
        <v>29.698344266941067</v>
      </c>
      <c r="P255" s="44">
        <f>O255*Assumptions!$D$24*12-N255</f>
        <v>763.80131203292831</v>
      </c>
      <c r="Q255" s="48"/>
      <c r="R255" s="40">
        <f t="shared" si="27"/>
        <v>14000.000000000002</v>
      </c>
      <c r="S255" s="40">
        <f>-PMT(Assumptions!E$25/12,Assumptions!E$24*12,$R$8)*$C255/100</f>
        <v>148.49172133470535</v>
      </c>
      <c r="T255" s="40">
        <f>S255*Assumptions!$E$24*12-R255</f>
        <v>3819.0065601646402</v>
      </c>
      <c r="U255" s="48"/>
      <c r="V255" s="40">
        <f t="shared" si="28"/>
        <v>0</v>
      </c>
      <c r="W255" s="40" t="e">
        <f>-PMT(Assumptions!F$25/12,Assumptions!F$24*12,$V$8)*$C255/100</f>
        <v>#NUM!</v>
      </c>
      <c r="X255" s="40" t="e">
        <f>W255*Assumptions!$F$24*12-V255</f>
        <v>#NUM!</v>
      </c>
      <c r="Y255" s="43"/>
      <c r="Z255" s="40">
        <f t="shared" si="29"/>
        <v>0</v>
      </c>
      <c r="AA255" s="50" t="e">
        <f>-PMT(Assumptions!G$25/12,Assumptions!G$24*12,$Z$8)*$C255/100</f>
        <v>#NUM!</v>
      </c>
      <c r="AB255" s="44" t="e">
        <f>AA255*Assumptions!$G$24*12-Z255</f>
        <v>#NUM!</v>
      </c>
      <c r="AD255" s="54">
        <f t="shared" si="42"/>
        <v>0</v>
      </c>
      <c r="AE255" s="54">
        <f t="shared" si="43"/>
        <v>0</v>
      </c>
      <c r="AF255" s="54">
        <f t="shared" si="44"/>
        <v>2800</v>
      </c>
      <c r="AG255" s="54">
        <f t="shared" si="45"/>
        <v>14000.000000000002</v>
      </c>
      <c r="AH255" s="54">
        <f t="shared" si="46"/>
        <v>0</v>
      </c>
      <c r="AI255" s="54">
        <f t="shared" si="47"/>
        <v>0</v>
      </c>
    </row>
    <row r="256" spans="1:35" ht="15" x14ac:dyDescent="0.2">
      <c r="A256" s="56" t="s">
        <v>351</v>
      </c>
      <c r="B256" s="32"/>
      <c r="C256" s="56">
        <v>0.28000000000000003</v>
      </c>
      <c r="D256" s="56">
        <v>439.63</v>
      </c>
      <c r="E256" s="36"/>
      <c r="F256" s="40">
        <f t="shared" si="24"/>
        <v>0</v>
      </c>
      <c r="G256" s="40" t="e">
        <f>-PMT(Assumptions!B$25/12,Assumptions!B$24*12,F$8)*C256/100</f>
        <v>#NUM!</v>
      </c>
      <c r="H256" s="40" t="e">
        <f>G256*Assumptions!$B$24*12-F256</f>
        <v>#NUM!</v>
      </c>
      <c r="I256" s="48"/>
      <c r="J256" s="40">
        <f t="shared" si="25"/>
        <v>0</v>
      </c>
      <c r="K256" s="40" t="e">
        <f>-PMT(Assumptions!C$25/12,Assumptions!C$24*12,J$8)*C256/100</f>
        <v>#NUM!</v>
      </c>
      <c r="L256" s="40" t="e">
        <f>K256*Assumptions!$C$24*12-J256</f>
        <v>#NUM!</v>
      </c>
      <c r="M256" s="43"/>
      <c r="N256" s="40">
        <f t="shared" si="26"/>
        <v>2800</v>
      </c>
      <c r="O256" s="50">
        <f>-PMT(Assumptions!D$25/12,Assumptions!D$24*12,N$8)*C256/100</f>
        <v>29.698344266941067</v>
      </c>
      <c r="P256" s="44">
        <f>O256*Assumptions!$D$24*12-N256</f>
        <v>763.80131203292831</v>
      </c>
      <c r="Q256" s="48"/>
      <c r="R256" s="40">
        <f t="shared" si="27"/>
        <v>14000.000000000002</v>
      </c>
      <c r="S256" s="40">
        <f>-PMT(Assumptions!E$25/12,Assumptions!E$24*12,$R$8)*$C256/100</f>
        <v>148.49172133470535</v>
      </c>
      <c r="T256" s="40">
        <f>S256*Assumptions!$E$24*12-R256</f>
        <v>3819.0065601646402</v>
      </c>
      <c r="U256" s="48"/>
      <c r="V256" s="40">
        <f t="shared" si="28"/>
        <v>0</v>
      </c>
      <c r="W256" s="40" t="e">
        <f>-PMT(Assumptions!F$25/12,Assumptions!F$24*12,$V$8)*$C256/100</f>
        <v>#NUM!</v>
      </c>
      <c r="X256" s="40" t="e">
        <f>W256*Assumptions!$F$24*12-V256</f>
        <v>#NUM!</v>
      </c>
      <c r="Y256" s="43"/>
      <c r="Z256" s="40">
        <f t="shared" si="29"/>
        <v>0</v>
      </c>
      <c r="AA256" s="50" t="e">
        <f>-PMT(Assumptions!G$25/12,Assumptions!G$24*12,$Z$8)*$C256/100</f>
        <v>#NUM!</v>
      </c>
      <c r="AB256" s="44" t="e">
        <f>AA256*Assumptions!$G$24*12-Z256</f>
        <v>#NUM!</v>
      </c>
      <c r="AD256" s="54">
        <f t="shared" si="42"/>
        <v>0</v>
      </c>
      <c r="AE256" s="54">
        <f t="shared" si="43"/>
        <v>0</v>
      </c>
      <c r="AF256" s="54">
        <f t="shared" si="44"/>
        <v>2800</v>
      </c>
      <c r="AG256" s="54">
        <f t="shared" si="45"/>
        <v>14000.000000000002</v>
      </c>
      <c r="AH256" s="54">
        <f t="shared" si="46"/>
        <v>0</v>
      </c>
      <c r="AI256" s="54">
        <f t="shared" si="47"/>
        <v>0</v>
      </c>
    </row>
    <row r="257" spans="1:35" ht="15" x14ac:dyDescent="0.2">
      <c r="A257" s="56" t="s">
        <v>352</v>
      </c>
      <c r="B257" s="32"/>
      <c r="C257" s="56">
        <v>0.28000000000000003</v>
      </c>
      <c r="D257" s="56">
        <v>439.63</v>
      </c>
      <c r="E257" s="36"/>
      <c r="F257" s="40">
        <f t="shared" si="24"/>
        <v>0</v>
      </c>
      <c r="G257" s="40" t="e">
        <f>-PMT(Assumptions!B$25/12,Assumptions!B$24*12,F$8)*C257/100</f>
        <v>#NUM!</v>
      </c>
      <c r="H257" s="40" t="e">
        <f>G257*Assumptions!$B$24*12-F257</f>
        <v>#NUM!</v>
      </c>
      <c r="I257" s="48"/>
      <c r="J257" s="40">
        <f t="shared" si="25"/>
        <v>0</v>
      </c>
      <c r="K257" s="40" t="e">
        <f>-PMT(Assumptions!C$25/12,Assumptions!C$24*12,J$8)*C257/100</f>
        <v>#NUM!</v>
      </c>
      <c r="L257" s="40" t="e">
        <f>K257*Assumptions!$C$24*12-J257</f>
        <v>#NUM!</v>
      </c>
      <c r="M257" s="43"/>
      <c r="N257" s="40">
        <f t="shared" si="26"/>
        <v>2800</v>
      </c>
      <c r="O257" s="50">
        <f>-PMT(Assumptions!D$25/12,Assumptions!D$24*12,N$8)*C257/100</f>
        <v>29.698344266941067</v>
      </c>
      <c r="P257" s="44">
        <f>O257*Assumptions!$D$24*12-N257</f>
        <v>763.80131203292831</v>
      </c>
      <c r="Q257" s="48"/>
      <c r="R257" s="40">
        <f t="shared" si="27"/>
        <v>14000.000000000002</v>
      </c>
      <c r="S257" s="40">
        <f>-PMT(Assumptions!E$25/12,Assumptions!E$24*12,$R$8)*$C257/100</f>
        <v>148.49172133470535</v>
      </c>
      <c r="T257" s="40">
        <f>S257*Assumptions!$E$24*12-R257</f>
        <v>3819.0065601646402</v>
      </c>
      <c r="U257" s="48"/>
      <c r="V257" s="40">
        <f t="shared" si="28"/>
        <v>0</v>
      </c>
      <c r="W257" s="40" t="e">
        <f>-PMT(Assumptions!F$25/12,Assumptions!F$24*12,$V$8)*$C257/100</f>
        <v>#NUM!</v>
      </c>
      <c r="X257" s="40" t="e">
        <f>W257*Assumptions!$F$24*12-V257</f>
        <v>#NUM!</v>
      </c>
      <c r="Y257" s="43"/>
      <c r="Z257" s="40">
        <f t="shared" si="29"/>
        <v>0</v>
      </c>
      <c r="AA257" s="50" t="e">
        <f>-PMT(Assumptions!G$25/12,Assumptions!G$24*12,$Z$8)*$C257/100</f>
        <v>#NUM!</v>
      </c>
      <c r="AB257" s="44" t="e">
        <f>AA257*Assumptions!$G$24*12-Z257</f>
        <v>#NUM!</v>
      </c>
      <c r="AD257" s="54">
        <f t="shared" si="42"/>
        <v>0</v>
      </c>
      <c r="AE257" s="54">
        <f t="shared" si="43"/>
        <v>0</v>
      </c>
      <c r="AF257" s="54">
        <f t="shared" si="44"/>
        <v>2800</v>
      </c>
      <c r="AG257" s="54">
        <f t="shared" si="45"/>
        <v>14000.000000000002</v>
      </c>
      <c r="AH257" s="54">
        <f t="shared" si="46"/>
        <v>0</v>
      </c>
      <c r="AI257" s="54">
        <f t="shared" si="47"/>
        <v>0</v>
      </c>
    </row>
    <row r="258" spans="1:35" ht="15" x14ac:dyDescent="0.2">
      <c r="A258" s="56" t="s">
        <v>353</v>
      </c>
      <c r="B258" s="32"/>
      <c r="C258" s="56">
        <v>0.28000000000000003</v>
      </c>
      <c r="D258" s="56">
        <v>439.63</v>
      </c>
      <c r="E258" s="36"/>
      <c r="F258" s="40">
        <f t="shared" si="24"/>
        <v>0</v>
      </c>
      <c r="G258" s="40" t="e">
        <f>-PMT(Assumptions!B$25/12,Assumptions!B$24*12,F$8)*C258/100</f>
        <v>#NUM!</v>
      </c>
      <c r="H258" s="40" t="e">
        <f>G258*Assumptions!$B$24*12-F258</f>
        <v>#NUM!</v>
      </c>
      <c r="I258" s="48"/>
      <c r="J258" s="40">
        <f t="shared" si="25"/>
        <v>0</v>
      </c>
      <c r="K258" s="40" t="e">
        <f>-PMT(Assumptions!C$25/12,Assumptions!C$24*12,J$8)*C258/100</f>
        <v>#NUM!</v>
      </c>
      <c r="L258" s="40" t="e">
        <f>K258*Assumptions!$C$24*12-J258</f>
        <v>#NUM!</v>
      </c>
      <c r="M258" s="43"/>
      <c r="N258" s="40">
        <f t="shared" si="26"/>
        <v>2800</v>
      </c>
      <c r="O258" s="50">
        <f>-PMT(Assumptions!D$25/12,Assumptions!D$24*12,N$8)*C258/100</f>
        <v>29.698344266941067</v>
      </c>
      <c r="P258" s="44">
        <f>O258*Assumptions!$D$24*12-N258</f>
        <v>763.80131203292831</v>
      </c>
      <c r="Q258" s="48"/>
      <c r="R258" s="40">
        <f t="shared" si="27"/>
        <v>14000.000000000002</v>
      </c>
      <c r="S258" s="40">
        <f>-PMT(Assumptions!E$25/12,Assumptions!E$24*12,$R$8)*$C258/100</f>
        <v>148.49172133470535</v>
      </c>
      <c r="T258" s="40">
        <f>S258*Assumptions!$E$24*12-R258</f>
        <v>3819.0065601646402</v>
      </c>
      <c r="U258" s="48"/>
      <c r="V258" s="40">
        <f t="shared" si="28"/>
        <v>0</v>
      </c>
      <c r="W258" s="40" t="e">
        <f>-PMT(Assumptions!F$25/12,Assumptions!F$24*12,$V$8)*$C258/100</f>
        <v>#NUM!</v>
      </c>
      <c r="X258" s="40" t="e">
        <f>W258*Assumptions!$F$24*12-V258</f>
        <v>#NUM!</v>
      </c>
      <c r="Y258" s="43"/>
      <c r="Z258" s="40">
        <f t="shared" si="29"/>
        <v>0</v>
      </c>
      <c r="AA258" s="50" t="e">
        <f>-PMT(Assumptions!G$25/12,Assumptions!G$24*12,$Z$8)*$C258/100</f>
        <v>#NUM!</v>
      </c>
      <c r="AB258" s="44" t="e">
        <f>AA258*Assumptions!$G$24*12-Z258</f>
        <v>#NUM!</v>
      </c>
      <c r="AD258" s="54">
        <f t="shared" si="42"/>
        <v>0</v>
      </c>
      <c r="AE258" s="54">
        <f t="shared" si="43"/>
        <v>0</v>
      </c>
      <c r="AF258" s="54">
        <f t="shared" si="44"/>
        <v>2800</v>
      </c>
      <c r="AG258" s="54">
        <f t="shared" si="45"/>
        <v>14000.000000000002</v>
      </c>
      <c r="AH258" s="54">
        <f t="shared" si="46"/>
        <v>0</v>
      </c>
      <c r="AI258" s="54">
        <f t="shared" si="47"/>
        <v>0</v>
      </c>
    </row>
    <row r="259" spans="1:35" ht="15" x14ac:dyDescent="0.2">
      <c r="A259" s="56" t="s">
        <v>354</v>
      </c>
      <c r="B259" s="32"/>
      <c r="C259" s="56">
        <v>0.19800000000000001</v>
      </c>
      <c r="D259" s="56">
        <v>310.88</v>
      </c>
      <c r="E259" s="36"/>
      <c r="F259" s="40">
        <f t="shared" si="24"/>
        <v>0</v>
      </c>
      <c r="G259" s="40" t="e">
        <f>-PMT(Assumptions!B$25/12,Assumptions!B$24*12,F$8)*C259/100</f>
        <v>#NUM!</v>
      </c>
      <c r="H259" s="40" t="e">
        <f>G259*Assumptions!$B$24*12-F259</f>
        <v>#NUM!</v>
      </c>
      <c r="I259" s="48"/>
      <c r="J259" s="40">
        <f t="shared" si="25"/>
        <v>0</v>
      </c>
      <c r="K259" s="40" t="e">
        <f>-PMT(Assumptions!C$25/12,Assumptions!C$24*12,J$8)*C259/100</f>
        <v>#NUM!</v>
      </c>
      <c r="L259" s="40" t="e">
        <f>K259*Assumptions!$C$24*12-J259</f>
        <v>#NUM!</v>
      </c>
      <c r="M259" s="43"/>
      <c r="N259" s="40">
        <f t="shared" si="26"/>
        <v>1980</v>
      </c>
      <c r="O259" s="50">
        <f>-PMT(Assumptions!D$25/12,Assumptions!D$24*12,N$8)*C259/100</f>
        <v>21.000972017336899</v>
      </c>
      <c r="P259" s="44">
        <f>O259*Assumptions!$D$24*12-N259</f>
        <v>540.11664208042748</v>
      </c>
      <c r="Q259" s="48"/>
      <c r="R259" s="40">
        <f t="shared" si="27"/>
        <v>9900</v>
      </c>
      <c r="S259" s="40">
        <f>-PMT(Assumptions!E$25/12,Assumptions!E$24*12,$R$8)*$C259/100</f>
        <v>105.00486008668449</v>
      </c>
      <c r="T259" s="40">
        <f>S259*Assumptions!$E$24*12-R259</f>
        <v>2700.5832104021392</v>
      </c>
      <c r="U259" s="48"/>
      <c r="V259" s="40">
        <f t="shared" si="28"/>
        <v>0</v>
      </c>
      <c r="W259" s="40" t="e">
        <f>-PMT(Assumptions!F$25/12,Assumptions!F$24*12,$V$8)*$C259/100</f>
        <v>#NUM!</v>
      </c>
      <c r="X259" s="40" t="e">
        <f>W259*Assumptions!$F$24*12-V259</f>
        <v>#NUM!</v>
      </c>
      <c r="Y259" s="43"/>
      <c r="Z259" s="40">
        <f t="shared" si="29"/>
        <v>0</v>
      </c>
      <c r="AA259" s="50" t="e">
        <f>-PMT(Assumptions!G$25/12,Assumptions!G$24*12,$Z$8)*$C259/100</f>
        <v>#NUM!</v>
      </c>
      <c r="AB259" s="44" t="e">
        <f>AA259*Assumptions!$G$24*12-Z259</f>
        <v>#NUM!</v>
      </c>
      <c r="AD259" s="54">
        <f t="shared" si="42"/>
        <v>0</v>
      </c>
      <c r="AE259" s="54">
        <f t="shared" si="43"/>
        <v>0</v>
      </c>
      <c r="AF259" s="54">
        <f t="shared" si="44"/>
        <v>1980</v>
      </c>
      <c r="AG259" s="54">
        <f t="shared" si="45"/>
        <v>9900</v>
      </c>
      <c r="AH259" s="54">
        <f t="shared" si="46"/>
        <v>0</v>
      </c>
      <c r="AI259" s="54">
        <f t="shared" si="47"/>
        <v>0</v>
      </c>
    </row>
    <row r="260" spans="1:35" ht="15" x14ac:dyDescent="0.2">
      <c r="A260" s="56" t="s">
        <v>355</v>
      </c>
      <c r="B260" s="32"/>
      <c r="C260" s="56">
        <v>0.19800000000000001</v>
      </c>
      <c r="D260" s="56">
        <v>310.88</v>
      </c>
      <c r="E260" s="36"/>
      <c r="F260" s="40">
        <f t="shared" si="24"/>
        <v>0</v>
      </c>
      <c r="G260" s="40" t="e">
        <f>-PMT(Assumptions!B$25/12,Assumptions!B$24*12,F$8)*C260/100</f>
        <v>#NUM!</v>
      </c>
      <c r="H260" s="40" t="e">
        <f>G260*Assumptions!$B$24*12-F260</f>
        <v>#NUM!</v>
      </c>
      <c r="I260" s="48"/>
      <c r="J260" s="40">
        <f t="shared" si="25"/>
        <v>0</v>
      </c>
      <c r="K260" s="40" t="e">
        <f>-PMT(Assumptions!C$25/12,Assumptions!C$24*12,J$8)*C260/100</f>
        <v>#NUM!</v>
      </c>
      <c r="L260" s="40" t="e">
        <f>K260*Assumptions!$C$24*12-J260</f>
        <v>#NUM!</v>
      </c>
      <c r="M260" s="43"/>
      <c r="N260" s="40">
        <f t="shared" si="26"/>
        <v>1980</v>
      </c>
      <c r="O260" s="50">
        <f>-PMT(Assumptions!D$25/12,Assumptions!D$24*12,N$8)*C260/100</f>
        <v>21.000972017336899</v>
      </c>
      <c r="P260" s="44">
        <f>O260*Assumptions!$D$24*12-N260</f>
        <v>540.11664208042748</v>
      </c>
      <c r="Q260" s="48"/>
      <c r="R260" s="40">
        <f t="shared" si="27"/>
        <v>9900</v>
      </c>
      <c r="S260" s="40">
        <f>-PMT(Assumptions!E$25/12,Assumptions!E$24*12,$R$8)*$C260/100</f>
        <v>105.00486008668449</v>
      </c>
      <c r="T260" s="40">
        <f>S260*Assumptions!$E$24*12-R260</f>
        <v>2700.5832104021392</v>
      </c>
      <c r="U260" s="48"/>
      <c r="V260" s="40">
        <f t="shared" si="28"/>
        <v>0</v>
      </c>
      <c r="W260" s="40" t="e">
        <f>-PMT(Assumptions!F$25/12,Assumptions!F$24*12,$V$8)*$C260/100</f>
        <v>#NUM!</v>
      </c>
      <c r="X260" s="40" t="e">
        <f>W260*Assumptions!$F$24*12-V260</f>
        <v>#NUM!</v>
      </c>
      <c r="Y260" s="43"/>
      <c r="Z260" s="40">
        <f t="shared" si="29"/>
        <v>0</v>
      </c>
      <c r="AA260" s="50" t="e">
        <f>-PMT(Assumptions!G$25/12,Assumptions!G$24*12,$Z$8)*$C260/100</f>
        <v>#NUM!</v>
      </c>
      <c r="AB260" s="44" t="e">
        <f>AA260*Assumptions!$G$24*12-Z260</f>
        <v>#NUM!</v>
      </c>
      <c r="AD260" s="54">
        <f t="shared" si="42"/>
        <v>0</v>
      </c>
      <c r="AE260" s="54">
        <f t="shared" si="43"/>
        <v>0</v>
      </c>
      <c r="AF260" s="54">
        <f t="shared" si="44"/>
        <v>1980</v>
      </c>
      <c r="AG260" s="54">
        <f t="shared" si="45"/>
        <v>9900</v>
      </c>
      <c r="AH260" s="54">
        <f t="shared" si="46"/>
        <v>0</v>
      </c>
      <c r="AI260" s="54">
        <f t="shared" si="47"/>
        <v>0</v>
      </c>
    </row>
    <row r="261" spans="1:35" ht="15" x14ac:dyDescent="0.2">
      <c r="A261" s="56" t="s">
        <v>356</v>
      </c>
      <c r="B261" s="32"/>
      <c r="C261" s="56">
        <v>0.14299999999999999</v>
      </c>
      <c r="D261" s="56">
        <v>224.52</v>
      </c>
      <c r="E261" s="36"/>
      <c r="F261" s="40">
        <f t="shared" si="24"/>
        <v>0</v>
      </c>
      <c r="G261" s="40" t="e">
        <f>-PMT(Assumptions!B$25/12,Assumptions!B$24*12,F$8)*C261/100</f>
        <v>#NUM!</v>
      </c>
      <c r="H261" s="40" t="e">
        <f>G261*Assumptions!$B$24*12-F261</f>
        <v>#NUM!</v>
      </c>
      <c r="I261" s="48"/>
      <c r="J261" s="40">
        <f t="shared" si="25"/>
        <v>0</v>
      </c>
      <c r="K261" s="40" t="e">
        <f>-PMT(Assumptions!C$25/12,Assumptions!C$24*12,J$8)*C261/100</f>
        <v>#NUM!</v>
      </c>
      <c r="L261" s="40" t="e">
        <f>K261*Assumptions!$C$24*12-J261</f>
        <v>#NUM!</v>
      </c>
      <c r="M261" s="43"/>
      <c r="N261" s="40">
        <f t="shared" si="26"/>
        <v>1430</v>
      </c>
      <c r="O261" s="50">
        <f>-PMT(Assumptions!D$25/12,Assumptions!D$24*12,N$8)*C261/100</f>
        <v>15.167368679187756</v>
      </c>
      <c r="P261" s="44">
        <f>O261*Assumptions!$D$24*12-N261</f>
        <v>390.08424150253086</v>
      </c>
      <c r="Q261" s="48"/>
      <c r="R261" s="40">
        <f t="shared" si="27"/>
        <v>7149.9999999999991</v>
      </c>
      <c r="S261" s="40">
        <f>-PMT(Assumptions!E$25/12,Assumptions!E$24*12,$R$8)*$C261/100</f>
        <v>75.836843395938786</v>
      </c>
      <c r="T261" s="40">
        <f>S261*Assumptions!$E$24*12-R261</f>
        <v>1950.4212075126552</v>
      </c>
      <c r="U261" s="48"/>
      <c r="V261" s="40">
        <f t="shared" si="28"/>
        <v>0</v>
      </c>
      <c r="W261" s="40" t="e">
        <f>-PMT(Assumptions!F$25/12,Assumptions!F$24*12,$V$8)*$C261/100</f>
        <v>#NUM!</v>
      </c>
      <c r="X261" s="40" t="e">
        <f>W261*Assumptions!$F$24*12-V261</f>
        <v>#NUM!</v>
      </c>
      <c r="Y261" s="43"/>
      <c r="Z261" s="40">
        <f t="shared" si="29"/>
        <v>0</v>
      </c>
      <c r="AA261" s="50" t="e">
        <f>-PMT(Assumptions!G$25/12,Assumptions!G$24*12,$Z$8)*$C261/100</f>
        <v>#NUM!</v>
      </c>
      <c r="AB261" s="44" t="e">
        <f>AA261*Assumptions!$G$24*12-Z261</f>
        <v>#NUM!</v>
      </c>
      <c r="AD261" s="54">
        <f t="shared" si="42"/>
        <v>0</v>
      </c>
      <c r="AE261" s="54">
        <f t="shared" si="43"/>
        <v>0</v>
      </c>
      <c r="AF261" s="54">
        <f t="shared" si="44"/>
        <v>1430</v>
      </c>
      <c r="AG261" s="54">
        <f t="shared" si="45"/>
        <v>7149.9999999999991</v>
      </c>
      <c r="AH261" s="54">
        <f t="shared" si="46"/>
        <v>0</v>
      </c>
      <c r="AI261" s="54">
        <f t="shared" si="47"/>
        <v>0</v>
      </c>
    </row>
    <row r="262" spans="1:35" ht="15" x14ac:dyDescent="0.2">
      <c r="A262" s="56" t="s">
        <v>357</v>
      </c>
      <c r="B262" s="32"/>
      <c r="C262" s="56">
        <v>0.152</v>
      </c>
      <c r="D262" s="56">
        <v>238.66</v>
      </c>
      <c r="E262" s="36"/>
      <c r="F262" s="40">
        <f t="shared" si="24"/>
        <v>0</v>
      </c>
      <c r="G262" s="40" t="e">
        <f>-PMT(Assumptions!B$25/12,Assumptions!B$24*12,F$8)*C262/100</f>
        <v>#NUM!</v>
      </c>
      <c r="H262" s="40" t="e">
        <f>G262*Assumptions!$B$24*12-F262</f>
        <v>#NUM!</v>
      </c>
      <c r="I262" s="48"/>
      <c r="J262" s="40">
        <f t="shared" si="25"/>
        <v>0</v>
      </c>
      <c r="K262" s="40" t="e">
        <f>-PMT(Assumptions!C$25/12,Assumptions!C$24*12,J$8)*C262/100</f>
        <v>#NUM!</v>
      </c>
      <c r="L262" s="40" t="e">
        <f>K262*Assumptions!$C$24*12-J262</f>
        <v>#NUM!</v>
      </c>
      <c r="M262" s="43"/>
      <c r="N262" s="40">
        <f t="shared" si="26"/>
        <v>1520</v>
      </c>
      <c r="O262" s="50">
        <f>-PMT(Assumptions!D$25/12,Assumptions!D$24*12,N$8)*C262/100</f>
        <v>16.121958316339434</v>
      </c>
      <c r="P262" s="44">
        <f>O262*Assumptions!$D$24*12-N262</f>
        <v>414.63499796073211</v>
      </c>
      <c r="Q262" s="48"/>
      <c r="R262" s="40">
        <f t="shared" si="27"/>
        <v>7600</v>
      </c>
      <c r="S262" s="40">
        <f>-PMT(Assumptions!E$25/12,Assumptions!E$24*12,$R$8)*$C262/100</f>
        <v>80.609791581697166</v>
      </c>
      <c r="T262" s="40">
        <f>S262*Assumptions!$E$24*12-R262</f>
        <v>2073.1749898036596</v>
      </c>
      <c r="U262" s="48"/>
      <c r="V262" s="40">
        <f t="shared" si="28"/>
        <v>0</v>
      </c>
      <c r="W262" s="40" t="e">
        <f>-PMT(Assumptions!F$25/12,Assumptions!F$24*12,$V$8)*$C262/100</f>
        <v>#NUM!</v>
      </c>
      <c r="X262" s="40" t="e">
        <f>W262*Assumptions!$F$24*12-V262</f>
        <v>#NUM!</v>
      </c>
      <c r="Y262" s="43"/>
      <c r="Z262" s="40">
        <f t="shared" si="29"/>
        <v>0</v>
      </c>
      <c r="AA262" s="50" t="e">
        <f>-PMT(Assumptions!G$25/12,Assumptions!G$24*12,$Z$8)*$C262/100</f>
        <v>#NUM!</v>
      </c>
      <c r="AB262" s="44" t="e">
        <f>AA262*Assumptions!$G$24*12-Z262</f>
        <v>#NUM!</v>
      </c>
      <c r="AD262" s="54">
        <f t="shared" si="42"/>
        <v>0</v>
      </c>
      <c r="AE262" s="54">
        <f t="shared" si="43"/>
        <v>0</v>
      </c>
      <c r="AF262" s="54">
        <f t="shared" si="44"/>
        <v>1520</v>
      </c>
      <c r="AG262" s="54">
        <f t="shared" si="45"/>
        <v>7600</v>
      </c>
      <c r="AH262" s="54">
        <f t="shared" si="46"/>
        <v>0</v>
      </c>
      <c r="AI262" s="54">
        <f t="shared" si="47"/>
        <v>0</v>
      </c>
    </row>
    <row r="263" spans="1:35" ht="15" x14ac:dyDescent="0.2">
      <c r="A263" s="56" t="s">
        <v>358</v>
      </c>
      <c r="B263" s="32"/>
      <c r="C263" s="56">
        <v>0.14299999999999999</v>
      </c>
      <c r="D263" s="56">
        <v>224.52</v>
      </c>
      <c r="E263" s="36"/>
      <c r="F263" s="40">
        <f t="shared" si="24"/>
        <v>0</v>
      </c>
      <c r="G263" s="40" t="e">
        <f>-PMT(Assumptions!B$25/12,Assumptions!B$24*12,F$8)*C263/100</f>
        <v>#NUM!</v>
      </c>
      <c r="H263" s="40" t="e">
        <f>G263*Assumptions!$B$24*12-F263</f>
        <v>#NUM!</v>
      </c>
      <c r="I263" s="48"/>
      <c r="J263" s="40">
        <f t="shared" si="25"/>
        <v>0</v>
      </c>
      <c r="K263" s="40" t="e">
        <f>-PMT(Assumptions!C$25/12,Assumptions!C$24*12,J$8)*C263/100</f>
        <v>#NUM!</v>
      </c>
      <c r="L263" s="40" t="e">
        <f>K263*Assumptions!$C$24*12-J263</f>
        <v>#NUM!</v>
      </c>
      <c r="M263" s="43"/>
      <c r="N263" s="40">
        <f t="shared" si="26"/>
        <v>1430</v>
      </c>
      <c r="O263" s="50">
        <f>-PMT(Assumptions!D$25/12,Assumptions!D$24*12,N$8)*C263/100</f>
        <v>15.167368679187756</v>
      </c>
      <c r="P263" s="44">
        <f>O263*Assumptions!$D$24*12-N263</f>
        <v>390.08424150253086</v>
      </c>
      <c r="Q263" s="48"/>
      <c r="R263" s="40">
        <f t="shared" si="27"/>
        <v>7149.9999999999991</v>
      </c>
      <c r="S263" s="40">
        <f>-PMT(Assumptions!E$25/12,Assumptions!E$24*12,$R$8)*$C263/100</f>
        <v>75.836843395938786</v>
      </c>
      <c r="T263" s="40">
        <f>S263*Assumptions!$E$24*12-R263</f>
        <v>1950.4212075126552</v>
      </c>
      <c r="U263" s="48"/>
      <c r="V263" s="40">
        <f t="shared" si="28"/>
        <v>0</v>
      </c>
      <c r="W263" s="40" t="e">
        <f>-PMT(Assumptions!F$25/12,Assumptions!F$24*12,$V$8)*$C263/100</f>
        <v>#NUM!</v>
      </c>
      <c r="X263" s="40" t="e">
        <f>W263*Assumptions!$F$24*12-V263</f>
        <v>#NUM!</v>
      </c>
      <c r="Y263" s="43"/>
      <c r="Z263" s="40">
        <f t="shared" si="29"/>
        <v>0</v>
      </c>
      <c r="AA263" s="50" t="e">
        <f>-PMT(Assumptions!G$25/12,Assumptions!G$24*12,$Z$8)*$C263/100</f>
        <v>#NUM!</v>
      </c>
      <c r="AB263" s="44" t="e">
        <f>AA263*Assumptions!$G$24*12-Z263</f>
        <v>#NUM!</v>
      </c>
      <c r="AD263" s="54">
        <f t="shared" si="42"/>
        <v>0</v>
      </c>
      <c r="AE263" s="54">
        <f t="shared" si="43"/>
        <v>0</v>
      </c>
      <c r="AF263" s="54">
        <f t="shared" si="44"/>
        <v>1430</v>
      </c>
      <c r="AG263" s="54">
        <f t="shared" si="45"/>
        <v>7149.9999999999991</v>
      </c>
      <c r="AH263" s="54">
        <f t="shared" si="46"/>
        <v>0</v>
      </c>
      <c r="AI263" s="54">
        <f t="shared" si="47"/>
        <v>0</v>
      </c>
    </row>
    <row r="264" spans="1:35" ht="15" x14ac:dyDescent="0.2">
      <c r="A264" s="56" t="s">
        <v>359</v>
      </c>
      <c r="B264" s="32"/>
      <c r="C264" s="56">
        <v>0.152</v>
      </c>
      <c r="D264" s="56">
        <v>238.66</v>
      </c>
      <c r="E264" s="36"/>
      <c r="F264" s="40">
        <f t="shared" si="24"/>
        <v>0</v>
      </c>
      <c r="G264" s="40" t="e">
        <f>-PMT(Assumptions!B$25/12,Assumptions!B$24*12,F$8)*C264/100</f>
        <v>#NUM!</v>
      </c>
      <c r="H264" s="40" t="e">
        <f>G264*Assumptions!$B$24*12-F264</f>
        <v>#NUM!</v>
      </c>
      <c r="I264" s="48"/>
      <c r="J264" s="40">
        <f t="shared" si="25"/>
        <v>0</v>
      </c>
      <c r="K264" s="40" t="e">
        <f>-PMT(Assumptions!C$25/12,Assumptions!C$24*12,J$8)*C264/100</f>
        <v>#NUM!</v>
      </c>
      <c r="L264" s="40" t="e">
        <f>K264*Assumptions!$C$24*12-J264</f>
        <v>#NUM!</v>
      </c>
      <c r="M264" s="43"/>
      <c r="N264" s="40">
        <f t="shared" si="26"/>
        <v>1520</v>
      </c>
      <c r="O264" s="50">
        <f>-PMT(Assumptions!D$25/12,Assumptions!D$24*12,N$8)*C264/100</f>
        <v>16.121958316339434</v>
      </c>
      <c r="P264" s="44">
        <f>O264*Assumptions!$D$24*12-N264</f>
        <v>414.63499796073211</v>
      </c>
      <c r="Q264" s="48"/>
      <c r="R264" s="40">
        <f t="shared" si="27"/>
        <v>7600</v>
      </c>
      <c r="S264" s="40">
        <f>-PMT(Assumptions!E$25/12,Assumptions!E$24*12,$R$8)*$C264/100</f>
        <v>80.609791581697166</v>
      </c>
      <c r="T264" s="40">
        <f>S264*Assumptions!$E$24*12-R264</f>
        <v>2073.1749898036596</v>
      </c>
      <c r="U264" s="48"/>
      <c r="V264" s="40">
        <f t="shared" si="28"/>
        <v>0</v>
      </c>
      <c r="W264" s="40" t="e">
        <f>-PMT(Assumptions!F$25/12,Assumptions!F$24*12,$V$8)*$C264/100</f>
        <v>#NUM!</v>
      </c>
      <c r="X264" s="40" t="e">
        <f>W264*Assumptions!$F$24*12-V264</f>
        <v>#NUM!</v>
      </c>
      <c r="Y264" s="43"/>
      <c r="Z264" s="40">
        <f t="shared" si="29"/>
        <v>0</v>
      </c>
      <c r="AA264" s="50" t="e">
        <f>-PMT(Assumptions!G$25/12,Assumptions!G$24*12,$Z$8)*$C264/100</f>
        <v>#NUM!</v>
      </c>
      <c r="AB264" s="44" t="e">
        <f>AA264*Assumptions!$G$24*12-Z264</f>
        <v>#NUM!</v>
      </c>
      <c r="AD264" s="54">
        <f t="shared" si="42"/>
        <v>0</v>
      </c>
      <c r="AE264" s="54">
        <f t="shared" si="43"/>
        <v>0</v>
      </c>
      <c r="AF264" s="54">
        <f t="shared" si="44"/>
        <v>1520</v>
      </c>
      <c r="AG264" s="54">
        <f t="shared" si="45"/>
        <v>7600</v>
      </c>
      <c r="AH264" s="54">
        <f t="shared" si="46"/>
        <v>0</v>
      </c>
      <c r="AI264" s="54">
        <f t="shared" si="47"/>
        <v>0</v>
      </c>
    </row>
    <row r="265" spans="1:35" ht="15" x14ac:dyDescent="0.2">
      <c r="A265" s="56" t="s">
        <v>360</v>
      </c>
      <c r="B265" s="32"/>
      <c r="C265" s="56">
        <v>0.20599999999999999</v>
      </c>
      <c r="D265" s="56">
        <v>323.44</v>
      </c>
      <c r="E265" s="36"/>
      <c r="F265" s="40">
        <f t="shared" si="24"/>
        <v>0</v>
      </c>
      <c r="G265" s="40" t="e">
        <f>-PMT(Assumptions!B$25/12,Assumptions!B$24*12,F$8)*C265/100</f>
        <v>#NUM!</v>
      </c>
      <c r="H265" s="40" t="e">
        <f>G265*Assumptions!$B$24*12-F265</f>
        <v>#NUM!</v>
      </c>
      <c r="I265" s="48"/>
      <c r="J265" s="40">
        <f t="shared" si="25"/>
        <v>0</v>
      </c>
      <c r="K265" s="40" t="e">
        <f>-PMT(Assumptions!C$25/12,Assumptions!C$24*12,J$8)*C265/100</f>
        <v>#NUM!</v>
      </c>
      <c r="L265" s="40" t="e">
        <f>K265*Assumptions!$C$24*12-J265</f>
        <v>#NUM!</v>
      </c>
      <c r="M265" s="43"/>
      <c r="N265" s="40">
        <f t="shared" si="26"/>
        <v>2060</v>
      </c>
      <c r="O265" s="50">
        <f>-PMT(Assumptions!D$25/12,Assumptions!D$24*12,N$8)*C265/100</f>
        <v>21.849496139249496</v>
      </c>
      <c r="P265" s="44">
        <f>O265*Assumptions!$D$24*12-N265</f>
        <v>561.9395367099396</v>
      </c>
      <c r="Q265" s="48"/>
      <c r="R265" s="40">
        <f t="shared" si="27"/>
        <v>10300</v>
      </c>
      <c r="S265" s="40">
        <f>-PMT(Assumptions!E$25/12,Assumptions!E$24*12,$R$8)*$C265/100</f>
        <v>109.24748069624748</v>
      </c>
      <c r="T265" s="40">
        <f>S265*Assumptions!$E$24*12-R265</f>
        <v>2809.6976835496971</v>
      </c>
      <c r="U265" s="48"/>
      <c r="V265" s="40">
        <f t="shared" si="28"/>
        <v>0</v>
      </c>
      <c r="W265" s="40" t="e">
        <f>-PMT(Assumptions!F$25/12,Assumptions!F$24*12,$V$8)*$C265/100</f>
        <v>#NUM!</v>
      </c>
      <c r="X265" s="40" t="e">
        <f>W265*Assumptions!$F$24*12-V265</f>
        <v>#NUM!</v>
      </c>
      <c r="Y265" s="43"/>
      <c r="Z265" s="40">
        <f t="shared" si="29"/>
        <v>0</v>
      </c>
      <c r="AA265" s="50" t="e">
        <f>-PMT(Assumptions!G$25/12,Assumptions!G$24*12,$Z$8)*$C265/100</f>
        <v>#NUM!</v>
      </c>
      <c r="AB265" s="44" t="e">
        <f>AA265*Assumptions!$G$24*12-Z265</f>
        <v>#NUM!</v>
      </c>
      <c r="AD265" s="54">
        <f t="shared" si="42"/>
        <v>0</v>
      </c>
      <c r="AE265" s="54">
        <f t="shared" si="43"/>
        <v>0</v>
      </c>
      <c r="AF265" s="54">
        <f t="shared" si="44"/>
        <v>2060</v>
      </c>
      <c r="AG265" s="54">
        <f t="shared" si="45"/>
        <v>10300</v>
      </c>
      <c r="AH265" s="54">
        <f t="shared" si="46"/>
        <v>0</v>
      </c>
      <c r="AI265" s="54">
        <f t="shared" si="47"/>
        <v>0</v>
      </c>
    </row>
    <row r="266" spans="1:35" ht="15" x14ac:dyDescent="0.2">
      <c r="A266" s="56" t="s">
        <v>361</v>
      </c>
      <c r="B266" s="32"/>
      <c r="C266" s="56">
        <v>0.215</v>
      </c>
      <c r="D266" s="56">
        <v>337.57</v>
      </c>
      <c r="E266" s="36"/>
      <c r="F266" s="40">
        <f t="shared" si="24"/>
        <v>0</v>
      </c>
      <c r="G266" s="40" t="e">
        <f>-PMT(Assumptions!B$25/12,Assumptions!B$24*12,F$8)*C266/100</f>
        <v>#NUM!</v>
      </c>
      <c r="H266" s="40" t="e">
        <f>G266*Assumptions!$B$24*12-F266</f>
        <v>#NUM!</v>
      </c>
      <c r="I266" s="48"/>
      <c r="J266" s="40">
        <f t="shared" si="25"/>
        <v>0</v>
      </c>
      <c r="K266" s="40" t="e">
        <f>-PMT(Assumptions!C$25/12,Assumptions!C$24*12,J$8)*C266/100</f>
        <v>#NUM!</v>
      </c>
      <c r="L266" s="40" t="e">
        <f>K266*Assumptions!$C$24*12-J266</f>
        <v>#NUM!</v>
      </c>
      <c r="M266" s="43"/>
      <c r="N266" s="40">
        <f t="shared" si="26"/>
        <v>2150</v>
      </c>
      <c r="O266" s="50">
        <f>-PMT(Assumptions!D$25/12,Assumptions!D$24*12,N$8)*C266/100</f>
        <v>22.804085776401177</v>
      </c>
      <c r="P266" s="44">
        <f>O266*Assumptions!$D$24*12-N266</f>
        <v>586.49029316814131</v>
      </c>
      <c r="Q266" s="48"/>
      <c r="R266" s="40">
        <f t="shared" si="27"/>
        <v>10750</v>
      </c>
      <c r="S266" s="40">
        <f>-PMT(Assumptions!E$25/12,Assumptions!E$24*12,$R$8)*$C266/100</f>
        <v>114.02042888200587</v>
      </c>
      <c r="T266" s="40">
        <f>S266*Assumptions!$E$24*12-R266</f>
        <v>2932.4514658407061</v>
      </c>
      <c r="U266" s="48"/>
      <c r="V266" s="40">
        <f t="shared" si="28"/>
        <v>0</v>
      </c>
      <c r="W266" s="40" t="e">
        <f>-PMT(Assumptions!F$25/12,Assumptions!F$24*12,$V$8)*$C266/100</f>
        <v>#NUM!</v>
      </c>
      <c r="X266" s="40" t="e">
        <f>W266*Assumptions!$F$24*12-V266</f>
        <v>#NUM!</v>
      </c>
      <c r="Y266" s="43"/>
      <c r="Z266" s="40">
        <f t="shared" si="29"/>
        <v>0</v>
      </c>
      <c r="AA266" s="50" t="e">
        <f>-PMT(Assumptions!G$25/12,Assumptions!G$24*12,$Z$8)*$C266/100</f>
        <v>#NUM!</v>
      </c>
      <c r="AB266" s="44" t="e">
        <f>AA266*Assumptions!$G$24*12-Z266</f>
        <v>#NUM!</v>
      </c>
      <c r="AD266" s="54">
        <f t="shared" si="42"/>
        <v>0</v>
      </c>
      <c r="AE266" s="54">
        <f t="shared" si="43"/>
        <v>0</v>
      </c>
      <c r="AF266" s="54">
        <f t="shared" si="44"/>
        <v>2150</v>
      </c>
      <c r="AG266" s="54">
        <f t="shared" si="45"/>
        <v>10750</v>
      </c>
      <c r="AH266" s="54">
        <f t="shared" si="46"/>
        <v>0</v>
      </c>
      <c r="AI266" s="54">
        <f t="shared" si="47"/>
        <v>0</v>
      </c>
    </row>
    <row r="267" spans="1:35" ht="15" x14ac:dyDescent="0.2">
      <c r="A267" s="56" t="s">
        <v>362</v>
      </c>
      <c r="B267" s="32"/>
      <c r="C267" s="56">
        <v>0.19800000000000001</v>
      </c>
      <c r="D267" s="56">
        <v>310.88</v>
      </c>
      <c r="E267" s="36"/>
      <c r="F267" s="40">
        <f t="shared" si="24"/>
        <v>0</v>
      </c>
      <c r="G267" s="40" t="e">
        <f>-PMT(Assumptions!B$25/12,Assumptions!B$24*12,F$8)*C267/100</f>
        <v>#NUM!</v>
      </c>
      <c r="H267" s="40" t="e">
        <f>G267*Assumptions!$B$24*12-F267</f>
        <v>#NUM!</v>
      </c>
      <c r="I267" s="48"/>
      <c r="J267" s="40">
        <f t="shared" si="25"/>
        <v>0</v>
      </c>
      <c r="K267" s="40" t="e">
        <f>-PMT(Assumptions!C$25/12,Assumptions!C$24*12,J$8)*C267/100</f>
        <v>#NUM!</v>
      </c>
      <c r="L267" s="40" t="e">
        <f>K267*Assumptions!$C$24*12-J267</f>
        <v>#NUM!</v>
      </c>
      <c r="M267" s="43"/>
      <c r="N267" s="40">
        <f t="shared" si="26"/>
        <v>1980</v>
      </c>
      <c r="O267" s="50">
        <f>-PMT(Assumptions!D$25/12,Assumptions!D$24*12,N$8)*C267/100</f>
        <v>21.000972017336899</v>
      </c>
      <c r="P267" s="44">
        <f>O267*Assumptions!$D$24*12-N267</f>
        <v>540.11664208042748</v>
      </c>
      <c r="Q267" s="48"/>
      <c r="R267" s="40">
        <f t="shared" si="27"/>
        <v>9900</v>
      </c>
      <c r="S267" s="40">
        <f>-PMT(Assumptions!E$25/12,Assumptions!E$24*12,$R$8)*$C267/100</f>
        <v>105.00486008668449</v>
      </c>
      <c r="T267" s="40">
        <f>S267*Assumptions!$E$24*12-R267</f>
        <v>2700.5832104021392</v>
      </c>
      <c r="U267" s="48"/>
      <c r="V267" s="40">
        <f t="shared" si="28"/>
        <v>0</v>
      </c>
      <c r="W267" s="40" t="e">
        <f>-PMT(Assumptions!F$25/12,Assumptions!F$24*12,$V$8)*$C267/100</f>
        <v>#NUM!</v>
      </c>
      <c r="X267" s="40" t="e">
        <f>W267*Assumptions!$F$24*12-V267</f>
        <v>#NUM!</v>
      </c>
      <c r="Y267" s="43"/>
      <c r="Z267" s="40">
        <f t="shared" si="29"/>
        <v>0</v>
      </c>
      <c r="AA267" s="50" t="e">
        <f>-PMT(Assumptions!G$25/12,Assumptions!G$24*12,$Z$8)*$C267/100</f>
        <v>#NUM!</v>
      </c>
      <c r="AB267" s="44" t="e">
        <f>AA267*Assumptions!$G$24*12-Z267</f>
        <v>#NUM!</v>
      </c>
      <c r="AD267" s="54">
        <f t="shared" si="42"/>
        <v>0</v>
      </c>
      <c r="AE267" s="54">
        <f t="shared" si="43"/>
        <v>0</v>
      </c>
      <c r="AF267" s="54">
        <f t="shared" si="44"/>
        <v>1980</v>
      </c>
      <c r="AG267" s="54">
        <f t="shared" si="45"/>
        <v>9900</v>
      </c>
      <c r="AH267" s="54">
        <f t="shared" si="46"/>
        <v>0</v>
      </c>
      <c r="AI267" s="54">
        <f t="shared" si="47"/>
        <v>0</v>
      </c>
    </row>
    <row r="268" spans="1:35" ht="15" x14ac:dyDescent="0.2">
      <c r="A268" s="56" t="s">
        <v>363</v>
      </c>
      <c r="B268" s="32"/>
      <c r="C268" s="56">
        <v>0.19800000000000001</v>
      </c>
      <c r="D268" s="56">
        <v>310.88</v>
      </c>
      <c r="E268" s="36"/>
      <c r="F268" s="40">
        <f t="shared" si="24"/>
        <v>0</v>
      </c>
      <c r="G268" s="40" t="e">
        <f>-PMT(Assumptions!B$25/12,Assumptions!B$24*12,F$8)*C268/100</f>
        <v>#NUM!</v>
      </c>
      <c r="H268" s="40" t="e">
        <f>G268*Assumptions!$B$24*12-F268</f>
        <v>#NUM!</v>
      </c>
      <c r="I268" s="48"/>
      <c r="J268" s="40">
        <f t="shared" si="25"/>
        <v>0</v>
      </c>
      <c r="K268" s="40" t="e">
        <f>-PMT(Assumptions!C$25/12,Assumptions!C$24*12,J$8)*C268/100</f>
        <v>#NUM!</v>
      </c>
      <c r="L268" s="40" t="e">
        <f>K268*Assumptions!$C$24*12-J268</f>
        <v>#NUM!</v>
      </c>
      <c r="M268" s="43"/>
      <c r="N268" s="40">
        <f t="shared" si="26"/>
        <v>1980</v>
      </c>
      <c r="O268" s="50">
        <f>-PMT(Assumptions!D$25/12,Assumptions!D$24*12,N$8)*C268/100</f>
        <v>21.000972017336899</v>
      </c>
      <c r="P268" s="44">
        <f>O268*Assumptions!$D$24*12-N268</f>
        <v>540.11664208042748</v>
      </c>
      <c r="Q268" s="48"/>
      <c r="R268" s="40">
        <f t="shared" si="27"/>
        <v>9900</v>
      </c>
      <c r="S268" s="40">
        <f>-PMT(Assumptions!E$25/12,Assumptions!E$24*12,$R$8)*$C268/100</f>
        <v>105.00486008668449</v>
      </c>
      <c r="T268" s="40">
        <f>S268*Assumptions!$E$24*12-R268</f>
        <v>2700.5832104021392</v>
      </c>
      <c r="U268" s="48"/>
      <c r="V268" s="40">
        <f t="shared" si="28"/>
        <v>0</v>
      </c>
      <c r="W268" s="40" t="e">
        <f>-PMT(Assumptions!F$25/12,Assumptions!F$24*12,$V$8)*$C268/100</f>
        <v>#NUM!</v>
      </c>
      <c r="X268" s="40" t="e">
        <f>W268*Assumptions!$F$24*12-V268</f>
        <v>#NUM!</v>
      </c>
      <c r="Y268" s="43"/>
      <c r="Z268" s="40">
        <f t="shared" si="29"/>
        <v>0</v>
      </c>
      <c r="AA268" s="50" t="e">
        <f>-PMT(Assumptions!G$25/12,Assumptions!G$24*12,$Z$8)*$C268/100</f>
        <v>#NUM!</v>
      </c>
      <c r="AB268" s="44" t="e">
        <f>AA268*Assumptions!$G$24*12-Z268</f>
        <v>#NUM!</v>
      </c>
      <c r="AD268" s="54">
        <f t="shared" si="42"/>
        <v>0</v>
      </c>
      <c r="AE268" s="54">
        <f t="shared" si="43"/>
        <v>0</v>
      </c>
      <c r="AF268" s="54">
        <f t="shared" si="44"/>
        <v>1980</v>
      </c>
      <c r="AG268" s="54">
        <f t="shared" si="45"/>
        <v>9900</v>
      </c>
      <c r="AH268" s="54">
        <f t="shared" si="46"/>
        <v>0</v>
      </c>
      <c r="AI268" s="54">
        <f t="shared" si="47"/>
        <v>0</v>
      </c>
    </row>
    <row r="269" spans="1:35" ht="15" x14ac:dyDescent="0.2">
      <c r="A269" s="56" t="s">
        <v>364</v>
      </c>
      <c r="B269" s="32"/>
      <c r="C269" s="56">
        <v>0.14299999999999999</v>
      </c>
      <c r="D269" s="56">
        <v>224.52</v>
      </c>
      <c r="E269" s="36"/>
      <c r="F269" s="40">
        <f t="shared" si="24"/>
        <v>0</v>
      </c>
      <c r="G269" s="40" t="e">
        <f>-PMT(Assumptions!B$25/12,Assumptions!B$24*12,F$8)*C269/100</f>
        <v>#NUM!</v>
      </c>
      <c r="H269" s="40" t="e">
        <f>G269*Assumptions!$B$24*12-F269</f>
        <v>#NUM!</v>
      </c>
      <c r="I269" s="48"/>
      <c r="J269" s="40">
        <f t="shared" si="25"/>
        <v>0</v>
      </c>
      <c r="K269" s="40" t="e">
        <f>-PMT(Assumptions!C$25/12,Assumptions!C$24*12,J$8)*C269/100</f>
        <v>#NUM!</v>
      </c>
      <c r="L269" s="40" t="e">
        <f>K269*Assumptions!$C$24*12-J269</f>
        <v>#NUM!</v>
      </c>
      <c r="M269" s="43"/>
      <c r="N269" s="40">
        <f t="shared" si="26"/>
        <v>1430</v>
      </c>
      <c r="O269" s="50">
        <f>-PMT(Assumptions!D$25/12,Assumptions!D$24*12,N$8)*C269/100</f>
        <v>15.167368679187756</v>
      </c>
      <c r="P269" s="44">
        <f>O269*Assumptions!$D$24*12-N269</f>
        <v>390.08424150253086</v>
      </c>
      <c r="Q269" s="48"/>
      <c r="R269" s="40">
        <f t="shared" si="27"/>
        <v>7149.9999999999991</v>
      </c>
      <c r="S269" s="40">
        <f>-PMT(Assumptions!E$25/12,Assumptions!E$24*12,$R$8)*$C269/100</f>
        <v>75.836843395938786</v>
      </c>
      <c r="T269" s="40">
        <f>S269*Assumptions!$E$24*12-R269</f>
        <v>1950.4212075126552</v>
      </c>
      <c r="U269" s="48"/>
      <c r="V269" s="40">
        <f t="shared" si="28"/>
        <v>0</v>
      </c>
      <c r="W269" s="40" t="e">
        <f>-PMT(Assumptions!F$25/12,Assumptions!F$24*12,$V$8)*$C269/100</f>
        <v>#NUM!</v>
      </c>
      <c r="X269" s="40" t="e">
        <f>W269*Assumptions!$F$24*12-V269</f>
        <v>#NUM!</v>
      </c>
      <c r="Y269" s="43"/>
      <c r="Z269" s="40">
        <f t="shared" si="29"/>
        <v>0</v>
      </c>
      <c r="AA269" s="50" t="e">
        <f>-PMT(Assumptions!G$25/12,Assumptions!G$24*12,$Z$8)*$C269/100</f>
        <v>#NUM!</v>
      </c>
      <c r="AB269" s="44" t="e">
        <f>AA269*Assumptions!$G$24*12-Z269</f>
        <v>#NUM!</v>
      </c>
      <c r="AD269" s="54">
        <f t="shared" si="42"/>
        <v>0</v>
      </c>
      <c r="AE269" s="54">
        <f t="shared" si="43"/>
        <v>0</v>
      </c>
      <c r="AF269" s="54">
        <f t="shared" si="44"/>
        <v>1430</v>
      </c>
      <c r="AG269" s="54">
        <f t="shared" si="45"/>
        <v>7149.9999999999991</v>
      </c>
      <c r="AH269" s="54">
        <f t="shared" si="46"/>
        <v>0</v>
      </c>
      <c r="AI269" s="54">
        <f t="shared" si="47"/>
        <v>0</v>
      </c>
    </row>
    <row r="270" spans="1:35" ht="15" x14ac:dyDescent="0.2">
      <c r="A270" s="56" t="s">
        <v>365</v>
      </c>
      <c r="B270" s="32"/>
      <c r="C270" s="56">
        <v>0.152</v>
      </c>
      <c r="D270" s="56">
        <v>238.66</v>
      </c>
      <c r="E270" s="36"/>
      <c r="F270" s="40">
        <f t="shared" si="24"/>
        <v>0</v>
      </c>
      <c r="G270" s="40" t="e">
        <f>-PMT(Assumptions!B$25/12,Assumptions!B$24*12,F$8)*C270/100</f>
        <v>#NUM!</v>
      </c>
      <c r="H270" s="40" t="e">
        <f>G270*Assumptions!$B$24*12-F270</f>
        <v>#NUM!</v>
      </c>
      <c r="I270" s="48"/>
      <c r="J270" s="40">
        <f t="shared" si="25"/>
        <v>0</v>
      </c>
      <c r="K270" s="40" t="e">
        <f>-PMT(Assumptions!C$25/12,Assumptions!C$24*12,J$8)*C270/100</f>
        <v>#NUM!</v>
      </c>
      <c r="L270" s="40" t="e">
        <f>K270*Assumptions!$C$24*12-J270</f>
        <v>#NUM!</v>
      </c>
      <c r="M270" s="43"/>
      <c r="N270" s="40">
        <f t="shared" si="26"/>
        <v>1520</v>
      </c>
      <c r="O270" s="50">
        <f>-PMT(Assumptions!D$25/12,Assumptions!D$24*12,N$8)*C270/100</f>
        <v>16.121958316339434</v>
      </c>
      <c r="P270" s="44">
        <f>O270*Assumptions!$D$24*12-N270</f>
        <v>414.63499796073211</v>
      </c>
      <c r="Q270" s="48"/>
      <c r="R270" s="40">
        <f t="shared" si="27"/>
        <v>7600</v>
      </c>
      <c r="S270" s="40">
        <f>-PMT(Assumptions!E$25/12,Assumptions!E$24*12,$R$8)*$C270/100</f>
        <v>80.609791581697166</v>
      </c>
      <c r="T270" s="40">
        <f>S270*Assumptions!$E$24*12-R270</f>
        <v>2073.1749898036596</v>
      </c>
      <c r="U270" s="48"/>
      <c r="V270" s="40">
        <f t="shared" si="28"/>
        <v>0</v>
      </c>
      <c r="W270" s="40" t="e">
        <f>-PMT(Assumptions!F$25/12,Assumptions!F$24*12,$V$8)*$C270/100</f>
        <v>#NUM!</v>
      </c>
      <c r="X270" s="40" t="e">
        <f>W270*Assumptions!$F$24*12-V270</f>
        <v>#NUM!</v>
      </c>
      <c r="Y270" s="43"/>
      <c r="Z270" s="40">
        <f t="shared" si="29"/>
        <v>0</v>
      </c>
      <c r="AA270" s="50" t="e">
        <f>-PMT(Assumptions!G$25/12,Assumptions!G$24*12,$Z$8)*$C270/100</f>
        <v>#NUM!</v>
      </c>
      <c r="AB270" s="44" t="e">
        <f>AA270*Assumptions!$G$24*12-Z270</f>
        <v>#NUM!</v>
      </c>
      <c r="AD270" s="54">
        <f t="shared" si="42"/>
        <v>0</v>
      </c>
      <c r="AE270" s="54">
        <f t="shared" si="43"/>
        <v>0</v>
      </c>
      <c r="AF270" s="54">
        <f t="shared" si="44"/>
        <v>1520</v>
      </c>
      <c r="AG270" s="54">
        <f t="shared" si="45"/>
        <v>7600</v>
      </c>
      <c r="AH270" s="54">
        <f t="shared" si="46"/>
        <v>0</v>
      </c>
      <c r="AI270" s="54">
        <f t="shared" si="47"/>
        <v>0</v>
      </c>
    </row>
    <row r="271" spans="1:35" ht="15" x14ac:dyDescent="0.2">
      <c r="A271" s="56" t="s">
        <v>366</v>
      </c>
      <c r="B271" s="32"/>
      <c r="C271" s="56">
        <v>0.14299999999999999</v>
      </c>
      <c r="D271" s="56">
        <v>224.52</v>
      </c>
      <c r="E271" s="36"/>
      <c r="F271" s="40">
        <f t="shared" si="24"/>
        <v>0</v>
      </c>
      <c r="G271" s="40" t="e">
        <f>-PMT(Assumptions!B$25/12,Assumptions!B$24*12,F$8)*C271/100</f>
        <v>#NUM!</v>
      </c>
      <c r="H271" s="40" t="e">
        <f>G271*Assumptions!$B$24*12-F271</f>
        <v>#NUM!</v>
      </c>
      <c r="I271" s="48"/>
      <c r="J271" s="40">
        <f t="shared" si="25"/>
        <v>0</v>
      </c>
      <c r="K271" s="40" t="e">
        <f>-PMT(Assumptions!C$25/12,Assumptions!C$24*12,J$8)*C271/100</f>
        <v>#NUM!</v>
      </c>
      <c r="L271" s="40" t="e">
        <f>K271*Assumptions!$C$24*12-J271</f>
        <v>#NUM!</v>
      </c>
      <c r="M271" s="43"/>
      <c r="N271" s="40">
        <f t="shared" si="26"/>
        <v>1430</v>
      </c>
      <c r="O271" s="50">
        <f>-PMT(Assumptions!D$25/12,Assumptions!D$24*12,N$8)*C271/100</f>
        <v>15.167368679187756</v>
      </c>
      <c r="P271" s="44">
        <f>O271*Assumptions!$D$24*12-N271</f>
        <v>390.08424150253086</v>
      </c>
      <c r="Q271" s="48"/>
      <c r="R271" s="40">
        <f t="shared" si="27"/>
        <v>7149.9999999999991</v>
      </c>
      <c r="S271" s="40">
        <f>-PMT(Assumptions!E$25/12,Assumptions!E$24*12,$R$8)*$C271/100</f>
        <v>75.836843395938786</v>
      </c>
      <c r="T271" s="40">
        <f>S271*Assumptions!$E$24*12-R271</f>
        <v>1950.4212075126552</v>
      </c>
      <c r="U271" s="48"/>
      <c r="V271" s="40">
        <f t="shared" si="28"/>
        <v>0</v>
      </c>
      <c r="W271" s="40" t="e">
        <f>-PMT(Assumptions!F$25/12,Assumptions!F$24*12,$V$8)*$C271/100</f>
        <v>#NUM!</v>
      </c>
      <c r="X271" s="40" t="e">
        <f>W271*Assumptions!$F$24*12-V271</f>
        <v>#NUM!</v>
      </c>
      <c r="Y271" s="43"/>
      <c r="Z271" s="40">
        <f t="shared" si="29"/>
        <v>0</v>
      </c>
      <c r="AA271" s="50" t="e">
        <f>-PMT(Assumptions!G$25/12,Assumptions!G$24*12,$Z$8)*$C271/100</f>
        <v>#NUM!</v>
      </c>
      <c r="AB271" s="44" t="e">
        <f>AA271*Assumptions!$G$24*12-Z271</f>
        <v>#NUM!</v>
      </c>
      <c r="AD271" s="54">
        <f t="shared" si="42"/>
        <v>0</v>
      </c>
      <c r="AE271" s="54">
        <f t="shared" si="43"/>
        <v>0</v>
      </c>
      <c r="AF271" s="54">
        <f t="shared" si="44"/>
        <v>1430</v>
      </c>
      <c r="AG271" s="54">
        <f t="shared" si="45"/>
        <v>7149.9999999999991</v>
      </c>
      <c r="AH271" s="54">
        <f t="shared" si="46"/>
        <v>0</v>
      </c>
      <c r="AI271" s="54">
        <f t="shared" si="47"/>
        <v>0</v>
      </c>
    </row>
    <row r="272" spans="1:35" ht="15" x14ac:dyDescent="0.2">
      <c r="A272" s="56" t="s">
        <v>367</v>
      </c>
      <c r="B272" s="32"/>
      <c r="C272" s="56">
        <v>0.152</v>
      </c>
      <c r="D272" s="56">
        <v>238.66</v>
      </c>
      <c r="E272" s="36"/>
      <c r="F272" s="40">
        <f t="shared" si="24"/>
        <v>0</v>
      </c>
      <c r="G272" s="40" t="e">
        <f>-PMT(Assumptions!B$25/12,Assumptions!B$24*12,F$8)*C272/100</f>
        <v>#NUM!</v>
      </c>
      <c r="H272" s="40" t="e">
        <f>G272*Assumptions!$B$24*12-F272</f>
        <v>#NUM!</v>
      </c>
      <c r="I272" s="48"/>
      <c r="J272" s="40">
        <f t="shared" si="25"/>
        <v>0</v>
      </c>
      <c r="K272" s="40" t="e">
        <f>-PMT(Assumptions!C$25/12,Assumptions!C$24*12,J$8)*C272/100</f>
        <v>#NUM!</v>
      </c>
      <c r="L272" s="40" t="e">
        <f>K272*Assumptions!$C$24*12-J272</f>
        <v>#NUM!</v>
      </c>
      <c r="M272" s="43"/>
      <c r="N272" s="40">
        <f t="shared" si="26"/>
        <v>1520</v>
      </c>
      <c r="O272" s="50">
        <f>-PMT(Assumptions!D$25/12,Assumptions!D$24*12,N$8)*C272/100</f>
        <v>16.121958316339434</v>
      </c>
      <c r="P272" s="44">
        <f>O272*Assumptions!$D$24*12-N272</f>
        <v>414.63499796073211</v>
      </c>
      <c r="Q272" s="48"/>
      <c r="R272" s="40">
        <f t="shared" si="27"/>
        <v>7600</v>
      </c>
      <c r="S272" s="40">
        <f>-PMT(Assumptions!E$25/12,Assumptions!E$24*12,$R$8)*$C272/100</f>
        <v>80.609791581697166</v>
      </c>
      <c r="T272" s="40">
        <f>S272*Assumptions!$E$24*12-R272</f>
        <v>2073.1749898036596</v>
      </c>
      <c r="U272" s="48"/>
      <c r="V272" s="40">
        <f t="shared" si="28"/>
        <v>0</v>
      </c>
      <c r="W272" s="40" t="e">
        <f>-PMT(Assumptions!F$25/12,Assumptions!F$24*12,$V$8)*$C272/100</f>
        <v>#NUM!</v>
      </c>
      <c r="X272" s="40" t="e">
        <f>W272*Assumptions!$F$24*12-V272</f>
        <v>#NUM!</v>
      </c>
      <c r="Y272" s="43"/>
      <c r="Z272" s="40">
        <f t="shared" si="29"/>
        <v>0</v>
      </c>
      <c r="AA272" s="50" t="e">
        <f>-PMT(Assumptions!G$25/12,Assumptions!G$24*12,$Z$8)*$C272/100</f>
        <v>#NUM!</v>
      </c>
      <c r="AB272" s="44" t="e">
        <f>AA272*Assumptions!$G$24*12-Z272</f>
        <v>#NUM!</v>
      </c>
      <c r="AD272" s="54">
        <f t="shared" si="42"/>
        <v>0</v>
      </c>
      <c r="AE272" s="54">
        <f t="shared" si="43"/>
        <v>0</v>
      </c>
      <c r="AF272" s="54">
        <f t="shared" si="44"/>
        <v>1520</v>
      </c>
      <c r="AG272" s="54">
        <f t="shared" si="45"/>
        <v>7600</v>
      </c>
      <c r="AH272" s="54">
        <f t="shared" si="46"/>
        <v>0</v>
      </c>
      <c r="AI272" s="54">
        <f t="shared" si="47"/>
        <v>0</v>
      </c>
    </row>
    <row r="273" spans="1:35" ht="15" x14ac:dyDescent="0.2">
      <c r="A273" s="56" t="s">
        <v>368</v>
      </c>
      <c r="B273" s="32"/>
      <c r="C273" s="56">
        <v>0.20599999999999999</v>
      </c>
      <c r="D273" s="56">
        <v>323.44</v>
      </c>
      <c r="E273" s="36"/>
      <c r="F273" s="40">
        <f t="shared" si="24"/>
        <v>0</v>
      </c>
      <c r="G273" s="40" t="e">
        <f>-PMT(Assumptions!B$25/12,Assumptions!B$24*12,F$8)*C273/100</f>
        <v>#NUM!</v>
      </c>
      <c r="H273" s="40" t="e">
        <f>G273*Assumptions!$B$24*12-F273</f>
        <v>#NUM!</v>
      </c>
      <c r="I273" s="48"/>
      <c r="J273" s="40">
        <f t="shared" si="25"/>
        <v>0</v>
      </c>
      <c r="K273" s="40" t="e">
        <f>-PMT(Assumptions!C$25/12,Assumptions!C$24*12,J$8)*C273/100</f>
        <v>#NUM!</v>
      </c>
      <c r="L273" s="40" t="e">
        <f>K273*Assumptions!$C$24*12-J273</f>
        <v>#NUM!</v>
      </c>
      <c r="M273" s="43"/>
      <c r="N273" s="40">
        <f t="shared" si="26"/>
        <v>2060</v>
      </c>
      <c r="O273" s="50">
        <f>-PMT(Assumptions!D$25/12,Assumptions!D$24*12,N$8)*C273/100</f>
        <v>21.849496139249496</v>
      </c>
      <c r="P273" s="44">
        <f>O273*Assumptions!$D$24*12-N273</f>
        <v>561.9395367099396</v>
      </c>
      <c r="Q273" s="48"/>
      <c r="R273" s="40">
        <f t="shared" si="27"/>
        <v>10300</v>
      </c>
      <c r="S273" s="40">
        <f>-PMT(Assumptions!E$25/12,Assumptions!E$24*12,$R$8)*$C273/100</f>
        <v>109.24748069624748</v>
      </c>
      <c r="T273" s="40">
        <f>S273*Assumptions!$E$24*12-R273</f>
        <v>2809.6976835496971</v>
      </c>
      <c r="U273" s="48"/>
      <c r="V273" s="40">
        <f t="shared" si="28"/>
        <v>0</v>
      </c>
      <c r="W273" s="40" t="e">
        <f>-PMT(Assumptions!F$25/12,Assumptions!F$24*12,$V$8)*$C273/100</f>
        <v>#NUM!</v>
      </c>
      <c r="X273" s="40" t="e">
        <f>W273*Assumptions!$F$24*12-V273</f>
        <v>#NUM!</v>
      </c>
      <c r="Y273" s="43"/>
      <c r="Z273" s="40">
        <f t="shared" si="29"/>
        <v>0</v>
      </c>
      <c r="AA273" s="50" t="e">
        <f>-PMT(Assumptions!G$25/12,Assumptions!G$24*12,$Z$8)*$C273/100</f>
        <v>#NUM!</v>
      </c>
      <c r="AB273" s="44" t="e">
        <f>AA273*Assumptions!$G$24*12-Z273</f>
        <v>#NUM!</v>
      </c>
      <c r="AD273" s="54">
        <f t="shared" si="42"/>
        <v>0</v>
      </c>
      <c r="AE273" s="54">
        <f t="shared" si="43"/>
        <v>0</v>
      </c>
      <c r="AF273" s="54">
        <f t="shared" si="44"/>
        <v>2060</v>
      </c>
      <c r="AG273" s="54">
        <f t="shared" si="45"/>
        <v>10300</v>
      </c>
      <c r="AH273" s="54">
        <f t="shared" si="46"/>
        <v>0</v>
      </c>
      <c r="AI273" s="54">
        <f t="shared" si="47"/>
        <v>0</v>
      </c>
    </row>
    <row r="274" spans="1:35" ht="15" x14ac:dyDescent="0.2">
      <c r="A274" s="56" t="s">
        <v>369</v>
      </c>
      <c r="B274" s="32"/>
      <c r="C274" s="56">
        <v>0.215</v>
      </c>
      <c r="D274" s="56">
        <v>337.57</v>
      </c>
      <c r="E274" s="36"/>
      <c r="F274" s="40">
        <f t="shared" si="24"/>
        <v>0</v>
      </c>
      <c r="G274" s="40" t="e">
        <f>-PMT(Assumptions!B$25/12,Assumptions!B$24*12,F$8)*C274/100</f>
        <v>#NUM!</v>
      </c>
      <c r="H274" s="40" t="e">
        <f>G274*Assumptions!$B$24*12-F274</f>
        <v>#NUM!</v>
      </c>
      <c r="I274" s="48"/>
      <c r="J274" s="40">
        <f t="shared" si="25"/>
        <v>0</v>
      </c>
      <c r="K274" s="40" t="e">
        <f>-PMT(Assumptions!C$25/12,Assumptions!C$24*12,J$8)*C274/100</f>
        <v>#NUM!</v>
      </c>
      <c r="L274" s="40" t="e">
        <f>K274*Assumptions!$C$24*12-J274</f>
        <v>#NUM!</v>
      </c>
      <c r="M274" s="43"/>
      <c r="N274" s="40">
        <f t="shared" si="26"/>
        <v>2150</v>
      </c>
      <c r="O274" s="50">
        <f>-PMT(Assumptions!D$25/12,Assumptions!D$24*12,N$8)*C274/100</f>
        <v>22.804085776401177</v>
      </c>
      <c r="P274" s="44">
        <f>O274*Assumptions!$D$24*12-N274</f>
        <v>586.49029316814131</v>
      </c>
      <c r="Q274" s="48"/>
      <c r="R274" s="40">
        <f t="shared" si="27"/>
        <v>10750</v>
      </c>
      <c r="S274" s="40">
        <f>-PMT(Assumptions!E$25/12,Assumptions!E$24*12,$R$8)*$C274/100</f>
        <v>114.02042888200587</v>
      </c>
      <c r="T274" s="40">
        <f>S274*Assumptions!$E$24*12-R274</f>
        <v>2932.4514658407061</v>
      </c>
      <c r="U274" s="48"/>
      <c r="V274" s="40">
        <f t="shared" si="28"/>
        <v>0</v>
      </c>
      <c r="W274" s="40" t="e">
        <f>-PMT(Assumptions!F$25/12,Assumptions!F$24*12,$V$8)*$C274/100</f>
        <v>#NUM!</v>
      </c>
      <c r="X274" s="40" t="e">
        <f>W274*Assumptions!$F$24*12-V274</f>
        <v>#NUM!</v>
      </c>
      <c r="Y274" s="43"/>
      <c r="Z274" s="40">
        <f t="shared" si="29"/>
        <v>0</v>
      </c>
      <c r="AA274" s="50" t="e">
        <f>-PMT(Assumptions!G$25/12,Assumptions!G$24*12,$Z$8)*$C274/100</f>
        <v>#NUM!</v>
      </c>
      <c r="AB274" s="44" t="e">
        <f>AA274*Assumptions!$G$24*12-Z274</f>
        <v>#NUM!</v>
      </c>
      <c r="AD274" s="54">
        <f t="shared" si="42"/>
        <v>0</v>
      </c>
      <c r="AE274" s="54">
        <f t="shared" si="43"/>
        <v>0</v>
      </c>
      <c r="AF274" s="54">
        <f t="shared" si="44"/>
        <v>2150</v>
      </c>
      <c r="AG274" s="54">
        <f t="shared" si="45"/>
        <v>10750</v>
      </c>
      <c r="AH274" s="54">
        <f t="shared" si="46"/>
        <v>0</v>
      </c>
      <c r="AI274" s="54">
        <f t="shared" si="47"/>
        <v>0</v>
      </c>
    </row>
    <row r="275" spans="1:35" ht="15" x14ac:dyDescent="0.2">
      <c r="A275" s="56" t="s">
        <v>370</v>
      </c>
      <c r="B275" s="32"/>
      <c r="C275" s="56">
        <v>0.20399999999999999</v>
      </c>
      <c r="D275" s="56">
        <v>320.3</v>
      </c>
      <c r="E275" s="36"/>
      <c r="F275" s="40">
        <f t="shared" si="24"/>
        <v>0</v>
      </c>
      <c r="G275" s="40" t="e">
        <f>-PMT(Assumptions!B$25/12,Assumptions!B$24*12,F$8)*C275/100</f>
        <v>#NUM!</v>
      </c>
      <c r="H275" s="40" t="e">
        <f>G275*Assumptions!$B$24*12-F275</f>
        <v>#NUM!</v>
      </c>
      <c r="I275" s="48"/>
      <c r="J275" s="40">
        <f t="shared" si="25"/>
        <v>0</v>
      </c>
      <c r="K275" s="40" t="e">
        <f>-PMT(Assumptions!C$25/12,Assumptions!C$24*12,J$8)*C275/100</f>
        <v>#NUM!</v>
      </c>
      <c r="L275" s="40" t="e">
        <f>K275*Assumptions!$C$24*12-J275</f>
        <v>#NUM!</v>
      </c>
      <c r="M275" s="43"/>
      <c r="N275" s="40">
        <f t="shared" si="26"/>
        <v>2040</v>
      </c>
      <c r="O275" s="50">
        <f>-PMT(Assumptions!D$25/12,Assumptions!D$24*12,N$8)*C275/100</f>
        <v>21.637365108771345</v>
      </c>
      <c r="P275" s="44">
        <f>O275*Assumptions!$D$24*12-N275</f>
        <v>556.48381305256135</v>
      </c>
      <c r="Q275" s="48"/>
      <c r="R275" s="40">
        <f t="shared" si="27"/>
        <v>10199.999999999998</v>
      </c>
      <c r="S275" s="40">
        <f>-PMT(Assumptions!E$25/12,Assumptions!E$24*12,$R$8)*$C275/100</f>
        <v>108.18682554385674</v>
      </c>
      <c r="T275" s="40">
        <f>S275*Assumptions!$E$24*12-R275</f>
        <v>2782.4190652628095</v>
      </c>
      <c r="U275" s="48"/>
      <c r="V275" s="40">
        <f t="shared" si="28"/>
        <v>0</v>
      </c>
      <c r="W275" s="40" t="e">
        <f>-PMT(Assumptions!F$25/12,Assumptions!F$24*12,$V$8)*$C275/100</f>
        <v>#NUM!</v>
      </c>
      <c r="X275" s="40" t="e">
        <f>W275*Assumptions!$F$24*12-V275</f>
        <v>#NUM!</v>
      </c>
      <c r="Y275" s="43"/>
      <c r="Z275" s="40">
        <f t="shared" si="29"/>
        <v>0</v>
      </c>
      <c r="AA275" s="50" t="e">
        <f>-PMT(Assumptions!G$25/12,Assumptions!G$24*12,$Z$8)*$C275/100</f>
        <v>#NUM!</v>
      </c>
      <c r="AB275" s="44" t="e">
        <f>AA275*Assumptions!$G$24*12-Z275</f>
        <v>#NUM!</v>
      </c>
      <c r="AD275" s="54">
        <f t="shared" si="42"/>
        <v>0</v>
      </c>
      <c r="AE275" s="54">
        <f t="shared" si="43"/>
        <v>0</v>
      </c>
      <c r="AF275" s="54">
        <f t="shared" si="44"/>
        <v>2040</v>
      </c>
      <c r="AG275" s="54">
        <f t="shared" si="45"/>
        <v>10199.999999999998</v>
      </c>
      <c r="AH275" s="54">
        <f t="shared" si="46"/>
        <v>0</v>
      </c>
      <c r="AI275" s="54">
        <f t="shared" si="47"/>
        <v>0</v>
      </c>
    </row>
    <row r="276" spans="1:35" ht="15" x14ac:dyDescent="0.2">
      <c r="A276" s="56" t="s">
        <v>371</v>
      </c>
      <c r="B276" s="32"/>
      <c r="C276" s="56">
        <v>0.20399999999999999</v>
      </c>
      <c r="D276" s="56">
        <v>320.3</v>
      </c>
      <c r="E276" s="36"/>
      <c r="F276" s="40">
        <f t="shared" si="24"/>
        <v>0</v>
      </c>
      <c r="G276" s="40" t="e">
        <f>-PMT(Assumptions!B$25/12,Assumptions!B$24*12,F$8)*C276/100</f>
        <v>#NUM!</v>
      </c>
      <c r="H276" s="40" t="e">
        <f>G276*Assumptions!$B$24*12-F276</f>
        <v>#NUM!</v>
      </c>
      <c r="I276" s="48"/>
      <c r="J276" s="40">
        <f t="shared" si="25"/>
        <v>0</v>
      </c>
      <c r="K276" s="40" t="e">
        <f>-PMT(Assumptions!C$25/12,Assumptions!C$24*12,J$8)*C276/100</f>
        <v>#NUM!</v>
      </c>
      <c r="L276" s="40" t="e">
        <f>K276*Assumptions!$C$24*12-J276</f>
        <v>#NUM!</v>
      </c>
      <c r="M276" s="43"/>
      <c r="N276" s="40">
        <f t="shared" si="26"/>
        <v>2040</v>
      </c>
      <c r="O276" s="50">
        <f>-PMT(Assumptions!D$25/12,Assumptions!D$24*12,N$8)*C276/100</f>
        <v>21.637365108771345</v>
      </c>
      <c r="P276" s="44">
        <f>O276*Assumptions!$D$24*12-N276</f>
        <v>556.48381305256135</v>
      </c>
      <c r="Q276" s="48"/>
      <c r="R276" s="40">
        <f t="shared" si="27"/>
        <v>10199.999999999998</v>
      </c>
      <c r="S276" s="40">
        <f>-PMT(Assumptions!E$25/12,Assumptions!E$24*12,$R$8)*$C276/100</f>
        <v>108.18682554385674</v>
      </c>
      <c r="T276" s="40">
        <f>S276*Assumptions!$E$24*12-R276</f>
        <v>2782.4190652628095</v>
      </c>
      <c r="U276" s="48"/>
      <c r="V276" s="40">
        <f t="shared" si="28"/>
        <v>0</v>
      </c>
      <c r="W276" s="40" t="e">
        <f>-PMT(Assumptions!F$25/12,Assumptions!F$24*12,$V$8)*$C276/100</f>
        <v>#NUM!</v>
      </c>
      <c r="X276" s="40" t="e">
        <f>W276*Assumptions!$F$24*12-V276</f>
        <v>#NUM!</v>
      </c>
      <c r="Y276" s="43"/>
      <c r="Z276" s="40">
        <f t="shared" si="29"/>
        <v>0</v>
      </c>
      <c r="AA276" s="50" t="e">
        <f>-PMT(Assumptions!G$25/12,Assumptions!G$24*12,$Z$8)*$C276/100</f>
        <v>#NUM!</v>
      </c>
      <c r="AB276" s="44" t="e">
        <f>AA276*Assumptions!$G$24*12-Z276</f>
        <v>#NUM!</v>
      </c>
      <c r="AD276" s="54">
        <f t="shared" si="42"/>
        <v>0</v>
      </c>
      <c r="AE276" s="54">
        <f t="shared" si="43"/>
        <v>0</v>
      </c>
      <c r="AF276" s="54">
        <f t="shared" si="44"/>
        <v>2040</v>
      </c>
      <c r="AG276" s="54">
        <f t="shared" si="45"/>
        <v>10199.999999999998</v>
      </c>
      <c r="AH276" s="54">
        <f t="shared" si="46"/>
        <v>0</v>
      </c>
      <c r="AI276" s="54">
        <f t="shared" si="47"/>
        <v>0</v>
      </c>
    </row>
    <row r="277" spans="1:35" ht="15" x14ac:dyDescent="0.2">
      <c r="A277" s="56" t="s">
        <v>372</v>
      </c>
      <c r="B277" s="32"/>
      <c r="C277" s="56">
        <v>0.28199999999999997</v>
      </c>
      <c r="D277" s="56">
        <v>442.77</v>
      </c>
      <c r="E277" s="36"/>
      <c r="F277" s="40">
        <f t="shared" si="24"/>
        <v>0</v>
      </c>
      <c r="G277" s="40" t="e">
        <f>-PMT(Assumptions!B$25/12,Assumptions!B$24*12,F$8)*C277/100</f>
        <v>#NUM!</v>
      </c>
      <c r="H277" s="40" t="e">
        <f>G277*Assumptions!$B$24*12-F277</f>
        <v>#NUM!</v>
      </c>
      <c r="I277" s="48"/>
      <c r="J277" s="40">
        <f t="shared" si="25"/>
        <v>0</v>
      </c>
      <c r="K277" s="40" t="e">
        <f>-PMT(Assumptions!C$25/12,Assumptions!C$24*12,J$8)*C277/100</f>
        <v>#NUM!</v>
      </c>
      <c r="L277" s="40" t="e">
        <f>K277*Assumptions!$C$24*12-J277</f>
        <v>#NUM!</v>
      </c>
      <c r="M277" s="43"/>
      <c r="N277" s="40">
        <f t="shared" si="26"/>
        <v>2820</v>
      </c>
      <c r="O277" s="50">
        <f>-PMT(Assumptions!D$25/12,Assumptions!D$24*12,N$8)*C277/100</f>
        <v>29.910475297419211</v>
      </c>
      <c r="P277" s="44">
        <f>O277*Assumptions!$D$24*12-N277</f>
        <v>769.25703569030566</v>
      </c>
      <c r="Q277" s="48"/>
      <c r="R277" s="40">
        <f t="shared" si="27"/>
        <v>14099.999999999998</v>
      </c>
      <c r="S277" s="40">
        <f>-PMT(Assumptions!E$25/12,Assumptions!E$24*12,$R$8)*$C277/100</f>
        <v>149.55237648709607</v>
      </c>
      <c r="T277" s="40">
        <f>S277*Assumptions!$E$24*12-R277</f>
        <v>3846.2851784515315</v>
      </c>
      <c r="U277" s="48"/>
      <c r="V277" s="40">
        <f t="shared" si="28"/>
        <v>0</v>
      </c>
      <c r="W277" s="40" t="e">
        <f>-PMT(Assumptions!F$25/12,Assumptions!F$24*12,$V$8)*$C277/100</f>
        <v>#NUM!</v>
      </c>
      <c r="X277" s="40" t="e">
        <f>W277*Assumptions!$F$24*12-V277</f>
        <v>#NUM!</v>
      </c>
      <c r="Y277" s="43"/>
      <c r="Z277" s="40">
        <f t="shared" si="29"/>
        <v>0</v>
      </c>
      <c r="AA277" s="50" t="e">
        <f>-PMT(Assumptions!G$25/12,Assumptions!G$24*12,$Z$8)*$C277/100</f>
        <v>#NUM!</v>
      </c>
      <c r="AB277" s="44" t="e">
        <f>AA277*Assumptions!$G$24*12-Z277</f>
        <v>#NUM!</v>
      </c>
      <c r="AD277" s="54">
        <f t="shared" si="42"/>
        <v>0</v>
      </c>
      <c r="AE277" s="54">
        <f t="shared" si="43"/>
        <v>0</v>
      </c>
      <c r="AF277" s="54">
        <f t="shared" si="44"/>
        <v>2820</v>
      </c>
      <c r="AG277" s="54">
        <f t="shared" si="45"/>
        <v>14099.999999999998</v>
      </c>
      <c r="AH277" s="54">
        <f t="shared" si="46"/>
        <v>0</v>
      </c>
      <c r="AI277" s="54">
        <f t="shared" si="47"/>
        <v>0</v>
      </c>
    </row>
    <row r="278" spans="1:35" ht="15" x14ac:dyDescent="0.2">
      <c r="A278" s="56" t="s">
        <v>373</v>
      </c>
      <c r="B278" s="32"/>
      <c r="C278" s="56">
        <v>0.28199999999999997</v>
      </c>
      <c r="D278" s="56">
        <v>442.77</v>
      </c>
      <c r="E278" s="36"/>
      <c r="F278" s="40">
        <f t="shared" si="24"/>
        <v>0</v>
      </c>
      <c r="G278" s="40" t="e">
        <f>-PMT(Assumptions!B$25/12,Assumptions!B$24*12,F$8)*C278/100</f>
        <v>#NUM!</v>
      </c>
      <c r="H278" s="40" t="e">
        <f>G278*Assumptions!$B$24*12-F278</f>
        <v>#NUM!</v>
      </c>
      <c r="I278" s="48"/>
      <c r="J278" s="40">
        <f t="shared" si="25"/>
        <v>0</v>
      </c>
      <c r="K278" s="40" t="e">
        <f>-PMT(Assumptions!C$25/12,Assumptions!C$24*12,J$8)*C278/100</f>
        <v>#NUM!</v>
      </c>
      <c r="L278" s="40" t="e">
        <f>K278*Assumptions!$C$24*12-J278</f>
        <v>#NUM!</v>
      </c>
      <c r="M278" s="43"/>
      <c r="N278" s="40">
        <f t="shared" si="26"/>
        <v>2820</v>
      </c>
      <c r="O278" s="50">
        <f>-PMT(Assumptions!D$25/12,Assumptions!D$24*12,N$8)*C278/100</f>
        <v>29.910475297419211</v>
      </c>
      <c r="P278" s="44">
        <f>O278*Assumptions!$D$24*12-N278</f>
        <v>769.25703569030566</v>
      </c>
      <c r="Q278" s="48"/>
      <c r="R278" s="40">
        <f t="shared" si="27"/>
        <v>14099.999999999998</v>
      </c>
      <c r="S278" s="40">
        <f>-PMT(Assumptions!E$25/12,Assumptions!E$24*12,$R$8)*$C278/100</f>
        <v>149.55237648709607</v>
      </c>
      <c r="T278" s="40">
        <f>S278*Assumptions!$E$24*12-R278</f>
        <v>3846.2851784515315</v>
      </c>
      <c r="U278" s="48"/>
      <c r="V278" s="40">
        <f t="shared" si="28"/>
        <v>0</v>
      </c>
      <c r="W278" s="40" t="e">
        <f>-PMT(Assumptions!F$25/12,Assumptions!F$24*12,$V$8)*$C278/100</f>
        <v>#NUM!</v>
      </c>
      <c r="X278" s="40" t="e">
        <f>W278*Assumptions!$F$24*12-V278</f>
        <v>#NUM!</v>
      </c>
      <c r="Y278" s="43"/>
      <c r="Z278" s="40">
        <f t="shared" si="29"/>
        <v>0</v>
      </c>
      <c r="AA278" s="50" t="e">
        <f>-PMT(Assumptions!G$25/12,Assumptions!G$24*12,$Z$8)*$C278/100</f>
        <v>#NUM!</v>
      </c>
      <c r="AB278" s="44" t="e">
        <f>AA278*Assumptions!$G$24*12-Z278</f>
        <v>#NUM!</v>
      </c>
      <c r="AD278" s="54">
        <f t="shared" si="42"/>
        <v>0</v>
      </c>
      <c r="AE278" s="54">
        <f t="shared" si="43"/>
        <v>0</v>
      </c>
      <c r="AF278" s="54">
        <f t="shared" si="44"/>
        <v>2820</v>
      </c>
      <c r="AG278" s="54">
        <f t="shared" si="45"/>
        <v>14099.999999999998</v>
      </c>
      <c r="AH278" s="54">
        <f t="shared" si="46"/>
        <v>0</v>
      </c>
      <c r="AI278" s="54">
        <f t="shared" si="47"/>
        <v>0</v>
      </c>
    </row>
    <row r="279" spans="1:35" ht="15" x14ac:dyDescent="0.2">
      <c r="A279" s="56" t="s">
        <v>374</v>
      </c>
      <c r="B279" s="32"/>
      <c r="C279" s="56">
        <v>0.28100000000000003</v>
      </c>
      <c r="D279" s="56">
        <v>441.2</v>
      </c>
      <c r="E279" s="36"/>
      <c r="F279" s="40">
        <f t="shared" si="24"/>
        <v>0</v>
      </c>
      <c r="G279" s="40" t="e">
        <f>-PMT(Assumptions!B$25/12,Assumptions!B$24*12,F$8)*C279/100</f>
        <v>#NUM!</v>
      </c>
      <c r="H279" s="40" t="e">
        <f>G279*Assumptions!$B$24*12-F279</f>
        <v>#NUM!</v>
      </c>
      <c r="I279" s="48"/>
      <c r="J279" s="40">
        <f t="shared" si="25"/>
        <v>0</v>
      </c>
      <c r="K279" s="40" t="e">
        <f>-PMT(Assumptions!C$25/12,Assumptions!C$24*12,J$8)*C279/100</f>
        <v>#NUM!</v>
      </c>
      <c r="L279" s="40" t="e">
        <f>K279*Assumptions!$C$24*12-J279</f>
        <v>#NUM!</v>
      </c>
      <c r="M279" s="43"/>
      <c r="N279" s="40">
        <f t="shared" si="26"/>
        <v>2810</v>
      </c>
      <c r="O279" s="50">
        <f>-PMT(Assumptions!D$25/12,Assumptions!D$24*12,N$8)*C279/100</f>
        <v>29.804409782180141</v>
      </c>
      <c r="P279" s="44">
        <f>O279*Assumptions!$D$24*12-N279</f>
        <v>766.52917386161698</v>
      </c>
      <c r="Q279" s="48"/>
      <c r="R279" s="40">
        <f t="shared" si="27"/>
        <v>14050.000000000002</v>
      </c>
      <c r="S279" s="40">
        <f>-PMT(Assumptions!E$25/12,Assumptions!E$24*12,$R$8)*$C279/100</f>
        <v>149.02204891090071</v>
      </c>
      <c r="T279" s="40">
        <f>S279*Assumptions!$E$24*12-R279</f>
        <v>3832.645869308084</v>
      </c>
      <c r="U279" s="48"/>
      <c r="V279" s="40">
        <f t="shared" si="28"/>
        <v>0</v>
      </c>
      <c r="W279" s="40" t="e">
        <f>-PMT(Assumptions!F$25/12,Assumptions!F$24*12,$V$8)*$C279/100</f>
        <v>#NUM!</v>
      </c>
      <c r="X279" s="40" t="e">
        <f>W279*Assumptions!$F$24*12-V279</f>
        <v>#NUM!</v>
      </c>
      <c r="Y279" s="43"/>
      <c r="Z279" s="40">
        <f t="shared" si="29"/>
        <v>0</v>
      </c>
      <c r="AA279" s="50" t="e">
        <f>-PMT(Assumptions!G$25/12,Assumptions!G$24*12,$Z$8)*$C279/100</f>
        <v>#NUM!</v>
      </c>
      <c r="AB279" s="44" t="e">
        <f>AA279*Assumptions!$G$24*12-Z279</f>
        <v>#NUM!</v>
      </c>
      <c r="AD279" s="54">
        <f t="shared" si="42"/>
        <v>0</v>
      </c>
      <c r="AE279" s="54">
        <f t="shared" si="43"/>
        <v>0</v>
      </c>
      <c r="AF279" s="54">
        <f t="shared" si="44"/>
        <v>2810</v>
      </c>
      <c r="AG279" s="54">
        <f t="shared" si="45"/>
        <v>14050.000000000002</v>
      </c>
      <c r="AH279" s="54">
        <f t="shared" si="46"/>
        <v>0</v>
      </c>
      <c r="AI279" s="54">
        <f t="shared" si="47"/>
        <v>0</v>
      </c>
    </row>
    <row r="280" spans="1:35" ht="15" x14ac:dyDescent="0.2">
      <c r="A280" s="56" t="s">
        <v>375</v>
      </c>
      <c r="B280" s="32"/>
      <c r="C280" s="56">
        <v>0.28100000000000003</v>
      </c>
      <c r="D280" s="56">
        <v>441.2</v>
      </c>
      <c r="E280" s="36"/>
      <c r="F280" s="40">
        <f t="shared" si="24"/>
        <v>0</v>
      </c>
      <c r="G280" s="40" t="e">
        <f>-PMT(Assumptions!B$25/12,Assumptions!B$24*12,F$8)*C280/100</f>
        <v>#NUM!</v>
      </c>
      <c r="H280" s="40" t="e">
        <f>G280*Assumptions!$B$24*12-F280</f>
        <v>#NUM!</v>
      </c>
      <c r="I280" s="48"/>
      <c r="J280" s="40">
        <f t="shared" si="25"/>
        <v>0</v>
      </c>
      <c r="K280" s="40" t="e">
        <f>-PMT(Assumptions!C$25/12,Assumptions!C$24*12,J$8)*C280/100</f>
        <v>#NUM!</v>
      </c>
      <c r="L280" s="40" t="e">
        <f>K280*Assumptions!$C$24*12-J280</f>
        <v>#NUM!</v>
      </c>
      <c r="M280" s="43"/>
      <c r="N280" s="40">
        <f t="shared" si="26"/>
        <v>2810</v>
      </c>
      <c r="O280" s="50">
        <f>-PMT(Assumptions!D$25/12,Assumptions!D$24*12,N$8)*C280/100</f>
        <v>29.804409782180141</v>
      </c>
      <c r="P280" s="44">
        <f>O280*Assumptions!$D$24*12-N280</f>
        <v>766.52917386161698</v>
      </c>
      <c r="Q280" s="48"/>
      <c r="R280" s="40">
        <f t="shared" si="27"/>
        <v>14050.000000000002</v>
      </c>
      <c r="S280" s="40">
        <f>-PMT(Assumptions!E$25/12,Assumptions!E$24*12,$R$8)*$C280/100</f>
        <v>149.02204891090071</v>
      </c>
      <c r="T280" s="40">
        <f>S280*Assumptions!$E$24*12-R280</f>
        <v>3832.645869308084</v>
      </c>
      <c r="U280" s="48"/>
      <c r="V280" s="40">
        <f t="shared" si="28"/>
        <v>0</v>
      </c>
      <c r="W280" s="40" t="e">
        <f>-PMT(Assumptions!F$25/12,Assumptions!F$24*12,$V$8)*$C280/100</f>
        <v>#NUM!</v>
      </c>
      <c r="X280" s="40" t="e">
        <f>W280*Assumptions!$F$24*12-V280</f>
        <v>#NUM!</v>
      </c>
      <c r="Y280" s="43"/>
      <c r="Z280" s="40">
        <f t="shared" si="29"/>
        <v>0</v>
      </c>
      <c r="AA280" s="50" t="e">
        <f>-PMT(Assumptions!G$25/12,Assumptions!G$24*12,$Z$8)*$C280/100</f>
        <v>#NUM!</v>
      </c>
      <c r="AB280" s="44" t="e">
        <f>AA280*Assumptions!$G$24*12-Z280</f>
        <v>#NUM!</v>
      </c>
      <c r="AD280" s="54">
        <f t="shared" si="42"/>
        <v>0</v>
      </c>
      <c r="AE280" s="54">
        <f t="shared" si="43"/>
        <v>0</v>
      </c>
      <c r="AF280" s="54">
        <f t="shared" si="44"/>
        <v>2810</v>
      </c>
      <c r="AG280" s="54">
        <f t="shared" si="45"/>
        <v>14050.000000000002</v>
      </c>
      <c r="AH280" s="54">
        <f t="shared" si="46"/>
        <v>0</v>
      </c>
      <c r="AI280" s="54">
        <f t="shared" si="47"/>
        <v>0</v>
      </c>
    </row>
    <row r="281" spans="1:35" ht="15" x14ac:dyDescent="0.2">
      <c r="A281" s="56" t="s">
        <v>376</v>
      </c>
      <c r="B281" s="32"/>
      <c r="C281" s="56">
        <v>0.2</v>
      </c>
      <c r="D281" s="56">
        <v>314.02</v>
      </c>
      <c r="E281" s="36"/>
      <c r="F281" s="40">
        <f t="shared" si="24"/>
        <v>0</v>
      </c>
      <c r="G281" s="40" t="e">
        <f>-PMT(Assumptions!B$25/12,Assumptions!B$24*12,F$8)*C281/100</f>
        <v>#NUM!</v>
      </c>
      <c r="H281" s="40" t="e">
        <f>G281*Assumptions!$B$24*12-F281</f>
        <v>#NUM!</v>
      </c>
      <c r="I281" s="48"/>
      <c r="J281" s="40">
        <f t="shared" si="25"/>
        <v>0</v>
      </c>
      <c r="K281" s="40" t="e">
        <f>-PMT(Assumptions!C$25/12,Assumptions!C$24*12,J$8)*C281/100</f>
        <v>#NUM!</v>
      </c>
      <c r="L281" s="40" t="e">
        <f>K281*Assumptions!$C$24*12-J281</f>
        <v>#NUM!</v>
      </c>
      <c r="M281" s="43"/>
      <c r="N281" s="40">
        <f t="shared" si="26"/>
        <v>2000</v>
      </c>
      <c r="O281" s="50">
        <f>-PMT(Assumptions!D$25/12,Assumptions!D$24*12,N$8)*C281/100</f>
        <v>21.213103047815046</v>
      </c>
      <c r="P281" s="44">
        <f>O281*Assumptions!$D$24*12-N281</f>
        <v>545.57236573780574</v>
      </c>
      <c r="Q281" s="48"/>
      <c r="R281" s="40">
        <f t="shared" si="27"/>
        <v>10000</v>
      </c>
      <c r="S281" s="40">
        <f>-PMT(Assumptions!E$25/12,Assumptions!E$24*12,$R$8)*$C281/100</f>
        <v>106.06551523907525</v>
      </c>
      <c r="T281" s="40">
        <f>S281*Assumptions!$E$24*12-R281</f>
        <v>2727.8618286890305</v>
      </c>
      <c r="U281" s="48"/>
      <c r="V281" s="40">
        <f t="shared" si="28"/>
        <v>0</v>
      </c>
      <c r="W281" s="40" t="e">
        <f>-PMT(Assumptions!F$25/12,Assumptions!F$24*12,$V$8)*$C281/100</f>
        <v>#NUM!</v>
      </c>
      <c r="X281" s="40" t="e">
        <f>W281*Assumptions!$F$24*12-V281</f>
        <v>#NUM!</v>
      </c>
      <c r="Y281" s="43"/>
      <c r="Z281" s="40">
        <f t="shared" si="29"/>
        <v>0</v>
      </c>
      <c r="AA281" s="50" t="e">
        <f>-PMT(Assumptions!G$25/12,Assumptions!G$24*12,$Z$8)*$C281/100</f>
        <v>#NUM!</v>
      </c>
      <c r="AB281" s="44" t="e">
        <f>AA281*Assumptions!$G$24*12-Z281</f>
        <v>#NUM!</v>
      </c>
      <c r="AD281" s="54">
        <f t="shared" si="42"/>
        <v>0</v>
      </c>
      <c r="AE281" s="54">
        <f t="shared" si="43"/>
        <v>0</v>
      </c>
      <c r="AF281" s="54">
        <f t="shared" si="44"/>
        <v>2000</v>
      </c>
      <c r="AG281" s="54">
        <f t="shared" si="45"/>
        <v>10000</v>
      </c>
      <c r="AH281" s="54">
        <f t="shared" si="46"/>
        <v>0</v>
      </c>
      <c r="AI281" s="54">
        <f t="shared" si="47"/>
        <v>0</v>
      </c>
    </row>
    <row r="282" spans="1:35" ht="15" x14ac:dyDescent="0.2">
      <c r="A282" s="56" t="s">
        <v>377</v>
      </c>
      <c r="B282" s="32"/>
      <c r="C282" s="56">
        <v>0.2</v>
      </c>
      <c r="D282" s="56">
        <v>314.02</v>
      </c>
      <c r="E282" s="36"/>
      <c r="F282" s="40">
        <f t="shared" si="24"/>
        <v>0</v>
      </c>
      <c r="G282" s="40" t="e">
        <f>-PMT(Assumptions!B$25/12,Assumptions!B$24*12,F$8)*C282/100</f>
        <v>#NUM!</v>
      </c>
      <c r="H282" s="40" t="e">
        <f>G282*Assumptions!$B$24*12-F282</f>
        <v>#NUM!</v>
      </c>
      <c r="I282" s="48"/>
      <c r="J282" s="40">
        <f t="shared" si="25"/>
        <v>0</v>
      </c>
      <c r="K282" s="40" t="e">
        <f>-PMT(Assumptions!C$25/12,Assumptions!C$24*12,J$8)*C282/100</f>
        <v>#NUM!</v>
      </c>
      <c r="L282" s="40" t="e">
        <f>K282*Assumptions!$C$24*12-J282</f>
        <v>#NUM!</v>
      </c>
      <c r="M282" s="43"/>
      <c r="N282" s="40">
        <f t="shared" si="26"/>
        <v>2000</v>
      </c>
      <c r="O282" s="50">
        <f>-PMT(Assumptions!D$25/12,Assumptions!D$24*12,N$8)*C282/100</f>
        <v>21.213103047815046</v>
      </c>
      <c r="P282" s="44">
        <f>O282*Assumptions!$D$24*12-N282</f>
        <v>545.57236573780574</v>
      </c>
      <c r="Q282" s="48"/>
      <c r="R282" s="40">
        <f t="shared" si="27"/>
        <v>10000</v>
      </c>
      <c r="S282" s="40">
        <f>-PMT(Assumptions!E$25/12,Assumptions!E$24*12,$R$8)*$C282/100</f>
        <v>106.06551523907525</v>
      </c>
      <c r="T282" s="40">
        <f>S282*Assumptions!$E$24*12-R282</f>
        <v>2727.8618286890305</v>
      </c>
      <c r="U282" s="48"/>
      <c r="V282" s="40">
        <f t="shared" si="28"/>
        <v>0</v>
      </c>
      <c r="W282" s="40" t="e">
        <f>-PMT(Assumptions!F$25/12,Assumptions!F$24*12,$V$8)*$C282/100</f>
        <v>#NUM!</v>
      </c>
      <c r="X282" s="40" t="e">
        <f>W282*Assumptions!$F$24*12-V282</f>
        <v>#NUM!</v>
      </c>
      <c r="Y282" s="43"/>
      <c r="Z282" s="40">
        <f t="shared" si="29"/>
        <v>0</v>
      </c>
      <c r="AA282" s="50" t="e">
        <f>-PMT(Assumptions!G$25/12,Assumptions!G$24*12,$Z$8)*$C282/100</f>
        <v>#NUM!</v>
      </c>
      <c r="AB282" s="44" t="e">
        <f>AA282*Assumptions!$G$24*12-Z282</f>
        <v>#NUM!</v>
      </c>
      <c r="AD282" s="54">
        <f t="shared" ref="AD282:AD345" si="48">+F282</f>
        <v>0</v>
      </c>
      <c r="AE282" s="54">
        <f t="shared" ref="AE282:AE345" si="49">+J282</f>
        <v>0</v>
      </c>
      <c r="AF282" s="54">
        <f t="shared" ref="AF282:AF345" si="50">+N282</f>
        <v>2000</v>
      </c>
      <c r="AG282" s="54">
        <f t="shared" ref="AG282:AG345" si="51">+R282</f>
        <v>10000</v>
      </c>
      <c r="AH282" s="54">
        <f t="shared" ref="AH282:AH345" si="52">+V282</f>
        <v>0</v>
      </c>
      <c r="AI282" s="54">
        <f t="shared" ref="AI282:AI345" si="53">+Z282</f>
        <v>0</v>
      </c>
    </row>
    <row r="283" spans="1:35" ht="15" x14ac:dyDescent="0.2">
      <c r="A283" s="56" t="s">
        <v>378</v>
      </c>
      <c r="B283" s="32"/>
      <c r="C283" s="56">
        <v>0.14499999999999999</v>
      </c>
      <c r="D283" s="56">
        <v>227.66</v>
      </c>
      <c r="E283" s="36"/>
      <c r="F283" s="40">
        <f t="shared" si="24"/>
        <v>0</v>
      </c>
      <c r="G283" s="40" t="e">
        <f>-PMT(Assumptions!B$25/12,Assumptions!B$24*12,F$8)*C283/100</f>
        <v>#NUM!</v>
      </c>
      <c r="H283" s="40" t="e">
        <f>G283*Assumptions!$B$24*12-F283</f>
        <v>#NUM!</v>
      </c>
      <c r="I283" s="48"/>
      <c r="J283" s="40">
        <f t="shared" si="25"/>
        <v>0</v>
      </c>
      <c r="K283" s="40" t="e">
        <f>-PMT(Assumptions!C$25/12,Assumptions!C$24*12,J$8)*C283/100</f>
        <v>#NUM!</v>
      </c>
      <c r="L283" s="40" t="e">
        <f>K283*Assumptions!$C$24*12-J283</f>
        <v>#NUM!</v>
      </c>
      <c r="M283" s="43"/>
      <c r="N283" s="40">
        <f t="shared" si="26"/>
        <v>1450</v>
      </c>
      <c r="O283" s="50">
        <f>-PMT(Assumptions!D$25/12,Assumptions!D$24*12,N$8)*C283/100</f>
        <v>15.379499709665906</v>
      </c>
      <c r="P283" s="44">
        <f>O283*Assumptions!$D$24*12-N283</f>
        <v>395.53996515990866</v>
      </c>
      <c r="Q283" s="48"/>
      <c r="R283" s="40">
        <f t="shared" si="27"/>
        <v>7250</v>
      </c>
      <c r="S283" s="40">
        <f>-PMT(Assumptions!E$25/12,Assumptions!E$24*12,$R$8)*$C283/100</f>
        <v>76.897498548329537</v>
      </c>
      <c r="T283" s="40">
        <f>S283*Assumptions!$E$24*12-R283</f>
        <v>1977.6998257995438</v>
      </c>
      <c r="U283" s="48"/>
      <c r="V283" s="40">
        <f t="shared" si="28"/>
        <v>0</v>
      </c>
      <c r="W283" s="40" t="e">
        <f>-PMT(Assumptions!F$25/12,Assumptions!F$24*12,$V$8)*$C283/100</f>
        <v>#NUM!</v>
      </c>
      <c r="X283" s="40" t="e">
        <f>W283*Assumptions!$F$24*12-V283</f>
        <v>#NUM!</v>
      </c>
      <c r="Y283" s="43"/>
      <c r="Z283" s="40">
        <f t="shared" si="29"/>
        <v>0</v>
      </c>
      <c r="AA283" s="50" t="e">
        <f>-PMT(Assumptions!G$25/12,Assumptions!G$24*12,$Z$8)*$C283/100</f>
        <v>#NUM!</v>
      </c>
      <c r="AB283" s="44" t="e">
        <f>AA283*Assumptions!$G$24*12-Z283</f>
        <v>#NUM!</v>
      </c>
      <c r="AD283" s="54">
        <f t="shared" si="48"/>
        <v>0</v>
      </c>
      <c r="AE283" s="54">
        <f t="shared" si="49"/>
        <v>0</v>
      </c>
      <c r="AF283" s="54">
        <f t="shared" si="50"/>
        <v>1450</v>
      </c>
      <c r="AG283" s="54">
        <f t="shared" si="51"/>
        <v>7250</v>
      </c>
      <c r="AH283" s="54">
        <f t="shared" si="52"/>
        <v>0</v>
      </c>
      <c r="AI283" s="54">
        <f t="shared" si="53"/>
        <v>0</v>
      </c>
    </row>
    <row r="284" spans="1:35" ht="15" x14ac:dyDescent="0.2">
      <c r="A284" s="56" t="s">
        <v>379</v>
      </c>
      <c r="B284" s="32"/>
      <c r="C284" s="56">
        <v>0.154</v>
      </c>
      <c r="D284" s="56">
        <v>241.8</v>
      </c>
      <c r="E284" s="36"/>
      <c r="F284" s="40">
        <f t="shared" si="24"/>
        <v>0</v>
      </c>
      <c r="G284" s="40" t="e">
        <f>-PMT(Assumptions!B$25/12,Assumptions!B$24*12,F$8)*C284/100</f>
        <v>#NUM!</v>
      </c>
      <c r="H284" s="40" t="e">
        <f>G284*Assumptions!$B$24*12-F284</f>
        <v>#NUM!</v>
      </c>
      <c r="I284" s="48"/>
      <c r="J284" s="40">
        <f t="shared" si="25"/>
        <v>0</v>
      </c>
      <c r="K284" s="40" t="e">
        <f>-PMT(Assumptions!C$25/12,Assumptions!C$24*12,J$8)*C284/100</f>
        <v>#NUM!</v>
      </c>
      <c r="L284" s="40" t="e">
        <f>K284*Assumptions!$C$24*12-J284</f>
        <v>#NUM!</v>
      </c>
      <c r="M284" s="43"/>
      <c r="N284" s="40">
        <f t="shared" si="26"/>
        <v>1540</v>
      </c>
      <c r="O284" s="50">
        <f>-PMT(Assumptions!D$25/12,Assumptions!D$24*12,N$8)*C284/100</f>
        <v>16.334089346817585</v>
      </c>
      <c r="P284" s="44">
        <f>O284*Assumptions!$D$24*12-N284</f>
        <v>420.09072161811036</v>
      </c>
      <c r="Q284" s="48"/>
      <c r="R284" s="40">
        <f t="shared" si="27"/>
        <v>7700</v>
      </c>
      <c r="S284" s="40">
        <f>-PMT(Assumptions!E$25/12,Assumptions!E$24*12,$R$8)*$C284/100</f>
        <v>81.670446734087932</v>
      </c>
      <c r="T284" s="40">
        <f>S284*Assumptions!$E$24*12-R284</f>
        <v>2100.4536080905527</v>
      </c>
      <c r="U284" s="48"/>
      <c r="V284" s="40">
        <f t="shared" si="28"/>
        <v>0</v>
      </c>
      <c r="W284" s="40" t="e">
        <f>-PMT(Assumptions!F$25/12,Assumptions!F$24*12,$V$8)*$C284/100</f>
        <v>#NUM!</v>
      </c>
      <c r="X284" s="40" t="e">
        <f>W284*Assumptions!$F$24*12-V284</f>
        <v>#NUM!</v>
      </c>
      <c r="Y284" s="43"/>
      <c r="Z284" s="40">
        <f t="shared" si="29"/>
        <v>0</v>
      </c>
      <c r="AA284" s="50" t="e">
        <f>-PMT(Assumptions!G$25/12,Assumptions!G$24*12,$Z$8)*$C284/100</f>
        <v>#NUM!</v>
      </c>
      <c r="AB284" s="44" t="e">
        <f>AA284*Assumptions!$G$24*12-Z284</f>
        <v>#NUM!</v>
      </c>
      <c r="AD284" s="54">
        <f t="shared" si="48"/>
        <v>0</v>
      </c>
      <c r="AE284" s="54">
        <f t="shared" si="49"/>
        <v>0</v>
      </c>
      <c r="AF284" s="54">
        <f t="shared" si="50"/>
        <v>1540</v>
      </c>
      <c r="AG284" s="54">
        <f t="shared" si="51"/>
        <v>7700</v>
      </c>
      <c r="AH284" s="54">
        <f t="shared" si="52"/>
        <v>0</v>
      </c>
      <c r="AI284" s="54">
        <f t="shared" si="53"/>
        <v>0</v>
      </c>
    </row>
    <row r="285" spans="1:35" ht="15" x14ac:dyDescent="0.2">
      <c r="A285" s="56" t="s">
        <v>380</v>
      </c>
      <c r="B285" s="32"/>
      <c r="C285" s="56">
        <v>0.14499999999999999</v>
      </c>
      <c r="D285" s="56">
        <v>227.66</v>
      </c>
      <c r="E285" s="36"/>
      <c r="F285" s="40">
        <f t="shared" si="24"/>
        <v>0</v>
      </c>
      <c r="G285" s="40" t="e">
        <f>-PMT(Assumptions!B$25/12,Assumptions!B$24*12,F$8)*C285/100</f>
        <v>#NUM!</v>
      </c>
      <c r="H285" s="40" t="e">
        <f>G285*Assumptions!$B$24*12-F285</f>
        <v>#NUM!</v>
      </c>
      <c r="I285" s="48"/>
      <c r="J285" s="40">
        <f t="shared" si="25"/>
        <v>0</v>
      </c>
      <c r="K285" s="40" t="e">
        <f>-PMT(Assumptions!C$25/12,Assumptions!C$24*12,J$8)*C285/100</f>
        <v>#NUM!</v>
      </c>
      <c r="L285" s="40" t="e">
        <f>K285*Assumptions!$C$24*12-J285</f>
        <v>#NUM!</v>
      </c>
      <c r="M285" s="43"/>
      <c r="N285" s="40">
        <f t="shared" si="26"/>
        <v>1450</v>
      </c>
      <c r="O285" s="50">
        <f>-PMT(Assumptions!D$25/12,Assumptions!D$24*12,N$8)*C285/100</f>
        <v>15.379499709665906</v>
      </c>
      <c r="P285" s="44">
        <f>O285*Assumptions!$D$24*12-N285</f>
        <v>395.53996515990866</v>
      </c>
      <c r="Q285" s="48"/>
      <c r="R285" s="40">
        <f t="shared" si="27"/>
        <v>7250</v>
      </c>
      <c r="S285" s="40">
        <f>-PMT(Assumptions!E$25/12,Assumptions!E$24*12,$R$8)*$C285/100</f>
        <v>76.897498548329537</v>
      </c>
      <c r="T285" s="40">
        <f>S285*Assumptions!$E$24*12-R285</f>
        <v>1977.6998257995438</v>
      </c>
      <c r="U285" s="48"/>
      <c r="V285" s="40">
        <f t="shared" si="28"/>
        <v>0</v>
      </c>
      <c r="W285" s="40" t="e">
        <f>-PMT(Assumptions!F$25/12,Assumptions!F$24*12,$V$8)*$C285/100</f>
        <v>#NUM!</v>
      </c>
      <c r="X285" s="40" t="e">
        <f>W285*Assumptions!$F$24*12-V285</f>
        <v>#NUM!</v>
      </c>
      <c r="Y285" s="43"/>
      <c r="Z285" s="40">
        <f t="shared" si="29"/>
        <v>0</v>
      </c>
      <c r="AA285" s="50" t="e">
        <f>-PMT(Assumptions!G$25/12,Assumptions!G$24*12,$Z$8)*$C285/100</f>
        <v>#NUM!</v>
      </c>
      <c r="AB285" s="44" t="e">
        <f>AA285*Assumptions!$G$24*12-Z285</f>
        <v>#NUM!</v>
      </c>
      <c r="AD285" s="54">
        <f t="shared" si="48"/>
        <v>0</v>
      </c>
      <c r="AE285" s="54">
        <f t="shared" si="49"/>
        <v>0</v>
      </c>
      <c r="AF285" s="54">
        <f t="shared" si="50"/>
        <v>1450</v>
      </c>
      <c r="AG285" s="54">
        <f t="shared" si="51"/>
        <v>7250</v>
      </c>
      <c r="AH285" s="54">
        <f t="shared" si="52"/>
        <v>0</v>
      </c>
      <c r="AI285" s="54">
        <f t="shared" si="53"/>
        <v>0</v>
      </c>
    </row>
    <row r="286" spans="1:35" ht="15" x14ac:dyDescent="0.2">
      <c r="A286" s="56" t="s">
        <v>381</v>
      </c>
      <c r="B286" s="32"/>
      <c r="C286" s="56">
        <v>0.154</v>
      </c>
      <c r="D286" s="56">
        <v>241.8</v>
      </c>
      <c r="E286" s="36"/>
      <c r="F286" s="40">
        <f t="shared" si="24"/>
        <v>0</v>
      </c>
      <c r="G286" s="40" t="e">
        <f>-PMT(Assumptions!B$25/12,Assumptions!B$24*12,F$8)*C286/100</f>
        <v>#NUM!</v>
      </c>
      <c r="H286" s="40" t="e">
        <f>G286*Assumptions!$B$24*12-F286</f>
        <v>#NUM!</v>
      </c>
      <c r="I286" s="48"/>
      <c r="J286" s="40">
        <f t="shared" si="25"/>
        <v>0</v>
      </c>
      <c r="K286" s="40" t="e">
        <f>-PMT(Assumptions!C$25/12,Assumptions!C$24*12,J$8)*C286/100</f>
        <v>#NUM!</v>
      </c>
      <c r="L286" s="40" t="e">
        <f>K286*Assumptions!$C$24*12-J286</f>
        <v>#NUM!</v>
      </c>
      <c r="M286" s="43"/>
      <c r="N286" s="40">
        <f t="shared" si="26"/>
        <v>1540</v>
      </c>
      <c r="O286" s="50">
        <f>-PMT(Assumptions!D$25/12,Assumptions!D$24*12,N$8)*C286/100</f>
        <v>16.334089346817585</v>
      </c>
      <c r="P286" s="44">
        <f>O286*Assumptions!$D$24*12-N286</f>
        <v>420.09072161811036</v>
      </c>
      <c r="Q286" s="48"/>
      <c r="R286" s="40">
        <f t="shared" si="27"/>
        <v>7700</v>
      </c>
      <c r="S286" s="40">
        <f>-PMT(Assumptions!E$25/12,Assumptions!E$24*12,$R$8)*$C286/100</f>
        <v>81.670446734087932</v>
      </c>
      <c r="T286" s="40">
        <f>S286*Assumptions!$E$24*12-R286</f>
        <v>2100.4536080905527</v>
      </c>
      <c r="U286" s="48"/>
      <c r="V286" s="40">
        <f t="shared" si="28"/>
        <v>0</v>
      </c>
      <c r="W286" s="40" t="e">
        <f>-PMT(Assumptions!F$25/12,Assumptions!F$24*12,$V$8)*$C286/100</f>
        <v>#NUM!</v>
      </c>
      <c r="X286" s="40" t="e">
        <f>W286*Assumptions!$F$24*12-V286</f>
        <v>#NUM!</v>
      </c>
      <c r="Y286" s="43"/>
      <c r="Z286" s="40">
        <f t="shared" si="29"/>
        <v>0</v>
      </c>
      <c r="AA286" s="50" t="e">
        <f>-PMT(Assumptions!G$25/12,Assumptions!G$24*12,$Z$8)*$C286/100</f>
        <v>#NUM!</v>
      </c>
      <c r="AB286" s="44" t="e">
        <f>AA286*Assumptions!$G$24*12-Z286</f>
        <v>#NUM!</v>
      </c>
      <c r="AD286" s="54">
        <f t="shared" si="48"/>
        <v>0</v>
      </c>
      <c r="AE286" s="54">
        <f t="shared" si="49"/>
        <v>0</v>
      </c>
      <c r="AF286" s="54">
        <f t="shared" si="50"/>
        <v>1540</v>
      </c>
      <c r="AG286" s="54">
        <f t="shared" si="51"/>
        <v>7700</v>
      </c>
      <c r="AH286" s="54">
        <f t="shared" si="52"/>
        <v>0</v>
      </c>
      <c r="AI286" s="54">
        <f t="shared" si="53"/>
        <v>0</v>
      </c>
    </row>
    <row r="287" spans="1:35" ht="15" x14ac:dyDescent="0.2">
      <c r="A287" s="56" t="s">
        <v>382</v>
      </c>
      <c r="B287" s="32"/>
      <c r="C287" s="56">
        <v>0.215</v>
      </c>
      <c r="D287" s="56">
        <v>337.57</v>
      </c>
      <c r="E287" s="36"/>
      <c r="F287" s="40">
        <f t="shared" si="24"/>
        <v>0</v>
      </c>
      <c r="G287" s="40" t="e">
        <f>-PMT(Assumptions!B$25/12,Assumptions!B$24*12,F$8)*C287/100</f>
        <v>#NUM!</v>
      </c>
      <c r="H287" s="40" t="e">
        <f>G287*Assumptions!$B$24*12-F287</f>
        <v>#NUM!</v>
      </c>
      <c r="I287" s="48"/>
      <c r="J287" s="40">
        <f t="shared" si="25"/>
        <v>0</v>
      </c>
      <c r="K287" s="40" t="e">
        <f>-PMT(Assumptions!C$25/12,Assumptions!C$24*12,J$8)*C287/100</f>
        <v>#NUM!</v>
      </c>
      <c r="L287" s="40" t="e">
        <f>K287*Assumptions!$C$24*12-J287</f>
        <v>#NUM!</v>
      </c>
      <c r="M287" s="43"/>
      <c r="N287" s="40">
        <f t="shared" si="26"/>
        <v>2150</v>
      </c>
      <c r="O287" s="50">
        <f>-PMT(Assumptions!D$25/12,Assumptions!D$24*12,N$8)*C287/100</f>
        <v>22.804085776401177</v>
      </c>
      <c r="P287" s="44">
        <f>O287*Assumptions!$D$24*12-N287</f>
        <v>586.49029316814131</v>
      </c>
      <c r="Q287" s="48"/>
      <c r="R287" s="40">
        <f t="shared" si="27"/>
        <v>10750</v>
      </c>
      <c r="S287" s="40">
        <f>-PMT(Assumptions!E$25/12,Assumptions!E$24*12,$R$8)*$C287/100</f>
        <v>114.02042888200587</v>
      </c>
      <c r="T287" s="40">
        <f>S287*Assumptions!$E$24*12-R287</f>
        <v>2932.4514658407061</v>
      </c>
      <c r="U287" s="48"/>
      <c r="V287" s="40">
        <f t="shared" si="28"/>
        <v>0</v>
      </c>
      <c r="W287" s="40" t="e">
        <f>-PMT(Assumptions!F$25/12,Assumptions!F$24*12,$V$8)*$C287/100</f>
        <v>#NUM!</v>
      </c>
      <c r="X287" s="40" t="e">
        <f>W287*Assumptions!$F$24*12-V287</f>
        <v>#NUM!</v>
      </c>
      <c r="Y287" s="43"/>
      <c r="Z287" s="40">
        <f t="shared" si="29"/>
        <v>0</v>
      </c>
      <c r="AA287" s="50" t="e">
        <f>-PMT(Assumptions!G$25/12,Assumptions!G$24*12,$Z$8)*$C287/100</f>
        <v>#NUM!</v>
      </c>
      <c r="AB287" s="44" t="e">
        <f>AA287*Assumptions!$G$24*12-Z287</f>
        <v>#NUM!</v>
      </c>
      <c r="AD287" s="54">
        <f t="shared" si="48"/>
        <v>0</v>
      </c>
      <c r="AE287" s="54">
        <f t="shared" si="49"/>
        <v>0</v>
      </c>
      <c r="AF287" s="54">
        <f t="shared" si="50"/>
        <v>2150</v>
      </c>
      <c r="AG287" s="54">
        <f t="shared" si="51"/>
        <v>10750</v>
      </c>
      <c r="AH287" s="54">
        <f t="shared" si="52"/>
        <v>0</v>
      </c>
      <c r="AI287" s="54">
        <f t="shared" si="53"/>
        <v>0</v>
      </c>
    </row>
    <row r="288" spans="1:35" ht="15" x14ac:dyDescent="0.2">
      <c r="A288" s="56" t="s">
        <v>383</v>
      </c>
      <c r="B288" s="32"/>
      <c r="C288" s="56">
        <v>0.223</v>
      </c>
      <c r="D288" s="56">
        <v>350.13</v>
      </c>
      <c r="E288" s="36"/>
      <c r="F288" s="40">
        <f t="shared" si="24"/>
        <v>0</v>
      </c>
      <c r="G288" s="40" t="e">
        <f>-PMT(Assumptions!B$25/12,Assumptions!B$24*12,F$8)*C288/100</f>
        <v>#NUM!</v>
      </c>
      <c r="H288" s="40" t="e">
        <f>G288*Assumptions!$B$24*12-F288</f>
        <v>#NUM!</v>
      </c>
      <c r="I288" s="48"/>
      <c r="J288" s="40">
        <f t="shared" si="25"/>
        <v>0</v>
      </c>
      <c r="K288" s="40" t="e">
        <f>-PMT(Assumptions!C$25/12,Assumptions!C$24*12,J$8)*C288/100</f>
        <v>#NUM!</v>
      </c>
      <c r="L288" s="40" t="e">
        <f>K288*Assumptions!$C$24*12-J288</f>
        <v>#NUM!</v>
      </c>
      <c r="M288" s="43"/>
      <c r="N288" s="40">
        <f t="shared" si="26"/>
        <v>2230</v>
      </c>
      <c r="O288" s="50">
        <f>-PMT(Assumptions!D$25/12,Assumptions!D$24*12,N$8)*C288/100</f>
        <v>23.652609898313777</v>
      </c>
      <c r="P288" s="44">
        <f>O288*Assumptions!$D$24*12-N288</f>
        <v>608.31318779765343</v>
      </c>
      <c r="Q288" s="48"/>
      <c r="R288" s="40">
        <f t="shared" si="27"/>
        <v>11150</v>
      </c>
      <c r="S288" s="40">
        <f>-PMT(Assumptions!E$25/12,Assumptions!E$24*12,$R$8)*$C288/100</f>
        <v>118.26304949156889</v>
      </c>
      <c r="T288" s="40">
        <f>S288*Assumptions!$E$24*12-R288</f>
        <v>3041.5659389882658</v>
      </c>
      <c r="U288" s="48"/>
      <c r="V288" s="40">
        <f t="shared" si="28"/>
        <v>0</v>
      </c>
      <c r="W288" s="40" t="e">
        <f>-PMT(Assumptions!F$25/12,Assumptions!F$24*12,$V$8)*$C288/100</f>
        <v>#NUM!</v>
      </c>
      <c r="X288" s="40" t="e">
        <f>W288*Assumptions!$F$24*12-V288</f>
        <v>#NUM!</v>
      </c>
      <c r="Y288" s="43"/>
      <c r="Z288" s="40">
        <f t="shared" si="29"/>
        <v>0</v>
      </c>
      <c r="AA288" s="50" t="e">
        <f>-PMT(Assumptions!G$25/12,Assumptions!G$24*12,$Z$8)*$C288/100</f>
        <v>#NUM!</v>
      </c>
      <c r="AB288" s="44" t="e">
        <f>AA288*Assumptions!$G$24*12-Z288</f>
        <v>#NUM!</v>
      </c>
      <c r="AD288" s="54">
        <f t="shared" si="48"/>
        <v>0</v>
      </c>
      <c r="AE288" s="54">
        <f t="shared" si="49"/>
        <v>0</v>
      </c>
      <c r="AF288" s="54">
        <f t="shared" si="50"/>
        <v>2230</v>
      </c>
      <c r="AG288" s="54">
        <f t="shared" si="51"/>
        <v>11150</v>
      </c>
      <c r="AH288" s="54">
        <f t="shared" si="52"/>
        <v>0</v>
      </c>
      <c r="AI288" s="54">
        <f t="shared" si="53"/>
        <v>0</v>
      </c>
    </row>
    <row r="289" spans="1:35" ht="15" x14ac:dyDescent="0.2">
      <c r="A289" s="56" t="s">
        <v>384</v>
      </c>
      <c r="B289" s="32"/>
      <c r="C289" s="56">
        <v>0.2</v>
      </c>
      <c r="D289" s="56">
        <v>314.02</v>
      </c>
      <c r="E289" s="36"/>
      <c r="F289" s="40">
        <f t="shared" si="24"/>
        <v>0</v>
      </c>
      <c r="G289" s="40" t="e">
        <f>-PMT(Assumptions!B$25/12,Assumptions!B$24*12,F$8)*C289/100</f>
        <v>#NUM!</v>
      </c>
      <c r="H289" s="40" t="e">
        <f>G289*Assumptions!$B$24*12-F289</f>
        <v>#NUM!</v>
      </c>
      <c r="I289" s="48"/>
      <c r="J289" s="40">
        <f t="shared" si="25"/>
        <v>0</v>
      </c>
      <c r="K289" s="40" t="e">
        <f>-PMT(Assumptions!C$25/12,Assumptions!C$24*12,J$8)*C289/100</f>
        <v>#NUM!</v>
      </c>
      <c r="L289" s="40" t="e">
        <f>K289*Assumptions!$C$24*12-J289</f>
        <v>#NUM!</v>
      </c>
      <c r="M289" s="43"/>
      <c r="N289" s="40">
        <f t="shared" si="26"/>
        <v>2000</v>
      </c>
      <c r="O289" s="50">
        <f>-PMT(Assumptions!D$25/12,Assumptions!D$24*12,N$8)*C289/100</f>
        <v>21.213103047815046</v>
      </c>
      <c r="P289" s="44">
        <f>O289*Assumptions!$D$24*12-N289</f>
        <v>545.57236573780574</v>
      </c>
      <c r="Q289" s="48"/>
      <c r="R289" s="40">
        <f t="shared" si="27"/>
        <v>10000</v>
      </c>
      <c r="S289" s="40">
        <f>-PMT(Assumptions!E$25/12,Assumptions!E$24*12,$R$8)*$C289/100</f>
        <v>106.06551523907525</v>
      </c>
      <c r="T289" s="40">
        <f>S289*Assumptions!$E$24*12-R289</f>
        <v>2727.8618286890305</v>
      </c>
      <c r="U289" s="48"/>
      <c r="V289" s="40">
        <f t="shared" si="28"/>
        <v>0</v>
      </c>
      <c r="W289" s="40" t="e">
        <f>-PMT(Assumptions!F$25/12,Assumptions!F$24*12,$V$8)*$C289/100</f>
        <v>#NUM!</v>
      </c>
      <c r="X289" s="40" t="e">
        <f>W289*Assumptions!$F$24*12-V289</f>
        <v>#NUM!</v>
      </c>
      <c r="Y289" s="43"/>
      <c r="Z289" s="40">
        <f t="shared" si="29"/>
        <v>0</v>
      </c>
      <c r="AA289" s="50" t="e">
        <f>-PMT(Assumptions!G$25/12,Assumptions!G$24*12,$Z$8)*$C289/100</f>
        <v>#NUM!</v>
      </c>
      <c r="AB289" s="44" t="e">
        <f>AA289*Assumptions!$G$24*12-Z289</f>
        <v>#NUM!</v>
      </c>
      <c r="AD289" s="54">
        <f t="shared" si="48"/>
        <v>0</v>
      </c>
      <c r="AE289" s="54">
        <f t="shared" si="49"/>
        <v>0</v>
      </c>
      <c r="AF289" s="54">
        <f t="shared" si="50"/>
        <v>2000</v>
      </c>
      <c r="AG289" s="54">
        <f t="shared" si="51"/>
        <v>10000</v>
      </c>
      <c r="AH289" s="54">
        <f t="shared" si="52"/>
        <v>0</v>
      </c>
      <c r="AI289" s="54">
        <f t="shared" si="53"/>
        <v>0</v>
      </c>
    </row>
    <row r="290" spans="1:35" ht="15" x14ac:dyDescent="0.2">
      <c r="A290" s="56" t="s">
        <v>385</v>
      </c>
      <c r="B290" s="32"/>
      <c r="C290" s="56">
        <v>0.2</v>
      </c>
      <c r="D290" s="56">
        <v>314.02</v>
      </c>
      <c r="E290" s="36"/>
      <c r="F290" s="40">
        <f t="shared" si="24"/>
        <v>0</v>
      </c>
      <c r="G290" s="40" t="e">
        <f>-PMT(Assumptions!B$25/12,Assumptions!B$24*12,F$8)*C290/100</f>
        <v>#NUM!</v>
      </c>
      <c r="H290" s="40" t="e">
        <f>G290*Assumptions!$B$24*12-F290</f>
        <v>#NUM!</v>
      </c>
      <c r="I290" s="48"/>
      <c r="J290" s="40">
        <f t="shared" si="25"/>
        <v>0</v>
      </c>
      <c r="K290" s="40" t="e">
        <f>-PMT(Assumptions!C$25/12,Assumptions!C$24*12,J$8)*C290/100</f>
        <v>#NUM!</v>
      </c>
      <c r="L290" s="40" t="e">
        <f>K290*Assumptions!$C$24*12-J290</f>
        <v>#NUM!</v>
      </c>
      <c r="M290" s="43"/>
      <c r="N290" s="40">
        <f t="shared" si="26"/>
        <v>2000</v>
      </c>
      <c r="O290" s="50">
        <f>-PMT(Assumptions!D$25/12,Assumptions!D$24*12,N$8)*C290/100</f>
        <v>21.213103047815046</v>
      </c>
      <c r="P290" s="44">
        <f>O290*Assumptions!$D$24*12-N290</f>
        <v>545.57236573780574</v>
      </c>
      <c r="Q290" s="48"/>
      <c r="R290" s="40">
        <f t="shared" si="27"/>
        <v>10000</v>
      </c>
      <c r="S290" s="40">
        <f>-PMT(Assumptions!E$25/12,Assumptions!E$24*12,$R$8)*$C290/100</f>
        <v>106.06551523907525</v>
      </c>
      <c r="T290" s="40">
        <f>S290*Assumptions!$E$24*12-R290</f>
        <v>2727.8618286890305</v>
      </c>
      <c r="U290" s="48"/>
      <c r="V290" s="40">
        <f t="shared" si="28"/>
        <v>0</v>
      </c>
      <c r="W290" s="40" t="e">
        <f>-PMT(Assumptions!F$25/12,Assumptions!F$24*12,$V$8)*$C290/100</f>
        <v>#NUM!</v>
      </c>
      <c r="X290" s="40" t="e">
        <f>W290*Assumptions!$F$24*12-V290</f>
        <v>#NUM!</v>
      </c>
      <c r="Y290" s="43"/>
      <c r="Z290" s="40">
        <f t="shared" si="29"/>
        <v>0</v>
      </c>
      <c r="AA290" s="50" t="e">
        <f>-PMT(Assumptions!G$25/12,Assumptions!G$24*12,$Z$8)*$C290/100</f>
        <v>#NUM!</v>
      </c>
      <c r="AB290" s="44" t="e">
        <f>AA290*Assumptions!$G$24*12-Z290</f>
        <v>#NUM!</v>
      </c>
      <c r="AD290" s="54">
        <f t="shared" si="48"/>
        <v>0</v>
      </c>
      <c r="AE290" s="54">
        <f t="shared" si="49"/>
        <v>0</v>
      </c>
      <c r="AF290" s="54">
        <f t="shared" si="50"/>
        <v>2000</v>
      </c>
      <c r="AG290" s="54">
        <f t="shared" si="51"/>
        <v>10000</v>
      </c>
      <c r="AH290" s="54">
        <f t="shared" si="52"/>
        <v>0</v>
      </c>
      <c r="AI290" s="54">
        <f t="shared" si="53"/>
        <v>0</v>
      </c>
    </row>
    <row r="291" spans="1:35" ht="15" x14ac:dyDescent="0.2">
      <c r="A291" s="56" t="s">
        <v>386</v>
      </c>
      <c r="B291" s="32"/>
      <c r="C291" s="56">
        <v>0.14499999999999999</v>
      </c>
      <c r="D291" s="56">
        <v>227.66</v>
      </c>
      <c r="E291" s="36"/>
      <c r="F291" s="40">
        <f t="shared" si="24"/>
        <v>0</v>
      </c>
      <c r="G291" s="40" t="e">
        <f>-PMT(Assumptions!B$25/12,Assumptions!B$24*12,F$8)*C291/100</f>
        <v>#NUM!</v>
      </c>
      <c r="H291" s="40" t="e">
        <f>G291*Assumptions!$B$24*12-F291</f>
        <v>#NUM!</v>
      </c>
      <c r="I291" s="48"/>
      <c r="J291" s="40">
        <f t="shared" si="25"/>
        <v>0</v>
      </c>
      <c r="K291" s="40" t="e">
        <f>-PMT(Assumptions!C$25/12,Assumptions!C$24*12,J$8)*C291/100</f>
        <v>#NUM!</v>
      </c>
      <c r="L291" s="40" t="e">
        <f>K291*Assumptions!$C$24*12-J291</f>
        <v>#NUM!</v>
      </c>
      <c r="M291" s="43"/>
      <c r="N291" s="40">
        <f t="shared" si="26"/>
        <v>1450</v>
      </c>
      <c r="O291" s="50">
        <f>-PMT(Assumptions!D$25/12,Assumptions!D$24*12,N$8)*C291/100</f>
        <v>15.379499709665906</v>
      </c>
      <c r="P291" s="44">
        <f>O291*Assumptions!$D$24*12-N291</f>
        <v>395.53996515990866</v>
      </c>
      <c r="Q291" s="48"/>
      <c r="R291" s="40">
        <f t="shared" si="27"/>
        <v>7250</v>
      </c>
      <c r="S291" s="40">
        <f>-PMT(Assumptions!E$25/12,Assumptions!E$24*12,$R$8)*$C291/100</f>
        <v>76.897498548329537</v>
      </c>
      <c r="T291" s="40">
        <f>S291*Assumptions!$E$24*12-R291</f>
        <v>1977.6998257995438</v>
      </c>
      <c r="U291" s="48"/>
      <c r="V291" s="40">
        <f t="shared" si="28"/>
        <v>0</v>
      </c>
      <c r="W291" s="40" t="e">
        <f>-PMT(Assumptions!F$25/12,Assumptions!F$24*12,$V$8)*$C291/100</f>
        <v>#NUM!</v>
      </c>
      <c r="X291" s="40" t="e">
        <f>W291*Assumptions!$F$24*12-V291</f>
        <v>#NUM!</v>
      </c>
      <c r="Y291" s="43"/>
      <c r="Z291" s="40">
        <f t="shared" si="29"/>
        <v>0</v>
      </c>
      <c r="AA291" s="50" t="e">
        <f>-PMT(Assumptions!G$25/12,Assumptions!G$24*12,$Z$8)*$C291/100</f>
        <v>#NUM!</v>
      </c>
      <c r="AB291" s="44" t="e">
        <f>AA291*Assumptions!$G$24*12-Z291</f>
        <v>#NUM!</v>
      </c>
      <c r="AD291" s="54">
        <f t="shared" si="48"/>
        <v>0</v>
      </c>
      <c r="AE291" s="54">
        <f t="shared" si="49"/>
        <v>0</v>
      </c>
      <c r="AF291" s="54">
        <f t="shared" si="50"/>
        <v>1450</v>
      </c>
      <c r="AG291" s="54">
        <f t="shared" si="51"/>
        <v>7250</v>
      </c>
      <c r="AH291" s="54">
        <f t="shared" si="52"/>
        <v>0</v>
      </c>
      <c r="AI291" s="54">
        <f t="shared" si="53"/>
        <v>0</v>
      </c>
    </row>
    <row r="292" spans="1:35" ht="15" x14ac:dyDescent="0.2">
      <c r="A292" s="56" t="s">
        <v>387</v>
      </c>
      <c r="B292" s="32"/>
      <c r="C292" s="56">
        <v>0.154</v>
      </c>
      <c r="D292" s="56">
        <v>241.8</v>
      </c>
      <c r="E292" s="36"/>
      <c r="F292" s="40">
        <f t="shared" si="24"/>
        <v>0</v>
      </c>
      <c r="G292" s="40" t="e">
        <f>-PMT(Assumptions!B$25/12,Assumptions!B$24*12,F$8)*C292/100</f>
        <v>#NUM!</v>
      </c>
      <c r="H292" s="40" t="e">
        <f>G292*Assumptions!$B$24*12-F292</f>
        <v>#NUM!</v>
      </c>
      <c r="I292" s="48"/>
      <c r="J292" s="40">
        <f t="shared" si="25"/>
        <v>0</v>
      </c>
      <c r="K292" s="40" t="e">
        <f>-PMT(Assumptions!C$25/12,Assumptions!C$24*12,J$8)*C292/100</f>
        <v>#NUM!</v>
      </c>
      <c r="L292" s="40" t="e">
        <f>K292*Assumptions!$C$24*12-J292</f>
        <v>#NUM!</v>
      </c>
      <c r="M292" s="43"/>
      <c r="N292" s="40">
        <f t="shared" si="26"/>
        <v>1540</v>
      </c>
      <c r="O292" s="50">
        <f>-PMT(Assumptions!D$25/12,Assumptions!D$24*12,N$8)*C292/100</f>
        <v>16.334089346817585</v>
      </c>
      <c r="P292" s="44">
        <f>O292*Assumptions!$D$24*12-N292</f>
        <v>420.09072161811036</v>
      </c>
      <c r="Q292" s="48"/>
      <c r="R292" s="40">
        <f t="shared" si="27"/>
        <v>7700</v>
      </c>
      <c r="S292" s="40">
        <f>-PMT(Assumptions!E$25/12,Assumptions!E$24*12,$R$8)*$C292/100</f>
        <v>81.670446734087932</v>
      </c>
      <c r="T292" s="40">
        <f>S292*Assumptions!$E$24*12-R292</f>
        <v>2100.4536080905527</v>
      </c>
      <c r="U292" s="48"/>
      <c r="V292" s="40">
        <f t="shared" si="28"/>
        <v>0</v>
      </c>
      <c r="W292" s="40" t="e">
        <f>-PMT(Assumptions!F$25/12,Assumptions!F$24*12,$V$8)*$C292/100</f>
        <v>#NUM!</v>
      </c>
      <c r="X292" s="40" t="e">
        <f>W292*Assumptions!$F$24*12-V292</f>
        <v>#NUM!</v>
      </c>
      <c r="Y292" s="43"/>
      <c r="Z292" s="40">
        <f t="shared" si="29"/>
        <v>0</v>
      </c>
      <c r="AA292" s="50" t="e">
        <f>-PMT(Assumptions!G$25/12,Assumptions!G$24*12,$Z$8)*$C292/100</f>
        <v>#NUM!</v>
      </c>
      <c r="AB292" s="44" t="e">
        <f>AA292*Assumptions!$G$24*12-Z292</f>
        <v>#NUM!</v>
      </c>
      <c r="AD292" s="54">
        <f t="shared" si="48"/>
        <v>0</v>
      </c>
      <c r="AE292" s="54">
        <f t="shared" si="49"/>
        <v>0</v>
      </c>
      <c r="AF292" s="54">
        <f t="shared" si="50"/>
        <v>1540</v>
      </c>
      <c r="AG292" s="54">
        <f t="shared" si="51"/>
        <v>7700</v>
      </c>
      <c r="AH292" s="54">
        <f t="shared" si="52"/>
        <v>0</v>
      </c>
      <c r="AI292" s="54">
        <f t="shared" si="53"/>
        <v>0</v>
      </c>
    </row>
    <row r="293" spans="1:35" ht="15" x14ac:dyDescent="0.2">
      <c r="A293" s="56" t="s">
        <v>388</v>
      </c>
      <c r="B293" s="32"/>
      <c r="C293" s="56">
        <v>0.14499999999999999</v>
      </c>
      <c r="D293" s="56">
        <v>227.66</v>
      </c>
      <c r="E293" s="36"/>
      <c r="F293" s="40">
        <f t="shared" si="24"/>
        <v>0</v>
      </c>
      <c r="G293" s="40" t="e">
        <f>-PMT(Assumptions!B$25/12,Assumptions!B$24*12,F$8)*C293/100</f>
        <v>#NUM!</v>
      </c>
      <c r="H293" s="40" t="e">
        <f>G293*Assumptions!$B$24*12-F293</f>
        <v>#NUM!</v>
      </c>
      <c r="I293" s="48"/>
      <c r="J293" s="40">
        <f t="shared" si="25"/>
        <v>0</v>
      </c>
      <c r="K293" s="40" t="e">
        <f>-PMT(Assumptions!C$25/12,Assumptions!C$24*12,J$8)*C293/100</f>
        <v>#NUM!</v>
      </c>
      <c r="L293" s="40" t="e">
        <f>K293*Assumptions!$C$24*12-J293</f>
        <v>#NUM!</v>
      </c>
      <c r="M293" s="43"/>
      <c r="N293" s="40">
        <f t="shared" si="26"/>
        <v>1450</v>
      </c>
      <c r="O293" s="50">
        <f>-PMT(Assumptions!D$25/12,Assumptions!D$24*12,N$8)*C293/100</f>
        <v>15.379499709665906</v>
      </c>
      <c r="P293" s="44">
        <f>O293*Assumptions!$D$24*12-N293</f>
        <v>395.53996515990866</v>
      </c>
      <c r="Q293" s="48"/>
      <c r="R293" s="40">
        <f t="shared" si="27"/>
        <v>7250</v>
      </c>
      <c r="S293" s="40">
        <f>-PMT(Assumptions!E$25/12,Assumptions!E$24*12,$R$8)*$C293/100</f>
        <v>76.897498548329537</v>
      </c>
      <c r="T293" s="40">
        <f>S293*Assumptions!$E$24*12-R293</f>
        <v>1977.6998257995438</v>
      </c>
      <c r="U293" s="48"/>
      <c r="V293" s="40">
        <f t="shared" si="28"/>
        <v>0</v>
      </c>
      <c r="W293" s="40" t="e">
        <f>-PMT(Assumptions!F$25/12,Assumptions!F$24*12,$V$8)*$C293/100</f>
        <v>#NUM!</v>
      </c>
      <c r="X293" s="40" t="e">
        <f>W293*Assumptions!$F$24*12-V293</f>
        <v>#NUM!</v>
      </c>
      <c r="Y293" s="43"/>
      <c r="Z293" s="40">
        <f t="shared" si="29"/>
        <v>0</v>
      </c>
      <c r="AA293" s="50" t="e">
        <f>-PMT(Assumptions!G$25/12,Assumptions!G$24*12,$Z$8)*$C293/100</f>
        <v>#NUM!</v>
      </c>
      <c r="AB293" s="44" t="e">
        <f>AA293*Assumptions!$G$24*12-Z293</f>
        <v>#NUM!</v>
      </c>
      <c r="AD293" s="54">
        <f t="shared" si="48"/>
        <v>0</v>
      </c>
      <c r="AE293" s="54">
        <f t="shared" si="49"/>
        <v>0</v>
      </c>
      <c r="AF293" s="54">
        <f t="shared" si="50"/>
        <v>1450</v>
      </c>
      <c r="AG293" s="54">
        <f t="shared" si="51"/>
        <v>7250</v>
      </c>
      <c r="AH293" s="54">
        <f t="shared" si="52"/>
        <v>0</v>
      </c>
      <c r="AI293" s="54">
        <f t="shared" si="53"/>
        <v>0</v>
      </c>
    </row>
    <row r="294" spans="1:35" ht="15" x14ac:dyDescent="0.2">
      <c r="A294" s="56" t="s">
        <v>389</v>
      </c>
      <c r="B294" s="32"/>
      <c r="C294" s="56">
        <v>0.154</v>
      </c>
      <c r="D294" s="56">
        <v>241.8</v>
      </c>
      <c r="E294" s="36"/>
      <c r="F294" s="40">
        <f t="shared" si="24"/>
        <v>0</v>
      </c>
      <c r="G294" s="40" t="e">
        <f>-PMT(Assumptions!B$25/12,Assumptions!B$24*12,F$8)*C294/100</f>
        <v>#NUM!</v>
      </c>
      <c r="H294" s="40" t="e">
        <f>G294*Assumptions!$B$24*12-F294</f>
        <v>#NUM!</v>
      </c>
      <c r="I294" s="48"/>
      <c r="J294" s="40">
        <f t="shared" si="25"/>
        <v>0</v>
      </c>
      <c r="K294" s="40" t="e">
        <f>-PMT(Assumptions!C$25/12,Assumptions!C$24*12,J$8)*C294/100</f>
        <v>#NUM!</v>
      </c>
      <c r="L294" s="40" t="e">
        <f>K294*Assumptions!$C$24*12-J294</f>
        <v>#NUM!</v>
      </c>
      <c r="M294" s="43"/>
      <c r="N294" s="40">
        <f t="shared" si="26"/>
        <v>1540</v>
      </c>
      <c r="O294" s="50">
        <f>-PMT(Assumptions!D$25/12,Assumptions!D$24*12,N$8)*C294/100</f>
        <v>16.334089346817585</v>
      </c>
      <c r="P294" s="44">
        <f>O294*Assumptions!$D$24*12-N294</f>
        <v>420.09072161811036</v>
      </c>
      <c r="Q294" s="48"/>
      <c r="R294" s="40">
        <f t="shared" si="27"/>
        <v>7700</v>
      </c>
      <c r="S294" s="40">
        <f>-PMT(Assumptions!E$25/12,Assumptions!E$24*12,$R$8)*$C294/100</f>
        <v>81.670446734087932</v>
      </c>
      <c r="T294" s="40">
        <f>S294*Assumptions!$E$24*12-R294</f>
        <v>2100.4536080905527</v>
      </c>
      <c r="U294" s="48"/>
      <c r="V294" s="40">
        <f t="shared" si="28"/>
        <v>0</v>
      </c>
      <c r="W294" s="40" t="e">
        <f>-PMT(Assumptions!F$25/12,Assumptions!F$24*12,$V$8)*$C294/100</f>
        <v>#NUM!</v>
      </c>
      <c r="X294" s="40" t="e">
        <f>W294*Assumptions!$F$24*12-V294</f>
        <v>#NUM!</v>
      </c>
      <c r="Y294" s="43"/>
      <c r="Z294" s="40">
        <f t="shared" si="29"/>
        <v>0</v>
      </c>
      <c r="AA294" s="50" t="e">
        <f>-PMT(Assumptions!G$25/12,Assumptions!G$24*12,$Z$8)*$C294/100</f>
        <v>#NUM!</v>
      </c>
      <c r="AB294" s="44" t="e">
        <f>AA294*Assumptions!$G$24*12-Z294</f>
        <v>#NUM!</v>
      </c>
      <c r="AD294" s="54">
        <f t="shared" si="48"/>
        <v>0</v>
      </c>
      <c r="AE294" s="54">
        <f t="shared" si="49"/>
        <v>0</v>
      </c>
      <c r="AF294" s="54">
        <f t="shared" si="50"/>
        <v>1540</v>
      </c>
      <c r="AG294" s="54">
        <f t="shared" si="51"/>
        <v>7700</v>
      </c>
      <c r="AH294" s="54">
        <f t="shared" si="52"/>
        <v>0</v>
      </c>
      <c r="AI294" s="54">
        <f t="shared" si="53"/>
        <v>0</v>
      </c>
    </row>
    <row r="295" spans="1:35" ht="15" x14ac:dyDescent="0.2">
      <c r="A295" s="56" t="s">
        <v>390</v>
      </c>
      <c r="B295" s="32"/>
      <c r="C295" s="56">
        <v>0.215</v>
      </c>
      <c r="D295" s="56">
        <v>337.57</v>
      </c>
      <c r="E295" s="36"/>
      <c r="F295" s="40">
        <f t="shared" si="24"/>
        <v>0</v>
      </c>
      <c r="G295" s="40" t="e">
        <f>-PMT(Assumptions!B$25/12,Assumptions!B$24*12,F$8)*C295/100</f>
        <v>#NUM!</v>
      </c>
      <c r="H295" s="40" t="e">
        <f>G295*Assumptions!$B$24*12-F295</f>
        <v>#NUM!</v>
      </c>
      <c r="I295" s="48"/>
      <c r="J295" s="40">
        <f t="shared" si="25"/>
        <v>0</v>
      </c>
      <c r="K295" s="40" t="e">
        <f>-PMT(Assumptions!C$25/12,Assumptions!C$24*12,J$8)*C295/100</f>
        <v>#NUM!</v>
      </c>
      <c r="L295" s="40" t="e">
        <f>K295*Assumptions!$C$24*12-J295</f>
        <v>#NUM!</v>
      </c>
      <c r="M295" s="43"/>
      <c r="N295" s="40">
        <f t="shared" si="26"/>
        <v>2150</v>
      </c>
      <c r="O295" s="50">
        <f>-PMT(Assumptions!D$25/12,Assumptions!D$24*12,N$8)*C295/100</f>
        <v>22.804085776401177</v>
      </c>
      <c r="P295" s="44">
        <f>O295*Assumptions!$D$24*12-N295</f>
        <v>586.49029316814131</v>
      </c>
      <c r="Q295" s="48"/>
      <c r="R295" s="40">
        <f t="shared" si="27"/>
        <v>10750</v>
      </c>
      <c r="S295" s="40">
        <f>-PMT(Assumptions!E$25/12,Assumptions!E$24*12,$R$8)*$C295/100</f>
        <v>114.02042888200587</v>
      </c>
      <c r="T295" s="40">
        <f>S295*Assumptions!$E$24*12-R295</f>
        <v>2932.4514658407061</v>
      </c>
      <c r="U295" s="48"/>
      <c r="V295" s="40">
        <f t="shared" si="28"/>
        <v>0</v>
      </c>
      <c r="W295" s="40" t="e">
        <f>-PMT(Assumptions!F$25/12,Assumptions!F$24*12,$V$8)*$C295/100</f>
        <v>#NUM!</v>
      </c>
      <c r="X295" s="40" t="e">
        <f>W295*Assumptions!$F$24*12-V295</f>
        <v>#NUM!</v>
      </c>
      <c r="Y295" s="43"/>
      <c r="Z295" s="40">
        <f t="shared" si="29"/>
        <v>0</v>
      </c>
      <c r="AA295" s="50" t="e">
        <f>-PMT(Assumptions!G$25/12,Assumptions!G$24*12,$Z$8)*$C295/100</f>
        <v>#NUM!</v>
      </c>
      <c r="AB295" s="44" t="e">
        <f>AA295*Assumptions!$G$24*12-Z295</f>
        <v>#NUM!</v>
      </c>
      <c r="AD295" s="54">
        <f t="shared" si="48"/>
        <v>0</v>
      </c>
      <c r="AE295" s="54">
        <f t="shared" si="49"/>
        <v>0</v>
      </c>
      <c r="AF295" s="54">
        <f t="shared" si="50"/>
        <v>2150</v>
      </c>
      <c r="AG295" s="54">
        <f t="shared" si="51"/>
        <v>10750</v>
      </c>
      <c r="AH295" s="54">
        <f t="shared" si="52"/>
        <v>0</v>
      </c>
      <c r="AI295" s="54">
        <f t="shared" si="53"/>
        <v>0</v>
      </c>
    </row>
    <row r="296" spans="1:35" ht="15" x14ac:dyDescent="0.2">
      <c r="A296" s="56" t="s">
        <v>391</v>
      </c>
      <c r="B296" s="32"/>
      <c r="C296" s="56">
        <v>0.223</v>
      </c>
      <c r="D296" s="56">
        <v>350.13</v>
      </c>
      <c r="E296" s="36"/>
      <c r="F296" s="40">
        <f t="shared" si="24"/>
        <v>0</v>
      </c>
      <c r="G296" s="40" t="e">
        <f>-PMT(Assumptions!B$25/12,Assumptions!B$24*12,F$8)*C296/100</f>
        <v>#NUM!</v>
      </c>
      <c r="H296" s="40" t="e">
        <f>G296*Assumptions!$B$24*12-F296</f>
        <v>#NUM!</v>
      </c>
      <c r="I296" s="48"/>
      <c r="J296" s="40">
        <f t="shared" si="25"/>
        <v>0</v>
      </c>
      <c r="K296" s="40" t="e">
        <f>-PMT(Assumptions!C$25/12,Assumptions!C$24*12,J$8)*C296/100</f>
        <v>#NUM!</v>
      </c>
      <c r="L296" s="40" t="e">
        <f>K296*Assumptions!$C$24*12-J296</f>
        <v>#NUM!</v>
      </c>
      <c r="M296" s="43"/>
      <c r="N296" s="40">
        <f t="shared" si="26"/>
        <v>2230</v>
      </c>
      <c r="O296" s="50">
        <f>-PMT(Assumptions!D$25/12,Assumptions!D$24*12,N$8)*C296/100</f>
        <v>23.652609898313777</v>
      </c>
      <c r="P296" s="44">
        <f>O296*Assumptions!$D$24*12-N296</f>
        <v>608.31318779765343</v>
      </c>
      <c r="Q296" s="48"/>
      <c r="R296" s="40">
        <f t="shared" si="27"/>
        <v>11150</v>
      </c>
      <c r="S296" s="40">
        <f>-PMT(Assumptions!E$25/12,Assumptions!E$24*12,$R$8)*$C296/100</f>
        <v>118.26304949156889</v>
      </c>
      <c r="T296" s="40">
        <f>S296*Assumptions!$E$24*12-R296</f>
        <v>3041.5659389882658</v>
      </c>
      <c r="U296" s="48"/>
      <c r="V296" s="40">
        <f t="shared" si="28"/>
        <v>0</v>
      </c>
      <c r="W296" s="40" t="e">
        <f>-PMT(Assumptions!F$25/12,Assumptions!F$24*12,$V$8)*$C296/100</f>
        <v>#NUM!</v>
      </c>
      <c r="X296" s="40" t="e">
        <f>W296*Assumptions!$F$24*12-V296</f>
        <v>#NUM!</v>
      </c>
      <c r="Y296" s="43"/>
      <c r="Z296" s="40">
        <f t="shared" si="29"/>
        <v>0</v>
      </c>
      <c r="AA296" s="50" t="e">
        <f>-PMT(Assumptions!G$25/12,Assumptions!G$24*12,$Z$8)*$C296/100</f>
        <v>#NUM!</v>
      </c>
      <c r="AB296" s="44" t="e">
        <f>AA296*Assumptions!$G$24*12-Z296</f>
        <v>#NUM!</v>
      </c>
      <c r="AD296" s="54">
        <f t="shared" si="48"/>
        <v>0</v>
      </c>
      <c r="AE296" s="54">
        <f t="shared" si="49"/>
        <v>0</v>
      </c>
      <c r="AF296" s="54">
        <f t="shared" si="50"/>
        <v>2230</v>
      </c>
      <c r="AG296" s="54">
        <f t="shared" si="51"/>
        <v>11150</v>
      </c>
      <c r="AH296" s="54">
        <f t="shared" si="52"/>
        <v>0</v>
      </c>
      <c r="AI296" s="54">
        <f t="shared" si="53"/>
        <v>0</v>
      </c>
    </row>
    <row r="297" spans="1:35" ht="15" x14ac:dyDescent="0.2">
      <c r="A297" s="56" t="s">
        <v>392</v>
      </c>
      <c r="B297" s="32"/>
      <c r="C297" s="56">
        <v>0.20599999999999999</v>
      </c>
      <c r="D297" s="56">
        <v>323.44</v>
      </c>
      <c r="E297" s="36"/>
      <c r="F297" s="40">
        <f t="shared" si="24"/>
        <v>0</v>
      </c>
      <c r="G297" s="40" t="e">
        <f>-PMT(Assumptions!B$25/12,Assumptions!B$24*12,F$8)*C297/100</f>
        <v>#NUM!</v>
      </c>
      <c r="H297" s="40" t="e">
        <f>G297*Assumptions!$B$24*12-F297</f>
        <v>#NUM!</v>
      </c>
      <c r="I297" s="48"/>
      <c r="J297" s="40">
        <f t="shared" si="25"/>
        <v>0</v>
      </c>
      <c r="K297" s="40" t="e">
        <f>-PMT(Assumptions!C$25/12,Assumptions!C$24*12,J$8)*C297/100</f>
        <v>#NUM!</v>
      </c>
      <c r="L297" s="40" t="e">
        <f>K297*Assumptions!$C$24*12-J297</f>
        <v>#NUM!</v>
      </c>
      <c r="M297" s="43"/>
      <c r="N297" s="40">
        <f t="shared" si="26"/>
        <v>2060</v>
      </c>
      <c r="O297" s="50">
        <f>-PMT(Assumptions!D$25/12,Assumptions!D$24*12,N$8)*C297/100</f>
        <v>21.849496139249496</v>
      </c>
      <c r="P297" s="44">
        <f>O297*Assumptions!$D$24*12-N297</f>
        <v>561.9395367099396</v>
      </c>
      <c r="Q297" s="48"/>
      <c r="R297" s="40">
        <f t="shared" si="27"/>
        <v>10300</v>
      </c>
      <c r="S297" s="40">
        <f>-PMT(Assumptions!E$25/12,Assumptions!E$24*12,$R$8)*$C297/100</f>
        <v>109.24748069624748</v>
      </c>
      <c r="T297" s="40">
        <f>S297*Assumptions!$E$24*12-R297</f>
        <v>2809.6976835496971</v>
      </c>
      <c r="U297" s="48"/>
      <c r="V297" s="40">
        <f t="shared" si="28"/>
        <v>0</v>
      </c>
      <c r="W297" s="40" t="e">
        <f>-PMT(Assumptions!F$25/12,Assumptions!F$24*12,$V$8)*$C297/100</f>
        <v>#NUM!</v>
      </c>
      <c r="X297" s="40" t="e">
        <f>W297*Assumptions!$F$24*12-V297</f>
        <v>#NUM!</v>
      </c>
      <c r="Y297" s="43"/>
      <c r="Z297" s="40">
        <f t="shared" si="29"/>
        <v>0</v>
      </c>
      <c r="AA297" s="50" t="e">
        <f>-PMT(Assumptions!G$25/12,Assumptions!G$24*12,$Z$8)*$C297/100</f>
        <v>#NUM!</v>
      </c>
      <c r="AB297" s="44" t="e">
        <f>AA297*Assumptions!$G$24*12-Z297</f>
        <v>#NUM!</v>
      </c>
      <c r="AD297" s="54">
        <f t="shared" si="48"/>
        <v>0</v>
      </c>
      <c r="AE297" s="54">
        <f t="shared" si="49"/>
        <v>0</v>
      </c>
      <c r="AF297" s="54">
        <f t="shared" si="50"/>
        <v>2060</v>
      </c>
      <c r="AG297" s="54">
        <f t="shared" si="51"/>
        <v>10300</v>
      </c>
      <c r="AH297" s="54">
        <f t="shared" si="52"/>
        <v>0</v>
      </c>
      <c r="AI297" s="54">
        <f t="shared" si="53"/>
        <v>0</v>
      </c>
    </row>
    <row r="298" spans="1:35" ht="15" x14ac:dyDescent="0.2">
      <c r="A298" s="56" t="s">
        <v>393</v>
      </c>
      <c r="B298" s="32"/>
      <c r="C298" s="56">
        <v>0.20599999999999999</v>
      </c>
      <c r="D298" s="56">
        <v>323.44</v>
      </c>
      <c r="E298" s="36"/>
      <c r="F298" s="40">
        <f t="shared" si="24"/>
        <v>0</v>
      </c>
      <c r="G298" s="40" t="e">
        <f>-PMT(Assumptions!B$25/12,Assumptions!B$24*12,F$8)*C298/100</f>
        <v>#NUM!</v>
      </c>
      <c r="H298" s="40" t="e">
        <f>G298*Assumptions!$B$24*12-F298</f>
        <v>#NUM!</v>
      </c>
      <c r="I298" s="48"/>
      <c r="J298" s="40">
        <f t="shared" si="25"/>
        <v>0</v>
      </c>
      <c r="K298" s="40" t="e">
        <f>-PMT(Assumptions!C$25/12,Assumptions!C$24*12,J$8)*C298/100</f>
        <v>#NUM!</v>
      </c>
      <c r="L298" s="40" t="e">
        <f>K298*Assumptions!$C$24*12-J298</f>
        <v>#NUM!</v>
      </c>
      <c r="M298" s="43"/>
      <c r="N298" s="40">
        <f t="shared" si="26"/>
        <v>2060</v>
      </c>
      <c r="O298" s="50">
        <f>-PMT(Assumptions!D$25/12,Assumptions!D$24*12,N$8)*C298/100</f>
        <v>21.849496139249496</v>
      </c>
      <c r="P298" s="44">
        <f>O298*Assumptions!$D$24*12-N298</f>
        <v>561.9395367099396</v>
      </c>
      <c r="Q298" s="48"/>
      <c r="R298" s="40">
        <f t="shared" si="27"/>
        <v>10300</v>
      </c>
      <c r="S298" s="40">
        <f>-PMT(Assumptions!E$25/12,Assumptions!E$24*12,$R$8)*$C298/100</f>
        <v>109.24748069624748</v>
      </c>
      <c r="T298" s="40">
        <f>S298*Assumptions!$E$24*12-R298</f>
        <v>2809.6976835496971</v>
      </c>
      <c r="U298" s="48"/>
      <c r="V298" s="40">
        <f t="shared" si="28"/>
        <v>0</v>
      </c>
      <c r="W298" s="40" t="e">
        <f>-PMT(Assumptions!F$25/12,Assumptions!F$24*12,$V$8)*$C298/100</f>
        <v>#NUM!</v>
      </c>
      <c r="X298" s="40" t="e">
        <f>W298*Assumptions!$F$24*12-V298</f>
        <v>#NUM!</v>
      </c>
      <c r="Y298" s="43"/>
      <c r="Z298" s="40">
        <f t="shared" si="29"/>
        <v>0</v>
      </c>
      <c r="AA298" s="50" t="e">
        <f>-PMT(Assumptions!G$25/12,Assumptions!G$24*12,$Z$8)*$C298/100</f>
        <v>#NUM!</v>
      </c>
      <c r="AB298" s="44" t="e">
        <f>AA298*Assumptions!$G$24*12-Z298</f>
        <v>#NUM!</v>
      </c>
      <c r="AD298" s="54">
        <f t="shared" si="48"/>
        <v>0</v>
      </c>
      <c r="AE298" s="54">
        <f t="shared" si="49"/>
        <v>0</v>
      </c>
      <c r="AF298" s="54">
        <f t="shared" si="50"/>
        <v>2060</v>
      </c>
      <c r="AG298" s="54">
        <f t="shared" si="51"/>
        <v>10300</v>
      </c>
      <c r="AH298" s="54">
        <f t="shared" si="52"/>
        <v>0</v>
      </c>
      <c r="AI298" s="54">
        <f t="shared" si="53"/>
        <v>0</v>
      </c>
    </row>
    <row r="299" spans="1:35" ht="15" x14ac:dyDescent="0.2">
      <c r="A299" s="56" t="s">
        <v>394</v>
      </c>
      <c r="B299" s="32"/>
      <c r="C299" s="56">
        <v>0.28399999999999997</v>
      </c>
      <c r="D299" s="56">
        <v>445.91</v>
      </c>
      <c r="E299" s="36"/>
      <c r="F299" s="40">
        <f t="shared" si="24"/>
        <v>0</v>
      </c>
      <c r="G299" s="40" t="e">
        <f>-PMT(Assumptions!B$25/12,Assumptions!B$24*12,F$8)*C299/100</f>
        <v>#NUM!</v>
      </c>
      <c r="H299" s="40" t="e">
        <f>G299*Assumptions!$B$24*12-F299</f>
        <v>#NUM!</v>
      </c>
      <c r="I299" s="48"/>
      <c r="J299" s="40">
        <f t="shared" si="25"/>
        <v>0</v>
      </c>
      <c r="K299" s="40" t="e">
        <f>-PMT(Assumptions!C$25/12,Assumptions!C$24*12,J$8)*C299/100</f>
        <v>#NUM!</v>
      </c>
      <c r="L299" s="40" t="e">
        <f>K299*Assumptions!$C$24*12-J299</f>
        <v>#NUM!</v>
      </c>
      <c r="M299" s="43"/>
      <c r="N299" s="40">
        <f t="shared" si="26"/>
        <v>2840</v>
      </c>
      <c r="O299" s="50">
        <f>-PMT(Assumptions!D$25/12,Assumptions!D$24*12,N$8)*C299/100</f>
        <v>30.122606327897362</v>
      </c>
      <c r="P299" s="44">
        <f>O299*Assumptions!$D$24*12-N299</f>
        <v>774.71275934768346</v>
      </c>
      <c r="Q299" s="48"/>
      <c r="R299" s="40">
        <f t="shared" si="27"/>
        <v>14199.999999999998</v>
      </c>
      <c r="S299" s="40">
        <f>-PMT(Assumptions!E$25/12,Assumptions!E$24*12,$R$8)*$C299/100</f>
        <v>150.61303163948682</v>
      </c>
      <c r="T299" s="40">
        <f>S299*Assumptions!$E$24*12-R299</f>
        <v>3873.5637967384191</v>
      </c>
      <c r="U299" s="48"/>
      <c r="V299" s="40">
        <f t="shared" si="28"/>
        <v>0</v>
      </c>
      <c r="W299" s="40" t="e">
        <f>-PMT(Assumptions!F$25/12,Assumptions!F$24*12,$V$8)*$C299/100</f>
        <v>#NUM!</v>
      </c>
      <c r="X299" s="40" t="e">
        <f>W299*Assumptions!$F$24*12-V299</f>
        <v>#NUM!</v>
      </c>
      <c r="Y299" s="43"/>
      <c r="Z299" s="40">
        <f t="shared" si="29"/>
        <v>0</v>
      </c>
      <c r="AA299" s="50" t="e">
        <f>-PMT(Assumptions!G$25/12,Assumptions!G$24*12,$Z$8)*$C299/100</f>
        <v>#NUM!</v>
      </c>
      <c r="AB299" s="44" t="e">
        <f>AA299*Assumptions!$G$24*12-Z299</f>
        <v>#NUM!</v>
      </c>
      <c r="AD299" s="54">
        <f t="shared" si="48"/>
        <v>0</v>
      </c>
      <c r="AE299" s="54">
        <f t="shared" si="49"/>
        <v>0</v>
      </c>
      <c r="AF299" s="54">
        <f t="shared" si="50"/>
        <v>2840</v>
      </c>
      <c r="AG299" s="54">
        <f t="shared" si="51"/>
        <v>14199.999999999998</v>
      </c>
      <c r="AH299" s="54">
        <f t="shared" si="52"/>
        <v>0</v>
      </c>
      <c r="AI299" s="54">
        <f t="shared" si="53"/>
        <v>0</v>
      </c>
    </row>
    <row r="300" spans="1:35" ht="15" x14ac:dyDescent="0.2">
      <c r="A300" s="56" t="s">
        <v>395</v>
      </c>
      <c r="B300" s="32"/>
      <c r="C300" s="56">
        <v>0.28399999999999997</v>
      </c>
      <c r="D300" s="56">
        <v>445.91</v>
      </c>
      <c r="E300" s="36"/>
      <c r="F300" s="40">
        <f t="shared" si="24"/>
        <v>0</v>
      </c>
      <c r="G300" s="40" t="e">
        <f>-PMT(Assumptions!B$25/12,Assumptions!B$24*12,F$8)*C300/100</f>
        <v>#NUM!</v>
      </c>
      <c r="H300" s="40" t="e">
        <f>G300*Assumptions!$B$24*12-F300</f>
        <v>#NUM!</v>
      </c>
      <c r="I300" s="48"/>
      <c r="J300" s="40">
        <f t="shared" si="25"/>
        <v>0</v>
      </c>
      <c r="K300" s="40" t="e">
        <f>-PMT(Assumptions!C$25/12,Assumptions!C$24*12,J$8)*C300/100</f>
        <v>#NUM!</v>
      </c>
      <c r="L300" s="40" t="e">
        <f>K300*Assumptions!$C$24*12-J300</f>
        <v>#NUM!</v>
      </c>
      <c r="M300" s="43"/>
      <c r="N300" s="40">
        <f t="shared" si="26"/>
        <v>2840</v>
      </c>
      <c r="O300" s="50">
        <f>-PMT(Assumptions!D$25/12,Assumptions!D$24*12,N$8)*C300/100</f>
        <v>30.122606327897362</v>
      </c>
      <c r="P300" s="44">
        <f>O300*Assumptions!$D$24*12-N300</f>
        <v>774.71275934768346</v>
      </c>
      <c r="Q300" s="48"/>
      <c r="R300" s="40">
        <f t="shared" si="27"/>
        <v>14199.999999999998</v>
      </c>
      <c r="S300" s="40">
        <f>-PMT(Assumptions!E$25/12,Assumptions!E$24*12,$R$8)*$C300/100</f>
        <v>150.61303163948682</v>
      </c>
      <c r="T300" s="40">
        <f>S300*Assumptions!$E$24*12-R300</f>
        <v>3873.5637967384191</v>
      </c>
      <c r="U300" s="48"/>
      <c r="V300" s="40">
        <f t="shared" si="28"/>
        <v>0</v>
      </c>
      <c r="W300" s="40" t="e">
        <f>-PMT(Assumptions!F$25/12,Assumptions!F$24*12,$V$8)*$C300/100</f>
        <v>#NUM!</v>
      </c>
      <c r="X300" s="40" t="e">
        <f>W300*Assumptions!$F$24*12-V300</f>
        <v>#NUM!</v>
      </c>
      <c r="Y300" s="43"/>
      <c r="Z300" s="40">
        <f t="shared" si="29"/>
        <v>0</v>
      </c>
      <c r="AA300" s="50" t="e">
        <f>-PMT(Assumptions!G$25/12,Assumptions!G$24*12,$Z$8)*$C300/100</f>
        <v>#NUM!</v>
      </c>
      <c r="AB300" s="44" t="e">
        <f>AA300*Assumptions!$G$24*12-Z300</f>
        <v>#NUM!</v>
      </c>
      <c r="AD300" s="54">
        <f t="shared" si="48"/>
        <v>0</v>
      </c>
      <c r="AE300" s="54">
        <f t="shared" si="49"/>
        <v>0</v>
      </c>
      <c r="AF300" s="54">
        <f t="shared" si="50"/>
        <v>2840</v>
      </c>
      <c r="AG300" s="54">
        <f t="shared" si="51"/>
        <v>14199.999999999998</v>
      </c>
      <c r="AH300" s="54">
        <f t="shared" si="52"/>
        <v>0</v>
      </c>
      <c r="AI300" s="54">
        <f t="shared" si="53"/>
        <v>0</v>
      </c>
    </row>
    <row r="301" spans="1:35" ht="15" x14ac:dyDescent="0.2">
      <c r="A301" s="56" t="s">
        <v>396</v>
      </c>
      <c r="B301" s="32"/>
      <c r="C301" s="56">
        <v>0.28399999999999997</v>
      </c>
      <c r="D301" s="56">
        <v>445.91</v>
      </c>
      <c r="E301" s="36"/>
      <c r="F301" s="40">
        <f t="shared" si="24"/>
        <v>0</v>
      </c>
      <c r="G301" s="40" t="e">
        <f>-PMT(Assumptions!B$25/12,Assumptions!B$24*12,F$8)*C301/100</f>
        <v>#NUM!</v>
      </c>
      <c r="H301" s="40" t="e">
        <f>G301*Assumptions!$B$24*12-F301</f>
        <v>#NUM!</v>
      </c>
      <c r="I301" s="48"/>
      <c r="J301" s="40">
        <f t="shared" si="25"/>
        <v>0</v>
      </c>
      <c r="K301" s="40" t="e">
        <f>-PMT(Assumptions!C$25/12,Assumptions!C$24*12,J$8)*C301/100</f>
        <v>#NUM!</v>
      </c>
      <c r="L301" s="40" t="e">
        <f>K301*Assumptions!$C$24*12-J301</f>
        <v>#NUM!</v>
      </c>
      <c r="M301" s="43"/>
      <c r="N301" s="40">
        <f t="shared" si="26"/>
        <v>2840</v>
      </c>
      <c r="O301" s="50">
        <f>-PMT(Assumptions!D$25/12,Assumptions!D$24*12,N$8)*C301/100</f>
        <v>30.122606327897362</v>
      </c>
      <c r="P301" s="44">
        <f>O301*Assumptions!$D$24*12-N301</f>
        <v>774.71275934768346</v>
      </c>
      <c r="Q301" s="48"/>
      <c r="R301" s="40">
        <f t="shared" si="27"/>
        <v>14199.999999999998</v>
      </c>
      <c r="S301" s="40">
        <f>-PMT(Assumptions!E$25/12,Assumptions!E$24*12,$R$8)*$C301/100</f>
        <v>150.61303163948682</v>
      </c>
      <c r="T301" s="40">
        <f>S301*Assumptions!$E$24*12-R301</f>
        <v>3873.5637967384191</v>
      </c>
      <c r="U301" s="48"/>
      <c r="V301" s="40">
        <f t="shared" si="28"/>
        <v>0</v>
      </c>
      <c r="W301" s="40" t="e">
        <f>-PMT(Assumptions!F$25/12,Assumptions!F$24*12,$V$8)*$C301/100</f>
        <v>#NUM!</v>
      </c>
      <c r="X301" s="40" t="e">
        <f>W301*Assumptions!$F$24*12-V301</f>
        <v>#NUM!</v>
      </c>
      <c r="Y301" s="43"/>
      <c r="Z301" s="40">
        <f t="shared" si="29"/>
        <v>0</v>
      </c>
      <c r="AA301" s="50" t="e">
        <f>-PMT(Assumptions!G$25/12,Assumptions!G$24*12,$Z$8)*$C301/100</f>
        <v>#NUM!</v>
      </c>
      <c r="AB301" s="44" t="e">
        <f>AA301*Assumptions!$G$24*12-Z301</f>
        <v>#NUM!</v>
      </c>
      <c r="AD301" s="54">
        <f t="shared" si="48"/>
        <v>0</v>
      </c>
      <c r="AE301" s="54">
        <f t="shared" si="49"/>
        <v>0</v>
      </c>
      <c r="AF301" s="54">
        <f t="shared" si="50"/>
        <v>2840</v>
      </c>
      <c r="AG301" s="54">
        <f t="shared" si="51"/>
        <v>14199.999999999998</v>
      </c>
      <c r="AH301" s="54">
        <f t="shared" si="52"/>
        <v>0</v>
      </c>
      <c r="AI301" s="54">
        <f t="shared" si="53"/>
        <v>0</v>
      </c>
    </row>
    <row r="302" spans="1:35" ht="15" x14ac:dyDescent="0.2">
      <c r="A302" s="56" t="s">
        <v>397</v>
      </c>
      <c r="B302" s="32"/>
      <c r="C302" s="56">
        <v>0.28399999999999997</v>
      </c>
      <c r="D302" s="56">
        <v>445.91</v>
      </c>
      <c r="E302" s="36"/>
      <c r="F302" s="40">
        <f t="shared" si="24"/>
        <v>0</v>
      </c>
      <c r="G302" s="40" t="e">
        <f>-PMT(Assumptions!B$25/12,Assumptions!B$24*12,F$8)*C302/100</f>
        <v>#NUM!</v>
      </c>
      <c r="H302" s="40" t="e">
        <f>G302*Assumptions!$B$24*12-F302</f>
        <v>#NUM!</v>
      </c>
      <c r="I302" s="48"/>
      <c r="J302" s="40">
        <f t="shared" si="25"/>
        <v>0</v>
      </c>
      <c r="K302" s="40" t="e">
        <f>-PMT(Assumptions!C$25/12,Assumptions!C$24*12,J$8)*C302/100</f>
        <v>#NUM!</v>
      </c>
      <c r="L302" s="40" t="e">
        <f>K302*Assumptions!$C$24*12-J302</f>
        <v>#NUM!</v>
      </c>
      <c r="M302" s="43"/>
      <c r="N302" s="40">
        <f t="shared" si="26"/>
        <v>2840</v>
      </c>
      <c r="O302" s="50">
        <f>-PMT(Assumptions!D$25/12,Assumptions!D$24*12,N$8)*C302/100</f>
        <v>30.122606327897362</v>
      </c>
      <c r="P302" s="44">
        <f>O302*Assumptions!$D$24*12-N302</f>
        <v>774.71275934768346</v>
      </c>
      <c r="Q302" s="48"/>
      <c r="R302" s="40">
        <f t="shared" si="27"/>
        <v>14199.999999999998</v>
      </c>
      <c r="S302" s="40">
        <f>-PMT(Assumptions!E$25/12,Assumptions!E$24*12,$R$8)*$C302/100</f>
        <v>150.61303163948682</v>
      </c>
      <c r="T302" s="40">
        <f>S302*Assumptions!$E$24*12-R302</f>
        <v>3873.5637967384191</v>
      </c>
      <c r="U302" s="48"/>
      <c r="V302" s="40">
        <f t="shared" si="28"/>
        <v>0</v>
      </c>
      <c r="W302" s="40" t="e">
        <f>-PMT(Assumptions!F$25/12,Assumptions!F$24*12,$V$8)*$C302/100</f>
        <v>#NUM!</v>
      </c>
      <c r="X302" s="40" t="e">
        <f>W302*Assumptions!$F$24*12-V302</f>
        <v>#NUM!</v>
      </c>
      <c r="Y302" s="43"/>
      <c r="Z302" s="40">
        <f t="shared" si="29"/>
        <v>0</v>
      </c>
      <c r="AA302" s="50" t="e">
        <f>-PMT(Assumptions!G$25/12,Assumptions!G$24*12,$Z$8)*$C302/100</f>
        <v>#NUM!</v>
      </c>
      <c r="AB302" s="44" t="e">
        <f>AA302*Assumptions!$G$24*12-Z302</f>
        <v>#NUM!</v>
      </c>
      <c r="AD302" s="54">
        <f t="shared" si="48"/>
        <v>0</v>
      </c>
      <c r="AE302" s="54">
        <f t="shared" si="49"/>
        <v>0</v>
      </c>
      <c r="AF302" s="54">
        <f t="shared" si="50"/>
        <v>2840</v>
      </c>
      <c r="AG302" s="54">
        <f t="shared" si="51"/>
        <v>14199.999999999998</v>
      </c>
      <c r="AH302" s="54">
        <f t="shared" si="52"/>
        <v>0</v>
      </c>
      <c r="AI302" s="54">
        <f t="shared" si="53"/>
        <v>0</v>
      </c>
    </row>
    <row r="303" spans="1:35" ht="15" x14ac:dyDescent="0.2">
      <c r="A303" s="56" t="s">
        <v>398</v>
      </c>
      <c r="B303" s="32"/>
      <c r="C303" s="56">
        <v>0.20200000000000001</v>
      </c>
      <c r="D303" s="56">
        <v>317.16000000000003</v>
      </c>
      <c r="E303" s="36"/>
      <c r="F303" s="40">
        <f t="shared" si="24"/>
        <v>0</v>
      </c>
      <c r="G303" s="40" t="e">
        <f>-PMT(Assumptions!B$25/12,Assumptions!B$24*12,F$8)*C303/100</f>
        <v>#NUM!</v>
      </c>
      <c r="H303" s="40" t="e">
        <f>G303*Assumptions!$B$24*12-F303</f>
        <v>#NUM!</v>
      </c>
      <c r="I303" s="48"/>
      <c r="J303" s="40">
        <f t="shared" si="25"/>
        <v>0</v>
      </c>
      <c r="K303" s="40" t="e">
        <f>-PMT(Assumptions!C$25/12,Assumptions!C$24*12,J$8)*C303/100</f>
        <v>#NUM!</v>
      </c>
      <c r="L303" s="40" t="e">
        <f>K303*Assumptions!$C$24*12-J303</f>
        <v>#NUM!</v>
      </c>
      <c r="M303" s="43"/>
      <c r="N303" s="40">
        <f t="shared" si="26"/>
        <v>2020</v>
      </c>
      <c r="O303" s="50">
        <f>-PMT(Assumptions!D$25/12,Assumptions!D$24*12,N$8)*C303/100</f>
        <v>21.425234078293197</v>
      </c>
      <c r="P303" s="44">
        <f>O303*Assumptions!$D$24*12-N303</f>
        <v>551.028089395184</v>
      </c>
      <c r="Q303" s="48"/>
      <c r="R303" s="40">
        <f t="shared" si="27"/>
        <v>10100.000000000002</v>
      </c>
      <c r="S303" s="40">
        <f>-PMT(Assumptions!E$25/12,Assumptions!E$24*12,$R$8)*$C303/100</f>
        <v>107.12617039146599</v>
      </c>
      <c r="T303" s="40">
        <f>S303*Assumptions!$E$24*12-R303</f>
        <v>2755.1404469759163</v>
      </c>
      <c r="U303" s="48"/>
      <c r="V303" s="40">
        <f t="shared" si="28"/>
        <v>0</v>
      </c>
      <c r="W303" s="40" t="e">
        <f>-PMT(Assumptions!F$25/12,Assumptions!F$24*12,$V$8)*$C303/100</f>
        <v>#NUM!</v>
      </c>
      <c r="X303" s="40" t="e">
        <f>W303*Assumptions!$F$24*12-V303</f>
        <v>#NUM!</v>
      </c>
      <c r="Y303" s="43"/>
      <c r="Z303" s="40">
        <f t="shared" si="29"/>
        <v>0</v>
      </c>
      <c r="AA303" s="50" t="e">
        <f>-PMT(Assumptions!G$25/12,Assumptions!G$24*12,$Z$8)*$C303/100</f>
        <v>#NUM!</v>
      </c>
      <c r="AB303" s="44" t="e">
        <f>AA303*Assumptions!$G$24*12-Z303</f>
        <v>#NUM!</v>
      </c>
      <c r="AD303" s="54">
        <f t="shared" si="48"/>
        <v>0</v>
      </c>
      <c r="AE303" s="54">
        <f t="shared" si="49"/>
        <v>0</v>
      </c>
      <c r="AF303" s="54">
        <f t="shared" si="50"/>
        <v>2020</v>
      </c>
      <c r="AG303" s="54">
        <f t="shared" si="51"/>
        <v>10100.000000000002</v>
      </c>
      <c r="AH303" s="54">
        <f t="shared" si="52"/>
        <v>0</v>
      </c>
      <c r="AI303" s="54">
        <f t="shared" si="53"/>
        <v>0</v>
      </c>
    </row>
    <row r="304" spans="1:35" ht="15" x14ac:dyDescent="0.2">
      <c r="A304" s="56" t="s">
        <v>399</v>
      </c>
      <c r="B304" s="32"/>
      <c r="C304" s="56">
        <v>0.20200000000000001</v>
      </c>
      <c r="D304" s="56">
        <v>317.16000000000003</v>
      </c>
      <c r="E304" s="36"/>
      <c r="F304" s="40">
        <f t="shared" si="24"/>
        <v>0</v>
      </c>
      <c r="G304" s="40" t="e">
        <f>-PMT(Assumptions!B$25/12,Assumptions!B$24*12,F$8)*C304/100</f>
        <v>#NUM!</v>
      </c>
      <c r="H304" s="40" t="e">
        <f>G304*Assumptions!$B$24*12-F304</f>
        <v>#NUM!</v>
      </c>
      <c r="I304" s="48"/>
      <c r="J304" s="40">
        <f t="shared" si="25"/>
        <v>0</v>
      </c>
      <c r="K304" s="40" t="e">
        <f>-PMT(Assumptions!C$25/12,Assumptions!C$24*12,J$8)*C304/100</f>
        <v>#NUM!</v>
      </c>
      <c r="L304" s="40" t="e">
        <f>K304*Assumptions!$C$24*12-J304</f>
        <v>#NUM!</v>
      </c>
      <c r="M304" s="43"/>
      <c r="N304" s="40">
        <f t="shared" si="26"/>
        <v>2020</v>
      </c>
      <c r="O304" s="50">
        <f>-PMT(Assumptions!D$25/12,Assumptions!D$24*12,N$8)*C304/100</f>
        <v>21.425234078293197</v>
      </c>
      <c r="P304" s="44">
        <f>O304*Assumptions!$D$24*12-N304</f>
        <v>551.028089395184</v>
      </c>
      <c r="Q304" s="48"/>
      <c r="R304" s="40">
        <f t="shared" si="27"/>
        <v>10100.000000000002</v>
      </c>
      <c r="S304" s="40">
        <f>-PMT(Assumptions!E$25/12,Assumptions!E$24*12,$R$8)*$C304/100</f>
        <v>107.12617039146599</v>
      </c>
      <c r="T304" s="40">
        <f>S304*Assumptions!$E$24*12-R304</f>
        <v>2755.1404469759163</v>
      </c>
      <c r="U304" s="48"/>
      <c r="V304" s="40">
        <f t="shared" si="28"/>
        <v>0</v>
      </c>
      <c r="W304" s="40" t="e">
        <f>-PMT(Assumptions!F$25/12,Assumptions!F$24*12,$V$8)*$C304/100</f>
        <v>#NUM!</v>
      </c>
      <c r="X304" s="40" t="e">
        <f>W304*Assumptions!$F$24*12-V304</f>
        <v>#NUM!</v>
      </c>
      <c r="Y304" s="43"/>
      <c r="Z304" s="40">
        <f t="shared" si="29"/>
        <v>0</v>
      </c>
      <c r="AA304" s="50" t="e">
        <f>-PMT(Assumptions!G$25/12,Assumptions!G$24*12,$Z$8)*$C304/100</f>
        <v>#NUM!</v>
      </c>
      <c r="AB304" s="44" t="e">
        <f>AA304*Assumptions!$G$24*12-Z304</f>
        <v>#NUM!</v>
      </c>
      <c r="AD304" s="54">
        <f t="shared" si="48"/>
        <v>0</v>
      </c>
      <c r="AE304" s="54">
        <f t="shared" si="49"/>
        <v>0</v>
      </c>
      <c r="AF304" s="54">
        <f t="shared" si="50"/>
        <v>2020</v>
      </c>
      <c r="AG304" s="54">
        <f t="shared" si="51"/>
        <v>10100.000000000002</v>
      </c>
      <c r="AH304" s="54">
        <f t="shared" si="52"/>
        <v>0</v>
      </c>
      <c r="AI304" s="54">
        <f t="shared" si="53"/>
        <v>0</v>
      </c>
    </row>
    <row r="305" spans="1:35" ht="15" x14ac:dyDescent="0.2">
      <c r="A305" s="56" t="s">
        <v>400</v>
      </c>
      <c r="B305" s="32"/>
      <c r="C305" s="56">
        <v>0.14699999999999999</v>
      </c>
      <c r="D305" s="56">
        <v>230.81</v>
      </c>
      <c r="E305" s="36"/>
      <c r="F305" s="40">
        <f t="shared" si="24"/>
        <v>0</v>
      </c>
      <c r="G305" s="40" t="e">
        <f>-PMT(Assumptions!B$25/12,Assumptions!B$24*12,F$8)*C305/100</f>
        <v>#NUM!</v>
      </c>
      <c r="H305" s="40" t="e">
        <f>G305*Assumptions!$B$24*12-F305</f>
        <v>#NUM!</v>
      </c>
      <c r="I305" s="48"/>
      <c r="J305" s="40">
        <f t="shared" si="25"/>
        <v>0</v>
      </c>
      <c r="K305" s="40" t="e">
        <f>-PMT(Assumptions!C$25/12,Assumptions!C$24*12,J$8)*C305/100</f>
        <v>#NUM!</v>
      </c>
      <c r="L305" s="40" t="e">
        <f>K305*Assumptions!$C$24*12-J305</f>
        <v>#NUM!</v>
      </c>
      <c r="M305" s="43"/>
      <c r="N305" s="40">
        <f t="shared" si="26"/>
        <v>1470</v>
      </c>
      <c r="O305" s="50">
        <f>-PMT(Assumptions!D$25/12,Assumptions!D$24*12,N$8)*C305/100</f>
        <v>15.591630740144058</v>
      </c>
      <c r="P305" s="44">
        <f>O305*Assumptions!$D$24*12-N305</f>
        <v>400.99568881728692</v>
      </c>
      <c r="Q305" s="48"/>
      <c r="R305" s="40">
        <f t="shared" si="27"/>
        <v>7350</v>
      </c>
      <c r="S305" s="40">
        <f>-PMT(Assumptions!E$25/12,Assumptions!E$24*12,$R$8)*$C305/100</f>
        <v>77.958153700720288</v>
      </c>
      <c r="T305" s="40">
        <f>S305*Assumptions!$E$24*12-R305</f>
        <v>2004.978444086435</v>
      </c>
      <c r="U305" s="48"/>
      <c r="V305" s="40">
        <f t="shared" si="28"/>
        <v>0</v>
      </c>
      <c r="W305" s="40" t="e">
        <f>-PMT(Assumptions!F$25/12,Assumptions!F$24*12,$V$8)*$C305/100</f>
        <v>#NUM!</v>
      </c>
      <c r="X305" s="40" t="e">
        <f>W305*Assumptions!$F$24*12-V305</f>
        <v>#NUM!</v>
      </c>
      <c r="Y305" s="43"/>
      <c r="Z305" s="40">
        <f t="shared" si="29"/>
        <v>0</v>
      </c>
      <c r="AA305" s="50" t="e">
        <f>-PMT(Assumptions!G$25/12,Assumptions!G$24*12,$Z$8)*$C305/100</f>
        <v>#NUM!</v>
      </c>
      <c r="AB305" s="44" t="e">
        <f>AA305*Assumptions!$G$24*12-Z305</f>
        <v>#NUM!</v>
      </c>
      <c r="AD305" s="54">
        <f t="shared" si="48"/>
        <v>0</v>
      </c>
      <c r="AE305" s="54">
        <f t="shared" si="49"/>
        <v>0</v>
      </c>
      <c r="AF305" s="54">
        <f t="shared" si="50"/>
        <v>1470</v>
      </c>
      <c r="AG305" s="54">
        <f t="shared" si="51"/>
        <v>7350</v>
      </c>
      <c r="AH305" s="54">
        <f t="shared" si="52"/>
        <v>0</v>
      </c>
      <c r="AI305" s="54">
        <f t="shared" si="53"/>
        <v>0</v>
      </c>
    </row>
    <row r="306" spans="1:35" ht="15" x14ac:dyDescent="0.2">
      <c r="A306" s="56" t="s">
        <v>401</v>
      </c>
      <c r="B306" s="32"/>
      <c r="C306" s="56">
        <v>0.156</v>
      </c>
      <c r="D306" s="56">
        <v>244.94</v>
      </c>
      <c r="E306" s="36"/>
      <c r="F306" s="40">
        <f t="shared" si="24"/>
        <v>0</v>
      </c>
      <c r="G306" s="40" t="e">
        <f>-PMT(Assumptions!B$25/12,Assumptions!B$24*12,F$8)*C306/100</f>
        <v>#NUM!</v>
      </c>
      <c r="H306" s="40" t="e">
        <f>G306*Assumptions!$B$24*12-F306</f>
        <v>#NUM!</v>
      </c>
      <c r="I306" s="48"/>
      <c r="J306" s="40">
        <f t="shared" si="25"/>
        <v>0</v>
      </c>
      <c r="K306" s="40" t="e">
        <f>-PMT(Assumptions!C$25/12,Assumptions!C$24*12,J$8)*C306/100</f>
        <v>#NUM!</v>
      </c>
      <c r="L306" s="40" t="e">
        <f>K306*Assumptions!$C$24*12-J306</f>
        <v>#NUM!</v>
      </c>
      <c r="M306" s="43"/>
      <c r="N306" s="40">
        <f t="shared" si="26"/>
        <v>1560</v>
      </c>
      <c r="O306" s="50">
        <f>-PMT(Assumptions!D$25/12,Assumptions!D$24*12,N$8)*C306/100</f>
        <v>16.546220377295736</v>
      </c>
      <c r="P306" s="44">
        <f>O306*Assumptions!$D$24*12-N306</f>
        <v>425.5464452754884</v>
      </c>
      <c r="Q306" s="48"/>
      <c r="R306" s="40">
        <f t="shared" si="27"/>
        <v>7800</v>
      </c>
      <c r="S306" s="40">
        <f>-PMT(Assumptions!E$25/12,Assumptions!E$24*12,$R$8)*$C306/100</f>
        <v>82.731101886478683</v>
      </c>
      <c r="T306" s="40">
        <f>S306*Assumptions!$E$24*12-R306</f>
        <v>2127.7322263774404</v>
      </c>
      <c r="U306" s="48"/>
      <c r="V306" s="40">
        <f t="shared" si="28"/>
        <v>0</v>
      </c>
      <c r="W306" s="40" t="e">
        <f>-PMT(Assumptions!F$25/12,Assumptions!F$24*12,$V$8)*$C306/100</f>
        <v>#NUM!</v>
      </c>
      <c r="X306" s="40" t="e">
        <f>W306*Assumptions!$F$24*12-V306</f>
        <v>#NUM!</v>
      </c>
      <c r="Y306" s="43"/>
      <c r="Z306" s="40">
        <f t="shared" si="29"/>
        <v>0</v>
      </c>
      <c r="AA306" s="50" t="e">
        <f>-PMT(Assumptions!G$25/12,Assumptions!G$24*12,$Z$8)*$C306/100</f>
        <v>#NUM!</v>
      </c>
      <c r="AB306" s="44" t="e">
        <f>AA306*Assumptions!$G$24*12-Z306</f>
        <v>#NUM!</v>
      </c>
      <c r="AD306" s="54">
        <f t="shared" si="48"/>
        <v>0</v>
      </c>
      <c r="AE306" s="54">
        <f t="shared" si="49"/>
        <v>0</v>
      </c>
      <c r="AF306" s="54">
        <f t="shared" si="50"/>
        <v>1560</v>
      </c>
      <c r="AG306" s="54">
        <f t="shared" si="51"/>
        <v>7800</v>
      </c>
      <c r="AH306" s="54">
        <f t="shared" si="52"/>
        <v>0</v>
      </c>
      <c r="AI306" s="54">
        <f t="shared" si="53"/>
        <v>0</v>
      </c>
    </row>
    <row r="307" spans="1:35" ht="15" x14ac:dyDescent="0.2">
      <c r="A307" s="56" t="s">
        <v>402</v>
      </c>
      <c r="B307" s="32"/>
      <c r="C307" s="56">
        <v>0.14699999999999999</v>
      </c>
      <c r="D307" s="56">
        <v>230.81</v>
      </c>
      <c r="E307" s="36"/>
      <c r="F307" s="40">
        <f t="shared" si="24"/>
        <v>0</v>
      </c>
      <c r="G307" s="40" t="e">
        <f>-PMT(Assumptions!B$25/12,Assumptions!B$24*12,F$8)*C307/100</f>
        <v>#NUM!</v>
      </c>
      <c r="H307" s="40" t="e">
        <f>G307*Assumptions!$B$24*12-F307</f>
        <v>#NUM!</v>
      </c>
      <c r="I307" s="48"/>
      <c r="J307" s="40">
        <f t="shared" si="25"/>
        <v>0</v>
      </c>
      <c r="K307" s="40" t="e">
        <f>-PMT(Assumptions!C$25/12,Assumptions!C$24*12,J$8)*C307/100</f>
        <v>#NUM!</v>
      </c>
      <c r="L307" s="40" t="e">
        <f>K307*Assumptions!$C$24*12-J307</f>
        <v>#NUM!</v>
      </c>
      <c r="M307" s="43"/>
      <c r="N307" s="40">
        <f t="shared" si="26"/>
        <v>1470</v>
      </c>
      <c r="O307" s="50">
        <f>-PMT(Assumptions!D$25/12,Assumptions!D$24*12,N$8)*C307/100</f>
        <v>15.591630740144058</v>
      </c>
      <c r="P307" s="44">
        <f>O307*Assumptions!$D$24*12-N307</f>
        <v>400.99568881728692</v>
      </c>
      <c r="Q307" s="48"/>
      <c r="R307" s="40">
        <f t="shared" si="27"/>
        <v>7350</v>
      </c>
      <c r="S307" s="40">
        <f>-PMT(Assumptions!E$25/12,Assumptions!E$24*12,$R$8)*$C307/100</f>
        <v>77.958153700720288</v>
      </c>
      <c r="T307" s="40">
        <f>S307*Assumptions!$E$24*12-R307</f>
        <v>2004.978444086435</v>
      </c>
      <c r="U307" s="48"/>
      <c r="V307" s="40">
        <f t="shared" si="28"/>
        <v>0</v>
      </c>
      <c r="W307" s="40" t="e">
        <f>-PMT(Assumptions!F$25/12,Assumptions!F$24*12,$V$8)*$C307/100</f>
        <v>#NUM!</v>
      </c>
      <c r="X307" s="40" t="e">
        <f>W307*Assumptions!$F$24*12-V307</f>
        <v>#NUM!</v>
      </c>
      <c r="Y307" s="43"/>
      <c r="Z307" s="40">
        <f t="shared" si="29"/>
        <v>0</v>
      </c>
      <c r="AA307" s="50" t="e">
        <f>-PMT(Assumptions!G$25/12,Assumptions!G$24*12,$Z$8)*$C307/100</f>
        <v>#NUM!</v>
      </c>
      <c r="AB307" s="44" t="e">
        <f>AA307*Assumptions!$G$24*12-Z307</f>
        <v>#NUM!</v>
      </c>
      <c r="AD307" s="54">
        <f t="shared" si="48"/>
        <v>0</v>
      </c>
      <c r="AE307" s="54">
        <f t="shared" si="49"/>
        <v>0</v>
      </c>
      <c r="AF307" s="54">
        <f t="shared" si="50"/>
        <v>1470</v>
      </c>
      <c r="AG307" s="54">
        <f t="shared" si="51"/>
        <v>7350</v>
      </c>
      <c r="AH307" s="54">
        <f t="shared" si="52"/>
        <v>0</v>
      </c>
      <c r="AI307" s="54">
        <f t="shared" si="53"/>
        <v>0</v>
      </c>
    </row>
    <row r="308" spans="1:35" ht="15" x14ac:dyDescent="0.2">
      <c r="A308" s="56" t="s">
        <v>403</v>
      </c>
      <c r="B308" s="32"/>
      <c r="C308" s="56">
        <v>0.156</v>
      </c>
      <c r="D308" s="56">
        <v>244.94</v>
      </c>
      <c r="E308" s="36"/>
      <c r="F308" s="40">
        <f t="shared" si="24"/>
        <v>0</v>
      </c>
      <c r="G308" s="40" t="e">
        <f>-PMT(Assumptions!B$25/12,Assumptions!B$24*12,F$8)*C308/100</f>
        <v>#NUM!</v>
      </c>
      <c r="H308" s="40" t="e">
        <f>G308*Assumptions!$B$24*12-F308</f>
        <v>#NUM!</v>
      </c>
      <c r="I308" s="48"/>
      <c r="J308" s="40">
        <f t="shared" si="25"/>
        <v>0</v>
      </c>
      <c r="K308" s="40" t="e">
        <f>-PMT(Assumptions!C$25/12,Assumptions!C$24*12,J$8)*C308/100</f>
        <v>#NUM!</v>
      </c>
      <c r="L308" s="40" t="e">
        <f>K308*Assumptions!$C$24*12-J308</f>
        <v>#NUM!</v>
      </c>
      <c r="M308" s="43"/>
      <c r="N308" s="40">
        <f t="shared" si="26"/>
        <v>1560</v>
      </c>
      <c r="O308" s="50">
        <f>-PMT(Assumptions!D$25/12,Assumptions!D$24*12,N$8)*C308/100</f>
        <v>16.546220377295736</v>
      </c>
      <c r="P308" s="44">
        <f>O308*Assumptions!$D$24*12-N308</f>
        <v>425.5464452754884</v>
      </c>
      <c r="Q308" s="48"/>
      <c r="R308" s="40">
        <f t="shared" si="27"/>
        <v>7800</v>
      </c>
      <c r="S308" s="40">
        <f>-PMT(Assumptions!E$25/12,Assumptions!E$24*12,$R$8)*$C308/100</f>
        <v>82.731101886478683</v>
      </c>
      <c r="T308" s="40">
        <f>S308*Assumptions!$E$24*12-R308</f>
        <v>2127.7322263774404</v>
      </c>
      <c r="U308" s="48"/>
      <c r="V308" s="40">
        <f t="shared" si="28"/>
        <v>0</v>
      </c>
      <c r="W308" s="40" t="e">
        <f>-PMT(Assumptions!F$25/12,Assumptions!F$24*12,$V$8)*$C308/100</f>
        <v>#NUM!</v>
      </c>
      <c r="X308" s="40" t="e">
        <f>W308*Assumptions!$F$24*12-V308</f>
        <v>#NUM!</v>
      </c>
      <c r="Y308" s="43"/>
      <c r="Z308" s="40">
        <f t="shared" si="29"/>
        <v>0</v>
      </c>
      <c r="AA308" s="50" t="e">
        <f>-PMT(Assumptions!G$25/12,Assumptions!G$24*12,$Z$8)*$C308/100</f>
        <v>#NUM!</v>
      </c>
      <c r="AB308" s="44" t="e">
        <f>AA308*Assumptions!$G$24*12-Z308</f>
        <v>#NUM!</v>
      </c>
      <c r="AD308" s="54">
        <f t="shared" si="48"/>
        <v>0</v>
      </c>
      <c r="AE308" s="54">
        <f t="shared" si="49"/>
        <v>0</v>
      </c>
      <c r="AF308" s="54">
        <f t="shared" si="50"/>
        <v>1560</v>
      </c>
      <c r="AG308" s="54">
        <f t="shared" si="51"/>
        <v>7800</v>
      </c>
      <c r="AH308" s="54">
        <f t="shared" si="52"/>
        <v>0</v>
      </c>
      <c r="AI308" s="54">
        <f t="shared" si="53"/>
        <v>0</v>
      </c>
    </row>
    <row r="309" spans="1:35" ht="15" x14ac:dyDescent="0.2">
      <c r="A309" s="56" t="s">
        <v>404</v>
      </c>
      <c r="B309" s="32"/>
      <c r="C309" s="56">
        <v>0.219</v>
      </c>
      <c r="D309" s="56">
        <v>343.85</v>
      </c>
      <c r="E309" s="36"/>
      <c r="F309" s="40">
        <f t="shared" si="24"/>
        <v>0</v>
      </c>
      <c r="G309" s="40" t="e">
        <f>-PMT(Assumptions!B$25/12,Assumptions!B$24*12,F$8)*C309/100</f>
        <v>#NUM!</v>
      </c>
      <c r="H309" s="40" t="e">
        <f>G309*Assumptions!$B$24*12-F309</f>
        <v>#NUM!</v>
      </c>
      <c r="I309" s="48"/>
      <c r="J309" s="40">
        <f t="shared" si="25"/>
        <v>0</v>
      </c>
      <c r="K309" s="40" t="e">
        <f>-PMT(Assumptions!C$25/12,Assumptions!C$24*12,J$8)*C309/100</f>
        <v>#NUM!</v>
      </c>
      <c r="L309" s="40" t="e">
        <f>K309*Assumptions!$C$24*12-J309</f>
        <v>#NUM!</v>
      </c>
      <c r="M309" s="43"/>
      <c r="N309" s="40">
        <f t="shared" si="26"/>
        <v>2190</v>
      </c>
      <c r="O309" s="50">
        <f>-PMT(Assumptions!D$25/12,Assumptions!D$24*12,N$8)*C309/100</f>
        <v>23.228347837357475</v>
      </c>
      <c r="P309" s="44">
        <f>O309*Assumptions!$D$24*12-N309</f>
        <v>597.40174048289691</v>
      </c>
      <c r="Q309" s="48"/>
      <c r="R309" s="40">
        <f t="shared" si="27"/>
        <v>10950</v>
      </c>
      <c r="S309" s="40">
        <f>-PMT(Assumptions!E$25/12,Assumptions!E$24*12,$R$8)*$C309/100</f>
        <v>116.14173918678738</v>
      </c>
      <c r="T309" s="40">
        <f>S309*Assumptions!$E$24*12-R309</f>
        <v>2987.008702414485</v>
      </c>
      <c r="U309" s="48"/>
      <c r="V309" s="40">
        <f t="shared" si="28"/>
        <v>0</v>
      </c>
      <c r="W309" s="40" t="e">
        <f>-PMT(Assumptions!F$25/12,Assumptions!F$24*12,$V$8)*$C309/100</f>
        <v>#NUM!</v>
      </c>
      <c r="X309" s="40" t="e">
        <f>W309*Assumptions!$F$24*12-V309</f>
        <v>#NUM!</v>
      </c>
      <c r="Y309" s="43"/>
      <c r="Z309" s="40">
        <f t="shared" si="29"/>
        <v>0</v>
      </c>
      <c r="AA309" s="50" t="e">
        <f>-PMT(Assumptions!G$25/12,Assumptions!G$24*12,$Z$8)*$C309/100</f>
        <v>#NUM!</v>
      </c>
      <c r="AB309" s="44" t="e">
        <f>AA309*Assumptions!$G$24*12-Z309</f>
        <v>#NUM!</v>
      </c>
      <c r="AD309" s="54">
        <f t="shared" si="48"/>
        <v>0</v>
      </c>
      <c r="AE309" s="54">
        <f t="shared" si="49"/>
        <v>0</v>
      </c>
      <c r="AF309" s="54">
        <f t="shared" si="50"/>
        <v>2190</v>
      </c>
      <c r="AG309" s="54">
        <f t="shared" si="51"/>
        <v>10950</v>
      </c>
      <c r="AH309" s="54">
        <f t="shared" si="52"/>
        <v>0</v>
      </c>
      <c r="AI309" s="54">
        <f t="shared" si="53"/>
        <v>0</v>
      </c>
    </row>
    <row r="310" spans="1:35" ht="15" x14ac:dyDescent="0.2">
      <c r="A310" s="56" t="s">
        <v>405</v>
      </c>
      <c r="B310" s="32"/>
      <c r="C310" s="56">
        <v>0.22700000000000001</v>
      </c>
      <c r="D310" s="56">
        <v>356.41</v>
      </c>
      <c r="E310" s="36"/>
      <c r="F310" s="40">
        <f t="shared" si="24"/>
        <v>0</v>
      </c>
      <c r="G310" s="40" t="e">
        <f>-PMT(Assumptions!B$25/12,Assumptions!B$24*12,F$8)*C310/100</f>
        <v>#NUM!</v>
      </c>
      <c r="H310" s="40" t="e">
        <f>G310*Assumptions!$B$24*12-F310</f>
        <v>#NUM!</v>
      </c>
      <c r="I310" s="48"/>
      <c r="J310" s="40">
        <f t="shared" si="25"/>
        <v>0</v>
      </c>
      <c r="K310" s="40" t="e">
        <f>-PMT(Assumptions!C$25/12,Assumptions!C$24*12,J$8)*C310/100</f>
        <v>#NUM!</v>
      </c>
      <c r="L310" s="40" t="e">
        <f>K310*Assumptions!$C$24*12-J310</f>
        <v>#NUM!</v>
      </c>
      <c r="M310" s="43"/>
      <c r="N310" s="40">
        <f t="shared" si="26"/>
        <v>2270</v>
      </c>
      <c r="O310" s="50">
        <f>-PMT(Assumptions!D$25/12,Assumptions!D$24*12,N$8)*C310/100</f>
        <v>24.076871959270079</v>
      </c>
      <c r="P310" s="44">
        <f>O310*Assumptions!$D$24*12-N310</f>
        <v>619.22463511240949</v>
      </c>
      <c r="Q310" s="48"/>
      <c r="R310" s="40">
        <f t="shared" si="27"/>
        <v>11350</v>
      </c>
      <c r="S310" s="40">
        <f>-PMT(Assumptions!E$25/12,Assumptions!E$24*12,$R$8)*$C310/100</f>
        <v>120.3843597963504</v>
      </c>
      <c r="T310" s="40">
        <f>S310*Assumptions!$E$24*12-R310</f>
        <v>3096.1231755620465</v>
      </c>
      <c r="U310" s="48"/>
      <c r="V310" s="40">
        <f t="shared" si="28"/>
        <v>0</v>
      </c>
      <c r="W310" s="40" t="e">
        <f>-PMT(Assumptions!F$25/12,Assumptions!F$24*12,$V$8)*$C310/100</f>
        <v>#NUM!</v>
      </c>
      <c r="X310" s="40" t="e">
        <f>W310*Assumptions!$F$24*12-V310</f>
        <v>#NUM!</v>
      </c>
      <c r="Y310" s="43"/>
      <c r="Z310" s="40">
        <f t="shared" si="29"/>
        <v>0</v>
      </c>
      <c r="AA310" s="50" t="e">
        <f>-PMT(Assumptions!G$25/12,Assumptions!G$24*12,$Z$8)*$C310/100</f>
        <v>#NUM!</v>
      </c>
      <c r="AB310" s="44" t="e">
        <f>AA310*Assumptions!$G$24*12-Z310</f>
        <v>#NUM!</v>
      </c>
      <c r="AD310" s="54">
        <f t="shared" si="48"/>
        <v>0</v>
      </c>
      <c r="AE310" s="54">
        <f t="shared" si="49"/>
        <v>0</v>
      </c>
      <c r="AF310" s="54">
        <f t="shared" si="50"/>
        <v>2270</v>
      </c>
      <c r="AG310" s="54">
        <f t="shared" si="51"/>
        <v>11350</v>
      </c>
      <c r="AH310" s="54">
        <f t="shared" si="52"/>
        <v>0</v>
      </c>
      <c r="AI310" s="54">
        <f t="shared" si="53"/>
        <v>0</v>
      </c>
    </row>
    <row r="311" spans="1:35" ht="15" x14ac:dyDescent="0.2">
      <c r="A311" s="56" t="s">
        <v>406</v>
      </c>
      <c r="B311" s="32"/>
      <c r="C311" s="56">
        <v>0.20200000000000001</v>
      </c>
      <c r="D311" s="56">
        <v>317.16000000000003</v>
      </c>
      <c r="E311" s="36"/>
      <c r="F311" s="40">
        <f t="shared" si="24"/>
        <v>0</v>
      </c>
      <c r="G311" s="40" t="e">
        <f>-PMT(Assumptions!B$25/12,Assumptions!B$24*12,F$8)*C311/100</f>
        <v>#NUM!</v>
      </c>
      <c r="H311" s="40" t="e">
        <f>G311*Assumptions!$B$24*12-F311</f>
        <v>#NUM!</v>
      </c>
      <c r="I311" s="48"/>
      <c r="J311" s="40">
        <f t="shared" si="25"/>
        <v>0</v>
      </c>
      <c r="K311" s="40" t="e">
        <f>-PMT(Assumptions!C$25/12,Assumptions!C$24*12,J$8)*C311/100</f>
        <v>#NUM!</v>
      </c>
      <c r="L311" s="40" t="e">
        <f>K311*Assumptions!$C$24*12-J311</f>
        <v>#NUM!</v>
      </c>
      <c r="M311" s="43"/>
      <c r="N311" s="40">
        <f t="shared" si="26"/>
        <v>2020</v>
      </c>
      <c r="O311" s="50">
        <f>-PMT(Assumptions!D$25/12,Assumptions!D$24*12,N$8)*C311/100</f>
        <v>21.425234078293197</v>
      </c>
      <c r="P311" s="44">
        <f>O311*Assumptions!$D$24*12-N311</f>
        <v>551.028089395184</v>
      </c>
      <c r="Q311" s="48"/>
      <c r="R311" s="40">
        <f t="shared" si="27"/>
        <v>10100.000000000002</v>
      </c>
      <c r="S311" s="40">
        <f>-PMT(Assumptions!E$25/12,Assumptions!E$24*12,$R$8)*$C311/100</f>
        <v>107.12617039146599</v>
      </c>
      <c r="T311" s="40">
        <f>S311*Assumptions!$E$24*12-R311</f>
        <v>2755.1404469759163</v>
      </c>
      <c r="U311" s="48"/>
      <c r="V311" s="40">
        <f t="shared" si="28"/>
        <v>0</v>
      </c>
      <c r="W311" s="40" t="e">
        <f>-PMT(Assumptions!F$25/12,Assumptions!F$24*12,$V$8)*$C311/100</f>
        <v>#NUM!</v>
      </c>
      <c r="X311" s="40" t="e">
        <f>W311*Assumptions!$F$24*12-V311</f>
        <v>#NUM!</v>
      </c>
      <c r="Y311" s="43"/>
      <c r="Z311" s="40">
        <f t="shared" si="29"/>
        <v>0</v>
      </c>
      <c r="AA311" s="50" t="e">
        <f>-PMT(Assumptions!G$25/12,Assumptions!G$24*12,$Z$8)*$C311/100</f>
        <v>#NUM!</v>
      </c>
      <c r="AB311" s="44" t="e">
        <f>AA311*Assumptions!$G$24*12-Z311</f>
        <v>#NUM!</v>
      </c>
      <c r="AD311" s="54">
        <f t="shared" si="48"/>
        <v>0</v>
      </c>
      <c r="AE311" s="54">
        <f t="shared" si="49"/>
        <v>0</v>
      </c>
      <c r="AF311" s="54">
        <f t="shared" si="50"/>
        <v>2020</v>
      </c>
      <c r="AG311" s="54">
        <f t="shared" si="51"/>
        <v>10100.000000000002</v>
      </c>
      <c r="AH311" s="54">
        <f t="shared" si="52"/>
        <v>0</v>
      </c>
      <c r="AI311" s="54">
        <f t="shared" si="53"/>
        <v>0</v>
      </c>
    </row>
    <row r="312" spans="1:35" ht="15" x14ac:dyDescent="0.2">
      <c r="A312" s="56" t="s">
        <v>407</v>
      </c>
      <c r="B312" s="32"/>
      <c r="C312" s="56">
        <v>0.20200000000000001</v>
      </c>
      <c r="D312" s="56">
        <v>317.16000000000003</v>
      </c>
      <c r="E312" s="36"/>
      <c r="F312" s="40">
        <f t="shared" si="24"/>
        <v>0</v>
      </c>
      <c r="G312" s="40" t="e">
        <f>-PMT(Assumptions!B$25/12,Assumptions!B$24*12,F$8)*C312/100</f>
        <v>#NUM!</v>
      </c>
      <c r="H312" s="40" t="e">
        <f>G312*Assumptions!$B$24*12-F312</f>
        <v>#NUM!</v>
      </c>
      <c r="I312" s="48"/>
      <c r="J312" s="40">
        <f t="shared" si="25"/>
        <v>0</v>
      </c>
      <c r="K312" s="40" t="e">
        <f>-PMT(Assumptions!C$25/12,Assumptions!C$24*12,J$8)*C312/100</f>
        <v>#NUM!</v>
      </c>
      <c r="L312" s="40" t="e">
        <f>K312*Assumptions!$C$24*12-J312</f>
        <v>#NUM!</v>
      </c>
      <c r="M312" s="43"/>
      <c r="N312" s="40">
        <f t="shared" si="26"/>
        <v>2020</v>
      </c>
      <c r="O312" s="50">
        <f>-PMT(Assumptions!D$25/12,Assumptions!D$24*12,N$8)*C312/100</f>
        <v>21.425234078293197</v>
      </c>
      <c r="P312" s="44">
        <f>O312*Assumptions!$D$24*12-N312</f>
        <v>551.028089395184</v>
      </c>
      <c r="Q312" s="48"/>
      <c r="R312" s="40">
        <f t="shared" si="27"/>
        <v>10100.000000000002</v>
      </c>
      <c r="S312" s="40">
        <f>-PMT(Assumptions!E$25/12,Assumptions!E$24*12,$R$8)*$C312/100</f>
        <v>107.12617039146599</v>
      </c>
      <c r="T312" s="40">
        <f>S312*Assumptions!$E$24*12-R312</f>
        <v>2755.1404469759163</v>
      </c>
      <c r="U312" s="48"/>
      <c r="V312" s="40">
        <f t="shared" si="28"/>
        <v>0</v>
      </c>
      <c r="W312" s="40" t="e">
        <f>-PMT(Assumptions!F$25/12,Assumptions!F$24*12,$V$8)*$C312/100</f>
        <v>#NUM!</v>
      </c>
      <c r="X312" s="40" t="e">
        <f>W312*Assumptions!$F$24*12-V312</f>
        <v>#NUM!</v>
      </c>
      <c r="Y312" s="43"/>
      <c r="Z312" s="40">
        <f t="shared" si="29"/>
        <v>0</v>
      </c>
      <c r="AA312" s="50" t="e">
        <f>-PMT(Assumptions!G$25/12,Assumptions!G$24*12,$Z$8)*$C312/100</f>
        <v>#NUM!</v>
      </c>
      <c r="AB312" s="44" t="e">
        <f>AA312*Assumptions!$G$24*12-Z312</f>
        <v>#NUM!</v>
      </c>
      <c r="AD312" s="54">
        <f t="shared" si="48"/>
        <v>0</v>
      </c>
      <c r="AE312" s="54">
        <f t="shared" si="49"/>
        <v>0</v>
      </c>
      <c r="AF312" s="54">
        <f t="shared" si="50"/>
        <v>2020</v>
      </c>
      <c r="AG312" s="54">
        <f t="shared" si="51"/>
        <v>10100.000000000002</v>
      </c>
      <c r="AH312" s="54">
        <f t="shared" si="52"/>
        <v>0</v>
      </c>
      <c r="AI312" s="54">
        <f t="shared" si="53"/>
        <v>0</v>
      </c>
    </row>
    <row r="313" spans="1:35" ht="15" x14ac:dyDescent="0.2">
      <c r="A313" s="56" t="s">
        <v>408</v>
      </c>
      <c r="B313" s="32"/>
      <c r="C313" s="56">
        <v>0.14699999999999999</v>
      </c>
      <c r="D313" s="56">
        <v>230.81</v>
      </c>
      <c r="E313" s="36"/>
      <c r="F313" s="40">
        <f t="shared" si="24"/>
        <v>0</v>
      </c>
      <c r="G313" s="40" t="e">
        <f>-PMT(Assumptions!B$25/12,Assumptions!B$24*12,F$8)*C313/100</f>
        <v>#NUM!</v>
      </c>
      <c r="H313" s="40" t="e">
        <f>G313*Assumptions!$B$24*12-F313</f>
        <v>#NUM!</v>
      </c>
      <c r="I313" s="48"/>
      <c r="J313" s="40">
        <f t="shared" si="25"/>
        <v>0</v>
      </c>
      <c r="K313" s="40" t="e">
        <f>-PMT(Assumptions!C$25/12,Assumptions!C$24*12,J$8)*C313/100</f>
        <v>#NUM!</v>
      </c>
      <c r="L313" s="40" t="e">
        <f>K313*Assumptions!$C$24*12-J313</f>
        <v>#NUM!</v>
      </c>
      <c r="M313" s="43"/>
      <c r="N313" s="40">
        <f t="shared" si="26"/>
        <v>1470</v>
      </c>
      <c r="O313" s="50">
        <f>-PMT(Assumptions!D$25/12,Assumptions!D$24*12,N$8)*C313/100</f>
        <v>15.591630740144058</v>
      </c>
      <c r="P313" s="44">
        <f>O313*Assumptions!$D$24*12-N313</f>
        <v>400.99568881728692</v>
      </c>
      <c r="Q313" s="48"/>
      <c r="R313" s="40">
        <f t="shared" si="27"/>
        <v>7350</v>
      </c>
      <c r="S313" s="40">
        <f>-PMT(Assumptions!E$25/12,Assumptions!E$24*12,$R$8)*$C313/100</f>
        <v>77.958153700720288</v>
      </c>
      <c r="T313" s="40">
        <f>S313*Assumptions!$E$24*12-R313</f>
        <v>2004.978444086435</v>
      </c>
      <c r="U313" s="48"/>
      <c r="V313" s="40">
        <f t="shared" si="28"/>
        <v>0</v>
      </c>
      <c r="W313" s="40" t="e">
        <f>-PMT(Assumptions!F$25/12,Assumptions!F$24*12,$V$8)*$C313/100</f>
        <v>#NUM!</v>
      </c>
      <c r="X313" s="40" t="e">
        <f>W313*Assumptions!$F$24*12-V313</f>
        <v>#NUM!</v>
      </c>
      <c r="Y313" s="43"/>
      <c r="Z313" s="40">
        <f t="shared" si="29"/>
        <v>0</v>
      </c>
      <c r="AA313" s="50" t="e">
        <f>-PMT(Assumptions!G$25/12,Assumptions!G$24*12,$Z$8)*$C313/100</f>
        <v>#NUM!</v>
      </c>
      <c r="AB313" s="44" t="e">
        <f>AA313*Assumptions!$G$24*12-Z313</f>
        <v>#NUM!</v>
      </c>
      <c r="AD313" s="54">
        <f t="shared" si="48"/>
        <v>0</v>
      </c>
      <c r="AE313" s="54">
        <f t="shared" si="49"/>
        <v>0</v>
      </c>
      <c r="AF313" s="54">
        <f t="shared" si="50"/>
        <v>1470</v>
      </c>
      <c r="AG313" s="54">
        <f t="shared" si="51"/>
        <v>7350</v>
      </c>
      <c r="AH313" s="54">
        <f t="shared" si="52"/>
        <v>0</v>
      </c>
      <c r="AI313" s="54">
        <f t="shared" si="53"/>
        <v>0</v>
      </c>
    </row>
    <row r="314" spans="1:35" ht="15" x14ac:dyDescent="0.2">
      <c r="A314" s="56" t="s">
        <v>409</v>
      </c>
      <c r="B314" s="32"/>
      <c r="C314" s="56">
        <v>0.156</v>
      </c>
      <c r="D314" s="56">
        <v>244.94</v>
      </c>
      <c r="E314" s="36"/>
      <c r="F314" s="40">
        <f t="shared" si="24"/>
        <v>0</v>
      </c>
      <c r="G314" s="40" t="e">
        <f>-PMT(Assumptions!B$25/12,Assumptions!B$24*12,F$8)*C314/100</f>
        <v>#NUM!</v>
      </c>
      <c r="H314" s="40" t="e">
        <f>G314*Assumptions!$B$24*12-F314</f>
        <v>#NUM!</v>
      </c>
      <c r="I314" s="48"/>
      <c r="J314" s="40">
        <f t="shared" si="25"/>
        <v>0</v>
      </c>
      <c r="K314" s="40" t="e">
        <f>-PMT(Assumptions!C$25/12,Assumptions!C$24*12,J$8)*C314/100</f>
        <v>#NUM!</v>
      </c>
      <c r="L314" s="40" t="e">
        <f>K314*Assumptions!$C$24*12-J314</f>
        <v>#NUM!</v>
      </c>
      <c r="M314" s="43"/>
      <c r="N314" s="40">
        <f t="shared" si="26"/>
        <v>1560</v>
      </c>
      <c r="O314" s="50">
        <f>-PMT(Assumptions!D$25/12,Assumptions!D$24*12,N$8)*C314/100</f>
        <v>16.546220377295736</v>
      </c>
      <c r="P314" s="44">
        <f>O314*Assumptions!$D$24*12-N314</f>
        <v>425.5464452754884</v>
      </c>
      <c r="Q314" s="48"/>
      <c r="R314" s="40">
        <f t="shared" si="27"/>
        <v>7800</v>
      </c>
      <c r="S314" s="40">
        <f>-PMT(Assumptions!E$25/12,Assumptions!E$24*12,$R$8)*$C314/100</f>
        <v>82.731101886478683</v>
      </c>
      <c r="T314" s="40">
        <f>S314*Assumptions!$E$24*12-R314</f>
        <v>2127.7322263774404</v>
      </c>
      <c r="U314" s="48"/>
      <c r="V314" s="40">
        <f t="shared" si="28"/>
        <v>0</v>
      </c>
      <c r="W314" s="40" t="e">
        <f>-PMT(Assumptions!F$25/12,Assumptions!F$24*12,$V$8)*$C314/100</f>
        <v>#NUM!</v>
      </c>
      <c r="X314" s="40" t="e">
        <f>W314*Assumptions!$F$24*12-V314</f>
        <v>#NUM!</v>
      </c>
      <c r="Y314" s="43"/>
      <c r="Z314" s="40">
        <f t="shared" si="29"/>
        <v>0</v>
      </c>
      <c r="AA314" s="50" t="e">
        <f>-PMT(Assumptions!G$25/12,Assumptions!G$24*12,$Z$8)*$C314/100</f>
        <v>#NUM!</v>
      </c>
      <c r="AB314" s="44" t="e">
        <f>AA314*Assumptions!$G$24*12-Z314</f>
        <v>#NUM!</v>
      </c>
      <c r="AD314" s="54">
        <f t="shared" si="48"/>
        <v>0</v>
      </c>
      <c r="AE314" s="54">
        <f t="shared" si="49"/>
        <v>0</v>
      </c>
      <c r="AF314" s="54">
        <f t="shared" si="50"/>
        <v>1560</v>
      </c>
      <c r="AG314" s="54">
        <f t="shared" si="51"/>
        <v>7800</v>
      </c>
      <c r="AH314" s="54">
        <f t="shared" si="52"/>
        <v>0</v>
      </c>
      <c r="AI314" s="54">
        <f t="shared" si="53"/>
        <v>0</v>
      </c>
    </row>
    <row r="315" spans="1:35" ht="15" x14ac:dyDescent="0.2">
      <c r="A315" s="56" t="s">
        <v>410</v>
      </c>
      <c r="B315" s="32"/>
      <c r="C315" s="56">
        <v>0.14699999999999999</v>
      </c>
      <c r="D315" s="56">
        <v>230.81</v>
      </c>
      <c r="E315" s="36"/>
      <c r="F315" s="40">
        <f t="shared" si="24"/>
        <v>0</v>
      </c>
      <c r="G315" s="40" t="e">
        <f>-PMT(Assumptions!B$25/12,Assumptions!B$24*12,F$8)*C315/100</f>
        <v>#NUM!</v>
      </c>
      <c r="H315" s="40" t="e">
        <f>G315*Assumptions!$B$24*12-F315</f>
        <v>#NUM!</v>
      </c>
      <c r="I315" s="48"/>
      <c r="J315" s="40">
        <f t="shared" si="25"/>
        <v>0</v>
      </c>
      <c r="K315" s="40" t="e">
        <f>-PMT(Assumptions!C$25/12,Assumptions!C$24*12,J$8)*C315/100</f>
        <v>#NUM!</v>
      </c>
      <c r="L315" s="40" t="e">
        <f>K315*Assumptions!$C$24*12-J315</f>
        <v>#NUM!</v>
      </c>
      <c r="M315" s="43"/>
      <c r="N315" s="40">
        <f t="shared" si="26"/>
        <v>1470</v>
      </c>
      <c r="O315" s="50">
        <f>-PMT(Assumptions!D$25/12,Assumptions!D$24*12,N$8)*C315/100</f>
        <v>15.591630740144058</v>
      </c>
      <c r="P315" s="44">
        <f>O315*Assumptions!$D$24*12-N315</f>
        <v>400.99568881728692</v>
      </c>
      <c r="Q315" s="48"/>
      <c r="R315" s="40">
        <f t="shared" si="27"/>
        <v>7350</v>
      </c>
      <c r="S315" s="40">
        <f>-PMT(Assumptions!E$25/12,Assumptions!E$24*12,$R$8)*$C315/100</f>
        <v>77.958153700720288</v>
      </c>
      <c r="T315" s="40">
        <f>S315*Assumptions!$E$24*12-R315</f>
        <v>2004.978444086435</v>
      </c>
      <c r="U315" s="48"/>
      <c r="V315" s="40">
        <f t="shared" si="28"/>
        <v>0</v>
      </c>
      <c r="W315" s="40" t="e">
        <f>-PMT(Assumptions!F$25/12,Assumptions!F$24*12,$V$8)*$C315/100</f>
        <v>#NUM!</v>
      </c>
      <c r="X315" s="40" t="e">
        <f>W315*Assumptions!$F$24*12-V315</f>
        <v>#NUM!</v>
      </c>
      <c r="Y315" s="43"/>
      <c r="Z315" s="40">
        <f t="shared" si="29"/>
        <v>0</v>
      </c>
      <c r="AA315" s="50" t="e">
        <f>-PMT(Assumptions!G$25/12,Assumptions!G$24*12,$Z$8)*$C315/100</f>
        <v>#NUM!</v>
      </c>
      <c r="AB315" s="44" t="e">
        <f>AA315*Assumptions!$G$24*12-Z315</f>
        <v>#NUM!</v>
      </c>
      <c r="AD315" s="54">
        <f t="shared" si="48"/>
        <v>0</v>
      </c>
      <c r="AE315" s="54">
        <f t="shared" si="49"/>
        <v>0</v>
      </c>
      <c r="AF315" s="54">
        <f t="shared" si="50"/>
        <v>1470</v>
      </c>
      <c r="AG315" s="54">
        <f t="shared" si="51"/>
        <v>7350</v>
      </c>
      <c r="AH315" s="54">
        <f t="shared" si="52"/>
        <v>0</v>
      </c>
      <c r="AI315" s="54">
        <f t="shared" si="53"/>
        <v>0</v>
      </c>
    </row>
    <row r="316" spans="1:35" ht="15" x14ac:dyDescent="0.2">
      <c r="A316" s="56" t="s">
        <v>411</v>
      </c>
      <c r="B316" s="32"/>
      <c r="C316" s="56">
        <v>0.156</v>
      </c>
      <c r="D316" s="56">
        <v>244.94</v>
      </c>
      <c r="E316" s="36"/>
      <c r="F316" s="40">
        <f t="shared" si="24"/>
        <v>0</v>
      </c>
      <c r="G316" s="40" t="e">
        <f>-PMT(Assumptions!B$25/12,Assumptions!B$24*12,F$8)*C316/100</f>
        <v>#NUM!</v>
      </c>
      <c r="H316" s="40" t="e">
        <f>G316*Assumptions!$B$24*12-F316</f>
        <v>#NUM!</v>
      </c>
      <c r="I316" s="48"/>
      <c r="J316" s="40">
        <f t="shared" si="25"/>
        <v>0</v>
      </c>
      <c r="K316" s="40" t="e">
        <f>-PMT(Assumptions!C$25/12,Assumptions!C$24*12,J$8)*C316/100</f>
        <v>#NUM!</v>
      </c>
      <c r="L316" s="40" t="e">
        <f>K316*Assumptions!$C$24*12-J316</f>
        <v>#NUM!</v>
      </c>
      <c r="M316" s="43"/>
      <c r="N316" s="40">
        <f t="shared" si="26"/>
        <v>1560</v>
      </c>
      <c r="O316" s="50">
        <f>-PMT(Assumptions!D$25/12,Assumptions!D$24*12,N$8)*C316/100</f>
        <v>16.546220377295736</v>
      </c>
      <c r="P316" s="44">
        <f>O316*Assumptions!$D$24*12-N316</f>
        <v>425.5464452754884</v>
      </c>
      <c r="Q316" s="48"/>
      <c r="R316" s="40">
        <f t="shared" si="27"/>
        <v>7800</v>
      </c>
      <c r="S316" s="40">
        <f>-PMT(Assumptions!E$25/12,Assumptions!E$24*12,$R$8)*$C316/100</f>
        <v>82.731101886478683</v>
      </c>
      <c r="T316" s="40">
        <f>S316*Assumptions!$E$24*12-R316</f>
        <v>2127.7322263774404</v>
      </c>
      <c r="U316" s="48"/>
      <c r="V316" s="40">
        <f t="shared" si="28"/>
        <v>0</v>
      </c>
      <c r="W316" s="40" t="e">
        <f>-PMT(Assumptions!F$25/12,Assumptions!F$24*12,$V$8)*$C316/100</f>
        <v>#NUM!</v>
      </c>
      <c r="X316" s="40" t="e">
        <f>W316*Assumptions!$F$24*12-V316</f>
        <v>#NUM!</v>
      </c>
      <c r="Y316" s="43"/>
      <c r="Z316" s="40">
        <f t="shared" si="29"/>
        <v>0</v>
      </c>
      <c r="AA316" s="50" t="e">
        <f>-PMT(Assumptions!G$25/12,Assumptions!G$24*12,$Z$8)*$C316/100</f>
        <v>#NUM!</v>
      </c>
      <c r="AB316" s="44" t="e">
        <f>AA316*Assumptions!$G$24*12-Z316</f>
        <v>#NUM!</v>
      </c>
      <c r="AD316" s="54">
        <f t="shared" si="48"/>
        <v>0</v>
      </c>
      <c r="AE316" s="54">
        <f t="shared" si="49"/>
        <v>0</v>
      </c>
      <c r="AF316" s="54">
        <f t="shared" si="50"/>
        <v>1560</v>
      </c>
      <c r="AG316" s="54">
        <f t="shared" si="51"/>
        <v>7800</v>
      </c>
      <c r="AH316" s="54">
        <f t="shared" si="52"/>
        <v>0</v>
      </c>
      <c r="AI316" s="54">
        <f t="shared" si="53"/>
        <v>0</v>
      </c>
    </row>
    <row r="317" spans="1:35" ht="15" x14ac:dyDescent="0.2">
      <c r="A317" s="56" t="s">
        <v>412</v>
      </c>
      <c r="B317" s="32"/>
      <c r="C317" s="56">
        <v>0.219</v>
      </c>
      <c r="D317" s="56">
        <v>343.85</v>
      </c>
      <c r="E317" s="36"/>
      <c r="F317" s="40">
        <f t="shared" si="24"/>
        <v>0</v>
      </c>
      <c r="G317" s="40" t="e">
        <f>-PMT(Assumptions!B$25/12,Assumptions!B$24*12,F$8)*C317/100</f>
        <v>#NUM!</v>
      </c>
      <c r="H317" s="40" t="e">
        <f>G317*Assumptions!$B$24*12-F317</f>
        <v>#NUM!</v>
      </c>
      <c r="I317" s="48"/>
      <c r="J317" s="40">
        <f t="shared" si="25"/>
        <v>0</v>
      </c>
      <c r="K317" s="40" t="e">
        <f>-PMT(Assumptions!C$25/12,Assumptions!C$24*12,J$8)*C317/100</f>
        <v>#NUM!</v>
      </c>
      <c r="L317" s="40" t="e">
        <f>K317*Assumptions!$C$24*12-J317</f>
        <v>#NUM!</v>
      </c>
      <c r="M317" s="43"/>
      <c r="N317" s="40">
        <f t="shared" si="26"/>
        <v>2190</v>
      </c>
      <c r="O317" s="50">
        <f>-PMT(Assumptions!D$25/12,Assumptions!D$24*12,N$8)*C317/100</f>
        <v>23.228347837357475</v>
      </c>
      <c r="P317" s="44">
        <f>O317*Assumptions!$D$24*12-N317</f>
        <v>597.40174048289691</v>
      </c>
      <c r="Q317" s="48"/>
      <c r="R317" s="40">
        <f t="shared" si="27"/>
        <v>10950</v>
      </c>
      <c r="S317" s="40">
        <f>-PMT(Assumptions!E$25/12,Assumptions!E$24*12,$R$8)*$C317/100</f>
        <v>116.14173918678738</v>
      </c>
      <c r="T317" s="40">
        <f>S317*Assumptions!$E$24*12-R317</f>
        <v>2987.008702414485</v>
      </c>
      <c r="U317" s="48"/>
      <c r="V317" s="40">
        <f t="shared" si="28"/>
        <v>0</v>
      </c>
      <c r="W317" s="40" t="e">
        <f>-PMT(Assumptions!F$25/12,Assumptions!F$24*12,$V$8)*$C317/100</f>
        <v>#NUM!</v>
      </c>
      <c r="X317" s="40" t="e">
        <f>W317*Assumptions!$F$24*12-V317</f>
        <v>#NUM!</v>
      </c>
      <c r="Y317" s="43"/>
      <c r="Z317" s="40">
        <f t="shared" si="29"/>
        <v>0</v>
      </c>
      <c r="AA317" s="50" t="e">
        <f>-PMT(Assumptions!G$25/12,Assumptions!G$24*12,$Z$8)*$C317/100</f>
        <v>#NUM!</v>
      </c>
      <c r="AB317" s="44" t="e">
        <f>AA317*Assumptions!$G$24*12-Z317</f>
        <v>#NUM!</v>
      </c>
      <c r="AD317" s="54">
        <f t="shared" si="48"/>
        <v>0</v>
      </c>
      <c r="AE317" s="54">
        <f t="shared" si="49"/>
        <v>0</v>
      </c>
      <c r="AF317" s="54">
        <f t="shared" si="50"/>
        <v>2190</v>
      </c>
      <c r="AG317" s="54">
        <f t="shared" si="51"/>
        <v>10950</v>
      </c>
      <c r="AH317" s="54">
        <f t="shared" si="52"/>
        <v>0</v>
      </c>
      <c r="AI317" s="54">
        <f t="shared" si="53"/>
        <v>0</v>
      </c>
    </row>
    <row r="318" spans="1:35" ht="15" x14ac:dyDescent="0.2">
      <c r="A318" s="56" t="s">
        <v>413</v>
      </c>
      <c r="B318" s="32"/>
      <c r="C318" s="56">
        <v>0.22700000000000001</v>
      </c>
      <c r="D318" s="56">
        <v>356.41</v>
      </c>
      <c r="E318" s="36"/>
      <c r="F318" s="40">
        <f t="shared" si="24"/>
        <v>0</v>
      </c>
      <c r="G318" s="40" t="e">
        <f>-PMT(Assumptions!B$25/12,Assumptions!B$24*12,F$8)*C318/100</f>
        <v>#NUM!</v>
      </c>
      <c r="H318" s="40" t="e">
        <f>G318*Assumptions!$B$24*12-F318</f>
        <v>#NUM!</v>
      </c>
      <c r="I318" s="48"/>
      <c r="J318" s="40">
        <f t="shared" si="25"/>
        <v>0</v>
      </c>
      <c r="K318" s="40" t="e">
        <f>-PMT(Assumptions!C$25/12,Assumptions!C$24*12,J$8)*C318/100</f>
        <v>#NUM!</v>
      </c>
      <c r="L318" s="40" t="e">
        <f>K318*Assumptions!$C$24*12-J318</f>
        <v>#NUM!</v>
      </c>
      <c r="M318" s="43"/>
      <c r="N318" s="40">
        <f t="shared" si="26"/>
        <v>2270</v>
      </c>
      <c r="O318" s="50">
        <f>-PMT(Assumptions!D$25/12,Assumptions!D$24*12,N$8)*C318/100</f>
        <v>24.076871959270079</v>
      </c>
      <c r="P318" s="44">
        <f>O318*Assumptions!$D$24*12-N318</f>
        <v>619.22463511240949</v>
      </c>
      <c r="Q318" s="48"/>
      <c r="R318" s="40">
        <f t="shared" si="27"/>
        <v>11350</v>
      </c>
      <c r="S318" s="40">
        <f>-PMT(Assumptions!E$25/12,Assumptions!E$24*12,$R$8)*$C318/100</f>
        <v>120.3843597963504</v>
      </c>
      <c r="T318" s="40">
        <f>S318*Assumptions!$E$24*12-R318</f>
        <v>3096.1231755620465</v>
      </c>
      <c r="U318" s="48"/>
      <c r="V318" s="40">
        <f t="shared" si="28"/>
        <v>0</v>
      </c>
      <c r="W318" s="40" t="e">
        <f>-PMT(Assumptions!F$25/12,Assumptions!F$24*12,$V$8)*$C318/100</f>
        <v>#NUM!</v>
      </c>
      <c r="X318" s="40" t="e">
        <f>W318*Assumptions!$F$24*12-V318</f>
        <v>#NUM!</v>
      </c>
      <c r="Y318" s="43"/>
      <c r="Z318" s="40">
        <f t="shared" si="29"/>
        <v>0</v>
      </c>
      <c r="AA318" s="50" t="e">
        <f>-PMT(Assumptions!G$25/12,Assumptions!G$24*12,$Z$8)*$C318/100</f>
        <v>#NUM!</v>
      </c>
      <c r="AB318" s="44" t="e">
        <f>AA318*Assumptions!$G$24*12-Z318</f>
        <v>#NUM!</v>
      </c>
      <c r="AD318" s="54">
        <f t="shared" si="48"/>
        <v>0</v>
      </c>
      <c r="AE318" s="54">
        <f t="shared" si="49"/>
        <v>0</v>
      </c>
      <c r="AF318" s="54">
        <f t="shared" si="50"/>
        <v>2270</v>
      </c>
      <c r="AG318" s="54">
        <f t="shared" si="51"/>
        <v>11350</v>
      </c>
      <c r="AH318" s="54">
        <f t="shared" si="52"/>
        <v>0</v>
      </c>
      <c r="AI318" s="54">
        <f t="shared" si="53"/>
        <v>0</v>
      </c>
    </row>
    <row r="319" spans="1:35" ht="15" x14ac:dyDescent="0.2">
      <c r="A319" s="56" t="s">
        <v>414</v>
      </c>
      <c r="B319" s="32"/>
      <c r="C319" s="56">
        <v>0.21199999999999999</v>
      </c>
      <c r="D319" s="56">
        <v>332.86</v>
      </c>
      <c r="E319" s="36"/>
      <c r="F319" s="40">
        <f t="shared" si="24"/>
        <v>0</v>
      </c>
      <c r="G319" s="40" t="e">
        <f>-PMT(Assumptions!B$25/12,Assumptions!B$24*12,F$8)*C319/100</f>
        <v>#NUM!</v>
      </c>
      <c r="H319" s="40" t="e">
        <f>G319*Assumptions!$B$24*12-F319</f>
        <v>#NUM!</v>
      </c>
      <c r="I319" s="48"/>
      <c r="J319" s="40">
        <f t="shared" si="25"/>
        <v>0</v>
      </c>
      <c r="K319" s="40" t="e">
        <f>-PMT(Assumptions!C$25/12,Assumptions!C$24*12,J$8)*C319/100</f>
        <v>#NUM!</v>
      </c>
      <c r="L319" s="40" t="e">
        <f>K319*Assumptions!$C$24*12-J319</f>
        <v>#NUM!</v>
      </c>
      <c r="M319" s="43"/>
      <c r="N319" s="40">
        <f t="shared" si="26"/>
        <v>2120</v>
      </c>
      <c r="O319" s="50">
        <f>-PMT(Assumptions!D$25/12,Assumptions!D$24*12,N$8)*C319/100</f>
        <v>22.485889230683949</v>
      </c>
      <c r="P319" s="44">
        <f>O319*Assumptions!$D$24*12-N319</f>
        <v>578.30670768207392</v>
      </c>
      <c r="Q319" s="48"/>
      <c r="R319" s="40">
        <f t="shared" si="27"/>
        <v>10600</v>
      </c>
      <c r="S319" s="40">
        <f>-PMT(Assumptions!E$25/12,Assumptions!E$24*12,$R$8)*$C319/100</f>
        <v>112.42944615341975</v>
      </c>
      <c r="T319" s="40">
        <f>S319*Assumptions!$E$24*12-R319</f>
        <v>2891.533538410371</v>
      </c>
      <c r="U319" s="48"/>
      <c r="V319" s="40">
        <f t="shared" si="28"/>
        <v>0</v>
      </c>
      <c r="W319" s="40" t="e">
        <f>-PMT(Assumptions!F$25/12,Assumptions!F$24*12,$V$8)*$C319/100</f>
        <v>#NUM!</v>
      </c>
      <c r="X319" s="40" t="e">
        <f>W319*Assumptions!$F$24*12-V319</f>
        <v>#NUM!</v>
      </c>
      <c r="Y319" s="43"/>
      <c r="Z319" s="40">
        <f t="shared" si="29"/>
        <v>0</v>
      </c>
      <c r="AA319" s="50" t="e">
        <f>-PMT(Assumptions!G$25/12,Assumptions!G$24*12,$Z$8)*$C319/100</f>
        <v>#NUM!</v>
      </c>
      <c r="AB319" s="44" t="e">
        <f>AA319*Assumptions!$G$24*12-Z319</f>
        <v>#NUM!</v>
      </c>
      <c r="AD319" s="54">
        <f t="shared" si="48"/>
        <v>0</v>
      </c>
      <c r="AE319" s="54">
        <f t="shared" si="49"/>
        <v>0</v>
      </c>
      <c r="AF319" s="54">
        <f t="shared" si="50"/>
        <v>2120</v>
      </c>
      <c r="AG319" s="54">
        <f t="shared" si="51"/>
        <v>10600</v>
      </c>
      <c r="AH319" s="54">
        <f t="shared" si="52"/>
        <v>0</v>
      </c>
      <c r="AI319" s="54">
        <f t="shared" si="53"/>
        <v>0</v>
      </c>
    </row>
    <row r="320" spans="1:35" ht="15" x14ac:dyDescent="0.2">
      <c r="A320" s="56" t="s">
        <v>415</v>
      </c>
      <c r="B320" s="32"/>
      <c r="C320" s="56">
        <v>0.21199999999999999</v>
      </c>
      <c r="D320" s="56">
        <v>332.86</v>
      </c>
      <c r="E320" s="36"/>
      <c r="F320" s="40">
        <f t="shared" si="24"/>
        <v>0</v>
      </c>
      <c r="G320" s="40" t="e">
        <f>-PMT(Assumptions!B$25/12,Assumptions!B$24*12,F$8)*C320/100</f>
        <v>#NUM!</v>
      </c>
      <c r="H320" s="40" t="e">
        <f>G320*Assumptions!$B$24*12-F320</f>
        <v>#NUM!</v>
      </c>
      <c r="I320" s="48"/>
      <c r="J320" s="40">
        <f t="shared" si="25"/>
        <v>0</v>
      </c>
      <c r="K320" s="40" t="e">
        <f>-PMT(Assumptions!C$25/12,Assumptions!C$24*12,J$8)*C320/100</f>
        <v>#NUM!</v>
      </c>
      <c r="L320" s="40" t="e">
        <f>K320*Assumptions!$C$24*12-J320</f>
        <v>#NUM!</v>
      </c>
      <c r="M320" s="43"/>
      <c r="N320" s="40">
        <f t="shared" si="26"/>
        <v>2120</v>
      </c>
      <c r="O320" s="50">
        <f>-PMT(Assumptions!D$25/12,Assumptions!D$24*12,N$8)*C320/100</f>
        <v>22.485889230683949</v>
      </c>
      <c r="P320" s="44">
        <f>O320*Assumptions!$D$24*12-N320</f>
        <v>578.30670768207392</v>
      </c>
      <c r="Q320" s="48"/>
      <c r="R320" s="40">
        <f t="shared" si="27"/>
        <v>10600</v>
      </c>
      <c r="S320" s="40">
        <f>-PMT(Assumptions!E$25/12,Assumptions!E$24*12,$R$8)*$C320/100</f>
        <v>112.42944615341975</v>
      </c>
      <c r="T320" s="40">
        <f>S320*Assumptions!$E$24*12-R320</f>
        <v>2891.533538410371</v>
      </c>
      <c r="U320" s="48"/>
      <c r="V320" s="40">
        <f t="shared" si="28"/>
        <v>0</v>
      </c>
      <c r="W320" s="40" t="e">
        <f>-PMT(Assumptions!F$25/12,Assumptions!F$24*12,$V$8)*$C320/100</f>
        <v>#NUM!</v>
      </c>
      <c r="X320" s="40" t="e">
        <f>W320*Assumptions!$F$24*12-V320</f>
        <v>#NUM!</v>
      </c>
      <c r="Y320" s="43"/>
      <c r="Z320" s="40">
        <f t="shared" si="29"/>
        <v>0</v>
      </c>
      <c r="AA320" s="50" t="e">
        <f>-PMT(Assumptions!G$25/12,Assumptions!G$24*12,$Z$8)*$C320/100</f>
        <v>#NUM!</v>
      </c>
      <c r="AB320" s="44" t="e">
        <f>AA320*Assumptions!$G$24*12-Z320</f>
        <v>#NUM!</v>
      </c>
      <c r="AD320" s="54">
        <f t="shared" si="48"/>
        <v>0</v>
      </c>
      <c r="AE320" s="54">
        <f t="shared" si="49"/>
        <v>0</v>
      </c>
      <c r="AF320" s="54">
        <f t="shared" si="50"/>
        <v>2120</v>
      </c>
      <c r="AG320" s="54">
        <f t="shared" si="51"/>
        <v>10600</v>
      </c>
      <c r="AH320" s="54">
        <f t="shared" si="52"/>
        <v>0</v>
      </c>
      <c r="AI320" s="54">
        <f t="shared" si="53"/>
        <v>0</v>
      </c>
    </row>
    <row r="321" spans="1:35" ht="15" x14ac:dyDescent="0.2">
      <c r="A321" s="56" t="s">
        <v>416</v>
      </c>
      <c r="B321" s="32"/>
      <c r="C321" s="56">
        <v>0.28999999999999998</v>
      </c>
      <c r="D321" s="56">
        <v>455.33</v>
      </c>
      <c r="E321" s="36"/>
      <c r="F321" s="40">
        <f t="shared" si="24"/>
        <v>0</v>
      </c>
      <c r="G321" s="40" t="e">
        <f>-PMT(Assumptions!B$25/12,Assumptions!B$24*12,F$8)*C321/100</f>
        <v>#NUM!</v>
      </c>
      <c r="H321" s="40" t="e">
        <f>G321*Assumptions!$B$24*12-F321</f>
        <v>#NUM!</v>
      </c>
      <c r="I321" s="48"/>
      <c r="J321" s="40">
        <f t="shared" si="25"/>
        <v>0</v>
      </c>
      <c r="K321" s="40" t="e">
        <f>-PMT(Assumptions!C$25/12,Assumptions!C$24*12,J$8)*C321/100</f>
        <v>#NUM!</v>
      </c>
      <c r="L321" s="40" t="e">
        <f>K321*Assumptions!$C$24*12-J321</f>
        <v>#NUM!</v>
      </c>
      <c r="M321" s="43"/>
      <c r="N321" s="40">
        <f t="shared" si="26"/>
        <v>2900</v>
      </c>
      <c r="O321" s="50">
        <f>-PMT(Assumptions!D$25/12,Assumptions!D$24*12,N$8)*C321/100</f>
        <v>30.758999419331811</v>
      </c>
      <c r="P321" s="44">
        <f>O321*Assumptions!$D$24*12-N321</f>
        <v>791.07993031981732</v>
      </c>
      <c r="Q321" s="48"/>
      <c r="R321" s="40">
        <f t="shared" si="27"/>
        <v>14500</v>
      </c>
      <c r="S321" s="40">
        <f>-PMT(Assumptions!E$25/12,Assumptions!E$24*12,$R$8)*$C321/100</f>
        <v>153.79499709665907</v>
      </c>
      <c r="T321" s="40">
        <f>S321*Assumptions!$E$24*12-R321</f>
        <v>3955.3996515990875</v>
      </c>
      <c r="U321" s="48"/>
      <c r="V321" s="40">
        <f t="shared" si="28"/>
        <v>0</v>
      </c>
      <c r="W321" s="40" t="e">
        <f>-PMT(Assumptions!F$25/12,Assumptions!F$24*12,$V$8)*$C321/100</f>
        <v>#NUM!</v>
      </c>
      <c r="X321" s="40" t="e">
        <f>W321*Assumptions!$F$24*12-V321</f>
        <v>#NUM!</v>
      </c>
      <c r="Y321" s="43"/>
      <c r="Z321" s="40">
        <f t="shared" si="29"/>
        <v>0</v>
      </c>
      <c r="AA321" s="50" t="e">
        <f>-PMT(Assumptions!G$25/12,Assumptions!G$24*12,$Z$8)*$C321/100</f>
        <v>#NUM!</v>
      </c>
      <c r="AB321" s="44" t="e">
        <f>AA321*Assumptions!$G$24*12-Z321</f>
        <v>#NUM!</v>
      </c>
      <c r="AD321" s="54">
        <f t="shared" si="48"/>
        <v>0</v>
      </c>
      <c r="AE321" s="54">
        <f t="shared" si="49"/>
        <v>0</v>
      </c>
      <c r="AF321" s="54">
        <f t="shared" si="50"/>
        <v>2900</v>
      </c>
      <c r="AG321" s="54">
        <f t="shared" si="51"/>
        <v>14500</v>
      </c>
      <c r="AH321" s="54">
        <f t="shared" si="52"/>
        <v>0</v>
      </c>
      <c r="AI321" s="54">
        <f t="shared" si="53"/>
        <v>0</v>
      </c>
    </row>
    <row r="322" spans="1:35" ht="15" x14ac:dyDescent="0.2">
      <c r="A322" s="56" t="s">
        <v>417</v>
      </c>
      <c r="B322" s="32"/>
      <c r="C322" s="56">
        <v>0.28999999999999998</v>
      </c>
      <c r="D322" s="56">
        <v>455.33</v>
      </c>
      <c r="E322" s="36"/>
      <c r="F322" s="40">
        <f t="shared" si="24"/>
        <v>0</v>
      </c>
      <c r="G322" s="40" t="e">
        <f>-PMT(Assumptions!B$25/12,Assumptions!B$24*12,F$8)*C322/100</f>
        <v>#NUM!</v>
      </c>
      <c r="H322" s="40" t="e">
        <f>G322*Assumptions!$B$24*12-F322</f>
        <v>#NUM!</v>
      </c>
      <c r="I322" s="48"/>
      <c r="J322" s="40">
        <f t="shared" si="25"/>
        <v>0</v>
      </c>
      <c r="K322" s="40" t="e">
        <f>-PMT(Assumptions!C$25/12,Assumptions!C$24*12,J$8)*C322/100</f>
        <v>#NUM!</v>
      </c>
      <c r="L322" s="40" t="e">
        <f>K322*Assumptions!$C$24*12-J322</f>
        <v>#NUM!</v>
      </c>
      <c r="M322" s="43"/>
      <c r="N322" s="40">
        <f t="shared" si="26"/>
        <v>2900</v>
      </c>
      <c r="O322" s="50">
        <f>-PMT(Assumptions!D$25/12,Assumptions!D$24*12,N$8)*C322/100</f>
        <v>30.758999419331811</v>
      </c>
      <c r="P322" s="44">
        <f>O322*Assumptions!$D$24*12-N322</f>
        <v>791.07993031981732</v>
      </c>
      <c r="Q322" s="48"/>
      <c r="R322" s="40">
        <f t="shared" si="27"/>
        <v>14500</v>
      </c>
      <c r="S322" s="40">
        <f>-PMT(Assumptions!E$25/12,Assumptions!E$24*12,$R$8)*$C322/100</f>
        <v>153.79499709665907</v>
      </c>
      <c r="T322" s="40">
        <f>S322*Assumptions!$E$24*12-R322</f>
        <v>3955.3996515990875</v>
      </c>
      <c r="U322" s="48"/>
      <c r="V322" s="40">
        <f t="shared" si="28"/>
        <v>0</v>
      </c>
      <c r="W322" s="40" t="e">
        <f>-PMT(Assumptions!F$25/12,Assumptions!F$24*12,$V$8)*$C322/100</f>
        <v>#NUM!</v>
      </c>
      <c r="X322" s="40" t="e">
        <f>W322*Assumptions!$F$24*12-V322</f>
        <v>#NUM!</v>
      </c>
      <c r="Y322" s="43"/>
      <c r="Z322" s="40">
        <f t="shared" si="29"/>
        <v>0</v>
      </c>
      <c r="AA322" s="50" t="e">
        <f>-PMT(Assumptions!G$25/12,Assumptions!G$24*12,$Z$8)*$C322/100</f>
        <v>#NUM!</v>
      </c>
      <c r="AB322" s="44" t="e">
        <f>AA322*Assumptions!$G$24*12-Z322</f>
        <v>#NUM!</v>
      </c>
      <c r="AD322" s="54">
        <f t="shared" si="48"/>
        <v>0</v>
      </c>
      <c r="AE322" s="54">
        <f t="shared" si="49"/>
        <v>0</v>
      </c>
      <c r="AF322" s="54">
        <f t="shared" si="50"/>
        <v>2900</v>
      </c>
      <c r="AG322" s="54">
        <f t="shared" si="51"/>
        <v>14500</v>
      </c>
      <c r="AH322" s="54">
        <f t="shared" si="52"/>
        <v>0</v>
      </c>
      <c r="AI322" s="54">
        <f t="shared" si="53"/>
        <v>0</v>
      </c>
    </row>
    <row r="323" spans="1:35" ht="15" x14ac:dyDescent="0.2">
      <c r="A323" s="56" t="s">
        <v>418</v>
      </c>
      <c r="B323" s="32"/>
      <c r="C323" s="56">
        <v>0.28999999999999998</v>
      </c>
      <c r="D323" s="56">
        <v>455.33</v>
      </c>
      <c r="E323" s="36"/>
      <c r="F323" s="40">
        <f t="shared" si="24"/>
        <v>0</v>
      </c>
      <c r="G323" s="40" t="e">
        <f>-PMT(Assumptions!B$25/12,Assumptions!B$24*12,F$8)*C323/100</f>
        <v>#NUM!</v>
      </c>
      <c r="H323" s="40" t="e">
        <f>G323*Assumptions!$B$24*12-F323</f>
        <v>#NUM!</v>
      </c>
      <c r="I323" s="48"/>
      <c r="J323" s="40">
        <f t="shared" si="25"/>
        <v>0</v>
      </c>
      <c r="K323" s="40" t="e">
        <f>-PMT(Assumptions!C$25/12,Assumptions!C$24*12,J$8)*C323/100</f>
        <v>#NUM!</v>
      </c>
      <c r="L323" s="40" t="e">
        <f>K323*Assumptions!$C$24*12-J323</f>
        <v>#NUM!</v>
      </c>
      <c r="M323" s="43"/>
      <c r="N323" s="40">
        <f t="shared" si="26"/>
        <v>2900</v>
      </c>
      <c r="O323" s="50">
        <f>-PMT(Assumptions!D$25/12,Assumptions!D$24*12,N$8)*C323/100</f>
        <v>30.758999419331811</v>
      </c>
      <c r="P323" s="44">
        <f>O323*Assumptions!$D$24*12-N323</f>
        <v>791.07993031981732</v>
      </c>
      <c r="Q323" s="48"/>
      <c r="R323" s="40">
        <f t="shared" si="27"/>
        <v>14500</v>
      </c>
      <c r="S323" s="40">
        <f>-PMT(Assumptions!E$25/12,Assumptions!E$24*12,$R$8)*$C323/100</f>
        <v>153.79499709665907</v>
      </c>
      <c r="T323" s="40">
        <f>S323*Assumptions!$E$24*12-R323</f>
        <v>3955.3996515990875</v>
      </c>
      <c r="U323" s="48"/>
      <c r="V323" s="40">
        <f t="shared" si="28"/>
        <v>0</v>
      </c>
      <c r="W323" s="40" t="e">
        <f>-PMT(Assumptions!F$25/12,Assumptions!F$24*12,$V$8)*$C323/100</f>
        <v>#NUM!</v>
      </c>
      <c r="X323" s="40" t="e">
        <f>W323*Assumptions!$F$24*12-V323</f>
        <v>#NUM!</v>
      </c>
      <c r="Y323" s="43"/>
      <c r="Z323" s="40">
        <f t="shared" si="29"/>
        <v>0</v>
      </c>
      <c r="AA323" s="50" t="e">
        <f>-PMT(Assumptions!G$25/12,Assumptions!G$24*12,$Z$8)*$C323/100</f>
        <v>#NUM!</v>
      </c>
      <c r="AB323" s="44" t="e">
        <f>AA323*Assumptions!$G$24*12-Z323</f>
        <v>#NUM!</v>
      </c>
      <c r="AD323" s="54">
        <f t="shared" si="48"/>
        <v>0</v>
      </c>
      <c r="AE323" s="54">
        <f t="shared" si="49"/>
        <v>0</v>
      </c>
      <c r="AF323" s="54">
        <f t="shared" si="50"/>
        <v>2900</v>
      </c>
      <c r="AG323" s="54">
        <f t="shared" si="51"/>
        <v>14500</v>
      </c>
      <c r="AH323" s="54">
        <f t="shared" si="52"/>
        <v>0</v>
      </c>
      <c r="AI323" s="54">
        <f t="shared" si="53"/>
        <v>0</v>
      </c>
    </row>
    <row r="324" spans="1:35" ht="15" x14ac:dyDescent="0.2">
      <c r="A324" s="56" t="s">
        <v>419</v>
      </c>
      <c r="B324" s="32"/>
      <c r="C324" s="56">
        <v>0.28999999999999998</v>
      </c>
      <c r="D324" s="56">
        <v>455.33</v>
      </c>
      <c r="E324" s="36"/>
      <c r="F324" s="40">
        <f t="shared" si="24"/>
        <v>0</v>
      </c>
      <c r="G324" s="40" t="e">
        <f>-PMT(Assumptions!B$25/12,Assumptions!B$24*12,F$8)*C324/100</f>
        <v>#NUM!</v>
      </c>
      <c r="H324" s="40" t="e">
        <f>G324*Assumptions!$B$24*12-F324</f>
        <v>#NUM!</v>
      </c>
      <c r="I324" s="48"/>
      <c r="J324" s="40">
        <f t="shared" si="25"/>
        <v>0</v>
      </c>
      <c r="K324" s="40" t="e">
        <f>-PMT(Assumptions!C$25/12,Assumptions!C$24*12,J$8)*C324/100</f>
        <v>#NUM!</v>
      </c>
      <c r="L324" s="40" t="e">
        <f>K324*Assumptions!$C$24*12-J324</f>
        <v>#NUM!</v>
      </c>
      <c r="M324" s="43"/>
      <c r="N324" s="40">
        <f t="shared" si="26"/>
        <v>2900</v>
      </c>
      <c r="O324" s="50">
        <f>-PMT(Assumptions!D$25/12,Assumptions!D$24*12,N$8)*C324/100</f>
        <v>30.758999419331811</v>
      </c>
      <c r="P324" s="44">
        <f>O324*Assumptions!$D$24*12-N324</f>
        <v>791.07993031981732</v>
      </c>
      <c r="Q324" s="48"/>
      <c r="R324" s="40">
        <f t="shared" si="27"/>
        <v>14500</v>
      </c>
      <c r="S324" s="40">
        <f>-PMT(Assumptions!E$25/12,Assumptions!E$24*12,$R$8)*$C324/100</f>
        <v>153.79499709665907</v>
      </c>
      <c r="T324" s="40">
        <f>S324*Assumptions!$E$24*12-R324</f>
        <v>3955.3996515990875</v>
      </c>
      <c r="U324" s="48"/>
      <c r="V324" s="40">
        <f t="shared" si="28"/>
        <v>0</v>
      </c>
      <c r="W324" s="40" t="e">
        <f>-PMT(Assumptions!F$25/12,Assumptions!F$24*12,$V$8)*$C324/100</f>
        <v>#NUM!</v>
      </c>
      <c r="X324" s="40" t="e">
        <f>W324*Assumptions!$F$24*12-V324</f>
        <v>#NUM!</v>
      </c>
      <c r="Y324" s="43"/>
      <c r="Z324" s="40">
        <f t="shared" si="29"/>
        <v>0</v>
      </c>
      <c r="AA324" s="50" t="e">
        <f>-PMT(Assumptions!G$25/12,Assumptions!G$24*12,$Z$8)*$C324/100</f>
        <v>#NUM!</v>
      </c>
      <c r="AB324" s="44" t="e">
        <f>AA324*Assumptions!$G$24*12-Z324</f>
        <v>#NUM!</v>
      </c>
      <c r="AD324" s="54">
        <f t="shared" si="48"/>
        <v>0</v>
      </c>
      <c r="AE324" s="54">
        <f t="shared" si="49"/>
        <v>0</v>
      </c>
      <c r="AF324" s="54">
        <f t="shared" si="50"/>
        <v>2900</v>
      </c>
      <c r="AG324" s="54">
        <f t="shared" si="51"/>
        <v>14500</v>
      </c>
      <c r="AH324" s="54">
        <f t="shared" si="52"/>
        <v>0</v>
      </c>
      <c r="AI324" s="54">
        <f t="shared" si="53"/>
        <v>0</v>
      </c>
    </row>
    <row r="325" spans="1:35" ht="15" x14ac:dyDescent="0.2">
      <c r="A325" s="56" t="s">
        <v>420</v>
      </c>
      <c r="B325" s="32"/>
      <c r="C325" s="56">
        <v>0.20799999999999999</v>
      </c>
      <c r="D325" s="56">
        <v>326.58</v>
      </c>
      <c r="E325" s="36"/>
      <c r="F325" s="40">
        <f t="shared" si="24"/>
        <v>0</v>
      </c>
      <c r="G325" s="40" t="e">
        <f>-PMT(Assumptions!B$25/12,Assumptions!B$24*12,F$8)*C325/100</f>
        <v>#NUM!</v>
      </c>
      <c r="H325" s="40" t="e">
        <f>G325*Assumptions!$B$24*12-F325</f>
        <v>#NUM!</v>
      </c>
      <c r="I325" s="48"/>
      <c r="J325" s="40">
        <f t="shared" si="25"/>
        <v>0</v>
      </c>
      <c r="K325" s="40" t="e">
        <f>-PMT(Assumptions!C$25/12,Assumptions!C$24*12,J$8)*C325/100</f>
        <v>#NUM!</v>
      </c>
      <c r="L325" s="40" t="e">
        <f>K325*Assumptions!$C$24*12-J325</f>
        <v>#NUM!</v>
      </c>
      <c r="M325" s="43"/>
      <c r="N325" s="40">
        <f t="shared" si="26"/>
        <v>2080</v>
      </c>
      <c r="O325" s="50">
        <f>-PMT(Assumptions!D$25/12,Assumptions!D$24*12,N$8)*C325/100</f>
        <v>22.06162716972765</v>
      </c>
      <c r="P325" s="44">
        <f>O325*Assumptions!$D$24*12-N325</f>
        <v>567.39526036731786</v>
      </c>
      <c r="Q325" s="48"/>
      <c r="R325" s="40">
        <f t="shared" si="27"/>
        <v>10400</v>
      </c>
      <c r="S325" s="40">
        <f>-PMT(Assumptions!E$25/12,Assumptions!E$24*12,$R$8)*$C325/100</f>
        <v>110.30813584863823</v>
      </c>
      <c r="T325" s="40">
        <f>S325*Assumptions!$E$24*12-R325</f>
        <v>2836.9763018365866</v>
      </c>
      <c r="U325" s="48"/>
      <c r="V325" s="40">
        <f t="shared" si="28"/>
        <v>0</v>
      </c>
      <c r="W325" s="40" t="e">
        <f>-PMT(Assumptions!F$25/12,Assumptions!F$24*12,$V$8)*$C325/100</f>
        <v>#NUM!</v>
      </c>
      <c r="X325" s="40" t="e">
        <f>W325*Assumptions!$F$24*12-V325</f>
        <v>#NUM!</v>
      </c>
      <c r="Y325" s="43"/>
      <c r="Z325" s="40">
        <f t="shared" si="29"/>
        <v>0</v>
      </c>
      <c r="AA325" s="50" t="e">
        <f>-PMT(Assumptions!G$25/12,Assumptions!G$24*12,$Z$8)*$C325/100</f>
        <v>#NUM!</v>
      </c>
      <c r="AB325" s="44" t="e">
        <f>AA325*Assumptions!$G$24*12-Z325</f>
        <v>#NUM!</v>
      </c>
      <c r="AD325" s="54">
        <f t="shared" si="48"/>
        <v>0</v>
      </c>
      <c r="AE325" s="54">
        <f t="shared" si="49"/>
        <v>0</v>
      </c>
      <c r="AF325" s="54">
        <f t="shared" si="50"/>
        <v>2080</v>
      </c>
      <c r="AG325" s="54">
        <f t="shared" si="51"/>
        <v>10400</v>
      </c>
      <c r="AH325" s="54">
        <f t="shared" si="52"/>
        <v>0</v>
      </c>
      <c r="AI325" s="54">
        <f t="shared" si="53"/>
        <v>0</v>
      </c>
    </row>
    <row r="326" spans="1:35" ht="15" x14ac:dyDescent="0.2">
      <c r="A326" s="56" t="s">
        <v>421</v>
      </c>
      <c r="B326" s="32"/>
      <c r="C326" s="56">
        <v>0.20799999999999999</v>
      </c>
      <c r="D326" s="56">
        <v>326.58</v>
      </c>
      <c r="E326" s="36"/>
      <c r="F326" s="40">
        <f t="shared" si="24"/>
        <v>0</v>
      </c>
      <c r="G326" s="40" t="e">
        <f>-PMT(Assumptions!B$25/12,Assumptions!B$24*12,F$8)*C326/100</f>
        <v>#NUM!</v>
      </c>
      <c r="H326" s="40" t="e">
        <f>G326*Assumptions!$B$24*12-F326</f>
        <v>#NUM!</v>
      </c>
      <c r="I326" s="48"/>
      <c r="J326" s="40">
        <f t="shared" si="25"/>
        <v>0</v>
      </c>
      <c r="K326" s="40" t="e">
        <f>-PMT(Assumptions!C$25/12,Assumptions!C$24*12,J$8)*C326/100</f>
        <v>#NUM!</v>
      </c>
      <c r="L326" s="40" t="e">
        <f>K326*Assumptions!$C$24*12-J326</f>
        <v>#NUM!</v>
      </c>
      <c r="M326" s="43"/>
      <c r="N326" s="40">
        <f t="shared" si="26"/>
        <v>2080</v>
      </c>
      <c r="O326" s="50">
        <f>-PMT(Assumptions!D$25/12,Assumptions!D$24*12,N$8)*C326/100</f>
        <v>22.06162716972765</v>
      </c>
      <c r="P326" s="44">
        <f>O326*Assumptions!$D$24*12-N326</f>
        <v>567.39526036731786</v>
      </c>
      <c r="Q326" s="48"/>
      <c r="R326" s="40">
        <f t="shared" si="27"/>
        <v>10400</v>
      </c>
      <c r="S326" s="40">
        <f>-PMT(Assumptions!E$25/12,Assumptions!E$24*12,$R$8)*$C326/100</f>
        <v>110.30813584863823</v>
      </c>
      <c r="T326" s="40">
        <f>S326*Assumptions!$E$24*12-R326</f>
        <v>2836.9763018365866</v>
      </c>
      <c r="U326" s="48"/>
      <c r="V326" s="40">
        <f t="shared" si="28"/>
        <v>0</v>
      </c>
      <c r="W326" s="40" t="e">
        <f>-PMT(Assumptions!F$25/12,Assumptions!F$24*12,$V$8)*$C326/100</f>
        <v>#NUM!</v>
      </c>
      <c r="X326" s="40" t="e">
        <f>W326*Assumptions!$F$24*12-V326</f>
        <v>#NUM!</v>
      </c>
      <c r="Y326" s="43"/>
      <c r="Z326" s="40">
        <f t="shared" si="29"/>
        <v>0</v>
      </c>
      <c r="AA326" s="50" t="e">
        <f>-PMT(Assumptions!G$25/12,Assumptions!G$24*12,$Z$8)*$C326/100</f>
        <v>#NUM!</v>
      </c>
      <c r="AB326" s="44" t="e">
        <f>AA326*Assumptions!$G$24*12-Z326</f>
        <v>#NUM!</v>
      </c>
      <c r="AD326" s="54">
        <f t="shared" si="48"/>
        <v>0</v>
      </c>
      <c r="AE326" s="54">
        <f t="shared" si="49"/>
        <v>0</v>
      </c>
      <c r="AF326" s="54">
        <f t="shared" si="50"/>
        <v>2080</v>
      </c>
      <c r="AG326" s="54">
        <f t="shared" si="51"/>
        <v>10400</v>
      </c>
      <c r="AH326" s="54">
        <f t="shared" si="52"/>
        <v>0</v>
      </c>
      <c r="AI326" s="54">
        <f t="shared" si="53"/>
        <v>0</v>
      </c>
    </row>
    <row r="327" spans="1:35" ht="15" x14ac:dyDescent="0.2">
      <c r="A327" s="56" t="s">
        <v>422</v>
      </c>
      <c r="B327" s="32"/>
      <c r="C327" s="56">
        <v>0.151</v>
      </c>
      <c r="D327" s="56">
        <v>237.09</v>
      </c>
      <c r="E327" s="36"/>
      <c r="F327" s="40">
        <f t="shared" si="24"/>
        <v>0</v>
      </c>
      <c r="G327" s="40" t="e">
        <f>-PMT(Assumptions!B$25/12,Assumptions!B$24*12,F$8)*C327/100</f>
        <v>#NUM!</v>
      </c>
      <c r="H327" s="40" t="e">
        <f>G327*Assumptions!$B$24*12-F327</f>
        <v>#NUM!</v>
      </c>
      <c r="I327" s="48"/>
      <c r="J327" s="40">
        <f t="shared" si="25"/>
        <v>0</v>
      </c>
      <c r="K327" s="40" t="e">
        <f>-PMT(Assumptions!C$25/12,Assumptions!C$24*12,J$8)*C327/100</f>
        <v>#NUM!</v>
      </c>
      <c r="L327" s="40" t="e">
        <f>K327*Assumptions!$C$24*12-J327</f>
        <v>#NUM!</v>
      </c>
      <c r="M327" s="43"/>
      <c r="N327" s="40">
        <f t="shared" si="26"/>
        <v>1510</v>
      </c>
      <c r="O327" s="50">
        <f>-PMT(Assumptions!D$25/12,Assumptions!D$24*12,N$8)*C327/100</f>
        <v>16.015892801100357</v>
      </c>
      <c r="P327" s="44">
        <f>O327*Assumptions!$D$24*12-N327</f>
        <v>411.90713613204298</v>
      </c>
      <c r="Q327" s="48"/>
      <c r="R327" s="40">
        <f t="shared" si="27"/>
        <v>7550</v>
      </c>
      <c r="S327" s="40">
        <f>-PMT(Assumptions!E$25/12,Assumptions!E$24*12,$R$8)*$C327/100</f>
        <v>80.079464005501791</v>
      </c>
      <c r="T327" s="40">
        <f>S327*Assumptions!$E$24*12-R327</f>
        <v>2059.535680660214</v>
      </c>
      <c r="U327" s="48"/>
      <c r="V327" s="40">
        <f t="shared" si="28"/>
        <v>0</v>
      </c>
      <c r="W327" s="40" t="e">
        <f>-PMT(Assumptions!F$25/12,Assumptions!F$24*12,$V$8)*$C327/100</f>
        <v>#NUM!</v>
      </c>
      <c r="X327" s="40" t="e">
        <f>W327*Assumptions!$F$24*12-V327</f>
        <v>#NUM!</v>
      </c>
      <c r="Y327" s="43"/>
      <c r="Z327" s="40">
        <f t="shared" si="29"/>
        <v>0</v>
      </c>
      <c r="AA327" s="50" t="e">
        <f>-PMT(Assumptions!G$25/12,Assumptions!G$24*12,$Z$8)*$C327/100</f>
        <v>#NUM!</v>
      </c>
      <c r="AB327" s="44" t="e">
        <f>AA327*Assumptions!$G$24*12-Z327</f>
        <v>#NUM!</v>
      </c>
      <c r="AD327" s="54">
        <f t="shared" si="48"/>
        <v>0</v>
      </c>
      <c r="AE327" s="54">
        <f t="shared" si="49"/>
        <v>0</v>
      </c>
      <c r="AF327" s="54">
        <f t="shared" si="50"/>
        <v>1510</v>
      </c>
      <c r="AG327" s="54">
        <f t="shared" si="51"/>
        <v>7550</v>
      </c>
      <c r="AH327" s="54">
        <f t="shared" si="52"/>
        <v>0</v>
      </c>
      <c r="AI327" s="54">
        <f t="shared" si="53"/>
        <v>0</v>
      </c>
    </row>
    <row r="328" spans="1:35" ht="15" x14ac:dyDescent="0.2">
      <c r="A328" s="56" t="s">
        <v>423</v>
      </c>
      <c r="B328" s="32"/>
      <c r="C328" s="56">
        <v>0.16</v>
      </c>
      <c r="D328" s="56">
        <v>251.22</v>
      </c>
      <c r="E328" s="36"/>
      <c r="F328" s="40">
        <f t="shared" si="24"/>
        <v>0</v>
      </c>
      <c r="G328" s="40" t="e">
        <f>-PMT(Assumptions!B$25/12,Assumptions!B$24*12,F$8)*C328/100</f>
        <v>#NUM!</v>
      </c>
      <c r="H328" s="40" t="e">
        <f>G328*Assumptions!$B$24*12-F328</f>
        <v>#NUM!</v>
      </c>
      <c r="I328" s="48"/>
      <c r="J328" s="40">
        <f t="shared" si="25"/>
        <v>0</v>
      </c>
      <c r="K328" s="40" t="e">
        <f>-PMT(Assumptions!C$25/12,Assumptions!C$24*12,J$8)*C328/100</f>
        <v>#NUM!</v>
      </c>
      <c r="L328" s="40" t="e">
        <f>K328*Assumptions!$C$24*12-J328</f>
        <v>#NUM!</v>
      </c>
      <c r="M328" s="43"/>
      <c r="N328" s="40">
        <f t="shared" si="26"/>
        <v>1600</v>
      </c>
      <c r="O328" s="50">
        <f>-PMT(Assumptions!D$25/12,Assumptions!D$24*12,N$8)*C328/100</f>
        <v>16.970482438252038</v>
      </c>
      <c r="P328" s="44">
        <f>O328*Assumptions!$D$24*12-N328</f>
        <v>436.45789259024446</v>
      </c>
      <c r="Q328" s="48"/>
      <c r="R328" s="40">
        <f t="shared" si="27"/>
        <v>8000</v>
      </c>
      <c r="S328" s="40">
        <f>-PMT(Assumptions!E$25/12,Assumptions!E$24*12,$R$8)*$C328/100</f>
        <v>84.852412191260186</v>
      </c>
      <c r="T328" s="40">
        <f>S328*Assumptions!$E$24*12-R328</f>
        <v>2182.289462951223</v>
      </c>
      <c r="U328" s="48"/>
      <c r="V328" s="40">
        <f t="shared" si="28"/>
        <v>0</v>
      </c>
      <c r="W328" s="40" t="e">
        <f>-PMT(Assumptions!F$25/12,Assumptions!F$24*12,$V$8)*$C328/100</f>
        <v>#NUM!</v>
      </c>
      <c r="X328" s="40" t="e">
        <f>W328*Assumptions!$F$24*12-V328</f>
        <v>#NUM!</v>
      </c>
      <c r="Y328" s="43"/>
      <c r="Z328" s="40">
        <f t="shared" si="29"/>
        <v>0</v>
      </c>
      <c r="AA328" s="50" t="e">
        <f>-PMT(Assumptions!G$25/12,Assumptions!G$24*12,$Z$8)*$C328/100</f>
        <v>#NUM!</v>
      </c>
      <c r="AB328" s="44" t="e">
        <f>AA328*Assumptions!$G$24*12-Z328</f>
        <v>#NUM!</v>
      </c>
      <c r="AD328" s="54">
        <f t="shared" si="48"/>
        <v>0</v>
      </c>
      <c r="AE328" s="54">
        <f t="shared" si="49"/>
        <v>0</v>
      </c>
      <c r="AF328" s="54">
        <f t="shared" si="50"/>
        <v>1600</v>
      </c>
      <c r="AG328" s="54">
        <f t="shared" si="51"/>
        <v>8000</v>
      </c>
      <c r="AH328" s="54">
        <f t="shared" si="52"/>
        <v>0</v>
      </c>
      <c r="AI328" s="54">
        <f t="shared" si="53"/>
        <v>0</v>
      </c>
    </row>
    <row r="329" spans="1:35" ht="15" x14ac:dyDescent="0.2">
      <c r="A329" s="56" t="s">
        <v>424</v>
      </c>
      <c r="B329" s="32"/>
      <c r="C329" s="56">
        <v>0.151</v>
      </c>
      <c r="D329" s="56">
        <v>237.09</v>
      </c>
      <c r="E329" s="36"/>
      <c r="F329" s="40">
        <f t="shared" si="24"/>
        <v>0</v>
      </c>
      <c r="G329" s="40" t="e">
        <f>-PMT(Assumptions!B$25/12,Assumptions!B$24*12,F$8)*C329/100</f>
        <v>#NUM!</v>
      </c>
      <c r="H329" s="40" t="e">
        <f>G329*Assumptions!$B$24*12-F329</f>
        <v>#NUM!</v>
      </c>
      <c r="I329" s="48"/>
      <c r="J329" s="40">
        <f t="shared" si="25"/>
        <v>0</v>
      </c>
      <c r="K329" s="40" t="e">
        <f>-PMT(Assumptions!C$25/12,Assumptions!C$24*12,J$8)*C329/100</f>
        <v>#NUM!</v>
      </c>
      <c r="L329" s="40" t="e">
        <f>K329*Assumptions!$C$24*12-J329</f>
        <v>#NUM!</v>
      </c>
      <c r="M329" s="43"/>
      <c r="N329" s="40">
        <f t="shared" si="26"/>
        <v>1510</v>
      </c>
      <c r="O329" s="50">
        <f>-PMT(Assumptions!D$25/12,Assumptions!D$24*12,N$8)*C329/100</f>
        <v>16.015892801100357</v>
      </c>
      <c r="P329" s="44">
        <f>O329*Assumptions!$D$24*12-N329</f>
        <v>411.90713613204298</v>
      </c>
      <c r="Q329" s="48"/>
      <c r="R329" s="40">
        <f t="shared" si="27"/>
        <v>7550</v>
      </c>
      <c r="S329" s="40">
        <f>-PMT(Assumptions!E$25/12,Assumptions!E$24*12,$R$8)*$C329/100</f>
        <v>80.079464005501791</v>
      </c>
      <c r="T329" s="40">
        <f>S329*Assumptions!$E$24*12-R329</f>
        <v>2059.535680660214</v>
      </c>
      <c r="U329" s="48"/>
      <c r="V329" s="40">
        <f t="shared" si="28"/>
        <v>0</v>
      </c>
      <c r="W329" s="40" t="e">
        <f>-PMT(Assumptions!F$25/12,Assumptions!F$24*12,$V$8)*$C329/100</f>
        <v>#NUM!</v>
      </c>
      <c r="X329" s="40" t="e">
        <f>W329*Assumptions!$F$24*12-V329</f>
        <v>#NUM!</v>
      </c>
      <c r="Y329" s="43"/>
      <c r="Z329" s="40">
        <f t="shared" si="29"/>
        <v>0</v>
      </c>
      <c r="AA329" s="50" t="e">
        <f>-PMT(Assumptions!G$25/12,Assumptions!G$24*12,$Z$8)*$C329/100</f>
        <v>#NUM!</v>
      </c>
      <c r="AB329" s="44" t="e">
        <f>AA329*Assumptions!$G$24*12-Z329</f>
        <v>#NUM!</v>
      </c>
      <c r="AD329" s="54">
        <f t="shared" si="48"/>
        <v>0</v>
      </c>
      <c r="AE329" s="54">
        <f t="shared" si="49"/>
        <v>0</v>
      </c>
      <c r="AF329" s="54">
        <f t="shared" si="50"/>
        <v>1510</v>
      </c>
      <c r="AG329" s="54">
        <f t="shared" si="51"/>
        <v>7550</v>
      </c>
      <c r="AH329" s="54">
        <f t="shared" si="52"/>
        <v>0</v>
      </c>
      <c r="AI329" s="54">
        <f t="shared" si="53"/>
        <v>0</v>
      </c>
    </row>
    <row r="330" spans="1:35" ht="15" x14ac:dyDescent="0.2">
      <c r="A330" s="56" t="s">
        <v>425</v>
      </c>
      <c r="B330" s="32"/>
      <c r="C330" s="56">
        <v>0.16</v>
      </c>
      <c r="D330" s="56">
        <v>251.22</v>
      </c>
      <c r="E330" s="36"/>
      <c r="F330" s="40">
        <f t="shared" si="24"/>
        <v>0</v>
      </c>
      <c r="G330" s="40" t="e">
        <f>-PMT(Assumptions!B$25/12,Assumptions!B$24*12,F$8)*C330/100</f>
        <v>#NUM!</v>
      </c>
      <c r="H330" s="40" t="e">
        <f>G330*Assumptions!$B$24*12-F330</f>
        <v>#NUM!</v>
      </c>
      <c r="I330" s="48"/>
      <c r="J330" s="40">
        <f t="shared" si="25"/>
        <v>0</v>
      </c>
      <c r="K330" s="40" t="e">
        <f>-PMT(Assumptions!C$25/12,Assumptions!C$24*12,J$8)*C330/100</f>
        <v>#NUM!</v>
      </c>
      <c r="L330" s="40" t="e">
        <f>K330*Assumptions!$C$24*12-J330</f>
        <v>#NUM!</v>
      </c>
      <c r="M330" s="43"/>
      <c r="N330" s="40">
        <f t="shared" si="26"/>
        <v>1600</v>
      </c>
      <c r="O330" s="50">
        <f>-PMT(Assumptions!D$25/12,Assumptions!D$24*12,N$8)*C330/100</f>
        <v>16.970482438252038</v>
      </c>
      <c r="P330" s="44">
        <f>O330*Assumptions!$D$24*12-N330</f>
        <v>436.45789259024446</v>
      </c>
      <c r="Q330" s="48"/>
      <c r="R330" s="40">
        <f t="shared" si="27"/>
        <v>8000</v>
      </c>
      <c r="S330" s="40">
        <f>-PMT(Assumptions!E$25/12,Assumptions!E$24*12,$R$8)*$C330/100</f>
        <v>84.852412191260186</v>
      </c>
      <c r="T330" s="40">
        <f>S330*Assumptions!$E$24*12-R330</f>
        <v>2182.289462951223</v>
      </c>
      <c r="U330" s="48"/>
      <c r="V330" s="40">
        <f t="shared" si="28"/>
        <v>0</v>
      </c>
      <c r="W330" s="40" t="e">
        <f>-PMT(Assumptions!F$25/12,Assumptions!F$24*12,$V$8)*$C330/100</f>
        <v>#NUM!</v>
      </c>
      <c r="X330" s="40" t="e">
        <f>W330*Assumptions!$F$24*12-V330</f>
        <v>#NUM!</v>
      </c>
      <c r="Y330" s="43"/>
      <c r="Z330" s="40">
        <f t="shared" si="29"/>
        <v>0</v>
      </c>
      <c r="AA330" s="50" t="e">
        <f>-PMT(Assumptions!G$25/12,Assumptions!G$24*12,$Z$8)*$C330/100</f>
        <v>#NUM!</v>
      </c>
      <c r="AB330" s="44" t="e">
        <f>AA330*Assumptions!$G$24*12-Z330</f>
        <v>#NUM!</v>
      </c>
      <c r="AD330" s="54">
        <f t="shared" si="48"/>
        <v>0</v>
      </c>
      <c r="AE330" s="54">
        <f t="shared" si="49"/>
        <v>0</v>
      </c>
      <c r="AF330" s="54">
        <f t="shared" si="50"/>
        <v>1600</v>
      </c>
      <c r="AG330" s="54">
        <f t="shared" si="51"/>
        <v>8000</v>
      </c>
      <c r="AH330" s="54">
        <f t="shared" si="52"/>
        <v>0</v>
      </c>
      <c r="AI330" s="54">
        <f t="shared" si="53"/>
        <v>0</v>
      </c>
    </row>
    <row r="331" spans="1:35" ht="15" x14ac:dyDescent="0.2">
      <c r="A331" s="56" t="s">
        <v>426</v>
      </c>
      <c r="B331" s="32"/>
      <c r="C331" s="56">
        <v>0.22700000000000001</v>
      </c>
      <c r="D331" s="56">
        <v>356.41</v>
      </c>
      <c r="E331" s="36"/>
      <c r="F331" s="40">
        <f t="shared" si="24"/>
        <v>0</v>
      </c>
      <c r="G331" s="40" t="e">
        <f>-PMT(Assumptions!B$25/12,Assumptions!B$24*12,F$8)*C331/100</f>
        <v>#NUM!</v>
      </c>
      <c r="H331" s="40" t="e">
        <f>G331*Assumptions!$B$24*12-F331</f>
        <v>#NUM!</v>
      </c>
      <c r="I331" s="48"/>
      <c r="J331" s="40">
        <f t="shared" si="25"/>
        <v>0</v>
      </c>
      <c r="K331" s="40" t="e">
        <f>-PMT(Assumptions!C$25/12,Assumptions!C$24*12,J$8)*C331/100</f>
        <v>#NUM!</v>
      </c>
      <c r="L331" s="40" t="e">
        <f>K331*Assumptions!$C$24*12-J331</f>
        <v>#NUM!</v>
      </c>
      <c r="M331" s="43"/>
      <c r="N331" s="40">
        <f t="shared" si="26"/>
        <v>2270</v>
      </c>
      <c r="O331" s="50">
        <f>-PMT(Assumptions!D$25/12,Assumptions!D$24*12,N$8)*C331/100</f>
        <v>24.076871959270079</v>
      </c>
      <c r="P331" s="44">
        <f>O331*Assumptions!$D$24*12-N331</f>
        <v>619.22463511240949</v>
      </c>
      <c r="Q331" s="48"/>
      <c r="R331" s="40">
        <f t="shared" si="27"/>
        <v>11350</v>
      </c>
      <c r="S331" s="40">
        <f>-PMT(Assumptions!E$25/12,Assumptions!E$24*12,$R$8)*$C331/100</f>
        <v>120.3843597963504</v>
      </c>
      <c r="T331" s="40">
        <f>S331*Assumptions!$E$24*12-R331</f>
        <v>3096.1231755620465</v>
      </c>
      <c r="U331" s="48"/>
      <c r="V331" s="40">
        <f t="shared" si="28"/>
        <v>0</v>
      </c>
      <c r="W331" s="40" t="e">
        <f>-PMT(Assumptions!F$25/12,Assumptions!F$24*12,$V$8)*$C331/100</f>
        <v>#NUM!</v>
      </c>
      <c r="X331" s="40" t="e">
        <f>W331*Assumptions!$F$24*12-V331</f>
        <v>#NUM!</v>
      </c>
      <c r="Y331" s="43"/>
      <c r="Z331" s="40">
        <f t="shared" si="29"/>
        <v>0</v>
      </c>
      <c r="AA331" s="50" t="e">
        <f>-PMT(Assumptions!G$25/12,Assumptions!G$24*12,$Z$8)*$C331/100</f>
        <v>#NUM!</v>
      </c>
      <c r="AB331" s="44" t="e">
        <f>AA331*Assumptions!$G$24*12-Z331</f>
        <v>#NUM!</v>
      </c>
      <c r="AD331" s="54">
        <f t="shared" si="48"/>
        <v>0</v>
      </c>
      <c r="AE331" s="54">
        <f t="shared" si="49"/>
        <v>0</v>
      </c>
      <c r="AF331" s="54">
        <f t="shared" si="50"/>
        <v>2270</v>
      </c>
      <c r="AG331" s="54">
        <f t="shared" si="51"/>
        <v>11350</v>
      </c>
      <c r="AH331" s="54">
        <f t="shared" si="52"/>
        <v>0</v>
      </c>
      <c r="AI331" s="54">
        <f t="shared" si="53"/>
        <v>0</v>
      </c>
    </row>
    <row r="332" spans="1:35" ht="15" x14ac:dyDescent="0.2">
      <c r="A332" s="56" t="s">
        <v>427</v>
      </c>
      <c r="B332" s="32"/>
      <c r="C332" s="56">
        <v>0.23599999999999999</v>
      </c>
      <c r="D332" s="56">
        <v>370.54</v>
      </c>
      <c r="E332" s="36"/>
      <c r="F332" s="40">
        <f t="shared" si="24"/>
        <v>0</v>
      </c>
      <c r="G332" s="40" t="e">
        <f>-PMT(Assumptions!B$25/12,Assumptions!B$24*12,F$8)*C332/100</f>
        <v>#NUM!</v>
      </c>
      <c r="H332" s="40" t="e">
        <f>G332*Assumptions!$B$24*12-F332</f>
        <v>#NUM!</v>
      </c>
      <c r="I332" s="48"/>
      <c r="J332" s="40">
        <f t="shared" si="25"/>
        <v>0</v>
      </c>
      <c r="K332" s="40" t="e">
        <f>-PMT(Assumptions!C$25/12,Assumptions!C$24*12,J$8)*C332/100</f>
        <v>#NUM!</v>
      </c>
      <c r="L332" s="40" t="e">
        <f>K332*Assumptions!$C$24*12-J332</f>
        <v>#NUM!</v>
      </c>
      <c r="M332" s="43"/>
      <c r="N332" s="40">
        <f t="shared" si="26"/>
        <v>2360</v>
      </c>
      <c r="O332" s="50">
        <f>-PMT(Assumptions!D$25/12,Assumptions!D$24*12,N$8)*C332/100</f>
        <v>25.031461596421753</v>
      </c>
      <c r="P332" s="44">
        <f>O332*Assumptions!$D$24*12-N332</f>
        <v>643.77539157061028</v>
      </c>
      <c r="Q332" s="48"/>
      <c r="R332" s="40">
        <f t="shared" si="27"/>
        <v>11800</v>
      </c>
      <c r="S332" s="40">
        <f>-PMT(Assumptions!E$25/12,Assumptions!E$24*12,$R$8)*$C332/100</f>
        <v>125.15730798210878</v>
      </c>
      <c r="T332" s="40">
        <f>S332*Assumptions!$E$24*12-R332</f>
        <v>3218.8769578530519</v>
      </c>
      <c r="U332" s="48"/>
      <c r="V332" s="40">
        <f t="shared" si="28"/>
        <v>0</v>
      </c>
      <c r="W332" s="40" t="e">
        <f>-PMT(Assumptions!F$25/12,Assumptions!F$24*12,$V$8)*$C332/100</f>
        <v>#NUM!</v>
      </c>
      <c r="X332" s="40" t="e">
        <f>W332*Assumptions!$F$24*12-V332</f>
        <v>#NUM!</v>
      </c>
      <c r="Y332" s="43"/>
      <c r="Z332" s="40">
        <f t="shared" si="29"/>
        <v>0</v>
      </c>
      <c r="AA332" s="50" t="e">
        <f>-PMT(Assumptions!G$25/12,Assumptions!G$24*12,$Z$8)*$C332/100</f>
        <v>#NUM!</v>
      </c>
      <c r="AB332" s="44" t="e">
        <f>AA332*Assumptions!$G$24*12-Z332</f>
        <v>#NUM!</v>
      </c>
      <c r="AD332" s="54">
        <f t="shared" si="48"/>
        <v>0</v>
      </c>
      <c r="AE332" s="54">
        <f t="shared" si="49"/>
        <v>0</v>
      </c>
      <c r="AF332" s="54">
        <f t="shared" si="50"/>
        <v>2360</v>
      </c>
      <c r="AG332" s="54">
        <f t="shared" si="51"/>
        <v>11800</v>
      </c>
      <c r="AH332" s="54">
        <f t="shared" si="52"/>
        <v>0</v>
      </c>
      <c r="AI332" s="54">
        <f t="shared" si="53"/>
        <v>0</v>
      </c>
    </row>
    <row r="333" spans="1:35" ht="15" x14ac:dyDescent="0.2">
      <c r="A333" s="56" t="s">
        <v>428</v>
      </c>
      <c r="B333" s="32"/>
      <c r="C333" s="56">
        <v>0.20799999999999999</v>
      </c>
      <c r="D333" s="56">
        <v>326.58</v>
      </c>
      <c r="E333" s="36"/>
      <c r="F333" s="40">
        <f t="shared" si="24"/>
        <v>0</v>
      </c>
      <c r="G333" s="40" t="e">
        <f>-PMT(Assumptions!B$25/12,Assumptions!B$24*12,F$8)*C333/100</f>
        <v>#NUM!</v>
      </c>
      <c r="H333" s="40" t="e">
        <f>G333*Assumptions!$B$24*12-F333</f>
        <v>#NUM!</v>
      </c>
      <c r="I333" s="48"/>
      <c r="J333" s="40">
        <f t="shared" si="25"/>
        <v>0</v>
      </c>
      <c r="K333" s="40" t="e">
        <f>-PMT(Assumptions!C$25/12,Assumptions!C$24*12,J$8)*C333/100</f>
        <v>#NUM!</v>
      </c>
      <c r="L333" s="40" t="e">
        <f>K333*Assumptions!$C$24*12-J333</f>
        <v>#NUM!</v>
      </c>
      <c r="M333" s="43"/>
      <c r="N333" s="40">
        <f t="shared" si="26"/>
        <v>2080</v>
      </c>
      <c r="O333" s="50">
        <f>-PMT(Assumptions!D$25/12,Assumptions!D$24*12,N$8)*C333/100</f>
        <v>22.06162716972765</v>
      </c>
      <c r="P333" s="44">
        <f>O333*Assumptions!$D$24*12-N333</f>
        <v>567.39526036731786</v>
      </c>
      <c r="Q333" s="48"/>
      <c r="R333" s="40">
        <f t="shared" si="27"/>
        <v>10400</v>
      </c>
      <c r="S333" s="40">
        <f>-PMT(Assumptions!E$25/12,Assumptions!E$24*12,$R$8)*$C333/100</f>
        <v>110.30813584863823</v>
      </c>
      <c r="T333" s="40">
        <f>S333*Assumptions!$E$24*12-R333</f>
        <v>2836.9763018365866</v>
      </c>
      <c r="U333" s="48"/>
      <c r="V333" s="40">
        <f t="shared" si="28"/>
        <v>0</v>
      </c>
      <c r="W333" s="40" t="e">
        <f>-PMT(Assumptions!F$25/12,Assumptions!F$24*12,$V$8)*$C333/100</f>
        <v>#NUM!</v>
      </c>
      <c r="X333" s="40" t="e">
        <f>W333*Assumptions!$F$24*12-V333</f>
        <v>#NUM!</v>
      </c>
      <c r="Y333" s="43"/>
      <c r="Z333" s="40">
        <f t="shared" si="29"/>
        <v>0</v>
      </c>
      <c r="AA333" s="50" t="e">
        <f>-PMT(Assumptions!G$25/12,Assumptions!G$24*12,$Z$8)*$C333/100</f>
        <v>#NUM!</v>
      </c>
      <c r="AB333" s="44" t="e">
        <f>AA333*Assumptions!$G$24*12-Z333</f>
        <v>#NUM!</v>
      </c>
      <c r="AD333" s="54">
        <f t="shared" si="48"/>
        <v>0</v>
      </c>
      <c r="AE333" s="54">
        <f t="shared" si="49"/>
        <v>0</v>
      </c>
      <c r="AF333" s="54">
        <f t="shared" si="50"/>
        <v>2080</v>
      </c>
      <c r="AG333" s="54">
        <f t="shared" si="51"/>
        <v>10400</v>
      </c>
      <c r="AH333" s="54">
        <f t="shared" si="52"/>
        <v>0</v>
      </c>
      <c r="AI333" s="54">
        <f t="shared" si="53"/>
        <v>0</v>
      </c>
    </row>
    <row r="334" spans="1:35" ht="15" x14ac:dyDescent="0.2">
      <c r="A334" s="56" t="s">
        <v>429</v>
      </c>
      <c r="B334" s="32"/>
      <c r="C334" s="56">
        <v>0.20799999999999999</v>
      </c>
      <c r="D334" s="56">
        <v>326.58</v>
      </c>
      <c r="E334" s="36"/>
      <c r="F334" s="40">
        <f t="shared" si="24"/>
        <v>0</v>
      </c>
      <c r="G334" s="40" t="e">
        <f>-PMT(Assumptions!B$25/12,Assumptions!B$24*12,F$8)*C334/100</f>
        <v>#NUM!</v>
      </c>
      <c r="H334" s="40" t="e">
        <f>G334*Assumptions!$B$24*12-F334</f>
        <v>#NUM!</v>
      </c>
      <c r="I334" s="48"/>
      <c r="J334" s="40">
        <f t="shared" si="25"/>
        <v>0</v>
      </c>
      <c r="K334" s="40" t="e">
        <f>-PMT(Assumptions!C$25/12,Assumptions!C$24*12,J$8)*C334/100</f>
        <v>#NUM!</v>
      </c>
      <c r="L334" s="40" t="e">
        <f>K334*Assumptions!$C$24*12-J334</f>
        <v>#NUM!</v>
      </c>
      <c r="M334" s="43"/>
      <c r="N334" s="40">
        <f t="shared" si="26"/>
        <v>2080</v>
      </c>
      <c r="O334" s="50">
        <f>-PMT(Assumptions!D$25/12,Assumptions!D$24*12,N$8)*C334/100</f>
        <v>22.06162716972765</v>
      </c>
      <c r="P334" s="44">
        <f>O334*Assumptions!$D$24*12-N334</f>
        <v>567.39526036731786</v>
      </c>
      <c r="Q334" s="48"/>
      <c r="R334" s="40">
        <f t="shared" si="27"/>
        <v>10400</v>
      </c>
      <c r="S334" s="40">
        <f>-PMT(Assumptions!E$25/12,Assumptions!E$24*12,$R$8)*$C334/100</f>
        <v>110.30813584863823</v>
      </c>
      <c r="T334" s="40">
        <f>S334*Assumptions!$E$24*12-R334</f>
        <v>2836.9763018365866</v>
      </c>
      <c r="U334" s="48"/>
      <c r="V334" s="40">
        <f t="shared" si="28"/>
        <v>0</v>
      </c>
      <c r="W334" s="40" t="e">
        <f>-PMT(Assumptions!F$25/12,Assumptions!F$24*12,$V$8)*$C334/100</f>
        <v>#NUM!</v>
      </c>
      <c r="X334" s="40" t="e">
        <f>W334*Assumptions!$F$24*12-V334</f>
        <v>#NUM!</v>
      </c>
      <c r="Y334" s="43"/>
      <c r="Z334" s="40">
        <f t="shared" si="29"/>
        <v>0</v>
      </c>
      <c r="AA334" s="50" t="e">
        <f>-PMT(Assumptions!G$25/12,Assumptions!G$24*12,$Z$8)*$C334/100</f>
        <v>#NUM!</v>
      </c>
      <c r="AB334" s="44" t="e">
        <f>AA334*Assumptions!$G$24*12-Z334</f>
        <v>#NUM!</v>
      </c>
      <c r="AD334" s="54">
        <f t="shared" si="48"/>
        <v>0</v>
      </c>
      <c r="AE334" s="54">
        <f t="shared" si="49"/>
        <v>0</v>
      </c>
      <c r="AF334" s="54">
        <f t="shared" si="50"/>
        <v>2080</v>
      </c>
      <c r="AG334" s="54">
        <f t="shared" si="51"/>
        <v>10400</v>
      </c>
      <c r="AH334" s="54">
        <f t="shared" si="52"/>
        <v>0</v>
      </c>
      <c r="AI334" s="54">
        <f t="shared" si="53"/>
        <v>0</v>
      </c>
    </row>
    <row r="335" spans="1:35" ht="15" x14ac:dyDescent="0.2">
      <c r="A335" s="56" t="s">
        <v>430</v>
      </c>
      <c r="B335" s="32"/>
      <c r="C335" s="56">
        <v>0.151</v>
      </c>
      <c r="D335" s="56">
        <v>237.09</v>
      </c>
      <c r="E335" s="36"/>
      <c r="F335" s="40">
        <f t="shared" si="24"/>
        <v>0</v>
      </c>
      <c r="G335" s="40" t="e">
        <f>-PMT(Assumptions!B$25/12,Assumptions!B$24*12,F$8)*C335/100</f>
        <v>#NUM!</v>
      </c>
      <c r="H335" s="40" t="e">
        <f>G335*Assumptions!$B$24*12-F335</f>
        <v>#NUM!</v>
      </c>
      <c r="I335" s="48"/>
      <c r="J335" s="40">
        <f t="shared" si="25"/>
        <v>0</v>
      </c>
      <c r="K335" s="40" t="e">
        <f>-PMT(Assumptions!C$25/12,Assumptions!C$24*12,J$8)*C335/100</f>
        <v>#NUM!</v>
      </c>
      <c r="L335" s="40" t="e">
        <f>K335*Assumptions!$C$24*12-J335</f>
        <v>#NUM!</v>
      </c>
      <c r="M335" s="43"/>
      <c r="N335" s="40">
        <f t="shared" si="26"/>
        <v>1510</v>
      </c>
      <c r="O335" s="50">
        <f>-PMT(Assumptions!D$25/12,Assumptions!D$24*12,N$8)*C335/100</f>
        <v>16.015892801100357</v>
      </c>
      <c r="P335" s="44">
        <f>O335*Assumptions!$D$24*12-N335</f>
        <v>411.90713613204298</v>
      </c>
      <c r="Q335" s="48"/>
      <c r="R335" s="40">
        <f t="shared" si="27"/>
        <v>7550</v>
      </c>
      <c r="S335" s="40">
        <f>-PMT(Assumptions!E$25/12,Assumptions!E$24*12,$R$8)*$C335/100</f>
        <v>80.079464005501791</v>
      </c>
      <c r="T335" s="40">
        <f>S335*Assumptions!$E$24*12-R335</f>
        <v>2059.535680660214</v>
      </c>
      <c r="U335" s="48"/>
      <c r="V335" s="40">
        <f t="shared" si="28"/>
        <v>0</v>
      </c>
      <c r="W335" s="40" t="e">
        <f>-PMT(Assumptions!F$25/12,Assumptions!F$24*12,$V$8)*$C335/100</f>
        <v>#NUM!</v>
      </c>
      <c r="X335" s="40" t="e">
        <f>W335*Assumptions!$F$24*12-V335</f>
        <v>#NUM!</v>
      </c>
      <c r="Y335" s="43"/>
      <c r="Z335" s="40">
        <f t="shared" si="29"/>
        <v>0</v>
      </c>
      <c r="AA335" s="50" t="e">
        <f>-PMT(Assumptions!G$25/12,Assumptions!G$24*12,$Z$8)*$C335/100</f>
        <v>#NUM!</v>
      </c>
      <c r="AB335" s="44" t="e">
        <f>AA335*Assumptions!$G$24*12-Z335</f>
        <v>#NUM!</v>
      </c>
      <c r="AD335" s="54">
        <f t="shared" si="48"/>
        <v>0</v>
      </c>
      <c r="AE335" s="54">
        <f t="shared" si="49"/>
        <v>0</v>
      </c>
      <c r="AF335" s="54">
        <f t="shared" si="50"/>
        <v>1510</v>
      </c>
      <c r="AG335" s="54">
        <f t="shared" si="51"/>
        <v>7550</v>
      </c>
      <c r="AH335" s="54">
        <f t="shared" si="52"/>
        <v>0</v>
      </c>
      <c r="AI335" s="54">
        <f t="shared" si="53"/>
        <v>0</v>
      </c>
    </row>
    <row r="336" spans="1:35" ht="15" x14ac:dyDescent="0.2">
      <c r="A336" s="56" t="s">
        <v>431</v>
      </c>
      <c r="B336" s="32"/>
      <c r="C336" s="56">
        <v>0.16</v>
      </c>
      <c r="D336" s="56">
        <v>251.22</v>
      </c>
      <c r="E336" s="36"/>
      <c r="F336" s="40">
        <f t="shared" si="24"/>
        <v>0</v>
      </c>
      <c r="G336" s="40" t="e">
        <f>-PMT(Assumptions!B$25/12,Assumptions!B$24*12,F$8)*C336/100</f>
        <v>#NUM!</v>
      </c>
      <c r="H336" s="40" t="e">
        <f>G336*Assumptions!$B$24*12-F336</f>
        <v>#NUM!</v>
      </c>
      <c r="I336" s="48"/>
      <c r="J336" s="40">
        <f t="shared" si="25"/>
        <v>0</v>
      </c>
      <c r="K336" s="40" t="e">
        <f>-PMT(Assumptions!C$25/12,Assumptions!C$24*12,J$8)*C336/100</f>
        <v>#NUM!</v>
      </c>
      <c r="L336" s="40" t="e">
        <f>K336*Assumptions!$C$24*12-J336</f>
        <v>#NUM!</v>
      </c>
      <c r="M336" s="43"/>
      <c r="N336" s="40">
        <f t="shared" si="26"/>
        <v>1600</v>
      </c>
      <c r="O336" s="50">
        <f>-PMT(Assumptions!D$25/12,Assumptions!D$24*12,N$8)*C336/100</f>
        <v>16.970482438252038</v>
      </c>
      <c r="P336" s="44">
        <f>O336*Assumptions!$D$24*12-N336</f>
        <v>436.45789259024446</v>
      </c>
      <c r="Q336" s="48"/>
      <c r="R336" s="40">
        <f t="shared" si="27"/>
        <v>8000</v>
      </c>
      <c r="S336" s="40">
        <f>-PMT(Assumptions!E$25/12,Assumptions!E$24*12,$R$8)*$C336/100</f>
        <v>84.852412191260186</v>
      </c>
      <c r="T336" s="40">
        <f>S336*Assumptions!$E$24*12-R336</f>
        <v>2182.289462951223</v>
      </c>
      <c r="U336" s="48"/>
      <c r="V336" s="40">
        <f t="shared" si="28"/>
        <v>0</v>
      </c>
      <c r="W336" s="40" t="e">
        <f>-PMT(Assumptions!F$25/12,Assumptions!F$24*12,$V$8)*$C336/100</f>
        <v>#NUM!</v>
      </c>
      <c r="X336" s="40" t="e">
        <f>W336*Assumptions!$F$24*12-V336</f>
        <v>#NUM!</v>
      </c>
      <c r="Y336" s="43"/>
      <c r="Z336" s="40">
        <f t="shared" si="29"/>
        <v>0</v>
      </c>
      <c r="AA336" s="50" t="e">
        <f>-PMT(Assumptions!G$25/12,Assumptions!G$24*12,$Z$8)*$C336/100</f>
        <v>#NUM!</v>
      </c>
      <c r="AB336" s="44" t="e">
        <f>AA336*Assumptions!$G$24*12-Z336</f>
        <v>#NUM!</v>
      </c>
      <c r="AD336" s="54">
        <f t="shared" si="48"/>
        <v>0</v>
      </c>
      <c r="AE336" s="54">
        <f t="shared" si="49"/>
        <v>0</v>
      </c>
      <c r="AF336" s="54">
        <f t="shared" si="50"/>
        <v>1600</v>
      </c>
      <c r="AG336" s="54">
        <f t="shared" si="51"/>
        <v>8000</v>
      </c>
      <c r="AH336" s="54">
        <f t="shared" si="52"/>
        <v>0</v>
      </c>
      <c r="AI336" s="54">
        <f t="shared" si="53"/>
        <v>0</v>
      </c>
    </row>
    <row r="337" spans="1:35" ht="15" x14ac:dyDescent="0.2">
      <c r="A337" s="56" t="s">
        <v>432</v>
      </c>
      <c r="B337" s="32"/>
      <c r="C337" s="56">
        <v>0.151</v>
      </c>
      <c r="D337" s="56">
        <v>237.09</v>
      </c>
      <c r="E337" s="36"/>
      <c r="F337" s="40">
        <f t="shared" si="24"/>
        <v>0</v>
      </c>
      <c r="G337" s="40" t="e">
        <f>-PMT(Assumptions!B$25/12,Assumptions!B$24*12,F$8)*C337/100</f>
        <v>#NUM!</v>
      </c>
      <c r="H337" s="40" t="e">
        <f>G337*Assumptions!$B$24*12-F337</f>
        <v>#NUM!</v>
      </c>
      <c r="I337" s="48"/>
      <c r="J337" s="40">
        <f t="shared" si="25"/>
        <v>0</v>
      </c>
      <c r="K337" s="40" t="e">
        <f>-PMT(Assumptions!C$25/12,Assumptions!C$24*12,J$8)*C337/100</f>
        <v>#NUM!</v>
      </c>
      <c r="L337" s="40" t="e">
        <f>K337*Assumptions!$C$24*12-J337</f>
        <v>#NUM!</v>
      </c>
      <c r="M337" s="43"/>
      <c r="N337" s="40">
        <f t="shared" si="26"/>
        <v>1510</v>
      </c>
      <c r="O337" s="50">
        <f>-PMT(Assumptions!D$25/12,Assumptions!D$24*12,N$8)*C337/100</f>
        <v>16.015892801100357</v>
      </c>
      <c r="P337" s="44">
        <f>O337*Assumptions!$D$24*12-N337</f>
        <v>411.90713613204298</v>
      </c>
      <c r="Q337" s="48"/>
      <c r="R337" s="40">
        <f t="shared" si="27"/>
        <v>7550</v>
      </c>
      <c r="S337" s="40">
        <f>-PMT(Assumptions!E$25/12,Assumptions!E$24*12,$R$8)*$C337/100</f>
        <v>80.079464005501791</v>
      </c>
      <c r="T337" s="40">
        <f>S337*Assumptions!$E$24*12-R337</f>
        <v>2059.535680660214</v>
      </c>
      <c r="U337" s="48"/>
      <c r="V337" s="40">
        <f t="shared" si="28"/>
        <v>0</v>
      </c>
      <c r="W337" s="40" t="e">
        <f>-PMT(Assumptions!F$25/12,Assumptions!F$24*12,$V$8)*$C337/100</f>
        <v>#NUM!</v>
      </c>
      <c r="X337" s="40" t="e">
        <f>W337*Assumptions!$F$24*12-V337</f>
        <v>#NUM!</v>
      </c>
      <c r="Y337" s="43"/>
      <c r="Z337" s="40">
        <f t="shared" si="29"/>
        <v>0</v>
      </c>
      <c r="AA337" s="50" t="e">
        <f>-PMT(Assumptions!G$25/12,Assumptions!G$24*12,$Z$8)*$C337/100</f>
        <v>#NUM!</v>
      </c>
      <c r="AB337" s="44" t="e">
        <f>AA337*Assumptions!$G$24*12-Z337</f>
        <v>#NUM!</v>
      </c>
      <c r="AD337" s="54">
        <f t="shared" si="48"/>
        <v>0</v>
      </c>
      <c r="AE337" s="54">
        <f t="shared" si="49"/>
        <v>0</v>
      </c>
      <c r="AF337" s="54">
        <f t="shared" si="50"/>
        <v>1510</v>
      </c>
      <c r="AG337" s="54">
        <f t="shared" si="51"/>
        <v>7550</v>
      </c>
      <c r="AH337" s="54">
        <f t="shared" si="52"/>
        <v>0</v>
      </c>
      <c r="AI337" s="54">
        <f t="shared" si="53"/>
        <v>0</v>
      </c>
    </row>
    <row r="338" spans="1:35" ht="15" x14ac:dyDescent="0.2">
      <c r="A338" s="56" t="s">
        <v>433</v>
      </c>
      <c r="B338" s="32"/>
      <c r="C338" s="56">
        <v>0.16</v>
      </c>
      <c r="D338" s="56">
        <v>251.22</v>
      </c>
      <c r="E338" s="36"/>
      <c r="F338" s="40">
        <f t="shared" si="24"/>
        <v>0</v>
      </c>
      <c r="G338" s="40" t="e">
        <f>-PMT(Assumptions!B$25/12,Assumptions!B$24*12,F$8)*C338/100</f>
        <v>#NUM!</v>
      </c>
      <c r="H338" s="40" t="e">
        <f>G338*Assumptions!$B$24*12-F338</f>
        <v>#NUM!</v>
      </c>
      <c r="I338" s="48"/>
      <c r="J338" s="40">
        <f t="shared" si="25"/>
        <v>0</v>
      </c>
      <c r="K338" s="40" t="e">
        <f>-PMT(Assumptions!C$25/12,Assumptions!C$24*12,J$8)*C338/100</f>
        <v>#NUM!</v>
      </c>
      <c r="L338" s="40" t="e">
        <f>K338*Assumptions!$C$24*12-J338</f>
        <v>#NUM!</v>
      </c>
      <c r="M338" s="43"/>
      <c r="N338" s="40">
        <f t="shared" si="26"/>
        <v>1600</v>
      </c>
      <c r="O338" s="50">
        <f>-PMT(Assumptions!D$25/12,Assumptions!D$24*12,N$8)*C338/100</f>
        <v>16.970482438252038</v>
      </c>
      <c r="P338" s="44">
        <f>O338*Assumptions!$D$24*12-N338</f>
        <v>436.45789259024446</v>
      </c>
      <c r="Q338" s="48"/>
      <c r="R338" s="40">
        <f t="shared" si="27"/>
        <v>8000</v>
      </c>
      <c r="S338" s="40">
        <f>-PMT(Assumptions!E$25/12,Assumptions!E$24*12,$R$8)*$C338/100</f>
        <v>84.852412191260186</v>
      </c>
      <c r="T338" s="40">
        <f>S338*Assumptions!$E$24*12-R338</f>
        <v>2182.289462951223</v>
      </c>
      <c r="U338" s="48"/>
      <c r="V338" s="40">
        <f t="shared" si="28"/>
        <v>0</v>
      </c>
      <c r="W338" s="40" t="e">
        <f>-PMT(Assumptions!F$25/12,Assumptions!F$24*12,$V$8)*$C338/100</f>
        <v>#NUM!</v>
      </c>
      <c r="X338" s="40" t="e">
        <f>W338*Assumptions!$F$24*12-V338</f>
        <v>#NUM!</v>
      </c>
      <c r="Y338" s="43"/>
      <c r="Z338" s="40">
        <f t="shared" si="29"/>
        <v>0</v>
      </c>
      <c r="AA338" s="50" t="e">
        <f>-PMT(Assumptions!G$25/12,Assumptions!G$24*12,$Z$8)*$C338/100</f>
        <v>#NUM!</v>
      </c>
      <c r="AB338" s="44" t="e">
        <f>AA338*Assumptions!$G$24*12-Z338</f>
        <v>#NUM!</v>
      </c>
      <c r="AD338" s="54">
        <f t="shared" si="48"/>
        <v>0</v>
      </c>
      <c r="AE338" s="54">
        <f t="shared" si="49"/>
        <v>0</v>
      </c>
      <c r="AF338" s="54">
        <f t="shared" si="50"/>
        <v>1600</v>
      </c>
      <c r="AG338" s="54">
        <f t="shared" si="51"/>
        <v>8000</v>
      </c>
      <c r="AH338" s="54">
        <f t="shared" si="52"/>
        <v>0</v>
      </c>
      <c r="AI338" s="54">
        <f t="shared" si="53"/>
        <v>0</v>
      </c>
    </row>
    <row r="339" spans="1:35" ht="15" x14ac:dyDescent="0.2">
      <c r="A339" s="56" t="s">
        <v>434</v>
      </c>
      <c r="B339" s="32"/>
      <c r="C339" s="56">
        <v>0.22700000000000001</v>
      </c>
      <c r="D339" s="56">
        <v>356.41</v>
      </c>
      <c r="E339" s="36"/>
      <c r="F339" s="40">
        <f t="shared" si="24"/>
        <v>0</v>
      </c>
      <c r="G339" s="40" t="e">
        <f>-PMT(Assumptions!B$25/12,Assumptions!B$24*12,F$8)*C339/100</f>
        <v>#NUM!</v>
      </c>
      <c r="H339" s="40" t="e">
        <f>G339*Assumptions!$B$24*12-F339</f>
        <v>#NUM!</v>
      </c>
      <c r="I339" s="48"/>
      <c r="J339" s="40">
        <f t="shared" si="25"/>
        <v>0</v>
      </c>
      <c r="K339" s="40" t="e">
        <f>-PMT(Assumptions!C$25/12,Assumptions!C$24*12,J$8)*C339/100</f>
        <v>#NUM!</v>
      </c>
      <c r="L339" s="40" t="e">
        <f>K339*Assumptions!$C$24*12-J339</f>
        <v>#NUM!</v>
      </c>
      <c r="M339" s="43"/>
      <c r="N339" s="40">
        <f t="shared" si="26"/>
        <v>2270</v>
      </c>
      <c r="O339" s="50">
        <f>-PMT(Assumptions!D$25/12,Assumptions!D$24*12,N$8)*C339/100</f>
        <v>24.076871959270079</v>
      </c>
      <c r="P339" s="44">
        <f>O339*Assumptions!$D$24*12-N339</f>
        <v>619.22463511240949</v>
      </c>
      <c r="Q339" s="48"/>
      <c r="R339" s="40">
        <f t="shared" si="27"/>
        <v>11350</v>
      </c>
      <c r="S339" s="40">
        <f>-PMT(Assumptions!E$25/12,Assumptions!E$24*12,$R$8)*$C339/100</f>
        <v>120.3843597963504</v>
      </c>
      <c r="T339" s="40">
        <f>S339*Assumptions!$E$24*12-R339</f>
        <v>3096.1231755620465</v>
      </c>
      <c r="U339" s="48"/>
      <c r="V339" s="40">
        <f t="shared" si="28"/>
        <v>0</v>
      </c>
      <c r="W339" s="40" t="e">
        <f>-PMT(Assumptions!F$25/12,Assumptions!F$24*12,$V$8)*$C339/100</f>
        <v>#NUM!</v>
      </c>
      <c r="X339" s="40" t="e">
        <f>W339*Assumptions!$F$24*12-V339</f>
        <v>#NUM!</v>
      </c>
      <c r="Y339" s="43"/>
      <c r="Z339" s="40">
        <f t="shared" si="29"/>
        <v>0</v>
      </c>
      <c r="AA339" s="50" t="e">
        <f>-PMT(Assumptions!G$25/12,Assumptions!G$24*12,$Z$8)*$C339/100</f>
        <v>#NUM!</v>
      </c>
      <c r="AB339" s="44" t="e">
        <f>AA339*Assumptions!$G$24*12-Z339</f>
        <v>#NUM!</v>
      </c>
      <c r="AD339" s="54">
        <f t="shared" si="48"/>
        <v>0</v>
      </c>
      <c r="AE339" s="54">
        <f t="shared" si="49"/>
        <v>0</v>
      </c>
      <c r="AF339" s="54">
        <f t="shared" si="50"/>
        <v>2270</v>
      </c>
      <c r="AG339" s="54">
        <f t="shared" si="51"/>
        <v>11350</v>
      </c>
      <c r="AH339" s="54">
        <f t="shared" si="52"/>
        <v>0</v>
      </c>
      <c r="AI339" s="54">
        <f t="shared" si="53"/>
        <v>0</v>
      </c>
    </row>
    <row r="340" spans="1:35" ht="15" x14ac:dyDescent="0.2">
      <c r="A340" s="56" t="s">
        <v>435</v>
      </c>
      <c r="B340" s="32"/>
      <c r="C340" s="56">
        <v>0.23599999999999999</v>
      </c>
      <c r="D340" s="56">
        <v>370.54</v>
      </c>
      <c r="E340" s="36"/>
      <c r="F340" s="40">
        <f t="shared" si="24"/>
        <v>0</v>
      </c>
      <c r="G340" s="40" t="e">
        <f>-PMT(Assumptions!B$25/12,Assumptions!B$24*12,F$8)*C340/100</f>
        <v>#NUM!</v>
      </c>
      <c r="H340" s="40" t="e">
        <f>G340*Assumptions!$B$24*12-F340</f>
        <v>#NUM!</v>
      </c>
      <c r="I340" s="48"/>
      <c r="J340" s="40">
        <f t="shared" si="25"/>
        <v>0</v>
      </c>
      <c r="K340" s="40" t="e">
        <f>-PMT(Assumptions!C$25/12,Assumptions!C$24*12,J$8)*C340/100</f>
        <v>#NUM!</v>
      </c>
      <c r="L340" s="40" t="e">
        <f>K340*Assumptions!$C$24*12-J340</f>
        <v>#NUM!</v>
      </c>
      <c r="M340" s="43"/>
      <c r="N340" s="40">
        <f t="shared" si="26"/>
        <v>2360</v>
      </c>
      <c r="O340" s="50">
        <f>-PMT(Assumptions!D$25/12,Assumptions!D$24*12,N$8)*C340/100</f>
        <v>25.031461596421753</v>
      </c>
      <c r="P340" s="44">
        <f>O340*Assumptions!$D$24*12-N340</f>
        <v>643.77539157061028</v>
      </c>
      <c r="Q340" s="48"/>
      <c r="R340" s="40">
        <f t="shared" si="27"/>
        <v>11800</v>
      </c>
      <c r="S340" s="40">
        <f>-PMT(Assumptions!E$25/12,Assumptions!E$24*12,$R$8)*$C340/100</f>
        <v>125.15730798210878</v>
      </c>
      <c r="T340" s="40">
        <f>S340*Assumptions!$E$24*12-R340</f>
        <v>3218.8769578530519</v>
      </c>
      <c r="U340" s="48"/>
      <c r="V340" s="40">
        <f t="shared" si="28"/>
        <v>0</v>
      </c>
      <c r="W340" s="40" t="e">
        <f>-PMT(Assumptions!F$25/12,Assumptions!F$24*12,$V$8)*$C340/100</f>
        <v>#NUM!</v>
      </c>
      <c r="X340" s="40" t="e">
        <f>W340*Assumptions!$F$24*12-V340</f>
        <v>#NUM!</v>
      </c>
      <c r="Y340" s="43"/>
      <c r="Z340" s="40">
        <f t="shared" si="29"/>
        <v>0</v>
      </c>
      <c r="AA340" s="50" t="e">
        <f>-PMT(Assumptions!G$25/12,Assumptions!G$24*12,$Z$8)*$C340/100</f>
        <v>#NUM!</v>
      </c>
      <c r="AB340" s="44" t="e">
        <f>AA340*Assumptions!$G$24*12-Z340</f>
        <v>#NUM!</v>
      </c>
      <c r="AD340" s="54">
        <f t="shared" si="48"/>
        <v>0</v>
      </c>
      <c r="AE340" s="54">
        <f t="shared" si="49"/>
        <v>0</v>
      </c>
      <c r="AF340" s="54">
        <f t="shared" si="50"/>
        <v>2360</v>
      </c>
      <c r="AG340" s="54">
        <f t="shared" si="51"/>
        <v>11800</v>
      </c>
      <c r="AH340" s="54">
        <f t="shared" si="52"/>
        <v>0</v>
      </c>
      <c r="AI340" s="54">
        <f t="shared" si="53"/>
        <v>0</v>
      </c>
    </row>
    <row r="341" spans="1:35" ht="15" x14ac:dyDescent="0.2">
      <c r="A341" s="56" t="s">
        <v>436</v>
      </c>
      <c r="B341" s="32"/>
      <c r="C341" s="56">
        <v>0.19800000000000001</v>
      </c>
      <c r="D341" s="56">
        <v>310.88</v>
      </c>
      <c r="E341" s="36"/>
      <c r="F341" s="40">
        <f t="shared" si="24"/>
        <v>0</v>
      </c>
      <c r="G341" s="40" t="e">
        <f>-PMT(Assumptions!B$25/12,Assumptions!B$24*12,F$8)*C341/100</f>
        <v>#NUM!</v>
      </c>
      <c r="H341" s="40" t="e">
        <f>G341*Assumptions!$B$24*12-F341</f>
        <v>#NUM!</v>
      </c>
      <c r="I341" s="48"/>
      <c r="J341" s="40">
        <f t="shared" si="25"/>
        <v>0</v>
      </c>
      <c r="K341" s="40" t="e">
        <f>-PMT(Assumptions!C$25/12,Assumptions!C$24*12,J$8)*C341/100</f>
        <v>#NUM!</v>
      </c>
      <c r="L341" s="40" t="e">
        <f>K341*Assumptions!$C$24*12-J341</f>
        <v>#NUM!</v>
      </c>
      <c r="M341" s="43"/>
      <c r="N341" s="40">
        <f t="shared" si="26"/>
        <v>1980</v>
      </c>
      <c r="O341" s="50">
        <f>-PMT(Assumptions!D$25/12,Assumptions!D$24*12,N$8)*C341/100</f>
        <v>21.000972017336899</v>
      </c>
      <c r="P341" s="44">
        <f>O341*Assumptions!$D$24*12-N341</f>
        <v>540.11664208042748</v>
      </c>
      <c r="Q341" s="48"/>
      <c r="R341" s="40">
        <f t="shared" si="27"/>
        <v>9900</v>
      </c>
      <c r="S341" s="40">
        <f>-PMT(Assumptions!E$25/12,Assumptions!E$24*12,$R$8)*$C341/100</f>
        <v>105.00486008668449</v>
      </c>
      <c r="T341" s="40">
        <f>S341*Assumptions!$E$24*12-R341</f>
        <v>2700.5832104021392</v>
      </c>
      <c r="U341" s="48"/>
      <c r="V341" s="40">
        <f t="shared" si="28"/>
        <v>0</v>
      </c>
      <c r="W341" s="40" t="e">
        <f>-PMT(Assumptions!F$25/12,Assumptions!F$24*12,$V$8)*$C341/100</f>
        <v>#NUM!</v>
      </c>
      <c r="X341" s="40" t="e">
        <f>W341*Assumptions!$F$24*12-V341</f>
        <v>#NUM!</v>
      </c>
      <c r="Y341" s="43"/>
      <c r="Z341" s="40">
        <f t="shared" si="29"/>
        <v>0</v>
      </c>
      <c r="AA341" s="50" t="e">
        <f>-PMT(Assumptions!G$25/12,Assumptions!G$24*12,$Z$8)*$C341/100</f>
        <v>#NUM!</v>
      </c>
      <c r="AB341" s="44" t="e">
        <f>AA341*Assumptions!$G$24*12-Z341</f>
        <v>#NUM!</v>
      </c>
      <c r="AD341" s="54">
        <f t="shared" si="48"/>
        <v>0</v>
      </c>
      <c r="AE341" s="54">
        <f t="shared" si="49"/>
        <v>0</v>
      </c>
      <c r="AF341" s="54">
        <f t="shared" si="50"/>
        <v>1980</v>
      </c>
      <c r="AG341" s="54">
        <f t="shared" si="51"/>
        <v>9900</v>
      </c>
      <c r="AH341" s="54">
        <f t="shared" si="52"/>
        <v>0</v>
      </c>
      <c r="AI341" s="54">
        <f t="shared" si="53"/>
        <v>0</v>
      </c>
    </row>
    <row r="342" spans="1:35" ht="15" x14ac:dyDescent="0.2">
      <c r="A342" s="56" t="s">
        <v>437</v>
      </c>
      <c r="B342" s="32"/>
      <c r="C342" s="56">
        <v>0.19800000000000001</v>
      </c>
      <c r="D342" s="56">
        <v>310.88</v>
      </c>
      <c r="E342" s="36"/>
      <c r="F342" s="40">
        <f t="shared" si="24"/>
        <v>0</v>
      </c>
      <c r="G342" s="40" t="e">
        <f>-PMT(Assumptions!B$25/12,Assumptions!B$24*12,F$8)*C342/100</f>
        <v>#NUM!</v>
      </c>
      <c r="H342" s="40" t="e">
        <f>G342*Assumptions!$B$24*12-F342</f>
        <v>#NUM!</v>
      </c>
      <c r="I342" s="48"/>
      <c r="J342" s="40">
        <f t="shared" si="25"/>
        <v>0</v>
      </c>
      <c r="K342" s="40" t="e">
        <f>-PMT(Assumptions!C$25/12,Assumptions!C$24*12,J$8)*C342/100</f>
        <v>#NUM!</v>
      </c>
      <c r="L342" s="40" t="e">
        <f>K342*Assumptions!$C$24*12-J342</f>
        <v>#NUM!</v>
      </c>
      <c r="M342" s="43"/>
      <c r="N342" s="40">
        <f t="shared" si="26"/>
        <v>1980</v>
      </c>
      <c r="O342" s="50">
        <f>-PMT(Assumptions!D$25/12,Assumptions!D$24*12,N$8)*C342/100</f>
        <v>21.000972017336899</v>
      </c>
      <c r="P342" s="44">
        <f>O342*Assumptions!$D$24*12-N342</f>
        <v>540.11664208042748</v>
      </c>
      <c r="Q342" s="48"/>
      <c r="R342" s="40">
        <f t="shared" si="27"/>
        <v>9900</v>
      </c>
      <c r="S342" s="40">
        <f>-PMT(Assumptions!E$25/12,Assumptions!E$24*12,$R$8)*$C342/100</f>
        <v>105.00486008668449</v>
      </c>
      <c r="T342" s="40">
        <f>S342*Assumptions!$E$24*12-R342</f>
        <v>2700.5832104021392</v>
      </c>
      <c r="U342" s="48"/>
      <c r="V342" s="40">
        <f t="shared" si="28"/>
        <v>0</v>
      </c>
      <c r="W342" s="40" t="e">
        <f>-PMT(Assumptions!F$25/12,Assumptions!F$24*12,$V$8)*$C342/100</f>
        <v>#NUM!</v>
      </c>
      <c r="X342" s="40" t="e">
        <f>W342*Assumptions!$F$24*12-V342</f>
        <v>#NUM!</v>
      </c>
      <c r="Y342" s="43"/>
      <c r="Z342" s="40">
        <f t="shared" si="29"/>
        <v>0</v>
      </c>
      <c r="AA342" s="50" t="e">
        <f>-PMT(Assumptions!G$25/12,Assumptions!G$24*12,$Z$8)*$C342/100</f>
        <v>#NUM!</v>
      </c>
      <c r="AB342" s="44" t="e">
        <f>AA342*Assumptions!$G$24*12-Z342</f>
        <v>#NUM!</v>
      </c>
      <c r="AD342" s="54">
        <f t="shared" si="48"/>
        <v>0</v>
      </c>
      <c r="AE342" s="54">
        <f t="shared" si="49"/>
        <v>0</v>
      </c>
      <c r="AF342" s="54">
        <f t="shared" si="50"/>
        <v>1980</v>
      </c>
      <c r="AG342" s="54">
        <f t="shared" si="51"/>
        <v>9900</v>
      </c>
      <c r="AH342" s="54">
        <f t="shared" si="52"/>
        <v>0</v>
      </c>
      <c r="AI342" s="54">
        <f t="shared" si="53"/>
        <v>0</v>
      </c>
    </row>
    <row r="343" spans="1:35" ht="15" x14ac:dyDescent="0.2">
      <c r="A343" s="56" t="s">
        <v>438</v>
      </c>
      <c r="B343" s="32"/>
      <c r="C343" s="56">
        <v>0.14299999999999999</v>
      </c>
      <c r="D343" s="56">
        <v>224.52</v>
      </c>
      <c r="E343" s="36"/>
      <c r="F343" s="40">
        <f t="shared" si="24"/>
        <v>0</v>
      </c>
      <c r="G343" s="40" t="e">
        <f>-PMT(Assumptions!B$25/12,Assumptions!B$24*12,F$8)*C343/100</f>
        <v>#NUM!</v>
      </c>
      <c r="H343" s="40" t="e">
        <f>G343*Assumptions!$B$24*12-F343</f>
        <v>#NUM!</v>
      </c>
      <c r="I343" s="48"/>
      <c r="J343" s="40">
        <f t="shared" si="25"/>
        <v>0</v>
      </c>
      <c r="K343" s="40" t="e">
        <f>-PMT(Assumptions!C$25/12,Assumptions!C$24*12,J$8)*C343/100</f>
        <v>#NUM!</v>
      </c>
      <c r="L343" s="40" t="e">
        <f>K343*Assumptions!$C$24*12-J343</f>
        <v>#NUM!</v>
      </c>
      <c r="M343" s="43"/>
      <c r="N343" s="40">
        <f t="shared" si="26"/>
        <v>1430</v>
      </c>
      <c r="O343" s="50">
        <f>-PMT(Assumptions!D$25/12,Assumptions!D$24*12,N$8)*C343/100</f>
        <v>15.167368679187756</v>
      </c>
      <c r="P343" s="44">
        <f>O343*Assumptions!$D$24*12-N343</f>
        <v>390.08424150253086</v>
      </c>
      <c r="Q343" s="48"/>
      <c r="R343" s="40">
        <f t="shared" si="27"/>
        <v>7149.9999999999991</v>
      </c>
      <c r="S343" s="40">
        <f>-PMT(Assumptions!E$25/12,Assumptions!E$24*12,$R$8)*$C343/100</f>
        <v>75.836843395938786</v>
      </c>
      <c r="T343" s="40">
        <f>S343*Assumptions!$E$24*12-R343</f>
        <v>1950.4212075126552</v>
      </c>
      <c r="U343" s="48"/>
      <c r="V343" s="40">
        <f t="shared" si="28"/>
        <v>0</v>
      </c>
      <c r="W343" s="40" t="e">
        <f>-PMT(Assumptions!F$25/12,Assumptions!F$24*12,$V$8)*$C343/100</f>
        <v>#NUM!</v>
      </c>
      <c r="X343" s="40" t="e">
        <f>W343*Assumptions!$F$24*12-V343</f>
        <v>#NUM!</v>
      </c>
      <c r="Y343" s="43"/>
      <c r="Z343" s="40">
        <f t="shared" si="29"/>
        <v>0</v>
      </c>
      <c r="AA343" s="50" t="e">
        <f>-PMT(Assumptions!G$25/12,Assumptions!G$24*12,$Z$8)*$C343/100</f>
        <v>#NUM!</v>
      </c>
      <c r="AB343" s="44" t="e">
        <f>AA343*Assumptions!$G$24*12-Z343</f>
        <v>#NUM!</v>
      </c>
      <c r="AD343" s="54">
        <f t="shared" si="48"/>
        <v>0</v>
      </c>
      <c r="AE343" s="54">
        <f t="shared" si="49"/>
        <v>0</v>
      </c>
      <c r="AF343" s="54">
        <f t="shared" si="50"/>
        <v>1430</v>
      </c>
      <c r="AG343" s="54">
        <f t="shared" si="51"/>
        <v>7149.9999999999991</v>
      </c>
      <c r="AH343" s="54">
        <f t="shared" si="52"/>
        <v>0</v>
      </c>
      <c r="AI343" s="54">
        <f t="shared" si="53"/>
        <v>0</v>
      </c>
    </row>
    <row r="344" spans="1:35" ht="15" x14ac:dyDescent="0.2">
      <c r="A344" s="56" t="s">
        <v>439</v>
      </c>
      <c r="B344" s="32"/>
      <c r="C344" s="56">
        <v>0.152</v>
      </c>
      <c r="D344" s="56">
        <v>238.66</v>
      </c>
      <c r="E344" s="36"/>
      <c r="F344" s="40">
        <f t="shared" si="24"/>
        <v>0</v>
      </c>
      <c r="G344" s="40" t="e">
        <f>-PMT(Assumptions!B$25/12,Assumptions!B$24*12,F$8)*C344/100</f>
        <v>#NUM!</v>
      </c>
      <c r="H344" s="40" t="e">
        <f>G344*Assumptions!$B$24*12-F344</f>
        <v>#NUM!</v>
      </c>
      <c r="I344" s="48"/>
      <c r="J344" s="40">
        <f t="shared" si="25"/>
        <v>0</v>
      </c>
      <c r="K344" s="40" t="e">
        <f>-PMT(Assumptions!C$25/12,Assumptions!C$24*12,J$8)*C344/100</f>
        <v>#NUM!</v>
      </c>
      <c r="L344" s="40" t="e">
        <f>K344*Assumptions!$C$24*12-J344</f>
        <v>#NUM!</v>
      </c>
      <c r="M344" s="43"/>
      <c r="N344" s="40">
        <f t="shared" si="26"/>
        <v>1520</v>
      </c>
      <c r="O344" s="50">
        <f>-PMT(Assumptions!D$25/12,Assumptions!D$24*12,N$8)*C344/100</f>
        <v>16.121958316339434</v>
      </c>
      <c r="P344" s="44">
        <f>O344*Assumptions!$D$24*12-N344</f>
        <v>414.63499796073211</v>
      </c>
      <c r="Q344" s="48"/>
      <c r="R344" s="40">
        <f t="shared" si="27"/>
        <v>7600</v>
      </c>
      <c r="S344" s="40">
        <f>-PMT(Assumptions!E$25/12,Assumptions!E$24*12,$R$8)*$C344/100</f>
        <v>80.609791581697166</v>
      </c>
      <c r="T344" s="40">
        <f>S344*Assumptions!$E$24*12-R344</f>
        <v>2073.1749898036596</v>
      </c>
      <c r="U344" s="48"/>
      <c r="V344" s="40">
        <f t="shared" si="28"/>
        <v>0</v>
      </c>
      <c r="W344" s="40" t="e">
        <f>-PMT(Assumptions!F$25/12,Assumptions!F$24*12,$V$8)*$C344/100</f>
        <v>#NUM!</v>
      </c>
      <c r="X344" s="40" t="e">
        <f>W344*Assumptions!$F$24*12-V344</f>
        <v>#NUM!</v>
      </c>
      <c r="Y344" s="43"/>
      <c r="Z344" s="40">
        <f t="shared" si="29"/>
        <v>0</v>
      </c>
      <c r="AA344" s="50" t="e">
        <f>-PMT(Assumptions!G$25/12,Assumptions!G$24*12,$Z$8)*$C344/100</f>
        <v>#NUM!</v>
      </c>
      <c r="AB344" s="44" t="e">
        <f>AA344*Assumptions!$G$24*12-Z344</f>
        <v>#NUM!</v>
      </c>
      <c r="AD344" s="54">
        <f t="shared" si="48"/>
        <v>0</v>
      </c>
      <c r="AE344" s="54">
        <f t="shared" si="49"/>
        <v>0</v>
      </c>
      <c r="AF344" s="54">
        <f t="shared" si="50"/>
        <v>1520</v>
      </c>
      <c r="AG344" s="54">
        <f t="shared" si="51"/>
        <v>7600</v>
      </c>
      <c r="AH344" s="54">
        <f t="shared" si="52"/>
        <v>0</v>
      </c>
      <c r="AI344" s="54">
        <f t="shared" si="53"/>
        <v>0</v>
      </c>
    </row>
    <row r="345" spans="1:35" ht="15" x14ac:dyDescent="0.2">
      <c r="A345" s="56" t="s">
        <v>440</v>
      </c>
      <c r="B345" s="32"/>
      <c r="C345" s="56">
        <v>0.14299999999999999</v>
      </c>
      <c r="D345" s="56">
        <v>224.52</v>
      </c>
      <c r="E345" s="36"/>
      <c r="F345" s="40">
        <f t="shared" si="24"/>
        <v>0</v>
      </c>
      <c r="G345" s="40" t="e">
        <f>-PMT(Assumptions!B$25/12,Assumptions!B$24*12,F$8)*C345/100</f>
        <v>#NUM!</v>
      </c>
      <c r="H345" s="40" t="e">
        <f>G345*Assumptions!$B$24*12-F345</f>
        <v>#NUM!</v>
      </c>
      <c r="I345" s="48"/>
      <c r="J345" s="40">
        <f t="shared" si="25"/>
        <v>0</v>
      </c>
      <c r="K345" s="40" t="e">
        <f>-PMT(Assumptions!C$25/12,Assumptions!C$24*12,J$8)*C345/100</f>
        <v>#NUM!</v>
      </c>
      <c r="L345" s="40" t="e">
        <f>K345*Assumptions!$C$24*12-J345</f>
        <v>#NUM!</v>
      </c>
      <c r="M345" s="43"/>
      <c r="N345" s="40">
        <f t="shared" si="26"/>
        <v>1430</v>
      </c>
      <c r="O345" s="50">
        <f>-PMT(Assumptions!D$25/12,Assumptions!D$24*12,N$8)*C345/100</f>
        <v>15.167368679187756</v>
      </c>
      <c r="P345" s="44">
        <f>O345*Assumptions!$D$24*12-N345</f>
        <v>390.08424150253086</v>
      </c>
      <c r="Q345" s="48"/>
      <c r="R345" s="40">
        <f t="shared" si="27"/>
        <v>7149.9999999999991</v>
      </c>
      <c r="S345" s="40">
        <f>-PMT(Assumptions!E$25/12,Assumptions!E$24*12,$R$8)*$C345/100</f>
        <v>75.836843395938786</v>
      </c>
      <c r="T345" s="40">
        <f>S345*Assumptions!$E$24*12-R345</f>
        <v>1950.4212075126552</v>
      </c>
      <c r="U345" s="48"/>
      <c r="V345" s="40">
        <f t="shared" si="28"/>
        <v>0</v>
      </c>
      <c r="W345" s="40" t="e">
        <f>-PMT(Assumptions!F$25/12,Assumptions!F$24*12,$V$8)*$C345/100</f>
        <v>#NUM!</v>
      </c>
      <c r="X345" s="40" t="e">
        <f>W345*Assumptions!$F$24*12-V345</f>
        <v>#NUM!</v>
      </c>
      <c r="Y345" s="43"/>
      <c r="Z345" s="40">
        <f t="shared" si="29"/>
        <v>0</v>
      </c>
      <c r="AA345" s="50" t="e">
        <f>-PMT(Assumptions!G$25/12,Assumptions!G$24*12,$Z$8)*$C345/100</f>
        <v>#NUM!</v>
      </c>
      <c r="AB345" s="44" t="e">
        <f>AA345*Assumptions!$G$24*12-Z345</f>
        <v>#NUM!</v>
      </c>
      <c r="AD345" s="54">
        <f t="shared" si="48"/>
        <v>0</v>
      </c>
      <c r="AE345" s="54">
        <f t="shared" si="49"/>
        <v>0</v>
      </c>
      <c r="AF345" s="54">
        <f t="shared" si="50"/>
        <v>1430</v>
      </c>
      <c r="AG345" s="54">
        <f t="shared" si="51"/>
        <v>7149.9999999999991</v>
      </c>
      <c r="AH345" s="54">
        <f t="shared" si="52"/>
        <v>0</v>
      </c>
      <c r="AI345" s="54">
        <f t="shared" si="53"/>
        <v>0</v>
      </c>
    </row>
    <row r="346" spans="1:35" ht="15" x14ac:dyDescent="0.2">
      <c r="A346" s="56" t="s">
        <v>441</v>
      </c>
      <c r="B346" s="32"/>
      <c r="C346" s="56">
        <v>0.152</v>
      </c>
      <c r="D346" s="56">
        <v>238.66</v>
      </c>
      <c r="E346" s="36"/>
      <c r="F346" s="40">
        <f t="shared" si="24"/>
        <v>0</v>
      </c>
      <c r="G346" s="40" t="e">
        <f>-PMT(Assumptions!B$25/12,Assumptions!B$24*12,F$8)*C346/100</f>
        <v>#NUM!</v>
      </c>
      <c r="H346" s="40" t="e">
        <f>G346*Assumptions!$B$24*12-F346</f>
        <v>#NUM!</v>
      </c>
      <c r="I346" s="48"/>
      <c r="J346" s="40">
        <f t="shared" si="25"/>
        <v>0</v>
      </c>
      <c r="K346" s="40" t="e">
        <f>-PMT(Assumptions!C$25/12,Assumptions!C$24*12,J$8)*C346/100</f>
        <v>#NUM!</v>
      </c>
      <c r="L346" s="40" t="e">
        <f>K346*Assumptions!$C$24*12-J346</f>
        <v>#NUM!</v>
      </c>
      <c r="M346" s="43"/>
      <c r="N346" s="40">
        <f t="shared" si="26"/>
        <v>1520</v>
      </c>
      <c r="O346" s="50">
        <f>-PMT(Assumptions!D$25/12,Assumptions!D$24*12,N$8)*C346/100</f>
        <v>16.121958316339434</v>
      </c>
      <c r="P346" s="44">
        <f>O346*Assumptions!$D$24*12-N346</f>
        <v>414.63499796073211</v>
      </c>
      <c r="Q346" s="48"/>
      <c r="R346" s="40">
        <f t="shared" si="27"/>
        <v>7600</v>
      </c>
      <c r="S346" s="40">
        <f>-PMT(Assumptions!E$25/12,Assumptions!E$24*12,$R$8)*$C346/100</f>
        <v>80.609791581697166</v>
      </c>
      <c r="T346" s="40">
        <f>S346*Assumptions!$E$24*12-R346</f>
        <v>2073.1749898036596</v>
      </c>
      <c r="U346" s="48"/>
      <c r="V346" s="40">
        <f t="shared" si="28"/>
        <v>0</v>
      </c>
      <c r="W346" s="40" t="e">
        <f>-PMT(Assumptions!F$25/12,Assumptions!F$24*12,$V$8)*$C346/100</f>
        <v>#NUM!</v>
      </c>
      <c r="X346" s="40" t="e">
        <f>W346*Assumptions!$F$24*12-V346</f>
        <v>#NUM!</v>
      </c>
      <c r="Y346" s="43"/>
      <c r="Z346" s="40">
        <f t="shared" si="29"/>
        <v>0</v>
      </c>
      <c r="AA346" s="50" t="e">
        <f>-PMT(Assumptions!G$25/12,Assumptions!G$24*12,$Z$8)*$C346/100</f>
        <v>#NUM!</v>
      </c>
      <c r="AB346" s="44" t="e">
        <f>AA346*Assumptions!$G$24*12-Z346</f>
        <v>#NUM!</v>
      </c>
      <c r="AD346" s="54">
        <f t="shared" ref="AD346:AD409" si="54">+F346</f>
        <v>0</v>
      </c>
      <c r="AE346" s="54">
        <f t="shared" ref="AE346:AE409" si="55">+J346</f>
        <v>0</v>
      </c>
      <c r="AF346" s="54">
        <f t="shared" ref="AF346:AF409" si="56">+N346</f>
        <v>1520</v>
      </c>
      <c r="AG346" s="54">
        <f t="shared" ref="AG346:AG409" si="57">+R346</f>
        <v>7600</v>
      </c>
      <c r="AH346" s="54">
        <f t="shared" ref="AH346:AH409" si="58">+V346</f>
        <v>0</v>
      </c>
      <c r="AI346" s="54">
        <f t="shared" ref="AI346:AI409" si="59">+Z346</f>
        <v>0</v>
      </c>
    </row>
    <row r="347" spans="1:35" ht="15" x14ac:dyDescent="0.2">
      <c r="A347" s="56" t="s">
        <v>442</v>
      </c>
      <c r="B347" s="32"/>
      <c r="C347" s="56">
        <v>0.215</v>
      </c>
      <c r="D347" s="56">
        <v>337.57</v>
      </c>
      <c r="E347" s="36"/>
      <c r="F347" s="40">
        <f t="shared" si="24"/>
        <v>0</v>
      </c>
      <c r="G347" s="40" t="e">
        <f>-PMT(Assumptions!B$25/12,Assumptions!B$24*12,F$8)*C347/100</f>
        <v>#NUM!</v>
      </c>
      <c r="H347" s="40" t="e">
        <f>G347*Assumptions!$B$24*12-F347</f>
        <v>#NUM!</v>
      </c>
      <c r="I347" s="48"/>
      <c r="J347" s="40">
        <f t="shared" si="25"/>
        <v>0</v>
      </c>
      <c r="K347" s="40" t="e">
        <f>-PMT(Assumptions!C$25/12,Assumptions!C$24*12,J$8)*C347/100</f>
        <v>#NUM!</v>
      </c>
      <c r="L347" s="40" t="e">
        <f>K347*Assumptions!$C$24*12-J347</f>
        <v>#NUM!</v>
      </c>
      <c r="M347" s="43"/>
      <c r="N347" s="40">
        <f t="shared" si="26"/>
        <v>2150</v>
      </c>
      <c r="O347" s="50">
        <f>-PMT(Assumptions!D$25/12,Assumptions!D$24*12,N$8)*C347/100</f>
        <v>22.804085776401177</v>
      </c>
      <c r="P347" s="44">
        <f>O347*Assumptions!$D$24*12-N347</f>
        <v>586.49029316814131</v>
      </c>
      <c r="Q347" s="48"/>
      <c r="R347" s="40">
        <f t="shared" si="27"/>
        <v>10750</v>
      </c>
      <c r="S347" s="40">
        <f>-PMT(Assumptions!E$25/12,Assumptions!E$24*12,$R$8)*$C347/100</f>
        <v>114.02042888200587</v>
      </c>
      <c r="T347" s="40">
        <f>S347*Assumptions!$E$24*12-R347</f>
        <v>2932.4514658407061</v>
      </c>
      <c r="U347" s="48"/>
      <c r="V347" s="40">
        <f t="shared" si="28"/>
        <v>0</v>
      </c>
      <c r="W347" s="40" t="e">
        <f>-PMT(Assumptions!F$25/12,Assumptions!F$24*12,$V$8)*$C347/100</f>
        <v>#NUM!</v>
      </c>
      <c r="X347" s="40" t="e">
        <f>W347*Assumptions!$F$24*12-V347</f>
        <v>#NUM!</v>
      </c>
      <c r="Y347" s="43"/>
      <c r="Z347" s="40">
        <f t="shared" si="29"/>
        <v>0</v>
      </c>
      <c r="AA347" s="50" t="e">
        <f>-PMT(Assumptions!G$25/12,Assumptions!G$24*12,$Z$8)*$C347/100</f>
        <v>#NUM!</v>
      </c>
      <c r="AB347" s="44" t="e">
        <f>AA347*Assumptions!$G$24*12-Z347</f>
        <v>#NUM!</v>
      </c>
      <c r="AD347" s="54">
        <f t="shared" si="54"/>
        <v>0</v>
      </c>
      <c r="AE347" s="54">
        <f t="shared" si="55"/>
        <v>0</v>
      </c>
      <c r="AF347" s="54">
        <f t="shared" si="56"/>
        <v>2150</v>
      </c>
      <c r="AG347" s="54">
        <f t="shared" si="57"/>
        <v>10750</v>
      </c>
      <c r="AH347" s="54">
        <f t="shared" si="58"/>
        <v>0</v>
      </c>
      <c r="AI347" s="54">
        <f t="shared" si="59"/>
        <v>0</v>
      </c>
    </row>
    <row r="348" spans="1:35" ht="15" x14ac:dyDescent="0.2">
      <c r="A348" s="56" t="s">
        <v>443</v>
      </c>
      <c r="B348" s="32"/>
      <c r="C348" s="56">
        <v>0.19800000000000001</v>
      </c>
      <c r="D348" s="56">
        <v>310.88</v>
      </c>
      <c r="E348" s="36"/>
      <c r="F348" s="40">
        <f t="shared" si="24"/>
        <v>0</v>
      </c>
      <c r="G348" s="40" t="e">
        <f>-PMT(Assumptions!B$25/12,Assumptions!B$24*12,F$8)*C348/100</f>
        <v>#NUM!</v>
      </c>
      <c r="H348" s="40" t="e">
        <f>G348*Assumptions!$B$24*12-F348</f>
        <v>#NUM!</v>
      </c>
      <c r="I348" s="48"/>
      <c r="J348" s="40">
        <f t="shared" si="25"/>
        <v>0</v>
      </c>
      <c r="K348" s="40" t="e">
        <f>-PMT(Assumptions!C$25/12,Assumptions!C$24*12,J$8)*C348/100</f>
        <v>#NUM!</v>
      </c>
      <c r="L348" s="40" t="e">
        <f>K348*Assumptions!$C$24*12-J348</f>
        <v>#NUM!</v>
      </c>
      <c r="M348" s="43"/>
      <c r="N348" s="40">
        <f t="shared" si="26"/>
        <v>1980</v>
      </c>
      <c r="O348" s="50">
        <f>-PMT(Assumptions!D$25/12,Assumptions!D$24*12,N$8)*C348/100</f>
        <v>21.000972017336899</v>
      </c>
      <c r="P348" s="44">
        <f>O348*Assumptions!$D$24*12-N348</f>
        <v>540.11664208042748</v>
      </c>
      <c r="Q348" s="48"/>
      <c r="R348" s="40">
        <f t="shared" si="27"/>
        <v>9900</v>
      </c>
      <c r="S348" s="40">
        <f>-PMT(Assumptions!E$25/12,Assumptions!E$24*12,$R$8)*$C348/100</f>
        <v>105.00486008668449</v>
      </c>
      <c r="T348" s="40">
        <f>S348*Assumptions!$E$24*12-R348</f>
        <v>2700.5832104021392</v>
      </c>
      <c r="U348" s="48"/>
      <c r="V348" s="40">
        <f t="shared" si="28"/>
        <v>0</v>
      </c>
      <c r="W348" s="40" t="e">
        <f>-PMT(Assumptions!F$25/12,Assumptions!F$24*12,$V$8)*$C348/100</f>
        <v>#NUM!</v>
      </c>
      <c r="X348" s="40" t="e">
        <f>W348*Assumptions!$F$24*12-V348</f>
        <v>#NUM!</v>
      </c>
      <c r="Y348" s="43"/>
      <c r="Z348" s="40">
        <f t="shared" si="29"/>
        <v>0</v>
      </c>
      <c r="AA348" s="50" t="e">
        <f>-PMT(Assumptions!G$25/12,Assumptions!G$24*12,$Z$8)*$C348/100</f>
        <v>#NUM!</v>
      </c>
      <c r="AB348" s="44" t="e">
        <f>AA348*Assumptions!$G$24*12-Z348</f>
        <v>#NUM!</v>
      </c>
      <c r="AD348" s="54">
        <f t="shared" si="54"/>
        <v>0</v>
      </c>
      <c r="AE348" s="54">
        <f t="shared" si="55"/>
        <v>0</v>
      </c>
      <c r="AF348" s="54">
        <f t="shared" si="56"/>
        <v>1980</v>
      </c>
      <c r="AG348" s="54">
        <f t="shared" si="57"/>
        <v>9900</v>
      </c>
      <c r="AH348" s="54">
        <f t="shared" si="58"/>
        <v>0</v>
      </c>
      <c r="AI348" s="54">
        <f t="shared" si="59"/>
        <v>0</v>
      </c>
    </row>
    <row r="349" spans="1:35" ht="15" x14ac:dyDescent="0.2">
      <c r="A349" s="56" t="s">
        <v>444</v>
      </c>
      <c r="B349" s="32"/>
      <c r="C349" s="56">
        <v>0.19800000000000001</v>
      </c>
      <c r="D349" s="56">
        <v>310.88</v>
      </c>
      <c r="E349" s="36"/>
      <c r="F349" s="40">
        <f t="shared" si="24"/>
        <v>0</v>
      </c>
      <c r="G349" s="40" t="e">
        <f>-PMT(Assumptions!B$25/12,Assumptions!B$24*12,F$8)*C349/100</f>
        <v>#NUM!</v>
      </c>
      <c r="H349" s="40" t="e">
        <f>G349*Assumptions!$B$24*12-F349</f>
        <v>#NUM!</v>
      </c>
      <c r="I349" s="48"/>
      <c r="J349" s="40">
        <f t="shared" si="25"/>
        <v>0</v>
      </c>
      <c r="K349" s="40" t="e">
        <f>-PMT(Assumptions!C$25/12,Assumptions!C$24*12,J$8)*C349/100</f>
        <v>#NUM!</v>
      </c>
      <c r="L349" s="40" t="e">
        <f>K349*Assumptions!$C$24*12-J349</f>
        <v>#NUM!</v>
      </c>
      <c r="M349" s="43"/>
      <c r="N349" s="40">
        <f t="shared" si="26"/>
        <v>1980</v>
      </c>
      <c r="O349" s="50">
        <f>-PMT(Assumptions!D$25/12,Assumptions!D$24*12,N$8)*C349/100</f>
        <v>21.000972017336899</v>
      </c>
      <c r="P349" s="44">
        <f>O349*Assumptions!$D$24*12-N349</f>
        <v>540.11664208042748</v>
      </c>
      <c r="Q349" s="48"/>
      <c r="R349" s="40">
        <f t="shared" si="27"/>
        <v>9900</v>
      </c>
      <c r="S349" s="40">
        <f>-PMT(Assumptions!E$25/12,Assumptions!E$24*12,$R$8)*$C349/100</f>
        <v>105.00486008668449</v>
      </c>
      <c r="T349" s="40">
        <f>S349*Assumptions!$E$24*12-R349</f>
        <v>2700.5832104021392</v>
      </c>
      <c r="U349" s="48"/>
      <c r="V349" s="40">
        <f t="shared" si="28"/>
        <v>0</v>
      </c>
      <c r="W349" s="40" t="e">
        <f>-PMT(Assumptions!F$25/12,Assumptions!F$24*12,$V$8)*$C349/100</f>
        <v>#NUM!</v>
      </c>
      <c r="X349" s="40" t="e">
        <f>W349*Assumptions!$F$24*12-V349</f>
        <v>#NUM!</v>
      </c>
      <c r="Y349" s="43"/>
      <c r="Z349" s="40">
        <f t="shared" si="29"/>
        <v>0</v>
      </c>
      <c r="AA349" s="50" t="e">
        <f>-PMT(Assumptions!G$25/12,Assumptions!G$24*12,$Z$8)*$C349/100</f>
        <v>#NUM!</v>
      </c>
      <c r="AB349" s="44" t="e">
        <f>AA349*Assumptions!$G$24*12-Z349</f>
        <v>#NUM!</v>
      </c>
      <c r="AD349" s="54">
        <f t="shared" si="54"/>
        <v>0</v>
      </c>
      <c r="AE349" s="54">
        <f t="shared" si="55"/>
        <v>0</v>
      </c>
      <c r="AF349" s="54">
        <f t="shared" si="56"/>
        <v>1980</v>
      </c>
      <c r="AG349" s="54">
        <f t="shared" si="57"/>
        <v>9900</v>
      </c>
      <c r="AH349" s="54">
        <f t="shared" si="58"/>
        <v>0</v>
      </c>
      <c r="AI349" s="54">
        <f t="shared" si="59"/>
        <v>0</v>
      </c>
    </row>
    <row r="350" spans="1:35" ht="15" x14ac:dyDescent="0.2">
      <c r="A350" s="56" t="s">
        <v>445</v>
      </c>
      <c r="B350" s="32"/>
      <c r="C350" s="56">
        <v>0.14299999999999999</v>
      </c>
      <c r="D350" s="56">
        <v>224.52</v>
      </c>
      <c r="E350" s="36"/>
      <c r="F350" s="40">
        <f t="shared" si="24"/>
        <v>0</v>
      </c>
      <c r="G350" s="40" t="e">
        <f>-PMT(Assumptions!B$25/12,Assumptions!B$24*12,F$8)*C350/100</f>
        <v>#NUM!</v>
      </c>
      <c r="H350" s="40" t="e">
        <f>G350*Assumptions!$B$24*12-F350</f>
        <v>#NUM!</v>
      </c>
      <c r="I350" s="48"/>
      <c r="J350" s="40">
        <f t="shared" si="25"/>
        <v>0</v>
      </c>
      <c r="K350" s="40" t="e">
        <f>-PMT(Assumptions!C$25/12,Assumptions!C$24*12,J$8)*C350/100</f>
        <v>#NUM!</v>
      </c>
      <c r="L350" s="40" t="e">
        <f>K350*Assumptions!$C$24*12-J350</f>
        <v>#NUM!</v>
      </c>
      <c r="M350" s="43"/>
      <c r="N350" s="40">
        <f t="shared" si="26"/>
        <v>1430</v>
      </c>
      <c r="O350" s="50">
        <f>-PMT(Assumptions!D$25/12,Assumptions!D$24*12,N$8)*C350/100</f>
        <v>15.167368679187756</v>
      </c>
      <c r="P350" s="44">
        <f>O350*Assumptions!$D$24*12-N350</f>
        <v>390.08424150253086</v>
      </c>
      <c r="Q350" s="48"/>
      <c r="R350" s="40">
        <f t="shared" si="27"/>
        <v>7149.9999999999991</v>
      </c>
      <c r="S350" s="40">
        <f>-PMT(Assumptions!E$25/12,Assumptions!E$24*12,$R$8)*$C350/100</f>
        <v>75.836843395938786</v>
      </c>
      <c r="T350" s="40">
        <f>S350*Assumptions!$E$24*12-R350</f>
        <v>1950.4212075126552</v>
      </c>
      <c r="U350" s="48"/>
      <c r="V350" s="40">
        <f t="shared" si="28"/>
        <v>0</v>
      </c>
      <c r="W350" s="40" t="e">
        <f>-PMT(Assumptions!F$25/12,Assumptions!F$24*12,$V$8)*$C350/100</f>
        <v>#NUM!</v>
      </c>
      <c r="X350" s="40" t="e">
        <f>W350*Assumptions!$F$24*12-V350</f>
        <v>#NUM!</v>
      </c>
      <c r="Y350" s="43"/>
      <c r="Z350" s="40">
        <f t="shared" si="29"/>
        <v>0</v>
      </c>
      <c r="AA350" s="50" t="e">
        <f>-PMT(Assumptions!G$25/12,Assumptions!G$24*12,$Z$8)*$C350/100</f>
        <v>#NUM!</v>
      </c>
      <c r="AB350" s="44" t="e">
        <f>AA350*Assumptions!$G$24*12-Z350</f>
        <v>#NUM!</v>
      </c>
      <c r="AD350" s="54">
        <f t="shared" si="54"/>
        <v>0</v>
      </c>
      <c r="AE350" s="54">
        <f t="shared" si="55"/>
        <v>0</v>
      </c>
      <c r="AF350" s="54">
        <f t="shared" si="56"/>
        <v>1430</v>
      </c>
      <c r="AG350" s="54">
        <f t="shared" si="57"/>
        <v>7149.9999999999991</v>
      </c>
      <c r="AH350" s="54">
        <f t="shared" si="58"/>
        <v>0</v>
      </c>
      <c r="AI350" s="54">
        <f t="shared" si="59"/>
        <v>0</v>
      </c>
    </row>
    <row r="351" spans="1:35" ht="15" x14ac:dyDescent="0.2">
      <c r="A351" s="56" t="s">
        <v>446</v>
      </c>
      <c r="B351" s="32"/>
      <c r="C351" s="56">
        <v>0.152</v>
      </c>
      <c r="D351" s="56">
        <v>238.66</v>
      </c>
      <c r="E351" s="36"/>
      <c r="F351" s="40">
        <f t="shared" si="24"/>
        <v>0</v>
      </c>
      <c r="G351" s="40" t="e">
        <f>-PMT(Assumptions!B$25/12,Assumptions!B$24*12,F$8)*C351/100</f>
        <v>#NUM!</v>
      </c>
      <c r="H351" s="40" t="e">
        <f>G351*Assumptions!$B$24*12-F351</f>
        <v>#NUM!</v>
      </c>
      <c r="I351" s="48"/>
      <c r="J351" s="40">
        <f t="shared" si="25"/>
        <v>0</v>
      </c>
      <c r="K351" s="40" t="e">
        <f>-PMT(Assumptions!C$25/12,Assumptions!C$24*12,J$8)*C351/100</f>
        <v>#NUM!</v>
      </c>
      <c r="L351" s="40" t="e">
        <f>K351*Assumptions!$C$24*12-J351</f>
        <v>#NUM!</v>
      </c>
      <c r="M351" s="43"/>
      <c r="N351" s="40">
        <f t="shared" si="26"/>
        <v>1520</v>
      </c>
      <c r="O351" s="50">
        <f>-PMT(Assumptions!D$25/12,Assumptions!D$24*12,N$8)*C351/100</f>
        <v>16.121958316339434</v>
      </c>
      <c r="P351" s="44">
        <f>O351*Assumptions!$D$24*12-N351</f>
        <v>414.63499796073211</v>
      </c>
      <c r="Q351" s="48"/>
      <c r="R351" s="40">
        <f t="shared" si="27"/>
        <v>7600</v>
      </c>
      <c r="S351" s="40">
        <f>-PMT(Assumptions!E$25/12,Assumptions!E$24*12,$R$8)*$C351/100</f>
        <v>80.609791581697166</v>
      </c>
      <c r="T351" s="40">
        <f>S351*Assumptions!$E$24*12-R351</f>
        <v>2073.1749898036596</v>
      </c>
      <c r="U351" s="48"/>
      <c r="V351" s="40">
        <f t="shared" si="28"/>
        <v>0</v>
      </c>
      <c r="W351" s="40" t="e">
        <f>-PMT(Assumptions!F$25/12,Assumptions!F$24*12,$V$8)*$C351/100</f>
        <v>#NUM!</v>
      </c>
      <c r="X351" s="40" t="e">
        <f>W351*Assumptions!$F$24*12-V351</f>
        <v>#NUM!</v>
      </c>
      <c r="Y351" s="43"/>
      <c r="Z351" s="40">
        <f t="shared" si="29"/>
        <v>0</v>
      </c>
      <c r="AA351" s="50" t="e">
        <f>-PMT(Assumptions!G$25/12,Assumptions!G$24*12,$Z$8)*$C351/100</f>
        <v>#NUM!</v>
      </c>
      <c r="AB351" s="44" t="e">
        <f>AA351*Assumptions!$G$24*12-Z351</f>
        <v>#NUM!</v>
      </c>
      <c r="AD351" s="54">
        <f t="shared" si="54"/>
        <v>0</v>
      </c>
      <c r="AE351" s="54">
        <f t="shared" si="55"/>
        <v>0</v>
      </c>
      <c r="AF351" s="54">
        <f t="shared" si="56"/>
        <v>1520</v>
      </c>
      <c r="AG351" s="54">
        <f t="shared" si="57"/>
        <v>7600</v>
      </c>
      <c r="AH351" s="54">
        <f t="shared" si="58"/>
        <v>0</v>
      </c>
      <c r="AI351" s="54">
        <f t="shared" si="59"/>
        <v>0</v>
      </c>
    </row>
    <row r="352" spans="1:35" ht="15" x14ac:dyDescent="0.2">
      <c r="A352" s="56" t="s">
        <v>447</v>
      </c>
      <c r="B352" s="32"/>
      <c r="C352" s="56">
        <v>0.14299999999999999</v>
      </c>
      <c r="D352" s="56">
        <v>224.52</v>
      </c>
      <c r="E352" s="36"/>
      <c r="F352" s="40">
        <f t="shared" si="24"/>
        <v>0</v>
      </c>
      <c r="G352" s="40" t="e">
        <f>-PMT(Assumptions!B$25/12,Assumptions!B$24*12,F$8)*C352/100</f>
        <v>#NUM!</v>
      </c>
      <c r="H352" s="40" t="e">
        <f>G352*Assumptions!$B$24*12-F352</f>
        <v>#NUM!</v>
      </c>
      <c r="I352" s="48"/>
      <c r="J352" s="40">
        <f t="shared" si="25"/>
        <v>0</v>
      </c>
      <c r="K352" s="40" t="e">
        <f>-PMT(Assumptions!C$25/12,Assumptions!C$24*12,J$8)*C352/100</f>
        <v>#NUM!</v>
      </c>
      <c r="L352" s="40" t="e">
        <f>K352*Assumptions!$C$24*12-J352</f>
        <v>#NUM!</v>
      </c>
      <c r="M352" s="43"/>
      <c r="N352" s="40">
        <f t="shared" si="26"/>
        <v>1430</v>
      </c>
      <c r="O352" s="50">
        <f>-PMT(Assumptions!D$25/12,Assumptions!D$24*12,N$8)*C352/100</f>
        <v>15.167368679187756</v>
      </c>
      <c r="P352" s="44">
        <f>O352*Assumptions!$D$24*12-N352</f>
        <v>390.08424150253086</v>
      </c>
      <c r="Q352" s="48"/>
      <c r="R352" s="40">
        <f t="shared" si="27"/>
        <v>7149.9999999999991</v>
      </c>
      <c r="S352" s="40">
        <f>-PMT(Assumptions!E$25/12,Assumptions!E$24*12,$R$8)*$C352/100</f>
        <v>75.836843395938786</v>
      </c>
      <c r="T352" s="40">
        <f>S352*Assumptions!$E$24*12-R352</f>
        <v>1950.4212075126552</v>
      </c>
      <c r="U352" s="48"/>
      <c r="V352" s="40">
        <f t="shared" si="28"/>
        <v>0</v>
      </c>
      <c r="W352" s="40" t="e">
        <f>-PMT(Assumptions!F$25/12,Assumptions!F$24*12,$V$8)*$C352/100</f>
        <v>#NUM!</v>
      </c>
      <c r="X352" s="40" t="e">
        <f>W352*Assumptions!$F$24*12-V352</f>
        <v>#NUM!</v>
      </c>
      <c r="Y352" s="43"/>
      <c r="Z352" s="40">
        <f t="shared" si="29"/>
        <v>0</v>
      </c>
      <c r="AA352" s="50" t="e">
        <f>-PMT(Assumptions!G$25/12,Assumptions!G$24*12,$Z$8)*$C352/100</f>
        <v>#NUM!</v>
      </c>
      <c r="AB352" s="44" t="e">
        <f>AA352*Assumptions!$G$24*12-Z352</f>
        <v>#NUM!</v>
      </c>
      <c r="AD352" s="54">
        <f t="shared" si="54"/>
        <v>0</v>
      </c>
      <c r="AE352" s="54">
        <f t="shared" si="55"/>
        <v>0</v>
      </c>
      <c r="AF352" s="54">
        <f t="shared" si="56"/>
        <v>1430</v>
      </c>
      <c r="AG352" s="54">
        <f t="shared" si="57"/>
        <v>7149.9999999999991</v>
      </c>
      <c r="AH352" s="54">
        <f t="shared" si="58"/>
        <v>0</v>
      </c>
      <c r="AI352" s="54">
        <f t="shared" si="59"/>
        <v>0</v>
      </c>
    </row>
    <row r="353" spans="1:35" ht="15" x14ac:dyDescent="0.2">
      <c r="A353" s="56" t="s">
        <v>448</v>
      </c>
      <c r="B353" s="32"/>
      <c r="C353" s="56">
        <v>0.152</v>
      </c>
      <c r="D353" s="56">
        <v>238.66</v>
      </c>
      <c r="E353" s="36"/>
      <c r="F353" s="40">
        <f t="shared" si="24"/>
        <v>0</v>
      </c>
      <c r="G353" s="40" t="e">
        <f>-PMT(Assumptions!B$25/12,Assumptions!B$24*12,F$8)*C353/100</f>
        <v>#NUM!</v>
      </c>
      <c r="H353" s="40" t="e">
        <f>G353*Assumptions!$B$24*12-F353</f>
        <v>#NUM!</v>
      </c>
      <c r="I353" s="48"/>
      <c r="J353" s="40">
        <f t="shared" si="25"/>
        <v>0</v>
      </c>
      <c r="K353" s="40" t="e">
        <f>-PMT(Assumptions!C$25/12,Assumptions!C$24*12,J$8)*C353/100</f>
        <v>#NUM!</v>
      </c>
      <c r="L353" s="40" t="e">
        <f>K353*Assumptions!$C$24*12-J353</f>
        <v>#NUM!</v>
      </c>
      <c r="M353" s="43"/>
      <c r="N353" s="40">
        <f t="shared" si="26"/>
        <v>1520</v>
      </c>
      <c r="O353" s="50">
        <f>-PMT(Assumptions!D$25/12,Assumptions!D$24*12,N$8)*C353/100</f>
        <v>16.121958316339434</v>
      </c>
      <c r="P353" s="44">
        <f>O353*Assumptions!$D$24*12-N353</f>
        <v>414.63499796073211</v>
      </c>
      <c r="Q353" s="48"/>
      <c r="R353" s="40">
        <f t="shared" si="27"/>
        <v>7600</v>
      </c>
      <c r="S353" s="40">
        <f>-PMT(Assumptions!E$25/12,Assumptions!E$24*12,$R$8)*$C353/100</f>
        <v>80.609791581697166</v>
      </c>
      <c r="T353" s="40">
        <f>S353*Assumptions!$E$24*12-R353</f>
        <v>2073.1749898036596</v>
      </c>
      <c r="U353" s="48"/>
      <c r="V353" s="40">
        <f t="shared" si="28"/>
        <v>0</v>
      </c>
      <c r="W353" s="40" t="e">
        <f>-PMT(Assumptions!F$25/12,Assumptions!F$24*12,$V$8)*$C353/100</f>
        <v>#NUM!</v>
      </c>
      <c r="X353" s="40" t="e">
        <f>W353*Assumptions!$F$24*12-V353</f>
        <v>#NUM!</v>
      </c>
      <c r="Y353" s="43"/>
      <c r="Z353" s="40">
        <f t="shared" si="29"/>
        <v>0</v>
      </c>
      <c r="AA353" s="50" t="e">
        <f>-PMT(Assumptions!G$25/12,Assumptions!G$24*12,$Z$8)*$C353/100</f>
        <v>#NUM!</v>
      </c>
      <c r="AB353" s="44" t="e">
        <f>AA353*Assumptions!$G$24*12-Z353</f>
        <v>#NUM!</v>
      </c>
      <c r="AD353" s="54">
        <f t="shared" si="54"/>
        <v>0</v>
      </c>
      <c r="AE353" s="54">
        <f t="shared" si="55"/>
        <v>0</v>
      </c>
      <c r="AF353" s="54">
        <f t="shared" si="56"/>
        <v>1520</v>
      </c>
      <c r="AG353" s="54">
        <f t="shared" si="57"/>
        <v>7600</v>
      </c>
      <c r="AH353" s="54">
        <f t="shared" si="58"/>
        <v>0</v>
      </c>
      <c r="AI353" s="54">
        <f t="shared" si="59"/>
        <v>0</v>
      </c>
    </row>
    <row r="354" spans="1:35" ht="15" x14ac:dyDescent="0.2">
      <c r="A354" s="56" t="s">
        <v>449</v>
      </c>
      <c r="B354" s="32"/>
      <c r="C354" s="56">
        <v>0.20599999999999999</v>
      </c>
      <c r="D354" s="56">
        <v>323.44</v>
      </c>
      <c r="E354" s="36"/>
      <c r="F354" s="40">
        <f t="shared" si="24"/>
        <v>0</v>
      </c>
      <c r="G354" s="40" t="e">
        <f>-PMT(Assumptions!B$25/12,Assumptions!B$24*12,F$8)*C354/100</f>
        <v>#NUM!</v>
      </c>
      <c r="H354" s="40" t="e">
        <f>G354*Assumptions!$B$24*12-F354</f>
        <v>#NUM!</v>
      </c>
      <c r="I354" s="48"/>
      <c r="J354" s="40">
        <f t="shared" si="25"/>
        <v>0</v>
      </c>
      <c r="K354" s="40" t="e">
        <f>-PMT(Assumptions!C$25/12,Assumptions!C$24*12,J$8)*C354/100</f>
        <v>#NUM!</v>
      </c>
      <c r="L354" s="40" t="e">
        <f>K354*Assumptions!$C$24*12-J354</f>
        <v>#NUM!</v>
      </c>
      <c r="M354" s="43"/>
      <c r="N354" s="40">
        <f t="shared" si="26"/>
        <v>2060</v>
      </c>
      <c r="O354" s="50">
        <f>-PMT(Assumptions!D$25/12,Assumptions!D$24*12,N$8)*C354/100</f>
        <v>21.849496139249496</v>
      </c>
      <c r="P354" s="44">
        <f>O354*Assumptions!$D$24*12-N354</f>
        <v>561.9395367099396</v>
      </c>
      <c r="Q354" s="48"/>
      <c r="R354" s="40">
        <f t="shared" si="27"/>
        <v>10300</v>
      </c>
      <c r="S354" s="40">
        <f>-PMT(Assumptions!E$25/12,Assumptions!E$24*12,$R$8)*$C354/100</f>
        <v>109.24748069624748</v>
      </c>
      <c r="T354" s="40">
        <f>S354*Assumptions!$E$24*12-R354</f>
        <v>2809.6976835496971</v>
      </c>
      <c r="U354" s="48"/>
      <c r="V354" s="40">
        <f t="shared" si="28"/>
        <v>0</v>
      </c>
      <c r="W354" s="40" t="e">
        <f>-PMT(Assumptions!F$25/12,Assumptions!F$24*12,$V$8)*$C354/100</f>
        <v>#NUM!</v>
      </c>
      <c r="X354" s="40" t="e">
        <f>W354*Assumptions!$F$24*12-V354</f>
        <v>#NUM!</v>
      </c>
      <c r="Y354" s="43"/>
      <c r="Z354" s="40">
        <f t="shared" si="29"/>
        <v>0</v>
      </c>
      <c r="AA354" s="50" t="e">
        <f>-PMT(Assumptions!G$25/12,Assumptions!G$24*12,$Z$8)*$C354/100</f>
        <v>#NUM!</v>
      </c>
      <c r="AB354" s="44" t="e">
        <f>AA354*Assumptions!$G$24*12-Z354</f>
        <v>#NUM!</v>
      </c>
      <c r="AD354" s="54">
        <f t="shared" si="54"/>
        <v>0</v>
      </c>
      <c r="AE354" s="54">
        <f t="shared" si="55"/>
        <v>0</v>
      </c>
      <c r="AF354" s="54">
        <f t="shared" si="56"/>
        <v>2060</v>
      </c>
      <c r="AG354" s="54">
        <f t="shared" si="57"/>
        <v>10300</v>
      </c>
      <c r="AH354" s="54">
        <f t="shared" si="58"/>
        <v>0</v>
      </c>
      <c r="AI354" s="54">
        <f t="shared" si="59"/>
        <v>0</v>
      </c>
    </row>
    <row r="355" spans="1:35" ht="15" x14ac:dyDescent="0.2">
      <c r="A355" s="56" t="s">
        <v>450</v>
      </c>
      <c r="B355" s="32"/>
      <c r="C355" s="56">
        <v>0.215</v>
      </c>
      <c r="D355" s="56">
        <v>337.57</v>
      </c>
      <c r="E355" s="36"/>
      <c r="F355" s="40">
        <f t="shared" si="24"/>
        <v>0</v>
      </c>
      <c r="G355" s="40" t="e">
        <f>-PMT(Assumptions!B$25/12,Assumptions!B$24*12,F$8)*C355/100</f>
        <v>#NUM!</v>
      </c>
      <c r="H355" s="40" t="e">
        <f>G355*Assumptions!$B$24*12-F355</f>
        <v>#NUM!</v>
      </c>
      <c r="I355" s="48"/>
      <c r="J355" s="40">
        <f t="shared" si="25"/>
        <v>0</v>
      </c>
      <c r="K355" s="40" t="e">
        <f>-PMT(Assumptions!C$25/12,Assumptions!C$24*12,J$8)*C355/100</f>
        <v>#NUM!</v>
      </c>
      <c r="L355" s="40" t="e">
        <f>K355*Assumptions!$C$24*12-J355</f>
        <v>#NUM!</v>
      </c>
      <c r="M355" s="43"/>
      <c r="N355" s="40">
        <f t="shared" si="26"/>
        <v>2150</v>
      </c>
      <c r="O355" s="50">
        <f>-PMT(Assumptions!D$25/12,Assumptions!D$24*12,N$8)*C355/100</f>
        <v>22.804085776401177</v>
      </c>
      <c r="P355" s="44">
        <f>O355*Assumptions!$D$24*12-N355</f>
        <v>586.49029316814131</v>
      </c>
      <c r="Q355" s="48"/>
      <c r="R355" s="40">
        <f t="shared" si="27"/>
        <v>10750</v>
      </c>
      <c r="S355" s="40">
        <f>-PMT(Assumptions!E$25/12,Assumptions!E$24*12,$R$8)*$C355/100</f>
        <v>114.02042888200587</v>
      </c>
      <c r="T355" s="40">
        <f>S355*Assumptions!$E$24*12-R355</f>
        <v>2932.4514658407061</v>
      </c>
      <c r="U355" s="48"/>
      <c r="V355" s="40">
        <f t="shared" si="28"/>
        <v>0</v>
      </c>
      <c r="W355" s="40" t="e">
        <f>-PMT(Assumptions!F$25/12,Assumptions!F$24*12,$V$8)*$C355/100</f>
        <v>#NUM!</v>
      </c>
      <c r="X355" s="40" t="e">
        <f>W355*Assumptions!$F$24*12-V355</f>
        <v>#NUM!</v>
      </c>
      <c r="Y355" s="43"/>
      <c r="Z355" s="40">
        <f t="shared" si="29"/>
        <v>0</v>
      </c>
      <c r="AA355" s="50" t="e">
        <f>-PMT(Assumptions!G$25/12,Assumptions!G$24*12,$Z$8)*$C355/100</f>
        <v>#NUM!</v>
      </c>
      <c r="AB355" s="44" t="e">
        <f>AA355*Assumptions!$G$24*12-Z355</f>
        <v>#NUM!</v>
      </c>
      <c r="AD355" s="54">
        <f t="shared" si="54"/>
        <v>0</v>
      </c>
      <c r="AE355" s="54">
        <f t="shared" si="55"/>
        <v>0</v>
      </c>
      <c r="AF355" s="54">
        <f t="shared" si="56"/>
        <v>2150</v>
      </c>
      <c r="AG355" s="54">
        <f t="shared" si="57"/>
        <v>10750</v>
      </c>
      <c r="AH355" s="54">
        <f t="shared" si="58"/>
        <v>0</v>
      </c>
      <c r="AI355" s="54">
        <f t="shared" si="59"/>
        <v>0</v>
      </c>
    </row>
    <row r="356" spans="1:35" ht="15" x14ac:dyDescent="0.2">
      <c r="A356" s="56" t="s">
        <v>451</v>
      </c>
      <c r="B356" s="32"/>
      <c r="C356" s="56">
        <v>0.20200000000000001</v>
      </c>
      <c r="D356" s="56">
        <v>317.16000000000003</v>
      </c>
      <c r="E356" s="36"/>
      <c r="F356" s="40">
        <f t="shared" si="24"/>
        <v>0</v>
      </c>
      <c r="G356" s="40" t="e">
        <f>-PMT(Assumptions!B$25/12,Assumptions!B$24*12,F$8)*C356/100</f>
        <v>#NUM!</v>
      </c>
      <c r="H356" s="40" t="e">
        <f>G356*Assumptions!$B$24*12-F356</f>
        <v>#NUM!</v>
      </c>
      <c r="I356" s="48"/>
      <c r="J356" s="40">
        <f t="shared" si="25"/>
        <v>0</v>
      </c>
      <c r="K356" s="40" t="e">
        <f>-PMT(Assumptions!C$25/12,Assumptions!C$24*12,J$8)*C356/100</f>
        <v>#NUM!</v>
      </c>
      <c r="L356" s="40" t="e">
        <f>K356*Assumptions!$C$24*12-J356</f>
        <v>#NUM!</v>
      </c>
      <c r="M356" s="43"/>
      <c r="N356" s="40">
        <f t="shared" si="26"/>
        <v>2020</v>
      </c>
      <c r="O356" s="50">
        <f>-PMT(Assumptions!D$25/12,Assumptions!D$24*12,N$8)*C356/100</f>
        <v>21.425234078293197</v>
      </c>
      <c r="P356" s="44">
        <f>O356*Assumptions!$D$24*12-N356</f>
        <v>551.028089395184</v>
      </c>
      <c r="Q356" s="48"/>
      <c r="R356" s="40">
        <f t="shared" si="27"/>
        <v>10100.000000000002</v>
      </c>
      <c r="S356" s="40">
        <f>-PMT(Assumptions!E$25/12,Assumptions!E$24*12,$R$8)*$C356/100</f>
        <v>107.12617039146599</v>
      </c>
      <c r="T356" s="40">
        <f>S356*Assumptions!$E$24*12-R356</f>
        <v>2755.1404469759163</v>
      </c>
      <c r="U356" s="48"/>
      <c r="V356" s="40">
        <f t="shared" si="28"/>
        <v>0</v>
      </c>
      <c r="W356" s="40" t="e">
        <f>-PMT(Assumptions!F$25/12,Assumptions!F$24*12,$V$8)*$C356/100</f>
        <v>#NUM!</v>
      </c>
      <c r="X356" s="40" t="e">
        <f>W356*Assumptions!$F$24*12-V356</f>
        <v>#NUM!</v>
      </c>
      <c r="Y356" s="43"/>
      <c r="Z356" s="40">
        <f t="shared" si="29"/>
        <v>0</v>
      </c>
      <c r="AA356" s="50" t="e">
        <f>-PMT(Assumptions!G$25/12,Assumptions!G$24*12,$Z$8)*$C356/100</f>
        <v>#NUM!</v>
      </c>
      <c r="AB356" s="44" t="e">
        <f>AA356*Assumptions!$G$24*12-Z356</f>
        <v>#NUM!</v>
      </c>
      <c r="AD356" s="54">
        <f t="shared" si="54"/>
        <v>0</v>
      </c>
      <c r="AE356" s="54">
        <f t="shared" si="55"/>
        <v>0</v>
      </c>
      <c r="AF356" s="54">
        <f t="shared" si="56"/>
        <v>2020</v>
      </c>
      <c r="AG356" s="54">
        <f t="shared" si="57"/>
        <v>10100.000000000002</v>
      </c>
      <c r="AH356" s="54">
        <f t="shared" si="58"/>
        <v>0</v>
      </c>
      <c r="AI356" s="54">
        <f t="shared" si="59"/>
        <v>0</v>
      </c>
    </row>
    <row r="357" spans="1:35" ht="15" x14ac:dyDescent="0.2">
      <c r="A357" s="56" t="s">
        <v>452</v>
      </c>
      <c r="B357" s="32"/>
      <c r="C357" s="56">
        <v>0.20200000000000001</v>
      </c>
      <c r="D357" s="56">
        <v>317.16000000000003</v>
      </c>
      <c r="E357" s="36"/>
      <c r="F357" s="40">
        <f t="shared" si="24"/>
        <v>0</v>
      </c>
      <c r="G357" s="40" t="e">
        <f>-PMT(Assumptions!B$25/12,Assumptions!B$24*12,F$8)*C357/100</f>
        <v>#NUM!</v>
      </c>
      <c r="H357" s="40" t="e">
        <f>G357*Assumptions!$B$24*12-F357</f>
        <v>#NUM!</v>
      </c>
      <c r="I357" s="48"/>
      <c r="J357" s="40">
        <f t="shared" si="25"/>
        <v>0</v>
      </c>
      <c r="K357" s="40" t="e">
        <f>-PMT(Assumptions!C$25/12,Assumptions!C$24*12,J$8)*C357/100</f>
        <v>#NUM!</v>
      </c>
      <c r="L357" s="40" t="e">
        <f>K357*Assumptions!$C$24*12-J357</f>
        <v>#NUM!</v>
      </c>
      <c r="M357" s="43"/>
      <c r="N357" s="40">
        <f t="shared" si="26"/>
        <v>2020</v>
      </c>
      <c r="O357" s="50">
        <f>-PMT(Assumptions!D$25/12,Assumptions!D$24*12,N$8)*C357/100</f>
        <v>21.425234078293197</v>
      </c>
      <c r="P357" s="44">
        <f>O357*Assumptions!$D$24*12-N357</f>
        <v>551.028089395184</v>
      </c>
      <c r="Q357" s="48"/>
      <c r="R357" s="40">
        <f t="shared" si="27"/>
        <v>10100.000000000002</v>
      </c>
      <c r="S357" s="40">
        <f>-PMT(Assumptions!E$25/12,Assumptions!E$24*12,$R$8)*$C357/100</f>
        <v>107.12617039146599</v>
      </c>
      <c r="T357" s="40">
        <f>S357*Assumptions!$E$24*12-R357</f>
        <v>2755.1404469759163</v>
      </c>
      <c r="U357" s="48"/>
      <c r="V357" s="40">
        <f t="shared" si="28"/>
        <v>0</v>
      </c>
      <c r="W357" s="40" t="e">
        <f>-PMT(Assumptions!F$25/12,Assumptions!F$24*12,$V$8)*$C357/100</f>
        <v>#NUM!</v>
      </c>
      <c r="X357" s="40" t="e">
        <f>W357*Assumptions!$F$24*12-V357</f>
        <v>#NUM!</v>
      </c>
      <c r="Y357" s="43"/>
      <c r="Z357" s="40">
        <f t="shared" si="29"/>
        <v>0</v>
      </c>
      <c r="AA357" s="50" t="e">
        <f>-PMT(Assumptions!G$25/12,Assumptions!G$24*12,$Z$8)*$C357/100</f>
        <v>#NUM!</v>
      </c>
      <c r="AB357" s="44" t="e">
        <f>AA357*Assumptions!$G$24*12-Z357</f>
        <v>#NUM!</v>
      </c>
      <c r="AD357" s="54">
        <f t="shared" si="54"/>
        <v>0</v>
      </c>
      <c r="AE357" s="54">
        <f t="shared" si="55"/>
        <v>0</v>
      </c>
      <c r="AF357" s="54">
        <f t="shared" si="56"/>
        <v>2020</v>
      </c>
      <c r="AG357" s="54">
        <f t="shared" si="57"/>
        <v>10100.000000000002</v>
      </c>
      <c r="AH357" s="54">
        <f t="shared" si="58"/>
        <v>0</v>
      </c>
      <c r="AI357" s="54">
        <f t="shared" si="59"/>
        <v>0</v>
      </c>
    </row>
    <row r="358" spans="1:35" ht="15" x14ac:dyDescent="0.2">
      <c r="A358" s="56" t="s">
        <v>453</v>
      </c>
      <c r="B358" s="32"/>
      <c r="C358" s="56">
        <v>0.28000000000000003</v>
      </c>
      <c r="D358" s="56">
        <v>439.63</v>
      </c>
      <c r="E358" s="36"/>
      <c r="F358" s="40">
        <f t="shared" si="24"/>
        <v>0</v>
      </c>
      <c r="G358" s="40" t="e">
        <f>-PMT(Assumptions!B$25/12,Assumptions!B$24*12,F$8)*C358/100</f>
        <v>#NUM!</v>
      </c>
      <c r="H358" s="40" t="e">
        <f>G358*Assumptions!$B$24*12-F358</f>
        <v>#NUM!</v>
      </c>
      <c r="I358" s="48"/>
      <c r="J358" s="40">
        <f t="shared" si="25"/>
        <v>0</v>
      </c>
      <c r="K358" s="40" t="e">
        <f>-PMT(Assumptions!C$25/12,Assumptions!C$24*12,J$8)*C358/100</f>
        <v>#NUM!</v>
      </c>
      <c r="L358" s="40" t="e">
        <f>K358*Assumptions!$C$24*12-J358</f>
        <v>#NUM!</v>
      </c>
      <c r="M358" s="43"/>
      <c r="N358" s="40">
        <f t="shared" si="26"/>
        <v>2800</v>
      </c>
      <c r="O358" s="50">
        <f>-PMT(Assumptions!D$25/12,Assumptions!D$24*12,N$8)*C358/100</f>
        <v>29.698344266941067</v>
      </c>
      <c r="P358" s="44">
        <f>O358*Assumptions!$D$24*12-N358</f>
        <v>763.80131203292831</v>
      </c>
      <c r="Q358" s="48"/>
      <c r="R358" s="40">
        <f t="shared" si="27"/>
        <v>14000.000000000002</v>
      </c>
      <c r="S358" s="40">
        <f>-PMT(Assumptions!E$25/12,Assumptions!E$24*12,$R$8)*$C358/100</f>
        <v>148.49172133470535</v>
      </c>
      <c r="T358" s="40">
        <f>S358*Assumptions!$E$24*12-R358</f>
        <v>3819.0065601646402</v>
      </c>
      <c r="U358" s="48"/>
      <c r="V358" s="40">
        <f t="shared" si="28"/>
        <v>0</v>
      </c>
      <c r="W358" s="40" t="e">
        <f>-PMT(Assumptions!F$25/12,Assumptions!F$24*12,$V$8)*$C358/100</f>
        <v>#NUM!</v>
      </c>
      <c r="X358" s="40" t="e">
        <f>W358*Assumptions!$F$24*12-V358</f>
        <v>#NUM!</v>
      </c>
      <c r="Y358" s="43"/>
      <c r="Z358" s="40">
        <f t="shared" si="29"/>
        <v>0</v>
      </c>
      <c r="AA358" s="50" t="e">
        <f>-PMT(Assumptions!G$25/12,Assumptions!G$24*12,$Z$8)*$C358/100</f>
        <v>#NUM!</v>
      </c>
      <c r="AB358" s="44" t="e">
        <f>AA358*Assumptions!$G$24*12-Z358</f>
        <v>#NUM!</v>
      </c>
      <c r="AD358" s="54">
        <f t="shared" si="54"/>
        <v>0</v>
      </c>
      <c r="AE358" s="54">
        <f t="shared" si="55"/>
        <v>0</v>
      </c>
      <c r="AF358" s="54">
        <f t="shared" si="56"/>
        <v>2800</v>
      </c>
      <c r="AG358" s="54">
        <f t="shared" si="57"/>
        <v>14000.000000000002</v>
      </c>
      <c r="AH358" s="54">
        <f t="shared" si="58"/>
        <v>0</v>
      </c>
      <c r="AI358" s="54">
        <f t="shared" si="59"/>
        <v>0</v>
      </c>
    </row>
    <row r="359" spans="1:35" ht="15" x14ac:dyDescent="0.2">
      <c r="A359" s="56" t="s">
        <v>454</v>
      </c>
      <c r="B359" s="32"/>
      <c r="C359" s="56">
        <v>0.28000000000000003</v>
      </c>
      <c r="D359" s="56">
        <v>439.63</v>
      </c>
      <c r="E359" s="36"/>
      <c r="F359" s="40">
        <f t="shared" si="24"/>
        <v>0</v>
      </c>
      <c r="G359" s="40" t="e">
        <f>-PMT(Assumptions!B$25/12,Assumptions!B$24*12,F$8)*C359/100</f>
        <v>#NUM!</v>
      </c>
      <c r="H359" s="40" t="e">
        <f>G359*Assumptions!$B$24*12-F359</f>
        <v>#NUM!</v>
      </c>
      <c r="I359" s="48"/>
      <c r="J359" s="40">
        <f t="shared" si="25"/>
        <v>0</v>
      </c>
      <c r="K359" s="40" t="e">
        <f>-PMT(Assumptions!C$25/12,Assumptions!C$24*12,J$8)*C359/100</f>
        <v>#NUM!</v>
      </c>
      <c r="L359" s="40" t="e">
        <f>K359*Assumptions!$C$24*12-J359</f>
        <v>#NUM!</v>
      </c>
      <c r="M359" s="43"/>
      <c r="N359" s="40">
        <f t="shared" si="26"/>
        <v>2800</v>
      </c>
      <c r="O359" s="50">
        <f>-PMT(Assumptions!D$25/12,Assumptions!D$24*12,N$8)*C359/100</f>
        <v>29.698344266941067</v>
      </c>
      <c r="P359" s="44">
        <f>O359*Assumptions!$D$24*12-N359</f>
        <v>763.80131203292831</v>
      </c>
      <c r="Q359" s="48"/>
      <c r="R359" s="40">
        <f t="shared" si="27"/>
        <v>14000.000000000002</v>
      </c>
      <c r="S359" s="40">
        <f>-PMT(Assumptions!E$25/12,Assumptions!E$24*12,$R$8)*$C359/100</f>
        <v>148.49172133470535</v>
      </c>
      <c r="T359" s="40">
        <f>S359*Assumptions!$E$24*12-R359</f>
        <v>3819.0065601646402</v>
      </c>
      <c r="U359" s="48"/>
      <c r="V359" s="40">
        <f t="shared" si="28"/>
        <v>0</v>
      </c>
      <c r="W359" s="40" t="e">
        <f>-PMT(Assumptions!F$25/12,Assumptions!F$24*12,$V$8)*$C359/100</f>
        <v>#NUM!</v>
      </c>
      <c r="X359" s="40" t="e">
        <f>W359*Assumptions!$F$24*12-V359</f>
        <v>#NUM!</v>
      </c>
      <c r="Y359" s="43"/>
      <c r="Z359" s="40">
        <f t="shared" si="29"/>
        <v>0</v>
      </c>
      <c r="AA359" s="50" t="e">
        <f>-PMT(Assumptions!G$25/12,Assumptions!G$24*12,$Z$8)*$C359/100</f>
        <v>#NUM!</v>
      </c>
      <c r="AB359" s="44" t="e">
        <f>AA359*Assumptions!$G$24*12-Z359</f>
        <v>#NUM!</v>
      </c>
      <c r="AD359" s="54">
        <f t="shared" si="54"/>
        <v>0</v>
      </c>
      <c r="AE359" s="54">
        <f t="shared" si="55"/>
        <v>0</v>
      </c>
      <c r="AF359" s="54">
        <f t="shared" si="56"/>
        <v>2800</v>
      </c>
      <c r="AG359" s="54">
        <f t="shared" si="57"/>
        <v>14000.000000000002</v>
      </c>
      <c r="AH359" s="54">
        <f t="shared" si="58"/>
        <v>0</v>
      </c>
      <c r="AI359" s="54">
        <f t="shared" si="59"/>
        <v>0</v>
      </c>
    </row>
    <row r="360" spans="1:35" ht="15" x14ac:dyDescent="0.2">
      <c r="A360" s="56" t="s">
        <v>455</v>
      </c>
      <c r="B360" s="32"/>
      <c r="C360" s="56">
        <v>0.28799999999999998</v>
      </c>
      <c r="D360" s="56">
        <v>452.19</v>
      </c>
      <c r="E360" s="36"/>
      <c r="F360" s="40">
        <f t="shared" si="24"/>
        <v>0</v>
      </c>
      <c r="G360" s="40" t="e">
        <f>-PMT(Assumptions!B$25/12,Assumptions!B$24*12,F$8)*C360/100</f>
        <v>#NUM!</v>
      </c>
      <c r="H360" s="40" t="e">
        <f>G360*Assumptions!$B$24*12-F360</f>
        <v>#NUM!</v>
      </c>
      <c r="I360" s="48"/>
      <c r="J360" s="40">
        <f t="shared" si="25"/>
        <v>0</v>
      </c>
      <c r="K360" s="40" t="e">
        <f>-PMT(Assumptions!C$25/12,Assumptions!C$24*12,J$8)*C360/100</f>
        <v>#NUM!</v>
      </c>
      <c r="L360" s="40" t="e">
        <f>K360*Assumptions!$C$24*12-J360</f>
        <v>#NUM!</v>
      </c>
      <c r="M360" s="43"/>
      <c r="N360" s="40">
        <f t="shared" si="26"/>
        <v>2880</v>
      </c>
      <c r="O360" s="50">
        <f>-PMT(Assumptions!D$25/12,Assumptions!D$24*12,N$8)*C360/100</f>
        <v>30.546868388853664</v>
      </c>
      <c r="P360" s="44">
        <f>O360*Assumptions!$D$24*12-N360</f>
        <v>785.62420666243997</v>
      </c>
      <c r="Q360" s="48"/>
      <c r="R360" s="40">
        <f t="shared" si="27"/>
        <v>14400</v>
      </c>
      <c r="S360" s="40">
        <f>-PMT(Assumptions!E$25/12,Assumptions!E$24*12,$R$8)*$C360/100</f>
        <v>152.73434194426832</v>
      </c>
      <c r="T360" s="40">
        <f>S360*Assumptions!$E$24*12-R360</f>
        <v>3928.1210333121999</v>
      </c>
      <c r="U360" s="48"/>
      <c r="V360" s="40">
        <f t="shared" si="28"/>
        <v>0</v>
      </c>
      <c r="W360" s="40" t="e">
        <f>-PMT(Assumptions!F$25/12,Assumptions!F$24*12,$V$8)*$C360/100</f>
        <v>#NUM!</v>
      </c>
      <c r="X360" s="40" t="e">
        <f>W360*Assumptions!$F$24*12-V360</f>
        <v>#NUM!</v>
      </c>
      <c r="Y360" s="43"/>
      <c r="Z360" s="40">
        <f t="shared" si="29"/>
        <v>0</v>
      </c>
      <c r="AA360" s="50" t="e">
        <f>-PMT(Assumptions!G$25/12,Assumptions!G$24*12,$Z$8)*$C360/100</f>
        <v>#NUM!</v>
      </c>
      <c r="AB360" s="44" t="e">
        <f>AA360*Assumptions!$G$24*12-Z360</f>
        <v>#NUM!</v>
      </c>
      <c r="AD360" s="54">
        <f t="shared" si="54"/>
        <v>0</v>
      </c>
      <c r="AE360" s="54">
        <f t="shared" si="55"/>
        <v>0</v>
      </c>
      <c r="AF360" s="54">
        <f t="shared" si="56"/>
        <v>2880</v>
      </c>
      <c r="AG360" s="54">
        <f t="shared" si="57"/>
        <v>14400</v>
      </c>
      <c r="AH360" s="54">
        <f t="shared" si="58"/>
        <v>0</v>
      </c>
      <c r="AI360" s="54">
        <f t="shared" si="59"/>
        <v>0</v>
      </c>
    </row>
    <row r="361" spans="1:35" ht="15" x14ac:dyDescent="0.2">
      <c r="A361" s="56" t="s">
        <v>456</v>
      </c>
      <c r="B361" s="32"/>
      <c r="C361" s="56">
        <v>0.28799999999999998</v>
      </c>
      <c r="D361" s="56">
        <v>452.19</v>
      </c>
      <c r="E361" s="36"/>
      <c r="F361" s="40">
        <f t="shared" si="24"/>
        <v>0</v>
      </c>
      <c r="G361" s="40" t="e">
        <f>-PMT(Assumptions!B$25/12,Assumptions!B$24*12,F$8)*C361/100</f>
        <v>#NUM!</v>
      </c>
      <c r="H361" s="40" t="e">
        <f>G361*Assumptions!$B$24*12-F361</f>
        <v>#NUM!</v>
      </c>
      <c r="I361" s="48"/>
      <c r="J361" s="40">
        <f t="shared" si="25"/>
        <v>0</v>
      </c>
      <c r="K361" s="40" t="e">
        <f>-PMT(Assumptions!C$25/12,Assumptions!C$24*12,J$8)*C361/100</f>
        <v>#NUM!</v>
      </c>
      <c r="L361" s="40" t="e">
        <f>K361*Assumptions!$C$24*12-J361</f>
        <v>#NUM!</v>
      </c>
      <c r="M361" s="43"/>
      <c r="N361" s="40">
        <f t="shared" si="26"/>
        <v>2880</v>
      </c>
      <c r="O361" s="50">
        <f>-PMT(Assumptions!D$25/12,Assumptions!D$24*12,N$8)*C361/100</f>
        <v>30.546868388853664</v>
      </c>
      <c r="P361" s="44">
        <f>O361*Assumptions!$D$24*12-N361</f>
        <v>785.62420666243997</v>
      </c>
      <c r="Q361" s="48"/>
      <c r="R361" s="40">
        <f t="shared" si="27"/>
        <v>14400</v>
      </c>
      <c r="S361" s="40">
        <f>-PMT(Assumptions!E$25/12,Assumptions!E$24*12,$R$8)*$C361/100</f>
        <v>152.73434194426832</v>
      </c>
      <c r="T361" s="40">
        <f>S361*Assumptions!$E$24*12-R361</f>
        <v>3928.1210333121999</v>
      </c>
      <c r="U361" s="48"/>
      <c r="V361" s="40">
        <f t="shared" si="28"/>
        <v>0</v>
      </c>
      <c r="W361" s="40" t="e">
        <f>-PMT(Assumptions!F$25/12,Assumptions!F$24*12,$V$8)*$C361/100</f>
        <v>#NUM!</v>
      </c>
      <c r="X361" s="40" t="e">
        <f>W361*Assumptions!$F$24*12-V361</f>
        <v>#NUM!</v>
      </c>
      <c r="Y361" s="43"/>
      <c r="Z361" s="40">
        <f t="shared" si="29"/>
        <v>0</v>
      </c>
      <c r="AA361" s="50" t="e">
        <f>-PMT(Assumptions!G$25/12,Assumptions!G$24*12,$Z$8)*$C361/100</f>
        <v>#NUM!</v>
      </c>
      <c r="AB361" s="44" t="e">
        <f>AA361*Assumptions!$G$24*12-Z361</f>
        <v>#NUM!</v>
      </c>
      <c r="AD361" s="54">
        <f t="shared" si="54"/>
        <v>0</v>
      </c>
      <c r="AE361" s="54">
        <f t="shared" si="55"/>
        <v>0</v>
      </c>
      <c r="AF361" s="54">
        <f t="shared" si="56"/>
        <v>2880</v>
      </c>
      <c r="AG361" s="54">
        <f t="shared" si="57"/>
        <v>14400</v>
      </c>
      <c r="AH361" s="54">
        <f t="shared" si="58"/>
        <v>0</v>
      </c>
      <c r="AI361" s="54">
        <f t="shared" si="59"/>
        <v>0</v>
      </c>
    </row>
    <row r="362" spans="1:35" ht="15" x14ac:dyDescent="0.2">
      <c r="A362" s="56" t="s">
        <v>457</v>
      </c>
      <c r="B362" s="32"/>
      <c r="C362" s="56">
        <v>0.2</v>
      </c>
      <c r="D362" s="56">
        <v>314.02</v>
      </c>
      <c r="E362" s="36"/>
      <c r="F362" s="40">
        <f t="shared" si="24"/>
        <v>0</v>
      </c>
      <c r="G362" s="40" t="e">
        <f>-PMT(Assumptions!B$25/12,Assumptions!B$24*12,F$8)*C362/100</f>
        <v>#NUM!</v>
      </c>
      <c r="H362" s="40" t="e">
        <f>G362*Assumptions!$B$24*12-F362</f>
        <v>#NUM!</v>
      </c>
      <c r="I362" s="48"/>
      <c r="J362" s="40">
        <f t="shared" si="25"/>
        <v>0</v>
      </c>
      <c r="K362" s="40" t="e">
        <f>-PMT(Assumptions!C$25/12,Assumptions!C$24*12,J$8)*C362/100</f>
        <v>#NUM!</v>
      </c>
      <c r="L362" s="40" t="e">
        <f>K362*Assumptions!$C$24*12-J362</f>
        <v>#NUM!</v>
      </c>
      <c r="M362" s="43"/>
      <c r="N362" s="40">
        <f t="shared" si="26"/>
        <v>2000</v>
      </c>
      <c r="O362" s="50">
        <f>-PMT(Assumptions!D$25/12,Assumptions!D$24*12,N$8)*C362/100</f>
        <v>21.213103047815046</v>
      </c>
      <c r="P362" s="44">
        <f>O362*Assumptions!$D$24*12-N362</f>
        <v>545.57236573780574</v>
      </c>
      <c r="Q362" s="48"/>
      <c r="R362" s="40">
        <f t="shared" si="27"/>
        <v>10000</v>
      </c>
      <c r="S362" s="40">
        <f>-PMT(Assumptions!E$25/12,Assumptions!E$24*12,$R$8)*$C362/100</f>
        <v>106.06551523907525</v>
      </c>
      <c r="T362" s="40">
        <f>S362*Assumptions!$E$24*12-R362</f>
        <v>2727.8618286890305</v>
      </c>
      <c r="U362" s="48"/>
      <c r="V362" s="40">
        <f t="shared" si="28"/>
        <v>0</v>
      </c>
      <c r="W362" s="40" t="e">
        <f>-PMT(Assumptions!F$25/12,Assumptions!F$24*12,$V$8)*$C362/100</f>
        <v>#NUM!</v>
      </c>
      <c r="X362" s="40" t="e">
        <f>W362*Assumptions!$F$24*12-V362</f>
        <v>#NUM!</v>
      </c>
      <c r="Y362" s="43"/>
      <c r="Z362" s="40">
        <f t="shared" si="29"/>
        <v>0</v>
      </c>
      <c r="AA362" s="50" t="e">
        <f>-PMT(Assumptions!G$25/12,Assumptions!G$24*12,$Z$8)*$C362/100</f>
        <v>#NUM!</v>
      </c>
      <c r="AB362" s="44" t="e">
        <f>AA362*Assumptions!$G$24*12-Z362</f>
        <v>#NUM!</v>
      </c>
      <c r="AD362" s="54">
        <f t="shared" si="54"/>
        <v>0</v>
      </c>
      <c r="AE362" s="54">
        <f t="shared" si="55"/>
        <v>0</v>
      </c>
      <c r="AF362" s="54">
        <f t="shared" si="56"/>
        <v>2000</v>
      </c>
      <c r="AG362" s="54">
        <f t="shared" si="57"/>
        <v>10000</v>
      </c>
      <c r="AH362" s="54">
        <f t="shared" si="58"/>
        <v>0</v>
      </c>
      <c r="AI362" s="54">
        <f t="shared" si="59"/>
        <v>0</v>
      </c>
    </row>
    <row r="363" spans="1:35" ht="15" x14ac:dyDescent="0.2">
      <c r="A363" s="56" t="s">
        <v>458</v>
      </c>
      <c r="B363" s="32"/>
      <c r="C363" s="56">
        <v>0.2</v>
      </c>
      <c r="D363" s="56">
        <v>314.02</v>
      </c>
      <c r="E363" s="36"/>
      <c r="F363" s="40">
        <f t="shared" si="24"/>
        <v>0</v>
      </c>
      <c r="G363" s="40" t="e">
        <f>-PMT(Assumptions!B$25/12,Assumptions!B$24*12,F$8)*C363/100</f>
        <v>#NUM!</v>
      </c>
      <c r="H363" s="40" t="e">
        <f>G363*Assumptions!$B$24*12-F363</f>
        <v>#NUM!</v>
      </c>
      <c r="I363" s="48"/>
      <c r="J363" s="40">
        <f t="shared" si="25"/>
        <v>0</v>
      </c>
      <c r="K363" s="40" t="e">
        <f>-PMT(Assumptions!C$25/12,Assumptions!C$24*12,J$8)*C363/100</f>
        <v>#NUM!</v>
      </c>
      <c r="L363" s="40" t="e">
        <f>K363*Assumptions!$C$24*12-J363</f>
        <v>#NUM!</v>
      </c>
      <c r="M363" s="43"/>
      <c r="N363" s="40">
        <f t="shared" si="26"/>
        <v>2000</v>
      </c>
      <c r="O363" s="50">
        <f>-PMT(Assumptions!D$25/12,Assumptions!D$24*12,N$8)*C363/100</f>
        <v>21.213103047815046</v>
      </c>
      <c r="P363" s="44">
        <f>O363*Assumptions!$D$24*12-N363</f>
        <v>545.57236573780574</v>
      </c>
      <c r="Q363" s="48"/>
      <c r="R363" s="40">
        <f t="shared" si="27"/>
        <v>10000</v>
      </c>
      <c r="S363" s="40">
        <f>-PMT(Assumptions!E$25/12,Assumptions!E$24*12,$R$8)*$C363/100</f>
        <v>106.06551523907525</v>
      </c>
      <c r="T363" s="40">
        <f>S363*Assumptions!$E$24*12-R363</f>
        <v>2727.8618286890305</v>
      </c>
      <c r="U363" s="48"/>
      <c r="V363" s="40">
        <f t="shared" si="28"/>
        <v>0</v>
      </c>
      <c r="W363" s="40" t="e">
        <f>-PMT(Assumptions!F$25/12,Assumptions!F$24*12,$V$8)*$C363/100</f>
        <v>#NUM!</v>
      </c>
      <c r="X363" s="40" t="e">
        <f>W363*Assumptions!$F$24*12-V363</f>
        <v>#NUM!</v>
      </c>
      <c r="Y363" s="43"/>
      <c r="Z363" s="40">
        <f t="shared" si="29"/>
        <v>0</v>
      </c>
      <c r="AA363" s="50" t="e">
        <f>-PMT(Assumptions!G$25/12,Assumptions!G$24*12,$Z$8)*$C363/100</f>
        <v>#NUM!</v>
      </c>
      <c r="AB363" s="44" t="e">
        <f>AA363*Assumptions!$G$24*12-Z363</f>
        <v>#NUM!</v>
      </c>
      <c r="AD363" s="54">
        <f t="shared" si="54"/>
        <v>0</v>
      </c>
      <c r="AE363" s="54">
        <f t="shared" si="55"/>
        <v>0</v>
      </c>
      <c r="AF363" s="54">
        <f t="shared" si="56"/>
        <v>2000</v>
      </c>
      <c r="AG363" s="54">
        <f t="shared" si="57"/>
        <v>10000</v>
      </c>
      <c r="AH363" s="54">
        <f t="shared" si="58"/>
        <v>0</v>
      </c>
      <c r="AI363" s="54">
        <f t="shared" si="59"/>
        <v>0</v>
      </c>
    </row>
    <row r="364" spans="1:35" ht="15" x14ac:dyDescent="0.2">
      <c r="A364" s="56" t="s">
        <v>459</v>
      </c>
      <c r="B364" s="32"/>
      <c r="C364" s="56">
        <v>0.14499999999999999</v>
      </c>
      <c r="D364" s="56">
        <v>227.66</v>
      </c>
      <c r="E364" s="36"/>
      <c r="F364" s="40">
        <f t="shared" si="24"/>
        <v>0</v>
      </c>
      <c r="G364" s="40" t="e">
        <f>-PMT(Assumptions!B$25/12,Assumptions!B$24*12,F$8)*C364/100</f>
        <v>#NUM!</v>
      </c>
      <c r="H364" s="40" t="e">
        <f>G364*Assumptions!$B$24*12-F364</f>
        <v>#NUM!</v>
      </c>
      <c r="I364" s="48"/>
      <c r="J364" s="40">
        <f t="shared" si="25"/>
        <v>0</v>
      </c>
      <c r="K364" s="40" t="e">
        <f>-PMT(Assumptions!C$25/12,Assumptions!C$24*12,J$8)*C364/100</f>
        <v>#NUM!</v>
      </c>
      <c r="L364" s="40" t="e">
        <f>K364*Assumptions!$C$24*12-J364</f>
        <v>#NUM!</v>
      </c>
      <c r="M364" s="43"/>
      <c r="N364" s="40">
        <f t="shared" si="26"/>
        <v>1450</v>
      </c>
      <c r="O364" s="50">
        <f>-PMT(Assumptions!D$25/12,Assumptions!D$24*12,N$8)*C364/100</f>
        <v>15.379499709665906</v>
      </c>
      <c r="P364" s="44">
        <f>O364*Assumptions!$D$24*12-N364</f>
        <v>395.53996515990866</v>
      </c>
      <c r="Q364" s="48"/>
      <c r="R364" s="40">
        <f t="shared" si="27"/>
        <v>7250</v>
      </c>
      <c r="S364" s="40">
        <f>-PMT(Assumptions!E$25/12,Assumptions!E$24*12,$R$8)*$C364/100</f>
        <v>76.897498548329537</v>
      </c>
      <c r="T364" s="40">
        <f>S364*Assumptions!$E$24*12-R364</f>
        <v>1977.6998257995438</v>
      </c>
      <c r="U364" s="48"/>
      <c r="V364" s="40">
        <f t="shared" si="28"/>
        <v>0</v>
      </c>
      <c r="W364" s="40" t="e">
        <f>-PMT(Assumptions!F$25/12,Assumptions!F$24*12,$V$8)*$C364/100</f>
        <v>#NUM!</v>
      </c>
      <c r="X364" s="40" t="e">
        <f>W364*Assumptions!$F$24*12-V364</f>
        <v>#NUM!</v>
      </c>
      <c r="Y364" s="43"/>
      <c r="Z364" s="40">
        <f t="shared" si="29"/>
        <v>0</v>
      </c>
      <c r="AA364" s="50" t="e">
        <f>-PMT(Assumptions!G$25/12,Assumptions!G$24*12,$Z$8)*$C364/100</f>
        <v>#NUM!</v>
      </c>
      <c r="AB364" s="44" t="e">
        <f>AA364*Assumptions!$G$24*12-Z364</f>
        <v>#NUM!</v>
      </c>
      <c r="AD364" s="54">
        <f t="shared" si="54"/>
        <v>0</v>
      </c>
      <c r="AE364" s="54">
        <f t="shared" si="55"/>
        <v>0</v>
      </c>
      <c r="AF364" s="54">
        <f t="shared" si="56"/>
        <v>1450</v>
      </c>
      <c r="AG364" s="54">
        <f t="shared" si="57"/>
        <v>7250</v>
      </c>
      <c r="AH364" s="54">
        <f t="shared" si="58"/>
        <v>0</v>
      </c>
      <c r="AI364" s="54">
        <f t="shared" si="59"/>
        <v>0</v>
      </c>
    </row>
    <row r="365" spans="1:35" ht="15" x14ac:dyDescent="0.2">
      <c r="A365" s="56" t="s">
        <v>460</v>
      </c>
      <c r="B365" s="32"/>
      <c r="C365" s="56">
        <v>0.154</v>
      </c>
      <c r="D365" s="56">
        <v>241.8</v>
      </c>
      <c r="E365" s="36"/>
      <c r="F365" s="40">
        <f t="shared" si="24"/>
        <v>0</v>
      </c>
      <c r="G365" s="40" t="e">
        <f>-PMT(Assumptions!B$25/12,Assumptions!B$24*12,F$8)*C365/100</f>
        <v>#NUM!</v>
      </c>
      <c r="H365" s="40" t="e">
        <f>G365*Assumptions!$B$24*12-F365</f>
        <v>#NUM!</v>
      </c>
      <c r="I365" s="48"/>
      <c r="J365" s="40">
        <f t="shared" si="25"/>
        <v>0</v>
      </c>
      <c r="K365" s="40" t="e">
        <f>-PMT(Assumptions!C$25/12,Assumptions!C$24*12,J$8)*C365/100</f>
        <v>#NUM!</v>
      </c>
      <c r="L365" s="40" t="e">
        <f>K365*Assumptions!$C$24*12-J365</f>
        <v>#NUM!</v>
      </c>
      <c r="M365" s="43"/>
      <c r="N365" s="40">
        <f t="shared" si="26"/>
        <v>1540</v>
      </c>
      <c r="O365" s="50">
        <f>-PMT(Assumptions!D$25/12,Assumptions!D$24*12,N$8)*C365/100</f>
        <v>16.334089346817585</v>
      </c>
      <c r="P365" s="44">
        <f>O365*Assumptions!$D$24*12-N365</f>
        <v>420.09072161811036</v>
      </c>
      <c r="Q365" s="48"/>
      <c r="R365" s="40">
        <f t="shared" si="27"/>
        <v>7700</v>
      </c>
      <c r="S365" s="40">
        <f>-PMT(Assumptions!E$25/12,Assumptions!E$24*12,$R$8)*$C365/100</f>
        <v>81.670446734087932</v>
      </c>
      <c r="T365" s="40">
        <f>S365*Assumptions!$E$24*12-R365</f>
        <v>2100.4536080905527</v>
      </c>
      <c r="U365" s="48"/>
      <c r="V365" s="40">
        <f t="shared" si="28"/>
        <v>0</v>
      </c>
      <c r="W365" s="40" t="e">
        <f>-PMT(Assumptions!F$25/12,Assumptions!F$24*12,$V$8)*$C365/100</f>
        <v>#NUM!</v>
      </c>
      <c r="X365" s="40" t="e">
        <f>W365*Assumptions!$F$24*12-V365</f>
        <v>#NUM!</v>
      </c>
      <c r="Y365" s="43"/>
      <c r="Z365" s="40">
        <f t="shared" si="29"/>
        <v>0</v>
      </c>
      <c r="AA365" s="50" t="e">
        <f>-PMT(Assumptions!G$25/12,Assumptions!G$24*12,$Z$8)*$C365/100</f>
        <v>#NUM!</v>
      </c>
      <c r="AB365" s="44" t="e">
        <f>AA365*Assumptions!$G$24*12-Z365</f>
        <v>#NUM!</v>
      </c>
      <c r="AD365" s="54">
        <f t="shared" si="54"/>
        <v>0</v>
      </c>
      <c r="AE365" s="54">
        <f t="shared" si="55"/>
        <v>0</v>
      </c>
      <c r="AF365" s="54">
        <f t="shared" si="56"/>
        <v>1540</v>
      </c>
      <c r="AG365" s="54">
        <f t="shared" si="57"/>
        <v>7700</v>
      </c>
      <c r="AH365" s="54">
        <f t="shared" si="58"/>
        <v>0</v>
      </c>
      <c r="AI365" s="54">
        <f t="shared" si="59"/>
        <v>0</v>
      </c>
    </row>
    <row r="366" spans="1:35" ht="15" x14ac:dyDescent="0.2">
      <c r="A366" s="56" t="s">
        <v>461</v>
      </c>
      <c r="B366" s="32"/>
      <c r="C366" s="56">
        <v>0.14499999999999999</v>
      </c>
      <c r="D366" s="56">
        <v>227.66</v>
      </c>
      <c r="E366" s="36"/>
      <c r="F366" s="40">
        <f t="shared" si="24"/>
        <v>0</v>
      </c>
      <c r="G366" s="40" t="e">
        <f>-PMT(Assumptions!B$25/12,Assumptions!B$24*12,F$8)*C366/100</f>
        <v>#NUM!</v>
      </c>
      <c r="H366" s="40" t="e">
        <f>G366*Assumptions!$B$24*12-F366</f>
        <v>#NUM!</v>
      </c>
      <c r="I366" s="48"/>
      <c r="J366" s="40">
        <f t="shared" si="25"/>
        <v>0</v>
      </c>
      <c r="K366" s="40" t="e">
        <f>-PMT(Assumptions!C$25/12,Assumptions!C$24*12,J$8)*C366/100</f>
        <v>#NUM!</v>
      </c>
      <c r="L366" s="40" t="e">
        <f>K366*Assumptions!$C$24*12-J366</f>
        <v>#NUM!</v>
      </c>
      <c r="M366" s="43"/>
      <c r="N366" s="40">
        <f t="shared" si="26"/>
        <v>1450</v>
      </c>
      <c r="O366" s="50">
        <f>-PMT(Assumptions!D$25/12,Assumptions!D$24*12,N$8)*C366/100</f>
        <v>15.379499709665906</v>
      </c>
      <c r="P366" s="44">
        <f>O366*Assumptions!$D$24*12-N366</f>
        <v>395.53996515990866</v>
      </c>
      <c r="Q366" s="48"/>
      <c r="R366" s="40">
        <f t="shared" si="27"/>
        <v>7250</v>
      </c>
      <c r="S366" s="40">
        <f>-PMT(Assumptions!E$25/12,Assumptions!E$24*12,$R$8)*$C366/100</f>
        <v>76.897498548329537</v>
      </c>
      <c r="T366" s="40">
        <f>S366*Assumptions!$E$24*12-R366</f>
        <v>1977.6998257995438</v>
      </c>
      <c r="U366" s="48"/>
      <c r="V366" s="40">
        <f t="shared" si="28"/>
        <v>0</v>
      </c>
      <c r="W366" s="40" t="e">
        <f>-PMT(Assumptions!F$25/12,Assumptions!F$24*12,$V$8)*$C366/100</f>
        <v>#NUM!</v>
      </c>
      <c r="X366" s="40" t="e">
        <f>W366*Assumptions!$F$24*12-V366</f>
        <v>#NUM!</v>
      </c>
      <c r="Y366" s="43"/>
      <c r="Z366" s="40">
        <f t="shared" si="29"/>
        <v>0</v>
      </c>
      <c r="AA366" s="50" t="e">
        <f>-PMT(Assumptions!G$25/12,Assumptions!G$24*12,$Z$8)*$C366/100</f>
        <v>#NUM!</v>
      </c>
      <c r="AB366" s="44" t="e">
        <f>AA366*Assumptions!$G$24*12-Z366</f>
        <v>#NUM!</v>
      </c>
      <c r="AD366" s="54">
        <f t="shared" si="54"/>
        <v>0</v>
      </c>
      <c r="AE366" s="54">
        <f t="shared" si="55"/>
        <v>0</v>
      </c>
      <c r="AF366" s="54">
        <f t="shared" si="56"/>
        <v>1450</v>
      </c>
      <c r="AG366" s="54">
        <f t="shared" si="57"/>
        <v>7250</v>
      </c>
      <c r="AH366" s="54">
        <f t="shared" si="58"/>
        <v>0</v>
      </c>
      <c r="AI366" s="54">
        <f t="shared" si="59"/>
        <v>0</v>
      </c>
    </row>
    <row r="367" spans="1:35" ht="15" x14ac:dyDescent="0.2">
      <c r="A367" s="56" t="s">
        <v>462</v>
      </c>
      <c r="B367" s="32"/>
      <c r="C367" s="56">
        <v>0.154</v>
      </c>
      <c r="D367" s="56">
        <v>241.8</v>
      </c>
      <c r="E367" s="36"/>
      <c r="F367" s="40">
        <f t="shared" si="24"/>
        <v>0</v>
      </c>
      <c r="G367" s="40" t="e">
        <f>-PMT(Assumptions!B$25/12,Assumptions!B$24*12,F$8)*C367/100</f>
        <v>#NUM!</v>
      </c>
      <c r="H367" s="40" t="e">
        <f>G367*Assumptions!$B$24*12-F367</f>
        <v>#NUM!</v>
      </c>
      <c r="I367" s="48"/>
      <c r="J367" s="40">
        <f t="shared" si="25"/>
        <v>0</v>
      </c>
      <c r="K367" s="40" t="e">
        <f>-PMT(Assumptions!C$25/12,Assumptions!C$24*12,J$8)*C367/100</f>
        <v>#NUM!</v>
      </c>
      <c r="L367" s="40" t="e">
        <f>K367*Assumptions!$C$24*12-J367</f>
        <v>#NUM!</v>
      </c>
      <c r="M367" s="43"/>
      <c r="N367" s="40">
        <f t="shared" si="26"/>
        <v>1540</v>
      </c>
      <c r="O367" s="50">
        <f>-PMT(Assumptions!D$25/12,Assumptions!D$24*12,N$8)*C367/100</f>
        <v>16.334089346817585</v>
      </c>
      <c r="P367" s="44">
        <f>O367*Assumptions!$D$24*12-N367</f>
        <v>420.09072161811036</v>
      </c>
      <c r="Q367" s="48"/>
      <c r="R367" s="40">
        <f t="shared" si="27"/>
        <v>7700</v>
      </c>
      <c r="S367" s="40">
        <f>-PMT(Assumptions!E$25/12,Assumptions!E$24*12,$R$8)*$C367/100</f>
        <v>81.670446734087932</v>
      </c>
      <c r="T367" s="40">
        <f>S367*Assumptions!$E$24*12-R367</f>
        <v>2100.4536080905527</v>
      </c>
      <c r="U367" s="48"/>
      <c r="V367" s="40">
        <f t="shared" si="28"/>
        <v>0</v>
      </c>
      <c r="W367" s="40" t="e">
        <f>-PMT(Assumptions!F$25/12,Assumptions!F$24*12,$V$8)*$C367/100</f>
        <v>#NUM!</v>
      </c>
      <c r="X367" s="40" t="e">
        <f>W367*Assumptions!$F$24*12-V367</f>
        <v>#NUM!</v>
      </c>
      <c r="Y367" s="43"/>
      <c r="Z367" s="40">
        <f t="shared" si="29"/>
        <v>0</v>
      </c>
      <c r="AA367" s="50" t="e">
        <f>-PMT(Assumptions!G$25/12,Assumptions!G$24*12,$Z$8)*$C367/100</f>
        <v>#NUM!</v>
      </c>
      <c r="AB367" s="44" t="e">
        <f>AA367*Assumptions!$G$24*12-Z367</f>
        <v>#NUM!</v>
      </c>
      <c r="AD367" s="54">
        <f t="shared" si="54"/>
        <v>0</v>
      </c>
      <c r="AE367" s="54">
        <f t="shared" si="55"/>
        <v>0</v>
      </c>
      <c r="AF367" s="54">
        <f t="shared" si="56"/>
        <v>1540</v>
      </c>
      <c r="AG367" s="54">
        <f t="shared" si="57"/>
        <v>7700</v>
      </c>
      <c r="AH367" s="54">
        <f t="shared" si="58"/>
        <v>0</v>
      </c>
      <c r="AI367" s="54">
        <f t="shared" si="59"/>
        <v>0</v>
      </c>
    </row>
    <row r="368" spans="1:35" ht="15" x14ac:dyDescent="0.2">
      <c r="A368" s="56" t="s">
        <v>463</v>
      </c>
      <c r="B368" s="32"/>
      <c r="C368" s="56">
        <v>0.215</v>
      </c>
      <c r="D368" s="56">
        <v>337.57</v>
      </c>
      <c r="E368" s="36"/>
      <c r="F368" s="40">
        <f t="shared" si="24"/>
        <v>0</v>
      </c>
      <c r="G368" s="40" t="e">
        <f>-PMT(Assumptions!B$25/12,Assumptions!B$24*12,F$8)*C368/100</f>
        <v>#NUM!</v>
      </c>
      <c r="H368" s="40" t="e">
        <f>G368*Assumptions!$B$24*12-F368</f>
        <v>#NUM!</v>
      </c>
      <c r="I368" s="48"/>
      <c r="J368" s="40">
        <f t="shared" si="25"/>
        <v>0</v>
      </c>
      <c r="K368" s="40" t="e">
        <f>-PMT(Assumptions!C$25/12,Assumptions!C$24*12,J$8)*C368/100</f>
        <v>#NUM!</v>
      </c>
      <c r="L368" s="40" t="e">
        <f>K368*Assumptions!$C$24*12-J368</f>
        <v>#NUM!</v>
      </c>
      <c r="M368" s="43"/>
      <c r="N368" s="40">
        <f t="shared" si="26"/>
        <v>2150</v>
      </c>
      <c r="O368" s="50">
        <f>-PMT(Assumptions!D$25/12,Assumptions!D$24*12,N$8)*C368/100</f>
        <v>22.804085776401177</v>
      </c>
      <c r="P368" s="44">
        <f>O368*Assumptions!$D$24*12-N368</f>
        <v>586.49029316814131</v>
      </c>
      <c r="Q368" s="48"/>
      <c r="R368" s="40">
        <f t="shared" si="27"/>
        <v>10750</v>
      </c>
      <c r="S368" s="40">
        <f>-PMT(Assumptions!E$25/12,Assumptions!E$24*12,$R$8)*$C368/100</f>
        <v>114.02042888200587</v>
      </c>
      <c r="T368" s="40">
        <f>S368*Assumptions!$E$24*12-R368</f>
        <v>2932.4514658407061</v>
      </c>
      <c r="U368" s="48"/>
      <c r="V368" s="40">
        <f t="shared" si="28"/>
        <v>0</v>
      </c>
      <c r="W368" s="40" t="e">
        <f>-PMT(Assumptions!F$25/12,Assumptions!F$24*12,$V$8)*$C368/100</f>
        <v>#NUM!</v>
      </c>
      <c r="X368" s="40" t="e">
        <f>W368*Assumptions!$F$24*12-V368</f>
        <v>#NUM!</v>
      </c>
      <c r="Y368" s="43"/>
      <c r="Z368" s="40">
        <f t="shared" si="29"/>
        <v>0</v>
      </c>
      <c r="AA368" s="50" t="e">
        <f>-PMT(Assumptions!G$25/12,Assumptions!G$24*12,$Z$8)*$C368/100</f>
        <v>#NUM!</v>
      </c>
      <c r="AB368" s="44" t="e">
        <f>AA368*Assumptions!$G$24*12-Z368</f>
        <v>#NUM!</v>
      </c>
      <c r="AD368" s="54">
        <f t="shared" si="54"/>
        <v>0</v>
      </c>
      <c r="AE368" s="54">
        <f t="shared" si="55"/>
        <v>0</v>
      </c>
      <c r="AF368" s="54">
        <f t="shared" si="56"/>
        <v>2150</v>
      </c>
      <c r="AG368" s="54">
        <f t="shared" si="57"/>
        <v>10750</v>
      </c>
      <c r="AH368" s="54">
        <f t="shared" si="58"/>
        <v>0</v>
      </c>
      <c r="AI368" s="54">
        <f t="shared" si="59"/>
        <v>0</v>
      </c>
    </row>
    <row r="369" spans="1:35" ht="15" x14ac:dyDescent="0.2">
      <c r="A369" s="56" t="s">
        <v>464</v>
      </c>
      <c r="B369" s="32"/>
      <c r="C369" s="56">
        <v>0.223</v>
      </c>
      <c r="D369" s="56">
        <v>350.13</v>
      </c>
      <c r="E369" s="36"/>
      <c r="F369" s="40">
        <f t="shared" si="24"/>
        <v>0</v>
      </c>
      <c r="G369" s="40" t="e">
        <f>-PMT(Assumptions!B$25/12,Assumptions!B$24*12,F$8)*C369/100</f>
        <v>#NUM!</v>
      </c>
      <c r="H369" s="40" t="e">
        <f>G369*Assumptions!$B$24*12-F369</f>
        <v>#NUM!</v>
      </c>
      <c r="I369" s="48"/>
      <c r="J369" s="40">
        <f t="shared" si="25"/>
        <v>0</v>
      </c>
      <c r="K369" s="40" t="e">
        <f>-PMT(Assumptions!C$25/12,Assumptions!C$24*12,J$8)*C369/100</f>
        <v>#NUM!</v>
      </c>
      <c r="L369" s="40" t="e">
        <f>K369*Assumptions!$C$24*12-J369</f>
        <v>#NUM!</v>
      </c>
      <c r="M369" s="43"/>
      <c r="N369" s="40">
        <f t="shared" si="26"/>
        <v>2230</v>
      </c>
      <c r="O369" s="50">
        <f>-PMT(Assumptions!D$25/12,Assumptions!D$24*12,N$8)*C369/100</f>
        <v>23.652609898313777</v>
      </c>
      <c r="P369" s="44">
        <f>O369*Assumptions!$D$24*12-N369</f>
        <v>608.31318779765343</v>
      </c>
      <c r="Q369" s="48"/>
      <c r="R369" s="40">
        <f t="shared" si="27"/>
        <v>11150</v>
      </c>
      <c r="S369" s="40">
        <f>-PMT(Assumptions!E$25/12,Assumptions!E$24*12,$R$8)*$C369/100</f>
        <v>118.26304949156889</v>
      </c>
      <c r="T369" s="40">
        <f>S369*Assumptions!$E$24*12-R369</f>
        <v>3041.5659389882658</v>
      </c>
      <c r="U369" s="48"/>
      <c r="V369" s="40">
        <f t="shared" si="28"/>
        <v>0</v>
      </c>
      <c r="W369" s="40" t="e">
        <f>-PMT(Assumptions!F$25/12,Assumptions!F$24*12,$V$8)*$C369/100</f>
        <v>#NUM!</v>
      </c>
      <c r="X369" s="40" t="e">
        <f>W369*Assumptions!$F$24*12-V369</f>
        <v>#NUM!</v>
      </c>
      <c r="Y369" s="43"/>
      <c r="Z369" s="40">
        <f t="shared" si="29"/>
        <v>0</v>
      </c>
      <c r="AA369" s="50" t="e">
        <f>-PMT(Assumptions!G$25/12,Assumptions!G$24*12,$Z$8)*$C369/100</f>
        <v>#NUM!</v>
      </c>
      <c r="AB369" s="44" t="e">
        <f>AA369*Assumptions!$G$24*12-Z369</f>
        <v>#NUM!</v>
      </c>
      <c r="AD369" s="54">
        <f t="shared" si="54"/>
        <v>0</v>
      </c>
      <c r="AE369" s="54">
        <f t="shared" si="55"/>
        <v>0</v>
      </c>
      <c r="AF369" s="54">
        <f t="shared" si="56"/>
        <v>2230</v>
      </c>
      <c r="AG369" s="54">
        <f t="shared" si="57"/>
        <v>11150</v>
      </c>
      <c r="AH369" s="54">
        <f t="shared" si="58"/>
        <v>0</v>
      </c>
      <c r="AI369" s="54">
        <f t="shared" si="59"/>
        <v>0</v>
      </c>
    </row>
    <row r="370" spans="1:35" ht="15" x14ac:dyDescent="0.2">
      <c r="A370" s="56" t="s">
        <v>465</v>
      </c>
      <c r="B370" s="32"/>
      <c r="C370" s="56">
        <v>0.2</v>
      </c>
      <c r="D370" s="56">
        <v>314.02</v>
      </c>
      <c r="E370" s="36"/>
      <c r="F370" s="40">
        <f t="shared" si="24"/>
        <v>0</v>
      </c>
      <c r="G370" s="40" t="e">
        <f>-PMT(Assumptions!B$25/12,Assumptions!B$24*12,F$8)*C370/100</f>
        <v>#NUM!</v>
      </c>
      <c r="H370" s="40" t="e">
        <f>G370*Assumptions!$B$24*12-F370</f>
        <v>#NUM!</v>
      </c>
      <c r="I370" s="48"/>
      <c r="J370" s="40">
        <f t="shared" si="25"/>
        <v>0</v>
      </c>
      <c r="K370" s="40" t="e">
        <f>-PMT(Assumptions!C$25/12,Assumptions!C$24*12,J$8)*C370/100</f>
        <v>#NUM!</v>
      </c>
      <c r="L370" s="40" t="e">
        <f>K370*Assumptions!$C$24*12-J370</f>
        <v>#NUM!</v>
      </c>
      <c r="M370" s="43"/>
      <c r="N370" s="40">
        <f t="shared" si="26"/>
        <v>2000</v>
      </c>
      <c r="O370" s="50">
        <f>-PMT(Assumptions!D$25/12,Assumptions!D$24*12,N$8)*C370/100</f>
        <v>21.213103047815046</v>
      </c>
      <c r="P370" s="44">
        <f>O370*Assumptions!$D$24*12-N370</f>
        <v>545.57236573780574</v>
      </c>
      <c r="Q370" s="48"/>
      <c r="R370" s="40">
        <f t="shared" si="27"/>
        <v>10000</v>
      </c>
      <c r="S370" s="40">
        <f>-PMT(Assumptions!E$25/12,Assumptions!E$24*12,$R$8)*$C370/100</f>
        <v>106.06551523907525</v>
      </c>
      <c r="T370" s="40">
        <f>S370*Assumptions!$E$24*12-R370</f>
        <v>2727.8618286890305</v>
      </c>
      <c r="U370" s="48"/>
      <c r="V370" s="40">
        <f t="shared" si="28"/>
        <v>0</v>
      </c>
      <c r="W370" s="40" t="e">
        <f>-PMT(Assumptions!F$25/12,Assumptions!F$24*12,$V$8)*$C370/100</f>
        <v>#NUM!</v>
      </c>
      <c r="X370" s="40" t="e">
        <f>W370*Assumptions!$F$24*12-V370</f>
        <v>#NUM!</v>
      </c>
      <c r="Y370" s="43"/>
      <c r="Z370" s="40">
        <f t="shared" si="29"/>
        <v>0</v>
      </c>
      <c r="AA370" s="50" t="e">
        <f>-PMT(Assumptions!G$25/12,Assumptions!G$24*12,$Z$8)*$C370/100</f>
        <v>#NUM!</v>
      </c>
      <c r="AB370" s="44" t="e">
        <f>AA370*Assumptions!$G$24*12-Z370</f>
        <v>#NUM!</v>
      </c>
      <c r="AD370" s="54">
        <f t="shared" si="54"/>
        <v>0</v>
      </c>
      <c r="AE370" s="54">
        <f t="shared" si="55"/>
        <v>0</v>
      </c>
      <c r="AF370" s="54">
        <f t="shared" si="56"/>
        <v>2000</v>
      </c>
      <c r="AG370" s="54">
        <f t="shared" si="57"/>
        <v>10000</v>
      </c>
      <c r="AH370" s="54">
        <f t="shared" si="58"/>
        <v>0</v>
      </c>
      <c r="AI370" s="54">
        <f t="shared" si="59"/>
        <v>0</v>
      </c>
    </row>
    <row r="371" spans="1:35" ht="15" x14ac:dyDescent="0.2">
      <c r="A371" s="56" t="s">
        <v>466</v>
      </c>
      <c r="B371" s="32"/>
      <c r="C371" s="56">
        <v>0.2</v>
      </c>
      <c r="D371" s="56">
        <v>314.02</v>
      </c>
      <c r="E371" s="36"/>
      <c r="F371" s="40">
        <f t="shared" si="24"/>
        <v>0</v>
      </c>
      <c r="G371" s="40" t="e">
        <f>-PMT(Assumptions!B$25/12,Assumptions!B$24*12,F$8)*C371/100</f>
        <v>#NUM!</v>
      </c>
      <c r="H371" s="40" t="e">
        <f>G371*Assumptions!$B$24*12-F371</f>
        <v>#NUM!</v>
      </c>
      <c r="I371" s="48"/>
      <c r="J371" s="40">
        <f t="shared" si="25"/>
        <v>0</v>
      </c>
      <c r="K371" s="40" t="e">
        <f>-PMT(Assumptions!C$25/12,Assumptions!C$24*12,J$8)*C371/100</f>
        <v>#NUM!</v>
      </c>
      <c r="L371" s="40" t="e">
        <f>K371*Assumptions!$C$24*12-J371</f>
        <v>#NUM!</v>
      </c>
      <c r="M371" s="43"/>
      <c r="N371" s="40">
        <f t="shared" si="26"/>
        <v>2000</v>
      </c>
      <c r="O371" s="50">
        <f>-PMT(Assumptions!D$25/12,Assumptions!D$24*12,N$8)*C371/100</f>
        <v>21.213103047815046</v>
      </c>
      <c r="P371" s="44">
        <f>O371*Assumptions!$D$24*12-N371</f>
        <v>545.57236573780574</v>
      </c>
      <c r="Q371" s="48"/>
      <c r="R371" s="40">
        <f t="shared" si="27"/>
        <v>10000</v>
      </c>
      <c r="S371" s="40">
        <f>-PMT(Assumptions!E$25/12,Assumptions!E$24*12,$R$8)*$C371/100</f>
        <v>106.06551523907525</v>
      </c>
      <c r="T371" s="40">
        <f>S371*Assumptions!$E$24*12-R371</f>
        <v>2727.8618286890305</v>
      </c>
      <c r="U371" s="48"/>
      <c r="V371" s="40">
        <f t="shared" si="28"/>
        <v>0</v>
      </c>
      <c r="W371" s="40" t="e">
        <f>-PMT(Assumptions!F$25/12,Assumptions!F$24*12,$V$8)*$C371/100</f>
        <v>#NUM!</v>
      </c>
      <c r="X371" s="40" t="e">
        <f>W371*Assumptions!$F$24*12-V371</f>
        <v>#NUM!</v>
      </c>
      <c r="Y371" s="43"/>
      <c r="Z371" s="40">
        <f t="shared" si="29"/>
        <v>0</v>
      </c>
      <c r="AA371" s="50" t="e">
        <f>-PMT(Assumptions!G$25/12,Assumptions!G$24*12,$Z$8)*$C371/100</f>
        <v>#NUM!</v>
      </c>
      <c r="AB371" s="44" t="e">
        <f>AA371*Assumptions!$G$24*12-Z371</f>
        <v>#NUM!</v>
      </c>
      <c r="AD371" s="54">
        <f t="shared" si="54"/>
        <v>0</v>
      </c>
      <c r="AE371" s="54">
        <f t="shared" si="55"/>
        <v>0</v>
      </c>
      <c r="AF371" s="54">
        <f t="shared" si="56"/>
        <v>2000</v>
      </c>
      <c r="AG371" s="54">
        <f t="shared" si="57"/>
        <v>10000</v>
      </c>
      <c r="AH371" s="54">
        <f t="shared" si="58"/>
        <v>0</v>
      </c>
      <c r="AI371" s="54">
        <f t="shared" si="59"/>
        <v>0</v>
      </c>
    </row>
    <row r="372" spans="1:35" ht="15" x14ac:dyDescent="0.2">
      <c r="A372" s="56" t="s">
        <v>467</v>
      </c>
      <c r="B372" s="32"/>
      <c r="C372" s="56">
        <v>0.14499999999999999</v>
      </c>
      <c r="D372" s="56">
        <v>227.66</v>
      </c>
      <c r="E372" s="36"/>
      <c r="F372" s="40">
        <f t="shared" si="24"/>
        <v>0</v>
      </c>
      <c r="G372" s="40" t="e">
        <f>-PMT(Assumptions!B$25/12,Assumptions!B$24*12,F$8)*C372/100</f>
        <v>#NUM!</v>
      </c>
      <c r="H372" s="40" t="e">
        <f>G372*Assumptions!$B$24*12-F372</f>
        <v>#NUM!</v>
      </c>
      <c r="I372" s="48"/>
      <c r="J372" s="40">
        <f t="shared" si="25"/>
        <v>0</v>
      </c>
      <c r="K372" s="40" t="e">
        <f>-PMT(Assumptions!C$25/12,Assumptions!C$24*12,J$8)*C372/100</f>
        <v>#NUM!</v>
      </c>
      <c r="L372" s="40" t="e">
        <f>K372*Assumptions!$C$24*12-J372</f>
        <v>#NUM!</v>
      </c>
      <c r="M372" s="43"/>
      <c r="N372" s="40">
        <f t="shared" si="26"/>
        <v>1450</v>
      </c>
      <c r="O372" s="50">
        <f>-PMT(Assumptions!D$25/12,Assumptions!D$24*12,N$8)*C372/100</f>
        <v>15.379499709665906</v>
      </c>
      <c r="P372" s="44">
        <f>O372*Assumptions!$D$24*12-N372</f>
        <v>395.53996515990866</v>
      </c>
      <c r="Q372" s="48"/>
      <c r="R372" s="40">
        <f t="shared" si="27"/>
        <v>7250</v>
      </c>
      <c r="S372" s="40">
        <f>-PMT(Assumptions!E$25/12,Assumptions!E$24*12,$R$8)*$C372/100</f>
        <v>76.897498548329537</v>
      </c>
      <c r="T372" s="40">
        <f>S372*Assumptions!$E$24*12-R372</f>
        <v>1977.6998257995438</v>
      </c>
      <c r="U372" s="48"/>
      <c r="V372" s="40">
        <f t="shared" si="28"/>
        <v>0</v>
      </c>
      <c r="W372" s="40" t="e">
        <f>-PMT(Assumptions!F$25/12,Assumptions!F$24*12,$V$8)*$C372/100</f>
        <v>#NUM!</v>
      </c>
      <c r="X372" s="40" t="e">
        <f>W372*Assumptions!$F$24*12-V372</f>
        <v>#NUM!</v>
      </c>
      <c r="Y372" s="43"/>
      <c r="Z372" s="40">
        <f t="shared" si="29"/>
        <v>0</v>
      </c>
      <c r="AA372" s="50" t="e">
        <f>-PMT(Assumptions!G$25/12,Assumptions!G$24*12,$Z$8)*$C372/100</f>
        <v>#NUM!</v>
      </c>
      <c r="AB372" s="44" t="e">
        <f>AA372*Assumptions!$G$24*12-Z372</f>
        <v>#NUM!</v>
      </c>
      <c r="AD372" s="54">
        <f t="shared" si="54"/>
        <v>0</v>
      </c>
      <c r="AE372" s="54">
        <f t="shared" si="55"/>
        <v>0</v>
      </c>
      <c r="AF372" s="54">
        <f t="shared" si="56"/>
        <v>1450</v>
      </c>
      <c r="AG372" s="54">
        <f t="shared" si="57"/>
        <v>7250</v>
      </c>
      <c r="AH372" s="54">
        <f t="shared" si="58"/>
        <v>0</v>
      </c>
      <c r="AI372" s="54">
        <f t="shared" si="59"/>
        <v>0</v>
      </c>
    </row>
    <row r="373" spans="1:35" ht="15" x14ac:dyDescent="0.2">
      <c r="A373" s="56" t="s">
        <v>468</v>
      </c>
      <c r="B373" s="32"/>
      <c r="C373" s="56">
        <v>0.154</v>
      </c>
      <c r="D373" s="56">
        <v>241.8</v>
      </c>
      <c r="E373" s="36"/>
      <c r="F373" s="40">
        <f t="shared" si="24"/>
        <v>0</v>
      </c>
      <c r="G373" s="40" t="e">
        <f>-PMT(Assumptions!B$25/12,Assumptions!B$24*12,F$8)*C373/100</f>
        <v>#NUM!</v>
      </c>
      <c r="H373" s="40" t="e">
        <f>G373*Assumptions!$B$24*12-F373</f>
        <v>#NUM!</v>
      </c>
      <c r="I373" s="48"/>
      <c r="J373" s="40">
        <f t="shared" si="25"/>
        <v>0</v>
      </c>
      <c r="K373" s="40" t="e">
        <f>-PMT(Assumptions!C$25/12,Assumptions!C$24*12,J$8)*C373/100</f>
        <v>#NUM!</v>
      </c>
      <c r="L373" s="40" t="e">
        <f>K373*Assumptions!$C$24*12-J373</f>
        <v>#NUM!</v>
      </c>
      <c r="M373" s="43"/>
      <c r="N373" s="40">
        <f t="shared" si="26"/>
        <v>1540</v>
      </c>
      <c r="O373" s="50">
        <f>-PMT(Assumptions!D$25/12,Assumptions!D$24*12,N$8)*C373/100</f>
        <v>16.334089346817585</v>
      </c>
      <c r="P373" s="44">
        <f>O373*Assumptions!$D$24*12-N373</f>
        <v>420.09072161811036</v>
      </c>
      <c r="Q373" s="48"/>
      <c r="R373" s="40">
        <f t="shared" si="27"/>
        <v>7700</v>
      </c>
      <c r="S373" s="40">
        <f>-PMT(Assumptions!E$25/12,Assumptions!E$24*12,$R$8)*$C373/100</f>
        <v>81.670446734087932</v>
      </c>
      <c r="T373" s="40">
        <f>S373*Assumptions!$E$24*12-R373</f>
        <v>2100.4536080905527</v>
      </c>
      <c r="U373" s="48"/>
      <c r="V373" s="40">
        <f t="shared" si="28"/>
        <v>0</v>
      </c>
      <c r="W373" s="40" t="e">
        <f>-PMT(Assumptions!F$25/12,Assumptions!F$24*12,$V$8)*$C373/100</f>
        <v>#NUM!</v>
      </c>
      <c r="X373" s="40" t="e">
        <f>W373*Assumptions!$F$24*12-V373</f>
        <v>#NUM!</v>
      </c>
      <c r="Y373" s="43"/>
      <c r="Z373" s="40">
        <f t="shared" si="29"/>
        <v>0</v>
      </c>
      <c r="AA373" s="50" t="e">
        <f>-PMT(Assumptions!G$25/12,Assumptions!G$24*12,$Z$8)*$C373/100</f>
        <v>#NUM!</v>
      </c>
      <c r="AB373" s="44" t="e">
        <f>AA373*Assumptions!$G$24*12-Z373</f>
        <v>#NUM!</v>
      </c>
      <c r="AD373" s="54">
        <f t="shared" si="54"/>
        <v>0</v>
      </c>
      <c r="AE373" s="54">
        <f t="shared" si="55"/>
        <v>0</v>
      </c>
      <c r="AF373" s="54">
        <f t="shared" si="56"/>
        <v>1540</v>
      </c>
      <c r="AG373" s="54">
        <f t="shared" si="57"/>
        <v>7700</v>
      </c>
      <c r="AH373" s="54">
        <f t="shared" si="58"/>
        <v>0</v>
      </c>
      <c r="AI373" s="54">
        <f t="shared" si="59"/>
        <v>0</v>
      </c>
    </row>
    <row r="374" spans="1:35" ht="15" x14ac:dyDescent="0.2">
      <c r="A374" s="56" t="s">
        <v>469</v>
      </c>
      <c r="B374" s="32"/>
      <c r="C374" s="56">
        <v>0.14499999999999999</v>
      </c>
      <c r="D374" s="56">
        <v>227.66</v>
      </c>
      <c r="E374" s="36"/>
      <c r="F374" s="40">
        <f t="shared" si="24"/>
        <v>0</v>
      </c>
      <c r="G374" s="40" t="e">
        <f>-PMT(Assumptions!B$25/12,Assumptions!B$24*12,F$8)*C374/100</f>
        <v>#NUM!</v>
      </c>
      <c r="H374" s="40" t="e">
        <f>G374*Assumptions!$B$24*12-F374</f>
        <v>#NUM!</v>
      </c>
      <c r="I374" s="48"/>
      <c r="J374" s="40">
        <f t="shared" si="25"/>
        <v>0</v>
      </c>
      <c r="K374" s="40" t="e">
        <f>-PMT(Assumptions!C$25/12,Assumptions!C$24*12,J$8)*C374/100</f>
        <v>#NUM!</v>
      </c>
      <c r="L374" s="40" t="e">
        <f>K374*Assumptions!$C$24*12-J374</f>
        <v>#NUM!</v>
      </c>
      <c r="M374" s="43"/>
      <c r="N374" s="40">
        <f t="shared" si="26"/>
        <v>1450</v>
      </c>
      <c r="O374" s="50">
        <f>-PMT(Assumptions!D$25/12,Assumptions!D$24*12,N$8)*C374/100</f>
        <v>15.379499709665906</v>
      </c>
      <c r="P374" s="44">
        <f>O374*Assumptions!$D$24*12-N374</f>
        <v>395.53996515990866</v>
      </c>
      <c r="Q374" s="48"/>
      <c r="R374" s="40">
        <f t="shared" si="27"/>
        <v>7250</v>
      </c>
      <c r="S374" s="40">
        <f>-PMT(Assumptions!E$25/12,Assumptions!E$24*12,$R$8)*$C374/100</f>
        <v>76.897498548329537</v>
      </c>
      <c r="T374" s="40">
        <f>S374*Assumptions!$E$24*12-R374</f>
        <v>1977.6998257995438</v>
      </c>
      <c r="U374" s="48"/>
      <c r="V374" s="40">
        <f t="shared" si="28"/>
        <v>0</v>
      </c>
      <c r="W374" s="40" t="e">
        <f>-PMT(Assumptions!F$25/12,Assumptions!F$24*12,$V$8)*$C374/100</f>
        <v>#NUM!</v>
      </c>
      <c r="X374" s="40" t="e">
        <f>W374*Assumptions!$F$24*12-V374</f>
        <v>#NUM!</v>
      </c>
      <c r="Y374" s="43"/>
      <c r="Z374" s="40">
        <f t="shared" si="29"/>
        <v>0</v>
      </c>
      <c r="AA374" s="50" t="e">
        <f>-PMT(Assumptions!G$25/12,Assumptions!G$24*12,$Z$8)*$C374/100</f>
        <v>#NUM!</v>
      </c>
      <c r="AB374" s="44" t="e">
        <f>AA374*Assumptions!$G$24*12-Z374</f>
        <v>#NUM!</v>
      </c>
      <c r="AD374" s="54">
        <f t="shared" si="54"/>
        <v>0</v>
      </c>
      <c r="AE374" s="54">
        <f t="shared" si="55"/>
        <v>0</v>
      </c>
      <c r="AF374" s="54">
        <f t="shared" si="56"/>
        <v>1450</v>
      </c>
      <c r="AG374" s="54">
        <f t="shared" si="57"/>
        <v>7250</v>
      </c>
      <c r="AH374" s="54">
        <f t="shared" si="58"/>
        <v>0</v>
      </c>
      <c r="AI374" s="54">
        <f t="shared" si="59"/>
        <v>0</v>
      </c>
    </row>
    <row r="375" spans="1:35" ht="15" x14ac:dyDescent="0.2">
      <c r="A375" s="56" t="s">
        <v>470</v>
      </c>
      <c r="B375" s="32"/>
      <c r="C375" s="56">
        <v>0.154</v>
      </c>
      <c r="D375" s="56">
        <v>241.8</v>
      </c>
      <c r="E375" s="36"/>
      <c r="F375" s="40">
        <f t="shared" si="24"/>
        <v>0</v>
      </c>
      <c r="G375" s="40" t="e">
        <f>-PMT(Assumptions!B$25/12,Assumptions!B$24*12,F$8)*C375/100</f>
        <v>#NUM!</v>
      </c>
      <c r="H375" s="40" t="e">
        <f>G375*Assumptions!$B$24*12-F375</f>
        <v>#NUM!</v>
      </c>
      <c r="I375" s="48"/>
      <c r="J375" s="40">
        <f t="shared" si="25"/>
        <v>0</v>
      </c>
      <c r="K375" s="40" t="e">
        <f>-PMT(Assumptions!C$25/12,Assumptions!C$24*12,J$8)*C375/100</f>
        <v>#NUM!</v>
      </c>
      <c r="L375" s="40" t="e">
        <f>K375*Assumptions!$C$24*12-J375</f>
        <v>#NUM!</v>
      </c>
      <c r="M375" s="43"/>
      <c r="N375" s="40">
        <f t="shared" si="26"/>
        <v>1540</v>
      </c>
      <c r="O375" s="50">
        <f>-PMT(Assumptions!D$25/12,Assumptions!D$24*12,N$8)*C375/100</f>
        <v>16.334089346817585</v>
      </c>
      <c r="P375" s="44">
        <f>O375*Assumptions!$D$24*12-N375</f>
        <v>420.09072161811036</v>
      </c>
      <c r="Q375" s="48"/>
      <c r="R375" s="40">
        <f t="shared" si="27"/>
        <v>7700</v>
      </c>
      <c r="S375" s="40">
        <f>-PMT(Assumptions!E$25/12,Assumptions!E$24*12,$R$8)*$C375/100</f>
        <v>81.670446734087932</v>
      </c>
      <c r="T375" s="40">
        <f>S375*Assumptions!$E$24*12-R375</f>
        <v>2100.4536080905527</v>
      </c>
      <c r="U375" s="48"/>
      <c r="V375" s="40">
        <f t="shared" si="28"/>
        <v>0</v>
      </c>
      <c r="W375" s="40" t="e">
        <f>-PMT(Assumptions!F$25/12,Assumptions!F$24*12,$V$8)*$C375/100</f>
        <v>#NUM!</v>
      </c>
      <c r="X375" s="40" t="e">
        <f>W375*Assumptions!$F$24*12-V375</f>
        <v>#NUM!</v>
      </c>
      <c r="Y375" s="43"/>
      <c r="Z375" s="40">
        <f t="shared" si="29"/>
        <v>0</v>
      </c>
      <c r="AA375" s="50" t="e">
        <f>-PMT(Assumptions!G$25/12,Assumptions!G$24*12,$Z$8)*$C375/100</f>
        <v>#NUM!</v>
      </c>
      <c r="AB375" s="44" t="e">
        <f>AA375*Assumptions!$G$24*12-Z375</f>
        <v>#NUM!</v>
      </c>
      <c r="AD375" s="54">
        <f t="shared" si="54"/>
        <v>0</v>
      </c>
      <c r="AE375" s="54">
        <f t="shared" si="55"/>
        <v>0</v>
      </c>
      <c r="AF375" s="54">
        <f t="shared" si="56"/>
        <v>1540</v>
      </c>
      <c r="AG375" s="54">
        <f t="shared" si="57"/>
        <v>7700</v>
      </c>
      <c r="AH375" s="54">
        <f t="shared" si="58"/>
        <v>0</v>
      </c>
      <c r="AI375" s="54">
        <f t="shared" si="59"/>
        <v>0</v>
      </c>
    </row>
    <row r="376" spans="1:35" ht="15" x14ac:dyDescent="0.2">
      <c r="A376" s="56" t="s">
        <v>471</v>
      </c>
      <c r="B376" s="32"/>
      <c r="C376" s="56">
        <v>0.215</v>
      </c>
      <c r="D376" s="56">
        <v>337.57</v>
      </c>
      <c r="E376" s="36"/>
      <c r="F376" s="40">
        <f t="shared" si="24"/>
        <v>0</v>
      </c>
      <c r="G376" s="40" t="e">
        <f>-PMT(Assumptions!B$25/12,Assumptions!B$24*12,F$8)*C376/100</f>
        <v>#NUM!</v>
      </c>
      <c r="H376" s="40" t="e">
        <f>G376*Assumptions!$B$24*12-F376</f>
        <v>#NUM!</v>
      </c>
      <c r="I376" s="48"/>
      <c r="J376" s="40">
        <f t="shared" si="25"/>
        <v>0</v>
      </c>
      <c r="K376" s="40" t="e">
        <f>-PMT(Assumptions!C$25/12,Assumptions!C$24*12,J$8)*C376/100</f>
        <v>#NUM!</v>
      </c>
      <c r="L376" s="40" t="e">
        <f>K376*Assumptions!$C$24*12-J376</f>
        <v>#NUM!</v>
      </c>
      <c r="M376" s="43"/>
      <c r="N376" s="40">
        <f t="shared" si="26"/>
        <v>2150</v>
      </c>
      <c r="O376" s="50">
        <f>-PMT(Assumptions!D$25/12,Assumptions!D$24*12,N$8)*C376/100</f>
        <v>22.804085776401177</v>
      </c>
      <c r="P376" s="44">
        <f>O376*Assumptions!$D$24*12-N376</f>
        <v>586.49029316814131</v>
      </c>
      <c r="Q376" s="48"/>
      <c r="R376" s="40">
        <f t="shared" si="27"/>
        <v>10750</v>
      </c>
      <c r="S376" s="40">
        <f>-PMT(Assumptions!E$25/12,Assumptions!E$24*12,$R$8)*$C376/100</f>
        <v>114.02042888200587</v>
      </c>
      <c r="T376" s="40">
        <f>S376*Assumptions!$E$24*12-R376</f>
        <v>2932.4514658407061</v>
      </c>
      <c r="U376" s="48"/>
      <c r="V376" s="40">
        <f t="shared" si="28"/>
        <v>0</v>
      </c>
      <c r="W376" s="40" t="e">
        <f>-PMT(Assumptions!F$25/12,Assumptions!F$24*12,$V$8)*$C376/100</f>
        <v>#NUM!</v>
      </c>
      <c r="X376" s="40" t="e">
        <f>W376*Assumptions!$F$24*12-V376</f>
        <v>#NUM!</v>
      </c>
      <c r="Y376" s="43"/>
      <c r="Z376" s="40">
        <f t="shared" si="29"/>
        <v>0</v>
      </c>
      <c r="AA376" s="50" t="e">
        <f>-PMT(Assumptions!G$25/12,Assumptions!G$24*12,$Z$8)*$C376/100</f>
        <v>#NUM!</v>
      </c>
      <c r="AB376" s="44" t="e">
        <f>AA376*Assumptions!$G$24*12-Z376</f>
        <v>#NUM!</v>
      </c>
      <c r="AD376" s="54">
        <f t="shared" si="54"/>
        <v>0</v>
      </c>
      <c r="AE376" s="54">
        <f t="shared" si="55"/>
        <v>0</v>
      </c>
      <c r="AF376" s="54">
        <f t="shared" si="56"/>
        <v>2150</v>
      </c>
      <c r="AG376" s="54">
        <f t="shared" si="57"/>
        <v>10750</v>
      </c>
      <c r="AH376" s="54">
        <f t="shared" si="58"/>
        <v>0</v>
      </c>
      <c r="AI376" s="54">
        <f t="shared" si="59"/>
        <v>0</v>
      </c>
    </row>
    <row r="377" spans="1:35" ht="15" x14ac:dyDescent="0.2">
      <c r="A377" s="56" t="s">
        <v>472</v>
      </c>
      <c r="B377" s="32"/>
      <c r="C377" s="56">
        <v>0.223</v>
      </c>
      <c r="D377" s="56">
        <v>350.13</v>
      </c>
      <c r="E377" s="36"/>
      <c r="F377" s="40">
        <f t="shared" si="24"/>
        <v>0</v>
      </c>
      <c r="G377" s="40" t="e">
        <f>-PMT(Assumptions!B$25/12,Assumptions!B$24*12,F$8)*C377/100</f>
        <v>#NUM!</v>
      </c>
      <c r="H377" s="40" t="e">
        <f>G377*Assumptions!$B$24*12-F377</f>
        <v>#NUM!</v>
      </c>
      <c r="I377" s="48"/>
      <c r="J377" s="40">
        <f t="shared" si="25"/>
        <v>0</v>
      </c>
      <c r="K377" s="40" t="e">
        <f>-PMT(Assumptions!C$25/12,Assumptions!C$24*12,J$8)*C377/100</f>
        <v>#NUM!</v>
      </c>
      <c r="L377" s="40" t="e">
        <f>K377*Assumptions!$C$24*12-J377</f>
        <v>#NUM!</v>
      </c>
      <c r="M377" s="43"/>
      <c r="N377" s="40">
        <f t="shared" si="26"/>
        <v>2230</v>
      </c>
      <c r="O377" s="50">
        <f>-PMT(Assumptions!D$25/12,Assumptions!D$24*12,N$8)*C377/100</f>
        <v>23.652609898313777</v>
      </c>
      <c r="P377" s="44">
        <f>O377*Assumptions!$D$24*12-N377</f>
        <v>608.31318779765343</v>
      </c>
      <c r="Q377" s="48"/>
      <c r="R377" s="40">
        <f t="shared" si="27"/>
        <v>11150</v>
      </c>
      <c r="S377" s="40">
        <f>-PMT(Assumptions!E$25/12,Assumptions!E$24*12,$R$8)*$C377/100</f>
        <v>118.26304949156889</v>
      </c>
      <c r="T377" s="40">
        <f>S377*Assumptions!$E$24*12-R377</f>
        <v>3041.5659389882658</v>
      </c>
      <c r="U377" s="48"/>
      <c r="V377" s="40">
        <f t="shared" si="28"/>
        <v>0</v>
      </c>
      <c r="W377" s="40" t="e">
        <f>-PMT(Assumptions!F$25/12,Assumptions!F$24*12,$V$8)*$C377/100</f>
        <v>#NUM!</v>
      </c>
      <c r="X377" s="40" t="e">
        <f>W377*Assumptions!$F$24*12-V377</f>
        <v>#NUM!</v>
      </c>
      <c r="Y377" s="43"/>
      <c r="Z377" s="40">
        <f t="shared" si="29"/>
        <v>0</v>
      </c>
      <c r="AA377" s="50" t="e">
        <f>-PMT(Assumptions!G$25/12,Assumptions!G$24*12,$Z$8)*$C377/100</f>
        <v>#NUM!</v>
      </c>
      <c r="AB377" s="44" t="e">
        <f>AA377*Assumptions!$G$24*12-Z377</f>
        <v>#NUM!</v>
      </c>
      <c r="AD377" s="54">
        <f t="shared" si="54"/>
        <v>0</v>
      </c>
      <c r="AE377" s="54">
        <f t="shared" si="55"/>
        <v>0</v>
      </c>
      <c r="AF377" s="54">
        <f t="shared" si="56"/>
        <v>2230</v>
      </c>
      <c r="AG377" s="54">
        <f t="shared" si="57"/>
        <v>11150</v>
      </c>
      <c r="AH377" s="54">
        <f t="shared" si="58"/>
        <v>0</v>
      </c>
      <c r="AI377" s="54">
        <f t="shared" si="59"/>
        <v>0</v>
      </c>
    </row>
    <row r="378" spans="1:35" ht="15" x14ac:dyDescent="0.2">
      <c r="A378" s="56" t="s">
        <v>473</v>
      </c>
      <c r="B378" s="32"/>
      <c r="C378" s="56">
        <v>0.20399999999999999</v>
      </c>
      <c r="D378" s="56">
        <v>320.3</v>
      </c>
      <c r="E378" s="36"/>
      <c r="F378" s="40">
        <f t="shared" si="24"/>
        <v>0</v>
      </c>
      <c r="G378" s="40" t="e">
        <f>-PMT(Assumptions!B$25/12,Assumptions!B$24*12,F$8)*C378/100</f>
        <v>#NUM!</v>
      </c>
      <c r="H378" s="40" t="e">
        <f>G378*Assumptions!$B$24*12-F378</f>
        <v>#NUM!</v>
      </c>
      <c r="I378" s="48"/>
      <c r="J378" s="40">
        <f t="shared" si="25"/>
        <v>0</v>
      </c>
      <c r="K378" s="40" t="e">
        <f>-PMT(Assumptions!C$25/12,Assumptions!C$24*12,J$8)*C378/100</f>
        <v>#NUM!</v>
      </c>
      <c r="L378" s="40" t="e">
        <f>K378*Assumptions!$C$24*12-J378</f>
        <v>#NUM!</v>
      </c>
      <c r="M378" s="43"/>
      <c r="N378" s="40">
        <f t="shared" si="26"/>
        <v>2040</v>
      </c>
      <c r="O378" s="50">
        <f>-PMT(Assumptions!D$25/12,Assumptions!D$24*12,N$8)*C378/100</f>
        <v>21.637365108771345</v>
      </c>
      <c r="P378" s="44">
        <f>O378*Assumptions!$D$24*12-N378</f>
        <v>556.48381305256135</v>
      </c>
      <c r="Q378" s="48"/>
      <c r="R378" s="40">
        <f t="shared" si="27"/>
        <v>10199.999999999998</v>
      </c>
      <c r="S378" s="40">
        <f>-PMT(Assumptions!E$25/12,Assumptions!E$24*12,$R$8)*$C378/100</f>
        <v>108.18682554385674</v>
      </c>
      <c r="T378" s="40">
        <f>S378*Assumptions!$E$24*12-R378</f>
        <v>2782.4190652628095</v>
      </c>
      <c r="U378" s="48"/>
      <c r="V378" s="40">
        <f t="shared" si="28"/>
        <v>0</v>
      </c>
      <c r="W378" s="40" t="e">
        <f>-PMT(Assumptions!F$25/12,Assumptions!F$24*12,$V$8)*$C378/100</f>
        <v>#NUM!</v>
      </c>
      <c r="X378" s="40" t="e">
        <f>W378*Assumptions!$F$24*12-V378</f>
        <v>#NUM!</v>
      </c>
      <c r="Y378" s="43"/>
      <c r="Z378" s="40">
        <f t="shared" si="29"/>
        <v>0</v>
      </c>
      <c r="AA378" s="50" t="e">
        <f>-PMT(Assumptions!G$25/12,Assumptions!G$24*12,$Z$8)*$C378/100</f>
        <v>#NUM!</v>
      </c>
      <c r="AB378" s="44" t="e">
        <f>AA378*Assumptions!$G$24*12-Z378</f>
        <v>#NUM!</v>
      </c>
      <c r="AD378" s="54">
        <f t="shared" si="54"/>
        <v>0</v>
      </c>
      <c r="AE378" s="54">
        <f t="shared" si="55"/>
        <v>0</v>
      </c>
      <c r="AF378" s="54">
        <f t="shared" si="56"/>
        <v>2040</v>
      </c>
      <c r="AG378" s="54">
        <f t="shared" si="57"/>
        <v>10199.999999999998</v>
      </c>
      <c r="AH378" s="54">
        <f t="shared" si="58"/>
        <v>0</v>
      </c>
      <c r="AI378" s="54">
        <f t="shared" si="59"/>
        <v>0</v>
      </c>
    </row>
    <row r="379" spans="1:35" ht="15" x14ac:dyDescent="0.2">
      <c r="A379" s="56" t="s">
        <v>474</v>
      </c>
      <c r="B379" s="32"/>
      <c r="C379" s="56">
        <v>0.20399999999999999</v>
      </c>
      <c r="D379" s="56">
        <v>320.3</v>
      </c>
      <c r="E379" s="36"/>
      <c r="F379" s="40">
        <f t="shared" si="24"/>
        <v>0</v>
      </c>
      <c r="G379" s="40" t="e">
        <f>-PMT(Assumptions!B$25/12,Assumptions!B$24*12,F$8)*C379/100</f>
        <v>#NUM!</v>
      </c>
      <c r="H379" s="40" t="e">
        <f>G379*Assumptions!$B$24*12-F379</f>
        <v>#NUM!</v>
      </c>
      <c r="I379" s="48"/>
      <c r="J379" s="40">
        <f t="shared" si="25"/>
        <v>0</v>
      </c>
      <c r="K379" s="40" t="e">
        <f>-PMT(Assumptions!C$25/12,Assumptions!C$24*12,J$8)*C379/100</f>
        <v>#NUM!</v>
      </c>
      <c r="L379" s="40" t="e">
        <f>K379*Assumptions!$C$24*12-J379</f>
        <v>#NUM!</v>
      </c>
      <c r="M379" s="43"/>
      <c r="N379" s="40">
        <f t="shared" si="26"/>
        <v>2040</v>
      </c>
      <c r="O379" s="50">
        <f>-PMT(Assumptions!D$25/12,Assumptions!D$24*12,N$8)*C379/100</f>
        <v>21.637365108771345</v>
      </c>
      <c r="P379" s="44">
        <f>O379*Assumptions!$D$24*12-N379</f>
        <v>556.48381305256135</v>
      </c>
      <c r="Q379" s="48"/>
      <c r="R379" s="40">
        <f t="shared" si="27"/>
        <v>10199.999999999998</v>
      </c>
      <c r="S379" s="40">
        <f>-PMT(Assumptions!E$25/12,Assumptions!E$24*12,$R$8)*$C379/100</f>
        <v>108.18682554385674</v>
      </c>
      <c r="T379" s="40">
        <f>S379*Assumptions!$E$24*12-R379</f>
        <v>2782.4190652628095</v>
      </c>
      <c r="U379" s="48"/>
      <c r="V379" s="40">
        <f t="shared" si="28"/>
        <v>0</v>
      </c>
      <c r="W379" s="40" t="e">
        <f>-PMT(Assumptions!F$25/12,Assumptions!F$24*12,$V$8)*$C379/100</f>
        <v>#NUM!</v>
      </c>
      <c r="X379" s="40" t="e">
        <f>W379*Assumptions!$F$24*12-V379</f>
        <v>#NUM!</v>
      </c>
      <c r="Y379" s="43"/>
      <c r="Z379" s="40">
        <f t="shared" si="29"/>
        <v>0</v>
      </c>
      <c r="AA379" s="50" t="e">
        <f>-PMT(Assumptions!G$25/12,Assumptions!G$24*12,$Z$8)*$C379/100</f>
        <v>#NUM!</v>
      </c>
      <c r="AB379" s="44" t="e">
        <f>AA379*Assumptions!$G$24*12-Z379</f>
        <v>#NUM!</v>
      </c>
      <c r="AD379" s="54">
        <f t="shared" si="54"/>
        <v>0</v>
      </c>
      <c r="AE379" s="54">
        <f t="shared" si="55"/>
        <v>0</v>
      </c>
      <c r="AF379" s="54">
        <f t="shared" si="56"/>
        <v>2040</v>
      </c>
      <c r="AG379" s="54">
        <f t="shared" si="57"/>
        <v>10199.999999999998</v>
      </c>
      <c r="AH379" s="54">
        <f t="shared" si="58"/>
        <v>0</v>
      </c>
      <c r="AI379" s="54">
        <f t="shared" si="59"/>
        <v>0</v>
      </c>
    </row>
    <row r="380" spans="1:35" ht="15" x14ac:dyDescent="0.2">
      <c r="A380" s="56" t="s">
        <v>475</v>
      </c>
      <c r="B380" s="32"/>
      <c r="C380" s="56">
        <v>0.28199999999999997</v>
      </c>
      <c r="D380" s="56">
        <v>442.77</v>
      </c>
      <c r="E380" s="36"/>
      <c r="F380" s="40">
        <f t="shared" si="24"/>
        <v>0</v>
      </c>
      <c r="G380" s="40" t="e">
        <f>-PMT(Assumptions!B$25/12,Assumptions!B$24*12,F$8)*C380/100</f>
        <v>#NUM!</v>
      </c>
      <c r="H380" s="40" t="e">
        <f>G380*Assumptions!$B$24*12-F380</f>
        <v>#NUM!</v>
      </c>
      <c r="I380" s="48"/>
      <c r="J380" s="40">
        <f t="shared" si="25"/>
        <v>0</v>
      </c>
      <c r="K380" s="40" t="e">
        <f>-PMT(Assumptions!C$25/12,Assumptions!C$24*12,J$8)*C380/100</f>
        <v>#NUM!</v>
      </c>
      <c r="L380" s="40" t="e">
        <f>K380*Assumptions!$C$24*12-J380</f>
        <v>#NUM!</v>
      </c>
      <c r="M380" s="43"/>
      <c r="N380" s="40">
        <f t="shared" si="26"/>
        <v>2820</v>
      </c>
      <c r="O380" s="50">
        <f>-PMT(Assumptions!D$25/12,Assumptions!D$24*12,N$8)*C380/100</f>
        <v>29.910475297419211</v>
      </c>
      <c r="P380" s="44">
        <f>O380*Assumptions!$D$24*12-N380</f>
        <v>769.25703569030566</v>
      </c>
      <c r="Q380" s="48"/>
      <c r="R380" s="40">
        <f t="shared" si="27"/>
        <v>14099.999999999998</v>
      </c>
      <c r="S380" s="40">
        <f>-PMT(Assumptions!E$25/12,Assumptions!E$24*12,$R$8)*$C380/100</f>
        <v>149.55237648709607</v>
      </c>
      <c r="T380" s="40">
        <f>S380*Assumptions!$E$24*12-R380</f>
        <v>3846.2851784515315</v>
      </c>
      <c r="U380" s="48"/>
      <c r="V380" s="40">
        <f t="shared" si="28"/>
        <v>0</v>
      </c>
      <c r="W380" s="40" t="e">
        <f>-PMT(Assumptions!F$25/12,Assumptions!F$24*12,$V$8)*$C380/100</f>
        <v>#NUM!</v>
      </c>
      <c r="X380" s="40" t="e">
        <f>W380*Assumptions!$F$24*12-V380</f>
        <v>#NUM!</v>
      </c>
      <c r="Y380" s="43"/>
      <c r="Z380" s="40">
        <f t="shared" si="29"/>
        <v>0</v>
      </c>
      <c r="AA380" s="50" t="e">
        <f>-PMT(Assumptions!G$25/12,Assumptions!G$24*12,$Z$8)*$C380/100</f>
        <v>#NUM!</v>
      </c>
      <c r="AB380" s="44" t="e">
        <f>AA380*Assumptions!$G$24*12-Z380</f>
        <v>#NUM!</v>
      </c>
      <c r="AD380" s="54">
        <f t="shared" si="54"/>
        <v>0</v>
      </c>
      <c r="AE380" s="54">
        <f t="shared" si="55"/>
        <v>0</v>
      </c>
      <c r="AF380" s="54">
        <f t="shared" si="56"/>
        <v>2820</v>
      </c>
      <c r="AG380" s="54">
        <f t="shared" si="57"/>
        <v>14099.999999999998</v>
      </c>
      <c r="AH380" s="54">
        <f t="shared" si="58"/>
        <v>0</v>
      </c>
      <c r="AI380" s="54">
        <f t="shared" si="59"/>
        <v>0</v>
      </c>
    </row>
    <row r="381" spans="1:35" ht="15" x14ac:dyDescent="0.2">
      <c r="A381" s="56" t="s">
        <v>476</v>
      </c>
      <c r="B381" s="32"/>
      <c r="C381" s="56">
        <v>0.28199999999999997</v>
      </c>
      <c r="D381" s="56">
        <v>442.77</v>
      </c>
      <c r="E381" s="36"/>
      <c r="F381" s="40">
        <f t="shared" si="24"/>
        <v>0</v>
      </c>
      <c r="G381" s="40" t="e">
        <f>-PMT(Assumptions!B$25/12,Assumptions!B$24*12,F$8)*C381/100</f>
        <v>#NUM!</v>
      </c>
      <c r="H381" s="40" t="e">
        <f>G381*Assumptions!$B$24*12-F381</f>
        <v>#NUM!</v>
      </c>
      <c r="I381" s="48"/>
      <c r="J381" s="40">
        <f t="shared" si="25"/>
        <v>0</v>
      </c>
      <c r="K381" s="40" t="e">
        <f>-PMT(Assumptions!C$25/12,Assumptions!C$24*12,J$8)*C381/100</f>
        <v>#NUM!</v>
      </c>
      <c r="L381" s="40" t="e">
        <f>K381*Assumptions!$C$24*12-J381</f>
        <v>#NUM!</v>
      </c>
      <c r="M381" s="43"/>
      <c r="N381" s="40">
        <f t="shared" si="26"/>
        <v>2820</v>
      </c>
      <c r="O381" s="50">
        <f>-PMT(Assumptions!D$25/12,Assumptions!D$24*12,N$8)*C381/100</f>
        <v>29.910475297419211</v>
      </c>
      <c r="P381" s="44">
        <f>O381*Assumptions!$D$24*12-N381</f>
        <v>769.25703569030566</v>
      </c>
      <c r="Q381" s="48"/>
      <c r="R381" s="40">
        <f t="shared" si="27"/>
        <v>14099.999999999998</v>
      </c>
      <c r="S381" s="40">
        <f>-PMT(Assumptions!E$25/12,Assumptions!E$24*12,$R$8)*$C381/100</f>
        <v>149.55237648709607</v>
      </c>
      <c r="T381" s="40">
        <f>S381*Assumptions!$E$24*12-R381</f>
        <v>3846.2851784515315</v>
      </c>
      <c r="U381" s="48"/>
      <c r="V381" s="40">
        <f t="shared" si="28"/>
        <v>0</v>
      </c>
      <c r="W381" s="40" t="e">
        <f>-PMT(Assumptions!F$25/12,Assumptions!F$24*12,$V$8)*$C381/100</f>
        <v>#NUM!</v>
      </c>
      <c r="X381" s="40" t="e">
        <f>W381*Assumptions!$F$24*12-V381</f>
        <v>#NUM!</v>
      </c>
      <c r="Y381" s="43"/>
      <c r="Z381" s="40">
        <f t="shared" si="29"/>
        <v>0</v>
      </c>
      <c r="AA381" s="50" t="e">
        <f>-PMT(Assumptions!G$25/12,Assumptions!G$24*12,$Z$8)*$C381/100</f>
        <v>#NUM!</v>
      </c>
      <c r="AB381" s="44" t="e">
        <f>AA381*Assumptions!$G$24*12-Z381</f>
        <v>#NUM!</v>
      </c>
      <c r="AD381" s="54">
        <f t="shared" si="54"/>
        <v>0</v>
      </c>
      <c r="AE381" s="54">
        <f t="shared" si="55"/>
        <v>0</v>
      </c>
      <c r="AF381" s="54">
        <f t="shared" si="56"/>
        <v>2820</v>
      </c>
      <c r="AG381" s="54">
        <f t="shared" si="57"/>
        <v>14099.999999999998</v>
      </c>
      <c r="AH381" s="54">
        <f t="shared" si="58"/>
        <v>0</v>
      </c>
      <c r="AI381" s="54">
        <f t="shared" si="59"/>
        <v>0</v>
      </c>
    </row>
    <row r="382" spans="1:35" ht="15" x14ac:dyDescent="0.2">
      <c r="A382" s="56" t="s">
        <v>477</v>
      </c>
      <c r="B382" s="32"/>
      <c r="C382" s="56">
        <v>0.29699999999999999</v>
      </c>
      <c r="D382" s="56">
        <v>466.32</v>
      </c>
      <c r="E382" s="36"/>
      <c r="F382" s="40">
        <f t="shared" si="24"/>
        <v>0</v>
      </c>
      <c r="G382" s="40" t="e">
        <f>-PMT(Assumptions!B$25/12,Assumptions!B$24*12,F$8)*C382/100</f>
        <v>#NUM!</v>
      </c>
      <c r="H382" s="40" t="e">
        <f>G382*Assumptions!$B$24*12-F382</f>
        <v>#NUM!</v>
      </c>
      <c r="I382" s="48"/>
      <c r="J382" s="40">
        <f t="shared" si="25"/>
        <v>0</v>
      </c>
      <c r="K382" s="40" t="e">
        <f>-PMT(Assumptions!C$25/12,Assumptions!C$24*12,J$8)*C382/100</f>
        <v>#NUM!</v>
      </c>
      <c r="L382" s="40" t="e">
        <f>K382*Assumptions!$C$24*12-J382</f>
        <v>#NUM!</v>
      </c>
      <c r="M382" s="43"/>
      <c r="N382" s="40">
        <f t="shared" si="26"/>
        <v>2970</v>
      </c>
      <c r="O382" s="50">
        <f>-PMT(Assumptions!D$25/12,Assumptions!D$24*12,N$8)*C382/100</f>
        <v>31.501458026005345</v>
      </c>
      <c r="P382" s="44">
        <f>O382*Assumptions!$D$24*12-N382</f>
        <v>810.17496312064122</v>
      </c>
      <c r="Q382" s="48"/>
      <c r="R382" s="40">
        <f t="shared" si="27"/>
        <v>14850</v>
      </c>
      <c r="S382" s="40">
        <f>-PMT(Assumptions!E$25/12,Assumptions!E$24*12,$R$8)*$C382/100</f>
        <v>157.50729013002672</v>
      </c>
      <c r="T382" s="40">
        <f>S382*Assumptions!$E$24*12-R382</f>
        <v>4050.8748156032052</v>
      </c>
      <c r="U382" s="48"/>
      <c r="V382" s="40">
        <f t="shared" si="28"/>
        <v>0</v>
      </c>
      <c r="W382" s="40" t="e">
        <f>-PMT(Assumptions!F$25/12,Assumptions!F$24*12,$V$8)*$C382/100</f>
        <v>#NUM!</v>
      </c>
      <c r="X382" s="40" t="e">
        <f>W382*Assumptions!$F$24*12-V382</f>
        <v>#NUM!</v>
      </c>
      <c r="Y382" s="43"/>
      <c r="Z382" s="40">
        <f t="shared" si="29"/>
        <v>0</v>
      </c>
      <c r="AA382" s="50" t="e">
        <f>-PMT(Assumptions!G$25/12,Assumptions!G$24*12,$Z$8)*$C382/100</f>
        <v>#NUM!</v>
      </c>
      <c r="AB382" s="44" t="e">
        <f>AA382*Assumptions!$G$24*12-Z382</f>
        <v>#NUM!</v>
      </c>
      <c r="AD382" s="54">
        <f t="shared" si="54"/>
        <v>0</v>
      </c>
      <c r="AE382" s="54">
        <f t="shared" si="55"/>
        <v>0</v>
      </c>
      <c r="AF382" s="54">
        <f t="shared" si="56"/>
        <v>2970</v>
      </c>
      <c r="AG382" s="54">
        <f t="shared" si="57"/>
        <v>14850</v>
      </c>
      <c r="AH382" s="54">
        <f t="shared" si="58"/>
        <v>0</v>
      </c>
      <c r="AI382" s="54">
        <f t="shared" si="59"/>
        <v>0</v>
      </c>
    </row>
    <row r="383" spans="1:35" ht="15" x14ac:dyDescent="0.2">
      <c r="A383" s="56" t="s">
        <v>478</v>
      </c>
      <c r="B383" s="32"/>
      <c r="C383" s="56">
        <v>0.29699999999999999</v>
      </c>
      <c r="D383" s="56">
        <v>466.32</v>
      </c>
      <c r="E383" s="36"/>
      <c r="F383" s="40">
        <f t="shared" si="24"/>
        <v>0</v>
      </c>
      <c r="G383" s="40" t="e">
        <f>-PMT(Assumptions!B$25/12,Assumptions!B$24*12,F$8)*C383/100</f>
        <v>#NUM!</v>
      </c>
      <c r="H383" s="40" t="e">
        <f>G383*Assumptions!$B$24*12-F383</f>
        <v>#NUM!</v>
      </c>
      <c r="I383" s="48"/>
      <c r="J383" s="40">
        <f t="shared" si="25"/>
        <v>0</v>
      </c>
      <c r="K383" s="40" t="e">
        <f>-PMT(Assumptions!C$25/12,Assumptions!C$24*12,J$8)*C383/100</f>
        <v>#NUM!</v>
      </c>
      <c r="L383" s="40" t="e">
        <f>K383*Assumptions!$C$24*12-J383</f>
        <v>#NUM!</v>
      </c>
      <c r="M383" s="43"/>
      <c r="N383" s="40">
        <f t="shared" si="26"/>
        <v>2970</v>
      </c>
      <c r="O383" s="50">
        <f>-PMT(Assumptions!D$25/12,Assumptions!D$24*12,N$8)*C383/100</f>
        <v>31.501458026005345</v>
      </c>
      <c r="P383" s="44">
        <f>O383*Assumptions!$D$24*12-N383</f>
        <v>810.17496312064122</v>
      </c>
      <c r="Q383" s="48"/>
      <c r="R383" s="40">
        <f t="shared" si="27"/>
        <v>14850</v>
      </c>
      <c r="S383" s="40">
        <f>-PMT(Assumptions!E$25/12,Assumptions!E$24*12,$R$8)*$C383/100</f>
        <v>157.50729013002672</v>
      </c>
      <c r="T383" s="40">
        <f>S383*Assumptions!$E$24*12-R383</f>
        <v>4050.8748156032052</v>
      </c>
      <c r="U383" s="48"/>
      <c r="V383" s="40">
        <f t="shared" si="28"/>
        <v>0</v>
      </c>
      <c r="W383" s="40" t="e">
        <f>-PMT(Assumptions!F$25/12,Assumptions!F$24*12,$V$8)*$C383/100</f>
        <v>#NUM!</v>
      </c>
      <c r="X383" s="40" t="e">
        <f>W383*Assumptions!$F$24*12-V383</f>
        <v>#NUM!</v>
      </c>
      <c r="Y383" s="43"/>
      <c r="Z383" s="40">
        <f t="shared" si="29"/>
        <v>0</v>
      </c>
      <c r="AA383" s="50" t="e">
        <f>-PMT(Assumptions!G$25/12,Assumptions!G$24*12,$Z$8)*$C383/100</f>
        <v>#NUM!</v>
      </c>
      <c r="AB383" s="44" t="e">
        <f>AA383*Assumptions!$G$24*12-Z383</f>
        <v>#NUM!</v>
      </c>
      <c r="AD383" s="54">
        <f t="shared" si="54"/>
        <v>0</v>
      </c>
      <c r="AE383" s="54">
        <f t="shared" si="55"/>
        <v>0</v>
      </c>
      <c r="AF383" s="54">
        <f t="shared" si="56"/>
        <v>2970</v>
      </c>
      <c r="AG383" s="54">
        <f t="shared" si="57"/>
        <v>14850</v>
      </c>
      <c r="AH383" s="54">
        <f t="shared" si="58"/>
        <v>0</v>
      </c>
      <c r="AI383" s="54">
        <f t="shared" si="59"/>
        <v>0</v>
      </c>
    </row>
    <row r="384" spans="1:35" ht="15" x14ac:dyDescent="0.2">
      <c r="A384" s="56" t="s">
        <v>479</v>
      </c>
      <c r="B384" s="32"/>
      <c r="C384" s="56">
        <v>0.20200000000000001</v>
      </c>
      <c r="D384" s="56">
        <v>317.16000000000003</v>
      </c>
      <c r="E384" s="36"/>
      <c r="F384" s="40">
        <f t="shared" si="24"/>
        <v>0</v>
      </c>
      <c r="G384" s="40" t="e">
        <f>-PMT(Assumptions!B$25/12,Assumptions!B$24*12,F$8)*C384/100</f>
        <v>#NUM!</v>
      </c>
      <c r="H384" s="40" t="e">
        <f>G384*Assumptions!$B$24*12-F384</f>
        <v>#NUM!</v>
      </c>
      <c r="I384" s="48"/>
      <c r="J384" s="40">
        <f t="shared" si="25"/>
        <v>0</v>
      </c>
      <c r="K384" s="40" t="e">
        <f>-PMT(Assumptions!C$25/12,Assumptions!C$24*12,J$8)*C384/100</f>
        <v>#NUM!</v>
      </c>
      <c r="L384" s="40" t="e">
        <f>K384*Assumptions!$C$24*12-J384</f>
        <v>#NUM!</v>
      </c>
      <c r="M384" s="43"/>
      <c r="N384" s="40">
        <f t="shared" si="26"/>
        <v>2020</v>
      </c>
      <c r="O384" s="50">
        <f>-PMT(Assumptions!D$25/12,Assumptions!D$24*12,N$8)*C384/100</f>
        <v>21.425234078293197</v>
      </c>
      <c r="P384" s="44">
        <f>O384*Assumptions!$D$24*12-N384</f>
        <v>551.028089395184</v>
      </c>
      <c r="Q384" s="48"/>
      <c r="R384" s="40">
        <f t="shared" si="27"/>
        <v>10100.000000000002</v>
      </c>
      <c r="S384" s="40">
        <f>-PMT(Assumptions!E$25/12,Assumptions!E$24*12,$R$8)*$C384/100</f>
        <v>107.12617039146599</v>
      </c>
      <c r="T384" s="40">
        <f>S384*Assumptions!$E$24*12-R384</f>
        <v>2755.1404469759163</v>
      </c>
      <c r="U384" s="48"/>
      <c r="V384" s="40">
        <f t="shared" si="28"/>
        <v>0</v>
      </c>
      <c r="W384" s="40" t="e">
        <f>-PMT(Assumptions!F$25/12,Assumptions!F$24*12,$V$8)*$C384/100</f>
        <v>#NUM!</v>
      </c>
      <c r="X384" s="40" t="e">
        <f>W384*Assumptions!$F$24*12-V384</f>
        <v>#NUM!</v>
      </c>
      <c r="Y384" s="43"/>
      <c r="Z384" s="40">
        <f t="shared" si="29"/>
        <v>0</v>
      </c>
      <c r="AA384" s="50" t="e">
        <f>-PMT(Assumptions!G$25/12,Assumptions!G$24*12,$Z$8)*$C384/100</f>
        <v>#NUM!</v>
      </c>
      <c r="AB384" s="44" t="e">
        <f>AA384*Assumptions!$G$24*12-Z384</f>
        <v>#NUM!</v>
      </c>
      <c r="AD384" s="54">
        <f t="shared" si="54"/>
        <v>0</v>
      </c>
      <c r="AE384" s="54">
        <f t="shared" si="55"/>
        <v>0</v>
      </c>
      <c r="AF384" s="54">
        <f t="shared" si="56"/>
        <v>2020</v>
      </c>
      <c r="AG384" s="54">
        <f t="shared" si="57"/>
        <v>10100.000000000002</v>
      </c>
      <c r="AH384" s="54">
        <f t="shared" si="58"/>
        <v>0</v>
      </c>
      <c r="AI384" s="54">
        <f t="shared" si="59"/>
        <v>0</v>
      </c>
    </row>
    <row r="385" spans="1:35" ht="15" x14ac:dyDescent="0.2">
      <c r="A385" s="56" t="s">
        <v>480</v>
      </c>
      <c r="B385" s="32"/>
      <c r="C385" s="56">
        <v>0.20200000000000001</v>
      </c>
      <c r="D385" s="56">
        <v>317.16000000000003</v>
      </c>
      <c r="E385" s="36"/>
      <c r="F385" s="40">
        <f t="shared" si="24"/>
        <v>0</v>
      </c>
      <c r="G385" s="40" t="e">
        <f>-PMT(Assumptions!B$25/12,Assumptions!B$24*12,F$8)*C385/100</f>
        <v>#NUM!</v>
      </c>
      <c r="H385" s="40" t="e">
        <f>G385*Assumptions!$B$24*12-F385</f>
        <v>#NUM!</v>
      </c>
      <c r="I385" s="48"/>
      <c r="J385" s="40">
        <f t="shared" si="25"/>
        <v>0</v>
      </c>
      <c r="K385" s="40" t="e">
        <f>-PMT(Assumptions!C$25/12,Assumptions!C$24*12,J$8)*C385/100</f>
        <v>#NUM!</v>
      </c>
      <c r="L385" s="40" t="e">
        <f>K385*Assumptions!$C$24*12-J385</f>
        <v>#NUM!</v>
      </c>
      <c r="M385" s="43"/>
      <c r="N385" s="40">
        <f t="shared" si="26"/>
        <v>2020</v>
      </c>
      <c r="O385" s="50">
        <f>-PMT(Assumptions!D$25/12,Assumptions!D$24*12,N$8)*C385/100</f>
        <v>21.425234078293197</v>
      </c>
      <c r="P385" s="44">
        <f>O385*Assumptions!$D$24*12-N385</f>
        <v>551.028089395184</v>
      </c>
      <c r="Q385" s="48"/>
      <c r="R385" s="40">
        <f t="shared" si="27"/>
        <v>10100.000000000002</v>
      </c>
      <c r="S385" s="40">
        <f>-PMT(Assumptions!E$25/12,Assumptions!E$24*12,$R$8)*$C385/100</f>
        <v>107.12617039146599</v>
      </c>
      <c r="T385" s="40">
        <f>S385*Assumptions!$E$24*12-R385</f>
        <v>2755.1404469759163</v>
      </c>
      <c r="U385" s="48"/>
      <c r="V385" s="40">
        <f t="shared" si="28"/>
        <v>0</v>
      </c>
      <c r="W385" s="40" t="e">
        <f>-PMT(Assumptions!F$25/12,Assumptions!F$24*12,$V$8)*$C385/100</f>
        <v>#NUM!</v>
      </c>
      <c r="X385" s="40" t="e">
        <f>W385*Assumptions!$F$24*12-V385</f>
        <v>#NUM!</v>
      </c>
      <c r="Y385" s="43"/>
      <c r="Z385" s="40">
        <f t="shared" si="29"/>
        <v>0</v>
      </c>
      <c r="AA385" s="50" t="e">
        <f>-PMT(Assumptions!G$25/12,Assumptions!G$24*12,$Z$8)*$C385/100</f>
        <v>#NUM!</v>
      </c>
      <c r="AB385" s="44" t="e">
        <f>AA385*Assumptions!$G$24*12-Z385</f>
        <v>#NUM!</v>
      </c>
      <c r="AD385" s="54">
        <f t="shared" si="54"/>
        <v>0</v>
      </c>
      <c r="AE385" s="54">
        <f t="shared" si="55"/>
        <v>0</v>
      </c>
      <c r="AF385" s="54">
        <f t="shared" si="56"/>
        <v>2020</v>
      </c>
      <c r="AG385" s="54">
        <f t="shared" si="57"/>
        <v>10100.000000000002</v>
      </c>
      <c r="AH385" s="54">
        <f t="shared" si="58"/>
        <v>0</v>
      </c>
      <c r="AI385" s="54">
        <f t="shared" si="59"/>
        <v>0</v>
      </c>
    </row>
    <row r="386" spans="1:35" ht="15" x14ac:dyDescent="0.2">
      <c r="A386" s="56" t="s">
        <v>481</v>
      </c>
      <c r="B386" s="32"/>
      <c r="C386" s="56">
        <v>0.14699999999999999</v>
      </c>
      <c r="D386" s="56">
        <v>230.81</v>
      </c>
      <c r="E386" s="36"/>
      <c r="F386" s="40">
        <f t="shared" si="24"/>
        <v>0</v>
      </c>
      <c r="G386" s="40" t="e">
        <f>-PMT(Assumptions!B$25/12,Assumptions!B$24*12,F$8)*C386/100</f>
        <v>#NUM!</v>
      </c>
      <c r="H386" s="40" t="e">
        <f>G386*Assumptions!$B$24*12-F386</f>
        <v>#NUM!</v>
      </c>
      <c r="I386" s="48"/>
      <c r="J386" s="40">
        <f t="shared" si="25"/>
        <v>0</v>
      </c>
      <c r="K386" s="40" t="e">
        <f>-PMT(Assumptions!C$25/12,Assumptions!C$24*12,J$8)*C386/100</f>
        <v>#NUM!</v>
      </c>
      <c r="L386" s="40" t="e">
        <f>K386*Assumptions!$C$24*12-J386</f>
        <v>#NUM!</v>
      </c>
      <c r="M386" s="43"/>
      <c r="N386" s="40">
        <f t="shared" si="26"/>
        <v>1470</v>
      </c>
      <c r="O386" s="50">
        <f>-PMT(Assumptions!D$25/12,Assumptions!D$24*12,N$8)*C386/100</f>
        <v>15.591630740144058</v>
      </c>
      <c r="P386" s="44">
        <f>O386*Assumptions!$D$24*12-N386</f>
        <v>400.99568881728692</v>
      </c>
      <c r="Q386" s="48"/>
      <c r="R386" s="40">
        <f t="shared" si="27"/>
        <v>7350</v>
      </c>
      <c r="S386" s="40">
        <f>-PMT(Assumptions!E$25/12,Assumptions!E$24*12,$R$8)*$C386/100</f>
        <v>77.958153700720288</v>
      </c>
      <c r="T386" s="40">
        <f>S386*Assumptions!$E$24*12-R386</f>
        <v>2004.978444086435</v>
      </c>
      <c r="U386" s="48"/>
      <c r="V386" s="40">
        <f t="shared" si="28"/>
        <v>0</v>
      </c>
      <c r="W386" s="40" t="e">
        <f>-PMT(Assumptions!F$25/12,Assumptions!F$24*12,$V$8)*$C386/100</f>
        <v>#NUM!</v>
      </c>
      <c r="X386" s="40" t="e">
        <f>W386*Assumptions!$F$24*12-V386</f>
        <v>#NUM!</v>
      </c>
      <c r="Y386" s="43"/>
      <c r="Z386" s="40">
        <f t="shared" si="29"/>
        <v>0</v>
      </c>
      <c r="AA386" s="50" t="e">
        <f>-PMT(Assumptions!G$25/12,Assumptions!G$24*12,$Z$8)*$C386/100</f>
        <v>#NUM!</v>
      </c>
      <c r="AB386" s="44" t="e">
        <f>AA386*Assumptions!$G$24*12-Z386</f>
        <v>#NUM!</v>
      </c>
      <c r="AD386" s="54">
        <f t="shared" si="54"/>
        <v>0</v>
      </c>
      <c r="AE386" s="54">
        <f t="shared" si="55"/>
        <v>0</v>
      </c>
      <c r="AF386" s="54">
        <f t="shared" si="56"/>
        <v>1470</v>
      </c>
      <c r="AG386" s="54">
        <f t="shared" si="57"/>
        <v>7350</v>
      </c>
      <c r="AH386" s="54">
        <f t="shared" si="58"/>
        <v>0</v>
      </c>
      <c r="AI386" s="54">
        <f t="shared" si="59"/>
        <v>0</v>
      </c>
    </row>
    <row r="387" spans="1:35" ht="15" x14ac:dyDescent="0.2">
      <c r="A387" s="56" t="s">
        <v>482</v>
      </c>
      <c r="B387" s="32"/>
      <c r="C387" s="56">
        <v>0.156</v>
      </c>
      <c r="D387" s="56">
        <v>244.94</v>
      </c>
      <c r="E387" s="36"/>
      <c r="F387" s="40">
        <f t="shared" si="24"/>
        <v>0</v>
      </c>
      <c r="G387" s="40" t="e">
        <f>-PMT(Assumptions!B$25/12,Assumptions!B$24*12,F$8)*C387/100</f>
        <v>#NUM!</v>
      </c>
      <c r="H387" s="40" t="e">
        <f>G387*Assumptions!$B$24*12-F387</f>
        <v>#NUM!</v>
      </c>
      <c r="I387" s="48"/>
      <c r="J387" s="40">
        <f t="shared" si="25"/>
        <v>0</v>
      </c>
      <c r="K387" s="40" t="e">
        <f>-PMT(Assumptions!C$25/12,Assumptions!C$24*12,J$8)*C387/100</f>
        <v>#NUM!</v>
      </c>
      <c r="L387" s="40" t="e">
        <f>K387*Assumptions!$C$24*12-J387</f>
        <v>#NUM!</v>
      </c>
      <c r="M387" s="43"/>
      <c r="N387" s="40">
        <f t="shared" si="26"/>
        <v>1560</v>
      </c>
      <c r="O387" s="50">
        <f>-PMT(Assumptions!D$25/12,Assumptions!D$24*12,N$8)*C387/100</f>
        <v>16.546220377295736</v>
      </c>
      <c r="P387" s="44">
        <f>O387*Assumptions!$D$24*12-N387</f>
        <v>425.5464452754884</v>
      </c>
      <c r="Q387" s="48"/>
      <c r="R387" s="40">
        <f t="shared" si="27"/>
        <v>7800</v>
      </c>
      <c r="S387" s="40">
        <f>-PMT(Assumptions!E$25/12,Assumptions!E$24*12,$R$8)*$C387/100</f>
        <v>82.731101886478683</v>
      </c>
      <c r="T387" s="40">
        <f>S387*Assumptions!$E$24*12-R387</f>
        <v>2127.7322263774404</v>
      </c>
      <c r="U387" s="48"/>
      <c r="V387" s="40">
        <f t="shared" si="28"/>
        <v>0</v>
      </c>
      <c r="W387" s="40" t="e">
        <f>-PMT(Assumptions!F$25/12,Assumptions!F$24*12,$V$8)*$C387/100</f>
        <v>#NUM!</v>
      </c>
      <c r="X387" s="40" t="e">
        <f>W387*Assumptions!$F$24*12-V387</f>
        <v>#NUM!</v>
      </c>
      <c r="Y387" s="43"/>
      <c r="Z387" s="40">
        <f t="shared" si="29"/>
        <v>0</v>
      </c>
      <c r="AA387" s="50" t="e">
        <f>-PMT(Assumptions!G$25/12,Assumptions!G$24*12,$Z$8)*$C387/100</f>
        <v>#NUM!</v>
      </c>
      <c r="AB387" s="44" t="e">
        <f>AA387*Assumptions!$G$24*12-Z387</f>
        <v>#NUM!</v>
      </c>
      <c r="AD387" s="54">
        <f t="shared" si="54"/>
        <v>0</v>
      </c>
      <c r="AE387" s="54">
        <f t="shared" si="55"/>
        <v>0</v>
      </c>
      <c r="AF387" s="54">
        <f t="shared" si="56"/>
        <v>1560</v>
      </c>
      <c r="AG387" s="54">
        <f t="shared" si="57"/>
        <v>7800</v>
      </c>
      <c r="AH387" s="54">
        <f t="shared" si="58"/>
        <v>0</v>
      </c>
      <c r="AI387" s="54">
        <f t="shared" si="59"/>
        <v>0</v>
      </c>
    </row>
    <row r="388" spans="1:35" ht="15" x14ac:dyDescent="0.2">
      <c r="A388" s="56" t="s">
        <v>483</v>
      </c>
      <c r="B388" s="32"/>
      <c r="C388" s="56">
        <v>0.14699999999999999</v>
      </c>
      <c r="D388" s="56">
        <v>230.81</v>
      </c>
      <c r="E388" s="36"/>
      <c r="F388" s="40">
        <f t="shared" si="24"/>
        <v>0</v>
      </c>
      <c r="G388" s="40" t="e">
        <f>-PMT(Assumptions!B$25/12,Assumptions!B$24*12,F$8)*C388/100</f>
        <v>#NUM!</v>
      </c>
      <c r="H388" s="40" t="e">
        <f>G388*Assumptions!$B$24*12-F388</f>
        <v>#NUM!</v>
      </c>
      <c r="I388" s="48"/>
      <c r="J388" s="40">
        <f t="shared" si="25"/>
        <v>0</v>
      </c>
      <c r="K388" s="40" t="e">
        <f>-PMT(Assumptions!C$25/12,Assumptions!C$24*12,J$8)*C388/100</f>
        <v>#NUM!</v>
      </c>
      <c r="L388" s="40" t="e">
        <f>K388*Assumptions!$C$24*12-J388</f>
        <v>#NUM!</v>
      </c>
      <c r="M388" s="43"/>
      <c r="N388" s="40">
        <f t="shared" si="26"/>
        <v>1470</v>
      </c>
      <c r="O388" s="50">
        <f>-PMT(Assumptions!D$25/12,Assumptions!D$24*12,N$8)*C388/100</f>
        <v>15.591630740144058</v>
      </c>
      <c r="P388" s="44">
        <f>O388*Assumptions!$D$24*12-N388</f>
        <v>400.99568881728692</v>
      </c>
      <c r="Q388" s="48"/>
      <c r="R388" s="40">
        <f t="shared" si="27"/>
        <v>7350</v>
      </c>
      <c r="S388" s="40">
        <f>-PMT(Assumptions!E$25/12,Assumptions!E$24*12,$R$8)*$C388/100</f>
        <v>77.958153700720288</v>
      </c>
      <c r="T388" s="40">
        <f>S388*Assumptions!$E$24*12-R388</f>
        <v>2004.978444086435</v>
      </c>
      <c r="U388" s="48"/>
      <c r="V388" s="40">
        <f t="shared" si="28"/>
        <v>0</v>
      </c>
      <c r="W388" s="40" t="e">
        <f>-PMT(Assumptions!F$25/12,Assumptions!F$24*12,$V$8)*$C388/100</f>
        <v>#NUM!</v>
      </c>
      <c r="X388" s="40" t="e">
        <f>W388*Assumptions!$F$24*12-V388</f>
        <v>#NUM!</v>
      </c>
      <c r="Y388" s="43"/>
      <c r="Z388" s="40">
        <f t="shared" si="29"/>
        <v>0</v>
      </c>
      <c r="AA388" s="50" t="e">
        <f>-PMT(Assumptions!G$25/12,Assumptions!G$24*12,$Z$8)*$C388/100</f>
        <v>#NUM!</v>
      </c>
      <c r="AB388" s="44" t="e">
        <f>AA388*Assumptions!$G$24*12-Z388</f>
        <v>#NUM!</v>
      </c>
      <c r="AD388" s="54">
        <f t="shared" si="54"/>
        <v>0</v>
      </c>
      <c r="AE388" s="54">
        <f t="shared" si="55"/>
        <v>0</v>
      </c>
      <c r="AF388" s="54">
        <f t="shared" si="56"/>
        <v>1470</v>
      </c>
      <c r="AG388" s="54">
        <f t="shared" si="57"/>
        <v>7350</v>
      </c>
      <c r="AH388" s="54">
        <f t="shared" si="58"/>
        <v>0</v>
      </c>
      <c r="AI388" s="54">
        <f t="shared" si="59"/>
        <v>0</v>
      </c>
    </row>
    <row r="389" spans="1:35" ht="15" x14ac:dyDescent="0.2">
      <c r="A389" s="56" t="s">
        <v>484</v>
      </c>
      <c r="B389" s="32"/>
      <c r="C389" s="56">
        <v>0.156</v>
      </c>
      <c r="D389" s="56">
        <v>244.94</v>
      </c>
      <c r="E389" s="36"/>
      <c r="F389" s="40">
        <f t="shared" si="24"/>
        <v>0</v>
      </c>
      <c r="G389" s="40" t="e">
        <f>-PMT(Assumptions!B$25/12,Assumptions!B$24*12,F$8)*C389/100</f>
        <v>#NUM!</v>
      </c>
      <c r="H389" s="40" t="e">
        <f>G389*Assumptions!$B$24*12-F389</f>
        <v>#NUM!</v>
      </c>
      <c r="I389" s="48"/>
      <c r="J389" s="40">
        <f t="shared" si="25"/>
        <v>0</v>
      </c>
      <c r="K389" s="40" t="e">
        <f>-PMT(Assumptions!C$25/12,Assumptions!C$24*12,J$8)*C389/100</f>
        <v>#NUM!</v>
      </c>
      <c r="L389" s="40" t="e">
        <f>K389*Assumptions!$C$24*12-J389</f>
        <v>#NUM!</v>
      </c>
      <c r="M389" s="43"/>
      <c r="N389" s="40">
        <f t="shared" si="26"/>
        <v>1560</v>
      </c>
      <c r="O389" s="50">
        <f>-PMT(Assumptions!D$25/12,Assumptions!D$24*12,N$8)*C389/100</f>
        <v>16.546220377295736</v>
      </c>
      <c r="P389" s="44">
        <f>O389*Assumptions!$D$24*12-N389</f>
        <v>425.5464452754884</v>
      </c>
      <c r="Q389" s="48"/>
      <c r="R389" s="40">
        <f t="shared" si="27"/>
        <v>7800</v>
      </c>
      <c r="S389" s="40">
        <f>-PMT(Assumptions!E$25/12,Assumptions!E$24*12,$R$8)*$C389/100</f>
        <v>82.731101886478683</v>
      </c>
      <c r="T389" s="40">
        <f>S389*Assumptions!$E$24*12-R389</f>
        <v>2127.7322263774404</v>
      </c>
      <c r="U389" s="48"/>
      <c r="V389" s="40">
        <f t="shared" si="28"/>
        <v>0</v>
      </c>
      <c r="W389" s="40" t="e">
        <f>-PMT(Assumptions!F$25/12,Assumptions!F$24*12,$V$8)*$C389/100</f>
        <v>#NUM!</v>
      </c>
      <c r="X389" s="40" t="e">
        <f>W389*Assumptions!$F$24*12-V389</f>
        <v>#NUM!</v>
      </c>
      <c r="Y389" s="43"/>
      <c r="Z389" s="40">
        <f t="shared" si="29"/>
        <v>0</v>
      </c>
      <c r="AA389" s="50" t="e">
        <f>-PMT(Assumptions!G$25/12,Assumptions!G$24*12,$Z$8)*$C389/100</f>
        <v>#NUM!</v>
      </c>
      <c r="AB389" s="44" t="e">
        <f>AA389*Assumptions!$G$24*12-Z389</f>
        <v>#NUM!</v>
      </c>
      <c r="AD389" s="54">
        <f t="shared" si="54"/>
        <v>0</v>
      </c>
      <c r="AE389" s="54">
        <f t="shared" si="55"/>
        <v>0</v>
      </c>
      <c r="AF389" s="54">
        <f t="shared" si="56"/>
        <v>1560</v>
      </c>
      <c r="AG389" s="54">
        <f t="shared" si="57"/>
        <v>7800</v>
      </c>
      <c r="AH389" s="54">
        <f t="shared" si="58"/>
        <v>0</v>
      </c>
      <c r="AI389" s="54">
        <f t="shared" si="59"/>
        <v>0</v>
      </c>
    </row>
    <row r="390" spans="1:35" ht="15" x14ac:dyDescent="0.2">
      <c r="A390" s="56" t="s">
        <v>485</v>
      </c>
      <c r="B390" s="32"/>
      <c r="C390" s="56">
        <v>0.219</v>
      </c>
      <c r="D390" s="56">
        <v>343.85</v>
      </c>
      <c r="E390" s="36"/>
      <c r="F390" s="40">
        <f t="shared" si="24"/>
        <v>0</v>
      </c>
      <c r="G390" s="40" t="e">
        <f>-PMT(Assumptions!B$25/12,Assumptions!B$24*12,F$8)*C390/100</f>
        <v>#NUM!</v>
      </c>
      <c r="H390" s="40" t="e">
        <f>G390*Assumptions!$B$24*12-F390</f>
        <v>#NUM!</v>
      </c>
      <c r="I390" s="48"/>
      <c r="J390" s="40">
        <f t="shared" si="25"/>
        <v>0</v>
      </c>
      <c r="K390" s="40" t="e">
        <f>-PMT(Assumptions!C$25/12,Assumptions!C$24*12,J$8)*C390/100</f>
        <v>#NUM!</v>
      </c>
      <c r="L390" s="40" t="e">
        <f>K390*Assumptions!$C$24*12-J390</f>
        <v>#NUM!</v>
      </c>
      <c r="M390" s="43"/>
      <c r="N390" s="40">
        <f t="shared" si="26"/>
        <v>2190</v>
      </c>
      <c r="O390" s="50">
        <f>-PMT(Assumptions!D$25/12,Assumptions!D$24*12,N$8)*C390/100</f>
        <v>23.228347837357475</v>
      </c>
      <c r="P390" s="44">
        <f>O390*Assumptions!$D$24*12-N390</f>
        <v>597.40174048289691</v>
      </c>
      <c r="Q390" s="48"/>
      <c r="R390" s="40">
        <f t="shared" si="27"/>
        <v>10950</v>
      </c>
      <c r="S390" s="40">
        <f>-PMT(Assumptions!E$25/12,Assumptions!E$24*12,$R$8)*$C390/100</f>
        <v>116.14173918678738</v>
      </c>
      <c r="T390" s="40">
        <f>S390*Assumptions!$E$24*12-R390</f>
        <v>2987.008702414485</v>
      </c>
      <c r="U390" s="48"/>
      <c r="V390" s="40">
        <f t="shared" si="28"/>
        <v>0</v>
      </c>
      <c r="W390" s="40" t="e">
        <f>-PMT(Assumptions!F$25/12,Assumptions!F$24*12,$V$8)*$C390/100</f>
        <v>#NUM!</v>
      </c>
      <c r="X390" s="40" t="e">
        <f>W390*Assumptions!$F$24*12-V390</f>
        <v>#NUM!</v>
      </c>
      <c r="Y390" s="43"/>
      <c r="Z390" s="40">
        <f t="shared" si="29"/>
        <v>0</v>
      </c>
      <c r="AA390" s="50" t="e">
        <f>-PMT(Assumptions!G$25/12,Assumptions!G$24*12,$Z$8)*$C390/100</f>
        <v>#NUM!</v>
      </c>
      <c r="AB390" s="44" t="e">
        <f>AA390*Assumptions!$G$24*12-Z390</f>
        <v>#NUM!</v>
      </c>
      <c r="AD390" s="54">
        <f t="shared" si="54"/>
        <v>0</v>
      </c>
      <c r="AE390" s="54">
        <f t="shared" si="55"/>
        <v>0</v>
      </c>
      <c r="AF390" s="54">
        <f t="shared" si="56"/>
        <v>2190</v>
      </c>
      <c r="AG390" s="54">
        <f t="shared" si="57"/>
        <v>10950</v>
      </c>
      <c r="AH390" s="54">
        <f t="shared" si="58"/>
        <v>0</v>
      </c>
      <c r="AI390" s="54">
        <f t="shared" si="59"/>
        <v>0</v>
      </c>
    </row>
    <row r="391" spans="1:35" ht="15" x14ac:dyDescent="0.2">
      <c r="A391" s="56" t="s">
        <v>486</v>
      </c>
      <c r="B391" s="32"/>
      <c r="C391" s="56">
        <v>0.22700000000000001</v>
      </c>
      <c r="D391" s="56">
        <v>356.41</v>
      </c>
      <c r="E391" s="36"/>
      <c r="F391" s="40">
        <f t="shared" si="24"/>
        <v>0</v>
      </c>
      <c r="G391" s="40" t="e">
        <f>-PMT(Assumptions!B$25/12,Assumptions!B$24*12,F$8)*C391/100</f>
        <v>#NUM!</v>
      </c>
      <c r="H391" s="40" t="e">
        <f>G391*Assumptions!$B$24*12-F391</f>
        <v>#NUM!</v>
      </c>
      <c r="I391" s="48"/>
      <c r="J391" s="40">
        <f t="shared" si="25"/>
        <v>0</v>
      </c>
      <c r="K391" s="40" t="e">
        <f>-PMT(Assumptions!C$25/12,Assumptions!C$24*12,J$8)*C391/100</f>
        <v>#NUM!</v>
      </c>
      <c r="L391" s="40" t="e">
        <f>K391*Assumptions!$C$24*12-J391</f>
        <v>#NUM!</v>
      </c>
      <c r="M391" s="43"/>
      <c r="N391" s="40">
        <f t="shared" si="26"/>
        <v>2270</v>
      </c>
      <c r="O391" s="50">
        <f>-PMT(Assumptions!D$25/12,Assumptions!D$24*12,N$8)*C391/100</f>
        <v>24.076871959270079</v>
      </c>
      <c r="P391" s="44">
        <f>O391*Assumptions!$D$24*12-N391</f>
        <v>619.22463511240949</v>
      </c>
      <c r="Q391" s="48"/>
      <c r="R391" s="40">
        <f t="shared" si="27"/>
        <v>11350</v>
      </c>
      <c r="S391" s="40">
        <f>-PMT(Assumptions!E$25/12,Assumptions!E$24*12,$R$8)*$C391/100</f>
        <v>120.3843597963504</v>
      </c>
      <c r="T391" s="40">
        <f>S391*Assumptions!$E$24*12-R391</f>
        <v>3096.1231755620465</v>
      </c>
      <c r="U391" s="48"/>
      <c r="V391" s="40">
        <f t="shared" si="28"/>
        <v>0</v>
      </c>
      <c r="W391" s="40" t="e">
        <f>-PMT(Assumptions!F$25/12,Assumptions!F$24*12,$V$8)*$C391/100</f>
        <v>#NUM!</v>
      </c>
      <c r="X391" s="40" t="e">
        <f>W391*Assumptions!$F$24*12-V391</f>
        <v>#NUM!</v>
      </c>
      <c r="Y391" s="43"/>
      <c r="Z391" s="40">
        <f t="shared" si="29"/>
        <v>0</v>
      </c>
      <c r="AA391" s="50" t="e">
        <f>-PMT(Assumptions!G$25/12,Assumptions!G$24*12,$Z$8)*$C391/100</f>
        <v>#NUM!</v>
      </c>
      <c r="AB391" s="44" t="e">
        <f>AA391*Assumptions!$G$24*12-Z391</f>
        <v>#NUM!</v>
      </c>
      <c r="AD391" s="54">
        <f t="shared" si="54"/>
        <v>0</v>
      </c>
      <c r="AE391" s="54">
        <f t="shared" si="55"/>
        <v>0</v>
      </c>
      <c r="AF391" s="54">
        <f t="shared" si="56"/>
        <v>2270</v>
      </c>
      <c r="AG391" s="54">
        <f t="shared" si="57"/>
        <v>11350</v>
      </c>
      <c r="AH391" s="54">
        <f t="shared" si="58"/>
        <v>0</v>
      </c>
      <c r="AI391" s="54">
        <f t="shared" si="59"/>
        <v>0</v>
      </c>
    </row>
    <row r="392" spans="1:35" ht="15" x14ac:dyDescent="0.2">
      <c r="A392" s="56" t="s">
        <v>487</v>
      </c>
      <c r="B392" s="32"/>
      <c r="C392" s="56">
        <v>0.20200000000000001</v>
      </c>
      <c r="D392" s="56">
        <v>317.16000000000003</v>
      </c>
      <c r="E392" s="36"/>
      <c r="F392" s="40">
        <f t="shared" si="24"/>
        <v>0</v>
      </c>
      <c r="G392" s="40" t="e">
        <f>-PMT(Assumptions!B$25/12,Assumptions!B$24*12,F$8)*C392/100</f>
        <v>#NUM!</v>
      </c>
      <c r="H392" s="40" t="e">
        <f>G392*Assumptions!$B$24*12-F392</f>
        <v>#NUM!</v>
      </c>
      <c r="I392" s="48"/>
      <c r="J392" s="40">
        <f t="shared" si="25"/>
        <v>0</v>
      </c>
      <c r="K392" s="40" t="e">
        <f>-PMT(Assumptions!C$25/12,Assumptions!C$24*12,J$8)*C392/100</f>
        <v>#NUM!</v>
      </c>
      <c r="L392" s="40" t="e">
        <f>K392*Assumptions!$C$24*12-J392</f>
        <v>#NUM!</v>
      </c>
      <c r="M392" s="43"/>
      <c r="N392" s="40">
        <f t="shared" si="26"/>
        <v>2020</v>
      </c>
      <c r="O392" s="50">
        <f>-PMT(Assumptions!D$25/12,Assumptions!D$24*12,N$8)*C392/100</f>
        <v>21.425234078293197</v>
      </c>
      <c r="P392" s="44">
        <f>O392*Assumptions!$D$24*12-N392</f>
        <v>551.028089395184</v>
      </c>
      <c r="Q392" s="48"/>
      <c r="R392" s="40">
        <f t="shared" si="27"/>
        <v>10100.000000000002</v>
      </c>
      <c r="S392" s="40">
        <f>-PMT(Assumptions!E$25/12,Assumptions!E$24*12,$R$8)*$C392/100</f>
        <v>107.12617039146599</v>
      </c>
      <c r="T392" s="40">
        <f>S392*Assumptions!$E$24*12-R392</f>
        <v>2755.1404469759163</v>
      </c>
      <c r="U392" s="48"/>
      <c r="V392" s="40">
        <f t="shared" si="28"/>
        <v>0</v>
      </c>
      <c r="W392" s="40" t="e">
        <f>-PMT(Assumptions!F$25/12,Assumptions!F$24*12,$V$8)*$C392/100</f>
        <v>#NUM!</v>
      </c>
      <c r="X392" s="40" t="e">
        <f>W392*Assumptions!$F$24*12-V392</f>
        <v>#NUM!</v>
      </c>
      <c r="Y392" s="43"/>
      <c r="Z392" s="40">
        <f t="shared" si="29"/>
        <v>0</v>
      </c>
      <c r="AA392" s="50" t="e">
        <f>-PMT(Assumptions!G$25/12,Assumptions!G$24*12,$Z$8)*$C392/100</f>
        <v>#NUM!</v>
      </c>
      <c r="AB392" s="44" t="e">
        <f>AA392*Assumptions!$G$24*12-Z392</f>
        <v>#NUM!</v>
      </c>
      <c r="AD392" s="54">
        <f t="shared" si="54"/>
        <v>0</v>
      </c>
      <c r="AE392" s="54">
        <f t="shared" si="55"/>
        <v>0</v>
      </c>
      <c r="AF392" s="54">
        <f t="shared" si="56"/>
        <v>2020</v>
      </c>
      <c r="AG392" s="54">
        <f t="shared" si="57"/>
        <v>10100.000000000002</v>
      </c>
      <c r="AH392" s="54">
        <f t="shared" si="58"/>
        <v>0</v>
      </c>
      <c r="AI392" s="54">
        <f t="shared" si="59"/>
        <v>0</v>
      </c>
    </row>
    <row r="393" spans="1:35" ht="15" x14ac:dyDescent="0.2">
      <c r="A393" s="56" t="s">
        <v>488</v>
      </c>
      <c r="B393" s="32"/>
      <c r="C393" s="56">
        <v>0.20200000000000001</v>
      </c>
      <c r="D393" s="56">
        <v>317.16000000000003</v>
      </c>
      <c r="E393" s="36"/>
      <c r="F393" s="40">
        <f t="shared" si="24"/>
        <v>0</v>
      </c>
      <c r="G393" s="40" t="e">
        <f>-PMT(Assumptions!B$25/12,Assumptions!B$24*12,F$8)*C393/100</f>
        <v>#NUM!</v>
      </c>
      <c r="H393" s="40" t="e">
        <f>G393*Assumptions!$B$24*12-F393</f>
        <v>#NUM!</v>
      </c>
      <c r="I393" s="48"/>
      <c r="J393" s="40">
        <f t="shared" si="25"/>
        <v>0</v>
      </c>
      <c r="K393" s="40" t="e">
        <f>-PMT(Assumptions!C$25/12,Assumptions!C$24*12,J$8)*C393/100</f>
        <v>#NUM!</v>
      </c>
      <c r="L393" s="40" t="e">
        <f>K393*Assumptions!$C$24*12-J393</f>
        <v>#NUM!</v>
      </c>
      <c r="M393" s="43"/>
      <c r="N393" s="40">
        <f t="shared" si="26"/>
        <v>2020</v>
      </c>
      <c r="O393" s="50">
        <f>-PMT(Assumptions!D$25/12,Assumptions!D$24*12,N$8)*C393/100</f>
        <v>21.425234078293197</v>
      </c>
      <c r="P393" s="44">
        <f>O393*Assumptions!$D$24*12-N393</f>
        <v>551.028089395184</v>
      </c>
      <c r="Q393" s="48"/>
      <c r="R393" s="40">
        <f t="shared" si="27"/>
        <v>10100.000000000002</v>
      </c>
      <c r="S393" s="40">
        <f>-PMT(Assumptions!E$25/12,Assumptions!E$24*12,$R$8)*$C393/100</f>
        <v>107.12617039146599</v>
      </c>
      <c r="T393" s="40">
        <f>S393*Assumptions!$E$24*12-R393</f>
        <v>2755.1404469759163</v>
      </c>
      <c r="U393" s="48"/>
      <c r="V393" s="40">
        <f t="shared" si="28"/>
        <v>0</v>
      </c>
      <c r="W393" s="40" t="e">
        <f>-PMT(Assumptions!F$25/12,Assumptions!F$24*12,$V$8)*$C393/100</f>
        <v>#NUM!</v>
      </c>
      <c r="X393" s="40" t="e">
        <f>W393*Assumptions!$F$24*12-V393</f>
        <v>#NUM!</v>
      </c>
      <c r="Y393" s="43"/>
      <c r="Z393" s="40">
        <f t="shared" si="29"/>
        <v>0</v>
      </c>
      <c r="AA393" s="50" t="e">
        <f>-PMT(Assumptions!G$25/12,Assumptions!G$24*12,$Z$8)*$C393/100</f>
        <v>#NUM!</v>
      </c>
      <c r="AB393" s="44" t="e">
        <f>AA393*Assumptions!$G$24*12-Z393</f>
        <v>#NUM!</v>
      </c>
      <c r="AD393" s="54">
        <f t="shared" si="54"/>
        <v>0</v>
      </c>
      <c r="AE393" s="54">
        <f t="shared" si="55"/>
        <v>0</v>
      </c>
      <c r="AF393" s="54">
        <f t="shared" si="56"/>
        <v>2020</v>
      </c>
      <c r="AG393" s="54">
        <f t="shared" si="57"/>
        <v>10100.000000000002</v>
      </c>
      <c r="AH393" s="54">
        <f t="shared" si="58"/>
        <v>0</v>
      </c>
      <c r="AI393" s="54">
        <f t="shared" si="59"/>
        <v>0</v>
      </c>
    </row>
    <row r="394" spans="1:35" ht="15" x14ac:dyDescent="0.2">
      <c r="A394" s="56" t="s">
        <v>489</v>
      </c>
      <c r="B394" s="32"/>
      <c r="C394" s="56">
        <v>0.14699999999999999</v>
      </c>
      <c r="D394" s="56">
        <v>230.81</v>
      </c>
      <c r="E394" s="36"/>
      <c r="F394" s="40">
        <f t="shared" si="24"/>
        <v>0</v>
      </c>
      <c r="G394" s="40" t="e">
        <f>-PMT(Assumptions!B$25/12,Assumptions!B$24*12,F$8)*C394/100</f>
        <v>#NUM!</v>
      </c>
      <c r="H394" s="40" t="e">
        <f>G394*Assumptions!$B$24*12-F394</f>
        <v>#NUM!</v>
      </c>
      <c r="I394" s="48"/>
      <c r="J394" s="40">
        <f t="shared" si="25"/>
        <v>0</v>
      </c>
      <c r="K394" s="40" t="e">
        <f>-PMT(Assumptions!C$25/12,Assumptions!C$24*12,J$8)*C394/100</f>
        <v>#NUM!</v>
      </c>
      <c r="L394" s="40" t="e">
        <f>K394*Assumptions!$C$24*12-J394</f>
        <v>#NUM!</v>
      </c>
      <c r="M394" s="43"/>
      <c r="N394" s="40">
        <f t="shared" si="26"/>
        <v>1470</v>
      </c>
      <c r="O394" s="50">
        <f>-PMT(Assumptions!D$25/12,Assumptions!D$24*12,N$8)*C394/100</f>
        <v>15.591630740144058</v>
      </c>
      <c r="P394" s="44">
        <f>O394*Assumptions!$D$24*12-N394</f>
        <v>400.99568881728692</v>
      </c>
      <c r="Q394" s="48"/>
      <c r="R394" s="40">
        <f t="shared" si="27"/>
        <v>7350</v>
      </c>
      <c r="S394" s="40">
        <f>-PMT(Assumptions!E$25/12,Assumptions!E$24*12,$R$8)*$C394/100</f>
        <v>77.958153700720288</v>
      </c>
      <c r="T394" s="40">
        <f>S394*Assumptions!$E$24*12-R394</f>
        <v>2004.978444086435</v>
      </c>
      <c r="U394" s="48"/>
      <c r="V394" s="40">
        <f t="shared" si="28"/>
        <v>0</v>
      </c>
      <c r="W394" s="40" t="e">
        <f>-PMT(Assumptions!F$25/12,Assumptions!F$24*12,$V$8)*$C394/100</f>
        <v>#NUM!</v>
      </c>
      <c r="X394" s="40" t="e">
        <f>W394*Assumptions!$F$24*12-V394</f>
        <v>#NUM!</v>
      </c>
      <c r="Y394" s="43"/>
      <c r="Z394" s="40">
        <f t="shared" si="29"/>
        <v>0</v>
      </c>
      <c r="AA394" s="50" t="e">
        <f>-PMT(Assumptions!G$25/12,Assumptions!G$24*12,$Z$8)*$C394/100</f>
        <v>#NUM!</v>
      </c>
      <c r="AB394" s="44" t="e">
        <f>AA394*Assumptions!$G$24*12-Z394</f>
        <v>#NUM!</v>
      </c>
      <c r="AD394" s="54">
        <f t="shared" si="54"/>
        <v>0</v>
      </c>
      <c r="AE394" s="54">
        <f t="shared" si="55"/>
        <v>0</v>
      </c>
      <c r="AF394" s="54">
        <f t="shared" si="56"/>
        <v>1470</v>
      </c>
      <c r="AG394" s="54">
        <f t="shared" si="57"/>
        <v>7350</v>
      </c>
      <c r="AH394" s="54">
        <f t="shared" si="58"/>
        <v>0</v>
      </c>
      <c r="AI394" s="54">
        <f t="shared" si="59"/>
        <v>0</v>
      </c>
    </row>
    <row r="395" spans="1:35" ht="15" x14ac:dyDescent="0.2">
      <c r="A395" s="56" t="s">
        <v>490</v>
      </c>
      <c r="B395" s="32"/>
      <c r="C395" s="56">
        <v>0.156</v>
      </c>
      <c r="D395" s="56">
        <v>244.94</v>
      </c>
      <c r="E395" s="36"/>
      <c r="F395" s="40">
        <f t="shared" si="24"/>
        <v>0</v>
      </c>
      <c r="G395" s="40" t="e">
        <f>-PMT(Assumptions!B$25/12,Assumptions!B$24*12,F$8)*C395/100</f>
        <v>#NUM!</v>
      </c>
      <c r="H395" s="40" t="e">
        <f>G395*Assumptions!$B$24*12-F395</f>
        <v>#NUM!</v>
      </c>
      <c r="I395" s="48"/>
      <c r="J395" s="40">
        <f t="shared" si="25"/>
        <v>0</v>
      </c>
      <c r="K395" s="40" t="e">
        <f>-PMT(Assumptions!C$25/12,Assumptions!C$24*12,J$8)*C395/100</f>
        <v>#NUM!</v>
      </c>
      <c r="L395" s="40" t="e">
        <f>K395*Assumptions!$C$24*12-J395</f>
        <v>#NUM!</v>
      </c>
      <c r="M395" s="43"/>
      <c r="N395" s="40">
        <f t="shared" si="26"/>
        <v>1560</v>
      </c>
      <c r="O395" s="50">
        <f>-PMT(Assumptions!D$25/12,Assumptions!D$24*12,N$8)*C395/100</f>
        <v>16.546220377295736</v>
      </c>
      <c r="P395" s="44">
        <f>O395*Assumptions!$D$24*12-N395</f>
        <v>425.5464452754884</v>
      </c>
      <c r="Q395" s="48"/>
      <c r="R395" s="40">
        <f t="shared" si="27"/>
        <v>7800</v>
      </c>
      <c r="S395" s="40">
        <f>-PMT(Assumptions!E$25/12,Assumptions!E$24*12,$R$8)*$C395/100</f>
        <v>82.731101886478683</v>
      </c>
      <c r="T395" s="40">
        <f>S395*Assumptions!$E$24*12-R395</f>
        <v>2127.7322263774404</v>
      </c>
      <c r="U395" s="48"/>
      <c r="V395" s="40">
        <f t="shared" si="28"/>
        <v>0</v>
      </c>
      <c r="W395" s="40" t="e">
        <f>-PMT(Assumptions!F$25/12,Assumptions!F$24*12,$V$8)*$C395/100</f>
        <v>#NUM!</v>
      </c>
      <c r="X395" s="40" t="e">
        <f>W395*Assumptions!$F$24*12-V395</f>
        <v>#NUM!</v>
      </c>
      <c r="Y395" s="43"/>
      <c r="Z395" s="40">
        <f t="shared" si="29"/>
        <v>0</v>
      </c>
      <c r="AA395" s="50" t="e">
        <f>-PMT(Assumptions!G$25/12,Assumptions!G$24*12,$Z$8)*$C395/100</f>
        <v>#NUM!</v>
      </c>
      <c r="AB395" s="44" t="e">
        <f>AA395*Assumptions!$G$24*12-Z395</f>
        <v>#NUM!</v>
      </c>
      <c r="AD395" s="54">
        <f t="shared" si="54"/>
        <v>0</v>
      </c>
      <c r="AE395" s="54">
        <f t="shared" si="55"/>
        <v>0</v>
      </c>
      <c r="AF395" s="54">
        <f t="shared" si="56"/>
        <v>1560</v>
      </c>
      <c r="AG395" s="54">
        <f t="shared" si="57"/>
        <v>7800</v>
      </c>
      <c r="AH395" s="54">
        <f t="shared" si="58"/>
        <v>0</v>
      </c>
      <c r="AI395" s="54">
        <f t="shared" si="59"/>
        <v>0</v>
      </c>
    </row>
    <row r="396" spans="1:35" ht="15" x14ac:dyDescent="0.2">
      <c r="A396" s="56" t="s">
        <v>491</v>
      </c>
      <c r="B396" s="32"/>
      <c r="C396" s="56">
        <v>0.14699999999999999</v>
      </c>
      <c r="D396" s="56">
        <v>230.81</v>
      </c>
      <c r="E396" s="36"/>
      <c r="F396" s="40">
        <f t="shared" si="24"/>
        <v>0</v>
      </c>
      <c r="G396" s="40" t="e">
        <f>-PMT(Assumptions!B$25/12,Assumptions!B$24*12,F$8)*C396/100</f>
        <v>#NUM!</v>
      </c>
      <c r="H396" s="40" t="e">
        <f>G396*Assumptions!$B$24*12-F396</f>
        <v>#NUM!</v>
      </c>
      <c r="I396" s="48"/>
      <c r="J396" s="40">
        <f t="shared" si="25"/>
        <v>0</v>
      </c>
      <c r="K396" s="40" t="e">
        <f>-PMT(Assumptions!C$25/12,Assumptions!C$24*12,J$8)*C396/100</f>
        <v>#NUM!</v>
      </c>
      <c r="L396" s="40" t="e">
        <f>K396*Assumptions!$C$24*12-J396</f>
        <v>#NUM!</v>
      </c>
      <c r="M396" s="43"/>
      <c r="N396" s="40">
        <f t="shared" si="26"/>
        <v>1470</v>
      </c>
      <c r="O396" s="50">
        <f>-PMT(Assumptions!D$25/12,Assumptions!D$24*12,N$8)*C396/100</f>
        <v>15.591630740144058</v>
      </c>
      <c r="P396" s="44">
        <f>O396*Assumptions!$D$24*12-N396</f>
        <v>400.99568881728692</v>
      </c>
      <c r="Q396" s="48"/>
      <c r="R396" s="40">
        <f t="shared" si="27"/>
        <v>7350</v>
      </c>
      <c r="S396" s="40">
        <f>-PMT(Assumptions!E$25/12,Assumptions!E$24*12,$R$8)*$C396/100</f>
        <v>77.958153700720288</v>
      </c>
      <c r="T396" s="40">
        <f>S396*Assumptions!$E$24*12-R396</f>
        <v>2004.978444086435</v>
      </c>
      <c r="U396" s="48"/>
      <c r="V396" s="40">
        <f t="shared" si="28"/>
        <v>0</v>
      </c>
      <c r="W396" s="40" t="e">
        <f>-PMT(Assumptions!F$25/12,Assumptions!F$24*12,$V$8)*$C396/100</f>
        <v>#NUM!</v>
      </c>
      <c r="X396" s="40" t="e">
        <f>W396*Assumptions!$F$24*12-V396</f>
        <v>#NUM!</v>
      </c>
      <c r="Y396" s="43"/>
      <c r="Z396" s="40">
        <f t="shared" si="29"/>
        <v>0</v>
      </c>
      <c r="AA396" s="50" t="e">
        <f>-PMT(Assumptions!G$25/12,Assumptions!G$24*12,$Z$8)*$C396/100</f>
        <v>#NUM!</v>
      </c>
      <c r="AB396" s="44" t="e">
        <f>AA396*Assumptions!$G$24*12-Z396</f>
        <v>#NUM!</v>
      </c>
      <c r="AD396" s="54">
        <f t="shared" si="54"/>
        <v>0</v>
      </c>
      <c r="AE396" s="54">
        <f t="shared" si="55"/>
        <v>0</v>
      </c>
      <c r="AF396" s="54">
        <f t="shared" si="56"/>
        <v>1470</v>
      </c>
      <c r="AG396" s="54">
        <f t="shared" si="57"/>
        <v>7350</v>
      </c>
      <c r="AH396" s="54">
        <f t="shared" si="58"/>
        <v>0</v>
      </c>
      <c r="AI396" s="54">
        <f t="shared" si="59"/>
        <v>0</v>
      </c>
    </row>
    <row r="397" spans="1:35" ht="15" x14ac:dyDescent="0.2">
      <c r="A397" s="56" t="s">
        <v>492</v>
      </c>
      <c r="B397" s="32"/>
      <c r="C397" s="56">
        <v>0.156</v>
      </c>
      <c r="D397" s="56">
        <v>244.94</v>
      </c>
      <c r="E397" s="36"/>
      <c r="F397" s="40">
        <f t="shared" si="24"/>
        <v>0</v>
      </c>
      <c r="G397" s="40" t="e">
        <f>-PMT(Assumptions!B$25/12,Assumptions!B$24*12,F$8)*C397/100</f>
        <v>#NUM!</v>
      </c>
      <c r="H397" s="40" t="e">
        <f>G397*Assumptions!$B$24*12-F397</f>
        <v>#NUM!</v>
      </c>
      <c r="I397" s="48"/>
      <c r="J397" s="40">
        <f t="shared" si="25"/>
        <v>0</v>
      </c>
      <c r="K397" s="40" t="e">
        <f>-PMT(Assumptions!C$25/12,Assumptions!C$24*12,J$8)*C397/100</f>
        <v>#NUM!</v>
      </c>
      <c r="L397" s="40" t="e">
        <f>K397*Assumptions!$C$24*12-J397</f>
        <v>#NUM!</v>
      </c>
      <c r="M397" s="43"/>
      <c r="N397" s="40">
        <f t="shared" si="26"/>
        <v>1560</v>
      </c>
      <c r="O397" s="50">
        <f>-PMT(Assumptions!D$25/12,Assumptions!D$24*12,N$8)*C397/100</f>
        <v>16.546220377295736</v>
      </c>
      <c r="P397" s="44">
        <f>O397*Assumptions!$D$24*12-N397</f>
        <v>425.5464452754884</v>
      </c>
      <c r="Q397" s="48"/>
      <c r="R397" s="40">
        <f t="shared" si="27"/>
        <v>7800</v>
      </c>
      <c r="S397" s="40">
        <f>-PMT(Assumptions!E$25/12,Assumptions!E$24*12,$R$8)*$C397/100</f>
        <v>82.731101886478683</v>
      </c>
      <c r="T397" s="40">
        <f>S397*Assumptions!$E$24*12-R397</f>
        <v>2127.7322263774404</v>
      </c>
      <c r="U397" s="48"/>
      <c r="V397" s="40">
        <f t="shared" si="28"/>
        <v>0</v>
      </c>
      <c r="W397" s="40" t="e">
        <f>-PMT(Assumptions!F$25/12,Assumptions!F$24*12,$V$8)*$C397/100</f>
        <v>#NUM!</v>
      </c>
      <c r="X397" s="40" t="e">
        <f>W397*Assumptions!$F$24*12-V397</f>
        <v>#NUM!</v>
      </c>
      <c r="Y397" s="43"/>
      <c r="Z397" s="40">
        <f t="shared" si="29"/>
        <v>0</v>
      </c>
      <c r="AA397" s="50" t="e">
        <f>-PMT(Assumptions!G$25/12,Assumptions!G$24*12,$Z$8)*$C397/100</f>
        <v>#NUM!</v>
      </c>
      <c r="AB397" s="44" t="e">
        <f>AA397*Assumptions!$G$24*12-Z397</f>
        <v>#NUM!</v>
      </c>
      <c r="AD397" s="54">
        <f t="shared" si="54"/>
        <v>0</v>
      </c>
      <c r="AE397" s="54">
        <f t="shared" si="55"/>
        <v>0</v>
      </c>
      <c r="AF397" s="54">
        <f t="shared" si="56"/>
        <v>1560</v>
      </c>
      <c r="AG397" s="54">
        <f t="shared" si="57"/>
        <v>7800</v>
      </c>
      <c r="AH397" s="54">
        <f t="shared" si="58"/>
        <v>0</v>
      </c>
      <c r="AI397" s="54">
        <f t="shared" si="59"/>
        <v>0</v>
      </c>
    </row>
    <row r="398" spans="1:35" ht="15" x14ac:dyDescent="0.2">
      <c r="A398" s="56" t="s">
        <v>493</v>
      </c>
      <c r="B398" s="32"/>
      <c r="C398" s="56">
        <v>0.219</v>
      </c>
      <c r="D398" s="56">
        <v>343.85</v>
      </c>
      <c r="E398" s="36"/>
      <c r="F398" s="40">
        <f t="shared" si="24"/>
        <v>0</v>
      </c>
      <c r="G398" s="40" t="e">
        <f>-PMT(Assumptions!B$25/12,Assumptions!B$24*12,F$8)*C398/100</f>
        <v>#NUM!</v>
      </c>
      <c r="H398" s="40" t="e">
        <f>G398*Assumptions!$B$24*12-F398</f>
        <v>#NUM!</v>
      </c>
      <c r="I398" s="48"/>
      <c r="J398" s="40">
        <f t="shared" si="25"/>
        <v>0</v>
      </c>
      <c r="K398" s="40" t="e">
        <f>-PMT(Assumptions!C$25/12,Assumptions!C$24*12,J$8)*C398/100</f>
        <v>#NUM!</v>
      </c>
      <c r="L398" s="40" t="e">
        <f>K398*Assumptions!$C$24*12-J398</f>
        <v>#NUM!</v>
      </c>
      <c r="M398" s="43"/>
      <c r="N398" s="40">
        <f t="shared" si="26"/>
        <v>2190</v>
      </c>
      <c r="O398" s="50">
        <f>-PMT(Assumptions!D$25/12,Assumptions!D$24*12,N$8)*C398/100</f>
        <v>23.228347837357475</v>
      </c>
      <c r="P398" s="44">
        <f>O398*Assumptions!$D$24*12-N398</f>
        <v>597.40174048289691</v>
      </c>
      <c r="Q398" s="48"/>
      <c r="R398" s="40">
        <f t="shared" si="27"/>
        <v>10950</v>
      </c>
      <c r="S398" s="40">
        <f>-PMT(Assumptions!E$25/12,Assumptions!E$24*12,$R$8)*$C398/100</f>
        <v>116.14173918678738</v>
      </c>
      <c r="T398" s="40">
        <f>S398*Assumptions!$E$24*12-R398</f>
        <v>2987.008702414485</v>
      </c>
      <c r="U398" s="48"/>
      <c r="V398" s="40">
        <f t="shared" si="28"/>
        <v>0</v>
      </c>
      <c r="W398" s="40" t="e">
        <f>-PMT(Assumptions!F$25/12,Assumptions!F$24*12,$V$8)*$C398/100</f>
        <v>#NUM!</v>
      </c>
      <c r="X398" s="40" t="e">
        <f>W398*Assumptions!$F$24*12-V398</f>
        <v>#NUM!</v>
      </c>
      <c r="Y398" s="43"/>
      <c r="Z398" s="40">
        <f t="shared" si="29"/>
        <v>0</v>
      </c>
      <c r="AA398" s="50" t="e">
        <f>-PMT(Assumptions!G$25/12,Assumptions!G$24*12,$Z$8)*$C398/100</f>
        <v>#NUM!</v>
      </c>
      <c r="AB398" s="44" t="e">
        <f>AA398*Assumptions!$G$24*12-Z398</f>
        <v>#NUM!</v>
      </c>
      <c r="AD398" s="54">
        <f t="shared" si="54"/>
        <v>0</v>
      </c>
      <c r="AE398" s="54">
        <f t="shared" si="55"/>
        <v>0</v>
      </c>
      <c r="AF398" s="54">
        <f t="shared" si="56"/>
        <v>2190</v>
      </c>
      <c r="AG398" s="54">
        <f t="shared" si="57"/>
        <v>10950</v>
      </c>
      <c r="AH398" s="54">
        <f t="shared" si="58"/>
        <v>0</v>
      </c>
      <c r="AI398" s="54">
        <f t="shared" si="59"/>
        <v>0</v>
      </c>
    </row>
    <row r="399" spans="1:35" ht="15" x14ac:dyDescent="0.2">
      <c r="A399" s="56" t="s">
        <v>494</v>
      </c>
      <c r="B399" s="32"/>
      <c r="C399" s="56">
        <v>0.22700000000000001</v>
      </c>
      <c r="D399" s="56">
        <v>356.41</v>
      </c>
      <c r="E399" s="36"/>
      <c r="F399" s="40">
        <f t="shared" ref="F399:F462" si="60">$F$8*$C399/100</f>
        <v>0</v>
      </c>
      <c r="G399" s="40" t="e">
        <f>-PMT(Assumptions!B$25/12,Assumptions!B$24*12,F$8)*C399/100</f>
        <v>#NUM!</v>
      </c>
      <c r="H399" s="40" t="e">
        <f>G399*Assumptions!$B$24*12-F399</f>
        <v>#NUM!</v>
      </c>
      <c r="I399" s="48"/>
      <c r="J399" s="40">
        <f t="shared" ref="J399:J462" si="61">$J$8*$C399/100</f>
        <v>0</v>
      </c>
      <c r="K399" s="40" t="e">
        <f>-PMT(Assumptions!C$25/12,Assumptions!C$24*12,J$8)*C399/100</f>
        <v>#NUM!</v>
      </c>
      <c r="L399" s="40" t="e">
        <f>K399*Assumptions!$C$24*12-J399</f>
        <v>#NUM!</v>
      </c>
      <c r="M399" s="43"/>
      <c r="N399" s="40">
        <f t="shared" ref="N399:N462" si="62">$N$8*$C399/100</f>
        <v>2270</v>
      </c>
      <c r="O399" s="50">
        <f>-PMT(Assumptions!D$25/12,Assumptions!D$24*12,N$8)*C399/100</f>
        <v>24.076871959270079</v>
      </c>
      <c r="P399" s="44">
        <f>O399*Assumptions!$D$24*12-N399</f>
        <v>619.22463511240949</v>
      </c>
      <c r="Q399" s="48"/>
      <c r="R399" s="40">
        <f t="shared" ref="R399:R462" si="63">$R$8*$C399/100</f>
        <v>11350</v>
      </c>
      <c r="S399" s="40">
        <f>-PMT(Assumptions!E$25/12,Assumptions!E$24*12,$R$8)*$C399/100</f>
        <v>120.3843597963504</v>
      </c>
      <c r="T399" s="40">
        <f>S399*Assumptions!$E$24*12-R399</f>
        <v>3096.1231755620465</v>
      </c>
      <c r="U399" s="48"/>
      <c r="V399" s="40">
        <f t="shared" ref="V399:V462" si="64">$V$8*$C399/100</f>
        <v>0</v>
      </c>
      <c r="W399" s="40" t="e">
        <f>-PMT(Assumptions!F$25/12,Assumptions!F$24*12,$V$8)*$C399/100</f>
        <v>#NUM!</v>
      </c>
      <c r="X399" s="40" t="e">
        <f>W399*Assumptions!$F$24*12-V399</f>
        <v>#NUM!</v>
      </c>
      <c r="Y399" s="43"/>
      <c r="Z399" s="40">
        <f t="shared" ref="Z399:Z462" si="65">$Z$8*$C399/100</f>
        <v>0</v>
      </c>
      <c r="AA399" s="50" t="e">
        <f>-PMT(Assumptions!G$25/12,Assumptions!G$24*12,$Z$8)*$C399/100</f>
        <v>#NUM!</v>
      </c>
      <c r="AB399" s="44" t="e">
        <f>AA399*Assumptions!$G$24*12-Z399</f>
        <v>#NUM!</v>
      </c>
      <c r="AD399" s="54">
        <f t="shared" si="54"/>
        <v>0</v>
      </c>
      <c r="AE399" s="54">
        <f t="shared" si="55"/>
        <v>0</v>
      </c>
      <c r="AF399" s="54">
        <f t="shared" si="56"/>
        <v>2270</v>
      </c>
      <c r="AG399" s="54">
        <f t="shared" si="57"/>
        <v>11350</v>
      </c>
      <c r="AH399" s="54">
        <f t="shared" si="58"/>
        <v>0</v>
      </c>
      <c r="AI399" s="54">
        <f t="shared" si="59"/>
        <v>0</v>
      </c>
    </row>
    <row r="400" spans="1:35" ht="15" x14ac:dyDescent="0.2">
      <c r="A400" s="56" t="s">
        <v>495</v>
      </c>
      <c r="B400" s="32"/>
      <c r="C400" s="56">
        <v>0.20599999999999999</v>
      </c>
      <c r="D400" s="56">
        <v>323.44</v>
      </c>
      <c r="E400" s="36"/>
      <c r="F400" s="40">
        <f t="shared" si="60"/>
        <v>0</v>
      </c>
      <c r="G400" s="40" t="e">
        <f>-PMT(Assumptions!B$25/12,Assumptions!B$24*12,F$8)*C400/100</f>
        <v>#NUM!</v>
      </c>
      <c r="H400" s="40" t="e">
        <f>G400*Assumptions!$B$24*12-F400</f>
        <v>#NUM!</v>
      </c>
      <c r="I400" s="48"/>
      <c r="J400" s="40">
        <f t="shared" si="61"/>
        <v>0</v>
      </c>
      <c r="K400" s="40" t="e">
        <f>-PMT(Assumptions!C$25/12,Assumptions!C$24*12,J$8)*C400/100</f>
        <v>#NUM!</v>
      </c>
      <c r="L400" s="40" t="e">
        <f>K400*Assumptions!$C$24*12-J400</f>
        <v>#NUM!</v>
      </c>
      <c r="M400" s="43"/>
      <c r="N400" s="40">
        <f t="shared" si="62"/>
        <v>2060</v>
      </c>
      <c r="O400" s="50">
        <f>-PMT(Assumptions!D$25/12,Assumptions!D$24*12,N$8)*C400/100</f>
        <v>21.849496139249496</v>
      </c>
      <c r="P400" s="44">
        <f>O400*Assumptions!$D$24*12-N400</f>
        <v>561.9395367099396</v>
      </c>
      <c r="Q400" s="48"/>
      <c r="R400" s="40">
        <f t="shared" si="63"/>
        <v>10300</v>
      </c>
      <c r="S400" s="40">
        <f>-PMT(Assumptions!E$25/12,Assumptions!E$24*12,$R$8)*$C400/100</f>
        <v>109.24748069624748</v>
      </c>
      <c r="T400" s="40">
        <f>S400*Assumptions!$E$24*12-R400</f>
        <v>2809.6976835496971</v>
      </c>
      <c r="U400" s="48"/>
      <c r="V400" s="40">
        <f t="shared" si="64"/>
        <v>0</v>
      </c>
      <c r="W400" s="40" t="e">
        <f>-PMT(Assumptions!F$25/12,Assumptions!F$24*12,$V$8)*$C400/100</f>
        <v>#NUM!</v>
      </c>
      <c r="X400" s="40" t="e">
        <f>W400*Assumptions!$F$24*12-V400</f>
        <v>#NUM!</v>
      </c>
      <c r="Y400" s="43"/>
      <c r="Z400" s="40">
        <f t="shared" si="65"/>
        <v>0</v>
      </c>
      <c r="AA400" s="50" t="e">
        <f>-PMT(Assumptions!G$25/12,Assumptions!G$24*12,$Z$8)*$C400/100</f>
        <v>#NUM!</v>
      </c>
      <c r="AB400" s="44" t="e">
        <f>AA400*Assumptions!$G$24*12-Z400</f>
        <v>#NUM!</v>
      </c>
      <c r="AD400" s="54">
        <f t="shared" si="54"/>
        <v>0</v>
      </c>
      <c r="AE400" s="54">
        <f t="shared" si="55"/>
        <v>0</v>
      </c>
      <c r="AF400" s="54">
        <f t="shared" si="56"/>
        <v>2060</v>
      </c>
      <c r="AG400" s="54">
        <f t="shared" si="57"/>
        <v>10300</v>
      </c>
      <c r="AH400" s="54">
        <f t="shared" si="58"/>
        <v>0</v>
      </c>
      <c r="AI400" s="54">
        <f t="shared" si="59"/>
        <v>0</v>
      </c>
    </row>
    <row r="401" spans="1:35" ht="15" x14ac:dyDescent="0.2">
      <c r="A401" s="56" t="s">
        <v>496</v>
      </c>
      <c r="B401" s="32"/>
      <c r="C401" s="56">
        <v>0.20599999999999999</v>
      </c>
      <c r="D401" s="56">
        <v>323.44</v>
      </c>
      <c r="E401" s="36"/>
      <c r="F401" s="40">
        <f t="shared" si="60"/>
        <v>0</v>
      </c>
      <c r="G401" s="40" t="e">
        <f>-PMT(Assumptions!B$25/12,Assumptions!B$24*12,F$8)*C401/100</f>
        <v>#NUM!</v>
      </c>
      <c r="H401" s="40" t="e">
        <f>G401*Assumptions!$B$24*12-F401</f>
        <v>#NUM!</v>
      </c>
      <c r="I401" s="48"/>
      <c r="J401" s="40">
        <f t="shared" si="61"/>
        <v>0</v>
      </c>
      <c r="K401" s="40" t="e">
        <f>-PMT(Assumptions!C$25/12,Assumptions!C$24*12,J$8)*C401/100</f>
        <v>#NUM!</v>
      </c>
      <c r="L401" s="40" t="e">
        <f>K401*Assumptions!$C$24*12-J401</f>
        <v>#NUM!</v>
      </c>
      <c r="M401" s="43"/>
      <c r="N401" s="40">
        <f t="shared" si="62"/>
        <v>2060</v>
      </c>
      <c r="O401" s="50">
        <f>-PMT(Assumptions!D$25/12,Assumptions!D$24*12,N$8)*C401/100</f>
        <v>21.849496139249496</v>
      </c>
      <c r="P401" s="44">
        <f>O401*Assumptions!$D$24*12-N401</f>
        <v>561.9395367099396</v>
      </c>
      <c r="Q401" s="48"/>
      <c r="R401" s="40">
        <f t="shared" si="63"/>
        <v>10300</v>
      </c>
      <c r="S401" s="40">
        <f>-PMT(Assumptions!E$25/12,Assumptions!E$24*12,$R$8)*$C401/100</f>
        <v>109.24748069624748</v>
      </c>
      <c r="T401" s="40">
        <f>S401*Assumptions!$E$24*12-R401</f>
        <v>2809.6976835496971</v>
      </c>
      <c r="U401" s="48"/>
      <c r="V401" s="40">
        <f t="shared" si="64"/>
        <v>0</v>
      </c>
      <c r="W401" s="40" t="e">
        <f>-PMT(Assumptions!F$25/12,Assumptions!F$24*12,$V$8)*$C401/100</f>
        <v>#NUM!</v>
      </c>
      <c r="X401" s="40" t="e">
        <f>W401*Assumptions!$F$24*12-V401</f>
        <v>#NUM!</v>
      </c>
      <c r="Y401" s="43"/>
      <c r="Z401" s="40">
        <f t="shared" si="65"/>
        <v>0</v>
      </c>
      <c r="AA401" s="50" t="e">
        <f>-PMT(Assumptions!G$25/12,Assumptions!G$24*12,$Z$8)*$C401/100</f>
        <v>#NUM!</v>
      </c>
      <c r="AB401" s="44" t="e">
        <f>AA401*Assumptions!$G$24*12-Z401</f>
        <v>#NUM!</v>
      </c>
      <c r="AD401" s="54">
        <f t="shared" si="54"/>
        <v>0</v>
      </c>
      <c r="AE401" s="54">
        <f t="shared" si="55"/>
        <v>0</v>
      </c>
      <c r="AF401" s="54">
        <f t="shared" si="56"/>
        <v>2060</v>
      </c>
      <c r="AG401" s="54">
        <f t="shared" si="57"/>
        <v>10300</v>
      </c>
      <c r="AH401" s="54">
        <f t="shared" si="58"/>
        <v>0</v>
      </c>
      <c r="AI401" s="54">
        <f t="shared" si="59"/>
        <v>0</v>
      </c>
    </row>
    <row r="402" spans="1:35" ht="15" x14ac:dyDescent="0.2">
      <c r="A402" s="56" t="s">
        <v>497</v>
      </c>
      <c r="B402" s="32"/>
      <c r="C402" s="56">
        <v>0.28399999999999997</v>
      </c>
      <c r="D402" s="56">
        <v>445.91</v>
      </c>
      <c r="E402" s="36"/>
      <c r="F402" s="40">
        <f t="shared" si="60"/>
        <v>0</v>
      </c>
      <c r="G402" s="40" t="e">
        <f>-PMT(Assumptions!B$25/12,Assumptions!B$24*12,F$8)*C402/100</f>
        <v>#NUM!</v>
      </c>
      <c r="H402" s="40" t="e">
        <f>G402*Assumptions!$B$24*12-F402</f>
        <v>#NUM!</v>
      </c>
      <c r="I402" s="48"/>
      <c r="J402" s="40">
        <f t="shared" si="61"/>
        <v>0</v>
      </c>
      <c r="K402" s="40" t="e">
        <f>-PMT(Assumptions!C$25/12,Assumptions!C$24*12,J$8)*C402/100</f>
        <v>#NUM!</v>
      </c>
      <c r="L402" s="40" t="e">
        <f>K402*Assumptions!$C$24*12-J402</f>
        <v>#NUM!</v>
      </c>
      <c r="M402" s="43"/>
      <c r="N402" s="40">
        <f t="shared" si="62"/>
        <v>2840</v>
      </c>
      <c r="O402" s="50">
        <f>-PMT(Assumptions!D$25/12,Assumptions!D$24*12,N$8)*C402/100</f>
        <v>30.122606327897362</v>
      </c>
      <c r="P402" s="44">
        <f>O402*Assumptions!$D$24*12-N402</f>
        <v>774.71275934768346</v>
      </c>
      <c r="Q402" s="48"/>
      <c r="R402" s="40">
        <f t="shared" si="63"/>
        <v>14199.999999999998</v>
      </c>
      <c r="S402" s="40">
        <f>-PMT(Assumptions!E$25/12,Assumptions!E$24*12,$R$8)*$C402/100</f>
        <v>150.61303163948682</v>
      </c>
      <c r="T402" s="40">
        <f>S402*Assumptions!$E$24*12-R402</f>
        <v>3873.5637967384191</v>
      </c>
      <c r="U402" s="48"/>
      <c r="V402" s="40">
        <f t="shared" si="64"/>
        <v>0</v>
      </c>
      <c r="W402" s="40" t="e">
        <f>-PMT(Assumptions!F$25/12,Assumptions!F$24*12,$V$8)*$C402/100</f>
        <v>#NUM!</v>
      </c>
      <c r="X402" s="40" t="e">
        <f>W402*Assumptions!$F$24*12-V402</f>
        <v>#NUM!</v>
      </c>
      <c r="Y402" s="43"/>
      <c r="Z402" s="40">
        <f t="shared" si="65"/>
        <v>0</v>
      </c>
      <c r="AA402" s="50" t="e">
        <f>-PMT(Assumptions!G$25/12,Assumptions!G$24*12,$Z$8)*$C402/100</f>
        <v>#NUM!</v>
      </c>
      <c r="AB402" s="44" t="e">
        <f>AA402*Assumptions!$G$24*12-Z402</f>
        <v>#NUM!</v>
      </c>
      <c r="AD402" s="54">
        <f t="shared" si="54"/>
        <v>0</v>
      </c>
      <c r="AE402" s="54">
        <f t="shared" si="55"/>
        <v>0</v>
      </c>
      <c r="AF402" s="54">
        <f t="shared" si="56"/>
        <v>2840</v>
      </c>
      <c r="AG402" s="54">
        <f t="shared" si="57"/>
        <v>14199.999999999998</v>
      </c>
      <c r="AH402" s="54">
        <f t="shared" si="58"/>
        <v>0</v>
      </c>
      <c r="AI402" s="54">
        <f t="shared" si="59"/>
        <v>0</v>
      </c>
    </row>
    <row r="403" spans="1:35" ht="15" x14ac:dyDescent="0.2">
      <c r="A403" s="56" t="s">
        <v>498</v>
      </c>
      <c r="B403" s="32"/>
      <c r="C403" s="56">
        <v>0.28399999999999997</v>
      </c>
      <c r="D403" s="56">
        <v>445.91</v>
      </c>
      <c r="E403" s="36"/>
      <c r="F403" s="40">
        <f t="shared" si="60"/>
        <v>0</v>
      </c>
      <c r="G403" s="40" t="e">
        <f>-PMT(Assumptions!B$25/12,Assumptions!B$24*12,F$8)*C403/100</f>
        <v>#NUM!</v>
      </c>
      <c r="H403" s="40" t="e">
        <f>G403*Assumptions!$B$24*12-F403</f>
        <v>#NUM!</v>
      </c>
      <c r="I403" s="48"/>
      <c r="J403" s="40">
        <f t="shared" si="61"/>
        <v>0</v>
      </c>
      <c r="K403" s="40" t="e">
        <f>-PMT(Assumptions!C$25/12,Assumptions!C$24*12,J$8)*C403/100</f>
        <v>#NUM!</v>
      </c>
      <c r="L403" s="40" t="e">
        <f>K403*Assumptions!$C$24*12-J403</f>
        <v>#NUM!</v>
      </c>
      <c r="M403" s="43"/>
      <c r="N403" s="40">
        <f t="shared" si="62"/>
        <v>2840</v>
      </c>
      <c r="O403" s="50">
        <f>-PMT(Assumptions!D$25/12,Assumptions!D$24*12,N$8)*C403/100</f>
        <v>30.122606327897362</v>
      </c>
      <c r="P403" s="44">
        <f>O403*Assumptions!$D$24*12-N403</f>
        <v>774.71275934768346</v>
      </c>
      <c r="Q403" s="48"/>
      <c r="R403" s="40">
        <f t="shared" si="63"/>
        <v>14199.999999999998</v>
      </c>
      <c r="S403" s="40">
        <f>-PMT(Assumptions!E$25/12,Assumptions!E$24*12,$R$8)*$C403/100</f>
        <v>150.61303163948682</v>
      </c>
      <c r="T403" s="40">
        <f>S403*Assumptions!$E$24*12-R403</f>
        <v>3873.5637967384191</v>
      </c>
      <c r="U403" s="48"/>
      <c r="V403" s="40">
        <f t="shared" si="64"/>
        <v>0</v>
      </c>
      <c r="W403" s="40" t="e">
        <f>-PMT(Assumptions!F$25/12,Assumptions!F$24*12,$V$8)*$C403/100</f>
        <v>#NUM!</v>
      </c>
      <c r="X403" s="40" t="e">
        <f>W403*Assumptions!$F$24*12-V403</f>
        <v>#NUM!</v>
      </c>
      <c r="Y403" s="43"/>
      <c r="Z403" s="40">
        <f t="shared" si="65"/>
        <v>0</v>
      </c>
      <c r="AA403" s="50" t="e">
        <f>-PMT(Assumptions!G$25/12,Assumptions!G$24*12,$Z$8)*$C403/100</f>
        <v>#NUM!</v>
      </c>
      <c r="AB403" s="44" t="e">
        <f>AA403*Assumptions!$G$24*12-Z403</f>
        <v>#NUM!</v>
      </c>
      <c r="AD403" s="54">
        <f t="shared" si="54"/>
        <v>0</v>
      </c>
      <c r="AE403" s="54">
        <f t="shared" si="55"/>
        <v>0</v>
      </c>
      <c r="AF403" s="54">
        <f t="shared" si="56"/>
        <v>2840</v>
      </c>
      <c r="AG403" s="54">
        <f t="shared" si="57"/>
        <v>14199.999999999998</v>
      </c>
      <c r="AH403" s="54">
        <f t="shared" si="58"/>
        <v>0</v>
      </c>
      <c r="AI403" s="54">
        <f t="shared" si="59"/>
        <v>0</v>
      </c>
    </row>
    <row r="404" spans="1:35" ht="15" x14ac:dyDescent="0.2">
      <c r="A404" s="56" t="s">
        <v>499</v>
      </c>
      <c r="B404" s="32"/>
      <c r="C404" s="56">
        <v>0.30099999999999999</v>
      </c>
      <c r="D404" s="56">
        <v>472.6</v>
      </c>
      <c r="E404" s="36"/>
      <c r="F404" s="40">
        <f t="shared" si="60"/>
        <v>0</v>
      </c>
      <c r="G404" s="40" t="e">
        <f>-PMT(Assumptions!B$25/12,Assumptions!B$24*12,F$8)*C404/100</f>
        <v>#NUM!</v>
      </c>
      <c r="H404" s="40" t="e">
        <f>G404*Assumptions!$B$24*12-F404</f>
        <v>#NUM!</v>
      </c>
      <c r="I404" s="48"/>
      <c r="J404" s="40">
        <f t="shared" si="61"/>
        <v>0</v>
      </c>
      <c r="K404" s="40" t="e">
        <f>-PMT(Assumptions!C$25/12,Assumptions!C$24*12,J$8)*C404/100</f>
        <v>#NUM!</v>
      </c>
      <c r="L404" s="40" t="e">
        <f>K404*Assumptions!$C$24*12-J404</f>
        <v>#NUM!</v>
      </c>
      <c r="M404" s="43"/>
      <c r="N404" s="40">
        <f t="shared" si="62"/>
        <v>3010</v>
      </c>
      <c r="O404" s="50">
        <f>-PMT(Assumptions!D$25/12,Assumptions!D$24*12,N$8)*C404/100</f>
        <v>31.925720086961643</v>
      </c>
      <c r="P404" s="44">
        <f>O404*Assumptions!$D$24*12-N404</f>
        <v>821.08641043539728</v>
      </c>
      <c r="Q404" s="48"/>
      <c r="R404" s="40">
        <f t="shared" si="63"/>
        <v>15050</v>
      </c>
      <c r="S404" s="40">
        <f>-PMT(Assumptions!E$25/12,Assumptions!E$24*12,$R$8)*$C404/100</f>
        <v>159.62860043480822</v>
      </c>
      <c r="T404" s="40">
        <f>S404*Assumptions!$E$24*12-R404</f>
        <v>4105.4320521769878</v>
      </c>
      <c r="U404" s="48"/>
      <c r="V404" s="40">
        <f t="shared" si="64"/>
        <v>0</v>
      </c>
      <c r="W404" s="40" t="e">
        <f>-PMT(Assumptions!F$25/12,Assumptions!F$24*12,$V$8)*$C404/100</f>
        <v>#NUM!</v>
      </c>
      <c r="X404" s="40" t="e">
        <f>W404*Assumptions!$F$24*12-V404</f>
        <v>#NUM!</v>
      </c>
      <c r="Y404" s="43"/>
      <c r="Z404" s="40">
        <f t="shared" si="65"/>
        <v>0</v>
      </c>
      <c r="AA404" s="50" t="e">
        <f>-PMT(Assumptions!G$25/12,Assumptions!G$24*12,$Z$8)*$C404/100</f>
        <v>#NUM!</v>
      </c>
      <c r="AB404" s="44" t="e">
        <f>AA404*Assumptions!$G$24*12-Z404</f>
        <v>#NUM!</v>
      </c>
      <c r="AD404" s="54">
        <f t="shared" si="54"/>
        <v>0</v>
      </c>
      <c r="AE404" s="54">
        <f t="shared" si="55"/>
        <v>0</v>
      </c>
      <c r="AF404" s="54">
        <f t="shared" si="56"/>
        <v>3010</v>
      </c>
      <c r="AG404" s="54">
        <f t="shared" si="57"/>
        <v>15050</v>
      </c>
      <c r="AH404" s="54">
        <f t="shared" si="58"/>
        <v>0</v>
      </c>
      <c r="AI404" s="54">
        <f t="shared" si="59"/>
        <v>0</v>
      </c>
    </row>
    <row r="405" spans="1:35" ht="15" x14ac:dyDescent="0.2">
      <c r="A405" s="56" t="s">
        <v>500</v>
      </c>
      <c r="B405" s="32"/>
      <c r="C405" s="56">
        <v>0.30099999999999999</v>
      </c>
      <c r="D405" s="56">
        <v>472.6</v>
      </c>
      <c r="E405" s="36"/>
      <c r="F405" s="40">
        <f t="shared" si="60"/>
        <v>0</v>
      </c>
      <c r="G405" s="40" t="e">
        <f>-PMT(Assumptions!B$25/12,Assumptions!B$24*12,F$8)*C405/100</f>
        <v>#NUM!</v>
      </c>
      <c r="H405" s="40" t="e">
        <f>G405*Assumptions!$B$24*12-F405</f>
        <v>#NUM!</v>
      </c>
      <c r="I405" s="48"/>
      <c r="J405" s="40">
        <f t="shared" si="61"/>
        <v>0</v>
      </c>
      <c r="K405" s="40" t="e">
        <f>-PMT(Assumptions!C$25/12,Assumptions!C$24*12,J$8)*C405/100</f>
        <v>#NUM!</v>
      </c>
      <c r="L405" s="40" t="e">
        <f>K405*Assumptions!$C$24*12-J405</f>
        <v>#NUM!</v>
      </c>
      <c r="M405" s="43"/>
      <c r="N405" s="40">
        <f t="shared" si="62"/>
        <v>3010</v>
      </c>
      <c r="O405" s="50">
        <f>-PMT(Assumptions!D$25/12,Assumptions!D$24*12,N$8)*C405/100</f>
        <v>31.925720086961643</v>
      </c>
      <c r="P405" s="44">
        <f>O405*Assumptions!$D$24*12-N405</f>
        <v>821.08641043539728</v>
      </c>
      <c r="Q405" s="48"/>
      <c r="R405" s="40">
        <f t="shared" si="63"/>
        <v>15050</v>
      </c>
      <c r="S405" s="40">
        <f>-PMT(Assumptions!E$25/12,Assumptions!E$24*12,$R$8)*$C405/100</f>
        <v>159.62860043480822</v>
      </c>
      <c r="T405" s="40">
        <f>S405*Assumptions!$E$24*12-R405</f>
        <v>4105.4320521769878</v>
      </c>
      <c r="U405" s="48"/>
      <c r="V405" s="40">
        <f t="shared" si="64"/>
        <v>0</v>
      </c>
      <c r="W405" s="40" t="e">
        <f>-PMT(Assumptions!F$25/12,Assumptions!F$24*12,$V$8)*$C405/100</f>
        <v>#NUM!</v>
      </c>
      <c r="X405" s="40" t="e">
        <f>W405*Assumptions!$F$24*12-V405</f>
        <v>#NUM!</v>
      </c>
      <c r="Y405" s="43"/>
      <c r="Z405" s="40">
        <f t="shared" si="65"/>
        <v>0</v>
      </c>
      <c r="AA405" s="50" t="e">
        <f>-PMT(Assumptions!G$25/12,Assumptions!G$24*12,$Z$8)*$C405/100</f>
        <v>#NUM!</v>
      </c>
      <c r="AB405" s="44" t="e">
        <f>AA405*Assumptions!$G$24*12-Z405</f>
        <v>#NUM!</v>
      </c>
      <c r="AD405" s="54">
        <f t="shared" si="54"/>
        <v>0</v>
      </c>
      <c r="AE405" s="54">
        <f t="shared" si="55"/>
        <v>0</v>
      </c>
      <c r="AF405" s="54">
        <f t="shared" si="56"/>
        <v>3010</v>
      </c>
      <c r="AG405" s="54">
        <f t="shared" si="57"/>
        <v>15050</v>
      </c>
      <c r="AH405" s="54">
        <f t="shared" si="58"/>
        <v>0</v>
      </c>
      <c r="AI405" s="54">
        <f t="shared" si="59"/>
        <v>0</v>
      </c>
    </row>
    <row r="406" spans="1:35" ht="15" x14ac:dyDescent="0.2">
      <c r="A406" s="56" t="s">
        <v>501</v>
      </c>
      <c r="B406" s="32"/>
      <c r="C406" s="56">
        <v>0.20799999999999999</v>
      </c>
      <c r="D406" s="56">
        <v>326.58</v>
      </c>
      <c r="E406" s="36"/>
      <c r="F406" s="40">
        <f t="shared" si="60"/>
        <v>0</v>
      </c>
      <c r="G406" s="40" t="e">
        <f>-PMT(Assumptions!B$25/12,Assumptions!B$24*12,F$8)*C406/100</f>
        <v>#NUM!</v>
      </c>
      <c r="H406" s="40" t="e">
        <f>G406*Assumptions!$B$24*12-F406</f>
        <v>#NUM!</v>
      </c>
      <c r="I406" s="48"/>
      <c r="J406" s="40">
        <f t="shared" si="61"/>
        <v>0</v>
      </c>
      <c r="K406" s="40" t="e">
        <f>-PMT(Assumptions!C$25/12,Assumptions!C$24*12,J$8)*C406/100</f>
        <v>#NUM!</v>
      </c>
      <c r="L406" s="40" t="e">
        <f>K406*Assumptions!$C$24*12-J406</f>
        <v>#NUM!</v>
      </c>
      <c r="M406" s="43"/>
      <c r="N406" s="40">
        <f t="shared" si="62"/>
        <v>2080</v>
      </c>
      <c r="O406" s="50">
        <f>-PMT(Assumptions!D$25/12,Assumptions!D$24*12,N$8)*C406/100</f>
        <v>22.06162716972765</v>
      </c>
      <c r="P406" s="44">
        <f>O406*Assumptions!$D$24*12-N406</f>
        <v>567.39526036731786</v>
      </c>
      <c r="Q406" s="48"/>
      <c r="R406" s="40">
        <f t="shared" si="63"/>
        <v>10400</v>
      </c>
      <c r="S406" s="40">
        <f>-PMT(Assumptions!E$25/12,Assumptions!E$24*12,$R$8)*$C406/100</f>
        <v>110.30813584863823</v>
      </c>
      <c r="T406" s="40">
        <f>S406*Assumptions!$E$24*12-R406</f>
        <v>2836.9763018365866</v>
      </c>
      <c r="U406" s="48"/>
      <c r="V406" s="40">
        <f t="shared" si="64"/>
        <v>0</v>
      </c>
      <c r="W406" s="40" t="e">
        <f>-PMT(Assumptions!F$25/12,Assumptions!F$24*12,$V$8)*$C406/100</f>
        <v>#NUM!</v>
      </c>
      <c r="X406" s="40" t="e">
        <f>W406*Assumptions!$F$24*12-V406</f>
        <v>#NUM!</v>
      </c>
      <c r="Y406" s="43"/>
      <c r="Z406" s="40">
        <f t="shared" si="65"/>
        <v>0</v>
      </c>
      <c r="AA406" s="50" t="e">
        <f>-PMT(Assumptions!G$25/12,Assumptions!G$24*12,$Z$8)*$C406/100</f>
        <v>#NUM!</v>
      </c>
      <c r="AB406" s="44" t="e">
        <f>AA406*Assumptions!$G$24*12-Z406</f>
        <v>#NUM!</v>
      </c>
      <c r="AD406" s="54">
        <f t="shared" si="54"/>
        <v>0</v>
      </c>
      <c r="AE406" s="54">
        <f t="shared" si="55"/>
        <v>0</v>
      </c>
      <c r="AF406" s="54">
        <f t="shared" si="56"/>
        <v>2080</v>
      </c>
      <c r="AG406" s="54">
        <f t="shared" si="57"/>
        <v>10400</v>
      </c>
      <c r="AH406" s="54">
        <f t="shared" si="58"/>
        <v>0</v>
      </c>
      <c r="AI406" s="54">
        <f t="shared" si="59"/>
        <v>0</v>
      </c>
    </row>
    <row r="407" spans="1:35" ht="15" x14ac:dyDescent="0.2">
      <c r="A407" s="56" t="s">
        <v>502</v>
      </c>
      <c r="B407" s="32"/>
      <c r="C407" s="56">
        <v>0.20799999999999999</v>
      </c>
      <c r="D407" s="56">
        <v>326.58</v>
      </c>
      <c r="E407" s="36"/>
      <c r="F407" s="40">
        <f t="shared" si="60"/>
        <v>0</v>
      </c>
      <c r="G407" s="40" t="e">
        <f>-PMT(Assumptions!B$25/12,Assumptions!B$24*12,F$8)*C407/100</f>
        <v>#NUM!</v>
      </c>
      <c r="H407" s="40" t="e">
        <f>G407*Assumptions!$B$24*12-F407</f>
        <v>#NUM!</v>
      </c>
      <c r="I407" s="48"/>
      <c r="J407" s="40">
        <f t="shared" si="61"/>
        <v>0</v>
      </c>
      <c r="K407" s="40" t="e">
        <f>-PMT(Assumptions!C$25/12,Assumptions!C$24*12,J$8)*C407/100</f>
        <v>#NUM!</v>
      </c>
      <c r="L407" s="40" t="e">
        <f>K407*Assumptions!$C$24*12-J407</f>
        <v>#NUM!</v>
      </c>
      <c r="M407" s="43"/>
      <c r="N407" s="40">
        <f t="shared" si="62"/>
        <v>2080</v>
      </c>
      <c r="O407" s="50">
        <f>-PMT(Assumptions!D$25/12,Assumptions!D$24*12,N$8)*C407/100</f>
        <v>22.06162716972765</v>
      </c>
      <c r="P407" s="44">
        <f>O407*Assumptions!$D$24*12-N407</f>
        <v>567.39526036731786</v>
      </c>
      <c r="Q407" s="48"/>
      <c r="R407" s="40">
        <f t="shared" si="63"/>
        <v>10400</v>
      </c>
      <c r="S407" s="40">
        <f>-PMT(Assumptions!E$25/12,Assumptions!E$24*12,$R$8)*$C407/100</f>
        <v>110.30813584863823</v>
      </c>
      <c r="T407" s="40">
        <f>S407*Assumptions!$E$24*12-R407</f>
        <v>2836.9763018365866</v>
      </c>
      <c r="U407" s="48"/>
      <c r="V407" s="40">
        <f t="shared" si="64"/>
        <v>0</v>
      </c>
      <c r="W407" s="40" t="e">
        <f>-PMT(Assumptions!F$25/12,Assumptions!F$24*12,$V$8)*$C407/100</f>
        <v>#NUM!</v>
      </c>
      <c r="X407" s="40" t="e">
        <f>W407*Assumptions!$F$24*12-V407</f>
        <v>#NUM!</v>
      </c>
      <c r="Y407" s="43"/>
      <c r="Z407" s="40">
        <f t="shared" si="65"/>
        <v>0</v>
      </c>
      <c r="AA407" s="50" t="e">
        <f>-PMT(Assumptions!G$25/12,Assumptions!G$24*12,$Z$8)*$C407/100</f>
        <v>#NUM!</v>
      </c>
      <c r="AB407" s="44" t="e">
        <f>AA407*Assumptions!$G$24*12-Z407</f>
        <v>#NUM!</v>
      </c>
      <c r="AD407" s="54">
        <f t="shared" si="54"/>
        <v>0</v>
      </c>
      <c r="AE407" s="54">
        <f t="shared" si="55"/>
        <v>0</v>
      </c>
      <c r="AF407" s="54">
        <f t="shared" si="56"/>
        <v>2080</v>
      </c>
      <c r="AG407" s="54">
        <f t="shared" si="57"/>
        <v>10400</v>
      </c>
      <c r="AH407" s="54">
        <f t="shared" si="58"/>
        <v>0</v>
      </c>
      <c r="AI407" s="54">
        <f t="shared" si="59"/>
        <v>0</v>
      </c>
    </row>
    <row r="408" spans="1:35" ht="15" x14ac:dyDescent="0.2">
      <c r="A408" s="56" t="s">
        <v>503</v>
      </c>
      <c r="B408" s="32"/>
      <c r="C408" s="56">
        <v>0.151</v>
      </c>
      <c r="D408" s="56">
        <v>237.09</v>
      </c>
      <c r="E408" s="36"/>
      <c r="F408" s="40">
        <f t="shared" si="60"/>
        <v>0</v>
      </c>
      <c r="G408" s="40" t="e">
        <f>-PMT(Assumptions!B$25/12,Assumptions!B$24*12,F$8)*C408/100</f>
        <v>#NUM!</v>
      </c>
      <c r="H408" s="40" t="e">
        <f>G408*Assumptions!$B$24*12-F408</f>
        <v>#NUM!</v>
      </c>
      <c r="I408" s="48"/>
      <c r="J408" s="40">
        <f t="shared" si="61"/>
        <v>0</v>
      </c>
      <c r="K408" s="40" t="e">
        <f>-PMT(Assumptions!C$25/12,Assumptions!C$24*12,J$8)*C408/100</f>
        <v>#NUM!</v>
      </c>
      <c r="L408" s="40" t="e">
        <f>K408*Assumptions!$C$24*12-J408</f>
        <v>#NUM!</v>
      </c>
      <c r="M408" s="43"/>
      <c r="N408" s="40">
        <f t="shared" si="62"/>
        <v>1510</v>
      </c>
      <c r="O408" s="50">
        <f>-PMT(Assumptions!D$25/12,Assumptions!D$24*12,N$8)*C408/100</f>
        <v>16.015892801100357</v>
      </c>
      <c r="P408" s="44">
        <f>O408*Assumptions!$D$24*12-N408</f>
        <v>411.90713613204298</v>
      </c>
      <c r="Q408" s="48"/>
      <c r="R408" s="40">
        <f t="shared" si="63"/>
        <v>7550</v>
      </c>
      <c r="S408" s="40">
        <f>-PMT(Assumptions!E$25/12,Assumptions!E$24*12,$R$8)*$C408/100</f>
        <v>80.079464005501791</v>
      </c>
      <c r="T408" s="40">
        <f>S408*Assumptions!$E$24*12-R408</f>
        <v>2059.535680660214</v>
      </c>
      <c r="U408" s="48"/>
      <c r="V408" s="40">
        <f t="shared" si="64"/>
        <v>0</v>
      </c>
      <c r="W408" s="40" t="e">
        <f>-PMT(Assumptions!F$25/12,Assumptions!F$24*12,$V$8)*$C408/100</f>
        <v>#NUM!</v>
      </c>
      <c r="X408" s="40" t="e">
        <f>W408*Assumptions!$F$24*12-V408</f>
        <v>#NUM!</v>
      </c>
      <c r="Y408" s="43"/>
      <c r="Z408" s="40">
        <f t="shared" si="65"/>
        <v>0</v>
      </c>
      <c r="AA408" s="50" t="e">
        <f>-PMT(Assumptions!G$25/12,Assumptions!G$24*12,$Z$8)*$C408/100</f>
        <v>#NUM!</v>
      </c>
      <c r="AB408" s="44" t="e">
        <f>AA408*Assumptions!$G$24*12-Z408</f>
        <v>#NUM!</v>
      </c>
      <c r="AD408" s="54">
        <f t="shared" si="54"/>
        <v>0</v>
      </c>
      <c r="AE408" s="54">
        <f t="shared" si="55"/>
        <v>0</v>
      </c>
      <c r="AF408" s="54">
        <f t="shared" si="56"/>
        <v>1510</v>
      </c>
      <c r="AG408" s="54">
        <f t="shared" si="57"/>
        <v>7550</v>
      </c>
      <c r="AH408" s="54">
        <f t="shared" si="58"/>
        <v>0</v>
      </c>
      <c r="AI408" s="54">
        <f t="shared" si="59"/>
        <v>0</v>
      </c>
    </row>
    <row r="409" spans="1:35" ht="15" x14ac:dyDescent="0.2">
      <c r="A409" s="56" t="s">
        <v>504</v>
      </c>
      <c r="B409" s="32"/>
      <c r="C409" s="56">
        <v>0.16</v>
      </c>
      <c r="D409" s="56">
        <v>251.22</v>
      </c>
      <c r="E409" s="36"/>
      <c r="F409" s="40">
        <f t="shared" si="60"/>
        <v>0</v>
      </c>
      <c r="G409" s="40" t="e">
        <f>-PMT(Assumptions!B$25/12,Assumptions!B$24*12,F$8)*C409/100</f>
        <v>#NUM!</v>
      </c>
      <c r="H409" s="40" t="e">
        <f>G409*Assumptions!$B$24*12-F409</f>
        <v>#NUM!</v>
      </c>
      <c r="I409" s="48"/>
      <c r="J409" s="40">
        <f t="shared" si="61"/>
        <v>0</v>
      </c>
      <c r="K409" s="40" t="e">
        <f>-PMT(Assumptions!C$25/12,Assumptions!C$24*12,J$8)*C409/100</f>
        <v>#NUM!</v>
      </c>
      <c r="L409" s="40" t="e">
        <f>K409*Assumptions!$C$24*12-J409</f>
        <v>#NUM!</v>
      </c>
      <c r="M409" s="43"/>
      <c r="N409" s="40">
        <f t="shared" si="62"/>
        <v>1600</v>
      </c>
      <c r="O409" s="50">
        <f>-PMT(Assumptions!D$25/12,Assumptions!D$24*12,N$8)*C409/100</f>
        <v>16.970482438252038</v>
      </c>
      <c r="P409" s="44">
        <f>O409*Assumptions!$D$24*12-N409</f>
        <v>436.45789259024446</v>
      </c>
      <c r="Q409" s="48"/>
      <c r="R409" s="40">
        <f t="shared" si="63"/>
        <v>8000</v>
      </c>
      <c r="S409" s="40">
        <f>-PMT(Assumptions!E$25/12,Assumptions!E$24*12,$R$8)*$C409/100</f>
        <v>84.852412191260186</v>
      </c>
      <c r="T409" s="40">
        <f>S409*Assumptions!$E$24*12-R409</f>
        <v>2182.289462951223</v>
      </c>
      <c r="U409" s="48"/>
      <c r="V409" s="40">
        <f t="shared" si="64"/>
        <v>0</v>
      </c>
      <c r="W409" s="40" t="e">
        <f>-PMT(Assumptions!F$25/12,Assumptions!F$24*12,$V$8)*$C409/100</f>
        <v>#NUM!</v>
      </c>
      <c r="X409" s="40" t="e">
        <f>W409*Assumptions!$F$24*12-V409</f>
        <v>#NUM!</v>
      </c>
      <c r="Y409" s="43"/>
      <c r="Z409" s="40">
        <f t="shared" si="65"/>
        <v>0</v>
      </c>
      <c r="AA409" s="50" t="e">
        <f>-PMT(Assumptions!G$25/12,Assumptions!G$24*12,$Z$8)*$C409/100</f>
        <v>#NUM!</v>
      </c>
      <c r="AB409" s="44" t="e">
        <f>AA409*Assumptions!$G$24*12-Z409</f>
        <v>#NUM!</v>
      </c>
      <c r="AD409" s="54">
        <f t="shared" si="54"/>
        <v>0</v>
      </c>
      <c r="AE409" s="54">
        <f t="shared" si="55"/>
        <v>0</v>
      </c>
      <c r="AF409" s="54">
        <f t="shared" si="56"/>
        <v>1600</v>
      </c>
      <c r="AG409" s="54">
        <f t="shared" si="57"/>
        <v>8000</v>
      </c>
      <c r="AH409" s="54">
        <f t="shared" si="58"/>
        <v>0</v>
      </c>
      <c r="AI409" s="54">
        <f t="shared" si="59"/>
        <v>0</v>
      </c>
    </row>
    <row r="410" spans="1:35" ht="15" x14ac:dyDescent="0.2">
      <c r="A410" s="56" t="s">
        <v>505</v>
      </c>
      <c r="B410" s="32"/>
      <c r="C410" s="56">
        <v>0.151</v>
      </c>
      <c r="D410" s="56">
        <v>237.09</v>
      </c>
      <c r="E410" s="36"/>
      <c r="F410" s="40">
        <f t="shared" si="60"/>
        <v>0</v>
      </c>
      <c r="G410" s="40" t="e">
        <f>-PMT(Assumptions!B$25/12,Assumptions!B$24*12,F$8)*C410/100</f>
        <v>#NUM!</v>
      </c>
      <c r="H410" s="40" t="e">
        <f>G410*Assumptions!$B$24*12-F410</f>
        <v>#NUM!</v>
      </c>
      <c r="I410" s="48"/>
      <c r="J410" s="40">
        <f t="shared" si="61"/>
        <v>0</v>
      </c>
      <c r="K410" s="40" t="e">
        <f>-PMT(Assumptions!C$25/12,Assumptions!C$24*12,J$8)*C410/100</f>
        <v>#NUM!</v>
      </c>
      <c r="L410" s="40" t="e">
        <f>K410*Assumptions!$C$24*12-J410</f>
        <v>#NUM!</v>
      </c>
      <c r="M410" s="43"/>
      <c r="N410" s="40">
        <f t="shared" si="62"/>
        <v>1510</v>
      </c>
      <c r="O410" s="50">
        <f>-PMT(Assumptions!D$25/12,Assumptions!D$24*12,N$8)*C410/100</f>
        <v>16.015892801100357</v>
      </c>
      <c r="P410" s="44">
        <f>O410*Assumptions!$D$24*12-N410</f>
        <v>411.90713613204298</v>
      </c>
      <c r="Q410" s="48"/>
      <c r="R410" s="40">
        <f t="shared" si="63"/>
        <v>7550</v>
      </c>
      <c r="S410" s="40">
        <f>-PMT(Assumptions!E$25/12,Assumptions!E$24*12,$R$8)*$C410/100</f>
        <v>80.079464005501791</v>
      </c>
      <c r="T410" s="40">
        <f>S410*Assumptions!$E$24*12-R410</f>
        <v>2059.535680660214</v>
      </c>
      <c r="U410" s="48"/>
      <c r="V410" s="40">
        <f t="shared" si="64"/>
        <v>0</v>
      </c>
      <c r="W410" s="40" t="e">
        <f>-PMT(Assumptions!F$25/12,Assumptions!F$24*12,$V$8)*$C410/100</f>
        <v>#NUM!</v>
      </c>
      <c r="X410" s="40" t="e">
        <f>W410*Assumptions!$F$24*12-V410</f>
        <v>#NUM!</v>
      </c>
      <c r="Y410" s="43"/>
      <c r="Z410" s="40">
        <f t="shared" si="65"/>
        <v>0</v>
      </c>
      <c r="AA410" s="50" t="e">
        <f>-PMT(Assumptions!G$25/12,Assumptions!G$24*12,$Z$8)*$C410/100</f>
        <v>#NUM!</v>
      </c>
      <c r="AB410" s="44" t="e">
        <f>AA410*Assumptions!$G$24*12-Z410</f>
        <v>#NUM!</v>
      </c>
      <c r="AD410" s="54">
        <f t="shared" ref="AD410:AD473" si="66">+F410</f>
        <v>0</v>
      </c>
      <c r="AE410" s="54">
        <f t="shared" ref="AE410:AE473" si="67">+J410</f>
        <v>0</v>
      </c>
      <c r="AF410" s="54">
        <f t="shared" ref="AF410:AF473" si="68">+N410</f>
        <v>1510</v>
      </c>
      <c r="AG410" s="54">
        <f t="shared" ref="AG410:AG473" si="69">+R410</f>
        <v>7550</v>
      </c>
      <c r="AH410" s="54">
        <f t="shared" ref="AH410:AH473" si="70">+V410</f>
        <v>0</v>
      </c>
      <c r="AI410" s="54">
        <f t="shared" ref="AI410:AI473" si="71">+Z410</f>
        <v>0</v>
      </c>
    </row>
    <row r="411" spans="1:35" ht="15" x14ac:dyDescent="0.2">
      <c r="A411" s="56" t="s">
        <v>506</v>
      </c>
      <c r="B411" s="32"/>
      <c r="C411" s="56">
        <v>0.16</v>
      </c>
      <c r="D411" s="56">
        <v>251.22</v>
      </c>
      <c r="E411" s="36"/>
      <c r="F411" s="40">
        <f t="shared" si="60"/>
        <v>0</v>
      </c>
      <c r="G411" s="40" t="e">
        <f>-PMT(Assumptions!B$25/12,Assumptions!B$24*12,F$8)*C411/100</f>
        <v>#NUM!</v>
      </c>
      <c r="H411" s="40" t="e">
        <f>G411*Assumptions!$B$24*12-F411</f>
        <v>#NUM!</v>
      </c>
      <c r="I411" s="48"/>
      <c r="J411" s="40">
        <f t="shared" si="61"/>
        <v>0</v>
      </c>
      <c r="K411" s="40" t="e">
        <f>-PMT(Assumptions!C$25/12,Assumptions!C$24*12,J$8)*C411/100</f>
        <v>#NUM!</v>
      </c>
      <c r="L411" s="40" t="e">
        <f>K411*Assumptions!$C$24*12-J411</f>
        <v>#NUM!</v>
      </c>
      <c r="M411" s="43"/>
      <c r="N411" s="40">
        <f t="shared" si="62"/>
        <v>1600</v>
      </c>
      <c r="O411" s="50">
        <f>-PMT(Assumptions!D$25/12,Assumptions!D$24*12,N$8)*C411/100</f>
        <v>16.970482438252038</v>
      </c>
      <c r="P411" s="44">
        <f>O411*Assumptions!$D$24*12-N411</f>
        <v>436.45789259024446</v>
      </c>
      <c r="Q411" s="48"/>
      <c r="R411" s="40">
        <f t="shared" si="63"/>
        <v>8000</v>
      </c>
      <c r="S411" s="40">
        <f>-PMT(Assumptions!E$25/12,Assumptions!E$24*12,$R$8)*$C411/100</f>
        <v>84.852412191260186</v>
      </c>
      <c r="T411" s="40">
        <f>S411*Assumptions!$E$24*12-R411</f>
        <v>2182.289462951223</v>
      </c>
      <c r="U411" s="48"/>
      <c r="V411" s="40">
        <f t="shared" si="64"/>
        <v>0</v>
      </c>
      <c r="W411" s="40" t="e">
        <f>-PMT(Assumptions!F$25/12,Assumptions!F$24*12,$V$8)*$C411/100</f>
        <v>#NUM!</v>
      </c>
      <c r="X411" s="40" t="e">
        <f>W411*Assumptions!$F$24*12-V411</f>
        <v>#NUM!</v>
      </c>
      <c r="Y411" s="43"/>
      <c r="Z411" s="40">
        <f t="shared" si="65"/>
        <v>0</v>
      </c>
      <c r="AA411" s="50" t="e">
        <f>-PMT(Assumptions!G$25/12,Assumptions!G$24*12,$Z$8)*$C411/100</f>
        <v>#NUM!</v>
      </c>
      <c r="AB411" s="44" t="e">
        <f>AA411*Assumptions!$G$24*12-Z411</f>
        <v>#NUM!</v>
      </c>
      <c r="AD411" s="54">
        <f t="shared" si="66"/>
        <v>0</v>
      </c>
      <c r="AE411" s="54">
        <f t="shared" si="67"/>
        <v>0</v>
      </c>
      <c r="AF411" s="54">
        <f t="shared" si="68"/>
        <v>1600</v>
      </c>
      <c r="AG411" s="54">
        <f t="shared" si="69"/>
        <v>8000</v>
      </c>
      <c r="AH411" s="54">
        <f t="shared" si="70"/>
        <v>0</v>
      </c>
      <c r="AI411" s="54">
        <f t="shared" si="71"/>
        <v>0</v>
      </c>
    </row>
    <row r="412" spans="1:35" ht="15" x14ac:dyDescent="0.2">
      <c r="A412" s="56" t="s">
        <v>507</v>
      </c>
      <c r="B412" s="32"/>
      <c r="C412" s="56">
        <v>0.22700000000000001</v>
      </c>
      <c r="D412" s="56">
        <v>356.41</v>
      </c>
      <c r="E412" s="36"/>
      <c r="F412" s="40">
        <f t="shared" si="60"/>
        <v>0</v>
      </c>
      <c r="G412" s="40" t="e">
        <f>-PMT(Assumptions!B$25/12,Assumptions!B$24*12,F$8)*C412/100</f>
        <v>#NUM!</v>
      </c>
      <c r="H412" s="40" t="e">
        <f>G412*Assumptions!$B$24*12-F412</f>
        <v>#NUM!</v>
      </c>
      <c r="I412" s="48"/>
      <c r="J412" s="40">
        <f t="shared" si="61"/>
        <v>0</v>
      </c>
      <c r="K412" s="40" t="e">
        <f>-PMT(Assumptions!C$25/12,Assumptions!C$24*12,J$8)*C412/100</f>
        <v>#NUM!</v>
      </c>
      <c r="L412" s="40" t="e">
        <f>K412*Assumptions!$C$24*12-J412</f>
        <v>#NUM!</v>
      </c>
      <c r="M412" s="43"/>
      <c r="N412" s="40">
        <f t="shared" si="62"/>
        <v>2270</v>
      </c>
      <c r="O412" s="50">
        <f>-PMT(Assumptions!D$25/12,Assumptions!D$24*12,N$8)*C412/100</f>
        <v>24.076871959270079</v>
      </c>
      <c r="P412" s="44">
        <f>O412*Assumptions!$D$24*12-N412</f>
        <v>619.22463511240949</v>
      </c>
      <c r="Q412" s="48"/>
      <c r="R412" s="40">
        <f t="shared" si="63"/>
        <v>11350</v>
      </c>
      <c r="S412" s="40">
        <f>-PMT(Assumptions!E$25/12,Assumptions!E$24*12,$R$8)*$C412/100</f>
        <v>120.3843597963504</v>
      </c>
      <c r="T412" s="40">
        <f>S412*Assumptions!$E$24*12-R412</f>
        <v>3096.1231755620465</v>
      </c>
      <c r="U412" s="48"/>
      <c r="V412" s="40">
        <f t="shared" si="64"/>
        <v>0</v>
      </c>
      <c r="W412" s="40" t="e">
        <f>-PMT(Assumptions!F$25/12,Assumptions!F$24*12,$V$8)*$C412/100</f>
        <v>#NUM!</v>
      </c>
      <c r="X412" s="40" t="e">
        <f>W412*Assumptions!$F$24*12-V412</f>
        <v>#NUM!</v>
      </c>
      <c r="Y412" s="43"/>
      <c r="Z412" s="40">
        <f t="shared" si="65"/>
        <v>0</v>
      </c>
      <c r="AA412" s="50" t="e">
        <f>-PMT(Assumptions!G$25/12,Assumptions!G$24*12,$Z$8)*$C412/100</f>
        <v>#NUM!</v>
      </c>
      <c r="AB412" s="44" t="e">
        <f>AA412*Assumptions!$G$24*12-Z412</f>
        <v>#NUM!</v>
      </c>
      <c r="AD412" s="54">
        <f t="shared" si="66"/>
        <v>0</v>
      </c>
      <c r="AE412" s="54">
        <f t="shared" si="67"/>
        <v>0</v>
      </c>
      <c r="AF412" s="54">
        <f t="shared" si="68"/>
        <v>2270</v>
      </c>
      <c r="AG412" s="54">
        <f t="shared" si="69"/>
        <v>11350</v>
      </c>
      <c r="AH412" s="54">
        <f t="shared" si="70"/>
        <v>0</v>
      </c>
      <c r="AI412" s="54">
        <f t="shared" si="71"/>
        <v>0</v>
      </c>
    </row>
    <row r="413" spans="1:35" ht="15" x14ac:dyDescent="0.2">
      <c r="A413" s="56" t="s">
        <v>508</v>
      </c>
      <c r="B413" s="32"/>
      <c r="C413" s="56">
        <v>0.23599999999999999</v>
      </c>
      <c r="D413" s="56">
        <v>370.54</v>
      </c>
      <c r="E413" s="36"/>
      <c r="F413" s="40">
        <f t="shared" si="60"/>
        <v>0</v>
      </c>
      <c r="G413" s="40" t="e">
        <f>-PMT(Assumptions!B$25/12,Assumptions!B$24*12,F$8)*C413/100</f>
        <v>#NUM!</v>
      </c>
      <c r="H413" s="40" t="e">
        <f>G413*Assumptions!$B$24*12-F413</f>
        <v>#NUM!</v>
      </c>
      <c r="I413" s="48"/>
      <c r="J413" s="40">
        <f t="shared" si="61"/>
        <v>0</v>
      </c>
      <c r="K413" s="40" t="e">
        <f>-PMT(Assumptions!C$25/12,Assumptions!C$24*12,J$8)*C413/100</f>
        <v>#NUM!</v>
      </c>
      <c r="L413" s="40" t="e">
        <f>K413*Assumptions!$C$24*12-J413</f>
        <v>#NUM!</v>
      </c>
      <c r="M413" s="43"/>
      <c r="N413" s="40">
        <f t="shared" si="62"/>
        <v>2360</v>
      </c>
      <c r="O413" s="50">
        <f>-PMT(Assumptions!D$25/12,Assumptions!D$24*12,N$8)*C413/100</f>
        <v>25.031461596421753</v>
      </c>
      <c r="P413" s="44">
        <f>O413*Assumptions!$D$24*12-N413</f>
        <v>643.77539157061028</v>
      </c>
      <c r="Q413" s="48"/>
      <c r="R413" s="40">
        <f t="shared" si="63"/>
        <v>11800</v>
      </c>
      <c r="S413" s="40">
        <f>-PMT(Assumptions!E$25/12,Assumptions!E$24*12,$R$8)*$C413/100</f>
        <v>125.15730798210878</v>
      </c>
      <c r="T413" s="40">
        <f>S413*Assumptions!$E$24*12-R413</f>
        <v>3218.8769578530519</v>
      </c>
      <c r="U413" s="48"/>
      <c r="V413" s="40">
        <f t="shared" si="64"/>
        <v>0</v>
      </c>
      <c r="W413" s="40" t="e">
        <f>-PMT(Assumptions!F$25/12,Assumptions!F$24*12,$V$8)*$C413/100</f>
        <v>#NUM!</v>
      </c>
      <c r="X413" s="40" t="e">
        <f>W413*Assumptions!$F$24*12-V413</f>
        <v>#NUM!</v>
      </c>
      <c r="Y413" s="43"/>
      <c r="Z413" s="40">
        <f t="shared" si="65"/>
        <v>0</v>
      </c>
      <c r="AA413" s="50" t="e">
        <f>-PMT(Assumptions!G$25/12,Assumptions!G$24*12,$Z$8)*$C413/100</f>
        <v>#NUM!</v>
      </c>
      <c r="AB413" s="44" t="e">
        <f>AA413*Assumptions!$G$24*12-Z413</f>
        <v>#NUM!</v>
      </c>
      <c r="AD413" s="54">
        <f t="shared" si="66"/>
        <v>0</v>
      </c>
      <c r="AE413" s="54">
        <f t="shared" si="67"/>
        <v>0</v>
      </c>
      <c r="AF413" s="54">
        <f t="shared" si="68"/>
        <v>2360</v>
      </c>
      <c r="AG413" s="54">
        <f t="shared" si="69"/>
        <v>11800</v>
      </c>
      <c r="AH413" s="54">
        <f t="shared" si="70"/>
        <v>0</v>
      </c>
      <c r="AI413" s="54">
        <f t="shared" si="71"/>
        <v>0</v>
      </c>
    </row>
    <row r="414" spans="1:35" ht="15" x14ac:dyDescent="0.2">
      <c r="A414" s="56" t="s">
        <v>509</v>
      </c>
      <c r="B414" s="32"/>
      <c r="C414" s="56">
        <v>0.20799999999999999</v>
      </c>
      <c r="D414" s="56">
        <v>326.58</v>
      </c>
      <c r="E414" s="36"/>
      <c r="F414" s="40">
        <f t="shared" si="60"/>
        <v>0</v>
      </c>
      <c r="G414" s="40" t="e">
        <f>-PMT(Assumptions!B$25/12,Assumptions!B$24*12,F$8)*C414/100</f>
        <v>#NUM!</v>
      </c>
      <c r="H414" s="40" t="e">
        <f>G414*Assumptions!$B$24*12-F414</f>
        <v>#NUM!</v>
      </c>
      <c r="I414" s="48"/>
      <c r="J414" s="40">
        <f t="shared" si="61"/>
        <v>0</v>
      </c>
      <c r="K414" s="40" t="e">
        <f>-PMT(Assumptions!C$25/12,Assumptions!C$24*12,J$8)*C414/100</f>
        <v>#NUM!</v>
      </c>
      <c r="L414" s="40" t="e">
        <f>K414*Assumptions!$C$24*12-J414</f>
        <v>#NUM!</v>
      </c>
      <c r="M414" s="43"/>
      <c r="N414" s="40">
        <f t="shared" si="62"/>
        <v>2080</v>
      </c>
      <c r="O414" s="50">
        <f>-PMT(Assumptions!D$25/12,Assumptions!D$24*12,N$8)*C414/100</f>
        <v>22.06162716972765</v>
      </c>
      <c r="P414" s="44">
        <f>O414*Assumptions!$D$24*12-N414</f>
        <v>567.39526036731786</v>
      </c>
      <c r="Q414" s="48"/>
      <c r="R414" s="40">
        <f t="shared" si="63"/>
        <v>10400</v>
      </c>
      <c r="S414" s="40">
        <f>-PMT(Assumptions!E$25/12,Assumptions!E$24*12,$R$8)*$C414/100</f>
        <v>110.30813584863823</v>
      </c>
      <c r="T414" s="40">
        <f>S414*Assumptions!$E$24*12-R414</f>
        <v>2836.9763018365866</v>
      </c>
      <c r="U414" s="48"/>
      <c r="V414" s="40">
        <f t="shared" si="64"/>
        <v>0</v>
      </c>
      <c r="W414" s="40" t="e">
        <f>-PMT(Assumptions!F$25/12,Assumptions!F$24*12,$V$8)*$C414/100</f>
        <v>#NUM!</v>
      </c>
      <c r="X414" s="40" t="e">
        <f>W414*Assumptions!$F$24*12-V414</f>
        <v>#NUM!</v>
      </c>
      <c r="Y414" s="43"/>
      <c r="Z414" s="40">
        <f t="shared" si="65"/>
        <v>0</v>
      </c>
      <c r="AA414" s="50" t="e">
        <f>-PMT(Assumptions!G$25/12,Assumptions!G$24*12,$Z$8)*$C414/100</f>
        <v>#NUM!</v>
      </c>
      <c r="AB414" s="44" t="e">
        <f>AA414*Assumptions!$G$24*12-Z414</f>
        <v>#NUM!</v>
      </c>
      <c r="AD414" s="54">
        <f t="shared" si="66"/>
        <v>0</v>
      </c>
      <c r="AE414" s="54">
        <f t="shared" si="67"/>
        <v>0</v>
      </c>
      <c r="AF414" s="54">
        <f t="shared" si="68"/>
        <v>2080</v>
      </c>
      <c r="AG414" s="54">
        <f t="shared" si="69"/>
        <v>10400</v>
      </c>
      <c r="AH414" s="54">
        <f t="shared" si="70"/>
        <v>0</v>
      </c>
      <c r="AI414" s="54">
        <f t="shared" si="71"/>
        <v>0</v>
      </c>
    </row>
    <row r="415" spans="1:35" ht="15" x14ac:dyDescent="0.2">
      <c r="A415" s="56" t="s">
        <v>510</v>
      </c>
      <c r="B415" s="32"/>
      <c r="C415" s="56">
        <v>0.20799999999999999</v>
      </c>
      <c r="D415" s="56">
        <v>326.58</v>
      </c>
      <c r="E415" s="36"/>
      <c r="F415" s="40">
        <f t="shared" si="60"/>
        <v>0</v>
      </c>
      <c r="G415" s="40" t="e">
        <f>-PMT(Assumptions!B$25/12,Assumptions!B$24*12,F$8)*C415/100</f>
        <v>#NUM!</v>
      </c>
      <c r="H415" s="40" t="e">
        <f>G415*Assumptions!$B$24*12-F415</f>
        <v>#NUM!</v>
      </c>
      <c r="I415" s="48"/>
      <c r="J415" s="40">
        <f t="shared" si="61"/>
        <v>0</v>
      </c>
      <c r="K415" s="40" t="e">
        <f>-PMT(Assumptions!C$25/12,Assumptions!C$24*12,J$8)*C415/100</f>
        <v>#NUM!</v>
      </c>
      <c r="L415" s="40" t="e">
        <f>K415*Assumptions!$C$24*12-J415</f>
        <v>#NUM!</v>
      </c>
      <c r="M415" s="43"/>
      <c r="N415" s="40">
        <f t="shared" si="62"/>
        <v>2080</v>
      </c>
      <c r="O415" s="50">
        <f>-PMT(Assumptions!D$25/12,Assumptions!D$24*12,N$8)*C415/100</f>
        <v>22.06162716972765</v>
      </c>
      <c r="P415" s="44">
        <f>O415*Assumptions!$D$24*12-N415</f>
        <v>567.39526036731786</v>
      </c>
      <c r="Q415" s="48"/>
      <c r="R415" s="40">
        <f t="shared" si="63"/>
        <v>10400</v>
      </c>
      <c r="S415" s="40">
        <f>-PMT(Assumptions!E$25/12,Assumptions!E$24*12,$R$8)*$C415/100</f>
        <v>110.30813584863823</v>
      </c>
      <c r="T415" s="40">
        <f>S415*Assumptions!$E$24*12-R415</f>
        <v>2836.9763018365866</v>
      </c>
      <c r="U415" s="48"/>
      <c r="V415" s="40">
        <f t="shared" si="64"/>
        <v>0</v>
      </c>
      <c r="W415" s="40" t="e">
        <f>-PMT(Assumptions!F$25/12,Assumptions!F$24*12,$V$8)*$C415/100</f>
        <v>#NUM!</v>
      </c>
      <c r="X415" s="40" t="e">
        <f>W415*Assumptions!$F$24*12-V415</f>
        <v>#NUM!</v>
      </c>
      <c r="Y415" s="43"/>
      <c r="Z415" s="40">
        <f t="shared" si="65"/>
        <v>0</v>
      </c>
      <c r="AA415" s="50" t="e">
        <f>-PMT(Assumptions!G$25/12,Assumptions!G$24*12,$Z$8)*$C415/100</f>
        <v>#NUM!</v>
      </c>
      <c r="AB415" s="44" t="e">
        <f>AA415*Assumptions!$G$24*12-Z415</f>
        <v>#NUM!</v>
      </c>
      <c r="AD415" s="54">
        <f t="shared" si="66"/>
        <v>0</v>
      </c>
      <c r="AE415" s="54">
        <f t="shared" si="67"/>
        <v>0</v>
      </c>
      <c r="AF415" s="54">
        <f t="shared" si="68"/>
        <v>2080</v>
      </c>
      <c r="AG415" s="54">
        <f t="shared" si="69"/>
        <v>10400</v>
      </c>
      <c r="AH415" s="54">
        <f t="shared" si="70"/>
        <v>0</v>
      </c>
      <c r="AI415" s="54">
        <f t="shared" si="71"/>
        <v>0</v>
      </c>
    </row>
    <row r="416" spans="1:35" ht="15" x14ac:dyDescent="0.2">
      <c r="A416" s="56" t="s">
        <v>511</v>
      </c>
      <c r="B416" s="32"/>
      <c r="C416" s="56">
        <v>0.151</v>
      </c>
      <c r="D416" s="56">
        <v>237.09</v>
      </c>
      <c r="E416" s="36"/>
      <c r="F416" s="40">
        <f t="shared" si="60"/>
        <v>0</v>
      </c>
      <c r="G416" s="40" t="e">
        <f>-PMT(Assumptions!B$25/12,Assumptions!B$24*12,F$8)*C416/100</f>
        <v>#NUM!</v>
      </c>
      <c r="H416" s="40" t="e">
        <f>G416*Assumptions!$B$24*12-F416</f>
        <v>#NUM!</v>
      </c>
      <c r="I416" s="48"/>
      <c r="J416" s="40">
        <f t="shared" si="61"/>
        <v>0</v>
      </c>
      <c r="K416" s="40" t="e">
        <f>-PMT(Assumptions!C$25/12,Assumptions!C$24*12,J$8)*C416/100</f>
        <v>#NUM!</v>
      </c>
      <c r="L416" s="40" t="e">
        <f>K416*Assumptions!$C$24*12-J416</f>
        <v>#NUM!</v>
      </c>
      <c r="M416" s="43"/>
      <c r="N416" s="40">
        <f t="shared" si="62"/>
        <v>1510</v>
      </c>
      <c r="O416" s="50">
        <f>-PMT(Assumptions!D$25/12,Assumptions!D$24*12,N$8)*C416/100</f>
        <v>16.015892801100357</v>
      </c>
      <c r="P416" s="44">
        <f>O416*Assumptions!$D$24*12-N416</f>
        <v>411.90713613204298</v>
      </c>
      <c r="Q416" s="48"/>
      <c r="R416" s="40">
        <f t="shared" si="63"/>
        <v>7550</v>
      </c>
      <c r="S416" s="40">
        <f>-PMT(Assumptions!E$25/12,Assumptions!E$24*12,$R$8)*$C416/100</f>
        <v>80.079464005501791</v>
      </c>
      <c r="T416" s="40">
        <f>S416*Assumptions!$E$24*12-R416</f>
        <v>2059.535680660214</v>
      </c>
      <c r="U416" s="48"/>
      <c r="V416" s="40">
        <f t="shared" si="64"/>
        <v>0</v>
      </c>
      <c r="W416" s="40" t="e">
        <f>-PMT(Assumptions!F$25/12,Assumptions!F$24*12,$V$8)*$C416/100</f>
        <v>#NUM!</v>
      </c>
      <c r="X416" s="40" t="e">
        <f>W416*Assumptions!$F$24*12-V416</f>
        <v>#NUM!</v>
      </c>
      <c r="Y416" s="43"/>
      <c r="Z416" s="40">
        <f t="shared" si="65"/>
        <v>0</v>
      </c>
      <c r="AA416" s="50" t="e">
        <f>-PMT(Assumptions!G$25/12,Assumptions!G$24*12,$Z$8)*$C416/100</f>
        <v>#NUM!</v>
      </c>
      <c r="AB416" s="44" t="e">
        <f>AA416*Assumptions!$G$24*12-Z416</f>
        <v>#NUM!</v>
      </c>
      <c r="AD416" s="54">
        <f t="shared" si="66"/>
        <v>0</v>
      </c>
      <c r="AE416" s="54">
        <f t="shared" si="67"/>
        <v>0</v>
      </c>
      <c r="AF416" s="54">
        <f t="shared" si="68"/>
        <v>1510</v>
      </c>
      <c r="AG416" s="54">
        <f t="shared" si="69"/>
        <v>7550</v>
      </c>
      <c r="AH416" s="54">
        <f t="shared" si="70"/>
        <v>0</v>
      </c>
      <c r="AI416" s="54">
        <f t="shared" si="71"/>
        <v>0</v>
      </c>
    </row>
    <row r="417" spans="1:35" ht="15" x14ac:dyDescent="0.2">
      <c r="A417" s="56" t="s">
        <v>512</v>
      </c>
      <c r="B417" s="32"/>
      <c r="C417" s="56">
        <v>0.16</v>
      </c>
      <c r="D417" s="56">
        <v>251.22</v>
      </c>
      <c r="E417" s="36"/>
      <c r="F417" s="40">
        <f t="shared" si="60"/>
        <v>0</v>
      </c>
      <c r="G417" s="40" t="e">
        <f>-PMT(Assumptions!B$25/12,Assumptions!B$24*12,F$8)*C417/100</f>
        <v>#NUM!</v>
      </c>
      <c r="H417" s="40" t="e">
        <f>G417*Assumptions!$B$24*12-F417</f>
        <v>#NUM!</v>
      </c>
      <c r="I417" s="48"/>
      <c r="J417" s="40">
        <f t="shared" si="61"/>
        <v>0</v>
      </c>
      <c r="K417" s="40" t="e">
        <f>-PMT(Assumptions!C$25/12,Assumptions!C$24*12,J$8)*C417/100</f>
        <v>#NUM!</v>
      </c>
      <c r="L417" s="40" t="e">
        <f>K417*Assumptions!$C$24*12-J417</f>
        <v>#NUM!</v>
      </c>
      <c r="M417" s="43"/>
      <c r="N417" s="40">
        <f t="shared" si="62"/>
        <v>1600</v>
      </c>
      <c r="O417" s="50">
        <f>-PMT(Assumptions!D$25/12,Assumptions!D$24*12,N$8)*C417/100</f>
        <v>16.970482438252038</v>
      </c>
      <c r="P417" s="44">
        <f>O417*Assumptions!$D$24*12-N417</f>
        <v>436.45789259024446</v>
      </c>
      <c r="Q417" s="48"/>
      <c r="R417" s="40">
        <f t="shared" si="63"/>
        <v>8000</v>
      </c>
      <c r="S417" s="40">
        <f>-PMT(Assumptions!E$25/12,Assumptions!E$24*12,$R$8)*$C417/100</f>
        <v>84.852412191260186</v>
      </c>
      <c r="T417" s="40">
        <f>S417*Assumptions!$E$24*12-R417</f>
        <v>2182.289462951223</v>
      </c>
      <c r="U417" s="48"/>
      <c r="V417" s="40">
        <f t="shared" si="64"/>
        <v>0</v>
      </c>
      <c r="W417" s="40" t="e">
        <f>-PMT(Assumptions!F$25/12,Assumptions!F$24*12,$V$8)*$C417/100</f>
        <v>#NUM!</v>
      </c>
      <c r="X417" s="40" t="e">
        <f>W417*Assumptions!$F$24*12-V417</f>
        <v>#NUM!</v>
      </c>
      <c r="Y417" s="43"/>
      <c r="Z417" s="40">
        <f t="shared" si="65"/>
        <v>0</v>
      </c>
      <c r="AA417" s="50" t="e">
        <f>-PMT(Assumptions!G$25/12,Assumptions!G$24*12,$Z$8)*$C417/100</f>
        <v>#NUM!</v>
      </c>
      <c r="AB417" s="44" t="e">
        <f>AA417*Assumptions!$G$24*12-Z417</f>
        <v>#NUM!</v>
      </c>
      <c r="AD417" s="54">
        <f t="shared" si="66"/>
        <v>0</v>
      </c>
      <c r="AE417" s="54">
        <f t="shared" si="67"/>
        <v>0</v>
      </c>
      <c r="AF417" s="54">
        <f t="shared" si="68"/>
        <v>1600</v>
      </c>
      <c r="AG417" s="54">
        <f t="shared" si="69"/>
        <v>8000</v>
      </c>
      <c r="AH417" s="54">
        <f t="shared" si="70"/>
        <v>0</v>
      </c>
      <c r="AI417" s="54">
        <f t="shared" si="71"/>
        <v>0</v>
      </c>
    </row>
    <row r="418" spans="1:35" ht="15" x14ac:dyDescent="0.2">
      <c r="A418" s="56" t="s">
        <v>513</v>
      </c>
      <c r="B418" s="32"/>
      <c r="C418" s="56">
        <v>0.151</v>
      </c>
      <c r="D418" s="56">
        <v>237.09</v>
      </c>
      <c r="E418" s="36"/>
      <c r="F418" s="40">
        <f t="shared" si="60"/>
        <v>0</v>
      </c>
      <c r="G418" s="40" t="e">
        <f>-PMT(Assumptions!B$25/12,Assumptions!B$24*12,F$8)*C418/100</f>
        <v>#NUM!</v>
      </c>
      <c r="H418" s="40" t="e">
        <f>G418*Assumptions!$B$24*12-F418</f>
        <v>#NUM!</v>
      </c>
      <c r="I418" s="48"/>
      <c r="J418" s="40">
        <f t="shared" si="61"/>
        <v>0</v>
      </c>
      <c r="K418" s="40" t="e">
        <f>-PMT(Assumptions!C$25/12,Assumptions!C$24*12,J$8)*C418/100</f>
        <v>#NUM!</v>
      </c>
      <c r="L418" s="40" t="e">
        <f>K418*Assumptions!$C$24*12-J418</f>
        <v>#NUM!</v>
      </c>
      <c r="M418" s="43"/>
      <c r="N418" s="40">
        <f t="shared" si="62"/>
        <v>1510</v>
      </c>
      <c r="O418" s="50">
        <f>-PMT(Assumptions!D$25/12,Assumptions!D$24*12,N$8)*C418/100</f>
        <v>16.015892801100357</v>
      </c>
      <c r="P418" s="44">
        <f>O418*Assumptions!$D$24*12-N418</f>
        <v>411.90713613204298</v>
      </c>
      <c r="Q418" s="48"/>
      <c r="R418" s="40">
        <f t="shared" si="63"/>
        <v>7550</v>
      </c>
      <c r="S418" s="40">
        <f>-PMT(Assumptions!E$25/12,Assumptions!E$24*12,$R$8)*$C418/100</f>
        <v>80.079464005501791</v>
      </c>
      <c r="T418" s="40">
        <f>S418*Assumptions!$E$24*12-R418</f>
        <v>2059.535680660214</v>
      </c>
      <c r="U418" s="48"/>
      <c r="V418" s="40">
        <f t="shared" si="64"/>
        <v>0</v>
      </c>
      <c r="W418" s="40" t="e">
        <f>-PMT(Assumptions!F$25/12,Assumptions!F$24*12,$V$8)*$C418/100</f>
        <v>#NUM!</v>
      </c>
      <c r="X418" s="40" t="e">
        <f>W418*Assumptions!$F$24*12-V418</f>
        <v>#NUM!</v>
      </c>
      <c r="Y418" s="43"/>
      <c r="Z418" s="40">
        <f t="shared" si="65"/>
        <v>0</v>
      </c>
      <c r="AA418" s="50" t="e">
        <f>-PMT(Assumptions!G$25/12,Assumptions!G$24*12,$Z$8)*$C418/100</f>
        <v>#NUM!</v>
      </c>
      <c r="AB418" s="44" t="e">
        <f>AA418*Assumptions!$G$24*12-Z418</f>
        <v>#NUM!</v>
      </c>
      <c r="AD418" s="54">
        <f t="shared" si="66"/>
        <v>0</v>
      </c>
      <c r="AE418" s="54">
        <f t="shared" si="67"/>
        <v>0</v>
      </c>
      <c r="AF418" s="54">
        <f t="shared" si="68"/>
        <v>1510</v>
      </c>
      <c r="AG418" s="54">
        <f t="shared" si="69"/>
        <v>7550</v>
      </c>
      <c r="AH418" s="54">
        <f t="shared" si="70"/>
        <v>0</v>
      </c>
      <c r="AI418" s="54">
        <f t="shared" si="71"/>
        <v>0</v>
      </c>
    </row>
    <row r="419" spans="1:35" ht="15" x14ac:dyDescent="0.2">
      <c r="A419" s="56" t="s">
        <v>514</v>
      </c>
      <c r="B419" s="32"/>
      <c r="C419" s="56">
        <v>0.16</v>
      </c>
      <c r="D419" s="56">
        <v>251.22</v>
      </c>
      <c r="E419" s="36"/>
      <c r="F419" s="40">
        <f t="shared" si="60"/>
        <v>0</v>
      </c>
      <c r="G419" s="40" t="e">
        <f>-PMT(Assumptions!B$25/12,Assumptions!B$24*12,F$8)*C419/100</f>
        <v>#NUM!</v>
      </c>
      <c r="H419" s="40" t="e">
        <f>G419*Assumptions!$B$24*12-F419</f>
        <v>#NUM!</v>
      </c>
      <c r="I419" s="48"/>
      <c r="J419" s="40">
        <f t="shared" si="61"/>
        <v>0</v>
      </c>
      <c r="K419" s="40" t="e">
        <f>-PMT(Assumptions!C$25/12,Assumptions!C$24*12,J$8)*C419/100</f>
        <v>#NUM!</v>
      </c>
      <c r="L419" s="40" t="e">
        <f>K419*Assumptions!$C$24*12-J419</f>
        <v>#NUM!</v>
      </c>
      <c r="M419" s="43"/>
      <c r="N419" s="40">
        <f t="shared" si="62"/>
        <v>1600</v>
      </c>
      <c r="O419" s="50">
        <f>-PMT(Assumptions!D$25/12,Assumptions!D$24*12,N$8)*C419/100</f>
        <v>16.970482438252038</v>
      </c>
      <c r="P419" s="44">
        <f>O419*Assumptions!$D$24*12-N419</f>
        <v>436.45789259024446</v>
      </c>
      <c r="Q419" s="48"/>
      <c r="R419" s="40">
        <f t="shared" si="63"/>
        <v>8000</v>
      </c>
      <c r="S419" s="40">
        <f>-PMT(Assumptions!E$25/12,Assumptions!E$24*12,$R$8)*$C419/100</f>
        <v>84.852412191260186</v>
      </c>
      <c r="T419" s="40">
        <f>S419*Assumptions!$E$24*12-R419</f>
        <v>2182.289462951223</v>
      </c>
      <c r="U419" s="48"/>
      <c r="V419" s="40">
        <f t="shared" si="64"/>
        <v>0</v>
      </c>
      <c r="W419" s="40" t="e">
        <f>-PMT(Assumptions!F$25/12,Assumptions!F$24*12,$V$8)*$C419/100</f>
        <v>#NUM!</v>
      </c>
      <c r="X419" s="40" t="e">
        <f>W419*Assumptions!$F$24*12-V419</f>
        <v>#NUM!</v>
      </c>
      <c r="Y419" s="43"/>
      <c r="Z419" s="40">
        <f t="shared" si="65"/>
        <v>0</v>
      </c>
      <c r="AA419" s="50" t="e">
        <f>-PMT(Assumptions!G$25/12,Assumptions!G$24*12,$Z$8)*$C419/100</f>
        <v>#NUM!</v>
      </c>
      <c r="AB419" s="44" t="e">
        <f>AA419*Assumptions!$G$24*12-Z419</f>
        <v>#NUM!</v>
      </c>
      <c r="AD419" s="54">
        <f t="shared" si="66"/>
        <v>0</v>
      </c>
      <c r="AE419" s="54">
        <f t="shared" si="67"/>
        <v>0</v>
      </c>
      <c r="AF419" s="54">
        <f t="shared" si="68"/>
        <v>1600</v>
      </c>
      <c r="AG419" s="54">
        <f t="shared" si="69"/>
        <v>8000</v>
      </c>
      <c r="AH419" s="54">
        <f t="shared" si="70"/>
        <v>0</v>
      </c>
      <c r="AI419" s="54">
        <f t="shared" si="71"/>
        <v>0</v>
      </c>
    </row>
    <row r="420" spans="1:35" ht="15" x14ac:dyDescent="0.2">
      <c r="A420" s="56" t="s">
        <v>515</v>
      </c>
      <c r="B420" s="32"/>
      <c r="C420" s="56">
        <v>0.22700000000000001</v>
      </c>
      <c r="D420" s="56">
        <v>356.41</v>
      </c>
      <c r="E420" s="36"/>
      <c r="F420" s="40">
        <f t="shared" si="60"/>
        <v>0</v>
      </c>
      <c r="G420" s="40" t="e">
        <f>-PMT(Assumptions!B$25/12,Assumptions!B$24*12,F$8)*C420/100</f>
        <v>#NUM!</v>
      </c>
      <c r="H420" s="40" t="e">
        <f>G420*Assumptions!$B$24*12-F420</f>
        <v>#NUM!</v>
      </c>
      <c r="I420" s="48"/>
      <c r="J420" s="40">
        <f t="shared" si="61"/>
        <v>0</v>
      </c>
      <c r="K420" s="40" t="e">
        <f>-PMT(Assumptions!C$25/12,Assumptions!C$24*12,J$8)*C420/100</f>
        <v>#NUM!</v>
      </c>
      <c r="L420" s="40" t="e">
        <f>K420*Assumptions!$C$24*12-J420</f>
        <v>#NUM!</v>
      </c>
      <c r="M420" s="43"/>
      <c r="N420" s="40">
        <f t="shared" si="62"/>
        <v>2270</v>
      </c>
      <c r="O420" s="50">
        <f>-PMT(Assumptions!D$25/12,Assumptions!D$24*12,N$8)*C420/100</f>
        <v>24.076871959270079</v>
      </c>
      <c r="P420" s="44">
        <f>O420*Assumptions!$D$24*12-N420</f>
        <v>619.22463511240949</v>
      </c>
      <c r="Q420" s="48"/>
      <c r="R420" s="40">
        <f t="shared" si="63"/>
        <v>11350</v>
      </c>
      <c r="S420" s="40">
        <f>-PMT(Assumptions!E$25/12,Assumptions!E$24*12,$R$8)*$C420/100</f>
        <v>120.3843597963504</v>
      </c>
      <c r="T420" s="40">
        <f>S420*Assumptions!$E$24*12-R420</f>
        <v>3096.1231755620465</v>
      </c>
      <c r="U420" s="48"/>
      <c r="V420" s="40">
        <f t="shared" si="64"/>
        <v>0</v>
      </c>
      <c r="W420" s="40" t="e">
        <f>-PMT(Assumptions!F$25/12,Assumptions!F$24*12,$V$8)*$C420/100</f>
        <v>#NUM!</v>
      </c>
      <c r="X420" s="40" t="e">
        <f>W420*Assumptions!$F$24*12-V420</f>
        <v>#NUM!</v>
      </c>
      <c r="Y420" s="43"/>
      <c r="Z420" s="40">
        <f t="shared" si="65"/>
        <v>0</v>
      </c>
      <c r="AA420" s="50" t="e">
        <f>-PMT(Assumptions!G$25/12,Assumptions!G$24*12,$Z$8)*$C420/100</f>
        <v>#NUM!</v>
      </c>
      <c r="AB420" s="44" t="e">
        <f>AA420*Assumptions!$G$24*12-Z420</f>
        <v>#NUM!</v>
      </c>
      <c r="AD420" s="54">
        <f t="shared" si="66"/>
        <v>0</v>
      </c>
      <c r="AE420" s="54">
        <f t="shared" si="67"/>
        <v>0</v>
      </c>
      <c r="AF420" s="54">
        <f t="shared" si="68"/>
        <v>2270</v>
      </c>
      <c r="AG420" s="54">
        <f t="shared" si="69"/>
        <v>11350</v>
      </c>
      <c r="AH420" s="54">
        <f t="shared" si="70"/>
        <v>0</v>
      </c>
      <c r="AI420" s="54">
        <f t="shared" si="71"/>
        <v>0</v>
      </c>
    </row>
    <row r="421" spans="1:35" ht="15" x14ac:dyDescent="0.2">
      <c r="A421" s="56" t="s">
        <v>516</v>
      </c>
      <c r="B421" s="32"/>
      <c r="C421" s="56">
        <v>0.23599999999999999</v>
      </c>
      <c r="D421" s="56">
        <v>370.54</v>
      </c>
      <c r="E421" s="36"/>
      <c r="F421" s="40">
        <f t="shared" si="60"/>
        <v>0</v>
      </c>
      <c r="G421" s="40" t="e">
        <f>-PMT(Assumptions!B$25/12,Assumptions!B$24*12,F$8)*C421/100</f>
        <v>#NUM!</v>
      </c>
      <c r="H421" s="40" t="e">
        <f>G421*Assumptions!$B$24*12-F421</f>
        <v>#NUM!</v>
      </c>
      <c r="I421" s="48"/>
      <c r="J421" s="40">
        <f t="shared" si="61"/>
        <v>0</v>
      </c>
      <c r="K421" s="40" t="e">
        <f>-PMT(Assumptions!C$25/12,Assumptions!C$24*12,J$8)*C421/100</f>
        <v>#NUM!</v>
      </c>
      <c r="L421" s="40" t="e">
        <f>K421*Assumptions!$C$24*12-J421</f>
        <v>#NUM!</v>
      </c>
      <c r="M421" s="43"/>
      <c r="N421" s="40">
        <f t="shared" si="62"/>
        <v>2360</v>
      </c>
      <c r="O421" s="50">
        <f>-PMT(Assumptions!D$25/12,Assumptions!D$24*12,N$8)*C421/100</f>
        <v>25.031461596421753</v>
      </c>
      <c r="P421" s="44">
        <f>O421*Assumptions!$D$24*12-N421</f>
        <v>643.77539157061028</v>
      </c>
      <c r="Q421" s="48"/>
      <c r="R421" s="40">
        <f t="shared" si="63"/>
        <v>11800</v>
      </c>
      <c r="S421" s="40">
        <f>-PMT(Assumptions!E$25/12,Assumptions!E$24*12,$R$8)*$C421/100</f>
        <v>125.15730798210878</v>
      </c>
      <c r="T421" s="40">
        <f>S421*Assumptions!$E$24*12-R421</f>
        <v>3218.8769578530519</v>
      </c>
      <c r="U421" s="48"/>
      <c r="V421" s="40">
        <f t="shared" si="64"/>
        <v>0</v>
      </c>
      <c r="W421" s="40" t="e">
        <f>-PMT(Assumptions!F$25/12,Assumptions!F$24*12,$V$8)*$C421/100</f>
        <v>#NUM!</v>
      </c>
      <c r="X421" s="40" t="e">
        <f>W421*Assumptions!$F$24*12-V421</f>
        <v>#NUM!</v>
      </c>
      <c r="Y421" s="43"/>
      <c r="Z421" s="40">
        <f t="shared" si="65"/>
        <v>0</v>
      </c>
      <c r="AA421" s="50" t="e">
        <f>-PMT(Assumptions!G$25/12,Assumptions!G$24*12,$Z$8)*$C421/100</f>
        <v>#NUM!</v>
      </c>
      <c r="AB421" s="44" t="e">
        <f>AA421*Assumptions!$G$24*12-Z421</f>
        <v>#NUM!</v>
      </c>
      <c r="AD421" s="54">
        <f t="shared" si="66"/>
        <v>0</v>
      </c>
      <c r="AE421" s="54">
        <f t="shared" si="67"/>
        <v>0</v>
      </c>
      <c r="AF421" s="54">
        <f t="shared" si="68"/>
        <v>2360</v>
      </c>
      <c r="AG421" s="54">
        <f t="shared" si="69"/>
        <v>11800</v>
      </c>
      <c r="AH421" s="54">
        <f t="shared" si="70"/>
        <v>0</v>
      </c>
      <c r="AI421" s="54">
        <f t="shared" si="71"/>
        <v>0</v>
      </c>
    </row>
    <row r="422" spans="1:35" ht="15" x14ac:dyDescent="0.2">
      <c r="A422" s="56" t="s">
        <v>517</v>
      </c>
      <c r="B422" s="32"/>
      <c r="C422" s="56">
        <v>0.21199999999999999</v>
      </c>
      <c r="D422" s="56">
        <v>332.86</v>
      </c>
      <c r="E422" s="36"/>
      <c r="F422" s="40">
        <f t="shared" si="60"/>
        <v>0</v>
      </c>
      <c r="G422" s="40" t="e">
        <f>-PMT(Assumptions!B$25/12,Assumptions!B$24*12,F$8)*C422/100</f>
        <v>#NUM!</v>
      </c>
      <c r="H422" s="40" t="e">
        <f>G422*Assumptions!$B$24*12-F422</f>
        <v>#NUM!</v>
      </c>
      <c r="I422" s="48"/>
      <c r="J422" s="40">
        <f t="shared" si="61"/>
        <v>0</v>
      </c>
      <c r="K422" s="40" t="e">
        <f>-PMT(Assumptions!C$25/12,Assumptions!C$24*12,J$8)*C422/100</f>
        <v>#NUM!</v>
      </c>
      <c r="L422" s="40" t="e">
        <f>K422*Assumptions!$C$24*12-J422</f>
        <v>#NUM!</v>
      </c>
      <c r="M422" s="43"/>
      <c r="N422" s="40">
        <f t="shared" si="62"/>
        <v>2120</v>
      </c>
      <c r="O422" s="50">
        <f>-PMT(Assumptions!D$25/12,Assumptions!D$24*12,N$8)*C422/100</f>
        <v>22.485889230683949</v>
      </c>
      <c r="P422" s="44">
        <f>O422*Assumptions!$D$24*12-N422</f>
        <v>578.30670768207392</v>
      </c>
      <c r="Q422" s="48"/>
      <c r="R422" s="40">
        <f t="shared" si="63"/>
        <v>10600</v>
      </c>
      <c r="S422" s="40">
        <f>-PMT(Assumptions!E$25/12,Assumptions!E$24*12,$R$8)*$C422/100</f>
        <v>112.42944615341975</v>
      </c>
      <c r="T422" s="40">
        <f>S422*Assumptions!$E$24*12-R422</f>
        <v>2891.533538410371</v>
      </c>
      <c r="U422" s="48"/>
      <c r="V422" s="40">
        <f t="shared" si="64"/>
        <v>0</v>
      </c>
      <c r="W422" s="40" t="e">
        <f>-PMT(Assumptions!F$25/12,Assumptions!F$24*12,$V$8)*$C422/100</f>
        <v>#NUM!</v>
      </c>
      <c r="X422" s="40" t="e">
        <f>W422*Assumptions!$F$24*12-V422</f>
        <v>#NUM!</v>
      </c>
      <c r="Y422" s="43"/>
      <c r="Z422" s="40">
        <f t="shared" si="65"/>
        <v>0</v>
      </c>
      <c r="AA422" s="50" t="e">
        <f>-PMT(Assumptions!G$25/12,Assumptions!G$24*12,$Z$8)*$C422/100</f>
        <v>#NUM!</v>
      </c>
      <c r="AB422" s="44" t="e">
        <f>AA422*Assumptions!$G$24*12-Z422</f>
        <v>#NUM!</v>
      </c>
      <c r="AD422" s="54">
        <f t="shared" si="66"/>
        <v>0</v>
      </c>
      <c r="AE422" s="54">
        <f t="shared" si="67"/>
        <v>0</v>
      </c>
      <c r="AF422" s="54">
        <f t="shared" si="68"/>
        <v>2120</v>
      </c>
      <c r="AG422" s="54">
        <f t="shared" si="69"/>
        <v>10600</v>
      </c>
      <c r="AH422" s="54">
        <f t="shared" si="70"/>
        <v>0</v>
      </c>
      <c r="AI422" s="54">
        <f t="shared" si="71"/>
        <v>0</v>
      </c>
    </row>
    <row r="423" spans="1:35" ht="15" x14ac:dyDescent="0.2">
      <c r="A423" s="56" t="s">
        <v>518</v>
      </c>
      <c r="B423" s="32"/>
      <c r="C423" s="56">
        <v>0.21199999999999999</v>
      </c>
      <c r="D423" s="56">
        <v>332.86</v>
      </c>
      <c r="E423" s="36"/>
      <c r="F423" s="40">
        <f t="shared" si="60"/>
        <v>0</v>
      </c>
      <c r="G423" s="40" t="e">
        <f>-PMT(Assumptions!B$25/12,Assumptions!B$24*12,F$8)*C423/100</f>
        <v>#NUM!</v>
      </c>
      <c r="H423" s="40" t="e">
        <f>G423*Assumptions!$B$24*12-F423</f>
        <v>#NUM!</v>
      </c>
      <c r="I423" s="48"/>
      <c r="J423" s="40">
        <f t="shared" si="61"/>
        <v>0</v>
      </c>
      <c r="K423" s="40" t="e">
        <f>-PMT(Assumptions!C$25/12,Assumptions!C$24*12,J$8)*C423/100</f>
        <v>#NUM!</v>
      </c>
      <c r="L423" s="40" t="e">
        <f>K423*Assumptions!$C$24*12-J423</f>
        <v>#NUM!</v>
      </c>
      <c r="M423" s="43"/>
      <c r="N423" s="40">
        <f t="shared" si="62"/>
        <v>2120</v>
      </c>
      <c r="O423" s="50">
        <f>-PMT(Assumptions!D$25/12,Assumptions!D$24*12,N$8)*C423/100</f>
        <v>22.485889230683949</v>
      </c>
      <c r="P423" s="44">
        <f>O423*Assumptions!$D$24*12-N423</f>
        <v>578.30670768207392</v>
      </c>
      <c r="Q423" s="48"/>
      <c r="R423" s="40">
        <f t="shared" si="63"/>
        <v>10600</v>
      </c>
      <c r="S423" s="40">
        <f>-PMT(Assumptions!E$25/12,Assumptions!E$24*12,$R$8)*$C423/100</f>
        <v>112.42944615341975</v>
      </c>
      <c r="T423" s="40">
        <f>S423*Assumptions!$E$24*12-R423</f>
        <v>2891.533538410371</v>
      </c>
      <c r="U423" s="48"/>
      <c r="V423" s="40">
        <f t="shared" si="64"/>
        <v>0</v>
      </c>
      <c r="W423" s="40" t="e">
        <f>-PMT(Assumptions!F$25/12,Assumptions!F$24*12,$V$8)*$C423/100</f>
        <v>#NUM!</v>
      </c>
      <c r="X423" s="40" t="e">
        <f>W423*Assumptions!$F$24*12-V423</f>
        <v>#NUM!</v>
      </c>
      <c r="Y423" s="43"/>
      <c r="Z423" s="40">
        <f t="shared" si="65"/>
        <v>0</v>
      </c>
      <c r="AA423" s="50" t="e">
        <f>-PMT(Assumptions!G$25/12,Assumptions!G$24*12,$Z$8)*$C423/100</f>
        <v>#NUM!</v>
      </c>
      <c r="AB423" s="44" t="e">
        <f>AA423*Assumptions!$G$24*12-Z423</f>
        <v>#NUM!</v>
      </c>
      <c r="AD423" s="54">
        <f t="shared" si="66"/>
        <v>0</v>
      </c>
      <c r="AE423" s="54">
        <f t="shared" si="67"/>
        <v>0</v>
      </c>
      <c r="AF423" s="54">
        <f t="shared" si="68"/>
        <v>2120</v>
      </c>
      <c r="AG423" s="54">
        <f t="shared" si="69"/>
        <v>10600</v>
      </c>
      <c r="AH423" s="54">
        <f t="shared" si="70"/>
        <v>0</v>
      </c>
      <c r="AI423" s="54">
        <f t="shared" si="71"/>
        <v>0</v>
      </c>
    </row>
    <row r="424" spans="1:35" ht="15" x14ac:dyDescent="0.2">
      <c r="A424" s="56" t="s">
        <v>519</v>
      </c>
      <c r="B424" s="32"/>
      <c r="C424" s="56">
        <v>0.28999999999999998</v>
      </c>
      <c r="D424" s="56">
        <v>455.33</v>
      </c>
      <c r="E424" s="36"/>
      <c r="F424" s="40">
        <f t="shared" si="60"/>
        <v>0</v>
      </c>
      <c r="G424" s="40" t="e">
        <f>-PMT(Assumptions!B$25/12,Assumptions!B$24*12,F$8)*C424/100</f>
        <v>#NUM!</v>
      </c>
      <c r="H424" s="40" t="e">
        <f>G424*Assumptions!$B$24*12-F424</f>
        <v>#NUM!</v>
      </c>
      <c r="I424" s="48"/>
      <c r="J424" s="40">
        <f t="shared" si="61"/>
        <v>0</v>
      </c>
      <c r="K424" s="40" t="e">
        <f>-PMT(Assumptions!C$25/12,Assumptions!C$24*12,J$8)*C424/100</f>
        <v>#NUM!</v>
      </c>
      <c r="L424" s="40" t="e">
        <f>K424*Assumptions!$C$24*12-J424</f>
        <v>#NUM!</v>
      </c>
      <c r="M424" s="43"/>
      <c r="N424" s="40">
        <f t="shared" si="62"/>
        <v>2900</v>
      </c>
      <c r="O424" s="50">
        <f>-PMT(Assumptions!D$25/12,Assumptions!D$24*12,N$8)*C424/100</f>
        <v>30.758999419331811</v>
      </c>
      <c r="P424" s="44">
        <f>O424*Assumptions!$D$24*12-N424</f>
        <v>791.07993031981732</v>
      </c>
      <c r="Q424" s="48"/>
      <c r="R424" s="40">
        <f t="shared" si="63"/>
        <v>14500</v>
      </c>
      <c r="S424" s="40">
        <f>-PMT(Assumptions!E$25/12,Assumptions!E$24*12,$R$8)*$C424/100</f>
        <v>153.79499709665907</v>
      </c>
      <c r="T424" s="40">
        <f>S424*Assumptions!$E$24*12-R424</f>
        <v>3955.3996515990875</v>
      </c>
      <c r="U424" s="48"/>
      <c r="V424" s="40">
        <f t="shared" si="64"/>
        <v>0</v>
      </c>
      <c r="W424" s="40" t="e">
        <f>-PMT(Assumptions!F$25/12,Assumptions!F$24*12,$V$8)*$C424/100</f>
        <v>#NUM!</v>
      </c>
      <c r="X424" s="40" t="e">
        <f>W424*Assumptions!$F$24*12-V424</f>
        <v>#NUM!</v>
      </c>
      <c r="Y424" s="43"/>
      <c r="Z424" s="40">
        <f t="shared" si="65"/>
        <v>0</v>
      </c>
      <c r="AA424" s="50" t="e">
        <f>-PMT(Assumptions!G$25/12,Assumptions!G$24*12,$Z$8)*$C424/100</f>
        <v>#NUM!</v>
      </c>
      <c r="AB424" s="44" t="e">
        <f>AA424*Assumptions!$G$24*12-Z424</f>
        <v>#NUM!</v>
      </c>
      <c r="AD424" s="54">
        <f t="shared" si="66"/>
        <v>0</v>
      </c>
      <c r="AE424" s="54">
        <f t="shared" si="67"/>
        <v>0</v>
      </c>
      <c r="AF424" s="54">
        <f t="shared" si="68"/>
        <v>2900</v>
      </c>
      <c r="AG424" s="54">
        <f t="shared" si="69"/>
        <v>14500</v>
      </c>
      <c r="AH424" s="54">
        <f t="shared" si="70"/>
        <v>0</v>
      </c>
      <c r="AI424" s="54">
        <f t="shared" si="71"/>
        <v>0</v>
      </c>
    </row>
    <row r="425" spans="1:35" ht="15" x14ac:dyDescent="0.2">
      <c r="A425" s="56" t="s">
        <v>520</v>
      </c>
      <c r="B425" s="32"/>
      <c r="C425" s="56">
        <v>0.28999999999999998</v>
      </c>
      <c r="D425" s="56">
        <v>455.33</v>
      </c>
      <c r="E425" s="36"/>
      <c r="F425" s="40">
        <f t="shared" si="60"/>
        <v>0</v>
      </c>
      <c r="G425" s="40" t="e">
        <f>-PMT(Assumptions!B$25/12,Assumptions!B$24*12,F$8)*C425/100</f>
        <v>#NUM!</v>
      </c>
      <c r="H425" s="40" t="e">
        <f>G425*Assumptions!$B$24*12-F425</f>
        <v>#NUM!</v>
      </c>
      <c r="I425" s="48"/>
      <c r="J425" s="40">
        <f t="shared" si="61"/>
        <v>0</v>
      </c>
      <c r="K425" s="40" t="e">
        <f>-PMT(Assumptions!C$25/12,Assumptions!C$24*12,J$8)*C425/100</f>
        <v>#NUM!</v>
      </c>
      <c r="L425" s="40" t="e">
        <f>K425*Assumptions!$C$24*12-J425</f>
        <v>#NUM!</v>
      </c>
      <c r="M425" s="43"/>
      <c r="N425" s="40">
        <f t="shared" si="62"/>
        <v>2900</v>
      </c>
      <c r="O425" s="50">
        <f>-PMT(Assumptions!D$25/12,Assumptions!D$24*12,N$8)*C425/100</f>
        <v>30.758999419331811</v>
      </c>
      <c r="P425" s="44">
        <f>O425*Assumptions!$D$24*12-N425</f>
        <v>791.07993031981732</v>
      </c>
      <c r="Q425" s="48"/>
      <c r="R425" s="40">
        <f t="shared" si="63"/>
        <v>14500</v>
      </c>
      <c r="S425" s="40">
        <f>-PMT(Assumptions!E$25/12,Assumptions!E$24*12,$R$8)*$C425/100</f>
        <v>153.79499709665907</v>
      </c>
      <c r="T425" s="40">
        <f>S425*Assumptions!$E$24*12-R425</f>
        <v>3955.3996515990875</v>
      </c>
      <c r="U425" s="48"/>
      <c r="V425" s="40">
        <f t="shared" si="64"/>
        <v>0</v>
      </c>
      <c r="W425" s="40" t="e">
        <f>-PMT(Assumptions!F$25/12,Assumptions!F$24*12,$V$8)*$C425/100</f>
        <v>#NUM!</v>
      </c>
      <c r="X425" s="40" t="e">
        <f>W425*Assumptions!$F$24*12-V425</f>
        <v>#NUM!</v>
      </c>
      <c r="Y425" s="43"/>
      <c r="Z425" s="40">
        <f t="shared" si="65"/>
        <v>0</v>
      </c>
      <c r="AA425" s="50" t="e">
        <f>-PMT(Assumptions!G$25/12,Assumptions!G$24*12,$Z$8)*$C425/100</f>
        <v>#NUM!</v>
      </c>
      <c r="AB425" s="44" t="e">
        <f>AA425*Assumptions!$G$24*12-Z425</f>
        <v>#NUM!</v>
      </c>
      <c r="AD425" s="54">
        <f t="shared" si="66"/>
        <v>0</v>
      </c>
      <c r="AE425" s="54">
        <f t="shared" si="67"/>
        <v>0</v>
      </c>
      <c r="AF425" s="54">
        <f t="shared" si="68"/>
        <v>2900</v>
      </c>
      <c r="AG425" s="54">
        <f t="shared" si="69"/>
        <v>14500</v>
      </c>
      <c r="AH425" s="54">
        <f t="shared" si="70"/>
        <v>0</v>
      </c>
      <c r="AI425" s="54">
        <f t="shared" si="71"/>
        <v>0</v>
      </c>
    </row>
    <row r="426" spans="1:35" ht="15" x14ac:dyDescent="0.2">
      <c r="A426" s="56" t="s">
        <v>521</v>
      </c>
      <c r="B426" s="32"/>
      <c r="C426" s="56">
        <v>0.309</v>
      </c>
      <c r="D426" s="56">
        <v>485.16</v>
      </c>
      <c r="E426" s="36"/>
      <c r="F426" s="40">
        <f t="shared" si="60"/>
        <v>0</v>
      </c>
      <c r="G426" s="40" t="e">
        <f>-PMT(Assumptions!B$25/12,Assumptions!B$24*12,F$8)*C426/100</f>
        <v>#NUM!</v>
      </c>
      <c r="H426" s="40" t="e">
        <f>G426*Assumptions!$B$24*12-F426</f>
        <v>#NUM!</v>
      </c>
      <c r="I426" s="48"/>
      <c r="J426" s="40">
        <f t="shared" si="61"/>
        <v>0</v>
      </c>
      <c r="K426" s="40" t="e">
        <f>-PMT(Assumptions!C$25/12,Assumptions!C$24*12,J$8)*C426/100</f>
        <v>#NUM!</v>
      </c>
      <c r="L426" s="40" t="e">
        <f>K426*Assumptions!$C$24*12-J426</f>
        <v>#NUM!</v>
      </c>
      <c r="M426" s="43"/>
      <c r="N426" s="40">
        <f t="shared" si="62"/>
        <v>3090</v>
      </c>
      <c r="O426" s="50">
        <f>-PMT(Assumptions!D$25/12,Assumptions!D$24*12,N$8)*C426/100</f>
        <v>32.774244208874251</v>
      </c>
      <c r="P426" s="44">
        <f>O426*Assumptions!$D$24*12-N426</f>
        <v>842.90930506490986</v>
      </c>
      <c r="Q426" s="48"/>
      <c r="R426" s="40">
        <f t="shared" si="63"/>
        <v>15450</v>
      </c>
      <c r="S426" s="40">
        <f>-PMT(Assumptions!E$25/12,Assumptions!E$24*12,$R$8)*$C426/100</f>
        <v>163.87122104437123</v>
      </c>
      <c r="T426" s="40">
        <f>S426*Assumptions!$E$24*12-R426</f>
        <v>4214.5465253245457</v>
      </c>
      <c r="U426" s="48"/>
      <c r="V426" s="40">
        <f t="shared" si="64"/>
        <v>0</v>
      </c>
      <c r="W426" s="40" t="e">
        <f>-PMT(Assumptions!F$25/12,Assumptions!F$24*12,$V$8)*$C426/100</f>
        <v>#NUM!</v>
      </c>
      <c r="X426" s="40" t="e">
        <f>W426*Assumptions!$F$24*12-V426</f>
        <v>#NUM!</v>
      </c>
      <c r="Y426" s="43"/>
      <c r="Z426" s="40">
        <f t="shared" si="65"/>
        <v>0</v>
      </c>
      <c r="AA426" s="50" t="e">
        <f>-PMT(Assumptions!G$25/12,Assumptions!G$24*12,$Z$8)*$C426/100</f>
        <v>#NUM!</v>
      </c>
      <c r="AB426" s="44" t="e">
        <f>AA426*Assumptions!$G$24*12-Z426</f>
        <v>#NUM!</v>
      </c>
      <c r="AD426" s="54">
        <f t="shared" si="66"/>
        <v>0</v>
      </c>
      <c r="AE426" s="54">
        <f t="shared" si="67"/>
        <v>0</v>
      </c>
      <c r="AF426" s="54">
        <f t="shared" si="68"/>
        <v>3090</v>
      </c>
      <c r="AG426" s="54">
        <f t="shared" si="69"/>
        <v>15450</v>
      </c>
      <c r="AH426" s="54">
        <f t="shared" si="70"/>
        <v>0</v>
      </c>
      <c r="AI426" s="54">
        <f t="shared" si="71"/>
        <v>0</v>
      </c>
    </row>
    <row r="427" spans="1:35" ht="15" x14ac:dyDescent="0.2">
      <c r="A427" s="56" t="s">
        <v>522</v>
      </c>
      <c r="B427" s="32"/>
      <c r="C427" s="56">
        <v>0.309</v>
      </c>
      <c r="D427" s="56">
        <v>485.16</v>
      </c>
      <c r="E427" s="36"/>
      <c r="F427" s="40">
        <f t="shared" si="60"/>
        <v>0</v>
      </c>
      <c r="G427" s="40" t="e">
        <f>-PMT(Assumptions!B$25/12,Assumptions!B$24*12,F$8)*C427/100</f>
        <v>#NUM!</v>
      </c>
      <c r="H427" s="40" t="e">
        <f>G427*Assumptions!$B$24*12-F427</f>
        <v>#NUM!</v>
      </c>
      <c r="I427" s="48"/>
      <c r="J427" s="40">
        <f t="shared" si="61"/>
        <v>0</v>
      </c>
      <c r="K427" s="40" t="e">
        <f>-PMT(Assumptions!C$25/12,Assumptions!C$24*12,J$8)*C427/100</f>
        <v>#NUM!</v>
      </c>
      <c r="L427" s="40" t="e">
        <f>K427*Assumptions!$C$24*12-J427</f>
        <v>#NUM!</v>
      </c>
      <c r="M427" s="43"/>
      <c r="N427" s="40">
        <f t="shared" si="62"/>
        <v>3090</v>
      </c>
      <c r="O427" s="50">
        <f>-PMT(Assumptions!D$25/12,Assumptions!D$24*12,N$8)*C427/100</f>
        <v>32.774244208874251</v>
      </c>
      <c r="P427" s="44">
        <f>O427*Assumptions!$D$24*12-N427</f>
        <v>842.90930506490986</v>
      </c>
      <c r="Q427" s="48"/>
      <c r="R427" s="40">
        <f t="shared" si="63"/>
        <v>15450</v>
      </c>
      <c r="S427" s="40">
        <f>-PMT(Assumptions!E$25/12,Assumptions!E$24*12,$R$8)*$C427/100</f>
        <v>163.87122104437123</v>
      </c>
      <c r="T427" s="40">
        <f>S427*Assumptions!$E$24*12-R427</f>
        <v>4214.5465253245457</v>
      </c>
      <c r="U427" s="48"/>
      <c r="V427" s="40">
        <f t="shared" si="64"/>
        <v>0</v>
      </c>
      <c r="W427" s="40" t="e">
        <f>-PMT(Assumptions!F$25/12,Assumptions!F$24*12,$V$8)*$C427/100</f>
        <v>#NUM!</v>
      </c>
      <c r="X427" s="40" t="e">
        <f>W427*Assumptions!$F$24*12-V427</f>
        <v>#NUM!</v>
      </c>
      <c r="Y427" s="43"/>
      <c r="Z427" s="40">
        <f t="shared" si="65"/>
        <v>0</v>
      </c>
      <c r="AA427" s="50" t="e">
        <f>-PMT(Assumptions!G$25/12,Assumptions!G$24*12,$Z$8)*$C427/100</f>
        <v>#NUM!</v>
      </c>
      <c r="AB427" s="44" t="e">
        <f>AA427*Assumptions!$G$24*12-Z427</f>
        <v>#NUM!</v>
      </c>
      <c r="AD427" s="54">
        <f t="shared" si="66"/>
        <v>0</v>
      </c>
      <c r="AE427" s="54">
        <f t="shared" si="67"/>
        <v>0</v>
      </c>
      <c r="AF427" s="54">
        <f t="shared" si="68"/>
        <v>3090</v>
      </c>
      <c r="AG427" s="54">
        <f t="shared" si="69"/>
        <v>15450</v>
      </c>
      <c r="AH427" s="54">
        <f t="shared" si="70"/>
        <v>0</v>
      </c>
      <c r="AI427" s="54">
        <f t="shared" si="71"/>
        <v>0</v>
      </c>
    </row>
    <row r="428" spans="1:35" ht="15" x14ac:dyDescent="0.2">
      <c r="A428" s="56" t="s">
        <v>523</v>
      </c>
      <c r="B428" s="32"/>
      <c r="C428" s="56">
        <v>0.19800000000000001</v>
      </c>
      <c r="D428" s="56">
        <v>310.88</v>
      </c>
      <c r="E428" s="36"/>
      <c r="F428" s="40">
        <f t="shared" si="60"/>
        <v>0</v>
      </c>
      <c r="G428" s="40" t="e">
        <f>-PMT(Assumptions!B$25/12,Assumptions!B$24*12,F$8)*C428/100</f>
        <v>#NUM!</v>
      </c>
      <c r="H428" s="40" t="e">
        <f>G428*Assumptions!$B$24*12-F428</f>
        <v>#NUM!</v>
      </c>
      <c r="I428" s="48"/>
      <c r="J428" s="40">
        <f t="shared" si="61"/>
        <v>0</v>
      </c>
      <c r="K428" s="40" t="e">
        <f>-PMT(Assumptions!C$25/12,Assumptions!C$24*12,J$8)*C428/100</f>
        <v>#NUM!</v>
      </c>
      <c r="L428" s="40" t="e">
        <f>K428*Assumptions!$C$24*12-J428</f>
        <v>#NUM!</v>
      </c>
      <c r="M428" s="43"/>
      <c r="N428" s="40">
        <f t="shared" si="62"/>
        <v>1980</v>
      </c>
      <c r="O428" s="50">
        <f>-PMT(Assumptions!D$25/12,Assumptions!D$24*12,N$8)*C428/100</f>
        <v>21.000972017336899</v>
      </c>
      <c r="P428" s="44">
        <f>O428*Assumptions!$D$24*12-N428</f>
        <v>540.11664208042748</v>
      </c>
      <c r="Q428" s="48"/>
      <c r="R428" s="40">
        <f t="shared" si="63"/>
        <v>9900</v>
      </c>
      <c r="S428" s="40">
        <f>-PMT(Assumptions!E$25/12,Assumptions!E$24*12,$R$8)*$C428/100</f>
        <v>105.00486008668449</v>
      </c>
      <c r="T428" s="40">
        <f>S428*Assumptions!$E$24*12-R428</f>
        <v>2700.5832104021392</v>
      </c>
      <c r="U428" s="48"/>
      <c r="V428" s="40">
        <f t="shared" si="64"/>
        <v>0</v>
      </c>
      <c r="W428" s="40" t="e">
        <f>-PMT(Assumptions!F$25/12,Assumptions!F$24*12,$V$8)*$C428/100</f>
        <v>#NUM!</v>
      </c>
      <c r="X428" s="40" t="e">
        <f>W428*Assumptions!$F$24*12-V428</f>
        <v>#NUM!</v>
      </c>
      <c r="Y428" s="43"/>
      <c r="Z428" s="40">
        <f t="shared" si="65"/>
        <v>0</v>
      </c>
      <c r="AA428" s="50" t="e">
        <f>-PMT(Assumptions!G$25/12,Assumptions!G$24*12,$Z$8)*$C428/100</f>
        <v>#NUM!</v>
      </c>
      <c r="AB428" s="44" t="e">
        <f>AA428*Assumptions!$G$24*12-Z428</f>
        <v>#NUM!</v>
      </c>
      <c r="AD428" s="54">
        <f t="shared" si="66"/>
        <v>0</v>
      </c>
      <c r="AE428" s="54">
        <f t="shared" si="67"/>
        <v>0</v>
      </c>
      <c r="AF428" s="54">
        <f t="shared" si="68"/>
        <v>1980</v>
      </c>
      <c r="AG428" s="54">
        <f t="shared" si="69"/>
        <v>9900</v>
      </c>
      <c r="AH428" s="54">
        <f t="shared" si="70"/>
        <v>0</v>
      </c>
      <c r="AI428" s="54">
        <f t="shared" si="71"/>
        <v>0</v>
      </c>
    </row>
    <row r="429" spans="1:35" ht="15" x14ac:dyDescent="0.2">
      <c r="A429" s="56" t="s">
        <v>524</v>
      </c>
      <c r="B429" s="32"/>
      <c r="C429" s="56">
        <v>0.19800000000000001</v>
      </c>
      <c r="D429" s="56">
        <v>310.88</v>
      </c>
      <c r="E429" s="36"/>
      <c r="F429" s="40">
        <f t="shared" si="60"/>
        <v>0</v>
      </c>
      <c r="G429" s="40" t="e">
        <f>-PMT(Assumptions!B$25/12,Assumptions!B$24*12,F$8)*C429/100</f>
        <v>#NUM!</v>
      </c>
      <c r="H429" s="40" t="e">
        <f>G429*Assumptions!$B$24*12-F429</f>
        <v>#NUM!</v>
      </c>
      <c r="I429" s="48"/>
      <c r="J429" s="40">
        <f t="shared" si="61"/>
        <v>0</v>
      </c>
      <c r="K429" s="40" t="e">
        <f>-PMT(Assumptions!C$25/12,Assumptions!C$24*12,J$8)*C429/100</f>
        <v>#NUM!</v>
      </c>
      <c r="L429" s="40" t="e">
        <f>K429*Assumptions!$C$24*12-J429</f>
        <v>#NUM!</v>
      </c>
      <c r="M429" s="43"/>
      <c r="N429" s="40">
        <f t="shared" si="62"/>
        <v>1980</v>
      </c>
      <c r="O429" s="50">
        <f>-PMT(Assumptions!D$25/12,Assumptions!D$24*12,N$8)*C429/100</f>
        <v>21.000972017336899</v>
      </c>
      <c r="P429" s="44">
        <f>O429*Assumptions!$D$24*12-N429</f>
        <v>540.11664208042748</v>
      </c>
      <c r="Q429" s="48"/>
      <c r="R429" s="40">
        <f t="shared" si="63"/>
        <v>9900</v>
      </c>
      <c r="S429" s="40">
        <f>-PMT(Assumptions!E$25/12,Assumptions!E$24*12,$R$8)*$C429/100</f>
        <v>105.00486008668449</v>
      </c>
      <c r="T429" s="40">
        <f>S429*Assumptions!$E$24*12-R429</f>
        <v>2700.5832104021392</v>
      </c>
      <c r="U429" s="48"/>
      <c r="V429" s="40">
        <f t="shared" si="64"/>
        <v>0</v>
      </c>
      <c r="W429" s="40" t="e">
        <f>-PMT(Assumptions!F$25/12,Assumptions!F$24*12,$V$8)*$C429/100</f>
        <v>#NUM!</v>
      </c>
      <c r="X429" s="40" t="e">
        <f>W429*Assumptions!$F$24*12-V429</f>
        <v>#NUM!</v>
      </c>
      <c r="Y429" s="43"/>
      <c r="Z429" s="40">
        <f t="shared" si="65"/>
        <v>0</v>
      </c>
      <c r="AA429" s="50" t="e">
        <f>-PMT(Assumptions!G$25/12,Assumptions!G$24*12,$Z$8)*$C429/100</f>
        <v>#NUM!</v>
      </c>
      <c r="AB429" s="44" t="e">
        <f>AA429*Assumptions!$G$24*12-Z429</f>
        <v>#NUM!</v>
      </c>
      <c r="AD429" s="54">
        <f t="shared" si="66"/>
        <v>0</v>
      </c>
      <c r="AE429" s="54">
        <f t="shared" si="67"/>
        <v>0</v>
      </c>
      <c r="AF429" s="54">
        <f t="shared" si="68"/>
        <v>1980</v>
      </c>
      <c r="AG429" s="54">
        <f t="shared" si="69"/>
        <v>9900</v>
      </c>
      <c r="AH429" s="54">
        <f t="shared" si="70"/>
        <v>0</v>
      </c>
      <c r="AI429" s="54">
        <f t="shared" si="71"/>
        <v>0</v>
      </c>
    </row>
    <row r="430" spans="1:35" ht="15" x14ac:dyDescent="0.2">
      <c r="A430" s="56" t="s">
        <v>525</v>
      </c>
      <c r="B430" s="32"/>
      <c r="C430" s="56">
        <v>0.14299999999999999</v>
      </c>
      <c r="D430" s="56">
        <v>224.52</v>
      </c>
      <c r="E430" s="36"/>
      <c r="F430" s="40">
        <f t="shared" si="60"/>
        <v>0</v>
      </c>
      <c r="G430" s="40" t="e">
        <f>-PMT(Assumptions!B$25/12,Assumptions!B$24*12,F$8)*C430/100</f>
        <v>#NUM!</v>
      </c>
      <c r="H430" s="40" t="e">
        <f>G430*Assumptions!$B$24*12-F430</f>
        <v>#NUM!</v>
      </c>
      <c r="I430" s="48"/>
      <c r="J430" s="40">
        <f t="shared" si="61"/>
        <v>0</v>
      </c>
      <c r="K430" s="40" t="e">
        <f>-PMT(Assumptions!C$25/12,Assumptions!C$24*12,J$8)*C430/100</f>
        <v>#NUM!</v>
      </c>
      <c r="L430" s="40" t="e">
        <f>K430*Assumptions!$C$24*12-J430</f>
        <v>#NUM!</v>
      </c>
      <c r="M430" s="43"/>
      <c r="N430" s="40">
        <f t="shared" si="62"/>
        <v>1430</v>
      </c>
      <c r="O430" s="50">
        <f>-PMT(Assumptions!D$25/12,Assumptions!D$24*12,N$8)*C430/100</f>
        <v>15.167368679187756</v>
      </c>
      <c r="P430" s="44">
        <f>O430*Assumptions!$D$24*12-N430</f>
        <v>390.08424150253086</v>
      </c>
      <c r="Q430" s="48"/>
      <c r="R430" s="40">
        <f t="shared" si="63"/>
        <v>7149.9999999999991</v>
      </c>
      <c r="S430" s="40">
        <f>-PMT(Assumptions!E$25/12,Assumptions!E$24*12,$R$8)*$C430/100</f>
        <v>75.836843395938786</v>
      </c>
      <c r="T430" s="40">
        <f>S430*Assumptions!$E$24*12-R430</f>
        <v>1950.4212075126552</v>
      </c>
      <c r="U430" s="48"/>
      <c r="V430" s="40">
        <f t="shared" si="64"/>
        <v>0</v>
      </c>
      <c r="W430" s="40" t="e">
        <f>-PMT(Assumptions!F$25/12,Assumptions!F$24*12,$V$8)*$C430/100</f>
        <v>#NUM!</v>
      </c>
      <c r="X430" s="40" t="e">
        <f>W430*Assumptions!$F$24*12-V430</f>
        <v>#NUM!</v>
      </c>
      <c r="Y430" s="43"/>
      <c r="Z430" s="40">
        <f t="shared" si="65"/>
        <v>0</v>
      </c>
      <c r="AA430" s="50" t="e">
        <f>-PMT(Assumptions!G$25/12,Assumptions!G$24*12,$Z$8)*$C430/100</f>
        <v>#NUM!</v>
      </c>
      <c r="AB430" s="44" t="e">
        <f>AA430*Assumptions!$G$24*12-Z430</f>
        <v>#NUM!</v>
      </c>
      <c r="AD430" s="54">
        <f t="shared" si="66"/>
        <v>0</v>
      </c>
      <c r="AE430" s="54">
        <f t="shared" si="67"/>
        <v>0</v>
      </c>
      <c r="AF430" s="54">
        <f t="shared" si="68"/>
        <v>1430</v>
      </c>
      <c r="AG430" s="54">
        <f t="shared" si="69"/>
        <v>7149.9999999999991</v>
      </c>
      <c r="AH430" s="54">
        <f t="shared" si="70"/>
        <v>0</v>
      </c>
      <c r="AI430" s="54">
        <f t="shared" si="71"/>
        <v>0</v>
      </c>
    </row>
    <row r="431" spans="1:35" ht="15" x14ac:dyDescent="0.2">
      <c r="A431" s="56" t="s">
        <v>526</v>
      </c>
      <c r="B431" s="32"/>
      <c r="C431" s="56">
        <v>0.152</v>
      </c>
      <c r="D431" s="56">
        <v>238.66</v>
      </c>
      <c r="E431" s="36"/>
      <c r="F431" s="40">
        <f t="shared" si="60"/>
        <v>0</v>
      </c>
      <c r="G431" s="40" t="e">
        <f>-PMT(Assumptions!B$25/12,Assumptions!B$24*12,F$8)*C431/100</f>
        <v>#NUM!</v>
      </c>
      <c r="H431" s="40" t="e">
        <f>G431*Assumptions!$B$24*12-F431</f>
        <v>#NUM!</v>
      </c>
      <c r="I431" s="48"/>
      <c r="J431" s="40">
        <f t="shared" si="61"/>
        <v>0</v>
      </c>
      <c r="K431" s="40" t="e">
        <f>-PMT(Assumptions!C$25/12,Assumptions!C$24*12,J$8)*C431/100</f>
        <v>#NUM!</v>
      </c>
      <c r="L431" s="40" t="e">
        <f>K431*Assumptions!$C$24*12-J431</f>
        <v>#NUM!</v>
      </c>
      <c r="M431" s="43"/>
      <c r="N431" s="40">
        <f t="shared" si="62"/>
        <v>1520</v>
      </c>
      <c r="O431" s="50">
        <f>-PMT(Assumptions!D$25/12,Assumptions!D$24*12,N$8)*C431/100</f>
        <v>16.121958316339434</v>
      </c>
      <c r="P431" s="44">
        <f>O431*Assumptions!$D$24*12-N431</f>
        <v>414.63499796073211</v>
      </c>
      <c r="Q431" s="48"/>
      <c r="R431" s="40">
        <f t="shared" si="63"/>
        <v>7600</v>
      </c>
      <c r="S431" s="40">
        <f>-PMT(Assumptions!E$25/12,Assumptions!E$24*12,$R$8)*$C431/100</f>
        <v>80.609791581697166</v>
      </c>
      <c r="T431" s="40">
        <f>S431*Assumptions!$E$24*12-R431</f>
        <v>2073.1749898036596</v>
      </c>
      <c r="U431" s="48"/>
      <c r="V431" s="40">
        <f t="shared" si="64"/>
        <v>0</v>
      </c>
      <c r="W431" s="40" t="e">
        <f>-PMT(Assumptions!F$25/12,Assumptions!F$24*12,$V$8)*$C431/100</f>
        <v>#NUM!</v>
      </c>
      <c r="X431" s="40" t="e">
        <f>W431*Assumptions!$F$24*12-V431</f>
        <v>#NUM!</v>
      </c>
      <c r="Y431" s="43"/>
      <c r="Z431" s="40">
        <f t="shared" si="65"/>
        <v>0</v>
      </c>
      <c r="AA431" s="50" t="e">
        <f>-PMT(Assumptions!G$25/12,Assumptions!G$24*12,$Z$8)*$C431/100</f>
        <v>#NUM!</v>
      </c>
      <c r="AB431" s="44" t="e">
        <f>AA431*Assumptions!$G$24*12-Z431</f>
        <v>#NUM!</v>
      </c>
      <c r="AD431" s="54">
        <f t="shared" si="66"/>
        <v>0</v>
      </c>
      <c r="AE431" s="54">
        <f t="shared" si="67"/>
        <v>0</v>
      </c>
      <c r="AF431" s="54">
        <f t="shared" si="68"/>
        <v>1520</v>
      </c>
      <c r="AG431" s="54">
        <f t="shared" si="69"/>
        <v>7600</v>
      </c>
      <c r="AH431" s="54">
        <f t="shared" si="70"/>
        <v>0</v>
      </c>
      <c r="AI431" s="54">
        <f t="shared" si="71"/>
        <v>0</v>
      </c>
    </row>
    <row r="432" spans="1:35" ht="15" x14ac:dyDescent="0.2">
      <c r="A432" s="56" t="s">
        <v>527</v>
      </c>
      <c r="B432" s="32"/>
      <c r="C432" s="56">
        <v>0.14299999999999999</v>
      </c>
      <c r="D432" s="56">
        <v>224.52</v>
      </c>
      <c r="E432" s="36"/>
      <c r="F432" s="40">
        <f t="shared" si="60"/>
        <v>0</v>
      </c>
      <c r="G432" s="40" t="e">
        <f>-PMT(Assumptions!B$25/12,Assumptions!B$24*12,F$8)*C432/100</f>
        <v>#NUM!</v>
      </c>
      <c r="H432" s="40" t="e">
        <f>G432*Assumptions!$B$24*12-F432</f>
        <v>#NUM!</v>
      </c>
      <c r="I432" s="48"/>
      <c r="J432" s="40">
        <f t="shared" si="61"/>
        <v>0</v>
      </c>
      <c r="K432" s="40" t="e">
        <f>-PMT(Assumptions!C$25/12,Assumptions!C$24*12,J$8)*C432/100</f>
        <v>#NUM!</v>
      </c>
      <c r="L432" s="40" t="e">
        <f>K432*Assumptions!$C$24*12-J432</f>
        <v>#NUM!</v>
      </c>
      <c r="M432" s="43"/>
      <c r="N432" s="40">
        <f t="shared" si="62"/>
        <v>1430</v>
      </c>
      <c r="O432" s="50">
        <f>-PMT(Assumptions!D$25/12,Assumptions!D$24*12,N$8)*C432/100</f>
        <v>15.167368679187756</v>
      </c>
      <c r="P432" s="44">
        <f>O432*Assumptions!$D$24*12-N432</f>
        <v>390.08424150253086</v>
      </c>
      <c r="Q432" s="48"/>
      <c r="R432" s="40">
        <f t="shared" si="63"/>
        <v>7149.9999999999991</v>
      </c>
      <c r="S432" s="40">
        <f>-PMT(Assumptions!E$25/12,Assumptions!E$24*12,$R$8)*$C432/100</f>
        <v>75.836843395938786</v>
      </c>
      <c r="T432" s="40">
        <f>S432*Assumptions!$E$24*12-R432</f>
        <v>1950.4212075126552</v>
      </c>
      <c r="U432" s="48"/>
      <c r="V432" s="40">
        <f t="shared" si="64"/>
        <v>0</v>
      </c>
      <c r="W432" s="40" t="e">
        <f>-PMT(Assumptions!F$25/12,Assumptions!F$24*12,$V$8)*$C432/100</f>
        <v>#NUM!</v>
      </c>
      <c r="X432" s="40" t="e">
        <f>W432*Assumptions!$F$24*12-V432</f>
        <v>#NUM!</v>
      </c>
      <c r="Y432" s="43"/>
      <c r="Z432" s="40">
        <f t="shared" si="65"/>
        <v>0</v>
      </c>
      <c r="AA432" s="50" t="e">
        <f>-PMT(Assumptions!G$25/12,Assumptions!G$24*12,$Z$8)*$C432/100</f>
        <v>#NUM!</v>
      </c>
      <c r="AB432" s="44" t="e">
        <f>AA432*Assumptions!$G$24*12-Z432</f>
        <v>#NUM!</v>
      </c>
      <c r="AD432" s="54">
        <f t="shared" si="66"/>
        <v>0</v>
      </c>
      <c r="AE432" s="54">
        <f t="shared" si="67"/>
        <v>0</v>
      </c>
      <c r="AF432" s="54">
        <f t="shared" si="68"/>
        <v>1430</v>
      </c>
      <c r="AG432" s="54">
        <f t="shared" si="69"/>
        <v>7149.9999999999991</v>
      </c>
      <c r="AH432" s="54">
        <f t="shared" si="70"/>
        <v>0</v>
      </c>
      <c r="AI432" s="54">
        <f t="shared" si="71"/>
        <v>0</v>
      </c>
    </row>
    <row r="433" spans="1:35" ht="15" x14ac:dyDescent="0.2">
      <c r="A433" s="56" t="s">
        <v>528</v>
      </c>
      <c r="B433" s="32"/>
      <c r="C433" s="56">
        <v>0.152</v>
      </c>
      <c r="D433" s="56">
        <v>238.66</v>
      </c>
      <c r="E433" s="36"/>
      <c r="F433" s="40">
        <f t="shared" si="60"/>
        <v>0</v>
      </c>
      <c r="G433" s="40" t="e">
        <f>-PMT(Assumptions!B$25/12,Assumptions!B$24*12,F$8)*C433/100</f>
        <v>#NUM!</v>
      </c>
      <c r="H433" s="40" t="e">
        <f>G433*Assumptions!$B$24*12-F433</f>
        <v>#NUM!</v>
      </c>
      <c r="I433" s="48"/>
      <c r="J433" s="40">
        <f t="shared" si="61"/>
        <v>0</v>
      </c>
      <c r="K433" s="40" t="e">
        <f>-PMT(Assumptions!C$25/12,Assumptions!C$24*12,J$8)*C433/100</f>
        <v>#NUM!</v>
      </c>
      <c r="L433" s="40" t="e">
        <f>K433*Assumptions!$C$24*12-J433</f>
        <v>#NUM!</v>
      </c>
      <c r="M433" s="43"/>
      <c r="N433" s="40">
        <f t="shared" si="62"/>
        <v>1520</v>
      </c>
      <c r="O433" s="50">
        <f>-PMT(Assumptions!D$25/12,Assumptions!D$24*12,N$8)*C433/100</f>
        <v>16.121958316339434</v>
      </c>
      <c r="P433" s="44">
        <f>O433*Assumptions!$D$24*12-N433</f>
        <v>414.63499796073211</v>
      </c>
      <c r="Q433" s="48"/>
      <c r="R433" s="40">
        <f t="shared" si="63"/>
        <v>7600</v>
      </c>
      <c r="S433" s="40">
        <f>-PMT(Assumptions!E$25/12,Assumptions!E$24*12,$R$8)*$C433/100</f>
        <v>80.609791581697166</v>
      </c>
      <c r="T433" s="40">
        <f>S433*Assumptions!$E$24*12-R433</f>
        <v>2073.1749898036596</v>
      </c>
      <c r="U433" s="48"/>
      <c r="V433" s="40">
        <f t="shared" si="64"/>
        <v>0</v>
      </c>
      <c r="W433" s="40" t="e">
        <f>-PMT(Assumptions!F$25/12,Assumptions!F$24*12,$V$8)*$C433/100</f>
        <v>#NUM!</v>
      </c>
      <c r="X433" s="40" t="e">
        <f>W433*Assumptions!$F$24*12-V433</f>
        <v>#NUM!</v>
      </c>
      <c r="Y433" s="43"/>
      <c r="Z433" s="40">
        <f t="shared" si="65"/>
        <v>0</v>
      </c>
      <c r="AA433" s="50" t="e">
        <f>-PMT(Assumptions!G$25/12,Assumptions!G$24*12,$Z$8)*$C433/100</f>
        <v>#NUM!</v>
      </c>
      <c r="AB433" s="44" t="e">
        <f>AA433*Assumptions!$G$24*12-Z433</f>
        <v>#NUM!</v>
      </c>
      <c r="AD433" s="54">
        <f t="shared" si="66"/>
        <v>0</v>
      </c>
      <c r="AE433" s="54">
        <f t="shared" si="67"/>
        <v>0</v>
      </c>
      <c r="AF433" s="54">
        <f t="shared" si="68"/>
        <v>1520</v>
      </c>
      <c r="AG433" s="54">
        <f t="shared" si="69"/>
        <v>7600</v>
      </c>
      <c r="AH433" s="54">
        <f t="shared" si="70"/>
        <v>0</v>
      </c>
      <c r="AI433" s="54">
        <f t="shared" si="71"/>
        <v>0</v>
      </c>
    </row>
    <row r="434" spans="1:35" ht="15" x14ac:dyDescent="0.2">
      <c r="A434" s="56" t="s">
        <v>529</v>
      </c>
      <c r="B434" s="32"/>
      <c r="C434" s="56">
        <v>0.215</v>
      </c>
      <c r="D434" s="56">
        <v>337.57</v>
      </c>
      <c r="E434" s="36"/>
      <c r="F434" s="40">
        <f t="shared" si="60"/>
        <v>0</v>
      </c>
      <c r="G434" s="40" t="e">
        <f>-PMT(Assumptions!B$25/12,Assumptions!B$24*12,F$8)*C434/100</f>
        <v>#NUM!</v>
      </c>
      <c r="H434" s="40" t="e">
        <f>G434*Assumptions!$B$24*12-F434</f>
        <v>#NUM!</v>
      </c>
      <c r="I434" s="48"/>
      <c r="J434" s="40">
        <f t="shared" si="61"/>
        <v>0</v>
      </c>
      <c r="K434" s="40" t="e">
        <f>-PMT(Assumptions!C$25/12,Assumptions!C$24*12,J$8)*C434/100</f>
        <v>#NUM!</v>
      </c>
      <c r="L434" s="40" t="e">
        <f>K434*Assumptions!$C$24*12-J434</f>
        <v>#NUM!</v>
      </c>
      <c r="M434" s="43"/>
      <c r="N434" s="40">
        <f t="shared" si="62"/>
        <v>2150</v>
      </c>
      <c r="O434" s="50">
        <f>-PMT(Assumptions!D$25/12,Assumptions!D$24*12,N$8)*C434/100</f>
        <v>22.804085776401177</v>
      </c>
      <c r="P434" s="44">
        <f>O434*Assumptions!$D$24*12-N434</f>
        <v>586.49029316814131</v>
      </c>
      <c r="Q434" s="48"/>
      <c r="R434" s="40">
        <f t="shared" si="63"/>
        <v>10750</v>
      </c>
      <c r="S434" s="40">
        <f>-PMT(Assumptions!E$25/12,Assumptions!E$24*12,$R$8)*$C434/100</f>
        <v>114.02042888200587</v>
      </c>
      <c r="T434" s="40">
        <f>S434*Assumptions!$E$24*12-R434</f>
        <v>2932.4514658407061</v>
      </c>
      <c r="U434" s="48"/>
      <c r="V434" s="40">
        <f t="shared" si="64"/>
        <v>0</v>
      </c>
      <c r="W434" s="40" t="e">
        <f>-PMT(Assumptions!F$25/12,Assumptions!F$24*12,$V$8)*$C434/100</f>
        <v>#NUM!</v>
      </c>
      <c r="X434" s="40" t="e">
        <f>W434*Assumptions!$F$24*12-V434</f>
        <v>#NUM!</v>
      </c>
      <c r="Y434" s="43"/>
      <c r="Z434" s="40">
        <f t="shared" si="65"/>
        <v>0</v>
      </c>
      <c r="AA434" s="50" t="e">
        <f>-PMT(Assumptions!G$25/12,Assumptions!G$24*12,$Z$8)*$C434/100</f>
        <v>#NUM!</v>
      </c>
      <c r="AB434" s="44" t="e">
        <f>AA434*Assumptions!$G$24*12-Z434</f>
        <v>#NUM!</v>
      </c>
      <c r="AD434" s="54">
        <f t="shared" si="66"/>
        <v>0</v>
      </c>
      <c r="AE434" s="54">
        <f t="shared" si="67"/>
        <v>0</v>
      </c>
      <c r="AF434" s="54">
        <f t="shared" si="68"/>
        <v>2150</v>
      </c>
      <c r="AG434" s="54">
        <f t="shared" si="69"/>
        <v>10750</v>
      </c>
      <c r="AH434" s="54">
        <f t="shared" si="70"/>
        <v>0</v>
      </c>
      <c r="AI434" s="54">
        <f t="shared" si="71"/>
        <v>0</v>
      </c>
    </row>
    <row r="435" spans="1:35" ht="15" x14ac:dyDescent="0.2">
      <c r="A435" s="56" t="s">
        <v>530</v>
      </c>
      <c r="B435" s="32"/>
      <c r="C435" s="56">
        <v>0.19800000000000001</v>
      </c>
      <c r="D435" s="56">
        <v>310.88</v>
      </c>
      <c r="E435" s="36"/>
      <c r="F435" s="40">
        <f t="shared" si="60"/>
        <v>0</v>
      </c>
      <c r="G435" s="40" t="e">
        <f>-PMT(Assumptions!B$25/12,Assumptions!B$24*12,F$8)*C435/100</f>
        <v>#NUM!</v>
      </c>
      <c r="H435" s="40" t="e">
        <f>G435*Assumptions!$B$24*12-F435</f>
        <v>#NUM!</v>
      </c>
      <c r="I435" s="48"/>
      <c r="J435" s="40">
        <f t="shared" si="61"/>
        <v>0</v>
      </c>
      <c r="K435" s="40" t="e">
        <f>-PMT(Assumptions!C$25/12,Assumptions!C$24*12,J$8)*C435/100</f>
        <v>#NUM!</v>
      </c>
      <c r="L435" s="40" t="e">
        <f>K435*Assumptions!$C$24*12-J435</f>
        <v>#NUM!</v>
      </c>
      <c r="M435" s="43"/>
      <c r="N435" s="40">
        <f t="shared" si="62"/>
        <v>1980</v>
      </c>
      <c r="O435" s="50">
        <f>-PMT(Assumptions!D$25/12,Assumptions!D$24*12,N$8)*C435/100</f>
        <v>21.000972017336899</v>
      </c>
      <c r="P435" s="44">
        <f>O435*Assumptions!$D$24*12-N435</f>
        <v>540.11664208042748</v>
      </c>
      <c r="Q435" s="48"/>
      <c r="R435" s="40">
        <f t="shared" si="63"/>
        <v>9900</v>
      </c>
      <c r="S435" s="40">
        <f>-PMT(Assumptions!E$25/12,Assumptions!E$24*12,$R$8)*$C435/100</f>
        <v>105.00486008668449</v>
      </c>
      <c r="T435" s="40">
        <f>S435*Assumptions!$E$24*12-R435</f>
        <v>2700.5832104021392</v>
      </c>
      <c r="U435" s="48"/>
      <c r="V435" s="40">
        <f t="shared" si="64"/>
        <v>0</v>
      </c>
      <c r="W435" s="40" t="e">
        <f>-PMT(Assumptions!F$25/12,Assumptions!F$24*12,$V$8)*$C435/100</f>
        <v>#NUM!</v>
      </c>
      <c r="X435" s="40" t="e">
        <f>W435*Assumptions!$F$24*12-V435</f>
        <v>#NUM!</v>
      </c>
      <c r="Y435" s="43"/>
      <c r="Z435" s="40">
        <f t="shared" si="65"/>
        <v>0</v>
      </c>
      <c r="AA435" s="50" t="e">
        <f>-PMT(Assumptions!G$25/12,Assumptions!G$24*12,$Z$8)*$C435/100</f>
        <v>#NUM!</v>
      </c>
      <c r="AB435" s="44" t="e">
        <f>AA435*Assumptions!$G$24*12-Z435</f>
        <v>#NUM!</v>
      </c>
      <c r="AD435" s="54">
        <f t="shared" si="66"/>
        <v>0</v>
      </c>
      <c r="AE435" s="54">
        <f t="shared" si="67"/>
        <v>0</v>
      </c>
      <c r="AF435" s="54">
        <f t="shared" si="68"/>
        <v>1980</v>
      </c>
      <c r="AG435" s="54">
        <f t="shared" si="69"/>
        <v>9900</v>
      </c>
      <c r="AH435" s="54">
        <f t="shared" si="70"/>
        <v>0</v>
      </c>
      <c r="AI435" s="54">
        <f t="shared" si="71"/>
        <v>0</v>
      </c>
    </row>
    <row r="436" spans="1:35" ht="15" x14ac:dyDescent="0.2">
      <c r="A436" s="56" t="s">
        <v>531</v>
      </c>
      <c r="B436" s="32"/>
      <c r="C436" s="56">
        <v>0.19800000000000001</v>
      </c>
      <c r="D436" s="56">
        <v>310.88</v>
      </c>
      <c r="E436" s="36"/>
      <c r="F436" s="40">
        <f t="shared" si="60"/>
        <v>0</v>
      </c>
      <c r="G436" s="40" t="e">
        <f>-PMT(Assumptions!B$25/12,Assumptions!B$24*12,F$8)*C436/100</f>
        <v>#NUM!</v>
      </c>
      <c r="H436" s="40" t="e">
        <f>G436*Assumptions!$B$24*12-F436</f>
        <v>#NUM!</v>
      </c>
      <c r="I436" s="48"/>
      <c r="J436" s="40">
        <f t="shared" si="61"/>
        <v>0</v>
      </c>
      <c r="K436" s="40" t="e">
        <f>-PMT(Assumptions!C$25/12,Assumptions!C$24*12,J$8)*C436/100</f>
        <v>#NUM!</v>
      </c>
      <c r="L436" s="40" t="e">
        <f>K436*Assumptions!$C$24*12-J436</f>
        <v>#NUM!</v>
      </c>
      <c r="M436" s="43"/>
      <c r="N436" s="40">
        <f t="shared" si="62"/>
        <v>1980</v>
      </c>
      <c r="O436" s="50">
        <f>-PMT(Assumptions!D$25/12,Assumptions!D$24*12,N$8)*C436/100</f>
        <v>21.000972017336899</v>
      </c>
      <c r="P436" s="44">
        <f>O436*Assumptions!$D$24*12-N436</f>
        <v>540.11664208042748</v>
      </c>
      <c r="Q436" s="48"/>
      <c r="R436" s="40">
        <f t="shared" si="63"/>
        <v>9900</v>
      </c>
      <c r="S436" s="40">
        <f>-PMT(Assumptions!E$25/12,Assumptions!E$24*12,$R$8)*$C436/100</f>
        <v>105.00486008668449</v>
      </c>
      <c r="T436" s="40">
        <f>S436*Assumptions!$E$24*12-R436</f>
        <v>2700.5832104021392</v>
      </c>
      <c r="U436" s="48"/>
      <c r="V436" s="40">
        <f t="shared" si="64"/>
        <v>0</v>
      </c>
      <c r="W436" s="40" t="e">
        <f>-PMT(Assumptions!F$25/12,Assumptions!F$24*12,$V$8)*$C436/100</f>
        <v>#NUM!</v>
      </c>
      <c r="X436" s="40" t="e">
        <f>W436*Assumptions!$F$24*12-V436</f>
        <v>#NUM!</v>
      </c>
      <c r="Y436" s="43"/>
      <c r="Z436" s="40">
        <f t="shared" si="65"/>
        <v>0</v>
      </c>
      <c r="AA436" s="50" t="e">
        <f>-PMT(Assumptions!G$25/12,Assumptions!G$24*12,$Z$8)*$C436/100</f>
        <v>#NUM!</v>
      </c>
      <c r="AB436" s="44" t="e">
        <f>AA436*Assumptions!$G$24*12-Z436</f>
        <v>#NUM!</v>
      </c>
      <c r="AD436" s="54">
        <f t="shared" si="66"/>
        <v>0</v>
      </c>
      <c r="AE436" s="54">
        <f t="shared" si="67"/>
        <v>0</v>
      </c>
      <c r="AF436" s="54">
        <f t="shared" si="68"/>
        <v>1980</v>
      </c>
      <c r="AG436" s="54">
        <f t="shared" si="69"/>
        <v>9900</v>
      </c>
      <c r="AH436" s="54">
        <f t="shared" si="70"/>
        <v>0</v>
      </c>
      <c r="AI436" s="54">
        <f t="shared" si="71"/>
        <v>0</v>
      </c>
    </row>
    <row r="437" spans="1:35" ht="15" x14ac:dyDescent="0.2">
      <c r="A437" s="56" t="s">
        <v>532</v>
      </c>
      <c r="B437" s="32"/>
      <c r="C437" s="56">
        <v>0.14299999999999999</v>
      </c>
      <c r="D437" s="56">
        <v>224.52</v>
      </c>
      <c r="E437" s="36"/>
      <c r="F437" s="40">
        <f t="shared" si="60"/>
        <v>0</v>
      </c>
      <c r="G437" s="40" t="e">
        <f>-PMT(Assumptions!B$25/12,Assumptions!B$24*12,F$8)*C437/100</f>
        <v>#NUM!</v>
      </c>
      <c r="H437" s="40" t="e">
        <f>G437*Assumptions!$B$24*12-F437</f>
        <v>#NUM!</v>
      </c>
      <c r="I437" s="48"/>
      <c r="J437" s="40">
        <f t="shared" si="61"/>
        <v>0</v>
      </c>
      <c r="K437" s="40" t="e">
        <f>-PMT(Assumptions!C$25/12,Assumptions!C$24*12,J$8)*C437/100</f>
        <v>#NUM!</v>
      </c>
      <c r="L437" s="40" t="e">
        <f>K437*Assumptions!$C$24*12-J437</f>
        <v>#NUM!</v>
      </c>
      <c r="M437" s="43"/>
      <c r="N437" s="40">
        <f t="shared" si="62"/>
        <v>1430</v>
      </c>
      <c r="O437" s="50">
        <f>-PMT(Assumptions!D$25/12,Assumptions!D$24*12,N$8)*C437/100</f>
        <v>15.167368679187756</v>
      </c>
      <c r="P437" s="44">
        <f>O437*Assumptions!$D$24*12-N437</f>
        <v>390.08424150253086</v>
      </c>
      <c r="Q437" s="48"/>
      <c r="R437" s="40">
        <f t="shared" si="63"/>
        <v>7149.9999999999991</v>
      </c>
      <c r="S437" s="40">
        <f>-PMT(Assumptions!E$25/12,Assumptions!E$24*12,$R$8)*$C437/100</f>
        <v>75.836843395938786</v>
      </c>
      <c r="T437" s="40">
        <f>S437*Assumptions!$E$24*12-R437</f>
        <v>1950.4212075126552</v>
      </c>
      <c r="U437" s="48"/>
      <c r="V437" s="40">
        <f t="shared" si="64"/>
        <v>0</v>
      </c>
      <c r="W437" s="40" t="e">
        <f>-PMT(Assumptions!F$25/12,Assumptions!F$24*12,$V$8)*$C437/100</f>
        <v>#NUM!</v>
      </c>
      <c r="X437" s="40" t="e">
        <f>W437*Assumptions!$F$24*12-V437</f>
        <v>#NUM!</v>
      </c>
      <c r="Y437" s="43"/>
      <c r="Z437" s="40">
        <f t="shared" si="65"/>
        <v>0</v>
      </c>
      <c r="AA437" s="50" t="e">
        <f>-PMT(Assumptions!G$25/12,Assumptions!G$24*12,$Z$8)*$C437/100</f>
        <v>#NUM!</v>
      </c>
      <c r="AB437" s="44" t="e">
        <f>AA437*Assumptions!$G$24*12-Z437</f>
        <v>#NUM!</v>
      </c>
      <c r="AD437" s="54">
        <f t="shared" si="66"/>
        <v>0</v>
      </c>
      <c r="AE437" s="54">
        <f t="shared" si="67"/>
        <v>0</v>
      </c>
      <c r="AF437" s="54">
        <f t="shared" si="68"/>
        <v>1430</v>
      </c>
      <c r="AG437" s="54">
        <f t="shared" si="69"/>
        <v>7149.9999999999991</v>
      </c>
      <c r="AH437" s="54">
        <f t="shared" si="70"/>
        <v>0</v>
      </c>
      <c r="AI437" s="54">
        <f t="shared" si="71"/>
        <v>0</v>
      </c>
    </row>
    <row r="438" spans="1:35" ht="15" x14ac:dyDescent="0.2">
      <c r="A438" s="56" t="s">
        <v>533</v>
      </c>
      <c r="B438" s="32"/>
      <c r="C438" s="56">
        <v>0.152</v>
      </c>
      <c r="D438" s="56">
        <v>238.66</v>
      </c>
      <c r="E438" s="36"/>
      <c r="F438" s="40">
        <f t="shared" si="60"/>
        <v>0</v>
      </c>
      <c r="G438" s="40" t="e">
        <f>-PMT(Assumptions!B$25/12,Assumptions!B$24*12,F$8)*C438/100</f>
        <v>#NUM!</v>
      </c>
      <c r="H438" s="40" t="e">
        <f>G438*Assumptions!$B$24*12-F438</f>
        <v>#NUM!</v>
      </c>
      <c r="I438" s="48"/>
      <c r="J438" s="40">
        <f t="shared" si="61"/>
        <v>0</v>
      </c>
      <c r="K438" s="40" t="e">
        <f>-PMT(Assumptions!C$25/12,Assumptions!C$24*12,J$8)*C438/100</f>
        <v>#NUM!</v>
      </c>
      <c r="L438" s="40" t="e">
        <f>K438*Assumptions!$C$24*12-J438</f>
        <v>#NUM!</v>
      </c>
      <c r="M438" s="43"/>
      <c r="N438" s="40">
        <f t="shared" si="62"/>
        <v>1520</v>
      </c>
      <c r="O438" s="50">
        <f>-PMT(Assumptions!D$25/12,Assumptions!D$24*12,N$8)*C438/100</f>
        <v>16.121958316339434</v>
      </c>
      <c r="P438" s="44">
        <f>O438*Assumptions!$D$24*12-N438</f>
        <v>414.63499796073211</v>
      </c>
      <c r="Q438" s="48"/>
      <c r="R438" s="40">
        <f t="shared" si="63"/>
        <v>7600</v>
      </c>
      <c r="S438" s="40">
        <f>-PMT(Assumptions!E$25/12,Assumptions!E$24*12,$R$8)*$C438/100</f>
        <v>80.609791581697166</v>
      </c>
      <c r="T438" s="40">
        <f>S438*Assumptions!$E$24*12-R438</f>
        <v>2073.1749898036596</v>
      </c>
      <c r="U438" s="48"/>
      <c r="V438" s="40">
        <f t="shared" si="64"/>
        <v>0</v>
      </c>
      <c r="W438" s="40" t="e">
        <f>-PMT(Assumptions!F$25/12,Assumptions!F$24*12,$V$8)*$C438/100</f>
        <v>#NUM!</v>
      </c>
      <c r="X438" s="40" t="e">
        <f>W438*Assumptions!$F$24*12-V438</f>
        <v>#NUM!</v>
      </c>
      <c r="Y438" s="43"/>
      <c r="Z438" s="40">
        <f t="shared" si="65"/>
        <v>0</v>
      </c>
      <c r="AA438" s="50" t="e">
        <f>-PMT(Assumptions!G$25/12,Assumptions!G$24*12,$Z$8)*$C438/100</f>
        <v>#NUM!</v>
      </c>
      <c r="AB438" s="44" t="e">
        <f>AA438*Assumptions!$G$24*12-Z438</f>
        <v>#NUM!</v>
      </c>
      <c r="AD438" s="54">
        <f t="shared" si="66"/>
        <v>0</v>
      </c>
      <c r="AE438" s="54">
        <f t="shared" si="67"/>
        <v>0</v>
      </c>
      <c r="AF438" s="54">
        <f t="shared" si="68"/>
        <v>1520</v>
      </c>
      <c r="AG438" s="54">
        <f t="shared" si="69"/>
        <v>7600</v>
      </c>
      <c r="AH438" s="54">
        <f t="shared" si="70"/>
        <v>0</v>
      </c>
      <c r="AI438" s="54">
        <f t="shared" si="71"/>
        <v>0</v>
      </c>
    </row>
    <row r="439" spans="1:35" ht="15" x14ac:dyDescent="0.2">
      <c r="A439" s="56" t="s">
        <v>534</v>
      </c>
      <c r="B439" s="32"/>
      <c r="C439" s="56">
        <v>0.14299999999999999</v>
      </c>
      <c r="D439" s="56">
        <v>224.52</v>
      </c>
      <c r="E439" s="36"/>
      <c r="F439" s="40">
        <f t="shared" si="60"/>
        <v>0</v>
      </c>
      <c r="G439" s="40" t="e">
        <f>-PMT(Assumptions!B$25/12,Assumptions!B$24*12,F$8)*C439/100</f>
        <v>#NUM!</v>
      </c>
      <c r="H439" s="40" t="e">
        <f>G439*Assumptions!$B$24*12-F439</f>
        <v>#NUM!</v>
      </c>
      <c r="I439" s="48"/>
      <c r="J439" s="40">
        <f t="shared" si="61"/>
        <v>0</v>
      </c>
      <c r="K439" s="40" t="e">
        <f>-PMT(Assumptions!C$25/12,Assumptions!C$24*12,J$8)*C439/100</f>
        <v>#NUM!</v>
      </c>
      <c r="L439" s="40" t="e">
        <f>K439*Assumptions!$C$24*12-J439</f>
        <v>#NUM!</v>
      </c>
      <c r="M439" s="43"/>
      <c r="N439" s="40">
        <f t="shared" si="62"/>
        <v>1430</v>
      </c>
      <c r="O439" s="50">
        <f>-PMT(Assumptions!D$25/12,Assumptions!D$24*12,N$8)*C439/100</f>
        <v>15.167368679187756</v>
      </c>
      <c r="P439" s="44">
        <f>O439*Assumptions!$D$24*12-N439</f>
        <v>390.08424150253086</v>
      </c>
      <c r="Q439" s="48"/>
      <c r="R439" s="40">
        <f t="shared" si="63"/>
        <v>7149.9999999999991</v>
      </c>
      <c r="S439" s="40">
        <f>-PMT(Assumptions!E$25/12,Assumptions!E$24*12,$R$8)*$C439/100</f>
        <v>75.836843395938786</v>
      </c>
      <c r="T439" s="40">
        <f>S439*Assumptions!$E$24*12-R439</f>
        <v>1950.4212075126552</v>
      </c>
      <c r="U439" s="48"/>
      <c r="V439" s="40">
        <f t="shared" si="64"/>
        <v>0</v>
      </c>
      <c r="W439" s="40" t="e">
        <f>-PMT(Assumptions!F$25/12,Assumptions!F$24*12,$V$8)*$C439/100</f>
        <v>#NUM!</v>
      </c>
      <c r="X439" s="40" t="e">
        <f>W439*Assumptions!$F$24*12-V439</f>
        <v>#NUM!</v>
      </c>
      <c r="Y439" s="43"/>
      <c r="Z439" s="40">
        <f t="shared" si="65"/>
        <v>0</v>
      </c>
      <c r="AA439" s="50" t="e">
        <f>-PMT(Assumptions!G$25/12,Assumptions!G$24*12,$Z$8)*$C439/100</f>
        <v>#NUM!</v>
      </c>
      <c r="AB439" s="44" t="e">
        <f>AA439*Assumptions!$G$24*12-Z439</f>
        <v>#NUM!</v>
      </c>
      <c r="AD439" s="54">
        <f t="shared" si="66"/>
        <v>0</v>
      </c>
      <c r="AE439" s="54">
        <f t="shared" si="67"/>
        <v>0</v>
      </c>
      <c r="AF439" s="54">
        <f t="shared" si="68"/>
        <v>1430</v>
      </c>
      <c r="AG439" s="54">
        <f t="shared" si="69"/>
        <v>7149.9999999999991</v>
      </c>
      <c r="AH439" s="54">
        <f t="shared" si="70"/>
        <v>0</v>
      </c>
      <c r="AI439" s="54">
        <f t="shared" si="71"/>
        <v>0</v>
      </c>
    </row>
    <row r="440" spans="1:35" ht="15" x14ac:dyDescent="0.2">
      <c r="A440" s="56" t="s">
        <v>535</v>
      </c>
      <c r="B440" s="32"/>
      <c r="C440" s="56">
        <v>0.152</v>
      </c>
      <c r="D440" s="56">
        <v>238.66</v>
      </c>
      <c r="E440" s="36"/>
      <c r="F440" s="40">
        <f t="shared" si="60"/>
        <v>0</v>
      </c>
      <c r="G440" s="40" t="e">
        <f>-PMT(Assumptions!B$25/12,Assumptions!B$24*12,F$8)*C440/100</f>
        <v>#NUM!</v>
      </c>
      <c r="H440" s="40" t="e">
        <f>G440*Assumptions!$B$24*12-F440</f>
        <v>#NUM!</v>
      </c>
      <c r="I440" s="48"/>
      <c r="J440" s="40">
        <f t="shared" si="61"/>
        <v>0</v>
      </c>
      <c r="K440" s="40" t="e">
        <f>-PMT(Assumptions!C$25/12,Assumptions!C$24*12,J$8)*C440/100</f>
        <v>#NUM!</v>
      </c>
      <c r="L440" s="40" t="e">
        <f>K440*Assumptions!$C$24*12-J440</f>
        <v>#NUM!</v>
      </c>
      <c r="M440" s="43"/>
      <c r="N440" s="40">
        <f t="shared" si="62"/>
        <v>1520</v>
      </c>
      <c r="O440" s="50">
        <f>-PMT(Assumptions!D$25/12,Assumptions!D$24*12,N$8)*C440/100</f>
        <v>16.121958316339434</v>
      </c>
      <c r="P440" s="44">
        <f>O440*Assumptions!$D$24*12-N440</f>
        <v>414.63499796073211</v>
      </c>
      <c r="Q440" s="48"/>
      <c r="R440" s="40">
        <f t="shared" si="63"/>
        <v>7600</v>
      </c>
      <c r="S440" s="40">
        <f>-PMT(Assumptions!E$25/12,Assumptions!E$24*12,$R$8)*$C440/100</f>
        <v>80.609791581697166</v>
      </c>
      <c r="T440" s="40">
        <f>S440*Assumptions!$E$24*12-R440</f>
        <v>2073.1749898036596</v>
      </c>
      <c r="U440" s="48"/>
      <c r="V440" s="40">
        <f t="shared" si="64"/>
        <v>0</v>
      </c>
      <c r="W440" s="40" t="e">
        <f>-PMT(Assumptions!F$25/12,Assumptions!F$24*12,$V$8)*$C440/100</f>
        <v>#NUM!</v>
      </c>
      <c r="X440" s="40" t="e">
        <f>W440*Assumptions!$F$24*12-V440</f>
        <v>#NUM!</v>
      </c>
      <c r="Y440" s="43"/>
      <c r="Z440" s="40">
        <f t="shared" si="65"/>
        <v>0</v>
      </c>
      <c r="AA440" s="50" t="e">
        <f>-PMT(Assumptions!G$25/12,Assumptions!G$24*12,$Z$8)*$C440/100</f>
        <v>#NUM!</v>
      </c>
      <c r="AB440" s="44" t="e">
        <f>AA440*Assumptions!$G$24*12-Z440</f>
        <v>#NUM!</v>
      </c>
      <c r="AD440" s="54">
        <f t="shared" si="66"/>
        <v>0</v>
      </c>
      <c r="AE440" s="54">
        <f t="shared" si="67"/>
        <v>0</v>
      </c>
      <c r="AF440" s="54">
        <f t="shared" si="68"/>
        <v>1520</v>
      </c>
      <c r="AG440" s="54">
        <f t="shared" si="69"/>
        <v>7600</v>
      </c>
      <c r="AH440" s="54">
        <f t="shared" si="70"/>
        <v>0</v>
      </c>
      <c r="AI440" s="54">
        <f t="shared" si="71"/>
        <v>0</v>
      </c>
    </row>
    <row r="441" spans="1:35" ht="15" x14ac:dyDescent="0.2">
      <c r="A441" s="56" t="s">
        <v>536</v>
      </c>
      <c r="B441" s="32"/>
      <c r="C441" s="56">
        <v>0.20599999999999999</v>
      </c>
      <c r="D441" s="56">
        <v>323.44</v>
      </c>
      <c r="E441" s="36"/>
      <c r="F441" s="40">
        <f t="shared" si="60"/>
        <v>0</v>
      </c>
      <c r="G441" s="40" t="e">
        <f>-PMT(Assumptions!B$25/12,Assumptions!B$24*12,F$8)*C441/100</f>
        <v>#NUM!</v>
      </c>
      <c r="H441" s="40" t="e">
        <f>G441*Assumptions!$B$24*12-F441</f>
        <v>#NUM!</v>
      </c>
      <c r="I441" s="48"/>
      <c r="J441" s="40">
        <f t="shared" si="61"/>
        <v>0</v>
      </c>
      <c r="K441" s="40" t="e">
        <f>-PMT(Assumptions!C$25/12,Assumptions!C$24*12,J$8)*C441/100</f>
        <v>#NUM!</v>
      </c>
      <c r="L441" s="40" t="e">
        <f>K441*Assumptions!$C$24*12-J441</f>
        <v>#NUM!</v>
      </c>
      <c r="M441" s="43"/>
      <c r="N441" s="40">
        <f t="shared" si="62"/>
        <v>2060</v>
      </c>
      <c r="O441" s="50">
        <f>-PMT(Assumptions!D$25/12,Assumptions!D$24*12,N$8)*C441/100</f>
        <v>21.849496139249496</v>
      </c>
      <c r="P441" s="44">
        <f>O441*Assumptions!$D$24*12-N441</f>
        <v>561.9395367099396</v>
      </c>
      <c r="Q441" s="48"/>
      <c r="R441" s="40">
        <f t="shared" si="63"/>
        <v>10300</v>
      </c>
      <c r="S441" s="40">
        <f>-PMT(Assumptions!E$25/12,Assumptions!E$24*12,$R$8)*$C441/100</f>
        <v>109.24748069624748</v>
      </c>
      <c r="T441" s="40">
        <f>S441*Assumptions!$E$24*12-R441</f>
        <v>2809.6976835496971</v>
      </c>
      <c r="U441" s="48"/>
      <c r="V441" s="40">
        <f t="shared" si="64"/>
        <v>0</v>
      </c>
      <c r="W441" s="40" t="e">
        <f>-PMT(Assumptions!F$25/12,Assumptions!F$24*12,$V$8)*$C441/100</f>
        <v>#NUM!</v>
      </c>
      <c r="X441" s="40" t="e">
        <f>W441*Assumptions!$F$24*12-V441</f>
        <v>#NUM!</v>
      </c>
      <c r="Y441" s="43"/>
      <c r="Z441" s="40">
        <f t="shared" si="65"/>
        <v>0</v>
      </c>
      <c r="AA441" s="50" t="e">
        <f>-PMT(Assumptions!G$25/12,Assumptions!G$24*12,$Z$8)*$C441/100</f>
        <v>#NUM!</v>
      </c>
      <c r="AB441" s="44" t="e">
        <f>AA441*Assumptions!$G$24*12-Z441</f>
        <v>#NUM!</v>
      </c>
      <c r="AD441" s="54">
        <f t="shared" si="66"/>
        <v>0</v>
      </c>
      <c r="AE441" s="54">
        <f t="shared" si="67"/>
        <v>0</v>
      </c>
      <c r="AF441" s="54">
        <f t="shared" si="68"/>
        <v>2060</v>
      </c>
      <c r="AG441" s="54">
        <f t="shared" si="69"/>
        <v>10300</v>
      </c>
      <c r="AH441" s="54">
        <f t="shared" si="70"/>
        <v>0</v>
      </c>
      <c r="AI441" s="54">
        <f t="shared" si="71"/>
        <v>0</v>
      </c>
    </row>
    <row r="442" spans="1:35" ht="15" x14ac:dyDescent="0.2">
      <c r="A442" s="56" t="s">
        <v>537</v>
      </c>
      <c r="B442" s="32"/>
      <c r="C442" s="56">
        <v>0.215</v>
      </c>
      <c r="D442" s="56">
        <v>337.57</v>
      </c>
      <c r="E442" s="36"/>
      <c r="F442" s="40">
        <f t="shared" si="60"/>
        <v>0</v>
      </c>
      <c r="G442" s="40" t="e">
        <f>-PMT(Assumptions!B$25/12,Assumptions!B$24*12,F$8)*C442/100</f>
        <v>#NUM!</v>
      </c>
      <c r="H442" s="40" t="e">
        <f>G442*Assumptions!$B$24*12-F442</f>
        <v>#NUM!</v>
      </c>
      <c r="I442" s="48"/>
      <c r="J442" s="40">
        <f t="shared" si="61"/>
        <v>0</v>
      </c>
      <c r="K442" s="40" t="e">
        <f>-PMT(Assumptions!C$25/12,Assumptions!C$24*12,J$8)*C442/100</f>
        <v>#NUM!</v>
      </c>
      <c r="L442" s="40" t="e">
        <f>K442*Assumptions!$C$24*12-J442</f>
        <v>#NUM!</v>
      </c>
      <c r="M442" s="43"/>
      <c r="N442" s="40">
        <f t="shared" si="62"/>
        <v>2150</v>
      </c>
      <c r="O442" s="50">
        <f>-PMT(Assumptions!D$25/12,Assumptions!D$24*12,N$8)*C442/100</f>
        <v>22.804085776401177</v>
      </c>
      <c r="P442" s="44">
        <f>O442*Assumptions!$D$24*12-N442</f>
        <v>586.49029316814131</v>
      </c>
      <c r="Q442" s="48"/>
      <c r="R442" s="40">
        <f t="shared" si="63"/>
        <v>10750</v>
      </c>
      <c r="S442" s="40">
        <f>-PMT(Assumptions!E$25/12,Assumptions!E$24*12,$R$8)*$C442/100</f>
        <v>114.02042888200587</v>
      </c>
      <c r="T442" s="40">
        <f>S442*Assumptions!$E$24*12-R442</f>
        <v>2932.4514658407061</v>
      </c>
      <c r="U442" s="48"/>
      <c r="V442" s="40">
        <f t="shared" si="64"/>
        <v>0</v>
      </c>
      <c r="W442" s="40" t="e">
        <f>-PMT(Assumptions!F$25/12,Assumptions!F$24*12,$V$8)*$C442/100</f>
        <v>#NUM!</v>
      </c>
      <c r="X442" s="40" t="e">
        <f>W442*Assumptions!$F$24*12-V442</f>
        <v>#NUM!</v>
      </c>
      <c r="Y442" s="43"/>
      <c r="Z442" s="40">
        <f t="shared" si="65"/>
        <v>0</v>
      </c>
      <c r="AA442" s="50" t="e">
        <f>-PMT(Assumptions!G$25/12,Assumptions!G$24*12,$Z$8)*$C442/100</f>
        <v>#NUM!</v>
      </c>
      <c r="AB442" s="44" t="e">
        <f>AA442*Assumptions!$G$24*12-Z442</f>
        <v>#NUM!</v>
      </c>
      <c r="AD442" s="54">
        <f t="shared" si="66"/>
        <v>0</v>
      </c>
      <c r="AE442" s="54">
        <f t="shared" si="67"/>
        <v>0</v>
      </c>
      <c r="AF442" s="54">
        <f t="shared" si="68"/>
        <v>2150</v>
      </c>
      <c r="AG442" s="54">
        <f t="shared" si="69"/>
        <v>10750</v>
      </c>
      <c r="AH442" s="54">
        <f t="shared" si="70"/>
        <v>0</v>
      </c>
      <c r="AI442" s="54">
        <f t="shared" si="71"/>
        <v>0</v>
      </c>
    </row>
    <row r="443" spans="1:35" ht="15" x14ac:dyDescent="0.2">
      <c r="A443" s="56" t="s">
        <v>538</v>
      </c>
      <c r="B443" s="32"/>
      <c r="C443" s="56">
        <v>0.20200000000000001</v>
      </c>
      <c r="D443" s="56">
        <v>317.16000000000003</v>
      </c>
      <c r="E443" s="36"/>
      <c r="F443" s="40">
        <f t="shared" si="60"/>
        <v>0</v>
      </c>
      <c r="G443" s="40" t="e">
        <f>-PMT(Assumptions!B$25/12,Assumptions!B$24*12,F$8)*C443/100</f>
        <v>#NUM!</v>
      </c>
      <c r="H443" s="40" t="e">
        <f>G443*Assumptions!$B$24*12-F443</f>
        <v>#NUM!</v>
      </c>
      <c r="I443" s="48"/>
      <c r="J443" s="40">
        <f t="shared" si="61"/>
        <v>0</v>
      </c>
      <c r="K443" s="40" t="e">
        <f>-PMT(Assumptions!C$25/12,Assumptions!C$24*12,J$8)*C443/100</f>
        <v>#NUM!</v>
      </c>
      <c r="L443" s="40" t="e">
        <f>K443*Assumptions!$C$24*12-J443</f>
        <v>#NUM!</v>
      </c>
      <c r="M443" s="43"/>
      <c r="N443" s="40">
        <f t="shared" si="62"/>
        <v>2020</v>
      </c>
      <c r="O443" s="50">
        <f>-PMT(Assumptions!D$25/12,Assumptions!D$24*12,N$8)*C443/100</f>
        <v>21.425234078293197</v>
      </c>
      <c r="P443" s="44">
        <f>O443*Assumptions!$D$24*12-N443</f>
        <v>551.028089395184</v>
      </c>
      <c r="Q443" s="48"/>
      <c r="R443" s="40">
        <f t="shared" si="63"/>
        <v>10100.000000000002</v>
      </c>
      <c r="S443" s="40">
        <f>-PMT(Assumptions!E$25/12,Assumptions!E$24*12,$R$8)*$C443/100</f>
        <v>107.12617039146599</v>
      </c>
      <c r="T443" s="40">
        <f>S443*Assumptions!$E$24*12-R443</f>
        <v>2755.1404469759163</v>
      </c>
      <c r="U443" s="48"/>
      <c r="V443" s="40">
        <f t="shared" si="64"/>
        <v>0</v>
      </c>
      <c r="W443" s="40" t="e">
        <f>-PMT(Assumptions!F$25/12,Assumptions!F$24*12,$V$8)*$C443/100</f>
        <v>#NUM!</v>
      </c>
      <c r="X443" s="40" t="e">
        <f>W443*Assumptions!$F$24*12-V443</f>
        <v>#NUM!</v>
      </c>
      <c r="Y443" s="43"/>
      <c r="Z443" s="40">
        <f t="shared" si="65"/>
        <v>0</v>
      </c>
      <c r="AA443" s="50" t="e">
        <f>-PMT(Assumptions!G$25/12,Assumptions!G$24*12,$Z$8)*$C443/100</f>
        <v>#NUM!</v>
      </c>
      <c r="AB443" s="44" t="e">
        <f>AA443*Assumptions!$G$24*12-Z443</f>
        <v>#NUM!</v>
      </c>
      <c r="AD443" s="54">
        <f t="shared" si="66"/>
        <v>0</v>
      </c>
      <c r="AE443" s="54">
        <f t="shared" si="67"/>
        <v>0</v>
      </c>
      <c r="AF443" s="54">
        <f t="shared" si="68"/>
        <v>2020</v>
      </c>
      <c r="AG443" s="54">
        <f t="shared" si="69"/>
        <v>10100.000000000002</v>
      </c>
      <c r="AH443" s="54">
        <f t="shared" si="70"/>
        <v>0</v>
      </c>
      <c r="AI443" s="54">
        <f t="shared" si="71"/>
        <v>0</v>
      </c>
    </row>
    <row r="444" spans="1:35" ht="15" x14ac:dyDescent="0.2">
      <c r="A444" s="56" t="s">
        <v>539</v>
      </c>
      <c r="B444" s="32"/>
      <c r="C444" s="56">
        <v>0.20200000000000001</v>
      </c>
      <c r="D444" s="56">
        <v>317.16000000000003</v>
      </c>
      <c r="E444" s="36"/>
      <c r="F444" s="40">
        <f t="shared" si="60"/>
        <v>0</v>
      </c>
      <c r="G444" s="40" t="e">
        <f>-PMT(Assumptions!B$25/12,Assumptions!B$24*12,F$8)*C444/100</f>
        <v>#NUM!</v>
      </c>
      <c r="H444" s="40" t="e">
        <f>G444*Assumptions!$B$24*12-F444</f>
        <v>#NUM!</v>
      </c>
      <c r="I444" s="48"/>
      <c r="J444" s="40">
        <f t="shared" si="61"/>
        <v>0</v>
      </c>
      <c r="K444" s="40" t="e">
        <f>-PMT(Assumptions!C$25/12,Assumptions!C$24*12,J$8)*C444/100</f>
        <v>#NUM!</v>
      </c>
      <c r="L444" s="40" t="e">
        <f>K444*Assumptions!$C$24*12-J444</f>
        <v>#NUM!</v>
      </c>
      <c r="M444" s="43"/>
      <c r="N444" s="40">
        <f t="shared" si="62"/>
        <v>2020</v>
      </c>
      <c r="O444" s="50">
        <f>-PMT(Assumptions!D$25/12,Assumptions!D$24*12,N$8)*C444/100</f>
        <v>21.425234078293197</v>
      </c>
      <c r="P444" s="44">
        <f>O444*Assumptions!$D$24*12-N444</f>
        <v>551.028089395184</v>
      </c>
      <c r="Q444" s="48"/>
      <c r="R444" s="40">
        <f t="shared" si="63"/>
        <v>10100.000000000002</v>
      </c>
      <c r="S444" s="40">
        <f>-PMT(Assumptions!E$25/12,Assumptions!E$24*12,$R$8)*$C444/100</f>
        <v>107.12617039146599</v>
      </c>
      <c r="T444" s="40">
        <f>S444*Assumptions!$E$24*12-R444</f>
        <v>2755.1404469759163</v>
      </c>
      <c r="U444" s="48"/>
      <c r="V444" s="40">
        <f t="shared" si="64"/>
        <v>0</v>
      </c>
      <c r="W444" s="40" t="e">
        <f>-PMT(Assumptions!F$25/12,Assumptions!F$24*12,$V$8)*$C444/100</f>
        <v>#NUM!</v>
      </c>
      <c r="X444" s="40" t="e">
        <f>W444*Assumptions!$F$24*12-V444</f>
        <v>#NUM!</v>
      </c>
      <c r="Y444" s="43"/>
      <c r="Z444" s="40">
        <f t="shared" si="65"/>
        <v>0</v>
      </c>
      <c r="AA444" s="50" t="e">
        <f>-PMT(Assumptions!G$25/12,Assumptions!G$24*12,$Z$8)*$C444/100</f>
        <v>#NUM!</v>
      </c>
      <c r="AB444" s="44" t="e">
        <f>AA444*Assumptions!$G$24*12-Z444</f>
        <v>#NUM!</v>
      </c>
      <c r="AD444" s="54">
        <f t="shared" si="66"/>
        <v>0</v>
      </c>
      <c r="AE444" s="54">
        <f t="shared" si="67"/>
        <v>0</v>
      </c>
      <c r="AF444" s="54">
        <f t="shared" si="68"/>
        <v>2020</v>
      </c>
      <c r="AG444" s="54">
        <f t="shared" si="69"/>
        <v>10100.000000000002</v>
      </c>
      <c r="AH444" s="54">
        <f t="shared" si="70"/>
        <v>0</v>
      </c>
      <c r="AI444" s="54">
        <f t="shared" si="71"/>
        <v>0</v>
      </c>
    </row>
    <row r="445" spans="1:35" ht="15" x14ac:dyDescent="0.2">
      <c r="A445" s="56" t="s">
        <v>540</v>
      </c>
      <c r="B445" s="32"/>
      <c r="C445" s="56">
        <v>0.28000000000000003</v>
      </c>
      <c r="D445" s="56">
        <v>439.63</v>
      </c>
      <c r="E445" s="36"/>
      <c r="F445" s="40">
        <f t="shared" si="60"/>
        <v>0</v>
      </c>
      <c r="G445" s="40" t="e">
        <f>-PMT(Assumptions!B$25/12,Assumptions!B$24*12,F$8)*C445/100</f>
        <v>#NUM!</v>
      </c>
      <c r="H445" s="40" t="e">
        <f>G445*Assumptions!$B$24*12-F445</f>
        <v>#NUM!</v>
      </c>
      <c r="I445" s="48"/>
      <c r="J445" s="40">
        <f t="shared" si="61"/>
        <v>0</v>
      </c>
      <c r="K445" s="40" t="e">
        <f>-PMT(Assumptions!C$25/12,Assumptions!C$24*12,J$8)*C445/100</f>
        <v>#NUM!</v>
      </c>
      <c r="L445" s="40" t="e">
        <f>K445*Assumptions!$C$24*12-J445</f>
        <v>#NUM!</v>
      </c>
      <c r="M445" s="43"/>
      <c r="N445" s="40">
        <f t="shared" si="62"/>
        <v>2800</v>
      </c>
      <c r="O445" s="50">
        <f>-PMT(Assumptions!D$25/12,Assumptions!D$24*12,N$8)*C445/100</f>
        <v>29.698344266941067</v>
      </c>
      <c r="P445" s="44">
        <f>O445*Assumptions!$D$24*12-N445</f>
        <v>763.80131203292831</v>
      </c>
      <c r="Q445" s="48"/>
      <c r="R445" s="40">
        <f t="shared" si="63"/>
        <v>14000.000000000002</v>
      </c>
      <c r="S445" s="40">
        <f>-PMT(Assumptions!E$25/12,Assumptions!E$24*12,$R$8)*$C445/100</f>
        <v>148.49172133470535</v>
      </c>
      <c r="T445" s="40">
        <f>S445*Assumptions!$E$24*12-R445</f>
        <v>3819.0065601646402</v>
      </c>
      <c r="U445" s="48"/>
      <c r="V445" s="40">
        <f t="shared" si="64"/>
        <v>0</v>
      </c>
      <c r="W445" s="40" t="e">
        <f>-PMT(Assumptions!F$25/12,Assumptions!F$24*12,$V$8)*$C445/100</f>
        <v>#NUM!</v>
      </c>
      <c r="X445" s="40" t="e">
        <f>W445*Assumptions!$F$24*12-V445</f>
        <v>#NUM!</v>
      </c>
      <c r="Y445" s="43"/>
      <c r="Z445" s="40">
        <f t="shared" si="65"/>
        <v>0</v>
      </c>
      <c r="AA445" s="50" t="e">
        <f>-PMT(Assumptions!G$25/12,Assumptions!G$24*12,$Z$8)*$C445/100</f>
        <v>#NUM!</v>
      </c>
      <c r="AB445" s="44" t="e">
        <f>AA445*Assumptions!$G$24*12-Z445</f>
        <v>#NUM!</v>
      </c>
      <c r="AD445" s="54">
        <f t="shared" si="66"/>
        <v>0</v>
      </c>
      <c r="AE445" s="54">
        <f t="shared" si="67"/>
        <v>0</v>
      </c>
      <c r="AF445" s="54">
        <f t="shared" si="68"/>
        <v>2800</v>
      </c>
      <c r="AG445" s="54">
        <f t="shared" si="69"/>
        <v>14000.000000000002</v>
      </c>
      <c r="AH445" s="54">
        <f t="shared" si="70"/>
        <v>0</v>
      </c>
      <c r="AI445" s="54">
        <f t="shared" si="71"/>
        <v>0</v>
      </c>
    </row>
    <row r="446" spans="1:35" ht="15" x14ac:dyDescent="0.2">
      <c r="A446" s="56" t="s">
        <v>541</v>
      </c>
      <c r="B446" s="32"/>
      <c r="C446" s="56">
        <v>0.28000000000000003</v>
      </c>
      <c r="D446" s="56">
        <v>439.63</v>
      </c>
      <c r="E446" s="36"/>
      <c r="F446" s="40">
        <f t="shared" si="60"/>
        <v>0</v>
      </c>
      <c r="G446" s="40" t="e">
        <f>-PMT(Assumptions!B$25/12,Assumptions!B$24*12,F$8)*C446/100</f>
        <v>#NUM!</v>
      </c>
      <c r="H446" s="40" t="e">
        <f>G446*Assumptions!$B$24*12-F446</f>
        <v>#NUM!</v>
      </c>
      <c r="I446" s="48"/>
      <c r="J446" s="40">
        <f t="shared" si="61"/>
        <v>0</v>
      </c>
      <c r="K446" s="40" t="e">
        <f>-PMT(Assumptions!C$25/12,Assumptions!C$24*12,J$8)*C446/100</f>
        <v>#NUM!</v>
      </c>
      <c r="L446" s="40" t="e">
        <f>K446*Assumptions!$C$24*12-J446</f>
        <v>#NUM!</v>
      </c>
      <c r="M446" s="43"/>
      <c r="N446" s="40">
        <f t="shared" si="62"/>
        <v>2800</v>
      </c>
      <c r="O446" s="50">
        <f>-PMT(Assumptions!D$25/12,Assumptions!D$24*12,N$8)*C446/100</f>
        <v>29.698344266941067</v>
      </c>
      <c r="P446" s="44">
        <f>O446*Assumptions!$D$24*12-N446</f>
        <v>763.80131203292831</v>
      </c>
      <c r="Q446" s="48"/>
      <c r="R446" s="40">
        <f t="shared" si="63"/>
        <v>14000.000000000002</v>
      </c>
      <c r="S446" s="40">
        <f>-PMT(Assumptions!E$25/12,Assumptions!E$24*12,$R$8)*$C446/100</f>
        <v>148.49172133470535</v>
      </c>
      <c r="T446" s="40">
        <f>S446*Assumptions!$E$24*12-R446</f>
        <v>3819.0065601646402</v>
      </c>
      <c r="U446" s="48"/>
      <c r="V446" s="40">
        <f t="shared" si="64"/>
        <v>0</v>
      </c>
      <c r="W446" s="40" t="e">
        <f>-PMT(Assumptions!F$25/12,Assumptions!F$24*12,$V$8)*$C446/100</f>
        <v>#NUM!</v>
      </c>
      <c r="X446" s="40" t="e">
        <f>W446*Assumptions!$F$24*12-V446</f>
        <v>#NUM!</v>
      </c>
      <c r="Y446" s="43"/>
      <c r="Z446" s="40">
        <f t="shared" si="65"/>
        <v>0</v>
      </c>
      <c r="AA446" s="50" t="e">
        <f>-PMT(Assumptions!G$25/12,Assumptions!G$24*12,$Z$8)*$C446/100</f>
        <v>#NUM!</v>
      </c>
      <c r="AB446" s="44" t="e">
        <f>AA446*Assumptions!$G$24*12-Z446</f>
        <v>#NUM!</v>
      </c>
      <c r="AD446" s="54">
        <f t="shared" si="66"/>
        <v>0</v>
      </c>
      <c r="AE446" s="54">
        <f t="shared" si="67"/>
        <v>0</v>
      </c>
      <c r="AF446" s="54">
        <f t="shared" si="68"/>
        <v>2800</v>
      </c>
      <c r="AG446" s="54">
        <f t="shared" si="69"/>
        <v>14000.000000000002</v>
      </c>
      <c r="AH446" s="54">
        <f t="shared" si="70"/>
        <v>0</v>
      </c>
      <c r="AI446" s="54">
        <f t="shared" si="71"/>
        <v>0</v>
      </c>
    </row>
    <row r="447" spans="1:35" ht="15" x14ac:dyDescent="0.2">
      <c r="A447" s="56" t="s">
        <v>542</v>
      </c>
      <c r="B447" s="32"/>
      <c r="C447" s="56">
        <v>0.28799999999999998</v>
      </c>
      <c r="D447" s="56">
        <v>452.19</v>
      </c>
      <c r="E447" s="36"/>
      <c r="F447" s="40">
        <f t="shared" si="60"/>
        <v>0</v>
      </c>
      <c r="G447" s="40" t="e">
        <f>-PMT(Assumptions!B$25/12,Assumptions!B$24*12,F$8)*C447/100</f>
        <v>#NUM!</v>
      </c>
      <c r="H447" s="40" t="e">
        <f>G447*Assumptions!$B$24*12-F447</f>
        <v>#NUM!</v>
      </c>
      <c r="I447" s="48"/>
      <c r="J447" s="40">
        <f t="shared" si="61"/>
        <v>0</v>
      </c>
      <c r="K447" s="40" t="e">
        <f>-PMT(Assumptions!C$25/12,Assumptions!C$24*12,J$8)*C447/100</f>
        <v>#NUM!</v>
      </c>
      <c r="L447" s="40" t="e">
        <f>K447*Assumptions!$C$24*12-J447</f>
        <v>#NUM!</v>
      </c>
      <c r="M447" s="43"/>
      <c r="N447" s="40">
        <f t="shared" si="62"/>
        <v>2880</v>
      </c>
      <c r="O447" s="50">
        <f>-PMT(Assumptions!D$25/12,Assumptions!D$24*12,N$8)*C447/100</f>
        <v>30.546868388853664</v>
      </c>
      <c r="P447" s="44">
        <f>O447*Assumptions!$D$24*12-N447</f>
        <v>785.62420666243997</v>
      </c>
      <c r="Q447" s="48"/>
      <c r="R447" s="40">
        <f t="shared" si="63"/>
        <v>14400</v>
      </c>
      <c r="S447" s="40">
        <f>-PMT(Assumptions!E$25/12,Assumptions!E$24*12,$R$8)*$C447/100</f>
        <v>152.73434194426832</v>
      </c>
      <c r="T447" s="40">
        <f>S447*Assumptions!$E$24*12-R447</f>
        <v>3928.1210333121999</v>
      </c>
      <c r="U447" s="48"/>
      <c r="V447" s="40">
        <f t="shared" si="64"/>
        <v>0</v>
      </c>
      <c r="W447" s="40" t="e">
        <f>-PMT(Assumptions!F$25/12,Assumptions!F$24*12,$V$8)*$C447/100</f>
        <v>#NUM!</v>
      </c>
      <c r="X447" s="40" t="e">
        <f>W447*Assumptions!$F$24*12-V447</f>
        <v>#NUM!</v>
      </c>
      <c r="Y447" s="43"/>
      <c r="Z447" s="40">
        <f t="shared" si="65"/>
        <v>0</v>
      </c>
      <c r="AA447" s="50" t="e">
        <f>-PMT(Assumptions!G$25/12,Assumptions!G$24*12,$Z$8)*$C447/100</f>
        <v>#NUM!</v>
      </c>
      <c r="AB447" s="44" t="e">
        <f>AA447*Assumptions!$G$24*12-Z447</f>
        <v>#NUM!</v>
      </c>
      <c r="AD447" s="54">
        <f t="shared" si="66"/>
        <v>0</v>
      </c>
      <c r="AE447" s="54">
        <f t="shared" si="67"/>
        <v>0</v>
      </c>
      <c r="AF447" s="54">
        <f t="shared" si="68"/>
        <v>2880</v>
      </c>
      <c r="AG447" s="54">
        <f t="shared" si="69"/>
        <v>14400</v>
      </c>
      <c r="AH447" s="54">
        <f t="shared" si="70"/>
        <v>0</v>
      </c>
      <c r="AI447" s="54">
        <f t="shared" si="71"/>
        <v>0</v>
      </c>
    </row>
    <row r="448" spans="1:35" ht="15" x14ac:dyDescent="0.2">
      <c r="A448" s="56" t="s">
        <v>543</v>
      </c>
      <c r="B448" s="32"/>
      <c r="C448" s="56">
        <v>0.28799999999999998</v>
      </c>
      <c r="D448" s="56">
        <v>452.19</v>
      </c>
      <c r="E448" s="36"/>
      <c r="F448" s="40">
        <f t="shared" si="60"/>
        <v>0</v>
      </c>
      <c r="G448" s="40" t="e">
        <f>-PMT(Assumptions!B$25/12,Assumptions!B$24*12,F$8)*C448/100</f>
        <v>#NUM!</v>
      </c>
      <c r="H448" s="40" t="e">
        <f>G448*Assumptions!$B$24*12-F448</f>
        <v>#NUM!</v>
      </c>
      <c r="I448" s="48"/>
      <c r="J448" s="40">
        <f t="shared" si="61"/>
        <v>0</v>
      </c>
      <c r="K448" s="40" t="e">
        <f>-PMT(Assumptions!C$25/12,Assumptions!C$24*12,J$8)*C448/100</f>
        <v>#NUM!</v>
      </c>
      <c r="L448" s="40" t="e">
        <f>K448*Assumptions!$C$24*12-J448</f>
        <v>#NUM!</v>
      </c>
      <c r="M448" s="43"/>
      <c r="N448" s="40">
        <f t="shared" si="62"/>
        <v>2880</v>
      </c>
      <c r="O448" s="50">
        <f>-PMT(Assumptions!D$25/12,Assumptions!D$24*12,N$8)*C448/100</f>
        <v>30.546868388853664</v>
      </c>
      <c r="P448" s="44">
        <f>O448*Assumptions!$D$24*12-N448</f>
        <v>785.62420666243997</v>
      </c>
      <c r="Q448" s="48"/>
      <c r="R448" s="40">
        <f t="shared" si="63"/>
        <v>14400</v>
      </c>
      <c r="S448" s="40">
        <f>-PMT(Assumptions!E$25/12,Assumptions!E$24*12,$R$8)*$C448/100</f>
        <v>152.73434194426832</v>
      </c>
      <c r="T448" s="40">
        <f>S448*Assumptions!$E$24*12-R448</f>
        <v>3928.1210333121999</v>
      </c>
      <c r="U448" s="48"/>
      <c r="V448" s="40">
        <f t="shared" si="64"/>
        <v>0</v>
      </c>
      <c r="W448" s="40" t="e">
        <f>-PMT(Assumptions!F$25/12,Assumptions!F$24*12,$V$8)*$C448/100</f>
        <v>#NUM!</v>
      </c>
      <c r="X448" s="40" t="e">
        <f>W448*Assumptions!$F$24*12-V448</f>
        <v>#NUM!</v>
      </c>
      <c r="Y448" s="43"/>
      <c r="Z448" s="40">
        <f t="shared" si="65"/>
        <v>0</v>
      </c>
      <c r="AA448" s="50" t="e">
        <f>-PMT(Assumptions!G$25/12,Assumptions!G$24*12,$Z$8)*$C448/100</f>
        <v>#NUM!</v>
      </c>
      <c r="AB448" s="44" t="e">
        <f>AA448*Assumptions!$G$24*12-Z448</f>
        <v>#NUM!</v>
      </c>
      <c r="AD448" s="54">
        <f t="shared" si="66"/>
        <v>0</v>
      </c>
      <c r="AE448" s="54">
        <f t="shared" si="67"/>
        <v>0</v>
      </c>
      <c r="AF448" s="54">
        <f t="shared" si="68"/>
        <v>2880</v>
      </c>
      <c r="AG448" s="54">
        <f t="shared" si="69"/>
        <v>14400</v>
      </c>
      <c r="AH448" s="54">
        <f t="shared" si="70"/>
        <v>0</v>
      </c>
      <c r="AI448" s="54">
        <f t="shared" si="71"/>
        <v>0</v>
      </c>
    </row>
    <row r="449" spans="1:35" ht="15" x14ac:dyDescent="0.2">
      <c r="A449" s="56" t="s">
        <v>544</v>
      </c>
      <c r="B449" s="32"/>
      <c r="C449" s="56">
        <v>0.2</v>
      </c>
      <c r="D449" s="56">
        <v>314.02</v>
      </c>
      <c r="E449" s="36"/>
      <c r="F449" s="40">
        <f t="shared" si="60"/>
        <v>0</v>
      </c>
      <c r="G449" s="40" t="e">
        <f>-PMT(Assumptions!B$25/12,Assumptions!B$24*12,F$8)*C449/100</f>
        <v>#NUM!</v>
      </c>
      <c r="H449" s="40" t="e">
        <f>G449*Assumptions!$B$24*12-F449</f>
        <v>#NUM!</v>
      </c>
      <c r="I449" s="48"/>
      <c r="J449" s="40">
        <f t="shared" si="61"/>
        <v>0</v>
      </c>
      <c r="K449" s="40" t="e">
        <f>-PMT(Assumptions!C$25/12,Assumptions!C$24*12,J$8)*C449/100</f>
        <v>#NUM!</v>
      </c>
      <c r="L449" s="40" t="e">
        <f>K449*Assumptions!$C$24*12-J449</f>
        <v>#NUM!</v>
      </c>
      <c r="M449" s="43"/>
      <c r="N449" s="40">
        <f t="shared" si="62"/>
        <v>2000</v>
      </c>
      <c r="O449" s="50">
        <f>-PMT(Assumptions!D$25/12,Assumptions!D$24*12,N$8)*C449/100</f>
        <v>21.213103047815046</v>
      </c>
      <c r="P449" s="44">
        <f>O449*Assumptions!$D$24*12-N449</f>
        <v>545.57236573780574</v>
      </c>
      <c r="Q449" s="48"/>
      <c r="R449" s="40">
        <f t="shared" si="63"/>
        <v>10000</v>
      </c>
      <c r="S449" s="40">
        <f>-PMT(Assumptions!E$25/12,Assumptions!E$24*12,$R$8)*$C449/100</f>
        <v>106.06551523907525</v>
      </c>
      <c r="T449" s="40">
        <f>S449*Assumptions!$E$24*12-R449</f>
        <v>2727.8618286890305</v>
      </c>
      <c r="U449" s="48"/>
      <c r="V449" s="40">
        <f t="shared" si="64"/>
        <v>0</v>
      </c>
      <c r="W449" s="40" t="e">
        <f>-PMT(Assumptions!F$25/12,Assumptions!F$24*12,$V$8)*$C449/100</f>
        <v>#NUM!</v>
      </c>
      <c r="X449" s="40" t="e">
        <f>W449*Assumptions!$F$24*12-V449</f>
        <v>#NUM!</v>
      </c>
      <c r="Y449" s="43"/>
      <c r="Z449" s="40">
        <f t="shared" si="65"/>
        <v>0</v>
      </c>
      <c r="AA449" s="50" t="e">
        <f>-PMT(Assumptions!G$25/12,Assumptions!G$24*12,$Z$8)*$C449/100</f>
        <v>#NUM!</v>
      </c>
      <c r="AB449" s="44" t="e">
        <f>AA449*Assumptions!$G$24*12-Z449</f>
        <v>#NUM!</v>
      </c>
      <c r="AD449" s="54">
        <f t="shared" si="66"/>
        <v>0</v>
      </c>
      <c r="AE449" s="54">
        <f t="shared" si="67"/>
        <v>0</v>
      </c>
      <c r="AF449" s="54">
        <f t="shared" si="68"/>
        <v>2000</v>
      </c>
      <c r="AG449" s="54">
        <f t="shared" si="69"/>
        <v>10000</v>
      </c>
      <c r="AH449" s="54">
        <f t="shared" si="70"/>
        <v>0</v>
      </c>
      <c r="AI449" s="54">
        <f t="shared" si="71"/>
        <v>0</v>
      </c>
    </row>
    <row r="450" spans="1:35" ht="15" x14ac:dyDescent="0.2">
      <c r="A450" s="56" t="s">
        <v>545</v>
      </c>
      <c r="B450" s="32"/>
      <c r="C450" s="56">
        <v>0.2</v>
      </c>
      <c r="D450" s="56">
        <v>314.02</v>
      </c>
      <c r="E450" s="36"/>
      <c r="F450" s="40">
        <f t="shared" si="60"/>
        <v>0</v>
      </c>
      <c r="G450" s="40" t="e">
        <f>-PMT(Assumptions!B$25/12,Assumptions!B$24*12,F$8)*C450/100</f>
        <v>#NUM!</v>
      </c>
      <c r="H450" s="40" t="e">
        <f>G450*Assumptions!$B$24*12-F450</f>
        <v>#NUM!</v>
      </c>
      <c r="I450" s="48"/>
      <c r="J450" s="40">
        <f t="shared" si="61"/>
        <v>0</v>
      </c>
      <c r="K450" s="40" t="e">
        <f>-PMT(Assumptions!C$25/12,Assumptions!C$24*12,J$8)*C450/100</f>
        <v>#NUM!</v>
      </c>
      <c r="L450" s="40" t="e">
        <f>K450*Assumptions!$C$24*12-J450</f>
        <v>#NUM!</v>
      </c>
      <c r="M450" s="43"/>
      <c r="N450" s="40">
        <f t="shared" si="62"/>
        <v>2000</v>
      </c>
      <c r="O450" s="50">
        <f>-PMT(Assumptions!D$25/12,Assumptions!D$24*12,N$8)*C450/100</f>
        <v>21.213103047815046</v>
      </c>
      <c r="P450" s="44">
        <f>O450*Assumptions!$D$24*12-N450</f>
        <v>545.57236573780574</v>
      </c>
      <c r="Q450" s="48"/>
      <c r="R450" s="40">
        <f t="shared" si="63"/>
        <v>10000</v>
      </c>
      <c r="S450" s="40">
        <f>-PMT(Assumptions!E$25/12,Assumptions!E$24*12,$R$8)*$C450/100</f>
        <v>106.06551523907525</v>
      </c>
      <c r="T450" s="40">
        <f>S450*Assumptions!$E$24*12-R450</f>
        <v>2727.8618286890305</v>
      </c>
      <c r="U450" s="48"/>
      <c r="V450" s="40">
        <f t="shared" si="64"/>
        <v>0</v>
      </c>
      <c r="W450" s="40" t="e">
        <f>-PMT(Assumptions!F$25/12,Assumptions!F$24*12,$V$8)*$C450/100</f>
        <v>#NUM!</v>
      </c>
      <c r="X450" s="40" t="e">
        <f>W450*Assumptions!$F$24*12-V450</f>
        <v>#NUM!</v>
      </c>
      <c r="Y450" s="43"/>
      <c r="Z450" s="40">
        <f t="shared" si="65"/>
        <v>0</v>
      </c>
      <c r="AA450" s="50" t="e">
        <f>-PMT(Assumptions!G$25/12,Assumptions!G$24*12,$Z$8)*$C450/100</f>
        <v>#NUM!</v>
      </c>
      <c r="AB450" s="44" t="e">
        <f>AA450*Assumptions!$G$24*12-Z450</f>
        <v>#NUM!</v>
      </c>
      <c r="AD450" s="54">
        <f t="shared" si="66"/>
        <v>0</v>
      </c>
      <c r="AE450" s="54">
        <f t="shared" si="67"/>
        <v>0</v>
      </c>
      <c r="AF450" s="54">
        <f t="shared" si="68"/>
        <v>2000</v>
      </c>
      <c r="AG450" s="54">
        <f t="shared" si="69"/>
        <v>10000</v>
      </c>
      <c r="AH450" s="54">
        <f t="shared" si="70"/>
        <v>0</v>
      </c>
      <c r="AI450" s="54">
        <f t="shared" si="71"/>
        <v>0</v>
      </c>
    </row>
    <row r="451" spans="1:35" ht="15" x14ac:dyDescent="0.2">
      <c r="A451" s="56" t="s">
        <v>546</v>
      </c>
      <c r="B451" s="32"/>
      <c r="C451" s="56">
        <v>0.14499999999999999</v>
      </c>
      <c r="D451" s="56">
        <v>227.66</v>
      </c>
      <c r="E451" s="36"/>
      <c r="F451" s="40">
        <f t="shared" si="60"/>
        <v>0</v>
      </c>
      <c r="G451" s="40" t="e">
        <f>-PMT(Assumptions!B$25/12,Assumptions!B$24*12,F$8)*C451/100</f>
        <v>#NUM!</v>
      </c>
      <c r="H451" s="40" t="e">
        <f>G451*Assumptions!$B$24*12-F451</f>
        <v>#NUM!</v>
      </c>
      <c r="I451" s="48"/>
      <c r="J451" s="40">
        <f t="shared" si="61"/>
        <v>0</v>
      </c>
      <c r="K451" s="40" t="e">
        <f>-PMT(Assumptions!C$25/12,Assumptions!C$24*12,J$8)*C451/100</f>
        <v>#NUM!</v>
      </c>
      <c r="L451" s="40" t="e">
        <f>K451*Assumptions!$C$24*12-J451</f>
        <v>#NUM!</v>
      </c>
      <c r="M451" s="43"/>
      <c r="N451" s="40">
        <f t="shared" si="62"/>
        <v>1450</v>
      </c>
      <c r="O451" s="50">
        <f>-PMT(Assumptions!D$25/12,Assumptions!D$24*12,N$8)*C451/100</f>
        <v>15.379499709665906</v>
      </c>
      <c r="P451" s="44">
        <f>O451*Assumptions!$D$24*12-N451</f>
        <v>395.53996515990866</v>
      </c>
      <c r="Q451" s="48"/>
      <c r="R451" s="40">
        <f t="shared" si="63"/>
        <v>7250</v>
      </c>
      <c r="S451" s="40">
        <f>-PMT(Assumptions!E$25/12,Assumptions!E$24*12,$R$8)*$C451/100</f>
        <v>76.897498548329537</v>
      </c>
      <c r="T451" s="40">
        <f>S451*Assumptions!$E$24*12-R451</f>
        <v>1977.6998257995438</v>
      </c>
      <c r="U451" s="48"/>
      <c r="V451" s="40">
        <f t="shared" si="64"/>
        <v>0</v>
      </c>
      <c r="W451" s="40" t="e">
        <f>-PMT(Assumptions!F$25/12,Assumptions!F$24*12,$V$8)*$C451/100</f>
        <v>#NUM!</v>
      </c>
      <c r="X451" s="40" t="e">
        <f>W451*Assumptions!$F$24*12-V451</f>
        <v>#NUM!</v>
      </c>
      <c r="Y451" s="43"/>
      <c r="Z451" s="40">
        <f t="shared" si="65"/>
        <v>0</v>
      </c>
      <c r="AA451" s="50" t="e">
        <f>-PMT(Assumptions!G$25/12,Assumptions!G$24*12,$Z$8)*$C451/100</f>
        <v>#NUM!</v>
      </c>
      <c r="AB451" s="44" t="e">
        <f>AA451*Assumptions!$G$24*12-Z451</f>
        <v>#NUM!</v>
      </c>
      <c r="AD451" s="54">
        <f t="shared" si="66"/>
        <v>0</v>
      </c>
      <c r="AE451" s="54">
        <f t="shared" si="67"/>
        <v>0</v>
      </c>
      <c r="AF451" s="54">
        <f t="shared" si="68"/>
        <v>1450</v>
      </c>
      <c r="AG451" s="54">
        <f t="shared" si="69"/>
        <v>7250</v>
      </c>
      <c r="AH451" s="54">
        <f t="shared" si="70"/>
        <v>0</v>
      </c>
      <c r="AI451" s="54">
        <f t="shared" si="71"/>
        <v>0</v>
      </c>
    </row>
    <row r="452" spans="1:35" ht="15" x14ac:dyDescent="0.2">
      <c r="A452" s="56" t="s">
        <v>547</v>
      </c>
      <c r="B452" s="32"/>
      <c r="C452" s="56">
        <v>0.154</v>
      </c>
      <c r="D452" s="56">
        <v>241.8</v>
      </c>
      <c r="E452" s="36"/>
      <c r="F452" s="40">
        <f t="shared" si="60"/>
        <v>0</v>
      </c>
      <c r="G452" s="40" t="e">
        <f>-PMT(Assumptions!B$25/12,Assumptions!B$24*12,F$8)*C452/100</f>
        <v>#NUM!</v>
      </c>
      <c r="H452" s="40" t="e">
        <f>G452*Assumptions!$B$24*12-F452</f>
        <v>#NUM!</v>
      </c>
      <c r="I452" s="48"/>
      <c r="J452" s="40">
        <f t="shared" si="61"/>
        <v>0</v>
      </c>
      <c r="K452" s="40" t="e">
        <f>-PMT(Assumptions!C$25/12,Assumptions!C$24*12,J$8)*C452/100</f>
        <v>#NUM!</v>
      </c>
      <c r="L452" s="40" t="e">
        <f>K452*Assumptions!$C$24*12-J452</f>
        <v>#NUM!</v>
      </c>
      <c r="M452" s="43"/>
      <c r="N452" s="40">
        <f t="shared" si="62"/>
        <v>1540</v>
      </c>
      <c r="O452" s="50">
        <f>-PMT(Assumptions!D$25/12,Assumptions!D$24*12,N$8)*C452/100</f>
        <v>16.334089346817585</v>
      </c>
      <c r="P452" s="44">
        <f>O452*Assumptions!$D$24*12-N452</f>
        <v>420.09072161811036</v>
      </c>
      <c r="Q452" s="48"/>
      <c r="R452" s="40">
        <f t="shared" si="63"/>
        <v>7700</v>
      </c>
      <c r="S452" s="40">
        <f>-PMT(Assumptions!E$25/12,Assumptions!E$24*12,$R$8)*$C452/100</f>
        <v>81.670446734087932</v>
      </c>
      <c r="T452" s="40">
        <f>S452*Assumptions!$E$24*12-R452</f>
        <v>2100.4536080905527</v>
      </c>
      <c r="U452" s="48"/>
      <c r="V452" s="40">
        <f t="shared" si="64"/>
        <v>0</v>
      </c>
      <c r="W452" s="40" t="e">
        <f>-PMT(Assumptions!F$25/12,Assumptions!F$24*12,$V$8)*$C452/100</f>
        <v>#NUM!</v>
      </c>
      <c r="X452" s="40" t="e">
        <f>W452*Assumptions!$F$24*12-V452</f>
        <v>#NUM!</v>
      </c>
      <c r="Y452" s="43"/>
      <c r="Z452" s="40">
        <f t="shared" si="65"/>
        <v>0</v>
      </c>
      <c r="AA452" s="50" t="e">
        <f>-PMT(Assumptions!G$25/12,Assumptions!G$24*12,$Z$8)*$C452/100</f>
        <v>#NUM!</v>
      </c>
      <c r="AB452" s="44" t="e">
        <f>AA452*Assumptions!$G$24*12-Z452</f>
        <v>#NUM!</v>
      </c>
      <c r="AD452" s="54">
        <f t="shared" si="66"/>
        <v>0</v>
      </c>
      <c r="AE452" s="54">
        <f t="shared" si="67"/>
        <v>0</v>
      </c>
      <c r="AF452" s="54">
        <f t="shared" si="68"/>
        <v>1540</v>
      </c>
      <c r="AG452" s="54">
        <f t="shared" si="69"/>
        <v>7700</v>
      </c>
      <c r="AH452" s="54">
        <f t="shared" si="70"/>
        <v>0</v>
      </c>
      <c r="AI452" s="54">
        <f t="shared" si="71"/>
        <v>0</v>
      </c>
    </row>
    <row r="453" spans="1:35" ht="15" x14ac:dyDescent="0.2">
      <c r="A453" s="56" t="s">
        <v>548</v>
      </c>
      <c r="B453" s="32"/>
      <c r="C453" s="56">
        <v>0.14499999999999999</v>
      </c>
      <c r="D453" s="56">
        <v>227.66</v>
      </c>
      <c r="E453" s="36"/>
      <c r="F453" s="40">
        <f t="shared" si="60"/>
        <v>0</v>
      </c>
      <c r="G453" s="40" t="e">
        <f>-PMT(Assumptions!B$25/12,Assumptions!B$24*12,F$8)*C453/100</f>
        <v>#NUM!</v>
      </c>
      <c r="H453" s="40" t="e">
        <f>G453*Assumptions!$B$24*12-F453</f>
        <v>#NUM!</v>
      </c>
      <c r="I453" s="48"/>
      <c r="J453" s="40">
        <f t="shared" si="61"/>
        <v>0</v>
      </c>
      <c r="K453" s="40" t="e">
        <f>-PMT(Assumptions!C$25/12,Assumptions!C$24*12,J$8)*C453/100</f>
        <v>#NUM!</v>
      </c>
      <c r="L453" s="40" t="e">
        <f>K453*Assumptions!$C$24*12-J453</f>
        <v>#NUM!</v>
      </c>
      <c r="M453" s="43"/>
      <c r="N453" s="40">
        <f t="shared" si="62"/>
        <v>1450</v>
      </c>
      <c r="O453" s="50">
        <f>-PMT(Assumptions!D$25/12,Assumptions!D$24*12,N$8)*C453/100</f>
        <v>15.379499709665906</v>
      </c>
      <c r="P453" s="44">
        <f>O453*Assumptions!$D$24*12-N453</f>
        <v>395.53996515990866</v>
      </c>
      <c r="Q453" s="48"/>
      <c r="R453" s="40">
        <f t="shared" si="63"/>
        <v>7250</v>
      </c>
      <c r="S453" s="40">
        <f>-PMT(Assumptions!E$25/12,Assumptions!E$24*12,$R$8)*$C453/100</f>
        <v>76.897498548329537</v>
      </c>
      <c r="T453" s="40">
        <f>S453*Assumptions!$E$24*12-R453</f>
        <v>1977.6998257995438</v>
      </c>
      <c r="U453" s="48"/>
      <c r="V453" s="40">
        <f t="shared" si="64"/>
        <v>0</v>
      </c>
      <c r="W453" s="40" t="e">
        <f>-PMT(Assumptions!F$25/12,Assumptions!F$24*12,$V$8)*$C453/100</f>
        <v>#NUM!</v>
      </c>
      <c r="X453" s="40" t="e">
        <f>W453*Assumptions!$F$24*12-V453</f>
        <v>#NUM!</v>
      </c>
      <c r="Y453" s="43"/>
      <c r="Z453" s="40">
        <f t="shared" si="65"/>
        <v>0</v>
      </c>
      <c r="AA453" s="50" t="e">
        <f>-PMT(Assumptions!G$25/12,Assumptions!G$24*12,$Z$8)*$C453/100</f>
        <v>#NUM!</v>
      </c>
      <c r="AB453" s="44" t="e">
        <f>AA453*Assumptions!$G$24*12-Z453</f>
        <v>#NUM!</v>
      </c>
      <c r="AD453" s="54">
        <f t="shared" si="66"/>
        <v>0</v>
      </c>
      <c r="AE453" s="54">
        <f t="shared" si="67"/>
        <v>0</v>
      </c>
      <c r="AF453" s="54">
        <f t="shared" si="68"/>
        <v>1450</v>
      </c>
      <c r="AG453" s="54">
        <f t="shared" si="69"/>
        <v>7250</v>
      </c>
      <c r="AH453" s="54">
        <f t="shared" si="70"/>
        <v>0</v>
      </c>
      <c r="AI453" s="54">
        <f t="shared" si="71"/>
        <v>0</v>
      </c>
    </row>
    <row r="454" spans="1:35" ht="15" x14ac:dyDescent="0.2">
      <c r="A454" s="56" t="s">
        <v>549</v>
      </c>
      <c r="B454" s="32"/>
      <c r="C454" s="56">
        <v>0.154</v>
      </c>
      <c r="D454" s="56">
        <v>241.8</v>
      </c>
      <c r="E454" s="36"/>
      <c r="F454" s="40">
        <f t="shared" si="60"/>
        <v>0</v>
      </c>
      <c r="G454" s="40" t="e">
        <f>-PMT(Assumptions!B$25/12,Assumptions!B$24*12,F$8)*C454/100</f>
        <v>#NUM!</v>
      </c>
      <c r="H454" s="40" t="e">
        <f>G454*Assumptions!$B$24*12-F454</f>
        <v>#NUM!</v>
      </c>
      <c r="I454" s="48"/>
      <c r="J454" s="40">
        <f t="shared" si="61"/>
        <v>0</v>
      </c>
      <c r="K454" s="40" t="e">
        <f>-PMT(Assumptions!C$25/12,Assumptions!C$24*12,J$8)*C454/100</f>
        <v>#NUM!</v>
      </c>
      <c r="L454" s="40" t="e">
        <f>K454*Assumptions!$C$24*12-J454</f>
        <v>#NUM!</v>
      </c>
      <c r="M454" s="43"/>
      <c r="N454" s="40">
        <f t="shared" si="62"/>
        <v>1540</v>
      </c>
      <c r="O454" s="50">
        <f>-PMT(Assumptions!D$25/12,Assumptions!D$24*12,N$8)*C454/100</f>
        <v>16.334089346817585</v>
      </c>
      <c r="P454" s="44">
        <f>O454*Assumptions!$D$24*12-N454</f>
        <v>420.09072161811036</v>
      </c>
      <c r="Q454" s="48"/>
      <c r="R454" s="40">
        <f t="shared" si="63"/>
        <v>7700</v>
      </c>
      <c r="S454" s="40">
        <f>-PMT(Assumptions!E$25/12,Assumptions!E$24*12,$R$8)*$C454/100</f>
        <v>81.670446734087932</v>
      </c>
      <c r="T454" s="40">
        <f>S454*Assumptions!$E$24*12-R454</f>
        <v>2100.4536080905527</v>
      </c>
      <c r="U454" s="48"/>
      <c r="V454" s="40">
        <f t="shared" si="64"/>
        <v>0</v>
      </c>
      <c r="W454" s="40" t="e">
        <f>-PMT(Assumptions!F$25/12,Assumptions!F$24*12,$V$8)*$C454/100</f>
        <v>#NUM!</v>
      </c>
      <c r="X454" s="40" t="e">
        <f>W454*Assumptions!$F$24*12-V454</f>
        <v>#NUM!</v>
      </c>
      <c r="Y454" s="43"/>
      <c r="Z454" s="40">
        <f t="shared" si="65"/>
        <v>0</v>
      </c>
      <c r="AA454" s="50" t="e">
        <f>-PMT(Assumptions!G$25/12,Assumptions!G$24*12,$Z$8)*$C454/100</f>
        <v>#NUM!</v>
      </c>
      <c r="AB454" s="44" t="e">
        <f>AA454*Assumptions!$G$24*12-Z454</f>
        <v>#NUM!</v>
      </c>
      <c r="AD454" s="54">
        <f t="shared" si="66"/>
        <v>0</v>
      </c>
      <c r="AE454" s="54">
        <f t="shared" si="67"/>
        <v>0</v>
      </c>
      <c r="AF454" s="54">
        <f t="shared" si="68"/>
        <v>1540</v>
      </c>
      <c r="AG454" s="54">
        <f t="shared" si="69"/>
        <v>7700</v>
      </c>
      <c r="AH454" s="54">
        <f t="shared" si="70"/>
        <v>0</v>
      </c>
      <c r="AI454" s="54">
        <f t="shared" si="71"/>
        <v>0</v>
      </c>
    </row>
    <row r="455" spans="1:35" ht="15" x14ac:dyDescent="0.2">
      <c r="A455" s="56" t="s">
        <v>550</v>
      </c>
      <c r="B455" s="32"/>
      <c r="C455" s="56">
        <v>0.215</v>
      </c>
      <c r="D455" s="56">
        <v>337.57</v>
      </c>
      <c r="E455" s="36"/>
      <c r="F455" s="40">
        <f t="shared" si="60"/>
        <v>0</v>
      </c>
      <c r="G455" s="40" t="e">
        <f>-PMT(Assumptions!B$25/12,Assumptions!B$24*12,F$8)*C455/100</f>
        <v>#NUM!</v>
      </c>
      <c r="H455" s="40" t="e">
        <f>G455*Assumptions!$B$24*12-F455</f>
        <v>#NUM!</v>
      </c>
      <c r="I455" s="48"/>
      <c r="J455" s="40">
        <f t="shared" si="61"/>
        <v>0</v>
      </c>
      <c r="K455" s="40" t="e">
        <f>-PMT(Assumptions!C$25/12,Assumptions!C$24*12,J$8)*C455/100</f>
        <v>#NUM!</v>
      </c>
      <c r="L455" s="40" t="e">
        <f>K455*Assumptions!$C$24*12-J455</f>
        <v>#NUM!</v>
      </c>
      <c r="M455" s="43"/>
      <c r="N455" s="40">
        <f t="shared" si="62"/>
        <v>2150</v>
      </c>
      <c r="O455" s="50">
        <f>-PMT(Assumptions!D$25/12,Assumptions!D$24*12,N$8)*C455/100</f>
        <v>22.804085776401177</v>
      </c>
      <c r="P455" s="44">
        <f>O455*Assumptions!$D$24*12-N455</f>
        <v>586.49029316814131</v>
      </c>
      <c r="Q455" s="48"/>
      <c r="R455" s="40">
        <f t="shared" si="63"/>
        <v>10750</v>
      </c>
      <c r="S455" s="40">
        <f>-PMT(Assumptions!E$25/12,Assumptions!E$24*12,$R$8)*$C455/100</f>
        <v>114.02042888200587</v>
      </c>
      <c r="T455" s="40">
        <f>S455*Assumptions!$E$24*12-R455</f>
        <v>2932.4514658407061</v>
      </c>
      <c r="U455" s="48"/>
      <c r="V455" s="40">
        <f t="shared" si="64"/>
        <v>0</v>
      </c>
      <c r="W455" s="40" t="e">
        <f>-PMT(Assumptions!F$25/12,Assumptions!F$24*12,$V$8)*$C455/100</f>
        <v>#NUM!</v>
      </c>
      <c r="X455" s="40" t="e">
        <f>W455*Assumptions!$F$24*12-V455</f>
        <v>#NUM!</v>
      </c>
      <c r="Y455" s="43"/>
      <c r="Z455" s="40">
        <f t="shared" si="65"/>
        <v>0</v>
      </c>
      <c r="AA455" s="50" t="e">
        <f>-PMT(Assumptions!G$25/12,Assumptions!G$24*12,$Z$8)*$C455/100</f>
        <v>#NUM!</v>
      </c>
      <c r="AB455" s="44" t="e">
        <f>AA455*Assumptions!$G$24*12-Z455</f>
        <v>#NUM!</v>
      </c>
      <c r="AD455" s="54">
        <f t="shared" si="66"/>
        <v>0</v>
      </c>
      <c r="AE455" s="54">
        <f t="shared" si="67"/>
        <v>0</v>
      </c>
      <c r="AF455" s="54">
        <f t="shared" si="68"/>
        <v>2150</v>
      </c>
      <c r="AG455" s="54">
        <f t="shared" si="69"/>
        <v>10750</v>
      </c>
      <c r="AH455" s="54">
        <f t="shared" si="70"/>
        <v>0</v>
      </c>
      <c r="AI455" s="54">
        <f t="shared" si="71"/>
        <v>0</v>
      </c>
    </row>
    <row r="456" spans="1:35" ht="15" x14ac:dyDescent="0.2">
      <c r="A456" s="56" t="s">
        <v>551</v>
      </c>
      <c r="B456" s="32"/>
      <c r="C456" s="56">
        <v>0.223</v>
      </c>
      <c r="D456" s="56">
        <v>350.13</v>
      </c>
      <c r="E456" s="36"/>
      <c r="F456" s="40">
        <f t="shared" si="60"/>
        <v>0</v>
      </c>
      <c r="G456" s="40" t="e">
        <f>-PMT(Assumptions!B$25/12,Assumptions!B$24*12,F$8)*C456/100</f>
        <v>#NUM!</v>
      </c>
      <c r="H456" s="40" t="e">
        <f>G456*Assumptions!$B$24*12-F456</f>
        <v>#NUM!</v>
      </c>
      <c r="I456" s="48"/>
      <c r="J456" s="40">
        <f t="shared" si="61"/>
        <v>0</v>
      </c>
      <c r="K456" s="40" t="e">
        <f>-PMT(Assumptions!C$25/12,Assumptions!C$24*12,J$8)*C456/100</f>
        <v>#NUM!</v>
      </c>
      <c r="L456" s="40" t="e">
        <f>K456*Assumptions!$C$24*12-J456</f>
        <v>#NUM!</v>
      </c>
      <c r="M456" s="43"/>
      <c r="N456" s="40">
        <f t="shared" si="62"/>
        <v>2230</v>
      </c>
      <c r="O456" s="50">
        <f>-PMT(Assumptions!D$25/12,Assumptions!D$24*12,N$8)*C456/100</f>
        <v>23.652609898313777</v>
      </c>
      <c r="P456" s="44">
        <f>O456*Assumptions!$D$24*12-N456</f>
        <v>608.31318779765343</v>
      </c>
      <c r="Q456" s="48"/>
      <c r="R456" s="40">
        <f t="shared" si="63"/>
        <v>11150</v>
      </c>
      <c r="S456" s="40">
        <f>-PMT(Assumptions!E$25/12,Assumptions!E$24*12,$R$8)*$C456/100</f>
        <v>118.26304949156889</v>
      </c>
      <c r="T456" s="40">
        <f>S456*Assumptions!$E$24*12-R456</f>
        <v>3041.5659389882658</v>
      </c>
      <c r="U456" s="48"/>
      <c r="V456" s="40">
        <f t="shared" si="64"/>
        <v>0</v>
      </c>
      <c r="W456" s="40" t="e">
        <f>-PMT(Assumptions!F$25/12,Assumptions!F$24*12,$V$8)*$C456/100</f>
        <v>#NUM!</v>
      </c>
      <c r="X456" s="40" t="e">
        <f>W456*Assumptions!$F$24*12-V456</f>
        <v>#NUM!</v>
      </c>
      <c r="Y456" s="43"/>
      <c r="Z456" s="40">
        <f t="shared" si="65"/>
        <v>0</v>
      </c>
      <c r="AA456" s="50" t="e">
        <f>-PMT(Assumptions!G$25/12,Assumptions!G$24*12,$Z$8)*$C456/100</f>
        <v>#NUM!</v>
      </c>
      <c r="AB456" s="44" t="e">
        <f>AA456*Assumptions!$G$24*12-Z456</f>
        <v>#NUM!</v>
      </c>
      <c r="AD456" s="54">
        <f t="shared" si="66"/>
        <v>0</v>
      </c>
      <c r="AE456" s="54">
        <f t="shared" si="67"/>
        <v>0</v>
      </c>
      <c r="AF456" s="54">
        <f t="shared" si="68"/>
        <v>2230</v>
      </c>
      <c r="AG456" s="54">
        <f t="shared" si="69"/>
        <v>11150</v>
      </c>
      <c r="AH456" s="54">
        <f t="shared" si="70"/>
        <v>0</v>
      </c>
      <c r="AI456" s="54">
        <f t="shared" si="71"/>
        <v>0</v>
      </c>
    </row>
    <row r="457" spans="1:35" ht="15" x14ac:dyDescent="0.2">
      <c r="A457" s="56" t="s">
        <v>552</v>
      </c>
      <c r="B457" s="32"/>
      <c r="C457" s="56">
        <v>0.2</v>
      </c>
      <c r="D457" s="56">
        <v>314.02</v>
      </c>
      <c r="E457" s="36"/>
      <c r="F457" s="40">
        <f t="shared" si="60"/>
        <v>0</v>
      </c>
      <c r="G457" s="40" t="e">
        <f>-PMT(Assumptions!B$25/12,Assumptions!B$24*12,F$8)*C457/100</f>
        <v>#NUM!</v>
      </c>
      <c r="H457" s="40" t="e">
        <f>G457*Assumptions!$B$24*12-F457</f>
        <v>#NUM!</v>
      </c>
      <c r="I457" s="48"/>
      <c r="J457" s="40">
        <f t="shared" si="61"/>
        <v>0</v>
      </c>
      <c r="K457" s="40" t="e">
        <f>-PMT(Assumptions!C$25/12,Assumptions!C$24*12,J$8)*C457/100</f>
        <v>#NUM!</v>
      </c>
      <c r="L457" s="40" t="e">
        <f>K457*Assumptions!$C$24*12-J457</f>
        <v>#NUM!</v>
      </c>
      <c r="M457" s="43"/>
      <c r="N457" s="40">
        <f t="shared" si="62"/>
        <v>2000</v>
      </c>
      <c r="O457" s="50">
        <f>-PMT(Assumptions!D$25/12,Assumptions!D$24*12,N$8)*C457/100</f>
        <v>21.213103047815046</v>
      </c>
      <c r="P457" s="44">
        <f>O457*Assumptions!$D$24*12-N457</f>
        <v>545.57236573780574</v>
      </c>
      <c r="Q457" s="48"/>
      <c r="R457" s="40">
        <f t="shared" si="63"/>
        <v>10000</v>
      </c>
      <c r="S457" s="40">
        <f>-PMT(Assumptions!E$25/12,Assumptions!E$24*12,$R$8)*$C457/100</f>
        <v>106.06551523907525</v>
      </c>
      <c r="T457" s="40">
        <f>S457*Assumptions!$E$24*12-R457</f>
        <v>2727.8618286890305</v>
      </c>
      <c r="U457" s="48"/>
      <c r="V457" s="40">
        <f t="shared" si="64"/>
        <v>0</v>
      </c>
      <c r="W457" s="40" t="e">
        <f>-PMT(Assumptions!F$25/12,Assumptions!F$24*12,$V$8)*$C457/100</f>
        <v>#NUM!</v>
      </c>
      <c r="X457" s="40" t="e">
        <f>W457*Assumptions!$F$24*12-V457</f>
        <v>#NUM!</v>
      </c>
      <c r="Y457" s="43"/>
      <c r="Z457" s="40">
        <f t="shared" si="65"/>
        <v>0</v>
      </c>
      <c r="AA457" s="50" t="e">
        <f>-PMT(Assumptions!G$25/12,Assumptions!G$24*12,$Z$8)*$C457/100</f>
        <v>#NUM!</v>
      </c>
      <c r="AB457" s="44" t="e">
        <f>AA457*Assumptions!$G$24*12-Z457</f>
        <v>#NUM!</v>
      </c>
      <c r="AD457" s="54">
        <f t="shared" si="66"/>
        <v>0</v>
      </c>
      <c r="AE457" s="54">
        <f t="shared" si="67"/>
        <v>0</v>
      </c>
      <c r="AF457" s="54">
        <f t="shared" si="68"/>
        <v>2000</v>
      </c>
      <c r="AG457" s="54">
        <f t="shared" si="69"/>
        <v>10000</v>
      </c>
      <c r="AH457" s="54">
        <f t="shared" si="70"/>
        <v>0</v>
      </c>
      <c r="AI457" s="54">
        <f t="shared" si="71"/>
        <v>0</v>
      </c>
    </row>
    <row r="458" spans="1:35" ht="15" x14ac:dyDescent="0.2">
      <c r="A458" s="56" t="s">
        <v>553</v>
      </c>
      <c r="B458" s="32"/>
      <c r="C458" s="56">
        <v>0.2</v>
      </c>
      <c r="D458" s="56">
        <v>314.02</v>
      </c>
      <c r="E458" s="36"/>
      <c r="F458" s="40">
        <f t="shared" si="60"/>
        <v>0</v>
      </c>
      <c r="G458" s="40" t="e">
        <f>-PMT(Assumptions!B$25/12,Assumptions!B$24*12,F$8)*C458/100</f>
        <v>#NUM!</v>
      </c>
      <c r="H458" s="40" t="e">
        <f>G458*Assumptions!$B$24*12-F458</f>
        <v>#NUM!</v>
      </c>
      <c r="I458" s="48"/>
      <c r="J458" s="40">
        <f t="shared" si="61"/>
        <v>0</v>
      </c>
      <c r="K458" s="40" t="e">
        <f>-PMT(Assumptions!C$25/12,Assumptions!C$24*12,J$8)*C458/100</f>
        <v>#NUM!</v>
      </c>
      <c r="L458" s="40" t="e">
        <f>K458*Assumptions!$C$24*12-J458</f>
        <v>#NUM!</v>
      </c>
      <c r="M458" s="43"/>
      <c r="N458" s="40">
        <f t="shared" si="62"/>
        <v>2000</v>
      </c>
      <c r="O458" s="50">
        <f>-PMT(Assumptions!D$25/12,Assumptions!D$24*12,N$8)*C458/100</f>
        <v>21.213103047815046</v>
      </c>
      <c r="P458" s="44">
        <f>O458*Assumptions!$D$24*12-N458</f>
        <v>545.57236573780574</v>
      </c>
      <c r="Q458" s="48"/>
      <c r="R458" s="40">
        <f t="shared" si="63"/>
        <v>10000</v>
      </c>
      <c r="S458" s="40">
        <f>-PMT(Assumptions!E$25/12,Assumptions!E$24*12,$R$8)*$C458/100</f>
        <v>106.06551523907525</v>
      </c>
      <c r="T458" s="40">
        <f>S458*Assumptions!$E$24*12-R458</f>
        <v>2727.8618286890305</v>
      </c>
      <c r="U458" s="48"/>
      <c r="V458" s="40">
        <f t="shared" si="64"/>
        <v>0</v>
      </c>
      <c r="W458" s="40" t="e">
        <f>-PMT(Assumptions!F$25/12,Assumptions!F$24*12,$V$8)*$C458/100</f>
        <v>#NUM!</v>
      </c>
      <c r="X458" s="40" t="e">
        <f>W458*Assumptions!$F$24*12-V458</f>
        <v>#NUM!</v>
      </c>
      <c r="Y458" s="43"/>
      <c r="Z458" s="40">
        <f t="shared" si="65"/>
        <v>0</v>
      </c>
      <c r="AA458" s="50" t="e">
        <f>-PMT(Assumptions!G$25/12,Assumptions!G$24*12,$Z$8)*$C458/100</f>
        <v>#NUM!</v>
      </c>
      <c r="AB458" s="44" t="e">
        <f>AA458*Assumptions!$G$24*12-Z458</f>
        <v>#NUM!</v>
      </c>
      <c r="AD458" s="54">
        <f t="shared" si="66"/>
        <v>0</v>
      </c>
      <c r="AE458" s="54">
        <f t="shared" si="67"/>
        <v>0</v>
      </c>
      <c r="AF458" s="54">
        <f t="shared" si="68"/>
        <v>2000</v>
      </c>
      <c r="AG458" s="54">
        <f t="shared" si="69"/>
        <v>10000</v>
      </c>
      <c r="AH458" s="54">
        <f t="shared" si="70"/>
        <v>0</v>
      </c>
      <c r="AI458" s="54">
        <f t="shared" si="71"/>
        <v>0</v>
      </c>
    </row>
    <row r="459" spans="1:35" ht="15" x14ac:dyDescent="0.2">
      <c r="A459" s="56" t="s">
        <v>554</v>
      </c>
      <c r="B459" s="32"/>
      <c r="C459" s="56">
        <v>0.14499999999999999</v>
      </c>
      <c r="D459" s="56">
        <v>227.66</v>
      </c>
      <c r="E459" s="36"/>
      <c r="F459" s="40">
        <f t="shared" si="60"/>
        <v>0</v>
      </c>
      <c r="G459" s="40" t="e">
        <f>-PMT(Assumptions!B$25/12,Assumptions!B$24*12,F$8)*C459/100</f>
        <v>#NUM!</v>
      </c>
      <c r="H459" s="40" t="e">
        <f>G459*Assumptions!$B$24*12-F459</f>
        <v>#NUM!</v>
      </c>
      <c r="I459" s="48"/>
      <c r="J459" s="40">
        <f t="shared" si="61"/>
        <v>0</v>
      </c>
      <c r="K459" s="40" t="e">
        <f>-PMT(Assumptions!C$25/12,Assumptions!C$24*12,J$8)*C459/100</f>
        <v>#NUM!</v>
      </c>
      <c r="L459" s="40" t="e">
        <f>K459*Assumptions!$C$24*12-J459</f>
        <v>#NUM!</v>
      </c>
      <c r="M459" s="43"/>
      <c r="N459" s="40">
        <f t="shared" si="62"/>
        <v>1450</v>
      </c>
      <c r="O459" s="50">
        <f>-PMT(Assumptions!D$25/12,Assumptions!D$24*12,N$8)*C459/100</f>
        <v>15.379499709665906</v>
      </c>
      <c r="P459" s="44">
        <f>O459*Assumptions!$D$24*12-N459</f>
        <v>395.53996515990866</v>
      </c>
      <c r="Q459" s="48"/>
      <c r="R459" s="40">
        <f t="shared" si="63"/>
        <v>7250</v>
      </c>
      <c r="S459" s="40">
        <f>-PMT(Assumptions!E$25/12,Assumptions!E$24*12,$R$8)*$C459/100</f>
        <v>76.897498548329537</v>
      </c>
      <c r="T459" s="40">
        <f>S459*Assumptions!$E$24*12-R459</f>
        <v>1977.6998257995438</v>
      </c>
      <c r="U459" s="48"/>
      <c r="V459" s="40">
        <f t="shared" si="64"/>
        <v>0</v>
      </c>
      <c r="W459" s="40" t="e">
        <f>-PMT(Assumptions!F$25/12,Assumptions!F$24*12,$V$8)*$C459/100</f>
        <v>#NUM!</v>
      </c>
      <c r="X459" s="40" t="e">
        <f>W459*Assumptions!$F$24*12-V459</f>
        <v>#NUM!</v>
      </c>
      <c r="Y459" s="43"/>
      <c r="Z459" s="40">
        <f t="shared" si="65"/>
        <v>0</v>
      </c>
      <c r="AA459" s="50" t="e">
        <f>-PMT(Assumptions!G$25/12,Assumptions!G$24*12,$Z$8)*$C459/100</f>
        <v>#NUM!</v>
      </c>
      <c r="AB459" s="44" t="e">
        <f>AA459*Assumptions!$G$24*12-Z459</f>
        <v>#NUM!</v>
      </c>
      <c r="AD459" s="54">
        <f t="shared" si="66"/>
        <v>0</v>
      </c>
      <c r="AE459" s="54">
        <f t="shared" si="67"/>
        <v>0</v>
      </c>
      <c r="AF459" s="54">
        <f t="shared" si="68"/>
        <v>1450</v>
      </c>
      <c r="AG459" s="54">
        <f t="shared" si="69"/>
        <v>7250</v>
      </c>
      <c r="AH459" s="54">
        <f t="shared" si="70"/>
        <v>0</v>
      </c>
      <c r="AI459" s="54">
        <f t="shared" si="71"/>
        <v>0</v>
      </c>
    </row>
    <row r="460" spans="1:35" ht="15" x14ac:dyDescent="0.2">
      <c r="A460" s="56" t="s">
        <v>555</v>
      </c>
      <c r="B460" s="32"/>
      <c r="C460" s="56">
        <v>0.154</v>
      </c>
      <c r="D460" s="56">
        <v>241.8</v>
      </c>
      <c r="E460" s="36"/>
      <c r="F460" s="40">
        <f t="shared" si="60"/>
        <v>0</v>
      </c>
      <c r="G460" s="40" t="e">
        <f>-PMT(Assumptions!B$25/12,Assumptions!B$24*12,F$8)*C460/100</f>
        <v>#NUM!</v>
      </c>
      <c r="H460" s="40" t="e">
        <f>G460*Assumptions!$B$24*12-F460</f>
        <v>#NUM!</v>
      </c>
      <c r="I460" s="48"/>
      <c r="J460" s="40">
        <f t="shared" si="61"/>
        <v>0</v>
      </c>
      <c r="K460" s="40" t="e">
        <f>-PMT(Assumptions!C$25/12,Assumptions!C$24*12,J$8)*C460/100</f>
        <v>#NUM!</v>
      </c>
      <c r="L460" s="40" t="e">
        <f>K460*Assumptions!$C$24*12-J460</f>
        <v>#NUM!</v>
      </c>
      <c r="M460" s="43"/>
      <c r="N460" s="40">
        <f t="shared" si="62"/>
        <v>1540</v>
      </c>
      <c r="O460" s="50">
        <f>-PMT(Assumptions!D$25/12,Assumptions!D$24*12,N$8)*C460/100</f>
        <v>16.334089346817585</v>
      </c>
      <c r="P460" s="44">
        <f>O460*Assumptions!$D$24*12-N460</f>
        <v>420.09072161811036</v>
      </c>
      <c r="Q460" s="48"/>
      <c r="R460" s="40">
        <f t="shared" si="63"/>
        <v>7700</v>
      </c>
      <c r="S460" s="40">
        <f>-PMT(Assumptions!E$25/12,Assumptions!E$24*12,$R$8)*$C460/100</f>
        <v>81.670446734087932</v>
      </c>
      <c r="T460" s="40">
        <f>S460*Assumptions!$E$24*12-R460</f>
        <v>2100.4536080905527</v>
      </c>
      <c r="U460" s="48"/>
      <c r="V460" s="40">
        <f t="shared" si="64"/>
        <v>0</v>
      </c>
      <c r="W460" s="40" t="e">
        <f>-PMT(Assumptions!F$25/12,Assumptions!F$24*12,$V$8)*$C460/100</f>
        <v>#NUM!</v>
      </c>
      <c r="X460" s="40" t="e">
        <f>W460*Assumptions!$F$24*12-V460</f>
        <v>#NUM!</v>
      </c>
      <c r="Y460" s="43"/>
      <c r="Z460" s="40">
        <f t="shared" si="65"/>
        <v>0</v>
      </c>
      <c r="AA460" s="50" t="e">
        <f>-PMT(Assumptions!G$25/12,Assumptions!G$24*12,$Z$8)*$C460/100</f>
        <v>#NUM!</v>
      </c>
      <c r="AB460" s="44" t="e">
        <f>AA460*Assumptions!$G$24*12-Z460</f>
        <v>#NUM!</v>
      </c>
      <c r="AD460" s="54">
        <f t="shared" si="66"/>
        <v>0</v>
      </c>
      <c r="AE460" s="54">
        <f t="shared" si="67"/>
        <v>0</v>
      </c>
      <c r="AF460" s="54">
        <f t="shared" si="68"/>
        <v>1540</v>
      </c>
      <c r="AG460" s="54">
        <f t="shared" si="69"/>
        <v>7700</v>
      </c>
      <c r="AH460" s="54">
        <f t="shared" si="70"/>
        <v>0</v>
      </c>
      <c r="AI460" s="54">
        <f t="shared" si="71"/>
        <v>0</v>
      </c>
    </row>
    <row r="461" spans="1:35" ht="15" x14ac:dyDescent="0.2">
      <c r="A461" s="56" t="s">
        <v>556</v>
      </c>
      <c r="B461" s="32"/>
      <c r="C461" s="56">
        <v>0.14499999999999999</v>
      </c>
      <c r="D461" s="56">
        <v>227.66</v>
      </c>
      <c r="E461" s="36"/>
      <c r="F461" s="40">
        <f t="shared" si="60"/>
        <v>0</v>
      </c>
      <c r="G461" s="40" t="e">
        <f>-PMT(Assumptions!B$25/12,Assumptions!B$24*12,F$8)*C461/100</f>
        <v>#NUM!</v>
      </c>
      <c r="H461" s="40" t="e">
        <f>G461*Assumptions!$B$24*12-F461</f>
        <v>#NUM!</v>
      </c>
      <c r="I461" s="48"/>
      <c r="J461" s="40">
        <f t="shared" si="61"/>
        <v>0</v>
      </c>
      <c r="K461" s="40" t="e">
        <f>-PMT(Assumptions!C$25/12,Assumptions!C$24*12,J$8)*C461/100</f>
        <v>#NUM!</v>
      </c>
      <c r="L461" s="40" t="e">
        <f>K461*Assumptions!$C$24*12-J461</f>
        <v>#NUM!</v>
      </c>
      <c r="M461" s="43"/>
      <c r="N461" s="40">
        <f t="shared" si="62"/>
        <v>1450</v>
      </c>
      <c r="O461" s="50">
        <f>-PMT(Assumptions!D$25/12,Assumptions!D$24*12,N$8)*C461/100</f>
        <v>15.379499709665906</v>
      </c>
      <c r="P461" s="44">
        <f>O461*Assumptions!$D$24*12-N461</f>
        <v>395.53996515990866</v>
      </c>
      <c r="Q461" s="48"/>
      <c r="R461" s="40">
        <f t="shared" si="63"/>
        <v>7250</v>
      </c>
      <c r="S461" s="40">
        <f>-PMT(Assumptions!E$25/12,Assumptions!E$24*12,$R$8)*$C461/100</f>
        <v>76.897498548329537</v>
      </c>
      <c r="T461" s="40">
        <f>S461*Assumptions!$E$24*12-R461</f>
        <v>1977.6998257995438</v>
      </c>
      <c r="U461" s="48"/>
      <c r="V461" s="40">
        <f t="shared" si="64"/>
        <v>0</v>
      </c>
      <c r="W461" s="40" t="e">
        <f>-PMT(Assumptions!F$25/12,Assumptions!F$24*12,$V$8)*$C461/100</f>
        <v>#NUM!</v>
      </c>
      <c r="X461" s="40" t="e">
        <f>W461*Assumptions!$F$24*12-V461</f>
        <v>#NUM!</v>
      </c>
      <c r="Y461" s="43"/>
      <c r="Z461" s="40">
        <f t="shared" si="65"/>
        <v>0</v>
      </c>
      <c r="AA461" s="50" t="e">
        <f>-PMT(Assumptions!G$25/12,Assumptions!G$24*12,$Z$8)*$C461/100</f>
        <v>#NUM!</v>
      </c>
      <c r="AB461" s="44" t="e">
        <f>AA461*Assumptions!$G$24*12-Z461</f>
        <v>#NUM!</v>
      </c>
      <c r="AD461" s="54">
        <f t="shared" si="66"/>
        <v>0</v>
      </c>
      <c r="AE461" s="54">
        <f t="shared" si="67"/>
        <v>0</v>
      </c>
      <c r="AF461" s="54">
        <f t="shared" si="68"/>
        <v>1450</v>
      </c>
      <c r="AG461" s="54">
        <f t="shared" si="69"/>
        <v>7250</v>
      </c>
      <c r="AH461" s="54">
        <f t="shared" si="70"/>
        <v>0</v>
      </c>
      <c r="AI461" s="54">
        <f t="shared" si="71"/>
        <v>0</v>
      </c>
    </row>
    <row r="462" spans="1:35" ht="15" x14ac:dyDescent="0.2">
      <c r="A462" s="56" t="s">
        <v>557</v>
      </c>
      <c r="B462" s="32"/>
      <c r="C462" s="56">
        <v>0.154</v>
      </c>
      <c r="D462" s="56">
        <v>241.8</v>
      </c>
      <c r="E462" s="36"/>
      <c r="F462" s="40">
        <f t="shared" si="60"/>
        <v>0</v>
      </c>
      <c r="G462" s="40" t="e">
        <f>-PMT(Assumptions!B$25/12,Assumptions!B$24*12,F$8)*C462/100</f>
        <v>#NUM!</v>
      </c>
      <c r="H462" s="40" t="e">
        <f>G462*Assumptions!$B$24*12-F462</f>
        <v>#NUM!</v>
      </c>
      <c r="I462" s="48"/>
      <c r="J462" s="40">
        <f t="shared" si="61"/>
        <v>0</v>
      </c>
      <c r="K462" s="40" t="e">
        <f>-PMT(Assumptions!C$25/12,Assumptions!C$24*12,J$8)*C462/100</f>
        <v>#NUM!</v>
      </c>
      <c r="L462" s="40" t="e">
        <f>K462*Assumptions!$C$24*12-J462</f>
        <v>#NUM!</v>
      </c>
      <c r="M462" s="43"/>
      <c r="N462" s="40">
        <f t="shared" si="62"/>
        <v>1540</v>
      </c>
      <c r="O462" s="50">
        <f>-PMT(Assumptions!D$25/12,Assumptions!D$24*12,N$8)*C462/100</f>
        <v>16.334089346817585</v>
      </c>
      <c r="P462" s="44">
        <f>O462*Assumptions!$D$24*12-N462</f>
        <v>420.09072161811036</v>
      </c>
      <c r="Q462" s="48"/>
      <c r="R462" s="40">
        <f t="shared" si="63"/>
        <v>7700</v>
      </c>
      <c r="S462" s="40">
        <f>-PMT(Assumptions!E$25/12,Assumptions!E$24*12,$R$8)*$C462/100</f>
        <v>81.670446734087932</v>
      </c>
      <c r="T462" s="40">
        <f>S462*Assumptions!$E$24*12-R462</f>
        <v>2100.4536080905527</v>
      </c>
      <c r="U462" s="48"/>
      <c r="V462" s="40">
        <f t="shared" si="64"/>
        <v>0</v>
      </c>
      <c r="W462" s="40" t="e">
        <f>-PMT(Assumptions!F$25/12,Assumptions!F$24*12,$V$8)*$C462/100</f>
        <v>#NUM!</v>
      </c>
      <c r="X462" s="40" t="e">
        <f>W462*Assumptions!$F$24*12-V462</f>
        <v>#NUM!</v>
      </c>
      <c r="Y462" s="43"/>
      <c r="Z462" s="40">
        <f t="shared" si="65"/>
        <v>0</v>
      </c>
      <c r="AA462" s="50" t="e">
        <f>-PMT(Assumptions!G$25/12,Assumptions!G$24*12,$Z$8)*$C462/100</f>
        <v>#NUM!</v>
      </c>
      <c r="AB462" s="44" t="e">
        <f>AA462*Assumptions!$G$24*12-Z462</f>
        <v>#NUM!</v>
      </c>
      <c r="AD462" s="54">
        <f t="shared" si="66"/>
        <v>0</v>
      </c>
      <c r="AE462" s="54">
        <f t="shared" si="67"/>
        <v>0</v>
      </c>
      <c r="AF462" s="54">
        <f t="shared" si="68"/>
        <v>1540</v>
      </c>
      <c r="AG462" s="54">
        <f t="shared" si="69"/>
        <v>7700</v>
      </c>
      <c r="AH462" s="54">
        <f t="shared" si="70"/>
        <v>0</v>
      </c>
      <c r="AI462" s="54">
        <f t="shared" si="71"/>
        <v>0</v>
      </c>
    </row>
    <row r="463" spans="1:35" ht="15" x14ac:dyDescent="0.2">
      <c r="A463" s="56" t="s">
        <v>558</v>
      </c>
      <c r="B463" s="32"/>
      <c r="C463" s="56">
        <v>0.215</v>
      </c>
      <c r="D463" s="56">
        <v>337.57</v>
      </c>
      <c r="E463" s="36"/>
      <c r="F463" s="40">
        <f t="shared" ref="F463:F514" si="72">$F$8*$C463/100</f>
        <v>0</v>
      </c>
      <c r="G463" s="40" t="e">
        <f>-PMT(Assumptions!B$25/12,Assumptions!B$24*12,F$8)*C463/100</f>
        <v>#NUM!</v>
      </c>
      <c r="H463" s="40" t="e">
        <f>G463*Assumptions!$B$24*12-F463</f>
        <v>#NUM!</v>
      </c>
      <c r="I463" s="48"/>
      <c r="J463" s="40">
        <f t="shared" ref="J463:J514" si="73">$J$8*$C463/100</f>
        <v>0</v>
      </c>
      <c r="K463" s="40" t="e">
        <f>-PMT(Assumptions!C$25/12,Assumptions!C$24*12,J$8)*C463/100</f>
        <v>#NUM!</v>
      </c>
      <c r="L463" s="40" t="e">
        <f>K463*Assumptions!$C$24*12-J463</f>
        <v>#NUM!</v>
      </c>
      <c r="M463" s="43"/>
      <c r="N463" s="40">
        <f t="shared" ref="N463:N514" si="74">$N$8*$C463/100</f>
        <v>2150</v>
      </c>
      <c r="O463" s="50">
        <f>-PMT(Assumptions!D$25/12,Assumptions!D$24*12,N$8)*C463/100</f>
        <v>22.804085776401177</v>
      </c>
      <c r="P463" s="44">
        <f>O463*Assumptions!$D$24*12-N463</f>
        <v>586.49029316814131</v>
      </c>
      <c r="Q463" s="48"/>
      <c r="R463" s="40">
        <f t="shared" ref="R463:R514" si="75">$R$8*$C463/100</f>
        <v>10750</v>
      </c>
      <c r="S463" s="40">
        <f>-PMT(Assumptions!E$25/12,Assumptions!E$24*12,$R$8)*$C463/100</f>
        <v>114.02042888200587</v>
      </c>
      <c r="T463" s="40">
        <f>S463*Assumptions!$E$24*12-R463</f>
        <v>2932.4514658407061</v>
      </c>
      <c r="U463" s="48"/>
      <c r="V463" s="40">
        <f t="shared" ref="V463:V514" si="76">$V$8*$C463/100</f>
        <v>0</v>
      </c>
      <c r="W463" s="40" t="e">
        <f>-PMT(Assumptions!F$25/12,Assumptions!F$24*12,$V$8)*$C463/100</f>
        <v>#NUM!</v>
      </c>
      <c r="X463" s="40" t="e">
        <f>W463*Assumptions!$F$24*12-V463</f>
        <v>#NUM!</v>
      </c>
      <c r="Y463" s="43"/>
      <c r="Z463" s="40">
        <f t="shared" ref="Z463:Z514" si="77">$Z$8*$C463/100</f>
        <v>0</v>
      </c>
      <c r="AA463" s="50" t="e">
        <f>-PMT(Assumptions!G$25/12,Assumptions!G$24*12,$Z$8)*$C463/100</f>
        <v>#NUM!</v>
      </c>
      <c r="AB463" s="44" t="e">
        <f>AA463*Assumptions!$G$24*12-Z463</f>
        <v>#NUM!</v>
      </c>
      <c r="AD463" s="54">
        <f t="shared" si="66"/>
        <v>0</v>
      </c>
      <c r="AE463" s="54">
        <f t="shared" si="67"/>
        <v>0</v>
      </c>
      <c r="AF463" s="54">
        <f t="shared" si="68"/>
        <v>2150</v>
      </c>
      <c r="AG463" s="54">
        <f t="shared" si="69"/>
        <v>10750</v>
      </c>
      <c r="AH463" s="54">
        <f t="shared" si="70"/>
        <v>0</v>
      </c>
      <c r="AI463" s="54">
        <f t="shared" si="71"/>
        <v>0</v>
      </c>
    </row>
    <row r="464" spans="1:35" ht="15" x14ac:dyDescent="0.2">
      <c r="A464" s="56" t="s">
        <v>559</v>
      </c>
      <c r="B464" s="32"/>
      <c r="C464" s="56">
        <v>0.223</v>
      </c>
      <c r="D464" s="56">
        <v>350.13</v>
      </c>
      <c r="E464" s="36"/>
      <c r="F464" s="40">
        <f t="shared" si="72"/>
        <v>0</v>
      </c>
      <c r="G464" s="40" t="e">
        <f>-PMT(Assumptions!B$25/12,Assumptions!B$24*12,F$8)*C464/100</f>
        <v>#NUM!</v>
      </c>
      <c r="H464" s="40" t="e">
        <f>G464*Assumptions!$B$24*12-F464</f>
        <v>#NUM!</v>
      </c>
      <c r="I464" s="48"/>
      <c r="J464" s="40">
        <f t="shared" si="73"/>
        <v>0</v>
      </c>
      <c r="K464" s="40" t="e">
        <f>-PMT(Assumptions!C$25/12,Assumptions!C$24*12,J$8)*C464/100</f>
        <v>#NUM!</v>
      </c>
      <c r="L464" s="40" t="e">
        <f>K464*Assumptions!$C$24*12-J464</f>
        <v>#NUM!</v>
      </c>
      <c r="M464" s="43"/>
      <c r="N464" s="40">
        <f t="shared" si="74"/>
        <v>2230</v>
      </c>
      <c r="O464" s="50">
        <f>-PMT(Assumptions!D$25/12,Assumptions!D$24*12,N$8)*C464/100</f>
        <v>23.652609898313777</v>
      </c>
      <c r="P464" s="44">
        <f>O464*Assumptions!$D$24*12-N464</f>
        <v>608.31318779765343</v>
      </c>
      <c r="Q464" s="48"/>
      <c r="R464" s="40">
        <f t="shared" si="75"/>
        <v>11150</v>
      </c>
      <c r="S464" s="40">
        <f>-PMT(Assumptions!E$25/12,Assumptions!E$24*12,$R$8)*$C464/100</f>
        <v>118.26304949156889</v>
      </c>
      <c r="T464" s="40">
        <f>S464*Assumptions!$E$24*12-R464</f>
        <v>3041.5659389882658</v>
      </c>
      <c r="U464" s="48"/>
      <c r="V464" s="40">
        <f t="shared" si="76"/>
        <v>0</v>
      </c>
      <c r="W464" s="40" t="e">
        <f>-PMT(Assumptions!F$25/12,Assumptions!F$24*12,$V$8)*$C464/100</f>
        <v>#NUM!</v>
      </c>
      <c r="X464" s="40" t="e">
        <f>W464*Assumptions!$F$24*12-V464</f>
        <v>#NUM!</v>
      </c>
      <c r="Y464" s="43"/>
      <c r="Z464" s="40">
        <f t="shared" si="77"/>
        <v>0</v>
      </c>
      <c r="AA464" s="50" t="e">
        <f>-PMT(Assumptions!G$25/12,Assumptions!G$24*12,$Z$8)*$C464/100</f>
        <v>#NUM!</v>
      </c>
      <c r="AB464" s="44" t="e">
        <f>AA464*Assumptions!$G$24*12-Z464</f>
        <v>#NUM!</v>
      </c>
      <c r="AD464" s="54">
        <f t="shared" si="66"/>
        <v>0</v>
      </c>
      <c r="AE464" s="54">
        <f t="shared" si="67"/>
        <v>0</v>
      </c>
      <c r="AF464" s="54">
        <f t="shared" si="68"/>
        <v>2230</v>
      </c>
      <c r="AG464" s="54">
        <f t="shared" si="69"/>
        <v>11150</v>
      </c>
      <c r="AH464" s="54">
        <f t="shared" si="70"/>
        <v>0</v>
      </c>
      <c r="AI464" s="54">
        <f t="shared" si="71"/>
        <v>0</v>
      </c>
    </row>
    <row r="465" spans="1:35" ht="15" x14ac:dyDescent="0.2">
      <c r="A465" s="56" t="s">
        <v>560</v>
      </c>
      <c r="B465" s="32"/>
      <c r="C465" s="56">
        <v>0.20399999999999999</v>
      </c>
      <c r="D465" s="56">
        <v>320.3</v>
      </c>
      <c r="E465" s="36"/>
      <c r="F465" s="40">
        <f t="shared" si="72"/>
        <v>0</v>
      </c>
      <c r="G465" s="40" t="e">
        <f>-PMT(Assumptions!B$25/12,Assumptions!B$24*12,F$8)*C465/100</f>
        <v>#NUM!</v>
      </c>
      <c r="H465" s="40" t="e">
        <f>G465*Assumptions!$B$24*12-F465</f>
        <v>#NUM!</v>
      </c>
      <c r="I465" s="48"/>
      <c r="J465" s="40">
        <f t="shared" si="73"/>
        <v>0</v>
      </c>
      <c r="K465" s="40" t="e">
        <f>-PMT(Assumptions!C$25/12,Assumptions!C$24*12,J$8)*C465/100</f>
        <v>#NUM!</v>
      </c>
      <c r="L465" s="40" t="e">
        <f>K465*Assumptions!$C$24*12-J465</f>
        <v>#NUM!</v>
      </c>
      <c r="M465" s="43"/>
      <c r="N465" s="40">
        <f t="shared" si="74"/>
        <v>2040</v>
      </c>
      <c r="O465" s="50">
        <f>-PMT(Assumptions!D$25/12,Assumptions!D$24*12,N$8)*C465/100</f>
        <v>21.637365108771345</v>
      </c>
      <c r="P465" s="44">
        <f>O465*Assumptions!$D$24*12-N465</f>
        <v>556.48381305256135</v>
      </c>
      <c r="Q465" s="48"/>
      <c r="R465" s="40">
        <f t="shared" si="75"/>
        <v>10199.999999999998</v>
      </c>
      <c r="S465" s="40">
        <f>-PMT(Assumptions!E$25/12,Assumptions!E$24*12,$R$8)*$C465/100</f>
        <v>108.18682554385674</v>
      </c>
      <c r="T465" s="40">
        <f>S465*Assumptions!$E$24*12-R465</f>
        <v>2782.4190652628095</v>
      </c>
      <c r="U465" s="48"/>
      <c r="V465" s="40">
        <f t="shared" si="76"/>
        <v>0</v>
      </c>
      <c r="W465" s="40" t="e">
        <f>-PMT(Assumptions!F$25/12,Assumptions!F$24*12,$V$8)*$C465/100</f>
        <v>#NUM!</v>
      </c>
      <c r="X465" s="40" t="e">
        <f>W465*Assumptions!$F$24*12-V465</f>
        <v>#NUM!</v>
      </c>
      <c r="Y465" s="43"/>
      <c r="Z465" s="40">
        <f t="shared" si="77"/>
        <v>0</v>
      </c>
      <c r="AA465" s="50" t="e">
        <f>-PMT(Assumptions!G$25/12,Assumptions!G$24*12,$Z$8)*$C465/100</f>
        <v>#NUM!</v>
      </c>
      <c r="AB465" s="44" t="e">
        <f>AA465*Assumptions!$G$24*12-Z465</f>
        <v>#NUM!</v>
      </c>
      <c r="AD465" s="54">
        <f t="shared" si="66"/>
        <v>0</v>
      </c>
      <c r="AE465" s="54">
        <f t="shared" si="67"/>
        <v>0</v>
      </c>
      <c r="AF465" s="54">
        <f t="shared" si="68"/>
        <v>2040</v>
      </c>
      <c r="AG465" s="54">
        <f t="shared" si="69"/>
        <v>10199.999999999998</v>
      </c>
      <c r="AH465" s="54">
        <f t="shared" si="70"/>
        <v>0</v>
      </c>
      <c r="AI465" s="54">
        <f t="shared" si="71"/>
        <v>0</v>
      </c>
    </row>
    <row r="466" spans="1:35" ht="15" x14ac:dyDescent="0.2">
      <c r="A466" s="56" t="s">
        <v>561</v>
      </c>
      <c r="B466" s="32"/>
      <c r="C466" s="56">
        <v>0.20399999999999999</v>
      </c>
      <c r="D466" s="56">
        <v>320.3</v>
      </c>
      <c r="E466" s="36"/>
      <c r="F466" s="40">
        <f t="shared" si="72"/>
        <v>0</v>
      </c>
      <c r="G466" s="40" t="e">
        <f>-PMT(Assumptions!B$25/12,Assumptions!B$24*12,F$8)*C466/100</f>
        <v>#NUM!</v>
      </c>
      <c r="H466" s="40" t="e">
        <f>G466*Assumptions!$B$24*12-F466</f>
        <v>#NUM!</v>
      </c>
      <c r="I466" s="48"/>
      <c r="J466" s="40">
        <f t="shared" si="73"/>
        <v>0</v>
      </c>
      <c r="K466" s="40" t="e">
        <f>-PMT(Assumptions!C$25/12,Assumptions!C$24*12,J$8)*C466/100</f>
        <v>#NUM!</v>
      </c>
      <c r="L466" s="40" t="e">
        <f>K466*Assumptions!$C$24*12-J466</f>
        <v>#NUM!</v>
      </c>
      <c r="M466" s="43"/>
      <c r="N466" s="40">
        <f t="shared" si="74"/>
        <v>2040</v>
      </c>
      <c r="O466" s="50">
        <f>-PMT(Assumptions!D$25/12,Assumptions!D$24*12,N$8)*C466/100</f>
        <v>21.637365108771345</v>
      </c>
      <c r="P466" s="44">
        <f>O466*Assumptions!$D$24*12-N466</f>
        <v>556.48381305256135</v>
      </c>
      <c r="Q466" s="48"/>
      <c r="R466" s="40">
        <f t="shared" si="75"/>
        <v>10199.999999999998</v>
      </c>
      <c r="S466" s="40">
        <f>-PMT(Assumptions!E$25/12,Assumptions!E$24*12,$R$8)*$C466/100</f>
        <v>108.18682554385674</v>
      </c>
      <c r="T466" s="40">
        <f>S466*Assumptions!$E$24*12-R466</f>
        <v>2782.4190652628095</v>
      </c>
      <c r="U466" s="48"/>
      <c r="V466" s="40">
        <f t="shared" si="76"/>
        <v>0</v>
      </c>
      <c r="W466" s="40" t="e">
        <f>-PMT(Assumptions!F$25/12,Assumptions!F$24*12,$V$8)*$C466/100</f>
        <v>#NUM!</v>
      </c>
      <c r="X466" s="40" t="e">
        <f>W466*Assumptions!$F$24*12-V466</f>
        <v>#NUM!</v>
      </c>
      <c r="Y466" s="43"/>
      <c r="Z466" s="40">
        <f t="shared" si="77"/>
        <v>0</v>
      </c>
      <c r="AA466" s="50" t="e">
        <f>-PMT(Assumptions!G$25/12,Assumptions!G$24*12,$Z$8)*$C466/100</f>
        <v>#NUM!</v>
      </c>
      <c r="AB466" s="44" t="e">
        <f>AA466*Assumptions!$G$24*12-Z466</f>
        <v>#NUM!</v>
      </c>
      <c r="AD466" s="54">
        <f t="shared" si="66"/>
        <v>0</v>
      </c>
      <c r="AE466" s="54">
        <f t="shared" si="67"/>
        <v>0</v>
      </c>
      <c r="AF466" s="54">
        <f t="shared" si="68"/>
        <v>2040</v>
      </c>
      <c r="AG466" s="54">
        <f t="shared" si="69"/>
        <v>10199.999999999998</v>
      </c>
      <c r="AH466" s="54">
        <f t="shared" si="70"/>
        <v>0</v>
      </c>
      <c r="AI466" s="54">
        <f t="shared" si="71"/>
        <v>0</v>
      </c>
    </row>
    <row r="467" spans="1:35" ht="15" x14ac:dyDescent="0.2">
      <c r="A467" s="56" t="s">
        <v>562</v>
      </c>
      <c r="B467" s="32"/>
      <c r="C467" s="56">
        <v>0.28199999999999997</v>
      </c>
      <c r="D467" s="56">
        <v>442.77</v>
      </c>
      <c r="E467" s="36"/>
      <c r="F467" s="40">
        <f t="shared" si="72"/>
        <v>0</v>
      </c>
      <c r="G467" s="40" t="e">
        <f>-PMT(Assumptions!B$25/12,Assumptions!B$24*12,F$8)*C467/100</f>
        <v>#NUM!</v>
      </c>
      <c r="H467" s="40" t="e">
        <f>G467*Assumptions!$B$24*12-F467</f>
        <v>#NUM!</v>
      </c>
      <c r="I467" s="48"/>
      <c r="J467" s="40">
        <f t="shared" si="73"/>
        <v>0</v>
      </c>
      <c r="K467" s="40" t="e">
        <f>-PMT(Assumptions!C$25/12,Assumptions!C$24*12,J$8)*C467/100</f>
        <v>#NUM!</v>
      </c>
      <c r="L467" s="40" t="e">
        <f>K467*Assumptions!$C$24*12-J467</f>
        <v>#NUM!</v>
      </c>
      <c r="M467" s="43"/>
      <c r="N467" s="40">
        <f t="shared" si="74"/>
        <v>2820</v>
      </c>
      <c r="O467" s="50">
        <f>-PMT(Assumptions!D$25/12,Assumptions!D$24*12,N$8)*C467/100</f>
        <v>29.910475297419211</v>
      </c>
      <c r="P467" s="44">
        <f>O467*Assumptions!$D$24*12-N467</f>
        <v>769.25703569030566</v>
      </c>
      <c r="Q467" s="48"/>
      <c r="R467" s="40">
        <f t="shared" si="75"/>
        <v>14099.999999999998</v>
      </c>
      <c r="S467" s="40">
        <f>-PMT(Assumptions!E$25/12,Assumptions!E$24*12,$R$8)*$C467/100</f>
        <v>149.55237648709607</v>
      </c>
      <c r="T467" s="40">
        <f>S467*Assumptions!$E$24*12-R467</f>
        <v>3846.2851784515315</v>
      </c>
      <c r="U467" s="48"/>
      <c r="V467" s="40">
        <f t="shared" si="76"/>
        <v>0</v>
      </c>
      <c r="W467" s="40" t="e">
        <f>-PMT(Assumptions!F$25/12,Assumptions!F$24*12,$V$8)*$C467/100</f>
        <v>#NUM!</v>
      </c>
      <c r="X467" s="40" t="e">
        <f>W467*Assumptions!$F$24*12-V467</f>
        <v>#NUM!</v>
      </c>
      <c r="Y467" s="43"/>
      <c r="Z467" s="40">
        <f t="shared" si="77"/>
        <v>0</v>
      </c>
      <c r="AA467" s="50" t="e">
        <f>-PMT(Assumptions!G$25/12,Assumptions!G$24*12,$Z$8)*$C467/100</f>
        <v>#NUM!</v>
      </c>
      <c r="AB467" s="44" t="e">
        <f>AA467*Assumptions!$G$24*12-Z467</f>
        <v>#NUM!</v>
      </c>
      <c r="AD467" s="54">
        <f t="shared" si="66"/>
        <v>0</v>
      </c>
      <c r="AE467" s="54">
        <f t="shared" si="67"/>
        <v>0</v>
      </c>
      <c r="AF467" s="54">
        <f t="shared" si="68"/>
        <v>2820</v>
      </c>
      <c r="AG467" s="54">
        <f t="shared" si="69"/>
        <v>14099.999999999998</v>
      </c>
      <c r="AH467" s="54">
        <f t="shared" si="70"/>
        <v>0</v>
      </c>
      <c r="AI467" s="54">
        <f t="shared" si="71"/>
        <v>0</v>
      </c>
    </row>
    <row r="468" spans="1:35" ht="15" x14ac:dyDescent="0.2">
      <c r="A468" s="56" t="s">
        <v>563</v>
      </c>
      <c r="B468" s="32"/>
      <c r="C468" s="56">
        <v>0.28199999999999997</v>
      </c>
      <c r="D468" s="56">
        <v>442.77</v>
      </c>
      <c r="E468" s="36"/>
      <c r="F468" s="40">
        <f t="shared" si="72"/>
        <v>0</v>
      </c>
      <c r="G468" s="40" t="e">
        <f>-PMT(Assumptions!B$25/12,Assumptions!B$24*12,F$8)*C468/100</f>
        <v>#NUM!</v>
      </c>
      <c r="H468" s="40" t="e">
        <f>G468*Assumptions!$B$24*12-F468</f>
        <v>#NUM!</v>
      </c>
      <c r="I468" s="48"/>
      <c r="J468" s="40">
        <f t="shared" si="73"/>
        <v>0</v>
      </c>
      <c r="K468" s="40" t="e">
        <f>-PMT(Assumptions!C$25/12,Assumptions!C$24*12,J$8)*C468/100</f>
        <v>#NUM!</v>
      </c>
      <c r="L468" s="40" t="e">
        <f>K468*Assumptions!$C$24*12-J468</f>
        <v>#NUM!</v>
      </c>
      <c r="M468" s="43"/>
      <c r="N468" s="40">
        <f t="shared" si="74"/>
        <v>2820</v>
      </c>
      <c r="O468" s="50">
        <f>-PMT(Assumptions!D$25/12,Assumptions!D$24*12,N$8)*C468/100</f>
        <v>29.910475297419211</v>
      </c>
      <c r="P468" s="44">
        <f>O468*Assumptions!$D$24*12-N468</f>
        <v>769.25703569030566</v>
      </c>
      <c r="Q468" s="48"/>
      <c r="R468" s="40">
        <f t="shared" si="75"/>
        <v>14099.999999999998</v>
      </c>
      <c r="S468" s="40">
        <f>-PMT(Assumptions!E$25/12,Assumptions!E$24*12,$R$8)*$C468/100</f>
        <v>149.55237648709607</v>
      </c>
      <c r="T468" s="40">
        <f>S468*Assumptions!$E$24*12-R468</f>
        <v>3846.2851784515315</v>
      </c>
      <c r="U468" s="48"/>
      <c r="V468" s="40">
        <f t="shared" si="76"/>
        <v>0</v>
      </c>
      <c r="W468" s="40" t="e">
        <f>-PMT(Assumptions!F$25/12,Assumptions!F$24*12,$V$8)*$C468/100</f>
        <v>#NUM!</v>
      </c>
      <c r="X468" s="40" t="e">
        <f>W468*Assumptions!$F$24*12-V468</f>
        <v>#NUM!</v>
      </c>
      <c r="Y468" s="43"/>
      <c r="Z468" s="40">
        <f t="shared" si="77"/>
        <v>0</v>
      </c>
      <c r="AA468" s="50" t="e">
        <f>-PMT(Assumptions!G$25/12,Assumptions!G$24*12,$Z$8)*$C468/100</f>
        <v>#NUM!</v>
      </c>
      <c r="AB468" s="44" t="e">
        <f>AA468*Assumptions!$G$24*12-Z468</f>
        <v>#NUM!</v>
      </c>
      <c r="AD468" s="54">
        <f t="shared" si="66"/>
        <v>0</v>
      </c>
      <c r="AE468" s="54">
        <f t="shared" si="67"/>
        <v>0</v>
      </c>
      <c r="AF468" s="54">
        <f t="shared" si="68"/>
        <v>2820</v>
      </c>
      <c r="AG468" s="54">
        <f t="shared" si="69"/>
        <v>14099.999999999998</v>
      </c>
      <c r="AH468" s="54">
        <f t="shared" si="70"/>
        <v>0</v>
      </c>
      <c r="AI468" s="54">
        <f t="shared" si="71"/>
        <v>0</v>
      </c>
    </row>
    <row r="469" spans="1:35" ht="15" x14ac:dyDescent="0.2">
      <c r="A469" s="56" t="s">
        <v>564</v>
      </c>
      <c r="B469" s="32"/>
      <c r="C469" s="56">
        <v>0.29699999999999999</v>
      </c>
      <c r="D469" s="56">
        <v>466.32</v>
      </c>
      <c r="E469" s="36"/>
      <c r="F469" s="40">
        <f t="shared" si="72"/>
        <v>0</v>
      </c>
      <c r="G469" s="40" t="e">
        <f>-PMT(Assumptions!B$25/12,Assumptions!B$24*12,F$8)*C469/100</f>
        <v>#NUM!</v>
      </c>
      <c r="H469" s="40" t="e">
        <f>G469*Assumptions!$B$24*12-F469</f>
        <v>#NUM!</v>
      </c>
      <c r="I469" s="48"/>
      <c r="J469" s="40">
        <f t="shared" si="73"/>
        <v>0</v>
      </c>
      <c r="K469" s="40" t="e">
        <f>-PMT(Assumptions!C$25/12,Assumptions!C$24*12,J$8)*C469/100</f>
        <v>#NUM!</v>
      </c>
      <c r="L469" s="40" t="e">
        <f>K469*Assumptions!$C$24*12-J469</f>
        <v>#NUM!</v>
      </c>
      <c r="M469" s="43"/>
      <c r="N469" s="40">
        <f t="shared" si="74"/>
        <v>2970</v>
      </c>
      <c r="O469" s="50">
        <f>-PMT(Assumptions!D$25/12,Assumptions!D$24*12,N$8)*C469/100</f>
        <v>31.501458026005345</v>
      </c>
      <c r="P469" s="44">
        <f>O469*Assumptions!$D$24*12-N469</f>
        <v>810.17496312064122</v>
      </c>
      <c r="Q469" s="48"/>
      <c r="R469" s="40">
        <f t="shared" si="75"/>
        <v>14850</v>
      </c>
      <c r="S469" s="40">
        <f>-PMT(Assumptions!E$25/12,Assumptions!E$24*12,$R$8)*$C469/100</f>
        <v>157.50729013002672</v>
      </c>
      <c r="T469" s="40">
        <f>S469*Assumptions!$E$24*12-R469</f>
        <v>4050.8748156032052</v>
      </c>
      <c r="U469" s="48"/>
      <c r="V469" s="40">
        <f t="shared" si="76"/>
        <v>0</v>
      </c>
      <c r="W469" s="40" t="e">
        <f>-PMT(Assumptions!F$25/12,Assumptions!F$24*12,$V$8)*$C469/100</f>
        <v>#NUM!</v>
      </c>
      <c r="X469" s="40" t="e">
        <f>W469*Assumptions!$F$24*12-V469</f>
        <v>#NUM!</v>
      </c>
      <c r="Y469" s="43"/>
      <c r="Z469" s="40">
        <f t="shared" si="77"/>
        <v>0</v>
      </c>
      <c r="AA469" s="50" t="e">
        <f>-PMT(Assumptions!G$25/12,Assumptions!G$24*12,$Z$8)*$C469/100</f>
        <v>#NUM!</v>
      </c>
      <c r="AB469" s="44" t="e">
        <f>AA469*Assumptions!$G$24*12-Z469</f>
        <v>#NUM!</v>
      </c>
      <c r="AD469" s="54">
        <f t="shared" si="66"/>
        <v>0</v>
      </c>
      <c r="AE469" s="54">
        <f t="shared" si="67"/>
        <v>0</v>
      </c>
      <c r="AF469" s="54">
        <f t="shared" si="68"/>
        <v>2970</v>
      </c>
      <c r="AG469" s="54">
        <f t="shared" si="69"/>
        <v>14850</v>
      </c>
      <c r="AH469" s="54">
        <f t="shared" si="70"/>
        <v>0</v>
      </c>
      <c r="AI469" s="54">
        <f t="shared" si="71"/>
        <v>0</v>
      </c>
    </row>
    <row r="470" spans="1:35" ht="15" x14ac:dyDescent="0.2">
      <c r="A470" s="56" t="s">
        <v>565</v>
      </c>
      <c r="B470" s="32"/>
      <c r="C470" s="56">
        <v>0.29699999999999999</v>
      </c>
      <c r="D470" s="56">
        <v>466.32</v>
      </c>
      <c r="E470" s="36"/>
      <c r="F470" s="40">
        <f t="shared" si="72"/>
        <v>0</v>
      </c>
      <c r="G470" s="40" t="e">
        <f>-PMT(Assumptions!B$25/12,Assumptions!B$24*12,F$8)*C470/100</f>
        <v>#NUM!</v>
      </c>
      <c r="H470" s="40" t="e">
        <f>G470*Assumptions!$B$24*12-F470</f>
        <v>#NUM!</v>
      </c>
      <c r="I470" s="48"/>
      <c r="J470" s="40">
        <f t="shared" si="73"/>
        <v>0</v>
      </c>
      <c r="K470" s="40" t="e">
        <f>-PMT(Assumptions!C$25/12,Assumptions!C$24*12,J$8)*C470/100</f>
        <v>#NUM!</v>
      </c>
      <c r="L470" s="40" t="e">
        <f>K470*Assumptions!$C$24*12-J470</f>
        <v>#NUM!</v>
      </c>
      <c r="M470" s="43"/>
      <c r="N470" s="40">
        <f t="shared" si="74"/>
        <v>2970</v>
      </c>
      <c r="O470" s="50">
        <f>-PMT(Assumptions!D$25/12,Assumptions!D$24*12,N$8)*C470/100</f>
        <v>31.501458026005345</v>
      </c>
      <c r="P470" s="44">
        <f>O470*Assumptions!$D$24*12-N470</f>
        <v>810.17496312064122</v>
      </c>
      <c r="Q470" s="48"/>
      <c r="R470" s="40">
        <f t="shared" si="75"/>
        <v>14850</v>
      </c>
      <c r="S470" s="40">
        <f>-PMT(Assumptions!E$25/12,Assumptions!E$24*12,$R$8)*$C470/100</f>
        <v>157.50729013002672</v>
      </c>
      <c r="T470" s="40">
        <f>S470*Assumptions!$E$24*12-R470</f>
        <v>4050.8748156032052</v>
      </c>
      <c r="U470" s="48"/>
      <c r="V470" s="40">
        <f t="shared" si="76"/>
        <v>0</v>
      </c>
      <c r="W470" s="40" t="e">
        <f>-PMT(Assumptions!F$25/12,Assumptions!F$24*12,$V$8)*$C470/100</f>
        <v>#NUM!</v>
      </c>
      <c r="X470" s="40" t="e">
        <f>W470*Assumptions!$F$24*12-V470</f>
        <v>#NUM!</v>
      </c>
      <c r="Y470" s="43"/>
      <c r="Z470" s="40">
        <f t="shared" si="77"/>
        <v>0</v>
      </c>
      <c r="AA470" s="50" t="e">
        <f>-PMT(Assumptions!G$25/12,Assumptions!G$24*12,$Z$8)*$C470/100</f>
        <v>#NUM!</v>
      </c>
      <c r="AB470" s="44" t="e">
        <f>AA470*Assumptions!$G$24*12-Z470</f>
        <v>#NUM!</v>
      </c>
      <c r="AD470" s="54">
        <f t="shared" si="66"/>
        <v>0</v>
      </c>
      <c r="AE470" s="54">
        <f t="shared" si="67"/>
        <v>0</v>
      </c>
      <c r="AF470" s="54">
        <f t="shared" si="68"/>
        <v>2970</v>
      </c>
      <c r="AG470" s="54">
        <f t="shared" si="69"/>
        <v>14850</v>
      </c>
      <c r="AH470" s="54">
        <f t="shared" si="70"/>
        <v>0</v>
      </c>
      <c r="AI470" s="54">
        <f t="shared" si="71"/>
        <v>0</v>
      </c>
    </row>
    <row r="471" spans="1:35" ht="15" x14ac:dyDescent="0.2">
      <c r="A471" s="56" t="s">
        <v>566</v>
      </c>
      <c r="B471" s="32"/>
      <c r="C471" s="56">
        <v>0.20200000000000001</v>
      </c>
      <c r="D471" s="56">
        <v>317.16000000000003</v>
      </c>
      <c r="E471" s="36"/>
      <c r="F471" s="40">
        <f t="shared" si="72"/>
        <v>0</v>
      </c>
      <c r="G471" s="40" t="e">
        <f>-PMT(Assumptions!B$25/12,Assumptions!B$24*12,F$8)*C471/100</f>
        <v>#NUM!</v>
      </c>
      <c r="H471" s="40" t="e">
        <f>G471*Assumptions!$B$24*12-F471</f>
        <v>#NUM!</v>
      </c>
      <c r="I471" s="48"/>
      <c r="J471" s="40">
        <f t="shared" si="73"/>
        <v>0</v>
      </c>
      <c r="K471" s="40" t="e">
        <f>-PMT(Assumptions!C$25/12,Assumptions!C$24*12,J$8)*C471/100</f>
        <v>#NUM!</v>
      </c>
      <c r="L471" s="40" t="e">
        <f>K471*Assumptions!$C$24*12-J471</f>
        <v>#NUM!</v>
      </c>
      <c r="M471" s="43"/>
      <c r="N471" s="40">
        <f t="shared" si="74"/>
        <v>2020</v>
      </c>
      <c r="O471" s="50">
        <f>-PMT(Assumptions!D$25/12,Assumptions!D$24*12,N$8)*C471/100</f>
        <v>21.425234078293197</v>
      </c>
      <c r="P471" s="44">
        <f>O471*Assumptions!$D$24*12-N471</f>
        <v>551.028089395184</v>
      </c>
      <c r="Q471" s="48"/>
      <c r="R471" s="40">
        <f t="shared" si="75"/>
        <v>10100.000000000002</v>
      </c>
      <c r="S471" s="40">
        <f>-PMT(Assumptions!E$25/12,Assumptions!E$24*12,$R$8)*$C471/100</f>
        <v>107.12617039146599</v>
      </c>
      <c r="T471" s="40">
        <f>S471*Assumptions!$E$24*12-R471</f>
        <v>2755.1404469759163</v>
      </c>
      <c r="U471" s="48"/>
      <c r="V471" s="40">
        <f t="shared" si="76"/>
        <v>0</v>
      </c>
      <c r="W471" s="40" t="e">
        <f>-PMT(Assumptions!F$25/12,Assumptions!F$24*12,$V$8)*$C471/100</f>
        <v>#NUM!</v>
      </c>
      <c r="X471" s="40" t="e">
        <f>W471*Assumptions!$F$24*12-V471</f>
        <v>#NUM!</v>
      </c>
      <c r="Y471" s="43"/>
      <c r="Z471" s="40">
        <f t="shared" si="77"/>
        <v>0</v>
      </c>
      <c r="AA471" s="50" t="e">
        <f>-PMT(Assumptions!G$25/12,Assumptions!G$24*12,$Z$8)*$C471/100</f>
        <v>#NUM!</v>
      </c>
      <c r="AB471" s="44" t="e">
        <f>AA471*Assumptions!$G$24*12-Z471</f>
        <v>#NUM!</v>
      </c>
      <c r="AD471" s="54">
        <f t="shared" si="66"/>
        <v>0</v>
      </c>
      <c r="AE471" s="54">
        <f t="shared" si="67"/>
        <v>0</v>
      </c>
      <c r="AF471" s="54">
        <f t="shared" si="68"/>
        <v>2020</v>
      </c>
      <c r="AG471" s="54">
        <f t="shared" si="69"/>
        <v>10100.000000000002</v>
      </c>
      <c r="AH471" s="54">
        <f t="shared" si="70"/>
        <v>0</v>
      </c>
      <c r="AI471" s="54">
        <f t="shared" si="71"/>
        <v>0</v>
      </c>
    </row>
    <row r="472" spans="1:35" ht="15" x14ac:dyDescent="0.2">
      <c r="A472" s="56" t="s">
        <v>567</v>
      </c>
      <c r="B472" s="32"/>
      <c r="C472" s="56">
        <v>0.20200000000000001</v>
      </c>
      <c r="D472" s="56">
        <v>317.16000000000003</v>
      </c>
      <c r="E472" s="36"/>
      <c r="F472" s="40">
        <f t="shared" si="72"/>
        <v>0</v>
      </c>
      <c r="G472" s="40" t="e">
        <f>-PMT(Assumptions!B$25/12,Assumptions!B$24*12,F$8)*C472/100</f>
        <v>#NUM!</v>
      </c>
      <c r="H472" s="40" t="e">
        <f>G472*Assumptions!$B$24*12-F472</f>
        <v>#NUM!</v>
      </c>
      <c r="I472" s="48"/>
      <c r="J472" s="40">
        <f t="shared" si="73"/>
        <v>0</v>
      </c>
      <c r="K472" s="40" t="e">
        <f>-PMT(Assumptions!C$25/12,Assumptions!C$24*12,J$8)*C472/100</f>
        <v>#NUM!</v>
      </c>
      <c r="L472" s="40" t="e">
        <f>K472*Assumptions!$C$24*12-J472</f>
        <v>#NUM!</v>
      </c>
      <c r="M472" s="43"/>
      <c r="N472" s="40">
        <f t="shared" si="74"/>
        <v>2020</v>
      </c>
      <c r="O472" s="50">
        <f>-PMT(Assumptions!D$25/12,Assumptions!D$24*12,N$8)*C472/100</f>
        <v>21.425234078293197</v>
      </c>
      <c r="P472" s="44">
        <f>O472*Assumptions!$D$24*12-N472</f>
        <v>551.028089395184</v>
      </c>
      <c r="Q472" s="48"/>
      <c r="R472" s="40">
        <f t="shared" si="75"/>
        <v>10100.000000000002</v>
      </c>
      <c r="S472" s="40">
        <f>-PMT(Assumptions!E$25/12,Assumptions!E$24*12,$R$8)*$C472/100</f>
        <v>107.12617039146599</v>
      </c>
      <c r="T472" s="40">
        <f>S472*Assumptions!$E$24*12-R472</f>
        <v>2755.1404469759163</v>
      </c>
      <c r="U472" s="48"/>
      <c r="V472" s="40">
        <f t="shared" si="76"/>
        <v>0</v>
      </c>
      <c r="W472" s="40" t="e">
        <f>-PMT(Assumptions!F$25/12,Assumptions!F$24*12,$V$8)*$C472/100</f>
        <v>#NUM!</v>
      </c>
      <c r="X472" s="40" t="e">
        <f>W472*Assumptions!$F$24*12-V472</f>
        <v>#NUM!</v>
      </c>
      <c r="Y472" s="43"/>
      <c r="Z472" s="40">
        <f t="shared" si="77"/>
        <v>0</v>
      </c>
      <c r="AA472" s="50" t="e">
        <f>-PMT(Assumptions!G$25/12,Assumptions!G$24*12,$Z$8)*$C472/100</f>
        <v>#NUM!</v>
      </c>
      <c r="AB472" s="44" t="e">
        <f>AA472*Assumptions!$G$24*12-Z472</f>
        <v>#NUM!</v>
      </c>
      <c r="AD472" s="54">
        <f t="shared" si="66"/>
        <v>0</v>
      </c>
      <c r="AE472" s="54">
        <f t="shared" si="67"/>
        <v>0</v>
      </c>
      <c r="AF472" s="54">
        <f t="shared" si="68"/>
        <v>2020</v>
      </c>
      <c r="AG472" s="54">
        <f t="shared" si="69"/>
        <v>10100.000000000002</v>
      </c>
      <c r="AH472" s="54">
        <f t="shared" si="70"/>
        <v>0</v>
      </c>
      <c r="AI472" s="54">
        <f t="shared" si="71"/>
        <v>0</v>
      </c>
    </row>
    <row r="473" spans="1:35" ht="15" x14ac:dyDescent="0.2">
      <c r="A473" s="56" t="s">
        <v>568</v>
      </c>
      <c r="B473" s="32"/>
      <c r="C473" s="56">
        <v>0.14699999999999999</v>
      </c>
      <c r="D473" s="56">
        <v>230.81</v>
      </c>
      <c r="E473" s="36"/>
      <c r="F473" s="40">
        <f t="shared" si="72"/>
        <v>0</v>
      </c>
      <c r="G473" s="40" t="e">
        <f>-PMT(Assumptions!B$25/12,Assumptions!B$24*12,F$8)*C473/100</f>
        <v>#NUM!</v>
      </c>
      <c r="H473" s="40" t="e">
        <f>G473*Assumptions!$B$24*12-F473</f>
        <v>#NUM!</v>
      </c>
      <c r="I473" s="48"/>
      <c r="J473" s="40">
        <f t="shared" si="73"/>
        <v>0</v>
      </c>
      <c r="K473" s="40" t="e">
        <f>-PMT(Assumptions!C$25/12,Assumptions!C$24*12,J$8)*C473/100</f>
        <v>#NUM!</v>
      </c>
      <c r="L473" s="40" t="e">
        <f>K473*Assumptions!$C$24*12-J473</f>
        <v>#NUM!</v>
      </c>
      <c r="M473" s="43"/>
      <c r="N473" s="40">
        <f t="shared" si="74"/>
        <v>1470</v>
      </c>
      <c r="O473" s="50">
        <f>-PMT(Assumptions!D$25/12,Assumptions!D$24*12,N$8)*C473/100</f>
        <v>15.591630740144058</v>
      </c>
      <c r="P473" s="44">
        <f>O473*Assumptions!$D$24*12-N473</f>
        <v>400.99568881728692</v>
      </c>
      <c r="Q473" s="48"/>
      <c r="R473" s="40">
        <f t="shared" si="75"/>
        <v>7350</v>
      </c>
      <c r="S473" s="40">
        <f>-PMT(Assumptions!E$25/12,Assumptions!E$24*12,$R$8)*$C473/100</f>
        <v>77.958153700720288</v>
      </c>
      <c r="T473" s="40">
        <f>S473*Assumptions!$E$24*12-R473</f>
        <v>2004.978444086435</v>
      </c>
      <c r="U473" s="48"/>
      <c r="V473" s="40">
        <f t="shared" si="76"/>
        <v>0</v>
      </c>
      <c r="W473" s="40" t="e">
        <f>-PMT(Assumptions!F$25/12,Assumptions!F$24*12,$V$8)*$C473/100</f>
        <v>#NUM!</v>
      </c>
      <c r="X473" s="40" t="e">
        <f>W473*Assumptions!$F$24*12-V473</f>
        <v>#NUM!</v>
      </c>
      <c r="Y473" s="43"/>
      <c r="Z473" s="40">
        <f t="shared" si="77"/>
        <v>0</v>
      </c>
      <c r="AA473" s="50" t="e">
        <f>-PMT(Assumptions!G$25/12,Assumptions!G$24*12,$Z$8)*$C473/100</f>
        <v>#NUM!</v>
      </c>
      <c r="AB473" s="44" t="e">
        <f>AA473*Assumptions!$G$24*12-Z473</f>
        <v>#NUM!</v>
      </c>
      <c r="AD473" s="54">
        <f t="shared" si="66"/>
        <v>0</v>
      </c>
      <c r="AE473" s="54">
        <f t="shared" si="67"/>
        <v>0</v>
      </c>
      <c r="AF473" s="54">
        <f t="shared" si="68"/>
        <v>1470</v>
      </c>
      <c r="AG473" s="54">
        <f t="shared" si="69"/>
        <v>7350</v>
      </c>
      <c r="AH473" s="54">
        <f t="shared" si="70"/>
        <v>0</v>
      </c>
      <c r="AI473" s="54">
        <f t="shared" si="71"/>
        <v>0</v>
      </c>
    </row>
    <row r="474" spans="1:35" ht="15" x14ac:dyDescent="0.2">
      <c r="A474" s="56" t="s">
        <v>569</v>
      </c>
      <c r="B474" s="32"/>
      <c r="C474" s="56">
        <v>0.156</v>
      </c>
      <c r="D474" s="56">
        <v>244.94</v>
      </c>
      <c r="E474" s="36"/>
      <c r="F474" s="40">
        <f t="shared" si="72"/>
        <v>0</v>
      </c>
      <c r="G474" s="40" t="e">
        <f>-PMT(Assumptions!B$25/12,Assumptions!B$24*12,F$8)*C474/100</f>
        <v>#NUM!</v>
      </c>
      <c r="H474" s="40" t="e">
        <f>G474*Assumptions!$B$24*12-F474</f>
        <v>#NUM!</v>
      </c>
      <c r="I474" s="48"/>
      <c r="J474" s="40">
        <f t="shared" si="73"/>
        <v>0</v>
      </c>
      <c r="K474" s="40" t="e">
        <f>-PMT(Assumptions!C$25/12,Assumptions!C$24*12,J$8)*C474/100</f>
        <v>#NUM!</v>
      </c>
      <c r="L474" s="40" t="e">
        <f>K474*Assumptions!$C$24*12-J474</f>
        <v>#NUM!</v>
      </c>
      <c r="M474" s="43"/>
      <c r="N474" s="40">
        <f t="shared" si="74"/>
        <v>1560</v>
      </c>
      <c r="O474" s="50">
        <f>-PMT(Assumptions!D$25/12,Assumptions!D$24*12,N$8)*C474/100</f>
        <v>16.546220377295736</v>
      </c>
      <c r="P474" s="44">
        <f>O474*Assumptions!$D$24*12-N474</f>
        <v>425.5464452754884</v>
      </c>
      <c r="Q474" s="48"/>
      <c r="R474" s="40">
        <f t="shared" si="75"/>
        <v>7800</v>
      </c>
      <c r="S474" s="40">
        <f>-PMT(Assumptions!E$25/12,Assumptions!E$24*12,$R$8)*$C474/100</f>
        <v>82.731101886478683</v>
      </c>
      <c r="T474" s="40">
        <f>S474*Assumptions!$E$24*12-R474</f>
        <v>2127.7322263774404</v>
      </c>
      <c r="U474" s="48"/>
      <c r="V474" s="40">
        <f t="shared" si="76"/>
        <v>0</v>
      </c>
      <c r="W474" s="40" t="e">
        <f>-PMT(Assumptions!F$25/12,Assumptions!F$24*12,$V$8)*$C474/100</f>
        <v>#NUM!</v>
      </c>
      <c r="X474" s="40" t="e">
        <f>W474*Assumptions!$F$24*12-V474</f>
        <v>#NUM!</v>
      </c>
      <c r="Y474" s="43"/>
      <c r="Z474" s="40">
        <f t="shared" si="77"/>
        <v>0</v>
      </c>
      <c r="AA474" s="50" t="e">
        <f>-PMT(Assumptions!G$25/12,Assumptions!G$24*12,$Z$8)*$C474/100</f>
        <v>#NUM!</v>
      </c>
      <c r="AB474" s="44" t="e">
        <f>AA474*Assumptions!$G$24*12-Z474</f>
        <v>#NUM!</v>
      </c>
      <c r="AD474" s="54">
        <f t="shared" ref="AD474:AD514" si="78">+F474</f>
        <v>0</v>
      </c>
      <c r="AE474" s="54">
        <f t="shared" ref="AE474:AE514" si="79">+J474</f>
        <v>0</v>
      </c>
      <c r="AF474" s="54">
        <f t="shared" ref="AF474:AF514" si="80">+N474</f>
        <v>1560</v>
      </c>
      <c r="AG474" s="54">
        <f t="shared" ref="AG474:AG514" si="81">+R474</f>
        <v>7800</v>
      </c>
      <c r="AH474" s="54">
        <f t="shared" ref="AH474:AH514" si="82">+V474</f>
        <v>0</v>
      </c>
      <c r="AI474" s="54">
        <f t="shared" ref="AI474:AI514" si="83">+Z474</f>
        <v>0</v>
      </c>
    </row>
    <row r="475" spans="1:35" ht="15" x14ac:dyDescent="0.2">
      <c r="A475" s="56" t="s">
        <v>570</v>
      </c>
      <c r="B475" s="32"/>
      <c r="C475" s="56">
        <v>0.14699999999999999</v>
      </c>
      <c r="D475" s="56">
        <v>230.81</v>
      </c>
      <c r="E475" s="36"/>
      <c r="F475" s="40">
        <f t="shared" si="72"/>
        <v>0</v>
      </c>
      <c r="G475" s="40" t="e">
        <f>-PMT(Assumptions!B$25/12,Assumptions!B$24*12,F$8)*C475/100</f>
        <v>#NUM!</v>
      </c>
      <c r="H475" s="40" t="e">
        <f>G475*Assumptions!$B$24*12-F475</f>
        <v>#NUM!</v>
      </c>
      <c r="I475" s="48"/>
      <c r="J475" s="40">
        <f t="shared" si="73"/>
        <v>0</v>
      </c>
      <c r="K475" s="40" t="e">
        <f>-PMT(Assumptions!C$25/12,Assumptions!C$24*12,J$8)*C475/100</f>
        <v>#NUM!</v>
      </c>
      <c r="L475" s="40" t="e">
        <f>K475*Assumptions!$C$24*12-J475</f>
        <v>#NUM!</v>
      </c>
      <c r="M475" s="43"/>
      <c r="N475" s="40">
        <f t="shared" si="74"/>
        <v>1470</v>
      </c>
      <c r="O475" s="50">
        <f>-PMT(Assumptions!D$25/12,Assumptions!D$24*12,N$8)*C475/100</f>
        <v>15.591630740144058</v>
      </c>
      <c r="P475" s="44">
        <f>O475*Assumptions!$D$24*12-N475</f>
        <v>400.99568881728692</v>
      </c>
      <c r="Q475" s="48"/>
      <c r="R475" s="40">
        <f t="shared" si="75"/>
        <v>7350</v>
      </c>
      <c r="S475" s="40">
        <f>-PMT(Assumptions!E$25/12,Assumptions!E$24*12,$R$8)*$C475/100</f>
        <v>77.958153700720288</v>
      </c>
      <c r="T475" s="40">
        <f>S475*Assumptions!$E$24*12-R475</f>
        <v>2004.978444086435</v>
      </c>
      <c r="U475" s="48"/>
      <c r="V475" s="40">
        <f t="shared" si="76"/>
        <v>0</v>
      </c>
      <c r="W475" s="40" t="e">
        <f>-PMT(Assumptions!F$25/12,Assumptions!F$24*12,$V$8)*$C475/100</f>
        <v>#NUM!</v>
      </c>
      <c r="X475" s="40" t="e">
        <f>W475*Assumptions!$F$24*12-V475</f>
        <v>#NUM!</v>
      </c>
      <c r="Y475" s="43"/>
      <c r="Z475" s="40">
        <f t="shared" si="77"/>
        <v>0</v>
      </c>
      <c r="AA475" s="50" t="e">
        <f>-PMT(Assumptions!G$25/12,Assumptions!G$24*12,$Z$8)*$C475/100</f>
        <v>#NUM!</v>
      </c>
      <c r="AB475" s="44" t="e">
        <f>AA475*Assumptions!$G$24*12-Z475</f>
        <v>#NUM!</v>
      </c>
      <c r="AD475" s="54">
        <f t="shared" si="78"/>
        <v>0</v>
      </c>
      <c r="AE475" s="54">
        <f t="shared" si="79"/>
        <v>0</v>
      </c>
      <c r="AF475" s="54">
        <f t="shared" si="80"/>
        <v>1470</v>
      </c>
      <c r="AG475" s="54">
        <f t="shared" si="81"/>
        <v>7350</v>
      </c>
      <c r="AH475" s="54">
        <f t="shared" si="82"/>
        <v>0</v>
      </c>
      <c r="AI475" s="54">
        <f t="shared" si="83"/>
        <v>0</v>
      </c>
    </row>
    <row r="476" spans="1:35" ht="15" x14ac:dyDescent="0.2">
      <c r="A476" s="56" t="s">
        <v>571</v>
      </c>
      <c r="B476" s="32"/>
      <c r="C476" s="56">
        <v>0.156</v>
      </c>
      <c r="D476" s="56">
        <v>244.94</v>
      </c>
      <c r="E476" s="36"/>
      <c r="F476" s="40">
        <f t="shared" si="72"/>
        <v>0</v>
      </c>
      <c r="G476" s="40" t="e">
        <f>-PMT(Assumptions!B$25/12,Assumptions!B$24*12,F$8)*C476/100</f>
        <v>#NUM!</v>
      </c>
      <c r="H476" s="40" t="e">
        <f>G476*Assumptions!$B$24*12-F476</f>
        <v>#NUM!</v>
      </c>
      <c r="I476" s="48"/>
      <c r="J476" s="40">
        <f t="shared" si="73"/>
        <v>0</v>
      </c>
      <c r="K476" s="40" t="e">
        <f>-PMT(Assumptions!C$25/12,Assumptions!C$24*12,J$8)*C476/100</f>
        <v>#NUM!</v>
      </c>
      <c r="L476" s="40" t="e">
        <f>K476*Assumptions!$C$24*12-J476</f>
        <v>#NUM!</v>
      </c>
      <c r="M476" s="43"/>
      <c r="N476" s="40">
        <f t="shared" si="74"/>
        <v>1560</v>
      </c>
      <c r="O476" s="50">
        <f>-PMT(Assumptions!D$25/12,Assumptions!D$24*12,N$8)*C476/100</f>
        <v>16.546220377295736</v>
      </c>
      <c r="P476" s="44">
        <f>O476*Assumptions!$D$24*12-N476</f>
        <v>425.5464452754884</v>
      </c>
      <c r="Q476" s="48"/>
      <c r="R476" s="40">
        <f t="shared" si="75"/>
        <v>7800</v>
      </c>
      <c r="S476" s="40">
        <f>-PMT(Assumptions!E$25/12,Assumptions!E$24*12,$R$8)*$C476/100</f>
        <v>82.731101886478683</v>
      </c>
      <c r="T476" s="40">
        <f>S476*Assumptions!$E$24*12-R476</f>
        <v>2127.7322263774404</v>
      </c>
      <c r="U476" s="48"/>
      <c r="V476" s="40">
        <f t="shared" si="76"/>
        <v>0</v>
      </c>
      <c r="W476" s="40" t="e">
        <f>-PMT(Assumptions!F$25/12,Assumptions!F$24*12,$V$8)*$C476/100</f>
        <v>#NUM!</v>
      </c>
      <c r="X476" s="40" t="e">
        <f>W476*Assumptions!$F$24*12-V476</f>
        <v>#NUM!</v>
      </c>
      <c r="Y476" s="43"/>
      <c r="Z476" s="40">
        <f t="shared" si="77"/>
        <v>0</v>
      </c>
      <c r="AA476" s="50" t="e">
        <f>-PMT(Assumptions!G$25/12,Assumptions!G$24*12,$Z$8)*$C476/100</f>
        <v>#NUM!</v>
      </c>
      <c r="AB476" s="44" t="e">
        <f>AA476*Assumptions!$G$24*12-Z476</f>
        <v>#NUM!</v>
      </c>
      <c r="AD476" s="54">
        <f t="shared" si="78"/>
        <v>0</v>
      </c>
      <c r="AE476" s="54">
        <f t="shared" si="79"/>
        <v>0</v>
      </c>
      <c r="AF476" s="54">
        <f t="shared" si="80"/>
        <v>1560</v>
      </c>
      <c r="AG476" s="54">
        <f t="shared" si="81"/>
        <v>7800</v>
      </c>
      <c r="AH476" s="54">
        <f t="shared" si="82"/>
        <v>0</v>
      </c>
      <c r="AI476" s="54">
        <f t="shared" si="83"/>
        <v>0</v>
      </c>
    </row>
    <row r="477" spans="1:35" ht="15" x14ac:dyDescent="0.2">
      <c r="A477" s="56" t="s">
        <v>572</v>
      </c>
      <c r="B477" s="32"/>
      <c r="C477" s="56">
        <v>0.219</v>
      </c>
      <c r="D477" s="56">
        <v>343.85</v>
      </c>
      <c r="E477" s="36"/>
      <c r="F477" s="40">
        <f t="shared" si="72"/>
        <v>0</v>
      </c>
      <c r="G477" s="40" t="e">
        <f>-PMT(Assumptions!B$25/12,Assumptions!B$24*12,F$8)*C477/100</f>
        <v>#NUM!</v>
      </c>
      <c r="H477" s="40" t="e">
        <f>G477*Assumptions!$B$24*12-F477</f>
        <v>#NUM!</v>
      </c>
      <c r="I477" s="48"/>
      <c r="J477" s="40">
        <f t="shared" si="73"/>
        <v>0</v>
      </c>
      <c r="K477" s="40" t="e">
        <f>-PMT(Assumptions!C$25/12,Assumptions!C$24*12,J$8)*C477/100</f>
        <v>#NUM!</v>
      </c>
      <c r="L477" s="40" t="e">
        <f>K477*Assumptions!$C$24*12-J477</f>
        <v>#NUM!</v>
      </c>
      <c r="M477" s="43"/>
      <c r="N477" s="40">
        <f t="shared" si="74"/>
        <v>2190</v>
      </c>
      <c r="O477" s="50">
        <f>-PMT(Assumptions!D$25/12,Assumptions!D$24*12,N$8)*C477/100</f>
        <v>23.228347837357475</v>
      </c>
      <c r="P477" s="44">
        <f>O477*Assumptions!$D$24*12-N477</f>
        <v>597.40174048289691</v>
      </c>
      <c r="Q477" s="48"/>
      <c r="R477" s="40">
        <f t="shared" si="75"/>
        <v>10950</v>
      </c>
      <c r="S477" s="40">
        <f>-PMT(Assumptions!E$25/12,Assumptions!E$24*12,$R$8)*$C477/100</f>
        <v>116.14173918678738</v>
      </c>
      <c r="T477" s="40">
        <f>S477*Assumptions!$E$24*12-R477</f>
        <v>2987.008702414485</v>
      </c>
      <c r="U477" s="48"/>
      <c r="V477" s="40">
        <f t="shared" si="76"/>
        <v>0</v>
      </c>
      <c r="W477" s="40" t="e">
        <f>-PMT(Assumptions!F$25/12,Assumptions!F$24*12,$V$8)*$C477/100</f>
        <v>#NUM!</v>
      </c>
      <c r="X477" s="40" t="e">
        <f>W477*Assumptions!$F$24*12-V477</f>
        <v>#NUM!</v>
      </c>
      <c r="Y477" s="43"/>
      <c r="Z477" s="40">
        <f t="shared" si="77"/>
        <v>0</v>
      </c>
      <c r="AA477" s="50" t="e">
        <f>-PMT(Assumptions!G$25/12,Assumptions!G$24*12,$Z$8)*$C477/100</f>
        <v>#NUM!</v>
      </c>
      <c r="AB477" s="44" t="e">
        <f>AA477*Assumptions!$G$24*12-Z477</f>
        <v>#NUM!</v>
      </c>
      <c r="AD477" s="54">
        <f t="shared" si="78"/>
        <v>0</v>
      </c>
      <c r="AE477" s="54">
        <f t="shared" si="79"/>
        <v>0</v>
      </c>
      <c r="AF477" s="54">
        <f t="shared" si="80"/>
        <v>2190</v>
      </c>
      <c r="AG477" s="54">
        <f t="shared" si="81"/>
        <v>10950</v>
      </c>
      <c r="AH477" s="54">
        <f t="shared" si="82"/>
        <v>0</v>
      </c>
      <c r="AI477" s="54">
        <f t="shared" si="83"/>
        <v>0</v>
      </c>
    </row>
    <row r="478" spans="1:35" ht="15" x14ac:dyDescent="0.2">
      <c r="A478" s="56" t="s">
        <v>573</v>
      </c>
      <c r="B478" s="32"/>
      <c r="C478" s="56">
        <v>0.22700000000000001</v>
      </c>
      <c r="D478" s="56">
        <v>356.41</v>
      </c>
      <c r="E478" s="36"/>
      <c r="F478" s="40">
        <f t="shared" si="72"/>
        <v>0</v>
      </c>
      <c r="G478" s="40" t="e">
        <f>-PMT(Assumptions!B$25/12,Assumptions!B$24*12,F$8)*C478/100</f>
        <v>#NUM!</v>
      </c>
      <c r="H478" s="40" t="e">
        <f>G478*Assumptions!$B$24*12-F478</f>
        <v>#NUM!</v>
      </c>
      <c r="I478" s="48"/>
      <c r="J478" s="40">
        <f t="shared" si="73"/>
        <v>0</v>
      </c>
      <c r="K478" s="40" t="e">
        <f>-PMT(Assumptions!C$25/12,Assumptions!C$24*12,J$8)*C478/100</f>
        <v>#NUM!</v>
      </c>
      <c r="L478" s="40" t="e">
        <f>K478*Assumptions!$C$24*12-J478</f>
        <v>#NUM!</v>
      </c>
      <c r="M478" s="43"/>
      <c r="N478" s="40">
        <f t="shared" si="74"/>
        <v>2270</v>
      </c>
      <c r="O478" s="50">
        <f>-PMT(Assumptions!D$25/12,Assumptions!D$24*12,N$8)*C478/100</f>
        <v>24.076871959270079</v>
      </c>
      <c r="P478" s="44">
        <f>O478*Assumptions!$D$24*12-N478</f>
        <v>619.22463511240949</v>
      </c>
      <c r="Q478" s="48"/>
      <c r="R478" s="40">
        <f t="shared" si="75"/>
        <v>11350</v>
      </c>
      <c r="S478" s="40">
        <f>-PMT(Assumptions!E$25/12,Assumptions!E$24*12,$R$8)*$C478/100</f>
        <v>120.3843597963504</v>
      </c>
      <c r="T478" s="40">
        <f>S478*Assumptions!$E$24*12-R478</f>
        <v>3096.1231755620465</v>
      </c>
      <c r="U478" s="48"/>
      <c r="V478" s="40">
        <f t="shared" si="76"/>
        <v>0</v>
      </c>
      <c r="W478" s="40" t="e">
        <f>-PMT(Assumptions!F$25/12,Assumptions!F$24*12,$V$8)*$C478/100</f>
        <v>#NUM!</v>
      </c>
      <c r="X478" s="40" t="e">
        <f>W478*Assumptions!$F$24*12-V478</f>
        <v>#NUM!</v>
      </c>
      <c r="Y478" s="43"/>
      <c r="Z478" s="40">
        <f t="shared" si="77"/>
        <v>0</v>
      </c>
      <c r="AA478" s="50" t="e">
        <f>-PMT(Assumptions!G$25/12,Assumptions!G$24*12,$Z$8)*$C478/100</f>
        <v>#NUM!</v>
      </c>
      <c r="AB478" s="44" t="e">
        <f>AA478*Assumptions!$G$24*12-Z478</f>
        <v>#NUM!</v>
      </c>
      <c r="AD478" s="54">
        <f t="shared" si="78"/>
        <v>0</v>
      </c>
      <c r="AE478" s="54">
        <f t="shared" si="79"/>
        <v>0</v>
      </c>
      <c r="AF478" s="54">
        <f t="shared" si="80"/>
        <v>2270</v>
      </c>
      <c r="AG478" s="54">
        <f t="shared" si="81"/>
        <v>11350</v>
      </c>
      <c r="AH478" s="54">
        <f t="shared" si="82"/>
        <v>0</v>
      </c>
      <c r="AI478" s="54">
        <f t="shared" si="83"/>
        <v>0</v>
      </c>
    </row>
    <row r="479" spans="1:35" ht="15" x14ac:dyDescent="0.2">
      <c r="A479" s="56" t="s">
        <v>574</v>
      </c>
      <c r="B479" s="32"/>
      <c r="C479" s="56">
        <v>0.20200000000000001</v>
      </c>
      <c r="D479" s="56">
        <v>317.16000000000003</v>
      </c>
      <c r="E479" s="36"/>
      <c r="F479" s="40">
        <f t="shared" si="72"/>
        <v>0</v>
      </c>
      <c r="G479" s="40" t="e">
        <f>-PMT(Assumptions!B$25/12,Assumptions!B$24*12,F$8)*C479/100</f>
        <v>#NUM!</v>
      </c>
      <c r="H479" s="40" t="e">
        <f>G479*Assumptions!$B$24*12-F479</f>
        <v>#NUM!</v>
      </c>
      <c r="I479" s="48"/>
      <c r="J479" s="40">
        <f t="shared" si="73"/>
        <v>0</v>
      </c>
      <c r="K479" s="40" t="e">
        <f>-PMT(Assumptions!C$25/12,Assumptions!C$24*12,J$8)*C479/100</f>
        <v>#NUM!</v>
      </c>
      <c r="L479" s="40" t="e">
        <f>K479*Assumptions!$C$24*12-J479</f>
        <v>#NUM!</v>
      </c>
      <c r="M479" s="43"/>
      <c r="N479" s="40">
        <f t="shared" si="74"/>
        <v>2020</v>
      </c>
      <c r="O479" s="50">
        <f>-PMT(Assumptions!D$25/12,Assumptions!D$24*12,N$8)*C479/100</f>
        <v>21.425234078293197</v>
      </c>
      <c r="P479" s="44">
        <f>O479*Assumptions!$D$24*12-N479</f>
        <v>551.028089395184</v>
      </c>
      <c r="Q479" s="48"/>
      <c r="R479" s="40">
        <f t="shared" si="75"/>
        <v>10100.000000000002</v>
      </c>
      <c r="S479" s="40">
        <f>-PMT(Assumptions!E$25/12,Assumptions!E$24*12,$R$8)*$C479/100</f>
        <v>107.12617039146599</v>
      </c>
      <c r="T479" s="40">
        <f>S479*Assumptions!$E$24*12-R479</f>
        <v>2755.1404469759163</v>
      </c>
      <c r="U479" s="48"/>
      <c r="V479" s="40">
        <f t="shared" si="76"/>
        <v>0</v>
      </c>
      <c r="W479" s="40" t="e">
        <f>-PMT(Assumptions!F$25/12,Assumptions!F$24*12,$V$8)*$C479/100</f>
        <v>#NUM!</v>
      </c>
      <c r="X479" s="40" t="e">
        <f>W479*Assumptions!$F$24*12-V479</f>
        <v>#NUM!</v>
      </c>
      <c r="Y479" s="43"/>
      <c r="Z479" s="40">
        <f t="shared" si="77"/>
        <v>0</v>
      </c>
      <c r="AA479" s="50" t="e">
        <f>-PMT(Assumptions!G$25/12,Assumptions!G$24*12,$Z$8)*$C479/100</f>
        <v>#NUM!</v>
      </c>
      <c r="AB479" s="44" t="e">
        <f>AA479*Assumptions!$G$24*12-Z479</f>
        <v>#NUM!</v>
      </c>
      <c r="AD479" s="54">
        <f t="shared" si="78"/>
        <v>0</v>
      </c>
      <c r="AE479" s="54">
        <f t="shared" si="79"/>
        <v>0</v>
      </c>
      <c r="AF479" s="54">
        <f t="shared" si="80"/>
        <v>2020</v>
      </c>
      <c r="AG479" s="54">
        <f t="shared" si="81"/>
        <v>10100.000000000002</v>
      </c>
      <c r="AH479" s="54">
        <f t="shared" si="82"/>
        <v>0</v>
      </c>
      <c r="AI479" s="54">
        <f t="shared" si="83"/>
        <v>0</v>
      </c>
    </row>
    <row r="480" spans="1:35" ht="15" x14ac:dyDescent="0.2">
      <c r="A480" s="56" t="s">
        <v>575</v>
      </c>
      <c r="B480" s="32"/>
      <c r="C480" s="56">
        <v>0.20200000000000001</v>
      </c>
      <c r="D480" s="56">
        <v>317.16000000000003</v>
      </c>
      <c r="E480" s="36"/>
      <c r="F480" s="40">
        <f t="shared" si="72"/>
        <v>0</v>
      </c>
      <c r="G480" s="40" t="e">
        <f>-PMT(Assumptions!B$25/12,Assumptions!B$24*12,F$8)*C480/100</f>
        <v>#NUM!</v>
      </c>
      <c r="H480" s="40" t="e">
        <f>G480*Assumptions!$B$24*12-F480</f>
        <v>#NUM!</v>
      </c>
      <c r="I480" s="48"/>
      <c r="J480" s="40">
        <f t="shared" si="73"/>
        <v>0</v>
      </c>
      <c r="K480" s="40" t="e">
        <f>-PMT(Assumptions!C$25/12,Assumptions!C$24*12,J$8)*C480/100</f>
        <v>#NUM!</v>
      </c>
      <c r="L480" s="40" t="e">
        <f>K480*Assumptions!$C$24*12-J480</f>
        <v>#NUM!</v>
      </c>
      <c r="M480" s="43"/>
      <c r="N480" s="40">
        <f t="shared" si="74"/>
        <v>2020</v>
      </c>
      <c r="O480" s="50">
        <f>-PMT(Assumptions!D$25/12,Assumptions!D$24*12,N$8)*C480/100</f>
        <v>21.425234078293197</v>
      </c>
      <c r="P480" s="44">
        <f>O480*Assumptions!$D$24*12-N480</f>
        <v>551.028089395184</v>
      </c>
      <c r="Q480" s="48"/>
      <c r="R480" s="40">
        <f t="shared" si="75"/>
        <v>10100.000000000002</v>
      </c>
      <c r="S480" s="40">
        <f>-PMT(Assumptions!E$25/12,Assumptions!E$24*12,$R$8)*$C480/100</f>
        <v>107.12617039146599</v>
      </c>
      <c r="T480" s="40">
        <f>S480*Assumptions!$E$24*12-R480</f>
        <v>2755.1404469759163</v>
      </c>
      <c r="U480" s="48"/>
      <c r="V480" s="40">
        <f t="shared" si="76"/>
        <v>0</v>
      </c>
      <c r="W480" s="40" t="e">
        <f>-PMT(Assumptions!F$25/12,Assumptions!F$24*12,$V$8)*$C480/100</f>
        <v>#NUM!</v>
      </c>
      <c r="X480" s="40" t="e">
        <f>W480*Assumptions!$F$24*12-V480</f>
        <v>#NUM!</v>
      </c>
      <c r="Y480" s="43"/>
      <c r="Z480" s="40">
        <f t="shared" si="77"/>
        <v>0</v>
      </c>
      <c r="AA480" s="50" t="e">
        <f>-PMT(Assumptions!G$25/12,Assumptions!G$24*12,$Z$8)*$C480/100</f>
        <v>#NUM!</v>
      </c>
      <c r="AB480" s="44" t="e">
        <f>AA480*Assumptions!$G$24*12-Z480</f>
        <v>#NUM!</v>
      </c>
      <c r="AD480" s="54">
        <f t="shared" si="78"/>
        <v>0</v>
      </c>
      <c r="AE480" s="54">
        <f t="shared" si="79"/>
        <v>0</v>
      </c>
      <c r="AF480" s="54">
        <f t="shared" si="80"/>
        <v>2020</v>
      </c>
      <c r="AG480" s="54">
        <f t="shared" si="81"/>
        <v>10100.000000000002</v>
      </c>
      <c r="AH480" s="54">
        <f t="shared" si="82"/>
        <v>0</v>
      </c>
      <c r="AI480" s="54">
        <f t="shared" si="83"/>
        <v>0</v>
      </c>
    </row>
    <row r="481" spans="1:35" ht="15" x14ac:dyDescent="0.2">
      <c r="A481" s="56" t="s">
        <v>576</v>
      </c>
      <c r="B481" s="32"/>
      <c r="C481" s="56">
        <v>0.14699999999999999</v>
      </c>
      <c r="D481" s="56">
        <v>230.81</v>
      </c>
      <c r="E481" s="36"/>
      <c r="F481" s="40">
        <f t="shared" si="72"/>
        <v>0</v>
      </c>
      <c r="G481" s="40" t="e">
        <f>-PMT(Assumptions!B$25/12,Assumptions!B$24*12,F$8)*C481/100</f>
        <v>#NUM!</v>
      </c>
      <c r="H481" s="40" t="e">
        <f>G481*Assumptions!$B$24*12-F481</f>
        <v>#NUM!</v>
      </c>
      <c r="I481" s="48"/>
      <c r="J481" s="40">
        <f t="shared" si="73"/>
        <v>0</v>
      </c>
      <c r="K481" s="40" t="e">
        <f>-PMT(Assumptions!C$25/12,Assumptions!C$24*12,J$8)*C481/100</f>
        <v>#NUM!</v>
      </c>
      <c r="L481" s="40" t="e">
        <f>K481*Assumptions!$C$24*12-J481</f>
        <v>#NUM!</v>
      </c>
      <c r="M481" s="43"/>
      <c r="N481" s="40">
        <f t="shared" si="74"/>
        <v>1470</v>
      </c>
      <c r="O481" s="50">
        <f>-PMT(Assumptions!D$25/12,Assumptions!D$24*12,N$8)*C481/100</f>
        <v>15.591630740144058</v>
      </c>
      <c r="P481" s="44">
        <f>O481*Assumptions!$D$24*12-N481</f>
        <v>400.99568881728692</v>
      </c>
      <c r="Q481" s="48"/>
      <c r="R481" s="40">
        <f t="shared" si="75"/>
        <v>7350</v>
      </c>
      <c r="S481" s="40">
        <f>-PMT(Assumptions!E$25/12,Assumptions!E$24*12,$R$8)*$C481/100</f>
        <v>77.958153700720288</v>
      </c>
      <c r="T481" s="40">
        <f>S481*Assumptions!$E$24*12-R481</f>
        <v>2004.978444086435</v>
      </c>
      <c r="U481" s="48"/>
      <c r="V481" s="40">
        <f t="shared" si="76"/>
        <v>0</v>
      </c>
      <c r="W481" s="40" t="e">
        <f>-PMT(Assumptions!F$25/12,Assumptions!F$24*12,$V$8)*$C481/100</f>
        <v>#NUM!</v>
      </c>
      <c r="X481" s="40" t="e">
        <f>W481*Assumptions!$F$24*12-V481</f>
        <v>#NUM!</v>
      </c>
      <c r="Y481" s="43"/>
      <c r="Z481" s="40">
        <f t="shared" si="77"/>
        <v>0</v>
      </c>
      <c r="AA481" s="50" t="e">
        <f>-PMT(Assumptions!G$25/12,Assumptions!G$24*12,$Z$8)*$C481/100</f>
        <v>#NUM!</v>
      </c>
      <c r="AB481" s="44" t="e">
        <f>AA481*Assumptions!$G$24*12-Z481</f>
        <v>#NUM!</v>
      </c>
      <c r="AD481" s="54">
        <f t="shared" si="78"/>
        <v>0</v>
      </c>
      <c r="AE481" s="54">
        <f t="shared" si="79"/>
        <v>0</v>
      </c>
      <c r="AF481" s="54">
        <f t="shared" si="80"/>
        <v>1470</v>
      </c>
      <c r="AG481" s="54">
        <f t="shared" si="81"/>
        <v>7350</v>
      </c>
      <c r="AH481" s="54">
        <f t="shared" si="82"/>
        <v>0</v>
      </c>
      <c r="AI481" s="54">
        <f t="shared" si="83"/>
        <v>0</v>
      </c>
    </row>
    <row r="482" spans="1:35" ht="15" x14ac:dyDescent="0.2">
      <c r="A482" s="56" t="s">
        <v>577</v>
      </c>
      <c r="B482" s="32"/>
      <c r="C482" s="56">
        <v>0.156</v>
      </c>
      <c r="D482" s="56">
        <v>244.94</v>
      </c>
      <c r="E482" s="36"/>
      <c r="F482" s="40">
        <f t="shared" si="72"/>
        <v>0</v>
      </c>
      <c r="G482" s="40" t="e">
        <f>-PMT(Assumptions!B$25/12,Assumptions!B$24*12,F$8)*C482/100</f>
        <v>#NUM!</v>
      </c>
      <c r="H482" s="40" t="e">
        <f>G482*Assumptions!$B$24*12-F482</f>
        <v>#NUM!</v>
      </c>
      <c r="I482" s="48"/>
      <c r="J482" s="40">
        <f t="shared" si="73"/>
        <v>0</v>
      </c>
      <c r="K482" s="40" t="e">
        <f>-PMT(Assumptions!C$25/12,Assumptions!C$24*12,J$8)*C482/100</f>
        <v>#NUM!</v>
      </c>
      <c r="L482" s="40" t="e">
        <f>K482*Assumptions!$C$24*12-J482</f>
        <v>#NUM!</v>
      </c>
      <c r="M482" s="43"/>
      <c r="N482" s="40">
        <f t="shared" si="74"/>
        <v>1560</v>
      </c>
      <c r="O482" s="50">
        <f>-PMT(Assumptions!D$25/12,Assumptions!D$24*12,N$8)*C482/100</f>
        <v>16.546220377295736</v>
      </c>
      <c r="P482" s="44">
        <f>O482*Assumptions!$D$24*12-N482</f>
        <v>425.5464452754884</v>
      </c>
      <c r="Q482" s="48"/>
      <c r="R482" s="40">
        <f t="shared" si="75"/>
        <v>7800</v>
      </c>
      <c r="S482" s="40">
        <f>-PMT(Assumptions!E$25/12,Assumptions!E$24*12,$R$8)*$C482/100</f>
        <v>82.731101886478683</v>
      </c>
      <c r="T482" s="40">
        <f>S482*Assumptions!$E$24*12-R482</f>
        <v>2127.7322263774404</v>
      </c>
      <c r="U482" s="48"/>
      <c r="V482" s="40">
        <f t="shared" si="76"/>
        <v>0</v>
      </c>
      <c r="W482" s="40" t="e">
        <f>-PMT(Assumptions!F$25/12,Assumptions!F$24*12,$V$8)*$C482/100</f>
        <v>#NUM!</v>
      </c>
      <c r="X482" s="40" t="e">
        <f>W482*Assumptions!$F$24*12-V482</f>
        <v>#NUM!</v>
      </c>
      <c r="Y482" s="43"/>
      <c r="Z482" s="40">
        <f t="shared" si="77"/>
        <v>0</v>
      </c>
      <c r="AA482" s="50" t="e">
        <f>-PMT(Assumptions!G$25/12,Assumptions!G$24*12,$Z$8)*$C482/100</f>
        <v>#NUM!</v>
      </c>
      <c r="AB482" s="44" t="e">
        <f>AA482*Assumptions!$G$24*12-Z482</f>
        <v>#NUM!</v>
      </c>
      <c r="AD482" s="54">
        <f t="shared" si="78"/>
        <v>0</v>
      </c>
      <c r="AE482" s="54">
        <f t="shared" si="79"/>
        <v>0</v>
      </c>
      <c r="AF482" s="54">
        <f t="shared" si="80"/>
        <v>1560</v>
      </c>
      <c r="AG482" s="54">
        <f t="shared" si="81"/>
        <v>7800</v>
      </c>
      <c r="AH482" s="54">
        <f t="shared" si="82"/>
        <v>0</v>
      </c>
      <c r="AI482" s="54">
        <f t="shared" si="83"/>
        <v>0</v>
      </c>
    </row>
    <row r="483" spans="1:35" ht="15" x14ac:dyDescent="0.2">
      <c r="A483" s="56" t="s">
        <v>578</v>
      </c>
      <c r="B483" s="32"/>
      <c r="C483" s="56">
        <v>0.14699999999999999</v>
      </c>
      <c r="D483" s="56">
        <v>230.81</v>
      </c>
      <c r="E483" s="36"/>
      <c r="F483" s="40">
        <f t="shared" si="72"/>
        <v>0</v>
      </c>
      <c r="G483" s="40" t="e">
        <f>-PMT(Assumptions!B$25/12,Assumptions!B$24*12,F$8)*C483/100</f>
        <v>#NUM!</v>
      </c>
      <c r="H483" s="40" t="e">
        <f>G483*Assumptions!$B$24*12-F483</f>
        <v>#NUM!</v>
      </c>
      <c r="I483" s="48"/>
      <c r="J483" s="40">
        <f t="shared" si="73"/>
        <v>0</v>
      </c>
      <c r="K483" s="40" t="e">
        <f>-PMT(Assumptions!C$25/12,Assumptions!C$24*12,J$8)*C483/100</f>
        <v>#NUM!</v>
      </c>
      <c r="L483" s="40" t="e">
        <f>K483*Assumptions!$C$24*12-J483</f>
        <v>#NUM!</v>
      </c>
      <c r="M483" s="43"/>
      <c r="N483" s="40">
        <f t="shared" si="74"/>
        <v>1470</v>
      </c>
      <c r="O483" s="50">
        <f>-PMT(Assumptions!D$25/12,Assumptions!D$24*12,N$8)*C483/100</f>
        <v>15.591630740144058</v>
      </c>
      <c r="P483" s="44">
        <f>O483*Assumptions!$D$24*12-N483</f>
        <v>400.99568881728692</v>
      </c>
      <c r="Q483" s="48"/>
      <c r="R483" s="40">
        <f t="shared" si="75"/>
        <v>7350</v>
      </c>
      <c r="S483" s="40">
        <f>-PMT(Assumptions!E$25/12,Assumptions!E$24*12,$R$8)*$C483/100</f>
        <v>77.958153700720288</v>
      </c>
      <c r="T483" s="40">
        <f>S483*Assumptions!$E$24*12-R483</f>
        <v>2004.978444086435</v>
      </c>
      <c r="U483" s="48"/>
      <c r="V483" s="40">
        <f t="shared" si="76"/>
        <v>0</v>
      </c>
      <c r="W483" s="40" t="e">
        <f>-PMT(Assumptions!F$25/12,Assumptions!F$24*12,$V$8)*$C483/100</f>
        <v>#NUM!</v>
      </c>
      <c r="X483" s="40" t="e">
        <f>W483*Assumptions!$F$24*12-V483</f>
        <v>#NUM!</v>
      </c>
      <c r="Y483" s="43"/>
      <c r="Z483" s="40">
        <f t="shared" si="77"/>
        <v>0</v>
      </c>
      <c r="AA483" s="50" t="e">
        <f>-PMT(Assumptions!G$25/12,Assumptions!G$24*12,$Z$8)*$C483/100</f>
        <v>#NUM!</v>
      </c>
      <c r="AB483" s="44" t="e">
        <f>AA483*Assumptions!$G$24*12-Z483</f>
        <v>#NUM!</v>
      </c>
      <c r="AD483" s="54">
        <f t="shared" si="78"/>
        <v>0</v>
      </c>
      <c r="AE483" s="54">
        <f t="shared" si="79"/>
        <v>0</v>
      </c>
      <c r="AF483" s="54">
        <f t="shared" si="80"/>
        <v>1470</v>
      </c>
      <c r="AG483" s="54">
        <f t="shared" si="81"/>
        <v>7350</v>
      </c>
      <c r="AH483" s="54">
        <f t="shared" si="82"/>
        <v>0</v>
      </c>
      <c r="AI483" s="54">
        <f t="shared" si="83"/>
        <v>0</v>
      </c>
    </row>
    <row r="484" spans="1:35" ht="15" x14ac:dyDescent="0.2">
      <c r="A484" s="56" t="s">
        <v>579</v>
      </c>
      <c r="B484" s="32"/>
      <c r="C484" s="56">
        <v>0.156</v>
      </c>
      <c r="D484" s="56">
        <v>244.94</v>
      </c>
      <c r="E484" s="36"/>
      <c r="F484" s="40">
        <f t="shared" si="72"/>
        <v>0</v>
      </c>
      <c r="G484" s="40" t="e">
        <f>-PMT(Assumptions!B$25/12,Assumptions!B$24*12,F$8)*C484/100</f>
        <v>#NUM!</v>
      </c>
      <c r="H484" s="40" t="e">
        <f>G484*Assumptions!$B$24*12-F484</f>
        <v>#NUM!</v>
      </c>
      <c r="I484" s="48"/>
      <c r="J484" s="40">
        <f t="shared" si="73"/>
        <v>0</v>
      </c>
      <c r="K484" s="40" t="e">
        <f>-PMT(Assumptions!C$25/12,Assumptions!C$24*12,J$8)*C484/100</f>
        <v>#NUM!</v>
      </c>
      <c r="L484" s="40" t="e">
        <f>K484*Assumptions!$C$24*12-J484</f>
        <v>#NUM!</v>
      </c>
      <c r="M484" s="43"/>
      <c r="N484" s="40">
        <f t="shared" si="74"/>
        <v>1560</v>
      </c>
      <c r="O484" s="50">
        <f>-PMT(Assumptions!D$25/12,Assumptions!D$24*12,N$8)*C484/100</f>
        <v>16.546220377295736</v>
      </c>
      <c r="P484" s="44">
        <f>O484*Assumptions!$D$24*12-N484</f>
        <v>425.5464452754884</v>
      </c>
      <c r="Q484" s="48"/>
      <c r="R484" s="40">
        <f t="shared" si="75"/>
        <v>7800</v>
      </c>
      <c r="S484" s="40">
        <f>-PMT(Assumptions!E$25/12,Assumptions!E$24*12,$R$8)*$C484/100</f>
        <v>82.731101886478683</v>
      </c>
      <c r="T484" s="40">
        <f>S484*Assumptions!$E$24*12-R484</f>
        <v>2127.7322263774404</v>
      </c>
      <c r="U484" s="48"/>
      <c r="V484" s="40">
        <f t="shared" si="76"/>
        <v>0</v>
      </c>
      <c r="W484" s="40" t="e">
        <f>-PMT(Assumptions!F$25/12,Assumptions!F$24*12,$V$8)*$C484/100</f>
        <v>#NUM!</v>
      </c>
      <c r="X484" s="40" t="e">
        <f>W484*Assumptions!$F$24*12-V484</f>
        <v>#NUM!</v>
      </c>
      <c r="Y484" s="43"/>
      <c r="Z484" s="40">
        <f t="shared" si="77"/>
        <v>0</v>
      </c>
      <c r="AA484" s="50" t="e">
        <f>-PMT(Assumptions!G$25/12,Assumptions!G$24*12,$Z$8)*$C484/100</f>
        <v>#NUM!</v>
      </c>
      <c r="AB484" s="44" t="e">
        <f>AA484*Assumptions!$G$24*12-Z484</f>
        <v>#NUM!</v>
      </c>
      <c r="AD484" s="54">
        <f t="shared" si="78"/>
        <v>0</v>
      </c>
      <c r="AE484" s="54">
        <f t="shared" si="79"/>
        <v>0</v>
      </c>
      <c r="AF484" s="54">
        <f t="shared" si="80"/>
        <v>1560</v>
      </c>
      <c r="AG484" s="54">
        <f t="shared" si="81"/>
        <v>7800</v>
      </c>
      <c r="AH484" s="54">
        <f t="shared" si="82"/>
        <v>0</v>
      </c>
      <c r="AI484" s="54">
        <f t="shared" si="83"/>
        <v>0</v>
      </c>
    </row>
    <row r="485" spans="1:35" ht="15" x14ac:dyDescent="0.2">
      <c r="A485" s="56" t="s">
        <v>580</v>
      </c>
      <c r="B485" s="32"/>
      <c r="C485" s="56">
        <v>0.219</v>
      </c>
      <c r="D485" s="56">
        <v>343.85</v>
      </c>
      <c r="E485" s="36"/>
      <c r="F485" s="40">
        <f t="shared" si="72"/>
        <v>0</v>
      </c>
      <c r="G485" s="40" t="e">
        <f>-PMT(Assumptions!B$25/12,Assumptions!B$24*12,F$8)*C485/100</f>
        <v>#NUM!</v>
      </c>
      <c r="H485" s="40" t="e">
        <f>G485*Assumptions!$B$24*12-F485</f>
        <v>#NUM!</v>
      </c>
      <c r="I485" s="48"/>
      <c r="J485" s="40">
        <f t="shared" si="73"/>
        <v>0</v>
      </c>
      <c r="K485" s="40" t="e">
        <f>-PMT(Assumptions!C$25/12,Assumptions!C$24*12,J$8)*C485/100</f>
        <v>#NUM!</v>
      </c>
      <c r="L485" s="40" t="e">
        <f>K485*Assumptions!$C$24*12-J485</f>
        <v>#NUM!</v>
      </c>
      <c r="M485" s="43"/>
      <c r="N485" s="40">
        <f t="shared" si="74"/>
        <v>2190</v>
      </c>
      <c r="O485" s="50">
        <f>-PMT(Assumptions!D$25/12,Assumptions!D$24*12,N$8)*C485/100</f>
        <v>23.228347837357475</v>
      </c>
      <c r="P485" s="44">
        <f>O485*Assumptions!$D$24*12-N485</f>
        <v>597.40174048289691</v>
      </c>
      <c r="Q485" s="48"/>
      <c r="R485" s="40">
        <f t="shared" si="75"/>
        <v>10950</v>
      </c>
      <c r="S485" s="40">
        <f>-PMT(Assumptions!E$25/12,Assumptions!E$24*12,$R$8)*$C485/100</f>
        <v>116.14173918678738</v>
      </c>
      <c r="T485" s="40">
        <f>S485*Assumptions!$E$24*12-R485</f>
        <v>2987.008702414485</v>
      </c>
      <c r="U485" s="48"/>
      <c r="V485" s="40">
        <f t="shared" si="76"/>
        <v>0</v>
      </c>
      <c r="W485" s="40" t="e">
        <f>-PMT(Assumptions!F$25/12,Assumptions!F$24*12,$V$8)*$C485/100</f>
        <v>#NUM!</v>
      </c>
      <c r="X485" s="40" t="e">
        <f>W485*Assumptions!$F$24*12-V485</f>
        <v>#NUM!</v>
      </c>
      <c r="Y485" s="43"/>
      <c r="Z485" s="40">
        <f t="shared" si="77"/>
        <v>0</v>
      </c>
      <c r="AA485" s="50" t="e">
        <f>-PMT(Assumptions!G$25/12,Assumptions!G$24*12,$Z$8)*$C485/100</f>
        <v>#NUM!</v>
      </c>
      <c r="AB485" s="44" t="e">
        <f>AA485*Assumptions!$G$24*12-Z485</f>
        <v>#NUM!</v>
      </c>
      <c r="AD485" s="54">
        <f t="shared" si="78"/>
        <v>0</v>
      </c>
      <c r="AE485" s="54">
        <f t="shared" si="79"/>
        <v>0</v>
      </c>
      <c r="AF485" s="54">
        <f t="shared" si="80"/>
        <v>2190</v>
      </c>
      <c r="AG485" s="54">
        <f t="shared" si="81"/>
        <v>10950</v>
      </c>
      <c r="AH485" s="54">
        <f t="shared" si="82"/>
        <v>0</v>
      </c>
      <c r="AI485" s="54">
        <f t="shared" si="83"/>
        <v>0</v>
      </c>
    </row>
    <row r="486" spans="1:35" ht="15" x14ac:dyDescent="0.2">
      <c r="A486" s="56" t="s">
        <v>581</v>
      </c>
      <c r="B486" s="32"/>
      <c r="C486" s="56">
        <v>0.22700000000000001</v>
      </c>
      <c r="D486" s="56">
        <v>356.41</v>
      </c>
      <c r="E486" s="36"/>
      <c r="F486" s="40">
        <f t="shared" si="72"/>
        <v>0</v>
      </c>
      <c r="G486" s="40" t="e">
        <f>-PMT(Assumptions!B$25/12,Assumptions!B$24*12,F$8)*C486/100</f>
        <v>#NUM!</v>
      </c>
      <c r="H486" s="40" t="e">
        <f>G486*Assumptions!$B$24*12-F486</f>
        <v>#NUM!</v>
      </c>
      <c r="I486" s="48"/>
      <c r="J486" s="40">
        <f t="shared" si="73"/>
        <v>0</v>
      </c>
      <c r="K486" s="40" t="e">
        <f>-PMT(Assumptions!C$25/12,Assumptions!C$24*12,J$8)*C486/100</f>
        <v>#NUM!</v>
      </c>
      <c r="L486" s="40" t="e">
        <f>K486*Assumptions!$C$24*12-J486</f>
        <v>#NUM!</v>
      </c>
      <c r="M486" s="43"/>
      <c r="N486" s="40">
        <f t="shared" si="74"/>
        <v>2270</v>
      </c>
      <c r="O486" s="50">
        <f>-PMT(Assumptions!D$25/12,Assumptions!D$24*12,N$8)*C486/100</f>
        <v>24.076871959270079</v>
      </c>
      <c r="P486" s="44">
        <f>O486*Assumptions!$D$24*12-N486</f>
        <v>619.22463511240949</v>
      </c>
      <c r="Q486" s="48"/>
      <c r="R486" s="40">
        <f t="shared" si="75"/>
        <v>11350</v>
      </c>
      <c r="S486" s="40">
        <f>-PMT(Assumptions!E$25/12,Assumptions!E$24*12,$R$8)*$C486/100</f>
        <v>120.3843597963504</v>
      </c>
      <c r="T486" s="40">
        <f>S486*Assumptions!$E$24*12-R486</f>
        <v>3096.1231755620465</v>
      </c>
      <c r="U486" s="48"/>
      <c r="V486" s="40">
        <f t="shared" si="76"/>
        <v>0</v>
      </c>
      <c r="W486" s="40" t="e">
        <f>-PMT(Assumptions!F$25/12,Assumptions!F$24*12,$V$8)*$C486/100</f>
        <v>#NUM!</v>
      </c>
      <c r="X486" s="40" t="e">
        <f>W486*Assumptions!$F$24*12-V486</f>
        <v>#NUM!</v>
      </c>
      <c r="Y486" s="43"/>
      <c r="Z486" s="40">
        <f t="shared" si="77"/>
        <v>0</v>
      </c>
      <c r="AA486" s="50" t="e">
        <f>-PMT(Assumptions!G$25/12,Assumptions!G$24*12,$Z$8)*$C486/100</f>
        <v>#NUM!</v>
      </c>
      <c r="AB486" s="44" t="e">
        <f>AA486*Assumptions!$G$24*12-Z486</f>
        <v>#NUM!</v>
      </c>
      <c r="AD486" s="54">
        <f t="shared" si="78"/>
        <v>0</v>
      </c>
      <c r="AE486" s="54">
        <f t="shared" si="79"/>
        <v>0</v>
      </c>
      <c r="AF486" s="54">
        <f t="shared" si="80"/>
        <v>2270</v>
      </c>
      <c r="AG486" s="54">
        <f t="shared" si="81"/>
        <v>11350</v>
      </c>
      <c r="AH486" s="54">
        <f t="shared" si="82"/>
        <v>0</v>
      </c>
      <c r="AI486" s="54">
        <f t="shared" si="83"/>
        <v>0</v>
      </c>
    </row>
    <row r="487" spans="1:35" ht="15" x14ac:dyDescent="0.2">
      <c r="A487" s="56" t="s">
        <v>582</v>
      </c>
      <c r="B487" s="32"/>
      <c r="C487" s="56">
        <v>0.20599999999999999</v>
      </c>
      <c r="D487" s="56">
        <v>323.44</v>
      </c>
      <c r="E487" s="36"/>
      <c r="F487" s="40">
        <f t="shared" si="72"/>
        <v>0</v>
      </c>
      <c r="G487" s="40" t="e">
        <f>-PMT(Assumptions!B$25/12,Assumptions!B$24*12,F$8)*C487/100</f>
        <v>#NUM!</v>
      </c>
      <c r="H487" s="40" t="e">
        <f>G487*Assumptions!$B$24*12-F487</f>
        <v>#NUM!</v>
      </c>
      <c r="I487" s="48"/>
      <c r="J487" s="40">
        <f t="shared" si="73"/>
        <v>0</v>
      </c>
      <c r="K487" s="40" t="e">
        <f>-PMT(Assumptions!C$25/12,Assumptions!C$24*12,J$8)*C487/100</f>
        <v>#NUM!</v>
      </c>
      <c r="L487" s="40" t="e">
        <f>K487*Assumptions!$C$24*12-J487</f>
        <v>#NUM!</v>
      </c>
      <c r="M487" s="43"/>
      <c r="N487" s="40">
        <f t="shared" si="74"/>
        <v>2060</v>
      </c>
      <c r="O487" s="50">
        <f>-PMT(Assumptions!D$25/12,Assumptions!D$24*12,N$8)*C487/100</f>
        <v>21.849496139249496</v>
      </c>
      <c r="P487" s="44">
        <f>O487*Assumptions!$D$24*12-N487</f>
        <v>561.9395367099396</v>
      </c>
      <c r="Q487" s="48"/>
      <c r="R487" s="40">
        <f t="shared" si="75"/>
        <v>10300</v>
      </c>
      <c r="S487" s="40">
        <f>-PMT(Assumptions!E$25/12,Assumptions!E$24*12,$R$8)*$C487/100</f>
        <v>109.24748069624748</v>
      </c>
      <c r="T487" s="40">
        <f>S487*Assumptions!$E$24*12-R487</f>
        <v>2809.6976835496971</v>
      </c>
      <c r="U487" s="48"/>
      <c r="V487" s="40">
        <f t="shared" si="76"/>
        <v>0</v>
      </c>
      <c r="W487" s="40" t="e">
        <f>-PMT(Assumptions!F$25/12,Assumptions!F$24*12,$V$8)*$C487/100</f>
        <v>#NUM!</v>
      </c>
      <c r="X487" s="40" t="e">
        <f>W487*Assumptions!$F$24*12-V487</f>
        <v>#NUM!</v>
      </c>
      <c r="Y487" s="43"/>
      <c r="Z487" s="40">
        <f t="shared" si="77"/>
        <v>0</v>
      </c>
      <c r="AA487" s="50" t="e">
        <f>-PMT(Assumptions!G$25/12,Assumptions!G$24*12,$Z$8)*$C487/100</f>
        <v>#NUM!</v>
      </c>
      <c r="AB487" s="44" t="e">
        <f>AA487*Assumptions!$G$24*12-Z487</f>
        <v>#NUM!</v>
      </c>
      <c r="AD487" s="54">
        <f t="shared" si="78"/>
        <v>0</v>
      </c>
      <c r="AE487" s="54">
        <f t="shared" si="79"/>
        <v>0</v>
      </c>
      <c r="AF487" s="54">
        <f t="shared" si="80"/>
        <v>2060</v>
      </c>
      <c r="AG487" s="54">
        <f t="shared" si="81"/>
        <v>10300</v>
      </c>
      <c r="AH487" s="54">
        <f t="shared" si="82"/>
        <v>0</v>
      </c>
      <c r="AI487" s="54">
        <f t="shared" si="83"/>
        <v>0</v>
      </c>
    </row>
    <row r="488" spans="1:35" ht="15" x14ac:dyDescent="0.2">
      <c r="A488" s="56" t="s">
        <v>583</v>
      </c>
      <c r="B488" s="32"/>
      <c r="C488" s="56">
        <v>0.20599999999999999</v>
      </c>
      <c r="D488" s="56">
        <v>323.44</v>
      </c>
      <c r="E488" s="36"/>
      <c r="F488" s="40">
        <f t="shared" si="72"/>
        <v>0</v>
      </c>
      <c r="G488" s="40" t="e">
        <f>-PMT(Assumptions!B$25/12,Assumptions!B$24*12,F$8)*C488/100</f>
        <v>#NUM!</v>
      </c>
      <c r="H488" s="40" t="e">
        <f>G488*Assumptions!$B$24*12-F488</f>
        <v>#NUM!</v>
      </c>
      <c r="I488" s="48"/>
      <c r="J488" s="40">
        <f t="shared" si="73"/>
        <v>0</v>
      </c>
      <c r="K488" s="40" t="e">
        <f>-PMT(Assumptions!C$25/12,Assumptions!C$24*12,J$8)*C488/100</f>
        <v>#NUM!</v>
      </c>
      <c r="L488" s="40" t="e">
        <f>K488*Assumptions!$C$24*12-J488</f>
        <v>#NUM!</v>
      </c>
      <c r="M488" s="43"/>
      <c r="N488" s="40">
        <f t="shared" si="74"/>
        <v>2060</v>
      </c>
      <c r="O488" s="50">
        <f>-PMT(Assumptions!D$25/12,Assumptions!D$24*12,N$8)*C488/100</f>
        <v>21.849496139249496</v>
      </c>
      <c r="P488" s="44">
        <f>O488*Assumptions!$D$24*12-N488</f>
        <v>561.9395367099396</v>
      </c>
      <c r="Q488" s="48"/>
      <c r="R488" s="40">
        <f t="shared" si="75"/>
        <v>10300</v>
      </c>
      <c r="S488" s="40">
        <f>-PMT(Assumptions!E$25/12,Assumptions!E$24*12,$R$8)*$C488/100</f>
        <v>109.24748069624748</v>
      </c>
      <c r="T488" s="40">
        <f>S488*Assumptions!$E$24*12-R488</f>
        <v>2809.6976835496971</v>
      </c>
      <c r="U488" s="48"/>
      <c r="V488" s="40">
        <f t="shared" si="76"/>
        <v>0</v>
      </c>
      <c r="W488" s="40" t="e">
        <f>-PMT(Assumptions!F$25/12,Assumptions!F$24*12,$V$8)*$C488/100</f>
        <v>#NUM!</v>
      </c>
      <c r="X488" s="40" t="e">
        <f>W488*Assumptions!$F$24*12-V488</f>
        <v>#NUM!</v>
      </c>
      <c r="Y488" s="43"/>
      <c r="Z488" s="40">
        <f t="shared" si="77"/>
        <v>0</v>
      </c>
      <c r="AA488" s="50" t="e">
        <f>-PMT(Assumptions!G$25/12,Assumptions!G$24*12,$Z$8)*$C488/100</f>
        <v>#NUM!</v>
      </c>
      <c r="AB488" s="44" t="e">
        <f>AA488*Assumptions!$G$24*12-Z488</f>
        <v>#NUM!</v>
      </c>
      <c r="AD488" s="54">
        <f t="shared" si="78"/>
        <v>0</v>
      </c>
      <c r="AE488" s="54">
        <f t="shared" si="79"/>
        <v>0</v>
      </c>
      <c r="AF488" s="54">
        <f t="shared" si="80"/>
        <v>2060</v>
      </c>
      <c r="AG488" s="54">
        <f t="shared" si="81"/>
        <v>10300</v>
      </c>
      <c r="AH488" s="54">
        <f t="shared" si="82"/>
        <v>0</v>
      </c>
      <c r="AI488" s="54">
        <f t="shared" si="83"/>
        <v>0</v>
      </c>
    </row>
    <row r="489" spans="1:35" ht="15" x14ac:dyDescent="0.2">
      <c r="A489" s="56" t="s">
        <v>584</v>
      </c>
      <c r="B489" s="32"/>
      <c r="C489" s="56">
        <v>0.28399999999999997</v>
      </c>
      <c r="D489" s="56">
        <v>445.91</v>
      </c>
      <c r="E489" s="36"/>
      <c r="F489" s="40">
        <f t="shared" si="72"/>
        <v>0</v>
      </c>
      <c r="G489" s="40" t="e">
        <f>-PMT(Assumptions!B$25/12,Assumptions!B$24*12,F$8)*C489/100</f>
        <v>#NUM!</v>
      </c>
      <c r="H489" s="40" t="e">
        <f>G489*Assumptions!$B$24*12-F489</f>
        <v>#NUM!</v>
      </c>
      <c r="I489" s="48"/>
      <c r="J489" s="40">
        <f t="shared" si="73"/>
        <v>0</v>
      </c>
      <c r="K489" s="40" t="e">
        <f>-PMT(Assumptions!C$25/12,Assumptions!C$24*12,J$8)*C489/100</f>
        <v>#NUM!</v>
      </c>
      <c r="L489" s="40" t="e">
        <f>K489*Assumptions!$C$24*12-J489</f>
        <v>#NUM!</v>
      </c>
      <c r="M489" s="43"/>
      <c r="N489" s="40">
        <f t="shared" si="74"/>
        <v>2840</v>
      </c>
      <c r="O489" s="50">
        <f>-PMT(Assumptions!D$25/12,Assumptions!D$24*12,N$8)*C489/100</f>
        <v>30.122606327897362</v>
      </c>
      <c r="P489" s="44">
        <f>O489*Assumptions!$D$24*12-N489</f>
        <v>774.71275934768346</v>
      </c>
      <c r="Q489" s="48"/>
      <c r="R489" s="40">
        <f t="shared" si="75"/>
        <v>14199.999999999998</v>
      </c>
      <c r="S489" s="40">
        <f>-PMT(Assumptions!E$25/12,Assumptions!E$24*12,$R$8)*$C489/100</f>
        <v>150.61303163948682</v>
      </c>
      <c r="T489" s="40">
        <f>S489*Assumptions!$E$24*12-R489</f>
        <v>3873.5637967384191</v>
      </c>
      <c r="U489" s="48"/>
      <c r="V489" s="40">
        <f t="shared" si="76"/>
        <v>0</v>
      </c>
      <c r="W489" s="40" t="e">
        <f>-PMT(Assumptions!F$25/12,Assumptions!F$24*12,$V$8)*$C489/100</f>
        <v>#NUM!</v>
      </c>
      <c r="X489" s="40" t="e">
        <f>W489*Assumptions!$F$24*12-V489</f>
        <v>#NUM!</v>
      </c>
      <c r="Y489" s="43"/>
      <c r="Z489" s="40">
        <f t="shared" si="77"/>
        <v>0</v>
      </c>
      <c r="AA489" s="50" t="e">
        <f>-PMT(Assumptions!G$25/12,Assumptions!G$24*12,$Z$8)*$C489/100</f>
        <v>#NUM!</v>
      </c>
      <c r="AB489" s="44" t="e">
        <f>AA489*Assumptions!$G$24*12-Z489</f>
        <v>#NUM!</v>
      </c>
      <c r="AD489" s="54">
        <f t="shared" si="78"/>
        <v>0</v>
      </c>
      <c r="AE489" s="54">
        <f t="shared" si="79"/>
        <v>0</v>
      </c>
      <c r="AF489" s="54">
        <f t="shared" si="80"/>
        <v>2840</v>
      </c>
      <c r="AG489" s="54">
        <f t="shared" si="81"/>
        <v>14199.999999999998</v>
      </c>
      <c r="AH489" s="54">
        <f t="shared" si="82"/>
        <v>0</v>
      </c>
      <c r="AI489" s="54">
        <f t="shared" si="83"/>
        <v>0</v>
      </c>
    </row>
    <row r="490" spans="1:35" ht="15" x14ac:dyDescent="0.2">
      <c r="A490" s="56" t="s">
        <v>585</v>
      </c>
      <c r="B490" s="32"/>
      <c r="C490" s="56">
        <v>0.28399999999999997</v>
      </c>
      <c r="D490" s="56">
        <v>445.91</v>
      </c>
      <c r="E490" s="36"/>
      <c r="F490" s="40">
        <f t="shared" si="72"/>
        <v>0</v>
      </c>
      <c r="G490" s="40" t="e">
        <f>-PMT(Assumptions!B$25/12,Assumptions!B$24*12,F$8)*C490/100</f>
        <v>#NUM!</v>
      </c>
      <c r="H490" s="40" t="e">
        <f>G490*Assumptions!$B$24*12-F490</f>
        <v>#NUM!</v>
      </c>
      <c r="I490" s="48"/>
      <c r="J490" s="40">
        <f t="shared" si="73"/>
        <v>0</v>
      </c>
      <c r="K490" s="40" t="e">
        <f>-PMT(Assumptions!C$25/12,Assumptions!C$24*12,J$8)*C490/100</f>
        <v>#NUM!</v>
      </c>
      <c r="L490" s="40" t="e">
        <f>K490*Assumptions!$C$24*12-J490</f>
        <v>#NUM!</v>
      </c>
      <c r="M490" s="43"/>
      <c r="N490" s="40">
        <f t="shared" si="74"/>
        <v>2840</v>
      </c>
      <c r="O490" s="50">
        <f>-PMT(Assumptions!D$25/12,Assumptions!D$24*12,N$8)*C490/100</f>
        <v>30.122606327897362</v>
      </c>
      <c r="P490" s="44">
        <f>O490*Assumptions!$D$24*12-N490</f>
        <v>774.71275934768346</v>
      </c>
      <c r="Q490" s="48"/>
      <c r="R490" s="40">
        <f t="shared" si="75"/>
        <v>14199.999999999998</v>
      </c>
      <c r="S490" s="40">
        <f>-PMT(Assumptions!E$25/12,Assumptions!E$24*12,$R$8)*$C490/100</f>
        <v>150.61303163948682</v>
      </c>
      <c r="T490" s="40">
        <f>S490*Assumptions!$E$24*12-R490</f>
        <v>3873.5637967384191</v>
      </c>
      <c r="U490" s="48"/>
      <c r="V490" s="40">
        <f t="shared" si="76"/>
        <v>0</v>
      </c>
      <c r="W490" s="40" t="e">
        <f>-PMT(Assumptions!F$25/12,Assumptions!F$24*12,$V$8)*$C490/100</f>
        <v>#NUM!</v>
      </c>
      <c r="X490" s="40" t="e">
        <f>W490*Assumptions!$F$24*12-V490</f>
        <v>#NUM!</v>
      </c>
      <c r="Y490" s="43"/>
      <c r="Z490" s="40">
        <f t="shared" si="77"/>
        <v>0</v>
      </c>
      <c r="AA490" s="50" t="e">
        <f>-PMT(Assumptions!G$25/12,Assumptions!G$24*12,$Z$8)*$C490/100</f>
        <v>#NUM!</v>
      </c>
      <c r="AB490" s="44" t="e">
        <f>AA490*Assumptions!$G$24*12-Z490</f>
        <v>#NUM!</v>
      </c>
      <c r="AD490" s="54">
        <f t="shared" si="78"/>
        <v>0</v>
      </c>
      <c r="AE490" s="54">
        <f t="shared" si="79"/>
        <v>0</v>
      </c>
      <c r="AF490" s="54">
        <f t="shared" si="80"/>
        <v>2840</v>
      </c>
      <c r="AG490" s="54">
        <f t="shared" si="81"/>
        <v>14199.999999999998</v>
      </c>
      <c r="AH490" s="54">
        <f t="shared" si="82"/>
        <v>0</v>
      </c>
      <c r="AI490" s="54">
        <f t="shared" si="83"/>
        <v>0</v>
      </c>
    </row>
    <row r="491" spans="1:35" ht="15" x14ac:dyDescent="0.2">
      <c r="A491" s="56" t="s">
        <v>586</v>
      </c>
      <c r="B491" s="32"/>
      <c r="C491" s="56">
        <v>0.30099999999999999</v>
      </c>
      <c r="D491" s="56">
        <v>472.6</v>
      </c>
      <c r="E491" s="36"/>
      <c r="F491" s="40">
        <f t="shared" si="72"/>
        <v>0</v>
      </c>
      <c r="G491" s="40" t="e">
        <f>-PMT(Assumptions!B$25/12,Assumptions!B$24*12,F$8)*C491/100</f>
        <v>#NUM!</v>
      </c>
      <c r="H491" s="40" t="e">
        <f>G491*Assumptions!$B$24*12-F491</f>
        <v>#NUM!</v>
      </c>
      <c r="I491" s="48"/>
      <c r="J491" s="40">
        <f t="shared" si="73"/>
        <v>0</v>
      </c>
      <c r="K491" s="40" t="e">
        <f>-PMT(Assumptions!C$25/12,Assumptions!C$24*12,J$8)*C491/100</f>
        <v>#NUM!</v>
      </c>
      <c r="L491" s="40" t="e">
        <f>K491*Assumptions!$C$24*12-J491</f>
        <v>#NUM!</v>
      </c>
      <c r="M491" s="43"/>
      <c r="N491" s="40">
        <f t="shared" si="74"/>
        <v>3010</v>
      </c>
      <c r="O491" s="50">
        <f>-PMT(Assumptions!D$25/12,Assumptions!D$24*12,N$8)*C491/100</f>
        <v>31.925720086961643</v>
      </c>
      <c r="P491" s="44">
        <f>O491*Assumptions!$D$24*12-N491</f>
        <v>821.08641043539728</v>
      </c>
      <c r="Q491" s="48"/>
      <c r="R491" s="40">
        <f t="shared" si="75"/>
        <v>15050</v>
      </c>
      <c r="S491" s="40">
        <f>-PMT(Assumptions!E$25/12,Assumptions!E$24*12,$R$8)*$C491/100</f>
        <v>159.62860043480822</v>
      </c>
      <c r="T491" s="40">
        <f>S491*Assumptions!$E$24*12-R491</f>
        <v>4105.4320521769878</v>
      </c>
      <c r="U491" s="48"/>
      <c r="V491" s="40">
        <f t="shared" si="76"/>
        <v>0</v>
      </c>
      <c r="W491" s="40" t="e">
        <f>-PMT(Assumptions!F$25/12,Assumptions!F$24*12,$V$8)*$C491/100</f>
        <v>#NUM!</v>
      </c>
      <c r="X491" s="40" t="e">
        <f>W491*Assumptions!$F$24*12-V491</f>
        <v>#NUM!</v>
      </c>
      <c r="Y491" s="43"/>
      <c r="Z491" s="40">
        <f t="shared" si="77"/>
        <v>0</v>
      </c>
      <c r="AA491" s="50" t="e">
        <f>-PMT(Assumptions!G$25/12,Assumptions!G$24*12,$Z$8)*$C491/100</f>
        <v>#NUM!</v>
      </c>
      <c r="AB491" s="44" t="e">
        <f>AA491*Assumptions!$G$24*12-Z491</f>
        <v>#NUM!</v>
      </c>
      <c r="AD491" s="54">
        <f t="shared" si="78"/>
        <v>0</v>
      </c>
      <c r="AE491" s="54">
        <f t="shared" si="79"/>
        <v>0</v>
      </c>
      <c r="AF491" s="54">
        <f t="shared" si="80"/>
        <v>3010</v>
      </c>
      <c r="AG491" s="54">
        <f t="shared" si="81"/>
        <v>15050</v>
      </c>
      <c r="AH491" s="54">
        <f t="shared" si="82"/>
        <v>0</v>
      </c>
      <c r="AI491" s="54">
        <f t="shared" si="83"/>
        <v>0</v>
      </c>
    </row>
    <row r="492" spans="1:35" ht="15" x14ac:dyDescent="0.2">
      <c r="A492" s="56" t="s">
        <v>587</v>
      </c>
      <c r="B492" s="32"/>
      <c r="C492" s="56">
        <v>0.30099999999999999</v>
      </c>
      <c r="D492" s="56">
        <v>472.6</v>
      </c>
      <c r="E492" s="36"/>
      <c r="F492" s="40">
        <f t="shared" si="72"/>
        <v>0</v>
      </c>
      <c r="G492" s="40" t="e">
        <f>-PMT(Assumptions!B$25/12,Assumptions!B$24*12,F$8)*C492/100</f>
        <v>#NUM!</v>
      </c>
      <c r="H492" s="40" t="e">
        <f>G492*Assumptions!$B$24*12-F492</f>
        <v>#NUM!</v>
      </c>
      <c r="I492" s="48"/>
      <c r="J492" s="40">
        <f t="shared" si="73"/>
        <v>0</v>
      </c>
      <c r="K492" s="40" t="e">
        <f>-PMT(Assumptions!C$25/12,Assumptions!C$24*12,J$8)*C492/100</f>
        <v>#NUM!</v>
      </c>
      <c r="L492" s="40" t="e">
        <f>K492*Assumptions!$C$24*12-J492</f>
        <v>#NUM!</v>
      </c>
      <c r="M492" s="43"/>
      <c r="N492" s="40">
        <f t="shared" si="74"/>
        <v>3010</v>
      </c>
      <c r="O492" s="50">
        <f>-PMT(Assumptions!D$25/12,Assumptions!D$24*12,N$8)*C492/100</f>
        <v>31.925720086961643</v>
      </c>
      <c r="P492" s="44">
        <f>O492*Assumptions!$D$24*12-N492</f>
        <v>821.08641043539728</v>
      </c>
      <c r="Q492" s="48"/>
      <c r="R492" s="40">
        <f t="shared" si="75"/>
        <v>15050</v>
      </c>
      <c r="S492" s="40">
        <f>-PMT(Assumptions!E$25/12,Assumptions!E$24*12,$R$8)*$C492/100</f>
        <v>159.62860043480822</v>
      </c>
      <c r="T492" s="40">
        <f>S492*Assumptions!$E$24*12-R492</f>
        <v>4105.4320521769878</v>
      </c>
      <c r="U492" s="48"/>
      <c r="V492" s="40">
        <f t="shared" si="76"/>
        <v>0</v>
      </c>
      <c r="W492" s="40" t="e">
        <f>-PMT(Assumptions!F$25/12,Assumptions!F$24*12,$V$8)*$C492/100</f>
        <v>#NUM!</v>
      </c>
      <c r="X492" s="40" t="e">
        <f>W492*Assumptions!$F$24*12-V492</f>
        <v>#NUM!</v>
      </c>
      <c r="Y492" s="43"/>
      <c r="Z492" s="40">
        <f t="shared" si="77"/>
        <v>0</v>
      </c>
      <c r="AA492" s="50" t="e">
        <f>-PMT(Assumptions!G$25/12,Assumptions!G$24*12,$Z$8)*$C492/100</f>
        <v>#NUM!</v>
      </c>
      <c r="AB492" s="44" t="e">
        <f>AA492*Assumptions!$G$24*12-Z492</f>
        <v>#NUM!</v>
      </c>
      <c r="AD492" s="54">
        <f t="shared" si="78"/>
        <v>0</v>
      </c>
      <c r="AE492" s="54">
        <f t="shared" si="79"/>
        <v>0</v>
      </c>
      <c r="AF492" s="54">
        <f t="shared" si="80"/>
        <v>3010</v>
      </c>
      <c r="AG492" s="54">
        <f t="shared" si="81"/>
        <v>15050</v>
      </c>
      <c r="AH492" s="54">
        <f t="shared" si="82"/>
        <v>0</v>
      </c>
      <c r="AI492" s="54">
        <f t="shared" si="83"/>
        <v>0</v>
      </c>
    </row>
    <row r="493" spans="1:35" ht="15" x14ac:dyDescent="0.2">
      <c r="A493" s="56" t="s">
        <v>588</v>
      </c>
      <c r="B493" s="32"/>
      <c r="C493" s="56">
        <v>0.20799999999999999</v>
      </c>
      <c r="D493" s="56">
        <v>326.58</v>
      </c>
      <c r="E493" s="36"/>
      <c r="F493" s="40">
        <f t="shared" si="72"/>
        <v>0</v>
      </c>
      <c r="G493" s="40" t="e">
        <f>-PMT(Assumptions!B$25/12,Assumptions!B$24*12,F$8)*C493/100</f>
        <v>#NUM!</v>
      </c>
      <c r="H493" s="40" t="e">
        <f>G493*Assumptions!$B$24*12-F493</f>
        <v>#NUM!</v>
      </c>
      <c r="I493" s="48"/>
      <c r="J493" s="40">
        <f t="shared" si="73"/>
        <v>0</v>
      </c>
      <c r="K493" s="40" t="e">
        <f>-PMT(Assumptions!C$25/12,Assumptions!C$24*12,J$8)*C493/100</f>
        <v>#NUM!</v>
      </c>
      <c r="L493" s="40" t="e">
        <f>K493*Assumptions!$C$24*12-J493</f>
        <v>#NUM!</v>
      </c>
      <c r="M493" s="43"/>
      <c r="N493" s="40">
        <f t="shared" si="74"/>
        <v>2080</v>
      </c>
      <c r="O493" s="50">
        <f>-PMT(Assumptions!D$25/12,Assumptions!D$24*12,N$8)*C493/100</f>
        <v>22.06162716972765</v>
      </c>
      <c r="P493" s="44">
        <f>O493*Assumptions!$D$24*12-N493</f>
        <v>567.39526036731786</v>
      </c>
      <c r="Q493" s="48"/>
      <c r="R493" s="40">
        <f t="shared" si="75"/>
        <v>10400</v>
      </c>
      <c r="S493" s="40">
        <f>-PMT(Assumptions!E$25/12,Assumptions!E$24*12,$R$8)*$C493/100</f>
        <v>110.30813584863823</v>
      </c>
      <c r="T493" s="40">
        <f>S493*Assumptions!$E$24*12-R493</f>
        <v>2836.9763018365866</v>
      </c>
      <c r="U493" s="48"/>
      <c r="V493" s="40">
        <f t="shared" si="76"/>
        <v>0</v>
      </c>
      <c r="W493" s="40" t="e">
        <f>-PMT(Assumptions!F$25/12,Assumptions!F$24*12,$V$8)*$C493/100</f>
        <v>#NUM!</v>
      </c>
      <c r="X493" s="40" t="e">
        <f>W493*Assumptions!$F$24*12-V493</f>
        <v>#NUM!</v>
      </c>
      <c r="Y493" s="43"/>
      <c r="Z493" s="40">
        <f t="shared" si="77"/>
        <v>0</v>
      </c>
      <c r="AA493" s="50" t="e">
        <f>-PMT(Assumptions!G$25/12,Assumptions!G$24*12,$Z$8)*$C493/100</f>
        <v>#NUM!</v>
      </c>
      <c r="AB493" s="44" t="e">
        <f>AA493*Assumptions!$G$24*12-Z493</f>
        <v>#NUM!</v>
      </c>
      <c r="AD493" s="54">
        <f t="shared" si="78"/>
        <v>0</v>
      </c>
      <c r="AE493" s="54">
        <f t="shared" si="79"/>
        <v>0</v>
      </c>
      <c r="AF493" s="54">
        <f t="shared" si="80"/>
        <v>2080</v>
      </c>
      <c r="AG493" s="54">
        <f t="shared" si="81"/>
        <v>10400</v>
      </c>
      <c r="AH493" s="54">
        <f t="shared" si="82"/>
        <v>0</v>
      </c>
      <c r="AI493" s="54">
        <f t="shared" si="83"/>
        <v>0</v>
      </c>
    </row>
    <row r="494" spans="1:35" ht="15" x14ac:dyDescent="0.2">
      <c r="A494" s="56" t="s">
        <v>589</v>
      </c>
      <c r="B494" s="32"/>
      <c r="C494" s="56">
        <v>0.20799999999999999</v>
      </c>
      <c r="D494" s="56">
        <v>326.58</v>
      </c>
      <c r="E494" s="36"/>
      <c r="F494" s="40">
        <f t="shared" si="72"/>
        <v>0</v>
      </c>
      <c r="G494" s="40" t="e">
        <f>-PMT(Assumptions!B$25/12,Assumptions!B$24*12,F$8)*C494/100</f>
        <v>#NUM!</v>
      </c>
      <c r="H494" s="40" t="e">
        <f>G494*Assumptions!$B$24*12-F494</f>
        <v>#NUM!</v>
      </c>
      <c r="I494" s="48"/>
      <c r="J494" s="40">
        <f t="shared" si="73"/>
        <v>0</v>
      </c>
      <c r="K494" s="40" t="e">
        <f>-PMT(Assumptions!C$25/12,Assumptions!C$24*12,J$8)*C494/100</f>
        <v>#NUM!</v>
      </c>
      <c r="L494" s="40" t="e">
        <f>K494*Assumptions!$C$24*12-J494</f>
        <v>#NUM!</v>
      </c>
      <c r="M494" s="43"/>
      <c r="N494" s="40">
        <f t="shared" si="74"/>
        <v>2080</v>
      </c>
      <c r="O494" s="50">
        <f>-PMT(Assumptions!D$25/12,Assumptions!D$24*12,N$8)*C494/100</f>
        <v>22.06162716972765</v>
      </c>
      <c r="P494" s="44">
        <f>O494*Assumptions!$D$24*12-N494</f>
        <v>567.39526036731786</v>
      </c>
      <c r="Q494" s="48"/>
      <c r="R494" s="40">
        <f t="shared" si="75"/>
        <v>10400</v>
      </c>
      <c r="S494" s="40">
        <f>-PMT(Assumptions!E$25/12,Assumptions!E$24*12,$R$8)*$C494/100</f>
        <v>110.30813584863823</v>
      </c>
      <c r="T494" s="40">
        <f>S494*Assumptions!$E$24*12-R494</f>
        <v>2836.9763018365866</v>
      </c>
      <c r="U494" s="48"/>
      <c r="V494" s="40">
        <f t="shared" si="76"/>
        <v>0</v>
      </c>
      <c r="W494" s="40" t="e">
        <f>-PMT(Assumptions!F$25/12,Assumptions!F$24*12,$V$8)*$C494/100</f>
        <v>#NUM!</v>
      </c>
      <c r="X494" s="40" t="e">
        <f>W494*Assumptions!$F$24*12-V494</f>
        <v>#NUM!</v>
      </c>
      <c r="Y494" s="43"/>
      <c r="Z494" s="40">
        <f t="shared" si="77"/>
        <v>0</v>
      </c>
      <c r="AA494" s="50" t="e">
        <f>-PMT(Assumptions!G$25/12,Assumptions!G$24*12,$Z$8)*$C494/100</f>
        <v>#NUM!</v>
      </c>
      <c r="AB494" s="44" t="e">
        <f>AA494*Assumptions!$G$24*12-Z494</f>
        <v>#NUM!</v>
      </c>
      <c r="AD494" s="54">
        <f t="shared" si="78"/>
        <v>0</v>
      </c>
      <c r="AE494" s="54">
        <f t="shared" si="79"/>
        <v>0</v>
      </c>
      <c r="AF494" s="54">
        <f t="shared" si="80"/>
        <v>2080</v>
      </c>
      <c r="AG494" s="54">
        <f t="shared" si="81"/>
        <v>10400</v>
      </c>
      <c r="AH494" s="54">
        <f t="shared" si="82"/>
        <v>0</v>
      </c>
      <c r="AI494" s="54">
        <f t="shared" si="83"/>
        <v>0</v>
      </c>
    </row>
    <row r="495" spans="1:35" ht="15" x14ac:dyDescent="0.2">
      <c r="A495" s="56" t="s">
        <v>590</v>
      </c>
      <c r="B495" s="32"/>
      <c r="C495" s="56">
        <v>0.151</v>
      </c>
      <c r="D495" s="56">
        <v>237.09</v>
      </c>
      <c r="E495" s="36"/>
      <c r="F495" s="40">
        <f t="shared" si="72"/>
        <v>0</v>
      </c>
      <c r="G495" s="40" t="e">
        <f>-PMT(Assumptions!B$25/12,Assumptions!B$24*12,F$8)*C495/100</f>
        <v>#NUM!</v>
      </c>
      <c r="H495" s="40" t="e">
        <f>G495*Assumptions!$B$24*12-F495</f>
        <v>#NUM!</v>
      </c>
      <c r="I495" s="48"/>
      <c r="J495" s="40">
        <f t="shared" si="73"/>
        <v>0</v>
      </c>
      <c r="K495" s="40" t="e">
        <f>-PMT(Assumptions!C$25/12,Assumptions!C$24*12,J$8)*C495/100</f>
        <v>#NUM!</v>
      </c>
      <c r="L495" s="40" t="e">
        <f>K495*Assumptions!$C$24*12-J495</f>
        <v>#NUM!</v>
      </c>
      <c r="M495" s="43"/>
      <c r="N495" s="40">
        <f t="shared" si="74"/>
        <v>1510</v>
      </c>
      <c r="O495" s="50">
        <f>-PMT(Assumptions!D$25/12,Assumptions!D$24*12,N$8)*C495/100</f>
        <v>16.015892801100357</v>
      </c>
      <c r="P495" s="44">
        <f>O495*Assumptions!$D$24*12-N495</f>
        <v>411.90713613204298</v>
      </c>
      <c r="Q495" s="48"/>
      <c r="R495" s="40">
        <f t="shared" si="75"/>
        <v>7550</v>
      </c>
      <c r="S495" s="40">
        <f>-PMT(Assumptions!E$25/12,Assumptions!E$24*12,$R$8)*$C495/100</f>
        <v>80.079464005501791</v>
      </c>
      <c r="T495" s="40">
        <f>S495*Assumptions!$E$24*12-R495</f>
        <v>2059.535680660214</v>
      </c>
      <c r="U495" s="48"/>
      <c r="V495" s="40">
        <f t="shared" si="76"/>
        <v>0</v>
      </c>
      <c r="W495" s="40" t="e">
        <f>-PMT(Assumptions!F$25/12,Assumptions!F$24*12,$V$8)*$C495/100</f>
        <v>#NUM!</v>
      </c>
      <c r="X495" s="40" t="e">
        <f>W495*Assumptions!$F$24*12-V495</f>
        <v>#NUM!</v>
      </c>
      <c r="Y495" s="43"/>
      <c r="Z495" s="40">
        <f t="shared" si="77"/>
        <v>0</v>
      </c>
      <c r="AA495" s="50" t="e">
        <f>-PMT(Assumptions!G$25/12,Assumptions!G$24*12,$Z$8)*$C495/100</f>
        <v>#NUM!</v>
      </c>
      <c r="AB495" s="44" t="e">
        <f>AA495*Assumptions!$G$24*12-Z495</f>
        <v>#NUM!</v>
      </c>
      <c r="AD495" s="54">
        <f t="shared" si="78"/>
        <v>0</v>
      </c>
      <c r="AE495" s="54">
        <f t="shared" si="79"/>
        <v>0</v>
      </c>
      <c r="AF495" s="54">
        <f t="shared" si="80"/>
        <v>1510</v>
      </c>
      <c r="AG495" s="54">
        <f t="shared" si="81"/>
        <v>7550</v>
      </c>
      <c r="AH495" s="54">
        <f t="shared" si="82"/>
        <v>0</v>
      </c>
      <c r="AI495" s="54">
        <f t="shared" si="83"/>
        <v>0</v>
      </c>
    </row>
    <row r="496" spans="1:35" ht="15" x14ac:dyDescent="0.2">
      <c r="A496" s="56" t="s">
        <v>591</v>
      </c>
      <c r="B496" s="32"/>
      <c r="C496" s="56">
        <v>0.16</v>
      </c>
      <c r="D496" s="56">
        <v>251.22</v>
      </c>
      <c r="E496" s="36"/>
      <c r="F496" s="40">
        <f t="shared" si="72"/>
        <v>0</v>
      </c>
      <c r="G496" s="40" t="e">
        <f>-PMT(Assumptions!B$25/12,Assumptions!B$24*12,F$8)*C496/100</f>
        <v>#NUM!</v>
      </c>
      <c r="H496" s="40" t="e">
        <f>G496*Assumptions!$B$24*12-F496</f>
        <v>#NUM!</v>
      </c>
      <c r="I496" s="48"/>
      <c r="J496" s="40">
        <f t="shared" si="73"/>
        <v>0</v>
      </c>
      <c r="K496" s="40" t="e">
        <f>-PMT(Assumptions!C$25/12,Assumptions!C$24*12,J$8)*C496/100</f>
        <v>#NUM!</v>
      </c>
      <c r="L496" s="40" t="e">
        <f>K496*Assumptions!$C$24*12-J496</f>
        <v>#NUM!</v>
      </c>
      <c r="M496" s="43"/>
      <c r="N496" s="40">
        <f t="shared" si="74"/>
        <v>1600</v>
      </c>
      <c r="O496" s="50">
        <f>-PMT(Assumptions!D$25/12,Assumptions!D$24*12,N$8)*C496/100</f>
        <v>16.970482438252038</v>
      </c>
      <c r="P496" s="44">
        <f>O496*Assumptions!$D$24*12-N496</f>
        <v>436.45789259024446</v>
      </c>
      <c r="Q496" s="48"/>
      <c r="R496" s="40">
        <f t="shared" si="75"/>
        <v>8000</v>
      </c>
      <c r="S496" s="40">
        <f>-PMT(Assumptions!E$25/12,Assumptions!E$24*12,$R$8)*$C496/100</f>
        <v>84.852412191260186</v>
      </c>
      <c r="T496" s="40">
        <f>S496*Assumptions!$E$24*12-R496</f>
        <v>2182.289462951223</v>
      </c>
      <c r="U496" s="48"/>
      <c r="V496" s="40">
        <f t="shared" si="76"/>
        <v>0</v>
      </c>
      <c r="W496" s="40" t="e">
        <f>-PMT(Assumptions!F$25/12,Assumptions!F$24*12,$V$8)*$C496/100</f>
        <v>#NUM!</v>
      </c>
      <c r="X496" s="40" t="e">
        <f>W496*Assumptions!$F$24*12-V496</f>
        <v>#NUM!</v>
      </c>
      <c r="Y496" s="43"/>
      <c r="Z496" s="40">
        <f t="shared" si="77"/>
        <v>0</v>
      </c>
      <c r="AA496" s="50" t="e">
        <f>-PMT(Assumptions!G$25/12,Assumptions!G$24*12,$Z$8)*$C496/100</f>
        <v>#NUM!</v>
      </c>
      <c r="AB496" s="44" t="e">
        <f>AA496*Assumptions!$G$24*12-Z496</f>
        <v>#NUM!</v>
      </c>
      <c r="AD496" s="54">
        <f t="shared" si="78"/>
        <v>0</v>
      </c>
      <c r="AE496" s="54">
        <f t="shared" si="79"/>
        <v>0</v>
      </c>
      <c r="AF496" s="54">
        <f t="shared" si="80"/>
        <v>1600</v>
      </c>
      <c r="AG496" s="54">
        <f t="shared" si="81"/>
        <v>8000</v>
      </c>
      <c r="AH496" s="54">
        <f t="shared" si="82"/>
        <v>0</v>
      </c>
      <c r="AI496" s="54">
        <f t="shared" si="83"/>
        <v>0</v>
      </c>
    </row>
    <row r="497" spans="1:35" ht="15" x14ac:dyDescent="0.2">
      <c r="A497" s="56" t="s">
        <v>592</v>
      </c>
      <c r="B497" s="32"/>
      <c r="C497" s="56">
        <v>0.151</v>
      </c>
      <c r="D497" s="56">
        <v>237.09</v>
      </c>
      <c r="E497" s="36"/>
      <c r="F497" s="40">
        <f t="shared" si="72"/>
        <v>0</v>
      </c>
      <c r="G497" s="40" t="e">
        <f>-PMT(Assumptions!B$25/12,Assumptions!B$24*12,F$8)*C497/100</f>
        <v>#NUM!</v>
      </c>
      <c r="H497" s="40" t="e">
        <f>G497*Assumptions!$B$24*12-F497</f>
        <v>#NUM!</v>
      </c>
      <c r="I497" s="48"/>
      <c r="J497" s="40">
        <f t="shared" si="73"/>
        <v>0</v>
      </c>
      <c r="K497" s="40" t="e">
        <f>-PMT(Assumptions!C$25/12,Assumptions!C$24*12,J$8)*C497/100</f>
        <v>#NUM!</v>
      </c>
      <c r="L497" s="40" t="e">
        <f>K497*Assumptions!$C$24*12-J497</f>
        <v>#NUM!</v>
      </c>
      <c r="M497" s="43"/>
      <c r="N497" s="40">
        <f t="shared" si="74"/>
        <v>1510</v>
      </c>
      <c r="O497" s="50">
        <f>-PMT(Assumptions!D$25/12,Assumptions!D$24*12,N$8)*C497/100</f>
        <v>16.015892801100357</v>
      </c>
      <c r="P497" s="44">
        <f>O497*Assumptions!$D$24*12-N497</f>
        <v>411.90713613204298</v>
      </c>
      <c r="Q497" s="48"/>
      <c r="R497" s="40">
        <f t="shared" si="75"/>
        <v>7550</v>
      </c>
      <c r="S497" s="40">
        <f>-PMT(Assumptions!E$25/12,Assumptions!E$24*12,$R$8)*$C497/100</f>
        <v>80.079464005501791</v>
      </c>
      <c r="T497" s="40">
        <f>S497*Assumptions!$E$24*12-R497</f>
        <v>2059.535680660214</v>
      </c>
      <c r="U497" s="48"/>
      <c r="V497" s="40">
        <f t="shared" si="76"/>
        <v>0</v>
      </c>
      <c r="W497" s="40" t="e">
        <f>-PMT(Assumptions!F$25/12,Assumptions!F$24*12,$V$8)*$C497/100</f>
        <v>#NUM!</v>
      </c>
      <c r="X497" s="40" t="e">
        <f>W497*Assumptions!$F$24*12-V497</f>
        <v>#NUM!</v>
      </c>
      <c r="Y497" s="43"/>
      <c r="Z497" s="40">
        <f t="shared" si="77"/>
        <v>0</v>
      </c>
      <c r="AA497" s="50" t="e">
        <f>-PMT(Assumptions!G$25/12,Assumptions!G$24*12,$Z$8)*$C497/100</f>
        <v>#NUM!</v>
      </c>
      <c r="AB497" s="44" t="e">
        <f>AA497*Assumptions!$G$24*12-Z497</f>
        <v>#NUM!</v>
      </c>
      <c r="AD497" s="54">
        <f t="shared" si="78"/>
        <v>0</v>
      </c>
      <c r="AE497" s="54">
        <f t="shared" si="79"/>
        <v>0</v>
      </c>
      <c r="AF497" s="54">
        <f t="shared" si="80"/>
        <v>1510</v>
      </c>
      <c r="AG497" s="54">
        <f t="shared" si="81"/>
        <v>7550</v>
      </c>
      <c r="AH497" s="54">
        <f t="shared" si="82"/>
        <v>0</v>
      </c>
      <c r="AI497" s="54">
        <f t="shared" si="83"/>
        <v>0</v>
      </c>
    </row>
    <row r="498" spans="1:35" ht="15" x14ac:dyDescent="0.2">
      <c r="A498" s="56" t="s">
        <v>593</v>
      </c>
      <c r="B498" s="32"/>
      <c r="C498" s="56">
        <v>0.16</v>
      </c>
      <c r="D498" s="56">
        <v>251.22</v>
      </c>
      <c r="E498" s="36"/>
      <c r="F498" s="40">
        <f t="shared" si="72"/>
        <v>0</v>
      </c>
      <c r="G498" s="40" t="e">
        <f>-PMT(Assumptions!B$25/12,Assumptions!B$24*12,F$8)*C498/100</f>
        <v>#NUM!</v>
      </c>
      <c r="H498" s="40" t="e">
        <f>G498*Assumptions!$B$24*12-F498</f>
        <v>#NUM!</v>
      </c>
      <c r="I498" s="48"/>
      <c r="J498" s="40">
        <f t="shared" si="73"/>
        <v>0</v>
      </c>
      <c r="K498" s="40" t="e">
        <f>-PMT(Assumptions!C$25/12,Assumptions!C$24*12,J$8)*C498/100</f>
        <v>#NUM!</v>
      </c>
      <c r="L498" s="40" t="e">
        <f>K498*Assumptions!$C$24*12-J498</f>
        <v>#NUM!</v>
      </c>
      <c r="M498" s="43"/>
      <c r="N498" s="40">
        <f t="shared" si="74"/>
        <v>1600</v>
      </c>
      <c r="O498" s="50">
        <f>-PMT(Assumptions!D$25/12,Assumptions!D$24*12,N$8)*C498/100</f>
        <v>16.970482438252038</v>
      </c>
      <c r="P498" s="44">
        <f>O498*Assumptions!$D$24*12-N498</f>
        <v>436.45789259024446</v>
      </c>
      <c r="Q498" s="48"/>
      <c r="R498" s="40">
        <f t="shared" si="75"/>
        <v>8000</v>
      </c>
      <c r="S498" s="40">
        <f>-PMT(Assumptions!E$25/12,Assumptions!E$24*12,$R$8)*$C498/100</f>
        <v>84.852412191260186</v>
      </c>
      <c r="T498" s="40">
        <f>S498*Assumptions!$E$24*12-R498</f>
        <v>2182.289462951223</v>
      </c>
      <c r="U498" s="48"/>
      <c r="V498" s="40">
        <f t="shared" si="76"/>
        <v>0</v>
      </c>
      <c r="W498" s="40" t="e">
        <f>-PMT(Assumptions!F$25/12,Assumptions!F$24*12,$V$8)*$C498/100</f>
        <v>#NUM!</v>
      </c>
      <c r="X498" s="40" t="e">
        <f>W498*Assumptions!$F$24*12-V498</f>
        <v>#NUM!</v>
      </c>
      <c r="Y498" s="43"/>
      <c r="Z498" s="40">
        <f t="shared" si="77"/>
        <v>0</v>
      </c>
      <c r="AA498" s="50" t="e">
        <f>-PMT(Assumptions!G$25/12,Assumptions!G$24*12,$Z$8)*$C498/100</f>
        <v>#NUM!</v>
      </c>
      <c r="AB498" s="44" t="e">
        <f>AA498*Assumptions!$G$24*12-Z498</f>
        <v>#NUM!</v>
      </c>
      <c r="AD498" s="54">
        <f t="shared" si="78"/>
        <v>0</v>
      </c>
      <c r="AE498" s="54">
        <f t="shared" si="79"/>
        <v>0</v>
      </c>
      <c r="AF498" s="54">
        <f t="shared" si="80"/>
        <v>1600</v>
      </c>
      <c r="AG498" s="54">
        <f t="shared" si="81"/>
        <v>8000</v>
      </c>
      <c r="AH498" s="54">
        <f t="shared" si="82"/>
        <v>0</v>
      </c>
      <c r="AI498" s="54">
        <f t="shared" si="83"/>
        <v>0</v>
      </c>
    </row>
    <row r="499" spans="1:35" ht="15" x14ac:dyDescent="0.2">
      <c r="A499" s="56" t="s">
        <v>594</v>
      </c>
      <c r="B499" s="32"/>
      <c r="C499" s="56">
        <v>0.22700000000000001</v>
      </c>
      <c r="D499" s="56">
        <v>356.41</v>
      </c>
      <c r="E499" s="36"/>
      <c r="F499" s="40">
        <f t="shared" si="72"/>
        <v>0</v>
      </c>
      <c r="G499" s="40" t="e">
        <f>-PMT(Assumptions!B$25/12,Assumptions!B$24*12,F$8)*C499/100</f>
        <v>#NUM!</v>
      </c>
      <c r="H499" s="40" t="e">
        <f>G499*Assumptions!$B$24*12-F499</f>
        <v>#NUM!</v>
      </c>
      <c r="I499" s="48"/>
      <c r="J499" s="40">
        <f t="shared" si="73"/>
        <v>0</v>
      </c>
      <c r="K499" s="40" t="e">
        <f>-PMT(Assumptions!C$25/12,Assumptions!C$24*12,J$8)*C499/100</f>
        <v>#NUM!</v>
      </c>
      <c r="L499" s="40" t="e">
        <f>K499*Assumptions!$C$24*12-J499</f>
        <v>#NUM!</v>
      </c>
      <c r="M499" s="43"/>
      <c r="N499" s="40">
        <f t="shared" si="74"/>
        <v>2270</v>
      </c>
      <c r="O499" s="50">
        <f>-PMT(Assumptions!D$25/12,Assumptions!D$24*12,N$8)*C499/100</f>
        <v>24.076871959270079</v>
      </c>
      <c r="P499" s="44">
        <f>O499*Assumptions!$D$24*12-N499</f>
        <v>619.22463511240949</v>
      </c>
      <c r="Q499" s="48"/>
      <c r="R499" s="40">
        <f t="shared" si="75"/>
        <v>11350</v>
      </c>
      <c r="S499" s="40">
        <f>-PMT(Assumptions!E$25/12,Assumptions!E$24*12,$R$8)*$C499/100</f>
        <v>120.3843597963504</v>
      </c>
      <c r="T499" s="40">
        <f>S499*Assumptions!$E$24*12-R499</f>
        <v>3096.1231755620465</v>
      </c>
      <c r="U499" s="48"/>
      <c r="V499" s="40">
        <f t="shared" si="76"/>
        <v>0</v>
      </c>
      <c r="W499" s="40" t="e">
        <f>-PMT(Assumptions!F$25/12,Assumptions!F$24*12,$V$8)*$C499/100</f>
        <v>#NUM!</v>
      </c>
      <c r="X499" s="40" t="e">
        <f>W499*Assumptions!$F$24*12-V499</f>
        <v>#NUM!</v>
      </c>
      <c r="Y499" s="43"/>
      <c r="Z499" s="40">
        <f t="shared" si="77"/>
        <v>0</v>
      </c>
      <c r="AA499" s="50" t="e">
        <f>-PMT(Assumptions!G$25/12,Assumptions!G$24*12,$Z$8)*$C499/100</f>
        <v>#NUM!</v>
      </c>
      <c r="AB499" s="44" t="e">
        <f>AA499*Assumptions!$G$24*12-Z499</f>
        <v>#NUM!</v>
      </c>
      <c r="AD499" s="54">
        <f t="shared" si="78"/>
        <v>0</v>
      </c>
      <c r="AE499" s="54">
        <f t="shared" si="79"/>
        <v>0</v>
      </c>
      <c r="AF499" s="54">
        <f t="shared" si="80"/>
        <v>2270</v>
      </c>
      <c r="AG499" s="54">
        <f t="shared" si="81"/>
        <v>11350</v>
      </c>
      <c r="AH499" s="54">
        <f t="shared" si="82"/>
        <v>0</v>
      </c>
      <c r="AI499" s="54">
        <f t="shared" si="83"/>
        <v>0</v>
      </c>
    </row>
    <row r="500" spans="1:35" ht="15" x14ac:dyDescent="0.2">
      <c r="A500" s="56" t="s">
        <v>595</v>
      </c>
      <c r="B500" s="32"/>
      <c r="C500" s="56">
        <v>0.23599999999999999</v>
      </c>
      <c r="D500" s="56">
        <v>370.54</v>
      </c>
      <c r="E500" s="36"/>
      <c r="F500" s="40">
        <f t="shared" si="72"/>
        <v>0</v>
      </c>
      <c r="G500" s="40" t="e">
        <f>-PMT(Assumptions!B$25/12,Assumptions!B$24*12,F$8)*C500/100</f>
        <v>#NUM!</v>
      </c>
      <c r="H500" s="40" t="e">
        <f>G500*Assumptions!$B$24*12-F500</f>
        <v>#NUM!</v>
      </c>
      <c r="I500" s="48"/>
      <c r="J500" s="40">
        <f t="shared" si="73"/>
        <v>0</v>
      </c>
      <c r="K500" s="40" t="e">
        <f>-PMT(Assumptions!C$25/12,Assumptions!C$24*12,J$8)*C500/100</f>
        <v>#NUM!</v>
      </c>
      <c r="L500" s="40" t="e">
        <f>K500*Assumptions!$C$24*12-J500</f>
        <v>#NUM!</v>
      </c>
      <c r="M500" s="43"/>
      <c r="N500" s="40">
        <f t="shared" si="74"/>
        <v>2360</v>
      </c>
      <c r="O500" s="50">
        <f>-PMT(Assumptions!D$25/12,Assumptions!D$24*12,N$8)*C500/100</f>
        <v>25.031461596421753</v>
      </c>
      <c r="P500" s="44">
        <f>O500*Assumptions!$D$24*12-N500</f>
        <v>643.77539157061028</v>
      </c>
      <c r="Q500" s="48"/>
      <c r="R500" s="40">
        <f t="shared" si="75"/>
        <v>11800</v>
      </c>
      <c r="S500" s="40">
        <f>-PMT(Assumptions!E$25/12,Assumptions!E$24*12,$R$8)*$C500/100</f>
        <v>125.15730798210878</v>
      </c>
      <c r="T500" s="40">
        <f>S500*Assumptions!$E$24*12-R500</f>
        <v>3218.8769578530519</v>
      </c>
      <c r="U500" s="48"/>
      <c r="V500" s="40">
        <f t="shared" si="76"/>
        <v>0</v>
      </c>
      <c r="W500" s="40" t="e">
        <f>-PMT(Assumptions!F$25/12,Assumptions!F$24*12,$V$8)*$C500/100</f>
        <v>#NUM!</v>
      </c>
      <c r="X500" s="40" t="e">
        <f>W500*Assumptions!$F$24*12-V500</f>
        <v>#NUM!</v>
      </c>
      <c r="Y500" s="43"/>
      <c r="Z500" s="40">
        <f t="shared" si="77"/>
        <v>0</v>
      </c>
      <c r="AA500" s="50" t="e">
        <f>-PMT(Assumptions!G$25/12,Assumptions!G$24*12,$Z$8)*$C500/100</f>
        <v>#NUM!</v>
      </c>
      <c r="AB500" s="44" t="e">
        <f>AA500*Assumptions!$G$24*12-Z500</f>
        <v>#NUM!</v>
      </c>
      <c r="AD500" s="54">
        <f t="shared" si="78"/>
        <v>0</v>
      </c>
      <c r="AE500" s="54">
        <f t="shared" si="79"/>
        <v>0</v>
      </c>
      <c r="AF500" s="54">
        <f t="shared" si="80"/>
        <v>2360</v>
      </c>
      <c r="AG500" s="54">
        <f t="shared" si="81"/>
        <v>11800</v>
      </c>
      <c r="AH500" s="54">
        <f t="shared" si="82"/>
        <v>0</v>
      </c>
      <c r="AI500" s="54">
        <f t="shared" si="83"/>
        <v>0</v>
      </c>
    </row>
    <row r="501" spans="1:35" ht="15" x14ac:dyDescent="0.2">
      <c r="A501" s="56" t="s">
        <v>596</v>
      </c>
      <c r="B501" s="32"/>
      <c r="C501" s="56">
        <v>0.20799999999999999</v>
      </c>
      <c r="D501" s="56">
        <v>326.58</v>
      </c>
      <c r="E501" s="36"/>
      <c r="F501" s="40">
        <f t="shared" si="72"/>
        <v>0</v>
      </c>
      <c r="G501" s="40" t="e">
        <f>-PMT(Assumptions!B$25/12,Assumptions!B$24*12,F$8)*C501/100</f>
        <v>#NUM!</v>
      </c>
      <c r="H501" s="40" t="e">
        <f>G501*Assumptions!$B$24*12-F501</f>
        <v>#NUM!</v>
      </c>
      <c r="I501" s="48"/>
      <c r="J501" s="40">
        <f t="shared" si="73"/>
        <v>0</v>
      </c>
      <c r="K501" s="40" t="e">
        <f>-PMT(Assumptions!C$25/12,Assumptions!C$24*12,J$8)*C501/100</f>
        <v>#NUM!</v>
      </c>
      <c r="L501" s="40" t="e">
        <f>K501*Assumptions!$C$24*12-J501</f>
        <v>#NUM!</v>
      </c>
      <c r="M501" s="43"/>
      <c r="N501" s="40">
        <f t="shared" si="74"/>
        <v>2080</v>
      </c>
      <c r="O501" s="50">
        <f>-PMT(Assumptions!D$25/12,Assumptions!D$24*12,N$8)*C501/100</f>
        <v>22.06162716972765</v>
      </c>
      <c r="P501" s="44">
        <f>O501*Assumptions!$D$24*12-N501</f>
        <v>567.39526036731786</v>
      </c>
      <c r="Q501" s="48"/>
      <c r="R501" s="40">
        <f t="shared" si="75"/>
        <v>10400</v>
      </c>
      <c r="S501" s="40">
        <f>-PMT(Assumptions!E$25/12,Assumptions!E$24*12,$R$8)*$C501/100</f>
        <v>110.30813584863823</v>
      </c>
      <c r="T501" s="40">
        <f>S501*Assumptions!$E$24*12-R501</f>
        <v>2836.9763018365866</v>
      </c>
      <c r="U501" s="48"/>
      <c r="V501" s="40">
        <f t="shared" si="76"/>
        <v>0</v>
      </c>
      <c r="W501" s="40" t="e">
        <f>-PMT(Assumptions!F$25/12,Assumptions!F$24*12,$V$8)*$C501/100</f>
        <v>#NUM!</v>
      </c>
      <c r="X501" s="40" t="e">
        <f>W501*Assumptions!$F$24*12-V501</f>
        <v>#NUM!</v>
      </c>
      <c r="Y501" s="43"/>
      <c r="Z501" s="40">
        <f t="shared" si="77"/>
        <v>0</v>
      </c>
      <c r="AA501" s="50" t="e">
        <f>-PMT(Assumptions!G$25/12,Assumptions!G$24*12,$Z$8)*$C501/100</f>
        <v>#NUM!</v>
      </c>
      <c r="AB501" s="44" t="e">
        <f>AA501*Assumptions!$G$24*12-Z501</f>
        <v>#NUM!</v>
      </c>
      <c r="AD501" s="54">
        <f t="shared" si="78"/>
        <v>0</v>
      </c>
      <c r="AE501" s="54">
        <f t="shared" si="79"/>
        <v>0</v>
      </c>
      <c r="AF501" s="54">
        <f t="shared" si="80"/>
        <v>2080</v>
      </c>
      <c r="AG501" s="54">
        <f t="shared" si="81"/>
        <v>10400</v>
      </c>
      <c r="AH501" s="54">
        <f t="shared" si="82"/>
        <v>0</v>
      </c>
      <c r="AI501" s="54">
        <f t="shared" si="83"/>
        <v>0</v>
      </c>
    </row>
    <row r="502" spans="1:35" ht="15" x14ac:dyDescent="0.2">
      <c r="A502" s="56" t="s">
        <v>597</v>
      </c>
      <c r="B502" s="32"/>
      <c r="C502" s="56">
        <v>0.20799999999999999</v>
      </c>
      <c r="D502" s="56">
        <v>326.58</v>
      </c>
      <c r="E502" s="36"/>
      <c r="F502" s="40">
        <f t="shared" si="72"/>
        <v>0</v>
      </c>
      <c r="G502" s="40" t="e">
        <f>-PMT(Assumptions!B$25/12,Assumptions!B$24*12,F$8)*C502/100</f>
        <v>#NUM!</v>
      </c>
      <c r="H502" s="40" t="e">
        <f>G502*Assumptions!$B$24*12-F502</f>
        <v>#NUM!</v>
      </c>
      <c r="I502" s="48"/>
      <c r="J502" s="40">
        <f t="shared" si="73"/>
        <v>0</v>
      </c>
      <c r="K502" s="40" t="e">
        <f>-PMT(Assumptions!C$25/12,Assumptions!C$24*12,J$8)*C502/100</f>
        <v>#NUM!</v>
      </c>
      <c r="L502" s="40" t="e">
        <f>K502*Assumptions!$C$24*12-J502</f>
        <v>#NUM!</v>
      </c>
      <c r="M502" s="43"/>
      <c r="N502" s="40">
        <f t="shared" si="74"/>
        <v>2080</v>
      </c>
      <c r="O502" s="50">
        <f>-PMT(Assumptions!D$25/12,Assumptions!D$24*12,N$8)*C502/100</f>
        <v>22.06162716972765</v>
      </c>
      <c r="P502" s="44">
        <f>O502*Assumptions!$D$24*12-N502</f>
        <v>567.39526036731786</v>
      </c>
      <c r="Q502" s="48"/>
      <c r="R502" s="40">
        <f t="shared" si="75"/>
        <v>10400</v>
      </c>
      <c r="S502" s="40">
        <f>-PMT(Assumptions!E$25/12,Assumptions!E$24*12,$R$8)*$C502/100</f>
        <v>110.30813584863823</v>
      </c>
      <c r="T502" s="40">
        <f>S502*Assumptions!$E$24*12-R502</f>
        <v>2836.9763018365866</v>
      </c>
      <c r="U502" s="48"/>
      <c r="V502" s="40">
        <f t="shared" si="76"/>
        <v>0</v>
      </c>
      <c r="W502" s="40" t="e">
        <f>-PMT(Assumptions!F$25/12,Assumptions!F$24*12,$V$8)*$C502/100</f>
        <v>#NUM!</v>
      </c>
      <c r="X502" s="40" t="e">
        <f>W502*Assumptions!$F$24*12-V502</f>
        <v>#NUM!</v>
      </c>
      <c r="Y502" s="43"/>
      <c r="Z502" s="40">
        <f t="shared" si="77"/>
        <v>0</v>
      </c>
      <c r="AA502" s="50" t="e">
        <f>-PMT(Assumptions!G$25/12,Assumptions!G$24*12,$Z$8)*$C502/100</f>
        <v>#NUM!</v>
      </c>
      <c r="AB502" s="44" t="e">
        <f>AA502*Assumptions!$G$24*12-Z502</f>
        <v>#NUM!</v>
      </c>
      <c r="AD502" s="54">
        <f t="shared" si="78"/>
        <v>0</v>
      </c>
      <c r="AE502" s="54">
        <f t="shared" si="79"/>
        <v>0</v>
      </c>
      <c r="AF502" s="54">
        <f t="shared" si="80"/>
        <v>2080</v>
      </c>
      <c r="AG502" s="54">
        <f t="shared" si="81"/>
        <v>10400</v>
      </c>
      <c r="AH502" s="54">
        <f t="shared" si="82"/>
        <v>0</v>
      </c>
      <c r="AI502" s="54">
        <f t="shared" si="83"/>
        <v>0</v>
      </c>
    </row>
    <row r="503" spans="1:35" ht="15" x14ac:dyDescent="0.2">
      <c r="A503" s="56" t="s">
        <v>598</v>
      </c>
      <c r="B503" s="32"/>
      <c r="C503" s="56">
        <v>0.151</v>
      </c>
      <c r="D503" s="56">
        <v>237.09</v>
      </c>
      <c r="E503" s="36"/>
      <c r="F503" s="40">
        <f t="shared" si="72"/>
        <v>0</v>
      </c>
      <c r="G503" s="40" t="e">
        <f>-PMT(Assumptions!B$25/12,Assumptions!B$24*12,F$8)*C503/100</f>
        <v>#NUM!</v>
      </c>
      <c r="H503" s="40" t="e">
        <f>G503*Assumptions!$B$24*12-F503</f>
        <v>#NUM!</v>
      </c>
      <c r="I503" s="48"/>
      <c r="J503" s="40">
        <f t="shared" si="73"/>
        <v>0</v>
      </c>
      <c r="K503" s="40" t="e">
        <f>-PMT(Assumptions!C$25/12,Assumptions!C$24*12,J$8)*C503/100</f>
        <v>#NUM!</v>
      </c>
      <c r="L503" s="40" t="e">
        <f>K503*Assumptions!$C$24*12-J503</f>
        <v>#NUM!</v>
      </c>
      <c r="M503" s="43"/>
      <c r="N503" s="40">
        <f t="shared" si="74"/>
        <v>1510</v>
      </c>
      <c r="O503" s="50">
        <f>-PMT(Assumptions!D$25/12,Assumptions!D$24*12,N$8)*C503/100</f>
        <v>16.015892801100357</v>
      </c>
      <c r="P503" s="44">
        <f>O503*Assumptions!$D$24*12-N503</f>
        <v>411.90713613204298</v>
      </c>
      <c r="Q503" s="48"/>
      <c r="R503" s="40">
        <f t="shared" si="75"/>
        <v>7550</v>
      </c>
      <c r="S503" s="40">
        <f>-PMT(Assumptions!E$25/12,Assumptions!E$24*12,$R$8)*$C503/100</f>
        <v>80.079464005501791</v>
      </c>
      <c r="T503" s="40">
        <f>S503*Assumptions!$E$24*12-R503</f>
        <v>2059.535680660214</v>
      </c>
      <c r="U503" s="48"/>
      <c r="V503" s="40">
        <f t="shared" si="76"/>
        <v>0</v>
      </c>
      <c r="W503" s="40" t="e">
        <f>-PMT(Assumptions!F$25/12,Assumptions!F$24*12,$V$8)*$C503/100</f>
        <v>#NUM!</v>
      </c>
      <c r="X503" s="40" t="e">
        <f>W503*Assumptions!$F$24*12-V503</f>
        <v>#NUM!</v>
      </c>
      <c r="Y503" s="43"/>
      <c r="Z503" s="40">
        <f t="shared" si="77"/>
        <v>0</v>
      </c>
      <c r="AA503" s="50" t="e">
        <f>-PMT(Assumptions!G$25/12,Assumptions!G$24*12,$Z$8)*$C503/100</f>
        <v>#NUM!</v>
      </c>
      <c r="AB503" s="44" t="e">
        <f>AA503*Assumptions!$G$24*12-Z503</f>
        <v>#NUM!</v>
      </c>
      <c r="AD503" s="54">
        <f t="shared" si="78"/>
        <v>0</v>
      </c>
      <c r="AE503" s="54">
        <f t="shared" si="79"/>
        <v>0</v>
      </c>
      <c r="AF503" s="54">
        <f t="shared" si="80"/>
        <v>1510</v>
      </c>
      <c r="AG503" s="54">
        <f t="shared" si="81"/>
        <v>7550</v>
      </c>
      <c r="AH503" s="54">
        <f t="shared" si="82"/>
        <v>0</v>
      </c>
      <c r="AI503" s="54">
        <f t="shared" si="83"/>
        <v>0</v>
      </c>
    </row>
    <row r="504" spans="1:35" ht="15" x14ac:dyDescent="0.2">
      <c r="A504" s="56" t="s">
        <v>599</v>
      </c>
      <c r="B504" s="32"/>
      <c r="C504" s="56">
        <v>0.16</v>
      </c>
      <c r="D504" s="56">
        <v>251.22</v>
      </c>
      <c r="E504" s="36"/>
      <c r="F504" s="40">
        <f t="shared" si="72"/>
        <v>0</v>
      </c>
      <c r="G504" s="40" t="e">
        <f>-PMT(Assumptions!B$25/12,Assumptions!B$24*12,F$8)*C504/100</f>
        <v>#NUM!</v>
      </c>
      <c r="H504" s="40" t="e">
        <f>G504*Assumptions!$B$24*12-F504</f>
        <v>#NUM!</v>
      </c>
      <c r="I504" s="48"/>
      <c r="J504" s="40">
        <f t="shared" si="73"/>
        <v>0</v>
      </c>
      <c r="K504" s="40" t="e">
        <f>-PMT(Assumptions!C$25/12,Assumptions!C$24*12,J$8)*C504/100</f>
        <v>#NUM!</v>
      </c>
      <c r="L504" s="40" t="e">
        <f>K504*Assumptions!$C$24*12-J504</f>
        <v>#NUM!</v>
      </c>
      <c r="M504" s="43"/>
      <c r="N504" s="40">
        <f t="shared" si="74"/>
        <v>1600</v>
      </c>
      <c r="O504" s="50">
        <f>-PMT(Assumptions!D$25/12,Assumptions!D$24*12,N$8)*C504/100</f>
        <v>16.970482438252038</v>
      </c>
      <c r="P504" s="44">
        <f>O504*Assumptions!$D$24*12-N504</f>
        <v>436.45789259024446</v>
      </c>
      <c r="Q504" s="48"/>
      <c r="R504" s="40">
        <f t="shared" si="75"/>
        <v>8000</v>
      </c>
      <c r="S504" s="40">
        <f>-PMT(Assumptions!E$25/12,Assumptions!E$24*12,$R$8)*$C504/100</f>
        <v>84.852412191260186</v>
      </c>
      <c r="T504" s="40">
        <f>S504*Assumptions!$E$24*12-R504</f>
        <v>2182.289462951223</v>
      </c>
      <c r="U504" s="48"/>
      <c r="V504" s="40">
        <f t="shared" si="76"/>
        <v>0</v>
      </c>
      <c r="W504" s="40" t="e">
        <f>-PMT(Assumptions!F$25/12,Assumptions!F$24*12,$V$8)*$C504/100</f>
        <v>#NUM!</v>
      </c>
      <c r="X504" s="40" t="e">
        <f>W504*Assumptions!$F$24*12-V504</f>
        <v>#NUM!</v>
      </c>
      <c r="Y504" s="43"/>
      <c r="Z504" s="40">
        <f t="shared" si="77"/>
        <v>0</v>
      </c>
      <c r="AA504" s="50" t="e">
        <f>-PMT(Assumptions!G$25/12,Assumptions!G$24*12,$Z$8)*$C504/100</f>
        <v>#NUM!</v>
      </c>
      <c r="AB504" s="44" t="e">
        <f>AA504*Assumptions!$G$24*12-Z504</f>
        <v>#NUM!</v>
      </c>
      <c r="AD504" s="54">
        <f t="shared" si="78"/>
        <v>0</v>
      </c>
      <c r="AE504" s="54">
        <f t="shared" si="79"/>
        <v>0</v>
      </c>
      <c r="AF504" s="54">
        <f t="shared" si="80"/>
        <v>1600</v>
      </c>
      <c r="AG504" s="54">
        <f t="shared" si="81"/>
        <v>8000</v>
      </c>
      <c r="AH504" s="54">
        <f t="shared" si="82"/>
        <v>0</v>
      </c>
      <c r="AI504" s="54">
        <f t="shared" si="83"/>
        <v>0</v>
      </c>
    </row>
    <row r="505" spans="1:35" ht="15" x14ac:dyDescent="0.2">
      <c r="A505" s="56" t="s">
        <v>600</v>
      </c>
      <c r="B505" s="32"/>
      <c r="C505" s="56">
        <v>0.151</v>
      </c>
      <c r="D505" s="56">
        <v>237.09</v>
      </c>
      <c r="E505" s="36"/>
      <c r="F505" s="40">
        <f t="shared" si="72"/>
        <v>0</v>
      </c>
      <c r="G505" s="40" t="e">
        <f>-PMT(Assumptions!B$25/12,Assumptions!B$24*12,F$8)*C505/100</f>
        <v>#NUM!</v>
      </c>
      <c r="H505" s="40" t="e">
        <f>G505*Assumptions!$B$24*12-F505</f>
        <v>#NUM!</v>
      </c>
      <c r="I505" s="48"/>
      <c r="J505" s="40">
        <f t="shared" si="73"/>
        <v>0</v>
      </c>
      <c r="K505" s="40" t="e">
        <f>-PMT(Assumptions!C$25/12,Assumptions!C$24*12,J$8)*C505/100</f>
        <v>#NUM!</v>
      </c>
      <c r="L505" s="40" t="e">
        <f>K505*Assumptions!$C$24*12-J505</f>
        <v>#NUM!</v>
      </c>
      <c r="M505" s="43"/>
      <c r="N505" s="40">
        <f t="shared" si="74"/>
        <v>1510</v>
      </c>
      <c r="O505" s="50">
        <f>-PMT(Assumptions!D$25/12,Assumptions!D$24*12,N$8)*C505/100</f>
        <v>16.015892801100357</v>
      </c>
      <c r="P505" s="44">
        <f>O505*Assumptions!$D$24*12-N505</f>
        <v>411.90713613204298</v>
      </c>
      <c r="Q505" s="48"/>
      <c r="R505" s="40">
        <f t="shared" si="75"/>
        <v>7550</v>
      </c>
      <c r="S505" s="40">
        <f>-PMT(Assumptions!E$25/12,Assumptions!E$24*12,$R$8)*$C505/100</f>
        <v>80.079464005501791</v>
      </c>
      <c r="T505" s="40">
        <f>S505*Assumptions!$E$24*12-R505</f>
        <v>2059.535680660214</v>
      </c>
      <c r="U505" s="48"/>
      <c r="V505" s="40">
        <f t="shared" si="76"/>
        <v>0</v>
      </c>
      <c r="W505" s="40" t="e">
        <f>-PMT(Assumptions!F$25/12,Assumptions!F$24*12,$V$8)*$C505/100</f>
        <v>#NUM!</v>
      </c>
      <c r="X505" s="40" t="e">
        <f>W505*Assumptions!$F$24*12-V505</f>
        <v>#NUM!</v>
      </c>
      <c r="Y505" s="43"/>
      <c r="Z505" s="40">
        <f t="shared" si="77"/>
        <v>0</v>
      </c>
      <c r="AA505" s="50" t="e">
        <f>-PMT(Assumptions!G$25/12,Assumptions!G$24*12,$Z$8)*$C505/100</f>
        <v>#NUM!</v>
      </c>
      <c r="AB505" s="44" t="e">
        <f>AA505*Assumptions!$G$24*12-Z505</f>
        <v>#NUM!</v>
      </c>
      <c r="AD505" s="54">
        <f t="shared" si="78"/>
        <v>0</v>
      </c>
      <c r="AE505" s="54">
        <f t="shared" si="79"/>
        <v>0</v>
      </c>
      <c r="AF505" s="54">
        <f t="shared" si="80"/>
        <v>1510</v>
      </c>
      <c r="AG505" s="54">
        <f t="shared" si="81"/>
        <v>7550</v>
      </c>
      <c r="AH505" s="54">
        <f t="shared" si="82"/>
        <v>0</v>
      </c>
      <c r="AI505" s="54">
        <f t="shared" si="83"/>
        <v>0</v>
      </c>
    </row>
    <row r="506" spans="1:35" ht="15" x14ac:dyDescent="0.2">
      <c r="A506" s="56" t="s">
        <v>601</v>
      </c>
      <c r="B506" s="32"/>
      <c r="C506" s="56">
        <v>0.16</v>
      </c>
      <c r="D506" s="56">
        <v>251.22</v>
      </c>
      <c r="E506" s="36"/>
      <c r="F506" s="40">
        <f t="shared" si="72"/>
        <v>0</v>
      </c>
      <c r="G506" s="40" t="e">
        <f>-PMT(Assumptions!B$25/12,Assumptions!B$24*12,F$8)*C506/100</f>
        <v>#NUM!</v>
      </c>
      <c r="H506" s="40" t="e">
        <f>G506*Assumptions!$B$24*12-F506</f>
        <v>#NUM!</v>
      </c>
      <c r="I506" s="48"/>
      <c r="J506" s="40">
        <f t="shared" si="73"/>
        <v>0</v>
      </c>
      <c r="K506" s="40" t="e">
        <f>-PMT(Assumptions!C$25/12,Assumptions!C$24*12,J$8)*C506/100</f>
        <v>#NUM!</v>
      </c>
      <c r="L506" s="40" t="e">
        <f>K506*Assumptions!$C$24*12-J506</f>
        <v>#NUM!</v>
      </c>
      <c r="M506" s="43"/>
      <c r="N506" s="40">
        <f t="shared" si="74"/>
        <v>1600</v>
      </c>
      <c r="O506" s="50">
        <f>-PMT(Assumptions!D$25/12,Assumptions!D$24*12,N$8)*C506/100</f>
        <v>16.970482438252038</v>
      </c>
      <c r="P506" s="44">
        <f>O506*Assumptions!$D$24*12-N506</f>
        <v>436.45789259024446</v>
      </c>
      <c r="Q506" s="48"/>
      <c r="R506" s="40">
        <f t="shared" si="75"/>
        <v>8000</v>
      </c>
      <c r="S506" s="40">
        <f>-PMT(Assumptions!E$25/12,Assumptions!E$24*12,$R$8)*$C506/100</f>
        <v>84.852412191260186</v>
      </c>
      <c r="T506" s="40">
        <f>S506*Assumptions!$E$24*12-R506</f>
        <v>2182.289462951223</v>
      </c>
      <c r="U506" s="48"/>
      <c r="V506" s="40">
        <f t="shared" si="76"/>
        <v>0</v>
      </c>
      <c r="W506" s="40" t="e">
        <f>-PMT(Assumptions!F$25/12,Assumptions!F$24*12,$V$8)*$C506/100</f>
        <v>#NUM!</v>
      </c>
      <c r="X506" s="40" t="e">
        <f>W506*Assumptions!$F$24*12-V506</f>
        <v>#NUM!</v>
      </c>
      <c r="Y506" s="43"/>
      <c r="Z506" s="40">
        <f t="shared" si="77"/>
        <v>0</v>
      </c>
      <c r="AA506" s="50" t="e">
        <f>-PMT(Assumptions!G$25/12,Assumptions!G$24*12,$Z$8)*$C506/100</f>
        <v>#NUM!</v>
      </c>
      <c r="AB506" s="44" t="e">
        <f>AA506*Assumptions!$G$24*12-Z506</f>
        <v>#NUM!</v>
      </c>
      <c r="AD506" s="54">
        <f t="shared" si="78"/>
        <v>0</v>
      </c>
      <c r="AE506" s="54">
        <f t="shared" si="79"/>
        <v>0</v>
      </c>
      <c r="AF506" s="54">
        <f t="shared" si="80"/>
        <v>1600</v>
      </c>
      <c r="AG506" s="54">
        <f t="shared" si="81"/>
        <v>8000</v>
      </c>
      <c r="AH506" s="54">
        <f t="shared" si="82"/>
        <v>0</v>
      </c>
      <c r="AI506" s="54">
        <f t="shared" si="83"/>
        <v>0</v>
      </c>
    </row>
    <row r="507" spans="1:35" ht="15" x14ac:dyDescent="0.2">
      <c r="A507" s="56" t="s">
        <v>602</v>
      </c>
      <c r="B507" s="32"/>
      <c r="C507" s="56">
        <v>0.22700000000000001</v>
      </c>
      <c r="D507" s="56">
        <v>356.41</v>
      </c>
      <c r="E507" s="36"/>
      <c r="F507" s="40">
        <f t="shared" si="72"/>
        <v>0</v>
      </c>
      <c r="G507" s="40" t="e">
        <f>-PMT(Assumptions!B$25/12,Assumptions!B$24*12,F$8)*C507/100</f>
        <v>#NUM!</v>
      </c>
      <c r="H507" s="40" t="e">
        <f>G507*Assumptions!$B$24*12-F507</f>
        <v>#NUM!</v>
      </c>
      <c r="I507" s="48"/>
      <c r="J507" s="40">
        <f t="shared" si="73"/>
        <v>0</v>
      </c>
      <c r="K507" s="40" t="e">
        <f>-PMT(Assumptions!C$25/12,Assumptions!C$24*12,J$8)*C507/100</f>
        <v>#NUM!</v>
      </c>
      <c r="L507" s="40" t="e">
        <f>K507*Assumptions!$C$24*12-J507</f>
        <v>#NUM!</v>
      </c>
      <c r="M507" s="43"/>
      <c r="N507" s="40">
        <f t="shared" si="74"/>
        <v>2270</v>
      </c>
      <c r="O507" s="50">
        <f>-PMT(Assumptions!D$25/12,Assumptions!D$24*12,N$8)*C507/100</f>
        <v>24.076871959270079</v>
      </c>
      <c r="P507" s="44">
        <f>O507*Assumptions!$D$24*12-N507</f>
        <v>619.22463511240949</v>
      </c>
      <c r="Q507" s="48"/>
      <c r="R507" s="40">
        <f t="shared" si="75"/>
        <v>11350</v>
      </c>
      <c r="S507" s="40">
        <f>-PMT(Assumptions!E$25/12,Assumptions!E$24*12,$R$8)*$C507/100</f>
        <v>120.3843597963504</v>
      </c>
      <c r="T507" s="40">
        <f>S507*Assumptions!$E$24*12-R507</f>
        <v>3096.1231755620465</v>
      </c>
      <c r="U507" s="48"/>
      <c r="V507" s="40">
        <f t="shared" si="76"/>
        <v>0</v>
      </c>
      <c r="W507" s="40" t="e">
        <f>-PMT(Assumptions!F$25/12,Assumptions!F$24*12,$V$8)*$C507/100</f>
        <v>#NUM!</v>
      </c>
      <c r="X507" s="40" t="e">
        <f>W507*Assumptions!$F$24*12-V507</f>
        <v>#NUM!</v>
      </c>
      <c r="Y507" s="43"/>
      <c r="Z507" s="40">
        <f t="shared" si="77"/>
        <v>0</v>
      </c>
      <c r="AA507" s="50" t="e">
        <f>-PMT(Assumptions!G$25/12,Assumptions!G$24*12,$Z$8)*$C507/100</f>
        <v>#NUM!</v>
      </c>
      <c r="AB507" s="44" t="e">
        <f>AA507*Assumptions!$G$24*12-Z507</f>
        <v>#NUM!</v>
      </c>
      <c r="AD507" s="54">
        <f t="shared" si="78"/>
        <v>0</v>
      </c>
      <c r="AE507" s="54">
        <f t="shared" si="79"/>
        <v>0</v>
      </c>
      <c r="AF507" s="54">
        <f t="shared" si="80"/>
        <v>2270</v>
      </c>
      <c r="AG507" s="54">
        <f t="shared" si="81"/>
        <v>11350</v>
      </c>
      <c r="AH507" s="54">
        <f t="shared" si="82"/>
        <v>0</v>
      </c>
      <c r="AI507" s="54">
        <f t="shared" si="83"/>
        <v>0</v>
      </c>
    </row>
    <row r="508" spans="1:35" ht="15" x14ac:dyDescent="0.2">
      <c r="A508" s="56" t="s">
        <v>603</v>
      </c>
      <c r="B508" s="32"/>
      <c r="C508" s="56">
        <v>0.23599999999999999</v>
      </c>
      <c r="D508" s="56">
        <v>370.54</v>
      </c>
      <c r="E508" s="36"/>
      <c r="F508" s="40">
        <f t="shared" si="72"/>
        <v>0</v>
      </c>
      <c r="G508" s="40" t="e">
        <f>-PMT(Assumptions!B$25/12,Assumptions!B$24*12,F$8)*C508/100</f>
        <v>#NUM!</v>
      </c>
      <c r="H508" s="40" t="e">
        <f>G508*Assumptions!$B$24*12-F508</f>
        <v>#NUM!</v>
      </c>
      <c r="I508" s="48"/>
      <c r="J508" s="40">
        <f t="shared" si="73"/>
        <v>0</v>
      </c>
      <c r="K508" s="40" t="e">
        <f>-PMT(Assumptions!C$25/12,Assumptions!C$24*12,J$8)*C508/100</f>
        <v>#NUM!</v>
      </c>
      <c r="L508" s="40" t="e">
        <f>K508*Assumptions!$C$24*12-J508</f>
        <v>#NUM!</v>
      </c>
      <c r="M508" s="43"/>
      <c r="N508" s="40">
        <f t="shared" si="74"/>
        <v>2360</v>
      </c>
      <c r="O508" s="50">
        <f>-PMT(Assumptions!D$25/12,Assumptions!D$24*12,N$8)*C508/100</f>
        <v>25.031461596421753</v>
      </c>
      <c r="P508" s="44">
        <f>O508*Assumptions!$D$24*12-N508</f>
        <v>643.77539157061028</v>
      </c>
      <c r="Q508" s="48"/>
      <c r="R508" s="40">
        <f t="shared" si="75"/>
        <v>11800</v>
      </c>
      <c r="S508" s="40">
        <f>-PMT(Assumptions!E$25/12,Assumptions!E$24*12,$R$8)*$C508/100</f>
        <v>125.15730798210878</v>
      </c>
      <c r="T508" s="40">
        <f>S508*Assumptions!$E$24*12-R508</f>
        <v>3218.8769578530519</v>
      </c>
      <c r="U508" s="48"/>
      <c r="V508" s="40">
        <f t="shared" si="76"/>
        <v>0</v>
      </c>
      <c r="W508" s="40" t="e">
        <f>-PMT(Assumptions!F$25/12,Assumptions!F$24*12,$V$8)*$C508/100</f>
        <v>#NUM!</v>
      </c>
      <c r="X508" s="40" t="e">
        <f>W508*Assumptions!$F$24*12-V508</f>
        <v>#NUM!</v>
      </c>
      <c r="Y508" s="43"/>
      <c r="Z508" s="40">
        <f t="shared" si="77"/>
        <v>0</v>
      </c>
      <c r="AA508" s="50" t="e">
        <f>-PMT(Assumptions!G$25/12,Assumptions!G$24*12,$Z$8)*$C508/100</f>
        <v>#NUM!</v>
      </c>
      <c r="AB508" s="44" t="e">
        <f>AA508*Assumptions!$G$24*12-Z508</f>
        <v>#NUM!</v>
      </c>
      <c r="AD508" s="54">
        <f t="shared" si="78"/>
        <v>0</v>
      </c>
      <c r="AE508" s="54">
        <f t="shared" si="79"/>
        <v>0</v>
      </c>
      <c r="AF508" s="54">
        <f t="shared" si="80"/>
        <v>2360</v>
      </c>
      <c r="AG508" s="54">
        <f t="shared" si="81"/>
        <v>11800</v>
      </c>
      <c r="AH508" s="54">
        <f t="shared" si="82"/>
        <v>0</v>
      </c>
      <c r="AI508" s="54">
        <f t="shared" si="83"/>
        <v>0</v>
      </c>
    </row>
    <row r="509" spans="1:35" ht="15" x14ac:dyDescent="0.2">
      <c r="A509" s="56" t="s">
        <v>604</v>
      </c>
      <c r="B509" s="32"/>
      <c r="C509" s="56">
        <v>0.21199999999999999</v>
      </c>
      <c r="D509" s="56">
        <v>332.86</v>
      </c>
      <c r="E509" s="36"/>
      <c r="F509" s="40">
        <f t="shared" si="72"/>
        <v>0</v>
      </c>
      <c r="G509" s="40" t="e">
        <f>-PMT(Assumptions!B$25/12,Assumptions!B$24*12,F$8)*C509/100</f>
        <v>#NUM!</v>
      </c>
      <c r="H509" s="40" t="e">
        <f>G509*Assumptions!$B$24*12-F509</f>
        <v>#NUM!</v>
      </c>
      <c r="I509" s="48"/>
      <c r="J509" s="40">
        <f t="shared" si="73"/>
        <v>0</v>
      </c>
      <c r="K509" s="40" t="e">
        <f>-PMT(Assumptions!C$25/12,Assumptions!C$24*12,J$8)*C509/100</f>
        <v>#NUM!</v>
      </c>
      <c r="L509" s="40" t="e">
        <f>K509*Assumptions!$C$24*12-J509</f>
        <v>#NUM!</v>
      </c>
      <c r="M509" s="43"/>
      <c r="N509" s="40">
        <f t="shared" si="74"/>
        <v>2120</v>
      </c>
      <c r="O509" s="50">
        <f>-PMT(Assumptions!D$25/12,Assumptions!D$24*12,N$8)*C509/100</f>
        <v>22.485889230683949</v>
      </c>
      <c r="P509" s="44">
        <f>O509*Assumptions!$D$24*12-N509</f>
        <v>578.30670768207392</v>
      </c>
      <c r="Q509" s="48"/>
      <c r="R509" s="40">
        <f t="shared" si="75"/>
        <v>10600</v>
      </c>
      <c r="S509" s="40">
        <f>-PMT(Assumptions!E$25/12,Assumptions!E$24*12,$R$8)*$C509/100</f>
        <v>112.42944615341975</v>
      </c>
      <c r="T509" s="40">
        <f>S509*Assumptions!$E$24*12-R509</f>
        <v>2891.533538410371</v>
      </c>
      <c r="U509" s="48"/>
      <c r="V509" s="40">
        <f t="shared" si="76"/>
        <v>0</v>
      </c>
      <c r="W509" s="40" t="e">
        <f>-PMT(Assumptions!F$25/12,Assumptions!F$24*12,$V$8)*$C509/100</f>
        <v>#NUM!</v>
      </c>
      <c r="X509" s="40" t="e">
        <f>W509*Assumptions!$F$24*12-V509</f>
        <v>#NUM!</v>
      </c>
      <c r="Y509" s="43"/>
      <c r="Z509" s="40">
        <f t="shared" si="77"/>
        <v>0</v>
      </c>
      <c r="AA509" s="50" t="e">
        <f>-PMT(Assumptions!G$25/12,Assumptions!G$24*12,$Z$8)*$C509/100</f>
        <v>#NUM!</v>
      </c>
      <c r="AB509" s="44" t="e">
        <f>AA509*Assumptions!$G$24*12-Z509</f>
        <v>#NUM!</v>
      </c>
      <c r="AD509" s="54">
        <f t="shared" si="78"/>
        <v>0</v>
      </c>
      <c r="AE509" s="54">
        <f t="shared" si="79"/>
        <v>0</v>
      </c>
      <c r="AF509" s="54">
        <f t="shared" si="80"/>
        <v>2120</v>
      </c>
      <c r="AG509" s="54">
        <f t="shared" si="81"/>
        <v>10600</v>
      </c>
      <c r="AH509" s="54">
        <f t="shared" si="82"/>
        <v>0</v>
      </c>
      <c r="AI509" s="54">
        <f t="shared" si="83"/>
        <v>0</v>
      </c>
    </row>
    <row r="510" spans="1:35" ht="15" x14ac:dyDescent="0.2">
      <c r="A510" s="56" t="s">
        <v>605</v>
      </c>
      <c r="B510" s="32"/>
      <c r="C510" s="56">
        <v>0.21199999999999999</v>
      </c>
      <c r="D510" s="56">
        <v>332.86</v>
      </c>
      <c r="E510" s="36"/>
      <c r="F510" s="40">
        <f t="shared" si="72"/>
        <v>0</v>
      </c>
      <c r="G510" s="40" t="e">
        <f>-PMT(Assumptions!B$25/12,Assumptions!B$24*12,F$8)*C510/100</f>
        <v>#NUM!</v>
      </c>
      <c r="H510" s="40" t="e">
        <f>G510*Assumptions!$B$24*12-F510</f>
        <v>#NUM!</v>
      </c>
      <c r="I510" s="48"/>
      <c r="J510" s="40">
        <f t="shared" si="73"/>
        <v>0</v>
      </c>
      <c r="K510" s="40" t="e">
        <f>-PMT(Assumptions!C$25/12,Assumptions!C$24*12,J$8)*C510/100</f>
        <v>#NUM!</v>
      </c>
      <c r="L510" s="40" t="e">
        <f>K510*Assumptions!$C$24*12-J510</f>
        <v>#NUM!</v>
      </c>
      <c r="M510" s="43"/>
      <c r="N510" s="40">
        <f t="shared" si="74"/>
        <v>2120</v>
      </c>
      <c r="O510" s="50">
        <f>-PMT(Assumptions!D$25/12,Assumptions!D$24*12,N$8)*C510/100</f>
        <v>22.485889230683949</v>
      </c>
      <c r="P510" s="44">
        <f>O510*Assumptions!$D$24*12-N510</f>
        <v>578.30670768207392</v>
      </c>
      <c r="Q510" s="48"/>
      <c r="R510" s="40">
        <f t="shared" si="75"/>
        <v>10600</v>
      </c>
      <c r="S510" s="40">
        <f>-PMT(Assumptions!E$25/12,Assumptions!E$24*12,$R$8)*$C510/100</f>
        <v>112.42944615341975</v>
      </c>
      <c r="T510" s="40">
        <f>S510*Assumptions!$E$24*12-R510</f>
        <v>2891.533538410371</v>
      </c>
      <c r="U510" s="48"/>
      <c r="V510" s="40">
        <f t="shared" si="76"/>
        <v>0</v>
      </c>
      <c r="W510" s="40" t="e">
        <f>-PMT(Assumptions!F$25/12,Assumptions!F$24*12,$V$8)*$C510/100</f>
        <v>#NUM!</v>
      </c>
      <c r="X510" s="40" t="e">
        <f>W510*Assumptions!$F$24*12-V510</f>
        <v>#NUM!</v>
      </c>
      <c r="Y510" s="43"/>
      <c r="Z510" s="40">
        <f t="shared" si="77"/>
        <v>0</v>
      </c>
      <c r="AA510" s="50" t="e">
        <f>-PMT(Assumptions!G$25/12,Assumptions!G$24*12,$Z$8)*$C510/100</f>
        <v>#NUM!</v>
      </c>
      <c r="AB510" s="44" t="e">
        <f>AA510*Assumptions!$G$24*12-Z510</f>
        <v>#NUM!</v>
      </c>
      <c r="AD510" s="54">
        <f t="shared" si="78"/>
        <v>0</v>
      </c>
      <c r="AE510" s="54">
        <f t="shared" si="79"/>
        <v>0</v>
      </c>
      <c r="AF510" s="54">
        <f t="shared" si="80"/>
        <v>2120</v>
      </c>
      <c r="AG510" s="54">
        <f t="shared" si="81"/>
        <v>10600</v>
      </c>
      <c r="AH510" s="54">
        <f t="shared" si="82"/>
        <v>0</v>
      </c>
      <c r="AI510" s="54">
        <f t="shared" si="83"/>
        <v>0</v>
      </c>
    </row>
    <row r="511" spans="1:35" ht="15" x14ac:dyDescent="0.2">
      <c r="A511" s="56" t="s">
        <v>606</v>
      </c>
      <c r="B511" s="32"/>
      <c r="C511" s="56">
        <v>0.28999999999999998</v>
      </c>
      <c r="D511" s="56">
        <v>455.33</v>
      </c>
      <c r="E511" s="36"/>
      <c r="F511" s="40">
        <f t="shared" si="72"/>
        <v>0</v>
      </c>
      <c r="G511" s="40" t="e">
        <f>-PMT(Assumptions!B$25/12,Assumptions!B$24*12,F$8)*C511/100</f>
        <v>#NUM!</v>
      </c>
      <c r="H511" s="40" t="e">
        <f>G511*Assumptions!$B$24*12-F511</f>
        <v>#NUM!</v>
      </c>
      <c r="I511" s="48"/>
      <c r="J511" s="40">
        <f t="shared" si="73"/>
        <v>0</v>
      </c>
      <c r="K511" s="40" t="e">
        <f>-PMT(Assumptions!C$25/12,Assumptions!C$24*12,J$8)*C511/100</f>
        <v>#NUM!</v>
      </c>
      <c r="L511" s="40" t="e">
        <f>K511*Assumptions!$C$24*12-J511</f>
        <v>#NUM!</v>
      </c>
      <c r="M511" s="43"/>
      <c r="N511" s="40">
        <f t="shared" si="74"/>
        <v>2900</v>
      </c>
      <c r="O511" s="50">
        <f>-PMT(Assumptions!D$25/12,Assumptions!D$24*12,N$8)*C511/100</f>
        <v>30.758999419331811</v>
      </c>
      <c r="P511" s="44">
        <f>O511*Assumptions!$D$24*12-N511</f>
        <v>791.07993031981732</v>
      </c>
      <c r="Q511" s="48"/>
      <c r="R511" s="40">
        <f t="shared" si="75"/>
        <v>14500</v>
      </c>
      <c r="S511" s="40">
        <f>-PMT(Assumptions!E$25/12,Assumptions!E$24*12,$R$8)*$C511/100</f>
        <v>153.79499709665907</v>
      </c>
      <c r="T511" s="40">
        <f>S511*Assumptions!$E$24*12-R511</f>
        <v>3955.3996515990875</v>
      </c>
      <c r="U511" s="48"/>
      <c r="V511" s="40">
        <f t="shared" si="76"/>
        <v>0</v>
      </c>
      <c r="W511" s="40" t="e">
        <f>-PMT(Assumptions!F$25/12,Assumptions!F$24*12,$V$8)*$C511/100</f>
        <v>#NUM!</v>
      </c>
      <c r="X511" s="40" t="e">
        <f>W511*Assumptions!$F$24*12-V511</f>
        <v>#NUM!</v>
      </c>
      <c r="Y511" s="43"/>
      <c r="Z511" s="40">
        <f t="shared" si="77"/>
        <v>0</v>
      </c>
      <c r="AA511" s="50" t="e">
        <f>-PMT(Assumptions!G$25/12,Assumptions!G$24*12,$Z$8)*$C511/100</f>
        <v>#NUM!</v>
      </c>
      <c r="AB511" s="44" t="e">
        <f>AA511*Assumptions!$G$24*12-Z511</f>
        <v>#NUM!</v>
      </c>
      <c r="AD511" s="54">
        <f t="shared" si="78"/>
        <v>0</v>
      </c>
      <c r="AE511" s="54">
        <f t="shared" si="79"/>
        <v>0</v>
      </c>
      <c r="AF511" s="54">
        <f t="shared" si="80"/>
        <v>2900</v>
      </c>
      <c r="AG511" s="54">
        <f t="shared" si="81"/>
        <v>14500</v>
      </c>
      <c r="AH511" s="54">
        <f t="shared" si="82"/>
        <v>0</v>
      </c>
      <c r="AI511" s="54">
        <f t="shared" si="83"/>
        <v>0</v>
      </c>
    </row>
    <row r="512" spans="1:35" ht="15" x14ac:dyDescent="0.2">
      <c r="A512" s="56" t="s">
        <v>607</v>
      </c>
      <c r="B512" s="32"/>
      <c r="C512" s="56">
        <v>0.28999999999999998</v>
      </c>
      <c r="D512" s="56">
        <v>455.33</v>
      </c>
      <c r="E512" s="36"/>
      <c r="F512" s="40">
        <f t="shared" si="72"/>
        <v>0</v>
      </c>
      <c r="G512" s="40" t="e">
        <f>-PMT(Assumptions!B$25/12,Assumptions!B$24*12,F$8)*C512/100</f>
        <v>#NUM!</v>
      </c>
      <c r="H512" s="40" t="e">
        <f>G512*Assumptions!$B$24*12-F512</f>
        <v>#NUM!</v>
      </c>
      <c r="I512" s="48"/>
      <c r="J512" s="40">
        <f t="shared" si="73"/>
        <v>0</v>
      </c>
      <c r="K512" s="40" t="e">
        <f>-PMT(Assumptions!C$25/12,Assumptions!C$24*12,J$8)*C512/100</f>
        <v>#NUM!</v>
      </c>
      <c r="L512" s="40" t="e">
        <f>K512*Assumptions!$C$24*12-J512</f>
        <v>#NUM!</v>
      </c>
      <c r="M512" s="43"/>
      <c r="N512" s="40">
        <f t="shared" si="74"/>
        <v>2900</v>
      </c>
      <c r="O512" s="50">
        <f>-PMT(Assumptions!D$25/12,Assumptions!D$24*12,N$8)*C512/100</f>
        <v>30.758999419331811</v>
      </c>
      <c r="P512" s="44">
        <f>O512*Assumptions!$D$24*12-N512</f>
        <v>791.07993031981732</v>
      </c>
      <c r="Q512" s="48"/>
      <c r="R512" s="40">
        <f t="shared" si="75"/>
        <v>14500</v>
      </c>
      <c r="S512" s="40">
        <f>-PMT(Assumptions!E$25/12,Assumptions!E$24*12,$R$8)*$C512/100</f>
        <v>153.79499709665907</v>
      </c>
      <c r="T512" s="40">
        <f>S512*Assumptions!$E$24*12-R512</f>
        <v>3955.3996515990875</v>
      </c>
      <c r="U512" s="48"/>
      <c r="V512" s="40">
        <f t="shared" si="76"/>
        <v>0</v>
      </c>
      <c r="W512" s="40" t="e">
        <f>-PMT(Assumptions!F$25/12,Assumptions!F$24*12,$V$8)*$C512/100</f>
        <v>#NUM!</v>
      </c>
      <c r="X512" s="40" t="e">
        <f>W512*Assumptions!$F$24*12-V512</f>
        <v>#NUM!</v>
      </c>
      <c r="Y512" s="43"/>
      <c r="Z512" s="40">
        <f t="shared" si="77"/>
        <v>0</v>
      </c>
      <c r="AA512" s="50" t="e">
        <f>-PMT(Assumptions!G$25/12,Assumptions!G$24*12,$Z$8)*$C512/100</f>
        <v>#NUM!</v>
      </c>
      <c r="AB512" s="44" t="e">
        <f>AA512*Assumptions!$G$24*12-Z512</f>
        <v>#NUM!</v>
      </c>
      <c r="AD512" s="54">
        <f t="shared" si="78"/>
        <v>0</v>
      </c>
      <c r="AE512" s="54">
        <f t="shared" si="79"/>
        <v>0</v>
      </c>
      <c r="AF512" s="54">
        <f t="shared" si="80"/>
        <v>2900</v>
      </c>
      <c r="AG512" s="54">
        <f t="shared" si="81"/>
        <v>14500</v>
      </c>
      <c r="AH512" s="54">
        <f t="shared" si="82"/>
        <v>0</v>
      </c>
      <c r="AI512" s="54">
        <f t="shared" si="83"/>
        <v>0</v>
      </c>
    </row>
    <row r="513" spans="1:35" ht="15" x14ac:dyDescent="0.2">
      <c r="A513" s="56" t="s">
        <v>608</v>
      </c>
      <c r="B513" s="32"/>
      <c r="C513" s="56">
        <v>0.309</v>
      </c>
      <c r="D513" s="56">
        <v>485.16</v>
      </c>
      <c r="E513" s="36"/>
      <c r="F513" s="40">
        <f t="shared" si="72"/>
        <v>0</v>
      </c>
      <c r="G513" s="40" t="e">
        <f>-PMT(Assumptions!B$25/12,Assumptions!B$24*12,F$8)*C513/100</f>
        <v>#NUM!</v>
      </c>
      <c r="H513" s="40" t="e">
        <f>G513*Assumptions!$B$24*12-F513</f>
        <v>#NUM!</v>
      </c>
      <c r="I513" s="48"/>
      <c r="J513" s="40">
        <f t="shared" si="73"/>
        <v>0</v>
      </c>
      <c r="K513" s="40" t="e">
        <f>-PMT(Assumptions!C$25/12,Assumptions!C$24*12,J$8)*C513/100</f>
        <v>#NUM!</v>
      </c>
      <c r="L513" s="40" t="e">
        <f>K513*Assumptions!$C$24*12-J513</f>
        <v>#NUM!</v>
      </c>
      <c r="M513" s="43"/>
      <c r="N513" s="40">
        <f t="shared" si="74"/>
        <v>3090</v>
      </c>
      <c r="O513" s="50">
        <f>-PMT(Assumptions!D$25/12,Assumptions!D$24*12,N$8)*C513/100</f>
        <v>32.774244208874251</v>
      </c>
      <c r="P513" s="44">
        <f>O513*Assumptions!$D$24*12-N513</f>
        <v>842.90930506490986</v>
      </c>
      <c r="Q513" s="48"/>
      <c r="R513" s="40">
        <f t="shared" si="75"/>
        <v>15450</v>
      </c>
      <c r="S513" s="40">
        <f>-PMT(Assumptions!E$25/12,Assumptions!E$24*12,$R$8)*$C513/100</f>
        <v>163.87122104437123</v>
      </c>
      <c r="T513" s="40">
        <f>S513*Assumptions!$E$24*12-R513</f>
        <v>4214.5465253245457</v>
      </c>
      <c r="U513" s="48"/>
      <c r="V513" s="40">
        <f t="shared" si="76"/>
        <v>0</v>
      </c>
      <c r="W513" s="40" t="e">
        <f>-PMT(Assumptions!F$25/12,Assumptions!F$24*12,$V$8)*$C513/100</f>
        <v>#NUM!</v>
      </c>
      <c r="X513" s="40" t="e">
        <f>W513*Assumptions!$F$24*12-V513</f>
        <v>#NUM!</v>
      </c>
      <c r="Y513" s="43"/>
      <c r="Z513" s="40">
        <f t="shared" si="77"/>
        <v>0</v>
      </c>
      <c r="AA513" s="50" t="e">
        <f>-PMT(Assumptions!G$25/12,Assumptions!G$24*12,$Z$8)*$C513/100</f>
        <v>#NUM!</v>
      </c>
      <c r="AB513" s="44" t="e">
        <f>AA513*Assumptions!$G$24*12-Z513</f>
        <v>#NUM!</v>
      </c>
      <c r="AD513" s="54">
        <f t="shared" si="78"/>
        <v>0</v>
      </c>
      <c r="AE513" s="54">
        <f t="shared" si="79"/>
        <v>0</v>
      </c>
      <c r="AF513" s="54">
        <f t="shared" si="80"/>
        <v>3090</v>
      </c>
      <c r="AG513" s="54">
        <f t="shared" si="81"/>
        <v>15450</v>
      </c>
      <c r="AH513" s="54">
        <f t="shared" si="82"/>
        <v>0</v>
      </c>
      <c r="AI513" s="54">
        <f t="shared" si="83"/>
        <v>0</v>
      </c>
    </row>
    <row r="514" spans="1:35" ht="15" x14ac:dyDescent="0.2">
      <c r="A514" s="56" t="s">
        <v>609</v>
      </c>
      <c r="B514" s="32"/>
      <c r="C514" s="56">
        <v>0.309</v>
      </c>
      <c r="D514" s="56">
        <v>485.16</v>
      </c>
      <c r="E514" s="36"/>
      <c r="F514" s="40">
        <f t="shared" si="72"/>
        <v>0</v>
      </c>
      <c r="G514" s="40" t="e">
        <f>-PMT(Assumptions!B$25/12,Assumptions!B$24*12,F$8)*C514/100</f>
        <v>#NUM!</v>
      </c>
      <c r="H514" s="40" t="e">
        <f>G514*Assumptions!$B$24*12-F514</f>
        <v>#NUM!</v>
      </c>
      <c r="I514" s="48"/>
      <c r="J514" s="40">
        <f t="shared" si="73"/>
        <v>0</v>
      </c>
      <c r="K514" s="40" t="e">
        <f>-PMT(Assumptions!C$25/12,Assumptions!C$24*12,J$8)*C514/100</f>
        <v>#NUM!</v>
      </c>
      <c r="L514" s="40" t="e">
        <f>K514*Assumptions!$C$24*12-J514</f>
        <v>#NUM!</v>
      </c>
      <c r="M514" s="43"/>
      <c r="N514" s="40">
        <f t="shared" si="74"/>
        <v>3090</v>
      </c>
      <c r="O514" s="50">
        <f>-PMT(Assumptions!D$25/12,Assumptions!D$24*12,N$8)*C514/100</f>
        <v>32.774244208874251</v>
      </c>
      <c r="P514" s="44">
        <f>O514*Assumptions!$D$24*12-N514</f>
        <v>842.90930506490986</v>
      </c>
      <c r="Q514" s="48"/>
      <c r="R514" s="40">
        <f t="shared" si="75"/>
        <v>15450</v>
      </c>
      <c r="S514" s="40">
        <f>-PMT(Assumptions!E$25/12,Assumptions!E$24*12,$R$8)*$C514/100</f>
        <v>163.87122104437123</v>
      </c>
      <c r="T514" s="40">
        <f>S514*Assumptions!$E$24*12-R514</f>
        <v>4214.5465253245457</v>
      </c>
      <c r="U514" s="48"/>
      <c r="V514" s="40">
        <f t="shared" si="76"/>
        <v>0</v>
      </c>
      <c r="W514" s="40" t="e">
        <f>-PMT(Assumptions!F$25/12,Assumptions!F$24*12,$V$8)*$C514/100</f>
        <v>#NUM!</v>
      </c>
      <c r="X514" s="40" t="e">
        <f>W514*Assumptions!$F$24*12-V514</f>
        <v>#NUM!</v>
      </c>
      <c r="Y514" s="43"/>
      <c r="Z514" s="40">
        <f t="shared" si="77"/>
        <v>0</v>
      </c>
      <c r="AA514" s="50" t="e">
        <f>-PMT(Assumptions!G$25/12,Assumptions!G$24*12,$Z$8)*$C514/100</f>
        <v>#NUM!</v>
      </c>
      <c r="AB514" s="44" t="e">
        <f>AA514*Assumptions!$G$24*12-Z514</f>
        <v>#NUM!</v>
      </c>
      <c r="AD514" s="54">
        <f t="shared" si="78"/>
        <v>0</v>
      </c>
      <c r="AE514" s="54">
        <f t="shared" si="79"/>
        <v>0</v>
      </c>
      <c r="AF514" s="54">
        <f t="shared" si="80"/>
        <v>3090</v>
      </c>
      <c r="AG514" s="54">
        <f t="shared" si="81"/>
        <v>15450</v>
      </c>
      <c r="AH514" s="54">
        <f t="shared" si="82"/>
        <v>0</v>
      </c>
      <c r="AI514" s="54">
        <f t="shared" si="83"/>
        <v>0</v>
      </c>
    </row>
    <row r="515" spans="1:35" x14ac:dyDescent="0.25">
      <c r="A515" s="212"/>
      <c r="C515" s="56"/>
      <c r="D515" s="56"/>
    </row>
    <row r="516" spans="1:35" x14ac:dyDescent="0.25">
      <c r="A516" s="212"/>
      <c r="C516" s="43"/>
      <c r="D516" s="56"/>
      <c r="F516" s="43">
        <f>SUM(F16:F514)</f>
        <v>0</v>
      </c>
      <c r="G516" s="43" t="e">
        <f>SUM(G16:G514)*(Assumptions!B24*12)</f>
        <v>#NUM!</v>
      </c>
      <c r="H516" s="43" t="e">
        <f>SUM(H16:H514)</f>
        <v>#NUM!</v>
      </c>
      <c r="I516" s="43"/>
      <c r="J516" s="43">
        <f>SUM(J16:J514)</f>
        <v>0</v>
      </c>
      <c r="K516" s="43" t="e">
        <f>SUM(K16:K514)*(Assumptions!C24*12)</f>
        <v>#NUM!</v>
      </c>
      <c r="L516" s="43" t="e">
        <f>SUM(L16:L514)</f>
        <v>#NUM!</v>
      </c>
      <c r="M516" s="43"/>
      <c r="N516" s="43">
        <f>SUM(N16:N514)</f>
        <v>1000000</v>
      </c>
      <c r="O516" s="43">
        <f>SUM(O16:O514)*(Assumptions!D24*12)</f>
        <v>1272786.1828689007</v>
      </c>
      <c r="P516" s="43">
        <f>SUM(P16:P514)</f>
        <v>272786.1828689028</v>
      </c>
      <c r="Q516" s="43"/>
      <c r="R516" s="43">
        <f>SUM(R16:R514)</f>
        <v>5000000</v>
      </c>
      <c r="S516" s="43">
        <f>SUM(S16:S514)*(Assumptions!E24*12)</f>
        <v>6363930.9143445194</v>
      </c>
      <c r="T516" s="43">
        <f>SUM(T16:T514)</f>
        <v>1363930.9143445136</v>
      </c>
      <c r="U516" s="43"/>
      <c r="V516" s="43">
        <f>SUM(V16:V514)</f>
        <v>0</v>
      </c>
      <c r="W516" s="43" t="e">
        <f>SUM(W16:W514)*(Assumptions!F24*12)</f>
        <v>#NUM!</v>
      </c>
      <c r="X516" s="43" t="e">
        <f>SUM(X16:X514)</f>
        <v>#NUM!</v>
      </c>
      <c r="Y516" s="43"/>
      <c r="Z516" s="43">
        <f>SUM(Z16:Z514)</f>
        <v>0</v>
      </c>
      <c r="AA516" s="43" t="e">
        <f>SUM(AA16:AA514)*(Assumptions!G24*12)</f>
        <v>#NUM!</v>
      </c>
      <c r="AB516" s="43" t="e">
        <f>SUM(AB16:AB514)</f>
        <v>#NUM!</v>
      </c>
    </row>
    <row r="517" spans="1:35" x14ac:dyDescent="0.25">
      <c r="A517" s="212"/>
      <c r="C517" s="56"/>
      <c r="D517" s="56"/>
    </row>
    <row r="518" spans="1:35" x14ac:dyDescent="0.25">
      <c r="A518" s="212"/>
      <c r="C518" s="56"/>
      <c r="D518" s="56"/>
    </row>
    <row r="519" spans="1:35" x14ac:dyDescent="0.25">
      <c r="A519" s="212"/>
      <c r="C519" s="56"/>
      <c r="D519" s="56"/>
    </row>
    <row r="520" spans="1:35" x14ac:dyDescent="0.25">
      <c r="A520" s="212"/>
      <c r="C520" s="56"/>
      <c r="D520" s="56"/>
    </row>
    <row r="521" spans="1:35" x14ac:dyDescent="0.25">
      <c r="A521" s="212"/>
      <c r="C521" s="56"/>
      <c r="D521" s="56"/>
    </row>
    <row r="522" spans="1:35" x14ac:dyDescent="0.25">
      <c r="A522" s="212"/>
      <c r="C522" s="56"/>
      <c r="D522" s="56"/>
    </row>
    <row r="523" spans="1:35" x14ac:dyDescent="0.25">
      <c r="A523" s="212"/>
      <c r="C523" s="56"/>
      <c r="D523" s="56"/>
    </row>
    <row r="524" spans="1:35" x14ac:dyDescent="0.25">
      <c r="A524" s="212"/>
      <c r="C524" s="56"/>
      <c r="D524" s="56"/>
    </row>
    <row r="525" spans="1:35" x14ac:dyDescent="0.25">
      <c r="A525" s="212"/>
      <c r="C525" s="56"/>
      <c r="D525" s="56"/>
    </row>
    <row r="526" spans="1:35" x14ac:dyDescent="0.25">
      <c r="A526" s="212"/>
      <c r="C526" s="56"/>
      <c r="D526" s="56"/>
    </row>
    <row r="527" spans="1:35" x14ac:dyDescent="0.25">
      <c r="A527" s="212"/>
      <c r="C527" s="56"/>
      <c r="D527" s="56"/>
    </row>
    <row r="528" spans="1:35" x14ac:dyDescent="0.25">
      <c r="A528" s="212"/>
      <c r="C528" s="56"/>
      <c r="D528" s="56"/>
    </row>
    <row r="529" spans="1:4" x14ac:dyDescent="0.25">
      <c r="A529" s="212"/>
      <c r="C529" s="56"/>
      <c r="D529" s="56"/>
    </row>
    <row r="530" spans="1:4" x14ac:dyDescent="0.25">
      <c r="A530" s="212"/>
      <c r="C530" s="56"/>
      <c r="D530" s="56"/>
    </row>
    <row r="531" spans="1:4" x14ac:dyDescent="0.25">
      <c r="A531" s="212"/>
      <c r="C531" s="56"/>
      <c r="D531" s="56"/>
    </row>
    <row r="532" spans="1:4" x14ac:dyDescent="0.25">
      <c r="A532" s="212"/>
      <c r="C532" s="56"/>
      <c r="D532" s="56"/>
    </row>
    <row r="533" spans="1:4" x14ac:dyDescent="0.25">
      <c r="A533" s="212"/>
      <c r="C533" s="56"/>
      <c r="D533" s="56"/>
    </row>
    <row r="534" spans="1:4" x14ac:dyDescent="0.25">
      <c r="A534" s="212"/>
      <c r="C534" s="56"/>
      <c r="D534" s="56"/>
    </row>
    <row r="535" spans="1:4" x14ac:dyDescent="0.25">
      <c r="A535" s="212"/>
      <c r="C535" s="56"/>
      <c r="D535" s="56"/>
    </row>
    <row r="536" spans="1:4" x14ac:dyDescent="0.25">
      <c r="A536" s="212"/>
      <c r="C536" s="56"/>
      <c r="D536" s="56"/>
    </row>
    <row r="537" spans="1:4" x14ac:dyDescent="0.25">
      <c r="A537" s="212"/>
      <c r="C537" s="56"/>
      <c r="D537" s="56"/>
    </row>
    <row r="538" spans="1:4" x14ac:dyDescent="0.25">
      <c r="A538" s="212"/>
      <c r="C538" s="56"/>
      <c r="D538" s="56"/>
    </row>
    <row r="539" spans="1:4" x14ac:dyDescent="0.25">
      <c r="A539" s="212"/>
      <c r="C539" s="56"/>
      <c r="D539" s="56"/>
    </row>
    <row r="540" spans="1:4" x14ac:dyDescent="0.25">
      <c r="A540" s="212"/>
      <c r="C540" s="56"/>
      <c r="D540" s="56"/>
    </row>
    <row r="541" spans="1:4" x14ac:dyDescent="0.25">
      <c r="A541" s="212"/>
      <c r="C541" s="56"/>
      <c r="D541" s="56"/>
    </row>
    <row r="542" spans="1:4" x14ac:dyDescent="0.25">
      <c r="A542" s="212"/>
      <c r="C542" s="56"/>
      <c r="D542" s="56"/>
    </row>
    <row r="543" spans="1:4" x14ac:dyDescent="0.25">
      <c r="A543" s="212"/>
      <c r="C543" s="56"/>
      <c r="D543" s="56"/>
    </row>
    <row r="544" spans="1:4" x14ac:dyDescent="0.25">
      <c r="A544" s="212"/>
      <c r="C544" s="56"/>
      <c r="D544" s="56"/>
    </row>
    <row r="545" spans="1:4" x14ac:dyDescent="0.25">
      <c r="A545" s="212"/>
      <c r="C545" s="56"/>
      <c r="D545" s="56"/>
    </row>
    <row r="546" spans="1:4" x14ac:dyDescent="0.25">
      <c r="A546" s="212"/>
      <c r="C546" s="56"/>
      <c r="D546" s="56"/>
    </row>
    <row r="547" spans="1:4" x14ac:dyDescent="0.25">
      <c r="A547" s="212"/>
      <c r="C547" s="56"/>
      <c r="D547" s="56"/>
    </row>
    <row r="548" spans="1:4" x14ac:dyDescent="0.25">
      <c r="A548" s="212"/>
      <c r="C548" s="56"/>
      <c r="D548" s="56"/>
    </row>
    <row r="549" spans="1:4" x14ac:dyDescent="0.25">
      <c r="A549" s="212"/>
      <c r="C549" s="56"/>
      <c r="D549" s="56"/>
    </row>
    <row r="550" spans="1:4" x14ac:dyDescent="0.25">
      <c r="A550" s="212"/>
      <c r="C550" s="56"/>
      <c r="D550" s="56"/>
    </row>
    <row r="551" spans="1:4" x14ac:dyDescent="0.25">
      <c r="A551" s="212"/>
      <c r="C551" s="56"/>
      <c r="D551" s="56"/>
    </row>
    <row r="552" spans="1:4" x14ac:dyDescent="0.25">
      <c r="A552" s="212"/>
      <c r="C552" s="56"/>
      <c r="D552" s="56"/>
    </row>
    <row r="553" spans="1:4" x14ac:dyDescent="0.25">
      <c r="A553" s="212"/>
      <c r="C553" s="56"/>
      <c r="D553" s="56"/>
    </row>
    <row r="554" spans="1:4" x14ac:dyDescent="0.25">
      <c r="A554" s="212"/>
      <c r="C554" s="56"/>
      <c r="D554" s="56"/>
    </row>
    <row r="555" spans="1:4" x14ac:dyDescent="0.25">
      <c r="A555" s="212"/>
      <c r="C555" s="56"/>
      <c r="D555" s="56"/>
    </row>
    <row r="556" spans="1:4" x14ac:dyDescent="0.25">
      <c r="A556" s="212"/>
      <c r="C556" s="56"/>
      <c r="D556" s="56"/>
    </row>
    <row r="557" spans="1:4" x14ac:dyDescent="0.25">
      <c r="A557" s="212"/>
      <c r="C557" s="56"/>
      <c r="D557" s="56"/>
    </row>
    <row r="558" spans="1:4" x14ac:dyDescent="0.25">
      <c r="A558" s="212"/>
      <c r="C558" s="56"/>
      <c r="D558" s="56"/>
    </row>
    <row r="559" spans="1:4" x14ac:dyDescent="0.25">
      <c r="A559" s="212"/>
      <c r="C559" s="56"/>
      <c r="D559" s="56"/>
    </row>
    <row r="560" spans="1:4" x14ac:dyDescent="0.25">
      <c r="A560" s="212"/>
      <c r="C560" s="56"/>
      <c r="D560" s="56"/>
    </row>
    <row r="561" spans="1:4" x14ac:dyDescent="0.25">
      <c r="A561" s="212"/>
      <c r="C561" s="56"/>
      <c r="D561" s="56"/>
    </row>
    <row r="562" spans="1:4" x14ac:dyDescent="0.25">
      <c r="A562" s="212"/>
      <c r="C562" s="56"/>
      <c r="D562" s="56"/>
    </row>
    <row r="563" spans="1:4" x14ac:dyDescent="0.25">
      <c r="A563" s="212"/>
      <c r="C563" s="56"/>
      <c r="D563" s="56"/>
    </row>
    <row r="564" spans="1:4" x14ac:dyDescent="0.25">
      <c r="A564" s="212"/>
      <c r="C564" s="56"/>
      <c r="D564" s="56"/>
    </row>
    <row r="565" spans="1:4" x14ac:dyDescent="0.25">
      <c r="A565" s="212"/>
      <c r="C565" s="56"/>
      <c r="D565" s="56"/>
    </row>
    <row r="566" spans="1:4" x14ac:dyDescent="0.25">
      <c r="A566" s="212"/>
      <c r="C566" s="56"/>
      <c r="D566" s="56"/>
    </row>
    <row r="567" spans="1:4" x14ac:dyDescent="0.25">
      <c r="A567" s="212"/>
      <c r="C567" s="56"/>
      <c r="D567" s="56"/>
    </row>
    <row r="568" spans="1:4" x14ac:dyDescent="0.25">
      <c r="A568" s="212"/>
      <c r="C568" s="56"/>
      <c r="D568" s="56"/>
    </row>
    <row r="569" spans="1:4" x14ac:dyDescent="0.25">
      <c r="A569" s="212"/>
      <c r="C569" s="56"/>
      <c r="D569" s="56"/>
    </row>
    <row r="570" spans="1:4" x14ac:dyDescent="0.25">
      <c r="A570" s="212"/>
      <c r="C570" s="56"/>
      <c r="D570" s="56"/>
    </row>
    <row r="571" spans="1:4" x14ac:dyDescent="0.25">
      <c r="A571" s="212"/>
      <c r="C571" s="56"/>
      <c r="D571" s="56"/>
    </row>
    <row r="572" spans="1:4" x14ac:dyDescent="0.25">
      <c r="A572" s="212"/>
      <c r="C572" s="56"/>
      <c r="D572" s="56"/>
    </row>
    <row r="573" spans="1:4" x14ac:dyDescent="0.25">
      <c r="A573" s="212"/>
      <c r="C573" s="56"/>
      <c r="D573" s="56"/>
    </row>
    <row r="574" spans="1:4" x14ac:dyDescent="0.25">
      <c r="A574" s="212"/>
      <c r="C574" s="56"/>
      <c r="D574" s="56"/>
    </row>
    <row r="575" spans="1:4" x14ac:dyDescent="0.25">
      <c r="A575" s="212"/>
      <c r="C575" s="56"/>
      <c r="D575" s="56"/>
    </row>
    <row r="576" spans="1:4" x14ac:dyDescent="0.25">
      <c r="A576" s="212"/>
      <c r="C576" s="56"/>
      <c r="D576" s="56"/>
    </row>
    <row r="577" spans="1:4" x14ac:dyDescent="0.25">
      <c r="A577" s="212"/>
      <c r="C577" s="56"/>
      <c r="D577" s="56"/>
    </row>
    <row r="578" spans="1:4" x14ac:dyDescent="0.25">
      <c r="A578" s="212"/>
      <c r="C578" s="56"/>
      <c r="D578" s="56"/>
    </row>
    <row r="579" spans="1:4" x14ac:dyDescent="0.25">
      <c r="A579" s="212"/>
      <c r="C579" s="56"/>
      <c r="D579" s="56"/>
    </row>
    <row r="580" spans="1:4" x14ac:dyDescent="0.25">
      <c r="A580" s="212"/>
      <c r="C580" s="56"/>
      <c r="D580" s="56"/>
    </row>
    <row r="581" spans="1:4" x14ac:dyDescent="0.25">
      <c r="A581" s="212"/>
      <c r="C581" s="56"/>
      <c r="D581" s="56"/>
    </row>
    <row r="582" spans="1:4" x14ac:dyDescent="0.25">
      <c r="A582" s="212"/>
      <c r="C582" s="56"/>
      <c r="D582" s="56"/>
    </row>
    <row r="583" spans="1:4" x14ac:dyDescent="0.25">
      <c r="A583" s="212"/>
      <c r="C583" s="56"/>
      <c r="D583" s="56"/>
    </row>
    <row r="584" spans="1:4" x14ac:dyDescent="0.25">
      <c r="A584" s="212"/>
      <c r="C584" s="56"/>
      <c r="D584" s="56"/>
    </row>
    <row r="585" spans="1:4" x14ac:dyDescent="0.25">
      <c r="A585" s="212"/>
      <c r="C585" s="56"/>
      <c r="D585" s="56"/>
    </row>
    <row r="586" spans="1:4" x14ac:dyDescent="0.25">
      <c r="A586" s="212"/>
      <c r="C586" s="56"/>
      <c r="D586" s="56"/>
    </row>
    <row r="587" spans="1:4" x14ac:dyDescent="0.25">
      <c r="A587" s="212"/>
      <c r="C587" s="56"/>
      <c r="D587" s="56"/>
    </row>
    <row r="588" spans="1:4" x14ac:dyDescent="0.25">
      <c r="A588" s="212"/>
      <c r="C588" s="56"/>
      <c r="D588" s="56"/>
    </row>
    <row r="589" spans="1:4" x14ac:dyDescent="0.25">
      <c r="A589" s="212"/>
      <c r="C589" s="56"/>
      <c r="D589" s="56"/>
    </row>
    <row r="590" spans="1:4" x14ac:dyDescent="0.25">
      <c r="A590" s="212"/>
      <c r="C590" s="56"/>
      <c r="D590" s="56"/>
    </row>
    <row r="591" spans="1:4" x14ac:dyDescent="0.25">
      <c r="A591" s="212"/>
      <c r="C591" s="56"/>
      <c r="D591" s="56"/>
    </row>
    <row r="592" spans="1:4" x14ac:dyDescent="0.25">
      <c r="A592" s="212"/>
      <c r="C592" s="56"/>
      <c r="D592" s="56"/>
    </row>
    <row r="593" spans="1:4" x14ac:dyDescent="0.25">
      <c r="A593" s="212"/>
      <c r="C593" s="56"/>
      <c r="D593" s="56"/>
    </row>
    <row r="594" spans="1:4" x14ac:dyDescent="0.25">
      <c r="A594" s="212"/>
      <c r="C594" s="56"/>
      <c r="D594" s="56"/>
    </row>
    <row r="595" spans="1:4" x14ac:dyDescent="0.25">
      <c r="A595" s="212"/>
      <c r="C595" s="56"/>
      <c r="D595" s="56"/>
    </row>
    <row r="596" spans="1:4" x14ac:dyDescent="0.25">
      <c r="A596" s="212"/>
      <c r="C596" s="56"/>
      <c r="D596" s="56"/>
    </row>
    <row r="597" spans="1:4" x14ac:dyDescent="0.25">
      <c r="A597" s="212"/>
      <c r="C597" s="56"/>
      <c r="D597" s="56"/>
    </row>
    <row r="598" spans="1:4" x14ac:dyDescent="0.25">
      <c r="A598" s="212"/>
      <c r="C598" s="56"/>
      <c r="D598" s="56"/>
    </row>
    <row r="599" spans="1:4" x14ac:dyDescent="0.25">
      <c r="A599" s="212"/>
      <c r="C599" s="56"/>
      <c r="D599" s="56"/>
    </row>
    <row r="600" spans="1:4" x14ac:dyDescent="0.25">
      <c r="A600" s="212"/>
      <c r="C600" s="56"/>
      <c r="D600" s="56"/>
    </row>
    <row r="601" spans="1:4" x14ac:dyDescent="0.25">
      <c r="A601" s="212"/>
      <c r="C601" s="56"/>
      <c r="D601" s="56"/>
    </row>
    <row r="602" spans="1:4" x14ac:dyDescent="0.25">
      <c r="A602" s="212"/>
      <c r="C602" s="56"/>
      <c r="D602" s="56"/>
    </row>
    <row r="603" spans="1:4" x14ac:dyDescent="0.25">
      <c r="A603" s="212"/>
      <c r="C603" s="56"/>
      <c r="D603" s="56"/>
    </row>
    <row r="604" spans="1:4" x14ac:dyDescent="0.25">
      <c r="A604" s="212"/>
      <c r="C604" s="56"/>
      <c r="D604" s="56"/>
    </row>
    <row r="605" spans="1:4" x14ac:dyDescent="0.25">
      <c r="A605" s="212"/>
      <c r="C605" s="56"/>
      <c r="D605" s="56"/>
    </row>
    <row r="606" spans="1:4" x14ac:dyDescent="0.25">
      <c r="A606" s="212"/>
      <c r="C606" s="56"/>
      <c r="D606" s="56"/>
    </row>
    <row r="607" spans="1:4" x14ac:dyDescent="0.25">
      <c r="A607" s="212"/>
      <c r="C607" s="56"/>
      <c r="D607" s="56"/>
    </row>
    <row r="608" spans="1:4" x14ac:dyDescent="0.25">
      <c r="A608" s="212"/>
      <c r="C608" s="56"/>
      <c r="D608" s="56"/>
    </row>
    <row r="609" spans="1:4" x14ac:dyDescent="0.25">
      <c r="A609" s="212"/>
      <c r="C609" s="56"/>
      <c r="D609" s="56"/>
    </row>
    <row r="610" spans="1:4" x14ac:dyDescent="0.25">
      <c r="A610" s="212"/>
      <c r="C610" s="56"/>
      <c r="D610" s="56"/>
    </row>
    <row r="611" spans="1:4" x14ac:dyDescent="0.25">
      <c r="A611" s="212"/>
      <c r="C611" s="56"/>
      <c r="D611" s="56"/>
    </row>
    <row r="612" spans="1:4" x14ac:dyDescent="0.25">
      <c r="A612" s="212"/>
      <c r="C612" s="56"/>
      <c r="D612" s="56"/>
    </row>
    <row r="613" spans="1:4" x14ac:dyDescent="0.25">
      <c r="A613" s="212"/>
      <c r="C613" s="56"/>
      <c r="D613" s="56"/>
    </row>
    <row r="614" spans="1:4" x14ac:dyDescent="0.25">
      <c r="A614" s="212"/>
      <c r="C614" s="56"/>
      <c r="D614" s="56"/>
    </row>
    <row r="615" spans="1:4" x14ac:dyDescent="0.25">
      <c r="A615" s="212"/>
      <c r="C615" s="56"/>
      <c r="D615" s="56"/>
    </row>
    <row r="616" spans="1:4" x14ac:dyDescent="0.25">
      <c r="A616" s="212"/>
      <c r="C616" s="56"/>
      <c r="D616" s="56"/>
    </row>
    <row r="617" spans="1:4" x14ac:dyDescent="0.25">
      <c r="A617" s="212"/>
      <c r="C617" s="56"/>
      <c r="D617" s="56"/>
    </row>
    <row r="618" spans="1:4" x14ac:dyDescent="0.25">
      <c r="A618" s="212"/>
      <c r="C618" s="56"/>
      <c r="D618" s="56"/>
    </row>
    <row r="619" spans="1:4" x14ac:dyDescent="0.25">
      <c r="A619" s="212"/>
      <c r="C619" s="56"/>
      <c r="D619" s="56"/>
    </row>
    <row r="620" spans="1:4" x14ac:dyDescent="0.25">
      <c r="A620" s="212"/>
      <c r="C620" s="56"/>
      <c r="D620" s="56"/>
    </row>
    <row r="621" spans="1:4" x14ac:dyDescent="0.25">
      <c r="A621" s="212"/>
      <c r="C621" s="56"/>
      <c r="D621" s="56"/>
    </row>
    <row r="622" spans="1:4" x14ac:dyDescent="0.25">
      <c r="A622" s="212"/>
      <c r="C622" s="56"/>
      <c r="D622" s="56"/>
    </row>
    <row r="623" spans="1:4" x14ac:dyDescent="0.25">
      <c r="A623" s="212"/>
      <c r="C623" s="56"/>
      <c r="D623" s="56"/>
    </row>
    <row r="624" spans="1:4" x14ac:dyDescent="0.25">
      <c r="A624" s="212"/>
      <c r="C624" s="56"/>
      <c r="D624" s="56"/>
    </row>
    <row r="625" spans="1:4" x14ac:dyDescent="0.25">
      <c r="A625" s="212"/>
      <c r="C625" s="56"/>
      <c r="D625" s="56"/>
    </row>
    <row r="626" spans="1:4" x14ac:dyDescent="0.25">
      <c r="A626" s="212"/>
      <c r="C626" s="56"/>
      <c r="D626" s="56"/>
    </row>
    <row r="627" spans="1:4" x14ac:dyDescent="0.25">
      <c r="A627" s="212"/>
      <c r="C627" s="56"/>
      <c r="D627" s="56"/>
    </row>
    <row r="628" spans="1:4" x14ac:dyDescent="0.25">
      <c r="A628" s="212"/>
      <c r="C628" s="56"/>
      <c r="D628" s="56"/>
    </row>
    <row r="629" spans="1:4" x14ac:dyDescent="0.25">
      <c r="A629" s="212"/>
      <c r="C629" s="56"/>
      <c r="D629" s="56"/>
    </row>
    <row r="630" spans="1:4" x14ac:dyDescent="0.25">
      <c r="A630" s="212"/>
      <c r="C630" s="56"/>
      <c r="D630" s="56"/>
    </row>
    <row r="631" spans="1:4" x14ac:dyDescent="0.25">
      <c r="A631" s="212"/>
      <c r="C631" s="56"/>
      <c r="D631" s="56"/>
    </row>
    <row r="632" spans="1:4" x14ac:dyDescent="0.25">
      <c r="A632" s="212"/>
      <c r="C632" s="56"/>
      <c r="D632" s="56"/>
    </row>
    <row r="633" spans="1:4" x14ac:dyDescent="0.25">
      <c r="A633" s="212"/>
      <c r="C633" s="56"/>
      <c r="D633" s="56"/>
    </row>
    <row r="634" spans="1:4" x14ac:dyDescent="0.25">
      <c r="A634" s="212"/>
      <c r="C634" s="56"/>
      <c r="D634" s="56"/>
    </row>
    <row r="635" spans="1:4" x14ac:dyDescent="0.25">
      <c r="A635" s="212"/>
      <c r="C635" s="56"/>
      <c r="D635" s="56"/>
    </row>
    <row r="636" spans="1:4" x14ac:dyDescent="0.25">
      <c r="A636" s="212"/>
      <c r="C636" s="56"/>
      <c r="D636" s="56"/>
    </row>
    <row r="637" spans="1:4" x14ac:dyDescent="0.25">
      <c r="A637" s="212"/>
      <c r="C637" s="56"/>
      <c r="D637" s="56"/>
    </row>
    <row r="638" spans="1:4" x14ac:dyDescent="0.25">
      <c r="A638" s="212"/>
      <c r="C638" s="56"/>
      <c r="D638" s="56"/>
    </row>
    <row r="639" spans="1:4" x14ac:dyDescent="0.25">
      <c r="A639" s="212"/>
      <c r="C639" s="56"/>
      <c r="D639" s="56"/>
    </row>
    <row r="640" spans="1:4" x14ac:dyDescent="0.25">
      <c r="A640" s="212"/>
      <c r="C640" s="56"/>
      <c r="D640" s="56"/>
    </row>
    <row r="641" spans="1:4" x14ac:dyDescent="0.25">
      <c r="A641" s="212"/>
      <c r="C641" s="56"/>
      <c r="D641" s="56"/>
    </row>
    <row r="642" spans="1:4" x14ac:dyDescent="0.25">
      <c r="A642" s="212"/>
      <c r="C642" s="56"/>
      <c r="D642" s="56"/>
    </row>
    <row r="643" spans="1:4" x14ac:dyDescent="0.25">
      <c r="A643" s="212"/>
      <c r="C643" s="56"/>
      <c r="D643" s="56"/>
    </row>
    <row r="644" spans="1:4" x14ac:dyDescent="0.25">
      <c r="A644" s="212"/>
      <c r="C644" s="56"/>
      <c r="D644" s="56"/>
    </row>
    <row r="645" spans="1:4" x14ac:dyDescent="0.25">
      <c r="A645" s="212"/>
      <c r="C645" s="56"/>
      <c r="D645" s="56"/>
    </row>
    <row r="646" spans="1:4" x14ac:dyDescent="0.25">
      <c r="A646" s="212"/>
      <c r="C646" s="56"/>
      <c r="D646" s="56"/>
    </row>
    <row r="647" spans="1:4" x14ac:dyDescent="0.25">
      <c r="A647" s="212"/>
      <c r="C647" s="56"/>
      <c r="D647" s="56"/>
    </row>
    <row r="648" spans="1:4" x14ac:dyDescent="0.25">
      <c r="A648" s="212"/>
      <c r="C648" s="56"/>
      <c r="D648" s="56"/>
    </row>
    <row r="649" spans="1:4" x14ac:dyDescent="0.25">
      <c r="A649" s="212"/>
      <c r="C649" s="56"/>
      <c r="D649" s="56"/>
    </row>
    <row r="650" spans="1:4" x14ac:dyDescent="0.25">
      <c r="A650" s="212"/>
      <c r="C650" s="56"/>
      <c r="D650" s="56"/>
    </row>
    <row r="651" spans="1:4" x14ac:dyDescent="0.25">
      <c r="A651" s="212"/>
      <c r="C651" s="56"/>
      <c r="D651" s="56"/>
    </row>
    <row r="652" spans="1:4" x14ac:dyDescent="0.25">
      <c r="A652" s="212"/>
      <c r="C652" s="56"/>
      <c r="D652" s="56"/>
    </row>
    <row r="653" spans="1:4" x14ac:dyDescent="0.25">
      <c r="A653" s="212"/>
      <c r="C653" s="56"/>
      <c r="D653" s="56"/>
    </row>
    <row r="654" spans="1:4" x14ac:dyDescent="0.25">
      <c r="A654" s="212"/>
      <c r="C654" s="56"/>
      <c r="D654" s="56"/>
    </row>
    <row r="655" spans="1:4" x14ac:dyDescent="0.25">
      <c r="A655" s="212"/>
      <c r="C655" s="56"/>
      <c r="D655" s="56"/>
    </row>
    <row r="656" spans="1:4" x14ac:dyDescent="0.25">
      <c r="A656" s="212"/>
      <c r="C656" s="56"/>
      <c r="D656" s="56"/>
    </row>
    <row r="657" spans="1:4" x14ac:dyDescent="0.25">
      <c r="A657" s="212"/>
      <c r="C657" s="56"/>
      <c r="D657" s="56"/>
    </row>
    <row r="658" spans="1:4" x14ac:dyDescent="0.25">
      <c r="A658" s="212"/>
      <c r="C658" s="56"/>
      <c r="D658" s="56"/>
    </row>
    <row r="659" spans="1:4" x14ac:dyDescent="0.25">
      <c r="A659" s="212"/>
      <c r="C659" s="56"/>
      <c r="D659" s="56"/>
    </row>
    <row r="660" spans="1:4" x14ac:dyDescent="0.25">
      <c r="A660" s="212"/>
      <c r="C660" s="56"/>
      <c r="D660" s="56"/>
    </row>
    <row r="661" spans="1:4" x14ac:dyDescent="0.25">
      <c r="A661" s="212"/>
      <c r="C661" s="56"/>
      <c r="D661" s="56"/>
    </row>
    <row r="662" spans="1:4" x14ac:dyDescent="0.25">
      <c r="A662" s="212"/>
      <c r="C662" s="56"/>
      <c r="D662" s="56"/>
    </row>
    <row r="663" spans="1:4" x14ac:dyDescent="0.25">
      <c r="A663" s="212"/>
      <c r="C663" s="56"/>
      <c r="D663" s="56"/>
    </row>
    <row r="664" spans="1:4" x14ac:dyDescent="0.25">
      <c r="A664" s="212"/>
      <c r="C664" s="56"/>
      <c r="D664" s="56"/>
    </row>
    <row r="665" spans="1:4" x14ac:dyDescent="0.25">
      <c r="A665" s="212"/>
      <c r="C665" s="56"/>
      <c r="D665" s="56"/>
    </row>
    <row r="666" spans="1:4" x14ac:dyDescent="0.25">
      <c r="A666" s="212"/>
      <c r="C666" s="56"/>
      <c r="D666" s="56"/>
    </row>
    <row r="667" spans="1:4" x14ac:dyDescent="0.25">
      <c r="A667" s="212"/>
      <c r="C667" s="56"/>
      <c r="D667" s="56"/>
    </row>
    <row r="668" spans="1:4" x14ac:dyDescent="0.25">
      <c r="A668" s="212"/>
      <c r="C668" s="56"/>
      <c r="D668" s="56"/>
    </row>
    <row r="669" spans="1:4" x14ac:dyDescent="0.25">
      <c r="A669" s="212"/>
      <c r="C669" s="56"/>
      <c r="D669" s="56"/>
    </row>
    <row r="670" spans="1:4" x14ac:dyDescent="0.25">
      <c r="A670" s="212"/>
      <c r="C670" s="56"/>
      <c r="D670" s="56"/>
    </row>
    <row r="671" spans="1:4" x14ac:dyDescent="0.25">
      <c r="A671" s="212"/>
      <c r="C671" s="56"/>
      <c r="D671" s="56"/>
    </row>
    <row r="672" spans="1:4" x14ac:dyDescent="0.25">
      <c r="A672" s="212"/>
      <c r="C672" s="56"/>
      <c r="D672" s="56"/>
    </row>
    <row r="673" spans="1:4" x14ac:dyDescent="0.25">
      <c r="A673" s="212"/>
      <c r="C673" s="56"/>
      <c r="D673" s="56"/>
    </row>
    <row r="674" spans="1:4" x14ac:dyDescent="0.25">
      <c r="A674" s="212"/>
      <c r="C674" s="56"/>
      <c r="D674" s="56"/>
    </row>
    <row r="675" spans="1:4" x14ac:dyDescent="0.25">
      <c r="A675" s="212"/>
      <c r="C675" s="56"/>
      <c r="D675" s="56"/>
    </row>
    <row r="676" spans="1:4" x14ac:dyDescent="0.25">
      <c r="A676" s="212"/>
      <c r="C676" s="56"/>
      <c r="D676" s="56"/>
    </row>
    <row r="677" spans="1:4" x14ac:dyDescent="0.25">
      <c r="A677" s="212"/>
      <c r="C677" s="56"/>
      <c r="D677" s="56"/>
    </row>
    <row r="678" spans="1:4" x14ac:dyDescent="0.25">
      <c r="A678" s="212"/>
      <c r="C678" s="56"/>
      <c r="D678" s="56"/>
    </row>
    <row r="679" spans="1:4" x14ac:dyDescent="0.25">
      <c r="A679" s="212"/>
      <c r="C679" s="56"/>
      <c r="D679" s="56"/>
    </row>
    <row r="680" spans="1:4" x14ac:dyDescent="0.25">
      <c r="A680" s="212"/>
      <c r="C680" s="56"/>
      <c r="D680" s="56"/>
    </row>
    <row r="681" spans="1:4" x14ac:dyDescent="0.25">
      <c r="A681" s="212"/>
      <c r="C681" s="56"/>
      <c r="D681" s="56"/>
    </row>
    <row r="682" spans="1:4" x14ac:dyDescent="0.25">
      <c r="A682" s="212"/>
      <c r="C682" s="56"/>
      <c r="D682" s="56"/>
    </row>
    <row r="683" spans="1:4" x14ac:dyDescent="0.25">
      <c r="A683" s="212"/>
      <c r="C683" s="56"/>
      <c r="D683" s="56"/>
    </row>
    <row r="684" spans="1:4" x14ac:dyDescent="0.25">
      <c r="A684" s="212"/>
      <c r="C684" s="56"/>
      <c r="D684" s="56"/>
    </row>
    <row r="685" spans="1:4" x14ac:dyDescent="0.25">
      <c r="A685" s="212"/>
      <c r="C685" s="56"/>
      <c r="D685" s="56"/>
    </row>
    <row r="686" spans="1:4" x14ac:dyDescent="0.25">
      <c r="A686" s="212"/>
      <c r="C686" s="56"/>
      <c r="D686" s="56"/>
    </row>
    <row r="687" spans="1:4" x14ac:dyDescent="0.25">
      <c r="A687" s="212"/>
      <c r="C687" s="56"/>
      <c r="D687" s="56"/>
    </row>
    <row r="688" spans="1:4" x14ac:dyDescent="0.25">
      <c r="A688" s="212"/>
      <c r="C688" s="56"/>
      <c r="D688" s="56"/>
    </row>
    <row r="689" spans="1:4" x14ac:dyDescent="0.25">
      <c r="A689" s="212"/>
      <c r="C689" s="56"/>
      <c r="D689" s="56"/>
    </row>
    <row r="690" spans="1:4" x14ac:dyDescent="0.25">
      <c r="A690" s="212"/>
      <c r="C690" s="56"/>
      <c r="D690" s="56"/>
    </row>
    <row r="691" spans="1:4" x14ac:dyDescent="0.25">
      <c r="A691" s="212"/>
      <c r="C691" s="56"/>
      <c r="D691" s="56"/>
    </row>
    <row r="692" spans="1:4" x14ac:dyDescent="0.25">
      <c r="A692" s="212"/>
      <c r="C692" s="56"/>
      <c r="D692" s="56"/>
    </row>
    <row r="693" spans="1:4" x14ac:dyDescent="0.25">
      <c r="A693" s="212"/>
      <c r="C693" s="56"/>
      <c r="D693" s="56"/>
    </row>
    <row r="694" spans="1:4" x14ac:dyDescent="0.25">
      <c r="A694" s="212"/>
      <c r="C694" s="56"/>
      <c r="D694" s="56"/>
    </row>
    <row r="695" spans="1:4" x14ac:dyDescent="0.25">
      <c r="A695" s="212"/>
      <c r="C695" s="56"/>
      <c r="D695" s="56"/>
    </row>
    <row r="696" spans="1:4" x14ac:dyDescent="0.25">
      <c r="A696" s="212"/>
      <c r="C696" s="56"/>
      <c r="D696" s="56"/>
    </row>
    <row r="697" spans="1:4" x14ac:dyDescent="0.25">
      <c r="A697" s="212"/>
      <c r="C697" s="56"/>
      <c r="D697" s="56"/>
    </row>
    <row r="698" spans="1:4" x14ac:dyDescent="0.25">
      <c r="A698" s="212"/>
      <c r="C698" s="56"/>
      <c r="D698" s="56"/>
    </row>
    <row r="699" spans="1:4" x14ac:dyDescent="0.25">
      <c r="A699" s="212"/>
      <c r="C699" s="56"/>
      <c r="D699" s="56"/>
    </row>
    <row r="700" spans="1:4" x14ac:dyDescent="0.25">
      <c r="A700" s="212"/>
      <c r="C700" s="56"/>
      <c r="D700" s="56"/>
    </row>
    <row r="701" spans="1:4" x14ac:dyDescent="0.25">
      <c r="A701" s="212"/>
      <c r="C701" s="56"/>
      <c r="D701" s="56"/>
    </row>
    <row r="702" spans="1:4" x14ac:dyDescent="0.25">
      <c r="A702" s="212"/>
      <c r="C702" s="56"/>
      <c r="D702" s="56"/>
    </row>
    <row r="703" spans="1:4" x14ac:dyDescent="0.25">
      <c r="A703" s="212"/>
      <c r="C703" s="56"/>
      <c r="D703" s="56"/>
    </row>
    <row r="704" spans="1:4" x14ac:dyDescent="0.25">
      <c r="A704" s="212"/>
      <c r="C704" s="56"/>
      <c r="D704" s="56"/>
    </row>
    <row r="705" spans="1:4" x14ac:dyDescent="0.25">
      <c r="A705" s="212"/>
      <c r="C705" s="56"/>
      <c r="D705" s="56"/>
    </row>
    <row r="706" spans="1:4" x14ac:dyDescent="0.25">
      <c r="A706" s="212"/>
      <c r="C706" s="56"/>
      <c r="D706" s="56"/>
    </row>
    <row r="707" spans="1:4" x14ac:dyDescent="0.25">
      <c r="A707" s="212"/>
      <c r="C707" s="56"/>
      <c r="D707" s="56"/>
    </row>
    <row r="708" spans="1:4" x14ac:dyDescent="0.25">
      <c r="A708" s="212"/>
      <c r="C708" s="56"/>
      <c r="D708" s="56"/>
    </row>
    <row r="709" spans="1:4" x14ac:dyDescent="0.25">
      <c r="A709" s="212"/>
      <c r="C709" s="56"/>
      <c r="D709" s="56"/>
    </row>
    <row r="710" spans="1:4" x14ac:dyDescent="0.25">
      <c r="A710" s="212"/>
      <c r="C710" s="56"/>
      <c r="D710" s="56"/>
    </row>
    <row r="711" spans="1:4" x14ac:dyDescent="0.25">
      <c r="A711" s="212"/>
      <c r="C711" s="56"/>
      <c r="D711" s="56"/>
    </row>
    <row r="712" spans="1:4" x14ac:dyDescent="0.25">
      <c r="A712" s="212"/>
      <c r="C712" s="56"/>
      <c r="D712" s="56"/>
    </row>
    <row r="713" spans="1:4" x14ac:dyDescent="0.25">
      <c r="A713" s="212"/>
      <c r="C713" s="56"/>
      <c r="D713" s="56"/>
    </row>
    <row r="714" spans="1:4" x14ac:dyDescent="0.25">
      <c r="A714" s="212"/>
      <c r="C714" s="56"/>
      <c r="D714" s="56"/>
    </row>
    <row r="715" spans="1:4" x14ac:dyDescent="0.25">
      <c r="A715" s="212"/>
      <c r="C715" s="56"/>
      <c r="D715" s="56"/>
    </row>
    <row r="716" spans="1:4" x14ac:dyDescent="0.25">
      <c r="A716" s="212"/>
      <c r="C716" s="56"/>
      <c r="D716" s="56"/>
    </row>
    <row r="717" spans="1:4" x14ac:dyDescent="0.25">
      <c r="A717" s="212"/>
      <c r="C717" s="56"/>
      <c r="D717" s="56"/>
    </row>
    <row r="718" spans="1:4" x14ac:dyDescent="0.25">
      <c r="A718" s="212"/>
      <c r="C718" s="56"/>
      <c r="D718" s="56"/>
    </row>
    <row r="719" spans="1:4" x14ac:dyDescent="0.25">
      <c r="A719" s="212"/>
      <c r="C719" s="56"/>
      <c r="D719" s="56"/>
    </row>
    <row r="720" spans="1:4" x14ac:dyDescent="0.25">
      <c r="A720" s="212"/>
      <c r="C720" s="56"/>
      <c r="D720" s="56"/>
    </row>
    <row r="721" spans="1:4" x14ac:dyDescent="0.25">
      <c r="A721" s="212"/>
      <c r="C721" s="56"/>
      <c r="D721" s="56"/>
    </row>
    <row r="722" spans="1:4" x14ac:dyDescent="0.25">
      <c r="A722" s="212"/>
      <c r="C722" s="56"/>
      <c r="D722" s="56"/>
    </row>
    <row r="723" spans="1:4" x14ac:dyDescent="0.25">
      <c r="A723" s="212"/>
      <c r="C723" s="56"/>
      <c r="D723" s="56"/>
    </row>
    <row r="724" spans="1:4" x14ac:dyDescent="0.25">
      <c r="A724" s="212"/>
      <c r="C724" s="56"/>
      <c r="D724" s="56"/>
    </row>
    <row r="725" spans="1:4" x14ac:dyDescent="0.25">
      <c r="A725" s="212"/>
      <c r="C725" s="56"/>
      <c r="D725" s="56"/>
    </row>
    <row r="726" spans="1:4" x14ac:dyDescent="0.25">
      <c r="A726" s="212"/>
      <c r="C726" s="56"/>
      <c r="D726" s="56"/>
    </row>
    <row r="727" spans="1:4" x14ac:dyDescent="0.25">
      <c r="A727" s="212"/>
      <c r="C727" s="56"/>
      <c r="D727" s="56"/>
    </row>
    <row r="728" spans="1:4" x14ac:dyDescent="0.25">
      <c r="A728" s="212"/>
      <c r="C728" s="56"/>
      <c r="D728" s="56"/>
    </row>
    <row r="729" spans="1:4" x14ac:dyDescent="0.25">
      <c r="A729" s="212"/>
      <c r="C729" s="56"/>
      <c r="D729" s="56"/>
    </row>
    <row r="730" spans="1:4" x14ac:dyDescent="0.25">
      <c r="A730" s="212"/>
      <c r="C730" s="56"/>
      <c r="D730" s="56"/>
    </row>
    <row r="731" spans="1:4" x14ac:dyDescent="0.25">
      <c r="A731" s="212"/>
      <c r="C731" s="56"/>
      <c r="D731" s="56"/>
    </row>
    <row r="732" spans="1:4" x14ac:dyDescent="0.25">
      <c r="A732" s="212"/>
      <c r="C732" s="56"/>
      <c r="D732" s="56"/>
    </row>
    <row r="733" spans="1:4" x14ac:dyDescent="0.25">
      <c r="A733" s="212"/>
      <c r="C733" s="56"/>
      <c r="D733" s="56"/>
    </row>
    <row r="734" spans="1:4" x14ac:dyDescent="0.25">
      <c r="A734" s="212"/>
      <c r="C734" s="56"/>
      <c r="D734" s="56"/>
    </row>
    <row r="735" spans="1:4" x14ac:dyDescent="0.25">
      <c r="A735" s="212"/>
      <c r="C735" s="56"/>
      <c r="D735" s="56"/>
    </row>
    <row r="736" spans="1:4" x14ac:dyDescent="0.25">
      <c r="A736" s="212"/>
      <c r="C736" s="56"/>
      <c r="D736" s="56"/>
    </row>
    <row r="737" spans="1:4" x14ac:dyDescent="0.25">
      <c r="A737" s="212"/>
      <c r="C737" s="56"/>
      <c r="D737" s="56"/>
    </row>
    <row r="738" spans="1:4" x14ac:dyDescent="0.25">
      <c r="A738" s="212"/>
      <c r="C738" s="56"/>
      <c r="D738" s="56"/>
    </row>
    <row r="739" spans="1:4" x14ac:dyDescent="0.25">
      <c r="A739" s="212"/>
      <c r="C739" s="56"/>
      <c r="D739" s="56"/>
    </row>
    <row r="740" spans="1:4" x14ac:dyDescent="0.25">
      <c r="A740" s="212"/>
      <c r="C740" s="56"/>
      <c r="D740" s="56"/>
    </row>
    <row r="741" spans="1:4" x14ac:dyDescent="0.25">
      <c r="A741" s="212"/>
      <c r="C741" s="56"/>
      <c r="D741" s="56"/>
    </row>
    <row r="742" spans="1:4" x14ac:dyDescent="0.25">
      <c r="A742" s="212"/>
      <c r="C742" s="56"/>
      <c r="D742" s="56"/>
    </row>
    <row r="743" spans="1:4" x14ac:dyDescent="0.25">
      <c r="A743" s="212"/>
      <c r="C743" s="56"/>
      <c r="D743" s="56"/>
    </row>
    <row r="744" spans="1:4" x14ac:dyDescent="0.25">
      <c r="A744" s="212"/>
      <c r="C744" s="56"/>
      <c r="D744" s="56"/>
    </row>
    <row r="745" spans="1:4" x14ac:dyDescent="0.25">
      <c r="A745" s="212"/>
      <c r="C745" s="56"/>
      <c r="D745" s="56"/>
    </row>
    <row r="746" spans="1:4" x14ac:dyDescent="0.25">
      <c r="A746" s="212"/>
      <c r="C746" s="56"/>
      <c r="D746" s="56"/>
    </row>
    <row r="747" spans="1:4" x14ac:dyDescent="0.25">
      <c r="A747" s="212"/>
      <c r="C747" s="56"/>
      <c r="D747" s="56"/>
    </row>
    <row r="748" spans="1:4" x14ac:dyDescent="0.25">
      <c r="A748" s="212"/>
      <c r="C748" s="56"/>
      <c r="D748" s="56"/>
    </row>
    <row r="749" spans="1:4" x14ac:dyDescent="0.25">
      <c r="A749" s="212"/>
      <c r="C749" s="56"/>
      <c r="D749" s="56"/>
    </row>
    <row r="750" spans="1:4" x14ac:dyDescent="0.25">
      <c r="A750" s="212"/>
      <c r="C750" s="56"/>
      <c r="D750" s="56"/>
    </row>
    <row r="751" spans="1:4" x14ac:dyDescent="0.25">
      <c r="A751" s="212"/>
      <c r="C751" s="56"/>
      <c r="D751" s="56"/>
    </row>
    <row r="752" spans="1:4" x14ac:dyDescent="0.25">
      <c r="A752" s="212"/>
      <c r="C752" s="56"/>
      <c r="D752" s="56"/>
    </row>
    <row r="753" spans="1:4" x14ac:dyDescent="0.25">
      <c r="A753" s="212"/>
      <c r="C753" s="56"/>
      <c r="D753" s="56"/>
    </row>
    <row r="754" spans="1:4" x14ac:dyDescent="0.25">
      <c r="A754" s="212"/>
      <c r="C754" s="56"/>
      <c r="D754" s="56"/>
    </row>
    <row r="755" spans="1:4" x14ac:dyDescent="0.25">
      <c r="A755" s="212"/>
      <c r="C755" s="56"/>
      <c r="D755" s="56"/>
    </row>
    <row r="756" spans="1:4" x14ac:dyDescent="0.25">
      <c r="A756" s="212"/>
      <c r="C756" s="56"/>
      <c r="D756" s="56"/>
    </row>
    <row r="757" spans="1:4" x14ac:dyDescent="0.25">
      <c r="A757" s="212"/>
      <c r="C757" s="56"/>
      <c r="D757" s="56"/>
    </row>
    <row r="758" spans="1:4" x14ac:dyDescent="0.25">
      <c r="A758" s="212"/>
      <c r="C758" s="56"/>
      <c r="D758" s="56"/>
    </row>
    <row r="759" spans="1:4" x14ac:dyDescent="0.25">
      <c r="A759" s="212"/>
      <c r="C759" s="56"/>
      <c r="D759" s="56"/>
    </row>
    <row r="760" spans="1:4" x14ac:dyDescent="0.25">
      <c r="A760" s="212"/>
      <c r="C760" s="56"/>
      <c r="D760" s="56"/>
    </row>
    <row r="761" spans="1:4" x14ac:dyDescent="0.25">
      <c r="A761" s="212"/>
      <c r="C761" s="56"/>
      <c r="D761" s="56"/>
    </row>
    <row r="762" spans="1:4" x14ac:dyDescent="0.25">
      <c r="A762" s="212"/>
      <c r="C762" s="56"/>
      <c r="D762" s="56"/>
    </row>
    <row r="763" spans="1:4" x14ac:dyDescent="0.25">
      <c r="A763" s="212"/>
      <c r="C763" s="56"/>
      <c r="D763" s="56"/>
    </row>
    <row r="764" spans="1:4" x14ac:dyDescent="0.25">
      <c r="A764" s="212"/>
      <c r="C764" s="56"/>
      <c r="D764" s="56"/>
    </row>
    <row r="765" spans="1:4" x14ac:dyDescent="0.25">
      <c r="A765" s="212"/>
      <c r="C765" s="56"/>
      <c r="D765" s="56"/>
    </row>
    <row r="766" spans="1:4" x14ac:dyDescent="0.25">
      <c r="A766" s="212"/>
      <c r="C766" s="56"/>
      <c r="D766" s="56"/>
    </row>
    <row r="767" spans="1:4" x14ac:dyDescent="0.25">
      <c r="A767" s="212"/>
      <c r="C767" s="56"/>
      <c r="D767" s="56"/>
    </row>
    <row r="768" spans="1:4" x14ac:dyDescent="0.25">
      <c r="A768" s="212"/>
      <c r="C768" s="56"/>
      <c r="D768" s="56"/>
    </row>
    <row r="769" spans="1:4" x14ac:dyDescent="0.25">
      <c r="A769" s="212"/>
      <c r="C769" s="56"/>
      <c r="D769" s="56"/>
    </row>
    <row r="770" spans="1:4" x14ac:dyDescent="0.25">
      <c r="A770" s="212"/>
      <c r="C770" s="56"/>
      <c r="D770" s="56"/>
    </row>
    <row r="771" spans="1:4" x14ac:dyDescent="0.25">
      <c r="A771" s="212"/>
      <c r="C771" s="56"/>
      <c r="D771" s="56"/>
    </row>
    <row r="772" spans="1:4" x14ac:dyDescent="0.25">
      <c r="A772" s="212"/>
      <c r="C772" s="56"/>
      <c r="D772" s="56"/>
    </row>
    <row r="773" spans="1:4" x14ac:dyDescent="0.25">
      <c r="A773" s="212"/>
      <c r="C773" s="56"/>
      <c r="D773" s="56"/>
    </row>
    <row r="774" spans="1:4" x14ac:dyDescent="0.25">
      <c r="A774" s="212"/>
      <c r="C774" s="56"/>
      <c r="D774" s="56"/>
    </row>
    <row r="775" spans="1:4" x14ac:dyDescent="0.25">
      <c r="A775" s="212"/>
      <c r="C775" s="56"/>
      <c r="D775" s="56"/>
    </row>
    <row r="776" spans="1:4" x14ac:dyDescent="0.25">
      <c r="A776" s="212"/>
      <c r="C776" s="56"/>
      <c r="D776" s="56"/>
    </row>
    <row r="777" spans="1:4" x14ac:dyDescent="0.25">
      <c r="A777" s="212"/>
      <c r="C777" s="56"/>
      <c r="D777" s="56"/>
    </row>
    <row r="778" spans="1:4" x14ac:dyDescent="0.25">
      <c r="A778" s="212"/>
      <c r="C778" s="56"/>
      <c r="D778" s="56"/>
    </row>
    <row r="779" spans="1:4" x14ac:dyDescent="0.25">
      <c r="A779" s="212"/>
      <c r="C779" s="56"/>
      <c r="D779" s="56"/>
    </row>
    <row r="780" spans="1:4" x14ac:dyDescent="0.25">
      <c r="A780" s="212"/>
      <c r="C780" s="56"/>
      <c r="D780" s="56"/>
    </row>
    <row r="781" spans="1:4" x14ac:dyDescent="0.25">
      <c r="A781" s="212"/>
      <c r="C781" s="56"/>
      <c r="D781" s="56"/>
    </row>
    <row r="782" spans="1:4" x14ac:dyDescent="0.25">
      <c r="A782" s="212"/>
      <c r="C782" s="56"/>
      <c r="D782" s="56"/>
    </row>
    <row r="783" spans="1:4" x14ac:dyDescent="0.25">
      <c r="A783" s="212"/>
      <c r="C783" s="56"/>
      <c r="D783" s="56"/>
    </row>
    <row r="784" spans="1:4" x14ac:dyDescent="0.25">
      <c r="A784" s="212"/>
      <c r="C784" s="56"/>
      <c r="D784" s="56"/>
    </row>
    <row r="785" spans="1:4" x14ac:dyDescent="0.25">
      <c r="A785" s="212"/>
      <c r="C785" s="56"/>
      <c r="D785" s="56"/>
    </row>
    <row r="786" spans="1:4" x14ac:dyDescent="0.25">
      <c r="A786" s="212"/>
      <c r="C786" s="56"/>
      <c r="D786" s="56"/>
    </row>
    <row r="787" spans="1:4" x14ac:dyDescent="0.25">
      <c r="A787" s="212"/>
      <c r="C787" s="56"/>
      <c r="D787" s="56"/>
    </row>
    <row r="788" spans="1:4" x14ac:dyDescent="0.25">
      <c r="A788" s="212"/>
      <c r="C788" s="56"/>
      <c r="D788" s="56"/>
    </row>
    <row r="789" spans="1:4" x14ac:dyDescent="0.25">
      <c r="A789" s="212"/>
      <c r="C789" s="56"/>
      <c r="D789" s="56"/>
    </row>
    <row r="790" spans="1:4" x14ac:dyDescent="0.25">
      <c r="A790" s="212"/>
      <c r="C790" s="56"/>
      <c r="D790" s="56"/>
    </row>
    <row r="791" spans="1:4" x14ac:dyDescent="0.25">
      <c r="A791" s="212"/>
      <c r="C791" s="56"/>
      <c r="D791" s="56"/>
    </row>
    <row r="792" spans="1:4" x14ac:dyDescent="0.25">
      <c r="A792" s="212"/>
      <c r="C792" s="56"/>
      <c r="D792" s="56"/>
    </row>
    <row r="793" spans="1:4" x14ac:dyDescent="0.25">
      <c r="A793" s="212"/>
      <c r="C793" s="56"/>
      <c r="D793" s="56"/>
    </row>
    <row r="794" spans="1:4" x14ac:dyDescent="0.25">
      <c r="A794" s="212"/>
      <c r="C794" s="56"/>
      <c r="D794" s="56"/>
    </row>
    <row r="795" spans="1:4" x14ac:dyDescent="0.25">
      <c r="A795" s="212"/>
      <c r="C795" s="56"/>
      <c r="D795" s="56"/>
    </row>
    <row r="796" spans="1:4" x14ac:dyDescent="0.25">
      <c r="A796" s="212"/>
      <c r="C796" s="56"/>
      <c r="D796" s="56"/>
    </row>
    <row r="797" spans="1:4" x14ac:dyDescent="0.25">
      <c r="A797" s="212"/>
      <c r="C797" s="56"/>
      <c r="D797" s="56"/>
    </row>
    <row r="798" spans="1:4" x14ac:dyDescent="0.25">
      <c r="A798" s="212"/>
      <c r="C798" s="56"/>
      <c r="D798" s="56"/>
    </row>
    <row r="799" spans="1:4" x14ac:dyDescent="0.25">
      <c r="A799" s="212"/>
      <c r="C799" s="56"/>
      <c r="D799" s="56"/>
    </row>
    <row r="800" spans="1:4" x14ac:dyDescent="0.25">
      <c r="A800" s="212"/>
      <c r="C800" s="56"/>
      <c r="D800" s="56"/>
    </row>
    <row r="801" spans="1:4" x14ac:dyDescent="0.25">
      <c r="A801" s="212"/>
      <c r="C801" s="56"/>
      <c r="D801" s="56"/>
    </row>
    <row r="802" spans="1:4" x14ac:dyDescent="0.25">
      <c r="A802" s="212"/>
      <c r="C802" s="56"/>
      <c r="D802" s="56"/>
    </row>
    <row r="803" spans="1:4" x14ac:dyDescent="0.25">
      <c r="A803" s="212"/>
      <c r="C803" s="56"/>
      <c r="D803" s="56"/>
    </row>
    <row r="804" spans="1:4" x14ac:dyDescent="0.25">
      <c r="A804" s="212"/>
      <c r="C804" s="56"/>
      <c r="D804" s="56"/>
    </row>
    <row r="805" spans="1:4" x14ac:dyDescent="0.25">
      <c r="A805" s="212"/>
      <c r="C805" s="56"/>
      <c r="D805" s="56"/>
    </row>
    <row r="806" spans="1:4" x14ac:dyDescent="0.25">
      <c r="A806" s="212"/>
      <c r="C806" s="56"/>
      <c r="D806" s="56"/>
    </row>
    <row r="807" spans="1:4" x14ac:dyDescent="0.25">
      <c r="A807" s="212"/>
      <c r="C807" s="56"/>
      <c r="D807" s="56"/>
    </row>
    <row r="808" spans="1:4" x14ac:dyDescent="0.25">
      <c r="A808" s="212"/>
      <c r="C808" s="56"/>
      <c r="D808" s="56"/>
    </row>
    <row r="809" spans="1:4" x14ac:dyDescent="0.25">
      <c r="A809" s="212"/>
      <c r="C809" s="56"/>
      <c r="D809" s="56"/>
    </row>
    <row r="810" spans="1:4" x14ac:dyDescent="0.25">
      <c r="A810" s="212"/>
      <c r="C810" s="56"/>
      <c r="D810" s="56"/>
    </row>
    <row r="811" spans="1:4" x14ac:dyDescent="0.25">
      <c r="A811" s="212"/>
      <c r="C811" s="56"/>
      <c r="D811" s="56"/>
    </row>
    <row r="812" spans="1:4" x14ac:dyDescent="0.25">
      <c r="A812" s="212"/>
      <c r="C812" s="56"/>
      <c r="D812" s="56"/>
    </row>
    <row r="813" spans="1:4" x14ac:dyDescent="0.25">
      <c r="A813" s="212"/>
      <c r="C813" s="56"/>
      <c r="D813" s="56"/>
    </row>
    <row r="814" spans="1:4" x14ac:dyDescent="0.25">
      <c r="A814" s="212"/>
      <c r="C814" s="56"/>
      <c r="D814" s="56"/>
    </row>
    <row r="815" spans="1:4" x14ac:dyDescent="0.25">
      <c r="A815" s="212"/>
      <c r="C815" s="56"/>
      <c r="D815" s="56"/>
    </row>
    <row r="816" spans="1:4" x14ac:dyDescent="0.25">
      <c r="A816" s="212"/>
      <c r="C816" s="56"/>
      <c r="D816" s="56"/>
    </row>
    <row r="817" spans="1:4" x14ac:dyDescent="0.25">
      <c r="A817" s="212"/>
      <c r="C817" s="56"/>
      <c r="D817" s="56"/>
    </row>
    <row r="818" spans="1:4" x14ac:dyDescent="0.25">
      <c r="A818" s="212"/>
      <c r="C818" s="56"/>
      <c r="D818" s="56"/>
    </row>
    <row r="819" spans="1:4" x14ac:dyDescent="0.25">
      <c r="A819" s="212"/>
      <c r="C819" s="56"/>
      <c r="D819" s="56"/>
    </row>
    <row r="820" spans="1:4" x14ac:dyDescent="0.25">
      <c r="A820" s="212"/>
      <c r="C820" s="56"/>
      <c r="D820" s="56"/>
    </row>
    <row r="821" spans="1:4" x14ac:dyDescent="0.25">
      <c r="A821" s="212"/>
      <c r="C821" s="56"/>
      <c r="D821" s="56"/>
    </row>
    <row r="822" spans="1:4" x14ac:dyDescent="0.25">
      <c r="A822" s="212"/>
      <c r="C822" s="56"/>
      <c r="D822" s="56"/>
    </row>
    <row r="823" spans="1:4" x14ac:dyDescent="0.25">
      <c r="A823" s="212"/>
      <c r="C823" s="56"/>
      <c r="D823" s="56"/>
    </row>
    <row r="824" spans="1:4" x14ac:dyDescent="0.25">
      <c r="A824" s="212"/>
      <c r="C824" s="56"/>
      <c r="D824" s="56"/>
    </row>
    <row r="825" spans="1:4" x14ac:dyDescent="0.25">
      <c r="A825" s="212"/>
      <c r="C825" s="56"/>
      <c r="D825" s="56"/>
    </row>
    <row r="826" spans="1:4" x14ac:dyDescent="0.25">
      <c r="A826" s="212"/>
      <c r="C826" s="56"/>
      <c r="D826" s="56"/>
    </row>
    <row r="827" spans="1:4" x14ac:dyDescent="0.25">
      <c r="A827" s="212"/>
      <c r="C827" s="56"/>
      <c r="D827" s="56"/>
    </row>
    <row r="828" spans="1:4" x14ac:dyDescent="0.25">
      <c r="A828" s="212"/>
      <c r="C828" s="56"/>
      <c r="D828" s="56"/>
    </row>
    <row r="829" spans="1:4" x14ac:dyDescent="0.25">
      <c r="A829" s="212"/>
      <c r="C829" s="56"/>
      <c r="D829" s="56"/>
    </row>
    <row r="830" spans="1:4" x14ac:dyDescent="0.25">
      <c r="A830" s="212"/>
      <c r="C830" s="56"/>
      <c r="D830" s="56"/>
    </row>
    <row r="831" spans="1:4" x14ac:dyDescent="0.25">
      <c r="A831" s="212"/>
      <c r="C831" s="56"/>
      <c r="D831" s="56"/>
    </row>
    <row r="832" spans="1:4" x14ac:dyDescent="0.25">
      <c r="A832" s="212"/>
      <c r="C832" s="56"/>
      <c r="D832" s="56"/>
    </row>
    <row r="833" spans="1:4" x14ac:dyDescent="0.25">
      <c r="A833" s="212"/>
      <c r="C833" s="56"/>
      <c r="D833" s="56"/>
    </row>
    <row r="834" spans="1:4" x14ac:dyDescent="0.25">
      <c r="A834" s="212"/>
      <c r="C834" s="56"/>
      <c r="D834" s="56"/>
    </row>
    <row r="835" spans="1:4" x14ac:dyDescent="0.25">
      <c r="A835" s="212"/>
      <c r="C835" s="56"/>
      <c r="D835" s="56"/>
    </row>
    <row r="836" spans="1:4" x14ac:dyDescent="0.25">
      <c r="A836" s="212"/>
      <c r="C836" s="56"/>
      <c r="D836" s="56"/>
    </row>
    <row r="837" spans="1:4" x14ac:dyDescent="0.25">
      <c r="A837" s="212"/>
      <c r="C837" s="56"/>
      <c r="D837" s="56"/>
    </row>
    <row r="838" spans="1:4" x14ac:dyDescent="0.25">
      <c r="A838" s="212"/>
      <c r="C838" s="56"/>
      <c r="D838" s="56"/>
    </row>
    <row r="839" spans="1:4" x14ac:dyDescent="0.25">
      <c r="A839" s="212"/>
      <c r="C839" s="56"/>
      <c r="D839" s="56"/>
    </row>
    <row r="840" spans="1:4" x14ac:dyDescent="0.25">
      <c r="A840" s="212"/>
      <c r="C840" s="56"/>
      <c r="D840" s="56"/>
    </row>
    <row r="841" spans="1:4" x14ac:dyDescent="0.25">
      <c r="A841" s="212"/>
      <c r="C841" s="56"/>
      <c r="D841" s="56"/>
    </row>
    <row r="842" spans="1:4" x14ac:dyDescent="0.25">
      <c r="A842" s="212"/>
      <c r="C842" s="56"/>
      <c r="D842" s="56"/>
    </row>
    <row r="843" spans="1:4" x14ac:dyDescent="0.25">
      <c r="A843" s="212"/>
      <c r="C843" s="56"/>
      <c r="D843" s="56"/>
    </row>
    <row r="844" spans="1:4" x14ac:dyDescent="0.25">
      <c r="A844" s="212"/>
      <c r="C844" s="56"/>
      <c r="D844" s="56"/>
    </row>
    <row r="845" spans="1:4" x14ac:dyDescent="0.25">
      <c r="A845" s="212"/>
      <c r="C845" s="56"/>
      <c r="D845" s="56"/>
    </row>
    <row r="846" spans="1:4" x14ac:dyDescent="0.25">
      <c r="A846" s="212"/>
      <c r="C846" s="56"/>
      <c r="D846" s="56"/>
    </row>
    <row r="847" spans="1:4" x14ac:dyDescent="0.25">
      <c r="A847" s="212"/>
      <c r="C847" s="56"/>
      <c r="D847" s="56"/>
    </row>
    <row r="848" spans="1:4" x14ac:dyDescent="0.25">
      <c r="A848" s="212"/>
      <c r="C848" s="56"/>
      <c r="D848" s="56"/>
    </row>
    <row r="849" spans="1:4" x14ac:dyDescent="0.25">
      <c r="A849" s="212"/>
      <c r="C849" s="56"/>
      <c r="D849" s="56"/>
    </row>
    <row r="850" spans="1:4" x14ac:dyDescent="0.25">
      <c r="A850" s="212"/>
      <c r="C850" s="56"/>
      <c r="D850" s="56"/>
    </row>
    <row r="851" spans="1:4" x14ac:dyDescent="0.25">
      <c r="A851" s="56"/>
      <c r="C851" s="56"/>
      <c r="D851" s="56"/>
    </row>
    <row r="852" spans="1:4" x14ac:dyDescent="0.25">
      <c r="A852" s="56"/>
      <c r="C852" s="56"/>
      <c r="D852" s="56"/>
    </row>
    <row r="853" spans="1:4" x14ac:dyDescent="0.25">
      <c r="A853" s="56"/>
      <c r="C853" s="56"/>
      <c r="D853" s="56"/>
    </row>
    <row r="854" spans="1:4" x14ac:dyDescent="0.25">
      <c r="A854" s="56"/>
      <c r="C854" s="56"/>
      <c r="D854" s="56"/>
    </row>
    <row r="855" spans="1:4" x14ac:dyDescent="0.25">
      <c r="A855" s="56"/>
      <c r="C855" s="56"/>
      <c r="D855" s="56"/>
    </row>
    <row r="856" spans="1:4" x14ac:dyDescent="0.25">
      <c r="A856" s="56"/>
      <c r="C856" s="56"/>
      <c r="D856" s="56"/>
    </row>
    <row r="857" spans="1:4" x14ac:dyDescent="0.25">
      <c r="A857" s="56"/>
      <c r="C857" s="56"/>
      <c r="D857" s="56"/>
    </row>
    <row r="858" spans="1:4" x14ac:dyDescent="0.25">
      <c r="A858" s="56"/>
      <c r="C858" s="56"/>
      <c r="D858" s="56"/>
    </row>
    <row r="859" spans="1:4" x14ac:dyDescent="0.25">
      <c r="A859" s="56"/>
      <c r="C859" s="56"/>
      <c r="D859" s="56"/>
    </row>
    <row r="860" spans="1:4" x14ac:dyDescent="0.25">
      <c r="A860" s="56"/>
      <c r="C860" s="56"/>
      <c r="D860" s="56"/>
    </row>
    <row r="861" spans="1:4" x14ac:dyDescent="0.25">
      <c r="A861" s="56"/>
      <c r="C861" s="56"/>
      <c r="D861" s="56"/>
    </row>
    <row r="862" spans="1:4" x14ac:dyDescent="0.25">
      <c r="A862" s="56"/>
      <c r="C862" s="56"/>
      <c r="D862" s="56"/>
    </row>
    <row r="863" spans="1:4" x14ac:dyDescent="0.25">
      <c r="A863" s="56"/>
      <c r="C863" s="56"/>
      <c r="D863" s="56"/>
    </row>
    <row r="864" spans="1:4" x14ac:dyDescent="0.25">
      <c r="A864" s="56"/>
      <c r="C864" s="56"/>
      <c r="D864" s="56"/>
    </row>
    <row r="865" spans="1:4" x14ac:dyDescent="0.25">
      <c r="A865" s="56"/>
      <c r="C865" s="56"/>
      <c r="D865" s="56"/>
    </row>
    <row r="866" spans="1:4" x14ac:dyDescent="0.25">
      <c r="A866" s="56"/>
      <c r="C866" s="56"/>
      <c r="D866" s="56"/>
    </row>
    <row r="867" spans="1:4" x14ac:dyDescent="0.25">
      <c r="A867" s="56"/>
      <c r="C867" s="56"/>
      <c r="D867" s="56"/>
    </row>
    <row r="868" spans="1:4" x14ac:dyDescent="0.25">
      <c r="A868" s="56"/>
      <c r="C868" s="56"/>
      <c r="D868" s="56"/>
    </row>
    <row r="869" spans="1:4" x14ac:dyDescent="0.25">
      <c r="A869" s="56"/>
      <c r="C869" s="56"/>
      <c r="D869" s="56"/>
    </row>
    <row r="870" spans="1:4" x14ac:dyDescent="0.25">
      <c r="A870" s="56"/>
      <c r="C870" s="56"/>
      <c r="D870" s="56"/>
    </row>
    <row r="871" spans="1:4" x14ac:dyDescent="0.25">
      <c r="A871" s="56"/>
      <c r="C871" s="56"/>
      <c r="D871" s="56"/>
    </row>
    <row r="872" spans="1:4" x14ac:dyDescent="0.25">
      <c r="A872" s="56"/>
      <c r="C872" s="56"/>
      <c r="D872" s="56"/>
    </row>
    <row r="873" spans="1:4" x14ac:dyDescent="0.25">
      <c r="A873" s="56"/>
      <c r="C873" s="56"/>
      <c r="D873" s="56"/>
    </row>
    <row r="874" spans="1:4" x14ac:dyDescent="0.25">
      <c r="A874" s="56"/>
      <c r="C874" s="56"/>
      <c r="D874" s="56"/>
    </row>
    <row r="875" spans="1:4" x14ac:dyDescent="0.25">
      <c r="A875" s="56"/>
      <c r="C875" s="56"/>
      <c r="D875" s="56"/>
    </row>
    <row r="876" spans="1:4" x14ac:dyDescent="0.25">
      <c r="A876" s="56"/>
      <c r="C876" s="56"/>
      <c r="D876" s="56"/>
    </row>
    <row r="877" spans="1:4" x14ac:dyDescent="0.25">
      <c r="A877" s="56"/>
      <c r="C877" s="56"/>
      <c r="D877" s="56"/>
    </row>
    <row r="878" spans="1:4" x14ac:dyDescent="0.25">
      <c r="A878" s="56"/>
      <c r="C878" s="56"/>
      <c r="D878" s="56"/>
    </row>
    <row r="879" spans="1:4" x14ac:dyDescent="0.25">
      <c r="A879" s="56"/>
      <c r="C879" s="56"/>
      <c r="D879" s="56"/>
    </row>
    <row r="880" spans="1:4" x14ac:dyDescent="0.25">
      <c r="A880" s="56"/>
      <c r="C880" s="56"/>
      <c r="D880" s="56"/>
    </row>
    <row r="881" spans="1:4" x14ac:dyDescent="0.25">
      <c r="A881" s="56"/>
      <c r="C881" s="56"/>
      <c r="D881" s="56"/>
    </row>
    <row r="882" spans="1:4" x14ac:dyDescent="0.25">
      <c r="A882" s="56"/>
      <c r="C882" s="56"/>
      <c r="D882" s="56"/>
    </row>
    <row r="883" spans="1:4" x14ac:dyDescent="0.25">
      <c r="A883" s="56"/>
      <c r="C883" s="56"/>
      <c r="D883" s="56"/>
    </row>
    <row r="884" spans="1:4" x14ac:dyDescent="0.25">
      <c r="A884" s="56"/>
      <c r="C884" s="56"/>
      <c r="D884" s="56"/>
    </row>
    <row r="885" spans="1:4" x14ac:dyDescent="0.25">
      <c r="A885" s="56"/>
      <c r="C885" s="56"/>
      <c r="D885" s="56"/>
    </row>
    <row r="886" spans="1:4" x14ac:dyDescent="0.25">
      <c r="A886" s="56"/>
      <c r="C886" s="56"/>
      <c r="D886" s="56"/>
    </row>
    <row r="887" spans="1:4" x14ac:dyDescent="0.25">
      <c r="A887" s="56"/>
      <c r="C887" s="56"/>
      <c r="D887" s="56"/>
    </row>
    <row r="888" spans="1:4" x14ac:dyDescent="0.25">
      <c r="A888" s="56"/>
      <c r="C888" s="56"/>
      <c r="D888" s="56"/>
    </row>
    <row r="889" spans="1:4" x14ac:dyDescent="0.25">
      <c r="A889" s="56"/>
      <c r="C889" s="56"/>
      <c r="D889" s="56"/>
    </row>
    <row r="890" spans="1:4" x14ac:dyDescent="0.25">
      <c r="A890" s="56"/>
      <c r="C890" s="56"/>
      <c r="D890" s="56"/>
    </row>
    <row r="891" spans="1:4" x14ac:dyDescent="0.25">
      <c r="A891" s="56"/>
      <c r="C891" s="56"/>
      <c r="D891" s="56"/>
    </row>
    <row r="892" spans="1:4" x14ac:dyDescent="0.25">
      <c r="A892" s="56"/>
      <c r="C892" s="56"/>
      <c r="D892" s="56"/>
    </row>
    <row r="893" spans="1:4" x14ac:dyDescent="0.25">
      <c r="A893" s="56"/>
      <c r="C893" s="56"/>
      <c r="D893" s="56"/>
    </row>
    <row r="894" spans="1:4" x14ac:dyDescent="0.25">
      <c r="A894" s="56"/>
      <c r="C894" s="56"/>
      <c r="D894" s="56"/>
    </row>
    <row r="895" spans="1:4" x14ac:dyDescent="0.25">
      <c r="A895" s="56"/>
      <c r="C895" s="56"/>
      <c r="D895" s="56"/>
    </row>
    <row r="896" spans="1:4" x14ac:dyDescent="0.25">
      <c r="A896" s="56"/>
      <c r="C896" s="56"/>
      <c r="D896" s="56"/>
    </row>
    <row r="897" spans="1:4" x14ac:dyDescent="0.25">
      <c r="A897" s="56"/>
      <c r="C897" s="56"/>
      <c r="D897" s="56"/>
    </row>
    <row r="898" spans="1:4" x14ac:dyDescent="0.25">
      <c r="A898" s="56"/>
      <c r="C898" s="56"/>
      <c r="D898" s="56"/>
    </row>
    <row r="899" spans="1:4" x14ac:dyDescent="0.25">
      <c r="A899" s="56"/>
      <c r="C899" s="56"/>
      <c r="D899" s="56"/>
    </row>
    <row r="900" spans="1:4" x14ac:dyDescent="0.25">
      <c r="A900" s="56"/>
      <c r="C900" s="56"/>
      <c r="D900" s="56"/>
    </row>
    <row r="901" spans="1:4" x14ac:dyDescent="0.25">
      <c r="A901" s="56"/>
      <c r="C901" s="56"/>
      <c r="D901" s="56"/>
    </row>
    <row r="902" spans="1:4" x14ac:dyDescent="0.25">
      <c r="A902" s="56"/>
      <c r="C902" s="56"/>
      <c r="D902" s="56"/>
    </row>
    <row r="903" spans="1:4" x14ac:dyDescent="0.25">
      <c r="A903" s="56"/>
      <c r="C903" s="56"/>
      <c r="D903" s="56"/>
    </row>
    <row r="904" spans="1:4" x14ac:dyDescent="0.25">
      <c r="A904" s="56"/>
      <c r="C904" s="56"/>
      <c r="D904" s="56"/>
    </row>
    <row r="905" spans="1:4" x14ac:dyDescent="0.25">
      <c r="A905" s="56"/>
      <c r="C905" s="56"/>
      <c r="D905" s="56"/>
    </row>
    <row r="906" spans="1:4" x14ac:dyDescent="0.25">
      <c r="A906" s="56"/>
      <c r="C906" s="56"/>
      <c r="D906" s="56"/>
    </row>
    <row r="907" spans="1:4" x14ac:dyDescent="0.25">
      <c r="A907" s="56"/>
      <c r="C907" s="56"/>
      <c r="D907" s="56"/>
    </row>
    <row r="908" spans="1:4" x14ac:dyDescent="0.25">
      <c r="A908" s="56"/>
      <c r="C908" s="56"/>
      <c r="D908" s="56"/>
    </row>
    <row r="909" spans="1:4" x14ac:dyDescent="0.25">
      <c r="A909" s="56"/>
      <c r="C909" s="56"/>
      <c r="D909" s="56"/>
    </row>
    <row r="910" spans="1:4" x14ac:dyDescent="0.25">
      <c r="A910" s="56"/>
      <c r="C910" s="56"/>
      <c r="D910" s="56"/>
    </row>
    <row r="911" spans="1:4" x14ac:dyDescent="0.25">
      <c r="A911" s="56"/>
      <c r="C911" s="56"/>
      <c r="D911" s="56"/>
    </row>
    <row r="912" spans="1:4" x14ac:dyDescent="0.25">
      <c r="A912" s="56"/>
      <c r="C912" s="56"/>
      <c r="D912" s="56"/>
    </row>
    <row r="913" spans="1:4" x14ac:dyDescent="0.25">
      <c r="A913" s="56"/>
      <c r="C913" s="56"/>
      <c r="D913" s="56"/>
    </row>
    <row r="914" spans="1:4" x14ac:dyDescent="0.25">
      <c r="A914" s="56"/>
      <c r="C914" s="56"/>
      <c r="D914" s="56"/>
    </row>
    <row r="915" spans="1:4" x14ac:dyDescent="0.25">
      <c r="A915" s="56"/>
      <c r="C915" s="56"/>
      <c r="D915" s="56"/>
    </row>
    <row r="916" spans="1:4" x14ac:dyDescent="0.25">
      <c r="A916" s="56"/>
      <c r="C916" s="56"/>
      <c r="D916" s="56"/>
    </row>
    <row r="917" spans="1:4" x14ac:dyDescent="0.25">
      <c r="A917" s="56"/>
      <c r="C917" s="56"/>
      <c r="D917" s="56"/>
    </row>
    <row r="918" spans="1:4" x14ac:dyDescent="0.25">
      <c r="A918" s="56"/>
      <c r="C918" s="56"/>
      <c r="D918" s="56"/>
    </row>
    <row r="919" spans="1:4" x14ac:dyDescent="0.25">
      <c r="A919" s="56"/>
      <c r="C919" s="56"/>
      <c r="D919" s="56"/>
    </row>
    <row r="920" spans="1:4" x14ac:dyDescent="0.25">
      <c r="A920" s="56"/>
      <c r="C920" s="56"/>
      <c r="D920" s="56"/>
    </row>
    <row r="921" spans="1:4" x14ac:dyDescent="0.25">
      <c r="A921" s="56"/>
      <c r="C921" s="56"/>
      <c r="D921" s="56"/>
    </row>
    <row r="922" spans="1:4" x14ac:dyDescent="0.25">
      <c r="A922" s="56"/>
      <c r="C922" s="56"/>
      <c r="D922" s="56"/>
    </row>
    <row r="923" spans="1:4" x14ac:dyDescent="0.25">
      <c r="A923" s="56"/>
      <c r="C923" s="56"/>
      <c r="D923" s="56"/>
    </row>
    <row r="924" spans="1:4" x14ac:dyDescent="0.25">
      <c r="A924" s="56"/>
      <c r="C924" s="56"/>
      <c r="D924" s="56"/>
    </row>
    <row r="925" spans="1:4" x14ac:dyDescent="0.25">
      <c r="A925" s="56"/>
      <c r="C925" s="56"/>
      <c r="D925" s="56"/>
    </row>
    <row r="926" spans="1:4" x14ac:dyDescent="0.25">
      <c r="A926" s="56"/>
      <c r="C926" s="56"/>
      <c r="D926" s="56"/>
    </row>
    <row r="927" spans="1:4" x14ac:dyDescent="0.25">
      <c r="A927" s="56"/>
      <c r="C927" s="56"/>
      <c r="D927" s="56"/>
    </row>
    <row r="928" spans="1:4" x14ac:dyDescent="0.25">
      <c r="A928" s="56"/>
      <c r="C928" s="56"/>
      <c r="D928" s="56"/>
    </row>
    <row r="929" spans="1:4" x14ac:dyDescent="0.25">
      <c r="A929" s="56"/>
      <c r="C929" s="56"/>
      <c r="D929" s="56"/>
    </row>
    <row r="930" spans="1:4" x14ac:dyDescent="0.25">
      <c r="A930" s="56"/>
      <c r="C930" s="56"/>
      <c r="D930" s="56"/>
    </row>
    <row r="931" spans="1:4" x14ac:dyDescent="0.25">
      <c r="A931" s="56"/>
      <c r="C931" s="56"/>
      <c r="D931" s="56"/>
    </row>
    <row r="932" spans="1:4" x14ac:dyDescent="0.25">
      <c r="A932" s="56"/>
      <c r="C932" s="56"/>
      <c r="D932" s="56"/>
    </row>
    <row r="933" spans="1:4" x14ac:dyDescent="0.25">
      <c r="A933" s="56"/>
      <c r="C933" s="56"/>
      <c r="D933" s="56"/>
    </row>
    <row r="934" spans="1:4" x14ac:dyDescent="0.25">
      <c r="A934" s="56"/>
      <c r="C934" s="56"/>
      <c r="D934" s="56"/>
    </row>
    <row r="935" spans="1:4" x14ac:dyDescent="0.25">
      <c r="A935" s="56"/>
      <c r="C935" s="56"/>
      <c r="D935" s="56"/>
    </row>
    <row r="936" spans="1:4" x14ac:dyDescent="0.25">
      <c r="A936" s="56"/>
      <c r="C936" s="56"/>
      <c r="D936" s="56"/>
    </row>
    <row r="937" spans="1:4" x14ac:dyDescent="0.25">
      <c r="A937" s="56"/>
      <c r="C937" s="56"/>
      <c r="D937" s="56"/>
    </row>
    <row r="938" spans="1:4" x14ac:dyDescent="0.25">
      <c r="A938" s="56"/>
      <c r="C938" s="56"/>
      <c r="D938" s="56"/>
    </row>
    <row r="939" spans="1:4" x14ac:dyDescent="0.25">
      <c r="A939" s="56"/>
      <c r="C939" s="56"/>
      <c r="D939" s="56"/>
    </row>
    <row r="940" spans="1:4" x14ac:dyDescent="0.25">
      <c r="A940" s="56"/>
      <c r="C940" s="56"/>
      <c r="D940" s="56"/>
    </row>
    <row r="941" spans="1:4" x14ac:dyDescent="0.25">
      <c r="A941" s="56"/>
      <c r="C941" s="56"/>
      <c r="D941" s="56"/>
    </row>
    <row r="942" spans="1:4" x14ac:dyDescent="0.25">
      <c r="A942" s="56"/>
      <c r="C942" s="56"/>
      <c r="D942" s="56"/>
    </row>
    <row r="943" spans="1:4" x14ac:dyDescent="0.25">
      <c r="A943" s="56"/>
      <c r="C943" s="56"/>
      <c r="D943" s="56"/>
    </row>
    <row r="944" spans="1:4" x14ac:dyDescent="0.25">
      <c r="A944" s="56"/>
      <c r="C944" s="56"/>
      <c r="D944" s="56"/>
    </row>
    <row r="945" spans="1:4" x14ac:dyDescent="0.25">
      <c r="A945" s="56"/>
      <c r="C945" s="56"/>
      <c r="D945" s="56"/>
    </row>
    <row r="946" spans="1:4" x14ac:dyDescent="0.25">
      <c r="A946" s="56"/>
      <c r="C946" s="56"/>
      <c r="D946" s="56"/>
    </row>
    <row r="947" spans="1:4" x14ac:dyDescent="0.25">
      <c r="A947" s="56"/>
      <c r="C947" s="56"/>
      <c r="D947" s="56"/>
    </row>
    <row r="948" spans="1:4" x14ac:dyDescent="0.25">
      <c r="A948" s="56"/>
      <c r="C948" s="56"/>
      <c r="D948" s="56"/>
    </row>
    <row r="949" spans="1:4" x14ac:dyDescent="0.25">
      <c r="A949" s="56"/>
      <c r="C949" s="56"/>
      <c r="D949" s="56"/>
    </row>
    <row r="950" spans="1:4" x14ac:dyDescent="0.25">
      <c r="A950" s="56"/>
      <c r="C950" s="56"/>
      <c r="D950" s="56"/>
    </row>
    <row r="951" spans="1:4" x14ac:dyDescent="0.25">
      <c r="A951" s="56"/>
      <c r="C951" s="56"/>
      <c r="D951" s="56"/>
    </row>
    <row r="952" spans="1:4" x14ac:dyDescent="0.25">
      <c r="A952" s="56"/>
      <c r="C952" s="56"/>
      <c r="D952" s="56"/>
    </row>
    <row r="953" spans="1:4" x14ac:dyDescent="0.25">
      <c r="A953" s="56"/>
      <c r="C953" s="56"/>
      <c r="D953" s="56"/>
    </row>
    <row r="954" spans="1:4" x14ac:dyDescent="0.25">
      <c r="A954" s="56"/>
      <c r="C954" s="56"/>
      <c r="D954" s="56"/>
    </row>
    <row r="955" spans="1:4" x14ac:dyDescent="0.25">
      <c r="A955" s="56"/>
      <c r="C955" s="56"/>
      <c r="D955" s="56"/>
    </row>
    <row r="956" spans="1:4" x14ac:dyDescent="0.25">
      <c r="A956" s="56"/>
      <c r="C956" s="56"/>
      <c r="D956" s="56"/>
    </row>
    <row r="957" spans="1:4" x14ac:dyDescent="0.25">
      <c r="A957" s="56"/>
      <c r="C957" s="56"/>
      <c r="D957" s="56"/>
    </row>
    <row r="958" spans="1:4" x14ac:dyDescent="0.25">
      <c r="A958" s="56"/>
      <c r="C958" s="56"/>
      <c r="D958" s="56"/>
    </row>
    <row r="959" spans="1:4" x14ac:dyDescent="0.25">
      <c r="A959" s="56"/>
      <c r="C959" s="56"/>
      <c r="D959" s="56"/>
    </row>
    <row r="960" spans="1:4" x14ac:dyDescent="0.25">
      <c r="A960" s="56"/>
      <c r="C960" s="56"/>
      <c r="D960" s="56"/>
    </row>
    <row r="961" spans="1:4" x14ac:dyDescent="0.25">
      <c r="A961" s="56"/>
      <c r="C961" s="56"/>
      <c r="D961" s="56"/>
    </row>
    <row r="962" spans="1:4" x14ac:dyDescent="0.25">
      <c r="A962" s="56"/>
      <c r="C962" s="56"/>
      <c r="D962" s="56"/>
    </row>
    <row r="963" spans="1:4" x14ac:dyDescent="0.25">
      <c r="A963" s="56"/>
      <c r="C963" s="56"/>
      <c r="D963" s="56"/>
    </row>
    <row r="964" spans="1:4" x14ac:dyDescent="0.25">
      <c r="A964" s="56"/>
      <c r="C964" s="56"/>
      <c r="D964" s="56"/>
    </row>
    <row r="965" spans="1:4" x14ac:dyDescent="0.25">
      <c r="A965" s="56"/>
      <c r="C965" s="56"/>
      <c r="D965" s="56"/>
    </row>
    <row r="966" spans="1:4" x14ac:dyDescent="0.25">
      <c r="A966" s="56"/>
      <c r="C966" s="56"/>
      <c r="D966" s="56"/>
    </row>
    <row r="967" spans="1:4" x14ac:dyDescent="0.25">
      <c r="A967" s="56"/>
      <c r="C967" s="56"/>
      <c r="D967" s="56"/>
    </row>
    <row r="968" spans="1:4" x14ac:dyDescent="0.25">
      <c r="A968" s="56"/>
      <c r="C968" s="56"/>
      <c r="D968" s="56"/>
    </row>
    <row r="969" spans="1:4" x14ac:dyDescent="0.25">
      <c r="A969" s="56"/>
      <c r="C969" s="56"/>
      <c r="D969" s="56"/>
    </row>
    <row r="970" spans="1:4" x14ac:dyDescent="0.25">
      <c r="A970" s="56"/>
      <c r="C970" s="56"/>
      <c r="D970" s="56"/>
    </row>
    <row r="971" spans="1:4" x14ac:dyDescent="0.25">
      <c r="A971" s="56"/>
      <c r="C971" s="56"/>
      <c r="D971" s="56"/>
    </row>
    <row r="972" spans="1:4" x14ac:dyDescent="0.25">
      <c r="A972" s="56"/>
      <c r="C972" s="56"/>
      <c r="D972" s="56"/>
    </row>
    <row r="973" spans="1:4" x14ac:dyDescent="0.25">
      <c r="A973" s="56"/>
      <c r="C973" s="56"/>
      <c r="D973" s="56"/>
    </row>
    <row r="974" spans="1:4" x14ac:dyDescent="0.25">
      <c r="A974" s="56"/>
      <c r="C974" s="56"/>
      <c r="D974" s="56"/>
    </row>
    <row r="975" spans="1:4" x14ac:dyDescent="0.25">
      <c r="A975" s="56"/>
      <c r="C975" s="56"/>
      <c r="D975" s="56"/>
    </row>
    <row r="976" spans="1:4" x14ac:dyDescent="0.25">
      <c r="A976" s="56"/>
      <c r="C976" s="56"/>
      <c r="D976" s="56"/>
    </row>
    <row r="977" spans="1:4" x14ac:dyDescent="0.25">
      <c r="A977" s="56"/>
      <c r="C977" s="56"/>
      <c r="D977" s="56"/>
    </row>
    <row r="978" spans="1:4" x14ac:dyDescent="0.25">
      <c r="A978" s="56"/>
      <c r="C978" s="56"/>
      <c r="D978" s="56"/>
    </row>
    <row r="979" spans="1:4" x14ac:dyDescent="0.25">
      <c r="A979" s="56"/>
      <c r="C979" s="56"/>
      <c r="D979" s="56"/>
    </row>
    <row r="980" spans="1:4" x14ac:dyDescent="0.25">
      <c r="A980" s="56"/>
      <c r="C980" s="56"/>
      <c r="D980" s="56"/>
    </row>
    <row r="981" spans="1:4" x14ac:dyDescent="0.25">
      <c r="A981" s="56"/>
      <c r="C981" s="56"/>
      <c r="D981" s="56"/>
    </row>
    <row r="982" spans="1:4" x14ac:dyDescent="0.25">
      <c r="A982" s="56"/>
      <c r="C982" s="56"/>
      <c r="D982" s="56"/>
    </row>
    <row r="983" spans="1:4" x14ac:dyDescent="0.25">
      <c r="A983" s="56"/>
      <c r="C983" s="56"/>
      <c r="D983" s="56"/>
    </row>
    <row r="984" spans="1:4" x14ac:dyDescent="0.25">
      <c r="A984" s="56"/>
      <c r="C984" s="56"/>
      <c r="D984" s="56"/>
    </row>
    <row r="985" spans="1:4" x14ac:dyDescent="0.25">
      <c r="A985" s="56"/>
      <c r="C985" s="56"/>
      <c r="D985" s="56"/>
    </row>
    <row r="986" spans="1:4" x14ac:dyDescent="0.25">
      <c r="A986" s="56"/>
      <c r="C986" s="56"/>
      <c r="D986" s="56"/>
    </row>
    <row r="987" spans="1:4" x14ac:dyDescent="0.25">
      <c r="A987" s="56"/>
      <c r="C987" s="56"/>
      <c r="D987" s="56"/>
    </row>
    <row r="988" spans="1:4" x14ac:dyDescent="0.25">
      <c r="A988" s="56"/>
      <c r="C988" s="56"/>
      <c r="D988" s="56"/>
    </row>
    <row r="989" spans="1:4" x14ac:dyDescent="0.25">
      <c r="A989" s="56"/>
      <c r="C989" s="56"/>
      <c r="D989" s="56"/>
    </row>
    <row r="990" spans="1:4" x14ac:dyDescent="0.25">
      <c r="A990" s="56"/>
      <c r="C990" s="56"/>
      <c r="D990" s="56"/>
    </row>
    <row r="991" spans="1:4" x14ac:dyDescent="0.25">
      <c r="A991" s="56"/>
      <c r="C991" s="56"/>
      <c r="D991" s="56"/>
    </row>
    <row r="992" spans="1:4" x14ac:dyDescent="0.25">
      <c r="A992" s="56"/>
      <c r="C992" s="56"/>
      <c r="D992" s="56"/>
    </row>
    <row r="993" spans="1:4" x14ac:dyDescent="0.25">
      <c r="A993" s="56"/>
      <c r="C993" s="56"/>
      <c r="D993" s="56"/>
    </row>
    <row r="994" spans="1:4" x14ac:dyDescent="0.25">
      <c r="A994" s="56"/>
      <c r="C994" s="56"/>
      <c r="D994" s="56"/>
    </row>
    <row r="995" spans="1:4" x14ac:dyDescent="0.25">
      <c r="A995" s="56"/>
      <c r="C995" s="56"/>
      <c r="D995" s="56"/>
    </row>
    <row r="996" spans="1:4" x14ac:dyDescent="0.25">
      <c r="A996" s="56"/>
      <c r="C996" s="56"/>
      <c r="D996" s="56"/>
    </row>
    <row r="997" spans="1:4" x14ac:dyDescent="0.25">
      <c r="A997" s="56"/>
      <c r="C997" s="56"/>
      <c r="D997" s="56"/>
    </row>
    <row r="998" spans="1:4" x14ac:dyDescent="0.25">
      <c r="A998" s="56"/>
      <c r="C998" s="56"/>
      <c r="D998" s="56"/>
    </row>
    <row r="999" spans="1:4" x14ac:dyDescent="0.25">
      <c r="A999" s="56"/>
      <c r="C999" s="56"/>
      <c r="D999" s="56"/>
    </row>
    <row r="1000" spans="1:4" x14ac:dyDescent="0.25">
      <c r="A1000" s="56"/>
      <c r="C1000" s="56"/>
      <c r="D1000" s="56"/>
    </row>
    <row r="1001" spans="1:4" x14ac:dyDescent="0.25">
      <c r="A1001" s="56"/>
      <c r="C1001" s="56"/>
      <c r="D1001" s="56"/>
    </row>
    <row r="1002" spans="1:4" x14ac:dyDescent="0.25">
      <c r="A1002" s="56"/>
      <c r="C1002" s="56"/>
      <c r="D1002" s="56"/>
    </row>
    <row r="1003" spans="1:4" x14ac:dyDescent="0.25">
      <c r="A1003" s="56"/>
      <c r="C1003" s="56"/>
      <c r="D1003" s="56"/>
    </row>
    <row r="1004" spans="1:4" x14ac:dyDescent="0.25">
      <c r="A1004" s="56"/>
      <c r="C1004" s="56"/>
      <c r="D1004" s="56"/>
    </row>
    <row r="1005" spans="1:4" x14ac:dyDescent="0.25">
      <c r="A1005" s="56"/>
      <c r="C1005" s="56"/>
      <c r="D1005" s="56"/>
    </row>
    <row r="1006" spans="1:4" x14ac:dyDescent="0.25">
      <c r="A1006" s="56"/>
      <c r="C1006" s="56"/>
      <c r="D1006" s="56"/>
    </row>
    <row r="1007" spans="1:4" x14ac:dyDescent="0.25">
      <c r="A1007" s="56"/>
      <c r="C1007" s="56"/>
      <c r="D1007" s="56"/>
    </row>
    <row r="1008" spans="1:4" x14ac:dyDescent="0.25">
      <c r="A1008" s="56"/>
      <c r="C1008" s="56"/>
      <c r="D1008" s="56"/>
    </row>
    <row r="1009" spans="1:4" x14ac:dyDescent="0.25">
      <c r="A1009" s="56"/>
      <c r="C1009" s="56"/>
      <c r="D1009" s="56"/>
    </row>
    <row r="1010" spans="1:4" x14ac:dyDescent="0.25">
      <c r="A1010" s="56"/>
      <c r="C1010" s="56"/>
      <c r="D1010" s="56"/>
    </row>
    <row r="1011" spans="1:4" x14ac:dyDescent="0.25">
      <c r="A1011" s="56"/>
      <c r="C1011" s="56"/>
      <c r="D1011" s="56"/>
    </row>
    <row r="1012" spans="1:4" x14ac:dyDescent="0.25">
      <c r="A1012" s="56"/>
      <c r="C1012" s="56"/>
      <c r="D1012" s="56"/>
    </row>
    <row r="1013" spans="1:4" x14ac:dyDescent="0.25">
      <c r="A1013" s="56"/>
      <c r="C1013" s="56"/>
      <c r="D1013" s="56"/>
    </row>
    <row r="1014" spans="1:4" x14ac:dyDescent="0.25">
      <c r="A1014" s="56"/>
      <c r="C1014" s="56"/>
      <c r="D1014" s="56"/>
    </row>
    <row r="1015" spans="1:4" x14ac:dyDescent="0.25">
      <c r="A1015" s="56"/>
      <c r="C1015" s="56"/>
      <c r="D1015" s="56"/>
    </row>
    <row r="1016" spans="1:4" x14ac:dyDescent="0.25">
      <c r="A1016" s="56"/>
      <c r="C1016" s="56"/>
      <c r="D1016" s="56"/>
    </row>
    <row r="1017" spans="1:4" x14ac:dyDescent="0.25">
      <c r="A1017" s="56"/>
      <c r="C1017" s="56"/>
      <c r="D1017" s="56"/>
    </row>
    <row r="1018" spans="1:4" x14ac:dyDescent="0.25">
      <c r="A1018" s="56"/>
      <c r="C1018" s="56"/>
      <c r="D1018" s="56"/>
    </row>
    <row r="1019" spans="1:4" x14ac:dyDescent="0.25">
      <c r="A1019" s="56"/>
      <c r="C1019" s="56"/>
      <c r="D1019" s="56"/>
    </row>
    <row r="1020" spans="1:4" x14ac:dyDescent="0.25">
      <c r="A1020" s="56"/>
      <c r="C1020" s="56"/>
      <c r="D1020" s="56"/>
    </row>
    <row r="1021" spans="1:4" x14ac:dyDescent="0.25">
      <c r="A1021" s="56"/>
      <c r="C1021" s="56"/>
      <c r="D1021" s="56"/>
    </row>
    <row r="1022" spans="1:4" x14ac:dyDescent="0.25">
      <c r="A1022" s="56"/>
      <c r="C1022" s="56"/>
      <c r="D1022" s="56"/>
    </row>
    <row r="1023" spans="1:4" x14ac:dyDescent="0.25">
      <c r="A1023" s="56"/>
      <c r="C1023" s="56"/>
      <c r="D1023" s="56"/>
    </row>
    <row r="1024" spans="1:4" x14ac:dyDescent="0.25">
      <c r="A1024" s="56"/>
      <c r="C1024" s="56"/>
      <c r="D1024" s="56"/>
    </row>
    <row r="1025" spans="1:4" x14ac:dyDescent="0.25">
      <c r="A1025" s="56"/>
      <c r="C1025" s="56"/>
      <c r="D1025" s="56"/>
    </row>
    <row r="1026" spans="1:4" x14ac:dyDescent="0.25">
      <c r="A1026" s="56"/>
      <c r="C1026" s="56"/>
      <c r="D1026" s="56"/>
    </row>
    <row r="1027" spans="1:4" x14ac:dyDescent="0.25">
      <c r="A1027" s="56"/>
      <c r="C1027" s="56"/>
      <c r="D1027" s="56"/>
    </row>
    <row r="1028" spans="1:4" x14ac:dyDescent="0.25">
      <c r="A1028" s="56"/>
      <c r="C1028" s="56"/>
      <c r="D1028" s="56"/>
    </row>
    <row r="1029" spans="1:4" x14ac:dyDescent="0.25">
      <c r="A1029" s="56"/>
      <c r="C1029" s="56"/>
      <c r="D1029" s="56"/>
    </row>
    <row r="1030" spans="1:4" x14ac:dyDescent="0.25">
      <c r="A1030" s="56"/>
      <c r="C1030" s="56"/>
      <c r="D1030" s="56"/>
    </row>
    <row r="1031" spans="1:4" x14ac:dyDescent="0.25">
      <c r="A1031" s="56"/>
      <c r="C1031" s="56"/>
      <c r="D1031" s="56"/>
    </row>
    <row r="1032" spans="1:4" x14ac:dyDescent="0.25">
      <c r="A1032" s="56"/>
      <c r="C1032" s="56"/>
      <c r="D1032" s="56"/>
    </row>
    <row r="1033" spans="1:4" x14ac:dyDescent="0.25">
      <c r="A1033" s="56"/>
      <c r="C1033" s="56"/>
      <c r="D1033" s="56"/>
    </row>
    <row r="1034" spans="1:4" x14ac:dyDescent="0.25">
      <c r="A1034" s="56"/>
      <c r="C1034" s="56"/>
      <c r="D1034" s="56"/>
    </row>
    <row r="1035" spans="1:4" x14ac:dyDescent="0.25">
      <c r="A1035" s="56"/>
      <c r="C1035" s="56"/>
      <c r="D1035" s="56"/>
    </row>
    <row r="1036" spans="1:4" x14ac:dyDescent="0.25">
      <c r="A1036" s="56"/>
      <c r="C1036" s="56"/>
      <c r="D1036" s="56"/>
    </row>
    <row r="1037" spans="1:4" x14ac:dyDescent="0.25">
      <c r="A1037" s="56"/>
      <c r="C1037" s="56"/>
      <c r="D1037" s="56"/>
    </row>
    <row r="1038" spans="1:4" x14ac:dyDescent="0.25">
      <c r="A1038" s="56"/>
      <c r="C1038" s="56"/>
      <c r="D1038" s="56"/>
    </row>
    <row r="1039" spans="1:4" x14ac:dyDescent="0.25">
      <c r="A1039" s="56"/>
      <c r="C1039" s="56"/>
      <c r="D1039" s="56"/>
    </row>
    <row r="1040" spans="1:4" x14ac:dyDescent="0.25">
      <c r="A1040" s="56"/>
      <c r="C1040" s="56"/>
      <c r="D1040" s="56"/>
    </row>
    <row r="1041" spans="1:4" x14ac:dyDescent="0.25">
      <c r="A1041" s="56"/>
      <c r="C1041" s="56"/>
      <c r="D1041" s="56"/>
    </row>
    <row r="1042" spans="1:4" x14ac:dyDescent="0.25">
      <c r="A1042" s="56"/>
      <c r="C1042" s="56"/>
      <c r="D1042" s="56"/>
    </row>
    <row r="1043" spans="1:4" x14ac:dyDescent="0.25">
      <c r="A1043" s="56"/>
      <c r="C1043" s="56"/>
      <c r="D1043" s="56"/>
    </row>
    <row r="1044" spans="1:4" x14ac:dyDescent="0.25">
      <c r="A1044" s="56"/>
      <c r="C1044" s="56"/>
      <c r="D1044" s="56"/>
    </row>
    <row r="1045" spans="1:4" x14ac:dyDescent="0.25">
      <c r="A1045" s="56"/>
      <c r="C1045" s="56"/>
      <c r="D1045" s="56"/>
    </row>
    <row r="1046" spans="1:4" x14ac:dyDescent="0.25">
      <c r="A1046" s="56"/>
      <c r="C1046" s="56"/>
      <c r="D1046" s="56"/>
    </row>
    <row r="1047" spans="1:4" x14ac:dyDescent="0.25">
      <c r="A1047" s="56"/>
      <c r="C1047" s="56"/>
      <c r="D1047" s="56"/>
    </row>
    <row r="1048" spans="1:4" x14ac:dyDescent="0.25">
      <c r="A1048" s="56"/>
      <c r="C1048" s="56"/>
      <c r="D1048" s="56"/>
    </row>
    <row r="1049" spans="1:4" x14ac:dyDescent="0.25">
      <c r="A1049" s="56"/>
      <c r="C1049" s="56"/>
      <c r="D1049" s="56"/>
    </row>
    <row r="1050" spans="1:4" x14ac:dyDescent="0.25">
      <c r="A1050" s="56"/>
      <c r="C1050" s="56"/>
      <c r="D1050" s="56"/>
    </row>
    <row r="1051" spans="1:4" x14ac:dyDescent="0.25">
      <c r="A1051" s="56"/>
      <c r="C1051" s="56"/>
      <c r="D1051" s="56"/>
    </row>
    <row r="1052" spans="1:4" x14ac:dyDescent="0.25">
      <c r="A1052" s="56"/>
      <c r="C1052" s="56"/>
      <c r="D1052" s="56"/>
    </row>
    <row r="1053" spans="1:4" x14ac:dyDescent="0.25">
      <c r="A1053" s="56"/>
      <c r="C1053" s="56"/>
      <c r="D1053" s="56"/>
    </row>
    <row r="1054" spans="1:4" x14ac:dyDescent="0.25">
      <c r="A1054" s="56"/>
      <c r="C1054" s="56"/>
      <c r="D1054" s="56"/>
    </row>
    <row r="1055" spans="1:4" x14ac:dyDescent="0.25">
      <c r="A1055" s="56"/>
      <c r="C1055" s="56"/>
      <c r="D1055" s="56"/>
    </row>
    <row r="1056" spans="1:4" x14ac:dyDescent="0.25">
      <c r="A1056" s="56"/>
      <c r="C1056" s="56"/>
      <c r="D1056" s="56"/>
    </row>
    <row r="1057" spans="1:4" x14ac:dyDescent="0.25">
      <c r="A1057" s="56"/>
      <c r="C1057" s="56"/>
      <c r="D1057" s="56"/>
    </row>
    <row r="1058" spans="1:4" x14ac:dyDescent="0.25">
      <c r="A1058" s="56"/>
      <c r="C1058" s="56"/>
      <c r="D1058" s="56"/>
    </row>
    <row r="1059" spans="1:4" x14ac:dyDescent="0.25">
      <c r="A1059" s="56"/>
      <c r="C1059" s="56"/>
      <c r="D1059" s="56"/>
    </row>
    <row r="1060" spans="1:4" x14ac:dyDescent="0.25">
      <c r="A1060" s="56"/>
      <c r="C1060" s="56"/>
      <c r="D1060" s="56"/>
    </row>
    <row r="1061" spans="1:4" x14ac:dyDescent="0.25">
      <c r="A1061" s="56"/>
      <c r="C1061" s="56"/>
      <c r="D1061" s="56"/>
    </row>
    <row r="1062" spans="1:4" x14ac:dyDescent="0.25">
      <c r="A1062" s="56"/>
      <c r="C1062" s="56"/>
      <c r="D1062" s="56"/>
    </row>
    <row r="1063" spans="1:4" x14ac:dyDescent="0.25">
      <c r="A1063" s="56"/>
      <c r="C1063" s="56"/>
      <c r="D1063" s="56"/>
    </row>
    <row r="1064" spans="1:4" x14ac:dyDescent="0.25">
      <c r="A1064" s="56"/>
      <c r="C1064" s="56"/>
      <c r="D1064" s="56"/>
    </row>
    <row r="1065" spans="1:4" x14ac:dyDescent="0.25">
      <c r="A1065" s="56"/>
      <c r="C1065" s="56"/>
      <c r="D1065" s="56"/>
    </row>
    <row r="1066" spans="1:4" x14ac:dyDescent="0.25">
      <c r="A1066" s="56"/>
      <c r="C1066" s="56"/>
      <c r="D1066" s="56"/>
    </row>
    <row r="1067" spans="1:4" x14ac:dyDescent="0.25">
      <c r="A1067" s="56"/>
      <c r="C1067" s="56"/>
      <c r="D1067" s="56"/>
    </row>
    <row r="1068" spans="1:4" x14ac:dyDescent="0.25">
      <c r="A1068" s="56"/>
      <c r="C1068" s="56"/>
      <c r="D1068" s="56"/>
    </row>
    <row r="1069" spans="1:4" x14ac:dyDescent="0.25">
      <c r="A1069" s="56"/>
      <c r="C1069" s="56"/>
      <c r="D1069" s="56"/>
    </row>
    <row r="1070" spans="1:4" x14ac:dyDescent="0.25">
      <c r="A1070" s="56"/>
      <c r="C1070" s="56"/>
      <c r="D1070" s="56"/>
    </row>
    <row r="1071" spans="1:4" x14ac:dyDescent="0.25">
      <c r="A1071" s="56"/>
      <c r="C1071" s="56"/>
      <c r="D1071" s="56"/>
    </row>
    <row r="1072" spans="1:4" x14ac:dyDescent="0.25">
      <c r="A1072" s="56"/>
      <c r="C1072" s="56"/>
      <c r="D1072" s="56"/>
    </row>
    <row r="1073" spans="1:4" x14ac:dyDescent="0.25">
      <c r="A1073" s="56"/>
      <c r="C1073" s="56"/>
      <c r="D1073" s="56"/>
    </row>
    <row r="1074" spans="1:4" x14ac:dyDescent="0.25">
      <c r="A1074" s="160"/>
      <c r="C1074" s="161"/>
    </row>
    <row r="1075" spans="1:4" x14ac:dyDescent="0.25">
      <c r="A1075" s="160"/>
      <c r="C1075" s="161"/>
    </row>
    <row r="1076" spans="1:4" x14ac:dyDescent="0.25">
      <c r="A1076" s="160"/>
      <c r="C1076" s="161"/>
    </row>
  </sheetData>
  <mergeCells count="7">
    <mergeCell ref="Z14:AB14"/>
    <mergeCell ref="R14:T14"/>
    <mergeCell ref="F14:H14"/>
    <mergeCell ref="J14:L14"/>
    <mergeCell ref="N13:P13"/>
    <mergeCell ref="N14:P14"/>
    <mergeCell ref="V14:X14"/>
  </mergeCells>
  <phoneticPr fontId="21" type="noConversion"/>
  <printOptions horizontalCentered="1"/>
  <pageMargins left="0" right="0" top="0" bottom="0" header="0" footer="0"/>
  <pageSetup scale="70" fitToHeight="4" orientation="landscape" r:id="rId1"/>
  <headerFooter alignWithMargins="0">
    <oddFooter>&amp;L&amp;D &amp;T&amp;C&amp;Z&amp;F&amp;R&amp;P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C8"/>
  <sheetViews>
    <sheetView workbookViewId="0">
      <selection sqref="A1:D1"/>
    </sheetView>
  </sheetViews>
  <sheetFormatPr defaultRowHeight="12.75" x14ac:dyDescent="0.2"/>
  <cols>
    <col min="1" max="1" width="10.140625" bestFit="1" customWidth="1"/>
    <col min="2" max="2" width="36.7109375" style="20" bestFit="1" customWidth="1"/>
    <col min="3" max="3" width="7" bestFit="1" customWidth="1"/>
  </cols>
  <sheetData>
    <row r="1" spans="1:3" s="18" customFormat="1" x14ac:dyDescent="0.2">
      <c r="A1" s="18" t="s">
        <v>61</v>
      </c>
      <c r="B1" s="55" t="s">
        <v>62</v>
      </c>
      <c r="C1" s="18" t="s">
        <v>63</v>
      </c>
    </row>
    <row r="2" spans="1:3" x14ac:dyDescent="0.2">
      <c r="A2" s="21"/>
      <c r="B2" s="60"/>
      <c r="C2" s="61"/>
    </row>
    <row r="3" spans="1:3" x14ac:dyDescent="0.2">
      <c r="A3" s="21"/>
      <c r="B3" s="60"/>
      <c r="C3" s="61"/>
    </row>
    <row r="4" spans="1:3" x14ac:dyDescent="0.2">
      <c r="A4" s="21"/>
      <c r="B4" s="60"/>
      <c r="C4" s="61"/>
    </row>
    <row r="5" spans="1:3" x14ac:dyDescent="0.2">
      <c r="A5" s="21"/>
      <c r="B5" s="60"/>
      <c r="C5" s="61"/>
    </row>
    <row r="6" spans="1:3" x14ac:dyDescent="0.2">
      <c r="A6" s="21"/>
      <c r="B6" s="60"/>
      <c r="C6" s="61"/>
    </row>
    <row r="7" spans="1:3" x14ac:dyDescent="0.2">
      <c r="A7" s="21"/>
      <c r="B7" s="60"/>
      <c r="C7" s="61"/>
    </row>
    <row r="8" spans="1:3" x14ac:dyDescent="0.2">
      <c r="A8" s="21"/>
      <c r="B8" s="60"/>
      <c r="C8" s="61"/>
    </row>
  </sheetData>
  <phoneticPr fontId="21" type="noConversion"/>
  <pageMargins left="0.75" right="0.75" top="1" bottom="1" header="0.5" footer="0.5"/>
  <pageSetup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H26"/>
  <sheetViews>
    <sheetView workbookViewId="0">
      <selection sqref="A1:D1"/>
    </sheetView>
  </sheetViews>
  <sheetFormatPr defaultColWidth="9.28515625" defaultRowHeight="12.75" outlineLevelCol="1" x14ac:dyDescent="0.2"/>
  <cols>
    <col min="1" max="1" width="32.85546875" bestFit="1" customWidth="1"/>
    <col min="2" max="4" width="11.140625" bestFit="1" customWidth="1"/>
    <col min="6" max="8" width="11.140625" customWidth="1" outlineLevel="1"/>
  </cols>
  <sheetData>
    <row r="1" spans="1:8" x14ac:dyDescent="0.2">
      <c r="A1" s="246" t="s">
        <v>76</v>
      </c>
      <c r="B1" s="246"/>
      <c r="C1" s="246"/>
      <c r="D1" s="246"/>
    </row>
    <row r="3" spans="1:8" x14ac:dyDescent="0.2">
      <c r="A3" s="18"/>
      <c r="B3" s="18" t="s">
        <v>19</v>
      </c>
      <c r="C3" s="18" t="s">
        <v>20</v>
      </c>
      <c r="D3" s="18" t="s">
        <v>21</v>
      </c>
      <c r="F3" s="18" t="s">
        <v>99</v>
      </c>
      <c r="G3" s="18" t="s">
        <v>100</v>
      </c>
      <c r="H3" s="18" t="s">
        <v>101</v>
      </c>
    </row>
    <row r="4" spans="1:8" x14ac:dyDescent="0.2">
      <c r="A4" s="18" t="s">
        <v>64</v>
      </c>
    </row>
    <row r="5" spans="1:8" x14ac:dyDescent="0.2">
      <c r="A5" s="18" t="s">
        <v>65</v>
      </c>
      <c r="B5" s="51">
        <f>+'Option 1'!P245-'Option 1'!P240-'Option 1'!P239</f>
        <v>12295852</v>
      </c>
      <c r="C5" s="51">
        <f>+'Option 2'!P245-'Option 2'!P240-'Option 2'!P239</f>
        <v>12295852.000000004</v>
      </c>
      <c r="D5" s="51">
        <f>+'Option 3'!P245-'Option 3'!P240-'Option 3'!P239</f>
        <v>12400642.000000002</v>
      </c>
      <c r="F5" s="51">
        <f>+'Option 4'!P245-'Option 4'!P240-'Option 4'!P239</f>
        <v>12400642</v>
      </c>
      <c r="G5" s="51">
        <f>+'Option 5'!P245-'Option 5'!P240-'Option 5'!P239</f>
        <v>12295852</v>
      </c>
      <c r="H5" s="51">
        <f>+'Option 6'!P245-'Option 6'!P240-'Option 6'!P239</f>
        <v>12295852</v>
      </c>
    </row>
    <row r="6" spans="1:8" x14ac:dyDescent="0.2">
      <c r="A6" s="18" t="s">
        <v>81</v>
      </c>
      <c r="B6" s="53">
        <f>+'Option 1'!P240</f>
        <v>0</v>
      </c>
      <c r="C6" s="53">
        <f>+'Option 2'!P240</f>
        <v>811742.31952864013</v>
      </c>
      <c r="D6" s="53">
        <f>+'Option 3'!P240</f>
        <v>591641.13035859517</v>
      </c>
      <c r="F6" s="53">
        <f>+'Option 4'!P240</f>
        <v>845201.61479799321</v>
      </c>
      <c r="G6" s="53">
        <f>+'Option 5'!P240</f>
        <v>0</v>
      </c>
      <c r="H6" s="53">
        <f>+'Option 6'!P240</f>
        <v>0</v>
      </c>
    </row>
    <row r="7" spans="1:8" x14ac:dyDescent="0.2">
      <c r="A7" s="18"/>
      <c r="B7" s="51"/>
      <c r="C7" s="51"/>
      <c r="D7" s="51"/>
      <c r="F7" s="51"/>
      <c r="G7" s="51"/>
      <c r="H7" s="51"/>
    </row>
    <row r="8" spans="1:8" x14ac:dyDescent="0.2">
      <c r="A8" s="18" t="s">
        <v>66</v>
      </c>
      <c r="B8" s="51">
        <f>+'Option 1'!P239</f>
        <v>0</v>
      </c>
      <c r="C8" s="51">
        <f>+'Option 2'!P239</f>
        <v>498595.69950921473</v>
      </c>
      <c r="D8" s="51">
        <f>+'Option 3'!P239</f>
        <v>103839.19373399395</v>
      </c>
      <c r="F8" s="51">
        <f>+'Option 4'!P239</f>
        <v>148341.70533427724</v>
      </c>
      <c r="G8" s="51">
        <f>+'Option 5'!P239</f>
        <v>0</v>
      </c>
      <c r="H8" s="51">
        <f>+'Option 6'!P239</f>
        <v>0</v>
      </c>
    </row>
    <row r="9" spans="1:8" x14ac:dyDescent="0.2">
      <c r="A9" s="18"/>
      <c r="B9" s="51"/>
      <c r="C9" s="51"/>
      <c r="D9" s="51"/>
      <c r="F9" s="51"/>
      <c r="G9" s="51"/>
      <c r="H9" s="51"/>
    </row>
    <row r="10" spans="1:8" ht="13.5" thickBot="1" x14ac:dyDescent="0.25">
      <c r="A10" s="18" t="s">
        <v>67</v>
      </c>
      <c r="B10" s="52">
        <f>SUM(B5:B8)</f>
        <v>12295852</v>
      </c>
      <c r="C10" s="52">
        <f>SUM(C5:C8)</f>
        <v>13606190.019037858</v>
      </c>
      <c r="D10" s="52">
        <f>SUM(D5:D8)</f>
        <v>13096122.324092591</v>
      </c>
      <c r="F10" s="52">
        <f>SUM(F5:F8)</f>
        <v>13394185.32013227</v>
      </c>
      <c r="G10" s="52">
        <f>SUM(G5:G8)</f>
        <v>12295852</v>
      </c>
      <c r="H10" s="52">
        <f>SUM(H5:H8)</f>
        <v>12295852</v>
      </c>
    </row>
    <row r="11" spans="1:8" ht="13.5" thickTop="1" x14ac:dyDescent="0.2">
      <c r="A11" s="18"/>
      <c r="B11" s="51"/>
      <c r="C11" s="51"/>
      <c r="D11" s="51"/>
      <c r="F11" s="51"/>
      <c r="G11" s="51"/>
      <c r="H11" s="51"/>
    </row>
    <row r="12" spans="1:8" x14ac:dyDescent="0.2">
      <c r="A12" s="18"/>
      <c r="B12" s="51"/>
      <c r="C12" s="51"/>
      <c r="D12" s="51"/>
      <c r="F12" s="51"/>
      <c r="G12" s="51"/>
      <c r="H12" s="51"/>
    </row>
    <row r="13" spans="1:8" x14ac:dyDescent="0.2">
      <c r="A13" s="18" t="s">
        <v>68</v>
      </c>
      <c r="B13" s="51"/>
      <c r="C13" s="51"/>
      <c r="D13" s="51"/>
      <c r="F13" s="51"/>
      <c r="G13" s="51"/>
      <c r="H13" s="51"/>
    </row>
    <row r="14" spans="1:8" x14ac:dyDescent="0.2">
      <c r="A14" s="18" t="s">
        <v>69</v>
      </c>
      <c r="B14" s="51">
        <f>+'Option 1'!D247</f>
        <v>623745</v>
      </c>
      <c r="C14" s="51">
        <f>+'Option 2'!D247</f>
        <v>623745</v>
      </c>
      <c r="D14" s="51">
        <f>+'Option 3'!D247</f>
        <v>623745</v>
      </c>
      <c r="F14" s="51">
        <f>+'Option 4'!D247</f>
        <v>623745</v>
      </c>
      <c r="G14" s="51">
        <f>+'Option 5'!D247</f>
        <v>623745</v>
      </c>
      <c r="H14" s="51">
        <f>+'Option 6'!D247</f>
        <v>623745</v>
      </c>
    </row>
    <row r="15" spans="1:8" x14ac:dyDescent="0.2">
      <c r="A15" s="18" t="s">
        <v>70</v>
      </c>
      <c r="B15" s="53">
        <f>+'Option 1'!P10</f>
        <v>6818663.2538749548</v>
      </c>
      <c r="C15" s="53">
        <f>+'Option 2'!P10</f>
        <v>6602585.7504902687</v>
      </c>
      <c r="D15" s="53">
        <f>+'Option 3'!P10</f>
        <v>6602585.7504902687</v>
      </c>
      <c r="F15" s="53">
        <f>+'Option 4'!P10</f>
        <v>1867169.4398059309</v>
      </c>
      <c r="G15" s="53">
        <f>+'Option 5'!P10</f>
        <v>6602585.7504902687</v>
      </c>
      <c r="H15" s="53">
        <f>+'Option 6'!P10</f>
        <v>6602585.7504902687</v>
      </c>
    </row>
    <row r="16" spans="1:8" x14ac:dyDescent="0.2">
      <c r="A16" s="18" t="s">
        <v>8</v>
      </c>
      <c r="B16" s="53">
        <f>+'Option 1'!D4</f>
        <v>0</v>
      </c>
      <c r="C16" s="53">
        <f>+'Option 2'!D4</f>
        <v>0</v>
      </c>
      <c r="D16" s="53">
        <f>+'Option 3'!D4</f>
        <v>1000000</v>
      </c>
      <c r="F16" s="53">
        <f>+'Option 4'!D4</f>
        <v>5000000</v>
      </c>
      <c r="G16" s="53">
        <f>+'Option 5'!D4</f>
        <v>0</v>
      </c>
      <c r="H16" s="53">
        <f>+'Option 6'!D4</f>
        <v>0</v>
      </c>
    </row>
    <row r="17" spans="1:8" x14ac:dyDescent="0.2">
      <c r="A17" s="18" t="s">
        <v>10</v>
      </c>
      <c r="B17" s="53">
        <f>+'Option 1'!P15</f>
        <v>0</v>
      </c>
      <c r="C17" s="53">
        <f>+'Option 2'!P15</f>
        <v>1500000</v>
      </c>
      <c r="D17" s="53">
        <f>+'Option 3'!P15</f>
        <v>700000</v>
      </c>
      <c r="F17" s="53">
        <f>+'Option 4'!P15</f>
        <v>1000000</v>
      </c>
      <c r="G17" s="53">
        <f>+'Option 5'!P15</f>
        <v>0</v>
      </c>
      <c r="H17" s="53">
        <f>+'Option 6'!P15</f>
        <v>0</v>
      </c>
    </row>
    <row r="18" spans="1:8" x14ac:dyDescent="0.2">
      <c r="A18" s="18" t="s">
        <v>71</v>
      </c>
      <c r="B18" s="53">
        <f>SUM(B19:B21)</f>
        <v>-988664.2249649578</v>
      </c>
      <c r="C18" s="53">
        <f>SUM(C19:C21)</f>
        <v>-779420.02685629984</v>
      </c>
      <c r="D18" s="53">
        <f>SUM(D19:D21)</f>
        <v>-570396.84716182621</v>
      </c>
      <c r="F18" s="53">
        <f>SUM(F19:F21)</f>
        <v>163358.71569185168</v>
      </c>
      <c r="G18" s="53">
        <f>SUM(G19:G21)</f>
        <v>-1033175.731887707</v>
      </c>
      <c r="H18" s="53">
        <f>SUM(H19:H21)</f>
        <v>-1033175.731887707</v>
      </c>
    </row>
    <row r="19" spans="1:8" hidden="1" x14ac:dyDescent="0.2">
      <c r="A19" s="18" t="s">
        <v>71</v>
      </c>
      <c r="B19" s="53">
        <f>+'Option 1'!P16</f>
        <v>-988664.2249649578</v>
      </c>
      <c r="C19" s="53">
        <f>+'Option 2'!P16</f>
        <v>-779420.02685629984</v>
      </c>
      <c r="D19" s="53">
        <f>+'Option 3'!P16</f>
        <v>-715904.41174383881</v>
      </c>
      <c r="F19" s="53">
        <f>+'Option 4'!P16</f>
        <v>-564179.10721821152</v>
      </c>
      <c r="G19" s="53">
        <f>+'Option 5'!P16</f>
        <v>-1033175.731887707</v>
      </c>
      <c r="H19" s="53">
        <f>+'Option 6'!P16</f>
        <v>-1033175.731887707</v>
      </c>
    </row>
    <row r="20" spans="1:8" hidden="1" x14ac:dyDescent="0.2">
      <c r="A20" s="18" t="s">
        <v>72</v>
      </c>
      <c r="B20" s="53">
        <f>+'Option 1'!P14</f>
        <v>0</v>
      </c>
      <c r="C20" s="53">
        <f>+'Option 2'!P14</f>
        <v>0</v>
      </c>
      <c r="D20" s="53">
        <f>+'Option 3'!P14</f>
        <v>-127278.61828689027</v>
      </c>
      <c r="F20" s="53">
        <f>+'Option 4'!P14</f>
        <v>-636393.0914344514</v>
      </c>
      <c r="G20" s="53">
        <f>+'Option 5'!P14</f>
        <v>0</v>
      </c>
      <c r="H20" s="53">
        <f>+'Option 6'!P14</f>
        <v>0</v>
      </c>
    </row>
    <row r="21" spans="1:8" hidden="1" x14ac:dyDescent="0.2">
      <c r="A21" s="18" t="s">
        <v>73</v>
      </c>
      <c r="B21" s="53">
        <f>+'Option 1'!P13</f>
        <v>0</v>
      </c>
      <c r="C21" s="53">
        <f>+'Option 2'!P13</f>
        <v>0</v>
      </c>
      <c r="D21" s="53">
        <f>+'Option 3'!P13</f>
        <v>272786.18286890275</v>
      </c>
      <c r="F21" s="53">
        <f>+'Option 4'!P13</f>
        <v>1363930.9143445145</v>
      </c>
      <c r="G21" s="53">
        <f>+'Option 5'!P13</f>
        <v>0</v>
      </c>
      <c r="H21" s="53">
        <f>+'Option 6'!P13</f>
        <v>0</v>
      </c>
    </row>
    <row r="22" spans="1:8" x14ac:dyDescent="0.2">
      <c r="A22" s="18"/>
      <c r="B22" s="51"/>
      <c r="C22" s="51"/>
      <c r="D22" s="51"/>
      <c r="F22" s="51"/>
      <c r="G22" s="51"/>
      <c r="H22" s="51"/>
    </row>
    <row r="23" spans="1:8" x14ac:dyDescent="0.2">
      <c r="A23" s="18" t="s">
        <v>74</v>
      </c>
      <c r="B23" s="51">
        <f>SUM(B14:B18)</f>
        <v>6453744.0289099971</v>
      </c>
      <c r="C23" s="51">
        <f>SUM(C14:C18)</f>
        <v>7946910.7236339692</v>
      </c>
      <c r="D23" s="51">
        <f>SUM(D14:D18)</f>
        <v>8355933.9033284429</v>
      </c>
      <c r="F23" s="51">
        <f>SUM(F14:F18)</f>
        <v>8654273.1554977819</v>
      </c>
      <c r="G23" s="51">
        <f>SUM(G14:G18)</f>
        <v>6193155.0186025612</v>
      </c>
      <c r="H23" s="51">
        <f>SUM(H14:H18)</f>
        <v>6193155.0186025612</v>
      </c>
    </row>
    <row r="24" spans="1:8" x14ac:dyDescent="0.2">
      <c r="A24" s="18"/>
      <c r="B24" s="51"/>
      <c r="C24" s="51"/>
      <c r="D24" s="51"/>
      <c r="F24" s="51"/>
      <c r="G24" s="51"/>
      <c r="H24" s="51"/>
    </row>
    <row r="25" spans="1:8" ht="13.5" thickBot="1" x14ac:dyDescent="0.25">
      <c r="A25" s="18" t="s">
        <v>75</v>
      </c>
      <c r="B25" s="52">
        <f>B23-B10</f>
        <v>-5842107.9710900029</v>
      </c>
      <c r="C25" s="52">
        <f>C23-C10</f>
        <v>-5659279.2954038884</v>
      </c>
      <c r="D25" s="52">
        <f>D23-D10</f>
        <v>-4740188.4207641482</v>
      </c>
      <c r="F25" s="52">
        <f>F23-F10</f>
        <v>-4739912.1646344885</v>
      </c>
      <c r="G25" s="52">
        <f>G23-G10</f>
        <v>-6102696.9813974388</v>
      </c>
      <c r="H25" s="52">
        <f>H23-H10</f>
        <v>-6102696.9813974388</v>
      </c>
    </row>
    <row r="26" spans="1:8" ht="13.5" thickTop="1" x14ac:dyDescent="0.2"/>
  </sheetData>
  <mergeCells count="1">
    <mergeCell ref="A1:D1"/>
  </mergeCells>
  <phoneticPr fontId="21" type="noConversion"/>
  <printOptions horizontalCentered="1"/>
  <pageMargins left="0" right="0" top="0" bottom="0" header="0" footer="0"/>
  <pageSetup scale="70" orientation="landscape" r:id="rId1"/>
  <headerFooter alignWithMargins="0">
    <oddFooter>&amp;L&amp;D &amp;T&amp;C&amp;Z&amp;F&amp;R&amp;P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Calc</vt:lpstr>
      <vt:lpstr>Assumptions</vt:lpstr>
      <vt:lpstr>Option 1</vt:lpstr>
      <vt:lpstr>Option 2</vt:lpstr>
      <vt:lpstr>Option 3</vt:lpstr>
      <vt:lpstr>Option 4</vt:lpstr>
      <vt:lpstr>Option 5</vt:lpstr>
      <vt:lpstr>Option 6</vt:lpstr>
      <vt:lpstr>Final SA Summary</vt:lpstr>
      <vt:lpstr>Notes</vt:lpstr>
      <vt:lpstr>Financing Summary</vt:lpstr>
      <vt:lpstr>Assumptions!Print_Area</vt:lpstr>
      <vt:lpstr>'Option 1'!Print_Area</vt:lpstr>
      <vt:lpstr>'Option 2'!Print_Area</vt:lpstr>
      <vt:lpstr>'Option 3'!Print_Area</vt:lpstr>
      <vt:lpstr>'Option 4'!Print_Area</vt:lpstr>
      <vt:lpstr>'Option 5'!Print_Area</vt:lpstr>
      <vt:lpstr>'Option 6'!Print_Area</vt:lpstr>
      <vt:lpstr>'Final SA Summary'!Print_Titles</vt:lpstr>
    </vt:vector>
  </TitlesOfParts>
  <Company>Lieberman Management Services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 Lahey</dc:creator>
  <cp:lastModifiedBy>Lisette</cp:lastModifiedBy>
  <cp:lastPrinted>2013-09-10T22:01:16Z</cp:lastPrinted>
  <dcterms:created xsi:type="dcterms:W3CDTF">2009-12-14T16:23:47Z</dcterms:created>
  <dcterms:modified xsi:type="dcterms:W3CDTF">2013-09-19T16:32:17Z</dcterms:modified>
</cp:coreProperties>
</file>